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"/>
    </mc:Choice>
  </mc:AlternateContent>
  <xr:revisionPtr revIDLastSave="0" documentId="13_ncr:1_{D9851FBD-A9C4-E144-B8A2-53F02B5D0049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'DMT-M'!$A$1:$LB$1</definedName>
    <definedName name="_xlnm._FilterDatabase" localSheetId="8" hidden="1">'DMT-W'!$A$1:$LB$1</definedName>
    <definedName name="_xlnm._FilterDatabase" localSheetId="3" hidden="1">'SYN-M'!$A$1:$LV$3</definedName>
    <definedName name="_xlnm._FilterDatabase" localSheetId="4" hidden="1">'SYN-W'!$A$1:$LV$3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5" hidden="1">'TUM-M'!$A$1:$KN$3</definedName>
    <definedName name="_xlnm._FilterDatabase" localSheetId="6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F11" i="12" l="1"/>
  <c r="KE11" i="12"/>
  <c r="KD11" i="12"/>
  <c r="KC11" i="12"/>
  <c r="KF10" i="12"/>
  <c r="KE10" i="12"/>
  <c r="KD10" i="12"/>
  <c r="KC10" i="12"/>
  <c r="KF9" i="12"/>
  <c r="KE9" i="12"/>
  <c r="KD9" i="12"/>
  <c r="KC9" i="12"/>
  <c r="KF8" i="12"/>
  <c r="KE8" i="12"/>
  <c r="KD8" i="12"/>
  <c r="KC8" i="12"/>
  <c r="KF7" i="12"/>
  <c r="KE7" i="12"/>
  <c r="KD7" i="12"/>
  <c r="KC7" i="12"/>
  <c r="KF6" i="12"/>
  <c r="KE6" i="12"/>
  <c r="KD6" i="12"/>
  <c r="KC6" i="12"/>
  <c r="KF5" i="12"/>
  <c r="KE5" i="12"/>
  <c r="KD5" i="12"/>
  <c r="KC5" i="12"/>
  <c r="KF4" i="12"/>
  <c r="KE4" i="12"/>
  <c r="KD4" i="12"/>
  <c r="KC4" i="12"/>
  <c r="JK11" i="12"/>
  <c r="JJ11" i="12"/>
  <c r="JI11" i="12"/>
  <c r="JH11" i="12"/>
  <c r="JK10" i="12"/>
  <c r="JJ10" i="12"/>
  <c r="JI10" i="12"/>
  <c r="JH10" i="12"/>
  <c r="JK9" i="12"/>
  <c r="JJ9" i="12"/>
  <c r="JI9" i="12"/>
  <c r="JH9" i="12"/>
  <c r="JK8" i="12"/>
  <c r="JJ8" i="12"/>
  <c r="JI8" i="12"/>
  <c r="JH8" i="12"/>
  <c r="JK7" i="12"/>
  <c r="JJ7" i="12"/>
  <c r="JI7" i="12"/>
  <c r="JH7" i="12"/>
  <c r="JK6" i="12"/>
  <c r="JJ6" i="12"/>
  <c r="JI6" i="12"/>
  <c r="JH6" i="12"/>
  <c r="JK5" i="12"/>
  <c r="JJ5" i="12"/>
  <c r="JI5" i="12"/>
  <c r="JH5" i="12"/>
  <c r="JK4" i="12"/>
  <c r="JJ4" i="12"/>
  <c r="JI4" i="12"/>
  <c r="JH4" i="12"/>
  <c r="IP11" i="12"/>
  <c r="IO11" i="12"/>
  <c r="IN11" i="12"/>
  <c r="IM11" i="12"/>
  <c r="IP10" i="12"/>
  <c r="IO10" i="12"/>
  <c r="IN10" i="12"/>
  <c r="IM10" i="12"/>
  <c r="IP9" i="12"/>
  <c r="IO9" i="12"/>
  <c r="IN9" i="12"/>
  <c r="IM9" i="12"/>
  <c r="IP8" i="12"/>
  <c r="IO8" i="12"/>
  <c r="IN8" i="12"/>
  <c r="IM8" i="12"/>
  <c r="IP7" i="12"/>
  <c r="IO7" i="12"/>
  <c r="IN7" i="12"/>
  <c r="IM7" i="12"/>
  <c r="IP6" i="12"/>
  <c r="IO6" i="12"/>
  <c r="IN6" i="12"/>
  <c r="IM6" i="12"/>
  <c r="IP5" i="12"/>
  <c r="IO5" i="12"/>
  <c r="IN5" i="12"/>
  <c r="IM5" i="12"/>
  <c r="IP4" i="12"/>
  <c r="IO4" i="12"/>
  <c r="IN4" i="12"/>
  <c r="IM4" i="12"/>
  <c r="HU11" i="12"/>
  <c r="HT11" i="12"/>
  <c r="HS11" i="12"/>
  <c r="HR11" i="12"/>
  <c r="HU10" i="12"/>
  <c r="HT10" i="12"/>
  <c r="HS10" i="12"/>
  <c r="HR10" i="12"/>
  <c r="HU9" i="12"/>
  <c r="HT9" i="12"/>
  <c r="HS9" i="12"/>
  <c r="HR9" i="12"/>
  <c r="HU8" i="12"/>
  <c r="HT8" i="12"/>
  <c r="HS8" i="12"/>
  <c r="HR8" i="12"/>
  <c r="HU7" i="12"/>
  <c r="HT7" i="12"/>
  <c r="HS7" i="12"/>
  <c r="HR7" i="12"/>
  <c r="HU6" i="12"/>
  <c r="HT6" i="12"/>
  <c r="HS6" i="12"/>
  <c r="HR6" i="12"/>
  <c r="HU5" i="12"/>
  <c r="HT5" i="12"/>
  <c r="HS5" i="12"/>
  <c r="HR5" i="12"/>
  <c r="HU4" i="12"/>
  <c r="HT4" i="12"/>
  <c r="HS4" i="12"/>
  <c r="HR4" i="12"/>
  <c r="GZ11" i="12"/>
  <c r="GY11" i="12"/>
  <c r="GX11" i="12"/>
  <c r="GW11" i="12"/>
  <c r="GZ9" i="12"/>
  <c r="GY9" i="12"/>
  <c r="GX9" i="12"/>
  <c r="GW9" i="12"/>
  <c r="GZ8" i="12"/>
  <c r="GY8" i="12"/>
  <c r="GX8" i="12"/>
  <c r="GW8" i="12"/>
  <c r="GZ7" i="12"/>
  <c r="GY7" i="12"/>
  <c r="GX7" i="12"/>
  <c r="GW7" i="12"/>
  <c r="GZ6" i="12"/>
  <c r="GY6" i="12"/>
  <c r="GX6" i="12"/>
  <c r="GW6" i="12"/>
  <c r="GZ5" i="12"/>
  <c r="GY5" i="12"/>
  <c r="GX5" i="12"/>
  <c r="GW5" i="12"/>
  <c r="GZ4" i="12"/>
  <c r="GY4" i="12"/>
  <c r="GX4" i="12"/>
  <c r="GW4" i="12"/>
  <c r="GE11" i="12"/>
  <c r="GD11" i="12"/>
  <c r="GC11" i="12"/>
  <c r="GB11" i="12"/>
  <c r="GE9" i="12"/>
  <c r="GD9" i="12"/>
  <c r="GC9" i="12"/>
  <c r="GB9" i="12"/>
  <c r="GE8" i="12"/>
  <c r="GD8" i="12"/>
  <c r="GC8" i="12"/>
  <c r="GB8" i="12"/>
  <c r="GE7" i="12"/>
  <c r="GD7" i="12"/>
  <c r="GC7" i="12"/>
  <c r="GB7" i="12"/>
  <c r="GE6" i="12"/>
  <c r="GD6" i="12"/>
  <c r="GC6" i="12"/>
  <c r="GB6" i="12"/>
  <c r="GE5" i="12"/>
  <c r="GD5" i="12"/>
  <c r="GC5" i="12"/>
  <c r="GB5" i="12"/>
  <c r="GE4" i="12"/>
  <c r="GD4" i="12"/>
  <c r="GC4" i="12"/>
  <c r="GB4" i="12"/>
  <c r="FJ11" i="12"/>
  <c r="FI11" i="12"/>
  <c r="FH11" i="12"/>
  <c r="FG11" i="12"/>
  <c r="FJ9" i="12"/>
  <c r="FI9" i="12"/>
  <c r="FH9" i="12"/>
  <c r="FG9" i="12"/>
  <c r="FJ8" i="12"/>
  <c r="FI8" i="12"/>
  <c r="FH8" i="12"/>
  <c r="FG8" i="12"/>
  <c r="FJ7" i="12"/>
  <c r="FI7" i="12"/>
  <c r="FH7" i="12"/>
  <c r="FG7" i="12"/>
  <c r="FJ6" i="12"/>
  <c r="FI6" i="12"/>
  <c r="FH6" i="12"/>
  <c r="FG6" i="12"/>
  <c r="FJ5" i="12"/>
  <c r="FI5" i="12"/>
  <c r="FH5" i="12"/>
  <c r="FG5" i="12"/>
  <c r="FJ4" i="12"/>
  <c r="FI4" i="12"/>
  <c r="FH4" i="12"/>
  <c r="FG4" i="12"/>
  <c r="EO11" i="12"/>
  <c r="EN11" i="12"/>
  <c r="EM11" i="12"/>
  <c r="EL11" i="12"/>
  <c r="EO9" i="12"/>
  <c r="EN9" i="12"/>
  <c r="EM9" i="12"/>
  <c r="EL9" i="12"/>
  <c r="EO8" i="12"/>
  <c r="EN8" i="12"/>
  <c r="EM8" i="12"/>
  <c r="EL8" i="12"/>
  <c r="EO7" i="12"/>
  <c r="EN7" i="12"/>
  <c r="EM7" i="12"/>
  <c r="EL7" i="12"/>
  <c r="EO6" i="12"/>
  <c r="EN6" i="12"/>
  <c r="EM6" i="12"/>
  <c r="EL6" i="12"/>
  <c r="EO5" i="12"/>
  <c r="EN5" i="12"/>
  <c r="EM5" i="12"/>
  <c r="EL5" i="12"/>
  <c r="EO4" i="12"/>
  <c r="EN4" i="12"/>
  <c r="EM4" i="12"/>
  <c r="EL4" i="12"/>
  <c r="DT11" i="12"/>
  <c r="DS11" i="12"/>
  <c r="DR11" i="12"/>
  <c r="DQ11" i="12"/>
  <c r="DT9" i="12"/>
  <c r="DS9" i="12"/>
  <c r="DR9" i="12"/>
  <c r="DQ9" i="12"/>
  <c r="DT8" i="12"/>
  <c r="DS8" i="12"/>
  <c r="DR8" i="12"/>
  <c r="DQ8" i="12"/>
  <c r="DT7" i="12"/>
  <c r="DS7" i="12"/>
  <c r="DR7" i="12"/>
  <c r="DQ7" i="12"/>
  <c r="DT6" i="12"/>
  <c r="DS6" i="12"/>
  <c r="DR6" i="12"/>
  <c r="DQ6" i="12"/>
  <c r="DT5" i="12"/>
  <c r="DS5" i="12"/>
  <c r="DR5" i="12"/>
  <c r="DQ5" i="12"/>
  <c r="DT4" i="12"/>
  <c r="DS4" i="12"/>
  <c r="DR4" i="12"/>
  <c r="DQ4" i="12"/>
  <c r="CY11" i="12"/>
  <c r="CX11" i="12"/>
  <c r="CW11" i="12"/>
  <c r="CV11" i="12"/>
  <c r="CY9" i="12"/>
  <c r="CX9" i="12"/>
  <c r="CW9" i="12"/>
  <c r="CV9" i="12"/>
  <c r="CY8" i="12"/>
  <c r="CX8" i="12"/>
  <c r="CW8" i="12"/>
  <c r="CV8" i="12"/>
  <c r="CY7" i="12"/>
  <c r="CX7" i="12"/>
  <c r="CW7" i="12"/>
  <c r="CV7" i="12"/>
  <c r="CY6" i="12"/>
  <c r="CX6" i="12"/>
  <c r="CW6" i="12"/>
  <c r="CV6" i="12"/>
  <c r="CY5" i="12"/>
  <c r="CX5" i="12"/>
  <c r="CW5" i="12"/>
  <c r="CV5" i="12"/>
  <c r="CY4" i="12"/>
  <c r="CX4" i="12"/>
  <c r="CW4" i="12"/>
  <c r="CV4" i="12"/>
  <c r="CD11" i="12"/>
  <c r="CC11" i="12"/>
  <c r="CB11" i="12"/>
  <c r="CA11" i="12"/>
  <c r="CD9" i="12"/>
  <c r="CC9" i="12"/>
  <c r="CB9" i="12"/>
  <c r="CA9" i="12"/>
  <c r="CD8" i="12"/>
  <c r="CC8" i="12"/>
  <c r="CB8" i="12"/>
  <c r="CA8" i="12"/>
  <c r="CD7" i="12"/>
  <c r="CC7" i="12"/>
  <c r="CB7" i="12"/>
  <c r="CA7" i="12"/>
  <c r="CD6" i="12"/>
  <c r="CC6" i="12"/>
  <c r="CB6" i="12"/>
  <c r="CA6" i="12"/>
  <c r="CD5" i="12"/>
  <c r="CC5" i="12"/>
  <c r="CB5" i="12"/>
  <c r="CA5" i="12"/>
  <c r="CD4" i="12"/>
  <c r="CC4" i="12"/>
  <c r="CB4" i="12"/>
  <c r="CA4" i="12"/>
  <c r="KF14" i="6"/>
  <c r="KE14" i="6"/>
  <c r="KD14" i="6"/>
  <c r="KC14" i="6"/>
  <c r="KF12" i="6"/>
  <c r="KE12" i="6"/>
  <c r="KG12" i="6" s="1"/>
  <c r="KD12" i="6"/>
  <c r="KC12" i="6"/>
  <c r="KF11" i="6"/>
  <c r="KE11" i="6"/>
  <c r="KD11" i="6"/>
  <c r="KC11" i="6"/>
  <c r="KF13" i="6"/>
  <c r="KE13" i="6"/>
  <c r="KG13" i="6" s="1"/>
  <c r="KD13" i="6"/>
  <c r="KC13" i="6"/>
  <c r="KF8" i="6"/>
  <c r="KE8" i="6"/>
  <c r="KD8" i="6"/>
  <c r="KC8" i="6"/>
  <c r="KF10" i="6"/>
  <c r="KE10" i="6"/>
  <c r="KD10" i="6"/>
  <c r="KC10" i="6"/>
  <c r="KF9" i="6"/>
  <c r="KE9" i="6"/>
  <c r="KD9" i="6"/>
  <c r="KC9" i="6"/>
  <c r="KF7" i="6"/>
  <c r="KE7" i="6"/>
  <c r="KD7" i="6"/>
  <c r="KC7" i="6"/>
  <c r="KF6" i="6"/>
  <c r="KE6" i="6"/>
  <c r="KD6" i="6"/>
  <c r="KC6" i="6"/>
  <c r="KF4" i="6"/>
  <c r="KE4" i="6"/>
  <c r="KD4" i="6"/>
  <c r="KC4" i="6"/>
  <c r="KF5" i="6"/>
  <c r="KE5" i="6"/>
  <c r="KD5" i="6"/>
  <c r="KC5" i="6"/>
  <c r="JK14" i="6"/>
  <c r="JJ14" i="6"/>
  <c r="JI14" i="6"/>
  <c r="JH14" i="6"/>
  <c r="JK12" i="6"/>
  <c r="JJ12" i="6"/>
  <c r="JI12" i="6"/>
  <c r="JH12" i="6"/>
  <c r="JK11" i="6"/>
  <c r="JJ11" i="6"/>
  <c r="JI11" i="6"/>
  <c r="JH11" i="6"/>
  <c r="JK13" i="6"/>
  <c r="JJ13" i="6"/>
  <c r="JI13" i="6"/>
  <c r="JH13" i="6"/>
  <c r="JK8" i="6"/>
  <c r="JJ8" i="6"/>
  <c r="JI8" i="6"/>
  <c r="JH8" i="6"/>
  <c r="JK10" i="6"/>
  <c r="JJ10" i="6"/>
  <c r="JI10" i="6"/>
  <c r="JH10" i="6"/>
  <c r="JK9" i="6"/>
  <c r="JJ9" i="6"/>
  <c r="JI9" i="6"/>
  <c r="JH9" i="6"/>
  <c r="JK7" i="6"/>
  <c r="JJ7" i="6"/>
  <c r="JL7" i="6" s="1"/>
  <c r="JI7" i="6"/>
  <c r="JH7" i="6"/>
  <c r="JK6" i="6"/>
  <c r="JJ6" i="6"/>
  <c r="JI6" i="6"/>
  <c r="JH6" i="6"/>
  <c r="JK4" i="6"/>
  <c r="JJ4" i="6"/>
  <c r="JL4" i="6" s="1"/>
  <c r="JI4" i="6"/>
  <c r="JH4" i="6"/>
  <c r="JK5" i="6"/>
  <c r="JJ5" i="6"/>
  <c r="JI5" i="6"/>
  <c r="JH5" i="6"/>
  <c r="IP14" i="6"/>
  <c r="IO14" i="6"/>
  <c r="IN14" i="6"/>
  <c r="IM14" i="6"/>
  <c r="IP12" i="6"/>
  <c r="IO12" i="6"/>
  <c r="IQ12" i="6" s="1"/>
  <c r="IN12" i="6"/>
  <c r="IM12" i="6"/>
  <c r="IP11" i="6"/>
  <c r="IO11" i="6"/>
  <c r="IN11" i="6"/>
  <c r="IM11" i="6"/>
  <c r="IP13" i="6"/>
  <c r="IO13" i="6"/>
  <c r="IN13" i="6"/>
  <c r="IM13" i="6"/>
  <c r="IP8" i="6"/>
  <c r="IO8" i="6"/>
  <c r="IN8" i="6"/>
  <c r="IM8" i="6"/>
  <c r="IP10" i="6"/>
  <c r="IO10" i="6"/>
  <c r="IN10" i="6"/>
  <c r="IM10" i="6"/>
  <c r="IP9" i="6"/>
  <c r="IO9" i="6"/>
  <c r="IN9" i="6"/>
  <c r="IM9" i="6"/>
  <c r="IP7" i="6"/>
  <c r="IO7" i="6"/>
  <c r="IQ7" i="6" s="1"/>
  <c r="IN7" i="6"/>
  <c r="IM7" i="6"/>
  <c r="IP6" i="6"/>
  <c r="IO6" i="6"/>
  <c r="IN6" i="6"/>
  <c r="IM6" i="6"/>
  <c r="IP4" i="6"/>
  <c r="IO4" i="6"/>
  <c r="IQ4" i="6" s="1"/>
  <c r="IN4" i="6"/>
  <c r="IM4" i="6"/>
  <c r="IP5" i="6"/>
  <c r="IO5" i="6"/>
  <c r="IN5" i="6"/>
  <c r="IM5" i="6"/>
  <c r="HU14" i="6"/>
  <c r="HT14" i="6"/>
  <c r="HS14" i="6"/>
  <c r="HR14" i="6"/>
  <c r="HU12" i="6"/>
  <c r="HT12" i="6"/>
  <c r="HV12" i="6" s="1"/>
  <c r="HS12" i="6"/>
  <c r="HR12" i="6"/>
  <c r="HU11" i="6"/>
  <c r="HT11" i="6"/>
  <c r="HS11" i="6"/>
  <c r="HR11" i="6"/>
  <c r="HU13" i="6"/>
  <c r="HT13" i="6"/>
  <c r="HS13" i="6"/>
  <c r="HR13" i="6"/>
  <c r="HU8" i="6"/>
  <c r="HT8" i="6"/>
  <c r="HS8" i="6"/>
  <c r="HR8" i="6"/>
  <c r="HU10" i="6"/>
  <c r="HT10" i="6"/>
  <c r="HS10" i="6"/>
  <c r="HR10" i="6"/>
  <c r="HU9" i="6"/>
  <c r="HT9" i="6"/>
  <c r="HS9" i="6"/>
  <c r="HR9" i="6"/>
  <c r="HU7" i="6"/>
  <c r="HT7" i="6"/>
  <c r="HS7" i="6"/>
  <c r="HR7" i="6"/>
  <c r="HU6" i="6"/>
  <c r="HT6" i="6"/>
  <c r="HS6" i="6"/>
  <c r="HR6" i="6"/>
  <c r="HU4" i="6"/>
  <c r="HT4" i="6"/>
  <c r="HS4" i="6"/>
  <c r="HR4" i="6"/>
  <c r="HU5" i="6"/>
  <c r="HT5" i="6"/>
  <c r="HS5" i="6"/>
  <c r="HR5" i="6"/>
  <c r="GZ14" i="6"/>
  <c r="GY14" i="6"/>
  <c r="GX14" i="6"/>
  <c r="GW14" i="6"/>
  <c r="GZ12" i="6"/>
  <c r="GY12" i="6"/>
  <c r="GX12" i="6"/>
  <c r="GW12" i="6"/>
  <c r="GZ11" i="6"/>
  <c r="GY11" i="6"/>
  <c r="GX11" i="6"/>
  <c r="GW11" i="6"/>
  <c r="GZ13" i="6"/>
  <c r="GY13" i="6"/>
  <c r="HA13" i="6" s="1"/>
  <c r="GX13" i="6"/>
  <c r="GW13" i="6"/>
  <c r="GZ8" i="6"/>
  <c r="GY8" i="6"/>
  <c r="GX8" i="6"/>
  <c r="GW8" i="6"/>
  <c r="GZ10" i="6"/>
  <c r="GY10" i="6"/>
  <c r="GX10" i="6"/>
  <c r="GW10" i="6"/>
  <c r="GZ9" i="6"/>
  <c r="GY9" i="6"/>
  <c r="GX9" i="6"/>
  <c r="GW9" i="6"/>
  <c r="GZ7" i="6"/>
  <c r="GY7" i="6"/>
  <c r="HA7" i="6" s="1"/>
  <c r="GX7" i="6"/>
  <c r="GW7" i="6"/>
  <c r="GZ6" i="6"/>
  <c r="GY6" i="6"/>
  <c r="GX6" i="6"/>
  <c r="GW6" i="6"/>
  <c r="GZ4" i="6"/>
  <c r="GY4" i="6"/>
  <c r="HA4" i="6" s="1"/>
  <c r="GX4" i="6"/>
  <c r="GW4" i="6"/>
  <c r="GZ5" i="6"/>
  <c r="GY5" i="6"/>
  <c r="GX5" i="6"/>
  <c r="GW5" i="6"/>
  <c r="GE14" i="6"/>
  <c r="GD14" i="6"/>
  <c r="GC14" i="6"/>
  <c r="GB14" i="6"/>
  <c r="GE12" i="6"/>
  <c r="GD12" i="6"/>
  <c r="GC12" i="6"/>
  <c r="GB12" i="6"/>
  <c r="GE11" i="6"/>
  <c r="GD11" i="6"/>
  <c r="GC11" i="6"/>
  <c r="GB11" i="6"/>
  <c r="GE13" i="6"/>
  <c r="GD13" i="6"/>
  <c r="GF13" i="6" s="1"/>
  <c r="GC13" i="6"/>
  <c r="GB13" i="6"/>
  <c r="GE8" i="6"/>
  <c r="GD8" i="6"/>
  <c r="GC8" i="6"/>
  <c r="GB8" i="6"/>
  <c r="GE10" i="6"/>
  <c r="GD10" i="6"/>
  <c r="GC10" i="6"/>
  <c r="GB10" i="6"/>
  <c r="GE9" i="6"/>
  <c r="GD9" i="6"/>
  <c r="GC9" i="6"/>
  <c r="GB9" i="6"/>
  <c r="GE7" i="6"/>
  <c r="GD7" i="6"/>
  <c r="GF7" i="6" s="1"/>
  <c r="GC7" i="6"/>
  <c r="GB7" i="6"/>
  <c r="GE6" i="6"/>
  <c r="GD6" i="6"/>
  <c r="GC6" i="6"/>
  <c r="GB6" i="6"/>
  <c r="GE4" i="6"/>
  <c r="GD4" i="6"/>
  <c r="GF4" i="6" s="1"/>
  <c r="GC4" i="6"/>
  <c r="GB4" i="6"/>
  <c r="GE5" i="6"/>
  <c r="GD5" i="6"/>
  <c r="GC5" i="6"/>
  <c r="GB5" i="6"/>
  <c r="FJ14" i="6"/>
  <c r="FI14" i="6"/>
  <c r="FH14" i="6"/>
  <c r="FG14" i="6"/>
  <c r="FJ12" i="6"/>
  <c r="FI12" i="6"/>
  <c r="FK12" i="6" s="1"/>
  <c r="FH12" i="6"/>
  <c r="FG12" i="6"/>
  <c r="FJ11" i="6"/>
  <c r="FI11" i="6"/>
  <c r="FH11" i="6"/>
  <c r="FG11" i="6"/>
  <c r="FJ13" i="6"/>
  <c r="FI13" i="6"/>
  <c r="FH13" i="6"/>
  <c r="FG13" i="6"/>
  <c r="FJ8" i="6"/>
  <c r="FI8" i="6"/>
  <c r="FH8" i="6"/>
  <c r="FG8" i="6"/>
  <c r="FJ10" i="6"/>
  <c r="FI10" i="6"/>
  <c r="FH10" i="6"/>
  <c r="FG10" i="6"/>
  <c r="FJ9" i="6"/>
  <c r="FI9" i="6"/>
  <c r="FH9" i="6"/>
  <c r="FG9" i="6"/>
  <c r="FJ7" i="6"/>
  <c r="FI7" i="6"/>
  <c r="FK7" i="6" s="1"/>
  <c r="FH7" i="6"/>
  <c r="FG7" i="6"/>
  <c r="FJ6" i="6"/>
  <c r="FI6" i="6"/>
  <c r="FH6" i="6"/>
  <c r="FG6" i="6"/>
  <c r="FJ4" i="6"/>
  <c r="FI4" i="6"/>
  <c r="FH4" i="6"/>
  <c r="FG4" i="6"/>
  <c r="FJ5" i="6"/>
  <c r="FI5" i="6"/>
  <c r="FH5" i="6"/>
  <c r="FG5" i="6"/>
  <c r="EO14" i="6"/>
  <c r="EN14" i="6"/>
  <c r="EM14" i="6"/>
  <c r="EL14" i="6"/>
  <c r="EO12" i="6"/>
  <c r="EN12" i="6"/>
  <c r="EP12" i="6" s="1"/>
  <c r="EM12" i="6"/>
  <c r="EL12" i="6"/>
  <c r="EO11" i="6"/>
  <c r="EN11" i="6"/>
  <c r="EM11" i="6"/>
  <c r="EL11" i="6"/>
  <c r="EO13" i="6"/>
  <c r="EN13" i="6"/>
  <c r="EM13" i="6"/>
  <c r="EL13" i="6"/>
  <c r="EO8" i="6"/>
  <c r="EN8" i="6"/>
  <c r="EM8" i="6"/>
  <c r="EL8" i="6"/>
  <c r="EO10" i="6"/>
  <c r="EN10" i="6"/>
  <c r="EM10" i="6"/>
  <c r="EL10" i="6"/>
  <c r="EO9" i="6"/>
  <c r="EN9" i="6"/>
  <c r="EM9" i="6"/>
  <c r="EL9" i="6"/>
  <c r="EO7" i="6"/>
  <c r="EN7" i="6"/>
  <c r="EM7" i="6"/>
  <c r="EL7" i="6"/>
  <c r="EO6" i="6"/>
  <c r="EN6" i="6"/>
  <c r="EM6" i="6"/>
  <c r="EL6" i="6"/>
  <c r="EO4" i="6"/>
  <c r="EN4" i="6"/>
  <c r="EM4" i="6"/>
  <c r="EL4" i="6"/>
  <c r="EO5" i="6"/>
  <c r="EN5" i="6"/>
  <c r="EM5" i="6"/>
  <c r="EL5" i="6"/>
  <c r="DT14" i="6"/>
  <c r="DS14" i="6"/>
  <c r="DR14" i="6"/>
  <c r="DQ14" i="6"/>
  <c r="DT12" i="6"/>
  <c r="DS12" i="6"/>
  <c r="DR12" i="6"/>
  <c r="DQ12" i="6"/>
  <c r="DT11" i="6"/>
  <c r="DS11" i="6"/>
  <c r="DR11" i="6"/>
  <c r="DQ11" i="6"/>
  <c r="DT13" i="6"/>
  <c r="DS13" i="6"/>
  <c r="DU13" i="6" s="1"/>
  <c r="DR13" i="6"/>
  <c r="DQ13" i="6"/>
  <c r="DT8" i="6"/>
  <c r="DS8" i="6"/>
  <c r="DR8" i="6"/>
  <c r="DQ8" i="6"/>
  <c r="DT10" i="6"/>
  <c r="DS10" i="6"/>
  <c r="DR10" i="6"/>
  <c r="DQ10" i="6"/>
  <c r="DT9" i="6"/>
  <c r="DS9" i="6"/>
  <c r="DR9" i="6"/>
  <c r="DQ9" i="6"/>
  <c r="DT7" i="6"/>
  <c r="DS7" i="6"/>
  <c r="DU7" i="6" s="1"/>
  <c r="DR7" i="6"/>
  <c r="DQ7" i="6"/>
  <c r="DT6" i="6"/>
  <c r="DS6" i="6"/>
  <c r="DR6" i="6"/>
  <c r="DQ6" i="6"/>
  <c r="DT4" i="6"/>
  <c r="DS4" i="6"/>
  <c r="DR4" i="6"/>
  <c r="DQ4" i="6"/>
  <c r="DT5" i="6"/>
  <c r="DS5" i="6"/>
  <c r="DR5" i="6"/>
  <c r="DQ5" i="6"/>
  <c r="CY14" i="6"/>
  <c r="CX14" i="6"/>
  <c r="CW14" i="6"/>
  <c r="CV14" i="6"/>
  <c r="CY12" i="6"/>
  <c r="CX12" i="6"/>
  <c r="CZ12" i="6" s="1"/>
  <c r="CW12" i="6"/>
  <c r="CV12" i="6"/>
  <c r="CY11" i="6"/>
  <c r="CX11" i="6"/>
  <c r="CW11" i="6"/>
  <c r="CV11" i="6"/>
  <c r="CY13" i="6"/>
  <c r="CX13" i="6"/>
  <c r="CW13" i="6"/>
  <c r="CV13" i="6"/>
  <c r="CY8" i="6"/>
  <c r="CX8" i="6"/>
  <c r="CW8" i="6"/>
  <c r="CV8" i="6"/>
  <c r="CY10" i="6"/>
  <c r="CX10" i="6"/>
  <c r="CW10" i="6"/>
  <c r="CV10" i="6"/>
  <c r="CY9" i="6"/>
  <c r="CX9" i="6"/>
  <c r="CW9" i="6"/>
  <c r="CV9" i="6"/>
  <c r="CY7" i="6"/>
  <c r="CX7" i="6"/>
  <c r="CW7" i="6"/>
  <c r="CV7" i="6"/>
  <c r="CY6" i="6"/>
  <c r="CX6" i="6"/>
  <c r="CW6" i="6"/>
  <c r="CV6" i="6"/>
  <c r="CY4" i="6"/>
  <c r="CX4" i="6"/>
  <c r="CW4" i="6"/>
  <c r="CV4" i="6"/>
  <c r="CY5" i="6"/>
  <c r="CX5" i="6"/>
  <c r="CW5" i="6"/>
  <c r="CV5" i="6"/>
  <c r="CD14" i="6"/>
  <c r="CC14" i="6"/>
  <c r="CB14" i="6"/>
  <c r="CA14" i="6"/>
  <c r="CD12" i="6"/>
  <c r="CC12" i="6"/>
  <c r="CB12" i="6"/>
  <c r="CA12" i="6"/>
  <c r="CD11" i="6"/>
  <c r="CC11" i="6"/>
  <c r="CB11" i="6"/>
  <c r="CA11" i="6"/>
  <c r="CD13" i="6"/>
  <c r="CC13" i="6"/>
  <c r="CE13" i="6" s="1"/>
  <c r="CB13" i="6"/>
  <c r="CA13" i="6"/>
  <c r="CD8" i="6"/>
  <c r="CC8" i="6"/>
  <c r="CB8" i="6"/>
  <c r="CA8" i="6"/>
  <c r="CD10" i="6"/>
  <c r="CC10" i="6"/>
  <c r="CB10" i="6"/>
  <c r="CA10" i="6"/>
  <c r="CD9" i="6"/>
  <c r="CC9" i="6"/>
  <c r="CB9" i="6"/>
  <c r="CA9" i="6"/>
  <c r="CD7" i="6"/>
  <c r="CC7" i="6"/>
  <c r="CE7" i="6" s="1"/>
  <c r="CB7" i="6"/>
  <c r="CA7" i="6"/>
  <c r="CD6" i="6"/>
  <c r="CC6" i="6"/>
  <c r="CB6" i="6"/>
  <c r="CA6" i="6"/>
  <c r="CD4" i="6"/>
  <c r="CC4" i="6"/>
  <c r="CE4" i="6" s="1"/>
  <c r="CB4" i="6"/>
  <c r="CA4" i="6"/>
  <c r="CD5" i="6"/>
  <c r="CC5" i="6"/>
  <c r="CB5" i="6"/>
  <c r="CA5" i="6"/>
  <c r="JS5" i="8"/>
  <c r="JR5" i="8"/>
  <c r="JQ5" i="8"/>
  <c r="JS4" i="8"/>
  <c r="JR4" i="8"/>
  <c r="JQ4" i="8"/>
  <c r="IY5" i="8"/>
  <c r="IX5" i="8"/>
  <c r="IW5" i="8"/>
  <c r="IY4" i="8"/>
  <c r="IX4" i="8"/>
  <c r="IW4" i="8"/>
  <c r="IE5" i="8"/>
  <c r="ID5" i="8"/>
  <c r="IC5" i="8"/>
  <c r="IE4" i="8"/>
  <c r="ID4" i="8"/>
  <c r="IC4" i="8"/>
  <c r="HK5" i="8"/>
  <c r="HJ5" i="8"/>
  <c r="HI5" i="8"/>
  <c r="HK4" i="8"/>
  <c r="HJ4" i="8"/>
  <c r="HI4" i="8"/>
  <c r="GQ5" i="8"/>
  <c r="GP5" i="8"/>
  <c r="GO5" i="8"/>
  <c r="GQ4" i="8"/>
  <c r="GP4" i="8"/>
  <c r="GO4" i="8"/>
  <c r="FW5" i="8"/>
  <c r="FV5" i="8"/>
  <c r="FU5" i="8"/>
  <c r="FW4" i="8"/>
  <c r="FV4" i="8"/>
  <c r="FU4" i="8"/>
  <c r="FC5" i="8"/>
  <c r="FB5" i="8"/>
  <c r="FA5" i="8"/>
  <c r="FC4" i="8"/>
  <c r="FB4" i="8"/>
  <c r="FA4" i="8"/>
  <c r="EI5" i="8"/>
  <c r="EH5" i="8"/>
  <c r="EG5" i="8"/>
  <c r="EI4" i="8"/>
  <c r="EH4" i="8"/>
  <c r="EG4" i="8"/>
  <c r="DO5" i="8"/>
  <c r="DN5" i="8"/>
  <c r="DM5" i="8"/>
  <c r="DO4" i="8"/>
  <c r="DN4" i="8"/>
  <c r="DM4" i="8"/>
  <c r="CU5" i="8"/>
  <c r="CT5" i="8"/>
  <c r="CS5" i="8"/>
  <c r="CU4" i="8"/>
  <c r="CT4" i="8"/>
  <c r="CV4" i="8" s="1"/>
  <c r="CS4" i="8"/>
  <c r="CA5" i="8"/>
  <c r="BZ5" i="8"/>
  <c r="BY5" i="8"/>
  <c r="CA4" i="8"/>
  <c r="BZ4" i="8"/>
  <c r="BY4" i="8"/>
  <c r="JS8" i="7"/>
  <c r="JR8" i="7"/>
  <c r="JQ8" i="7"/>
  <c r="JS7" i="7"/>
  <c r="JR7" i="7"/>
  <c r="JT7" i="7" s="1"/>
  <c r="JQ7" i="7"/>
  <c r="JS6" i="7"/>
  <c r="JR6" i="7"/>
  <c r="JQ6" i="7"/>
  <c r="JS5" i="7"/>
  <c r="JR5" i="7"/>
  <c r="JQ5" i="7"/>
  <c r="JS4" i="7"/>
  <c r="JR4" i="7"/>
  <c r="JQ4" i="7"/>
  <c r="IY8" i="7"/>
  <c r="IX8" i="7"/>
  <c r="IW8" i="7"/>
  <c r="IY7" i="7"/>
  <c r="IX7" i="7"/>
  <c r="IW7" i="7"/>
  <c r="IY6" i="7"/>
  <c r="IX6" i="7"/>
  <c r="IW6" i="7"/>
  <c r="IY5" i="7"/>
  <c r="IX5" i="7"/>
  <c r="IW5" i="7"/>
  <c r="IY4" i="7"/>
  <c r="IX4" i="7"/>
  <c r="IW4" i="7"/>
  <c r="IE8" i="7"/>
  <c r="ID8" i="7"/>
  <c r="IC8" i="7"/>
  <c r="IE7" i="7"/>
  <c r="ID7" i="7"/>
  <c r="IC7" i="7"/>
  <c r="IE6" i="7"/>
  <c r="ID6" i="7"/>
  <c r="IC6" i="7"/>
  <c r="IE5" i="7"/>
  <c r="ID5" i="7"/>
  <c r="IC5" i="7"/>
  <c r="IE4" i="7"/>
  <c r="ID4" i="7"/>
  <c r="IC4" i="7"/>
  <c r="HK8" i="7"/>
  <c r="HJ8" i="7"/>
  <c r="HI8" i="7"/>
  <c r="HK7" i="7"/>
  <c r="HJ7" i="7"/>
  <c r="HI7" i="7"/>
  <c r="HK6" i="7"/>
  <c r="HJ6" i="7"/>
  <c r="HI6" i="7"/>
  <c r="HK5" i="7"/>
  <c r="HJ5" i="7"/>
  <c r="HI5" i="7"/>
  <c r="HK4" i="7"/>
  <c r="HJ4" i="7"/>
  <c r="HI4" i="7"/>
  <c r="GQ8" i="7"/>
  <c r="GP8" i="7"/>
  <c r="GO8" i="7"/>
  <c r="GQ7" i="7"/>
  <c r="GP7" i="7"/>
  <c r="GO7" i="7"/>
  <c r="GQ6" i="7"/>
  <c r="GP6" i="7"/>
  <c r="GO6" i="7"/>
  <c r="GQ5" i="7"/>
  <c r="GP5" i="7"/>
  <c r="GO5" i="7"/>
  <c r="GQ4" i="7"/>
  <c r="GP4" i="7"/>
  <c r="GO4" i="7"/>
  <c r="FW8" i="7"/>
  <c r="FV8" i="7"/>
  <c r="FU8" i="7"/>
  <c r="FW7" i="7"/>
  <c r="FV7" i="7"/>
  <c r="FU7" i="7"/>
  <c r="FW6" i="7"/>
  <c r="FV6" i="7"/>
  <c r="FU6" i="7"/>
  <c r="FW5" i="7"/>
  <c r="FV5" i="7"/>
  <c r="FU5" i="7"/>
  <c r="FW4" i="7"/>
  <c r="FV4" i="7"/>
  <c r="FU4" i="7"/>
  <c r="FC8" i="7"/>
  <c r="FB8" i="7"/>
  <c r="FA8" i="7"/>
  <c r="FC7" i="7"/>
  <c r="FB7" i="7"/>
  <c r="FA7" i="7"/>
  <c r="FC6" i="7"/>
  <c r="FB6" i="7"/>
  <c r="FA6" i="7"/>
  <c r="FC5" i="7"/>
  <c r="FB5" i="7"/>
  <c r="FA5" i="7"/>
  <c r="FC4" i="7"/>
  <c r="FB4" i="7"/>
  <c r="FA4" i="7"/>
  <c r="EI8" i="7"/>
  <c r="EH8" i="7"/>
  <c r="EG8" i="7"/>
  <c r="EI7" i="7"/>
  <c r="EH7" i="7"/>
  <c r="EG7" i="7"/>
  <c r="EI6" i="7"/>
  <c r="EH6" i="7"/>
  <c r="EG6" i="7"/>
  <c r="EI5" i="7"/>
  <c r="EH5" i="7"/>
  <c r="EG5" i="7"/>
  <c r="EI4" i="7"/>
  <c r="EH4" i="7"/>
  <c r="EG4" i="7"/>
  <c r="DO8" i="7"/>
  <c r="DN8" i="7"/>
  <c r="DM8" i="7"/>
  <c r="DO7" i="7"/>
  <c r="DN7" i="7"/>
  <c r="DM7" i="7"/>
  <c r="DO6" i="7"/>
  <c r="DN6" i="7"/>
  <c r="DM6" i="7"/>
  <c r="DO5" i="7"/>
  <c r="DN5" i="7"/>
  <c r="DM5" i="7"/>
  <c r="DO4" i="7"/>
  <c r="DN4" i="7"/>
  <c r="DM4" i="7"/>
  <c r="CU8" i="7"/>
  <c r="CT8" i="7"/>
  <c r="CS8" i="7"/>
  <c r="CU7" i="7"/>
  <c r="CT7" i="7"/>
  <c r="CS7" i="7"/>
  <c r="CU6" i="7"/>
  <c r="CT6" i="7"/>
  <c r="CS6" i="7"/>
  <c r="CU5" i="7"/>
  <c r="CT5" i="7"/>
  <c r="CS5" i="7"/>
  <c r="CU4" i="7"/>
  <c r="CT4" i="7"/>
  <c r="CV4" i="7" s="1"/>
  <c r="CS4" i="7"/>
  <c r="CA8" i="7"/>
  <c r="BZ8" i="7"/>
  <c r="BY8" i="7"/>
  <c r="CA7" i="7"/>
  <c r="BZ7" i="7"/>
  <c r="BY7" i="7"/>
  <c r="CA6" i="7"/>
  <c r="BZ6" i="7"/>
  <c r="BY6" i="7"/>
  <c r="CA5" i="7"/>
  <c r="BZ5" i="7"/>
  <c r="BY5" i="7"/>
  <c r="CA4" i="7"/>
  <c r="BZ4" i="7"/>
  <c r="BY4" i="7"/>
  <c r="KY13" i="10"/>
  <c r="KX13" i="10"/>
  <c r="KV13" i="10"/>
  <c r="KU13" i="10"/>
  <c r="KT13" i="10"/>
  <c r="KY12" i="10"/>
  <c r="KX12" i="10"/>
  <c r="KV12" i="10"/>
  <c r="KU12" i="10"/>
  <c r="KT12" i="10"/>
  <c r="KY11" i="10"/>
  <c r="KX11" i="10"/>
  <c r="KV11" i="10"/>
  <c r="KU11" i="10"/>
  <c r="KT11" i="10"/>
  <c r="KY10" i="10"/>
  <c r="KX10" i="10"/>
  <c r="KV10" i="10"/>
  <c r="KU10" i="10"/>
  <c r="KT10" i="10"/>
  <c r="KY9" i="10"/>
  <c r="KX9" i="10"/>
  <c r="KV9" i="10"/>
  <c r="KU9" i="10"/>
  <c r="KT9" i="10"/>
  <c r="KY4" i="10"/>
  <c r="KX4" i="10"/>
  <c r="KV4" i="10"/>
  <c r="KU4" i="10"/>
  <c r="KT4" i="10"/>
  <c r="KY8" i="10"/>
  <c r="KX8" i="10"/>
  <c r="KV8" i="10"/>
  <c r="KU8" i="10"/>
  <c r="KT8" i="10"/>
  <c r="KY7" i="10"/>
  <c r="KX7" i="10"/>
  <c r="KV7" i="10"/>
  <c r="KU7" i="10"/>
  <c r="KT7" i="10"/>
  <c r="KY6" i="10"/>
  <c r="KX6" i="10"/>
  <c r="KV6" i="10"/>
  <c r="KU6" i="10"/>
  <c r="KT6" i="10"/>
  <c r="KY5" i="10"/>
  <c r="KX5" i="10"/>
  <c r="KV5" i="10"/>
  <c r="KU5" i="10"/>
  <c r="KT5" i="10"/>
  <c r="KC13" i="10"/>
  <c r="KB13" i="10"/>
  <c r="JZ13" i="10"/>
  <c r="JY13" i="10"/>
  <c r="JX13" i="10"/>
  <c r="KC12" i="10"/>
  <c r="KB12" i="10"/>
  <c r="JZ12" i="10"/>
  <c r="JY12" i="10"/>
  <c r="JX12" i="10"/>
  <c r="KC11" i="10"/>
  <c r="KB11" i="10"/>
  <c r="JZ11" i="10"/>
  <c r="JY11" i="10"/>
  <c r="JX11" i="10"/>
  <c r="KC10" i="10"/>
  <c r="KB10" i="10"/>
  <c r="JZ10" i="10"/>
  <c r="JY10" i="10"/>
  <c r="JX10" i="10"/>
  <c r="KC9" i="10"/>
  <c r="KB9" i="10"/>
  <c r="JZ9" i="10"/>
  <c r="JY9" i="10"/>
  <c r="JX9" i="10"/>
  <c r="KC4" i="10"/>
  <c r="KB4" i="10"/>
  <c r="JZ4" i="10"/>
  <c r="JY4" i="10"/>
  <c r="JX4" i="10"/>
  <c r="KC8" i="10"/>
  <c r="KB8" i="10"/>
  <c r="JZ8" i="10"/>
  <c r="JY8" i="10"/>
  <c r="JX8" i="10"/>
  <c r="KC7" i="10"/>
  <c r="KB7" i="10"/>
  <c r="JZ7" i="10"/>
  <c r="JY7" i="10"/>
  <c r="JX7" i="10"/>
  <c r="KC6" i="10"/>
  <c r="KB6" i="10"/>
  <c r="JZ6" i="10"/>
  <c r="JY6" i="10"/>
  <c r="JX6" i="10"/>
  <c r="KC5" i="10"/>
  <c r="KB5" i="10"/>
  <c r="JZ5" i="10"/>
  <c r="JY5" i="10"/>
  <c r="JX5" i="10"/>
  <c r="JG13" i="10"/>
  <c r="JF13" i="10"/>
  <c r="JD13" i="10"/>
  <c r="JC13" i="10"/>
  <c r="JB13" i="10"/>
  <c r="JG12" i="10"/>
  <c r="JF12" i="10"/>
  <c r="JD12" i="10"/>
  <c r="JC12" i="10"/>
  <c r="JB12" i="10"/>
  <c r="JG11" i="10"/>
  <c r="JF11" i="10"/>
  <c r="JD11" i="10"/>
  <c r="JC11" i="10"/>
  <c r="JB11" i="10"/>
  <c r="JG10" i="10"/>
  <c r="JF10" i="10"/>
  <c r="JD10" i="10"/>
  <c r="JC10" i="10"/>
  <c r="JB10" i="10"/>
  <c r="JG9" i="10"/>
  <c r="JF9" i="10"/>
  <c r="JD9" i="10"/>
  <c r="JC9" i="10"/>
  <c r="JB9" i="10"/>
  <c r="JG4" i="10"/>
  <c r="JF4" i="10"/>
  <c r="JD4" i="10"/>
  <c r="JC4" i="10"/>
  <c r="JB4" i="10"/>
  <c r="JG8" i="10"/>
  <c r="JF8" i="10"/>
  <c r="JD8" i="10"/>
  <c r="JC8" i="10"/>
  <c r="JB8" i="10"/>
  <c r="JG7" i="10"/>
  <c r="JF7" i="10"/>
  <c r="JD7" i="10"/>
  <c r="JC7" i="10"/>
  <c r="JB7" i="10"/>
  <c r="JG6" i="10"/>
  <c r="JF6" i="10"/>
  <c r="JD6" i="10"/>
  <c r="JC6" i="10"/>
  <c r="JB6" i="10"/>
  <c r="JG5" i="10"/>
  <c r="JF5" i="10"/>
  <c r="JD5" i="10"/>
  <c r="JC5" i="10"/>
  <c r="JB5" i="10"/>
  <c r="IK13" i="10"/>
  <c r="IJ13" i="10"/>
  <c r="IH13" i="10"/>
  <c r="IG13" i="10"/>
  <c r="IF13" i="10"/>
  <c r="IK12" i="10"/>
  <c r="IJ12" i="10"/>
  <c r="IH12" i="10"/>
  <c r="IG12" i="10"/>
  <c r="IF12" i="10"/>
  <c r="IK11" i="10"/>
  <c r="IJ11" i="10"/>
  <c r="IH11" i="10"/>
  <c r="IG11" i="10"/>
  <c r="IF11" i="10"/>
  <c r="IK10" i="10"/>
  <c r="IJ10" i="10"/>
  <c r="IH10" i="10"/>
  <c r="IG10" i="10"/>
  <c r="IF10" i="10"/>
  <c r="IK9" i="10"/>
  <c r="IJ9" i="10"/>
  <c r="IH9" i="10"/>
  <c r="IG9" i="10"/>
  <c r="IF9" i="10"/>
  <c r="IK4" i="10"/>
  <c r="IJ4" i="10"/>
  <c r="IH4" i="10"/>
  <c r="IG4" i="10"/>
  <c r="IF4" i="10"/>
  <c r="IK8" i="10"/>
  <c r="IJ8" i="10"/>
  <c r="IH8" i="10"/>
  <c r="IG8" i="10"/>
  <c r="IF8" i="10"/>
  <c r="IK7" i="10"/>
  <c r="IJ7" i="10"/>
  <c r="IH7" i="10"/>
  <c r="IG7" i="10"/>
  <c r="IF7" i="10"/>
  <c r="IK6" i="10"/>
  <c r="IJ6" i="10"/>
  <c r="IH6" i="10"/>
  <c r="IG6" i="10"/>
  <c r="IF6" i="10"/>
  <c r="IK5" i="10"/>
  <c r="IJ5" i="10"/>
  <c r="IH5" i="10"/>
  <c r="IG5" i="10"/>
  <c r="IF5" i="10"/>
  <c r="HO13" i="10"/>
  <c r="HN13" i="10"/>
  <c r="HL13" i="10"/>
  <c r="HK13" i="10"/>
  <c r="HJ13" i="10"/>
  <c r="HO12" i="10"/>
  <c r="HN12" i="10"/>
  <c r="HL12" i="10"/>
  <c r="HK12" i="10"/>
  <c r="HJ12" i="10"/>
  <c r="HO11" i="10"/>
  <c r="HN11" i="10"/>
  <c r="HL11" i="10"/>
  <c r="HK11" i="10"/>
  <c r="HJ11" i="10"/>
  <c r="HO10" i="10"/>
  <c r="HN10" i="10"/>
  <c r="HL10" i="10"/>
  <c r="HK10" i="10"/>
  <c r="HM10" i="10" s="1"/>
  <c r="HJ10" i="10"/>
  <c r="HO9" i="10"/>
  <c r="HN9" i="10"/>
  <c r="HL9" i="10"/>
  <c r="HK9" i="10"/>
  <c r="HJ9" i="10"/>
  <c r="HO4" i="10"/>
  <c r="HN4" i="10"/>
  <c r="HL4" i="10"/>
  <c r="HK4" i="10"/>
  <c r="HJ4" i="10"/>
  <c r="HO8" i="10"/>
  <c r="HN8" i="10"/>
  <c r="HL8" i="10"/>
  <c r="HK8" i="10"/>
  <c r="HJ8" i="10"/>
  <c r="HO7" i="10"/>
  <c r="HN7" i="10"/>
  <c r="HL7" i="10"/>
  <c r="HK7" i="10"/>
  <c r="HJ7" i="10"/>
  <c r="HO6" i="10"/>
  <c r="HN6" i="10"/>
  <c r="HL6" i="10"/>
  <c r="HK6" i="10"/>
  <c r="HJ6" i="10"/>
  <c r="HO5" i="10"/>
  <c r="HN5" i="10"/>
  <c r="HL5" i="10"/>
  <c r="HK5" i="10"/>
  <c r="HJ5" i="10"/>
  <c r="GS13" i="10"/>
  <c r="GR13" i="10"/>
  <c r="GP13" i="10"/>
  <c r="GO13" i="10"/>
  <c r="GN13" i="10"/>
  <c r="GS12" i="10"/>
  <c r="GR12" i="10"/>
  <c r="GP12" i="10"/>
  <c r="GO12" i="10"/>
  <c r="GN12" i="10"/>
  <c r="GS11" i="10"/>
  <c r="GR11" i="10"/>
  <c r="GP11" i="10"/>
  <c r="GO11" i="10"/>
  <c r="GN11" i="10"/>
  <c r="GS10" i="10"/>
  <c r="GR10" i="10"/>
  <c r="GP10" i="10"/>
  <c r="GO10" i="10"/>
  <c r="GN10" i="10"/>
  <c r="GS9" i="10"/>
  <c r="GR9" i="10"/>
  <c r="GP9" i="10"/>
  <c r="GO9" i="10"/>
  <c r="GN9" i="10"/>
  <c r="GS4" i="10"/>
  <c r="GR4" i="10"/>
  <c r="GP4" i="10"/>
  <c r="GO4" i="10"/>
  <c r="GN4" i="10"/>
  <c r="GS8" i="10"/>
  <c r="GR8" i="10"/>
  <c r="GP8" i="10"/>
  <c r="GO8" i="10"/>
  <c r="GN8" i="10"/>
  <c r="GS7" i="10"/>
  <c r="GR7" i="10"/>
  <c r="GP7" i="10"/>
  <c r="GO7" i="10"/>
  <c r="GN7" i="10"/>
  <c r="GS6" i="10"/>
  <c r="GR6" i="10"/>
  <c r="GP6" i="10"/>
  <c r="GO6" i="10"/>
  <c r="GN6" i="10"/>
  <c r="GS5" i="10"/>
  <c r="GR5" i="10"/>
  <c r="GP5" i="10"/>
  <c r="GO5" i="10"/>
  <c r="GN5" i="10"/>
  <c r="FW13" i="10"/>
  <c r="FV13" i="10"/>
  <c r="FT13" i="10"/>
  <c r="FS13" i="10"/>
  <c r="FR13" i="10"/>
  <c r="FW12" i="10"/>
  <c r="FV12" i="10"/>
  <c r="FT12" i="10"/>
  <c r="FS12" i="10"/>
  <c r="FR12" i="10"/>
  <c r="FW11" i="10"/>
  <c r="FV11" i="10"/>
  <c r="FT11" i="10"/>
  <c r="FS11" i="10"/>
  <c r="FR11" i="10"/>
  <c r="FW10" i="10"/>
  <c r="FV10" i="10"/>
  <c r="FT10" i="10"/>
  <c r="FS10" i="10"/>
  <c r="FR10" i="10"/>
  <c r="FW9" i="10"/>
  <c r="FV9" i="10"/>
  <c r="FT9" i="10"/>
  <c r="FS9" i="10"/>
  <c r="FR9" i="10"/>
  <c r="FW4" i="10"/>
  <c r="FV4" i="10"/>
  <c r="FT4" i="10"/>
  <c r="FS4" i="10"/>
  <c r="FR4" i="10"/>
  <c r="FW8" i="10"/>
  <c r="FV8" i="10"/>
  <c r="FT8" i="10"/>
  <c r="FS8" i="10"/>
  <c r="FR8" i="10"/>
  <c r="FW7" i="10"/>
  <c r="FV7" i="10"/>
  <c r="FT7" i="10"/>
  <c r="FS7" i="10"/>
  <c r="FR7" i="10"/>
  <c r="FW6" i="10"/>
  <c r="FV6" i="10"/>
  <c r="FT6" i="10"/>
  <c r="FS6" i="10"/>
  <c r="FR6" i="10"/>
  <c r="FW5" i="10"/>
  <c r="FV5" i="10"/>
  <c r="FT5" i="10"/>
  <c r="FS5" i="10"/>
  <c r="FR5" i="10"/>
  <c r="FA13" i="10"/>
  <c r="EZ13" i="10"/>
  <c r="EX13" i="10"/>
  <c r="EW13" i="10"/>
  <c r="EV13" i="10"/>
  <c r="FA12" i="10"/>
  <c r="EZ12" i="10"/>
  <c r="EX12" i="10"/>
  <c r="EW12" i="10"/>
  <c r="EV12" i="10"/>
  <c r="FA11" i="10"/>
  <c r="EZ11" i="10"/>
  <c r="EX11" i="10"/>
  <c r="EW11" i="10"/>
  <c r="EV11" i="10"/>
  <c r="FA10" i="10"/>
  <c r="EZ10" i="10"/>
  <c r="EX10" i="10"/>
  <c r="EW10" i="10"/>
  <c r="EV10" i="10"/>
  <c r="FA9" i="10"/>
  <c r="EZ9" i="10"/>
  <c r="EX9" i="10"/>
  <c r="EW9" i="10"/>
  <c r="EV9" i="10"/>
  <c r="FA4" i="10"/>
  <c r="EZ4" i="10"/>
  <c r="EX4" i="10"/>
  <c r="EW4" i="10"/>
  <c r="EV4" i="10"/>
  <c r="FA8" i="10"/>
  <c r="EZ8" i="10"/>
  <c r="EX8" i="10"/>
  <c r="EW8" i="10"/>
  <c r="EV8" i="10"/>
  <c r="FA7" i="10"/>
  <c r="EZ7" i="10"/>
  <c r="EX7" i="10"/>
  <c r="EW7" i="10"/>
  <c r="EV7" i="10"/>
  <c r="FA6" i="10"/>
  <c r="EZ6" i="10"/>
  <c r="EX6" i="10"/>
  <c r="EW6" i="10"/>
  <c r="EV6" i="10"/>
  <c r="FA5" i="10"/>
  <c r="EZ5" i="10"/>
  <c r="EX5" i="10"/>
  <c r="EW5" i="10"/>
  <c r="EV5" i="10"/>
  <c r="EE13" i="10"/>
  <c r="ED13" i="10"/>
  <c r="EB13" i="10"/>
  <c r="EA13" i="10"/>
  <c r="DZ13" i="10"/>
  <c r="EE12" i="10"/>
  <c r="ED12" i="10"/>
  <c r="EB12" i="10"/>
  <c r="EA12" i="10"/>
  <c r="DZ12" i="10"/>
  <c r="EE11" i="10"/>
  <c r="ED11" i="10"/>
  <c r="EB11" i="10"/>
  <c r="EA11" i="10"/>
  <c r="DZ11" i="10"/>
  <c r="EE10" i="10"/>
  <c r="ED10" i="10"/>
  <c r="EB10" i="10"/>
  <c r="EA10" i="10"/>
  <c r="DZ10" i="10"/>
  <c r="EE9" i="10"/>
  <c r="ED9" i="10"/>
  <c r="EB9" i="10"/>
  <c r="EA9" i="10"/>
  <c r="DZ9" i="10"/>
  <c r="EE4" i="10"/>
  <c r="ED4" i="10"/>
  <c r="EB4" i="10"/>
  <c r="EA4" i="10"/>
  <c r="DZ4" i="10"/>
  <c r="EE8" i="10"/>
  <c r="ED8" i="10"/>
  <c r="EB8" i="10"/>
  <c r="EA8" i="10"/>
  <c r="DZ8" i="10"/>
  <c r="EE7" i="10"/>
  <c r="ED7" i="10"/>
  <c r="EB7" i="10"/>
  <c r="EA7" i="10"/>
  <c r="DZ7" i="10"/>
  <c r="EE6" i="10"/>
  <c r="ED6" i="10"/>
  <c r="EB6" i="10"/>
  <c r="EA6" i="10"/>
  <c r="DZ6" i="10"/>
  <c r="EE5" i="10"/>
  <c r="ED5" i="10"/>
  <c r="EB5" i="10"/>
  <c r="EA5" i="10"/>
  <c r="DZ5" i="10"/>
  <c r="DI13" i="10"/>
  <c r="DH13" i="10"/>
  <c r="DF13" i="10"/>
  <c r="DE13" i="10"/>
  <c r="DD13" i="10"/>
  <c r="DI12" i="10"/>
  <c r="DH12" i="10"/>
  <c r="DF12" i="10"/>
  <c r="DE12" i="10"/>
  <c r="DD12" i="10"/>
  <c r="DI11" i="10"/>
  <c r="DH11" i="10"/>
  <c r="DF11" i="10"/>
  <c r="DE11" i="10"/>
  <c r="DD11" i="10"/>
  <c r="DI10" i="10"/>
  <c r="DH10" i="10"/>
  <c r="DF10" i="10"/>
  <c r="DE10" i="10"/>
  <c r="DD10" i="10"/>
  <c r="DI9" i="10"/>
  <c r="DH9" i="10"/>
  <c r="DF9" i="10"/>
  <c r="DE9" i="10"/>
  <c r="DD9" i="10"/>
  <c r="DI4" i="10"/>
  <c r="DH4" i="10"/>
  <c r="DF4" i="10"/>
  <c r="DE4" i="10"/>
  <c r="DD4" i="10"/>
  <c r="DI8" i="10"/>
  <c r="DH8" i="10"/>
  <c r="DF8" i="10"/>
  <c r="DE8" i="10"/>
  <c r="DD8" i="10"/>
  <c r="DI7" i="10"/>
  <c r="DH7" i="10"/>
  <c r="DF7" i="10"/>
  <c r="DE7" i="10"/>
  <c r="DD7" i="10"/>
  <c r="DI6" i="10"/>
  <c r="DH6" i="10"/>
  <c r="DF6" i="10"/>
  <c r="DE6" i="10"/>
  <c r="DD6" i="10"/>
  <c r="DI5" i="10"/>
  <c r="DH5" i="10"/>
  <c r="DF5" i="10"/>
  <c r="DE5" i="10"/>
  <c r="DD5" i="10"/>
  <c r="CM13" i="10"/>
  <c r="CL13" i="10"/>
  <c r="CJ13" i="10"/>
  <c r="CI13" i="10"/>
  <c r="CH13" i="10"/>
  <c r="CM12" i="10"/>
  <c r="CL12" i="10"/>
  <c r="CJ12" i="10"/>
  <c r="CI12" i="10"/>
  <c r="CH12" i="10"/>
  <c r="CM11" i="10"/>
  <c r="CL11" i="10"/>
  <c r="CJ11" i="10"/>
  <c r="CI11" i="10"/>
  <c r="CH11" i="10"/>
  <c r="CM10" i="10"/>
  <c r="CL10" i="10"/>
  <c r="CJ10" i="10"/>
  <c r="CI10" i="10"/>
  <c r="CH10" i="10"/>
  <c r="CM9" i="10"/>
  <c r="CL9" i="10"/>
  <c r="CJ9" i="10"/>
  <c r="CI9" i="10"/>
  <c r="CH9" i="10"/>
  <c r="CM4" i="10"/>
  <c r="CL4" i="10"/>
  <c r="CJ4" i="10"/>
  <c r="CI4" i="10"/>
  <c r="CH4" i="10"/>
  <c r="CM8" i="10"/>
  <c r="CL8" i="10"/>
  <c r="CJ8" i="10"/>
  <c r="CI8" i="10"/>
  <c r="CH8" i="10"/>
  <c r="CM7" i="10"/>
  <c r="CL7" i="10"/>
  <c r="CJ7" i="10"/>
  <c r="CI7" i="10"/>
  <c r="CH7" i="10"/>
  <c r="CM6" i="10"/>
  <c r="CL6" i="10"/>
  <c r="CJ6" i="10"/>
  <c r="CI6" i="10"/>
  <c r="CH6" i="10"/>
  <c r="CM5" i="10"/>
  <c r="CL5" i="10"/>
  <c r="CJ5" i="10"/>
  <c r="CI5" i="10"/>
  <c r="CH5" i="10"/>
  <c r="KY13" i="9"/>
  <c r="KX13" i="9"/>
  <c r="KV13" i="9"/>
  <c r="KU13" i="9"/>
  <c r="KT13" i="9"/>
  <c r="KY12" i="9"/>
  <c r="KX12" i="9"/>
  <c r="KV12" i="9"/>
  <c r="KU12" i="9"/>
  <c r="KT12" i="9"/>
  <c r="KY11" i="9"/>
  <c r="KX11" i="9"/>
  <c r="KV11" i="9"/>
  <c r="KU11" i="9"/>
  <c r="KT11" i="9"/>
  <c r="KY9" i="9"/>
  <c r="KX9" i="9"/>
  <c r="KV9" i="9"/>
  <c r="KU9" i="9"/>
  <c r="KT9" i="9"/>
  <c r="KY8" i="9"/>
  <c r="KX8" i="9"/>
  <c r="KV8" i="9"/>
  <c r="KU8" i="9"/>
  <c r="KT8" i="9"/>
  <c r="KY7" i="9"/>
  <c r="KX7" i="9"/>
  <c r="KV7" i="9"/>
  <c r="KU7" i="9"/>
  <c r="KT7" i="9"/>
  <c r="KY5" i="9"/>
  <c r="KX5" i="9"/>
  <c r="KV5" i="9"/>
  <c r="KU5" i="9"/>
  <c r="KT5" i="9"/>
  <c r="KY6" i="9"/>
  <c r="KX6" i="9"/>
  <c r="KV6" i="9"/>
  <c r="KU6" i="9"/>
  <c r="KT6" i="9"/>
  <c r="KY10" i="9"/>
  <c r="KX10" i="9"/>
  <c r="KV10" i="9"/>
  <c r="KU10" i="9"/>
  <c r="KT10" i="9"/>
  <c r="KY4" i="9"/>
  <c r="KX4" i="9"/>
  <c r="KV4" i="9"/>
  <c r="KU4" i="9"/>
  <c r="KT4" i="9"/>
  <c r="KC13" i="9"/>
  <c r="KB13" i="9"/>
  <c r="JZ13" i="9"/>
  <c r="JY13" i="9"/>
  <c r="JX13" i="9"/>
  <c r="KC12" i="9"/>
  <c r="KB12" i="9"/>
  <c r="JZ12" i="9"/>
  <c r="JY12" i="9"/>
  <c r="JX12" i="9"/>
  <c r="KC11" i="9"/>
  <c r="KB11" i="9"/>
  <c r="JZ11" i="9"/>
  <c r="JY11" i="9"/>
  <c r="JX11" i="9"/>
  <c r="KC9" i="9"/>
  <c r="KB9" i="9"/>
  <c r="JZ9" i="9"/>
  <c r="JY9" i="9"/>
  <c r="JX9" i="9"/>
  <c r="KC8" i="9"/>
  <c r="KB8" i="9"/>
  <c r="JZ8" i="9"/>
  <c r="JY8" i="9"/>
  <c r="JX8" i="9"/>
  <c r="KC7" i="9"/>
  <c r="KB7" i="9"/>
  <c r="JZ7" i="9"/>
  <c r="JY7" i="9"/>
  <c r="JX7" i="9"/>
  <c r="KC5" i="9"/>
  <c r="KB5" i="9"/>
  <c r="JZ5" i="9"/>
  <c r="JY5" i="9"/>
  <c r="JX5" i="9"/>
  <c r="KC6" i="9"/>
  <c r="KB6" i="9"/>
  <c r="JZ6" i="9"/>
  <c r="JY6" i="9"/>
  <c r="JX6" i="9"/>
  <c r="KC10" i="9"/>
  <c r="KB10" i="9"/>
  <c r="JZ10" i="9"/>
  <c r="JY10" i="9"/>
  <c r="JX10" i="9"/>
  <c r="KC4" i="9"/>
  <c r="KB4" i="9"/>
  <c r="JZ4" i="9"/>
  <c r="JY4" i="9"/>
  <c r="JX4" i="9"/>
  <c r="JG13" i="9"/>
  <c r="JF13" i="9"/>
  <c r="JD13" i="9"/>
  <c r="JC13" i="9"/>
  <c r="JB13" i="9"/>
  <c r="JG12" i="9"/>
  <c r="JF12" i="9"/>
  <c r="JD12" i="9"/>
  <c r="JC12" i="9"/>
  <c r="JB12" i="9"/>
  <c r="JG11" i="9"/>
  <c r="JF11" i="9"/>
  <c r="JD11" i="9"/>
  <c r="JC11" i="9"/>
  <c r="JB11" i="9"/>
  <c r="JG9" i="9"/>
  <c r="JF9" i="9"/>
  <c r="JD9" i="9"/>
  <c r="JC9" i="9"/>
  <c r="JB9" i="9"/>
  <c r="JG8" i="9"/>
  <c r="JF8" i="9"/>
  <c r="JD8" i="9"/>
  <c r="JC8" i="9"/>
  <c r="JB8" i="9"/>
  <c r="JG7" i="9"/>
  <c r="JF7" i="9"/>
  <c r="JD7" i="9"/>
  <c r="JC7" i="9"/>
  <c r="JB7" i="9"/>
  <c r="JG5" i="9"/>
  <c r="JF5" i="9"/>
  <c r="JD5" i="9"/>
  <c r="JC5" i="9"/>
  <c r="JB5" i="9"/>
  <c r="JG6" i="9"/>
  <c r="JF6" i="9"/>
  <c r="JD6" i="9"/>
  <c r="JC6" i="9"/>
  <c r="JB6" i="9"/>
  <c r="JG10" i="9"/>
  <c r="JF10" i="9"/>
  <c r="JD10" i="9"/>
  <c r="JC10" i="9"/>
  <c r="JB10" i="9"/>
  <c r="JG4" i="9"/>
  <c r="JF4" i="9"/>
  <c r="JD4" i="9"/>
  <c r="JC4" i="9"/>
  <c r="JB4" i="9"/>
  <c r="IK13" i="9"/>
  <c r="IJ13" i="9"/>
  <c r="IH13" i="9"/>
  <c r="IG13" i="9"/>
  <c r="IF13" i="9"/>
  <c r="IK12" i="9"/>
  <c r="IJ12" i="9"/>
  <c r="IH12" i="9"/>
  <c r="IG12" i="9"/>
  <c r="IF12" i="9"/>
  <c r="IK11" i="9"/>
  <c r="IJ11" i="9"/>
  <c r="IH11" i="9"/>
  <c r="IG11" i="9"/>
  <c r="IF11" i="9"/>
  <c r="IK9" i="9"/>
  <c r="IJ9" i="9"/>
  <c r="IH9" i="9"/>
  <c r="IG9" i="9"/>
  <c r="IF9" i="9"/>
  <c r="IK8" i="9"/>
  <c r="IJ8" i="9"/>
  <c r="IH8" i="9"/>
  <c r="IG8" i="9"/>
  <c r="IF8" i="9"/>
  <c r="IK7" i="9"/>
  <c r="IJ7" i="9"/>
  <c r="IH7" i="9"/>
  <c r="IG7" i="9"/>
  <c r="IF7" i="9"/>
  <c r="IK5" i="9"/>
  <c r="IJ5" i="9"/>
  <c r="IH5" i="9"/>
  <c r="IG5" i="9"/>
  <c r="IF5" i="9"/>
  <c r="IK6" i="9"/>
  <c r="IJ6" i="9"/>
  <c r="IH6" i="9"/>
  <c r="IG6" i="9"/>
  <c r="IF6" i="9"/>
  <c r="IK10" i="9"/>
  <c r="IJ10" i="9"/>
  <c r="IH10" i="9"/>
  <c r="IG10" i="9"/>
  <c r="IF10" i="9"/>
  <c r="IK4" i="9"/>
  <c r="IJ4" i="9"/>
  <c r="IH4" i="9"/>
  <c r="IG4" i="9"/>
  <c r="IF4" i="9"/>
  <c r="HO13" i="9"/>
  <c r="HN13" i="9"/>
  <c r="HL13" i="9"/>
  <c r="HK13" i="9"/>
  <c r="HJ13" i="9"/>
  <c r="HO12" i="9"/>
  <c r="HN12" i="9"/>
  <c r="HL12" i="9"/>
  <c r="HK12" i="9"/>
  <c r="HJ12" i="9"/>
  <c r="HO11" i="9"/>
  <c r="HN11" i="9"/>
  <c r="HL11" i="9"/>
  <c r="HK11" i="9"/>
  <c r="HJ11" i="9"/>
  <c r="HO9" i="9"/>
  <c r="HN9" i="9"/>
  <c r="HL9" i="9"/>
  <c r="HK9" i="9"/>
  <c r="HJ9" i="9"/>
  <c r="HO8" i="9"/>
  <c r="HN8" i="9"/>
  <c r="HL8" i="9"/>
  <c r="HK8" i="9"/>
  <c r="HJ8" i="9"/>
  <c r="HO7" i="9"/>
  <c r="HN7" i="9"/>
  <c r="HL7" i="9"/>
  <c r="HK7" i="9"/>
  <c r="HJ7" i="9"/>
  <c r="HO5" i="9"/>
  <c r="HN5" i="9"/>
  <c r="HL5" i="9"/>
  <c r="HK5" i="9"/>
  <c r="HJ5" i="9"/>
  <c r="HO6" i="9"/>
  <c r="HN6" i="9"/>
  <c r="HL6" i="9"/>
  <c r="HK6" i="9"/>
  <c r="HJ6" i="9"/>
  <c r="HO10" i="9"/>
  <c r="HN10" i="9"/>
  <c r="HL10" i="9"/>
  <c r="HK10" i="9"/>
  <c r="HJ10" i="9"/>
  <c r="HO4" i="9"/>
  <c r="HN4" i="9"/>
  <c r="HL4" i="9"/>
  <c r="HK4" i="9"/>
  <c r="HJ4" i="9"/>
  <c r="GS13" i="9"/>
  <c r="GR13" i="9"/>
  <c r="GP13" i="9"/>
  <c r="GO13" i="9"/>
  <c r="GN13" i="9"/>
  <c r="GS12" i="9"/>
  <c r="GR12" i="9"/>
  <c r="GP12" i="9"/>
  <c r="GO12" i="9"/>
  <c r="GN12" i="9"/>
  <c r="GS11" i="9"/>
  <c r="GR11" i="9"/>
  <c r="GP11" i="9"/>
  <c r="GO11" i="9"/>
  <c r="GN11" i="9"/>
  <c r="GS9" i="9"/>
  <c r="GR9" i="9"/>
  <c r="GP9" i="9"/>
  <c r="GO9" i="9"/>
  <c r="GN9" i="9"/>
  <c r="GS8" i="9"/>
  <c r="GR8" i="9"/>
  <c r="GP8" i="9"/>
  <c r="GO8" i="9"/>
  <c r="GN8" i="9"/>
  <c r="GS7" i="9"/>
  <c r="GR7" i="9"/>
  <c r="GP7" i="9"/>
  <c r="GO7" i="9"/>
  <c r="GN7" i="9"/>
  <c r="GS5" i="9"/>
  <c r="GR5" i="9"/>
  <c r="GP5" i="9"/>
  <c r="GO5" i="9"/>
  <c r="GN5" i="9"/>
  <c r="GS6" i="9"/>
  <c r="GR6" i="9"/>
  <c r="GP6" i="9"/>
  <c r="GO6" i="9"/>
  <c r="GN6" i="9"/>
  <c r="GS10" i="9"/>
  <c r="GR10" i="9"/>
  <c r="GP10" i="9"/>
  <c r="GO10" i="9"/>
  <c r="GN10" i="9"/>
  <c r="GS4" i="9"/>
  <c r="GR4" i="9"/>
  <c r="GP4" i="9"/>
  <c r="GO4" i="9"/>
  <c r="GN4" i="9"/>
  <c r="FW13" i="9"/>
  <c r="FV13" i="9"/>
  <c r="FT13" i="9"/>
  <c r="FS13" i="9"/>
  <c r="FR13" i="9"/>
  <c r="FW12" i="9"/>
  <c r="FV12" i="9"/>
  <c r="FT12" i="9"/>
  <c r="FS12" i="9"/>
  <c r="FR12" i="9"/>
  <c r="FW11" i="9"/>
  <c r="FV11" i="9"/>
  <c r="FT11" i="9"/>
  <c r="FS11" i="9"/>
  <c r="FR11" i="9"/>
  <c r="FW9" i="9"/>
  <c r="FV9" i="9"/>
  <c r="FT9" i="9"/>
  <c r="FS9" i="9"/>
  <c r="FR9" i="9"/>
  <c r="FW8" i="9"/>
  <c r="FV8" i="9"/>
  <c r="FT8" i="9"/>
  <c r="FS8" i="9"/>
  <c r="FR8" i="9"/>
  <c r="FW7" i="9"/>
  <c r="FV7" i="9"/>
  <c r="FT7" i="9"/>
  <c r="FS7" i="9"/>
  <c r="FR7" i="9"/>
  <c r="FW5" i="9"/>
  <c r="FV5" i="9"/>
  <c r="FT5" i="9"/>
  <c r="FS5" i="9"/>
  <c r="FR5" i="9"/>
  <c r="FW6" i="9"/>
  <c r="FV6" i="9"/>
  <c r="FT6" i="9"/>
  <c r="FS6" i="9"/>
  <c r="FR6" i="9"/>
  <c r="FW10" i="9"/>
  <c r="FV10" i="9"/>
  <c r="FT10" i="9"/>
  <c r="FS10" i="9"/>
  <c r="FR10" i="9"/>
  <c r="FW4" i="9"/>
  <c r="FV4" i="9"/>
  <c r="FT4" i="9"/>
  <c r="FS4" i="9"/>
  <c r="FR4" i="9"/>
  <c r="FA13" i="9"/>
  <c r="EZ13" i="9"/>
  <c r="EX13" i="9"/>
  <c r="EW13" i="9"/>
  <c r="EV13" i="9"/>
  <c r="FA12" i="9"/>
  <c r="EZ12" i="9"/>
  <c r="EX12" i="9"/>
  <c r="EW12" i="9"/>
  <c r="EV12" i="9"/>
  <c r="FA11" i="9"/>
  <c r="EZ11" i="9"/>
  <c r="EX11" i="9"/>
  <c r="EW11" i="9"/>
  <c r="EV11" i="9"/>
  <c r="FA9" i="9"/>
  <c r="EZ9" i="9"/>
  <c r="EX9" i="9"/>
  <c r="EW9" i="9"/>
  <c r="EV9" i="9"/>
  <c r="FA8" i="9"/>
  <c r="EZ8" i="9"/>
  <c r="EX8" i="9"/>
  <c r="EW8" i="9"/>
  <c r="EV8" i="9"/>
  <c r="FA7" i="9"/>
  <c r="EZ7" i="9"/>
  <c r="EX7" i="9"/>
  <c r="EW7" i="9"/>
  <c r="EV7" i="9"/>
  <c r="FA5" i="9"/>
  <c r="EZ5" i="9"/>
  <c r="EX5" i="9"/>
  <c r="EW5" i="9"/>
  <c r="EV5" i="9"/>
  <c r="FA6" i="9"/>
  <c r="EZ6" i="9"/>
  <c r="EX6" i="9"/>
  <c r="EW6" i="9"/>
  <c r="EV6" i="9"/>
  <c r="FA10" i="9"/>
  <c r="EZ10" i="9"/>
  <c r="EX10" i="9"/>
  <c r="EW10" i="9"/>
  <c r="EV10" i="9"/>
  <c r="FA4" i="9"/>
  <c r="EZ4" i="9"/>
  <c r="EX4" i="9"/>
  <c r="EW4" i="9"/>
  <c r="EV4" i="9"/>
  <c r="EE13" i="9"/>
  <c r="ED13" i="9"/>
  <c r="EB13" i="9"/>
  <c r="EA13" i="9"/>
  <c r="DZ13" i="9"/>
  <c r="EE12" i="9"/>
  <c r="ED12" i="9"/>
  <c r="EB12" i="9"/>
  <c r="EA12" i="9"/>
  <c r="DZ12" i="9"/>
  <c r="EE11" i="9"/>
  <c r="ED11" i="9"/>
  <c r="EB11" i="9"/>
  <c r="EA11" i="9"/>
  <c r="DZ11" i="9"/>
  <c r="EE9" i="9"/>
  <c r="ED9" i="9"/>
  <c r="EB9" i="9"/>
  <c r="EA9" i="9"/>
  <c r="DZ9" i="9"/>
  <c r="EE8" i="9"/>
  <c r="ED8" i="9"/>
  <c r="EB8" i="9"/>
  <c r="EA8" i="9"/>
  <c r="DZ8" i="9"/>
  <c r="EE7" i="9"/>
  <c r="ED7" i="9"/>
  <c r="EB7" i="9"/>
  <c r="EA7" i="9"/>
  <c r="DZ7" i="9"/>
  <c r="EE5" i="9"/>
  <c r="ED5" i="9"/>
  <c r="EB5" i="9"/>
  <c r="EA5" i="9"/>
  <c r="DZ5" i="9"/>
  <c r="EE6" i="9"/>
  <c r="ED6" i="9"/>
  <c r="EB6" i="9"/>
  <c r="EA6" i="9"/>
  <c r="DZ6" i="9"/>
  <c r="EE10" i="9"/>
  <c r="ED10" i="9"/>
  <c r="EB10" i="9"/>
  <c r="EA10" i="9"/>
  <c r="DZ10" i="9"/>
  <c r="EE4" i="9"/>
  <c r="ED4" i="9"/>
  <c r="EB4" i="9"/>
  <c r="EA4" i="9"/>
  <c r="DZ4" i="9"/>
  <c r="DI13" i="9"/>
  <c r="DH13" i="9"/>
  <c r="DF13" i="9"/>
  <c r="DE13" i="9"/>
  <c r="DD13" i="9"/>
  <c r="DI12" i="9"/>
  <c r="DH12" i="9"/>
  <c r="DF12" i="9"/>
  <c r="DE12" i="9"/>
  <c r="DD12" i="9"/>
  <c r="DI11" i="9"/>
  <c r="DH11" i="9"/>
  <c r="DF11" i="9"/>
  <c r="DE11" i="9"/>
  <c r="DD11" i="9"/>
  <c r="DI9" i="9"/>
  <c r="DH9" i="9"/>
  <c r="DF9" i="9"/>
  <c r="DE9" i="9"/>
  <c r="DD9" i="9"/>
  <c r="DI8" i="9"/>
  <c r="DH8" i="9"/>
  <c r="DF8" i="9"/>
  <c r="DE8" i="9"/>
  <c r="DD8" i="9"/>
  <c r="DI7" i="9"/>
  <c r="DH7" i="9"/>
  <c r="DF7" i="9"/>
  <c r="DE7" i="9"/>
  <c r="DD7" i="9"/>
  <c r="DI5" i="9"/>
  <c r="DH5" i="9"/>
  <c r="DF5" i="9"/>
  <c r="DE5" i="9"/>
  <c r="DD5" i="9"/>
  <c r="DI6" i="9"/>
  <c r="DH6" i="9"/>
  <c r="DF6" i="9"/>
  <c r="DE6" i="9"/>
  <c r="DD6" i="9"/>
  <c r="DI10" i="9"/>
  <c r="DH10" i="9"/>
  <c r="DF10" i="9"/>
  <c r="DE10" i="9"/>
  <c r="DD10" i="9"/>
  <c r="DI4" i="9"/>
  <c r="DH4" i="9"/>
  <c r="DF4" i="9"/>
  <c r="DE4" i="9"/>
  <c r="DD4" i="9"/>
  <c r="CM13" i="9"/>
  <c r="CL13" i="9"/>
  <c r="CJ13" i="9"/>
  <c r="CI13" i="9"/>
  <c r="CH13" i="9"/>
  <c r="CM12" i="9"/>
  <c r="CL12" i="9"/>
  <c r="CJ12" i="9"/>
  <c r="CI12" i="9"/>
  <c r="CH12" i="9"/>
  <c r="CM11" i="9"/>
  <c r="CL11" i="9"/>
  <c r="CJ11" i="9"/>
  <c r="CI11" i="9"/>
  <c r="CH11" i="9"/>
  <c r="CM9" i="9"/>
  <c r="CL9" i="9"/>
  <c r="CJ9" i="9"/>
  <c r="CI9" i="9"/>
  <c r="CH9" i="9"/>
  <c r="CM8" i="9"/>
  <c r="CL8" i="9"/>
  <c r="CJ8" i="9"/>
  <c r="CI8" i="9"/>
  <c r="CH8" i="9"/>
  <c r="CM7" i="9"/>
  <c r="CL7" i="9"/>
  <c r="CJ7" i="9"/>
  <c r="CI7" i="9"/>
  <c r="CH7" i="9"/>
  <c r="CM5" i="9"/>
  <c r="CL5" i="9"/>
  <c r="CJ5" i="9"/>
  <c r="CI5" i="9"/>
  <c r="CH5" i="9"/>
  <c r="CM6" i="9"/>
  <c r="CL6" i="9"/>
  <c r="CJ6" i="9"/>
  <c r="CI6" i="9"/>
  <c r="CH6" i="9"/>
  <c r="CM10" i="9"/>
  <c r="CL10" i="9"/>
  <c r="CJ10" i="9"/>
  <c r="CI10" i="9"/>
  <c r="CH10" i="9"/>
  <c r="CM4" i="9"/>
  <c r="CL4" i="9"/>
  <c r="CJ4" i="9"/>
  <c r="CI4" i="9"/>
  <c r="CH4" i="9"/>
  <c r="KY15" i="2"/>
  <c r="KX15" i="2"/>
  <c r="KV15" i="2"/>
  <c r="KU15" i="2"/>
  <c r="KW15" i="2" s="1"/>
  <c r="KZ15" i="2" s="1"/>
  <c r="KT15" i="2"/>
  <c r="KY14" i="2"/>
  <c r="KX14" i="2"/>
  <c r="KV14" i="2"/>
  <c r="KU14" i="2"/>
  <c r="KT14" i="2"/>
  <c r="KY13" i="2"/>
  <c r="KX13" i="2"/>
  <c r="KV13" i="2"/>
  <c r="KU13" i="2"/>
  <c r="KT13" i="2"/>
  <c r="KY12" i="2"/>
  <c r="KX12" i="2"/>
  <c r="KV12" i="2"/>
  <c r="KU12" i="2"/>
  <c r="KT12" i="2"/>
  <c r="KY11" i="2"/>
  <c r="KX11" i="2"/>
  <c r="KV11" i="2"/>
  <c r="KU11" i="2"/>
  <c r="KT11" i="2"/>
  <c r="KY10" i="2"/>
  <c r="KX10" i="2"/>
  <c r="KV10" i="2"/>
  <c r="KU10" i="2"/>
  <c r="KT10" i="2"/>
  <c r="KY9" i="2"/>
  <c r="KX9" i="2"/>
  <c r="KV9" i="2"/>
  <c r="KU9" i="2"/>
  <c r="KT9" i="2"/>
  <c r="KY8" i="2"/>
  <c r="KX8" i="2"/>
  <c r="KV8" i="2"/>
  <c r="KU8" i="2"/>
  <c r="KT8" i="2"/>
  <c r="KY6" i="2"/>
  <c r="KX6" i="2"/>
  <c r="KV6" i="2"/>
  <c r="KU6" i="2"/>
  <c r="KW6" i="2" s="1"/>
  <c r="KZ6" i="2" s="1"/>
  <c r="KT6" i="2"/>
  <c r="KY7" i="2"/>
  <c r="KX7" i="2"/>
  <c r="KV7" i="2"/>
  <c r="KU7" i="2"/>
  <c r="KT7" i="2"/>
  <c r="KY5" i="2"/>
  <c r="KX5" i="2"/>
  <c r="KV5" i="2"/>
  <c r="KU5" i="2"/>
  <c r="KT5" i="2"/>
  <c r="KY4" i="2"/>
  <c r="KX4" i="2"/>
  <c r="KV4" i="2"/>
  <c r="KU4" i="2"/>
  <c r="KT4" i="2"/>
  <c r="KC15" i="2"/>
  <c r="KB15" i="2"/>
  <c r="JZ15" i="2"/>
  <c r="JY15" i="2"/>
  <c r="JX15" i="2"/>
  <c r="KC14" i="2"/>
  <c r="KB14" i="2"/>
  <c r="JZ14" i="2"/>
  <c r="JY14" i="2"/>
  <c r="JX14" i="2"/>
  <c r="KC13" i="2"/>
  <c r="KB13" i="2"/>
  <c r="JZ13" i="2"/>
  <c r="JY13" i="2"/>
  <c r="JX13" i="2"/>
  <c r="KC12" i="2"/>
  <c r="KB12" i="2"/>
  <c r="JZ12" i="2"/>
  <c r="JY12" i="2"/>
  <c r="JX12" i="2"/>
  <c r="KC11" i="2"/>
  <c r="KB11" i="2"/>
  <c r="JZ11" i="2"/>
  <c r="JY11" i="2"/>
  <c r="JX11" i="2"/>
  <c r="KC10" i="2"/>
  <c r="KB10" i="2"/>
  <c r="JZ10" i="2"/>
  <c r="JY10" i="2"/>
  <c r="JX10" i="2"/>
  <c r="KC9" i="2"/>
  <c r="KB9" i="2"/>
  <c r="JZ9" i="2"/>
  <c r="JY9" i="2"/>
  <c r="JX9" i="2"/>
  <c r="KC8" i="2"/>
  <c r="KB8" i="2"/>
  <c r="JZ8" i="2"/>
  <c r="JY8" i="2"/>
  <c r="JX8" i="2"/>
  <c r="KC6" i="2"/>
  <c r="KB6" i="2"/>
  <c r="JZ6" i="2"/>
  <c r="JY6" i="2"/>
  <c r="JX6" i="2"/>
  <c r="KC7" i="2"/>
  <c r="KB7" i="2"/>
  <c r="JZ7" i="2"/>
  <c r="JY7" i="2"/>
  <c r="JX7" i="2"/>
  <c r="KC5" i="2"/>
  <c r="KB5" i="2"/>
  <c r="JZ5" i="2"/>
  <c r="JY5" i="2"/>
  <c r="JX5" i="2"/>
  <c r="KC4" i="2"/>
  <c r="KB4" i="2"/>
  <c r="JZ4" i="2"/>
  <c r="JY4" i="2"/>
  <c r="JX4" i="2"/>
  <c r="JG15" i="2"/>
  <c r="JF15" i="2"/>
  <c r="JD15" i="2"/>
  <c r="JC15" i="2"/>
  <c r="JB15" i="2"/>
  <c r="JG14" i="2"/>
  <c r="JF14" i="2"/>
  <c r="JD14" i="2"/>
  <c r="JC14" i="2"/>
  <c r="JB14" i="2"/>
  <c r="JG13" i="2"/>
  <c r="JF13" i="2"/>
  <c r="JD13" i="2"/>
  <c r="JC13" i="2"/>
  <c r="JB13" i="2"/>
  <c r="JG12" i="2"/>
  <c r="JF12" i="2"/>
  <c r="JD12" i="2"/>
  <c r="JC12" i="2"/>
  <c r="JB12" i="2"/>
  <c r="JG11" i="2"/>
  <c r="JF11" i="2"/>
  <c r="JD11" i="2"/>
  <c r="JC11" i="2"/>
  <c r="JB11" i="2"/>
  <c r="JG10" i="2"/>
  <c r="JF10" i="2"/>
  <c r="JD10" i="2"/>
  <c r="JC10" i="2"/>
  <c r="JB10" i="2"/>
  <c r="JG9" i="2"/>
  <c r="JF9" i="2"/>
  <c r="JD9" i="2"/>
  <c r="JC9" i="2"/>
  <c r="JB9" i="2"/>
  <c r="JG8" i="2"/>
  <c r="JF8" i="2"/>
  <c r="JD8" i="2"/>
  <c r="JC8" i="2"/>
  <c r="JB8" i="2"/>
  <c r="JG6" i="2"/>
  <c r="JF6" i="2"/>
  <c r="JD6" i="2"/>
  <c r="JC6" i="2"/>
  <c r="JB6" i="2"/>
  <c r="JG7" i="2"/>
  <c r="JF7" i="2"/>
  <c r="JD7" i="2"/>
  <c r="JC7" i="2"/>
  <c r="JB7" i="2"/>
  <c r="JG5" i="2"/>
  <c r="JF5" i="2"/>
  <c r="JD5" i="2"/>
  <c r="JC5" i="2"/>
  <c r="JB5" i="2"/>
  <c r="JG4" i="2"/>
  <c r="JF4" i="2"/>
  <c r="JD4" i="2"/>
  <c r="JC4" i="2"/>
  <c r="JB4" i="2"/>
  <c r="IK15" i="2"/>
  <c r="IJ15" i="2"/>
  <c r="IH15" i="2"/>
  <c r="IG15" i="2"/>
  <c r="IF15" i="2"/>
  <c r="IK14" i="2"/>
  <c r="IJ14" i="2"/>
  <c r="IH14" i="2"/>
  <c r="IG14" i="2"/>
  <c r="IF14" i="2"/>
  <c r="IK13" i="2"/>
  <c r="IJ13" i="2"/>
  <c r="IH13" i="2"/>
  <c r="IG13" i="2"/>
  <c r="IF13" i="2"/>
  <c r="IK12" i="2"/>
  <c r="IJ12" i="2"/>
  <c r="IH12" i="2"/>
  <c r="IG12" i="2"/>
  <c r="IF12" i="2"/>
  <c r="IK11" i="2"/>
  <c r="IJ11" i="2"/>
  <c r="IH11" i="2"/>
  <c r="IG11" i="2"/>
  <c r="IF11" i="2"/>
  <c r="IK10" i="2"/>
  <c r="IJ10" i="2"/>
  <c r="IH10" i="2"/>
  <c r="IG10" i="2"/>
  <c r="IF10" i="2"/>
  <c r="IK9" i="2"/>
  <c r="IJ9" i="2"/>
  <c r="IH9" i="2"/>
  <c r="IG9" i="2"/>
  <c r="IF9" i="2"/>
  <c r="IK8" i="2"/>
  <c r="IJ8" i="2"/>
  <c r="IH8" i="2"/>
  <c r="IG8" i="2"/>
  <c r="IF8" i="2"/>
  <c r="IK6" i="2"/>
  <c r="IJ6" i="2"/>
  <c r="IH6" i="2"/>
  <c r="IG6" i="2"/>
  <c r="IF6" i="2"/>
  <c r="IK7" i="2"/>
  <c r="IJ7" i="2"/>
  <c r="IH7" i="2"/>
  <c r="IG7" i="2"/>
  <c r="IF7" i="2"/>
  <c r="IK5" i="2"/>
  <c r="IJ5" i="2"/>
  <c r="IH5" i="2"/>
  <c r="IG5" i="2"/>
  <c r="IF5" i="2"/>
  <c r="IK4" i="2"/>
  <c r="IJ4" i="2"/>
  <c r="IH4" i="2"/>
  <c r="IG4" i="2"/>
  <c r="IF4" i="2"/>
  <c r="HO15" i="2"/>
  <c r="HN15" i="2"/>
  <c r="HL15" i="2"/>
  <c r="HK15" i="2"/>
  <c r="HJ15" i="2"/>
  <c r="HO14" i="2"/>
  <c r="HN14" i="2"/>
  <c r="HL14" i="2"/>
  <c r="HK14" i="2"/>
  <c r="HJ14" i="2"/>
  <c r="HO13" i="2"/>
  <c r="HN13" i="2"/>
  <c r="HL13" i="2"/>
  <c r="HK13" i="2"/>
  <c r="HJ13" i="2"/>
  <c r="HO12" i="2"/>
  <c r="HN12" i="2"/>
  <c r="HL12" i="2"/>
  <c r="HK12" i="2"/>
  <c r="HJ12" i="2"/>
  <c r="HO11" i="2"/>
  <c r="HN11" i="2"/>
  <c r="HL11" i="2"/>
  <c r="HK11" i="2"/>
  <c r="HJ11" i="2"/>
  <c r="HO10" i="2"/>
  <c r="HN10" i="2"/>
  <c r="HL10" i="2"/>
  <c r="HK10" i="2"/>
  <c r="HJ10" i="2"/>
  <c r="HO9" i="2"/>
  <c r="HN9" i="2"/>
  <c r="HL9" i="2"/>
  <c r="HK9" i="2"/>
  <c r="HJ9" i="2"/>
  <c r="HO8" i="2"/>
  <c r="HN8" i="2"/>
  <c r="HL8" i="2"/>
  <c r="HK8" i="2"/>
  <c r="HJ8" i="2"/>
  <c r="HO6" i="2"/>
  <c r="HN6" i="2"/>
  <c r="HL6" i="2"/>
  <c r="HK6" i="2"/>
  <c r="HJ6" i="2"/>
  <c r="HO7" i="2"/>
  <c r="HN7" i="2"/>
  <c r="HL7" i="2"/>
  <c r="HK7" i="2"/>
  <c r="HJ7" i="2"/>
  <c r="HO5" i="2"/>
  <c r="HN5" i="2"/>
  <c r="HL5" i="2"/>
  <c r="HK5" i="2"/>
  <c r="HJ5" i="2"/>
  <c r="HO4" i="2"/>
  <c r="HN4" i="2"/>
  <c r="HL4" i="2"/>
  <c r="HK4" i="2"/>
  <c r="HJ4" i="2"/>
  <c r="GS15" i="2"/>
  <c r="GR15" i="2"/>
  <c r="GP15" i="2"/>
  <c r="GO15" i="2"/>
  <c r="GN15" i="2"/>
  <c r="GS14" i="2"/>
  <c r="GR14" i="2"/>
  <c r="GP14" i="2"/>
  <c r="GO14" i="2"/>
  <c r="GN14" i="2"/>
  <c r="GS13" i="2"/>
  <c r="GR13" i="2"/>
  <c r="GP13" i="2"/>
  <c r="GO13" i="2"/>
  <c r="GN13" i="2"/>
  <c r="GS12" i="2"/>
  <c r="GR12" i="2"/>
  <c r="GP12" i="2"/>
  <c r="GO12" i="2"/>
  <c r="GN12" i="2"/>
  <c r="GS11" i="2"/>
  <c r="GR11" i="2"/>
  <c r="GP11" i="2"/>
  <c r="GO11" i="2"/>
  <c r="GN11" i="2"/>
  <c r="GS10" i="2"/>
  <c r="GR10" i="2"/>
  <c r="GP10" i="2"/>
  <c r="GO10" i="2"/>
  <c r="GN10" i="2"/>
  <c r="GS9" i="2"/>
  <c r="GR9" i="2"/>
  <c r="GP9" i="2"/>
  <c r="GO9" i="2"/>
  <c r="GN9" i="2"/>
  <c r="GS8" i="2"/>
  <c r="GR8" i="2"/>
  <c r="GP8" i="2"/>
  <c r="GO8" i="2"/>
  <c r="GN8" i="2"/>
  <c r="GS6" i="2"/>
  <c r="GR6" i="2"/>
  <c r="GP6" i="2"/>
  <c r="GO6" i="2"/>
  <c r="GN6" i="2"/>
  <c r="GS7" i="2"/>
  <c r="GR7" i="2"/>
  <c r="GP7" i="2"/>
  <c r="GO7" i="2"/>
  <c r="GN7" i="2"/>
  <c r="GS5" i="2"/>
  <c r="GR5" i="2"/>
  <c r="GP5" i="2"/>
  <c r="GO5" i="2"/>
  <c r="GN5" i="2"/>
  <c r="GS4" i="2"/>
  <c r="GR4" i="2"/>
  <c r="GP4" i="2"/>
  <c r="GO4" i="2"/>
  <c r="GN4" i="2"/>
  <c r="FW15" i="2"/>
  <c r="FV15" i="2"/>
  <c r="FT15" i="2"/>
  <c r="FS15" i="2"/>
  <c r="FR15" i="2"/>
  <c r="FW14" i="2"/>
  <c r="FV14" i="2"/>
  <c r="FT14" i="2"/>
  <c r="FS14" i="2"/>
  <c r="FR14" i="2"/>
  <c r="FW13" i="2"/>
  <c r="FV13" i="2"/>
  <c r="FT13" i="2"/>
  <c r="FS13" i="2"/>
  <c r="FR13" i="2"/>
  <c r="FW12" i="2"/>
  <c r="FV12" i="2"/>
  <c r="FT12" i="2"/>
  <c r="FS12" i="2"/>
  <c r="FR12" i="2"/>
  <c r="FW11" i="2"/>
  <c r="FV11" i="2"/>
  <c r="FT11" i="2"/>
  <c r="FS11" i="2"/>
  <c r="FR11" i="2"/>
  <c r="FW10" i="2"/>
  <c r="FV10" i="2"/>
  <c r="FT10" i="2"/>
  <c r="FS10" i="2"/>
  <c r="FR10" i="2"/>
  <c r="FW9" i="2"/>
  <c r="FV9" i="2"/>
  <c r="FT9" i="2"/>
  <c r="FS9" i="2"/>
  <c r="FR9" i="2"/>
  <c r="FW8" i="2"/>
  <c r="FV8" i="2"/>
  <c r="FT8" i="2"/>
  <c r="FS8" i="2"/>
  <c r="FR8" i="2"/>
  <c r="FW6" i="2"/>
  <c r="FV6" i="2"/>
  <c r="FT6" i="2"/>
  <c r="FS6" i="2"/>
  <c r="FU6" i="2" s="1"/>
  <c r="FX6" i="2" s="1"/>
  <c r="FR6" i="2"/>
  <c r="FW7" i="2"/>
  <c r="FV7" i="2"/>
  <c r="FT7" i="2"/>
  <c r="FS7" i="2"/>
  <c r="FR7" i="2"/>
  <c r="FW5" i="2"/>
  <c r="FV5" i="2"/>
  <c r="FT5" i="2"/>
  <c r="FS5" i="2"/>
  <c r="FR5" i="2"/>
  <c r="FW4" i="2"/>
  <c r="FV4" i="2"/>
  <c r="FT4" i="2"/>
  <c r="FS4" i="2"/>
  <c r="FR4" i="2"/>
  <c r="FA15" i="2"/>
  <c r="EZ15" i="2"/>
  <c r="EX15" i="2"/>
  <c r="EW15" i="2"/>
  <c r="EV15" i="2"/>
  <c r="FA14" i="2"/>
  <c r="EZ14" i="2"/>
  <c r="EX14" i="2"/>
  <c r="EW14" i="2"/>
  <c r="EV14" i="2"/>
  <c r="FA13" i="2"/>
  <c r="EZ13" i="2"/>
  <c r="EX13" i="2"/>
  <c r="EW13" i="2"/>
  <c r="EV13" i="2"/>
  <c r="FA12" i="2"/>
  <c r="EZ12" i="2"/>
  <c r="EX12" i="2"/>
  <c r="EW12" i="2"/>
  <c r="EV12" i="2"/>
  <c r="FA11" i="2"/>
  <c r="EZ11" i="2"/>
  <c r="EX11" i="2"/>
  <c r="EW11" i="2"/>
  <c r="EV11" i="2"/>
  <c r="FA10" i="2"/>
  <c r="EZ10" i="2"/>
  <c r="EX10" i="2"/>
  <c r="EW10" i="2"/>
  <c r="EV10" i="2"/>
  <c r="FA9" i="2"/>
  <c r="EZ9" i="2"/>
  <c r="EX9" i="2"/>
  <c r="EW9" i="2"/>
  <c r="EV9" i="2"/>
  <c r="FA8" i="2"/>
  <c r="EZ8" i="2"/>
  <c r="EX8" i="2"/>
  <c r="EW8" i="2"/>
  <c r="EV8" i="2"/>
  <c r="FA6" i="2"/>
  <c r="EZ6" i="2"/>
  <c r="EX6" i="2"/>
  <c r="EW6" i="2"/>
  <c r="EV6" i="2"/>
  <c r="FA7" i="2"/>
  <c r="EZ7" i="2"/>
  <c r="EX7" i="2"/>
  <c r="EW7" i="2"/>
  <c r="EV7" i="2"/>
  <c r="FA5" i="2"/>
  <c r="EZ5" i="2"/>
  <c r="EX5" i="2"/>
  <c r="EW5" i="2"/>
  <c r="EV5" i="2"/>
  <c r="FA4" i="2"/>
  <c r="EZ4" i="2"/>
  <c r="EX4" i="2"/>
  <c r="EW4" i="2"/>
  <c r="EV4" i="2"/>
  <c r="EE15" i="2"/>
  <c r="ED15" i="2"/>
  <c r="EB15" i="2"/>
  <c r="EA15" i="2"/>
  <c r="DZ15" i="2"/>
  <c r="EE14" i="2"/>
  <c r="ED14" i="2"/>
  <c r="EB14" i="2"/>
  <c r="EA14" i="2"/>
  <c r="DZ14" i="2"/>
  <c r="EE13" i="2"/>
  <c r="ED13" i="2"/>
  <c r="EB13" i="2"/>
  <c r="EA13" i="2"/>
  <c r="DZ13" i="2"/>
  <c r="EE12" i="2"/>
  <c r="ED12" i="2"/>
  <c r="EB12" i="2"/>
  <c r="EA12" i="2"/>
  <c r="DZ12" i="2"/>
  <c r="EE11" i="2"/>
  <c r="ED11" i="2"/>
  <c r="EB11" i="2"/>
  <c r="EA11" i="2"/>
  <c r="DZ11" i="2"/>
  <c r="EE10" i="2"/>
  <c r="ED10" i="2"/>
  <c r="EB10" i="2"/>
  <c r="EA10" i="2"/>
  <c r="DZ10" i="2"/>
  <c r="EE9" i="2"/>
  <c r="ED9" i="2"/>
  <c r="EB9" i="2"/>
  <c r="EA9" i="2"/>
  <c r="DZ9" i="2"/>
  <c r="EE8" i="2"/>
  <c r="ED8" i="2"/>
  <c r="EB8" i="2"/>
  <c r="EA8" i="2"/>
  <c r="DZ8" i="2"/>
  <c r="EE6" i="2"/>
  <c r="ED6" i="2"/>
  <c r="EB6" i="2"/>
  <c r="EA6" i="2"/>
  <c r="DZ6" i="2"/>
  <c r="EE7" i="2"/>
  <c r="ED7" i="2"/>
  <c r="EB7" i="2"/>
  <c r="EA7" i="2"/>
  <c r="DZ7" i="2"/>
  <c r="EE5" i="2"/>
  <c r="ED5" i="2"/>
  <c r="EB5" i="2"/>
  <c r="EA5" i="2"/>
  <c r="DZ5" i="2"/>
  <c r="EE4" i="2"/>
  <c r="ED4" i="2"/>
  <c r="EB4" i="2"/>
  <c r="EA4" i="2"/>
  <c r="DZ4" i="2"/>
  <c r="DI15" i="2"/>
  <c r="DH15" i="2"/>
  <c r="DF15" i="2"/>
  <c r="DE15" i="2"/>
  <c r="DD15" i="2"/>
  <c r="DI14" i="2"/>
  <c r="DH14" i="2"/>
  <c r="DF14" i="2"/>
  <c r="DE14" i="2"/>
  <c r="DD14" i="2"/>
  <c r="DI13" i="2"/>
  <c r="DH13" i="2"/>
  <c r="DF13" i="2"/>
  <c r="DE13" i="2"/>
  <c r="DD13" i="2"/>
  <c r="DI12" i="2"/>
  <c r="DH12" i="2"/>
  <c r="DF12" i="2"/>
  <c r="DE12" i="2"/>
  <c r="DD12" i="2"/>
  <c r="DI11" i="2"/>
  <c r="DH11" i="2"/>
  <c r="DF11" i="2"/>
  <c r="DE11" i="2"/>
  <c r="DD11" i="2"/>
  <c r="DI10" i="2"/>
  <c r="DH10" i="2"/>
  <c r="DF10" i="2"/>
  <c r="DE10" i="2"/>
  <c r="DD10" i="2"/>
  <c r="DI9" i="2"/>
  <c r="DH9" i="2"/>
  <c r="DF9" i="2"/>
  <c r="DE9" i="2"/>
  <c r="DD9" i="2"/>
  <c r="DI8" i="2"/>
  <c r="DH8" i="2"/>
  <c r="DF8" i="2"/>
  <c r="DE8" i="2"/>
  <c r="DD8" i="2"/>
  <c r="DI6" i="2"/>
  <c r="DH6" i="2"/>
  <c r="DF6" i="2"/>
  <c r="DE6" i="2"/>
  <c r="DD6" i="2"/>
  <c r="DI7" i="2"/>
  <c r="DH7" i="2"/>
  <c r="DF7" i="2"/>
  <c r="DE7" i="2"/>
  <c r="DD7" i="2"/>
  <c r="DI5" i="2"/>
  <c r="DH5" i="2"/>
  <c r="DF5" i="2"/>
  <c r="DE5" i="2"/>
  <c r="DD5" i="2"/>
  <c r="DI4" i="2"/>
  <c r="DH4" i="2"/>
  <c r="DF4" i="2"/>
  <c r="DE4" i="2"/>
  <c r="DD4" i="2"/>
  <c r="CM15" i="2"/>
  <c r="CL15" i="2"/>
  <c r="CJ15" i="2"/>
  <c r="CI15" i="2"/>
  <c r="CH15" i="2"/>
  <c r="CM14" i="2"/>
  <c r="CL14" i="2"/>
  <c r="CJ14" i="2"/>
  <c r="CI14" i="2"/>
  <c r="CH14" i="2"/>
  <c r="CM13" i="2"/>
  <c r="CL13" i="2"/>
  <c r="CJ13" i="2"/>
  <c r="CI13" i="2"/>
  <c r="CH13" i="2"/>
  <c r="CM12" i="2"/>
  <c r="CL12" i="2"/>
  <c r="CJ12" i="2"/>
  <c r="CI12" i="2"/>
  <c r="CH12" i="2"/>
  <c r="CM11" i="2"/>
  <c r="CL11" i="2"/>
  <c r="CJ11" i="2"/>
  <c r="CI11" i="2"/>
  <c r="CK11" i="2" s="1"/>
  <c r="CH11" i="2"/>
  <c r="CM10" i="2"/>
  <c r="CL10" i="2"/>
  <c r="CJ10" i="2"/>
  <c r="CI10" i="2"/>
  <c r="CH10" i="2"/>
  <c r="CM9" i="2"/>
  <c r="CL9" i="2"/>
  <c r="CJ9" i="2"/>
  <c r="CI9" i="2"/>
  <c r="CH9" i="2"/>
  <c r="CM8" i="2"/>
  <c r="CL8" i="2"/>
  <c r="CJ8" i="2"/>
  <c r="CI8" i="2"/>
  <c r="CH8" i="2"/>
  <c r="CM6" i="2"/>
  <c r="CL6" i="2"/>
  <c r="CJ6" i="2"/>
  <c r="CI6" i="2"/>
  <c r="CH6" i="2"/>
  <c r="CM7" i="2"/>
  <c r="CL7" i="2"/>
  <c r="CJ7" i="2"/>
  <c r="CI7" i="2"/>
  <c r="CH7" i="2"/>
  <c r="CM5" i="2"/>
  <c r="CL5" i="2"/>
  <c r="CJ5" i="2"/>
  <c r="CI5" i="2"/>
  <c r="CH5" i="2"/>
  <c r="CM4" i="2"/>
  <c r="CL4" i="2"/>
  <c r="CJ4" i="2"/>
  <c r="CI4" i="2"/>
  <c r="CH4" i="2"/>
  <c r="KY20" i="4"/>
  <c r="KX20" i="4"/>
  <c r="KV20" i="4"/>
  <c r="KU20" i="4"/>
  <c r="KT20" i="4"/>
  <c r="KY19" i="4"/>
  <c r="KX19" i="4"/>
  <c r="KV19" i="4"/>
  <c r="KU19" i="4"/>
  <c r="KT19" i="4"/>
  <c r="KY18" i="4"/>
  <c r="KX18" i="4"/>
  <c r="KV18" i="4"/>
  <c r="KU18" i="4"/>
  <c r="KT18" i="4"/>
  <c r="KY17" i="4"/>
  <c r="KX17" i="4"/>
  <c r="KV17" i="4"/>
  <c r="KU17" i="4"/>
  <c r="KW17" i="4" s="1"/>
  <c r="KT17" i="4"/>
  <c r="KY16" i="4"/>
  <c r="KX16" i="4"/>
  <c r="KV16" i="4"/>
  <c r="KU16" i="4"/>
  <c r="KT16" i="4"/>
  <c r="KY15" i="4"/>
  <c r="KX15" i="4"/>
  <c r="KV15" i="4"/>
  <c r="KU15" i="4"/>
  <c r="KT15" i="4"/>
  <c r="KY14" i="4"/>
  <c r="KX14" i="4"/>
  <c r="KV14" i="4"/>
  <c r="KU14" i="4"/>
  <c r="KT14" i="4"/>
  <c r="KY12" i="4"/>
  <c r="KX12" i="4"/>
  <c r="KV12" i="4"/>
  <c r="KU12" i="4"/>
  <c r="KW12" i="4" s="1"/>
  <c r="KT12" i="4"/>
  <c r="KY11" i="4"/>
  <c r="KX11" i="4"/>
  <c r="KV11" i="4"/>
  <c r="KU11" i="4"/>
  <c r="KT11" i="4"/>
  <c r="KY10" i="4"/>
  <c r="KX10" i="4"/>
  <c r="KV10" i="4"/>
  <c r="KU10" i="4"/>
  <c r="KT10" i="4"/>
  <c r="KY9" i="4"/>
  <c r="KX9" i="4"/>
  <c r="KV9" i="4"/>
  <c r="KU9" i="4"/>
  <c r="KT9" i="4"/>
  <c r="KY13" i="4"/>
  <c r="KX13" i="4"/>
  <c r="KV13" i="4"/>
  <c r="KU13" i="4"/>
  <c r="KT13" i="4"/>
  <c r="KY8" i="4"/>
  <c r="KX8" i="4"/>
  <c r="KV8" i="4"/>
  <c r="KU8" i="4"/>
  <c r="KT8" i="4"/>
  <c r="KY7" i="4"/>
  <c r="KX7" i="4"/>
  <c r="KV7" i="4"/>
  <c r="KW7" i="4" s="1"/>
  <c r="KU7" i="4"/>
  <c r="KT7" i="4"/>
  <c r="KY6" i="4"/>
  <c r="KX6" i="4"/>
  <c r="KV6" i="4"/>
  <c r="KU6" i="4"/>
  <c r="KT6" i="4"/>
  <c r="KY5" i="4"/>
  <c r="KX5" i="4"/>
  <c r="KV5" i="4"/>
  <c r="KU5" i="4"/>
  <c r="KW5" i="4" s="1"/>
  <c r="KT5" i="4"/>
  <c r="KY4" i="4"/>
  <c r="KX4" i="4"/>
  <c r="KV4" i="4"/>
  <c r="KU4" i="4"/>
  <c r="KT4" i="4"/>
  <c r="KC20" i="4"/>
  <c r="KB20" i="4"/>
  <c r="JZ20" i="4"/>
  <c r="JY20" i="4"/>
  <c r="JX20" i="4"/>
  <c r="KC19" i="4"/>
  <c r="KB19" i="4"/>
  <c r="JZ19" i="4"/>
  <c r="JY19" i="4"/>
  <c r="KA19" i="4" s="1"/>
  <c r="JX19" i="4"/>
  <c r="KC18" i="4"/>
  <c r="KB18" i="4"/>
  <c r="JZ18" i="4"/>
  <c r="JY18" i="4"/>
  <c r="KA18" i="4" s="1"/>
  <c r="JX18" i="4"/>
  <c r="KC17" i="4"/>
  <c r="KB17" i="4"/>
  <c r="JZ17" i="4"/>
  <c r="JY17" i="4"/>
  <c r="JX17" i="4"/>
  <c r="KC16" i="4"/>
  <c r="KB16" i="4"/>
  <c r="JZ16" i="4"/>
  <c r="JY16" i="4"/>
  <c r="JX16" i="4"/>
  <c r="KC15" i="4"/>
  <c r="KB15" i="4"/>
  <c r="JZ15" i="4"/>
  <c r="JY15" i="4"/>
  <c r="JX15" i="4"/>
  <c r="KC14" i="4"/>
  <c r="KB14" i="4"/>
  <c r="JZ14" i="4"/>
  <c r="JY14" i="4"/>
  <c r="JX14" i="4"/>
  <c r="KC12" i="4"/>
  <c r="KB12" i="4"/>
  <c r="JZ12" i="4"/>
  <c r="JY12" i="4"/>
  <c r="JX12" i="4"/>
  <c r="KC11" i="4"/>
  <c r="KB11" i="4"/>
  <c r="JZ11" i="4"/>
  <c r="JY11" i="4"/>
  <c r="JX11" i="4"/>
  <c r="KC10" i="4"/>
  <c r="KB10" i="4"/>
  <c r="JZ10" i="4"/>
  <c r="JY10" i="4"/>
  <c r="KA10" i="4" s="1"/>
  <c r="JX10" i="4"/>
  <c r="KC9" i="4"/>
  <c r="KB9" i="4"/>
  <c r="JZ9" i="4"/>
  <c r="JY9" i="4"/>
  <c r="JX9" i="4"/>
  <c r="KC13" i="4"/>
  <c r="KB13" i="4"/>
  <c r="JZ13" i="4"/>
  <c r="JY13" i="4"/>
  <c r="JX13" i="4"/>
  <c r="KC8" i="4"/>
  <c r="KB8" i="4"/>
  <c r="JZ8" i="4"/>
  <c r="JY8" i="4"/>
  <c r="JX8" i="4"/>
  <c r="KC7" i="4"/>
  <c r="KB7" i="4"/>
  <c r="JZ7" i="4"/>
  <c r="JY7" i="4"/>
  <c r="JX7" i="4"/>
  <c r="KC6" i="4"/>
  <c r="KB6" i="4"/>
  <c r="JZ6" i="4"/>
  <c r="JY6" i="4"/>
  <c r="JX6" i="4"/>
  <c r="KC5" i="4"/>
  <c r="KB5" i="4"/>
  <c r="JZ5" i="4"/>
  <c r="JY5" i="4"/>
  <c r="JX5" i="4"/>
  <c r="KC4" i="4"/>
  <c r="KB4" i="4"/>
  <c r="JZ4" i="4"/>
  <c r="JY4" i="4"/>
  <c r="JX4" i="4"/>
  <c r="JG20" i="4"/>
  <c r="JF20" i="4"/>
  <c r="JD20" i="4"/>
  <c r="JC20" i="4"/>
  <c r="JB20" i="4"/>
  <c r="JG19" i="4"/>
  <c r="JF19" i="4"/>
  <c r="JD19" i="4"/>
  <c r="JC19" i="4"/>
  <c r="JB19" i="4"/>
  <c r="JG18" i="4"/>
  <c r="JF18" i="4"/>
  <c r="JD18" i="4"/>
  <c r="JC18" i="4"/>
  <c r="JB18" i="4"/>
  <c r="JG17" i="4"/>
  <c r="JF17" i="4"/>
  <c r="JD17" i="4"/>
  <c r="JC17" i="4"/>
  <c r="JB17" i="4"/>
  <c r="JG16" i="4"/>
  <c r="JF16" i="4"/>
  <c r="JD16" i="4"/>
  <c r="JC16" i="4"/>
  <c r="JB16" i="4"/>
  <c r="JG15" i="4"/>
  <c r="JF15" i="4"/>
  <c r="JD15" i="4"/>
  <c r="JC15" i="4"/>
  <c r="JB15" i="4"/>
  <c r="JG14" i="4"/>
  <c r="JF14" i="4"/>
  <c r="JD14" i="4"/>
  <c r="JC14" i="4"/>
  <c r="JB14" i="4"/>
  <c r="JG12" i="4"/>
  <c r="JF12" i="4"/>
  <c r="JD12" i="4"/>
  <c r="JC12" i="4"/>
  <c r="JB12" i="4"/>
  <c r="JG11" i="4"/>
  <c r="JF11" i="4"/>
  <c r="JD11" i="4"/>
  <c r="JC11" i="4"/>
  <c r="JB11" i="4"/>
  <c r="JG10" i="4"/>
  <c r="JF10" i="4"/>
  <c r="JD10" i="4"/>
  <c r="JC10" i="4"/>
  <c r="JB10" i="4"/>
  <c r="JG9" i="4"/>
  <c r="JF9" i="4"/>
  <c r="JD9" i="4"/>
  <c r="JC9" i="4"/>
  <c r="JB9" i="4"/>
  <c r="JG13" i="4"/>
  <c r="JF13" i="4"/>
  <c r="JD13" i="4"/>
  <c r="JC13" i="4"/>
  <c r="JB13" i="4"/>
  <c r="JG8" i="4"/>
  <c r="JF8" i="4"/>
  <c r="JD8" i="4"/>
  <c r="JC8" i="4"/>
  <c r="JB8" i="4"/>
  <c r="JG7" i="4"/>
  <c r="JF7" i="4"/>
  <c r="JD7" i="4"/>
  <c r="JC7" i="4"/>
  <c r="JB7" i="4"/>
  <c r="JG6" i="4"/>
  <c r="JF6" i="4"/>
  <c r="JD6" i="4"/>
  <c r="JC6" i="4"/>
  <c r="JB6" i="4"/>
  <c r="JG5" i="4"/>
  <c r="JF5" i="4"/>
  <c r="JD5" i="4"/>
  <c r="JC5" i="4"/>
  <c r="JB5" i="4"/>
  <c r="JG4" i="4"/>
  <c r="JF4" i="4"/>
  <c r="JD4" i="4"/>
  <c r="JC4" i="4"/>
  <c r="JB4" i="4"/>
  <c r="IK20" i="4"/>
  <c r="IJ20" i="4"/>
  <c r="IH20" i="4"/>
  <c r="IG20" i="4"/>
  <c r="IF20" i="4"/>
  <c r="IK19" i="4"/>
  <c r="IJ19" i="4"/>
  <c r="IH19" i="4"/>
  <c r="IG19" i="4"/>
  <c r="IF19" i="4"/>
  <c r="IK18" i="4"/>
  <c r="IJ18" i="4"/>
  <c r="IH18" i="4"/>
  <c r="IG18" i="4"/>
  <c r="IF18" i="4"/>
  <c r="IK17" i="4"/>
  <c r="IJ17" i="4"/>
  <c r="IH17" i="4"/>
  <c r="IG17" i="4"/>
  <c r="IF17" i="4"/>
  <c r="IK16" i="4"/>
  <c r="IJ16" i="4"/>
  <c r="IH16" i="4"/>
  <c r="IG16" i="4"/>
  <c r="IF16" i="4"/>
  <c r="IK15" i="4"/>
  <c r="IJ15" i="4"/>
  <c r="IH15" i="4"/>
  <c r="IG15" i="4"/>
  <c r="IF15" i="4"/>
  <c r="IK14" i="4"/>
  <c r="IJ14" i="4"/>
  <c r="IH14" i="4"/>
  <c r="IG14" i="4"/>
  <c r="IF14" i="4"/>
  <c r="IK12" i="4"/>
  <c r="IJ12" i="4"/>
  <c r="IH12" i="4"/>
  <c r="IG12" i="4"/>
  <c r="IF12" i="4"/>
  <c r="IK11" i="4"/>
  <c r="IJ11" i="4"/>
  <c r="IH11" i="4"/>
  <c r="IG11" i="4"/>
  <c r="IF11" i="4"/>
  <c r="IK10" i="4"/>
  <c r="IJ10" i="4"/>
  <c r="IH10" i="4"/>
  <c r="IG10" i="4"/>
  <c r="IF10" i="4"/>
  <c r="IK9" i="4"/>
  <c r="IJ9" i="4"/>
  <c r="IH9" i="4"/>
  <c r="IG9" i="4"/>
  <c r="IF9" i="4"/>
  <c r="IK13" i="4"/>
  <c r="IJ13" i="4"/>
  <c r="IH13" i="4"/>
  <c r="IG13" i="4"/>
  <c r="IF13" i="4"/>
  <c r="IK8" i="4"/>
  <c r="IJ8" i="4"/>
  <c r="IH8" i="4"/>
  <c r="IG8" i="4"/>
  <c r="IF8" i="4"/>
  <c r="IK7" i="4"/>
  <c r="IJ7" i="4"/>
  <c r="IH7" i="4"/>
  <c r="IG7" i="4"/>
  <c r="IF7" i="4"/>
  <c r="IK6" i="4"/>
  <c r="IJ6" i="4"/>
  <c r="IH6" i="4"/>
  <c r="IG6" i="4"/>
  <c r="IF6" i="4"/>
  <c r="IK5" i="4"/>
  <c r="IJ5" i="4"/>
  <c r="IH5" i="4"/>
  <c r="IG5" i="4"/>
  <c r="II5" i="4" s="1"/>
  <c r="IF5" i="4"/>
  <c r="IK4" i="4"/>
  <c r="IJ4" i="4"/>
  <c r="IH4" i="4"/>
  <c r="IG4" i="4"/>
  <c r="IF4" i="4"/>
  <c r="HO20" i="4"/>
  <c r="HN20" i="4"/>
  <c r="HL20" i="4"/>
  <c r="HK20" i="4"/>
  <c r="HJ20" i="4"/>
  <c r="HO19" i="4"/>
  <c r="HN19" i="4"/>
  <c r="HL19" i="4"/>
  <c r="HK19" i="4"/>
  <c r="HJ19" i="4"/>
  <c r="HO18" i="4"/>
  <c r="HN18" i="4"/>
  <c r="HL18" i="4"/>
  <c r="HK18" i="4"/>
  <c r="HJ18" i="4"/>
  <c r="HO17" i="4"/>
  <c r="HN17" i="4"/>
  <c r="HL17" i="4"/>
  <c r="HK17" i="4"/>
  <c r="HJ17" i="4"/>
  <c r="HO16" i="4"/>
  <c r="HN16" i="4"/>
  <c r="HL16" i="4"/>
  <c r="HK16" i="4"/>
  <c r="HJ16" i="4"/>
  <c r="HO15" i="4"/>
  <c r="HN15" i="4"/>
  <c r="HL15" i="4"/>
  <c r="HK15" i="4"/>
  <c r="HJ15" i="4"/>
  <c r="HO14" i="4"/>
  <c r="HN14" i="4"/>
  <c r="HL14" i="4"/>
  <c r="HK14" i="4"/>
  <c r="HJ14" i="4"/>
  <c r="HO12" i="4"/>
  <c r="HN12" i="4"/>
  <c r="HL12" i="4"/>
  <c r="HK12" i="4"/>
  <c r="HJ12" i="4"/>
  <c r="HO11" i="4"/>
  <c r="HN11" i="4"/>
  <c r="HL11" i="4"/>
  <c r="HK11" i="4"/>
  <c r="HJ11" i="4"/>
  <c r="HO10" i="4"/>
  <c r="HN10" i="4"/>
  <c r="HL10" i="4"/>
  <c r="HK10" i="4"/>
  <c r="HJ10" i="4"/>
  <c r="HO9" i="4"/>
  <c r="HN9" i="4"/>
  <c r="HL9" i="4"/>
  <c r="HK9" i="4"/>
  <c r="HJ9" i="4"/>
  <c r="HO13" i="4"/>
  <c r="HN13" i="4"/>
  <c r="HL13" i="4"/>
  <c r="HK13" i="4"/>
  <c r="HJ13" i="4"/>
  <c r="HO8" i="4"/>
  <c r="HN8" i="4"/>
  <c r="HL8" i="4"/>
  <c r="HK8" i="4"/>
  <c r="HJ8" i="4"/>
  <c r="HO7" i="4"/>
  <c r="HN7" i="4"/>
  <c r="HL7" i="4"/>
  <c r="HK7" i="4"/>
  <c r="HJ7" i="4"/>
  <c r="HO6" i="4"/>
  <c r="HN6" i="4"/>
  <c r="HL6" i="4"/>
  <c r="HK6" i="4"/>
  <c r="HJ6" i="4"/>
  <c r="HO5" i="4"/>
  <c r="HN5" i="4"/>
  <c r="HL5" i="4"/>
  <c r="HK5" i="4"/>
  <c r="HJ5" i="4"/>
  <c r="HO4" i="4"/>
  <c r="HN4" i="4"/>
  <c r="HL4" i="4"/>
  <c r="HK4" i="4"/>
  <c r="HJ4" i="4"/>
  <c r="GS20" i="4"/>
  <c r="GR20" i="4"/>
  <c r="GP20" i="4"/>
  <c r="GO20" i="4"/>
  <c r="GN20" i="4"/>
  <c r="GS19" i="4"/>
  <c r="GR19" i="4"/>
  <c r="GP19" i="4"/>
  <c r="GO19" i="4"/>
  <c r="GN19" i="4"/>
  <c r="GS18" i="4"/>
  <c r="GR18" i="4"/>
  <c r="GP18" i="4"/>
  <c r="GO18" i="4"/>
  <c r="GN18" i="4"/>
  <c r="GS17" i="4"/>
  <c r="GR17" i="4"/>
  <c r="GP17" i="4"/>
  <c r="GO17" i="4"/>
  <c r="GN17" i="4"/>
  <c r="GS16" i="4"/>
  <c r="GR16" i="4"/>
  <c r="GP16" i="4"/>
  <c r="GO16" i="4"/>
  <c r="GN16" i="4"/>
  <c r="GS15" i="4"/>
  <c r="GR15" i="4"/>
  <c r="GP15" i="4"/>
  <c r="GO15" i="4"/>
  <c r="GN15" i="4"/>
  <c r="GS14" i="4"/>
  <c r="GR14" i="4"/>
  <c r="GP14" i="4"/>
  <c r="GO14" i="4"/>
  <c r="GN14" i="4"/>
  <c r="GS12" i="4"/>
  <c r="GR12" i="4"/>
  <c r="GP12" i="4"/>
  <c r="GO12" i="4"/>
  <c r="GN12" i="4"/>
  <c r="GS11" i="4"/>
  <c r="GR11" i="4"/>
  <c r="GP11" i="4"/>
  <c r="GO11" i="4"/>
  <c r="GN11" i="4"/>
  <c r="GS10" i="4"/>
  <c r="GR10" i="4"/>
  <c r="GP10" i="4"/>
  <c r="GO10" i="4"/>
  <c r="GN10" i="4"/>
  <c r="GS9" i="4"/>
  <c r="GR9" i="4"/>
  <c r="GP9" i="4"/>
  <c r="GO9" i="4"/>
  <c r="GN9" i="4"/>
  <c r="GS13" i="4"/>
  <c r="GR13" i="4"/>
  <c r="GP13" i="4"/>
  <c r="GO13" i="4"/>
  <c r="GN13" i="4"/>
  <c r="GS8" i="4"/>
  <c r="GR8" i="4"/>
  <c r="GP8" i="4"/>
  <c r="GO8" i="4"/>
  <c r="GN8" i="4"/>
  <c r="GS7" i="4"/>
  <c r="GR7" i="4"/>
  <c r="GP7" i="4"/>
  <c r="GO7" i="4"/>
  <c r="GN7" i="4"/>
  <c r="GS6" i="4"/>
  <c r="GR6" i="4"/>
  <c r="GP6" i="4"/>
  <c r="GO6" i="4"/>
  <c r="GN6" i="4"/>
  <c r="GS5" i="4"/>
  <c r="GR5" i="4"/>
  <c r="GP5" i="4"/>
  <c r="GO5" i="4"/>
  <c r="GN5" i="4"/>
  <c r="GS4" i="4"/>
  <c r="GR4" i="4"/>
  <c r="GP4" i="4"/>
  <c r="GO4" i="4"/>
  <c r="GN4" i="4"/>
  <c r="FW20" i="4"/>
  <c r="FV20" i="4"/>
  <c r="FT20" i="4"/>
  <c r="FS20" i="4"/>
  <c r="FR20" i="4"/>
  <c r="FW19" i="4"/>
  <c r="FV19" i="4"/>
  <c r="FT19" i="4"/>
  <c r="FS19" i="4"/>
  <c r="FR19" i="4"/>
  <c r="FW18" i="4"/>
  <c r="FV18" i="4"/>
  <c r="FT18" i="4"/>
  <c r="FS18" i="4"/>
  <c r="FR18" i="4"/>
  <c r="FW17" i="4"/>
  <c r="FV17" i="4"/>
  <c r="FT17" i="4"/>
  <c r="FS17" i="4"/>
  <c r="FR17" i="4"/>
  <c r="FW16" i="4"/>
  <c r="FV16" i="4"/>
  <c r="FT16" i="4"/>
  <c r="FS16" i="4"/>
  <c r="FR16" i="4"/>
  <c r="FW15" i="4"/>
  <c r="FV15" i="4"/>
  <c r="FT15" i="4"/>
  <c r="FS15" i="4"/>
  <c r="FR15" i="4"/>
  <c r="FW14" i="4"/>
  <c r="FV14" i="4"/>
  <c r="FT14" i="4"/>
  <c r="FS14" i="4"/>
  <c r="FU14" i="4" s="1"/>
  <c r="FR14" i="4"/>
  <c r="FW12" i="4"/>
  <c r="FV12" i="4"/>
  <c r="FT12" i="4"/>
  <c r="FS12" i="4"/>
  <c r="FR12" i="4"/>
  <c r="FW11" i="4"/>
  <c r="FV11" i="4"/>
  <c r="FT11" i="4"/>
  <c r="FS11" i="4"/>
  <c r="FR11" i="4"/>
  <c r="FW10" i="4"/>
  <c r="FV10" i="4"/>
  <c r="FT10" i="4"/>
  <c r="FS10" i="4"/>
  <c r="FR10" i="4"/>
  <c r="FW9" i="4"/>
  <c r="FV9" i="4"/>
  <c r="FT9" i="4"/>
  <c r="FS9" i="4"/>
  <c r="FR9" i="4"/>
  <c r="FW13" i="4"/>
  <c r="FV13" i="4"/>
  <c r="FT13" i="4"/>
  <c r="FS13" i="4"/>
  <c r="FR13" i="4"/>
  <c r="FW8" i="4"/>
  <c r="FV8" i="4"/>
  <c r="FT8" i="4"/>
  <c r="FS8" i="4"/>
  <c r="FR8" i="4"/>
  <c r="FW7" i="4"/>
  <c r="FV7" i="4"/>
  <c r="FT7" i="4"/>
  <c r="FS7" i="4"/>
  <c r="FR7" i="4"/>
  <c r="FW6" i="4"/>
  <c r="FV6" i="4"/>
  <c r="FT6" i="4"/>
  <c r="FS6" i="4"/>
  <c r="FR6" i="4"/>
  <c r="FW5" i="4"/>
  <c r="FV5" i="4"/>
  <c r="FT5" i="4"/>
  <c r="FS5" i="4"/>
  <c r="FR5" i="4"/>
  <c r="FW4" i="4"/>
  <c r="FV4" i="4"/>
  <c r="FT4" i="4"/>
  <c r="FS4" i="4"/>
  <c r="FR4" i="4"/>
  <c r="FA20" i="4"/>
  <c r="EZ20" i="4"/>
  <c r="EX20" i="4"/>
  <c r="EW20" i="4"/>
  <c r="EV20" i="4"/>
  <c r="FA19" i="4"/>
  <c r="EZ19" i="4"/>
  <c r="EX19" i="4"/>
  <c r="EW19" i="4"/>
  <c r="EY19" i="4" s="1"/>
  <c r="EV19" i="4"/>
  <c r="FA18" i="4"/>
  <c r="EZ18" i="4"/>
  <c r="EX18" i="4"/>
  <c r="EW18" i="4"/>
  <c r="EV18" i="4"/>
  <c r="FA17" i="4"/>
  <c r="EZ17" i="4"/>
  <c r="EX17" i="4"/>
  <c r="EW17" i="4"/>
  <c r="EV17" i="4"/>
  <c r="FA16" i="4"/>
  <c r="EZ16" i="4"/>
  <c r="EX16" i="4"/>
  <c r="EW16" i="4"/>
  <c r="EV16" i="4"/>
  <c r="FA15" i="4"/>
  <c r="EZ15" i="4"/>
  <c r="EX15" i="4"/>
  <c r="EW15" i="4"/>
  <c r="EV15" i="4"/>
  <c r="FA14" i="4"/>
  <c r="EZ14" i="4"/>
  <c r="EX14" i="4"/>
  <c r="EW14" i="4"/>
  <c r="EV14" i="4"/>
  <c r="FA12" i="4"/>
  <c r="EZ12" i="4"/>
  <c r="EX12" i="4"/>
  <c r="EW12" i="4"/>
  <c r="EV12" i="4"/>
  <c r="FA11" i="4"/>
  <c r="EZ11" i="4"/>
  <c r="EX11" i="4"/>
  <c r="EW11" i="4"/>
  <c r="EV11" i="4"/>
  <c r="FA10" i="4"/>
  <c r="EZ10" i="4"/>
  <c r="EX10" i="4"/>
  <c r="EW10" i="4"/>
  <c r="EY10" i="4" s="1"/>
  <c r="EV10" i="4"/>
  <c r="FA9" i="4"/>
  <c r="EZ9" i="4"/>
  <c r="EX9" i="4"/>
  <c r="EW9" i="4"/>
  <c r="EV9" i="4"/>
  <c r="FA13" i="4"/>
  <c r="EZ13" i="4"/>
  <c r="EX13" i="4"/>
  <c r="EW13" i="4"/>
  <c r="EV13" i="4"/>
  <c r="FA8" i="4"/>
  <c r="EZ8" i="4"/>
  <c r="EX8" i="4"/>
  <c r="EW8" i="4"/>
  <c r="EV8" i="4"/>
  <c r="FA7" i="4"/>
  <c r="EZ7" i="4"/>
  <c r="EX7" i="4"/>
  <c r="EW7" i="4"/>
  <c r="EV7" i="4"/>
  <c r="FA6" i="4"/>
  <c r="EZ6" i="4"/>
  <c r="EX6" i="4"/>
  <c r="EW6" i="4"/>
  <c r="EV6" i="4"/>
  <c r="FA5" i="4"/>
  <c r="EZ5" i="4"/>
  <c r="EX5" i="4"/>
  <c r="EW5" i="4"/>
  <c r="EV5" i="4"/>
  <c r="FA4" i="4"/>
  <c r="EZ4" i="4"/>
  <c r="EX4" i="4"/>
  <c r="EW4" i="4"/>
  <c r="EV4" i="4"/>
  <c r="EE20" i="4"/>
  <c r="ED20" i="4"/>
  <c r="EB20" i="4"/>
  <c r="EA20" i="4"/>
  <c r="DZ20" i="4"/>
  <c r="EE19" i="4"/>
  <c r="ED19" i="4"/>
  <c r="EB19" i="4"/>
  <c r="EA19" i="4"/>
  <c r="DZ19" i="4"/>
  <c r="EE18" i="4"/>
  <c r="ED18" i="4"/>
  <c r="EB18" i="4"/>
  <c r="EA18" i="4"/>
  <c r="DZ18" i="4"/>
  <c r="EE17" i="4"/>
  <c r="ED17" i="4"/>
  <c r="EB17" i="4"/>
  <c r="EA17" i="4"/>
  <c r="DZ17" i="4"/>
  <c r="EE16" i="4"/>
  <c r="ED16" i="4"/>
  <c r="EB16" i="4"/>
  <c r="EA16" i="4"/>
  <c r="DZ16" i="4"/>
  <c r="EE15" i="4"/>
  <c r="ED15" i="4"/>
  <c r="EB15" i="4"/>
  <c r="EA15" i="4"/>
  <c r="DZ15" i="4"/>
  <c r="EE14" i="4"/>
  <c r="ED14" i="4"/>
  <c r="EB14" i="4"/>
  <c r="EA14" i="4"/>
  <c r="DZ14" i="4"/>
  <c r="EE12" i="4"/>
  <c r="ED12" i="4"/>
  <c r="EB12" i="4"/>
  <c r="EA12" i="4"/>
  <c r="DZ12" i="4"/>
  <c r="EE11" i="4"/>
  <c r="ED11" i="4"/>
  <c r="EB11" i="4"/>
  <c r="EA11" i="4"/>
  <c r="DZ11" i="4"/>
  <c r="EE10" i="4"/>
  <c r="ED10" i="4"/>
  <c r="EB10" i="4"/>
  <c r="EA10" i="4"/>
  <c r="DZ10" i="4"/>
  <c r="EE9" i="4"/>
  <c r="ED9" i="4"/>
  <c r="EB9" i="4"/>
  <c r="EA9" i="4"/>
  <c r="DZ9" i="4"/>
  <c r="EE13" i="4"/>
  <c r="ED13" i="4"/>
  <c r="EB13" i="4"/>
  <c r="EA13" i="4"/>
  <c r="DZ13" i="4"/>
  <c r="EE8" i="4"/>
  <c r="ED8" i="4"/>
  <c r="EB8" i="4"/>
  <c r="EA8" i="4"/>
  <c r="DZ8" i="4"/>
  <c r="EE7" i="4"/>
  <c r="ED7" i="4"/>
  <c r="EB7" i="4"/>
  <c r="EA7" i="4"/>
  <c r="DZ7" i="4"/>
  <c r="EE6" i="4"/>
  <c r="ED6" i="4"/>
  <c r="EB6" i="4"/>
  <c r="EA6" i="4"/>
  <c r="DZ6" i="4"/>
  <c r="EE5" i="4"/>
  <c r="ED5" i="4"/>
  <c r="EB5" i="4"/>
  <c r="EA5" i="4"/>
  <c r="DZ5" i="4"/>
  <c r="EE4" i="4"/>
  <c r="ED4" i="4"/>
  <c r="EB4" i="4"/>
  <c r="EA4" i="4"/>
  <c r="DZ4" i="4"/>
  <c r="DI20" i="4"/>
  <c r="DH20" i="4"/>
  <c r="DF20" i="4"/>
  <c r="DE20" i="4"/>
  <c r="DD20" i="4"/>
  <c r="DI19" i="4"/>
  <c r="DH19" i="4"/>
  <c r="DF19" i="4"/>
  <c r="DE19" i="4"/>
  <c r="DD19" i="4"/>
  <c r="DI18" i="4"/>
  <c r="DH18" i="4"/>
  <c r="DF18" i="4"/>
  <c r="DE18" i="4"/>
  <c r="DD18" i="4"/>
  <c r="DI17" i="4"/>
  <c r="DH17" i="4"/>
  <c r="DF17" i="4"/>
  <c r="DE17" i="4"/>
  <c r="DD17" i="4"/>
  <c r="DI16" i="4"/>
  <c r="DH16" i="4"/>
  <c r="DF16" i="4"/>
  <c r="DE16" i="4"/>
  <c r="DD16" i="4"/>
  <c r="DI15" i="4"/>
  <c r="DH15" i="4"/>
  <c r="DF15" i="4"/>
  <c r="DE15" i="4"/>
  <c r="DD15" i="4"/>
  <c r="DI14" i="4"/>
  <c r="DH14" i="4"/>
  <c r="DF14" i="4"/>
  <c r="DE14" i="4"/>
  <c r="DD14" i="4"/>
  <c r="DI12" i="4"/>
  <c r="DH12" i="4"/>
  <c r="DF12" i="4"/>
  <c r="DE12" i="4"/>
  <c r="DD12" i="4"/>
  <c r="DI11" i="4"/>
  <c r="DH11" i="4"/>
  <c r="DF11" i="4"/>
  <c r="DE11" i="4"/>
  <c r="DD11" i="4"/>
  <c r="DI10" i="4"/>
  <c r="DH10" i="4"/>
  <c r="DF10" i="4"/>
  <c r="DE10" i="4"/>
  <c r="DD10" i="4"/>
  <c r="DI9" i="4"/>
  <c r="DH9" i="4"/>
  <c r="DF9" i="4"/>
  <c r="DE9" i="4"/>
  <c r="DD9" i="4"/>
  <c r="DI13" i="4"/>
  <c r="DH13" i="4"/>
  <c r="DF13" i="4"/>
  <c r="DE13" i="4"/>
  <c r="DD13" i="4"/>
  <c r="DI8" i="4"/>
  <c r="DH8" i="4"/>
  <c r="DF8" i="4"/>
  <c r="DE8" i="4"/>
  <c r="DD8" i="4"/>
  <c r="DI7" i="4"/>
  <c r="DH7" i="4"/>
  <c r="DF7" i="4"/>
  <c r="DE7" i="4"/>
  <c r="DD7" i="4"/>
  <c r="DI6" i="4"/>
  <c r="DH6" i="4"/>
  <c r="DF6" i="4"/>
  <c r="DE6" i="4"/>
  <c r="DD6" i="4"/>
  <c r="DI5" i="4"/>
  <c r="DH5" i="4"/>
  <c r="DF5" i="4"/>
  <c r="DE5" i="4"/>
  <c r="DD5" i="4"/>
  <c r="DI4" i="4"/>
  <c r="DH4" i="4"/>
  <c r="DF4" i="4"/>
  <c r="DE4" i="4"/>
  <c r="DD4" i="4"/>
  <c r="CM20" i="4"/>
  <c r="CL20" i="4"/>
  <c r="CJ20" i="4"/>
  <c r="CI20" i="4"/>
  <c r="CH20" i="4"/>
  <c r="CM19" i="4"/>
  <c r="CL19" i="4"/>
  <c r="CJ19" i="4"/>
  <c r="CI19" i="4"/>
  <c r="CH19" i="4"/>
  <c r="CM18" i="4"/>
  <c r="CL18" i="4"/>
  <c r="CJ18" i="4"/>
  <c r="CI18" i="4"/>
  <c r="CH18" i="4"/>
  <c r="CM17" i="4"/>
  <c r="CL17" i="4"/>
  <c r="CJ17" i="4"/>
  <c r="CI17" i="4"/>
  <c r="CH17" i="4"/>
  <c r="CM16" i="4"/>
  <c r="CL16" i="4"/>
  <c r="CJ16" i="4"/>
  <c r="CI16" i="4"/>
  <c r="CH16" i="4"/>
  <c r="CM15" i="4"/>
  <c r="CL15" i="4"/>
  <c r="CJ15" i="4"/>
  <c r="CI15" i="4"/>
  <c r="CH15" i="4"/>
  <c r="CM14" i="4"/>
  <c r="CL14" i="4"/>
  <c r="CJ14" i="4"/>
  <c r="CI14" i="4"/>
  <c r="CH14" i="4"/>
  <c r="CM12" i="4"/>
  <c r="CL12" i="4"/>
  <c r="CJ12" i="4"/>
  <c r="CI12" i="4"/>
  <c r="CH12" i="4"/>
  <c r="CM11" i="4"/>
  <c r="CL11" i="4"/>
  <c r="CJ11" i="4"/>
  <c r="CI11" i="4"/>
  <c r="CH11" i="4"/>
  <c r="CM10" i="4"/>
  <c r="CL10" i="4"/>
  <c r="CJ10" i="4"/>
  <c r="CI10" i="4"/>
  <c r="CH10" i="4"/>
  <c r="CM9" i="4"/>
  <c r="CL9" i="4"/>
  <c r="CJ9" i="4"/>
  <c r="CI9" i="4"/>
  <c r="CH9" i="4"/>
  <c r="CM13" i="4"/>
  <c r="CL13" i="4"/>
  <c r="CJ13" i="4"/>
  <c r="CI13" i="4"/>
  <c r="CH13" i="4"/>
  <c r="CM8" i="4"/>
  <c r="CL8" i="4"/>
  <c r="CJ8" i="4"/>
  <c r="CI8" i="4"/>
  <c r="CH8" i="4"/>
  <c r="CM7" i="4"/>
  <c r="CL7" i="4"/>
  <c r="CJ7" i="4"/>
  <c r="CI7" i="4"/>
  <c r="CH7" i="4"/>
  <c r="CM6" i="4"/>
  <c r="CL6" i="4"/>
  <c r="CJ6" i="4"/>
  <c r="CI6" i="4"/>
  <c r="CH6" i="4"/>
  <c r="CM5" i="4"/>
  <c r="CL5" i="4"/>
  <c r="CJ5" i="4"/>
  <c r="CI5" i="4"/>
  <c r="CH5" i="4"/>
  <c r="CM4" i="4"/>
  <c r="CL4" i="4"/>
  <c r="CJ4" i="4"/>
  <c r="CI4" i="4"/>
  <c r="CH4" i="4"/>
  <c r="HA7" i="12" l="1"/>
  <c r="HV8" i="12"/>
  <c r="HV10" i="12"/>
  <c r="JL12" i="6"/>
  <c r="CB8" i="7"/>
  <c r="EJ8" i="7"/>
  <c r="HL8" i="7"/>
  <c r="KW8" i="10"/>
  <c r="KZ8" i="10" s="1"/>
  <c r="DG11" i="2"/>
  <c r="EY9" i="2"/>
  <c r="KA9" i="2"/>
  <c r="FX5" i="7"/>
  <c r="FD8" i="7"/>
  <c r="IZ5" i="7"/>
  <c r="II11" i="10"/>
  <c r="IL11" i="10" s="1"/>
  <c r="KW13" i="10"/>
  <c r="KW11" i="10"/>
  <c r="KZ11" i="10" s="1"/>
  <c r="KW5" i="10"/>
  <c r="KW9" i="9"/>
  <c r="EC5" i="9"/>
  <c r="KA11" i="9"/>
  <c r="KD11" i="9" s="1"/>
  <c r="HM10" i="9"/>
  <c r="HP10" i="9" s="1"/>
  <c r="HM13" i="9"/>
  <c r="HP13" i="9" s="1"/>
  <c r="DG10" i="9"/>
  <c r="DJ10" i="9" s="1"/>
  <c r="KA10" i="9"/>
  <c r="KD10" i="9" s="1"/>
  <c r="KA13" i="9"/>
  <c r="KD13" i="9" s="1"/>
  <c r="KW10" i="9"/>
  <c r="KZ10" i="9" s="1"/>
  <c r="IQ6" i="12"/>
  <c r="IQ8" i="12"/>
  <c r="JL8" i="12"/>
  <c r="JL10" i="12"/>
  <c r="KG4" i="12"/>
  <c r="KG6" i="12"/>
  <c r="KG8" i="12"/>
  <c r="CB5" i="8"/>
  <c r="EJ4" i="8"/>
  <c r="IF5" i="8"/>
  <c r="GR5" i="7"/>
  <c r="CK7" i="10"/>
  <c r="CN7" i="10" s="1"/>
  <c r="EC13" i="9"/>
  <c r="EF13" i="9" s="1"/>
  <c r="EY11" i="9"/>
  <c r="FB11" i="9" s="1"/>
  <c r="FU13" i="9"/>
  <c r="FX13" i="9" s="1"/>
  <c r="KA20" i="4"/>
  <c r="KD20" i="4" s="1"/>
  <c r="KW19" i="4"/>
  <c r="KZ19" i="4" s="1"/>
  <c r="HM17" i="4"/>
  <c r="CE5" i="6"/>
  <c r="CE14" i="6"/>
  <c r="CZ5" i="6"/>
  <c r="CZ6" i="6"/>
  <c r="CZ9" i="6"/>
  <c r="CZ8" i="6"/>
  <c r="CZ11" i="6"/>
  <c r="HA6" i="6"/>
  <c r="HA9" i="6"/>
  <c r="HA8" i="6"/>
  <c r="HA11" i="6"/>
  <c r="JL6" i="6"/>
  <c r="JL9" i="6"/>
  <c r="JL8" i="6"/>
  <c r="JL11" i="6"/>
  <c r="KG6" i="6"/>
  <c r="KG9" i="6"/>
  <c r="KG8" i="6"/>
  <c r="KG11" i="6"/>
  <c r="EJ7" i="7"/>
  <c r="FX4" i="7"/>
  <c r="GR6" i="7"/>
  <c r="HL7" i="7"/>
  <c r="HL5" i="7"/>
  <c r="IZ8" i="7"/>
  <c r="EC13" i="10"/>
  <c r="EF13" i="10" s="1"/>
  <c r="EY4" i="10"/>
  <c r="FB4" i="10" s="1"/>
  <c r="FU9" i="10"/>
  <c r="FX9" i="10" s="1"/>
  <c r="FU10" i="9"/>
  <c r="FX10" i="9" s="1"/>
  <c r="KW6" i="9"/>
  <c r="KZ6" i="9" s="1"/>
  <c r="JE13" i="2"/>
  <c r="JH13" i="2" s="1"/>
  <c r="KW13" i="2"/>
  <c r="KZ13" i="2" s="1"/>
  <c r="II7" i="2"/>
  <c r="IL7" i="2" s="1"/>
  <c r="II14" i="2"/>
  <c r="IL14" i="2" s="1"/>
  <c r="EY13" i="2"/>
  <c r="FB13" i="2" s="1"/>
  <c r="GQ13" i="2"/>
  <c r="HM9" i="2"/>
  <c r="HP9" i="2" s="1"/>
  <c r="EC7" i="2"/>
  <c r="EF7" i="2" s="1"/>
  <c r="EC14" i="2"/>
  <c r="EF14" i="2" s="1"/>
  <c r="JE7" i="2"/>
  <c r="JH7" i="2" s="1"/>
  <c r="KA9" i="4"/>
  <c r="GQ5" i="4"/>
  <c r="GT5" i="4" s="1"/>
  <c r="EY9" i="4"/>
  <c r="FB9" i="4" s="1"/>
  <c r="GQ12" i="4"/>
  <c r="GT12" i="4" s="1"/>
  <c r="EY11" i="4"/>
  <c r="FB11" i="4" s="1"/>
  <c r="CK13" i="4"/>
  <c r="CK17" i="4"/>
  <c r="CN17" i="4" s="1"/>
  <c r="GQ4" i="4"/>
  <c r="GQ11" i="4"/>
  <c r="GQ20" i="4"/>
  <c r="GT20" i="4" s="1"/>
  <c r="KG10" i="12"/>
  <c r="IZ4" i="8"/>
  <c r="JT4" i="8"/>
  <c r="IF8" i="7"/>
  <c r="JT5" i="7"/>
  <c r="DP7" i="7"/>
  <c r="FD4" i="7"/>
  <c r="FX6" i="7"/>
  <c r="GR7" i="7"/>
  <c r="IF4" i="7"/>
  <c r="IZ6" i="7"/>
  <c r="FX8" i="7"/>
  <c r="FU8" i="10"/>
  <c r="FX8" i="10" s="1"/>
  <c r="KA13" i="10"/>
  <c r="KD13" i="10" s="1"/>
  <c r="KW7" i="10"/>
  <c r="KZ7" i="10" s="1"/>
  <c r="GQ7" i="10"/>
  <c r="GT7" i="10" s="1"/>
  <c r="HM6" i="10"/>
  <c r="HP6" i="10" s="1"/>
  <c r="II13" i="10"/>
  <c r="IL13" i="10" s="1"/>
  <c r="KZ13" i="10"/>
  <c r="HM7" i="10"/>
  <c r="HP7" i="10" s="1"/>
  <c r="KW9" i="10"/>
  <c r="KZ9" i="10" s="1"/>
  <c r="FU4" i="9"/>
  <c r="FX4" i="9" s="1"/>
  <c r="CK10" i="9"/>
  <c r="CN10" i="9" s="1"/>
  <c r="EC11" i="9"/>
  <c r="EF11" i="9" s="1"/>
  <c r="EY10" i="9"/>
  <c r="FB10" i="9" s="1"/>
  <c r="EY13" i="9"/>
  <c r="FB13" i="9" s="1"/>
  <c r="II10" i="9"/>
  <c r="IL10" i="9" s="1"/>
  <c r="II13" i="9"/>
  <c r="IL13" i="9" s="1"/>
  <c r="JE5" i="9"/>
  <c r="JH5" i="9" s="1"/>
  <c r="KA5" i="9"/>
  <c r="KD5" i="9" s="1"/>
  <c r="DG6" i="2"/>
  <c r="DJ6" i="2" s="1"/>
  <c r="EY14" i="2"/>
  <c r="FB14" i="2" s="1"/>
  <c r="GQ11" i="2"/>
  <c r="GT11" i="2" s="1"/>
  <c r="DG5" i="2"/>
  <c r="DJ5" i="2" s="1"/>
  <c r="EC4" i="2"/>
  <c r="EF4" i="2" s="1"/>
  <c r="EY11" i="2"/>
  <c r="FB11" i="2" s="1"/>
  <c r="HM12" i="2"/>
  <c r="HP12" i="2" s="1"/>
  <c r="II8" i="2"/>
  <c r="IL8" i="2" s="1"/>
  <c r="JE4" i="2"/>
  <c r="JH4" i="2" s="1"/>
  <c r="KA8" i="2"/>
  <c r="KD8" i="2" s="1"/>
  <c r="KW4" i="2"/>
  <c r="KZ4" i="2" s="1"/>
  <c r="EC11" i="2"/>
  <c r="EF11" i="2" s="1"/>
  <c r="EY6" i="2"/>
  <c r="FB6" i="2" s="1"/>
  <c r="GQ6" i="2"/>
  <c r="GT6" i="2" s="1"/>
  <c r="EY12" i="2"/>
  <c r="FB12" i="2" s="1"/>
  <c r="EY20" i="4"/>
  <c r="FB20" i="4" s="1"/>
  <c r="FU8" i="4"/>
  <c r="FX8" i="4" s="1"/>
  <c r="JE4" i="4"/>
  <c r="GQ15" i="4"/>
  <c r="GT15" i="4" s="1"/>
  <c r="CK10" i="4"/>
  <c r="CK16" i="4"/>
  <c r="CN16" i="4" s="1"/>
  <c r="JE10" i="4"/>
  <c r="JH10" i="4" s="1"/>
  <c r="KZ17" i="4"/>
  <c r="CK18" i="4"/>
  <c r="DG13" i="4"/>
  <c r="DJ13" i="4" s="1"/>
  <c r="EC16" i="4"/>
  <c r="EF16" i="4" s="1"/>
  <c r="II13" i="4"/>
  <c r="IL13" i="4" s="1"/>
  <c r="CZ8" i="12"/>
  <c r="EP4" i="12"/>
  <c r="FK5" i="12"/>
  <c r="GF4" i="12"/>
  <c r="CE6" i="12"/>
  <c r="CZ9" i="12"/>
  <c r="DU6" i="12"/>
  <c r="DU8" i="12"/>
  <c r="DU11" i="12"/>
  <c r="EP7" i="12"/>
  <c r="EP9" i="12"/>
  <c r="GF7" i="12"/>
  <c r="GF9" i="12"/>
  <c r="JL9" i="12"/>
  <c r="KG9" i="12"/>
  <c r="KG11" i="12"/>
  <c r="HA5" i="12"/>
  <c r="HV5" i="12"/>
  <c r="EP9" i="6"/>
  <c r="EP8" i="6"/>
  <c r="EP11" i="6"/>
  <c r="FK8" i="6"/>
  <c r="GF8" i="6"/>
  <c r="GF11" i="6"/>
  <c r="HA5" i="6"/>
  <c r="HV5" i="6"/>
  <c r="IQ11" i="6"/>
  <c r="HL5" i="8"/>
  <c r="FX5" i="8"/>
  <c r="IF4" i="8"/>
  <c r="CV8" i="7"/>
  <c r="EJ5" i="7"/>
  <c r="DP4" i="7"/>
  <c r="HL6" i="7"/>
  <c r="IF7" i="7"/>
  <c r="JT4" i="7"/>
  <c r="EC6" i="10"/>
  <c r="EF6" i="10" s="1"/>
  <c r="JE4" i="10"/>
  <c r="JH4" i="10" s="1"/>
  <c r="DG7" i="10"/>
  <c r="DJ7" i="10" s="1"/>
  <c r="EY8" i="10"/>
  <c r="FB8" i="10" s="1"/>
  <c r="GQ8" i="10"/>
  <c r="GT8" i="10" s="1"/>
  <c r="GQ13" i="10"/>
  <c r="GT13" i="10" s="1"/>
  <c r="II6" i="10"/>
  <c r="IL6" i="10" s="1"/>
  <c r="II9" i="10"/>
  <c r="IL9" i="10" s="1"/>
  <c r="JE7" i="10"/>
  <c r="JH7" i="10" s="1"/>
  <c r="JE10" i="10"/>
  <c r="JH10" i="10" s="1"/>
  <c r="KA7" i="10"/>
  <c r="KD7" i="10" s="1"/>
  <c r="EC7" i="10"/>
  <c r="EF7" i="10" s="1"/>
  <c r="KZ5" i="10"/>
  <c r="DG5" i="10"/>
  <c r="DJ5" i="10" s="1"/>
  <c r="KA9" i="10"/>
  <c r="KD9" i="10" s="1"/>
  <c r="KA12" i="10"/>
  <c r="KD12" i="10" s="1"/>
  <c r="CK8" i="10"/>
  <c r="CN8" i="10" s="1"/>
  <c r="KA5" i="10"/>
  <c r="KD5" i="10" s="1"/>
  <c r="KA11" i="10"/>
  <c r="KD11" i="10" s="1"/>
  <c r="KW12" i="10"/>
  <c r="KZ12" i="10" s="1"/>
  <c r="CK12" i="10"/>
  <c r="CN12" i="10" s="1"/>
  <c r="EC5" i="10"/>
  <c r="EF5" i="10" s="1"/>
  <c r="GQ6" i="10"/>
  <c r="GT6" i="10" s="1"/>
  <c r="GQ9" i="10"/>
  <c r="GT9" i="10" s="1"/>
  <c r="GQ12" i="10"/>
  <c r="GT12" i="10" s="1"/>
  <c r="DG8" i="10"/>
  <c r="DJ8" i="10" s="1"/>
  <c r="HP10" i="10"/>
  <c r="CK5" i="10"/>
  <c r="CN5" i="10" s="1"/>
  <c r="FU10" i="10"/>
  <c r="FX10" i="10" s="1"/>
  <c r="DG12" i="10"/>
  <c r="DJ12" i="10" s="1"/>
  <c r="GQ4" i="10"/>
  <c r="GT4" i="10" s="1"/>
  <c r="KA8" i="10"/>
  <c r="KD8" i="10" s="1"/>
  <c r="JE13" i="9"/>
  <c r="JH13" i="9" s="1"/>
  <c r="EY7" i="9"/>
  <c r="FB7" i="9" s="1"/>
  <c r="GQ4" i="9"/>
  <c r="GT4" i="9" s="1"/>
  <c r="HM6" i="9"/>
  <c r="HP6" i="9" s="1"/>
  <c r="GQ6" i="9"/>
  <c r="GT6" i="9" s="1"/>
  <c r="DG11" i="9"/>
  <c r="DJ11" i="9" s="1"/>
  <c r="EC10" i="9"/>
  <c r="EF10" i="9" s="1"/>
  <c r="CK11" i="9"/>
  <c r="CN11" i="9" s="1"/>
  <c r="HM5" i="9"/>
  <c r="HP5" i="9" s="1"/>
  <c r="II4" i="9"/>
  <c r="IL4" i="9" s="1"/>
  <c r="II6" i="9"/>
  <c r="IL6" i="9" s="1"/>
  <c r="JE7" i="9"/>
  <c r="JH7" i="9" s="1"/>
  <c r="KA12" i="9"/>
  <c r="KD12" i="9" s="1"/>
  <c r="KW8" i="9"/>
  <c r="KZ8" i="9" s="1"/>
  <c r="DG9" i="9"/>
  <c r="DJ9" i="9" s="1"/>
  <c r="EY6" i="9"/>
  <c r="FB6" i="9" s="1"/>
  <c r="FU7" i="9"/>
  <c r="FX7" i="9" s="1"/>
  <c r="CK9" i="9"/>
  <c r="EC6" i="9"/>
  <c r="EF6" i="9" s="1"/>
  <c r="GQ9" i="9"/>
  <c r="GT9" i="9" s="1"/>
  <c r="HM12" i="9"/>
  <c r="HP12" i="9" s="1"/>
  <c r="II8" i="9"/>
  <c r="IL8" i="9" s="1"/>
  <c r="KW13" i="9"/>
  <c r="GQ5" i="9"/>
  <c r="GT5" i="9" s="1"/>
  <c r="II11" i="9"/>
  <c r="IL11" i="9" s="1"/>
  <c r="JE10" i="9"/>
  <c r="JH10" i="9" s="1"/>
  <c r="CK5" i="2"/>
  <c r="CN5" i="2" s="1"/>
  <c r="CK13" i="2"/>
  <c r="DG9" i="2"/>
  <c r="DJ9" i="2" s="1"/>
  <c r="DG12" i="2"/>
  <c r="DJ12" i="2" s="1"/>
  <c r="KA5" i="2"/>
  <c r="KD5" i="2" s="1"/>
  <c r="KW12" i="2"/>
  <c r="KZ12" i="2" s="1"/>
  <c r="FB9" i="2"/>
  <c r="HM8" i="2"/>
  <c r="HP8" i="2" s="1"/>
  <c r="HM11" i="2"/>
  <c r="HP11" i="2" s="1"/>
  <c r="JE11" i="2"/>
  <c r="JH11" i="2" s="1"/>
  <c r="KA15" i="2"/>
  <c r="KD15" i="2" s="1"/>
  <c r="EC6" i="2"/>
  <c r="EF6" i="2" s="1"/>
  <c r="EC15" i="2"/>
  <c r="EF15" i="2" s="1"/>
  <c r="FU4" i="2"/>
  <c r="FX4" i="2" s="1"/>
  <c r="FU12" i="2"/>
  <c r="FX12" i="2" s="1"/>
  <c r="GQ5" i="2"/>
  <c r="GT5" i="2" s="1"/>
  <c r="II13" i="2"/>
  <c r="IL13" i="2" s="1"/>
  <c r="FU11" i="2"/>
  <c r="FX11" i="2" s="1"/>
  <c r="GQ4" i="2"/>
  <c r="GT4" i="2" s="1"/>
  <c r="DJ11" i="2"/>
  <c r="KW11" i="2"/>
  <c r="KZ11" i="2" s="1"/>
  <c r="JE5" i="2"/>
  <c r="JH5" i="2" s="1"/>
  <c r="JE8" i="2"/>
  <c r="JH8" i="2" s="1"/>
  <c r="KA4" i="2"/>
  <c r="KD4" i="2" s="1"/>
  <c r="KW8" i="2"/>
  <c r="KZ8" i="2" s="1"/>
  <c r="FU13" i="4"/>
  <c r="FX13" i="4" s="1"/>
  <c r="FX14" i="4"/>
  <c r="DG19" i="4"/>
  <c r="DJ19" i="4" s="1"/>
  <c r="EC9" i="4"/>
  <c r="EF9" i="4" s="1"/>
  <c r="EY13" i="4"/>
  <c r="FB13" i="4" s="1"/>
  <c r="FU19" i="4"/>
  <c r="FX19" i="4" s="1"/>
  <c r="GQ9" i="4"/>
  <c r="GT9" i="4" s="1"/>
  <c r="II19" i="4"/>
  <c r="IL19" i="4" s="1"/>
  <c r="EC7" i="4"/>
  <c r="EF7" i="4" s="1"/>
  <c r="IL5" i="4"/>
  <c r="DG9" i="4"/>
  <c r="DJ9" i="4" s="1"/>
  <c r="DG6" i="4"/>
  <c r="EC8" i="4"/>
  <c r="EF8" i="4" s="1"/>
  <c r="FU11" i="4"/>
  <c r="FX11" i="4" s="1"/>
  <c r="GQ10" i="4"/>
  <c r="GT10" i="4" s="1"/>
  <c r="II17" i="4"/>
  <c r="IL17" i="4" s="1"/>
  <c r="JE8" i="4"/>
  <c r="JH8" i="4" s="1"/>
  <c r="DG8" i="4"/>
  <c r="DJ8" i="4" s="1"/>
  <c r="DG16" i="4"/>
  <c r="DJ16" i="4" s="1"/>
  <c r="II6" i="4"/>
  <c r="IL6" i="4" s="1"/>
  <c r="EC15" i="4"/>
  <c r="EF15" i="4" s="1"/>
  <c r="EC18" i="4"/>
  <c r="EF18" i="4" s="1"/>
  <c r="KA17" i="4"/>
  <c r="KD17" i="4" s="1"/>
  <c r="KW16" i="4"/>
  <c r="KZ16" i="4" s="1"/>
  <c r="FB10" i="4"/>
  <c r="FB19" i="4"/>
  <c r="GT4" i="4"/>
  <c r="GT11" i="4"/>
  <c r="KZ12" i="4"/>
  <c r="JE7" i="4"/>
  <c r="JH7" i="4" s="1"/>
  <c r="DG20" i="4"/>
  <c r="DJ20" i="4" s="1"/>
  <c r="EC10" i="4"/>
  <c r="EF10" i="4" s="1"/>
  <c r="EC17" i="4"/>
  <c r="EF17" i="4" s="1"/>
  <c r="EY5" i="4"/>
  <c r="FB5" i="4" s="1"/>
  <c r="EY12" i="4"/>
  <c r="FB12" i="4" s="1"/>
  <c r="FU7" i="4"/>
  <c r="FX7" i="4" s="1"/>
  <c r="GQ6" i="4"/>
  <c r="GT6" i="4" s="1"/>
  <c r="HM8" i="4"/>
  <c r="HP8" i="4" s="1"/>
  <c r="HM16" i="4"/>
  <c r="HP16" i="4" s="1"/>
  <c r="II9" i="4"/>
  <c r="IL9" i="4" s="1"/>
  <c r="JE17" i="4"/>
  <c r="JH17" i="4" s="1"/>
  <c r="KA8" i="4"/>
  <c r="KD8" i="4" s="1"/>
  <c r="KA16" i="4"/>
  <c r="KD16" i="4" s="1"/>
  <c r="FU4" i="10"/>
  <c r="FX4" i="10" s="1"/>
  <c r="FU7" i="10"/>
  <c r="FX7" i="10" s="1"/>
  <c r="FU6" i="9"/>
  <c r="FX6" i="9" s="1"/>
  <c r="II4" i="2"/>
  <c r="IL4" i="2" s="1"/>
  <c r="HV4" i="12"/>
  <c r="JL6" i="12"/>
  <c r="CZ7" i="12"/>
  <c r="HA4" i="12"/>
  <c r="HA6" i="12"/>
  <c r="HA8" i="12"/>
  <c r="HV9" i="12"/>
  <c r="HV11" i="12"/>
  <c r="IQ7" i="12"/>
  <c r="CE7" i="12"/>
  <c r="CE9" i="12"/>
  <c r="CZ6" i="12"/>
  <c r="CZ11" i="12"/>
  <c r="DU5" i="12"/>
  <c r="EP6" i="12"/>
  <c r="FK7" i="12"/>
  <c r="GF8" i="12"/>
  <c r="GF11" i="12"/>
  <c r="JL5" i="12"/>
  <c r="EP5" i="12"/>
  <c r="FK9" i="12"/>
  <c r="GF6" i="12"/>
  <c r="HA11" i="12"/>
  <c r="HV7" i="12"/>
  <c r="CE5" i="12"/>
  <c r="IQ5" i="12"/>
  <c r="IQ9" i="12"/>
  <c r="IQ11" i="12"/>
  <c r="CZ4" i="12"/>
  <c r="FK4" i="12"/>
  <c r="FK6" i="12"/>
  <c r="JL7" i="12"/>
  <c r="DU7" i="12"/>
  <c r="DU9" i="12"/>
  <c r="FK8" i="12"/>
  <c r="FK11" i="12"/>
  <c r="GF5" i="12"/>
  <c r="HA9" i="12"/>
  <c r="HV6" i="12"/>
  <c r="JL11" i="12"/>
  <c r="KG7" i="12"/>
  <c r="KG5" i="12"/>
  <c r="CE4" i="12"/>
  <c r="CE8" i="12"/>
  <c r="CE11" i="12"/>
  <c r="CZ5" i="12"/>
  <c r="EP8" i="12"/>
  <c r="EP11" i="12"/>
  <c r="IQ4" i="12"/>
  <c r="IQ10" i="12"/>
  <c r="JL4" i="12"/>
  <c r="HA12" i="6"/>
  <c r="HV10" i="6"/>
  <c r="CE11" i="6"/>
  <c r="DU11" i="6"/>
  <c r="DU14" i="6"/>
  <c r="EP5" i="6"/>
  <c r="KG7" i="6"/>
  <c r="EP14" i="6"/>
  <c r="FK5" i="6"/>
  <c r="FK6" i="6"/>
  <c r="FK11" i="6"/>
  <c r="FK14" i="6"/>
  <c r="GF5" i="6"/>
  <c r="GF14" i="6"/>
  <c r="HV6" i="6"/>
  <c r="HV9" i="6"/>
  <c r="HV11" i="6"/>
  <c r="HV14" i="6"/>
  <c r="IQ5" i="6"/>
  <c r="IQ8" i="6"/>
  <c r="CZ10" i="6"/>
  <c r="EP4" i="6"/>
  <c r="EP7" i="6"/>
  <c r="EP13" i="6"/>
  <c r="JL5" i="6"/>
  <c r="KG5" i="6"/>
  <c r="KG10" i="6"/>
  <c r="CZ14" i="6"/>
  <c r="DU5" i="6"/>
  <c r="DU6" i="6"/>
  <c r="DU9" i="6"/>
  <c r="DU8" i="6"/>
  <c r="EP10" i="6"/>
  <c r="FK9" i="6"/>
  <c r="GF10" i="6"/>
  <c r="GF12" i="6"/>
  <c r="HA14" i="6"/>
  <c r="IQ10" i="6"/>
  <c r="IQ13" i="6"/>
  <c r="JL14" i="6"/>
  <c r="CE10" i="6"/>
  <c r="CE12" i="6"/>
  <c r="HV8" i="6"/>
  <c r="CZ4" i="6"/>
  <c r="CZ7" i="6"/>
  <c r="CZ13" i="6"/>
  <c r="EP6" i="6"/>
  <c r="FK4" i="6"/>
  <c r="GF6" i="6"/>
  <c r="GF9" i="6"/>
  <c r="HA10" i="6"/>
  <c r="IQ6" i="6"/>
  <c r="IQ9" i="6"/>
  <c r="JL10" i="6"/>
  <c r="JL13" i="6"/>
  <c r="KG14" i="6"/>
  <c r="CE6" i="6"/>
  <c r="CE9" i="6"/>
  <c r="CE8" i="6"/>
  <c r="DU10" i="6"/>
  <c r="DU12" i="6"/>
  <c r="FK10" i="6"/>
  <c r="FK13" i="6"/>
  <c r="HV4" i="6"/>
  <c r="HV7" i="6"/>
  <c r="HV13" i="6"/>
  <c r="IQ14" i="6"/>
  <c r="KG4" i="6"/>
  <c r="CV5" i="8"/>
  <c r="FD4" i="8"/>
  <c r="DP4" i="8"/>
  <c r="GR5" i="8"/>
  <c r="DP5" i="8"/>
  <c r="FX4" i="8"/>
  <c r="EJ5" i="8"/>
  <c r="IZ5" i="8"/>
  <c r="FD5" i="8"/>
  <c r="GR4" i="8"/>
  <c r="JT5" i="8"/>
  <c r="CB4" i="8"/>
  <c r="HL4" i="8"/>
  <c r="DP5" i="7"/>
  <c r="IZ4" i="7"/>
  <c r="CB5" i="7"/>
  <c r="DP8" i="7"/>
  <c r="IF5" i="7"/>
  <c r="JT8" i="7"/>
  <c r="CB6" i="7"/>
  <c r="CV7" i="7"/>
  <c r="CB7" i="7"/>
  <c r="DP6" i="7"/>
  <c r="JT6" i="7"/>
  <c r="FD5" i="7"/>
  <c r="GR8" i="7"/>
  <c r="CV5" i="7"/>
  <c r="EJ6" i="7"/>
  <c r="FD7" i="7"/>
  <c r="GR4" i="7"/>
  <c r="CB4" i="7"/>
  <c r="CV6" i="7"/>
  <c r="EJ4" i="7"/>
  <c r="FD6" i="7"/>
  <c r="FX7" i="7"/>
  <c r="HL4" i="7"/>
  <c r="IF6" i="7"/>
  <c r="IZ7" i="7"/>
  <c r="FU12" i="10"/>
  <c r="FX12" i="10" s="1"/>
  <c r="HM13" i="10"/>
  <c r="HP13" i="10" s="1"/>
  <c r="JE6" i="10"/>
  <c r="JH6" i="10" s="1"/>
  <c r="KW6" i="10"/>
  <c r="KZ6" i="10" s="1"/>
  <c r="CK4" i="10"/>
  <c r="CN4" i="10" s="1"/>
  <c r="EY6" i="10"/>
  <c r="FB6" i="10" s="1"/>
  <c r="EY12" i="10"/>
  <c r="FB12" i="10" s="1"/>
  <c r="FU11" i="10"/>
  <c r="FX11" i="10" s="1"/>
  <c r="II7" i="10"/>
  <c r="IL7" i="10" s="1"/>
  <c r="JE9" i="10"/>
  <c r="JH9" i="10" s="1"/>
  <c r="JE12" i="10"/>
  <c r="JH12" i="10" s="1"/>
  <c r="KW4" i="10"/>
  <c r="KZ4" i="10" s="1"/>
  <c r="EY7" i="10"/>
  <c r="FB7" i="10" s="1"/>
  <c r="FU6" i="10"/>
  <c r="FX6" i="10" s="1"/>
  <c r="FU13" i="10"/>
  <c r="FX13" i="10" s="1"/>
  <c r="DG6" i="10"/>
  <c r="DJ6" i="10" s="1"/>
  <c r="DG13" i="10"/>
  <c r="DJ13" i="10" s="1"/>
  <c r="EC11" i="10"/>
  <c r="EF11" i="10" s="1"/>
  <c r="HM11" i="10"/>
  <c r="HP11" i="10" s="1"/>
  <c r="II10" i="10"/>
  <c r="IL10" i="10" s="1"/>
  <c r="KA6" i="10"/>
  <c r="KD6" i="10" s="1"/>
  <c r="CK10" i="10"/>
  <c r="CN10" i="10" s="1"/>
  <c r="DG9" i="10"/>
  <c r="DJ9" i="10" s="1"/>
  <c r="EC4" i="10"/>
  <c r="EF4" i="10" s="1"/>
  <c r="EY10" i="10"/>
  <c r="FB10" i="10" s="1"/>
  <c r="GQ11" i="10"/>
  <c r="GT11" i="10" s="1"/>
  <c r="HM4" i="10"/>
  <c r="HP4" i="10" s="1"/>
  <c r="II8" i="10"/>
  <c r="IL8" i="10" s="1"/>
  <c r="JE5" i="10"/>
  <c r="JH5" i="10" s="1"/>
  <c r="JE13" i="10"/>
  <c r="JH13" i="10" s="1"/>
  <c r="CK6" i="10"/>
  <c r="CN6" i="10" s="1"/>
  <c r="CK13" i="10"/>
  <c r="CN13" i="10" s="1"/>
  <c r="DG11" i="10"/>
  <c r="DJ11" i="10" s="1"/>
  <c r="EC10" i="10"/>
  <c r="EF10" i="10" s="1"/>
  <c r="FU5" i="10"/>
  <c r="FX5" i="10" s="1"/>
  <c r="II12" i="10"/>
  <c r="IL12" i="10" s="1"/>
  <c r="CK9" i="10"/>
  <c r="CN9" i="10" s="1"/>
  <c r="DG4" i="10"/>
  <c r="DJ4" i="10" s="1"/>
  <c r="EC8" i="10"/>
  <c r="EF8" i="10" s="1"/>
  <c r="EY5" i="10"/>
  <c r="FB5" i="10" s="1"/>
  <c r="EY9" i="10"/>
  <c r="FB9" i="10" s="1"/>
  <c r="EY13" i="10"/>
  <c r="FB13" i="10" s="1"/>
  <c r="GQ10" i="10"/>
  <c r="GT10" i="10" s="1"/>
  <c r="HM8" i="10"/>
  <c r="HP8" i="10" s="1"/>
  <c r="II5" i="10"/>
  <c r="IL5" i="10" s="1"/>
  <c r="JE11" i="10"/>
  <c r="JH11" i="10" s="1"/>
  <c r="KA4" i="10"/>
  <c r="KD4" i="10" s="1"/>
  <c r="KW10" i="10"/>
  <c r="KZ10" i="10" s="1"/>
  <c r="CK11" i="10"/>
  <c r="CN11" i="10" s="1"/>
  <c r="DG10" i="10"/>
  <c r="DJ10" i="10" s="1"/>
  <c r="EC9" i="10"/>
  <c r="EF9" i="10" s="1"/>
  <c r="EC12" i="10"/>
  <c r="EF12" i="10" s="1"/>
  <c r="EY11" i="10"/>
  <c r="FB11" i="10" s="1"/>
  <c r="GQ5" i="10"/>
  <c r="GT5" i="10" s="1"/>
  <c r="HM5" i="10"/>
  <c r="HP5" i="10" s="1"/>
  <c r="HM9" i="10"/>
  <c r="HP9" i="10" s="1"/>
  <c r="HM12" i="10"/>
  <c r="HP12" i="10" s="1"/>
  <c r="II4" i="10"/>
  <c r="IL4" i="10" s="1"/>
  <c r="JE8" i="10"/>
  <c r="JH8" i="10" s="1"/>
  <c r="KA10" i="10"/>
  <c r="KD10" i="10" s="1"/>
  <c r="CK8" i="9"/>
  <c r="CN8" i="9" s="1"/>
  <c r="CK12" i="9"/>
  <c r="CN12" i="9" s="1"/>
  <c r="DG6" i="9"/>
  <c r="DJ6" i="9" s="1"/>
  <c r="KW12" i="9"/>
  <c r="KZ12" i="9" s="1"/>
  <c r="CK7" i="9"/>
  <c r="CN7" i="9" s="1"/>
  <c r="DG13" i="9"/>
  <c r="DJ13" i="9" s="1"/>
  <c r="GQ10" i="9"/>
  <c r="GT10" i="9" s="1"/>
  <c r="GQ13" i="9"/>
  <c r="GT13" i="9" s="1"/>
  <c r="HM9" i="9"/>
  <c r="HP9" i="9" s="1"/>
  <c r="II5" i="9"/>
  <c r="IL5" i="9" s="1"/>
  <c r="KZ13" i="9"/>
  <c r="CN9" i="9"/>
  <c r="CK13" i="9"/>
  <c r="CN13" i="9" s="1"/>
  <c r="EY9" i="9"/>
  <c r="FB9" i="9" s="1"/>
  <c r="II12" i="9"/>
  <c r="IL12" i="9" s="1"/>
  <c r="JE12" i="9"/>
  <c r="JH12" i="9" s="1"/>
  <c r="KZ9" i="9"/>
  <c r="HM8" i="9"/>
  <c r="HP8" i="9" s="1"/>
  <c r="JE6" i="9"/>
  <c r="JH6" i="9" s="1"/>
  <c r="FU11" i="9"/>
  <c r="FX11" i="9" s="1"/>
  <c r="GQ8" i="9"/>
  <c r="GT8" i="9" s="1"/>
  <c r="GQ12" i="9"/>
  <c r="GT12" i="9" s="1"/>
  <c r="II7" i="9"/>
  <c r="IL7" i="9" s="1"/>
  <c r="JE8" i="9"/>
  <c r="JH8" i="9" s="1"/>
  <c r="KA4" i="9"/>
  <c r="KD4" i="9" s="1"/>
  <c r="KW4" i="9"/>
  <c r="KZ4" i="9" s="1"/>
  <c r="KW5" i="9"/>
  <c r="KZ5" i="9" s="1"/>
  <c r="CK4" i="9"/>
  <c r="CN4" i="9" s="1"/>
  <c r="CK5" i="9"/>
  <c r="CN5" i="9" s="1"/>
  <c r="DG4" i="9"/>
  <c r="DJ4" i="9" s="1"/>
  <c r="DG5" i="9"/>
  <c r="DJ5" i="9" s="1"/>
  <c r="EC7" i="9"/>
  <c r="EF7" i="9" s="1"/>
  <c r="EY8" i="9"/>
  <c r="FB8" i="9" s="1"/>
  <c r="EY12" i="9"/>
  <c r="FB12" i="9" s="1"/>
  <c r="FU5" i="9"/>
  <c r="FX5" i="9" s="1"/>
  <c r="GQ11" i="9"/>
  <c r="GT11" i="9" s="1"/>
  <c r="II9" i="9"/>
  <c r="IL9" i="9" s="1"/>
  <c r="JE11" i="9"/>
  <c r="JH11" i="9" s="1"/>
  <c r="KA6" i="9"/>
  <c r="KD6" i="9" s="1"/>
  <c r="KA8" i="9"/>
  <c r="KD8" i="9" s="1"/>
  <c r="CK6" i="9"/>
  <c r="CN6" i="9" s="1"/>
  <c r="DG8" i="9"/>
  <c r="DJ8" i="9" s="1"/>
  <c r="DG12" i="9"/>
  <c r="DJ12" i="9" s="1"/>
  <c r="EC4" i="9"/>
  <c r="EF4" i="9" s="1"/>
  <c r="EC9" i="9"/>
  <c r="EF9" i="9" s="1"/>
  <c r="FU9" i="9"/>
  <c r="FX9" i="9" s="1"/>
  <c r="GQ7" i="9"/>
  <c r="GT7" i="9" s="1"/>
  <c r="EF5" i="9"/>
  <c r="HM7" i="9"/>
  <c r="HP7" i="9" s="1"/>
  <c r="HM11" i="9"/>
  <c r="HP11" i="9" s="1"/>
  <c r="JE4" i="9"/>
  <c r="JH4" i="9" s="1"/>
  <c r="KA7" i="9"/>
  <c r="KD7" i="9" s="1"/>
  <c r="JE9" i="9"/>
  <c r="JH9" i="9" s="1"/>
  <c r="KW7" i="9"/>
  <c r="KZ7" i="9" s="1"/>
  <c r="DG7" i="9"/>
  <c r="DJ7" i="9" s="1"/>
  <c r="EC8" i="9"/>
  <c r="EF8" i="9" s="1"/>
  <c r="EC12" i="9"/>
  <c r="EF12" i="9" s="1"/>
  <c r="EY4" i="9"/>
  <c r="FB4" i="9" s="1"/>
  <c r="EY5" i="9"/>
  <c r="FB5" i="9" s="1"/>
  <c r="FU8" i="9"/>
  <c r="FX8" i="9" s="1"/>
  <c r="FU12" i="9"/>
  <c r="FX12" i="9" s="1"/>
  <c r="HM4" i="9"/>
  <c r="HP4" i="9" s="1"/>
  <c r="KA9" i="9"/>
  <c r="KD9" i="9" s="1"/>
  <c r="KW11" i="9"/>
  <c r="KZ11" i="9" s="1"/>
  <c r="II12" i="2"/>
  <c r="IL12" i="2" s="1"/>
  <c r="KA6" i="2"/>
  <c r="KD6" i="2" s="1"/>
  <c r="CK6" i="2"/>
  <c r="CN6" i="2" s="1"/>
  <c r="CK10" i="2"/>
  <c r="CN10" i="2" s="1"/>
  <c r="HM13" i="2"/>
  <c r="HP13" i="2" s="1"/>
  <c r="CK4" i="2"/>
  <c r="CN4" i="2" s="1"/>
  <c r="EC13" i="2"/>
  <c r="EF13" i="2" s="1"/>
  <c r="EY4" i="2"/>
  <c r="FB4" i="2" s="1"/>
  <c r="FU7" i="2"/>
  <c r="FX7" i="2" s="1"/>
  <c r="GQ14" i="2"/>
  <c r="GT14" i="2" s="1"/>
  <c r="HM10" i="2"/>
  <c r="HP10" i="2" s="1"/>
  <c r="HM15" i="2"/>
  <c r="HP15" i="2" s="1"/>
  <c r="II11" i="2"/>
  <c r="IL11" i="2" s="1"/>
  <c r="KA7" i="2"/>
  <c r="KD7" i="2" s="1"/>
  <c r="CK14" i="2"/>
  <c r="CN14" i="2" s="1"/>
  <c r="DG13" i="2"/>
  <c r="DJ13" i="2" s="1"/>
  <c r="EY7" i="2"/>
  <c r="FB7" i="2" s="1"/>
  <c r="KA11" i="2"/>
  <c r="KD11" i="2" s="1"/>
  <c r="CN11" i="2"/>
  <c r="CK8" i="2"/>
  <c r="CN8" i="2" s="1"/>
  <c r="FU13" i="2"/>
  <c r="FX13" i="2" s="1"/>
  <c r="II6" i="2"/>
  <c r="IL6" i="2" s="1"/>
  <c r="JE14" i="2"/>
  <c r="JH14" i="2" s="1"/>
  <c r="KW7" i="2"/>
  <c r="KZ7" i="2" s="1"/>
  <c r="EY10" i="2"/>
  <c r="FB10" i="2" s="1"/>
  <c r="DG10" i="2"/>
  <c r="DJ10" i="2" s="1"/>
  <c r="DG4" i="2"/>
  <c r="DJ4" i="2" s="1"/>
  <c r="DG15" i="2"/>
  <c r="DJ15" i="2" s="1"/>
  <c r="EC9" i="2"/>
  <c r="EF9" i="2" s="1"/>
  <c r="EC12" i="2"/>
  <c r="EF12" i="2" s="1"/>
  <c r="FU9" i="2"/>
  <c r="FX9" i="2" s="1"/>
  <c r="FU15" i="2"/>
  <c r="FX15" i="2" s="1"/>
  <c r="GQ7" i="2"/>
  <c r="GT7" i="2" s="1"/>
  <c r="GQ9" i="2"/>
  <c r="GT9" i="2" s="1"/>
  <c r="GQ12" i="2"/>
  <c r="GT12" i="2" s="1"/>
  <c r="GQ15" i="2"/>
  <c r="GT15" i="2" s="1"/>
  <c r="HM14" i="2"/>
  <c r="HP14" i="2" s="1"/>
  <c r="II5" i="2"/>
  <c r="IL5" i="2" s="1"/>
  <c r="KA10" i="2"/>
  <c r="KD10" i="2" s="1"/>
  <c r="KA13" i="2"/>
  <c r="KD13" i="2" s="1"/>
  <c r="KW9" i="2"/>
  <c r="KZ9" i="2" s="1"/>
  <c r="EC10" i="2"/>
  <c r="EF10" i="2" s="1"/>
  <c r="GT13" i="2"/>
  <c r="FU10" i="2"/>
  <c r="FX10" i="2" s="1"/>
  <c r="GQ10" i="2"/>
  <c r="GT10" i="2" s="1"/>
  <c r="DG7" i="2"/>
  <c r="DJ7" i="2" s="1"/>
  <c r="EC5" i="2"/>
  <c r="EF5" i="2" s="1"/>
  <c r="EY15" i="2"/>
  <c r="FB15" i="2" s="1"/>
  <c r="II10" i="2"/>
  <c r="IL10" i="2" s="1"/>
  <c r="JE6" i="2"/>
  <c r="JH6" i="2" s="1"/>
  <c r="JE10" i="2"/>
  <c r="JH10" i="2" s="1"/>
  <c r="KD9" i="2"/>
  <c r="KA12" i="2"/>
  <c r="KD12" i="2" s="1"/>
  <c r="CK9" i="2"/>
  <c r="CN9" i="2" s="1"/>
  <c r="CK12" i="2"/>
  <c r="CN12" i="2" s="1"/>
  <c r="CK15" i="2"/>
  <c r="CN15" i="2" s="1"/>
  <c r="DG14" i="2"/>
  <c r="DJ14" i="2" s="1"/>
  <c r="EC8" i="2"/>
  <c r="EF8" i="2" s="1"/>
  <c r="EY5" i="2"/>
  <c r="FB5" i="2" s="1"/>
  <c r="FU8" i="2"/>
  <c r="FX8" i="2" s="1"/>
  <c r="FU14" i="2"/>
  <c r="FX14" i="2" s="1"/>
  <c r="GQ8" i="2"/>
  <c r="GT8" i="2" s="1"/>
  <c r="KW10" i="2"/>
  <c r="KZ10" i="2" s="1"/>
  <c r="CK7" i="2"/>
  <c r="CN7" i="2" s="1"/>
  <c r="CN13" i="2"/>
  <c r="DG8" i="2"/>
  <c r="DJ8" i="2" s="1"/>
  <c r="EY8" i="2"/>
  <c r="FB8" i="2" s="1"/>
  <c r="FU5" i="2"/>
  <c r="FX5" i="2" s="1"/>
  <c r="II9" i="2"/>
  <c r="IL9" i="2" s="1"/>
  <c r="II15" i="2"/>
  <c r="IL15" i="2" s="1"/>
  <c r="JE9" i="2"/>
  <c r="JH9" i="2" s="1"/>
  <c r="JE12" i="2"/>
  <c r="JH12" i="2" s="1"/>
  <c r="JE15" i="2"/>
  <c r="JH15" i="2" s="1"/>
  <c r="KA14" i="2"/>
  <c r="KD14" i="2" s="1"/>
  <c r="KW5" i="2"/>
  <c r="KZ5" i="2" s="1"/>
  <c r="KW14" i="2"/>
  <c r="KZ14" i="2" s="1"/>
  <c r="CK6" i="4"/>
  <c r="CN6" i="4" s="1"/>
  <c r="CK14" i="4"/>
  <c r="CN14" i="4" s="1"/>
  <c r="DG5" i="4"/>
  <c r="DJ5" i="4" s="1"/>
  <c r="HM7" i="4"/>
  <c r="HP7" i="4" s="1"/>
  <c r="HM15" i="4"/>
  <c r="HP15" i="4" s="1"/>
  <c r="II14" i="4"/>
  <c r="IL14" i="4" s="1"/>
  <c r="JE16" i="4"/>
  <c r="JH16" i="4" s="1"/>
  <c r="KW14" i="4"/>
  <c r="KZ14" i="4" s="1"/>
  <c r="EC4" i="4"/>
  <c r="EF4" i="4" s="1"/>
  <c r="EC11" i="4"/>
  <c r="EF11" i="4" s="1"/>
  <c r="EY6" i="4"/>
  <c r="FB6" i="4" s="1"/>
  <c r="EY14" i="4"/>
  <c r="FB14" i="4" s="1"/>
  <c r="FU16" i="4"/>
  <c r="FX16" i="4" s="1"/>
  <c r="HM13" i="4"/>
  <c r="HP13" i="4" s="1"/>
  <c r="HM20" i="4"/>
  <c r="HP20" i="4" s="1"/>
  <c r="JE12" i="4"/>
  <c r="JH12" i="4" s="1"/>
  <c r="CN10" i="4"/>
  <c r="HM14" i="4"/>
  <c r="HP14" i="4" s="1"/>
  <c r="II8" i="4"/>
  <c r="IL8" i="4" s="1"/>
  <c r="II16" i="4"/>
  <c r="IL16" i="4" s="1"/>
  <c r="JE18" i="4"/>
  <c r="JH18" i="4" s="1"/>
  <c r="CK5" i="4"/>
  <c r="CN5" i="4" s="1"/>
  <c r="CK8" i="4"/>
  <c r="CN8" i="4" s="1"/>
  <c r="CK12" i="4"/>
  <c r="CN12" i="4" s="1"/>
  <c r="DG11" i="4"/>
  <c r="DJ11" i="4" s="1"/>
  <c r="DG15" i="4"/>
  <c r="DJ15" i="4" s="1"/>
  <c r="DG18" i="4"/>
  <c r="DJ18" i="4" s="1"/>
  <c r="EC6" i="4"/>
  <c r="EF6" i="4" s="1"/>
  <c r="EY8" i="4"/>
  <c r="FB8" i="4" s="1"/>
  <c r="EY16" i="4"/>
  <c r="FB16" i="4" s="1"/>
  <c r="FU9" i="4"/>
  <c r="FX9" i="4" s="1"/>
  <c r="GQ13" i="4"/>
  <c r="GT13" i="4" s="1"/>
  <c r="KA14" i="4"/>
  <c r="KD14" i="4" s="1"/>
  <c r="KW8" i="4"/>
  <c r="KZ8" i="4" s="1"/>
  <c r="KD10" i="4"/>
  <c r="KD19" i="4"/>
  <c r="EY18" i="4"/>
  <c r="FB18" i="4" s="1"/>
  <c r="FU15" i="4"/>
  <c r="FX15" i="4" s="1"/>
  <c r="FU20" i="4"/>
  <c r="FX20" i="4" s="1"/>
  <c r="CK4" i="4"/>
  <c r="CN4" i="4" s="1"/>
  <c r="CK7" i="4"/>
  <c r="CN7" i="4" s="1"/>
  <c r="CK11" i="4"/>
  <c r="CN11" i="4" s="1"/>
  <c r="DG10" i="4"/>
  <c r="DJ10" i="4" s="1"/>
  <c r="EC5" i="4"/>
  <c r="EF5" i="4" s="1"/>
  <c r="FU17" i="4"/>
  <c r="FX17" i="4" s="1"/>
  <c r="GQ8" i="4"/>
  <c r="GT8" i="4" s="1"/>
  <c r="GQ16" i="4"/>
  <c r="GT16" i="4" s="1"/>
  <c r="HM9" i="4"/>
  <c r="HP9" i="4" s="1"/>
  <c r="II15" i="4"/>
  <c r="IL15" i="4" s="1"/>
  <c r="II20" i="4"/>
  <c r="IL20" i="4" s="1"/>
  <c r="JE14" i="4"/>
  <c r="JH14" i="4" s="1"/>
  <c r="KA5" i="4"/>
  <c r="KD5" i="4" s="1"/>
  <c r="KA12" i="4"/>
  <c r="KD12" i="4" s="1"/>
  <c r="KW4" i="4"/>
  <c r="KZ4" i="4" s="1"/>
  <c r="EY17" i="4"/>
  <c r="FB17" i="4" s="1"/>
  <c r="KD18" i="4"/>
  <c r="KW10" i="4"/>
  <c r="KZ10" i="4" s="1"/>
  <c r="CK9" i="4"/>
  <c r="CN9" i="4" s="1"/>
  <c r="CK19" i="4"/>
  <c r="CN19" i="4" s="1"/>
  <c r="DG12" i="4"/>
  <c r="DJ12" i="4" s="1"/>
  <c r="EC12" i="4"/>
  <c r="EF12" i="4" s="1"/>
  <c r="EC19" i="4"/>
  <c r="EF19" i="4" s="1"/>
  <c r="FU5" i="4"/>
  <c r="FX5" i="4" s="1"/>
  <c r="FU10" i="4"/>
  <c r="FX10" i="4" s="1"/>
  <c r="GQ14" i="4"/>
  <c r="GT14" i="4" s="1"/>
  <c r="GQ17" i="4"/>
  <c r="GT17" i="4" s="1"/>
  <c r="HM10" i="4"/>
  <c r="HP10" i="4" s="1"/>
  <c r="II10" i="4"/>
  <c r="IL10" i="4" s="1"/>
  <c r="JE5" i="4"/>
  <c r="JH5" i="4" s="1"/>
  <c r="JE19" i="4"/>
  <c r="JH19" i="4" s="1"/>
  <c r="KZ5" i="4"/>
  <c r="DG4" i="4"/>
  <c r="DJ4" i="4" s="1"/>
  <c r="DG7" i="4"/>
  <c r="DJ7" i="4" s="1"/>
  <c r="EY4" i="4"/>
  <c r="FB4" i="4" s="1"/>
  <c r="EY7" i="4"/>
  <c r="FB7" i="4" s="1"/>
  <c r="FU12" i="4"/>
  <c r="FX12" i="4" s="1"/>
  <c r="GQ19" i="4"/>
  <c r="GT19" i="4" s="1"/>
  <c r="HM12" i="4"/>
  <c r="HP12" i="4" s="1"/>
  <c r="HM19" i="4"/>
  <c r="HP19" i="4" s="1"/>
  <c r="II12" i="4"/>
  <c r="IL12" i="4" s="1"/>
  <c r="JE9" i="4"/>
  <c r="JH9" i="4" s="1"/>
  <c r="KA4" i="4"/>
  <c r="KD4" i="4" s="1"/>
  <c r="KA7" i="4"/>
  <c r="KD7" i="4" s="1"/>
  <c r="KW9" i="4"/>
  <c r="KZ9" i="4" s="1"/>
  <c r="CN18" i="4"/>
  <c r="HP17" i="4"/>
  <c r="JH4" i="4"/>
  <c r="KZ7" i="4"/>
  <c r="KW18" i="4"/>
  <c r="KZ18" i="4" s="1"/>
  <c r="CK15" i="4"/>
  <c r="CN15" i="4" s="1"/>
  <c r="DJ6" i="4"/>
  <c r="EC13" i="4"/>
  <c r="EF13" i="4" s="1"/>
  <c r="EY15" i="4"/>
  <c r="FB15" i="4" s="1"/>
  <c r="FU4" i="4"/>
  <c r="FX4" i="4" s="1"/>
  <c r="FU18" i="4"/>
  <c r="FX18" i="4" s="1"/>
  <c r="GQ7" i="4"/>
  <c r="GT7" i="4" s="1"/>
  <c r="II4" i="4"/>
  <c r="IL4" i="4" s="1"/>
  <c r="II7" i="4"/>
  <c r="IL7" i="4" s="1"/>
  <c r="II18" i="4"/>
  <c r="IL18" i="4" s="1"/>
  <c r="JE11" i="4"/>
  <c r="JH11" i="4" s="1"/>
  <c r="JE15" i="4"/>
  <c r="JH15" i="4" s="1"/>
  <c r="KA6" i="4"/>
  <c r="KD6" i="4" s="1"/>
  <c r="KA13" i="4"/>
  <c r="KD13" i="4" s="1"/>
  <c r="KA11" i="4"/>
  <c r="KD11" i="4" s="1"/>
  <c r="KA15" i="4"/>
  <c r="KD15" i="4" s="1"/>
  <c r="KW11" i="4"/>
  <c r="KZ11" i="4" s="1"/>
  <c r="KW15" i="4"/>
  <c r="KZ15" i="4" s="1"/>
  <c r="CN13" i="4"/>
  <c r="CK20" i="4"/>
  <c r="CN20" i="4" s="1"/>
  <c r="DG14" i="4"/>
  <c r="DJ14" i="4" s="1"/>
  <c r="DG17" i="4"/>
  <c r="DJ17" i="4" s="1"/>
  <c r="EC14" i="4"/>
  <c r="EF14" i="4" s="1"/>
  <c r="EC20" i="4"/>
  <c r="EF20" i="4" s="1"/>
  <c r="FU6" i="4"/>
  <c r="FX6" i="4" s="1"/>
  <c r="GQ18" i="4"/>
  <c r="GT18" i="4" s="1"/>
  <c r="HM11" i="4"/>
  <c r="HP11" i="4" s="1"/>
  <c r="HM18" i="4"/>
  <c r="HP18" i="4" s="1"/>
  <c r="II11" i="4"/>
  <c r="IL11" i="4" s="1"/>
  <c r="JE6" i="4"/>
  <c r="JH6" i="4" s="1"/>
  <c r="JE13" i="4"/>
  <c r="JH13" i="4" s="1"/>
  <c r="JE20" i="4"/>
  <c r="JH20" i="4" s="1"/>
  <c r="KD9" i="4"/>
  <c r="KW6" i="4"/>
  <c r="KZ6" i="4" s="1"/>
  <c r="KW13" i="4"/>
  <c r="KZ13" i="4" s="1"/>
  <c r="KW20" i="4"/>
  <c r="KZ20" i="4" s="1"/>
  <c r="DU4" i="12"/>
  <c r="DU4" i="6"/>
  <c r="HM7" i="2"/>
  <c r="HP7" i="2" s="1"/>
  <c r="HM5" i="2"/>
  <c r="HP5" i="2" s="1"/>
  <c r="HM6" i="2"/>
  <c r="HP6" i="2" s="1"/>
  <c r="HM4" i="2"/>
  <c r="HP4" i="2" s="1"/>
  <c r="HM5" i="4"/>
  <c r="HP5" i="4" s="1"/>
  <c r="HM4" i="4"/>
  <c r="HP4" i="4" s="1"/>
  <c r="HM6" i="4"/>
  <c r="HP6" i="4" s="1"/>
  <c r="AK6" i="9"/>
  <c r="AL6" i="9"/>
  <c r="AM6" i="9"/>
  <c r="AO6" i="9"/>
  <c r="AP6" i="9"/>
  <c r="BH6" i="9"/>
  <c r="BI6" i="9"/>
  <c r="BJ6" i="9"/>
  <c r="BL6" i="9"/>
  <c r="BM6" i="9"/>
  <c r="LP6" i="9"/>
  <c r="LQ6" i="9"/>
  <c r="LR6" i="9"/>
  <c r="LT6" i="9"/>
  <c r="LU6" i="9"/>
  <c r="AK5" i="9"/>
  <c r="AL5" i="9"/>
  <c r="AM5" i="9"/>
  <c r="AO5" i="9"/>
  <c r="AP5" i="9"/>
  <c r="BH5" i="9"/>
  <c r="BI5" i="9"/>
  <c r="BJ5" i="9"/>
  <c r="BL5" i="9"/>
  <c r="BM5" i="9"/>
  <c r="LP5" i="9"/>
  <c r="LQ5" i="9"/>
  <c r="LR5" i="9"/>
  <c r="LT5" i="9"/>
  <c r="LU5" i="9"/>
  <c r="P6" i="9" l="1"/>
  <c r="BR6" i="9" s="1"/>
  <c r="AN5" i="9"/>
  <c r="AQ5" i="9" s="1"/>
  <c r="AN6" i="9"/>
  <c r="AQ6" i="9" s="1"/>
  <c r="LS5" i="9"/>
  <c r="LV5" i="9" s="1"/>
  <c r="P5" i="9"/>
  <c r="Q5" i="9" s="1"/>
  <c r="LS6" i="9"/>
  <c r="LV6" i="9" s="1"/>
  <c r="BK6" i="9"/>
  <c r="BN6" i="9" s="1"/>
  <c r="F6" i="9"/>
  <c r="G6" i="9"/>
  <c r="BK5" i="9"/>
  <c r="F5" i="9"/>
  <c r="G5" i="9"/>
  <c r="Q6" i="9" l="1"/>
  <c r="J6" i="9"/>
  <c r="K6" i="9" s="1"/>
  <c r="BR5" i="9"/>
  <c r="H5" i="9"/>
  <c r="BN5" i="9"/>
  <c r="J5" i="9"/>
  <c r="BQ5" i="9" s="1"/>
  <c r="H6" i="9"/>
  <c r="I6" i="9" s="1"/>
  <c r="L6" i="9" l="1"/>
  <c r="BQ6" i="9"/>
  <c r="N6" i="9"/>
  <c r="O6" i="9" s="1"/>
  <c r="K5" i="9"/>
  <c r="L5" i="9"/>
  <c r="M5" i="9" s="1"/>
  <c r="I5" i="9"/>
  <c r="N5" i="9"/>
  <c r="BP5" i="9" s="1"/>
  <c r="BP6" i="9"/>
  <c r="BO6" i="9"/>
  <c r="M6" i="9"/>
  <c r="AH5" i="7"/>
  <c r="AI5" i="7"/>
  <c r="AJ5" i="7"/>
  <c r="BC5" i="7"/>
  <c r="BD5" i="7"/>
  <c r="BE5" i="7"/>
  <c r="KK5" i="7"/>
  <c r="KL5" i="7"/>
  <c r="KM5" i="7"/>
  <c r="O5" i="9" l="1"/>
  <c r="BO5" i="9"/>
  <c r="R5" i="9" s="1"/>
  <c r="R6" i="9"/>
  <c r="E6" i="9" s="1"/>
  <c r="KN5" i="7"/>
  <c r="BF5" i="7"/>
  <c r="L5" i="7"/>
  <c r="BH5" i="7" s="1"/>
  <c r="AK5" i="7"/>
  <c r="F5" i="7"/>
  <c r="J5" i="7"/>
  <c r="BG5" i="7" s="1"/>
  <c r="H5" i="7"/>
  <c r="G5" i="7"/>
  <c r="E5" i="9" l="1"/>
  <c r="S6" i="9"/>
  <c r="T6" i="9"/>
  <c r="T5" i="9"/>
  <c r="S5" i="9"/>
  <c r="M5" i="7"/>
  <c r="I5" i="7"/>
  <c r="K5" i="7"/>
  <c r="N5" i="7"/>
  <c r="P5" i="7" s="1"/>
  <c r="E5" i="7" l="1"/>
  <c r="O5" i="7"/>
  <c r="AK12" i="10" l="1"/>
  <c r="AL12" i="10"/>
  <c r="AM12" i="10"/>
  <c r="AO12" i="10"/>
  <c r="AP12" i="10"/>
  <c r="BH12" i="10"/>
  <c r="BI12" i="10"/>
  <c r="BJ12" i="10"/>
  <c r="BL12" i="10"/>
  <c r="BM12" i="10"/>
  <c r="LP12" i="10"/>
  <c r="LQ12" i="10"/>
  <c r="LR12" i="10"/>
  <c r="LT12" i="10"/>
  <c r="LU12" i="10"/>
  <c r="AK9" i="10"/>
  <c r="AL9" i="10"/>
  <c r="AM9" i="10"/>
  <c r="AO9" i="10"/>
  <c r="AP9" i="10"/>
  <c r="BH9" i="10"/>
  <c r="BI9" i="10"/>
  <c r="BJ9" i="10"/>
  <c r="BL9" i="10"/>
  <c r="BM9" i="10"/>
  <c r="LP9" i="10"/>
  <c r="LQ9" i="10"/>
  <c r="LR9" i="10"/>
  <c r="LT9" i="10"/>
  <c r="LU9" i="10"/>
  <c r="AK11" i="10"/>
  <c r="AL11" i="10"/>
  <c r="AM11" i="10"/>
  <c r="AO11" i="10"/>
  <c r="AP11" i="10"/>
  <c r="BH11" i="10"/>
  <c r="BI11" i="10"/>
  <c r="BJ11" i="10"/>
  <c r="BL11" i="10"/>
  <c r="BM11" i="10"/>
  <c r="LP11" i="10"/>
  <c r="LQ11" i="10"/>
  <c r="LR11" i="10"/>
  <c r="LT11" i="10"/>
  <c r="LU11" i="10"/>
  <c r="P9" i="10" l="1"/>
  <c r="BR9" i="10" s="1"/>
  <c r="P12" i="10"/>
  <c r="BR12" i="10" s="1"/>
  <c r="AN12" i="10"/>
  <c r="AQ12" i="10" s="1"/>
  <c r="AN11" i="10"/>
  <c r="LS12" i="10"/>
  <c r="LV12" i="10" s="1"/>
  <c r="P11" i="10"/>
  <c r="BR11" i="10" s="1"/>
  <c r="LS9" i="10"/>
  <c r="LV9" i="10" s="1"/>
  <c r="LS11" i="10"/>
  <c r="LV11" i="10" s="1"/>
  <c r="AN9" i="10"/>
  <c r="AQ9" i="10" s="1"/>
  <c r="BK12" i="10"/>
  <c r="BK11" i="10"/>
  <c r="BN11" i="10" s="1"/>
  <c r="F12" i="10"/>
  <c r="G12" i="10"/>
  <c r="BK9" i="10"/>
  <c r="BN9" i="10" s="1"/>
  <c r="F9" i="10"/>
  <c r="Q9" i="10"/>
  <c r="G9" i="10"/>
  <c r="F11" i="10"/>
  <c r="G11" i="10"/>
  <c r="AK14" i="4"/>
  <c r="AL14" i="4"/>
  <c r="AM14" i="4"/>
  <c r="AO14" i="4"/>
  <c r="AP14" i="4"/>
  <c r="BH14" i="4"/>
  <c r="BI14" i="4"/>
  <c r="BJ14" i="4"/>
  <c r="BL14" i="4"/>
  <c r="BM14" i="4"/>
  <c r="LP14" i="4"/>
  <c r="LQ14" i="4"/>
  <c r="LR14" i="4"/>
  <c r="LT14" i="4"/>
  <c r="LU14" i="4"/>
  <c r="Q12" i="10" l="1"/>
  <c r="Q11" i="10"/>
  <c r="J12" i="10"/>
  <c r="L12" i="10" s="1"/>
  <c r="J11" i="10"/>
  <c r="L11" i="10" s="1"/>
  <c r="M11" i="10" s="1"/>
  <c r="AQ11" i="10"/>
  <c r="H11" i="10"/>
  <c r="I11" i="10" s="1"/>
  <c r="BN12" i="10"/>
  <c r="H12" i="10"/>
  <c r="I12" i="10" s="1"/>
  <c r="P14" i="4"/>
  <c r="BR14" i="4" s="1"/>
  <c r="H9" i="10"/>
  <c r="I9" i="10" s="1"/>
  <c r="J9" i="10"/>
  <c r="K9" i="10" s="1"/>
  <c r="AN14" i="4"/>
  <c r="AQ14" i="4" s="1"/>
  <c r="LS14" i="4"/>
  <c r="LV14" i="4" s="1"/>
  <c r="BK14" i="4"/>
  <c r="BN14" i="4" s="1"/>
  <c r="F14" i="4"/>
  <c r="G14" i="4"/>
  <c r="AK10" i="12"/>
  <c r="AJ10" i="12"/>
  <c r="AI10" i="12"/>
  <c r="AH10" i="12"/>
  <c r="AK11" i="12"/>
  <c r="AJ11" i="12"/>
  <c r="AI11" i="12"/>
  <c r="AH11" i="12"/>
  <c r="AK9" i="12"/>
  <c r="AJ9" i="12"/>
  <c r="AI9" i="12"/>
  <c r="AH9" i="12"/>
  <c r="AK4" i="12"/>
  <c r="AJ4" i="12"/>
  <c r="AI4" i="12"/>
  <c r="AH4" i="12"/>
  <c r="AK8" i="12"/>
  <c r="AJ8" i="12"/>
  <c r="AI8" i="12"/>
  <c r="AH8" i="12"/>
  <c r="AK6" i="12"/>
  <c r="AJ6" i="12"/>
  <c r="AI6" i="12"/>
  <c r="AH6" i="12"/>
  <c r="AK7" i="12"/>
  <c r="AJ7" i="12"/>
  <c r="AI7" i="12"/>
  <c r="AH7" i="12"/>
  <c r="AK5" i="12"/>
  <c r="AJ5" i="12"/>
  <c r="AI5" i="12"/>
  <c r="AH5" i="12"/>
  <c r="AK7" i="6"/>
  <c r="AJ7" i="6"/>
  <c r="AI7" i="6"/>
  <c r="AH7" i="6"/>
  <c r="AK9" i="6"/>
  <c r="AJ9" i="6"/>
  <c r="AI9" i="6"/>
  <c r="AH9" i="6"/>
  <c r="AK12" i="6"/>
  <c r="AJ12" i="6"/>
  <c r="AI12" i="6"/>
  <c r="AH12" i="6"/>
  <c r="AK5" i="6"/>
  <c r="AJ5" i="6"/>
  <c r="AI5" i="6"/>
  <c r="AH5" i="6"/>
  <c r="AK14" i="6"/>
  <c r="AJ14" i="6"/>
  <c r="AI14" i="6"/>
  <c r="AH14" i="6"/>
  <c r="AK8" i="6"/>
  <c r="AJ8" i="6"/>
  <c r="AI8" i="6"/>
  <c r="AH8" i="6"/>
  <c r="AK6" i="6"/>
  <c r="AJ6" i="6"/>
  <c r="AI6" i="6"/>
  <c r="AH6" i="6"/>
  <c r="AK13" i="6"/>
  <c r="AJ13" i="6"/>
  <c r="AI13" i="6"/>
  <c r="AH13" i="6"/>
  <c r="AK10" i="6"/>
  <c r="AJ10" i="6"/>
  <c r="AI10" i="6"/>
  <c r="AH10" i="6"/>
  <c r="AK4" i="6"/>
  <c r="AJ4" i="6"/>
  <c r="AI4" i="6"/>
  <c r="AH4" i="6"/>
  <c r="AK11" i="6"/>
  <c r="AJ11" i="6"/>
  <c r="AI11" i="6"/>
  <c r="AH11" i="6"/>
  <c r="AJ5" i="8"/>
  <c r="AI5" i="8"/>
  <c r="AH5" i="8"/>
  <c r="AJ4" i="8"/>
  <c r="AI4" i="8"/>
  <c r="AH4" i="8"/>
  <c r="AJ8" i="7"/>
  <c r="AI8" i="7"/>
  <c r="AH8" i="7"/>
  <c r="AJ7" i="7"/>
  <c r="AI7" i="7"/>
  <c r="AH7" i="7"/>
  <c r="AJ6" i="7"/>
  <c r="AI6" i="7"/>
  <c r="AH6" i="7"/>
  <c r="AJ4" i="7"/>
  <c r="AI4" i="7"/>
  <c r="AH4" i="7"/>
  <c r="AP8" i="10"/>
  <c r="AO8" i="10"/>
  <c r="AM8" i="10"/>
  <c r="AL8" i="10"/>
  <c r="AK8" i="10"/>
  <c r="AP5" i="10"/>
  <c r="AO5" i="10"/>
  <c r="AM5" i="10"/>
  <c r="AL5" i="10"/>
  <c r="AK5" i="10"/>
  <c r="AP13" i="10"/>
  <c r="AO13" i="10"/>
  <c r="AM13" i="10"/>
  <c r="AL13" i="10"/>
  <c r="AK13" i="10"/>
  <c r="AP7" i="10"/>
  <c r="AO7" i="10"/>
  <c r="AM7" i="10"/>
  <c r="AL7" i="10"/>
  <c r="AK7" i="10"/>
  <c r="AP6" i="10"/>
  <c r="AO6" i="10"/>
  <c r="AM6" i="10"/>
  <c r="AL6" i="10"/>
  <c r="AK6" i="10"/>
  <c r="AP4" i="10"/>
  <c r="AO4" i="10"/>
  <c r="AM4" i="10"/>
  <c r="AL4" i="10"/>
  <c r="AK4" i="10"/>
  <c r="AP10" i="10"/>
  <c r="AO10" i="10"/>
  <c r="AM10" i="10"/>
  <c r="AL10" i="10"/>
  <c r="AK10" i="10"/>
  <c r="AP12" i="9"/>
  <c r="AO12" i="9"/>
  <c r="AM12" i="9"/>
  <c r="AL12" i="9"/>
  <c r="AK12" i="9"/>
  <c r="AP13" i="9"/>
  <c r="AO13" i="9"/>
  <c r="AM13" i="9"/>
  <c r="AL13" i="9"/>
  <c r="AK13" i="9"/>
  <c r="AP9" i="9"/>
  <c r="AO9" i="9"/>
  <c r="AM9" i="9"/>
  <c r="AL9" i="9"/>
  <c r="AK9" i="9"/>
  <c r="AP8" i="9"/>
  <c r="AO8" i="9"/>
  <c r="AM8" i="9"/>
  <c r="AL8" i="9"/>
  <c r="AK8" i="9"/>
  <c r="AP7" i="9"/>
  <c r="AO7" i="9"/>
  <c r="AM7" i="9"/>
  <c r="AL7" i="9"/>
  <c r="AK7" i="9"/>
  <c r="AP11" i="9"/>
  <c r="AO11" i="9"/>
  <c r="AM11" i="9"/>
  <c r="AL11" i="9"/>
  <c r="AK11" i="9"/>
  <c r="AP4" i="9"/>
  <c r="AO4" i="9"/>
  <c r="AM4" i="9"/>
  <c r="AL4" i="9"/>
  <c r="AK4" i="9"/>
  <c r="AP10" i="9"/>
  <c r="AO10" i="9"/>
  <c r="AM10" i="9"/>
  <c r="AL10" i="9"/>
  <c r="AK10" i="9"/>
  <c r="AP14" i="2"/>
  <c r="AO14" i="2"/>
  <c r="AM14" i="2"/>
  <c r="AL14" i="2"/>
  <c r="AK14" i="2"/>
  <c r="AP15" i="2"/>
  <c r="AO15" i="2"/>
  <c r="AM15" i="2"/>
  <c r="AL15" i="2"/>
  <c r="AK15" i="2"/>
  <c r="AP13" i="2"/>
  <c r="AO13" i="2"/>
  <c r="AM13" i="2"/>
  <c r="AL13" i="2"/>
  <c r="AK13" i="2"/>
  <c r="AP11" i="2"/>
  <c r="AO11" i="2"/>
  <c r="AM11" i="2"/>
  <c r="AL11" i="2"/>
  <c r="AK11" i="2"/>
  <c r="AP10" i="2"/>
  <c r="AO10" i="2"/>
  <c r="AM10" i="2"/>
  <c r="AL10" i="2"/>
  <c r="AK10" i="2"/>
  <c r="AP9" i="2"/>
  <c r="AO9" i="2"/>
  <c r="AM9" i="2"/>
  <c r="AL9" i="2"/>
  <c r="AK9" i="2"/>
  <c r="AP12" i="2"/>
  <c r="AO12" i="2"/>
  <c r="AM12" i="2"/>
  <c r="AL12" i="2"/>
  <c r="AK12" i="2"/>
  <c r="AP8" i="2"/>
  <c r="AO8" i="2"/>
  <c r="AM8" i="2"/>
  <c r="AL8" i="2"/>
  <c r="AK8" i="2"/>
  <c r="AP6" i="2"/>
  <c r="AO6" i="2"/>
  <c r="AM6" i="2"/>
  <c r="AL6" i="2"/>
  <c r="AK6" i="2"/>
  <c r="AP7" i="2"/>
  <c r="AO7" i="2"/>
  <c r="AM7" i="2"/>
  <c r="AL7" i="2"/>
  <c r="AK7" i="2"/>
  <c r="AP5" i="2"/>
  <c r="AO5" i="2"/>
  <c r="AM5" i="2"/>
  <c r="AL5" i="2"/>
  <c r="AK5" i="2"/>
  <c r="AP4" i="2"/>
  <c r="AO4" i="2"/>
  <c r="AM4" i="2"/>
  <c r="AL4" i="2"/>
  <c r="AK4" i="2"/>
  <c r="AP15" i="4"/>
  <c r="AO15" i="4"/>
  <c r="AM15" i="4"/>
  <c r="AL15" i="4"/>
  <c r="AK15" i="4"/>
  <c r="AP20" i="4"/>
  <c r="AO20" i="4"/>
  <c r="AM20" i="4"/>
  <c r="AL20" i="4"/>
  <c r="AK20" i="4"/>
  <c r="AP19" i="4"/>
  <c r="AO19" i="4"/>
  <c r="AM19" i="4"/>
  <c r="AL19" i="4"/>
  <c r="AK19" i="4"/>
  <c r="AP18" i="4"/>
  <c r="AO18" i="4"/>
  <c r="AM18" i="4"/>
  <c r="AL18" i="4"/>
  <c r="AK18" i="4"/>
  <c r="AP11" i="4"/>
  <c r="AO11" i="4"/>
  <c r="AM11" i="4"/>
  <c r="AL11" i="4"/>
  <c r="AK11" i="4"/>
  <c r="AP16" i="4"/>
  <c r="AO16" i="4"/>
  <c r="AM16" i="4"/>
  <c r="AL16" i="4"/>
  <c r="AK16" i="4"/>
  <c r="AP17" i="4"/>
  <c r="AO17" i="4"/>
  <c r="AM17" i="4"/>
  <c r="AL17" i="4"/>
  <c r="AK17" i="4"/>
  <c r="AP13" i="4"/>
  <c r="AO13" i="4"/>
  <c r="AM13" i="4"/>
  <c r="AL13" i="4"/>
  <c r="AK13" i="4"/>
  <c r="AP10" i="4"/>
  <c r="AO10" i="4"/>
  <c r="AM10" i="4"/>
  <c r="AL10" i="4"/>
  <c r="AK10" i="4"/>
  <c r="AP8" i="4"/>
  <c r="AO8" i="4"/>
  <c r="AM8" i="4"/>
  <c r="AL8" i="4"/>
  <c r="AK8" i="4"/>
  <c r="AP12" i="4"/>
  <c r="AO12" i="4"/>
  <c r="AM12" i="4"/>
  <c r="AL12" i="4"/>
  <c r="AK12" i="4"/>
  <c r="AP9" i="4"/>
  <c r="AO9" i="4"/>
  <c r="AM9" i="4"/>
  <c r="AL9" i="4"/>
  <c r="AK9" i="4"/>
  <c r="AP7" i="4"/>
  <c r="AO7" i="4"/>
  <c r="AM7" i="4"/>
  <c r="AL7" i="4"/>
  <c r="AK7" i="4"/>
  <c r="AP6" i="4"/>
  <c r="AO6" i="4"/>
  <c r="AM6" i="4"/>
  <c r="AL6" i="4"/>
  <c r="AK6" i="4"/>
  <c r="AP4" i="4"/>
  <c r="AO4" i="4"/>
  <c r="AM4" i="4"/>
  <c r="AL4" i="4"/>
  <c r="AK4" i="4"/>
  <c r="AP5" i="4"/>
  <c r="AO5" i="4"/>
  <c r="AM5" i="4"/>
  <c r="AL5" i="4"/>
  <c r="AK5" i="4"/>
  <c r="AN11" i="9" l="1"/>
  <c r="AQ11" i="9" s="1"/>
  <c r="AK6" i="7"/>
  <c r="N12" i="10"/>
  <c r="O12" i="10" s="1"/>
  <c r="BQ12" i="10"/>
  <c r="AN13" i="2"/>
  <c r="AQ13" i="2" s="1"/>
  <c r="AK4" i="8"/>
  <c r="AK7" i="7"/>
  <c r="BO11" i="10"/>
  <c r="K12" i="10"/>
  <c r="K11" i="10"/>
  <c r="N11" i="10"/>
  <c r="O11" i="10" s="1"/>
  <c r="BQ11" i="10"/>
  <c r="AN10" i="2"/>
  <c r="AQ10" i="2" s="1"/>
  <c r="AN17" i="4"/>
  <c r="AQ17" i="4" s="1"/>
  <c r="Q14" i="4"/>
  <c r="AN15" i="4"/>
  <c r="AQ15" i="4" s="1"/>
  <c r="AL4" i="6"/>
  <c r="AL13" i="6"/>
  <c r="A12" i="10"/>
  <c r="AN7" i="10"/>
  <c r="AQ7" i="10" s="1"/>
  <c r="AL10" i="6"/>
  <c r="AL6" i="6"/>
  <c r="AL14" i="6"/>
  <c r="AL5" i="6"/>
  <c r="BQ9" i="10"/>
  <c r="AN4" i="10"/>
  <c r="AQ4" i="10" s="1"/>
  <c r="AN14" i="2"/>
  <c r="AQ14" i="2" s="1"/>
  <c r="AN10" i="4"/>
  <c r="AQ10" i="4" s="1"/>
  <c r="AN5" i="4"/>
  <c r="AQ5" i="4" s="1"/>
  <c r="AN13" i="4"/>
  <c r="AQ13" i="4" s="1"/>
  <c r="N9" i="10"/>
  <c r="O9" i="10" s="1"/>
  <c r="L9" i="10"/>
  <c r="M9" i="10" s="1"/>
  <c r="A9" i="10"/>
  <c r="M12" i="10"/>
  <c r="BO12" i="10"/>
  <c r="AN4" i="9"/>
  <c r="AQ4" i="9" s="1"/>
  <c r="AL7" i="12"/>
  <c r="AL6" i="12"/>
  <c r="AL4" i="12"/>
  <c r="AL11" i="12"/>
  <c r="AL10" i="12"/>
  <c r="AK5" i="8"/>
  <c r="AN12" i="9"/>
  <c r="AQ12" i="9" s="1"/>
  <c r="AN12" i="2"/>
  <c r="AQ12" i="2" s="1"/>
  <c r="AN15" i="2"/>
  <c r="AQ15" i="2" s="1"/>
  <c r="AN5" i="2"/>
  <c r="AQ5" i="2" s="1"/>
  <c r="AN12" i="4"/>
  <c r="AQ12" i="4" s="1"/>
  <c r="AN16" i="4"/>
  <c r="AQ16" i="4" s="1"/>
  <c r="J14" i="4"/>
  <c r="L14" i="4" s="1"/>
  <c r="H14" i="4"/>
  <c r="I14" i="4" s="1"/>
  <c r="AL8" i="12"/>
  <c r="AL9" i="12"/>
  <c r="AL5" i="12"/>
  <c r="AL11" i="6"/>
  <c r="AL8" i="6"/>
  <c r="AL12" i="6"/>
  <c r="AL7" i="6"/>
  <c r="AL9" i="6"/>
  <c r="AK8" i="7"/>
  <c r="AK4" i="7"/>
  <c r="AN8" i="10"/>
  <c r="AQ8" i="10" s="1"/>
  <c r="AN5" i="10"/>
  <c r="AQ5" i="10" s="1"/>
  <c r="AN6" i="10"/>
  <c r="AQ6" i="10" s="1"/>
  <c r="AN13" i="10"/>
  <c r="AQ13" i="10" s="1"/>
  <c r="AN10" i="10"/>
  <c r="AQ10" i="10" s="1"/>
  <c r="AN9" i="9"/>
  <c r="AQ9" i="9" s="1"/>
  <c r="AN10" i="9"/>
  <c r="AQ10" i="9" s="1"/>
  <c r="AN8" i="9"/>
  <c r="AQ8" i="9" s="1"/>
  <c r="AN7" i="9"/>
  <c r="AQ7" i="9" s="1"/>
  <c r="AN13" i="9"/>
  <c r="AQ13" i="9" s="1"/>
  <c r="AN6" i="2"/>
  <c r="AQ6" i="2" s="1"/>
  <c r="AN4" i="2"/>
  <c r="AQ4" i="2" s="1"/>
  <c r="AN11" i="2"/>
  <c r="AQ11" i="2" s="1"/>
  <c r="AN9" i="2"/>
  <c r="AQ9" i="2" s="1"/>
  <c r="AN7" i="2"/>
  <c r="AQ7" i="2" s="1"/>
  <c r="AN8" i="2"/>
  <c r="AQ8" i="2" s="1"/>
  <c r="AN7" i="4"/>
  <c r="AQ7" i="4" s="1"/>
  <c r="AN20" i="4"/>
  <c r="AQ20" i="4" s="1"/>
  <c r="AN11" i="4"/>
  <c r="AQ11" i="4" s="1"/>
  <c r="AN19" i="4"/>
  <c r="AQ19" i="4" s="1"/>
  <c r="AN8" i="4"/>
  <c r="AQ8" i="4" s="1"/>
  <c r="AN6" i="4"/>
  <c r="AQ6" i="4" s="1"/>
  <c r="AN18" i="4"/>
  <c r="AQ18" i="4" s="1"/>
  <c r="AN4" i="4"/>
  <c r="AQ4" i="4" s="1"/>
  <c r="AN9" i="4"/>
  <c r="AQ9" i="4" s="1"/>
  <c r="BP12" i="10" l="1"/>
  <c r="R12" i="10" s="1"/>
  <c r="T12" i="10" s="1"/>
  <c r="BP11" i="10"/>
  <c r="R11" i="10" s="1"/>
  <c r="BP9" i="10"/>
  <c r="BO9" i="10"/>
  <c r="N14" i="4"/>
  <c r="K14" i="4"/>
  <c r="M14" i="4" s="1"/>
  <c r="BQ14" i="4"/>
  <c r="A14" i="4"/>
  <c r="BO14" i="4"/>
  <c r="LX4" i="9"/>
  <c r="LY4" i="9"/>
  <c r="LZ4" i="9"/>
  <c r="MA4" i="9"/>
  <c r="MB4" i="9"/>
  <c r="MC4" i="9"/>
  <c r="MD4" i="9"/>
  <c r="ME4" i="9"/>
  <c r="MF4" i="9"/>
  <c r="MG4" i="9"/>
  <c r="MH4" i="9"/>
  <c r="MI4" i="9"/>
  <c r="MQ4" i="9" s="1"/>
  <c r="MJ4" i="9"/>
  <c r="MK4" i="9"/>
  <c r="LX5" i="9"/>
  <c r="LY5" i="9"/>
  <c r="LZ5" i="9"/>
  <c r="MA5" i="9"/>
  <c r="MB5" i="9"/>
  <c r="MC5" i="9"/>
  <c r="MD5" i="9"/>
  <c r="ME5" i="9"/>
  <c r="MF5" i="9"/>
  <c r="MG5" i="9"/>
  <c r="MH5" i="9"/>
  <c r="MI5" i="9"/>
  <c r="MQ5" i="9" s="1"/>
  <c r="MJ5" i="9"/>
  <c r="MK5" i="9"/>
  <c r="LX6" i="9"/>
  <c r="LY6" i="9"/>
  <c r="LZ6" i="9"/>
  <c r="MA6" i="9"/>
  <c r="MB6" i="9"/>
  <c r="MC6" i="9"/>
  <c r="MD6" i="9"/>
  <c r="ME6" i="9"/>
  <c r="MF6" i="9"/>
  <c r="MG6" i="9"/>
  <c r="MH6" i="9"/>
  <c r="MI6" i="9"/>
  <c r="MQ6" i="9" s="1"/>
  <c r="MJ6" i="9"/>
  <c r="MK6" i="9"/>
  <c r="LX7" i="9"/>
  <c r="LY7" i="9"/>
  <c r="LZ7" i="9"/>
  <c r="MA7" i="9"/>
  <c r="MB7" i="9"/>
  <c r="MC7" i="9"/>
  <c r="MD7" i="9"/>
  <c r="ME7" i="9"/>
  <c r="MF7" i="9"/>
  <c r="MG7" i="9"/>
  <c r="MH7" i="9"/>
  <c r="MI7" i="9"/>
  <c r="MQ7" i="9" s="1"/>
  <c r="MJ7" i="9"/>
  <c r="MK7" i="9"/>
  <c r="LX8" i="9"/>
  <c r="LY8" i="9"/>
  <c r="LZ8" i="9"/>
  <c r="MA8" i="9"/>
  <c r="MB8" i="9"/>
  <c r="MC8" i="9"/>
  <c r="MD8" i="9"/>
  <c r="ME8" i="9"/>
  <c r="MF8" i="9"/>
  <c r="MG8" i="9"/>
  <c r="MH8" i="9"/>
  <c r="MI8" i="9"/>
  <c r="MQ8" i="9" s="1"/>
  <c r="MJ8" i="9"/>
  <c r="MK8" i="9"/>
  <c r="LX9" i="9"/>
  <c r="LY9" i="9"/>
  <c r="LZ9" i="9"/>
  <c r="MA9" i="9"/>
  <c r="MB9" i="9"/>
  <c r="MC9" i="9"/>
  <c r="MD9" i="9"/>
  <c r="ME9" i="9"/>
  <c r="MF9" i="9"/>
  <c r="MG9" i="9"/>
  <c r="MH9" i="9"/>
  <c r="MI9" i="9"/>
  <c r="MQ9" i="9" s="1"/>
  <c r="MJ9" i="9"/>
  <c r="MK9" i="9"/>
  <c r="LX10" i="9"/>
  <c r="LY10" i="9"/>
  <c r="LZ10" i="9"/>
  <c r="MA10" i="9"/>
  <c r="MB10" i="9"/>
  <c r="MC10" i="9"/>
  <c r="MD10" i="9"/>
  <c r="ME10" i="9"/>
  <c r="MF10" i="9"/>
  <c r="MG10" i="9"/>
  <c r="MH10" i="9"/>
  <c r="MI10" i="9"/>
  <c r="MQ10" i="9" s="1"/>
  <c r="MJ10" i="9"/>
  <c r="MK10" i="9"/>
  <c r="LX11" i="9"/>
  <c r="LY11" i="9"/>
  <c r="LZ11" i="9"/>
  <c r="MA11" i="9"/>
  <c r="MB11" i="9"/>
  <c r="MC11" i="9"/>
  <c r="MD11" i="9"/>
  <c r="ME11" i="9"/>
  <c r="MF11" i="9"/>
  <c r="MG11" i="9"/>
  <c r="MH11" i="9"/>
  <c r="MI11" i="9"/>
  <c r="MQ11" i="9" s="1"/>
  <c r="MJ11" i="9"/>
  <c r="MK11" i="9"/>
  <c r="LX12" i="9"/>
  <c r="LY12" i="9"/>
  <c r="LZ12" i="9"/>
  <c r="MA12" i="9"/>
  <c r="MB12" i="9"/>
  <c r="MC12" i="9"/>
  <c r="MD12" i="9"/>
  <c r="ME12" i="9"/>
  <c r="MF12" i="9"/>
  <c r="MG12" i="9"/>
  <c r="MH12" i="9"/>
  <c r="MI12" i="9"/>
  <c r="MQ12" i="9" s="1"/>
  <c r="MJ12" i="9"/>
  <c r="MK12" i="9"/>
  <c r="LX13" i="9"/>
  <c r="LY13" i="9"/>
  <c r="LZ13" i="9"/>
  <c r="MA13" i="9"/>
  <c r="MB13" i="9"/>
  <c r="MC13" i="9"/>
  <c r="MD13" i="9"/>
  <c r="ME13" i="9"/>
  <c r="MF13" i="9"/>
  <c r="MG13" i="9"/>
  <c r="MH13" i="9"/>
  <c r="MI13" i="9"/>
  <c r="MQ13" i="9" s="1"/>
  <c r="MJ13" i="9"/>
  <c r="MK13" i="9"/>
  <c r="LW5" i="9"/>
  <c r="LW6" i="9"/>
  <c r="LW7" i="9"/>
  <c r="LW8" i="9"/>
  <c r="LW9" i="9"/>
  <c r="LW10" i="9"/>
  <c r="LW11" i="9"/>
  <c r="LW12" i="9"/>
  <c r="LW13" i="9"/>
  <c r="LW4" i="9"/>
  <c r="E11" i="10" l="1"/>
  <c r="S11" i="10"/>
  <c r="T11" i="10"/>
  <c r="R9" i="10"/>
  <c r="T9" i="10" s="1"/>
  <c r="O14" i="4"/>
  <c r="BP14" i="4"/>
  <c r="R14" i="4" s="1"/>
  <c r="S12" i="10"/>
  <c r="E12" i="10"/>
  <c r="LT8" i="10"/>
  <c r="LT5" i="10"/>
  <c r="LT13" i="10"/>
  <c r="LT7" i="10"/>
  <c r="LT6" i="10"/>
  <c r="LT4" i="10"/>
  <c r="LT10" i="10"/>
  <c r="BL8" i="10"/>
  <c r="BL5" i="10"/>
  <c r="BL13" i="10"/>
  <c r="BL7" i="10"/>
  <c r="BL6" i="10"/>
  <c r="BL4" i="10"/>
  <c r="BL10" i="10"/>
  <c r="LT12" i="9"/>
  <c r="LT13" i="9"/>
  <c r="LT9" i="9"/>
  <c r="LT8" i="9"/>
  <c r="LT7" i="9"/>
  <c r="LT11" i="9"/>
  <c r="LT4" i="9"/>
  <c r="LT10" i="9"/>
  <c r="BL12" i="9"/>
  <c r="BL13" i="9"/>
  <c r="BL9" i="9"/>
  <c r="BL8" i="9"/>
  <c r="BL7" i="9"/>
  <c r="BL11" i="9"/>
  <c r="BL4" i="9"/>
  <c r="BL10" i="9"/>
  <c r="F16" i="2"/>
  <c r="G16" i="2"/>
  <c r="H16" i="2"/>
  <c r="LT14" i="2"/>
  <c r="LT15" i="2"/>
  <c r="LT13" i="2"/>
  <c r="LT11" i="2"/>
  <c r="LT10" i="2"/>
  <c r="LT9" i="2"/>
  <c r="LT12" i="2"/>
  <c r="LT8" i="2"/>
  <c r="LT6" i="2"/>
  <c r="LT7" i="2"/>
  <c r="LT5" i="2"/>
  <c r="LT4" i="2"/>
  <c r="BL14" i="2"/>
  <c r="BL15" i="2"/>
  <c r="BL13" i="2"/>
  <c r="BL11" i="2"/>
  <c r="BL10" i="2"/>
  <c r="BL9" i="2"/>
  <c r="BL12" i="2"/>
  <c r="BL8" i="2"/>
  <c r="BL6" i="2"/>
  <c r="BL7" i="2"/>
  <c r="BL5" i="2"/>
  <c r="BL4" i="2"/>
  <c r="LT15" i="4"/>
  <c r="LT20" i="4"/>
  <c r="LT19" i="4"/>
  <c r="LT18" i="4"/>
  <c r="LT11" i="4"/>
  <c r="LT16" i="4"/>
  <c r="LT17" i="4"/>
  <c r="LT13" i="4"/>
  <c r="LT12" i="4"/>
  <c r="LT10" i="4"/>
  <c r="LT8" i="4"/>
  <c r="LT9" i="4"/>
  <c r="LT7" i="4"/>
  <c r="LT6" i="4"/>
  <c r="LT4" i="4"/>
  <c r="LT5" i="4"/>
  <c r="BL15" i="4"/>
  <c r="BL20" i="4"/>
  <c r="BL19" i="4"/>
  <c r="BL18" i="4"/>
  <c r="BL11" i="4"/>
  <c r="BL16" i="4"/>
  <c r="BL17" i="4"/>
  <c r="BL13" i="4"/>
  <c r="BL12" i="4"/>
  <c r="BL10" i="4"/>
  <c r="BL8" i="4"/>
  <c r="BL9" i="4"/>
  <c r="BL7" i="4"/>
  <c r="BL6" i="4"/>
  <c r="BL4" i="4"/>
  <c r="BL5" i="4"/>
  <c r="E9" i="10" l="1"/>
  <c r="S9" i="10"/>
  <c r="E14" i="4"/>
  <c r="S14" i="4"/>
  <c r="T14" i="4"/>
  <c r="BH8" i="10"/>
  <c r="BI8" i="10"/>
  <c r="BJ8" i="10"/>
  <c r="BM8" i="10"/>
  <c r="P8" i="10" s="1"/>
  <c r="LP8" i="10"/>
  <c r="LQ8" i="10"/>
  <c r="LR8" i="10"/>
  <c r="LU8" i="10"/>
  <c r="BH8" i="9"/>
  <c r="BI8" i="9"/>
  <c r="BJ8" i="9"/>
  <c r="BM8" i="9"/>
  <c r="LP8" i="9"/>
  <c r="LQ8" i="9"/>
  <c r="LR8" i="9"/>
  <c r="LU8" i="9"/>
  <c r="BH7" i="9"/>
  <c r="BI7" i="9"/>
  <c r="BJ7" i="9"/>
  <c r="BM7" i="9"/>
  <c r="LP7" i="9"/>
  <c r="LQ7" i="9"/>
  <c r="LR7" i="9"/>
  <c r="LU7" i="9"/>
  <c r="F8" i="10" l="1"/>
  <c r="G8" i="10"/>
  <c r="G7" i="9"/>
  <c r="F7" i="9"/>
  <c r="F8" i="9"/>
  <c r="G8" i="9"/>
  <c r="LS8" i="9"/>
  <c r="LV8" i="9" s="1"/>
  <c r="LS8" i="10"/>
  <c r="LV8" i="10" s="1"/>
  <c r="BK8" i="10"/>
  <c r="BN8" i="10" s="1"/>
  <c r="BR8" i="10"/>
  <c r="Q8" i="10"/>
  <c r="LS7" i="9"/>
  <c r="LV7" i="9" s="1"/>
  <c r="BK8" i="9"/>
  <c r="P8" i="9"/>
  <c r="BR8" i="9" s="1"/>
  <c r="P7" i="9"/>
  <c r="BR7" i="9" s="1"/>
  <c r="BK7" i="9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LD11" i="12"/>
  <c r="LE11" i="12"/>
  <c r="LF11" i="12"/>
  <c r="LG11" i="12"/>
  <c r="LH11" i="12"/>
  <c r="LI11" i="12"/>
  <c r="LJ11" i="12"/>
  <c r="LK11" i="12"/>
  <c r="LL11" i="12"/>
  <c r="LM11" i="12"/>
  <c r="LN11" i="12"/>
  <c r="LO11" i="12"/>
  <c r="LP11" i="12"/>
  <c r="LQ11" i="12"/>
  <c r="LR11" i="12"/>
  <c r="LC5" i="12"/>
  <c r="LC6" i="12"/>
  <c r="LC7" i="12"/>
  <c r="LC8" i="12"/>
  <c r="LC9" i="12"/>
  <c r="LC10" i="12"/>
  <c r="LC11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C5" i="6"/>
  <c r="LC6" i="6"/>
  <c r="LC7" i="6"/>
  <c r="LC8" i="6"/>
  <c r="LC9" i="6"/>
  <c r="LC10" i="6"/>
  <c r="LC11" i="6"/>
  <c r="LC12" i="6"/>
  <c r="LC13" i="6"/>
  <c r="LC14" i="6"/>
  <c r="LC4" i="6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O5" i="8"/>
  <c r="KO4" i="8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O5" i="7"/>
  <c r="KO6" i="7"/>
  <c r="KO7" i="7"/>
  <c r="KO8" i="7"/>
  <c r="KO4" i="7"/>
  <c r="LX4" i="10"/>
  <c r="LY4" i="10"/>
  <c r="LZ4" i="10"/>
  <c r="MA4" i="10"/>
  <c r="MB4" i="10"/>
  <c r="MC4" i="10"/>
  <c r="MD4" i="10"/>
  <c r="ME4" i="10"/>
  <c r="MF4" i="10"/>
  <c r="MG4" i="10"/>
  <c r="MH4" i="10"/>
  <c r="MI4" i="10"/>
  <c r="MQ4" i="10" s="1"/>
  <c r="MJ4" i="10"/>
  <c r="MK4" i="10"/>
  <c r="LX5" i="10"/>
  <c r="LY5" i="10"/>
  <c r="LZ5" i="10"/>
  <c r="MA5" i="10"/>
  <c r="MB5" i="10"/>
  <c r="MC5" i="10"/>
  <c r="MD5" i="10"/>
  <c r="ME5" i="10"/>
  <c r="MF5" i="10"/>
  <c r="MG5" i="10"/>
  <c r="MH5" i="10"/>
  <c r="MI5" i="10"/>
  <c r="MQ5" i="10" s="1"/>
  <c r="MJ5" i="10"/>
  <c r="MK5" i="10"/>
  <c r="LX6" i="10"/>
  <c r="LY6" i="10"/>
  <c r="LZ6" i="10"/>
  <c r="MA6" i="10"/>
  <c r="MB6" i="10"/>
  <c r="MC6" i="10"/>
  <c r="MD6" i="10"/>
  <c r="ME6" i="10"/>
  <c r="MF6" i="10"/>
  <c r="MG6" i="10"/>
  <c r="MH6" i="10"/>
  <c r="MI6" i="10"/>
  <c r="MQ6" i="10" s="1"/>
  <c r="MJ6" i="10"/>
  <c r="MK6" i="10"/>
  <c r="LX7" i="10"/>
  <c r="LY7" i="10"/>
  <c r="LZ7" i="10"/>
  <c r="MA7" i="10"/>
  <c r="MB7" i="10"/>
  <c r="MC7" i="10"/>
  <c r="MD7" i="10"/>
  <c r="ME7" i="10"/>
  <c r="MF7" i="10"/>
  <c r="MG7" i="10"/>
  <c r="MH7" i="10"/>
  <c r="MI7" i="10"/>
  <c r="MQ7" i="10" s="1"/>
  <c r="MJ7" i="10"/>
  <c r="MK7" i="10"/>
  <c r="LX8" i="10"/>
  <c r="LY8" i="10"/>
  <c r="LZ8" i="10"/>
  <c r="MA8" i="10"/>
  <c r="MB8" i="10"/>
  <c r="MC8" i="10"/>
  <c r="MD8" i="10"/>
  <c r="ME8" i="10"/>
  <c r="MF8" i="10"/>
  <c r="MG8" i="10"/>
  <c r="MH8" i="10"/>
  <c r="MI8" i="10"/>
  <c r="MQ8" i="10" s="1"/>
  <c r="MJ8" i="10"/>
  <c r="MK8" i="10"/>
  <c r="LX9" i="10"/>
  <c r="LY9" i="10"/>
  <c r="LZ9" i="10"/>
  <c r="MA9" i="10"/>
  <c r="MB9" i="10"/>
  <c r="MC9" i="10"/>
  <c r="MD9" i="10"/>
  <c r="ME9" i="10"/>
  <c r="MF9" i="10"/>
  <c r="MG9" i="10"/>
  <c r="MH9" i="10"/>
  <c r="MI9" i="10"/>
  <c r="MQ9" i="10" s="1"/>
  <c r="MJ9" i="10"/>
  <c r="MK9" i="10"/>
  <c r="LX10" i="10"/>
  <c r="LY10" i="10"/>
  <c r="LZ10" i="10"/>
  <c r="MA10" i="10"/>
  <c r="MB10" i="10"/>
  <c r="MC10" i="10"/>
  <c r="MD10" i="10"/>
  <c r="ME10" i="10"/>
  <c r="MF10" i="10"/>
  <c r="MG10" i="10"/>
  <c r="MH10" i="10"/>
  <c r="MI10" i="10"/>
  <c r="MQ10" i="10" s="1"/>
  <c r="MJ10" i="10"/>
  <c r="MK10" i="10"/>
  <c r="LX11" i="10"/>
  <c r="LY11" i="10"/>
  <c r="LZ11" i="10"/>
  <c r="MA11" i="10"/>
  <c r="MB11" i="10"/>
  <c r="MC11" i="10"/>
  <c r="MD11" i="10"/>
  <c r="ME11" i="10"/>
  <c r="MF11" i="10"/>
  <c r="MG11" i="10"/>
  <c r="MH11" i="10"/>
  <c r="MI11" i="10"/>
  <c r="MQ11" i="10" s="1"/>
  <c r="MJ11" i="10"/>
  <c r="MK11" i="10"/>
  <c r="LX12" i="10"/>
  <c r="LY12" i="10"/>
  <c r="LZ12" i="10"/>
  <c r="MA12" i="10"/>
  <c r="MB12" i="10"/>
  <c r="MC12" i="10"/>
  <c r="MD12" i="10"/>
  <c r="ME12" i="10"/>
  <c r="MF12" i="10"/>
  <c r="MG12" i="10"/>
  <c r="MH12" i="10"/>
  <c r="MI12" i="10"/>
  <c r="MQ12" i="10" s="1"/>
  <c r="MJ12" i="10"/>
  <c r="MK12" i="10"/>
  <c r="LX13" i="10"/>
  <c r="LY13" i="10"/>
  <c r="LZ13" i="10"/>
  <c r="MA13" i="10"/>
  <c r="MB13" i="10"/>
  <c r="MC13" i="10"/>
  <c r="MD13" i="10"/>
  <c r="ME13" i="10"/>
  <c r="MF13" i="10"/>
  <c r="MG13" i="10"/>
  <c r="MH13" i="10"/>
  <c r="MI13" i="10"/>
  <c r="MQ13" i="10" s="1"/>
  <c r="MJ13" i="10"/>
  <c r="MK13" i="10"/>
  <c r="LW5" i="10"/>
  <c r="LW6" i="10"/>
  <c r="LW7" i="10"/>
  <c r="LW8" i="10"/>
  <c r="LW9" i="10"/>
  <c r="LW10" i="10"/>
  <c r="LW11" i="10"/>
  <c r="LW12" i="10"/>
  <c r="LW13" i="10"/>
  <c r="LW4" i="10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X5" i="4"/>
  <c r="LY5" i="4"/>
  <c r="LZ5" i="4"/>
  <c r="MA5" i="4"/>
  <c r="MB5" i="4"/>
  <c r="MC5" i="4"/>
  <c r="ME5" i="4"/>
  <c r="MF5" i="4"/>
  <c r="MG5" i="4"/>
  <c r="MH5" i="4"/>
  <c r="MJ5" i="4"/>
  <c r="MK5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X7" i="4"/>
  <c r="LY7" i="4"/>
  <c r="LZ7" i="4"/>
  <c r="MA7" i="4"/>
  <c r="MC7" i="4"/>
  <c r="ME7" i="4"/>
  <c r="MF7" i="4"/>
  <c r="MG7" i="4"/>
  <c r="MH7" i="4"/>
  <c r="MI7" i="4"/>
  <c r="MQ7" i="4" s="1"/>
  <c r="MJ7" i="4"/>
  <c r="MK7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W5" i="4"/>
  <c r="LW6" i="4"/>
  <c r="LW7" i="4"/>
  <c r="LW8" i="4"/>
  <c r="LW9" i="4"/>
  <c r="LW10" i="4"/>
  <c r="LW11" i="4"/>
  <c r="LW12" i="4"/>
  <c r="LW13" i="4"/>
  <c r="LW14" i="4"/>
  <c r="LW15" i="4"/>
  <c r="LW16" i="4"/>
  <c r="LW17" i="4"/>
  <c r="LW18" i="4"/>
  <c r="LW19" i="4"/>
  <c r="LW20" i="4"/>
  <c r="LW4" i="4"/>
  <c r="MN12" i="10" l="1"/>
  <c r="MN8" i="10"/>
  <c r="MN13" i="10"/>
  <c r="MN9" i="10"/>
  <c r="MN5" i="10"/>
  <c r="MN10" i="10"/>
  <c r="MN6" i="10"/>
  <c r="MN11" i="10"/>
  <c r="MN7" i="10"/>
  <c r="H8" i="10"/>
  <c r="H7" i="9"/>
  <c r="A7" i="9" s="1"/>
  <c r="H8" i="9"/>
  <c r="I8" i="9" s="1"/>
  <c r="Q7" i="9"/>
  <c r="J8" i="9"/>
  <c r="N8" i="9" s="1"/>
  <c r="J8" i="10"/>
  <c r="L8" i="10" s="1"/>
  <c r="BN8" i="9"/>
  <c r="Q8" i="9"/>
  <c r="J7" i="9"/>
  <c r="L7" i="9" s="1"/>
  <c r="BN7" i="9"/>
  <c r="BD10" i="12"/>
  <c r="BE10" i="12"/>
  <c r="BF10" i="12"/>
  <c r="BG10" i="12"/>
  <c r="KX10" i="12"/>
  <c r="KY10" i="12"/>
  <c r="KZ10" i="12"/>
  <c r="LA10" i="12"/>
  <c r="BH13" i="2"/>
  <c r="BI13" i="2"/>
  <c r="BJ13" i="2"/>
  <c r="BM13" i="2"/>
  <c r="LP13" i="2"/>
  <c r="LQ13" i="2"/>
  <c r="LR13" i="2"/>
  <c r="LU13" i="2"/>
  <c r="MM15" i="2"/>
  <c r="BH10" i="2"/>
  <c r="BI10" i="2"/>
  <c r="BJ10" i="2"/>
  <c r="BM10" i="2"/>
  <c r="LP10" i="2"/>
  <c r="LQ10" i="2"/>
  <c r="LR10" i="2"/>
  <c r="LU10" i="2"/>
  <c r="MM14" i="2"/>
  <c r="K8" i="10" l="1"/>
  <c r="M8" i="10" s="1"/>
  <c r="BQ8" i="9"/>
  <c r="K8" i="9"/>
  <c r="O8" i="9" s="1"/>
  <c r="F10" i="2"/>
  <c r="G10" i="2"/>
  <c r="F13" i="2"/>
  <c r="G13" i="2"/>
  <c r="L8" i="9"/>
  <c r="BO8" i="9" s="1"/>
  <c r="LB10" i="12"/>
  <c r="N8" i="10"/>
  <c r="BQ7" i="9"/>
  <c r="A8" i="9"/>
  <c r="I7" i="9"/>
  <c r="BQ8" i="10"/>
  <c r="I8" i="10"/>
  <c r="BO8" i="10"/>
  <c r="BP8" i="9"/>
  <c r="N7" i="9"/>
  <c r="K7" i="9"/>
  <c r="M7" i="9" s="1"/>
  <c r="BO7" i="9"/>
  <c r="BH10" i="12"/>
  <c r="J10" i="12" s="1"/>
  <c r="L10" i="12" s="1"/>
  <c r="P13" i="2"/>
  <c r="BR13" i="2" s="1"/>
  <c r="LS10" i="2"/>
  <c r="LV10" i="2" s="1"/>
  <c r="F10" i="12"/>
  <c r="H10" i="12"/>
  <c r="G10" i="12"/>
  <c r="LS13" i="2"/>
  <c r="LV13" i="2" s="1"/>
  <c r="BK13" i="2"/>
  <c r="BN13" i="2" s="1"/>
  <c r="MO15" i="2"/>
  <c r="MR15" i="2"/>
  <c r="MN15" i="2"/>
  <c r="BK10" i="2"/>
  <c r="P10" i="2"/>
  <c r="Q10" i="2" s="1"/>
  <c r="MR14" i="2"/>
  <c r="MO14" i="2"/>
  <c r="MN14" i="2"/>
  <c r="BH15" i="4"/>
  <c r="BI15" i="4"/>
  <c r="BJ15" i="4"/>
  <c r="BM15" i="4"/>
  <c r="LP15" i="4"/>
  <c r="LQ15" i="4"/>
  <c r="LR15" i="4"/>
  <c r="LU15" i="4"/>
  <c r="O8" i="10" l="1"/>
  <c r="O7" i="9"/>
  <c r="R8" i="9"/>
  <c r="T8" i="9" s="1"/>
  <c r="G15" i="4"/>
  <c r="F15" i="4"/>
  <c r="M8" i="9"/>
  <c r="H10" i="2"/>
  <c r="H13" i="2"/>
  <c r="I13" i="2" s="1"/>
  <c r="MI5" i="4"/>
  <c r="MQ5" i="4" s="1"/>
  <c r="MB7" i="4"/>
  <c r="MD7" i="4"/>
  <c r="MD5" i="4"/>
  <c r="BP8" i="10"/>
  <c r="R8" i="10" s="1"/>
  <c r="E8" i="10" s="1"/>
  <c r="BP7" i="9"/>
  <c r="R7" i="9" s="1"/>
  <c r="Q13" i="2"/>
  <c r="K10" i="12"/>
  <c r="MP15" i="2"/>
  <c r="MS15" i="2" s="1"/>
  <c r="LS15" i="4"/>
  <c r="LV15" i="4" s="1"/>
  <c r="P15" i="4"/>
  <c r="Q15" i="4" s="1"/>
  <c r="I10" i="12"/>
  <c r="N10" i="12"/>
  <c r="M10" i="12"/>
  <c r="BR10" i="2"/>
  <c r="J10" i="2"/>
  <c r="N10" i="2" s="1"/>
  <c r="J13" i="2"/>
  <c r="BQ13" i="2" s="1"/>
  <c r="MP14" i="2"/>
  <c r="MS14" i="2" s="1"/>
  <c r="BN10" i="2"/>
  <c r="BK15" i="4"/>
  <c r="BH7" i="10"/>
  <c r="BI7" i="10"/>
  <c r="BJ7" i="10"/>
  <c r="BM7" i="10"/>
  <c r="LP7" i="10"/>
  <c r="LQ7" i="10"/>
  <c r="LR7" i="10"/>
  <c r="LU7" i="10"/>
  <c r="S8" i="9" l="1"/>
  <c r="E8" i="9"/>
  <c r="G7" i="10"/>
  <c r="F7" i="10"/>
  <c r="J15" i="4"/>
  <c r="L15" i="4" s="1"/>
  <c r="T7" i="9"/>
  <c r="E7" i="9"/>
  <c r="S7" i="9"/>
  <c r="S8" i="10"/>
  <c r="T8" i="10"/>
  <c r="N13" i="2"/>
  <c r="L10" i="2"/>
  <c r="M10" i="2" s="1"/>
  <c r="BQ10" i="2"/>
  <c r="K10" i="2"/>
  <c r="O10" i="2" s="1"/>
  <c r="BR15" i="4"/>
  <c r="BK7" i="10"/>
  <c r="J7" i="10" s="1"/>
  <c r="LS7" i="10"/>
  <c r="LV7" i="10" s="1"/>
  <c r="E10" i="12"/>
  <c r="A10" i="12" s="1"/>
  <c r="O10" i="12"/>
  <c r="P10" i="12"/>
  <c r="A13" i="2"/>
  <c r="L13" i="2"/>
  <c r="K13" i="2"/>
  <c r="I10" i="2"/>
  <c r="BP10" i="2"/>
  <c r="BN15" i="4"/>
  <c r="H15" i="4"/>
  <c r="A15" i="4" s="1"/>
  <c r="P7" i="10"/>
  <c r="BR7" i="10" s="1"/>
  <c r="MM5" i="10"/>
  <c r="MM6" i="10"/>
  <c r="MM7" i="10"/>
  <c r="MM8" i="10"/>
  <c r="MM9" i="10"/>
  <c r="MM10" i="10"/>
  <c r="MM11" i="10"/>
  <c r="MM12" i="10"/>
  <c r="MM13" i="10"/>
  <c r="MM4" i="10"/>
  <c r="MM5" i="9"/>
  <c r="MM6" i="9"/>
  <c r="MM7" i="9"/>
  <c r="MM8" i="9"/>
  <c r="MM9" i="9"/>
  <c r="MM10" i="9"/>
  <c r="MM11" i="9"/>
  <c r="MM12" i="9"/>
  <c r="MM13" i="9"/>
  <c r="MM4" i="9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9" i="4"/>
  <c r="MM10" i="4"/>
  <c r="MM11" i="4"/>
  <c r="MM12" i="4"/>
  <c r="MM13" i="4"/>
  <c r="MM14" i="4"/>
  <c r="MM15" i="4"/>
  <c r="MM17" i="4"/>
  <c r="MM18" i="4"/>
  <c r="MM19" i="4"/>
  <c r="MM4" i="4"/>
  <c r="O13" i="2" l="1"/>
  <c r="H7" i="10"/>
  <c r="I7" i="10" s="1"/>
  <c r="K15" i="4"/>
  <c r="M15" i="4" s="1"/>
  <c r="N15" i="4"/>
  <c r="BP15" i="4" s="1"/>
  <c r="BN7" i="10"/>
  <c r="BQ15" i="4"/>
  <c r="BO10" i="2"/>
  <c r="R10" i="2" s="1"/>
  <c r="E10" i="2" s="1"/>
  <c r="BP13" i="2"/>
  <c r="I15" i="4"/>
  <c r="LF4" i="7"/>
  <c r="Q7" i="10"/>
  <c r="M13" i="2"/>
  <c r="BO13" i="2"/>
  <c r="BO15" i="4"/>
  <c r="LT14" i="6"/>
  <c r="MR9" i="2"/>
  <c r="MO8" i="4"/>
  <c r="MR20" i="4"/>
  <c r="LU11" i="12"/>
  <c r="LT10" i="12"/>
  <c r="LT7" i="6"/>
  <c r="LU6" i="6"/>
  <c r="LT5" i="6"/>
  <c r="LF5" i="8"/>
  <c r="LF7" i="7"/>
  <c r="LF5" i="7"/>
  <c r="MO13" i="10"/>
  <c r="MO10" i="10"/>
  <c r="MO6" i="10"/>
  <c r="MR8" i="9"/>
  <c r="MN5" i="9"/>
  <c r="MN5" i="2"/>
  <c r="MR8" i="2"/>
  <c r="MN7" i="2"/>
  <c r="MR10" i="2"/>
  <c r="MR11" i="2"/>
  <c r="MR13" i="4"/>
  <c r="MR4" i="4"/>
  <c r="MN20" i="4"/>
  <c r="MR15" i="4"/>
  <c r="MO10" i="4"/>
  <c r="MN5" i="4"/>
  <c r="MO18" i="4"/>
  <c r="LV6" i="12"/>
  <c r="LW9" i="12"/>
  <c r="LT9" i="12"/>
  <c r="LT8" i="12"/>
  <c r="LT7" i="12"/>
  <c r="LW11" i="12"/>
  <c r="LV11" i="12"/>
  <c r="LU4" i="12"/>
  <c r="LW10" i="12"/>
  <c r="LW8" i="12"/>
  <c r="LV8" i="12"/>
  <c r="LW5" i="12"/>
  <c r="LV4" i="12"/>
  <c r="LT6" i="12"/>
  <c r="LW7" i="12"/>
  <c r="LV10" i="12"/>
  <c r="LU9" i="12"/>
  <c r="LU6" i="12"/>
  <c r="LW6" i="12"/>
  <c r="LT5" i="12"/>
  <c r="LU8" i="12"/>
  <c r="LU7" i="12"/>
  <c r="LU5" i="12"/>
  <c r="LV5" i="12"/>
  <c r="LW4" i="12"/>
  <c r="LT11" i="12"/>
  <c r="LV9" i="12"/>
  <c r="LV7" i="12"/>
  <c r="LU8" i="6"/>
  <c r="LW9" i="6"/>
  <c r="LT11" i="6"/>
  <c r="LT10" i="6"/>
  <c r="LT9" i="6"/>
  <c r="LV14" i="6"/>
  <c r="LU11" i="6"/>
  <c r="LW11" i="6"/>
  <c r="LV11" i="6"/>
  <c r="LT8" i="6"/>
  <c r="LW7" i="6"/>
  <c r="LW5" i="6"/>
  <c r="LT4" i="6"/>
  <c r="LT13" i="6"/>
  <c r="LT12" i="6"/>
  <c r="LU9" i="6"/>
  <c r="LW12" i="6"/>
  <c r="LU10" i="6"/>
  <c r="LV12" i="6"/>
  <c r="LW8" i="6"/>
  <c r="LV8" i="6"/>
  <c r="LV7" i="6"/>
  <c r="LV6" i="6"/>
  <c r="LT6" i="6"/>
  <c r="LV4" i="6"/>
  <c r="LW6" i="6"/>
  <c r="LV5" i="6"/>
  <c r="LW4" i="6"/>
  <c r="LW14" i="6"/>
  <c r="LW13" i="6"/>
  <c r="LW10" i="6"/>
  <c r="LV9" i="6"/>
  <c r="LG4" i="8"/>
  <c r="LF4" i="8"/>
  <c r="LG5" i="8"/>
  <c r="LH5" i="8"/>
  <c r="LH4" i="8"/>
  <c r="LH8" i="7"/>
  <c r="LG8" i="7"/>
  <c r="LG7" i="7"/>
  <c r="LG6" i="7"/>
  <c r="LG5" i="7"/>
  <c r="LF6" i="7"/>
  <c r="LH6" i="7"/>
  <c r="LF8" i="7"/>
  <c r="LH7" i="7"/>
  <c r="LH5" i="7"/>
  <c r="LG4" i="7"/>
  <c r="LH4" i="7"/>
  <c r="MR6" i="10"/>
  <c r="MO5" i="10"/>
  <c r="MO8" i="10"/>
  <c r="MO7" i="10"/>
  <c r="MN4" i="10"/>
  <c r="MR9" i="10"/>
  <c r="MR12" i="10"/>
  <c r="MR7" i="10"/>
  <c r="MO11" i="10"/>
  <c r="MO12" i="10"/>
  <c r="MR4" i="10"/>
  <c r="MO9" i="10"/>
  <c r="MO4" i="10"/>
  <c r="MR13" i="10"/>
  <c r="MR11" i="10"/>
  <c r="MR10" i="10"/>
  <c r="MR8" i="10"/>
  <c r="MR5" i="10"/>
  <c r="MO10" i="9"/>
  <c r="MO5" i="9"/>
  <c r="MO13" i="9"/>
  <c r="MO12" i="9"/>
  <c r="MN10" i="9"/>
  <c r="MN8" i="9"/>
  <c r="MN7" i="9"/>
  <c r="MN12" i="9"/>
  <c r="MN13" i="9"/>
  <c r="MO4" i="9"/>
  <c r="MO8" i="9"/>
  <c r="MO9" i="9"/>
  <c r="MR4" i="9"/>
  <c r="MO6" i="9"/>
  <c r="MR9" i="9"/>
  <c r="MR7" i="9"/>
  <c r="MN11" i="9"/>
  <c r="MN9" i="9"/>
  <c r="MN6" i="9"/>
  <c r="MO7" i="9"/>
  <c r="MR12" i="9"/>
  <c r="MO11" i="9"/>
  <c r="MR6" i="9"/>
  <c r="MN4" i="9"/>
  <c r="MR13" i="9"/>
  <c r="MR11" i="9"/>
  <c r="MR10" i="9"/>
  <c r="MR5" i="9"/>
  <c r="MR4" i="2"/>
  <c r="MR13" i="2"/>
  <c r="MN12" i="2"/>
  <c r="MN10" i="2"/>
  <c r="MN13" i="2"/>
  <c r="MO5" i="2"/>
  <c r="MO8" i="2"/>
  <c r="MO4" i="2"/>
  <c r="MR7" i="2"/>
  <c r="MO7" i="2"/>
  <c r="MR6" i="2"/>
  <c r="MO10" i="2"/>
  <c r="MO13" i="2"/>
  <c r="MO12" i="2"/>
  <c r="MO11" i="2"/>
  <c r="MN11" i="2"/>
  <c r="MO6" i="2"/>
  <c r="MN6" i="2"/>
  <c r="MR12" i="2"/>
  <c r="MN4" i="2"/>
  <c r="MO9" i="2"/>
  <c r="MN9" i="2"/>
  <c r="MN8" i="2"/>
  <c r="MR5" i="2"/>
  <c r="MO7" i="4"/>
  <c r="MR5" i="4"/>
  <c r="MN13" i="4"/>
  <c r="MR7" i="4"/>
  <c r="MO15" i="4"/>
  <c r="MO17" i="4"/>
  <c r="MO13" i="4"/>
  <c r="MR9" i="4"/>
  <c r="MO5" i="4"/>
  <c r="MO20" i="4"/>
  <c r="MR17" i="4"/>
  <c r="MO11" i="4"/>
  <c r="MN10" i="4"/>
  <c r="MN4" i="4"/>
  <c r="MR16" i="4"/>
  <c r="MO19" i="4"/>
  <c r="MR14" i="4"/>
  <c r="MN12" i="4"/>
  <c r="MR10" i="4"/>
  <c r="MO9" i="4"/>
  <c r="MN9" i="4"/>
  <c r="MN8" i="4"/>
  <c r="MR6" i="4"/>
  <c r="MO6" i="4"/>
  <c r="MR11" i="4"/>
  <c r="MR8" i="4"/>
  <c r="MN15" i="4"/>
  <c r="MN7" i="4"/>
  <c r="MN19" i="4"/>
  <c r="MO16" i="4"/>
  <c r="MR12" i="4"/>
  <c r="MR18" i="4"/>
  <c r="MN14" i="4"/>
  <c r="MN6" i="4"/>
  <c r="MO12" i="4"/>
  <c r="MO4" i="4"/>
  <c r="MN16" i="4"/>
  <c r="MO14" i="4"/>
  <c r="MN11" i="4"/>
  <c r="MR19" i="4"/>
  <c r="MN18" i="4"/>
  <c r="MN17" i="4"/>
  <c r="L7" i="10"/>
  <c r="N7" i="10"/>
  <c r="BQ7" i="10"/>
  <c r="K7" i="10"/>
  <c r="LU10" i="12"/>
  <c r="LT4" i="12"/>
  <c r="LU12" i="6"/>
  <c r="LU14" i="6"/>
  <c r="LV10" i="6"/>
  <c r="LU7" i="6"/>
  <c r="LV13" i="6"/>
  <c r="LU13" i="6"/>
  <c r="LU5" i="6"/>
  <c r="LU4" i="6"/>
  <c r="MM20" i="4"/>
  <c r="MM16" i="4"/>
  <c r="MM8" i="4"/>
  <c r="O15" i="4" l="1"/>
  <c r="R13" i="2"/>
  <c r="E13" i="2" s="1"/>
  <c r="MP8" i="2"/>
  <c r="MS8" i="2" s="1"/>
  <c r="MP12" i="10"/>
  <c r="MS12" i="10" s="1"/>
  <c r="MP8" i="4"/>
  <c r="MS8" i="4" s="1"/>
  <c r="MP13" i="10"/>
  <c r="MS13" i="10" s="1"/>
  <c r="LI8" i="7"/>
  <c r="LX8" i="6"/>
  <c r="MP7" i="9"/>
  <c r="MS7" i="9" s="1"/>
  <c r="MP5" i="9"/>
  <c r="MS5" i="9" s="1"/>
  <c r="MP9" i="9"/>
  <c r="MS9" i="9" s="1"/>
  <c r="MP5" i="2"/>
  <c r="MS5" i="2" s="1"/>
  <c r="LX14" i="6"/>
  <c r="MP13" i="2"/>
  <c r="MS13" i="2" s="1"/>
  <c r="T10" i="2"/>
  <c r="S10" i="2"/>
  <c r="R15" i="4"/>
  <c r="MP18" i="4"/>
  <c r="MS18" i="4" s="1"/>
  <c r="MP10" i="4"/>
  <c r="MS10" i="4" s="1"/>
  <c r="MP4" i="4"/>
  <c r="MS4" i="4" s="1"/>
  <c r="MP9" i="4"/>
  <c r="MS9" i="4" s="1"/>
  <c r="LX8" i="12"/>
  <c r="LX5" i="6"/>
  <c r="MP10" i="2"/>
  <c r="MS10" i="2" s="1"/>
  <c r="MP6" i="2"/>
  <c r="MS6" i="2" s="1"/>
  <c r="MP7" i="2"/>
  <c r="MS7" i="2" s="1"/>
  <c r="MP16" i="4"/>
  <c r="MS16" i="4" s="1"/>
  <c r="LX4" i="12"/>
  <c r="LX7" i="12"/>
  <c r="LX9" i="12"/>
  <c r="LX5" i="12"/>
  <c r="LX6" i="12"/>
  <c r="LX7" i="6"/>
  <c r="LX12" i="6"/>
  <c r="LI5" i="7"/>
  <c r="LI6" i="7"/>
  <c r="LI7" i="7"/>
  <c r="MP9" i="10"/>
  <c r="MS9" i="10" s="1"/>
  <c r="MP10" i="10"/>
  <c r="MS10" i="10" s="1"/>
  <c r="MP5" i="10"/>
  <c r="MS5" i="10" s="1"/>
  <c r="MP7" i="10"/>
  <c r="MS7" i="10" s="1"/>
  <c r="MP10" i="9"/>
  <c r="MS10" i="9" s="1"/>
  <c r="MP9" i="2"/>
  <c r="MS9" i="2" s="1"/>
  <c r="MP20" i="4"/>
  <c r="MS20" i="4" s="1"/>
  <c r="MP5" i="4"/>
  <c r="MS5" i="4" s="1"/>
  <c r="MP19" i="4"/>
  <c r="MS19" i="4" s="1"/>
  <c r="MP12" i="4"/>
  <c r="MS12" i="4" s="1"/>
  <c r="MP7" i="4"/>
  <c r="MS7" i="4" s="1"/>
  <c r="LX10" i="12"/>
  <c r="LX11" i="12"/>
  <c r="LX11" i="6"/>
  <c r="LX9" i="6"/>
  <c r="LI5" i="8"/>
  <c r="LI4" i="8"/>
  <c r="MP4" i="10"/>
  <c r="MS4" i="10" s="1"/>
  <c r="MP6" i="10"/>
  <c r="MS6" i="10" s="1"/>
  <c r="MP4" i="9"/>
  <c r="MS4" i="9" s="1"/>
  <c r="MP12" i="9"/>
  <c r="MS12" i="9" s="1"/>
  <c r="MP11" i="9"/>
  <c r="MS11" i="9" s="1"/>
  <c r="MP13" i="9"/>
  <c r="MS13" i="9" s="1"/>
  <c r="MP11" i="2"/>
  <c r="MS11" i="2" s="1"/>
  <c r="MP12" i="2"/>
  <c r="MS12" i="2" s="1"/>
  <c r="MP13" i="4"/>
  <c r="MS13" i="4" s="1"/>
  <c r="LX4" i="6"/>
  <c r="LX6" i="6"/>
  <c r="LX13" i="6"/>
  <c r="LX10" i="6"/>
  <c r="LI4" i="7"/>
  <c r="MP11" i="10"/>
  <c r="MS11" i="10" s="1"/>
  <c r="MP8" i="10"/>
  <c r="MS8" i="10" s="1"/>
  <c r="MP8" i="9"/>
  <c r="MS8" i="9" s="1"/>
  <c r="MP6" i="9"/>
  <c r="MS6" i="9" s="1"/>
  <c r="MP4" i="2"/>
  <c r="MS4" i="2" s="1"/>
  <c r="MP17" i="4"/>
  <c r="MS17" i="4" s="1"/>
  <c r="MP11" i="4"/>
  <c r="MS11" i="4" s="1"/>
  <c r="MP15" i="4"/>
  <c r="MS15" i="4" s="1"/>
  <c r="MP6" i="4"/>
  <c r="MS6" i="4" s="1"/>
  <c r="MP14" i="4"/>
  <c r="MS14" i="4" s="1"/>
  <c r="O7" i="10"/>
  <c r="BP7" i="10"/>
  <c r="M7" i="10"/>
  <c r="BO7" i="10"/>
  <c r="KY12" i="6"/>
  <c r="KX12" i="6"/>
  <c r="KY7" i="6"/>
  <c r="KX7" i="6"/>
  <c r="KY9" i="6"/>
  <c r="KX9" i="6"/>
  <c r="KY8" i="6"/>
  <c r="KX8" i="6"/>
  <c r="KY6" i="6"/>
  <c r="KX6" i="6"/>
  <c r="KY10" i="6"/>
  <c r="KX10" i="6"/>
  <c r="KY14" i="6"/>
  <c r="KX14" i="6"/>
  <c r="KY13" i="6"/>
  <c r="KX13" i="6"/>
  <c r="KY4" i="6"/>
  <c r="KX4" i="6"/>
  <c r="KY11" i="6"/>
  <c r="KX11" i="6"/>
  <c r="KY5" i="6"/>
  <c r="KX5" i="6"/>
  <c r="E15" i="4" l="1"/>
  <c r="T13" i="2"/>
  <c r="S13" i="2"/>
  <c r="S15" i="4"/>
  <c r="T15" i="4"/>
  <c r="R7" i="10"/>
  <c r="E7" i="10" s="1"/>
  <c r="KY11" i="12"/>
  <c r="KX11" i="12"/>
  <c r="KY7" i="12"/>
  <c r="KX7" i="12"/>
  <c r="KY8" i="12"/>
  <c r="KX8" i="12"/>
  <c r="KY5" i="12"/>
  <c r="KX5" i="12"/>
  <c r="KY9" i="12"/>
  <c r="KX9" i="12"/>
  <c r="KY4" i="12"/>
  <c r="KX4" i="12"/>
  <c r="KY6" i="12"/>
  <c r="KX6" i="12"/>
  <c r="BE11" i="12"/>
  <c r="BD11" i="12"/>
  <c r="BE7" i="12"/>
  <c r="BD7" i="12"/>
  <c r="BE8" i="12"/>
  <c r="BD8" i="12"/>
  <c r="BE5" i="12"/>
  <c r="BD5" i="12"/>
  <c r="BE9" i="12"/>
  <c r="BD9" i="12"/>
  <c r="BE4" i="12"/>
  <c r="BD4" i="12"/>
  <c r="BE6" i="12"/>
  <c r="BD6" i="12"/>
  <c r="BE12" i="6"/>
  <c r="BD12" i="6"/>
  <c r="BE7" i="6"/>
  <c r="BD7" i="6"/>
  <c r="BE9" i="6"/>
  <c r="BD9" i="6"/>
  <c r="BE8" i="6"/>
  <c r="BD8" i="6"/>
  <c r="BE6" i="6"/>
  <c r="BD6" i="6"/>
  <c r="BE10" i="6"/>
  <c r="BD10" i="6"/>
  <c r="BE14" i="6"/>
  <c r="BD14" i="6"/>
  <c r="BE13" i="6"/>
  <c r="BD13" i="6"/>
  <c r="BE4" i="6"/>
  <c r="BD4" i="6"/>
  <c r="BE11" i="6"/>
  <c r="BD11" i="6"/>
  <c r="BE5" i="6"/>
  <c r="BD5" i="6"/>
  <c r="S7" i="10" l="1"/>
  <c r="T7" i="10"/>
  <c r="KM4" i="8"/>
  <c r="KL4" i="8"/>
  <c r="KL5" i="8"/>
  <c r="BD4" i="8"/>
  <c r="BD5" i="8"/>
  <c r="KL8" i="7"/>
  <c r="KL7" i="7"/>
  <c r="KL6" i="7"/>
  <c r="KL4" i="7"/>
  <c r="BD6" i="7"/>
  <c r="BD7" i="7"/>
  <c r="BD8" i="7"/>
  <c r="BD4" i="7"/>
  <c r="LA11" i="12"/>
  <c r="KZ11" i="12"/>
  <c r="BG11" i="12"/>
  <c r="BF11" i="12"/>
  <c r="LA7" i="12"/>
  <c r="KZ7" i="12"/>
  <c r="BG7" i="12"/>
  <c r="BF7" i="12"/>
  <c r="LA5" i="12"/>
  <c r="KZ5" i="12"/>
  <c r="BG5" i="12"/>
  <c r="BF5" i="12"/>
  <c r="LA4" i="12"/>
  <c r="KZ4" i="12"/>
  <c r="BG4" i="12"/>
  <c r="BF4" i="12"/>
  <c r="LA9" i="12"/>
  <c r="KZ9" i="12"/>
  <c r="BG9" i="12"/>
  <c r="BF9" i="12"/>
  <c r="LA8" i="12"/>
  <c r="KZ8" i="12"/>
  <c r="BG8" i="12"/>
  <c r="BF8" i="12"/>
  <c r="LA6" i="12"/>
  <c r="KZ6" i="12"/>
  <c r="BG6" i="12"/>
  <c r="BF6" i="12"/>
  <c r="BH6" i="12" l="1"/>
  <c r="J6" i="12" s="1"/>
  <c r="G11" i="12"/>
  <c r="H7" i="7"/>
  <c r="G5" i="12"/>
  <c r="H5" i="8"/>
  <c r="H4" i="7"/>
  <c r="H6" i="7"/>
  <c r="H8" i="7"/>
  <c r="F6" i="12"/>
  <c r="G6" i="12"/>
  <c r="H8" i="12"/>
  <c r="H6" i="12"/>
  <c r="G8" i="12"/>
  <c r="F11" i="12"/>
  <c r="F8" i="12"/>
  <c r="H4" i="12"/>
  <c r="G4" i="12"/>
  <c r="H11" i="12"/>
  <c r="F4" i="12"/>
  <c r="H9" i="12"/>
  <c r="G9" i="12"/>
  <c r="H5" i="12"/>
  <c r="F9" i="12"/>
  <c r="F5" i="12"/>
  <c r="H4" i="8"/>
  <c r="H7" i="12"/>
  <c r="LB5" i="12"/>
  <c r="LB4" i="12"/>
  <c r="LB11" i="12"/>
  <c r="LB9" i="12"/>
  <c r="BH5" i="12"/>
  <c r="BH11" i="12"/>
  <c r="BH9" i="12"/>
  <c r="LB8" i="12"/>
  <c r="BH8" i="12"/>
  <c r="J8" i="12" s="1"/>
  <c r="LB6" i="12"/>
  <c r="BH4" i="12"/>
  <c r="LB7" i="12"/>
  <c r="BH7" i="12"/>
  <c r="A11" i="12" l="1"/>
  <c r="J5" i="12"/>
  <c r="L5" i="12" s="1"/>
  <c r="G7" i="12"/>
  <c r="F7" i="12"/>
  <c r="I6" i="12"/>
  <c r="I11" i="12"/>
  <c r="J4" i="12"/>
  <c r="BI4" i="12" s="1"/>
  <c r="I5" i="12"/>
  <c r="I8" i="12"/>
  <c r="I4" i="12"/>
  <c r="L6" i="12"/>
  <c r="M6" i="12" s="1"/>
  <c r="K6" i="12"/>
  <c r="I9" i="12"/>
  <c r="J11" i="12"/>
  <c r="K11" i="12" s="1"/>
  <c r="J9" i="12"/>
  <c r="BI9" i="12" s="1"/>
  <c r="J7" i="12"/>
  <c r="K7" i="12" s="1"/>
  <c r="BI6" i="12"/>
  <c r="K8" i="12"/>
  <c r="BI8" i="12"/>
  <c r="L8" i="12"/>
  <c r="M8" i="12" s="1"/>
  <c r="K5" i="12" l="1"/>
  <c r="BI5" i="12"/>
  <c r="I7" i="12"/>
  <c r="L11" i="12"/>
  <c r="M11" i="12" s="1"/>
  <c r="BJ6" i="12"/>
  <c r="N6" i="12" s="1"/>
  <c r="E6" i="12" s="1"/>
  <c r="BI11" i="12"/>
  <c r="K4" i="12"/>
  <c r="L4" i="12"/>
  <c r="M4" i="12" s="1"/>
  <c r="BJ5" i="12"/>
  <c r="M5" i="12"/>
  <c r="L7" i="12"/>
  <c r="M7" i="12" s="1"/>
  <c r="K9" i="12"/>
  <c r="L9" i="12"/>
  <c r="BI7" i="12"/>
  <c r="BJ8" i="12"/>
  <c r="N8" i="12" s="1"/>
  <c r="N5" i="12" l="1"/>
  <c r="O5" i="12" s="1"/>
  <c r="BJ11" i="12"/>
  <c r="N11" i="12" s="1"/>
  <c r="P11" i="12" s="1"/>
  <c r="BJ7" i="12"/>
  <c r="N7" i="12" s="1"/>
  <c r="E7" i="12" s="1"/>
  <c r="BJ4" i="12"/>
  <c r="N4" i="12" s="1"/>
  <c r="P4" i="12" s="1"/>
  <c r="BJ9" i="12"/>
  <c r="N9" i="12" s="1"/>
  <c r="O9" i="12" s="1"/>
  <c r="M9" i="12"/>
  <c r="O6" i="12"/>
  <c r="P6" i="12"/>
  <c r="E8" i="12"/>
  <c r="P8" i="12"/>
  <c r="O8" i="12"/>
  <c r="P5" i="12" l="1"/>
  <c r="E5" i="12"/>
  <c r="E11" i="12"/>
  <c r="O11" i="12"/>
  <c r="E9" i="12"/>
  <c r="E4" i="12"/>
  <c r="P9" i="12"/>
  <c r="O4" i="12"/>
  <c r="O7" i="12"/>
  <c r="P7" i="12"/>
  <c r="A4" i="12" l="1"/>
  <c r="A6" i="12"/>
  <c r="A5" i="12"/>
  <c r="A8" i="12"/>
  <c r="A7" i="12"/>
  <c r="A9" i="12"/>
  <c r="BF13" i="6"/>
  <c r="BG13" i="6"/>
  <c r="BF14" i="6"/>
  <c r="BG14" i="6"/>
  <c r="BF11" i="6"/>
  <c r="BG11" i="6"/>
  <c r="BF5" i="6"/>
  <c r="BG5" i="6"/>
  <c r="BF8" i="6"/>
  <c r="BG8" i="6"/>
  <c r="BF6" i="6"/>
  <c r="BG6" i="6"/>
  <c r="BF10" i="6"/>
  <c r="BG10" i="6"/>
  <c r="BF7" i="6"/>
  <c r="BG7" i="6"/>
  <c r="BF9" i="6"/>
  <c r="BG9" i="6"/>
  <c r="BF12" i="6"/>
  <c r="BG12" i="6"/>
  <c r="BG4" i="6"/>
  <c r="BF4" i="6"/>
  <c r="LA12" i="6"/>
  <c r="KZ12" i="6"/>
  <c r="LA9" i="6"/>
  <c r="KZ9" i="6"/>
  <c r="LA7" i="6"/>
  <c r="KZ7" i="6"/>
  <c r="LA10" i="6"/>
  <c r="KZ10" i="6"/>
  <c r="LA6" i="6"/>
  <c r="KZ6" i="6"/>
  <c r="LA8" i="6"/>
  <c r="KZ8" i="6"/>
  <c r="LA5" i="6"/>
  <c r="KZ5" i="6"/>
  <c r="LA11" i="6"/>
  <c r="KZ11" i="6"/>
  <c r="LA14" i="6"/>
  <c r="KZ14" i="6"/>
  <c r="LA13" i="6"/>
  <c r="KZ13" i="6"/>
  <c r="LA4" i="6"/>
  <c r="KZ4" i="6"/>
  <c r="D51" i="11" l="1"/>
  <c r="C51" i="11"/>
  <c r="C52" i="11"/>
  <c r="D56" i="11"/>
  <c r="D57" i="11"/>
  <c r="D50" i="11"/>
  <c r="D52" i="11"/>
  <c r="D53" i="11"/>
  <c r="C53" i="11"/>
  <c r="C54" i="11"/>
  <c r="C55" i="11"/>
  <c r="C56" i="11"/>
  <c r="C57" i="11"/>
  <c r="C50" i="11"/>
  <c r="D54" i="11"/>
  <c r="D55" i="11"/>
  <c r="BH5" i="6"/>
  <c r="BH14" i="6"/>
  <c r="LB4" i="6"/>
  <c r="LB10" i="6"/>
  <c r="LB11" i="6"/>
  <c r="BH4" i="6"/>
  <c r="BH9" i="6"/>
  <c r="BH10" i="6"/>
  <c r="BH8" i="6"/>
  <c r="LB12" i="6"/>
  <c r="LB8" i="6"/>
  <c r="BH6" i="6"/>
  <c r="BH7" i="6"/>
  <c r="BH12" i="6"/>
  <c r="BH13" i="6"/>
  <c r="BH11" i="6"/>
  <c r="LB13" i="6"/>
  <c r="LB7" i="6"/>
  <c r="LB5" i="6"/>
  <c r="LB6" i="6"/>
  <c r="LB14" i="6"/>
  <c r="LB9" i="6"/>
  <c r="G8" i="6"/>
  <c r="F5" i="6" l="1"/>
  <c r="G7" i="6"/>
  <c r="H11" i="6"/>
  <c r="F12" i="6"/>
  <c r="J14" i="6"/>
  <c r="K14" i="6" s="1"/>
  <c r="G9" i="6"/>
  <c r="F8" i="6"/>
  <c r="H8" i="6"/>
  <c r="J12" i="6"/>
  <c r="L12" i="6" s="1"/>
  <c r="M12" i="6" s="1"/>
  <c r="H14" i="6"/>
  <c r="H13" i="6"/>
  <c r="H4" i="6"/>
  <c r="G11" i="6"/>
  <c r="H6" i="6"/>
  <c r="H12" i="6"/>
  <c r="H7" i="6"/>
  <c r="H10" i="6"/>
  <c r="F11" i="6"/>
  <c r="J5" i="6"/>
  <c r="K5" i="6" s="1"/>
  <c r="G13" i="6"/>
  <c r="F9" i="6"/>
  <c r="G6" i="6"/>
  <c r="G5" i="6"/>
  <c r="F7" i="6"/>
  <c r="F13" i="6"/>
  <c r="G14" i="6"/>
  <c r="H9" i="6"/>
  <c r="F6" i="6"/>
  <c r="H5" i="6"/>
  <c r="F14" i="6"/>
  <c r="G4" i="6"/>
  <c r="G10" i="6"/>
  <c r="F4" i="6"/>
  <c r="G12" i="6"/>
  <c r="F10" i="6"/>
  <c r="J13" i="6"/>
  <c r="K13" i="6" s="1"/>
  <c r="J9" i="6"/>
  <c r="K9" i="6" s="1"/>
  <c r="J4" i="6"/>
  <c r="L4" i="6" s="1"/>
  <c r="M4" i="6" s="1"/>
  <c r="J8" i="6"/>
  <c r="L8" i="6" s="1"/>
  <c r="M8" i="6" s="1"/>
  <c r="J11" i="6"/>
  <c r="K11" i="6" s="1"/>
  <c r="J7" i="6"/>
  <c r="L7" i="6" s="1"/>
  <c r="M7" i="6" s="1"/>
  <c r="J10" i="6"/>
  <c r="J6" i="6"/>
  <c r="K6" i="6" s="1"/>
  <c r="L14" i="6" l="1"/>
  <c r="M14" i="6" s="1"/>
  <c r="K12" i="6"/>
  <c r="L13" i="6"/>
  <c r="M13" i="6" s="1"/>
  <c r="L5" i="6"/>
  <c r="M5" i="6" s="1"/>
  <c r="K4" i="6"/>
  <c r="L9" i="6"/>
  <c r="M9" i="6" s="1"/>
  <c r="L11" i="6"/>
  <c r="M11" i="6" s="1"/>
  <c r="K8" i="6"/>
  <c r="K7" i="6"/>
  <c r="K10" i="6"/>
  <c r="L10" i="6"/>
  <c r="M10" i="6" s="1"/>
  <c r="L6" i="6"/>
  <c r="M6" i="6" s="1"/>
  <c r="LP4" i="10"/>
  <c r="LP6" i="10"/>
  <c r="LP13" i="10"/>
  <c r="LP5" i="10"/>
  <c r="LP10" i="10"/>
  <c r="BH4" i="10"/>
  <c r="BH6" i="10"/>
  <c r="BH13" i="10"/>
  <c r="BH5" i="10"/>
  <c r="BH10" i="10"/>
  <c r="BH11" i="9"/>
  <c r="BH13" i="9"/>
  <c r="BH12" i="9"/>
  <c r="BH9" i="9"/>
  <c r="BH4" i="9"/>
  <c r="BH10" i="9"/>
  <c r="LP10" i="9"/>
  <c r="LP11" i="9"/>
  <c r="LP13" i="9"/>
  <c r="LP12" i="9"/>
  <c r="LP9" i="9"/>
  <c r="LP4" i="9"/>
  <c r="LP7" i="2"/>
  <c r="LP6" i="2"/>
  <c r="LP5" i="2"/>
  <c r="LP12" i="2"/>
  <c r="LP8" i="2"/>
  <c r="LP11" i="2"/>
  <c r="LP9" i="2"/>
  <c r="LP15" i="2"/>
  <c r="LP14" i="2"/>
  <c r="LP4" i="2"/>
  <c r="BH7" i="2"/>
  <c r="BH6" i="2"/>
  <c r="BH5" i="2"/>
  <c r="BH12" i="2"/>
  <c r="BH8" i="2"/>
  <c r="BH11" i="2"/>
  <c r="BH9" i="2"/>
  <c r="BH15" i="2"/>
  <c r="BH14" i="2"/>
  <c r="BH4" i="2"/>
  <c r="LP4" i="4"/>
  <c r="LP6" i="4"/>
  <c r="LP7" i="4"/>
  <c r="LP10" i="4"/>
  <c r="LP9" i="4"/>
  <c r="LP12" i="4"/>
  <c r="LP17" i="4"/>
  <c r="LP13" i="4"/>
  <c r="LP16" i="4"/>
  <c r="LP8" i="4"/>
  <c r="LP11" i="4"/>
  <c r="LP18" i="4"/>
  <c r="LP19" i="4"/>
  <c r="LP20" i="4"/>
  <c r="LP5" i="4"/>
  <c r="BH4" i="4"/>
  <c r="BH6" i="4"/>
  <c r="BH7" i="4"/>
  <c r="BH10" i="4"/>
  <c r="BH9" i="4"/>
  <c r="BH12" i="4"/>
  <c r="BH17" i="4"/>
  <c r="BH13" i="4"/>
  <c r="BH16" i="4"/>
  <c r="BH8" i="4"/>
  <c r="BH11" i="4"/>
  <c r="BH18" i="4"/>
  <c r="BH19" i="4"/>
  <c r="BH20" i="4"/>
  <c r="BH5" i="4"/>
  <c r="F5" i="10" l="1"/>
  <c r="G5" i="10"/>
  <c r="F4" i="10"/>
  <c r="G4" i="10"/>
  <c r="G13" i="10"/>
  <c r="F13" i="10"/>
  <c r="F6" i="10"/>
  <c r="G6" i="10"/>
  <c r="G10" i="10"/>
  <c r="F10" i="10"/>
  <c r="G4" i="4"/>
  <c r="F4" i="4"/>
  <c r="G5" i="4"/>
  <c r="F5" i="4"/>
  <c r="G6" i="4"/>
  <c r="F6" i="4"/>
  <c r="F20" i="4"/>
  <c r="G20" i="4"/>
  <c r="F8" i="4"/>
  <c r="G8" i="4"/>
  <c r="G7" i="4"/>
  <c r="F7" i="4"/>
  <c r="F13" i="4"/>
  <c r="G13" i="4"/>
  <c r="G17" i="4"/>
  <c r="F17" i="4"/>
  <c r="F19" i="4"/>
  <c r="G19" i="4"/>
  <c r="F18" i="4"/>
  <c r="G18" i="4"/>
  <c r="G12" i="4"/>
  <c r="F12" i="4"/>
  <c r="F11" i="4"/>
  <c r="G11" i="4"/>
  <c r="F9" i="4"/>
  <c r="G9" i="4"/>
  <c r="G10" i="4"/>
  <c r="F10" i="4"/>
  <c r="G16" i="4"/>
  <c r="F16" i="4"/>
  <c r="F10" i="9"/>
  <c r="G10" i="9"/>
  <c r="F13" i="9"/>
  <c r="G13" i="9"/>
  <c r="F4" i="9"/>
  <c r="G4" i="9"/>
  <c r="G9" i="9"/>
  <c r="F9" i="9"/>
  <c r="F11" i="9"/>
  <c r="G11" i="9"/>
  <c r="F12" i="9"/>
  <c r="G12" i="9"/>
  <c r="F9" i="2"/>
  <c r="G9" i="2"/>
  <c r="F8" i="2"/>
  <c r="G8" i="2"/>
  <c r="G4" i="2"/>
  <c r="F4" i="2"/>
  <c r="G7" i="2"/>
  <c r="F7" i="2"/>
  <c r="F11" i="2"/>
  <c r="G11" i="2"/>
  <c r="F12" i="2"/>
  <c r="G12" i="2"/>
  <c r="G5" i="2"/>
  <c r="F5" i="2"/>
  <c r="G6" i="2"/>
  <c r="F6" i="2"/>
  <c r="F14" i="2"/>
  <c r="G14" i="2"/>
  <c r="F15" i="2"/>
  <c r="G15" i="2"/>
  <c r="BJ13" i="6"/>
  <c r="BE4" i="8"/>
  <c r="BC4" i="8"/>
  <c r="BE5" i="8"/>
  <c r="BC5" i="8"/>
  <c r="BE8" i="7"/>
  <c r="BC8" i="7"/>
  <c r="BE7" i="7"/>
  <c r="BC7" i="7"/>
  <c r="BE6" i="7"/>
  <c r="BC6" i="7"/>
  <c r="BE4" i="7"/>
  <c r="BC4" i="7"/>
  <c r="BM5" i="10"/>
  <c r="BJ5" i="10"/>
  <c r="BI5" i="10"/>
  <c r="BM13" i="10"/>
  <c r="BJ13" i="10"/>
  <c r="BI13" i="10"/>
  <c r="BM6" i="10"/>
  <c r="P6" i="10" s="1"/>
  <c r="BJ6" i="10"/>
  <c r="BI6" i="10"/>
  <c r="BM4" i="10"/>
  <c r="P4" i="10" s="1"/>
  <c r="BJ4" i="10"/>
  <c r="BI4" i="10"/>
  <c r="BM10" i="10"/>
  <c r="BJ10" i="10"/>
  <c r="BI10" i="10"/>
  <c r="BM4" i="9"/>
  <c r="P4" i="9" s="1"/>
  <c r="BJ4" i="9"/>
  <c r="BI4" i="9"/>
  <c r="BM9" i="9"/>
  <c r="P9" i="9" s="1"/>
  <c r="BJ9" i="9"/>
  <c r="BI9" i="9"/>
  <c r="BM12" i="9"/>
  <c r="P12" i="9" s="1"/>
  <c r="BJ12" i="9"/>
  <c r="BI12" i="9"/>
  <c r="BM13" i="9"/>
  <c r="P13" i="9" s="1"/>
  <c r="BJ13" i="9"/>
  <c r="BI13" i="9"/>
  <c r="BM11" i="9"/>
  <c r="P11" i="9" s="1"/>
  <c r="BJ11" i="9"/>
  <c r="BI11" i="9"/>
  <c r="BM10" i="9"/>
  <c r="P10" i="9" s="1"/>
  <c r="BJ10" i="9"/>
  <c r="BI10" i="9"/>
  <c r="BM14" i="2"/>
  <c r="BJ14" i="2"/>
  <c r="BI14" i="2"/>
  <c r="BM15" i="2"/>
  <c r="P15" i="2" s="1"/>
  <c r="BJ15" i="2"/>
  <c r="BI15" i="2"/>
  <c r="BM11" i="2"/>
  <c r="BJ11" i="2"/>
  <c r="BI11" i="2"/>
  <c r="BM9" i="2"/>
  <c r="BJ9" i="2"/>
  <c r="BI9" i="2"/>
  <c r="BM12" i="2"/>
  <c r="P12" i="2" s="1"/>
  <c r="BJ12" i="2"/>
  <c r="BI12" i="2"/>
  <c r="BM8" i="2"/>
  <c r="BJ8" i="2"/>
  <c r="BI8" i="2"/>
  <c r="BM6" i="2"/>
  <c r="BJ6" i="2"/>
  <c r="BI6" i="2"/>
  <c r="BM7" i="2"/>
  <c r="BJ7" i="2"/>
  <c r="BI7" i="2"/>
  <c r="BM5" i="2"/>
  <c r="BJ5" i="2"/>
  <c r="BI5" i="2"/>
  <c r="BM4" i="2"/>
  <c r="P4" i="2" s="1"/>
  <c r="BJ4" i="2"/>
  <c r="BI4" i="2"/>
  <c r="BM11" i="4"/>
  <c r="P11" i="4" s="1"/>
  <c r="BJ11" i="4"/>
  <c r="BI11" i="4"/>
  <c r="BM16" i="4"/>
  <c r="BJ16" i="4"/>
  <c r="BI16" i="4"/>
  <c r="BM19" i="4"/>
  <c r="BJ19" i="4"/>
  <c r="BI19" i="4"/>
  <c r="BM18" i="4"/>
  <c r="BJ18" i="4"/>
  <c r="BI18" i="4"/>
  <c r="BM20" i="4"/>
  <c r="BJ20" i="4"/>
  <c r="BI20" i="4"/>
  <c r="BM8" i="4"/>
  <c r="P8" i="4" s="1"/>
  <c r="BJ8" i="4"/>
  <c r="BI8" i="4"/>
  <c r="BM13" i="4"/>
  <c r="BJ13" i="4"/>
  <c r="BI13" i="4"/>
  <c r="BM17" i="4"/>
  <c r="BJ17" i="4"/>
  <c r="BI17" i="4"/>
  <c r="BM9" i="4"/>
  <c r="BJ9" i="4"/>
  <c r="BI9" i="4"/>
  <c r="BM10" i="4"/>
  <c r="BJ10" i="4"/>
  <c r="BI10" i="4"/>
  <c r="BM12" i="4"/>
  <c r="P12" i="4" s="1"/>
  <c r="BJ12" i="4"/>
  <c r="BI12" i="4"/>
  <c r="BM7" i="4"/>
  <c r="BJ7" i="4"/>
  <c r="BI7" i="4"/>
  <c r="BM6" i="4"/>
  <c r="BJ6" i="4"/>
  <c r="BI6" i="4"/>
  <c r="BJ4" i="4"/>
  <c r="BI4" i="4"/>
  <c r="BM4" i="4"/>
  <c r="P4" i="4" s="1"/>
  <c r="BM5" i="4"/>
  <c r="BJ5" i="4"/>
  <c r="BI5" i="4"/>
  <c r="BK5" i="4" l="1"/>
  <c r="BN5" i="4" s="1"/>
  <c r="BK8" i="2"/>
  <c r="J8" i="2" s="1"/>
  <c r="N8" i="2" s="1"/>
  <c r="BK16" i="4"/>
  <c r="BN16" i="4" s="1"/>
  <c r="BK17" i="4"/>
  <c r="BN17" i="4" s="1"/>
  <c r="BK10" i="4"/>
  <c r="BN10" i="4" s="1"/>
  <c r="J5" i="4"/>
  <c r="BK7" i="2"/>
  <c r="P7" i="4"/>
  <c r="Q7" i="4" s="1"/>
  <c r="P13" i="4"/>
  <c r="Q13" i="4" s="1"/>
  <c r="P10" i="4"/>
  <c r="Q10" i="4" s="1"/>
  <c r="P18" i="4"/>
  <c r="Q18" i="4" s="1"/>
  <c r="P7" i="2"/>
  <c r="Q7" i="2" s="1"/>
  <c r="BK12" i="4"/>
  <c r="BN12" i="4" s="1"/>
  <c r="P13" i="10"/>
  <c r="Q13" i="10" s="1"/>
  <c r="P10" i="10"/>
  <c r="Q10" i="10" s="1"/>
  <c r="P5" i="10"/>
  <c r="Q5" i="10" s="1"/>
  <c r="BK4" i="2"/>
  <c r="BK15" i="2"/>
  <c r="P14" i="2"/>
  <c r="Q14" i="2" s="1"/>
  <c r="P9" i="2"/>
  <c r="Q9" i="2" s="1"/>
  <c r="P8" i="2"/>
  <c r="Q8" i="2" s="1"/>
  <c r="P6" i="2"/>
  <c r="Q6" i="2" s="1"/>
  <c r="P11" i="2"/>
  <c r="Q11" i="2" s="1"/>
  <c r="P5" i="2"/>
  <c r="Q5" i="2" s="1"/>
  <c r="BK9" i="2"/>
  <c r="BK8" i="4"/>
  <c r="BN8" i="4" s="1"/>
  <c r="BK18" i="4"/>
  <c r="BN18" i="4" s="1"/>
  <c r="L4" i="8"/>
  <c r="M4" i="8" s="1"/>
  <c r="L7" i="7"/>
  <c r="M7" i="7" s="1"/>
  <c r="L4" i="7"/>
  <c r="M4" i="7" s="1"/>
  <c r="BF7" i="7"/>
  <c r="P6" i="4"/>
  <c r="Q6" i="4" s="1"/>
  <c r="P20" i="4"/>
  <c r="Q20" i="4" s="1"/>
  <c r="P9" i="4"/>
  <c r="Q9" i="4" s="1"/>
  <c r="P16" i="4"/>
  <c r="Q16" i="4" s="1"/>
  <c r="P19" i="4"/>
  <c r="Q19" i="4" s="1"/>
  <c r="P5" i="4"/>
  <c r="Q5" i="4" s="1"/>
  <c r="BK6" i="4"/>
  <c r="BN6" i="4" s="1"/>
  <c r="BK4" i="4"/>
  <c r="BN4" i="4" s="1"/>
  <c r="L8" i="7"/>
  <c r="M8" i="7" s="1"/>
  <c r="L6" i="7"/>
  <c r="M6" i="7" s="1"/>
  <c r="J7" i="7"/>
  <c r="BG7" i="7" s="1"/>
  <c r="BF8" i="7"/>
  <c r="BK9" i="9"/>
  <c r="BK20" i="4"/>
  <c r="BN20" i="4" s="1"/>
  <c r="BK11" i="4"/>
  <c r="BN11" i="4" s="1"/>
  <c r="L5" i="8"/>
  <c r="M5" i="8" s="1"/>
  <c r="BF4" i="8"/>
  <c r="BF4" i="7"/>
  <c r="Q6" i="10"/>
  <c r="Q4" i="10"/>
  <c r="BK10" i="10"/>
  <c r="BK6" i="10"/>
  <c r="BK13" i="10"/>
  <c r="BK5" i="10"/>
  <c r="BK10" i="9"/>
  <c r="BK13" i="9"/>
  <c r="BK4" i="9"/>
  <c r="Q13" i="9"/>
  <c r="Q11" i="9"/>
  <c r="Q4" i="9"/>
  <c r="Q12" i="9"/>
  <c r="Q9" i="9"/>
  <c r="Q10" i="9"/>
  <c r="BK6" i="2"/>
  <c r="BK11" i="2"/>
  <c r="Q12" i="2"/>
  <c r="Q4" i="2"/>
  <c r="P17" i="4"/>
  <c r="Q17" i="4" s="1"/>
  <c r="Q8" i="4"/>
  <c r="Q12" i="4"/>
  <c r="Q4" i="4"/>
  <c r="Q11" i="4"/>
  <c r="Q15" i="2"/>
  <c r="BF5" i="8"/>
  <c r="BK4" i="10"/>
  <c r="BK12" i="9"/>
  <c r="BK11" i="9"/>
  <c r="BK5" i="2"/>
  <c r="BK12" i="2"/>
  <c r="BK14" i="2"/>
  <c r="BK7" i="4"/>
  <c r="BN7" i="4" s="1"/>
  <c r="BK9" i="4"/>
  <c r="BN9" i="4" s="1"/>
  <c r="BK13" i="4"/>
  <c r="BN13" i="4" s="1"/>
  <c r="BK19" i="4"/>
  <c r="BN19" i="4" s="1"/>
  <c r="BN13" i="10" l="1"/>
  <c r="BN4" i="10"/>
  <c r="BN6" i="10"/>
  <c r="BN10" i="10"/>
  <c r="BN5" i="10"/>
  <c r="BN9" i="9"/>
  <c r="BN11" i="9"/>
  <c r="BN12" i="9"/>
  <c r="BN4" i="9"/>
  <c r="BN13" i="9"/>
  <c r="BN12" i="2"/>
  <c r="BN5" i="2"/>
  <c r="BN11" i="2"/>
  <c r="BN15" i="2"/>
  <c r="BN8" i="2"/>
  <c r="BN14" i="2"/>
  <c r="BN6" i="2"/>
  <c r="BN9" i="2"/>
  <c r="BN4" i="2"/>
  <c r="BN7" i="2"/>
  <c r="J17" i="4"/>
  <c r="L17" i="4" s="1"/>
  <c r="J16" i="4"/>
  <c r="N16" i="4" s="1"/>
  <c r="J7" i="2"/>
  <c r="L7" i="2" s="1"/>
  <c r="J10" i="4"/>
  <c r="K10" i="4" s="1"/>
  <c r="J10" i="9"/>
  <c r="N10" i="9" s="1"/>
  <c r="BN10" i="9"/>
  <c r="J4" i="2"/>
  <c r="N4" i="2" s="1"/>
  <c r="J9" i="2"/>
  <c r="N9" i="2" s="1"/>
  <c r="J15" i="2"/>
  <c r="N15" i="2" s="1"/>
  <c r="J12" i="4"/>
  <c r="N12" i="4" s="1"/>
  <c r="J18" i="4"/>
  <c r="L18" i="4" s="1"/>
  <c r="J8" i="4"/>
  <c r="L8" i="4" s="1"/>
  <c r="J6" i="4"/>
  <c r="K6" i="4" s="1"/>
  <c r="J4" i="4"/>
  <c r="K4" i="4" s="1"/>
  <c r="J11" i="4"/>
  <c r="L11" i="4" s="1"/>
  <c r="K7" i="7"/>
  <c r="BJ5" i="6"/>
  <c r="BJ11" i="6"/>
  <c r="BJ8" i="6"/>
  <c r="BJ10" i="6"/>
  <c r="BJ7" i="6"/>
  <c r="BJ9" i="6"/>
  <c r="BJ14" i="6"/>
  <c r="BJ6" i="6"/>
  <c r="BJ12" i="6"/>
  <c r="BJ4" i="6"/>
  <c r="J4" i="8"/>
  <c r="J6" i="7"/>
  <c r="BG6" i="7" s="1"/>
  <c r="BF6" i="7"/>
  <c r="J8" i="7"/>
  <c r="BG8" i="7" s="1"/>
  <c r="J9" i="9"/>
  <c r="N9" i="9" s="1"/>
  <c r="J13" i="9"/>
  <c r="N13" i="9" s="1"/>
  <c r="J11" i="2"/>
  <c r="L11" i="2" s="1"/>
  <c r="M11" i="2" s="1"/>
  <c r="J20" i="4"/>
  <c r="N20" i="4" s="1"/>
  <c r="J5" i="8"/>
  <c r="BG5" i="8" s="1"/>
  <c r="J4" i="7"/>
  <c r="BG4" i="7" s="1"/>
  <c r="J13" i="10"/>
  <c r="J4" i="10"/>
  <c r="J6" i="10"/>
  <c r="J5" i="10"/>
  <c r="J10" i="10"/>
  <c r="J4" i="9"/>
  <c r="K4" i="9" s="1"/>
  <c r="J11" i="9"/>
  <c r="J12" i="9"/>
  <c r="J6" i="2"/>
  <c r="J5" i="2"/>
  <c r="L8" i="2"/>
  <c r="K8" i="2"/>
  <c r="O8" i="2" s="1"/>
  <c r="J14" i="2"/>
  <c r="J12" i="2"/>
  <c r="J13" i="4"/>
  <c r="J19" i="4"/>
  <c r="J9" i="4"/>
  <c r="N5" i="4"/>
  <c r="K5" i="4"/>
  <c r="L5" i="4"/>
  <c r="J7" i="4"/>
  <c r="K4" i="8" l="1"/>
  <c r="BG4" i="8"/>
  <c r="L16" i="4"/>
  <c r="N17" i="4"/>
  <c r="K17" i="4"/>
  <c r="M17" i="4" s="1"/>
  <c r="N7" i="2"/>
  <c r="K7" i="2"/>
  <c r="K11" i="4"/>
  <c r="M11" i="4" s="1"/>
  <c r="K16" i="4"/>
  <c r="O16" i="4" s="1"/>
  <c r="K15" i="2"/>
  <c r="L15" i="2"/>
  <c r="M15" i="2" s="1"/>
  <c r="N10" i="4"/>
  <c r="O10" i="4" s="1"/>
  <c r="L10" i="4"/>
  <c r="M10" i="4" s="1"/>
  <c r="K10" i="9"/>
  <c r="O10" i="9" s="1"/>
  <c r="L10" i="9"/>
  <c r="K4" i="2"/>
  <c r="O4" i="2" s="1"/>
  <c r="L4" i="2"/>
  <c r="M4" i="2" s="1"/>
  <c r="N11" i="4"/>
  <c r="K12" i="4"/>
  <c r="O12" i="4" s="1"/>
  <c r="K9" i="2"/>
  <c r="O9" i="2" s="1"/>
  <c r="L9" i="2"/>
  <c r="M9" i="2" s="1"/>
  <c r="K18" i="4"/>
  <c r="M18" i="4" s="1"/>
  <c r="L12" i="4"/>
  <c r="N18" i="4"/>
  <c r="N6" i="4"/>
  <c r="O6" i="4" s="1"/>
  <c r="K8" i="4"/>
  <c r="M8" i="4" s="1"/>
  <c r="N4" i="4"/>
  <c r="O4" i="4" s="1"/>
  <c r="L6" i="4"/>
  <c r="M6" i="4" s="1"/>
  <c r="N8" i="4"/>
  <c r="L4" i="4"/>
  <c r="M4" i="4" s="1"/>
  <c r="K8" i="7"/>
  <c r="K6" i="7"/>
  <c r="L20" i="4"/>
  <c r="K20" i="4"/>
  <c r="O20" i="4" s="1"/>
  <c r="L9" i="9"/>
  <c r="L13" i="9"/>
  <c r="M13" i="9" s="1"/>
  <c r="K9" i="9"/>
  <c r="O9" i="9" s="1"/>
  <c r="K13" i="9"/>
  <c r="N4" i="9"/>
  <c r="O4" i="9" s="1"/>
  <c r="L4" i="9"/>
  <c r="M4" i="9" s="1"/>
  <c r="K11" i="2"/>
  <c r="N11" i="2"/>
  <c r="K5" i="8"/>
  <c r="K4" i="7"/>
  <c r="K6" i="10"/>
  <c r="L6" i="10"/>
  <c r="N6" i="10"/>
  <c r="K4" i="10"/>
  <c r="L4" i="10"/>
  <c r="N4" i="10"/>
  <c r="N10" i="10"/>
  <c r="L10" i="10"/>
  <c r="K10" i="10"/>
  <c r="K5" i="10"/>
  <c r="N5" i="10"/>
  <c r="L5" i="10"/>
  <c r="N13" i="10"/>
  <c r="L13" i="10"/>
  <c r="K13" i="10"/>
  <c r="L11" i="9"/>
  <c r="N11" i="9"/>
  <c r="K11" i="9"/>
  <c r="N12" i="9"/>
  <c r="L12" i="9"/>
  <c r="K12" i="9"/>
  <c r="O13" i="9"/>
  <c r="K6" i="2"/>
  <c r="N6" i="2"/>
  <c r="L6" i="2"/>
  <c r="M6" i="2" s="1"/>
  <c r="K12" i="2"/>
  <c r="L12" i="2"/>
  <c r="N12" i="2"/>
  <c r="M8" i="2"/>
  <c r="L5" i="2"/>
  <c r="K5" i="2"/>
  <c r="N5" i="2"/>
  <c r="L14" i="2"/>
  <c r="K14" i="2"/>
  <c r="N14" i="2"/>
  <c r="M7" i="2"/>
  <c r="O15" i="2"/>
  <c r="M5" i="4"/>
  <c r="L19" i="4"/>
  <c r="K19" i="4"/>
  <c r="N19" i="4"/>
  <c r="K13" i="4"/>
  <c r="L13" i="4"/>
  <c r="N13" i="4"/>
  <c r="O5" i="4"/>
  <c r="L7" i="4"/>
  <c r="N7" i="4"/>
  <c r="K7" i="4"/>
  <c r="L9" i="4"/>
  <c r="K9" i="4"/>
  <c r="N9" i="4"/>
  <c r="O7" i="2" l="1"/>
  <c r="O18" i="4"/>
  <c r="M16" i="4"/>
  <c r="O11" i="4"/>
  <c r="M20" i="4"/>
  <c r="O17" i="4"/>
  <c r="M10" i="9"/>
  <c r="M9" i="9"/>
  <c r="M12" i="4"/>
  <c r="O8" i="4"/>
  <c r="O11" i="2"/>
  <c r="O6" i="2"/>
  <c r="M9" i="4"/>
  <c r="M4" i="10"/>
  <c r="M10" i="10"/>
  <c r="O4" i="10"/>
  <c r="O6" i="10"/>
  <c r="O10" i="10"/>
  <c r="O5" i="10"/>
  <c r="M5" i="10"/>
  <c r="M13" i="10"/>
  <c r="M6" i="10"/>
  <c r="O13" i="10"/>
  <c r="O11" i="9"/>
  <c r="M11" i="9"/>
  <c r="O12" i="9"/>
  <c r="M12" i="9"/>
  <c r="O5" i="2"/>
  <c r="O12" i="2"/>
  <c r="M12" i="2"/>
  <c r="M14" i="2"/>
  <c r="O14" i="2"/>
  <c r="M5" i="2"/>
  <c r="M7" i="4"/>
  <c r="M13" i="4"/>
  <c r="O9" i="4"/>
  <c r="M19" i="4"/>
  <c r="O7" i="4"/>
  <c r="O13" i="4"/>
  <c r="O19" i="4"/>
  <c r="LQ4" i="9" l="1"/>
  <c r="LR4" i="9"/>
  <c r="LU4" i="9"/>
  <c r="BR4" i="9" l="1"/>
  <c r="BP4" i="9"/>
  <c r="BO4" i="9"/>
  <c r="LS4" i="9"/>
  <c r="LV4" i="9" l="1"/>
  <c r="H4" i="9"/>
  <c r="BQ4" i="9"/>
  <c r="I4" i="9" l="1"/>
  <c r="R4" i="9" l="1"/>
  <c r="T4" i="9" s="1"/>
  <c r="LQ6" i="10"/>
  <c r="LR6" i="10"/>
  <c r="LU6" i="10"/>
  <c r="BR6" i="10" l="1"/>
  <c r="BP6" i="10"/>
  <c r="BO6" i="10"/>
  <c r="E4" i="9"/>
  <c r="S4" i="9"/>
  <c r="LS6" i="10"/>
  <c r="LV6" i="10" l="1"/>
  <c r="H6" i="10"/>
  <c r="I6" i="10" s="1"/>
  <c r="BQ6" i="10"/>
  <c r="R6" i="10" l="1"/>
  <c r="E6" i="10" l="1"/>
  <c r="T6" i="10"/>
  <c r="S6" i="10"/>
  <c r="I14" i="6"/>
  <c r="BI14" i="6" l="1"/>
  <c r="I10" i="6"/>
  <c r="LQ9" i="9"/>
  <c r="LR9" i="9"/>
  <c r="LU9" i="9"/>
  <c r="BI10" i="6" l="1"/>
  <c r="BR9" i="9"/>
  <c r="BP9" i="9"/>
  <c r="BO9" i="9"/>
  <c r="LS9" i="9"/>
  <c r="LQ13" i="10"/>
  <c r="LR13" i="10"/>
  <c r="LU13" i="10"/>
  <c r="LV9" i="9" l="1"/>
  <c r="H9" i="9"/>
  <c r="A9" i="9" s="1"/>
  <c r="BR13" i="10"/>
  <c r="BP13" i="10"/>
  <c r="BO13" i="10"/>
  <c r="BQ9" i="9"/>
  <c r="N14" i="6"/>
  <c r="P14" i="6" s="1"/>
  <c r="N10" i="6"/>
  <c r="P10" i="6" s="1"/>
  <c r="LS13" i="10"/>
  <c r="LV13" i="10" l="1"/>
  <c r="H13" i="10"/>
  <c r="A13" i="10" s="1"/>
  <c r="I9" i="9"/>
  <c r="O10" i="6"/>
  <c r="O14" i="6"/>
  <c r="BQ13" i="10"/>
  <c r="E14" i="6"/>
  <c r="E10" i="6"/>
  <c r="LQ4" i="4"/>
  <c r="LR4" i="4"/>
  <c r="LU4" i="4"/>
  <c r="I13" i="10" l="1"/>
  <c r="BO4" i="4"/>
  <c r="BR4" i="4"/>
  <c r="BP4" i="4"/>
  <c r="R9" i="9"/>
  <c r="LS4" i="4"/>
  <c r="LV4" i="4" s="1"/>
  <c r="S9" i="9" l="1"/>
  <c r="T9" i="9"/>
  <c r="H4" i="4"/>
  <c r="I4" i="4" s="1"/>
  <c r="BQ4" i="4"/>
  <c r="R13" i="10"/>
  <c r="T13" i="10" s="1"/>
  <c r="E9" i="9"/>
  <c r="LQ5" i="10"/>
  <c r="LR5" i="10"/>
  <c r="LU5" i="10"/>
  <c r="LQ12" i="9"/>
  <c r="LR12" i="9"/>
  <c r="LU12" i="9"/>
  <c r="BR5" i="10" l="1"/>
  <c r="BP5" i="10"/>
  <c r="BO5" i="10"/>
  <c r="BR12" i="9"/>
  <c r="BP12" i="9"/>
  <c r="BO12" i="9"/>
  <c r="S13" i="10"/>
  <c r="R4" i="4"/>
  <c r="T4" i="4" s="1"/>
  <c r="E13" i="10"/>
  <c r="LS5" i="10"/>
  <c r="LS12" i="9"/>
  <c r="LV5" i="10" l="1"/>
  <c r="H5" i="10"/>
  <c r="LV12" i="9"/>
  <c r="H12" i="9"/>
  <c r="A12" i="9" s="1"/>
  <c r="BQ5" i="10"/>
  <c r="BQ12" i="9"/>
  <c r="S4" i="4"/>
  <c r="E4" i="4"/>
  <c r="I5" i="10" l="1"/>
  <c r="I12" i="9"/>
  <c r="R5" i="10" l="1"/>
  <c r="T5" i="10" s="1"/>
  <c r="R12" i="9"/>
  <c r="T12" i="9" s="1"/>
  <c r="S5" i="10" l="1"/>
  <c r="S12" i="9"/>
  <c r="E5" i="10"/>
  <c r="E12" i="9"/>
  <c r="LR4" i="2" l="1"/>
  <c r="KM6" i="7" l="1"/>
  <c r="KK6" i="7"/>
  <c r="KM7" i="7"/>
  <c r="KK7" i="7"/>
  <c r="KM5" i="8"/>
  <c r="KK5" i="8"/>
  <c r="G5" i="8" l="1"/>
  <c r="F7" i="7"/>
  <c r="G7" i="7"/>
  <c r="G6" i="7"/>
  <c r="F6" i="7"/>
  <c r="F5" i="8"/>
  <c r="BH5" i="8"/>
  <c r="BH7" i="7"/>
  <c r="BH6" i="7"/>
  <c r="KN7" i="7"/>
  <c r="KN6" i="7"/>
  <c r="KN5" i="8"/>
  <c r="LU9" i="4"/>
  <c r="LR9" i="4"/>
  <c r="LQ9" i="4"/>
  <c r="LU13" i="4"/>
  <c r="LR13" i="4"/>
  <c r="LQ13" i="4"/>
  <c r="LU18" i="4"/>
  <c r="LR18" i="4"/>
  <c r="LQ18" i="4"/>
  <c r="LU20" i="4"/>
  <c r="LR20" i="4"/>
  <c r="LQ20" i="4"/>
  <c r="LU19" i="4"/>
  <c r="LR19" i="4"/>
  <c r="LQ19" i="4"/>
  <c r="LU9" i="2"/>
  <c r="LR9" i="2"/>
  <c r="LQ9" i="2"/>
  <c r="I5" i="8" l="1"/>
  <c r="I6" i="7"/>
  <c r="I7" i="7"/>
  <c r="A7" i="7"/>
  <c r="N7" i="7"/>
  <c r="P7" i="7" s="1"/>
  <c r="BO20" i="4"/>
  <c r="BO13" i="4"/>
  <c r="BP13" i="4"/>
  <c r="BO18" i="4"/>
  <c r="BP19" i="4"/>
  <c r="BP18" i="4"/>
  <c r="BP9" i="4"/>
  <c r="BP20" i="4"/>
  <c r="BP9" i="2"/>
  <c r="BR9" i="2"/>
  <c r="BO9" i="2"/>
  <c r="BR20" i="4"/>
  <c r="BR18" i="4"/>
  <c r="BR13" i="4"/>
  <c r="BO19" i="4"/>
  <c r="BR19" i="4"/>
  <c r="N6" i="7"/>
  <c r="P6" i="7" s="1"/>
  <c r="BO9" i="4"/>
  <c r="BR9" i="4"/>
  <c r="LS19" i="4"/>
  <c r="LV19" i="4" s="1"/>
  <c r="LS9" i="4"/>
  <c r="LV9" i="4" s="1"/>
  <c r="LS18" i="4"/>
  <c r="LV18" i="4" s="1"/>
  <c r="I8" i="6"/>
  <c r="I7" i="6"/>
  <c r="LS9" i="2"/>
  <c r="LS20" i="4"/>
  <c r="LV20" i="4" s="1"/>
  <c r="LS13" i="4"/>
  <c r="LV13" i="4" s="1"/>
  <c r="LV9" i="2" l="1"/>
  <c r="H9" i="2"/>
  <c r="O7" i="7"/>
  <c r="E7" i="7"/>
  <c r="BI8" i="6"/>
  <c r="O6" i="7"/>
  <c r="BI7" i="6"/>
  <c r="E6" i="7"/>
  <c r="BQ9" i="2"/>
  <c r="H9" i="4"/>
  <c r="I9" i="4" s="1"/>
  <c r="BQ9" i="4"/>
  <c r="H19" i="4"/>
  <c r="I19" i="4" s="1"/>
  <c r="BQ19" i="4"/>
  <c r="H20" i="4"/>
  <c r="A20" i="4" s="1"/>
  <c r="BQ20" i="4"/>
  <c r="H18" i="4"/>
  <c r="I18" i="4" s="1"/>
  <c r="BQ18" i="4"/>
  <c r="H13" i="4"/>
  <c r="BQ13" i="4"/>
  <c r="I9" i="2" l="1"/>
  <c r="A18" i="4"/>
  <c r="A19" i="4"/>
  <c r="I20" i="4"/>
  <c r="I13" i="4"/>
  <c r="R20" i="4"/>
  <c r="T20" i="4" s="1"/>
  <c r="R18" i="4"/>
  <c r="T18" i="4" s="1"/>
  <c r="R19" i="4"/>
  <c r="T19" i="4" s="1"/>
  <c r="N8" i="6"/>
  <c r="P8" i="6" s="1"/>
  <c r="O8" i="6" l="1"/>
  <c r="R9" i="2"/>
  <c r="T9" i="2" s="1"/>
  <c r="S19" i="4"/>
  <c r="E19" i="4"/>
  <c r="S20" i="4"/>
  <c r="E20" i="4"/>
  <c r="S18" i="4"/>
  <c r="E18" i="4"/>
  <c r="N5" i="8"/>
  <c r="P5" i="8" s="1"/>
  <c r="R13" i="4"/>
  <c r="T13" i="4" s="1"/>
  <c r="E8" i="6"/>
  <c r="N7" i="6"/>
  <c r="P7" i="6" s="1"/>
  <c r="LQ12" i="4"/>
  <c r="LR12" i="4"/>
  <c r="LU12" i="4"/>
  <c r="LQ6" i="4"/>
  <c r="LR6" i="4"/>
  <c r="LU6" i="4"/>
  <c r="LQ10" i="4"/>
  <c r="LR10" i="4"/>
  <c r="LU10" i="4"/>
  <c r="LQ7" i="4"/>
  <c r="LR7" i="4"/>
  <c r="LU7" i="4"/>
  <c r="LQ17" i="4"/>
  <c r="LR17" i="4"/>
  <c r="LU17" i="4"/>
  <c r="LQ8" i="4"/>
  <c r="LR8" i="4"/>
  <c r="LU8" i="4"/>
  <c r="LQ16" i="4"/>
  <c r="LR16" i="4"/>
  <c r="LU16" i="4"/>
  <c r="LQ5" i="4"/>
  <c r="LR5" i="4"/>
  <c r="LU5" i="4"/>
  <c r="LQ11" i="4"/>
  <c r="LR11" i="4"/>
  <c r="LU11" i="4"/>
  <c r="LU10" i="10"/>
  <c r="LU4" i="10"/>
  <c r="LU11" i="9"/>
  <c r="LQ13" i="9"/>
  <c r="LR13" i="9"/>
  <c r="LU13" i="9"/>
  <c r="LQ10" i="9"/>
  <c r="LR10" i="9"/>
  <c r="LU10" i="9"/>
  <c r="LR11" i="9"/>
  <c r="LQ11" i="9"/>
  <c r="LQ5" i="2"/>
  <c r="LR5" i="2"/>
  <c r="LU5" i="2"/>
  <c r="LQ6" i="2"/>
  <c r="LR6" i="2"/>
  <c r="LU6" i="2"/>
  <c r="LQ12" i="2"/>
  <c r="LR12" i="2"/>
  <c r="LU12" i="2"/>
  <c r="LQ8" i="2"/>
  <c r="LR8" i="2"/>
  <c r="LU8" i="2"/>
  <c r="LQ4" i="2"/>
  <c r="LS4" i="2" s="1"/>
  <c r="H4" i="2" s="1"/>
  <c r="LU4" i="2"/>
  <c r="LQ14" i="2"/>
  <c r="LR14" i="2"/>
  <c r="LU14" i="2"/>
  <c r="LQ11" i="2"/>
  <c r="LR11" i="2"/>
  <c r="LU11" i="2"/>
  <c r="LQ15" i="2"/>
  <c r="LR15" i="2"/>
  <c r="LU15" i="2"/>
  <c r="LU7" i="2"/>
  <c r="LR7" i="2"/>
  <c r="LQ7" i="2"/>
  <c r="LQ10" i="10"/>
  <c r="LR10" i="10"/>
  <c r="LR4" i="10"/>
  <c r="LQ4" i="10"/>
  <c r="KM8" i="7"/>
  <c r="KM4" i="7"/>
  <c r="KK4" i="8"/>
  <c r="KK8" i="7"/>
  <c r="KK4" i="7"/>
  <c r="G4" i="7" l="1"/>
  <c r="F4" i="7"/>
  <c r="F8" i="7"/>
  <c r="G8" i="7"/>
  <c r="G4" i="8"/>
  <c r="F4" i="8"/>
  <c r="O5" i="8"/>
  <c r="O7" i="6"/>
  <c r="BH4" i="7"/>
  <c r="BP5" i="4"/>
  <c r="BR16" i="4"/>
  <c r="BP8" i="4"/>
  <c r="BR17" i="4"/>
  <c r="BR7" i="4"/>
  <c r="BO7" i="4"/>
  <c r="BP10" i="4"/>
  <c r="BH4" i="8"/>
  <c r="BH8" i="7"/>
  <c r="BP4" i="10"/>
  <c r="BO10" i="10"/>
  <c r="BR4" i="10"/>
  <c r="BO4" i="10"/>
  <c r="BP10" i="10"/>
  <c r="BR10" i="10"/>
  <c r="BP11" i="9"/>
  <c r="BR10" i="9"/>
  <c r="BO10" i="9"/>
  <c r="BO13" i="9"/>
  <c r="BO11" i="9"/>
  <c r="BP10" i="9"/>
  <c r="BR13" i="9"/>
  <c r="BP13" i="9"/>
  <c r="BR11" i="9"/>
  <c r="BO8" i="2"/>
  <c r="BP12" i="2"/>
  <c r="BR6" i="2"/>
  <c r="BP4" i="2"/>
  <c r="BR8" i="2"/>
  <c r="BO5" i="2"/>
  <c r="BP7" i="2"/>
  <c r="BR15" i="2"/>
  <c r="BO15" i="2"/>
  <c r="BP11" i="2"/>
  <c r="BR14" i="2"/>
  <c r="BO14" i="2"/>
  <c r="BP6" i="2"/>
  <c r="BR5" i="2"/>
  <c r="BP8" i="2"/>
  <c r="BR12" i="2"/>
  <c r="BO12" i="2"/>
  <c r="BO4" i="2"/>
  <c r="BO7" i="2"/>
  <c r="BR7" i="2"/>
  <c r="BP15" i="2"/>
  <c r="BR11" i="2"/>
  <c r="BO11" i="2"/>
  <c r="BP14" i="2"/>
  <c r="BR4" i="2"/>
  <c r="BP5" i="2"/>
  <c r="BO6" i="2"/>
  <c r="BO17" i="4"/>
  <c r="BO16" i="4"/>
  <c r="BR6" i="4"/>
  <c r="BO6" i="4"/>
  <c r="BO10" i="4"/>
  <c r="BO12" i="4"/>
  <c r="BR11" i="4"/>
  <c r="BO11" i="4"/>
  <c r="BO5" i="4"/>
  <c r="BP16" i="4"/>
  <c r="BR8" i="4"/>
  <c r="BO8" i="4"/>
  <c r="BP17" i="4"/>
  <c r="BP7" i="4"/>
  <c r="BR10" i="4"/>
  <c r="BP6" i="4"/>
  <c r="BR12" i="4"/>
  <c r="BR5" i="4"/>
  <c r="BP11" i="4"/>
  <c r="BP12" i="4"/>
  <c r="S9" i="2"/>
  <c r="E9" i="2"/>
  <c r="R9" i="4"/>
  <c r="T9" i="4" s="1"/>
  <c r="S13" i="4"/>
  <c r="E13" i="4"/>
  <c r="E5" i="8"/>
  <c r="I13" i="6"/>
  <c r="LV4" i="2"/>
  <c r="LS5" i="2"/>
  <c r="I9" i="6"/>
  <c r="I6" i="6"/>
  <c r="E7" i="6"/>
  <c r="I5" i="6"/>
  <c r="I4" i="6"/>
  <c r="LS10" i="9"/>
  <c r="I12" i="6"/>
  <c r="I11" i="6"/>
  <c r="LS11" i="9"/>
  <c r="LS13" i="9"/>
  <c r="LS14" i="2"/>
  <c r="LS6" i="2"/>
  <c r="LS11" i="2"/>
  <c r="KN4" i="8"/>
  <c r="LS4" i="10"/>
  <c r="LS10" i="10"/>
  <c r="LS15" i="2"/>
  <c r="LS8" i="2"/>
  <c r="LS12" i="2"/>
  <c r="LS5" i="4"/>
  <c r="LV5" i="4" s="1"/>
  <c r="LS12" i="4"/>
  <c r="LV12" i="4" s="1"/>
  <c r="LS11" i="4"/>
  <c r="LV11" i="4" s="1"/>
  <c r="LS7" i="4"/>
  <c r="LV7" i="4" s="1"/>
  <c r="KN8" i="7"/>
  <c r="KN4" i="7"/>
  <c r="LS7" i="2"/>
  <c r="LS17" i="4"/>
  <c r="LV17" i="4" s="1"/>
  <c r="LS8" i="4"/>
  <c r="LV8" i="4" s="1"/>
  <c r="LS10" i="4"/>
  <c r="LV10" i="4" s="1"/>
  <c r="LS6" i="4"/>
  <c r="LV6" i="4" s="1"/>
  <c r="LS16" i="4"/>
  <c r="LV16" i="4" s="1"/>
  <c r="N4" i="7" l="1"/>
  <c r="LV10" i="10"/>
  <c r="H10" i="10"/>
  <c r="I10" i="10" s="1"/>
  <c r="LV4" i="10"/>
  <c r="H4" i="10"/>
  <c r="LV10" i="9"/>
  <c r="H10" i="9"/>
  <c r="LV13" i="9"/>
  <c r="H13" i="9"/>
  <c r="I13" i="9" s="1"/>
  <c r="LV11" i="9"/>
  <c r="H11" i="9"/>
  <c r="I11" i="9" s="1"/>
  <c r="LV8" i="2"/>
  <c r="H8" i="2"/>
  <c r="I8" i="2" s="1"/>
  <c r="LV7" i="2"/>
  <c r="H7" i="2"/>
  <c r="I7" i="2" s="1"/>
  <c r="LV15" i="2"/>
  <c r="H15" i="2"/>
  <c r="I15" i="2" s="1"/>
  <c r="LV5" i="2"/>
  <c r="H5" i="2"/>
  <c r="I5" i="2" s="1"/>
  <c r="LV14" i="2"/>
  <c r="H14" i="2"/>
  <c r="I14" i="2" s="1"/>
  <c r="LV11" i="2"/>
  <c r="H11" i="2"/>
  <c r="I11" i="2" s="1"/>
  <c r="LV6" i="2"/>
  <c r="H6" i="2"/>
  <c r="I6" i="2" s="1"/>
  <c r="LV12" i="2"/>
  <c r="H12" i="2"/>
  <c r="I12" i="2" s="1"/>
  <c r="I4" i="8"/>
  <c r="I8" i="7"/>
  <c r="A8" i="7"/>
  <c r="I4" i="7"/>
  <c r="BI13" i="6"/>
  <c r="BI9" i="6"/>
  <c r="BI6" i="6"/>
  <c r="BI12" i="6"/>
  <c r="BI5" i="6"/>
  <c r="BI11" i="6"/>
  <c r="BI4" i="6"/>
  <c r="N8" i="7"/>
  <c r="P8" i="7" s="1"/>
  <c r="BQ10" i="10"/>
  <c r="BQ4" i="10"/>
  <c r="BQ13" i="9"/>
  <c r="BQ10" i="9"/>
  <c r="BQ11" i="9"/>
  <c r="BQ15" i="2"/>
  <c r="BQ7" i="2"/>
  <c r="BQ6" i="2"/>
  <c r="BQ5" i="2"/>
  <c r="I4" i="2"/>
  <c r="BQ4" i="2"/>
  <c r="BQ12" i="2"/>
  <c r="BQ14" i="2"/>
  <c r="BQ8" i="2"/>
  <c r="BQ11" i="2"/>
  <c r="H7" i="4"/>
  <c r="I7" i="4" s="1"/>
  <c r="BQ7" i="4"/>
  <c r="H10" i="4"/>
  <c r="A10" i="4" s="1"/>
  <c r="BQ10" i="4"/>
  <c r="H16" i="4"/>
  <c r="A16" i="4" s="1"/>
  <c r="BQ16" i="4"/>
  <c r="H12" i="4"/>
  <c r="A12" i="4" s="1"/>
  <c r="BQ12" i="4"/>
  <c r="H11" i="4"/>
  <c r="A11" i="4" s="1"/>
  <c r="BQ11" i="4"/>
  <c r="H5" i="4"/>
  <c r="I5" i="4" s="1"/>
  <c r="BQ5" i="4"/>
  <c r="H6" i="4"/>
  <c r="I6" i="4" s="1"/>
  <c r="BQ6" i="4"/>
  <c r="H17" i="4"/>
  <c r="A17" i="4" s="1"/>
  <c r="BQ17" i="4"/>
  <c r="H8" i="4"/>
  <c r="BQ8" i="4"/>
  <c r="S9" i="4"/>
  <c r="E9" i="4"/>
  <c r="I10" i="9" l="1"/>
  <c r="O4" i="7"/>
  <c r="P4" i="7"/>
  <c r="I4" i="10"/>
  <c r="A13" i="9"/>
  <c r="A14" i="2"/>
  <c r="A15" i="2"/>
  <c r="O8" i="7"/>
  <c r="I10" i="4"/>
  <c r="I12" i="4"/>
  <c r="I17" i="4"/>
  <c r="I8" i="4"/>
  <c r="I11" i="4"/>
  <c r="I16" i="4"/>
  <c r="E8" i="7"/>
  <c r="N4" i="6"/>
  <c r="N5" i="6"/>
  <c r="P5" i="6" s="1"/>
  <c r="N6" i="6"/>
  <c r="P6" i="6" s="1"/>
  <c r="N11" i="6"/>
  <c r="P11" i="6" s="1"/>
  <c r="R14" i="2"/>
  <c r="T14" i="2" s="1"/>
  <c r="P4" i="6" l="1"/>
  <c r="E4" i="6"/>
  <c r="O11" i="6"/>
  <c r="O6" i="6"/>
  <c r="O5" i="6"/>
  <c r="O4" i="6"/>
  <c r="S14" i="2"/>
  <c r="E14" i="2"/>
  <c r="R8" i="2"/>
  <c r="T8" i="2" s="1"/>
  <c r="R5" i="2"/>
  <c r="T5" i="2" s="1"/>
  <c r="R12" i="2"/>
  <c r="T12" i="2" s="1"/>
  <c r="E11" i="6"/>
  <c r="N9" i="6"/>
  <c r="P9" i="6" s="1"/>
  <c r="N12" i="6"/>
  <c r="P12" i="6" s="1"/>
  <c r="N13" i="6"/>
  <c r="P13" i="6" s="1"/>
  <c r="N4" i="8"/>
  <c r="P4" i="8" s="1"/>
  <c r="R11" i="9"/>
  <c r="T11" i="9" s="1"/>
  <c r="R4" i="2"/>
  <c r="T4" i="2" s="1"/>
  <c r="R7" i="4"/>
  <c r="T7" i="4" s="1"/>
  <c r="E5" i="6"/>
  <c r="R6" i="2"/>
  <c r="T6" i="2" s="1"/>
  <c r="E6" i="6"/>
  <c r="R11" i="2"/>
  <c r="T11" i="2" s="1"/>
  <c r="R11" i="4"/>
  <c r="T11" i="4" s="1"/>
  <c r="R16" i="4"/>
  <c r="T16" i="4" s="1"/>
  <c r="R8" i="4"/>
  <c r="T8" i="4" s="1"/>
  <c r="O4" i="8" l="1"/>
  <c r="O12" i="6"/>
  <c r="O9" i="6"/>
  <c r="O13" i="6"/>
  <c r="S6" i="2"/>
  <c r="E6" i="2"/>
  <c r="S12" i="2"/>
  <c r="E12" i="2"/>
  <c r="S5" i="2"/>
  <c r="E5" i="2"/>
  <c r="S11" i="2"/>
  <c r="E11" i="2"/>
  <c r="S8" i="2"/>
  <c r="E8" i="2"/>
  <c r="R15" i="2"/>
  <c r="T15" i="2" s="1"/>
  <c r="R7" i="2"/>
  <c r="T7" i="2" s="1"/>
  <c r="S7" i="4"/>
  <c r="E7" i="4"/>
  <c r="R6" i="4"/>
  <c r="T6" i="4" s="1"/>
  <c r="R12" i="4"/>
  <c r="T12" i="4" s="1"/>
  <c r="S8" i="4"/>
  <c r="E8" i="4"/>
  <c r="S11" i="4"/>
  <c r="E11" i="4"/>
  <c r="S16" i="4"/>
  <c r="E16" i="4"/>
  <c r="R17" i="4"/>
  <c r="T17" i="4" s="1"/>
  <c r="R10" i="4"/>
  <c r="T10" i="4" s="1"/>
  <c r="R13" i="9"/>
  <c r="R5" i="4"/>
  <c r="R4" i="10"/>
  <c r="T4" i="10" s="1"/>
  <c r="R10" i="10"/>
  <c r="T10" i="10" s="1"/>
  <c r="S11" i="9"/>
  <c r="R10" i="9"/>
  <c r="T10" i="9" s="1"/>
  <c r="S4" i="2"/>
  <c r="E13" i="6"/>
  <c r="A13" i="6" s="1"/>
  <c r="E12" i="6"/>
  <c r="E9" i="6"/>
  <c r="E4" i="8"/>
  <c r="E4" i="2"/>
  <c r="E11" i="9"/>
  <c r="A7" i="6" l="1"/>
  <c r="A9" i="6"/>
  <c r="A12" i="6"/>
  <c r="A6" i="6"/>
  <c r="A8" i="6"/>
  <c r="A5" i="6"/>
  <c r="A4" i="6"/>
  <c r="A11" i="6"/>
  <c r="A14" i="6"/>
  <c r="A10" i="6"/>
  <c r="E4" i="7"/>
  <c r="A5" i="7" s="1"/>
  <c r="S13" i="9"/>
  <c r="T13" i="9"/>
  <c r="S5" i="4"/>
  <c r="T5" i="4"/>
  <c r="S15" i="2"/>
  <c r="E15" i="2"/>
  <c r="S7" i="2"/>
  <c r="E7" i="2"/>
  <c r="A7" i="2" s="1"/>
  <c r="S12" i="4"/>
  <c r="E12" i="4"/>
  <c r="S10" i="4"/>
  <c r="E10" i="4"/>
  <c r="S6" i="4"/>
  <c r="E6" i="4"/>
  <c r="S17" i="4"/>
  <c r="E17" i="4"/>
  <c r="A9" i="4" s="1"/>
  <c r="E5" i="4"/>
  <c r="S4" i="10"/>
  <c r="S10" i="10"/>
  <c r="E10" i="10"/>
  <c r="S10" i="9"/>
  <c r="E10" i="9"/>
  <c r="A4" i="8"/>
  <c r="E4" i="10"/>
  <c r="E13" i="9"/>
  <c r="A10" i="2" l="1"/>
  <c r="A4" i="9"/>
  <c r="A5" i="9"/>
  <c r="A6" i="9"/>
  <c r="A13" i="4"/>
  <c r="A11" i="10"/>
  <c r="A8" i="10"/>
  <c r="A5" i="10"/>
  <c r="D43" i="11"/>
  <c r="D44" i="11"/>
  <c r="D45" i="11"/>
  <c r="C45" i="11"/>
  <c r="C46" i="11"/>
  <c r="D49" i="11"/>
  <c r="D42" i="11"/>
  <c r="C44" i="11"/>
  <c r="D46" i="11"/>
  <c r="C42" i="11"/>
  <c r="D47" i="11"/>
  <c r="C47" i="11"/>
  <c r="D48" i="11"/>
  <c r="C48" i="11"/>
  <c r="C49" i="11"/>
  <c r="C43" i="11"/>
  <c r="A6" i="2"/>
  <c r="A6" i="4"/>
  <c r="A8" i="4"/>
  <c r="A7" i="4"/>
  <c r="A5" i="8"/>
  <c r="A6" i="7"/>
  <c r="A4" i="7"/>
  <c r="A6" i="10"/>
  <c r="A7" i="10"/>
  <c r="A10" i="10"/>
  <c r="A4" i="10"/>
  <c r="A10" i="9"/>
  <c r="A11" i="9"/>
  <c r="A9" i="2"/>
  <c r="A12" i="2"/>
  <c r="A4" i="2"/>
  <c r="A11" i="2"/>
  <c r="A5" i="2"/>
  <c r="A8" i="2"/>
  <c r="A5" i="4"/>
  <c r="A4" i="4"/>
  <c r="D35" i="11" l="1"/>
  <c r="C34" i="11"/>
  <c r="D34" i="11"/>
  <c r="C41" i="11"/>
  <c r="D37" i="11"/>
  <c r="D36" i="11"/>
  <c r="C36" i="11"/>
  <c r="D39" i="11"/>
  <c r="D41" i="11"/>
  <c r="D40" i="11"/>
  <c r="C38" i="11"/>
  <c r="D38" i="11"/>
  <c r="C35" i="11"/>
  <c r="C40" i="11"/>
  <c r="C39" i="11"/>
  <c r="C37" i="11"/>
  <c r="D27" i="11"/>
  <c r="C27" i="11"/>
  <c r="C29" i="11"/>
  <c r="C30" i="11"/>
  <c r="D28" i="11"/>
  <c r="C28" i="11"/>
  <c r="D29" i="11"/>
  <c r="D26" i="11"/>
  <c r="D30" i="11"/>
  <c r="D31" i="11"/>
  <c r="C31" i="11"/>
  <c r="D32" i="11"/>
  <c r="C32" i="11"/>
  <c r="D33" i="11"/>
  <c r="C33" i="11"/>
  <c r="C26" i="11"/>
  <c r="D23" i="11"/>
  <c r="C23" i="11"/>
  <c r="C25" i="11"/>
  <c r="D24" i="11"/>
  <c r="C22" i="11"/>
  <c r="D25" i="11"/>
  <c r="D22" i="11"/>
  <c r="C24" i="11"/>
  <c r="D19" i="11"/>
  <c r="C21" i="11"/>
  <c r="C20" i="11"/>
  <c r="D18" i="11"/>
  <c r="C19" i="11"/>
  <c r="D21" i="11"/>
  <c r="C18" i="11"/>
  <c r="D20" i="11"/>
  <c r="D11" i="11"/>
  <c r="D12" i="11"/>
  <c r="C12" i="11"/>
  <c r="D13" i="11"/>
  <c r="C13" i="11"/>
  <c r="C17" i="11"/>
  <c r="C11" i="11"/>
  <c r="D14" i="11"/>
  <c r="C14" i="11"/>
  <c r="C10" i="11"/>
  <c r="D15" i="11"/>
  <c r="C15" i="11"/>
  <c r="C16" i="11"/>
  <c r="D17" i="11"/>
  <c r="D10" i="11"/>
  <c r="D16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sharedStrings.xml><?xml version="1.0" encoding="utf-8"?>
<sst xmlns="http://schemas.openxmlformats.org/spreadsheetml/2006/main" count="3583" uniqueCount="195">
  <si>
    <t>Province</t>
  </si>
  <si>
    <t>Rank</t>
  </si>
  <si>
    <t>Total Points</t>
  </si>
  <si>
    <t>ON</t>
  </si>
  <si>
    <t>SOEHN, Keegan</t>
  </si>
  <si>
    <t>AB</t>
  </si>
  <si>
    <t>BC</t>
  </si>
  <si>
    <t>GEREIN, Curtis</t>
  </si>
  <si>
    <t>CRANHAM, Jacob</t>
  </si>
  <si>
    <t>SHUH, Nathan</t>
  </si>
  <si>
    <t>QC</t>
  </si>
  <si>
    <t>ARMSTRONG, Mark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</si>
  <si>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</si>
  <si>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</si>
  <si>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</si>
  <si>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</si>
  <si>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</si>
  <si>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</si>
  <si>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</si>
  <si>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</si>
  <si>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</si>
  <si>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</si>
  <si>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</si>
  <si>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</si>
  <si>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</si>
  <si>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</si>
  <si>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</si>
  <si>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</si>
  <si>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</si>
  <si>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</si>
  <si>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</si>
  <si>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</si>
  <si>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</si>
  <si>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</si>
  <si>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</si>
  <si>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</si>
  <si>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</si>
  <si>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</si>
  <si>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</si>
  <si>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</si>
  <si>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</si>
  <si>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</si>
  <si>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</si>
  <si>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</si>
  <si>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</si>
  <si>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</si>
  <si>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</si>
  <si>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</si>
  <si>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</si>
  <si>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</si>
  <si>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</si>
  <si>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SCHWAIGER, Jonathon</t>
  </si>
  <si>
    <t>SUNDQUIST, Callum</t>
  </si>
  <si>
    <t>LEFAIVRE, Justin</t>
  </si>
  <si>
    <t>SHEEHAN, Ryan</t>
  </si>
  <si>
    <t>RYANE, Casey</t>
  </si>
  <si>
    <t>SUGRIM, Jordan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</si>
  <si>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</si>
  <si>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</si>
  <si>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</si>
  <si>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</si>
  <si>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</si>
  <si>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</si>
  <si>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</si>
  <si>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</si>
  <si>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</si>
  <si>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</si>
  <si>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</si>
  <si>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</si>
  <si>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</si>
  <si>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</si>
  <si>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</si>
  <si>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</si>
  <si>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</si>
  <si>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</si>
  <si>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</si>
  <si>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</si>
  <si>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</si>
  <si>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</si>
  <si>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</si>
  <si>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</si>
  <si>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</si>
  <si>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</si>
  <si>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</si>
  <si>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</si>
  <si>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</si>
  <si>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</si>
  <si>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</si>
  <si>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</si>
  <si>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HESMERT, Tiana</t>
  </si>
  <si>
    <t>HIPEL, Zoe</t>
  </si>
  <si>
    <t>ZEUNER, Michael</t>
  </si>
  <si>
    <t>BURNETT &amp; CRANHAM</t>
  </si>
  <si>
    <t>MACLENNAN &amp; TAM</t>
  </si>
  <si>
    <t>ON/BC</t>
  </si>
  <si>
    <t>Injury</t>
  </si>
  <si>
    <t>P</t>
  </si>
  <si>
    <t>Injury Score</t>
  </si>
  <si>
    <t>Year of Birth</t>
  </si>
  <si>
    <t>1986/1994</t>
  </si>
  <si>
    <t>2001/1999</t>
  </si>
  <si>
    <t>1998/1997</t>
  </si>
  <si>
    <t>1988/1998</t>
  </si>
  <si>
    <t>Select</t>
  </si>
  <si>
    <t>Delete oldest domestic trial</t>
  </si>
  <si>
    <t>Add a new athlete to:</t>
  </si>
  <si>
    <t>CHARTIER, Jérémy</t>
  </si>
  <si>
    <t>MOULD, Blake</t>
  </si>
  <si>
    <t>1995/1992</t>
  </si>
  <si>
    <t>1988/1997</t>
  </si>
  <si>
    <t>ON/QC</t>
  </si>
  <si>
    <t>MACLENNAN &amp; MILETTE</t>
  </si>
  <si>
    <t>DUNDAS &amp; SMITH</t>
  </si>
  <si>
    <t>QC/ON</t>
  </si>
  <si>
    <t>AB/ON</t>
  </si>
  <si>
    <t>GEREIN &amp; STIRLING</t>
  </si>
  <si>
    <t>1993/1995</t>
  </si>
  <si>
    <t>2001/1992</t>
  </si>
  <si>
    <t>QC/AB</t>
  </si>
  <si>
    <t>2002/2003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</si>
  <si>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</si>
  <si>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</si>
  <si>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</si>
  <si>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</si>
  <si>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</si>
  <si>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</si>
  <si>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</si>
  <si>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</si>
  <si>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</si>
  <si>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2019 World Cup AZE (Feb 17)</t>
  </si>
  <si>
    <t>2019 World Cup AZE (Feb 16)</t>
  </si>
  <si>
    <t>Excellence DD</t>
  </si>
  <si>
    <t>4 Pass DD</t>
  </si>
  <si>
    <t>Potential Injury Score</t>
  </si>
  <si>
    <t>2019 World Cup BLR (Apr 20)</t>
  </si>
  <si>
    <t>2019 World Cup BLR (Apr 21)</t>
  </si>
  <si>
    <t>BC/ON</t>
  </si>
  <si>
    <t>SMITH &amp; TAM</t>
  </si>
  <si>
    <t>2019 Elite Canada</t>
  </si>
  <si>
    <t>FRIGON, Charles</t>
  </si>
  <si>
    <t>SEROUART, Guillaume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</si>
  <si>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</si>
  <si>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</si>
  <si>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</si>
  <si>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</si>
  <si>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</si>
  <si>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</si>
  <si>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</si>
  <si>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</si>
  <si>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</si>
  <si>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</si>
  <si>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</si>
  <si>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</si>
  <si>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</si>
  <si>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1992/1998</t>
  </si>
  <si>
    <t>2019 Scalabis Cup (July 6)</t>
  </si>
  <si>
    <t>2019 Nationals</t>
  </si>
  <si>
    <t>DODD &amp; MOULD</t>
  </si>
  <si>
    <t>2003/2001</t>
  </si>
  <si>
    <t>AUBIN &amp; LEGACÉ</t>
  </si>
  <si>
    <t>CARLSON &amp; CHAMPAGNE</t>
  </si>
  <si>
    <t>2002/1999</t>
  </si>
  <si>
    <t>MILETTE &amp; TAM</t>
  </si>
  <si>
    <t>1997/1998</t>
  </si>
  <si>
    <t>1993/2002</t>
  </si>
  <si>
    <t>MADIGAN &amp; NAGANO</t>
  </si>
  <si>
    <t>2003/1998</t>
  </si>
  <si>
    <t>1998/1999</t>
  </si>
  <si>
    <t>CIRONE &amp; SOEHN</t>
  </si>
  <si>
    <t>BRIAND-BRIÈRE &amp; ROUX</t>
  </si>
  <si>
    <t>FERNANDES, Antonio</t>
  </si>
  <si>
    <t>2019 Pan Am Games (Aug 5)</t>
  </si>
  <si>
    <t>2019 World Cup RUS (Sept 21)</t>
  </si>
  <si>
    <t>2019 World Cup RUS (Sept 22)</t>
  </si>
  <si>
    <t>BURNETT &amp; CHARTIER</t>
  </si>
  <si>
    <t>CHARTIER &amp; SOEHN</t>
  </si>
  <si>
    <t>SHUH &amp; SOEHN</t>
  </si>
  <si>
    <t>ON/AB</t>
  </si>
  <si>
    <t>1997/1992</t>
  </si>
  <si>
    <t>1986/2001</t>
  </si>
  <si>
    <t>2019 World Cup ESP (Oct 5)</t>
  </si>
  <si>
    <t>2019 World Cup ESP (Oct 6)</t>
  </si>
  <si>
    <t>Delete oldest international competitions</t>
  </si>
  <si>
    <t>2019 Worlds</t>
  </si>
  <si>
    <t>2019 World Championships (Nov 30)</t>
  </si>
  <si>
    <t>2019 World Championships (Nov 29)</t>
  </si>
  <si>
    <t>2019 World Championships (Nov 28)</t>
  </si>
  <si>
    <t>2019 World Championships (Dec 1)</t>
  </si>
  <si>
    <t>2019 World Championships (Prelim+Semifinal) (Nov 30)</t>
  </si>
  <si>
    <t>2019 World Championships Semifinals (Nov 30)</t>
  </si>
  <si>
    <t>World Championships All-Around Team Final (Dec 1)</t>
  </si>
  <si>
    <t>2019 WAGC</t>
  </si>
  <si>
    <t>2019 WAGC (Dec 5)</t>
  </si>
  <si>
    <t>2019 World Championships Team Finals (Nov 29)</t>
  </si>
  <si>
    <t>2019 WAGC (Dec 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</si>
</sst>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5" borderId="0" xfId="0" applyNumberFormat="1" applyFont="1" applyFill="1" applyProtection="1">
      <protection locked="0"/>
    </xf>
    <xf numFmtId="164" fontId="19" fillId="16" borderId="0" xfId="0" applyNumberFormat="1" applyFont="1" applyFill="1" applyProtection="1">
      <protection locked="0"/>
    </xf>
    <xf numFmtId="164" fontId="10" fillId="17" borderId="0" xfId="0" applyNumberFormat="1" applyFont="1" applyFill="1" applyProtection="1">
      <protection locked="0"/>
    </xf>
    <xf numFmtId="164" fontId="9" fillId="18" borderId="0" xfId="0" applyNumberFormat="1" applyFont="1" applyFill="1" applyProtection="1">
      <protection locked="0"/>
    </xf>
    <xf numFmtId="164" fontId="11" fillId="19" borderId="0" xfId="0" applyNumberFormat="1" applyFont="1" applyFill="1" applyProtection="1">
      <protection locked="0"/>
    </xf>
    <xf numFmtId="0" fontId="12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20" borderId="0" xfId="0" applyFont="1" applyFill="1" applyAlignment="1"/>
    <xf numFmtId="0" fontId="2" fillId="21" borderId="0" xfId="0" applyFont="1" applyFill="1" applyAlignment="1"/>
    <xf numFmtId="164" fontId="21" fillId="20" borderId="0" xfId="0" applyNumberFormat="1" applyFont="1" applyFill="1" applyProtection="1">
      <protection locked="0"/>
    </xf>
    <xf numFmtId="164" fontId="2" fillId="21" borderId="0" xfId="0" applyNumberFormat="1" applyFont="1" applyFill="1" applyProtection="1">
      <protection locked="0"/>
    </xf>
    <xf numFmtId="164" fontId="2" fillId="23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20" borderId="0" xfId="0" applyNumberFormat="1" applyFont="1" applyFill="1" applyAlignment="1" applyProtection="1">
      <protection locked="0"/>
    </xf>
    <xf numFmtId="164" fontId="2" fillId="21" borderId="0" xfId="0" applyNumberFormat="1" applyFont="1" applyFill="1" applyAlignment="1" applyProtection="1">
      <protection locked="0"/>
    </xf>
    <xf numFmtId="164" fontId="21" fillId="22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5" fillId="0" borderId="0" xfId="0" applyFont="1"/>
    <xf numFmtId="164" fontId="23" fillId="3" borderId="1" xfId="0" applyNumberFormat="1" applyFont="1" applyFill="1" applyBorder="1" applyProtection="1">
      <protection locked="0"/>
    </xf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0"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68</v>
      </c>
      <c r="B1" t="s">
        <v>1</v>
      </c>
      <c r="C1" t="s">
        <v>70</v>
      </c>
      <c r="D1" t="s">
        <v>16</v>
      </c>
      <c r="E1" s="54"/>
      <c r="F1" s="54"/>
      <c r="J1" s="54"/>
      <c r="K1" s="54"/>
      <c r="L1" s="54"/>
    </row>
    <row r="2" spans="1:12" x14ac:dyDescent="0.2">
      <c r="A2" s="11" t="s">
        <v>69</v>
      </c>
      <c r="B2" s="11">
        <v>1</v>
      </c>
      <c r="C2" s="11" t="str">
        <f>IF(B2&gt;MAX('TRA-M'!A:A),"",INDEX('TRA-M'!B:B,MATCH(B2,'TRA-M'!A:A,0)))</f>
        <v>CHARTIER, Jérémy</v>
      </c>
      <c r="D2" s="11" t="str">
        <f>IF(B2&gt;MAX('TRA-M'!A:A),"",INDEX('TRA-M'!I:I,MATCH(B2,'TRA-M'!A:A,0)))</f>
        <v>Merit</v>
      </c>
      <c r="E2" s="28"/>
      <c r="F2" s="28"/>
    </row>
    <row r="3" spans="1:12" x14ac:dyDescent="0.2">
      <c r="A3" s="11"/>
      <c r="B3" s="11">
        <v>2</v>
      </c>
      <c r="C3" s="11" t="str">
        <f>IF(B3&gt;MAX('TRA-M'!A:A),"",INDEX('TRA-M'!B:B,MATCH(B3,'TRA-M'!A:A,0)))</f>
        <v>BURNETT, Jason</v>
      </c>
      <c r="D3" s="11" t="str">
        <f>IF(B3&gt;MAX('TRA-M'!A:A),"",INDEX('TRA-M'!I:I,MATCH(B3,'TRA-M'!A:A,0)))</f>
        <v>Excellence</v>
      </c>
      <c r="E3" s="28"/>
      <c r="F3" s="28"/>
    </row>
    <row r="4" spans="1:12" x14ac:dyDescent="0.2">
      <c r="A4" s="11"/>
      <c r="B4" s="11">
        <v>3</v>
      </c>
      <c r="C4" s="11" t="str">
        <f>IF(B4&gt;MAX('TRA-M'!A:A),"",INDEX('TRA-M'!B:B,MATCH(B4,'TRA-M'!A:A,0)))</f>
        <v>SOEHN, Keegan</v>
      </c>
      <c r="D4" s="11" t="str">
        <f>IF(B4&gt;MAX('TRA-M'!A:A),"",INDEX('TRA-M'!I:I,MATCH(B4,'TRA-M'!A:A,0)))</f>
        <v>Excellence</v>
      </c>
      <c r="E4" s="28"/>
      <c r="F4" s="28"/>
    </row>
    <row r="5" spans="1:12" x14ac:dyDescent="0.2">
      <c r="A5" s="11"/>
      <c r="B5" s="11">
        <v>4</v>
      </c>
      <c r="C5" s="11" t="str">
        <f>IF(B5&gt;MAX('TRA-M'!A:A),"",INDEX('TRA-M'!B:B,MATCH(B5,'TRA-M'!A:A,0)))</f>
        <v>CRANHAM, Jacob</v>
      </c>
      <c r="D5" s="11" t="str">
        <f>IF(B5&gt;MAX('TRA-M'!A:A),"",INDEX('TRA-M'!I:I,MATCH(B5,'TRA-M'!A:A,0)))</f>
        <v>Worlds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SHUH, Nathan</v>
      </c>
      <c r="D6" s="11" t="str">
        <f>IF(B6&gt;MAX('TRA-M'!A:A),"",INDEX('TRA-M'!I:I,MATCH(B6,'TRA-M'!A:A,0)))</f>
        <v>Worlds Team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BLAKELY, Zachary</v>
      </c>
      <c r="D7" s="11" t="str">
        <f>IF(B7&gt;MAX('TRA-M'!A:A),"",INDEX('TRA-M'!I:I,MATCH(B7,'TRA-M'!A:A,0)))</f>
        <v>National Team</v>
      </c>
      <c r="G7" s="55"/>
    </row>
    <row r="8" spans="1:12" x14ac:dyDescent="0.2">
      <c r="A8" s="11"/>
      <c r="B8" s="11">
        <v>7</v>
      </c>
      <c r="C8" s="11" t="str">
        <f>IF(B8&gt;MAX('TRA-M'!A:A),"",INDEX('TRA-M'!B:B,MATCH(B8,'TRA-M'!A:A,0)))</f>
        <v>LAGACÉ, Benjamin</v>
      </c>
      <c r="D8" s="11" t="str">
        <f>IF(B8&gt;MAX('TRA-M'!A:A),"",INDEX('TRA-M'!I:I,MATCH(B8,'TRA-M'!A:A,0)))</f>
        <v>National Team</v>
      </c>
      <c r="G8" s="55"/>
    </row>
    <row r="9" spans="1:12" hidden="1" x14ac:dyDescent="0.2">
      <c r="A9" s="11"/>
      <c r="B9" s="11">
        <v>8</v>
      </c>
      <c r="C9" s="11" t="str">
        <f>IF(B9&gt;MAX('TRA-M'!A:A),"",INDEX('TRA-M'!B:B,MATCH(B9,'TRA-M'!A:A,0)))</f>
        <v/>
      </c>
      <c r="D9" s="11" t="str">
        <f>IF(B9&gt;MAX('TRA-M'!A:A),"",INDEX('TRA-M'!I:I,MATCH(B9,'TRA-M'!A:A,0)))</f>
        <v/>
      </c>
    </row>
    <row r="10" spans="1:12" x14ac:dyDescent="0.2">
      <c r="A10" s="14" t="s">
        <v>72</v>
      </c>
      <c r="B10" s="14">
        <v>1</v>
      </c>
      <c r="C10" s="14" t="str">
        <f>IF(B2&gt;MAX('TRA-W'!A:A),"",INDEX('TRA-W'!B:B,MATCH(B2,'TRA-W'!A:A,0)))</f>
        <v>MacLENNAN, Rosannagh</v>
      </c>
      <c r="D10" s="14" t="str">
        <f>IF(B2&gt;MAX('TRA-W'!A:A),"",INDEX('TRA-W'!I:I,MATCH(B2,'TRA-W'!A:A,0)))</f>
        <v>Merit</v>
      </c>
    </row>
    <row r="11" spans="1:12" x14ac:dyDescent="0.2">
      <c r="A11" s="14"/>
      <c r="B11" s="14">
        <v>2</v>
      </c>
      <c r="C11" s="14" t="str">
        <f>IF(B3&gt;MAX('TRA-W'!A:A),"",INDEX('TRA-W'!B:B,MATCH(B3,'TRA-W'!A:A,0)))</f>
        <v>MILETTE, Sarah</v>
      </c>
      <c r="D11" s="14" t="str">
        <f>IF(B3&gt;MAX('TRA-W'!A:A),"",INDEX('TRA-W'!I:I,MATCH(B3,'TRA-W'!A:A,0)))</f>
        <v>Merit</v>
      </c>
    </row>
    <row r="12" spans="1:12" x14ac:dyDescent="0.2">
      <c r="A12" s="14"/>
      <c r="B12" s="14">
        <v>3</v>
      </c>
      <c r="C12" s="14" t="str">
        <f>IF(B4&gt;MAX('TRA-W'!A:A),"",INDEX('TRA-W'!B:B,MATCH(B4,'TRA-W'!A:A,0)))</f>
        <v>SMITH, Samantha</v>
      </c>
      <c r="D12" s="14" t="str">
        <f>IF(B4&gt;MAX('TRA-W'!A:A),"",INDEX('TRA-W'!I:I,MATCH(B4,'TRA-W'!A:A,0)))</f>
        <v>Merit</v>
      </c>
    </row>
    <row r="13" spans="1:12" x14ac:dyDescent="0.2">
      <c r="A13" s="14"/>
      <c r="B13" s="14">
        <v>4</v>
      </c>
      <c r="C13" s="14" t="str">
        <f>IF(B5&gt;MAX('TRA-W'!A:A),"",INDEX('TRA-W'!B:B,MATCH(B5,'TRA-W'!A:A,0)))</f>
        <v>MÉTHOT, Sophiane</v>
      </c>
      <c r="D13" s="14" t="str">
        <f>IF(B5&gt;MAX('TRA-W'!A:A),"",INDEX('TRA-W'!I:I,MATCH(B5,'TRA-W'!A:A,0)))</f>
        <v>Worlds Team</v>
      </c>
    </row>
    <row r="14" spans="1:12" x14ac:dyDescent="0.2">
      <c r="A14" s="14"/>
      <c r="B14" s="14">
        <v>5</v>
      </c>
      <c r="C14" s="14" t="str">
        <f>IF(B6&gt;MAX('TRA-W'!A:A),"",INDEX('TRA-W'!B:B,MATCH(B6,'TRA-W'!A:A,0)))</f>
        <v>TAM, Rachel</v>
      </c>
      <c r="D14" s="14" t="str">
        <f>IF(B6&gt;MAX('TRA-W'!A:A),"",INDEX('TRA-W'!I:I,MATCH(B6,'TRA-W'!A:A,0)))</f>
        <v>Excellence</v>
      </c>
    </row>
    <row r="15" spans="1:12" x14ac:dyDescent="0.2">
      <c r="A15" s="14"/>
      <c r="B15" s="14">
        <v>6</v>
      </c>
      <c r="C15" s="14" t="str">
        <f>IF(B7&gt;MAX('TRA-W'!A:A),"",INDEX('TRA-W'!B:B,MATCH(B7,'TRA-W'!A:A,0)))</f>
        <v>CIRONE, Domenica</v>
      </c>
      <c r="D15" s="14" t="str">
        <f>IF(B7&gt;MAX('TRA-W'!A:A),"",INDEX('TRA-W'!I:I,MATCH(B7,'TRA-W'!A:A,0)))</f>
        <v>Worlds Team</v>
      </c>
    </row>
    <row r="16" spans="1:12" x14ac:dyDescent="0.2">
      <c r="A16" s="14"/>
      <c r="B16" s="14">
        <v>7</v>
      </c>
      <c r="C16" s="14" t="str">
        <f>IF(B8&gt;MAX('TRA-W'!A:A),"",INDEX('TRA-W'!B:B,MATCH(B8,'TRA-W'!A:A,0)))</f>
        <v>MADIGAN, Mariah</v>
      </c>
      <c r="D16" s="14" t="str">
        <f>IF(B8&gt;MAX('TRA-W'!A:A),"",INDEX('TRA-W'!I:I,MATCH(B8,'TRA-W'!A:A,0)))</f>
        <v>Worlds Team</v>
      </c>
      <c r="J16" s="54"/>
    </row>
    <row r="17" spans="1:10" hidden="1" x14ac:dyDescent="0.2">
      <c r="A17" s="14"/>
      <c r="B17" s="14">
        <v>8</v>
      </c>
      <c r="C17" s="14" t="str">
        <f>IF(B9&gt;MAX('TRA-W'!A:A),"",INDEX('TRA-W'!B:B,MATCH(B9,'TRA-W'!A:A,0)))</f>
        <v/>
      </c>
      <c r="D17" s="14" t="str">
        <f>IF(B9&gt;MAX('TRA-W'!A:A),"",INDEX('TRA-W'!I:I,MATCH(B9,'TRA-W'!A:A,0)))</f>
        <v/>
      </c>
      <c r="J17" s="54"/>
    </row>
    <row r="18" spans="1:10" x14ac:dyDescent="0.2">
      <c r="A18" s="11" t="s">
        <v>73</v>
      </c>
      <c r="B18" s="11">
        <v>1</v>
      </c>
      <c r="C18" s="11" t="str">
        <f>IF(B2&gt;MAX('SYN-M'!A:A),"",INDEX('SYN-M'!B:B,MATCH(B2,'SYN-M'!A:A,0)))</f>
        <v>CHARTIER &amp; SOEHN</v>
      </c>
      <c r="D18" s="11" t="str">
        <f>IF(B2&gt;MAX('SYN-M'!A:A),"",INDEX('SYN-M'!I:I,MATCH(B2,'SYN-M'!A:A,0)))</f>
        <v>National Team</v>
      </c>
      <c r="J18" s="54"/>
    </row>
    <row r="19" spans="1:10" x14ac:dyDescent="0.2">
      <c r="A19" s="11"/>
      <c r="B19" s="11">
        <v>2</v>
      </c>
      <c r="C19" s="11" t="str">
        <f>IF(B3&gt;MAX('SYN-M'!A:A),"",INDEX('SYN-M'!B:B,MATCH(B3,'SYN-M'!A:A,0)))</f>
        <v>SHUH &amp; SOEHN</v>
      </c>
      <c r="D19" s="11" t="str">
        <f>IF(B3&gt;MAX('SYN-M'!A:A),"",INDEX('SYN-M'!I:I,MATCH(B3,'SYN-M'!A:A,0)))</f>
        <v>Worlds Team</v>
      </c>
      <c r="J19" s="54"/>
    </row>
    <row r="20" spans="1:10" x14ac:dyDescent="0.2">
      <c r="A20" s="11"/>
      <c r="B20" s="11">
        <v>3</v>
      </c>
      <c r="C20" s="11" t="str">
        <f>IF(B4&gt;MAX('SYN-M'!A:A),"",INDEX('SYN-M'!B:B,MATCH(B4,'SYN-M'!A:A,0)))</f>
        <v>BURNETT &amp; CHARTIER</v>
      </c>
      <c r="D20" s="11" t="str">
        <f>IF(B4&gt;MAX('SYN-M'!A:A),"",INDEX('SYN-M'!I:I,MATCH(B4,'SYN-M'!A:A,0)))</f>
        <v>National Team</v>
      </c>
    </row>
    <row r="21" spans="1:10" hidden="1" x14ac:dyDescent="0.2">
      <c r="A21" s="11"/>
      <c r="B21" s="11">
        <v>4</v>
      </c>
      <c r="C21" s="11" t="str">
        <f>IF(B5&gt;MAX('SYN-M'!A:A),"",INDEX('SYN-M'!B:B,MATCH(B5,'SYN-M'!A:A,0)))</f>
        <v/>
      </c>
      <c r="D21" s="11" t="str">
        <f>IF(B5&gt;MAX('SYN-M'!A:A),"",INDEX('SYN-M'!I:I,MATCH(B5,'SYN-M'!A:A,0)))</f>
        <v/>
      </c>
    </row>
    <row r="22" spans="1:10" x14ac:dyDescent="0.2">
      <c r="A22" s="14" t="s">
        <v>74</v>
      </c>
      <c r="B22" s="14">
        <v>1</v>
      </c>
      <c r="C22" s="14" t="str">
        <f>IF(B2&gt;MAX('SYN-W'!A:A),"",INDEX('SYN-W'!B:B,MATCH(B2,'SYN-W'!A:A,0)))</f>
        <v>MILETTE &amp; TAM</v>
      </c>
      <c r="D22" s="14" t="str">
        <f>IF(B2&gt;MAX('SYN-W'!A:A),"",INDEX('SYN-W'!I:I,MATCH(B2,'SYN-W'!A:A,0)))</f>
        <v>National Team</v>
      </c>
    </row>
    <row r="23" spans="1:10" x14ac:dyDescent="0.2">
      <c r="A23" s="14"/>
      <c r="B23" s="14">
        <v>2</v>
      </c>
      <c r="C23" s="14" t="str">
        <f>IF(B3&gt;MAX('SYN-W'!A:A),"",INDEX('SYN-W'!B:B,MATCH(B3,'SYN-W'!A:A,0)))</f>
        <v>MACLENNAN &amp; MILETTE</v>
      </c>
      <c r="D23" s="14" t="str">
        <f>IF(B3&gt;MAX('SYN-W'!A:A),"",INDEX('SYN-W'!I:I,MATCH(B3,'SYN-W'!A:A,0)))</f>
        <v>National Team</v>
      </c>
    </row>
    <row r="24" spans="1:10" x14ac:dyDescent="0.2">
      <c r="A24" s="14"/>
      <c r="B24" s="14">
        <v>3</v>
      </c>
      <c r="C24" s="14" t="str">
        <f>IF(B4&gt;MAX('SYN-W'!A:A),"",INDEX('SYN-W'!B:B,MATCH(B4,'SYN-W'!A:A,0)))</f>
        <v>SMITH &amp; TAM</v>
      </c>
      <c r="D24" s="14" t="str">
        <f>IF(B4&gt;MAX('SYN-W'!A:A),"",INDEX('SYN-W'!I:I,MATCH(B4,'SYN-W'!A:A,0)))</f>
        <v>Merit</v>
      </c>
    </row>
    <row r="25" spans="1:10" x14ac:dyDescent="0.2">
      <c r="A25" s="14"/>
      <c r="B25" s="14">
        <v>4</v>
      </c>
      <c r="C25" s="14" t="str">
        <f>IF(B5&gt;MAX('SYN-W'!A:A),"",INDEX('SYN-W'!B:B,MATCH(B5,'SYN-W'!A:A,0)))</f>
        <v>BONHAM &amp; FLYNN</v>
      </c>
      <c r="D25" s="14" t="str">
        <f>IF(B5&gt;MAX('SYN-W'!A:A),"",INDEX('SYN-W'!I:I,MATCH(B5,'SYN-W'!A:A,0)))</f>
        <v>No DD</v>
      </c>
    </row>
    <row r="26" spans="1:10" x14ac:dyDescent="0.2">
      <c r="A26" s="11" t="s">
        <v>75</v>
      </c>
      <c r="B26" s="11">
        <v>1</v>
      </c>
      <c r="C26" s="11" t="str">
        <f>IF(B2&gt;MAX('TUM-M'!A:A),"",INDEX('TUM-M'!B:B,MATCH(B2,'TUM-M'!A:A,0)))</f>
        <v>SCHWAIGER, Jonathon</v>
      </c>
      <c r="D26" s="11" t="str">
        <f>IF(B2&gt;MAX('TUM-M'!A:A),"",INDEX('TUM-M'!I:I,MATCH(B2,'TUM-M'!A:A,0)))</f>
        <v>Merit</v>
      </c>
    </row>
    <row r="27" spans="1:10" x14ac:dyDescent="0.2">
      <c r="A27" s="11"/>
      <c r="B27" s="11">
        <v>2</v>
      </c>
      <c r="C27" s="11" t="str">
        <f>IF(B3&gt;MAX('TUM-M'!A:A),"",INDEX('TUM-M'!B:B,MATCH(B3,'TUM-M'!A:A,0)))</f>
        <v>FERNANDES, Antonio</v>
      </c>
      <c r="D27" s="11" t="str">
        <f>IF(B3&gt;MAX('TUM-M'!A:A),"",INDEX('TUM-M'!I:I,MATCH(B3,'TUM-M'!A:A,0)))</f>
        <v>Worlds Team</v>
      </c>
    </row>
    <row r="28" spans="1:10" x14ac:dyDescent="0.2">
      <c r="A28" s="11"/>
      <c r="B28" s="11">
        <v>3</v>
      </c>
      <c r="C28" s="11" t="str">
        <f>IF(B4&gt;MAX('TUM-M'!A:A),"",INDEX('TUM-M'!B:B,MATCH(B4,'TUM-M'!A:A,0)))</f>
        <v>SUNDQUIST, Callum</v>
      </c>
      <c r="D28" s="11" t="str">
        <f>IF(B4&gt;MAX('TUM-M'!A:A),"",INDEX('TUM-M'!I:I,MATCH(B4,'TUM-M'!A:A,0)))</f>
        <v>National Team</v>
      </c>
    </row>
    <row r="29" spans="1:10" hidden="1" x14ac:dyDescent="0.2">
      <c r="A29" s="11"/>
      <c r="B29" s="11">
        <v>4</v>
      </c>
      <c r="C29" s="11" t="str">
        <f>IF(B5&gt;MAX('TUM-M'!A:A),"",INDEX('TUM-M'!B:B,MATCH(B5,'TUM-M'!A:A,0)))</f>
        <v/>
      </c>
      <c r="D29" s="11" t="str">
        <f>IF(B5&gt;MAX('TUM-M'!A:A),"",INDEX('TUM-M'!I:I,MATCH(B5,'TUM-M'!A:A,0)))</f>
        <v/>
      </c>
    </row>
    <row r="30" spans="1:10" hidden="1" x14ac:dyDescent="0.2">
      <c r="A30" s="11"/>
      <c r="B30" s="11">
        <v>5</v>
      </c>
      <c r="C30" s="11" t="str">
        <f>IF(B6&gt;MAX('TUM-M'!A:A),"",INDEX('TUM-M'!B:B,MATCH(B6,'TUM-M'!A:A,0)))</f>
        <v/>
      </c>
      <c r="D30" s="11" t="str">
        <f>IF(B6&gt;MAX('TUM-M'!A:A),"",INDEX('TUM-M'!I:I,MATCH(B6,'TUM-M'!A:A,0)))</f>
        <v/>
      </c>
    </row>
    <row r="31" spans="1:10" hidden="1" x14ac:dyDescent="0.2">
      <c r="A31" s="11"/>
      <c r="B31" s="11">
        <v>6</v>
      </c>
      <c r="C31" s="11" t="str">
        <f>IF(B7&gt;MAX('TUM-M'!A:A),"",INDEX('TUM-M'!B:B,MATCH(B7,'TUM-M'!A:A,0)))</f>
        <v/>
      </c>
      <c r="D31" s="11" t="str">
        <f>IF(B7&gt;MAX('TUM-M'!A:A),"",INDEX('TUM-M'!I:I,MATCH(B7,'TUM-M'!A:A,0)))</f>
        <v/>
      </c>
    </row>
    <row r="32" spans="1:10" hidden="1" x14ac:dyDescent="0.2">
      <c r="A32" s="11"/>
      <c r="B32" s="11">
        <v>7</v>
      </c>
      <c r="C32" s="11" t="str">
        <f>IF(B8&gt;MAX('TUM-M'!A:A),"",INDEX('TUM-M'!B:B,MATCH(B8,'TUM-M'!A:A,0)))</f>
        <v/>
      </c>
      <c r="D32" s="11" t="str">
        <f>IF(B8&gt;MAX('TUM-M'!A:A),"",INDEX('TUM-M'!I:I,MATCH(B8,'TUM-M'!A:A,0)))</f>
        <v/>
      </c>
    </row>
    <row r="33" spans="1:4" hidden="1" x14ac:dyDescent="0.2">
      <c r="A33" s="11"/>
      <c r="B33" s="11">
        <v>8</v>
      </c>
      <c r="C33" s="11" t="str">
        <f>IF(B9&gt;MAX('TUM-M'!A:A),"",INDEX('TUM-M'!B:B,MATCH(B9,'TUM-M'!A:A,0)))</f>
        <v/>
      </c>
      <c r="D33" s="11" t="str">
        <f>IF(B9&gt;MAX('TUM-M'!A:A),"",INDEX('TUM-M'!I:I,MATCH(B9,'TUM-M'!A:A,0)))</f>
        <v/>
      </c>
    </row>
    <row r="34" spans="1:4" x14ac:dyDescent="0.2">
      <c r="A34" s="14" t="s">
        <v>76</v>
      </c>
      <c r="B34" s="14">
        <v>1</v>
      </c>
      <c r="C34" s="14" t="str">
        <f>IF(B2&gt;MAX('TUM-W'!A:A),"",INDEX('TUM-W'!B:B,MATCH(B2,'TUM-W'!A:A,0)))</f>
        <v>SUGRIM, Jordan</v>
      </c>
      <c r="D34" s="14" t="str">
        <f>IF(B2&gt;MAX('TUM-W'!A:A),"",INDEX('TUM-W'!I:I,MATCH(B2,'TUM-W'!A:A,0)))</f>
        <v>Merit</v>
      </c>
    </row>
    <row r="35" spans="1:4" x14ac:dyDescent="0.2">
      <c r="A35" s="14"/>
      <c r="B35" s="14">
        <v>2</v>
      </c>
      <c r="C35" s="14" t="str">
        <f>IF(B3&gt;MAX('TUM-W'!A:A),"",INDEX('TUM-W'!B:B,MATCH(B3,'TUM-W'!A:A,0)))</f>
        <v>HIPEL, Zoe</v>
      </c>
      <c r="D35" s="14" t="str">
        <f>IF(B3&gt;MAX('TUM-W'!A:A),"",INDEX('TUM-W'!I:I,MATCH(B3,'TUM-W'!A:A,0)))</f>
        <v>Excellence</v>
      </c>
    </row>
    <row r="36" spans="1:4" hidden="1" x14ac:dyDescent="0.2">
      <c r="A36" s="14"/>
      <c r="B36" s="14">
        <v>3</v>
      </c>
      <c r="C36" s="14" t="str">
        <f>IF(B4&gt;MAX('TUM-W'!A:A),"",INDEX('TUM-W'!B:B,MATCH(B4,'TUM-W'!A:A,0)))</f>
        <v/>
      </c>
      <c r="D36" s="14" t="str">
        <f>IF(B4&gt;MAX('TUM-W'!A:A),"",INDEX('TUM-W'!I:I,MATCH(B4,'TUM-W'!A:A,0)))</f>
        <v/>
      </c>
    </row>
    <row r="37" spans="1:4" hidden="1" x14ac:dyDescent="0.2">
      <c r="A37" s="14"/>
      <c r="B37" s="14">
        <v>4</v>
      </c>
      <c r="C37" s="14" t="str">
        <f>IF(B5&gt;MAX('TUM-W'!A:A),"",INDEX('TUM-W'!B:B,MATCH(B5,'TUM-W'!A:A,0)))</f>
        <v/>
      </c>
      <c r="D37" s="14" t="str">
        <f>IF(B5&gt;MAX('TUM-W'!A:A),"",INDEX('TUM-W'!I:I,MATCH(B5,'TUM-W'!A:A,0)))</f>
        <v/>
      </c>
    </row>
    <row r="38" spans="1:4" hidden="1" x14ac:dyDescent="0.2">
      <c r="A38" s="14"/>
      <c r="B38" s="14">
        <v>5</v>
      </c>
      <c r="C38" s="14" t="str">
        <f>IF(B6&gt;MAX('TUM-W'!A:A),"",INDEX('TUM-W'!B:B,MATCH(B6,'TUM-W'!A:A,0)))</f>
        <v/>
      </c>
      <c r="D38" s="14" t="str">
        <f>IF(B6&gt;MAX('TUM-W'!A:A),"",INDEX('TUM-W'!I:I,MATCH(B6,'TUM-W'!A:A,0)))</f>
        <v/>
      </c>
    </row>
    <row r="39" spans="1:4" hidden="1" x14ac:dyDescent="0.2">
      <c r="A39" s="14"/>
      <c r="B39" s="14">
        <v>6</v>
      </c>
      <c r="C39" s="14" t="str">
        <f>IF(B7&gt;MAX('TUM-W'!A:A),"",INDEX('TUM-W'!B:B,MATCH(B7,'TUM-W'!A:A,0)))</f>
        <v/>
      </c>
      <c r="D39" s="14" t="str">
        <f>IF(B7&gt;MAX('TUM-W'!A:A),"",INDEX('TUM-W'!I:I,MATCH(B7,'TUM-W'!A:A,0)))</f>
        <v/>
      </c>
    </row>
    <row r="40" spans="1:4" hidden="1" x14ac:dyDescent="0.2">
      <c r="A40" s="14"/>
      <c r="B40" s="14">
        <v>7</v>
      </c>
      <c r="C40" s="14" t="str">
        <f>IF(B8&gt;MAX('TUM-W'!A:A),"",INDEX('TUM-W'!B:B,MATCH(B8,'TUM-W'!A:A,0)))</f>
        <v/>
      </c>
      <c r="D40" s="14" t="str">
        <f>IF(B8&gt;MAX('TUM-W'!A:A),"",INDEX('TUM-W'!I:I,MATCH(B8,'TUM-W'!A:A,0)))</f>
        <v/>
      </c>
    </row>
    <row r="41" spans="1:4" hidden="1" x14ac:dyDescent="0.2">
      <c r="A41" s="14"/>
      <c r="B41" s="14">
        <v>8</v>
      </c>
      <c r="C41" s="14" t="str">
        <f>IF(B9&gt;MAX('TUM-W'!A:A),"",INDEX('TUM-W'!B:B,MATCH(B9,'TUM-W'!A:A,0)))</f>
        <v/>
      </c>
      <c r="D41" s="14" t="str">
        <f>IF(B9&gt;MAX('TUM-W'!A:A),"",INDEX('TUM-W'!I:I,MATCH(B9,'TUM-W'!A:A,0)))</f>
        <v/>
      </c>
    </row>
    <row r="42" spans="1:4" x14ac:dyDescent="0.2">
      <c r="A42" s="11" t="s">
        <v>77</v>
      </c>
      <c r="B42" s="11">
        <v>1</v>
      </c>
      <c r="C42" s="11" t="str">
        <f>IF(B2&gt;MAX('DMT-M'!A:A),"",INDEX('DMT-M'!B:B,MATCH(B2,'DMT-M'!A:A,0)))</f>
        <v>BRUNO, Mario</v>
      </c>
      <c r="D42" s="11" t="str">
        <f>IF(B2&gt;MAX('DMT-M'!A:A),"",INDEX('DMT-M'!I:I,MATCH(B2,'DMT-M'!A:A,0)))</f>
        <v>Merit</v>
      </c>
    </row>
    <row r="43" spans="1:4" x14ac:dyDescent="0.2">
      <c r="A43" s="11"/>
      <c r="B43" s="11">
        <v>2</v>
      </c>
      <c r="C43" s="11" t="str">
        <f>IF(B3&gt;MAX('DMT-M'!A:A),"",INDEX('DMT-M'!B:B,MATCH(B3,'DMT-M'!A:A,0)))</f>
        <v>SCHWAIGER, Jonathon</v>
      </c>
      <c r="D43" s="11" t="str">
        <f>IF(B3&gt;MAX('DMT-M'!A:A),"",INDEX('DMT-M'!I:I,MATCH(B3,'DMT-M'!A:A,0)))</f>
        <v>Excellence</v>
      </c>
    </row>
    <row r="44" spans="1:4" x14ac:dyDescent="0.2">
      <c r="A44" s="11"/>
      <c r="B44" s="11">
        <v>3</v>
      </c>
      <c r="C44" s="11" t="str">
        <f>IF(B4&gt;MAX('DMT-M'!A:A),"",INDEX('DMT-M'!B:B,MATCH(B4,'DMT-M'!A:A,0)))</f>
        <v>ARMSTRONG, Mark</v>
      </c>
      <c r="D44" s="11" t="str">
        <f>IF(B4&gt;MAX('DMT-M'!A:A),"",INDEX('DMT-M'!I:I,MATCH(B4,'DMT-M'!A:A,0)))</f>
        <v>National Team</v>
      </c>
    </row>
    <row r="45" spans="1:4" x14ac:dyDescent="0.2">
      <c r="A45" s="11"/>
      <c r="B45" s="11">
        <v>4</v>
      </c>
      <c r="C45" s="11" t="str">
        <f>IF(B5&gt;MAX('DMT-M'!A:A),"",INDEX('DMT-M'!B:B,MATCH(B5,'DMT-M'!A:A,0)))</f>
        <v>CHATEAUVERT, Émile</v>
      </c>
      <c r="D45" s="11" t="str">
        <f>IF(B5&gt;MAX('DMT-M'!A:A),"",INDEX('DMT-M'!I:I,MATCH(B5,'DMT-M'!A:A,0)))</f>
        <v>National Team</v>
      </c>
    </row>
    <row r="46" spans="1:4" x14ac:dyDescent="0.2">
      <c r="A46" s="11"/>
      <c r="B46" s="11">
        <v>5</v>
      </c>
      <c r="C46" s="11" t="str">
        <f>IF(B6&gt;MAX('DMT-M'!A:A),"",INDEX('DMT-M'!B:B,MATCH(B6,'DMT-M'!A:A,0)))</f>
        <v>BLAKELY, Zachary</v>
      </c>
      <c r="D46" s="11" t="str">
        <f>IF(B6&gt;MAX('DMT-M'!A:A),"",INDEX('DMT-M'!I:I,MATCH(B6,'DMT-M'!A:A,0)))</f>
        <v>No DD</v>
      </c>
    </row>
    <row r="47" spans="1:4" x14ac:dyDescent="0.2">
      <c r="A47" s="11"/>
      <c r="B47" s="11">
        <v>6</v>
      </c>
      <c r="C47" s="11" t="str">
        <f>IF(B7&gt;MAX('DMT-M'!A:A),"",INDEX('DMT-M'!B:B,MATCH(B7,'DMT-M'!A:A,0)))</f>
        <v>DAWSON, David</v>
      </c>
      <c r="D47" s="11" t="str">
        <f>IF(B7&gt;MAX('DMT-M'!A:A),"",INDEX('DMT-M'!I:I,MATCH(B7,'DMT-M'!A:A,0)))</f>
        <v>No DD</v>
      </c>
    </row>
    <row r="48" spans="1:4" x14ac:dyDescent="0.2">
      <c r="A48" s="11"/>
      <c r="B48" s="11">
        <v>7</v>
      </c>
      <c r="C48" s="11" t="str">
        <f>IF(B8&gt;MAX('DMT-M'!A:A),"",INDEX('DMT-M'!B:B,MATCH(B8,'DMT-M'!A:A,0)))</f>
        <v>CHAMPAGNE, Tyler</v>
      </c>
      <c r="D48" s="11" t="str">
        <f>IF(B8&gt;MAX('DMT-M'!A:A),"",INDEX('DMT-M'!I:I,MATCH(B8,'DMT-M'!A:A,0)))</f>
        <v>No DD</v>
      </c>
    </row>
    <row r="49" spans="1:5" x14ac:dyDescent="0.2">
      <c r="A49" s="11"/>
      <c r="B49" s="11">
        <v>8</v>
      </c>
      <c r="C49" s="11" t="str">
        <f>IF(B9&gt;MAX('DMT-M'!A:A),"",INDEX('DMT-M'!B:B,MATCH(B9,'DMT-M'!A:A,0)))</f>
        <v>LEFAIVRE, Justin</v>
      </c>
      <c r="D49" s="11" t="str">
        <f>IF(B9&gt;MAX('DMT-M'!A:A),"",INDEX('DMT-M'!I:I,MATCH(B9,'DMT-M'!A:A,0)))</f>
        <v>No DD</v>
      </c>
    </row>
    <row r="50" spans="1:5" x14ac:dyDescent="0.2">
      <c r="A50" s="14" t="s">
        <v>78</v>
      </c>
      <c r="B50" s="14">
        <v>1</v>
      </c>
      <c r="C50" s="14" t="str">
        <f>IF(B2&gt;MAX('DMT-W'!A:A),"",INDEX('DMT-W'!B:B,MATCH(B2,'DMT-W'!A:A,0)))</f>
        <v>MILLER-BURKO, Jordyn</v>
      </c>
      <c r="D50" s="14" t="str">
        <f>IF(B2&gt;MAX('DMT-W'!A:A),"",INDEX('DMT-W'!I:I,MATCH(B2,'DMT-W'!A:A,0)))</f>
        <v>Merit</v>
      </c>
    </row>
    <row r="51" spans="1:5" x14ac:dyDescent="0.2">
      <c r="A51" s="14"/>
      <c r="B51" s="14">
        <v>2</v>
      </c>
      <c r="C51" s="14" t="str">
        <f>IF(B3&gt;MAX('DMT-W'!A:A),"",INDEX('DMT-W'!B:B,MATCH(B3,'DMT-W'!A:A,0)))</f>
        <v>ROUX, Laurence</v>
      </c>
      <c r="D51" s="14" t="str">
        <f>IF(B3&gt;MAX('DMT-W'!A:A),"",INDEX('DMT-W'!I:I,MATCH(B3,'DMT-W'!A:A,0)))</f>
        <v>Merit</v>
      </c>
    </row>
    <row r="52" spans="1:5" x14ac:dyDescent="0.2">
      <c r="A52" s="14"/>
      <c r="B52" s="14">
        <v>3</v>
      </c>
      <c r="C52" s="14" t="str">
        <f>IF(B4&gt;MAX('DMT-W'!A:A),"",INDEX('DMT-W'!B:B,MATCH(B4,'DMT-W'!A:A,0)))</f>
        <v>SOEHN, Kalena</v>
      </c>
      <c r="D52" s="14" t="str">
        <f>IF(B4&gt;MAX('DMT-W'!A:A),"",INDEX('DMT-W'!I:I,MATCH(B4,'DMT-W'!A:A,0)))</f>
        <v>Excellence</v>
      </c>
    </row>
    <row r="53" spans="1:5" x14ac:dyDescent="0.2">
      <c r="A53" s="14"/>
      <c r="B53" s="14">
        <v>4</v>
      </c>
      <c r="C53" s="14" t="str">
        <f>IF(B5&gt;MAX('DMT-W'!A:A),"",INDEX('DMT-W'!B:B,MATCH(B5,'DMT-W'!A:A,0)))</f>
        <v>GRIEVE, Danielle</v>
      </c>
      <c r="D53" s="14" t="str">
        <f>IF(B5&gt;MAX('DMT-W'!A:A),"",INDEX('DMT-W'!I:I,MATCH(B5,'DMT-W'!A:A,0)))</f>
        <v>Merit</v>
      </c>
    </row>
    <row r="54" spans="1:5" x14ac:dyDescent="0.2">
      <c r="A54" s="14"/>
      <c r="B54" s="14">
        <v>5</v>
      </c>
      <c r="C54" s="14" t="str">
        <f>IF(B6&gt;MAX('DMT-W'!A:A),"",INDEX('DMT-W'!B:B,MATCH(B6,'DMT-W'!A:A,0)))</f>
        <v>NAKONECHNI, Haley</v>
      </c>
      <c r="D54" s="14" t="str">
        <f>IF(B6&gt;MAX('DMT-W'!A:A),"",INDEX('DMT-W'!I:I,MATCH(B6,'DMT-W'!A:A,0)))</f>
        <v>National Team</v>
      </c>
    </row>
    <row r="55" spans="1:5" hidden="1" x14ac:dyDescent="0.2">
      <c r="A55" s="14"/>
      <c r="B55" s="14">
        <v>6</v>
      </c>
      <c r="C55" s="14" t="str">
        <f>IF(B7&gt;MAX('DMT-W'!A:A),"",INDEX('DMT-W'!B:B,MATCH(B7,'DMT-W'!A:A,0)))</f>
        <v/>
      </c>
      <c r="D55" s="14" t="str">
        <f>IF(B7&gt;MAX('DMT-W'!A:A),"",INDEX('DMT-W'!I:I,MATCH(B7,'DMT-W'!A:A,0)))</f>
        <v/>
      </c>
    </row>
    <row r="56" spans="1:5" hidden="1" x14ac:dyDescent="0.2">
      <c r="A56" s="14"/>
      <c r="B56" s="14">
        <v>7</v>
      </c>
      <c r="C56" s="14" t="str">
        <f>IF(B8&gt;MAX('DMT-W'!A:A),"",INDEX('DMT-W'!B:B,MATCH(B8,'DMT-W'!A:A,0)))</f>
        <v/>
      </c>
      <c r="D56" s="14" t="str">
        <f>IF(B8&gt;MAX('DMT-W'!A:A),"",INDEX('DMT-W'!I:I,MATCH(B8,'DMT-W'!A:A,0)))</f>
        <v/>
      </c>
    </row>
    <row r="57" spans="1:5" hidden="1" x14ac:dyDescent="0.2">
      <c r="A57" s="14"/>
      <c r="B57" s="14">
        <v>8</v>
      </c>
      <c r="C57" s="14" t="str">
        <f>IF(B9&gt;MAX('DMT-W'!A:A),"",INDEX('DMT-W'!B:B,MATCH(B9,'DMT-W'!A:A,0)))</f>
        <v/>
      </c>
      <c r="D57" s="14" t="str">
        <f>IF(B9&gt;MAX('DMT-W'!A:A),"",INDEX('DMT-W'!I:I,MATCH(B9,'DMT-W'!A:A,0)))</f>
        <v/>
      </c>
    </row>
    <row r="59" spans="1:5" x14ac:dyDescent="0.2">
      <c r="B59" s="54" t="s">
        <v>64</v>
      </c>
    </row>
    <row r="60" spans="1:5" x14ac:dyDescent="0.2">
      <c r="B60" s="54" t="s">
        <v>62</v>
      </c>
    </row>
    <row r="61" spans="1:5" x14ac:dyDescent="0.2">
      <c r="B61" s="54" t="s">
        <v>63</v>
      </c>
    </row>
    <row r="62" spans="1:5" x14ac:dyDescent="0.2">
      <c r="B62" s="28" t="s">
        <v>105</v>
      </c>
      <c r="D62" s="54" t="s">
        <v>103</v>
      </c>
    </row>
    <row r="63" spans="1:5" x14ac:dyDescent="0.2">
      <c r="B63" s="28" t="s">
        <v>153</v>
      </c>
      <c r="D63" s="54" t="s">
        <v>103</v>
      </c>
      <c r="E63" t="s">
        <v>103</v>
      </c>
    </row>
    <row r="64" spans="1:5" x14ac:dyDescent="0.2">
      <c r="B64" s="54" t="s">
        <v>104</v>
      </c>
      <c r="D64" s="54"/>
    </row>
    <row r="65" spans="1:4" x14ac:dyDescent="0.2">
      <c r="B65" s="54" t="s">
        <v>182</v>
      </c>
      <c r="D65" s="54"/>
    </row>
    <row r="66" spans="1:4" x14ac:dyDescent="0.2">
      <c r="A66" t="s">
        <v>71</v>
      </c>
      <c r="B66" s="119">
        <v>43806</v>
      </c>
      <c r="C66" s="119"/>
    </row>
    <row r="67" spans="1:4" x14ac:dyDescent="0.2">
      <c r="B67" s="116" t="s">
        <v>183</v>
      </c>
    </row>
    <row r="68" spans="1:4" x14ac:dyDescent="0.2">
      <c r="B68" s="116" t="s">
        <v>191</v>
      </c>
    </row>
    <row r="69" spans="1:4" x14ac:dyDescent="0.2">
      <c r="B69" s="54"/>
    </row>
    <row r="70" spans="1:4" x14ac:dyDescent="0.2">
      <c r="B70" s="54"/>
    </row>
    <row r="71" spans="1:4" x14ac:dyDescent="0.2">
      <c r="B71" s="54"/>
    </row>
  </sheetData>
  <sheetProtection formatCells="0" formatColumns="0" formatRows="0"/>
  <mergeCells count="1">
    <mergeCell ref="B66:C66"/>
  </mergeCells>
  <conditionalFormatting sqref="D2:D57">
    <cfRule type="containsText" dxfId="209" priority="1" operator="containsText" text="No DD">
      <formula>NOT(ISERROR(SEARCH("No DD",D2)))</formula>
    </cfRule>
    <cfRule type="containsText" dxfId="208" priority="4" operator="containsText" text="Merit">
      <formula>NOT(ISERROR(SEARCH("Merit",D2)))</formula>
    </cfRule>
    <cfRule type="containsText" dxfId="207" priority="5" operator="containsText" text="Excellence">
      <formula>NOT(ISERROR(SEARCH("Excellence",D2)))</formula>
    </cfRule>
    <cfRule type="containsText" dxfId="206" priority="6" operator="containsText" text="Worlds Team">
      <formula>NOT(ISERROR(SEARCH("Worlds Team",D2)))</formula>
    </cfRule>
    <cfRule type="containsText" dxfId="2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98</v>
      </c>
      <c r="E1" s="124" t="s">
        <v>2</v>
      </c>
      <c r="F1" s="125" t="s">
        <v>82</v>
      </c>
      <c r="G1" s="125" t="s">
        <v>81</v>
      </c>
      <c r="H1" s="124" t="s">
        <v>15</v>
      </c>
      <c r="I1" s="124" t="s">
        <v>16</v>
      </c>
      <c r="J1" s="126" t="s">
        <v>17</v>
      </c>
      <c r="K1" s="126" t="s">
        <v>59</v>
      </c>
      <c r="L1" s="126" t="s">
        <v>18</v>
      </c>
      <c r="M1" s="126" t="s">
        <v>59</v>
      </c>
      <c r="N1" s="126" t="s">
        <v>19</v>
      </c>
      <c r="O1" s="126" t="s">
        <v>59</v>
      </c>
      <c r="P1" s="126" t="s">
        <v>20</v>
      </c>
      <c r="Q1" s="126" t="s">
        <v>59</v>
      </c>
      <c r="R1" s="127" t="s">
        <v>21</v>
      </c>
      <c r="S1" s="126" t="s">
        <v>60</v>
      </c>
      <c r="T1" s="126" t="s">
        <v>59</v>
      </c>
      <c r="U1" s="120" t="s">
        <v>138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156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130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134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155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171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172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180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 t="s">
        <v>188</v>
      </c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 t="s">
        <v>190</v>
      </c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 t="s">
        <v>194</v>
      </c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/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133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79"/>
      <c r="AK2" s="37" t="s">
        <v>120</v>
      </c>
      <c r="AL2" s="10" t="s">
        <v>28</v>
      </c>
      <c r="AM2" s="10" t="s">
        <v>29</v>
      </c>
      <c r="AN2" s="10" t="s">
        <v>31</v>
      </c>
      <c r="AO2" s="10" t="s">
        <v>152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78"/>
      <c r="BH2" s="38" t="s">
        <v>120</v>
      </c>
      <c r="BI2" s="13" t="s">
        <v>28</v>
      </c>
      <c r="BJ2" s="13" t="s">
        <v>29</v>
      </c>
      <c r="BK2" s="13" t="s">
        <v>31</v>
      </c>
      <c r="BL2" s="13" t="s">
        <v>152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37" t="s">
        <v>120</v>
      </c>
      <c r="CI2" s="10" t="s">
        <v>28</v>
      </c>
      <c r="CJ2" s="10" t="s">
        <v>29</v>
      </c>
      <c r="CK2" s="10" t="s">
        <v>31</v>
      </c>
      <c r="CL2" s="10" t="s">
        <v>152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38" t="s">
        <v>120</v>
      </c>
      <c r="DE2" s="13" t="s">
        <v>28</v>
      </c>
      <c r="DF2" s="13" t="s">
        <v>29</v>
      </c>
      <c r="DG2" s="13" t="s">
        <v>31</v>
      </c>
      <c r="DH2" s="13" t="s">
        <v>152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37" t="s">
        <v>120</v>
      </c>
      <c r="EA2" s="10" t="s">
        <v>28</v>
      </c>
      <c r="EB2" s="10" t="s">
        <v>29</v>
      </c>
      <c r="EC2" s="10" t="s">
        <v>31</v>
      </c>
      <c r="ED2" s="10" t="s">
        <v>152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38" t="s">
        <v>120</v>
      </c>
      <c r="EW2" s="13" t="s">
        <v>28</v>
      </c>
      <c r="EX2" s="13" t="s">
        <v>29</v>
      </c>
      <c r="EY2" s="13" t="s">
        <v>31</v>
      </c>
      <c r="EZ2" s="13" t="s">
        <v>152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37" t="s">
        <v>120</v>
      </c>
      <c r="FS2" s="10" t="s">
        <v>28</v>
      </c>
      <c r="FT2" s="10" t="s">
        <v>29</v>
      </c>
      <c r="FU2" s="10" t="s">
        <v>31</v>
      </c>
      <c r="FV2" s="10" t="s">
        <v>152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38" t="s">
        <v>120</v>
      </c>
      <c r="GO2" s="13" t="s">
        <v>28</v>
      </c>
      <c r="GP2" s="13" t="s">
        <v>29</v>
      </c>
      <c r="GQ2" s="13" t="s">
        <v>31</v>
      </c>
      <c r="GR2" s="13" t="s">
        <v>152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37" t="s">
        <v>120</v>
      </c>
      <c r="HK2" s="10" t="s">
        <v>28</v>
      </c>
      <c r="HL2" s="10" t="s">
        <v>29</v>
      </c>
      <c r="HM2" s="10" t="s">
        <v>31</v>
      </c>
      <c r="HN2" s="10" t="s">
        <v>152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38" t="s">
        <v>120</v>
      </c>
      <c r="IG2" s="13" t="s">
        <v>28</v>
      </c>
      <c r="IH2" s="13" t="s">
        <v>29</v>
      </c>
      <c r="II2" s="13" t="s">
        <v>31</v>
      </c>
      <c r="IJ2" s="13" t="s">
        <v>152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37" t="s">
        <v>120</v>
      </c>
      <c r="JC2" s="10" t="s">
        <v>28</v>
      </c>
      <c r="JD2" s="10" t="s">
        <v>29</v>
      </c>
      <c r="JE2" s="10" t="s">
        <v>31</v>
      </c>
      <c r="JF2" s="10" t="s">
        <v>152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38" t="s">
        <v>120</v>
      </c>
      <c r="JY2" s="13" t="s">
        <v>28</v>
      </c>
      <c r="JZ2" s="13" t="s">
        <v>29</v>
      </c>
      <c r="KA2" s="13" t="s">
        <v>31</v>
      </c>
      <c r="KB2" s="13" t="s">
        <v>152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37" t="s">
        <v>120</v>
      </c>
      <c r="KU2" s="10" t="s">
        <v>28</v>
      </c>
      <c r="KV2" s="10" t="s">
        <v>29</v>
      </c>
      <c r="KW2" s="10" t="s">
        <v>31</v>
      </c>
      <c r="KX2" s="10" t="s">
        <v>152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38" t="s">
        <v>120</v>
      </c>
      <c r="LQ2" s="13" t="s">
        <v>28</v>
      </c>
      <c r="LR2" s="13" t="s">
        <v>29</v>
      </c>
      <c r="LS2" s="13" t="s">
        <v>31</v>
      </c>
      <c r="LT2" s="13" t="s">
        <v>152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120</v>
      </c>
      <c r="MN2" s="10" t="s">
        <v>28</v>
      </c>
      <c r="MO2" s="10" t="s">
        <v>29</v>
      </c>
      <c r="MP2" s="10" t="s">
        <v>31</v>
      </c>
      <c r="MQ2" s="10" t="s">
        <v>152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37" t="s">
        <v>22</v>
      </c>
      <c r="V3" s="37" t="s">
        <v>23</v>
      </c>
      <c r="W3" s="37" t="s">
        <v>14</v>
      </c>
      <c r="X3" s="37" t="s">
        <v>24</v>
      </c>
      <c r="Y3" s="48" t="s">
        <v>45</v>
      </c>
      <c r="Z3" s="37" t="s">
        <v>22</v>
      </c>
      <c r="AA3" s="37" t="s">
        <v>23</v>
      </c>
      <c r="AB3" s="37" t="s">
        <v>14</v>
      </c>
      <c r="AC3" s="37" t="s">
        <v>24</v>
      </c>
      <c r="AD3" s="48" t="s">
        <v>45</v>
      </c>
      <c r="AE3" s="37" t="s">
        <v>22</v>
      </c>
      <c r="AF3" s="37" t="s">
        <v>23</v>
      </c>
      <c r="AG3" s="37" t="s">
        <v>14</v>
      </c>
      <c r="AH3" s="37" t="s">
        <v>24</v>
      </c>
      <c r="AI3" s="48" t="s">
        <v>45</v>
      </c>
      <c r="AJ3" s="79" t="s">
        <v>95</v>
      </c>
      <c r="AK3" s="11"/>
      <c r="AL3" s="10"/>
      <c r="AM3" s="10"/>
      <c r="AN3" s="10"/>
      <c r="AO3" s="10"/>
      <c r="AP3" s="11"/>
      <c r="AQ3" s="11"/>
      <c r="AR3" s="38" t="s">
        <v>22</v>
      </c>
      <c r="AS3" s="38" t="s">
        <v>23</v>
      </c>
      <c r="AT3" s="38" t="s">
        <v>14</v>
      </c>
      <c r="AU3" s="38" t="s">
        <v>24</v>
      </c>
      <c r="AV3" s="49" t="s">
        <v>45</v>
      </c>
      <c r="AW3" s="38" t="s">
        <v>22</v>
      </c>
      <c r="AX3" s="38" t="s">
        <v>23</v>
      </c>
      <c r="AY3" s="38" t="s">
        <v>14</v>
      </c>
      <c r="AZ3" s="38" t="s">
        <v>24</v>
      </c>
      <c r="BA3" s="49" t="s">
        <v>45</v>
      </c>
      <c r="BB3" s="38" t="s">
        <v>22</v>
      </c>
      <c r="BC3" s="38" t="s">
        <v>23</v>
      </c>
      <c r="BD3" s="38" t="s">
        <v>14</v>
      </c>
      <c r="BE3" s="49" t="s">
        <v>24</v>
      </c>
      <c r="BF3" s="38" t="s">
        <v>45</v>
      </c>
      <c r="BG3" s="78" t="s">
        <v>95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7" t="s">
        <v>22</v>
      </c>
      <c r="BT3" s="37" t="s">
        <v>23</v>
      </c>
      <c r="BU3" s="37" t="s">
        <v>14</v>
      </c>
      <c r="BV3" s="37" t="s">
        <v>24</v>
      </c>
      <c r="BW3" s="48" t="s">
        <v>45</v>
      </c>
      <c r="BX3" s="37" t="s">
        <v>22</v>
      </c>
      <c r="BY3" s="37" t="s">
        <v>23</v>
      </c>
      <c r="BZ3" s="37" t="s">
        <v>14</v>
      </c>
      <c r="CA3" s="37" t="s">
        <v>24</v>
      </c>
      <c r="CB3" s="48" t="s">
        <v>45</v>
      </c>
      <c r="CC3" s="37" t="s">
        <v>22</v>
      </c>
      <c r="CD3" s="37" t="s">
        <v>23</v>
      </c>
      <c r="CE3" s="37" t="s">
        <v>14</v>
      </c>
      <c r="CF3" s="37" t="s">
        <v>24</v>
      </c>
      <c r="CG3" s="48" t="s">
        <v>45</v>
      </c>
      <c r="CH3" s="11"/>
      <c r="CI3" s="10"/>
      <c r="CJ3" s="10"/>
      <c r="CK3" s="10"/>
      <c r="CL3" s="10"/>
      <c r="CM3" s="11"/>
      <c r="CN3" s="11"/>
      <c r="CO3" s="38" t="s">
        <v>22</v>
      </c>
      <c r="CP3" s="38" t="s">
        <v>23</v>
      </c>
      <c r="CQ3" s="38" t="s">
        <v>14</v>
      </c>
      <c r="CR3" s="38" t="s">
        <v>24</v>
      </c>
      <c r="CS3" s="49" t="s">
        <v>45</v>
      </c>
      <c r="CT3" s="38" t="s">
        <v>22</v>
      </c>
      <c r="CU3" s="38" t="s">
        <v>23</v>
      </c>
      <c r="CV3" s="38" t="s">
        <v>14</v>
      </c>
      <c r="CW3" s="38" t="s">
        <v>24</v>
      </c>
      <c r="CX3" s="49" t="s">
        <v>45</v>
      </c>
      <c r="CY3" s="38" t="s">
        <v>22</v>
      </c>
      <c r="CZ3" s="38" t="s">
        <v>23</v>
      </c>
      <c r="DA3" s="38" t="s">
        <v>14</v>
      </c>
      <c r="DB3" s="38" t="s">
        <v>24</v>
      </c>
      <c r="DC3" s="53" t="s">
        <v>45</v>
      </c>
      <c r="DD3" s="14"/>
      <c r="DE3" s="13"/>
      <c r="DF3" s="13"/>
      <c r="DG3" s="13"/>
      <c r="DH3" s="13"/>
      <c r="DI3" s="14"/>
      <c r="DJ3" s="14"/>
      <c r="DK3" s="37" t="s">
        <v>22</v>
      </c>
      <c r="DL3" s="37" t="s">
        <v>23</v>
      </c>
      <c r="DM3" s="37" t="s">
        <v>14</v>
      </c>
      <c r="DN3" s="37" t="s">
        <v>24</v>
      </c>
      <c r="DO3" s="48" t="s">
        <v>45</v>
      </c>
      <c r="DP3" s="37" t="s">
        <v>22</v>
      </c>
      <c r="DQ3" s="37" t="s">
        <v>23</v>
      </c>
      <c r="DR3" s="37" t="s">
        <v>14</v>
      </c>
      <c r="DS3" s="37" t="s">
        <v>24</v>
      </c>
      <c r="DT3" s="48" t="s">
        <v>45</v>
      </c>
      <c r="DU3" s="37" t="s">
        <v>22</v>
      </c>
      <c r="DV3" s="37" t="s">
        <v>23</v>
      </c>
      <c r="DW3" s="37" t="s">
        <v>14</v>
      </c>
      <c r="DX3" s="37" t="s">
        <v>24</v>
      </c>
      <c r="DY3" s="48" t="s">
        <v>45</v>
      </c>
      <c r="DZ3" s="11"/>
      <c r="EA3" s="10"/>
      <c r="EB3" s="10"/>
      <c r="EC3" s="10"/>
      <c r="ED3" s="10"/>
      <c r="EE3" s="11"/>
      <c r="EF3" s="11"/>
      <c r="EG3" s="38" t="s">
        <v>22</v>
      </c>
      <c r="EH3" s="38" t="s">
        <v>23</v>
      </c>
      <c r="EI3" s="38" t="s">
        <v>14</v>
      </c>
      <c r="EJ3" s="38" t="s">
        <v>24</v>
      </c>
      <c r="EK3" s="49" t="s">
        <v>45</v>
      </c>
      <c r="EL3" s="38" t="s">
        <v>22</v>
      </c>
      <c r="EM3" s="38" t="s">
        <v>23</v>
      </c>
      <c r="EN3" s="38" t="s">
        <v>14</v>
      </c>
      <c r="EO3" s="38" t="s">
        <v>24</v>
      </c>
      <c r="EP3" s="49" t="s">
        <v>45</v>
      </c>
      <c r="EQ3" s="38" t="s">
        <v>22</v>
      </c>
      <c r="ER3" s="38" t="s">
        <v>23</v>
      </c>
      <c r="ES3" s="38" t="s">
        <v>14</v>
      </c>
      <c r="ET3" s="38" t="s">
        <v>24</v>
      </c>
      <c r="EU3" s="49" t="s">
        <v>45</v>
      </c>
      <c r="EV3" s="14"/>
      <c r="EW3" s="13"/>
      <c r="EX3" s="13"/>
      <c r="EY3" s="13"/>
      <c r="EZ3" s="13"/>
      <c r="FA3" s="14"/>
      <c r="FB3" s="14"/>
      <c r="FC3" s="37" t="s">
        <v>22</v>
      </c>
      <c r="FD3" s="37" t="s">
        <v>23</v>
      </c>
      <c r="FE3" s="37" t="s">
        <v>14</v>
      </c>
      <c r="FF3" s="37" t="s">
        <v>24</v>
      </c>
      <c r="FG3" s="48" t="s">
        <v>45</v>
      </c>
      <c r="FH3" s="37" t="s">
        <v>22</v>
      </c>
      <c r="FI3" s="37" t="s">
        <v>23</v>
      </c>
      <c r="FJ3" s="37" t="s">
        <v>14</v>
      </c>
      <c r="FK3" s="37" t="s">
        <v>24</v>
      </c>
      <c r="FL3" s="48" t="s">
        <v>45</v>
      </c>
      <c r="FM3" s="37" t="s">
        <v>22</v>
      </c>
      <c r="FN3" s="37" t="s">
        <v>23</v>
      </c>
      <c r="FO3" s="37" t="s">
        <v>14</v>
      </c>
      <c r="FP3" s="37" t="s">
        <v>24</v>
      </c>
      <c r="FQ3" s="48" t="s">
        <v>45</v>
      </c>
      <c r="FR3" s="11"/>
      <c r="FS3" s="10"/>
      <c r="FT3" s="10"/>
      <c r="FU3" s="10"/>
      <c r="FV3" s="10"/>
      <c r="FW3" s="11"/>
      <c r="FX3" s="11"/>
      <c r="FY3" s="38" t="s">
        <v>22</v>
      </c>
      <c r="FZ3" s="38" t="s">
        <v>23</v>
      </c>
      <c r="GA3" s="38" t="s">
        <v>14</v>
      </c>
      <c r="GB3" s="38" t="s">
        <v>24</v>
      </c>
      <c r="GC3" s="49" t="s">
        <v>45</v>
      </c>
      <c r="GD3" s="38" t="s">
        <v>22</v>
      </c>
      <c r="GE3" s="38" t="s">
        <v>23</v>
      </c>
      <c r="GF3" s="38" t="s">
        <v>14</v>
      </c>
      <c r="GG3" s="38" t="s">
        <v>24</v>
      </c>
      <c r="GH3" s="49" t="s">
        <v>45</v>
      </c>
      <c r="GI3" s="38" t="s">
        <v>22</v>
      </c>
      <c r="GJ3" s="38" t="s">
        <v>23</v>
      </c>
      <c r="GK3" s="38" t="s">
        <v>14</v>
      </c>
      <c r="GL3" s="38" t="s">
        <v>24</v>
      </c>
      <c r="GM3" s="49" t="s">
        <v>45</v>
      </c>
      <c r="GN3" s="14"/>
      <c r="GO3" s="13"/>
      <c r="GP3" s="13"/>
      <c r="GQ3" s="13"/>
      <c r="GR3" s="13"/>
      <c r="GS3" s="14"/>
      <c r="GT3" s="14"/>
      <c r="GU3" s="37" t="s">
        <v>22</v>
      </c>
      <c r="GV3" s="37" t="s">
        <v>23</v>
      </c>
      <c r="GW3" s="37" t="s">
        <v>14</v>
      </c>
      <c r="GX3" s="37" t="s">
        <v>24</v>
      </c>
      <c r="GY3" s="48" t="s">
        <v>45</v>
      </c>
      <c r="GZ3" s="37" t="s">
        <v>22</v>
      </c>
      <c r="HA3" s="37" t="s">
        <v>23</v>
      </c>
      <c r="HB3" s="37" t="s">
        <v>14</v>
      </c>
      <c r="HC3" s="37" t="s">
        <v>24</v>
      </c>
      <c r="HD3" s="48" t="s">
        <v>45</v>
      </c>
      <c r="HE3" s="37" t="s">
        <v>22</v>
      </c>
      <c r="HF3" s="37" t="s">
        <v>23</v>
      </c>
      <c r="HG3" s="37" t="s">
        <v>14</v>
      </c>
      <c r="HH3" s="37" t="s">
        <v>24</v>
      </c>
      <c r="HI3" s="48" t="s">
        <v>45</v>
      </c>
      <c r="HJ3" s="11"/>
      <c r="HK3" s="10"/>
      <c r="HL3" s="10"/>
      <c r="HM3" s="10"/>
      <c r="HN3" s="10"/>
      <c r="HO3" s="11"/>
      <c r="HP3" s="11"/>
      <c r="HQ3" s="38" t="s">
        <v>22</v>
      </c>
      <c r="HR3" s="38" t="s">
        <v>23</v>
      </c>
      <c r="HS3" s="38" t="s">
        <v>14</v>
      </c>
      <c r="HT3" s="38" t="s">
        <v>24</v>
      </c>
      <c r="HU3" s="49" t="s">
        <v>45</v>
      </c>
      <c r="HV3" s="38" t="s">
        <v>22</v>
      </c>
      <c r="HW3" s="38" t="s">
        <v>23</v>
      </c>
      <c r="HX3" s="38" t="s">
        <v>14</v>
      </c>
      <c r="HY3" s="38" t="s">
        <v>24</v>
      </c>
      <c r="HZ3" s="49" t="s">
        <v>45</v>
      </c>
      <c r="IA3" s="38" t="s">
        <v>22</v>
      </c>
      <c r="IB3" s="38" t="s">
        <v>23</v>
      </c>
      <c r="IC3" s="38" t="s">
        <v>14</v>
      </c>
      <c r="ID3" s="38" t="s">
        <v>24</v>
      </c>
      <c r="IE3" s="49" t="s">
        <v>45</v>
      </c>
      <c r="IF3" s="14"/>
      <c r="IG3" s="13"/>
      <c r="IH3" s="13"/>
      <c r="II3" s="13"/>
      <c r="IJ3" s="13"/>
      <c r="IK3" s="14"/>
      <c r="IL3" s="14"/>
      <c r="IM3" s="37" t="s">
        <v>22</v>
      </c>
      <c r="IN3" s="37" t="s">
        <v>23</v>
      </c>
      <c r="IO3" s="37" t="s">
        <v>14</v>
      </c>
      <c r="IP3" s="37" t="s">
        <v>24</v>
      </c>
      <c r="IQ3" s="48" t="s">
        <v>45</v>
      </c>
      <c r="IR3" s="37" t="s">
        <v>22</v>
      </c>
      <c r="IS3" s="37" t="s">
        <v>23</v>
      </c>
      <c r="IT3" s="37" t="s">
        <v>14</v>
      </c>
      <c r="IU3" s="37" t="s">
        <v>24</v>
      </c>
      <c r="IV3" s="48" t="s">
        <v>45</v>
      </c>
      <c r="IW3" s="37" t="s">
        <v>22</v>
      </c>
      <c r="IX3" s="37" t="s">
        <v>23</v>
      </c>
      <c r="IY3" s="37" t="s">
        <v>14</v>
      </c>
      <c r="IZ3" s="37" t="s">
        <v>24</v>
      </c>
      <c r="JA3" s="48" t="s">
        <v>45</v>
      </c>
      <c r="JB3" s="11"/>
      <c r="JC3" s="10"/>
      <c r="JD3" s="10"/>
      <c r="JE3" s="10"/>
      <c r="JF3" s="10"/>
      <c r="JG3" s="11"/>
      <c r="JH3" s="11"/>
      <c r="JI3" s="38" t="s">
        <v>22</v>
      </c>
      <c r="JJ3" s="38" t="s">
        <v>23</v>
      </c>
      <c r="JK3" s="38" t="s">
        <v>14</v>
      </c>
      <c r="JL3" s="38" t="s">
        <v>24</v>
      </c>
      <c r="JM3" s="49" t="s">
        <v>45</v>
      </c>
      <c r="JN3" s="38" t="s">
        <v>22</v>
      </c>
      <c r="JO3" s="38" t="s">
        <v>23</v>
      </c>
      <c r="JP3" s="38" t="s">
        <v>14</v>
      </c>
      <c r="JQ3" s="38" t="s">
        <v>24</v>
      </c>
      <c r="JR3" s="49" t="s">
        <v>45</v>
      </c>
      <c r="JS3" s="38" t="s">
        <v>22</v>
      </c>
      <c r="JT3" s="38" t="s">
        <v>23</v>
      </c>
      <c r="JU3" s="38" t="s">
        <v>14</v>
      </c>
      <c r="JV3" s="38" t="s">
        <v>24</v>
      </c>
      <c r="JW3" s="49" t="s">
        <v>45</v>
      </c>
      <c r="JX3" s="14"/>
      <c r="JY3" s="13"/>
      <c r="JZ3" s="13"/>
      <c r="KA3" s="13"/>
      <c r="KB3" s="13"/>
      <c r="KC3" s="14"/>
      <c r="KD3" s="14"/>
      <c r="KE3" s="37" t="s">
        <v>22</v>
      </c>
      <c r="KF3" s="37" t="s">
        <v>23</v>
      </c>
      <c r="KG3" s="37" t="s">
        <v>14</v>
      </c>
      <c r="KH3" s="37" t="s">
        <v>24</v>
      </c>
      <c r="KI3" s="48" t="s">
        <v>45</v>
      </c>
      <c r="KJ3" s="37" t="s">
        <v>22</v>
      </c>
      <c r="KK3" s="37" t="s">
        <v>23</v>
      </c>
      <c r="KL3" s="37" t="s">
        <v>14</v>
      </c>
      <c r="KM3" s="37" t="s">
        <v>24</v>
      </c>
      <c r="KN3" s="48" t="s">
        <v>45</v>
      </c>
      <c r="KO3" s="37" t="s">
        <v>22</v>
      </c>
      <c r="KP3" s="37" t="s">
        <v>23</v>
      </c>
      <c r="KQ3" s="37" t="s">
        <v>14</v>
      </c>
      <c r="KR3" s="37" t="s">
        <v>24</v>
      </c>
      <c r="KS3" s="48" t="s">
        <v>45</v>
      </c>
      <c r="KT3" s="11"/>
      <c r="KU3" s="10"/>
      <c r="KV3" s="10"/>
      <c r="KW3" s="10"/>
      <c r="KX3" s="10"/>
      <c r="KY3" s="11"/>
      <c r="KZ3" s="11"/>
      <c r="LA3" s="38" t="s">
        <v>22</v>
      </c>
      <c r="LB3" s="38" t="s">
        <v>23</v>
      </c>
      <c r="LC3" s="38" t="s">
        <v>14</v>
      </c>
      <c r="LD3" s="38" t="s">
        <v>24</v>
      </c>
      <c r="LE3" s="49" t="s">
        <v>45</v>
      </c>
      <c r="LF3" s="38" t="s">
        <v>22</v>
      </c>
      <c r="LG3" s="38" t="s">
        <v>23</v>
      </c>
      <c r="LH3" s="38" t="s">
        <v>14</v>
      </c>
      <c r="LI3" s="38" t="s">
        <v>24</v>
      </c>
      <c r="LJ3" s="49" t="s">
        <v>45</v>
      </c>
      <c r="LK3" s="38" t="s">
        <v>22</v>
      </c>
      <c r="LL3" s="38" t="s">
        <v>23</v>
      </c>
      <c r="LM3" s="38" t="s">
        <v>14</v>
      </c>
      <c r="LN3" s="38" t="s">
        <v>24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95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IF(AND(F4="P",H4="P"),SUMPRODUCT((F$4:F$21="P")*(H$4:H$21="P")*(E$4:E$21&gt;E4))+1,IF(H4="P",SUMPRODUCT((F$4:F$21="")*(H$4:H$21="P")*(E$4:E$21&gt;E4))+1+SUMPRODUCT((F$4:F$21="P")*(H$4:H$21="P")),""))</f>
        <v>1</v>
      </c>
      <c r="B4" s="7" t="s">
        <v>106</v>
      </c>
      <c r="C4" s="8" t="s">
        <v>10</v>
      </c>
      <c r="D4" s="8">
        <v>2001</v>
      </c>
      <c r="E4" s="16">
        <f>SUM(J4:R4)</f>
        <v>277.54000000000002</v>
      </c>
      <c r="F4" s="4" t="str">
        <f>IF(OR(AND($AK4&gt;=$AL$23,NOT($AK4=""),$AJ4=""),AND($BH4&gt;=$BI$23,NOT($BH4=""),$BG4=""),AND($CH4&gt;=$CI$23,NOT($CH4="")),AND($DD4&gt;=$DE$23,NOT($DD4="")),AND($DZ4&gt;=$EA$23,NOT($DZ4="")),AND($EV4&gt;=$EW$23,NOT($EV4="")),AND($FR4&gt;=$FS$23,NOT($FR4="")),AND($GN4&gt;=$GO$23,NOT($GN4="")),AND($HJ4&gt;=$HK$23,NOT($HJ4="")),AND($IF4&gt;=$IG$23,NOT($IF4="")),AND($JB4&gt;=$JC$23,NOT($JB4="")),AND($JX4&gt;=$JY$23,NOT($JX4="")),AND($KT4&gt;=$KU$23,NOT($KT4="")),AND($LP4&gt;=$LQ$23,NOT($LP4="")),AND($AO4&gt;=$AL$23,NOT($AO4=""),$AJ4=""),AND($BL4&gt;=$BI$23,NOT($BL4=""),$BG4=""),AND($CL4&gt;=$CI$23,NOT($CL4="")),AND($DH4&gt;=$DE$23,NOT($DH4="")),AND($ED4&gt;=$EA$23,NOT($ED4="")),AND($EZ4&gt;=$EW$23,NOT($EZ4="")),AND($FV4&gt;=$FS$23,NOT($FV4="")),AND($GR4&gt;=$GO$23,NOT($GR4="")),AND($HN4&gt;=$HK$23,NOT($HN4="")),AND($IJ4&gt;=$IG$23,NOT($IJ4="")),AND($JF4&gt;=$JC$23,NOT($JF4="")),AND($KB4&gt;=$JY$23,NOT($KB4="")),AND($KX4&gt;=$KU$23,NOT($KX4="")),AND($LT4&gt;=$LQ$23,NOT($LT4=""))),"P","")</f>
        <v>P</v>
      </c>
      <c r="G4" s="4" t="str">
        <f>IF(OR(AND($AK4&gt;=$AL$24,NOT($AK4=""),$AJ4=""),AND($BH4&gt;=$BI$24,NOT($BH4=""),$BG4=""),AND($CH4&gt;=$CI$24,NOT($CH4="")),AND($DD4&gt;=$DE$24,NOT($DD4="")),AND($DZ4&gt;=$EA$24,NOT($DZ4="")),AND($EV4&gt;=$EW$24,NOT($EV4="")),AND($FR4&gt;=$FS$24,NOT($FR4="")),AND($GN4&gt;=$GO$24,NOT($GN4="")),AND($HJ4&gt;=$HK$24,NOT($HJ4="")),AND($IF4&gt;=$IG$24,NOT($IF4="")),AND($JB4&gt;=$JC$24,NOT($JB4="")),AND($JX4&gt;=$JY$24,NOT($JX4="")),AND($KT4&gt;=$KU$24,NOT($KT4="")),AND($LP4&gt;=$LQ$24,NOT($LP4="")),AND($AO4&gt;=$AL$24,NOT($AO4=""),$AJ4=""),AND($BL4&gt;=$BI$24,NOT($BL4=""),$BG4=""),AND($CL4&gt;=$CI$24,NOT($CL4="")),AND($DH4&gt;=$DE$24,NOT($DH4="")),AND($ED4&gt;=$EA$24,NOT($ED4="")),AND($EZ4&gt;=$EW$24,NOT($EZ4="")),AND($FV4&gt;=$FS$24,NOT($FV4="")),AND($GR4&gt;=$GO$24,NOT($GR4="")),AND($HN4&gt;=$HK$24,NOT($HN4="")),AND($IJ4&gt;=$IG$24,NOT($IJ4="")),AND($JF4&gt;=$JC$24,NOT($JF4="")),AND($KB4&gt;=$JY$24,NOT($KB4="")),AND($KX4&gt;=$KU$24,NOT($KX4="")),AND($LT4&gt;=$LQ$24,NOT($LT4=""))),"P","")</f>
        <v>P</v>
      </c>
      <c r="H4" s="4" t="str">
        <f>IF(OR(AND($AN4&gt;=$AL$25,NOT($AN4=""),$AJ4=""),AND($BK4&gt;=$BI$25,NOT($BK4=""),$BG4=""),AND($CK4&gt;=$CI$25,NOT($CK4="")),AND($DG4&gt;=$DE$25,NOT($DG4="")),AND($EC4&gt;=$EA$25,NOT($EC4="")),AND($EY4&gt;=$EW$25,NOT($EY4="")),AND($FU4&gt;=$FS$25,NOT($FU4="")),AND($GQ4&gt;=$GO$25,NOT($GQ4="")),AND($HM4&gt;=$HK$25,NOT($HM4="")),AND($II4&gt;=$IG$25,NOT($II4="")),AND($JE4&gt;=$JC$25,NOT($JE4="")),AND($KA4&gt;=$JY$25,NOT($KA4="")),AND($KW4&gt;=$KU$25,NOT($KW4="")),AND($LS4&gt;=$LQ$25,NOT($LS4=""))),"P","")</f>
        <v>P</v>
      </c>
      <c r="I4" t="str">
        <f>IF(AND(H4="P",F4=""),"No DD",IF(AND(G4="P",OR(AND($AM4&gt;$AL$28,NOT($AM4=""),$AJ4=""),AND($AP4&gt;$AL$28,NOT($AP4=""),$AJ4=""),AND($BJ4&gt;$BI$28,NOT($BJ4=""),$BG4=""),AND($BM4&gt;$BI$28,NOT($BM4=""),$BG4=""),AND($CJ4&gt;$CI$28,NOT($CJ4="")),AND($CM4&gt;$CI$28,NOT($CM4="")),AND($DF4&gt;$DE$28,NOT($DF4="")),AND($DI4&gt;$DE$28,NOT($DI4="")),AND($EB4&gt;$EA$28,NOT($EB4="")),AND($EE4&gt;$EA$28,NOT($EE4="")),AND($EX4&gt;$EW$28,NOT($EX4="")),AND($FA4&gt;$EW$28,NOT($FA4="")),AND($FT4&gt;$FS$28,NOT($FT4="")),AND($FW4&gt;$FS$28,NOT($FW4="")),AND($GP4&gt;$GO$28,NOT($GP4="")),AND($GS4&gt;$GO$28,NOT($GS4="")),AND($HL4&gt;$HK$28,NOT($HL4="")),AND($HO4&gt;$HK$28,NOT($HO4="")),AND($IH4&gt;$IG$28,NOT($IH4="")),AND($IK4&gt;$IG$28,NOT($IK4="")),AND($JD4&gt;$JC$28,NOT($JD4="")),AND($JG4&gt;$JC$28,NOT($JG4="")),AND($JZ4&gt;$JY$28,NOT($JZ4="")),AND($KC4&gt;$JY$28,NOT($KC4="")),AND($KV4&gt;$KU$28,NOT($KV4="")),AND($KY4&gt;$KU$28,NOT($KY4="")),AND($LR4&gt;$LQ$28,NOT($LR4="")),AND($LU4&gt;$LQ$28,NOT($LU4="")))),"Merit",IF(AND(G4="P",OR(AND($AN4&gt;$AL$27,NOT($AN4=""),$AJ4=""),AND($BK4&gt;$BI$27,NOT($BK4=""),$BG4=""),AND($CK4&gt;$CI$27,NOT($CK4="")),AND($DG4&gt;$DE$27,NOT($DG4="")),AND($EC4&gt;$EA$27,NOT($EC4="")),AND($EY4&gt;$EW$27,NOT($EY4="")),AND($FU4&gt;$FS$27,NOT($FU4="")),AND($GQ4&gt;$GO$27,NOT($GQ4="")),AND($HM4&gt;$HK$27,NOT($HM4="")),AND($II4&gt;$IG$27,NOT($II4="")),AND($JE4&gt;$JC$27,NOT($JE4="")),AND($KA4&gt;$JY$27,NOT($KA4="")),AND($KW4&gt;$KU$27,NOT($KW4="")),AND($LS4&gt;$LQ$27,NOT($LS4="")))),"Excellence",IF(AND(G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Worlds Team",IF(AND(F4="P",OR(AND($AN4&gt;$AL$25,NOT($AN4=""),$AJ4=""),AND($BK4&gt;$BI$25,NOT($BK4=""),$BG4=""),AND($CK4&gt;$CI$25,NOT($CK4="")),AND($DG4&gt;$DE$25,NOT($DG4="")),AND($EC4&gt;$EA$25,NOT($EC4="")),AND($EY4&gt;$EW$25,NOT($EY4="")),AND($FU4&gt;$FS$25,NOT($FU4="")),AND($GQ4&gt;$GO$25,NOT($GQ4="")),AND($HM4&gt;$HK$25,NOT($HM4="")),AND($II4&gt;$IG$25,NOT($II4="")),AND($JE4&gt;$JC$25,NOT($JE4="")),AND($KA4&gt;$JY$25,NOT($KA4="")),AND($KW4&gt;$KU$25,NOT($KW4="")),AND($LS4&gt;$LQ$25,NOT($LS4="")))),"National Team","")))))</f>
        <v>Merit</v>
      </c>
      <c r="J4" s="15">
        <f>IF(MAX(AN4,BK4)&gt;0,MAX(AN4,BK4),"")</f>
        <v>112.51</v>
      </c>
      <c r="K4" s="15" t="str">
        <f>IF(J4="","",IF(J4=BK4,$AR$1,IF(J4=AN4,$U$1,"")))</f>
        <v>2019 Nationals</v>
      </c>
      <c r="L4" s="15">
        <f>IF($J4=$AN4,BI4,IF($J4=$BK4,AL4,MAX(AL4,BI4)))</f>
        <v>28.165000000000003</v>
      </c>
      <c r="M4" s="15" t="str">
        <f>IF(L4="","",IF(AND(L4=BI4,$K4&lt;&gt;$AR$1),$AR$1,IF(AND(L4=AL4,$K4&lt;&gt;$U$1),$U$1,"")))</f>
        <v>2019 Elite Canada</v>
      </c>
      <c r="N4" s="15">
        <f>IF($J4=$AN4,BJ4,IF($J4=$BK4,AM4,MAX(AM4,BJ4)))</f>
        <v>59.63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53.854999999999997</v>
      </c>
      <c r="Q4" s="15" t="str">
        <f>IF(P4="","",IF(P4=BM4,$AR$1,IF(P4=AP4,$U$1,"")))</f>
        <v>2019 Nationals</v>
      </c>
      <c r="R4" s="15">
        <f>IF(MAX(BO4,BP4,BQ4,BR4)&gt;0,MAX(BO4,BP4,BQ4,BR4),"")</f>
        <v>23.38</v>
      </c>
      <c r="S4" s="27" t="str">
        <f>IF(R4="","",IF(R4=BO4,"(Vol 1)",IF(R4=BP4,"(Vol 2)",IF(R4=BQ4,"(Prelim)",IF(R4=BR4,"(Final)")))))</f>
        <v>(Vol 1)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World Cup RUS (Sept 21)</v>
      </c>
      <c r="U4" s="71">
        <v>11.3</v>
      </c>
      <c r="V4" s="71">
        <v>5.65</v>
      </c>
      <c r="W4" s="71">
        <v>0</v>
      </c>
      <c r="X4" s="71">
        <v>11.215</v>
      </c>
      <c r="Y4" s="71">
        <v>0</v>
      </c>
      <c r="Z4" s="71">
        <v>17</v>
      </c>
      <c r="AA4" s="71">
        <v>9</v>
      </c>
      <c r="AB4" s="71">
        <v>16.2</v>
      </c>
      <c r="AC4" s="71">
        <v>17.43</v>
      </c>
      <c r="AD4" s="71">
        <v>0</v>
      </c>
      <c r="AE4" s="71">
        <v>6.4</v>
      </c>
      <c r="AF4" s="71">
        <v>3.35</v>
      </c>
      <c r="AG4" s="71">
        <v>7.1</v>
      </c>
      <c r="AH4" s="71">
        <v>7.11</v>
      </c>
      <c r="AI4" s="71">
        <v>0</v>
      </c>
      <c r="AJ4" s="82"/>
      <c r="AK4" s="12">
        <f>IF(AB4&gt;0,AB4,"")</f>
        <v>16.2</v>
      </c>
      <c r="AL4" s="12">
        <f>IF(SUM(U4:X4)-Y4&gt;0,SUM(U4:X4)-Y4,"")</f>
        <v>28.165000000000003</v>
      </c>
      <c r="AM4" s="12">
        <f>IF(SUM(Z4:AC4)-AD4&gt;0,SUM(Z4:AC4)-AD4,"")</f>
        <v>59.63</v>
      </c>
      <c r="AN4" s="12">
        <f>IF(SUM(AL4:AM4)&gt;0,SUM(AL4:AM4),"")</f>
        <v>87.795000000000002</v>
      </c>
      <c r="AO4" s="12">
        <f>IF(AG4&gt;0,AG4,"")</f>
        <v>7.1</v>
      </c>
      <c r="AP4" s="12">
        <f>IF(SUM(AE4:AH4)-AI4&gt;0,SUM(AE4:AH4)-AI4,"")</f>
        <v>23.96</v>
      </c>
      <c r="AQ4" s="12">
        <f>IF(SUM(AN4,AP4)&gt;0,SUM(AN4,AP4),"")</f>
        <v>111.755</v>
      </c>
      <c r="AR4" s="77">
        <v>18.8</v>
      </c>
      <c r="AS4" s="77">
        <v>9.3000000000000007</v>
      </c>
      <c r="AT4" s="77">
        <v>5.7</v>
      </c>
      <c r="AU4" s="77">
        <v>18.62</v>
      </c>
      <c r="AV4" s="77">
        <v>0</v>
      </c>
      <c r="AW4" s="77">
        <v>17.600000000000001</v>
      </c>
      <c r="AX4" s="77">
        <v>9.1999999999999993</v>
      </c>
      <c r="AY4" s="77">
        <v>16.2</v>
      </c>
      <c r="AZ4" s="77">
        <v>17.09</v>
      </c>
      <c r="BA4" s="77">
        <v>0</v>
      </c>
      <c r="BB4" s="77">
        <v>15.14</v>
      </c>
      <c r="BC4" s="77">
        <v>8.5</v>
      </c>
      <c r="BD4" s="77">
        <v>14.8</v>
      </c>
      <c r="BE4" s="77">
        <v>15.414999999999999</v>
      </c>
      <c r="BF4" s="77">
        <v>0</v>
      </c>
      <c r="BG4" s="83"/>
      <c r="BH4" s="15">
        <f>IF(AY4&gt;0,AY4,"")</f>
        <v>16.2</v>
      </c>
      <c r="BI4" s="15">
        <f>IF(SUM(AR4:AU4)-AV4&gt;0,SUM(AR4:AU4)-AV4,"")</f>
        <v>52.42</v>
      </c>
      <c r="BJ4" s="15">
        <f>IF(SUM(AW4:AZ4)-BA4&gt;0,SUM(AW4:AZ4)-BA4,"")</f>
        <v>60.09</v>
      </c>
      <c r="BK4" s="15">
        <f>IF(SUM(BI4:BJ4)&gt;0,SUM(BI4:BJ4),"")</f>
        <v>112.51</v>
      </c>
      <c r="BL4" s="15">
        <f>IF(BD4&gt;0,BD4,"")</f>
        <v>14.8</v>
      </c>
      <c r="BM4" s="15">
        <f>IF(SUM(BB4:BE4)-BF4&gt;0,SUM(BB4:BE4)-BF4,"")</f>
        <v>53.854999999999997</v>
      </c>
      <c r="BN4" s="15">
        <f>IF(SUM(BK4,BM4)&gt;0,SUM(BK4,BM4),"")</f>
        <v>166.36500000000001</v>
      </c>
      <c r="BO4" s="26">
        <f>IF(MAX(CI4,DE4,EA4,EW4,FS4,GO4,HK4,IG4,JC4,JY4,KU4,LQ4)-IF(L4="",0,L4)&gt;0.001,MAX(CI4,DE4,EA4,EW4,FS4,GO4,HK4,IG4,JC4,JY4,KU4,LQ4)-IF(L4="",0,L4),"")</f>
        <v>23.38</v>
      </c>
      <c r="BP4" s="26" t="str">
        <f>IF(MAX(CJ4,DF4,EB4,EX4,FT4,GP4,HL4,IH4,JD4,JZ4,KV4,LR4)-IF(N4="",0,N4)&gt;0.001,MAX(CJ4,DF4,EB4,EX4,FT4,GP4,HL4,IH4,JD4,JZ4,KV4,LR4)-IF(N4="",0,N4),"")</f>
        <v/>
      </c>
      <c r="BQ4" s="26" t="str">
        <f>IF(MAX(CK4,DG4,EC4,EY4,FU4,GQ4,HM4,II4,JE4,KA4,KW4,LS4)-IF(J4="",0,J4)&gt;0.001,MAX(CK4,DG4,EC4,EY4,FU4,GQ4,HM4,II4,JE4,KA4,KW4,LS4)-IF(J4="",0,J4),"")</f>
        <v/>
      </c>
      <c r="BR4" s="26">
        <f>IF(MAX(CM4,DI4,EE4,FA4,FW4,GS4,HO4,IK4,JG4,KC4,KY4,LU4)-IF(P4="",0,P4)&gt;0.001,MAX(CM4,DI4,EE4,FA4,FW4,GS4,HO4,IK4,JG4,KC4,KY4,LU4)-IF(P4="",0,P4),"")</f>
        <v>3.5850000000000009</v>
      </c>
      <c r="BS4" s="39">
        <v>18.399999999999999</v>
      </c>
      <c r="BT4" s="39">
        <v>9.1999999999999993</v>
      </c>
      <c r="BU4" s="39">
        <v>5.7</v>
      </c>
      <c r="BV4" s="39">
        <v>17.905000000000001</v>
      </c>
      <c r="BW4" s="39">
        <v>0</v>
      </c>
      <c r="BX4" s="39">
        <v>16.5</v>
      </c>
      <c r="BY4" s="39">
        <v>8.9</v>
      </c>
      <c r="BZ4" s="39">
        <v>14.9</v>
      </c>
      <c r="CA4" s="39">
        <v>16.305</v>
      </c>
      <c r="CB4" s="39">
        <v>0</v>
      </c>
      <c r="CC4" s="39"/>
      <c r="CD4" s="39"/>
      <c r="CE4" s="39"/>
      <c r="CF4" s="39"/>
      <c r="CG4" s="39"/>
      <c r="CH4" s="12">
        <f>IF(BZ4&gt;0,BZ4,"")</f>
        <v>14.9</v>
      </c>
      <c r="CI4" s="12">
        <f>IF(SUM(BS4:BV4)-BW4&gt;0,SUM(BS4:BV4)-BW4,"")</f>
        <v>51.204999999999998</v>
      </c>
      <c r="CJ4" s="12">
        <f>IF(SUM(BX4:CA4)-CB4&gt;0,SUM(BX4:CA4)-CB4,"")</f>
        <v>56.604999999999997</v>
      </c>
      <c r="CK4" s="12">
        <f>IF(SUM(CI4:CJ4)&gt;0,SUM(CI4:CJ4),"")</f>
        <v>107.81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107.81</v>
      </c>
      <c r="CO4" s="40">
        <v>18.100000000000001</v>
      </c>
      <c r="CP4" s="40">
        <v>9.1999999999999993</v>
      </c>
      <c r="CQ4" s="40">
        <v>5.7</v>
      </c>
      <c r="CR4" s="40">
        <v>17.95</v>
      </c>
      <c r="CS4" s="40">
        <v>0</v>
      </c>
      <c r="CT4" s="40">
        <v>16.3</v>
      </c>
      <c r="CU4" s="40">
        <v>9.3000000000000007</v>
      </c>
      <c r="CV4" s="40">
        <v>16.2</v>
      </c>
      <c r="CW4" s="40">
        <v>17.015000000000001</v>
      </c>
      <c r="CX4" s="40">
        <v>0</v>
      </c>
      <c r="CY4" s="40"/>
      <c r="CZ4" s="40"/>
      <c r="DA4" s="40"/>
      <c r="DB4" s="40"/>
      <c r="DC4" s="40"/>
      <c r="DD4" s="15">
        <f>IF(CV4&gt;0,CV4,"")</f>
        <v>16.2</v>
      </c>
      <c r="DE4" s="15">
        <f>IF(SUM(CO4:CR4)-CS4&gt;0,SUM(CO4:CR4)-CS4,"")</f>
        <v>50.95</v>
      </c>
      <c r="DF4" s="15">
        <f>IF(SUM(CT4:CW4)-CX4&gt;0,SUM(CT4:CW4)-CX4,"")</f>
        <v>58.814999999999998</v>
      </c>
      <c r="DG4" s="15">
        <f>IF(SUM(DE4:DF4)&gt;0,SUM(DE4:DF4),"")</f>
        <v>109.765</v>
      </c>
      <c r="DH4" s="15" t="str">
        <f>IF(DA4&gt;0,DA4,"")</f>
        <v/>
      </c>
      <c r="DI4" s="15" t="str">
        <f>IF(SUM(CY4:DB4)-DC4&gt;0,SUM(CY4:DB4)-DC4,"")</f>
        <v/>
      </c>
      <c r="DJ4" s="15">
        <f>IF(SUM(DG4,DI4)&gt;0,SUM(DG4,DI4),"")</f>
        <v>109.765</v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>
        <v>15.8</v>
      </c>
      <c r="EH4" s="40">
        <v>8</v>
      </c>
      <c r="EI4" s="40">
        <v>3.4</v>
      </c>
      <c r="EJ4" s="40">
        <v>15.615</v>
      </c>
      <c r="EK4" s="40">
        <v>0</v>
      </c>
      <c r="EL4" s="40">
        <v>15.9</v>
      </c>
      <c r="EM4" s="40">
        <v>9.1999999999999993</v>
      </c>
      <c r="EN4" s="40">
        <v>13.6</v>
      </c>
      <c r="EO4" s="40">
        <v>16.585000000000001</v>
      </c>
      <c r="EP4" s="40">
        <v>0</v>
      </c>
      <c r="EQ4" s="40">
        <v>15.8</v>
      </c>
      <c r="ER4" s="40">
        <v>9.6999999999999993</v>
      </c>
      <c r="ES4" s="40">
        <v>15.6</v>
      </c>
      <c r="ET4" s="40">
        <v>16.34</v>
      </c>
      <c r="EU4" s="40">
        <v>0</v>
      </c>
      <c r="EV4" s="15">
        <f>IF(EN4&gt;0,EN4,"")</f>
        <v>13.6</v>
      </c>
      <c r="EW4" s="15">
        <f>IF(SUM(EG4:EJ4)-EK4&gt;0,SUM(EG4:EJ4)-EK4,"")</f>
        <v>42.814999999999998</v>
      </c>
      <c r="EX4" s="15">
        <f>IF(SUM(EL4:EO4)-EP4&gt;0,SUM(EL4:EO4)-EP4,"")</f>
        <v>55.285000000000004</v>
      </c>
      <c r="EY4" s="15">
        <f>IF(SUM(EW4:EX4)&gt;0,SUM(EW4:EX4),"")</f>
        <v>98.1</v>
      </c>
      <c r="EZ4" s="15">
        <f>IF(ES4&gt;0,ES4,"")</f>
        <v>15.6</v>
      </c>
      <c r="FA4" s="15">
        <f>IF(SUM(EQ4:ET4)-EU4&gt;0,SUM(EQ4:ET4)-EU4,"")</f>
        <v>57.44</v>
      </c>
      <c r="FB4" s="15">
        <f>IF(SUM(EY4,FA4)&gt;0,SUM(EY4,FA4),"")</f>
        <v>155.54</v>
      </c>
      <c r="FC4" s="39">
        <v>18.5</v>
      </c>
      <c r="FD4" s="39">
        <v>9.3000000000000007</v>
      </c>
      <c r="FE4" s="39">
        <v>5.7</v>
      </c>
      <c r="FF4" s="39">
        <v>18.045000000000002</v>
      </c>
      <c r="FG4" s="39">
        <v>0</v>
      </c>
      <c r="FH4" s="39">
        <v>16.399999999999999</v>
      </c>
      <c r="FI4" s="39">
        <v>9.1999999999999993</v>
      </c>
      <c r="FJ4" s="39">
        <v>16.2</v>
      </c>
      <c r="FK4" s="39">
        <v>16.984999999999999</v>
      </c>
      <c r="FL4" s="39">
        <v>0</v>
      </c>
      <c r="FM4" s="39"/>
      <c r="FN4" s="39"/>
      <c r="FO4" s="39"/>
      <c r="FP4" s="39"/>
      <c r="FQ4" s="39"/>
      <c r="FR4" s="12">
        <f>IF(FJ4&gt;0,FJ4,"")</f>
        <v>16.2</v>
      </c>
      <c r="FS4" s="12">
        <f>IF(SUM(FC4:FF4)-FG4&gt;0,SUM(FC4:FF4)-FG4,"")</f>
        <v>51.545000000000002</v>
      </c>
      <c r="FT4" s="12">
        <f>IF(SUM(FH4:FK4)-FL4&gt;0,SUM(FH4:FK4)-FL4,"")</f>
        <v>58.784999999999997</v>
      </c>
      <c r="FU4" s="12">
        <f>IF(SUM(FS4:FT4)&gt;0,SUM(FS4:FT4),"")</f>
        <v>110.33</v>
      </c>
      <c r="FV4" s="12" t="str">
        <f>IF(FO4&gt;0,FO4,"")</f>
        <v/>
      </c>
      <c r="FW4" s="12" t="str">
        <f>IF(SUM(FM4:FP4)-FQ4&gt;0,SUM(FM4:FP4)-FQ4,"")</f>
        <v/>
      </c>
      <c r="FX4" s="12">
        <f>IF(SUM(FU4,FW4)&gt;0,SUM(FU4,FW4),"")</f>
        <v>110.33</v>
      </c>
      <c r="FY4" s="40">
        <v>17.8</v>
      </c>
      <c r="FZ4" s="40">
        <v>9</v>
      </c>
      <c r="GA4" s="40">
        <v>5.7</v>
      </c>
      <c r="GB4" s="40">
        <v>18.215</v>
      </c>
      <c r="GC4" s="40">
        <v>0</v>
      </c>
      <c r="GD4" s="40">
        <v>16</v>
      </c>
      <c r="GE4" s="40">
        <v>9</v>
      </c>
      <c r="GF4" s="40">
        <v>15.6</v>
      </c>
      <c r="GG4" s="40">
        <v>16.855</v>
      </c>
      <c r="GH4" s="40">
        <v>0</v>
      </c>
      <c r="GI4" s="40"/>
      <c r="GJ4" s="40"/>
      <c r="GK4" s="40"/>
      <c r="GL4" s="40"/>
      <c r="GM4" s="40"/>
      <c r="GN4" s="15">
        <f>IF(GF4&gt;0,GF4,"")</f>
        <v>15.6</v>
      </c>
      <c r="GO4" s="15">
        <f>IF(SUM(FY4:GB4)-GC4&gt;0,SUM(FY4:GB4)-GC4,"")</f>
        <v>50.715000000000003</v>
      </c>
      <c r="GP4" s="15">
        <f>IF(SUM(GD4:GG4)-GH4&gt;0,SUM(GD4:GG4)-GH4,"")</f>
        <v>57.454999999999998</v>
      </c>
      <c r="GQ4" s="15">
        <f>IF(SUM(GO4:GP4)&gt;0,SUM(GO4:GP4),"")</f>
        <v>108.17</v>
      </c>
      <c r="GR4" s="15" t="str">
        <f>IF(GK4&gt;0,GK4,"")</f>
        <v/>
      </c>
      <c r="GS4" s="15" t="str">
        <f>IF(SUM(GI4:GL4)-GM4&gt;0,SUM(GI4:GL4)-GM4,"")</f>
        <v/>
      </c>
      <c r="GT4" s="15">
        <f>IF(SUM(GQ4,GS4)&gt;0,SUM(GQ4,GS4),"")</f>
        <v>108.17</v>
      </c>
      <c r="GU4" s="39">
        <v>13.4</v>
      </c>
      <c r="GV4" s="39">
        <v>6.2</v>
      </c>
      <c r="GW4" s="39">
        <v>1.2</v>
      </c>
      <c r="GX4" s="39">
        <v>13.09</v>
      </c>
      <c r="GY4" s="39">
        <v>0</v>
      </c>
      <c r="GZ4" s="39">
        <v>16.600000000000001</v>
      </c>
      <c r="HA4" s="39">
        <v>9.1999999999999993</v>
      </c>
      <c r="HB4" s="39">
        <v>16.2</v>
      </c>
      <c r="HC4" s="39">
        <v>17.085000000000001</v>
      </c>
      <c r="HD4" s="39">
        <v>0</v>
      </c>
      <c r="HE4" s="39"/>
      <c r="HF4" s="39"/>
      <c r="HG4" s="39"/>
      <c r="HH4" s="39"/>
      <c r="HI4" s="39"/>
      <c r="HJ4" s="12">
        <f>IF(HB4&gt;0,HB4,"")</f>
        <v>16.2</v>
      </c>
      <c r="HK4" s="12">
        <f>IF(SUM(GU4:GX4)-GY4&gt;0,SUM(GU4:GX4)-GY4,"")</f>
        <v>33.89</v>
      </c>
      <c r="HL4" s="12">
        <f>IF(SUM(GZ4:HC4)-HD4&gt;0,SUM(GZ4:HC4)-HD4,"")</f>
        <v>59.085000000000001</v>
      </c>
      <c r="HM4" s="12">
        <f>IF(SUM(HK4:HL4)&gt;0,SUM(HK4:HL4),"")</f>
        <v>92.974999999999994</v>
      </c>
      <c r="HN4" s="12" t="str">
        <f>IF(HG4&gt;0,HG4,"")</f>
        <v/>
      </c>
      <c r="HO4" s="12" t="str">
        <f>IF(SUM(HE4:HH4)-HI4&gt;0,SUM(HE4:HH4)-HI4,"")</f>
        <v/>
      </c>
      <c r="HP4" s="12">
        <f>IF(SUM(HM4,HO4)&gt;0,SUM(HM4,HO4),"")</f>
        <v>92.974999999999994</v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LW20" si="0">IF($BG4="P",AR4,(U4+AR4)/2)</f>
        <v>15.05</v>
      </c>
      <c r="LX4" s="71">
        <f t="shared" ref="LX4:LX20" si="1">IF($BG4="P",AS4,(V4+AS4)/2)</f>
        <v>7.4750000000000005</v>
      </c>
      <c r="LY4" s="71">
        <f t="shared" ref="LY4:LY20" si="2">IF($BG4="P",AT4,(W4+AT4)/2)</f>
        <v>2.85</v>
      </c>
      <c r="LZ4" s="71">
        <f t="shared" ref="LZ4:LZ20" si="3">IF($BG4="P",AU4,(X4+AU4)/2)</f>
        <v>14.9175</v>
      </c>
      <c r="MA4" s="71">
        <f t="shared" ref="MA4:MA20" si="4">IF($BG4="P",AV4,(Y4+AV4)/2)</f>
        <v>0</v>
      </c>
      <c r="MB4" s="71">
        <f t="shared" ref="MB4:MB20" si="5">IF($BG4="P",AW4,(Z4+AW4)/2)</f>
        <v>17.3</v>
      </c>
      <c r="MC4" s="71">
        <f t="shared" ref="MC4:MC20" si="6">IF($BG4="P",AX4,(AA4+AX4)/2)</f>
        <v>9.1</v>
      </c>
      <c r="MD4" s="71">
        <f t="shared" ref="MD4:MD20" si="7">IF($BG4="P",AY4,(AB4+AY4)/2)</f>
        <v>16.2</v>
      </c>
      <c r="ME4" s="71">
        <f t="shared" ref="ME4:ME20" si="8">IF($BG4="P",AZ4,(AC4+AZ4)/2)</f>
        <v>17.259999999999998</v>
      </c>
      <c r="MF4" s="71">
        <f t="shared" ref="MF4:MF20" si="9">IF($BG4="P",BA4,(AD4+BA4)/2)</f>
        <v>0</v>
      </c>
      <c r="MG4" s="71">
        <f t="shared" ref="MG4:MG20" si="10">IF($BG4="P",BB4,(AE4+BB4)/2)</f>
        <v>10.77</v>
      </c>
      <c r="MH4" s="71">
        <f t="shared" ref="MH4:MH20" si="11">IF($BG4="P",BC4,(AF4+BC4)/2)</f>
        <v>5.9249999999999998</v>
      </c>
      <c r="MI4" s="71">
        <f t="shared" ref="MI4:MI20" si="12">IF($BG4="P",BD4,(AG4+BD4)/2)</f>
        <v>10.95</v>
      </c>
      <c r="MJ4" s="71">
        <f t="shared" ref="MJ4:MJ20" si="13">IF($BG4="P",BE4,(AH4+BE4)/2)</f>
        <v>11.262499999999999</v>
      </c>
      <c r="MK4" s="71">
        <f t="shared" ref="MK4:MK20" si="14">IF($BG4="P",BF4,(AI4+BF4)/2)</f>
        <v>0</v>
      </c>
      <c r="ML4" s="82" t="s">
        <v>96</v>
      </c>
      <c r="MM4" s="12">
        <f t="shared" ref="MM4:MM20" si="15">IF(MD4&gt;0,MD4,"")</f>
        <v>16.2</v>
      </c>
      <c r="MN4" s="12">
        <f t="shared" ref="MN4:MN20" si="16">IF(SUM(LW4:LZ4)-MA4&gt;0,SUM(LW4:LZ4)-MA4,"")</f>
        <v>40.292500000000004</v>
      </c>
      <c r="MO4" s="12">
        <f t="shared" ref="MO4:MO20" si="17">IF(SUM(MB4:ME4)-MF4&gt;0,SUM(MB4:ME4)-MF4,"")</f>
        <v>59.859999999999992</v>
      </c>
      <c r="MP4" s="12">
        <f t="shared" ref="MP4:MP20" si="18">IF(SUM(MN4:MO4)&gt;0,SUM(MN4:MO4),"")</f>
        <v>100.1525</v>
      </c>
      <c r="MQ4" s="12">
        <f>IF(MI4&gt;0,MI4,"")</f>
        <v>10.95</v>
      </c>
      <c r="MR4" s="12">
        <f t="shared" ref="MR4:MR20" si="19">IF(SUM(MG4:MJ4)-MK4&gt;0,SUM(MG4:MJ4)-MK4,"")</f>
        <v>38.907499999999999</v>
      </c>
      <c r="MS4" s="12">
        <f t="shared" ref="MS4:MS20" si="20">IF(SUM(MP4,MR4)&gt;0,SUM(MP4,MR4),"")</f>
        <v>139.06</v>
      </c>
    </row>
    <row r="5" spans="1:357" x14ac:dyDescent="0.2">
      <c r="A5" s="6">
        <f>IF(AND(F5="P",H5="P"),SUMPRODUCT((F$4:F$21="P")*(H$4:H$21="P")*(E$4:E$21&gt;E5))+1,IF(H5="P",SUMPRODUCT((F$4:F$21="")*(H$4:H$21="P")*(E$4:E$21&gt;E5))+1+SUMPRODUCT((F$4:F$21="P")*(H$4:H$21="P")),""))</f>
        <v>2</v>
      </c>
      <c r="B5" s="9" t="s">
        <v>42</v>
      </c>
      <c r="C5" s="5" t="s">
        <v>3</v>
      </c>
      <c r="D5" s="6">
        <v>1986</v>
      </c>
      <c r="E5" s="16">
        <f>SUM(J5:R5)</f>
        <v>276.69499999999999</v>
      </c>
      <c r="F5" s="4" t="str">
        <f>IF(OR(AND($AK5&gt;=$AL$23,NOT($AK5=""),$AJ5=""),AND($BH5&gt;=$BI$23,NOT($BH5=""),$BG5=""),AND($CH5&gt;=$CI$23,NOT($CH5="")),AND($DD5&gt;=$DE$23,NOT($DD5="")),AND($DZ5&gt;=$EA$23,NOT($DZ5="")),AND($EV5&gt;=$EW$23,NOT($EV5="")),AND($FR5&gt;=$FS$23,NOT($FR5="")),AND($GN5&gt;=$GO$23,NOT($GN5="")),AND($HJ5&gt;=$HK$23,NOT($HJ5="")),AND($IF5&gt;=$IG$23,NOT($IF5="")),AND($JB5&gt;=$JC$23,NOT($JB5="")),AND($JX5&gt;=$JY$23,NOT($JX5="")),AND($KT5&gt;=$KU$23,NOT($KT5="")),AND($LP5&gt;=$LQ$23,NOT($LP5="")),AND($AO5&gt;=$AL$23,NOT($AO5=""),$AJ5=""),AND($BL5&gt;=$BI$23,NOT($BL5=""),$BG5=""),AND($CL5&gt;=$CI$23,NOT($CL5="")),AND($DH5&gt;=$DE$23,NOT($DH5="")),AND($ED5&gt;=$EA$23,NOT($ED5="")),AND($EZ5&gt;=$EW$23,NOT($EZ5="")),AND($FV5&gt;=$FS$23,NOT($FV5="")),AND($GR5&gt;=$GO$23,NOT($GR5="")),AND($HN5&gt;=$HK$23,NOT($HN5="")),AND($IJ5&gt;=$IG$23,NOT($IJ5="")),AND($JF5&gt;=$JC$23,NOT($JF5="")),AND($KB5&gt;=$JY$23,NOT($KB5="")),AND($KX5&gt;=$KU$23,NOT($KX5="")),AND($LT5&gt;=$LQ$23,NOT($LT5=""))),"P","")</f>
        <v>P</v>
      </c>
      <c r="G5" s="4" t="str">
        <f>IF(OR(AND($AK5&gt;=$AL$24,NOT($AK5=""),$AJ5=""),AND($BH5&gt;=$BI$24,NOT($BH5=""),$BG5=""),AND($CH5&gt;=$CI$24,NOT($CH5="")),AND($DD5&gt;=$DE$24,NOT($DD5="")),AND($DZ5&gt;=$EA$24,NOT($DZ5="")),AND($EV5&gt;=$EW$24,NOT($EV5="")),AND($FR5&gt;=$FS$24,NOT($FR5="")),AND($GN5&gt;=$GO$24,NOT($GN5="")),AND($HJ5&gt;=$HK$24,NOT($HJ5="")),AND($IF5&gt;=$IG$24,NOT($IF5="")),AND($JB5&gt;=$JC$24,NOT($JB5="")),AND($JX5&gt;=$JY$24,NOT($JX5="")),AND($KT5&gt;=$KU$24,NOT($KT5="")),AND($LP5&gt;=$LQ$24,NOT($LP5="")),AND($AO5&gt;=$AL$24,NOT($AO5=""),$AJ5=""),AND($BL5&gt;=$BI$24,NOT($BL5=""),$BG5=""),AND($CL5&gt;=$CI$24,NOT($CL5="")),AND($DH5&gt;=$DE$24,NOT($DH5="")),AND($ED5&gt;=$EA$24,NOT($ED5="")),AND($EZ5&gt;=$EW$24,NOT($EZ5="")),AND($FV5&gt;=$FS$24,NOT($FV5="")),AND($GR5&gt;=$GO$24,NOT($GR5="")),AND($HN5&gt;=$HK$24,NOT($HN5="")),AND($IJ5&gt;=$IG$24,NOT($IJ5="")),AND($JF5&gt;=$JC$24,NOT($JF5="")),AND($KB5&gt;=$JY$24,NOT($KB5="")),AND($KX5&gt;=$KU$24,NOT($KX5="")),AND($LT5&gt;=$LQ$24,NOT($LT5=""))),"P","")</f>
        <v>P</v>
      </c>
      <c r="H5" s="4" t="str">
        <f>IF(OR(AND($AN5&gt;=$AL$25,NOT($AN5=""),$AJ5=""),AND($BK5&gt;=$BI$25,NOT($BK5=""),$BG5=""),AND($CK5&gt;=$CI$25,NOT($CK5="")),AND($DG5&gt;=$DE$25,NOT($DG5="")),AND($EC5&gt;=$EA$25,NOT($EC5="")),AND($EY5&gt;=$EW$25,NOT($EY5="")),AND($FU5&gt;=$FS$25,NOT($FU5="")),AND($GQ5&gt;=$GO$25,NOT($GQ5="")),AND($HM5&gt;=$HK$25,NOT($HM5="")),AND($II5&gt;=$IG$25,NOT($II5="")),AND($JE5&gt;=$JC$25,NOT($JE5="")),AND($KA5&gt;=$JY$25,NOT($KA5="")),AND($KW5&gt;=$KU$25,NOT($KW5="")),AND($LS5&gt;=$LQ$25,NOT($LS5=""))),"P","")</f>
        <v>P</v>
      </c>
      <c r="I5" t="str">
        <f>IF(AND(H5="P",F5=""),"No DD",IF(AND(G5="P",OR(AND($AM5&gt;$AL$28,NOT($AM5=""),$AJ5=""),AND($AP5&gt;$AL$28,NOT($AP5=""),$AJ5=""),AND($BJ5&gt;$BI$28,NOT($BJ5=""),$BG5=""),AND($BM5&gt;$BI$28,NOT($BM5=""),$BG5=""),AND($CJ5&gt;$CI$28,NOT($CJ5="")),AND($CM5&gt;$CI$28,NOT($CM5="")),AND($DF5&gt;$DE$28,NOT($DF5="")),AND($DI5&gt;$DE$28,NOT($DI5="")),AND($EB5&gt;$EA$28,NOT($EB5="")),AND($EE5&gt;$EA$28,NOT($EE5="")),AND($EX5&gt;$EW$28,NOT($EX5="")),AND($FA5&gt;$EW$28,NOT($FA5="")),AND($FT5&gt;$FS$28,NOT($FT5="")),AND($FW5&gt;$FS$28,NOT($FW5="")),AND($GP5&gt;$GO$28,NOT($GP5="")),AND($GS5&gt;$GO$28,NOT($GS5="")),AND($HL5&gt;$HK$28,NOT($HL5="")),AND($HO5&gt;$HK$28,NOT($HO5="")),AND($IH5&gt;$IG$28,NOT($IH5="")),AND($IK5&gt;$IG$28,NOT($IK5="")),AND($JD5&gt;$JC$28,NOT($JD5="")),AND($JG5&gt;$JC$28,NOT($JG5="")),AND($JZ5&gt;$JY$28,NOT($JZ5="")),AND($KC5&gt;$JY$28,NOT($KC5="")),AND($KV5&gt;$KU$28,NOT($KV5="")),AND($KY5&gt;$KU$28,NOT($KY5="")),AND($LR5&gt;$LQ$28,NOT($LR5="")),AND($LU5&gt;$LQ$28,NOT($LU5="")))),"Merit",IF(AND(G5="P",OR(AND($AN5&gt;$AL$27,NOT($AN5=""),$AJ5=""),AND($BK5&gt;$BI$27,NOT($BK5=""),$BG5=""),AND($CK5&gt;$CI$27,NOT($CK5="")),AND($DG5&gt;$DE$27,NOT($DG5="")),AND($EC5&gt;$EA$27,NOT($EC5="")),AND($EY5&gt;$EW$27,NOT($EY5="")),AND($FU5&gt;$FS$27,NOT($FU5="")),AND($GQ5&gt;$GO$27,NOT($GQ5="")),AND($HM5&gt;$HK$27,NOT($HM5="")),AND($II5&gt;$IG$27,NOT($II5="")),AND($JE5&gt;$JC$27,NOT($JE5="")),AND($KA5&gt;$JY$27,NOT($KA5="")),AND($KW5&gt;$KU$27,NOT($KW5="")),AND($LS5&gt;$LQ$27,NOT($LS5="")))),"Excellence",IF(AND(G5="P",OR(AND($AN5&gt;$AL$26,NOT($AN5=""),$AJ5=""),AND($BK5&gt;$BI$26,NOT($BK5=""),$BG5=""),AND($CK5&gt;$CI$26,NOT($CK5="")),AND($DG5&gt;$DE$26,NOT($DG5="")),AND($EC5&gt;$EA$26,NOT($EC5="")),AND($EY5&gt;$EW$26,NOT($EY5="")),AND($FU5&gt;$FS$26,NOT($FU5="")),AND($GQ5&gt;$GO$26,NOT($GQ5="")),AND($HM5&gt;$HK$26,NOT($HM5="")),AND($II5&gt;$IG$26,NOT($II5="")),AND($JE5&gt;$JC$26,NOT($JE5="")),AND($KA5&gt;$JY$26,NOT($KA5="")),AND($KW5&gt;$KU$26,NOT($KW5="")),AND($LS5&gt;$LQ$26,NOT($LS5="")))),"Worlds Team",IF(AND(F5="P",OR(AND($AN5&gt;$AL$25,NOT($AN5=""),$AJ5=""),AND($BK5&gt;$BI$25,NOT($BK5=""),$BG5=""),AND($CK5&gt;$CI$25,NOT($CK5="")),AND($DG5&gt;$DE$25,NOT($DG5="")),AND($EC5&gt;$EA$25,NOT($EC5="")),AND($EY5&gt;$EW$25,NOT($EY5="")),AND($FU5&gt;$FS$25,NOT($FU5="")),AND($GQ5&gt;$GO$25,NOT($GQ5="")),AND($HM5&gt;$HK$25,NOT($HM5="")),AND($II5&gt;$IG$25,NOT($II5="")),AND($JE5&gt;$JC$25,NOT($JE5="")),AND($KA5&gt;$JY$25,NOT($KA5="")),AND($KW5&gt;$KU$25,NOT($KW5="")),AND($LS5&gt;$LQ$25,NOT($LS5="")))),"National Team","")))))</f>
        <v>Excellence</v>
      </c>
      <c r="J5" s="15">
        <f>IF(MAX(AN5,BK5)&gt;0,MAX(AN5,BK5),"")</f>
        <v>109.58500000000001</v>
      </c>
      <c r="K5" s="15" t="str">
        <f>IF(J5="","",IF(J5=BK5,$AR$1,IF(J5=AN5,$U$1,"")))</f>
        <v>2019 Nationals</v>
      </c>
      <c r="L5" s="15">
        <f>IF($J5=$AN5,BI5,IF($J5=$BK5,AL5,MAX(AL5,BI5)))</f>
        <v>51.424999999999997</v>
      </c>
      <c r="M5" s="15" t="str">
        <f>IF(L5="","",IF(AND(L5=BI5,$K5&lt;&gt;$AR$1),$AR$1,IF(AND(L5=AL5,$K5&lt;&gt;$U$1),$U$1,"")))</f>
        <v>2019 Elite Canada</v>
      </c>
      <c r="N5" s="15">
        <f>IF($J5=$AN5,BJ5,IF($J5=$BK5,AM5,MAX(AM5,BJ5)))</f>
        <v>57.162500000000001</v>
      </c>
      <c r="O5" s="15" t="str">
        <f>IF(N5="","",IF(AND(N5=BJ5,$K5&lt;&gt;$AR$1),$AR$1,IF(AND(N5=AM5,$K5&lt;&gt;$U$1),$U$1,"")))</f>
        <v>2019 Elite Canada</v>
      </c>
      <c r="P5" s="15">
        <f>IF(MAX(AP5,BM5)&gt;0,MAX(AP5,BM5),"")</f>
        <v>58.302500000000002</v>
      </c>
      <c r="Q5" s="15" t="str">
        <f>IF(P5="","",IF(P5=BM5,$AR$1,IF(P5=AP5,$U$1,"")))</f>
        <v>2019 Elite Canada</v>
      </c>
      <c r="R5" s="15">
        <f>IF(MAX(BO5,BP5,BQ5,BR5)&gt;0,MAX(BO5,BP5,BQ5,BR5),"")</f>
        <v>0.22000000000000597</v>
      </c>
      <c r="S5" s="27" t="str">
        <f>IF(R5="","",IF(R5=BO5,"(Vol 1)",IF(R5=BP5,"(Vol 2)",IF(R5=BQ5,"(Prelim)",IF(R5=BR5,"(Final)")))))</f>
        <v>(Vol 1)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Cup ESP (Oct 5)</v>
      </c>
      <c r="U5" s="71">
        <v>18.799999999999997</v>
      </c>
      <c r="V5" s="71">
        <v>9.4250000000000007</v>
      </c>
      <c r="W5" s="71">
        <v>5.8</v>
      </c>
      <c r="X5" s="71">
        <v>17.399999999999999</v>
      </c>
      <c r="Y5" s="71">
        <v>0</v>
      </c>
      <c r="Z5" s="71">
        <v>16.850000000000001</v>
      </c>
      <c r="AA5" s="71">
        <v>8.8249999999999993</v>
      </c>
      <c r="AB5" s="71">
        <v>15.2</v>
      </c>
      <c r="AC5" s="71">
        <v>16.287500000000001</v>
      </c>
      <c r="AD5" s="71">
        <v>0</v>
      </c>
      <c r="AE5" s="71">
        <v>17.7</v>
      </c>
      <c r="AF5" s="71">
        <v>9.125</v>
      </c>
      <c r="AG5" s="71">
        <v>15</v>
      </c>
      <c r="AH5" s="71">
        <v>16.477499999999999</v>
      </c>
      <c r="AI5" s="71">
        <v>0</v>
      </c>
      <c r="AJ5" s="82" t="s">
        <v>96</v>
      </c>
      <c r="AK5" s="12">
        <f>IF(AB5&gt;0,AB5,"")</f>
        <v>15.2</v>
      </c>
      <c r="AL5" s="12">
        <f>IF(SUM(U5:X5)-Y5&gt;0,SUM(U5:X5)-Y5,"")</f>
        <v>51.424999999999997</v>
      </c>
      <c r="AM5" s="12">
        <f>IF(SUM(Z5:AC5)-AD5&gt;0,SUM(Z5:AC5)-AD5,"")</f>
        <v>57.162500000000001</v>
      </c>
      <c r="AN5" s="12">
        <f>IF(SUM(AL5:AM5)&gt;0,SUM(AL5:AM5),"")</f>
        <v>108.58750000000001</v>
      </c>
      <c r="AO5" s="12">
        <f>IF(AG5&gt;0,AG5,"")</f>
        <v>15</v>
      </c>
      <c r="AP5" s="12">
        <f>IF(SUM(AE5:AH5)-AI5&gt;0,SUM(AE5:AH5)-AI5,"")</f>
        <v>58.302500000000002</v>
      </c>
      <c r="AQ5" s="12">
        <f>IF(SUM(AN5,AP5)&gt;0,SUM(AN5,AP5),"")</f>
        <v>166.89000000000001</v>
      </c>
      <c r="AR5" s="65">
        <v>18.8</v>
      </c>
      <c r="AS5" s="65">
        <v>9.4</v>
      </c>
      <c r="AT5" s="65">
        <v>5.8</v>
      </c>
      <c r="AU5" s="65">
        <v>17.305</v>
      </c>
      <c r="AV5" s="65">
        <v>0</v>
      </c>
      <c r="AW5" s="65">
        <v>17.3</v>
      </c>
      <c r="AX5" s="65">
        <v>9.1</v>
      </c>
      <c r="AY5" s="65">
        <v>15.6</v>
      </c>
      <c r="AZ5" s="65">
        <v>16.28</v>
      </c>
      <c r="BA5" s="65">
        <v>0</v>
      </c>
      <c r="BB5" s="65">
        <v>1.8</v>
      </c>
      <c r="BC5" s="65">
        <v>0.9</v>
      </c>
      <c r="BD5" s="65">
        <v>2</v>
      </c>
      <c r="BE5" s="65">
        <v>1.85</v>
      </c>
      <c r="BF5" s="65">
        <v>0</v>
      </c>
      <c r="BG5" s="83"/>
      <c r="BH5" s="15">
        <f>IF(AY5&gt;0,AY5,"")</f>
        <v>15.6</v>
      </c>
      <c r="BI5" s="15">
        <f>IF(SUM(AR5:AU5)-AV5&gt;0,SUM(AR5:AU5)-AV5,"")</f>
        <v>51.305</v>
      </c>
      <c r="BJ5" s="15">
        <f>IF(SUM(AW5:AZ5)-BA5&gt;0,SUM(AW5:AZ5)-BA5,"")</f>
        <v>58.28</v>
      </c>
      <c r="BK5" s="15">
        <f>IF(SUM(BI5:BJ5)&gt;0,SUM(BI5:BJ5),"")</f>
        <v>109.58500000000001</v>
      </c>
      <c r="BL5" s="15">
        <f>IF(BD5&gt;0,BD5,"")</f>
        <v>2</v>
      </c>
      <c r="BM5" s="15">
        <f>IF(SUM(BB5:BE5)-BF5&gt;0,SUM(BB5:BE5)-BF5,"")</f>
        <v>6.5500000000000007</v>
      </c>
      <c r="BN5" s="15">
        <f>IF(SUM(BK5,BM5)&gt;0,SUM(BK5,BM5),"")</f>
        <v>116.13500000000001</v>
      </c>
      <c r="BO5" s="26">
        <f>IF(MAX(CI5,DE5,EA5,EW5,FS5,GO5,HK5,IG5,JC5,JY5,KU5,LQ5)-IF(L5="",0,L5)&gt;0.001,MAX(CI5,DE5,EA5,EW5,FS5,GO5,HK5,IG5,JC5,JY5,KU5,LQ5)-IF(L5="",0,L5),"")</f>
        <v>0.22000000000000597</v>
      </c>
      <c r="BP5" s="26">
        <f>IF(MAX(CJ5,DF5,EB5,EX5,FT5,GP5,HL5,IH5,JD5,JZ5,KV5,LR5)-IF(N5="",0,N5)&gt;0.001,MAX(CJ5,DF5,EB5,EX5,FT5,GP5,HL5,IH5,JD5,JZ5,KV5,LR5)-IF(N5="",0,N5),"")</f>
        <v>3.2499999999998863E-2</v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>
        <v>18.2</v>
      </c>
      <c r="BT5" s="39">
        <v>9.1999999999999993</v>
      </c>
      <c r="BU5" s="39">
        <v>5.4</v>
      </c>
      <c r="BV5" s="39">
        <v>17.155000000000001</v>
      </c>
      <c r="BW5" s="39">
        <v>0</v>
      </c>
      <c r="BX5" s="39">
        <v>15.5</v>
      </c>
      <c r="BY5" s="39">
        <v>9</v>
      </c>
      <c r="BZ5" s="39">
        <v>16.5</v>
      </c>
      <c r="CA5" s="39">
        <v>16.195</v>
      </c>
      <c r="CB5" s="39">
        <v>0</v>
      </c>
      <c r="CC5" s="39"/>
      <c r="CD5" s="39"/>
      <c r="CE5" s="39"/>
      <c r="CF5" s="39"/>
      <c r="CG5" s="39"/>
      <c r="CH5" s="12">
        <f>IF(BZ5&gt;0,BZ5,"")</f>
        <v>16.5</v>
      </c>
      <c r="CI5" s="12">
        <f>IF(SUM(BS5:BV5)-BW5&gt;0,SUM(BS5:BV5)-BW5,"")</f>
        <v>49.954999999999998</v>
      </c>
      <c r="CJ5" s="12">
        <f>IF(SUM(BX5:CA5)-CB5&gt;0,SUM(BX5:CA5)-CB5,"")</f>
        <v>57.195</v>
      </c>
      <c r="CK5" s="12">
        <f>IF(SUM(CI5:CJ5)&gt;0,SUM(CI5:CJ5),"")</f>
        <v>107.15</v>
      </c>
      <c r="CL5" s="12" t="str">
        <f>IF(CE5&gt;0,CE5,"")</f>
        <v/>
      </c>
      <c r="CM5" s="12" t="str">
        <f>IF(SUM(CC5:CF5)-CG5&gt;0,SUM(CC5:CF5)-CG5,"")</f>
        <v/>
      </c>
      <c r="CN5" s="12">
        <f>IF(SUM(CK5,CM5)&gt;0,SUM(CK5,CM5),"")</f>
        <v>107.15</v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40">
        <v>11.7</v>
      </c>
      <c r="EH5" s="40">
        <v>5.2</v>
      </c>
      <c r="EI5" s="40">
        <v>0</v>
      </c>
      <c r="EJ5" s="40">
        <v>10.395</v>
      </c>
      <c r="EK5" s="40">
        <v>0</v>
      </c>
      <c r="EL5" s="40">
        <v>15.7</v>
      </c>
      <c r="EM5" s="40">
        <v>9.9</v>
      </c>
      <c r="EN5" s="40">
        <v>15</v>
      </c>
      <c r="EO5" s="40">
        <v>15.875</v>
      </c>
      <c r="EP5" s="40">
        <v>0</v>
      </c>
      <c r="EQ5" s="40"/>
      <c r="ER5" s="40"/>
      <c r="ES5" s="40"/>
      <c r="ET5" s="40"/>
      <c r="EU5" s="40"/>
      <c r="EV5" s="15">
        <f>IF(EN5&gt;0,EN5,"")</f>
        <v>15</v>
      </c>
      <c r="EW5" s="15">
        <f>IF(SUM(EG5:EJ5)-EK5&gt;0,SUM(EG5:EJ5)-EK5,"")</f>
        <v>27.294999999999998</v>
      </c>
      <c r="EX5" s="15">
        <f>IF(SUM(EL5:EO5)-EP5&gt;0,SUM(EL5:EO5)-EP5,"")</f>
        <v>56.475000000000001</v>
      </c>
      <c r="EY5" s="15">
        <f>IF(SUM(EW5:EX5)&gt;0,SUM(EW5:EX5),"")</f>
        <v>83.77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83.77</v>
      </c>
      <c r="FC5" s="39">
        <v>17.899999999999999</v>
      </c>
      <c r="FD5" s="39">
        <v>9</v>
      </c>
      <c r="FE5" s="39">
        <v>6.2</v>
      </c>
      <c r="FF5" s="39">
        <v>17.18</v>
      </c>
      <c r="FG5" s="39">
        <v>0</v>
      </c>
      <c r="FH5" s="39">
        <v>15.9</v>
      </c>
      <c r="FI5" s="39">
        <v>8.9</v>
      </c>
      <c r="FJ5" s="39">
        <v>14</v>
      </c>
      <c r="FK5" s="39">
        <v>16.335000000000001</v>
      </c>
      <c r="FL5" s="39">
        <v>0</v>
      </c>
      <c r="FM5" s="39"/>
      <c r="FN5" s="39"/>
      <c r="FO5" s="39"/>
      <c r="FP5" s="39"/>
      <c r="FQ5" s="39"/>
      <c r="FR5" s="12">
        <f>IF(FJ5&gt;0,FJ5,"")</f>
        <v>14</v>
      </c>
      <c r="FS5" s="12">
        <f>IF(SUM(FC5:FF5)-FG5&gt;0,SUM(FC5:FF5)-FG5,"")</f>
        <v>50.28</v>
      </c>
      <c r="FT5" s="12">
        <f>IF(SUM(FH5:FK5)-FL5&gt;0,SUM(FH5:FK5)-FL5,"")</f>
        <v>55.134999999999998</v>
      </c>
      <c r="FU5" s="12">
        <f>IF(SUM(FS5:FT5)&gt;0,SUM(FS5:FT5),"")</f>
        <v>105.41499999999999</v>
      </c>
      <c r="FV5" s="12" t="str">
        <f>IF(FO5&gt;0,FO5,"")</f>
        <v/>
      </c>
      <c r="FW5" s="12" t="str">
        <f>IF(SUM(FM5:FP5)-FQ5&gt;0,SUM(FM5:FP5)-FQ5,"")</f>
        <v/>
      </c>
      <c r="FX5" s="12">
        <f>IF(SUM(FU5,FW5)&gt;0,SUM(FU5,FW5),"")</f>
        <v>105.41499999999999</v>
      </c>
      <c r="FY5" s="40">
        <v>18.5</v>
      </c>
      <c r="FZ5" s="40">
        <v>9.8000000000000007</v>
      </c>
      <c r="GA5" s="40">
        <v>5.8</v>
      </c>
      <c r="GB5" s="40">
        <v>17.545000000000002</v>
      </c>
      <c r="GC5" s="40">
        <v>0</v>
      </c>
      <c r="GD5" s="40">
        <v>3.4</v>
      </c>
      <c r="GE5" s="40">
        <v>1.7</v>
      </c>
      <c r="GF5" s="40">
        <v>3.6</v>
      </c>
      <c r="GG5" s="40">
        <v>3.48</v>
      </c>
      <c r="GH5" s="40">
        <v>0</v>
      </c>
      <c r="GI5" s="40"/>
      <c r="GJ5" s="40"/>
      <c r="GK5" s="40"/>
      <c r="GL5" s="40"/>
      <c r="GM5" s="40"/>
      <c r="GN5" s="15">
        <f>IF(GF5&gt;0,GF5,"")</f>
        <v>3.6</v>
      </c>
      <c r="GO5" s="15">
        <f>IF(SUM(FY5:GB5)-GC5&gt;0,SUM(FY5:GB5)-GC5,"")</f>
        <v>51.645000000000003</v>
      </c>
      <c r="GP5" s="15">
        <f>IF(SUM(GD5:GG5)-GH5&gt;0,SUM(GD5:GG5)-GH5,"")</f>
        <v>12.18</v>
      </c>
      <c r="GQ5" s="15">
        <f>IF(SUM(GO5:GP5)&gt;0,SUM(GO5:GP5),"")</f>
        <v>63.825000000000003</v>
      </c>
      <c r="GR5" s="15" t="str">
        <f>IF(GK5&gt;0,GK5,"")</f>
        <v/>
      </c>
      <c r="GS5" s="15" t="str">
        <f>IF(SUM(GI5:GL5)-GM5&gt;0,SUM(GI5:GL5)-GM5,"")</f>
        <v/>
      </c>
      <c r="GT5" s="15">
        <f>IF(SUM(GQ5,GS5)&gt;0,SUM(GQ5,GS5),"")</f>
        <v>63.825000000000003</v>
      </c>
      <c r="GU5" s="39">
        <v>17.8</v>
      </c>
      <c r="GV5" s="39">
        <v>8.8000000000000007</v>
      </c>
      <c r="GW5" s="39">
        <v>5.6</v>
      </c>
      <c r="GX5" s="39">
        <v>17.350000000000001</v>
      </c>
      <c r="GY5" s="39">
        <v>0</v>
      </c>
      <c r="GZ5" s="39">
        <v>3.1</v>
      </c>
      <c r="HA5" s="39">
        <v>1.8</v>
      </c>
      <c r="HB5" s="39">
        <v>3.8</v>
      </c>
      <c r="HC5" s="39">
        <v>3.54</v>
      </c>
      <c r="HD5" s="39">
        <v>0</v>
      </c>
      <c r="HE5" s="39"/>
      <c r="HF5" s="39"/>
      <c r="HG5" s="39"/>
      <c r="HH5" s="39"/>
      <c r="HI5" s="39"/>
      <c r="HJ5" s="12">
        <f>IF(HB5&gt;0,HB5,"")</f>
        <v>3.8</v>
      </c>
      <c r="HK5" s="12">
        <f>IF(SUM(GU5:GX5)-GY5&gt;0,SUM(GU5:GX5)-GY5,"")</f>
        <v>49.550000000000004</v>
      </c>
      <c r="HL5" s="12">
        <f>IF(SUM(GZ5:HC5)-HD5&gt;0,SUM(GZ5:HC5)-HD5,"")</f>
        <v>12.239999999999998</v>
      </c>
      <c r="HM5" s="12">
        <f>IF(SUM(HK5:HL5)&gt;0,SUM(HK5:HL5),"")</f>
        <v>61.790000000000006</v>
      </c>
      <c r="HN5" s="12" t="str">
        <f>IF(HG5&gt;0,HG5,"")</f>
        <v/>
      </c>
      <c r="HO5" s="12" t="str">
        <f>IF(SUM(HE5:HH5)-HI5&gt;0,SUM(HE5:HH5)-HI5,"")</f>
        <v/>
      </c>
      <c r="HP5" s="12">
        <f>IF(SUM(HM5,HO5)&gt;0,SUM(HM5,HO5),"")</f>
        <v>61.790000000000006</v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si="0"/>
        <v>18.799999999999997</v>
      </c>
      <c r="LX5" s="71">
        <f t="shared" si="1"/>
        <v>9.4125000000000014</v>
      </c>
      <c r="LY5" s="71">
        <f t="shared" si="2"/>
        <v>5.8</v>
      </c>
      <c r="LZ5" s="71">
        <f t="shared" si="3"/>
        <v>17.352499999999999</v>
      </c>
      <c r="MA5" s="71">
        <f t="shared" si="4"/>
        <v>0</v>
      </c>
      <c r="MB5" s="71">
        <f t="shared" si="5"/>
        <v>17.075000000000003</v>
      </c>
      <c r="MC5" s="71">
        <f t="shared" si="6"/>
        <v>8.9624999999999986</v>
      </c>
      <c r="MD5" s="71">
        <f t="shared" si="7"/>
        <v>15.399999999999999</v>
      </c>
      <c r="ME5" s="71">
        <f t="shared" si="8"/>
        <v>16.283750000000001</v>
      </c>
      <c r="MF5" s="71">
        <f t="shared" si="9"/>
        <v>0</v>
      </c>
      <c r="MG5" s="71">
        <f t="shared" si="10"/>
        <v>9.75</v>
      </c>
      <c r="MH5" s="71">
        <f t="shared" si="11"/>
        <v>5.0125000000000002</v>
      </c>
      <c r="MI5" s="71">
        <f t="shared" si="12"/>
        <v>8.5</v>
      </c>
      <c r="MJ5" s="71">
        <f t="shared" si="13"/>
        <v>9.1637500000000003</v>
      </c>
      <c r="MK5" s="71">
        <f t="shared" si="14"/>
        <v>0</v>
      </c>
      <c r="ML5" s="82" t="s">
        <v>96</v>
      </c>
      <c r="MM5" s="12">
        <f t="shared" si="15"/>
        <v>15.399999999999999</v>
      </c>
      <c r="MN5" s="12">
        <f t="shared" si="16"/>
        <v>51.364999999999995</v>
      </c>
      <c r="MO5" s="12">
        <f t="shared" si="17"/>
        <v>57.721249999999998</v>
      </c>
      <c r="MP5" s="12">
        <f t="shared" si="18"/>
        <v>109.08624999999999</v>
      </c>
      <c r="MQ5" s="12">
        <f t="shared" ref="MQ5:MQ20" si="21">IF(MI5&gt;0,MI5,"")</f>
        <v>8.5</v>
      </c>
      <c r="MR5" s="12">
        <f t="shared" si="19"/>
        <v>32.426249999999996</v>
      </c>
      <c r="MS5" s="12">
        <f t="shared" si="20"/>
        <v>141.51249999999999</v>
      </c>
    </row>
    <row r="6" spans="1:357" x14ac:dyDescent="0.2">
      <c r="A6" s="6">
        <f>IF(AND(F6="P",H6="P"),SUMPRODUCT((F$4:F$21="P")*(H$4:H$21="P")*(E$4:E$21&gt;E6))+1,IF(H6="P",SUMPRODUCT((F$4:F$21="")*(H$4:H$21="P")*(E$4:E$21&gt;E6))+1+SUMPRODUCT((F$4:F$21="P")*(H$4:H$21="P")),""))</f>
        <v>3</v>
      </c>
      <c r="B6" s="9" t="s">
        <v>4</v>
      </c>
      <c r="C6" s="5" t="s">
        <v>5</v>
      </c>
      <c r="D6" s="6">
        <v>1992</v>
      </c>
      <c r="E6" s="16">
        <f>SUM(J6:R6)</f>
        <v>274.03000000000003</v>
      </c>
      <c r="F6" s="4" t="str">
        <f>IF(OR(AND($AK6&gt;=$AL$23,NOT($AK6=""),$AJ6=""),AND($BH6&gt;=$BI$23,NOT($BH6=""),$BG6=""),AND($CH6&gt;=$CI$23,NOT($CH6="")),AND($DD6&gt;=$DE$23,NOT($DD6="")),AND($DZ6&gt;=$EA$23,NOT($DZ6="")),AND($EV6&gt;=$EW$23,NOT($EV6="")),AND($FR6&gt;=$FS$23,NOT($FR6="")),AND($GN6&gt;=$GO$23,NOT($GN6="")),AND($HJ6&gt;=$HK$23,NOT($HJ6="")),AND($IF6&gt;=$IG$23,NOT($IF6="")),AND($JB6&gt;=$JC$23,NOT($JB6="")),AND($JX6&gt;=$JY$23,NOT($JX6="")),AND($KT6&gt;=$KU$23,NOT($KT6="")),AND($LP6&gt;=$LQ$23,NOT($LP6="")),AND($AO6&gt;=$AL$23,NOT($AO6=""),$AJ6=""),AND($BL6&gt;=$BI$23,NOT($BL6=""),$BG6=""),AND($CL6&gt;=$CI$23,NOT($CL6="")),AND($DH6&gt;=$DE$23,NOT($DH6="")),AND($ED6&gt;=$EA$23,NOT($ED6="")),AND($EZ6&gt;=$EW$23,NOT($EZ6="")),AND($FV6&gt;=$FS$23,NOT($FV6="")),AND($GR6&gt;=$GO$23,NOT($GR6="")),AND($HN6&gt;=$HK$23,NOT($HN6="")),AND($IJ6&gt;=$IG$23,NOT($IJ6="")),AND($JF6&gt;=$JC$23,NOT($JF6="")),AND($KB6&gt;=$JY$23,NOT($KB6="")),AND($KX6&gt;=$KU$23,NOT($KX6="")),AND($LT6&gt;=$LQ$23,NOT($LT6=""))),"P","")</f>
        <v>P</v>
      </c>
      <c r="G6" s="4" t="str">
        <f>IF(OR(AND($AK6&gt;=$AL$24,NOT($AK6=""),$AJ6=""),AND($BH6&gt;=$BI$24,NOT($BH6=""),$BG6=""),AND($CH6&gt;=$CI$24,NOT($CH6="")),AND($DD6&gt;=$DE$24,NOT($DD6="")),AND($DZ6&gt;=$EA$24,NOT($DZ6="")),AND($EV6&gt;=$EW$24,NOT($EV6="")),AND($FR6&gt;=$FS$24,NOT($FR6="")),AND($GN6&gt;=$GO$24,NOT($GN6="")),AND($HJ6&gt;=$HK$24,NOT($HJ6="")),AND($IF6&gt;=$IG$24,NOT($IF6="")),AND($JB6&gt;=$JC$24,NOT($JB6="")),AND($JX6&gt;=$JY$24,NOT($JX6="")),AND($KT6&gt;=$KU$24,NOT($KT6="")),AND($LP6&gt;=$LQ$24,NOT($LP6="")),AND($AO6&gt;=$AL$24,NOT($AO6=""),$AJ6=""),AND($BL6&gt;=$BI$24,NOT($BL6=""),$BG6=""),AND($CL6&gt;=$CI$24,NOT($CL6="")),AND($DH6&gt;=$DE$24,NOT($DH6="")),AND($ED6&gt;=$EA$24,NOT($ED6="")),AND($EZ6&gt;=$EW$24,NOT($EZ6="")),AND($FV6&gt;=$FS$24,NOT($FV6="")),AND($GR6&gt;=$GO$24,NOT($GR6="")),AND($HN6&gt;=$HK$24,NOT($HN6="")),AND($IJ6&gt;=$IG$24,NOT($IJ6="")),AND($JF6&gt;=$JC$24,NOT($JF6="")),AND($KB6&gt;=$JY$24,NOT($KB6="")),AND($KX6&gt;=$KU$24,NOT($KX6="")),AND($LT6&gt;=$LQ$24,NOT($LT6=""))),"P","")</f>
        <v>P</v>
      </c>
      <c r="H6" s="4" t="str">
        <f>IF(OR(AND($AN6&gt;=$AL$25,NOT($AN6=""),$AJ6=""),AND($BK6&gt;=$BI$25,NOT($BK6=""),$BG6=""),AND($CK6&gt;=$CI$25,NOT($CK6="")),AND($DG6&gt;=$DE$25,NOT($DG6="")),AND($EC6&gt;=$EA$25,NOT($EC6="")),AND($EY6&gt;=$EW$25,NOT($EY6="")),AND($FU6&gt;=$FS$25,NOT($FU6="")),AND($GQ6&gt;=$GO$25,NOT($GQ6="")),AND($HM6&gt;=$HK$25,NOT($HM6="")),AND($II6&gt;=$IG$25,NOT($II6="")),AND($JE6&gt;=$JC$25,NOT($JE6="")),AND($KA6&gt;=$JY$25,NOT($KA6="")),AND($KW6&gt;=$KU$25,NOT($KW6="")),AND($LS6&gt;=$LQ$25,NOT($LS6=""))),"P","")</f>
        <v>P</v>
      </c>
      <c r="I6" t="str">
        <f>IF(AND(H6="P",F6=""),"No DD",IF(AND(G6="P",OR(AND($AM6&gt;$AL$28,NOT($AM6=""),$AJ6=""),AND($AP6&gt;$AL$28,NOT($AP6=""),$AJ6=""),AND($BJ6&gt;$BI$28,NOT($BJ6=""),$BG6=""),AND($BM6&gt;$BI$28,NOT($BM6=""),$BG6=""),AND($CJ6&gt;$CI$28,NOT($CJ6="")),AND($CM6&gt;$CI$28,NOT($CM6="")),AND($DF6&gt;$DE$28,NOT($DF6="")),AND($DI6&gt;$DE$28,NOT($DI6="")),AND($EB6&gt;$EA$28,NOT($EB6="")),AND($EE6&gt;$EA$28,NOT($EE6="")),AND($EX6&gt;$EW$28,NOT($EX6="")),AND($FA6&gt;$EW$28,NOT($FA6="")),AND($FT6&gt;$FS$28,NOT($FT6="")),AND($FW6&gt;$FS$28,NOT($FW6="")),AND($GP6&gt;$GO$28,NOT($GP6="")),AND($GS6&gt;$GO$28,NOT($GS6="")),AND($HL6&gt;$HK$28,NOT($HL6="")),AND($HO6&gt;$HK$28,NOT($HO6="")),AND($IH6&gt;$IG$28,NOT($IH6="")),AND($IK6&gt;$IG$28,NOT($IK6="")),AND($JD6&gt;$JC$28,NOT($JD6="")),AND($JG6&gt;$JC$28,NOT($JG6="")),AND($JZ6&gt;$JY$28,NOT($JZ6="")),AND($KC6&gt;$JY$28,NOT($KC6="")),AND($KV6&gt;$KU$28,NOT($KV6="")),AND($KY6&gt;$KU$28,NOT($KY6="")),AND($LR6&gt;$LQ$28,NOT($LR6="")),AND($LU6&gt;$LQ$28,NOT($LU6="")))),"Merit",IF(AND(G6="P",OR(AND($AN6&gt;$AL$27,NOT($AN6=""),$AJ6=""),AND($BK6&gt;$BI$27,NOT($BK6=""),$BG6=""),AND($CK6&gt;$CI$27,NOT($CK6="")),AND($DG6&gt;$DE$27,NOT($DG6="")),AND($EC6&gt;$EA$27,NOT($EC6="")),AND($EY6&gt;$EW$27,NOT($EY6="")),AND($FU6&gt;$FS$27,NOT($FU6="")),AND($GQ6&gt;$GO$27,NOT($GQ6="")),AND($HM6&gt;$HK$27,NOT($HM6="")),AND($II6&gt;$IG$27,NOT($II6="")),AND($JE6&gt;$JC$27,NOT($JE6="")),AND($KA6&gt;$JY$27,NOT($KA6="")),AND($KW6&gt;$KU$27,NOT($KW6="")),AND($LS6&gt;$LQ$27,NOT($LS6="")))),"Excellence",IF(AND(G6="P",OR(AND($AN6&gt;$AL$26,NOT($AN6=""),$AJ6=""),AND($BK6&gt;$BI$26,NOT($BK6=""),$BG6=""),AND($CK6&gt;$CI$26,NOT($CK6="")),AND($DG6&gt;$DE$26,NOT($DG6="")),AND($EC6&gt;$EA$26,NOT($EC6="")),AND($EY6&gt;$EW$26,NOT($EY6="")),AND($FU6&gt;$FS$26,NOT($FU6="")),AND($GQ6&gt;$GO$26,NOT($GQ6="")),AND($HM6&gt;$HK$26,NOT($HM6="")),AND($II6&gt;$IG$26,NOT($II6="")),AND($JE6&gt;$JC$26,NOT($JE6="")),AND($KA6&gt;$JY$26,NOT($KA6="")),AND($KW6&gt;$KU$26,NOT($KW6="")),AND($LS6&gt;$LQ$26,NOT($LS6="")))),"Worlds Team",IF(AND(F6="P",OR(AND($AN6&gt;$AL$25,NOT($AN6=""),$AJ6=""),AND($BK6&gt;$BI$25,NOT($BK6=""),$BG6=""),AND($CK6&gt;$CI$25,NOT($CK6="")),AND($DG6&gt;$DE$25,NOT($DG6="")),AND($EC6&gt;$EA$25,NOT($EC6="")),AND($EY6&gt;$EW$25,NOT($EY6="")),AND($FU6&gt;$FS$25,NOT($FU6="")),AND($GQ6&gt;$GO$25,NOT($GQ6="")),AND($HM6&gt;$HK$25,NOT($HM6="")),AND($II6&gt;$IG$25,NOT($II6="")),AND($JE6&gt;$JC$25,NOT($JE6="")),AND($KA6&gt;$JY$25,NOT($KA6="")),AND($KW6&gt;$KU$25,NOT($KW6="")),AND($LS6&gt;$LQ$25,NOT($LS6="")))),"National Team","")))))</f>
        <v>Excellence</v>
      </c>
      <c r="J6" s="15">
        <f>IF(MAX(AN6,BK6)&gt;0,MAX(AN6,BK6),"")</f>
        <v>108.08500000000001</v>
      </c>
      <c r="K6" s="15" t="str">
        <f>IF(J6="","",IF(J6=BK6,$AR$1,IF(J6=AN6,$U$1,"")))</f>
        <v>2019 Nationals</v>
      </c>
      <c r="L6" s="15">
        <f>IF($J6=$AN6,BI6,IF($J6=$BK6,AL6,MAX(AL6,BI6)))</f>
        <v>49.885000000000005</v>
      </c>
      <c r="M6" s="15" t="str">
        <f>IF(L6="","",IF(AND(L6=BI6,$K6&lt;&gt;$AR$1),$AR$1,IF(AND(L6=AL6,$K6&lt;&gt;$U$1),$U$1,"")))</f>
        <v>2019 Elite Canada</v>
      </c>
      <c r="N6" s="15">
        <f>IF($J6=$AN6,BJ6,IF($J6=$BK6,AM6,MAX(AM6,BJ6)))</f>
        <v>57.400000000000006</v>
      </c>
      <c r="O6" s="15" t="str">
        <f>IF(N6="","",IF(AND(N6=BJ6,$K6&lt;&gt;$AR$1),$AR$1,IF(AND(N6=AM6,$K6&lt;&gt;$U$1),$U$1,"")))</f>
        <v>2019 Elite Canada</v>
      </c>
      <c r="P6" s="15">
        <f>IF(MAX(AP6,BM6)&gt;0,MAX(AP6,BM6),"")</f>
        <v>57.005000000000003</v>
      </c>
      <c r="Q6" s="15" t="str">
        <f>IF(P6="","",IF(P6=BM6,$AR$1,IF(P6=AP6,$U$1,"")))</f>
        <v>2019 Elite Canada</v>
      </c>
      <c r="R6" s="15">
        <f>IF(MAX(BO6,BP6,BQ6,BR6)&gt;0,MAX(BO6,BP6,BQ6,BR6),"")</f>
        <v>1.6549999999999869</v>
      </c>
      <c r="S6" s="27" t="str">
        <f>IF(R6="","",IF(R6=BO6,"(Vol 1)",IF(R6=BP6,"(Vol 2)",IF(R6=BQ6,"(Prelim)",IF(R6=BR6,"(Final)")))))</f>
        <v>(Prelim)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2019 World Championships (Prelim+Semifinal) (Nov 30)</v>
      </c>
      <c r="U6" s="71">
        <v>18.100000000000001</v>
      </c>
      <c r="V6" s="71">
        <v>9.25</v>
      </c>
      <c r="W6" s="71">
        <v>5.0999999999999996</v>
      </c>
      <c r="X6" s="71">
        <v>17.434999999999999</v>
      </c>
      <c r="Y6" s="71">
        <v>0</v>
      </c>
      <c r="Z6" s="71">
        <v>15.9</v>
      </c>
      <c r="AA6" s="71">
        <v>9.3000000000000007</v>
      </c>
      <c r="AB6" s="71">
        <v>16</v>
      </c>
      <c r="AC6" s="71">
        <v>16.2</v>
      </c>
      <c r="AD6" s="71">
        <v>0</v>
      </c>
      <c r="AE6" s="71">
        <v>16.100000000000001</v>
      </c>
      <c r="AF6" s="71">
        <v>8.85</v>
      </c>
      <c r="AG6" s="71">
        <v>15.4</v>
      </c>
      <c r="AH6" s="71">
        <v>16.655000000000001</v>
      </c>
      <c r="AI6" s="71">
        <v>0</v>
      </c>
      <c r="AJ6" s="82"/>
      <c r="AK6" s="12">
        <f>IF(AB6&gt;0,AB6,"")</f>
        <v>16</v>
      </c>
      <c r="AL6" s="12">
        <f>IF(SUM(U6:X6)-Y6&gt;0,SUM(U6:X6)-Y6,"")</f>
        <v>49.885000000000005</v>
      </c>
      <c r="AM6" s="12">
        <f>IF(SUM(Z6:AC6)-AD6&gt;0,SUM(Z6:AC6)-AD6,"")</f>
        <v>57.400000000000006</v>
      </c>
      <c r="AN6" s="12">
        <f>IF(SUM(AL6:AM6)&gt;0,SUM(AL6:AM6),"")</f>
        <v>107.28500000000001</v>
      </c>
      <c r="AO6" s="12">
        <f>IF(AG6&gt;0,AG6,"")</f>
        <v>15.4</v>
      </c>
      <c r="AP6" s="12">
        <f>IF(SUM(AE6:AH6)-AI6&gt;0,SUM(AE6:AH6)-AI6,"")</f>
        <v>57.005000000000003</v>
      </c>
      <c r="AQ6" s="12">
        <f>IF(SUM(AN6,AP6)&gt;0,SUM(AN6,AP6),"")</f>
        <v>164.29000000000002</v>
      </c>
      <c r="AR6" s="77">
        <v>17.8</v>
      </c>
      <c r="AS6" s="77">
        <v>9</v>
      </c>
      <c r="AT6" s="77">
        <v>6.8</v>
      </c>
      <c r="AU6" s="77">
        <v>16.734999999999999</v>
      </c>
      <c r="AV6" s="77">
        <v>0</v>
      </c>
      <c r="AW6" s="77">
        <v>15.7</v>
      </c>
      <c r="AX6" s="77">
        <v>9.6</v>
      </c>
      <c r="AY6" s="77">
        <v>16</v>
      </c>
      <c r="AZ6" s="77">
        <v>16.45</v>
      </c>
      <c r="BA6" s="77">
        <v>0</v>
      </c>
      <c r="BB6" s="77">
        <v>16.8</v>
      </c>
      <c r="BC6" s="77">
        <v>9.1999999999999993</v>
      </c>
      <c r="BD6" s="77">
        <v>14.6</v>
      </c>
      <c r="BE6" s="77">
        <v>16.295000000000002</v>
      </c>
      <c r="BF6" s="77">
        <v>0</v>
      </c>
      <c r="BG6" s="83"/>
      <c r="BH6" s="15">
        <f>IF(AY6&gt;0,AY6,"")</f>
        <v>16</v>
      </c>
      <c r="BI6" s="15">
        <f>IF(SUM(AR6:AU6)-AV6&gt;0,SUM(AR6:AU6)-AV6,"")</f>
        <v>50.335000000000001</v>
      </c>
      <c r="BJ6" s="15">
        <f>IF(SUM(AW6:AZ6)-BA6&gt;0,SUM(AW6:AZ6)-BA6,"")</f>
        <v>57.75</v>
      </c>
      <c r="BK6" s="15">
        <f>IF(SUM(BI6:BJ6)&gt;0,SUM(BI6:BJ6),"")</f>
        <v>108.08500000000001</v>
      </c>
      <c r="BL6" s="15">
        <f>IF(BD6&gt;0,BD6,"")</f>
        <v>14.6</v>
      </c>
      <c r="BM6" s="15">
        <f>IF(SUM(BB6:BE6)-BF6&gt;0,SUM(BB6:BE6)-BF6,"")</f>
        <v>56.895000000000003</v>
      </c>
      <c r="BN6" s="15">
        <f>IF(SUM(BK6,BM6)&gt;0,SUM(BK6,BM6),"")</f>
        <v>164.98000000000002</v>
      </c>
      <c r="BO6" s="26">
        <f>IF(MAX(CI6,DE6,EA6,EW6,FS6,GO6,HK6,IG6,JC6,JY6,KU6,LQ6)-IF(L6="",0,L6)&gt;0.001,MAX(CI6,DE6,EA6,EW6,FS6,GO6,HK6,IG6,JC6,JY6,KU6,LQ6)-IF(L6="",0,L6),"")</f>
        <v>1.3349999999999937</v>
      </c>
      <c r="BP6" s="26">
        <f>IF(MAX(CJ6,DF6,EB6,EX6,FT6,GP6,HL6,IH6,JD6,JZ6,KV6,LR6)-IF(N6="",0,N6)&gt;0.001,MAX(CJ6,DF6,EB6,EX6,FT6,GP6,HL6,IH6,JD6,JZ6,KV6,LR6)-IF(N6="",0,N6),"")</f>
        <v>1.1199999999999903</v>
      </c>
      <c r="BQ6" s="26">
        <f>IF(MAX(CK6,DG6,EC6,EY6,FU6,GQ6,HM6,II6,JE6,KA6,KW6,LS6)-IF(J6="",0,J6)&gt;0.001,MAX(CK6,DG6,EC6,EY6,FU6,GQ6,HM6,II6,JE6,KA6,KW6,LS6)-IF(J6="",0,J6),"")</f>
        <v>1.6549999999999869</v>
      </c>
      <c r="BR6" s="26" t="str">
        <f>IF(MAX(CM6,DI6,EE6,FA6,FW6,GS6,HO6,IK6,JG6,KC6,KY6,LU6)-IF(P6="",0,P6)&gt;0.001,MAX(CM6,DI6,EE6,FA6,FW6,GS6,HO6,IK6,JG6,KC6,KY6,LU6)-IF(P6="",0,P6),"")</f>
        <v/>
      </c>
      <c r="BS6" s="39">
        <v>17.7</v>
      </c>
      <c r="BT6" s="39">
        <v>9.3000000000000007</v>
      </c>
      <c r="BU6" s="39">
        <v>5.6</v>
      </c>
      <c r="BV6" s="39">
        <v>16.965</v>
      </c>
      <c r="BW6" s="39">
        <v>0</v>
      </c>
      <c r="BX6" s="39">
        <v>1.6</v>
      </c>
      <c r="BY6" s="39">
        <v>1</v>
      </c>
      <c r="BZ6" s="39">
        <v>2.2000000000000002</v>
      </c>
      <c r="CA6" s="39">
        <v>1.8049999999999999</v>
      </c>
      <c r="CB6" s="39">
        <v>0</v>
      </c>
      <c r="CC6" s="39"/>
      <c r="CD6" s="39"/>
      <c r="CE6" s="39"/>
      <c r="CF6" s="39"/>
      <c r="CG6" s="39"/>
      <c r="CH6" s="12">
        <f>IF(BZ6&gt;0,BZ6,"")</f>
        <v>2.2000000000000002</v>
      </c>
      <c r="CI6" s="12">
        <f>IF(SUM(BS6:BV6)-BW6&gt;0,SUM(BS6:BV6)-BW6,"")</f>
        <v>49.564999999999998</v>
      </c>
      <c r="CJ6" s="12">
        <f>IF(SUM(BX6:CA6)-CB6&gt;0,SUM(BX6:CA6)-CB6,"")</f>
        <v>6.6050000000000004</v>
      </c>
      <c r="CK6" s="12">
        <f>IF(SUM(CI6:CJ6)&gt;0,SUM(CI6:CJ6),"")</f>
        <v>56.17</v>
      </c>
      <c r="CL6" s="12" t="str">
        <f>IF(CE6&gt;0,CE6,"")</f>
        <v/>
      </c>
      <c r="CM6" s="12" t="str">
        <f>IF(SUM(CC6:CF6)-CG6&gt;0,SUM(CC6:CF6)-CG6,"")</f>
        <v/>
      </c>
      <c r="CN6" s="12">
        <f>IF(SUM(CK6,CM6)&gt;0,SUM(CK6,CM6),"")</f>
        <v>56.17</v>
      </c>
      <c r="CO6" s="40">
        <v>18.100000000000001</v>
      </c>
      <c r="CP6" s="40">
        <v>9.1999999999999993</v>
      </c>
      <c r="CQ6" s="40">
        <v>5.2</v>
      </c>
      <c r="CR6" s="40">
        <v>17.22</v>
      </c>
      <c r="CS6" s="40">
        <v>0</v>
      </c>
      <c r="CT6" s="40">
        <v>15.4</v>
      </c>
      <c r="CU6" s="40">
        <v>8.9</v>
      </c>
      <c r="CV6" s="40">
        <v>12.9</v>
      </c>
      <c r="CW6" s="40">
        <v>16.079999999999998</v>
      </c>
      <c r="CX6" s="40">
        <v>0</v>
      </c>
      <c r="CY6" s="40"/>
      <c r="CZ6" s="40"/>
      <c r="DA6" s="40"/>
      <c r="DB6" s="40"/>
      <c r="DC6" s="40"/>
      <c r="DD6" s="15">
        <f>IF(CV6&gt;0,CV6,"")</f>
        <v>12.9</v>
      </c>
      <c r="DE6" s="15">
        <f>IF(SUM(CO6:CR6)-CS6&gt;0,SUM(CO6:CR6)-CS6,"")</f>
        <v>49.72</v>
      </c>
      <c r="DF6" s="15">
        <f>IF(SUM(CT6:CW6)-CX6&gt;0,SUM(CT6:CW6)-CX6,"")</f>
        <v>53.28</v>
      </c>
      <c r="DG6" s="15">
        <f>IF(SUM(DE6:DF6)&gt;0,SUM(DE6:DF6),"")</f>
        <v>103</v>
      </c>
      <c r="DH6" s="15" t="str">
        <f>IF(DA6&gt;0,DA6,"")</f>
        <v/>
      </c>
      <c r="DI6" s="15" t="str">
        <f>IF(SUM(CY6:DB6)-DC6&gt;0,SUM(CY6:DB6)-DC6,"")</f>
        <v/>
      </c>
      <c r="DJ6" s="15">
        <f>IF(SUM(DG6,DI6)&gt;0,SUM(DG6,DI6),"")</f>
        <v>103</v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9">
        <v>17.2</v>
      </c>
      <c r="FD6" s="39">
        <v>8.9</v>
      </c>
      <c r="FE6" s="39">
        <v>6.7</v>
      </c>
      <c r="FF6" s="39">
        <v>17.145</v>
      </c>
      <c r="FG6" s="39">
        <v>0</v>
      </c>
      <c r="FH6" s="39">
        <v>12.8</v>
      </c>
      <c r="FI6" s="39">
        <v>7</v>
      </c>
      <c r="FJ6" s="39">
        <v>13.1</v>
      </c>
      <c r="FK6" s="39">
        <v>13.12</v>
      </c>
      <c r="FL6" s="39">
        <v>0</v>
      </c>
      <c r="FM6" s="39"/>
      <c r="FN6" s="39"/>
      <c r="FO6" s="39"/>
      <c r="FP6" s="39"/>
      <c r="FQ6" s="39"/>
      <c r="FR6" s="12">
        <f>IF(FJ6&gt;0,FJ6,"")</f>
        <v>13.1</v>
      </c>
      <c r="FS6" s="12">
        <f>IF(SUM(FC6:FF6)-FG6&gt;0,SUM(FC6:FF6)-FG6,"")</f>
        <v>49.945000000000007</v>
      </c>
      <c r="FT6" s="12">
        <f>IF(SUM(FH6:FK6)-FL6&gt;0,SUM(FH6:FK6)-FL6,"")</f>
        <v>46.019999999999996</v>
      </c>
      <c r="FU6" s="12">
        <f>IF(SUM(FS6:FT6)&gt;0,SUM(FS6:FT6),"")</f>
        <v>95.965000000000003</v>
      </c>
      <c r="FV6" s="12" t="str">
        <f>IF(FO6&gt;0,FO6,"")</f>
        <v/>
      </c>
      <c r="FW6" s="12" t="str">
        <f>IF(SUM(FM6:FP6)-FQ6&gt;0,SUM(FM6:FP6)-FQ6,"")</f>
        <v/>
      </c>
      <c r="FX6" s="12">
        <f>IF(SUM(FU6,FW6)&gt;0,SUM(FU6,FW6),"")</f>
        <v>95.965000000000003</v>
      </c>
      <c r="FY6" s="40">
        <v>16.399999999999999</v>
      </c>
      <c r="FZ6" s="40">
        <v>8</v>
      </c>
      <c r="GA6" s="40">
        <v>4.5</v>
      </c>
      <c r="GB6" s="40">
        <v>15.77</v>
      </c>
      <c r="GC6" s="40">
        <v>0</v>
      </c>
      <c r="GD6" s="40">
        <v>14.8</v>
      </c>
      <c r="GE6" s="40">
        <v>9.3000000000000007</v>
      </c>
      <c r="GF6" s="40">
        <v>15.6</v>
      </c>
      <c r="GG6" s="40">
        <v>15.83</v>
      </c>
      <c r="GH6" s="40">
        <v>0</v>
      </c>
      <c r="GI6" s="40"/>
      <c r="GJ6" s="40"/>
      <c r="GK6" s="40"/>
      <c r="GL6" s="40"/>
      <c r="GM6" s="40"/>
      <c r="GN6" s="15">
        <f>IF(GF6&gt;0,GF6,"")</f>
        <v>15.6</v>
      </c>
      <c r="GO6" s="15">
        <f>IF(SUM(FY6:GB6)-GC6&gt;0,SUM(FY6:GB6)-GC6,"")</f>
        <v>44.67</v>
      </c>
      <c r="GP6" s="15">
        <f>IF(SUM(GD6:GG6)-GH6&gt;0,SUM(GD6:GG6)-GH6,"")</f>
        <v>55.53</v>
      </c>
      <c r="GQ6" s="15">
        <f>IF(SUM(GO6:GP6)&gt;0,SUM(GO6:GP6),"")</f>
        <v>100.2</v>
      </c>
      <c r="GR6" s="15" t="str">
        <f>IF(GK6&gt;0,GK6,"")</f>
        <v/>
      </c>
      <c r="GS6" s="15" t="str">
        <f>IF(SUM(GI6:GL6)-GM6&gt;0,SUM(GI6:GL6)-GM6,"")</f>
        <v/>
      </c>
      <c r="GT6" s="15">
        <f>IF(SUM(GQ6,GS6)&gt;0,SUM(GQ6,GS6),"")</f>
        <v>100.2</v>
      </c>
      <c r="GU6" s="39">
        <v>17.7</v>
      </c>
      <c r="GV6" s="39">
        <v>9.8000000000000007</v>
      </c>
      <c r="GW6" s="39">
        <v>6.6</v>
      </c>
      <c r="GX6" s="39">
        <v>17.12</v>
      </c>
      <c r="GY6" s="39">
        <v>0</v>
      </c>
      <c r="GZ6" s="39">
        <v>15.6</v>
      </c>
      <c r="HA6" s="39">
        <v>9.3000000000000007</v>
      </c>
      <c r="HB6" s="39">
        <v>17.100000000000001</v>
      </c>
      <c r="HC6" s="39">
        <v>16.52</v>
      </c>
      <c r="HD6" s="39">
        <v>0</v>
      </c>
      <c r="HE6" s="39">
        <v>14.9</v>
      </c>
      <c r="HF6" s="39">
        <v>8.9</v>
      </c>
      <c r="HG6" s="39">
        <v>17.100000000000001</v>
      </c>
      <c r="HH6" s="39">
        <v>15.8</v>
      </c>
      <c r="HI6" s="39">
        <v>0</v>
      </c>
      <c r="HJ6" s="12">
        <f>IF(HB6&gt;0,HB6,"")</f>
        <v>17.100000000000001</v>
      </c>
      <c r="HK6" s="12">
        <f>IF(SUM(GU6:GX6)-GY6&gt;0,SUM(GU6:GX6)-GY6,"")</f>
        <v>51.22</v>
      </c>
      <c r="HL6" s="12">
        <f>IF(SUM(GZ6:HC6)-HD6&gt;0,SUM(GZ6:HC6)-HD6,"")</f>
        <v>58.519999999999996</v>
      </c>
      <c r="HM6" s="12">
        <f>IF(SUM(HK6:HL6)&gt;0,SUM(HK6:HL6),"")</f>
        <v>109.74</v>
      </c>
      <c r="HN6" s="12">
        <f>IF(HG6&gt;0,HG6,"")</f>
        <v>17.100000000000001</v>
      </c>
      <c r="HO6" s="12">
        <f>IF(SUM(HE6:HH6)-HI6&gt;0,SUM(HE6:HH6)-HI6,"")</f>
        <v>56.7</v>
      </c>
      <c r="HP6" s="12">
        <f>IF(SUM(HM6,HO6)&gt;0,SUM(HM6,HO6),"")</f>
        <v>166.44</v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>
        <v>3</v>
      </c>
      <c r="IB6" s="40">
        <v>1.6</v>
      </c>
      <c r="IC6" s="40">
        <v>3.4</v>
      </c>
      <c r="ID6" s="40">
        <v>3.4649999999999999</v>
      </c>
      <c r="IE6" s="40">
        <v>0</v>
      </c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>
        <f>IF(IC6&gt;0,IC6,"")</f>
        <v>3.4</v>
      </c>
      <c r="IK6" s="15">
        <f>IF(SUM(IA6:ID6)-IE6&gt;0,SUM(IA6:ID6)-IE6,"")</f>
        <v>11.465</v>
      </c>
      <c r="IL6" s="15">
        <f>IF(SUM(II6,IK6)&gt;0,SUM(II6,IK6),"")</f>
        <v>11.465</v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118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0"/>
        <v>17.950000000000003</v>
      </c>
      <c r="LX6" s="71">
        <f t="shared" si="1"/>
        <v>9.125</v>
      </c>
      <c r="LY6" s="71">
        <f t="shared" si="2"/>
        <v>5.9499999999999993</v>
      </c>
      <c r="LZ6" s="71">
        <f t="shared" si="3"/>
        <v>17.085000000000001</v>
      </c>
      <c r="MA6" s="71">
        <f t="shared" si="4"/>
        <v>0</v>
      </c>
      <c r="MB6" s="71">
        <f t="shared" si="5"/>
        <v>15.8</v>
      </c>
      <c r="MC6" s="71">
        <f t="shared" si="6"/>
        <v>9.4499999999999993</v>
      </c>
      <c r="MD6" s="71">
        <f t="shared" si="7"/>
        <v>16</v>
      </c>
      <c r="ME6" s="71">
        <f t="shared" si="8"/>
        <v>16.324999999999999</v>
      </c>
      <c r="MF6" s="71">
        <f t="shared" si="9"/>
        <v>0</v>
      </c>
      <c r="MG6" s="71">
        <f t="shared" si="10"/>
        <v>16.450000000000003</v>
      </c>
      <c r="MH6" s="71">
        <f t="shared" si="11"/>
        <v>9.0249999999999986</v>
      </c>
      <c r="MI6" s="71">
        <f t="shared" si="12"/>
        <v>15</v>
      </c>
      <c r="MJ6" s="71">
        <f t="shared" si="13"/>
        <v>16.475000000000001</v>
      </c>
      <c r="MK6" s="71">
        <f t="shared" si="14"/>
        <v>0</v>
      </c>
      <c r="ML6" s="82" t="s">
        <v>96</v>
      </c>
      <c r="MM6" s="12">
        <f t="shared" si="15"/>
        <v>16</v>
      </c>
      <c r="MN6" s="12">
        <f t="shared" si="16"/>
        <v>50.110000000000007</v>
      </c>
      <c r="MO6" s="12">
        <f t="shared" si="17"/>
        <v>57.575000000000003</v>
      </c>
      <c r="MP6" s="12">
        <f t="shared" si="18"/>
        <v>107.685</v>
      </c>
      <c r="MQ6" s="12">
        <f t="shared" si="21"/>
        <v>15</v>
      </c>
      <c r="MR6" s="12">
        <f t="shared" si="19"/>
        <v>56.95</v>
      </c>
      <c r="MS6" s="12">
        <f t="shared" si="20"/>
        <v>164.63499999999999</v>
      </c>
    </row>
    <row r="7" spans="1:357" x14ac:dyDescent="0.2">
      <c r="A7" s="6">
        <f>IF(AND(F7="P",H7="P"),SUMPRODUCT((F$4:F$21="P")*(H$4:H$21="P")*(E$4:E$21&gt;E7))+1,IF(H7="P",SUMPRODUCT((F$4:F$21="")*(H$4:H$21="P")*(E$4:E$21&gt;E7))+1+SUMPRODUCT((F$4:F$21="P")*(H$4:H$21="P")),""))</f>
        <v>4</v>
      </c>
      <c r="B7" s="7" t="s">
        <v>8</v>
      </c>
      <c r="C7" s="8" t="s">
        <v>3</v>
      </c>
      <c r="D7" s="6">
        <v>1994</v>
      </c>
      <c r="E7" s="16">
        <f>SUM(J7:R7)</f>
        <v>269.70999999999998</v>
      </c>
      <c r="F7" s="4" t="str">
        <f>IF(OR(AND($AK7&gt;=$AL$23,NOT($AK7=""),$AJ7=""),AND($BH7&gt;=$BI$23,NOT($BH7=""),$BG7=""),AND($CH7&gt;=$CI$23,NOT($CH7="")),AND($DD7&gt;=$DE$23,NOT($DD7="")),AND($DZ7&gt;=$EA$23,NOT($DZ7="")),AND($EV7&gt;=$EW$23,NOT($EV7="")),AND($FR7&gt;=$FS$23,NOT($FR7="")),AND($GN7&gt;=$GO$23,NOT($GN7="")),AND($HJ7&gt;=$HK$23,NOT($HJ7="")),AND($IF7&gt;=$IG$23,NOT($IF7="")),AND($JB7&gt;=$JC$23,NOT($JB7="")),AND($JX7&gt;=$JY$23,NOT($JX7="")),AND($KT7&gt;=$KU$23,NOT($KT7="")),AND($LP7&gt;=$LQ$23,NOT($LP7="")),AND($AO7&gt;=$AL$23,NOT($AO7=""),$AJ7=""),AND($BL7&gt;=$BI$23,NOT($BL7=""),$BG7=""),AND($CL7&gt;=$CI$23,NOT($CL7="")),AND($DH7&gt;=$DE$23,NOT($DH7="")),AND($ED7&gt;=$EA$23,NOT($ED7="")),AND($EZ7&gt;=$EW$23,NOT($EZ7="")),AND($FV7&gt;=$FS$23,NOT($FV7="")),AND($GR7&gt;=$GO$23,NOT($GR7="")),AND($HN7&gt;=$HK$23,NOT($HN7="")),AND($IJ7&gt;=$IG$23,NOT($IJ7="")),AND($JF7&gt;=$JC$23,NOT($JF7="")),AND($KB7&gt;=$JY$23,NOT($KB7="")),AND($KX7&gt;=$KU$23,NOT($KX7="")),AND($LT7&gt;=$LQ$23,NOT($LT7=""))),"P","")</f>
        <v>P</v>
      </c>
      <c r="G7" s="4" t="str">
        <f>IF(OR(AND($AK7&gt;=$AL$24,NOT($AK7=""),$AJ7=""),AND($BH7&gt;=$BI$24,NOT($BH7=""),$BG7=""),AND($CH7&gt;=$CI$24,NOT($CH7="")),AND($DD7&gt;=$DE$24,NOT($DD7="")),AND($DZ7&gt;=$EA$24,NOT($DZ7="")),AND($EV7&gt;=$EW$24,NOT($EV7="")),AND($FR7&gt;=$FS$24,NOT($FR7="")),AND($GN7&gt;=$GO$24,NOT($GN7="")),AND($HJ7&gt;=$HK$24,NOT($HJ7="")),AND($IF7&gt;=$IG$24,NOT($IF7="")),AND($JB7&gt;=$JC$24,NOT($JB7="")),AND($JX7&gt;=$JY$24,NOT($JX7="")),AND($KT7&gt;=$KU$24,NOT($KT7="")),AND($LP7&gt;=$LQ$24,NOT($LP7="")),AND($AO7&gt;=$AL$24,NOT($AO7=""),$AJ7=""),AND($BL7&gt;=$BI$24,NOT($BL7=""),$BG7=""),AND($CL7&gt;=$CI$24,NOT($CL7="")),AND($DH7&gt;=$DE$24,NOT($DH7="")),AND($ED7&gt;=$EA$24,NOT($ED7="")),AND($EZ7&gt;=$EW$24,NOT($EZ7="")),AND($FV7&gt;=$FS$24,NOT($FV7="")),AND($GR7&gt;=$GO$24,NOT($GR7="")),AND($HN7&gt;=$HK$24,NOT($HN7="")),AND($IJ7&gt;=$IG$24,NOT($IJ7="")),AND($JF7&gt;=$JC$24,NOT($JF7="")),AND($KB7&gt;=$JY$24,NOT($KB7="")),AND($KX7&gt;=$KU$24,NOT($KX7="")),AND($LT7&gt;=$LQ$24,NOT($LT7=""))),"P","")</f>
        <v>P</v>
      </c>
      <c r="H7" s="4" t="str">
        <f>IF(OR(AND($AN7&gt;=$AL$25,NOT($AN7=""),$AJ7=""),AND($BK7&gt;=$BI$25,NOT($BK7=""),$BG7=""),AND($CK7&gt;=$CI$25,NOT($CK7="")),AND($DG7&gt;=$DE$25,NOT($DG7="")),AND($EC7&gt;=$EA$25,NOT($EC7="")),AND($EY7&gt;=$EW$25,NOT($EY7="")),AND($FU7&gt;=$FS$25,NOT($FU7="")),AND($GQ7&gt;=$GO$25,NOT($GQ7="")),AND($HM7&gt;=$HK$25,NOT($HM7="")),AND($II7&gt;=$IG$25,NOT($II7="")),AND($JE7&gt;=$JC$25,NOT($JE7="")),AND($KA7&gt;=$JY$25,NOT($KA7="")),AND($KW7&gt;=$KU$25,NOT($KW7="")),AND($LS7&gt;=$LQ$25,NOT($LS7=""))),"P","")</f>
        <v>P</v>
      </c>
      <c r="I7" t="str">
        <f>IF(AND(H7="P",F7=""),"No DD",IF(AND(G7="P",OR(AND($AM7&gt;$AL$28,NOT($AM7=""),$AJ7=""),AND($AP7&gt;$AL$28,NOT($AP7=""),$AJ7=""),AND($BJ7&gt;$BI$28,NOT($BJ7=""),$BG7=""),AND($BM7&gt;$BI$28,NOT($BM7=""),$BG7=""),AND($CJ7&gt;$CI$28,NOT($CJ7="")),AND($CM7&gt;$CI$28,NOT($CM7="")),AND($DF7&gt;$DE$28,NOT($DF7="")),AND($DI7&gt;$DE$28,NOT($DI7="")),AND($EB7&gt;$EA$28,NOT($EB7="")),AND($EE7&gt;$EA$28,NOT($EE7="")),AND($EX7&gt;$EW$28,NOT($EX7="")),AND($FA7&gt;$EW$28,NOT($FA7="")),AND($FT7&gt;$FS$28,NOT($FT7="")),AND($FW7&gt;$FS$28,NOT($FW7="")),AND($GP7&gt;$GO$28,NOT($GP7="")),AND($GS7&gt;$GO$28,NOT($GS7="")),AND($HL7&gt;$HK$28,NOT($HL7="")),AND($HO7&gt;$HK$28,NOT($HO7="")),AND($IH7&gt;$IG$28,NOT($IH7="")),AND($IK7&gt;$IG$28,NOT($IK7="")),AND($JD7&gt;$JC$28,NOT($JD7="")),AND($JG7&gt;$JC$28,NOT($JG7="")),AND($JZ7&gt;$JY$28,NOT($JZ7="")),AND($KC7&gt;$JY$28,NOT($KC7="")),AND($KV7&gt;$KU$28,NOT($KV7="")),AND($KY7&gt;$KU$28,NOT($KY7="")),AND($LR7&gt;$LQ$28,NOT($LR7="")),AND($LU7&gt;$LQ$28,NOT($LU7="")))),"Merit",IF(AND(G7="P",OR(AND($AN7&gt;$AL$27,NOT($AN7=""),$AJ7=""),AND($BK7&gt;$BI$27,NOT($BK7=""),$BG7=""),AND($CK7&gt;$CI$27,NOT($CK7="")),AND($DG7&gt;$DE$27,NOT($DG7="")),AND($EC7&gt;$EA$27,NOT($EC7="")),AND($EY7&gt;$EW$27,NOT($EY7="")),AND($FU7&gt;$FS$27,NOT($FU7="")),AND($GQ7&gt;$GO$27,NOT($GQ7="")),AND($HM7&gt;$HK$27,NOT($HM7="")),AND($II7&gt;$IG$27,NOT($II7="")),AND($JE7&gt;$JC$27,NOT($JE7="")),AND($KA7&gt;$JY$27,NOT($KA7="")),AND($KW7&gt;$KU$27,NOT($KW7="")),AND($LS7&gt;$LQ$27,NOT($LS7="")))),"Excellence",IF(AND(G7="P",OR(AND($AN7&gt;$AL$26,NOT($AN7=""),$AJ7=""),AND($BK7&gt;$BI$26,NOT($BK7=""),$BG7=""),AND($CK7&gt;$CI$26,NOT($CK7="")),AND($DG7&gt;$DE$26,NOT($DG7="")),AND($EC7&gt;$EA$26,NOT($EC7="")),AND($EY7&gt;$EW$26,NOT($EY7="")),AND($FU7&gt;$FS$26,NOT($FU7="")),AND($GQ7&gt;$GO$26,NOT($GQ7="")),AND($HM7&gt;$HK$26,NOT($HM7="")),AND($II7&gt;$IG$26,NOT($II7="")),AND($JE7&gt;$JC$26,NOT($JE7="")),AND($KA7&gt;$JY$26,NOT($KA7="")),AND($KW7&gt;$KU$26,NOT($KW7="")),AND($LS7&gt;$LQ$26,NOT($LS7="")))),"Worlds Team",IF(AND(F7="P",OR(AND($AN7&gt;$AL$25,NOT($AN7=""),$AJ7=""),AND($BK7&gt;$BI$25,NOT($BK7=""),$BG7=""),AND($CK7&gt;$CI$25,NOT($CK7="")),AND($DG7&gt;$DE$25,NOT($DG7="")),AND($EC7&gt;$EA$25,NOT($EC7="")),AND($EY7&gt;$EW$25,NOT($EY7="")),AND($FU7&gt;$FS$25,NOT($FU7="")),AND($GQ7&gt;$GO$25,NOT($GQ7="")),AND($HM7&gt;$HK$25,NOT($HM7="")),AND($II7&gt;$IG$25,NOT($II7="")),AND($JE7&gt;$JC$25,NOT($JE7="")),AND($KA7&gt;$JY$25,NOT($KA7="")),AND($KW7&gt;$KU$25,NOT($KW7="")),AND($LS7&gt;$LQ$25,NOT($LS7="")))),"National Team","")))))</f>
        <v>Worlds Team</v>
      </c>
      <c r="J7" s="15">
        <f>IF(MAX(AN7,BK7)&gt;0,MAX(AN7,BK7),"")</f>
        <v>107.19499999999999</v>
      </c>
      <c r="K7" s="15" t="str">
        <f>IF(J7="","",IF(J7=BK7,$AR$1,IF(J7=AN7,$U$1,"")))</f>
        <v>2019 Nationals</v>
      </c>
      <c r="L7" s="15">
        <f>IF($J7=$AN7,BI7,IF($J7=$BK7,AL7,MAX(AL7,BI7)))</f>
        <v>49.879999999999995</v>
      </c>
      <c r="M7" s="15" t="str">
        <f>IF(L7="","",IF(AND(L7=BI7,$K7&lt;&gt;$AR$1),$AR$1,IF(AND(L7=AL7,$K7&lt;&gt;$U$1),$U$1,"")))</f>
        <v>2019 Elite Canada</v>
      </c>
      <c r="N7" s="15">
        <f>IF($J7=$AN7,BJ7,IF($J7=$BK7,AM7,MAX(AM7,BJ7)))</f>
        <v>56.22</v>
      </c>
      <c r="O7" s="15" t="str">
        <f>IF(N7="","",IF(AND(N7=BJ7,$K7&lt;&gt;$AR$1),$AR$1,IF(AND(N7=AM7,$K7&lt;&gt;$U$1),$U$1,"")))</f>
        <v>2019 Elite Canada</v>
      </c>
      <c r="P7" s="15">
        <f>IF(MAX(AP7,BM7)&gt;0,MAX(AP7,BM7),"")</f>
        <v>56.415000000000006</v>
      </c>
      <c r="Q7" s="15" t="str">
        <f>IF(P7="","",IF(P7=BM7,$AR$1,IF(P7=AP7,$U$1,"")))</f>
        <v>2019 Elite Canada</v>
      </c>
      <c r="R7" s="15" t="str">
        <f>IF(MAX(BO7,BP7,BQ7,BR7)&gt;0,MAX(BO7,BP7,BQ7,BR7),"")</f>
        <v/>
      </c>
      <c r="S7" s="27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71">
        <v>17.899999999999999</v>
      </c>
      <c r="V7" s="71">
        <v>8.9499999999999993</v>
      </c>
      <c r="W7" s="71">
        <v>6</v>
      </c>
      <c r="X7" s="71">
        <v>17.03</v>
      </c>
      <c r="Y7" s="71">
        <v>0</v>
      </c>
      <c r="Z7" s="71">
        <v>16.3</v>
      </c>
      <c r="AA7" s="71">
        <v>9.1</v>
      </c>
      <c r="AB7" s="71">
        <v>15</v>
      </c>
      <c r="AC7" s="71">
        <v>15.82</v>
      </c>
      <c r="AD7" s="71">
        <v>0</v>
      </c>
      <c r="AE7" s="71">
        <v>16.3</v>
      </c>
      <c r="AF7" s="71">
        <v>9.3000000000000007</v>
      </c>
      <c r="AG7" s="71">
        <v>14.8</v>
      </c>
      <c r="AH7" s="71">
        <v>16.015000000000001</v>
      </c>
      <c r="AI7" s="71">
        <v>0</v>
      </c>
      <c r="AJ7" s="82"/>
      <c r="AK7" s="12">
        <f>IF(AB7&gt;0,AB7,"")</f>
        <v>15</v>
      </c>
      <c r="AL7" s="12">
        <f>IF(SUM(U7:X7)-Y7&gt;0,SUM(U7:X7)-Y7,"")</f>
        <v>49.879999999999995</v>
      </c>
      <c r="AM7" s="12">
        <f>IF(SUM(Z7:AC7)-AD7&gt;0,SUM(Z7:AC7)-AD7,"")</f>
        <v>56.22</v>
      </c>
      <c r="AN7" s="12">
        <f>IF(SUM(AL7:AM7)&gt;0,SUM(AL7:AM7),"")</f>
        <v>106.1</v>
      </c>
      <c r="AO7" s="12">
        <f>IF(AG7&gt;0,AG7,"")</f>
        <v>14.8</v>
      </c>
      <c r="AP7" s="12">
        <f>IF(SUM(AE7:AH7)-AI7&gt;0,SUM(AE7:AH7)-AI7,"")</f>
        <v>56.415000000000006</v>
      </c>
      <c r="AQ7" s="12">
        <f>IF(SUM(AN7,AP7)&gt;0,SUM(AN7,AP7),"")</f>
        <v>162.51499999999999</v>
      </c>
      <c r="AR7" s="77">
        <v>18.899999999999999</v>
      </c>
      <c r="AS7" s="77">
        <v>9.3000000000000007</v>
      </c>
      <c r="AT7" s="77">
        <v>5.4</v>
      </c>
      <c r="AU7" s="77">
        <v>17.48</v>
      </c>
      <c r="AV7" s="77">
        <v>0</v>
      </c>
      <c r="AW7" s="77">
        <v>15.1</v>
      </c>
      <c r="AX7" s="77">
        <v>9.4</v>
      </c>
      <c r="AY7" s="77">
        <v>16</v>
      </c>
      <c r="AZ7" s="77">
        <v>15.615</v>
      </c>
      <c r="BA7" s="77">
        <v>0</v>
      </c>
      <c r="BB7" s="77">
        <v>15.08</v>
      </c>
      <c r="BC7" s="77">
        <v>9.1</v>
      </c>
      <c r="BD7" s="77">
        <v>16</v>
      </c>
      <c r="BE7" s="77">
        <v>15.91</v>
      </c>
      <c r="BF7" s="77">
        <v>0</v>
      </c>
      <c r="BG7" s="83"/>
      <c r="BH7" s="15">
        <f>IF(AY7&gt;0,AY7,"")</f>
        <v>16</v>
      </c>
      <c r="BI7" s="15">
        <f>IF(SUM(AR7:AU7)-AV7&gt;0,SUM(AR7:AU7)-AV7,"")</f>
        <v>51.08</v>
      </c>
      <c r="BJ7" s="15">
        <f>IF(SUM(AW7:AZ7)-BA7&gt;0,SUM(AW7:AZ7)-BA7,"")</f>
        <v>56.115000000000002</v>
      </c>
      <c r="BK7" s="15">
        <f>IF(SUM(BI7:BJ7)&gt;0,SUM(BI7:BJ7),"")</f>
        <v>107.19499999999999</v>
      </c>
      <c r="BL7" s="15">
        <f>IF(BD7&gt;0,BD7,"")</f>
        <v>16</v>
      </c>
      <c r="BM7" s="15">
        <f>IF(SUM(BB7:BE7)-BF7&gt;0,SUM(BB7:BE7)-BF7,"")</f>
        <v>56.09</v>
      </c>
      <c r="BN7" s="15">
        <f>IF(SUM(BK7,BM7)&gt;0,SUM(BK7,BM7),"")</f>
        <v>163.285</v>
      </c>
      <c r="BO7" s="26" t="str">
        <f>IF(MAX(CI7,DE7,EA7,EW7,FS7,GO7,HK7,IG7,JC7,JY7,KU7,LQ7)-IF(L7="",0,L7)&gt;0.001,MAX(CI7,DE7,EA7,EW7,FS7,GO7,HK7,IG7,JC7,JY7,KU7,LQ7)-IF(L7="",0,L7),"")</f>
        <v/>
      </c>
      <c r="BP7" s="26" t="str">
        <f>IF(MAX(CJ7,DF7,EB7,EX7,FT7,GP7,HL7,IH7,JD7,JZ7,KV7,LR7)-IF(N7="",0,N7)&gt;0.001,MAX(CJ7,DF7,EB7,EX7,FT7,GP7,HL7,IH7,JD7,JZ7,KV7,LR7)-IF(N7="",0,N7),"")</f>
        <v/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>
        <v>17.399999999999999</v>
      </c>
      <c r="CP7" s="40">
        <v>9.1999999999999993</v>
      </c>
      <c r="CQ7" s="40">
        <v>6.2</v>
      </c>
      <c r="CR7" s="40">
        <v>16.484999999999999</v>
      </c>
      <c r="CS7" s="40">
        <v>0</v>
      </c>
      <c r="CT7" s="40">
        <v>12.1</v>
      </c>
      <c r="CU7" s="40">
        <v>9</v>
      </c>
      <c r="CV7" s="40">
        <v>13.2</v>
      </c>
      <c r="CW7" s="40">
        <v>14.845000000000001</v>
      </c>
      <c r="CX7" s="40">
        <v>0</v>
      </c>
      <c r="CY7" s="40"/>
      <c r="CZ7" s="40"/>
      <c r="DA7" s="40"/>
      <c r="DB7" s="40"/>
      <c r="DC7" s="40"/>
      <c r="DD7" s="15">
        <f>IF(CV7&gt;0,CV7,"")</f>
        <v>13.2</v>
      </c>
      <c r="DE7" s="15">
        <f>IF(SUM(CO7:CR7)-CS7&gt;0,SUM(CO7:CR7)-CS7,"")</f>
        <v>49.284999999999997</v>
      </c>
      <c r="DF7" s="15">
        <f>IF(SUM(CT7:CW7)-CX7&gt;0,SUM(CT7:CW7)-CX7,"")</f>
        <v>49.144999999999996</v>
      </c>
      <c r="DG7" s="15">
        <f>IF(SUM(DE7:DF7)&gt;0,SUM(DE7:DF7),"")</f>
        <v>98.429999999999993</v>
      </c>
      <c r="DH7" s="15" t="str">
        <f>IF(DA7&gt;0,DA7,"")</f>
        <v/>
      </c>
      <c r="DI7" s="15" t="str">
        <f>IF(SUM(CY7:DB7)-DC7&gt;0,SUM(CY7:DB7)-DC7,"")</f>
        <v/>
      </c>
      <c r="DJ7" s="15">
        <f>IF(SUM(DG7,DI7)&gt;0,SUM(DG7,DI7),"")</f>
        <v>98.429999999999993</v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0"/>
        <v>18.399999999999999</v>
      </c>
      <c r="LX7" s="71">
        <f t="shared" si="1"/>
        <v>9.125</v>
      </c>
      <c r="LY7" s="71">
        <f t="shared" si="2"/>
        <v>5.7</v>
      </c>
      <c r="LZ7" s="71">
        <f t="shared" si="3"/>
        <v>17.255000000000003</v>
      </c>
      <c r="MA7" s="71">
        <f t="shared" si="4"/>
        <v>0</v>
      </c>
      <c r="MB7" s="71">
        <f t="shared" si="5"/>
        <v>15.7</v>
      </c>
      <c r="MC7" s="71">
        <f t="shared" si="6"/>
        <v>9.25</v>
      </c>
      <c r="MD7" s="71">
        <f t="shared" si="7"/>
        <v>15.5</v>
      </c>
      <c r="ME7" s="71">
        <f t="shared" si="8"/>
        <v>15.717500000000001</v>
      </c>
      <c r="MF7" s="71">
        <f t="shared" si="9"/>
        <v>0</v>
      </c>
      <c r="MG7" s="71">
        <f t="shared" si="10"/>
        <v>15.690000000000001</v>
      </c>
      <c r="MH7" s="71">
        <f t="shared" si="11"/>
        <v>9.1999999999999993</v>
      </c>
      <c r="MI7" s="71">
        <f t="shared" si="12"/>
        <v>15.4</v>
      </c>
      <c r="MJ7" s="71">
        <f t="shared" si="13"/>
        <v>15.9625</v>
      </c>
      <c r="MK7" s="71">
        <f t="shared" si="14"/>
        <v>0</v>
      </c>
      <c r="ML7" s="82" t="s">
        <v>96</v>
      </c>
      <c r="MM7" s="12">
        <f t="shared" si="15"/>
        <v>15.5</v>
      </c>
      <c r="MN7" s="12">
        <f t="shared" si="16"/>
        <v>50.480000000000004</v>
      </c>
      <c r="MO7" s="12">
        <f t="shared" si="17"/>
        <v>56.167500000000004</v>
      </c>
      <c r="MP7" s="12">
        <f t="shared" si="18"/>
        <v>106.64750000000001</v>
      </c>
      <c r="MQ7" s="12">
        <f t="shared" si="21"/>
        <v>15.4</v>
      </c>
      <c r="MR7" s="12">
        <f t="shared" si="19"/>
        <v>56.252499999999998</v>
      </c>
      <c r="MS7" s="12">
        <f t="shared" si="20"/>
        <v>162.9</v>
      </c>
    </row>
    <row r="8" spans="1:357" x14ac:dyDescent="0.2">
      <c r="A8" s="6">
        <f>IF(AND(F8="P",H8="P"),SUMPRODUCT((F$4:F$21="P")*(H$4:H$21="P")*(E$4:E$21&gt;E8))+1,IF(H8="P",SUMPRODUCT((F$4:F$21="")*(H$4:H$21="P")*(E$4:E$21&gt;E8))+1+SUMPRODUCT((F$4:F$21="P")*(H$4:H$21="P")),""))</f>
        <v>5</v>
      </c>
      <c r="B8" s="7" t="s">
        <v>9</v>
      </c>
      <c r="C8" s="8" t="s">
        <v>3</v>
      </c>
      <c r="D8" s="29">
        <v>1997</v>
      </c>
      <c r="E8" s="16">
        <f>SUM(J8:R8)</f>
        <v>266.89999999999998</v>
      </c>
      <c r="F8" s="4" t="str">
        <f>IF(OR(AND($AK8&gt;=$AL$23,NOT($AK8=""),$AJ8=""),AND($BH8&gt;=$BI$23,NOT($BH8=""),$BG8=""),AND($CH8&gt;=$CI$23,NOT($CH8="")),AND($DD8&gt;=$DE$23,NOT($DD8="")),AND($DZ8&gt;=$EA$23,NOT($DZ8="")),AND($EV8&gt;=$EW$23,NOT($EV8="")),AND($FR8&gt;=$FS$23,NOT($FR8="")),AND($GN8&gt;=$GO$23,NOT($GN8="")),AND($HJ8&gt;=$HK$23,NOT($HJ8="")),AND($IF8&gt;=$IG$23,NOT($IF8="")),AND($JB8&gt;=$JC$23,NOT($JB8="")),AND($JX8&gt;=$JY$23,NOT($JX8="")),AND($KT8&gt;=$KU$23,NOT($KT8="")),AND($LP8&gt;=$LQ$23,NOT($LP8="")),AND($AO8&gt;=$AL$23,NOT($AO8=""),$AJ8=""),AND($BL8&gt;=$BI$23,NOT($BL8=""),$BG8=""),AND($CL8&gt;=$CI$23,NOT($CL8="")),AND($DH8&gt;=$DE$23,NOT($DH8="")),AND($ED8&gt;=$EA$23,NOT($ED8="")),AND($EZ8&gt;=$EW$23,NOT($EZ8="")),AND($FV8&gt;=$FS$23,NOT($FV8="")),AND($GR8&gt;=$GO$23,NOT($GR8="")),AND($HN8&gt;=$HK$23,NOT($HN8="")),AND($IJ8&gt;=$IG$23,NOT($IJ8="")),AND($JF8&gt;=$JC$23,NOT($JF8="")),AND($KB8&gt;=$JY$23,NOT($KB8="")),AND($KX8&gt;=$KU$23,NOT($KX8="")),AND($LT8&gt;=$LQ$23,NOT($LT8=""))),"P","")</f>
        <v>P</v>
      </c>
      <c r="G8" s="4" t="str">
        <f>IF(OR(AND($AK8&gt;=$AL$24,NOT($AK8=""),$AJ8=""),AND($BH8&gt;=$BI$24,NOT($BH8=""),$BG8=""),AND($CH8&gt;=$CI$24,NOT($CH8="")),AND($DD8&gt;=$DE$24,NOT($DD8="")),AND($DZ8&gt;=$EA$24,NOT($DZ8="")),AND($EV8&gt;=$EW$24,NOT($EV8="")),AND($FR8&gt;=$FS$24,NOT($FR8="")),AND($GN8&gt;=$GO$24,NOT($GN8="")),AND($HJ8&gt;=$HK$24,NOT($HJ8="")),AND($IF8&gt;=$IG$24,NOT($IF8="")),AND($JB8&gt;=$JC$24,NOT($JB8="")),AND($JX8&gt;=$JY$24,NOT($JX8="")),AND($KT8&gt;=$KU$24,NOT($KT8="")),AND($LP8&gt;=$LQ$24,NOT($LP8="")),AND($AO8&gt;=$AL$24,NOT($AO8=""),$AJ8=""),AND($BL8&gt;=$BI$24,NOT($BL8=""),$BG8=""),AND($CL8&gt;=$CI$24,NOT($CL8="")),AND($DH8&gt;=$DE$24,NOT($DH8="")),AND($ED8&gt;=$EA$24,NOT($ED8="")),AND($EZ8&gt;=$EW$24,NOT($EZ8="")),AND($FV8&gt;=$FS$24,NOT($FV8="")),AND($GR8&gt;=$GO$24,NOT($GR8="")),AND($HN8&gt;=$HK$24,NOT($HN8="")),AND($IJ8&gt;=$IG$24,NOT($IJ8="")),AND($JF8&gt;=$JC$24,NOT($JF8="")),AND($KB8&gt;=$JY$24,NOT($KB8="")),AND($KX8&gt;=$KU$24,NOT($KX8="")),AND($LT8&gt;=$LQ$24,NOT($LT8=""))),"P","")</f>
        <v>P</v>
      </c>
      <c r="H8" s="4" t="str">
        <f>IF(OR(AND($AN8&gt;=$AL$25,NOT($AN8=""),$AJ8=""),AND($BK8&gt;=$BI$25,NOT($BK8=""),$BG8=""),AND($CK8&gt;=$CI$25,NOT($CK8="")),AND($DG8&gt;=$DE$25,NOT($DG8="")),AND($EC8&gt;=$EA$25,NOT($EC8="")),AND($EY8&gt;=$EW$25,NOT($EY8="")),AND($FU8&gt;=$FS$25,NOT($FU8="")),AND($GQ8&gt;=$GO$25,NOT($GQ8="")),AND($HM8&gt;=$HK$25,NOT($HM8="")),AND($II8&gt;=$IG$25,NOT($II8="")),AND($JE8&gt;=$JC$25,NOT($JE8="")),AND($KA8&gt;=$JY$25,NOT($KA8="")),AND($KW8&gt;=$KU$25,NOT($KW8="")),AND($LS8&gt;=$LQ$25,NOT($LS8=""))),"P","")</f>
        <v>P</v>
      </c>
      <c r="I8" t="str">
        <f>IF(AND(H8="P",F8=""),"No DD",IF(AND(G8="P",OR(AND($AM8&gt;$AL$28,NOT($AM8=""),$AJ8=""),AND($AP8&gt;$AL$28,NOT($AP8=""),$AJ8=""),AND($BJ8&gt;$BI$28,NOT($BJ8=""),$BG8=""),AND($BM8&gt;$BI$28,NOT($BM8=""),$BG8=""),AND($CJ8&gt;$CI$28,NOT($CJ8="")),AND($CM8&gt;$CI$28,NOT($CM8="")),AND($DF8&gt;$DE$28,NOT($DF8="")),AND($DI8&gt;$DE$28,NOT($DI8="")),AND($EB8&gt;$EA$28,NOT($EB8="")),AND($EE8&gt;$EA$28,NOT($EE8="")),AND($EX8&gt;$EW$28,NOT($EX8="")),AND($FA8&gt;$EW$28,NOT($FA8="")),AND($FT8&gt;$FS$28,NOT($FT8="")),AND($FW8&gt;$FS$28,NOT($FW8="")),AND($GP8&gt;$GO$28,NOT($GP8="")),AND($GS8&gt;$GO$28,NOT($GS8="")),AND($HL8&gt;$HK$28,NOT($HL8="")),AND($HO8&gt;$HK$28,NOT($HO8="")),AND($IH8&gt;$IG$28,NOT($IH8="")),AND($IK8&gt;$IG$28,NOT($IK8="")),AND($JD8&gt;$JC$28,NOT($JD8="")),AND($JG8&gt;$JC$28,NOT($JG8="")),AND($JZ8&gt;$JY$28,NOT($JZ8="")),AND($KC8&gt;$JY$28,NOT($KC8="")),AND($KV8&gt;$KU$28,NOT($KV8="")),AND($KY8&gt;$KU$28,NOT($KY8="")),AND($LR8&gt;$LQ$28,NOT($LR8="")),AND($LU8&gt;$LQ$28,NOT($LU8="")))),"Merit",IF(AND(G8="P",OR(AND($AN8&gt;$AL$27,NOT($AN8=""),$AJ8=""),AND($BK8&gt;$BI$27,NOT($BK8=""),$BG8=""),AND($CK8&gt;$CI$27,NOT($CK8="")),AND($DG8&gt;$DE$27,NOT($DG8="")),AND($EC8&gt;$EA$27,NOT($EC8="")),AND($EY8&gt;$EW$27,NOT($EY8="")),AND($FU8&gt;$FS$27,NOT($FU8="")),AND($GQ8&gt;$GO$27,NOT($GQ8="")),AND($HM8&gt;$HK$27,NOT($HM8="")),AND($II8&gt;$IG$27,NOT($II8="")),AND($JE8&gt;$JC$27,NOT($JE8="")),AND($KA8&gt;$JY$27,NOT($KA8="")),AND($KW8&gt;$KU$27,NOT($KW8="")),AND($LS8&gt;$LQ$27,NOT($LS8="")))),"Excellence",IF(AND(G8="P",OR(AND($AN8&gt;$AL$26,NOT($AN8=""),$AJ8=""),AND($BK8&gt;$BI$26,NOT($BK8=""),$BG8=""),AND($CK8&gt;$CI$26,NOT($CK8="")),AND($DG8&gt;$DE$26,NOT($DG8="")),AND($EC8&gt;$EA$26,NOT($EC8="")),AND($EY8&gt;$EW$26,NOT($EY8="")),AND($FU8&gt;$FS$26,NOT($FU8="")),AND($GQ8&gt;$GO$26,NOT($GQ8="")),AND($HM8&gt;$HK$26,NOT($HM8="")),AND($II8&gt;$IG$26,NOT($II8="")),AND($JE8&gt;$JC$26,NOT($JE8="")),AND($KA8&gt;$JY$26,NOT($KA8="")),AND($KW8&gt;$KU$26,NOT($KW8="")),AND($LS8&gt;$LQ$26,NOT($LS8="")))),"Worlds Team",IF(AND(F8="P",OR(AND($AN8&gt;$AL$25,NOT($AN8=""),$AJ8=""),AND($BK8&gt;$BI$25,NOT($BK8=""),$BG8=""),AND($CK8&gt;$CI$25,NOT($CK8="")),AND($DG8&gt;$DE$25,NOT($DG8="")),AND($EC8&gt;$EA$25,NOT($EC8="")),AND($EY8&gt;$EW$25,NOT($EY8="")),AND($FU8&gt;$FS$25,NOT($FU8="")),AND($GQ8&gt;$GO$25,NOT($GQ8="")),AND($HM8&gt;$HK$25,NOT($HM8="")),AND($II8&gt;$IG$25,NOT($II8="")),AND($JE8&gt;$JC$25,NOT($JE8="")),AND($KA8&gt;$JY$25,NOT($KA8="")),AND($KW8&gt;$KU$25,NOT($KW8="")),AND($LS8&gt;$LQ$25,NOT($LS8="")))),"National Team","")))))</f>
        <v>Worlds Team</v>
      </c>
      <c r="J8" s="15">
        <f>IF(MAX(AN8,BK8)&gt;0,MAX(AN8,BK8),"")</f>
        <v>105.60999999999999</v>
      </c>
      <c r="K8" s="15" t="str">
        <f>IF(J8="","",IF(J8=BK8,$AR$1,IF(J8=AN8,$U$1,"")))</f>
        <v>2019 Elite Canada</v>
      </c>
      <c r="L8" s="15">
        <f>IF($J8=$AN8,BI8,IF($J8=$BK8,AL8,MAX(AL8,BI8)))</f>
        <v>50.120000000000005</v>
      </c>
      <c r="M8" s="15" t="str">
        <f>IF(L8="","",IF(AND(L8=BI8,$K8&lt;&gt;$AR$1),$AR$1,IF(AND(L8=AL8,$K8&lt;&gt;$U$1),$U$1,"")))</f>
        <v>2019 Nationals</v>
      </c>
      <c r="N8" s="15">
        <f>IF($J8=$AN8,BJ8,IF($J8=$BK8,AM8,MAX(AM8,BJ8)))</f>
        <v>54.484999999999999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56.505000000000003</v>
      </c>
      <c r="Q8" s="15" t="str">
        <f>IF(P8="","",IF(P8=BM8,$AR$1,IF(P8=AP8,$U$1,"")))</f>
        <v>2019 Elite Canada</v>
      </c>
      <c r="R8" s="15">
        <f>IF(MAX(BO8,BP8,BQ8,BR8)&gt;0,MAX(BO8,BP8,BQ8,BR8),"")</f>
        <v>0.18000000000000682</v>
      </c>
      <c r="S8" s="27" t="str">
        <f>IF(R8="","",IF(R8=BO8,"(Vol 1)",IF(R8=BP8,"(Vol 2)",IF(R8=BQ8,"(Prelim)",IF(R8=BR8,"(Final)")))))</f>
        <v>(Vol 2)</v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>2019 World Cup RUS (Sept 21)</v>
      </c>
      <c r="U8" s="71">
        <v>17.600000000000001</v>
      </c>
      <c r="V8" s="71">
        <v>9.5</v>
      </c>
      <c r="W8" s="71">
        <v>5.2</v>
      </c>
      <c r="X8" s="71">
        <v>16.954999999999998</v>
      </c>
      <c r="Y8" s="71">
        <v>0</v>
      </c>
      <c r="Z8" s="71">
        <v>14.7</v>
      </c>
      <c r="AA8" s="71">
        <v>9.4499999999999993</v>
      </c>
      <c r="AB8" s="71">
        <v>16.2</v>
      </c>
      <c r="AC8" s="71">
        <v>16.004999999999999</v>
      </c>
      <c r="AD8" s="71">
        <v>0</v>
      </c>
      <c r="AE8" s="71">
        <v>15</v>
      </c>
      <c r="AF8" s="71">
        <v>9.1999999999999993</v>
      </c>
      <c r="AG8" s="71">
        <v>16</v>
      </c>
      <c r="AH8" s="71">
        <v>16.305</v>
      </c>
      <c r="AI8" s="71">
        <v>0</v>
      </c>
      <c r="AJ8" s="82"/>
      <c r="AK8" s="12">
        <f>IF(AB8&gt;0,AB8,"")</f>
        <v>16.2</v>
      </c>
      <c r="AL8" s="12">
        <f>IF(SUM(U8:X8)-Y8&gt;0,SUM(U8:X8)-Y8,"")</f>
        <v>49.255000000000003</v>
      </c>
      <c r="AM8" s="12">
        <f>IF(SUM(Z8:AC8)-AD8&gt;0,SUM(Z8:AC8)-AD8,"")</f>
        <v>56.35499999999999</v>
      </c>
      <c r="AN8" s="12">
        <f>IF(SUM(AL8:AM8)&gt;0,SUM(AL8:AM8),"")</f>
        <v>105.60999999999999</v>
      </c>
      <c r="AO8" s="12">
        <f>IF(AG8&gt;0,AG8,"")</f>
        <v>16</v>
      </c>
      <c r="AP8" s="12">
        <f>IF(SUM(AE8:AH8)-AI8&gt;0,SUM(AE8:AH8)-AI8,"")</f>
        <v>56.505000000000003</v>
      </c>
      <c r="AQ8" s="12">
        <f>IF(SUM(AN8,AP8)&gt;0,SUM(AN8,AP8),"")</f>
        <v>162.11499999999998</v>
      </c>
      <c r="AR8" s="77">
        <v>18.2</v>
      </c>
      <c r="AS8" s="77">
        <v>9.3000000000000007</v>
      </c>
      <c r="AT8" s="77">
        <v>5.7</v>
      </c>
      <c r="AU8" s="77">
        <v>16.920000000000002</v>
      </c>
      <c r="AV8" s="77">
        <v>0</v>
      </c>
      <c r="AW8" s="77">
        <v>14.7</v>
      </c>
      <c r="AX8" s="77">
        <v>9.5</v>
      </c>
      <c r="AY8" s="77">
        <v>14.9</v>
      </c>
      <c r="AZ8" s="77">
        <v>15.385</v>
      </c>
      <c r="BA8" s="77">
        <v>0</v>
      </c>
      <c r="BB8" s="77">
        <v>14.68</v>
      </c>
      <c r="BC8" s="77">
        <v>9.3000000000000007</v>
      </c>
      <c r="BD8" s="77">
        <v>15.2</v>
      </c>
      <c r="BE8" s="77">
        <v>15.645</v>
      </c>
      <c r="BF8" s="77">
        <v>0</v>
      </c>
      <c r="BG8" s="83"/>
      <c r="BH8" s="15">
        <f>IF(AY8&gt;0,AY8,"")</f>
        <v>14.9</v>
      </c>
      <c r="BI8" s="15">
        <f>IF(SUM(AR8:AU8)-AV8&gt;0,SUM(AR8:AU8)-AV8,"")</f>
        <v>50.120000000000005</v>
      </c>
      <c r="BJ8" s="15">
        <f>IF(SUM(AW8:AZ8)-BA8&gt;0,SUM(AW8:AZ8)-BA8,"")</f>
        <v>54.484999999999999</v>
      </c>
      <c r="BK8" s="15">
        <f>IF(SUM(BI8:BJ8)&gt;0,SUM(BI8:BJ8),"")</f>
        <v>104.605</v>
      </c>
      <c r="BL8" s="15">
        <f>IF(BD8&gt;0,BD8,"")</f>
        <v>15.2</v>
      </c>
      <c r="BM8" s="15">
        <f>IF(SUM(BB8:BE8)-BF8&gt;0,SUM(BB8:BE8)-BF8,"")</f>
        <v>54.825000000000003</v>
      </c>
      <c r="BN8" s="15">
        <f>IF(SUM(BK8,BM8)&gt;0,SUM(BK8,BM8),"")</f>
        <v>159.43</v>
      </c>
      <c r="BO8" s="26" t="str">
        <f>IF(MAX(CI8,DE8,EA8,EW8,FS8,GO8,HK8,IG8,JC8,JY8,KU8,LQ8)-IF(L8="",0,L8)&gt;0.001,MAX(CI8,DE8,EA8,EW8,FS8,GO8,HK8,IG8,JC8,JY8,KU8,LQ8)-IF(L8="",0,L8),"")</f>
        <v/>
      </c>
      <c r="BP8" s="26">
        <f>IF(MAX(CJ8,DF8,EB8,EX8,FT8,GP8,HL8,IH8,JD8,JZ8,KV8,LR8)-IF(N8="",0,N8)&gt;0.001,MAX(CJ8,DF8,EB8,EX8,FT8,GP8,HL8,IH8,JD8,JZ8,KV8,LR8)-IF(N8="",0,N8),"")</f>
        <v>0.18000000000000682</v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>
        <v>15.7</v>
      </c>
      <c r="FD8" s="39">
        <v>9.6</v>
      </c>
      <c r="FE8" s="39">
        <v>5.7</v>
      </c>
      <c r="FF8" s="39">
        <v>17.12</v>
      </c>
      <c r="FG8" s="39">
        <v>0</v>
      </c>
      <c r="FH8" s="39">
        <v>14.2</v>
      </c>
      <c r="FI8" s="39">
        <v>8.8000000000000007</v>
      </c>
      <c r="FJ8" s="39">
        <v>16.2</v>
      </c>
      <c r="FK8" s="39">
        <v>15.465</v>
      </c>
      <c r="FL8" s="39">
        <v>0</v>
      </c>
      <c r="FM8" s="39"/>
      <c r="FN8" s="39"/>
      <c r="FO8" s="39"/>
      <c r="FP8" s="39"/>
      <c r="FQ8" s="39"/>
      <c r="FR8" s="12">
        <f>IF(FJ8&gt;0,FJ8,"")</f>
        <v>16.2</v>
      </c>
      <c r="FS8" s="12">
        <f>IF(SUM(FC8:FF8)-FG8&gt;0,SUM(FC8:FF8)-FG8,"")</f>
        <v>48.12</v>
      </c>
      <c r="FT8" s="12">
        <f>IF(SUM(FH8:FK8)-FL8&gt;0,SUM(FH8:FK8)-FL8,"")</f>
        <v>54.665000000000006</v>
      </c>
      <c r="FU8" s="12">
        <f>IF(SUM(FS8:FT8)&gt;0,SUM(FS8:FT8),"")</f>
        <v>102.785</v>
      </c>
      <c r="FV8" s="12" t="str">
        <f>IF(FO8&gt;0,FO8,"")</f>
        <v/>
      </c>
      <c r="FW8" s="12" t="str">
        <f>IF(SUM(FM8:FP8)-FQ8&gt;0,SUM(FM8:FP8)-FQ8,"")</f>
        <v/>
      </c>
      <c r="FX8" s="12">
        <f>IF(SUM(FU8,FW8)&gt;0,SUM(FU8,FW8),"")</f>
        <v>102.785</v>
      </c>
      <c r="FY8" s="40">
        <v>17.899999999999999</v>
      </c>
      <c r="FZ8" s="40">
        <v>9.5</v>
      </c>
      <c r="GA8" s="40">
        <v>5.2</v>
      </c>
      <c r="GB8" s="40">
        <v>17.175000000000001</v>
      </c>
      <c r="GC8" s="40">
        <v>0</v>
      </c>
      <c r="GD8" s="40">
        <v>13.8</v>
      </c>
      <c r="GE8" s="40">
        <v>8.9</v>
      </c>
      <c r="GF8" s="40">
        <v>15.8</v>
      </c>
      <c r="GG8" s="40">
        <v>15.595000000000001</v>
      </c>
      <c r="GH8" s="40">
        <v>0</v>
      </c>
      <c r="GI8" s="40"/>
      <c r="GJ8" s="40"/>
      <c r="GK8" s="40"/>
      <c r="GL8" s="40"/>
      <c r="GM8" s="40"/>
      <c r="GN8" s="15">
        <f>IF(GF8&gt;0,GF8,"")</f>
        <v>15.8</v>
      </c>
      <c r="GO8" s="15">
        <f>IF(SUM(FY8:GB8)-GC8&gt;0,SUM(FY8:GB8)-GC8,"")</f>
        <v>49.775000000000006</v>
      </c>
      <c r="GP8" s="15">
        <f>IF(SUM(GD8:GG8)-GH8&gt;0,SUM(GD8:GG8)-GH8,"")</f>
        <v>54.094999999999999</v>
      </c>
      <c r="GQ8" s="15">
        <f>IF(SUM(GO8:GP8)&gt;0,SUM(GO8:GP8),"")</f>
        <v>103.87</v>
      </c>
      <c r="GR8" s="15" t="str">
        <f>IF(GK8&gt;0,GK8,"")</f>
        <v/>
      </c>
      <c r="GS8" s="15" t="str">
        <f>IF(SUM(GI8:GL8)-GM8&gt;0,SUM(GI8:GL8)-GM8,"")</f>
        <v/>
      </c>
      <c r="GT8" s="15">
        <f>IF(SUM(GQ8,GS8)&gt;0,SUM(GQ8,GS8),"")</f>
        <v>103.87</v>
      </c>
      <c r="GU8" s="39">
        <v>17.600000000000001</v>
      </c>
      <c r="GV8" s="39">
        <v>9.3000000000000007</v>
      </c>
      <c r="GW8" s="39">
        <v>5.7</v>
      </c>
      <c r="GX8" s="39">
        <v>17.245000000000001</v>
      </c>
      <c r="GY8" s="39">
        <v>0</v>
      </c>
      <c r="GZ8" s="39">
        <v>8.6</v>
      </c>
      <c r="HA8" s="39">
        <v>5.2</v>
      </c>
      <c r="HB8" s="39">
        <v>8.9</v>
      </c>
      <c r="HC8" s="39">
        <v>9.66</v>
      </c>
      <c r="HD8" s="39">
        <v>0</v>
      </c>
      <c r="HE8" s="39"/>
      <c r="HF8" s="39"/>
      <c r="HG8" s="39"/>
      <c r="HH8" s="39"/>
      <c r="HI8" s="39"/>
      <c r="HJ8" s="12">
        <f>IF(HB8&gt;0,HB8,"")</f>
        <v>8.9</v>
      </c>
      <c r="HK8" s="12">
        <f>IF(SUM(GU8:GX8)-GY8&gt;0,SUM(GU8:GX8)-GY8,"")</f>
        <v>49.844999999999999</v>
      </c>
      <c r="HL8" s="12">
        <f>IF(SUM(GZ8:HC8)-HD8&gt;0,SUM(GZ8:HC8)-HD8,"")</f>
        <v>32.36</v>
      </c>
      <c r="HM8" s="12">
        <f>IF(SUM(HK8:HL8)&gt;0,SUM(HK8:HL8),"")</f>
        <v>82.204999999999998</v>
      </c>
      <c r="HN8" s="12" t="str">
        <f>IF(HG8&gt;0,HG8,"")</f>
        <v/>
      </c>
      <c r="HO8" s="12" t="str">
        <f>IF(SUM(HE8:HH8)-HI8&gt;0,SUM(HE8:HH8)-HI8,"")</f>
        <v/>
      </c>
      <c r="HP8" s="12">
        <f>IF(SUM(HM8,HO8)&gt;0,SUM(HM8,HO8),"")</f>
        <v>82.204999999999998</v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0"/>
        <v>17.899999999999999</v>
      </c>
      <c r="LX8" s="71">
        <f t="shared" si="1"/>
        <v>9.4</v>
      </c>
      <c r="LY8" s="71">
        <f t="shared" si="2"/>
        <v>5.45</v>
      </c>
      <c r="LZ8" s="71">
        <f t="shared" si="3"/>
        <v>16.9375</v>
      </c>
      <c r="MA8" s="71">
        <f t="shared" si="4"/>
        <v>0</v>
      </c>
      <c r="MB8" s="71">
        <f t="shared" si="5"/>
        <v>14.7</v>
      </c>
      <c r="MC8" s="71">
        <f t="shared" si="6"/>
        <v>9.4749999999999996</v>
      </c>
      <c r="MD8" s="71">
        <f t="shared" si="7"/>
        <v>15.55</v>
      </c>
      <c r="ME8" s="71">
        <f t="shared" si="8"/>
        <v>15.695</v>
      </c>
      <c r="MF8" s="71">
        <f t="shared" si="9"/>
        <v>0</v>
      </c>
      <c r="MG8" s="71">
        <f t="shared" si="10"/>
        <v>14.84</v>
      </c>
      <c r="MH8" s="71">
        <f t="shared" si="11"/>
        <v>9.25</v>
      </c>
      <c r="MI8" s="71">
        <f t="shared" si="12"/>
        <v>15.6</v>
      </c>
      <c r="MJ8" s="71">
        <f t="shared" si="13"/>
        <v>15.975</v>
      </c>
      <c r="MK8" s="71">
        <f t="shared" si="14"/>
        <v>0</v>
      </c>
      <c r="ML8" s="82" t="s">
        <v>96</v>
      </c>
      <c r="MM8" s="12">
        <f t="shared" si="15"/>
        <v>15.55</v>
      </c>
      <c r="MN8" s="12">
        <f t="shared" si="16"/>
        <v>49.6875</v>
      </c>
      <c r="MO8" s="12">
        <f t="shared" si="17"/>
        <v>55.419999999999995</v>
      </c>
      <c r="MP8" s="12">
        <f t="shared" si="18"/>
        <v>105.10749999999999</v>
      </c>
      <c r="MQ8" s="12">
        <f t="shared" si="21"/>
        <v>15.6</v>
      </c>
      <c r="MR8" s="12">
        <f t="shared" si="19"/>
        <v>55.664999999999999</v>
      </c>
      <c r="MS8" s="12">
        <f t="shared" si="20"/>
        <v>160.77249999999998</v>
      </c>
    </row>
    <row r="9" spans="1:357" x14ac:dyDescent="0.2">
      <c r="A9" s="6">
        <f>IF(AND(F9="P",H9="P"),SUMPRODUCT((F$4:F$21="P")*(H$4:H$21="P")*(E$4:E$21&gt;E9))+1,IF(H9="P",SUMPRODUCT((F$4:F$21="")*(H$4:H$21="P")*(E$4:E$21&gt;E9))+1+SUMPRODUCT((F$4:F$21="P")*(H$4:H$21="P")),""))</f>
        <v>6</v>
      </c>
      <c r="B9" s="7" t="s">
        <v>87</v>
      </c>
      <c r="C9" s="8" t="s">
        <v>5</v>
      </c>
      <c r="D9" s="29">
        <v>1999</v>
      </c>
      <c r="E9" s="16">
        <f>SUM(J9:R9)</f>
        <v>259.935</v>
      </c>
      <c r="F9" s="4" t="str">
        <f>IF(OR(AND($AK9&gt;=$AL$23,NOT($AK9=""),$AJ9=""),AND($BH9&gt;=$BI$23,NOT($BH9=""),$BG9=""),AND($CH9&gt;=$CI$23,NOT($CH9="")),AND($DD9&gt;=$DE$23,NOT($DD9="")),AND($DZ9&gt;=$EA$23,NOT($DZ9="")),AND($EV9&gt;=$EW$23,NOT($EV9="")),AND($FR9&gt;=$FS$23,NOT($FR9="")),AND($GN9&gt;=$GO$23,NOT($GN9="")),AND($HJ9&gt;=$HK$23,NOT($HJ9="")),AND($IF9&gt;=$IG$23,NOT($IF9="")),AND($JB9&gt;=$JC$23,NOT($JB9="")),AND($JX9&gt;=$JY$23,NOT($JX9="")),AND($KT9&gt;=$KU$23,NOT($KT9="")),AND($LP9&gt;=$LQ$23,NOT($LP9="")),AND($AO9&gt;=$AL$23,NOT($AO9=""),$AJ9=""),AND($BL9&gt;=$BI$23,NOT($BL9=""),$BG9=""),AND($CL9&gt;=$CI$23,NOT($CL9="")),AND($DH9&gt;=$DE$23,NOT($DH9="")),AND($ED9&gt;=$EA$23,NOT($ED9="")),AND($EZ9&gt;=$EW$23,NOT($EZ9="")),AND($FV9&gt;=$FS$23,NOT($FV9="")),AND($GR9&gt;=$GO$23,NOT($GR9="")),AND($HN9&gt;=$HK$23,NOT($HN9="")),AND($IJ9&gt;=$IG$23,NOT($IJ9="")),AND($JF9&gt;=$JC$23,NOT($JF9="")),AND($KB9&gt;=$JY$23,NOT($KB9="")),AND($KX9&gt;=$KU$23,NOT($KX9="")),AND($LT9&gt;=$LQ$23,NOT($LT9=""))),"P","")</f>
        <v>P</v>
      </c>
      <c r="G9" s="4" t="str">
        <f>IF(OR(AND($AK9&gt;=$AL$24,NOT($AK9=""),$AJ9=""),AND($BH9&gt;=$BI$24,NOT($BH9=""),$BG9=""),AND($CH9&gt;=$CI$24,NOT($CH9="")),AND($DD9&gt;=$DE$24,NOT($DD9="")),AND($DZ9&gt;=$EA$24,NOT($DZ9="")),AND($EV9&gt;=$EW$24,NOT($EV9="")),AND($FR9&gt;=$FS$24,NOT($FR9="")),AND($GN9&gt;=$GO$24,NOT($GN9="")),AND($HJ9&gt;=$HK$24,NOT($HJ9="")),AND($IF9&gt;=$IG$24,NOT($IF9="")),AND($JB9&gt;=$JC$24,NOT($JB9="")),AND($JX9&gt;=$JY$24,NOT($JX9="")),AND($KT9&gt;=$KU$24,NOT($KT9="")),AND($LP9&gt;=$LQ$24,NOT($LP9="")),AND($AO9&gt;=$AL$24,NOT($AO9=""),$AJ9=""),AND($BL9&gt;=$BI$24,NOT($BL9=""),$BG9=""),AND($CL9&gt;=$CI$24,NOT($CL9="")),AND($DH9&gt;=$DE$24,NOT($DH9="")),AND($ED9&gt;=$EA$24,NOT($ED9="")),AND($EZ9&gt;=$EW$24,NOT($EZ9="")),AND($FV9&gt;=$FS$24,NOT($FV9="")),AND($GR9&gt;=$GO$24,NOT($GR9="")),AND($HN9&gt;=$HK$24,NOT($HN9="")),AND($IJ9&gt;=$IG$24,NOT($IJ9="")),AND($JF9&gt;=$JC$24,NOT($JF9="")),AND($KB9&gt;=$JY$24,NOT($KB9="")),AND($KX9&gt;=$KU$24,NOT($KX9="")),AND($LT9&gt;=$LQ$24,NOT($LT9=""))),"P","")</f>
        <v/>
      </c>
      <c r="H9" s="4" t="str">
        <f>IF(OR(AND($AN9&gt;=$AL$25,NOT($AN9=""),$AJ9=""),AND($BK9&gt;=$BI$25,NOT($BK9=""),$BG9=""),AND($CK9&gt;=$CI$25,NOT($CK9="")),AND($DG9&gt;=$DE$25,NOT($DG9="")),AND($EC9&gt;=$EA$25,NOT($EC9="")),AND($EY9&gt;=$EW$25,NOT($EY9="")),AND($FU9&gt;=$FS$25,NOT($FU9="")),AND($GQ9&gt;=$GO$25,NOT($GQ9="")),AND($HM9&gt;=$HK$25,NOT($HM9="")),AND($II9&gt;=$IG$25,NOT($II9="")),AND($JE9&gt;=$JC$25,NOT($JE9="")),AND($KA9&gt;=$JY$25,NOT($KA9="")),AND($KW9&gt;=$KU$25,NOT($KW9="")),AND($LS9&gt;=$LQ$25,NOT($LS9=""))),"P","")</f>
        <v>P</v>
      </c>
      <c r="I9" t="str">
        <f>IF(AND(H9="P",F9=""),"No DD",IF(AND(G9="P",OR(AND($AM9&gt;$AL$28,NOT($AM9=""),$AJ9=""),AND($AP9&gt;$AL$28,NOT($AP9=""),$AJ9=""),AND($BJ9&gt;$BI$28,NOT($BJ9=""),$BG9=""),AND($BM9&gt;$BI$28,NOT($BM9=""),$BG9=""),AND($CJ9&gt;$CI$28,NOT($CJ9="")),AND($CM9&gt;$CI$28,NOT($CM9="")),AND($DF9&gt;$DE$28,NOT($DF9="")),AND($DI9&gt;$DE$28,NOT($DI9="")),AND($EB9&gt;$EA$28,NOT($EB9="")),AND($EE9&gt;$EA$28,NOT($EE9="")),AND($EX9&gt;$EW$28,NOT($EX9="")),AND($FA9&gt;$EW$28,NOT($FA9="")),AND($FT9&gt;$FS$28,NOT($FT9="")),AND($FW9&gt;$FS$28,NOT($FW9="")),AND($GP9&gt;$GO$28,NOT($GP9="")),AND($GS9&gt;$GO$28,NOT($GS9="")),AND($HL9&gt;$HK$28,NOT($HL9="")),AND($HO9&gt;$HK$28,NOT($HO9="")),AND($IH9&gt;$IG$28,NOT($IH9="")),AND($IK9&gt;$IG$28,NOT($IK9="")),AND($JD9&gt;$JC$28,NOT($JD9="")),AND($JG9&gt;$JC$28,NOT($JG9="")),AND($JZ9&gt;$JY$28,NOT($JZ9="")),AND($KC9&gt;$JY$28,NOT($KC9="")),AND($KV9&gt;$KU$28,NOT($KV9="")),AND($KY9&gt;$KU$28,NOT($KY9="")),AND($LR9&gt;$LQ$28,NOT($LR9="")),AND($LU9&gt;$LQ$28,NOT($LU9="")))),"Merit",IF(AND(G9="P",OR(AND($AN9&gt;$AL$27,NOT($AN9=""),$AJ9=""),AND($BK9&gt;$BI$27,NOT($BK9=""),$BG9=""),AND($CK9&gt;$CI$27,NOT($CK9="")),AND($DG9&gt;$DE$27,NOT($DG9="")),AND($EC9&gt;$EA$27,NOT($EC9="")),AND($EY9&gt;$EW$27,NOT($EY9="")),AND($FU9&gt;$FS$27,NOT($FU9="")),AND($GQ9&gt;$GO$27,NOT($GQ9="")),AND($HM9&gt;$HK$27,NOT($HM9="")),AND($II9&gt;$IG$27,NOT($II9="")),AND($JE9&gt;$JC$27,NOT($JE9="")),AND($KA9&gt;$JY$27,NOT($KA9="")),AND($KW9&gt;$KU$27,NOT($KW9="")),AND($LS9&gt;$LQ$27,NOT($LS9="")))),"Excellence",IF(AND(G9="P",OR(AND($AN9&gt;$AL$26,NOT($AN9=""),$AJ9=""),AND($BK9&gt;$BI$26,NOT($BK9=""),$BG9=""),AND($CK9&gt;$CI$26,NOT($CK9="")),AND($DG9&gt;$DE$26,NOT($DG9="")),AND($EC9&gt;$EA$26,NOT($EC9="")),AND($EY9&gt;$EW$26,NOT($EY9="")),AND($FU9&gt;$FS$26,NOT($FU9="")),AND($GQ9&gt;$GO$26,NOT($GQ9="")),AND($HM9&gt;$HK$26,NOT($HM9="")),AND($II9&gt;$IG$26,NOT($II9="")),AND($JE9&gt;$JC$26,NOT($JE9="")),AND($KA9&gt;$JY$26,NOT($KA9="")),AND($KW9&gt;$KU$26,NOT($KW9="")),AND($LS9&gt;$LQ$26,NOT($LS9="")))),"Worlds Team",IF(AND(F9="P",OR(AND($AN9&gt;$AL$25,NOT($AN9=""),$AJ9=""),AND($BK9&gt;$BI$25,NOT($BK9=""),$BG9=""),AND($CK9&gt;$CI$25,NOT($CK9="")),AND($DG9&gt;$DE$25,NOT($DG9="")),AND($EC9&gt;$EA$25,NOT($EC9="")),AND($EY9&gt;$EW$25,NOT($EY9="")),AND($FU9&gt;$FS$25,NOT($FU9="")),AND($GQ9&gt;$GO$25,NOT($GQ9="")),AND($HM9&gt;$HK$25,NOT($HM9="")),AND($II9&gt;$IG$25,NOT($II9="")),AND($JE9&gt;$JC$25,NOT($JE9="")),AND($KA9&gt;$JY$25,NOT($KA9="")),AND($KW9&gt;$KU$25,NOT($KW9="")),AND($LS9&gt;$LQ$25,NOT($LS9="")))),"National Team","")))))</f>
        <v>National Team</v>
      </c>
      <c r="J9" s="15">
        <f>IF(MAX(AN9,BK9)&gt;0,MAX(AN9,BK9),"")</f>
        <v>103.31500000000001</v>
      </c>
      <c r="K9" s="15" t="str">
        <f>IF(J9="","",IF(J9=BK9,$AR$1,IF(J9=AN9,$U$1,"")))</f>
        <v>2019 Nationals</v>
      </c>
      <c r="L9" s="15">
        <f>IF($J9=$AN9,BI9,IF($J9=$BK9,AL9,MAX(AL9,BI9)))</f>
        <v>48.33</v>
      </c>
      <c r="M9" s="15" t="str">
        <f>IF(L9="","",IF(AND(L9=BI9,$K9&lt;&gt;$AR$1),$AR$1,IF(AND(L9=AL9,$K9&lt;&gt;$U$1),$U$1,"")))</f>
        <v>2019 Elite Canada</v>
      </c>
      <c r="N9" s="15">
        <f>IF($J9=$AN9,BJ9,IF($J9=$BK9,AM9,MAX(AM9,BJ9)))</f>
        <v>53.855000000000004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54.434999999999995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71">
        <v>17</v>
      </c>
      <c r="V9" s="71">
        <v>9.5500000000000007</v>
      </c>
      <c r="W9" s="71">
        <v>5.4</v>
      </c>
      <c r="X9" s="71">
        <v>16.38</v>
      </c>
      <c r="Y9" s="71">
        <v>0</v>
      </c>
      <c r="Z9" s="71">
        <v>14.6</v>
      </c>
      <c r="AA9" s="71">
        <v>8.9</v>
      </c>
      <c r="AB9" s="71">
        <v>14.6</v>
      </c>
      <c r="AC9" s="71">
        <v>15.755000000000001</v>
      </c>
      <c r="AD9" s="71">
        <v>0</v>
      </c>
      <c r="AE9" s="71">
        <v>14.7</v>
      </c>
      <c r="AF9" s="71">
        <v>9.15</v>
      </c>
      <c r="AG9" s="71">
        <v>14.8</v>
      </c>
      <c r="AH9" s="71">
        <v>15.685</v>
      </c>
      <c r="AI9" s="71">
        <v>0</v>
      </c>
      <c r="AJ9" s="82"/>
      <c r="AK9" s="12">
        <f>IF(AB9&gt;0,AB9,"")</f>
        <v>14.6</v>
      </c>
      <c r="AL9" s="12">
        <f>IF(SUM(U9:X9)-Y9&gt;0,SUM(U9:X9)-Y9,"")</f>
        <v>48.33</v>
      </c>
      <c r="AM9" s="12">
        <f>IF(SUM(Z9:AC9)-AD9&gt;0,SUM(Z9:AC9)-AD9,"")</f>
        <v>53.855000000000004</v>
      </c>
      <c r="AN9" s="12">
        <f>IF(SUM(AL9:AM9)&gt;0,SUM(AL9:AM9),"")</f>
        <v>102.185</v>
      </c>
      <c r="AO9" s="12">
        <f>IF(AG9&gt;0,AG9,"")</f>
        <v>14.8</v>
      </c>
      <c r="AP9" s="12">
        <f>IF(SUM(AE9:AH9)-AI9&gt;0,SUM(AE9:AH9)-AI9,"")</f>
        <v>54.335000000000008</v>
      </c>
      <c r="AQ9" s="12">
        <f>IF(SUM(AN9,AP9)&gt;0,SUM(AN9,AP9),"")</f>
        <v>156.52000000000001</v>
      </c>
      <c r="AR9" s="77">
        <v>16.399999999999999</v>
      </c>
      <c r="AS9" s="77">
        <v>9.1</v>
      </c>
      <c r="AT9" s="77">
        <v>5.4</v>
      </c>
      <c r="AU9" s="77">
        <v>16.675000000000001</v>
      </c>
      <c r="AV9" s="77">
        <v>0</v>
      </c>
      <c r="AW9" s="77">
        <v>15.4</v>
      </c>
      <c r="AX9" s="77">
        <v>9.3000000000000007</v>
      </c>
      <c r="AY9" s="77">
        <v>15.2</v>
      </c>
      <c r="AZ9" s="77">
        <v>15.84</v>
      </c>
      <c r="BA9" s="77">
        <v>0</v>
      </c>
      <c r="BB9" s="77">
        <v>14.68</v>
      </c>
      <c r="BC9" s="77">
        <v>9.4</v>
      </c>
      <c r="BD9" s="77">
        <v>14.8</v>
      </c>
      <c r="BE9" s="77">
        <v>15.555</v>
      </c>
      <c r="BF9" s="77">
        <v>0</v>
      </c>
      <c r="BG9" s="83"/>
      <c r="BH9" s="15">
        <f>IF(AY9&gt;0,AY9,"")</f>
        <v>15.2</v>
      </c>
      <c r="BI9" s="15">
        <f>IF(SUM(AR9:AU9)-AV9&gt;0,SUM(AR9:AU9)-AV9,"")</f>
        <v>47.575000000000003</v>
      </c>
      <c r="BJ9" s="15">
        <f>IF(SUM(AW9:AZ9)-BA9&gt;0,SUM(AW9:AZ9)-BA9,"")</f>
        <v>55.740000000000009</v>
      </c>
      <c r="BK9" s="15">
        <f>IF(SUM(BI9:BJ9)&gt;0,SUM(BI9:BJ9),"")</f>
        <v>103.31500000000001</v>
      </c>
      <c r="BL9" s="15">
        <f>IF(BD9&gt;0,BD9,"")</f>
        <v>14.8</v>
      </c>
      <c r="BM9" s="15">
        <f>IF(SUM(BB9:BE9)-BF9&gt;0,SUM(BB9:BE9)-BF9,"")</f>
        <v>54.434999999999995</v>
      </c>
      <c r="BN9" s="15">
        <f>IF(SUM(BK9,BM9)&gt;0,SUM(BK9,BM9),"")</f>
        <v>157.75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>
        <v>16.8</v>
      </c>
      <c r="IN9" s="39">
        <v>9.6999999999999993</v>
      </c>
      <c r="IO9" s="39">
        <v>2.9</v>
      </c>
      <c r="IP9" s="39">
        <v>16.765000000000001</v>
      </c>
      <c r="IQ9" s="39">
        <v>0</v>
      </c>
      <c r="IR9" s="39">
        <v>13.7</v>
      </c>
      <c r="IS9" s="39">
        <v>9.4</v>
      </c>
      <c r="IT9" s="39">
        <v>15</v>
      </c>
      <c r="IU9" s="39">
        <v>15.555</v>
      </c>
      <c r="IV9" s="39">
        <v>0</v>
      </c>
      <c r="IW9" s="39"/>
      <c r="IX9" s="39"/>
      <c r="IY9" s="39"/>
      <c r="IZ9" s="39"/>
      <c r="JA9" s="39"/>
      <c r="JB9" s="12">
        <f>IF(IT9&gt;0,IT9,"")</f>
        <v>15</v>
      </c>
      <c r="JC9" s="12">
        <f>IF(SUM(IM9:IP9)-IQ9&gt;0,SUM(IM9:IP9)-IQ9,"")</f>
        <v>46.164999999999999</v>
      </c>
      <c r="JD9" s="12">
        <f>IF(SUM(IR9:IU9)-IV9&gt;0,SUM(IR9:IU9)-IV9,"")</f>
        <v>53.655000000000001</v>
      </c>
      <c r="JE9" s="12">
        <f>IF(SUM(JC9:JD9)&gt;0,SUM(JC9:JD9),"")</f>
        <v>99.82</v>
      </c>
      <c r="JF9" s="12" t="str">
        <f>IF(IY9&gt;0,IY9,"")</f>
        <v/>
      </c>
      <c r="JG9" s="12" t="str">
        <f>IF(SUM(IW9:IZ9)-JA9&gt;0,SUM(IW9:IZ9)-JA9,"")</f>
        <v/>
      </c>
      <c r="JH9" s="12">
        <f>IF(SUM(JE9,JG9)&gt;0,SUM(JE9,JG9),"")</f>
        <v>99.82</v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0"/>
        <v>16.7</v>
      </c>
      <c r="LX9" s="71">
        <f t="shared" si="1"/>
        <v>9.3249999999999993</v>
      </c>
      <c r="LY9" s="71">
        <f t="shared" si="2"/>
        <v>5.4</v>
      </c>
      <c r="LZ9" s="71">
        <f t="shared" si="3"/>
        <v>16.5275</v>
      </c>
      <c r="MA9" s="71">
        <f t="shared" si="4"/>
        <v>0</v>
      </c>
      <c r="MB9" s="71">
        <f t="shared" si="5"/>
        <v>15</v>
      </c>
      <c r="MC9" s="71">
        <f t="shared" si="6"/>
        <v>9.1000000000000014</v>
      </c>
      <c r="MD9" s="71">
        <f t="shared" si="7"/>
        <v>14.899999999999999</v>
      </c>
      <c r="ME9" s="71">
        <f t="shared" si="8"/>
        <v>15.797499999999999</v>
      </c>
      <c r="MF9" s="71">
        <f t="shared" si="9"/>
        <v>0</v>
      </c>
      <c r="MG9" s="71">
        <f t="shared" si="10"/>
        <v>14.69</v>
      </c>
      <c r="MH9" s="71">
        <f t="shared" si="11"/>
        <v>9.2750000000000004</v>
      </c>
      <c r="MI9" s="71">
        <f t="shared" si="12"/>
        <v>14.8</v>
      </c>
      <c r="MJ9" s="71">
        <f t="shared" si="13"/>
        <v>15.620000000000001</v>
      </c>
      <c r="MK9" s="71">
        <f t="shared" si="14"/>
        <v>0</v>
      </c>
      <c r="ML9" s="82" t="s">
        <v>96</v>
      </c>
      <c r="MM9" s="12">
        <f t="shared" si="15"/>
        <v>14.899999999999999</v>
      </c>
      <c r="MN9" s="12">
        <f t="shared" si="16"/>
        <v>47.952500000000001</v>
      </c>
      <c r="MO9" s="12">
        <f t="shared" si="17"/>
        <v>54.797499999999999</v>
      </c>
      <c r="MP9" s="12">
        <f t="shared" si="18"/>
        <v>102.75</v>
      </c>
      <c r="MQ9" s="12">
        <f t="shared" si="21"/>
        <v>14.8</v>
      </c>
      <c r="MR9" s="12">
        <f t="shared" si="19"/>
        <v>54.385000000000005</v>
      </c>
      <c r="MS9" s="12">
        <f t="shared" si="20"/>
        <v>157.13499999999999</v>
      </c>
    </row>
    <row r="10" spans="1:357" x14ac:dyDescent="0.2">
      <c r="A10" s="6" t="str">
        <f>IF(AND(F10="P",H10="P"),SUMPRODUCT((F$4:F$21="P")*(H$4:H$21="P")*(E$4:E$21&gt;E10))+1,IF(H10="P",SUMPRODUCT((F$4:F$21="")*(H$4:H$21="P")*(E$4:E$21&gt;E10))+1+SUMPRODUCT((F$4:F$21="P")*(H$4:H$21="P")),""))</f>
        <v/>
      </c>
      <c r="B10" s="9" t="s">
        <v>13</v>
      </c>
      <c r="C10" s="5" t="s">
        <v>6</v>
      </c>
      <c r="D10" s="29">
        <v>1995</v>
      </c>
      <c r="E10" s="16">
        <f>SUM(J10:R10)</f>
        <v>251.23500000000001</v>
      </c>
      <c r="F10" s="4" t="str">
        <f>IF(OR(AND($AK10&gt;=$AL$23,NOT($AK10=""),$AJ10=""),AND($BH10&gt;=$BI$23,NOT($BH10=""),$BG10=""),AND($CH10&gt;=$CI$23,NOT($CH10="")),AND($DD10&gt;=$DE$23,NOT($DD10="")),AND($DZ10&gt;=$EA$23,NOT($DZ10="")),AND($EV10&gt;=$EW$23,NOT($EV10="")),AND($FR10&gt;=$FS$23,NOT($FR10="")),AND($GN10&gt;=$GO$23,NOT($GN10="")),AND($HJ10&gt;=$HK$23,NOT($HJ10="")),AND($IF10&gt;=$IG$23,NOT($IF10="")),AND($JB10&gt;=$JC$23,NOT($JB10="")),AND($JX10&gt;=$JY$23,NOT($JX10="")),AND($KT10&gt;=$KU$23,NOT($KT10="")),AND($LP10&gt;=$LQ$23,NOT($LP10="")),AND($AO10&gt;=$AL$23,NOT($AO10=""),$AJ10=""),AND($BL10&gt;=$BI$23,NOT($BL10=""),$BG10=""),AND($CL10&gt;=$CI$23,NOT($CL10="")),AND($DH10&gt;=$DE$23,NOT($DH10="")),AND($ED10&gt;=$EA$23,NOT($ED10="")),AND($EZ10&gt;=$EW$23,NOT($EZ10="")),AND($FV10&gt;=$FS$23,NOT($FV10="")),AND($GR10&gt;=$GO$23,NOT($GR10="")),AND($HN10&gt;=$HK$23,NOT($HN10="")),AND($IJ10&gt;=$IG$23,NOT($IJ10="")),AND($JF10&gt;=$JC$23,NOT($JF10="")),AND($KB10&gt;=$JY$23,NOT($KB10="")),AND($KX10&gt;=$KU$23,NOT($KX10="")),AND($LT10&gt;=$LQ$23,NOT($LT10=""))),"P","")</f>
        <v>P</v>
      </c>
      <c r="G10" s="4" t="str">
        <f>IF(OR(AND($AK10&gt;=$AL$24,NOT($AK10=""),$AJ10=""),AND($BH10&gt;=$BI$24,NOT($BH10=""),$BG10=""),AND($CH10&gt;=$CI$24,NOT($CH10="")),AND($DD10&gt;=$DE$24,NOT($DD10="")),AND($DZ10&gt;=$EA$24,NOT($DZ10="")),AND($EV10&gt;=$EW$24,NOT($EV10="")),AND($FR10&gt;=$FS$24,NOT($FR10="")),AND($GN10&gt;=$GO$24,NOT($GN10="")),AND($HJ10&gt;=$HK$24,NOT($HJ10="")),AND($IF10&gt;=$IG$24,NOT($IF10="")),AND($JB10&gt;=$JC$24,NOT($JB10="")),AND($JX10&gt;=$JY$24,NOT($JX10="")),AND($KT10&gt;=$KU$24,NOT($KT10="")),AND($LP10&gt;=$LQ$24,NOT($LP10="")),AND($AO10&gt;=$AL$24,NOT($AO10=""),$AJ10=""),AND($BL10&gt;=$BI$24,NOT($BL10=""),$BG10=""),AND($CL10&gt;=$CI$24,NOT($CL10="")),AND($DH10&gt;=$DE$24,NOT($DH10="")),AND($ED10&gt;=$EA$24,NOT($ED10="")),AND($EZ10&gt;=$EW$24,NOT($EZ10="")),AND($FV10&gt;=$FS$24,NOT($FV10="")),AND($GR10&gt;=$GO$24,NOT($GR10="")),AND($HN10&gt;=$HK$24,NOT($HN10="")),AND($IJ10&gt;=$IG$24,NOT($IJ10="")),AND($JF10&gt;=$JC$24,NOT($JF10="")),AND($KB10&gt;=$JY$24,NOT($KB10="")),AND($KX10&gt;=$KU$24,NOT($KX10="")),AND($LT10&gt;=$LQ$24,NOT($LT10=""))),"P","")</f>
        <v>P</v>
      </c>
      <c r="H10" s="4" t="str">
        <f>IF(OR(AND($AN10&gt;=$AL$25,NOT($AN10=""),$AJ10=""),AND($BK10&gt;=$BI$25,NOT($BK10=""),$BG10=""),AND($CK10&gt;=$CI$25,NOT($CK10="")),AND($DG10&gt;=$DE$25,NOT($DG10="")),AND($EC10&gt;=$EA$25,NOT($EC10="")),AND($EY10&gt;=$EW$25,NOT($EY10="")),AND($FU10&gt;=$FS$25,NOT($FU10="")),AND($GQ10&gt;=$GO$25,NOT($GQ10="")),AND($HM10&gt;=$HK$25,NOT($HM10="")),AND($II10&gt;=$IG$25,NOT($II10="")),AND($JE10&gt;=$JC$25,NOT($JE10="")),AND($KA10&gt;=$JY$25,NOT($KA10="")),AND($KW10&gt;=$KU$25,NOT($KW10="")),AND($LS10&gt;=$LQ$25,NOT($LS10=""))),"P","")</f>
        <v/>
      </c>
      <c r="I10" t="str">
        <f>IF(AND(H10="P",F10=""),"No DD",IF(AND(G10="P",OR(AND($AM10&gt;$AL$28,NOT($AM10=""),$AJ10=""),AND($AP10&gt;$AL$28,NOT($AP10=""),$AJ10=""),AND($BJ10&gt;$BI$28,NOT($BJ10=""),$BG10=""),AND($BM10&gt;$BI$28,NOT($BM10=""),$BG10=""),AND($CJ10&gt;$CI$28,NOT($CJ10="")),AND($CM10&gt;$CI$28,NOT($CM10="")),AND($DF10&gt;$DE$28,NOT($DF10="")),AND($DI10&gt;$DE$28,NOT($DI10="")),AND($EB10&gt;$EA$28,NOT($EB10="")),AND($EE10&gt;$EA$28,NOT($EE10="")),AND($EX10&gt;$EW$28,NOT($EX10="")),AND($FA10&gt;$EW$28,NOT($FA10="")),AND($FT10&gt;$FS$28,NOT($FT10="")),AND($FW10&gt;$FS$28,NOT($FW10="")),AND($GP10&gt;$GO$28,NOT($GP10="")),AND($GS10&gt;$GO$28,NOT($GS10="")),AND($HL10&gt;$HK$28,NOT($HL10="")),AND($HO10&gt;$HK$28,NOT($HO10="")),AND($IH10&gt;$IG$28,NOT($IH10="")),AND($IK10&gt;$IG$28,NOT($IK10="")),AND($JD10&gt;$JC$28,NOT($JD10="")),AND($JG10&gt;$JC$28,NOT($JG10="")),AND($JZ10&gt;$JY$28,NOT($JZ10="")),AND($KC10&gt;$JY$28,NOT($KC10="")),AND($KV10&gt;$KU$28,NOT($KV10="")),AND($KY10&gt;$KU$28,NOT($KY10="")),AND($LR10&gt;$LQ$28,NOT($LR10="")),AND($LU10&gt;$LQ$28,NOT($LU10="")))),"Merit",IF(AND(G10="P",OR(AND($AN10&gt;$AL$27,NOT($AN10=""),$AJ10=""),AND($BK10&gt;$BI$27,NOT($BK10=""),$BG10=""),AND($CK10&gt;$CI$27,NOT($CK10="")),AND($DG10&gt;$DE$27,NOT($DG10="")),AND($EC10&gt;$EA$27,NOT($EC10="")),AND($EY10&gt;$EW$27,NOT($EY10="")),AND($FU10&gt;$FS$27,NOT($FU10="")),AND($GQ10&gt;$GO$27,NOT($GQ10="")),AND($HM10&gt;$HK$27,NOT($HM10="")),AND($II10&gt;$IG$27,NOT($II10="")),AND($JE10&gt;$JC$27,NOT($JE10="")),AND($KA10&gt;$JY$27,NOT($KA10="")),AND($KW10&gt;$KU$27,NOT($KW10="")),AND($LS10&gt;$LQ$27,NOT($LS10="")))),"Excellence",IF(AND(G10="P",OR(AND($AN10&gt;$AL$26,NOT($AN10=""),$AJ10=""),AND($BK10&gt;$BI$26,NOT($BK10=""),$BG10=""),AND($CK10&gt;$CI$26,NOT($CK10="")),AND($DG10&gt;$DE$26,NOT($DG10="")),AND($EC10&gt;$EA$26,NOT($EC10="")),AND($EY10&gt;$EW$26,NOT($EY10="")),AND($FU10&gt;$FS$26,NOT($FU10="")),AND($GQ10&gt;$GO$26,NOT($GQ10="")),AND($HM10&gt;$HK$26,NOT($HM10="")),AND($II10&gt;$IG$26,NOT($II10="")),AND($JE10&gt;$JC$26,NOT($JE10="")),AND($KA10&gt;$JY$26,NOT($KA10="")),AND($KW10&gt;$KU$26,NOT($KW10="")),AND($LS10&gt;$LQ$26,NOT($LS10="")))),"Worlds Team",IF(AND(F10="P",OR(AND($AN10&gt;$AL$25,NOT($AN10=""),$AJ10=""),AND($BK10&gt;$BI$25,NOT($BK10=""),$BG10=""),AND($CK10&gt;$CI$25,NOT($CK10="")),AND($DG10&gt;$DE$25,NOT($DG10="")),AND($EC10&gt;$EA$25,NOT($EC10="")),AND($EY10&gt;$EW$25,NOT($EY10="")),AND($FU10&gt;$FS$25,NOT($FU10="")),AND($GQ10&gt;$GO$25,NOT($GQ10="")),AND($HM10&gt;$HK$25,NOT($HM10="")),AND($II10&gt;$IG$25,NOT($II10="")),AND($JE10&gt;$JC$25,NOT($JE10="")),AND($KA10&gt;$JY$25,NOT($KA10="")),AND($KW10&gt;$KU$25,NOT($KW10="")),AND($LS10&gt;$LQ$25,NOT($LS10="")))),"National Team","")))))</f>
        <v/>
      </c>
      <c r="J10" s="15">
        <f>IF(MAX(AN10,BK10)&gt;0,MAX(AN10,BK10),"")</f>
        <v>99.175000000000011</v>
      </c>
      <c r="K10" s="15" t="str">
        <f>IF(J10="","",IF(J10=BK10,$AR$1,IF(J10=AN10,$U$1,"")))</f>
        <v>2019 Nationals</v>
      </c>
      <c r="L10" s="15">
        <f>IF($J10=$AN10,BI10,IF($J10=$BK10,AL10,MAX(AL10,BI10)))</f>
        <v>47.29</v>
      </c>
      <c r="M10" s="15" t="str">
        <f>IF(L10="","",IF(AND(L10=BI10,$K10&lt;&gt;$AR$1),$AR$1,IF(AND(L10=AL10,$K10&lt;&gt;$U$1),$U$1,"")))</f>
        <v>2019 Elite Canada</v>
      </c>
      <c r="N10" s="15">
        <f>IF($J10=$AN10,BJ10,IF($J10=$BK10,AM10,MAX(AM10,BJ10)))</f>
        <v>51.205000000000005</v>
      </c>
      <c r="O10" s="15" t="str">
        <f>IF(N10="","",IF(AND(N10=BJ10,$K10&lt;&gt;$AR$1),$AR$1,IF(AND(N10=AM10,$K10&lt;&gt;$U$1),$U$1,"")))</f>
        <v>2019 Elite Canada</v>
      </c>
      <c r="P10" s="15">
        <f>IF(MAX(AP10,BM10)&gt;0,MAX(AP10,BM10),"")</f>
        <v>53.565000000000005</v>
      </c>
      <c r="Q10" s="15" t="str">
        <f>IF(P10="","",IF(P10=BM10,$AR$1,IF(P10=AP10,$U$1,"")))</f>
        <v>2019 Elite Canada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71">
        <v>15.7</v>
      </c>
      <c r="V10" s="71">
        <v>9.25</v>
      </c>
      <c r="W10" s="71">
        <v>6</v>
      </c>
      <c r="X10" s="71">
        <v>16.34</v>
      </c>
      <c r="Y10" s="71">
        <v>0</v>
      </c>
      <c r="Z10" s="71">
        <v>11.8</v>
      </c>
      <c r="AA10" s="71">
        <v>8.9499999999999993</v>
      </c>
      <c r="AB10" s="71">
        <v>15.7</v>
      </c>
      <c r="AC10" s="71">
        <v>14.755000000000001</v>
      </c>
      <c r="AD10" s="71">
        <v>0</v>
      </c>
      <c r="AE10" s="71">
        <v>13.3</v>
      </c>
      <c r="AF10" s="71">
        <v>9.25</v>
      </c>
      <c r="AG10" s="71">
        <v>15.9</v>
      </c>
      <c r="AH10" s="71">
        <v>15.115</v>
      </c>
      <c r="AI10" s="71">
        <v>0</v>
      </c>
      <c r="AJ10" s="82"/>
      <c r="AK10" s="12">
        <f>IF(AB10&gt;0,AB10,"")</f>
        <v>15.7</v>
      </c>
      <c r="AL10" s="12">
        <f>IF(SUM(U10:X10)-Y10&gt;0,SUM(U10:X10)-Y10,"")</f>
        <v>47.29</v>
      </c>
      <c r="AM10" s="12">
        <f>IF(SUM(Z10:AC10)-AD10&gt;0,SUM(Z10:AC10)-AD10,"")</f>
        <v>51.205000000000005</v>
      </c>
      <c r="AN10" s="12">
        <f>IF(SUM(AL10:AM10)&gt;0,SUM(AL10:AM10),"")</f>
        <v>98.495000000000005</v>
      </c>
      <c r="AO10" s="12">
        <f>IF(AG10&gt;0,AG10,"")</f>
        <v>15.9</v>
      </c>
      <c r="AP10" s="12">
        <f>IF(SUM(AE10:AH10)-AI10&gt;0,SUM(AE10:AH10)-AI10,"")</f>
        <v>53.565000000000005</v>
      </c>
      <c r="AQ10" s="12">
        <f>IF(SUM(AN10,AP10)&gt;0,SUM(AN10,AP10),"")</f>
        <v>152.06</v>
      </c>
      <c r="AR10" s="77">
        <v>17.600000000000001</v>
      </c>
      <c r="AS10" s="77">
        <v>9.5</v>
      </c>
      <c r="AT10" s="77">
        <v>5.8</v>
      </c>
      <c r="AU10" s="77">
        <v>16.164999999999999</v>
      </c>
      <c r="AV10" s="77">
        <v>0</v>
      </c>
      <c r="AW10" s="77">
        <v>12.8</v>
      </c>
      <c r="AX10" s="77">
        <v>9.3000000000000007</v>
      </c>
      <c r="AY10" s="77">
        <v>13.8</v>
      </c>
      <c r="AZ10" s="77">
        <v>14.21</v>
      </c>
      <c r="BA10" s="77">
        <v>0</v>
      </c>
      <c r="BB10" s="77"/>
      <c r="BC10" s="77"/>
      <c r="BD10" s="77"/>
      <c r="BE10" s="77"/>
      <c r="BF10" s="77"/>
      <c r="BG10" s="83"/>
      <c r="BH10" s="15">
        <f>IF(AY10&gt;0,AY10,"")</f>
        <v>13.8</v>
      </c>
      <c r="BI10" s="15">
        <f>IF(SUM(AR10:AU10)-AV10&gt;0,SUM(AR10:AU10)-AV10,"")</f>
        <v>49.064999999999998</v>
      </c>
      <c r="BJ10" s="15">
        <f>IF(SUM(AW10:AZ10)-BA10&gt;0,SUM(AW10:AZ10)-BA10,"")</f>
        <v>50.110000000000007</v>
      </c>
      <c r="BK10" s="15">
        <f>IF(SUM(BI10:BJ10)&gt;0,SUM(BI10:BJ10),"")</f>
        <v>99.175000000000011</v>
      </c>
      <c r="BL10" s="15" t="str">
        <f>IF(BD10&gt;0,BD10,"")</f>
        <v/>
      </c>
      <c r="BM10" s="15" t="str">
        <f>IF(SUM(BB10:BE10)-BF10&gt;0,SUM(BB10:BE10)-BF10,"")</f>
        <v/>
      </c>
      <c r="BN10" s="15">
        <f>IF(SUM(BK10,BM10)&gt;0,SUM(BK10,BM10),"")</f>
        <v>99.175000000000011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0"/>
        <v>16.649999999999999</v>
      </c>
      <c r="LX10" s="71">
        <f t="shared" si="1"/>
        <v>9.375</v>
      </c>
      <c r="LY10" s="71">
        <f t="shared" si="2"/>
        <v>5.9</v>
      </c>
      <c r="LZ10" s="71">
        <f t="shared" si="3"/>
        <v>16.252499999999998</v>
      </c>
      <c r="MA10" s="71">
        <f t="shared" si="4"/>
        <v>0</v>
      </c>
      <c r="MB10" s="71">
        <f t="shared" si="5"/>
        <v>12.3</v>
      </c>
      <c r="MC10" s="71">
        <f t="shared" si="6"/>
        <v>9.125</v>
      </c>
      <c r="MD10" s="71">
        <f t="shared" si="7"/>
        <v>14.75</v>
      </c>
      <c r="ME10" s="71">
        <f t="shared" si="8"/>
        <v>14.482500000000002</v>
      </c>
      <c r="MF10" s="71">
        <f t="shared" si="9"/>
        <v>0</v>
      </c>
      <c r="MG10" s="71">
        <f t="shared" si="10"/>
        <v>6.65</v>
      </c>
      <c r="MH10" s="71">
        <f t="shared" si="11"/>
        <v>4.625</v>
      </c>
      <c r="MI10" s="71">
        <f t="shared" si="12"/>
        <v>7.95</v>
      </c>
      <c r="MJ10" s="71">
        <f t="shared" si="13"/>
        <v>7.5575000000000001</v>
      </c>
      <c r="MK10" s="71">
        <f t="shared" si="14"/>
        <v>0</v>
      </c>
      <c r="ML10" s="82" t="s">
        <v>96</v>
      </c>
      <c r="MM10" s="12">
        <f t="shared" si="15"/>
        <v>14.75</v>
      </c>
      <c r="MN10" s="12">
        <f t="shared" si="16"/>
        <v>48.177499999999995</v>
      </c>
      <c r="MO10" s="12">
        <f t="shared" si="17"/>
        <v>50.657499999999999</v>
      </c>
      <c r="MP10" s="12">
        <f t="shared" si="18"/>
        <v>98.834999999999994</v>
      </c>
      <c r="MQ10" s="12">
        <f t="shared" si="21"/>
        <v>7.95</v>
      </c>
      <c r="MR10" s="12">
        <f t="shared" si="19"/>
        <v>26.782500000000002</v>
      </c>
      <c r="MS10" s="12">
        <f t="shared" si="20"/>
        <v>125.61749999999999</v>
      </c>
    </row>
    <row r="11" spans="1:357" x14ac:dyDescent="0.2">
      <c r="A11" s="6" t="str">
        <f>IF(AND(F11="P",H11="P"),SUMPRODUCT((F$4:F$21="P")*(H$4:H$21="P")*(E$4:E$21&gt;E11))+1,IF(H11="P",SUMPRODUCT((F$4:F$21="")*(H$4:H$21="P")*(E$4:E$21&gt;E11))+1+SUMPRODUCT((F$4:F$21="P")*(H$4:H$21="P")),""))</f>
        <v/>
      </c>
      <c r="B11" s="7" t="s">
        <v>140</v>
      </c>
      <c r="C11" s="8" t="s">
        <v>10</v>
      </c>
      <c r="D11" s="6">
        <v>2000</v>
      </c>
      <c r="E11" s="16">
        <f>SUM(J11:R11)</f>
        <v>246.62</v>
      </c>
      <c r="F11" s="4" t="str">
        <f>IF(OR(AND($AK11&gt;=$AL$23,NOT($AK11=""),$AJ11=""),AND($BH11&gt;=$BI$23,NOT($BH11=""),$BG11=""),AND($CH11&gt;=$CI$23,NOT($CH11="")),AND($DD11&gt;=$DE$23,NOT($DD11="")),AND($DZ11&gt;=$EA$23,NOT($DZ11="")),AND($EV11&gt;=$EW$23,NOT($EV11="")),AND($FR11&gt;=$FS$23,NOT($FR11="")),AND($GN11&gt;=$GO$23,NOT($GN11="")),AND($HJ11&gt;=$HK$23,NOT($HJ11="")),AND($IF11&gt;=$IG$23,NOT($IF11="")),AND($JB11&gt;=$JC$23,NOT($JB11="")),AND($JX11&gt;=$JY$23,NOT($JX11="")),AND($KT11&gt;=$KU$23,NOT($KT11="")),AND($LP11&gt;=$LQ$23,NOT($LP11="")),AND($AO11&gt;=$AL$23,NOT($AO11=""),$AJ11=""),AND($BL11&gt;=$BI$23,NOT($BL11=""),$BG11=""),AND($CL11&gt;=$CI$23,NOT($CL11="")),AND($DH11&gt;=$DE$23,NOT($DH11="")),AND($ED11&gt;=$EA$23,NOT($ED11="")),AND($EZ11&gt;=$EW$23,NOT($EZ11="")),AND($FV11&gt;=$FS$23,NOT($FV11="")),AND($GR11&gt;=$GO$23,NOT($GR11="")),AND($HN11&gt;=$HK$23,NOT($HN11="")),AND($IJ11&gt;=$IG$23,NOT($IJ11="")),AND($JF11&gt;=$JC$23,NOT($JF11="")),AND($KB11&gt;=$JY$23,NOT($KB11="")),AND($KX11&gt;=$KU$23,NOT($KX11="")),AND($LT11&gt;=$LQ$23,NOT($LT11=""))),"P","")</f>
        <v>P</v>
      </c>
      <c r="G11" s="4" t="str">
        <f>IF(OR(AND($AK11&gt;=$AL$24,NOT($AK11=""),$AJ11=""),AND($BH11&gt;=$BI$24,NOT($BH11=""),$BG11=""),AND($CH11&gt;=$CI$24,NOT($CH11="")),AND($DD11&gt;=$DE$24,NOT($DD11="")),AND($DZ11&gt;=$EA$24,NOT($DZ11="")),AND($EV11&gt;=$EW$24,NOT($EV11="")),AND($FR11&gt;=$FS$24,NOT($FR11="")),AND($GN11&gt;=$GO$24,NOT($GN11="")),AND($HJ11&gt;=$HK$24,NOT($HJ11="")),AND($IF11&gt;=$IG$24,NOT($IF11="")),AND($JB11&gt;=$JC$24,NOT($JB11="")),AND($JX11&gt;=$JY$24,NOT($JX11="")),AND($KT11&gt;=$KU$24,NOT($KT11="")),AND($LP11&gt;=$LQ$24,NOT($LP11="")),AND($AO11&gt;=$AL$24,NOT($AO11=""),$AJ11=""),AND($BL11&gt;=$BI$24,NOT($BL11=""),$BG11=""),AND($CL11&gt;=$CI$24,NOT($CL11="")),AND($DH11&gt;=$DE$24,NOT($DH11="")),AND($ED11&gt;=$EA$24,NOT($ED11="")),AND($EZ11&gt;=$EW$24,NOT($EZ11="")),AND($FV11&gt;=$FS$24,NOT($FV11="")),AND($GR11&gt;=$GO$24,NOT($GR11="")),AND($HN11&gt;=$HK$24,NOT($HN11="")),AND($IJ11&gt;=$IG$24,NOT($IJ11="")),AND($JF11&gt;=$JC$24,NOT($JF11="")),AND($KB11&gt;=$JY$24,NOT($KB11="")),AND($KX11&gt;=$KU$24,NOT($KX11="")),AND($LT11&gt;=$LQ$24,NOT($LT11=""))),"P","")</f>
        <v/>
      </c>
      <c r="H11" s="4" t="str">
        <f>IF(OR(AND($AN11&gt;=$AL$25,NOT($AN11=""),$AJ11=""),AND($BK11&gt;=$BI$25,NOT($BK11=""),$BG11=""),AND($CK11&gt;=$CI$25,NOT($CK11="")),AND($DG11&gt;=$DE$25,NOT($DG11="")),AND($EC11&gt;=$EA$25,NOT($EC11="")),AND($EY11&gt;=$EW$25,NOT($EY11="")),AND($FU11&gt;=$FS$25,NOT($FU11="")),AND($GQ11&gt;=$GO$25,NOT($GQ11="")),AND($HM11&gt;=$HK$25,NOT($HM11="")),AND($II11&gt;=$IG$25,NOT($II11="")),AND($JE11&gt;=$JC$25,NOT($JE11="")),AND($KA11&gt;=$JY$25,NOT($KA11="")),AND($KW11&gt;=$KU$25,NOT($KW11="")),AND($LS11&gt;=$LQ$25,NOT($LS11=""))),"P","")</f>
        <v/>
      </c>
      <c r="I11" t="str">
        <f>IF(AND(H11="P",F11=""),"No DD",IF(AND(G11="P",OR(AND($AM11&gt;$AL$28,NOT($AM11=""),$AJ11=""),AND($AP11&gt;$AL$28,NOT($AP11=""),$AJ11=""),AND($BJ11&gt;$BI$28,NOT($BJ11=""),$BG11=""),AND($BM11&gt;$BI$28,NOT($BM11=""),$BG11=""),AND($CJ11&gt;$CI$28,NOT($CJ11="")),AND($CM11&gt;$CI$28,NOT($CM11="")),AND($DF11&gt;$DE$28,NOT($DF11="")),AND($DI11&gt;$DE$28,NOT($DI11="")),AND($EB11&gt;$EA$28,NOT($EB11="")),AND($EE11&gt;$EA$28,NOT($EE11="")),AND($EX11&gt;$EW$28,NOT($EX11="")),AND($FA11&gt;$EW$28,NOT($FA11="")),AND($FT11&gt;$FS$28,NOT($FT11="")),AND($FW11&gt;$FS$28,NOT($FW11="")),AND($GP11&gt;$GO$28,NOT($GP11="")),AND($GS11&gt;$GO$28,NOT($GS11="")),AND($HL11&gt;$HK$28,NOT($HL11="")),AND($HO11&gt;$HK$28,NOT($HO11="")),AND($IH11&gt;$IG$28,NOT($IH11="")),AND($IK11&gt;$IG$28,NOT($IK11="")),AND($JD11&gt;$JC$28,NOT($JD11="")),AND($JG11&gt;$JC$28,NOT($JG11="")),AND($JZ11&gt;$JY$28,NOT($JZ11="")),AND($KC11&gt;$JY$28,NOT($KC11="")),AND($KV11&gt;$KU$28,NOT($KV11="")),AND($KY11&gt;$KU$28,NOT($KY11="")),AND($LR11&gt;$LQ$28,NOT($LR11="")),AND($LU11&gt;$LQ$28,NOT($LU11="")))),"Merit",IF(AND(G11="P",OR(AND($AN11&gt;$AL$27,NOT($AN11=""),$AJ11=""),AND($BK11&gt;$BI$27,NOT($BK11=""),$BG11=""),AND($CK11&gt;$CI$27,NOT($CK11="")),AND($DG11&gt;$DE$27,NOT($DG11="")),AND($EC11&gt;$EA$27,NOT($EC11="")),AND($EY11&gt;$EW$27,NOT($EY11="")),AND($FU11&gt;$FS$27,NOT($FU11="")),AND($GQ11&gt;$GO$27,NOT($GQ11="")),AND($HM11&gt;$HK$27,NOT($HM11="")),AND($II11&gt;$IG$27,NOT($II11="")),AND($JE11&gt;$JC$27,NOT($JE11="")),AND($KA11&gt;$JY$27,NOT($KA11="")),AND($KW11&gt;$KU$27,NOT($KW11="")),AND($LS11&gt;$LQ$27,NOT($LS11="")))),"Excellence",IF(AND(G11="P",OR(AND($AN11&gt;$AL$26,NOT($AN11=""),$AJ11=""),AND($BK11&gt;$BI$26,NOT($BK11=""),$BG11=""),AND($CK11&gt;$CI$26,NOT($CK11="")),AND($DG11&gt;$DE$26,NOT($DG11="")),AND($EC11&gt;$EA$26,NOT($EC11="")),AND($EY11&gt;$EW$26,NOT($EY11="")),AND($FU11&gt;$FS$26,NOT($FU11="")),AND($GQ11&gt;$GO$26,NOT($GQ11="")),AND($HM11&gt;$HK$26,NOT($HM11="")),AND($II11&gt;$IG$26,NOT($II11="")),AND($JE11&gt;$JC$26,NOT($JE11="")),AND($KA11&gt;$JY$26,NOT($KA11="")),AND($KW11&gt;$KU$26,NOT($KW11="")),AND($LS11&gt;$LQ$26,NOT($LS11="")))),"Worlds Team",IF(AND(F11="P",OR(AND($AN11&gt;$AL$25,NOT($AN11=""),$AJ11=""),AND($BK11&gt;$BI$25,NOT($BK11=""),$BG11=""),AND($CK11&gt;$CI$25,NOT($CK11="")),AND($DG11&gt;$DE$25,NOT($DG11="")),AND($EC11&gt;$EA$25,NOT($EC11="")),AND($EY11&gt;$EW$25,NOT($EY11="")),AND($FU11&gt;$FS$25,NOT($FU11="")),AND($GQ11&gt;$GO$25,NOT($GQ11="")),AND($HM11&gt;$HK$25,NOT($HM11="")),AND($II11&gt;$IG$25,NOT($II11="")),AND($JE11&gt;$JC$25,NOT($JE11="")),AND($KA11&gt;$JY$25,NOT($KA11="")),AND($KW11&gt;$KU$25,NOT($KW11="")),AND($LS11&gt;$LQ$25,NOT($LS11="")))),"National Team","")))))</f>
        <v/>
      </c>
      <c r="J11" s="15">
        <f>IF(MAX(AN11,BK11)&gt;0,MAX(AN11,BK11),"")</f>
        <v>100.17999999999999</v>
      </c>
      <c r="K11" s="15" t="str">
        <f>IF(J11="","",IF(J11=BK11,$AR$1,IF(J11=AN11,$U$1,"")))</f>
        <v>2019 Nationals</v>
      </c>
      <c r="L11" s="15">
        <f>IF($J11=$AN11,BI11,IF($J11=$BK11,AL11,MAX(AL11,BI11)))</f>
        <v>46.46</v>
      </c>
      <c r="M11" s="15" t="str">
        <f>IF(L11="","",IF(AND(L11=BI11,$K11&lt;&gt;$AR$1),$AR$1,IF(AND(L11=AL11,$K11&lt;&gt;$U$1),$U$1,"")))</f>
        <v>2019 Elite Canada</v>
      </c>
      <c r="N11" s="15">
        <f>IF($J11=$AN11,BJ11,IF($J11=$BK11,AM11,MAX(AM11,BJ11)))</f>
        <v>47.05</v>
      </c>
      <c r="O11" s="15" t="str">
        <f>IF(N11="","",IF(AND(N11=BJ11,$K11&lt;&gt;$AR$1),$AR$1,IF(AND(N11=AM11,$K11&lt;&gt;$U$1),$U$1,"")))</f>
        <v>2019 Elite Canada</v>
      </c>
      <c r="P11" s="15">
        <f>IF(MAX(AP11,BM11)&gt;0,MAX(AP11,BM11),"")</f>
        <v>52.930000000000007</v>
      </c>
      <c r="Q11" s="15" t="str">
        <f>IF(P11="","",IF(P11=BM11,$AR$1,IF(P11=AP11,$U$1,"")))</f>
        <v>2019 Nationals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71">
        <v>16.600000000000001</v>
      </c>
      <c r="V11" s="71">
        <v>8.8000000000000007</v>
      </c>
      <c r="W11" s="71">
        <v>3.2</v>
      </c>
      <c r="X11" s="71">
        <v>17.86</v>
      </c>
      <c r="Y11" s="71">
        <v>0</v>
      </c>
      <c r="Z11" s="71">
        <v>14.5</v>
      </c>
      <c r="AA11" s="71">
        <v>8.6</v>
      </c>
      <c r="AB11" s="71">
        <v>10.4</v>
      </c>
      <c r="AC11" s="71">
        <v>16.649999999999999</v>
      </c>
      <c r="AD11" s="71">
        <v>3.1</v>
      </c>
      <c r="AE11" s="71">
        <v>9.3000000000000007</v>
      </c>
      <c r="AF11" s="71">
        <v>5.5</v>
      </c>
      <c r="AG11" s="71">
        <v>8.5</v>
      </c>
      <c r="AH11" s="71">
        <v>10.27</v>
      </c>
      <c r="AI11" s="71">
        <v>0</v>
      </c>
      <c r="AJ11" s="82"/>
      <c r="AK11" s="12">
        <f>IF(AB11&gt;0,AB11,"")</f>
        <v>10.4</v>
      </c>
      <c r="AL11" s="12">
        <f>IF(SUM(U11:X11)-Y11&gt;0,SUM(U11:X11)-Y11,"")</f>
        <v>46.46</v>
      </c>
      <c r="AM11" s="12">
        <f>IF(SUM(Z11:AC11)-AD11&gt;0,SUM(Z11:AC11)-AD11,"")</f>
        <v>47.05</v>
      </c>
      <c r="AN11" s="12">
        <f>IF(SUM(AL11:AM11)&gt;0,SUM(AL11:AM11),"")</f>
        <v>93.509999999999991</v>
      </c>
      <c r="AO11" s="12">
        <f>IF(AG11&gt;0,AG11,"")</f>
        <v>8.5</v>
      </c>
      <c r="AP11" s="12">
        <f>IF(SUM(AE11:AH11)-AI11&gt;0,SUM(AE11:AH11)-AI11,"")</f>
        <v>33.57</v>
      </c>
      <c r="AQ11" s="12">
        <f>IF(SUM(AN11,AP11)&gt;0,SUM(AN11,AP11),"")</f>
        <v>127.07999999999998</v>
      </c>
      <c r="AR11" s="77">
        <v>17.600000000000001</v>
      </c>
      <c r="AS11" s="77">
        <v>9.1</v>
      </c>
      <c r="AT11" s="77">
        <v>5.4</v>
      </c>
      <c r="AU11" s="77">
        <v>17.309999999999999</v>
      </c>
      <c r="AV11" s="77">
        <v>0</v>
      </c>
      <c r="AW11" s="77">
        <v>16</v>
      </c>
      <c r="AX11" s="77">
        <v>9.1</v>
      </c>
      <c r="AY11" s="77">
        <v>11.7</v>
      </c>
      <c r="AZ11" s="77">
        <v>15.77</v>
      </c>
      <c r="BA11" s="77">
        <v>1.8</v>
      </c>
      <c r="BB11" s="77">
        <v>13.58</v>
      </c>
      <c r="BC11" s="77">
        <v>9.4</v>
      </c>
      <c r="BD11" s="77">
        <v>14.4</v>
      </c>
      <c r="BE11" s="77">
        <v>15.55</v>
      </c>
      <c r="BF11" s="77">
        <v>0</v>
      </c>
      <c r="BG11" s="83"/>
      <c r="BH11" s="15">
        <f>IF(AY11&gt;0,AY11,"")</f>
        <v>11.7</v>
      </c>
      <c r="BI11" s="15">
        <f>IF(SUM(AR11:AU11)-AV11&gt;0,SUM(AR11:AU11)-AV11,"")</f>
        <v>49.41</v>
      </c>
      <c r="BJ11" s="15">
        <f>IF(SUM(AW11:AZ11)-BA11&gt;0,SUM(AW11:AZ11)-BA11,"")</f>
        <v>50.769999999999996</v>
      </c>
      <c r="BK11" s="15">
        <f>IF(SUM(BI11:BJ11)&gt;0,SUM(BI11:BJ11),"")</f>
        <v>100.17999999999999</v>
      </c>
      <c r="BL11" s="15">
        <f>IF(BD11&gt;0,BD11,"")</f>
        <v>14.4</v>
      </c>
      <c r="BM11" s="15">
        <f>IF(SUM(BB11:BE11)-BF11&gt;0,SUM(BB11:BE11)-BF11,"")</f>
        <v>52.930000000000007</v>
      </c>
      <c r="BN11" s="15">
        <f>IF(SUM(BK11,BM11)&gt;0,SUM(BK11,BM11),"")</f>
        <v>153.11000000000001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0"/>
        <v>17.100000000000001</v>
      </c>
      <c r="LX11" s="71">
        <f t="shared" si="1"/>
        <v>8.9499999999999993</v>
      </c>
      <c r="LY11" s="71">
        <f t="shared" si="2"/>
        <v>4.3000000000000007</v>
      </c>
      <c r="LZ11" s="71">
        <f t="shared" si="3"/>
        <v>17.585000000000001</v>
      </c>
      <c r="MA11" s="71">
        <f t="shared" si="4"/>
        <v>0</v>
      </c>
      <c r="MB11" s="71">
        <f t="shared" si="5"/>
        <v>15.25</v>
      </c>
      <c r="MC11" s="71">
        <f t="shared" si="6"/>
        <v>8.85</v>
      </c>
      <c r="MD11" s="71">
        <f t="shared" si="7"/>
        <v>11.05</v>
      </c>
      <c r="ME11" s="71">
        <f t="shared" si="8"/>
        <v>16.21</v>
      </c>
      <c r="MF11" s="71">
        <f t="shared" si="9"/>
        <v>2.4500000000000002</v>
      </c>
      <c r="MG11" s="71">
        <f t="shared" si="10"/>
        <v>11.440000000000001</v>
      </c>
      <c r="MH11" s="71">
        <f t="shared" si="11"/>
        <v>7.45</v>
      </c>
      <c r="MI11" s="71">
        <f t="shared" si="12"/>
        <v>11.45</v>
      </c>
      <c r="MJ11" s="71">
        <f t="shared" si="13"/>
        <v>12.91</v>
      </c>
      <c r="MK11" s="71">
        <f t="shared" si="14"/>
        <v>0</v>
      </c>
      <c r="ML11" s="82" t="s">
        <v>96</v>
      </c>
      <c r="MM11" s="12">
        <f t="shared" si="15"/>
        <v>11.05</v>
      </c>
      <c r="MN11" s="12">
        <f t="shared" si="16"/>
        <v>47.935000000000002</v>
      </c>
      <c r="MO11" s="12">
        <f t="shared" si="17"/>
        <v>48.910000000000004</v>
      </c>
      <c r="MP11" s="12">
        <f t="shared" si="18"/>
        <v>96.844999999999999</v>
      </c>
      <c r="MQ11" s="12">
        <f t="shared" si="21"/>
        <v>11.45</v>
      </c>
      <c r="MR11" s="12">
        <f t="shared" si="19"/>
        <v>43.25</v>
      </c>
      <c r="MS11" s="12">
        <f t="shared" si="20"/>
        <v>140.095</v>
      </c>
    </row>
    <row r="12" spans="1:357" x14ac:dyDescent="0.2">
      <c r="A12" s="6" t="str">
        <f>IF(AND(F12="P",H12="P"),SUMPRODUCT((F$4:F$21="P")*(H$4:H$21="P")*(E$4:E$21&gt;E12))+1,IF(H12="P",SUMPRODUCT((F$4:F$21="")*(H$4:H$21="P")*(E$4:E$21&gt;E12))+1+SUMPRODUCT((F$4:F$21="P")*(H$4:H$21="P")),""))</f>
        <v/>
      </c>
      <c r="B12" s="9" t="s">
        <v>43</v>
      </c>
      <c r="C12" s="5" t="s">
        <v>6</v>
      </c>
      <c r="D12" s="8">
        <v>1995</v>
      </c>
      <c r="E12" s="16">
        <f>SUM(J12:R12)</f>
        <v>236.935</v>
      </c>
      <c r="F12" s="4" t="str">
        <f>IF(OR(AND($AK12&gt;=$AL$23,NOT($AK12=""),$AJ12=""),AND($BH12&gt;=$BI$23,NOT($BH12=""),$BG12=""),AND($CH12&gt;=$CI$23,NOT($CH12="")),AND($DD12&gt;=$DE$23,NOT($DD12="")),AND($DZ12&gt;=$EA$23,NOT($DZ12="")),AND($EV12&gt;=$EW$23,NOT($EV12="")),AND($FR12&gt;=$FS$23,NOT($FR12="")),AND($GN12&gt;=$GO$23,NOT($GN12="")),AND($HJ12&gt;=$HK$23,NOT($HJ12="")),AND($IF12&gt;=$IG$23,NOT($IF12="")),AND($JB12&gt;=$JC$23,NOT($JB12="")),AND($JX12&gt;=$JY$23,NOT($JX12="")),AND($KT12&gt;=$KU$23,NOT($KT12="")),AND($LP12&gt;=$LQ$23,NOT($LP12="")),AND($AO12&gt;=$AL$23,NOT($AO12=""),$AJ12=""),AND($BL12&gt;=$BI$23,NOT($BL12=""),$BG12=""),AND($CL12&gt;=$CI$23,NOT($CL12="")),AND($DH12&gt;=$DE$23,NOT($DH12="")),AND($ED12&gt;=$EA$23,NOT($ED12="")),AND($EZ12&gt;=$EW$23,NOT($EZ12="")),AND($FV12&gt;=$FS$23,NOT($FV12="")),AND($GR12&gt;=$GO$23,NOT($GR12="")),AND($HN12&gt;=$HK$23,NOT($HN12="")),AND($IJ12&gt;=$IG$23,NOT($IJ12="")),AND($JF12&gt;=$JC$23,NOT($JF12="")),AND($KB12&gt;=$JY$23,NOT($KB12="")),AND($KX12&gt;=$KU$23,NOT($KX12="")),AND($LT12&gt;=$LQ$23,NOT($LT12=""))),"P","")</f>
        <v>P</v>
      </c>
      <c r="G12" s="4" t="str">
        <f>IF(OR(AND($AK12&gt;=$AL$24,NOT($AK12=""),$AJ12=""),AND($BH12&gt;=$BI$24,NOT($BH12=""),$BG12=""),AND($CH12&gt;=$CI$24,NOT($CH12="")),AND($DD12&gt;=$DE$24,NOT($DD12="")),AND($DZ12&gt;=$EA$24,NOT($DZ12="")),AND($EV12&gt;=$EW$24,NOT($EV12="")),AND($FR12&gt;=$FS$24,NOT($FR12="")),AND($GN12&gt;=$GO$24,NOT($GN12="")),AND($HJ12&gt;=$HK$24,NOT($HJ12="")),AND($IF12&gt;=$IG$24,NOT($IF12="")),AND($JB12&gt;=$JC$24,NOT($JB12="")),AND($JX12&gt;=$JY$24,NOT($JX12="")),AND($KT12&gt;=$KU$24,NOT($KT12="")),AND($LP12&gt;=$LQ$24,NOT($LP12="")),AND($AO12&gt;=$AL$24,NOT($AO12=""),$AJ12=""),AND($BL12&gt;=$BI$24,NOT($BL12=""),$BG12=""),AND($CL12&gt;=$CI$24,NOT($CL12="")),AND($DH12&gt;=$DE$24,NOT($DH12="")),AND($ED12&gt;=$EA$24,NOT($ED12="")),AND($EZ12&gt;=$EW$24,NOT($EZ12="")),AND($FV12&gt;=$FS$24,NOT($FV12="")),AND($GR12&gt;=$GO$24,NOT($GR12="")),AND($HN12&gt;=$HK$24,NOT($HN12="")),AND($IJ12&gt;=$IG$24,NOT($IJ12="")),AND($JF12&gt;=$JC$24,NOT($JF12="")),AND($KB12&gt;=$JY$24,NOT($KB12="")),AND($KX12&gt;=$KU$24,NOT($KX12="")),AND($LT12&gt;=$LQ$24,NOT($LT12=""))),"P","")</f>
        <v>P</v>
      </c>
      <c r="H12" s="4" t="str">
        <f>IF(OR(AND($AN12&gt;=$AL$25,NOT($AN12=""),$AJ12=""),AND($BK12&gt;=$BI$25,NOT($BK12=""),$BG12=""),AND($CK12&gt;=$CI$25,NOT($CK12="")),AND($DG12&gt;=$DE$25,NOT($DG12="")),AND($EC12&gt;=$EA$25,NOT($EC12="")),AND($EY12&gt;=$EW$25,NOT($EY12="")),AND($FU12&gt;=$FS$25,NOT($FU12="")),AND($GQ12&gt;=$GO$25,NOT($GQ12="")),AND($HM12&gt;=$HK$25,NOT($HM12="")),AND($II12&gt;=$IG$25,NOT($II12="")),AND($JE12&gt;=$JC$25,NOT($JE12="")),AND($KA12&gt;=$JY$25,NOT($KA12="")),AND($KW12&gt;=$KU$25,NOT($KW12="")),AND($LS12&gt;=$LQ$25,NOT($LS12=""))),"P","")</f>
        <v/>
      </c>
      <c r="I12" t="str">
        <f>IF(AND(H12="P",F12=""),"No DD",IF(AND(G12="P",OR(AND($AM12&gt;$AL$28,NOT($AM12=""),$AJ12=""),AND($AP12&gt;$AL$28,NOT($AP12=""),$AJ12=""),AND($BJ12&gt;$BI$28,NOT($BJ12=""),$BG12=""),AND($BM12&gt;$BI$28,NOT($BM12=""),$BG12=""),AND($CJ12&gt;$CI$28,NOT($CJ12="")),AND($CM12&gt;$CI$28,NOT($CM12="")),AND($DF12&gt;$DE$28,NOT($DF12="")),AND($DI12&gt;$DE$28,NOT($DI12="")),AND($EB12&gt;$EA$28,NOT($EB12="")),AND($EE12&gt;$EA$28,NOT($EE12="")),AND($EX12&gt;$EW$28,NOT($EX12="")),AND($FA12&gt;$EW$28,NOT($FA12="")),AND($FT12&gt;$FS$28,NOT($FT12="")),AND($FW12&gt;$FS$28,NOT($FW12="")),AND($GP12&gt;$GO$28,NOT($GP12="")),AND($GS12&gt;$GO$28,NOT($GS12="")),AND($HL12&gt;$HK$28,NOT($HL12="")),AND($HO12&gt;$HK$28,NOT($HO12="")),AND($IH12&gt;$IG$28,NOT($IH12="")),AND($IK12&gt;$IG$28,NOT($IK12="")),AND($JD12&gt;$JC$28,NOT($JD12="")),AND($JG12&gt;$JC$28,NOT($JG12="")),AND($JZ12&gt;$JY$28,NOT($JZ12="")),AND($KC12&gt;$JY$28,NOT($KC12="")),AND($KV12&gt;$KU$28,NOT($KV12="")),AND($KY12&gt;$KU$28,NOT($KY12="")),AND($LR12&gt;$LQ$28,NOT($LR12="")),AND($LU12&gt;$LQ$28,NOT($LU12="")))),"Merit",IF(AND(G12="P",OR(AND($AN12&gt;$AL$27,NOT($AN12=""),$AJ12=""),AND($BK12&gt;$BI$27,NOT($BK12=""),$BG12=""),AND($CK12&gt;$CI$27,NOT($CK12="")),AND($DG12&gt;$DE$27,NOT($DG12="")),AND($EC12&gt;$EA$27,NOT($EC12="")),AND($EY12&gt;$EW$27,NOT($EY12="")),AND($FU12&gt;$FS$27,NOT($FU12="")),AND($GQ12&gt;$GO$27,NOT($GQ12="")),AND($HM12&gt;$HK$27,NOT($HM12="")),AND($II12&gt;$IG$27,NOT($II12="")),AND($JE12&gt;$JC$27,NOT($JE12="")),AND($KA12&gt;$JY$27,NOT($KA12="")),AND($KW12&gt;$KU$27,NOT($KW12="")),AND($LS12&gt;$LQ$27,NOT($LS12="")))),"Excellence",IF(AND(G12="P",OR(AND($AN12&gt;$AL$26,NOT($AN12=""),$AJ12=""),AND($BK12&gt;$BI$26,NOT($BK12=""),$BG12=""),AND($CK12&gt;$CI$26,NOT($CK12="")),AND($DG12&gt;$DE$26,NOT($DG12="")),AND($EC12&gt;$EA$26,NOT($EC12="")),AND($EY12&gt;$EW$26,NOT($EY12="")),AND($FU12&gt;$FS$26,NOT($FU12="")),AND($GQ12&gt;$GO$26,NOT($GQ12="")),AND($HM12&gt;$HK$26,NOT($HM12="")),AND($II12&gt;$IG$26,NOT($II12="")),AND($JE12&gt;$JC$26,NOT($JE12="")),AND($KA12&gt;$JY$26,NOT($KA12="")),AND($KW12&gt;$KU$26,NOT($KW12="")),AND($LS12&gt;$LQ$26,NOT($LS12="")))),"Worlds Team",IF(AND(F12="P",OR(AND($AN12&gt;$AL$25,NOT($AN12=""),$AJ12=""),AND($BK12&gt;$BI$25,NOT($BK12=""),$BG12=""),AND($CK12&gt;$CI$25,NOT($CK12="")),AND($DG12&gt;$DE$25,NOT($DG12="")),AND($EC12&gt;$EA$25,NOT($EC12="")),AND($EY12&gt;$EW$25,NOT($EY12="")),AND($FU12&gt;$FS$25,NOT($FU12="")),AND($GQ12&gt;$GO$25,NOT($GQ12="")),AND($HM12&gt;$HK$25,NOT($HM12="")),AND($II12&gt;$IG$25,NOT($II12="")),AND($JE12&gt;$JC$25,NOT($JE12="")),AND($KA12&gt;$JY$25,NOT($KA12="")),AND($KW12&gt;$KU$25,NOT($KW12="")),AND($LS12&gt;$LQ$25,NOT($LS12="")))),"National Team","")))))</f>
        <v/>
      </c>
      <c r="J12" s="15">
        <f>IF(MAX(AN12,BK12)&gt;0,MAX(AN12,BK12),"")</f>
        <v>100.57</v>
      </c>
      <c r="K12" s="15" t="str">
        <f>IF(J12="","",IF(J12=BK12,$AR$1,IF(J12=AN12,$U$1,"")))</f>
        <v>2019 Nationals</v>
      </c>
      <c r="L12" s="15">
        <f>IF($J12=$AN12,BI12,IF($J12=$BK12,AL12,MAX(AL12,BI12)))</f>
        <v>48.9</v>
      </c>
      <c r="M12" s="15" t="str">
        <f>IF(L12="","",IF(AND(L12=BI12,$K12&lt;&gt;$AR$1),$AR$1,IF(AND(L12=AL12,$K12&lt;&gt;$U$1),$U$1,"")))</f>
        <v>2019 Elite Canada</v>
      </c>
      <c r="N12" s="15">
        <f>IF($J12=$AN12,BJ12,IF($J12=$BK12,AM12,MAX(AM12,BJ12)))</f>
        <v>32.655000000000001</v>
      </c>
      <c r="O12" s="15" t="str">
        <f>IF(N12="","",IF(AND(N12=BJ12,$K12&lt;&gt;$AR$1),$AR$1,IF(AND(N12=AM12,$K12&lt;&gt;$U$1),$U$1,"")))</f>
        <v>2019 Elite Canada</v>
      </c>
      <c r="P12" s="15">
        <f>IF(MAX(AP12,BM12)&gt;0,MAX(AP12,BM12),"")</f>
        <v>54.81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71">
        <v>17.600000000000001</v>
      </c>
      <c r="V12" s="71">
        <v>9.4</v>
      </c>
      <c r="W12" s="71">
        <v>5.6</v>
      </c>
      <c r="X12" s="71">
        <v>16.5</v>
      </c>
      <c r="Y12" s="71">
        <v>0.2</v>
      </c>
      <c r="Z12" s="71">
        <v>8.4</v>
      </c>
      <c r="AA12" s="71">
        <v>5.25</v>
      </c>
      <c r="AB12" s="71">
        <v>9.6</v>
      </c>
      <c r="AC12" s="71">
        <v>9.6050000000000004</v>
      </c>
      <c r="AD12" s="71">
        <v>0.2</v>
      </c>
      <c r="AE12" s="71">
        <v>15</v>
      </c>
      <c r="AF12" s="71">
        <v>8.9</v>
      </c>
      <c r="AG12" s="71">
        <v>14.6</v>
      </c>
      <c r="AH12" s="71">
        <v>15.63</v>
      </c>
      <c r="AI12" s="71">
        <v>0</v>
      </c>
      <c r="AJ12" s="82"/>
      <c r="AK12" s="12">
        <f>IF(AB12&gt;0,AB12,"")</f>
        <v>9.6</v>
      </c>
      <c r="AL12" s="12">
        <f>IF(SUM(U12:X12)-Y12&gt;0,SUM(U12:X12)-Y12,"")</f>
        <v>48.9</v>
      </c>
      <c r="AM12" s="12">
        <f>IF(SUM(Z12:AC12)-AD12&gt;0,SUM(Z12:AC12)-AD12,"")</f>
        <v>32.655000000000001</v>
      </c>
      <c r="AN12" s="12">
        <f>IF(SUM(AL12:AM12)&gt;0,SUM(AL12:AM12),"")</f>
        <v>81.555000000000007</v>
      </c>
      <c r="AO12" s="12">
        <f>IF(AG12&gt;0,AG12,"")</f>
        <v>14.6</v>
      </c>
      <c r="AP12" s="12">
        <f>IF(SUM(AE12:AH12)-AI12&gt;0,SUM(AE12:AH12)-AI12,"")</f>
        <v>54.13</v>
      </c>
      <c r="AQ12" s="12">
        <f>IF(SUM(AN12,AP12)&gt;0,SUM(AN12,AP12),"")</f>
        <v>135.685</v>
      </c>
      <c r="AR12" s="65">
        <v>18.3</v>
      </c>
      <c r="AS12" s="65">
        <v>9.1999999999999993</v>
      </c>
      <c r="AT12" s="65">
        <v>5</v>
      </c>
      <c r="AU12" s="65">
        <v>16.8</v>
      </c>
      <c r="AV12" s="65">
        <v>0</v>
      </c>
      <c r="AW12" s="65">
        <v>14.1</v>
      </c>
      <c r="AX12" s="65">
        <v>8.8000000000000007</v>
      </c>
      <c r="AY12" s="65">
        <v>13.4</v>
      </c>
      <c r="AZ12" s="65">
        <v>15.07</v>
      </c>
      <c r="BA12" s="65">
        <v>0.1</v>
      </c>
      <c r="BB12" s="65">
        <v>14.6</v>
      </c>
      <c r="BC12" s="65">
        <v>9.1999999999999993</v>
      </c>
      <c r="BD12" s="65">
        <v>15.6</v>
      </c>
      <c r="BE12" s="65">
        <v>15.41</v>
      </c>
      <c r="BF12" s="65">
        <v>0</v>
      </c>
      <c r="BG12" s="83"/>
      <c r="BH12" s="15">
        <f>IF(AY12&gt;0,AY12,"")</f>
        <v>13.4</v>
      </c>
      <c r="BI12" s="15">
        <f>IF(SUM(AR12:AU12)-AV12&gt;0,SUM(AR12:AU12)-AV12,"")</f>
        <v>49.3</v>
      </c>
      <c r="BJ12" s="15">
        <f>IF(SUM(AW12:AZ12)-BA12&gt;0,SUM(AW12:AZ12)-BA12,"")</f>
        <v>51.269999999999996</v>
      </c>
      <c r="BK12" s="15">
        <f>IF(SUM(BI12:BJ12)&gt;0,SUM(BI12:BJ12),"")</f>
        <v>100.57</v>
      </c>
      <c r="BL12" s="15">
        <f>IF(BD12&gt;0,BD12,"")</f>
        <v>15.6</v>
      </c>
      <c r="BM12" s="15">
        <f>IF(SUM(BB12:BE12)-BF12&gt;0,SUM(BB12:BE12)-BF12,"")</f>
        <v>54.81</v>
      </c>
      <c r="BN12" s="15">
        <f>IF(SUM(BK12,BM12)&gt;0,SUM(BK12,BM12),"")</f>
        <v>155.38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>
        <v>17.399999999999999</v>
      </c>
      <c r="DL12" s="39">
        <v>8.9</v>
      </c>
      <c r="DM12" s="39">
        <v>5</v>
      </c>
      <c r="DN12" s="39">
        <v>16.079999999999998</v>
      </c>
      <c r="DO12" s="39">
        <v>0</v>
      </c>
      <c r="DP12" s="39">
        <v>4.0999999999999996</v>
      </c>
      <c r="DQ12" s="39">
        <v>2.5</v>
      </c>
      <c r="DR12" s="39">
        <v>4.9000000000000004</v>
      </c>
      <c r="DS12" s="39">
        <v>4.97</v>
      </c>
      <c r="DT12" s="39">
        <v>0</v>
      </c>
      <c r="DU12" s="39"/>
      <c r="DV12" s="39"/>
      <c r="DW12" s="39"/>
      <c r="DX12" s="39"/>
      <c r="DY12" s="39"/>
      <c r="DZ12" s="12">
        <f>IF(DR12&gt;0,DR12,"")</f>
        <v>4.9000000000000004</v>
      </c>
      <c r="EA12" s="12">
        <f>IF(SUM(DK12:DN12)-DO12&gt;0,SUM(DK12:DN12)-DO12,"")</f>
        <v>47.379999999999995</v>
      </c>
      <c r="EB12" s="12">
        <f>IF(SUM(DP12:DS12)-DT12&gt;0,SUM(DP12:DS12)-DT12,"")</f>
        <v>16.47</v>
      </c>
      <c r="EC12" s="12">
        <f>IF(SUM(EA12:EB12)&gt;0,SUM(EA12:EB12),"")</f>
        <v>63.849999999999994</v>
      </c>
      <c r="ED12" s="12" t="str">
        <f>IF(DW12&gt;0,DW12,"")</f>
        <v/>
      </c>
      <c r="EE12" s="12" t="str">
        <f>IF(SUM(DU12:DX12)-DY12&gt;0,SUM(DU12:DX12)-DY12,"")</f>
        <v/>
      </c>
      <c r="EF12" s="12">
        <f>IF(SUM(EC12,EE12)&gt;0,SUM(EC12,EE12),"")</f>
        <v>63.849999999999994</v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0"/>
        <v>17.950000000000003</v>
      </c>
      <c r="LX12" s="71">
        <f t="shared" si="1"/>
        <v>9.3000000000000007</v>
      </c>
      <c r="LY12" s="71">
        <f t="shared" si="2"/>
        <v>5.3</v>
      </c>
      <c r="LZ12" s="71">
        <f t="shared" si="3"/>
        <v>16.649999999999999</v>
      </c>
      <c r="MA12" s="71">
        <f t="shared" si="4"/>
        <v>0.1</v>
      </c>
      <c r="MB12" s="71">
        <f t="shared" si="5"/>
        <v>11.25</v>
      </c>
      <c r="MC12" s="71">
        <f t="shared" si="6"/>
        <v>7.0250000000000004</v>
      </c>
      <c r="MD12" s="71">
        <f t="shared" si="7"/>
        <v>11.5</v>
      </c>
      <c r="ME12" s="71">
        <f t="shared" si="8"/>
        <v>12.3375</v>
      </c>
      <c r="MF12" s="71">
        <f t="shared" si="9"/>
        <v>0.15000000000000002</v>
      </c>
      <c r="MG12" s="71">
        <f t="shared" si="10"/>
        <v>14.8</v>
      </c>
      <c r="MH12" s="71">
        <f t="shared" si="11"/>
        <v>9.0500000000000007</v>
      </c>
      <c r="MI12" s="71">
        <f t="shared" si="12"/>
        <v>15.1</v>
      </c>
      <c r="MJ12" s="71">
        <f t="shared" si="13"/>
        <v>15.52</v>
      </c>
      <c r="MK12" s="71">
        <f t="shared" si="14"/>
        <v>0</v>
      </c>
      <c r="ML12" s="82" t="s">
        <v>96</v>
      </c>
      <c r="MM12" s="12">
        <f t="shared" si="15"/>
        <v>11.5</v>
      </c>
      <c r="MN12" s="12">
        <f t="shared" si="16"/>
        <v>49.1</v>
      </c>
      <c r="MO12" s="12">
        <f t="shared" si="17"/>
        <v>41.962499999999999</v>
      </c>
      <c r="MP12" s="12">
        <f t="shared" si="18"/>
        <v>91.0625</v>
      </c>
      <c r="MQ12" s="12">
        <f t="shared" si="21"/>
        <v>15.1</v>
      </c>
      <c r="MR12" s="12">
        <f t="shared" si="19"/>
        <v>54.47</v>
      </c>
      <c r="MS12" s="12">
        <f t="shared" si="20"/>
        <v>145.5325</v>
      </c>
    </row>
    <row r="13" spans="1:357" x14ac:dyDescent="0.2">
      <c r="A13" s="6">
        <f>IF(AND(F13="P",H13="P"),SUMPRODUCT((F$4:F$21="P")*(H$4:H$21="P")*(E$4:E$21&gt;E13))+1,IF(H13="P",SUMPRODUCT((F$4:F$21="")*(H$4:H$21="P")*(E$4:E$21&gt;E13))+1+SUMPRODUCT((F$4:F$21="P")*(H$4:H$21="P")),""))</f>
        <v>7</v>
      </c>
      <c r="B13" s="7" t="s">
        <v>86</v>
      </c>
      <c r="C13" s="8" t="s">
        <v>10</v>
      </c>
      <c r="D13" s="29">
        <v>1999</v>
      </c>
      <c r="E13" s="16">
        <f>SUM(J13:R13)</f>
        <v>219.94</v>
      </c>
      <c r="F13" s="4" t="str">
        <f>IF(OR(AND($AK13&gt;=$AL$23,NOT($AK13=""),$AJ13=""),AND($BH13&gt;=$BI$23,NOT($BH13=""),$BG13=""),AND($CH13&gt;=$CI$23,NOT($CH13="")),AND($DD13&gt;=$DE$23,NOT($DD13="")),AND($DZ13&gt;=$EA$23,NOT($DZ13="")),AND($EV13&gt;=$EW$23,NOT($EV13="")),AND($FR13&gt;=$FS$23,NOT($FR13="")),AND($GN13&gt;=$GO$23,NOT($GN13="")),AND($HJ13&gt;=$HK$23,NOT($HJ13="")),AND($IF13&gt;=$IG$23,NOT($IF13="")),AND($JB13&gt;=$JC$23,NOT($JB13="")),AND($JX13&gt;=$JY$23,NOT($JX13="")),AND($KT13&gt;=$KU$23,NOT($KT13="")),AND($LP13&gt;=$LQ$23,NOT($LP13="")),AND($AO13&gt;=$AL$23,NOT($AO13=""),$AJ13=""),AND($BL13&gt;=$BI$23,NOT($BL13=""),$BG13=""),AND($CL13&gt;=$CI$23,NOT($CL13="")),AND($DH13&gt;=$DE$23,NOT($DH13="")),AND($ED13&gt;=$EA$23,NOT($ED13="")),AND($EZ13&gt;=$EW$23,NOT($EZ13="")),AND($FV13&gt;=$FS$23,NOT($FV13="")),AND($GR13&gt;=$GO$23,NOT($GR13="")),AND($HN13&gt;=$HK$23,NOT($HN13="")),AND($IJ13&gt;=$IG$23,NOT($IJ13="")),AND($JF13&gt;=$JC$23,NOT($JF13="")),AND($KB13&gt;=$JY$23,NOT($KB13="")),AND($KX13&gt;=$KU$23,NOT($KX13="")),AND($LT13&gt;=$LQ$23,NOT($LT13=""))),"P","")</f>
        <v>P</v>
      </c>
      <c r="G13" s="4" t="str">
        <f>IF(OR(AND($AK13&gt;=$AL$24,NOT($AK13=""),$AJ13=""),AND($BH13&gt;=$BI$24,NOT($BH13=""),$BG13=""),AND($CH13&gt;=$CI$24,NOT($CH13="")),AND($DD13&gt;=$DE$24,NOT($DD13="")),AND($DZ13&gt;=$EA$24,NOT($DZ13="")),AND($EV13&gt;=$EW$24,NOT($EV13="")),AND($FR13&gt;=$FS$24,NOT($FR13="")),AND($GN13&gt;=$GO$24,NOT($GN13="")),AND($HJ13&gt;=$HK$24,NOT($HJ13="")),AND($IF13&gt;=$IG$24,NOT($IF13="")),AND($JB13&gt;=$JC$24,NOT($JB13="")),AND($JX13&gt;=$JY$24,NOT($JX13="")),AND($KT13&gt;=$KU$24,NOT($KT13="")),AND($LP13&gt;=$LQ$24,NOT($LP13="")),AND($AO13&gt;=$AL$24,NOT($AO13=""),$AJ13=""),AND($BL13&gt;=$BI$24,NOT($BL13=""),$BG13=""),AND($CL13&gt;=$CI$24,NOT($CL13="")),AND($DH13&gt;=$DE$24,NOT($DH13="")),AND($ED13&gt;=$EA$24,NOT($ED13="")),AND($EZ13&gt;=$EW$24,NOT($EZ13="")),AND($FV13&gt;=$FS$24,NOT($FV13="")),AND($GR13&gt;=$GO$24,NOT($GR13="")),AND($HN13&gt;=$HK$24,NOT($HN13="")),AND($IJ13&gt;=$IG$24,NOT($IJ13="")),AND($JF13&gt;=$JC$24,NOT($JF13="")),AND($KB13&gt;=$JY$24,NOT($KB13="")),AND($KX13&gt;=$KU$24,NOT($KX13="")),AND($LT13&gt;=$LQ$24,NOT($LT13=""))),"P","")</f>
        <v/>
      </c>
      <c r="H13" s="4" t="str">
        <f>IF(OR(AND($AN13&gt;=$AL$25,NOT($AN13=""),$AJ13=""),AND($BK13&gt;=$BI$25,NOT($BK13=""),$BG13=""),AND($CK13&gt;=$CI$25,NOT($CK13="")),AND($DG13&gt;=$DE$25,NOT($DG13="")),AND($EC13&gt;=$EA$25,NOT($EC13="")),AND($EY13&gt;=$EW$25,NOT($EY13="")),AND($FU13&gt;=$FS$25,NOT($FU13="")),AND($GQ13&gt;=$GO$25,NOT($GQ13="")),AND($HM13&gt;=$HK$25,NOT($HM13="")),AND($II13&gt;=$IG$25,NOT($II13="")),AND($JE13&gt;=$JC$25,NOT($JE13="")),AND($KA13&gt;=$JY$25,NOT($KA13="")),AND($KW13&gt;=$KU$25,NOT($KW13="")),AND($LS13&gt;=$LQ$25,NOT($LS13=""))),"P","")</f>
        <v>P</v>
      </c>
      <c r="I13" t="str">
        <f>IF(AND(H13="P",F13=""),"No DD",IF(AND(G13="P",OR(AND($AM13&gt;$AL$28,NOT($AM13=""),$AJ13=""),AND($AP13&gt;$AL$28,NOT($AP13=""),$AJ13=""),AND($BJ13&gt;$BI$28,NOT($BJ13=""),$BG13=""),AND($BM13&gt;$BI$28,NOT($BM13=""),$BG13=""),AND($CJ13&gt;$CI$28,NOT($CJ13="")),AND($CM13&gt;$CI$28,NOT($CM13="")),AND($DF13&gt;$DE$28,NOT($DF13="")),AND($DI13&gt;$DE$28,NOT($DI13="")),AND($EB13&gt;$EA$28,NOT($EB13="")),AND($EE13&gt;$EA$28,NOT($EE13="")),AND($EX13&gt;$EW$28,NOT($EX13="")),AND($FA13&gt;$EW$28,NOT($FA13="")),AND($FT13&gt;$FS$28,NOT($FT13="")),AND($FW13&gt;$FS$28,NOT($FW13="")),AND($GP13&gt;$GO$28,NOT($GP13="")),AND($GS13&gt;$GO$28,NOT($GS13="")),AND($HL13&gt;$HK$28,NOT($HL13="")),AND($HO13&gt;$HK$28,NOT($HO13="")),AND($IH13&gt;$IG$28,NOT($IH13="")),AND($IK13&gt;$IG$28,NOT($IK13="")),AND($JD13&gt;$JC$28,NOT($JD13="")),AND($JG13&gt;$JC$28,NOT($JG13="")),AND($JZ13&gt;$JY$28,NOT($JZ13="")),AND($KC13&gt;$JY$28,NOT($KC13="")),AND($KV13&gt;$KU$28,NOT($KV13="")),AND($KY13&gt;$KU$28,NOT($KY13="")),AND($LR13&gt;$LQ$28,NOT($LR13="")),AND($LU13&gt;$LQ$28,NOT($LU13="")))),"Merit",IF(AND(G13="P",OR(AND($AN13&gt;$AL$27,NOT($AN13=""),$AJ13=""),AND($BK13&gt;$BI$27,NOT($BK13=""),$BG13=""),AND($CK13&gt;$CI$27,NOT($CK13="")),AND($DG13&gt;$DE$27,NOT($DG13="")),AND($EC13&gt;$EA$27,NOT($EC13="")),AND($EY13&gt;$EW$27,NOT($EY13="")),AND($FU13&gt;$FS$27,NOT($FU13="")),AND($GQ13&gt;$GO$27,NOT($GQ13="")),AND($HM13&gt;$HK$27,NOT($HM13="")),AND($II13&gt;$IG$27,NOT($II13="")),AND($JE13&gt;$JC$27,NOT($JE13="")),AND($KA13&gt;$JY$27,NOT($KA13="")),AND($KW13&gt;$KU$27,NOT($KW13="")),AND($LS13&gt;$LQ$27,NOT($LS13="")))),"Excellence",IF(AND(G13="P",OR(AND($AN13&gt;$AL$26,NOT($AN13=""),$AJ13=""),AND($BK13&gt;$BI$26,NOT($BK13=""),$BG13=""),AND($CK13&gt;$CI$26,NOT($CK13="")),AND($DG13&gt;$DE$26,NOT($DG13="")),AND($EC13&gt;$EA$26,NOT($EC13="")),AND($EY13&gt;$EW$26,NOT($EY13="")),AND($FU13&gt;$FS$26,NOT($FU13="")),AND($GQ13&gt;$GO$26,NOT($GQ13="")),AND($HM13&gt;$HK$26,NOT($HM13="")),AND($II13&gt;$IG$26,NOT($II13="")),AND($JE13&gt;$JC$26,NOT($JE13="")),AND($KA13&gt;$JY$26,NOT($KA13="")),AND($KW13&gt;$KU$26,NOT($KW13="")),AND($LS13&gt;$LQ$26,NOT($LS13="")))),"Worlds Team",IF(AND(F13="P",OR(AND($AN13&gt;$AL$25,NOT($AN13=""),$AJ13=""),AND($BK13&gt;$BI$25,NOT($BK13=""),$BG13=""),AND($CK13&gt;$CI$25,NOT($CK13="")),AND($DG13&gt;$DE$25,NOT($DG13="")),AND($EC13&gt;$EA$25,NOT($EC13="")),AND($EY13&gt;$EW$25,NOT($EY13="")),AND($FU13&gt;$FS$25,NOT($FU13="")),AND($GQ13&gt;$GO$25,NOT($GQ13="")),AND($HM13&gt;$HK$25,NOT($HM13="")),AND($II13&gt;$IG$25,NOT($II13="")),AND($JE13&gt;$JC$25,NOT($JE13="")),AND($KA13&gt;$JY$25,NOT($KA13="")),AND($KW13&gt;$KU$25,NOT($KW13="")),AND($LS13&gt;$LQ$25,NOT($LS13="")))),"National Team","")))))</f>
        <v>National Team</v>
      </c>
      <c r="J13" s="15">
        <f>IF(MAX(AN13,BK13)&gt;0,MAX(AN13,BK13),"")</f>
        <v>104.905</v>
      </c>
      <c r="K13" s="15" t="str">
        <f>IF(J13="","",IF(J13=BK13,$AR$1,IF(J13=AN13,$U$1,"")))</f>
        <v>2019 Nationals</v>
      </c>
      <c r="L13" s="15">
        <f>IF($J13=$AN13,BI13,IF($J13=$BK13,AL13,MAX(AL13,BI13)))</f>
        <v>47.854999999999997</v>
      </c>
      <c r="M13" s="15" t="str">
        <f>IF(L13="","",IF(AND(L13=BI13,$K13&lt;&gt;$AR$1),$AR$1,IF(AND(L13=AL13,$K13&lt;&gt;$U$1),$U$1,"")))</f>
        <v>2019 Elite Canada</v>
      </c>
      <c r="N13" s="15">
        <f>IF($J13=$AN13,BJ13,IF($J13=$BK13,AM13,MAX(AM13,BJ13)))</f>
        <v>10.75</v>
      </c>
      <c r="O13" s="15" t="str">
        <f>IF(N13="","",IF(AND(N13=BJ13,$K13&lt;&gt;$AR$1),$AR$1,IF(AND(N13=AM13,$K13&lt;&gt;$U$1),$U$1,"")))</f>
        <v>2019 Elite Canada</v>
      </c>
      <c r="P13" s="15">
        <f>IF(MAX(AP13,BM13)&gt;0,MAX(AP13,BM13),"")</f>
        <v>56.43</v>
      </c>
      <c r="Q13" s="15" t="str">
        <f>IF(P13="","",IF(P13=BM13,$AR$1,IF(P13=AP13,$U$1,"")))</f>
        <v>2019 Nationals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71">
        <v>16.7</v>
      </c>
      <c r="V13" s="71">
        <v>8.85</v>
      </c>
      <c r="W13" s="71">
        <v>5.2</v>
      </c>
      <c r="X13" s="71">
        <v>17.105</v>
      </c>
      <c r="Y13" s="71">
        <v>0</v>
      </c>
      <c r="Z13" s="71">
        <v>3.2</v>
      </c>
      <c r="AA13" s="71">
        <v>1.6</v>
      </c>
      <c r="AB13" s="71">
        <v>2.6</v>
      </c>
      <c r="AC13" s="71">
        <v>3.35</v>
      </c>
      <c r="AD13" s="71">
        <v>0</v>
      </c>
      <c r="AE13" s="71"/>
      <c r="AF13" s="71"/>
      <c r="AG13" s="71"/>
      <c r="AH13" s="71"/>
      <c r="AI13" s="71"/>
      <c r="AJ13" s="82"/>
      <c r="AK13" s="12">
        <f>IF(AB13&gt;0,AB13,"")</f>
        <v>2.6</v>
      </c>
      <c r="AL13" s="12">
        <f>IF(SUM(U13:X13)-Y13&gt;0,SUM(U13:X13)-Y13,"")</f>
        <v>47.854999999999997</v>
      </c>
      <c r="AM13" s="12">
        <f>IF(SUM(Z13:AC13)-AD13&gt;0,SUM(Z13:AC13)-AD13,"")</f>
        <v>10.75</v>
      </c>
      <c r="AN13" s="12">
        <f>IF(SUM(AL13:AM13)&gt;0,SUM(AL13:AM13),"")</f>
        <v>58.604999999999997</v>
      </c>
      <c r="AO13" s="12" t="str">
        <f>IF(AG13&gt;0,AG13,"")</f>
        <v/>
      </c>
      <c r="AP13" s="12" t="str">
        <f>IF(SUM(AE13:AH13)-AI13&gt;0,SUM(AE13:AH13)-AI13,"")</f>
        <v/>
      </c>
      <c r="AQ13" s="12">
        <f>IF(SUM(AN13,AP13)&gt;0,SUM(AN13,AP13),"")</f>
        <v>58.604999999999997</v>
      </c>
      <c r="AR13" s="77">
        <v>17.7</v>
      </c>
      <c r="AS13" s="77">
        <v>9.5</v>
      </c>
      <c r="AT13" s="77">
        <v>4.8</v>
      </c>
      <c r="AU13" s="77">
        <v>17.375</v>
      </c>
      <c r="AV13" s="77">
        <v>0</v>
      </c>
      <c r="AW13" s="77">
        <v>16.100000000000001</v>
      </c>
      <c r="AX13" s="77">
        <v>8.9</v>
      </c>
      <c r="AY13" s="77">
        <v>14.4</v>
      </c>
      <c r="AZ13" s="77">
        <v>16.13</v>
      </c>
      <c r="BA13" s="77">
        <v>0</v>
      </c>
      <c r="BB13" s="77">
        <v>16.32</v>
      </c>
      <c r="BC13" s="77">
        <v>9.5</v>
      </c>
      <c r="BD13" s="77">
        <v>14.4</v>
      </c>
      <c r="BE13" s="77">
        <v>16.21</v>
      </c>
      <c r="BF13" s="77">
        <v>0</v>
      </c>
      <c r="BG13" s="83"/>
      <c r="BH13" s="15">
        <f>IF(AY13&gt;0,AY13,"")</f>
        <v>14.4</v>
      </c>
      <c r="BI13" s="15">
        <f>IF(SUM(AR13:AU13)-AV13&gt;0,SUM(AR13:AU13)-AV13,"")</f>
        <v>49.375</v>
      </c>
      <c r="BJ13" s="15">
        <f>IF(SUM(AW13:AZ13)-BA13&gt;0,SUM(AW13:AZ13)-BA13,"")</f>
        <v>55.53</v>
      </c>
      <c r="BK13" s="15">
        <f>IF(SUM(BI13:BJ13)&gt;0,SUM(BI13:BJ13),"")</f>
        <v>104.905</v>
      </c>
      <c r="BL13" s="15">
        <f>IF(BD13&gt;0,BD13,"")</f>
        <v>14.4</v>
      </c>
      <c r="BM13" s="15">
        <f>IF(SUM(BB13:BE13)-BF13&gt;0,SUM(BB13:BE13)-BF13,"")</f>
        <v>56.43</v>
      </c>
      <c r="BN13" s="15">
        <f>IF(SUM(BK13,BM13)&gt;0,SUM(BK13,BM13),"")</f>
        <v>161.33500000000001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0"/>
        <v>17.2</v>
      </c>
      <c r="LX13" s="71">
        <f t="shared" si="1"/>
        <v>9.1750000000000007</v>
      </c>
      <c r="LY13" s="71">
        <f t="shared" si="2"/>
        <v>5</v>
      </c>
      <c r="LZ13" s="71">
        <f t="shared" si="3"/>
        <v>17.240000000000002</v>
      </c>
      <c r="MA13" s="71">
        <f t="shared" si="4"/>
        <v>0</v>
      </c>
      <c r="MB13" s="71">
        <f t="shared" si="5"/>
        <v>9.65</v>
      </c>
      <c r="MC13" s="71">
        <f t="shared" si="6"/>
        <v>5.25</v>
      </c>
      <c r="MD13" s="71">
        <f t="shared" si="7"/>
        <v>8.5</v>
      </c>
      <c r="ME13" s="71">
        <f t="shared" si="8"/>
        <v>9.74</v>
      </c>
      <c r="MF13" s="71">
        <f t="shared" si="9"/>
        <v>0</v>
      </c>
      <c r="MG13" s="71">
        <f t="shared" si="10"/>
        <v>8.16</v>
      </c>
      <c r="MH13" s="71">
        <f t="shared" si="11"/>
        <v>4.75</v>
      </c>
      <c r="MI13" s="71">
        <f t="shared" si="12"/>
        <v>7.2</v>
      </c>
      <c r="MJ13" s="71">
        <f t="shared" si="13"/>
        <v>8.1050000000000004</v>
      </c>
      <c r="MK13" s="71">
        <f t="shared" si="14"/>
        <v>0</v>
      </c>
      <c r="ML13" s="82" t="s">
        <v>96</v>
      </c>
      <c r="MM13" s="12">
        <f t="shared" si="15"/>
        <v>8.5</v>
      </c>
      <c r="MN13" s="12">
        <f t="shared" si="16"/>
        <v>48.615000000000002</v>
      </c>
      <c r="MO13" s="12">
        <f t="shared" si="17"/>
        <v>33.14</v>
      </c>
      <c r="MP13" s="12">
        <f t="shared" si="18"/>
        <v>81.754999999999995</v>
      </c>
      <c r="MQ13" s="12">
        <f t="shared" si="21"/>
        <v>7.2</v>
      </c>
      <c r="MR13" s="12">
        <f t="shared" si="19"/>
        <v>28.215</v>
      </c>
      <c r="MS13" s="12">
        <f t="shared" si="20"/>
        <v>109.97</v>
      </c>
    </row>
    <row r="14" spans="1:357" x14ac:dyDescent="0.2">
      <c r="A14" s="6" t="str">
        <f>IF(AND(F14="P",H14="P"),SUMPRODUCT((F$4:F$21="P")*(H$4:H$21="P")*(E$4:E$21&gt;E14))+1,IF(H14="P",SUMPRODUCT((F$4:F$21="")*(H$4:H$21="P")*(E$4:E$21&gt;E14))+1+SUMPRODUCT((F$4:F$21="P")*(H$4:H$21="P")),""))</f>
        <v/>
      </c>
      <c r="B14" s="7" t="s">
        <v>12</v>
      </c>
      <c r="C14" s="8" t="s">
        <v>6</v>
      </c>
      <c r="D14" s="6">
        <v>1996</v>
      </c>
      <c r="E14" s="16">
        <f>SUM(J14:R14)</f>
        <v>165.15</v>
      </c>
      <c r="F14" s="4" t="str">
        <f>IF(OR(AND($AK14&gt;=$AL$23,NOT($AK14=""),$AJ14=""),AND($BH14&gt;=$BI$23,NOT($BH14=""),$BG14=""),AND($CH14&gt;=$CI$23,NOT($CH14="")),AND($DD14&gt;=$DE$23,NOT($DD14="")),AND($DZ14&gt;=$EA$23,NOT($DZ14="")),AND($EV14&gt;=$EW$23,NOT($EV14="")),AND($FR14&gt;=$FS$23,NOT($FR14="")),AND($GN14&gt;=$GO$23,NOT($GN14="")),AND($HJ14&gt;=$HK$23,NOT($HJ14="")),AND($IF14&gt;=$IG$23,NOT($IF14="")),AND($JB14&gt;=$JC$23,NOT($JB14="")),AND($JX14&gt;=$JY$23,NOT($JX14="")),AND($KT14&gt;=$KU$23,NOT($KT14="")),AND($LP14&gt;=$LQ$23,NOT($LP14="")),AND($AO14&gt;=$AL$23,NOT($AO14=""),$AJ14=""),AND($BL14&gt;=$BI$23,NOT($BL14=""),$BG14=""),AND($CL14&gt;=$CI$23,NOT($CL14="")),AND($DH14&gt;=$DE$23,NOT($DH14="")),AND($ED14&gt;=$EA$23,NOT($ED14="")),AND($EZ14&gt;=$EW$23,NOT($EZ14="")),AND($FV14&gt;=$FS$23,NOT($FV14="")),AND($GR14&gt;=$GO$23,NOT($GR14="")),AND($HN14&gt;=$HK$23,NOT($HN14="")),AND($IJ14&gt;=$IG$23,NOT($IJ14="")),AND($JF14&gt;=$JC$23,NOT($JF14="")),AND($KB14&gt;=$JY$23,NOT($KB14="")),AND($KX14&gt;=$KU$23,NOT($KX14="")),AND($LT14&gt;=$LQ$23,NOT($LT14=""))),"P","")</f>
        <v>P</v>
      </c>
      <c r="G14" s="4" t="str">
        <f>IF(OR(AND($AK14&gt;=$AL$24,NOT($AK14=""),$AJ14=""),AND($BH14&gt;=$BI$24,NOT($BH14=""),$BG14=""),AND($CH14&gt;=$CI$24,NOT($CH14="")),AND($DD14&gt;=$DE$24,NOT($DD14="")),AND($DZ14&gt;=$EA$24,NOT($DZ14="")),AND($EV14&gt;=$EW$24,NOT($EV14="")),AND($FR14&gt;=$FS$24,NOT($FR14="")),AND($GN14&gt;=$GO$24,NOT($GN14="")),AND($HJ14&gt;=$HK$24,NOT($HJ14="")),AND($IF14&gt;=$IG$24,NOT($IF14="")),AND($JB14&gt;=$JC$24,NOT($JB14="")),AND($JX14&gt;=$JY$24,NOT($JX14="")),AND($KT14&gt;=$KU$24,NOT($KT14="")),AND($LP14&gt;=$LQ$24,NOT($LP14="")),AND($AO14&gt;=$AL$24,NOT($AO14=""),$AJ14=""),AND($BL14&gt;=$BI$24,NOT($BL14=""),$BG14=""),AND($CL14&gt;=$CI$24,NOT($CL14="")),AND($DH14&gt;=$DE$24,NOT($DH14="")),AND($ED14&gt;=$EA$24,NOT($ED14="")),AND($EZ14&gt;=$EW$24,NOT($EZ14="")),AND($FV14&gt;=$FS$24,NOT($FV14="")),AND($GR14&gt;=$GO$24,NOT($GR14="")),AND($HN14&gt;=$HK$24,NOT($HN14="")),AND($IJ14&gt;=$IG$24,NOT($IJ14="")),AND($JF14&gt;=$JC$24,NOT($JF14="")),AND($KB14&gt;=$JY$24,NOT($KB14="")),AND($KX14&gt;=$KU$24,NOT($KX14="")),AND($LT14&gt;=$LQ$24,NOT($LT14=""))),"P","")</f>
        <v/>
      </c>
      <c r="H14" s="4" t="str">
        <f>IF(OR(AND($AN14&gt;=$AL$25,NOT($AN14=""),$AJ14=""),AND($BK14&gt;=$BI$25,NOT($BK14=""),$BG14=""),AND($CK14&gt;=$CI$25,NOT($CK14="")),AND($DG14&gt;=$DE$25,NOT($DG14="")),AND($EC14&gt;=$EA$25,NOT($EC14="")),AND($EY14&gt;=$EW$25,NOT($EY14="")),AND($FU14&gt;=$FS$25,NOT($FU14="")),AND($GQ14&gt;=$GO$25,NOT($GQ14="")),AND($HM14&gt;=$HK$25,NOT($HM14="")),AND($II14&gt;=$IG$25,NOT($II14="")),AND($JE14&gt;=$JC$25,NOT($JE14="")),AND($KA14&gt;=$JY$25,NOT($KA14="")),AND($KW14&gt;=$KU$25,NOT($KW14="")),AND($LS14&gt;=$LQ$25,NOT($LS14=""))),"P","")</f>
        <v/>
      </c>
      <c r="I14" t="str">
        <f>IF(AND(H14="P",F14=""),"No DD",IF(AND(G14="P",OR(AND($AM14&gt;$AL$28,NOT($AM14=""),$AJ14=""),AND($AP14&gt;$AL$28,NOT($AP14=""),$AJ14=""),AND($BJ14&gt;$BI$28,NOT($BJ14=""),$BG14=""),AND($BM14&gt;$BI$28,NOT($BM14=""),$BG14=""),AND($CJ14&gt;$CI$28,NOT($CJ14="")),AND($CM14&gt;$CI$28,NOT($CM14="")),AND($DF14&gt;$DE$28,NOT($DF14="")),AND($DI14&gt;$DE$28,NOT($DI14="")),AND($EB14&gt;$EA$28,NOT($EB14="")),AND($EE14&gt;$EA$28,NOT($EE14="")),AND($EX14&gt;$EW$28,NOT($EX14="")),AND($FA14&gt;$EW$28,NOT($FA14="")),AND($FT14&gt;$FS$28,NOT($FT14="")),AND($FW14&gt;$FS$28,NOT($FW14="")),AND($GP14&gt;$GO$28,NOT($GP14="")),AND($GS14&gt;$GO$28,NOT($GS14="")),AND($HL14&gt;$HK$28,NOT($HL14="")),AND($HO14&gt;$HK$28,NOT($HO14="")),AND($IH14&gt;$IG$28,NOT($IH14="")),AND($IK14&gt;$IG$28,NOT($IK14="")),AND($JD14&gt;$JC$28,NOT($JD14="")),AND($JG14&gt;$JC$28,NOT($JG14="")),AND($JZ14&gt;$JY$28,NOT($JZ14="")),AND($KC14&gt;$JY$28,NOT($KC14="")),AND($KV14&gt;$KU$28,NOT($KV14="")),AND($KY14&gt;$KU$28,NOT($KY14="")),AND($LR14&gt;$LQ$28,NOT($LR14="")),AND($LU14&gt;$LQ$28,NOT($LU14="")))),"Merit",IF(AND(G14="P",OR(AND($AN14&gt;$AL$27,NOT($AN14=""),$AJ14=""),AND($BK14&gt;$BI$27,NOT($BK14=""),$BG14=""),AND($CK14&gt;$CI$27,NOT($CK14="")),AND($DG14&gt;$DE$27,NOT($DG14="")),AND($EC14&gt;$EA$27,NOT($EC14="")),AND($EY14&gt;$EW$27,NOT($EY14="")),AND($FU14&gt;$FS$27,NOT($FU14="")),AND($GQ14&gt;$GO$27,NOT($GQ14="")),AND($HM14&gt;$HK$27,NOT($HM14="")),AND($II14&gt;$IG$27,NOT($II14="")),AND($JE14&gt;$JC$27,NOT($JE14="")),AND($KA14&gt;$JY$27,NOT($KA14="")),AND($KW14&gt;$KU$27,NOT($KW14="")),AND($LS14&gt;$LQ$27,NOT($LS14="")))),"Excellence",IF(AND(G14="P",OR(AND($AN14&gt;$AL$26,NOT($AN14=""),$AJ14=""),AND($BK14&gt;$BI$26,NOT($BK14=""),$BG14=""),AND($CK14&gt;$CI$26,NOT($CK14="")),AND($DG14&gt;$DE$26,NOT($DG14="")),AND($EC14&gt;$EA$26,NOT($EC14="")),AND($EY14&gt;$EW$26,NOT($EY14="")),AND($FU14&gt;$FS$26,NOT($FU14="")),AND($GQ14&gt;$GO$26,NOT($GQ14="")),AND($HM14&gt;$HK$26,NOT($HM14="")),AND($II14&gt;$IG$26,NOT($II14="")),AND($JE14&gt;$JC$26,NOT($JE14="")),AND($KA14&gt;$JY$26,NOT($KA14="")),AND($KW14&gt;$KU$26,NOT($KW14="")),AND($LS14&gt;$LQ$26,NOT($LS14="")))),"Worlds Team",IF(AND(F14="P",OR(AND($AN14&gt;$AL$25,NOT($AN14=""),$AJ14=""),AND($BK14&gt;$BI$25,NOT($BK14=""),$BG14=""),AND($CK14&gt;$CI$25,NOT($CK14="")),AND($DG14&gt;$DE$25,NOT($DG14="")),AND($EC14&gt;$EA$25,NOT($EC14="")),AND($EY14&gt;$EW$25,NOT($EY14="")),AND($FU14&gt;$FS$25,NOT($FU14="")),AND($GQ14&gt;$GO$25,NOT($GQ14="")),AND($HM14&gt;$HK$25,NOT($HM14="")),AND($II14&gt;$IG$25,NOT($II14="")),AND($JE14&gt;$JC$25,NOT($JE14="")),AND($KA14&gt;$JY$25,NOT($KA14="")),AND($KW14&gt;$KU$25,NOT($KW14="")),AND($LS14&gt;$LQ$25,NOT($LS14="")))),"National Team","")))))</f>
        <v/>
      </c>
      <c r="J14" s="15">
        <f>IF(MAX(AN14,BK14)&gt;0,MAX(AN14,BK14),"")</f>
        <v>63.315000000000005</v>
      </c>
      <c r="K14" s="15" t="str">
        <f>IF(J14="","",IF(J14=BK14,$AR$1,IF(J14=AN14,$U$1,"")))</f>
        <v>2019 Nationals</v>
      </c>
      <c r="L14" s="15">
        <f>IF($J14=$AN14,BI14,IF($J14=$BK14,AL14,MAX(AL14,BI14)))</f>
        <v>48.84</v>
      </c>
      <c r="M14" s="15" t="str">
        <f>IF(L14="","",IF(AND(L14=BI14,$K14&lt;&gt;$AR$1),$AR$1,IF(AND(L14=AL14,$K14&lt;&gt;$U$1),$U$1,"")))</f>
        <v>2019 Elite Canada</v>
      </c>
      <c r="N14" s="15">
        <f>IF($J14=$AN14,BJ14,IF($J14=$BK14,AM14,MAX(AM14,BJ14)))</f>
        <v>11.639999999999999</v>
      </c>
      <c r="O14" s="15" t="str">
        <f>IF(N14="","",IF(AND(N14=BJ14,$K14&lt;&gt;$AR$1),$AR$1,IF(AND(N14=AM14,$K14&lt;&gt;$U$1),$U$1,"")))</f>
        <v>2019 Elite Canada</v>
      </c>
      <c r="P14" s="15" t="str">
        <f>IF(MAX(AP14,BM14)&gt;0,MAX(AP14,BM14),"")</f>
        <v/>
      </c>
      <c r="Q14" s="15" t="str">
        <f>IF(P14="","",IF(P14=BM14,$AR$1,IF(P14=AP14,$U$1,"")))</f>
        <v/>
      </c>
      <c r="R14" s="15">
        <f>IF(MAX(BO14,BP14,BQ14,BR14)&gt;0,MAX(BO14,BP14,BQ14,BR14),"")</f>
        <v>41.354999999999997</v>
      </c>
      <c r="S14" s="27" t="str">
        <f>IF(R14="","",IF(R14=BO14,"(Vol 1)",IF(R14=BP14,"(Vol 2)",IF(R14=BQ14,"(Prelim)",IF(R14=BR14,"(Final)")))))</f>
        <v>(Vol 2)</v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>2019 Scalabis Cup (July 6)</v>
      </c>
      <c r="U14" s="71">
        <v>17.5</v>
      </c>
      <c r="V14" s="71">
        <v>9.15</v>
      </c>
      <c r="W14" s="71">
        <v>5.6</v>
      </c>
      <c r="X14" s="71">
        <v>16.59</v>
      </c>
      <c r="Y14" s="71">
        <v>0</v>
      </c>
      <c r="Z14" s="71">
        <v>2.8</v>
      </c>
      <c r="AA14" s="71">
        <v>1.6</v>
      </c>
      <c r="AB14" s="71">
        <v>3.8</v>
      </c>
      <c r="AC14" s="71">
        <v>3.44</v>
      </c>
      <c r="AD14" s="71">
        <v>0</v>
      </c>
      <c r="AE14" s="71"/>
      <c r="AF14" s="71"/>
      <c r="AG14" s="71"/>
      <c r="AH14" s="71"/>
      <c r="AI14" s="71"/>
      <c r="AJ14" s="82"/>
      <c r="AK14" s="12">
        <f>IF(AB14&gt;0,AB14,"")</f>
        <v>3.8</v>
      </c>
      <c r="AL14" s="12">
        <f>IF(SUM(U14:X14)-Y14&gt;0,SUM(U14:X14)-Y14,"")</f>
        <v>48.84</v>
      </c>
      <c r="AM14" s="12">
        <f>IF(SUM(Z14:AC14)-AD14&gt;0,SUM(Z14:AC14)-AD14,"")</f>
        <v>11.639999999999999</v>
      </c>
      <c r="AN14" s="12">
        <f>IF(SUM(AL14:AM14)&gt;0,SUM(AL14:AM14),"")</f>
        <v>60.480000000000004</v>
      </c>
      <c r="AO14" s="12" t="str">
        <f>IF(AG14&gt;0,AG14,"")</f>
        <v/>
      </c>
      <c r="AP14" s="12" t="str">
        <f>IF(SUM(AE14:AH14)-AI14&gt;0,SUM(AE14:AH14)-AI14,"")</f>
        <v/>
      </c>
      <c r="AQ14" s="12">
        <f>IF(SUM(AN14,AP14)&gt;0,SUM(AN14,AP14),"")</f>
        <v>60.480000000000004</v>
      </c>
      <c r="AR14" s="77">
        <v>5.9</v>
      </c>
      <c r="AS14" s="77">
        <v>2.8</v>
      </c>
      <c r="AT14" s="77">
        <v>0</v>
      </c>
      <c r="AU14" s="77">
        <v>4.8550000000000004</v>
      </c>
      <c r="AV14" s="77">
        <v>0</v>
      </c>
      <c r="AW14" s="77">
        <v>13.9</v>
      </c>
      <c r="AX14" s="77">
        <v>8.9</v>
      </c>
      <c r="AY14" s="77">
        <v>12.7</v>
      </c>
      <c r="AZ14" s="77">
        <v>15.06</v>
      </c>
      <c r="BA14" s="77">
        <v>0.8</v>
      </c>
      <c r="BB14" s="77"/>
      <c r="BC14" s="77"/>
      <c r="BD14" s="77"/>
      <c r="BE14" s="77"/>
      <c r="BF14" s="77"/>
      <c r="BG14" s="83"/>
      <c r="BH14" s="15">
        <f>IF(AY14&gt;0,AY14,"")</f>
        <v>12.7</v>
      </c>
      <c r="BI14" s="15">
        <f>IF(SUM(AR14:AU14)-AV14&gt;0,SUM(AR14:AU14)-AV14,"")</f>
        <v>13.555</v>
      </c>
      <c r="BJ14" s="15">
        <f>IF(SUM(AW14:AZ14)-BA14&gt;0,SUM(AW14:AZ14)-BA14,"")</f>
        <v>49.760000000000005</v>
      </c>
      <c r="BK14" s="15">
        <f>IF(SUM(BI14:BJ14)&gt;0,SUM(BI14:BJ14),"")</f>
        <v>63.315000000000005</v>
      </c>
      <c r="BL14" s="15" t="str">
        <f>IF(BD14&gt;0,BD14,"")</f>
        <v/>
      </c>
      <c r="BM14" s="15" t="str">
        <f>IF(SUM(BB14:BE14)-BF14&gt;0,SUM(BB14:BE14)-BF14,"")</f>
        <v/>
      </c>
      <c r="BN14" s="15">
        <f>IF(SUM(BK14,BM14)&gt;0,SUM(BK14,BM14),"")</f>
        <v>63.315000000000005</v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>
        <f>IF(MAX(CJ14,DF14,EB14,EX14,FT14,GP14,HL14,IH14,JD14,JZ14,KV14,LR14)-IF(N14="",0,N14)&gt;0.001,MAX(CJ14,DF14,EB14,EX14,FT14,GP14,HL14,IH14,JD14,JZ14,KV14,LR14)-IF(N14="",0,N14),"")</f>
        <v>41.354999999999997</v>
      </c>
      <c r="BQ14" s="26">
        <f>IF(MAX(CK14,DG14,EC14,EY14,FU14,GQ14,HM14,II14,JE14,KA14,KW14,LS14)-IF(J14="",0,J14)&gt;0.001,MAX(CK14,DG14,EC14,EY14,FU14,GQ14,HM14,II14,JE14,KA14,KW14,LS14)-IF(J14="",0,J14),"")</f>
        <v>37.244999999999997</v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>
        <v>16</v>
      </c>
      <c r="DL14" s="39">
        <v>9.3000000000000007</v>
      </c>
      <c r="DM14" s="39">
        <v>5.8</v>
      </c>
      <c r="DN14" s="39">
        <v>16.465</v>
      </c>
      <c r="DO14" s="39">
        <v>0</v>
      </c>
      <c r="DP14" s="39">
        <v>13.5</v>
      </c>
      <c r="DQ14" s="39">
        <v>9</v>
      </c>
      <c r="DR14" s="39">
        <v>14.8</v>
      </c>
      <c r="DS14" s="39">
        <v>15.695</v>
      </c>
      <c r="DT14" s="39">
        <v>0</v>
      </c>
      <c r="DU14" s="39"/>
      <c r="DV14" s="39"/>
      <c r="DW14" s="39"/>
      <c r="DX14" s="39"/>
      <c r="DY14" s="39"/>
      <c r="DZ14" s="12">
        <f>IF(DR14&gt;0,DR14,"")</f>
        <v>14.8</v>
      </c>
      <c r="EA14" s="12">
        <f>IF(SUM(DK14:DN14)-DO14&gt;0,SUM(DK14:DN14)-DO14,"")</f>
        <v>47.564999999999998</v>
      </c>
      <c r="EB14" s="12">
        <f>IF(SUM(DP14:DS14)-DT14&gt;0,SUM(DP14:DS14)-DT14,"")</f>
        <v>52.994999999999997</v>
      </c>
      <c r="EC14" s="12">
        <f>IF(SUM(EA14:EB14)&gt;0,SUM(EA14:EB14),"")</f>
        <v>100.56</v>
      </c>
      <c r="ED14" s="12" t="str">
        <f>IF(DW14&gt;0,DW14,"")</f>
        <v/>
      </c>
      <c r="EE14" s="12" t="str">
        <f>IF(SUM(DU14:DX14)-DY14&gt;0,SUM(DU14:DX14)-DY14,"")</f>
        <v/>
      </c>
      <c r="EF14" s="12">
        <f>IF(SUM(EC14,EE14)&gt;0,SUM(EC14,EE14),"")</f>
        <v>100.56</v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0"/>
        <v>11.7</v>
      </c>
      <c r="LX14" s="71">
        <f t="shared" si="1"/>
        <v>5.9749999999999996</v>
      </c>
      <c r="LY14" s="71">
        <f t="shared" si="2"/>
        <v>2.8</v>
      </c>
      <c r="LZ14" s="71">
        <f t="shared" si="3"/>
        <v>10.7225</v>
      </c>
      <c r="MA14" s="71">
        <f t="shared" si="4"/>
        <v>0</v>
      </c>
      <c r="MB14" s="71">
        <f t="shared" si="5"/>
        <v>8.35</v>
      </c>
      <c r="MC14" s="71">
        <f t="shared" si="6"/>
        <v>5.25</v>
      </c>
      <c r="MD14" s="71">
        <f t="shared" si="7"/>
        <v>8.25</v>
      </c>
      <c r="ME14" s="71">
        <f t="shared" si="8"/>
        <v>9.25</v>
      </c>
      <c r="MF14" s="71">
        <f t="shared" si="9"/>
        <v>0.4</v>
      </c>
      <c r="MG14" s="71">
        <f t="shared" si="10"/>
        <v>0</v>
      </c>
      <c r="MH14" s="71">
        <f t="shared" si="11"/>
        <v>0</v>
      </c>
      <c r="MI14" s="71">
        <f t="shared" si="12"/>
        <v>0</v>
      </c>
      <c r="MJ14" s="71">
        <f t="shared" si="13"/>
        <v>0</v>
      </c>
      <c r="MK14" s="71">
        <f t="shared" si="14"/>
        <v>0</v>
      </c>
      <c r="ML14" s="82" t="s">
        <v>96</v>
      </c>
      <c r="MM14" s="12">
        <f t="shared" si="15"/>
        <v>8.25</v>
      </c>
      <c r="MN14" s="12">
        <f t="shared" si="16"/>
        <v>31.197499999999998</v>
      </c>
      <c r="MO14" s="12">
        <f t="shared" si="17"/>
        <v>30.700000000000003</v>
      </c>
      <c r="MP14" s="12">
        <f t="shared" si="18"/>
        <v>61.897500000000001</v>
      </c>
      <c r="MQ14" s="12" t="str">
        <f t="shared" si="21"/>
        <v/>
      </c>
      <c r="MR14" s="12" t="str">
        <f t="shared" si="19"/>
        <v/>
      </c>
      <c r="MS14" s="12">
        <f t="shared" si="20"/>
        <v>61.897500000000001</v>
      </c>
    </row>
    <row r="15" spans="1:357" x14ac:dyDescent="0.2">
      <c r="A15" s="6" t="str">
        <f>IF(AND(F15="P",H15="P"),SUMPRODUCT((F$4:F$21="P")*(H$4:H$21="P")*(E$4:E$21&gt;E15))+1,IF(H15="P",SUMPRODUCT((F$4:F$21="")*(H$4:H$21="P")*(E$4:E$21&gt;E15))+1+SUMPRODUCT((F$4:F$21="P")*(H$4:H$21="P")),""))</f>
        <v/>
      </c>
      <c r="B15" s="7" t="s">
        <v>142</v>
      </c>
      <c r="C15" s="8" t="s">
        <v>5</v>
      </c>
      <c r="D15" s="29">
        <v>1991</v>
      </c>
      <c r="E15" s="16">
        <f>SUM(J15:R15)</f>
        <v>141.59</v>
      </c>
      <c r="F15" s="4" t="str">
        <f>IF(OR(AND($AK15&gt;=$AL$23,NOT($AK15=""),$AJ15=""),AND($BH15&gt;=$BI$23,NOT($BH15=""),$BG15=""),AND($CH15&gt;=$CI$23,NOT($CH15="")),AND($DD15&gt;=$DE$23,NOT($DD15="")),AND($DZ15&gt;=$EA$23,NOT($DZ15="")),AND($EV15&gt;=$EW$23,NOT($EV15="")),AND($FR15&gt;=$FS$23,NOT($FR15="")),AND($GN15&gt;=$GO$23,NOT($GN15="")),AND($HJ15&gt;=$HK$23,NOT($HJ15="")),AND($IF15&gt;=$IG$23,NOT($IF15="")),AND($JB15&gt;=$JC$23,NOT($JB15="")),AND($JX15&gt;=$JY$23,NOT($JX15="")),AND($KT15&gt;=$KU$23,NOT($KT15="")),AND($LP15&gt;=$LQ$23,NOT($LP15="")),AND($AO15&gt;=$AL$23,NOT($AO15=""),$AJ15=""),AND($BL15&gt;=$BI$23,NOT($BL15=""),$BG15=""),AND($CL15&gt;=$CI$23,NOT($CL15="")),AND($DH15&gt;=$DE$23,NOT($DH15="")),AND($ED15&gt;=$EA$23,NOT($ED15="")),AND($EZ15&gt;=$EW$23,NOT($EZ15="")),AND($FV15&gt;=$FS$23,NOT($FV15="")),AND($GR15&gt;=$GO$23,NOT($GR15="")),AND($HN15&gt;=$HK$23,NOT($HN15="")),AND($IJ15&gt;=$IG$23,NOT($IJ15="")),AND($JF15&gt;=$JC$23,NOT($JF15="")),AND($KB15&gt;=$JY$23,NOT($KB15="")),AND($KX15&gt;=$KU$23,NOT($KX15="")),AND($LT15&gt;=$LQ$23,NOT($LT15=""))),"P","")</f>
        <v>P</v>
      </c>
      <c r="G15" s="4" t="str">
        <f>IF(OR(AND($AK15&gt;=$AL$24,NOT($AK15=""),$AJ15=""),AND($BH15&gt;=$BI$24,NOT($BH15=""),$BG15=""),AND($CH15&gt;=$CI$24,NOT($CH15="")),AND($DD15&gt;=$DE$24,NOT($DD15="")),AND($DZ15&gt;=$EA$24,NOT($DZ15="")),AND($EV15&gt;=$EW$24,NOT($EV15="")),AND($FR15&gt;=$FS$24,NOT($FR15="")),AND($GN15&gt;=$GO$24,NOT($GN15="")),AND($HJ15&gt;=$HK$24,NOT($HJ15="")),AND($IF15&gt;=$IG$24,NOT($IF15="")),AND($JB15&gt;=$JC$24,NOT($JB15="")),AND($JX15&gt;=$JY$24,NOT($JX15="")),AND($KT15&gt;=$KU$24,NOT($KT15="")),AND($LP15&gt;=$LQ$24,NOT($LP15="")),AND($AO15&gt;=$AL$24,NOT($AO15=""),$AJ15=""),AND($BL15&gt;=$BI$24,NOT($BL15=""),$BG15=""),AND($CL15&gt;=$CI$24,NOT($CL15="")),AND($DH15&gt;=$DE$24,NOT($DH15="")),AND($ED15&gt;=$EA$24,NOT($ED15="")),AND($EZ15&gt;=$EW$24,NOT($EZ15="")),AND($FV15&gt;=$FS$24,NOT($FV15="")),AND($GR15&gt;=$GO$24,NOT($GR15="")),AND($HN15&gt;=$HK$24,NOT($HN15="")),AND($IJ15&gt;=$IG$24,NOT($IJ15="")),AND($JF15&gt;=$JC$24,NOT($JF15="")),AND($KB15&gt;=$JY$24,NOT($KB15="")),AND($KX15&gt;=$KU$24,NOT($KX15="")),AND($LT15&gt;=$LQ$24,NOT($LT15=""))),"P","")</f>
        <v/>
      </c>
      <c r="H15" s="4" t="str">
        <f>IF(OR(AND($AN15&gt;=$AL$25,NOT($AN15=""),$AJ15=""),AND($BK15&gt;=$BI$25,NOT($BK15=""),$BG15=""),AND($CK15&gt;=$CI$25,NOT($CK15="")),AND($DG15&gt;=$DE$25,NOT($DG15="")),AND($EC15&gt;=$EA$25,NOT($EC15="")),AND($EY15&gt;=$EW$25,NOT($EY15="")),AND($FU15&gt;=$FS$25,NOT($FU15="")),AND($GQ15&gt;=$GO$25,NOT($GQ15="")),AND($HM15&gt;=$HK$25,NOT($HM15="")),AND($II15&gt;=$IG$25,NOT($II15="")),AND($JE15&gt;=$JC$25,NOT($JE15="")),AND($KA15&gt;=$JY$25,NOT($KA15="")),AND($KW15&gt;=$KU$25,NOT($KW15="")),AND($LS15&gt;=$LQ$25,NOT($LS15=""))),"P","")</f>
        <v/>
      </c>
      <c r="I15" t="str">
        <f>IF(AND(H15="P",F15=""),"No DD",IF(AND(G15="P",OR(AND($AM15&gt;$AL$28,NOT($AM15=""),$AJ15=""),AND($AP15&gt;$AL$28,NOT($AP15=""),$AJ15=""),AND($BJ15&gt;$BI$28,NOT($BJ15=""),$BG15=""),AND($BM15&gt;$BI$28,NOT($BM15=""),$BG15=""),AND($CJ15&gt;$CI$28,NOT($CJ15="")),AND($CM15&gt;$CI$28,NOT($CM15="")),AND($DF15&gt;$DE$28,NOT($DF15="")),AND($DI15&gt;$DE$28,NOT($DI15="")),AND($EB15&gt;$EA$28,NOT($EB15="")),AND($EE15&gt;$EA$28,NOT($EE15="")),AND($EX15&gt;$EW$28,NOT($EX15="")),AND($FA15&gt;$EW$28,NOT($FA15="")),AND($FT15&gt;$FS$28,NOT($FT15="")),AND($FW15&gt;$FS$28,NOT($FW15="")),AND($GP15&gt;$GO$28,NOT($GP15="")),AND($GS15&gt;$GO$28,NOT($GS15="")),AND($HL15&gt;$HK$28,NOT($HL15="")),AND($HO15&gt;$HK$28,NOT($HO15="")),AND($IH15&gt;$IG$28,NOT($IH15="")),AND($IK15&gt;$IG$28,NOT($IK15="")),AND($JD15&gt;$JC$28,NOT($JD15="")),AND($JG15&gt;$JC$28,NOT($JG15="")),AND($JZ15&gt;$JY$28,NOT($JZ15="")),AND($KC15&gt;$JY$28,NOT($KC15="")),AND($KV15&gt;$KU$28,NOT($KV15="")),AND($KY15&gt;$KU$28,NOT($KY15="")),AND($LR15&gt;$LQ$28,NOT($LR15="")),AND($LU15&gt;$LQ$28,NOT($LU15="")))),"Merit",IF(AND(G15="P",OR(AND($AN15&gt;$AL$27,NOT($AN15=""),$AJ15=""),AND($BK15&gt;$BI$27,NOT($BK15=""),$BG15=""),AND($CK15&gt;$CI$27,NOT($CK15="")),AND($DG15&gt;$DE$27,NOT($DG15="")),AND($EC15&gt;$EA$27,NOT($EC15="")),AND($EY15&gt;$EW$27,NOT($EY15="")),AND($FU15&gt;$FS$27,NOT($FU15="")),AND($GQ15&gt;$GO$27,NOT($GQ15="")),AND($HM15&gt;$HK$27,NOT($HM15="")),AND($II15&gt;$IG$27,NOT($II15="")),AND($JE15&gt;$JC$27,NOT($JE15="")),AND($KA15&gt;$JY$27,NOT($KA15="")),AND($KW15&gt;$KU$27,NOT($KW15="")),AND($LS15&gt;$LQ$27,NOT($LS15="")))),"Excellence",IF(AND(G15="P",OR(AND($AN15&gt;$AL$26,NOT($AN15=""),$AJ15=""),AND($BK15&gt;$BI$26,NOT($BK15=""),$BG15=""),AND($CK15&gt;$CI$26,NOT($CK15="")),AND($DG15&gt;$DE$26,NOT($DG15="")),AND($EC15&gt;$EA$26,NOT($EC15="")),AND($EY15&gt;$EW$26,NOT($EY15="")),AND($FU15&gt;$FS$26,NOT($FU15="")),AND($GQ15&gt;$GO$26,NOT($GQ15="")),AND($HM15&gt;$HK$26,NOT($HM15="")),AND($II15&gt;$IG$26,NOT($II15="")),AND($JE15&gt;$JC$26,NOT($JE15="")),AND($KA15&gt;$JY$26,NOT($KA15="")),AND($KW15&gt;$KU$26,NOT($KW15="")),AND($LS15&gt;$LQ$26,NOT($LS15="")))),"Worlds Team",IF(AND(F15="P",OR(AND($AN15&gt;$AL$25,NOT($AN15=""),$AJ15=""),AND($BK15&gt;$BI$25,NOT($BK15=""),$BG15=""),AND($CK15&gt;$CI$25,NOT($CK15="")),AND($DG15&gt;$DE$25,NOT($DG15="")),AND($EC15&gt;$EA$25,NOT($EC15="")),AND($EY15&gt;$EW$25,NOT($EY15="")),AND($FU15&gt;$FS$25,NOT($FU15="")),AND($GQ15&gt;$GO$25,NOT($GQ15="")),AND($HM15&gt;$HK$25,NOT($HM15="")),AND($II15&gt;$IG$25,NOT($II15="")),AND($JE15&gt;$JC$25,NOT($JE15="")),AND($KA15&gt;$JY$25,NOT($KA15="")),AND($KW15&gt;$KU$25,NOT($KW15="")),AND($LS15&gt;$LQ$25,NOT($LS15="")))),"National Team","")))))</f>
        <v/>
      </c>
      <c r="J15" s="15">
        <f>IF(MAX(AN15,BK15)&gt;0,MAX(AN15,BK15),"")</f>
        <v>98.83</v>
      </c>
      <c r="K15" s="15" t="str">
        <f>IF(J15="","",IF(J15=BK15,$AR$1,IF(J15=AN15,$U$1,"")))</f>
        <v>2019 Nationals</v>
      </c>
      <c r="L15" s="15">
        <f>IF($J15=$AN15,BI15,IF($J15=$BK15,AL15,MAX(AL15,BI15)))</f>
        <v>8.125</v>
      </c>
      <c r="M15" s="15" t="str">
        <f>IF(L15="","",IF(AND(L15=BI15,$K15&lt;&gt;$AR$1),$AR$1,IF(AND(L15=AL15,$K15&lt;&gt;$U$1),$U$1,"")))</f>
        <v>2019 Elite Canada</v>
      </c>
      <c r="N15" s="15">
        <f>IF($J15=$AN15,BJ15,IF($J15=$BK15,AM15,MAX(AM15,BJ15)))</f>
        <v>34.634999999999998</v>
      </c>
      <c r="O15" s="15" t="str">
        <f>IF(N15="","",IF(AND(N15=BJ15,$K15&lt;&gt;$AR$1),$AR$1,IF(AND(N15=AM15,$K15&lt;&gt;$U$1),$U$1,"")))</f>
        <v>2019 Elite Canada</v>
      </c>
      <c r="P15" s="15" t="str">
        <f>IF(MAX(AP15,BM15)&gt;0,MAX(AP15,BM15),"")</f>
        <v/>
      </c>
      <c r="Q15" s="15" t="str">
        <f>IF(P15="","",IF(P15=BM15,$AR$1,IF(P15=AP15,$U$1,"")))</f>
        <v/>
      </c>
      <c r="R15" s="15" t="str">
        <f>IF(MAX(BO15,BP15,BQ15,BR15)&gt;0,MAX(BO15,BP15,BQ15,BR15),"")</f>
        <v/>
      </c>
      <c r="S15" s="27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71">
        <v>2.9</v>
      </c>
      <c r="V15" s="71">
        <v>1.7</v>
      </c>
      <c r="W15" s="71">
        <v>0</v>
      </c>
      <c r="X15" s="71">
        <v>3.5249999999999999</v>
      </c>
      <c r="Y15" s="71">
        <v>0</v>
      </c>
      <c r="Z15" s="71">
        <v>8.1999999999999993</v>
      </c>
      <c r="AA15" s="71">
        <v>5.95</v>
      </c>
      <c r="AB15" s="71">
        <v>9.3000000000000007</v>
      </c>
      <c r="AC15" s="71">
        <v>11.185</v>
      </c>
      <c r="AD15" s="71">
        <v>0</v>
      </c>
      <c r="AE15" s="71"/>
      <c r="AF15" s="71"/>
      <c r="AG15" s="71"/>
      <c r="AH15" s="71"/>
      <c r="AI15" s="71"/>
      <c r="AJ15" s="82"/>
      <c r="AK15" s="12">
        <f>IF(AB15&gt;0,AB15,"")</f>
        <v>9.3000000000000007</v>
      </c>
      <c r="AL15" s="12">
        <f>IF(SUM(U15:X15)-Y15&gt;0,SUM(U15:X15)-Y15,"")</f>
        <v>8.125</v>
      </c>
      <c r="AM15" s="12">
        <f>IF(SUM(Z15:AC15)-AD15&gt;0,SUM(Z15:AC15)-AD15,"")</f>
        <v>34.634999999999998</v>
      </c>
      <c r="AN15" s="12">
        <f>IF(SUM(AL15:AM15)&gt;0,SUM(AL15:AM15),"")</f>
        <v>42.76</v>
      </c>
      <c r="AO15" s="12" t="str">
        <f>IF(AG15&gt;0,AG15,"")</f>
        <v/>
      </c>
      <c r="AP15" s="12" t="str">
        <f>IF(SUM(AE15:AH15)-AI15&gt;0,SUM(AE15:AH15)-AI15,"")</f>
        <v/>
      </c>
      <c r="AQ15" s="12">
        <f>IF(SUM(AN15,AP15)&gt;0,SUM(AN15,AP15),"")</f>
        <v>42.76</v>
      </c>
      <c r="AR15" s="77">
        <v>15.5</v>
      </c>
      <c r="AS15" s="77">
        <v>8.6999999999999993</v>
      </c>
      <c r="AT15" s="77">
        <v>5.2</v>
      </c>
      <c r="AU15" s="77">
        <v>16.704999999999998</v>
      </c>
      <c r="AV15" s="77">
        <v>0</v>
      </c>
      <c r="AW15" s="77">
        <v>13.8</v>
      </c>
      <c r="AX15" s="77">
        <v>8.5</v>
      </c>
      <c r="AY15" s="77">
        <v>14.4</v>
      </c>
      <c r="AZ15" s="77">
        <v>16.024999999999999</v>
      </c>
      <c r="BA15" s="77">
        <v>0</v>
      </c>
      <c r="BB15" s="77"/>
      <c r="BC15" s="77"/>
      <c r="BD15" s="77"/>
      <c r="BE15" s="77"/>
      <c r="BF15" s="77"/>
      <c r="BG15" s="83"/>
      <c r="BH15" s="15">
        <f>IF(AY15&gt;0,AY15,"")</f>
        <v>14.4</v>
      </c>
      <c r="BI15" s="15">
        <f>IF(SUM(AR15:AU15)-AV15&gt;0,SUM(AR15:AU15)-AV15,"")</f>
        <v>46.104999999999997</v>
      </c>
      <c r="BJ15" s="15">
        <f>IF(SUM(AW15:AZ15)-BA15&gt;0,SUM(AW15:AZ15)-BA15,"")</f>
        <v>52.725000000000001</v>
      </c>
      <c r="BK15" s="15">
        <f>IF(SUM(BI15:BJ15)&gt;0,SUM(BI15:BJ15),"")</f>
        <v>98.83</v>
      </c>
      <c r="BL15" s="15" t="str">
        <f>IF(BD15&gt;0,BD15,"")</f>
        <v/>
      </c>
      <c r="BM15" s="15" t="str">
        <f>IF(SUM(BB15:BE15)-BF15&gt;0,SUM(BB15:BE15)-BF15,"")</f>
        <v/>
      </c>
      <c r="BN15" s="15">
        <f>IF(SUM(BK15,BM15)&gt;0,SUM(BK15,BM15),"")</f>
        <v>98.83</v>
      </c>
      <c r="BO15" s="26" t="str">
        <f>IF(MAX(CI15,DE15,EA15,EW15,FS15,GO15,HK15,IG15,JC15,JY15,KU15,LQ15)-IF(L15="",0,L15)&gt;0.001,MAX(CI15,DE15,EA15,EW15,FS15,GO15,HK15,IG15,JC15,JY15,KU15,LQ15)-IF(L15="",0,L15),"")</f>
        <v/>
      </c>
      <c r="BP15" s="26" t="str">
        <f>IF(MAX(CJ15,DF15,EB15,EX15,FT15,GP15,HL15,IH15,JD15,JZ15,KV15,LR15)-IF(N15="",0,N15)&gt;0.001,MAX(CJ15,DF15,EB15,EX15,FT15,GP15,HL15,IH15,JD15,JZ15,KV15,LR15)-IF(N15="",0,N15),"")</f>
        <v/>
      </c>
      <c r="BQ15" s="26" t="str">
        <f>IF(MAX(CK15,DG15,EC15,EY15,FU15,GQ15,HM15,II15,JE15,KA15,KW15,LS15)-IF(J15="",0,J15)&gt;0.001,MAX(CK15,DG15,EC15,EY15,FU15,GQ15,HM15,II15,JE15,KA15,KW15,LS15)-IF(J15="",0,J15),"")</f>
        <v/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0"/>
        <v>9.1999999999999993</v>
      </c>
      <c r="LX15" s="71">
        <f t="shared" si="1"/>
        <v>5.1999999999999993</v>
      </c>
      <c r="LY15" s="71">
        <f t="shared" si="2"/>
        <v>2.6</v>
      </c>
      <c r="LZ15" s="71">
        <f t="shared" si="3"/>
        <v>10.114999999999998</v>
      </c>
      <c r="MA15" s="71">
        <f t="shared" si="4"/>
        <v>0</v>
      </c>
      <c r="MB15" s="71">
        <f t="shared" si="5"/>
        <v>11</v>
      </c>
      <c r="MC15" s="71">
        <f t="shared" si="6"/>
        <v>7.2249999999999996</v>
      </c>
      <c r="MD15" s="71">
        <f t="shared" si="7"/>
        <v>11.850000000000001</v>
      </c>
      <c r="ME15" s="71">
        <f t="shared" si="8"/>
        <v>13.605</v>
      </c>
      <c r="MF15" s="71">
        <f t="shared" si="9"/>
        <v>0</v>
      </c>
      <c r="MG15" s="71">
        <f t="shared" si="10"/>
        <v>0</v>
      </c>
      <c r="MH15" s="71">
        <f t="shared" si="11"/>
        <v>0</v>
      </c>
      <c r="MI15" s="71">
        <f t="shared" si="12"/>
        <v>0</v>
      </c>
      <c r="MJ15" s="71">
        <f t="shared" si="13"/>
        <v>0</v>
      </c>
      <c r="MK15" s="71">
        <f t="shared" si="14"/>
        <v>0</v>
      </c>
      <c r="ML15" s="82" t="s">
        <v>96</v>
      </c>
      <c r="MM15" s="12">
        <f t="shared" si="15"/>
        <v>11.850000000000001</v>
      </c>
      <c r="MN15" s="12">
        <f t="shared" si="16"/>
        <v>27.114999999999998</v>
      </c>
      <c r="MO15" s="12">
        <f t="shared" si="17"/>
        <v>43.680000000000007</v>
      </c>
      <c r="MP15" s="12">
        <f t="shared" si="18"/>
        <v>70.795000000000002</v>
      </c>
      <c r="MQ15" s="12" t="str">
        <f t="shared" si="21"/>
        <v/>
      </c>
      <c r="MR15" s="12" t="str">
        <f t="shared" si="19"/>
        <v/>
      </c>
      <c r="MS15" s="12">
        <f t="shared" si="20"/>
        <v>70.795000000000002</v>
      </c>
    </row>
    <row r="16" spans="1:357" x14ac:dyDescent="0.2">
      <c r="A16" s="6" t="str">
        <f>IF(AND(F16="P",H16="P"),SUMPRODUCT((F$4:F$21="P")*(H$4:H$21="P")*(E$4:E$21&gt;E16))+1,IF(H16="P",SUMPRODUCT((F$4:F$21="")*(H$4:H$21="P")*(E$4:E$21&gt;E16))+1+SUMPRODUCT((F$4:F$21="P")*(H$4:H$21="P")),""))</f>
        <v/>
      </c>
      <c r="B16" s="7" t="s">
        <v>139</v>
      </c>
      <c r="C16" s="8" t="s">
        <v>10</v>
      </c>
      <c r="D16" s="29">
        <v>2000</v>
      </c>
      <c r="E16" s="16">
        <f>SUM(J16:R16)</f>
        <v>224.46999999999997</v>
      </c>
      <c r="F16" s="4" t="str">
        <f>IF(OR(AND($AK16&gt;=$AL$23,NOT($AK16=""),$AJ16=""),AND($BH16&gt;=$BI$23,NOT($BH16=""),$BG16=""),AND($CH16&gt;=$CI$23,NOT($CH16="")),AND($DD16&gt;=$DE$23,NOT($DD16="")),AND($DZ16&gt;=$EA$23,NOT($DZ16="")),AND($EV16&gt;=$EW$23,NOT($EV16="")),AND($FR16&gt;=$FS$23,NOT($FR16="")),AND($GN16&gt;=$GO$23,NOT($GN16="")),AND($HJ16&gt;=$HK$23,NOT($HJ16="")),AND($IF16&gt;=$IG$23,NOT($IF16="")),AND($JB16&gt;=$JC$23,NOT($JB16="")),AND($JX16&gt;=$JY$23,NOT($JX16="")),AND($KT16&gt;=$KU$23,NOT($KT16="")),AND($LP16&gt;=$LQ$23,NOT($LP16="")),AND($AO16&gt;=$AL$23,NOT($AO16=""),$AJ16=""),AND($BL16&gt;=$BI$23,NOT($BL16=""),$BG16=""),AND($CL16&gt;=$CI$23,NOT($CL16="")),AND($DH16&gt;=$DE$23,NOT($DH16="")),AND($ED16&gt;=$EA$23,NOT($ED16="")),AND($EZ16&gt;=$EW$23,NOT($EZ16="")),AND($FV16&gt;=$FS$23,NOT($FV16="")),AND($GR16&gt;=$GO$23,NOT($GR16="")),AND($HN16&gt;=$HK$23,NOT($HN16="")),AND($IJ16&gt;=$IG$23,NOT($IJ16="")),AND($JF16&gt;=$JC$23,NOT($JF16="")),AND($KB16&gt;=$JY$23,NOT($KB16="")),AND($KX16&gt;=$KU$23,NOT($KX16="")),AND($LT16&gt;=$LQ$23,NOT($LT16=""))),"P","")</f>
        <v/>
      </c>
      <c r="G16" s="4" t="str">
        <f>IF(OR(AND($AK16&gt;=$AL$24,NOT($AK16=""),$AJ16=""),AND($BH16&gt;=$BI$24,NOT($BH16=""),$BG16=""),AND($CH16&gt;=$CI$24,NOT($CH16="")),AND($DD16&gt;=$DE$24,NOT($DD16="")),AND($DZ16&gt;=$EA$24,NOT($DZ16="")),AND($EV16&gt;=$EW$24,NOT($EV16="")),AND($FR16&gt;=$FS$24,NOT($FR16="")),AND($GN16&gt;=$GO$24,NOT($GN16="")),AND($HJ16&gt;=$HK$24,NOT($HJ16="")),AND($IF16&gt;=$IG$24,NOT($IF16="")),AND($JB16&gt;=$JC$24,NOT($JB16="")),AND($JX16&gt;=$JY$24,NOT($JX16="")),AND($KT16&gt;=$KU$24,NOT($KT16="")),AND($LP16&gt;=$LQ$24,NOT($LP16="")),AND($AO16&gt;=$AL$24,NOT($AO16=""),$AJ16=""),AND($BL16&gt;=$BI$24,NOT($BL16=""),$BG16=""),AND($CL16&gt;=$CI$24,NOT($CL16="")),AND($DH16&gt;=$DE$24,NOT($DH16="")),AND($ED16&gt;=$EA$24,NOT($ED16="")),AND($EZ16&gt;=$EW$24,NOT($EZ16="")),AND($FV16&gt;=$FS$24,NOT($FV16="")),AND($GR16&gt;=$GO$24,NOT($GR16="")),AND($HN16&gt;=$HK$24,NOT($HN16="")),AND($IJ16&gt;=$IG$24,NOT($IJ16="")),AND($JF16&gt;=$JC$24,NOT($JF16="")),AND($KB16&gt;=$JY$24,NOT($KB16="")),AND($KX16&gt;=$KU$24,NOT($KX16="")),AND($LT16&gt;=$LQ$24,NOT($LT16=""))),"P","")</f>
        <v/>
      </c>
      <c r="H16" s="4" t="str">
        <f>IF(OR(AND($AN16&gt;=$AL$25,NOT($AN16=""),$AJ16=""),AND($BK16&gt;=$BI$25,NOT($BK16=""),$BG16=""),AND($CK16&gt;=$CI$25,NOT($CK16="")),AND($DG16&gt;=$DE$25,NOT($DG16="")),AND($EC16&gt;=$EA$25,NOT($EC16="")),AND($EY16&gt;=$EW$25,NOT($EY16="")),AND($FU16&gt;=$FS$25,NOT($FU16="")),AND($GQ16&gt;=$GO$25,NOT($GQ16="")),AND($HM16&gt;=$HK$25,NOT($HM16="")),AND($II16&gt;=$IG$25,NOT($II16="")),AND($JE16&gt;=$JC$25,NOT($JE16="")),AND($KA16&gt;=$JY$25,NOT($KA16="")),AND($KW16&gt;=$KU$25,NOT($KW16="")),AND($LS16&gt;=$LQ$25,NOT($LS16=""))),"P","")</f>
        <v/>
      </c>
      <c r="I16" t="str">
        <f>IF(AND(H16="P",F16=""),"No DD",IF(AND(G16="P",OR(AND($AM16&gt;$AL$28,NOT($AM16=""),$AJ16=""),AND($AP16&gt;$AL$28,NOT($AP16=""),$AJ16=""),AND($BJ16&gt;$BI$28,NOT($BJ16=""),$BG16=""),AND($BM16&gt;$BI$28,NOT($BM16=""),$BG16=""),AND($CJ16&gt;$CI$28,NOT($CJ16="")),AND($CM16&gt;$CI$28,NOT($CM16="")),AND($DF16&gt;$DE$28,NOT($DF16="")),AND($DI16&gt;$DE$28,NOT($DI16="")),AND($EB16&gt;$EA$28,NOT($EB16="")),AND($EE16&gt;$EA$28,NOT($EE16="")),AND($EX16&gt;$EW$28,NOT($EX16="")),AND($FA16&gt;$EW$28,NOT($FA16="")),AND($FT16&gt;$FS$28,NOT($FT16="")),AND($FW16&gt;$FS$28,NOT($FW16="")),AND($GP16&gt;$GO$28,NOT($GP16="")),AND($GS16&gt;$GO$28,NOT($GS16="")),AND($HL16&gt;$HK$28,NOT($HL16="")),AND($HO16&gt;$HK$28,NOT($HO16="")),AND($IH16&gt;$IG$28,NOT($IH16="")),AND($IK16&gt;$IG$28,NOT($IK16="")),AND($JD16&gt;$JC$28,NOT($JD16="")),AND($JG16&gt;$JC$28,NOT($JG16="")),AND($JZ16&gt;$JY$28,NOT($JZ16="")),AND($KC16&gt;$JY$28,NOT($KC16="")),AND($KV16&gt;$KU$28,NOT($KV16="")),AND($KY16&gt;$KU$28,NOT($KY16="")),AND($LR16&gt;$LQ$28,NOT($LR16="")),AND($LU16&gt;$LQ$28,NOT($LU16="")))),"Merit",IF(AND(G16="P",OR(AND($AN16&gt;$AL$27,NOT($AN16=""),$AJ16=""),AND($BK16&gt;$BI$27,NOT($BK16=""),$BG16=""),AND($CK16&gt;$CI$27,NOT($CK16="")),AND($DG16&gt;$DE$27,NOT($DG16="")),AND($EC16&gt;$EA$27,NOT($EC16="")),AND($EY16&gt;$EW$27,NOT($EY16="")),AND($FU16&gt;$FS$27,NOT($FU16="")),AND($GQ16&gt;$GO$27,NOT($GQ16="")),AND($HM16&gt;$HK$27,NOT($HM16="")),AND($II16&gt;$IG$27,NOT($II16="")),AND($JE16&gt;$JC$27,NOT($JE16="")),AND($KA16&gt;$JY$27,NOT($KA16="")),AND($KW16&gt;$KU$27,NOT($KW16="")),AND($LS16&gt;$LQ$27,NOT($LS16="")))),"Excellence",IF(AND(G16="P",OR(AND($AN16&gt;$AL$26,NOT($AN16=""),$AJ16=""),AND($BK16&gt;$BI$26,NOT($BK16=""),$BG16=""),AND($CK16&gt;$CI$26,NOT($CK16="")),AND($DG16&gt;$DE$26,NOT($DG16="")),AND($EC16&gt;$EA$26,NOT($EC16="")),AND($EY16&gt;$EW$26,NOT($EY16="")),AND($FU16&gt;$FS$26,NOT($FU16="")),AND($GQ16&gt;$GO$26,NOT($GQ16="")),AND($HM16&gt;$HK$26,NOT($HM16="")),AND($II16&gt;$IG$26,NOT($II16="")),AND($JE16&gt;$JC$26,NOT($JE16="")),AND($KA16&gt;$JY$26,NOT($KA16="")),AND($KW16&gt;$KU$26,NOT($KW16="")),AND($LS16&gt;$LQ$26,NOT($LS16="")))),"Worlds Team",IF(AND(F16="P",OR(AND($AN16&gt;$AL$25,NOT($AN16=""),$AJ16=""),AND($BK16&gt;$BI$25,NOT($BK16=""),$BG16=""),AND($CK16&gt;$CI$25,NOT($CK16="")),AND($DG16&gt;$DE$25,NOT($DG16="")),AND($EC16&gt;$EA$25,NOT($EC16="")),AND($EY16&gt;$EW$25,NOT($EY16="")),AND($FU16&gt;$FS$25,NOT($FU16="")),AND($GQ16&gt;$GO$25,NOT($GQ16="")),AND($HM16&gt;$HK$25,NOT($HM16="")),AND($II16&gt;$IG$25,NOT($II16="")),AND($JE16&gt;$JC$25,NOT($JE16="")),AND($KA16&gt;$JY$25,NOT($KA16="")),AND($KW16&gt;$KU$25,NOT($KW16="")),AND($LS16&gt;$LQ$25,NOT($LS16="")))),"National Team","")))))</f>
        <v/>
      </c>
      <c r="J16" s="15">
        <f>IF(MAX(AN16,BK16)&gt;0,MAX(AN16,BK16),"")</f>
        <v>94.614999999999995</v>
      </c>
      <c r="K16" s="15" t="str">
        <f>IF(J16="","",IF(J16=BK16,$AR$1,IF(J16=AN16,$U$1,"")))</f>
        <v>2019 Elite Canada</v>
      </c>
      <c r="L16" s="15">
        <f>IF($J16=$AN16,BI16,IF($J16=$BK16,AL16,MAX(AL16,BI16)))</f>
        <v>45.234999999999999</v>
      </c>
      <c r="M16" s="15" t="str">
        <f>IF(L16="","",IF(AND(L16=BI16,$K16&lt;&gt;$AR$1),$AR$1,IF(AND(L16=AL16,$K16&lt;&gt;$U$1),$U$1,"")))</f>
        <v>2019 Nationals</v>
      </c>
      <c r="N16" s="15">
        <f>IF($J16=$AN16,BJ16,IF($J16=$BK16,AM16,MAX(AM16,BJ16)))</f>
        <v>35.414999999999999</v>
      </c>
      <c r="O16" s="15" t="str">
        <f>IF(N16="","",IF(AND(N16=BJ16,$K16&lt;&gt;$AR$1),$AR$1,IF(AND(N16=AM16,$K16&lt;&gt;$U$1),$U$1,"")))</f>
        <v>2019 Nationals</v>
      </c>
      <c r="P16" s="15">
        <f>IF(MAX(AP16,BM16)&gt;0,MAX(AP16,BM16),"")</f>
        <v>49.204999999999998</v>
      </c>
      <c r="Q16" s="15" t="str">
        <f>IF(P16="","",IF(P16=BM16,$AR$1,IF(P16=AP16,$U$1,"")))</f>
        <v>2019 Elite Canada</v>
      </c>
      <c r="R16" s="15" t="str">
        <f>IF(MAX(BO16,BP16,BQ16,BR16)&gt;0,MAX(BO16,BP16,BQ16,BR16),"")</f>
        <v/>
      </c>
      <c r="S16" s="27" t="str">
        <f>IF(R16="","",IF(R16=BO16,"(Vol 1)",IF(R16=BP16,"(Vol 2)",IF(R16=BQ16,"(Prelim)",IF(R16=BR16,"(Final)")))))</f>
        <v/>
      </c>
      <c r="T16" s="15" t="str">
        <f>IF(R16="","",IF(R16=BO16,IF(R16+IF(L16="",0,L16)=LQ16,$LA$1,IF(R16+IF(L16="",0,L16)=KU16,$KE$1,IF(R16+IF(L16="",0,L16)=JY16,$JI$1,IF(R16+IF(L16="",0,L16)=JC16,$IM$1,IF(R16+IF(L16="",0,L16)=IG16,$HQ$1,IF(R16+IF(L16="",0,L16)=HK16,$GU$1,IF(R16+IF(L16="",0,L16)=GO16,$FY$1,IF(R16+IF(L16="",0,L16)=FS16,$FC$1,IF(R16+IF(L16="",0,L16)=EW16,$EG$1,IF(R16+IF(L16="",0,L16)=EA16,$DK$1,IF(R16+IF(L16="",0,L16)=DE16,$CO$1,IF(R16+IF(L16="",0,L16)=CI16,$BS$1)))))))))))),IF(R16=BP16,IF(R16+IF(N16="",0,N16)=LR16,$LA$1,IF(R16+IF(N16="",0,N16)=KV16,$KE$1,IF(R16+IF(N16="",0,N16)=JZ16,$JI$1,IF(R16+IF(N16="",0,N16)=JD16,$IM$1,IF(R16+IF(N16="",0,N16)=IH16,$HQ$1,IF(R16+IF(N16="",0,N16)=HL16,$GU$1,IF(R16+IF(N16="",0,N16)=GP16,$FY$1,IF(R16+IF(N16="",0,N16)=FT16,$FC$1,IF(R16+IF(N16="",0,N16)=EX16,$EG$1,IF(R16+IF(N16="",0,N16)=EB16,$DK$1,IF(R16+IF(N16="",0,N16)=DF16,$CO$1,IF(R16+IF(N16="",0,N16)=CJ16,$BS$1)))))))))))),IF(R16=BQ16,IF(R16+IF(J16="",0,J16)=LS16,$LA$1,IF(R16+IF(J16="",0,J16)=KW16,$KE$1,IF(R16+IF(J16="",0,J16)=KA16,$JI$1,IF(R16+IF(J16="",0,J16)=JE16,$IM$1,IF(R16+IF(J16="",0,J16)=II16,$HQ$1,IF(R16+IF(J16="",0,J16)=HM16,$GU$1,IF(R16+IF(J16="",0,J16)=GQ16,$FY$1,IF(R16+IF(J16="",0,J16)=FU16,$FC$1,IF(R16+IF(J16="",0,J16)=EY16,$EG$1,IF(R16+IF(J16="",0,J16)=EC16,$DK$1,IF(R16+IF(J16="",0,J16)=DG16,$CO$1,IF(R16+IF(J16="",0,J16)=CK16,$BS$1)))))))))))),IF(R16=BR16,IF(R16+IF(P16="",0,P16)=LU16,$LA$1,IF(R16+IF(P16="",0,P16)=KY16,$KE$1,IF(R16+IF(P16="",0,P16)=KC16,$JI$1,IF(R16+IF(P16="",0,P16)=JG16,$IM$1,IF(R16+IF(P16="",0,P16)=IK16,$HQ$1,IF(R16+IF(P16="",0,P16)=HO16,$GU$1,IF(R16+IF(P16="",0,P16)=GS16,$FY$1,IF(R16+IF(P16="",0,P16)=FW16,$FC$1,IF(R16+IF(P16="",0,P16)=FA16,$EG$1,IF(R16+IF(P16="",0,P16)=EE16,$DK$1,IF(R16+IF(P16="",0,P16)=DI16,$CO$1,IF(R16+IF(P16="",0,P16)=CM16,$BS$1)))))))))))))))))</f>
        <v/>
      </c>
      <c r="U16" s="71">
        <v>16.899999999999999</v>
      </c>
      <c r="V16" s="71">
        <v>9.5</v>
      </c>
      <c r="W16" s="71">
        <v>3.4</v>
      </c>
      <c r="X16" s="71">
        <v>15.994999999999999</v>
      </c>
      <c r="Y16" s="71">
        <v>0</v>
      </c>
      <c r="Z16" s="71">
        <v>14</v>
      </c>
      <c r="AA16" s="71">
        <v>9.4499999999999993</v>
      </c>
      <c r="AB16" s="71">
        <v>12</v>
      </c>
      <c r="AC16" s="71">
        <v>14.87</v>
      </c>
      <c r="AD16" s="71">
        <v>1.5</v>
      </c>
      <c r="AE16" s="71">
        <v>14.8</v>
      </c>
      <c r="AF16" s="71">
        <v>8.9499999999999993</v>
      </c>
      <c r="AG16" s="71">
        <v>12</v>
      </c>
      <c r="AH16" s="71">
        <v>14.955</v>
      </c>
      <c r="AI16" s="71">
        <v>1.5</v>
      </c>
      <c r="AJ16" s="82"/>
      <c r="AK16" s="12">
        <f>IF(AB16&gt;0,AB16,"")</f>
        <v>12</v>
      </c>
      <c r="AL16" s="12">
        <f>IF(SUM(U16:X16)-Y16&gt;0,SUM(U16:X16)-Y16,"")</f>
        <v>45.794999999999995</v>
      </c>
      <c r="AM16" s="12">
        <f>IF(SUM(Z16:AC16)-AD16&gt;0,SUM(Z16:AC16)-AD16,"")</f>
        <v>48.82</v>
      </c>
      <c r="AN16" s="12">
        <f>IF(SUM(AL16:AM16)&gt;0,SUM(AL16:AM16),"")</f>
        <v>94.614999999999995</v>
      </c>
      <c r="AO16" s="12">
        <f>IF(AG16&gt;0,AG16,"")</f>
        <v>12</v>
      </c>
      <c r="AP16" s="12">
        <f>IF(SUM(AE16:AH16)-AI16&gt;0,SUM(AE16:AH16)-AI16,"")</f>
        <v>49.204999999999998</v>
      </c>
      <c r="AQ16" s="12">
        <f>IF(SUM(AN16,AP16)&gt;0,SUM(AN16,AP16),"")</f>
        <v>143.82</v>
      </c>
      <c r="AR16" s="77">
        <v>15.335000000000001</v>
      </c>
      <c r="AS16" s="77">
        <v>17.399999999999999</v>
      </c>
      <c r="AT16" s="77">
        <v>9.3000000000000007</v>
      </c>
      <c r="AU16" s="77">
        <v>3.2</v>
      </c>
      <c r="AV16" s="77">
        <v>0</v>
      </c>
      <c r="AW16" s="77">
        <v>10.7</v>
      </c>
      <c r="AX16" s="77">
        <v>6.2</v>
      </c>
      <c r="AY16" s="77">
        <v>8.3000000000000007</v>
      </c>
      <c r="AZ16" s="77">
        <v>10.215</v>
      </c>
      <c r="BA16" s="77">
        <v>0</v>
      </c>
      <c r="BB16" s="77"/>
      <c r="BC16" s="77"/>
      <c r="BD16" s="77"/>
      <c r="BE16" s="77"/>
      <c r="BF16" s="77"/>
      <c r="BG16" s="83"/>
      <c r="BH16" s="15">
        <f>IF(AY16&gt;0,AY16,"")</f>
        <v>8.3000000000000007</v>
      </c>
      <c r="BI16" s="15">
        <f>IF(SUM(AR16:AU16)-AV16&gt;0,SUM(AR16:AU16)-AV16,"")</f>
        <v>45.234999999999999</v>
      </c>
      <c r="BJ16" s="15">
        <f>IF(SUM(AW16:AZ16)-BA16&gt;0,SUM(AW16:AZ16)-BA16,"")</f>
        <v>35.414999999999999</v>
      </c>
      <c r="BK16" s="15">
        <f>IF(SUM(BI16:BJ16)&gt;0,SUM(BI16:BJ16),"")</f>
        <v>80.650000000000006</v>
      </c>
      <c r="BL16" s="15" t="str">
        <f>IF(BD16&gt;0,BD16,"")</f>
        <v/>
      </c>
      <c r="BM16" s="15" t="str">
        <f>IF(SUM(BB16:BE16)-BF16&gt;0,SUM(BB16:BE16)-BF16,"")</f>
        <v/>
      </c>
      <c r="BN16" s="15">
        <f>IF(SUM(BK16,BM16)&gt;0,SUM(BK16,BM16),"")</f>
        <v>80.650000000000006</v>
      </c>
      <c r="BO16" s="26" t="str">
        <f>IF(MAX(CI16,DE16,EA16,EW16,FS16,GO16,HK16,IG16,JC16,JY16,KU16,LQ16)-IF(L16="",0,L16)&gt;0.001,MAX(CI16,DE16,EA16,EW16,FS16,GO16,HK16,IG16,JC16,JY16,KU16,LQ16)-IF(L16="",0,L16),"")</f>
        <v/>
      </c>
      <c r="BP16" s="26" t="str">
        <f>IF(MAX(CJ16,DF16,EB16,EX16,FT16,GP16,HL16,IH16,JD16,JZ16,KV16,LR16)-IF(N16="",0,N16)&gt;0.001,MAX(CJ16,DF16,EB16,EX16,FT16,GP16,HL16,IH16,JD16,JZ16,KV16,LR16)-IF(N16="",0,N16),"")</f>
        <v/>
      </c>
      <c r="BQ16" s="26" t="str">
        <f>IF(MAX(CK16,DG16,EC16,EY16,FU16,GQ16,HM16,II16,JE16,KA16,KW16,LS16)-IF(J16="",0,J16)&gt;0.001,MAX(CK16,DG16,EC16,EY16,FU16,GQ16,HM16,II16,JE16,KA16,KW16,LS16)-IF(J16="",0,J16),"")</f>
        <v/>
      </c>
      <c r="BR16" s="26" t="str">
        <f>IF(MAX(CM16,DI16,EE16,FA16,FW16,GS16,HO16,IK16,JG16,KC16,KY16,LU16)-IF(P16="",0,P16)&gt;0.001,MAX(CM16,DI16,EE16,FA16,FW16,GS16,HO16,IK16,JG16,KC16,KY16,LU16)-IF(P16="",0,P16),"")</f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>IF(BZ16&gt;0,BZ16,"")</f>
        <v/>
      </c>
      <c r="CI16" s="12" t="str">
        <f>IF(SUM(BS16:BV16)-BW16&gt;0,SUM(BS16:BV16)-BW16,"")</f>
        <v/>
      </c>
      <c r="CJ16" s="12" t="str">
        <f>IF(SUM(BX16:CA16)-CB16&gt;0,SUM(BX16:CA16)-CB16,"")</f>
        <v/>
      </c>
      <c r="CK16" s="12" t="str">
        <f>IF(SUM(CI16:CJ16)&gt;0,SUM(CI16:CJ16),"")</f>
        <v/>
      </c>
      <c r="CL16" s="12" t="str">
        <f>IF(CE16&gt;0,CE16,"")</f>
        <v/>
      </c>
      <c r="CM16" s="12" t="str">
        <f>IF(SUM(CC16:CF16)-CG16&gt;0,SUM(CC16:CF16)-CG16,"")</f>
        <v/>
      </c>
      <c r="CN16" s="12" t="str">
        <f>IF(SUM(CK16,CM16)&gt;0,SUM(CK16,CM16),"")</f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>IF(CV16&gt;0,CV16,"")</f>
        <v/>
      </c>
      <c r="DE16" s="15" t="str">
        <f>IF(SUM(CO16:CR16)-CS16&gt;0,SUM(CO16:CR16)-CS16,"")</f>
        <v/>
      </c>
      <c r="DF16" s="15" t="str">
        <f>IF(SUM(CT16:CW16)-CX16&gt;0,SUM(CT16:CW16)-CX16,"")</f>
        <v/>
      </c>
      <c r="DG16" s="15" t="str">
        <f>IF(SUM(DE16:DF16)&gt;0,SUM(DE16:DF16),"")</f>
        <v/>
      </c>
      <c r="DH16" s="15" t="str">
        <f>IF(DA16&gt;0,DA16,"")</f>
        <v/>
      </c>
      <c r="DI16" s="15" t="str">
        <f>IF(SUM(CY16:DB16)-DC16&gt;0,SUM(CY16:DB16)-DC16,"")</f>
        <v/>
      </c>
      <c r="DJ16" s="15" t="str">
        <f>IF(SUM(DG16,DI16)&gt;0,SUM(DG16,DI16),"")</f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>IF(DR16&gt;0,DR16,"")</f>
        <v/>
      </c>
      <c r="EA16" s="12" t="str">
        <f>IF(SUM(DK16:DN16)-DO16&gt;0,SUM(DK16:DN16)-DO16,"")</f>
        <v/>
      </c>
      <c r="EB16" s="12" t="str">
        <f>IF(SUM(DP16:DS16)-DT16&gt;0,SUM(DP16:DS16)-DT16,"")</f>
        <v/>
      </c>
      <c r="EC16" s="12" t="str">
        <f>IF(SUM(EA16:EB16)&gt;0,SUM(EA16:EB16),"")</f>
        <v/>
      </c>
      <c r="ED16" s="12" t="str">
        <f>IF(DW16&gt;0,DW16,"")</f>
        <v/>
      </c>
      <c r="EE16" s="12" t="str">
        <f>IF(SUM(DU16:DX16)-DY16&gt;0,SUM(DU16:DX16)-DY16,"")</f>
        <v/>
      </c>
      <c r="EF16" s="12" t="str">
        <f>IF(SUM(EC16,EE16)&gt;0,SUM(EC16,EE16),"")</f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>IF(EN16&gt;0,EN16,"")</f>
        <v/>
      </c>
      <c r="EW16" s="15" t="str">
        <f>IF(SUM(EG16:EJ16)-EK16&gt;0,SUM(EG16:EJ16)-EK16,"")</f>
        <v/>
      </c>
      <c r="EX16" s="15" t="str">
        <f>IF(SUM(EL16:EO16)-EP16&gt;0,SUM(EL16:EO16)-EP16,"")</f>
        <v/>
      </c>
      <c r="EY16" s="15" t="str">
        <f>IF(SUM(EW16:EX16)&gt;0,SUM(EW16:EX16),"")</f>
        <v/>
      </c>
      <c r="EZ16" s="15" t="str">
        <f>IF(ES16&gt;0,ES16,"")</f>
        <v/>
      </c>
      <c r="FA16" s="15" t="str">
        <f>IF(SUM(EQ16:ET16)-EU16&gt;0,SUM(EQ16:ET16)-EU16,"")</f>
        <v/>
      </c>
      <c r="FB16" s="15" t="str">
        <f>IF(SUM(EY16,FA16)&gt;0,SUM(EY16,FA16),"")</f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>IF(FJ16&gt;0,FJ16,"")</f>
        <v/>
      </c>
      <c r="FS16" s="12" t="str">
        <f>IF(SUM(FC16:FF16)-FG16&gt;0,SUM(FC16:FF16)-FG16,"")</f>
        <v/>
      </c>
      <c r="FT16" s="12" t="str">
        <f>IF(SUM(FH16:FK16)-FL16&gt;0,SUM(FH16:FK16)-FL16,"")</f>
        <v/>
      </c>
      <c r="FU16" s="12" t="str">
        <f>IF(SUM(FS16:FT16)&gt;0,SUM(FS16:FT16),"")</f>
        <v/>
      </c>
      <c r="FV16" s="12" t="str">
        <f>IF(FO16&gt;0,FO16,"")</f>
        <v/>
      </c>
      <c r="FW16" s="12" t="str">
        <f>IF(SUM(FM16:FP16)-FQ16&gt;0,SUM(FM16:FP16)-FQ16,"")</f>
        <v/>
      </c>
      <c r="FX16" s="12" t="str">
        <f>IF(SUM(FU16,FW16)&gt;0,SUM(FU16,FW16),"")</f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>IF(GF16&gt;0,GF16,"")</f>
        <v/>
      </c>
      <c r="GO16" s="15" t="str">
        <f>IF(SUM(FY16:GB16)-GC16&gt;0,SUM(FY16:GB16)-GC16,"")</f>
        <v/>
      </c>
      <c r="GP16" s="15" t="str">
        <f>IF(SUM(GD16:GG16)-GH16&gt;0,SUM(GD16:GG16)-GH16,"")</f>
        <v/>
      </c>
      <c r="GQ16" s="15" t="str">
        <f>IF(SUM(GO16:GP16)&gt;0,SUM(GO16:GP16),"")</f>
        <v/>
      </c>
      <c r="GR16" s="15" t="str">
        <f>IF(GK16&gt;0,GK16,"")</f>
        <v/>
      </c>
      <c r="GS16" s="15" t="str">
        <f>IF(SUM(GI16:GL16)-GM16&gt;0,SUM(GI16:GL16)-GM16,"")</f>
        <v/>
      </c>
      <c r="GT16" s="15" t="str">
        <f>IF(SUM(GQ16,GS16)&gt;0,SUM(GQ16,GS16),"")</f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>IF(HB16&gt;0,HB16,"")</f>
        <v/>
      </c>
      <c r="HK16" s="12" t="str">
        <f>IF(SUM(GU16:GX16)-GY16&gt;0,SUM(GU16:GX16)-GY16,"")</f>
        <v/>
      </c>
      <c r="HL16" s="12" t="str">
        <f>IF(SUM(GZ16:HC16)-HD16&gt;0,SUM(GZ16:HC16)-HD16,"")</f>
        <v/>
      </c>
      <c r="HM16" s="12" t="str">
        <f>IF(SUM(HK16:HL16)&gt;0,SUM(HK16:HL16),"")</f>
        <v/>
      </c>
      <c r="HN16" s="12" t="str">
        <f>IF(HG16&gt;0,HG16,"")</f>
        <v/>
      </c>
      <c r="HO16" s="12" t="str">
        <f>IF(SUM(HE16:HH16)-HI16&gt;0,SUM(HE16:HH16)-HI16,"")</f>
        <v/>
      </c>
      <c r="HP16" s="12" t="str">
        <f>IF(SUM(HM16,HO16)&gt;0,SUM(HM16,HO16),"")</f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>IF(HX16&gt;0,HX16,"")</f>
        <v/>
      </c>
      <c r="IG16" s="15" t="str">
        <f>IF(SUM(HQ16:HT16)-HU16&gt;0,SUM(HQ16:HT16)-HU16,"")</f>
        <v/>
      </c>
      <c r="IH16" s="15" t="str">
        <f>IF(SUM(HV16:HY16)-HZ16&gt;0,SUM(HV16:HY16)-HZ16,"")</f>
        <v/>
      </c>
      <c r="II16" s="15" t="str">
        <f>IF(SUM(IG16:IH16)&gt;0,SUM(IG16:IH16),"")</f>
        <v/>
      </c>
      <c r="IJ16" s="15" t="str">
        <f>IF(IC16&gt;0,IC16,"")</f>
        <v/>
      </c>
      <c r="IK16" s="15" t="str">
        <f>IF(SUM(IA16:ID16)-IE16&gt;0,SUM(IA16:ID16)-IE16,"")</f>
        <v/>
      </c>
      <c r="IL16" s="15" t="str">
        <f>IF(SUM(II16,IK16)&gt;0,SUM(II16,IK16),"")</f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>IF(IT16&gt;0,IT16,"")</f>
        <v/>
      </c>
      <c r="JC16" s="12" t="str">
        <f>IF(SUM(IM16:IP16)-IQ16&gt;0,SUM(IM16:IP16)-IQ16,"")</f>
        <v/>
      </c>
      <c r="JD16" s="12" t="str">
        <f>IF(SUM(IR16:IU16)-IV16&gt;0,SUM(IR16:IU16)-IV16,"")</f>
        <v/>
      </c>
      <c r="JE16" s="12" t="str">
        <f>IF(SUM(JC16:JD16)&gt;0,SUM(JC16:JD16),"")</f>
        <v/>
      </c>
      <c r="JF16" s="12" t="str">
        <f>IF(IY16&gt;0,IY16,"")</f>
        <v/>
      </c>
      <c r="JG16" s="12" t="str">
        <f>IF(SUM(IW16:IZ16)-JA16&gt;0,SUM(IW16:IZ16)-JA16,"")</f>
        <v/>
      </c>
      <c r="JH16" s="12" t="str">
        <f>IF(SUM(JE16,JG16)&gt;0,SUM(JE16,JG16),"")</f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>IF(JP16&gt;0,JP16,"")</f>
        <v/>
      </c>
      <c r="JY16" s="15" t="str">
        <f>IF(SUM(JI16:JL16)-JM16&gt;0,SUM(JI16:JL16)-JM16,"")</f>
        <v/>
      </c>
      <c r="JZ16" s="15" t="str">
        <f>IF(SUM(JN16:JQ16)-JR16&gt;0,SUM(JN16:JQ16)-JR16,"")</f>
        <v/>
      </c>
      <c r="KA16" s="15" t="str">
        <f>IF(SUM(JY16:JZ16)&gt;0,SUM(JY16:JZ16),"")</f>
        <v/>
      </c>
      <c r="KB16" s="15" t="str">
        <f>IF(JU16&gt;0,JU16,"")</f>
        <v/>
      </c>
      <c r="KC16" s="15" t="str">
        <f>IF(SUM(JS16:JV16)-JW16&gt;0,SUM(JS16:JV16)-JW16,"")</f>
        <v/>
      </c>
      <c r="KD16" s="15" t="str">
        <f>IF(SUM(KA16,KC16)&gt;0,SUM(KA16,KC16),"")</f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>IF(KL16&gt;0,KL16,"")</f>
        <v/>
      </c>
      <c r="KU16" s="12" t="str">
        <f>IF(SUM(KE16:KH16)-KI16&gt;0,SUM(KE16:KH16)-KI16,"")</f>
        <v/>
      </c>
      <c r="KV16" s="12" t="str">
        <f>IF(SUM(KJ16:KM16)-KN16&gt;0,SUM(KJ16:KM16)-KN16,"")</f>
        <v/>
      </c>
      <c r="KW16" s="12" t="str">
        <f>IF(SUM(KU16:KV16)&gt;0,SUM(KU16:KV16),"")</f>
        <v/>
      </c>
      <c r="KX16" s="12" t="str">
        <f>IF(KQ16&gt;0,KQ16,"")</f>
        <v/>
      </c>
      <c r="KY16" s="12" t="str">
        <f>IF(SUM(KO16:KR16)-KS16&gt;0,SUM(KO16:KR16)-KS16,"")</f>
        <v/>
      </c>
      <c r="KZ16" s="12" t="str">
        <f>IF(SUM(KW16,KY16)&gt;0,SUM(KW16,KY16),"")</f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>IF(LH16&gt;0,LH16,"")</f>
        <v/>
      </c>
      <c r="LQ16" s="15" t="str">
        <f>IF(SUM(LA16:LD16)-LE16&gt;0,SUM(LA16:LD16)-LE16,"")</f>
        <v/>
      </c>
      <c r="LR16" s="15" t="str">
        <f>IF(SUM(LF16:LI16)-LJ16&gt;0,SUM(LF16:LI16)-LJ16,"")</f>
        <v/>
      </c>
      <c r="LS16" s="15" t="str">
        <f>IF(SUM(LQ16:LR16)&gt;0,SUM(LQ16:LR16),"")</f>
        <v/>
      </c>
      <c r="LT16" s="15" t="str">
        <f>IF(LM16&gt;0,LM16,"")</f>
        <v/>
      </c>
      <c r="LU16" s="15" t="str">
        <f>IF(SUM(LK16:LN16)-LO16&gt;0,SUM(LK16:LN16)-LO16,"")</f>
        <v/>
      </c>
      <c r="LV16" s="15" t="str">
        <f>IF(SUM(LS16,LU16)&gt;0,SUM(LS16,LU16),"")</f>
        <v/>
      </c>
      <c r="LW16" s="71">
        <f t="shared" si="0"/>
        <v>16.1175</v>
      </c>
      <c r="LX16" s="71">
        <f t="shared" si="1"/>
        <v>13.45</v>
      </c>
      <c r="LY16" s="71">
        <f t="shared" si="2"/>
        <v>6.3500000000000005</v>
      </c>
      <c r="LZ16" s="71">
        <f t="shared" si="3"/>
        <v>9.5975000000000001</v>
      </c>
      <c r="MA16" s="71">
        <f t="shared" si="4"/>
        <v>0</v>
      </c>
      <c r="MB16" s="71">
        <f t="shared" si="5"/>
        <v>12.35</v>
      </c>
      <c r="MC16" s="71">
        <f t="shared" si="6"/>
        <v>7.8249999999999993</v>
      </c>
      <c r="MD16" s="71">
        <f t="shared" si="7"/>
        <v>10.15</v>
      </c>
      <c r="ME16" s="71">
        <f t="shared" si="8"/>
        <v>12.5425</v>
      </c>
      <c r="MF16" s="71">
        <f t="shared" si="9"/>
        <v>0.75</v>
      </c>
      <c r="MG16" s="71">
        <f t="shared" si="10"/>
        <v>7.4</v>
      </c>
      <c r="MH16" s="71">
        <f t="shared" si="11"/>
        <v>4.4749999999999996</v>
      </c>
      <c r="MI16" s="71">
        <f t="shared" si="12"/>
        <v>6</v>
      </c>
      <c r="MJ16" s="71">
        <f t="shared" si="13"/>
        <v>7.4775</v>
      </c>
      <c r="MK16" s="71">
        <f t="shared" si="14"/>
        <v>0.75</v>
      </c>
      <c r="ML16" s="82" t="s">
        <v>96</v>
      </c>
      <c r="MM16" s="12">
        <f t="shared" si="15"/>
        <v>10.15</v>
      </c>
      <c r="MN16" s="12">
        <f t="shared" si="16"/>
        <v>45.515000000000001</v>
      </c>
      <c r="MO16" s="12">
        <f t="shared" si="17"/>
        <v>42.117499999999993</v>
      </c>
      <c r="MP16" s="12">
        <f t="shared" si="18"/>
        <v>87.632499999999993</v>
      </c>
      <c r="MQ16" s="12">
        <f t="shared" si="21"/>
        <v>6</v>
      </c>
      <c r="MR16" s="12">
        <f t="shared" si="19"/>
        <v>24.602499999999999</v>
      </c>
      <c r="MS16" s="12">
        <f t="shared" si="20"/>
        <v>112.23499999999999</v>
      </c>
    </row>
    <row r="17" spans="1:357" x14ac:dyDescent="0.2">
      <c r="A17" s="6" t="str">
        <f>IF(AND(F17="P",H17="P"),SUMPRODUCT((F$4:F$21="P")*(H$4:H$21="P")*(E$4:E$21&gt;E17))+1,IF(H17="P",SUMPRODUCT((F$4:F$21="")*(H$4:H$21="P")*(E$4:E$21&gt;E17))+1+SUMPRODUCT((F$4:F$21="P")*(H$4:H$21="P")),""))</f>
        <v/>
      </c>
      <c r="B17" s="9" t="s">
        <v>7</v>
      </c>
      <c r="C17" s="5" t="s">
        <v>5</v>
      </c>
      <c r="D17" s="29">
        <v>1993</v>
      </c>
      <c r="E17" s="16">
        <f>SUM(J17:R17)</f>
        <v>217.84000000000003</v>
      </c>
      <c r="F17" s="4" t="str">
        <f>IF(OR(AND($AK17&gt;=$AL$23,NOT($AK17=""),$AJ17=""),AND($BH17&gt;=$BI$23,NOT($BH17=""),$BG17=""),AND($CH17&gt;=$CI$23,NOT($CH17="")),AND($DD17&gt;=$DE$23,NOT($DD17="")),AND($DZ17&gt;=$EA$23,NOT($DZ17="")),AND($EV17&gt;=$EW$23,NOT($EV17="")),AND($FR17&gt;=$FS$23,NOT($FR17="")),AND($GN17&gt;=$GO$23,NOT($GN17="")),AND($HJ17&gt;=$HK$23,NOT($HJ17="")),AND($IF17&gt;=$IG$23,NOT($IF17="")),AND($JB17&gt;=$JC$23,NOT($JB17="")),AND($JX17&gt;=$JY$23,NOT($JX17="")),AND($KT17&gt;=$KU$23,NOT($KT17="")),AND($LP17&gt;=$LQ$23,NOT($LP17="")),AND($AO17&gt;=$AL$23,NOT($AO17=""),$AJ17=""),AND($BL17&gt;=$BI$23,NOT($BL17=""),$BG17=""),AND($CL17&gt;=$CI$23,NOT($CL17="")),AND($DH17&gt;=$DE$23,NOT($DH17="")),AND($ED17&gt;=$EA$23,NOT($ED17="")),AND($EZ17&gt;=$EW$23,NOT($EZ17="")),AND($FV17&gt;=$FS$23,NOT($FV17="")),AND($GR17&gt;=$GO$23,NOT($GR17="")),AND($HN17&gt;=$HK$23,NOT($HN17="")),AND($IJ17&gt;=$IG$23,NOT($IJ17="")),AND($JF17&gt;=$JC$23,NOT($JF17="")),AND($KB17&gt;=$JY$23,NOT($KB17="")),AND($KX17&gt;=$KU$23,NOT($KX17="")),AND($LT17&gt;=$LQ$23,NOT($LT17=""))),"P","")</f>
        <v/>
      </c>
      <c r="G17" s="4" t="str">
        <f>IF(OR(AND($AK17&gt;=$AL$24,NOT($AK17=""),$AJ17=""),AND($BH17&gt;=$BI$24,NOT($BH17=""),$BG17=""),AND($CH17&gt;=$CI$24,NOT($CH17="")),AND($DD17&gt;=$DE$24,NOT($DD17="")),AND($DZ17&gt;=$EA$24,NOT($DZ17="")),AND($EV17&gt;=$EW$24,NOT($EV17="")),AND($FR17&gt;=$FS$24,NOT($FR17="")),AND($GN17&gt;=$GO$24,NOT($GN17="")),AND($HJ17&gt;=$HK$24,NOT($HJ17="")),AND($IF17&gt;=$IG$24,NOT($IF17="")),AND($JB17&gt;=$JC$24,NOT($JB17="")),AND($JX17&gt;=$JY$24,NOT($JX17="")),AND($KT17&gt;=$KU$24,NOT($KT17="")),AND($LP17&gt;=$LQ$24,NOT($LP17="")),AND($AO17&gt;=$AL$24,NOT($AO17=""),$AJ17=""),AND($BL17&gt;=$BI$24,NOT($BL17=""),$BG17=""),AND($CL17&gt;=$CI$24,NOT($CL17="")),AND($DH17&gt;=$DE$24,NOT($DH17="")),AND($ED17&gt;=$EA$24,NOT($ED17="")),AND($EZ17&gt;=$EW$24,NOT($EZ17="")),AND($FV17&gt;=$FS$24,NOT($FV17="")),AND($GR17&gt;=$GO$24,NOT($GR17="")),AND($HN17&gt;=$HK$24,NOT($HN17="")),AND($IJ17&gt;=$IG$24,NOT($IJ17="")),AND($JF17&gt;=$JC$24,NOT($JF17="")),AND($KB17&gt;=$JY$24,NOT($KB17="")),AND($KX17&gt;=$KU$24,NOT($KX17="")),AND($LT17&gt;=$LQ$24,NOT($LT17=""))),"P","")</f>
        <v/>
      </c>
      <c r="H17" s="4" t="str">
        <f>IF(OR(AND($AN17&gt;=$AL$25,NOT($AN17=""),$AJ17=""),AND($BK17&gt;=$BI$25,NOT($BK17=""),$BG17=""),AND($CK17&gt;=$CI$25,NOT($CK17="")),AND($DG17&gt;=$DE$25,NOT($DG17="")),AND($EC17&gt;=$EA$25,NOT($EC17="")),AND($EY17&gt;=$EW$25,NOT($EY17="")),AND($FU17&gt;=$FS$25,NOT($FU17="")),AND($GQ17&gt;=$GO$25,NOT($GQ17="")),AND($HM17&gt;=$HK$25,NOT($HM17="")),AND($II17&gt;=$IG$25,NOT($II17="")),AND($JE17&gt;=$JC$25,NOT($JE17="")),AND($KA17&gt;=$JY$25,NOT($KA17="")),AND($KW17&gt;=$KU$25,NOT($KW17="")),AND($LS17&gt;=$LQ$25,NOT($LS17=""))),"P","")</f>
        <v/>
      </c>
      <c r="I17" t="str">
        <f>IF(AND(H17="P",F17=""),"No DD",IF(AND(G17="P",OR(AND($AM17&gt;$AL$28,NOT($AM17=""),$AJ17=""),AND($AP17&gt;$AL$28,NOT($AP17=""),$AJ17=""),AND($BJ17&gt;$BI$28,NOT($BJ17=""),$BG17=""),AND($BM17&gt;$BI$28,NOT($BM17=""),$BG17=""),AND($CJ17&gt;$CI$28,NOT($CJ17="")),AND($CM17&gt;$CI$28,NOT($CM17="")),AND($DF17&gt;$DE$28,NOT($DF17="")),AND($DI17&gt;$DE$28,NOT($DI17="")),AND($EB17&gt;$EA$28,NOT($EB17="")),AND($EE17&gt;$EA$28,NOT($EE17="")),AND($EX17&gt;$EW$28,NOT($EX17="")),AND($FA17&gt;$EW$28,NOT($FA17="")),AND($FT17&gt;$FS$28,NOT($FT17="")),AND($FW17&gt;$FS$28,NOT($FW17="")),AND($GP17&gt;$GO$28,NOT($GP17="")),AND($GS17&gt;$GO$28,NOT($GS17="")),AND($HL17&gt;$HK$28,NOT($HL17="")),AND($HO17&gt;$HK$28,NOT($HO17="")),AND($IH17&gt;$IG$28,NOT($IH17="")),AND($IK17&gt;$IG$28,NOT($IK17="")),AND($JD17&gt;$JC$28,NOT($JD17="")),AND($JG17&gt;$JC$28,NOT($JG17="")),AND($JZ17&gt;$JY$28,NOT($JZ17="")),AND($KC17&gt;$JY$28,NOT($KC17="")),AND($KV17&gt;$KU$28,NOT($KV17="")),AND($KY17&gt;$KU$28,NOT($KY17="")),AND($LR17&gt;$LQ$28,NOT($LR17="")),AND($LU17&gt;$LQ$28,NOT($LU17="")))),"Merit",IF(AND(G17="P",OR(AND($AN17&gt;$AL$27,NOT($AN17=""),$AJ17=""),AND($BK17&gt;$BI$27,NOT($BK17=""),$BG17=""),AND($CK17&gt;$CI$27,NOT($CK17="")),AND($DG17&gt;$DE$27,NOT($DG17="")),AND($EC17&gt;$EA$27,NOT($EC17="")),AND($EY17&gt;$EW$27,NOT($EY17="")),AND($FU17&gt;$FS$27,NOT($FU17="")),AND($GQ17&gt;$GO$27,NOT($GQ17="")),AND($HM17&gt;$HK$27,NOT($HM17="")),AND($II17&gt;$IG$27,NOT($II17="")),AND($JE17&gt;$JC$27,NOT($JE17="")),AND($KA17&gt;$JY$27,NOT($KA17="")),AND($KW17&gt;$KU$27,NOT($KW17="")),AND($LS17&gt;$LQ$27,NOT($LS17="")))),"Excellence",IF(AND(G17="P",OR(AND($AN17&gt;$AL$26,NOT($AN17=""),$AJ17=""),AND($BK17&gt;$BI$26,NOT($BK17=""),$BG17=""),AND($CK17&gt;$CI$26,NOT($CK17="")),AND($DG17&gt;$DE$26,NOT($DG17="")),AND($EC17&gt;$EA$26,NOT($EC17="")),AND($EY17&gt;$EW$26,NOT($EY17="")),AND($FU17&gt;$FS$26,NOT($FU17="")),AND($GQ17&gt;$GO$26,NOT($GQ17="")),AND($HM17&gt;$HK$26,NOT($HM17="")),AND($II17&gt;$IG$26,NOT($II17="")),AND($JE17&gt;$JC$26,NOT($JE17="")),AND($KA17&gt;$JY$26,NOT($KA17="")),AND($KW17&gt;$KU$26,NOT($KW17="")),AND($LS17&gt;$LQ$26,NOT($LS17="")))),"Worlds Team",IF(AND(F17="P",OR(AND($AN17&gt;$AL$25,NOT($AN17=""),$AJ17=""),AND($BK17&gt;$BI$25,NOT($BK17=""),$BG17=""),AND($CK17&gt;$CI$25,NOT($CK17="")),AND($DG17&gt;$DE$25,NOT($DG17="")),AND($EC17&gt;$EA$25,NOT($EC17="")),AND($EY17&gt;$EW$25,NOT($EY17="")),AND($FU17&gt;$FS$25,NOT($FU17="")),AND($GQ17&gt;$GO$25,NOT($GQ17="")),AND($HM17&gt;$HK$25,NOT($HM17="")),AND($II17&gt;$IG$25,NOT($II17="")),AND($JE17&gt;$JC$25,NOT($JE17="")),AND($KA17&gt;$JY$25,NOT($KA17="")),AND($KW17&gt;$KU$25,NOT($KW17="")),AND($LS17&gt;$LQ$25,NOT($LS17="")))),"National Team","")))))</f>
        <v/>
      </c>
      <c r="J17" s="15">
        <f>IF(MAX(AN17,BK17)&gt;0,MAX(AN17,BK17),"")</f>
        <v>102.05000000000001</v>
      </c>
      <c r="K17" s="15" t="str">
        <f>IF(J17="","",IF(J17=BK17,$AR$1,IF(J17=AN17,$U$1,"")))</f>
        <v>2019 Nationals</v>
      </c>
      <c r="L17" s="15">
        <f>IF($J17=$AN17,BI17,IF($J17=$BK17,AL17,MAX(AL17,BI17)))</f>
        <v>47.650000000000006</v>
      </c>
      <c r="M17" s="15" t="str">
        <f>IF(L17="","",IF(AND(L17=BI17,$K17&lt;&gt;$AR$1),$AR$1,IF(AND(L17=AL17,$K17&lt;&gt;$U$1),$U$1,"")))</f>
        <v>2019 Elite Canada</v>
      </c>
      <c r="N17" s="15">
        <f>IF($J17=$AN17,BJ17,IF($J17=$BK17,AM17,MAX(AM17,BJ17)))</f>
        <v>16.564999999999998</v>
      </c>
      <c r="O17" s="15" t="str">
        <f>IF(N17="","",IF(AND(N17=BJ17,$K17&lt;&gt;$AR$1),$AR$1,IF(AND(N17=AM17,$K17&lt;&gt;$U$1),$U$1,"")))</f>
        <v>2019 Elite Canada</v>
      </c>
      <c r="P17" s="15">
        <f>IF(MAX(AP17,BM17)&gt;0,MAX(AP17,BM17),"")</f>
        <v>51.575000000000003</v>
      </c>
      <c r="Q17" s="15" t="str">
        <f>IF(P17="","",IF(P17=BM17,$AR$1,IF(P17=AP17,$U$1,"")))</f>
        <v>2019 Nationals</v>
      </c>
      <c r="R17" s="15" t="str">
        <f>IF(MAX(BO17,BP17,BQ17,BR17)&gt;0,MAX(BO17,BP17,BQ17,BR17),"")</f>
        <v/>
      </c>
      <c r="S17" s="27" t="str">
        <f>IF(R17="","",IF(R17=BO17,"(Vol 1)",IF(R17=BP17,"(Vol 2)",IF(R17=BQ17,"(Prelim)",IF(R17=BR17,"(Final)")))))</f>
        <v/>
      </c>
      <c r="T17" s="15" t="str">
        <f>IF(R17="","",IF(R17=BO17,IF(R17+IF(L17="",0,L17)=LQ17,$LA$1,IF(R17+IF(L17="",0,L17)=KU17,$KE$1,IF(R17+IF(L17="",0,L17)=JY17,$JI$1,IF(R17+IF(L17="",0,L17)=JC17,$IM$1,IF(R17+IF(L17="",0,L17)=IG17,$HQ$1,IF(R17+IF(L17="",0,L17)=HK17,$GU$1,IF(R17+IF(L17="",0,L17)=GO17,$FY$1,IF(R17+IF(L17="",0,L17)=FS17,$FC$1,IF(R17+IF(L17="",0,L17)=EW17,$EG$1,IF(R17+IF(L17="",0,L17)=EA17,$DK$1,IF(R17+IF(L17="",0,L17)=DE17,$CO$1,IF(R17+IF(L17="",0,L17)=CI17,$BS$1)))))))))))),IF(R17=BP17,IF(R17+IF(N17="",0,N17)=LR17,$LA$1,IF(R17+IF(N17="",0,N17)=KV17,$KE$1,IF(R17+IF(N17="",0,N17)=JZ17,$JI$1,IF(R17+IF(N17="",0,N17)=JD17,$IM$1,IF(R17+IF(N17="",0,N17)=IH17,$HQ$1,IF(R17+IF(N17="",0,N17)=HL17,$GU$1,IF(R17+IF(N17="",0,N17)=GP17,$FY$1,IF(R17+IF(N17="",0,N17)=FT17,$FC$1,IF(R17+IF(N17="",0,N17)=EX17,$EG$1,IF(R17+IF(N17="",0,N17)=EB17,$DK$1,IF(R17+IF(N17="",0,N17)=DF17,$CO$1,IF(R17+IF(N17="",0,N17)=CJ17,$BS$1)))))))))))),IF(R17=BQ17,IF(R17+IF(J17="",0,J17)=LS17,$LA$1,IF(R17+IF(J17="",0,J17)=KW17,$KE$1,IF(R17+IF(J17="",0,J17)=KA17,$JI$1,IF(R17+IF(J17="",0,J17)=JE17,$IM$1,IF(R17+IF(J17="",0,J17)=II17,$HQ$1,IF(R17+IF(J17="",0,J17)=HM17,$GU$1,IF(R17+IF(J17="",0,J17)=GQ17,$FY$1,IF(R17+IF(J17="",0,J17)=FU17,$FC$1,IF(R17+IF(J17="",0,J17)=EY17,$EG$1,IF(R17+IF(J17="",0,J17)=EC17,$DK$1,IF(R17+IF(J17="",0,J17)=DG17,$CO$1,IF(R17+IF(J17="",0,J17)=CK17,$BS$1)))))))))))),IF(R17=BR17,IF(R17+IF(P17="",0,P17)=LU17,$LA$1,IF(R17+IF(P17="",0,P17)=KY17,$KE$1,IF(R17+IF(P17="",0,P17)=KC17,$JI$1,IF(R17+IF(P17="",0,P17)=JG17,$IM$1,IF(R17+IF(P17="",0,P17)=IK17,$HQ$1,IF(R17+IF(P17="",0,P17)=HO17,$GU$1,IF(R17+IF(P17="",0,P17)=GS17,$FY$1,IF(R17+IF(P17="",0,P17)=FW17,$FC$1,IF(R17+IF(P17="",0,P17)=FA17,$EG$1,IF(R17+IF(P17="",0,P17)=EE17,$DK$1,IF(R17+IF(P17="",0,P17)=DI17,$CO$1,IF(R17+IF(P17="",0,P17)=CM17,$BS$1)))))))))))))))))</f>
        <v/>
      </c>
      <c r="U17" s="71">
        <v>16.600000000000001</v>
      </c>
      <c r="V17" s="71">
        <v>9.4499999999999993</v>
      </c>
      <c r="W17" s="71">
        <v>4.8</v>
      </c>
      <c r="X17" s="71">
        <v>16.8</v>
      </c>
      <c r="Y17" s="71">
        <v>0</v>
      </c>
      <c r="Z17" s="71">
        <v>3.9</v>
      </c>
      <c r="AA17" s="71">
        <v>2.5499999999999998</v>
      </c>
      <c r="AB17" s="71">
        <v>5.0999999999999996</v>
      </c>
      <c r="AC17" s="71">
        <v>5.0149999999999997</v>
      </c>
      <c r="AD17" s="71">
        <v>0</v>
      </c>
      <c r="AE17" s="71"/>
      <c r="AF17" s="71"/>
      <c r="AG17" s="71"/>
      <c r="AH17" s="71"/>
      <c r="AI17" s="71"/>
      <c r="AJ17" s="82"/>
      <c r="AK17" s="12">
        <f>IF(AB17&gt;0,AB17,"")</f>
        <v>5.0999999999999996</v>
      </c>
      <c r="AL17" s="12">
        <f>IF(SUM(U17:X17)-Y17&gt;0,SUM(U17:X17)-Y17,"")</f>
        <v>47.650000000000006</v>
      </c>
      <c r="AM17" s="12">
        <f>IF(SUM(Z17:AC17)-AD17&gt;0,SUM(Z17:AC17)-AD17,"")</f>
        <v>16.564999999999998</v>
      </c>
      <c r="AN17" s="12">
        <f>IF(SUM(AL17:AM17)&gt;0,SUM(AL17:AM17),"")</f>
        <v>64.215000000000003</v>
      </c>
      <c r="AO17" s="12" t="str">
        <f>IF(AG17&gt;0,AG17,"")</f>
        <v/>
      </c>
      <c r="AP17" s="12" t="str">
        <f>IF(SUM(AE17:AH17)-AI17&gt;0,SUM(AE17:AH17)-AI17,"")</f>
        <v/>
      </c>
      <c r="AQ17" s="12">
        <f>IF(SUM(AN17,AP17)&gt;0,SUM(AN17,AP17),"")</f>
        <v>64.215000000000003</v>
      </c>
      <c r="AR17" s="77">
        <v>18.3</v>
      </c>
      <c r="AS17" s="77">
        <v>9.3000000000000007</v>
      </c>
      <c r="AT17" s="77">
        <v>5</v>
      </c>
      <c r="AU17" s="77">
        <v>16.295000000000002</v>
      </c>
      <c r="AV17" s="77">
        <v>0</v>
      </c>
      <c r="AW17" s="77">
        <v>14.6</v>
      </c>
      <c r="AX17" s="77">
        <v>9.3000000000000007</v>
      </c>
      <c r="AY17" s="77">
        <v>13.8</v>
      </c>
      <c r="AZ17" s="77">
        <v>15.455</v>
      </c>
      <c r="BA17" s="77">
        <v>0</v>
      </c>
      <c r="BB17" s="77">
        <v>14.84</v>
      </c>
      <c r="BC17" s="77">
        <v>8.8000000000000007</v>
      </c>
      <c r="BD17" s="77">
        <v>13.1</v>
      </c>
      <c r="BE17" s="77">
        <v>15.234999999999999</v>
      </c>
      <c r="BF17" s="77">
        <v>0.4</v>
      </c>
      <c r="BG17" s="83"/>
      <c r="BH17" s="15">
        <f>IF(AY17&gt;0,AY17,"")</f>
        <v>13.8</v>
      </c>
      <c r="BI17" s="15">
        <f>IF(SUM(AR17:AU17)-AV17&gt;0,SUM(AR17:AU17)-AV17,"")</f>
        <v>48.895000000000003</v>
      </c>
      <c r="BJ17" s="15">
        <f>IF(SUM(AW17:AZ17)-BA17&gt;0,SUM(AW17:AZ17)-BA17,"")</f>
        <v>53.155000000000001</v>
      </c>
      <c r="BK17" s="15">
        <f>IF(SUM(BI17:BJ17)&gt;0,SUM(BI17:BJ17),"")</f>
        <v>102.05000000000001</v>
      </c>
      <c r="BL17" s="15">
        <f>IF(BD17&gt;0,BD17,"")</f>
        <v>13.1</v>
      </c>
      <c r="BM17" s="15">
        <f>IF(SUM(BB17:BE17)-BF17&gt;0,SUM(BB17:BE17)-BF17,"")</f>
        <v>51.575000000000003</v>
      </c>
      <c r="BN17" s="15">
        <f>IF(SUM(BK17,BM17)&gt;0,SUM(BK17,BM17),"")</f>
        <v>153.625</v>
      </c>
      <c r="BO17" s="26" t="str">
        <f>IF(MAX(CI17,DE17,EA17,EW17,FS17,GO17,HK17,IG17,JC17,JY17,KU17,LQ17)-IF(L17="",0,L17)&gt;0.001,MAX(CI17,DE17,EA17,EW17,FS17,GO17,HK17,IG17,JC17,JY17,KU17,LQ17)-IF(L17="",0,L17),"")</f>
        <v/>
      </c>
      <c r="BP17" s="26" t="str">
        <f>IF(MAX(CJ17,DF17,EB17,EX17,FT17,GP17,HL17,IH17,JD17,JZ17,KV17,LR17)-IF(N17="",0,N17)&gt;0.001,MAX(CJ17,DF17,EB17,EX17,FT17,GP17,HL17,IH17,JD17,JZ17,KV17,LR17)-IF(N17="",0,N17),"")</f>
        <v/>
      </c>
      <c r="BQ17" s="26" t="str">
        <f>IF(MAX(CK17,DG17,EC17,EY17,FU17,GQ17,HM17,II17,JE17,KA17,KW17,LS17)-IF(J17="",0,J17)&gt;0.001,MAX(CK17,DG17,EC17,EY17,FU17,GQ17,HM17,II17,JE17,KA17,KW17,LS17)-IF(J17="",0,J17),"")</f>
        <v/>
      </c>
      <c r="BR17" s="26" t="str">
        <f>IF(MAX(CM17,DI17,EE17,FA17,FW17,GS17,HO17,IK17,JG17,KC17,KY17,LU17)-IF(P17="",0,P17)&gt;0.001,MAX(CM17,DI17,EE17,FA17,FW17,GS17,HO17,IK17,JG17,KC17,KY17,LU17)-IF(P17="",0,P17),"")</f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>IF(BZ17&gt;0,BZ17,"")</f>
        <v/>
      </c>
      <c r="CI17" s="12" t="str">
        <f>IF(SUM(BS17:BV17)-BW17&gt;0,SUM(BS17:BV17)-BW17,"")</f>
        <v/>
      </c>
      <c r="CJ17" s="12" t="str">
        <f>IF(SUM(BX17:CA17)-CB17&gt;0,SUM(BX17:CA17)-CB17,"")</f>
        <v/>
      </c>
      <c r="CK17" s="12" t="str">
        <f>IF(SUM(CI17:CJ17)&gt;0,SUM(CI17:CJ17),"")</f>
        <v/>
      </c>
      <c r="CL17" s="12" t="str">
        <f>IF(CE17&gt;0,CE17,"")</f>
        <v/>
      </c>
      <c r="CM17" s="12" t="str">
        <f>IF(SUM(CC17:CF17)-CG17&gt;0,SUM(CC17:CF17)-CG17,"")</f>
        <v/>
      </c>
      <c r="CN17" s="12" t="str">
        <f>IF(SUM(CK17,CM17)&gt;0,SUM(CK17,CM17),"")</f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>IF(CV17&gt;0,CV17,"")</f>
        <v/>
      </c>
      <c r="DE17" s="15" t="str">
        <f>IF(SUM(CO17:CR17)-CS17&gt;0,SUM(CO17:CR17)-CS17,"")</f>
        <v/>
      </c>
      <c r="DF17" s="15" t="str">
        <f>IF(SUM(CT17:CW17)-CX17&gt;0,SUM(CT17:CW17)-CX17,"")</f>
        <v/>
      </c>
      <c r="DG17" s="15" t="str">
        <f>IF(SUM(DE17:DF17)&gt;0,SUM(DE17:DF17),"")</f>
        <v/>
      </c>
      <c r="DH17" s="15" t="str">
        <f>IF(DA17&gt;0,DA17,"")</f>
        <v/>
      </c>
      <c r="DI17" s="15" t="str">
        <f>IF(SUM(CY17:DB17)-DC17&gt;0,SUM(CY17:DB17)-DC17,"")</f>
        <v/>
      </c>
      <c r="DJ17" s="15" t="str">
        <f>IF(SUM(DG17,DI17)&gt;0,SUM(DG17,DI17),"")</f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>IF(DR17&gt;0,DR17,"")</f>
        <v/>
      </c>
      <c r="EA17" s="12" t="str">
        <f>IF(SUM(DK17:DN17)-DO17&gt;0,SUM(DK17:DN17)-DO17,"")</f>
        <v/>
      </c>
      <c r="EB17" s="12" t="str">
        <f>IF(SUM(DP17:DS17)-DT17&gt;0,SUM(DP17:DS17)-DT17,"")</f>
        <v/>
      </c>
      <c r="EC17" s="12" t="str">
        <f>IF(SUM(EA17:EB17)&gt;0,SUM(EA17:EB17),"")</f>
        <v/>
      </c>
      <c r="ED17" s="12" t="str">
        <f>IF(DW17&gt;0,DW17,"")</f>
        <v/>
      </c>
      <c r="EE17" s="12" t="str">
        <f>IF(SUM(DU17:DX17)-DY17&gt;0,SUM(DU17:DX17)-DY17,"")</f>
        <v/>
      </c>
      <c r="EF17" s="12" t="str">
        <f>IF(SUM(EC17,EE17)&gt;0,SUM(EC17,EE17),"")</f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>IF(EN17&gt;0,EN17,"")</f>
        <v/>
      </c>
      <c r="EW17" s="15" t="str">
        <f>IF(SUM(EG17:EJ17)-EK17&gt;0,SUM(EG17:EJ17)-EK17,"")</f>
        <v/>
      </c>
      <c r="EX17" s="15" t="str">
        <f>IF(SUM(EL17:EO17)-EP17&gt;0,SUM(EL17:EO17)-EP17,"")</f>
        <v/>
      </c>
      <c r="EY17" s="15" t="str">
        <f>IF(SUM(EW17:EX17)&gt;0,SUM(EW17:EX17),"")</f>
        <v/>
      </c>
      <c r="EZ17" s="15" t="str">
        <f>IF(ES17&gt;0,ES17,"")</f>
        <v/>
      </c>
      <c r="FA17" s="15" t="str">
        <f>IF(SUM(EQ17:ET17)-EU17&gt;0,SUM(EQ17:ET17)-EU17,"")</f>
        <v/>
      </c>
      <c r="FB17" s="15" t="str">
        <f>IF(SUM(EY17,FA17)&gt;0,SUM(EY17,FA17),"")</f>
        <v/>
      </c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12" t="str">
        <f>IF(FJ17&gt;0,FJ17,"")</f>
        <v/>
      </c>
      <c r="FS17" s="12" t="str">
        <f>IF(SUM(FC17:FF17)-FG17&gt;0,SUM(FC17:FF17)-FG17,"")</f>
        <v/>
      </c>
      <c r="FT17" s="12" t="str">
        <f>IF(SUM(FH17:FK17)-FL17&gt;0,SUM(FH17:FK17)-FL17,"")</f>
        <v/>
      </c>
      <c r="FU17" s="12" t="str">
        <f>IF(SUM(FS17:FT17)&gt;0,SUM(FS17:FT17),"")</f>
        <v/>
      </c>
      <c r="FV17" s="12" t="str">
        <f>IF(FO17&gt;0,FO17,"")</f>
        <v/>
      </c>
      <c r="FW17" s="12" t="str">
        <f>IF(SUM(FM17:FP17)-FQ17&gt;0,SUM(FM17:FP17)-FQ17,"")</f>
        <v/>
      </c>
      <c r="FX17" s="12" t="str">
        <f>IF(SUM(FU17,FW17)&gt;0,SUM(FU17,FW17),"")</f>
        <v/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>IF(GF17&gt;0,GF17,"")</f>
        <v/>
      </c>
      <c r="GO17" s="15" t="str">
        <f>IF(SUM(FY17:GB17)-GC17&gt;0,SUM(FY17:GB17)-GC17,"")</f>
        <v/>
      </c>
      <c r="GP17" s="15" t="str">
        <f>IF(SUM(GD17:GG17)-GH17&gt;0,SUM(GD17:GG17)-GH17,"")</f>
        <v/>
      </c>
      <c r="GQ17" s="15" t="str">
        <f>IF(SUM(GO17:GP17)&gt;0,SUM(GO17:GP17),"")</f>
        <v/>
      </c>
      <c r="GR17" s="15" t="str">
        <f>IF(GK17&gt;0,GK17,"")</f>
        <v/>
      </c>
      <c r="GS17" s="15" t="str">
        <f>IF(SUM(GI17:GL17)-GM17&gt;0,SUM(GI17:GL17)-GM17,"")</f>
        <v/>
      </c>
      <c r="GT17" s="15" t="str">
        <f>IF(SUM(GQ17,GS17)&gt;0,SUM(GQ17,GS17),"")</f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>IF(HB17&gt;0,HB17,"")</f>
        <v/>
      </c>
      <c r="HK17" s="12" t="str">
        <f>IF(SUM(GU17:GX17)-GY17&gt;0,SUM(GU17:GX17)-GY17,"")</f>
        <v/>
      </c>
      <c r="HL17" s="12" t="str">
        <f>IF(SUM(GZ17:HC17)-HD17&gt;0,SUM(GZ17:HC17)-HD17,"")</f>
        <v/>
      </c>
      <c r="HM17" s="12" t="str">
        <f>IF(SUM(HK17:HL17)&gt;0,SUM(HK17:HL17),"")</f>
        <v/>
      </c>
      <c r="HN17" s="12" t="str">
        <f>IF(HG17&gt;0,HG17,"")</f>
        <v/>
      </c>
      <c r="HO17" s="12" t="str">
        <f>IF(SUM(HE17:HH17)-HI17&gt;0,SUM(HE17:HH17)-HI17,"")</f>
        <v/>
      </c>
      <c r="HP17" s="12" t="str">
        <f>IF(SUM(HM17,HO17)&gt;0,SUM(HM17,HO17),"")</f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>IF(HX17&gt;0,HX17,"")</f>
        <v/>
      </c>
      <c r="IG17" s="15" t="str">
        <f>IF(SUM(HQ17:HT17)-HU17&gt;0,SUM(HQ17:HT17)-HU17,"")</f>
        <v/>
      </c>
      <c r="IH17" s="15" t="str">
        <f>IF(SUM(HV17:HY17)-HZ17&gt;0,SUM(HV17:HY17)-HZ17,"")</f>
        <v/>
      </c>
      <c r="II17" s="15" t="str">
        <f>IF(SUM(IG17:IH17)&gt;0,SUM(IG17:IH17),"")</f>
        <v/>
      </c>
      <c r="IJ17" s="15" t="str">
        <f>IF(IC17&gt;0,IC17,"")</f>
        <v/>
      </c>
      <c r="IK17" s="15" t="str">
        <f>IF(SUM(IA17:ID17)-IE17&gt;0,SUM(IA17:ID17)-IE17,"")</f>
        <v/>
      </c>
      <c r="IL17" s="15" t="str">
        <f>IF(SUM(II17,IK17)&gt;0,SUM(II17,IK17),"")</f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>IF(IT17&gt;0,IT17,"")</f>
        <v/>
      </c>
      <c r="JC17" s="12" t="str">
        <f>IF(SUM(IM17:IP17)-IQ17&gt;0,SUM(IM17:IP17)-IQ17,"")</f>
        <v/>
      </c>
      <c r="JD17" s="12" t="str">
        <f>IF(SUM(IR17:IU17)-IV17&gt;0,SUM(IR17:IU17)-IV17,"")</f>
        <v/>
      </c>
      <c r="JE17" s="12" t="str">
        <f>IF(SUM(JC17:JD17)&gt;0,SUM(JC17:JD17),"")</f>
        <v/>
      </c>
      <c r="JF17" s="12" t="str">
        <f>IF(IY17&gt;0,IY17,"")</f>
        <v/>
      </c>
      <c r="JG17" s="12" t="str">
        <f>IF(SUM(IW17:IZ17)-JA17&gt;0,SUM(IW17:IZ17)-JA17,"")</f>
        <v/>
      </c>
      <c r="JH17" s="12" t="str">
        <f>IF(SUM(JE17,JG17)&gt;0,SUM(JE17,JG17),"")</f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>IF(JP17&gt;0,JP17,"")</f>
        <v/>
      </c>
      <c r="JY17" s="15" t="str">
        <f>IF(SUM(JI17:JL17)-JM17&gt;0,SUM(JI17:JL17)-JM17,"")</f>
        <v/>
      </c>
      <c r="JZ17" s="15" t="str">
        <f>IF(SUM(JN17:JQ17)-JR17&gt;0,SUM(JN17:JQ17)-JR17,"")</f>
        <v/>
      </c>
      <c r="KA17" s="15" t="str">
        <f>IF(SUM(JY17:JZ17)&gt;0,SUM(JY17:JZ17),"")</f>
        <v/>
      </c>
      <c r="KB17" s="15" t="str">
        <f>IF(JU17&gt;0,JU17,"")</f>
        <v/>
      </c>
      <c r="KC17" s="15" t="str">
        <f>IF(SUM(JS17:JV17)-JW17&gt;0,SUM(JS17:JV17)-JW17,"")</f>
        <v/>
      </c>
      <c r="KD17" s="15" t="str">
        <f>IF(SUM(KA17,KC17)&gt;0,SUM(KA17,KC17),"")</f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>IF(KL17&gt;0,KL17,"")</f>
        <v/>
      </c>
      <c r="KU17" s="12" t="str">
        <f>IF(SUM(KE17:KH17)-KI17&gt;0,SUM(KE17:KH17)-KI17,"")</f>
        <v/>
      </c>
      <c r="KV17" s="12" t="str">
        <f>IF(SUM(KJ17:KM17)-KN17&gt;0,SUM(KJ17:KM17)-KN17,"")</f>
        <v/>
      </c>
      <c r="KW17" s="12" t="str">
        <f>IF(SUM(KU17:KV17)&gt;0,SUM(KU17:KV17),"")</f>
        <v/>
      </c>
      <c r="KX17" s="12" t="str">
        <f>IF(KQ17&gt;0,KQ17,"")</f>
        <v/>
      </c>
      <c r="KY17" s="12" t="str">
        <f>IF(SUM(KO17:KR17)-KS17&gt;0,SUM(KO17:KR17)-KS17,"")</f>
        <v/>
      </c>
      <c r="KZ17" s="12" t="str">
        <f>IF(SUM(KW17,KY17)&gt;0,SUM(KW17,KY17),"")</f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>IF(LH17&gt;0,LH17,"")</f>
        <v/>
      </c>
      <c r="LQ17" s="15" t="str">
        <f>IF(SUM(LA17:LD17)-LE17&gt;0,SUM(LA17:LD17)-LE17,"")</f>
        <v/>
      </c>
      <c r="LR17" s="15" t="str">
        <f>IF(SUM(LF17:LI17)-LJ17&gt;0,SUM(LF17:LI17)-LJ17,"")</f>
        <v/>
      </c>
      <c r="LS17" s="15" t="str">
        <f>IF(SUM(LQ17:LR17)&gt;0,SUM(LQ17:LR17),"")</f>
        <v/>
      </c>
      <c r="LT17" s="15" t="str">
        <f>IF(LM17&gt;0,LM17,"")</f>
        <v/>
      </c>
      <c r="LU17" s="15" t="str">
        <f>IF(SUM(LK17:LN17)-LO17&gt;0,SUM(LK17:LN17)-LO17,"")</f>
        <v/>
      </c>
      <c r="LV17" s="15" t="str">
        <f>IF(SUM(LS17,LU17)&gt;0,SUM(LS17,LU17),"")</f>
        <v/>
      </c>
      <c r="LW17" s="71">
        <f t="shared" si="0"/>
        <v>17.450000000000003</v>
      </c>
      <c r="LX17" s="71">
        <f t="shared" si="1"/>
        <v>9.375</v>
      </c>
      <c r="LY17" s="71">
        <f t="shared" si="2"/>
        <v>4.9000000000000004</v>
      </c>
      <c r="LZ17" s="71">
        <f t="shared" si="3"/>
        <v>16.547499999999999</v>
      </c>
      <c r="MA17" s="71">
        <f t="shared" si="4"/>
        <v>0</v>
      </c>
      <c r="MB17" s="71">
        <f t="shared" si="5"/>
        <v>9.25</v>
      </c>
      <c r="MC17" s="71">
        <f t="shared" si="6"/>
        <v>5.9250000000000007</v>
      </c>
      <c r="MD17" s="71">
        <f t="shared" si="7"/>
        <v>9.4499999999999993</v>
      </c>
      <c r="ME17" s="71">
        <f t="shared" si="8"/>
        <v>10.234999999999999</v>
      </c>
      <c r="MF17" s="71">
        <f t="shared" si="9"/>
        <v>0</v>
      </c>
      <c r="MG17" s="71">
        <f t="shared" si="10"/>
        <v>7.42</v>
      </c>
      <c r="MH17" s="71">
        <f t="shared" si="11"/>
        <v>4.4000000000000004</v>
      </c>
      <c r="MI17" s="71">
        <f t="shared" si="12"/>
        <v>6.55</v>
      </c>
      <c r="MJ17" s="71">
        <f t="shared" si="13"/>
        <v>7.6174999999999997</v>
      </c>
      <c r="MK17" s="71">
        <f t="shared" si="14"/>
        <v>0.2</v>
      </c>
      <c r="ML17" s="82" t="s">
        <v>96</v>
      </c>
      <c r="MM17" s="12">
        <f t="shared" si="15"/>
        <v>9.4499999999999993</v>
      </c>
      <c r="MN17" s="12">
        <f t="shared" si="16"/>
        <v>48.272500000000001</v>
      </c>
      <c r="MO17" s="12">
        <f t="shared" si="17"/>
        <v>34.86</v>
      </c>
      <c r="MP17" s="12">
        <f t="shared" si="18"/>
        <v>83.132499999999993</v>
      </c>
      <c r="MQ17" s="12">
        <f t="shared" si="21"/>
        <v>6.55</v>
      </c>
      <c r="MR17" s="12">
        <f t="shared" si="19"/>
        <v>25.787500000000001</v>
      </c>
      <c r="MS17" s="12">
        <f t="shared" si="20"/>
        <v>108.91999999999999</v>
      </c>
    </row>
    <row r="18" spans="1:357" x14ac:dyDescent="0.2">
      <c r="A18" s="6" t="str">
        <f>IF(AND(F18="P",H18="P"),SUMPRODUCT((F$4:F$21="P")*(H$4:H$21="P")*(E$4:E$21&gt;E18))+1,IF(H18="P",SUMPRODUCT((F$4:F$21="")*(H$4:H$21="P")*(E$4:E$21&gt;E18))+1+SUMPRODUCT((F$4:F$21="P")*(H$4:H$21="P")),""))</f>
        <v/>
      </c>
      <c r="B18" s="7" t="s">
        <v>85</v>
      </c>
      <c r="C18" s="8" t="s">
        <v>5</v>
      </c>
      <c r="D18" s="29">
        <v>1999</v>
      </c>
      <c r="E18" s="16">
        <f>SUM(J18:R18)</f>
        <v>198.16499999999999</v>
      </c>
      <c r="F18" s="4" t="str">
        <f>IF(OR(AND($AK18&gt;=$AL$23,NOT($AK18=""),$AJ18=""),AND($BH18&gt;=$BI$23,NOT($BH18=""),$BG18=""),AND($CH18&gt;=$CI$23,NOT($CH18="")),AND($DD18&gt;=$DE$23,NOT($DD18="")),AND($DZ18&gt;=$EA$23,NOT($DZ18="")),AND($EV18&gt;=$EW$23,NOT($EV18="")),AND($FR18&gt;=$FS$23,NOT($FR18="")),AND($GN18&gt;=$GO$23,NOT($GN18="")),AND($HJ18&gt;=$HK$23,NOT($HJ18="")),AND($IF18&gt;=$IG$23,NOT($IF18="")),AND($JB18&gt;=$JC$23,NOT($JB18="")),AND($JX18&gt;=$JY$23,NOT($JX18="")),AND($KT18&gt;=$KU$23,NOT($KT18="")),AND($LP18&gt;=$LQ$23,NOT($LP18="")),AND($AO18&gt;=$AL$23,NOT($AO18=""),$AJ18=""),AND($BL18&gt;=$BI$23,NOT($BL18=""),$BG18=""),AND($CL18&gt;=$CI$23,NOT($CL18="")),AND($DH18&gt;=$DE$23,NOT($DH18="")),AND($ED18&gt;=$EA$23,NOT($ED18="")),AND($EZ18&gt;=$EW$23,NOT($EZ18="")),AND($FV18&gt;=$FS$23,NOT($FV18="")),AND($GR18&gt;=$GO$23,NOT($GR18="")),AND($HN18&gt;=$HK$23,NOT($HN18="")),AND($IJ18&gt;=$IG$23,NOT($IJ18="")),AND($JF18&gt;=$JC$23,NOT($JF18="")),AND($KB18&gt;=$JY$23,NOT($KB18="")),AND($KX18&gt;=$KU$23,NOT($KX18="")),AND($LT18&gt;=$LQ$23,NOT($LT18=""))),"P","")</f>
        <v/>
      </c>
      <c r="G18" s="4" t="str">
        <f>IF(OR(AND($AK18&gt;=$AL$24,NOT($AK18=""),$AJ18=""),AND($BH18&gt;=$BI$24,NOT($BH18=""),$BG18=""),AND($CH18&gt;=$CI$24,NOT($CH18="")),AND($DD18&gt;=$DE$24,NOT($DD18="")),AND($DZ18&gt;=$EA$24,NOT($DZ18="")),AND($EV18&gt;=$EW$24,NOT($EV18="")),AND($FR18&gt;=$FS$24,NOT($FR18="")),AND($GN18&gt;=$GO$24,NOT($GN18="")),AND($HJ18&gt;=$HK$24,NOT($HJ18="")),AND($IF18&gt;=$IG$24,NOT($IF18="")),AND($JB18&gt;=$JC$24,NOT($JB18="")),AND($JX18&gt;=$JY$24,NOT($JX18="")),AND($KT18&gt;=$KU$24,NOT($KT18="")),AND($LP18&gt;=$LQ$24,NOT($LP18="")),AND($AO18&gt;=$AL$24,NOT($AO18=""),$AJ18=""),AND($BL18&gt;=$BI$24,NOT($BL18=""),$BG18=""),AND($CL18&gt;=$CI$24,NOT($CL18="")),AND($DH18&gt;=$DE$24,NOT($DH18="")),AND($ED18&gt;=$EA$24,NOT($ED18="")),AND($EZ18&gt;=$EW$24,NOT($EZ18="")),AND($FV18&gt;=$FS$24,NOT($FV18="")),AND($GR18&gt;=$GO$24,NOT($GR18="")),AND($HN18&gt;=$HK$24,NOT($HN18="")),AND($IJ18&gt;=$IG$24,NOT($IJ18="")),AND($JF18&gt;=$JC$24,NOT($JF18="")),AND($KB18&gt;=$JY$24,NOT($KB18="")),AND($KX18&gt;=$KU$24,NOT($KX18="")),AND($LT18&gt;=$LQ$24,NOT($LT18=""))),"P","")</f>
        <v/>
      </c>
      <c r="H18" s="4" t="str">
        <f>IF(OR(AND($AN18&gt;=$AL$25,NOT($AN18=""),$AJ18=""),AND($BK18&gt;=$BI$25,NOT($BK18=""),$BG18=""),AND($CK18&gt;=$CI$25,NOT($CK18="")),AND($DG18&gt;=$DE$25,NOT($DG18="")),AND($EC18&gt;=$EA$25,NOT($EC18="")),AND($EY18&gt;=$EW$25,NOT($EY18="")),AND($FU18&gt;=$FS$25,NOT($FU18="")),AND($GQ18&gt;=$GO$25,NOT($GQ18="")),AND($HM18&gt;=$HK$25,NOT($HM18="")),AND($II18&gt;=$IG$25,NOT($II18="")),AND($JE18&gt;=$JC$25,NOT($JE18="")),AND($KA18&gt;=$JY$25,NOT($KA18="")),AND($KW18&gt;=$KU$25,NOT($KW18="")),AND($LS18&gt;=$LQ$25,NOT($LS18=""))),"P","")</f>
        <v/>
      </c>
      <c r="I18" t="str">
        <f>IF(AND(H18="P",F18=""),"No DD",IF(AND(G18="P",OR(AND($AM18&gt;$AL$28,NOT($AM18=""),$AJ18=""),AND($AP18&gt;$AL$28,NOT($AP18=""),$AJ18=""),AND($BJ18&gt;$BI$28,NOT($BJ18=""),$BG18=""),AND($BM18&gt;$BI$28,NOT($BM18=""),$BG18=""),AND($CJ18&gt;$CI$28,NOT($CJ18="")),AND($CM18&gt;$CI$28,NOT($CM18="")),AND($DF18&gt;$DE$28,NOT($DF18="")),AND($DI18&gt;$DE$28,NOT($DI18="")),AND($EB18&gt;$EA$28,NOT($EB18="")),AND($EE18&gt;$EA$28,NOT($EE18="")),AND($EX18&gt;$EW$28,NOT($EX18="")),AND($FA18&gt;$EW$28,NOT($FA18="")),AND($FT18&gt;$FS$28,NOT($FT18="")),AND($FW18&gt;$FS$28,NOT($FW18="")),AND($GP18&gt;$GO$28,NOT($GP18="")),AND($GS18&gt;$GO$28,NOT($GS18="")),AND($HL18&gt;$HK$28,NOT($HL18="")),AND($HO18&gt;$HK$28,NOT($HO18="")),AND($IH18&gt;$IG$28,NOT($IH18="")),AND($IK18&gt;$IG$28,NOT($IK18="")),AND($JD18&gt;$JC$28,NOT($JD18="")),AND($JG18&gt;$JC$28,NOT($JG18="")),AND($JZ18&gt;$JY$28,NOT($JZ18="")),AND($KC18&gt;$JY$28,NOT($KC18="")),AND($KV18&gt;$KU$28,NOT($KV18="")),AND($KY18&gt;$KU$28,NOT($KY18="")),AND($LR18&gt;$LQ$28,NOT($LR18="")),AND($LU18&gt;$LQ$28,NOT($LU18="")))),"Merit",IF(AND(G18="P",OR(AND($AN18&gt;$AL$27,NOT($AN18=""),$AJ18=""),AND($BK18&gt;$BI$27,NOT($BK18=""),$BG18=""),AND($CK18&gt;$CI$27,NOT($CK18="")),AND($DG18&gt;$DE$27,NOT($DG18="")),AND($EC18&gt;$EA$27,NOT($EC18="")),AND($EY18&gt;$EW$27,NOT($EY18="")),AND($FU18&gt;$FS$27,NOT($FU18="")),AND($GQ18&gt;$GO$27,NOT($GQ18="")),AND($HM18&gt;$HK$27,NOT($HM18="")),AND($II18&gt;$IG$27,NOT($II18="")),AND($JE18&gt;$JC$27,NOT($JE18="")),AND($KA18&gt;$JY$27,NOT($KA18="")),AND($KW18&gt;$KU$27,NOT($KW18="")),AND($LS18&gt;$LQ$27,NOT($LS18="")))),"Excellence",IF(AND(G18="P",OR(AND($AN18&gt;$AL$26,NOT($AN18=""),$AJ18=""),AND($BK18&gt;$BI$26,NOT($BK18=""),$BG18=""),AND($CK18&gt;$CI$26,NOT($CK18="")),AND($DG18&gt;$DE$26,NOT($DG18="")),AND($EC18&gt;$EA$26,NOT($EC18="")),AND($EY18&gt;$EW$26,NOT($EY18="")),AND($FU18&gt;$FS$26,NOT($FU18="")),AND($GQ18&gt;$GO$26,NOT($GQ18="")),AND($HM18&gt;$HK$26,NOT($HM18="")),AND($II18&gt;$IG$26,NOT($II18="")),AND($JE18&gt;$JC$26,NOT($JE18="")),AND($KA18&gt;$JY$26,NOT($KA18="")),AND($KW18&gt;$KU$26,NOT($KW18="")),AND($LS18&gt;$LQ$26,NOT($LS18="")))),"Worlds Team",IF(AND(F18="P",OR(AND($AN18&gt;$AL$25,NOT($AN18=""),$AJ18=""),AND($BK18&gt;$BI$25,NOT($BK18=""),$BG18=""),AND($CK18&gt;$CI$25,NOT($CK18="")),AND($DG18&gt;$DE$25,NOT($DG18="")),AND($EC18&gt;$EA$25,NOT($EC18="")),AND($EY18&gt;$EW$25,NOT($EY18="")),AND($FU18&gt;$FS$25,NOT($FU18="")),AND($GQ18&gt;$GO$25,NOT($GQ18="")),AND($HM18&gt;$HK$25,NOT($HM18="")),AND($II18&gt;$IG$25,NOT($II18="")),AND($JE18&gt;$JC$25,NOT($JE18="")),AND($KA18&gt;$JY$25,NOT($KA18="")),AND($KW18&gt;$KU$25,NOT($KW18="")),AND($LS18&gt;$LQ$25,NOT($LS18="")))),"National Team","")))))</f>
        <v/>
      </c>
      <c r="J18" s="15">
        <f>IF(MAX(AN18,BK18)&gt;0,MAX(AN18,BK18),"")</f>
        <v>77.585000000000008</v>
      </c>
      <c r="K18" s="15" t="str">
        <f>IF(J18="","",IF(J18=BK18,$AR$1,IF(J18=AN18,$U$1,"")))</f>
        <v>2019 Nationals</v>
      </c>
      <c r="L18" s="15">
        <f>IF($J18=$AN18,BI18,IF($J18=$BK18,AL18,MAX(AL18,BI18)))</f>
        <v>47.35</v>
      </c>
      <c r="M18" s="15" t="str">
        <f>IF(L18="","",IF(AND(L18=BI18,$K18&lt;&gt;$AR$1),$AR$1,IF(AND(L18=AL18,$K18&lt;&gt;$U$1),$U$1,"")))</f>
        <v>2019 Elite Canada</v>
      </c>
      <c r="N18" s="15">
        <f>IF($J18=$AN18,BJ18,IF($J18=$BK18,AM18,MAX(AM18,BJ18)))</f>
        <v>21.164999999999999</v>
      </c>
      <c r="O18" s="15" t="str">
        <f>IF(N18="","",IF(AND(N18=BJ18,$K18&lt;&gt;$AR$1),$AR$1,IF(AND(N18=AM18,$K18&lt;&gt;$U$1),$U$1,"")))</f>
        <v>2019 Elite Canada</v>
      </c>
      <c r="P18" s="15">
        <f>IF(MAX(AP18,BM18)&gt;0,MAX(AP18,BM18),"")</f>
        <v>52.064999999999998</v>
      </c>
      <c r="Q18" s="15" t="str">
        <f>IF(P18="","",IF(P18=BM18,$AR$1,IF(P18=AP18,$U$1,"")))</f>
        <v>2019 Elite Canada</v>
      </c>
      <c r="R18" s="15" t="str">
        <f>IF(MAX(BO18,BP18,BQ18,BR18)&gt;0,MAX(BO18,BP18,BQ18,BR18),"")</f>
        <v/>
      </c>
      <c r="S18" s="27" t="str">
        <f>IF(R18="","",IF(R18=BO18,"(Vol 1)",IF(R18=BP18,"(Vol 2)",IF(R18=BQ18,"(Prelim)",IF(R18=BR18,"(Final)")))))</f>
        <v/>
      </c>
      <c r="T18" s="15" t="str">
        <f>IF(R18="","",IF(R18=BO18,IF(R18+IF(L18="",0,L18)=LQ18,$LA$1,IF(R18+IF(L18="",0,L18)=KU18,$KE$1,IF(R18+IF(L18="",0,L18)=JY18,$JI$1,IF(R18+IF(L18="",0,L18)=JC18,$IM$1,IF(R18+IF(L18="",0,L18)=IG18,$HQ$1,IF(R18+IF(L18="",0,L18)=HK18,$GU$1,IF(R18+IF(L18="",0,L18)=GO18,$FY$1,IF(R18+IF(L18="",0,L18)=FS18,$FC$1,IF(R18+IF(L18="",0,L18)=EW18,$EG$1,IF(R18+IF(L18="",0,L18)=EA18,$DK$1,IF(R18+IF(L18="",0,L18)=DE18,$CO$1,IF(R18+IF(L18="",0,L18)=CI18,$BS$1)))))))))))),IF(R18=BP18,IF(R18+IF(N18="",0,N18)=LR18,$LA$1,IF(R18+IF(N18="",0,N18)=KV18,$KE$1,IF(R18+IF(N18="",0,N18)=JZ18,$JI$1,IF(R18+IF(N18="",0,N18)=JD18,$IM$1,IF(R18+IF(N18="",0,N18)=IH18,$HQ$1,IF(R18+IF(N18="",0,N18)=HL18,$GU$1,IF(R18+IF(N18="",0,N18)=GP18,$FY$1,IF(R18+IF(N18="",0,N18)=FT18,$FC$1,IF(R18+IF(N18="",0,N18)=EX18,$EG$1,IF(R18+IF(N18="",0,N18)=EB18,$DK$1,IF(R18+IF(N18="",0,N18)=DF18,$CO$1,IF(R18+IF(N18="",0,N18)=CJ18,$BS$1)))))))))))),IF(R18=BQ18,IF(R18+IF(J18="",0,J18)=LS18,$LA$1,IF(R18+IF(J18="",0,J18)=KW18,$KE$1,IF(R18+IF(J18="",0,J18)=KA18,$JI$1,IF(R18+IF(J18="",0,J18)=JE18,$IM$1,IF(R18+IF(J18="",0,J18)=II18,$HQ$1,IF(R18+IF(J18="",0,J18)=HM18,$GU$1,IF(R18+IF(J18="",0,J18)=GQ18,$FY$1,IF(R18+IF(J18="",0,J18)=FU18,$FC$1,IF(R18+IF(J18="",0,J18)=EY18,$EG$1,IF(R18+IF(J18="",0,J18)=EC18,$DK$1,IF(R18+IF(J18="",0,J18)=DG18,$CO$1,IF(R18+IF(J18="",0,J18)=CK18,$BS$1)))))))))))),IF(R18=BR18,IF(R18+IF(P18="",0,P18)=LU18,$LA$1,IF(R18+IF(P18="",0,P18)=KY18,$KE$1,IF(R18+IF(P18="",0,P18)=KC18,$JI$1,IF(R18+IF(P18="",0,P18)=JG18,$IM$1,IF(R18+IF(P18="",0,P18)=IK18,$HQ$1,IF(R18+IF(P18="",0,P18)=HO18,$GU$1,IF(R18+IF(P18="",0,P18)=GS18,$FY$1,IF(R18+IF(P18="",0,P18)=FW18,$FC$1,IF(R18+IF(P18="",0,P18)=FA18,$EG$1,IF(R18+IF(P18="",0,P18)=EE18,$DK$1,IF(R18+IF(P18="",0,P18)=DI18,$CO$1,IF(R18+IF(P18="",0,P18)=CM18,$BS$1)))))))))))))))))</f>
        <v/>
      </c>
      <c r="U18" s="71">
        <v>17.600000000000001</v>
      </c>
      <c r="V18" s="71">
        <v>9.4499999999999993</v>
      </c>
      <c r="W18" s="71">
        <v>4</v>
      </c>
      <c r="X18" s="71">
        <v>16.3</v>
      </c>
      <c r="Y18" s="71">
        <v>0</v>
      </c>
      <c r="Z18" s="71">
        <v>6.3</v>
      </c>
      <c r="AA18" s="71">
        <v>3.3</v>
      </c>
      <c r="AB18" s="71">
        <v>5.2</v>
      </c>
      <c r="AC18" s="71">
        <v>6.3650000000000002</v>
      </c>
      <c r="AD18" s="71">
        <v>0</v>
      </c>
      <c r="AE18" s="71">
        <v>15.9</v>
      </c>
      <c r="AF18" s="71">
        <v>8.75</v>
      </c>
      <c r="AG18" s="71">
        <v>12.9</v>
      </c>
      <c r="AH18" s="71">
        <v>15.115</v>
      </c>
      <c r="AI18" s="71">
        <v>0.6</v>
      </c>
      <c r="AJ18" s="82"/>
      <c r="AK18" s="12">
        <f>IF(AB18&gt;0,AB18,"")</f>
        <v>5.2</v>
      </c>
      <c r="AL18" s="12">
        <f>IF(SUM(U18:X18)-Y18&gt;0,SUM(U18:X18)-Y18,"")</f>
        <v>47.35</v>
      </c>
      <c r="AM18" s="12">
        <f>IF(SUM(Z18:AC18)-AD18&gt;0,SUM(Z18:AC18)-AD18,"")</f>
        <v>21.164999999999999</v>
      </c>
      <c r="AN18" s="12">
        <f>IF(SUM(AL18:AM18)&gt;0,SUM(AL18:AM18),"")</f>
        <v>68.515000000000001</v>
      </c>
      <c r="AO18" s="12">
        <f>IF(AG18&gt;0,AG18,"")</f>
        <v>12.9</v>
      </c>
      <c r="AP18" s="12">
        <f>IF(SUM(AE18:AH18)-AI18&gt;0,SUM(AE18:AH18)-AI18,"")</f>
        <v>52.064999999999998</v>
      </c>
      <c r="AQ18" s="12">
        <f>IF(SUM(AN18,AP18)&gt;0,SUM(AN18,AP18),"")</f>
        <v>120.58</v>
      </c>
      <c r="AR18" s="77">
        <v>17.100000000000001</v>
      </c>
      <c r="AS18" s="77">
        <v>9.5</v>
      </c>
      <c r="AT18" s="77">
        <v>4</v>
      </c>
      <c r="AU18" s="77">
        <v>16.27</v>
      </c>
      <c r="AV18" s="77">
        <v>0</v>
      </c>
      <c r="AW18" s="77">
        <v>9</v>
      </c>
      <c r="AX18" s="77">
        <v>5.3</v>
      </c>
      <c r="AY18" s="77">
        <v>7.2</v>
      </c>
      <c r="AZ18" s="77">
        <v>9.2149999999999999</v>
      </c>
      <c r="BA18" s="77">
        <v>0</v>
      </c>
      <c r="BB18" s="77"/>
      <c r="BC18" s="77"/>
      <c r="BD18" s="77"/>
      <c r="BE18" s="77"/>
      <c r="BF18" s="77"/>
      <c r="BG18" s="83"/>
      <c r="BH18" s="15">
        <f>IF(AY18&gt;0,AY18,"")</f>
        <v>7.2</v>
      </c>
      <c r="BI18" s="15">
        <f>IF(SUM(AR18:AU18)-AV18&gt;0,SUM(AR18:AU18)-AV18,"")</f>
        <v>46.870000000000005</v>
      </c>
      <c r="BJ18" s="15">
        <f>IF(SUM(AW18:AZ18)-BA18&gt;0,SUM(AW18:AZ18)-BA18,"")</f>
        <v>30.715</v>
      </c>
      <c r="BK18" s="15">
        <f>IF(SUM(BI18:BJ18)&gt;0,SUM(BI18:BJ18),"")</f>
        <v>77.585000000000008</v>
      </c>
      <c r="BL18" s="15" t="str">
        <f>IF(BD18&gt;0,BD18,"")</f>
        <v/>
      </c>
      <c r="BM18" s="15" t="str">
        <f>IF(SUM(BB18:BE18)-BF18&gt;0,SUM(BB18:BE18)-BF18,"")</f>
        <v/>
      </c>
      <c r="BN18" s="15">
        <f>IF(SUM(BK18,BM18)&gt;0,SUM(BK18,BM18),"")</f>
        <v>77.585000000000008</v>
      </c>
      <c r="BO18" s="26" t="str">
        <f>IF(MAX(CI18,DE18,EA18,EW18,FS18,GO18,HK18,IG18,JC18,JY18,KU18,LQ18)-IF(L18="",0,L18)&gt;0.001,MAX(CI18,DE18,EA18,EW18,FS18,GO18,HK18,IG18,JC18,JY18,KU18,LQ18)-IF(L18="",0,L18),"")</f>
        <v/>
      </c>
      <c r="BP18" s="26" t="str">
        <f>IF(MAX(CJ18,DF18,EB18,EX18,FT18,GP18,HL18,IH18,JD18,JZ18,KV18,LR18)-IF(N18="",0,N18)&gt;0.001,MAX(CJ18,DF18,EB18,EX18,FT18,GP18,HL18,IH18,JD18,JZ18,KV18,LR18)-IF(N18="",0,N18),"")</f>
        <v/>
      </c>
      <c r="BQ18" s="26" t="str">
        <f>IF(MAX(CK18,DG18,EC18,EY18,FU18,GQ18,HM18,II18,JE18,KA18,KW18,LS18)-IF(J18="",0,J18)&gt;0.001,MAX(CK18,DG18,EC18,EY18,FU18,GQ18,HM18,II18,JE18,KA18,KW18,LS18)-IF(J18="",0,J18),"")</f>
        <v/>
      </c>
      <c r="BR18" s="26" t="str">
        <f>IF(MAX(CM18,DI18,EE18,FA18,FW18,GS18,HO18,IK18,JG18,KC18,KY18,LU18)-IF(P18="",0,P18)&gt;0.001,MAX(CM18,DI18,EE18,FA18,FW18,GS18,HO18,IK18,JG18,KC18,KY18,LU18)-IF(P18="",0,P18),"")</f>
        <v/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12" t="str">
        <f>IF(BZ18&gt;0,BZ18,"")</f>
        <v/>
      </c>
      <c r="CI18" s="12" t="str">
        <f>IF(SUM(BS18:BV18)-BW18&gt;0,SUM(BS18:BV18)-BW18,"")</f>
        <v/>
      </c>
      <c r="CJ18" s="12" t="str">
        <f>IF(SUM(BX18:CA18)-CB18&gt;0,SUM(BX18:CA18)-CB18,"")</f>
        <v/>
      </c>
      <c r="CK18" s="12" t="str">
        <f>IF(SUM(CI18:CJ18)&gt;0,SUM(CI18:CJ18),"")</f>
        <v/>
      </c>
      <c r="CL18" s="12" t="str">
        <f>IF(CE18&gt;0,CE18,"")</f>
        <v/>
      </c>
      <c r="CM18" s="12" t="str">
        <f>IF(SUM(CC18:CF18)-CG18&gt;0,SUM(CC18:CF18)-CG18,"")</f>
        <v/>
      </c>
      <c r="CN18" s="12" t="str">
        <f>IF(SUM(CK18,CM18)&gt;0,SUM(CK18,CM18),"")</f>
        <v/>
      </c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15" t="str">
        <f>IF(CV18&gt;0,CV18,"")</f>
        <v/>
      </c>
      <c r="DE18" s="15" t="str">
        <f>IF(SUM(CO18:CR18)-CS18&gt;0,SUM(CO18:CR18)-CS18,"")</f>
        <v/>
      </c>
      <c r="DF18" s="15" t="str">
        <f>IF(SUM(CT18:CW18)-CX18&gt;0,SUM(CT18:CW18)-CX18,"")</f>
        <v/>
      </c>
      <c r="DG18" s="15" t="str">
        <f>IF(SUM(DE18:DF18)&gt;0,SUM(DE18:DF18),"")</f>
        <v/>
      </c>
      <c r="DH18" s="15" t="str">
        <f>IF(DA18&gt;0,DA18,"")</f>
        <v/>
      </c>
      <c r="DI18" s="15" t="str">
        <f>IF(SUM(CY18:DB18)-DC18&gt;0,SUM(CY18:DB18)-DC18,"")</f>
        <v/>
      </c>
      <c r="DJ18" s="15" t="str">
        <f>IF(SUM(DG18,DI18)&gt;0,SUM(DG18,DI18),"")</f>
        <v/>
      </c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12" t="str">
        <f>IF(DR18&gt;0,DR18,"")</f>
        <v/>
      </c>
      <c r="EA18" s="12" t="str">
        <f>IF(SUM(DK18:DN18)-DO18&gt;0,SUM(DK18:DN18)-DO18,"")</f>
        <v/>
      </c>
      <c r="EB18" s="12" t="str">
        <f>IF(SUM(DP18:DS18)-DT18&gt;0,SUM(DP18:DS18)-DT18,"")</f>
        <v/>
      </c>
      <c r="EC18" s="12" t="str">
        <f>IF(SUM(EA18:EB18)&gt;0,SUM(EA18:EB18),"")</f>
        <v/>
      </c>
      <c r="ED18" s="12" t="str">
        <f>IF(DW18&gt;0,DW18,"")</f>
        <v/>
      </c>
      <c r="EE18" s="12" t="str">
        <f>IF(SUM(DU18:DX18)-DY18&gt;0,SUM(DU18:DX18)-DY18,"")</f>
        <v/>
      </c>
      <c r="EF18" s="12" t="str">
        <f>IF(SUM(EC18,EE18)&gt;0,SUM(EC18,EE18),"")</f>
        <v/>
      </c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15" t="str">
        <f>IF(EN18&gt;0,EN18,"")</f>
        <v/>
      </c>
      <c r="EW18" s="15" t="str">
        <f>IF(SUM(EG18:EJ18)-EK18&gt;0,SUM(EG18:EJ18)-EK18,"")</f>
        <v/>
      </c>
      <c r="EX18" s="15" t="str">
        <f>IF(SUM(EL18:EO18)-EP18&gt;0,SUM(EL18:EO18)-EP18,"")</f>
        <v/>
      </c>
      <c r="EY18" s="15" t="str">
        <f>IF(SUM(EW18:EX18)&gt;0,SUM(EW18:EX18),"")</f>
        <v/>
      </c>
      <c r="EZ18" s="15" t="str">
        <f>IF(ES18&gt;0,ES18,"")</f>
        <v/>
      </c>
      <c r="FA18" s="15" t="str">
        <f>IF(SUM(EQ18:ET18)-EU18&gt;0,SUM(EQ18:ET18)-EU18,"")</f>
        <v/>
      </c>
      <c r="FB18" s="15" t="str">
        <f>IF(SUM(EY18,FA18)&gt;0,SUM(EY18,FA18),"")</f>
        <v/>
      </c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12" t="str">
        <f>IF(FJ18&gt;0,FJ18,"")</f>
        <v/>
      </c>
      <c r="FS18" s="12" t="str">
        <f>IF(SUM(FC18:FF18)-FG18&gt;0,SUM(FC18:FF18)-FG18,"")</f>
        <v/>
      </c>
      <c r="FT18" s="12" t="str">
        <f>IF(SUM(FH18:FK18)-FL18&gt;0,SUM(FH18:FK18)-FL18,"")</f>
        <v/>
      </c>
      <c r="FU18" s="12" t="str">
        <f>IF(SUM(FS18:FT18)&gt;0,SUM(FS18:FT18),"")</f>
        <v/>
      </c>
      <c r="FV18" s="12" t="str">
        <f>IF(FO18&gt;0,FO18,"")</f>
        <v/>
      </c>
      <c r="FW18" s="12" t="str">
        <f>IF(SUM(FM18:FP18)-FQ18&gt;0,SUM(FM18:FP18)-FQ18,"")</f>
        <v/>
      </c>
      <c r="FX18" s="12" t="str">
        <f>IF(SUM(FU18,FW18)&gt;0,SUM(FU18,FW18),"")</f>
        <v/>
      </c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15" t="str">
        <f>IF(GF18&gt;0,GF18,"")</f>
        <v/>
      </c>
      <c r="GO18" s="15" t="str">
        <f>IF(SUM(FY18:GB18)-GC18&gt;0,SUM(FY18:GB18)-GC18,"")</f>
        <v/>
      </c>
      <c r="GP18" s="15" t="str">
        <f>IF(SUM(GD18:GG18)-GH18&gt;0,SUM(GD18:GG18)-GH18,"")</f>
        <v/>
      </c>
      <c r="GQ18" s="15" t="str">
        <f>IF(SUM(GO18:GP18)&gt;0,SUM(GO18:GP18),"")</f>
        <v/>
      </c>
      <c r="GR18" s="15" t="str">
        <f>IF(GK18&gt;0,GK18,"")</f>
        <v/>
      </c>
      <c r="GS18" s="15" t="str">
        <f>IF(SUM(GI18:GL18)-GM18&gt;0,SUM(GI18:GL18)-GM18,"")</f>
        <v/>
      </c>
      <c r="GT18" s="15" t="str">
        <f>IF(SUM(GQ18,GS18)&gt;0,SUM(GQ18,GS18),"")</f>
        <v/>
      </c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12" t="str">
        <f>IF(HB18&gt;0,HB18,"")</f>
        <v/>
      </c>
      <c r="HK18" s="12" t="str">
        <f>IF(SUM(GU18:GX18)-GY18&gt;0,SUM(GU18:GX18)-GY18,"")</f>
        <v/>
      </c>
      <c r="HL18" s="12" t="str">
        <f>IF(SUM(GZ18:HC18)-HD18&gt;0,SUM(GZ18:HC18)-HD18,"")</f>
        <v/>
      </c>
      <c r="HM18" s="12" t="str">
        <f>IF(SUM(HK18:HL18)&gt;0,SUM(HK18:HL18),"")</f>
        <v/>
      </c>
      <c r="HN18" s="12" t="str">
        <f>IF(HG18&gt;0,HG18,"")</f>
        <v/>
      </c>
      <c r="HO18" s="12" t="str">
        <f>IF(SUM(HE18:HH18)-HI18&gt;0,SUM(HE18:HH18)-HI18,"")</f>
        <v/>
      </c>
      <c r="HP18" s="12" t="str">
        <f>IF(SUM(HM18,HO18)&gt;0,SUM(HM18,HO18),"")</f>
        <v/>
      </c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15" t="str">
        <f>IF(HX18&gt;0,HX18,"")</f>
        <v/>
      </c>
      <c r="IG18" s="15" t="str">
        <f>IF(SUM(HQ18:HT18)-HU18&gt;0,SUM(HQ18:HT18)-HU18,"")</f>
        <v/>
      </c>
      <c r="IH18" s="15" t="str">
        <f>IF(SUM(HV18:HY18)-HZ18&gt;0,SUM(HV18:HY18)-HZ18,"")</f>
        <v/>
      </c>
      <c r="II18" s="15" t="str">
        <f>IF(SUM(IG18:IH18)&gt;0,SUM(IG18:IH18),"")</f>
        <v/>
      </c>
      <c r="IJ18" s="15" t="str">
        <f>IF(IC18&gt;0,IC18,"")</f>
        <v/>
      </c>
      <c r="IK18" s="15" t="str">
        <f>IF(SUM(IA18:ID18)-IE18&gt;0,SUM(IA18:ID18)-IE18,"")</f>
        <v/>
      </c>
      <c r="IL18" s="15" t="str">
        <f>IF(SUM(II18,IK18)&gt;0,SUM(II18,IK18),"")</f>
        <v/>
      </c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12" t="str">
        <f>IF(IT18&gt;0,IT18,"")</f>
        <v/>
      </c>
      <c r="JC18" s="12" t="str">
        <f>IF(SUM(IM18:IP18)-IQ18&gt;0,SUM(IM18:IP18)-IQ18,"")</f>
        <v/>
      </c>
      <c r="JD18" s="12" t="str">
        <f>IF(SUM(IR18:IU18)-IV18&gt;0,SUM(IR18:IU18)-IV18,"")</f>
        <v/>
      </c>
      <c r="JE18" s="12" t="str">
        <f>IF(SUM(JC18:JD18)&gt;0,SUM(JC18:JD18),"")</f>
        <v/>
      </c>
      <c r="JF18" s="12" t="str">
        <f>IF(IY18&gt;0,IY18,"")</f>
        <v/>
      </c>
      <c r="JG18" s="12" t="str">
        <f>IF(SUM(IW18:IZ18)-JA18&gt;0,SUM(IW18:IZ18)-JA18,"")</f>
        <v/>
      </c>
      <c r="JH18" s="12" t="str">
        <f>IF(SUM(JE18,JG18)&gt;0,SUM(JE18,JG18),"")</f>
        <v/>
      </c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15" t="str">
        <f>IF(JP18&gt;0,JP18,"")</f>
        <v/>
      </c>
      <c r="JY18" s="15" t="str">
        <f>IF(SUM(JI18:JL18)-JM18&gt;0,SUM(JI18:JL18)-JM18,"")</f>
        <v/>
      </c>
      <c r="JZ18" s="15" t="str">
        <f>IF(SUM(JN18:JQ18)-JR18&gt;0,SUM(JN18:JQ18)-JR18,"")</f>
        <v/>
      </c>
      <c r="KA18" s="15" t="str">
        <f>IF(SUM(JY18:JZ18)&gt;0,SUM(JY18:JZ18),"")</f>
        <v/>
      </c>
      <c r="KB18" s="15" t="str">
        <f>IF(JU18&gt;0,JU18,"")</f>
        <v/>
      </c>
      <c r="KC18" s="15" t="str">
        <f>IF(SUM(JS18:JV18)-JW18&gt;0,SUM(JS18:JV18)-JW18,"")</f>
        <v/>
      </c>
      <c r="KD18" s="15" t="str">
        <f>IF(SUM(KA18,KC18)&gt;0,SUM(KA18,KC18),"")</f>
        <v/>
      </c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12" t="str">
        <f>IF(KL18&gt;0,KL18,"")</f>
        <v/>
      </c>
      <c r="KU18" s="12" t="str">
        <f>IF(SUM(KE18:KH18)-KI18&gt;0,SUM(KE18:KH18)-KI18,"")</f>
        <v/>
      </c>
      <c r="KV18" s="12" t="str">
        <f>IF(SUM(KJ18:KM18)-KN18&gt;0,SUM(KJ18:KM18)-KN18,"")</f>
        <v/>
      </c>
      <c r="KW18" s="12" t="str">
        <f>IF(SUM(KU18:KV18)&gt;0,SUM(KU18:KV18),"")</f>
        <v/>
      </c>
      <c r="KX18" s="12" t="str">
        <f>IF(KQ18&gt;0,KQ18,"")</f>
        <v/>
      </c>
      <c r="KY18" s="12" t="str">
        <f>IF(SUM(KO18:KR18)-KS18&gt;0,SUM(KO18:KR18)-KS18,"")</f>
        <v/>
      </c>
      <c r="KZ18" s="12" t="str">
        <f>IF(SUM(KW18,KY18)&gt;0,SUM(KW18,KY18),"")</f>
        <v/>
      </c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15" t="str">
        <f>IF(LH18&gt;0,LH18,"")</f>
        <v/>
      </c>
      <c r="LQ18" s="15" t="str">
        <f>IF(SUM(LA18:LD18)-LE18&gt;0,SUM(LA18:LD18)-LE18,"")</f>
        <v/>
      </c>
      <c r="LR18" s="15" t="str">
        <f>IF(SUM(LF18:LI18)-LJ18&gt;0,SUM(LF18:LI18)-LJ18,"")</f>
        <v/>
      </c>
      <c r="LS18" s="15" t="str">
        <f>IF(SUM(LQ18:LR18)&gt;0,SUM(LQ18:LR18),"")</f>
        <v/>
      </c>
      <c r="LT18" s="15" t="str">
        <f>IF(LM18&gt;0,LM18,"")</f>
        <v/>
      </c>
      <c r="LU18" s="15" t="str">
        <f>IF(SUM(LK18:LN18)-LO18&gt;0,SUM(LK18:LN18)-LO18,"")</f>
        <v/>
      </c>
      <c r="LV18" s="15" t="str">
        <f>IF(SUM(LS18,LU18)&gt;0,SUM(LS18,LU18),"")</f>
        <v/>
      </c>
      <c r="LW18" s="71">
        <f t="shared" si="0"/>
        <v>17.350000000000001</v>
      </c>
      <c r="LX18" s="71">
        <f t="shared" si="1"/>
        <v>9.4749999999999996</v>
      </c>
      <c r="LY18" s="71">
        <f t="shared" si="2"/>
        <v>4</v>
      </c>
      <c r="LZ18" s="71">
        <f t="shared" si="3"/>
        <v>16.285</v>
      </c>
      <c r="MA18" s="71">
        <f t="shared" si="4"/>
        <v>0</v>
      </c>
      <c r="MB18" s="71">
        <f t="shared" si="5"/>
        <v>7.65</v>
      </c>
      <c r="MC18" s="71">
        <f t="shared" si="6"/>
        <v>4.3</v>
      </c>
      <c r="MD18" s="71">
        <f t="shared" si="7"/>
        <v>6.2</v>
      </c>
      <c r="ME18" s="71">
        <f t="shared" si="8"/>
        <v>7.79</v>
      </c>
      <c r="MF18" s="71">
        <f t="shared" si="9"/>
        <v>0</v>
      </c>
      <c r="MG18" s="71">
        <f t="shared" si="10"/>
        <v>7.95</v>
      </c>
      <c r="MH18" s="71">
        <f t="shared" si="11"/>
        <v>4.375</v>
      </c>
      <c r="MI18" s="71">
        <f t="shared" si="12"/>
        <v>6.45</v>
      </c>
      <c r="MJ18" s="71">
        <f t="shared" si="13"/>
        <v>7.5575000000000001</v>
      </c>
      <c r="MK18" s="71">
        <f t="shared" si="14"/>
        <v>0.3</v>
      </c>
      <c r="ML18" s="82" t="s">
        <v>96</v>
      </c>
      <c r="MM18" s="12">
        <f t="shared" si="15"/>
        <v>6.2</v>
      </c>
      <c r="MN18" s="12">
        <f t="shared" si="16"/>
        <v>47.11</v>
      </c>
      <c r="MO18" s="12">
        <f t="shared" si="17"/>
        <v>25.939999999999998</v>
      </c>
      <c r="MP18" s="12">
        <f t="shared" si="18"/>
        <v>73.05</v>
      </c>
      <c r="MQ18" s="12">
        <f t="shared" si="21"/>
        <v>6.45</v>
      </c>
      <c r="MR18" s="12">
        <f t="shared" si="19"/>
        <v>26.032499999999999</v>
      </c>
      <c r="MS18" s="12">
        <f t="shared" si="20"/>
        <v>99.082499999999996</v>
      </c>
    </row>
    <row r="19" spans="1:357" x14ac:dyDescent="0.2">
      <c r="A19" s="6" t="str">
        <f>IF(AND(F19="P",H19="P"),SUMPRODUCT((F$4:F$21="P")*(H$4:H$21="P")*(E$4:E$21&gt;E19))+1,IF(H19="P",SUMPRODUCT((F$4:F$21="")*(H$4:H$21="P")*(E$4:E$21&gt;E19))+1+SUMPRODUCT((F$4:F$21="P")*(H$4:H$21="P")),""))</f>
        <v/>
      </c>
      <c r="B19" s="7" t="s">
        <v>53</v>
      </c>
      <c r="C19" s="8" t="s">
        <v>10</v>
      </c>
      <c r="D19" s="29">
        <v>1998</v>
      </c>
      <c r="E19" s="16">
        <f>SUM(J19:R19)</f>
        <v>165.10999999999999</v>
      </c>
      <c r="F19" s="4" t="str">
        <f>IF(OR(AND($AK19&gt;=$AL$23,NOT($AK19=""),$AJ19=""),AND($BH19&gt;=$BI$23,NOT($BH19=""),$BG19=""),AND($CH19&gt;=$CI$23,NOT($CH19="")),AND($DD19&gt;=$DE$23,NOT($DD19="")),AND($DZ19&gt;=$EA$23,NOT($DZ19="")),AND($EV19&gt;=$EW$23,NOT($EV19="")),AND($FR19&gt;=$FS$23,NOT($FR19="")),AND($GN19&gt;=$GO$23,NOT($GN19="")),AND($HJ19&gt;=$HK$23,NOT($HJ19="")),AND($IF19&gt;=$IG$23,NOT($IF19="")),AND($JB19&gt;=$JC$23,NOT($JB19="")),AND($JX19&gt;=$JY$23,NOT($JX19="")),AND($KT19&gt;=$KU$23,NOT($KT19="")),AND($LP19&gt;=$LQ$23,NOT($LP19="")),AND($AO19&gt;=$AL$23,NOT($AO19=""),$AJ19=""),AND($BL19&gt;=$BI$23,NOT($BL19=""),$BG19=""),AND($CL19&gt;=$CI$23,NOT($CL19="")),AND($DH19&gt;=$DE$23,NOT($DH19="")),AND($ED19&gt;=$EA$23,NOT($ED19="")),AND($EZ19&gt;=$EW$23,NOT($EZ19="")),AND($FV19&gt;=$FS$23,NOT($FV19="")),AND($GR19&gt;=$GO$23,NOT($GR19="")),AND($HN19&gt;=$HK$23,NOT($HN19="")),AND($IJ19&gt;=$IG$23,NOT($IJ19="")),AND($JF19&gt;=$JC$23,NOT($JF19="")),AND($KB19&gt;=$JY$23,NOT($KB19="")),AND($KX19&gt;=$KU$23,NOT($KX19="")),AND($LT19&gt;=$LQ$23,NOT($LT19=""))),"P","")</f>
        <v/>
      </c>
      <c r="G19" s="4" t="str">
        <f>IF(OR(AND($AK19&gt;=$AL$24,NOT($AK19=""),$AJ19=""),AND($BH19&gt;=$BI$24,NOT($BH19=""),$BG19=""),AND($CH19&gt;=$CI$24,NOT($CH19="")),AND($DD19&gt;=$DE$24,NOT($DD19="")),AND($DZ19&gt;=$EA$24,NOT($DZ19="")),AND($EV19&gt;=$EW$24,NOT($EV19="")),AND($FR19&gt;=$FS$24,NOT($FR19="")),AND($GN19&gt;=$GO$24,NOT($GN19="")),AND($HJ19&gt;=$HK$24,NOT($HJ19="")),AND($IF19&gt;=$IG$24,NOT($IF19="")),AND($JB19&gt;=$JC$24,NOT($JB19="")),AND($JX19&gt;=$JY$24,NOT($JX19="")),AND($KT19&gt;=$KU$24,NOT($KT19="")),AND($LP19&gt;=$LQ$24,NOT($LP19="")),AND($AO19&gt;=$AL$24,NOT($AO19=""),$AJ19=""),AND($BL19&gt;=$BI$24,NOT($BL19=""),$BG19=""),AND($CL19&gt;=$CI$24,NOT($CL19="")),AND($DH19&gt;=$DE$24,NOT($DH19="")),AND($ED19&gt;=$EA$24,NOT($ED19="")),AND($EZ19&gt;=$EW$24,NOT($EZ19="")),AND($FV19&gt;=$FS$24,NOT($FV19="")),AND($GR19&gt;=$GO$24,NOT($GR19="")),AND($HN19&gt;=$HK$24,NOT($HN19="")),AND($IJ19&gt;=$IG$24,NOT($IJ19="")),AND($JF19&gt;=$JC$24,NOT($JF19="")),AND($KB19&gt;=$JY$24,NOT($KB19="")),AND($KX19&gt;=$KU$24,NOT($KX19="")),AND($LT19&gt;=$LQ$24,NOT($LT19=""))),"P","")</f>
        <v/>
      </c>
      <c r="H19" s="4" t="str">
        <f>IF(OR(AND($AN19&gt;=$AL$25,NOT($AN19=""),$AJ19=""),AND($BK19&gt;=$BI$25,NOT($BK19=""),$BG19=""),AND($CK19&gt;=$CI$25,NOT($CK19="")),AND($DG19&gt;=$DE$25,NOT($DG19="")),AND($EC19&gt;=$EA$25,NOT($EC19="")),AND($EY19&gt;=$EW$25,NOT($EY19="")),AND($FU19&gt;=$FS$25,NOT($FU19="")),AND($GQ19&gt;=$GO$25,NOT($GQ19="")),AND($HM19&gt;=$HK$25,NOT($HM19="")),AND($II19&gt;=$IG$25,NOT($II19="")),AND($JE19&gt;=$JC$25,NOT($JE19="")),AND($KA19&gt;=$JY$25,NOT($KA19="")),AND($KW19&gt;=$KU$25,NOT($KW19="")),AND($LS19&gt;=$LQ$25,NOT($LS19=""))),"P","")</f>
        <v/>
      </c>
      <c r="I19" t="str">
        <f>IF(AND(H19="P",F19=""),"No DD",IF(AND(G19="P",OR(AND($AM19&gt;$AL$28,NOT($AM19=""),$AJ19=""),AND($AP19&gt;$AL$28,NOT($AP19=""),$AJ19=""),AND($BJ19&gt;$BI$28,NOT($BJ19=""),$BG19=""),AND($BM19&gt;$BI$28,NOT($BM19=""),$BG19=""),AND($CJ19&gt;$CI$28,NOT($CJ19="")),AND($CM19&gt;$CI$28,NOT($CM19="")),AND($DF19&gt;$DE$28,NOT($DF19="")),AND($DI19&gt;$DE$28,NOT($DI19="")),AND($EB19&gt;$EA$28,NOT($EB19="")),AND($EE19&gt;$EA$28,NOT($EE19="")),AND($EX19&gt;$EW$28,NOT($EX19="")),AND($FA19&gt;$EW$28,NOT($FA19="")),AND($FT19&gt;$FS$28,NOT($FT19="")),AND($FW19&gt;$FS$28,NOT($FW19="")),AND($GP19&gt;$GO$28,NOT($GP19="")),AND($GS19&gt;$GO$28,NOT($GS19="")),AND($HL19&gt;$HK$28,NOT($HL19="")),AND($HO19&gt;$HK$28,NOT($HO19="")),AND($IH19&gt;$IG$28,NOT($IH19="")),AND($IK19&gt;$IG$28,NOT($IK19="")),AND($JD19&gt;$JC$28,NOT($JD19="")),AND($JG19&gt;$JC$28,NOT($JG19="")),AND($JZ19&gt;$JY$28,NOT($JZ19="")),AND($KC19&gt;$JY$28,NOT($KC19="")),AND($KV19&gt;$KU$28,NOT($KV19="")),AND($KY19&gt;$KU$28,NOT($KY19="")),AND($LR19&gt;$LQ$28,NOT($LR19="")),AND($LU19&gt;$LQ$28,NOT($LU19="")))),"Merit",IF(AND(G19="P",OR(AND($AN19&gt;$AL$27,NOT($AN19=""),$AJ19=""),AND($BK19&gt;$BI$27,NOT($BK19=""),$BG19=""),AND($CK19&gt;$CI$27,NOT($CK19="")),AND($DG19&gt;$DE$27,NOT($DG19="")),AND($EC19&gt;$EA$27,NOT($EC19="")),AND($EY19&gt;$EW$27,NOT($EY19="")),AND($FU19&gt;$FS$27,NOT($FU19="")),AND($GQ19&gt;$GO$27,NOT($GQ19="")),AND($HM19&gt;$HK$27,NOT($HM19="")),AND($II19&gt;$IG$27,NOT($II19="")),AND($JE19&gt;$JC$27,NOT($JE19="")),AND($KA19&gt;$JY$27,NOT($KA19="")),AND($KW19&gt;$KU$27,NOT($KW19="")),AND($LS19&gt;$LQ$27,NOT($LS19="")))),"Excellence",IF(AND(G19="P",OR(AND($AN19&gt;$AL$26,NOT($AN19=""),$AJ19=""),AND($BK19&gt;$BI$26,NOT($BK19=""),$BG19=""),AND($CK19&gt;$CI$26,NOT($CK19="")),AND($DG19&gt;$DE$26,NOT($DG19="")),AND($EC19&gt;$EA$26,NOT($EC19="")),AND($EY19&gt;$EW$26,NOT($EY19="")),AND($FU19&gt;$FS$26,NOT($FU19="")),AND($GQ19&gt;$GO$26,NOT($GQ19="")),AND($HM19&gt;$HK$26,NOT($HM19="")),AND($II19&gt;$IG$26,NOT($II19="")),AND($JE19&gt;$JC$26,NOT($JE19="")),AND($KA19&gt;$JY$26,NOT($KA19="")),AND($KW19&gt;$KU$26,NOT($KW19="")),AND($LS19&gt;$LQ$26,NOT($LS19="")))),"Worlds Team",IF(AND(F19="P",OR(AND($AN19&gt;$AL$25,NOT($AN19=""),$AJ19=""),AND($BK19&gt;$BI$25,NOT($BK19=""),$BG19=""),AND($CK19&gt;$CI$25,NOT($CK19="")),AND($DG19&gt;$DE$25,NOT($DG19="")),AND($EC19&gt;$EA$25,NOT($EC19="")),AND($EY19&gt;$EW$25,NOT($EY19="")),AND($FU19&gt;$FS$25,NOT($FU19="")),AND($GQ19&gt;$GO$25,NOT($GQ19="")),AND($HM19&gt;$HK$25,NOT($HM19="")),AND($II19&gt;$IG$25,NOT($II19="")),AND($JE19&gt;$JC$25,NOT($JE19="")),AND($KA19&gt;$JY$25,NOT($KA19="")),AND($KW19&gt;$KU$25,NOT($KW19="")),AND($LS19&gt;$LQ$25,NOT($LS19="")))),"National Team","")))))</f>
        <v/>
      </c>
      <c r="J19" s="15">
        <f>IF(MAX(AN19,BK19)&gt;0,MAX(AN19,BK19),"")</f>
        <v>98.35</v>
      </c>
      <c r="K19" s="15" t="str">
        <f>IF(J19="","",IF(J19=BK19,$AR$1,IF(J19=AN19,$U$1,"")))</f>
        <v>2019 Nationals</v>
      </c>
      <c r="L19" s="15">
        <f>IF($J19=$AN19,BI19,IF($J19=$BK19,AL19,MAX(AL19,BI19)))</f>
        <v>40.85</v>
      </c>
      <c r="M19" s="15" t="str">
        <f>IF(L19="","",IF(AND(L19=BI19,$K19&lt;&gt;$AR$1),$AR$1,IF(AND(L19=AL19,$K19&lt;&gt;$U$1),$U$1,"")))</f>
        <v>2019 Elite Canada</v>
      </c>
      <c r="N19" s="15">
        <f>IF($J19=$AN19,BJ19,IF($J19=$BK19,AM19,MAX(AM19,BJ19)))</f>
        <v>25.910000000000004</v>
      </c>
      <c r="O19" s="15" t="str">
        <f>IF(N19="","",IF(AND(N19=BJ19,$K19&lt;&gt;$AR$1),$AR$1,IF(AND(N19=AM19,$K19&lt;&gt;$U$1),$U$1,"")))</f>
        <v>2019 Elite Canada</v>
      </c>
      <c r="P19" s="15" t="str">
        <f>IF(MAX(AP19,BM19)&gt;0,MAX(AP19,BM19),"")</f>
        <v/>
      </c>
      <c r="Q19" s="15" t="str">
        <f>IF(P19="","",IF(P19=BM19,$AR$1,IF(P19=AP19,$U$1,"")))</f>
        <v/>
      </c>
      <c r="R19" s="15" t="str">
        <f>IF(MAX(BO19,BP19,BQ19,BR19)&gt;0,MAX(BO19,BP19,BQ19,BR19),"")</f>
        <v/>
      </c>
      <c r="S19" s="27" t="str">
        <f>IF(R19="","",IF(R19=BO19,"(Vol 1)",IF(R19=BP19,"(Vol 2)",IF(R19=BQ19,"(Prelim)",IF(R19=BR19,"(Final)")))))</f>
        <v/>
      </c>
      <c r="T19" s="15" t="str">
        <f>IF(R19="","",IF(R19=BO19,IF(R19+IF(L19="",0,L19)=LQ19,$LA$1,IF(R19+IF(L19="",0,L19)=KU19,$KE$1,IF(R19+IF(L19="",0,L19)=JY19,$JI$1,IF(R19+IF(L19="",0,L19)=JC19,$IM$1,IF(R19+IF(L19="",0,L19)=IG19,$HQ$1,IF(R19+IF(L19="",0,L19)=HK19,$GU$1,IF(R19+IF(L19="",0,L19)=GO19,$FY$1,IF(R19+IF(L19="",0,L19)=FS19,$FC$1,IF(R19+IF(L19="",0,L19)=EW19,$EG$1,IF(R19+IF(L19="",0,L19)=EA19,$DK$1,IF(R19+IF(L19="",0,L19)=DE19,$CO$1,IF(R19+IF(L19="",0,L19)=CI19,$BS$1)))))))))))),IF(R19=BP19,IF(R19+IF(N19="",0,N19)=LR19,$LA$1,IF(R19+IF(N19="",0,N19)=KV19,$KE$1,IF(R19+IF(N19="",0,N19)=JZ19,$JI$1,IF(R19+IF(N19="",0,N19)=JD19,$IM$1,IF(R19+IF(N19="",0,N19)=IH19,$HQ$1,IF(R19+IF(N19="",0,N19)=HL19,$GU$1,IF(R19+IF(N19="",0,N19)=GP19,$FY$1,IF(R19+IF(N19="",0,N19)=FT19,$FC$1,IF(R19+IF(N19="",0,N19)=EX19,$EG$1,IF(R19+IF(N19="",0,N19)=EB19,$DK$1,IF(R19+IF(N19="",0,N19)=DF19,$CO$1,IF(R19+IF(N19="",0,N19)=CJ19,$BS$1)))))))))))),IF(R19=BQ19,IF(R19+IF(J19="",0,J19)=LS19,$LA$1,IF(R19+IF(J19="",0,J19)=KW19,$KE$1,IF(R19+IF(J19="",0,J19)=KA19,$JI$1,IF(R19+IF(J19="",0,J19)=JE19,$IM$1,IF(R19+IF(J19="",0,J19)=II19,$HQ$1,IF(R19+IF(J19="",0,J19)=HM19,$GU$1,IF(R19+IF(J19="",0,J19)=GQ19,$FY$1,IF(R19+IF(J19="",0,J19)=FU19,$FC$1,IF(R19+IF(J19="",0,J19)=EY19,$EG$1,IF(R19+IF(J19="",0,J19)=EC19,$DK$1,IF(R19+IF(J19="",0,J19)=DG19,$CO$1,IF(R19+IF(J19="",0,J19)=CK19,$BS$1)))))))))))),IF(R19=BR19,IF(R19+IF(P19="",0,P19)=LU19,$LA$1,IF(R19+IF(P19="",0,P19)=KY19,$KE$1,IF(R19+IF(P19="",0,P19)=KC19,$JI$1,IF(R19+IF(P19="",0,P19)=JG19,$IM$1,IF(R19+IF(P19="",0,P19)=IK19,$HQ$1,IF(R19+IF(P19="",0,P19)=HO19,$GU$1,IF(R19+IF(P19="",0,P19)=GS19,$FY$1,IF(R19+IF(P19="",0,P19)=FW19,$FC$1,IF(R19+IF(P19="",0,P19)=FA19,$EG$1,IF(R19+IF(P19="",0,P19)=EE19,$DK$1,IF(R19+IF(P19="",0,P19)=DI19,$CO$1,IF(R19+IF(P19="",0,P19)=CM19,$BS$1)))))))))))))))))</f>
        <v/>
      </c>
      <c r="U19" s="71">
        <v>14.7</v>
      </c>
      <c r="V19" s="71">
        <v>8.4</v>
      </c>
      <c r="W19" s="71">
        <v>2.6</v>
      </c>
      <c r="X19" s="71">
        <v>15.35</v>
      </c>
      <c r="Y19" s="71">
        <v>0.2</v>
      </c>
      <c r="Z19" s="71">
        <v>6.9</v>
      </c>
      <c r="AA19" s="71">
        <v>4.2</v>
      </c>
      <c r="AB19" s="71">
        <v>7.1</v>
      </c>
      <c r="AC19" s="71">
        <v>7.71</v>
      </c>
      <c r="AD19" s="71">
        <v>0</v>
      </c>
      <c r="AE19" s="71"/>
      <c r="AF19" s="71"/>
      <c r="AG19" s="71"/>
      <c r="AH19" s="71"/>
      <c r="AI19" s="71"/>
      <c r="AJ19" s="82"/>
      <c r="AK19" s="12">
        <f>IF(AB19&gt;0,AB19,"")</f>
        <v>7.1</v>
      </c>
      <c r="AL19" s="12">
        <f>IF(SUM(U19:X19)-Y19&gt;0,SUM(U19:X19)-Y19,"")</f>
        <v>40.85</v>
      </c>
      <c r="AM19" s="12">
        <f>IF(SUM(Z19:AC19)-AD19&gt;0,SUM(Z19:AC19)-AD19,"")</f>
        <v>25.910000000000004</v>
      </c>
      <c r="AN19" s="12">
        <f>IF(SUM(AL19:AM19)&gt;0,SUM(AL19:AM19),"")</f>
        <v>66.760000000000005</v>
      </c>
      <c r="AO19" s="12" t="str">
        <f>IF(AG19&gt;0,AG19,"")</f>
        <v/>
      </c>
      <c r="AP19" s="12" t="str">
        <f>IF(SUM(AE19:AH19)-AI19&gt;0,SUM(AE19:AH19)-AI19,"")</f>
        <v/>
      </c>
      <c r="AQ19" s="12">
        <f>IF(SUM(AN19,AP19)&gt;0,SUM(AN19,AP19),"")</f>
        <v>66.760000000000005</v>
      </c>
      <c r="AR19" s="77">
        <v>17.5</v>
      </c>
      <c r="AS19" s="77">
        <v>9.1</v>
      </c>
      <c r="AT19" s="77">
        <v>3.9</v>
      </c>
      <c r="AU19" s="77">
        <v>16.36</v>
      </c>
      <c r="AV19" s="77">
        <v>0</v>
      </c>
      <c r="AW19" s="77">
        <v>14.7</v>
      </c>
      <c r="AX19" s="77">
        <v>9.8000000000000007</v>
      </c>
      <c r="AY19" s="77">
        <v>12.8</v>
      </c>
      <c r="AZ19" s="77">
        <v>14.89</v>
      </c>
      <c r="BA19" s="77">
        <v>0.7</v>
      </c>
      <c r="BB19" s="77"/>
      <c r="BC19" s="77"/>
      <c r="BD19" s="77"/>
      <c r="BE19" s="77"/>
      <c r="BF19" s="77"/>
      <c r="BG19" s="83"/>
      <c r="BH19" s="15">
        <f>IF(AY19&gt;0,AY19,"")</f>
        <v>12.8</v>
      </c>
      <c r="BI19" s="15">
        <f>IF(SUM(AR19:AU19)-AV19&gt;0,SUM(AR19:AU19)-AV19,"")</f>
        <v>46.86</v>
      </c>
      <c r="BJ19" s="15">
        <f>IF(SUM(AW19:AZ19)-BA19&gt;0,SUM(AW19:AZ19)-BA19,"")</f>
        <v>51.489999999999995</v>
      </c>
      <c r="BK19" s="15">
        <f>IF(SUM(BI19:BJ19)&gt;0,SUM(BI19:BJ19),"")</f>
        <v>98.35</v>
      </c>
      <c r="BL19" s="15" t="str">
        <f>IF(BD19&gt;0,BD19,"")</f>
        <v/>
      </c>
      <c r="BM19" s="15" t="str">
        <f>IF(SUM(BB19:BE19)-BF19&gt;0,SUM(BB19:BE19)-BF19,"")</f>
        <v/>
      </c>
      <c r="BN19" s="15">
        <f>IF(SUM(BK19,BM19)&gt;0,SUM(BK19,BM19),"")</f>
        <v>98.35</v>
      </c>
      <c r="BO19" s="26" t="str">
        <f>IF(MAX(CI19,DE19,EA19,EW19,FS19,GO19,HK19,IG19,JC19,JY19,KU19,LQ19)-IF(L19="",0,L19)&gt;0.001,MAX(CI19,DE19,EA19,EW19,FS19,GO19,HK19,IG19,JC19,JY19,KU19,LQ19)-IF(L19="",0,L19),"")</f>
        <v/>
      </c>
      <c r="BP19" s="26" t="str">
        <f>IF(MAX(CJ19,DF19,EB19,EX19,FT19,GP19,HL19,IH19,JD19,JZ19,KV19,LR19)-IF(N19="",0,N19)&gt;0.001,MAX(CJ19,DF19,EB19,EX19,FT19,GP19,HL19,IH19,JD19,JZ19,KV19,LR19)-IF(N19="",0,N19),"")</f>
        <v/>
      </c>
      <c r="BQ19" s="26" t="str">
        <f>IF(MAX(CK19,DG19,EC19,EY19,FU19,GQ19,HM19,II19,JE19,KA19,KW19,LS19)-IF(J19="",0,J19)&gt;0.001,MAX(CK19,DG19,EC19,EY19,FU19,GQ19,HM19,II19,JE19,KA19,KW19,LS19)-IF(J19="",0,J19),"")</f>
        <v/>
      </c>
      <c r="BR19" s="26" t="str">
        <f>IF(MAX(CM19,DI19,EE19,FA19,FW19,GS19,HO19,IK19,JG19,KC19,KY19,LU19)-IF(P19="",0,P19)&gt;0.001,MAX(CM19,DI19,EE19,FA19,FW19,GS19,HO19,IK19,JG19,KC19,KY19,LU19)-IF(P19="",0,P19),"")</f>
        <v/>
      </c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12" t="str">
        <f>IF(BZ19&gt;0,BZ19,"")</f>
        <v/>
      </c>
      <c r="CI19" s="12" t="str">
        <f>IF(SUM(BS19:BV19)-BW19&gt;0,SUM(BS19:BV19)-BW19,"")</f>
        <v/>
      </c>
      <c r="CJ19" s="12" t="str">
        <f>IF(SUM(BX19:CA19)-CB19&gt;0,SUM(BX19:CA19)-CB19,"")</f>
        <v/>
      </c>
      <c r="CK19" s="12" t="str">
        <f>IF(SUM(CI19:CJ19)&gt;0,SUM(CI19:CJ19),"")</f>
        <v/>
      </c>
      <c r="CL19" s="12" t="str">
        <f>IF(CE19&gt;0,CE19,"")</f>
        <v/>
      </c>
      <c r="CM19" s="12" t="str">
        <f>IF(SUM(CC19:CF19)-CG19&gt;0,SUM(CC19:CF19)-CG19,"")</f>
        <v/>
      </c>
      <c r="CN19" s="12" t="str">
        <f>IF(SUM(CK19,CM19)&gt;0,SUM(CK19,CM19),"")</f>
        <v/>
      </c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15" t="str">
        <f>IF(CV19&gt;0,CV19,"")</f>
        <v/>
      </c>
      <c r="DE19" s="15" t="str">
        <f>IF(SUM(CO19:CR19)-CS19&gt;0,SUM(CO19:CR19)-CS19,"")</f>
        <v/>
      </c>
      <c r="DF19" s="15" t="str">
        <f>IF(SUM(CT19:CW19)-CX19&gt;0,SUM(CT19:CW19)-CX19,"")</f>
        <v/>
      </c>
      <c r="DG19" s="15" t="str">
        <f>IF(SUM(DE19:DF19)&gt;0,SUM(DE19:DF19),"")</f>
        <v/>
      </c>
      <c r="DH19" s="15" t="str">
        <f>IF(DA19&gt;0,DA19,"")</f>
        <v/>
      </c>
      <c r="DI19" s="15" t="str">
        <f>IF(SUM(CY19:DB19)-DC19&gt;0,SUM(CY19:DB19)-DC19,"")</f>
        <v/>
      </c>
      <c r="DJ19" s="15" t="str">
        <f>IF(SUM(DG19,DI19)&gt;0,SUM(DG19,DI19),"")</f>
        <v/>
      </c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12" t="str">
        <f>IF(DR19&gt;0,DR19,"")</f>
        <v/>
      </c>
      <c r="EA19" s="12" t="str">
        <f>IF(SUM(DK19:DN19)-DO19&gt;0,SUM(DK19:DN19)-DO19,"")</f>
        <v/>
      </c>
      <c r="EB19" s="12" t="str">
        <f>IF(SUM(DP19:DS19)-DT19&gt;0,SUM(DP19:DS19)-DT19,"")</f>
        <v/>
      </c>
      <c r="EC19" s="12" t="str">
        <f>IF(SUM(EA19:EB19)&gt;0,SUM(EA19:EB19),"")</f>
        <v/>
      </c>
      <c r="ED19" s="12" t="str">
        <f>IF(DW19&gt;0,DW19,"")</f>
        <v/>
      </c>
      <c r="EE19" s="12" t="str">
        <f>IF(SUM(DU19:DX19)-DY19&gt;0,SUM(DU19:DX19)-DY19,"")</f>
        <v/>
      </c>
      <c r="EF19" s="12" t="str">
        <f>IF(SUM(EC19,EE19)&gt;0,SUM(EC19,EE19),"")</f>
        <v/>
      </c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15" t="str">
        <f>IF(EN19&gt;0,EN19,"")</f>
        <v/>
      </c>
      <c r="EW19" s="15" t="str">
        <f>IF(SUM(EG19:EJ19)-EK19&gt;0,SUM(EG19:EJ19)-EK19,"")</f>
        <v/>
      </c>
      <c r="EX19" s="15" t="str">
        <f>IF(SUM(EL19:EO19)-EP19&gt;0,SUM(EL19:EO19)-EP19,"")</f>
        <v/>
      </c>
      <c r="EY19" s="15" t="str">
        <f>IF(SUM(EW19:EX19)&gt;0,SUM(EW19:EX19),"")</f>
        <v/>
      </c>
      <c r="EZ19" s="15" t="str">
        <f>IF(ES19&gt;0,ES19,"")</f>
        <v/>
      </c>
      <c r="FA19" s="15" t="str">
        <f>IF(SUM(EQ19:ET19)-EU19&gt;0,SUM(EQ19:ET19)-EU19,"")</f>
        <v/>
      </c>
      <c r="FB19" s="15" t="str">
        <f>IF(SUM(EY19,FA19)&gt;0,SUM(EY19,FA19),"")</f>
        <v/>
      </c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12" t="str">
        <f>IF(FJ19&gt;0,FJ19,"")</f>
        <v/>
      </c>
      <c r="FS19" s="12" t="str">
        <f>IF(SUM(FC19:FF19)-FG19&gt;0,SUM(FC19:FF19)-FG19,"")</f>
        <v/>
      </c>
      <c r="FT19" s="12" t="str">
        <f>IF(SUM(FH19:FK19)-FL19&gt;0,SUM(FH19:FK19)-FL19,"")</f>
        <v/>
      </c>
      <c r="FU19" s="12" t="str">
        <f>IF(SUM(FS19:FT19)&gt;0,SUM(FS19:FT19),"")</f>
        <v/>
      </c>
      <c r="FV19" s="12" t="str">
        <f>IF(FO19&gt;0,FO19,"")</f>
        <v/>
      </c>
      <c r="FW19" s="12" t="str">
        <f>IF(SUM(FM19:FP19)-FQ19&gt;0,SUM(FM19:FP19)-FQ19,"")</f>
        <v/>
      </c>
      <c r="FX19" s="12" t="str">
        <f>IF(SUM(FU19,FW19)&gt;0,SUM(FU19,FW19),"")</f>
        <v/>
      </c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15" t="str">
        <f>IF(GF19&gt;0,GF19,"")</f>
        <v/>
      </c>
      <c r="GO19" s="15" t="str">
        <f>IF(SUM(FY19:GB19)-GC19&gt;0,SUM(FY19:GB19)-GC19,"")</f>
        <v/>
      </c>
      <c r="GP19" s="15" t="str">
        <f>IF(SUM(GD19:GG19)-GH19&gt;0,SUM(GD19:GG19)-GH19,"")</f>
        <v/>
      </c>
      <c r="GQ19" s="15" t="str">
        <f>IF(SUM(GO19:GP19)&gt;0,SUM(GO19:GP19),"")</f>
        <v/>
      </c>
      <c r="GR19" s="15" t="str">
        <f>IF(GK19&gt;0,GK19,"")</f>
        <v/>
      </c>
      <c r="GS19" s="15" t="str">
        <f>IF(SUM(GI19:GL19)-GM19&gt;0,SUM(GI19:GL19)-GM19,"")</f>
        <v/>
      </c>
      <c r="GT19" s="15" t="str">
        <f>IF(SUM(GQ19,GS19)&gt;0,SUM(GQ19,GS19),"")</f>
        <v/>
      </c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12" t="str">
        <f>IF(HB19&gt;0,HB19,"")</f>
        <v/>
      </c>
      <c r="HK19" s="12" t="str">
        <f>IF(SUM(GU19:GX19)-GY19&gt;0,SUM(GU19:GX19)-GY19,"")</f>
        <v/>
      </c>
      <c r="HL19" s="12" t="str">
        <f>IF(SUM(GZ19:HC19)-HD19&gt;0,SUM(GZ19:HC19)-HD19,"")</f>
        <v/>
      </c>
      <c r="HM19" s="12" t="str">
        <f>IF(SUM(HK19:HL19)&gt;0,SUM(HK19:HL19),"")</f>
        <v/>
      </c>
      <c r="HN19" s="12" t="str">
        <f>IF(HG19&gt;0,HG19,"")</f>
        <v/>
      </c>
      <c r="HO19" s="12" t="str">
        <f>IF(SUM(HE19:HH19)-HI19&gt;0,SUM(HE19:HH19)-HI19,"")</f>
        <v/>
      </c>
      <c r="HP19" s="12" t="str">
        <f>IF(SUM(HM19,HO19)&gt;0,SUM(HM19,HO19),"")</f>
        <v/>
      </c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15" t="str">
        <f>IF(HX19&gt;0,HX19,"")</f>
        <v/>
      </c>
      <c r="IG19" s="15" t="str">
        <f>IF(SUM(HQ19:HT19)-HU19&gt;0,SUM(HQ19:HT19)-HU19,"")</f>
        <v/>
      </c>
      <c r="IH19" s="15" t="str">
        <f>IF(SUM(HV19:HY19)-HZ19&gt;0,SUM(HV19:HY19)-HZ19,"")</f>
        <v/>
      </c>
      <c r="II19" s="15" t="str">
        <f>IF(SUM(IG19:IH19)&gt;0,SUM(IG19:IH19),"")</f>
        <v/>
      </c>
      <c r="IJ19" s="15" t="str">
        <f>IF(IC19&gt;0,IC19,"")</f>
        <v/>
      </c>
      <c r="IK19" s="15" t="str">
        <f>IF(SUM(IA19:ID19)-IE19&gt;0,SUM(IA19:ID19)-IE19,"")</f>
        <v/>
      </c>
      <c r="IL19" s="15" t="str">
        <f>IF(SUM(II19,IK19)&gt;0,SUM(II19,IK19),"")</f>
        <v/>
      </c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12" t="str">
        <f>IF(IT19&gt;0,IT19,"")</f>
        <v/>
      </c>
      <c r="JC19" s="12" t="str">
        <f>IF(SUM(IM19:IP19)-IQ19&gt;0,SUM(IM19:IP19)-IQ19,"")</f>
        <v/>
      </c>
      <c r="JD19" s="12" t="str">
        <f>IF(SUM(IR19:IU19)-IV19&gt;0,SUM(IR19:IU19)-IV19,"")</f>
        <v/>
      </c>
      <c r="JE19" s="12" t="str">
        <f>IF(SUM(JC19:JD19)&gt;0,SUM(JC19:JD19),"")</f>
        <v/>
      </c>
      <c r="JF19" s="12" t="str">
        <f>IF(IY19&gt;0,IY19,"")</f>
        <v/>
      </c>
      <c r="JG19" s="12" t="str">
        <f>IF(SUM(IW19:IZ19)-JA19&gt;0,SUM(IW19:IZ19)-JA19,"")</f>
        <v/>
      </c>
      <c r="JH19" s="12" t="str">
        <f>IF(SUM(JE19,JG19)&gt;0,SUM(JE19,JG19),"")</f>
        <v/>
      </c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15" t="str">
        <f>IF(JP19&gt;0,JP19,"")</f>
        <v/>
      </c>
      <c r="JY19" s="15" t="str">
        <f>IF(SUM(JI19:JL19)-JM19&gt;0,SUM(JI19:JL19)-JM19,"")</f>
        <v/>
      </c>
      <c r="JZ19" s="15" t="str">
        <f>IF(SUM(JN19:JQ19)-JR19&gt;0,SUM(JN19:JQ19)-JR19,"")</f>
        <v/>
      </c>
      <c r="KA19" s="15" t="str">
        <f>IF(SUM(JY19:JZ19)&gt;0,SUM(JY19:JZ19),"")</f>
        <v/>
      </c>
      <c r="KB19" s="15" t="str">
        <f>IF(JU19&gt;0,JU19,"")</f>
        <v/>
      </c>
      <c r="KC19" s="15" t="str">
        <f>IF(SUM(JS19:JV19)-JW19&gt;0,SUM(JS19:JV19)-JW19,"")</f>
        <v/>
      </c>
      <c r="KD19" s="15" t="str">
        <f>IF(SUM(KA19,KC19)&gt;0,SUM(KA19,KC19),"")</f>
        <v/>
      </c>
      <c r="KE19" s="39"/>
      <c r="KF19" s="39"/>
      <c r="KG19" s="39"/>
      <c r="KH19" s="39"/>
      <c r="KI19" s="39"/>
      <c r="KJ19" s="39"/>
      <c r="KK19" s="39"/>
      <c r="KL19" s="39"/>
      <c r="KM19" s="39"/>
      <c r="KN19" s="39"/>
      <c r="KO19" s="39"/>
      <c r="KP19" s="39"/>
      <c r="KQ19" s="39"/>
      <c r="KR19" s="39"/>
      <c r="KS19" s="39"/>
      <c r="KT19" s="12" t="str">
        <f>IF(KL19&gt;0,KL19,"")</f>
        <v/>
      </c>
      <c r="KU19" s="12" t="str">
        <f>IF(SUM(KE19:KH19)-KI19&gt;0,SUM(KE19:KH19)-KI19,"")</f>
        <v/>
      </c>
      <c r="KV19" s="12" t="str">
        <f>IF(SUM(KJ19:KM19)-KN19&gt;0,SUM(KJ19:KM19)-KN19,"")</f>
        <v/>
      </c>
      <c r="KW19" s="12" t="str">
        <f>IF(SUM(KU19:KV19)&gt;0,SUM(KU19:KV19),"")</f>
        <v/>
      </c>
      <c r="KX19" s="12" t="str">
        <f>IF(KQ19&gt;0,KQ19,"")</f>
        <v/>
      </c>
      <c r="KY19" s="12" t="str">
        <f>IF(SUM(KO19:KR19)-KS19&gt;0,SUM(KO19:KR19)-KS19,"")</f>
        <v/>
      </c>
      <c r="KZ19" s="12" t="str">
        <f>IF(SUM(KW19,KY19)&gt;0,SUM(KW19,KY19),"")</f>
        <v/>
      </c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15" t="str">
        <f>IF(LH19&gt;0,LH19,"")</f>
        <v/>
      </c>
      <c r="LQ19" s="15" t="str">
        <f>IF(SUM(LA19:LD19)-LE19&gt;0,SUM(LA19:LD19)-LE19,"")</f>
        <v/>
      </c>
      <c r="LR19" s="15" t="str">
        <f>IF(SUM(LF19:LI19)-LJ19&gt;0,SUM(LF19:LI19)-LJ19,"")</f>
        <v/>
      </c>
      <c r="LS19" s="15" t="str">
        <f>IF(SUM(LQ19:LR19)&gt;0,SUM(LQ19:LR19),"")</f>
        <v/>
      </c>
      <c r="LT19" s="15" t="str">
        <f>IF(LM19&gt;0,LM19,"")</f>
        <v/>
      </c>
      <c r="LU19" s="15" t="str">
        <f>IF(SUM(LK19:LN19)-LO19&gt;0,SUM(LK19:LN19)-LO19,"")</f>
        <v/>
      </c>
      <c r="LV19" s="15" t="str">
        <f>IF(SUM(LS19,LU19)&gt;0,SUM(LS19,LU19),"")</f>
        <v/>
      </c>
      <c r="LW19" s="71">
        <f t="shared" si="0"/>
        <v>16.100000000000001</v>
      </c>
      <c r="LX19" s="71">
        <f t="shared" si="1"/>
        <v>8.75</v>
      </c>
      <c r="LY19" s="71">
        <f t="shared" si="2"/>
        <v>3.25</v>
      </c>
      <c r="LZ19" s="71">
        <f t="shared" si="3"/>
        <v>15.855</v>
      </c>
      <c r="MA19" s="71">
        <f t="shared" si="4"/>
        <v>0.1</v>
      </c>
      <c r="MB19" s="71">
        <f t="shared" si="5"/>
        <v>10.8</v>
      </c>
      <c r="MC19" s="71">
        <f t="shared" si="6"/>
        <v>7</v>
      </c>
      <c r="MD19" s="71">
        <f t="shared" si="7"/>
        <v>9.9499999999999993</v>
      </c>
      <c r="ME19" s="71">
        <f t="shared" si="8"/>
        <v>11.3</v>
      </c>
      <c r="MF19" s="71">
        <f t="shared" si="9"/>
        <v>0.35</v>
      </c>
      <c r="MG19" s="71">
        <f t="shared" si="10"/>
        <v>0</v>
      </c>
      <c r="MH19" s="71">
        <f t="shared" si="11"/>
        <v>0</v>
      </c>
      <c r="MI19" s="71">
        <f t="shared" si="12"/>
        <v>0</v>
      </c>
      <c r="MJ19" s="71">
        <f t="shared" si="13"/>
        <v>0</v>
      </c>
      <c r="MK19" s="71">
        <f t="shared" si="14"/>
        <v>0</v>
      </c>
      <c r="ML19" s="82" t="s">
        <v>96</v>
      </c>
      <c r="MM19" s="12">
        <f t="shared" si="15"/>
        <v>9.9499999999999993</v>
      </c>
      <c r="MN19" s="12">
        <f t="shared" si="16"/>
        <v>43.854999999999997</v>
      </c>
      <c r="MO19" s="12">
        <f t="shared" si="17"/>
        <v>38.699999999999996</v>
      </c>
      <c r="MP19" s="12">
        <f t="shared" si="18"/>
        <v>82.554999999999993</v>
      </c>
      <c r="MQ19" s="12" t="str">
        <f t="shared" si="21"/>
        <v/>
      </c>
      <c r="MR19" s="12" t="str">
        <f t="shared" si="19"/>
        <v/>
      </c>
      <c r="MS19" s="12">
        <f t="shared" si="20"/>
        <v>82.554999999999993</v>
      </c>
    </row>
    <row r="20" spans="1:357" x14ac:dyDescent="0.2">
      <c r="A20" s="6" t="str">
        <f>IF(AND(F20="P",H20="P"),SUMPRODUCT((F$4:F$21="P")*(H$4:H$21="P")*(E$4:E$21&gt;E20))+1,IF(H20="P",SUMPRODUCT((F$4:F$21="")*(H$4:H$21="P")*(E$4:E$21&gt;E20))+1+SUMPRODUCT((F$4:F$21="P")*(H$4:H$21="P")),""))</f>
        <v/>
      </c>
      <c r="B20" s="7" t="s">
        <v>141</v>
      </c>
      <c r="C20" s="8" t="s">
        <v>10</v>
      </c>
      <c r="D20" s="29">
        <v>2000</v>
      </c>
      <c r="E20" s="16">
        <f>SUM(J20:R20)</f>
        <v>145.22999999999999</v>
      </c>
      <c r="F20" s="4" t="str">
        <f>IF(OR(AND($AK20&gt;=$AL$23,NOT($AK20=""),$AJ20=""),AND($BH20&gt;=$BI$23,NOT($BH20=""),$BG20=""),AND($CH20&gt;=$CI$23,NOT($CH20="")),AND($DD20&gt;=$DE$23,NOT($DD20="")),AND($DZ20&gt;=$EA$23,NOT($DZ20="")),AND($EV20&gt;=$EW$23,NOT($EV20="")),AND($FR20&gt;=$FS$23,NOT($FR20="")),AND($GN20&gt;=$GO$23,NOT($GN20="")),AND($HJ20&gt;=$HK$23,NOT($HJ20="")),AND($IF20&gt;=$IG$23,NOT($IF20="")),AND($JB20&gt;=$JC$23,NOT($JB20="")),AND($JX20&gt;=$JY$23,NOT($JX20="")),AND($KT20&gt;=$KU$23,NOT($KT20="")),AND($LP20&gt;=$LQ$23,NOT($LP20="")),AND($AO20&gt;=$AL$23,NOT($AO20=""),$AJ20=""),AND($BL20&gt;=$BI$23,NOT($BL20=""),$BG20=""),AND($CL20&gt;=$CI$23,NOT($CL20="")),AND($DH20&gt;=$DE$23,NOT($DH20="")),AND($ED20&gt;=$EA$23,NOT($ED20="")),AND($EZ20&gt;=$EW$23,NOT($EZ20="")),AND($FV20&gt;=$FS$23,NOT($FV20="")),AND($GR20&gt;=$GO$23,NOT($GR20="")),AND($HN20&gt;=$HK$23,NOT($HN20="")),AND($IJ20&gt;=$IG$23,NOT($IJ20="")),AND($JF20&gt;=$JC$23,NOT($JF20="")),AND($KB20&gt;=$JY$23,NOT($KB20="")),AND($KX20&gt;=$KU$23,NOT($KX20="")),AND($LT20&gt;=$LQ$23,NOT($LT20=""))),"P","")</f>
        <v/>
      </c>
      <c r="G20" s="4" t="str">
        <f>IF(OR(AND($AK20&gt;=$AL$24,NOT($AK20=""),$AJ20=""),AND($BH20&gt;=$BI$24,NOT($BH20=""),$BG20=""),AND($CH20&gt;=$CI$24,NOT($CH20="")),AND($DD20&gt;=$DE$24,NOT($DD20="")),AND($DZ20&gt;=$EA$24,NOT($DZ20="")),AND($EV20&gt;=$EW$24,NOT($EV20="")),AND($FR20&gt;=$FS$24,NOT($FR20="")),AND($GN20&gt;=$GO$24,NOT($GN20="")),AND($HJ20&gt;=$HK$24,NOT($HJ20="")),AND($IF20&gt;=$IG$24,NOT($IF20="")),AND($JB20&gt;=$JC$24,NOT($JB20="")),AND($JX20&gt;=$JY$24,NOT($JX20="")),AND($KT20&gt;=$KU$24,NOT($KT20="")),AND($LP20&gt;=$LQ$24,NOT($LP20="")),AND($AO20&gt;=$AL$24,NOT($AO20=""),$AJ20=""),AND($BL20&gt;=$BI$24,NOT($BL20=""),$BG20=""),AND($CL20&gt;=$CI$24,NOT($CL20="")),AND($DH20&gt;=$DE$24,NOT($DH20="")),AND($ED20&gt;=$EA$24,NOT($ED20="")),AND($EZ20&gt;=$EW$24,NOT($EZ20="")),AND($FV20&gt;=$FS$24,NOT($FV20="")),AND($GR20&gt;=$GO$24,NOT($GR20="")),AND($HN20&gt;=$HK$24,NOT($HN20="")),AND($IJ20&gt;=$IG$24,NOT($IJ20="")),AND($JF20&gt;=$JC$24,NOT($JF20="")),AND($KB20&gt;=$JY$24,NOT($KB20="")),AND($KX20&gt;=$KU$24,NOT($KX20="")),AND($LT20&gt;=$LQ$24,NOT($LT20=""))),"P","")</f>
        <v/>
      </c>
      <c r="H20" s="4" t="str">
        <f>IF(OR(AND($AN20&gt;=$AL$25,NOT($AN20=""),$AJ20=""),AND($BK20&gt;=$BI$25,NOT($BK20=""),$BG20=""),AND($CK20&gt;=$CI$25,NOT($CK20="")),AND($DG20&gt;=$DE$25,NOT($DG20="")),AND($EC20&gt;=$EA$25,NOT($EC20="")),AND($EY20&gt;=$EW$25,NOT($EY20="")),AND($FU20&gt;=$FS$25,NOT($FU20="")),AND($GQ20&gt;=$GO$25,NOT($GQ20="")),AND($HM20&gt;=$HK$25,NOT($HM20="")),AND($II20&gt;=$IG$25,NOT($II20="")),AND($JE20&gt;=$JC$25,NOT($JE20="")),AND($KA20&gt;=$JY$25,NOT($KA20="")),AND($KW20&gt;=$KU$25,NOT($KW20="")),AND($LS20&gt;=$LQ$25,NOT($LS20=""))),"P","")</f>
        <v/>
      </c>
      <c r="I20" t="str">
        <f>IF(AND(H20="P",F20=""),"No DD",IF(AND(G20="P",OR(AND($AM20&gt;$AL$28,NOT($AM20=""),$AJ20=""),AND($AP20&gt;$AL$28,NOT($AP20=""),$AJ20=""),AND($BJ20&gt;$BI$28,NOT($BJ20=""),$BG20=""),AND($BM20&gt;$BI$28,NOT($BM20=""),$BG20=""),AND($CJ20&gt;$CI$28,NOT($CJ20="")),AND($CM20&gt;$CI$28,NOT($CM20="")),AND($DF20&gt;$DE$28,NOT($DF20="")),AND($DI20&gt;$DE$28,NOT($DI20="")),AND($EB20&gt;$EA$28,NOT($EB20="")),AND($EE20&gt;$EA$28,NOT($EE20="")),AND($EX20&gt;$EW$28,NOT($EX20="")),AND($FA20&gt;$EW$28,NOT($FA20="")),AND($FT20&gt;$FS$28,NOT($FT20="")),AND($FW20&gt;$FS$28,NOT($FW20="")),AND($GP20&gt;$GO$28,NOT($GP20="")),AND($GS20&gt;$GO$28,NOT($GS20="")),AND($HL20&gt;$HK$28,NOT($HL20="")),AND($HO20&gt;$HK$28,NOT($HO20="")),AND($IH20&gt;$IG$28,NOT($IH20="")),AND($IK20&gt;$IG$28,NOT($IK20="")),AND($JD20&gt;$JC$28,NOT($JD20="")),AND($JG20&gt;$JC$28,NOT($JG20="")),AND($JZ20&gt;$JY$28,NOT($JZ20="")),AND($KC20&gt;$JY$28,NOT($KC20="")),AND($KV20&gt;$KU$28,NOT($KV20="")),AND($KY20&gt;$KU$28,NOT($KY20="")),AND($LR20&gt;$LQ$28,NOT($LR20="")),AND($LU20&gt;$LQ$28,NOT($LU20="")))),"Merit",IF(AND(G20="P",OR(AND($AN20&gt;$AL$27,NOT($AN20=""),$AJ20=""),AND($BK20&gt;$BI$27,NOT($BK20=""),$BG20=""),AND($CK20&gt;$CI$27,NOT($CK20="")),AND($DG20&gt;$DE$27,NOT($DG20="")),AND($EC20&gt;$EA$27,NOT($EC20="")),AND($EY20&gt;$EW$27,NOT($EY20="")),AND($FU20&gt;$FS$27,NOT($FU20="")),AND($GQ20&gt;$GO$27,NOT($GQ20="")),AND($HM20&gt;$HK$27,NOT($HM20="")),AND($II20&gt;$IG$27,NOT($II20="")),AND($JE20&gt;$JC$27,NOT($JE20="")),AND($KA20&gt;$JY$27,NOT($KA20="")),AND($KW20&gt;$KU$27,NOT($KW20="")),AND($LS20&gt;$LQ$27,NOT($LS20="")))),"Excellence",IF(AND(G20="P",OR(AND($AN20&gt;$AL$26,NOT($AN20=""),$AJ20=""),AND($BK20&gt;$BI$26,NOT($BK20=""),$BG20=""),AND($CK20&gt;$CI$26,NOT($CK20="")),AND($DG20&gt;$DE$26,NOT($DG20="")),AND($EC20&gt;$EA$26,NOT($EC20="")),AND($EY20&gt;$EW$26,NOT($EY20="")),AND($FU20&gt;$FS$26,NOT($FU20="")),AND($GQ20&gt;$GO$26,NOT($GQ20="")),AND($HM20&gt;$HK$26,NOT($HM20="")),AND($II20&gt;$IG$26,NOT($II20="")),AND($JE20&gt;$JC$26,NOT($JE20="")),AND($KA20&gt;$JY$26,NOT($KA20="")),AND($KW20&gt;$KU$26,NOT($KW20="")),AND($LS20&gt;$LQ$26,NOT($LS20="")))),"Worlds Team",IF(AND(F20="P",OR(AND($AN20&gt;$AL$25,NOT($AN20=""),$AJ20=""),AND($BK20&gt;$BI$25,NOT($BK20=""),$BG20=""),AND($CK20&gt;$CI$25,NOT($CK20="")),AND($DG20&gt;$DE$25,NOT($DG20="")),AND($EC20&gt;$EA$25,NOT($EC20="")),AND($EY20&gt;$EW$25,NOT($EY20="")),AND($FU20&gt;$FS$25,NOT($FU20="")),AND($GQ20&gt;$GO$25,NOT($GQ20="")),AND($HM20&gt;$HK$25,NOT($HM20="")),AND($II20&gt;$IG$25,NOT($II20="")),AND($JE20&gt;$JC$25,NOT($JE20="")),AND($KA20&gt;$JY$25,NOT($KA20="")),AND($KW20&gt;$KU$25,NOT($KW20="")),AND($LS20&gt;$LQ$25,NOT($LS20="")))),"National Team","")))))</f>
        <v/>
      </c>
      <c r="J20" s="15">
        <f>IF(MAX(AN20,BK20)&gt;0,MAX(AN20,BK20),"")</f>
        <v>87.97</v>
      </c>
      <c r="K20" s="15" t="str">
        <f>IF(J20="","",IF(J20=BK20,$AR$1,IF(J20=AN20,$U$1,"")))</f>
        <v>2019 Nationals</v>
      </c>
      <c r="L20" s="15">
        <f>IF($J20=$AN20,BI20,IF($J20=$BK20,AL20,MAX(AL20,BI20)))</f>
        <v>35.375</v>
      </c>
      <c r="M20" s="15" t="str">
        <f>IF(L20="","",IF(AND(L20=BI20,$K20&lt;&gt;$AR$1),$AR$1,IF(AND(L20=AL20,$K20&lt;&gt;$U$1),$U$1,"")))</f>
        <v>2019 Elite Canada</v>
      </c>
      <c r="N20" s="15">
        <f>IF($J20=$AN20,BJ20,IF($J20=$BK20,AM20,MAX(AM20,BJ20)))</f>
        <v>11.389999999999999</v>
      </c>
      <c r="O20" s="15" t="str">
        <f>IF(N20="","",IF(AND(N20=BJ20,$K20&lt;&gt;$AR$1),$AR$1,IF(AND(N20=AM20,$K20&lt;&gt;$U$1),$U$1,"")))</f>
        <v>2019 Elite Canada</v>
      </c>
      <c r="P20" s="15" t="str">
        <f>IF(MAX(AP20,BM20)&gt;0,MAX(AP20,BM20),"")</f>
        <v/>
      </c>
      <c r="Q20" s="15" t="str">
        <f>IF(P20="","",IF(P20=BM20,$AR$1,IF(P20=AP20,$U$1,"")))</f>
        <v/>
      </c>
      <c r="R20" s="15">
        <f>IF(MAX(BO20,BP20,BQ20,BR20)&gt;0,MAX(BO20,BP20,BQ20,BR20),"")</f>
        <v>10.494999999999999</v>
      </c>
      <c r="S20" s="27" t="str">
        <f>IF(R20="","",IF(R20=BO20,"(Vol 1)",IF(R20=BP20,"(Vol 2)",IF(R20=BQ20,"(Prelim)",IF(R20=BR20,"(Final)")))))</f>
        <v>(Vol 2)</v>
      </c>
      <c r="T20" s="15" t="str">
        <f>IF(R20="","",IF(R20=BO20,IF(R20+IF(L20="",0,L20)=LQ20,$LA$1,IF(R20+IF(L20="",0,L20)=KU20,$KE$1,IF(R20+IF(L20="",0,L20)=JY20,$JI$1,IF(R20+IF(L20="",0,L20)=JC20,$IM$1,IF(R20+IF(L20="",0,L20)=IG20,$HQ$1,IF(R20+IF(L20="",0,L20)=HK20,$GU$1,IF(R20+IF(L20="",0,L20)=GO20,$FY$1,IF(R20+IF(L20="",0,L20)=FS20,$FC$1,IF(R20+IF(L20="",0,L20)=EW20,$EG$1,IF(R20+IF(L20="",0,L20)=EA20,$DK$1,IF(R20+IF(L20="",0,L20)=DE20,$CO$1,IF(R20+IF(L20="",0,L20)=CI20,$BS$1)))))))))))),IF(R20=BP20,IF(R20+IF(N20="",0,N20)=LR20,$LA$1,IF(R20+IF(N20="",0,N20)=KV20,$KE$1,IF(R20+IF(N20="",0,N20)=JZ20,$JI$1,IF(R20+IF(N20="",0,N20)=JD20,$IM$1,IF(R20+IF(N20="",0,N20)=IH20,$HQ$1,IF(R20+IF(N20="",0,N20)=HL20,$GU$1,IF(R20+IF(N20="",0,N20)=GP20,$FY$1,IF(R20+IF(N20="",0,N20)=FT20,$FC$1,IF(R20+IF(N20="",0,N20)=EX20,$EG$1,IF(R20+IF(N20="",0,N20)=EB20,$DK$1,IF(R20+IF(N20="",0,N20)=DF20,$CO$1,IF(R20+IF(N20="",0,N20)=CJ20,$BS$1)))))))))))),IF(R20=BQ20,IF(R20+IF(J20="",0,J20)=LS20,$LA$1,IF(R20+IF(J20="",0,J20)=KW20,$KE$1,IF(R20+IF(J20="",0,J20)=KA20,$JI$1,IF(R20+IF(J20="",0,J20)=JE20,$IM$1,IF(R20+IF(J20="",0,J20)=II20,$HQ$1,IF(R20+IF(J20="",0,J20)=HM20,$GU$1,IF(R20+IF(J20="",0,J20)=GQ20,$FY$1,IF(R20+IF(J20="",0,J20)=FU20,$FC$1,IF(R20+IF(J20="",0,J20)=EY20,$EG$1,IF(R20+IF(J20="",0,J20)=EC20,$DK$1,IF(R20+IF(J20="",0,J20)=DG20,$CO$1,IF(R20+IF(J20="",0,J20)=CK20,$BS$1)))))))))))),IF(R20=BR20,IF(R20+IF(P20="",0,P20)=LU20,$LA$1,IF(R20+IF(P20="",0,P20)=KY20,$KE$1,IF(R20+IF(P20="",0,P20)=KC20,$JI$1,IF(R20+IF(P20="",0,P20)=JG20,$IM$1,IF(R20+IF(P20="",0,P20)=IK20,$HQ$1,IF(R20+IF(P20="",0,P20)=HO20,$GU$1,IF(R20+IF(P20="",0,P20)=GS20,$FY$1,IF(R20+IF(P20="",0,P20)=FW20,$FC$1,IF(R20+IF(P20="",0,P20)=FA20,$EG$1,IF(R20+IF(P20="",0,P20)=EE20,$DK$1,IF(R20+IF(P20="",0,P20)=DI20,$CO$1,IF(R20+IF(P20="",0,P20)=CM20,$BS$1)))))))))))))))))</f>
        <v>2019 Scalabis Cup (July 6)</v>
      </c>
      <c r="U20" s="71">
        <v>12.9</v>
      </c>
      <c r="V20" s="71">
        <v>7.25</v>
      </c>
      <c r="W20" s="71">
        <v>3.8</v>
      </c>
      <c r="X20" s="71">
        <v>13.425000000000001</v>
      </c>
      <c r="Y20" s="71">
        <v>2</v>
      </c>
      <c r="Z20" s="71">
        <v>2.9</v>
      </c>
      <c r="AA20" s="71">
        <v>1.65</v>
      </c>
      <c r="AB20" s="71">
        <v>3.4</v>
      </c>
      <c r="AC20" s="71">
        <v>3.44</v>
      </c>
      <c r="AD20" s="71">
        <v>0</v>
      </c>
      <c r="AE20" s="71"/>
      <c r="AF20" s="71"/>
      <c r="AG20" s="71"/>
      <c r="AH20" s="71"/>
      <c r="AI20" s="71"/>
      <c r="AJ20" s="82"/>
      <c r="AK20" s="12">
        <f>IF(AB20&gt;0,AB20,"")</f>
        <v>3.4</v>
      </c>
      <c r="AL20" s="12">
        <f>IF(SUM(U20:X20)-Y20&gt;0,SUM(U20:X20)-Y20,"")</f>
        <v>35.375</v>
      </c>
      <c r="AM20" s="12">
        <f>IF(SUM(Z20:AC20)-AD20&gt;0,SUM(Z20:AC20)-AD20,"")</f>
        <v>11.389999999999999</v>
      </c>
      <c r="AN20" s="12">
        <f>IF(SUM(AL20:AM20)&gt;0,SUM(AL20:AM20),"")</f>
        <v>46.765000000000001</v>
      </c>
      <c r="AO20" s="12" t="str">
        <f>IF(AG20&gt;0,AG20,"")</f>
        <v/>
      </c>
      <c r="AP20" s="12" t="str">
        <f>IF(SUM(AE20:AH20)-AI20&gt;0,SUM(AE20:AH20)-AI20,"")</f>
        <v/>
      </c>
      <c r="AQ20" s="12">
        <f>IF(SUM(AN20,AP20)&gt;0,SUM(AN20,AP20),"")</f>
        <v>46.765000000000001</v>
      </c>
      <c r="AR20" s="77">
        <v>13.4</v>
      </c>
      <c r="AS20" s="77">
        <v>7.1</v>
      </c>
      <c r="AT20" s="77">
        <v>1.6</v>
      </c>
      <c r="AU20" s="77">
        <v>13.73</v>
      </c>
      <c r="AV20" s="77">
        <v>0</v>
      </c>
      <c r="AW20" s="77">
        <v>13.9</v>
      </c>
      <c r="AX20" s="77">
        <v>8.8000000000000007</v>
      </c>
      <c r="AY20" s="77">
        <v>13.2</v>
      </c>
      <c r="AZ20" s="77">
        <v>16.54</v>
      </c>
      <c r="BA20" s="77">
        <v>0.3</v>
      </c>
      <c r="BB20" s="77"/>
      <c r="BC20" s="77"/>
      <c r="BD20" s="77"/>
      <c r="BE20" s="77"/>
      <c r="BF20" s="77"/>
      <c r="BG20" s="83"/>
      <c r="BH20" s="15">
        <f>IF(AY20&gt;0,AY20,"")</f>
        <v>13.2</v>
      </c>
      <c r="BI20" s="15">
        <f>IF(SUM(AR20:AU20)-AV20&gt;0,SUM(AR20:AU20)-AV20,"")</f>
        <v>35.83</v>
      </c>
      <c r="BJ20" s="15">
        <f>IF(SUM(AW20:AZ20)-BA20&gt;0,SUM(AW20:AZ20)-BA20,"")</f>
        <v>52.140000000000008</v>
      </c>
      <c r="BK20" s="15">
        <f>IF(SUM(BI20:BJ20)&gt;0,SUM(BI20:BJ20),"")</f>
        <v>87.97</v>
      </c>
      <c r="BL20" s="15" t="str">
        <f>IF(BD20&gt;0,BD20,"")</f>
        <v/>
      </c>
      <c r="BM20" s="15" t="str">
        <f>IF(SUM(BB20:BE20)-BF20&gt;0,SUM(BB20:BE20)-BF20,"")</f>
        <v/>
      </c>
      <c r="BN20" s="15">
        <f>IF(SUM(BK20,BM20)&gt;0,SUM(BK20,BM20),"")</f>
        <v>87.97</v>
      </c>
      <c r="BO20" s="26" t="str">
        <f>IF(MAX(CI20,DE20,EA20,EW20,FS20,GO20,HK20,IG20,JC20,JY20,KU20,LQ20)-IF(L20="",0,L20)&gt;0.001,MAX(CI20,DE20,EA20,EW20,FS20,GO20,HK20,IG20,JC20,JY20,KU20,LQ20)-IF(L20="",0,L20),"")</f>
        <v/>
      </c>
      <c r="BP20" s="26">
        <f>IF(MAX(CJ20,DF20,EB20,EX20,FT20,GP20,HL20,IH20,JD20,JZ20,KV20,LR20)-IF(N20="",0,N20)&gt;0.001,MAX(CJ20,DF20,EB20,EX20,FT20,GP20,HL20,IH20,JD20,JZ20,KV20,LR20)-IF(N20="",0,N20),"")</f>
        <v>10.494999999999999</v>
      </c>
      <c r="BQ20" s="26" t="str">
        <f>IF(MAX(CK20,DG20,EC20,EY20,FU20,GQ20,HM20,II20,JE20,KA20,KW20,LS20)-IF(J20="",0,J20)&gt;0.001,MAX(CK20,DG20,EC20,EY20,FU20,GQ20,HM20,II20,JE20,KA20,KW20,LS20)-IF(J20="",0,J20),"")</f>
        <v/>
      </c>
      <c r="BR20" s="26" t="str">
        <f>IF(MAX(CM20,DI20,EE20,FA20,FW20,GS20,HO20,IK20,JG20,KC20,KY20,LU20)-IF(P20="",0,P20)&gt;0.001,MAX(CM20,DI20,EE20,FA20,FW20,GS20,HO20,IK20,JG20,KC20,KY20,LU20)-IF(P20="",0,P20),"")</f>
        <v/>
      </c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12" t="str">
        <f>IF(BZ20&gt;0,BZ20,"")</f>
        <v/>
      </c>
      <c r="CI20" s="12" t="str">
        <f>IF(SUM(BS20:BV20)-BW20&gt;0,SUM(BS20:BV20)-BW20,"")</f>
        <v/>
      </c>
      <c r="CJ20" s="12" t="str">
        <f>IF(SUM(BX20:CA20)-CB20&gt;0,SUM(BX20:CA20)-CB20,"")</f>
        <v/>
      </c>
      <c r="CK20" s="12" t="str">
        <f>IF(SUM(CI20:CJ20)&gt;0,SUM(CI20:CJ20),"")</f>
        <v/>
      </c>
      <c r="CL20" s="12" t="str">
        <f>IF(CE20&gt;0,CE20,"")</f>
        <v/>
      </c>
      <c r="CM20" s="12" t="str">
        <f>IF(SUM(CC20:CF20)-CG20&gt;0,SUM(CC20:CF20)-CG20,"")</f>
        <v/>
      </c>
      <c r="CN20" s="12" t="str">
        <f>IF(SUM(CK20,CM20)&gt;0,SUM(CK20,CM20),"")</f>
        <v/>
      </c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15" t="str">
        <f>IF(CV20&gt;0,CV20,"")</f>
        <v/>
      </c>
      <c r="DE20" s="15" t="str">
        <f>IF(SUM(CO20:CR20)-CS20&gt;0,SUM(CO20:CR20)-CS20,"")</f>
        <v/>
      </c>
      <c r="DF20" s="15" t="str">
        <f>IF(SUM(CT20:CW20)-CX20&gt;0,SUM(CT20:CW20)-CX20,"")</f>
        <v/>
      </c>
      <c r="DG20" s="15" t="str">
        <f>IF(SUM(DE20:DF20)&gt;0,SUM(DE20:DF20),"")</f>
        <v/>
      </c>
      <c r="DH20" s="15" t="str">
        <f>IF(DA20&gt;0,DA20,"")</f>
        <v/>
      </c>
      <c r="DI20" s="15" t="str">
        <f>IF(SUM(CY20:DB20)-DC20&gt;0,SUM(CY20:DB20)-DC20,"")</f>
        <v/>
      </c>
      <c r="DJ20" s="15" t="str">
        <f>IF(SUM(DG20,DI20)&gt;0,SUM(DG20,DI20),"")</f>
        <v/>
      </c>
      <c r="DK20" s="39">
        <v>10.7</v>
      </c>
      <c r="DL20" s="39">
        <v>6.7</v>
      </c>
      <c r="DM20" s="39">
        <v>1.6</v>
      </c>
      <c r="DN20" s="39">
        <v>11.65</v>
      </c>
      <c r="DO20" s="39">
        <v>0</v>
      </c>
      <c r="DP20" s="39">
        <v>5.4</v>
      </c>
      <c r="DQ20" s="39">
        <v>3.5</v>
      </c>
      <c r="DR20" s="39">
        <v>6.3</v>
      </c>
      <c r="DS20" s="39">
        <v>6.6849999999999996</v>
      </c>
      <c r="DT20" s="39">
        <v>0</v>
      </c>
      <c r="DU20" s="39"/>
      <c r="DV20" s="39"/>
      <c r="DW20" s="39"/>
      <c r="DX20" s="39"/>
      <c r="DY20" s="39"/>
      <c r="DZ20" s="12">
        <f>IF(DR20&gt;0,DR20,"")</f>
        <v>6.3</v>
      </c>
      <c r="EA20" s="12">
        <f>IF(SUM(DK20:DN20)-DO20&gt;0,SUM(DK20:DN20)-DO20,"")</f>
        <v>30.65</v>
      </c>
      <c r="EB20" s="12">
        <f>IF(SUM(DP20:DS20)-DT20&gt;0,SUM(DP20:DS20)-DT20,"")</f>
        <v>21.884999999999998</v>
      </c>
      <c r="EC20" s="12">
        <f>IF(SUM(EA20:EB20)&gt;0,SUM(EA20:EB20),"")</f>
        <v>52.534999999999997</v>
      </c>
      <c r="ED20" s="12" t="str">
        <f>IF(DW20&gt;0,DW20,"")</f>
        <v/>
      </c>
      <c r="EE20" s="12" t="str">
        <f>IF(SUM(DU20:DX20)-DY20&gt;0,SUM(DU20:DX20)-DY20,"")</f>
        <v/>
      </c>
      <c r="EF20" s="12">
        <f>IF(SUM(EC20,EE20)&gt;0,SUM(EC20,EE20),"")</f>
        <v>52.534999999999997</v>
      </c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15" t="str">
        <f>IF(EN20&gt;0,EN20,"")</f>
        <v/>
      </c>
      <c r="EW20" s="15" t="str">
        <f>IF(SUM(EG20:EJ20)-EK20&gt;0,SUM(EG20:EJ20)-EK20,"")</f>
        <v/>
      </c>
      <c r="EX20" s="15" t="str">
        <f>IF(SUM(EL20:EO20)-EP20&gt;0,SUM(EL20:EO20)-EP20,"")</f>
        <v/>
      </c>
      <c r="EY20" s="15" t="str">
        <f>IF(SUM(EW20:EX20)&gt;0,SUM(EW20:EX20),"")</f>
        <v/>
      </c>
      <c r="EZ20" s="15" t="str">
        <f>IF(ES20&gt;0,ES20,"")</f>
        <v/>
      </c>
      <c r="FA20" s="15" t="str">
        <f>IF(SUM(EQ20:ET20)-EU20&gt;0,SUM(EQ20:ET20)-EU20,"")</f>
        <v/>
      </c>
      <c r="FB20" s="15" t="str">
        <f>IF(SUM(EY20,FA20)&gt;0,SUM(EY20,FA20),"")</f>
        <v/>
      </c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12" t="str">
        <f>IF(FJ20&gt;0,FJ20,"")</f>
        <v/>
      </c>
      <c r="FS20" s="12" t="str">
        <f>IF(SUM(FC20:FF20)-FG20&gt;0,SUM(FC20:FF20)-FG20,"")</f>
        <v/>
      </c>
      <c r="FT20" s="12" t="str">
        <f>IF(SUM(FH20:FK20)-FL20&gt;0,SUM(FH20:FK20)-FL20,"")</f>
        <v/>
      </c>
      <c r="FU20" s="12" t="str">
        <f>IF(SUM(FS20:FT20)&gt;0,SUM(FS20:FT20),"")</f>
        <v/>
      </c>
      <c r="FV20" s="12" t="str">
        <f>IF(FO20&gt;0,FO20,"")</f>
        <v/>
      </c>
      <c r="FW20" s="12" t="str">
        <f>IF(SUM(FM20:FP20)-FQ20&gt;0,SUM(FM20:FP20)-FQ20,"")</f>
        <v/>
      </c>
      <c r="FX20" s="12" t="str">
        <f>IF(SUM(FU20,FW20)&gt;0,SUM(FU20,FW20),"")</f>
        <v/>
      </c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15" t="str">
        <f>IF(GF20&gt;0,GF20,"")</f>
        <v/>
      </c>
      <c r="GO20" s="15" t="str">
        <f>IF(SUM(FY20:GB20)-GC20&gt;0,SUM(FY20:GB20)-GC20,"")</f>
        <v/>
      </c>
      <c r="GP20" s="15" t="str">
        <f>IF(SUM(GD20:GG20)-GH20&gt;0,SUM(GD20:GG20)-GH20,"")</f>
        <v/>
      </c>
      <c r="GQ20" s="15" t="str">
        <f>IF(SUM(GO20:GP20)&gt;0,SUM(GO20:GP20),"")</f>
        <v/>
      </c>
      <c r="GR20" s="15" t="str">
        <f>IF(GK20&gt;0,GK20,"")</f>
        <v/>
      </c>
      <c r="GS20" s="15" t="str">
        <f>IF(SUM(GI20:GL20)-GM20&gt;0,SUM(GI20:GL20)-GM20,"")</f>
        <v/>
      </c>
      <c r="GT20" s="15" t="str">
        <f>IF(SUM(GQ20,GS20)&gt;0,SUM(GQ20,GS20),"")</f>
        <v/>
      </c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12" t="str">
        <f>IF(HB20&gt;0,HB20,"")</f>
        <v/>
      </c>
      <c r="HK20" s="12" t="str">
        <f>IF(SUM(GU20:GX20)-GY20&gt;0,SUM(GU20:GX20)-GY20,"")</f>
        <v/>
      </c>
      <c r="HL20" s="12" t="str">
        <f>IF(SUM(GZ20:HC20)-HD20&gt;0,SUM(GZ20:HC20)-HD20,"")</f>
        <v/>
      </c>
      <c r="HM20" s="12" t="str">
        <f>IF(SUM(HK20:HL20)&gt;0,SUM(HK20:HL20),"")</f>
        <v/>
      </c>
      <c r="HN20" s="12" t="str">
        <f>IF(HG20&gt;0,HG20,"")</f>
        <v/>
      </c>
      <c r="HO20" s="12" t="str">
        <f>IF(SUM(HE20:HH20)-HI20&gt;0,SUM(HE20:HH20)-HI20,"")</f>
        <v/>
      </c>
      <c r="HP20" s="12" t="str">
        <f>IF(SUM(HM20,HO20)&gt;0,SUM(HM20,HO20),"")</f>
        <v/>
      </c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15" t="str">
        <f>IF(HX20&gt;0,HX20,"")</f>
        <v/>
      </c>
      <c r="IG20" s="15" t="str">
        <f>IF(SUM(HQ20:HT20)-HU20&gt;0,SUM(HQ20:HT20)-HU20,"")</f>
        <v/>
      </c>
      <c r="IH20" s="15" t="str">
        <f>IF(SUM(HV20:HY20)-HZ20&gt;0,SUM(HV20:HY20)-HZ20,"")</f>
        <v/>
      </c>
      <c r="II20" s="15" t="str">
        <f>IF(SUM(IG20:IH20)&gt;0,SUM(IG20:IH20),"")</f>
        <v/>
      </c>
      <c r="IJ20" s="15" t="str">
        <f>IF(IC20&gt;0,IC20,"")</f>
        <v/>
      </c>
      <c r="IK20" s="15" t="str">
        <f>IF(SUM(IA20:ID20)-IE20&gt;0,SUM(IA20:ID20)-IE20,"")</f>
        <v/>
      </c>
      <c r="IL20" s="15" t="str">
        <f>IF(SUM(II20,IK20)&gt;0,SUM(II20,IK20),"")</f>
        <v/>
      </c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12" t="str">
        <f>IF(IT20&gt;0,IT20,"")</f>
        <v/>
      </c>
      <c r="JC20" s="12" t="str">
        <f>IF(SUM(IM20:IP20)-IQ20&gt;0,SUM(IM20:IP20)-IQ20,"")</f>
        <v/>
      </c>
      <c r="JD20" s="12" t="str">
        <f>IF(SUM(IR20:IU20)-IV20&gt;0,SUM(IR20:IU20)-IV20,"")</f>
        <v/>
      </c>
      <c r="JE20" s="12" t="str">
        <f>IF(SUM(JC20:JD20)&gt;0,SUM(JC20:JD20),"")</f>
        <v/>
      </c>
      <c r="JF20" s="12" t="str">
        <f>IF(IY20&gt;0,IY20,"")</f>
        <v/>
      </c>
      <c r="JG20" s="12" t="str">
        <f>IF(SUM(IW20:IZ20)-JA20&gt;0,SUM(IW20:IZ20)-JA20,"")</f>
        <v/>
      </c>
      <c r="JH20" s="12" t="str">
        <f>IF(SUM(JE20,JG20)&gt;0,SUM(JE20,JG20),"")</f>
        <v/>
      </c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15" t="str">
        <f>IF(JP20&gt;0,JP20,"")</f>
        <v/>
      </c>
      <c r="JY20" s="15" t="str">
        <f>IF(SUM(JI20:JL20)-JM20&gt;0,SUM(JI20:JL20)-JM20,"")</f>
        <v/>
      </c>
      <c r="JZ20" s="15" t="str">
        <f>IF(SUM(JN20:JQ20)-JR20&gt;0,SUM(JN20:JQ20)-JR20,"")</f>
        <v/>
      </c>
      <c r="KA20" s="15" t="str">
        <f>IF(SUM(JY20:JZ20)&gt;0,SUM(JY20:JZ20),"")</f>
        <v/>
      </c>
      <c r="KB20" s="15" t="str">
        <f>IF(JU20&gt;0,JU20,"")</f>
        <v/>
      </c>
      <c r="KC20" s="15" t="str">
        <f>IF(SUM(JS20:JV20)-JW20&gt;0,SUM(JS20:JV20)-JW20,"")</f>
        <v/>
      </c>
      <c r="KD20" s="15" t="str">
        <f>IF(SUM(KA20,KC20)&gt;0,SUM(KA20,KC20),"")</f>
        <v/>
      </c>
      <c r="KE20" s="39"/>
      <c r="KF20" s="39"/>
      <c r="KG20" s="39"/>
      <c r="KH20" s="39"/>
      <c r="KI20" s="39"/>
      <c r="KJ20" s="39"/>
      <c r="KK20" s="39"/>
      <c r="KL20" s="39"/>
      <c r="KM20" s="39"/>
      <c r="KN20" s="39"/>
      <c r="KO20" s="39"/>
      <c r="KP20" s="39"/>
      <c r="KQ20" s="39"/>
      <c r="KR20" s="39"/>
      <c r="KS20" s="39"/>
      <c r="KT20" s="12" t="str">
        <f>IF(KL20&gt;0,KL20,"")</f>
        <v/>
      </c>
      <c r="KU20" s="12" t="str">
        <f>IF(SUM(KE20:KH20)-KI20&gt;0,SUM(KE20:KH20)-KI20,"")</f>
        <v/>
      </c>
      <c r="KV20" s="12" t="str">
        <f>IF(SUM(KJ20:KM20)-KN20&gt;0,SUM(KJ20:KM20)-KN20,"")</f>
        <v/>
      </c>
      <c r="KW20" s="12" t="str">
        <f>IF(SUM(KU20:KV20)&gt;0,SUM(KU20:KV20),"")</f>
        <v/>
      </c>
      <c r="KX20" s="12" t="str">
        <f>IF(KQ20&gt;0,KQ20,"")</f>
        <v/>
      </c>
      <c r="KY20" s="12" t="str">
        <f>IF(SUM(KO20:KR20)-KS20&gt;0,SUM(KO20:KR20)-KS20,"")</f>
        <v/>
      </c>
      <c r="KZ20" s="12" t="str">
        <f>IF(SUM(KW20,KY20)&gt;0,SUM(KW20,KY20),"")</f>
        <v/>
      </c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15" t="str">
        <f>IF(LH20&gt;0,LH20,"")</f>
        <v/>
      </c>
      <c r="LQ20" s="15" t="str">
        <f>IF(SUM(LA20:LD20)-LE20&gt;0,SUM(LA20:LD20)-LE20,"")</f>
        <v/>
      </c>
      <c r="LR20" s="15" t="str">
        <f>IF(SUM(LF20:LI20)-LJ20&gt;0,SUM(LF20:LI20)-LJ20,"")</f>
        <v/>
      </c>
      <c r="LS20" s="15" t="str">
        <f>IF(SUM(LQ20:LR20)&gt;0,SUM(LQ20:LR20),"")</f>
        <v/>
      </c>
      <c r="LT20" s="15" t="str">
        <f>IF(LM20&gt;0,LM20,"")</f>
        <v/>
      </c>
      <c r="LU20" s="15" t="str">
        <f>IF(SUM(LK20:LN20)-LO20&gt;0,SUM(LK20:LN20)-LO20,"")</f>
        <v/>
      </c>
      <c r="LV20" s="15" t="str">
        <f>IF(SUM(LS20,LU20)&gt;0,SUM(LS20,LU20),"")</f>
        <v/>
      </c>
      <c r="LW20" s="71">
        <f t="shared" si="0"/>
        <v>13.15</v>
      </c>
      <c r="LX20" s="71">
        <f t="shared" si="1"/>
        <v>7.1749999999999998</v>
      </c>
      <c r="LY20" s="71">
        <f t="shared" si="2"/>
        <v>2.7</v>
      </c>
      <c r="LZ20" s="71">
        <f t="shared" si="3"/>
        <v>13.577500000000001</v>
      </c>
      <c r="MA20" s="71">
        <f t="shared" si="4"/>
        <v>1</v>
      </c>
      <c r="MB20" s="71">
        <f t="shared" si="5"/>
        <v>8.4</v>
      </c>
      <c r="MC20" s="71">
        <f t="shared" si="6"/>
        <v>5.2250000000000005</v>
      </c>
      <c r="MD20" s="71">
        <f t="shared" si="7"/>
        <v>8.2999999999999989</v>
      </c>
      <c r="ME20" s="71">
        <f t="shared" si="8"/>
        <v>9.99</v>
      </c>
      <c r="MF20" s="71">
        <f t="shared" si="9"/>
        <v>0.15</v>
      </c>
      <c r="MG20" s="71">
        <f t="shared" si="10"/>
        <v>0</v>
      </c>
      <c r="MH20" s="71">
        <f t="shared" si="11"/>
        <v>0</v>
      </c>
      <c r="MI20" s="71">
        <f t="shared" si="12"/>
        <v>0</v>
      </c>
      <c r="MJ20" s="71">
        <f t="shared" si="13"/>
        <v>0</v>
      </c>
      <c r="MK20" s="71">
        <f t="shared" si="14"/>
        <v>0</v>
      </c>
      <c r="ML20" s="82" t="s">
        <v>96</v>
      </c>
      <c r="MM20" s="12">
        <f t="shared" si="15"/>
        <v>8.2999999999999989</v>
      </c>
      <c r="MN20" s="12">
        <f t="shared" si="16"/>
        <v>35.602499999999999</v>
      </c>
      <c r="MO20" s="12">
        <f t="shared" si="17"/>
        <v>31.765000000000001</v>
      </c>
      <c r="MP20" s="12">
        <f t="shared" si="18"/>
        <v>67.367500000000007</v>
      </c>
      <c r="MQ20" s="12" t="str">
        <f t="shared" si="21"/>
        <v/>
      </c>
      <c r="MR20" s="12" t="str">
        <f t="shared" si="19"/>
        <v/>
      </c>
      <c r="MS20" s="12">
        <f t="shared" si="20"/>
        <v>67.367500000000007</v>
      </c>
    </row>
    <row r="21" spans="1:357" x14ac:dyDescent="0.2">
      <c r="B21" s="7"/>
      <c r="D21" s="1"/>
    </row>
    <row r="23" spans="1:357" x14ac:dyDescent="0.2">
      <c r="B23" s="72" t="s">
        <v>82</v>
      </c>
      <c r="C23" s="58"/>
      <c r="AL23" s="66">
        <v>14.4</v>
      </c>
      <c r="AO23" s="56"/>
      <c r="BH23" s="58"/>
      <c r="BI23" s="66">
        <v>14.4</v>
      </c>
      <c r="BL23" s="56"/>
      <c r="CH23" s="58"/>
      <c r="CI23" s="66">
        <v>14.4</v>
      </c>
      <c r="CL23" s="56"/>
      <c r="DD23" s="58"/>
      <c r="DE23" s="66">
        <v>14.4</v>
      </c>
      <c r="DH23" s="56"/>
      <c r="DZ23" s="58"/>
      <c r="EA23" s="66">
        <v>14.4</v>
      </c>
      <c r="ED23" s="56"/>
      <c r="EV23" s="58"/>
      <c r="EW23" s="66">
        <v>14.4</v>
      </c>
      <c r="EZ23" s="56"/>
      <c r="FR23" s="58"/>
      <c r="FS23" s="66">
        <v>14.4</v>
      </c>
      <c r="FV23" s="56"/>
      <c r="GN23" s="58"/>
      <c r="GO23" s="66">
        <v>14.4</v>
      </c>
      <c r="GR23" s="56"/>
      <c r="HJ23" s="58"/>
      <c r="HK23" s="66">
        <v>14.4</v>
      </c>
      <c r="HN23" s="56"/>
      <c r="IF23" s="58"/>
      <c r="IG23" s="66">
        <v>14.4</v>
      </c>
      <c r="IJ23" s="56"/>
      <c r="JB23" s="58"/>
      <c r="JC23" s="66">
        <v>14.4</v>
      </c>
      <c r="JF23" s="56"/>
      <c r="JX23" s="58"/>
      <c r="JY23" s="66">
        <v>14.4</v>
      </c>
      <c r="KB23" s="56"/>
      <c r="KT23" s="58"/>
      <c r="KU23" s="66">
        <v>14.4</v>
      </c>
      <c r="KX23" s="56"/>
      <c r="LP23" s="58"/>
      <c r="LQ23" s="66">
        <v>14.4</v>
      </c>
      <c r="LT23" s="56"/>
    </row>
    <row r="24" spans="1:357" x14ac:dyDescent="0.2">
      <c r="A24" s="58"/>
      <c r="B24" s="100" t="s">
        <v>81</v>
      </c>
      <c r="C24" s="58"/>
      <c r="AL24" s="102">
        <v>15.4</v>
      </c>
      <c r="AN24" s="56"/>
      <c r="AO24" s="56"/>
      <c r="AP24" s="56"/>
      <c r="BH24" s="58"/>
      <c r="BI24" s="102">
        <v>15.4</v>
      </c>
      <c r="BL24" s="56"/>
      <c r="CH24" s="58"/>
      <c r="CI24" s="102">
        <v>15.4</v>
      </c>
      <c r="CL24" s="56"/>
      <c r="DD24" s="58"/>
      <c r="DE24" s="102">
        <v>15.4</v>
      </c>
      <c r="DH24" s="56"/>
      <c r="DZ24" s="58"/>
      <c r="EA24" s="102">
        <v>15.4</v>
      </c>
      <c r="ED24" s="56"/>
      <c r="EV24" s="58"/>
      <c r="EW24" s="102">
        <v>15.4</v>
      </c>
      <c r="EZ24" s="56"/>
      <c r="FR24" s="58"/>
      <c r="FS24" s="102">
        <v>15.4</v>
      </c>
      <c r="FV24" s="56"/>
      <c r="GN24" s="58"/>
      <c r="GO24" s="102">
        <v>15.4</v>
      </c>
      <c r="GR24" s="56"/>
      <c r="HJ24" s="58"/>
      <c r="HK24" s="102">
        <v>15.4</v>
      </c>
      <c r="HN24" s="56"/>
      <c r="IF24" s="58"/>
      <c r="IG24" s="102">
        <v>15.4</v>
      </c>
      <c r="IJ24" s="56"/>
      <c r="JB24" s="58"/>
      <c r="JC24" s="102">
        <v>15.4</v>
      </c>
      <c r="JF24" s="56"/>
      <c r="JX24" s="58"/>
      <c r="JY24" s="102">
        <v>15.4</v>
      </c>
      <c r="KB24" s="56"/>
      <c r="KT24" s="58"/>
      <c r="KU24" s="102">
        <v>15.4</v>
      </c>
      <c r="KX24" s="56"/>
      <c r="LP24" s="58"/>
      <c r="LQ24" s="102">
        <v>15.4</v>
      </c>
      <c r="LT24" s="56"/>
    </row>
    <row r="25" spans="1:357" x14ac:dyDescent="0.2">
      <c r="A25" s="58"/>
      <c r="B25" s="73" t="s">
        <v>79</v>
      </c>
      <c r="C25" s="58"/>
      <c r="AL25" s="67">
        <v>103</v>
      </c>
      <c r="AN25" s="56"/>
      <c r="AO25" s="56"/>
      <c r="AP25" s="56"/>
      <c r="BH25" s="58"/>
      <c r="BI25" s="67">
        <v>103</v>
      </c>
      <c r="BL25" s="56"/>
      <c r="CH25" s="58"/>
      <c r="CI25" s="67">
        <v>103</v>
      </c>
      <c r="CL25" s="56"/>
      <c r="DD25" s="58"/>
      <c r="DE25" s="67">
        <v>103</v>
      </c>
      <c r="DH25" s="56"/>
      <c r="DZ25" s="58"/>
      <c r="EA25" s="67">
        <v>103</v>
      </c>
      <c r="ED25" s="56"/>
      <c r="EV25" s="58"/>
      <c r="EW25" s="67">
        <v>103</v>
      </c>
      <c r="EZ25" s="56"/>
      <c r="FR25" s="58"/>
      <c r="FS25" s="67">
        <v>103</v>
      </c>
      <c r="FV25" s="56"/>
      <c r="GN25" s="58"/>
      <c r="GO25" s="67">
        <v>103</v>
      </c>
      <c r="GR25" s="56"/>
      <c r="HJ25" s="58"/>
      <c r="HK25" s="67">
        <v>103</v>
      </c>
      <c r="HN25" s="56"/>
      <c r="IF25" s="58"/>
      <c r="IG25" s="67">
        <v>103</v>
      </c>
      <c r="IJ25" s="56"/>
      <c r="JB25" s="58"/>
      <c r="JC25" s="67">
        <v>103</v>
      </c>
      <c r="JF25" s="56"/>
      <c r="JX25" s="58"/>
      <c r="JY25" s="67">
        <v>103</v>
      </c>
      <c r="KB25" s="56"/>
      <c r="KT25" s="58"/>
      <c r="KU25" s="67">
        <v>103</v>
      </c>
      <c r="KX25" s="56"/>
      <c r="LP25" s="58"/>
      <c r="LQ25" s="67">
        <v>103</v>
      </c>
      <c r="LT25" s="56"/>
    </row>
    <row r="26" spans="1:357" x14ac:dyDescent="0.2">
      <c r="A26" s="58"/>
      <c r="B26" s="74" t="s">
        <v>80</v>
      </c>
      <c r="C26" s="58"/>
      <c r="AL26" s="68">
        <v>105</v>
      </c>
      <c r="AN26" s="56"/>
      <c r="AO26" s="56"/>
      <c r="AP26" s="56"/>
      <c r="BH26" s="58"/>
      <c r="BI26" s="68">
        <v>105</v>
      </c>
      <c r="BL26" s="56"/>
      <c r="CH26" s="58"/>
      <c r="CI26" s="68">
        <v>105</v>
      </c>
      <c r="CL26" s="56"/>
      <c r="DD26" s="58"/>
      <c r="DE26" s="68">
        <v>105</v>
      </c>
      <c r="DH26" s="56"/>
      <c r="DZ26" s="58"/>
      <c r="EA26" s="68">
        <v>105</v>
      </c>
      <c r="ED26" s="56"/>
      <c r="EV26" s="58"/>
      <c r="EW26" s="68">
        <v>105</v>
      </c>
      <c r="EZ26" s="56"/>
      <c r="FR26" s="58"/>
      <c r="FS26" s="68">
        <v>105</v>
      </c>
      <c r="FV26" s="56"/>
      <c r="GN26" s="58"/>
      <c r="GO26" s="68">
        <v>105</v>
      </c>
      <c r="GR26" s="56"/>
      <c r="HJ26" s="58"/>
      <c r="HK26" s="68">
        <v>105</v>
      </c>
      <c r="HN26" s="56"/>
      <c r="IF26" s="58"/>
      <c r="IG26" s="68">
        <v>105</v>
      </c>
      <c r="IJ26" s="56"/>
      <c r="JB26" s="58"/>
      <c r="JC26" s="68">
        <v>105</v>
      </c>
      <c r="JF26" s="56"/>
      <c r="JX26" s="58"/>
      <c r="JY26" s="68">
        <v>105</v>
      </c>
      <c r="KB26" s="56"/>
      <c r="KT26" s="58"/>
      <c r="KU26" s="68">
        <v>105</v>
      </c>
      <c r="KX26" s="56"/>
      <c r="LP26" s="58"/>
      <c r="LQ26" s="68">
        <v>105</v>
      </c>
      <c r="LT26" s="56"/>
    </row>
    <row r="27" spans="1:357" x14ac:dyDescent="0.2">
      <c r="A27" s="58"/>
      <c r="B27" s="75" t="s">
        <v>124</v>
      </c>
      <c r="C27" s="58"/>
      <c r="AL27" s="69">
        <v>108</v>
      </c>
      <c r="AN27" s="56"/>
      <c r="AO27" s="56"/>
      <c r="AP27" s="56"/>
      <c r="BH27" s="58"/>
      <c r="BI27" s="69">
        <v>108</v>
      </c>
      <c r="BL27" s="56"/>
      <c r="CH27" s="58"/>
      <c r="CI27" s="69">
        <v>108</v>
      </c>
      <c r="CL27" s="56"/>
      <c r="DD27" s="58"/>
      <c r="DE27" s="69">
        <v>108</v>
      </c>
      <c r="DH27" s="56"/>
      <c r="DZ27" s="58"/>
      <c r="EA27" s="69">
        <v>108</v>
      </c>
      <c r="ED27" s="56"/>
      <c r="EV27" s="58"/>
      <c r="EW27" s="69">
        <v>108</v>
      </c>
      <c r="EZ27" s="56"/>
      <c r="FR27" s="58"/>
      <c r="FS27" s="69">
        <v>108</v>
      </c>
      <c r="FV27" s="56"/>
      <c r="GN27" s="58"/>
      <c r="GO27" s="69">
        <v>108</v>
      </c>
      <c r="GR27" s="56"/>
      <c r="HJ27" s="58"/>
      <c r="HK27" s="69">
        <v>108</v>
      </c>
      <c r="HN27" s="56"/>
      <c r="IF27" s="58"/>
      <c r="IG27" s="69">
        <v>108</v>
      </c>
      <c r="IJ27" s="56"/>
      <c r="JB27" s="58"/>
      <c r="JC27" s="69">
        <v>108</v>
      </c>
      <c r="JF27" s="56"/>
      <c r="JX27" s="58"/>
      <c r="JY27" s="69">
        <v>108</v>
      </c>
      <c r="KB27" s="56"/>
      <c r="KT27" s="58"/>
      <c r="KU27" s="69">
        <v>108</v>
      </c>
      <c r="KX27" s="56"/>
      <c r="LP27" s="58"/>
      <c r="LQ27" s="69">
        <v>108</v>
      </c>
      <c r="LT27" s="56"/>
    </row>
    <row r="28" spans="1:357" x14ac:dyDescent="0.2">
      <c r="A28" s="58"/>
      <c r="B28" s="76" t="s">
        <v>61</v>
      </c>
      <c r="C28" s="58"/>
      <c r="AL28" s="70">
        <v>59.8</v>
      </c>
      <c r="AN28" s="56"/>
      <c r="AO28" s="56"/>
      <c r="AP28" s="56"/>
      <c r="BH28" s="58"/>
      <c r="BI28" s="70">
        <v>59.8</v>
      </c>
      <c r="BL28" s="56"/>
      <c r="CH28" s="58"/>
      <c r="CI28" s="70">
        <v>59.8</v>
      </c>
      <c r="CL28" s="56"/>
      <c r="DD28" s="58"/>
      <c r="DE28" s="70">
        <v>59.8</v>
      </c>
      <c r="DH28" s="56"/>
      <c r="DZ28" s="58"/>
      <c r="EA28" s="70">
        <v>59.8</v>
      </c>
      <c r="ED28" s="56"/>
      <c r="EV28" s="58"/>
      <c r="EW28" s="70">
        <v>59.8</v>
      </c>
      <c r="EZ28" s="56"/>
      <c r="FR28" s="58"/>
      <c r="FS28" s="70">
        <v>59.8</v>
      </c>
      <c r="FV28" s="56"/>
      <c r="GN28" s="58"/>
      <c r="GO28" s="70">
        <v>59.8</v>
      </c>
      <c r="GR28" s="56"/>
      <c r="HJ28" s="58"/>
      <c r="HK28" s="70">
        <v>59.8</v>
      </c>
      <c r="HN28" s="56"/>
      <c r="IF28" s="58"/>
      <c r="IG28" s="70">
        <v>59.8</v>
      </c>
      <c r="IJ28" s="56"/>
      <c r="JB28" s="58"/>
      <c r="JC28" s="70">
        <v>59.8</v>
      </c>
      <c r="JF28" s="56"/>
      <c r="JX28" s="58"/>
      <c r="JY28" s="70">
        <v>59.8</v>
      </c>
      <c r="KB28" s="56"/>
      <c r="KT28" s="58"/>
      <c r="KU28" s="70">
        <v>59.8</v>
      </c>
      <c r="KX28" s="56"/>
      <c r="LP28" s="58"/>
      <c r="LQ28" s="70">
        <v>59.8</v>
      </c>
      <c r="LT28" s="56"/>
    </row>
    <row r="29" spans="1:357" x14ac:dyDescent="0.2">
      <c r="B29" s="84" t="s">
        <v>97</v>
      </c>
      <c r="C29" s="3"/>
      <c r="AM29" s="56"/>
      <c r="AN29" s="56"/>
      <c r="AP29" s="56"/>
      <c r="DE29" s="56"/>
    </row>
    <row r="30" spans="1:357" x14ac:dyDescent="0.2">
      <c r="A30" s="58"/>
      <c r="B30" s="58"/>
      <c r="C30" s="57"/>
      <c r="AL30" s="56"/>
      <c r="AM30" s="56"/>
      <c r="AN30" s="56"/>
      <c r="AP30" s="56"/>
    </row>
    <row r="31" spans="1:357" ht="17" x14ac:dyDescent="0.2">
      <c r="A31" s="58"/>
      <c r="B31" s="58"/>
      <c r="C31" s="57"/>
      <c r="R31" s="21"/>
      <c r="S31" s="21"/>
      <c r="AL31" s="56"/>
      <c r="AM31" s="56"/>
      <c r="AN31" s="56"/>
      <c r="AP31" s="56"/>
    </row>
    <row r="32" spans="1:357" ht="17" x14ac:dyDescent="0.2">
      <c r="A32" s="58"/>
      <c r="B32" s="58"/>
      <c r="C32" s="57"/>
      <c r="R32" s="21"/>
      <c r="AL32" s="56"/>
      <c r="AM32" s="56"/>
      <c r="AN32" s="56"/>
      <c r="AP32" s="56"/>
    </row>
    <row r="33" spans="18:42" ht="17" x14ac:dyDescent="0.2">
      <c r="R33" s="21"/>
      <c r="S33" s="21"/>
      <c r="AL33" s="56"/>
      <c r="AM33" s="56"/>
      <c r="AN33" s="56"/>
      <c r="AP33" s="56"/>
    </row>
    <row r="34" spans="18:42" ht="17" x14ac:dyDescent="0.2">
      <c r="R34" s="21"/>
      <c r="S34" s="21"/>
      <c r="AL34" s="56"/>
      <c r="AM34" s="56"/>
      <c r="AN34" s="56"/>
      <c r="AP34" s="56"/>
    </row>
    <row r="35" spans="18:42" ht="17" x14ac:dyDescent="0.2">
      <c r="R35" s="21"/>
      <c r="S35" s="21"/>
      <c r="AL35" s="56"/>
      <c r="AM35" s="56"/>
      <c r="AN35" s="56"/>
      <c r="AP35" s="56"/>
    </row>
    <row r="36" spans="18:42" ht="17" x14ac:dyDescent="0.2">
      <c r="R36" s="21"/>
      <c r="S36" s="21"/>
      <c r="T36" s="21"/>
    </row>
    <row r="37" spans="18:42" ht="17" x14ac:dyDescent="0.2">
      <c r="R37" s="21"/>
      <c r="S37" s="21"/>
      <c r="T37" s="21"/>
    </row>
    <row r="38" spans="18:42" ht="17" x14ac:dyDescent="0.2">
      <c r="R38" s="21"/>
      <c r="S38" s="21"/>
      <c r="T38" s="21"/>
    </row>
    <row r="39" spans="18:42" ht="17" x14ac:dyDescent="0.2">
      <c r="R39" s="21"/>
      <c r="S39" s="21"/>
      <c r="T39" s="21"/>
    </row>
    <row r="40" spans="18:42" ht="17" x14ac:dyDescent="0.2">
      <c r="R40" s="21"/>
      <c r="S40" s="21"/>
      <c r="T40" s="21"/>
    </row>
    <row r="41" spans="18:42" ht="17" x14ac:dyDescent="0.2">
      <c r="R41" s="21"/>
      <c r="S41" s="21"/>
      <c r="T41" s="21"/>
    </row>
    <row r="42" spans="18:42" ht="17" x14ac:dyDescent="0.2">
      <c r="R42" s="21"/>
      <c r="S42" s="21"/>
      <c r="T42" s="21"/>
    </row>
    <row r="43" spans="18:42" ht="17" x14ac:dyDescent="0.2">
      <c r="R43" s="21"/>
      <c r="S43" s="21"/>
      <c r="T43" s="21"/>
    </row>
    <row r="44" spans="18:42" ht="17" x14ac:dyDescent="0.2">
      <c r="R44" s="21"/>
      <c r="S44" s="21"/>
      <c r="T44" s="21"/>
    </row>
    <row r="45" spans="18:42" ht="17" x14ac:dyDescent="0.2">
      <c r="R45" s="21"/>
      <c r="S45" s="21"/>
      <c r="T45" s="21"/>
    </row>
    <row r="46" spans="18:42" ht="17" x14ac:dyDescent="0.2">
      <c r="R46" s="21"/>
      <c r="S46" s="21"/>
      <c r="T46" s="21"/>
    </row>
    <row r="47" spans="18:42" ht="17" x14ac:dyDescent="0.2">
      <c r="R47" s="21"/>
      <c r="S47" s="21"/>
      <c r="T47" s="21"/>
    </row>
    <row r="48" spans="18:42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20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IW2:JA2"/>
    <mergeCell ref="IR2:IV2"/>
    <mergeCell ref="JI1:KD1"/>
    <mergeCell ref="KE1:KZ1"/>
    <mergeCell ref="LK2:LO2"/>
    <mergeCell ref="LF2:LJ2"/>
    <mergeCell ref="LA2:LE2"/>
    <mergeCell ref="KO2:KS2"/>
    <mergeCell ref="KJ2:KN2"/>
    <mergeCell ref="JN2:JR2"/>
    <mergeCell ref="JI2:JM2"/>
    <mergeCell ref="DK1:EF1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DK2:DO2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Q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EG2:EK2"/>
    <mergeCell ref="DU2:DY2"/>
    <mergeCell ref="DP2:DT2"/>
    <mergeCell ref="CT2:CX2"/>
    <mergeCell ref="IM2:IQ2"/>
    <mergeCell ref="IA2:IE2"/>
    <mergeCell ref="HV2:HZ2"/>
    <mergeCell ref="HQ2:HU2"/>
    <mergeCell ref="EQ2:EU2"/>
    <mergeCell ref="HE2:HI2"/>
    <mergeCell ref="GZ2:HD2"/>
    <mergeCell ref="GU2:GY2"/>
    <mergeCell ref="GD2:GH2"/>
    <mergeCell ref="FY2:GC2"/>
    <mergeCell ref="FM2:FQ2"/>
    <mergeCell ref="FH2:FL2"/>
    <mergeCell ref="LW1:MS1"/>
    <mergeCell ref="LW2:MA2"/>
    <mergeCell ref="MB2:MF2"/>
    <mergeCell ref="MG2:MK2"/>
    <mergeCell ref="EL2:EP2"/>
    <mergeCell ref="EG1:FB1"/>
    <mergeCell ref="GU1:HP1"/>
    <mergeCell ref="FC1:FX1"/>
    <mergeCell ref="FY1:GT1"/>
    <mergeCell ref="FC2:FG2"/>
    <mergeCell ref="GI2:GM2"/>
    <mergeCell ref="HQ1:IL1"/>
    <mergeCell ref="IM1:JH1"/>
    <mergeCell ref="KE2:KI2"/>
    <mergeCell ref="JS2:JW2"/>
    <mergeCell ref="LA1:LV1"/>
  </mergeCells>
  <conditionalFormatting sqref="A1:A1048576">
    <cfRule type="expression" dxfId="204" priority="292">
      <formula>AND(H1="P",F1="")</formula>
    </cfRule>
  </conditionalFormatting>
  <conditionalFormatting sqref="I1:I1048576">
    <cfRule type="containsText" dxfId="203" priority="33" operator="containsText" text="No DD">
      <formula>NOT(ISERROR(SEARCH("No DD",I1)))</formula>
    </cfRule>
    <cfRule type="containsText" dxfId="202" priority="293" operator="containsText" text="Merit">
      <formula>NOT(ISERROR(SEARCH("Merit",I1)))</formula>
    </cfRule>
    <cfRule type="containsText" dxfId="201" priority="294" operator="containsText" text="Excellence">
      <formula>NOT(ISERROR(SEARCH("Excellence",I1)))</formula>
    </cfRule>
    <cfRule type="containsText" dxfId="200" priority="295" operator="containsText" text="Worlds Team">
      <formula>NOT(ISERROR(SEARCH("Worlds Team",I1)))</formula>
    </cfRule>
    <cfRule type="containsText" dxfId="199" priority="843" operator="containsText" text="National Team">
      <formula>NOT(ISERROR(SEARCH("National Team",I1)))</formula>
    </cfRule>
  </conditionalFormatting>
  <conditionalFormatting sqref="U4:AQ20">
    <cfRule type="expression" dxfId="198" priority="55">
      <formula>IF($AJ4&lt;&gt;"",1,0)</formula>
    </cfRule>
  </conditionalFormatting>
  <conditionalFormatting sqref="AR4:BN20">
    <cfRule type="expression" dxfId="197" priority="54">
      <formula>IF($BG4&lt;&gt;"",1,0)</formula>
    </cfRule>
  </conditionalFormatting>
  <conditionalFormatting sqref="Q1:Q1048576 O1:O1048576 M1:M1048576 K1:K1048576">
    <cfRule type="expression" dxfId="196" priority="8418">
      <formula>IF(K1=$AR$1,1,0)</formula>
    </cfRule>
    <cfRule type="expression" dxfId="195" priority="8419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94" priority="16811" operator="between">
      <formula>CI$28</formula>
      <formula>1000</formula>
    </cfRule>
  </conditionalFormatting>
  <conditionalFormatting sqref="LU1:LU1048576 CM1:CM1048576 EE1:EE1048576 FW1:FW1048576 HO1:HO1048576 JG1:JG1048576 KY1:KY1048576 DI1:DI1048576 FA1:FA1048576 GS1:GS1048576 IK1:IK1048576 KC1:KC1048576">
    <cfRule type="cellIs" dxfId="193" priority="16847" operator="between">
      <formula>CI$28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92" priority="16883" operator="between">
      <formula>CI$27</formula>
      <formula>1000</formula>
    </cfRule>
    <cfRule type="cellIs" dxfId="191" priority="16884" operator="between">
      <formula>CI$26</formula>
      <formula>CI$27</formula>
    </cfRule>
    <cfRule type="cellIs" dxfId="190" priority="16885" operator="between">
      <formula>CI$25</formula>
      <formula>CI$26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89" priority="16991">
      <formula>IF(AND(CH1&gt;=CI$23,CH1&lt;CI$24),1,0)</formula>
    </cfRule>
    <cfRule type="expression" dxfId="188" priority="16992">
      <formula>IF(AND(CH1&gt;=CI$24,CH1&lt;100),1,0)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87" priority="17063">
      <formula>IF(AND(CL1&gt;=CI$24,CL1&lt;100),1,0)</formula>
    </cfRule>
    <cfRule type="expression" dxfId="186" priority="17064">
      <formula>IF(AND(CL1&gt;=CI$23,CL1&lt;CI$24),1,0)</formula>
    </cfRule>
  </conditionalFormatting>
  <conditionalFormatting sqref="AK1:AK1048576 BH1:BH1048576">
    <cfRule type="expression" dxfId="185" priority="17135">
      <formula>IF(AND(AK1&gt;=AL$24,AK1&lt;100,AJ1=""),1,0)</formula>
    </cfRule>
    <cfRule type="expression" dxfId="184" priority="17136">
      <formula>IF(AND(AK1&gt;=AL$23,AK1&lt;AL$24,AJ1=""),1,0)</formula>
    </cfRule>
  </conditionalFormatting>
  <conditionalFormatting sqref="AN1:AN1048576 BK1:BK1048576">
    <cfRule type="expression" dxfId="183" priority="17147">
      <formula>IF(AND(AN1&gt;=AL$27,AN1&lt;1000,AJ1=""),1,0)</formula>
    </cfRule>
    <cfRule type="expression" dxfId="182" priority="17148">
      <formula>IF(AND(AN1&gt;=AL$26,AN1&lt;AL$27,AJ1=""),1,0)</formula>
    </cfRule>
    <cfRule type="expression" dxfId="181" priority="17149">
      <formula>IF(AND(AN1&gt;=AL$25,AN1&lt;AL$26,AJ1=""),1,0)</formula>
    </cfRule>
  </conditionalFormatting>
  <conditionalFormatting sqref="BJ1:BJ1048576 AM1:AM1048576">
    <cfRule type="expression" dxfId="180" priority="17165">
      <formula>IF(AND(AM1&gt;=AL$28,AM1&lt;1000,AJ1=""),1,0)</formula>
    </cfRule>
  </conditionalFormatting>
  <conditionalFormatting sqref="BM1:BM1048576 AP1:AP1048576">
    <cfRule type="expression" dxfId="179" priority="17171">
      <formula>IF(AND(AP1&gt;=AL$28,AP1&lt;1000,AJ1=""),1,0)</formula>
    </cfRule>
  </conditionalFormatting>
  <conditionalFormatting sqref="BL1:BL1048576 AO1:AO1048576">
    <cfRule type="expression" dxfId="178" priority="17177">
      <formula>IF(AND(AO1&gt;=AL$24,AO1&lt;100,AJ1=""),1,0)</formula>
    </cfRule>
    <cfRule type="expression" dxfId="177" priority="17178">
      <formula>IF(AND(AO1&gt;=AL$23,AO1&lt;AL$24,AJ1=""),1,0)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customWidth="1"/>
    <col min="18" max="18" width="24.6640625" customWidth="1"/>
    <col min="19" max="19" width="13" customWidth="1"/>
    <col min="20" max="20" width="43.5" customWidth="1"/>
    <col min="21" max="36" width="10.83203125" hidden="1" customWidth="1"/>
    <col min="37" max="43" width="10.83203125" customWidth="1"/>
    <col min="44" max="59" width="10.83203125" hidden="1" customWidth="1"/>
    <col min="6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98</v>
      </c>
      <c r="E1" s="124" t="s">
        <v>2</v>
      </c>
      <c r="F1" s="125" t="s">
        <v>82</v>
      </c>
      <c r="G1" s="125" t="s">
        <v>81</v>
      </c>
      <c r="H1" s="124" t="s">
        <v>15</v>
      </c>
      <c r="I1" s="124" t="s">
        <v>16</v>
      </c>
      <c r="J1" s="126" t="s">
        <v>17</v>
      </c>
      <c r="K1" s="126" t="s">
        <v>59</v>
      </c>
      <c r="L1" s="126" t="s">
        <v>18</v>
      </c>
      <c r="M1" s="126" t="s">
        <v>59</v>
      </c>
      <c r="N1" s="126" t="s">
        <v>19</v>
      </c>
      <c r="O1" s="126" t="s">
        <v>59</v>
      </c>
      <c r="P1" s="126" t="s">
        <v>20</v>
      </c>
      <c r="Q1" s="126" t="s">
        <v>59</v>
      </c>
      <c r="R1" s="127" t="s">
        <v>21</v>
      </c>
      <c r="S1" s="126" t="s">
        <v>60</v>
      </c>
      <c r="T1" s="126" t="s">
        <v>59</v>
      </c>
      <c r="U1" s="120" t="s">
        <v>138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156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129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134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155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171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172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181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 t="s">
        <v>193</v>
      </c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 t="s">
        <v>189</v>
      </c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 t="s">
        <v>187</v>
      </c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 t="s">
        <v>190</v>
      </c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 t="s">
        <v>194</v>
      </c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 t="s">
        <v>194</v>
      </c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133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80"/>
      <c r="AK2" s="60" t="s">
        <v>120</v>
      </c>
      <c r="AL2" s="10" t="s">
        <v>28</v>
      </c>
      <c r="AM2" s="10" t="s">
        <v>29</v>
      </c>
      <c r="AN2" s="10" t="s">
        <v>31</v>
      </c>
      <c r="AO2" s="10" t="s">
        <v>152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81"/>
      <c r="BH2" s="59" t="s">
        <v>120</v>
      </c>
      <c r="BI2" s="13" t="s">
        <v>28</v>
      </c>
      <c r="BJ2" s="13" t="s">
        <v>29</v>
      </c>
      <c r="BK2" s="13" t="s">
        <v>31</v>
      </c>
      <c r="BL2" s="13" t="s">
        <v>152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60" t="s">
        <v>120</v>
      </c>
      <c r="CI2" s="10" t="s">
        <v>28</v>
      </c>
      <c r="CJ2" s="10" t="s">
        <v>29</v>
      </c>
      <c r="CK2" s="10" t="s">
        <v>31</v>
      </c>
      <c r="CL2" s="10" t="s">
        <v>152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59" t="s">
        <v>120</v>
      </c>
      <c r="DE2" s="13" t="s">
        <v>28</v>
      </c>
      <c r="DF2" s="13" t="s">
        <v>29</v>
      </c>
      <c r="DG2" s="13" t="s">
        <v>31</v>
      </c>
      <c r="DH2" s="13" t="s">
        <v>152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60" t="s">
        <v>120</v>
      </c>
      <c r="EA2" s="10" t="s">
        <v>28</v>
      </c>
      <c r="EB2" s="10" t="s">
        <v>29</v>
      </c>
      <c r="EC2" s="10" t="s">
        <v>31</v>
      </c>
      <c r="ED2" s="10" t="s">
        <v>152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59" t="s">
        <v>120</v>
      </c>
      <c r="EW2" s="13" t="s">
        <v>28</v>
      </c>
      <c r="EX2" s="13" t="s">
        <v>29</v>
      </c>
      <c r="EY2" s="13" t="s">
        <v>31</v>
      </c>
      <c r="EZ2" s="13" t="s">
        <v>152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60" t="s">
        <v>120</v>
      </c>
      <c r="FS2" s="10" t="s">
        <v>28</v>
      </c>
      <c r="FT2" s="10" t="s">
        <v>29</v>
      </c>
      <c r="FU2" s="10" t="s">
        <v>31</v>
      </c>
      <c r="FV2" s="10" t="s">
        <v>152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59" t="s">
        <v>120</v>
      </c>
      <c r="GO2" s="13" t="s">
        <v>28</v>
      </c>
      <c r="GP2" s="13" t="s">
        <v>29</v>
      </c>
      <c r="GQ2" s="13" t="s">
        <v>31</v>
      </c>
      <c r="GR2" s="13" t="s">
        <v>152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23" t="s">
        <v>120</v>
      </c>
      <c r="HK2" s="10" t="s">
        <v>28</v>
      </c>
      <c r="HL2" s="10" t="s">
        <v>29</v>
      </c>
      <c r="HM2" s="10" t="s">
        <v>31</v>
      </c>
      <c r="HN2" s="10" t="s">
        <v>152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59" t="s">
        <v>120</v>
      </c>
      <c r="IG2" s="13" t="s">
        <v>28</v>
      </c>
      <c r="IH2" s="13" t="s">
        <v>29</v>
      </c>
      <c r="II2" s="13" t="s">
        <v>31</v>
      </c>
      <c r="IJ2" s="13" t="s">
        <v>152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23" t="s">
        <v>120</v>
      </c>
      <c r="JC2" s="10" t="s">
        <v>28</v>
      </c>
      <c r="JD2" s="10" t="s">
        <v>29</v>
      </c>
      <c r="JE2" s="10" t="s">
        <v>31</v>
      </c>
      <c r="JF2" s="10" t="s">
        <v>152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22" t="s">
        <v>120</v>
      </c>
      <c r="JY2" s="13" t="s">
        <v>28</v>
      </c>
      <c r="JZ2" s="13" t="s">
        <v>29</v>
      </c>
      <c r="KA2" s="13" t="s">
        <v>31</v>
      </c>
      <c r="KB2" s="13" t="s">
        <v>152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23" t="s">
        <v>120</v>
      </c>
      <c r="KU2" s="10" t="s">
        <v>28</v>
      </c>
      <c r="KV2" s="10" t="s">
        <v>29</v>
      </c>
      <c r="KW2" s="10" t="s">
        <v>31</v>
      </c>
      <c r="KX2" s="10" t="s">
        <v>152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22" t="s">
        <v>120</v>
      </c>
      <c r="LQ2" s="13" t="s">
        <v>28</v>
      </c>
      <c r="LR2" s="13" t="s">
        <v>29</v>
      </c>
      <c r="LS2" s="13" t="s">
        <v>31</v>
      </c>
      <c r="LT2" s="13" t="s">
        <v>152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120</v>
      </c>
      <c r="MN2" s="10" t="s">
        <v>28</v>
      </c>
      <c r="MO2" s="10" t="s">
        <v>29</v>
      </c>
      <c r="MP2" s="10" t="s">
        <v>31</v>
      </c>
      <c r="MQ2" s="10" t="s">
        <v>152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60" t="s">
        <v>22</v>
      </c>
      <c r="V3" s="60" t="s">
        <v>23</v>
      </c>
      <c r="W3" s="60" t="s">
        <v>14</v>
      </c>
      <c r="X3" s="60" t="s">
        <v>24</v>
      </c>
      <c r="Y3" s="60" t="s">
        <v>45</v>
      </c>
      <c r="Z3" s="60" t="s">
        <v>22</v>
      </c>
      <c r="AA3" s="60" t="s">
        <v>23</v>
      </c>
      <c r="AB3" s="60" t="s">
        <v>14</v>
      </c>
      <c r="AC3" s="60" t="s">
        <v>24</v>
      </c>
      <c r="AD3" s="60" t="s">
        <v>45</v>
      </c>
      <c r="AE3" s="60" t="s">
        <v>22</v>
      </c>
      <c r="AF3" s="60" t="s">
        <v>23</v>
      </c>
      <c r="AG3" s="60" t="s">
        <v>14</v>
      </c>
      <c r="AH3" s="60" t="s">
        <v>24</v>
      </c>
      <c r="AI3" s="60" t="s">
        <v>45</v>
      </c>
      <c r="AJ3" s="80" t="s">
        <v>95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24</v>
      </c>
      <c r="AV3" s="59" t="s">
        <v>45</v>
      </c>
      <c r="AW3" s="59" t="s">
        <v>22</v>
      </c>
      <c r="AX3" s="59" t="s">
        <v>23</v>
      </c>
      <c r="AY3" s="59" t="s">
        <v>14</v>
      </c>
      <c r="AZ3" s="59" t="s">
        <v>24</v>
      </c>
      <c r="BA3" s="59" t="s">
        <v>45</v>
      </c>
      <c r="BB3" s="59" t="s">
        <v>22</v>
      </c>
      <c r="BC3" s="59" t="s">
        <v>23</v>
      </c>
      <c r="BD3" s="59" t="s">
        <v>14</v>
      </c>
      <c r="BE3" s="59" t="s">
        <v>24</v>
      </c>
      <c r="BF3" s="59" t="s">
        <v>45</v>
      </c>
      <c r="BG3" s="81" t="s">
        <v>95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0" t="s">
        <v>24</v>
      </c>
      <c r="BW3" s="60" t="s">
        <v>45</v>
      </c>
      <c r="BX3" s="60" t="s">
        <v>22</v>
      </c>
      <c r="BY3" s="60" t="s">
        <v>23</v>
      </c>
      <c r="BZ3" s="60" t="s">
        <v>14</v>
      </c>
      <c r="CA3" s="60" t="s">
        <v>24</v>
      </c>
      <c r="CB3" s="60" t="s">
        <v>45</v>
      </c>
      <c r="CC3" s="60" t="s">
        <v>22</v>
      </c>
      <c r="CD3" s="60" t="s">
        <v>23</v>
      </c>
      <c r="CE3" s="60" t="s">
        <v>14</v>
      </c>
      <c r="CF3" s="60" t="s">
        <v>24</v>
      </c>
      <c r="CG3" s="60" t="s">
        <v>45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24</v>
      </c>
      <c r="CS3" s="59" t="s">
        <v>45</v>
      </c>
      <c r="CT3" s="59" t="s">
        <v>22</v>
      </c>
      <c r="CU3" s="59" t="s">
        <v>23</v>
      </c>
      <c r="CV3" s="59" t="s">
        <v>14</v>
      </c>
      <c r="CW3" s="59" t="s">
        <v>24</v>
      </c>
      <c r="CX3" s="59" t="s">
        <v>45</v>
      </c>
      <c r="CY3" s="59" t="s">
        <v>22</v>
      </c>
      <c r="CZ3" s="59" t="s">
        <v>23</v>
      </c>
      <c r="DA3" s="59" t="s">
        <v>14</v>
      </c>
      <c r="DB3" s="59" t="s">
        <v>24</v>
      </c>
      <c r="DC3" s="59" t="s">
        <v>45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0" t="s">
        <v>24</v>
      </c>
      <c r="DO3" s="60" t="s">
        <v>45</v>
      </c>
      <c r="DP3" s="60" t="s">
        <v>22</v>
      </c>
      <c r="DQ3" s="60" t="s">
        <v>23</v>
      </c>
      <c r="DR3" s="60" t="s">
        <v>14</v>
      </c>
      <c r="DS3" s="60" t="s">
        <v>24</v>
      </c>
      <c r="DT3" s="60" t="s">
        <v>45</v>
      </c>
      <c r="DU3" s="60" t="s">
        <v>22</v>
      </c>
      <c r="DV3" s="60" t="s">
        <v>23</v>
      </c>
      <c r="DW3" s="60" t="s">
        <v>14</v>
      </c>
      <c r="DX3" s="60" t="s">
        <v>24</v>
      </c>
      <c r="DY3" s="60" t="s">
        <v>45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24</v>
      </c>
      <c r="EK3" s="59" t="s">
        <v>45</v>
      </c>
      <c r="EL3" s="59" t="s">
        <v>22</v>
      </c>
      <c r="EM3" s="59" t="s">
        <v>23</v>
      </c>
      <c r="EN3" s="59" t="s">
        <v>14</v>
      </c>
      <c r="EO3" s="59" t="s">
        <v>24</v>
      </c>
      <c r="EP3" s="59" t="s">
        <v>45</v>
      </c>
      <c r="EQ3" s="59" t="s">
        <v>22</v>
      </c>
      <c r="ER3" s="59" t="s">
        <v>23</v>
      </c>
      <c r="ES3" s="59" t="s">
        <v>14</v>
      </c>
      <c r="ET3" s="59" t="s">
        <v>24</v>
      </c>
      <c r="EU3" s="59" t="s">
        <v>45</v>
      </c>
      <c r="EV3" s="14"/>
      <c r="EW3" s="13"/>
      <c r="EX3" s="13"/>
      <c r="EY3" s="13"/>
      <c r="EZ3" s="13"/>
      <c r="FA3" s="14"/>
      <c r="FB3" s="14"/>
      <c r="FC3" s="60" t="s">
        <v>22</v>
      </c>
      <c r="FD3" s="60" t="s">
        <v>23</v>
      </c>
      <c r="FE3" s="60" t="s">
        <v>14</v>
      </c>
      <c r="FF3" s="60" t="s">
        <v>24</v>
      </c>
      <c r="FG3" s="60" t="s">
        <v>45</v>
      </c>
      <c r="FH3" s="60" t="s">
        <v>22</v>
      </c>
      <c r="FI3" s="60" t="s">
        <v>23</v>
      </c>
      <c r="FJ3" s="60" t="s">
        <v>14</v>
      </c>
      <c r="FK3" s="60" t="s">
        <v>24</v>
      </c>
      <c r="FL3" s="60" t="s">
        <v>45</v>
      </c>
      <c r="FM3" s="60" t="s">
        <v>22</v>
      </c>
      <c r="FN3" s="60" t="s">
        <v>23</v>
      </c>
      <c r="FO3" s="60" t="s">
        <v>14</v>
      </c>
      <c r="FP3" s="60" t="s">
        <v>24</v>
      </c>
      <c r="FQ3" s="60" t="s">
        <v>45</v>
      </c>
      <c r="FR3" s="11"/>
      <c r="FS3" s="10"/>
      <c r="FT3" s="10"/>
      <c r="FU3" s="10"/>
      <c r="FV3" s="10"/>
      <c r="FW3" s="11"/>
      <c r="FX3" s="11"/>
      <c r="FY3" s="59" t="s">
        <v>22</v>
      </c>
      <c r="FZ3" s="59" t="s">
        <v>23</v>
      </c>
      <c r="GA3" s="59" t="s">
        <v>14</v>
      </c>
      <c r="GB3" s="59" t="s">
        <v>24</v>
      </c>
      <c r="GC3" s="59" t="s">
        <v>45</v>
      </c>
      <c r="GD3" s="59" t="s">
        <v>22</v>
      </c>
      <c r="GE3" s="59" t="s">
        <v>23</v>
      </c>
      <c r="GF3" s="59" t="s">
        <v>14</v>
      </c>
      <c r="GG3" s="59" t="s">
        <v>24</v>
      </c>
      <c r="GH3" s="59" t="s">
        <v>45</v>
      </c>
      <c r="GI3" s="59" t="s">
        <v>22</v>
      </c>
      <c r="GJ3" s="59" t="s">
        <v>23</v>
      </c>
      <c r="GK3" s="59" t="s">
        <v>14</v>
      </c>
      <c r="GL3" s="59" t="s">
        <v>24</v>
      </c>
      <c r="GM3" s="59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1" t="s">
        <v>24</v>
      </c>
      <c r="GY3" s="48" t="s">
        <v>45</v>
      </c>
      <c r="GZ3" s="31" t="s">
        <v>22</v>
      </c>
      <c r="HA3" s="31" t="s">
        <v>23</v>
      </c>
      <c r="HB3" s="31" t="s">
        <v>14</v>
      </c>
      <c r="HC3" s="31" t="s">
        <v>24</v>
      </c>
      <c r="HD3" s="48" t="s">
        <v>45</v>
      </c>
      <c r="HE3" s="31" t="s">
        <v>22</v>
      </c>
      <c r="HF3" s="31" t="s">
        <v>23</v>
      </c>
      <c r="HG3" s="31" t="s">
        <v>14</v>
      </c>
      <c r="HH3" s="31" t="s">
        <v>24</v>
      </c>
      <c r="HI3" s="48" t="s">
        <v>45</v>
      </c>
      <c r="HJ3" s="11"/>
      <c r="HK3" s="10"/>
      <c r="HL3" s="10"/>
      <c r="HM3" s="10"/>
      <c r="HN3" s="10"/>
      <c r="HO3" s="11"/>
      <c r="HP3" s="11"/>
      <c r="HQ3" s="59" t="s">
        <v>22</v>
      </c>
      <c r="HR3" s="59" t="s">
        <v>23</v>
      </c>
      <c r="HS3" s="59" t="s">
        <v>14</v>
      </c>
      <c r="HT3" s="59" t="s">
        <v>24</v>
      </c>
      <c r="HU3" s="59" t="s">
        <v>45</v>
      </c>
      <c r="HV3" s="59" t="s">
        <v>22</v>
      </c>
      <c r="HW3" s="59" t="s">
        <v>23</v>
      </c>
      <c r="HX3" s="59" t="s">
        <v>14</v>
      </c>
      <c r="HY3" s="59" t="s">
        <v>24</v>
      </c>
      <c r="HZ3" s="59" t="s">
        <v>45</v>
      </c>
      <c r="IA3" s="59" t="s">
        <v>22</v>
      </c>
      <c r="IB3" s="59" t="s">
        <v>23</v>
      </c>
      <c r="IC3" s="59" t="s">
        <v>14</v>
      </c>
      <c r="ID3" s="59" t="s">
        <v>24</v>
      </c>
      <c r="IE3" s="59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1" t="s">
        <v>24</v>
      </c>
      <c r="IQ3" s="48" t="s">
        <v>45</v>
      </c>
      <c r="IR3" s="31" t="s">
        <v>22</v>
      </c>
      <c r="IS3" s="31" t="s">
        <v>23</v>
      </c>
      <c r="IT3" s="31" t="s">
        <v>14</v>
      </c>
      <c r="IU3" s="31" t="s">
        <v>24</v>
      </c>
      <c r="IV3" s="48" t="s">
        <v>45</v>
      </c>
      <c r="IW3" s="31" t="s">
        <v>22</v>
      </c>
      <c r="IX3" s="31" t="s">
        <v>23</v>
      </c>
      <c r="IY3" s="31" t="s">
        <v>14</v>
      </c>
      <c r="IZ3" s="31" t="s">
        <v>24</v>
      </c>
      <c r="JA3" s="48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24</v>
      </c>
      <c r="JM3" s="49" t="s">
        <v>45</v>
      </c>
      <c r="JN3" s="30" t="s">
        <v>22</v>
      </c>
      <c r="JO3" s="30" t="s">
        <v>23</v>
      </c>
      <c r="JP3" s="30" t="s">
        <v>14</v>
      </c>
      <c r="JQ3" s="30" t="s">
        <v>24</v>
      </c>
      <c r="JR3" s="49" t="s">
        <v>45</v>
      </c>
      <c r="JS3" s="30" t="s">
        <v>22</v>
      </c>
      <c r="JT3" s="30" t="s">
        <v>23</v>
      </c>
      <c r="JU3" s="30" t="s">
        <v>14</v>
      </c>
      <c r="JV3" s="30" t="s">
        <v>24</v>
      </c>
      <c r="JW3" s="49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1" t="s">
        <v>24</v>
      </c>
      <c r="KI3" s="48" t="s">
        <v>45</v>
      </c>
      <c r="KJ3" s="31" t="s">
        <v>22</v>
      </c>
      <c r="KK3" s="31" t="s">
        <v>23</v>
      </c>
      <c r="KL3" s="31" t="s">
        <v>14</v>
      </c>
      <c r="KM3" s="31" t="s">
        <v>24</v>
      </c>
      <c r="KN3" s="48" t="s">
        <v>45</v>
      </c>
      <c r="KO3" s="31" t="s">
        <v>22</v>
      </c>
      <c r="KP3" s="31" t="s">
        <v>23</v>
      </c>
      <c r="KQ3" s="31" t="s">
        <v>14</v>
      </c>
      <c r="KR3" s="31" t="s">
        <v>24</v>
      </c>
      <c r="KS3" s="48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24</v>
      </c>
      <c r="LE3" s="49" t="s">
        <v>45</v>
      </c>
      <c r="LF3" s="49" t="s">
        <v>22</v>
      </c>
      <c r="LG3" s="30" t="s">
        <v>23</v>
      </c>
      <c r="LH3" s="30" t="s">
        <v>14</v>
      </c>
      <c r="LI3" s="30" t="s">
        <v>24</v>
      </c>
      <c r="LJ3" s="49" t="s">
        <v>45</v>
      </c>
      <c r="LK3" s="30" t="s">
        <v>22</v>
      </c>
      <c r="LL3" s="30" t="s">
        <v>23</v>
      </c>
      <c r="LM3" s="30" t="s">
        <v>14</v>
      </c>
      <c r="LN3" s="30" t="s">
        <v>24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95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7" t="s">
        <v>38</v>
      </c>
      <c r="C4" s="8" t="s">
        <v>3</v>
      </c>
      <c r="D4" s="6">
        <v>1988</v>
      </c>
      <c r="E4" s="16">
        <f>SUM(J4:R4)</f>
        <v>266.72499999999997</v>
      </c>
      <c r="F4" s="4" t="str">
        <f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>IF(AND(H4="P",F4=""),"No DD",IF(AND(G4="P",OR(AND($AM4&gt;$AL$23,NOT($AM4=""),$AJ4=""),AND($AP4&gt;$AL$23,NOT($AP4=""),$AJ4=""),AND($BJ4&gt;$BI$23,NOT($BJ4=""),$BG4=""),AND($BM4&gt;$BI$23,NOT($BM4=""),$BG4=""),AND($CJ4&gt;$CI$23,NOT($CJ4="")),AND($CM4&gt;$CI$23,NOT($CM4="")),AND($DF4&gt;$DE$23,NOT($DF4="")),AND($DI4&gt;$DE$23,NOT($DI4="")),AND($EB4&gt;$EA$23,NOT($EB4="")),AND($EE4&gt;$EA$23,NOT($EE4="")),AND($EX4&gt;$EW$23,NOT($EX4="")),AND($FA4&gt;$EW$23,NOT($FA4="")),AND($FT4&gt;$FS$23,NOT($FT4="")),AND($FW4&gt;$FS$23,NOT($FW4="")),AND($GP4&gt;$GO$23,NOT($GP4="")),AND($GS4&gt;$GO$23,NOT($GS4="")),AND($HL4&gt;$HK$23,NOT($HL4="")),AND($HO4&gt;$HK$23,NOT($HO4="")),AND($IH4&gt;$IG$23,NOT($IH4="")),AND($IK4&gt;$IG$23,NOT($IK4="")),AND($JD4&gt;$JC$23,NOT($JD4="")),AND($JG4&gt;$JC$23,NOT($JG4="")),AND($JZ4&gt;$JY$23,NOT($JZ4="")),AND($KC4&gt;$JY$23,NOT($KC4="")),AND($KV4&gt;$KU$23,NOT($KV4="")),AND($KY4&gt;$KU$23,NOT($KY4="")),AND($LR4&gt;$LQ$23,NOT($LR4="")),AND($LU4&gt;$LQ$23,NOT($LU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Merit</v>
      </c>
      <c r="J4" s="15">
        <f>IF(MAX(AN4,BK4)&gt;0,MAX(AN4,BK4),"")</f>
        <v>105.24</v>
      </c>
      <c r="K4" s="15" t="str">
        <f>IF(J4="","",IF(J4=BK4,$AR$1,IF(J4=AN4,$U$1,"")))</f>
        <v>2019 Nationals</v>
      </c>
      <c r="L4" s="15">
        <f>IF($J4=$AN4,BI4,IF($J4=$BK4,AL4,MAX(AL4,BI4)))</f>
        <v>49.284999999999997</v>
      </c>
      <c r="M4" s="15" t="str">
        <f>IF(L4="","",IF(L4=BI4,$AR$1,IF(L4=AL4,$U$1,"")))</f>
        <v>2019 Nationals</v>
      </c>
      <c r="N4" s="15">
        <f>IF($J4=$AN4,BJ4,IF($J4=$BK4,AM4,MAX(AM4,BJ4)))</f>
        <v>55.954999999999998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33.392499999999998</v>
      </c>
      <c r="Q4" s="15" t="str">
        <f>IF(P4="","",IF(P4=BM4,$AR$1,IF(P4=AP4,$U$1,"")))</f>
        <v>2019 Nationals</v>
      </c>
      <c r="R4" s="15">
        <f>IF(MAX(BO4,BP4,BQ4,BR4)&gt;0,MAX(BO4,BP4,BQ4,BR4),"")</f>
        <v>22.852499999999999</v>
      </c>
      <c r="S4" s="27" t="str">
        <f>IF(R4="","",IF(R4=BO4,"(Vol 1)",IF(R4=BP4,"(Vol 2)",IF(R4=BQ4,"(Prelim)",IF(R4=BR4,"(Final)")))))</f>
        <v>(Final)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World Cup AZE (Feb 17)</v>
      </c>
      <c r="U4" s="71">
        <v>18.8</v>
      </c>
      <c r="V4" s="71">
        <v>9.4499999999999993</v>
      </c>
      <c r="W4" s="71">
        <v>4.4000000000000004</v>
      </c>
      <c r="X4" s="71">
        <v>16.634999999999998</v>
      </c>
      <c r="Y4" s="71">
        <v>0</v>
      </c>
      <c r="Z4" s="71">
        <v>16.8</v>
      </c>
      <c r="AA4" s="71">
        <v>9.2750000000000004</v>
      </c>
      <c r="AB4" s="71">
        <v>14.15</v>
      </c>
      <c r="AC4" s="71">
        <v>15.73</v>
      </c>
      <c r="AD4" s="71">
        <v>0</v>
      </c>
      <c r="AE4" s="71">
        <v>9.85</v>
      </c>
      <c r="AF4" s="71">
        <v>5.35</v>
      </c>
      <c r="AG4" s="71">
        <v>8.5500000000000007</v>
      </c>
      <c r="AH4" s="71">
        <v>9.6425000000000001</v>
      </c>
      <c r="AI4" s="71">
        <v>0</v>
      </c>
      <c r="AJ4" s="82" t="s">
        <v>96</v>
      </c>
      <c r="AK4" s="12">
        <f>IF(AB4&gt;0,AB4,"")</f>
        <v>14.15</v>
      </c>
      <c r="AL4" s="12">
        <f>IF(SUM(U4:X4)-Y4&gt;0,SUM(U4:X4)-Y4,"")</f>
        <v>49.284999999999997</v>
      </c>
      <c r="AM4" s="12">
        <f>IF(SUM(Z4:AC4)-AD4&gt;0,SUM(Z4:AC4)-AD4,"")</f>
        <v>55.954999999999998</v>
      </c>
      <c r="AN4" s="12">
        <f>IF(SUM(AL4:AM4)&gt;0,SUM(AL4:AM4),"")</f>
        <v>105.24</v>
      </c>
      <c r="AO4" s="12">
        <f>IF(AG4&gt;0,AG4,"")</f>
        <v>8.5500000000000007</v>
      </c>
      <c r="AP4" s="12">
        <f>IF(SUM(AE4:AH4)-AI4&gt;0,SUM(AE4:AH4)-AI4,"")</f>
        <v>33.392499999999998</v>
      </c>
      <c r="AQ4" s="12">
        <f>IF(SUM(AN4,AP4)&gt;0,SUM(AN4,AP4),"")</f>
        <v>138.63249999999999</v>
      </c>
      <c r="AR4" s="77">
        <v>18.8</v>
      </c>
      <c r="AS4" s="77">
        <v>9.4499999999999993</v>
      </c>
      <c r="AT4" s="77">
        <v>4.4000000000000004</v>
      </c>
      <c r="AU4" s="77">
        <v>16.634999999999998</v>
      </c>
      <c r="AV4" s="77">
        <v>0</v>
      </c>
      <c r="AW4" s="77">
        <v>16.8</v>
      </c>
      <c r="AX4" s="77">
        <v>9.2750000000000004</v>
      </c>
      <c r="AY4" s="77">
        <v>14.15</v>
      </c>
      <c r="AZ4" s="77">
        <v>15.73</v>
      </c>
      <c r="BA4" s="77">
        <v>0</v>
      </c>
      <c r="BB4" s="77">
        <v>9.85</v>
      </c>
      <c r="BC4" s="77">
        <v>5.35</v>
      </c>
      <c r="BD4" s="77">
        <v>8.5500000000000007</v>
      </c>
      <c r="BE4" s="77">
        <v>9.6425000000000001</v>
      </c>
      <c r="BF4" s="77">
        <v>0</v>
      </c>
      <c r="BG4" s="83" t="s">
        <v>96</v>
      </c>
      <c r="BH4" s="15">
        <f>IF(AY4&gt;0,AY4,"")</f>
        <v>14.15</v>
      </c>
      <c r="BI4" s="15">
        <f>IF(SUM(AR4:AU4)-AV4&gt;0,SUM(AR4:AU4)-AV4,"")</f>
        <v>49.284999999999997</v>
      </c>
      <c r="BJ4" s="15">
        <f>IF(SUM(AW4:AZ4)-BA4&gt;0,SUM(AW4:AZ4)-BA4,"")</f>
        <v>55.954999999999998</v>
      </c>
      <c r="BK4" s="15">
        <f>IF(SUM(BI4:BJ4)&gt;0,SUM(BI4:BJ4),"")</f>
        <v>105.24</v>
      </c>
      <c r="BL4" s="15">
        <f>IF(BD4&gt;0,BD4,"")</f>
        <v>8.5500000000000007</v>
      </c>
      <c r="BM4" s="15">
        <f>IF(SUM(BB4:BE4)-BF4&gt;0,SUM(BB4:BE4)-BF4,"")</f>
        <v>33.392499999999998</v>
      </c>
      <c r="BN4" s="15">
        <f>IF(SUM(BK4,BM4)&gt;0,SUM(BK4,BM4),"")</f>
        <v>138.63249999999999</v>
      </c>
      <c r="BO4" s="26">
        <f>IF(MAX(CI4,DE4,EA4,EW4,FS4,GO4,HK4,IG4,JC4,JY4,KU4,LQ4)-IF(L4="",0,L4)&gt;0.001,MAX(CI4,DE4,EA4,EW4,FS4,GO4,HK4,IG4,JC4,JY4,KU4,LQ4)-IF(L4="",0,L4),"")</f>
        <v>0.25499999999999545</v>
      </c>
      <c r="BP4" s="26">
        <f>IF(MAX(CJ4,DF4,EB4,EX4,FT4,GP4,HL4,IH4,JD4,JZ4,KV4,LR4)-IF(N4="",0,N4)&gt;0.001,MAX(CJ4,DF4,EB4,EX4,FT4,GP4,HL4,IH4,JD4,JZ4,KV4,LR4)-IF(N4="",0,N4),"")</f>
        <v>0.65000000000000568</v>
      </c>
      <c r="BQ4" s="26" t="str">
        <f>IF(MAX(CK4,DG4,EC4,EY4,FU4,GQ4,HM4,II4,JE4,KA4,KW4,LS4)-IF(J4="",0,J4)&gt;0.001,MAX(CK4,DG4,EC4,EY4,FU4,GQ4,HM4,II4,JE4,KA4,KW4,LS4)-IF(J4="",0,J4),"")</f>
        <v/>
      </c>
      <c r="BR4" s="26">
        <f>IF(MAX(CM4,DI4,EE4,FA4,FW4,GS4,HO4,IK4,JG4,KC4,KY4,LU4)-IF(P4="",0,P4)&gt;0.001,MAX(CM4,DI4,EE4,FA4,FW4,GS4,HO4,IK4,JG4,KC4,KY4,LU4)-IF(P4="",0,P4),"")</f>
        <v>22.852499999999999</v>
      </c>
      <c r="BS4" s="39">
        <v>18.2</v>
      </c>
      <c r="BT4" s="39">
        <v>9.4</v>
      </c>
      <c r="BU4" s="39">
        <v>4.8</v>
      </c>
      <c r="BV4" s="39">
        <v>16.16</v>
      </c>
      <c r="BW4" s="39">
        <v>0</v>
      </c>
      <c r="BX4" s="39">
        <v>16.7</v>
      </c>
      <c r="BY4" s="39">
        <v>9.5</v>
      </c>
      <c r="BZ4" s="39">
        <v>15</v>
      </c>
      <c r="CA4" s="39">
        <v>15.404999999999999</v>
      </c>
      <c r="CB4" s="39">
        <v>0</v>
      </c>
      <c r="CC4" s="39">
        <v>16.3</v>
      </c>
      <c r="CD4" s="39">
        <v>9.6999999999999993</v>
      </c>
      <c r="CE4" s="39">
        <v>15</v>
      </c>
      <c r="CF4" s="39">
        <v>15.244999999999999</v>
      </c>
      <c r="CG4" s="39">
        <v>0</v>
      </c>
      <c r="CH4" s="12">
        <f>IF(BZ4&gt;0,BZ4,"")</f>
        <v>15</v>
      </c>
      <c r="CI4" s="12">
        <f>IF(SUM(BS4:BV4)-BW4&gt;0,SUM(BS4:BV4)-BW4,"")</f>
        <v>48.56</v>
      </c>
      <c r="CJ4" s="12">
        <f>IF(SUM(BX4:CA4)-CB4&gt;0,SUM(BX4:CA4)-CB4,"")</f>
        <v>56.605000000000004</v>
      </c>
      <c r="CK4" s="12">
        <f>IF(SUM(CI4:CJ4)&gt;0,SUM(CI4:CJ4),"")</f>
        <v>105.16500000000001</v>
      </c>
      <c r="CL4" s="12">
        <f>IF(CE4&gt;0,CE4,"")</f>
        <v>15</v>
      </c>
      <c r="CM4" s="12">
        <f>IF(SUM(CC4:CF4)-CG4&gt;0,SUM(CC4:CF4)-CG4,"")</f>
        <v>56.244999999999997</v>
      </c>
      <c r="CN4" s="12">
        <f>IF(SUM(CK4,CM4)&gt;0,SUM(CK4,CM4),"")</f>
        <v>161.41</v>
      </c>
      <c r="CO4" s="40">
        <v>18.8</v>
      </c>
      <c r="CP4" s="40">
        <v>9.6</v>
      </c>
      <c r="CQ4" s="40">
        <v>4.8</v>
      </c>
      <c r="CR4" s="40">
        <v>16.34</v>
      </c>
      <c r="CS4" s="40">
        <v>0</v>
      </c>
      <c r="CT4" s="40">
        <v>9.1999999999999993</v>
      </c>
      <c r="CU4" s="40">
        <v>5.2</v>
      </c>
      <c r="CV4" s="40">
        <v>7.6</v>
      </c>
      <c r="CW4" s="40">
        <v>9.2100000000000009</v>
      </c>
      <c r="CX4" s="40">
        <v>0</v>
      </c>
      <c r="CY4" s="40"/>
      <c r="CZ4" s="40"/>
      <c r="DA4" s="40"/>
      <c r="DB4" s="40"/>
      <c r="DC4" s="40"/>
      <c r="DD4" s="15">
        <f>IF(CV4&gt;0,CV4,"")</f>
        <v>7.6</v>
      </c>
      <c r="DE4" s="15">
        <f>IF(SUM(CO4:CR4)-CS4&gt;0,SUM(CO4:CR4)-CS4,"")</f>
        <v>49.539999999999992</v>
      </c>
      <c r="DF4" s="15">
        <f>IF(SUM(CT4:CW4)-CX4&gt;0,SUM(CT4:CW4)-CX4,"")</f>
        <v>31.21</v>
      </c>
      <c r="DG4" s="15">
        <f>IF(SUM(DE4:DF4)&gt;0,SUM(DE4:DF4),"")</f>
        <v>80.75</v>
      </c>
      <c r="DH4" s="15" t="str">
        <f>IF(DA4&gt;0,DA4,"")</f>
        <v/>
      </c>
      <c r="DI4" s="15" t="str">
        <f>IF(SUM(CY4:DB4)-DC4&gt;0,SUM(CY4:DB4)-DC4,"")</f>
        <v/>
      </c>
      <c r="DJ4" s="15">
        <f>IF(SUM(DG4,DI4)&gt;0,SUM(DG4,DI4),"")</f>
        <v>80.75</v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9">
        <v>18.100000000000001</v>
      </c>
      <c r="FD4" s="39">
        <v>9.5</v>
      </c>
      <c r="FE4" s="39">
        <v>4.4000000000000004</v>
      </c>
      <c r="FF4" s="39">
        <v>16.045000000000002</v>
      </c>
      <c r="FG4" s="39">
        <v>0</v>
      </c>
      <c r="FH4" s="39">
        <v>15.6</v>
      </c>
      <c r="FI4" s="39">
        <v>8.8000000000000007</v>
      </c>
      <c r="FJ4" s="39">
        <v>13.7</v>
      </c>
      <c r="FK4" s="39">
        <v>15.09</v>
      </c>
      <c r="FL4" s="39">
        <v>0</v>
      </c>
      <c r="FM4" s="39"/>
      <c r="FN4" s="39"/>
      <c r="FO4" s="39"/>
      <c r="FP4" s="39"/>
      <c r="FQ4" s="39"/>
      <c r="FR4" s="12">
        <f>IF(FJ4&gt;0,FJ4,"")</f>
        <v>13.7</v>
      </c>
      <c r="FS4" s="12">
        <f>IF(SUM(FC4:FF4)-FG4&gt;0,SUM(FC4:FF4)-FG4,"")</f>
        <v>48.045000000000002</v>
      </c>
      <c r="FT4" s="12">
        <f>IF(SUM(FH4:FK4)-FL4&gt;0,SUM(FH4:FK4)-FL4,"")</f>
        <v>53.19</v>
      </c>
      <c r="FU4" s="12">
        <f>IF(SUM(FS4:FT4)&gt;0,SUM(FS4:FT4),"")</f>
        <v>101.235</v>
      </c>
      <c r="FV4" s="12" t="str">
        <f>IF(FO4&gt;0,FO4,"")</f>
        <v/>
      </c>
      <c r="FW4" s="12" t="str">
        <f>IF(SUM(FM4:FP4)-FQ4&gt;0,SUM(FM4:FP4)-FQ4,"")</f>
        <v/>
      </c>
      <c r="FX4" s="12">
        <f>IF(SUM(FU4,FW4)&gt;0,SUM(FU4,FW4),"")</f>
        <v>101.235</v>
      </c>
      <c r="FY4" s="40">
        <v>18</v>
      </c>
      <c r="FZ4" s="40">
        <v>9.4</v>
      </c>
      <c r="GA4" s="40">
        <v>4.4000000000000004</v>
      </c>
      <c r="GB4" s="40">
        <v>15.955</v>
      </c>
      <c r="GC4" s="40">
        <v>0</v>
      </c>
      <c r="GD4" s="40">
        <v>15.3</v>
      </c>
      <c r="GE4" s="40">
        <v>8.9</v>
      </c>
      <c r="GF4" s="40">
        <v>13</v>
      </c>
      <c r="GG4" s="40">
        <v>14.87</v>
      </c>
      <c r="GH4" s="40">
        <v>0</v>
      </c>
      <c r="GI4" s="40"/>
      <c r="GJ4" s="40"/>
      <c r="GK4" s="40"/>
      <c r="GL4" s="40"/>
      <c r="GM4" s="40"/>
      <c r="GN4" s="15">
        <f>IF(GF4&gt;0,GF4,"")</f>
        <v>13</v>
      </c>
      <c r="GO4" s="15">
        <f>IF(SUM(FY4:GB4)-GC4&gt;0,SUM(FY4:GB4)-GC4,"")</f>
        <v>47.754999999999995</v>
      </c>
      <c r="GP4" s="15">
        <f>IF(SUM(GD4:GG4)-GH4&gt;0,SUM(GD4:GG4)-GH4,"")</f>
        <v>52.07</v>
      </c>
      <c r="GQ4" s="15">
        <f>IF(SUM(GO4:GP4)&gt;0,SUM(GO4:GP4),"")</f>
        <v>99.824999999999989</v>
      </c>
      <c r="GR4" s="15" t="str">
        <f>IF(GK4&gt;0,GK4,"")</f>
        <v/>
      </c>
      <c r="GS4" s="15" t="str">
        <f>IF(SUM(GI4:GL4)-GM4&gt;0,SUM(GI4:GL4)-GM4,"")</f>
        <v/>
      </c>
      <c r="GT4" s="15">
        <f>IF(SUM(GQ4,GS4)&gt;0,SUM(GQ4,GS4),"")</f>
        <v>99.824999999999989</v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>
        <v>15.6</v>
      </c>
      <c r="IB4" s="40">
        <v>9.5</v>
      </c>
      <c r="IC4" s="40">
        <v>14.6</v>
      </c>
      <c r="ID4" s="40">
        <v>15.23</v>
      </c>
      <c r="IE4" s="40">
        <v>0</v>
      </c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>
        <f>IF(IC4&gt;0,IC4,"")</f>
        <v>14.6</v>
      </c>
      <c r="IK4" s="15">
        <f>IF(SUM(IA4:ID4)-IE4&gt;0,SUM(IA4:ID4)-IE4,"")</f>
        <v>54.930000000000007</v>
      </c>
      <c r="IL4" s="15">
        <f>IF(SUM(II4,IK4)&gt;0,SUM(II4,IK4),"")</f>
        <v>54.930000000000007</v>
      </c>
      <c r="IM4" s="39">
        <v>18.5</v>
      </c>
      <c r="IN4" s="39">
        <v>9.4</v>
      </c>
      <c r="IO4" s="39">
        <v>4.4000000000000004</v>
      </c>
      <c r="IP4" s="39">
        <v>15.93</v>
      </c>
      <c r="IQ4" s="39">
        <v>0</v>
      </c>
      <c r="IR4" s="39">
        <v>15.8</v>
      </c>
      <c r="IS4" s="39">
        <v>9.3000000000000007</v>
      </c>
      <c r="IT4" s="39">
        <v>14.6</v>
      </c>
      <c r="IU4" s="39">
        <v>15.065</v>
      </c>
      <c r="IV4" s="39">
        <v>0</v>
      </c>
      <c r="IW4" s="39">
        <v>15.7</v>
      </c>
      <c r="IX4" s="39">
        <v>9.5</v>
      </c>
      <c r="IY4" s="39">
        <v>14.4</v>
      </c>
      <c r="IZ4" s="39">
        <v>15.22</v>
      </c>
      <c r="JA4" s="39">
        <v>0</v>
      </c>
      <c r="JB4" s="12">
        <f>IF(IT4&gt;0,IT4,"")</f>
        <v>14.6</v>
      </c>
      <c r="JC4" s="12">
        <f>IF(SUM(IM4:IP4)-IQ4&gt;0,SUM(IM4:IP4)-IQ4,"")</f>
        <v>48.23</v>
      </c>
      <c r="JD4" s="12">
        <f>IF(SUM(IR4:IU4)-IV4&gt;0,SUM(IR4:IU4)-IV4,"")</f>
        <v>54.765000000000001</v>
      </c>
      <c r="JE4" s="12">
        <f>IF(SUM(JC4:JD4)&gt;0,SUM(JC4:JD4),"")</f>
        <v>102.995</v>
      </c>
      <c r="JF4" s="12">
        <f>IF(IY4&gt;0,IY4,"")</f>
        <v>14.4</v>
      </c>
      <c r="JG4" s="12">
        <f>IF(SUM(IW4:IZ4)-JA4&gt;0,SUM(IW4:IZ4)-JA4,"")</f>
        <v>54.82</v>
      </c>
      <c r="JH4" s="12">
        <f>IF(SUM(JE4,JG4)&gt;0,SUM(JE4,JG4),"")</f>
        <v>157.815</v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>
        <v>16.3</v>
      </c>
      <c r="JT4" s="40">
        <v>9.5</v>
      </c>
      <c r="JU4" s="40">
        <v>14.6</v>
      </c>
      <c r="JV4" s="40">
        <v>15.12</v>
      </c>
      <c r="JW4" s="40">
        <v>0</v>
      </c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>
        <f>IF(JU4&gt;0,JU4,"")</f>
        <v>14.6</v>
      </c>
      <c r="KC4" s="15">
        <f>IF(SUM(JS4:JV4)-JW4&gt;0,SUM(JS4:JV4)-JW4,"")</f>
        <v>55.519999999999996</v>
      </c>
      <c r="KD4" s="15">
        <f>IF(SUM(KA4,KC4)&gt;0,SUM(KA4,KC4),"")</f>
        <v>55.519999999999996</v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LW15" si="0">IF($BG4="P",AR4,(U4+AR4)/2)</f>
        <v>18.8</v>
      </c>
      <c r="LX4" s="71">
        <f t="shared" ref="LX4:LX15" si="1">IF($BG4="P",AS4,(V4+AS4)/2)</f>
        <v>9.4499999999999993</v>
      </c>
      <c r="LY4" s="71">
        <f t="shared" ref="LY4:LY15" si="2">IF($BG4="P",AT4,(W4+AT4)/2)</f>
        <v>4.4000000000000004</v>
      </c>
      <c r="LZ4" s="71">
        <f t="shared" ref="LZ4:LZ15" si="3">IF($BG4="P",AU4,(X4+AU4)/2)</f>
        <v>16.634999999999998</v>
      </c>
      <c r="MA4" s="71">
        <f t="shared" ref="MA4:MA15" si="4">IF($BG4="P",AV4,(Y4+AV4)/2)</f>
        <v>0</v>
      </c>
      <c r="MB4" s="71">
        <f t="shared" ref="MB4:MB15" si="5">IF($BG4="P",AW4,(Z4+AW4)/2)</f>
        <v>16.8</v>
      </c>
      <c r="MC4" s="71">
        <f t="shared" ref="MC4:MC15" si="6">IF($BG4="P",AX4,(AA4+AX4)/2)</f>
        <v>9.2750000000000004</v>
      </c>
      <c r="MD4" s="71">
        <f t="shared" ref="MD4:MD15" si="7">IF($BG4="P",AY4,(AB4+AY4)/2)</f>
        <v>14.15</v>
      </c>
      <c r="ME4" s="71">
        <f t="shared" ref="ME4:ME15" si="8">IF($BG4="P",AZ4,(AC4+AZ4)/2)</f>
        <v>15.73</v>
      </c>
      <c r="MF4" s="71">
        <f t="shared" ref="MF4:MF15" si="9">IF($BG4="P",BA4,(AD4+BA4)/2)</f>
        <v>0</v>
      </c>
      <c r="MG4" s="71">
        <f t="shared" ref="MG4:MG15" si="10">IF($BG4="P",BB4,(AE4+BB4)/2)</f>
        <v>9.85</v>
      </c>
      <c r="MH4" s="71">
        <f t="shared" ref="MH4:MH15" si="11">IF($BG4="P",BC4,(AF4+BC4)/2)</f>
        <v>5.35</v>
      </c>
      <c r="MI4" s="71">
        <f t="shared" ref="MI4:MI15" si="12">IF($BG4="P",BD4,(AG4+BD4)/2)</f>
        <v>8.5500000000000007</v>
      </c>
      <c r="MJ4" s="71">
        <f t="shared" ref="MJ4:MJ15" si="13">IF($BG4="P",BE4,(AH4+BE4)/2)</f>
        <v>9.6425000000000001</v>
      </c>
      <c r="MK4" s="71">
        <f t="shared" ref="MK4:MK15" si="14">IF($BG4="P",BF4,(AI4+BF4)/2)</f>
        <v>0</v>
      </c>
      <c r="ML4" s="82" t="s">
        <v>96</v>
      </c>
      <c r="MM4" s="12">
        <f t="shared" ref="MM4" si="15">IF(MD4&gt;0,MD4,"")</f>
        <v>14.15</v>
      </c>
      <c r="MN4" s="12">
        <f t="shared" ref="MN4" si="16">IF(SUM(LW4:LZ4)-MA4&gt;0,SUM(LW4:LZ4)-MA4,"")</f>
        <v>49.284999999999997</v>
      </c>
      <c r="MO4" s="12">
        <f t="shared" ref="MO4" si="17">IF(SUM(MB4:ME4)-MF4&gt;0,SUM(MB4:ME4)-MF4,"")</f>
        <v>55.954999999999998</v>
      </c>
      <c r="MP4" s="12">
        <f t="shared" ref="MP4" si="18">IF(SUM(MN4:MO4)&gt;0,SUM(MN4:MO4),"")</f>
        <v>105.24</v>
      </c>
      <c r="MQ4" s="12">
        <f>IF(MI4&gt;0,MI4,"")</f>
        <v>8.5500000000000007</v>
      </c>
      <c r="MR4" s="12">
        <f t="shared" ref="MR4" si="19">IF(SUM(MG4:MJ4)-MK4&gt;0,SUM(MG4:MJ4)-MK4,"")</f>
        <v>33.392499999999998</v>
      </c>
      <c r="MS4" s="12">
        <f t="shared" ref="MS4" si="20">IF(SUM(MP4,MR4)&gt;0,SUM(MP4,MR4),"")</f>
        <v>138.63249999999999</v>
      </c>
    </row>
    <row r="5" spans="1:357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34</v>
      </c>
      <c r="C5" s="5" t="s">
        <v>10</v>
      </c>
      <c r="D5" s="29">
        <v>1997</v>
      </c>
      <c r="E5" s="16">
        <f>SUM(J5:R5)</f>
        <v>263.41999999999996</v>
      </c>
      <c r="F5" s="4" t="str">
        <f>IF(OR(AND($AK5&gt;=$AL$18,NOT($AK5=""),$AJ5=""),AND($BH5&gt;=$BI$18,NOT($BH5=""),$BG5=""),AND($CH5&gt;=$CI$18,NOT($CH5="")),AND($DD5&gt;=$DE$18,NOT($DD5="")),AND($DZ5&gt;=$EA$18,NOT($DZ5="")),AND($EV5&gt;=$EW$18,NOT($EV5="")),AND($FR5&gt;=$FS$18,NOT($FR5="")),AND($GN5&gt;=$GO$18,NOT($GN5="")),AND($HJ5&gt;=$HK$18,NOT($HJ5="")),AND($IF5&gt;=$IG$18,NOT($IF5="")),AND($JB5&gt;=$JC$18,NOT($JB5="")),AND($JX5&gt;=$JY$18,NOT($JX5="")),AND($KT5&gt;=$KU$18,NOT($KT5="")),AND($LP5&gt;=$LQ$18,NOT($LP5="")),AND($AO5&gt;=$AL$18,NOT($AO5=""),$AJ5=""),AND($BL5&gt;=$BI$18,NOT($BL5=""),$BG5=""),AND($CL5&gt;=$CI$18,NOT($CL5="")),AND($DH5&gt;=$DE$18,NOT($DH5="")),AND($ED5&gt;=$EA$18,NOT($ED5="")),AND($EZ5&gt;=$EW$18,NOT($EZ5="")),AND($FV5&gt;=$FS$18,NOT($FV5="")),AND($GR5&gt;=$GO$18,NOT($GR5="")),AND($HN5&gt;=$HK$18,NOT($HN5="")),AND($IJ5&gt;=$IG$18,NOT($IJ5="")),AND($JF5&gt;=$JC$18,NOT($JF5="")),AND($KB5&gt;=$JY$18,NOT($KB5="")),AND($KX5&gt;=$KU$18,NOT($KX5="")),AND($LT5&gt;=$LQ$18,NOT($LT5=""))),"P","")</f>
        <v>P</v>
      </c>
      <c r="G5" s="4" t="str">
        <f>IF(OR(AND($AK5&gt;=$AL$19,NOT($AK5=""),$AJ5=""),AND($BH5&gt;=$BI$19,NOT($BH5=""),$BG5=""),AND($CH5&gt;=$CI$19,NOT($CH5="")),AND($DD5&gt;=$DE$19,NOT($DD5="")),AND($DZ5&gt;=$EA$19,NOT($DZ5="")),AND($EV5&gt;=$EW$19,NOT($EV5="")),AND($FR5&gt;=$FS$19,NOT($FR5="")),AND($GN5&gt;=$GO$19,NOT($GN5="")),AND($HJ5&gt;=$HK$19,NOT($HJ5="")),AND($IF5&gt;=$IG$19,NOT($IF5="")),AND($JB5&gt;=$JC$19,NOT($JB5="")),AND($JX5&gt;=$JY$19,NOT($JX5="")),AND($KT5&gt;=$KU$19,NOT($KT5="")),AND($LP5&gt;=$LQ$19,NOT($LP5="")),AND($AO5&gt;=$AL$19,NOT($AO5=""),$AJ5=""),AND($BL5&gt;=$BI$19,NOT($BL5=""),$BG5=""),AND($CL5&gt;=$CI$19,NOT($CL5="")),AND($DH5&gt;=$DE$19,NOT($DH5="")),AND($ED5&gt;=$EA$19,NOT($ED5="")),AND($EZ5&gt;=$EW$19,NOT($EZ5="")),AND($FV5&gt;=$FS$19,NOT($FV5="")),AND($GR5&gt;=$GO$19,NOT($GR5="")),AND($HN5&gt;=$HK$19,NOT($HN5="")),AND($IJ5&gt;=$IG$19,NOT($IJ5="")),AND($JF5&gt;=$JC$19,NOT($JF5="")),AND($KB5&gt;=$JY$19,NOT($KB5="")),AND($KX5&gt;=$KU$19,NOT($KX5="")),AND($LT5&gt;=$LQ$19,NOT($LT5=""))),"P","")</f>
        <v>P</v>
      </c>
      <c r="H5" s="4" t="str">
        <f>IF(OR(AND($AN5&gt;=$AL$20,NOT($AN5=""),$AJ5=""),AND($BK5&gt;=$BI$20,NOT($BK5=""),$BG5=""),AND($CK5&gt;=$CI$20,NOT($CK5="")),AND($DG5&gt;=$DE$20,NOT($DG5="")),AND($EC5&gt;=$EA$20,NOT($EC5="")),AND($EY5&gt;=$EW$20,NOT($EY5="")),AND($FU5&gt;=$FS$20,NOT($FU5="")),AND($GQ5&gt;=$GO$20,NOT($GQ5="")),AND($HM5&gt;=$HK$20,NOT($HM5="")),AND($II5&gt;=$IG$20,NOT($II5="")),AND($JE5&gt;=$JC$20,NOT($JE5="")),AND($KA5&gt;=$JY$20,NOT($KA5="")),AND($KW5&gt;=$KU$20,NOT($KW5="")),AND($LS5&gt;=$LQ$20,NOT($LS5=""))),"P","")</f>
        <v>P</v>
      </c>
      <c r="I5" t="str">
        <f>IF(AND(H5="P",F5=""),"No DD",IF(AND(G5="P",OR(AND($AM5&gt;$AL$23,NOT($AM5=""),$AJ5=""),AND($AP5&gt;$AL$23,NOT($AP5=""),$AJ5=""),AND($BJ5&gt;$BI$23,NOT($BJ5=""),$BG5=""),AND($BM5&gt;$BI$23,NOT($BM5=""),$BG5=""),AND($CJ5&gt;$CI$23,NOT($CJ5="")),AND($CM5&gt;$CI$23,NOT($CM5="")),AND($DF5&gt;$DE$23,NOT($DF5="")),AND($DI5&gt;$DE$23,NOT($DI5="")),AND($EB5&gt;$EA$23,NOT($EB5="")),AND($EE5&gt;$EA$23,NOT($EE5="")),AND($EX5&gt;$EW$23,NOT($EX5="")),AND($FA5&gt;$EW$23,NOT($FA5="")),AND($FT5&gt;$FS$23,NOT($FT5="")),AND($FW5&gt;$FS$23,NOT($FW5="")),AND($GP5&gt;$GO$23,NOT($GP5="")),AND($GS5&gt;$GO$23,NOT($GS5="")),AND($HL5&gt;$HK$23,NOT($HL5="")),AND($HO5&gt;$HK$23,NOT($HO5="")),AND($IH5&gt;$IG$23,NOT($IH5="")),AND($IK5&gt;$IG$23,NOT($IK5="")),AND($JD5&gt;$JC$23,NOT($JD5="")),AND($JG5&gt;$JC$23,NOT($JG5="")),AND($JZ5&gt;$JY$23,NOT($JZ5="")),AND($KC5&gt;$JY$23,NOT($KC5="")),AND($KV5&gt;$KU$23,NOT($KV5="")),AND($KY5&gt;$KU$23,NOT($KY5="")),AND($LR5&gt;$LQ$23,NOT($LR5="")),AND($LU5&gt;$LQ$23,NOT($LU5="")))),"Merit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Excellence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Worlds Team",IF(AND(F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National Team","")))))</f>
        <v>Merit</v>
      </c>
      <c r="J5" s="15">
        <f>IF(MAX(AN5,BK5)&gt;0,MAX(AN5,BK5),"")</f>
        <v>103.86000000000001</v>
      </c>
      <c r="K5" s="15" t="str">
        <f>IF(J5="","",IF(J5=BK5,$AR$1,IF(J5=AN5,$U$1,"")))</f>
        <v>2019 Elite Canada</v>
      </c>
      <c r="L5" s="15">
        <f>IF($J5=$AN5,BI5,IF($J5=$BK5,AL5,MAX(AL5,BI5)))</f>
        <v>48.57</v>
      </c>
      <c r="M5" s="15" t="str">
        <f>IF(L5="","",IF(L5=BI5,$AR$1,IF(L5=AL5,$U$1,"")))</f>
        <v>2019 Nationals</v>
      </c>
      <c r="N5" s="15">
        <f>IF($J5=$AN5,BJ5,IF($J5=$BK5,AM5,MAX(AM5,BJ5)))</f>
        <v>54.160000000000004</v>
      </c>
      <c r="O5" s="15" t="str">
        <f>IF(N5="","",IF(AND(N5=BJ5,$K5&lt;&gt;$AR$1),$AR$1,IF(AND(N5=AM5,$K5&lt;&gt;$U$1),$U$1,"")))</f>
        <v>2019 Nationals</v>
      </c>
      <c r="P5" s="15">
        <f>IF(MAX(AP5,BM5)&gt;0,MAX(AP5,BM5),"")</f>
        <v>56.114999999999995</v>
      </c>
      <c r="Q5" s="15" t="str">
        <f>IF(P5="","",IF(P5=BM5,$AR$1,IF(P5=AP5,$U$1,"")))</f>
        <v>2019 Elite Canada</v>
      </c>
      <c r="R5" s="15">
        <f>IF(MAX(BO5,BP5,BQ5,BR5)&gt;0,MAX(BO5,BP5,BQ5,BR5),"")</f>
        <v>0.7149999999999892</v>
      </c>
      <c r="S5" s="27" t="str">
        <f>IF(R5="","",IF(R5=BO5,"(Vol 1)",IF(R5=BP5,"(Vol 2)",IF(R5=BQ5,"(Prelim)",IF(R5=BR5,"(Final)")))))</f>
        <v>(Vol 2)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Cup ESP (Oct 6)</v>
      </c>
      <c r="U5" s="39">
        <v>18.2</v>
      </c>
      <c r="V5" s="39">
        <v>9.4</v>
      </c>
      <c r="W5" s="39">
        <v>4.5</v>
      </c>
      <c r="X5" s="39">
        <v>16.555</v>
      </c>
      <c r="Y5" s="39">
        <v>0</v>
      </c>
      <c r="Z5" s="39">
        <v>16.399999999999999</v>
      </c>
      <c r="AA5" s="39">
        <v>9.25</v>
      </c>
      <c r="AB5" s="39">
        <v>13.8</v>
      </c>
      <c r="AC5" s="39">
        <v>15.755000000000001</v>
      </c>
      <c r="AD5" s="39">
        <v>0</v>
      </c>
      <c r="AE5" s="39">
        <v>16.899999999999999</v>
      </c>
      <c r="AF5" s="39">
        <v>9.4499999999999993</v>
      </c>
      <c r="AG5" s="39">
        <v>13.8</v>
      </c>
      <c r="AH5" s="39">
        <v>15.965</v>
      </c>
      <c r="AI5" s="39">
        <v>0</v>
      </c>
      <c r="AJ5" s="82"/>
      <c r="AK5" s="12">
        <f>IF(AB5&gt;0,AB5,"")</f>
        <v>13.8</v>
      </c>
      <c r="AL5" s="12">
        <f>IF(SUM(U5:X5)-Y5&gt;0,SUM(U5:X5)-Y5,"")</f>
        <v>48.655000000000001</v>
      </c>
      <c r="AM5" s="12">
        <f>IF(SUM(Z5:AC5)-AD5&gt;0,SUM(Z5:AC5)-AD5,"")</f>
        <v>55.205000000000005</v>
      </c>
      <c r="AN5" s="12">
        <f>IF(SUM(AL5:AM5)&gt;0,SUM(AL5:AM5),"")</f>
        <v>103.86000000000001</v>
      </c>
      <c r="AO5" s="12">
        <f>IF(AG5&gt;0,AG5,"")</f>
        <v>13.8</v>
      </c>
      <c r="AP5" s="12">
        <f>IF(SUM(AE5:AH5)-AI5&gt;0,SUM(AE5:AH5)-AI5,"")</f>
        <v>56.114999999999995</v>
      </c>
      <c r="AQ5" s="12">
        <f>IF(SUM(AN5,AP5)&gt;0,SUM(AN5,AP5),"")</f>
        <v>159.97500000000002</v>
      </c>
      <c r="AR5" s="77">
        <v>18</v>
      </c>
      <c r="AS5" s="77">
        <v>9.1999999999999993</v>
      </c>
      <c r="AT5" s="77">
        <v>4.8</v>
      </c>
      <c r="AU5" s="77">
        <v>16.57</v>
      </c>
      <c r="AV5" s="77">
        <v>0</v>
      </c>
      <c r="AW5" s="77">
        <v>16.5</v>
      </c>
      <c r="AX5" s="77">
        <v>9.1</v>
      </c>
      <c r="AY5" s="77">
        <v>13</v>
      </c>
      <c r="AZ5" s="77">
        <v>15.56</v>
      </c>
      <c r="BA5" s="77">
        <v>0</v>
      </c>
      <c r="BB5" s="77">
        <v>16.82</v>
      </c>
      <c r="BC5" s="77">
        <v>9.1</v>
      </c>
      <c r="BD5" s="77">
        <v>13.8</v>
      </c>
      <c r="BE5" s="77">
        <v>15.535</v>
      </c>
      <c r="BF5" s="77"/>
      <c r="BG5" s="83"/>
      <c r="BH5" s="15">
        <f>IF(AY5&gt;0,AY5,"")</f>
        <v>13</v>
      </c>
      <c r="BI5" s="15">
        <f>IF(SUM(AR5:AU5)-AV5&gt;0,SUM(AR5:AU5)-AV5,"")</f>
        <v>48.57</v>
      </c>
      <c r="BJ5" s="15">
        <f>IF(SUM(AW5:AZ5)-BA5&gt;0,SUM(AW5:AZ5)-BA5,"")</f>
        <v>54.160000000000004</v>
      </c>
      <c r="BK5" s="15">
        <f>IF(SUM(BI5:BJ5)&gt;0,SUM(BI5:BJ5),"")</f>
        <v>102.73</v>
      </c>
      <c r="BL5" s="15">
        <f>IF(BD5&gt;0,BD5,"")</f>
        <v>13.8</v>
      </c>
      <c r="BM5" s="15">
        <f>IF(SUM(BB5:BE5)-BF5&gt;0,SUM(BB5:BE5)-BF5,"")</f>
        <v>55.254999999999995</v>
      </c>
      <c r="BN5" s="15">
        <f>IF(SUM(BK5,BM5)&gt;0,SUM(BK5,BM5),"")</f>
        <v>157.98500000000001</v>
      </c>
      <c r="BO5" s="26">
        <f>IF(MAX(CI5,DE5,EA5,EW5,FS5,GO5,HK5,IG5,JC5,JY5,KU5,LQ5)-IF(L5="",0,L5)&gt;0.001,MAX(CI5,DE5,EA5,EW5,FS5,GO5,HK5,IG5,JC5,JY5,KU5,LQ5)-IF(L5="",0,L5),"")</f>
        <v>0.35499999999999687</v>
      </c>
      <c r="BP5" s="26">
        <f>IF(MAX(CJ5,DF5,EB5,EX5,FT5,GP5,HL5,IH5,JD5,JZ5,KV5,LR5)-IF(N5="",0,N5)&gt;0.001,MAX(CJ5,DF5,EB5,EX5,FT5,GP5,HL5,IH5,JD5,JZ5,KV5,LR5)-IF(N5="",0,N5),"")</f>
        <v>0.7149999999999892</v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>
        <v>15.4</v>
      </c>
      <c r="BT5" s="39">
        <v>9.3000000000000007</v>
      </c>
      <c r="BU5" s="39">
        <v>4.8</v>
      </c>
      <c r="BV5" s="39">
        <v>15.994999999999999</v>
      </c>
      <c r="BW5" s="39">
        <v>2</v>
      </c>
      <c r="BX5" s="39">
        <v>16.3</v>
      </c>
      <c r="BY5" s="39">
        <v>9.4</v>
      </c>
      <c r="BZ5" s="39">
        <v>13</v>
      </c>
      <c r="CA5" s="39">
        <v>15.335000000000001</v>
      </c>
      <c r="CB5" s="39">
        <v>0</v>
      </c>
      <c r="CC5" s="39"/>
      <c r="CD5" s="39"/>
      <c r="CE5" s="39"/>
      <c r="CF5" s="39"/>
      <c r="CG5" s="39"/>
      <c r="CH5" s="12">
        <f>IF(BZ5&gt;0,BZ5,"")</f>
        <v>13</v>
      </c>
      <c r="CI5" s="12">
        <f>IF(SUM(BS5:BV5)-BW5&gt;0,SUM(BS5:BV5)-BW5,"")</f>
        <v>43.495000000000005</v>
      </c>
      <c r="CJ5" s="12">
        <f>IF(SUM(BX5:CA5)-CB5&gt;0,SUM(BX5:CA5)-CB5,"")</f>
        <v>54.035000000000004</v>
      </c>
      <c r="CK5" s="12">
        <f>IF(SUM(CI5:CJ5)&gt;0,SUM(CI5:CJ5),"")</f>
        <v>97.53</v>
      </c>
      <c r="CL5" s="12" t="str">
        <f>IF(CE5&gt;0,CE5,"")</f>
        <v/>
      </c>
      <c r="CM5" s="12" t="str">
        <f>IF(SUM(CC5:CF5)-CG5&gt;0,SUM(CC5:CF5)-CG5,"")</f>
        <v/>
      </c>
      <c r="CN5" s="12">
        <f>IF(SUM(CK5,CM5)&gt;0,SUM(CK5,CM5),"")</f>
        <v>97.53</v>
      </c>
      <c r="CO5" s="40">
        <v>17.3</v>
      </c>
      <c r="CP5" s="40">
        <v>9.5</v>
      </c>
      <c r="CQ5" s="40">
        <v>4.8</v>
      </c>
      <c r="CR5" s="40">
        <v>16.18</v>
      </c>
      <c r="CS5" s="40">
        <v>0</v>
      </c>
      <c r="CT5" s="40">
        <v>14</v>
      </c>
      <c r="CU5" s="40">
        <v>9.6999999999999993</v>
      </c>
      <c r="CV5" s="40">
        <v>13.6</v>
      </c>
      <c r="CW5" s="40">
        <v>15.28</v>
      </c>
      <c r="CX5" s="40">
        <v>0</v>
      </c>
      <c r="CY5" s="40"/>
      <c r="CZ5" s="40"/>
      <c r="DA5" s="40"/>
      <c r="DB5" s="40"/>
      <c r="DC5" s="40"/>
      <c r="DD5" s="15">
        <f>IF(CV5&gt;0,CV5,"")</f>
        <v>13.6</v>
      </c>
      <c r="DE5" s="15">
        <f>IF(SUM(CO5:CR5)-CS5&gt;0,SUM(CO5:CR5)-CS5,"")</f>
        <v>47.78</v>
      </c>
      <c r="DF5" s="15">
        <f>IF(SUM(CT5:CW5)-CX5&gt;0,SUM(CT5:CW5)-CX5,"")</f>
        <v>52.58</v>
      </c>
      <c r="DG5" s="15">
        <f>IF(SUM(DE5:DF5)&gt;0,SUM(DE5:DF5),"")</f>
        <v>100.36</v>
      </c>
      <c r="DH5" s="15" t="str">
        <f>IF(DA5&gt;0,DA5,"")</f>
        <v/>
      </c>
      <c r="DI5" s="15" t="str">
        <f>IF(SUM(CY5:DB5)-DC5&gt;0,SUM(CY5:DB5)-DC5,"")</f>
        <v/>
      </c>
      <c r="DJ5" s="15">
        <f>IF(SUM(DG5,DI5)&gt;0,SUM(DG5,DI5),"")</f>
        <v>100.36</v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40">
        <v>17.7</v>
      </c>
      <c r="EH5" s="40">
        <v>9.6</v>
      </c>
      <c r="EI5" s="40">
        <v>4.8</v>
      </c>
      <c r="EJ5" s="40">
        <v>15.765000000000001</v>
      </c>
      <c r="EK5" s="40">
        <v>0</v>
      </c>
      <c r="EL5" s="40">
        <v>16.7</v>
      </c>
      <c r="EM5" s="40">
        <v>9.3000000000000007</v>
      </c>
      <c r="EN5" s="40">
        <v>10.9</v>
      </c>
      <c r="EO5" s="40">
        <v>15.244999999999999</v>
      </c>
      <c r="EP5" s="40">
        <v>0</v>
      </c>
      <c r="EQ5" s="40">
        <v>14.7</v>
      </c>
      <c r="ER5" s="40">
        <v>8.6999999999999993</v>
      </c>
      <c r="ES5" s="40">
        <v>13.2</v>
      </c>
      <c r="ET5" s="40">
        <v>14.914999999999999</v>
      </c>
      <c r="EU5" s="40">
        <v>0</v>
      </c>
      <c r="EV5" s="15">
        <f>IF(EN5&gt;0,EN5,"")</f>
        <v>10.9</v>
      </c>
      <c r="EW5" s="15">
        <f>IF(SUM(EG5:EJ5)-EK5&gt;0,SUM(EG5:EJ5)-EK5,"")</f>
        <v>47.864999999999995</v>
      </c>
      <c r="EX5" s="15">
        <f>IF(SUM(EL5:EO5)-EP5&gt;0,SUM(EL5:EO5)-EP5,"")</f>
        <v>52.144999999999996</v>
      </c>
      <c r="EY5" s="15">
        <f>IF(SUM(EW5:EX5)&gt;0,SUM(EW5:EX5),"")</f>
        <v>100.00999999999999</v>
      </c>
      <c r="EZ5" s="15">
        <f>IF(ES5&gt;0,ES5,"")</f>
        <v>13.2</v>
      </c>
      <c r="FA5" s="15">
        <f>IF(SUM(EQ5:ET5)-EU5&gt;0,SUM(EQ5:ET5)-EU5,"")</f>
        <v>51.514999999999993</v>
      </c>
      <c r="FB5" s="15">
        <f>IF(SUM(EY5,FA5)&gt;0,SUM(EY5,FA5),"")</f>
        <v>151.52499999999998</v>
      </c>
      <c r="FC5" s="39">
        <v>17.2</v>
      </c>
      <c r="FD5" s="39">
        <v>9.1</v>
      </c>
      <c r="FE5" s="39">
        <v>4.8</v>
      </c>
      <c r="FF5" s="39">
        <v>16.260000000000002</v>
      </c>
      <c r="FG5" s="39">
        <v>0</v>
      </c>
      <c r="FH5" s="39">
        <v>1.4</v>
      </c>
      <c r="FI5" s="39">
        <v>0.8</v>
      </c>
      <c r="FJ5" s="39">
        <v>2</v>
      </c>
      <c r="FK5" s="39">
        <v>1.7250000000000001</v>
      </c>
      <c r="FL5" s="39">
        <v>0</v>
      </c>
      <c r="FM5" s="39"/>
      <c r="FN5" s="39"/>
      <c r="FO5" s="39"/>
      <c r="FP5" s="39"/>
      <c r="FQ5" s="39"/>
      <c r="FR5" s="12">
        <f>IF(FJ5&gt;0,FJ5,"")</f>
        <v>2</v>
      </c>
      <c r="FS5" s="12">
        <f>IF(SUM(FC5:FF5)-FG5&gt;0,SUM(FC5:FF5)-FG5,"")</f>
        <v>47.36</v>
      </c>
      <c r="FT5" s="12">
        <f>IF(SUM(FH5:FK5)-FL5&gt;0,SUM(FH5:FK5)-FL5,"")</f>
        <v>5.9250000000000007</v>
      </c>
      <c r="FU5" s="12">
        <f>IF(SUM(FS5:FT5)&gt;0,SUM(FS5:FT5),"")</f>
        <v>53.284999999999997</v>
      </c>
      <c r="FV5" s="12" t="str">
        <f>IF(FO5&gt;0,FO5,"")</f>
        <v/>
      </c>
      <c r="FW5" s="12" t="str">
        <f>IF(SUM(FM5:FP5)-FQ5&gt;0,SUM(FM5:FP5)-FQ5,"")</f>
        <v/>
      </c>
      <c r="FX5" s="12">
        <f>IF(SUM(FU5,FW5)&gt;0,SUM(FU5,FW5),"")</f>
        <v>53.284999999999997</v>
      </c>
      <c r="FY5" s="40">
        <v>17.5</v>
      </c>
      <c r="FZ5" s="40">
        <v>9.5</v>
      </c>
      <c r="GA5" s="40">
        <v>4.8</v>
      </c>
      <c r="GB5" s="40">
        <v>16.149999999999999</v>
      </c>
      <c r="GC5" s="40">
        <v>0</v>
      </c>
      <c r="GD5" s="40">
        <v>16.399999999999999</v>
      </c>
      <c r="GE5" s="40">
        <v>9.4</v>
      </c>
      <c r="GF5" s="40">
        <v>13.8</v>
      </c>
      <c r="GG5" s="40">
        <v>15.275</v>
      </c>
      <c r="GH5" s="40">
        <v>0</v>
      </c>
      <c r="GI5" s="40">
        <v>4.4000000000000004</v>
      </c>
      <c r="GJ5" s="40">
        <v>2.5</v>
      </c>
      <c r="GK5" s="40">
        <v>4.7</v>
      </c>
      <c r="GL5" s="40">
        <v>4.83</v>
      </c>
      <c r="GM5" s="40">
        <v>0</v>
      </c>
      <c r="GN5" s="15">
        <f>IF(GF5&gt;0,GF5,"")</f>
        <v>13.8</v>
      </c>
      <c r="GO5" s="15">
        <f>IF(SUM(FY5:GB5)-GC5&gt;0,SUM(FY5:GB5)-GC5,"")</f>
        <v>47.95</v>
      </c>
      <c r="GP5" s="15">
        <f>IF(SUM(GD5:GG5)-GH5&gt;0,SUM(GD5:GG5)-GH5,"")</f>
        <v>54.874999999999993</v>
      </c>
      <c r="GQ5" s="15">
        <f>IF(SUM(GO5:GP5)&gt;0,SUM(GO5:GP5),"")</f>
        <v>102.82499999999999</v>
      </c>
      <c r="GR5" s="15">
        <f>IF(GK5&gt;0,GK5,"")</f>
        <v>4.7</v>
      </c>
      <c r="GS5" s="15">
        <f>IF(SUM(GI5:GL5)-GM5&gt;0,SUM(GI5:GL5)-GM5,"")</f>
        <v>16.43</v>
      </c>
      <c r="GT5" s="15">
        <f>IF(SUM(GQ5,GS5)&gt;0,SUM(GQ5,GS5),"")</f>
        <v>119.255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>
        <v>7.5</v>
      </c>
      <c r="HF5" s="39">
        <v>4.0999999999999996</v>
      </c>
      <c r="HG5" s="39">
        <v>7.2</v>
      </c>
      <c r="HH5" s="39">
        <v>7.87</v>
      </c>
      <c r="HI5" s="39">
        <v>0</v>
      </c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>
        <f>IF(HG5&gt;0,HG5,"")</f>
        <v>7.2</v>
      </c>
      <c r="HO5" s="12">
        <f>IF(SUM(HE5:HH5)-HI5&gt;0,SUM(HE5:HH5)-HI5,"")</f>
        <v>26.67</v>
      </c>
      <c r="HP5" s="12">
        <f>IF(SUM(HM5,HO5)&gt;0,SUM(HM5,HO5),"")</f>
        <v>26.67</v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>
        <v>7.6</v>
      </c>
      <c r="IB5" s="40">
        <v>4.3</v>
      </c>
      <c r="IC5" s="40">
        <v>6.1</v>
      </c>
      <c r="ID5" s="40">
        <v>7.58</v>
      </c>
      <c r="IE5" s="40">
        <v>0</v>
      </c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>
        <f>IF(IC5&gt;0,IC5,"")</f>
        <v>6.1</v>
      </c>
      <c r="IK5" s="15">
        <f>IF(SUM(IA5:ID5)-IE5&gt;0,SUM(IA5:ID5)-IE5,"")</f>
        <v>25.58</v>
      </c>
      <c r="IL5" s="15">
        <f>IF(SUM(II5,IK5)&gt;0,SUM(II5,IK5),"")</f>
        <v>25.58</v>
      </c>
      <c r="IM5" s="39">
        <v>18.3</v>
      </c>
      <c r="IN5" s="39">
        <v>9.6</v>
      </c>
      <c r="IO5" s="39">
        <v>4.8</v>
      </c>
      <c r="IP5" s="39">
        <v>16.225000000000001</v>
      </c>
      <c r="IQ5" s="39">
        <v>0</v>
      </c>
      <c r="IR5" s="39">
        <v>15</v>
      </c>
      <c r="IS5" s="39">
        <v>9.4</v>
      </c>
      <c r="IT5" s="39">
        <v>12.3</v>
      </c>
      <c r="IU5" s="39">
        <v>14.815</v>
      </c>
      <c r="IV5" s="39">
        <v>0</v>
      </c>
      <c r="IW5" s="39"/>
      <c r="IX5" s="39"/>
      <c r="IY5" s="39"/>
      <c r="IZ5" s="39"/>
      <c r="JA5" s="39"/>
      <c r="JB5" s="12">
        <f>IF(IT5&gt;0,IT5,"")</f>
        <v>12.3</v>
      </c>
      <c r="JC5" s="12">
        <f>IF(SUM(IM5:IP5)-IQ5&gt;0,SUM(IM5:IP5)-IQ5,"")</f>
        <v>48.924999999999997</v>
      </c>
      <c r="JD5" s="12">
        <f>IF(SUM(IR5:IU5)-IV5&gt;0,SUM(IR5:IU5)-IV5,"")</f>
        <v>51.515000000000001</v>
      </c>
      <c r="JE5" s="12">
        <f>IF(SUM(JC5:JD5)&gt;0,SUM(JC5:JD5),"")</f>
        <v>100.44</v>
      </c>
      <c r="JF5" s="12" t="str">
        <f>IF(IY5&gt;0,IY5,"")</f>
        <v/>
      </c>
      <c r="JG5" s="12" t="str">
        <f>IF(SUM(IW5:IZ5)-JA5&gt;0,SUM(IW5:IZ5)-JA5,"")</f>
        <v/>
      </c>
      <c r="JH5" s="12">
        <f>IF(SUM(JE5,JG5)&gt;0,SUM(JE5,JG5),"")</f>
        <v>100.44</v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si="0"/>
        <v>18.100000000000001</v>
      </c>
      <c r="LX5" s="71">
        <f t="shared" si="1"/>
        <v>9.3000000000000007</v>
      </c>
      <c r="LY5" s="71">
        <f t="shared" si="2"/>
        <v>4.6500000000000004</v>
      </c>
      <c r="LZ5" s="71">
        <f t="shared" si="3"/>
        <v>16.5625</v>
      </c>
      <c r="MA5" s="71">
        <f t="shared" si="4"/>
        <v>0</v>
      </c>
      <c r="MB5" s="71">
        <f t="shared" si="5"/>
        <v>16.45</v>
      </c>
      <c r="MC5" s="71">
        <f t="shared" si="6"/>
        <v>9.1750000000000007</v>
      </c>
      <c r="MD5" s="71">
        <f t="shared" si="7"/>
        <v>13.4</v>
      </c>
      <c r="ME5" s="71">
        <f t="shared" si="8"/>
        <v>15.657500000000001</v>
      </c>
      <c r="MF5" s="71">
        <f t="shared" si="9"/>
        <v>0</v>
      </c>
      <c r="MG5" s="71">
        <f t="shared" si="10"/>
        <v>16.86</v>
      </c>
      <c r="MH5" s="71">
        <f t="shared" si="11"/>
        <v>9.2749999999999986</v>
      </c>
      <c r="MI5" s="71">
        <f t="shared" si="12"/>
        <v>13.8</v>
      </c>
      <c r="MJ5" s="71">
        <f t="shared" si="13"/>
        <v>15.75</v>
      </c>
      <c r="MK5" s="71">
        <f t="shared" si="14"/>
        <v>0</v>
      </c>
      <c r="ML5" s="82" t="s">
        <v>96</v>
      </c>
      <c r="MM5" s="12">
        <f t="shared" ref="MM5:MM13" si="21">IF(MD5&gt;0,MD5,"")</f>
        <v>13.4</v>
      </c>
      <c r="MN5" s="12">
        <f t="shared" ref="MN5:MN13" si="22">IF(SUM(LW5:LZ5)-MA5&gt;0,SUM(LW5:LZ5)-MA5,"")</f>
        <v>48.612500000000004</v>
      </c>
      <c r="MO5" s="12">
        <f t="shared" ref="MO5:MO13" si="23">IF(SUM(MB5:ME5)-MF5&gt;0,SUM(MB5:ME5)-MF5,"")</f>
        <v>54.682499999999997</v>
      </c>
      <c r="MP5" s="12">
        <f t="shared" ref="MP5:MP13" si="24">IF(SUM(MN5:MO5)&gt;0,SUM(MN5:MO5),"")</f>
        <v>103.295</v>
      </c>
      <c r="MQ5" s="12">
        <f t="shared" ref="MQ5:MQ15" si="25">IF(MI5&gt;0,MI5,"")</f>
        <v>13.8</v>
      </c>
      <c r="MR5" s="12">
        <f t="shared" ref="MR5:MR13" si="26">IF(SUM(MG5:MJ5)-MK5&gt;0,SUM(MG5:MJ5)-MK5,"")</f>
        <v>55.685000000000002</v>
      </c>
      <c r="MS5" s="12">
        <f t="shared" ref="MS5:MS13" si="27">IF(SUM(MP5,MR5)&gt;0,SUM(MP5,MR5),"")</f>
        <v>158.98000000000002</v>
      </c>
    </row>
    <row r="6" spans="1:357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35</v>
      </c>
      <c r="C6" s="5" t="s">
        <v>6</v>
      </c>
      <c r="D6" s="29">
        <v>1992</v>
      </c>
      <c r="E6" s="16">
        <f>SUM(J6:R6)</f>
        <v>260.13499999999993</v>
      </c>
      <c r="F6" s="4" t="str">
        <f>IF(OR(AND($AK6&gt;=$AL$18,NOT($AK6=""),$AJ6=""),AND($BH6&gt;=$BI$18,NOT($BH6=""),$BG6=""),AND($CH6&gt;=$CI$18,NOT($CH6="")),AND($DD6&gt;=$DE$18,NOT($DD6="")),AND($DZ6&gt;=$EA$18,NOT($DZ6="")),AND($EV6&gt;=$EW$18,NOT($EV6="")),AND($FR6&gt;=$FS$18,NOT($FR6="")),AND($GN6&gt;=$GO$18,NOT($GN6="")),AND($HJ6&gt;=$HK$18,NOT($HJ6="")),AND($IF6&gt;=$IG$18,NOT($IF6="")),AND($JB6&gt;=$JC$18,NOT($JB6="")),AND($JX6&gt;=$JY$18,NOT($JX6="")),AND($KT6&gt;=$KU$18,NOT($KT6="")),AND($LP6&gt;=$LQ$18,NOT($LP6="")),AND($AO6&gt;=$AL$18,NOT($AO6=""),$AJ6=""),AND($BL6&gt;=$BI$18,NOT($BL6=""),$BG6=""),AND($CL6&gt;=$CI$18,NOT($CL6="")),AND($DH6&gt;=$DE$18,NOT($DH6="")),AND($ED6&gt;=$EA$18,NOT($ED6="")),AND($EZ6&gt;=$EW$18,NOT($EZ6="")),AND($FV6&gt;=$FS$18,NOT($FV6="")),AND($GR6&gt;=$GO$18,NOT($GR6="")),AND($HN6&gt;=$HK$18,NOT($HN6="")),AND($IJ6&gt;=$IG$18,NOT($IJ6="")),AND($JF6&gt;=$JC$18,NOT($JF6="")),AND($KB6&gt;=$JY$18,NOT($KB6="")),AND($KX6&gt;=$KU$18,NOT($KX6="")),AND($LT6&gt;=$LQ$18,NOT($LT6=""))),"P","")</f>
        <v>P</v>
      </c>
      <c r="G6" s="4" t="str">
        <f>IF(OR(AND($AK6&gt;=$AL$19,NOT($AK6=""),$AJ6=""),AND($BH6&gt;=$BI$19,NOT($BH6=""),$BG6=""),AND($CH6&gt;=$CI$19,NOT($CH6="")),AND($DD6&gt;=$DE$19,NOT($DD6="")),AND($DZ6&gt;=$EA$19,NOT($DZ6="")),AND($EV6&gt;=$EW$19,NOT($EV6="")),AND($FR6&gt;=$FS$19,NOT($FR6="")),AND($GN6&gt;=$GO$19,NOT($GN6="")),AND($HJ6&gt;=$HK$19,NOT($HJ6="")),AND($IF6&gt;=$IG$19,NOT($IF6="")),AND($JB6&gt;=$JC$19,NOT($JB6="")),AND($JX6&gt;=$JY$19,NOT($JX6="")),AND($KT6&gt;=$KU$19,NOT($KT6="")),AND($LP6&gt;=$LQ$19,NOT($LP6="")),AND($AO6&gt;=$AL$19,NOT($AO6=""),$AJ6=""),AND($BL6&gt;=$BI$19,NOT($BL6=""),$BG6=""),AND($CL6&gt;=$CI$19,NOT($CL6="")),AND($DH6&gt;=$DE$19,NOT($DH6="")),AND($ED6&gt;=$EA$19,NOT($ED6="")),AND($EZ6&gt;=$EW$19,NOT($EZ6="")),AND($FV6&gt;=$FS$19,NOT($FV6="")),AND($GR6&gt;=$GO$19,NOT($GR6="")),AND($HN6&gt;=$HK$19,NOT($HN6="")),AND($IJ6&gt;=$IG$19,NOT($IJ6="")),AND($JF6&gt;=$JC$19,NOT($JF6="")),AND($KB6&gt;=$JY$19,NOT($KB6="")),AND($KX6&gt;=$KU$19,NOT($KX6="")),AND($LT6&gt;=$LQ$19,NOT($LT6=""))),"P","")</f>
        <v>P</v>
      </c>
      <c r="H6" s="4" t="str">
        <f>IF(OR(AND($AN6&gt;=$AL$20,NOT($AN6=""),$AJ6=""),AND($BK6&gt;=$BI$20,NOT($BK6=""),$BG6=""),AND($CK6&gt;=$CI$20,NOT($CK6="")),AND($DG6&gt;=$DE$20,NOT($DG6="")),AND($EC6&gt;=$EA$20,NOT($EC6="")),AND($EY6&gt;=$EW$20,NOT($EY6="")),AND($FU6&gt;=$FS$20,NOT($FU6="")),AND($GQ6&gt;=$GO$20,NOT($GQ6="")),AND($HM6&gt;=$HK$20,NOT($HM6="")),AND($II6&gt;=$IG$20,NOT($II6="")),AND($JE6&gt;=$JC$20,NOT($JE6="")),AND($KA6&gt;=$JY$20,NOT($KA6="")),AND($KW6&gt;=$KU$20,NOT($KW6="")),AND($LS6&gt;=$LQ$20,NOT($LS6=""))),"P","")</f>
        <v>P</v>
      </c>
      <c r="I6" t="str">
        <f>IF(AND(H6="P",F6=""),"No DD",IF(AND(G6="P",OR(AND($AM6&gt;$AL$23,NOT($AM6=""),$AJ6=""),AND($AP6&gt;$AL$23,NOT($AP6=""),$AJ6=""),AND($BJ6&gt;$BI$23,NOT($BJ6=""),$BG6=""),AND($BM6&gt;$BI$23,NOT($BM6=""),$BG6=""),AND($CJ6&gt;$CI$23,NOT($CJ6="")),AND($CM6&gt;$CI$23,NOT($CM6="")),AND($DF6&gt;$DE$23,NOT($DF6="")),AND($DI6&gt;$DE$23,NOT($DI6="")),AND($EB6&gt;$EA$23,NOT($EB6="")),AND($EE6&gt;$EA$23,NOT($EE6="")),AND($EX6&gt;$EW$23,NOT($EX6="")),AND($FA6&gt;$EW$23,NOT($FA6="")),AND($FT6&gt;$FS$23,NOT($FT6="")),AND($FW6&gt;$FS$23,NOT($FW6="")),AND($GP6&gt;$GO$23,NOT($GP6="")),AND($GS6&gt;$GO$23,NOT($GS6="")),AND($HL6&gt;$HK$23,NOT($HL6="")),AND($HO6&gt;$HK$23,NOT($HO6="")),AND($IH6&gt;$IG$23,NOT($IH6="")),AND($IK6&gt;$IG$23,NOT($IK6="")),AND($JD6&gt;$JC$23,NOT($JD6="")),AND($JG6&gt;$JC$23,NOT($JG6="")),AND($JZ6&gt;$JY$23,NOT($JZ6="")),AND($KC6&gt;$JY$23,NOT($KC6="")),AND($KV6&gt;$KU$23,NOT($KV6="")),AND($KY6&gt;$KU$23,NOT($KY6="")),AND($LR6&gt;$LQ$23,NOT($LR6="")),AND($LU6&gt;$LQ$23,NOT($LU6="")))),"Merit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Excellence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Worlds Team",IF(AND(F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National Team","")))))</f>
        <v>Merit</v>
      </c>
      <c r="J6" s="15">
        <f>IF(MAX(AN6,BK6)&gt;0,MAX(AN6,BK6),"")</f>
        <v>103.6</v>
      </c>
      <c r="K6" s="15" t="str">
        <f>IF(J6="","",IF(J6=BK6,$AR$1,IF(J6=AN6,$U$1,"")))</f>
        <v>2019 Nationals</v>
      </c>
      <c r="L6" s="15">
        <f>IF($J6=$AN6,BI6,IF($J6=$BK6,AL6,MAX(AL6,BI6)))</f>
        <v>47.185000000000002</v>
      </c>
      <c r="M6" s="15" t="str">
        <f>IF(L6="","",IF(L6=BI6,$AR$1,IF(L6=AL6,$U$1,"")))</f>
        <v>2019 Elite Canada</v>
      </c>
      <c r="N6" s="15">
        <f>IF($J6=$AN6,BJ6,IF($J6=$BK6,AM6,MAX(AM6,BJ6)))</f>
        <v>53.665000000000006</v>
      </c>
      <c r="O6" s="15" t="str">
        <f>IF(N6="","",IF(AND(N6=BJ6,$K6&lt;&gt;$AR$1),$AR$1,IF(AND(N6=AM6,$K6&lt;&gt;$U$1),$U$1,"")))</f>
        <v>2019 Elite Canada</v>
      </c>
      <c r="P6" s="15">
        <f>IF(MAX(AP6,BM6)&gt;0,MAX(AP6,BM6),"")</f>
        <v>54.594999999999999</v>
      </c>
      <c r="Q6" s="15" t="str">
        <f>IF(P6="","",IF(P6=BM6,$AR$1,IF(P6=AP6,$U$1,"")))</f>
        <v>2019 Nationals</v>
      </c>
      <c r="R6" s="15">
        <f>IF(MAX(BO6,BP6,BQ6,BR6)&gt;0,MAX(BO6,BP6,BQ6,BR6),"")</f>
        <v>1.0899999999999963</v>
      </c>
      <c r="S6" s="27" t="str">
        <f>IF(R6="","",IF(R6=BO6,"(Vol 1)",IF(R6=BP6,"(Vol 2)",IF(R6=BQ6,"(Prelim)",IF(R6=BR6,"(Final)")))))</f>
        <v>(Vol 2)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2019 World Cup ESP (Oct 6)</v>
      </c>
      <c r="U6" s="39">
        <v>16.600000000000001</v>
      </c>
      <c r="V6" s="39">
        <v>9.1999999999999993</v>
      </c>
      <c r="W6" s="39">
        <v>5.4</v>
      </c>
      <c r="X6" s="39">
        <v>15.984999999999999</v>
      </c>
      <c r="Y6" s="39">
        <v>0</v>
      </c>
      <c r="Z6" s="39">
        <v>15</v>
      </c>
      <c r="AA6" s="39">
        <v>9.0500000000000007</v>
      </c>
      <c r="AB6" s="39">
        <v>14.4</v>
      </c>
      <c r="AC6" s="39">
        <v>15.215</v>
      </c>
      <c r="AD6" s="39">
        <v>0</v>
      </c>
      <c r="AE6" s="39">
        <v>14.6</v>
      </c>
      <c r="AF6" s="39">
        <v>8.9499999999999993</v>
      </c>
      <c r="AG6" s="39">
        <v>15.4</v>
      </c>
      <c r="AH6" s="39">
        <v>14.98</v>
      </c>
      <c r="AI6" s="39">
        <v>0</v>
      </c>
      <c r="AJ6" s="82"/>
      <c r="AK6" s="12">
        <f>IF(AB6&gt;0,AB6,"")</f>
        <v>14.4</v>
      </c>
      <c r="AL6" s="12">
        <f>IF(SUM(U6:X6)-Y6&gt;0,SUM(U6:X6)-Y6,"")</f>
        <v>47.185000000000002</v>
      </c>
      <c r="AM6" s="12">
        <f>IF(SUM(Z6:AC6)-AD6&gt;0,SUM(Z6:AC6)-AD6,"")</f>
        <v>53.665000000000006</v>
      </c>
      <c r="AN6" s="12">
        <f>IF(SUM(AL6:AM6)&gt;0,SUM(AL6:AM6),"")</f>
        <v>100.85000000000001</v>
      </c>
      <c r="AO6" s="12">
        <f>IF(AG6&gt;0,AG6,"")</f>
        <v>15.4</v>
      </c>
      <c r="AP6" s="12">
        <f>IF(SUM(AE6:AH6)-AI6&gt;0,SUM(AE6:AH6)-AI6,"")</f>
        <v>53.929999999999993</v>
      </c>
      <c r="AQ6" s="12">
        <f>IF(SUM(AN6,AP6)&gt;0,SUM(AN6,AP6),"")</f>
        <v>154.78</v>
      </c>
      <c r="AR6" s="77">
        <v>17.600000000000001</v>
      </c>
      <c r="AS6" s="77">
        <v>9.4</v>
      </c>
      <c r="AT6" s="77">
        <v>5.6</v>
      </c>
      <c r="AU6" s="77">
        <v>15.815</v>
      </c>
      <c r="AV6" s="77">
        <v>0</v>
      </c>
      <c r="AW6" s="77">
        <v>16.5</v>
      </c>
      <c r="AX6" s="77">
        <v>9.1</v>
      </c>
      <c r="AY6" s="77">
        <v>14.4</v>
      </c>
      <c r="AZ6" s="77">
        <v>15.185</v>
      </c>
      <c r="BA6" s="77">
        <v>0</v>
      </c>
      <c r="BB6" s="77">
        <v>16.16</v>
      </c>
      <c r="BC6" s="77">
        <v>8.9</v>
      </c>
      <c r="BD6" s="77">
        <v>14.4</v>
      </c>
      <c r="BE6" s="77">
        <v>15.135</v>
      </c>
      <c r="BF6" s="77"/>
      <c r="BG6" s="83"/>
      <c r="BH6" s="15">
        <f>IF(AY6&gt;0,AY6,"")</f>
        <v>14.4</v>
      </c>
      <c r="BI6" s="15">
        <f>IF(SUM(AR6:AU6)-AV6&gt;0,SUM(AR6:AU6)-AV6,"")</f>
        <v>48.414999999999999</v>
      </c>
      <c r="BJ6" s="15">
        <f>IF(SUM(AW6:AZ6)-BA6&gt;0,SUM(AW6:AZ6)-BA6,"")</f>
        <v>55.185000000000002</v>
      </c>
      <c r="BK6" s="15">
        <f>IF(SUM(BI6:BJ6)&gt;0,SUM(BI6:BJ6),"")</f>
        <v>103.6</v>
      </c>
      <c r="BL6" s="15">
        <f>IF(BD6&gt;0,BD6,"")</f>
        <v>14.4</v>
      </c>
      <c r="BM6" s="15">
        <f>IF(SUM(BB6:BE6)-BF6&gt;0,SUM(BB6:BE6)-BF6,"")</f>
        <v>54.594999999999999</v>
      </c>
      <c r="BN6" s="15">
        <f>IF(SUM(BK6,BM6)&gt;0,SUM(BK6,BM6),"")</f>
        <v>158.19499999999999</v>
      </c>
      <c r="BO6" s="26">
        <f>IF(MAX(CI6,DE6,EA6,EW6,FS6,GO6,HK6,IG6,JC6,JY6,KU6,LQ6)-IF(L6="",0,L6)&gt;0.001,MAX(CI6,DE6,EA6,EW6,FS6,GO6,HK6,IG6,JC6,JY6,KU6,LQ6)-IF(L6="",0,L6),"")</f>
        <v>0.67999999999999972</v>
      </c>
      <c r="BP6" s="26">
        <f>IF(MAX(CJ6,DF6,EB6,EX6,FT6,GP6,HL6,IH6,JD6,JZ6,KV6,LR6)-IF(N6="",0,N6)&gt;0.001,MAX(CJ6,DF6,EB6,EX6,FT6,GP6,HL6,IH6,JD6,JZ6,KV6,LR6)-IF(N6="",0,N6),"")</f>
        <v>1.0899999999999963</v>
      </c>
      <c r="BQ6" s="26" t="str">
        <f>IF(MAX(CK6,DG6,EC6,EY6,FU6,GQ6,HM6,II6,JE6,KA6,KW6,LS6)-IF(J6="",0,J6)&gt;0.001,MAX(CK6,DG6,EC6,EY6,FU6,GQ6,HM6,II6,JE6,KA6,KW6,LS6)-IF(J6="",0,J6),"")</f>
        <v/>
      </c>
      <c r="BR6" s="26" t="str">
        <f>IF(MAX(CM6,DI6,EE6,FA6,FW6,GS6,HO6,IK6,JG6,KC6,KY6,LU6)-IF(P6="",0,P6)&gt;0.001,MAX(CM6,DI6,EE6,FA6,FW6,GS6,HO6,IK6,JG6,KC6,KY6,LU6)-IF(P6="",0,P6),"")</f>
        <v/>
      </c>
      <c r="BS6" s="39">
        <v>17.2</v>
      </c>
      <c r="BT6" s="39">
        <v>9.4</v>
      </c>
      <c r="BU6" s="39">
        <v>5.6</v>
      </c>
      <c r="BV6" s="39">
        <v>15.664999999999999</v>
      </c>
      <c r="BW6" s="39">
        <v>0</v>
      </c>
      <c r="BX6" s="39">
        <v>14.7</v>
      </c>
      <c r="BY6" s="39">
        <v>9.1999999999999993</v>
      </c>
      <c r="BZ6" s="39">
        <v>14.4</v>
      </c>
      <c r="CA6" s="39">
        <v>14.59</v>
      </c>
      <c r="CB6" s="39">
        <v>0</v>
      </c>
      <c r="CC6" s="39"/>
      <c r="CD6" s="39"/>
      <c r="CE6" s="39"/>
      <c r="CF6" s="39"/>
      <c r="CG6" s="39"/>
      <c r="CH6" s="12">
        <f>IF(BZ6&gt;0,BZ6,"")</f>
        <v>14.4</v>
      </c>
      <c r="CI6" s="12">
        <f>IF(SUM(BS6:BV6)-BW6&gt;0,SUM(BS6:BV6)-BW6,"")</f>
        <v>47.865000000000002</v>
      </c>
      <c r="CJ6" s="12">
        <f>IF(SUM(BX6:CA6)-CB6&gt;0,SUM(BX6:CA6)-CB6,"")</f>
        <v>52.89</v>
      </c>
      <c r="CK6" s="12">
        <f>IF(SUM(CI6:CJ6)&gt;0,SUM(CI6:CJ6),"")</f>
        <v>100.755</v>
      </c>
      <c r="CL6" s="12" t="str">
        <f>IF(CE6&gt;0,CE6,"")</f>
        <v/>
      </c>
      <c r="CM6" s="12" t="str">
        <f>IF(SUM(CC6:CF6)-CG6&gt;0,SUM(CC6:CF6)-CG6,"")</f>
        <v/>
      </c>
      <c r="CN6" s="12">
        <f>IF(SUM(CK6,CM6)&gt;0,SUM(CK6,CM6),"")</f>
        <v>100.755</v>
      </c>
      <c r="CO6" s="40">
        <v>15.2</v>
      </c>
      <c r="CP6" s="40">
        <v>9.4</v>
      </c>
      <c r="CQ6" s="40">
        <v>5.8</v>
      </c>
      <c r="CR6" s="40">
        <v>15.535</v>
      </c>
      <c r="CS6" s="40">
        <v>0</v>
      </c>
      <c r="CT6" s="40">
        <v>15</v>
      </c>
      <c r="CU6" s="40">
        <v>9.5</v>
      </c>
      <c r="CV6" s="40">
        <v>14.4</v>
      </c>
      <c r="CW6" s="40">
        <v>14.824999999999999</v>
      </c>
      <c r="CX6" s="40">
        <v>0</v>
      </c>
      <c r="CY6" s="40"/>
      <c r="CZ6" s="40"/>
      <c r="DA6" s="40"/>
      <c r="DB6" s="40"/>
      <c r="DC6" s="40"/>
      <c r="DD6" s="15">
        <f>IF(CV6&gt;0,CV6,"")</f>
        <v>14.4</v>
      </c>
      <c r="DE6" s="15">
        <f>IF(SUM(CO6:CR6)-CS6&gt;0,SUM(CO6:CR6)-CS6,"")</f>
        <v>45.935000000000002</v>
      </c>
      <c r="DF6" s="15">
        <f>IF(SUM(CT6:CW6)-CX6&gt;0,SUM(CT6:CW6)-CX6,"")</f>
        <v>53.724999999999994</v>
      </c>
      <c r="DG6" s="15">
        <f>IF(SUM(DE6:DF6)&gt;0,SUM(DE6:DF6),"")</f>
        <v>99.66</v>
      </c>
      <c r="DH6" s="15" t="str">
        <f>IF(DA6&gt;0,DA6,"")</f>
        <v/>
      </c>
      <c r="DI6" s="15" t="str">
        <f>IF(SUM(CY6:DB6)-DC6&gt;0,SUM(CY6:DB6)-DC6,"")</f>
        <v/>
      </c>
      <c r="DJ6" s="15">
        <f>IF(SUM(DG6,DI6)&gt;0,SUM(DG6,DI6),"")</f>
        <v>99.66</v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40">
        <v>17.3</v>
      </c>
      <c r="EH6" s="40">
        <v>8.4</v>
      </c>
      <c r="EI6" s="40">
        <v>5.6</v>
      </c>
      <c r="EJ6" s="40">
        <v>15.81</v>
      </c>
      <c r="EK6" s="40">
        <v>0</v>
      </c>
      <c r="EL6" s="40">
        <v>14.8</v>
      </c>
      <c r="EM6" s="40">
        <v>8.3000000000000007</v>
      </c>
      <c r="EN6" s="40">
        <v>14</v>
      </c>
      <c r="EO6" s="40">
        <v>14.695</v>
      </c>
      <c r="EP6" s="40">
        <v>0</v>
      </c>
      <c r="EQ6" s="40">
        <v>15</v>
      </c>
      <c r="ER6" s="40">
        <v>9.6</v>
      </c>
      <c r="ES6" s="40">
        <v>14</v>
      </c>
      <c r="ET6" s="40">
        <v>15.135</v>
      </c>
      <c r="EU6" s="40">
        <v>0</v>
      </c>
      <c r="EV6" s="15">
        <f>IF(EN6&gt;0,EN6,"")</f>
        <v>14</v>
      </c>
      <c r="EW6" s="15">
        <f>IF(SUM(EG6:EJ6)-EK6&gt;0,SUM(EG6:EJ6)-EK6,"")</f>
        <v>47.110000000000007</v>
      </c>
      <c r="EX6" s="15">
        <f>IF(SUM(EL6:EO6)-EP6&gt;0,SUM(EL6:EO6)-EP6,"")</f>
        <v>51.795000000000002</v>
      </c>
      <c r="EY6" s="15">
        <f>IF(SUM(EW6:EX6)&gt;0,SUM(EW6:EX6),"")</f>
        <v>98.905000000000001</v>
      </c>
      <c r="EZ6" s="15">
        <f>IF(ES6&gt;0,ES6,"")</f>
        <v>14</v>
      </c>
      <c r="FA6" s="15">
        <f>IF(SUM(EQ6:ET6)-EU6&gt;0,SUM(EQ6:ET6)-EU6,"")</f>
        <v>53.734999999999999</v>
      </c>
      <c r="FB6" s="15">
        <f>IF(SUM(EY6,FA6)&gt;0,SUM(EY6,FA6),"")</f>
        <v>152.63999999999999</v>
      </c>
      <c r="FC6" s="39">
        <v>17.100000000000001</v>
      </c>
      <c r="FD6" s="39">
        <v>8.8000000000000007</v>
      </c>
      <c r="FE6" s="39">
        <v>5.4</v>
      </c>
      <c r="FF6" s="39">
        <v>15.68</v>
      </c>
      <c r="FG6" s="39">
        <v>0</v>
      </c>
      <c r="FH6" s="39">
        <v>15</v>
      </c>
      <c r="FI6" s="39">
        <v>8.9</v>
      </c>
      <c r="FJ6" s="39">
        <v>14.4</v>
      </c>
      <c r="FK6" s="39">
        <v>15.355</v>
      </c>
      <c r="FL6" s="39">
        <v>0</v>
      </c>
      <c r="FM6" s="39"/>
      <c r="FN6" s="39"/>
      <c r="FO6" s="39"/>
      <c r="FP6" s="39"/>
      <c r="FQ6" s="39"/>
      <c r="FR6" s="12">
        <f>IF(FJ6&gt;0,FJ6,"")</f>
        <v>14.4</v>
      </c>
      <c r="FS6" s="12">
        <f>IF(SUM(FC6:FF6)-FG6&gt;0,SUM(FC6:FF6)-FG6,"")</f>
        <v>46.980000000000004</v>
      </c>
      <c r="FT6" s="12">
        <f>IF(SUM(FH6:FK6)-FL6&gt;0,SUM(FH6:FK6)-FL6,"")</f>
        <v>53.655000000000001</v>
      </c>
      <c r="FU6" s="12">
        <f>IF(SUM(FS6:FT6)&gt;0,SUM(FS6:FT6),"")</f>
        <v>100.63500000000001</v>
      </c>
      <c r="FV6" s="12" t="str">
        <f>IF(FO6&gt;0,FO6,"")</f>
        <v/>
      </c>
      <c r="FW6" s="12" t="str">
        <f>IF(SUM(FM6:FP6)-FQ6&gt;0,SUM(FM6:FP6)-FQ6,"")</f>
        <v/>
      </c>
      <c r="FX6" s="12">
        <f>IF(SUM(FU6,FW6)&gt;0,SUM(FU6,FW6),"")</f>
        <v>100.63500000000001</v>
      </c>
      <c r="FY6" s="40">
        <v>14.1</v>
      </c>
      <c r="FZ6" s="40">
        <v>7.2</v>
      </c>
      <c r="GA6" s="40">
        <v>2.7</v>
      </c>
      <c r="GB6" s="40">
        <v>12.74</v>
      </c>
      <c r="GC6" s="40">
        <v>0</v>
      </c>
      <c r="GD6" s="40">
        <v>15.5</v>
      </c>
      <c r="GE6" s="40">
        <v>9.6999999999999993</v>
      </c>
      <c r="GF6" s="40">
        <v>14.4</v>
      </c>
      <c r="GG6" s="40">
        <v>15.154999999999999</v>
      </c>
      <c r="GH6" s="40">
        <v>0</v>
      </c>
      <c r="GI6" s="40"/>
      <c r="GJ6" s="40"/>
      <c r="GK6" s="40"/>
      <c r="GL6" s="40"/>
      <c r="GM6" s="40"/>
      <c r="GN6" s="15">
        <f>IF(GF6&gt;0,GF6,"")</f>
        <v>14.4</v>
      </c>
      <c r="GO6" s="15">
        <f>IF(SUM(FY6:GB6)-GC6&gt;0,SUM(FY6:GB6)-GC6,"")</f>
        <v>36.74</v>
      </c>
      <c r="GP6" s="15">
        <f>IF(SUM(GD6:GG6)-GH6&gt;0,SUM(GD6:GG6)-GH6,"")</f>
        <v>54.755000000000003</v>
      </c>
      <c r="GQ6" s="15">
        <f>IF(SUM(GO6:GP6)&gt;0,SUM(GO6:GP6),"")</f>
        <v>91.495000000000005</v>
      </c>
      <c r="GR6" s="15" t="str">
        <f>IF(GK6&gt;0,GK6,"")</f>
        <v/>
      </c>
      <c r="GS6" s="15" t="str">
        <f>IF(SUM(GI6:GL6)-GM6&gt;0,SUM(GI6:GL6)-GM6,"")</f>
        <v/>
      </c>
      <c r="GT6" s="15">
        <f>IF(SUM(GQ6,GS6)&gt;0,SUM(GQ6,GS6),"")</f>
        <v>91.495000000000005</v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>
        <v>15.2</v>
      </c>
      <c r="HF6" s="39">
        <v>9.5</v>
      </c>
      <c r="HG6" s="39">
        <v>14.4</v>
      </c>
      <c r="HH6" s="39">
        <v>15.04</v>
      </c>
      <c r="HI6" s="39">
        <v>0</v>
      </c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>
        <f>IF(HG6&gt;0,HG6,"")</f>
        <v>14.4</v>
      </c>
      <c r="HO6" s="12">
        <f>IF(SUM(HE6:HH6)-HI6&gt;0,SUM(HE6:HH6)-HI6,"")</f>
        <v>54.14</v>
      </c>
      <c r="HP6" s="12">
        <f>IF(SUM(HM6,HO6)&gt;0,SUM(HM6,HO6),"")</f>
        <v>54.14</v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>
        <v>15.3</v>
      </c>
      <c r="IB6" s="40">
        <v>9.5</v>
      </c>
      <c r="IC6" s="40">
        <v>14.4</v>
      </c>
      <c r="ID6" s="40">
        <v>15.19</v>
      </c>
      <c r="IE6" s="40">
        <v>0.2</v>
      </c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>
        <f>IF(IC6&gt;0,IC6,"")</f>
        <v>14.4</v>
      </c>
      <c r="IK6" s="15">
        <f>IF(SUM(IA6:ID6)-IE6&gt;0,SUM(IA6:ID6)-IE6,"")</f>
        <v>54.19</v>
      </c>
      <c r="IL6" s="15">
        <f>IF(SUM(II6,IK6)&gt;0,SUM(II6,IK6),"")</f>
        <v>54.19</v>
      </c>
      <c r="IM6" s="39">
        <v>17.2</v>
      </c>
      <c r="IN6" s="39">
        <v>9.1999999999999993</v>
      </c>
      <c r="IO6" s="39">
        <v>5.6</v>
      </c>
      <c r="IP6" s="39">
        <v>15.505000000000001</v>
      </c>
      <c r="IQ6" s="39">
        <v>0</v>
      </c>
      <c r="IR6" s="39">
        <v>15.2</v>
      </c>
      <c r="IS6" s="39">
        <v>9.6999999999999993</v>
      </c>
      <c r="IT6" s="39">
        <v>14.4</v>
      </c>
      <c r="IU6" s="39">
        <v>14.845000000000001</v>
      </c>
      <c r="IV6" s="39">
        <v>0</v>
      </c>
      <c r="IW6" s="39">
        <v>15.5</v>
      </c>
      <c r="IX6" s="39">
        <v>8.9</v>
      </c>
      <c r="IY6" s="39">
        <v>14.2</v>
      </c>
      <c r="IZ6" s="39">
        <v>14.85</v>
      </c>
      <c r="JA6" s="39">
        <v>0</v>
      </c>
      <c r="JB6" s="12">
        <f>IF(IT6&gt;0,IT6,"")</f>
        <v>14.4</v>
      </c>
      <c r="JC6" s="12">
        <f>IF(SUM(IM6:IP6)-IQ6&gt;0,SUM(IM6:IP6)-IQ6,"")</f>
        <v>47.505000000000003</v>
      </c>
      <c r="JD6" s="12">
        <f>IF(SUM(IR6:IU6)-IV6&gt;0,SUM(IR6:IU6)-IV6,"")</f>
        <v>54.144999999999996</v>
      </c>
      <c r="JE6" s="12">
        <f>IF(SUM(JC6:JD6)&gt;0,SUM(JC6:JD6),"")</f>
        <v>101.65</v>
      </c>
      <c r="JF6" s="12">
        <f>IF(IY6&gt;0,IY6,"")</f>
        <v>14.2</v>
      </c>
      <c r="JG6" s="12">
        <f>IF(SUM(IW6:IZ6)-JA6&gt;0,SUM(IW6:IZ6)-JA6,"")</f>
        <v>53.449999999999996</v>
      </c>
      <c r="JH6" s="12">
        <f>IF(SUM(JE6,JG6)&gt;0,SUM(JE6,JG6),"")</f>
        <v>155.1</v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0"/>
        <v>17.100000000000001</v>
      </c>
      <c r="LX6" s="71">
        <f t="shared" si="1"/>
        <v>9.3000000000000007</v>
      </c>
      <c r="LY6" s="71">
        <f t="shared" si="2"/>
        <v>5.5</v>
      </c>
      <c r="LZ6" s="71">
        <f t="shared" si="3"/>
        <v>15.899999999999999</v>
      </c>
      <c r="MA6" s="71">
        <f t="shared" si="4"/>
        <v>0</v>
      </c>
      <c r="MB6" s="71">
        <f t="shared" si="5"/>
        <v>15.75</v>
      </c>
      <c r="MC6" s="71">
        <f t="shared" si="6"/>
        <v>9.0749999999999993</v>
      </c>
      <c r="MD6" s="71">
        <f t="shared" si="7"/>
        <v>14.4</v>
      </c>
      <c r="ME6" s="71">
        <f t="shared" si="8"/>
        <v>15.2</v>
      </c>
      <c r="MF6" s="71">
        <f t="shared" si="9"/>
        <v>0</v>
      </c>
      <c r="MG6" s="71">
        <f t="shared" si="10"/>
        <v>15.379999999999999</v>
      </c>
      <c r="MH6" s="71">
        <f t="shared" si="11"/>
        <v>8.9250000000000007</v>
      </c>
      <c r="MI6" s="71">
        <f t="shared" si="12"/>
        <v>14.9</v>
      </c>
      <c r="MJ6" s="71">
        <f t="shared" si="13"/>
        <v>15.057500000000001</v>
      </c>
      <c r="MK6" s="71">
        <f t="shared" si="14"/>
        <v>0</v>
      </c>
      <c r="ML6" s="82" t="s">
        <v>96</v>
      </c>
      <c r="MM6" s="12">
        <f t="shared" si="21"/>
        <v>14.4</v>
      </c>
      <c r="MN6" s="12">
        <f t="shared" si="22"/>
        <v>47.8</v>
      </c>
      <c r="MO6" s="12">
        <f t="shared" si="23"/>
        <v>54.424999999999997</v>
      </c>
      <c r="MP6" s="12">
        <f t="shared" si="24"/>
        <v>102.22499999999999</v>
      </c>
      <c r="MQ6" s="12">
        <f t="shared" si="25"/>
        <v>14.9</v>
      </c>
      <c r="MR6" s="12">
        <f t="shared" si="26"/>
        <v>54.262500000000003</v>
      </c>
      <c r="MS6" s="12">
        <f t="shared" si="27"/>
        <v>156.48750000000001</v>
      </c>
    </row>
    <row r="7" spans="1:357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33</v>
      </c>
      <c r="C7" s="5" t="s">
        <v>10</v>
      </c>
      <c r="D7" s="29">
        <v>1998</v>
      </c>
      <c r="E7" s="16">
        <f>SUM(J7:R7)</f>
        <v>259.66750000000002</v>
      </c>
      <c r="F7" s="4" t="str">
        <f>IF(OR(AND($AK7&gt;=$AL$18,NOT($AK7=""),$AJ7=""),AND($BH7&gt;=$BI$18,NOT($BH7=""),$BG7=""),AND($CH7&gt;=$CI$18,NOT($CH7="")),AND($DD7&gt;=$DE$18,NOT($DD7="")),AND($DZ7&gt;=$EA$18,NOT($DZ7="")),AND($EV7&gt;=$EW$18,NOT($EV7="")),AND($FR7&gt;=$FS$18,NOT($FR7="")),AND($GN7&gt;=$GO$18,NOT($GN7="")),AND($HJ7&gt;=$HK$18,NOT($HJ7="")),AND($IF7&gt;=$IG$18,NOT($IF7="")),AND($JB7&gt;=$JC$18,NOT($JB7="")),AND($JX7&gt;=$JY$18,NOT($JX7="")),AND($KT7&gt;=$KU$18,NOT($KT7="")),AND($LP7&gt;=$LQ$18,NOT($LP7="")),AND($AO7&gt;=$AL$18,NOT($AO7=""),$AJ7=""),AND($BL7&gt;=$BI$18,NOT($BL7=""),$BG7=""),AND($CL7&gt;=$CI$18,NOT($CL7="")),AND($DH7&gt;=$DE$18,NOT($DH7="")),AND($ED7&gt;=$EA$18,NOT($ED7="")),AND($EZ7&gt;=$EW$18,NOT($EZ7="")),AND($FV7&gt;=$FS$18,NOT($FV7="")),AND($GR7&gt;=$GO$18,NOT($GR7="")),AND($HN7&gt;=$HK$18,NOT($HN7="")),AND($IJ7&gt;=$IG$18,NOT($IJ7="")),AND($JF7&gt;=$JC$18,NOT($JF7="")),AND($KB7&gt;=$JY$18,NOT($KB7="")),AND($KX7&gt;=$KU$18,NOT($KX7="")),AND($LT7&gt;=$LQ$18,NOT($LT7=""))),"P","")</f>
        <v>P</v>
      </c>
      <c r="G7" s="4" t="str">
        <f>IF(OR(AND($AK7&gt;=$AL$19,NOT($AK7=""),$AJ7=""),AND($BH7&gt;=$BI$19,NOT($BH7=""),$BG7=""),AND($CH7&gt;=$CI$19,NOT($CH7="")),AND($DD7&gt;=$DE$19,NOT($DD7="")),AND($DZ7&gt;=$EA$19,NOT($DZ7="")),AND($EV7&gt;=$EW$19,NOT($EV7="")),AND($FR7&gt;=$FS$19,NOT($FR7="")),AND($GN7&gt;=$GO$19,NOT($GN7="")),AND($HJ7&gt;=$HK$19,NOT($HJ7="")),AND($IF7&gt;=$IG$19,NOT($IF7="")),AND($JB7&gt;=$JC$19,NOT($JB7="")),AND($JX7&gt;=$JY$19,NOT($JX7="")),AND($KT7&gt;=$KU$19,NOT($KT7="")),AND($LP7&gt;=$LQ$19,NOT($LP7="")),AND($AO7&gt;=$AL$19,NOT($AO7=""),$AJ7=""),AND($BL7&gt;=$BI$19,NOT($BL7=""),$BG7=""),AND($CL7&gt;=$CI$19,NOT($CL7="")),AND($DH7&gt;=$DE$19,NOT($DH7="")),AND($ED7&gt;=$EA$19,NOT($ED7="")),AND($EZ7&gt;=$EW$19,NOT($EZ7="")),AND($FV7&gt;=$FS$19,NOT($FV7="")),AND($GR7&gt;=$GO$19,NOT($GR7="")),AND($HN7&gt;=$HK$19,NOT($HN7="")),AND($IJ7&gt;=$IG$19,NOT($IJ7="")),AND($JF7&gt;=$JC$19,NOT($JF7="")),AND($KB7&gt;=$JY$19,NOT($KB7="")),AND($KX7&gt;=$KU$19,NOT($KX7="")),AND($LT7&gt;=$LQ$19,NOT($LT7=""))),"P","")</f>
        <v>P</v>
      </c>
      <c r="H7" s="4" t="str">
        <f>IF(OR(AND($AN7&gt;=$AL$20,NOT($AN7=""),$AJ7=""),AND($BK7&gt;=$BI$20,NOT($BK7=""),$BG7=""),AND($CK7&gt;=$CI$20,NOT($CK7="")),AND($DG7&gt;=$DE$20,NOT($DG7="")),AND($EC7&gt;=$EA$20,NOT($EC7="")),AND($EY7&gt;=$EW$20,NOT($EY7="")),AND($FU7&gt;=$FS$20,NOT($FU7="")),AND($GQ7&gt;=$GO$20,NOT($GQ7="")),AND($HM7&gt;=$HK$20,NOT($HM7="")),AND($II7&gt;=$IG$20,NOT($II7="")),AND($JE7&gt;=$JC$20,NOT($JE7="")),AND($KA7&gt;=$JY$20,NOT($KA7="")),AND($KW7&gt;=$KU$20,NOT($KW7="")),AND($LS7&gt;=$LQ$20,NOT($LS7=""))),"P","")</f>
        <v>P</v>
      </c>
      <c r="I7" t="str">
        <f>IF(AND(H7="P",F7=""),"No DD",IF(AND(G7="P",OR(AND($AM7&gt;$AL$23,NOT($AM7=""),$AJ7=""),AND($AP7&gt;$AL$23,NOT($AP7=""),$AJ7=""),AND($BJ7&gt;$BI$23,NOT($BJ7=""),$BG7=""),AND($BM7&gt;$BI$23,NOT($BM7=""),$BG7=""),AND($CJ7&gt;$CI$23,NOT($CJ7="")),AND($CM7&gt;$CI$23,NOT($CM7="")),AND($DF7&gt;$DE$23,NOT($DF7="")),AND($DI7&gt;$DE$23,NOT($DI7="")),AND($EB7&gt;$EA$23,NOT($EB7="")),AND($EE7&gt;$EA$23,NOT($EE7="")),AND($EX7&gt;$EW$23,NOT($EX7="")),AND($FA7&gt;$EW$23,NOT($FA7="")),AND($FT7&gt;$FS$23,NOT($FT7="")),AND($FW7&gt;$FS$23,NOT($FW7="")),AND($GP7&gt;$GO$23,NOT($GP7="")),AND($GS7&gt;$GO$23,NOT($GS7="")),AND($HL7&gt;$HK$23,NOT($HL7="")),AND($HO7&gt;$HK$23,NOT($HO7="")),AND($IH7&gt;$IG$23,NOT($IH7="")),AND($IK7&gt;$IG$23,NOT($IK7="")),AND($JD7&gt;$JC$23,NOT($JD7="")),AND($JG7&gt;$JC$23,NOT($JG7="")),AND($JZ7&gt;$JY$23,NOT($JZ7="")),AND($KC7&gt;$JY$23,NOT($KC7="")),AND($KV7&gt;$KU$23,NOT($KV7="")),AND($KY7&gt;$KU$23,NOT($KY7="")),AND($LR7&gt;$LQ$23,NOT($LR7="")),AND($LU7&gt;$LQ$23,NOT($LU7="")))),"Merit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Excellence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Worlds Team",IF(AND(F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National Team","")))))</f>
        <v>Worlds Team</v>
      </c>
      <c r="J7" s="15">
        <f>IF(MAX(AN7,BK7)&gt;0,MAX(AN7,BK7),"")</f>
        <v>102.77500000000001</v>
      </c>
      <c r="K7" s="15" t="str">
        <f>IF(J7="","",IF(J7=BK7,$AR$1,IF(J7=AN7,$U$1,"")))</f>
        <v>2019 Nationals</v>
      </c>
      <c r="L7" s="15">
        <f>IF($J7=$AN7,BI7,IF($J7=$BK7,AL7,MAX(AL7,BI7)))</f>
        <v>47.472499999999997</v>
      </c>
      <c r="M7" s="15" t="str">
        <f>IF(L7="","",IF(L7=BI7,$AR$1,IF(L7=AL7,$U$1,"")))</f>
        <v>2019 Nationals</v>
      </c>
      <c r="N7" s="15">
        <f>IF($J7=$AN7,BJ7,IF($J7=$BK7,AM7,MAX(AM7,BJ7)))</f>
        <v>55.302500000000002</v>
      </c>
      <c r="O7" s="15" t="str">
        <f>IF(N7="","",IF(AND(N7=BJ7,$K7&lt;&gt;$AR$1),$AR$1,IF(AND(N7=AM7,$K7&lt;&gt;$U$1),$U$1,"")))</f>
        <v>2019 Elite Canada</v>
      </c>
      <c r="P7" s="15">
        <f>IF(MAX(AP7,BM7)&gt;0,MAX(AP7,BM7),"")</f>
        <v>54.117499999999993</v>
      </c>
      <c r="Q7" s="15" t="str">
        <f>IF(P7="","",IF(P7=BM7,$AR$1,IF(P7=AP7,$U$1,"")))</f>
        <v>2019 Nationals</v>
      </c>
      <c r="R7" s="15" t="str">
        <f>IF(MAX(BO7,BP7,BQ7,BR7)&gt;0,MAX(BO7,BP7,BQ7,BR7),"")</f>
        <v/>
      </c>
      <c r="S7" s="27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39">
        <v>18</v>
      </c>
      <c r="V7" s="39">
        <v>9.0749999999999993</v>
      </c>
      <c r="W7" s="39">
        <v>4.75</v>
      </c>
      <c r="X7" s="39">
        <v>15.7475</v>
      </c>
      <c r="Y7" s="39">
        <v>0.1</v>
      </c>
      <c r="Z7" s="39">
        <v>17.100000000000001</v>
      </c>
      <c r="AA7" s="39">
        <v>9.65</v>
      </c>
      <c r="AB7" s="39">
        <v>13.45</v>
      </c>
      <c r="AC7" s="39">
        <v>15.102499999999999</v>
      </c>
      <c r="AD7" s="39">
        <v>0</v>
      </c>
      <c r="AE7" s="39">
        <v>16.799999999999997</v>
      </c>
      <c r="AF7" s="39">
        <v>8.8000000000000007</v>
      </c>
      <c r="AG7" s="39">
        <v>13.45</v>
      </c>
      <c r="AH7" s="39">
        <v>15.067499999999999</v>
      </c>
      <c r="AI7" s="39">
        <v>0</v>
      </c>
      <c r="AJ7" s="82" t="s">
        <v>96</v>
      </c>
      <c r="AK7" s="12">
        <f>IF(AB7&gt;0,AB7,"")</f>
        <v>13.45</v>
      </c>
      <c r="AL7" s="12">
        <f>IF(SUM(U7:X7)-Y7&gt;0,SUM(U7:X7)-Y7,"")</f>
        <v>47.472499999999997</v>
      </c>
      <c r="AM7" s="12">
        <f>IF(SUM(Z7:AC7)-AD7&gt;0,SUM(Z7:AC7)-AD7,"")</f>
        <v>55.302500000000002</v>
      </c>
      <c r="AN7" s="12">
        <f>IF(SUM(AL7:AM7)&gt;0,SUM(AL7:AM7),"")</f>
        <v>102.77500000000001</v>
      </c>
      <c r="AO7" s="12">
        <f>IF(AG7&gt;0,AG7,"")</f>
        <v>13.45</v>
      </c>
      <c r="AP7" s="12">
        <f>IF(SUM(AE7:AH7)-AI7&gt;0,SUM(AE7:AH7)-AI7,"")</f>
        <v>54.117499999999993</v>
      </c>
      <c r="AQ7" s="12">
        <f>IF(SUM(AN7,AP7)&gt;0,SUM(AN7,AP7),"")</f>
        <v>156.89249999999998</v>
      </c>
      <c r="AR7" s="77">
        <v>18</v>
      </c>
      <c r="AS7" s="77">
        <v>9.0749999999999993</v>
      </c>
      <c r="AT7" s="77">
        <v>4.75</v>
      </c>
      <c r="AU7" s="77">
        <v>15.7475</v>
      </c>
      <c r="AV7" s="77">
        <v>0.1</v>
      </c>
      <c r="AW7" s="77">
        <v>17.100000000000001</v>
      </c>
      <c r="AX7" s="77">
        <v>9.65</v>
      </c>
      <c r="AY7" s="77">
        <v>13.45</v>
      </c>
      <c r="AZ7" s="77">
        <v>15.102499999999999</v>
      </c>
      <c r="BA7" s="77">
        <v>0</v>
      </c>
      <c r="BB7" s="77">
        <v>16.799999999999997</v>
      </c>
      <c r="BC7" s="77">
        <v>8.8000000000000007</v>
      </c>
      <c r="BD7" s="77">
        <v>13.45</v>
      </c>
      <c r="BE7" s="77">
        <v>15.067499999999999</v>
      </c>
      <c r="BF7" s="77">
        <v>0</v>
      </c>
      <c r="BG7" s="83" t="s">
        <v>96</v>
      </c>
      <c r="BH7" s="15">
        <f>IF(AY7&gt;0,AY7,"")</f>
        <v>13.45</v>
      </c>
      <c r="BI7" s="15">
        <f>IF(SUM(AR7:AU7)-AV7&gt;0,SUM(AR7:AU7)-AV7,"")</f>
        <v>47.472499999999997</v>
      </c>
      <c r="BJ7" s="15">
        <f>IF(SUM(AW7:AZ7)-BA7&gt;0,SUM(AW7:AZ7)-BA7,"")</f>
        <v>55.302500000000002</v>
      </c>
      <c r="BK7" s="15">
        <f>IF(SUM(BI7:BJ7)&gt;0,SUM(BI7:BJ7),"")</f>
        <v>102.77500000000001</v>
      </c>
      <c r="BL7" s="15">
        <f>IF(BD7&gt;0,BD7,"")</f>
        <v>13.45</v>
      </c>
      <c r="BM7" s="15">
        <f>IF(SUM(BB7:BE7)-BF7&gt;0,SUM(BB7:BE7)-BF7,"")</f>
        <v>54.117499999999993</v>
      </c>
      <c r="BN7" s="15">
        <f>IF(SUM(BK7,BM7)&gt;0,SUM(BK7,BM7),"")</f>
        <v>156.89249999999998</v>
      </c>
      <c r="BO7" s="26" t="str">
        <f>IF(MAX(CI7,DE7,EA7,EW7,FS7,GO7,HK7,IG7,JC7,JY7,KU7,LQ7)-IF(L7="",0,L7)&gt;0.001,MAX(CI7,DE7,EA7,EW7,FS7,GO7,HK7,IG7,JC7,JY7,KU7,LQ7)-IF(L7="",0,L7),"")</f>
        <v/>
      </c>
      <c r="BP7" s="26" t="str">
        <f>IF(MAX(CJ7,DF7,EB7,EX7,FT7,GP7,HL7,IH7,JD7,JZ7,KV7,LR7)-IF(N7="",0,N7)&gt;0.001,MAX(CJ7,DF7,EB7,EX7,FT7,GP7,HL7,IH7,JD7,JZ7,KV7,LR7)-IF(N7="",0,N7),"")</f>
        <v/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>
        <v>16.5</v>
      </c>
      <c r="BT7" s="39">
        <v>9.5</v>
      </c>
      <c r="BU7" s="39">
        <v>5.7</v>
      </c>
      <c r="BV7" s="39">
        <v>15.3</v>
      </c>
      <c r="BW7" s="39">
        <v>0</v>
      </c>
      <c r="BX7" s="39">
        <v>15.2</v>
      </c>
      <c r="BY7" s="39">
        <v>9</v>
      </c>
      <c r="BZ7" s="39">
        <v>13.3</v>
      </c>
      <c r="CA7" s="39">
        <v>14.585000000000001</v>
      </c>
      <c r="CB7" s="39">
        <v>0.2</v>
      </c>
      <c r="CC7" s="39"/>
      <c r="CD7" s="39"/>
      <c r="CE7" s="39"/>
      <c r="CF7" s="39"/>
      <c r="CG7" s="39"/>
      <c r="CH7" s="12">
        <f>IF(BZ7&gt;0,BZ7,"")</f>
        <v>13.3</v>
      </c>
      <c r="CI7" s="12">
        <f>IF(SUM(BS7:BV7)-BW7&gt;0,SUM(BS7:BV7)-BW7,"")</f>
        <v>47</v>
      </c>
      <c r="CJ7" s="12">
        <f>IF(SUM(BX7:CA7)-CB7&gt;0,SUM(BX7:CA7)-CB7,"")</f>
        <v>51.884999999999998</v>
      </c>
      <c r="CK7" s="12">
        <f>IF(SUM(CI7:CJ7)&gt;0,SUM(CI7:CJ7),"")</f>
        <v>98.884999999999991</v>
      </c>
      <c r="CL7" s="12" t="str">
        <f>IF(CE7&gt;0,CE7,"")</f>
        <v/>
      </c>
      <c r="CM7" s="12" t="str">
        <f>IF(SUM(CC7:CF7)-CG7&gt;0,SUM(CC7:CF7)-CG7,"")</f>
        <v/>
      </c>
      <c r="CN7" s="12">
        <f>IF(SUM(CK7,CM7)&gt;0,SUM(CK7,CM7),"")</f>
        <v>98.884999999999991</v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>
        <v>16</v>
      </c>
      <c r="HF7" s="39">
        <v>9.3000000000000007</v>
      </c>
      <c r="HG7" s="39">
        <v>13.3</v>
      </c>
      <c r="HH7" s="39">
        <v>14.335000000000001</v>
      </c>
      <c r="HI7" s="39">
        <v>0</v>
      </c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>
        <f>IF(HG7&gt;0,HG7,"")</f>
        <v>13.3</v>
      </c>
      <c r="HO7" s="12">
        <f>IF(SUM(HE7:HH7)-HI7&gt;0,SUM(HE7:HH7)-HI7,"")</f>
        <v>52.935000000000002</v>
      </c>
      <c r="HP7" s="12">
        <f>IF(SUM(HM7,HO7)&gt;0,SUM(HM7,HO7),"")</f>
        <v>52.935000000000002</v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>
        <v>16.5</v>
      </c>
      <c r="IN7" s="39">
        <v>9.6</v>
      </c>
      <c r="IO7" s="39">
        <v>4.4000000000000004</v>
      </c>
      <c r="IP7" s="39">
        <v>15.4</v>
      </c>
      <c r="IQ7" s="39">
        <v>0</v>
      </c>
      <c r="IR7" s="39">
        <v>15.4</v>
      </c>
      <c r="IS7" s="39">
        <v>9</v>
      </c>
      <c r="IT7" s="39">
        <v>13.3</v>
      </c>
      <c r="IU7" s="39">
        <v>14.414999999999999</v>
      </c>
      <c r="IV7" s="39">
        <v>0</v>
      </c>
      <c r="IW7" s="39"/>
      <c r="IX7" s="39"/>
      <c r="IY7" s="39"/>
      <c r="IZ7" s="39"/>
      <c r="JA7" s="39"/>
      <c r="JB7" s="12">
        <f>IF(IT7&gt;0,IT7,"")</f>
        <v>13.3</v>
      </c>
      <c r="JC7" s="12">
        <f>IF(SUM(IM7:IP7)-IQ7&gt;0,SUM(IM7:IP7)-IQ7,"")</f>
        <v>45.9</v>
      </c>
      <c r="JD7" s="12">
        <f>IF(SUM(IR7:IU7)-IV7&gt;0,SUM(IR7:IU7)-IV7,"")</f>
        <v>52.115000000000002</v>
      </c>
      <c r="JE7" s="12">
        <f>IF(SUM(JC7:JD7)&gt;0,SUM(JC7:JD7),"")</f>
        <v>98.015000000000001</v>
      </c>
      <c r="JF7" s="12" t="str">
        <f>IF(IY7&gt;0,IY7,"")</f>
        <v/>
      </c>
      <c r="JG7" s="12" t="str">
        <f>IF(SUM(IW7:IZ7)-JA7&gt;0,SUM(IW7:IZ7)-JA7,"")</f>
        <v/>
      </c>
      <c r="JH7" s="12">
        <f>IF(SUM(JE7,JG7)&gt;0,SUM(JE7,JG7),"")</f>
        <v>98.015000000000001</v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0"/>
        <v>18</v>
      </c>
      <c r="LX7" s="71">
        <f t="shared" si="1"/>
        <v>9.0749999999999993</v>
      </c>
      <c r="LY7" s="71">
        <f t="shared" si="2"/>
        <v>4.75</v>
      </c>
      <c r="LZ7" s="71">
        <f t="shared" si="3"/>
        <v>15.7475</v>
      </c>
      <c r="MA7" s="71">
        <f t="shared" si="4"/>
        <v>0.1</v>
      </c>
      <c r="MB7" s="71">
        <f t="shared" si="5"/>
        <v>17.100000000000001</v>
      </c>
      <c r="MC7" s="71">
        <f t="shared" si="6"/>
        <v>9.65</v>
      </c>
      <c r="MD7" s="71">
        <f t="shared" si="7"/>
        <v>13.45</v>
      </c>
      <c r="ME7" s="71">
        <f t="shared" si="8"/>
        <v>15.102499999999999</v>
      </c>
      <c r="MF7" s="71">
        <f t="shared" si="9"/>
        <v>0</v>
      </c>
      <c r="MG7" s="71">
        <f t="shared" si="10"/>
        <v>16.799999999999997</v>
      </c>
      <c r="MH7" s="71">
        <f t="shared" si="11"/>
        <v>8.8000000000000007</v>
      </c>
      <c r="MI7" s="71">
        <f t="shared" si="12"/>
        <v>13.45</v>
      </c>
      <c r="MJ7" s="71">
        <f t="shared" si="13"/>
        <v>15.067499999999999</v>
      </c>
      <c r="MK7" s="71">
        <f t="shared" si="14"/>
        <v>0</v>
      </c>
      <c r="ML7" s="82" t="s">
        <v>96</v>
      </c>
      <c r="MM7" s="12">
        <f t="shared" si="21"/>
        <v>13.45</v>
      </c>
      <c r="MN7" s="12">
        <f t="shared" si="22"/>
        <v>47.472499999999997</v>
      </c>
      <c r="MO7" s="12">
        <f t="shared" si="23"/>
        <v>55.302500000000002</v>
      </c>
      <c r="MP7" s="12">
        <f t="shared" si="24"/>
        <v>102.77500000000001</v>
      </c>
      <c r="MQ7" s="12">
        <f t="shared" si="25"/>
        <v>13.45</v>
      </c>
      <c r="MR7" s="12">
        <f t="shared" si="26"/>
        <v>54.117499999999993</v>
      </c>
      <c r="MS7" s="12">
        <f t="shared" si="27"/>
        <v>156.89249999999998</v>
      </c>
    </row>
    <row r="8" spans="1:357" x14ac:dyDescent="0.2">
      <c r="A8" s="6">
        <f>IF(AND(F8="P",H8="P"),SUMPRODUCT((F$4:F$16="P")*(H$4:H$16="P")*(E$4:E$16&gt;E8))+1,IF(H8="P",SUMPRODUCT((F$4:F$16="")*(H$4:H$16="P")*(E$4:E$16&gt;E8))+1+SUMPRODUCT((F$4:F$16="P")*(H$4:H$16="P")),""))</f>
        <v>5</v>
      </c>
      <c r="B8" s="9" t="s">
        <v>37</v>
      </c>
      <c r="C8" s="5" t="s">
        <v>3</v>
      </c>
      <c r="D8" s="29">
        <v>1998</v>
      </c>
      <c r="E8" s="16">
        <f>SUM(J8:R8)</f>
        <v>256.88499999999999</v>
      </c>
      <c r="F8" s="4" t="str">
        <f>IF(OR(AND($AK8&gt;=$AL$18,NOT($AK8=""),$AJ8=""),AND($BH8&gt;=$BI$18,NOT($BH8=""),$BG8=""),AND($CH8&gt;=$CI$18,NOT($CH8="")),AND($DD8&gt;=$DE$18,NOT($DD8="")),AND($DZ8&gt;=$EA$18,NOT($DZ8="")),AND($EV8&gt;=$EW$18,NOT($EV8="")),AND($FR8&gt;=$FS$18,NOT($FR8="")),AND($GN8&gt;=$GO$18,NOT($GN8="")),AND($HJ8&gt;=$HK$18,NOT($HJ8="")),AND($IF8&gt;=$IG$18,NOT($IF8="")),AND($JB8&gt;=$JC$18,NOT($JB8="")),AND($JX8&gt;=$JY$18,NOT($JX8="")),AND($KT8&gt;=$KU$18,NOT($KT8="")),AND($LP8&gt;=$LQ$18,NOT($LP8="")),AND($AO8&gt;=$AL$18,NOT($AO8=""),$AJ8=""),AND($BL8&gt;=$BI$18,NOT($BL8=""),$BG8=""),AND($CL8&gt;=$CI$18,NOT($CL8="")),AND($DH8&gt;=$DE$18,NOT($DH8="")),AND($ED8&gt;=$EA$18,NOT($ED8="")),AND($EZ8&gt;=$EW$18,NOT($EZ8="")),AND($FV8&gt;=$FS$18,NOT($FV8="")),AND($GR8&gt;=$GO$18,NOT($GR8="")),AND($HN8&gt;=$HK$18,NOT($HN8="")),AND($IJ8&gt;=$IG$18,NOT($IJ8="")),AND($JF8&gt;=$JC$18,NOT($JF8="")),AND($KB8&gt;=$JY$18,NOT($KB8="")),AND($KX8&gt;=$KU$18,NOT($KX8="")),AND($LT8&gt;=$LQ$18,NOT($LT8=""))),"P","")</f>
        <v>P</v>
      </c>
      <c r="G8" s="4" t="str">
        <f>IF(OR(AND($AK8&gt;=$AL$19,NOT($AK8=""),$AJ8=""),AND($BH8&gt;=$BI$19,NOT($BH8=""),$BG8=""),AND($CH8&gt;=$CI$19,NOT($CH8="")),AND($DD8&gt;=$DE$19,NOT($DD8="")),AND($DZ8&gt;=$EA$19,NOT($DZ8="")),AND($EV8&gt;=$EW$19,NOT($EV8="")),AND($FR8&gt;=$FS$19,NOT($FR8="")),AND($GN8&gt;=$GO$19,NOT($GN8="")),AND($HJ8&gt;=$HK$19,NOT($HJ8="")),AND($IF8&gt;=$IG$19,NOT($IF8="")),AND($JB8&gt;=$JC$19,NOT($JB8="")),AND($JX8&gt;=$JY$19,NOT($JX8="")),AND($KT8&gt;=$KU$19,NOT($KT8="")),AND($LP8&gt;=$LQ$19,NOT($LP8="")),AND($AO8&gt;=$AL$19,NOT($AO8=""),$AJ8=""),AND($BL8&gt;=$BI$19,NOT($BL8=""),$BG8=""),AND($CL8&gt;=$CI$19,NOT($CL8="")),AND($DH8&gt;=$DE$19,NOT($DH8="")),AND($ED8&gt;=$EA$19,NOT($ED8="")),AND($EZ8&gt;=$EW$19,NOT($EZ8="")),AND($FV8&gt;=$FS$19,NOT($FV8="")),AND($GR8&gt;=$GO$19,NOT($GR8="")),AND($HN8&gt;=$HK$19,NOT($HN8="")),AND($IJ8&gt;=$IG$19,NOT($IJ8="")),AND($JF8&gt;=$JC$19,NOT($JF8="")),AND($KB8&gt;=$JY$19,NOT($KB8="")),AND($KX8&gt;=$KU$19,NOT($KX8="")),AND($LT8&gt;=$LQ$19,NOT($LT8=""))),"P","")</f>
        <v>P</v>
      </c>
      <c r="H8" s="4" t="str">
        <f>IF(OR(AND($AN8&gt;=$AL$20,NOT($AN8=""),$AJ8=""),AND($BK8&gt;=$BI$20,NOT($BK8=""),$BG8=""),AND($CK8&gt;=$CI$20,NOT($CK8="")),AND($DG8&gt;=$DE$20,NOT($DG8="")),AND($EC8&gt;=$EA$20,NOT($EC8="")),AND($EY8&gt;=$EW$20,NOT($EY8="")),AND($FU8&gt;=$FS$20,NOT($FU8="")),AND($GQ8&gt;=$GO$20,NOT($GQ8="")),AND($HM8&gt;=$HK$20,NOT($HM8="")),AND($II8&gt;=$IG$20,NOT($II8="")),AND($JE8&gt;=$JC$20,NOT($JE8="")),AND($KA8&gt;=$JY$20,NOT($KA8="")),AND($KW8&gt;=$KU$20,NOT($KW8="")),AND($LS8&gt;=$LQ$20,NOT($LS8=""))),"P","")</f>
        <v>P</v>
      </c>
      <c r="I8" t="str">
        <f>IF(AND(H8="P",F8=""),"No DD",IF(AND(G8="P",OR(AND($AM8&gt;$AL$23,NOT($AM8=""),$AJ8=""),AND($AP8&gt;$AL$23,NOT($AP8=""),$AJ8=""),AND($BJ8&gt;$BI$23,NOT($BJ8=""),$BG8=""),AND($BM8&gt;$BI$23,NOT($BM8=""),$BG8=""),AND($CJ8&gt;$CI$23,NOT($CJ8="")),AND($CM8&gt;$CI$23,NOT($CM8="")),AND($DF8&gt;$DE$23,NOT($DF8="")),AND($DI8&gt;$DE$23,NOT($DI8="")),AND($EB8&gt;$EA$23,NOT($EB8="")),AND($EE8&gt;$EA$23,NOT($EE8="")),AND($EX8&gt;$EW$23,NOT($EX8="")),AND($FA8&gt;$EW$23,NOT($FA8="")),AND($FT8&gt;$FS$23,NOT($FT8="")),AND($FW8&gt;$FS$23,NOT($FW8="")),AND($GP8&gt;$GO$23,NOT($GP8="")),AND($GS8&gt;$GO$23,NOT($GS8="")),AND($HL8&gt;$HK$23,NOT($HL8="")),AND($HO8&gt;$HK$23,NOT($HO8="")),AND($IH8&gt;$IG$23,NOT($IH8="")),AND($IK8&gt;$IG$23,NOT($IK8="")),AND($JD8&gt;$JC$23,NOT($JD8="")),AND($JG8&gt;$JC$23,NOT($JG8="")),AND($JZ8&gt;$JY$23,NOT($JZ8="")),AND($KC8&gt;$JY$23,NOT($KC8="")),AND($KV8&gt;$KU$23,NOT($KV8="")),AND($KY8&gt;$KU$23,NOT($KY8="")),AND($LR8&gt;$LQ$23,NOT($LR8="")),AND($LU8&gt;$LQ$23,NOT($LU8="")))),"Merit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Excellence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Worlds Team",IF(AND(F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National Team","")))))</f>
        <v>Excellence</v>
      </c>
      <c r="J8" s="15">
        <f>IF(MAX(AN8,BK8)&gt;0,MAX(AN8,BK8),"")</f>
        <v>102.06</v>
      </c>
      <c r="K8" s="15" t="str">
        <f>IF(J8="","",IF(J8=BK8,$AR$1,IF(J8=AN8,$U$1,"")))</f>
        <v>2019 Elite Canada</v>
      </c>
      <c r="L8" s="15">
        <f>IF($J8=$AN8,BI8,IF($J8=$BK8,AL8,MAX(AL8,BI8)))</f>
        <v>47.32</v>
      </c>
      <c r="M8" s="15" t="str">
        <f>IF(L8="","",IF(L8=BI8,$AR$1,IF(L8=AL8,$U$1,"")))</f>
        <v>2019 Nationals</v>
      </c>
      <c r="N8" s="15">
        <f>IF($J8=$AN8,BJ8,IF($J8=$BK8,AM8,MAX(AM8,BJ8)))</f>
        <v>52.97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53.52</v>
      </c>
      <c r="Q8" s="15" t="str">
        <f>IF(P8="","",IF(P8=BM8,$AR$1,IF(P8=AP8,$U$1,"")))</f>
        <v>2019 Elite Canada</v>
      </c>
      <c r="R8" s="15">
        <f>IF(MAX(BO8,BP8,BQ8,BR8)&gt;0,MAX(BO8,BP8,BQ8,BR8),"")</f>
        <v>1.0150000000000006</v>
      </c>
      <c r="S8" s="27" t="str">
        <f>IF(R8="","",IF(R8=BO8,"(Vol 1)",IF(R8=BP8,"(Vol 2)",IF(R8=BQ8,"(Prelim)",IF(R8=BR8,"(Final)")))))</f>
        <v>(Vol 1)</v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>2019 World Cup BLR (Apr 20)</v>
      </c>
      <c r="U8" s="39">
        <v>16.8</v>
      </c>
      <c r="V8" s="39">
        <v>9.1</v>
      </c>
      <c r="W8" s="39">
        <v>6.2</v>
      </c>
      <c r="X8" s="39">
        <v>15.445</v>
      </c>
      <c r="Y8" s="39">
        <v>0</v>
      </c>
      <c r="Z8" s="39">
        <v>16.100000000000001</v>
      </c>
      <c r="AA8" s="39">
        <v>9.4499999999999993</v>
      </c>
      <c r="AB8" s="39">
        <v>13.8</v>
      </c>
      <c r="AC8" s="39">
        <v>15.164999999999999</v>
      </c>
      <c r="AD8" s="39">
        <v>0</v>
      </c>
      <c r="AE8" s="39">
        <v>16.100000000000001</v>
      </c>
      <c r="AF8" s="39">
        <v>8.6999999999999993</v>
      </c>
      <c r="AG8" s="39">
        <v>13.8</v>
      </c>
      <c r="AH8" s="39">
        <v>14.92</v>
      </c>
      <c r="AI8" s="39">
        <v>0</v>
      </c>
      <c r="AJ8" s="82"/>
      <c r="AK8" s="12">
        <f>IF(AB8&gt;0,AB8,"")</f>
        <v>13.8</v>
      </c>
      <c r="AL8" s="12">
        <f>IF(SUM(U8:X8)-Y8&gt;0,SUM(U8:X8)-Y8,"")</f>
        <v>47.545000000000002</v>
      </c>
      <c r="AM8" s="12">
        <f>IF(SUM(Z8:AC8)-AD8&gt;0,SUM(Z8:AC8)-AD8,"")</f>
        <v>54.515000000000001</v>
      </c>
      <c r="AN8" s="12">
        <f>IF(SUM(AL8:AM8)&gt;0,SUM(AL8:AM8),"")</f>
        <v>102.06</v>
      </c>
      <c r="AO8" s="12">
        <f>IF(AG8&gt;0,AG8,"")</f>
        <v>13.8</v>
      </c>
      <c r="AP8" s="12">
        <f>IF(SUM(AE8:AH8)-AI8&gt;0,SUM(AE8:AH8)-AI8,"")</f>
        <v>53.52</v>
      </c>
      <c r="AQ8" s="12">
        <f>IF(SUM(AN8,AP8)&gt;0,SUM(AN8,AP8),"")</f>
        <v>155.58000000000001</v>
      </c>
      <c r="AR8" s="77">
        <v>18.100000000000001</v>
      </c>
      <c r="AS8" s="77">
        <v>9.3000000000000007</v>
      </c>
      <c r="AT8" s="77">
        <v>4.2</v>
      </c>
      <c r="AU8" s="77">
        <v>15.72</v>
      </c>
      <c r="AV8" s="77">
        <v>0</v>
      </c>
      <c r="AW8" s="77">
        <v>16.399999999999999</v>
      </c>
      <c r="AX8" s="77">
        <v>9</v>
      </c>
      <c r="AY8" s="77">
        <v>13.1</v>
      </c>
      <c r="AZ8" s="77">
        <v>14.67</v>
      </c>
      <c r="BA8" s="77">
        <v>0.2</v>
      </c>
      <c r="BB8" s="77">
        <v>15</v>
      </c>
      <c r="BC8" s="77">
        <v>8.9</v>
      </c>
      <c r="BD8" s="77">
        <v>14.805</v>
      </c>
      <c r="BE8" s="77">
        <v>13.8</v>
      </c>
      <c r="BF8" s="77"/>
      <c r="BG8" s="83"/>
      <c r="BH8" s="15">
        <f>IF(AY8&gt;0,AY8,"")</f>
        <v>13.1</v>
      </c>
      <c r="BI8" s="15">
        <f>IF(SUM(AR8:AU8)-AV8&gt;0,SUM(AR8:AU8)-AV8,"")</f>
        <v>47.32</v>
      </c>
      <c r="BJ8" s="15">
        <f>IF(SUM(AW8:AZ8)-BA8&gt;0,SUM(AW8:AZ8)-BA8,"")</f>
        <v>52.97</v>
      </c>
      <c r="BK8" s="15">
        <f>IF(SUM(BI8:BJ8)&gt;0,SUM(BI8:BJ8),"")</f>
        <v>100.28999999999999</v>
      </c>
      <c r="BL8" s="15">
        <f>IF(BD8&gt;0,BD8,"")</f>
        <v>14.805</v>
      </c>
      <c r="BM8" s="15">
        <f>IF(SUM(BB8:BE8)-BF8&gt;0,SUM(BB8:BE8)-BF8,"")</f>
        <v>52.504999999999995</v>
      </c>
      <c r="BN8" s="15">
        <f>IF(SUM(BK8,BM8)&gt;0,SUM(BK8,BM8),"")</f>
        <v>152.79499999999999</v>
      </c>
      <c r="BO8" s="26">
        <f>IF(MAX(CI8,DE8,EA8,EW8,FS8,GO8,HK8,IG8,JC8,JY8,KU8,LQ8)-IF(L8="",0,L8)&gt;0.001,MAX(CI8,DE8,EA8,EW8,FS8,GO8,HK8,IG8,JC8,JY8,KU8,LQ8)-IF(L8="",0,L8),"")</f>
        <v>1.0150000000000006</v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>
        <v>17.399999999999999</v>
      </c>
      <c r="CP8" s="40">
        <v>9.3000000000000007</v>
      </c>
      <c r="CQ8" s="40">
        <v>6.2</v>
      </c>
      <c r="CR8" s="40">
        <v>15.435</v>
      </c>
      <c r="CS8" s="40">
        <v>0</v>
      </c>
      <c r="CT8" s="40">
        <v>2.8</v>
      </c>
      <c r="CU8" s="40">
        <v>1.8</v>
      </c>
      <c r="CV8" s="40">
        <v>3.4</v>
      </c>
      <c r="CW8" s="40">
        <v>3.13</v>
      </c>
      <c r="CX8" s="40">
        <v>0</v>
      </c>
      <c r="CY8" s="40"/>
      <c r="CZ8" s="40"/>
      <c r="DA8" s="40"/>
      <c r="DB8" s="40"/>
      <c r="DC8" s="40"/>
      <c r="DD8" s="15">
        <f>IF(CV8&gt;0,CV8,"")</f>
        <v>3.4</v>
      </c>
      <c r="DE8" s="15">
        <f>IF(SUM(CO8:CR8)-CS8&gt;0,SUM(CO8:CR8)-CS8,"")</f>
        <v>48.335000000000001</v>
      </c>
      <c r="DF8" s="15">
        <f>IF(SUM(CT8:CW8)-CX8&gt;0,SUM(CT8:CW8)-CX8,"")</f>
        <v>11.129999999999999</v>
      </c>
      <c r="DG8" s="15">
        <f>IF(SUM(DE8:DF8)&gt;0,SUM(DE8:DF8),"")</f>
        <v>59.465000000000003</v>
      </c>
      <c r="DH8" s="15" t="str">
        <f>IF(DA8&gt;0,DA8,"")</f>
        <v/>
      </c>
      <c r="DI8" s="15" t="str">
        <f>IF(SUM(CY8:DB8)-DC8&gt;0,SUM(CY8:DB8)-DC8,"")</f>
        <v/>
      </c>
      <c r="DJ8" s="15">
        <f>IF(SUM(DG8,DI8)&gt;0,SUM(DG8,DI8),"")</f>
        <v>59.465000000000003</v>
      </c>
      <c r="DK8" s="39">
        <v>17.5</v>
      </c>
      <c r="DL8" s="39">
        <v>9.1999999999999993</v>
      </c>
      <c r="DM8" s="39">
        <v>4.7</v>
      </c>
      <c r="DN8" s="39">
        <v>15.38</v>
      </c>
      <c r="DO8" s="39">
        <v>0</v>
      </c>
      <c r="DP8" s="39">
        <v>1.4</v>
      </c>
      <c r="DQ8" s="39">
        <v>0.1</v>
      </c>
      <c r="DR8" s="39">
        <v>2</v>
      </c>
      <c r="DS8" s="39">
        <v>1.64</v>
      </c>
      <c r="DT8" s="39">
        <v>0</v>
      </c>
      <c r="DU8" s="39"/>
      <c r="DV8" s="39"/>
      <c r="DW8" s="39"/>
      <c r="DX8" s="39"/>
      <c r="DY8" s="39"/>
      <c r="DZ8" s="12">
        <f>IF(DR8&gt;0,DR8,"")</f>
        <v>2</v>
      </c>
      <c r="EA8" s="12">
        <f>IF(SUM(DK8:DN8)-DO8&gt;0,SUM(DK8:DN8)-DO8,"")</f>
        <v>46.78</v>
      </c>
      <c r="EB8" s="12">
        <f>IF(SUM(DP8:DS8)-DT8&gt;0,SUM(DP8:DS8)-DT8,"")</f>
        <v>5.14</v>
      </c>
      <c r="EC8" s="12">
        <f>IF(SUM(EA8:EB8)&gt;0,SUM(EA8:EB8),"")</f>
        <v>51.92</v>
      </c>
      <c r="ED8" s="12" t="str">
        <f>IF(DW8&gt;0,DW8,"")</f>
        <v/>
      </c>
      <c r="EE8" s="12" t="str">
        <f>IF(SUM(DU8:DX8)-DY8&gt;0,SUM(DU8:DX8)-DY8,"")</f>
        <v/>
      </c>
      <c r="EF8" s="12">
        <f>IF(SUM(EC8,EE8)&gt;0,SUM(EC8,EE8),"")</f>
        <v>51.92</v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>
        <v>16.399999999999999</v>
      </c>
      <c r="FZ8" s="40">
        <v>9.6</v>
      </c>
      <c r="GA8" s="40">
        <v>5.0999999999999996</v>
      </c>
      <c r="GB8" s="40">
        <v>15.83</v>
      </c>
      <c r="GC8" s="40">
        <v>0</v>
      </c>
      <c r="GD8" s="40">
        <v>14.9</v>
      </c>
      <c r="GE8" s="40">
        <v>9.1</v>
      </c>
      <c r="GF8" s="40">
        <v>13.8</v>
      </c>
      <c r="GG8" s="40">
        <v>14.41</v>
      </c>
      <c r="GH8" s="40">
        <v>0</v>
      </c>
      <c r="GI8" s="40"/>
      <c r="GJ8" s="40"/>
      <c r="GK8" s="40"/>
      <c r="GL8" s="40"/>
      <c r="GM8" s="40"/>
      <c r="GN8" s="15">
        <f>IF(GF8&gt;0,GF8,"")</f>
        <v>13.8</v>
      </c>
      <c r="GO8" s="15">
        <f>IF(SUM(FY8:GB8)-GC8&gt;0,SUM(FY8:GB8)-GC8,"")</f>
        <v>46.93</v>
      </c>
      <c r="GP8" s="15">
        <f>IF(SUM(GD8:GG8)-GH8&gt;0,SUM(GD8:GG8)-GH8,"")</f>
        <v>52.209999999999994</v>
      </c>
      <c r="GQ8" s="15">
        <f>IF(SUM(GO8:GP8)&gt;0,SUM(GO8:GP8),"")</f>
        <v>99.139999999999986</v>
      </c>
      <c r="GR8" s="15" t="str">
        <f>IF(GK8&gt;0,GK8,"")</f>
        <v/>
      </c>
      <c r="GS8" s="15" t="str">
        <f>IF(SUM(GI8:GL8)-GM8&gt;0,SUM(GI8:GL8)-GM8,"")</f>
        <v/>
      </c>
      <c r="GT8" s="15">
        <f>IF(SUM(GQ8,GS8)&gt;0,SUM(GQ8,GS8),"")</f>
        <v>99.139999999999986</v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>
        <v>17.399999999999999</v>
      </c>
      <c r="KF8" s="39">
        <v>9.1999999999999993</v>
      </c>
      <c r="KG8" s="39">
        <v>2.7</v>
      </c>
      <c r="KH8" s="39">
        <v>15.355</v>
      </c>
      <c r="KI8" s="39">
        <v>0</v>
      </c>
      <c r="KJ8" s="39">
        <v>15.6</v>
      </c>
      <c r="KK8" s="39">
        <v>9.3000000000000007</v>
      </c>
      <c r="KL8" s="39">
        <v>13.6</v>
      </c>
      <c r="KM8" s="39">
        <v>14.365</v>
      </c>
      <c r="KN8" s="39">
        <v>0</v>
      </c>
      <c r="KO8" s="39">
        <v>9.4</v>
      </c>
      <c r="KP8" s="39">
        <v>5.8</v>
      </c>
      <c r="KQ8" s="39">
        <v>8.4</v>
      </c>
      <c r="KR8" s="39">
        <v>8.94</v>
      </c>
      <c r="KS8" s="39">
        <v>0</v>
      </c>
      <c r="KT8" s="12">
        <f>IF(KL8&gt;0,KL8,"")</f>
        <v>13.6</v>
      </c>
      <c r="KU8" s="12">
        <f>IF(SUM(KE8:KH8)-KI8&gt;0,SUM(KE8:KH8)-KI8,"")</f>
        <v>44.655000000000001</v>
      </c>
      <c r="KV8" s="12">
        <f>IF(SUM(KJ8:KM8)-KN8&gt;0,SUM(KJ8:KM8)-KN8,"")</f>
        <v>52.865000000000002</v>
      </c>
      <c r="KW8" s="12">
        <f>IF(SUM(KU8:KV8)&gt;0,SUM(KU8:KV8),"")</f>
        <v>97.52000000000001</v>
      </c>
      <c r="KX8" s="12">
        <f>IF(KQ8&gt;0,KQ8,"")</f>
        <v>8.4</v>
      </c>
      <c r="KY8" s="12">
        <f>IF(SUM(KO8:KR8)-KS8&gt;0,SUM(KO8:KR8)-KS8,"")</f>
        <v>32.54</v>
      </c>
      <c r="KZ8" s="12">
        <f>IF(SUM(KW8,KY8)&gt;0,SUM(KW8,KY8),"")</f>
        <v>130.06</v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0"/>
        <v>17.450000000000003</v>
      </c>
      <c r="LX8" s="71">
        <f t="shared" si="1"/>
        <v>9.1999999999999993</v>
      </c>
      <c r="LY8" s="71">
        <f t="shared" si="2"/>
        <v>5.2</v>
      </c>
      <c r="LZ8" s="71">
        <f t="shared" si="3"/>
        <v>15.5825</v>
      </c>
      <c r="MA8" s="71">
        <f t="shared" si="4"/>
        <v>0</v>
      </c>
      <c r="MB8" s="71">
        <f t="shared" si="5"/>
        <v>16.25</v>
      </c>
      <c r="MC8" s="71">
        <f t="shared" si="6"/>
        <v>9.2249999999999996</v>
      </c>
      <c r="MD8" s="71">
        <f t="shared" si="7"/>
        <v>13.45</v>
      </c>
      <c r="ME8" s="71">
        <f t="shared" si="8"/>
        <v>14.9175</v>
      </c>
      <c r="MF8" s="71">
        <f t="shared" si="9"/>
        <v>0.1</v>
      </c>
      <c r="MG8" s="71">
        <f t="shared" si="10"/>
        <v>15.55</v>
      </c>
      <c r="MH8" s="71">
        <f t="shared" si="11"/>
        <v>8.8000000000000007</v>
      </c>
      <c r="MI8" s="71">
        <f t="shared" si="12"/>
        <v>14.3025</v>
      </c>
      <c r="MJ8" s="71">
        <f t="shared" si="13"/>
        <v>14.36</v>
      </c>
      <c r="MK8" s="71">
        <f t="shared" si="14"/>
        <v>0</v>
      </c>
      <c r="ML8" s="82" t="s">
        <v>96</v>
      </c>
      <c r="MM8" s="12">
        <f t="shared" si="21"/>
        <v>13.45</v>
      </c>
      <c r="MN8" s="12">
        <f t="shared" si="22"/>
        <v>47.432500000000005</v>
      </c>
      <c r="MO8" s="12">
        <f t="shared" si="23"/>
        <v>53.7425</v>
      </c>
      <c r="MP8" s="12">
        <f t="shared" si="24"/>
        <v>101.17500000000001</v>
      </c>
      <c r="MQ8" s="12">
        <f t="shared" si="25"/>
        <v>14.3025</v>
      </c>
      <c r="MR8" s="12">
        <f t="shared" si="26"/>
        <v>53.012500000000003</v>
      </c>
      <c r="MS8" s="12">
        <f t="shared" si="27"/>
        <v>154.1875</v>
      </c>
    </row>
    <row r="9" spans="1:357" x14ac:dyDescent="0.2">
      <c r="A9" s="6">
        <f>IF(AND(F9="P",H9="P"),SUMPRODUCT((F$4:F$16="P")*(H$4:H$16="P")*(E$4:E$16&gt;E9))+1,IF(H9="P",SUMPRODUCT((F$4:F$16="")*(H$4:H$16="P")*(E$4:E$16&gt;E9))+1+SUMPRODUCT((F$4:F$16="P")*(H$4:H$16="P")),""))</f>
        <v>6</v>
      </c>
      <c r="B9" s="9" t="s">
        <v>83</v>
      </c>
      <c r="C9" s="5" t="s">
        <v>3</v>
      </c>
      <c r="D9" s="29">
        <v>1998</v>
      </c>
      <c r="E9" s="16">
        <f>SUM(J9:R9)</f>
        <v>247.81499999999997</v>
      </c>
      <c r="F9" s="4" t="str">
        <f>IF(OR(AND($AK9&gt;=$AL$18,NOT($AK9=""),$AJ9=""),AND($BH9&gt;=$BI$18,NOT($BH9=""),$BG9=""),AND($CH9&gt;=$CI$18,NOT($CH9="")),AND($DD9&gt;=$DE$18,NOT($DD9="")),AND($DZ9&gt;=$EA$18,NOT($DZ9="")),AND($EV9&gt;=$EW$18,NOT($EV9="")),AND($FR9&gt;=$FS$18,NOT($FR9="")),AND($GN9&gt;=$GO$18,NOT($GN9="")),AND($HJ9&gt;=$HK$18,NOT($HJ9="")),AND($IF9&gt;=$IG$18,NOT($IF9="")),AND($JB9&gt;=$JC$18,NOT($JB9="")),AND($JX9&gt;=$JY$18,NOT($JX9="")),AND($KT9&gt;=$KU$18,NOT($KT9="")),AND($LP9&gt;=$LQ$18,NOT($LP9="")),AND($AO9&gt;=$AL$18,NOT($AO9=""),$AJ9=""),AND($BL9&gt;=$BI$18,NOT($BL9=""),$BG9=""),AND($CL9&gt;=$CI$18,NOT($CL9="")),AND($DH9&gt;=$DE$18,NOT($DH9="")),AND($ED9&gt;=$EA$18,NOT($ED9="")),AND($EZ9&gt;=$EW$18,NOT($EZ9="")),AND($FV9&gt;=$FS$18,NOT($FV9="")),AND($GR9&gt;=$GO$18,NOT($GR9="")),AND($HN9&gt;=$HK$18,NOT($HN9="")),AND($IJ9&gt;=$IG$18,NOT($IJ9="")),AND($JF9&gt;=$JC$18,NOT($JF9="")),AND($KB9&gt;=$JY$18,NOT($KB9="")),AND($KX9&gt;=$KU$18,NOT($KX9="")),AND($LT9&gt;=$LQ$18,NOT($LT9=""))),"P","")</f>
        <v>P</v>
      </c>
      <c r="G9" s="4" t="str">
        <f>IF(OR(AND($AK9&gt;=$AL$19,NOT($AK9=""),$AJ9=""),AND($BH9&gt;=$BI$19,NOT($BH9=""),$BG9=""),AND($CH9&gt;=$CI$19,NOT($CH9="")),AND($DD9&gt;=$DE$19,NOT($DD9="")),AND($DZ9&gt;=$EA$19,NOT($DZ9="")),AND($EV9&gt;=$EW$19,NOT($EV9="")),AND($FR9&gt;=$FS$19,NOT($FR9="")),AND($GN9&gt;=$GO$19,NOT($GN9="")),AND($HJ9&gt;=$HK$19,NOT($HJ9="")),AND($IF9&gt;=$IG$19,NOT($IF9="")),AND($JB9&gt;=$JC$19,NOT($JB9="")),AND($JX9&gt;=$JY$19,NOT($JX9="")),AND($KT9&gt;=$KU$19,NOT($KT9="")),AND($LP9&gt;=$LQ$19,NOT($LP9="")),AND($AO9&gt;=$AL$19,NOT($AO9=""),$AJ9=""),AND($BL9&gt;=$BI$19,NOT($BL9=""),$BG9=""),AND($CL9&gt;=$CI$19,NOT($CL9="")),AND($DH9&gt;=$DE$19,NOT($DH9="")),AND($ED9&gt;=$EA$19,NOT($ED9="")),AND($EZ9&gt;=$EW$19,NOT($EZ9="")),AND($FV9&gt;=$FS$19,NOT($FV9="")),AND($GR9&gt;=$GO$19,NOT($GR9="")),AND($HN9&gt;=$HK$19,NOT($HN9="")),AND($IJ9&gt;=$IG$19,NOT($IJ9="")),AND($JF9&gt;=$JC$19,NOT($JF9="")),AND($KB9&gt;=$JY$19,NOT($KB9="")),AND($KX9&gt;=$KU$19,NOT($KX9="")),AND($LT9&gt;=$LQ$19,NOT($LT9=""))),"P","")</f>
        <v>P</v>
      </c>
      <c r="H9" s="4" t="str">
        <f>IF(OR(AND($AN9&gt;=$AL$20,NOT($AN9=""),$AJ9=""),AND($BK9&gt;=$BI$20,NOT($BK9=""),$BG9=""),AND($CK9&gt;=$CI$20,NOT($CK9="")),AND($DG9&gt;=$DE$20,NOT($DG9="")),AND($EC9&gt;=$EA$20,NOT($EC9="")),AND($EY9&gt;=$EW$20,NOT($EY9="")),AND($FU9&gt;=$FS$20,NOT($FU9="")),AND($GQ9&gt;=$GO$20,NOT($GQ9="")),AND($HM9&gt;=$HK$20,NOT($HM9="")),AND($II9&gt;=$IG$20,NOT($II9="")),AND($JE9&gt;=$JC$20,NOT($JE9="")),AND($KA9&gt;=$JY$20,NOT($KA9="")),AND($KW9&gt;=$KU$20,NOT($KW9="")),AND($LS9&gt;=$LQ$20,NOT($LS9=""))),"P","")</f>
        <v>P</v>
      </c>
      <c r="I9" t="str">
        <f>IF(AND(H9="P",F9=""),"No DD",IF(AND(G9="P",OR(AND($AM9&gt;$AL$23,NOT($AM9=""),$AJ9=""),AND($AP9&gt;$AL$23,NOT($AP9=""),$AJ9=""),AND($BJ9&gt;$BI$23,NOT($BJ9=""),$BG9=""),AND($BM9&gt;$BI$23,NOT($BM9=""),$BG9=""),AND($CJ9&gt;$CI$23,NOT($CJ9="")),AND($CM9&gt;$CI$23,NOT($CM9="")),AND($DF9&gt;$DE$23,NOT($DF9="")),AND($DI9&gt;$DE$23,NOT($DI9="")),AND($EB9&gt;$EA$23,NOT($EB9="")),AND($EE9&gt;$EA$23,NOT($EE9="")),AND($EX9&gt;$EW$23,NOT($EX9="")),AND($FA9&gt;$EW$23,NOT($FA9="")),AND($FT9&gt;$FS$23,NOT($FT9="")),AND($FW9&gt;$FS$23,NOT($FW9="")),AND($GP9&gt;$GO$23,NOT($GP9="")),AND($GS9&gt;$GO$23,NOT($GS9="")),AND($HL9&gt;$HK$23,NOT($HL9="")),AND($HO9&gt;$HK$23,NOT($HO9="")),AND($IH9&gt;$IG$23,NOT($IH9="")),AND($IK9&gt;$IG$23,NOT($IK9="")),AND($JD9&gt;$JC$23,NOT($JD9="")),AND($JG9&gt;$JC$23,NOT($JG9="")),AND($JZ9&gt;$JY$23,NOT($JZ9="")),AND($KC9&gt;$JY$23,NOT($KC9="")),AND($KV9&gt;$KU$23,NOT($KV9="")),AND($KY9&gt;$KU$23,NOT($KY9="")),AND($LR9&gt;$LQ$23,NOT($LR9="")),AND($LU9&gt;$LQ$23,NOT($LU9="")))),"Merit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Excellence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Worlds Team",IF(AND(F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National Team","")))))</f>
        <v>Worlds Team</v>
      </c>
      <c r="J9" s="15">
        <f>IF(MAX(AN9,BK9)&gt;0,MAX(AN9,BK9),"")</f>
        <v>99.074999999999989</v>
      </c>
      <c r="K9" s="15" t="str">
        <f>IF(J9="","",IF(J9=BK9,$AR$1,IF(J9=AN9,$U$1,"")))</f>
        <v>2019 Nationals</v>
      </c>
      <c r="L9" s="15">
        <f>IF($J9=$AN9,BI9,IF($J9=$BK9,AL9,MAX(AL9,BI9)))</f>
        <v>46.075000000000003</v>
      </c>
      <c r="M9" s="15" t="str">
        <f>IF(L9="","",IF(L9=BI9,$AR$1,IF(L9=AL9,$U$1,"")))</f>
        <v>2019 Elite Canada</v>
      </c>
      <c r="N9" s="15">
        <f>IF($J9=$AN9,BJ9,IF($J9=$BK9,AM9,MAX(AM9,BJ9)))</f>
        <v>50.664999999999999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52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39">
        <v>16.8</v>
      </c>
      <c r="V9" s="39">
        <v>8.9</v>
      </c>
      <c r="W9" s="39">
        <v>4.8</v>
      </c>
      <c r="X9" s="39">
        <v>15.574999999999999</v>
      </c>
      <c r="Y9" s="39">
        <v>0</v>
      </c>
      <c r="Z9" s="39">
        <v>14</v>
      </c>
      <c r="AA9" s="39">
        <v>8.9499999999999993</v>
      </c>
      <c r="AB9" s="39">
        <v>13.6</v>
      </c>
      <c r="AC9" s="39">
        <v>14.715</v>
      </c>
      <c r="AD9" s="39">
        <v>0.6</v>
      </c>
      <c r="AE9" s="39">
        <v>14.7</v>
      </c>
      <c r="AF9" s="39">
        <v>9.3000000000000007</v>
      </c>
      <c r="AG9" s="39">
        <v>11.6</v>
      </c>
      <c r="AH9" s="39">
        <v>14.8</v>
      </c>
      <c r="AI9" s="39">
        <v>0</v>
      </c>
      <c r="AJ9" s="82"/>
      <c r="AK9" s="12">
        <f>IF(AB9&gt;0,AB9,"")</f>
        <v>13.6</v>
      </c>
      <c r="AL9" s="12">
        <f>IF(SUM(U9:X9)-Y9&gt;0,SUM(U9:X9)-Y9,"")</f>
        <v>46.075000000000003</v>
      </c>
      <c r="AM9" s="12">
        <f>IF(SUM(Z9:AC9)-AD9&gt;0,SUM(Z9:AC9)-AD9,"")</f>
        <v>50.664999999999999</v>
      </c>
      <c r="AN9" s="12">
        <f>IF(SUM(AL9:AM9)&gt;0,SUM(AL9:AM9),"")</f>
        <v>96.740000000000009</v>
      </c>
      <c r="AO9" s="12">
        <f>IF(AG9&gt;0,AG9,"")</f>
        <v>11.6</v>
      </c>
      <c r="AP9" s="12">
        <f>IF(SUM(AE9:AH9)-AI9&gt;0,SUM(AE9:AH9)-AI9,"")</f>
        <v>50.400000000000006</v>
      </c>
      <c r="AQ9" s="12">
        <f>IF(SUM(AN9,AP9)&gt;0,SUM(AN9,AP9),"")</f>
        <v>147.14000000000001</v>
      </c>
      <c r="AR9" s="77">
        <v>17.600000000000001</v>
      </c>
      <c r="AS9" s="77">
        <v>9.1999999999999993</v>
      </c>
      <c r="AT9" s="77">
        <v>4.8</v>
      </c>
      <c r="AU9" s="77">
        <v>15.72</v>
      </c>
      <c r="AV9" s="77">
        <v>0.2</v>
      </c>
      <c r="AW9" s="77">
        <v>16.100000000000001</v>
      </c>
      <c r="AX9" s="77">
        <v>9.3000000000000007</v>
      </c>
      <c r="AY9" s="77">
        <v>12.1</v>
      </c>
      <c r="AZ9" s="77">
        <v>14.455</v>
      </c>
      <c r="BA9" s="77">
        <v>0</v>
      </c>
      <c r="BB9" s="77">
        <v>15.36</v>
      </c>
      <c r="BC9" s="77">
        <v>9.1999999999999993</v>
      </c>
      <c r="BD9" s="77">
        <v>12.6</v>
      </c>
      <c r="BE9" s="77">
        <v>14.84</v>
      </c>
      <c r="BF9" s="77"/>
      <c r="BG9" s="83"/>
      <c r="BH9" s="15">
        <f>IF(AY9&gt;0,AY9,"")</f>
        <v>12.1</v>
      </c>
      <c r="BI9" s="15">
        <f>IF(SUM(AR9:AU9)-AV9&gt;0,SUM(AR9:AU9)-AV9,"")</f>
        <v>47.12</v>
      </c>
      <c r="BJ9" s="15">
        <f>IF(SUM(AW9:AZ9)-BA9&gt;0,SUM(AW9:AZ9)-BA9,"")</f>
        <v>51.954999999999998</v>
      </c>
      <c r="BK9" s="15">
        <f>IF(SUM(BI9:BJ9)&gt;0,SUM(BI9:BJ9),"")</f>
        <v>99.074999999999989</v>
      </c>
      <c r="BL9" s="15">
        <f>IF(BD9&gt;0,BD9,"")</f>
        <v>12.6</v>
      </c>
      <c r="BM9" s="15">
        <f>IF(SUM(BB9:BE9)-BF9&gt;0,SUM(BB9:BE9)-BF9,"")</f>
        <v>52</v>
      </c>
      <c r="BN9" s="15">
        <f>IF(SUM(BK9,BM9)&gt;0,SUM(BK9,BM9),"")</f>
        <v>151.07499999999999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0"/>
        <v>17.200000000000003</v>
      </c>
      <c r="LX9" s="71">
        <f t="shared" si="1"/>
        <v>9.0500000000000007</v>
      </c>
      <c r="LY9" s="71">
        <f t="shared" si="2"/>
        <v>4.8</v>
      </c>
      <c r="LZ9" s="71">
        <f t="shared" si="3"/>
        <v>15.647500000000001</v>
      </c>
      <c r="MA9" s="71">
        <f t="shared" si="4"/>
        <v>0.1</v>
      </c>
      <c r="MB9" s="71">
        <f t="shared" si="5"/>
        <v>15.05</v>
      </c>
      <c r="MC9" s="71">
        <f t="shared" si="6"/>
        <v>9.125</v>
      </c>
      <c r="MD9" s="71">
        <f t="shared" si="7"/>
        <v>12.85</v>
      </c>
      <c r="ME9" s="71">
        <f t="shared" si="8"/>
        <v>14.585000000000001</v>
      </c>
      <c r="MF9" s="71">
        <f t="shared" si="9"/>
        <v>0.3</v>
      </c>
      <c r="MG9" s="71">
        <f t="shared" si="10"/>
        <v>15.03</v>
      </c>
      <c r="MH9" s="71">
        <f t="shared" si="11"/>
        <v>9.25</v>
      </c>
      <c r="MI9" s="71">
        <f t="shared" si="12"/>
        <v>12.1</v>
      </c>
      <c r="MJ9" s="71">
        <f t="shared" si="13"/>
        <v>14.82</v>
      </c>
      <c r="MK9" s="71">
        <f t="shared" si="14"/>
        <v>0</v>
      </c>
      <c r="ML9" s="82" t="s">
        <v>96</v>
      </c>
      <c r="MM9" s="12">
        <f t="shared" si="21"/>
        <v>12.85</v>
      </c>
      <c r="MN9" s="12">
        <f t="shared" si="22"/>
        <v>46.597500000000004</v>
      </c>
      <c r="MO9" s="12">
        <f t="shared" si="23"/>
        <v>51.31</v>
      </c>
      <c r="MP9" s="12">
        <f t="shared" si="24"/>
        <v>97.907499999999999</v>
      </c>
      <c r="MQ9" s="12">
        <f t="shared" si="25"/>
        <v>12.1</v>
      </c>
      <c r="MR9" s="12">
        <f t="shared" si="26"/>
        <v>51.2</v>
      </c>
      <c r="MS9" s="12">
        <f t="shared" si="27"/>
        <v>149.10750000000002</v>
      </c>
    </row>
    <row r="10" spans="1:357" x14ac:dyDescent="0.2">
      <c r="A10" s="6">
        <f>IF(AND(F10="P",H10="P"),SUMPRODUCT((F$4:F$16="P")*(H$4:H$16="P")*(E$4:E$16&gt;E10))+1,IF(H10="P",SUMPRODUCT((F$4:F$16="")*(H$4:H$16="P")*(E$4:E$16&gt;E10))+1+SUMPRODUCT((F$4:F$16="P")*(H$4:H$16="P")),""))</f>
        <v>7</v>
      </c>
      <c r="B10" s="9" t="s">
        <v>143</v>
      </c>
      <c r="C10" s="5" t="s">
        <v>3</v>
      </c>
      <c r="D10" s="29">
        <v>1993</v>
      </c>
      <c r="E10" s="16">
        <f>SUM(J10:R10)</f>
        <v>246.94</v>
      </c>
      <c r="F10" s="4" t="str">
        <f>IF(OR(AND($AK10&gt;=$AL$18,NOT($AK10=""),$AJ10=""),AND($BH10&gt;=$BI$18,NOT($BH10=""),$BG10=""),AND($CH10&gt;=$CI$18,NOT($CH10="")),AND($DD10&gt;=$DE$18,NOT($DD10="")),AND($DZ10&gt;=$EA$18,NOT($DZ10="")),AND($EV10&gt;=$EW$18,NOT($EV10="")),AND($FR10&gt;=$FS$18,NOT($FR10="")),AND($GN10&gt;=$GO$18,NOT($GN10="")),AND($HJ10&gt;=$HK$18,NOT($HJ10="")),AND($IF10&gt;=$IG$18,NOT($IF10="")),AND($JB10&gt;=$JC$18,NOT($JB10="")),AND($JX10&gt;=$JY$18,NOT($JX10="")),AND($KT10&gt;=$KU$18,NOT($KT10="")),AND($LP10&gt;=$LQ$18,NOT($LP10="")),AND($AO10&gt;=$AL$18,NOT($AO10=""),$AJ10=""),AND($BL10&gt;=$BI$18,NOT($BL10=""),$BG10=""),AND($CL10&gt;=$CI$18,NOT($CL10="")),AND($DH10&gt;=$DE$18,NOT($DH10="")),AND($ED10&gt;=$EA$18,NOT($ED10="")),AND($EZ10&gt;=$EW$18,NOT($EZ10="")),AND($FV10&gt;=$FS$18,NOT($FV10="")),AND($GR10&gt;=$GO$18,NOT($GR10="")),AND($HN10&gt;=$HK$18,NOT($HN10="")),AND($IJ10&gt;=$IG$18,NOT($IJ10="")),AND($JF10&gt;=$JC$18,NOT($JF10="")),AND($KB10&gt;=$JY$18,NOT($KB10="")),AND($KX10&gt;=$KU$18,NOT($KX10="")),AND($LT10&gt;=$LQ$18,NOT($LT10=""))),"P","")</f>
        <v>P</v>
      </c>
      <c r="G10" s="4" t="str">
        <f>IF(OR(AND($AK10&gt;=$AL$19,NOT($AK10=""),$AJ10=""),AND($BH10&gt;=$BI$19,NOT($BH10=""),$BG10=""),AND($CH10&gt;=$CI$19,NOT($CH10="")),AND($DD10&gt;=$DE$19,NOT($DD10="")),AND($DZ10&gt;=$EA$19,NOT($DZ10="")),AND($EV10&gt;=$EW$19,NOT($EV10="")),AND($FR10&gt;=$FS$19,NOT($FR10="")),AND($GN10&gt;=$GO$19,NOT($GN10="")),AND($HJ10&gt;=$HK$19,NOT($HJ10="")),AND($IF10&gt;=$IG$19,NOT($IF10="")),AND($JB10&gt;=$JC$19,NOT($JB10="")),AND($JX10&gt;=$JY$19,NOT($JX10="")),AND($KT10&gt;=$KU$19,NOT($KT10="")),AND($LP10&gt;=$LQ$19,NOT($LP10="")),AND($AO10&gt;=$AL$19,NOT($AO10=""),$AJ10=""),AND($BL10&gt;=$BI$19,NOT($BL10=""),$BG10=""),AND($CL10&gt;=$CI$19,NOT($CL10="")),AND($DH10&gt;=$DE$19,NOT($DH10="")),AND($ED10&gt;=$EA$19,NOT($ED10="")),AND($EZ10&gt;=$EW$19,NOT($EZ10="")),AND($FV10&gt;=$FS$19,NOT($FV10="")),AND($GR10&gt;=$GO$19,NOT($GR10="")),AND($HN10&gt;=$HK$19,NOT($HN10="")),AND($IJ10&gt;=$IG$19,NOT($IJ10="")),AND($JF10&gt;=$JC$19,NOT($JF10="")),AND($KB10&gt;=$JY$19,NOT($KB10="")),AND($KX10&gt;=$KU$19,NOT($KX10="")),AND($LT10&gt;=$LQ$19,NOT($LT10=""))),"P","")</f>
        <v>P</v>
      </c>
      <c r="H10" s="4" t="str">
        <f>IF(OR(AND($AN10&gt;=$AL$20,NOT($AN10=""),$AJ10=""),AND($BK10&gt;=$BI$20,NOT($BK10=""),$BG10=""),AND($CK10&gt;=$CI$20,NOT($CK10="")),AND($DG10&gt;=$DE$20,NOT($DG10="")),AND($EC10&gt;=$EA$20,NOT($EC10="")),AND($EY10&gt;=$EW$20,NOT($EY10="")),AND($FU10&gt;=$FS$20,NOT($FU10="")),AND($GQ10&gt;=$GO$20,NOT($GQ10="")),AND($HM10&gt;=$HK$20,NOT($HM10="")),AND($II10&gt;=$IG$20,NOT($II10="")),AND($JE10&gt;=$JC$20,NOT($JE10="")),AND($KA10&gt;=$JY$20,NOT($KA10="")),AND($KW10&gt;=$KU$20,NOT($KW10="")),AND($LS10&gt;=$LQ$20,NOT($LS10=""))),"P","")</f>
        <v>P</v>
      </c>
      <c r="I10" t="str">
        <f>IF(AND(H10="P",F10=""),"No DD",IF(AND(G10="P",OR(AND($AM10&gt;$AL$23,NOT($AM10=""),$AJ10=""),AND($AP10&gt;$AL$23,NOT($AP10=""),$AJ10=""),AND($BJ10&gt;$BI$23,NOT($BJ10=""),$BG10=""),AND($BM10&gt;$BI$23,NOT($BM10=""),$BG10=""),AND($CJ10&gt;$CI$23,NOT($CJ10="")),AND($CM10&gt;$CI$23,NOT($CM10="")),AND($DF10&gt;$DE$23,NOT($DF10="")),AND($DI10&gt;$DE$23,NOT($DI10="")),AND($EB10&gt;$EA$23,NOT($EB10="")),AND($EE10&gt;$EA$23,NOT($EE10="")),AND($EX10&gt;$EW$23,NOT($EX10="")),AND($FA10&gt;$EW$23,NOT($FA10="")),AND($FT10&gt;$FS$23,NOT($FT10="")),AND($FW10&gt;$FS$23,NOT($FW10="")),AND($GP10&gt;$GO$23,NOT($GP10="")),AND($GS10&gt;$GO$23,NOT($GS10="")),AND($HL10&gt;$HK$23,NOT($HL10="")),AND($HO10&gt;$HK$23,NOT($HO10="")),AND($IH10&gt;$IG$23,NOT($IH10="")),AND($IK10&gt;$IG$23,NOT($IK10="")),AND($JD10&gt;$JC$23,NOT($JD10="")),AND($JG10&gt;$JC$23,NOT($JG10="")),AND($JZ10&gt;$JY$23,NOT($JZ10="")),AND($KC10&gt;$JY$23,NOT($KC10="")),AND($KV10&gt;$KU$23,NOT($KV10="")),AND($KY10&gt;$KU$23,NOT($KY10="")),AND($LR10&gt;$LQ$23,NOT($LR10="")),AND($LU10&gt;$LQ$23,NOT($LU10="")))),"Merit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Excellence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Worlds Team",IF(AND(F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National Team","")))))</f>
        <v>Worlds Team</v>
      </c>
      <c r="J10" s="15">
        <f>IF(MAX(AN10,BK10)&gt;0,MAX(AN10,BK10),"")</f>
        <v>99.93</v>
      </c>
      <c r="K10" s="15" t="str">
        <f>IF(J10="","",IF(J10=BK10,$AR$1,IF(J10=AN10,$U$1,"")))</f>
        <v>2019 Nationals</v>
      </c>
      <c r="L10" s="15">
        <f>IF($J10=$AN10,BI10,IF($J10=$BK10,AL10,MAX(AL10,BI10)))</f>
        <v>45.805</v>
      </c>
      <c r="M10" s="15" t="str">
        <f>IF(L10="","",IF(L10=BI10,$AR$1,IF(L10=AL10,$U$1,"")))</f>
        <v>2019 Elite Canada</v>
      </c>
      <c r="N10" s="15">
        <f>IF($J10=$AN10,BJ10,IF($J10=$BK10,AM10,MAX(AM10,BJ10)))</f>
        <v>49.79</v>
      </c>
      <c r="O10" s="15" t="str">
        <f>IF(N10="","",IF(AND(N10=BJ10,$K10&lt;&gt;$AR$1),$AR$1,IF(AND(N10=AM10,$K10&lt;&gt;$U$1),$U$1,"")))</f>
        <v>2019 Elite Canada</v>
      </c>
      <c r="P10" s="15">
        <f>IF(MAX(AP10,BM10)&gt;0,MAX(AP10,BM10),"")</f>
        <v>51.415000000000006</v>
      </c>
      <c r="Q10" s="15" t="str">
        <f>IF(P10="","",IF(P10=BM10,$AR$1,IF(P10=AP10,$U$1,"")))</f>
        <v>2019 Nationals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9">
        <v>17.600000000000001</v>
      </c>
      <c r="V10" s="39">
        <v>8.9499999999999993</v>
      </c>
      <c r="W10" s="39">
        <v>3.9</v>
      </c>
      <c r="X10" s="39">
        <v>15.355</v>
      </c>
      <c r="Y10" s="39">
        <v>0</v>
      </c>
      <c r="Z10" s="39">
        <v>14.1</v>
      </c>
      <c r="AA10" s="39">
        <v>9.1</v>
      </c>
      <c r="AB10" s="39">
        <v>12.3</v>
      </c>
      <c r="AC10" s="39">
        <v>14.29</v>
      </c>
      <c r="AD10" s="39">
        <v>0</v>
      </c>
      <c r="AE10" s="39">
        <v>14.5</v>
      </c>
      <c r="AF10" s="39">
        <v>8.35</v>
      </c>
      <c r="AG10" s="39">
        <v>12.3</v>
      </c>
      <c r="AH10" s="39">
        <v>14.185</v>
      </c>
      <c r="AI10" s="39">
        <v>0</v>
      </c>
      <c r="AJ10" s="82"/>
      <c r="AK10" s="12">
        <f>IF(AB10&gt;0,AB10,"")</f>
        <v>12.3</v>
      </c>
      <c r="AL10" s="12">
        <f>IF(SUM(U10:X10)-Y10&gt;0,SUM(U10:X10)-Y10,"")</f>
        <v>45.805</v>
      </c>
      <c r="AM10" s="12">
        <f>IF(SUM(Z10:AC10)-AD10&gt;0,SUM(Z10:AC10)-AD10,"")</f>
        <v>49.79</v>
      </c>
      <c r="AN10" s="12">
        <f>IF(SUM(AL10:AM10)&gt;0,SUM(AL10:AM10),"")</f>
        <v>95.594999999999999</v>
      </c>
      <c r="AO10" s="12">
        <f>IF(AG10&gt;0,AG10,"")</f>
        <v>12.3</v>
      </c>
      <c r="AP10" s="12">
        <f>IF(SUM(AE10:AH10)-AI10&gt;0,SUM(AE10:AH10)-AI10,"")</f>
        <v>49.335000000000008</v>
      </c>
      <c r="AQ10" s="12">
        <f>IF(SUM(AN10,AP10)&gt;0,SUM(AN10,AP10),"")</f>
        <v>144.93</v>
      </c>
      <c r="AR10" s="77">
        <v>18.3</v>
      </c>
      <c r="AS10" s="77">
        <v>9.4</v>
      </c>
      <c r="AT10" s="77">
        <v>5.0999999999999996</v>
      </c>
      <c r="AU10" s="77">
        <v>15.494999999999999</v>
      </c>
      <c r="AV10" s="77">
        <v>0</v>
      </c>
      <c r="AW10" s="77">
        <v>14.9</v>
      </c>
      <c r="AX10" s="77">
        <v>9.5</v>
      </c>
      <c r="AY10" s="77">
        <v>13.1</v>
      </c>
      <c r="AZ10" s="77">
        <v>14.135</v>
      </c>
      <c r="BA10" s="77">
        <v>0</v>
      </c>
      <c r="BB10" s="77">
        <v>14.58</v>
      </c>
      <c r="BC10" s="77">
        <v>9.1</v>
      </c>
      <c r="BD10" s="77">
        <v>13.3</v>
      </c>
      <c r="BE10" s="77">
        <v>14.435</v>
      </c>
      <c r="BF10" s="77"/>
      <c r="BG10" s="83"/>
      <c r="BH10" s="15">
        <f>IF(AY10&gt;0,AY10,"")</f>
        <v>13.1</v>
      </c>
      <c r="BI10" s="15">
        <f>IF(SUM(AR10:AU10)-AV10&gt;0,SUM(AR10:AU10)-AV10,"")</f>
        <v>48.295000000000002</v>
      </c>
      <c r="BJ10" s="15">
        <f>IF(SUM(AW10:AZ10)-BA10&gt;0,SUM(AW10:AZ10)-BA10,"")</f>
        <v>51.634999999999998</v>
      </c>
      <c r="BK10" s="15">
        <f>IF(SUM(BI10:BJ10)&gt;0,SUM(BI10:BJ10),"")</f>
        <v>99.93</v>
      </c>
      <c r="BL10" s="15">
        <f>IF(BD10&gt;0,BD10,"")</f>
        <v>13.3</v>
      </c>
      <c r="BM10" s="15">
        <f>IF(SUM(BB10:BE10)-BF10&gt;0,SUM(BB10:BE10)-BF10,"")</f>
        <v>51.415000000000006</v>
      </c>
      <c r="BN10" s="15">
        <f>IF(SUM(BK10,BM10)&gt;0,SUM(BK10,BM10),"")</f>
        <v>151.34500000000003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0"/>
        <v>17.950000000000003</v>
      </c>
      <c r="LX10" s="71">
        <f t="shared" si="1"/>
        <v>9.1750000000000007</v>
      </c>
      <c r="LY10" s="71">
        <f t="shared" si="2"/>
        <v>4.5</v>
      </c>
      <c r="LZ10" s="71">
        <f t="shared" si="3"/>
        <v>15.425000000000001</v>
      </c>
      <c r="MA10" s="71">
        <f t="shared" si="4"/>
        <v>0</v>
      </c>
      <c r="MB10" s="71">
        <f t="shared" si="5"/>
        <v>14.5</v>
      </c>
      <c r="MC10" s="71">
        <f t="shared" si="6"/>
        <v>9.3000000000000007</v>
      </c>
      <c r="MD10" s="71">
        <f t="shared" si="7"/>
        <v>12.7</v>
      </c>
      <c r="ME10" s="71">
        <f t="shared" si="8"/>
        <v>14.212499999999999</v>
      </c>
      <c r="MF10" s="71">
        <f t="shared" si="9"/>
        <v>0</v>
      </c>
      <c r="MG10" s="71">
        <f t="shared" si="10"/>
        <v>14.54</v>
      </c>
      <c r="MH10" s="71">
        <f t="shared" si="11"/>
        <v>8.7249999999999996</v>
      </c>
      <c r="MI10" s="71">
        <f t="shared" si="12"/>
        <v>12.8</v>
      </c>
      <c r="MJ10" s="71">
        <f t="shared" si="13"/>
        <v>14.31</v>
      </c>
      <c r="MK10" s="71">
        <f t="shared" si="14"/>
        <v>0</v>
      </c>
      <c r="ML10" s="82" t="s">
        <v>96</v>
      </c>
      <c r="MM10" s="12">
        <f t="shared" si="21"/>
        <v>12.7</v>
      </c>
      <c r="MN10" s="12">
        <f t="shared" si="22"/>
        <v>47.050000000000004</v>
      </c>
      <c r="MO10" s="12">
        <f t="shared" si="23"/>
        <v>50.712499999999999</v>
      </c>
      <c r="MP10" s="12">
        <f t="shared" si="24"/>
        <v>97.762500000000003</v>
      </c>
      <c r="MQ10" s="12">
        <f t="shared" si="25"/>
        <v>12.8</v>
      </c>
      <c r="MR10" s="12">
        <f t="shared" si="26"/>
        <v>50.375</v>
      </c>
      <c r="MS10" s="12">
        <f t="shared" si="27"/>
        <v>148.13749999999999</v>
      </c>
    </row>
    <row r="11" spans="1:357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9" t="s">
        <v>84</v>
      </c>
      <c r="C11" s="5" t="s">
        <v>5</v>
      </c>
      <c r="D11" s="29">
        <v>1999</v>
      </c>
      <c r="E11" s="16">
        <f>SUM(J11:R11)</f>
        <v>238.46000000000004</v>
      </c>
      <c r="F11" s="4" t="str">
        <f>IF(OR(AND($AK11&gt;=$AL$18,NOT($AK11=""),$AJ11=""),AND($BH11&gt;=$BI$18,NOT($BH11=""),$BG11=""),AND($CH11&gt;=$CI$18,NOT($CH11="")),AND($DD11&gt;=$DE$18,NOT($DD11="")),AND($DZ11&gt;=$EA$18,NOT($DZ11="")),AND($EV11&gt;=$EW$18,NOT($EV11="")),AND($FR11&gt;=$FS$18,NOT($FR11="")),AND($GN11&gt;=$GO$18,NOT($GN11="")),AND($HJ11&gt;=$HK$18,NOT($HJ11="")),AND($IF11&gt;=$IG$18,NOT($IF11="")),AND($JB11&gt;=$JC$18,NOT($JB11="")),AND($JX11&gt;=$JY$18,NOT($JX11="")),AND($KT11&gt;=$KU$18,NOT($KT11="")),AND($LP11&gt;=$LQ$18,NOT($LP11="")),AND($AO11&gt;=$AL$18,NOT($AO11=""),$AJ11=""),AND($BL11&gt;=$BI$18,NOT($BL11=""),$BG11=""),AND($CL11&gt;=$CI$18,NOT($CL11="")),AND($DH11&gt;=$DE$18,NOT($DH11="")),AND($ED11&gt;=$EA$18,NOT($ED11="")),AND($EZ11&gt;=$EW$18,NOT($EZ11="")),AND($FV11&gt;=$FS$18,NOT($FV11="")),AND($GR11&gt;=$GO$18,NOT($GR11="")),AND($HN11&gt;=$HK$18,NOT($HN11="")),AND($IJ11&gt;=$IG$18,NOT($IJ11="")),AND($JF11&gt;=$JC$18,NOT($JF11="")),AND($KB11&gt;=$JY$18,NOT($KB11="")),AND($KX11&gt;=$KU$18,NOT($KX11="")),AND($LT11&gt;=$LQ$18,NOT($LT11=""))),"P","")</f>
        <v>P</v>
      </c>
      <c r="G11" s="4" t="str">
        <f>IF(OR(AND($AK11&gt;=$AL$19,NOT($AK11=""),$AJ11=""),AND($BH11&gt;=$BI$19,NOT($BH11=""),$BG11=""),AND($CH11&gt;=$CI$19,NOT($CH11="")),AND($DD11&gt;=$DE$19,NOT($DD11="")),AND($DZ11&gt;=$EA$19,NOT($DZ11="")),AND($EV11&gt;=$EW$19,NOT($EV11="")),AND($FR11&gt;=$FS$19,NOT($FR11="")),AND($GN11&gt;=$GO$19,NOT($GN11="")),AND($HJ11&gt;=$HK$19,NOT($HJ11="")),AND($IF11&gt;=$IG$19,NOT($IF11="")),AND($JB11&gt;=$JC$19,NOT($JB11="")),AND($JX11&gt;=$JY$19,NOT($JX11="")),AND($KT11&gt;=$KU$19,NOT($KT11="")),AND($LP11&gt;=$LQ$19,NOT($LP11="")),AND($AO11&gt;=$AL$19,NOT($AO11=""),$AJ11=""),AND($BL11&gt;=$BI$19,NOT($BL11=""),$BG11=""),AND($CL11&gt;=$CI$19,NOT($CL11="")),AND($DH11&gt;=$DE$19,NOT($DH11="")),AND($ED11&gt;=$EA$19,NOT($ED11="")),AND($EZ11&gt;=$EW$19,NOT($EZ11="")),AND($FV11&gt;=$FS$19,NOT($FV11="")),AND($GR11&gt;=$GO$19,NOT($GR11="")),AND($HN11&gt;=$HK$19,NOT($HN11="")),AND($IJ11&gt;=$IG$19,NOT($IJ11="")),AND($JF11&gt;=$JC$19,NOT($JF11="")),AND($KB11&gt;=$JY$19,NOT($KB11="")),AND($KX11&gt;=$KU$19,NOT($KX11="")),AND($LT11&gt;=$LQ$19,NOT($LT11=""))),"P","")</f>
        <v/>
      </c>
      <c r="H11" s="4" t="str">
        <f>IF(OR(AND($AN11&gt;=$AL$20,NOT($AN11=""),$AJ11=""),AND($BK11&gt;=$BI$20,NOT($BK11=""),$BG11=""),AND($CK11&gt;=$CI$20,NOT($CK11="")),AND($DG11&gt;=$DE$20,NOT($DG11="")),AND($EC11&gt;=$EA$20,NOT($EC11="")),AND($EY11&gt;=$EW$20,NOT($EY11="")),AND($FU11&gt;=$FS$20,NOT($FU11="")),AND($GQ11&gt;=$GO$20,NOT($GQ11="")),AND($HM11&gt;=$HK$20,NOT($HM11="")),AND($II11&gt;=$IG$20,NOT($II11="")),AND($JE11&gt;=$JC$20,NOT($JE11="")),AND($KA11&gt;=$JY$20,NOT($KA11="")),AND($KW11&gt;=$KU$20,NOT($KW11="")),AND($LS11&gt;=$LQ$20,NOT($LS11=""))),"P","")</f>
        <v/>
      </c>
      <c r="I11" t="str">
        <f>IF(AND(H11="P",F11=""),"No DD",IF(AND(G11="P",OR(AND($AM11&gt;$AL$23,NOT($AM11=""),$AJ11=""),AND($AP11&gt;$AL$23,NOT($AP11=""),$AJ11=""),AND($BJ11&gt;$BI$23,NOT($BJ11=""),$BG11=""),AND($BM11&gt;$BI$23,NOT($BM11=""),$BG11=""),AND($CJ11&gt;$CI$23,NOT($CJ11="")),AND($CM11&gt;$CI$23,NOT($CM11="")),AND($DF11&gt;$DE$23,NOT($DF11="")),AND($DI11&gt;$DE$23,NOT($DI11="")),AND($EB11&gt;$EA$23,NOT($EB11="")),AND($EE11&gt;$EA$23,NOT($EE11="")),AND($EX11&gt;$EW$23,NOT($EX11="")),AND($FA11&gt;$EW$23,NOT($FA11="")),AND($FT11&gt;$FS$23,NOT($FT11="")),AND($FW11&gt;$FS$23,NOT($FW11="")),AND($GP11&gt;$GO$23,NOT($GP11="")),AND($GS11&gt;$GO$23,NOT($GS11="")),AND($HL11&gt;$HK$23,NOT($HL11="")),AND($HO11&gt;$HK$23,NOT($HO11="")),AND($IH11&gt;$IG$23,NOT($IH11="")),AND($IK11&gt;$IG$23,NOT($IK11="")),AND($JD11&gt;$JC$23,NOT($JD11="")),AND($JG11&gt;$JC$23,NOT($JG11="")),AND($JZ11&gt;$JY$23,NOT($JZ11="")),AND($KC11&gt;$JY$23,NOT($KC11="")),AND($KV11&gt;$KU$23,NOT($KV11="")),AND($KY11&gt;$KU$23,NOT($KY11="")),AND($LR11&gt;$LQ$23,NOT($LR11="")),AND($LU11&gt;$LQ$23,NOT($LU11="")))),"Merit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Excellence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Worlds Team",IF(AND(F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National Team","")))))</f>
        <v/>
      </c>
      <c r="J11" s="15">
        <f>IF(MAX(AN11,BK11)&gt;0,MAX(AN11,BK11),"")</f>
        <v>95.642499999999998</v>
      </c>
      <c r="K11" s="15" t="str">
        <f>IF(J11="","",IF(J11=BK11,$AR$1,IF(J11=AN11,$U$1,"")))</f>
        <v>2019 Elite Canada</v>
      </c>
      <c r="L11" s="15">
        <f>IF($J11=$AN11,BI11,IF($J11=$BK11,AL11,MAX(AL11,BI11)))</f>
        <v>46.255000000000003</v>
      </c>
      <c r="M11" s="15" t="str">
        <f>IF(L11="","",IF(L11=BI11,$AR$1,IF(L11=AL11,$U$1,"")))</f>
        <v>2019 Nationals</v>
      </c>
      <c r="N11" s="15">
        <f>IF($J11=$AN11,BJ11,IF($J11=$BK11,AM11,MAX(AM11,BJ11)))</f>
        <v>44.95</v>
      </c>
      <c r="O11" s="15" t="str">
        <f>IF(N11="","",IF(AND(N11=BJ11,$K11&lt;&gt;$AR$1),$AR$1,IF(AND(N11=AM11,$K11&lt;&gt;$U$1),$U$1,"")))</f>
        <v>2019 Nationals</v>
      </c>
      <c r="P11" s="15">
        <f>IF(MAX(AP11,BM11)&gt;0,MAX(AP11,BM11),"")</f>
        <v>51.612499999999997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9">
        <v>17.899999999999999</v>
      </c>
      <c r="V11" s="39">
        <v>8.875</v>
      </c>
      <c r="W11" s="39">
        <v>3.4000000000000004</v>
      </c>
      <c r="X11" s="39">
        <v>15.202500000000001</v>
      </c>
      <c r="Y11" s="39">
        <v>0</v>
      </c>
      <c r="Z11" s="39">
        <v>14.75</v>
      </c>
      <c r="AA11" s="39">
        <v>9.2250000000000014</v>
      </c>
      <c r="AB11" s="39">
        <v>11.85</v>
      </c>
      <c r="AC11" s="39">
        <v>14.440000000000001</v>
      </c>
      <c r="AD11" s="39">
        <v>0</v>
      </c>
      <c r="AE11" s="39">
        <v>15.35</v>
      </c>
      <c r="AF11" s="39">
        <v>9.1999999999999993</v>
      </c>
      <c r="AG11" s="39">
        <v>12.399999999999999</v>
      </c>
      <c r="AH11" s="39">
        <v>14.6625</v>
      </c>
      <c r="AI11" s="39">
        <v>0</v>
      </c>
      <c r="AJ11" s="82" t="s">
        <v>96</v>
      </c>
      <c r="AK11" s="12">
        <f>IF(AB11&gt;0,AB11,"")</f>
        <v>11.85</v>
      </c>
      <c r="AL11" s="12">
        <f>IF(SUM(U11:X11)-Y11&gt;0,SUM(U11:X11)-Y11,"")</f>
        <v>45.377499999999998</v>
      </c>
      <c r="AM11" s="12">
        <f>IF(SUM(Z11:AC11)-AD11&gt;0,SUM(Z11:AC11)-AD11,"")</f>
        <v>50.265000000000001</v>
      </c>
      <c r="AN11" s="12">
        <f>IF(SUM(AL11:AM11)&gt;0,SUM(AL11:AM11),"")</f>
        <v>95.642499999999998</v>
      </c>
      <c r="AO11" s="12">
        <f>IF(AG11&gt;0,AG11,"")</f>
        <v>12.399999999999999</v>
      </c>
      <c r="AP11" s="12">
        <f>IF(SUM(AE11:AH11)-AI11&gt;0,SUM(AE11:AH11)-AI11,"")</f>
        <v>51.612499999999997</v>
      </c>
      <c r="AQ11" s="12">
        <f>IF(SUM(AN11,AP11)&gt;0,SUM(AN11,AP11),"")</f>
        <v>147.255</v>
      </c>
      <c r="AR11" s="77">
        <v>16.5</v>
      </c>
      <c r="AS11" s="77">
        <v>9.6</v>
      </c>
      <c r="AT11" s="77">
        <v>4.9000000000000004</v>
      </c>
      <c r="AU11" s="77">
        <v>15.255000000000001</v>
      </c>
      <c r="AV11" s="77">
        <v>0</v>
      </c>
      <c r="AW11" s="77">
        <v>12.1</v>
      </c>
      <c r="AX11" s="77">
        <v>7.9</v>
      </c>
      <c r="AY11" s="77">
        <v>11.7</v>
      </c>
      <c r="AZ11" s="77">
        <v>13.25</v>
      </c>
      <c r="BA11" s="77">
        <v>0</v>
      </c>
      <c r="BB11" s="77">
        <v>13.6</v>
      </c>
      <c r="BC11" s="77">
        <v>9.5</v>
      </c>
      <c r="BD11" s="77">
        <v>12.9</v>
      </c>
      <c r="BE11" s="77">
        <v>14.42</v>
      </c>
      <c r="BF11" s="77"/>
      <c r="BG11" s="83"/>
      <c r="BH11" s="15">
        <f>IF(AY11&gt;0,AY11,"")</f>
        <v>11.7</v>
      </c>
      <c r="BI11" s="15">
        <f>IF(SUM(AR11:AU11)-AV11&gt;0,SUM(AR11:AU11)-AV11,"")</f>
        <v>46.255000000000003</v>
      </c>
      <c r="BJ11" s="15">
        <f>IF(SUM(AW11:AZ11)-BA11&gt;0,SUM(AW11:AZ11)-BA11,"")</f>
        <v>44.95</v>
      </c>
      <c r="BK11" s="15">
        <f>IF(SUM(BI11:BJ11)&gt;0,SUM(BI11:BJ11),"")</f>
        <v>91.205000000000013</v>
      </c>
      <c r="BL11" s="15">
        <f>IF(BD11&gt;0,BD11,"")</f>
        <v>12.9</v>
      </c>
      <c r="BM11" s="15">
        <f>IF(SUM(BB11:BE11)-BF11&gt;0,SUM(BB11:BE11)-BF11,"")</f>
        <v>50.42</v>
      </c>
      <c r="BN11" s="15">
        <f>IF(SUM(BK11,BM11)&gt;0,SUM(BK11,BM11),"")</f>
        <v>141.625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0"/>
        <v>17.2</v>
      </c>
      <c r="LX11" s="71">
        <f t="shared" si="1"/>
        <v>9.2375000000000007</v>
      </c>
      <c r="LY11" s="71">
        <f t="shared" si="2"/>
        <v>4.1500000000000004</v>
      </c>
      <c r="LZ11" s="71">
        <f t="shared" si="3"/>
        <v>15.228750000000002</v>
      </c>
      <c r="MA11" s="71">
        <f t="shared" si="4"/>
        <v>0</v>
      </c>
      <c r="MB11" s="71">
        <f t="shared" si="5"/>
        <v>13.425000000000001</v>
      </c>
      <c r="MC11" s="71">
        <f t="shared" si="6"/>
        <v>8.5625</v>
      </c>
      <c r="MD11" s="71">
        <f t="shared" si="7"/>
        <v>11.774999999999999</v>
      </c>
      <c r="ME11" s="71">
        <f t="shared" si="8"/>
        <v>13.845000000000001</v>
      </c>
      <c r="MF11" s="71">
        <f t="shared" si="9"/>
        <v>0</v>
      </c>
      <c r="MG11" s="71">
        <f t="shared" si="10"/>
        <v>14.475</v>
      </c>
      <c r="MH11" s="71">
        <f t="shared" si="11"/>
        <v>9.35</v>
      </c>
      <c r="MI11" s="71">
        <f t="shared" si="12"/>
        <v>12.649999999999999</v>
      </c>
      <c r="MJ11" s="71">
        <f t="shared" si="13"/>
        <v>14.54125</v>
      </c>
      <c r="MK11" s="71">
        <f t="shared" si="14"/>
        <v>0</v>
      </c>
      <c r="ML11" s="82" t="s">
        <v>96</v>
      </c>
      <c r="MM11" s="12">
        <f t="shared" si="21"/>
        <v>11.774999999999999</v>
      </c>
      <c r="MN11" s="12">
        <f t="shared" si="22"/>
        <v>45.816249999999997</v>
      </c>
      <c r="MO11" s="12">
        <f t="shared" si="23"/>
        <v>47.607500000000002</v>
      </c>
      <c r="MP11" s="12">
        <f t="shared" si="24"/>
        <v>93.423749999999998</v>
      </c>
      <c r="MQ11" s="12">
        <f t="shared" si="25"/>
        <v>12.649999999999999</v>
      </c>
      <c r="MR11" s="12">
        <f t="shared" si="26"/>
        <v>51.016249999999992</v>
      </c>
      <c r="MS11" s="12">
        <f t="shared" si="27"/>
        <v>144.44</v>
      </c>
    </row>
    <row r="12" spans="1:357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9" t="s">
        <v>36</v>
      </c>
      <c r="C12" s="5" t="s">
        <v>3</v>
      </c>
      <c r="D12" s="29">
        <v>1995</v>
      </c>
      <c r="E12" s="16">
        <f>SUM(J12:R12)</f>
        <v>245.43000000000004</v>
      </c>
      <c r="F12" s="4" t="str">
        <f>IF(OR(AND($AK12&gt;=$AL$18,NOT($AK12=""),$AJ12=""),AND($BH12&gt;=$BI$18,NOT($BH12=""),$BG12=""),AND($CH12&gt;=$CI$18,NOT($CH12="")),AND($DD12&gt;=$DE$18,NOT($DD12="")),AND($DZ12&gt;=$EA$18,NOT($DZ12="")),AND($EV12&gt;=$EW$18,NOT($EV12="")),AND($FR12&gt;=$FS$18,NOT($FR12="")),AND($GN12&gt;=$GO$18,NOT($GN12="")),AND($HJ12&gt;=$HK$18,NOT($HJ12="")),AND($IF12&gt;=$IG$18,NOT($IF12="")),AND($JB12&gt;=$JC$18,NOT($JB12="")),AND($JX12&gt;=$JY$18,NOT($JX12="")),AND($KT12&gt;=$KU$18,NOT($KT12="")),AND($LP12&gt;=$LQ$18,NOT($LP12="")),AND($AO12&gt;=$AL$18,NOT($AO12=""),$AJ12=""),AND($BL12&gt;=$BI$18,NOT($BL12=""),$BG12=""),AND($CL12&gt;=$CI$18,NOT($CL12="")),AND($DH12&gt;=$DE$18,NOT($DH12="")),AND($ED12&gt;=$EA$18,NOT($ED12="")),AND($EZ12&gt;=$EW$18,NOT($EZ12="")),AND($FV12&gt;=$FS$18,NOT($FV12="")),AND($GR12&gt;=$GO$18,NOT($GR12="")),AND($HN12&gt;=$HK$18,NOT($HN12="")),AND($IJ12&gt;=$IG$18,NOT($IJ12="")),AND($JF12&gt;=$JC$18,NOT($JF12="")),AND($KB12&gt;=$JY$18,NOT($KB12="")),AND($KX12&gt;=$KU$18,NOT($KX12="")),AND($LT12&gt;=$LQ$18,NOT($LT12=""))),"P","")</f>
        <v/>
      </c>
      <c r="G12" s="4" t="str">
        <f>IF(OR(AND($AK12&gt;=$AL$19,NOT($AK12=""),$AJ12=""),AND($BH12&gt;=$BI$19,NOT($BH12=""),$BG12=""),AND($CH12&gt;=$CI$19,NOT($CH12="")),AND($DD12&gt;=$DE$19,NOT($DD12="")),AND($DZ12&gt;=$EA$19,NOT($DZ12="")),AND($EV12&gt;=$EW$19,NOT($EV12="")),AND($FR12&gt;=$FS$19,NOT($FR12="")),AND($GN12&gt;=$GO$19,NOT($GN12="")),AND($HJ12&gt;=$HK$19,NOT($HJ12="")),AND($IF12&gt;=$IG$19,NOT($IF12="")),AND($JB12&gt;=$JC$19,NOT($JB12="")),AND($JX12&gt;=$JY$19,NOT($JX12="")),AND($KT12&gt;=$KU$19,NOT($KT12="")),AND($LP12&gt;=$LQ$19,NOT($LP12="")),AND($AO12&gt;=$AL$19,NOT($AO12=""),$AJ12=""),AND($BL12&gt;=$BI$19,NOT($BL12=""),$BG12=""),AND($CL12&gt;=$CI$19,NOT($CL12="")),AND($DH12&gt;=$DE$19,NOT($DH12="")),AND($ED12&gt;=$EA$19,NOT($ED12="")),AND($EZ12&gt;=$EW$19,NOT($EZ12="")),AND($FV12&gt;=$FS$19,NOT($FV12="")),AND($GR12&gt;=$GO$19,NOT($GR12="")),AND($HN12&gt;=$HK$19,NOT($HN12="")),AND($IJ12&gt;=$IG$19,NOT($IJ12="")),AND($JF12&gt;=$JC$19,NOT($JF12="")),AND($KB12&gt;=$JY$19,NOT($KB12="")),AND($KX12&gt;=$KU$19,NOT($KX12="")),AND($LT12&gt;=$LQ$19,NOT($LT12=""))),"P","")</f>
        <v/>
      </c>
      <c r="H12" s="4" t="str">
        <f>IF(OR(AND($AN12&gt;=$AL$20,NOT($AN12=""),$AJ12=""),AND($BK12&gt;=$BI$20,NOT($BK12=""),$BG12=""),AND($CK12&gt;=$CI$20,NOT($CK12="")),AND($DG12&gt;=$DE$20,NOT($DG12="")),AND($EC12&gt;=$EA$20,NOT($EC12="")),AND($EY12&gt;=$EW$20,NOT($EY12="")),AND($FU12&gt;=$FS$20,NOT($FU12="")),AND($GQ12&gt;=$GO$20,NOT($GQ12="")),AND($HM12&gt;=$HK$20,NOT($HM12="")),AND($II12&gt;=$IG$20,NOT($II12="")),AND($JE12&gt;=$JC$20,NOT($JE12="")),AND($KA12&gt;=$JY$20,NOT($KA12="")),AND($KW12&gt;=$KU$20,NOT($KW12="")),AND($LS12&gt;=$LQ$20,NOT($LS12=""))),"P","")</f>
        <v/>
      </c>
      <c r="I12" t="str">
        <f>IF(AND(H12="P",F12=""),"No DD",IF(AND(G12="P",OR(AND($AM12&gt;$AL$23,NOT($AM12=""),$AJ12=""),AND($AP12&gt;$AL$23,NOT($AP12=""),$AJ12=""),AND($BJ12&gt;$BI$23,NOT($BJ12=""),$BG12=""),AND($BM12&gt;$BI$23,NOT($BM12=""),$BG12=""),AND($CJ12&gt;$CI$23,NOT($CJ12="")),AND($CM12&gt;$CI$23,NOT($CM12="")),AND($DF12&gt;$DE$23,NOT($DF12="")),AND($DI12&gt;$DE$23,NOT($DI12="")),AND($EB12&gt;$EA$23,NOT($EB12="")),AND($EE12&gt;$EA$23,NOT($EE12="")),AND($EX12&gt;$EW$23,NOT($EX12="")),AND($FA12&gt;$EW$23,NOT($FA12="")),AND($FT12&gt;$FS$23,NOT($FT12="")),AND($FW12&gt;$FS$23,NOT($FW12="")),AND($GP12&gt;$GO$23,NOT($GP12="")),AND($GS12&gt;$GO$23,NOT($GS12="")),AND($HL12&gt;$HK$23,NOT($HL12="")),AND($HO12&gt;$HK$23,NOT($HO12="")),AND($IH12&gt;$IG$23,NOT($IH12="")),AND($IK12&gt;$IG$23,NOT($IK12="")),AND($JD12&gt;$JC$23,NOT($JD12="")),AND($JG12&gt;$JC$23,NOT($JG12="")),AND($JZ12&gt;$JY$23,NOT($JZ12="")),AND($KC12&gt;$JY$23,NOT($KC12="")),AND($KV12&gt;$KU$23,NOT($KV12="")),AND($KY12&gt;$KU$23,NOT($KY12="")),AND($LR12&gt;$LQ$23,NOT($LR12="")),AND($LU12&gt;$LQ$23,NOT($LU12="")))),"Merit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Excellence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Worlds Team",IF(AND(F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National Team","")))))</f>
        <v/>
      </c>
      <c r="J12" s="15">
        <f>IF(MAX(AN12,BK12)&gt;0,MAX(AN12,BK12),"")</f>
        <v>97.867500000000007</v>
      </c>
      <c r="K12" s="15" t="str">
        <f>IF(J12="","",IF(J12=BK12,$AR$1,IF(J12=AN12,$U$1,"")))</f>
        <v>2019 Nationals</v>
      </c>
      <c r="L12" s="15">
        <f>IF($J12=$AN12,BI12,IF($J12=$BK12,AL12,MAX(AL12,BI12)))</f>
        <v>46.21</v>
      </c>
      <c r="M12" s="15" t="str">
        <f>IF(L12="","",IF(L12=BI12,$AR$1,IF(L12=AL12,$U$1,"")))</f>
        <v>2019 Elite Canada</v>
      </c>
      <c r="N12" s="15">
        <f>IF($J12=$AN12,BJ12,IF($J12=$BK12,AM12,MAX(AM12,BJ12)))</f>
        <v>49.7</v>
      </c>
      <c r="O12" s="15" t="str">
        <f>IF(N12="","",IF(AND(N12=BJ12,$K12&lt;&gt;$AR$1),$AR$1,IF(AND(N12=AM12,$K12&lt;&gt;$U$1),$U$1,"")))</f>
        <v>2019 Elite Canada</v>
      </c>
      <c r="P12" s="15">
        <f>IF(MAX(AP12,BM12)&gt;0,MAX(AP12,BM12),"")</f>
        <v>51.652500000000003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71">
        <v>15.6</v>
      </c>
      <c r="V12" s="71">
        <v>9.3000000000000007</v>
      </c>
      <c r="W12" s="71">
        <v>5.3</v>
      </c>
      <c r="X12" s="71">
        <v>16.010000000000002</v>
      </c>
      <c r="Y12" s="71">
        <v>0</v>
      </c>
      <c r="Z12" s="71">
        <v>13.9</v>
      </c>
      <c r="AA12" s="71">
        <v>9</v>
      </c>
      <c r="AB12" s="71">
        <v>11.5</v>
      </c>
      <c r="AC12" s="71">
        <v>15.3</v>
      </c>
      <c r="AD12" s="71">
        <v>0</v>
      </c>
      <c r="AE12" s="71">
        <v>15.3</v>
      </c>
      <c r="AF12" s="71">
        <v>9.1</v>
      </c>
      <c r="AG12" s="71">
        <v>11.6</v>
      </c>
      <c r="AH12" s="71">
        <v>15.645</v>
      </c>
      <c r="AI12" s="71">
        <v>0</v>
      </c>
      <c r="AJ12" s="82"/>
      <c r="AK12" s="12">
        <f>IF(AB12&gt;0,AB12,"")</f>
        <v>11.5</v>
      </c>
      <c r="AL12" s="12">
        <f>IF(SUM(U12:X12)-Y12&gt;0,SUM(U12:X12)-Y12,"")</f>
        <v>46.21</v>
      </c>
      <c r="AM12" s="12">
        <f>IF(SUM(Z12:AC12)-AD12&gt;0,SUM(Z12:AC12)-AD12,"")</f>
        <v>49.7</v>
      </c>
      <c r="AN12" s="12">
        <f>IF(SUM(AL12:AM12)&gt;0,SUM(AL12:AM12),"")</f>
        <v>95.91</v>
      </c>
      <c r="AO12" s="12">
        <f>IF(AG12&gt;0,AG12,"")</f>
        <v>11.6</v>
      </c>
      <c r="AP12" s="12">
        <f>IF(SUM(AE12:AH12)-AI12&gt;0,SUM(AE12:AH12)-AI12,"")</f>
        <v>51.644999999999996</v>
      </c>
      <c r="AQ12" s="12">
        <f>IF(SUM(AN12,AP12)&gt;0,SUM(AN12,AP12),"")</f>
        <v>147.55500000000001</v>
      </c>
      <c r="AR12" s="77">
        <v>16.399999999999999</v>
      </c>
      <c r="AS12" s="77">
        <v>9.25</v>
      </c>
      <c r="AT12" s="77">
        <v>5.4499999999999993</v>
      </c>
      <c r="AU12" s="77">
        <v>16.1325</v>
      </c>
      <c r="AV12" s="77">
        <v>0</v>
      </c>
      <c r="AW12" s="77">
        <v>14.05</v>
      </c>
      <c r="AX12" s="77">
        <v>9.1</v>
      </c>
      <c r="AY12" s="77">
        <v>12.25</v>
      </c>
      <c r="AZ12" s="77">
        <v>15.335000000000001</v>
      </c>
      <c r="BA12" s="77">
        <v>0.1</v>
      </c>
      <c r="BB12" s="77">
        <v>14.75</v>
      </c>
      <c r="BC12" s="77">
        <v>9.1999999999999993</v>
      </c>
      <c r="BD12" s="77">
        <v>12</v>
      </c>
      <c r="BE12" s="77">
        <v>15.702500000000001</v>
      </c>
      <c r="BF12" s="77">
        <v>0</v>
      </c>
      <c r="BG12" s="83" t="s">
        <v>96</v>
      </c>
      <c r="BH12" s="15">
        <f>IF(AY12&gt;0,AY12,"")</f>
        <v>12.25</v>
      </c>
      <c r="BI12" s="15">
        <f>IF(SUM(AR12:AU12)-AV12&gt;0,SUM(AR12:AU12)-AV12,"")</f>
        <v>47.232500000000002</v>
      </c>
      <c r="BJ12" s="15">
        <f>IF(SUM(AW12:AZ12)-BA12&gt;0,SUM(AW12:AZ12)-BA12,"")</f>
        <v>50.634999999999998</v>
      </c>
      <c r="BK12" s="15">
        <f>IF(SUM(BI12:BJ12)&gt;0,SUM(BI12:BJ12),"")</f>
        <v>97.867500000000007</v>
      </c>
      <c r="BL12" s="15">
        <f>IF(BD12&gt;0,BD12,"")</f>
        <v>12</v>
      </c>
      <c r="BM12" s="15">
        <f>IF(SUM(BB12:BE12)-BF12&gt;0,SUM(BB12:BE12)-BF12,"")</f>
        <v>51.652500000000003</v>
      </c>
      <c r="BN12" s="15">
        <f>IF(SUM(BK12,BM12)&gt;0,SUM(BK12,BM12),"")</f>
        <v>149.52000000000001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0"/>
        <v>16.399999999999999</v>
      </c>
      <c r="LX12" s="71">
        <f t="shared" si="1"/>
        <v>9.25</v>
      </c>
      <c r="LY12" s="71">
        <f t="shared" si="2"/>
        <v>5.4499999999999993</v>
      </c>
      <c r="LZ12" s="71">
        <f t="shared" si="3"/>
        <v>16.1325</v>
      </c>
      <c r="MA12" s="71">
        <f t="shared" si="4"/>
        <v>0</v>
      </c>
      <c r="MB12" s="71">
        <f t="shared" si="5"/>
        <v>14.05</v>
      </c>
      <c r="MC12" s="71">
        <f t="shared" si="6"/>
        <v>9.1</v>
      </c>
      <c r="MD12" s="71">
        <f t="shared" si="7"/>
        <v>12.25</v>
      </c>
      <c r="ME12" s="71">
        <f t="shared" si="8"/>
        <v>15.335000000000001</v>
      </c>
      <c r="MF12" s="71">
        <f t="shared" si="9"/>
        <v>0.1</v>
      </c>
      <c r="MG12" s="71">
        <f t="shared" si="10"/>
        <v>14.75</v>
      </c>
      <c r="MH12" s="71">
        <f t="shared" si="11"/>
        <v>9.1999999999999993</v>
      </c>
      <c r="MI12" s="71">
        <f t="shared" si="12"/>
        <v>12</v>
      </c>
      <c r="MJ12" s="71">
        <f t="shared" si="13"/>
        <v>15.702500000000001</v>
      </c>
      <c r="MK12" s="71">
        <f t="shared" si="14"/>
        <v>0</v>
      </c>
      <c r="ML12" s="82" t="s">
        <v>96</v>
      </c>
      <c r="MM12" s="12">
        <f t="shared" si="21"/>
        <v>12.25</v>
      </c>
      <c r="MN12" s="12">
        <f t="shared" si="22"/>
        <v>47.232500000000002</v>
      </c>
      <c r="MO12" s="12">
        <f t="shared" si="23"/>
        <v>50.634999999999998</v>
      </c>
      <c r="MP12" s="12">
        <f t="shared" si="24"/>
        <v>97.867500000000007</v>
      </c>
      <c r="MQ12" s="12">
        <f t="shared" si="25"/>
        <v>12</v>
      </c>
      <c r="MR12" s="12">
        <f t="shared" si="26"/>
        <v>51.652500000000003</v>
      </c>
      <c r="MS12" s="12">
        <f t="shared" si="27"/>
        <v>149.52000000000001</v>
      </c>
    </row>
    <row r="13" spans="1:357" x14ac:dyDescent="0.2">
      <c r="A13" s="6" t="str">
        <f>IF(AND(F13="P",H13="P"),SUMPRODUCT((F$4:F$16="P")*(H$4:H$16="P")*(E$4:E$16&gt;E13))+1,IF(H13="P",SUMPRODUCT((F$4:F$16="")*(H$4:H$16="P")*(E$4:E$16&gt;E13))+1+SUMPRODUCT((F$4:F$16="P")*(H$4:H$16="P")),""))</f>
        <v/>
      </c>
      <c r="B13" s="9" t="s">
        <v>144</v>
      </c>
      <c r="C13" s="5" t="s">
        <v>10</v>
      </c>
      <c r="D13" s="29">
        <v>2000</v>
      </c>
      <c r="E13" s="16">
        <f>SUM(J13:R13)</f>
        <v>227.65499999999997</v>
      </c>
      <c r="F13" s="4" t="str">
        <f>IF(OR(AND($AK13&gt;=$AL$18,NOT($AK13=""),$AJ13=""),AND($BH13&gt;=$BI$18,NOT($BH13=""),$BG13=""),AND($CH13&gt;=$CI$18,NOT($CH13="")),AND($DD13&gt;=$DE$18,NOT($DD13="")),AND($DZ13&gt;=$EA$18,NOT($DZ13="")),AND($EV13&gt;=$EW$18,NOT($EV13="")),AND($FR13&gt;=$FS$18,NOT($FR13="")),AND($GN13&gt;=$GO$18,NOT($GN13="")),AND($HJ13&gt;=$HK$18,NOT($HJ13="")),AND($IF13&gt;=$IG$18,NOT($IF13="")),AND($JB13&gt;=$JC$18,NOT($JB13="")),AND($JX13&gt;=$JY$18,NOT($JX13="")),AND($KT13&gt;=$KU$18,NOT($KT13="")),AND($LP13&gt;=$LQ$18,NOT($LP13="")),AND($AO13&gt;=$AL$18,NOT($AO13=""),$AJ13=""),AND($BL13&gt;=$BI$18,NOT($BL13=""),$BG13=""),AND($CL13&gt;=$CI$18,NOT($CL13="")),AND($DH13&gt;=$DE$18,NOT($DH13="")),AND($ED13&gt;=$EA$18,NOT($ED13="")),AND($EZ13&gt;=$EW$18,NOT($EZ13="")),AND($FV13&gt;=$FS$18,NOT($FV13="")),AND($GR13&gt;=$GO$18,NOT($GR13="")),AND($HN13&gt;=$HK$18,NOT($HN13="")),AND($IJ13&gt;=$IG$18,NOT($IJ13="")),AND($JF13&gt;=$JC$18,NOT($JF13="")),AND($KB13&gt;=$JY$18,NOT($KB13="")),AND($KX13&gt;=$KU$18,NOT($KX13="")),AND($LT13&gt;=$LQ$18,NOT($LT13=""))),"P","")</f>
        <v/>
      </c>
      <c r="G13" s="4" t="str">
        <f>IF(OR(AND($AK13&gt;=$AL$19,NOT($AK13=""),$AJ13=""),AND($BH13&gt;=$BI$19,NOT($BH13=""),$BG13=""),AND($CH13&gt;=$CI$19,NOT($CH13="")),AND($DD13&gt;=$DE$19,NOT($DD13="")),AND($DZ13&gt;=$EA$19,NOT($DZ13="")),AND($EV13&gt;=$EW$19,NOT($EV13="")),AND($FR13&gt;=$FS$19,NOT($FR13="")),AND($GN13&gt;=$GO$19,NOT($GN13="")),AND($HJ13&gt;=$HK$19,NOT($HJ13="")),AND($IF13&gt;=$IG$19,NOT($IF13="")),AND($JB13&gt;=$JC$19,NOT($JB13="")),AND($JX13&gt;=$JY$19,NOT($JX13="")),AND($KT13&gt;=$KU$19,NOT($KT13="")),AND($LP13&gt;=$LQ$19,NOT($LP13="")),AND($AO13&gt;=$AL$19,NOT($AO13=""),$AJ13=""),AND($BL13&gt;=$BI$19,NOT($BL13=""),$BG13=""),AND($CL13&gt;=$CI$19,NOT($CL13="")),AND($DH13&gt;=$DE$19,NOT($DH13="")),AND($ED13&gt;=$EA$19,NOT($ED13="")),AND($EZ13&gt;=$EW$19,NOT($EZ13="")),AND($FV13&gt;=$FS$19,NOT($FV13="")),AND($GR13&gt;=$GO$19,NOT($GR13="")),AND($HN13&gt;=$HK$19,NOT($HN13="")),AND($IJ13&gt;=$IG$19,NOT($IJ13="")),AND($JF13&gt;=$JC$19,NOT($JF13="")),AND($KB13&gt;=$JY$19,NOT($KB13="")),AND($KX13&gt;=$KU$19,NOT($KX13="")),AND($LT13&gt;=$LQ$19,NOT($LT13=""))),"P","")</f>
        <v/>
      </c>
      <c r="H13" s="4" t="str">
        <f>IF(OR(AND($AN13&gt;=$AL$20,NOT($AN13=""),$AJ13=""),AND($BK13&gt;=$BI$20,NOT($BK13=""),$BG13=""),AND($CK13&gt;=$CI$20,NOT($CK13="")),AND($DG13&gt;=$DE$20,NOT($DG13="")),AND($EC13&gt;=$EA$20,NOT($EC13="")),AND($EY13&gt;=$EW$20,NOT($EY13="")),AND($FU13&gt;=$FS$20,NOT($FU13="")),AND($GQ13&gt;=$GO$20,NOT($GQ13="")),AND($HM13&gt;=$HK$20,NOT($HM13="")),AND($II13&gt;=$IG$20,NOT($II13="")),AND($JE13&gt;=$JC$20,NOT($JE13="")),AND($KA13&gt;=$JY$20,NOT($KA13="")),AND($KW13&gt;=$KU$20,NOT($KW13="")),AND($LS13&gt;=$LQ$20,NOT($LS13=""))),"P","")</f>
        <v/>
      </c>
      <c r="I13" t="str">
        <f>IF(AND(H13="P",F13=""),"No DD",IF(AND(G13="P",OR(AND($AM13&gt;$AL$23,NOT($AM13=""),$AJ13=""),AND($AP13&gt;$AL$23,NOT($AP13=""),$AJ13=""),AND($BJ13&gt;$BI$23,NOT($BJ13=""),$BG13=""),AND($BM13&gt;$BI$23,NOT($BM13=""),$BG13=""),AND($CJ13&gt;$CI$23,NOT($CJ13="")),AND($CM13&gt;$CI$23,NOT($CM13="")),AND($DF13&gt;$DE$23,NOT($DF13="")),AND($DI13&gt;$DE$23,NOT($DI13="")),AND($EB13&gt;$EA$23,NOT($EB13="")),AND($EE13&gt;$EA$23,NOT($EE13="")),AND($EX13&gt;$EW$23,NOT($EX13="")),AND($FA13&gt;$EW$23,NOT($FA13="")),AND($FT13&gt;$FS$23,NOT($FT13="")),AND($FW13&gt;$FS$23,NOT($FW13="")),AND($GP13&gt;$GO$23,NOT($GP13="")),AND($GS13&gt;$GO$23,NOT($GS13="")),AND($HL13&gt;$HK$23,NOT($HL13="")),AND($HO13&gt;$HK$23,NOT($HO13="")),AND($IH13&gt;$IG$23,NOT($IH13="")),AND($IK13&gt;$IG$23,NOT($IK13="")),AND($JD13&gt;$JC$23,NOT($JD13="")),AND($JG13&gt;$JC$23,NOT($JG13="")),AND($JZ13&gt;$JY$23,NOT($JZ13="")),AND($KC13&gt;$JY$23,NOT($KC13="")),AND($KV13&gt;$KU$23,NOT($KV13="")),AND($KY13&gt;$KU$23,NOT($KY13="")),AND($LR13&gt;$LQ$23,NOT($LR13="")),AND($LU13&gt;$LQ$23,NOT($LU13="")))),"Merit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Excellence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Worlds Team",IF(AND(F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National Team","")))))</f>
        <v/>
      </c>
      <c r="J13" s="15">
        <f>IF(MAX(AN13,BK13)&gt;0,MAX(AN13,BK13),"")</f>
        <v>91.669999999999987</v>
      </c>
      <c r="K13" s="15" t="str">
        <f>IF(J13="","",IF(J13=BK13,$AR$1,IF(J13=AN13,$U$1,"")))</f>
        <v>2019 Elite Canada</v>
      </c>
      <c r="L13" s="15">
        <f>IF($J13=$AN13,BI13,IF($J13=$BK13,AL13,MAX(AL13,BI13)))</f>
        <v>41.324999999999996</v>
      </c>
      <c r="M13" s="15" t="str">
        <f>IF(L13="","",IF(L13=BI13,$AR$1,IF(L13=AL13,$U$1,"")))</f>
        <v>2019 Nationals</v>
      </c>
      <c r="N13" s="15">
        <f>IF($J13=$AN13,BJ13,IF($J13=$BK13,AM13,MAX(AM13,BJ13)))</f>
        <v>46.074999999999996</v>
      </c>
      <c r="O13" s="15" t="str">
        <f>IF(N13="","",IF(AND(N13=BJ13,$K13&lt;&gt;$AR$1),$AR$1,IF(AND(N13=AM13,$K13&lt;&gt;$U$1),$U$1,"")))</f>
        <v>2019 Nationals</v>
      </c>
      <c r="P13" s="15">
        <f>IF(MAX(AP13,BM13)&gt;0,MAX(AP13,BM13),"")</f>
        <v>48.585000000000001</v>
      </c>
      <c r="Q13" s="15" t="str">
        <f>IF(P13="","",IF(P13=BM13,$AR$1,IF(P13=AP13,$U$1,"")))</f>
        <v>2019 Elite Canada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39">
        <v>17.8</v>
      </c>
      <c r="V13" s="39">
        <v>9.75</v>
      </c>
      <c r="W13" s="39">
        <v>3.4</v>
      </c>
      <c r="X13" s="39">
        <v>15.295</v>
      </c>
      <c r="Y13" s="39">
        <v>0</v>
      </c>
      <c r="Z13" s="39">
        <v>13.4</v>
      </c>
      <c r="AA13" s="39">
        <v>8.9499999999999993</v>
      </c>
      <c r="AB13" s="39">
        <v>10</v>
      </c>
      <c r="AC13" s="39">
        <v>14.275</v>
      </c>
      <c r="AD13" s="39">
        <v>1.2</v>
      </c>
      <c r="AE13" s="39">
        <v>14.7</v>
      </c>
      <c r="AF13" s="39">
        <v>9.1</v>
      </c>
      <c r="AG13" s="39">
        <v>10.7</v>
      </c>
      <c r="AH13" s="39">
        <v>14.585000000000001</v>
      </c>
      <c r="AI13" s="39">
        <v>0.5</v>
      </c>
      <c r="AJ13" s="82"/>
      <c r="AK13" s="12">
        <f>IF(AB13&gt;0,AB13,"")</f>
        <v>10</v>
      </c>
      <c r="AL13" s="12">
        <f>IF(SUM(U13:X13)-Y13&gt;0,SUM(U13:X13)-Y13,"")</f>
        <v>46.244999999999997</v>
      </c>
      <c r="AM13" s="12">
        <f>IF(SUM(Z13:AC13)-AD13&gt;0,SUM(Z13:AC13)-AD13,"")</f>
        <v>45.424999999999997</v>
      </c>
      <c r="AN13" s="12">
        <f>IF(SUM(AL13:AM13)&gt;0,SUM(AL13:AM13),"")</f>
        <v>91.669999999999987</v>
      </c>
      <c r="AO13" s="12">
        <f>IF(AG13&gt;0,AG13,"")</f>
        <v>10.7</v>
      </c>
      <c r="AP13" s="12">
        <f>IF(SUM(AE13:AH13)-AI13&gt;0,SUM(AE13:AH13)-AI13,"")</f>
        <v>48.585000000000001</v>
      </c>
      <c r="AQ13" s="12">
        <f>IF(SUM(AN13,AP13)&gt;0,SUM(AN13,AP13),"")</f>
        <v>140.255</v>
      </c>
      <c r="AR13" s="77">
        <v>16.399999999999999</v>
      </c>
      <c r="AS13" s="77">
        <v>8.9</v>
      </c>
      <c r="AT13" s="77">
        <v>1.9</v>
      </c>
      <c r="AU13" s="77">
        <v>14.125</v>
      </c>
      <c r="AV13" s="77">
        <v>0</v>
      </c>
      <c r="AW13" s="77">
        <v>14.2</v>
      </c>
      <c r="AX13" s="77">
        <v>9.3000000000000007</v>
      </c>
      <c r="AY13" s="77">
        <v>10</v>
      </c>
      <c r="AZ13" s="77">
        <v>13.775</v>
      </c>
      <c r="BA13" s="77">
        <v>1.2</v>
      </c>
      <c r="BB13" s="77">
        <v>6.36</v>
      </c>
      <c r="BC13" s="77">
        <v>3.8</v>
      </c>
      <c r="BD13" s="77">
        <v>5</v>
      </c>
      <c r="BE13" s="77">
        <v>6.08</v>
      </c>
      <c r="BF13" s="77"/>
      <c r="BG13" s="83"/>
      <c r="BH13" s="15">
        <f>IF(AY13&gt;0,AY13,"")</f>
        <v>10</v>
      </c>
      <c r="BI13" s="15">
        <f>IF(SUM(AR13:AU13)-AV13&gt;0,SUM(AR13:AU13)-AV13,"")</f>
        <v>41.324999999999996</v>
      </c>
      <c r="BJ13" s="15">
        <f>IF(SUM(AW13:AZ13)-BA13&gt;0,SUM(AW13:AZ13)-BA13,"")</f>
        <v>46.074999999999996</v>
      </c>
      <c r="BK13" s="15">
        <f>IF(SUM(BI13:BJ13)&gt;0,SUM(BI13:BJ13),"")</f>
        <v>87.399999999999991</v>
      </c>
      <c r="BL13" s="15">
        <f>IF(BD13&gt;0,BD13,"")</f>
        <v>5</v>
      </c>
      <c r="BM13" s="15">
        <f>IF(SUM(BB13:BE13)-BF13&gt;0,SUM(BB13:BE13)-BF13,"")</f>
        <v>21.240000000000002</v>
      </c>
      <c r="BN13" s="15">
        <f>IF(SUM(BK13,BM13)&gt;0,SUM(BK13,BM13),"")</f>
        <v>108.63999999999999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0"/>
        <v>17.100000000000001</v>
      </c>
      <c r="LX13" s="71">
        <f t="shared" si="1"/>
        <v>9.3249999999999993</v>
      </c>
      <c r="LY13" s="71">
        <f t="shared" si="2"/>
        <v>2.65</v>
      </c>
      <c r="LZ13" s="71">
        <f t="shared" si="3"/>
        <v>14.71</v>
      </c>
      <c r="MA13" s="71">
        <f t="shared" si="4"/>
        <v>0</v>
      </c>
      <c r="MB13" s="71">
        <f t="shared" si="5"/>
        <v>13.8</v>
      </c>
      <c r="MC13" s="71">
        <f t="shared" si="6"/>
        <v>9.125</v>
      </c>
      <c r="MD13" s="71">
        <f t="shared" si="7"/>
        <v>10</v>
      </c>
      <c r="ME13" s="71">
        <f t="shared" si="8"/>
        <v>14.025</v>
      </c>
      <c r="MF13" s="71">
        <f t="shared" si="9"/>
        <v>1.2</v>
      </c>
      <c r="MG13" s="71">
        <f t="shared" si="10"/>
        <v>10.53</v>
      </c>
      <c r="MH13" s="71">
        <f t="shared" si="11"/>
        <v>6.4499999999999993</v>
      </c>
      <c r="MI13" s="71">
        <f t="shared" si="12"/>
        <v>7.85</v>
      </c>
      <c r="MJ13" s="71">
        <f t="shared" si="13"/>
        <v>10.3325</v>
      </c>
      <c r="MK13" s="71">
        <f t="shared" si="14"/>
        <v>0.25</v>
      </c>
      <c r="ML13" s="82" t="s">
        <v>96</v>
      </c>
      <c r="MM13" s="12">
        <f t="shared" si="21"/>
        <v>10</v>
      </c>
      <c r="MN13" s="12">
        <f t="shared" si="22"/>
        <v>43.784999999999997</v>
      </c>
      <c r="MO13" s="12">
        <f t="shared" si="23"/>
        <v>45.749999999999993</v>
      </c>
      <c r="MP13" s="12">
        <f t="shared" si="24"/>
        <v>89.534999999999997</v>
      </c>
      <c r="MQ13" s="12">
        <f t="shared" si="25"/>
        <v>7.85</v>
      </c>
      <c r="MR13" s="12">
        <f t="shared" si="26"/>
        <v>34.912499999999994</v>
      </c>
      <c r="MS13" s="12">
        <f t="shared" si="27"/>
        <v>124.44749999999999</v>
      </c>
    </row>
    <row r="14" spans="1:357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40</v>
      </c>
      <c r="C14" s="5" t="s">
        <v>10</v>
      </c>
      <c r="D14" s="29">
        <v>1995</v>
      </c>
      <c r="E14" s="16">
        <f>SUM(J14:R14)</f>
        <v>190.48500000000001</v>
      </c>
      <c r="F14" s="4" t="str">
        <f>IF(OR(AND($AK14&gt;=$AL$18,NOT($AK14=""),$AJ14=""),AND($BH14&gt;=$BI$18,NOT($BH14=""),$BG14=""),AND($CH14&gt;=$CI$18,NOT($CH14="")),AND($DD14&gt;=$DE$18,NOT($DD14="")),AND($DZ14&gt;=$EA$18,NOT($DZ14="")),AND($EV14&gt;=$EW$18,NOT($EV14="")),AND($FR14&gt;=$FS$18,NOT($FR14="")),AND($GN14&gt;=$GO$18,NOT($GN14="")),AND($HJ14&gt;=$HK$18,NOT($HJ14="")),AND($IF14&gt;=$IG$18,NOT($IF14="")),AND($JB14&gt;=$JC$18,NOT($JB14="")),AND($JX14&gt;=$JY$18,NOT($JX14="")),AND($KT14&gt;=$KU$18,NOT($KT14="")),AND($LP14&gt;=$LQ$18,NOT($LP14="")),AND($AO14&gt;=$AL$18,NOT($AO14=""),$AJ14=""),AND($BL14&gt;=$BI$18,NOT($BL14=""),$BG14=""),AND($CL14&gt;=$CI$18,NOT($CL14="")),AND($DH14&gt;=$DE$18,NOT($DH14="")),AND($ED14&gt;=$EA$18,NOT($ED14="")),AND($EZ14&gt;=$EW$18,NOT($EZ14="")),AND($FV14&gt;=$FS$18,NOT($FV14="")),AND($GR14&gt;=$GO$18,NOT($GR14="")),AND($HN14&gt;=$HK$18,NOT($HN14="")),AND($IJ14&gt;=$IG$18,NOT($IJ14="")),AND($JF14&gt;=$JC$18,NOT($JF14="")),AND($KB14&gt;=$JY$18,NOT($KB14="")),AND($KX14&gt;=$KU$18,NOT($KX14="")),AND($LT14&gt;=$LQ$18,NOT($LT14=""))),"P","")</f>
        <v/>
      </c>
      <c r="G14" s="4" t="str">
        <f>IF(OR(AND($AK14&gt;=$AL$19,NOT($AK14=""),$AJ14=""),AND($BH14&gt;=$BI$19,NOT($BH14=""),$BG14=""),AND($CH14&gt;=$CI$19,NOT($CH14="")),AND($DD14&gt;=$DE$19,NOT($DD14="")),AND($DZ14&gt;=$EA$19,NOT($DZ14="")),AND($EV14&gt;=$EW$19,NOT($EV14="")),AND($FR14&gt;=$FS$19,NOT($FR14="")),AND($GN14&gt;=$GO$19,NOT($GN14="")),AND($HJ14&gt;=$HK$19,NOT($HJ14="")),AND($IF14&gt;=$IG$19,NOT($IF14="")),AND($JB14&gt;=$JC$19,NOT($JB14="")),AND($JX14&gt;=$JY$19,NOT($JX14="")),AND($KT14&gt;=$KU$19,NOT($KT14="")),AND($LP14&gt;=$LQ$19,NOT($LP14="")),AND($AO14&gt;=$AL$19,NOT($AO14=""),$AJ14=""),AND($BL14&gt;=$BI$19,NOT($BL14=""),$BG14=""),AND($CL14&gt;=$CI$19,NOT($CL14="")),AND($DH14&gt;=$DE$19,NOT($DH14="")),AND($ED14&gt;=$EA$19,NOT($ED14="")),AND($EZ14&gt;=$EW$19,NOT($EZ14="")),AND($FV14&gt;=$FS$19,NOT($FV14="")),AND($GR14&gt;=$GO$19,NOT($GR14="")),AND($HN14&gt;=$HK$19,NOT($HN14="")),AND($IJ14&gt;=$IG$19,NOT($IJ14="")),AND($JF14&gt;=$JC$19,NOT($JF14="")),AND($KB14&gt;=$JY$19,NOT($KB14="")),AND($KX14&gt;=$KU$19,NOT($KX14="")),AND($LT14&gt;=$LQ$19,NOT($LT14=""))),"P","")</f>
        <v/>
      </c>
      <c r="H14" s="4" t="str">
        <f>IF(OR(AND($AN14&gt;=$AL$20,NOT($AN14=""),$AJ14=""),AND($BK14&gt;=$BI$20,NOT($BK14=""),$BG14=""),AND($CK14&gt;=$CI$20,NOT($CK14="")),AND($DG14&gt;=$DE$20,NOT($DG14="")),AND($EC14&gt;=$EA$20,NOT($EC14="")),AND($EY14&gt;=$EW$20,NOT($EY14="")),AND($FU14&gt;=$FS$20,NOT($FU14="")),AND($GQ14&gt;=$GO$20,NOT($GQ14="")),AND($HM14&gt;=$HK$20,NOT($HM14="")),AND($II14&gt;=$IG$20,NOT($II14="")),AND($JE14&gt;=$JC$20,NOT($JE14="")),AND($KA14&gt;=$JY$20,NOT($KA14="")),AND($KW14&gt;=$KU$20,NOT($KW14="")),AND($LS14&gt;=$LQ$20,NOT($LS14=""))),"P","")</f>
        <v/>
      </c>
      <c r="I14" t="str">
        <f>IF(AND(H14="P",F14=""),"No DD",IF(AND(G14="P",OR(AND($AM14&gt;$AL$23,NOT($AM14=""),$AJ14=""),AND($AP14&gt;$AL$23,NOT($AP14=""),$AJ14=""),AND($BJ14&gt;$BI$23,NOT($BJ14=""),$BG14=""),AND($BM14&gt;$BI$23,NOT($BM14=""),$BG14=""),AND($CJ14&gt;$CI$23,NOT($CJ14="")),AND($CM14&gt;$CI$23,NOT($CM14="")),AND($DF14&gt;$DE$23,NOT($DF14="")),AND($DI14&gt;$DE$23,NOT($DI14="")),AND($EB14&gt;$EA$23,NOT($EB14="")),AND($EE14&gt;$EA$23,NOT($EE14="")),AND($EX14&gt;$EW$23,NOT($EX14="")),AND($FA14&gt;$EW$23,NOT($FA14="")),AND($FT14&gt;$FS$23,NOT($FT14="")),AND($FW14&gt;$FS$23,NOT($FW14="")),AND($GP14&gt;$GO$23,NOT($GP14="")),AND($GS14&gt;$GO$23,NOT($GS14="")),AND($HL14&gt;$HK$23,NOT($HL14="")),AND($HO14&gt;$HK$23,NOT($HO14="")),AND($IH14&gt;$IG$23,NOT($IH14="")),AND($IK14&gt;$IG$23,NOT($IK14="")),AND($JD14&gt;$JC$23,NOT($JD14="")),AND($JG14&gt;$JC$23,NOT($JG14="")),AND($JZ14&gt;$JY$23,NOT($JZ14="")),AND($KC14&gt;$JY$23,NOT($KC14="")),AND($KV14&gt;$KU$23,NOT($KV14="")),AND($KY14&gt;$KU$23,NOT($KY14="")),AND($LR14&gt;$LQ$23,NOT($LR14="")),AND($LU14&gt;$LQ$23,NOT($LU14="")))),"Merit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Excellence",IF(AND(G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Worlds Team",IF(AND(F14="P",OR(AND($AN14&gt;$AL$20,NOT($AN14=""),$AJ14=""),AND($BK14&gt;$BI$20,NOT($BK14=""),$BG14=""),AND($CK14&gt;$CI$20,NOT($CK14="")),AND($DG14&gt;$DE$20,NOT($DG14="")),AND($EC14&gt;$EA$20,NOT($EC14="")),AND($EY14&gt;$EW$20,NOT($EY14="")),AND($FU14&gt;$FS$20,NOT($FU14="")),AND($GQ14&gt;$GO$20,NOT($GQ14="")),AND($HM14&gt;$HK$20,NOT($HM14="")),AND($II14&gt;$IG$20,NOT($II14="")),AND($JE14&gt;$JC$20,NOT($JE14="")),AND($KA14&gt;$JY$20,NOT($KA14="")),AND($KW14&gt;$KU$20,NOT($KW14="")),AND($LS14&gt;$LQ$20,NOT($LS14="")))),"National Team","")))))</f>
        <v/>
      </c>
      <c r="J14" s="15">
        <f>IF(MAX(AN14,BK14)&gt;0,MAX(AN14,BK14),"")</f>
        <v>90.935000000000002</v>
      </c>
      <c r="K14" s="15" t="str">
        <f>IF(J14="","",IF(J14=BK14,$AR$1,IF(J14=AN14,$U$1,"")))</f>
        <v>2019 Nationals</v>
      </c>
      <c r="L14" s="15">
        <f>IF($J14=$AN14,BI14,IF($J14=$BK14,AL14,MAX(AL14,BI14)))</f>
        <v>41.835000000000001</v>
      </c>
      <c r="M14" s="15" t="str">
        <f>IF(L14="","",IF(L14=BI14,$AR$1,IF(L14=AL14,$U$1,"")))</f>
        <v>2019 Elite Canada</v>
      </c>
      <c r="N14" s="15">
        <f>IF($J14=$AN14,BJ14,IF($J14=$BK14,AM14,MAX(AM14,BJ14)))</f>
        <v>9.4700000000000006</v>
      </c>
      <c r="O14" s="15" t="str">
        <f>IF(N14="","",IF(AND(N14=BJ14,$K14&lt;&gt;$AR$1),$AR$1,IF(AND(N14=AM14,$K14&lt;&gt;$U$1),$U$1,"")))</f>
        <v>2019 Elite Canada</v>
      </c>
      <c r="P14" s="15">
        <f>IF(MAX(AP14,BM14)&gt;0,MAX(AP14,BM14),"")</f>
        <v>48.245000000000005</v>
      </c>
      <c r="Q14" s="15" t="str">
        <f>IF(P14="","",IF(P14=BM14,$AR$1,IF(P14=AP14,$U$1,"")))</f>
        <v>2019 Nationals</v>
      </c>
      <c r="R14" s="15" t="str">
        <f>IF(MAX(BO14,BP14,BQ14,BR14)&gt;0,MAX(BO14,BP14,BQ14,BR14),"")</f>
        <v/>
      </c>
      <c r="S14" s="27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39">
        <v>15.5</v>
      </c>
      <c r="V14" s="39">
        <v>8.8000000000000007</v>
      </c>
      <c r="W14" s="39">
        <v>3.4</v>
      </c>
      <c r="X14" s="39">
        <v>14.135</v>
      </c>
      <c r="Y14" s="39">
        <v>0</v>
      </c>
      <c r="Z14" s="39">
        <v>2.7</v>
      </c>
      <c r="AA14" s="39">
        <v>1.8</v>
      </c>
      <c r="AB14" s="39">
        <v>2</v>
      </c>
      <c r="AC14" s="39">
        <v>2.97</v>
      </c>
      <c r="AD14" s="39">
        <v>0</v>
      </c>
      <c r="AE14" s="39"/>
      <c r="AF14" s="39"/>
      <c r="AG14" s="39"/>
      <c r="AH14" s="39"/>
      <c r="AI14" s="39"/>
      <c r="AJ14" s="82"/>
      <c r="AK14" s="12">
        <f>IF(AB14&gt;0,AB14,"")</f>
        <v>2</v>
      </c>
      <c r="AL14" s="12">
        <f>IF(SUM(U14:X14)-Y14&gt;0,SUM(U14:X14)-Y14,"")</f>
        <v>41.835000000000001</v>
      </c>
      <c r="AM14" s="12">
        <f>IF(SUM(Z14:AC14)-AD14&gt;0,SUM(Z14:AC14)-AD14,"")</f>
        <v>9.4700000000000006</v>
      </c>
      <c r="AN14" s="12">
        <f>IF(SUM(AL14:AM14)&gt;0,SUM(AL14:AM14),"")</f>
        <v>51.305</v>
      </c>
      <c r="AO14" s="12" t="str">
        <f>IF(AG14&gt;0,AG14,"")</f>
        <v/>
      </c>
      <c r="AP14" s="12" t="str">
        <f>IF(SUM(AE14:AH14)-AI14&gt;0,SUM(AE14:AH14)-AI14,"")</f>
        <v/>
      </c>
      <c r="AQ14" s="12">
        <f>IF(SUM(AN14,AP14)&gt;0,SUM(AN14,AP14),"")</f>
        <v>51.305</v>
      </c>
      <c r="AR14" s="77">
        <v>15.9</v>
      </c>
      <c r="AS14" s="77">
        <v>9.3000000000000007</v>
      </c>
      <c r="AT14" s="77">
        <v>4</v>
      </c>
      <c r="AU14" s="77">
        <v>14</v>
      </c>
      <c r="AV14" s="77">
        <v>0</v>
      </c>
      <c r="AW14" s="77">
        <v>13.1</v>
      </c>
      <c r="AX14" s="77">
        <v>9.5</v>
      </c>
      <c r="AY14" s="77">
        <v>11.4</v>
      </c>
      <c r="AZ14" s="77">
        <v>13.734999999999999</v>
      </c>
      <c r="BA14" s="77">
        <v>0</v>
      </c>
      <c r="BB14" s="77">
        <v>13.78</v>
      </c>
      <c r="BC14" s="77">
        <v>9.3000000000000007</v>
      </c>
      <c r="BD14" s="77">
        <v>11.2</v>
      </c>
      <c r="BE14" s="77">
        <v>13.965</v>
      </c>
      <c r="BF14" s="77"/>
      <c r="BG14" s="83"/>
      <c r="BH14" s="15">
        <f>IF(AY14&gt;0,AY14,"")</f>
        <v>11.4</v>
      </c>
      <c r="BI14" s="15">
        <f>IF(SUM(AR14:AU14)-AV14&gt;0,SUM(AR14:AU14)-AV14,"")</f>
        <v>43.2</v>
      </c>
      <c r="BJ14" s="15">
        <f>IF(SUM(AW14:AZ14)-BA14&gt;0,SUM(AW14:AZ14)-BA14,"")</f>
        <v>47.734999999999999</v>
      </c>
      <c r="BK14" s="15">
        <f>IF(SUM(BI14:BJ14)&gt;0,SUM(BI14:BJ14),"")</f>
        <v>90.935000000000002</v>
      </c>
      <c r="BL14" s="15">
        <f>IF(BD14&gt;0,BD14,"")</f>
        <v>11.2</v>
      </c>
      <c r="BM14" s="15">
        <f>IF(SUM(BB14:BE14)-BF14&gt;0,SUM(BB14:BE14)-BF14,"")</f>
        <v>48.245000000000005</v>
      </c>
      <c r="BN14" s="15">
        <f>IF(SUM(BK14,BM14)&gt;0,SUM(BK14,BM14),"")</f>
        <v>139.18</v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 t="str">
        <f>IF(MAX(CJ14,DF14,EB14,EX14,FT14,GP14,HL14,IH14,JD14,JZ14,KV14,LR14)-IF(N14="",0,N14)&gt;0.001,MAX(CJ14,DF14,EB14,EX14,FT14,GP14,HL14,IH14,JD14,JZ14,KV14,LR14)-IF(N14="",0,N14),"")</f>
        <v/>
      </c>
      <c r="BQ14" s="26" t="str">
        <f>IF(MAX(CK14,DG14,EC14,EY14,FU14,GQ14,HM14,II14,JE14,KA14,KW14,LS14)-IF(J14="",0,J14)&gt;0.001,MAX(CK14,DG14,EC14,EY14,FU14,GQ14,HM14,II14,JE14,KA14,KW14,LS14)-IF(J14="",0,J14),"")</f>
        <v/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0"/>
        <v>15.7</v>
      </c>
      <c r="LX14" s="71">
        <f t="shared" si="1"/>
        <v>9.0500000000000007</v>
      </c>
      <c r="LY14" s="71">
        <f t="shared" si="2"/>
        <v>3.7</v>
      </c>
      <c r="LZ14" s="71">
        <f t="shared" si="3"/>
        <v>14.067499999999999</v>
      </c>
      <c r="MA14" s="71">
        <f t="shared" si="4"/>
        <v>0</v>
      </c>
      <c r="MB14" s="71">
        <f t="shared" si="5"/>
        <v>7.9</v>
      </c>
      <c r="MC14" s="71">
        <f t="shared" si="6"/>
        <v>5.65</v>
      </c>
      <c r="MD14" s="71">
        <f t="shared" si="7"/>
        <v>6.7</v>
      </c>
      <c r="ME14" s="71">
        <f t="shared" si="8"/>
        <v>8.3524999999999991</v>
      </c>
      <c r="MF14" s="71">
        <f t="shared" si="9"/>
        <v>0</v>
      </c>
      <c r="MG14" s="71">
        <f t="shared" si="10"/>
        <v>6.89</v>
      </c>
      <c r="MH14" s="71">
        <f t="shared" si="11"/>
        <v>4.6500000000000004</v>
      </c>
      <c r="MI14" s="71">
        <f t="shared" si="12"/>
        <v>5.6</v>
      </c>
      <c r="MJ14" s="71">
        <f t="shared" si="13"/>
        <v>6.9824999999999999</v>
      </c>
      <c r="MK14" s="71">
        <f t="shared" si="14"/>
        <v>0</v>
      </c>
      <c r="ML14" s="82" t="s">
        <v>96</v>
      </c>
      <c r="MM14" s="12">
        <f t="shared" ref="MM14" si="28">IF(MD14&gt;0,MD14,"")</f>
        <v>6.7</v>
      </c>
      <c r="MN14" s="12">
        <f t="shared" ref="MN14" si="29">IF(SUM(LW14:LZ14)-MA14&gt;0,SUM(LW14:LZ14)-MA14,"")</f>
        <v>42.517499999999998</v>
      </c>
      <c r="MO14" s="12">
        <f t="shared" ref="MO14" si="30">IF(SUM(MB14:ME14)-MF14&gt;0,SUM(MB14:ME14)-MF14,"")</f>
        <v>28.602499999999999</v>
      </c>
      <c r="MP14" s="12">
        <f t="shared" ref="MP14" si="31">IF(SUM(MN14:MO14)&gt;0,SUM(MN14:MO14),"")</f>
        <v>71.12</v>
      </c>
      <c r="MQ14" s="12">
        <f t="shared" si="25"/>
        <v>5.6</v>
      </c>
      <c r="MR14" s="12">
        <f t="shared" ref="MR14" si="32">IF(SUM(MG14:MJ14)-MK14&gt;0,SUM(MG14:MJ14)-MK14,"")</f>
        <v>24.122500000000002</v>
      </c>
      <c r="MS14" s="12">
        <f t="shared" ref="MS14" si="33">IF(SUM(MP14,MR14)&gt;0,SUM(MP14,MR14),"")</f>
        <v>95.242500000000007</v>
      </c>
    </row>
    <row r="15" spans="1:357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39</v>
      </c>
      <c r="C15" s="5" t="s">
        <v>10</v>
      </c>
      <c r="D15" s="29">
        <v>1998</v>
      </c>
      <c r="E15" s="16">
        <f>SUM(J15:R15)</f>
        <v>54.815000000000005</v>
      </c>
      <c r="F15" s="4" t="str">
        <f>IF(OR(AND($AK15&gt;=$AL$18,NOT($AK15=""),$AJ15=""),AND($BH15&gt;=$BI$18,NOT($BH15=""),$BG15=""),AND($CH15&gt;=$CI$18,NOT($CH15="")),AND($DD15&gt;=$DE$18,NOT($DD15="")),AND($DZ15&gt;=$EA$18,NOT($DZ15="")),AND($EV15&gt;=$EW$18,NOT($EV15="")),AND($FR15&gt;=$FS$18,NOT($FR15="")),AND($GN15&gt;=$GO$18,NOT($GN15="")),AND($HJ15&gt;=$HK$18,NOT($HJ15="")),AND($IF15&gt;=$IG$18,NOT($IF15="")),AND($JB15&gt;=$JC$18,NOT($JB15="")),AND($JX15&gt;=$JY$18,NOT($JX15="")),AND($KT15&gt;=$KU$18,NOT($KT15="")),AND($LP15&gt;=$LQ$18,NOT($LP15="")),AND($AO15&gt;=$AL$18,NOT($AO15=""),$AJ15=""),AND($BL15&gt;=$BI$18,NOT($BL15=""),$BG15=""),AND($CL15&gt;=$CI$18,NOT($CL15="")),AND($DH15&gt;=$DE$18,NOT($DH15="")),AND($ED15&gt;=$EA$18,NOT($ED15="")),AND($EZ15&gt;=$EW$18,NOT($EZ15="")),AND($FV15&gt;=$FS$18,NOT($FV15="")),AND($GR15&gt;=$GO$18,NOT($GR15="")),AND($HN15&gt;=$HK$18,NOT($HN15="")),AND($IJ15&gt;=$IG$18,NOT($IJ15="")),AND($JF15&gt;=$JC$18,NOT($JF15="")),AND($KB15&gt;=$JY$18,NOT($KB15="")),AND($KX15&gt;=$KU$18,NOT($KX15="")),AND($LT15&gt;=$LQ$18,NOT($LT15=""))),"P","")</f>
        <v/>
      </c>
      <c r="G15" s="4" t="str">
        <f>IF(OR(AND($AK15&gt;=$AL$19,NOT($AK15=""),$AJ15=""),AND($BH15&gt;=$BI$19,NOT($BH15=""),$BG15=""),AND($CH15&gt;=$CI$19,NOT($CH15="")),AND($DD15&gt;=$DE$19,NOT($DD15="")),AND($DZ15&gt;=$EA$19,NOT($DZ15="")),AND($EV15&gt;=$EW$19,NOT($EV15="")),AND($FR15&gt;=$FS$19,NOT($FR15="")),AND($GN15&gt;=$GO$19,NOT($GN15="")),AND($HJ15&gt;=$HK$19,NOT($HJ15="")),AND($IF15&gt;=$IG$19,NOT($IF15="")),AND($JB15&gt;=$JC$19,NOT($JB15="")),AND($JX15&gt;=$JY$19,NOT($JX15="")),AND($KT15&gt;=$KU$19,NOT($KT15="")),AND($LP15&gt;=$LQ$19,NOT($LP15="")),AND($AO15&gt;=$AL$19,NOT($AO15=""),$AJ15=""),AND($BL15&gt;=$BI$19,NOT($BL15=""),$BG15=""),AND($CL15&gt;=$CI$19,NOT($CL15="")),AND($DH15&gt;=$DE$19,NOT($DH15="")),AND($ED15&gt;=$EA$19,NOT($ED15="")),AND($EZ15&gt;=$EW$19,NOT($EZ15="")),AND($FV15&gt;=$FS$19,NOT($FV15="")),AND($GR15&gt;=$GO$19,NOT($GR15="")),AND($HN15&gt;=$HK$19,NOT($HN15="")),AND($IJ15&gt;=$IG$19,NOT($IJ15="")),AND($JF15&gt;=$JC$19,NOT($JF15="")),AND($KB15&gt;=$JY$19,NOT($KB15="")),AND($KX15&gt;=$KU$19,NOT($KX15="")),AND($LT15&gt;=$LQ$19,NOT($LT15=""))),"P","")</f>
        <v/>
      </c>
      <c r="H15" s="4" t="str">
        <f>IF(OR(AND($AN15&gt;=$AL$20,NOT($AN15=""),$AJ15=""),AND($BK15&gt;=$BI$20,NOT($BK15=""),$BG15=""),AND($CK15&gt;=$CI$20,NOT($CK15="")),AND($DG15&gt;=$DE$20,NOT($DG15="")),AND($EC15&gt;=$EA$20,NOT($EC15="")),AND($EY15&gt;=$EW$20,NOT($EY15="")),AND($FU15&gt;=$FS$20,NOT($FU15="")),AND($GQ15&gt;=$GO$20,NOT($GQ15="")),AND($HM15&gt;=$HK$20,NOT($HM15="")),AND($II15&gt;=$IG$20,NOT($II15="")),AND($JE15&gt;=$JC$20,NOT($JE15="")),AND($KA15&gt;=$JY$20,NOT($KA15="")),AND($KW15&gt;=$KU$20,NOT($KW15="")),AND($LS15&gt;=$LQ$20,NOT($LS15=""))),"P","")</f>
        <v/>
      </c>
      <c r="I15" t="str">
        <f>IF(AND(H15="P",F15=""),"No DD",IF(AND(G15="P",OR(AND($AM15&gt;$AL$23,NOT($AM15=""),$AJ15=""),AND($AP15&gt;$AL$23,NOT($AP15=""),$AJ15=""),AND($BJ15&gt;$BI$23,NOT($BJ15=""),$BG15=""),AND($BM15&gt;$BI$23,NOT($BM15=""),$BG15=""),AND($CJ15&gt;$CI$23,NOT($CJ15="")),AND($CM15&gt;$CI$23,NOT($CM15="")),AND($DF15&gt;$DE$23,NOT($DF15="")),AND($DI15&gt;$DE$23,NOT($DI15="")),AND($EB15&gt;$EA$23,NOT($EB15="")),AND($EE15&gt;$EA$23,NOT($EE15="")),AND($EX15&gt;$EW$23,NOT($EX15="")),AND($FA15&gt;$EW$23,NOT($FA15="")),AND($FT15&gt;$FS$23,NOT($FT15="")),AND($FW15&gt;$FS$23,NOT($FW15="")),AND($GP15&gt;$GO$23,NOT($GP15="")),AND($GS15&gt;$GO$23,NOT($GS15="")),AND($HL15&gt;$HK$23,NOT($HL15="")),AND($HO15&gt;$HK$23,NOT($HO15="")),AND($IH15&gt;$IG$23,NOT($IH15="")),AND($IK15&gt;$IG$23,NOT($IK15="")),AND($JD15&gt;$JC$23,NOT($JD15="")),AND($JG15&gt;$JC$23,NOT($JG15="")),AND($JZ15&gt;$JY$23,NOT($JZ15="")),AND($KC15&gt;$JY$23,NOT($KC15="")),AND($KV15&gt;$KU$23,NOT($KV15="")),AND($KY15&gt;$KU$23,NOT($KY15="")),AND($LR15&gt;$LQ$23,NOT($LR15="")),AND($LU15&gt;$LQ$23,NOT($LU15="")))),"Merit",IF(AND(G15="P",OR(AND($AN15&gt;$AL$22,NOT($AN15=""),$AJ15=""),AND($BK15&gt;$BI$22,NOT($BK15=""),$BG15=""),AND($CK15&gt;$CI$22,NOT($CK15="")),AND($DG15&gt;$DE$22,NOT($DG15="")),AND($EC15&gt;$EA$22,NOT($EC15="")),AND($EY15&gt;$EW$22,NOT($EY15="")),AND($FU15&gt;$FS$22,NOT($FU15="")),AND($GQ15&gt;$GO$22,NOT($GQ15="")),AND($HM15&gt;$HK$22,NOT($HM15="")),AND($II15&gt;$IG$22,NOT($II15="")),AND($JE15&gt;$JC$22,NOT($JE15="")),AND($KA15&gt;$JY$22,NOT($KA15="")),AND($KW15&gt;$KU$22,NOT($KW15="")),AND($LS15&gt;$LQ$22,NOT($LS15="")))),"Excellence",IF(AND(G15="P",OR(AND($AN15&gt;$AL$21,NOT($AN15=""),$AJ15=""),AND($BK15&gt;$BI$21,NOT($BK15=""),$BG15=""),AND($CK15&gt;$CI$21,NOT($CK15="")),AND($DG15&gt;$DE$21,NOT($DG15="")),AND($EC15&gt;$EA$21,NOT($EC15="")),AND($EY15&gt;$EW$21,NOT($EY15="")),AND($FU15&gt;$FS$21,NOT($FU15="")),AND($GQ15&gt;$GO$21,NOT($GQ15="")),AND($HM15&gt;$HK$21,NOT($HM15="")),AND($II15&gt;$IG$21,NOT($II15="")),AND($JE15&gt;$JC$21,NOT($JE15="")),AND($KA15&gt;$JY$21,NOT($KA15="")),AND($KW15&gt;$KU$21,NOT($KW15="")),AND($LS15&gt;$LQ$21,NOT($LS15="")))),"Worlds Team",IF(AND(F15="P",OR(AND($AN15&gt;$AL$20,NOT($AN15=""),$AJ15=""),AND($BK15&gt;$BI$20,NOT($BK15=""),$BG15=""),AND($CK15&gt;$CI$20,NOT($CK15="")),AND($DG15&gt;$DE$20,NOT($DG15="")),AND($EC15&gt;$EA$20,NOT($EC15="")),AND($EY15&gt;$EW$20,NOT($EY15="")),AND($FU15&gt;$FS$20,NOT($FU15="")),AND($GQ15&gt;$GO$20,NOT($GQ15="")),AND($HM15&gt;$HK$20,NOT($HM15="")),AND($II15&gt;$IG$20,NOT($II15="")),AND($JE15&gt;$JC$20,NOT($JE15="")),AND($KA15&gt;$JY$20,NOT($KA15="")),AND($KW15&gt;$KU$20,NOT($KW15="")),AND($LS15&gt;$LQ$20,NOT($LS15="")))),"National Team","")))))</f>
        <v/>
      </c>
      <c r="J15" s="15" t="str">
        <f>IF(MAX(AN15,BK15)&gt;0,MAX(AN15,BK15),"")</f>
        <v/>
      </c>
      <c r="K15" s="15" t="str">
        <f>IF(J15="","",IF(J15=BK15,$AR$1,IF(J15=AN15,$U$1,"")))</f>
        <v/>
      </c>
      <c r="L15" s="15" t="str">
        <f>IF($J15=$AN15,BI15,IF($J15=$BK15,AL15,MAX(AL15,BI15)))</f>
        <v/>
      </c>
      <c r="M15" s="15" t="str">
        <f>IF(L15="","",IF(L15=BI15,$AR$1,IF(L15=AL15,$U$1,"")))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 t="str">
        <f>IF(MAX(AP15,BM15)&gt;0,MAX(AP15,BM15),"")</f>
        <v/>
      </c>
      <c r="Q15" s="15" t="str">
        <f>IF(P15="","",IF(P15=BM15,$AR$1,IF(P15=AP15,$U$1,"")))</f>
        <v/>
      </c>
      <c r="R15" s="15">
        <f>IF(MAX(BO15,BP15,BQ15,BR15)&gt;0,MAX(BO15,BP15,BQ15,BR15),"")</f>
        <v>54.815000000000005</v>
      </c>
      <c r="S15" s="27" t="str">
        <f>IF(R15="","",IF(R15=BO15,"(Vol 1)",IF(R15=BP15,"(Vol 2)",IF(R15=BQ15,"(Prelim)",IF(R15=BR15,"(Final)")))))</f>
        <v>(Prelim)</v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>2019 Scalabis Cup (July 6)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>IF(AB15&gt;0,AB15,"")</f>
        <v/>
      </c>
      <c r="AL15" s="12" t="str">
        <f>IF(SUM(U15:X15)-Y15&gt;0,SUM(U15:X15)-Y15,"")</f>
        <v/>
      </c>
      <c r="AM15" s="12" t="str">
        <f>IF(SUM(Z15:AC15)-AD15&gt;0,SUM(Z15:AC15)-AD15,"")</f>
        <v/>
      </c>
      <c r="AN15" s="12" t="str">
        <f>IF(SUM(AL15:AM15)&gt;0,SUM(AL15:AM15),"")</f>
        <v/>
      </c>
      <c r="AO15" s="12" t="str">
        <f>IF(AG15&gt;0,AG15,"")</f>
        <v/>
      </c>
      <c r="AP15" s="12" t="str">
        <f>IF(SUM(AE15:AH15)-AI15&gt;0,SUM(AE15:AH15)-AI15,"")</f>
        <v/>
      </c>
      <c r="AQ15" s="12" t="str">
        <f>IF(SUM(AN15,AP15)&gt;0,SUM(AN15,AP15),"")</f>
        <v/>
      </c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83"/>
      <c r="BH15" s="15" t="str">
        <f>IF(AY15&gt;0,AY15,"")</f>
        <v/>
      </c>
      <c r="BI15" s="15" t="str">
        <f>IF(SUM(AR15:AU15)-AV15&gt;0,SUM(AR15:AU15)-AV15,"")</f>
        <v/>
      </c>
      <c r="BJ15" s="15" t="str">
        <f>IF(SUM(AW15:AZ15)-BA15&gt;0,SUM(AW15:AZ15)-BA15,"")</f>
        <v/>
      </c>
      <c r="BK15" s="15" t="str">
        <f>IF(SUM(BI15:BJ15)&gt;0,SUM(BI15:BJ15),"")</f>
        <v/>
      </c>
      <c r="BL15" s="15" t="str">
        <f>IF(BD15&gt;0,BD15,"")</f>
        <v/>
      </c>
      <c r="BM15" s="15" t="str">
        <f>IF(SUM(BB15:BE15)-BF15&gt;0,SUM(BB15:BE15)-BF15,"")</f>
        <v/>
      </c>
      <c r="BN15" s="15" t="str">
        <f>IF(SUM(BK15,BM15)&gt;0,SUM(BK15,BM15),"")</f>
        <v/>
      </c>
      <c r="BO15" s="26">
        <f>IF(MAX(CI15,DE15,EA15,EW15,FS15,GO15,HK15,IG15,JC15,JY15,KU15,LQ15)-IF(L15="",0,L15)&gt;0.001,MAX(CI15,DE15,EA15,EW15,FS15,GO15,HK15,IG15,JC15,JY15,KU15,LQ15)-IF(L15="",0,L15),"")</f>
        <v>44.355000000000004</v>
      </c>
      <c r="BP15" s="26">
        <f>IF(MAX(CJ15,DF15,EB15,EX15,FT15,GP15,HL15,IH15,JD15,JZ15,KV15,LR15)-IF(N15="",0,N15)&gt;0.001,MAX(CJ15,DF15,EB15,EX15,FT15,GP15,HL15,IH15,JD15,JZ15,KV15,LR15)-IF(N15="",0,N15),"")</f>
        <v>10.46</v>
      </c>
      <c r="BQ15" s="26">
        <f>IF(MAX(CK15,DG15,EC15,EY15,FU15,GQ15,HM15,II15,JE15,KA15,KW15,LS15)-IF(J15="",0,J15)&gt;0.001,MAX(CK15,DG15,EC15,EY15,FU15,GQ15,HM15,II15,JE15,KA15,KW15,LS15)-IF(J15="",0,J15),"")</f>
        <v>54.815000000000005</v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9">
        <v>15.7</v>
      </c>
      <c r="DL15" s="39">
        <v>9.5</v>
      </c>
      <c r="DM15" s="39">
        <v>4.4000000000000004</v>
      </c>
      <c r="DN15" s="39">
        <v>14.755000000000001</v>
      </c>
      <c r="DO15" s="39">
        <v>0</v>
      </c>
      <c r="DP15" s="39">
        <v>2.8</v>
      </c>
      <c r="DQ15" s="39">
        <v>1.7</v>
      </c>
      <c r="DR15" s="39">
        <v>2.9</v>
      </c>
      <c r="DS15" s="39">
        <v>3.06</v>
      </c>
      <c r="DT15" s="39">
        <v>0</v>
      </c>
      <c r="DU15" s="39"/>
      <c r="DV15" s="39"/>
      <c r="DW15" s="39"/>
      <c r="DX15" s="39"/>
      <c r="DY15" s="39"/>
      <c r="DZ15" s="12">
        <f>IF(DR15&gt;0,DR15,"")</f>
        <v>2.9</v>
      </c>
      <c r="EA15" s="12">
        <f>IF(SUM(DK15:DN15)-DO15&gt;0,SUM(DK15:DN15)-DO15,"")</f>
        <v>44.355000000000004</v>
      </c>
      <c r="EB15" s="12">
        <f>IF(SUM(DP15:DS15)-DT15&gt;0,SUM(DP15:DS15)-DT15,"")</f>
        <v>10.46</v>
      </c>
      <c r="EC15" s="12">
        <f>IF(SUM(EA15:EB15)&gt;0,SUM(EA15:EB15),"")</f>
        <v>54.815000000000005</v>
      </c>
      <c r="ED15" s="12" t="str">
        <f>IF(DW15&gt;0,DW15,"")</f>
        <v/>
      </c>
      <c r="EE15" s="12" t="str">
        <f>IF(SUM(DU15:DX15)-DY15&gt;0,SUM(DU15:DX15)-DY15,"")</f>
        <v/>
      </c>
      <c r="EF15" s="12">
        <f>IF(SUM(EC15,EE15)&gt;0,SUM(EC15,EE15),"")</f>
        <v>54.815000000000005</v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0"/>
        <v>0</v>
      </c>
      <c r="LX15" s="71">
        <f t="shared" si="1"/>
        <v>0</v>
      </c>
      <c r="LY15" s="71">
        <f t="shared" si="2"/>
        <v>0</v>
      </c>
      <c r="LZ15" s="71">
        <f t="shared" si="3"/>
        <v>0</v>
      </c>
      <c r="MA15" s="71">
        <f t="shared" si="4"/>
        <v>0</v>
      </c>
      <c r="MB15" s="71">
        <f t="shared" si="5"/>
        <v>0</v>
      </c>
      <c r="MC15" s="71">
        <f t="shared" si="6"/>
        <v>0</v>
      </c>
      <c r="MD15" s="71">
        <f t="shared" si="7"/>
        <v>0</v>
      </c>
      <c r="ME15" s="71">
        <f t="shared" si="8"/>
        <v>0</v>
      </c>
      <c r="MF15" s="71">
        <f t="shared" si="9"/>
        <v>0</v>
      </c>
      <c r="MG15" s="71">
        <f t="shared" si="10"/>
        <v>0</v>
      </c>
      <c r="MH15" s="71">
        <f t="shared" si="11"/>
        <v>0</v>
      </c>
      <c r="MI15" s="71">
        <f t="shared" si="12"/>
        <v>0</v>
      </c>
      <c r="MJ15" s="71">
        <f t="shared" si="13"/>
        <v>0</v>
      </c>
      <c r="MK15" s="71">
        <f t="shared" si="14"/>
        <v>0</v>
      </c>
      <c r="ML15" s="82" t="s">
        <v>96</v>
      </c>
      <c r="MM15" s="12" t="str">
        <f t="shared" ref="MM15" si="34">IF(MD15&gt;0,MD15,"")</f>
        <v/>
      </c>
      <c r="MN15" s="12" t="str">
        <f t="shared" ref="MN15" si="35">IF(SUM(LW15:LZ15)-MA15&gt;0,SUM(LW15:LZ15)-MA15,"")</f>
        <v/>
      </c>
      <c r="MO15" s="12" t="str">
        <f t="shared" ref="MO15" si="36">IF(SUM(MB15:ME15)-MF15&gt;0,SUM(MB15:ME15)-MF15,"")</f>
        <v/>
      </c>
      <c r="MP15" s="12" t="str">
        <f t="shared" ref="MP15" si="37">IF(SUM(MN15:MO15)&gt;0,SUM(MN15:MO15),"")</f>
        <v/>
      </c>
      <c r="MQ15" s="12" t="str">
        <f t="shared" si="25"/>
        <v/>
      </c>
      <c r="MR15" s="12" t="str">
        <f t="shared" ref="MR15" si="38">IF(SUM(MG15:MJ15)-MK15&gt;0,SUM(MG15:MJ15)-MK15,"")</f>
        <v/>
      </c>
      <c r="MS15" s="12" t="str">
        <f t="shared" ref="MS15" si="39">IF(SUM(MP15,MR15)&gt;0,SUM(MP15,MR15),"")</f>
        <v/>
      </c>
    </row>
    <row r="16" spans="1:357" x14ac:dyDescent="0.2">
      <c r="F16" s="4" t="str">
        <f>IF(OR(AND($AK16&gt;=$AL$18,NOT($AK16=""),$AJ16=""),AND($BH16&gt;=$BI$18,NOT($BH16=""),$BG16=""),AND($CH16&gt;=$CI$18,NOT($CH16="")),AND($DD16&gt;=$DE$18,NOT($DD16="")),AND($DZ16&gt;=$EA$18,NOT($DZ16="")),AND($EV16&gt;=$EW$18,NOT($EV16="")),AND($FR16&gt;=$FS$18,NOT($FR16="")),AND($GN16&gt;=$GO$18,NOT($GN16="")),AND($HJ16&gt;=$HK$18,NOT($HJ16="")),AND($IF16&gt;=$IG$18,NOT($IF16="")),AND($JB16&gt;=$JC$18,NOT($JB16="")),AND($JX16&gt;=$JY$18,NOT($JX16="")),AND($KT16&gt;=$KU$18,NOT($KT16="")),AND($LP16&gt;=$LQ$18,NOT($LP16="")),AND($AO16&gt;=$AL$18,NOT($AO16=""),$AJ16=""),AND($BL16&gt;=$BI$18,NOT($BL16=""),$BG16=""),AND($CL16&gt;=$CI$18,NOT($CL16="")),AND($DH16&gt;=$DE$18,NOT($DH16="")),AND($ED16&gt;=$EA$18,NOT($ED16="")),AND($EZ16&gt;=$EW$18,NOT($EZ16="")),AND($FV16&gt;=$FS$18,NOT($FV16="")),AND($GR16&gt;=$GO$18,NOT($GR16="")),AND($HN16&gt;=$HK$18,NOT($HN16="")),AND($IJ16&gt;=$IG$18,NOT($IJ16="")),AND($JF16&gt;=$JC$18,NOT($JF16="")),AND($KB16&gt;=$JY$18,NOT($KB16="")),AND($KX16&gt;=$KU$18,NOT($KX16="")),AND($LT16&gt;=$LQ$18,NOT($LT16=""))),"P","")</f>
        <v/>
      </c>
      <c r="G16" s="4" t="str">
        <f>IF(OR(AND($AK16&gt;=$AL$19,NOT($AK16=""),$AJ16=""),AND($BH16&gt;=$BI$19,NOT($BH16=""),$BG16=""),AND($CH16&gt;=$CI$19,NOT($CH16="")),AND($DD16&gt;=$DE$19,NOT($DD16="")),AND($DZ16&gt;=$EA$19,NOT($DZ16="")),AND($EV16&gt;=$EW$19,NOT($EV16="")),AND($FR16&gt;=$FS$19,NOT($FR16="")),AND($GN16&gt;=$GO$19,NOT($GN16="")),AND($HJ16&gt;=$HK$19,NOT($HJ16="")),AND($IF16&gt;=$IG$19,NOT($IF16="")),AND($JB16&gt;=$JC$19,NOT($JB16="")),AND($JX16&gt;=$JY$19,NOT($JX16="")),AND($KT16&gt;=$KU$19,NOT($KT16="")),AND($LP16&gt;=$LQ$19,NOT($LP16="")),AND($AO16&gt;=$AL$19,NOT($AO16=""),$AJ16=""),AND($BL16&gt;=$BI$19,NOT($BL16=""),$BG16=""),AND($CL16&gt;=$CI$19,NOT($CL16="")),AND($DH16&gt;=$DE$19,NOT($DH16="")),AND($ED16&gt;=$EA$19,NOT($ED16="")),AND($EZ16&gt;=$EW$19,NOT($EZ16="")),AND($FV16&gt;=$FS$19,NOT($FV16="")),AND($GR16&gt;=$GO$19,NOT($GR16="")),AND($HN16&gt;=$HK$19,NOT($HN16="")),AND($IJ16&gt;=$IG$19,NOT($IJ16="")),AND($JF16&gt;=$JC$19,NOT($JF16="")),AND($KB16&gt;=$JY$19,NOT($KB16="")),AND($KX16&gt;=$KU$19,NOT($KX16="")),AND($LT16&gt;=$LQ$19,NOT($LT16=""))),"P","")</f>
        <v/>
      </c>
      <c r="H16" s="4" t="str">
        <f>IF(OR(AND($AN16&gt;=$AL$20,NOT($AN16=""),$AJ16=""),AND($BK16&gt;=$BI$20,NOT($BK16=""),$BG16=""),AND($CK16&gt;=$CI$20,NOT($CK16="")),AND($DG16&gt;=$DE$20,NOT($DG16="")),AND($EC16&gt;=$EA$20,NOT($EC16="")),AND($EY16&gt;=$EW$20,NOT($EY16="")),AND($FU16&gt;=$FS$20,NOT($FU16="")),AND($GQ16&gt;=$GO$20,NOT($GQ16="")),AND($HM16&gt;=$HK$20,NOT($HM16="")),AND($II16&gt;=$IG$20,NOT($II16="")),AND($JE16&gt;=$JC$20,NOT($JE16="")),AND($KA16&gt;=$JY$20,NOT($KA16="")),AND($KW16&gt;=$KU$20,NOT($KW16="")),AND($LS16&gt;=$LQ$20,NOT($LS16=""))),"P","")</f>
        <v/>
      </c>
    </row>
    <row r="18" spans="1:329" x14ac:dyDescent="0.2">
      <c r="B18" s="72" t="s">
        <v>82</v>
      </c>
      <c r="AK18" s="58"/>
      <c r="AL18" s="66">
        <v>12.2</v>
      </c>
      <c r="BH18" s="58"/>
      <c r="BI18" s="66">
        <v>12.2</v>
      </c>
      <c r="CH18" s="58"/>
      <c r="CI18" s="66">
        <v>12.2</v>
      </c>
      <c r="DD18" s="58"/>
      <c r="DE18" s="66">
        <v>12.2</v>
      </c>
      <c r="DZ18" s="58"/>
      <c r="EA18" s="66">
        <v>12.2</v>
      </c>
      <c r="EV18" s="58"/>
      <c r="EW18" s="66">
        <v>12.2</v>
      </c>
      <c r="FR18" s="58"/>
      <c r="FS18" s="66">
        <v>12.2</v>
      </c>
      <c r="GN18" s="58"/>
      <c r="GO18" s="66">
        <v>12.2</v>
      </c>
      <c r="HJ18" s="58"/>
      <c r="HK18" s="66">
        <v>12.2</v>
      </c>
      <c r="IF18" s="58"/>
      <c r="IG18" s="66">
        <v>12.2</v>
      </c>
      <c r="JB18" s="58"/>
      <c r="JC18" s="66">
        <v>12.2</v>
      </c>
      <c r="JX18" s="58"/>
      <c r="JY18" s="66">
        <v>12.2</v>
      </c>
      <c r="KT18" s="58"/>
      <c r="KU18" s="66">
        <v>12.2</v>
      </c>
      <c r="LP18" s="58"/>
      <c r="LQ18" s="66">
        <v>12.2</v>
      </c>
    </row>
    <row r="19" spans="1:329" x14ac:dyDescent="0.2">
      <c r="A19" s="58"/>
      <c r="B19" s="100" t="s">
        <v>81</v>
      </c>
      <c r="C19" s="57"/>
      <c r="AK19" s="58"/>
      <c r="AL19" s="102">
        <v>13.1</v>
      </c>
      <c r="BH19" s="58"/>
      <c r="BI19" s="102">
        <v>13.1</v>
      </c>
      <c r="CH19" s="58"/>
      <c r="CI19" s="102">
        <v>13.1</v>
      </c>
      <c r="DD19" s="58"/>
      <c r="DE19" s="102">
        <v>13.1</v>
      </c>
      <c r="DZ19" s="58"/>
      <c r="EA19" s="102">
        <v>13.1</v>
      </c>
      <c r="EV19" s="58"/>
      <c r="EW19" s="102">
        <v>13.1</v>
      </c>
      <c r="FR19" s="58"/>
      <c r="FS19" s="102">
        <v>13.1</v>
      </c>
      <c r="GN19" s="58"/>
      <c r="GO19" s="102">
        <v>13.1</v>
      </c>
      <c r="HJ19" s="58"/>
      <c r="HK19" s="102">
        <v>13.1</v>
      </c>
      <c r="IF19" s="58"/>
      <c r="IG19" s="102">
        <v>13.1</v>
      </c>
      <c r="JB19" s="58"/>
      <c r="JC19" s="102">
        <v>13.1</v>
      </c>
      <c r="JX19" s="58"/>
      <c r="JY19" s="102">
        <v>13.1</v>
      </c>
      <c r="KT19" s="58"/>
      <c r="KU19" s="102">
        <v>13.1</v>
      </c>
      <c r="LP19" s="58"/>
      <c r="LQ19" s="102">
        <v>13.1</v>
      </c>
    </row>
    <row r="20" spans="1:329" x14ac:dyDescent="0.2">
      <c r="A20" s="58"/>
      <c r="B20" s="73" t="s">
        <v>79</v>
      </c>
      <c r="C20" s="57"/>
      <c r="AK20" s="58"/>
      <c r="AL20" s="67">
        <v>96.8</v>
      </c>
      <c r="BH20" s="58"/>
      <c r="BI20" s="67">
        <v>96.8</v>
      </c>
      <c r="CH20" s="58"/>
      <c r="CI20" s="67">
        <v>96.8</v>
      </c>
      <c r="DD20" s="58"/>
      <c r="DE20" s="67">
        <v>96.8</v>
      </c>
      <c r="DZ20" s="58"/>
      <c r="EA20" s="67">
        <v>96.8</v>
      </c>
      <c r="EV20" s="58"/>
      <c r="EW20" s="67">
        <v>96.8</v>
      </c>
      <c r="FR20" s="58"/>
      <c r="FS20" s="67">
        <v>96.8</v>
      </c>
      <c r="GN20" s="58"/>
      <c r="GO20" s="67">
        <v>96.8</v>
      </c>
      <c r="HJ20" s="58"/>
      <c r="HK20" s="67">
        <v>96.8</v>
      </c>
      <c r="IF20" s="58"/>
      <c r="IG20" s="67">
        <v>96.8</v>
      </c>
      <c r="JB20" s="58"/>
      <c r="JC20" s="67">
        <v>96.8</v>
      </c>
      <c r="JX20" s="58"/>
      <c r="JY20" s="67">
        <v>96.8</v>
      </c>
      <c r="KT20" s="58"/>
      <c r="KU20" s="67">
        <v>96.8</v>
      </c>
      <c r="LP20" s="58"/>
      <c r="LQ20" s="67">
        <v>96.8</v>
      </c>
    </row>
    <row r="21" spans="1:329" x14ac:dyDescent="0.2">
      <c r="A21" s="58"/>
      <c r="B21" s="74" t="s">
        <v>80</v>
      </c>
      <c r="C21" s="57"/>
      <c r="AK21" s="58"/>
      <c r="AL21" s="68">
        <v>98.8</v>
      </c>
      <c r="BH21" s="58"/>
      <c r="BI21" s="68">
        <v>98.8</v>
      </c>
      <c r="CH21" s="58"/>
      <c r="CI21" s="68">
        <v>98.8</v>
      </c>
      <c r="DD21" s="58"/>
      <c r="DE21" s="68">
        <v>98.8</v>
      </c>
      <c r="DZ21" s="58"/>
      <c r="EA21" s="68">
        <v>98.8</v>
      </c>
      <c r="EV21" s="58"/>
      <c r="EW21" s="68">
        <v>98.8</v>
      </c>
      <c r="FR21" s="58"/>
      <c r="FS21" s="68">
        <v>98.8</v>
      </c>
      <c r="GN21" s="58"/>
      <c r="GO21" s="68">
        <v>98.8</v>
      </c>
      <c r="HJ21" s="58"/>
      <c r="HK21" s="68">
        <v>98.8</v>
      </c>
      <c r="IF21" s="58"/>
      <c r="IG21" s="68">
        <v>98.8</v>
      </c>
      <c r="JB21" s="58"/>
      <c r="JC21" s="68">
        <v>98.8</v>
      </c>
      <c r="JX21" s="58"/>
      <c r="JY21" s="68">
        <v>98.8</v>
      </c>
      <c r="KT21" s="58"/>
      <c r="KU21" s="68">
        <v>98.8</v>
      </c>
      <c r="LP21" s="58"/>
      <c r="LQ21" s="68">
        <v>98.8</v>
      </c>
    </row>
    <row r="22" spans="1:329" x14ac:dyDescent="0.2">
      <c r="A22" s="58"/>
      <c r="B22" s="75" t="s">
        <v>124</v>
      </c>
      <c r="C22" s="57"/>
      <c r="AK22" s="58"/>
      <c r="AL22" s="69">
        <v>101</v>
      </c>
      <c r="BH22" s="58"/>
      <c r="BI22" s="69">
        <v>101</v>
      </c>
      <c r="CH22" s="58"/>
      <c r="CI22" s="69">
        <v>101</v>
      </c>
      <c r="DD22" s="58"/>
      <c r="DE22" s="69">
        <v>101</v>
      </c>
      <c r="DZ22" s="58"/>
      <c r="EA22" s="69">
        <v>101</v>
      </c>
      <c r="EV22" s="58"/>
      <c r="EW22" s="69">
        <v>101</v>
      </c>
      <c r="FR22" s="58"/>
      <c r="FS22" s="69">
        <v>101</v>
      </c>
      <c r="GN22" s="58"/>
      <c r="GO22" s="69">
        <v>101</v>
      </c>
      <c r="HJ22" s="58"/>
      <c r="HK22" s="69">
        <v>101</v>
      </c>
      <c r="IF22" s="58"/>
      <c r="IG22" s="69">
        <v>101</v>
      </c>
      <c r="JB22" s="58"/>
      <c r="JC22" s="69">
        <v>101</v>
      </c>
      <c r="JX22" s="58"/>
      <c r="JY22" s="69">
        <v>101</v>
      </c>
      <c r="KT22" s="58"/>
      <c r="KU22" s="69">
        <v>101</v>
      </c>
      <c r="LP22" s="58"/>
      <c r="LQ22" s="69">
        <v>101</v>
      </c>
    </row>
    <row r="23" spans="1:329" x14ac:dyDescent="0.2">
      <c r="A23" s="58"/>
      <c r="B23" s="76" t="s">
        <v>61</v>
      </c>
      <c r="C23" s="57"/>
      <c r="L23" s="2"/>
      <c r="AK23" s="58"/>
      <c r="AL23" s="70">
        <v>55</v>
      </c>
      <c r="BH23" s="58"/>
      <c r="BI23" s="70">
        <v>55</v>
      </c>
      <c r="CH23" s="58"/>
      <c r="CI23" s="70">
        <v>55</v>
      </c>
      <c r="DD23" s="58"/>
      <c r="DE23" s="70">
        <v>55</v>
      </c>
      <c r="DZ23" s="58"/>
      <c r="EA23" s="70">
        <v>55</v>
      </c>
      <c r="EV23" s="58"/>
      <c r="EW23" s="70">
        <v>55</v>
      </c>
      <c r="FR23" s="58"/>
      <c r="FS23" s="70">
        <v>55</v>
      </c>
      <c r="GN23" s="58"/>
      <c r="GO23" s="70">
        <v>55</v>
      </c>
      <c r="HJ23" s="58"/>
      <c r="HK23" s="70">
        <v>55</v>
      </c>
      <c r="IF23" s="58"/>
      <c r="IG23" s="70">
        <v>55</v>
      </c>
      <c r="JB23" s="58"/>
      <c r="JC23" s="70">
        <v>55</v>
      </c>
      <c r="JX23" s="58"/>
      <c r="JY23" s="70">
        <v>55</v>
      </c>
      <c r="KT23" s="58"/>
      <c r="KU23" s="70">
        <v>55</v>
      </c>
      <c r="LP23" s="58"/>
      <c r="LQ23" s="70">
        <v>55</v>
      </c>
    </row>
    <row r="24" spans="1:329" x14ac:dyDescent="0.2">
      <c r="A24" s="7"/>
      <c r="B24" s="84" t="s">
        <v>97</v>
      </c>
      <c r="C24" s="57"/>
      <c r="AK24" s="56"/>
      <c r="CI24" s="56"/>
      <c r="DE24" s="56"/>
      <c r="GO24" s="56"/>
    </row>
    <row r="25" spans="1:329" x14ac:dyDescent="0.2">
      <c r="A25" s="58"/>
      <c r="B25" s="58"/>
      <c r="C25" s="57"/>
    </row>
    <row r="26" spans="1:329" x14ac:dyDescent="0.2">
      <c r="A26" s="58"/>
      <c r="B26" s="58"/>
      <c r="C26" s="57"/>
    </row>
    <row r="27" spans="1:329" x14ac:dyDescent="0.2">
      <c r="A27" s="58"/>
      <c r="B27" s="58"/>
      <c r="C27" s="57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6">
      <sortCondition descending="1" ref="F1:F16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FH2:FL2"/>
    <mergeCell ref="FM2:FQ2"/>
    <mergeCell ref="FY2:GC2"/>
    <mergeCell ref="KE1:KZ1"/>
    <mergeCell ref="LA1:LV1"/>
    <mergeCell ref="FC1:FX1"/>
    <mergeCell ref="FY1:GT1"/>
    <mergeCell ref="JI1:KD1"/>
    <mergeCell ref="GU1:HP1"/>
    <mergeCell ref="HQ1:IL1"/>
    <mergeCell ref="IM1:JH1"/>
    <mergeCell ref="CT2:CX2"/>
    <mergeCell ref="CY2:DC2"/>
    <mergeCell ref="DK2:DO2"/>
    <mergeCell ref="DP2:DT2"/>
    <mergeCell ref="Q1:Q3"/>
    <mergeCell ref="BO1:BR1"/>
    <mergeCell ref="AR2:AV2"/>
    <mergeCell ref="AW2:BA2"/>
    <mergeCell ref="BB2:BF2"/>
    <mergeCell ref="A1:A3"/>
    <mergeCell ref="B1:B3"/>
    <mergeCell ref="C1:C3"/>
    <mergeCell ref="E1:E3"/>
    <mergeCell ref="G1:G3"/>
    <mergeCell ref="F1:F3"/>
    <mergeCell ref="D1:D3"/>
    <mergeCell ref="IW2:JA2"/>
    <mergeCell ref="JI2:JM2"/>
    <mergeCell ref="GI2:GM2"/>
    <mergeCell ref="GU2:GY2"/>
    <mergeCell ref="GZ2:HD2"/>
    <mergeCell ref="HE2:HI2"/>
    <mergeCell ref="HQ2:HU2"/>
    <mergeCell ref="HV2:HZ2"/>
    <mergeCell ref="IA2:IE2"/>
    <mergeCell ref="IM2:IQ2"/>
    <mergeCell ref="P1:P3"/>
    <mergeCell ref="K1:K3"/>
    <mergeCell ref="M1:M3"/>
    <mergeCell ref="O1:O3"/>
    <mergeCell ref="IR2:IV2"/>
    <mergeCell ref="EG2:EK2"/>
    <mergeCell ref="EL2:EP2"/>
    <mergeCell ref="AR1:BN1"/>
    <mergeCell ref="DU2:DY2"/>
    <mergeCell ref="BS1:CN1"/>
    <mergeCell ref="BS2:BW2"/>
    <mergeCell ref="BX2:CB2"/>
    <mergeCell ref="CC2:CG2"/>
    <mergeCell ref="CO1:DJ1"/>
    <mergeCell ref="DK1:EF1"/>
    <mergeCell ref="CO2:CS2"/>
    <mergeCell ref="LW1:MS1"/>
    <mergeCell ref="LW2:MA2"/>
    <mergeCell ref="MB2:MF2"/>
    <mergeCell ref="MG2:MK2"/>
    <mergeCell ref="H1:H3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</mergeCells>
  <conditionalFormatting sqref="A1:A1048576">
    <cfRule type="expression" dxfId="176" priority="92">
      <formula>AND(H1="P",F1="")</formula>
    </cfRule>
  </conditionalFormatting>
  <conditionalFormatting sqref="U4:AQ15">
    <cfRule type="expression" dxfId="175" priority="25">
      <formula>IF($AJ4&lt;&gt;"",1,0)</formula>
    </cfRule>
  </conditionalFormatting>
  <conditionalFormatting sqref="AR4:BN15">
    <cfRule type="expression" dxfId="174" priority="22">
      <formula>IF($BG4&lt;&gt;"",1,0)</formula>
    </cfRule>
  </conditionalFormatting>
  <conditionalFormatting sqref="I1:I1048576">
    <cfRule type="containsText" dxfId="173" priority="9" operator="containsText" text="No DD">
      <formula>NOT(ISERROR(SEARCH("No DD",I1)))</formula>
    </cfRule>
    <cfRule type="containsText" dxfId="172" priority="17" operator="containsText" text="Merit">
      <formula>NOT(ISERROR(SEARCH("Merit",I1)))</formula>
    </cfRule>
    <cfRule type="containsText" dxfId="171" priority="18" operator="containsText" text="Excellence">
      <formula>NOT(ISERROR(SEARCH("Excellence",I1)))</formula>
    </cfRule>
    <cfRule type="containsText" dxfId="170" priority="19" operator="containsText" text="Worlds Team">
      <formula>NOT(ISERROR(SEARCH("Worlds Team",I1)))</formula>
    </cfRule>
    <cfRule type="containsText" dxfId="169" priority="20" operator="containsText" text="National Team">
      <formula>NOT(ISERROR(SEARCH("National Team",I1)))</formula>
    </cfRule>
  </conditionalFormatting>
  <conditionalFormatting sqref="K1:K1048576 M1:M1048576 O1:O1048576 Q1:Q1048576">
    <cfRule type="expression" dxfId="168" priority="384">
      <formula>IF(K1=$AR$1,1,0)</formula>
    </cfRule>
    <cfRule type="expression" dxfId="167" priority="386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66" priority="13232" operator="between">
      <formula>CI$23</formula>
      <formula>1000</formula>
    </cfRule>
  </conditionalFormatting>
  <conditionalFormatting sqref="LU1:LU1048576 DI1:DI1048576 EE1:EE1048576 FW1:FW1048576 HO1:HO1048576 JG1:JG1048576 KY1:KY1048576 FA1:FA1048576 GS1:GS1048576 IK1:IK1048576 KC1:KC1048576 CM1:CM1048576">
    <cfRule type="cellIs" dxfId="165" priority="13268" operator="between">
      <formula>CI$23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64" priority="13304" operator="between">
      <formula>CI$22</formula>
      <formula>1000</formula>
    </cfRule>
    <cfRule type="cellIs" dxfId="163" priority="13305" operator="between">
      <formula>CI$21</formula>
      <formula>CI$22</formula>
    </cfRule>
    <cfRule type="cellIs" dxfId="162" priority="13306" operator="between">
      <formula>CI$20</formula>
      <formula>CI$21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61" priority="13412" operator="between">
      <formula>CI$19</formula>
      <formula>1000</formula>
    </cfRule>
    <cfRule type="cellIs" dxfId="160" priority="13413" operator="between">
      <formula>CI$18</formula>
      <formula>CI$19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59" priority="13484">
      <formula>IF(AND(CL1&gt;=CI$19,CL1&lt;100),1,0)</formula>
    </cfRule>
    <cfRule type="expression" dxfId="158" priority="13485">
      <formula>IF(AND(CL1&gt;=CI$18,CL1&lt;CI$19),1,0)</formula>
    </cfRule>
  </conditionalFormatting>
  <conditionalFormatting sqref="AN1:AN1048576 BK1:BK1048576">
    <cfRule type="expression" dxfId="157" priority="13556">
      <formula>IF(AND(AN1&gt;=AL$22,AN1&lt;1000,AJ1=""),1,0)</formula>
    </cfRule>
    <cfRule type="expression" dxfId="156" priority="13557">
      <formula>IF(AND(AN1&gt;=AL$21,AN1&lt;AL$22,AJ1=""),1,0)</formula>
    </cfRule>
    <cfRule type="expression" dxfId="155" priority="13558">
      <formula>IF(AND(AN1&gt;=AL$20,AN1&lt;AL$21,AJ1=""),1,0)</formula>
    </cfRule>
  </conditionalFormatting>
  <conditionalFormatting sqref="AM1:AM1048576 BJ1:BJ1048576">
    <cfRule type="expression" dxfId="154" priority="13574">
      <formula>IF(AND(AM1&gt;=AL$23,AM1&lt;1000,AJ1=""),1,0)</formula>
    </cfRule>
  </conditionalFormatting>
  <conditionalFormatting sqref="BM1:BM1048576 AP1:AP1048576">
    <cfRule type="expression" dxfId="153" priority="13580">
      <formula>IF(AND(AP1&gt;=AL$23,AP1&lt;1000,AJ1=""),1,0)</formula>
    </cfRule>
  </conditionalFormatting>
  <conditionalFormatting sqref="AK1:AK1048576 BH1:BH1048576">
    <cfRule type="expression" dxfId="152" priority="13586">
      <formula>IF(AND(AK1&gt;=AL$19,AK1&lt;100,AJ1=""),1,0)</formula>
    </cfRule>
    <cfRule type="expression" dxfId="151" priority="13587">
      <formula>IF(AND(AK1&gt;=AL$18,AK1&lt;AL$19,AJ1=""),1,0)</formula>
    </cfRule>
  </conditionalFormatting>
  <conditionalFormatting sqref="AO1:AO1048576 BL1:BL1048576">
    <cfRule type="expression" dxfId="150" priority="13598">
      <formula>IF(AND(AO1&gt;=AL$19,AO1&lt;100,AJ1=""),1,0)</formula>
    </cfRule>
  </conditionalFormatting>
  <conditionalFormatting sqref="BL1:BL1048576 AO1:AO1048576">
    <cfRule type="expression" dxfId="149" priority="13604">
      <formula>IF(AND(AO1&gt;=AL$18,AO1&lt;AL$19,AJ1=""),1,0)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S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98</v>
      </c>
      <c r="E1" s="124" t="s">
        <v>2</v>
      </c>
      <c r="F1" s="125" t="s">
        <v>82</v>
      </c>
      <c r="G1" s="125" t="s">
        <v>81</v>
      </c>
      <c r="H1" s="124" t="s">
        <v>15</v>
      </c>
      <c r="I1" s="124" t="s">
        <v>16</v>
      </c>
      <c r="J1" s="126" t="s">
        <v>17</v>
      </c>
      <c r="K1" s="126" t="s">
        <v>59</v>
      </c>
      <c r="L1" s="126" t="s">
        <v>18</v>
      </c>
      <c r="M1" s="126" t="s">
        <v>59</v>
      </c>
      <c r="N1" s="126" t="s">
        <v>19</v>
      </c>
      <c r="O1" s="126" t="s">
        <v>59</v>
      </c>
      <c r="P1" s="126" t="s">
        <v>20</v>
      </c>
      <c r="Q1" s="126" t="s">
        <v>59</v>
      </c>
      <c r="R1" s="127" t="s">
        <v>21</v>
      </c>
      <c r="S1" s="126" t="s">
        <v>60</v>
      </c>
      <c r="T1" s="126" t="s">
        <v>59</v>
      </c>
      <c r="U1" s="120" t="s">
        <v>138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156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130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135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173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181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185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190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/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/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133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80"/>
      <c r="AK2" s="60" t="s">
        <v>120</v>
      </c>
      <c r="AL2" s="10" t="s">
        <v>28</v>
      </c>
      <c r="AM2" s="10" t="s">
        <v>29</v>
      </c>
      <c r="AN2" s="10" t="s">
        <v>31</v>
      </c>
      <c r="AO2" s="10" t="s">
        <v>152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81"/>
      <c r="BH2" s="59" t="s">
        <v>120</v>
      </c>
      <c r="BI2" s="13" t="s">
        <v>28</v>
      </c>
      <c r="BJ2" s="13" t="s">
        <v>29</v>
      </c>
      <c r="BK2" s="13" t="s">
        <v>31</v>
      </c>
      <c r="BL2" s="13" t="s">
        <v>152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20" t="s">
        <v>120</v>
      </c>
      <c r="CI2" s="10" t="s">
        <v>28</v>
      </c>
      <c r="CJ2" s="10" t="s">
        <v>29</v>
      </c>
      <c r="CK2" s="10" t="s">
        <v>31</v>
      </c>
      <c r="CL2" s="10" t="s">
        <v>152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22" t="s">
        <v>120</v>
      </c>
      <c r="DE2" s="13" t="s">
        <v>28</v>
      </c>
      <c r="DF2" s="13" t="s">
        <v>29</v>
      </c>
      <c r="DG2" s="13" t="s">
        <v>31</v>
      </c>
      <c r="DH2" s="13" t="s">
        <v>152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23" t="s">
        <v>120</v>
      </c>
      <c r="EA2" s="10" t="s">
        <v>28</v>
      </c>
      <c r="EB2" s="10" t="s">
        <v>29</v>
      </c>
      <c r="EC2" s="10" t="s">
        <v>31</v>
      </c>
      <c r="ED2" s="10" t="s">
        <v>152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22" t="s">
        <v>120</v>
      </c>
      <c r="EW2" s="13" t="s">
        <v>28</v>
      </c>
      <c r="EX2" s="13" t="s">
        <v>29</v>
      </c>
      <c r="EY2" s="13" t="s">
        <v>31</v>
      </c>
      <c r="EZ2" s="13" t="s">
        <v>152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23" t="s">
        <v>120</v>
      </c>
      <c r="FS2" s="10" t="s">
        <v>28</v>
      </c>
      <c r="FT2" s="10" t="s">
        <v>29</v>
      </c>
      <c r="FU2" s="10" t="s">
        <v>31</v>
      </c>
      <c r="FV2" s="10" t="s">
        <v>152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22" t="s">
        <v>120</v>
      </c>
      <c r="GO2" s="13" t="s">
        <v>28</v>
      </c>
      <c r="GP2" s="13" t="s">
        <v>29</v>
      </c>
      <c r="GQ2" s="13" t="s">
        <v>31</v>
      </c>
      <c r="GR2" s="13" t="s">
        <v>152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23" t="s">
        <v>120</v>
      </c>
      <c r="HK2" s="10" t="s">
        <v>28</v>
      </c>
      <c r="HL2" s="10" t="s">
        <v>29</v>
      </c>
      <c r="HM2" s="10" t="s">
        <v>31</v>
      </c>
      <c r="HN2" s="10" t="s">
        <v>152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22" t="s">
        <v>120</v>
      </c>
      <c r="IG2" s="13" t="s">
        <v>28</v>
      </c>
      <c r="IH2" s="13" t="s">
        <v>29</v>
      </c>
      <c r="II2" s="13" t="s">
        <v>31</v>
      </c>
      <c r="IJ2" s="13" t="s">
        <v>152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23" t="s">
        <v>120</v>
      </c>
      <c r="JC2" s="10" t="s">
        <v>28</v>
      </c>
      <c r="JD2" s="10" t="s">
        <v>29</v>
      </c>
      <c r="JE2" s="10" t="s">
        <v>31</v>
      </c>
      <c r="JF2" s="10" t="s">
        <v>152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22" t="s">
        <v>120</v>
      </c>
      <c r="JY2" s="13" t="s">
        <v>28</v>
      </c>
      <c r="JZ2" s="13" t="s">
        <v>29</v>
      </c>
      <c r="KA2" s="13" t="s">
        <v>31</v>
      </c>
      <c r="KB2" s="13" t="s">
        <v>152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23" t="s">
        <v>120</v>
      </c>
      <c r="KU2" s="10" t="s">
        <v>28</v>
      </c>
      <c r="KV2" s="10" t="s">
        <v>29</v>
      </c>
      <c r="KW2" s="10" t="s">
        <v>31</v>
      </c>
      <c r="KX2" s="10" t="s">
        <v>152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22" t="s">
        <v>120</v>
      </c>
      <c r="LQ2" s="13" t="s">
        <v>28</v>
      </c>
      <c r="LR2" s="13" t="s">
        <v>29</v>
      </c>
      <c r="LS2" s="13" t="s">
        <v>31</v>
      </c>
      <c r="LT2" s="13" t="s">
        <v>152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120</v>
      </c>
      <c r="MN2" s="10" t="s">
        <v>28</v>
      </c>
      <c r="MO2" s="10" t="s">
        <v>29</v>
      </c>
      <c r="MP2" s="10" t="s">
        <v>31</v>
      </c>
      <c r="MQ2" s="10" t="s">
        <v>152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60" t="s">
        <v>22</v>
      </c>
      <c r="V3" s="60" t="s">
        <v>23</v>
      </c>
      <c r="W3" s="60" t="s">
        <v>14</v>
      </c>
      <c r="X3" s="60" t="s">
        <v>57</v>
      </c>
      <c r="Y3" s="60" t="s">
        <v>45</v>
      </c>
      <c r="Z3" s="60" t="s">
        <v>22</v>
      </c>
      <c r="AA3" s="60" t="s">
        <v>23</v>
      </c>
      <c r="AB3" s="60" t="s">
        <v>14</v>
      </c>
      <c r="AC3" s="60" t="s">
        <v>57</v>
      </c>
      <c r="AD3" s="60" t="s">
        <v>45</v>
      </c>
      <c r="AE3" s="60" t="s">
        <v>22</v>
      </c>
      <c r="AF3" s="60" t="s">
        <v>23</v>
      </c>
      <c r="AG3" s="60" t="s">
        <v>14</v>
      </c>
      <c r="AH3" s="60" t="s">
        <v>57</v>
      </c>
      <c r="AI3" s="60" t="s">
        <v>45</v>
      </c>
      <c r="AJ3" s="80" t="s">
        <v>95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57</v>
      </c>
      <c r="AV3" s="59" t="s">
        <v>45</v>
      </c>
      <c r="AW3" s="59" t="s">
        <v>22</v>
      </c>
      <c r="AX3" s="59" t="s">
        <v>23</v>
      </c>
      <c r="AY3" s="59" t="s">
        <v>14</v>
      </c>
      <c r="AZ3" s="59" t="s">
        <v>57</v>
      </c>
      <c r="BA3" s="59" t="s">
        <v>45</v>
      </c>
      <c r="BB3" s="59" t="s">
        <v>22</v>
      </c>
      <c r="BC3" s="59" t="s">
        <v>23</v>
      </c>
      <c r="BD3" s="59" t="s">
        <v>14</v>
      </c>
      <c r="BE3" s="59" t="s">
        <v>57</v>
      </c>
      <c r="BF3" s="59" t="s">
        <v>45</v>
      </c>
      <c r="BG3" s="81" t="s">
        <v>95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1" t="s">
        <v>22</v>
      </c>
      <c r="BT3" s="31" t="s">
        <v>23</v>
      </c>
      <c r="BU3" s="31" t="s">
        <v>14</v>
      </c>
      <c r="BV3" s="34" t="s">
        <v>57</v>
      </c>
      <c r="BW3" s="50" t="s">
        <v>45</v>
      </c>
      <c r="BX3" s="31" t="s">
        <v>22</v>
      </c>
      <c r="BY3" s="31" t="s">
        <v>23</v>
      </c>
      <c r="BZ3" s="31" t="s">
        <v>14</v>
      </c>
      <c r="CA3" s="34" t="s">
        <v>57</v>
      </c>
      <c r="CB3" s="50" t="s">
        <v>45</v>
      </c>
      <c r="CC3" s="31" t="s">
        <v>22</v>
      </c>
      <c r="CD3" s="31" t="s">
        <v>23</v>
      </c>
      <c r="CE3" s="31" t="s">
        <v>14</v>
      </c>
      <c r="CF3" s="34" t="s">
        <v>57</v>
      </c>
      <c r="CG3" s="50" t="s">
        <v>45</v>
      </c>
      <c r="CH3" s="11"/>
      <c r="CI3" s="10"/>
      <c r="CJ3" s="10"/>
      <c r="CK3" s="10"/>
      <c r="CL3" s="10"/>
      <c r="CM3" s="11"/>
      <c r="CN3" s="11"/>
      <c r="CO3" s="30" t="s">
        <v>22</v>
      </c>
      <c r="CP3" s="30" t="s">
        <v>23</v>
      </c>
      <c r="CQ3" s="30" t="s">
        <v>14</v>
      </c>
      <c r="CR3" s="35" t="s">
        <v>57</v>
      </c>
      <c r="CS3" s="52" t="s">
        <v>45</v>
      </c>
      <c r="CT3" s="30" t="s">
        <v>22</v>
      </c>
      <c r="CU3" s="30" t="s">
        <v>23</v>
      </c>
      <c r="CV3" s="30" t="s">
        <v>14</v>
      </c>
      <c r="CW3" s="35" t="s">
        <v>57</v>
      </c>
      <c r="CX3" s="52" t="s">
        <v>45</v>
      </c>
      <c r="CY3" s="30" t="s">
        <v>22</v>
      </c>
      <c r="CZ3" s="30" t="s">
        <v>23</v>
      </c>
      <c r="DA3" s="30" t="s">
        <v>14</v>
      </c>
      <c r="DB3" s="35" t="s">
        <v>57</v>
      </c>
      <c r="DC3" s="52" t="s">
        <v>45</v>
      </c>
      <c r="DD3" s="14"/>
      <c r="DE3" s="13"/>
      <c r="DF3" s="13"/>
      <c r="DG3" s="13"/>
      <c r="DH3" s="13"/>
      <c r="DI3" s="14"/>
      <c r="DJ3" s="14"/>
      <c r="DK3" s="31" t="s">
        <v>22</v>
      </c>
      <c r="DL3" s="31" t="s">
        <v>23</v>
      </c>
      <c r="DM3" s="31" t="s">
        <v>14</v>
      </c>
      <c r="DN3" s="36" t="s">
        <v>57</v>
      </c>
      <c r="DO3" s="51" t="s">
        <v>45</v>
      </c>
      <c r="DP3" s="31" t="s">
        <v>22</v>
      </c>
      <c r="DQ3" s="31" t="s">
        <v>23</v>
      </c>
      <c r="DR3" s="31" t="s">
        <v>14</v>
      </c>
      <c r="DS3" s="36" t="s">
        <v>57</v>
      </c>
      <c r="DT3" s="51" t="s">
        <v>45</v>
      </c>
      <c r="DU3" s="31" t="s">
        <v>22</v>
      </c>
      <c r="DV3" s="31" t="s">
        <v>23</v>
      </c>
      <c r="DW3" s="31" t="s">
        <v>14</v>
      </c>
      <c r="DX3" s="36" t="s">
        <v>57</v>
      </c>
      <c r="DY3" s="51" t="s">
        <v>45</v>
      </c>
      <c r="DZ3" s="11"/>
      <c r="EA3" s="10"/>
      <c r="EB3" s="10"/>
      <c r="EC3" s="10"/>
      <c r="ED3" s="10"/>
      <c r="EE3" s="11"/>
      <c r="EF3" s="11"/>
      <c r="EG3" s="30" t="s">
        <v>22</v>
      </c>
      <c r="EH3" s="30" t="s">
        <v>23</v>
      </c>
      <c r="EI3" s="30" t="s">
        <v>14</v>
      </c>
      <c r="EJ3" s="35" t="s">
        <v>57</v>
      </c>
      <c r="EK3" s="52" t="s">
        <v>45</v>
      </c>
      <c r="EL3" s="30" t="s">
        <v>22</v>
      </c>
      <c r="EM3" s="30" t="s">
        <v>23</v>
      </c>
      <c r="EN3" s="30" t="s">
        <v>14</v>
      </c>
      <c r="EO3" s="35" t="s">
        <v>57</v>
      </c>
      <c r="EP3" s="52" t="s">
        <v>45</v>
      </c>
      <c r="EQ3" s="30" t="s">
        <v>22</v>
      </c>
      <c r="ER3" s="30" t="s">
        <v>23</v>
      </c>
      <c r="ES3" s="30" t="s">
        <v>14</v>
      </c>
      <c r="ET3" s="35" t="s">
        <v>57</v>
      </c>
      <c r="EU3" s="52" t="s">
        <v>45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6" t="s">
        <v>57</v>
      </c>
      <c r="FG3" s="51" t="s">
        <v>45</v>
      </c>
      <c r="FH3" s="31" t="s">
        <v>22</v>
      </c>
      <c r="FI3" s="31" t="s">
        <v>23</v>
      </c>
      <c r="FJ3" s="31" t="s">
        <v>14</v>
      </c>
      <c r="FK3" s="36" t="s">
        <v>57</v>
      </c>
      <c r="FL3" s="51" t="s">
        <v>45</v>
      </c>
      <c r="FM3" s="31" t="s">
        <v>22</v>
      </c>
      <c r="FN3" s="31" t="s">
        <v>23</v>
      </c>
      <c r="FO3" s="31" t="s">
        <v>14</v>
      </c>
      <c r="FP3" s="36" t="s">
        <v>57</v>
      </c>
      <c r="FQ3" s="51" t="s">
        <v>45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5" t="s">
        <v>57</v>
      </c>
      <c r="GC3" s="52" t="s">
        <v>45</v>
      </c>
      <c r="GD3" s="30" t="s">
        <v>22</v>
      </c>
      <c r="GE3" s="30" t="s">
        <v>23</v>
      </c>
      <c r="GF3" s="30" t="s">
        <v>14</v>
      </c>
      <c r="GG3" s="35" t="s">
        <v>57</v>
      </c>
      <c r="GH3" s="52" t="s">
        <v>45</v>
      </c>
      <c r="GI3" s="30" t="s">
        <v>22</v>
      </c>
      <c r="GJ3" s="30" t="s">
        <v>23</v>
      </c>
      <c r="GK3" s="30" t="s">
        <v>14</v>
      </c>
      <c r="GL3" s="35" t="s">
        <v>57</v>
      </c>
      <c r="GM3" s="52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6" t="s">
        <v>57</v>
      </c>
      <c r="GY3" s="51" t="s">
        <v>45</v>
      </c>
      <c r="GZ3" s="31" t="s">
        <v>22</v>
      </c>
      <c r="HA3" s="31" t="s">
        <v>23</v>
      </c>
      <c r="HB3" s="31" t="s">
        <v>14</v>
      </c>
      <c r="HC3" s="36" t="s">
        <v>57</v>
      </c>
      <c r="HD3" s="51" t="s">
        <v>45</v>
      </c>
      <c r="HE3" s="31" t="s">
        <v>22</v>
      </c>
      <c r="HF3" s="31" t="s">
        <v>23</v>
      </c>
      <c r="HG3" s="31" t="s">
        <v>14</v>
      </c>
      <c r="HH3" s="36" t="s">
        <v>57</v>
      </c>
      <c r="HI3" s="51" t="s">
        <v>45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5" t="s">
        <v>57</v>
      </c>
      <c r="HU3" s="52" t="s">
        <v>45</v>
      </c>
      <c r="HV3" s="30" t="s">
        <v>22</v>
      </c>
      <c r="HW3" s="30" t="s">
        <v>23</v>
      </c>
      <c r="HX3" s="30" t="s">
        <v>14</v>
      </c>
      <c r="HY3" s="35" t="s">
        <v>57</v>
      </c>
      <c r="HZ3" s="52" t="s">
        <v>45</v>
      </c>
      <c r="IA3" s="30" t="s">
        <v>22</v>
      </c>
      <c r="IB3" s="30" t="s">
        <v>23</v>
      </c>
      <c r="IC3" s="30" t="s">
        <v>14</v>
      </c>
      <c r="ID3" s="35" t="s">
        <v>57</v>
      </c>
      <c r="IE3" s="52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6" t="s">
        <v>57</v>
      </c>
      <c r="IQ3" s="51" t="s">
        <v>45</v>
      </c>
      <c r="IR3" s="31" t="s">
        <v>22</v>
      </c>
      <c r="IS3" s="31" t="s">
        <v>23</v>
      </c>
      <c r="IT3" s="31" t="s">
        <v>14</v>
      </c>
      <c r="IU3" s="36" t="s">
        <v>57</v>
      </c>
      <c r="IV3" s="51" t="s">
        <v>45</v>
      </c>
      <c r="IW3" s="31" t="s">
        <v>22</v>
      </c>
      <c r="IX3" s="31" t="s">
        <v>23</v>
      </c>
      <c r="IY3" s="31" t="s">
        <v>14</v>
      </c>
      <c r="IZ3" s="36" t="s">
        <v>57</v>
      </c>
      <c r="JA3" s="51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5" t="s">
        <v>57</v>
      </c>
      <c r="JM3" s="52" t="s">
        <v>45</v>
      </c>
      <c r="JN3" s="30" t="s">
        <v>22</v>
      </c>
      <c r="JO3" s="30" t="s">
        <v>23</v>
      </c>
      <c r="JP3" s="30" t="s">
        <v>14</v>
      </c>
      <c r="JQ3" s="35" t="s">
        <v>57</v>
      </c>
      <c r="JR3" s="52" t="s">
        <v>45</v>
      </c>
      <c r="JS3" s="30" t="s">
        <v>22</v>
      </c>
      <c r="JT3" s="30" t="s">
        <v>23</v>
      </c>
      <c r="JU3" s="30" t="s">
        <v>14</v>
      </c>
      <c r="JV3" s="35" t="s">
        <v>57</v>
      </c>
      <c r="JW3" s="52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6" t="s">
        <v>57</v>
      </c>
      <c r="KI3" s="51" t="s">
        <v>45</v>
      </c>
      <c r="KJ3" s="31" t="s">
        <v>22</v>
      </c>
      <c r="KK3" s="31" t="s">
        <v>23</v>
      </c>
      <c r="KL3" s="31" t="s">
        <v>14</v>
      </c>
      <c r="KM3" s="36" t="s">
        <v>57</v>
      </c>
      <c r="KN3" s="51" t="s">
        <v>45</v>
      </c>
      <c r="KO3" s="31" t="s">
        <v>22</v>
      </c>
      <c r="KP3" s="31" t="s">
        <v>23</v>
      </c>
      <c r="KQ3" s="31" t="s">
        <v>14</v>
      </c>
      <c r="KR3" s="36" t="s">
        <v>57</v>
      </c>
      <c r="KS3" s="51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5" t="s">
        <v>57</v>
      </c>
      <c r="LE3" s="52" t="s">
        <v>45</v>
      </c>
      <c r="LF3" s="49" t="s">
        <v>22</v>
      </c>
      <c r="LG3" s="30" t="s">
        <v>23</v>
      </c>
      <c r="LH3" s="30" t="s">
        <v>14</v>
      </c>
      <c r="LI3" s="35" t="s">
        <v>57</v>
      </c>
      <c r="LJ3" s="52" t="s">
        <v>45</v>
      </c>
      <c r="LK3" s="30" t="s">
        <v>22</v>
      </c>
      <c r="LL3" s="30" t="s">
        <v>23</v>
      </c>
      <c r="LM3" s="30" t="s">
        <v>14</v>
      </c>
      <c r="LN3" s="35" t="s">
        <v>57</v>
      </c>
      <c r="LO3" s="52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95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IF(AND(F4="P",H4="P"),SUMPRODUCT((F$4:F$14="P")*(H$4:H$14="P")*(E$4:E$14&gt;E4))+1,IF(H4="P",SUMPRODUCT((F$4:F$14="")*(H$4:H$14="P")*(E$4:E$14&gt;E4))+1+SUMPRODUCT((F$4:F$14="P")*(H$4:H$14="P")),""))</f>
        <v>1</v>
      </c>
      <c r="B4" s="9" t="s">
        <v>175</v>
      </c>
      <c r="C4" s="5" t="s">
        <v>118</v>
      </c>
      <c r="D4" s="29" t="s">
        <v>117</v>
      </c>
      <c r="E4" s="16">
        <f>SUM(J4:R4)</f>
        <v>225.13</v>
      </c>
      <c r="F4" s="4" t="str">
        <f>IF(OR(AND($AK4&gt;=$AL$16,NOT($AK4=""),$AJ4=""),AND($BH4&gt;=$BI$16,NOT($BH4=""),$BG4=""),AND($CH4&gt;=$CI$16,NOT($CH4="")),AND($DD4&gt;=$DE$16,NOT($DD4="")),AND($DZ4&gt;=$EA$16,NOT($DZ4="")),AND($EV4&gt;=$EW$16,NOT($EV4="")),AND($FR4&gt;=$FS$16,NOT($FR4="")),AND($GN4&gt;=$GO$16,NOT($GN4="")),AND($HJ4&gt;=$HK$16,NOT($HJ4="")),AND($IF4&gt;=$IG$16,NOT($IF4="")),AND($JB4&gt;=$JC$16,NOT($JB4="")),AND($JX4&gt;=$JY$16,NOT($JX4="")),AND($KT4&gt;=$KU$16,NOT($KT4="")),AND($LP4&gt;=$LQ$16,NOT($LP4="")),AND($AO4&gt;=$AL$16,NOT($AO4=""),$AJ4=""),AND($BL4&gt;=$BI$16,NOT($BL4=""),$BG4=""),AND($CL4&gt;=$CI$16,NOT($CL4="")),AND($DH4&gt;=$DE$16,NOT($DH4="")),AND($ED4&gt;=$EA$16,NOT($ED4="")),AND($EZ4&gt;=$EW$16,NOT($EZ4="")),AND($FV4&gt;=$FS$16,NOT($FV4="")),AND($GR4&gt;=$GO$16,NOT($GR4="")),AND($HN4&gt;=$HK$16,NOT($HN4="")),AND($IJ4&gt;=$IG$16,NOT($IJ4="")),AND($JF4&gt;=$JC$16,NOT($JF4="")),AND($KB4&gt;=$JY$16,NOT($KB4="")),AND($KX4&gt;=$KU$16,NOT($KX4="")),AND($LT4&gt;=$LQ$16,NOT($LT4=""))),"P","")</f>
        <v>P</v>
      </c>
      <c r="G4" s="4" t="str">
        <f>IF(OR(AND($AK4&gt;=$AL$17,NOT($AK4=""),$AJ4=""),AND($BH4&gt;=$BI$17,NOT($BH4=""),$BG4=""),AND($CH4&gt;=$CI$17,NOT($CH4="")),AND($DD4&gt;=$DE$17,NOT($DD4="")),AND($DZ4&gt;=$EA$17,NOT($DZ4="")),AND($EV4&gt;=$EW$17,NOT($EV4="")),AND($FR4&gt;=$FS$17,NOT($FR4="")),AND($GN4&gt;=$GO$17,NOT($GN4="")),AND($HJ4&gt;=$HK$17,NOT($HJ4="")),AND($IF4&gt;=$IG$17,NOT($IF4="")),AND($JB4&gt;=$JC$17,NOT($JB4="")),AND($JX4&gt;=$JY$17,NOT($JX4="")),AND($KT4&gt;=$KU$17,NOT($KT4="")),AND($LP4&gt;=$LQ$17,NOT($LP4="")),AND($AO4&gt;=$AL$17,NOT($AO4=""),$AJ4=""),AND($BL4&gt;=$BI$17,NOT($BL4=""),$BG4=""),AND($CL4&gt;=$CI$17,NOT($CL4="")),AND($DH4&gt;=$DE$17,NOT($DH4="")),AND($ED4&gt;=$EA$17,NOT($ED4="")),AND($EZ4&gt;=$EW$17,NOT($EZ4="")),AND($FV4&gt;=$FS$17,NOT($FV4="")),AND($GR4&gt;=$GO$17,NOT($GR4="")),AND($HN4&gt;=$HK$17,NOT($HN4="")),AND($IJ4&gt;=$IG$17,NOT($IJ4="")),AND($JF4&gt;=$JC$17,NOT($JF4="")),AND($KB4&gt;=$JY$17,NOT($KB4="")),AND($KX4&gt;=$KU$17,NOT($KX4="")),AND($LT4&gt;=$LQ$17,NOT($LT4=""))),"P","")</f>
        <v/>
      </c>
      <c r="H4" s="4" t="str">
        <f>IF(OR(AND($AN4&gt;=$AL$18,NOT($AN4=""),$AJ4=""),AND($BK4&gt;=$BI$18,NOT($BK4=""),$BG4=""),AND($CK4&gt;=$CI$18,NOT($CK4="")),AND($DG4&gt;=$DE$18,NOT($DG4="")),AND($EC4&gt;=$EA$18,NOT($EC4="")),AND($EY4&gt;=$EW$18,NOT($EY4="")),AND($FU4&gt;=$FS$18,NOT($FU4="")),AND($GQ4&gt;=$GO$18,NOT($GQ4="")),AND($HM4&gt;=$HK$18,NOT($HM4="")),AND($II4&gt;=$IG$18,NOT($II4="")),AND($JE4&gt;=$JC$18,NOT($JE4="")),AND($KA4&gt;=$JY$18,NOT($KA4="")),AND($KW4&gt;=$KU$18,NOT($KW4="")),AND($LS4&gt;=$LQ$18,NOT($LS4=""))),"P","")</f>
        <v>P</v>
      </c>
      <c r="I4" t="str">
        <f>IF(AND(H4="P",F4=""),"No DD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Merit",IF(AND(G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Excellence",IF(AND(G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Worlds Team",IF(AND(F4="P",OR(AND($AN4&gt;$AL$18,NOT($AN4=""),$AJ4=""),AND($BK4&gt;$BI$18,NOT($BK4=""),$BG4=""),AND($CK4&gt;$CI$18,NOT($CK4="")),AND($DG4&gt;$DE$18,NOT($DG4="")),AND($EC4&gt;$EA$18,NOT($EC4="")),AND($EY4&gt;$EW$18,NOT($EY4="")),AND($FU4&gt;$FS$18,NOT($FU4="")),AND($GQ4&gt;$GO$18,NOT($GQ4="")),AND($HM4&gt;$HK$18,NOT($HM4="")),AND($II4&gt;$IG$18,NOT($II4="")),AND($JE4&gt;$JC$18,NOT($JE4="")),AND($KA4&gt;$JY$18,NOT($KA4="")),AND($KW4&gt;$KU$18,NOT($KW4="")),AND($LS4&gt;$LQ$18,NOT($LS4="")))),"National Team","")))))</f>
        <v>National Team</v>
      </c>
      <c r="J4" s="15">
        <f>IF(MAX(AN4,BK4)&gt;0,MAX(AN4,BK4),"")</f>
        <v>90.86</v>
      </c>
      <c r="K4" s="15" t="str">
        <f>IF(J4="","",IF(J4=BK4,$AR$1,IF(J4=AN4,$U$1,"")))</f>
        <v>2019 Elite Canada</v>
      </c>
      <c r="L4" s="15">
        <f>IF($J4=$AN4,BI4,IF($J4=$BK4,AL4,MAX(AL4,BI4)))</f>
        <v>32.06</v>
      </c>
      <c r="M4" s="15" t="str">
        <f>IF(L4="","",IF(AND(L4=BI4,$K4&lt;&gt;$AR$1),$AR$1,IF(AND(L4=AL4,$K4&lt;&gt;$U$1),$U$1,"")))</f>
        <v>2019 Nationals</v>
      </c>
      <c r="N4" s="15">
        <f>IF($J4=$AN4,BJ4,IF($J4=$BK4,AM4,MAX(AM4,BJ4)))</f>
        <v>44.39</v>
      </c>
      <c r="O4" s="15" t="str">
        <f>IF(N4="","",IF(AND(N4=BJ4,$K4&lt;&gt;$AR$1),$AR$1,IF(AND(N4=AM4,$K4&lt;&gt;$U$1),$U$1,"")))</f>
        <v>2019 Nationals</v>
      </c>
      <c r="P4" s="15">
        <f>IF(MAX(AP4,BM4)&gt;0,MAX(AP4,BM4),"")</f>
        <v>50.349999999999994</v>
      </c>
      <c r="Q4" s="15" t="str">
        <f>IF(P4="","",IF(P4=BM4,$AR$1,IF(P4=AP4,$U$1,"")))</f>
        <v>2019 Nationals</v>
      </c>
      <c r="R4" s="15">
        <f>IF(MAX(BO4,BP4,BQ4,BR4)&gt;0,MAX(BO4,BP4,BQ4,BR4),"")</f>
        <v>7.4699999999999989</v>
      </c>
      <c r="S4" s="27" t="str">
        <f>IF(R4="","",IF(R4=BO4,"(Vol 1)",IF(R4=BP4,"(Vol 2)",IF(R4=BQ4,"(Prelim)",IF(R4=BR4,"(Final)")))))</f>
        <v>(Vol 1)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World Cup AZE (Feb 16)</v>
      </c>
      <c r="U4" s="41">
        <v>9.25</v>
      </c>
      <c r="V4" s="41">
        <v>9.1999999999999993</v>
      </c>
      <c r="W4" s="41">
        <v>5.8</v>
      </c>
      <c r="X4" s="41">
        <v>17.940000000000001</v>
      </c>
      <c r="Y4" s="41">
        <v>0</v>
      </c>
      <c r="Z4" s="41">
        <v>8.5500000000000007</v>
      </c>
      <c r="AA4" s="41">
        <v>8.6999999999999993</v>
      </c>
      <c r="AB4" s="41">
        <v>14.2</v>
      </c>
      <c r="AC4" s="41">
        <v>17.22</v>
      </c>
      <c r="AD4" s="41">
        <v>0</v>
      </c>
      <c r="AE4" s="41">
        <v>8.6999999999999993</v>
      </c>
      <c r="AF4" s="41">
        <v>8.6999999999999993</v>
      </c>
      <c r="AG4" s="41">
        <v>14.2</v>
      </c>
      <c r="AH4" s="41">
        <v>16.98</v>
      </c>
      <c r="AI4" s="41">
        <v>0</v>
      </c>
      <c r="AJ4" s="82"/>
      <c r="AK4" s="12">
        <f>IF(AB4&gt;0,AB4,"")</f>
        <v>14.2</v>
      </c>
      <c r="AL4" s="12">
        <f>IF(SUM(U4:X4)-Y4&gt;0,SUM(U4:X4)-Y4,"")</f>
        <v>42.19</v>
      </c>
      <c r="AM4" s="12">
        <f>IF(SUM(Z4:AC4)-AD4&gt;0,SUM(Z4:AC4)-AD4,"")</f>
        <v>48.67</v>
      </c>
      <c r="AN4" s="12">
        <f>IF(SUM(AL4:AM4)&gt;0,SUM(AL4:AM4),"")</f>
        <v>90.86</v>
      </c>
      <c r="AO4" s="12">
        <f>IF(AG4&gt;0,AG4,"")</f>
        <v>14.2</v>
      </c>
      <c r="AP4" s="12">
        <f>IF(SUM(AE4:AH4)-AI4&gt;0,SUM(AE4:AH4)-AI4,"")</f>
        <v>48.58</v>
      </c>
      <c r="AQ4" s="12">
        <f>IF(SUM(AN4,AP4)&gt;0,SUM(AN4,AP4),"")</f>
        <v>139.44</v>
      </c>
      <c r="AR4" s="42">
        <v>7.65</v>
      </c>
      <c r="AS4" s="42">
        <v>7.35</v>
      </c>
      <c r="AT4" s="42">
        <v>2.9</v>
      </c>
      <c r="AU4" s="42">
        <v>14.16</v>
      </c>
      <c r="AV4" s="42">
        <v>0</v>
      </c>
      <c r="AW4" s="42">
        <v>7.9</v>
      </c>
      <c r="AX4" s="42">
        <v>8.15</v>
      </c>
      <c r="AY4" s="42">
        <v>12.4</v>
      </c>
      <c r="AZ4" s="42">
        <v>15.94</v>
      </c>
      <c r="BA4" s="42">
        <v>0</v>
      </c>
      <c r="BB4" s="42">
        <v>8.9499999999999993</v>
      </c>
      <c r="BC4" s="42">
        <v>9.4</v>
      </c>
      <c r="BD4" s="42">
        <v>14.2</v>
      </c>
      <c r="BE4" s="42">
        <v>17.8</v>
      </c>
      <c r="BF4" s="42">
        <v>0</v>
      </c>
      <c r="BG4" s="83"/>
      <c r="BH4" s="15">
        <f>IF(AY4&gt;0,AY4,"")</f>
        <v>12.4</v>
      </c>
      <c r="BI4" s="15">
        <f>IF(SUM(AR4:AU4)-AV4&gt;0,SUM(AR4:AU4)-AV4,"")</f>
        <v>32.06</v>
      </c>
      <c r="BJ4" s="15">
        <f>IF(SUM(AW4:AZ4)-BA4&gt;0,SUM(AW4:AZ4)-BA4,"")</f>
        <v>44.39</v>
      </c>
      <c r="BK4" s="15">
        <f>IF(SUM(BI4:BJ4)&gt;0,SUM(BI4:BJ4),"")</f>
        <v>76.45</v>
      </c>
      <c r="BL4" s="15">
        <f>IF(BD4&gt;0,BD4,"")</f>
        <v>14.2</v>
      </c>
      <c r="BM4" s="15">
        <f>IF(SUM(BB4:BE4)-BF4&gt;0,SUM(BB4:BE4)-BF4,"")</f>
        <v>50.349999999999994</v>
      </c>
      <c r="BN4" s="15">
        <f>IF(SUM(BK4,BM4)&gt;0,SUM(BK4,BM4),"")</f>
        <v>126.8</v>
      </c>
      <c r="BO4" s="26">
        <f>IF(MAX(CI4,DE4,EA4,EW4,FS4,GO4,HK4,IG4,JC4,JY4,KU4,LQ4)-IF(L4="",0,L4)&gt;0.001,MAX(CI4,DE4,EA4,EW4,FS4,GO4,HK4,IG4,JC4,JY4,KU4,LQ4)-IF(L4="",0,L4),"")</f>
        <v>7.4699999999999989</v>
      </c>
      <c r="BP4" s="26" t="str">
        <f>IF(MAX(CJ4,DF4,EB4,EX4,FT4,GP4,HL4,IH4,JD4,JZ4,KV4,LR4)-IF(N4="",0,N4)&gt;0.001,MAX(CJ4,DF4,EB4,EX4,FT4,GP4,HL4,IH4,JD4,JZ4,KV4,LR4)-IF(N4="",0,N4),"")</f>
        <v/>
      </c>
      <c r="BQ4" s="26" t="str">
        <f>IF(MAX(CK4,DG4,EC4,EY4,FU4,GQ4,HM4,II4,JE4,KA4,KW4,LS4)-IF(J4="",0,J4)&gt;0.001,MAX(CK4,DG4,EC4,EY4,FU4,GQ4,HM4,II4,JE4,KA4,KW4,LS4)-IF(J4="",0,J4),"")</f>
        <v/>
      </c>
      <c r="BR4" s="26" t="str">
        <f>IF(MAX(CM4,DI4,EE4,FA4,FW4,GS4,HO4,IK4,JG4,KC4,KY4,LU4)-IF(P4="",0,P4)&gt;0.001,MAX(CM4,DI4,EE4,FA4,FW4,GS4,HO4,IK4,JG4,KC4,KY4,LU4)-IF(P4="",0,P4),"")</f>
        <v/>
      </c>
      <c r="BS4" s="39">
        <v>8.9</v>
      </c>
      <c r="BT4" s="39">
        <v>8.9499999999999993</v>
      </c>
      <c r="BU4" s="39">
        <v>5.8</v>
      </c>
      <c r="BV4" s="39">
        <v>15.88</v>
      </c>
      <c r="BW4" s="39">
        <v>0</v>
      </c>
      <c r="BX4" s="39">
        <v>4.1500000000000004</v>
      </c>
      <c r="BY4" s="39">
        <v>4.7</v>
      </c>
      <c r="BZ4" s="39">
        <v>7.8</v>
      </c>
      <c r="CA4" s="39">
        <v>9.58</v>
      </c>
      <c r="CB4" s="39">
        <v>0</v>
      </c>
      <c r="CC4" s="39"/>
      <c r="CD4" s="39"/>
      <c r="CE4" s="39"/>
      <c r="CF4" s="39"/>
      <c r="CG4" s="39"/>
      <c r="CH4" s="12">
        <f>IF(BZ4&gt;0,BZ4,"")</f>
        <v>7.8</v>
      </c>
      <c r="CI4" s="12">
        <f>IF(SUM(BS4:BV4)-BW4&gt;0,SUM(BS4:BV4)-BW4,"")</f>
        <v>39.53</v>
      </c>
      <c r="CJ4" s="12">
        <f>IF(SUM(BX4:CA4)-CB4&gt;0,SUM(BX4:CA4)-CB4,"")</f>
        <v>26.230000000000004</v>
      </c>
      <c r="CK4" s="12">
        <f>IF(SUM(CI4:CJ4)&gt;0,SUM(CI4:CJ4),"")</f>
        <v>65.760000000000005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65.760000000000005</v>
      </c>
      <c r="CO4" s="40">
        <v>7.9</v>
      </c>
      <c r="CP4" s="40">
        <v>8.3000000000000007</v>
      </c>
      <c r="CQ4" s="40">
        <v>4.2</v>
      </c>
      <c r="CR4" s="40">
        <v>15.96</v>
      </c>
      <c r="CS4" s="40">
        <v>0</v>
      </c>
      <c r="CT4" s="40">
        <v>5.6</v>
      </c>
      <c r="CU4" s="40">
        <v>6.4</v>
      </c>
      <c r="CV4" s="40">
        <v>10.7</v>
      </c>
      <c r="CW4" s="40">
        <v>12.9</v>
      </c>
      <c r="CX4" s="40">
        <v>0</v>
      </c>
      <c r="CY4" s="40"/>
      <c r="CZ4" s="40"/>
      <c r="DA4" s="40"/>
      <c r="DB4" s="40"/>
      <c r="DC4" s="40"/>
      <c r="DD4" s="15">
        <f>IF(CV4&gt;0,CV4,"")</f>
        <v>10.7</v>
      </c>
      <c r="DE4" s="15">
        <f>IF(SUM(CO4:CR4)-CS4&gt;0,SUM(CO4:CR4)-CS4,"")</f>
        <v>36.36</v>
      </c>
      <c r="DF4" s="15">
        <f>IF(SUM(CT4:CW4)-CX4&gt;0,SUM(CT4:CW4)-CX4,"")</f>
        <v>35.6</v>
      </c>
      <c r="DG4" s="15">
        <f>IF(SUM(DE4:DF4)&gt;0,SUM(DE4:DF4),"")</f>
        <v>71.960000000000008</v>
      </c>
      <c r="DH4" s="15" t="str">
        <f>IF(DA4&gt;0,DA4,"")</f>
        <v/>
      </c>
      <c r="DI4" s="15" t="str">
        <f>IF(SUM(CY4:DB4)-DC4&gt;0,SUM(CY4:DB4)-DC4,"")</f>
        <v/>
      </c>
      <c r="DJ4" s="15">
        <f>IF(SUM(DG4,DI4)&gt;0,SUM(DG4,DI4),"")</f>
        <v>71.960000000000008</v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>IF($BG4="P",AR4,(U4+AR4)/2)</f>
        <v>8.4499999999999993</v>
      </c>
      <c r="LX4" s="71">
        <f t="shared" ref="LX4:MK13" si="0">IF($BG4="P",AS4,(V4+AS4)/2)</f>
        <v>8.2749999999999986</v>
      </c>
      <c r="LY4" s="71">
        <f t="shared" si="0"/>
        <v>4.3499999999999996</v>
      </c>
      <c r="LZ4" s="71">
        <f t="shared" si="0"/>
        <v>16.05</v>
      </c>
      <c r="MA4" s="71">
        <f t="shared" si="0"/>
        <v>0</v>
      </c>
      <c r="MB4" s="71">
        <f t="shared" si="0"/>
        <v>8.2250000000000014</v>
      </c>
      <c r="MC4" s="71">
        <f t="shared" si="0"/>
        <v>8.4250000000000007</v>
      </c>
      <c r="MD4" s="71">
        <f t="shared" si="0"/>
        <v>13.3</v>
      </c>
      <c r="ME4" s="71">
        <f t="shared" si="0"/>
        <v>16.579999999999998</v>
      </c>
      <c r="MF4" s="71">
        <f t="shared" si="0"/>
        <v>0</v>
      </c>
      <c r="MG4" s="71">
        <f t="shared" si="0"/>
        <v>8.8249999999999993</v>
      </c>
      <c r="MH4" s="71">
        <f t="shared" si="0"/>
        <v>9.0500000000000007</v>
      </c>
      <c r="MI4" s="71">
        <f t="shared" si="0"/>
        <v>14.2</v>
      </c>
      <c r="MJ4" s="71">
        <f t="shared" si="0"/>
        <v>17.39</v>
      </c>
      <c r="MK4" s="71">
        <f t="shared" si="0"/>
        <v>0</v>
      </c>
      <c r="ML4" s="82" t="s">
        <v>96</v>
      </c>
      <c r="MM4" s="12">
        <f t="shared" ref="MM4" si="1">IF(MD4&gt;0,MD4,"")</f>
        <v>13.3</v>
      </c>
      <c r="MN4" s="12">
        <f t="shared" ref="MN4" si="2">IF(SUM(LW4:LZ4)-MA4&gt;0,SUM(LW4:LZ4)-MA4,"")</f>
        <v>37.125</v>
      </c>
      <c r="MO4" s="12">
        <f t="shared" ref="MO4" si="3">IF(SUM(MB4:ME4)-MF4&gt;0,SUM(MB4:ME4)-MF4,"")</f>
        <v>46.53</v>
      </c>
      <c r="MP4" s="12">
        <f t="shared" ref="MP4" si="4">IF(SUM(MN4:MO4)&gt;0,SUM(MN4:MO4),"")</f>
        <v>83.655000000000001</v>
      </c>
      <c r="MQ4" s="12">
        <f>IF(MI4&gt;0,MI4,"")</f>
        <v>14.2</v>
      </c>
      <c r="MR4" s="12">
        <f t="shared" ref="MR4" si="5">IF(SUM(MG4:MJ4)-MK4&gt;0,SUM(MG4:MJ4)-MK4,"")</f>
        <v>49.465000000000003</v>
      </c>
      <c r="MS4" s="12">
        <f t="shared" ref="MS4" si="6">IF(SUM(MP4,MR4)&gt;0,SUM(MP4,MR4),"")</f>
        <v>133.12</v>
      </c>
    </row>
    <row r="5" spans="1:357" x14ac:dyDescent="0.2">
      <c r="A5" s="6">
        <f>IF(AND(F5="P",H5="P"),SUMPRODUCT((F$4:F$14="P")*(H$4:H$14="P")*(E$4:E$14&gt;E5))+1,IF(H5="P",SUMPRODUCT((F$4:F$14="")*(H$4:H$14="P")*(E$4:E$14&gt;E5))+1+SUMPRODUCT((F$4:F$14="P")*(H$4:H$14="P")),""))</f>
        <v>2</v>
      </c>
      <c r="B5" s="9" t="s">
        <v>176</v>
      </c>
      <c r="C5" s="5" t="s">
        <v>177</v>
      </c>
      <c r="D5" s="29" t="s">
        <v>178</v>
      </c>
      <c r="E5" s="16">
        <f>SUM(J5:R5)</f>
        <v>89.69</v>
      </c>
      <c r="F5" s="4" t="str">
        <f>IF(OR(AND($AK5&gt;=$AL$16,NOT($AK5=""),$AJ5=""),AND($BH5&gt;=$BI$16,NOT($BH5=""),$BG5=""),AND($CH5&gt;=$CI$16,NOT($CH5="")),AND($DD5&gt;=$DE$16,NOT($DD5="")),AND($DZ5&gt;=$EA$16,NOT($DZ5="")),AND($EV5&gt;=$EW$16,NOT($EV5="")),AND($FR5&gt;=$FS$16,NOT($FR5="")),AND($GN5&gt;=$GO$16,NOT($GN5="")),AND($HJ5&gt;=$HK$16,NOT($HJ5="")),AND($IF5&gt;=$IG$16,NOT($IF5="")),AND($JB5&gt;=$JC$16,NOT($JB5="")),AND($JX5&gt;=$JY$16,NOT($JX5="")),AND($KT5&gt;=$KU$16,NOT($KT5="")),AND($LP5&gt;=$LQ$16,NOT($LP5="")),AND($AO5&gt;=$AL$16,NOT($AO5=""),$AJ5=""),AND($BL5&gt;=$BI$16,NOT($BL5=""),$BG5=""),AND($CL5&gt;=$CI$16,NOT($CL5="")),AND($DH5&gt;=$DE$16,NOT($DH5="")),AND($ED5&gt;=$EA$16,NOT($ED5="")),AND($EZ5&gt;=$EW$16,NOT($EZ5="")),AND($FV5&gt;=$FS$16,NOT($FV5="")),AND($GR5&gt;=$GO$16,NOT($GR5="")),AND($HN5&gt;=$HK$16,NOT($HN5="")),AND($IJ5&gt;=$IG$16,NOT($IJ5="")),AND($JF5&gt;=$JC$16,NOT($JF5="")),AND($KB5&gt;=$JY$16,NOT($KB5="")),AND($KX5&gt;=$KU$16,NOT($KX5="")),AND($LT5&gt;=$LQ$16,NOT($LT5=""))),"P","")</f>
        <v>P</v>
      </c>
      <c r="G5" s="4" t="str">
        <f>IF(OR(AND($AK5&gt;=$AL$17,NOT($AK5=""),$AJ5=""),AND($BH5&gt;=$BI$17,NOT($BH5=""),$BG5=""),AND($CH5&gt;=$CI$17,NOT($CH5="")),AND($DD5&gt;=$DE$17,NOT($DD5="")),AND($DZ5&gt;=$EA$17,NOT($DZ5="")),AND($EV5&gt;=$EW$17,NOT($EV5="")),AND($FR5&gt;=$FS$17,NOT($FR5="")),AND($GN5&gt;=$GO$17,NOT($GN5="")),AND($HJ5&gt;=$HK$17,NOT($HJ5="")),AND($IF5&gt;=$IG$17,NOT($IF5="")),AND($JB5&gt;=$JC$17,NOT($JB5="")),AND($JX5&gt;=$JY$17,NOT($JX5="")),AND($KT5&gt;=$KU$17,NOT($KT5="")),AND($LP5&gt;=$LQ$17,NOT($LP5="")),AND($AO5&gt;=$AL$17,NOT($AO5=""),$AJ5=""),AND($BL5&gt;=$BI$17,NOT($BL5=""),$BG5=""),AND($CL5&gt;=$CI$17,NOT($CL5="")),AND($DH5&gt;=$DE$17,NOT($DH5="")),AND($ED5&gt;=$EA$17,NOT($ED5="")),AND($EZ5&gt;=$EW$17,NOT($EZ5="")),AND($FV5&gt;=$FS$17,NOT($FV5="")),AND($GR5&gt;=$GO$17,NOT($GR5="")),AND($HN5&gt;=$HK$17,NOT($HN5="")),AND($IJ5&gt;=$IG$17,NOT($IJ5="")),AND($JF5&gt;=$JC$17,NOT($JF5="")),AND($KB5&gt;=$JY$17,NOT($KB5="")),AND($KX5&gt;=$KU$17,NOT($KX5="")),AND($LT5&gt;=$LQ$17,NOT($LT5=""))),"P","")</f>
        <v>P</v>
      </c>
      <c r="H5" s="4" t="str">
        <f>IF(OR(AND($AN5&gt;=$AL$18,NOT($AN5=""),$AJ5=""),AND($BK5&gt;=$BI$18,NOT($BK5=""),$BG5=""),AND($CK5&gt;=$CI$18,NOT($CK5="")),AND($DG5&gt;=$DE$18,NOT($DG5="")),AND($EC5&gt;=$EA$18,NOT($EC5="")),AND($EY5&gt;=$EW$18,NOT($EY5="")),AND($FU5&gt;=$FS$18,NOT($FU5="")),AND($GQ5&gt;=$GO$18,NOT($GQ5="")),AND($HM5&gt;=$HK$18,NOT($HM5="")),AND($II5&gt;=$IG$18,NOT($II5="")),AND($JE5&gt;=$JC$18,NOT($JE5="")),AND($KA5&gt;=$JY$18,NOT($KA5="")),AND($KW5&gt;=$KU$18,NOT($KW5="")),AND($LS5&gt;=$LQ$18,NOT($LS5=""))),"P","")</f>
        <v>P</v>
      </c>
      <c r="I5" t="str">
        <f>IF(AND(H5="P",F5=""),"No DD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Merit",IF(AND(G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Excellence",IF(AND(G5="P",OR(AND($AN5&gt;$AL$19,NOT($AN5=""),$AJ5=""),AND($BK5&gt;$BI$19,NOT($BK5=""),$BG5=""),AND($CK5&gt;$CI$19,NOT($CK5="")),AND($DG5&gt;$DE$19,NOT($DG5="")),AND($EC5&gt;$EA$19,NOT($EC5="")),AND($EY5&gt;$EW$19,NOT($EY5="")),AND($FU5&gt;$FS$19,NOT($FU5="")),AND($GQ5&gt;$GO$19,NOT($GQ5="")),AND($HM5&gt;$HK$19,NOT($HM5="")),AND($II5&gt;$IG$19,NOT($II5="")),AND($JE5&gt;$JC$19,NOT($JE5="")),AND($KA5&gt;$JY$19,NOT($KA5="")),AND($KW5&gt;$KU$19,NOT($KW5="")),AND($LS5&gt;$LQ$19,NOT($LS5="")))),"Worlds Team",IF(AND(F5="P",OR(AND($AN5&gt;$AL$18,NOT($AN5=""),$AJ5=""),AND($BK5&gt;$BI$18,NOT($BK5=""),$BG5=""),AND($CK5&gt;$CI$18,NOT($CK5="")),AND($DG5&gt;$DE$18,NOT($DG5="")),AND($EC5&gt;$EA$18,NOT($EC5="")),AND($EY5&gt;$EW$18,NOT($EY5="")),AND($FU5&gt;$FS$18,NOT($FU5="")),AND($GQ5&gt;$GO$18,NOT($GQ5="")),AND($HM5&gt;$HK$18,NOT($HM5="")),AND($II5&gt;$IG$18,NOT($II5="")),AND($JE5&gt;$JC$18,NOT($JE5="")),AND($KA5&gt;$JY$18,NOT($KA5="")),AND($KW5&gt;$KU$18,NOT($KW5="")),AND($LS5&gt;$LQ$18,NOT($LS5="")))),"National Team","")))))</f>
        <v>Worlds Team</v>
      </c>
      <c r="J5" s="15" t="str">
        <f>IF(MAX(AN5,BK5)&gt;0,MAX(AN5,BK5),"")</f>
        <v/>
      </c>
      <c r="K5" s="15" t="str">
        <f>IF(J5="","",IF(J5=BK5,$AR$1,IF(J5=AN5,$U$1,"")))</f>
        <v/>
      </c>
      <c r="L5" s="15" t="str">
        <f>IF($J5=$AN5,BI5,IF($J5=$BK5,AL5,MAX(AL5,BI5)))</f>
        <v/>
      </c>
      <c r="M5" s="15" t="str">
        <f>IF(L5="","",IF(AND(L5=BI5,$K5&lt;&gt;$AR$1),$AR$1,IF(AND(L5=AL5,$K5&lt;&gt;$U$1),$U$1,"")))</f>
        <v/>
      </c>
      <c r="N5" s="15" t="str">
        <f>IF($J5=$AN5,BJ5,IF($J5=$BK5,AM5,MAX(AM5,BJ5)))</f>
        <v/>
      </c>
      <c r="O5" s="15" t="str">
        <f>IF(N5="","",IF(AND(N5=BJ5,$K5&lt;&gt;$AR$1),$AR$1,IF(AND(N5=AM5,$K5&lt;&gt;$U$1),$U$1,"")))</f>
        <v/>
      </c>
      <c r="P5" s="15" t="str">
        <f>IF(MAX(AP5,BM5)&gt;0,MAX(AP5,BM5),"")</f>
        <v/>
      </c>
      <c r="Q5" s="15" t="str">
        <f>IF(P5="","",IF(P5=BM5,$AR$1,IF(P5=AP5,$U$1,"")))</f>
        <v/>
      </c>
      <c r="R5" s="15">
        <f>IF(MAX(BO5,BP5,BQ5,BR5)&gt;0,MAX(BO5,BP5,BQ5,BR5),"")</f>
        <v>89.69</v>
      </c>
      <c r="S5" s="27" t="str">
        <f>IF(R5="","",IF(R5=BO5,"(Vol 1)",IF(R5=BP5,"(Vol 2)",IF(R5=BQ5,"(Prelim)",IF(R5=BR5,"(Final)")))))</f>
        <v>(Prelim)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Championships (Nov 29)</v>
      </c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82"/>
      <c r="AK5" s="12" t="str">
        <f>IF(AB5&gt;0,AB5,"")</f>
        <v/>
      </c>
      <c r="AL5" s="12" t="str">
        <f>IF(SUM(U5:X5)-Y5&gt;0,SUM(U5:X5)-Y5,"")</f>
        <v/>
      </c>
      <c r="AM5" s="12" t="str">
        <f>IF(SUM(Z5:AC5)-AD5&gt;0,SUM(Z5:AC5)-AD5,"")</f>
        <v/>
      </c>
      <c r="AN5" s="12" t="str">
        <f>IF(SUM(AL5:AM5)&gt;0,SUM(AL5:AM5),"")</f>
        <v/>
      </c>
      <c r="AO5" s="12" t="str">
        <f>IF(AG5&gt;0,AG5,"")</f>
        <v/>
      </c>
      <c r="AP5" s="12" t="str">
        <f>IF(SUM(AE5:AH5)-AI5&gt;0,SUM(AE5:AH5)-AI5,"")</f>
        <v/>
      </c>
      <c r="AQ5" s="12" t="str">
        <f>IF(SUM(AN5,AP5)&gt;0,SUM(AN5,AP5),"")</f>
        <v/>
      </c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83"/>
      <c r="BH5" s="15" t="str">
        <f>IF(AY5&gt;0,AY5,"")</f>
        <v/>
      </c>
      <c r="BI5" s="15" t="str">
        <f>IF(SUM(AR5:AU5)-AV5&gt;0,SUM(AR5:AU5)-AV5,"")</f>
        <v/>
      </c>
      <c r="BJ5" s="15" t="str">
        <f>IF(SUM(AW5:AZ5)-BA5&gt;0,SUM(AW5:AZ5)-BA5,"")</f>
        <v/>
      </c>
      <c r="BK5" s="15" t="str">
        <f>IF(SUM(BI5:BJ5)&gt;0,SUM(BI5:BJ5),"")</f>
        <v/>
      </c>
      <c r="BL5" s="15" t="str">
        <f>IF(BD5&gt;0,BD5,"")</f>
        <v/>
      </c>
      <c r="BM5" s="15" t="str">
        <f>IF(SUM(BB5:BE5)-BF5&gt;0,SUM(BB5:BE5)-BF5,"")</f>
        <v/>
      </c>
      <c r="BN5" s="15" t="str">
        <f>IF(SUM(BK5,BM5)&gt;0,SUM(BK5,BM5),"")</f>
        <v/>
      </c>
      <c r="BO5" s="26">
        <f>IF(MAX(CI5,DE5,EA5,EW5,FS5,GO5,HK5,IG5,JC5,JY5,KU5,LQ5)-IF(L5="",0,L5)&gt;0.001,MAX(CI5,DE5,EA5,EW5,FS5,GO5,HK5,IG5,JC5,JY5,KU5,LQ5)-IF(L5="",0,L5),"")</f>
        <v>41.41</v>
      </c>
      <c r="BP5" s="26">
        <f>IF(MAX(CJ5,DF5,EB5,EX5,FT5,GP5,HL5,IH5,JD5,JZ5,KV5,LR5)-IF(N5="",0,N5)&gt;0.001,MAX(CJ5,DF5,EB5,EX5,FT5,GP5,HL5,IH5,JD5,JZ5,KV5,LR5)-IF(N5="",0,N5),"")</f>
        <v>49.11</v>
      </c>
      <c r="BQ5" s="26">
        <f>IF(MAX(CK5,DG5,EC5,EY5,FU5,GQ5,HM5,II5,JE5,KA5,KW5,LS5)-IF(J5="",0,J5)&gt;0.001,MAX(CK5,DG5,EC5,EY5,FU5,GQ5,HM5,II5,JE5,KA5,KW5,LS5)-IF(J5="",0,J5),"")</f>
        <v>89.69</v>
      </c>
      <c r="BR5" s="26">
        <f>IF(MAX(CM5,DI5,EE5,FA5,FW5,GS5,HO5,IK5,JG5,KC5,KY5,LU5)-IF(P5="",0,P5)&gt;0.001,MAX(CM5,DI5,EE5,FA5,FW5,GS5,HO5,IK5,JG5,KC5,KY5,LU5)-IF(P5="",0,P5),"")</f>
        <v>47.82</v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>
        <v>8.35</v>
      </c>
      <c r="DL5" s="39">
        <v>8.9499999999999993</v>
      </c>
      <c r="DM5" s="39">
        <v>5.4</v>
      </c>
      <c r="DN5" s="39">
        <v>16.32</v>
      </c>
      <c r="DO5" s="39">
        <v>0</v>
      </c>
      <c r="DP5" s="39">
        <v>7.25</v>
      </c>
      <c r="DQ5" s="39">
        <v>8.6</v>
      </c>
      <c r="DR5" s="39">
        <v>15.6</v>
      </c>
      <c r="DS5" s="39">
        <v>15.7</v>
      </c>
      <c r="DT5" s="39">
        <v>0</v>
      </c>
      <c r="DU5" s="39">
        <v>7.45</v>
      </c>
      <c r="DV5" s="39">
        <v>9.0500000000000007</v>
      </c>
      <c r="DW5" s="39">
        <v>15.2</v>
      </c>
      <c r="DX5" s="39">
        <v>16.12</v>
      </c>
      <c r="DY5" s="39">
        <v>0</v>
      </c>
      <c r="DZ5" s="12">
        <f>IF(DR5&gt;0,DR5,"")</f>
        <v>15.6</v>
      </c>
      <c r="EA5" s="12">
        <f>IF(SUM(DK5:DN5)-DO5&gt;0,SUM(DK5:DN5)-DO5,"")</f>
        <v>39.019999999999996</v>
      </c>
      <c r="EB5" s="12">
        <f>IF(SUM(DP5:DS5)-DT5&gt;0,SUM(DP5:DS5)-DT5,"")</f>
        <v>47.15</v>
      </c>
      <c r="EC5" s="12">
        <f>IF(SUM(EA5:EB5)&gt;0,SUM(EA5:EB5),"")</f>
        <v>86.169999999999987</v>
      </c>
      <c r="ED5" s="12">
        <f>IF(DW5&gt;0,DW5,"")</f>
        <v>15.2</v>
      </c>
      <c r="EE5" s="12">
        <f>IF(SUM(DU5:DX5)-DY5&gt;0,SUM(DU5:DX5)-DY5,"")</f>
        <v>47.82</v>
      </c>
      <c r="EF5" s="12">
        <f>IF(SUM(EC5,EE5)&gt;0,SUM(EC5,EE5),"")</f>
        <v>133.98999999999998</v>
      </c>
      <c r="EG5" s="40">
        <v>9.15</v>
      </c>
      <c r="EH5" s="40">
        <v>9.3000000000000007</v>
      </c>
      <c r="EI5" s="40">
        <v>5.4</v>
      </c>
      <c r="EJ5" s="40">
        <v>17.559999999999999</v>
      </c>
      <c r="EK5" s="40">
        <v>0</v>
      </c>
      <c r="EL5" s="40">
        <v>7.4</v>
      </c>
      <c r="EM5" s="40">
        <v>9.1999999999999993</v>
      </c>
      <c r="EN5" s="40">
        <v>15.6</v>
      </c>
      <c r="EO5" s="40">
        <v>14.6</v>
      </c>
      <c r="EP5" s="40">
        <v>0</v>
      </c>
      <c r="EQ5" s="40"/>
      <c r="ER5" s="40"/>
      <c r="ES5" s="40"/>
      <c r="ET5" s="40"/>
      <c r="EU5" s="40"/>
      <c r="EV5" s="15">
        <f>IF(EN5&gt;0,EN5,"")</f>
        <v>15.6</v>
      </c>
      <c r="EW5" s="15">
        <f>IF(SUM(EG5:EJ5)-EK5&gt;0,SUM(EG5:EJ5)-EK5,"")</f>
        <v>41.41</v>
      </c>
      <c r="EX5" s="15">
        <f>IF(SUM(EL5:EO5)-EP5&gt;0,SUM(EL5:EO5)-EP5,"")</f>
        <v>46.800000000000004</v>
      </c>
      <c r="EY5" s="15">
        <f>IF(SUM(EW5:EX5)&gt;0,SUM(EW5:EX5),"")</f>
        <v>88.210000000000008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88.210000000000008</v>
      </c>
      <c r="FC5" s="39">
        <v>9</v>
      </c>
      <c r="FD5" s="39">
        <v>9.4</v>
      </c>
      <c r="FE5" s="39">
        <v>5.4</v>
      </c>
      <c r="FF5" s="39">
        <v>16.78</v>
      </c>
      <c r="FG5" s="39">
        <v>0</v>
      </c>
      <c r="FH5" s="39">
        <v>7.35</v>
      </c>
      <c r="FI5" s="39">
        <v>9.3000000000000007</v>
      </c>
      <c r="FJ5" s="39">
        <v>15.6</v>
      </c>
      <c r="FK5" s="39">
        <v>16.86</v>
      </c>
      <c r="FL5" s="39">
        <v>0</v>
      </c>
      <c r="FM5" s="39"/>
      <c r="FN5" s="39"/>
      <c r="FO5" s="39"/>
      <c r="FP5" s="39"/>
      <c r="FQ5" s="39"/>
      <c r="FR5" s="12">
        <f>IF(FJ5&gt;0,FJ5,"")</f>
        <v>15.6</v>
      </c>
      <c r="FS5" s="12">
        <f>IF(SUM(FC5:FF5)-FG5&gt;0,SUM(FC5:FF5)-FG5,"")</f>
        <v>40.58</v>
      </c>
      <c r="FT5" s="12">
        <f>IF(SUM(FH5:FK5)-FL5&gt;0,SUM(FH5:FK5)-FL5,"")</f>
        <v>49.11</v>
      </c>
      <c r="FU5" s="12">
        <f>IF(SUM(FS5:FT5)&gt;0,SUM(FS5:FT5),"")</f>
        <v>89.69</v>
      </c>
      <c r="FV5" s="12" t="str">
        <f>IF(FO5&gt;0,FO5,"")</f>
        <v/>
      </c>
      <c r="FW5" s="12" t="str">
        <f>IF(SUM(FM5:FP5)-FQ5&gt;0,SUM(FM5:FP5)-FQ5,"")</f>
        <v/>
      </c>
      <c r="FX5" s="12">
        <f>IF(SUM(FU5,FW5)&gt;0,SUM(FU5,FW5),"")</f>
        <v>89.69</v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>
        <v>3.9</v>
      </c>
      <c r="GJ5" s="40">
        <v>4.55</v>
      </c>
      <c r="GK5" s="40">
        <v>8.1999999999999993</v>
      </c>
      <c r="GL5" s="40">
        <v>8.8800000000000008</v>
      </c>
      <c r="GM5" s="40">
        <v>0</v>
      </c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>
        <f>IF(GK5&gt;0,GK5,"")</f>
        <v>8.1999999999999993</v>
      </c>
      <c r="GS5" s="15">
        <f>IF(SUM(GI5:GL5)-GM5&gt;0,SUM(GI5:GL5)-GM5,"")</f>
        <v>25.53</v>
      </c>
      <c r="GT5" s="15">
        <f>IF(SUM(GQ5,GS5)&gt;0,SUM(GQ5,GS5),"")</f>
        <v>25.53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ref="LW5:LW13" si="7">IF($BG5="P",AR5,(U5+AR5)/2)</f>
        <v>0</v>
      </c>
      <c r="LX5" s="71">
        <f t="shared" si="0"/>
        <v>0</v>
      </c>
      <c r="LY5" s="71">
        <f t="shared" si="0"/>
        <v>0</v>
      </c>
      <c r="LZ5" s="71">
        <f t="shared" si="0"/>
        <v>0</v>
      </c>
      <c r="MA5" s="71">
        <f t="shared" si="0"/>
        <v>0</v>
      </c>
      <c r="MB5" s="71">
        <f t="shared" si="0"/>
        <v>0</v>
      </c>
      <c r="MC5" s="71">
        <f t="shared" si="0"/>
        <v>0</v>
      </c>
      <c r="MD5" s="71">
        <f t="shared" si="0"/>
        <v>0</v>
      </c>
      <c r="ME5" s="71">
        <f t="shared" si="0"/>
        <v>0</v>
      </c>
      <c r="MF5" s="71">
        <f t="shared" si="0"/>
        <v>0</v>
      </c>
      <c r="MG5" s="71">
        <f t="shared" si="0"/>
        <v>0</v>
      </c>
      <c r="MH5" s="71">
        <f t="shared" si="0"/>
        <v>0</v>
      </c>
      <c r="MI5" s="71">
        <f t="shared" si="0"/>
        <v>0</v>
      </c>
      <c r="MJ5" s="71">
        <f t="shared" si="0"/>
        <v>0</v>
      </c>
      <c r="MK5" s="71">
        <f t="shared" si="0"/>
        <v>0</v>
      </c>
      <c r="ML5" s="82" t="s">
        <v>96</v>
      </c>
      <c r="MM5" s="12" t="str">
        <f t="shared" ref="MM5:MM13" si="8">IF(MD5&gt;0,MD5,"")</f>
        <v/>
      </c>
      <c r="MN5" s="12" t="str">
        <f t="shared" ref="MN5:MN13" si="9">IF(SUM(LW5:LZ5)-MA5&gt;0,SUM(LW5:LZ5)-MA5,"")</f>
        <v/>
      </c>
      <c r="MO5" s="12" t="str">
        <f t="shared" ref="MO5:MO13" si="10">IF(SUM(MB5:ME5)-MF5&gt;0,SUM(MB5:ME5)-MF5,"")</f>
        <v/>
      </c>
      <c r="MP5" s="12" t="str">
        <f t="shared" ref="MP5:MP13" si="11">IF(SUM(MN5:MO5)&gt;0,SUM(MN5:MO5),"")</f>
        <v/>
      </c>
      <c r="MQ5" s="12" t="str">
        <f t="shared" ref="MQ5:MQ13" si="12">IF(MI5&gt;0,MI5,"")</f>
        <v/>
      </c>
      <c r="MR5" s="12" t="str">
        <f t="shared" ref="MR5:MR13" si="13">IF(SUM(MG5:MJ5)-MK5&gt;0,SUM(MG5:MJ5)-MK5,"")</f>
        <v/>
      </c>
      <c r="MS5" s="12" t="str">
        <f t="shared" ref="MS5:MS13" si="14">IF(SUM(MP5,MR5)&gt;0,SUM(MP5,MR5),"")</f>
        <v/>
      </c>
    </row>
    <row r="6" spans="1:357" x14ac:dyDescent="0.2">
      <c r="A6" s="6">
        <f>IF(AND(F6="P",H6="P"),SUMPRODUCT((F$4:F$14="P")*(H$4:H$14="P")*(E$4:E$14&gt;E6))+1,IF(H6="P",SUMPRODUCT((F$4:F$14="")*(H$4:H$14="P")*(E$4:E$14&gt;E6))+1+SUMPRODUCT((F$4:F$14="P")*(H$4:H$14="P")),""))</f>
        <v>3</v>
      </c>
      <c r="B6" s="9" t="s">
        <v>174</v>
      </c>
      <c r="C6" s="5" t="s">
        <v>110</v>
      </c>
      <c r="D6" s="29" t="s">
        <v>179</v>
      </c>
      <c r="E6" s="16">
        <f>SUM(J6:R6)</f>
        <v>88.480000000000018</v>
      </c>
      <c r="F6" s="4" t="str">
        <f>IF(OR(AND($AK6&gt;=$AL$16,NOT($AK6=""),$AJ6=""),AND($BH6&gt;=$BI$16,NOT($BH6=""),$BG6=""),AND($CH6&gt;=$CI$16,NOT($CH6="")),AND($DD6&gt;=$DE$16,NOT($DD6="")),AND($DZ6&gt;=$EA$16,NOT($DZ6="")),AND($EV6&gt;=$EW$16,NOT($EV6="")),AND($FR6&gt;=$FS$16,NOT($FR6="")),AND($GN6&gt;=$GO$16,NOT($GN6="")),AND($HJ6&gt;=$HK$16,NOT($HJ6="")),AND($IF6&gt;=$IG$16,NOT($IF6="")),AND($JB6&gt;=$JC$16,NOT($JB6="")),AND($JX6&gt;=$JY$16,NOT($JX6="")),AND($KT6&gt;=$KU$16,NOT($KT6="")),AND($LP6&gt;=$LQ$16,NOT($LP6="")),AND($AO6&gt;=$AL$16,NOT($AO6=""),$AJ6=""),AND($BL6&gt;=$BI$16,NOT($BL6=""),$BG6=""),AND($CL6&gt;=$CI$16,NOT($CL6="")),AND($DH6&gt;=$DE$16,NOT($DH6="")),AND($ED6&gt;=$EA$16,NOT($ED6="")),AND($EZ6&gt;=$EW$16,NOT($EZ6="")),AND($FV6&gt;=$FS$16,NOT($FV6="")),AND($GR6&gt;=$GO$16,NOT($GR6="")),AND($HN6&gt;=$HK$16,NOT($HN6="")),AND($IJ6&gt;=$IG$16,NOT($IJ6="")),AND($JF6&gt;=$JC$16,NOT($JF6="")),AND($KB6&gt;=$JY$16,NOT($KB6="")),AND($KX6&gt;=$KU$16,NOT($KX6="")),AND($LT6&gt;=$LQ$16,NOT($LT6=""))),"P","")</f>
        <v>P</v>
      </c>
      <c r="G6" s="4" t="str">
        <f>IF(OR(AND($AK6&gt;=$AL$17,NOT($AK6=""),$AJ6=""),AND($BH6&gt;=$BI$17,NOT($BH6=""),$BG6=""),AND($CH6&gt;=$CI$17,NOT($CH6="")),AND($DD6&gt;=$DE$17,NOT($DD6="")),AND($DZ6&gt;=$EA$17,NOT($DZ6="")),AND($EV6&gt;=$EW$17,NOT($EV6="")),AND($FR6&gt;=$FS$17,NOT($FR6="")),AND($GN6&gt;=$GO$17,NOT($GN6="")),AND($HJ6&gt;=$HK$17,NOT($HJ6="")),AND($IF6&gt;=$IG$17,NOT($IF6="")),AND($JB6&gt;=$JC$17,NOT($JB6="")),AND($JX6&gt;=$JY$17,NOT($JX6="")),AND($KT6&gt;=$KU$17,NOT($KT6="")),AND($LP6&gt;=$LQ$17,NOT($LP6="")),AND($AO6&gt;=$AL$17,NOT($AO6=""),$AJ6=""),AND($BL6&gt;=$BI$17,NOT($BL6=""),$BG6=""),AND($CL6&gt;=$CI$17,NOT($CL6="")),AND($DH6&gt;=$DE$17,NOT($DH6="")),AND($ED6&gt;=$EA$17,NOT($ED6="")),AND($EZ6&gt;=$EW$17,NOT($EZ6="")),AND($FV6&gt;=$FS$17,NOT($FV6="")),AND($GR6&gt;=$GO$17,NOT($GR6="")),AND($HN6&gt;=$HK$17,NOT($HN6="")),AND($IJ6&gt;=$IG$17,NOT($IJ6="")),AND($JF6&gt;=$JC$17,NOT($JF6="")),AND($KB6&gt;=$JY$17,NOT($KB6="")),AND($KX6&gt;=$KU$17,NOT($KX6="")),AND($LT6&gt;=$LQ$17,NOT($LT6=""))),"P","")</f>
        <v>P</v>
      </c>
      <c r="H6" s="4" t="str">
        <f>IF(OR(AND($AN6&gt;=$AL$18,NOT($AN6=""),$AJ6=""),AND($BK6&gt;=$BI$18,NOT($BK6=""),$BG6=""),AND($CK6&gt;=$CI$18,NOT($CK6="")),AND($DG6&gt;=$DE$18,NOT($DG6="")),AND($EC6&gt;=$EA$18,NOT($EC6="")),AND($EY6&gt;=$EW$18,NOT($EY6="")),AND($FU6&gt;=$FS$18,NOT($FU6="")),AND($GQ6&gt;=$GO$18,NOT($GQ6="")),AND($HM6&gt;=$HK$18,NOT($HM6="")),AND($II6&gt;=$IG$18,NOT($II6="")),AND($JE6&gt;=$JC$18,NOT($JE6="")),AND($KA6&gt;=$JY$18,NOT($KA6="")),AND($KW6&gt;=$KU$18,NOT($KW6="")),AND($LS6&gt;=$LQ$18,NOT($LS6=""))),"P","")</f>
        <v>P</v>
      </c>
      <c r="I6" t="str">
        <f>IF(AND(H6="P",F6=""),"No DD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Merit",IF(AND(G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Excellence",IF(AND(G6="P",OR(AND($AN6&gt;$AL$19,NOT($AN6=""),$AJ6=""),AND($BK6&gt;$BI$19,NOT($BK6=""),$BG6=""),AND($CK6&gt;$CI$19,NOT($CK6="")),AND($DG6&gt;$DE$19,NOT($DG6="")),AND($EC6&gt;$EA$19,NOT($EC6="")),AND($EY6&gt;$EW$19,NOT($EY6="")),AND($FU6&gt;$FS$19,NOT($FU6="")),AND($GQ6&gt;$GO$19,NOT($GQ6="")),AND($HM6&gt;$HK$19,NOT($HM6="")),AND($II6&gt;$IG$19,NOT($II6="")),AND($JE6&gt;$JC$19,NOT($JE6="")),AND($KA6&gt;$JY$19,NOT($KA6="")),AND($KW6&gt;$KU$19,NOT($KW6="")),AND($LS6&gt;$LQ$19,NOT($LS6="")))),"Worlds Team",IF(AND(F6="P",OR(AND($AN6&gt;$AL$18,NOT($AN6=""),$AJ6=""),AND($BK6&gt;$BI$18,NOT($BK6=""),$BG6=""),AND($CK6&gt;$CI$18,NOT($CK6="")),AND($DG6&gt;$DE$18,NOT($DG6="")),AND($EC6&gt;$EA$18,NOT($EC6="")),AND($EY6&gt;$EW$18,NOT($EY6="")),AND($FU6&gt;$FS$18,NOT($FU6="")),AND($GQ6&gt;$GO$18,NOT($GQ6="")),AND($HM6&gt;$HK$18,NOT($HM6="")),AND($II6&gt;$IG$18,NOT($II6="")),AND($JE6&gt;$JC$18,NOT($JE6="")),AND($KA6&gt;$JY$18,NOT($KA6="")),AND($KW6&gt;$KU$18,NOT($KW6="")),AND($LS6&gt;$LQ$18,NOT($LS6="")))),"National Team","")))))</f>
        <v>National Team</v>
      </c>
      <c r="J6" s="15" t="str">
        <f>IF(MAX(AN6,BK6)&gt;0,MAX(AN6,BK6),"")</f>
        <v/>
      </c>
      <c r="K6" s="15" t="str">
        <f>IF(J6="","",IF(J6=BK6,$AR$1,IF(J6=AN6,$U$1,"")))</f>
        <v/>
      </c>
      <c r="L6" s="15" t="str">
        <f>IF($J6=$AN6,BI6,IF($J6=$BK6,AL6,MAX(AL6,BI6)))</f>
        <v/>
      </c>
      <c r="M6" s="15" t="str">
        <f>IF(L6="","",IF(AND(L6=BI6,$K6&lt;&gt;$AR$1),$AR$1,IF(AND(L6=AL6,$K6&lt;&gt;$U$1),$U$1,"")))</f>
        <v/>
      </c>
      <c r="N6" s="15" t="str">
        <f>IF($J6=$AN6,BJ6,IF($J6=$BK6,AM6,MAX(AM6,BJ6)))</f>
        <v/>
      </c>
      <c r="O6" s="15" t="str">
        <f>IF(N6="","",IF(AND(N6=BJ6,$K6&lt;&gt;$AR$1),$AR$1,IF(AND(N6=AM6,$K6&lt;&gt;$U$1),$U$1,"")))</f>
        <v/>
      </c>
      <c r="P6" s="15" t="str">
        <f>IF(MAX(AP6,BM6)&gt;0,MAX(AP6,BM6),"")</f>
        <v/>
      </c>
      <c r="Q6" s="15" t="str">
        <f>IF(P6="","",IF(P6=BM6,$AR$1,IF(P6=AP6,$U$1,"")))</f>
        <v/>
      </c>
      <c r="R6" s="15">
        <f>IF(MAX(BO6,BP6,BQ6,BR6)&gt;0,MAX(BO6,BP6,BQ6,BR6),"")</f>
        <v>88.480000000000018</v>
      </c>
      <c r="S6" s="27" t="str">
        <f>IF(R6="","",IF(R6=BO6,"(Vol 1)",IF(R6=BP6,"(Vol 2)",IF(R6=BQ6,"(Prelim)",IF(R6=BR6,"(Final)")))))</f>
        <v>(Prelim)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2019 World Cup ESP (Oct 6)</v>
      </c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82"/>
      <c r="AK6" s="12" t="str">
        <f>IF(AB6&gt;0,AB6,"")</f>
        <v/>
      </c>
      <c r="AL6" s="12" t="str">
        <f>IF(SUM(U6:X6)-Y6&gt;0,SUM(U6:X6)-Y6,"")</f>
        <v/>
      </c>
      <c r="AM6" s="12" t="str">
        <f>IF(SUM(Z6:AC6)-AD6&gt;0,SUM(Z6:AC6)-AD6,"")</f>
        <v/>
      </c>
      <c r="AN6" s="12" t="str">
        <f>IF(SUM(AL6:AM6)&gt;0,SUM(AL6:AM6),"")</f>
        <v/>
      </c>
      <c r="AO6" s="12" t="str">
        <f>IF(AG6&gt;0,AG6,"")</f>
        <v/>
      </c>
      <c r="AP6" s="12" t="str">
        <f>IF(SUM(AE6:AH6)-AI6&gt;0,SUM(AE6:AH6)-AI6,"")</f>
        <v/>
      </c>
      <c r="AQ6" s="12" t="str">
        <f>IF(SUM(AN6,AP6)&gt;0,SUM(AN6,AP6),"")</f>
        <v/>
      </c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83"/>
      <c r="BH6" s="15" t="str">
        <f>IF(AY6&gt;0,AY6,"")</f>
        <v/>
      </c>
      <c r="BI6" s="15" t="str">
        <f>IF(SUM(AR6:AU6)-AV6&gt;0,SUM(AR6:AU6)-AV6,"")</f>
        <v/>
      </c>
      <c r="BJ6" s="15" t="str">
        <f>IF(SUM(AW6:AZ6)-BA6&gt;0,SUM(AW6:AZ6)-BA6,"")</f>
        <v/>
      </c>
      <c r="BK6" s="15" t="str">
        <f>IF(SUM(BI6:BJ6)&gt;0,SUM(BI6:BJ6),"")</f>
        <v/>
      </c>
      <c r="BL6" s="15" t="str">
        <f>IF(BD6&gt;0,BD6,"")</f>
        <v/>
      </c>
      <c r="BM6" s="15" t="str">
        <f>IF(SUM(BB6:BE6)-BF6&gt;0,SUM(BB6:BE6)-BF6,"")</f>
        <v/>
      </c>
      <c r="BN6" s="15" t="str">
        <f>IF(SUM(BK6,BM6)&gt;0,SUM(BK6,BM6),"")</f>
        <v/>
      </c>
      <c r="BO6" s="26">
        <f>IF(MAX(CI6,DE6,EA6,EW6,FS6,GO6,HK6,IG6,JC6,JY6,KU6,LQ6)-IF(L6="",0,L6)&gt;0.001,MAX(CI6,DE6,EA6,EW6,FS6,GO6,HK6,IG6,JC6,JY6,KU6,LQ6)-IF(L6="",0,L6),"")</f>
        <v>40.460000000000008</v>
      </c>
      <c r="BP6" s="26">
        <f>IF(MAX(CJ6,DF6,EB6,EX6,FT6,GP6,HL6,IH6,JD6,JZ6,KV6,LR6)-IF(N6="",0,N6)&gt;0.001,MAX(CJ6,DF6,EB6,EX6,FT6,GP6,HL6,IH6,JD6,JZ6,KV6,LR6)-IF(N6="",0,N6),"")</f>
        <v>48.79</v>
      </c>
      <c r="BQ6" s="26">
        <f>IF(MAX(CK6,DG6,EC6,EY6,FU6,GQ6,HM6,II6,JE6,KA6,KW6,LS6)-IF(J6="",0,J6)&gt;0.001,MAX(CK6,DG6,EC6,EY6,FU6,GQ6,HM6,II6,JE6,KA6,KW6,LS6)-IF(J6="",0,J6),"")</f>
        <v>88.480000000000018</v>
      </c>
      <c r="BR6" s="26">
        <f>IF(MAX(CM6,DI6,EE6,FA6,FW6,GS6,HO6,IK6,JG6,KC6,KY6,LU6)-IF(P6="",0,P6)&gt;0.001,MAX(CM6,DI6,EE6,FA6,FW6,GS6,HO6,IK6,JG6,KC6,KY6,LU6)-IF(P6="",0,P6),"")</f>
        <v>51.019999999999996</v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>
        <v>8.0500000000000007</v>
      </c>
      <c r="DL6" s="39">
        <v>8.1999999999999993</v>
      </c>
      <c r="DM6" s="39">
        <v>3.3</v>
      </c>
      <c r="DN6" s="39">
        <v>14.9</v>
      </c>
      <c r="DO6" s="39">
        <v>0</v>
      </c>
      <c r="DP6" s="39">
        <v>8.25</v>
      </c>
      <c r="DQ6" s="39">
        <v>8.9</v>
      </c>
      <c r="DR6" s="39">
        <v>14</v>
      </c>
      <c r="DS6" s="39">
        <v>17.64</v>
      </c>
      <c r="DT6" s="39">
        <v>0</v>
      </c>
      <c r="DU6" s="39"/>
      <c r="DV6" s="39"/>
      <c r="DW6" s="39"/>
      <c r="DX6" s="39"/>
      <c r="DY6" s="39"/>
      <c r="DZ6" s="12">
        <f>IF(DR6&gt;0,DR6,"")</f>
        <v>14</v>
      </c>
      <c r="EA6" s="12">
        <f>IF(SUM(DK6:DN6)-DO6&gt;0,SUM(DK6:DN6)-DO6,"")</f>
        <v>34.450000000000003</v>
      </c>
      <c r="EB6" s="12">
        <f>IF(SUM(DP6:DS6)-DT6&gt;0,SUM(DP6:DS6)-DT6,"")</f>
        <v>48.79</v>
      </c>
      <c r="EC6" s="12">
        <f>IF(SUM(EA6:EB6)&gt;0,SUM(EA6:EB6),"")</f>
        <v>83.240000000000009</v>
      </c>
      <c r="ED6" s="12" t="str">
        <f>IF(DW6&gt;0,DW6,"")</f>
        <v/>
      </c>
      <c r="EE6" s="12" t="str">
        <f>IF(SUM(DU6:DX6)-DY6&gt;0,SUM(DU6:DX6)-DY6,"")</f>
        <v/>
      </c>
      <c r="EF6" s="12">
        <f>IF(SUM(EC6,EE6)&gt;0,SUM(EC6,EE6),"")</f>
        <v>83.240000000000009</v>
      </c>
      <c r="EG6" s="40">
        <v>8.85</v>
      </c>
      <c r="EH6" s="40">
        <v>9.25</v>
      </c>
      <c r="EI6" s="40">
        <v>5.0999999999999996</v>
      </c>
      <c r="EJ6" s="40">
        <v>17.260000000000002</v>
      </c>
      <c r="EK6" s="40">
        <v>0</v>
      </c>
      <c r="EL6" s="40">
        <v>8.25</v>
      </c>
      <c r="EM6" s="40">
        <v>9.35</v>
      </c>
      <c r="EN6" s="40">
        <v>14</v>
      </c>
      <c r="EO6" s="40">
        <v>16.420000000000002</v>
      </c>
      <c r="EP6" s="40">
        <v>0</v>
      </c>
      <c r="EQ6" s="40">
        <v>8.3000000000000007</v>
      </c>
      <c r="ER6" s="40">
        <v>9.1999999999999993</v>
      </c>
      <c r="ES6" s="40">
        <v>15</v>
      </c>
      <c r="ET6" s="40">
        <v>18.52</v>
      </c>
      <c r="EU6" s="40">
        <v>0</v>
      </c>
      <c r="EV6" s="15">
        <f>IF(EN6&gt;0,EN6,"")</f>
        <v>14</v>
      </c>
      <c r="EW6" s="15">
        <f>IF(SUM(EG6:EJ6)-EK6&gt;0,SUM(EG6:EJ6)-EK6,"")</f>
        <v>40.460000000000008</v>
      </c>
      <c r="EX6" s="15">
        <f>IF(SUM(EL6:EO6)-EP6&gt;0,SUM(EL6:EO6)-EP6,"")</f>
        <v>48.02</v>
      </c>
      <c r="EY6" s="15">
        <f>IF(SUM(EW6:EX6)&gt;0,SUM(EW6:EX6),"")</f>
        <v>88.480000000000018</v>
      </c>
      <c r="EZ6" s="15">
        <f>IF(ES6&gt;0,ES6,"")</f>
        <v>15</v>
      </c>
      <c r="FA6" s="15">
        <f>IF(SUM(EQ6:ET6)-EU6&gt;0,SUM(EQ6:ET6)-EU6,"")</f>
        <v>51.019999999999996</v>
      </c>
      <c r="FB6" s="15">
        <f>IF(SUM(EY6,FA6)&gt;0,SUM(EY6,FA6),"")</f>
        <v>139.5</v>
      </c>
      <c r="FC6" s="39">
        <v>8.35</v>
      </c>
      <c r="FD6" s="39">
        <v>8.4</v>
      </c>
      <c r="FE6" s="39">
        <v>3.5</v>
      </c>
      <c r="FF6" s="39">
        <v>16.12</v>
      </c>
      <c r="FG6" s="39">
        <v>0</v>
      </c>
      <c r="FH6" s="39">
        <v>0.85</v>
      </c>
      <c r="FI6" s="39">
        <v>0.9</v>
      </c>
      <c r="FJ6" s="39">
        <v>2</v>
      </c>
      <c r="FK6" s="39">
        <v>1.4</v>
      </c>
      <c r="FL6" s="39">
        <v>0</v>
      </c>
      <c r="FM6" s="39"/>
      <c r="FN6" s="39"/>
      <c r="FO6" s="39"/>
      <c r="FP6" s="39"/>
      <c r="FQ6" s="39"/>
      <c r="FR6" s="12">
        <f>IF(FJ6&gt;0,FJ6,"")</f>
        <v>2</v>
      </c>
      <c r="FS6" s="12">
        <f>IF(SUM(FC6:FF6)-FG6&gt;0,SUM(FC6:FF6)-FG6,"")</f>
        <v>36.370000000000005</v>
      </c>
      <c r="FT6" s="12">
        <f>IF(SUM(FH6:FK6)-FL6&gt;0,SUM(FH6:FK6)-FL6,"")</f>
        <v>5.15</v>
      </c>
      <c r="FU6" s="12">
        <f>IF(SUM(FS6:FT6)&gt;0,SUM(FS6:FT6),"")</f>
        <v>41.52</v>
      </c>
      <c r="FV6" s="12" t="str">
        <f>IF(FO6&gt;0,FO6,"")</f>
        <v/>
      </c>
      <c r="FW6" s="12" t="str">
        <f>IF(SUM(FM6:FP6)-FQ6&gt;0,SUM(FM6:FP6)-FQ6,"")</f>
        <v/>
      </c>
      <c r="FX6" s="12">
        <f>IF(SUM(FU6,FW6)&gt;0,SUM(FU6,FW6),"")</f>
        <v>41.52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7"/>
        <v>0</v>
      </c>
      <c r="LX6" s="71">
        <f t="shared" si="0"/>
        <v>0</v>
      </c>
      <c r="LY6" s="71">
        <f t="shared" si="0"/>
        <v>0</v>
      </c>
      <c r="LZ6" s="71">
        <f t="shared" si="0"/>
        <v>0</v>
      </c>
      <c r="MA6" s="71">
        <f t="shared" si="0"/>
        <v>0</v>
      </c>
      <c r="MB6" s="71">
        <f t="shared" si="0"/>
        <v>0</v>
      </c>
      <c r="MC6" s="71">
        <f t="shared" si="0"/>
        <v>0</v>
      </c>
      <c r="MD6" s="71">
        <f t="shared" si="0"/>
        <v>0</v>
      </c>
      <c r="ME6" s="71">
        <f t="shared" si="0"/>
        <v>0</v>
      </c>
      <c r="MF6" s="71">
        <f t="shared" si="0"/>
        <v>0</v>
      </c>
      <c r="MG6" s="71">
        <f t="shared" si="0"/>
        <v>0</v>
      </c>
      <c r="MH6" s="71">
        <f t="shared" si="0"/>
        <v>0</v>
      </c>
      <c r="MI6" s="71">
        <f t="shared" si="0"/>
        <v>0</v>
      </c>
      <c r="MJ6" s="71">
        <f t="shared" si="0"/>
        <v>0</v>
      </c>
      <c r="MK6" s="71">
        <f t="shared" si="0"/>
        <v>0</v>
      </c>
      <c r="ML6" s="82" t="s">
        <v>96</v>
      </c>
      <c r="MM6" s="12" t="str">
        <f t="shared" si="8"/>
        <v/>
      </c>
      <c r="MN6" s="12" t="str">
        <f t="shared" si="9"/>
        <v/>
      </c>
      <c r="MO6" s="12" t="str">
        <f t="shared" si="10"/>
        <v/>
      </c>
      <c r="MP6" s="12" t="str">
        <f t="shared" si="11"/>
        <v/>
      </c>
      <c r="MQ6" s="12" t="str">
        <f t="shared" si="12"/>
        <v/>
      </c>
      <c r="MR6" s="12" t="str">
        <f t="shared" si="13"/>
        <v/>
      </c>
      <c r="MS6" s="12" t="str">
        <f t="shared" si="14"/>
        <v/>
      </c>
    </row>
    <row r="7" spans="1:357" x14ac:dyDescent="0.2">
      <c r="A7" s="6" t="str">
        <f>IF(AND(F7="P",H7="P"),SUMPRODUCT((F$4:F$14="P")*(H$4:H$14="P")*(E$4:E$14&gt;E7))+1,IF(H7="P",SUMPRODUCT((F$4:F$14="")*(H$4:H$14="P")*(E$4:E$14&gt;E7))+1+SUMPRODUCT((F$4:F$14="P")*(H$4:H$14="P")),""))</f>
        <v/>
      </c>
      <c r="B7" s="9" t="s">
        <v>147</v>
      </c>
      <c r="C7" s="5" t="s">
        <v>3</v>
      </c>
      <c r="D7" s="29" t="s">
        <v>119</v>
      </c>
      <c r="E7" s="16">
        <f>SUM(J7:R7)</f>
        <v>184.29499999999999</v>
      </c>
      <c r="F7" s="4" t="str">
        <f>IF(OR(AND($AK7&gt;=$AL$16,NOT($AK7=""),$AJ7=""),AND($BH7&gt;=$BI$16,NOT($BH7=""),$BG7=""),AND($CH7&gt;=$CI$16,NOT($CH7="")),AND($DD7&gt;=$DE$16,NOT($DD7="")),AND($DZ7&gt;=$EA$16,NOT($DZ7="")),AND($EV7&gt;=$EW$16,NOT($EV7="")),AND($FR7&gt;=$FS$16,NOT($FR7="")),AND($GN7&gt;=$GO$16,NOT($GN7="")),AND($HJ7&gt;=$HK$16,NOT($HJ7="")),AND($IF7&gt;=$IG$16,NOT($IF7="")),AND($JB7&gt;=$JC$16,NOT($JB7="")),AND($JX7&gt;=$JY$16,NOT($JX7="")),AND($KT7&gt;=$KU$16,NOT($KT7="")),AND($LP7&gt;=$LQ$16,NOT($LP7="")),AND($AO7&gt;=$AL$16,NOT($AO7=""),$AJ7=""),AND($BL7&gt;=$BI$16,NOT($BL7=""),$BG7=""),AND($CL7&gt;=$CI$16,NOT($CL7="")),AND($DH7&gt;=$DE$16,NOT($DH7="")),AND($ED7&gt;=$EA$16,NOT($ED7="")),AND($EZ7&gt;=$EW$16,NOT($EZ7="")),AND($FV7&gt;=$FS$16,NOT($FV7="")),AND($GR7&gt;=$GO$16,NOT($GR7="")),AND($HN7&gt;=$HK$16,NOT($HN7="")),AND($IJ7&gt;=$IG$16,NOT($IJ7="")),AND($JF7&gt;=$JC$16,NOT($JF7="")),AND($KB7&gt;=$JY$16,NOT($KB7="")),AND($KX7&gt;=$KU$16,NOT($KX7="")),AND($LT7&gt;=$LQ$16,NOT($LT7=""))),"P","")</f>
        <v/>
      </c>
      <c r="G7" s="4" t="str">
        <f>IF(OR(AND($AK7&gt;=$AL$17,NOT($AK7=""),$AJ7=""),AND($BH7&gt;=$BI$17,NOT($BH7=""),$BG7=""),AND($CH7&gt;=$CI$17,NOT($CH7="")),AND($DD7&gt;=$DE$17,NOT($DD7="")),AND($DZ7&gt;=$EA$17,NOT($DZ7="")),AND($EV7&gt;=$EW$17,NOT($EV7="")),AND($FR7&gt;=$FS$17,NOT($FR7="")),AND($GN7&gt;=$GO$17,NOT($GN7="")),AND($HJ7&gt;=$HK$17,NOT($HJ7="")),AND($IF7&gt;=$IG$17,NOT($IF7="")),AND($JB7&gt;=$JC$17,NOT($JB7="")),AND($JX7&gt;=$JY$17,NOT($JX7="")),AND($KT7&gt;=$KU$17,NOT($KT7="")),AND($LP7&gt;=$LQ$17,NOT($LP7="")),AND($AO7&gt;=$AL$17,NOT($AO7=""),$AJ7=""),AND($BL7&gt;=$BI$17,NOT($BL7=""),$BG7=""),AND($CL7&gt;=$CI$17,NOT($CL7="")),AND($DH7&gt;=$DE$17,NOT($DH7="")),AND($ED7&gt;=$EA$17,NOT($ED7="")),AND($EZ7&gt;=$EW$17,NOT($EZ7="")),AND($FV7&gt;=$FS$17,NOT($FV7="")),AND($GR7&gt;=$GO$17,NOT($GR7="")),AND($HN7&gt;=$HK$17,NOT($HN7="")),AND($IJ7&gt;=$IG$17,NOT($IJ7="")),AND($JF7&gt;=$JC$17,NOT($JF7="")),AND($KB7&gt;=$JY$17,NOT($KB7="")),AND($KX7&gt;=$KU$17,NOT($KX7="")),AND($LT7&gt;=$LQ$17,NOT($LT7=""))),"P","")</f>
        <v/>
      </c>
      <c r="H7" s="4" t="str">
        <f>IF(OR(AND($AN7&gt;=$AL$18,NOT($AN7=""),$AJ7=""),AND($BK7&gt;=$BI$18,NOT($BK7=""),$BG7=""),AND($CK7&gt;=$CI$18,NOT($CK7="")),AND($DG7&gt;=$DE$18,NOT($DG7="")),AND($EC7&gt;=$EA$18,NOT($EC7="")),AND($EY7&gt;=$EW$18,NOT($EY7="")),AND($FU7&gt;=$FS$18,NOT($FU7="")),AND($GQ7&gt;=$GO$18,NOT($GQ7="")),AND($HM7&gt;=$HK$18,NOT($HM7="")),AND($II7&gt;=$IG$18,NOT($II7="")),AND($JE7&gt;=$JC$18,NOT($JE7="")),AND($KA7&gt;=$JY$18,NOT($KA7="")),AND($KW7&gt;=$KU$18,NOT($KW7="")),AND($LS7&gt;=$LQ$18,NOT($LS7=""))),"P","")</f>
        <v/>
      </c>
      <c r="I7" t="str">
        <f>IF(AND(H7="P",F7=""),"No DD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Merit",IF(AND(G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Excellence",IF(AND(G7="P",OR(AND($AN7&gt;$AL$19,NOT($AN7=""),$AJ7=""),AND($BK7&gt;$BI$19,NOT($BK7=""),$BG7=""),AND($CK7&gt;$CI$19,NOT($CK7="")),AND($DG7&gt;$DE$19,NOT($DG7="")),AND($EC7&gt;$EA$19,NOT($EC7="")),AND($EY7&gt;$EW$19,NOT($EY7="")),AND($FU7&gt;$FS$19,NOT($FU7="")),AND($GQ7&gt;$GO$19,NOT($GQ7="")),AND($HM7&gt;$HK$19,NOT($HM7="")),AND($II7&gt;$IG$19,NOT($II7="")),AND($JE7&gt;$JC$19,NOT($JE7="")),AND($KA7&gt;$JY$19,NOT($KA7="")),AND($KW7&gt;$KU$19,NOT($KW7="")),AND($LS7&gt;$LQ$19,NOT($LS7="")))),"Worlds Team",IF(AND(F7="P",OR(AND($AN7&gt;$AL$18,NOT($AN7=""),$AJ7=""),AND($BK7&gt;$BI$18,NOT($BK7=""),$BG7=""),AND($CK7&gt;$CI$18,NOT($CK7="")),AND($DG7&gt;$DE$18,NOT($DG7="")),AND($EC7&gt;$EA$18,NOT($EC7="")),AND($EY7&gt;$EW$18,NOT($EY7="")),AND($FU7&gt;$FS$18,NOT($FU7="")),AND($GQ7&gt;$GO$18,NOT($GQ7="")),AND($HM7&gt;$HK$18,NOT($HM7="")),AND($II7&gt;$IG$18,NOT($II7="")),AND($JE7&gt;$JC$18,NOT($JE7="")),AND($KA7&gt;$JY$18,NOT($KA7="")),AND($KW7&gt;$KU$18,NOT($KW7="")),AND($LS7&gt;$LQ$18,NOT($LS7="")))),"National Team","")))))</f>
        <v/>
      </c>
      <c r="J7" s="15">
        <f>IF(MAX(AN7,BK7)&gt;0,MAX(AN7,BK7),"")</f>
        <v>75.694999999999993</v>
      </c>
      <c r="K7" s="15" t="str">
        <f>IF(J7="","",IF(J7=BK7,$AR$1,IF(J7=AN7,$U$1,"")))</f>
        <v>2019 Elite Canada</v>
      </c>
      <c r="L7" s="15">
        <f>IF($J7=$AN7,BI7,IF($J7=$BK7,AL7,MAX(AL7,BI7)))</f>
        <v>19.149999999999999</v>
      </c>
      <c r="M7" s="15" t="str">
        <f>IF(L7="","",IF(AND(L7=BI7,$K7&lt;&gt;$AR$1),$AR$1,IF(AND(L7=AL7,$K7&lt;&gt;$U$1),$U$1,"")))</f>
        <v>2019 Nationals</v>
      </c>
      <c r="N7" s="15">
        <f>IF($J7=$AN7,BJ7,IF($J7=$BK7,AM7,MAX(AM7,BJ7)))</f>
        <v>45.26</v>
      </c>
      <c r="O7" s="15" t="str">
        <f>IF(N7="","",IF(AND(N7=BJ7,$K7&lt;&gt;$AR$1),$AR$1,IF(AND(N7=AM7,$K7&lt;&gt;$U$1),$U$1,"")))</f>
        <v>2019 Nationals</v>
      </c>
      <c r="P7" s="15">
        <f>IF(MAX(AP7,BM7)&gt;0,MAX(AP7,BM7),"")</f>
        <v>44.19</v>
      </c>
      <c r="Q7" s="15" t="str">
        <f>IF(P7="","",IF(P7=BM7,$AR$1,IF(P7=AP7,$U$1,"")))</f>
        <v>2019 Nationals</v>
      </c>
      <c r="R7" s="15" t="str">
        <f>IF(MAX(BO7,BP7,BQ7,BR7)&gt;0,MAX(BO7,BP7,BQ7,BR7),"")</f>
        <v/>
      </c>
      <c r="S7" s="27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41">
        <v>7.8</v>
      </c>
      <c r="V7" s="41">
        <v>9.35</v>
      </c>
      <c r="W7" s="41">
        <v>3.9</v>
      </c>
      <c r="X7" s="41">
        <v>15.36</v>
      </c>
      <c r="Y7" s="41">
        <v>0</v>
      </c>
      <c r="Z7" s="41">
        <v>6.125</v>
      </c>
      <c r="AA7" s="41">
        <v>7.9</v>
      </c>
      <c r="AB7" s="41">
        <v>10</v>
      </c>
      <c r="AC7" s="41">
        <v>15.26</v>
      </c>
      <c r="AD7" s="41">
        <v>0</v>
      </c>
      <c r="AE7" s="41">
        <v>5.7750000000000004</v>
      </c>
      <c r="AF7" s="41">
        <v>7.1</v>
      </c>
      <c r="AG7" s="41">
        <v>9.4</v>
      </c>
      <c r="AH7" s="41">
        <v>10.98</v>
      </c>
      <c r="AI7" s="41">
        <v>0</v>
      </c>
      <c r="AJ7" s="82"/>
      <c r="AK7" s="12">
        <f>IF(AB7&gt;0,AB7,"")</f>
        <v>10</v>
      </c>
      <c r="AL7" s="12">
        <f>IF(SUM(U7:X7)-Y7&gt;0,SUM(U7:X7)-Y7,"")</f>
        <v>36.409999999999997</v>
      </c>
      <c r="AM7" s="12">
        <f>IF(SUM(Z7:AC7)-AD7&gt;0,SUM(Z7:AC7)-AD7,"")</f>
        <v>39.284999999999997</v>
      </c>
      <c r="AN7" s="12">
        <f>IF(SUM(AL7:AM7)&gt;0,SUM(AL7:AM7),"")</f>
        <v>75.694999999999993</v>
      </c>
      <c r="AO7" s="12">
        <f>IF(AG7&gt;0,AG7,"")</f>
        <v>9.4</v>
      </c>
      <c r="AP7" s="12">
        <f>IF(SUM(AE7:AH7)-AI7&gt;0,SUM(AE7:AH7)-AI7,"")</f>
        <v>33.254999999999995</v>
      </c>
      <c r="AQ7" s="12">
        <f>IF(SUM(AN7,AP7)&gt;0,SUM(AN7,AP7),"")</f>
        <v>108.94999999999999</v>
      </c>
      <c r="AR7" s="42">
        <v>4.5</v>
      </c>
      <c r="AS7" s="42">
        <v>4.6500000000000004</v>
      </c>
      <c r="AT7" s="42">
        <v>1.2</v>
      </c>
      <c r="AU7" s="42">
        <v>8.8000000000000007</v>
      </c>
      <c r="AV7" s="42">
        <v>0</v>
      </c>
      <c r="AW7" s="42">
        <v>7.45</v>
      </c>
      <c r="AX7" s="42">
        <v>9.25</v>
      </c>
      <c r="AY7" s="42">
        <v>11.6</v>
      </c>
      <c r="AZ7" s="42">
        <v>16.96</v>
      </c>
      <c r="BA7" s="42">
        <v>0</v>
      </c>
      <c r="BB7" s="42">
        <v>7.9</v>
      </c>
      <c r="BC7" s="42">
        <v>9.15</v>
      </c>
      <c r="BD7" s="42">
        <v>10.6</v>
      </c>
      <c r="BE7" s="42">
        <v>16.54</v>
      </c>
      <c r="BF7" s="42">
        <v>0</v>
      </c>
      <c r="BG7" s="83"/>
      <c r="BH7" s="15">
        <f>IF(AY7&gt;0,AY7,"")</f>
        <v>11.6</v>
      </c>
      <c r="BI7" s="15">
        <f>IF(SUM(AR7:AU7)-AV7&gt;0,SUM(AR7:AU7)-AV7,"")</f>
        <v>19.149999999999999</v>
      </c>
      <c r="BJ7" s="15">
        <f>IF(SUM(AW7:AZ7)-BA7&gt;0,SUM(AW7:AZ7)-BA7,"")</f>
        <v>45.26</v>
      </c>
      <c r="BK7" s="15">
        <f>IF(SUM(BI7:BJ7)&gt;0,SUM(BI7:BJ7),"")</f>
        <v>64.41</v>
      </c>
      <c r="BL7" s="15">
        <f>IF(BD7&gt;0,BD7,"")</f>
        <v>10.6</v>
      </c>
      <c r="BM7" s="15">
        <f>IF(SUM(BB7:BE7)-BF7&gt;0,SUM(BB7:BE7)-BF7,"")</f>
        <v>44.19</v>
      </c>
      <c r="BN7" s="15">
        <f>IF(SUM(BK7,BM7)&gt;0,SUM(BK7,BM7),"")</f>
        <v>108.6</v>
      </c>
      <c r="BO7" s="26" t="str">
        <f>IF(MAX(CI7,DE7,EA7,EW7,FS7,GO7,HK7,IG7,JC7,JY7,KU7,LQ7)-IF(L7="",0,L7)&gt;0.001,MAX(CI7,DE7,EA7,EW7,FS7,GO7,HK7,IG7,JC7,JY7,KU7,LQ7)-IF(L7="",0,L7),"")</f>
        <v/>
      </c>
      <c r="BP7" s="26" t="str">
        <f>IF(MAX(CJ7,DF7,EB7,EX7,FT7,GP7,HL7,IH7,JD7,JZ7,KV7,LR7)-IF(N7="",0,N7)&gt;0.001,MAX(CJ7,DF7,EB7,EX7,FT7,GP7,HL7,IH7,JD7,JZ7,KV7,LR7)-IF(N7="",0,N7),"")</f>
        <v/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7"/>
        <v>6.15</v>
      </c>
      <c r="LX7" s="71">
        <f t="shared" si="0"/>
        <v>7</v>
      </c>
      <c r="LY7" s="71">
        <f t="shared" si="0"/>
        <v>2.5499999999999998</v>
      </c>
      <c r="LZ7" s="71">
        <f t="shared" si="0"/>
        <v>12.08</v>
      </c>
      <c r="MA7" s="71">
        <f t="shared" si="0"/>
        <v>0</v>
      </c>
      <c r="MB7" s="71">
        <f t="shared" si="0"/>
        <v>6.7874999999999996</v>
      </c>
      <c r="MC7" s="71">
        <f t="shared" si="0"/>
        <v>8.5749999999999993</v>
      </c>
      <c r="MD7" s="71">
        <f t="shared" si="0"/>
        <v>10.8</v>
      </c>
      <c r="ME7" s="71">
        <f t="shared" si="0"/>
        <v>16.11</v>
      </c>
      <c r="MF7" s="71">
        <f t="shared" si="0"/>
        <v>0</v>
      </c>
      <c r="MG7" s="71">
        <f t="shared" si="0"/>
        <v>6.8375000000000004</v>
      </c>
      <c r="MH7" s="71">
        <f t="shared" si="0"/>
        <v>8.125</v>
      </c>
      <c r="MI7" s="71">
        <f t="shared" si="0"/>
        <v>10</v>
      </c>
      <c r="MJ7" s="71">
        <f t="shared" si="0"/>
        <v>13.76</v>
      </c>
      <c r="MK7" s="71">
        <f t="shared" si="0"/>
        <v>0</v>
      </c>
      <c r="ML7" s="82" t="s">
        <v>96</v>
      </c>
      <c r="MM7" s="12">
        <f t="shared" si="8"/>
        <v>10.8</v>
      </c>
      <c r="MN7" s="12">
        <f t="shared" si="9"/>
        <v>27.78</v>
      </c>
      <c r="MO7" s="12">
        <f t="shared" si="10"/>
        <v>42.272500000000001</v>
      </c>
      <c r="MP7" s="12">
        <f t="shared" si="11"/>
        <v>70.052500000000009</v>
      </c>
      <c r="MQ7" s="12">
        <f t="shared" si="12"/>
        <v>10</v>
      </c>
      <c r="MR7" s="12">
        <f t="shared" si="13"/>
        <v>38.722499999999997</v>
      </c>
      <c r="MS7" s="12">
        <f t="shared" si="14"/>
        <v>108.77500000000001</v>
      </c>
    </row>
    <row r="8" spans="1:357" x14ac:dyDescent="0.2">
      <c r="A8" s="6" t="str">
        <f>IF(AND(F8="P",H8="P"),SUMPRODUCT((F$4:F$14="P")*(H$4:H$14="P")*(E$4:E$14&gt;E8))+1,IF(H8="P",SUMPRODUCT((F$4:F$14="")*(H$4:H$14="P")*(E$4:E$14&gt;E8))+1+SUMPRODUCT((F$4:F$14="P")*(H$4:H$14="P")),""))</f>
        <v/>
      </c>
      <c r="B8" s="9" t="s">
        <v>149</v>
      </c>
      <c r="C8" s="5" t="s">
        <v>10</v>
      </c>
      <c r="D8" s="29" t="s">
        <v>148</v>
      </c>
      <c r="E8" s="16">
        <f>SUM(J8:R8)</f>
        <v>152.78500000000003</v>
      </c>
      <c r="F8" s="4" t="str">
        <f>IF(OR(AND($AK8&gt;=$AL$16,NOT($AK8=""),$AJ8=""),AND($BH8&gt;=$BI$16,NOT($BH8=""),$BG8=""),AND($CH8&gt;=$CI$16,NOT($CH8="")),AND($DD8&gt;=$DE$16,NOT($DD8="")),AND($DZ8&gt;=$EA$16,NOT($DZ8="")),AND($EV8&gt;=$EW$16,NOT($EV8="")),AND($FR8&gt;=$FS$16,NOT($FR8="")),AND($GN8&gt;=$GO$16,NOT($GN8="")),AND($HJ8&gt;=$HK$16,NOT($HJ8="")),AND($IF8&gt;=$IG$16,NOT($IF8="")),AND($JB8&gt;=$JC$16,NOT($JB8="")),AND($JX8&gt;=$JY$16,NOT($JX8="")),AND($KT8&gt;=$KU$16,NOT($KT8="")),AND($LP8&gt;=$LQ$16,NOT($LP8="")),AND($AO8&gt;=$AL$16,NOT($AO8=""),$AJ8=""),AND($BL8&gt;=$BI$16,NOT($BL8=""),$BG8=""),AND($CL8&gt;=$CI$16,NOT($CL8="")),AND($DH8&gt;=$DE$16,NOT($DH8="")),AND($ED8&gt;=$EA$16,NOT($ED8="")),AND($EZ8&gt;=$EW$16,NOT($EZ8="")),AND($FV8&gt;=$FS$16,NOT($FV8="")),AND($GR8&gt;=$GO$16,NOT($GR8="")),AND($HN8&gt;=$HK$16,NOT($HN8="")),AND($IJ8&gt;=$IG$16,NOT($IJ8="")),AND($JF8&gt;=$JC$16,NOT($JF8="")),AND($KB8&gt;=$JY$16,NOT($KB8="")),AND($KX8&gt;=$KU$16,NOT($KX8="")),AND($LT8&gt;=$LQ$16,NOT($LT8=""))),"P","")</f>
        <v/>
      </c>
      <c r="G8" s="4" t="str">
        <f>IF(OR(AND($AK8&gt;=$AL$17,NOT($AK8=""),$AJ8=""),AND($BH8&gt;=$BI$17,NOT($BH8=""),$BG8=""),AND($CH8&gt;=$CI$17,NOT($CH8="")),AND($DD8&gt;=$DE$17,NOT($DD8="")),AND($DZ8&gt;=$EA$17,NOT($DZ8="")),AND($EV8&gt;=$EW$17,NOT($EV8="")),AND($FR8&gt;=$FS$17,NOT($FR8="")),AND($GN8&gt;=$GO$17,NOT($GN8="")),AND($HJ8&gt;=$HK$17,NOT($HJ8="")),AND($IF8&gt;=$IG$17,NOT($IF8="")),AND($JB8&gt;=$JC$17,NOT($JB8="")),AND($JX8&gt;=$JY$17,NOT($JX8="")),AND($KT8&gt;=$KU$17,NOT($KT8="")),AND($LP8&gt;=$LQ$17,NOT($LP8="")),AND($AO8&gt;=$AL$17,NOT($AO8=""),$AJ8=""),AND($BL8&gt;=$BI$17,NOT($BL8=""),$BG8=""),AND($CL8&gt;=$CI$17,NOT($CL8="")),AND($DH8&gt;=$DE$17,NOT($DH8="")),AND($ED8&gt;=$EA$17,NOT($ED8="")),AND($EZ8&gt;=$EW$17,NOT($EZ8="")),AND($FV8&gt;=$FS$17,NOT($FV8="")),AND($GR8&gt;=$GO$17,NOT($GR8="")),AND($HN8&gt;=$HK$17,NOT($HN8="")),AND($IJ8&gt;=$IG$17,NOT($IJ8="")),AND($JF8&gt;=$JC$17,NOT($JF8="")),AND($KB8&gt;=$JY$17,NOT($KB8="")),AND($KX8&gt;=$KU$17,NOT($KX8="")),AND($LT8&gt;=$LQ$17,NOT($LT8=""))),"P","")</f>
        <v/>
      </c>
      <c r="H8" s="4" t="str">
        <f>IF(OR(AND($AN8&gt;=$AL$18,NOT($AN8=""),$AJ8=""),AND($BK8&gt;=$BI$18,NOT($BK8=""),$BG8=""),AND($CK8&gt;=$CI$18,NOT($CK8="")),AND($DG8&gt;=$DE$18,NOT($DG8="")),AND($EC8&gt;=$EA$18,NOT($EC8="")),AND($EY8&gt;=$EW$18,NOT($EY8="")),AND($FU8&gt;=$FS$18,NOT($FU8="")),AND($GQ8&gt;=$GO$18,NOT($GQ8="")),AND($HM8&gt;=$HK$18,NOT($HM8="")),AND($II8&gt;=$IG$18,NOT($II8="")),AND($JE8&gt;=$JC$18,NOT($JE8="")),AND($KA8&gt;=$JY$18,NOT($KA8="")),AND($KW8&gt;=$KU$18,NOT($KW8="")),AND($LS8&gt;=$LQ$18,NOT($LS8=""))),"P","")</f>
        <v/>
      </c>
      <c r="I8" t="str">
        <f>IF(AND(H8="P",F8=""),"No DD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Merit",IF(AND(G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Excellence",IF(AND(G8="P",OR(AND($AN8&gt;$AL$19,NOT($AN8=""),$AJ8=""),AND($BK8&gt;$BI$19,NOT($BK8=""),$BG8=""),AND($CK8&gt;$CI$19,NOT($CK8="")),AND($DG8&gt;$DE$19,NOT($DG8="")),AND($EC8&gt;$EA$19,NOT($EC8="")),AND($EY8&gt;$EW$19,NOT($EY8="")),AND($FU8&gt;$FS$19,NOT($FU8="")),AND($GQ8&gt;$GO$19,NOT($GQ8="")),AND($HM8&gt;$HK$19,NOT($HM8="")),AND($II8&gt;$IG$19,NOT($II8="")),AND($JE8&gt;$JC$19,NOT($JE8="")),AND($KA8&gt;$JY$19,NOT($KA8="")),AND($KW8&gt;$KU$19,NOT($KW8="")),AND($LS8&gt;$LQ$19,NOT($LS8="")))),"Worlds Team",IF(AND(F8="P",OR(AND($AN8&gt;$AL$18,NOT($AN8=""),$AJ8=""),AND($BK8&gt;$BI$18,NOT($BK8=""),$BG8=""),AND($CK8&gt;$CI$18,NOT($CK8="")),AND($DG8&gt;$DE$18,NOT($DG8="")),AND($EC8&gt;$EA$18,NOT($EC8="")),AND($EY8&gt;$EW$18,NOT($EY8="")),AND($FU8&gt;$FS$18,NOT($FU8="")),AND($GQ8&gt;$GO$18,NOT($GQ8="")),AND($HM8&gt;$HK$18,NOT($HM8="")),AND($II8&gt;$IG$18,NOT($II8="")),AND($JE8&gt;$JC$18,NOT($JE8="")),AND($KA8&gt;$JY$18,NOT($KA8="")),AND($KW8&gt;$KU$18,NOT($KW8="")),AND($LS8&gt;$LQ$18,NOT($LS8="")))),"National Team","")))))</f>
        <v/>
      </c>
      <c r="J8" s="15">
        <f>IF(MAX(AN8,BK8)&gt;0,MAX(AN8,BK8),"")</f>
        <v>75.745000000000005</v>
      </c>
      <c r="K8" s="15" t="str">
        <f>IF(J8="","",IF(J8=BK8,$AR$1,IF(J8=AN8,$U$1,"")))</f>
        <v>2019 Elite Canada</v>
      </c>
      <c r="L8" s="15">
        <f>IF($J8=$AN8,BI8,IF($J8=$BK8,AL8,MAX(AL8,BI8)))</f>
        <v>36.36</v>
      </c>
      <c r="M8" s="15" t="str">
        <f>IF(L8="","",IF(AND(L8=BI8,$K8&lt;&gt;$AR$1),$AR$1,IF(AND(L8=AL8,$K8&lt;&gt;$U$1),$U$1,"")))</f>
        <v>2019 Nationals</v>
      </c>
      <c r="N8" s="15">
        <f>IF($J8=$AN8,BJ8,IF($J8=$BK8,AM8,MAX(AM8,BJ8)))</f>
        <v>9.2600000000000016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31.42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7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41">
        <v>6.8250000000000002</v>
      </c>
      <c r="V8" s="41">
        <v>7.2</v>
      </c>
      <c r="W8" s="41">
        <v>1.8</v>
      </c>
      <c r="X8" s="41">
        <v>13.58</v>
      </c>
      <c r="Y8" s="41">
        <v>0</v>
      </c>
      <c r="Z8" s="41">
        <v>7.15</v>
      </c>
      <c r="AA8" s="41">
        <v>8.9499999999999993</v>
      </c>
      <c r="AB8" s="41">
        <v>12</v>
      </c>
      <c r="AC8" s="41">
        <v>18.239999999999998</v>
      </c>
      <c r="AD8" s="41">
        <v>0</v>
      </c>
      <c r="AE8" s="41">
        <v>5.45</v>
      </c>
      <c r="AF8" s="41">
        <v>6.15</v>
      </c>
      <c r="AG8" s="41">
        <v>8.3000000000000007</v>
      </c>
      <c r="AH8" s="41">
        <v>11.52</v>
      </c>
      <c r="AI8" s="41">
        <v>0</v>
      </c>
      <c r="AJ8" s="82"/>
      <c r="AK8" s="12">
        <f>IF(AB8&gt;0,AB8,"")</f>
        <v>12</v>
      </c>
      <c r="AL8" s="12">
        <f>IF(SUM(U8:X8)-Y8&gt;0,SUM(U8:X8)-Y8,"")</f>
        <v>29.405000000000001</v>
      </c>
      <c r="AM8" s="12">
        <f>IF(SUM(Z8:AC8)-AD8&gt;0,SUM(Z8:AC8)-AD8,"")</f>
        <v>46.34</v>
      </c>
      <c r="AN8" s="12">
        <f>IF(SUM(AL8:AM8)&gt;0,SUM(AL8:AM8),"")</f>
        <v>75.745000000000005</v>
      </c>
      <c r="AO8" s="12">
        <f>IF(AG8&gt;0,AG8,"")</f>
        <v>8.3000000000000007</v>
      </c>
      <c r="AP8" s="12">
        <f>IF(SUM(AE8:AH8)-AI8&gt;0,SUM(AE8:AH8)-AI8,"")</f>
        <v>31.42</v>
      </c>
      <c r="AQ8" s="12">
        <f>IF(SUM(AN8,AP8)&gt;0,SUM(AN8,AP8),"")</f>
        <v>107.16500000000001</v>
      </c>
      <c r="AR8" s="42">
        <v>8.6999999999999993</v>
      </c>
      <c r="AS8" s="42">
        <v>9.1999999999999993</v>
      </c>
      <c r="AT8" s="42">
        <v>3.2</v>
      </c>
      <c r="AU8" s="42">
        <v>15.26</v>
      </c>
      <c r="AV8" s="42">
        <v>0</v>
      </c>
      <c r="AW8" s="42">
        <v>1.6</v>
      </c>
      <c r="AX8" s="42">
        <v>1.8</v>
      </c>
      <c r="AY8" s="42">
        <v>2.7</v>
      </c>
      <c r="AZ8" s="42">
        <v>3.16</v>
      </c>
      <c r="BA8" s="42">
        <v>0</v>
      </c>
      <c r="BB8" s="42"/>
      <c r="BC8" s="42"/>
      <c r="BD8" s="42"/>
      <c r="BE8" s="42"/>
      <c r="BF8" s="42">
        <v>0</v>
      </c>
      <c r="BG8" s="83"/>
      <c r="BH8" s="15">
        <f>IF(AY8&gt;0,AY8,"")</f>
        <v>2.7</v>
      </c>
      <c r="BI8" s="15">
        <f>IF(SUM(AR8:AU8)-AV8&gt;0,SUM(AR8:AU8)-AV8,"")</f>
        <v>36.36</v>
      </c>
      <c r="BJ8" s="15">
        <f>IF(SUM(AW8:AZ8)-BA8&gt;0,SUM(AW8:AZ8)-BA8,"")</f>
        <v>9.2600000000000016</v>
      </c>
      <c r="BK8" s="15">
        <f>IF(SUM(BI8:BJ8)&gt;0,SUM(BI8:BJ8),"")</f>
        <v>45.620000000000005</v>
      </c>
      <c r="BL8" s="15" t="str">
        <f>IF(BD8&gt;0,BD8,"")</f>
        <v/>
      </c>
      <c r="BM8" s="15" t="str">
        <f>IF(SUM(BB8:BE8)-BF8&gt;0,SUM(BB8:BE8)-BF8,"")</f>
        <v/>
      </c>
      <c r="BN8" s="15">
        <f>IF(SUM(BK8,BM8)&gt;0,SUM(BK8,BM8),"")</f>
        <v>45.620000000000005</v>
      </c>
      <c r="BO8" s="26" t="str">
        <f>IF(MAX(CI8,DE8,EA8,EW8,FS8,GO8,HK8,IG8,JC8,JY8,KU8,LQ8)-IF(L8="",0,L8)&gt;0.001,MAX(CI8,DE8,EA8,EW8,FS8,GO8,HK8,IG8,JC8,JY8,KU8,LQ8)-IF(L8="",0,L8),"")</f>
        <v/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7"/>
        <v>7.7624999999999993</v>
      </c>
      <c r="LX8" s="71">
        <f t="shared" si="0"/>
        <v>8.1999999999999993</v>
      </c>
      <c r="LY8" s="71">
        <f t="shared" si="0"/>
        <v>2.5</v>
      </c>
      <c r="LZ8" s="71">
        <f t="shared" si="0"/>
        <v>14.42</v>
      </c>
      <c r="MA8" s="71">
        <f t="shared" si="0"/>
        <v>0</v>
      </c>
      <c r="MB8" s="71">
        <f t="shared" si="0"/>
        <v>4.375</v>
      </c>
      <c r="MC8" s="71">
        <f t="shared" si="0"/>
        <v>5.375</v>
      </c>
      <c r="MD8" s="71">
        <f t="shared" si="0"/>
        <v>7.35</v>
      </c>
      <c r="ME8" s="71">
        <f t="shared" si="0"/>
        <v>10.7</v>
      </c>
      <c r="MF8" s="71">
        <f t="shared" si="0"/>
        <v>0</v>
      </c>
      <c r="MG8" s="71">
        <f t="shared" si="0"/>
        <v>2.7250000000000001</v>
      </c>
      <c r="MH8" s="71">
        <f t="shared" si="0"/>
        <v>3.0750000000000002</v>
      </c>
      <c r="MI8" s="71">
        <f t="shared" si="0"/>
        <v>4.1500000000000004</v>
      </c>
      <c r="MJ8" s="71">
        <f t="shared" si="0"/>
        <v>5.76</v>
      </c>
      <c r="MK8" s="71">
        <f t="shared" si="0"/>
        <v>0</v>
      </c>
      <c r="ML8" s="82" t="s">
        <v>96</v>
      </c>
      <c r="MM8" s="12">
        <f t="shared" si="8"/>
        <v>7.35</v>
      </c>
      <c r="MN8" s="12">
        <f t="shared" si="9"/>
        <v>32.8825</v>
      </c>
      <c r="MO8" s="12">
        <f t="shared" si="10"/>
        <v>27.8</v>
      </c>
      <c r="MP8" s="12">
        <f t="shared" si="11"/>
        <v>60.682500000000005</v>
      </c>
      <c r="MQ8" s="12">
        <f t="shared" si="12"/>
        <v>4.1500000000000004</v>
      </c>
      <c r="MR8" s="12">
        <f t="shared" si="13"/>
        <v>15.71</v>
      </c>
      <c r="MS8" s="12">
        <f t="shared" si="14"/>
        <v>76.392500000000013</v>
      </c>
    </row>
    <row r="9" spans="1:357" x14ac:dyDescent="0.2">
      <c r="A9" s="6" t="str">
        <f>IF(AND(F9="P",H9="P"),SUMPRODUCT((F$4:F$14="P")*(H$4:H$14="P")*(E$4:E$14&gt;E9))+1,IF(H9="P",SUMPRODUCT((F$4:F$14="")*(H$4:H$14="P")*(E$4:E$14&gt;E9))+1+SUMPRODUCT((F$4:F$14="P")*(H$4:H$14="P")),""))</f>
        <v/>
      </c>
      <c r="B9" s="9" t="s">
        <v>115</v>
      </c>
      <c r="C9" s="5" t="s">
        <v>114</v>
      </c>
      <c r="D9" s="29" t="s">
        <v>116</v>
      </c>
      <c r="E9" s="16">
        <f>SUM(J9:R9)</f>
        <v>146.52500000000001</v>
      </c>
      <c r="F9" s="4" t="str">
        <f>IF(OR(AND($AK9&gt;=$AL$16,NOT($AK9=""),$AJ9=""),AND($BH9&gt;=$BI$16,NOT($BH9=""),$BG9=""),AND($CH9&gt;=$CI$16,NOT($CH9="")),AND($DD9&gt;=$DE$16,NOT($DD9="")),AND($DZ9&gt;=$EA$16,NOT($DZ9="")),AND($EV9&gt;=$EW$16,NOT($EV9="")),AND($FR9&gt;=$FS$16,NOT($FR9="")),AND($GN9&gt;=$GO$16,NOT($GN9="")),AND($HJ9&gt;=$HK$16,NOT($HJ9="")),AND($IF9&gt;=$IG$16,NOT($IF9="")),AND($JB9&gt;=$JC$16,NOT($JB9="")),AND($JX9&gt;=$JY$16,NOT($JX9="")),AND($KT9&gt;=$KU$16,NOT($KT9="")),AND($LP9&gt;=$LQ$16,NOT($LP9="")),AND($AO9&gt;=$AL$16,NOT($AO9=""),$AJ9=""),AND($BL9&gt;=$BI$16,NOT($BL9=""),$BG9=""),AND($CL9&gt;=$CI$16,NOT($CL9="")),AND($DH9&gt;=$DE$16,NOT($DH9="")),AND($ED9&gt;=$EA$16,NOT($ED9="")),AND($EZ9&gt;=$EW$16,NOT($EZ9="")),AND($FV9&gt;=$FS$16,NOT($FV9="")),AND($GR9&gt;=$GO$16,NOT($GR9="")),AND($HN9&gt;=$HK$16,NOT($HN9="")),AND($IJ9&gt;=$IG$16,NOT($IJ9="")),AND($JF9&gt;=$JC$16,NOT($JF9="")),AND($KB9&gt;=$JY$16,NOT($KB9="")),AND($KX9&gt;=$KU$16,NOT($KX9="")),AND($LT9&gt;=$LQ$16,NOT($LT9=""))),"P","")</f>
        <v/>
      </c>
      <c r="G9" s="4" t="str">
        <f>IF(OR(AND($AK9&gt;=$AL$17,NOT($AK9=""),$AJ9=""),AND($BH9&gt;=$BI$17,NOT($BH9=""),$BG9=""),AND($CH9&gt;=$CI$17,NOT($CH9="")),AND($DD9&gt;=$DE$17,NOT($DD9="")),AND($DZ9&gt;=$EA$17,NOT($DZ9="")),AND($EV9&gt;=$EW$17,NOT($EV9="")),AND($FR9&gt;=$FS$17,NOT($FR9="")),AND($GN9&gt;=$GO$17,NOT($GN9="")),AND($HJ9&gt;=$HK$17,NOT($HJ9="")),AND($IF9&gt;=$IG$17,NOT($IF9="")),AND($JB9&gt;=$JC$17,NOT($JB9="")),AND($JX9&gt;=$JY$17,NOT($JX9="")),AND($KT9&gt;=$KU$17,NOT($KT9="")),AND($LP9&gt;=$LQ$17,NOT($LP9="")),AND($AO9&gt;=$AL$17,NOT($AO9=""),$AJ9=""),AND($BL9&gt;=$BI$17,NOT($BL9=""),$BG9=""),AND($CL9&gt;=$CI$17,NOT($CL9="")),AND($DH9&gt;=$DE$17,NOT($DH9="")),AND($ED9&gt;=$EA$17,NOT($ED9="")),AND($EZ9&gt;=$EW$17,NOT($EZ9="")),AND($FV9&gt;=$FS$17,NOT($FV9="")),AND($GR9&gt;=$GO$17,NOT($GR9="")),AND($HN9&gt;=$HK$17,NOT($HN9="")),AND($IJ9&gt;=$IG$17,NOT($IJ9="")),AND($JF9&gt;=$JC$17,NOT($JF9="")),AND($KB9&gt;=$JY$17,NOT($KB9="")),AND($KX9&gt;=$KU$17,NOT($KX9="")),AND($LT9&gt;=$LQ$17,NOT($LT9=""))),"P","")</f>
        <v/>
      </c>
      <c r="H9" s="4" t="str">
        <f>IF(OR(AND($AN9&gt;=$AL$18,NOT($AN9=""),$AJ9=""),AND($BK9&gt;=$BI$18,NOT($BK9=""),$BG9=""),AND($CK9&gt;=$CI$18,NOT($CK9="")),AND($DG9&gt;=$DE$18,NOT($DG9="")),AND($EC9&gt;=$EA$18,NOT($EC9="")),AND($EY9&gt;=$EW$18,NOT($EY9="")),AND($FU9&gt;=$FS$18,NOT($FU9="")),AND($GQ9&gt;=$GO$18,NOT($GQ9="")),AND($HM9&gt;=$HK$18,NOT($HM9="")),AND($II9&gt;=$IG$18,NOT($II9="")),AND($JE9&gt;=$JC$18,NOT($JE9="")),AND($KA9&gt;=$JY$18,NOT($KA9="")),AND($KW9&gt;=$KU$18,NOT($KW9="")),AND($LS9&gt;=$LQ$18,NOT($LS9=""))),"P","")</f>
        <v/>
      </c>
      <c r="I9" t="str">
        <f>IF(AND(H9="P",F9=""),"No DD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Merit",IF(AND(G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Excellence",IF(AND(G9="P",OR(AND($AN9&gt;$AL$19,NOT($AN9=""),$AJ9=""),AND($BK9&gt;$BI$19,NOT($BK9=""),$BG9=""),AND($CK9&gt;$CI$19,NOT($CK9="")),AND($DG9&gt;$DE$19,NOT($DG9="")),AND($EC9&gt;$EA$19,NOT($EC9="")),AND($EY9&gt;$EW$19,NOT($EY9="")),AND($FU9&gt;$FS$19,NOT($FU9="")),AND($GQ9&gt;$GO$19,NOT($GQ9="")),AND($HM9&gt;$HK$19,NOT($HM9="")),AND($II9&gt;$IG$19,NOT($II9="")),AND($JE9&gt;$JC$19,NOT($JE9="")),AND($KA9&gt;$JY$19,NOT($KA9="")),AND($KW9&gt;$KU$19,NOT($KW9="")),AND($LS9&gt;$LQ$19,NOT($LS9="")))),"Worlds Team",IF(AND(F9="P",OR(AND($AN9&gt;$AL$18,NOT($AN9=""),$AJ9=""),AND($BK9&gt;$BI$18,NOT($BK9=""),$BG9=""),AND($CK9&gt;$CI$18,NOT($CK9="")),AND($DG9&gt;$DE$18,NOT($DG9="")),AND($EC9&gt;$EA$18,NOT($EC9="")),AND($EY9&gt;$EW$18,NOT($EY9="")),AND($FU9&gt;$FS$18,NOT($FU9="")),AND($GQ9&gt;$GO$18,NOT($GQ9="")),AND($HM9&gt;$HK$18,NOT($HM9="")),AND($II9&gt;$IG$18,NOT($II9="")),AND($JE9&gt;$JC$18,NOT($JE9="")),AND($KA9&gt;$JY$18,NOT($KA9="")),AND($KW9&gt;$KU$18,NOT($KW9="")),AND($LS9&gt;$LQ$18,NOT($LS9="")))),"National Team","")))))</f>
        <v/>
      </c>
      <c r="J9" s="15">
        <f>IF(MAX(AN9,BK9)&gt;0,MAX(AN9,BK9),"")</f>
        <v>54.53</v>
      </c>
      <c r="K9" s="15" t="str">
        <f>IF(J9="","",IF(J9=BK9,$AR$1,IF(J9=AN9,$U$1,"")))</f>
        <v>2019 Nationals</v>
      </c>
      <c r="L9" s="15">
        <f>IF($J9=$AN9,BI9,IF($J9=$BK9,AL9,MAX(AL9,BI9)))</f>
        <v>39.524999999999999</v>
      </c>
      <c r="M9" s="15" t="str">
        <f>IF(L9="","",IF(AND(L9=BI9,$K9&lt;&gt;$AR$1),$AR$1,IF(AND(L9=AL9,$K9&lt;&gt;$U$1),$U$1,"")))</f>
        <v>2019 Elite Canada</v>
      </c>
      <c r="N9" s="15">
        <f>IF($J9=$AN9,BJ9,IF($J9=$BK9,AM9,MAX(AM9,BJ9)))</f>
        <v>9.2800000000000011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43.190000000000005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41">
        <v>8.4749999999999996</v>
      </c>
      <c r="V9" s="41">
        <v>9.4499999999999993</v>
      </c>
      <c r="W9" s="41">
        <v>4.0999999999999996</v>
      </c>
      <c r="X9" s="41">
        <v>17.5</v>
      </c>
      <c r="Y9" s="41">
        <v>0</v>
      </c>
      <c r="Z9" s="41">
        <v>1.4</v>
      </c>
      <c r="AA9" s="41">
        <v>1.7</v>
      </c>
      <c r="AB9" s="41">
        <v>2.98</v>
      </c>
      <c r="AC9" s="41">
        <v>3.2</v>
      </c>
      <c r="AD9" s="41">
        <v>0</v>
      </c>
      <c r="AE9" s="41"/>
      <c r="AF9" s="41"/>
      <c r="AG9" s="41"/>
      <c r="AH9" s="41"/>
      <c r="AI9" s="41"/>
      <c r="AJ9" s="82"/>
      <c r="AK9" s="12">
        <f>IF(AB9&gt;0,AB9,"")</f>
        <v>2.98</v>
      </c>
      <c r="AL9" s="12">
        <f>IF(SUM(U9:X9)-Y9&gt;0,SUM(U9:X9)-Y9,"")</f>
        <v>39.524999999999999</v>
      </c>
      <c r="AM9" s="12">
        <f>IF(SUM(Z9:AC9)-AD9&gt;0,SUM(Z9:AC9)-AD9,"")</f>
        <v>9.2800000000000011</v>
      </c>
      <c r="AN9" s="12">
        <f>IF(SUM(AL9:AM9)&gt;0,SUM(AL9:AM9),"")</f>
        <v>48.805</v>
      </c>
      <c r="AO9" s="12" t="str">
        <f>IF(AG9&gt;0,AG9,"")</f>
        <v/>
      </c>
      <c r="AP9" s="12" t="str">
        <f>IF(SUM(AE9:AH9)-AI9&gt;0,SUM(AE9:AH9)-AI9,"")</f>
        <v/>
      </c>
      <c r="AQ9" s="12">
        <f>IF(SUM(AN9,AP9)&gt;0,SUM(AN9,AP9),"")</f>
        <v>48.805</v>
      </c>
      <c r="AR9" s="42">
        <v>9.1</v>
      </c>
      <c r="AS9" s="42">
        <v>9.5500000000000007</v>
      </c>
      <c r="AT9" s="42">
        <v>3.5</v>
      </c>
      <c r="AU9" s="42">
        <v>17.54</v>
      </c>
      <c r="AV9" s="42">
        <v>0</v>
      </c>
      <c r="AW9" s="42">
        <v>2.25</v>
      </c>
      <c r="AX9" s="42">
        <v>2.5499999999999998</v>
      </c>
      <c r="AY9" s="42">
        <v>4.9000000000000004</v>
      </c>
      <c r="AZ9" s="42">
        <v>5.14</v>
      </c>
      <c r="BA9" s="42">
        <v>0</v>
      </c>
      <c r="BB9" s="42">
        <v>7.65</v>
      </c>
      <c r="BC9" s="42">
        <v>8.9</v>
      </c>
      <c r="BD9" s="42">
        <v>13.4</v>
      </c>
      <c r="BE9" s="42">
        <v>13.24</v>
      </c>
      <c r="BF9" s="42">
        <v>0</v>
      </c>
      <c r="BG9" s="83"/>
      <c r="BH9" s="15">
        <f>IF(AY9&gt;0,AY9,"")</f>
        <v>4.9000000000000004</v>
      </c>
      <c r="BI9" s="15">
        <f>IF(SUM(AR9:AU9)-AV9&gt;0,SUM(AR9:AU9)-AV9,"")</f>
        <v>39.69</v>
      </c>
      <c r="BJ9" s="15">
        <f>IF(SUM(AW9:AZ9)-BA9&gt;0,SUM(AW9:AZ9)-BA9,"")</f>
        <v>14.84</v>
      </c>
      <c r="BK9" s="15">
        <f>IF(SUM(BI9:BJ9)&gt;0,SUM(BI9:BJ9),"")</f>
        <v>54.53</v>
      </c>
      <c r="BL9" s="15">
        <f>IF(BD9&gt;0,BD9,"")</f>
        <v>13.4</v>
      </c>
      <c r="BM9" s="15">
        <f>IF(SUM(BB9:BE9)-BF9&gt;0,SUM(BB9:BE9)-BF9,"")</f>
        <v>43.190000000000005</v>
      </c>
      <c r="BN9" s="15">
        <f>IF(SUM(BK9,BM9)&gt;0,SUM(BK9,BM9),"")</f>
        <v>97.72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7"/>
        <v>8.7874999999999996</v>
      </c>
      <c r="LX9" s="71">
        <f t="shared" si="0"/>
        <v>9.5</v>
      </c>
      <c r="LY9" s="71">
        <f t="shared" si="0"/>
        <v>3.8</v>
      </c>
      <c r="LZ9" s="71">
        <f t="shared" si="0"/>
        <v>17.52</v>
      </c>
      <c r="MA9" s="71">
        <f t="shared" si="0"/>
        <v>0</v>
      </c>
      <c r="MB9" s="71">
        <f t="shared" si="0"/>
        <v>1.825</v>
      </c>
      <c r="MC9" s="71">
        <f t="shared" si="0"/>
        <v>2.125</v>
      </c>
      <c r="MD9" s="71">
        <f t="shared" si="0"/>
        <v>3.9400000000000004</v>
      </c>
      <c r="ME9" s="71">
        <f t="shared" si="0"/>
        <v>4.17</v>
      </c>
      <c r="MF9" s="71">
        <f t="shared" si="0"/>
        <v>0</v>
      </c>
      <c r="MG9" s="71">
        <f t="shared" si="0"/>
        <v>3.8250000000000002</v>
      </c>
      <c r="MH9" s="71">
        <f t="shared" si="0"/>
        <v>4.45</v>
      </c>
      <c r="MI9" s="71">
        <f t="shared" si="0"/>
        <v>6.7</v>
      </c>
      <c r="MJ9" s="71">
        <f t="shared" si="0"/>
        <v>6.62</v>
      </c>
      <c r="MK9" s="71">
        <f t="shared" si="0"/>
        <v>0</v>
      </c>
      <c r="ML9" s="82" t="s">
        <v>96</v>
      </c>
      <c r="MM9" s="12">
        <f t="shared" si="8"/>
        <v>3.9400000000000004</v>
      </c>
      <c r="MN9" s="12">
        <f t="shared" si="9"/>
        <v>39.607500000000002</v>
      </c>
      <c r="MO9" s="12">
        <f t="shared" si="10"/>
        <v>12.06</v>
      </c>
      <c r="MP9" s="12">
        <f t="shared" si="11"/>
        <v>51.667500000000004</v>
      </c>
      <c r="MQ9" s="12">
        <f t="shared" si="12"/>
        <v>6.7</v>
      </c>
      <c r="MR9" s="12">
        <f t="shared" si="13"/>
        <v>21.595000000000002</v>
      </c>
      <c r="MS9" s="12">
        <f t="shared" si="14"/>
        <v>73.262500000000003</v>
      </c>
    </row>
    <row r="10" spans="1:357" x14ac:dyDescent="0.2">
      <c r="A10" s="6" t="str">
        <f>IF(AND(F10="P",H10="P"),SUMPRODUCT((F$4:F$14="P")*(H$4:H$14="P")*(E$4:E$14&gt;E10))+1,IF(H10="P",SUMPRODUCT((F$4:F$14="")*(H$4:H$14="P")*(E$4:E$14&gt;E10))+1+SUMPRODUCT((F$4:F$14="P")*(H$4:H$14="P")),""))</f>
        <v/>
      </c>
      <c r="B10" s="7" t="s">
        <v>92</v>
      </c>
      <c r="C10" s="8" t="s">
        <v>3</v>
      </c>
      <c r="D10" s="29" t="s">
        <v>99</v>
      </c>
      <c r="E10" s="16">
        <f>SUM(J10:R10)</f>
        <v>135.8175</v>
      </c>
      <c r="F10" s="4" t="str">
        <f>IF(OR(AND($AK10&gt;=$AL$16,NOT($AK10=""),$AJ10=""),AND($BH10&gt;=$BI$16,NOT($BH10=""),$BG10=""),AND($CH10&gt;=$CI$16,NOT($CH10="")),AND($DD10&gt;=$DE$16,NOT($DD10="")),AND($DZ10&gt;=$EA$16,NOT($DZ10="")),AND($EV10&gt;=$EW$16,NOT($EV10="")),AND($FR10&gt;=$FS$16,NOT($FR10="")),AND($GN10&gt;=$GO$16,NOT($GN10="")),AND($HJ10&gt;=$HK$16,NOT($HJ10="")),AND($IF10&gt;=$IG$16,NOT($IF10="")),AND($JB10&gt;=$JC$16,NOT($JB10="")),AND($JX10&gt;=$JY$16,NOT($JX10="")),AND($KT10&gt;=$KU$16,NOT($KT10="")),AND($LP10&gt;=$LQ$16,NOT($LP10="")),AND($AO10&gt;=$AL$16,NOT($AO10=""),$AJ10=""),AND($BL10&gt;=$BI$16,NOT($BL10=""),$BG10=""),AND($CL10&gt;=$CI$16,NOT($CL10="")),AND($DH10&gt;=$DE$16,NOT($DH10="")),AND($ED10&gt;=$EA$16,NOT($ED10="")),AND($EZ10&gt;=$EW$16,NOT($EZ10="")),AND($FV10&gt;=$FS$16,NOT($FV10="")),AND($GR10&gt;=$GO$16,NOT($GR10="")),AND($HN10&gt;=$HK$16,NOT($HN10="")),AND($IJ10&gt;=$IG$16,NOT($IJ10="")),AND($JF10&gt;=$JC$16,NOT($JF10="")),AND($KB10&gt;=$JY$16,NOT($KB10="")),AND($KX10&gt;=$KU$16,NOT($KX10="")),AND($LT10&gt;=$LQ$16,NOT($LT10=""))),"P","")</f>
        <v/>
      </c>
      <c r="G10" s="4" t="str">
        <f>IF(OR(AND($AK10&gt;=$AL$17,NOT($AK10=""),$AJ10=""),AND($BH10&gt;=$BI$17,NOT($BH10=""),$BG10=""),AND($CH10&gt;=$CI$17,NOT($CH10="")),AND($DD10&gt;=$DE$17,NOT($DD10="")),AND($DZ10&gt;=$EA$17,NOT($DZ10="")),AND($EV10&gt;=$EW$17,NOT($EV10="")),AND($FR10&gt;=$FS$17,NOT($FR10="")),AND($GN10&gt;=$GO$17,NOT($GN10="")),AND($HJ10&gt;=$HK$17,NOT($HJ10="")),AND($IF10&gt;=$IG$17,NOT($IF10="")),AND($JB10&gt;=$JC$17,NOT($JB10="")),AND($JX10&gt;=$JY$17,NOT($JX10="")),AND($KT10&gt;=$KU$17,NOT($KT10="")),AND($LP10&gt;=$LQ$17,NOT($LP10="")),AND($AO10&gt;=$AL$17,NOT($AO10=""),$AJ10=""),AND($BL10&gt;=$BI$17,NOT($BL10=""),$BG10=""),AND($CL10&gt;=$CI$17,NOT($CL10="")),AND($DH10&gt;=$DE$17,NOT($DH10="")),AND($ED10&gt;=$EA$17,NOT($ED10="")),AND($EZ10&gt;=$EW$17,NOT($EZ10="")),AND($FV10&gt;=$FS$17,NOT($FV10="")),AND($GR10&gt;=$GO$17,NOT($GR10="")),AND($HN10&gt;=$HK$17,NOT($HN10="")),AND($IJ10&gt;=$IG$17,NOT($IJ10="")),AND($JF10&gt;=$JC$17,NOT($JF10="")),AND($KB10&gt;=$JY$17,NOT($KB10="")),AND($KX10&gt;=$KU$17,NOT($KX10="")),AND($LT10&gt;=$LQ$17,NOT($LT10=""))),"P","")</f>
        <v/>
      </c>
      <c r="H10" s="4" t="str">
        <f>IF(OR(AND($AN10&gt;=$AL$18,NOT($AN10=""),$AJ10=""),AND($BK10&gt;=$BI$18,NOT($BK10=""),$BG10=""),AND($CK10&gt;=$CI$18,NOT($CK10="")),AND($DG10&gt;=$DE$18,NOT($DG10="")),AND($EC10&gt;=$EA$18,NOT($EC10="")),AND($EY10&gt;=$EW$18,NOT($EY10="")),AND($FU10&gt;=$FS$18,NOT($FU10="")),AND($GQ10&gt;=$GO$18,NOT($GQ10="")),AND($HM10&gt;=$HK$18,NOT($HM10="")),AND($II10&gt;=$IG$18,NOT($II10="")),AND($JE10&gt;=$JC$18,NOT($JE10="")),AND($KA10&gt;=$JY$18,NOT($KA10="")),AND($KW10&gt;=$KU$18,NOT($KW10="")),AND($LS10&gt;=$LQ$18,NOT($LS10=""))),"P","")</f>
        <v/>
      </c>
      <c r="I10" t="str">
        <f>IF(AND(H10="P",F10=""),"No DD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Merit",IF(AND(G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Excellence",IF(AND(G10="P",OR(AND($AN10&gt;$AL$19,NOT($AN10=""),$AJ10=""),AND($BK10&gt;$BI$19,NOT($BK10=""),$BG10=""),AND($CK10&gt;$CI$19,NOT($CK10="")),AND($DG10&gt;$DE$19,NOT($DG10="")),AND($EC10&gt;$EA$19,NOT($EC10="")),AND($EY10&gt;$EW$19,NOT($EY10="")),AND($FU10&gt;$FS$19,NOT($FU10="")),AND($GQ10&gt;$GO$19,NOT($GQ10="")),AND($HM10&gt;$HK$19,NOT($HM10="")),AND($II10&gt;$IG$19,NOT($II10="")),AND($JE10&gt;$JC$19,NOT($JE10="")),AND($KA10&gt;$JY$19,NOT($KA10="")),AND($KW10&gt;$KU$19,NOT($KW10="")),AND($LS10&gt;$LQ$19,NOT($LS10="")))),"Worlds Team",IF(AND(F10="P",OR(AND($AN10&gt;$AL$18,NOT($AN10=""),$AJ10=""),AND($BK10&gt;$BI$18,NOT($BK10=""),$BG10=""),AND($CK10&gt;$CI$18,NOT($CK10="")),AND($DG10&gt;$DE$18,NOT($DG10="")),AND($EC10&gt;$EA$18,NOT($EC10="")),AND($EY10&gt;$EW$18,NOT($EY10="")),AND($FU10&gt;$FS$18,NOT($FU10="")),AND($GQ10&gt;$GO$18,NOT($GQ10="")),AND($HM10&gt;$HK$18,NOT($HM10="")),AND($II10&gt;$IG$18,NOT($II10="")),AND($JE10&gt;$JC$18,NOT($JE10="")),AND($KA10&gt;$JY$18,NOT($KA10="")),AND($KW10&gt;$KU$18,NOT($KW10="")),AND($LS10&gt;$LQ$18,NOT($LS10="")))),"National Team","")))))</f>
        <v/>
      </c>
      <c r="J10" s="15">
        <f>IF(MAX(AN10,BK10)&gt;0,MAX(AN10,BK10),"")</f>
        <v>88.41</v>
      </c>
      <c r="K10" s="15" t="str">
        <f>IF(J10="","",IF(J10=BK10,$AR$1,IF(J10=AN10,$U$1,"")))</f>
        <v>2019 Elite Canada</v>
      </c>
      <c r="L10" s="15" t="str">
        <f>IF($J10=$AN10,BI10,IF($J10=$BK10,AL10,MAX(AL10,BI10)))</f>
        <v/>
      </c>
      <c r="M10" s="15" t="str">
        <f>IF(L10="","",IF(AND(L10=BI10,$K10&lt;&gt;$AR$1),$AR$1,IF(AND(L10=AL10,$K10&lt;&gt;$U$1),$U$1,"")))</f>
        <v/>
      </c>
      <c r="N10" s="15" t="str">
        <f>IF($J10=$AN10,BJ10,IF($J10=$BK10,AM10,MAX(AM10,BJ10)))</f>
        <v/>
      </c>
      <c r="O10" s="15" t="str">
        <f>IF(N10="","",IF(AND(N10=BJ10,$K10&lt;&gt;$AR$1),$AR$1,IF(AND(N10=AM10,$K10&lt;&gt;$U$1),$U$1,"")))</f>
        <v/>
      </c>
      <c r="P10" s="15">
        <f>IF(MAX(AP10,BM10)&gt;0,MAX(AP10,BM10),"")</f>
        <v>47.407499999999999</v>
      </c>
      <c r="Q10" s="15" t="str">
        <f>IF(P10="","",IF(P10=BM10,$AR$1,IF(P10=AP10,$U$1,"")))</f>
        <v>2019 Elite Canada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41">
        <v>9.1624999999999996</v>
      </c>
      <c r="V10" s="41">
        <v>9.4499999999999993</v>
      </c>
      <c r="W10" s="41">
        <v>5.6</v>
      </c>
      <c r="X10" s="41">
        <v>18.649999999999999</v>
      </c>
      <c r="Y10" s="41">
        <v>0</v>
      </c>
      <c r="Z10" s="41">
        <v>8.3625000000000007</v>
      </c>
      <c r="AA10" s="41">
        <v>9.2249999999999996</v>
      </c>
      <c r="AB10" s="41">
        <v>12.1</v>
      </c>
      <c r="AC10" s="41">
        <v>15.86</v>
      </c>
      <c r="AD10" s="41">
        <v>0</v>
      </c>
      <c r="AE10" s="41">
        <v>8.3874999999999993</v>
      </c>
      <c r="AF10" s="41">
        <v>9.1</v>
      </c>
      <c r="AG10" s="41">
        <v>12.82</v>
      </c>
      <c r="AH10" s="41">
        <v>17.100000000000001</v>
      </c>
      <c r="AI10" s="41">
        <v>0</v>
      </c>
      <c r="AJ10" s="82" t="s">
        <v>96</v>
      </c>
      <c r="AK10" s="12">
        <f>IF(AB10&gt;0,AB10,"")</f>
        <v>12.1</v>
      </c>
      <c r="AL10" s="12">
        <f>IF(SUM(U10:X10)-Y10&gt;0,SUM(U10:X10)-Y10,"")</f>
        <v>42.862499999999997</v>
      </c>
      <c r="AM10" s="12">
        <f>IF(SUM(Z10:AC10)-AD10&gt;0,SUM(Z10:AC10)-AD10,"")</f>
        <v>45.547499999999999</v>
      </c>
      <c r="AN10" s="12">
        <f>IF(SUM(AL10:AM10)&gt;0,SUM(AL10:AM10),"")</f>
        <v>88.41</v>
      </c>
      <c r="AO10" s="12">
        <f>IF(AG10&gt;0,AG10,"")</f>
        <v>12.82</v>
      </c>
      <c r="AP10" s="12">
        <f>IF(SUM(AE10:AH10)-AI10&gt;0,SUM(AE10:AH10)-AI10,"")</f>
        <v>47.407499999999999</v>
      </c>
      <c r="AQ10" s="12">
        <f>IF(SUM(AN10,AP10)&gt;0,SUM(AN10,AP10),"")</f>
        <v>135.8175</v>
      </c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83"/>
      <c r="BH10" s="15" t="str">
        <f>IF(AY10&gt;0,AY10,"")</f>
        <v/>
      </c>
      <c r="BI10" s="15" t="str">
        <f>IF(SUM(AR10:AU10)-AV10&gt;0,SUM(AR10:AU10)-AV10,"")</f>
        <v/>
      </c>
      <c r="BJ10" s="15" t="str">
        <f>IF(SUM(AW10:AZ10)-BA10&gt;0,SUM(AW10:AZ10)-BA10,"")</f>
        <v/>
      </c>
      <c r="BK10" s="15" t="str">
        <f>IF(SUM(BI10:BJ10)&gt;0,SUM(BI10:BJ10),"")</f>
        <v/>
      </c>
      <c r="BL10" s="15" t="str">
        <f>IF(BD10&gt;0,BD10,"")</f>
        <v/>
      </c>
      <c r="BM10" s="15" t="str">
        <f>IF(SUM(BB10:BE10)-BF10&gt;0,SUM(BB10:BE10)-BF10,"")</f>
        <v/>
      </c>
      <c r="BN10" s="15" t="str">
        <f>IF(SUM(BK10,BM10)&gt;0,SUM(BK10,BM10),"")</f>
        <v/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7"/>
        <v>4.5812499999999998</v>
      </c>
      <c r="LX10" s="71">
        <f t="shared" si="0"/>
        <v>4.7249999999999996</v>
      </c>
      <c r="LY10" s="71">
        <f t="shared" si="0"/>
        <v>2.8</v>
      </c>
      <c r="LZ10" s="71">
        <f t="shared" si="0"/>
        <v>9.3249999999999993</v>
      </c>
      <c r="MA10" s="71">
        <f t="shared" si="0"/>
        <v>0</v>
      </c>
      <c r="MB10" s="71">
        <f t="shared" si="0"/>
        <v>4.1812500000000004</v>
      </c>
      <c r="MC10" s="71">
        <f t="shared" si="0"/>
        <v>4.6124999999999998</v>
      </c>
      <c r="MD10" s="71">
        <f t="shared" si="0"/>
        <v>6.05</v>
      </c>
      <c r="ME10" s="71">
        <f t="shared" si="0"/>
        <v>7.93</v>
      </c>
      <c r="MF10" s="71">
        <f t="shared" si="0"/>
        <v>0</v>
      </c>
      <c r="MG10" s="71">
        <f t="shared" si="0"/>
        <v>4.1937499999999996</v>
      </c>
      <c r="MH10" s="71">
        <f t="shared" si="0"/>
        <v>4.55</v>
      </c>
      <c r="MI10" s="71">
        <f t="shared" si="0"/>
        <v>6.41</v>
      </c>
      <c r="MJ10" s="71">
        <f t="shared" si="0"/>
        <v>8.5500000000000007</v>
      </c>
      <c r="MK10" s="71">
        <f t="shared" si="0"/>
        <v>0</v>
      </c>
      <c r="ML10" s="82" t="s">
        <v>96</v>
      </c>
      <c r="MM10" s="12">
        <f t="shared" si="8"/>
        <v>6.05</v>
      </c>
      <c r="MN10" s="12">
        <f t="shared" si="9"/>
        <v>21.431249999999999</v>
      </c>
      <c r="MO10" s="12">
        <f t="shared" si="10"/>
        <v>22.77375</v>
      </c>
      <c r="MP10" s="12">
        <f t="shared" si="11"/>
        <v>44.204999999999998</v>
      </c>
      <c r="MQ10" s="12">
        <f t="shared" si="12"/>
        <v>6.41</v>
      </c>
      <c r="MR10" s="12">
        <f t="shared" si="13"/>
        <v>23.703749999999999</v>
      </c>
      <c r="MS10" s="12">
        <f t="shared" si="14"/>
        <v>67.908749999999998</v>
      </c>
    </row>
    <row r="11" spans="1:357" x14ac:dyDescent="0.2">
      <c r="A11" s="6" t="str">
        <f>IF(AND(F11="P",H11="P"),SUMPRODUCT((F$4:F$14="P")*(H$4:H$14="P")*(E$4:E$14&gt;E11))+1,IF(H11="P",SUMPRODUCT((F$4:F$14="")*(H$4:H$14="P")*(E$4:E$14&gt;E11))+1+SUMPRODUCT((F$4:F$14="P")*(H$4:H$14="P")),""))</f>
        <v/>
      </c>
      <c r="B11" s="9" t="s">
        <v>157</v>
      </c>
      <c r="C11" s="5" t="s">
        <v>6</v>
      </c>
      <c r="D11" s="29" t="s">
        <v>158</v>
      </c>
      <c r="E11" s="16">
        <f>SUM(J11:R11)</f>
        <v>120.57</v>
      </c>
      <c r="F11" s="4" t="str">
        <f>IF(OR(AND($AK11&gt;=$AL$16,NOT($AK11=""),$AJ11=""),AND($BH11&gt;=$BI$16,NOT($BH11=""),$BG11=""),AND($CH11&gt;=$CI$16,NOT($CH11="")),AND($DD11&gt;=$DE$16,NOT($DD11="")),AND($DZ11&gt;=$EA$16,NOT($DZ11="")),AND($EV11&gt;=$EW$16,NOT($EV11="")),AND($FR11&gt;=$FS$16,NOT($FR11="")),AND($GN11&gt;=$GO$16,NOT($GN11="")),AND($HJ11&gt;=$HK$16,NOT($HJ11="")),AND($IF11&gt;=$IG$16,NOT($IF11="")),AND($JB11&gt;=$JC$16,NOT($JB11="")),AND($JX11&gt;=$JY$16,NOT($JX11="")),AND($KT11&gt;=$KU$16,NOT($KT11="")),AND($LP11&gt;=$LQ$16,NOT($LP11="")),AND($AO11&gt;=$AL$16,NOT($AO11=""),$AJ11=""),AND($BL11&gt;=$BI$16,NOT($BL11=""),$BG11=""),AND($CL11&gt;=$CI$16,NOT($CL11="")),AND($DH11&gt;=$DE$16,NOT($DH11="")),AND($ED11&gt;=$EA$16,NOT($ED11="")),AND($EZ11&gt;=$EW$16,NOT($EZ11="")),AND($FV11&gt;=$FS$16,NOT($FV11="")),AND($GR11&gt;=$GO$16,NOT($GR11="")),AND($HN11&gt;=$HK$16,NOT($HN11="")),AND($IJ11&gt;=$IG$16,NOT($IJ11="")),AND($JF11&gt;=$JC$16,NOT($JF11="")),AND($KB11&gt;=$JY$16,NOT($KB11="")),AND($KX11&gt;=$KU$16,NOT($KX11="")),AND($LT11&gt;=$LQ$16,NOT($LT11=""))),"P","")</f>
        <v/>
      </c>
      <c r="G11" s="4" t="str">
        <f>IF(OR(AND($AK11&gt;=$AL$17,NOT($AK11=""),$AJ11=""),AND($BH11&gt;=$BI$17,NOT($BH11=""),$BG11=""),AND($CH11&gt;=$CI$17,NOT($CH11="")),AND($DD11&gt;=$DE$17,NOT($DD11="")),AND($DZ11&gt;=$EA$17,NOT($DZ11="")),AND($EV11&gt;=$EW$17,NOT($EV11="")),AND($FR11&gt;=$FS$17,NOT($FR11="")),AND($GN11&gt;=$GO$17,NOT($GN11="")),AND($HJ11&gt;=$HK$17,NOT($HJ11="")),AND($IF11&gt;=$IG$17,NOT($IF11="")),AND($JB11&gt;=$JC$17,NOT($JB11="")),AND($JX11&gt;=$JY$17,NOT($JX11="")),AND($KT11&gt;=$KU$17,NOT($KT11="")),AND($LP11&gt;=$LQ$17,NOT($LP11="")),AND($AO11&gt;=$AL$17,NOT($AO11=""),$AJ11=""),AND($BL11&gt;=$BI$17,NOT($BL11=""),$BG11=""),AND($CL11&gt;=$CI$17,NOT($CL11="")),AND($DH11&gt;=$DE$17,NOT($DH11="")),AND($ED11&gt;=$EA$17,NOT($ED11="")),AND($EZ11&gt;=$EW$17,NOT($EZ11="")),AND($FV11&gt;=$FS$17,NOT($FV11="")),AND($GR11&gt;=$GO$17,NOT($GR11="")),AND($HN11&gt;=$HK$17,NOT($HN11="")),AND($IJ11&gt;=$IG$17,NOT($IJ11="")),AND($JF11&gt;=$JC$17,NOT($JF11="")),AND($KB11&gt;=$JY$17,NOT($KB11="")),AND($KX11&gt;=$KU$17,NOT($KX11="")),AND($LT11&gt;=$LQ$17,NOT($LT11=""))),"P","")</f>
        <v/>
      </c>
      <c r="H11" s="4" t="str">
        <f>IF(OR(AND($AN11&gt;=$AL$18,NOT($AN11=""),$AJ11=""),AND($BK11&gt;=$BI$18,NOT($BK11=""),$BG11=""),AND($CK11&gt;=$CI$18,NOT($CK11="")),AND($DG11&gt;=$DE$18,NOT($DG11="")),AND($EC11&gt;=$EA$18,NOT($EC11="")),AND($EY11&gt;=$EW$18,NOT($EY11="")),AND($FU11&gt;=$FS$18,NOT($FU11="")),AND($GQ11&gt;=$GO$18,NOT($GQ11="")),AND($HM11&gt;=$HK$18,NOT($HM11="")),AND($II11&gt;=$IG$18,NOT($II11="")),AND($JE11&gt;=$JC$18,NOT($JE11="")),AND($KA11&gt;=$JY$18,NOT($KA11="")),AND($KW11&gt;=$KU$18,NOT($KW11="")),AND($LS11&gt;=$LQ$18,NOT($LS11=""))),"P","")</f>
        <v/>
      </c>
      <c r="I11" t="str">
        <f>IF(AND(H11="P",F11=""),"No DD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Merit",IF(AND(G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Excellence",IF(AND(G11="P",OR(AND($AN11&gt;$AL$19,NOT($AN11=""),$AJ11=""),AND($BK11&gt;$BI$19,NOT($BK11=""),$BG11=""),AND($CK11&gt;$CI$19,NOT($CK11="")),AND($DG11&gt;$DE$19,NOT($DG11="")),AND($EC11&gt;$EA$19,NOT($EC11="")),AND($EY11&gt;$EW$19,NOT($EY11="")),AND($FU11&gt;$FS$19,NOT($FU11="")),AND($GQ11&gt;$GO$19,NOT($GQ11="")),AND($HM11&gt;$HK$19,NOT($HM11="")),AND($II11&gt;$IG$19,NOT($II11="")),AND($JE11&gt;$JC$19,NOT($JE11="")),AND($KA11&gt;$JY$19,NOT($KA11="")),AND($KW11&gt;$KU$19,NOT($KW11="")),AND($LS11&gt;$LQ$19,NOT($LS11="")))),"Worlds Team",IF(AND(F11="P",OR(AND($AN11&gt;$AL$18,NOT($AN11=""),$AJ11=""),AND($BK11&gt;$BI$18,NOT($BK11=""),$BG11=""),AND($CK11&gt;$CI$18,NOT($CK11="")),AND($DG11&gt;$DE$18,NOT($DG11="")),AND($EC11&gt;$EA$18,NOT($EC11="")),AND($EY11&gt;$EW$18,NOT($EY11="")),AND($FU11&gt;$FS$18,NOT($FU11="")),AND($GQ11&gt;$GO$18,NOT($GQ11="")),AND($HM11&gt;$HK$18,NOT($HM11="")),AND($II11&gt;$IG$18,NOT($II11="")),AND($JE11&gt;$JC$18,NOT($JE11="")),AND($KA11&gt;$JY$18,NOT($KA11="")),AND($KW11&gt;$KU$18,NOT($KW11="")),AND($LS11&gt;$LQ$18,NOT($LS11="")))),"National Team","")))))</f>
        <v/>
      </c>
      <c r="J11" s="15">
        <f>IF(MAX(AN11,BK11)&gt;0,MAX(AN11,BK11),"")</f>
        <v>77.55</v>
      </c>
      <c r="K11" s="15" t="str">
        <f>IF(J11="","",IF(J11=BK11,$AR$1,IF(J11=AN11,$U$1,"")))</f>
        <v>2019 Nationals</v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43.02</v>
      </c>
      <c r="Q11" s="15" t="str">
        <f>IF(P11="","",IF(P11=BM11,$AR$1,IF(P11=AP11,$U$1,"")))</f>
        <v>2019 Nationals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82"/>
      <c r="AK11" s="12" t="str">
        <f>IF(AB11&gt;0,AB11,"")</f>
        <v/>
      </c>
      <c r="AL11" s="12" t="str">
        <f>IF(SUM(U11:X11)-Y11&gt;0,SUM(U11:X11)-Y11,"")</f>
        <v/>
      </c>
      <c r="AM11" s="12" t="str">
        <f>IF(SUM(Z11:AC11)-AD11&gt;0,SUM(Z11:AC11)-AD11,"")</f>
        <v/>
      </c>
      <c r="AN11" s="12" t="str">
        <f>IF(SUM(AL11:AM11)&gt;0,SUM(AL11:AM11),"")</f>
        <v/>
      </c>
      <c r="AO11" s="12" t="str">
        <f>IF(AG11&gt;0,AG11,"")</f>
        <v/>
      </c>
      <c r="AP11" s="12" t="str">
        <f>IF(SUM(AE11:AH11)-AI11&gt;0,SUM(AE11:AH11)-AI11,"")</f>
        <v/>
      </c>
      <c r="AQ11" s="12" t="str">
        <f>IF(SUM(AN11,AP11)&gt;0,SUM(AN11,AP11),"")</f>
        <v/>
      </c>
      <c r="AR11" s="42">
        <v>8.1999999999999993</v>
      </c>
      <c r="AS11" s="42">
        <v>9.1999999999999993</v>
      </c>
      <c r="AT11" s="42">
        <v>4.3</v>
      </c>
      <c r="AU11" s="42">
        <v>14.16</v>
      </c>
      <c r="AV11" s="42">
        <v>0</v>
      </c>
      <c r="AW11" s="42">
        <v>7.65</v>
      </c>
      <c r="AX11" s="42">
        <v>9.1999999999999993</v>
      </c>
      <c r="AY11" s="42">
        <v>10.4</v>
      </c>
      <c r="AZ11" s="42">
        <v>14.44</v>
      </c>
      <c r="BA11" s="42">
        <v>0</v>
      </c>
      <c r="BB11" s="42">
        <v>8.4</v>
      </c>
      <c r="BC11" s="42">
        <v>9.3000000000000007</v>
      </c>
      <c r="BD11" s="42">
        <v>10.6</v>
      </c>
      <c r="BE11" s="42">
        <v>14.72</v>
      </c>
      <c r="BF11" s="42">
        <v>0</v>
      </c>
      <c r="BG11" s="83"/>
      <c r="BH11" s="15">
        <f>IF(AY11&gt;0,AY11,"")</f>
        <v>10.4</v>
      </c>
      <c r="BI11" s="15">
        <f>IF(SUM(AR11:AU11)-AV11&gt;0,SUM(AR11:AU11)-AV11,"")</f>
        <v>35.86</v>
      </c>
      <c r="BJ11" s="15">
        <f>IF(SUM(AW11:AZ11)-BA11&gt;0,SUM(AW11:AZ11)-BA11,"")</f>
        <v>41.69</v>
      </c>
      <c r="BK11" s="15">
        <f>IF(SUM(BI11:BJ11)&gt;0,SUM(BI11:BJ11),"")</f>
        <v>77.55</v>
      </c>
      <c r="BL11" s="15">
        <f>IF(BD11&gt;0,BD11,"")</f>
        <v>10.6</v>
      </c>
      <c r="BM11" s="15">
        <f>IF(SUM(BB11:BE11)-BF11&gt;0,SUM(BB11:BE11)-BF11,"")</f>
        <v>43.02</v>
      </c>
      <c r="BN11" s="15">
        <f>IF(SUM(BK11,BM11)&gt;0,SUM(BK11,BM11),"")</f>
        <v>120.57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7"/>
        <v>4.0999999999999996</v>
      </c>
      <c r="LX11" s="71">
        <f t="shared" si="0"/>
        <v>4.5999999999999996</v>
      </c>
      <c r="LY11" s="71">
        <f t="shared" si="0"/>
        <v>2.15</v>
      </c>
      <c r="LZ11" s="71">
        <f t="shared" si="0"/>
        <v>7.08</v>
      </c>
      <c r="MA11" s="71">
        <f t="shared" si="0"/>
        <v>0</v>
      </c>
      <c r="MB11" s="71">
        <f t="shared" si="0"/>
        <v>3.8250000000000002</v>
      </c>
      <c r="MC11" s="71">
        <f t="shared" si="0"/>
        <v>4.5999999999999996</v>
      </c>
      <c r="MD11" s="71">
        <f t="shared" si="0"/>
        <v>5.2</v>
      </c>
      <c r="ME11" s="71">
        <f t="shared" si="0"/>
        <v>7.22</v>
      </c>
      <c r="MF11" s="71">
        <f t="shared" si="0"/>
        <v>0</v>
      </c>
      <c r="MG11" s="71">
        <f t="shared" si="0"/>
        <v>4.2</v>
      </c>
      <c r="MH11" s="71">
        <f t="shared" si="0"/>
        <v>4.6500000000000004</v>
      </c>
      <c r="MI11" s="71">
        <f t="shared" si="0"/>
        <v>5.3</v>
      </c>
      <c r="MJ11" s="71">
        <f t="shared" si="0"/>
        <v>7.36</v>
      </c>
      <c r="MK11" s="71">
        <f t="shared" si="0"/>
        <v>0</v>
      </c>
      <c r="ML11" s="82" t="s">
        <v>96</v>
      </c>
      <c r="MM11" s="12">
        <f t="shared" si="8"/>
        <v>5.2</v>
      </c>
      <c r="MN11" s="12">
        <f t="shared" si="9"/>
        <v>17.93</v>
      </c>
      <c r="MO11" s="12">
        <f t="shared" si="10"/>
        <v>20.844999999999999</v>
      </c>
      <c r="MP11" s="12">
        <f t="shared" si="11"/>
        <v>38.774999999999999</v>
      </c>
      <c r="MQ11" s="12">
        <f t="shared" si="12"/>
        <v>5.3</v>
      </c>
      <c r="MR11" s="12">
        <f t="shared" si="13"/>
        <v>21.51</v>
      </c>
      <c r="MS11" s="12">
        <f t="shared" si="14"/>
        <v>60.284999999999997</v>
      </c>
    </row>
    <row r="12" spans="1:357" x14ac:dyDescent="0.2">
      <c r="A12" s="6" t="str">
        <f>IF(AND(F12="P",H12="P"),SUMPRODUCT((F$4:F$14="P")*(H$4:H$14="P")*(E$4:E$14&gt;E12))+1,IF(H12="P",SUMPRODUCT((F$4:F$14="")*(H$4:H$14="P")*(E$4:E$14&gt;E12))+1+SUMPRODUCT((F$4:F$14="P")*(H$4:H$14="P")),""))</f>
        <v/>
      </c>
      <c r="B12" s="9" t="s">
        <v>160</v>
      </c>
      <c r="C12" s="5" t="s">
        <v>5</v>
      </c>
      <c r="D12" s="29" t="s">
        <v>161</v>
      </c>
      <c r="E12" s="16">
        <f>SUM(J12:R12)</f>
        <v>91.009999999999991</v>
      </c>
      <c r="F12" s="4" t="str">
        <f>IF(OR(AND($AK12&gt;=$AL$16,NOT($AK12=""),$AJ12=""),AND($BH12&gt;=$BI$16,NOT($BH12=""),$BG12=""),AND($CH12&gt;=$CI$16,NOT($CH12="")),AND($DD12&gt;=$DE$16,NOT($DD12="")),AND($DZ12&gt;=$EA$16,NOT($DZ12="")),AND($EV12&gt;=$EW$16,NOT($EV12="")),AND($FR12&gt;=$FS$16,NOT($FR12="")),AND($GN12&gt;=$GO$16,NOT($GN12="")),AND($HJ12&gt;=$HK$16,NOT($HJ12="")),AND($IF12&gt;=$IG$16,NOT($IF12="")),AND($JB12&gt;=$JC$16,NOT($JB12="")),AND($JX12&gt;=$JY$16,NOT($JX12="")),AND($KT12&gt;=$KU$16,NOT($KT12="")),AND($LP12&gt;=$LQ$16,NOT($LP12="")),AND($AO12&gt;=$AL$16,NOT($AO12=""),$AJ12=""),AND($BL12&gt;=$BI$16,NOT($BL12=""),$BG12=""),AND($CL12&gt;=$CI$16,NOT($CL12="")),AND($DH12&gt;=$DE$16,NOT($DH12="")),AND($ED12&gt;=$EA$16,NOT($ED12="")),AND($EZ12&gt;=$EW$16,NOT($EZ12="")),AND($FV12&gt;=$FS$16,NOT($FV12="")),AND($GR12&gt;=$GO$16,NOT($GR12="")),AND($HN12&gt;=$HK$16,NOT($HN12="")),AND($IJ12&gt;=$IG$16,NOT($IJ12="")),AND($JF12&gt;=$JC$16,NOT($JF12="")),AND($KB12&gt;=$JY$16,NOT($KB12="")),AND($KX12&gt;=$KU$16,NOT($KX12="")),AND($LT12&gt;=$LQ$16,NOT($LT12=""))),"P","")</f>
        <v/>
      </c>
      <c r="G12" s="4" t="str">
        <f>IF(OR(AND($AK12&gt;=$AL$17,NOT($AK12=""),$AJ12=""),AND($BH12&gt;=$BI$17,NOT($BH12=""),$BG12=""),AND($CH12&gt;=$CI$17,NOT($CH12="")),AND($DD12&gt;=$DE$17,NOT($DD12="")),AND($DZ12&gt;=$EA$17,NOT($DZ12="")),AND($EV12&gt;=$EW$17,NOT($EV12="")),AND($FR12&gt;=$FS$17,NOT($FR12="")),AND($GN12&gt;=$GO$17,NOT($GN12="")),AND($HJ12&gt;=$HK$17,NOT($HJ12="")),AND($IF12&gt;=$IG$17,NOT($IF12="")),AND($JB12&gt;=$JC$17,NOT($JB12="")),AND($JX12&gt;=$JY$17,NOT($JX12="")),AND($KT12&gt;=$KU$17,NOT($KT12="")),AND($LP12&gt;=$LQ$17,NOT($LP12="")),AND($AO12&gt;=$AL$17,NOT($AO12=""),$AJ12=""),AND($BL12&gt;=$BI$17,NOT($BL12=""),$BG12=""),AND($CL12&gt;=$CI$17,NOT($CL12="")),AND($DH12&gt;=$DE$17,NOT($DH12="")),AND($ED12&gt;=$EA$17,NOT($ED12="")),AND($EZ12&gt;=$EW$17,NOT($EZ12="")),AND($FV12&gt;=$FS$17,NOT($FV12="")),AND($GR12&gt;=$GO$17,NOT($GR12="")),AND($HN12&gt;=$HK$17,NOT($HN12="")),AND($IJ12&gt;=$IG$17,NOT($IJ12="")),AND($JF12&gt;=$JC$17,NOT($JF12="")),AND($KB12&gt;=$JY$17,NOT($KB12="")),AND($KX12&gt;=$KU$17,NOT($KX12="")),AND($LT12&gt;=$LQ$17,NOT($LT12=""))),"P","")</f>
        <v/>
      </c>
      <c r="H12" s="4" t="str">
        <f>IF(OR(AND($AN12&gt;=$AL$18,NOT($AN12=""),$AJ12=""),AND($BK12&gt;=$BI$18,NOT($BK12=""),$BG12=""),AND($CK12&gt;=$CI$18,NOT($CK12="")),AND($DG12&gt;=$DE$18,NOT($DG12="")),AND($EC12&gt;=$EA$18,NOT($EC12="")),AND($EY12&gt;=$EW$18,NOT($EY12="")),AND($FU12&gt;=$FS$18,NOT($FU12="")),AND($GQ12&gt;=$GO$18,NOT($GQ12="")),AND($HM12&gt;=$HK$18,NOT($HM12="")),AND($II12&gt;=$IG$18,NOT($II12="")),AND($JE12&gt;=$JC$18,NOT($JE12="")),AND($KA12&gt;=$JY$18,NOT($KA12="")),AND($KW12&gt;=$KU$18,NOT($KW12="")),AND($LS12&gt;=$LQ$18,NOT($LS12=""))),"P","")</f>
        <v/>
      </c>
      <c r="I12" t="str">
        <f>IF(AND(H12="P",F12=""),"No DD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Merit",IF(AND(G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Excellence",IF(AND(G12="P",OR(AND($AN12&gt;$AL$19,NOT($AN12=""),$AJ12=""),AND($BK12&gt;$BI$19,NOT($BK12=""),$BG12=""),AND($CK12&gt;$CI$19,NOT($CK12="")),AND($DG12&gt;$DE$19,NOT($DG12="")),AND($EC12&gt;$EA$19,NOT($EC12="")),AND($EY12&gt;$EW$19,NOT($EY12="")),AND($FU12&gt;$FS$19,NOT($FU12="")),AND($GQ12&gt;$GO$19,NOT($GQ12="")),AND($HM12&gt;$HK$19,NOT($HM12="")),AND($II12&gt;$IG$19,NOT($II12="")),AND($JE12&gt;$JC$19,NOT($JE12="")),AND($KA12&gt;$JY$19,NOT($KA12="")),AND($KW12&gt;$KU$19,NOT($KW12="")),AND($LS12&gt;$LQ$19,NOT($LS12="")))),"Worlds Team",IF(AND(F12="P",OR(AND($AN12&gt;$AL$18,NOT($AN12=""),$AJ12=""),AND($BK12&gt;$BI$18,NOT($BK12=""),$BG12=""),AND($CK12&gt;$CI$18,NOT($CK12="")),AND($DG12&gt;$DE$18,NOT($DG12="")),AND($EC12&gt;$EA$18,NOT($EC12="")),AND($EY12&gt;$EW$18,NOT($EY12="")),AND($FU12&gt;$FS$18,NOT($FU12="")),AND($GQ12&gt;$GO$18,NOT($GQ12="")),AND($HM12&gt;$HK$18,NOT($HM12="")),AND($II12&gt;$IG$18,NOT($II12="")),AND($JE12&gt;$JC$18,NOT($JE12="")),AND($KA12&gt;$JY$18,NOT($KA12="")),AND($KW12&gt;$KU$18,NOT($KW12="")),AND($LS12&gt;$LQ$18,NOT($LS12="")))),"National Team","")))))</f>
        <v/>
      </c>
      <c r="J12" s="15">
        <f>IF(MAX(AN12,BK12)&gt;0,MAX(AN12,BK12),"")</f>
        <v>62.18</v>
      </c>
      <c r="K12" s="15" t="str">
        <f>IF(J12="","",IF(J12=BK12,$AR$1,IF(J12=AN12,$U$1,"")))</f>
        <v>2019 Nationals</v>
      </c>
      <c r="L12" s="15" t="str">
        <f>IF($J12=$AN12,BI12,IF($J12=$BK12,AL12,MAX(AL12,BI12)))</f>
        <v/>
      </c>
      <c r="M12" s="15" t="str">
        <f>IF(L12="","",IF(AND(L12=BI12,$K12&lt;&gt;$AR$1),$AR$1,IF(AND(L12=AL12,$K12&lt;&gt;$U$1),$U$1,"")))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28.83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82"/>
      <c r="AK12" s="12" t="str">
        <f>IF(AB12&gt;0,AB12,"")</f>
        <v/>
      </c>
      <c r="AL12" s="12" t="str">
        <f>IF(SUM(U12:X12)-Y12&gt;0,SUM(U12:X12)-Y12,"")</f>
        <v/>
      </c>
      <c r="AM12" s="12" t="str">
        <f>IF(SUM(Z12:AC12)-AD12&gt;0,SUM(Z12:AC12)-AD12,"")</f>
        <v/>
      </c>
      <c r="AN12" s="12" t="str">
        <f>IF(SUM(AL12:AM12)&gt;0,SUM(AL12:AM12),"")</f>
        <v/>
      </c>
      <c r="AO12" s="12" t="str">
        <f>IF(AG12&gt;0,AG12,"")</f>
        <v/>
      </c>
      <c r="AP12" s="12" t="str">
        <f>IF(SUM(AE12:AH12)-AI12&gt;0,SUM(AE12:AH12)-AI12,"")</f>
        <v/>
      </c>
      <c r="AQ12" s="12" t="str">
        <f>IF(SUM(AN12,AP12)&gt;0,SUM(AN12,AP12),"")</f>
        <v/>
      </c>
      <c r="AR12" s="42">
        <v>8.75</v>
      </c>
      <c r="AS12" s="42">
        <v>9.1</v>
      </c>
      <c r="AT12" s="42">
        <v>4</v>
      </c>
      <c r="AU12" s="42">
        <v>17.2</v>
      </c>
      <c r="AV12" s="42">
        <v>0</v>
      </c>
      <c r="AW12" s="42">
        <v>4.2</v>
      </c>
      <c r="AX12" s="42">
        <v>4.6500000000000004</v>
      </c>
      <c r="AY12" s="42">
        <v>5.9</v>
      </c>
      <c r="AZ12" s="42">
        <v>8.3800000000000008</v>
      </c>
      <c r="BA12" s="42">
        <v>0</v>
      </c>
      <c r="BB12" s="42">
        <v>4.95</v>
      </c>
      <c r="BC12" s="42">
        <v>5.5</v>
      </c>
      <c r="BD12" s="42">
        <v>7.3</v>
      </c>
      <c r="BE12" s="42">
        <v>11.08</v>
      </c>
      <c r="BF12" s="42">
        <v>0</v>
      </c>
      <c r="BG12" s="83"/>
      <c r="BH12" s="15">
        <f>IF(AY12&gt;0,AY12,"")</f>
        <v>5.9</v>
      </c>
      <c r="BI12" s="15">
        <f>IF(SUM(AR12:AU12)-AV12&gt;0,SUM(AR12:AU12)-AV12,"")</f>
        <v>39.049999999999997</v>
      </c>
      <c r="BJ12" s="15">
        <f>IF(SUM(AW12:AZ12)-BA12&gt;0,SUM(AW12:AZ12)-BA12,"")</f>
        <v>23.130000000000003</v>
      </c>
      <c r="BK12" s="15">
        <f>IF(SUM(BI12:BJ12)&gt;0,SUM(BI12:BJ12),"")</f>
        <v>62.18</v>
      </c>
      <c r="BL12" s="15">
        <f>IF(BD12&gt;0,BD12,"")</f>
        <v>7.3</v>
      </c>
      <c r="BM12" s="15">
        <f>IF(SUM(BB12:BE12)-BF12&gt;0,SUM(BB12:BE12)-BF12,"")</f>
        <v>28.83</v>
      </c>
      <c r="BN12" s="15">
        <f>IF(SUM(BK12,BM12)&gt;0,SUM(BK12,BM12),"")</f>
        <v>91.009999999999991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7"/>
        <v>4.375</v>
      </c>
      <c r="LX12" s="71">
        <f t="shared" si="0"/>
        <v>4.55</v>
      </c>
      <c r="LY12" s="71">
        <f t="shared" si="0"/>
        <v>2</v>
      </c>
      <c r="LZ12" s="71">
        <f t="shared" si="0"/>
        <v>8.6</v>
      </c>
      <c r="MA12" s="71">
        <f t="shared" si="0"/>
        <v>0</v>
      </c>
      <c r="MB12" s="71">
        <f t="shared" si="0"/>
        <v>2.1</v>
      </c>
      <c r="MC12" s="71">
        <f t="shared" si="0"/>
        <v>2.3250000000000002</v>
      </c>
      <c r="MD12" s="71">
        <f t="shared" si="0"/>
        <v>2.95</v>
      </c>
      <c r="ME12" s="71">
        <f t="shared" si="0"/>
        <v>4.1900000000000004</v>
      </c>
      <c r="MF12" s="71">
        <f t="shared" si="0"/>
        <v>0</v>
      </c>
      <c r="MG12" s="71">
        <f t="shared" si="0"/>
        <v>2.4750000000000001</v>
      </c>
      <c r="MH12" s="71">
        <f t="shared" si="0"/>
        <v>2.75</v>
      </c>
      <c r="MI12" s="71">
        <f t="shared" si="0"/>
        <v>3.65</v>
      </c>
      <c r="MJ12" s="71">
        <f t="shared" si="0"/>
        <v>5.54</v>
      </c>
      <c r="MK12" s="71">
        <f t="shared" si="0"/>
        <v>0</v>
      </c>
      <c r="ML12" s="82" t="s">
        <v>96</v>
      </c>
      <c r="MM12" s="12">
        <f t="shared" si="8"/>
        <v>2.95</v>
      </c>
      <c r="MN12" s="12">
        <f t="shared" si="9"/>
        <v>19.524999999999999</v>
      </c>
      <c r="MO12" s="12">
        <f t="shared" si="10"/>
        <v>11.565000000000001</v>
      </c>
      <c r="MP12" s="12">
        <f t="shared" si="11"/>
        <v>31.09</v>
      </c>
      <c r="MQ12" s="12">
        <f t="shared" si="12"/>
        <v>3.65</v>
      </c>
      <c r="MR12" s="12">
        <f t="shared" si="13"/>
        <v>14.414999999999999</v>
      </c>
      <c r="MS12" s="12">
        <f t="shared" si="14"/>
        <v>45.504999999999995</v>
      </c>
    </row>
    <row r="13" spans="1:357" x14ac:dyDescent="0.2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7" t="s">
        <v>159</v>
      </c>
      <c r="C13" s="8" t="s">
        <v>10</v>
      </c>
      <c r="D13" s="6" t="s">
        <v>100</v>
      </c>
      <c r="E13" s="16">
        <f>SUM(J13:R13)</f>
        <v>79.649999999999991</v>
      </c>
      <c r="F13" s="4" t="str">
        <f>IF(OR(AND($AK13&gt;=$AL$16,NOT($AK13=""),$AJ13=""),AND($BH13&gt;=$BI$16,NOT($BH13=""),$BG13=""),AND($CH13&gt;=$CI$16,NOT($CH13="")),AND($DD13&gt;=$DE$16,NOT($DD13="")),AND($DZ13&gt;=$EA$16,NOT($DZ13="")),AND($EV13&gt;=$EW$16,NOT($EV13="")),AND($FR13&gt;=$FS$16,NOT($FR13="")),AND($GN13&gt;=$GO$16,NOT($GN13="")),AND($HJ13&gt;=$HK$16,NOT($HJ13="")),AND($IF13&gt;=$IG$16,NOT($IF13="")),AND($JB13&gt;=$JC$16,NOT($JB13="")),AND($JX13&gt;=$JY$16,NOT($JX13="")),AND($KT13&gt;=$KU$16,NOT($KT13="")),AND($LP13&gt;=$LQ$16,NOT($LP13="")),AND($AO13&gt;=$AL$16,NOT($AO13=""),$AJ13=""),AND($BL13&gt;=$BI$16,NOT($BL13=""),$BG13=""),AND($CL13&gt;=$CI$16,NOT($CL13="")),AND($DH13&gt;=$DE$16,NOT($DH13="")),AND($ED13&gt;=$EA$16,NOT($ED13="")),AND($EZ13&gt;=$EW$16,NOT($EZ13="")),AND($FV13&gt;=$FS$16,NOT($FV13="")),AND($GR13&gt;=$GO$16,NOT($GR13="")),AND($HN13&gt;=$HK$16,NOT($HN13="")),AND($IJ13&gt;=$IG$16,NOT($IJ13="")),AND($JF13&gt;=$JC$16,NOT($JF13="")),AND($KB13&gt;=$JY$16,NOT($KB13="")),AND($KX13&gt;=$KU$16,NOT($KX13="")),AND($LT13&gt;=$LQ$16,NOT($LT13=""))),"P","")</f>
        <v/>
      </c>
      <c r="G13" s="4" t="str">
        <f>IF(OR(AND($AK13&gt;=$AL$17,NOT($AK13=""),$AJ13=""),AND($BH13&gt;=$BI$17,NOT($BH13=""),$BG13=""),AND($CH13&gt;=$CI$17,NOT($CH13="")),AND($DD13&gt;=$DE$17,NOT($DD13="")),AND($DZ13&gt;=$EA$17,NOT($DZ13="")),AND($EV13&gt;=$EW$17,NOT($EV13="")),AND($FR13&gt;=$FS$17,NOT($FR13="")),AND($GN13&gt;=$GO$17,NOT($GN13="")),AND($HJ13&gt;=$HK$17,NOT($HJ13="")),AND($IF13&gt;=$IG$17,NOT($IF13="")),AND($JB13&gt;=$JC$17,NOT($JB13="")),AND($JX13&gt;=$JY$17,NOT($JX13="")),AND($KT13&gt;=$KU$17,NOT($KT13="")),AND($LP13&gt;=$LQ$17,NOT($LP13="")),AND($AO13&gt;=$AL$17,NOT($AO13=""),$AJ13=""),AND($BL13&gt;=$BI$17,NOT($BL13=""),$BG13=""),AND($CL13&gt;=$CI$17,NOT($CL13="")),AND($DH13&gt;=$DE$17,NOT($DH13="")),AND($ED13&gt;=$EA$17,NOT($ED13="")),AND($EZ13&gt;=$EW$17,NOT($EZ13="")),AND($FV13&gt;=$FS$17,NOT($FV13="")),AND($GR13&gt;=$GO$17,NOT($GR13="")),AND($HN13&gt;=$HK$17,NOT($HN13="")),AND($IJ13&gt;=$IG$17,NOT($IJ13="")),AND($JF13&gt;=$JC$17,NOT($JF13="")),AND($KB13&gt;=$JY$17,NOT($KB13="")),AND($KX13&gt;=$KU$17,NOT($KX13="")),AND($LT13&gt;=$LQ$17,NOT($LT13=""))),"P","")</f>
        <v/>
      </c>
      <c r="H13" s="4" t="str">
        <f>IF(OR(AND($AN13&gt;=$AL$18,NOT($AN13=""),$AJ13=""),AND($BK13&gt;=$BI$18,NOT($BK13=""),$BG13=""),AND($CK13&gt;=$CI$18,NOT($CK13="")),AND($DG13&gt;=$DE$18,NOT($DG13="")),AND($EC13&gt;=$EA$18,NOT($EC13="")),AND($EY13&gt;=$EW$18,NOT($EY13="")),AND($FU13&gt;=$FS$18,NOT($FU13="")),AND($GQ13&gt;=$GO$18,NOT($GQ13="")),AND($HM13&gt;=$HK$18,NOT($HM13="")),AND($II13&gt;=$IG$18,NOT($II13="")),AND($JE13&gt;=$JC$18,NOT($JE13="")),AND($KA13&gt;=$JY$18,NOT($KA13="")),AND($KW13&gt;=$KU$18,NOT($KW13="")),AND($LS13&gt;=$LQ$18,NOT($LS13=""))),"P","")</f>
        <v/>
      </c>
      <c r="I13" t="str">
        <f>IF(AND(H13="P",F13=""),"No DD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Merit",IF(AND(G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Excellence",IF(AND(G13="P",OR(AND($AN13&gt;$AL$19,NOT($AN13=""),$AJ13=""),AND($BK13&gt;$BI$19,NOT($BK13=""),$BG13=""),AND($CK13&gt;$CI$19,NOT($CK13="")),AND($DG13&gt;$DE$19,NOT($DG13="")),AND($EC13&gt;$EA$19,NOT($EC13="")),AND($EY13&gt;$EW$19,NOT($EY13="")),AND($FU13&gt;$FS$19,NOT($FU13="")),AND($GQ13&gt;$GO$19,NOT($GQ13="")),AND($HM13&gt;$HK$19,NOT($HM13="")),AND($II13&gt;$IG$19,NOT($II13="")),AND($JE13&gt;$JC$19,NOT($JE13="")),AND($KA13&gt;$JY$19,NOT($KA13="")),AND($KW13&gt;$KU$19,NOT($KW13="")),AND($LS13&gt;$LQ$19,NOT($LS13="")))),"Worlds Team",IF(AND(F13="P",OR(AND($AN13&gt;$AL$18,NOT($AN13=""),$AJ13=""),AND($BK13&gt;$BI$18,NOT($BK13=""),$BG13=""),AND($CK13&gt;$CI$18,NOT($CK13="")),AND($DG13&gt;$DE$18,NOT($DG13="")),AND($EC13&gt;$EA$18,NOT($EC13="")),AND($EY13&gt;$EW$18,NOT($EY13="")),AND($FU13&gt;$FS$18,NOT($FU13="")),AND($GQ13&gt;$GO$18,NOT($GQ13="")),AND($HM13&gt;$HK$18,NOT($HM13="")),AND($II13&gt;$IG$18,NOT($II13="")),AND($JE13&gt;$JC$18,NOT($JE13="")),AND($KA13&gt;$JY$18,NOT($KA13="")),AND($KW13&gt;$KU$18,NOT($KW13="")),AND($LS13&gt;$LQ$18,NOT($LS13="")))),"National Team","")))))</f>
        <v/>
      </c>
      <c r="J13" s="15">
        <f>IF(MAX(AN13,BK13)&gt;0,MAX(AN13,BK13),"")</f>
        <v>74.509999999999991</v>
      </c>
      <c r="K13" s="15" t="str">
        <f>IF(J13="","",IF(J13=BK13,$AR$1,IF(J13=AN13,$U$1,"")))</f>
        <v>2019 Nationals</v>
      </c>
      <c r="L13" s="15" t="str">
        <f>IF($J13=$AN13,BI13,IF($J13=$BK13,AL13,MAX(AL13,BI13)))</f>
        <v/>
      </c>
      <c r="M13" s="15" t="str">
        <f>IF(L13="","",IF(AND(L13=BI13,$K13&lt;&gt;$AR$1),$AR$1,IF(AND(L13=AL13,$K13&lt;&gt;$U$1),$U$1,"")))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>
        <f>IF(MAX(AP13,BM13)&gt;0,MAX(AP13,BM13),"")</f>
        <v>5.1400000000000006</v>
      </c>
      <c r="Q13" s="15" t="str">
        <f>IF(P13="","",IF(P13=BM13,$AR$1,IF(P13=AP13,$U$1,"")))</f>
        <v>2019 Nationals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82"/>
      <c r="AK13" s="12" t="str">
        <f>IF(AB13&gt;0,AB13,"")</f>
        <v/>
      </c>
      <c r="AL13" s="12" t="str">
        <f>IF(SUM(U13:X13)-Y13&gt;0,SUM(U13:X13)-Y13,"")</f>
        <v/>
      </c>
      <c r="AM13" s="12" t="str">
        <f>IF(SUM(Z13:AC13)-AD13&gt;0,SUM(Z13:AC13)-AD13,"")</f>
        <v/>
      </c>
      <c r="AN13" s="12" t="str">
        <f>IF(SUM(AL13:AM13)&gt;0,SUM(AL13:AM13),"")</f>
        <v/>
      </c>
      <c r="AO13" s="12" t="str">
        <f>IF(AG13&gt;0,AG13,"")</f>
        <v/>
      </c>
      <c r="AP13" s="12" t="str">
        <f>IF(SUM(AE13:AH13)-AI13&gt;0,SUM(AE13:AH13)-AI13,"")</f>
        <v/>
      </c>
      <c r="AQ13" s="12" t="str">
        <f>IF(SUM(AN13,AP13)&gt;0,SUM(AN13,AP13),"")</f>
        <v/>
      </c>
      <c r="AR13" s="42">
        <v>6.55</v>
      </c>
      <c r="AS13" s="42">
        <v>6.4</v>
      </c>
      <c r="AT13" s="42">
        <v>1.3</v>
      </c>
      <c r="AU13" s="42">
        <v>11.72</v>
      </c>
      <c r="AV13" s="42">
        <v>0</v>
      </c>
      <c r="AW13" s="42">
        <v>8.15</v>
      </c>
      <c r="AX13" s="42">
        <v>8.9499999999999993</v>
      </c>
      <c r="AY13" s="42">
        <v>13.4</v>
      </c>
      <c r="AZ13" s="42">
        <v>18.04</v>
      </c>
      <c r="BA13" s="42">
        <v>0</v>
      </c>
      <c r="BB13" s="42">
        <v>0.85</v>
      </c>
      <c r="BC13" s="42">
        <v>0.95</v>
      </c>
      <c r="BD13" s="42">
        <v>2</v>
      </c>
      <c r="BE13" s="42">
        <v>1.94</v>
      </c>
      <c r="BF13" s="42">
        <v>0.6</v>
      </c>
      <c r="BG13" s="83"/>
      <c r="BH13" s="15">
        <f>IF(AY13&gt;0,AY13,"")</f>
        <v>13.4</v>
      </c>
      <c r="BI13" s="15">
        <f>IF(SUM(AR13:AU13)-AV13&gt;0,SUM(AR13:AU13)-AV13,"")</f>
        <v>25.97</v>
      </c>
      <c r="BJ13" s="15">
        <f>IF(SUM(AW13:AZ13)-BA13&gt;0,SUM(AW13:AZ13)-BA13,"")</f>
        <v>48.54</v>
      </c>
      <c r="BK13" s="15">
        <f>IF(SUM(BI13:BJ13)&gt;0,SUM(BI13:BJ13),"")</f>
        <v>74.509999999999991</v>
      </c>
      <c r="BL13" s="15">
        <f>IF(BD13&gt;0,BD13,"")</f>
        <v>2</v>
      </c>
      <c r="BM13" s="15">
        <f>IF(SUM(BB13:BE13)-BF13&gt;0,SUM(BB13:BE13)-BF13,"")</f>
        <v>5.1400000000000006</v>
      </c>
      <c r="BN13" s="15">
        <f>IF(SUM(BK13,BM13)&gt;0,SUM(BK13,BM13),"")</f>
        <v>79.649999999999991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7"/>
        <v>3.2749999999999999</v>
      </c>
      <c r="LX13" s="71">
        <f t="shared" si="0"/>
        <v>3.2</v>
      </c>
      <c r="LY13" s="71">
        <f t="shared" si="0"/>
        <v>0.65</v>
      </c>
      <c r="LZ13" s="71">
        <f t="shared" si="0"/>
        <v>5.86</v>
      </c>
      <c r="MA13" s="71">
        <f t="shared" si="0"/>
        <v>0</v>
      </c>
      <c r="MB13" s="71">
        <f t="shared" si="0"/>
        <v>4.0750000000000002</v>
      </c>
      <c r="MC13" s="71">
        <f t="shared" si="0"/>
        <v>4.4749999999999996</v>
      </c>
      <c r="MD13" s="71">
        <f t="shared" si="0"/>
        <v>6.7</v>
      </c>
      <c r="ME13" s="71">
        <f t="shared" si="0"/>
        <v>9.02</v>
      </c>
      <c r="MF13" s="71">
        <f t="shared" si="0"/>
        <v>0</v>
      </c>
      <c r="MG13" s="71">
        <f t="shared" si="0"/>
        <v>0.42499999999999999</v>
      </c>
      <c r="MH13" s="71">
        <f t="shared" si="0"/>
        <v>0.47499999999999998</v>
      </c>
      <c r="MI13" s="71">
        <f t="shared" si="0"/>
        <v>1</v>
      </c>
      <c r="MJ13" s="71">
        <f t="shared" si="0"/>
        <v>0.97</v>
      </c>
      <c r="MK13" s="71">
        <f t="shared" si="0"/>
        <v>0.3</v>
      </c>
      <c r="ML13" s="82" t="s">
        <v>96</v>
      </c>
      <c r="MM13" s="12">
        <f t="shared" si="8"/>
        <v>6.7</v>
      </c>
      <c r="MN13" s="12">
        <f t="shared" si="9"/>
        <v>12.984999999999999</v>
      </c>
      <c r="MO13" s="12">
        <f t="shared" si="10"/>
        <v>24.27</v>
      </c>
      <c r="MP13" s="12">
        <f t="shared" si="11"/>
        <v>37.254999999999995</v>
      </c>
      <c r="MQ13" s="12">
        <f t="shared" si="12"/>
        <v>1</v>
      </c>
      <c r="MR13" s="12">
        <f t="shared" si="13"/>
        <v>2.5700000000000003</v>
      </c>
      <c r="MS13" s="12">
        <f t="shared" si="14"/>
        <v>39.824999999999996</v>
      </c>
    </row>
    <row r="14" spans="1:357" x14ac:dyDescent="0.2">
      <c r="D14" s="1"/>
      <c r="S14" s="28"/>
    </row>
    <row r="16" spans="1:357" x14ac:dyDescent="0.2">
      <c r="B16" s="72" t="s">
        <v>82</v>
      </c>
      <c r="AK16" s="58"/>
      <c r="AL16" s="66">
        <v>13.5</v>
      </c>
      <c r="BH16" s="58"/>
      <c r="BI16" s="66">
        <v>13.5</v>
      </c>
      <c r="CH16" s="58"/>
      <c r="CI16" s="66">
        <v>13.5</v>
      </c>
      <c r="DD16" s="58"/>
      <c r="DE16" s="66">
        <v>13.5</v>
      </c>
      <c r="DZ16" s="58"/>
      <c r="EA16" s="66">
        <v>13.5</v>
      </c>
      <c r="EV16" s="58"/>
      <c r="EW16" s="66">
        <v>13.5</v>
      </c>
      <c r="FR16" s="58"/>
      <c r="FS16" s="66">
        <v>13.5</v>
      </c>
      <c r="GN16" s="58"/>
      <c r="GO16" s="66">
        <v>13.5</v>
      </c>
      <c r="HJ16" s="58"/>
      <c r="HK16" s="66">
        <v>13.5</v>
      </c>
      <c r="IF16" s="58"/>
      <c r="IG16" s="66">
        <v>13.5</v>
      </c>
      <c r="JB16" s="58"/>
      <c r="JC16" s="66">
        <v>13.5</v>
      </c>
      <c r="JX16" s="58"/>
      <c r="JY16" s="66">
        <v>13.5</v>
      </c>
      <c r="KT16" s="58"/>
      <c r="KU16" s="66">
        <v>13.5</v>
      </c>
      <c r="LP16" s="58"/>
      <c r="LQ16" s="66">
        <v>13.5</v>
      </c>
    </row>
    <row r="17" spans="1:329" x14ac:dyDescent="0.2">
      <c r="A17" s="58"/>
      <c r="B17" s="100" t="s">
        <v>81</v>
      </c>
      <c r="C17" s="57"/>
      <c r="AK17" s="58"/>
      <c r="AL17" s="102">
        <v>14.4</v>
      </c>
      <c r="BH17" s="58"/>
      <c r="BI17" s="102">
        <v>14.4</v>
      </c>
      <c r="CH17" s="58"/>
      <c r="CI17" s="102">
        <v>14.4</v>
      </c>
      <c r="DD17" s="58"/>
      <c r="DE17" s="102">
        <v>14.4</v>
      </c>
      <c r="DZ17" s="58"/>
      <c r="EA17" s="102">
        <v>14.4</v>
      </c>
      <c r="EV17" s="58"/>
      <c r="EW17" s="102">
        <v>14.4</v>
      </c>
      <c r="FR17" s="58"/>
      <c r="FS17" s="102">
        <v>14.4</v>
      </c>
      <c r="GN17" s="58"/>
      <c r="GO17" s="102">
        <v>14.4</v>
      </c>
      <c r="HJ17" s="58"/>
      <c r="HK17" s="102">
        <v>14.4</v>
      </c>
      <c r="IF17" s="58"/>
      <c r="IG17" s="102">
        <v>14.4</v>
      </c>
      <c r="JB17" s="58"/>
      <c r="JC17" s="102">
        <v>14.4</v>
      </c>
      <c r="JX17" s="58"/>
      <c r="JY17" s="102">
        <v>14.4</v>
      </c>
      <c r="KT17" s="58"/>
      <c r="KU17" s="102">
        <v>14.4</v>
      </c>
      <c r="LP17" s="58"/>
      <c r="LQ17" s="102">
        <v>14.4</v>
      </c>
    </row>
    <row r="18" spans="1:329" x14ac:dyDescent="0.2">
      <c r="A18" s="58"/>
      <c r="B18" s="73" t="s">
        <v>79</v>
      </c>
      <c r="C18" s="57"/>
      <c r="AK18" s="58"/>
      <c r="AL18" s="67">
        <v>87</v>
      </c>
      <c r="BH18" s="58"/>
      <c r="BI18" s="67">
        <v>87</v>
      </c>
      <c r="CH18" s="58"/>
      <c r="CI18" s="67">
        <v>87</v>
      </c>
      <c r="DD18" s="58"/>
      <c r="DE18" s="67">
        <v>87</v>
      </c>
      <c r="DZ18" s="58"/>
      <c r="EA18" s="67">
        <v>87</v>
      </c>
      <c r="EV18" s="58"/>
      <c r="EW18" s="67">
        <v>87</v>
      </c>
      <c r="FR18" s="58"/>
      <c r="FS18" s="67">
        <v>87</v>
      </c>
      <c r="GN18" s="58"/>
      <c r="GO18" s="67">
        <v>87</v>
      </c>
      <c r="HJ18" s="58"/>
      <c r="HK18" s="67">
        <v>87</v>
      </c>
      <c r="IF18" s="58"/>
      <c r="IG18" s="67">
        <v>87</v>
      </c>
      <c r="JB18" s="58"/>
      <c r="JC18" s="67">
        <v>87</v>
      </c>
      <c r="JX18" s="58"/>
      <c r="JY18" s="67">
        <v>87</v>
      </c>
      <c r="KT18" s="58"/>
      <c r="KU18" s="67">
        <v>87</v>
      </c>
      <c r="LP18" s="58"/>
      <c r="LQ18" s="67">
        <v>87</v>
      </c>
    </row>
    <row r="19" spans="1:329" x14ac:dyDescent="0.2">
      <c r="A19" s="58"/>
      <c r="B19" s="74" t="s">
        <v>80</v>
      </c>
      <c r="C19" s="57"/>
      <c r="AK19" s="58"/>
      <c r="AL19" s="68">
        <v>89</v>
      </c>
      <c r="BH19" s="58"/>
      <c r="BI19" s="68">
        <v>89</v>
      </c>
      <c r="CH19" s="58"/>
      <c r="CI19" s="68">
        <v>89</v>
      </c>
      <c r="DD19" s="58"/>
      <c r="DE19" s="68">
        <v>89</v>
      </c>
      <c r="DZ19" s="58"/>
      <c r="EA19" s="68">
        <v>89</v>
      </c>
      <c r="EV19" s="58"/>
      <c r="EW19" s="68">
        <v>89</v>
      </c>
      <c r="FR19" s="58"/>
      <c r="FS19" s="68">
        <v>89</v>
      </c>
      <c r="GN19" s="58"/>
      <c r="GO19" s="68">
        <v>89</v>
      </c>
      <c r="HJ19" s="58"/>
      <c r="HK19" s="68">
        <v>89</v>
      </c>
      <c r="IF19" s="58"/>
      <c r="IG19" s="68">
        <v>89</v>
      </c>
      <c r="JB19" s="58"/>
      <c r="JC19" s="68">
        <v>89</v>
      </c>
      <c r="JX19" s="58"/>
      <c r="JY19" s="68">
        <v>89</v>
      </c>
      <c r="KT19" s="58"/>
      <c r="KU19" s="68">
        <v>89</v>
      </c>
      <c r="LP19" s="58"/>
      <c r="LQ19" s="68">
        <v>89</v>
      </c>
    </row>
    <row r="20" spans="1:329" x14ac:dyDescent="0.2">
      <c r="A20" s="58"/>
      <c r="B20" s="75" t="s">
        <v>124</v>
      </c>
      <c r="C20" s="57"/>
      <c r="AK20" s="58"/>
      <c r="AL20" s="69">
        <v>90</v>
      </c>
      <c r="BH20" s="58"/>
      <c r="BI20" s="69">
        <v>90</v>
      </c>
      <c r="CH20" s="58"/>
      <c r="CI20" s="69">
        <v>90</v>
      </c>
      <c r="DD20" s="58"/>
      <c r="DE20" s="69">
        <v>90</v>
      </c>
      <c r="DZ20" s="58"/>
      <c r="EA20" s="69">
        <v>90</v>
      </c>
      <c r="EV20" s="58"/>
      <c r="EW20" s="69">
        <v>90</v>
      </c>
      <c r="FR20" s="58"/>
      <c r="FS20" s="69">
        <v>90</v>
      </c>
      <c r="GN20" s="58"/>
      <c r="GO20" s="69">
        <v>90</v>
      </c>
      <c r="HJ20" s="58"/>
      <c r="HK20" s="69">
        <v>90</v>
      </c>
      <c r="IF20" s="58"/>
      <c r="IG20" s="69">
        <v>90</v>
      </c>
      <c r="JB20" s="58"/>
      <c r="JC20" s="69">
        <v>90</v>
      </c>
      <c r="JX20" s="58"/>
      <c r="JY20" s="69">
        <v>90</v>
      </c>
      <c r="KT20" s="58"/>
      <c r="KU20" s="69">
        <v>90</v>
      </c>
      <c r="LP20" s="58"/>
      <c r="LQ20" s="69">
        <v>90</v>
      </c>
    </row>
    <row r="21" spans="1:329" x14ac:dyDescent="0.2">
      <c r="A21" s="58"/>
      <c r="B21" s="76" t="s">
        <v>61</v>
      </c>
      <c r="C21" s="57"/>
      <c r="AK21" s="58"/>
      <c r="AL21" s="70">
        <v>91</v>
      </c>
      <c r="BH21" s="58"/>
      <c r="BI21" s="70">
        <v>91</v>
      </c>
      <c r="CH21" s="58"/>
      <c r="CI21" s="70">
        <v>91</v>
      </c>
      <c r="DD21" s="58"/>
      <c r="DE21" s="70">
        <v>91</v>
      </c>
      <c r="DZ21" s="58"/>
      <c r="EA21" s="70">
        <v>91</v>
      </c>
      <c r="EV21" s="58"/>
      <c r="EW21" s="70">
        <v>91</v>
      </c>
      <c r="FR21" s="58"/>
      <c r="FS21" s="70">
        <v>91</v>
      </c>
      <c r="GN21" s="58"/>
      <c r="GO21" s="70">
        <v>91</v>
      </c>
      <c r="HJ21" s="58"/>
      <c r="HK21" s="70">
        <v>91</v>
      </c>
      <c r="IF21" s="58"/>
      <c r="IG21" s="70">
        <v>91</v>
      </c>
      <c r="JB21" s="58"/>
      <c r="JC21" s="70">
        <v>91</v>
      </c>
      <c r="JX21" s="58"/>
      <c r="JY21" s="70">
        <v>91</v>
      </c>
      <c r="KT21" s="58"/>
      <c r="KU21" s="70">
        <v>91</v>
      </c>
      <c r="LP21" s="58"/>
      <c r="LQ21" s="70">
        <v>91</v>
      </c>
    </row>
    <row r="22" spans="1:329" x14ac:dyDescent="0.2">
      <c r="B22" s="84" t="s">
        <v>97</v>
      </c>
      <c r="C22" s="3"/>
      <c r="CI22" s="56"/>
    </row>
    <row r="23" spans="1:329" x14ac:dyDescent="0.2">
      <c r="A23" s="58"/>
      <c r="B23" s="58"/>
      <c r="C23" s="57"/>
    </row>
    <row r="24" spans="1:329" ht="17" x14ac:dyDescent="0.2">
      <c r="A24" s="58"/>
      <c r="B24" s="58"/>
      <c r="C24" s="57"/>
      <c r="R24" s="21"/>
      <c r="S24" s="21"/>
      <c r="T24" s="21"/>
    </row>
    <row r="25" spans="1:329" ht="17" x14ac:dyDescent="0.2">
      <c r="A25" s="58"/>
      <c r="B25" s="58"/>
      <c r="C25" s="57"/>
      <c r="R25" s="21"/>
      <c r="S25" s="21"/>
      <c r="T25" s="21"/>
    </row>
    <row r="26" spans="1:329" ht="17" x14ac:dyDescent="0.2">
      <c r="R26" s="21"/>
      <c r="S26" s="21"/>
      <c r="T26" s="21"/>
    </row>
    <row r="27" spans="1:329" ht="17" x14ac:dyDescent="0.2">
      <c r="R27" s="21"/>
      <c r="S27" s="21"/>
      <c r="T27" s="21"/>
    </row>
    <row r="28" spans="1:329" ht="17" x14ac:dyDescent="0.2">
      <c r="R28" s="21"/>
      <c r="S28" s="21"/>
      <c r="T28" s="21"/>
    </row>
    <row r="29" spans="1:329" ht="17" x14ac:dyDescent="0.2">
      <c r="R29" s="21"/>
      <c r="S29" s="21"/>
      <c r="T29" s="21"/>
    </row>
    <row r="30" spans="1:329" ht="17" x14ac:dyDescent="0.2">
      <c r="R30" s="21"/>
      <c r="S30" s="21"/>
      <c r="T30" s="21"/>
    </row>
    <row r="31" spans="1:329" ht="17" x14ac:dyDescent="0.2">
      <c r="R31" s="21"/>
      <c r="S31" s="21"/>
      <c r="T31" s="21"/>
    </row>
    <row r="32" spans="1:329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</sheetData>
  <sheetProtection sheet="1" formatCells="0" formatColumns="0" formatRows="0"/>
  <autoFilter ref="A1:LV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3">
      <sortCondition descending="1" ref="F1:F14"/>
    </sortState>
  </autoFilter>
  <mergeCells count="81">
    <mergeCell ref="KJ2:KN2"/>
    <mergeCell ref="KE2:KI2"/>
    <mergeCell ref="IM1:JH1"/>
    <mergeCell ref="JI1:KD1"/>
    <mergeCell ref="JS2:JW2"/>
    <mergeCell ref="JN2:JR2"/>
    <mergeCell ref="JI2:JM2"/>
    <mergeCell ref="IW2:JA2"/>
    <mergeCell ref="IR2:IV2"/>
    <mergeCell ref="IM2:IQ2"/>
    <mergeCell ref="KE1:KZ1"/>
    <mergeCell ref="LA1:LV1"/>
    <mergeCell ref="LK2:LO2"/>
    <mergeCell ref="LF2:LJ2"/>
    <mergeCell ref="LA2:LE2"/>
    <mergeCell ref="KO2:KS2"/>
    <mergeCell ref="GU1:HP1"/>
    <mergeCell ref="HQ1:IL1"/>
    <mergeCell ref="IA2:IE2"/>
    <mergeCell ref="HV2:HZ2"/>
    <mergeCell ref="HQ2:HU2"/>
    <mergeCell ref="HE2:HI2"/>
    <mergeCell ref="GZ2:HD2"/>
    <mergeCell ref="GU2:GY2"/>
    <mergeCell ref="DP2:DT2"/>
    <mergeCell ref="DK2:DO2"/>
    <mergeCell ref="FC1:FX1"/>
    <mergeCell ref="FY1:GT1"/>
    <mergeCell ref="GI2:GM2"/>
    <mergeCell ref="GD2:GH2"/>
    <mergeCell ref="FY2:GC2"/>
    <mergeCell ref="FM2:FQ2"/>
    <mergeCell ref="FH2:FL2"/>
    <mergeCell ref="FC2:FG2"/>
    <mergeCell ref="EG1:FB1"/>
    <mergeCell ref="EQ2:EU2"/>
    <mergeCell ref="EL2:EP2"/>
    <mergeCell ref="EG2:EK2"/>
    <mergeCell ref="DU2:DY2"/>
    <mergeCell ref="N1:N3"/>
    <mergeCell ref="M1:M3"/>
    <mergeCell ref="K1:K3"/>
    <mergeCell ref="L1:L3"/>
    <mergeCell ref="CO1:DJ1"/>
    <mergeCell ref="BO1:BR1"/>
    <mergeCell ref="BS1:CN1"/>
    <mergeCell ref="S1:S3"/>
    <mergeCell ref="T1:T3"/>
    <mergeCell ref="U1:AQ1"/>
    <mergeCell ref="Z2:AD2"/>
    <mergeCell ref="U2:Y2"/>
    <mergeCell ref="CY2:DC2"/>
    <mergeCell ref="CT2:CX2"/>
    <mergeCell ref="CO2:CS2"/>
    <mergeCell ref="CC2:CG2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LW1:MS1"/>
    <mergeCell ref="LW2:MA2"/>
    <mergeCell ref="MB2:MF2"/>
    <mergeCell ref="MG2:MK2"/>
    <mergeCell ref="O1:O3"/>
    <mergeCell ref="BX2:CB2"/>
    <mergeCell ref="BS2:BW2"/>
    <mergeCell ref="AW2:BA2"/>
    <mergeCell ref="AR2:AV2"/>
    <mergeCell ref="Q1:Q3"/>
    <mergeCell ref="P1:P3"/>
    <mergeCell ref="R1:R3"/>
    <mergeCell ref="AR1:BN1"/>
    <mergeCell ref="AE2:AI2"/>
    <mergeCell ref="BB2:BF2"/>
    <mergeCell ref="DK1:EF1"/>
  </mergeCells>
  <phoneticPr fontId="22" type="noConversion"/>
  <conditionalFormatting sqref="A1:A1048576">
    <cfRule type="expression" dxfId="148" priority="72">
      <formula>AND(H1="P",F1="")</formula>
    </cfRule>
  </conditionalFormatting>
  <conditionalFormatting sqref="U4:AQ13">
    <cfRule type="expression" dxfId="147" priority="23">
      <formula>IF($AJ4&lt;&gt;"",1,0)</formula>
    </cfRule>
  </conditionalFormatting>
  <conditionalFormatting sqref="AR4:BN13">
    <cfRule type="expression" dxfId="146" priority="20">
      <formula>IF($BG4&lt;&gt;"",1,0)</formula>
    </cfRule>
  </conditionalFormatting>
  <conditionalFormatting sqref="K1:K1048576 O1:O1048576 M1:M1048576 Q1:Q1048576">
    <cfRule type="expression" dxfId="145" priority="801">
      <formula>IF(K1=$AR$1,1,0)</formula>
    </cfRule>
    <cfRule type="expression" dxfId="144" priority="802">
      <formula>IF(K1=$U$1,1,0)</formula>
    </cfRule>
  </conditionalFormatting>
  <conditionalFormatting sqref="I1:I1048576">
    <cfRule type="containsText" dxfId="143" priority="8" operator="containsText" text="No DD">
      <formula>NOT(ISERROR(SEARCH("No DD",I1)))</formula>
    </cfRule>
    <cfRule type="containsText" dxfId="142" priority="15" operator="containsText" text="Merit">
      <formula>NOT(ISERROR(SEARCH("Merit",I1)))</formula>
    </cfRule>
    <cfRule type="containsText" dxfId="141" priority="16" operator="containsText" text="Excellence">
      <formula>NOT(ISERROR(SEARCH("Excellence",I1)))</formula>
    </cfRule>
    <cfRule type="containsText" dxfId="140" priority="17" operator="containsText" text="Worlds Team">
      <formula>NOT(ISERROR(SEARCH("Worlds Team",I1)))</formula>
    </cfRule>
    <cfRule type="containsText" dxfId="139" priority="18" operator="containsText" text="National Team">
      <formula>NOT(ISERROR(SEARCH("National Team",I1)))</formula>
    </cfRule>
  </conditionalFormatting>
  <conditionalFormatting sqref="LP1:LP1048576 KT1:KT1048576 JX1:JX1048576 JB1:JB1048576 IF1:IF1048576 HJ1:HJ1048576 GN1:GN1048576 FR1:FR1048576 EV1:EV1048576 DZ1:DZ1048576 DD1:DD1048576 CH1:CH1048576">
    <cfRule type="cellIs" dxfId="138" priority="19555" operator="between">
      <formula>CI$17</formula>
      <formula>100</formula>
    </cfRule>
    <cfRule type="cellIs" dxfId="137" priority="19556" operator="between">
      <formula>CI$16</formula>
      <formula>CI$17</formula>
    </cfRule>
  </conditionalFormatting>
  <conditionalFormatting sqref="LS1:LS1048576 KW1:KW1048576 KA1:KA1048576 JE1:JE1048576 II1:II1048576 HM1:HM1048576 GQ1:GQ1048576 FU1:FU1048576 EY1:EY1048576 EC1:EC1048576 DG1:DG1048576 CK1:CK1048576">
    <cfRule type="cellIs" dxfId="136" priority="19627" operator="between">
      <formula>CI$21</formula>
      <formula>1000</formula>
    </cfRule>
    <cfRule type="cellIs" dxfId="135" priority="19628" operator="between">
      <formula>CI$20</formula>
      <formula>CI$21</formula>
    </cfRule>
    <cfRule type="cellIs" dxfId="134" priority="19629" operator="between">
      <formula>CI$19</formula>
      <formula>CI$20</formula>
    </cfRule>
    <cfRule type="cellIs" dxfId="133" priority="19630" operator="between">
      <formula>CI$18</formula>
      <formula>CI$19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32" priority="19771">
      <formula>IF(AND(CL1&gt;=CI$17,CL1&lt;100),1,0)</formula>
    </cfRule>
    <cfRule type="expression" dxfId="131" priority="19772">
      <formula>IF(AND(CL1&gt;=CI$16,CL1&lt;CI$17),1,0)</formula>
    </cfRule>
  </conditionalFormatting>
  <conditionalFormatting sqref="BH1:BH1048576 AK1:AK1048576">
    <cfRule type="expression" dxfId="130" priority="19843">
      <formula>IF(AND(AK1&gt;=AL$17,AK1&lt;1000,AJ1=""),1,0)</formula>
    </cfRule>
    <cfRule type="expression" dxfId="129" priority="19844">
      <formula>IF(AND(AK1&gt;=AL$16,AK1&lt;AL$17,AJ1=""),1,0)</formula>
    </cfRule>
  </conditionalFormatting>
  <conditionalFormatting sqref="AN1:AN1048576 BK1:BK1048576">
    <cfRule type="expression" dxfId="128" priority="19855">
      <formula>IF(AND(AN1&gt;=AL$21,AN1&lt;1000,AJ1=""),1,0)</formula>
    </cfRule>
    <cfRule type="expression" dxfId="127" priority="19856">
      <formula>IF(AND(AN1&gt;=AL$20,AN1&lt;AL$21,AJ1=""),1,0)</formula>
    </cfRule>
    <cfRule type="expression" dxfId="126" priority="19857">
      <formula>IF(AND(AN1&gt;=AL$19,AN1&lt;AL$20,AJ1=""),1,0)</formula>
    </cfRule>
    <cfRule type="expression" dxfId="125" priority="19858">
      <formula>IF(AND(AN1&gt;=AL$18,AN1&lt;AL$19,AJ1=""),1,0)</formula>
    </cfRule>
  </conditionalFormatting>
  <conditionalFormatting sqref="AO1:AO1048576 BL1:BL1048576">
    <cfRule type="expression" dxfId="124" priority="19879">
      <formula>IF(AND(AO1&gt;=AL$17,AO1&lt;100,AJ1=""),1,0)</formula>
    </cfRule>
    <cfRule type="expression" dxfId="123" priority="19880">
      <formula>IF(AND(AO1&gt;=AL$16,AO1&lt;AL$17,AJ1=""),1,0)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S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98</v>
      </c>
      <c r="E1" s="124" t="s">
        <v>2</v>
      </c>
      <c r="F1" s="125" t="s">
        <v>82</v>
      </c>
      <c r="G1" s="125" t="s">
        <v>81</v>
      </c>
      <c r="H1" s="124" t="s">
        <v>15</v>
      </c>
      <c r="I1" s="124" t="s">
        <v>16</v>
      </c>
      <c r="J1" s="126" t="s">
        <v>17</v>
      </c>
      <c r="K1" s="126" t="s">
        <v>59</v>
      </c>
      <c r="L1" s="126" t="s">
        <v>18</v>
      </c>
      <c r="M1" s="126" t="s">
        <v>59</v>
      </c>
      <c r="N1" s="126" t="s">
        <v>19</v>
      </c>
      <c r="O1" s="126" t="s">
        <v>59</v>
      </c>
      <c r="P1" s="126" t="s">
        <v>20</v>
      </c>
      <c r="Q1" s="126" t="s">
        <v>59</v>
      </c>
      <c r="R1" s="127" t="s">
        <v>21</v>
      </c>
      <c r="S1" s="126" t="s">
        <v>60</v>
      </c>
      <c r="T1" s="126" t="s">
        <v>59</v>
      </c>
      <c r="U1" s="120" t="s">
        <v>138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156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129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135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173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181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184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190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/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/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133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80"/>
      <c r="AK2" s="20" t="s">
        <v>120</v>
      </c>
      <c r="AL2" s="10" t="s">
        <v>28</v>
      </c>
      <c r="AM2" s="10" t="s">
        <v>29</v>
      </c>
      <c r="AN2" s="10" t="s">
        <v>31</v>
      </c>
      <c r="AO2" s="10" t="s">
        <v>152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81"/>
      <c r="BH2" s="19" t="s">
        <v>120</v>
      </c>
      <c r="BI2" s="13" t="s">
        <v>28</v>
      </c>
      <c r="BJ2" s="13" t="s">
        <v>29</v>
      </c>
      <c r="BK2" s="13" t="s">
        <v>31</v>
      </c>
      <c r="BL2" s="13" t="s">
        <v>152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60" t="s">
        <v>120</v>
      </c>
      <c r="CI2" s="10" t="s">
        <v>28</v>
      </c>
      <c r="CJ2" s="10" t="s">
        <v>29</v>
      </c>
      <c r="CK2" s="10" t="s">
        <v>31</v>
      </c>
      <c r="CL2" s="10" t="s">
        <v>152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59" t="s">
        <v>120</v>
      </c>
      <c r="DE2" s="13" t="s">
        <v>28</v>
      </c>
      <c r="DF2" s="13" t="s">
        <v>29</v>
      </c>
      <c r="DG2" s="13" t="s">
        <v>31</v>
      </c>
      <c r="DH2" s="13" t="s">
        <v>152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60" t="s">
        <v>120</v>
      </c>
      <c r="EA2" s="10" t="s">
        <v>28</v>
      </c>
      <c r="EB2" s="10" t="s">
        <v>29</v>
      </c>
      <c r="EC2" s="10" t="s">
        <v>31</v>
      </c>
      <c r="ED2" s="10" t="s">
        <v>152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59" t="s">
        <v>120</v>
      </c>
      <c r="EW2" s="13" t="s">
        <v>28</v>
      </c>
      <c r="EX2" s="13" t="s">
        <v>29</v>
      </c>
      <c r="EY2" s="13" t="s">
        <v>31</v>
      </c>
      <c r="EZ2" s="13" t="s">
        <v>152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23" t="s">
        <v>120</v>
      </c>
      <c r="FS2" s="10" t="s">
        <v>28</v>
      </c>
      <c r="FT2" s="10" t="s">
        <v>29</v>
      </c>
      <c r="FU2" s="10" t="s">
        <v>31</v>
      </c>
      <c r="FV2" s="10" t="s">
        <v>152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22" t="s">
        <v>120</v>
      </c>
      <c r="GO2" s="13" t="s">
        <v>28</v>
      </c>
      <c r="GP2" s="13" t="s">
        <v>29</v>
      </c>
      <c r="GQ2" s="13" t="s">
        <v>31</v>
      </c>
      <c r="GR2" s="13" t="s">
        <v>152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23" t="s">
        <v>120</v>
      </c>
      <c r="HK2" s="10" t="s">
        <v>28</v>
      </c>
      <c r="HL2" s="10" t="s">
        <v>29</v>
      </c>
      <c r="HM2" s="10" t="s">
        <v>31</v>
      </c>
      <c r="HN2" s="10" t="s">
        <v>152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22" t="s">
        <v>120</v>
      </c>
      <c r="IG2" s="13" t="s">
        <v>28</v>
      </c>
      <c r="IH2" s="13" t="s">
        <v>29</v>
      </c>
      <c r="II2" s="13" t="s">
        <v>31</v>
      </c>
      <c r="IJ2" s="13" t="s">
        <v>152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23" t="s">
        <v>120</v>
      </c>
      <c r="JC2" s="10" t="s">
        <v>28</v>
      </c>
      <c r="JD2" s="10" t="s">
        <v>29</v>
      </c>
      <c r="JE2" s="10" t="s">
        <v>31</v>
      </c>
      <c r="JF2" s="10" t="s">
        <v>152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22" t="s">
        <v>120</v>
      </c>
      <c r="JY2" s="13" t="s">
        <v>28</v>
      </c>
      <c r="JZ2" s="13" t="s">
        <v>29</v>
      </c>
      <c r="KA2" s="13" t="s">
        <v>31</v>
      </c>
      <c r="KB2" s="13" t="s">
        <v>152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23" t="s">
        <v>120</v>
      </c>
      <c r="KU2" s="10" t="s">
        <v>28</v>
      </c>
      <c r="KV2" s="10" t="s">
        <v>29</v>
      </c>
      <c r="KW2" s="10" t="s">
        <v>31</v>
      </c>
      <c r="KX2" s="10" t="s">
        <v>152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22" t="s">
        <v>120</v>
      </c>
      <c r="LQ2" s="13" t="s">
        <v>28</v>
      </c>
      <c r="LR2" s="13" t="s">
        <v>29</v>
      </c>
      <c r="LS2" s="13" t="s">
        <v>31</v>
      </c>
      <c r="LT2" s="13" t="s">
        <v>152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120</v>
      </c>
      <c r="MN2" s="10" t="s">
        <v>28</v>
      </c>
      <c r="MO2" s="10" t="s">
        <v>29</v>
      </c>
      <c r="MP2" s="10" t="s">
        <v>31</v>
      </c>
      <c r="MQ2" s="10" t="s">
        <v>152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31" t="s">
        <v>22</v>
      </c>
      <c r="V3" s="31" t="s">
        <v>23</v>
      </c>
      <c r="W3" s="31" t="s">
        <v>14</v>
      </c>
      <c r="X3" s="31" t="s">
        <v>57</v>
      </c>
      <c r="Y3" s="48" t="s">
        <v>45</v>
      </c>
      <c r="Z3" s="31" t="s">
        <v>22</v>
      </c>
      <c r="AA3" s="31" t="s">
        <v>23</v>
      </c>
      <c r="AB3" s="31" t="s">
        <v>14</v>
      </c>
      <c r="AC3" s="31" t="s">
        <v>57</v>
      </c>
      <c r="AD3" s="48" t="s">
        <v>45</v>
      </c>
      <c r="AE3" s="31" t="s">
        <v>22</v>
      </c>
      <c r="AF3" s="31" t="s">
        <v>23</v>
      </c>
      <c r="AG3" s="31" t="s">
        <v>14</v>
      </c>
      <c r="AH3" s="31" t="s">
        <v>57</v>
      </c>
      <c r="AI3" s="48" t="s">
        <v>45</v>
      </c>
      <c r="AJ3" s="80" t="s">
        <v>95</v>
      </c>
      <c r="AK3" s="11"/>
      <c r="AL3" s="10"/>
      <c r="AM3" s="10"/>
      <c r="AN3" s="10"/>
      <c r="AO3" s="10"/>
      <c r="AP3" s="11"/>
      <c r="AQ3" s="11"/>
      <c r="AR3" s="30" t="s">
        <v>22</v>
      </c>
      <c r="AS3" s="30" t="s">
        <v>23</v>
      </c>
      <c r="AT3" s="30" t="s">
        <v>14</v>
      </c>
      <c r="AU3" s="30" t="s">
        <v>57</v>
      </c>
      <c r="AV3" s="49" t="s">
        <v>45</v>
      </c>
      <c r="AW3" s="30" t="s">
        <v>22</v>
      </c>
      <c r="AX3" s="30" t="s">
        <v>23</v>
      </c>
      <c r="AY3" s="30" t="s">
        <v>14</v>
      </c>
      <c r="AZ3" s="30" t="s">
        <v>57</v>
      </c>
      <c r="BA3" s="49" t="s">
        <v>45</v>
      </c>
      <c r="BB3" s="30" t="s">
        <v>22</v>
      </c>
      <c r="BC3" s="30" t="s">
        <v>23</v>
      </c>
      <c r="BD3" s="30" t="s">
        <v>14</v>
      </c>
      <c r="BE3" s="30" t="s">
        <v>57</v>
      </c>
      <c r="BF3" s="49" t="s">
        <v>45</v>
      </c>
      <c r="BG3" s="81" t="s">
        <v>95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3" t="s">
        <v>57</v>
      </c>
      <c r="BW3" s="63" t="s">
        <v>45</v>
      </c>
      <c r="BX3" s="60" t="s">
        <v>22</v>
      </c>
      <c r="BY3" s="60" t="s">
        <v>23</v>
      </c>
      <c r="BZ3" s="60" t="s">
        <v>14</v>
      </c>
      <c r="CA3" s="63" t="s">
        <v>57</v>
      </c>
      <c r="CB3" s="63" t="s">
        <v>45</v>
      </c>
      <c r="CC3" s="60" t="s">
        <v>22</v>
      </c>
      <c r="CD3" s="60" t="s">
        <v>23</v>
      </c>
      <c r="CE3" s="60" t="s">
        <v>14</v>
      </c>
      <c r="CF3" s="63" t="s">
        <v>57</v>
      </c>
      <c r="CG3" s="63" t="s">
        <v>45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57</v>
      </c>
      <c r="CS3" s="59" t="s">
        <v>45</v>
      </c>
      <c r="CT3" s="59" t="s">
        <v>22</v>
      </c>
      <c r="CU3" s="59" t="s">
        <v>23</v>
      </c>
      <c r="CV3" s="59" t="s">
        <v>14</v>
      </c>
      <c r="CW3" s="59" t="s">
        <v>57</v>
      </c>
      <c r="CX3" s="59" t="s">
        <v>45</v>
      </c>
      <c r="CY3" s="59" t="s">
        <v>22</v>
      </c>
      <c r="CZ3" s="59" t="s">
        <v>23</v>
      </c>
      <c r="DA3" s="59" t="s">
        <v>14</v>
      </c>
      <c r="DB3" s="59" t="s">
        <v>57</v>
      </c>
      <c r="DC3" s="59" t="s">
        <v>45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3" t="s">
        <v>57</v>
      </c>
      <c r="DO3" s="63" t="s">
        <v>45</v>
      </c>
      <c r="DP3" s="60" t="s">
        <v>22</v>
      </c>
      <c r="DQ3" s="60" t="s">
        <v>23</v>
      </c>
      <c r="DR3" s="60" t="s">
        <v>14</v>
      </c>
      <c r="DS3" s="63" t="s">
        <v>57</v>
      </c>
      <c r="DT3" s="63" t="s">
        <v>45</v>
      </c>
      <c r="DU3" s="60" t="s">
        <v>22</v>
      </c>
      <c r="DV3" s="60" t="s">
        <v>23</v>
      </c>
      <c r="DW3" s="60" t="s">
        <v>14</v>
      </c>
      <c r="DX3" s="63" t="s">
        <v>57</v>
      </c>
      <c r="DY3" s="63" t="s">
        <v>45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57</v>
      </c>
      <c r="EK3" s="59" t="s">
        <v>45</v>
      </c>
      <c r="EL3" s="59" t="s">
        <v>22</v>
      </c>
      <c r="EM3" s="59" t="s">
        <v>23</v>
      </c>
      <c r="EN3" s="59" t="s">
        <v>14</v>
      </c>
      <c r="EO3" s="59" t="s">
        <v>57</v>
      </c>
      <c r="EP3" s="59" t="s">
        <v>45</v>
      </c>
      <c r="EQ3" s="59" t="s">
        <v>22</v>
      </c>
      <c r="ER3" s="59" t="s">
        <v>23</v>
      </c>
      <c r="ES3" s="59" t="s">
        <v>14</v>
      </c>
      <c r="ET3" s="59" t="s">
        <v>57</v>
      </c>
      <c r="EU3" s="59" t="s">
        <v>45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4" t="s">
        <v>57</v>
      </c>
      <c r="FG3" s="50" t="s">
        <v>45</v>
      </c>
      <c r="FH3" s="31" t="s">
        <v>22</v>
      </c>
      <c r="FI3" s="31" t="s">
        <v>23</v>
      </c>
      <c r="FJ3" s="31" t="s">
        <v>14</v>
      </c>
      <c r="FK3" s="34" t="s">
        <v>57</v>
      </c>
      <c r="FL3" s="50" t="s">
        <v>45</v>
      </c>
      <c r="FM3" s="31" t="s">
        <v>22</v>
      </c>
      <c r="FN3" s="31" t="s">
        <v>23</v>
      </c>
      <c r="FO3" s="31" t="s">
        <v>14</v>
      </c>
      <c r="FP3" s="34" t="s">
        <v>57</v>
      </c>
      <c r="FQ3" s="50" t="s">
        <v>45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0" t="s">
        <v>57</v>
      </c>
      <c r="GC3" s="49" t="s">
        <v>45</v>
      </c>
      <c r="GD3" s="30" t="s">
        <v>22</v>
      </c>
      <c r="GE3" s="30" t="s">
        <v>23</v>
      </c>
      <c r="GF3" s="30" t="s">
        <v>14</v>
      </c>
      <c r="GG3" s="30" t="s">
        <v>57</v>
      </c>
      <c r="GH3" s="49" t="s">
        <v>45</v>
      </c>
      <c r="GI3" s="30" t="s">
        <v>22</v>
      </c>
      <c r="GJ3" s="30" t="s">
        <v>23</v>
      </c>
      <c r="GK3" s="30" t="s">
        <v>14</v>
      </c>
      <c r="GL3" s="30" t="s">
        <v>57</v>
      </c>
      <c r="GM3" s="49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4" t="s">
        <v>57</v>
      </c>
      <c r="GY3" s="50" t="s">
        <v>45</v>
      </c>
      <c r="GZ3" s="31" t="s">
        <v>22</v>
      </c>
      <c r="HA3" s="31" t="s">
        <v>23</v>
      </c>
      <c r="HB3" s="31" t="s">
        <v>14</v>
      </c>
      <c r="HC3" s="34" t="s">
        <v>57</v>
      </c>
      <c r="HD3" s="50" t="s">
        <v>45</v>
      </c>
      <c r="HE3" s="31" t="s">
        <v>22</v>
      </c>
      <c r="HF3" s="31" t="s">
        <v>23</v>
      </c>
      <c r="HG3" s="31" t="s">
        <v>14</v>
      </c>
      <c r="HH3" s="34" t="s">
        <v>57</v>
      </c>
      <c r="HI3" s="50" t="s">
        <v>45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0" t="s">
        <v>57</v>
      </c>
      <c r="HU3" s="49" t="s">
        <v>45</v>
      </c>
      <c r="HV3" s="30" t="s">
        <v>22</v>
      </c>
      <c r="HW3" s="30" t="s">
        <v>23</v>
      </c>
      <c r="HX3" s="30" t="s">
        <v>14</v>
      </c>
      <c r="HY3" s="30" t="s">
        <v>57</v>
      </c>
      <c r="HZ3" s="49" t="s">
        <v>45</v>
      </c>
      <c r="IA3" s="30" t="s">
        <v>22</v>
      </c>
      <c r="IB3" s="30" t="s">
        <v>23</v>
      </c>
      <c r="IC3" s="30" t="s">
        <v>14</v>
      </c>
      <c r="ID3" s="30" t="s">
        <v>57</v>
      </c>
      <c r="IE3" s="49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4" t="s">
        <v>57</v>
      </c>
      <c r="IQ3" s="50" t="s">
        <v>45</v>
      </c>
      <c r="IR3" s="31" t="s">
        <v>22</v>
      </c>
      <c r="IS3" s="31" t="s">
        <v>23</v>
      </c>
      <c r="IT3" s="31" t="s">
        <v>14</v>
      </c>
      <c r="IU3" s="34" t="s">
        <v>57</v>
      </c>
      <c r="IV3" s="50" t="s">
        <v>45</v>
      </c>
      <c r="IW3" s="31" t="s">
        <v>22</v>
      </c>
      <c r="IX3" s="31" t="s">
        <v>23</v>
      </c>
      <c r="IY3" s="31" t="s">
        <v>14</v>
      </c>
      <c r="IZ3" s="34" t="s">
        <v>57</v>
      </c>
      <c r="JA3" s="50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57</v>
      </c>
      <c r="JM3" s="49" t="s">
        <v>45</v>
      </c>
      <c r="JN3" s="30" t="s">
        <v>22</v>
      </c>
      <c r="JO3" s="30" t="s">
        <v>23</v>
      </c>
      <c r="JP3" s="30" t="s">
        <v>14</v>
      </c>
      <c r="JQ3" s="30" t="s">
        <v>57</v>
      </c>
      <c r="JR3" s="49" t="s">
        <v>45</v>
      </c>
      <c r="JS3" s="30" t="s">
        <v>22</v>
      </c>
      <c r="JT3" s="30" t="s">
        <v>23</v>
      </c>
      <c r="JU3" s="30" t="s">
        <v>14</v>
      </c>
      <c r="JV3" s="30" t="s">
        <v>57</v>
      </c>
      <c r="JW3" s="49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4" t="s">
        <v>57</v>
      </c>
      <c r="KI3" s="50" t="s">
        <v>45</v>
      </c>
      <c r="KJ3" s="31" t="s">
        <v>22</v>
      </c>
      <c r="KK3" s="31" t="s">
        <v>23</v>
      </c>
      <c r="KL3" s="31" t="s">
        <v>14</v>
      </c>
      <c r="KM3" s="34" t="s">
        <v>57</v>
      </c>
      <c r="KN3" s="50" t="s">
        <v>45</v>
      </c>
      <c r="KO3" s="31" t="s">
        <v>22</v>
      </c>
      <c r="KP3" s="31" t="s">
        <v>23</v>
      </c>
      <c r="KQ3" s="31" t="s">
        <v>14</v>
      </c>
      <c r="KR3" s="34" t="s">
        <v>57</v>
      </c>
      <c r="KS3" s="50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57</v>
      </c>
      <c r="LE3" s="49" t="s">
        <v>45</v>
      </c>
      <c r="LF3" s="30" t="s">
        <v>22</v>
      </c>
      <c r="LG3" s="30" t="s">
        <v>23</v>
      </c>
      <c r="LH3" s="30" t="s">
        <v>14</v>
      </c>
      <c r="LI3" s="30" t="s">
        <v>57</v>
      </c>
      <c r="LJ3" s="49" t="s">
        <v>45</v>
      </c>
      <c r="LK3" s="30" t="s">
        <v>22</v>
      </c>
      <c r="LL3" s="30" t="s">
        <v>23</v>
      </c>
      <c r="LM3" s="30" t="s">
        <v>14</v>
      </c>
      <c r="LN3" s="30" t="s">
        <v>57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95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 t="str">
        <f>IF(AND(F4="P",H4="P"),SUMPRODUCT((F$4:F$14="P")*(H$4:H$14="P")*(E$4:E$14&gt;E4))+1,IF(H4="P",SUMPRODUCT((F$4:F$14="")*(H$4:H$14="P")*(E$4:E$14&gt;E4))+1+SUMPRODUCT((F$4:F$14="P")*(H$4:H$14="P")),""))</f>
        <v/>
      </c>
      <c r="B4" s="9" t="s">
        <v>58</v>
      </c>
      <c r="C4" s="5" t="s">
        <v>10</v>
      </c>
      <c r="D4" s="29" t="s">
        <v>101</v>
      </c>
      <c r="E4" s="16">
        <f>SUM(J4:R4)</f>
        <v>167.05500000000001</v>
      </c>
      <c r="F4" s="4" t="str">
        <f>IF(OR(AND($AK4&gt;=$AL$16,NOT($AK4=""),$AJ4=""),AND($BH4&gt;=$BI$16,NOT($BH4=""),$BG4=""),AND($CH4&gt;=$CI$16,NOT($CH4="")),AND($DD4&gt;=$DE$16,NOT($DD4="")),AND($DZ4&gt;=$EA$16,NOT($DZ4="")),AND($EV4&gt;=$EW$16,NOT($EV4="")),AND($FR4&gt;=$FS$16,NOT($FR4="")),AND($GN4&gt;=$GO$16,NOT($GN4="")),AND($HJ4&gt;=$HK$16,NOT($HJ4="")),AND($IF4&gt;=$IG$16,NOT($IF4="")),AND($JB4&gt;=$JC$16,NOT($JB4="")),AND($JX4&gt;=$JY$16,NOT($JX4="")),AND($KT4&gt;=$KU$16,NOT($KT4="")),AND($LP4&gt;=$LQ$16,NOT($LP4="")),AND($AO4&gt;=$AL$16,NOT($AO4=""),$AJ4=""),AND($BL4&gt;=$BI$16,NOT($BL4=""),$BG4=""),AND($CL4&gt;=$CI$16,NOT($CL4="")),AND($DH4&gt;=$DE$16,NOT($DH4="")),AND($ED4&gt;=$EA$16,NOT($ED4="")),AND($EZ4&gt;=$EW$16,NOT($EZ4="")),AND($FV4&gt;=$FS$16,NOT($FV4="")),AND($GR4&gt;=$GO$16,NOT($GR4="")),AND($HN4&gt;=$HK$16,NOT($HN4="")),AND($IJ4&gt;=$IG$16,NOT($IJ4="")),AND($JF4&gt;=$JC$16,NOT($JF4="")),AND($KB4&gt;=$JY$16,NOT($KB4="")),AND($KX4&gt;=$KU$16,NOT($KX4="")),AND($LT4&gt;=$LQ$16,NOT($LT4=""))),"P","")</f>
        <v>P</v>
      </c>
      <c r="G4" s="4" t="str">
        <f>IF(OR(AND($AK4&gt;=$AL$17,NOT($AK4=""),$AJ4=""),AND($BH4&gt;=$BI$17,NOT($BH4=""),$BG4=""),AND($CH4&gt;=$CI$17,NOT($CH4="")),AND($DD4&gt;=$DE$17,NOT($DD4="")),AND($DZ4&gt;=$EA$17,NOT($DZ4="")),AND($EV4&gt;=$EW$17,NOT($EV4="")),AND($FR4&gt;=$FS$17,NOT($FR4="")),AND($GN4&gt;=$GO$17,NOT($GN4="")),AND($HJ4&gt;=$HK$17,NOT($HJ4="")),AND($IF4&gt;=$IG$17,NOT($IF4="")),AND($JB4&gt;=$JC$17,NOT($JB4="")),AND($JX4&gt;=$JY$17,NOT($JX4="")),AND($KT4&gt;=$KU$17,NOT($KT4="")),AND($LP4&gt;=$LQ$17,NOT($LP4="")),AND($AO4&gt;=$AL$17,NOT($AO4=""),$AJ4=""),AND($BL4&gt;=$BI$17,NOT($BL4=""),$BG4=""),AND($CL4&gt;=$CI$17,NOT($CL4="")),AND($DH4&gt;=$DE$17,NOT($DH4="")),AND($ED4&gt;=$EA$17,NOT($ED4="")),AND($EZ4&gt;=$EW$17,NOT($EZ4="")),AND($FV4&gt;=$FS$17,NOT($FV4="")),AND($GR4&gt;=$GO$17,NOT($GR4="")),AND($HN4&gt;=$HK$17,NOT($HN4="")),AND($IJ4&gt;=$IG$17,NOT($IJ4="")),AND($JF4&gt;=$JC$17,NOT($JF4="")),AND($KB4&gt;=$JY$17,NOT($KB4="")),AND($KX4&gt;=$KU$17,NOT($KX4="")),AND($LT4&gt;=$LQ$17,NOT($LT4=""))),"P","")</f>
        <v/>
      </c>
      <c r="H4" s="4" t="str">
        <f>IF(OR(AND($AN4&gt;=$AL$18,NOT($AN4=""),$AJ4=""),AND($BK4&gt;=$BI$18,NOT($BK4=""),$BG4=""),AND($CK4&gt;=$CI$18,NOT($CK4="")),AND($DG4&gt;=$DE$18,NOT($DG4="")),AND($EC4&gt;=$EA$18,NOT($EC4="")),AND($EY4&gt;=$EW$18,NOT($EY4="")),AND($FU4&gt;=$FS$18,NOT($FU4="")),AND($GQ4&gt;=$GO$18,NOT($GQ4="")),AND($HM4&gt;=$HK$18,NOT($HM4="")),AND($II4&gt;=$IG$18,NOT($II4="")),AND($JE4&gt;=$JC$18,NOT($JE4="")),AND($KA4&gt;=$JY$18,NOT($KA4="")),AND($KW4&gt;=$KU$18,NOT($KW4="")),AND($LS4&gt;=$LQ$18,NOT($LS4=""))),"P","")</f>
        <v/>
      </c>
      <c r="I4" t="str">
        <f>IF(AND(H4="P",F4=""),"No DD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Merit",IF(AND(G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Excellence",IF(AND(G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Worlds Team",IF(AND(F4="P",OR(AND($AN4&gt;$AL$18,NOT($AN4=""),$AJ4=""),AND($BK4&gt;$BI$18,NOT($BK4=""),$BG4=""),AND($CK4&gt;$CI$18,NOT($CK4="")),AND($DG4&gt;$DE$18,NOT($DG4="")),AND($EC4&gt;$EA$18,NOT($EC4="")),AND($EY4&gt;$EW$18,NOT($EY4="")),AND($FU4&gt;$FS$18,NOT($FU4="")),AND($GQ4&gt;$GO$18,NOT($GQ4="")),AND($HM4&gt;$HK$18,NOT($HM4="")),AND($II4&gt;$IG$18,NOT($II4="")),AND($JE4&gt;$JC$18,NOT($JE4="")),AND($KA4&gt;$JY$18,NOT($KA4="")),AND($KW4&gt;$KU$18,NOT($KW4="")),AND($LS4&gt;$LQ$18,NOT($LS4="")))),"National Team","")))))</f>
        <v/>
      </c>
      <c r="J4" s="15">
        <f>IF(MAX(AN4,BK4)&gt;0,MAX(AN4,BK4),"")</f>
        <v>83.522500000000008</v>
      </c>
      <c r="K4" s="15" t="str">
        <f>IF(J4="","",IF(J4=BK4,$AR$1,IF(J4=AN4,$U$1,"")))</f>
        <v>2019 Elite Canada</v>
      </c>
      <c r="L4" s="15" t="str">
        <f>IF($J4=$AN4,BI4,IF($J4=$BK4,AL4,MAX(AL4,BI4)))</f>
        <v/>
      </c>
      <c r="M4" s="15" t="str">
        <f>IF(L4="","",IF(AND(L4=BI4,$K4&lt;&gt;$AR$1),$AR$1,IF(AND(L4=AL4,$K4&lt;&gt;$U$1),$U$1,"")))</f>
        <v/>
      </c>
      <c r="N4" s="15" t="str">
        <f>IF($J4=$AN4,BJ4,IF($J4=$BK4,AM4,MAX(AM4,BJ4)))</f>
        <v/>
      </c>
      <c r="O4" s="15" t="str">
        <f>IF(N4="","",IF(AND(N4=BJ4,$K4&lt;&gt;$AR$1),$AR$1,IF(AND(N4=AM4,$K4&lt;&gt;$U$1),$U$1,"")))</f>
        <v/>
      </c>
      <c r="P4" s="15">
        <f>IF(MAX(AP4,BM4)&gt;0,MAX(AP4,BM4),"")</f>
        <v>44.472500000000004</v>
      </c>
      <c r="Q4" s="15" t="str">
        <f>IF(P4="","",IF(P4=BM4,$AR$1,IF(P4=AP4,$U$1,"")))</f>
        <v>2019 Elite Canada</v>
      </c>
      <c r="R4" s="15">
        <f>IF(MAX(BO4,BP4,BQ4,BR4)&gt;0,MAX(BO4,BP4,BQ4,BR4),"")</f>
        <v>39.06</v>
      </c>
      <c r="S4" s="27" t="str">
        <f>IF(R4="","",IF(R4=BO4,"(Vol 1)",IF(R4=BP4,"(Vol 2)",IF(R4=BQ4,"(Prelim)",IF(R4=BR4,"(Final)")))))</f>
        <v>(Vol 1)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World Championships (Nov 30)</v>
      </c>
      <c r="U4" s="39">
        <v>9.2749999999999986</v>
      </c>
      <c r="V4" s="39">
        <v>9.5500000000000007</v>
      </c>
      <c r="W4" s="39">
        <v>3.4</v>
      </c>
      <c r="X4" s="39">
        <v>16.71</v>
      </c>
      <c r="Y4" s="39">
        <v>0</v>
      </c>
      <c r="Z4" s="39">
        <v>8.3874999999999993</v>
      </c>
      <c r="AA4" s="39">
        <v>9.1</v>
      </c>
      <c r="AB4" s="39">
        <v>11.6</v>
      </c>
      <c r="AC4" s="39">
        <v>15.5</v>
      </c>
      <c r="AD4" s="39">
        <v>0</v>
      </c>
      <c r="AE4" s="39">
        <v>8.6125000000000007</v>
      </c>
      <c r="AF4" s="39">
        <v>9.4</v>
      </c>
      <c r="AG4" s="39">
        <v>11.6</v>
      </c>
      <c r="AH4" s="39">
        <v>14.86</v>
      </c>
      <c r="AI4" s="39">
        <v>0</v>
      </c>
      <c r="AJ4" s="82" t="s">
        <v>96</v>
      </c>
      <c r="AK4" s="12">
        <f>IF(AB4&gt;0,AB4,"")</f>
        <v>11.6</v>
      </c>
      <c r="AL4" s="12">
        <f>IF(SUM(U4:X4)-Y4&gt;0,SUM(U4:X4)-Y4,"")</f>
        <v>38.935000000000002</v>
      </c>
      <c r="AM4" s="12">
        <f>IF(SUM(Z4:AC4)-AD4&gt;0,SUM(Z4:AC4)-AD4,"")</f>
        <v>44.587499999999999</v>
      </c>
      <c r="AN4" s="12">
        <f>IF(SUM(AL4:AM4)&gt;0,SUM(AL4:AM4),"")</f>
        <v>83.522500000000008</v>
      </c>
      <c r="AO4" s="12">
        <f>IF(AG4&gt;0,AG4,"")</f>
        <v>11.6</v>
      </c>
      <c r="AP4" s="12">
        <f>IF(SUM(AE4:AH4)-AI4&gt;0,SUM(AE4:AH4)-AI4,"")</f>
        <v>44.472500000000004</v>
      </c>
      <c r="AQ4" s="12">
        <f>IF(SUM(AN4,AP4)&gt;0,SUM(AN4,AP4),"")</f>
        <v>127.995</v>
      </c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83"/>
      <c r="BH4" s="15" t="str">
        <f>IF(AY4&gt;0,AY4,"")</f>
        <v/>
      </c>
      <c r="BI4" s="15" t="str">
        <f>IF(SUM(AR4:AU4)-AV4&gt;0,SUM(AR4:AU4)-AV4,"")</f>
        <v/>
      </c>
      <c r="BJ4" s="15" t="str">
        <f>IF(SUM(AW4:AZ4)-BA4&gt;0,SUM(AW4:AZ4)-BA4,"")</f>
        <v/>
      </c>
      <c r="BK4" s="15" t="str">
        <f>IF(SUM(BI4:BJ4)&gt;0,SUM(BI4:BJ4),"")</f>
        <v/>
      </c>
      <c r="BL4" s="15" t="str">
        <f>IF(BD4&gt;0,BD4,"")</f>
        <v/>
      </c>
      <c r="BM4" s="15" t="str">
        <f>IF(SUM(BB4:BE4)-BF4&gt;0,SUM(BB4:BE4)-BF4,"")</f>
        <v/>
      </c>
      <c r="BN4" s="15" t="str">
        <f>IF(SUM(BK4,BM4)&gt;0,SUM(BK4,BM4),"")</f>
        <v/>
      </c>
      <c r="BO4" s="26">
        <f>IF(MAX(CI4,DE4,EA4,EW4,FS4,GO4,HK4,IG4,JC4,JY4,KU4,LQ4)-IF(L4="",0,L4)&gt;0.001,MAX(CI4,DE4,EA4,EW4,FS4,GO4,HK4,IG4,JC4,JY4,KU4,LQ4)-IF(L4="",0,L4),"")</f>
        <v>39.06</v>
      </c>
      <c r="BP4" s="26">
        <f>IF(MAX(CJ4,DF4,EB4,EX4,FT4,GP4,HL4,IH4,JD4,JZ4,KV4,LR4)-IF(N4="",0,N4)&gt;0.001,MAX(CJ4,DF4,EB4,EX4,FT4,GP4,HL4,IH4,JD4,JZ4,KV4,LR4)-IF(N4="",0,N4),"")</f>
        <v>38.58</v>
      </c>
      <c r="BQ4" s="26" t="str">
        <f>IF(MAX(CK4,DG4,EC4,EY4,FU4,GQ4,HM4,II4,JE4,KA4,KW4,LS4)-IF(J4="",0,J4)&gt;0.001,MAX(CK4,DG4,EC4,EY4,FU4,GQ4,HM4,II4,JE4,KA4,KW4,LS4)-IF(J4="",0,J4),"")</f>
        <v/>
      </c>
      <c r="BR4" s="26" t="str">
        <f>IF(MAX(CM4,DI4,EE4,FA4,FW4,GS4,HO4,IK4,JG4,KC4,KY4,LU4)-IF(P4="",0,P4)&gt;0.001,MAX(CM4,DI4,EE4,FA4,FW4,GS4,HO4,IK4,JG4,KC4,KY4,LU4)-IF(P4="",0,P4),"")</f>
        <v/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>IF(BZ4&gt;0,BZ4,"")</f>
        <v/>
      </c>
      <c r="CI4" s="12" t="str">
        <f>IF(SUM(BS4:BV4)-BW4&gt;0,SUM(BS4:BV4)-BW4,"")</f>
        <v/>
      </c>
      <c r="CJ4" s="12" t="str">
        <f>IF(SUM(BX4:CA4)-CB4&gt;0,SUM(BX4:CA4)-CB4,"")</f>
        <v/>
      </c>
      <c r="CK4" s="12" t="str">
        <f>IF(SUM(CI4:CJ4)&gt;0,SUM(CI4:CJ4),"")</f>
        <v/>
      </c>
      <c r="CL4" s="12" t="str">
        <f>IF(CE4&gt;0,CE4,"")</f>
        <v/>
      </c>
      <c r="CM4" s="12" t="str">
        <f>IF(SUM(CC4:CF4)-CG4&gt;0,SUM(CC4:CF4)-CG4,"")</f>
        <v/>
      </c>
      <c r="CN4" s="12" t="str">
        <f>IF(SUM(CK4,CM4)&gt;0,SUM(CK4,CM4),"")</f>
        <v/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9">
        <v>9.3000000000000007</v>
      </c>
      <c r="FD4" s="39">
        <v>9.6999999999999993</v>
      </c>
      <c r="FE4" s="39">
        <v>3.4</v>
      </c>
      <c r="FF4" s="39">
        <v>16.66</v>
      </c>
      <c r="FG4" s="39">
        <v>0</v>
      </c>
      <c r="FH4" s="39">
        <v>7.8</v>
      </c>
      <c r="FI4" s="39">
        <v>9.4</v>
      </c>
      <c r="FJ4" s="39">
        <v>11.6</v>
      </c>
      <c r="FK4" s="39">
        <v>9.7799999999999994</v>
      </c>
      <c r="FL4" s="39">
        <v>0</v>
      </c>
      <c r="FM4" s="39"/>
      <c r="FN4" s="39"/>
      <c r="FO4" s="39"/>
      <c r="FP4" s="39"/>
      <c r="FQ4" s="39"/>
      <c r="FR4" s="12">
        <f>IF(FJ4&gt;0,FJ4,"")</f>
        <v>11.6</v>
      </c>
      <c r="FS4" s="12">
        <f>IF(SUM(FC4:FF4)-FG4&gt;0,SUM(FC4:FF4)-FG4,"")</f>
        <v>39.06</v>
      </c>
      <c r="FT4" s="12">
        <f>IF(SUM(FH4:FK4)-FL4&gt;0,SUM(FH4:FK4)-FL4,"")</f>
        <v>38.58</v>
      </c>
      <c r="FU4" s="12">
        <f>IF(SUM(FS4:FT4)&gt;0,SUM(FS4:FT4),"")</f>
        <v>77.64</v>
      </c>
      <c r="FV4" s="12" t="str">
        <f>IF(FO4&gt;0,FO4,"")</f>
        <v/>
      </c>
      <c r="FW4" s="12" t="str">
        <f>IF(SUM(FM4:FP4)-FQ4&gt;0,SUM(FM4:FP4)-FQ4,"")</f>
        <v/>
      </c>
      <c r="FX4" s="12">
        <f>IF(SUM(FU4,FW4)&gt;0,SUM(FU4,FW4),"")</f>
        <v>77.64</v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MK4" si="0">IF($BG4="P",AR4,(U4+AR4)/2)</f>
        <v>4.6374999999999993</v>
      </c>
      <c r="LX4" s="71">
        <f t="shared" si="0"/>
        <v>4.7750000000000004</v>
      </c>
      <c r="LY4" s="71">
        <f t="shared" si="0"/>
        <v>1.7</v>
      </c>
      <c r="LZ4" s="71">
        <f t="shared" si="0"/>
        <v>8.3550000000000004</v>
      </c>
      <c r="MA4" s="71">
        <f t="shared" si="0"/>
        <v>0</v>
      </c>
      <c r="MB4" s="71">
        <f t="shared" si="0"/>
        <v>4.1937499999999996</v>
      </c>
      <c r="MC4" s="71">
        <f t="shared" si="0"/>
        <v>4.55</v>
      </c>
      <c r="MD4" s="71">
        <f t="shared" si="0"/>
        <v>5.8</v>
      </c>
      <c r="ME4" s="71">
        <f t="shared" si="0"/>
        <v>7.75</v>
      </c>
      <c r="MF4" s="71">
        <f t="shared" si="0"/>
        <v>0</v>
      </c>
      <c r="MG4" s="71">
        <f t="shared" si="0"/>
        <v>4.3062500000000004</v>
      </c>
      <c r="MH4" s="71">
        <f t="shared" si="0"/>
        <v>4.7</v>
      </c>
      <c r="MI4" s="71">
        <f t="shared" si="0"/>
        <v>5.8</v>
      </c>
      <c r="MJ4" s="71">
        <f t="shared" si="0"/>
        <v>7.43</v>
      </c>
      <c r="MK4" s="71">
        <f t="shared" si="0"/>
        <v>0</v>
      </c>
      <c r="ML4" s="82" t="s">
        <v>96</v>
      </c>
      <c r="MM4" s="12">
        <f t="shared" ref="MM4" si="1">IF(MD4&gt;0,MD4,"")</f>
        <v>5.8</v>
      </c>
      <c r="MN4" s="12">
        <f t="shared" ref="MN4:MN13" si="2">IF(SUM(LW4:LZ4)-MA4&gt;0,SUM(LW4:LZ4)-MA4,"")</f>
        <v>19.467500000000001</v>
      </c>
      <c r="MO4" s="12">
        <f t="shared" ref="MO4" si="3">IF(SUM(MB4:ME4)-MF4&gt;0,SUM(MB4:ME4)-MF4,"")</f>
        <v>22.293749999999999</v>
      </c>
      <c r="MP4" s="12">
        <f t="shared" ref="MP4" si="4">IF(SUM(MN4:MO4)&gt;0,SUM(MN4:MO4),"")</f>
        <v>41.761250000000004</v>
      </c>
      <c r="MQ4" s="12">
        <f>IF(MI4&gt;0,MI4,"")</f>
        <v>5.8</v>
      </c>
      <c r="MR4" s="12">
        <f t="shared" ref="MR4" si="5">IF(SUM(MG4:MJ4)-MK4&gt;0,SUM(MG4:MJ4)-MK4,"")</f>
        <v>22.236250000000002</v>
      </c>
      <c r="MS4" s="12">
        <f t="shared" ref="MS4" si="6">IF(SUM(MP4,MR4)&gt;0,SUM(MP4,MR4),"")</f>
        <v>63.997500000000002</v>
      </c>
    </row>
    <row r="5" spans="1:357" x14ac:dyDescent="0.2">
      <c r="A5" s="6">
        <f>IF(AND(F5="P",H5="P"),SUMPRODUCT((F$4:F$14="P")*(H$4:H$14="P")*(E$4:E$14&gt;E5))+1,IF(H5="P",SUMPRODUCT((F$4:F$14="")*(H$4:H$14="P")*(E$4:E$14&gt;E5))+1+SUMPRODUCT((F$4:F$14="P")*(H$4:H$14="P")),""))</f>
        <v>1</v>
      </c>
      <c r="B5" s="7" t="s">
        <v>162</v>
      </c>
      <c r="C5" s="8" t="s">
        <v>113</v>
      </c>
      <c r="D5" s="6" t="s">
        <v>163</v>
      </c>
      <c r="E5" s="16">
        <f>SUM(J5:R5)</f>
        <v>91.580000000000013</v>
      </c>
      <c r="F5" s="4" t="str">
        <f>IF(OR(AND($AK5&gt;=$AL$16,NOT($AK5=""),$AJ5=""),AND($BH5&gt;=$BI$16,NOT($BH5=""),$BG5=""),AND($CH5&gt;=$CI$16,NOT($CH5="")),AND($DD5&gt;=$DE$16,NOT($DD5="")),AND($DZ5&gt;=$EA$16,NOT($DZ5="")),AND($EV5&gt;=$EW$16,NOT($EV5="")),AND($FR5&gt;=$FS$16,NOT($FR5="")),AND($GN5&gt;=$GO$16,NOT($GN5="")),AND($HJ5&gt;=$HK$16,NOT($HJ5="")),AND($IF5&gt;=$IG$16,NOT($IF5="")),AND($JB5&gt;=$JC$16,NOT($JB5="")),AND($JX5&gt;=$JY$16,NOT($JX5="")),AND($KT5&gt;=$KU$16,NOT($KT5="")),AND($LP5&gt;=$LQ$16,NOT($LP5="")),AND($AO5&gt;=$AL$16,NOT($AO5=""),$AJ5=""),AND($BL5&gt;=$BI$16,NOT($BL5=""),$BG5=""),AND($CL5&gt;=$CI$16,NOT($CL5="")),AND($DH5&gt;=$DE$16,NOT($DH5="")),AND($ED5&gt;=$EA$16,NOT($ED5="")),AND($EZ5&gt;=$EW$16,NOT($EZ5="")),AND($FV5&gt;=$FS$16,NOT($FV5="")),AND($GR5&gt;=$GO$16,NOT($GR5="")),AND($HN5&gt;=$HK$16,NOT($HN5="")),AND($IJ5&gt;=$IG$16,NOT($IJ5="")),AND($JF5&gt;=$JC$16,NOT($JF5="")),AND($KB5&gt;=$JY$16,NOT($KB5="")),AND($KX5&gt;=$KU$16,NOT($KX5="")),AND($LT5&gt;=$LQ$16,NOT($LT5=""))),"P","")</f>
        <v>P</v>
      </c>
      <c r="G5" s="4" t="str">
        <f>IF(OR(AND($AK5&gt;=$AL$17,NOT($AK5=""),$AJ5=""),AND($BH5&gt;=$BI$17,NOT($BH5=""),$BG5=""),AND($CH5&gt;=$CI$17,NOT($CH5="")),AND($DD5&gt;=$DE$17,NOT($DD5="")),AND($DZ5&gt;=$EA$17,NOT($DZ5="")),AND($EV5&gt;=$EW$17,NOT($EV5="")),AND($FR5&gt;=$FS$17,NOT($FR5="")),AND($GN5&gt;=$GO$17,NOT($GN5="")),AND($HJ5&gt;=$HK$17,NOT($HJ5="")),AND($IF5&gt;=$IG$17,NOT($IF5="")),AND($JB5&gt;=$JC$17,NOT($JB5="")),AND($JX5&gt;=$JY$17,NOT($JX5="")),AND($KT5&gt;=$KU$17,NOT($KT5="")),AND($LP5&gt;=$LQ$17,NOT($LP5="")),AND($AO5&gt;=$AL$17,NOT($AO5=""),$AJ5=""),AND($BL5&gt;=$BI$17,NOT($BL5=""),$BG5=""),AND($CL5&gt;=$CI$17,NOT($CL5="")),AND($DH5&gt;=$DE$17,NOT($DH5="")),AND($ED5&gt;=$EA$17,NOT($ED5="")),AND($EZ5&gt;=$EW$17,NOT($EZ5="")),AND($FV5&gt;=$FS$17,NOT($FV5="")),AND($GR5&gt;=$GO$17,NOT($GR5="")),AND($HN5&gt;=$HK$17,NOT($HN5="")),AND($IJ5&gt;=$IG$17,NOT($IJ5="")),AND($JF5&gt;=$JC$17,NOT($JF5="")),AND($KB5&gt;=$JY$17,NOT($KB5="")),AND($KX5&gt;=$KU$17,NOT($KX5="")),AND($LT5&gt;=$LQ$17,NOT($LT5=""))),"P","")</f>
        <v/>
      </c>
      <c r="H5" s="4" t="str">
        <f>IF(OR(AND($AN5&gt;=$AL$18,NOT($AN5=""),$AJ5=""),AND($BK5&gt;=$BI$18,NOT($BK5=""),$BG5=""),AND($CK5&gt;=$CI$18,NOT($CK5="")),AND($DG5&gt;=$DE$18,NOT($DG5="")),AND($EC5&gt;=$EA$18,NOT($EC5="")),AND($EY5&gt;=$EW$18,NOT($EY5="")),AND($FU5&gt;=$FS$18,NOT($FU5="")),AND($GQ5&gt;=$GO$18,NOT($GQ5="")),AND($HM5&gt;=$HK$18,NOT($HM5="")),AND($II5&gt;=$IG$18,NOT($II5="")),AND($JE5&gt;=$JC$18,NOT($JE5="")),AND($KA5&gt;=$JY$18,NOT($KA5="")),AND($KW5&gt;=$KU$18,NOT($KW5="")),AND($LS5&gt;=$LQ$18,NOT($LS5=""))),"P","")</f>
        <v>P</v>
      </c>
      <c r="I5" t="str">
        <f>IF(AND(H5="P",F5=""),"No DD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Merit",IF(AND(G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Excellence",IF(AND(G5="P",OR(AND($AN5&gt;$AL$19,NOT($AN5=""),$AJ5=""),AND($BK5&gt;$BI$19,NOT($BK5=""),$BG5=""),AND($CK5&gt;$CI$19,NOT($CK5="")),AND($DG5&gt;$DE$19,NOT($DG5="")),AND($EC5&gt;$EA$19,NOT($EC5="")),AND($EY5&gt;$EW$19,NOT($EY5="")),AND($FU5&gt;$FS$19,NOT($FU5="")),AND($GQ5&gt;$GO$19,NOT($GQ5="")),AND($HM5&gt;$HK$19,NOT($HM5="")),AND($II5&gt;$IG$19,NOT($II5="")),AND($JE5&gt;$JC$19,NOT($JE5="")),AND($KA5&gt;$JY$19,NOT($KA5="")),AND($KW5&gt;$KU$19,NOT($KW5="")),AND($LS5&gt;$LQ$19,NOT($LS5="")))),"Worlds Team",IF(AND(F5="P",OR(AND($AN5&gt;$AL$18,NOT($AN5=""),$AJ5=""),AND($BK5&gt;$BI$18,NOT($BK5=""),$BG5=""),AND($CK5&gt;$CI$18,NOT($CK5="")),AND($DG5&gt;$DE$18,NOT($DG5="")),AND($EC5&gt;$EA$18,NOT($EC5="")),AND($EY5&gt;$EW$18,NOT($EY5="")),AND($FU5&gt;$FS$18,NOT($FU5="")),AND($GQ5&gt;$GO$18,NOT($GQ5="")),AND($HM5&gt;$HK$18,NOT($HM5="")),AND($II5&gt;$IG$18,NOT($II5="")),AND($JE5&gt;$JC$18,NOT($JE5="")),AND($KA5&gt;$JY$18,NOT($KA5="")),AND($KW5&gt;$KU$18,NOT($KW5="")),AND($LS5&gt;$LQ$18,NOT($LS5="")))),"National Team","")))))</f>
        <v>National Team</v>
      </c>
      <c r="J5" s="15">
        <f>IF(MAX(AN5,BK5)&gt;0,MAX(AN5,BK5),"")</f>
        <v>86.330000000000013</v>
      </c>
      <c r="K5" s="15" t="str">
        <f>IF(J5="","",IF(J5=BK5,$AR$1,IF(J5=AN5,$U$1,"")))</f>
        <v>2019 Nationals</v>
      </c>
      <c r="L5" s="15" t="str">
        <f>IF($J5=$AN5,BI5,IF($J5=$BK5,AL5,MAX(AL5,BI5)))</f>
        <v/>
      </c>
      <c r="M5" s="15" t="str">
        <f>IF(L5="","",IF(AND(L5=BI5,$K5&lt;&gt;$AR$1),$AR$1,IF(AND(L5=AL5,$K5&lt;&gt;$U$1),$U$1,"")))</f>
        <v/>
      </c>
      <c r="N5" s="15" t="str">
        <f>IF($J5=$AN5,BJ5,IF($J5=$BK5,AM5,MAX(AM5,BJ5)))</f>
        <v/>
      </c>
      <c r="O5" s="15" t="str">
        <f>IF(N5="","",IF(AND(N5=BJ5,$K5&lt;&gt;$AR$1),$AR$1,IF(AND(N5=AM5,$K5&lt;&gt;$U$1),$U$1,"")))</f>
        <v/>
      </c>
      <c r="P5" s="15">
        <f>IF(MAX(AP5,BM5)&gt;0,MAX(AP5,BM5),"")</f>
        <v>5.25</v>
      </c>
      <c r="Q5" s="15" t="str">
        <f>IF(P5="","",IF(P5=BM5,$AR$1,IF(P5=AP5,$U$1,"")))</f>
        <v>2019 Nationals</v>
      </c>
      <c r="R5" s="15" t="str">
        <f>IF(MAX(BO5,BP5,BQ5,BR5)&gt;0,MAX(BO5,BP5,BQ5,BR5),"")</f>
        <v/>
      </c>
      <c r="S5" s="27" t="str">
        <f>IF(R5="","",IF(R5=BO5,"(Vol 1)",IF(R5=BP5,"(Vol 2)",IF(R5=BQ5,"(Prelim)",IF(R5=BR5,"(Final)")))))</f>
        <v/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/>
      </c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82"/>
      <c r="AK5" s="12" t="str">
        <f>IF(AB5&gt;0,AB5,"")</f>
        <v/>
      </c>
      <c r="AL5" s="12" t="str">
        <f>IF(SUM(U5:X5)-Y5&gt;0,SUM(U5:X5)-Y5,"")</f>
        <v/>
      </c>
      <c r="AM5" s="12" t="str">
        <f>IF(SUM(Z5:AC5)-AD5&gt;0,SUM(Z5:AC5)-AD5,"")</f>
        <v/>
      </c>
      <c r="AN5" s="12" t="str">
        <f>IF(SUM(AL5:AM5)&gt;0,SUM(AL5:AM5),"")</f>
        <v/>
      </c>
      <c r="AO5" s="12" t="str">
        <f>IF(AG5&gt;0,AG5,"")</f>
        <v/>
      </c>
      <c r="AP5" s="12" t="str">
        <f>IF(SUM(AE5:AH5)-AI5&gt;0,SUM(AE5:AH5)-AI5,"")</f>
        <v/>
      </c>
      <c r="AQ5" s="12" t="str">
        <f>IF(SUM(AN5,AP5)&gt;0,SUM(AN5,AP5),"")</f>
        <v/>
      </c>
      <c r="AR5" s="40">
        <v>9.1</v>
      </c>
      <c r="AS5" s="40">
        <v>9.25</v>
      </c>
      <c r="AT5" s="40">
        <v>4.0999999999999996</v>
      </c>
      <c r="AU5" s="40">
        <v>18.18</v>
      </c>
      <c r="AV5" s="40">
        <v>0</v>
      </c>
      <c r="AW5" s="40">
        <v>8.5500000000000007</v>
      </c>
      <c r="AX5" s="40">
        <v>8.85</v>
      </c>
      <c r="AY5" s="40">
        <v>11.8</v>
      </c>
      <c r="AZ5" s="40">
        <v>16.5</v>
      </c>
      <c r="BA5" s="40">
        <v>0</v>
      </c>
      <c r="BB5" s="40">
        <v>0.85</v>
      </c>
      <c r="BC5" s="40">
        <v>0.9</v>
      </c>
      <c r="BD5" s="40">
        <v>1.5</v>
      </c>
      <c r="BE5" s="40">
        <v>2</v>
      </c>
      <c r="BF5" s="40">
        <v>0</v>
      </c>
      <c r="BG5" s="83"/>
      <c r="BH5" s="15">
        <f>IF(AY5&gt;0,AY5,"")</f>
        <v>11.8</v>
      </c>
      <c r="BI5" s="15">
        <f>IF(SUM(AR5:AU5)-AV5&gt;0,SUM(AR5:AU5)-AV5,"")</f>
        <v>40.630000000000003</v>
      </c>
      <c r="BJ5" s="15">
        <f>IF(SUM(AW5:AZ5)-BA5&gt;0,SUM(AW5:AZ5)-BA5,"")</f>
        <v>45.7</v>
      </c>
      <c r="BK5" s="15">
        <f>IF(SUM(BI5:BJ5)&gt;0,SUM(BI5:BJ5),"")</f>
        <v>86.330000000000013</v>
      </c>
      <c r="BL5" s="15">
        <f>IF(BD5&gt;0,BD5,"")</f>
        <v>1.5</v>
      </c>
      <c r="BM5" s="15">
        <f>IF(SUM(BB5:BE5)-BF5&gt;0,SUM(BB5:BE5)-BF5,"")</f>
        <v>5.25</v>
      </c>
      <c r="BN5" s="15">
        <f>IF(SUM(BK5,BM5)&gt;0,SUM(BK5,BM5),"")</f>
        <v>91.580000000000013</v>
      </c>
      <c r="BO5" s="26" t="str">
        <f>IF(MAX(CI5,DE5,EA5,EW5,FS5,GO5,HK5,IG5,JC5,JY5,KU5,LQ5)-IF(L5="",0,L5)&gt;0.001,MAX(CI5,DE5,EA5,EW5,FS5,GO5,HK5,IG5,JC5,JY5,KU5,LQ5)-IF(L5="",0,L5),"")</f>
        <v/>
      </c>
      <c r="BP5" s="26" t="str">
        <f>IF(MAX(CJ5,DF5,EB5,EX5,FT5,GP5,HL5,IH5,JD5,JZ5,KV5,LR5)-IF(N5="",0,N5)&gt;0.001,MAX(CJ5,DF5,EB5,EX5,FT5,GP5,HL5,IH5,JD5,JZ5,KV5,LR5)-IF(N5="",0,N5),"")</f>
        <v/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ref="LW5:LW13" si="7">IF($BG5="P",AR5,(U5+AR5)/2)</f>
        <v>4.55</v>
      </c>
      <c r="LX5" s="71">
        <f t="shared" ref="LX5:LX13" si="8">IF($BG5="P",AS5,(V5+AS5)/2)</f>
        <v>4.625</v>
      </c>
      <c r="LY5" s="71">
        <f t="shared" ref="LY5:LY13" si="9">IF($BG5="P",AT5,(W5+AT5)/2)</f>
        <v>2.0499999999999998</v>
      </c>
      <c r="LZ5" s="71">
        <f t="shared" ref="LZ5:LZ13" si="10">IF($BG5="P",AU5,(X5+AU5)/2)</f>
        <v>9.09</v>
      </c>
      <c r="MA5" s="71">
        <f t="shared" ref="MA5:MA13" si="11">IF($BG5="P",AV5,(Y5+AV5)/2)</f>
        <v>0</v>
      </c>
      <c r="MB5" s="71">
        <f t="shared" ref="MB5:MB13" si="12">IF($BG5="P",AW5,(Z5+AW5)/2)</f>
        <v>4.2750000000000004</v>
      </c>
      <c r="MC5" s="71">
        <f t="shared" ref="MC5:MC13" si="13">IF($BG5="P",AX5,(AA5+AX5)/2)</f>
        <v>4.4249999999999998</v>
      </c>
      <c r="MD5" s="71">
        <f t="shared" ref="MD5:MD13" si="14">IF($BG5="P",AY5,(AB5+AY5)/2)</f>
        <v>5.9</v>
      </c>
      <c r="ME5" s="71">
        <f t="shared" ref="ME5:ME13" si="15">IF($BG5="P",AZ5,(AC5+AZ5)/2)</f>
        <v>8.25</v>
      </c>
      <c r="MF5" s="71">
        <f t="shared" ref="MF5:MF13" si="16">IF($BG5="P",BA5,(AD5+BA5)/2)</f>
        <v>0</v>
      </c>
      <c r="MG5" s="71">
        <f t="shared" ref="MG5:MG13" si="17">IF($BG5="P",BB5,(AE5+BB5)/2)</f>
        <v>0.42499999999999999</v>
      </c>
      <c r="MH5" s="71">
        <f t="shared" ref="MH5:MH13" si="18">IF($BG5="P",BC5,(AF5+BC5)/2)</f>
        <v>0.45</v>
      </c>
      <c r="MI5" s="71">
        <f t="shared" ref="MI5:MI13" si="19">IF($BG5="P",BD5,(AG5+BD5)/2)</f>
        <v>0.75</v>
      </c>
      <c r="MJ5" s="71">
        <f t="shared" ref="MJ5:MJ13" si="20">IF($BG5="P",BE5,(AH5+BE5)/2)</f>
        <v>1</v>
      </c>
      <c r="MK5" s="71">
        <f t="shared" ref="MK5:MK13" si="21">IF($BG5="P",BF5,(AI5+BF5)/2)</f>
        <v>0</v>
      </c>
      <c r="ML5" s="82" t="s">
        <v>96</v>
      </c>
      <c r="MM5" s="12">
        <f t="shared" ref="MM5:MM13" si="22">IF(MD5&gt;0,MD5,"")</f>
        <v>5.9</v>
      </c>
      <c r="MN5" s="12">
        <f t="shared" si="2"/>
        <v>20.315000000000001</v>
      </c>
      <c r="MO5" s="12">
        <f t="shared" ref="MO5:MO13" si="23">IF(SUM(MB5:ME5)-MF5&gt;0,SUM(MB5:ME5)-MF5,"")</f>
        <v>22.85</v>
      </c>
      <c r="MP5" s="12">
        <f t="shared" ref="MP5:MP13" si="24">IF(SUM(MN5:MO5)&gt;0,SUM(MN5:MO5),"")</f>
        <v>43.165000000000006</v>
      </c>
      <c r="MQ5" s="12">
        <f t="shared" ref="MQ5:MQ13" si="25">IF(MI5&gt;0,MI5,"")</f>
        <v>0.75</v>
      </c>
      <c r="MR5" s="12">
        <f t="shared" ref="MR5:MR13" si="26">IF(SUM(MG5:MJ5)-MK5&gt;0,SUM(MG5:MJ5)-MK5,"")</f>
        <v>2.625</v>
      </c>
      <c r="MS5" s="12">
        <f t="shared" ref="MS5:MS13" si="27">IF(SUM(MP5,MR5)&gt;0,SUM(MP5,MR5),"")</f>
        <v>45.790000000000006</v>
      </c>
    </row>
    <row r="6" spans="1:357" x14ac:dyDescent="0.2">
      <c r="A6" s="6">
        <f>IF(AND(F6="P",H6="P"),SUMPRODUCT((F$4:F$14="P")*(H$4:H$14="P")*(E$4:E$14&gt;E6))+1,IF(H6="P",SUMPRODUCT((F$4:F$14="")*(H$4:H$14="P")*(E$4:E$14&gt;E6))+1+SUMPRODUCT((F$4:F$14="P")*(H$4:H$14="P")),""))</f>
        <v>2</v>
      </c>
      <c r="B6" s="7" t="s">
        <v>111</v>
      </c>
      <c r="C6" s="8" t="s">
        <v>110</v>
      </c>
      <c r="D6" s="6" t="s">
        <v>109</v>
      </c>
      <c r="E6" s="16">
        <f>SUM(J6:R6)</f>
        <v>89.59</v>
      </c>
      <c r="F6" s="4" t="str">
        <f>IF(OR(AND($AK6&gt;=$AL$16,NOT($AK6=""),$AJ6=""),AND($BH6&gt;=$BI$16,NOT($BH6=""),$BG6=""),AND($CH6&gt;=$CI$16,NOT($CH6="")),AND($DD6&gt;=$DE$16,NOT($DD6="")),AND($DZ6&gt;=$EA$16,NOT($DZ6="")),AND($EV6&gt;=$EW$16,NOT($EV6="")),AND($FR6&gt;=$FS$16,NOT($FR6="")),AND($GN6&gt;=$GO$16,NOT($GN6="")),AND($HJ6&gt;=$HK$16,NOT($HJ6="")),AND($IF6&gt;=$IG$16,NOT($IF6="")),AND($JB6&gt;=$JC$16,NOT($JB6="")),AND($JX6&gt;=$JY$16,NOT($JX6="")),AND($KT6&gt;=$KU$16,NOT($KT6="")),AND($LP6&gt;=$LQ$16,NOT($LP6="")),AND($AO6&gt;=$AL$16,NOT($AO6=""),$AJ6=""),AND($BL6&gt;=$BI$16,NOT($BL6=""),$BG6=""),AND($CL6&gt;=$CI$16,NOT($CL6="")),AND($DH6&gt;=$DE$16,NOT($DH6="")),AND($ED6&gt;=$EA$16,NOT($ED6="")),AND($EZ6&gt;=$EW$16,NOT($EZ6="")),AND($FV6&gt;=$FS$16,NOT($FV6="")),AND($GR6&gt;=$GO$16,NOT($GR6="")),AND($HN6&gt;=$HK$16,NOT($HN6="")),AND($IJ6&gt;=$IG$16,NOT($IJ6="")),AND($JF6&gt;=$JC$16,NOT($JF6="")),AND($KB6&gt;=$JY$16,NOT($KB6="")),AND($KX6&gt;=$KU$16,NOT($KX6="")),AND($LT6&gt;=$LQ$16,NOT($LT6=""))),"P","")</f>
        <v>P</v>
      </c>
      <c r="G6" s="4" t="str">
        <f>IF(OR(AND($AK6&gt;=$AL$17,NOT($AK6=""),$AJ6=""),AND($BH6&gt;=$BI$17,NOT($BH6=""),$BG6=""),AND($CH6&gt;=$CI$17,NOT($CH6="")),AND($DD6&gt;=$DE$17,NOT($DD6="")),AND($DZ6&gt;=$EA$17,NOT($DZ6="")),AND($EV6&gt;=$EW$17,NOT($EV6="")),AND($FR6&gt;=$FS$17,NOT($FR6="")),AND($GN6&gt;=$GO$17,NOT($GN6="")),AND($HJ6&gt;=$HK$17,NOT($HJ6="")),AND($IF6&gt;=$IG$17,NOT($IF6="")),AND($JB6&gt;=$JC$17,NOT($JB6="")),AND($JX6&gt;=$JY$17,NOT($JX6="")),AND($KT6&gt;=$KU$17,NOT($KT6="")),AND($LP6&gt;=$LQ$17,NOT($LP6="")),AND($AO6&gt;=$AL$17,NOT($AO6=""),$AJ6=""),AND($BL6&gt;=$BI$17,NOT($BL6=""),$BG6=""),AND($CL6&gt;=$CI$17,NOT($CL6="")),AND($DH6&gt;=$DE$17,NOT($DH6="")),AND($ED6&gt;=$EA$17,NOT($ED6="")),AND($EZ6&gt;=$EW$17,NOT($EZ6="")),AND($FV6&gt;=$FS$17,NOT($FV6="")),AND($GR6&gt;=$GO$17,NOT($GR6="")),AND($HN6&gt;=$HK$17,NOT($HN6="")),AND($IJ6&gt;=$IG$17,NOT($IJ6="")),AND($JF6&gt;=$JC$17,NOT($JF6="")),AND($KB6&gt;=$JY$17,NOT($KB6="")),AND($KX6&gt;=$KU$17,NOT($KX6="")),AND($LT6&gt;=$LQ$17,NOT($LT6=""))),"P","")</f>
        <v/>
      </c>
      <c r="H6" s="4" t="str">
        <f>IF(OR(AND($AN6&gt;=$AL$18,NOT($AN6=""),$AJ6=""),AND($BK6&gt;=$BI$18,NOT($BK6=""),$BG6=""),AND($CK6&gt;=$CI$18,NOT($CK6="")),AND($DG6&gt;=$DE$18,NOT($DG6="")),AND($EC6&gt;=$EA$18,NOT($EC6="")),AND($EY6&gt;=$EW$18,NOT($EY6="")),AND($FU6&gt;=$FS$18,NOT($FU6="")),AND($GQ6&gt;=$GO$18,NOT($GQ6="")),AND($HM6&gt;=$HK$18,NOT($HM6="")),AND($II6&gt;=$IG$18,NOT($II6="")),AND($JE6&gt;=$JC$18,NOT($JE6="")),AND($KA6&gt;=$JY$18,NOT($KA6="")),AND($KW6&gt;=$KU$18,NOT($KW6="")),AND($LS6&gt;=$LQ$18,NOT($LS6=""))),"P","")</f>
        <v>P</v>
      </c>
      <c r="I6" t="str">
        <f>IF(AND(H6="P",F6=""),"No DD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Merit",IF(AND(G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Excellence",IF(AND(G6="P",OR(AND($AN6&gt;$AL$19,NOT($AN6=""),$AJ6=""),AND($BK6&gt;$BI$19,NOT($BK6=""),$BG6=""),AND($CK6&gt;$CI$19,NOT($CK6="")),AND($DG6&gt;$DE$19,NOT($DG6="")),AND($EC6&gt;$EA$19,NOT($EC6="")),AND($EY6&gt;$EW$19,NOT($EY6="")),AND($FU6&gt;$FS$19,NOT($FU6="")),AND($GQ6&gt;$GO$19,NOT($GQ6="")),AND($HM6&gt;$HK$19,NOT($HM6="")),AND($II6&gt;$IG$19,NOT($II6="")),AND($JE6&gt;$JC$19,NOT($JE6="")),AND($KA6&gt;$JY$19,NOT($KA6="")),AND($KW6&gt;$KU$19,NOT($KW6="")),AND($LS6&gt;$LQ$19,NOT($LS6="")))),"Worlds Team",IF(AND(F6="P",OR(AND($AN6&gt;$AL$18,NOT($AN6=""),$AJ6=""),AND($BK6&gt;$BI$18,NOT($BK6=""),$BG6=""),AND($CK6&gt;$CI$18,NOT($CK6="")),AND($DG6&gt;$DE$18,NOT($DG6="")),AND($EC6&gt;$EA$18,NOT($EC6="")),AND($EY6&gt;$EW$18,NOT($EY6="")),AND($FU6&gt;$FS$18,NOT($FU6="")),AND($GQ6&gt;$GO$18,NOT($GQ6="")),AND($HM6&gt;$HK$18,NOT($HM6="")),AND($II6&gt;$IG$18,NOT($II6="")),AND($JE6&gt;$JC$18,NOT($JE6="")),AND($KA6&gt;$JY$18,NOT($KA6="")),AND($KW6&gt;$KU$18,NOT($KW6="")),AND($LS6&gt;$LQ$18,NOT($LS6="")))),"National Team","")))))</f>
        <v>National Team</v>
      </c>
      <c r="J6" s="15" t="str">
        <f>IF(MAX(AN6,BK6)&gt;0,MAX(AN6,BK6),"")</f>
        <v/>
      </c>
      <c r="K6" s="15" t="str">
        <f>IF(J6="","",IF(J6=BK6,$AR$1,IF(J6=AN6,$U$1,"")))</f>
        <v/>
      </c>
      <c r="L6" s="15" t="str">
        <f>IF($J6=$AN6,BI6,IF($J6=$BK6,AL6,MAX(AL6,BI6)))</f>
        <v/>
      </c>
      <c r="M6" s="15" t="str">
        <f>IF(L6="","",IF(AND(L6=BI6,$K6&lt;&gt;$AR$1),$AR$1,IF(AND(L6=AL6,$K6&lt;&gt;$U$1),$U$1,"")))</f>
        <v/>
      </c>
      <c r="N6" s="15" t="str">
        <f>IF($J6=$AN6,BJ6,IF($J6=$BK6,AM6,MAX(AM6,BJ6)))</f>
        <v/>
      </c>
      <c r="O6" s="15" t="str">
        <f>IF(N6="","",IF(AND(N6=BJ6,$K6&lt;&gt;$AR$1),$AR$1,IF(AND(N6=AM6,$K6&lt;&gt;$U$1),$U$1,"")))</f>
        <v/>
      </c>
      <c r="P6" s="15" t="str">
        <f>IF(MAX(AP6,BM6)&gt;0,MAX(AP6,BM6),"")</f>
        <v/>
      </c>
      <c r="Q6" s="15" t="str">
        <f>IF(P6="","",IF(P6=BM6,$AR$1,IF(P6=AP6,$U$1,"")))</f>
        <v/>
      </c>
      <c r="R6" s="15">
        <f>IF(MAX(BO6,BP6,BQ6,BR6)&gt;0,MAX(BO6,BP6,BQ6,BR6),"")</f>
        <v>89.59</v>
      </c>
      <c r="S6" s="27" t="str">
        <f>IF(R6="","",IF(R6=BO6,"(Vol 1)",IF(R6=BP6,"(Vol 2)",IF(R6=BQ6,"(Prelim)",IF(R6=BR6,"(Final)")))))</f>
        <v>(Prelim)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2019 World Cup AZE (Feb 17)</v>
      </c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82"/>
      <c r="AK6" s="12" t="str">
        <f>IF(AB6&gt;0,AB6,"")</f>
        <v/>
      </c>
      <c r="AL6" s="12" t="str">
        <f>IF(SUM(U6:X6)-Y6&gt;0,SUM(U6:X6)-Y6,"")</f>
        <v/>
      </c>
      <c r="AM6" s="12" t="str">
        <f>IF(SUM(Z6:AC6)-AD6&gt;0,SUM(Z6:AC6)-AD6,"")</f>
        <v/>
      </c>
      <c r="AN6" s="12" t="str">
        <f>IF(SUM(AL6:AM6)&gt;0,SUM(AL6:AM6),"")</f>
        <v/>
      </c>
      <c r="AO6" s="12" t="str">
        <f>IF(AG6&gt;0,AG6,"")</f>
        <v/>
      </c>
      <c r="AP6" s="12" t="str">
        <f>IF(SUM(AE6:AH6)-AI6&gt;0,SUM(AE6:AH6)-AI6,"")</f>
        <v/>
      </c>
      <c r="AQ6" s="12" t="str">
        <f>IF(SUM(AN6,AP6)&gt;0,SUM(AN6,AP6),"")</f>
        <v/>
      </c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83"/>
      <c r="BH6" s="15" t="str">
        <f>IF(AY6&gt;0,AY6,"")</f>
        <v/>
      </c>
      <c r="BI6" s="15" t="str">
        <f>IF(SUM(AR6:AU6)-AV6&gt;0,SUM(AR6:AU6)-AV6,"")</f>
        <v/>
      </c>
      <c r="BJ6" s="15" t="str">
        <f>IF(SUM(AW6:AZ6)-BA6&gt;0,SUM(AW6:AZ6)-BA6,"")</f>
        <v/>
      </c>
      <c r="BK6" s="15" t="str">
        <f>IF(SUM(BI6:BJ6)&gt;0,SUM(BI6:BJ6),"")</f>
        <v/>
      </c>
      <c r="BL6" s="15" t="str">
        <f>IF(BD6&gt;0,BD6,"")</f>
        <v/>
      </c>
      <c r="BM6" s="15" t="str">
        <f>IF(SUM(BB6:BE6)-BF6&gt;0,SUM(BB6:BE6)-BF6,"")</f>
        <v/>
      </c>
      <c r="BN6" s="15" t="str">
        <f>IF(SUM(BK6,BM6)&gt;0,SUM(BK6,BM6),"")</f>
        <v/>
      </c>
      <c r="BO6" s="26">
        <f>IF(MAX(CI6,DE6,EA6,EW6,FS6,GO6,HK6,IG6,JC6,JY6,KU6,LQ6)-IF(L6="",0,L6)&gt;0.001,MAX(CI6,DE6,EA6,EW6,FS6,GO6,HK6,IG6,JC6,JY6,KU6,LQ6)-IF(L6="",0,L6),"")</f>
        <v>41.21</v>
      </c>
      <c r="BP6" s="26">
        <f>IF(MAX(CJ6,DF6,EB6,EX6,FT6,GP6,HL6,IH6,JD6,JZ6,KV6,LR6)-IF(N6="",0,N6)&gt;0.001,MAX(CJ6,DF6,EB6,EX6,FT6,GP6,HL6,IH6,JD6,JZ6,KV6,LR6)-IF(N6="",0,N6),"")</f>
        <v>48.480000000000004</v>
      </c>
      <c r="BQ6" s="26">
        <f>IF(MAX(CK6,DG6,EC6,EY6,FU6,GQ6,HM6,II6,JE6,KA6,KW6,LS6)-IF(J6="",0,J6)&gt;0.001,MAX(CK6,DG6,EC6,EY6,FU6,GQ6,HM6,II6,JE6,KA6,KW6,LS6)-IF(J6="",0,J6),"")</f>
        <v>89.59</v>
      </c>
      <c r="BR6" s="26">
        <f>IF(MAX(CM6,DI6,EE6,FA6,FW6,GS6,HO6,IK6,JG6,KC6,KY6,LU6)-IF(P6="",0,P6)&gt;0.001,MAX(CM6,DI6,EE6,FA6,FW6,GS6,HO6,IK6,JG6,KC6,KY6,LU6)-IF(P6="",0,P6),"")</f>
        <v>46.41</v>
      </c>
      <c r="BS6" s="39">
        <v>9.1999999999999993</v>
      </c>
      <c r="BT6" s="39">
        <v>9.65</v>
      </c>
      <c r="BU6" s="39">
        <v>3.9</v>
      </c>
      <c r="BV6" s="39">
        <v>18.46</v>
      </c>
      <c r="BW6" s="39">
        <v>0</v>
      </c>
      <c r="BX6" s="39">
        <v>8.35</v>
      </c>
      <c r="BY6" s="39">
        <v>9.25</v>
      </c>
      <c r="BZ6" s="39">
        <v>11.8</v>
      </c>
      <c r="CA6" s="39">
        <v>18.98</v>
      </c>
      <c r="CB6" s="39">
        <v>0</v>
      </c>
      <c r="CC6" s="39">
        <v>8.25</v>
      </c>
      <c r="CD6" s="39">
        <v>9.3000000000000007</v>
      </c>
      <c r="CE6" s="39">
        <v>11.8</v>
      </c>
      <c r="CF6" s="39">
        <v>17.059999999999999</v>
      </c>
      <c r="CG6" s="39">
        <v>0</v>
      </c>
      <c r="CH6" s="12">
        <f>IF(BZ6&gt;0,BZ6,"")</f>
        <v>11.8</v>
      </c>
      <c r="CI6" s="12">
        <f>IF(SUM(BS6:BV6)-BW6&gt;0,SUM(BS6:BV6)-BW6,"")</f>
        <v>41.21</v>
      </c>
      <c r="CJ6" s="12">
        <f>IF(SUM(BX6:CA6)-CB6&gt;0,SUM(BX6:CA6)-CB6,"")</f>
        <v>48.38</v>
      </c>
      <c r="CK6" s="12">
        <f>IF(SUM(CI6:CJ6)&gt;0,SUM(CI6:CJ6),"")</f>
        <v>89.59</v>
      </c>
      <c r="CL6" s="12">
        <f>IF(CE6&gt;0,CE6,"")</f>
        <v>11.8</v>
      </c>
      <c r="CM6" s="12">
        <f>IF(SUM(CC6:CF6)-CG6&gt;0,SUM(CC6:CF6)-CG6,"")</f>
        <v>46.41</v>
      </c>
      <c r="CN6" s="12">
        <f>IF(SUM(CK6,CM6)&gt;0,SUM(CK6,CM6),"")</f>
        <v>136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>
        <v>8.6999999999999993</v>
      </c>
      <c r="DL6" s="39">
        <v>9.5</v>
      </c>
      <c r="DM6" s="39">
        <v>3.9</v>
      </c>
      <c r="DN6" s="39">
        <v>16.5</v>
      </c>
      <c r="DO6" s="39">
        <v>0</v>
      </c>
      <c r="DP6" s="39">
        <v>8.25</v>
      </c>
      <c r="DQ6" s="39">
        <v>9.25</v>
      </c>
      <c r="DR6" s="39">
        <v>11.8</v>
      </c>
      <c r="DS6" s="39">
        <v>19.18</v>
      </c>
      <c r="DT6" s="39">
        <v>0</v>
      </c>
      <c r="DU6" s="39">
        <v>1.6</v>
      </c>
      <c r="DV6" s="39">
        <v>1.6</v>
      </c>
      <c r="DW6" s="39">
        <v>2.9</v>
      </c>
      <c r="DX6" s="39">
        <v>3.5</v>
      </c>
      <c r="DY6" s="39">
        <v>0</v>
      </c>
      <c r="DZ6" s="12">
        <f>IF(DR6&gt;0,DR6,"")</f>
        <v>11.8</v>
      </c>
      <c r="EA6" s="12">
        <f>IF(SUM(DK6:DN6)-DO6&gt;0,SUM(DK6:DN6)-DO6,"")</f>
        <v>38.599999999999994</v>
      </c>
      <c r="EB6" s="12">
        <f>IF(SUM(DP6:DS6)-DT6&gt;0,SUM(DP6:DS6)-DT6,"")</f>
        <v>48.480000000000004</v>
      </c>
      <c r="EC6" s="12">
        <f>IF(SUM(EA6:EB6)&gt;0,SUM(EA6:EB6),"")</f>
        <v>87.08</v>
      </c>
      <c r="ED6" s="12">
        <f>IF(DW6&gt;0,DW6,"")</f>
        <v>2.9</v>
      </c>
      <c r="EE6" s="12">
        <f>IF(SUM(DU6:DX6)-DY6&gt;0,SUM(DU6:DX6)-DY6,"")</f>
        <v>9.6</v>
      </c>
      <c r="EF6" s="12">
        <f>IF(SUM(EC6,EE6)&gt;0,SUM(EC6,EE6),"")</f>
        <v>96.679999999999993</v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7"/>
        <v>0</v>
      </c>
      <c r="LX6" s="71">
        <f t="shared" si="8"/>
        <v>0</v>
      </c>
      <c r="LY6" s="71">
        <f t="shared" si="9"/>
        <v>0</v>
      </c>
      <c r="LZ6" s="71">
        <f t="shared" si="10"/>
        <v>0</v>
      </c>
      <c r="MA6" s="71">
        <f t="shared" si="11"/>
        <v>0</v>
      </c>
      <c r="MB6" s="71">
        <f t="shared" si="12"/>
        <v>0</v>
      </c>
      <c r="MC6" s="71">
        <f t="shared" si="13"/>
        <v>0</v>
      </c>
      <c r="MD6" s="71">
        <f t="shared" si="14"/>
        <v>0</v>
      </c>
      <c r="ME6" s="71">
        <f t="shared" si="15"/>
        <v>0</v>
      </c>
      <c r="MF6" s="71">
        <f t="shared" si="16"/>
        <v>0</v>
      </c>
      <c r="MG6" s="71">
        <f t="shared" si="17"/>
        <v>0</v>
      </c>
      <c r="MH6" s="71">
        <f t="shared" si="18"/>
        <v>0</v>
      </c>
      <c r="MI6" s="71">
        <f t="shared" si="19"/>
        <v>0</v>
      </c>
      <c r="MJ6" s="71">
        <f t="shared" si="20"/>
        <v>0</v>
      </c>
      <c r="MK6" s="71">
        <f t="shared" si="21"/>
        <v>0</v>
      </c>
      <c r="ML6" s="82" t="s">
        <v>96</v>
      </c>
      <c r="MM6" s="12" t="str">
        <f t="shared" si="22"/>
        <v/>
      </c>
      <c r="MN6" s="12" t="str">
        <f t="shared" si="2"/>
        <v/>
      </c>
      <c r="MO6" s="12" t="str">
        <f t="shared" si="23"/>
        <v/>
      </c>
      <c r="MP6" s="12" t="str">
        <f t="shared" si="24"/>
        <v/>
      </c>
      <c r="MQ6" s="12" t="str">
        <f t="shared" si="25"/>
        <v/>
      </c>
      <c r="MR6" s="12" t="str">
        <f t="shared" si="26"/>
        <v/>
      </c>
      <c r="MS6" s="12" t="str">
        <f t="shared" si="27"/>
        <v/>
      </c>
    </row>
    <row r="7" spans="1:357" x14ac:dyDescent="0.2">
      <c r="A7" s="6">
        <f>IF(AND(F7="P",H7="P"),SUMPRODUCT((F$4:F$14="P")*(H$4:H$14="P")*(E$4:E$14&gt;E7))+1,IF(H7="P",SUMPRODUCT((F$4:F$14="")*(H$4:H$14="P")*(E$4:E$14&gt;E7))+1+SUMPRODUCT((F$4:F$14="P")*(H$4:H$14="P")),""))</f>
        <v>3</v>
      </c>
      <c r="B7" s="7" t="s">
        <v>137</v>
      </c>
      <c r="C7" s="8" t="s">
        <v>136</v>
      </c>
      <c r="D7" s="6" t="s">
        <v>154</v>
      </c>
      <c r="E7" s="16">
        <f>SUM(J7:R7)</f>
        <v>87.63</v>
      </c>
      <c r="F7" s="4" t="str">
        <f>IF(OR(AND($AK7&gt;=$AL$16,NOT($AK7=""),$AJ7=""),AND($BH7&gt;=$BI$16,NOT($BH7=""),$BG7=""),AND($CH7&gt;=$CI$16,NOT($CH7="")),AND($DD7&gt;=$DE$16,NOT($DD7="")),AND($DZ7&gt;=$EA$16,NOT($DZ7="")),AND($EV7&gt;=$EW$16,NOT($EV7="")),AND($FR7&gt;=$FS$16,NOT($FR7="")),AND($GN7&gt;=$GO$16,NOT($GN7="")),AND($HJ7&gt;=$HK$16,NOT($HJ7="")),AND($IF7&gt;=$IG$16,NOT($IF7="")),AND($JB7&gt;=$JC$16,NOT($JB7="")),AND($JX7&gt;=$JY$16,NOT($JX7="")),AND($KT7&gt;=$KU$16,NOT($KT7="")),AND($LP7&gt;=$LQ$16,NOT($LP7="")),AND($AO7&gt;=$AL$16,NOT($AO7=""),$AJ7=""),AND($BL7&gt;=$BI$16,NOT($BL7=""),$BG7=""),AND($CL7&gt;=$CI$16,NOT($CL7="")),AND($DH7&gt;=$DE$16,NOT($DH7="")),AND($ED7&gt;=$EA$16,NOT($ED7="")),AND($EZ7&gt;=$EW$16,NOT($EZ7="")),AND($FV7&gt;=$FS$16,NOT($FV7="")),AND($GR7&gt;=$GO$16,NOT($GR7="")),AND($HN7&gt;=$HK$16,NOT($HN7="")),AND($IJ7&gt;=$IG$16,NOT($IJ7="")),AND($JF7&gt;=$JC$16,NOT($JF7="")),AND($KB7&gt;=$JY$16,NOT($KB7="")),AND($KX7&gt;=$KU$16,NOT($KX7="")),AND($LT7&gt;=$LQ$16,NOT($LT7=""))),"P","")</f>
        <v>P</v>
      </c>
      <c r="G7" s="4" t="str">
        <f>IF(OR(AND($AK7&gt;=$AL$17,NOT($AK7=""),$AJ7=""),AND($BH7&gt;=$BI$17,NOT($BH7=""),$BG7=""),AND($CH7&gt;=$CI$17,NOT($CH7="")),AND($DD7&gt;=$DE$17,NOT($DD7="")),AND($DZ7&gt;=$EA$17,NOT($DZ7="")),AND($EV7&gt;=$EW$17,NOT($EV7="")),AND($FR7&gt;=$FS$17,NOT($FR7="")),AND($GN7&gt;=$GO$17,NOT($GN7="")),AND($HJ7&gt;=$HK$17,NOT($HJ7="")),AND($IF7&gt;=$IG$17,NOT($IF7="")),AND($JB7&gt;=$JC$17,NOT($JB7="")),AND($JX7&gt;=$JY$17,NOT($JX7="")),AND($KT7&gt;=$KU$17,NOT($KT7="")),AND($LP7&gt;=$LQ$17,NOT($LP7="")),AND($AO7&gt;=$AL$17,NOT($AO7=""),$AJ7=""),AND($BL7&gt;=$BI$17,NOT($BL7=""),$BG7=""),AND($CL7&gt;=$CI$17,NOT($CL7="")),AND($DH7&gt;=$DE$17,NOT($DH7="")),AND($ED7&gt;=$EA$17,NOT($ED7="")),AND($EZ7&gt;=$EW$17,NOT($EZ7="")),AND($FV7&gt;=$FS$17,NOT($FV7="")),AND($GR7&gt;=$GO$17,NOT($GR7="")),AND($HN7&gt;=$HK$17,NOT($HN7="")),AND($IJ7&gt;=$IG$17,NOT($IJ7="")),AND($JF7&gt;=$JC$17,NOT($JF7="")),AND($KB7&gt;=$JY$17,NOT($KB7="")),AND($KX7&gt;=$KU$17,NOT($KX7="")),AND($LT7&gt;=$LQ$17,NOT($LT7=""))),"P","")</f>
        <v>P</v>
      </c>
      <c r="H7" s="4" t="str">
        <f>IF(OR(AND($AN7&gt;=$AL$18,NOT($AN7=""),$AJ7=""),AND($BK7&gt;=$BI$18,NOT($BK7=""),$BG7=""),AND($CK7&gt;=$CI$18,NOT($CK7="")),AND($DG7&gt;=$DE$18,NOT($DG7="")),AND($EC7&gt;=$EA$18,NOT($EC7="")),AND($EY7&gt;=$EW$18,NOT($EY7="")),AND($FU7&gt;=$FS$18,NOT($FU7="")),AND($GQ7&gt;=$GO$18,NOT($GQ7="")),AND($HM7&gt;=$HK$18,NOT($HM7="")),AND($II7&gt;=$IG$18,NOT($II7="")),AND($JE7&gt;=$JC$18,NOT($JE7="")),AND($KA7&gt;=$JY$18,NOT($KA7="")),AND($KW7&gt;=$KU$18,NOT($KW7="")),AND($LS7&gt;=$LQ$18,NOT($LS7=""))),"P","")</f>
        <v>P</v>
      </c>
      <c r="I7" t="str">
        <f>IF(AND(H7="P",F7=""),"No DD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Merit",IF(AND(G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Excellence",IF(AND(G7="P",OR(AND($AN7&gt;$AL$19,NOT($AN7=""),$AJ7=""),AND($BK7&gt;$BI$19,NOT($BK7=""),$BG7=""),AND($CK7&gt;$CI$19,NOT($CK7="")),AND($DG7&gt;$DE$19,NOT($DG7="")),AND($EC7&gt;$EA$19,NOT($EC7="")),AND($EY7&gt;$EW$19,NOT($EY7="")),AND($FU7&gt;$FS$19,NOT($FU7="")),AND($GQ7&gt;$GO$19,NOT($GQ7="")),AND($HM7&gt;$HK$19,NOT($HM7="")),AND($II7&gt;$IG$19,NOT($II7="")),AND($JE7&gt;$JC$19,NOT($JE7="")),AND($KA7&gt;$JY$19,NOT($KA7="")),AND($KW7&gt;$KU$19,NOT($KW7="")),AND($LS7&gt;$LQ$19,NOT($LS7="")))),"Worlds Team",IF(AND(F7="P",OR(AND($AN7&gt;$AL$18,NOT($AN7=""),$AJ7=""),AND($BK7&gt;$BI$18,NOT($BK7=""),$BG7=""),AND($CK7&gt;$CI$18,NOT($CK7="")),AND($DG7&gt;$DE$18,NOT($DG7="")),AND($EC7&gt;$EA$18,NOT($EC7="")),AND($EY7&gt;$EW$18,NOT($EY7="")),AND($FU7&gt;$FS$18,NOT($FU7="")),AND($GQ7&gt;$GO$18,NOT($GQ7="")),AND($HM7&gt;$HK$18,NOT($HM7="")),AND($II7&gt;$IG$18,NOT($II7="")),AND($JE7&gt;$JC$18,NOT($JE7="")),AND($KA7&gt;$JY$18,NOT($KA7="")),AND($KW7&gt;$KU$18,NOT($KW7="")),AND($LS7&gt;$LQ$18,NOT($LS7="")))),"National Team","")))))</f>
        <v>Merit</v>
      </c>
      <c r="J7" s="15" t="str">
        <f>IF(MAX(AN7,BK7)&gt;0,MAX(AN7,BK7),"")</f>
        <v/>
      </c>
      <c r="K7" s="15" t="str">
        <f>IF(J7="","",IF(J7=BK7,$AR$1,IF(J7=AN7,$U$1,"")))</f>
        <v/>
      </c>
      <c r="L7" s="15" t="str">
        <f>IF($J7=$AN7,BI7,IF($J7=$BK7,AL7,MAX(AL7,BI7)))</f>
        <v/>
      </c>
      <c r="M7" s="15" t="str">
        <f>IF(L7="","",IF(AND(L7=BI7,$K7&lt;&gt;$AR$1),$AR$1,IF(AND(L7=AL7,$K7&lt;&gt;$U$1),$U$1,"")))</f>
        <v/>
      </c>
      <c r="N7" s="15" t="str">
        <f>IF($J7=$AN7,BJ7,IF($J7=$BK7,AM7,MAX(AM7,BJ7)))</f>
        <v/>
      </c>
      <c r="O7" s="15" t="str">
        <f>IF(N7="","",IF(AND(N7=BJ7,$K7&lt;&gt;$AR$1),$AR$1,IF(AND(N7=AM7,$K7&lt;&gt;$U$1),$U$1,"")))</f>
        <v/>
      </c>
      <c r="P7" s="15" t="str">
        <f>IF(MAX(AP7,BM7)&gt;0,MAX(AP7,BM7),"")</f>
        <v/>
      </c>
      <c r="Q7" s="15" t="str">
        <f>IF(P7="","",IF(P7=BM7,$AR$1,IF(P7=AP7,$U$1,"")))</f>
        <v/>
      </c>
      <c r="R7" s="15">
        <f>IF(MAX(BO7,BP7,BQ7,BR7)&gt;0,MAX(BO7,BP7,BQ7,BR7),"")</f>
        <v>87.63</v>
      </c>
      <c r="S7" s="27" t="str">
        <f>IF(R7="","",IF(R7=BO7,"(Vol 1)",IF(R7=BP7,"(Vol 2)",IF(R7=BQ7,"(Prelim)",IF(R7=BR7,"(Final)")))))</f>
        <v>(Prelim)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2019 World Championships (Nov 30)</v>
      </c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82"/>
      <c r="AK7" s="12" t="str">
        <f>IF(AB7&gt;0,AB7,"")</f>
        <v/>
      </c>
      <c r="AL7" s="12" t="str">
        <f>IF(SUM(U7:X7)-Y7&gt;0,SUM(U7:X7)-Y7,"")</f>
        <v/>
      </c>
      <c r="AM7" s="12" t="str">
        <f>IF(SUM(Z7:AC7)-AD7&gt;0,SUM(Z7:AC7)-AD7,"")</f>
        <v/>
      </c>
      <c r="AN7" s="12" t="str">
        <f>IF(SUM(AL7:AM7)&gt;0,SUM(AL7:AM7),"")</f>
        <v/>
      </c>
      <c r="AO7" s="12" t="str">
        <f>IF(AG7&gt;0,AG7,"")</f>
        <v/>
      </c>
      <c r="AP7" s="12" t="str">
        <f>IF(SUM(AE7:AH7)-AI7&gt;0,SUM(AE7:AH7)-AI7,"")</f>
        <v/>
      </c>
      <c r="AQ7" s="12" t="str">
        <f>IF(SUM(AN7,AP7)&gt;0,SUM(AN7,AP7),"")</f>
        <v/>
      </c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83"/>
      <c r="BH7" s="15" t="str">
        <f>IF(AY7&gt;0,AY7,"")</f>
        <v/>
      </c>
      <c r="BI7" s="15" t="str">
        <f>IF(SUM(AR7:AU7)-AV7&gt;0,SUM(AR7:AU7)-AV7,"")</f>
        <v/>
      </c>
      <c r="BJ7" s="15" t="str">
        <f>IF(SUM(AW7:AZ7)-BA7&gt;0,SUM(AW7:AZ7)-BA7,"")</f>
        <v/>
      </c>
      <c r="BK7" s="15" t="str">
        <f>IF(SUM(BI7:BJ7)&gt;0,SUM(BI7:BJ7),"")</f>
        <v/>
      </c>
      <c r="BL7" s="15" t="str">
        <f>IF(BD7&gt;0,BD7,"")</f>
        <v/>
      </c>
      <c r="BM7" s="15" t="str">
        <f>IF(SUM(BB7:BE7)-BF7&gt;0,SUM(BB7:BE7)-BF7,"")</f>
        <v/>
      </c>
      <c r="BN7" s="15" t="str">
        <f>IF(SUM(BK7,BM7)&gt;0,SUM(BK7,BM7),"")</f>
        <v/>
      </c>
      <c r="BO7" s="26">
        <f>IF(MAX(CI7,DE7,EA7,EW7,FS7,GO7,HK7,IG7,JC7,JY7,KU7,LQ7)-IF(L7="",0,L7)&gt;0.001,MAX(CI7,DE7,EA7,EW7,FS7,GO7,HK7,IG7,JC7,JY7,KU7,LQ7)-IF(L7="",0,L7),"")</f>
        <v>41.7</v>
      </c>
      <c r="BP7" s="26">
        <f>IF(MAX(CJ7,DF7,EB7,EX7,FT7,GP7,HL7,IH7,JD7,JZ7,KV7,LR7)-IF(N7="",0,N7)&gt;0.001,MAX(CJ7,DF7,EB7,EX7,FT7,GP7,HL7,IH7,JD7,JZ7,KV7,LR7)-IF(N7="",0,N7),"")</f>
        <v>45.93</v>
      </c>
      <c r="BQ7" s="26">
        <f>IF(MAX(CK7,DG7,EC7,EY7,FU7,GQ7,HM7,II7,JE7,KA7,KW7,LS7)-IF(J7="",0,J7)&gt;0.001,MAX(CK7,DG7,EC7,EY7,FU7,GQ7,HM7,II7,JE7,KA7,KW7,LS7)-IF(J7="",0,J7),"")</f>
        <v>87.63</v>
      </c>
      <c r="BR7" s="26">
        <f>IF(MAX(CM7,DI7,EE7,FA7,FW7,GS7,HO7,IK7,JG7,KC7,KY7,LU7)-IF(P7="",0,P7)&gt;0.001,MAX(CM7,DI7,EE7,FA7,FW7,GS7,HO7,IK7,JG7,KC7,KY7,LU7)-IF(P7="",0,P7),"")</f>
        <v>48.239999999999995</v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>
        <v>8.75</v>
      </c>
      <c r="CP7" s="40">
        <v>9.4</v>
      </c>
      <c r="CQ7" s="40">
        <v>4.3</v>
      </c>
      <c r="CR7" s="40">
        <v>17.559999999999999</v>
      </c>
      <c r="CS7" s="40">
        <v>0</v>
      </c>
      <c r="CT7" s="40">
        <v>7.6</v>
      </c>
      <c r="CU7" s="40">
        <v>9.3000000000000007</v>
      </c>
      <c r="CV7" s="40">
        <v>12</v>
      </c>
      <c r="CW7" s="40">
        <v>15.62</v>
      </c>
      <c r="CX7" s="40">
        <v>0</v>
      </c>
      <c r="CY7" s="40">
        <v>7.7</v>
      </c>
      <c r="CZ7" s="40">
        <v>9</v>
      </c>
      <c r="DA7" s="40">
        <v>12</v>
      </c>
      <c r="DB7" s="40">
        <v>18.32</v>
      </c>
      <c r="DC7" s="40">
        <v>0</v>
      </c>
      <c r="DD7" s="15">
        <f>IF(CV7&gt;0,CV7,"")</f>
        <v>12</v>
      </c>
      <c r="DE7" s="15">
        <f>IF(SUM(CO7:CR7)-CS7&gt;0,SUM(CO7:CR7)-CS7,"")</f>
        <v>40.01</v>
      </c>
      <c r="DF7" s="15">
        <f>IF(SUM(CT7:CW7)-CX7&gt;0,SUM(CT7:CW7)-CX7,"")</f>
        <v>44.519999999999996</v>
      </c>
      <c r="DG7" s="15">
        <f>IF(SUM(DE7:DF7)&gt;0,SUM(DE7:DF7),"")</f>
        <v>84.53</v>
      </c>
      <c r="DH7" s="15">
        <f>IF(DA7&gt;0,DA7,"")</f>
        <v>12</v>
      </c>
      <c r="DI7" s="15">
        <f>IF(SUM(CY7:DB7)-DC7&gt;0,SUM(CY7:DB7)-DC7,"")</f>
        <v>47.019999999999996</v>
      </c>
      <c r="DJ7" s="15">
        <f>IF(SUM(DG7,DI7)&gt;0,SUM(DG7,DI7),"")</f>
        <v>131.55000000000001</v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>
        <v>8.6</v>
      </c>
      <c r="EH7" s="40">
        <v>9.3000000000000007</v>
      </c>
      <c r="EI7" s="40">
        <v>4.3</v>
      </c>
      <c r="EJ7" s="40">
        <v>17.82</v>
      </c>
      <c r="EK7" s="40">
        <v>0</v>
      </c>
      <c r="EL7" s="40">
        <v>7.8</v>
      </c>
      <c r="EM7" s="40">
        <v>9.1999999999999993</v>
      </c>
      <c r="EN7" s="40">
        <v>12</v>
      </c>
      <c r="EO7" s="40">
        <v>16.88</v>
      </c>
      <c r="EP7" s="40">
        <v>0</v>
      </c>
      <c r="EQ7" s="40">
        <v>7.65</v>
      </c>
      <c r="ER7" s="40">
        <v>9.25</v>
      </c>
      <c r="ES7" s="40">
        <v>13.1</v>
      </c>
      <c r="ET7" s="40">
        <v>16.36</v>
      </c>
      <c r="EU7" s="40">
        <v>0</v>
      </c>
      <c r="EV7" s="15">
        <f>IF(EN7&gt;0,EN7,"")</f>
        <v>12</v>
      </c>
      <c r="EW7" s="15">
        <f>IF(SUM(EG7:EJ7)-EK7&gt;0,SUM(EG7:EJ7)-EK7,"")</f>
        <v>40.019999999999996</v>
      </c>
      <c r="EX7" s="15">
        <f>IF(SUM(EL7:EO7)-EP7&gt;0,SUM(EL7:EO7)-EP7,"")</f>
        <v>45.879999999999995</v>
      </c>
      <c r="EY7" s="15">
        <f>IF(SUM(EW7:EX7)&gt;0,SUM(EW7:EX7),"")</f>
        <v>85.899999999999991</v>
      </c>
      <c r="EZ7" s="15">
        <f>IF(ES7&gt;0,ES7,"")</f>
        <v>13.1</v>
      </c>
      <c r="FA7" s="15">
        <f>IF(SUM(EQ7:ET7)-EU7&gt;0,SUM(EQ7:ET7)-EU7,"")</f>
        <v>46.36</v>
      </c>
      <c r="FB7" s="15">
        <f>IF(SUM(EY7,FA7)&gt;0,SUM(EY7,FA7),"")</f>
        <v>132.26</v>
      </c>
      <c r="FC7" s="39">
        <v>8.8000000000000007</v>
      </c>
      <c r="FD7" s="39">
        <v>9.6999999999999993</v>
      </c>
      <c r="FE7" s="39">
        <v>4.3</v>
      </c>
      <c r="FF7" s="39">
        <v>18.899999999999999</v>
      </c>
      <c r="FG7" s="39">
        <v>0</v>
      </c>
      <c r="FH7" s="39">
        <v>8.1999999999999993</v>
      </c>
      <c r="FI7" s="39">
        <v>9.4499999999999993</v>
      </c>
      <c r="FJ7" s="39">
        <v>12</v>
      </c>
      <c r="FK7" s="39">
        <v>16.28</v>
      </c>
      <c r="FL7" s="39">
        <v>0</v>
      </c>
      <c r="FM7" s="39">
        <v>7.65</v>
      </c>
      <c r="FN7" s="39">
        <v>9.25</v>
      </c>
      <c r="FO7" s="39">
        <v>13.1</v>
      </c>
      <c r="FP7" s="39">
        <v>18.239999999999998</v>
      </c>
      <c r="FQ7" s="39">
        <v>0</v>
      </c>
      <c r="FR7" s="12">
        <f>IF(FJ7&gt;0,FJ7,"")</f>
        <v>12</v>
      </c>
      <c r="FS7" s="12">
        <f>IF(SUM(FC7:FF7)-FG7&gt;0,SUM(FC7:FF7)-FG7,"")</f>
        <v>41.7</v>
      </c>
      <c r="FT7" s="12">
        <f>IF(SUM(FH7:FK7)-FL7&gt;0,SUM(FH7:FK7)-FL7,"")</f>
        <v>45.93</v>
      </c>
      <c r="FU7" s="12">
        <f>IF(SUM(FS7:FT7)&gt;0,SUM(FS7:FT7),"")</f>
        <v>87.63</v>
      </c>
      <c r="FV7" s="12">
        <f>IF(FO7&gt;0,FO7,"")</f>
        <v>13.1</v>
      </c>
      <c r="FW7" s="12">
        <f>IF(SUM(FM7:FP7)-FQ7&gt;0,SUM(FM7:FP7)-FQ7,"")</f>
        <v>48.239999999999995</v>
      </c>
      <c r="FX7" s="12">
        <f>IF(SUM(FU7,FW7)&gt;0,SUM(FU7,FW7),"")</f>
        <v>135.87</v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>
        <v>7.05</v>
      </c>
      <c r="GJ7" s="40">
        <v>9.0500000000000007</v>
      </c>
      <c r="GK7" s="40">
        <v>13.1</v>
      </c>
      <c r="GL7" s="40">
        <v>17.66</v>
      </c>
      <c r="GM7" s="40">
        <v>0</v>
      </c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>
        <f>IF(GK7&gt;0,GK7,"")</f>
        <v>13.1</v>
      </c>
      <c r="GS7" s="15">
        <f>IF(SUM(GI7:GL7)-GM7&gt;0,SUM(GI7:GL7)-GM7,"")</f>
        <v>46.86</v>
      </c>
      <c r="GT7" s="15">
        <f>IF(SUM(GQ7,GS7)&gt;0,SUM(GQ7,GS7),"")</f>
        <v>46.86</v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7"/>
        <v>0</v>
      </c>
      <c r="LX7" s="71">
        <f t="shared" si="8"/>
        <v>0</v>
      </c>
      <c r="LY7" s="71">
        <f t="shared" si="9"/>
        <v>0</v>
      </c>
      <c r="LZ7" s="71">
        <f t="shared" si="10"/>
        <v>0</v>
      </c>
      <c r="MA7" s="71">
        <f t="shared" si="11"/>
        <v>0</v>
      </c>
      <c r="MB7" s="71">
        <f t="shared" si="12"/>
        <v>0</v>
      </c>
      <c r="MC7" s="71">
        <f t="shared" si="13"/>
        <v>0</v>
      </c>
      <c r="MD7" s="71">
        <f t="shared" si="14"/>
        <v>0</v>
      </c>
      <c r="ME7" s="71">
        <f t="shared" si="15"/>
        <v>0</v>
      </c>
      <c r="MF7" s="71">
        <f t="shared" si="16"/>
        <v>0</v>
      </c>
      <c r="MG7" s="71">
        <f t="shared" si="17"/>
        <v>0</v>
      </c>
      <c r="MH7" s="71">
        <f t="shared" si="18"/>
        <v>0</v>
      </c>
      <c r="MI7" s="71">
        <f t="shared" si="19"/>
        <v>0</v>
      </c>
      <c r="MJ7" s="71">
        <f t="shared" si="20"/>
        <v>0</v>
      </c>
      <c r="MK7" s="71">
        <f t="shared" si="21"/>
        <v>0</v>
      </c>
      <c r="ML7" s="82" t="s">
        <v>96</v>
      </c>
      <c r="MM7" s="12" t="str">
        <f t="shared" si="22"/>
        <v/>
      </c>
      <c r="MN7" s="12" t="str">
        <f t="shared" si="2"/>
        <v/>
      </c>
      <c r="MO7" s="12" t="str">
        <f t="shared" si="23"/>
        <v/>
      </c>
      <c r="MP7" s="12" t="str">
        <f t="shared" si="24"/>
        <v/>
      </c>
      <c r="MQ7" s="12" t="str">
        <f t="shared" si="25"/>
        <v/>
      </c>
      <c r="MR7" s="12" t="str">
        <f t="shared" si="26"/>
        <v/>
      </c>
      <c r="MS7" s="12" t="str">
        <f t="shared" si="27"/>
        <v/>
      </c>
    </row>
    <row r="8" spans="1:357" x14ac:dyDescent="0.2">
      <c r="A8" s="6">
        <f>IF(AND(F8="P",H8="P"),SUMPRODUCT((F$4:F$14="P")*(H$4:H$14="P")*(E$4:E$14&gt;E8))+1,IF(H8="P",SUMPRODUCT((F$4:F$14="")*(H$4:H$14="P")*(E$4:E$14&gt;E8))+1+SUMPRODUCT((F$4:F$14="P")*(H$4:H$14="P")),""))</f>
        <v>4</v>
      </c>
      <c r="B8" s="7" t="s">
        <v>151</v>
      </c>
      <c r="C8" s="8" t="s">
        <v>6</v>
      </c>
      <c r="D8" s="6" t="s">
        <v>150</v>
      </c>
      <c r="E8" s="16">
        <f>SUM(J8:R8)</f>
        <v>159.32499999999999</v>
      </c>
      <c r="F8" s="4" t="str">
        <f>IF(OR(AND($AK8&gt;=$AL$16,NOT($AK8=""),$AJ8=""),AND($BH8&gt;=$BI$16,NOT($BH8=""),$BG8=""),AND($CH8&gt;=$CI$16,NOT($CH8="")),AND($DD8&gt;=$DE$16,NOT($DD8="")),AND($DZ8&gt;=$EA$16,NOT($DZ8="")),AND($EV8&gt;=$EW$16,NOT($EV8="")),AND($FR8&gt;=$FS$16,NOT($FR8="")),AND($GN8&gt;=$GO$16,NOT($GN8="")),AND($HJ8&gt;=$HK$16,NOT($HJ8="")),AND($IF8&gt;=$IG$16,NOT($IF8="")),AND($JB8&gt;=$JC$16,NOT($JB8="")),AND($JX8&gt;=$JY$16,NOT($JX8="")),AND($KT8&gt;=$KU$16,NOT($KT8="")),AND($LP8&gt;=$LQ$16,NOT($LP8="")),AND($AO8&gt;=$AL$16,NOT($AO8=""),$AJ8=""),AND($BL8&gt;=$BI$16,NOT($BL8=""),$BG8=""),AND($CL8&gt;=$CI$16,NOT($CL8="")),AND($DH8&gt;=$DE$16,NOT($DH8="")),AND($ED8&gt;=$EA$16,NOT($ED8="")),AND($EZ8&gt;=$EW$16,NOT($EZ8="")),AND($FV8&gt;=$FS$16,NOT($FV8="")),AND($GR8&gt;=$GO$16,NOT($GR8="")),AND($HN8&gt;=$HK$16,NOT($HN8="")),AND($IJ8&gt;=$IG$16,NOT($IJ8="")),AND($JF8&gt;=$JC$16,NOT($JF8="")),AND($KB8&gt;=$JY$16,NOT($KB8="")),AND($KX8&gt;=$KU$16,NOT($KX8="")),AND($LT8&gt;=$LQ$16,NOT($LT8=""))),"P","")</f>
        <v/>
      </c>
      <c r="G8" s="4" t="str">
        <f>IF(OR(AND($AK8&gt;=$AL$17,NOT($AK8=""),$AJ8=""),AND($BH8&gt;=$BI$17,NOT($BH8=""),$BG8=""),AND($CH8&gt;=$CI$17,NOT($CH8="")),AND($DD8&gt;=$DE$17,NOT($DD8="")),AND($DZ8&gt;=$EA$17,NOT($DZ8="")),AND($EV8&gt;=$EW$17,NOT($EV8="")),AND($FR8&gt;=$FS$17,NOT($FR8="")),AND($GN8&gt;=$GO$17,NOT($GN8="")),AND($HJ8&gt;=$HK$17,NOT($HJ8="")),AND($IF8&gt;=$IG$17,NOT($IF8="")),AND($JB8&gt;=$JC$17,NOT($JB8="")),AND($JX8&gt;=$JY$17,NOT($JX8="")),AND($KT8&gt;=$KU$17,NOT($KT8="")),AND($LP8&gt;=$LQ$17,NOT($LP8="")),AND($AO8&gt;=$AL$17,NOT($AO8=""),$AJ8=""),AND($BL8&gt;=$BI$17,NOT($BL8=""),$BG8=""),AND($CL8&gt;=$CI$17,NOT($CL8="")),AND($DH8&gt;=$DE$17,NOT($DH8="")),AND($ED8&gt;=$EA$17,NOT($ED8="")),AND($EZ8&gt;=$EW$17,NOT($EZ8="")),AND($FV8&gt;=$FS$17,NOT($FV8="")),AND($GR8&gt;=$GO$17,NOT($GR8="")),AND($HN8&gt;=$HK$17,NOT($HN8="")),AND($IJ8&gt;=$IG$17,NOT($IJ8="")),AND($JF8&gt;=$JC$17,NOT($JF8="")),AND($KB8&gt;=$JY$17,NOT($KB8="")),AND($KX8&gt;=$KU$17,NOT($KX8="")),AND($LT8&gt;=$LQ$17,NOT($LT8=""))),"P","")</f>
        <v/>
      </c>
      <c r="H8" s="4" t="str">
        <f>IF(OR(AND($AN8&gt;=$AL$18,NOT($AN8=""),$AJ8=""),AND($BK8&gt;=$BI$18,NOT($BK8=""),$BG8=""),AND($CK8&gt;=$CI$18,NOT($CK8="")),AND($DG8&gt;=$DE$18,NOT($DG8="")),AND($EC8&gt;=$EA$18,NOT($EC8="")),AND($EY8&gt;=$EW$18,NOT($EY8="")),AND($FU8&gt;=$FS$18,NOT($FU8="")),AND($GQ8&gt;=$GO$18,NOT($GQ8="")),AND($HM8&gt;=$HK$18,NOT($HM8="")),AND($II8&gt;=$IG$18,NOT($II8="")),AND($JE8&gt;=$JC$18,NOT($JE8="")),AND($KA8&gt;=$JY$18,NOT($KA8="")),AND($KW8&gt;=$KU$18,NOT($KW8="")),AND($LS8&gt;=$LQ$18,NOT($LS8=""))),"P","")</f>
        <v>P</v>
      </c>
      <c r="I8" t="str">
        <f>IF(AND(H8="P",F8=""),"No DD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Merit",IF(AND(G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Excellence",IF(AND(G8="P",OR(AND($AN8&gt;$AL$19,NOT($AN8=""),$AJ8=""),AND($BK8&gt;$BI$19,NOT($BK8=""),$BG8=""),AND($CK8&gt;$CI$19,NOT($CK8="")),AND($DG8&gt;$DE$19,NOT($DG8="")),AND($EC8&gt;$EA$19,NOT($EC8="")),AND($EY8&gt;$EW$19,NOT($EY8="")),AND($FU8&gt;$FS$19,NOT($FU8="")),AND($GQ8&gt;$GO$19,NOT($GQ8="")),AND($HM8&gt;$HK$19,NOT($HM8="")),AND($II8&gt;$IG$19,NOT($II8="")),AND($JE8&gt;$JC$19,NOT($JE8="")),AND($KA8&gt;$JY$19,NOT($KA8="")),AND($KW8&gt;$KU$19,NOT($KW8="")),AND($LS8&gt;$LQ$19,NOT($LS8="")))),"Worlds Team",IF(AND(F8="P",OR(AND($AN8&gt;$AL$18,NOT($AN8=""),$AJ8=""),AND($BK8&gt;$BI$18,NOT($BK8=""),$BG8=""),AND($CK8&gt;$CI$18,NOT($CK8="")),AND($DG8&gt;$DE$18,NOT($DG8="")),AND($EC8&gt;$EA$18,NOT($EC8="")),AND($EY8&gt;$EW$18,NOT($EY8="")),AND($FU8&gt;$FS$18,NOT($FU8="")),AND($GQ8&gt;$GO$18,NOT($GQ8="")),AND($HM8&gt;$HK$18,NOT($HM8="")),AND($II8&gt;$IG$18,NOT($II8="")),AND($JE8&gt;$JC$18,NOT($JE8="")),AND($KA8&gt;$JY$18,NOT($KA8="")),AND($KW8&gt;$KU$18,NOT($KW8="")),AND($LS8&gt;$LQ$18,NOT($LS8="")))),"National Team","")))))</f>
        <v>No DD</v>
      </c>
      <c r="J8" s="15">
        <f>IF(MAX(AN8,BK8)&gt;0,MAX(AN8,BK8),"")</f>
        <v>85.41</v>
      </c>
      <c r="K8" s="15" t="str">
        <f>IF(J8="","",IF(J8=BK8,$AR$1,IF(J8=AN8,$U$1,"")))</f>
        <v>2019 Nationals</v>
      </c>
      <c r="L8" s="15">
        <f>IF($J8=$AN8,BI8,IF($J8=$BK8,AL8,MAX(AL8,BI8)))</f>
        <v>38.635000000000005</v>
      </c>
      <c r="M8" s="15" t="str">
        <f>IF(L8="","",IF(AND(L8=BI8,$K8&lt;&gt;$AR$1),$AR$1,IF(AND(L8=AL8,$K8&lt;&gt;$U$1),$U$1,"")))</f>
        <v>2019 Elite Canada</v>
      </c>
      <c r="N8" s="15">
        <f>IF($J8=$AN8,BJ8,IF($J8=$BK8,AM8,MAX(AM8,BJ8)))</f>
        <v>27.96</v>
      </c>
      <c r="O8" s="15" t="str">
        <f>IF(N8="","",IF(AND(N8=BJ8,$K8&lt;&gt;$AR$1),$AR$1,IF(AND(N8=AM8,$K8&lt;&gt;$U$1),$U$1,"")))</f>
        <v>2019 Elite Canada</v>
      </c>
      <c r="P8" s="15">
        <f>IF(MAX(AP8,BM8)&gt;0,MAX(AP8,BM8),"")</f>
        <v>7.32</v>
      </c>
      <c r="Q8" s="15" t="str">
        <f>IF(P8="","",IF(P8=BM8,$AR$1,IF(P8=AP8,$U$1,"")))</f>
        <v>2019 Nationals</v>
      </c>
      <c r="R8" s="15" t="str">
        <f>IF(MAX(BO8,BP8,BQ8,BR8)&gt;0,MAX(BO8,BP8,BQ8,BR8),"")</f>
        <v/>
      </c>
      <c r="S8" s="27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39">
        <v>7.8250000000000002</v>
      </c>
      <c r="V8" s="39">
        <v>9.15</v>
      </c>
      <c r="W8" s="39">
        <v>3.6</v>
      </c>
      <c r="X8" s="39">
        <v>18.059999999999999</v>
      </c>
      <c r="Y8" s="39">
        <v>0</v>
      </c>
      <c r="Z8" s="39">
        <v>4.45</v>
      </c>
      <c r="AA8" s="39">
        <v>5.45</v>
      </c>
      <c r="AB8" s="39">
        <v>6.8</v>
      </c>
      <c r="AC8" s="39">
        <v>11.26</v>
      </c>
      <c r="AD8" s="39">
        <v>0</v>
      </c>
      <c r="AE8" s="39"/>
      <c r="AF8" s="39"/>
      <c r="AG8" s="39"/>
      <c r="AH8" s="39"/>
      <c r="AI8" s="39"/>
      <c r="AJ8" s="82"/>
      <c r="AK8" s="12">
        <f>IF(AB8&gt;0,AB8,"")</f>
        <v>6.8</v>
      </c>
      <c r="AL8" s="12">
        <f>IF(SUM(U8:X8)-Y8&gt;0,SUM(U8:X8)-Y8,"")</f>
        <v>38.635000000000005</v>
      </c>
      <c r="AM8" s="12">
        <f>IF(SUM(Z8:AC8)-AD8&gt;0,SUM(Z8:AC8)-AD8,"")</f>
        <v>27.96</v>
      </c>
      <c r="AN8" s="12">
        <f>IF(SUM(AL8:AM8)&gt;0,SUM(AL8:AM8),"")</f>
        <v>66.594999999999999</v>
      </c>
      <c r="AO8" s="12" t="str">
        <f>IF(AG8&gt;0,AG8,"")</f>
        <v/>
      </c>
      <c r="AP8" s="12" t="str">
        <f>IF(SUM(AE8:AH8)-AI8&gt;0,SUM(AE8:AH8)-AI8,"")</f>
        <v/>
      </c>
      <c r="AQ8" s="12">
        <f>IF(SUM(AN8,AP8)&gt;0,SUM(AN8,AP8),"")</f>
        <v>66.594999999999999</v>
      </c>
      <c r="AR8" s="40">
        <v>8.85</v>
      </c>
      <c r="AS8" s="40">
        <v>9.35</v>
      </c>
      <c r="AT8" s="40">
        <v>3.2</v>
      </c>
      <c r="AU8" s="40">
        <v>19.12</v>
      </c>
      <c r="AV8" s="40">
        <v>0</v>
      </c>
      <c r="AW8" s="40">
        <v>7.8</v>
      </c>
      <c r="AX8" s="40">
        <v>9.0500000000000007</v>
      </c>
      <c r="AY8" s="40">
        <v>10.5</v>
      </c>
      <c r="AZ8" s="40">
        <v>17.54</v>
      </c>
      <c r="BA8" s="40">
        <v>0</v>
      </c>
      <c r="BB8" s="40">
        <v>1.3</v>
      </c>
      <c r="BC8" s="40">
        <v>1.9</v>
      </c>
      <c r="BD8" s="40">
        <v>2.2999999999999998</v>
      </c>
      <c r="BE8" s="40">
        <v>1.82</v>
      </c>
      <c r="BF8" s="40">
        <v>0</v>
      </c>
      <c r="BG8" s="83"/>
      <c r="BH8" s="15">
        <f>IF(AY8&gt;0,AY8,"")</f>
        <v>10.5</v>
      </c>
      <c r="BI8" s="15">
        <f>IF(SUM(AR8:AU8)-AV8&gt;0,SUM(AR8:AU8)-AV8,"")</f>
        <v>40.519999999999996</v>
      </c>
      <c r="BJ8" s="15">
        <f>IF(SUM(AW8:AZ8)-BA8&gt;0,SUM(AW8:AZ8)-BA8,"")</f>
        <v>44.89</v>
      </c>
      <c r="BK8" s="15">
        <f>IF(SUM(BI8:BJ8)&gt;0,SUM(BI8:BJ8),"")</f>
        <v>85.41</v>
      </c>
      <c r="BL8" s="15">
        <f>IF(BD8&gt;0,BD8,"")</f>
        <v>2.2999999999999998</v>
      </c>
      <c r="BM8" s="15">
        <f>IF(SUM(BB8:BE8)-BF8&gt;0,SUM(BB8:BE8)-BF8,"")</f>
        <v>7.32</v>
      </c>
      <c r="BN8" s="15">
        <f>IF(SUM(BK8,BM8)&gt;0,SUM(BK8,BM8),"")</f>
        <v>92.72999999999999</v>
      </c>
      <c r="BO8" s="26" t="str">
        <f>IF(MAX(CI8,DE8,EA8,EW8,FS8,GO8,HK8,IG8,JC8,JY8,KU8,LQ8)-IF(L8="",0,L8)&gt;0.001,MAX(CI8,DE8,EA8,EW8,FS8,GO8,HK8,IG8,JC8,JY8,KU8,LQ8)-IF(L8="",0,L8),"")</f>
        <v/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7"/>
        <v>8.3375000000000004</v>
      </c>
      <c r="LX8" s="71">
        <f t="shared" si="8"/>
        <v>9.25</v>
      </c>
      <c r="LY8" s="71">
        <f t="shared" si="9"/>
        <v>3.4000000000000004</v>
      </c>
      <c r="LZ8" s="71">
        <f t="shared" si="10"/>
        <v>18.59</v>
      </c>
      <c r="MA8" s="71">
        <f t="shared" si="11"/>
        <v>0</v>
      </c>
      <c r="MB8" s="71">
        <f t="shared" si="12"/>
        <v>6.125</v>
      </c>
      <c r="MC8" s="71">
        <f t="shared" si="13"/>
        <v>7.25</v>
      </c>
      <c r="MD8" s="71">
        <f t="shared" si="14"/>
        <v>8.65</v>
      </c>
      <c r="ME8" s="71">
        <f t="shared" si="15"/>
        <v>14.399999999999999</v>
      </c>
      <c r="MF8" s="71">
        <f t="shared" si="16"/>
        <v>0</v>
      </c>
      <c r="MG8" s="71">
        <f t="shared" si="17"/>
        <v>0.65</v>
      </c>
      <c r="MH8" s="71">
        <f t="shared" si="18"/>
        <v>0.95</v>
      </c>
      <c r="MI8" s="71">
        <f t="shared" si="19"/>
        <v>1.1499999999999999</v>
      </c>
      <c r="MJ8" s="71">
        <f t="shared" si="20"/>
        <v>0.91</v>
      </c>
      <c r="MK8" s="71">
        <f t="shared" si="21"/>
        <v>0</v>
      </c>
      <c r="ML8" s="82" t="s">
        <v>96</v>
      </c>
      <c r="MM8" s="12">
        <f t="shared" si="22"/>
        <v>8.65</v>
      </c>
      <c r="MN8" s="12">
        <f t="shared" si="2"/>
        <v>39.577500000000001</v>
      </c>
      <c r="MO8" s="12">
        <f t="shared" si="23"/>
        <v>36.424999999999997</v>
      </c>
      <c r="MP8" s="12">
        <f t="shared" si="24"/>
        <v>76.002499999999998</v>
      </c>
      <c r="MQ8" s="12">
        <f t="shared" si="25"/>
        <v>1.1499999999999999</v>
      </c>
      <c r="MR8" s="12">
        <f t="shared" si="26"/>
        <v>3.66</v>
      </c>
      <c r="MS8" s="12">
        <f t="shared" si="27"/>
        <v>79.662499999999994</v>
      </c>
    </row>
    <row r="9" spans="1:357" x14ac:dyDescent="0.2">
      <c r="A9" s="6" t="str">
        <f>IF(AND(F9="P",H9="P"),SUMPRODUCT((F$4:F$14="P")*(H$4:H$14="P")*(E$4:E$14&gt;E9))+1,IF(H9="P",SUMPRODUCT((F$4:F$14="")*(H$4:H$14="P")*(E$4:E$14&gt;E9))+1+SUMPRODUCT((F$4:F$14="P")*(H$4:H$14="P")),""))</f>
        <v/>
      </c>
      <c r="B9" s="7" t="s">
        <v>169</v>
      </c>
      <c r="C9" s="8" t="s">
        <v>10</v>
      </c>
      <c r="D9" s="6" t="s">
        <v>166</v>
      </c>
      <c r="E9" s="16">
        <f>SUM(J9:R9)</f>
        <v>124.94999999999999</v>
      </c>
      <c r="F9" s="4" t="str">
        <f>IF(OR(AND($AK9&gt;=$AL$16,NOT($AK9=""),$AJ9=""),AND($BH9&gt;=$BI$16,NOT($BH9=""),$BG9=""),AND($CH9&gt;=$CI$16,NOT($CH9="")),AND($DD9&gt;=$DE$16,NOT($DD9="")),AND($DZ9&gt;=$EA$16,NOT($DZ9="")),AND($EV9&gt;=$EW$16,NOT($EV9="")),AND($FR9&gt;=$FS$16,NOT($FR9="")),AND($GN9&gt;=$GO$16,NOT($GN9="")),AND($HJ9&gt;=$HK$16,NOT($HJ9="")),AND($IF9&gt;=$IG$16,NOT($IF9="")),AND($JB9&gt;=$JC$16,NOT($JB9="")),AND($JX9&gt;=$JY$16,NOT($JX9="")),AND($KT9&gt;=$KU$16,NOT($KT9="")),AND($LP9&gt;=$LQ$16,NOT($LP9="")),AND($AO9&gt;=$AL$16,NOT($AO9=""),$AJ9=""),AND($BL9&gt;=$BI$16,NOT($BL9=""),$BG9=""),AND($CL9&gt;=$CI$16,NOT($CL9="")),AND($DH9&gt;=$DE$16,NOT($DH9="")),AND($ED9&gt;=$EA$16,NOT($ED9="")),AND($EZ9&gt;=$EW$16,NOT($EZ9="")),AND($FV9&gt;=$FS$16,NOT($FV9="")),AND($GR9&gt;=$GO$16,NOT($GR9="")),AND($HN9&gt;=$HK$16,NOT($HN9="")),AND($IJ9&gt;=$IG$16,NOT($IJ9="")),AND($JF9&gt;=$JC$16,NOT($JF9="")),AND($KB9&gt;=$JY$16,NOT($KB9="")),AND($KX9&gt;=$KU$16,NOT($KX9="")),AND($LT9&gt;=$LQ$16,NOT($LT9=""))),"P","")</f>
        <v/>
      </c>
      <c r="G9" s="4" t="str">
        <f>IF(OR(AND($AK9&gt;=$AL$17,NOT($AK9=""),$AJ9=""),AND($BH9&gt;=$BI$17,NOT($BH9=""),$BG9=""),AND($CH9&gt;=$CI$17,NOT($CH9="")),AND($DD9&gt;=$DE$17,NOT($DD9="")),AND($DZ9&gt;=$EA$17,NOT($DZ9="")),AND($EV9&gt;=$EW$17,NOT($EV9="")),AND($FR9&gt;=$FS$17,NOT($FR9="")),AND($GN9&gt;=$GO$17,NOT($GN9="")),AND($HJ9&gt;=$HK$17,NOT($HJ9="")),AND($IF9&gt;=$IG$17,NOT($IF9="")),AND($JB9&gt;=$JC$17,NOT($JB9="")),AND($JX9&gt;=$JY$17,NOT($JX9="")),AND($KT9&gt;=$KU$17,NOT($KT9="")),AND($LP9&gt;=$LQ$17,NOT($LP9="")),AND($AO9&gt;=$AL$17,NOT($AO9=""),$AJ9=""),AND($BL9&gt;=$BI$17,NOT($BL9=""),$BG9=""),AND($CL9&gt;=$CI$17,NOT($CL9="")),AND($DH9&gt;=$DE$17,NOT($DH9="")),AND($ED9&gt;=$EA$17,NOT($ED9="")),AND($EZ9&gt;=$EW$17,NOT($EZ9="")),AND($FV9&gt;=$FS$17,NOT($FV9="")),AND($GR9&gt;=$GO$17,NOT($GR9="")),AND($HN9&gt;=$HK$17,NOT($HN9="")),AND($IJ9&gt;=$IG$17,NOT($IJ9="")),AND($JF9&gt;=$JC$17,NOT($JF9="")),AND($KB9&gt;=$JY$17,NOT($KB9="")),AND($KX9&gt;=$KU$17,NOT($KX9="")),AND($LT9&gt;=$LQ$17,NOT($LT9=""))),"P","")</f>
        <v/>
      </c>
      <c r="H9" s="4" t="str">
        <f>IF(OR(AND($AN9&gt;=$AL$18,NOT($AN9=""),$AJ9=""),AND($BK9&gt;=$BI$18,NOT($BK9=""),$BG9=""),AND($CK9&gt;=$CI$18,NOT($CK9="")),AND($DG9&gt;=$DE$18,NOT($DG9="")),AND($EC9&gt;=$EA$18,NOT($EC9="")),AND($EY9&gt;=$EW$18,NOT($EY9="")),AND($FU9&gt;=$FS$18,NOT($FU9="")),AND($GQ9&gt;=$GO$18,NOT($GQ9="")),AND($HM9&gt;=$HK$18,NOT($HM9="")),AND($II9&gt;=$IG$18,NOT($II9="")),AND($JE9&gt;=$JC$18,NOT($JE9="")),AND($KA9&gt;=$JY$18,NOT($KA9="")),AND($KW9&gt;=$KU$18,NOT($KW9="")),AND($LS9&gt;=$LQ$18,NOT($LS9=""))),"P","")</f>
        <v/>
      </c>
      <c r="I9" t="str">
        <f>IF(AND(H9="P",F9=""),"No DD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Merit",IF(AND(G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Excellence",IF(AND(G9="P",OR(AND($AN9&gt;$AL$19,NOT($AN9=""),$AJ9=""),AND($BK9&gt;$BI$19,NOT($BK9=""),$BG9=""),AND($CK9&gt;$CI$19,NOT($CK9="")),AND($DG9&gt;$DE$19,NOT($DG9="")),AND($EC9&gt;$EA$19,NOT($EC9="")),AND($EY9&gt;$EW$19,NOT($EY9="")),AND($FU9&gt;$FS$19,NOT($FU9="")),AND($GQ9&gt;$GO$19,NOT($GQ9="")),AND($HM9&gt;$HK$19,NOT($HM9="")),AND($II9&gt;$IG$19,NOT($II9="")),AND($JE9&gt;$JC$19,NOT($JE9="")),AND($KA9&gt;$JY$19,NOT($KA9="")),AND($KW9&gt;$KU$19,NOT($KW9="")),AND($LS9&gt;$LQ$19,NOT($LS9="")))),"Worlds Team",IF(AND(F9="P",OR(AND($AN9&gt;$AL$18,NOT($AN9=""),$AJ9=""),AND($BK9&gt;$BI$18,NOT($BK9=""),$BG9=""),AND($CK9&gt;$CI$18,NOT($CK9="")),AND($DG9&gt;$DE$18,NOT($DG9="")),AND($EC9&gt;$EA$18,NOT($EC9="")),AND($EY9&gt;$EW$18,NOT($EY9="")),AND($FU9&gt;$FS$18,NOT($FU9="")),AND($GQ9&gt;$GO$18,NOT($GQ9="")),AND($HM9&gt;$HK$18,NOT($HM9="")),AND($II9&gt;$IG$18,NOT($II9="")),AND($JE9&gt;$JC$18,NOT($JE9="")),AND($KA9&gt;$JY$18,NOT($KA9="")),AND($KW9&gt;$KU$18,NOT($KW9="")),AND($LS9&gt;$LQ$18,NOT($LS9="")))),"National Team","")))))</f>
        <v/>
      </c>
      <c r="J9" s="15">
        <f>IF(MAX(AN9,BK9)&gt;0,MAX(AN9,BK9),"")</f>
        <v>81.919999999999987</v>
      </c>
      <c r="K9" s="15" t="str">
        <f>IF(J9="","",IF(J9=BK9,$AR$1,IF(J9=AN9,$U$1,"")))</f>
        <v>2019 Nationals</v>
      </c>
      <c r="L9" s="15" t="str">
        <f>IF($J9=$AN9,BI9,IF($J9=$BK9,AL9,MAX(AL9,BI9)))</f>
        <v/>
      </c>
      <c r="M9" s="15" t="str">
        <f>IF(L9="","",IF(AND(L9=BI9,$K9&lt;&gt;$AR$1),$AR$1,IF(AND(L9=AL9,$K9&lt;&gt;$U$1),$U$1,"")))</f>
        <v/>
      </c>
      <c r="N9" s="15" t="str">
        <f>IF($J9=$AN9,BJ9,IF($J9=$BK9,AM9,MAX(AM9,BJ9)))</f>
        <v/>
      </c>
      <c r="O9" s="15" t="str">
        <f>IF(N9="","",IF(AND(N9=BJ9,$K9&lt;&gt;$AR$1),$AR$1,IF(AND(N9=AM9,$K9&lt;&gt;$U$1),$U$1,"")))</f>
        <v/>
      </c>
      <c r="P9" s="15">
        <f>IF(MAX(AP9,BM9)&gt;0,MAX(AP9,BM9),"")</f>
        <v>43.03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82"/>
      <c r="AK9" s="12" t="str">
        <f>IF(AB9&gt;0,AB9,"")</f>
        <v/>
      </c>
      <c r="AL9" s="12" t="str">
        <f>IF(SUM(U9:X9)-Y9&gt;0,SUM(U9:X9)-Y9,"")</f>
        <v/>
      </c>
      <c r="AM9" s="12" t="str">
        <f>IF(SUM(Z9:AC9)-AD9&gt;0,SUM(Z9:AC9)-AD9,"")</f>
        <v/>
      </c>
      <c r="AN9" s="12" t="str">
        <f>IF(SUM(AL9:AM9)&gt;0,SUM(AL9:AM9),"")</f>
        <v/>
      </c>
      <c r="AO9" s="12" t="str">
        <f>IF(AG9&gt;0,AG9,"")</f>
        <v/>
      </c>
      <c r="AP9" s="12" t="str">
        <f>IF(SUM(AE9:AH9)-AI9&gt;0,SUM(AE9:AH9)-AI9,"")</f>
        <v/>
      </c>
      <c r="AQ9" s="12" t="str">
        <f>IF(SUM(AN9,AP9)&gt;0,SUM(AN9,AP9),"")</f>
        <v/>
      </c>
      <c r="AR9" s="40">
        <v>8.75</v>
      </c>
      <c r="AS9" s="40">
        <v>9.3000000000000007</v>
      </c>
      <c r="AT9" s="40">
        <v>2.9</v>
      </c>
      <c r="AU9" s="40">
        <v>16.62</v>
      </c>
      <c r="AV9" s="40">
        <v>0</v>
      </c>
      <c r="AW9" s="40">
        <v>8.1</v>
      </c>
      <c r="AX9" s="40">
        <v>9.0500000000000007</v>
      </c>
      <c r="AY9" s="40">
        <v>9.1999999999999993</v>
      </c>
      <c r="AZ9" s="40">
        <v>18</v>
      </c>
      <c r="BA9" s="40">
        <v>0</v>
      </c>
      <c r="BB9" s="40">
        <v>7.4</v>
      </c>
      <c r="BC9" s="40">
        <v>9.15</v>
      </c>
      <c r="BD9" s="40">
        <v>9.1999999999999993</v>
      </c>
      <c r="BE9" s="40">
        <v>17.28</v>
      </c>
      <c r="BF9" s="40">
        <v>0</v>
      </c>
      <c r="BG9" s="83"/>
      <c r="BH9" s="15">
        <f>IF(AY9&gt;0,AY9,"")</f>
        <v>9.1999999999999993</v>
      </c>
      <c r="BI9" s="15">
        <f>IF(SUM(AR9:AU9)-AV9&gt;0,SUM(AR9:AU9)-AV9,"")</f>
        <v>37.57</v>
      </c>
      <c r="BJ9" s="15">
        <f>IF(SUM(AW9:AZ9)-BA9&gt;0,SUM(AW9:AZ9)-BA9,"")</f>
        <v>44.349999999999994</v>
      </c>
      <c r="BK9" s="15">
        <f>IF(SUM(BI9:BJ9)&gt;0,SUM(BI9:BJ9),"")</f>
        <v>81.919999999999987</v>
      </c>
      <c r="BL9" s="15">
        <f>IF(BD9&gt;0,BD9,"")</f>
        <v>9.1999999999999993</v>
      </c>
      <c r="BM9" s="15">
        <f>IF(SUM(BB9:BE9)-BF9&gt;0,SUM(BB9:BE9)-BF9,"")</f>
        <v>43.03</v>
      </c>
      <c r="BN9" s="15">
        <f>IF(SUM(BK9,BM9)&gt;0,SUM(BK9,BM9),"")</f>
        <v>124.94999999999999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7"/>
        <v>4.375</v>
      </c>
      <c r="LX9" s="71">
        <f t="shared" si="8"/>
        <v>4.6500000000000004</v>
      </c>
      <c r="LY9" s="71">
        <f t="shared" si="9"/>
        <v>1.45</v>
      </c>
      <c r="LZ9" s="71">
        <f t="shared" si="10"/>
        <v>8.31</v>
      </c>
      <c r="MA9" s="71">
        <f t="shared" si="11"/>
        <v>0</v>
      </c>
      <c r="MB9" s="71">
        <f t="shared" si="12"/>
        <v>4.05</v>
      </c>
      <c r="MC9" s="71">
        <f t="shared" si="13"/>
        <v>4.5250000000000004</v>
      </c>
      <c r="MD9" s="71">
        <f t="shared" si="14"/>
        <v>4.5999999999999996</v>
      </c>
      <c r="ME9" s="71">
        <f t="shared" si="15"/>
        <v>9</v>
      </c>
      <c r="MF9" s="71">
        <f t="shared" si="16"/>
        <v>0</v>
      </c>
      <c r="MG9" s="71">
        <f t="shared" si="17"/>
        <v>3.7</v>
      </c>
      <c r="MH9" s="71">
        <f t="shared" si="18"/>
        <v>4.5750000000000002</v>
      </c>
      <c r="MI9" s="71">
        <f t="shared" si="19"/>
        <v>4.5999999999999996</v>
      </c>
      <c r="MJ9" s="71">
        <f t="shared" si="20"/>
        <v>8.64</v>
      </c>
      <c r="MK9" s="71">
        <f t="shared" si="21"/>
        <v>0</v>
      </c>
      <c r="ML9" s="82" t="s">
        <v>96</v>
      </c>
      <c r="MM9" s="12">
        <f t="shared" si="22"/>
        <v>4.5999999999999996</v>
      </c>
      <c r="MN9" s="12">
        <f t="shared" si="2"/>
        <v>18.785</v>
      </c>
      <c r="MO9" s="12">
        <f t="shared" si="23"/>
        <v>22.174999999999997</v>
      </c>
      <c r="MP9" s="12">
        <f t="shared" si="24"/>
        <v>40.959999999999994</v>
      </c>
      <c r="MQ9" s="12">
        <f t="shared" si="25"/>
        <v>4.5999999999999996</v>
      </c>
      <c r="MR9" s="12">
        <f t="shared" si="26"/>
        <v>21.515000000000001</v>
      </c>
      <c r="MS9" s="12">
        <f t="shared" si="27"/>
        <v>62.474999999999994</v>
      </c>
    </row>
    <row r="10" spans="1:357" x14ac:dyDescent="0.2">
      <c r="A10" s="6" t="str">
        <f>IF(AND(F10="P",H10="P"),SUMPRODUCT((F$4:F$14="P")*(H$4:H$14="P")*(E$4:E$14&gt;E10))+1,IF(H10="P",SUMPRODUCT((F$4:F$14="")*(H$4:H$14="P")*(E$4:E$14&gt;E10))+1+SUMPRODUCT((F$4:F$14="P")*(H$4:H$14="P")),""))</f>
        <v/>
      </c>
      <c r="B10" s="7" t="s">
        <v>93</v>
      </c>
      <c r="C10" s="8" t="s">
        <v>3</v>
      </c>
      <c r="D10" s="6" t="s">
        <v>102</v>
      </c>
      <c r="E10" s="16">
        <f>SUM(J10:R10)</f>
        <v>119.77000000000001</v>
      </c>
      <c r="F10" s="4" t="str">
        <f>IF(OR(AND($AK10&gt;=$AL$16,NOT($AK10=""),$AJ10=""),AND($BH10&gt;=$BI$16,NOT($BH10=""),$BG10=""),AND($CH10&gt;=$CI$16,NOT($CH10="")),AND($DD10&gt;=$DE$16,NOT($DD10="")),AND($DZ10&gt;=$EA$16,NOT($DZ10="")),AND($EV10&gt;=$EW$16,NOT($EV10="")),AND($FR10&gt;=$FS$16,NOT($FR10="")),AND($GN10&gt;=$GO$16,NOT($GN10="")),AND($HJ10&gt;=$HK$16,NOT($HJ10="")),AND($IF10&gt;=$IG$16,NOT($IF10="")),AND($JB10&gt;=$JC$16,NOT($JB10="")),AND($JX10&gt;=$JY$16,NOT($JX10="")),AND($KT10&gt;=$KU$16,NOT($KT10="")),AND($LP10&gt;=$LQ$16,NOT($LP10="")),AND($AO10&gt;=$AL$16,NOT($AO10=""),$AJ10=""),AND($BL10&gt;=$BI$16,NOT($BL10=""),$BG10=""),AND($CL10&gt;=$CI$16,NOT($CL10="")),AND($DH10&gt;=$DE$16,NOT($DH10="")),AND($ED10&gt;=$EA$16,NOT($ED10="")),AND($EZ10&gt;=$EW$16,NOT($EZ10="")),AND($FV10&gt;=$FS$16,NOT($FV10="")),AND($GR10&gt;=$GO$16,NOT($GR10="")),AND($HN10&gt;=$HK$16,NOT($HN10="")),AND($IJ10&gt;=$IG$16,NOT($IJ10="")),AND($JF10&gt;=$JC$16,NOT($JF10="")),AND($KB10&gt;=$JY$16,NOT($KB10="")),AND($KX10&gt;=$KU$16,NOT($KX10="")),AND($LT10&gt;=$LQ$16,NOT($LT10=""))),"P","")</f>
        <v/>
      </c>
      <c r="G10" s="4" t="str">
        <f>IF(OR(AND($AK10&gt;=$AL$17,NOT($AK10=""),$AJ10=""),AND($BH10&gt;=$BI$17,NOT($BH10=""),$BG10=""),AND($CH10&gt;=$CI$17,NOT($CH10="")),AND($DD10&gt;=$DE$17,NOT($DD10="")),AND($DZ10&gt;=$EA$17,NOT($DZ10="")),AND($EV10&gt;=$EW$17,NOT($EV10="")),AND($FR10&gt;=$FS$17,NOT($FR10="")),AND($GN10&gt;=$GO$17,NOT($GN10="")),AND($HJ10&gt;=$HK$17,NOT($HJ10="")),AND($IF10&gt;=$IG$17,NOT($IF10="")),AND($JB10&gt;=$JC$17,NOT($JB10="")),AND($JX10&gt;=$JY$17,NOT($JX10="")),AND($KT10&gt;=$KU$17,NOT($KT10="")),AND($LP10&gt;=$LQ$17,NOT($LP10="")),AND($AO10&gt;=$AL$17,NOT($AO10=""),$AJ10=""),AND($BL10&gt;=$BI$17,NOT($BL10=""),$BG10=""),AND($CL10&gt;=$CI$17,NOT($CL10="")),AND($DH10&gt;=$DE$17,NOT($DH10="")),AND($ED10&gt;=$EA$17,NOT($ED10="")),AND($EZ10&gt;=$EW$17,NOT($EZ10="")),AND($FV10&gt;=$FS$17,NOT($FV10="")),AND($GR10&gt;=$GO$17,NOT($GR10="")),AND($HN10&gt;=$HK$17,NOT($HN10="")),AND($IJ10&gt;=$IG$17,NOT($IJ10="")),AND($JF10&gt;=$JC$17,NOT($JF10="")),AND($KB10&gt;=$JY$17,NOT($KB10="")),AND($KX10&gt;=$KU$17,NOT($KX10="")),AND($LT10&gt;=$LQ$17,NOT($LT10=""))),"P","")</f>
        <v/>
      </c>
      <c r="H10" s="4" t="str">
        <f>IF(OR(AND($AN10&gt;=$AL$18,NOT($AN10=""),$AJ10=""),AND($BK10&gt;=$BI$18,NOT($BK10=""),$BG10=""),AND($CK10&gt;=$CI$18,NOT($CK10="")),AND($DG10&gt;=$DE$18,NOT($DG10="")),AND($EC10&gt;=$EA$18,NOT($EC10="")),AND($EY10&gt;=$EW$18,NOT($EY10="")),AND($FU10&gt;=$FS$18,NOT($FU10="")),AND($GQ10&gt;=$GO$18,NOT($GQ10="")),AND($HM10&gt;=$HK$18,NOT($HM10="")),AND($II10&gt;=$IG$18,NOT($II10="")),AND($JE10&gt;=$JC$18,NOT($JE10="")),AND($KA10&gt;=$JY$18,NOT($KA10="")),AND($KW10&gt;=$KU$18,NOT($KW10="")),AND($LS10&gt;=$LQ$18,NOT($LS10=""))),"P","")</f>
        <v/>
      </c>
      <c r="I10" t="str">
        <f>IF(AND(H10="P",F10=""),"No DD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Merit",IF(AND(G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Excellence",IF(AND(G10="P",OR(AND($AN10&gt;$AL$19,NOT($AN10=""),$AJ10=""),AND($BK10&gt;$BI$19,NOT($BK10=""),$BG10=""),AND($CK10&gt;$CI$19,NOT($CK10="")),AND($DG10&gt;$DE$19,NOT($DG10="")),AND($EC10&gt;$EA$19,NOT($EC10="")),AND($EY10&gt;$EW$19,NOT($EY10="")),AND($FU10&gt;$FS$19,NOT($FU10="")),AND($GQ10&gt;$GO$19,NOT($GQ10="")),AND($HM10&gt;$HK$19,NOT($HM10="")),AND($II10&gt;$IG$19,NOT($II10="")),AND($JE10&gt;$JC$19,NOT($JE10="")),AND($KA10&gt;$JY$19,NOT($KA10="")),AND($KW10&gt;$KU$19,NOT($KW10="")),AND($LS10&gt;$LQ$19,NOT($LS10="")))),"Worlds Team",IF(AND(F10="P",OR(AND($AN10&gt;$AL$18,NOT($AN10=""),$AJ10=""),AND($BK10&gt;$BI$18,NOT($BK10=""),$BG10=""),AND($CK10&gt;$CI$18,NOT($CK10="")),AND($DG10&gt;$DE$18,NOT($DG10="")),AND($EC10&gt;$EA$18,NOT($EC10="")),AND($EY10&gt;$EW$18,NOT($EY10="")),AND($FU10&gt;$FS$18,NOT($FU10="")),AND($GQ10&gt;$GO$18,NOT($GQ10="")),AND($HM10&gt;$HK$18,NOT($HM10="")),AND($II10&gt;$IG$18,NOT($II10="")),AND($JE10&gt;$JC$18,NOT($JE10="")),AND($KA10&gt;$JY$18,NOT($KA10="")),AND($KW10&gt;$KU$18,NOT($KW10="")),AND($LS10&gt;$LQ$18,NOT($LS10="")))),"National Team","")))))</f>
        <v/>
      </c>
      <c r="J10" s="15">
        <f>IF(MAX(AN10,BK10)&gt;0,MAX(AN10,BK10),"")</f>
        <v>87.352500000000006</v>
      </c>
      <c r="K10" s="15" t="str">
        <f>IF(J10="","",IF(J10=BK10,$AR$1,IF(J10=AN10,$U$1,"")))</f>
        <v>2019 Elite Canada</v>
      </c>
      <c r="L10" s="15" t="str">
        <f>IF($J10=$AN10,BI10,IF($J10=$BK10,AL10,MAX(AL10,BI10)))</f>
        <v/>
      </c>
      <c r="M10" s="15" t="str">
        <f>IF(L10="","",IF(AND(L10=BI10,$K10&lt;&gt;$AR$1),$AR$1,IF(AND(L10=AL10,$K10&lt;&gt;$U$1),$U$1,"")))</f>
        <v/>
      </c>
      <c r="N10" s="15" t="str">
        <f>IF($J10=$AN10,BJ10,IF($J10=$BK10,AM10,MAX(AM10,BJ10)))</f>
        <v/>
      </c>
      <c r="O10" s="15" t="str">
        <f>IF(N10="","",IF(AND(N10=BJ10,$K10&lt;&gt;$AR$1),$AR$1,IF(AND(N10=AM10,$K10&lt;&gt;$U$1),$U$1,"")))</f>
        <v/>
      </c>
      <c r="P10" s="15">
        <f>IF(MAX(AP10,BM10)&gt;0,MAX(AP10,BM10),"")</f>
        <v>32.417500000000004</v>
      </c>
      <c r="Q10" s="15" t="str">
        <f>IF(P10="","",IF(P10=BM10,$AR$1,IF(P10=AP10,$U$1,"")))</f>
        <v>2019 Elite Canada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9">
        <v>8.9250000000000007</v>
      </c>
      <c r="V10" s="39">
        <v>9.125</v>
      </c>
      <c r="W10" s="39">
        <v>4.4000000000000004</v>
      </c>
      <c r="X10" s="39">
        <v>18.520000000000003</v>
      </c>
      <c r="Y10" s="39">
        <v>0</v>
      </c>
      <c r="Z10" s="39">
        <v>8.3625000000000007</v>
      </c>
      <c r="AA10" s="39">
        <v>9.1</v>
      </c>
      <c r="AB10" s="39">
        <v>11.1</v>
      </c>
      <c r="AC10" s="39">
        <v>17.82</v>
      </c>
      <c r="AD10" s="39">
        <v>0</v>
      </c>
      <c r="AE10" s="39">
        <v>5.7374999999999998</v>
      </c>
      <c r="AF10" s="39">
        <v>6.3</v>
      </c>
      <c r="AG10" s="39">
        <v>8.25</v>
      </c>
      <c r="AH10" s="39">
        <v>12.129999999999999</v>
      </c>
      <c r="AI10" s="39">
        <v>0</v>
      </c>
      <c r="AJ10" s="82" t="s">
        <v>96</v>
      </c>
      <c r="AK10" s="12">
        <f>IF(AB10&gt;0,AB10,"")</f>
        <v>11.1</v>
      </c>
      <c r="AL10" s="12">
        <f>IF(SUM(U10:X10)-Y10&gt;0,SUM(U10:X10)-Y10,"")</f>
        <v>40.970000000000006</v>
      </c>
      <c r="AM10" s="12">
        <f>IF(SUM(Z10:AC10)-AD10&gt;0,SUM(Z10:AC10)-AD10,"")</f>
        <v>46.3825</v>
      </c>
      <c r="AN10" s="12">
        <f>IF(SUM(AL10:AM10)&gt;0,SUM(AL10:AM10),"")</f>
        <v>87.352500000000006</v>
      </c>
      <c r="AO10" s="12">
        <f>IF(AG10&gt;0,AG10,"")</f>
        <v>8.25</v>
      </c>
      <c r="AP10" s="12">
        <f>IF(SUM(AE10:AH10)-AI10&gt;0,SUM(AE10:AH10)-AI10,"")</f>
        <v>32.417500000000004</v>
      </c>
      <c r="AQ10" s="12">
        <f>IF(SUM(AN10,AP10)&gt;0,SUM(AN10,AP10),"")</f>
        <v>119.77000000000001</v>
      </c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83"/>
      <c r="BH10" s="15" t="str">
        <f>IF(AY10&gt;0,AY10,"")</f>
        <v/>
      </c>
      <c r="BI10" s="15" t="str">
        <f>IF(SUM(AR10:AU10)-AV10&gt;0,SUM(AR10:AU10)-AV10,"")</f>
        <v/>
      </c>
      <c r="BJ10" s="15" t="str">
        <f>IF(SUM(AW10:AZ10)-BA10&gt;0,SUM(AW10:AZ10)-BA10,"")</f>
        <v/>
      </c>
      <c r="BK10" s="15" t="str">
        <f>IF(SUM(BI10:BJ10)&gt;0,SUM(BI10:BJ10),"")</f>
        <v/>
      </c>
      <c r="BL10" s="15" t="str">
        <f>IF(BD10&gt;0,BD10,"")</f>
        <v/>
      </c>
      <c r="BM10" s="15" t="str">
        <f>IF(SUM(BB10:BE10)-BF10&gt;0,SUM(BB10:BE10)-BF10,"")</f>
        <v/>
      </c>
      <c r="BN10" s="15" t="str">
        <f>IF(SUM(BK10,BM10)&gt;0,SUM(BK10,BM10),"")</f>
        <v/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7"/>
        <v>4.4625000000000004</v>
      </c>
      <c r="LX10" s="71">
        <f t="shared" si="8"/>
        <v>4.5625</v>
      </c>
      <c r="LY10" s="71">
        <f t="shared" si="9"/>
        <v>2.2000000000000002</v>
      </c>
      <c r="LZ10" s="71">
        <f t="shared" si="10"/>
        <v>9.2600000000000016</v>
      </c>
      <c r="MA10" s="71">
        <f t="shared" si="11"/>
        <v>0</v>
      </c>
      <c r="MB10" s="71">
        <f t="shared" si="12"/>
        <v>4.1812500000000004</v>
      </c>
      <c r="MC10" s="71">
        <f t="shared" si="13"/>
        <v>4.55</v>
      </c>
      <c r="MD10" s="71">
        <f t="shared" si="14"/>
        <v>5.55</v>
      </c>
      <c r="ME10" s="71">
        <f t="shared" si="15"/>
        <v>8.91</v>
      </c>
      <c r="MF10" s="71">
        <f t="shared" si="16"/>
        <v>0</v>
      </c>
      <c r="MG10" s="71">
        <f t="shared" si="17"/>
        <v>2.8687499999999999</v>
      </c>
      <c r="MH10" s="71">
        <f t="shared" si="18"/>
        <v>3.15</v>
      </c>
      <c r="MI10" s="71">
        <f t="shared" si="19"/>
        <v>4.125</v>
      </c>
      <c r="MJ10" s="71">
        <f t="shared" si="20"/>
        <v>6.0649999999999995</v>
      </c>
      <c r="MK10" s="71">
        <f t="shared" si="21"/>
        <v>0</v>
      </c>
      <c r="ML10" s="82" t="s">
        <v>96</v>
      </c>
      <c r="MM10" s="12">
        <f t="shared" si="22"/>
        <v>5.55</v>
      </c>
      <c r="MN10" s="12">
        <f t="shared" si="2"/>
        <v>20.485000000000003</v>
      </c>
      <c r="MO10" s="12">
        <f t="shared" si="23"/>
        <v>23.19125</v>
      </c>
      <c r="MP10" s="12">
        <f t="shared" si="24"/>
        <v>43.676250000000003</v>
      </c>
      <c r="MQ10" s="12">
        <f t="shared" si="25"/>
        <v>4.125</v>
      </c>
      <c r="MR10" s="12">
        <f t="shared" si="26"/>
        <v>16.208750000000002</v>
      </c>
      <c r="MS10" s="12">
        <f t="shared" si="27"/>
        <v>59.885000000000005</v>
      </c>
    </row>
    <row r="11" spans="1:357" x14ac:dyDescent="0.2">
      <c r="A11" s="6">
        <f>IF(AND(F11="P",H11="P"),SUMPRODUCT((F$4:F$14="P")*(H$4:H$14="P")*(E$4:E$14&gt;E11))+1,IF(H11="P",SUMPRODUCT((F$4:F$14="")*(H$4:H$14="P")*(E$4:E$14&gt;E11))+1+SUMPRODUCT((F$4:F$14="P")*(H$4:H$14="P")),""))</f>
        <v>5</v>
      </c>
      <c r="B11" s="7" t="s">
        <v>165</v>
      </c>
      <c r="C11" s="8" t="s">
        <v>3</v>
      </c>
      <c r="D11" s="6" t="s">
        <v>164</v>
      </c>
      <c r="E11" s="16">
        <f>SUM(J11:R11)</f>
        <v>109.48999999999998</v>
      </c>
      <c r="F11" s="4" t="str">
        <f>IF(OR(AND($AK11&gt;=$AL$16,NOT($AK11=""),$AJ11=""),AND($BH11&gt;=$BI$16,NOT($BH11=""),$BG11=""),AND($CH11&gt;=$CI$16,NOT($CH11="")),AND($DD11&gt;=$DE$16,NOT($DD11="")),AND($DZ11&gt;=$EA$16,NOT($DZ11="")),AND($EV11&gt;=$EW$16,NOT($EV11="")),AND($FR11&gt;=$FS$16,NOT($FR11="")),AND($GN11&gt;=$GO$16,NOT($GN11="")),AND($HJ11&gt;=$HK$16,NOT($HJ11="")),AND($IF11&gt;=$IG$16,NOT($IF11="")),AND($JB11&gt;=$JC$16,NOT($JB11="")),AND($JX11&gt;=$JY$16,NOT($JX11="")),AND($KT11&gt;=$KU$16,NOT($KT11="")),AND($LP11&gt;=$LQ$16,NOT($LP11="")),AND($AO11&gt;=$AL$16,NOT($AO11=""),$AJ11=""),AND($BL11&gt;=$BI$16,NOT($BL11=""),$BG11=""),AND($CL11&gt;=$CI$16,NOT($CL11="")),AND($DH11&gt;=$DE$16,NOT($DH11="")),AND($ED11&gt;=$EA$16,NOT($ED11="")),AND($EZ11&gt;=$EW$16,NOT($EZ11="")),AND($FV11&gt;=$FS$16,NOT($FV11="")),AND($GR11&gt;=$GO$16,NOT($GR11="")),AND($HN11&gt;=$HK$16,NOT($HN11="")),AND($IJ11&gt;=$IG$16,NOT($IJ11="")),AND($JF11&gt;=$JC$16,NOT($JF11="")),AND($KB11&gt;=$JY$16,NOT($KB11="")),AND($KX11&gt;=$KU$16,NOT($KX11="")),AND($LT11&gt;=$LQ$16,NOT($LT11=""))),"P","")</f>
        <v/>
      </c>
      <c r="G11" s="4" t="str">
        <f>IF(OR(AND($AK11&gt;=$AL$17,NOT($AK11=""),$AJ11=""),AND($BH11&gt;=$BI$17,NOT($BH11=""),$BG11=""),AND($CH11&gt;=$CI$17,NOT($CH11="")),AND($DD11&gt;=$DE$17,NOT($DD11="")),AND($DZ11&gt;=$EA$17,NOT($DZ11="")),AND($EV11&gt;=$EW$17,NOT($EV11="")),AND($FR11&gt;=$FS$17,NOT($FR11="")),AND($GN11&gt;=$GO$17,NOT($GN11="")),AND($HJ11&gt;=$HK$17,NOT($HJ11="")),AND($IF11&gt;=$IG$17,NOT($IF11="")),AND($JB11&gt;=$JC$17,NOT($JB11="")),AND($JX11&gt;=$JY$17,NOT($JX11="")),AND($KT11&gt;=$KU$17,NOT($KT11="")),AND($LP11&gt;=$LQ$17,NOT($LP11="")),AND($AO11&gt;=$AL$17,NOT($AO11=""),$AJ11=""),AND($BL11&gt;=$BI$17,NOT($BL11=""),$BG11=""),AND($CL11&gt;=$CI$17,NOT($CL11="")),AND($DH11&gt;=$DE$17,NOT($DH11="")),AND($ED11&gt;=$EA$17,NOT($ED11="")),AND($EZ11&gt;=$EW$17,NOT($EZ11="")),AND($FV11&gt;=$FS$17,NOT($FV11="")),AND($GR11&gt;=$GO$17,NOT($GR11="")),AND($HN11&gt;=$HK$17,NOT($HN11="")),AND($IJ11&gt;=$IG$17,NOT($IJ11="")),AND($JF11&gt;=$JC$17,NOT($JF11="")),AND($KB11&gt;=$JY$17,NOT($KB11="")),AND($KX11&gt;=$KU$17,NOT($KX11="")),AND($LT11&gt;=$LQ$17,NOT($LT11=""))),"P","")</f>
        <v/>
      </c>
      <c r="H11" s="4" t="str">
        <f>IF(OR(AND($AN11&gt;=$AL$18,NOT($AN11=""),$AJ11=""),AND($BK11&gt;=$BI$18,NOT($BK11=""),$BG11=""),AND($CK11&gt;=$CI$18,NOT($CK11="")),AND($DG11&gt;=$DE$18,NOT($DG11="")),AND($EC11&gt;=$EA$18,NOT($EC11="")),AND($EY11&gt;=$EW$18,NOT($EY11="")),AND($FU11&gt;=$FS$18,NOT($FU11="")),AND($GQ11&gt;=$GO$18,NOT($GQ11="")),AND($HM11&gt;=$HK$18,NOT($HM11="")),AND($II11&gt;=$IG$18,NOT($II11="")),AND($JE11&gt;=$JC$18,NOT($JE11="")),AND($KA11&gt;=$JY$18,NOT($KA11="")),AND($KW11&gt;=$KU$18,NOT($KW11="")),AND($LS11&gt;=$LQ$18,NOT($LS11=""))),"P","")</f>
        <v>P</v>
      </c>
      <c r="I11" t="str">
        <f>IF(AND(H11="P",F11=""),"No DD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Merit",IF(AND(G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Excellence",IF(AND(G11="P",OR(AND($AN11&gt;$AL$19,NOT($AN11=""),$AJ11=""),AND($BK11&gt;$BI$19,NOT($BK11=""),$BG11=""),AND($CK11&gt;$CI$19,NOT($CK11="")),AND($DG11&gt;$DE$19,NOT($DG11="")),AND($EC11&gt;$EA$19,NOT($EC11="")),AND($EY11&gt;$EW$19,NOT($EY11="")),AND($FU11&gt;$FS$19,NOT($FU11="")),AND($GQ11&gt;$GO$19,NOT($GQ11="")),AND($HM11&gt;$HK$19,NOT($HM11="")),AND($II11&gt;$IG$19,NOT($II11="")),AND($JE11&gt;$JC$19,NOT($JE11="")),AND($KA11&gt;$JY$19,NOT($KA11="")),AND($KW11&gt;$KU$19,NOT($KW11="")),AND($LS11&gt;$LQ$19,NOT($LS11="")))),"Worlds Team",IF(AND(F11="P",OR(AND($AN11&gt;$AL$18,NOT($AN11=""),$AJ11=""),AND($BK11&gt;$BI$18,NOT($BK11=""),$BG11=""),AND($CK11&gt;$CI$18,NOT($CK11="")),AND($DG11&gt;$DE$18,NOT($DG11="")),AND($EC11&gt;$EA$18,NOT($EC11="")),AND($EY11&gt;$EW$18,NOT($EY11="")),AND($FU11&gt;$FS$18,NOT($FU11="")),AND($GQ11&gt;$GO$18,NOT($GQ11="")),AND($HM11&gt;$HK$18,NOT($HM11="")),AND($II11&gt;$IG$18,NOT($II11="")),AND($JE11&gt;$JC$18,NOT($JE11="")),AND($KA11&gt;$JY$18,NOT($KA11="")),AND($KW11&gt;$KU$18,NOT($KW11="")),AND($LS11&gt;$LQ$18,NOT($LS11="")))),"National Team","")))))</f>
        <v>No DD</v>
      </c>
      <c r="J11" s="15">
        <f>IF(MAX(AN11,BK11)&gt;0,MAX(AN11,BK11),"")</f>
        <v>86.169999999999987</v>
      </c>
      <c r="K11" s="15" t="str">
        <f>IF(J11="","",IF(J11=BK11,$AR$1,IF(J11=AN11,$U$1,"")))</f>
        <v>2019 Nationals</v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23.32</v>
      </c>
      <c r="Q11" s="15" t="str">
        <f>IF(P11="","",IF(P11=BM11,$AR$1,IF(P11=AP11,$U$1,"")))</f>
        <v>2019 Nationals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82"/>
      <c r="AK11" s="12" t="str">
        <f>IF(AB11&gt;0,AB11,"")</f>
        <v/>
      </c>
      <c r="AL11" s="12" t="str">
        <f>IF(SUM(U11:X11)-Y11&gt;0,SUM(U11:X11)-Y11,"")</f>
        <v/>
      </c>
      <c r="AM11" s="12" t="str">
        <f>IF(SUM(Z11:AC11)-AD11&gt;0,SUM(Z11:AC11)-AD11,"")</f>
        <v/>
      </c>
      <c r="AN11" s="12" t="str">
        <f>IF(SUM(AL11:AM11)&gt;0,SUM(AL11:AM11),"")</f>
        <v/>
      </c>
      <c r="AO11" s="12" t="str">
        <f>IF(AG11&gt;0,AG11,"")</f>
        <v/>
      </c>
      <c r="AP11" s="12" t="str">
        <f>IF(SUM(AE11:AH11)-AI11&gt;0,SUM(AE11:AH11)-AI11,"")</f>
        <v/>
      </c>
      <c r="AQ11" s="12" t="str">
        <f>IF(SUM(AN11,AP11)&gt;0,SUM(AN11,AP11),"")</f>
        <v/>
      </c>
      <c r="AR11" s="40">
        <v>8.85</v>
      </c>
      <c r="AS11" s="40">
        <v>9.4499999999999993</v>
      </c>
      <c r="AT11" s="40">
        <v>3.3</v>
      </c>
      <c r="AU11" s="40">
        <v>18.66</v>
      </c>
      <c r="AV11" s="40">
        <v>0</v>
      </c>
      <c r="AW11" s="40">
        <v>8</v>
      </c>
      <c r="AX11" s="40">
        <v>9.15</v>
      </c>
      <c r="AY11" s="40">
        <v>10.5</v>
      </c>
      <c r="AZ11" s="40">
        <v>18.260000000000002</v>
      </c>
      <c r="BA11" s="40">
        <v>0</v>
      </c>
      <c r="BB11" s="40">
        <v>4</v>
      </c>
      <c r="BC11" s="40">
        <v>4.8</v>
      </c>
      <c r="BD11" s="40">
        <v>5.7</v>
      </c>
      <c r="BE11" s="40">
        <v>8.82</v>
      </c>
      <c r="BF11" s="40">
        <v>0</v>
      </c>
      <c r="BG11" s="83"/>
      <c r="BH11" s="15">
        <f>IF(AY11&gt;0,AY11,"")</f>
        <v>10.5</v>
      </c>
      <c r="BI11" s="15">
        <f>IF(SUM(AR11:AU11)-AV11&gt;0,SUM(AR11:AU11)-AV11,"")</f>
        <v>40.26</v>
      </c>
      <c r="BJ11" s="15">
        <f>IF(SUM(AW11:AZ11)-BA11&gt;0,SUM(AW11:AZ11)-BA11,"")</f>
        <v>45.91</v>
      </c>
      <c r="BK11" s="15">
        <f>IF(SUM(BI11:BJ11)&gt;0,SUM(BI11:BJ11),"")</f>
        <v>86.169999999999987</v>
      </c>
      <c r="BL11" s="15">
        <f>IF(BD11&gt;0,BD11,"")</f>
        <v>5.7</v>
      </c>
      <c r="BM11" s="15">
        <f>IF(SUM(BB11:BE11)-BF11&gt;0,SUM(BB11:BE11)-BF11,"")</f>
        <v>23.32</v>
      </c>
      <c r="BN11" s="15">
        <f>IF(SUM(BK11,BM11)&gt;0,SUM(BK11,BM11),"")</f>
        <v>109.48999999999998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7"/>
        <v>4.4249999999999998</v>
      </c>
      <c r="LX11" s="71">
        <f t="shared" si="8"/>
        <v>4.7249999999999996</v>
      </c>
      <c r="LY11" s="71">
        <f t="shared" si="9"/>
        <v>1.65</v>
      </c>
      <c r="LZ11" s="71">
        <f t="shared" si="10"/>
        <v>9.33</v>
      </c>
      <c r="MA11" s="71">
        <f t="shared" si="11"/>
        <v>0</v>
      </c>
      <c r="MB11" s="71">
        <f t="shared" si="12"/>
        <v>4</v>
      </c>
      <c r="MC11" s="71">
        <f t="shared" si="13"/>
        <v>4.5750000000000002</v>
      </c>
      <c r="MD11" s="71">
        <f t="shared" si="14"/>
        <v>5.25</v>
      </c>
      <c r="ME11" s="71">
        <f t="shared" si="15"/>
        <v>9.1300000000000008</v>
      </c>
      <c r="MF11" s="71">
        <f t="shared" si="16"/>
        <v>0</v>
      </c>
      <c r="MG11" s="71">
        <f t="shared" si="17"/>
        <v>2</v>
      </c>
      <c r="MH11" s="71">
        <f t="shared" si="18"/>
        <v>2.4</v>
      </c>
      <c r="MI11" s="71">
        <f t="shared" si="19"/>
        <v>2.85</v>
      </c>
      <c r="MJ11" s="71">
        <f t="shared" si="20"/>
        <v>4.41</v>
      </c>
      <c r="MK11" s="71">
        <f t="shared" si="21"/>
        <v>0</v>
      </c>
      <c r="ML11" s="82" t="s">
        <v>96</v>
      </c>
      <c r="MM11" s="12">
        <f t="shared" si="22"/>
        <v>5.25</v>
      </c>
      <c r="MN11" s="12">
        <f t="shared" si="2"/>
        <v>20.13</v>
      </c>
      <c r="MO11" s="12">
        <f t="shared" si="23"/>
        <v>22.954999999999998</v>
      </c>
      <c r="MP11" s="12">
        <f t="shared" si="24"/>
        <v>43.084999999999994</v>
      </c>
      <c r="MQ11" s="12">
        <f t="shared" si="25"/>
        <v>2.85</v>
      </c>
      <c r="MR11" s="12">
        <f t="shared" si="26"/>
        <v>11.66</v>
      </c>
      <c r="MS11" s="12">
        <f t="shared" si="27"/>
        <v>54.74499999999999</v>
      </c>
    </row>
    <row r="12" spans="1:357" x14ac:dyDescent="0.2">
      <c r="A12" s="6" t="str">
        <f>IF(AND(F12="P",H12="P"),SUMPRODUCT((F$4:F$14="P")*(H$4:H$14="P")*(E$4:E$14&gt;E12))+1,IF(H12="P",SUMPRODUCT((F$4:F$14="")*(H$4:H$14="P")*(E$4:E$14&gt;E12))+1+SUMPRODUCT((F$4:F$14="P")*(H$4:H$14="P")),""))</f>
        <v/>
      </c>
      <c r="B12" s="7" t="s">
        <v>168</v>
      </c>
      <c r="C12" s="8" t="s">
        <v>118</v>
      </c>
      <c r="D12" s="6" t="s">
        <v>167</v>
      </c>
      <c r="E12" s="16">
        <f>SUM(J12:R12)</f>
        <v>98.980000000000018</v>
      </c>
      <c r="F12" s="4" t="str">
        <f>IF(OR(AND($AK12&gt;=$AL$16,NOT($AK12=""),$AJ12=""),AND($BH12&gt;=$BI$16,NOT($BH12=""),$BG12=""),AND($CH12&gt;=$CI$16,NOT($CH12="")),AND($DD12&gt;=$DE$16,NOT($DD12="")),AND($DZ12&gt;=$EA$16,NOT($DZ12="")),AND($EV12&gt;=$EW$16,NOT($EV12="")),AND($FR12&gt;=$FS$16,NOT($FR12="")),AND($GN12&gt;=$GO$16,NOT($GN12="")),AND($HJ12&gt;=$HK$16,NOT($HJ12="")),AND($IF12&gt;=$IG$16,NOT($IF12="")),AND($JB12&gt;=$JC$16,NOT($JB12="")),AND($JX12&gt;=$JY$16,NOT($JX12="")),AND($KT12&gt;=$KU$16,NOT($KT12="")),AND($LP12&gt;=$LQ$16,NOT($LP12="")),AND($AO12&gt;=$AL$16,NOT($AO12=""),$AJ12=""),AND($BL12&gt;=$BI$16,NOT($BL12=""),$BG12=""),AND($CL12&gt;=$CI$16,NOT($CL12="")),AND($DH12&gt;=$DE$16,NOT($DH12="")),AND($ED12&gt;=$EA$16,NOT($ED12="")),AND($EZ12&gt;=$EW$16,NOT($EZ12="")),AND($FV12&gt;=$FS$16,NOT($FV12="")),AND($GR12&gt;=$GO$16,NOT($GR12="")),AND($HN12&gt;=$HK$16,NOT($HN12="")),AND($IJ12&gt;=$IG$16,NOT($IJ12="")),AND($JF12&gt;=$JC$16,NOT($JF12="")),AND($KB12&gt;=$JY$16,NOT($KB12="")),AND($KX12&gt;=$KU$16,NOT($KX12="")),AND($LT12&gt;=$LQ$16,NOT($LT12=""))),"P","")</f>
        <v/>
      </c>
      <c r="G12" s="4" t="str">
        <f>IF(OR(AND($AK12&gt;=$AL$17,NOT($AK12=""),$AJ12=""),AND($BH12&gt;=$BI$17,NOT($BH12=""),$BG12=""),AND($CH12&gt;=$CI$17,NOT($CH12="")),AND($DD12&gt;=$DE$17,NOT($DD12="")),AND($DZ12&gt;=$EA$17,NOT($DZ12="")),AND($EV12&gt;=$EW$17,NOT($EV12="")),AND($FR12&gt;=$FS$17,NOT($FR12="")),AND($GN12&gt;=$GO$17,NOT($GN12="")),AND($HJ12&gt;=$HK$17,NOT($HJ12="")),AND($IF12&gt;=$IG$17,NOT($IF12="")),AND($JB12&gt;=$JC$17,NOT($JB12="")),AND($JX12&gt;=$JY$17,NOT($JX12="")),AND($KT12&gt;=$KU$17,NOT($KT12="")),AND($LP12&gt;=$LQ$17,NOT($LP12="")),AND($AO12&gt;=$AL$17,NOT($AO12=""),$AJ12=""),AND($BL12&gt;=$BI$17,NOT($BL12=""),$BG12=""),AND($CL12&gt;=$CI$17,NOT($CL12="")),AND($DH12&gt;=$DE$17,NOT($DH12="")),AND($ED12&gt;=$EA$17,NOT($ED12="")),AND($EZ12&gt;=$EW$17,NOT($EZ12="")),AND($FV12&gt;=$FS$17,NOT($FV12="")),AND($GR12&gt;=$GO$17,NOT($GR12="")),AND($HN12&gt;=$HK$17,NOT($HN12="")),AND($IJ12&gt;=$IG$17,NOT($IJ12="")),AND($JF12&gt;=$JC$17,NOT($JF12="")),AND($KB12&gt;=$JY$17,NOT($KB12="")),AND($KX12&gt;=$KU$17,NOT($KX12="")),AND($LT12&gt;=$LQ$17,NOT($LT12=""))),"P","")</f>
        <v/>
      </c>
      <c r="H12" s="4" t="str">
        <f>IF(OR(AND($AN12&gt;=$AL$18,NOT($AN12=""),$AJ12=""),AND($BK12&gt;=$BI$18,NOT($BK12=""),$BG12=""),AND($CK12&gt;=$CI$18,NOT($CK12="")),AND($DG12&gt;=$DE$18,NOT($DG12="")),AND($EC12&gt;=$EA$18,NOT($EC12="")),AND($EY12&gt;=$EW$18,NOT($EY12="")),AND($FU12&gt;=$FS$18,NOT($FU12="")),AND($GQ12&gt;=$GO$18,NOT($GQ12="")),AND($HM12&gt;=$HK$18,NOT($HM12="")),AND($II12&gt;=$IG$18,NOT($II12="")),AND($JE12&gt;=$JC$18,NOT($JE12="")),AND($KA12&gt;=$JY$18,NOT($KA12="")),AND($KW12&gt;=$KU$18,NOT($KW12="")),AND($LS12&gt;=$LQ$18,NOT($LS12=""))),"P","")</f>
        <v/>
      </c>
      <c r="I12" t="str">
        <f>IF(AND(H12="P",F12=""),"No DD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Merit",IF(AND(G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Excellence",IF(AND(G12="P",OR(AND($AN12&gt;$AL$19,NOT($AN12=""),$AJ12=""),AND($BK12&gt;$BI$19,NOT($BK12=""),$BG12=""),AND($CK12&gt;$CI$19,NOT($CK12="")),AND($DG12&gt;$DE$19,NOT($DG12="")),AND($EC12&gt;$EA$19,NOT($EC12="")),AND($EY12&gt;$EW$19,NOT($EY12="")),AND($FU12&gt;$FS$19,NOT($FU12="")),AND($GQ12&gt;$GO$19,NOT($GQ12="")),AND($HM12&gt;$HK$19,NOT($HM12="")),AND($II12&gt;$IG$19,NOT($II12="")),AND($JE12&gt;$JC$19,NOT($JE12="")),AND($KA12&gt;$JY$19,NOT($KA12="")),AND($KW12&gt;$KU$19,NOT($KW12="")),AND($LS12&gt;$LQ$19,NOT($LS12="")))),"Worlds Team",IF(AND(F12="P",OR(AND($AN12&gt;$AL$18,NOT($AN12=""),$AJ12=""),AND($BK12&gt;$BI$18,NOT($BK12=""),$BG12=""),AND($CK12&gt;$CI$18,NOT($CK12="")),AND($DG12&gt;$DE$18,NOT($DG12="")),AND($EC12&gt;$EA$18,NOT($EC12="")),AND($EY12&gt;$EW$18,NOT($EY12="")),AND($FU12&gt;$FS$18,NOT($FU12="")),AND($GQ12&gt;$GO$18,NOT($GQ12="")),AND($HM12&gt;$HK$18,NOT($HM12="")),AND($II12&gt;$IG$18,NOT($II12="")),AND($JE12&gt;$JC$18,NOT($JE12="")),AND($KA12&gt;$JY$18,NOT($KA12="")),AND($KW12&gt;$KU$18,NOT($KW12="")),AND($LS12&gt;$LQ$18,NOT($LS12="")))),"National Team","")))))</f>
        <v/>
      </c>
      <c r="J12" s="15">
        <f>IF(MAX(AN12,BK12)&gt;0,MAX(AN12,BK12),"")</f>
        <v>53.95</v>
      </c>
      <c r="K12" s="15" t="str">
        <f>IF(J12="","",IF(J12=BK12,$AR$1,IF(J12=AN12,$U$1,"")))</f>
        <v>2019 Nationals</v>
      </c>
      <c r="L12" s="15" t="str">
        <f>IF($J12=$AN12,BI12,IF($J12=$BK12,AL12,MAX(AL12,BI12)))</f>
        <v/>
      </c>
      <c r="M12" s="15" t="str">
        <f>IF(L12="","",IF(AND(L12=BI12,$K12&lt;&gt;$AR$1),$AR$1,IF(AND(L12=AL12,$K12&lt;&gt;$U$1),$U$1,"")))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45.030000000000008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2"/>
      <c r="AK12" s="12" t="str">
        <f>IF(AB12&gt;0,AB12,"")</f>
        <v/>
      </c>
      <c r="AL12" s="12" t="str">
        <f>IF(SUM(U12:X12)-Y12&gt;0,SUM(U12:X12)-Y12,"")</f>
        <v/>
      </c>
      <c r="AM12" s="12" t="str">
        <f>IF(SUM(Z12:AC12)-AD12&gt;0,SUM(Z12:AC12)-AD12,"")</f>
        <v/>
      </c>
      <c r="AN12" s="12" t="str">
        <f>IF(SUM(AL12:AM12)&gt;0,SUM(AL12:AM12),"")</f>
        <v/>
      </c>
      <c r="AO12" s="12" t="str">
        <f>IF(AG12&gt;0,AG12,"")</f>
        <v/>
      </c>
      <c r="AP12" s="12" t="str">
        <f>IF(SUM(AE12:AH12)-AI12&gt;0,SUM(AE12:AH12)-AI12,"")</f>
        <v/>
      </c>
      <c r="AQ12" s="12" t="str">
        <f>IF(SUM(AN12,AP12)&gt;0,SUM(AN12,AP12),"")</f>
        <v/>
      </c>
      <c r="AR12" s="40">
        <v>9.35</v>
      </c>
      <c r="AS12" s="40">
        <v>9.5500000000000007</v>
      </c>
      <c r="AT12" s="40">
        <v>3.2</v>
      </c>
      <c r="AU12" s="40">
        <v>18.600000000000001</v>
      </c>
      <c r="AV12" s="40">
        <v>0</v>
      </c>
      <c r="AW12" s="40">
        <v>2.2999999999999998</v>
      </c>
      <c r="AX12" s="40">
        <v>2.65</v>
      </c>
      <c r="AY12" s="40">
        <v>3.4</v>
      </c>
      <c r="AZ12" s="40">
        <v>4.9000000000000004</v>
      </c>
      <c r="BA12" s="40">
        <v>0</v>
      </c>
      <c r="BB12" s="40">
        <v>8.0500000000000007</v>
      </c>
      <c r="BC12" s="40">
        <v>9.4</v>
      </c>
      <c r="BD12" s="40">
        <v>10.5</v>
      </c>
      <c r="BE12" s="40">
        <v>17.48</v>
      </c>
      <c r="BF12" s="40">
        <v>0.4</v>
      </c>
      <c r="BG12" s="83"/>
      <c r="BH12" s="15">
        <f>IF(AY12&gt;0,AY12,"")</f>
        <v>3.4</v>
      </c>
      <c r="BI12" s="15">
        <f>IF(SUM(AR12:AU12)-AV12&gt;0,SUM(AR12:AU12)-AV12,"")</f>
        <v>40.700000000000003</v>
      </c>
      <c r="BJ12" s="15">
        <f>IF(SUM(AW12:AZ12)-BA12&gt;0,SUM(AW12:AZ12)-BA12,"")</f>
        <v>13.25</v>
      </c>
      <c r="BK12" s="15">
        <f>IF(SUM(BI12:BJ12)&gt;0,SUM(BI12:BJ12),"")</f>
        <v>53.95</v>
      </c>
      <c r="BL12" s="15">
        <f>IF(BD12&gt;0,BD12,"")</f>
        <v>10.5</v>
      </c>
      <c r="BM12" s="15">
        <f>IF(SUM(BB12:BE12)-BF12&gt;0,SUM(BB12:BE12)-BF12,"")</f>
        <v>45.030000000000008</v>
      </c>
      <c r="BN12" s="15">
        <f>IF(SUM(BK12,BM12)&gt;0,SUM(BK12,BM12),"")</f>
        <v>98.980000000000018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7"/>
        <v>4.6749999999999998</v>
      </c>
      <c r="LX12" s="71">
        <f t="shared" si="8"/>
        <v>4.7750000000000004</v>
      </c>
      <c r="LY12" s="71">
        <f t="shared" si="9"/>
        <v>1.6</v>
      </c>
      <c r="LZ12" s="71">
        <f t="shared" si="10"/>
        <v>9.3000000000000007</v>
      </c>
      <c r="MA12" s="71">
        <f t="shared" si="11"/>
        <v>0</v>
      </c>
      <c r="MB12" s="71">
        <f t="shared" si="12"/>
        <v>1.1499999999999999</v>
      </c>
      <c r="MC12" s="71">
        <f t="shared" si="13"/>
        <v>1.325</v>
      </c>
      <c r="MD12" s="71">
        <f t="shared" si="14"/>
        <v>1.7</v>
      </c>
      <c r="ME12" s="71">
        <f t="shared" si="15"/>
        <v>2.4500000000000002</v>
      </c>
      <c r="MF12" s="71">
        <f t="shared" si="16"/>
        <v>0</v>
      </c>
      <c r="MG12" s="71">
        <f t="shared" si="17"/>
        <v>4.0250000000000004</v>
      </c>
      <c r="MH12" s="71">
        <f t="shared" si="18"/>
        <v>4.7</v>
      </c>
      <c r="MI12" s="71">
        <f t="shared" si="19"/>
        <v>5.25</v>
      </c>
      <c r="MJ12" s="71">
        <f t="shared" si="20"/>
        <v>8.74</v>
      </c>
      <c r="MK12" s="71">
        <f t="shared" si="21"/>
        <v>0.2</v>
      </c>
      <c r="ML12" s="82" t="s">
        <v>96</v>
      </c>
      <c r="MM12" s="12">
        <f t="shared" si="22"/>
        <v>1.7</v>
      </c>
      <c r="MN12" s="12">
        <f t="shared" si="2"/>
        <v>20.350000000000001</v>
      </c>
      <c r="MO12" s="12">
        <f t="shared" si="23"/>
        <v>6.625</v>
      </c>
      <c r="MP12" s="12">
        <f t="shared" si="24"/>
        <v>26.975000000000001</v>
      </c>
      <c r="MQ12" s="12">
        <f t="shared" si="25"/>
        <v>5.25</v>
      </c>
      <c r="MR12" s="12">
        <f t="shared" si="26"/>
        <v>22.515000000000004</v>
      </c>
      <c r="MS12" s="12">
        <f t="shared" si="27"/>
        <v>49.490000000000009</v>
      </c>
    </row>
    <row r="13" spans="1:357" x14ac:dyDescent="0.2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7" t="s">
        <v>112</v>
      </c>
      <c r="C13" s="8" t="s">
        <v>94</v>
      </c>
      <c r="D13" s="6" t="s">
        <v>108</v>
      </c>
      <c r="E13" s="16">
        <f>SUM(J13:R13)</f>
        <v>33.545000000000002</v>
      </c>
      <c r="F13" s="4" t="str">
        <f>IF(OR(AND($AK13&gt;=$AL$16,NOT($AK13=""),$AJ13=""),AND($BH13&gt;=$BI$16,NOT($BH13=""),$BG13=""),AND($CH13&gt;=$CI$16,NOT($CH13="")),AND($DD13&gt;=$DE$16,NOT($DD13="")),AND($DZ13&gt;=$EA$16,NOT($DZ13="")),AND($EV13&gt;=$EW$16,NOT($EV13="")),AND($FR13&gt;=$FS$16,NOT($FR13="")),AND($GN13&gt;=$GO$16,NOT($GN13="")),AND($HJ13&gt;=$HK$16,NOT($HJ13="")),AND($IF13&gt;=$IG$16,NOT($IF13="")),AND($JB13&gt;=$JC$16,NOT($JB13="")),AND($JX13&gt;=$JY$16,NOT($JX13="")),AND($KT13&gt;=$KU$16,NOT($KT13="")),AND($LP13&gt;=$LQ$16,NOT($LP13="")),AND($AO13&gt;=$AL$16,NOT($AO13=""),$AJ13=""),AND($BL13&gt;=$BI$16,NOT($BL13=""),$BG13=""),AND($CL13&gt;=$CI$16,NOT($CL13="")),AND($DH13&gt;=$DE$16,NOT($DH13="")),AND($ED13&gt;=$EA$16,NOT($ED13="")),AND($EZ13&gt;=$EW$16,NOT($EZ13="")),AND($FV13&gt;=$FS$16,NOT($FV13="")),AND($GR13&gt;=$GO$16,NOT($GR13="")),AND($HN13&gt;=$HK$16,NOT($HN13="")),AND($IJ13&gt;=$IG$16,NOT($IJ13="")),AND($JF13&gt;=$JC$16,NOT($JF13="")),AND($KB13&gt;=$JY$16,NOT($KB13="")),AND($KX13&gt;=$KU$16,NOT($KX13="")),AND($LT13&gt;=$LQ$16,NOT($LT13=""))),"P","")</f>
        <v/>
      </c>
      <c r="G13" s="4" t="str">
        <f>IF(OR(AND($AK13&gt;=$AL$17,NOT($AK13=""),$AJ13=""),AND($BH13&gt;=$BI$17,NOT($BH13=""),$BG13=""),AND($CH13&gt;=$CI$17,NOT($CH13="")),AND($DD13&gt;=$DE$17,NOT($DD13="")),AND($DZ13&gt;=$EA$17,NOT($DZ13="")),AND($EV13&gt;=$EW$17,NOT($EV13="")),AND($FR13&gt;=$FS$17,NOT($FR13="")),AND($GN13&gt;=$GO$17,NOT($GN13="")),AND($HJ13&gt;=$HK$17,NOT($HJ13="")),AND($IF13&gt;=$IG$17,NOT($IF13="")),AND($JB13&gt;=$JC$17,NOT($JB13="")),AND($JX13&gt;=$JY$17,NOT($JX13="")),AND($KT13&gt;=$KU$17,NOT($KT13="")),AND($LP13&gt;=$LQ$17,NOT($LP13="")),AND($AO13&gt;=$AL$17,NOT($AO13=""),$AJ13=""),AND($BL13&gt;=$BI$17,NOT($BL13=""),$BG13=""),AND($CL13&gt;=$CI$17,NOT($CL13="")),AND($DH13&gt;=$DE$17,NOT($DH13="")),AND($ED13&gt;=$EA$17,NOT($ED13="")),AND($EZ13&gt;=$EW$17,NOT($EZ13="")),AND($FV13&gt;=$FS$17,NOT($FV13="")),AND($GR13&gt;=$GO$17,NOT($GR13="")),AND($HN13&gt;=$HK$17,NOT($HN13="")),AND($IJ13&gt;=$IG$17,NOT($IJ13="")),AND($JF13&gt;=$JC$17,NOT($JF13="")),AND($KB13&gt;=$JY$17,NOT($KB13="")),AND($KX13&gt;=$KU$17,NOT($KX13="")),AND($LT13&gt;=$LQ$17,NOT($LT13=""))),"P","")</f>
        <v/>
      </c>
      <c r="H13" s="4" t="str">
        <f>IF(OR(AND($AN13&gt;=$AL$18,NOT($AN13=""),$AJ13=""),AND($BK13&gt;=$BI$18,NOT($BK13=""),$BG13=""),AND($CK13&gt;=$CI$18,NOT($CK13="")),AND($DG13&gt;=$DE$18,NOT($DG13="")),AND($EC13&gt;=$EA$18,NOT($EC13="")),AND($EY13&gt;=$EW$18,NOT($EY13="")),AND($FU13&gt;=$FS$18,NOT($FU13="")),AND($GQ13&gt;=$GO$18,NOT($GQ13="")),AND($HM13&gt;=$HK$18,NOT($HM13="")),AND($II13&gt;=$IG$18,NOT($II13="")),AND($JE13&gt;=$JC$18,NOT($JE13="")),AND($KA13&gt;=$JY$18,NOT($KA13="")),AND($KW13&gt;=$KU$18,NOT($KW13="")),AND($LS13&gt;=$LQ$18,NOT($LS13=""))),"P","")</f>
        <v/>
      </c>
      <c r="I13" t="str">
        <f>IF(AND(H13="P",F13=""),"No DD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Merit",IF(AND(G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Excellence",IF(AND(G13="P",OR(AND($AN13&gt;$AL$19,NOT($AN13=""),$AJ13=""),AND($BK13&gt;$BI$19,NOT($BK13=""),$BG13=""),AND($CK13&gt;$CI$19,NOT($CK13="")),AND($DG13&gt;$DE$19,NOT($DG13="")),AND($EC13&gt;$EA$19,NOT($EC13="")),AND($EY13&gt;$EW$19,NOT($EY13="")),AND($FU13&gt;$FS$19,NOT($FU13="")),AND($GQ13&gt;$GO$19,NOT($GQ13="")),AND($HM13&gt;$HK$19,NOT($HM13="")),AND($II13&gt;$IG$19,NOT($II13="")),AND($JE13&gt;$JC$19,NOT($JE13="")),AND($KA13&gt;$JY$19,NOT($KA13="")),AND($KW13&gt;$KU$19,NOT($KW13="")),AND($LS13&gt;$LQ$19,NOT($LS13="")))),"Worlds Team",IF(AND(F13="P",OR(AND($AN13&gt;$AL$18,NOT($AN13=""),$AJ13=""),AND($BK13&gt;$BI$18,NOT($BK13=""),$BG13=""),AND($CK13&gt;$CI$18,NOT($CK13="")),AND($DG13&gt;$DE$18,NOT($DG13="")),AND($EC13&gt;$EA$18,NOT($EC13="")),AND($EY13&gt;$EW$18,NOT($EY13="")),AND($FU13&gt;$FS$18,NOT($FU13="")),AND($GQ13&gt;$GO$18,NOT($GQ13="")),AND($HM13&gt;$HK$18,NOT($HM13="")),AND($II13&gt;$IG$18,NOT($II13="")),AND($JE13&gt;$JC$18,NOT($JE13="")),AND($KA13&gt;$JY$18,NOT($KA13="")),AND($KW13&gt;$KU$18,NOT($KW13="")),AND($LS13&gt;$LQ$18,NOT($LS13="")))),"National Team","")))))</f>
        <v/>
      </c>
      <c r="J13" s="15">
        <f>IF(MAX(AN13,BK13)&gt;0,MAX(AN13,BK13),"")</f>
        <v>33.545000000000002</v>
      </c>
      <c r="K13" s="15" t="str">
        <f>IF(J13="","",IF(J13=BK13,$AR$1,IF(J13=AN13,$U$1,"")))</f>
        <v>2019 Elite Canada</v>
      </c>
      <c r="L13" s="15" t="str">
        <f>IF($J13=$AN13,BI13,IF($J13=$BK13,AL13,MAX(AL13,BI13)))</f>
        <v/>
      </c>
      <c r="M13" s="15" t="str">
        <f>IF(L13="","",IF(AND(L13=BI13,$K13&lt;&gt;$AR$1),$AR$1,IF(AND(L13=AL13,$K13&lt;&gt;$U$1),$U$1,"")))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 t="str">
        <f>IF(MAX(AP13,BM13)&gt;0,MAX(AP13,BM13),"")</f>
        <v/>
      </c>
      <c r="Q13" s="15" t="str">
        <f>IF(P13="","",IF(P13=BM13,$AR$1,IF(P13=AP13,$U$1,"")))</f>
        <v/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39">
        <v>5.4749999999999996</v>
      </c>
      <c r="V13" s="39">
        <v>5.55</v>
      </c>
      <c r="W13" s="39">
        <v>1.2</v>
      </c>
      <c r="X13" s="39">
        <v>7.72</v>
      </c>
      <c r="Y13" s="39">
        <v>0</v>
      </c>
      <c r="Z13" s="39">
        <v>2.25</v>
      </c>
      <c r="AA13" s="39">
        <v>2.65</v>
      </c>
      <c r="AB13" s="39">
        <v>4</v>
      </c>
      <c r="AC13" s="39">
        <v>4.7</v>
      </c>
      <c r="AD13" s="39">
        <v>0</v>
      </c>
      <c r="AE13" s="39"/>
      <c r="AF13" s="39"/>
      <c r="AG13" s="39"/>
      <c r="AH13" s="39"/>
      <c r="AI13" s="39"/>
      <c r="AJ13" s="82"/>
      <c r="AK13" s="12">
        <f>IF(AB13&gt;0,AB13,"")</f>
        <v>4</v>
      </c>
      <c r="AL13" s="12">
        <f>IF(SUM(U13:X13)-Y13&gt;0,SUM(U13:X13)-Y13,"")</f>
        <v>19.944999999999997</v>
      </c>
      <c r="AM13" s="12">
        <f>IF(SUM(Z13:AC13)-AD13&gt;0,SUM(Z13:AC13)-AD13,"")</f>
        <v>13.600000000000001</v>
      </c>
      <c r="AN13" s="12">
        <f>IF(SUM(AL13:AM13)&gt;0,SUM(AL13:AM13),"")</f>
        <v>33.545000000000002</v>
      </c>
      <c r="AO13" s="12" t="str">
        <f>IF(AG13&gt;0,AG13,"")</f>
        <v/>
      </c>
      <c r="AP13" s="12" t="str">
        <f>IF(SUM(AE13:AH13)-AI13&gt;0,SUM(AE13:AH13)-AI13,"")</f>
        <v/>
      </c>
      <c r="AQ13" s="12">
        <f>IF(SUM(AN13,AP13)&gt;0,SUM(AN13,AP13),"")</f>
        <v>33.545000000000002</v>
      </c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83"/>
      <c r="BH13" s="15" t="str">
        <f>IF(AY13&gt;0,AY13,"")</f>
        <v/>
      </c>
      <c r="BI13" s="15" t="str">
        <f>IF(SUM(AR13:AU13)-AV13&gt;0,SUM(AR13:AU13)-AV13,"")</f>
        <v/>
      </c>
      <c r="BJ13" s="15" t="str">
        <f>IF(SUM(AW13:AZ13)-BA13&gt;0,SUM(AW13:AZ13)-BA13,"")</f>
        <v/>
      </c>
      <c r="BK13" s="15" t="str">
        <f>IF(SUM(BI13:BJ13)&gt;0,SUM(BI13:BJ13),"")</f>
        <v/>
      </c>
      <c r="BL13" s="15" t="str">
        <f>IF(BD13&gt;0,BD13,"")</f>
        <v/>
      </c>
      <c r="BM13" s="15" t="str">
        <f>IF(SUM(BB13:BE13)-BF13&gt;0,SUM(BB13:BE13)-BF13,"")</f>
        <v/>
      </c>
      <c r="BN13" s="15" t="str">
        <f>IF(SUM(BK13,BM13)&gt;0,SUM(BK13,BM13),"")</f>
        <v/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7"/>
        <v>2.7374999999999998</v>
      </c>
      <c r="LX13" s="71">
        <f t="shared" si="8"/>
        <v>2.7749999999999999</v>
      </c>
      <c r="LY13" s="71">
        <f t="shared" si="9"/>
        <v>0.6</v>
      </c>
      <c r="LZ13" s="71">
        <f t="shared" si="10"/>
        <v>3.86</v>
      </c>
      <c r="MA13" s="71">
        <f t="shared" si="11"/>
        <v>0</v>
      </c>
      <c r="MB13" s="71">
        <f t="shared" si="12"/>
        <v>1.125</v>
      </c>
      <c r="MC13" s="71">
        <f t="shared" si="13"/>
        <v>1.325</v>
      </c>
      <c r="MD13" s="71">
        <f t="shared" si="14"/>
        <v>2</v>
      </c>
      <c r="ME13" s="71">
        <f t="shared" si="15"/>
        <v>2.35</v>
      </c>
      <c r="MF13" s="71">
        <f t="shared" si="16"/>
        <v>0</v>
      </c>
      <c r="MG13" s="71">
        <f t="shared" si="17"/>
        <v>0</v>
      </c>
      <c r="MH13" s="71">
        <f t="shared" si="18"/>
        <v>0</v>
      </c>
      <c r="MI13" s="71">
        <f t="shared" si="19"/>
        <v>0</v>
      </c>
      <c r="MJ13" s="71">
        <f t="shared" si="20"/>
        <v>0</v>
      </c>
      <c r="MK13" s="71">
        <f t="shared" si="21"/>
        <v>0</v>
      </c>
      <c r="ML13" s="82" t="s">
        <v>96</v>
      </c>
      <c r="MM13" s="12">
        <f t="shared" si="22"/>
        <v>2</v>
      </c>
      <c r="MN13" s="12">
        <f t="shared" si="2"/>
        <v>9.9724999999999984</v>
      </c>
      <c r="MO13" s="12">
        <f t="shared" si="23"/>
        <v>6.8000000000000007</v>
      </c>
      <c r="MP13" s="12">
        <f t="shared" si="24"/>
        <v>16.772500000000001</v>
      </c>
      <c r="MQ13" s="12" t="str">
        <f t="shared" si="25"/>
        <v/>
      </c>
      <c r="MR13" s="12" t="str">
        <f t="shared" si="26"/>
        <v/>
      </c>
      <c r="MS13" s="12">
        <f t="shared" si="27"/>
        <v>16.772500000000001</v>
      </c>
    </row>
    <row r="14" spans="1:357" x14ac:dyDescent="0.2">
      <c r="D14" s="1"/>
    </row>
    <row r="15" spans="1:357" x14ac:dyDescent="0.2">
      <c r="GN15" s="7"/>
      <c r="GO15" s="7"/>
    </row>
    <row r="16" spans="1:357" x14ac:dyDescent="0.2">
      <c r="B16" s="72" t="s">
        <v>82</v>
      </c>
      <c r="AK16" s="58"/>
      <c r="AL16" s="66">
        <v>11.2</v>
      </c>
      <c r="BH16" s="58"/>
      <c r="BI16" s="66">
        <v>11.2</v>
      </c>
      <c r="CH16" s="58"/>
      <c r="CI16" s="66">
        <v>11.2</v>
      </c>
      <c r="DD16" s="58"/>
      <c r="DE16" s="66">
        <v>11.2</v>
      </c>
      <c r="DZ16" s="58"/>
      <c r="EA16" s="66">
        <v>11.2</v>
      </c>
      <c r="EV16" s="58"/>
      <c r="EW16" s="66">
        <v>11.2</v>
      </c>
      <c r="FR16" s="58"/>
      <c r="FS16" s="66">
        <v>11.2</v>
      </c>
      <c r="GN16" s="58"/>
      <c r="GO16" s="66">
        <v>11.2</v>
      </c>
      <c r="HJ16" s="58"/>
      <c r="HK16" s="66">
        <v>11.2</v>
      </c>
      <c r="IF16" s="58"/>
      <c r="IG16" s="66">
        <v>11.2</v>
      </c>
      <c r="JB16" s="58"/>
      <c r="JC16" s="66">
        <v>11.2</v>
      </c>
      <c r="JX16" s="58"/>
      <c r="JY16" s="66">
        <v>11.2</v>
      </c>
      <c r="KT16" s="58"/>
      <c r="KU16" s="66">
        <v>11.2</v>
      </c>
      <c r="LP16" s="58"/>
      <c r="LQ16" s="66">
        <v>11.2</v>
      </c>
    </row>
    <row r="17" spans="1:336" x14ac:dyDescent="0.2">
      <c r="A17" s="58"/>
      <c r="B17" s="100" t="s">
        <v>81</v>
      </c>
      <c r="C17" s="57"/>
      <c r="AK17" s="58"/>
      <c r="AL17" s="102">
        <v>12.5</v>
      </c>
      <c r="BH17" s="58"/>
      <c r="BI17" s="102">
        <v>12.5</v>
      </c>
      <c r="CH17" s="58"/>
      <c r="CI17" s="102">
        <v>12.5</v>
      </c>
      <c r="DD17" s="58"/>
      <c r="DE17" s="102">
        <v>12.5</v>
      </c>
      <c r="DZ17" s="58"/>
      <c r="EA17" s="102">
        <v>12.5</v>
      </c>
      <c r="EV17" s="58"/>
      <c r="EW17" s="102">
        <v>12.5</v>
      </c>
      <c r="FR17" s="58"/>
      <c r="FS17" s="102">
        <v>12.5</v>
      </c>
      <c r="GN17" s="58"/>
      <c r="GO17" s="102">
        <v>12.5</v>
      </c>
      <c r="HJ17" s="58"/>
      <c r="HK17" s="102">
        <v>12.5</v>
      </c>
      <c r="IF17" s="58"/>
      <c r="IG17" s="102">
        <v>12.5</v>
      </c>
      <c r="JB17" s="58"/>
      <c r="JC17" s="102">
        <v>12.5</v>
      </c>
      <c r="JX17" s="58"/>
      <c r="JY17" s="102">
        <v>12.5</v>
      </c>
      <c r="KT17" s="58"/>
      <c r="KU17" s="102">
        <v>12.5</v>
      </c>
      <c r="LP17" s="58"/>
      <c r="LQ17" s="102">
        <v>12.5</v>
      </c>
    </row>
    <row r="18" spans="1:336" x14ac:dyDescent="0.2">
      <c r="A18" s="58"/>
      <c r="B18" s="73" t="s">
        <v>79</v>
      </c>
      <c r="C18" s="57"/>
      <c r="AK18" s="58"/>
      <c r="AL18" s="67">
        <v>82</v>
      </c>
      <c r="BH18" s="58"/>
      <c r="BI18" s="67">
        <v>82</v>
      </c>
      <c r="CH18" s="58"/>
      <c r="CI18" s="67">
        <v>82</v>
      </c>
      <c r="DD18" s="58"/>
      <c r="DE18" s="67">
        <v>82</v>
      </c>
      <c r="DZ18" s="58"/>
      <c r="EA18" s="67">
        <v>82</v>
      </c>
      <c r="EV18" s="58"/>
      <c r="EW18" s="67">
        <v>82</v>
      </c>
      <c r="FR18" s="58"/>
      <c r="FS18" s="67">
        <v>82</v>
      </c>
      <c r="GN18" s="58"/>
      <c r="GO18" s="67">
        <v>82</v>
      </c>
      <c r="HJ18" s="58"/>
      <c r="HK18" s="67">
        <v>82</v>
      </c>
      <c r="IF18" s="58"/>
      <c r="IG18" s="67">
        <v>82</v>
      </c>
      <c r="JB18" s="58"/>
      <c r="JC18" s="67">
        <v>82</v>
      </c>
      <c r="JX18" s="58"/>
      <c r="JY18" s="67">
        <v>82</v>
      </c>
      <c r="KT18" s="58"/>
      <c r="KU18" s="67">
        <v>82</v>
      </c>
      <c r="LP18" s="58"/>
      <c r="LQ18" s="67">
        <v>82</v>
      </c>
    </row>
    <row r="19" spans="1:336" x14ac:dyDescent="0.2">
      <c r="A19" s="58"/>
      <c r="B19" s="74" t="s">
        <v>80</v>
      </c>
      <c r="C19" s="57"/>
      <c r="AK19" s="58"/>
      <c r="AL19" s="68">
        <v>84</v>
      </c>
      <c r="BH19" s="58"/>
      <c r="BI19" s="68">
        <v>84</v>
      </c>
      <c r="CH19" s="58"/>
      <c r="CI19" s="68">
        <v>84</v>
      </c>
      <c r="DD19" s="58"/>
      <c r="DE19" s="68">
        <v>84</v>
      </c>
      <c r="DZ19" s="58"/>
      <c r="EA19" s="68">
        <v>84</v>
      </c>
      <c r="EV19" s="58"/>
      <c r="EW19" s="68">
        <v>84</v>
      </c>
      <c r="FR19" s="58"/>
      <c r="FS19" s="68">
        <v>84</v>
      </c>
      <c r="GN19" s="58"/>
      <c r="GO19" s="68">
        <v>84</v>
      </c>
      <c r="HJ19" s="58"/>
      <c r="HK19" s="68">
        <v>84</v>
      </c>
      <c r="IF19" s="58"/>
      <c r="IG19" s="68">
        <v>84</v>
      </c>
      <c r="JB19" s="58"/>
      <c r="JC19" s="68">
        <v>84</v>
      </c>
      <c r="JX19" s="58"/>
      <c r="JY19" s="68">
        <v>84</v>
      </c>
      <c r="KT19" s="58"/>
      <c r="KU19" s="68">
        <v>84</v>
      </c>
      <c r="LP19" s="58"/>
      <c r="LQ19" s="68">
        <v>84</v>
      </c>
    </row>
    <row r="20" spans="1:336" x14ac:dyDescent="0.2">
      <c r="A20" s="58"/>
      <c r="B20" s="75" t="s">
        <v>124</v>
      </c>
      <c r="C20" s="57"/>
      <c r="AK20" s="58"/>
      <c r="AL20" s="69">
        <v>85</v>
      </c>
      <c r="BH20" s="58"/>
      <c r="BI20" s="69">
        <v>85</v>
      </c>
      <c r="CH20" s="58"/>
      <c r="CI20" s="69">
        <v>85</v>
      </c>
      <c r="DD20" s="58"/>
      <c r="DE20" s="69">
        <v>85</v>
      </c>
      <c r="DZ20" s="58"/>
      <c r="EA20" s="69">
        <v>85</v>
      </c>
      <c r="EV20" s="58"/>
      <c r="EW20" s="69">
        <v>85</v>
      </c>
      <c r="FR20" s="58"/>
      <c r="FS20" s="69">
        <v>85</v>
      </c>
      <c r="GN20" s="58"/>
      <c r="GO20" s="69">
        <v>85</v>
      </c>
      <c r="HJ20" s="58"/>
      <c r="HK20" s="69">
        <v>85</v>
      </c>
      <c r="IF20" s="58"/>
      <c r="IG20" s="69">
        <v>85</v>
      </c>
      <c r="JB20" s="58"/>
      <c r="JC20" s="69">
        <v>85</v>
      </c>
      <c r="JX20" s="58"/>
      <c r="JY20" s="69">
        <v>85</v>
      </c>
      <c r="KT20" s="58"/>
      <c r="KU20" s="69">
        <v>85</v>
      </c>
      <c r="LP20" s="58"/>
      <c r="LQ20" s="69">
        <v>85</v>
      </c>
    </row>
    <row r="21" spans="1:336" x14ac:dyDescent="0.2">
      <c r="A21" s="58"/>
      <c r="B21" s="76" t="s">
        <v>61</v>
      </c>
      <c r="C21" s="57"/>
      <c r="AK21" s="58"/>
      <c r="AL21" s="70">
        <v>86</v>
      </c>
      <c r="BH21" s="58"/>
      <c r="BI21" s="70">
        <v>86</v>
      </c>
      <c r="CH21" s="58"/>
      <c r="CI21" s="70">
        <v>86</v>
      </c>
      <c r="DD21" s="58"/>
      <c r="DE21" s="70">
        <v>86</v>
      </c>
      <c r="DZ21" s="58"/>
      <c r="EA21" s="70">
        <v>86</v>
      </c>
      <c r="EV21" s="58"/>
      <c r="EW21" s="70">
        <v>86</v>
      </c>
      <c r="FR21" s="58"/>
      <c r="FS21" s="70">
        <v>86</v>
      </c>
      <c r="GN21" s="58"/>
      <c r="GO21" s="70">
        <v>86</v>
      </c>
      <c r="HJ21" s="58"/>
      <c r="HK21" s="70">
        <v>86</v>
      </c>
      <c r="IF21" s="58"/>
      <c r="IG21" s="70">
        <v>86</v>
      </c>
      <c r="JB21" s="58"/>
      <c r="JC21" s="70">
        <v>86</v>
      </c>
      <c r="JX21" s="58"/>
      <c r="JY21" s="70">
        <v>86</v>
      </c>
      <c r="KT21" s="58"/>
      <c r="KU21" s="70">
        <v>86</v>
      </c>
      <c r="LP21" s="58"/>
      <c r="LQ21" s="70">
        <v>86</v>
      </c>
    </row>
    <row r="22" spans="1:336" x14ac:dyDescent="0.2">
      <c r="B22" s="84" t="s">
        <v>97</v>
      </c>
      <c r="C22" s="3"/>
      <c r="AL22" s="90"/>
      <c r="BI22" s="90"/>
      <c r="CI22" s="90"/>
      <c r="DE22" s="90"/>
      <c r="EA22" s="90"/>
      <c r="EW22" s="90"/>
      <c r="FS22" s="90"/>
      <c r="GO22" s="90"/>
      <c r="IG22" s="90"/>
    </row>
    <row r="23" spans="1:336" x14ac:dyDescent="0.2">
      <c r="A23" s="58"/>
      <c r="B23" s="58"/>
      <c r="C23" s="57"/>
    </row>
    <row r="24" spans="1:336" ht="17" x14ac:dyDescent="0.2">
      <c r="A24" s="58"/>
      <c r="B24" s="58"/>
      <c r="C24" s="57"/>
      <c r="R24" s="21"/>
      <c r="S24" s="21"/>
      <c r="T24" s="21"/>
    </row>
    <row r="25" spans="1:336" ht="17" x14ac:dyDescent="0.2">
      <c r="A25" s="58"/>
      <c r="B25" s="58"/>
      <c r="C25" s="57"/>
      <c r="R25" s="21"/>
      <c r="S25" s="21"/>
      <c r="T25" s="21"/>
    </row>
    <row r="26" spans="1:336" ht="17" x14ac:dyDescent="0.2">
      <c r="R26" s="21"/>
      <c r="S26" s="21"/>
      <c r="T26" s="21"/>
      <c r="LX26" s="117"/>
    </row>
    <row r="27" spans="1:336" ht="17" x14ac:dyDescent="0.2">
      <c r="R27" s="21"/>
      <c r="S27" s="21"/>
      <c r="T27" s="21"/>
    </row>
    <row r="28" spans="1:336" ht="17" x14ac:dyDescent="0.2">
      <c r="R28" s="21"/>
      <c r="S28" s="21"/>
      <c r="T28" s="21"/>
    </row>
    <row r="29" spans="1:336" ht="17" x14ac:dyDescent="0.2">
      <c r="R29" s="21"/>
      <c r="S29" s="21"/>
      <c r="T29" s="21"/>
    </row>
    <row r="30" spans="1:336" ht="17" x14ac:dyDescent="0.2">
      <c r="R30" s="21"/>
      <c r="S30" s="21"/>
      <c r="T30" s="21"/>
    </row>
    <row r="31" spans="1:336" ht="17" x14ac:dyDescent="0.2">
      <c r="R31" s="21"/>
      <c r="S31" s="21"/>
      <c r="T31" s="21"/>
    </row>
    <row r="32" spans="1:33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</sheetData>
  <sheetProtection sheet="1" formatCells="0" formatColumns="0" formatRows="0"/>
  <autoFilter ref="A1:LV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3">
      <sortCondition descending="1" ref="F1:F14"/>
    </sortState>
  </autoFilter>
  <mergeCells count="81">
    <mergeCell ref="IM1:JH1"/>
    <mergeCell ref="JI1:KD1"/>
    <mergeCell ref="IM2:IQ2"/>
    <mergeCell ref="IR2:IV2"/>
    <mergeCell ref="IW2:JA2"/>
    <mergeCell ref="JI2:JM2"/>
    <mergeCell ref="JN2:JR2"/>
    <mergeCell ref="JS2:JW2"/>
    <mergeCell ref="LA1:LV1"/>
    <mergeCell ref="KE2:KI2"/>
    <mergeCell ref="KJ2:KN2"/>
    <mergeCell ref="KO2:KS2"/>
    <mergeCell ref="LA2:LE2"/>
    <mergeCell ref="LF2:LJ2"/>
    <mergeCell ref="LK2:LO2"/>
    <mergeCell ref="KE1:KZ1"/>
    <mergeCell ref="GZ2:HD2"/>
    <mergeCell ref="HE2:HI2"/>
    <mergeCell ref="HQ2:HU2"/>
    <mergeCell ref="HV2:HZ2"/>
    <mergeCell ref="IA2:IE2"/>
    <mergeCell ref="F1:F3"/>
    <mergeCell ref="DK1:EF1"/>
    <mergeCell ref="EG1:FB1"/>
    <mergeCell ref="DK2:DO2"/>
    <mergeCell ref="DP2:DT2"/>
    <mergeCell ref="DU2:DY2"/>
    <mergeCell ref="EG2:EK2"/>
    <mergeCell ref="EL2:EP2"/>
    <mergeCell ref="EQ2:EU2"/>
    <mergeCell ref="AW2:BA2"/>
    <mergeCell ref="BB2:BF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M1:M3"/>
    <mergeCell ref="K1:K3"/>
    <mergeCell ref="O1:O3"/>
    <mergeCell ref="Q1:Q3"/>
    <mergeCell ref="S1:S3"/>
    <mergeCell ref="N1:N3"/>
    <mergeCell ref="P1:P3"/>
    <mergeCell ref="R1:R3"/>
    <mergeCell ref="T1:T3"/>
    <mergeCell ref="U2:Y2"/>
    <mergeCell ref="CC2:CG2"/>
    <mergeCell ref="CO2:CS2"/>
    <mergeCell ref="CT2:CX2"/>
    <mergeCell ref="U1:AQ1"/>
    <mergeCell ref="AR1:BN1"/>
    <mergeCell ref="Z2:AD2"/>
    <mergeCell ref="AE2:AI2"/>
    <mergeCell ref="AR2:AV2"/>
    <mergeCell ref="CY2:DC2"/>
    <mergeCell ref="BO1:BR1"/>
    <mergeCell ref="BS1:CN1"/>
    <mergeCell ref="BS2:BW2"/>
    <mergeCell ref="BX2:CB2"/>
    <mergeCell ref="LW1:MS1"/>
    <mergeCell ref="LW2:MA2"/>
    <mergeCell ref="MB2:MF2"/>
    <mergeCell ref="MG2:MK2"/>
    <mergeCell ref="CO1:DJ1"/>
    <mergeCell ref="FC1:FX1"/>
    <mergeCell ref="FY1:GT1"/>
    <mergeCell ref="FC2:FG2"/>
    <mergeCell ref="FH2:FL2"/>
    <mergeCell ref="FM2:FQ2"/>
    <mergeCell ref="FY2:GC2"/>
    <mergeCell ref="GD2:GH2"/>
    <mergeCell ref="GI2:GM2"/>
    <mergeCell ref="GU1:HP1"/>
    <mergeCell ref="HQ1:IL1"/>
    <mergeCell ref="GU2:GY2"/>
  </mergeCells>
  <phoneticPr fontId="22" type="noConversion"/>
  <conditionalFormatting sqref="A1:A1048576">
    <cfRule type="expression" dxfId="122" priority="52">
      <formula>AND(H1="P",F1="")</formula>
    </cfRule>
  </conditionalFormatting>
  <conditionalFormatting sqref="I1:I1048576">
    <cfRule type="containsText" dxfId="121" priority="8" operator="containsText" text="No DD">
      <formula>NOT(ISERROR(SEARCH("No DD",I1)))</formula>
    </cfRule>
    <cfRule type="containsText" dxfId="120" priority="53" operator="containsText" text="Merit">
      <formula>NOT(ISERROR(SEARCH("Merit",I1)))</formula>
    </cfRule>
    <cfRule type="containsText" dxfId="119" priority="54" operator="containsText" text="Excellence">
      <formula>NOT(ISERROR(SEARCH("Excellence",I1)))</formula>
    </cfRule>
    <cfRule type="containsText" dxfId="118" priority="55" operator="containsText" text="Worlds Team">
      <formula>NOT(ISERROR(SEARCH("Worlds Team",I1)))</formula>
    </cfRule>
    <cfRule type="containsText" dxfId="117" priority="194" operator="containsText" text="National Team">
      <formula>NOT(ISERROR(SEARCH("National Team",I1)))</formula>
    </cfRule>
  </conditionalFormatting>
  <conditionalFormatting sqref="U4:AQ13">
    <cfRule type="expression" dxfId="116" priority="23">
      <formula>IF($AJ4&lt;&gt;"",1,0)</formula>
    </cfRule>
  </conditionalFormatting>
  <conditionalFormatting sqref="AR4:BN13">
    <cfRule type="expression" dxfId="115" priority="20">
      <formula>IF($BG4&lt;&gt;"",1,0)</formula>
    </cfRule>
  </conditionalFormatting>
  <conditionalFormatting sqref="O1:O1048576 M1:M1048576 K1:K1048576 Q1:Q1048576">
    <cfRule type="expression" dxfId="114" priority="361">
      <formula>IF(K1=$AR$1,1,0)</formula>
    </cfRule>
    <cfRule type="expression" dxfId="113" priority="548">
      <formula>IF(K1=$U$1,1,0)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12" priority="21407" operator="between">
      <formula>CI$17</formula>
      <formula>100</formula>
    </cfRule>
    <cfRule type="cellIs" dxfId="111" priority="21408" operator="between">
      <formula>CI$16</formula>
      <formula>CI$17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0" priority="21479" operator="between">
      <formula>CI$21</formula>
      <formula>1000</formula>
    </cfRule>
    <cfRule type="cellIs" dxfId="109" priority="21480" operator="between">
      <formula>CI$20</formula>
      <formula>CI$21</formula>
    </cfRule>
    <cfRule type="cellIs" dxfId="108" priority="21481" operator="between">
      <formula>CI$19</formula>
      <formula>CI$20</formula>
    </cfRule>
    <cfRule type="cellIs" dxfId="107" priority="21482" operator="between">
      <formula>CI$18</formula>
      <formula>CI$19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06" priority="21623">
      <formula>IF(AND(CL1&gt;=CI$17,CL1&lt;100),1,0)</formula>
    </cfRule>
    <cfRule type="expression" dxfId="105" priority="21624">
      <formula>IF(AND(CL1&gt;=CI$16,CL1&lt;CI$17),1,0)</formula>
    </cfRule>
  </conditionalFormatting>
  <conditionalFormatting sqref="AK1:AK1048576 BH1:BH1048576">
    <cfRule type="expression" dxfId="104" priority="21695">
      <formula>IF(AND(AK1&gt;=AL$17,AK1&lt;1000,AJ1=""),1,0)</formula>
    </cfRule>
    <cfRule type="expression" dxfId="103" priority="21696">
      <formula>IF(AND(AK1&gt;=AL$16,AK1&lt;AL$17,AJ1=""),1,0)</formula>
    </cfRule>
  </conditionalFormatting>
  <conditionalFormatting sqref="AN1:AN1048576 BK1:BK1048576">
    <cfRule type="expression" dxfId="102" priority="21707">
      <formula>IF(AND(AN1&gt;=AL$21,AN1&lt;1000,AJ1=""),1,0)</formula>
    </cfRule>
    <cfRule type="expression" dxfId="101" priority="21708">
      <formula>IF(AND(AN1&gt;=AL$20,AN1&lt;AL$21,AJ1=""),1,0)</formula>
    </cfRule>
    <cfRule type="expression" dxfId="100" priority="21709">
      <formula>IF(AND(AN1&gt;=AL$19,AN1&lt;AL$20,AJ1=""),1,0)</formula>
    </cfRule>
    <cfRule type="expression" dxfId="99" priority="21710">
      <formula>IF(AND(AN1&gt;=AL$18,AN1&lt;AL$19,AJ1=""),1,0)</formula>
    </cfRule>
  </conditionalFormatting>
  <conditionalFormatting sqref="AO1:AO1048576 BL1:BL1048576">
    <cfRule type="expression" dxfId="98" priority="21731">
      <formula>IF(AND(AO1&gt;=AL$17,AO1&lt;100,AJ1=""),1,0)</formula>
    </cfRule>
    <cfRule type="expression" dxfId="97" priority="21732">
      <formula>IF(AND(AO1&gt;=AL$16,AO1&lt;AL$17,AJ1=""),1,0)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321" width="10.83203125" hidden="1" customWidth="1"/>
  </cols>
  <sheetData>
    <row r="1" spans="1:321" ht="16" customHeight="1" x14ac:dyDescent="0.2">
      <c r="A1" s="124" t="s">
        <v>1</v>
      </c>
      <c r="B1" s="124" t="s">
        <v>41</v>
      </c>
      <c r="C1" s="124" t="s">
        <v>0</v>
      </c>
      <c r="D1" s="124" t="s">
        <v>98</v>
      </c>
      <c r="E1" s="124" t="s">
        <v>2</v>
      </c>
      <c r="F1" s="130" t="s">
        <v>122</v>
      </c>
      <c r="G1" s="130" t="s">
        <v>123</v>
      </c>
      <c r="H1" s="130" t="s">
        <v>15</v>
      </c>
      <c r="I1" s="124" t="s">
        <v>16</v>
      </c>
      <c r="J1" s="126" t="s">
        <v>17</v>
      </c>
      <c r="K1" s="126" t="s">
        <v>59</v>
      </c>
      <c r="L1" s="126" t="s">
        <v>20</v>
      </c>
      <c r="M1" s="126" t="s">
        <v>59</v>
      </c>
      <c r="N1" s="127" t="s">
        <v>21</v>
      </c>
      <c r="O1" s="126" t="s">
        <v>60</v>
      </c>
      <c r="P1" s="126" t="s">
        <v>59</v>
      </c>
      <c r="Q1" s="120" t="s">
        <v>138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3" t="s">
        <v>156</v>
      </c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8" t="s">
        <v>121</v>
      </c>
      <c r="BH1" s="128"/>
      <c r="BI1" s="120" t="s">
        <v>181</v>
      </c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3" t="s">
        <v>185</v>
      </c>
      <c r="CD1" s="123"/>
      <c r="CE1" s="123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3"/>
      <c r="DR1" s="123"/>
      <c r="DS1" s="123"/>
      <c r="DT1" s="123"/>
      <c r="DU1" s="123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3"/>
      <c r="FF1" s="123"/>
      <c r="FG1" s="123"/>
      <c r="FH1" s="123"/>
      <c r="FI1" s="123"/>
      <c r="FJ1" s="123"/>
      <c r="FK1" s="123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3"/>
      <c r="GT1" s="123"/>
      <c r="GU1" s="123"/>
      <c r="GV1" s="123"/>
      <c r="GW1" s="123"/>
      <c r="GX1" s="123"/>
      <c r="GY1" s="123"/>
      <c r="GZ1" s="123"/>
      <c r="HA1" s="123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3"/>
      <c r="IH1" s="123"/>
      <c r="II1" s="123"/>
      <c r="IJ1" s="123"/>
      <c r="IK1" s="123"/>
      <c r="IL1" s="123"/>
      <c r="IM1" s="123"/>
      <c r="IN1" s="123"/>
      <c r="IO1" s="123"/>
      <c r="IP1" s="123"/>
      <c r="IQ1" s="123"/>
      <c r="IR1" s="123"/>
      <c r="IS1" s="123"/>
      <c r="IT1" s="123"/>
      <c r="IU1" s="123"/>
      <c r="IV1" s="123"/>
      <c r="IW1" s="123"/>
      <c r="IX1" s="123"/>
      <c r="IY1" s="123"/>
      <c r="IZ1" s="123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3"/>
      <c r="KF1" s="123"/>
      <c r="KG1" s="123"/>
      <c r="KH1" s="123"/>
      <c r="KI1" s="123"/>
      <c r="KJ1" s="123"/>
      <c r="KK1" s="123"/>
      <c r="KL1" s="123"/>
      <c r="KM1" s="123"/>
      <c r="KN1" s="123"/>
      <c r="KO1" s="120" t="s">
        <v>133</v>
      </c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</row>
    <row r="2" spans="1:321" x14ac:dyDescent="0.2">
      <c r="A2" s="124"/>
      <c r="B2" s="124"/>
      <c r="C2" s="124"/>
      <c r="D2" s="124"/>
      <c r="E2" s="124"/>
      <c r="F2" s="130"/>
      <c r="G2" s="130"/>
      <c r="H2" s="130"/>
      <c r="I2" s="124"/>
      <c r="J2" s="126"/>
      <c r="K2" s="126"/>
      <c r="L2" s="126"/>
      <c r="M2" s="126"/>
      <c r="N2" s="127"/>
      <c r="O2" s="126"/>
      <c r="P2" s="126"/>
      <c r="Q2" s="121" t="s">
        <v>44</v>
      </c>
      <c r="R2" s="121"/>
      <c r="S2" s="121"/>
      <c r="T2" s="121"/>
      <c r="U2" s="121" t="s">
        <v>47</v>
      </c>
      <c r="V2" s="121"/>
      <c r="W2" s="121"/>
      <c r="X2" s="121"/>
      <c r="Y2" s="121" t="s">
        <v>48</v>
      </c>
      <c r="Z2" s="121"/>
      <c r="AA2" s="121"/>
      <c r="AB2" s="121"/>
      <c r="AC2" s="129" t="s">
        <v>49</v>
      </c>
      <c r="AD2" s="129"/>
      <c r="AE2" s="129"/>
      <c r="AF2" s="129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2" t="s">
        <v>44</v>
      </c>
      <c r="AM2" s="122"/>
      <c r="AN2" s="122"/>
      <c r="AO2" s="122"/>
      <c r="AP2" s="122" t="s">
        <v>47</v>
      </c>
      <c r="AQ2" s="122"/>
      <c r="AR2" s="122"/>
      <c r="AS2" s="122"/>
      <c r="AT2" s="122" t="s">
        <v>48</v>
      </c>
      <c r="AU2" s="122"/>
      <c r="AV2" s="122"/>
      <c r="AW2" s="122"/>
      <c r="AX2" s="131" t="s">
        <v>49</v>
      </c>
      <c r="AY2" s="131"/>
      <c r="AZ2" s="131"/>
      <c r="BA2" s="131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1" t="s">
        <v>44</v>
      </c>
      <c r="BJ2" s="121"/>
      <c r="BK2" s="121"/>
      <c r="BL2" s="121"/>
      <c r="BM2" s="121" t="s">
        <v>47</v>
      </c>
      <c r="BN2" s="121"/>
      <c r="BO2" s="121"/>
      <c r="BP2" s="121"/>
      <c r="BQ2" s="121" t="s">
        <v>48</v>
      </c>
      <c r="BR2" s="121"/>
      <c r="BS2" s="121"/>
      <c r="BT2" s="121"/>
      <c r="BU2" s="132" t="s">
        <v>49</v>
      </c>
      <c r="BV2" s="132"/>
      <c r="BW2" s="132"/>
      <c r="BX2" s="132"/>
      <c r="BY2" s="60" t="s">
        <v>32</v>
      </c>
      <c r="BZ2" s="10" t="s">
        <v>31</v>
      </c>
      <c r="CA2" s="10" t="s">
        <v>30</v>
      </c>
      <c r="CB2" s="10" t="s">
        <v>25</v>
      </c>
      <c r="CC2" s="122" t="s">
        <v>44</v>
      </c>
      <c r="CD2" s="122"/>
      <c r="CE2" s="122"/>
      <c r="CF2" s="122"/>
      <c r="CG2" s="122" t="s">
        <v>47</v>
      </c>
      <c r="CH2" s="122"/>
      <c r="CI2" s="122"/>
      <c r="CJ2" s="122"/>
      <c r="CK2" s="122" t="s">
        <v>48</v>
      </c>
      <c r="CL2" s="122"/>
      <c r="CM2" s="122"/>
      <c r="CN2" s="122"/>
      <c r="CO2" s="131" t="s">
        <v>49</v>
      </c>
      <c r="CP2" s="131"/>
      <c r="CQ2" s="131"/>
      <c r="CR2" s="131"/>
      <c r="CS2" s="59" t="s">
        <v>32</v>
      </c>
      <c r="CT2" s="13" t="s">
        <v>31</v>
      </c>
      <c r="CU2" s="13" t="s">
        <v>30</v>
      </c>
      <c r="CV2" s="13" t="s">
        <v>25</v>
      </c>
      <c r="CW2" s="121" t="s">
        <v>44</v>
      </c>
      <c r="CX2" s="121"/>
      <c r="CY2" s="121"/>
      <c r="CZ2" s="121"/>
      <c r="DA2" s="121" t="s">
        <v>47</v>
      </c>
      <c r="DB2" s="121"/>
      <c r="DC2" s="121"/>
      <c r="DD2" s="121"/>
      <c r="DE2" s="121" t="s">
        <v>48</v>
      </c>
      <c r="DF2" s="121"/>
      <c r="DG2" s="121"/>
      <c r="DH2" s="121"/>
      <c r="DI2" s="132" t="s">
        <v>49</v>
      </c>
      <c r="DJ2" s="132"/>
      <c r="DK2" s="132"/>
      <c r="DL2" s="132"/>
      <c r="DM2" s="60" t="s">
        <v>32</v>
      </c>
      <c r="DN2" s="10" t="s">
        <v>31</v>
      </c>
      <c r="DO2" s="10" t="s">
        <v>30</v>
      </c>
      <c r="DP2" s="10" t="s">
        <v>25</v>
      </c>
      <c r="DQ2" s="122" t="s">
        <v>44</v>
      </c>
      <c r="DR2" s="122"/>
      <c r="DS2" s="122"/>
      <c r="DT2" s="122"/>
      <c r="DU2" s="122" t="s">
        <v>47</v>
      </c>
      <c r="DV2" s="122"/>
      <c r="DW2" s="122"/>
      <c r="DX2" s="122"/>
      <c r="DY2" s="122" t="s">
        <v>48</v>
      </c>
      <c r="DZ2" s="122"/>
      <c r="EA2" s="122"/>
      <c r="EB2" s="122"/>
      <c r="EC2" s="131" t="s">
        <v>49</v>
      </c>
      <c r="ED2" s="131"/>
      <c r="EE2" s="131"/>
      <c r="EF2" s="131"/>
      <c r="EG2" s="22" t="s">
        <v>32</v>
      </c>
      <c r="EH2" s="13" t="s">
        <v>31</v>
      </c>
      <c r="EI2" s="13" t="s">
        <v>30</v>
      </c>
      <c r="EJ2" s="13" t="s">
        <v>25</v>
      </c>
      <c r="EK2" s="121" t="s">
        <v>44</v>
      </c>
      <c r="EL2" s="121"/>
      <c r="EM2" s="121"/>
      <c r="EN2" s="121"/>
      <c r="EO2" s="121" t="s">
        <v>47</v>
      </c>
      <c r="EP2" s="121"/>
      <c r="EQ2" s="121"/>
      <c r="ER2" s="121"/>
      <c r="ES2" s="121" t="s">
        <v>48</v>
      </c>
      <c r="ET2" s="121"/>
      <c r="EU2" s="121"/>
      <c r="EV2" s="121"/>
      <c r="EW2" s="132" t="s">
        <v>49</v>
      </c>
      <c r="EX2" s="132"/>
      <c r="EY2" s="132"/>
      <c r="EZ2" s="132"/>
      <c r="FA2" s="23" t="s">
        <v>32</v>
      </c>
      <c r="FB2" s="10" t="s">
        <v>31</v>
      </c>
      <c r="FC2" s="10" t="s">
        <v>30</v>
      </c>
      <c r="FD2" s="10" t="s">
        <v>25</v>
      </c>
      <c r="FE2" s="122" t="s">
        <v>44</v>
      </c>
      <c r="FF2" s="122"/>
      <c r="FG2" s="122"/>
      <c r="FH2" s="122"/>
      <c r="FI2" s="122" t="s">
        <v>47</v>
      </c>
      <c r="FJ2" s="122"/>
      <c r="FK2" s="122"/>
      <c r="FL2" s="122"/>
      <c r="FM2" s="122" t="s">
        <v>48</v>
      </c>
      <c r="FN2" s="122"/>
      <c r="FO2" s="122"/>
      <c r="FP2" s="122"/>
      <c r="FQ2" s="131" t="s">
        <v>49</v>
      </c>
      <c r="FR2" s="131"/>
      <c r="FS2" s="131"/>
      <c r="FT2" s="131"/>
      <c r="FU2" s="22" t="s">
        <v>32</v>
      </c>
      <c r="FV2" s="13" t="s">
        <v>31</v>
      </c>
      <c r="FW2" s="13" t="s">
        <v>30</v>
      </c>
      <c r="FX2" s="13" t="s">
        <v>25</v>
      </c>
      <c r="FY2" s="121" t="s">
        <v>44</v>
      </c>
      <c r="FZ2" s="121"/>
      <c r="GA2" s="121"/>
      <c r="GB2" s="121"/>
      <c r="GC2" s="121" t="s">
        <v>47</v>
      </c>
      <c r="GD2" s="121"/>
      <c r="GE2" s="121"/>
      <c r="GF2" s="121"/>
      <c r="GG2" s="121" t="s">
        <v>48</v>
      </c>
      <c r="GH2" s="121"/>
      <c r="GI2" s="121"/>
      <c r="GJ2" s="121"/>
      <c r="GK2" s="132" t="s">
        <v>49</v>
      </c>
      <c r="GL2" s="132"/>
      <c r="GM2" s="132"/>
      <c r="GN2" s="132"/>
      <c r="GO2" s="23" t="s">
        <v>32</v>
      </c>
      <c r="GP2" s="10" t="s">
        <v>31</v>
      </c>
      <c r="GQ2" s="10" t="s">
        <v>30</v>
      </c>
      <c r="GR2" s="10" t="s">
        <v>25</v>
      </c>
      <c r="GS2" s="122" t="s">
        <v>44</v>
      </c>
      <c r="GT2" s="122"/>
      <c r="GU2" s="122"/>
      <c r="GV2" s="122"/>
      <c r="GW2" s="122" t="s">
        <v>47</v>
      </c>
      <c r="GX2" s="122"/>
      <c r="GY2" s="122"/>
      <c r="GZ2" s="122"/>
      <c r="HA2" s="122" t="s">
        <v>48</v>
      </c>
      <c r="HB2" s="122"/>
      <c r="HC2" s="122"/>
      <c r="HD2" s="122"/>
      <c r="HE2" s="131" t="s">
        <v>49</v>
      </c>
      <c r="HF2" s="131"/>
      <c r="HG2" s="131"/>
      <c r="HH2" s="131"/>
      <c r="HI2" s="22" t="s">
        <v>32</v>
      </c>
      <c r="HJ2" s="13" t="s">
        <v>31</v>
      </c>
      <c r="HK2" s="13" t="s">
        <v>30</v>
      </c>
      <c r="HL2" s="13" t="s">
        <v>25</v>
      </c>
      <c r="HM2" s="121" t="s">
        <v>44</v>
      </c>
      <c r="HN2" s="121"/>
      <c r="HO2" s="121"/>
      <c r="HP2" s="121"/>
      <c r="HQ2" s="121" t="s">
        <v>47</v>
      </c>
      <c r="HR2" s="121"/>
      <c r="HS2" s="121"/>
      <c r="HT2" s="121"/>
      <c r="HU2" s="121" t="s">
        <v>48</v>
      </c>
      <c r="HV2" s="121"/>
      <c r="HW2" s="121"/>
      <c r="HX2" s="121"/>
      <c r="HY2" s="132" t="s">
        <v>49</v>
      </c>
      <c r="HZ2" s="132"/>
      <c r="IA2" s="132"/>
      <c r="IB2" s="132"/>
      <c r="IC2" s="23" t="s">
        <v>32</v>
      </c>
      <c r="ID2" s="10" t="s">
        <v>31</v>
      </c>
      <c r="IE2" s="10" t="s">
        <v>30</v>
      </c>
      <c r="IF2" s="10" t="s">
        <v>25</v>
      </c>
      <c r="IG2" s="122" t="s">
        <v>44</v>
      </c>
      <c r="IH2" s="122"/>
      <c r="II2" s="122"/>
      <c r="IJ2" s="122"/>
      <c r="IK2" s="122" t="s">
        <v>47</v>
      </c>
      <c r="IL2" s="122"/>
      <c r="IM2" s="122"/>
      <c r="IN2" s="122"/>
      <c r="IO2" s="122" t="s">
        <v>48</v>
      </c>
      <c r="IP2" s="122"/>
      <c r="IQ2" s="122"/>
      <c r="IR2" s="122"/>
      <c r="IS2" s="131" t="s">
        <v>49</v>
      </c>
      <c r="IT2" s="131"/>
      <c r="IU2" s="131"/>
      <c r="IV2" s="131"/>
      <c r="IW2" s="22" t="s">
        <v>32</v>
      </c>
      <c r="IX2" s="13" t="s">
        <v>31</v>
      </c>
      <c r="IY2" s="13" t="s">
        <v>30</v>
      </c>
      <c r="IZ2" s="13" t="s">
        <v>25</v>
      </c>
      <c r="JA2" s="121" t="s">
        <v>44</v>
      </c>
      <c r="JB2" s="121"/>
      <c r="JC2" s="121"/>
      <c r="JD2" s="121"/>
      <c r="JE2" s="121" t="s">
        <v>47</v>
      </c>
      <c r="JF2" s="121"/>
      <c r="JG2" s="121"/>
      <c r="JH2" s="121"/>
      <c r="JI2" s="121" t="s">
        <v>48</v>
      </c>
      <c r="JJ2" s="121"/>
      <c r="JK2" s="121"/>
      <c r="JL2" s="121"/>
      <c r="JM2" s="132" t="s">
        <v>49</v>
      </c>
      <c r="JN2" s="132"/>
      <c r="JO2" s="132"/>
      <c r="JP2" s="132"/>
      <c r="JQ2" s="23" t="s">
        <v>32</v>
      </c>
      <c r="JR2" s="10" t="s">
        <v>31</v>
      </c>
      <c r="JS2" s="10" t="s">
        <v>30</v>
      </c>
      <c r="JT2" s="10" t="s">
        <v>25</v>
      </c>
      <c r="JU2" s="122" t="s">
        <v>44</v>
      </c>
      <c r="JV2" s="122"/>
      <c r="JW2" s="122"/>
      <c r="JX2" s="122"/>
      <c r="JY2" s="122" t="s">
        <v>47</v>
      </c>
      <c r="JZ2" s="122"/>
      <c r="KA2" s="122"/>
      <c r="KB2" s="122"/>
      <c r="KC2" s="122" t="s">
        <v>48</v>
      </c>
      <c r="KD2" s="122"/>
      <c r="KE2" s="122"/>
      <c r="KF2" s="122"/>
      <c r="KG2" s="131" t="s">
        <v>49</v>
      </c>
      <c r="KH2" s="131"/>
      <c r="KI2" s="131"/>
      <c r="KJ2" s="131"/>
      <c r="KK2" s="22" t="s">
        <v>32</v>
      </c>
      <c r="KL2" s="13" t="s">
        <v>31</v>
      </c>
      <c r="KM2" s="13" t="s">
        <v>30</v>
      </c>
      <c r="KN2" s="13" t="s">
        <v>25</v>
      </c>
      <c r="KO2" s="121" t="s">
        <v>44</v>
      </c>
      <c r="KP2" s="121"/>
      <c r="KQ2" s="121"/>
      <c r="KR2" s="121"/>
      <c r="KS2" s="121" t="s">
        <v>47</v>
      </c>
      <c r="KT2" s="121"/>
      <c r="KU2" s="121"/>
      <c r="KV2" s="121"/>
      <c r="KW2" s="121" t="s">
        <v>48</v>
      </c>
      <c r="KX2" s="121"/>
      <c r="KY2" s="121"/>
      <c r="KZ2" s="121"/>
      <c r="LA2" s="129" t="s">
        <v>49</v>
      </c>
      <c r="LB2" s="129"/>
      <c r="LC2" s="129"/>
      <c r="LD2" s="129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4"/>
      <c r="B3" s="124"/>
      <c r="C3" s="124"/>
      <c r="D3" s="124"/>
      <c r="E3" s="124"/>
      <c r="F3" s="130"/>
      <c r="G3" s="130"/>
      <c r="H3" s="130"/>
      <c r="I3" s="124"/>
      <c r="J3" s="126"/>
      <c r="K3" s="126"/>
      <c r="L3" s="126"/>
      <c r="M3" s="126"/>
      <c r="N3" s="127"/>
      <c r="O3" s="126"/>
      <c r="P3" s="126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95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45</v>
      </c>
      <c r="AO3" s="59" t="s">
        <v>46</v>
      </c>
      <c r="AP3" s="59" t="s">
        <v>22</v>
      </c>
      <c r="AQ3" s="59" t="s">
        <v>14</v>
      </c>
      <c r="AR3" s="59" t="s">
        <v>45</v>
      </c>
      <c r="AS3" s="59" t="s">
        <v>46</v>
      </c>
      <c r="AT3" s="59" t="s">
        <v>22</v>
      </c>
      <c r="AU3" s="59" t="s">
        <v>14</v>
      </c>
      <c r="AV3" s="59" t="s">
        <v>45</v>
      </c>
      <c r="AW3" s="59" t="s">
        <v>46</v>
      </c>
      <c r="AX3" s="61" t="s">
        <v>22</v>
      </c>
      <c r="AY3" s="61" t="s">
        <v>14</v>
      </c>
      <c r="AZ3" s="61" t="s">
        <v>45</v>
      </c>
      <c r="BA3" s="61" t="s">
        <v>46</v>
      </c>
      <c r="BB3" s="81" t="s">
        <v>95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45</v>
      </c>
      <c r="BL3" s="60" t="s">
        <v>46</v>
      </c>
      <c r="BM3" s="60" t="s">
        <v>22</v>
      </c>
      <c r="BN3" s="60" t="s">
        <v>14</v>
      </c>
      <c r="BO3" s="60" t="s">
        <v>45</v>
      </c>
      <c r="BP3" s="60" t="s">
        <v>46</v>
      </c>
      <c r="BQ3" s="60" t="s">
        <v>22</v>
      </c>
      <c r="BR3" s="60" t="s">
        <v>14</v>
      </c>
      <c r="BS3" s="60" t="s">
        <v>45</v>
      </c>
      <c r="BT3" s="60" t="s">
        <v>46</v>
      </c>
      <c r="BU3" s="62" t="s">
        <v>22</v>
      </c>
      <c r="BV3" s="62" t="s">
        <v>14</v>
      </c>
      <c r="BW3" s="62" t="s">
        <v>45</v>
      </c>
      <c r="BX3" s="62" t="s">
        <v>46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45</v>
      </c>
      <c r="CF3" s="59" t="s">
        <v>46</v>
      </c>
      <c r="CG3" s="59" t="s">
        <v>22</v>
      </c>
      <c r="CH3" s="59" t="s">
        <v>14</v>
      </c>
      <c r="CI3" s="59" t="s">
        <v>45</v>
      </c>
      <c r="CJ3" s="59" t="s">
        <v>46</v>
      </c>
      <c r="CK3" s="59" t="s">
        <v>22</v>
      </c>
      <c r="CL3" s="59" t="s">
        <v>14</v>
      </c>
      <c r="CM3" s="59" t="s">
        <v>45</v>
      </c>
      <c r="CN3" s="59" t="s">
        <v>46</v>
      </c>
      <c r="CO3" s="61" t="s">
        <v>22</v>
      </c>
      <c r="CP3" s="61" t="s">
        <v>14</v>
      </c>
      <c r="CQ3" s="61" t="s">
        <v>45</v>
      </c>
      <c r="CR3" s="61" t="s">
        <v>46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45</v>
      </c>
      <c r="CZ3" s="60" t="s">
        <v>46</v>
      </c>
      <c r="DA3" s="60" t="s">
        <v>22</v>
      </c>
      <c r="DB3" s="60" t="s">
        <v>14</v>
      </c>
      <c r="DC3" s="60" t="s">
        <v>45</v>
      </c>
      <c r="DD3" s="60" t="s">
        <v>46</v>
      </c>
      <c r="DE3" s="60" t="s">
        <v>22</v>
      </c>
      <c r="DF3" s="60" t="s">
        <v>14</v>
      </c>
      <c r="DG3" s="60" t="s">
        <v>45</v>
      </c>
      <c r="DH3" s="60" t="s">
        <v>46</v>
      </c>
      <c r="DI3" s="62" t="s">
        <v>22</v>
      </c>
      <c r="DJ3" s="62" t="s">
        <v>14</v>
      </c>
      <c r="DK3" s="62" t="s">
        <v>45</v>
      </c>
      <c r="DL3" s="62" t="s">
        <v>46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45</v>
      </c>
      <c r="DT3" s="30" t="s">
        <v>46</v>
      </c>
      <c r="DU3" s="30" t="s">
        <v>22</v>
      </c>
      <c r="DV3" s="30" t="s">
        <v>14</v>
      </c>
      <c r="DW3" s="30" t="s">
        <v>45</v>
      </c>
      <c r="DX3" s="30" t="s">
        <v>46</v>
      </c>
      <c r="DY3" s="30" t="s">
        <v>22</v>
      </c>
      <c r="DZ3" s="30" t="s">
        <v>14</v>
      </c>
      <c r="EA3" s="30" t="s">
        <v>45</v>
      </c>
      <c r="EB3" s="30" t="s">
        <v>46</v>
      </c>
      <c r="EC3" s="33" t="s">
        <v>22</v>
      </c>
      <c r="ED3" s="33" t="s">
        <v>14</v>
      </c>
      <c r="EE3" s="33" t="s">
        <v>45</v>
      </c>
      <c r="EF3" s="33" t="s">
        <v>46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45</v>
      </c>
      <c r="EN3" s="31" t="s">
        <v>46</v>
      </c>
      <c r="EO3" s="31" t="s">
        <v>22</v>
      </c>
      <c r="EP3" s="31" t="s">
        <v>14</v>
      </c>
      <c r="EQ3" s="31" t="s">
        <v>45</v>
      </c>
      <c r="ER3" s="31" t="s">
        <v>46</v>
      </c>
      <c r="ES3" s="31" t="s">
        <v>22</v>
      </c>
      <c r="ET3" s="31" t="s">
        <v>14</v>
      </c>
      <c r="EU3" s="31" t="s">
        <v>45</v>
      </c>
      <c r="EV3" s="31" t="s">
        <v>46</v>
      </c>
      <c r="EW3" s="32" t="s">
        <v>22</v>
      </c>
      <c r="EX3" s="32" t="s">
        <v>14</v>
      </c>
      <c r="EY3" s="32" t="s">
        <v>45</v>
      </c>
      <c r="EZ3" s="32" t="s">
        <v>46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45</v>
      </c>
      <c r="FH3" s="30" t="s">
        <v>46</v>
      </c>
      <c r="FI3" s="30" t="s">
        <v>22</v>
      </c>
      <c r="FJ3" s="30" t="s">
        <v>14</v>
      </c>
      <c r="FK3" s="30" t="s">
        <v>45</v>
      </c>
      <c r="FL3" s="30" t="s">
        <v>46</v>
      </c>
      <c r="FM3" s="30" t="s">
        <v>22</v>
      </c>
      <c r="FN3" s="30" t="s">
        <v>14</v>
      </c>
      <c r="FO3" s="30" t="s">
        <v>45</v>
      </c>
      <c r="FP3" s="30" t="s">
        <v>46</v>
      </c>
      <c r="FQ3" s="33" t="s">
        <v>22</v>
      </c>
      <c r="FR3" s="33" t="s">
        <v>14</v>
      </c>
      <c r="FS3" s="33" t="s">
        <v>45</v>
      </c>
      <c r="FT3" s="33" t="s">
        <v>46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45</v>
      </c>
      <c r="GB3" s="31" t="s">
        <v>46</v>
      </c>
      <c r="GC3" s="31" t="s">
        <v>22</v>
      </c>
      <c r="GD3" s="31" t="s">
        <v>14</v>
      </c>
      <c r="GE3" s="31" t="s">
        <v>45</v>
      </c>
      <c r="GF3" s="31" t="s">
        <v>46</v>
      </c>
      <c r="GG3" s="31" t="s">
        <v>22</v>
      </c>
      <c r="GH3" s="31" t="s">
        <v>14</v>
      </c>
      <c r="GI3" s="31" t="s">
        <v>45</v>
      </c>
      <c r="GJ3" s="31" t="s">
        <v>46</v>
      </c>
      <c r="GK3" s="32" t="s">
        <v>22</v>
      </c>
      <c r="GL3" s="32" t="s">
        <v>14</v>
      </c>
      <c r="GM3" s="32" t="s">
        <v>45</v>
      </c>
      <c r="GN3" s="32" t="s">
        <v>46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45</v>
      </c>
      <c r="GV3" s="30" t="s">
        <v>46</v>
      </c>
      <c r="GW3" s="30" t="s">
        <v>22</v>
      </c>
      <c r="GX3" s="30" t="s">
        <v>14</v>
      </c>
      <c r="GY3" s="30" t="s">
        <v>45</v>
      </c>
      <c r="GZ3" s="30" t="s">
        <v>46</v>
      </c>
      <c r="HA3" s="30" t="s">
        <v>22</v>
      </c>
      <c r="HB3" s="30" t="s">
        <v>14</v>
      </c>
      <c r="HC3" s="30" t="s">
        <v>45</v>
      </c>
      <c r="HD3" s="30" t="s">
        <v>46</v>
      </c>
      <c r="HE3" s="33" t="s">
        <v>22</v>
      </c>
      <c r="HF3" s="33" t="s">
        <v>14</v>
      </c>
      <c r="HG3" s="33" t="s">
        <v>45</v>
      </c>
      <c r="HH3" s="33" t="s">
        <v>46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45</v>
      </c>
      <c r="HP3" s="31" t="s">
        <v>46</v>
      </c>
      <c r="HQ3" s="31" t="s">
        <v>22</v>
      </c>
      <c r="HR3" s="31" t="s">
        <v>14</v>
      </c>
      <c r="HS3" s="31" t="s">
        <v>45</v>
      </c>
      <c r="HT3" s="31" t="s">
        <v>46</v>
      </c>
      <c r="HU3" s="31" t="s">
        <v>22</v>
      </c>
      <c r="HV3" s="31" t="s">
        <v>14</v>
      </c>
      <c r="HW3" s="31" t="s">
        <v>45</v>
      </c>
      <c r="HX3" s="31" t="s">
        <v>46</v>
      </c>
      <c r="HY3" s="32" t="s">
        <v>22</v>
      </c>
      <c r="HZ3" s="32" t="s">
        <v>14</v>
      </c>
      <c r="IA3" s="32" t="s">
        <v>45</v>
      </c>
      <c r="IB3" s="32" t="s">
        <v>46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45</v>
      </c>
      <c r="IJ3" s="30" t="s">
        <v>46</v>
      </c>
      <c r="IK3" s="30" t="s">
        <v>22</v>
      </c>
      <c r="IL3" s="30" t="s">
        <v>14</v>
      </c>
      <c r="IM3" s="30" t="s">
        <v>45</v>
      </c>
      <c r="IN3" s="30" t="s">
        <v>46</v>
      </c>
      <c r="IO3" s="30" t="s">
        <v>22</v>
      </c>
      <c r="IP3" s="30" t="s">
        <v>14</v>
      </c>
      <c r="IQ3" s="30" t="s">
        <v>45</v>
      </c>
      <c r="IR3" s="30" t="s">
        <v>46</v>
      </c>
      <c r="IS3" s="33" t="s">
        <v>22</v>
      </c>
      <c r="IT3" s="33" t="s">
        <v>14</v>
      </c>
      <c r="IU3" s="33" t="s">
        <v>45</v>
      </c>
      <c r="IV3" s="33" t="s">
        <v>46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45</v>
      </c>
      <c r="JD3" s="31" t="s">
        <v>46</v>
      </c>
      <c r="JE3" s="31" t="s">
        <v>22</v>
      </c>
      <c r="JF3" s="31" t="s">
        <v>14</v>
      </c>
      <c r="JG3" s="31" t="s">
        <v>45</v>
      </c>
      <c r="JH3" s="31" t="s">
        <v>46</v>
      </c>
      <c r="JI3" s="31" t="s">
        <v>22</v>
      </c>
      <c r="JJ3" s="31" t="s">
        <v>14</v>
      </c>
      <c r="JK3" s="31" t="s">
        <v>45</v>
      </c>
      <c r="JL3" s="31" t="s">
        <v>46</v>
      </c>
      <c r="JM3" s="32" t="s">
        <v>22</v>
      </c>
      <c r="JN3" s="32" t="s">
        <v>14</v>
      </c>
      <c r="JO3" s="32" t="s">
        <v>45</v>
      </c>
      <c r="JP3" s="32" t="s">
        <v>46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45</v>
      </c>
      <c r="JX3" s="30" t="s">
        <v>46</v>
      </c>
      <c r="JY3" s="30" t="s">
        <v>22</v>
      </c>
      <c r="JZ3" s="30" t="s">
        <v>14</v>
      </c>
      <c r="KA3" s="30" t="s">
        <v>45</v>
      </c>
      <c r="KB3" s="30" t="s">
        <v>46</v>
      </c>
      <c r="KC3" s="30" t="s">
        <v>22</v>
      </c>
      <c r="KD3" s="30" t="s">
        <v>14</v>
      </c>
      <c r="KE3" s="30" t="s">
        <v>45</v>
      </c>
      <c r="KF3" s="30" t="s">
        <v>46</v>
      </c>
      <c r="KG3" s="33" t="s">
        <v>22</v>
      </c>
      <c r="KH3" s="33" t="s">
        <v>14</v>
      </c>
      <c r="KI3" s="33" t="s">
        <v>45</v>
      </c>
      <c r="KJ3" s="33" t="s">
        <v>46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45</v>
      </c>
      <c r="KR3" s="111" t="s">
        <v>46</v>
      </c>
      <c r="KS3" s="111" t="s">
        <v>22</v>
      </c>
      <c r="KT3" s="111" t="s">
        <v>14</v>
      </c>
      <c r="KU3" s="111" t="s">
        <v>45</v>
      </c>
      <c r="KV3" s="111" t="s">
        <v>46</v>
      </c>
      <c r="KW3" s="111" t="s">
        <v>22</v>
      </c>
      <c r="KX3" s="111" t="s">
        <v>14</v>
      </c>
      <c r="KY3" s="111" t="s">
        <v>45</v>
      </c>
      <c r="KZ3" s="111" t="s">
        <v>46</v>
      </c>
      <c r="LA3" s="112" t="s">
        <v>22</v>
      </c>
      <c r="LB3" s="112" t="s">
        <v>14</v>
      </c>
      <c r="LC3" s="112" t="s">
        <v>45</v>
      </c>
      <c r="LD3" s="112" t="s">
        <v>46</v>
      </c>
      <c r="LE3" s="111" t="s">
        <v>95</v>
      </c>
      <c r="LF3" s="11"/>
      <c r="LG3" s="10"/>
      <c r="LH3" s="11"/>
      <c r="LI3" s="11"/>
    </row>
    <row r="4" spans="1:32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51</v>
      </c>
      <c r="C4" s="5" t="s">
        <v>3</v>
      </c>
      <c r="D4" s="29">
        <v>1992</v>
      </c>
      <c r="E4" s="16">
        <f>SUM(J4:N4)</f>
        <v>147.80000000000001</v>
      </c>
      <c r="F4" s="4" t="str">
        <f>IF(OR(AND(AH4&gt;=AJ$11,AI4&gt;=AJ$13,AI4&lt;&gt;"",AG4=""),AND(BC4&gt;=BE$11,BD4&gt;=BE$13,BD4&lt;&gt;"",BB4=""),AND(BY4&gt;=CA$11,BZ4&gt;=CA$13,BZ4&lt;&gt;""),AND(CS4&gt;=CU$11,CT4&gt;=CU$13,CT4&lt;&gt;""),AND(DM4&gt;=DO$11,DN4&gt;=DO$13,DN4&lt;&gt;""),AND(EG4&gt;=EI$11,EH4&gt;=EI$13,EH4&lt;&gt;""),AND(FA4&gt;=FC$11,FB4&gt;=FC$13,FB4&lt;&gt;""),AND(FU4&gt;=FW$11,FV4&gt;=FW$13,FV4&lt;&gt;""),AND(GO4&gt;=GQ$11,GP4&gt;=GQ$13,GP4&lt;&gt;""),AND(HI4&gt;=HK$11,HJ4&gt;=HK$13,HJ4&lt;&gt;""),AND(IC4&gt;=IE$11,ID4&gt;=IE$13,ID4&lt;&gt;""),AND(IW4&gt;=IY$11,IX4&gt;=IY$13,IX4&lt;&gt;""),AND(JQ4&gt;=JS$11,JR4&gt;=JS$13,JR4&lt;&gt;""),AND(KK4&gt;=KM$11,KL4&gt;=KM$13,KL4&lt;&gt;"")),"P","")</f>
        <v>P</v>
      </c>
      <c r="G4" s="4" t="str">
        <f>IF(OR(AND(AH4&gt;=AJ$11,AI4&gt;=AJ$14,AI4&lt;&gt;"",AG4=""),AND(BC4&gt;=BE$11,BD4&gt;=BE$14,BD4&lt;&gt;"",BB4=""),AND(BY4&gt;=CA$11,BZ4&gt;=CA$14,BZ4&lt;&gt;""),AND(CS4&gt;=CU$11,CT4&gt;=CU$14,CT4&lt;&gt;""),AND(DM4&gt;=DO$11,DN4&gt;=DO$14,DN4&lt;&gt;""),AND(EG4&gt;=EI$11,EH4&gt;=EI$14,EH4&lt;&gt;""),AND(FA4&gt;=FC$11,FB4&gt;=FC$14,FB4&lt;&gt;""),AND(FU4&gt;=FW$11,FV4&gt;=FW$14,FV4&lt;&gt;""),AND(GO4&gt;=GQ$11,GP4&gt;=GQ$14,GP4&lt;&gt;""),AND(HI4&gt;=HK$11,HJ4&gt;=HK$14,HJ4&lt;&gt;""),AND(IC4&gt;=IE$11,ID4&gt;=IE$14,ID4&lt;&gt;""),AND(IW4&gt;=IY$11,IX4&gt;=IY$14,IX4&lt;&gt;""),AND(JQ4&gt;=JS$11,JR4&gt;=JS$14,JR4&lt;&gt;""),AND(KK4&gt;=KM$11,KL4&gt;=KM$14,KL4&lt;&gt;"")),"P","")</f>
        <v>P</v>
      </c>
      <c r="H4" s="4" t="str">
        <f>IF(OR(AND(AI4&gt;=AJ$13,AI4&lt;&gt;"",AG4=""),AND(BD4&gt;=BE$13,BD4&lt;&gt;"",BB4=""),AND(BZ4&gt;=CA$13,BZ4&lt;&gt;""),AND(CT4&gt;=CU$13,CT4&lt;&gt;""),AND(DN4&gt;=DO$13,DN4&lt;&gt;""),AND(EH4&gt;=EI$13,EH4&lt;&gt;""),AND(FB4&gt;=FC$13,FB4&lt;&gt;""),AND(FV4&gt;=FW$13,FV4&lt;&gt;""),AND(GP4&gt;=GQ$13,GP4&lt;&gt;""),AND(HJ4&gt;=HK$13,HJ4&lt;&gt;""),AND(ID4&gt;=IE$13,ID4&lt;&gt;""),AND(IX4&gt;=IY$13,IX4&lt;&gt;""),AND(JR4&gt;=JS$13,JR4&lt;&gt;""),AND(KL4&gt;=KM$13,KL4&lt;&gt;"")),"P","")</f>
        <v>P</v>
      </c>
      <c r="I4" t="str">
        <f>IF(AND(H4="P",F4=""),"No DD",IF(OR(AND(AI4&gt;=AJ$16,AI4&lt;&gt;"",AH4&gt;=AJ$12,AH4&lt;&gt;"",AG4=""),AND(BD4&gt;=BE$16,BD4&lt;&gt;"",BC4&gt;=BE$12,BC4&lt;&gt;"",BB4=""),AND(BZ4&gt;=CA$16,BZ4&lt;&gt;"",BY4&gt;=CA$12,BY4&lt;&gt;""),AND(CT4&gt;=CU$16,CT4&lt;&gt;"",CS4&gt;=CU$12,CS4&lt;&gt;""),AND(DN4&gt;=DO$16,DN4&lt;&gt;"",DM4&gt;=DO$12,DM4&lt;&gt;""),AND(EH4&gt;=EI$16,EH4&lt;&gt;"",EG4&gt;=EI$12,EG4&lt;&gt;""),AND(FB4&gt;=FC$16,FB4&lt;&gt;"",FA4&gt;=FC$12,FA4&lt;&gt;""),AND(FV4&gt;=FW$16,FV4&lt;&gt;"",FU4&gt;=FW$12,FU4&lt;&gt;""),AND(GP4&gt;=GQ$16,GP4&lt;&gt;"",GO4&gt;=GQ$12,GO4&lt;&gt;""),AND(HJ4&gt;=HK$16,HJ4&lt;&gt;"",HI4&gt;=HK$12,HI4&lt;&gt;""),AND(ID4&gt;=IE$16,ID4&lt;&gt;"",IC4&gt;=IE$12,IC4&lt;&gt;""),AND(IX4&gt;=IY$16,IX4&lt;&gt;"",IW4&gt;=IY$12,IW4&lt;&gt;""),AND(JR4&gt;=JS$16,JR4&lt;&gt;"",JQ4&gt;=JS$12,JQ4&lt;&gt;""),AND(KL4&gt;=KM$16,KL4&lt;&gt;"",KK4&gt;=KM$12,KK4&lt;&gt;"")),"Merit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Excellence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Worlds Team",IF(OR(AND(AI4&gt;=AJ$13,AI4&lt;&gt;"",AH4&gt;=AJ$11,AH4&lt;&gt;"",AG4=""),AND(BD4&gt;=BE$13,BD4&lt;&gt;"",BC4&gt;=BE$11,BC4&lt;&gt;"",BB4=""),AND(BZ4&gt;=CA$13,BZ4&lt;&gt;"",BY4&gt;=CA$11,BY4&lt;&gt;""),AND(CT4&gt;=CU$13,CT4&lt;&gt;"",CS4&gt;=CU$11,CS4&lt;&gt;""),AND(DN4&gt;=DO$13,DN4&lt;&gt;"",DM4&gt;=DO$11,DM4&lt;&gt;""),AND(EH4&gt;=EI$13,EH4&lt;&gt;"",EG4&gt;=EI$11,EG4&lt;&gt;""),AND(FB4&gt;=FC$13,FB4&lt;&gt;"",FA4&gt;=FC$11,FA4&lt;&gt;""),AND(FV4&gt;=FW$13,FV4&lt;&gt;"",FU4&gt;=FW$11,FU4&lt;&gt;""),AND(GP4&gt;=GQ$13,GP4&lt;&gt;"",GO4&gt;=GQ$11,GO4&lt;&gt;""),AND(HJ4&gt;=HK$13,HJ4&lt;&gt;"",HI4&gt;=HK$11,HI4&lt;&gt;""),AND(ID4&gt;=IE$13,ID4&lt;&gt;"",IC4&gt;=IE$11,IC4&lt;&gt;""),AND(IX4&gt;=IY$13,IX4&lt;&gt;"",IW4&gt;=IY$11,IW4&lt;&gt;""),AND(JR4&gt;=JS$13,JR4&lt;&gt;"",JQ4&gt;=JS$11,JQ4&lt;&gt;""),AND(KL4&gt;=KM$13,KL4&lt;&gt;"",KK4&gt;=KM$11,KK4&lt;&gt;"")),"National Team","")))))</f>
        <v>Merit</v>
      </c>
      <c r="J4" s="15">
        <f>IF(MAX(AI4,BD4)&gt;0,MAX(AI4,BD4),"")</f>
        <v>72.8</v>
      </c>
      <c r="K4" s="15" t="str">
        <f>IF(J4="","",IF(J4=BD4,$AL$1,IF(J4=AI4,$Q$1,"")))</f>
        <v>2019 Nationals</v>
      </c>
      <c r="L4" s="15">
        <f>IF(MAX(AJ4,BE4)&gt;0,MAX(AJ4,BE4),"")</f>
        <v>75</v>
      </c>
      <c r="M4" s="15" t="str">
        <f>IF(L4="","",IF(L4=BE4,$AL$1,IF(L4=AJ4,$Q$1,"")))</f>
        <v>2019 Elite Canada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71">
        <v>26</v>
      </c>
      <c r="R4" s="71">
        <v>7.7</v>
      </c>
      <c r="S4" s="71">
        <v>0</v>
      </c>
      <c r="T4" s="71">
        <v>1</v>
      </c>
      <c r="U4" s="71">
        <v>26.1</v>
      </c>
      <c r="V4" s="71">
        <v>7.4</v>
      </c>
      <c r="W4" s="71">
        <v>0</v>
      </c>
      <c r="X4" s="71">
        <v>0</v>
      </c>
      <c r="Y4" s="71">
        <v>28.2</v>
      </c>
      <c r="Z4" s="71">
        <v>9.1</v>
      </c>
      <c r="AA4" s="71">
        <v>0</v>
      </c>
      <c r="AB4" s="71">
        <v>1</v>
      </c>
      <c r="AC4" s="71">
        <v>28.2</v>
      </c>
      <c r="AD4" s="71">
        <v>8.5</v>
      </c>
      <c r="AE4" s="71">
        <v>0</v>
      </c>
      <c r="AF4" s="71">
        <v>0</v>
      </c>
      <c r="AG4" s="82"/>
      <c r="AH4" s="12">
        <f>IF(SUM(R4,V4)&gt;0,SUM(R4,V4),"")</f>
        <v>15.100000000000001</v>
      </c>
      <c r="AI4" s="12">
        <f>IF(SUM(Q4:R4,T4:V4,X4)-S4-W4&gt;0,SUM(Q4:R4,T4:V4,X4)-S4-W4,"")</f>
        <v>68.2</v>
      </c>
      <c r="AJ4" s="12">
        <f>IF(SUM(Y4:Z4,AB4:AD4,AF4)-SUM(AA4,AE4)&gt;0,SUM(Y4:Z4,AB4:AD4,AF4)-SUM(AA4,AE4),"")</f>
        <v>75</v>
      </c>
      <c r="AK4" s="12">
        <f>IF(SUM(AI4,AJ4)&gt;0,SUM(AI4,AJ4),"")</f>
        <v>143.19999999999999</v>
      </c>
      <c r="AL4" s="40">
        <v>27.7</v>
      </c>
      <c r="AM4" s="40">
        <v>7.7</v>
      </c>
      <c r="AN4" s="40">
        <v>0</v>
      </c>
      <c r="AO4" s="40">
        <v>1</v>
      </c>
      <c r="AP4" s="40">
        <v>27.9</v>
      </c>
      <c r="AQ4" s="40">
        <v>8.5</v>
      </c>
      <c r="AR4" s="40">
        <v>0</v>
      </c>
      <c r="AS4" s="40">
        <v>0</v>
      </c>
      <c r="AT4" s="40">
        <v>26.7</v>
      </c>
      <c r="AU4" s="40">
        <v>9.1</v>
      </c>
      <c r="AV4" s="40">
        <v>0</v>
      </c>
      <c r="AW4" s="40">
        <v>1</v>
      </c>
      <c r="AX4" s="40">
        <v>27.1</v>
      </c>
      <c r="AY4" s="40">
        <v>8.5</v>
      </c>
      <c r="AZ4" s="40">
        <v>0</v>
      </c>
      <c r="BA4" s="40">
        <v>0</v>
      </c>
      <c r="BB4" s="83"/>
      <c r="BC4" s="15">
        <f>IF(SUM(AM4,AQ4)&gt;0,SUM(AM4,AQ4),"")</f>
        <v>16.2</v>
      </c>
      <c r="BD4" s="15">
        <f>IF(SUM(AL4:AM4,AO4:AQ4,AS4)-AN4-AR4&gt;0,SUM(AL4:AM4,AO4:AQ4,AS4)-AN4-AR4,"")</f>
        <v>72.8</v>
      </c>
      <c r="BE4" s="15">
        <f>IF(SUM(AT4:AU4,AW4:AY4,BA4)-SUM(AV4,AZ4)&gt;0,SUM(AT4:AU4,AW4:AY4,BA4)-SUM(AV4,AZ4),"")</f>
        <v>72.400000000000006</v>
      </c>
      <c r="BF4" s="15">
        <f>IF(SUM(BD4,BE4)&gt;0,SUM(BD4,BE4),"")</f>
        <v>145.19999999999999</v>
      </c>
      <c r="BG4" s="26" t="str">
        <f>IF(MAX(BZ4,CT4,DN4,EH4,FB4,FV4,GP4,HJ4,ID4,IX4,JR4,KL4)-IF(J4="",0,J4)&gt;0.001,MAX(BZ4,CT4,DN4,EH4,FB4,FV4,GP4,HJ4,ID4,IX4,JR4,KL4)-IF(J4="",0,J4),"")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>
        <v>26.5</v>
      </c>
      <c r="BJ4" s="39">
        <v>8</v>
      </c>
      <c r="BK4" s="39">
        <v>0</v>
      </c>
      <c r="BL4" s="39">
        <v>0</v>
      </c>
      <c r="BM4" s="39">
        <v>25.6</v>
      </c>
      <c r="BN4" s="39">
        <v>9.3000000000000007</v>
      </c>
      <c r="BO4" s="39">
        <v>0</v>
      </c>
      <c r="BP4" s="39">
        <v>0</v>
      </c>
      <c r="BQ4" s="39">
        <v>25.9</v>
      </c>
      <c r="BR4" s="39">
        <v>9.9</v>
      </c>
      <c r="BS4" s="39">
        <v>0</v>
      </c>
      <c r="BT4" s="39">
        <v>0</v>
      </c>
      <c r="BU4" s="39">
        <v>23.2</v>
      </c>
      <c r="BV4" s="39">
        <v>8.5</v>
      </c>
      <c r="BW4" s="39">
        <v>0.3</v>
      </c>
      <c r="BX4" s="39">
        <v>0</v>
      </c>
      <c r="BY4" s="12">
        <f>IF(SUM(BJ4,BN4)&gt;0,SUM(BJ4,BN4),"")</f>
        <v>17.3</v>
      </c>
      <c r="BZ4" s="12">
        <f>IF(SUM(BI4:BJ4,BL4:BN4,BP4)-BK4-BO4&gt;0,SUM(BI4:BJ4,BL4:BN4,BP4)-BK4-BO4,"")</f>
        <v>69.400000000000006</v>
      </c>
      <c r="CA4" s="12">
        <f>IF(SUM(BQ4:BR4,BT4:BV4,BX4)-SUM(BS4,BW4)&gt;0,SUM(BQ4:BR4,BT4:BV4,BX4)-SUM(BS4,BW4),"")</f>
        <v>67.2</v>
      </c>
      <c r="CB4" s="12">
        <f>IF(SUM(BZ4,CA4)&gt;0,SUM(BZ4,CA4),"")</f>
        <v>136.60000000000002</v>
      </c>
      <c r="CC4" s="40">
        <v>25.6</v>
      </c>
      <c r="CD4" s="40">
        <v>7.7</v>
      </c>
      <c r="CE4" s="40">
        <v>0</v>
      </c>
      <c r="CF4" s="40">
        <v>0</v>
      </c>
      <c r="CG4" s="40">
        <v>25.8</v>
      </c>
      <c r="CH4" s="40">
        <v>9.3000000000000007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>IF(SUM(CD4,CH4)&gt;0,SUM(CD4,CH4),"")</f>
        <v>17</v>
      </c>
      <c r="CT4" s="15">
        <f>IF(SUM(CC4:CD4,CF4:CH4,CJ4)-CE4-CI4&gt;0,SUM(CC4:CD4,CF4:CH4,CJ4)-CE4-CI4,"")</f>
        <v>68.400000000000006</v>
      </c>
      <c r="CU4" s="15" t="str">
        <f>IF(SUM(CK4:CL4,CN4:CP4,CR4)-SUM(CM4,CQ4)&gt;0,SUM(CK4:CL4,CN4:CP4,CR4)-SUM(CM4,CQ4),"")</f>
        <v/>
      </c>
      <c r="CV4" s="15">
        <f>IF(SUM(CT4,CU4)&gt;0,SUM(CT4,CU4),"")</f>
        <v>68.400000000000006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>IF($BB4="P",AL4,(Q4+AL4)/2)</f>
        <v>26.85</v>
      </c>
      <c r="KP4" s="71">
        <f t="shared" ref="KP4:LD8" si="0">IF($BB4="P",AM4,(R4+AM4)/2)</f>
        <v>7.7</v>
      </c>
      <c r="KQ4" s="71">
        <f t="shared" si="0"/>
        <v>0</v>
      </c>
      <c r="KR4" s="71">
        <f t="shared" si="0"/>
        <v>1</v>
      </c>
      <c r="KS4" s="71">
        <f t="shared" si="0"/>
        <v>27</v>
      </c>
      <c r="KT4" s="71">
        <f t="shared" si="0"/>
        <v>7.95</v>
      </c>
      <c r="KU4" s="71">
        <f t="shared" si="0"/>
        <v>0</v>
      </c>
      <c r="KV4" s="71">
        <f t="shared" si="0"/>
        <v>0</v>
      </c>
      <c r="KW4" s="71">
        <f t="shared" si="0"/>
        <v>27.45</v>
      </c>
      <c r="KX4" s="71">
        <f t="shared" si="0"/>
        <v>9.1</v>
      </c>
      <c r="KY4" s="71">
        <f t="shared" si="0"/>
        <v>0</v>
      </c>
      <c r="KZ4" s="71">
        <f t="shared" si="0"/>
        <v>1</v>
      </c>
      <c r="LA4" s="71">
        <f t="shared" si="0"/>
        <v>27.65</v>
      </c>
      <c r="LB4" s="71">
        <f t="shared" si="0"/>
        <v>8.5</v>
      </c>
      <c r="LC4" s="71">
        <f t="shared" si="0"/>
        <v>0</v>
      </c>
      <c r="LD4" s="71">
        <f t="shared" si="0"/>
        <v>0</v>
      </c>
      <c r="LE4" s="82" t="s">
        <v>96</v>
      </c>
      <c r="LF4" s="12">
        <f t="shared" ref="LF4" si="1">IF(SUM(KP4,KT4)&gt;0,SUM(KP4,KT4),"")</f>
        <v>15.65</v>
      </c>
      <c r="LG4" s="12">
        <f t="shared" ref="LG4" si="2">IF(SUM(KO4:KP4,KR4:KT4,KV4)-KQ4-KU4&gt;0,SUM(KO4:KP4,KR4:KT4,KV4)-KQ4-KU4,"")</f>
        <v>70.5</v>
      </c>
      <c r="LH4" s="12">
        <f t="shared" ref="LH4" si="3">IF(SUM(KW4:KX4,KZ4:LB4,LD4)-SUM(KY4,LC4)&gt;0,SUM(KW4:KX4,KZ4:LB4,LD4)-SUM(KY4,LC4),"")</f>
        <v>73.699999999999989</v>
      </c>
      <c r="LI4" s="12">
        <f t="shared" ref="LI4" si="4">IF(SUM(LG4,LH4)&gt;0,SUM(LG4,LH4),"")</f>
        <v>144.19999999999999</v>
      </c>
    </row>
    <row r="5" spans="1:32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7" t="s">
        <v>170</v>
      </c>
      <c r="C5" s="8" t="s">
        <v>5</v>
      </c>
      <c r="D5" s="29">
        <v>2001</v>
      </c>
      <c r="E5" s="16">
        <f>SUM(J5:N5)</f>
        <v>133.80000000000001</v>
      </c>
      <c r="F5" s="4" t="str">
        <f>IF(OR(AND(AH5&gt;=AJ$11,AI5&gt;=AJ$13,AI5&lt;&gt;"",AG5=""),AND(BC5&gt;=BE$11,BD5&gt;=BE$13,BD5&lt;&gt;"",BB5=""),AND(BY5&gt;=CA$11,BZ5&gt;=CA$13,BZ5&lt;&gt;""),AND(CS5&gt;=CU$11,CT5&gt;=CU$13,CT5&lt;&gt;""),AND(DM5&gt;=DO$11,DN5&gt;=DO$13,DN5&lt;&gt;""),AND(EG5&gt;=EI$11,EH5&gt;=EI$13,EH5&lt;&gt;""),AND(FA5&gt;=FC$11,FB5&gt;=FC$13,FB5&lt;&gt;""),AND(FU5&gt;=FW$11,FV5&gt;=FW$13,FV5&lt;&gt;""),AND(GO5&gt;=GQ$11,GP5&gt;=GQ$13,GP5&lt;&gt;""),AND(HI5&gt;=HK$11,HJ5&gt;=HK$13,HJ5&lt;&gt;""),AND(IC5&gt;=IE$11,ID5&gt;=IE$13,ID5&lt;&gt;""),AND(IW5&gt;=IY$11,IX5&gt;=IY$13,IX5&lt;&gt;""),AND(JQ5&gt;=JS$11,JR5&gt;=JS$13,JR5&lt;&gt;""),AND(KK5&gt;=KM$11,KL5&gt;=KM$13,KL5&lt;&gt;"")),"P","")</f>
        <v>P</v>
      </c>
      <c r="G5" s="4" t="str">
        <f>IF(OR(AND(AH5&gt;=AJ$11,AI5&gt;=AJ$14,AI5&lt;&gt;"",AG5=""),AND(BC5&gt;=BE$11,BD5&gt;=BE$14,BD5&lt;&gt;"",BB5=""),AND(BY5&gt;=CA$11,BZ5&gt;=CA$14,BZ5&lt;&gt;""),AND(CS5&gt;=CU$11,CT5&gt;=CU$14,CT5&lt;&gt;""),AND(DM5&gt;=DO$11,DN5&gt;=DO$14,DN5&lt;&gt;""),AND(EG5&gt;=EI$11,EH5&gt;=EI$14,EH5&lt;&gt;""),AND(FA5&gt;=FC$11,FB5&gt;=FC$14,FB5&lt;&gt;""),AND(FU5&gt;=FW$11,FV5&gt;=FW$14,FV5&lt;&gt;""),AND(GO5&gt;=GQ$11,GP5&gt;=GQ$14,GP5&lt;&gt;""),AND(HI5&gt;=HK$11,HJ5&gt;=HK$14,HJ5&lt;&gt;""),AND(IC5&gt;=IE$11,ID5&gt;=IE$14,ID5&lt;&gt;""),AND(IW5&gt;=IY$11,IX5&gt;=IY$14,IX5&lt;&gt;""),AND(JQ5&gt;=JS$11,JR5&gt;=JS$14,JR5&lt;&gt;""),AND(KK5&gt;=KM$11,KL5&gt;=KM$14,KL5&lt;&gt;"")),"P","")</f>
        <v>P</v>
      </c>
      <c r="H5" s="4" t="str">
        <f>IF(OR(AND(AI5&gt;=AJ$13,AI5&lt;&gt;"",AG5=""),AND(BD5&gt;=BE$13,BD5&lt;&gt;"",BB5=""),AND(BZ5&gt;=CA$13,BZ5&lt;&gt;""),AND(CT5&gt;=CU$13,CT5&lt;&gt;""),AND(DN5&gt;=DO$13,DN5&lt;&gt;""),AND(EH5&gt;=EI$13,EH5&lt;&gt;""),AND(FB5&gt;=FC$13,FB5&lt;&gt;""),AND(FV5&gt;=FW$13,FV5&lt;&gt;""),AND(GP5&gt;=GQ$13,GP5&lt;&gt;""),AND(HJ5&gt;=HK$13,HJ5&lt;&gt;""),AND(ID5&gt;=IE$13,ID5&lt;&gt;""),AND(IX5&gt;=IY$13,IX5&lt;&gt;""),AND(JR5&gt;=JS$13,JR5&lt;&gt;""),AND(KL5&gt;=KM$13,KL5&lt;&gt;"")),"P","")</f>
        <v>P</v>
      </c>
      <c r="I5" t="str">
        <f>IF(AND(H5="P",F5=""),"No DD",IF(OR(AND(AI5&gt;=AJ$16,AI5&lt;&gt;"",AH5&gt;=AJ$12,AH5&lt;&gt;"",AG5=""),AND(BD5&gt;=BE$16,BD5&lt;&gt;"",BC5&gt;=BE$12,BC5&lt;&gt;"",BB5=""),AND(BZ5&gt;=CA$16,BZ5&lt;&gt;"",BY5&gt;=CA$12,BY5&lt;&gt;""),AND(CT5&gt;=CU$16,CT5&lt;&gt;"",CS5&gt;=CU$12,CS5&lt;&gt;""),AND(DN5&gt;=DO$16,DN5&lt;&gt;"",DM5&gt;=DO$12,DM5&lt;&gt;""),AND(EH5&gt;=EI$16,EH5&lt;&gt;"",EG5&gt;=EI$12,EG5&lt;&gt;""),AND(FB5&gt;=FC$16,FB5&lt;&gt;"",FA5&gt;=FC$12,FA5&lt;&gt;""),AND(FV5&gt;=FW$16,FV5&lt;&gt;"",FU5&gt;=FW$12,FU5&lt;&gt;""),AND(GP5&gt;=GQ$16,GP5&lt;&gt;"",GO5&gt;=GQ$12,GO5&lt;&gt;""),AND(HJ5&gt;=HK$16,HJ5&lt;&gt;"",HI5&gt;=HK$12,HI5&lt;&gt;""),AND(ID5&gt;=IE$16,ID5&lt;&gt;"",IC5&gt;=IE$12,IC5&lt;&gt;""),AND(IX5&gt;=IY$16,IX5&lt;&gt;"",IW5&gt;=IY$12,IW5&lt;&gt;""),AND(JR5&gt;=JS$16,JR5&lt;&gt;"",JQ5&gt;=JS$12,JQ5&lt;&gt;""),AND(KL5&gt;=KM$16,KL5&lt;&gt;"",KK5&gt;=KM$12,KK5&lt;&gt;"")),"Merit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Excellence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Worlds Team",IF(OR(AND(AI5&gt;=AJ$13,AI5&lt;&gt;"",AH5&gt;=AJ$11,AH5&lt;&gt;"",AG5=""),AND(BD5&gt;=BE$13,BD5&lt;&gt;"",BC5&gt;=BE$11,BC5&lt;&gt;"",BB5=""),AND(BZ5&gt;=CA$13,BZ5&lt;&gt;"",BY5&gt;=CA$11,BY5&lt;&gt;""),AND(CT5&gt;=CU$13,CT5&lt;&gt;"",CS5&gt;=CU$11,CS5&lt;&gt;""),AND(DN5&gt;=DO$13,DN5&lt;&gt;"",DM5&gt;=DO$11,DM5&lt;&gt;""),AND(EH5&gt;=EI$13,EH5&lt;&gt;"",EG5&gt;=EI$11,EG5&lt;&gt;""),AND(FB5&gt;=FC$13,FB5&lt;&gt;"",FA5&gt;=FC$11,FA5&lt;&gt;""),AND(FV5&gt;=FW$13,FV5&lt;&gt;"",FU5&gt;=FW$11,FU5&lt;&gt;""),AND(GP5&gt;=GQ$13,GP5&lt;&gt;"",GO5&gt;=GQ$11,GO5&lt;&gt;""),AND(HJ5&gt;=HK$13,HJ5&lt;&gt;"",HI5&gt;=HK$11,HI5&lt;&gt;""),AND(ID5&gt;=IE$13,ID5&lt;&gt;"",IC5&gt;=IE$11,IC5&lt;&gt;""),AND(IX5&gt;=IY$13,IX5&lt;&gt;"",IW5&gt;=IY$11,IW5&lt;&gt;""),AND(JR5&gt;=JS$13,JR5&lt;&gt;"",JQ5&gt;=JS$11,JQ5&lt;&gt;""),AND(KL5&gt;=KM$13,KL5&lt;&gt;"",KK5&gt;=KM$11,KK5&lt;&gt;"")),"National Team","")))))</f>
        <v>Worlds Team</v>
      </c>
      <c r="J5" s="15">
        <f>IF(MAX(AI5,BD5)&gt;0,MAX(AI5,BD5),"")</f>
        <v>66.3</v>
      </c>
      <c r="K5" s="15" t="str">
        <f>IF(J5="","",IF(J5=BD5,$AL$1,IF(J5=AI5,$Q$1,"")))</f>
        <v>2019 Nationals</v>
      </c>
      <c r="L5" s="15">
        <f>IF(MAX(AJ5,BE5)&gt;0,MAX(AJ5,BE5),"")</f>
        <v>67.5</v>
      </c>
      <c r="M5" s="15" t="str">
        <f>IF(L5="","",IF(L5=BE5,$AL$1,IF(L5=AJ5,$Q$1,"")))</f>
        <v>2019 Nationals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7">
        <v>23.5</v>
      </c>
      <c r="R5" s="47">
        <v>5.4</v>
      </c>
      <c r="S5" s="47">
        <v>0</v>
      </c>
      <c r="T5" s="47">
        <v>0</v>
      </c>
      <c r="U5" s="47">
        <v>27.1</v>
      </c>
      <c r="V5" s="47">
        <v>6.5</v>
      </c>
      <c r="W5" s="47">
        <v>0</v>
      </c>
      <c r="X5" s="47">
        <v>1</v>
      </c>
      <c r="Y5" s="47">
        <v>24</v>
      </c>
      <c r="Z5" s="47">
        <v>3.5</v>
      </c>
      <c r="AA5" s="47">
        <v>3</v>
      </c>
      <c r="AB5" s="47">
        <v>0</v>
      </c>
      <c r="AC5" s="47">
        <v>27.5</v>
      </c>
      <c r="AD5" s="47">
        <v>6.5</v>
      </c>
      <c r="AE5" s="47">
        <v>0</v>
      </c>
      <c r="AF5" s="47">
        <v>1</v>
      </c>
      <c r="AG5" s="82"/>
      <c r="AH5" s="12">
        <f>IF(SUM(R5,V5)&gt;0,SUM(R5,V5),"")</f>
        <v>11.9</v>
      </c>
      <c r="AI5" s="12">
        <f>IF(SUM(Q5:R5,T5:V5,X5)-S5-W5&gt;0,SUM(Q5:R5,T5:V5,X5)-S5-W5,"")</f>
        <v>63.5</v>
      </c>
      <c r="AJ5" s="12">
        <f>IF(SUM(Y5:Z5,AB5:AD5,AF5)-SUM(AA5,AE5)&gt;0,SUM(Y5:Z5,AB5:AD5,AF5)-SUM(AA5,AE5),"")</f>
        <v>59.5</v>
      </c>
      <c r="AK5" s="12">
        <f>IF(SUM(AI5,AJ5)&gt;0,SUM(AI5,AJ5),"")</f>
        <v>123</v>
      </c>
      <c r="AL5" s="40">
        <v>25.9</v>
      </c>
      <c r="AM5" s="40">
        <v>5.7</v>
      </c>
      <c r="AN5" s="40">
        <v>0.3</v>
      </c>
      <c r="AO5" s="40">
        <v>1</v>
      </c>
      <c r="AP5" s="40">
        <v>27.9</v>
      </c>
      <c r="AQ5" s="40">
        <v>6.1</v>
      </c>
      <c r="AR5" s="40">
        <v>0</v>
      </c>
      <c r="AS5" s="40">
        <v>0</v>
      </c>
      <c r="AT5" s="40">
        <v>26.1</v>
      </c>
      <c r="AU5" s="40">
        <v>7.3</v>
      </c>
      <c r="AV5" s="40">
        <v>0</v>
      </c>
      <c r="AW5" s="40">
        <v>1</v>
      </c>
      <c r="AX5" s="40">
        <v>27</v>
      </c>
      <c r="AY5" s="40">
        <v>6.1</v>
      </c>
      <c r="AZ5" s="40">
        <v>0</v>
      </c>
      <c r="BA5" s="40">
        <v>0</v>
      </c>
      <c r="BB5" s="83"/>
      <c r="BC5" s="15">
        <f>IF(SUM(AM5,AQ5)&gt;0,SUM(AM5,AQ5),"")</f>
        <v>11.8</v>
      </c>
      <c r="BD5" s="15">
        <f>IF(SUM(AL5:AM5,AO5:AQ5,AS5)-AN5-AR5&gt;0,SUM(AL5:AM5,AO5:AQ5,AS5)-AN5-AR5,"")</f>
        <v>66.3</v>
      </c>
      <c r="BE5" s="15">
        <f>IF(SUM(AT5:AU5,AW5:AY5,BA5)-SUM(AV5,AZ5)&gt;0,SUM(AT5:AU5,AW5:AY5,BA5)-SUM(AV5,AZ5),"")</f>
        <v>67.5</v>
      </c>
      <c r="BF5" s="15">
        <f>IF(SUM(BD5,BE5)&gt;0,SUM(BD5,BE5),"")</f>
        <v>133.80000000000001</v>
      </c>
      <c r="BG5" s="26" t="str">
        <f>IF(MAX(BZ5,CT5,DN5,EH5,FB5,FV5,GP5,HJ5,ID5,IX5,JR5,KL5)-IF(J5="",0,J5)&gt;0.001,MAX(BZ5,CT5,DN5,EH5,FB5,FV5,GP5,HJ5,ID5,IX5,JR5,KL5)-IF(J5="",0,J5),"")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>
        <v>25.7</v>
      </c>
      <c r="BJ5" s="39">
        <v>7.7</v>
      </c>
      <c r="BK5" s="39">
        <v>0</v>
      </c>
      <c r="BL5" s="39">
        <v>0</v>
      </c>
      <c r="BM5" s="39">
        <v>25.4</v>
      </c>
      <c r="BN5" s="39">
        <v>6.1</v>
      </c>
      <c r="BO5" s="39">
        <v>0</v>
      </c>
      <c r="BP5" s="39">
        <v>0</v>
      </c>
      <c r="BQ5" s="39"/>
      <c r="BR5" s="39"/>
      <c r="BS5" s="39"/>
      <c r="BT5" s="39"/>
      <c r="BU5" s="39"/>
      <c r="BV5" s="39"/>
      <c r="BW5" s="39"/>
      <c r="BX5" s="39"/>
      <c r="BY5" s="12">
        <f>IF(SUM(BJ5,BN5)&gt;0,SUM(BJ5,BN5),"")</f>
        <v>13.8</v>
      </c>
      <c r="BZ5" s="12">
        <f>IF(SUM(BI5:BJ5,BL5:BN5,BP5)-BK5-BO5&gt;0,SUM(BI5:BJ5,BL5:BN5,BP5)-BK5-BO5,"")</f>
        <v>64.899999999999991</v>
      </c>
      <c r="CA5" s="12" t="str">
        <f>IF(SUM(BQ5:BR5,BT5:BV5,BX5)-SUM(BS5,BW5)&gt;0,SUM(BQ5:BR5,BT5:BV5,BX5)-SUM(BS5,BW5),"")</f>
        <v/>
      </c>
      <c r="CB5" s="12">
        <f>IF(SUM(BZ5,CA5)&gt;0,SUM(BZ5,CA5),"")</f>
        <v>64.899999999999991</v>
      </c>
      <c r="CC5" s="40">
        <v>25</v>
      </c>
      <c r="CD5" s="40">
        <v>7.3</v>
      </c>
      <c r="CE5" s="40">
        <v>0</v>
      </c>
      <c r="CF5" s="40">
        <v>0</v>
      </c>
      <c r="CG5" s="40">
        <v>25.9</v>
      </c>
      <c r="CH5" s="40">
        <v>6.5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13.8</v>
      </c>
      <c r="CT5" s="15">
        <f>IF(SUM(CC5:CD5,CF5:CH5,CJ5)-CE5-CI5&gt;0,SUM(CC5:CD5,CF5:CH5,CJ5)-CE5-CI5,"")</f>
        <v>64.699999999999989</v>
      </c>
      <c r="CU5" s="15" t="str">
        <f>IF(SUM(CK5:CL5,CN5:CP5,CR5)-SUM(CM5,CQ5)&gt;0,SUM(CK5:CL5,CN5:CP5,CR5)-SUM(CM5,CQ5),"")</f>
        <v/>
      </c>
      <c r="CV5" s="15">
        <f>IF(SUM(CT5,CU5)&gt;0,SUM(CT5,CU5),"")</f>
        <v>64.699999999999989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:KO8" si="5">IF($BB5="P",AL5,(Q5+AL5)/2)</f>
        <v>24.7</v>
      </c>
      <c r="KP5" s="71">
        <f t="shared" si="0"/>
        <v>5.5500000000000007</v>
      </c>
      <c r="KQ5" s="71">
        <f t="shared" si="0"/>
        <v>0.15</v>
      </c>
      <c r="KR5" s="71">
        <f t="shared" si="0"/>
        <v>0.5</v>
      </c>
      <c r="KS5" s="71">
        <f t="shared" si="0"/>
        <v>27.5</v>
      </c>
      <c r="KT5" s="71">
        <f t="shared" si="0"/>
        <v>6.3</v>
      </c>
      <c r="KU5" s="71">
        <f t="shared" si="0"/>
        <v>0</v>
      </c>
      <c r="KV5" s="71">
        <f t="shared" si="0"/>
        <v>0.5</v>
      </c>
      <c r="KW5" s="71">
        <f t="shared" si="0"/>
        <v>25.05</v>
      </c>
      <c r="KX5" s="71">
        <f t="shared" si="0"/>
        <v>5.4</v>
      </c>
      <c r="KY5" s="71">
        <f t="shared" si="0"/>
        <v>1.5</v>
      </c>
      <c r="KZ5" s="71">
        <f t="shared" si="0"/>
        <v>0.5</v>
      </c>
      <c r="LA5" s="71">
        <f t="shared" si="0"/>
        <v>27.25</v>
      </c>
      <c r="LB5" s="71">
        <f t="shared" si="0"/>
        <v>6.3</v>
      </c>
      <c r="LC5" s="71">
        <f t="shared" si="0"/>
        <v>0</v>
      </c>
      <c r="LD5" s="71">
        <f t="shared" si="0"/>
        <v>0.5</v>
      </c>
      <c r="LE5" s="82" t="s">
        <v>96</v>
      </c>
      <c r="LF5" s="12">
        <f t="shared" ref="LF5:LF8" si="6">IF(SUM(KP5,KT5)&gt;0,SUM(KP5,KT5),"")</f>
        <v>11.850000000000001</v>
      </c>
      <c r="LG5" s="12">
        <f t="shared" ref="LG5:LG8" si="7">IF(SUM(KO5:KP5,KR5:KT5,KV5)-KQ5-KU5&gt;0,SUM(KO5:KP5,KR5:KT5,KV5)-KQ5-KU5,"")</f>
        <v>64.899999999999991</v>
      </c>
      <c r="LH5" s="12">
        <f t="shared" ref="LH5:LH8" si="8">IF(SUM(KW5:KX5,KZ5:LB5,LD5)-SUM(KY5,LC5)&gt;0,SUM(KW5:KX5,KZ5:LB5,LD5)-SUM(KY5,LC5),"")</f>
        <v>63.5</v>
      </c>
      <c r="LI5" s="12">
        <f t="shared" ref="LI5:LI8" si="9">IF(SUM(LG5,LH5)&gt;0,SUM(LG5,LH5),"")</f>
        <v>128.39999999999998</v>
      </c>
    </row>
    <row r="6" spans="1:32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52</v>
      </c>
      <c r="C6" s="5" t="s">
        <v>5</v>
      </c>
      <c r="D6" s="29">
        <v>1998</v>
      </c>
      <c r="E6" s="16">
        <f>SUM(J6:N6)</f>
        <v>123.15</v>
      </c>
      <c r="F6" s="4" t="str">
        <f>IF(OR(AND(AH6&gt;=AJ$11,AI6&gt;=AJ$13,AI6&lt;&gt;"",AG6=""),AND(BC6&gt;=BE$11,BD6&gt;=BE$13,BD6&lt;&gt;"",BB6=""),AND(BY6&gt;=CA$11,BZ6&gt;=CA$13,BZ6&lt;&gt;""),AND(CS6&gt;=CU$11,CT6&gt;=CU$13,CT6&lt;&gt;""),AND(DM6&gt;=DO$11,DN6&gt;=DO$13,DN6&lt;&gt;""),AND(EG6&gt;=EI$11,EH6&gt;=EI$13,EH6&lt;&gt;""),AND(FA6&gt;=FC$11,FB6&gt;=FC$13,FB6&lt;&gt;""),AND(FU6&gt;=FW$11,FV6&gt;=FW$13,FV6&lt;&gt;""),AND(GO6&gt;=GQ$11,GP6&gt;=GQ$13,GP6&lt;&gt;""),AND(HI6&gt;=HK$11,HJ6&gt;=HK$13,HJ6&lt;&gt;""),AND(IC6&gt;=IE$11,ID6&gt;=IE$13,ID6&lt;&gt;""),AND(IW6&gt;=IY$11,IX6&gt;=IY$13,IX6&lt;&gt;""),AND(JQ6&gt;=JS$11,JR6&gt;=JS$13,JR6&lt;&gt;""),AND(KK6&gt;=KM$11,KL6&gt;=KM$13,KL6&lt;&gt;"")),"P","")</f>
        <v>P</v>
      </c>
      <c r="G6" s="4" t="str">
        <f>IF(OR(AND(AH6&gt;=AJ$11,AI6&gt;=AJ$14,AI6&lt;&gt;"",AG6=""),AND(BC6&gt;=BE$11,BD6&gt;=BE$14,BD6&lt;&gt;"",BB6=""),AND(BY6&gt;=CA$11,BZ6&gt;=CA$14,BZ6&lt;&gt;""),AND(CS6&gt;=CU$11,CT6&gt;=CU$14,CT6&lt;&gt;""),AND(DM6&gt;=DO$11,DN6&gt;=DO$14,DN6&lt;&gt;""),AND(EG6&gt;=EI$11,EH6&gt;=EI$14,EH6&lt;&gt;""),AND(FA6&gt;=FC$11,FB6&gt;=FC$14,FB6&lt;&gt;""),AND(FU6&gt;=FW$11,FV6&gt;=FW$14,FV6&lt;&gt;""),AND(GO6&gt;=GQ$11,GP6&gt;=GQ$14,GP6&lt;&gt;""),AND(HI6&gt;=HK$11,HJ6&gt;=HK$14,HJ6&lt;&gt;""),AND(IC6&gt;=IE$11,ID6&gt;=IE$14,ID6&lt;&gt;""),AND(IW6&gt;=IY$11,IX6&gt;=IY$14,IX6&lt;&gt;""),AND(JQ6&gt;=JS$11,JR6&gt;=JS$14,JR6&lt;&gt;""),AND(KK6&gt;=KM$11,KL6&gt;=KM$14,KL6&lt;&gt;"")),"P","")</f>
        <v/>
      </c>
      <c r="H6" s="4" t="str">
        <f>IF(OR(AND(AI6&gt;=AJ$13,AI6&lt;&gt;"",AG6=""),AND(BD6&gt;=BE$13,BD6&lt;&gt;"",BB6=""),AND(BZ6&gt;=CA$13,BZ6&lt;&gt;""),AND(CT6&gt;=CU$13,CT6&lt;&gt;""),AND(DN6&gt;=DO$13,DN6&lt;&gt;""),AND(EH6&gt;=EI$13,EH6&lt;&gt;""),AND(FB6&gt;=FC$13,FB6&lt;&gt;""),AND(FV6&gt;=FW$13,FV6&lt;&gt;""),AND(GP6&gt;=GQ$13,GP6&lt;&gt;""),AND(HJ6&gt;=HK$13,HJ6&lt;&gt;""),AND(ID6&gt;=IE$13,ID6&lt;&gt;""),AND(IX6&gt;=IY$13,IX6&lt;&gt;""),AND(JR6&gt;=JS$13,JR6&lt;&gt;""),AND(KL6&gt;=KM$13,KL6&lt;&gt;"")),"P","")</f>
        <v>P</v>
      </c>
      <c r="I6" t="str">
        <f>IF(AND(H6="P",F6=""),"No DD",IF(OR(AND(AI6&gt;=AJ$16,AI6&lt;&gt;"",AH6&gt;=AJ$12,AH6&lt;&gt;"",AG6=""),AND(BD6&gt;=BE$16,BD6&lt;&gt;"",BC6&gt;=BE$12,BC6&lt;&gt;"",BB6=""),AND(BZ6&gt;=CA$16,BZ6&lt;&gt;"",BY6&gt;=CA$12,BY6&lt;&gt;""),AND(CT6&gt;=CU$16,CT6&lt;&gt;"",CS6&gt;=CU$12,CS6&lt;&gt;""),AND(DN6&gt;=DO$16,DN6&lt;&gt;"",DM6&gt;=DO$12,DM6&lt;&gt;""),AND(EH6&gt;=EI$16,EH6&lt;&gt;"",EG6&gt;=EI$12,EG6&lt;&gt;""),AND(FB6&gt;=FC$16,FB6&lt;&gt;"",FA6&gt;=FC$12,FA6&lt;&gt;""),AND(FV6&gt;=FW$16,FV6&lt;&gt;"",FU6&gt;=FW$12,FU6&lt;&gt;""),AND(GP6&gt;=GQ$16,GP6&lt;&gt;"",GO6&gt;=GQ$12,GO6&lt;&gt;""),AND(HJ6&gt;=HK$16,HJ6&lt;&gt;"",HI6&gt;=HK$12,HI6&lt;&gt;""),AND(ID6&gt;=IE$16,ID6&lt;&gt;"",IC6&gt;=IE$12,IC6&lt;&gt;""),AND(IX6&gt;=IY$16,IX6&lt;&gt;"",IW6&gt;=IY$12,IW6&lt;&gt;""),AND(JR6&gt;=JS$16,JR6&lt;&gt;"",JQ6&gt;=JS$12,JQ6&lt;&gt;""),AND(KL6&gt;=KM$16,KL6&lt;&gt;"",KK6&gt;=KM$12,KK6&lt;&gt;"")),"Merit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Excellence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Worlds Team",IF(OR(AND(AI6&gt;=AJ$13,AI6&lt;&gt;"",AH6&gt;=AJ$11,AH6&lt;&gt;"",AG6=""),AND(BD6&gt;=BE$13,BD6&lt;&gt;"",BC6&gt;=BE$11,BC6&lt;&gt;"",BB6=""),AND(BZ6&gt;=CA$13,BZ6&lt;&gt;"",BY6&gt;=CA$11,BY6&lt;&gt;""),AND(CT6&gt;=CU$13,CT6&lt;&gt;"",CS6&gt;=CU$11,CS6&lt;&gt;""),AND(DN6&gt;=DO$13,DN6&lt;&gt;"",DM6&gt;=DO$11,DM6&lt;&gt;""),AND(EH6&gt;=EI$13,EH6&lt;&gt;"",EG6&gt;=EI$11,EG6&lt;&gt;""),AND(FB6&gt;=FC$13,FB6&lt;&gt;"",FA6&gt;=FC$11,FA6&lt;&gt;""),AND(FV6&gt;=FW$13,FV6&lt;&gt;"",FU6&gt;=FW$11,FU6&lt;&gt;""),AND(GP6&gt;=GQ$13,GP6&lt;&gt;"",GO6&gt;=GQ$11,GO6&lt;&gt;""),AND(HJ6&gt;=HK$13,HJ6&lt;&gt;"",HI6&gt;=HK$11,HI6&lt;&gt;""),AND(ID6&gt;=IE$13,ID6&lt;&gt;"",IC6&gt;=IE$11,IC6&lt;&gt;""),AND(IX6&gt;=IY$13,IX6&lt;&gt;"",IW6&gt;=IY$11,IW6&lt;&gt;""),AND(JR6&gt;=JS$13,JR6&lt;&gt;"",JQ6&gt;=JS$11,JQ6&lt;&gt;""),AND(KL6&gt;=KM$13,KL6&lt;&gt;"",KK6&gt;=KM$11,KK6&lt;&gt;"")),"National Team","")))))</f>
        <v>National Team</v>
      </c>
      <c r="J6" s="15">
        <f>IF(MAX(AI6,BD6)&gt;0,MAX(AI6,BD6),"")</f>
        <v>60.699999999999996</v>
      </c>
      <c r="K6" s="15" t="str">
        <f>IF(J6="","",IF(J6=BD6,$AL$1,IF(J6=AI6,$Q$1,"")))</f>
        <v>2019 Nationals</v>
      </c>
      <c r="L6" s="15">
        <f>IF(MAX(AJ6,BE6)&gt;0,MAX(AJ6,BE6),"")</f>
        <v>58.75</v>
      </c>
      <c r="M6" s="15" t="str">
        <f>IF(L6="","",IF(L6=BE6,$AL$1,IF(L6=AJ6,$Q$1,"")))</f>
        <v>2019 Nationals</v>
      </c>
      <c r="N6" s="15">
        <f>IF(MAX(BG6:BH6)&gt;0,MAX(BG6:BH6),"")</f>
        <v>3.7000000000000099</v>
      </c>
      <c r="O6" s="27" t="str">
        <f>IF(N6="","",IF(N6=BG6,"(Prelim)",IF(N6=BH6,"(Final)")))</f>
        <v>(Prelim)</v>
      </c>
      <c r="P6" s="15" t="str">
        <f>IF(N6="","",IF(N6=BG6,IF(N6+IF(J6="",0,J6)=KL6,$JU$1,IF(N6+IF(J6="",0,J6)=JR6,$JA$1,IF(N6+IF(J6="",0,J6)=IX6,$IG$1,IF(N6+IF(J6="",0,J6)=ID6,$HM$1,IF(N6+IF(J6="",0,J6)=HJ6,$GS$1,IF(N6+IF(J6="",0,J6)=GP6,$FY$1,IF(N6+IF(J6="",0,J6)=FV6,$FE$1,IF(N6+IF(J6="",0,J6)=FB6,$EK$1,IF(N6+IF(J6="",0,J6)=EH6,$DQ$1,IF(N6+IF(J6="",0,J6)=DN6,$CW$1,IF(N6+IF(J6="",0,J6)=CT6,$CC$1,IF(N6+IF(J6="",0,J6)=BZ6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>2019 World Championships (Nov 29)</v>
      </c>
      <c r="Q6" s="71">
        <v>24.75</v>
      </c>
      <c r="R6" s="71">
        <v>5.8000000000000007</v>
      </c>
      <c r="S6" s="71">
        <v>0</v>
      </c>
      <c r="T6" s="71">
        <v>1</v>
      </c>
      <c r="U6" s="71">
        <v>25.5</v>
      </c>
      <c r="V6" s="71">
        <v>5.3000000000000007</v>
      </c>
      <c r="W6" s="71">
        <v>1.65</v>
      </c>
      <c r="X6" s="71">
        <v>0</v>
      </c>
      <c r="Y6" s="71">
        <v>25.799999999999997</v>
      </c>
      <c r="Z6" s="71">
        <v>4.3</v>
      </c>
      <c r="AA6" s="71">
        <v>0</v>
      </c>
      <c r="AB6" s="71">
        <v>0.5</v>
      </c>
      <c r="AC6" s="71">
        <v>23.45</v>
      </c>
      <c r="AD6" s="71">
        <v>4.2</v>
      </c>
      <c r="AE6" s="71">
        <v>0</v>
      </c>
      <c r="AF6" s="71">
        <v>0.5</v>
      </c>
      <c r="AG6" s="82" t="s">
        <v>96</v>
      </c>
      <c r="AH6" s="12">
        <f>IF(SUM(R6,V6)&gt;0,SUM(R6,V6),"")</f>
        <v>11.100000000000001</v>
      </c>
      <c r="AI6" s="12">
        <f>IF(SUM(Q6:R6,T6:V6,X6)-S6-W6&gt;0,SUM(Q6:R6,T6:V6,X6)-S6-W6,"")</f>
        <v>60.699999999999996</v>
      </c>
      <c r="AJ6" s="12">
        <f>IF(SUM(Y6:Z6,AB6:AD6,AF6)-SUM(AA6,AE6)&gt;0,SUM(Y6:Z6,AB6:AD6,AF6)-SUM(AA6,AE6),"")</f>
        <v>58.75</v>
      </c>
      <c r="AK6" s="12">
        <f>IF(SUM(AI6,AJ6)&gt;0,SUM(AI6,AJ6),"")</f>
        <v>119.44999999999999</v>
      </c>
      <c r="AL6" s="40">
        <v>24.75</v>
      </c>
      <c r="AM6" s="40">
        <v>5.8000000000000007</v>
      </c>
      <c r="AN6" s="40">
        <v>0</v>
      </c>
      <c r="AO6" s="40">
        <v>1</v>
      </c>
      <c r="AP6" s="40">
        <v>25.5</v>
      </c>
      <c r="AQ6" s="40">
        <v>5.3000000000000007</v>
      </c>
      <c r="AR6" s="40">
        <v>1.65</v>
      </c>
      <c r="AS6" s="40">
        <v>0</v>
      </c>
      <c r="AT6" s="40">
        <v>25.799999999999997</v>
      </c>
      <c r="AU6" s="40">
        <v>4.3</v>
      </c>
      <c r="AV6" s="40">
        <v>0</v>
      </c>
      <c r="AW6" s="40">
        <v>0.5</v>
      </c>
      <c r="AX6" s="40">
        <v>23.45</v>
      </c>
      <c r="AY6" s="40">
        <v>4.2</v>
      </c>
      <c r="AZ6" s="40">
        <v>0</v>
      </c>
      <c r="BA6" s="40">
        <v>0.5</v>
      </c>
      <c r="BB6" s="83" t="s">
        <v>96</v>
      </c>
      <c r="BC6" s="15">
        <f>IF(SUM(AM6,AQ6)&gt;0,SUM(AM6,AQ6),"")</f>
        <v>11.100000000000001</v>
      </c>
      <c r="BD6" s="15">
        <f>IF(SUM(AL6:AM6,AO6:AQ6,AS6)-AN6-AR6&gt;0,SUM(AL6:AM6,AO6:AQ6,AS6)-AN6-AR6,"")</f>
        <v>60.699999999999996</v>
      </c>
      <c r="BE6" s="15">
        <f>IF(SUM(AT6:AU6,AW6:AY6,BA6)-SUM(AV6,AZ6)&gt;0,SUM(AT6:AU6,AW6:AY6,BA6)-SUM(AV6,AZ6),"")</f>
        <v>58.75</v>
      </c>
      <c r="BF6" s="15">
        <f>IF(SUM(BD6,BE6)&gt;0,SUM(BD6,BE6),"")</f>
        <v>119.44999999999999</v>
      </c>
      <c r="BG6" s="26">
        <f>IF(MAX(BZ6,CT6,DN6,EH6,FB6,FV6,GP6,HJ6,ID6,IX6,JR6,KL6)-IF(J6="",0,J6)&gt;0.001,MAX(BZ6,CT6,DN6,EH6,FB6,FV6,GP6,HJ6,ID6,IX6,JR6,KL6)-IF(J6="",0,J6),"")</f>
        <v>3.7000000000000099</v>
      </c>
      <c r="BH6" s="26" t="str">
        <f>IF(MAX(CA6,CU6,DO6,EI6,FC6,FW6,GQ6,HK6,IE6,IY6,JS6,KM6)-IF(L6="",0,L6)&gt;0.001,MAX(CA6,CU6,DO6,EI6,FC6,FW6,GQ6,HK6,IE6,IY6,JS6,KM6)-IF(L6="",0,L6),"")</f>
        <v/>
      </c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12" t="str">
        <f>IF(SUM(BJ6,BN6)&gt;0,SUM(BJ6,BN6),"")</f>
        <v/>
      </c>
      <c r="BZ6" s="12" t="str">
        <f>IF(SUM(BI6:BJ6,BL6:BN6,BP6)-BK6-BO6&gt;0,SUM(BI6:BJ6,BL6:BN6,BP6)-BK6-BO6,"")</f>
        <v/>
      </c>
      <c r="CA6" s="12" t="str">
        <f>IF(SUM(BQ6:BR6,BT6:BV6,BX6)-SUM(BS6,BW6)&gt;0,SUM(BQ6:BR6,BT6:BV6,BX6)-SUM(BS6,BW6),"")</f>
        <v/>
      </c>
      <c r="CB6" s="12" t="str">
        <f>IF(SUM(BZ6,CA6)&gt;0,SUM(BZ6,CA6),"")</f>
        <v/>
      </c>
      <c r="CC6" s="40">
        <v>24.8</v>
      </c>
      <c r="CD6" s="40">
        <v>6.9</v>
      </c>
      <c r="CE6" s="40">
        <v>0</v>
      </c>
      <c r="CF6" s="40">
        <v>0</v>
      </c>
      <c r="CG6" s="40">
        <v>25.8</v>
      </c>
      <c r="CH6" s="40">
        <v>6.9</v>
      </c>
      <c r="CI6" s="40">
        <v>0</v>
      </c>
      <c r="CJ6" s="40">
        <v>0</v>
      </c>
      <c r="CK6" s="40"/>
      <c r="CL6" s="40"/>
      <c r="CM6" s="40"/>
      <c r="CN6" s="40"/>
      <c r="CO6" s="40"/>
      <c r="CP6" s="40"/>
      <c r="CQ6" s="40"/>
      <c r="CR6" s="40"/>
      <c r="CS6" s="15">
        <f>IF(SUM(CD6,CH6)&gt;0,SUM(CD6,CH6),"")</f>
        <v>13.8</v>
      </c>
      <c r="CT6" s="15">
        <f>IF(SUM(CC6:CD6,CF6:CH6,CJ6)-CE6-CI6&gt;0,SUM(CC6:CD6,CF6:CH6,CJ6)-CE6-CI6,"")</f>
        <v>64.400000000000006</v>
      </c>
      <c r="CU6" s="15" t="str">
        <f>IF(SUM(CK6:CL6,CN6:CP6,CR6)-SUM(CM6,CQ6)&gt;0,SUM(CK6:CL6,CN6:CP6,CR6)-SUM(CM6,CQ6),"")</f>
        <v/>
      </c>
      <c r="CV6" s="15">
        <f>IF(SUM(CT6,CU6)&gt;0,SUM(CT6,CU6),"")</f>
        <v>64.400000000000006</v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1">
        <f t="shared" si="5"/>
        <v>24.75</v>
      </c>
      <c r="KP6" s="71">
        <f t="shared" si="0"/>
        <v>5.8000000000000007</v>
      </c>
      <c r="KQ6" s="71">
        <f t="shared" si="0"/>
        <v>0</v>
      </c>
      <c r="KR6" s="71">
        <f t="shared" si="0"/>
        <v>1</v>
      </c>
      <c r="KS6" s="71">
        <f t="shared" si="0"/>
        <v>25.5</v>
      </c>
      <c r="KT6" s="71">
        <f t="shared" si="0"/>
        <v>5.3000000000000007</v>
      </c>
      <c r="KU6" s="71">
        <f t="shared" si="0"/>
        <v>1.65</v>
      </c>
      <c r="KV6" s="71">
        <f t="shared" si="0"/>
        <v>0</v>
      </c>
      <c r="KW6" s="71">
        <f t="shared" si="0"/>
        <v>25.799999999999997</v>
      </c>
      <c r="KX6" s="71">
        <f t="shared" si="0"/>
        <v>4.3</v>
      </c>
      <c r="KY6" s="71">
        <f t="shared" si="0"/>
        <v>0</v>
      </c>
      <c r="KZ6" s="71">
        <f t="shared" si="0"/>
        <v>0.5</v>
      </c>
      <c r="LA6" s="71">
        <f t="shared" si="0"/>
        <v>23.45</v>
      </c>
      <c r="LB6" s="71">
        <f t="shared" si="0"/>
        <v>4.2</v>
      </c>
      <c r="LC6" s="71">
        <f t="shared" si="0"/>
        <v>0</v>
      </c>
      <c r="LD6" s="71">
        <f t="shared" si="0"/>
        <v>0.5</v>
      </c>
      <c r="LE6" s="82" t="s">
        <v>96</v>
      </c>
      <c r="LF6" s="12">
        <f t="shared" si="6"/>
        <v>11.100000000000001</v>
      </c>
      <c r="LG6" s="12">
        <f t="shared" si="7"/>
        <v>60.699999999999996</v>
      </c>
      <c r="LH6" s="12">
        <f t="shared" si="8"/>
        <v>58.75</v>
      </c>
      <c r="LI6" s="12">
        <f t="shared" si="9"/>
        <v>119.44999999999999</v>
      </c>
    </row>
    <row r="7" spans="1:321" x14ac:dyDescent="0.2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9" t="s">
        <v>91</v>
      </c>
      <c r="C7" s="5" t="s">
        <v>3</v>
      </c>
      <c r="D7" s="29">
        <v>1996</v>
      </c>
      <c r="E7" s="16">
        <f>SUM(J7:N7)</f>
        <v>123.79999999999998</v>
      </c>
      <c r="F7" s="4" t="str">
        <f>IF(OR(AND(AH7&gt;=AJ$11,AI7&gt;=AJ$13,AI7&lt;&gt;"",AG7=""),AND(BC7&gt;=BE$11,BD7&gt;=BE$13,BD7&lt;&gt;"",BB7=""),AND(BY7&gt;=CA$11,BZ7&gt;=CA$13,BZ7&lt;&gt;""),AND(CS7&gt;=CU$11,CT7&gt;=CU$13,CT7&lt;&gt;""),AND(DM7&gt;=DO$11,DN7&gt;=DO$13,DN7&lt;&gt;""),AND(EG7&gt;=EI$11,EH7&gt;=EI$13,EH7&lt;&gt;""),AND(FA7&gt;=FC$11,FB7&gt;=FC$13,FB7&lt;&gt;""),AND(FU7&gt;=FW$11,FV7&gt;=FW$13,FV7&lt;&gt;""),AND(GO7&gt;=GQ$11,GP7&gt;=GQ$13,GP7&lt;&gt;""),AND(HI7&gt;=HK$11,HJ7&gt;=HK$13,HJ7&lt;&gt;""),AND(IC7&gt;=IE$11,ID7&gt;=IE$13,ID7&lt;&gt;""),AND(IW7&gt;=IY$11,IX7&gt;=IY$13,IX7&lt;&gt;""),AND(JQ7&gt;=JS$11,JR7&gt;=JS$13,JR7&lt;&gt;""),AND(KK7&gt;=KM$11,KL7&gt;=KM$13,KL7&lt;&gt;"")),"P","")</f>
        <v/>
      </c>
      <c r="G7" s="4" t="str">
        <f>IF(OR(AND(AH7&gt;=AJ$11,AI7&gt;=AJ$14,AI7&lt;&gt;"",AG7=""),AND(BC7&gt;=BE$11,BD7&gt;=BE$14,BD7&lt;&gt;"",BB7=""),AND(BY7&gt;=CA$11,BZ7&gt;=CA$14,BZ7&lt;&gt;""),AND(CS7&gt;=CU$11,CT7&gt;=CU$14,CT7&lt;&gt;""),AND(DM7&gt;=DO$11,DN7&gt;=DO$14,DN7&lt;&gt;""),AND(EG7&gt;=EI$11,EH7&gt;=EI$14,EH7&lt;&gt;""),AND(FA7&gt;=FC$11,FB7&gt;=FC$14,FB7&lt;&gt;""),AND(FU7&gt;=FW$11,FV7&gt;=FW$14,FV7&lt;&gt;""),AND(GO7&gt;=GQ$11,GP7&gt;=GQ$14,GP7&lt;&gt;""),AND(HI7&gt;=HK$11,HJ7&gt;=HK$14,HJ7&lt;&gt;""),AND(IC7&gt;=IE$11,ID7&gt;=IE$14,ID7&lt;&gt;""),AND(IW7&gt;=IY$11,IX7&gt;=IY$14,IX7&lt;&gt;""),AND(JQ7&gt;=JS$11,JR7&gt;=JS$14,JR7&lt;&gt;""),AND(KK7&gt;=KM$11,KL7&gt;=KM$14,KL7&lt;&gt;"")),"P","")</f>
        <v/>
      </c>
      <c r="H7" s="4" t="str">
        <f>IF(OR(AND(AI7&gt;=AJ$13,AI7&lt;&gt;"",AG7=""),AND(BD7&gt;=BE$13,BD7&lt;&gt;"",BB7=""),AND(BZ7&gt;=CA$13,BZ7&lt;&gt;""),AND(CT7&gt;=CU$13,CT7&lt;&gt;""),AND(DN7&gt;=DO$13,DN7&lt;&gt;""),AND(EH7&gt;=EI$13,EH7&lt;&gt;""),AND(FB7&gt;=FC$13,FB7&lt;&gt;""),AND(FV7&gt;=FW$13,FV7&lt;&gt;""),AND(GP7&gt;=GQ$13,GP7&lt;&gt;""),AND(HJ7&gt;=HK$13,HJ7&lt;&gt;""),AND(ID7&gt;=IE$13,ID7&lt;&gt;""),AND(IX7&gt;=IY$13,IX7&lt;&gt;""),AND(JR7&gt;=JS$13,JR7&lt;&gt;""),AND(KL7&gt;=KM$13,KL7&lt;&gt;"")),"P","")</f>
        <v/>
      </c>
      <c r="I7" t="str">
        <f>IF(AND(H7="P",F7=""),"No DD",IF(OR(AND(AI7&gt;=AJ$16,AI7&lt;&gt;"",AH7&gt;=AJ$12,AH7&lt;&gt;"",AG7=""),AND(BD7&gt;=BE$16,BD7&lt;&gt;"",BC7&gt;=BE$12,BC7&lt;&gt;"",BB7=""),AND(BZ7&gt;=CA$16,BZ7&lt;&gt;"",BY7&gt;=CA$12,BY7&lt;&gt;""),AND(CT7&gt;=CU$16,CT7&lt;&gt;"",CS7&gt;=CU$12,CS7&lt;&gt;""),AND(DN7&gt;=DO$16,DN7&lt;&gt;"",DM7&gt;=DO$12,DM7&lt;&gt;""),AND(EH7&gt;=EI$16,EH7&lt;&gt;"",EG7&gt;=EI$12,EG7&lt;&gt;""),AND(FB7&gt;=FC$16,FB7&lt;&gt;"",FA7&gt;=FC$12,FA7&lt;&gt;""),AND(FV7&gt;=FW$16,FV7&lt;&gt;"",FU7&gt;=FW$12,FU7&lt;&gt;""),AND(GP7&gt;=GQ$16,GP7&lt;&gt;"",GO7&gt;=GQ$12,GO7&lt;&gt;""),AND(HJ7&gt;=HK$16,HJ7&lt;&gt;"",HI7&gt;=HK$12,HI7&lt;&gt;""),AND(ID7&gt;=IE$16,ID7&lt;&gt;"",IC7&gt;=IE$12,IC7&lt;&gt;""),AND(IX7&gt;=IY$16,IX7&lt;&gt;"",IW7&gt;=IY$12,IW7&lt;&gt;""),AND(JR7&gt;=JS$16,JR7&lt;&gt;"",JQ7&gt;=JS$12,JQ7&lt;&gt;""),AND(KL7&gt;=KM$16,KL7&lt;&gt;"",KK7&gt;=KM$12,KK7&lt;&gt;"")),"Merit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Excellence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Worlds Team",IF(OR(AND(AI7&gt;=AJ$13,AI7&lt;&gt;"",AH7&gt;=AJ$11,AH7&lt;&gt;"",AG7=""),AND(BD7&gt;=BE$13,BD7&lt;&gt;"",BC7&gt;=BE$11,BC7&lt;&gt;"",BB7=""),AND(BZ7&gt;=CA$13,BZ7&lt;&gt;"",BY7&gt;=CA$11,BY7&lt;&gt;""),AND(CT7&gt;=CU$13,CT7&lt;&gt;"",CS7&gt;=CU$11,CS7&lt;&gt;""),AND(DN7&gt;=DO$13,DN7&lt;&gt;"",DM7&gt;=DO$11,DM7&lt;&gt;""),AND(EH7&gt;=EI$13,EH7&lt;&gt;"",EG7&gt;=EI$11,EG7&lt;&gt;""),AND(FB7&gt;=FC$13,FB7&lt;&gt;"",FA7&gt;=FC$11,FA7&lt;&gt;""),AND(FV7&gt;=FW$13,FV7&lt;&gt;"",FU7&gt;=FW$11,FU7&lt;&gt;""),AND(GP7&gt;=GQ$13,GP7&lt;&gt;"",GO7&gt;=GQ$11,GO7&lt;&gt;""),AND(HJ7&gt;=HK$13,HJ7&lt;&gt;"",HI7&gt;=HK$11,HI7&lt;&gt;""),AND(ID7&gt;=IE$13,ID7&lt;&gt;"",IC7&gt;=IE$11,IC7&lt;&gt;""),AND(IX7&gt;=IY$13,IX7&lt;&gt;"",IW7&gt;=IY$11,IW7&lt;&gt;""),AND(JR7&gt;=JS$13,JR7&lt;&gt;"",JQ7&gt;=JS$11,JQ7&lt;&gt;""),AND(KL7&gt;=KM$13,KL7&lt;&gt;"",KK7&gt;=KM$11,KK7&lt;&gt;"")),"National Team","")))))</f>
        <v/>
      </c>
      <c r="J7" s="15">
        <f>IF(MAX(AI7,BD7)&gt;0,MAX(AI7,BD7),"")</f>
        <v>61.899999999999991</v>
      </c>
      <c r="K7" s="15" t="str">
        <f>IF(J7="","",IF(J7=BD7,$AL$1,IF(J7=AI7,$Q$1,"")))</f>
        <v>2019 Nationals</v>
      </c>
      <c r="L7" s="15">
        <f>IF(MAX(AJ7,BE7)&gt;0,MAX(AJ7,BE7),"")</f>
        <v>61.9</v>
      </c>
      <c r="M7" s="15" t="str">
        <f>IF(L7="","",IF(L7=BE7,$AL$1,IF(L7=AJ7,$Q$1,"")))</f>
        <v>2019 Nationals</v>
      </c>
      <c r="N7" s="15" t="str">
        <f>IF(MAX(BG7:BH7)&gt;0,MAX(BG7:BH7),"")</f>
        <v/>
      </c>
      <c r="O7" s="27" t="str">
        <f>IF(N7="","",IF(N7=BG7,"(Prelim)",IF(N7=BH7,"(Final)")))</f>
        <v/>
      </c>
      <c r="P7" s="15" t="str">
        <f>IF(N7="","",IF(N7=BG7,IF(N7+IF(J7="",0,J7)=KL7,$JU$1,IF(N7+IF(J7="",0,J7)=JR7,$JA$1,IF(N7+IF(J7="",0,J7)=IX7,$IG$1,IF(N7+IF(J7="",0,J7)=ID7,$HM$1,IF(N7+IF(J7="",0,J7)=HJ7,$GS$1,IF(N7+IF(J7="",0,J7)=GP7,$FY$1,IF(N7+IF(J7="",0,J7)=FV7,$FE$1,IF(N7+IF(J7="",0,J7)=FB7,$EK$1,IF(N7+IF(J7="",0,J7)=EH7,$DQ$1,IF(N7+IF(J7="",0,J7)=DN7,$CW$1,IF(N7+IF(J7="",0,J7)=CT7,$CC$1,IF(N7+IF(J7="",0,J7)=BZ7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71">
        <v>25</v>
      </c>
      <c r="R7" s="71">
        <v>5.4</v>
      </c>
      <c r="S7" s="71">
        <v>0.1</v>
      </c>
      <c r="T7" s="71">
        <v>0</v>
      </c>
      <c r="U7" s="71">
        <v>22.9</v>
      </c>
      <c r="V7" s="71">
        <v>3.3</v>
      </c>
      <c r="W7" s="71">
        <v>0</v>
      </c>
      <c r="X7" s="71">
        <v>0</v>
      </c>
      <c r="Y7" s="71">
        <v>24.7</v>
      </c>
      <c r="Z7" s="71">
        <v>6.2</v>
      </c>
      <c r="AA7" s="71">
        <v>0</v>
      </c>
      <c r="AB7" s="71">
        <v>0</v>
      </c>
      <c r="AC7" s="71">
        <v>23.7</v>
      </c>
      <c r="AD7" s="71">
        <v>5.9</v>
      </c>
      <c r="AE7" s="71">
        <v>0</v>
      </c>
      <c r="AF7" s="71">
        <v>0</v>
      </c>
      <c r="AG7" s="82"/>
      <c r="AH7" s="12">
        <f>IF(SUM(R7,V7)&gt;0,SUM(R7,V7),"")</f>
        <v>8.6999999999999993</v>
      </c>
      <c r="AI7" s="12">
        <f>IF(SUM(Q7:R7,T7:V7,X7)-S7-W7&gt;0,SUM(Q7:R7,T7:V7,X7)-S7-W7,"")</f>
        <v>56.499999999999993</v>
      </c>
      <c r="AJ7" s="12">
        <f>IF(SUM(Y7:Z7,AB7:AD7,AF7)-SUM(AA7,AE7)&gt;0,SUM(Y7:Z7,AB7:AD7,AF7)-SUM(AA7,AE7),"")</f>
        <v>60.499999999999993</v>
      </c>
      <c r="AK7" s="12">
        <f>IF(SUM(AI7,AJ7)&gt;0,SUM(AI7,AJ7),"")</f>
        <v>116.99999999999999</v>
      </c>
      <c r="AL7" s="40">
        <v>25.9</v>
      </c>
      <c r="AM7" s="40">
        <v>5.4</v>
      </c>
      <c r="AN7" s="40">
        <v>0.1</v>
      </c>
      <c r="AO7" s="40">
        <v>0</v>
      </c>
      <c r="AP7" s="40">
        <v>24.8</v>
      </c>
      <c r="AQ7" s="40">
        <v>5.9</v>
      </c>
      <c r="AR7" s="40">
        <v>0</v>
      </c>
      <c r="AS7" s="40">
        <v>0</v>
      </c>
      <c r="AT7" s="40">
        <v>25.3</v>
      </c>
      <c r="AU7" s="40">
        <v>6.2</v>
      </c>
      <c r="AV7" s="40">
        <v>0</v>
      </c>
      <c r="AW7" s="40">
        <v>0</v>
      </c>
      <c r="AX7" s="40">
        <v>24.5</v>
      </c>
      <c r="AY7" s="40">
        <v>5.9</v>
      </c>
      <c r="AZ7" s="40">
        <v>0</v>
      </c>
      <c r="BA7" s="40">
        <v>0</v>
      </c>
      <c r="BB7" s="83"/>
      <c r="BC7" s="15">
        <f>IF(SUM(AM7,AQ7)&gt;0,SUM(AM7,AQ7),"")</f>
        <v>11.3</v>
      </c>
      <c r="BD7" s="15">
        <f>IF(SUM(AL7:AM7,AO7:AQ7,AS7)-AN7-AR7&gt;0,SUM(AL7:AM7,AO7:AQ7,AS7)-AN7-AR7,"")</f>
        <v>61.899999999999991</v>
      </c>
      <c r="BE7" s="15">
        <f>IF(SUM(AT7:AU7,AW7:AY7,BA7)-SUM(AV7,AZ7)&gt;0,SUM(AT7:AU7,AW7:AY7,BA7)-SUM(AV7,AZ7),"")</f>
        <v>61.9</v>
      </c>
      <c r="BF7" s="15">
        <f>IF(SUM(BD7,BE7)&gt;0,SUM(BD7,BE7),"")</f>
        <v>123.79999999999998</v>
      </c>
      <c r="BG7" s="26" t="str">
        <f>IF(MAX(BZ7,CT7,DN7,EH7,FB7,FV7,GP7,HJ7,ID7,IX7,JR7,KL7)-IF(J7="",0,J7)&gt;0.001,MAX(BZ7,CT7,DN7,EH7,FB7,FV7,GP7,HJ7,ID7,IX7,JR7,KL7)-IF(J7="",0,J7),"")</f>
        <v/>
      </c>
      <c r="BH7" s="26" t="str">
        <f>IF(MAX(CA7,CU7,DO7,EI7,FC7,FW7,GQ7,HK7,IE7,IY7,JS7,KM7)-IF(L7="",0,L7)&gt;0.001,MAX(CA7,CU7,DO7,EI7,FC7,FW7,GQ7,HK7,IE7,IY7,JS7,KM7)-IF(L7="",0,L7),"")</f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71">
        <f t="shared" si="5"/>
        <v>25.45</v>
      </c>
      <c r="KP7" s="71">
        <f t="shared" si="0"/>
        <v>5.4</v>
      </c>
      <c r="KQ7" s="71">
        <f t="shared" si="0"/>
        <v>0.1</v>
      </c>
      <c r="KR7" s="71">
        <f t="shared" si="0"/>
        <v>0</v>
      </c>
      <c r="KS7" s="71">
        <f t="shared" si="0"/>
        <v>23.85</v>
      </c>
      <c r="KT7" s="71">
        <f t="shared" si="0"/>
        <v>4.5999999999999996</v>
      </c>
      <c r="KU7" s="71">
        <f t="shared" si="0"/>
        <v>0</v>
      </c>
      <c r="KV7" s="71">
        <f t="shared" si="0"/>
        <v>0</v>
      </c>
      <c r="KW7" s="71">
        <f t="shared" si="0"/>
        <v>25</v>
      </c>
      <c r="KX7" s="71">
        <f t="shared" si="0"/>
        <v>6.2</v>
      </c>
      <c r="KY7" s="71">
        <f t="shared" si="0"/>
        <v>0</v>
      </c>
      <c r="KZ7" s="71">
        <f t="shared" si="0"/>
        <v>0</v>
      </c>
      <c r="LA7" s="71">
        <f t="shared" si="0"/>
        <v>24.1</v>
      </c>
      <c r="LB7" s="71">
        <f t="shared" si="0"/>
        <v>5.9</v>
      </c>
      <c r="LC7" s="71">
        <f t="shared" si="0"/>
        <v>0</v>
      </c>
      <c r="LD7" s="71">
        <f t="shared" si="0"/>
        <v>0</v>
      </c>
      <c r="LE7" s="82" t="s">
        <v>96</v>
      </c>
      <c r="LF7" s="12">
        <f t="shared" si="6"/>
        <v>10</v>
      </c>
      <c r="LG7" s="12">
        <f t="shared" si="7"/>
        <v>59.2</v>
      </c>
      <c r="LH7" s="12">
        <f t="shared" si="8"/>
        <v>61.199999999999996</v>
      </c>
      <c r="LI7" s="12">
        <f t="shared" si="9"/>
        <v>120.4</v>
      </c>
    </row>
    <row r="8" spans="1:32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7" t="s">
        <v>55</v>
      </c>
      <c r="C8" s="8" t="s">
        <v>5</v>
      </c>
      <c r="D8" s="29">
        <v>1997</v>
      </c>
      <c r="E8" s="16">
        <f>SUM(J8:N8)</f>
        <v>117.20000000000002</v>
      </c>
      <c r="F8" s="4" t="str">
        <f>IF(OR(AND(AH8&gt;=AJ$11,AI8&gt;=AJ$13,AI8&lt;&gt;"",AG8=""),AND(BC8&gt;=BE$11,BD8&gt;=BE$13,BD8&lt;&gt;"",BB8=""),AND(BY8&gt;=CA$11,BZ8&gt;=CA$13,BZ8&lt;&gt;""),AND(CS8&gt;=CU$11,CT8&gt;=CU$13,CT8&lt;&gt;""),AND(DM8&gt;=DO$11,DN8&gt;=DO$13,DN8&lt;&gt;""),AND(EG8&gt;=EI$11,EH8&gt;=EI$13,EH8&lt;&gt;""),AND(FA8&gt;=FC$11,FB8&gt;=FC$13,FB8&lt;&gt;""),AND(FU8&gt;=FW$11,FV8&gt;=FW$13,FV8&lt;&gt;""),AND(GO8&gt;=GQ$11,GP8&gt;=GQ$13,GP8&lt;&gt;""),AND(HI8&gt;=HK$11,HJ8&gt;=HK$13,HJ8&lt;&gt;""),AND(IC8&gt;=IE$11,ID8&gt;=IE$13,ID8&lt;&gt;""),AND(IW8&gt;=IY$11,IX8&gt;=IY$13,IX8&lt;&gt;""),AND(JQ8&gt;=JS$11,JR8&gt;=JS$13,JR8&lt;&gt;""),AND(KK8&gt;=KM$11,KL8&gt;=KM$13,KL8&lt;&gt;"")),"P","")</f>
        <v/>
      </c>
      <c r="G8" s="4" t="str">
        <f>IF(OR(AND(AH8&gt;=AJ$11,AI8&gt;=AJ$14,AI8&lt;&gt;"",AG8=""),AND(BC8&gt;=BE$11,BD8&gt;=BE$14,BD8&lt;&gt;"",BB8=""),AND(BY8&gt;=CA$11,BZ8&gt;=CA$14,BZ8&lt;&gt;""),AND(CS8&gt;=CU$11,CT8&gt;=CU$14,CT8&lt;&gt;""),AND(DM8&gt;=DO$11,DN8&gt;=DO$14,DN8&lt;&gt;""),AND(EG8&gt;=EI$11,EH8&gt;=EI$14,EH8&lt;&gt;""),AND(FA8&gt;=FC$11,FB8&gt;=FC$14,FB8&lt;&gt;""),AND(FU8&gt;=FW$11,FV8&gt;=FW$14,FV8&lt;&gt;""),AND(GO8&gt;=GQ$11,GP8&gt;=GQ$14,GP8&lt;&gt;""),AND(HI8&gt;=HK$11,HJ8&gt;=HK$14,HJ8&lt;&gt;""),AND(IC8&gt;=IE$11,ID8&gt;=IE$14,ID8&lt;&gt;""),AND(IW8&gt;=IY$11,IX8&gt;=IY$14,IX8&lt;&gt;""),AND(JQ8&gt;=JS$11,JR8&gt;=JS$14,JR8&lt;&gt;""),AND(KK8&gt;=KM$11,KL8&gt;=KM$14,KL8&lt;&gt;"")),"P","")</f>
        <v/>
      </c>
      <c r="H8" s="4" t="str">
        <f>IF(OR(AND(AI8&gt;=AJ$13,AI8&lt;&gt;"",AG8=""),AND(BD8&gt;=BE$13,BD8&lt;&gt;"",BB8=""),AND(BZ8&gt;=CA$13,BZ8&lt;&gt;""),AND(CT8&gt;=CU$13,CT8&lt;&gt;""),AND(DN8&gt;=DO$13,DN8&lt;&gt;""),AND(EH8&gt;=EI$13,EH8&lt;&gt;""),AND(FB8&gt;=FC$13,FB8&lt;&gt;""),AND(FV8&gt;=FW$13,FV8&lt;&gt;""),AND(GP8&gt;=GQ$13,GP8&lt;&gt;""),AND(HJ8&gt;=HK$13,HJ8&lt;&gt;""),AND(ID8&gt;=IE$13,ID8&lt;&gt;""),AND(IX8&gt;=IY$13,IX8&lt;&gt;""),AND(JR8&gt;=JS$13,JR8&lt;&gt;""),AND(KL8&gt;=KM$13,KL8&lt;&gt;"")),"P","")</f>
        <v/>
      </c>
      <c r="I8" t="str">
        <f>IF(AND(H8="P",F8=""),"No DD",IF(OR(AND(AI8&gt;=AJ$16,AI8&lt;&gt;"",AH8&gt;=AJ$12,AH8&lt;&gt;"",AG8=""),AND(BD8&gt;=BE$16,BD8&lt;&gt;"",BC8&gt;=BE$12,BC8&lt;&gt;"",BB8=""),AND(BZ8&gt;=CA$16,BZ8&lt;&gt;"",BY8&gt;=CA$12,BY8&lt;&gt;""),AND(CT8&gt;=CU$16,CT8&lt;&gt;"",CS8&gt;=CU$12,CS8&lt;&gt;""),AND(DN8&gt;=DO$16,DN8&lt;&gt;"",DM8&gt;=DO$12,DM8&lt;&gt;""),AND(EH8&gt;=EI$16,EH8&lt;&gt;"",EG8&gt;=EI$12,EG8&lt;&gt;""),AND(FB8&gt;=FC$16,FB8&lt;&gt;"",FA8&gt;=FC$12,FA8&lt;&gt;""),AND(FV8&gt;=FW$16,FV8&lt;&gt;"",FU8&gt;=FW$12,FU8&lt;&gt;""),AND(GP8&gt;=GQ$16,GP8&lt;&gt;"",GO8&gt;=GQ$12,GO8&lt;&gt;""),AND(HJ8&gt;=HK$16,HJ8&lt;&gt;"",HI8&gt;=HK$12,HI8&lt;&gt;""),AND(ID8&gt;=IE$16,ID8&lt;&gt;"",IC8&gt;=IE$12,IC8&lt;&gt;""),AND(IX8&gt;=IY$16,IX8&lt;&gt;"",IW8&gt;=IY$12,IW8&lt;&gt;""),AND(JR8&gt;=JS$16,JR8&lt;&gt;"",JQ8&gt;=JS$12,JQ8&lt;&gt;""),AND(KL8&gt;=KM$16,KL8&lt;&gt;"",KK8&gt;=KM$12,KK8&lt;&gt;"")),"Merit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Excellence",IF(OR(AND(AI8&gt;=AJ$14,AI8&lt;&gt;"",AH8&gt;=AJ$11,AH8&lt;&gt;"",AG8=""),AND(BD8&gt;=BE$14,BD8&lt;&gt;"",BC8&gt;=BE$11,BC8&lt;&gt;"",BB8=""),AND(BZ8&gt;=CA$14,BZ8&lt;&gt;"",BY8&gt;=CA$11,BY8&lt;&gt;""),AND(CT8&gt;=CU$14,CT8&lt;&gt;"",CS8&gt;=CU$11,CS8&lt;&gt;""),AND(DN8&gt;=DO$14,DN8&lt;&gt;"",DM8&gt;=DO$11,DM8&lt;&gt;""),AND(EH8&gt;=EI$14,EH8&lt;&gt;"",EG8&gt;=EI$11,EG8&lt;&gt;""),AND(FB8&gt;=FC$14,FB8&lt;&gt;"",FA8&gt;=FC$11,FA8&lt;&gt;""),AND(FV8&gt;=FW$14,FV8&lt;&gt;"",FU8&gt;=FW$11,FU8&lt;&gt;""),AND(GP8&gt;=GQ$14,GP8&lt;&gt;"",GO8&gt;=GQ$11,GO8&lt;&gt;""),AND(HJ8&gt;=HK$14,HJ8&lt;&gt;"",HI8&gt;=HK$11,HI8&lt;&gt;""),AND(ID8&gt;=IE$14,ID8&lt;&gt;"",IC8&gt;=IE$11,IC8&lt;&gt;""),AND(IX8&gt;=IY$14,IX8&lt;&gt;"",IW8&gt;=IY$11,IW8&lt;&gt;""),AND(JR8&gt;=JS$14,JR8&lt;&gt;"",JQ8&gt;=JS$11,JQ8&lt;&gt;""),AND(KL8&gt;=KM$14,KL8&lt;&gt;"",KK8&gt;=KM$11,KK8&lt;&gt;"")),"Worlds Team",IF(OR(AND(AI8&gt;=AJ$13,AI8&lt;&gt;"",AH8&gt;=AJ$11,AH8&lt;&gt;"",AG8=""),AND(BD8&gt;=BE$13,BD8&lt;&gt;"",BC8&gt;=BE$11,BC8&lt;&gt;"",BB8=""),AND(BZ8&gt;=CA$13,BZ8&lt;&gt;"",BY8&gt;=CA$11,BY8&lt;&gt;""),AND(CT8&gt;=CU$13,CT8&lt;&gt;"",CS8&gt;=CU$11,CS8&lt;&gt;""),AND(DN8&gt;=DO$13,DN8&lt;&gt;"",DM8&gt;=DO$11,DM8&lt;&gt;""),AND(EH8&gt;=EI$13,EH8&lt;&gt;"",EG8&gt;=EI$11,EG8&lt;&gt;""),AND(FB8&gt;=FC$13,FB8&lt;&gt;"",FA8&gt;=FC$11,FA8&lt;&gt;""),AND(FV8&gt;=FW$13,FV8&lt;&gt;"",FU8&gt;=FW$11,FU8&lt;&gt;""),AND(GP8&gt;=GQ$13,GP8&lt;&gt;"",GO8&gt;=GQ$11,GO8&lt;&gt;""),AND(HJ8&gt;=HK$13,HJ8&lt;&gt;"",HI8&gt;=HK$11,HI8&lt;&gt;""),AND(ID8&gt;=IE$13,ID8&lt;&gt;"",IC8&gt;=IE$11,IC8&lt;&gt;""),AND(IX8&gt;=IY$13,IX8&lt;&gt;"",IW8&gt;=IY$11,IW8&lt;&gt;""),AND(JR8&gt;=JS$13,JR8&lt;&gt;"",JQ8&gt;=JS$11,JQ8&lt;&gt;""),AND(KL8&gt;=KM$13,KL8&lt;&gt;"",KK8&gt;=KM$11,KK8&lt;&gt;"")),"National Team","")))))</f>
        <v/>
      </c>
      <c r="J8" s="15">
        <f>IF(MAX(AI8,BD8)&gt;0,MAX(AI8,BD8),"")</f>
        <v>55.300000000000004</v>
      </c>
      <c r="K8" s="15" t="str">
        <f>IF(J8="","",IF(J8=BD8,$AL$1,IF(J8=AI8,$Q$1,"")))</f>
        <v>2019 Nationals</v>
      </c>
      <c r="L8" s="15">
        <f>IF(MAX(AJ8,BE8)&gt;0,MAX(AJ8,BE8),"")</f>
        <v>61.900000000000006</v>
      </c>
      <c r="M8" s="15" t="str">
        <f>IF(L8="","",IF(L8=BE8,$AL$1,IF(L8=AJ8,$Q$1,"")))</f>
        <v>2019 Nationals</v>
      </c>
      <c r="N8" s="15" t="str">
        <f>IF(MAX(BG8:BH8)&gt;0,MAX(BG8:BH8),"")</f>
        <v/>
      </c>
      <c r="O8" s="27" t="str">
        <f>IF(N8="","",IF(N8=BG8,"(Prelim)",IF(N8=BH8,"(Final)")))</f>
        <v/>
      </c>
      <c r="P8" s="15" t="str">
        <f>IF(N8="","",IF(N8=BG8,IF(N8+IF(J8="",0,J8)=KL8,$JU$1,IF(N8+IF(J8="",0,J8)=JR8,$JA$1,IF(N8+IF(J8="",0,J8)=IX8,$IG$1,IF(N8+IF(J8="",0,J8)=ID8,$HM$1,IF(N8+IF(J8="",0,J8)=HJ8,$GS$1,IF(N8+IF(J8="",0,J8)=GP8,$FY$1,IF(N8+IF(J8="",0,J8)=FV8,$FE$1,IF(N8+IF(J8="",0,J8)=FB8,$EK$1,IF(N8+IF(J8="",0,J8)=EH8,$DQ$1,IF(N8+IF(J8="",0,J8)=DN8,$CW$1,IF(N8+IF(J8="",0,J8)=CT8,$CC$1,IF(N8+IF(J8="",0,J8)=BZ8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7">
        <v>23.7</v>
      </c>
      <c r="R8" s="47">
        <v>3.4</v>
      </c>
      <c r="S8" s="47">
        <v>0</v>
      </c>
      <c r="T8" s="47">
        <v>0</v>
      </c>
      <c r="U8" s="47">
        <v>15.5</v>
      </c>
      <c r="V8" s="47">
        <v>2.8</v>
      </c>
      <c r="W8" s="47">
        <v>0</v>
      </c>
      <c r="X8" s="47">
        <v>0</v>
      </c>
      <c r="Y8" s="47"/>
      <c r="Z8" s="47"/>
      <c r="AA8" s="47"/>
      <c r="AB8" s="47"/>
      <c r="AC8" s="47"/>
      <c r="AD8" s="47"/>
      <c r="AE8" s="47"/>
      <c r="AF8" s="47"/>
      <c r="AG8" s="82"/>
      <c r="AH8" s="12">
        <f>IF(SUM(R8,V8)&gt;0,SUM(R8,V8),"")</f>
        <v>6.1999999999999993</v>
      </c>
      <c r="AI8" s="12">
        <f>IF(SUM(Q8:R8,T8:V8,X8)-S8-W8&gt;0,SUM(Q8:R8,T8:V8,X8)-S8-W8,"")</f>
        <v>45.399999999999991</v>
      </c>
      <c r="AJ8" s="12" t="str">
        <f>IF(SUM(Y8:Z8,AB8:AD8,AF8)-SUM(AA8,AE8)&gt;0,SUM(Y8:Z8,AB8:AD8,AF8)-SUM(AA8,AE8),"")</f>
        <v/>
      </c>
      <c r="AK8" s="12">
        <f>IF(SUM(AI8,AJ8)&gt;0,SUM(AI8,AJ8),"")</f>
        <v>45.399999999999991</v>
      </c>
      <c r="AL8" s="40">
        <v>22.6</v>
      </c>
      <c r="AM8" s="40">
        <v>5.4</v>
      </c>
      <c r="AN8" s="40">
        <v>0.1</v>
      </c>
      <c r="AO8" s="40">
        <v>0</v>
      </c>
      <c r="AP8" s="40">
        <v>23.7</v>
      </c>
      <c r="AQ8" s="40">
        <v>3.7</v>
      </c>
      <c r="AR8" s="40">
        <v>0</v>
      </c>
      <c r="AS8" s="40">
        <v>0</v>
      </c>
      <c r="AT8" s="40">
        <v>26.2</v>
      </c>
      <c r="AU8" s="40">
        <v>5.5</v>
      </c>
      <c r="AV8" s="40">
        <v>0</v>
      </c>
      <c r="AW8" s="40">
        <v>0</v>
      </c>
      <c r="AX8" s="40">
        <v>24.5</v>
      </c>
      <c r="AY8" s="40">
        <v>5.7</v>
      </c>
      <c r="AZ8" s="40">
        <v>0</v>
      </c>
      <c r="BA8" s="40">
        <v>0</v>
      </c>
      <c r="BB8" s="83"/>
      <c r="BC8" s="15">
        <f>IF(SUM(AM8,AQ8)&gt;0,SUM(AM8,AQ8),"")</f>
        <v>9.1000000000000014</v>
      </c>
      <c r="BD8" s="15">
        <f>IF(SUM(AL8:AM8,AO8:AQ8,AS8)-AN8-AR8&gt;0,SUM(AL8:AM8,AO8:AQ8,AS8)-AN8-AR8,"")</f>
        <v>55.300000000000004</v>
      </c>
      <c r="BE8" s="15">
        <f>IF(SUM(AT8:AU8,AW8:AY8,BA8)-SUM(AV8,AZ8)&gt;0,SUM(AT8:AU8,AW8:AY8,BA8)-SUM(AV8,AZ8),"")</f>
        <v>61.900000000000006</v>
      </c>
      <c r="BF8" s="15">
        <f>IF(SUM(BD8,BE8)&gt;0,SUM(BD8,BE8),"")</f>
        <v>117.20000000000002</v>
      </c>
      <c r="BG8" s="26" t="str">
        <f>IF(MAX(BZ8,CT8,DN8,EH8,FB8,FV8,GP8,HJ8,ID8,IX8,JR8,KL8)-IF(J8="",0,J8)&gt;0.001,MAX(BZ8,CT8,DN8,EH8,FB8,FV8,GP8,HJ8,ID8,IX8,JR8,KL8)-IF(J8="",0,J8),"")</f>
        <v/>
      </c>
      <c r="BH8" s="26" t="str">
        <f>IF(MAX(CA8,CU8,DO8,EI8,FC8,FW8,GQ8,HK8,IE8,IY8,JS8,KM8)-IF(L8="",0,L8)&gt;0.001,MAX(CA8,CU8,DO8,EI8,FC8,FW8,GQ8,HK8,IE8,IY8,JS8,KM8)-IF(L8="",0,L8),"")</f>
        <v/>
      </c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12" t="str">
        <f>IF(SUM(BJ8,BN8)&gt;0,SUM(BJ8,BN8),"")</f>
        <v/>
      </c>
      <c r="BZ8" s="12" t="str">
        <f>IF(SUM(BI8:BJ8,BL8:BN8,BP8)-BK8-BO8&gt;0,SUM(BI8:BJ8,BL8:BN8,BP8)-BK8-BO8,"")</f>
        <v/>
      </c>
      <c r="CA8" s="12" t="str">
        <f>IF(SUM(BQ8:BR8,BT8:BV8,BX8)-SUM(BS8,BW8)&gt;0,SUM(BQ8:BR8,BT8:BV8,BX8)-SUM(BS8,BW8),"")</f>
        <v/>
      </c>
      <c r="CB8" s="12" t="str">
        <f>IF(SUM(BZ8,CA8)&gt;0,SUM(BZ8,CA8),"")</f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71">
        <f t="shared" si="5"/>
        <v>23.15</v>
      </c>
      <c r="KP8" s="71">
        <f t="shared" si="0"/>
        <v>4.4000000000000004</v>
      </c>
      <c r="KQ8" s="71">
        <f t="shared" si="0"/>
        <v>0.05</v>
      </c>
      <c r="KR8" s="71">
        <f t="shared" si="0"/>
        <v>0</v>
      </c>
      <c r="KS8" s="71">
        <f t="shared" si="0"/>
        <v>19.600000000000001</v>
      </c>
      <c r="KT8" s="71">
        <f t="shared" si="0"/>
        <v>3.25</v>
      </c>
      <c r="KU8" s="71">
        <f t="shared" si="0"/>
        <v>0</v>
      </c>
      <c r="KV8" s="71">
        <f t="shared" si="0"/>
        <v>0</v>
      </c>
      <c r="KW8" s="71">
        <f t="shared" si="0"/>
        <v>13.1</v>
      </c>
      <c r="KX8" s="71">
        <f t="shared" si="0"/>
        <v>2.75</v>
      </c>
      <c r="KY8" s="71">
        <f t="shared" si="0"/>
        <v>0</v>
      </c>
      <c r="KZ8" s="71">
        <f t="shared" si="0"/>
        <v>0</v>
      </c>
      <c r="LA8" s="71">
        <f t="shared" si="0"/>
        <v>12.25</v>
      </c>
      <c r="LB8" s="71">
        <f t="shared" si="0"/>
        <v>2.85</v>
      </c>
      <c r="LC8" s="71">
        <f t="shared" si="0"/>
        <v>0</v>
      </c>
      <c r="LD8" s="71">
        <f t="shared" si="0"/>
        <v>0</v>
      </c>
      <c r="LE8" s="82" t="s">
        <v>96</v>
      </c>
      <c r="LF8" s="12">
        <f t="shared" si="6"/>
        <v>7.65</v>
      </c>
      <c r="LG8" s="12">
        <f t="shared" si="7"/>
        <v>50.35</v>
      </c>
      <c r="LH8" s="12">
        <f t="shared" si="8"/>
        <v>30.950000000000003</v>
      </c>
      <c r="LI8" s="12">
        <f t="shared" si="9"/>
        <v>81.300000000000011</v>
      </c>
    </row>
    <row r="9" spans="1:321" x14ac:dyDescent="0.2">
      <c r="D9" s="1"/>
    </row>
    <row r="11" spans="1:321" x14ac:dyDescent="0.2">
      <c r="B11" s="72" t="s">
        <v>82</v>
      </c>
      <c r="AH11" s="58"/>
      <c r="AJ11" s="66">
        <v>11.8</v>
      </c>
      <c r="BC11" s="58"/>
      <c r="BE11" s="66">
        <v>11.8</v>
      </c>
      <c r="BY11" s="58"/>
      <c r="CA11" s="66">
        <v>11.8</v>
      </c>
      <c r="CS11" s="58"/>
      <c r="CU11" s="66">
        <v>11.8</v>
      </c>
      <c r="DM11" s="58"/>
      <c r="DO11" s="66">
        <v>11.8</v>
      </c>
      <c r="EG11" s="58"/>
      <c r="EI11" s="66">
        <v>11.8</v>
      </c>
      <c r="FA11" s="58"/>
      <c r="FC11" s="66">
        <v>11.8</v>
      </c>
      <c r="FU11" s="58"/>
      <c r="FW11" s="66">
        <v>11.8</v>
      </c>
      <c r="GO11" s="58"/>
      <c r="GQ11" s="66">
        <v>11.8</v>
      </c>
      <c r="HI11" s="58"/>
      <c r="HK11" s="66">
        <v>11.8</v>
      </c>
      <c r="IC11" s="58"/>
      <c r="IE11" s="66">
        <v>11.8</v>
      </c>
      <c r="IW11" s="58"/>
      <c r="IY11" s="66">
        <v>11.8</v>
      </c>
      <c r="JQ11" s="58"/>
      <c r="JS11" s="66">
        <v>11.8</v>
      </c>
      <c r="KK11" s="58"/>
      <c r="KM11" s="66">
        <v>11.8</v>
      </c>
    </row>
    <row r="12" spans="1:321" x14ac:dyDescent="0.2">
      <c r="A12" s="58"/>
      <c r="B12" s="100" t="s">
        <v>131</v>
      </c>
      <c r="C12" s="57"/>
      <c r="AH12" s="58"/>
      <c r="AJ12" s="102">
        <v>11.8</v>
      </c>
      <c r="BC12" s="58"/>
      <c r="BE12" s="102">
        <v>11.8</v>
      </c>
      <c r="BY12" s="58"/>
      <c r="CA12" s="102">
        <v>11.8</v>
      </c>
      <c r="CS12" s="58"/>
      <c r="CU12" s="102">
        <v>11.8</v>
      </c>
      <c r="DM12" s="58"/>
      <c r="DO12" s="102">
        <v>11.8</v>
      </c>
      <c r="EG12" s="58"/>
      <c r="EI12" s="102">
        <v>11.8</v>
      </c>
      <c r="FA12" s="58"/>
      <c r="FC12" s="102">
        <v>11.8</v>
      </c>
      <c r="FU12" s="58"/>
      <c r="FW12" s="102">
        <v>11.8</v>
      </c>
      <c r="GO12" s="58"/>
      <c r="GQ12" s="102">
        <v>11.8</v>
      </c>
      <c r="HI12" s="58"/>
      <c r="HK12" s="102">
        <v>11.8</v>
      </c>
      <c r="IC12" s="58"/>
      <c r="IE12" s="102">
        <v>11.8</v>
      </c>
      <c r="IW12" s="58"/>
      <c r="IY12" s="102">
        <v>11.8</v>
      </c>
      <c r="JQ12" s="58"/>
      <c r="JS12" s="102">
        <v>11.8</v>
      </c>
      <c r="KK12" s="58"/>
      <c r="KM12" s="102">
        <v>11.8</v>
      </c>
    </row>
    <row r="13" spans="1:321" x14ac:dyDescent="0.2">
      <c r="A13" s="58"/>
      <c r="B13" s="73" t="s">
        <v>79</v>
      </c>
      <c r="C13" s="57"/>
      <c r="AH13" s="58"/>
      <c r="AJ13" s="67">
        <v>62.8</v>
      </c>
      <c r="BC13" s="58"/>
      <c r="BE13" s="67">
        <v>62.8</v>
      </c>
      <c r="BY13" s="58"/>
      <c r="CA13" s="67">
        <v>62.8</v>
      </c>
      <c r="CS13" s="58"/>
      <c r="CU13" s="67">
        <v>62.8</v>
      </c>
      <c r="DM13" s="58"/>
      <c r="DO13" s="67">
        <v>62.8</v>
      </c>
      <c r="EG13" s="58"/>
      <c r="EI13" s="67">
        <v>62.8</v>
      </c>
      <c r="FA13" s="58"/>
      <c r="FC13" s="67">
        <v>62.8</v>
      </c>
      <c r="FU13" s="58"/>
      <c r="FW13" s="67">
        <v>62.8</v>
      </c>
      <c r="GO13" s="58"/>
      <c r="GQ13" s="67">
        <v>62.8</v>
      </c>
      <c r="HI13" s="58"/>
      <c r="HK13" s="67">
        <v>62.8</v>
      </c>
      <c r="IC13" s="58"/>
      <c r="IE13" s="67">
        <v>62.8</v>
      </c>
      <c r="IW13" s="58"/>
      <c r="IY13" s="67">
        <v>62.8</v>
      </c>
      <c r="JQ13" s="58"/>
      <c r="JS13" s="67">
        <v>62.8</v>
      </c>
      <c r="KK13" s="58"/>
      <c r="KM13" s="67">
        <v>62.8</v>
      </c>
    </row>
    <row r="14" spans="1:321" x14ac:dyDescent="0.2">
      <c r="A14" s="58"/>
      <c r="B14" s="74" t="s">
        <v>80</v>
      </c>
      <c r="C14" s="57"/>
      <c r="AH14" s="58"/>
      <c r="AJ14" s="68">
        <v>65.900000000000006</v>
      </c>
      <c r="BC14" s="58"/>
      <c r="BE14" s="68">
        <v>65.900000000000006</v>
      </c>
      <c r="BY14" s="58"/>
      <c r="CA14" s="68">
        <v>65.900000000000006</v>
      </c>
      <c r="CS14" s="58"/>
      <c r="CU14" s="68">
        <v>65.900000000000006</v>
      </c>
      <c r="DM14" s="58"/>
      <c r="DO14" s="68">
        <v>65.900000000000006</v>
      </c>
      <c r="EG14" s="58"/>
      <c r="EI14" s="68">
        <v>65.900000000000006</v>
      </c>
      <c r="FA14" s="58"/>
      <c r="FC14" s="68">
        <v>65.900000000000006</v>
      </c>
      <c r="FU14" s="58"/>
      <c r="FW14" s="68">
        <v>65.900000000000006</v>
      </c>
      <c r="GO14" s="58"/>
      <c r="GQ14" s="68">
        <v>65.900000000000006</v>
      </c>
      <c r="HI14" s="58"/>
      <c r="HK14" s="68">
        <v>65.900000000000006</v>
      </c>
      <c r="IC14" s="58"/>
      <c r="IE14" s="68">
        <v>65.900000000000006</v>
      </c>
      <c r="IW14" s="58"/>
      <c r="IY14" s="68">
        <v>65.900000000000006</v>
      </c>
      <c r="JQ14" s="58"/>
      <c r="JS14" s="68">
        <v>65.900000000000006</v>
      </c>
      <c r="KK14" s="58"/>
      <c r="KM14" s="68">
        <v>65.900000000000006</v>
      </c>
    </row>
    <row r="15" spans="1:321" x14ac:dyDescent="0.2">
      <c r="A15" s="58"/>
      <c r="B15" s="75" t="s">
        <v>124</v>
      </c>
      <c r="C15" s="57"/>
      <c r="AH15" s="58"/>
      <c r="AJ15" s="69">
        <v>69.7</v>
      </c>
      <c r="BC15" s="58"/>
      <c r="BE15" s="69">
        <v>69.7</v>
      </c>
      <c r="BY15" s="58"/>
      <c r="CA15" s="69">
        <v>69.7</v>
      </c>
      <c r="CS15" s="58"/>
      <c r="CU15" s="69">
        <v>69.7</v>
      </c>
      <c r="DM15" s="58"/>
      <c r="DO15" s="69">
        <v>69.7</v>
      </c>
      <c r="EG15" s="58"/>
      <c r="EI15" s="69">
        <v>69.7</v>
      </c>
      <c r="FA15" s="58"/>
      <c r="FC15" s="69">
        <v>69.7</v>
      </c>
      <c r="FU15" s="58"/>
      <c r="FW15" s="69">
        <v>69.7</v>
      </c>
      <c r="GO15" s="58"/>
      <c r="GQ15" s="69">
        <v>69.7</v>
      </c>
      <c r="HI15" s="58"/>
      <c r="HK15" s="69">
        <v>69.7</v>
      </c>
      <c r="IC15" s="58"/>
      <c r="IE15" s="69">
        <v>69.7</v>
      </c>
      <c r="IW15" s="58"/>
      <c r="IY15" s="69">
        <v>69.7</v>
      </c>
      <c r="JQ15" s="58"/>
      <c r="JS15" s="69">
        <v>69.7</v>
      </c>
      <c r="KK15" s="58"/>
      <c r="KM15" s="69">
        <v>69.7</v>
      </c>
    </row>
    <row r="16" spans="1:321" x14ac:dyDescent="0.2">
      <c r="A16" s="58"/>
      <c r="B16" s="76" t="s">
        <v>61</v>
      </c>
      <c r="C16" s="57"/>
      <c r="AH16" s="58"/>
      <c r="AJ16" s="70">
        <v>72.2</v>
      </c>
      <c r="BC16" s="58"/>
      <c r="BE16" s="70">
        <v>72.2</v>
      </c>
      <c r="BY16" s="58"/>
      <c r="CA16" s="70">
        <v>72.2</v>
      </c>
      <c r="CS16" s="58"/>
      <c r="CU16" s="70">
        <v>72.2</v>
      </c>
      <c r="DM16" s="58"/>
      <c r="DO16" s="70">
        <v>72.2</v>
      </c>
      <c r="EG16" s="58"/>
      <c r="EI16" s="70">
        <v>72.2</v>
      </c>
      <c r="FA16" s="58"/>
      <c r="FC16" s="70">
        <v>72.2</v>
      </c>
      <c r="FU16" s="58"/>
      <c r="FW16" s="70">
        <v>72.2</v>
      </c>
      <c r="GO16" s="58"/>
      <c r="GQ16" s="70">
        <v>72.2</v>
      </c>
      <c r="HI16" s="58"/>
      <c r="HK16" s="70">
        <v>72.2</v>
      </c>
      <c r="IC16" s="58"/>
      <c r="IE16" s="70">
        <v>72.2</v>
      </c>
      <c r="IW16" s="58"/>
      <c r="IY16" s="70">
        <v>72.2</v>
      </c>
      <c r="JQ16" s="58"/>
      <c r="JS16" s="70">
        <v>72.2</v>
      </c>
      <c r="KK16" s="58"/>
      <c r="KM16" s="70">
        <v>72.2</v>
      </c>
    </row>
    <row r="17" spans="1:16" x14ac:dyDescent="0.2">
      <c r="B17" s="84" t="s">
        <v>97</v>
      </c>
      <c r="C17" s="3"/>
    </row>
    <row r="18" spans="1:16" x14ac:dyDescent="0.2">
      <c r="A18" s="58"/>
      <c r="B18" s="58"/>
      <c r="C18" s="57"/>
    </row>
    <row r="19" spans="1:16" ht="17" x14ac:dyDescent="0.2">
      <c r="A19" s="58"/>
      <c r="B19" s="58"/>
      <c r="C19" s="57"/>
      <c r="N19" s="21"/>
      <c r="O19" s="21"/>
      <c r="P19" s="21"/>
    </row>
    <row r="20" spans="1:16" ht="17" x14ac:dyDescent="0.2">
      <c r="A20" s="58"/>
      <c r="B20" s="58"/>
      <c r="C20" s="57"/>
      <c r="N20" s="21"/>
      <c r="O20" s="21"/>
      <c r="P20" s="21"/>
    </row>
    <row r="21" spans="1:16" ht="17" x14ac:dyDescent="0.2">
      <c r="N21" s="21"/>
      <c r="O21" s="21"/>
      <c r="P21" s="21"/>
    </row>
    <row r="22" spans="1:16" ht="17" x14ac:dyDescent="0.2">
      <c r="N22" s="21"/>
      <c r="O22" s="21"/>
      <c r="P22" s="21"/>
    </row>
    <row r="23" spans="1:16" ht="17" x14ac:dyDescent="0.2">
      <c r="N23" s="21"/>
      <c r="O23" s="21"/>
      <c r="P23" s="21"/>
    </row>
    <row r="24" spans="1:16" ht="17" x14ac:dyDescent="0.2">
      <c r="N24" s="21"/>
      <c r="O24" s="21"/>
      <c r="P24" s="21"/>
    </row>
    <row r="25" spans="1:16" ht="17" x14ac:dyDescent="0.2">
      <c r="N25" s="21"/>
      <c r="O25" s="21"/>
      <c r="P25" s="21"/>
    </row>
    <row r="26" spans="1:16" ht="17" x14ac:dyDescent="0.2">
      <c r="N26" s="21"/>
      <c r="O26" s="21"/>
      <c r="P26" s="21"/>
    </row>
    <row r="27" spans="1:16" ht="17" x14ac:dyDescent="0.2">
      <c r="N27" s="21"/>
      <c r="O27" s="21"/>
      <c r="P27" s="21"/>
    </row>
    <row r="28" spans="1:16" ht="17" x14ac:dyDescent="0.2">
      <c r="N28" s="21"/>
      <c r="O28" s="21"/>
      <c r="P28" s="21"/>
    </row>
    <row r="29" spans="1:16" ht="17" x14ac:dyDescent="0.2">
      <c r="N29" s="21"/>
      <c r="O29" s="21"/>
      <c r="P29" s="21"/>
    </row>
    <row r="30" spans="1:16" ht="17" x14ac:dyDescent="0.2">
      <c r="N30" s="21"/>
      <c r="O30" s="21"/>
      <c r="P30" s="21"/>
    </row>
    <row r="31" spans="1:16" ht="17" x14ac:dyDescent="0.2">
      <c r="N31" s="21"/>
      <c r="O31" s="21"/>
      <c r="P31" s="21"/>
    </row>
    <row r="32" spans="1:16" ht="17" x14ac:dyDescent="0.2">
      <c r="N32" s="21"/>
      <c r="O32" s="21"/>
      <c r="P32" s="21"/>
    </row>
    <row r="33" spans="14:16" ht="17" x14ac:dyDescent="0.2">
      <c r="N33" s="21"/>
      <c r="O33" s="21"/>
      <c r="P33" s="21"/>
    </row>
    <row r="34" spans="14:16" ht="17" x14ac:dyDescent="0.2">
      <c r="N34" s="21"/>
      <c r="O34" s="21"/>
      <c r="P34" s="21"/>
    </row>
    <row r="35" spans="14:16" ht="17" x14ac:dyDescent="0.2">
      <c r="N35" s="21"/>
      <c r="O35" s="21"/>
      <c r="P35" s="21"/>
    </row>
    <row r="36" spans="14:16" ht="17" x14ac:dyDescent="0.2">
      <c r="N36" s="21"/>
      <c r="O36" s="21"/>
      <c r="P36" s="21"/>
    </row>
    <row r="37" spans="14:16" ht="17" x14ac:dyDescent="0.2">
      <c r="N37" s="21"/>
      <c r="O37" s="21"/>
      <c r="P37" s="21"/>
    </row>
    <row r="38" spans="14:16" ht="17" x14ac:dyDescent="0.2">
      <c r="N38" s="21"/>
      <c r="O38" s="21"/>
      <c r="P38" s="21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8">
      <sortCondition descending="1" ref="F1:F9"/>
    </sortState>
  </autoFilter>
  <mergeCells count="92"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KO1:LI1"/>
    <mergeCell ref="KO2:KR2"/>
    <mergeCell ref="KS2:KV2"/>
    <mergeCell ref="KW2:KZ2"/>
    <mergeCell ref="LA2:LD2"/>
  </mergeCells>
  <conditionalFormatting sqref="A1:A1048576">
    <cfRule type="expression" dxfId="96" priority="77">
      <formula>AND(H1="P",F1="")</formula>
    </cfRule>
  </conditionalFormatting>
  <conditionalFormatting sqref="I1:I1048576">
    <cfRule type="containsText" dxfId="95" priority="8" operator="containsText" text="No DD">
      <formula>NOT(ISERROR(SEARCH("No DD",I1)))</formula>
    </cfRule>
    <cfRule type="containsText" dxfId="94" priority="78" operator="containsText" text="Merit">
      <formula>NOT(ISERROR(SEARCH("Merit",I1)))</formula>
    </cfRule>
    <cfRule type="containsText" dxfId="93" priority="79" operator="containsText" text="Excellence">
      <formula>NOT(ISERROR(SEARCH("Excellence",I1)))</formula>
    </cfRule>
    <cfRule type="containsText" dxfId="92" priority="80" operator="containsText" text="Worlds Team">
      <formula>NOT(ISERROR(SEARCH("Worlds Team",I1)))</formula>
    </cfRule>
    <cfRule type="containsText" dxfId="91" priority="198" operator="containsText" text="National Team">
      <formula>NOT(ISERROR(SEARCH("National Team",I1)))</formula>
    </cfRule>
  </conditionalFormatting>
  <conditionalFormatting sqref="Q4:AK8">
    <cfRule type="expression" dxfId="90" priority="20">
      <formula>IF($AG4&lt;&gt;"",1,0)</formula>
    </cfRule>
  </conditionalFormatting>
  <conditionalFormatting sqref="AL4:BF8">
    <cfRule type="expression" dxfId="89" priority="17">
      <formula>IF($BB4&lt;&gt;"",1,0)</formula>
    </cfRule>
  </conditionalFormatting>
  <conditionalFormatting sqref="K1:K1048576 M1:M1048576">
    <cfRule type="expression" dxfId="88" priority="9016">
      <formula>IF(K1=$AL$1,1,0)</formula>
    </cfRule>
    <cfRule type="expression" dxfId="87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86" priority="21765" operator="between">
      <formula>CA$12</formula>
      <formula>100</formula>
    </cfRule>
    <cfRule type="cellIs" dxfId="85" priority="21766" operator="between">
      <formula>CA$11</formula>
      <formula>CA$12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4" priority="21837" operator="between">
      <formula>CA$16</formula>
      <formula>1000</formula>
    </cfRule>
    <cfRule type="cellIs" dxfId="83" priority="21838" operator="between">
      <formula>CA$15</formula>
      <formula>CA$16</formula>
    </cfRule>
    <cfRule type="cellIs" dxfId="82" priority="21839" operator="between">
      <formula>CA$14</formula>
      <formula>CA$15</formula>
    </cfRule>
    <cfRule type="cellIs" dxfId="81" priority="21840" operator="between">
      <formula>CA$13</formula>
      <formula>CA$14</formula>
    </cfRule>
  </conditionalFormatting>
  <conditionalFormatting sqref="BC1:BC1048576 AH1:AH1048576">
    <cfRule type="expression" dxfId="80" priority="21981">
      <formula>IF(AND(AH1&gt;=AJ$12,AH1&lt;1000,AG1=""),1,0)</formula>
    </cfRule>
    <cfRule type="expression" dxfId="79" priority="21982">
      <formula>IF(AND(AH1&gt;=AJ$11,AH1&lt;AJ$12,AG1=""),1,0)</formula>
    </cfRule>
  </conditionalFormatting>
  <conditionalFormatting sqref="AI1:AI1048576 BD1:BD1048576">
    <cfRule type="expression" dxfId="78" priority="21993">
      <formula>IF(AND(AI1&gt;=AJ$16,AI1&lt;1000,AG1=""),1,0)</formula>
    </cfRule>
    <cfRule type="expression" dxfId="77" priority="21994">
      <formula>IF(AND(AI1&gt;=AJ$15,AI1&lt;AJ$16,AG1=""),1,0)</formula>
    </cfRule>
    <cfRule type="expression" dxfId="76" priority="21995">
      <formula>IF(AND(AI1&gt;=AJ$14,AI1&lt;AJ$15,AG1=""),1,0)</formula>
    </cfRule>
    <cfRule type="expression" dxfId="75" priority="21996">
      <formula>IF(AND(AI1&gt;=AJ$13,AI1&lt;AJ$14,AG1=""),1,0)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321" width="10.83203125" hidden="1" customWidth="1"/>
  </cols>
  <sheetData>
    <row r="1" spans="1:321" ht="16" customHeight="1" x14ac:dyDescent="0.2">
      <c r="A1" s="124" t="s">
        <v>1</v>
      </c>
      <c r="B1" s="124" t="s">
        <v>41</v>
      </c>
      <c r="C1" s="124" t="s">
        <v>0</v>
      </c>
      <c r="D1" s="124" t="s">
        <v>98</v>
      </c>
      <c r="E1" s="124" t="s">
        <v>2</v>
      </c>
      <c r="F1" s="130" t="s">
        <v>122</v>
      </c>
      <c r="G1" s="130" t="s">
        <v>123</v>
      </c>
      <c r="H1" s="130" t="s">
        <v>15</v>
      </c>
      <c r="I1" s="124" t="s">
        <v>16</v>
      </c>
      <c r="J1" s="126" t="s">
        <v>17</v>
      </c>
      <c r="K1" s="126" t="s">
        <v>59</v>
      </c>
      <c r="L1" s="126" t="s">
        <v>20</v>
      </c>
      <c r="M1" s="126" t="s">
        <v>59</v>
      </c>
      <c r="N1" s="127" t="s">
        <v>21</v>
      </c>
      <c r="O1" s="126" t="s">
        <v>60</v>
      </c>
      <c r="P1" s="126" t="s">
        <v>59</v>
      </c>
      <c r="Q1" s="120" t="s">
        <v>138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3" t="s">
        <v>156</v>
      </c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8" t="s">
        <v>121</v>
      </c>
      <c r="BH1" s="128"/>
      <c r="BI1" s="120" t="s">
        <v>181</v>
      </c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3" t="s">
        <v>186</v>
      </c>
      <c r="CD1" s="123"/>
      <c r="CE1" s="123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3"/>
      <c r="DR1" s="123"/>
      <c r="DS1" s="123"/>
      <c r="DT1" s="123"/>
      <c r="DU1" s="123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3"/>
      <c r="FF1" s="123"/>
      <c r="FG1" s="123"/>
      <c r="FH1" s="123"/>
      <c r="FI1" s="123"/>
      <c r="FJ1" s="123"/>
      <c r="FK1" s="123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3"/>
      <c r="GT1" s="123"/>
      <c r="GU1" s="123"/>
      <c r="GV1" s="123"/>
      <c r="GW1" s="123"/>
      <c r="GX1" s="123"/>
      <c r="GY1" s="123"/>
      <c r="GZ1" s="123"/>
      <c r="HA1" s="123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3"/>
      <c r="IH1" s="123"/>
      <c r="II1" s="123"/>
      <c r="IJ1" s="123"/>
      <c r="IK1" s="123"/>
      <c r="IL1" s="123"/>
      <c r="IM1" s="123"/>
      <c r="IN1" s="123"/>
      <c r="IO1" s="123"/>
      <c r="IP1" s="123"/>
      <c r="IQ1" s="123"/>
      <c r="IR1" s="123"/>
      <c r="IS1" s="123"/>
      <c r="IT1" s="123"/>
      <c r="IU1" s="123"/>
      <c r="IV1" s="123"/>
      <c r="IW1" s="123"/>
      <c r="IX1" s="123"/>
      <c r="IY1" s="123"/>
      <c r="IZ1" s="123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3"/>
      <c r="KF1" s="123"/>
      <c r="KG1" s="123"/>
      <c r="KH1" s="123"/>
      <c r="KI1" s="123"/>
      <c r="KJ1" s="123"/>
      <c r="KK1" s="123"/>
      <c r="KL1" s="123"/>
      <c r="KM1" s="123"/>
      <c r="KN1" s="123"/>
      <c r="KO1" s="120" t="s">
        <v>133</v>
      </c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</row>
    <row r="2" spans="1:321" x14ac:dyDescent="0.2">
      <c r="A2" s="124"/>
      <c r="B2" s="124"/>
      <c r="C2" s="124"/>
      <c r="D2" s="124"/>
      <c r="E2" s="124"/>
      <c r="F2" s="130"/>
      <c r="G2" s="130"/>
      <c r="H2" s="130"/>
      <c r="I2" s="124"/>
      <c r="J2" s="126"/>
      <c r="K2" s="126"/>
      <c r="L2" s="126"/>
      <c r="M2" s="126"/>
      <c r="N2" s="127"/>
      <c r="O2" s="126"/>
      <c r="P2" s="126"/>
      <c r="Q2" s="121" t="s">
        <v>44</v>
      </c>
      <c r="R2" s="121"/>
      <c r="S2" s="121"/>
      <c r="T2" s="121"/>
      <c r="U2" s="121" t="s">
        <v>47</v>
      </c>
      <c r="V2" s="121"/>
      <c r="W2" s="121"/>
      <c r="X2" s="121"/>
      <c r="Y2" s="121" t="s">
        <v>48</v>
      </c>
      <c r="Z2" s="121"/>
      <c r="AA2" s="121"/>
      <c r="AB2" s="121"/>
      <c r="AC2" s="129" t="s">
        <v>49</v>
      </c>
      <c r="AD2" s="129"/>
      <c r="AE2" s="129"/>
      <c r="AF2" s="129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2" t="s">
        <v>44</v>
      </c>
      <c r="AM2" s="122"/>
      <c r="AN2" s="122"/>
      <c r="AO2" s="122"/>
      <c r="AP2" s="122" t="s">
        <v>47</v>
      </c>
      <c r="AQ2" s="122"/>
      <c r="AR2" s="122"/>
      <c r="AS2" s="122"/>
      <c r="AT2" s="122" t="s">
        <v>48</v>
      </c>
      <c r="AU2" s="122"/>
      <c r="AV2" s="122"/>
      <c r="AW2" s="122"/>
      <c r="AX2" s="131" t="s">
        <v>49</v>
      </c>
      <c r="AY2" s="131"/>
      <c r="AZ2" s="131"/>
      <c r="BA2" s="131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1" t="s">
        <v>44</v>
      </c>
      <c r="BJ2" s="121"/>
      <c r="BK2" s="121"/>
      <c r="BL2" s="121"/>
      <c r="BM2" s="121" t="s">
        <v>47</v>
      </c>
      <c r="BN2" s="121"/>
      <c r="BO2" s="121"/>
      <c r="BP2" s="121"/>
      <c r="BQ2" s="121" t="s">
        <v>48</v>
      </c>
      <c r="BR2" s="121"/>
      <c r="BS2" s="121"/>
      <c r="BT2" s="121"/>
      <c r="BU2" s="132" t="s">
        <v>49</v>
      </c>
      <c r="BV2" s="132"/>
      <c r="BW2" s="132"/>
      <c r="BX2" s="132"/>
      <c r="BY2" s="60" t="s">
        <v>32</v>
      </c>
      <c r="BZ2" s="10" t="s">
        <v>31</v>
      </c>
      <c r="CA2" s="10" t="s">
        <v>30</v>
      </c>
      <c r="CB2" s="10" t="s">
        <v>25</v>
      </c>
      <c r="CC2" s="122" t="s">
        <v>44</v>
      </c>
      <c r="CD2" s="122"/>
      <c r="CE2" s="122"/>
      <c r="CF2" s="122"/>
      <c r="CG2" s="122" t="s">
        <v>47</v>
      </c>
      <c r="CH2" s="122"/>
      <c r="CI2" s="122"/>
      <c r="CJ2" s="122"/>
      <c r="CK2" s="122" t="s">
        <v>48</v>
      </c>
      <c r="CL2" s="122"/>
      <c r="CM2" s="122"/>
      <c r="CN2" s="122"/>
      <c r="CO2" s="131" t="s">
        <v>49</v>
      </c>
      <c r="CP2" s="131"/>
      <c r="CQ2" s="131"/>
      <c r="CR2" s="131"/>
      <c r="CS2" s="59" t="s">
        <v>32</v>
      </c>
      <c r="CT2" s="13" t="s">
        <v>31</v>
      </c>
      <c r="CU2" s="13" t="s">
        <v>30</v>
      </c>
      <c r="CV2" s="13" t="s">
        <v>25</v>
      </c>
      <c r="CW2" s="121" t="s">
        <v>44</v>
      </c>
      <c r="CX2" s="121"/>
      <c r="CY2" s="121"/>
      <c r="CZ2" s="121"/>
      <c r="DA2" s="121" t="s">
        <v>47</v>
      </c>
      <c r="DB2" s="121"/>
      <c r="DC2" s="121"/>
      <c r="DD2" s="121"/>
      <c r="DE2" s="121" t="s">
        <v>48</v>
      </c>
      <c r="DF2" s="121"/>
      <c r="DG2" s="121"/>
      <c r="DH2" s="121"/>
      <c r="DI2" s="132" t="s">
        <v>49</v>
      </c>
      <c r="DJ2" s="132"/>
      <c r="DK2" s="132"/>
      <c r="DL2" s="132"/>
      <c r="DM2" s="60" t="s">
        <v>32</v>
      </c>
      <c r="DN2" s="10" t="s">
        <v>31</v>
      </c>
      <c r="DO2" s="10" t="s">
        <v>30</v>
      </c>
      <c r="DP2" s="10" t="s">
        <v>25</v>
      </c>
      <c r="DQ2" s="122" t="s">
        <v>44</v>
      </c>
      <c r="DR2" s="122"/>
      <c r="DS2" s="122"/>
      <c r="DT2" s="122"/>
      <c r="DU2" s="122" t="s">
        <v>47</v>
      </c>
      <c r="DV2" s="122"/>
      <c r="DW2" s="122"/>
      <c r="DX2" s="122"/>
      <c r="DY2" s="122" t="s">
        <v>48</v>
      </c>
      <c r="DZ2" s="122"/>
      <c r="EA2" s="122"/>
      <c r="EB2" s="122"/>
      <c r="EC2" s="131" t="s">
        <v>49</v>
      </c>
      <c r="ED2" s="131"/>
      <c r="EE2" s="131"/>
      <c r="EF2" s="131"/>
      <c r="EG2" s="22" t="s">
        <v>32</v>
      </c>
      <c r="EH2" s="13" t="s">
        <v>31</v>
      </c>
      <c r="EI2" s="13" t="s">
        <v>30</v>
      </c>
      <c r="EJ2" s="13" t="s">
        <v>25</v>
      </c>
      <c r="EK2" s="121" t="s">
        <v>44</v>
      </c>
      <c r="EL2" s="121"/>
      <c r="EM2" s="121"/>
      <c r="EN2" s="121"/>
      <c r="EO2" s="121" t="s">
        <v>47</v>
      </c>
      <c r="EP2" s="121"/>
      <c r="EQ2" s="121"/>
      <c r="ER2" s="121"/>
      <c r="ES2" s="121" t="s">
        <v>48</v>
      </c>
      <c r="ET2" s="121"/>
      <c r="EU2" s="121"/>
      <c r="EV2" s="121"/>
      <c r="EW2" s="132" t="s">
        <v>49</v>
      </c>
      <c r="EX2" s="132"/>
      <c r="EY2" s="132"/>
      <c r="EZ2" s="132"/>
      <c r="FA2" s="23" t="s">
        <v>32</v>
      </c>
      <c r="FB2" s="10" t="s">
        <v>31</v>
      </c>
      <c r="FC2" s="10" t="s">
        <v>30</v>
      </c>
      <c r="FD2" s="10" t="s">
        <v>25</v>
      </c>
      <c r="FE2" s="122" t="s">
        <v>44</v>
      </c>
      <c r="FF2" s="122"/>
      <c r="FG2" s="122"/>
      <c r="FH2" s="122"/>
      <c r="FI2" s="122" t="s">
        <v>47</v>
      </c>
      <c r="FJ2" s="122"/>
      <c r="FK2" s="122"/>
      <c r="FL2" s="122"/>
      <c r="FM2" s="122" t="s">
        <v>48</v>
      </c>
      <c r="FN2" s="122"/>
      <c r="FO2" s="122"/>
      <c r="FP2" s="122"/>
      <c r="FQ2" s="131" t="s">
        <v>49</v>
      </c>
      <c r="FR2" s="131"/>
      <c r="FS2" s="131"/>
      <c r="FT2" s="131"/>
      <c r="FU2" s="22" t="s">
        <v>32</v>
      </c>
      <c r="FV2" s="13" t="s">
        <v>31</v>
      </c>
      <c r="FW2" s="13" t="s">
        <v>30</v>
      </c>
      <c r="FX2" s="13" t="s">
        <v>25</v>
      </c>
      <c r="FY2" s="121" t="s">
        <v>44</v>
      </c>
      <c r="FZ2" s="121"/>
      <c r="GA2" s="121"/>
      <c r="GB2" s="121"/>
      <c r="GC2" s="121" t="s">
        <v>47</v>
      </c>
      <c r="GD2" s="121"/>
      <c r="GE2" s="121"/>
      <c r="GF2" s="121"/>
      <c r="GG2" s="121" t="s">
        <v>48</v>
      </c>
      <c r="GH2" s="121"/>
      <c r="GI2" s="121"/>
      <c r="GJ2" s="121"/>
      <c r="GK2" s="132" t="s">
        <v>49</v>
      </c>
      <c r="GL2" s="132"/>
      <c r="GM2" s="132"/>
      <c r="GN2" s="132"/>
      <c r="GO2" s="23" t="s">
        <v>32</v>
      </c>
      <c r="GP2" s="10" t="s">
        <v>31</v>
      </c>
      <c r="GQ2" s="10" t="s">
        <v>30</v>
      </c>
      <c r="GR2" s="10" t="s">
        <v>25</v>
      </c>
      <c r="GS2" s="122" t="s">
        <v>44</v>
      </c>
      <c r="GT2" s="122"/>
      <c r="GU2" s="122"/>
      <c r="GV2" s="122"/>
      <c r="GW2" s="122" t="s">
        <v>47</v>
      </c>
      <c r="GX2" s="122"/>
      <c r="GY2" s="122"/>
      <c r="GZ2" s="122"/>
      <c r="HA2" s="122" t="s">
        <v>48</v>
      </c>
      <c r="HB2" s="122"/>
      <c r="HC2" s="122"/>
      <c r="HD2" s="122"/>
      <c r="HE2" s="131" t="s">
        <v>49</v>
      </c>
      <c r="HF2" s="131"/>
      <c r="HG2" s="131"/>
      <c r="HH2" s="131"/>
      <c r="HI2" s="22" t="s">
        <v>32</v>
      </c>
      <c r="HJ2" s="13" t="s">
        <v>31</v>
      </c>
      <c r="HK2" s="13" t="s">
        <v>30</v>
      </c>
      <c r="HL2" s="13" t="s">
        <v>25</v>
      </c>
      <c r="HM2" s="121" t="s">
        <v>44</v>
      </c>
      <c r="HN2" s="121"/>
      <c r="HO2" s="121"/>
      <c r="HP2" s="121"/>
      <c r="HQ2" s="121" t="s">
        <v>47</v>
      </c>
      <c r="HR2" s="121"/>
      <c r="HS2" s="121"/>
      <c r="HT2" s="121"/>
      <c r="HU2" s="121" t="s">
        <v>48</v>
      </c>
      <c r="HV2" s="121"/>
      <c r="HW2" s="121"/>
      <c r="HX2" s="121"/>
      <c r="HY2" s="132" t="s">
        <v>49</v>
      </c>
      <c r="HZ2" s="132"/>
      <c r="IA2" s="132"/>
      <c r="IB2" s="132"/>
      <c r="IC2" s="23" t="s">
        <v>32</v>
      </c>
      <c r="ID2" s="10" t="s">
        <v>31</v>
      </c>
      <c r="IE2" s="10" t="s">
        <v>30</v>
      </c>
      <c r="IF2" s="10" t="s">
        <v>25</v>
      </c>
      <c r="IG2" s="122" t="s">
        <v>44</v>
      </c>
      <c r="IH2" s="122"/>
      <c r="II2" s="122"/>
      <c r="IJ2" s="122"/>
      <c r="IK2" s="122" t="s">
        <v>47</v>
      </c>
      <c r="IL2" s="122"/>
      <c r="IM2" s="122"/>
      <c r="IN2" s="122"/>
      <c r="IO2" s="122" t="s">
        <v>48</v>
      </c>
      <c r="IP2" s="122"/>
      <c r="IQ2" s="122"/>
      <c r="IR2" s="122"/>
      <c r="IS2" s="131" t="s">
        <v>49</v>
      </c>
      <c r="IT2" s="131"/>
      <c r="IU2" s="131"/>
      <c r="IV2" s="131"/>
      <c r="IW2" s="22" t="s">
        <v>32</v>
      </c>
      <c r="IX2" s="13" t="s">
        <v>31</v>
      </c>
      <c r="IY2" s="13" t="s">
        <v>30</v>
      </c>
      <c r="IZ2" s="13" t="s">
        <v>25</v>
      </c>
      <c r="JA2" s="121" t="s">
        <v>44</v>
      </c>
      <c r="JB2" s="121"/>
      <c r="JC2" s="121"/>
      <c r="JD2" s="121"/>
      <c r="JE2" s="121" t="s">
        <v>47</v>
      </c>
      <c r="JF2" s="121"/>
      <c r="JG2" s="121"/>
      <c r="JH2" s="121"/>
      <c r="JI2" s="121" t="s">
        <v>48</v>
      </c>
      <c r="JJ2" s="121"/>
      <c r="JK2" s="121"/>
      <c r="JL2" s="121"/>
      <c r="JM2" s="132" t="s">
        <v>49</v>
      </c>
      <c r="JN2" s="132"/>
      <c r="JO2" s="132"/>
      <c r="JP2" s="132"/>
      <c r="JQ2" s="23" t="s">
        <v>32</v>
      </c>
      <c r="JR2" s="10" t="s">
        <v>31</v>
      </c>
      <c r="JS2" s="10" t="s">
        <v>30</v>
      </c>
      <c r="JT2" s="10" t="s">
        <v>25</v>
      </c>
      <c r="JU2" s="122" t="s">
        <v>44</v>
      </c>
      <c r="JV2" s="122"/>
      <c r="JW2" s="122"/>
      <c r="JX2" s="122"/>
      <c r="JY2" s="122" t="s">
        <v>47</v>
      </c>
      <c r="JZ2" s="122"/>
      <c r="KA2" s="122"/>
      <c r="KB2" s="122"/>
      <c r="KC2" s="122" t="s">
        <v>48</v>
      </c>
      <c r="KD2" s="122"/>
      <c r="KE2" s="122"/>
      <c r="KF2" s="122"/>
      <c r="KG2" s="131" t="s">
        <v>49</v>
      </c>
      <c r="KH2" s="131"/>
      <c r="KI2" s="131"/>
      <c r="KJ2" s="131"/>
      <c r="KK2" s="22" t="s">
        <v>32</v>
      </c>
      <c r="KL2" s="13" t="s">
        <v>31</v>
      </c>
      <c r="KM2" s="13" t="s">
        <v>30</v>
      </c>
      <c r="KN2" s="13" t="s">
        <v>25</v>
      </c>
      <c r="KO2" s="121" t="s">
        <v>44</v>
      </c>
      <c r="KP2" s="121"/>
      <c r="KQ2" s="121"/>
      <c r="KR2" s="121"/>
      <c r="KS2" s="121" t="s">
        <v>47</v>
      </c>
      <c r="KT2" s="121"/>
      <c r="KU2" s="121"/>
      <c r="KV2" s="121"/>
      <c r="KW2" s="121" t="s">
        <v>48</v>
      </c>
      <c r="KX2" s="121"/>
      <c r="KY2" s="121"/>
      <c r="KZ2" s="121"/>
      <c r="LA2" s="129" t="s">
        <v>49</v>
      </c>
      <c r="LB2" s="129"/>
      <c r="LC2" s="129"/>
      <c r="LD2" s="129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4"/>
      <c r="B3" s="124"/>
      <c r="C3" s="124"/>
      <c r="D3" s="124"/>
      <c r="E3" s="124"/>
      <c r="F3" s="130"/>
      <c r="G3" s="130"/>
      <c r="H3" s="130"/>
      <c r="I3" s="124"/>
      <c r="J3" s="126"/>
      <c r="K3" s="126"/>
      <c r="L3" s="126"/>
      <c r="M3" s="126"/>
      <c r="N3" s="127"/>
      <c r="O3" s="126"/>
      <c r="P3" s="126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95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45</v>
      </c>
      <c r="AO3" s="59" t="s">
        <v>46</v>
      </c>
      <c r="AP3" s="59" t="s">
        <v>22</v>
      </c>
      <c r="AQ3" s="59" t="s">
        <v>14</v>
      </c>
      <c r="AR3" s="59" t="s">
        <v>45</v>
      </c>
      <c r="AS3" s="59" t="s">
        <v>46</v>
      </c>
      <c r="AT3" s="59" t="s">
        <v>22</v>
      </c>
      <c r="AU3" s="59" t="s">
        <v>14</v>
      </c>
      <c r="AV3" s="59" t="s">
        <v>45</v>
      </c>
      <c r="AW3" s="59" t="s">
        <v>46</v>
      </c>
      <c r="AX3" s="61" t="s">
        <v>22</v>
      </c>
      <c r="AY3" s="61" t="s">
        <v>14</v>
      </c>
      <c r="AZ3" s="61" t="s">
        <v>45</v>
      </c>
      <c r="BA3" s="61" t="s">
        <v>46</v>
      </c>
      <c r="BB3" s="81" t="s">
        <v>95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45</v>
      </c>
      <c r="BL3" s="60" t="s">
        <v>46</v>
      </c>
      <c r="BM3" s="60" t="s">
        <v>22</v>
      </c>
      <c r="BN3" s="60" t="s">
        <v>14</v>
      </c>
      <c r="BO3" s="60" t="s">
        <v>45</v>
      </c>
      <c r="BP3" s="60" t="s">
        <v>46</v>
      </c>
      <c r="BQ3" s="60" t="s">
        <v>22</v>
      </c>
      <c r="BR3" s="60" t="s">
        <v>14</v>
      </c>
      <c r="BS3" s="60" t="s">
        <v>45</v>
      </c>
      <c r="BT3" s="60" t="s">
        <v>46</v>
      </c>
      <c r="BU3" s="62" t="s">
        <v>22</v>
      </c>
      <c r="BV3" s="62" t="s">
        <v>14</v>
      </c>
      <c r="BW3" s="62" t="s">
        <v>45</v>
      </c>
      <c r="BX3" s="62" t="s">
        <v>46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45</v>
      </c>
      <c r="CF3" s="59" t="s">
        <v>46</v>
      </c>
      <c r="CG3" s="59" t="s">
        <v>22</v>
      </c>
      <c r="CH3" s="59" t="s">
        <v>14</v>
      </c>
      <c r="CI3" s="59" t="s">
        <v>45</v>
      </c>
      <c r="CJ3" s="59" t="s">
        <v>46</v>
      </c>
      <c r="CK3" s="59" t="s">
        <v>22</v>
      </c>
      <c r="CL3" s="59" t="s">
        <v>14</v>
      </c>
      <c r="CM3" s="59" t="s">
        <v>45</v>
      </c>
      <c r="CN3" s="59" t="s">
        <v>46</v>
      </c>
      <c r="CO3" s="61" t="s">
        <v>22</v>
      </c>
      <c r="CP3" s="61" t="s">
        <v>14</v>
      </c>
      <c r="CQ3" s="61" t="s">
        <v>45</v>
      </c>
      <c r="CR3" s="61" t="s">
        <v>46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45</v>
      </c>
      <c r="CZ3" s="60" t="s">
        <v>46</v>
      </c>
      <c r="DA3" s="60" t="s">
        <v>22</v>
      </c>
      <c r="DB3" s="60" t="s">
        <v>14</v>
      </c>
      <c r="DC3" s="60" t="s">
        <v>45</v>
      </c>
      <c r="DD3" s="60" t="s">
        <v>46</v>
      </c>
      <c r="DE3" s="60" t="s">
        <v>22</v>
      </c>
      <c r="DF3" s="60" t="s">
        <v>14</v>
      </c>
      <c r="DG3" s="60" t="s">
        <v>45</v>
      </c>
      <c r="DH3" s="60" t="s">
        <v>46</v>
      </c>
      <c r="DI3" s="62" t="s">
        <v>22</v>
      </c>
      <c r="DJ3" s="62" t="s">
        <v>14</v>
      </c>
      <c r="DK3" s="62" t="s">
        <v>45</v>
      </c>
      <c r="DL3" s="62" t="s">
        <v>46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45</v>
      </c>
      <c r="DT3" s="30" t="s">
        <v>46</v>
      </c>
      <c r="DU3" s="30" t="s">
        <v>22</v>
      </c>
      <c r="DV3" s="30" t="s">
        <v>14</v>
      </c>
      <c r="DW3" s="30" t="s">
        <v>45</v>
      </c>
      <c r="DX3" s="30" t="s">
        <v>46</v>
      </c>
      <c r="DY3" s="30" t="s">
        <v>22</v>
      </c>
      <c r="DZ3" s="30" t="s">
        <v>14</v>
      </c>
      <c r="EA3" s="30" t="s">
        <v>45</v>
      </c>
      <c r="EB3" s="30" t="s">
        <v>46</v>
      </c>
      <c r="EC3" s="33" t="s">
        <v>22</v>
      </c>
      <c r="ED3" s="33" t="s">
        <v>14</v>
      </c>
      <c r="EE3" s="33" t="s">
        <v>45</v>
      </c>
      <c r="EF3" s="33" t="s">
        <v>46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45</v>
      </c>
      <c r="EN3" s="31" t="s">
        <v>46</v>
      </c>
      <c r="EO3" s="31" t="s">
        <v>22</v>
      </c>
      <c r="EP3" s="31" t="s">
        <v>14</v>
      </c>
      <c r="EQ3" s="31" t="s">
        <v>45</v>
      </c>
      <c r="ER3" s="31" t="s">
        <v>46</v>
      </c>
      <c r="ES3" s="31" t="s">
        <v>22</v>
      </c>
      <c r="ET3" s="31" t="s">
        <v>14</v>
      </c>
      <c r="EU3" s="31" t="s">
        <v>45</v>
      </c>
      <c r="EV3" s="31" t="s">
        <v>46</v>
      </c>
      <c r="EW3" s="32" t="s">
        <v>22</v>
      </c>
      <c r="EX3" s="32" t="s">
        <v>14</v>
      </c>
      <c r="EY3" s="32" t="s">
        <v>45</v>
      </c>
      <c r="EZ3" s="32" t="s">
        <v>46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45</v>
      </c>
      <c r="FH3" s="30" t="s">
        <v>46</v>
      </c>
      <c r="FI3" s="30" t="s">
        <v>22</v>
      </c>
      <c r="FJ3" s="30" t="s">
        <v>14</v>
      </c>
      <c r="FK3" s="30" t="s">
        <v>45</v>
      </c>
      <c r="FL3" s="30" t="s">
        <v>46</v>
      </c>
      <c r="FM3" s="30" t="s">
        <v>22</v>
      </c>
      <c r="FN3" s="30" t="s">
        <v>14</v>
      </c>
      <c r="FO3" s="30" t="s">
        <v>45</v>
      </c>
      <c r="FP3" s="30" t="s">
        <v>46</v>
      </c>
      <c r="FQ3" s="33" t="s">
        <v>22</v>
      </c>
      <c r="FR3" s="33" t="s">
        <v>14</v>
      </c>
      <c r="FS3" s="33" t="s">
        <v>45</v>
      </c>
      <c r="FT3" s="33" t="s">
        <v>46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45</v>
      </c>
      <c r="GB3" s="31" t="s">
        <v>46</v>
      </c>
      <c r="GC3" s="31" t="s">
        <v>22</v>
      </c>
      <c r="GD3" s="31" t="s">
        <v>14</v>
      </c>
      <c r="GE3" s="31" t="s">
        <v>45</v>
      </c>
      <c r="GF3" s="31" t="s">
        <v>46</v>
      </c>
      <c r="GG3" s="31" t="s">
        <v>22</v>
      </c>
      <c r="GH3" s="31" t="s">
        <v>14</v>
      </c>
      <c r="GI3" s="31" t="s">
        <v>45</v>
      </c>
      <c r="GJ3" s="31" t="s">
        <v>46</v>
      </c>
      <c r="GK3" s="32" t="s">
        <v>22</v>
      </c>
      <c r="GL3" s="32" t="s">
        <v>14</v>
      </c>
      <c r="GM3" s="32" t="s">
        <v>45</v>
      </c>
      <c r="GN3" s="32" t="s">
        <v>46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45</v>
      </c>
      <c r="GV3" s="30" t="s">
        <v>46</v>
      </c>
      <c r="GW3" s="30" t="s">
        <v>22</v>
      </c>
      <c r="GX3" s="30" t="s">
        <v>14</v>
      </c>
      <c r="GY3" s="30" t="s">
        <v>45</v>
      </c>
      <c r="GZ3" s="30" t="s">
        <v>46</v>
      </c>
      <c r="HA3" s="30" t="s">
        <v>22</v>
      </c>
      <c r="HB3" s="30" t="s">
        <v>14</v>
      </c>
      <c r="HC3" s="30" t="s">
        <v>45</v>
      </c>
      <c r="HD3" s="30" t="s">
        <v>46</v>
      </c>
      <c r="HE3" s="33" t="s">
        <v>22</v>
      </c>
      <c r="HF3" s="33" t="s">
        <v>14</v>
      </c>
      <c r="HG3" s="33" t="s">
        <v>45</v>
      </c>
      <c r="HH3" s="33" t="s">
        <v>46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45</v>
      </c>
      <c r="HP3" s="31" t="s">
        <v>46</v>
      </c>
      <c r="HQ3" s="31" t="s">
        <v>22</v>
      </c>
      <c r="HR3" s="31" t="s">
        <v>14</v>
      </c>
      <c r="HS3" s="31" t="s">
        <v>45</v>
      </c>
      <c r="HT3" s="31" t="s">
        <v>46</v>
      </c>
      <c r="HU3" s="31" t="s">
        <v>22</v>
      </c>
      <c r="HV3" s="31" t="s">
        <v>14</v>
      </c>
      <c r="HW3" s="31" t="s">
        <v>45</v>
      </c>
      <c r="HX3" s="31" t="s">
        <v>46</v>
      </c>
      <c r="HY3" s="32" t="s">
        <v>22</v>
      </c>
      <c r="HZ3" s="32" t="s">
        <v>14</v>
      </c>
      <c r="IA3" s="32" t="s">
        <v>45</v>
      </c>
      <c r="IB3" s="32" t="s">
        <v>46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45</v>
      </c>
      <c r="IJ3" s="30" t="s">
        <v>46</v>
      </c>
      <c r="IK3" s="30" t="s">
        <v>22</v>
      </c>
      <c r="IL3" s="30" t="s">
        <v>14</v>
      </c>
      <c r="IM3" s="30" t="s">
        <v>45</v>
      </c>
      <c r="IN3" s="30" t="s">
        <v>46</v>
      </c>
      <c r="IO3" s="30" t="s">
        <v>22</v>
      </c>
      <c r="IP3" s="30" t="s">
        <v>14</v>
      </c>
      <c r="IQ3" s="30" t="s">
        <v>45</v>
      </c>
      <c r="IR3" s="30" t="s">
        <v>46</v>
      </c>
      <c r="IS3" s="33" t="s">
        <v>22</v>
      </c>
      <c r="IT3" s="33" t="s">
        <v>14</v>
      </c>
      <c r="IU3" s="33" t="s">
        <v>45</v>
      </c>
      <c r="IV3" s="33" t="s">
        <v>46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45</v>
      </c>
      <c r="JD3" s="31" t="s">
        <v>46</v>
      </c>
      <c r="JE3" s="31" t="s">
        <v>22</v>
      </c>
      <c r="JF3" s="31" t="s">
        <v>14</v>
      </c>
      <c r="JG3" s="31" t="s">
        <v>45</v>
      </c>
      <c r="JH3" s="31" t="s">
        <v>46</v>
      </c>
      <c r="JI3" s="31" t="s">
        <v>22</v>
      </c>
      <c r="JJ3" s="31" t="s">
        <v>14</v>
      </c>
      <c r="JK3" s="31" t="s">
        <v>45</v>
      </c>
      <c r="JL3" s="31" t="s">
        <v>46</v>
      </c>
      <c r="JM3" s="32" t="s">
        <v>22</v>
      </c>
      <c r="JN3" s="32" t="s">
        <v>14</v>
      </c>
      <c r="JO3" s="32" t="s">
        <v>45</v>
      </c>
      <c r="JP3" s="32" t="s">
        <v>46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45</v>
      </c>
      <c r="JX3" s="30" t="s">
        <v>46</v>
      </c>
      <c r="JY3" s="30" t="s">
        <v>22</v>
      </c>
      <c r="JZ3" s="30" t="s">
        <v>14</v>
      </c>
      <c r="KA3" s="30" t="s">
        <v>45</v>
      </c>
      <c r="KB3" s="30" t="s">
        <v>46</v>
      </c>
      <c r="KC3" s="30" t="s">
        <v>22</v>
      </c>
      <c r="KD3" s="30" t="s">
        <v>14</v>
      </c>
      <c r="KE3" s="30" t="s">
        <v>45</v>
      </c>
      <c r="KF3" s="30" t="s">
        <v>46</v>
      </c>
      <c r="KG3" s="33" t="s">
        <v>22</v>
      </c>
      <c r="KH3" s="33" t="s">
        <v>14</v>
      </c>
      <c r="KI3" s="33" t="s">
        <v>45</v>
      </c>
      <c r="KJ3" s="33" t="s">
        <v>46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45</v>
      </c>
      <c r="KR3" s="111" t="s">
        <v>46</v>
      </c>
      <c r="KS3" s="111" t="s">
        <v>22</v>
      </c>
      <c r="KT3" s="111" t="s">
        <v>14</v>
      </c>
      <c r="KU3" s="111" t="s">
        <v>45</v>
      </c>
      <c r="KV3" s="111" t="s">
        <v>46</v>
      </c>
      <c r="KW3" s="111" t="s">
        <v>22</v>
      </c>
      <c r="KX3" s="111" t="s">
        <v>14</v>
      </c>
      <c r="KY3" s="111" t="s">
        <v>45</v>
      </c>
      <c r="KZ3" s="111" t="s">
        <v>46</v>
      </c>
      <c r="LA3" s="112" t="s">
        <v>22</v>
      </c>
      <c r="LB3" s="112" t="s">
        <v>14</v>
      </c>
      <c r="LC3" s="112" t="s">
        <v>45</v>
      </c>
      <c r="LD3" s="112" t="s">
        <v>46</v>
      </c>
      <c r="LE3" s="111" t="s">
        <v>95</v>
      </c>
      <c r="LF3" s="11"/>
      <c r="LG3" s="10"/>
      <c r="LH3" s="11"/>
      <c r="LI3" s="11"/>
    </row>
    <row r="4" spans="1:321" x14ac:dyDescent="0.2">
      <c r="A4" s="6">
        <f>IF(AND(F4="P",H4="P"),SUMPRODUCT((F$4:F$6="P")*(H$4:H$6="P")*(E$4:E$6&gt;E4))+1,IF(H4="P",SUMPRODUCT((F$4:F$6="")*(H$4:H$6="P")*(E$4:E$6&gt;E4))+1+SUMPRODUCT((F$4:F$6="P")*(H$4:H$6="P")),""))</f>
        <v>1</v>
      </c>
      <c r="B4" s="9" t="s">
        <v>56</v>
      </c>
      <c r="C4" s="5" t="s">
        <v>3</v>
      </c>
      <c r="D4" s="29">
        <v>1991</v>
      </c>
      <c r="E4" s="16">
        <f>SUM(J4:N4)</f>
        <v>134.19999999999999</v>
      </c>
      <c r="F4" s="4" t="str">
        <f>IF(OR(AND(AH4&gt;=AJ$8,AI4&gt;=AJ$10,AI4&lt;&gt;"",AG4=""),AND(BC4&gt;=BE$8,BD4&gt;=BE$10,BD4&lt;&gt;"",BB4=""),AND(BY4&gt;=CA$8,BZ4&gt;=CA$10,BZ4&lt;&gt;""),AND(CS4&gt;=CU$8,CT4&gt;=CU$10,CT4&lt;&gt;""),AND(DM4&gt;=DO$8,DN4&gt;=DO$10,DN4&lt;&gt;""),AND(EG4&gt;=EI$8,EH4&gt;=EI$10,EH4&lt;&gt;""),AND(FA4&gt;=FC$8,FB4&gt;=FC$10,FB4&lt;&gt;""),AND(FU4&gt;=FW$8,FV4&gt;=FW$10,FV4&lt;&gt;""),AND(GO4&gt;=GQ$8,GP4&gt;=GQ$10,GP4&lt;&gt;""),AND(HI4&gt;=HK$8,HJ4&gt;=HK$10,HJ4&lt;&gt;""),AND(IC4&gt;=IE$8,ID4&gt;=IE$10,ID4&lt;&gt;""),AND(IW4&gt;=IY$8,IX4&gt;=IY$10,IX4&lt;&gt;""),AND(JQ4&gt;=JS$8,JR4&gt;=JS$10,JR4&lt;&gt;""),AND(KK4&gt;=KM$8,KL4&gt;=KM$10,KL4&lt;&gt;"")),"P","")</f>
        <v>P</v>
      </c>
      <c r="G4" s="4" t="str">
        <f>IF(OR(AND(AH4&gt;=AJ$8,AI4&gt;=AJ$11,AI4&lt;&gt;"",AG4=""),AND(BC4&gt;=BE$8,BD4&gt;=BE$11,BD4&lt;&gt;"",BB4=""),AND(BY4&gt;=CA$8,BZ4&gt;=CA$11,BZ4&lt;&gt;""),AND(CS4&gt;=CU$8,CT4&gt;=CU$11,CT4&lt;&gt;""),AND(DM4&gt;=DO$8,DN4&gt;=DO$11,DN4&lt;&gt;""),AND(EG4&gt;=EI$8,EH4&gt;=EI$11,EH4&lt;&gt;""),AND(FA4&gt;=FC$8,FB4&gt;=FC$11,FB4&lt;&gt;""),AND(FU4&gt;=FW$8,FV4&gt;=FW$11,FV4&lt;&gt;""),AND(GO4&gt;=GQ$8,GP4&gt;=GQ$11,GP4&lt;&gt;""),AND(HI4&gt;=HK$8,HJ4&gt;=HK$11,HJ4&lt;&gt;""),AND(IC4&gt;=IE$8,ID4&gt;=IE$11,ID4&lt;&gt;""),AND(IW4&gt;=IY$8,IX4&gt;=IY$11,IX4&lt;&gt;""),AND(JQ4&gt;=JS$8,JR4&gt;=JS$11,JR4&lt;&gt;""),AND(KK4&gt;=KM$8,KL4&gt;=KM$11,KL4&lt;&gt;"")),"P","")</f>
        <v>P</v>
      </c>
      <c r="H4" s="4" t="str">
        <f>IF(OR(AND(AI4&gt;=AJ$10,AI4&lt;&gt;"",AG4=""),AND(BD4&gt;=BE$10,BD4&lt;&gt;"",BB4=""),AND(BZ4&gt;=CA$10,BZ4&lt;&gt;""),AND(CT4&gt;=CU$10,CT4&lt;&gt;""),AND(DN4&gt;=DO$10,DN4&lt;&gt;""),AND(EH4&gt;=EI$10,EH4&lt;&gt;""),AND(FB4&gt;=FC$10,FB4&lt;&gt;""),AND(FV4&gt;=FW$10,FV4&lt;&gt;""),AND(GP4&gt;=GQ$10,GP4&lt;&gt;""),AND(HJ4&gt;=HK$10,HJ4&lt;&gt;""),AND(ID4&gt;=IE$10,ID4&lt;&gt;""),AND(IX4&gt;=IY$10,IX4&lt;&gt;""),AND(JR4&gt;=JS$10,JR4&lt;&gt;""),AND(KL4&gt;=KM$10,KL4&lt;&gt;"")),"P","")</f>
        <v>P</v>
      </c>
      <c r="I4" t="str">
        <f>IF(AND(H4="P",F4=""),"No DD",IF(OR(AND(AI4&gt;=AJ$13,AI4&lt;&gt;"",AH4&gt;=AJ$9,AH4&lt;&gt;"",AG4=""),AND(BD4&gt;=BE$13,BD4&lt;&gt;"",BC4&gt;=BE$9,BC4&lt;&gt;"",BB4=""),AND(BZ4&gt;=CA$13,BZ4&lt;&gt;"",BY4&gt;=CA$9,BY4&lt;&gt;""),AND(CT4&gt;=CU$13,CT4&lt;&gt;"",CS4&gt;=CU$9,CS4&lt;&gt;""),AND(DN4&gt;=DO$13,DN4&lt;&gt;"",DM4&gt;=DO$9,DM4&lt;&gt;""),AND(EH4&gt;=EI$13,EH4&lt;&gt;"",EG4&gt;=EI$9,EG4&lt;&gt;""),AND(FB4&gt;=FC$13,FB4&lt;&gt;"",FA4&gt;=FC$9,FA4&lt;&gt;""),AND(FV4&gt;=FW$13,FV4&lt;&gt;"",FU4&gt;=FW$9,FU4&lt;&gt;""),AND(GP4&gt;=GQ$13,GP4&lt;&gt;"",GO4&gt;=GQ$9,GO4&lt;&gt;""),AND(HJ4&gt;=HK$13,HJ4&lt;&gt;"",HI4&gt;=HK$9,HI4&lt;&gt;""),AND(ID4&gt;=IE$13,ID4&lt;&gt;"",IC4&gt;=IE$9,IC4&lt;&gt;""),AND(IX4&gt;=IY$13,IX4&lt;&gt;"",IW4&gt;=IY$9,IW4&lt;&gt;""),AND(JR4&gt;=JS$13,JR4&lt;&gt;"",JQ4&gt;=JS$9,JQ4&lt;&gt;""),AND(KL4&gt;=KM$13,KL4&lt;&gt;"",KK4&gt;=KM$9,KK4&lt;&gt;"")),"Merit",IF(OR(AND(AI4&gt;=AJ$12,AI4&lt;&gt;"",AH4&gt;=AJ$9,AH4&lt;&gt;"",AG4=""),AND(BD4&gt;=BE$12,BD4&lt;&gt;"",BC4&gt;=BE$9,BC4&lt;&gt;"",BB4=""),AND(BZ4&gt;=CA$12,BZ4&lt;&gt;"",BY4&gt;=CA$9,BY4&lt;&gt;""),AND(CT4&gt;=CU$12,CT4&lt;&gt;"",CS4&gt;=CU$9,CS4&lt;&gt;""),AND(DN4&gt;=DO$12,DN4&lt;&gt;"",DM4&gt;=DO$9,DM4&lt;&gt;""),AND(EH4&gt;=EI$12,EH4&lt;&gt;"",EG4&gt;=EI$9,EG4&lt;&gt;""),AND(FB4&gt;=FC$12,FB4&lt;&gt;"",FA4&gt;=FC$9,FA4&lt;&gt;""),AND(FV4&gt;=FW$12,FV4&lt;&gt;"",FU4&gt;=FW$9,FU4&lt;&gt;""),AND(GP4&gt;=GQ$12,GP4&lt;&gt;"",GO4&gt;=GQ$9,GO4&lt;&gt;""),AND(HJ4&gt;=HK$12,HJ4&lt;&gt;"",HI4&gt;=HK$9,HI4&lt;&gt;""),AND(ID4&gt;=IE$12,ID4&lt;&gt;"",IC4&gt;=IE$9,IC4&lt;&gt;""),AND(IX4&gt;=IY$12,IX4&lt;&gt;"",IW4&gt;=IY$9,IW4&lt;&gt;""),AND(JR4&gt;=JS$12,JR4&lt;&gt;"",JQ4&gt;=JS$9,JQ4&lt;&gt;""),AND(KL4&gt;=KM$12,KL4&lt;&gt;"",KK4&gt;=KM$9,KK4&lt;&gt;"")),"Excellence",IF(OR(AND(AI4&gt;=AJ$11,AI4&lt;&gt;"",AH4&gt;=AJ$8,AH4&lt;&gt;"",AG4=""),AND(BD4&gt;=BE$11,BD4&lt;&gt;"",BC4&gt;=BE$8,BC4&lt;&gt;"",BB4=""),AND(BZ4&gt;=CA$11,BZ4&lt;&gt;"",BY4&gt;=CA$8,BY4&lt;&gt;""),AND(CT4&gt;=CU$11,CT4&lt;&gt;"",CS4&gt;=CU$8,CS4&lt;&gt;""),AND(DN4&gt;=DO$11,DN4&lt;&gt;"",DM4&gt;=DO$8,DM4&lt;&gt;""),AND(EH4&gt;=EI$11,EH4&lt;&gt;"",EG4&gt;=EI$8,EG4&lt;&gt;""),AND(FB4&gt;=FC$11,FB4&lt;&gt;"",FA4&gt;=FC$8,FA4&lt;&gt;""),AND(FV4&gt;=FW$11,FV4&lt;&gt;"",FU4&gt;=FW$8,FU4&lt;&gt;""),AND(GP4&gt;=GQ$11,GP4&lt;&gt;"",GO4&gt;=GQ$8,GO4&lt;&gt;""),AND(HJ4&gt;=HK$11,HJ4&lt;&gt;"",HI4&gt;=HK$8,HI4&lt;&gt;""),AND(ID4&gt;=IE$11,ID4&lt;&gt;"",IC4&gt;=IE$8,IC4&lt;&gt;""),AND(IX4&gt;=IY$11,IX4&lt;&gt;"",IW4&gt;=IY$8,IW4&lt;&gt;""),AND(JR4&gt;=JS$11,JR4&lt;&gt;"",JQ4&gt;=JS$8,JQ4&lt;&gt;""),AND(KL4&gt;=KM$11,KL4&lt;&gt;"",KK4&gt;=KM$8,KK4&lt;&gt;"")),"Worlds Team",IF(OR(AND(AI4&gt;=AJ$10,AI4&lt;&gt;"",AH4&gt;=AJ$8,AH4&lt;&gt;"",AG4=""),AND(BD4&gt;=BE$10,BD4&lt;&gt;"",BC4&gt;=BE$8,BC4&lt;&gt;"",BB4=""),AND(BZ4&gt;=CA$10,BZ4&lt;&gt;"",BY4&gt;=CA$8,BY4&lt;&gt;""),AND(CT4&gt;=CU$10,CT4&lt;&gt;"",CS4&gt;=CU$8,CS4&lt;&gt;""),AND(DN4&gt;=DO$10,DN4&lt;&gt;"",DM4&gt;=DO$8,DM4&lt;&gt;""),AND(EH4&gt;=EI$10,EH4&lt;&gt;"",EG4&gt;=EI$8,EG4&lt;&gt;""),AND(FB4&gt;=FC$10,FB4&lt;&gt;"",FA4&gt;=FC$8,FA4&lt;&gt;""),AND(FV4&gt;=FW$10,FV4&lt;&gt;"",FU4&gt;=FW$8,FU4&lt;&gt;""),AND(GP4&gt;=GQ$10,GP4&lt;&gt;"",GO4&gt;=GQ$8,GO4&lt;&gt;""),AND(HJ4&gt;=HK$10,HJ4&lt;&gt;"",HI4&gt;=HK$8,HI4&lt;&gt;""),AND(ID4&gt;=IE$10,ID4&lt;&gt;"",IC4&gt;=IE$8,IC4&lt;&gt;""),AND(IX4&gt;=IY$10,IX4&lt;&gt;"",IW4&gt;=IY$8,IW4&lt;&gt;""),AND(JR4&gt;=JS$10,JR4&lt;&gt;"",JQ4&gt;=JS$8,JQ4&lt;&gt;""),AND(KL4&gt;=KM$10,KL4&lt;&gt;"",KK4&gt;=KM$8,KK4&lt;&gt;"")),"National Team","")))))</f>
        <v>Merit</v>
      </c>
      <c r="J4" s="15">
        <f>IF(MAX(AI4,BD4)&gt;0,MAX(AI4,BD4),"")</f>
        <v>66.8</v>
      </c>
      <c r="K4" s="15" t="str">
        <f>IF(J4="","",IF(J4=BD4,$AL$1,IF(J4=AI4,$Q$1,"")))</f>
        <v>2019 Nationals</v>
      </c>
      <c r="L4" s="15">
        <f>IF(MAX(AJ4,BE4)&gt;0,MAX(AJ4,BE4),"")</f>
        <v>66.100000000000009</v>
      </c>
      <c r="M4" s="15" t="str">
        <f>IF(L4="","",IF(L4=BE4,$AL$1,IF(L4=AJ4,$Q$1,"")))</f>
        <v>2019 Elite Canada</v>
      </c>
      <c r="N4" s="15">
        <f>IF(MAX(BG4:BH4)&gt;0,MAX(BG4:BH4),"")</f>
        <v>1.2999999999999972</v>
      </c>
      <c r="O4" s="27" t="str">
        <f>IF(N4="","",IF(N4=BG4,"(Prelim)",IF(N4=BH4,"(Final)")))</f>
        <v>(Final)</v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>2019 World Cup ESP (Oct 6)</v>
      </c>
      <c r="Q4" s="43">
        <v>26.2</v>
      </c>
      <c r="R4" s="43">
        <v>6.5</v>
      </c>
      <c r="S4" s="43">
        <v>0</v>
      </c>
      <c r="T4" s="43">
        <v>0</v>
      </c>
      <c r="U4" s="43">
        <v>26.8</v>
      </c>
      <c r="V4" s="43">
        <v>4.3</v>
      </c>
      <c r="W4" s="43">
        <v>0</v>
      </c>
      <c r="X4" s="43">
        <v>0</v>
      </c>
      <c r="Y4" s="43">
        <v>27.2</v>
      </c>
      <c r="Z4" s="43">
        <v>6.5</v>
      </c>
      <c r="AA4" s="43">
        <v>0</v>
      </c>
      <c r="AB4" s="43">
        <v>0</v>
      </c>
      <c r="AC4" s="43">
        <v>27.7</v>
      </c>
      <c r="AD4" s="43">
        <v>4.7</v>
      </c>
      <c r="AE4" s="43">
        <v>0</v>
      </c>
      <c r="AF4" s="43">
        <v>0</v>
      </c>
      <c r="AG4" s="82"/>
      <c r="AH4" s="12">
        <f>IF(SUM(R4,V4)&gt;0,SUM(R4,V4),"")</f>
        <v>10.8</v>
      </c>
      <c r="AI4" s="12">
        <f>IF(SUM(Q4:R4,T4:V4,X4)-S4-W4&gt;0,SUM(Q4:R4,T4:V4,X4)-S4-W4,"")</f>
        <v>63.8</v>
      </c>
      <c r="AJ4" s="12">
        <f>IF(SUM(Y4:Z4,AB4:AD4,AF4)-SUM(AA4,AE4)&gt;0,SUM(Y4:Z4,AB4:AD4,AF4)-SUM(AA4,AE4),"")</f>
        <v>66.100000000000009</v>
      </c>
      <c r="AK4" s="12">
        <f>IF(SUM(AI4,AJ4)&gt;0,SUM(AI4,AJ4),"")</f>
        <v>129.9</v>
      </c>
      <c r="AL4" s="40">
        <v>27.6</v>
      </c>
      <c r="AM4" s="40">
        <v>6.6</v>
      </c>
      <c r="AN4" s="40">
        <v>0</v>
      </c>
      <c r="AO4" s="40">
        <v>0</v>
      </c>
      <c r="AP4" s="40">
        <v>27</v>
      </c>
      <c r="AQ4" s="40">
        <v>5.6</v>
      </c>
      <c r="AR4" s="40">
        <v>0</v>
      </c>
      <c r="AS4" s="40">
        <v>0</v>
      </c>
      <c r="AT4" s="40">
        <v>25.9</v>
      </c>
      <c r="AU4" s="40">
        <v>6.5</v>
      </c>
      <c r="AV4" s="40">
        <v>0</v>
      </c>
      <c r="AW4" s="40">
        <v>0</v>
      </c>
      <c r="AX4" s="40">
        <v>26.2</v>
      </c>
      <c r="AY4" s="40">
        <v>4.5999999999999996</v>
      </c>
      <c r="AZ4" s="40">
        <v>0.6</v>
      </c>
      <c r="BA4" s="40">
        <v>0</v>
      </c>
      <c r="BB4" s="83"/>
      <c r="BC4" s="15">
        <f>IF(SUM(AM4,AQ4)&gt;0,SUM(AM4,AQ4),"")</f>
        <v>12.2</v>
      </c>
      <c r="BD4" s="15">
        <f>IF(SUM(AL4:AM4,AO4:AQ4,AS4)-AN4-AR4&gt;0,SUM(AL4:AM4,AO4:AQ4,AS4)-AN4-AR4,"")</f>
        <v>66.8</v>
      </c>
      <c r="BE4" s="15">
        <f>IF(SUM(AT4:AU4,AW4:AY4,BA4)-SUM(AV4,AZ4)&gt;0,SUM(AT4:AU4,AW4:AY4,BA4)-SUM(AV4,AZ4),"")</f>
        <v>62.599999999999994</v>
      </c>
      <c r="BF4" s="15">
        <f>IF(SUM(BD4,BE4)&gt;0,SUM(BD4,BE4),"")</f>
        <v>129.39999999999998</v>
      </c>
      <c r="BG4" s="26" t="str">
        <f>IF(MAX(BZ4,CT4,DN4,EH4,FB4,FV4,GP4,HJ4,ID4,IX4,JR4,KL4)-IF(J4="",0,J4)&gt;0.001,MAX(BZ4,CT4,DN4,EH4,FB4,FV4,GP4,HJ4,ID4,IX4,JR4,KL4)-IF(J4="",0,J4),"")</f>
        <v/>
      </c>
      <c r="BH4" s="26">
        <f>IF(MAX(CA4,CU4,DO4,EI4,FC4,FW4,GQ4,HK4,IE4,IY4,JS4,KM4)-IF(L4="",0,L4)&gt;0.001,MAX(CA4,CU4,DO4,EI4,FC4,FW4,GQ4,HK4,IE4,IY4,JS4,KM4)-IF(L4="",0,L4),"")</f>
        <v>1.2999999999999972</v>
      </c>
      <c r="BI4" s="39">
        <v>26.3</v>
      </c>
      <c r="BJ4" s="39">
        <v>6.8</v>
      </c>
      <c r="BK4" s="39">
        <v>0</v>
      </c>
      <c r="BL4" s="39">
        <v>0</v>
      </c>
      <c r="BM4" s="39">
        <v>25.7</v>
      </c>
      <c r="BN4" s="39">
        <v>7.1</v>
      </c>
      <c r="BO4" s="39">
        <v>0</v>
      </c>
      <c r="BP4" s="39">
        <v>0</v>
      </c>
      <c r="BQ4" s="39">
        <v>27</v>
      </c>
      <c r="BR4" s="39">
        <v>7.2</v>
      </c>
      <c r="BS4" s="39">
        <v>0</v>
      </c>
      <c r="BT4" s="39">
        <v>0</v>
      </c>
      <c r="BU4" s="39">
        <v>26.5</v>
      </c>
      <c r="BV4" s="39">
        <v>6.7</v>
      </c>
      <c r="BW4" s="39">
        <v>0</v>
      </c>
      <c r="BX4" s="39">
        <v>0</v>
      </c>
      <c r="BY4" s="12">
        <f>IF(SUM(BJ4,BN4)&gt;0,SUM(BJ4,BN4),"")</f>
        <v>13.899999999999999</v>
      </c>
      <c r="BZ4" s="12">
        <f>IF(SUM(BI4:BJ4,BL4:BN4,BP4)-BK4-BO4&gt;0,SUM(BI4:BJ4,BL4:BN4,BP4)-BK4-BO4,"")</f>
        <v>65.899999999999991</v>
      </c>
      <c r="CA4" s="12">
        <f>IF(SUM(BQ4:BR4,BT4:BV4,BX4)-SUM(BS4,BW4)&gt;0,SUM(BQ4:BR4,BT4:BV4,BX4)-SUM(BS4,BW4),"")</f>
        <v>67.400000000000006</v>
      </c>
      <c r="CB4" s="12">
        <f>IF(SUM(BZ4,CA4)&gt;0,SUM(BZ4,CA4),"")</f>
        <v>133.30000000000001</v>
      </c>
      <c r="CC4" s="40">
        <v>25.9</v>
      </c>
      <c r="CD4" s="40">
        <v>6.5</v>
      </c>
      <c r="CE4" s="40">
        <v>0</v>
      </c>
      <c r="CF4" s="40">
        <v>0</v>
      </c>
      <c r="CG4" s="40">
        <v>25.5</v>
      </c>
      <c r="CH4" s="40">
        <v>4.5999999999999996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>IF(SUM(CD4,CH4)&gt;0,SUM(CD4,CH4),"")</f>
        <v>11.1</v>
      </c>
      <c r="CT4" s="15">
        <f>IF(SUM(CC4:CD4,CF4:CH4,CJ4)-CE4-CI4&gt;0,SUM(CC4:CD4,CF4:CH4,CJ4)-CE4-CI4,"")</f>
        <v>62.5</v>
      </c>
      <c r="CU4" s="15" t="str">
        <f>IF(SUM(CK4:CL4,CN4:CP4,CR4)-SUM(CM4,CQ4)&gt;0,SUM(CK4:CL4,CN4:CP4,CR4)-SUM(CM4,CQ4),"")</f>
        <v/>
      </c>
      <c r="CV4" s="15">
        <f>IF(SUM(CT4,CU4)&gt;0,SUM(CT4,CU4),"")</f>
        <v>62.5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>IF($BB4="P",AL4,(Q4+AL4)/2)</f>
        <v>26.9</v>
      </c>
      <c r="KP4" s="71">
        <f t="shared" ref="KP4:LD5" si="0">IF($BB4="P",AM4,(R4+AM4)/2)</f>
        <v>6.55</v>
      </c>
      <c r="KQ4" s="71">
        <f t="shared" si="0"/>
        <v>0</v>
      </c>
      <c r="KR4" s="71">
        <f t="shared" si="0"/>
        <v>0</v>
      </c>
      <c r="KS4" s="71">
        <f t="shared" si="0"/>
        <v>26.9</v>
      </c>
      <c r="KT4" s="71">
        <f t="shared" si="0"/>
        <v>4.9499999999999993</v>
      </c>
      <c r="KU4" s="71">
        <f t="shared" si="0"/>
        <v>0</v>
      </c>
      <c r="KV4" s="71">
        <f t="shared" si="0"/>
        <v>0</v>
      </c>
      <c r="KW4" s="71">
        <f t="shared" si="0"/>
        <v>26.549999999999997</v>
      </c>
      <c r="KX4" s="71">
        <f t="shared" si="0"/>
        <v>6.5</v>
      </c>
      <c r="KY4" s="71">
        <f t="shared" si="0"/>
        <v>0</v>
      </c>
      <c r="KZ4" s="71">
        <f t="shared" si="0"/>
        <v>0</v>
      </c>
      <c r="LA4" s="71">
        <f t="shared" si="0"/>
        <v>26.95</v>
      </c>
      <c r="LB4" s="71">
        <f t="shared" si="0"/>
        <v>4.6500000000000004</v>
      </c>
      <c r="LC4" s="71">
        <f t="shared" si="0"/>
        <v>0.3</v>
      </c>
      <c r="LD4" s="71">
        <f t="shared" si="0"/>
        <v>0</v>
      </c>
      <c r="LE4" s="82" t="s">
        <v>96</v>
      </c>
      <c r="LF4" s="12">
        <f t="shared" ref="LF4" si="1">IF(SUM(KP4,KT4)&gt;0,SUM(KP4,KT4),"")</f>
        <v>11.5</v>
      </c>
      <c r="LG4" s="12">
        <f t="shared" ref="LG4" si="2">IF(SUM(KO4:KP4,KR4:KT4,KV4)-KQ4-KU4&gt;0,SUM(KO4:KP4,KR4:KT4,KV4)-KQ4-KU4,"")</f>
        <v>65.3</v>
      </c>
      <c r="LH4" s="12">
        <f t="shared" ref="LH4" si="3">IF(SUM(KW4:KX4,KZ4:LB4,LD4)-SUM(KY4,LC4)&gt;0,SUM(KW4:KX4,KZ4:LB4,LD4)-SUM(KY4,LC4),"")</f>
        <v>64.350000000000009</v>
      </c>
      <c r="LI4" s="12">
        <f t="shared" ref="LI4" si="4">IF(SUM(LG4,LH4)&gt;0,SUM(LG4,LH4),"")</f>
        <v>129.65</v>
      </c>
    </row>
    <row r="5" spans="1:321" x14ac:dyDescent="0.2">
      <c r="A5" s="6">
        <f>IF(AND(F5="P",H5="P"),SUMPRODUCT((F$4:F$6="P")*(H$4:H$6="P")*(E$4:E$6&gt;E5))+1,IF(H5="P",SUMPRODUCT((F$4:F$6="")*(H$4:H$6="P")*(E$4:E$6&gt;E5))+1+SUMPRODUCT((F$4:F$6="P")*(H$4:H$6="P")),""))</f>
        <v>2</v>
      </c>
      <c r="B5" s="7" t="s">
        <v>90</v>
      </c>
      <c r="C5" s="8" t="s">
        <v>3</v>
      </c>
      <c r="D5" s="29">
        <v>2000</v>
      </c>
      <c r="E5" s="16">
        <f>SUM(J5:N5)</f>
        <v>127</v>
      </c>
      <c r="F5" s="4" t="str">
        <f>IF(OR(AND(AH5&gt;=AJ$8,AI5&gt;=AJ$10,AI5&lt;&gt;"",AG5=""),AND(BC5&gt;=BE$8,BD5&gt;=BE$10,BD5&lt;&gt;"",BB5=""),AND(BY5&gt;=CA$8,BZ5&gt;=CA$10,BZ5&lt;&gt;""),AND(CS5&gt;=CU$8,CT5&gt;=CU$10,CT5&lt;&gt;""),AND(DM5&gt;=DO$8,DN5&gt;=DO$10,DN5&lt;&gt;""),AND(EG5&gt;=EI$8,EH5&gt;=EI$10,EH5&lt;&gt;""),AND(FA5&gt;=FC$8,FB5&gt;=FC$10,FB5&lt;&gt;""),AND(FU5&gt;=FW$8,FV5&gt;=FW$10,FV5&lt;&gt;""),AND(GO5&gt;=GQ$8,GP5&gt;=GQ$10,GP5&lt;&gt;""),AND(HI5&gt;=HK$8,HJ5&gt;=HK$10,HJ5&lt;&gt;""),AND(IC5&gt;=IE$8,ID5&gt;=IE$10,ID5&lt;&gt;""),AND(IW5&gt;=IY$8,IX5&gt;=IY$10,IX5&lt;&gt;""),AND(JQ5&gt;=JS$8,JR5&gt;=JS$10,JR5&lt;&gt;""),AND(KK5&gt;=KM$8,KL5&gt;=KM$10,KL5&lt;&gt;"")),"P","")</f>
        <v>P</v>
      </c>
      <c r="G5" s="4" t="str">
        <f>IF(OR(AND(AH5&gt;=AJ$8,AI5&gt;=AJ$11,AI5&lt;&gt;"",AG5=""),AND(BC5&gt;=BE$8,BD5&gt;=BE$11,BD5&lt;&gt;"",BB5=""),AND(BY5&gt;=CA$8,BZ5&gt;=CA$11,BZ5&lt;&gt;""),AND(CS5&gt;=CU$8,CT5&gt;=CU$11,CT5&lt;&gt;""),AND(DM5&gt;=DO$8,DN5&gt;=DO$11,DN5&lt;&gt;""),AND(EG5&gt;=EI$8,EH5&gt;=EI$11,EH5&lt;&gt;""),AND(FA5&gt;=FC$8,FB5&gt;=FC$11,FB5&lt;&gt;""),AND(FU5&gt;=FW$8,FV5&gt;=FW$11,FV5&lt;&gt;""),AND(GO5&gt;=GQ$8,GP5&gt;=GQ$11,GP5&lt;&gt;""),AND(HI5&gt;=HK$8,HJ5&gt;=HK$11,HJ5&lt;&gt;""),AND(IC5&gt;=IE$8,ID5&gt;=IE$11,ID5&lt;&gt;""),AND(IW5&gt;=IY$8,IX5&gt;=IY$11,IX5&lt;&gt;""),AND(JQ5&gt;=JS$8,JR5&gt;=JS$11,JR5&lt;&gt;""),AND(KK5&gt;=KM$8,KL5&gt;=KM$11,KL5&lt;&gt;"")),"P","")</f>
        <v>P</v>
      </c>
      <c r="H5" s="4" t="str">
        <f>IF(OR(AND(AI5&gt;=AJ$10,AI5&lt;&gt;"",AG5=""),AND(BD5&gt;=BE$10,BD5&lt;&gt;"",BB5=""),AND(BZ5&gt;=CA$10,BZ5&lt;&gt;""),AND(CT5&gt;=CU$10,CT5&lt;&gt;""),AND(DN5&gt;=DO$10,DN5&lt;&gt;""),AND(EH5&gt;=EI$10,EH5&lt;&gt;""),AND(FB5&gt;=FC$10,FB5&lt;&gt;""),AND(FV5&gt;=FW$10,FV5&lt;&gt;""),AND(GP5&gt;=GQ$10,GP5&lt;&gt;""),AND(HJ5&gt;=HK$10,HJ5&lt;&gt;""),AND(ID5&gt;=IE$10,ID5&lt;&gt;""),AND(IX5&gt;=IY$10,IX5&lt;&gt;""),AND(JR5&gt;=JS$10,JR5&lt;&gt;""),AND(KL5&gt;=KM$10,KL5&lt;&gt;"")),"P","")</f>
        <v>P</v>
      </c>
      <c r="I5" t="str">
        <f>IF(AND(H5="P",F5=""),"No DD",IF(OR(AND(AI5&gt;=AJ$13,AI5&lt;&gt;"",AH5&gt;=AJ$9,AH5&lt;&gt;"",AG5=""),AND(BD5&gt;=BE$13,BD5&lt;&gt;"",BC5&gt;=BE$9,BC5&lt;&gt;"",BB5=""),AND(BZ5&gt;=CA$13,BZ5&lt;&gt;"",BY5&gt;=CA$9,BY5&lt;&gt;""),AND(CT5&gt;=CU$13,CT5&lt;&gt;"",CS5&gt;=CU$9,CS5&lt;&gt;""),AND(DN5&gt;=DO$13,DN5&lt;&gt;"",DM5&gt;=DO$9,DM5&lt;&gt;""),AND(EH5&gt;=EI$13,EH5&lt;&gt;"",EG5&gt;=EI$9,EG5&lt;&gt;""),AND(FB5&gt;=FC$13,FB5&lt;&gt;"",FA5&gt;=FC$9,FA5&lt;&gt;""),AND(FV5&gt;=FW$13,FV5&lt;&gt;"",FU5&gt;=FW$9,FU5&lt;&gt;""),AND(GP5&gt;=GQ$13,GP5&lt;&gt;"",GO5&gt;=GQ$9,GO5&lt;&gt;""),AND(HJ5&gt;=HK$13,HJ5&lt;&gt;"",HI5&gt;=HK$9,HI5&lt;&gt;""),AND(ID5&gt;=IE$13,ID5&lt;&gt;"",IC5&gt;=IE$9,IC5&lt;&gt;""),AND(IX5&gt;=IY$13,IX5&lt;&gt;"",IW5&gt;=IY$9,IW5&lt;&gt;""),AND(JR5&gt;=JS$13,JR5&lt;&gt;"",JQ5&gt;=JS$9,JQ5&lt;&gt;""),AND(KL5&gt;=KM$13,KL5&lt;&gt;"",KK5&gt;=KM$9,KK5&lt;&gt;"")),"Merit",IF(OR(AND(AI5&gt;=AJ$12,AI5&lt;&gt;"",AH5&gt;=AJ$9,AH5&lt;&gt;"",AG5=""),AND(BD5&gt;=BE$12,BD5&lt;&gt;"",BC5&gt;=BE$9,BC5&lt;&gt;"",BB5=""),AND(BZ5&gt;=CA$12,BZ5&lt;&gt;"",BY5&gt;=CA$9,BY5&lt;&gt;""),AND(CT5&gt;=CU$12,CT5&lt;&gt;"",CS5&gt;=CU$9,CS5&lt;&gt;""),AND(DN5&gt;=DO$12,DN5&lt;&gt;"",DM5&gt;=DO$9,DM5&lt;&gt;""),AND(EH5&gt;=EI$12,EH5&lt;&gt;"",EG5&gt;=EI$9,EG5&lt;&gt;""),AND(FB5&gt;=FC$12,FB5&lt;&gt;"",FA5&gt;=FC$9,FA5&lt;&gt;""),AND(FV5&gt;=FW$12,FV5&lt;&gt;"",FU5&gt;=FW$9,FU5&lt;&gt;""),AND(GP5&gt;=GQ$12,GP5&lt;&gt;"",GO5&gt;=GQ$9,GO5&lt;&gt;""),AND(HJ5&gt;=HK$12,HJ5&lt;&gt;"",HI5&gt;=HK$9,HI5&lt;&gt;""),AND(ID5&gt;=IE$12,ID5&lt;&gt;"",IC5&gt;=IE$9,IC5&lt;&gt;""),AND(IX5&gt;=IY$12,IX5&lt;&gt;"",IW5&gt;=IY$9,IW5&lt;&gt;""),AND(JR5&gt;=JS$12,JR5&lt;&gt;"",JQ5&gt;=JS$9,JQ5&lt;&gt;""),AND(KL5&gt;=KM$12,KL5&lt;&gt;"",KK5&gt;=KM$9,KK5&lt;&gt;"")),"Excellence",IF(OR(AND(AI5&gt;=AJ$11,AI5&lt;&gt;"",AH5&gt;=AJ$8,AH5&lt;&gt;"",AG5=""),AND(BD5&gt;=BE$11,BD5&lt;&gt;"",BC5&gt;=BE$8,BC5&lt;&gt;"",BB5=""),AND(BZ5&gt;=CA$11,BZ5&lt;&gt;"",BY5&gt;=CA$8,BY5&lt;&gt;""),AND(CT5&gt;=CU$11,CT5&lt;&gt;"",CS5&gt;=CU$8,CS5&lt;&gt;""),AND(DN5&gt;=DO$11,DN5&lt;&gt;"",DM5&gt;=DO$8,DM5&lt;&gt;""),AND(EH5&gt;=EI$11,EH5&lt;&gt;"",EG5&gt;=EI$8,EG5&lt;&gt;""),AND(FB5&gt;=FC$11,FB5&lt;&gt;"",FA5&gt;=FC$8,FA5&lt;&gt;""),AND(FV5&gt;=FW$11,FV5&lt;&gt;"",FU5&gt;=FW$8,FU5&lt;&gt;""),AND(GP5&gt;=GQ$11,GP5&lt;&gt;"",GO5&gt;=GQ$8,GO5&lt;&gt;""),AND(HJ5&gt;=HK$11,HJ5&lt;&gt;"",HI5&gt;=HK$8,HI5&lt;&gt;""),AND(ID5&gt;=IE$11,ID5&lt;&gt;"",IC5&gt;=IE$8,IC5&lt;&gt;""),AND(IX5&gt;=IY$11,IX5&lt;&gt;"",IW5&gt;=IY$8,IW5&lt;&gt;""),AND(JR5&gt;=JS$11,JR5&lt;&gt;"",JQ5&gt;=JS$8,JQ5&lt;&gt;""),AND(KL5&gt;=KM$11,KL5&lt;&gt;"",KK5&gt;=KM$8,KK5&lt;&gt;"")),"Worlds Team",IF(OR(AND(AI5&gt;=AJ$10,AI5&lt;&gt;"",AH5&gt;=AJ$8,AH5&lt;&gt;"",AG5=""),AND(BD5&gt;=BE$10,BD5&lt;&gt;"",BC5&gt;=BE$8,BC5&lt;&gt;"",BB5=""),AND(BZ5&gt;=CA$10,BZ5&lt;&gt;"",BY5&gt;=CA$8,BY5&lt;&gt;""),AND(CT5&gt;=CU$10,CT5&lt;&gt;"",CS5&gt;=CU$8,CS5&lt;&gt;""),AND(DN5&gt;=DO$10,DN5&lt;&gt;"",DM5&gt;=DO$8,DM5&lt;&gt;""),AND(EH5&gt;=EI$10,EH5&lt;&gt;"",EG5&gt;=EI$8,EG5&lt;&gt;""),AND(FB5&gt;=FC$10,FB5&lt;&gt;"",FA5&gt;=FC$8,FA5&lt;&gt;""),AND(FV5&gt;=FW$10,FV5&lt;&gt;"",FU5&gt;=FW$8,FU5&lt;&gt;""),AND(GP5&gt;=GQ$10,GP5&lt;&gt;"",GO5&gt;=GQ$8,GO5&lt;&gt;""),AND(HJ5&gt;=HK$10,HJ5&lt;&gt;"",HI5&gt;=HK$8,HI5&lt;&gt;""),AND(ID5&gt;=IE$10,ID5&lt;&gt;"",IC5&gt;=IE$8,IC5&lt;&gt;""),AND(IX5&gt;=IY$10,IX5&lt;&gt;"",IW5&gt;=IY$8,IW5&lt;&gt;""),AND(JR5&gt;=JS$10,JR5&lt;&gt;"",JQ5&gt;=JS$8,JQ5&lt;&gt;""),AND(KL5&gt;=KM$10,KL5&lt;&gt;"",KK5&gt;=KM$8,KK5&lt;&gt;"")),"National Team","")))))</f>
        <v>Excellence</v>
      </c>
      <c r="J5" s="15">
        <f>IF(MAX(AI5,BD5)&gt;0,MAX(AI5,BD5),"")</f>
        <v>65.099999999999994</v>
      </c>
      <c r="K5" s="15" t="str">
        <f>IF(J5="","",IF(J5=BD5,$AL$1,IF(J5=AI5,$Q$1,"")))</f>
        <v>2019 Nationals</v>
      </c>
      <c r="L5" s="15">
        <f>IF(MAX(AJ5,BE5)&gt;0,MAX(AJ5,BE5),"")</f>
        <v>61.9</v>
      </c>
      <c r="M5" s="15" t="str">
        <f>IF(L5="","",IF(L5=BE5,$AL$1,IF(L5=AJ5,$Q$1,"")))</f>
        <v>2019 Elite Canada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3">
        <v>24.6</v>
      </c>
      <c r="R5" s="43">
        <v>6.1</v>
      </c>
      <c r="S5" s="43">
        <v>0</v>
      </c>
      <c r="T5" s="43">
        <v>0</v>
      </c>
      <c r="U5" s="43">
        <v>27.9</v>
      </c>
      <c r="V5" s="43">
        <v>4.5</v>
      </c>
      <c r="W5" s="43">
        <v>0</v>
      </c>
      <c r="X5" s="43">
        <v>0</v>
      </c>
      <c r="Y5" s="43">
        <v>26.4</v>
      </c>
      <c r="Z5" s="43">
        <v>3.5</v>
      </c>
      <c r="AA5" s="43">
        <v>0</v>
      </c>
      <c r="AB5" s="43">
        <v>0</v>
      </c>
      <c r="AC5" s="43">
        <v>27.5</v>
      </c>
      <c r="AD5" s="43">
        <v>4.5</v>
      </c>
      <c r="AE5" s="43">
        <v>0</v>
      </c>
      <c r="AF5" s="43">
        <v>0</v>
      </c>
      <c r="AG5" s="82"/>
      <c r="AH5" s="12">
        <f>IF(SUM(R5,V5)&gt;0,SUM(R5,V5),"")</f>
        <v>10.6</v>
      </c>
      <c r="AI5" s="12">
        <f>IF(SUM(Q5:R5,T5:V5,X5)-S5-W5&gt;0,SUM(Q5:R5,T5:V5,X5)-S5-W5,"")</f>
        <v>63.1</v>
      </c>
      <c r="AJ5" s="12">
        <f>IF(SUM(Y5:Z5,AB5:AD5,AF5)-SUM(AA5,AE5)&gt;0,SUM(Y5:Z5,AB5:AD5,AF5)-SUM(AA5,AE5),"")</f>
        <v>61.9</v>
      </c>
      <c r="AK5" s="12">
        <f>IF(SUM(AI5,AJ5)&gt;0,SUM(AI5,AJ5),"")</f>
        <v>125</v>
      </c>
      <c r="AL5" s="40">
        <v>26.5</v>
      </c>
      <c r="AM5" s="40">
        <v>6.1</v>
      </c>
      <c r="AN5" s="40">
        <v>0</v>
      </c>
      <c r="AO5" s="40">
        <v>0</v>
      </c>
      <c r="AP5" s="40">
        <v>28</v>
      </c>
      <c r="AQ5" s="40">
        <v>4.5</v>
      </c>
      <c r="AR5" s="40">
        <v>0</v>
      </c>
      <c r="AS5" s="40">
        <v>0</v>
      </c>
      <c r="AT5" s="40">
        <v>16.899999999999999</v>
      </c>
      <c r="AU5" s="40">
        <v>2.8</v>
      </c>
      <c r="AV5" s="40">
        <v>0</v>
      </c>
      <c r="AW5" s="40">
        <v>0</v>
      </c>
      <c r="AX5" s="40">
        <v>26.4</v>
      </c>
      <c r="AY5" s="40">
        <v>6.1</v>
      </c>
      <c r="AZ5" s="40">
        <v>0</v>
      </c>
      <c r="BA5" s="40">
        <v>0</v>
      </c>
      <c r="BB5" s="83"/>
      <c r="BC5" s="15">
        <f>IF(SUM(AM5,AQ5)&gt;0,SUM(AM5,AQ5),"")</f>
        <v>10.6</v>
      </c>
      <c r="BD5" s="15">
        <f>IF(SUM(AL5:AM5,AO5:AQ5,AS5)-AN5-AR5&gt;0,SUM(AL5:AM5,AO5:AQ5,AS5)-AN5-AR5,"")</f>
        <v>65.099999999999994</v>
      </c>
      <c r="BE5" s="15">
        <f>IF(SUM(AT5:AU5,AW5:AY5,BA5)-SUM(AV5,AZ5)&gt;0,SUM(AT5:AU5,AW5:AY5,BA5)-SUM(AV5,AZ5),"")</f>
        <v>52.199999999999996</v>
      </c>
      <c r="BF5" s="15">
        <f>IF(SUM(BD5,BE5)&gt;0,SUM(BD5,BE5),"")</f>
        <v>117.29999999999998</v>
      </c>
      <c r="BG5" s="26" t="str">
        <f>IF(MAX(BZ5,CT5,DN5,EH5,FB5,FV5,GP5,HJ5,ID5,IX5,JR5,KL5)-IF(J5="",0,J5)&gt;0.001,MAX(BZ5,CT5,DN5,EH5,FB5,FV5,GP5,HJ5,ID5,IX5,JR5,KL5)-IF(J5="",0,J5),"")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>
        <v>25.5</v>
      </c>
      <c r="BJ5" s="39">
        <v>2.9</v>
      </c>
      <c r="BK5" s="39">
        <v>0.6</v>
      </c>
      <c r="BL5" s="39">
        <v>0</v>
      </c>
      <c r="BM5" s="39">
        <v>26.4</v>
      </c>
      <c r="BN5" s="39">
        <v>4.5</v>
      </c>
      <c r="BO5" s="39">
        <v>0</v>
      </c>
      <c r="BP5" s="39">
        <v>0</v>
      </c>
      <c r="BQ5" s="39"/>
      <c r="BR5" s="39"/>
      <c r="BS5" s="39"/>
      <c r="BT5" s="39"/>
      <c r="BU5" s="39"/>
      <c r="BV5" s="39"/>
      <c r="BW5" s="39"/>
      <c r="BX5" s="39"/>
      <c r="BY5" s="12">
        <f>IF(SUM(BJ5,BN5)&gt;0,SUM(BJ5,BN5),"")</f>
        <v>7.4</v>
      </c>
      <c r="BZ5" s="12">
        <f>IF(SUM(BI5:BJ5,BL5:BN5,BP5)-BK5-BO5&gt;0,SUM(BI5:BJ5,BL5:BN5,BP5)-BK5-BO5,"")</f>
        <v>58.699999999999996</v>
      </c>
      <c r="CA5" s="12" t="str">
        <f>IF(SUM(BQ5:BR5,BT5:BV5,BX5)-SUM(BS5,BW5)&gt;0,SUM(BQ5:BR5,BT5:BV5,BX5)-SUM(BS5,BW5),"")</f>
        <v/>
      </c>
      <c r="CB5" s="12">
        <f>IF(SUM(BZ5,CA5)&gt;0,SUM(BZ5,CA5),"")</f>
        <v>58.699999999999996</v>
      </c>
      <c r="CC5" s="40">
        <v>23.9</v>
      </c>
      <c r="CD5" s="40">
        <v>6.1</v>
      </c>
      <c r="CE5" s="40">
        <v>0</v>
      </c>
      <c r="CF5" s="40">
        <v>0</v>
      </c>
      <c r="CG5" s="40">
        <v>26</v>
      </c>
      <c r="CH5" s="40">
        <v>4.5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10.6</v>
      </c>
      <c r="CT5" s="15">
        <f>IF(SUM(CC5:CD5,CF5:CH5,CJ5)-CE5-CI5&gt;0,SUM(CC5:CD5,CF5:CH5,CJ5)-CE5-CI5,"")</f>
        <v>60.5</v>
      </c>
      <c r="CU5" s="15" t="str">
        <f>IF(SUM(CK5:CL5,CN5:CP5,CR5)-SUM(CM5,CQ5)&gt;0,SUM(CK5:CL5,CN5:CP5,CR5)-SUM(CM5,CQ5),"")</f>
        <v/>
      </c>
      <c r="CV5" s="15">
        <f>IF(SUM(CT5,CU5)&gt;0,SUM(CT5,CU5),"")</f>
        <v>60.5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" si="5">IF($BB5="P",AL5,(Q5+AL5)/2)</f>
        <v>25.55</v>
      </c>
      <c r="KP5" s="71">
        <f t="shared" si="0"/>
        <v>6.1</v>
      </c>
      <c r="KQ5" s="71">
        <f t="shared" si="0"/>
        <v>0</v>
      </c>
      <c r="KR5" s="71">
        <f t="shared" si="0"/>
        <v>0</v>
      </c>
      <c r="KS5" s="71">
        <f t="shared" si="0"/>
        <v>27.95</v>
      </c>
      <c r="KT5" s="71">
        <f t="shared" si="0"/>
        <v>4.5</v>
      </c>
      <c r="KU5" s="71">
        <f t="shared" si="0"/>
        <v>0</v>
      </c>
      <c r="KV5" s="71">
        <f t="shared" si="0"/>
        <v>0</v>
      </c>
      <c r="KW5" s="71">
        <f t="shared" si="0"/>
        <v>21.65</v>
      </c>
      <c r="KX5" s="71">
        <f t="shared" si="0"/>
        <v>3.15</v>
      </c>
      <c r="KY5" s="71">
        <f t="shared" si="0"/>
        <v>0</v>
      </c>
      <c r="KZ5" s="71">
        <f t="shared" si="0"/>
        <v>0</v>
      </c>
      <c r="LA5" s="71">
        <f t="shared" si="0"/>
        <v>26.95</v>
      </c>
      <c r="LB5" s="71">
        <f t="shared" si="0"/>
        <v>5.3</v>
      </c>
      <c r="LC5" s="71">
        <f t="shared" si="0"/>
        <v>0</v>
      </c>
      <c r="LD5" s="71">
        <f t="shared" si="0"/>
        <v>0</v>
      </c>
      <c r="LE5" s="82" t="s">
        <v>96</v>
      </c>
      <c r="LF5" s="12">
        <f t="shared" ref="LF5" si="6">IF(SUM(KP5,KT5)&gt;0,SUM(KP5,KT5),"")</f>
        <v>10.6</v>
      </c>
      <c r="LG5" s="12">
        <f t="shared" ref="LG5" si="7">IF(SUM(KO5:KP5,KR5:KT5,KV5)-KQ5-KU5&gt;0,SUM(KO5:KP5,KR5:KT5,KV5)-KQ5-KU5,"")</f>
        <v>64.099999999999994</v>
      </c>
      <c r="LH5" s="12">
        <f t="shared" ref="LH5" si="8">IF(SUM(KW5:KX5,KZ5:LB5,LD5)-SUM(KY5,LC5)&gt;0,SUM(KW5:KX5,KZ5:LB5,LD5)-SUM(KY5,LC5),"")</f>
        <v>57.05</v>
      </c>
      <c r="LI5" s="12">
        <f t="shared" ref="LI5" si="9">IF(SUM(LG5,LH5)&gt;0,SUM(LG5,LH5),"")</f>
        <v>121.14999999999999</v>
      </c>
    </row>
    <row r="6" spans="1:321" ht="17" x14ac:dyDescent="0.2">
      <c r="N6" s="21"/>
      <c r="O6" s="21"/>
      <c r="P6" s="21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</row>
    <row r="7" spans="1:321" ht="17" x14ac:dyDescent="0.2">
      <c r="N7" s="21"/>
      <c r="O7" s="21"/>
      <c r="P7" s="21"/>
    </row>
    <row r="8" spans="1:321" ht="17" x14ac:dyDescent="0.2">
      <c r="B8" s="72" t="s">
        <v>82</v>
      </c>
      <c r="N8" s="21"/>
      <c r="O8" s="21"/>
      <c r="P8" s="21"/>
      <c r="AH8" s="58"/>
      <c r="AJ8" s="66">
        <v>8.1</v>
      </c>
      <c r="BC8" s="58"/>
      <c r="BE8" s="66">
        <v>8.1</v>
      </c>
      <c r="BY8" s="58"/>
      <c r="CA8" s="66">
        <v>8.1</v>
      </c>
      <c r="CS8" s="58"/>
      <c r="CU8" s="85">
        <v>8.1</v>
      </c>
      <c r="DM8" s="58"/>
      <c r="DO8" s="66">
        <v>8.1</v>
      </c>
      <c r="EG8" s="58"/>
      <c r="EI8" s="66">
        <v>8.1</v>
      </c>
      <c r="FA8" s="58"/>
      <c r="FC8" s="66">
        <v>8.1</v>
      </c>
      <c r="FU8" s="58"/>
      <c r="FW8" s="66">
        <v>8.1</v>
      </c>
      <c r="GO8" s="58"/>
      <c r="GQ8" s="66">
        <v>8.1</v>
      </c>
      <c r="HI8" s="58"/>
      <c r="HK8" s="66">
        <v>8.1</v>
      </c>
      <c r="IC8" s="58"/>
      <c r="IE8" s="66">
        <v>8.1</v>
      </c>
      <c r="IW8" s="58"/>
      <c r="IY8" s="66">
        <v>8.1</v>
      </c>
      <c r="JQ8" s="58"/>
      <c r="JS8" s="66">
        <v>8.1</v>
      </c>
      <c r="KK8" s="58"/>
      <c r="KM8" s="66">
        <v>8.1</v>
      </c>
    </row>
    <row r="9" spans="1:321" ht="17" x14ac:dyDescent="0.2">
      <c r="A9" s="58"/>
      <c r="B9" s="100" t="s">
        <v>131</v>
      </c>
      <c r="C9" s="57"/>
      <c r="N9" s="21"/>
      <c r="O9" s="21"/>
      <c r="P9" s="21"/>
      <c r="AH9" s="58"/>
      <c r="AJ9" s="102">
        <v>9.5</v>
      </c>
      <c r="BC9" s="58"/>
      <c r="BE9" s="102">
        <v>9.5</v>
      </c>
      <c r="BY9" s="58"/>
      <c r="CA9" s="102">
        <v>9.5</v>
      </c>
      <c r="CS9" s="58"/>
      <c r="CU9" s="103">
        <v>9.5</v>
      </c>
      <c r="DM9" s="58"/>
      <c r="DO9" s="102">
        <v>9.5</v>
      </c>
      <c r="EG9" s="58"/>
      <c r="EI9" s="102">
        <v>9.5</v>
      </c>
      <c r="FA9" s="58"/>
      <c r="FC9" s="102">
        <v>9.5</v>
      </c>
      <c r="FU9" s="58"/>
      <c r="FW9" s="102">
        <v>9.5</v>
      </c>
      <c r="GO9" s="58"/>
      <c r="GQ9" s="102">
        <v>9.5</v>
      </c>
      <c r="HI9" s="58"/>
      <c r="HK9" s="102">
        <v>9.5</v>
      </c>
      <c r="IC9" s="58"/>
      <c r="IE9" s="102">
        <v>9.5</v>
      </c>
      <c r="IW9" s="58"/>
      <c r="IY9" s="102">
        <v>9.5</v>
      </c>
      <c r="JQ9" s="58"/>
      <c r="JS9" s="102">
        <v>9.5</v>
      </c>
      <c r="KK9" s="58"/>
      <c r="KM9" s="102">
        <v>9.5</v>
      </c>
    </row>
    <row r="10" spans="1:321" ht="17" x14ac:dyDescent="0.2">
      <c r="A10" s="58"/>
      <c r="B10" s="73" t="s">
        <v>79</v>
      </c>
      <c r="C10" s="57"/>
      <c r="N10" s="21"/>
      <c r="O10" s="21"/>
      <c r="P10" s="21"/>
      <c r="AH10" s="58"/>
      <c r="AJ10" s="67">
        <v>60</v>
      </c>
      <c r="BC10" s="58"/>
      <c r="BE10" s="67">
        <v>60</v>
      </c>
      <c r="BY10" s="58"/>
      <c r="CA10" s="67">
        <v>60</v>
      </c>
      <c r="CS10" s="58"/>
      <c r="CU10" s="86">
        <v>60</v>
      </c>
      <c r="DM10" s="58"/>
      <c r="DO10" s="67">
        <v>60</v>
      </c>
      <c r="EG10" s="58"/>
      <c r="EI10" s="67">
        <v>60</v>
      </c>
      <c r="FA10" s="58"/>
      <c r="FC10" s="67">
        <v>60</v>
      </c>
      <c r="FU10" s="58"/>
      <c r="FW10" s="67">
        <v>60</v>
      </c>
      <c r="GO10" s="58"/>
      <c r="GQ10" s="67">
        <v>60</v>
      </c>
      <c r="HI10" s="58"/>
      <c r="HK10" s="67">
        <v>60</v>
      </c>
      <c r="IC10" s="58"/>
      <c r="IE10" s="67">
        <v>60</v>
      </c>
      <c r="IW10" s="58"/>
      <c r="IY10" s="67">
        <v>60</v>
      </c>
      <c r="JQ10" s="58"/>
      <c r="JS10" s="67">
        <v>60</v>
      </c>
      <c r="KK10" s="58"/>
      <c r="KM10" s="67">
        <v>60</v>
      </c>
    </row>
    <row r="11" spans="1:321" ht="17" x14ac:dyDescent="0.2">
      <c r="A11" s="58"/>
      <c r="B11" s="74" t="s">
        <v>80</v>
      </c>
      <c r="C11" s="57"/>
      <c r="N11" s="21"/>
      <c r="O11" s="21"/>
      <c r="P11" s="21"/>
      <c r="AH11" s="58"/>
      <c r="AJ11" s="68">
        <v>61.5</v>
      </c>
      <c r="BC11" s="58"/>
      <c r="BE11" s="68">
        <v>61.5</v>
      </c>
      <c r="BY11" s="58"/>
      <c r="CA11" s="68">
        <v>61.5</v>
      </c>
      <c r="CS11" s="58"/>
      <c r="CU11" s="87">
        <v>61.5</v>
      </c>
      <c r="DM11" s="58"/>
      <c r="DO11" s="68">
        <v>61.5</v>
      </c>
      <c r="EG11" s="58"/>
      <c r="EI11" s="68">
        <v>61.5</v>
      </c>
      <c r="FA11" s="58"/>
      <c r="FC11" s="68">
        <v>61.5</v>
      </c>
      <c r="FU11" s="58"/>
      <c r="FW11" s="68">
        <v>61.5</v>
      </c>
      <c r="GO11" s="58"/>
      <c r="GQ11" s="68">
        <v>61.5</v>
      </c>
      <c r="HI11" s="58"/>
      <c r="HK11" s="68">
        <v>61.5</v>
      </c>
      <c r="IC11" s="58"/>
      <c r="IE11" s="68">
        <v>61.5</v>
      </c>
      <c r="IW11" s="58"/>
      <c r="IY11" s="68">
        <v>61.5</v>
      </c>
      <c r="JQ11" s="58"/>
      <c r="JS11" s="68">
        <v>61.5</v>
      </c>
      <c r="KK11" s="58"/>
      <c r="KM11" s="68">
        <v>61.5</v>
      </c>
    </row>
    <row r="12" spans="1:321" ht="17" x14ac:dyDescent="0.2">
      <c r="A12" s="58"/>
      <c r="B12" s="75" t="s">
        <v>124</v>
      </c>
      <c r="C12" s="57"/>
      <c r="N12" s="21"/>
      <c r="O12" s="21"/>
      <c r="P12" s="21"/>
      <c r="AH12" s="58"/>
      <c r="AJ12" s="69">
        <v>63.7</v>
      </c>
      <c r="BC12" s="58"/>
      <c r="BE12" s="69">
        <v>63.7</v>
      </c>
      <c r="BY12" s="58"/>
      <c r="CA12" s="69">
        <v>63.7</v>
      </c>
      <c r="CS12" s="58"/>
      <c r="CU12" s="88">
        <v>63.7</v>
      </c>
      <c r="DM12" s="58"/>
      <c r="DO12" s="69">
        <v>63.7</v>
      </c>
      <c r="EG12" s="58"/>
      <c r="EI12" s="69">
        <v>63.7</v>
      </c>
      <c r="FA12" s="58"/>
      <c r="FC12" s="69">
        <v>63.7</v>
      </c>
      <c r="FU12" s="58"/>
      <c r="FW12" s="69">
        <v>63.7</v>
      </c>
      <c r="GO12" s="58"/>
      <c r="GQ12" s="69">
        <v>63.7</v>
      </c>
      <c r="HI12" s="58"/>
      <c r="HK12" s="69">
        <v>63.7</v>
      </c>
      <c r="IC12" s="58"/>
      <c r="IE12" s="69">
        <v>63.7</v>
      </c>
      <c r="IW12" s="58"/>
      <c r="IY12" s="69">
        <v>63.7</v>
      </c>
      <c r="JQ12" s="58"/>
      <c r="JS12" s="69">
        <v>63.7</v>
      </c>
      <c r="KK12" s="58"/>
      <c r="KM12" s="69">
        <v>63.7</v>
      </c>
    </row>
    <row r="13" spans="1:321" ht="17" x14ac:dyDescent="0.2">
      <c r="A13" s="58"/>
      <c r="B13" s="76" t="s">
        <v>61</v>
      </c>
      <c r="C13" s="57"/>
      <c r="N13" s="21"/>
      <c r="O13" s="21"/>
      <c r="P13" s="21"/>
      <c r="AH13" s="58"/>
      <c r="AJ13" s="70">
        <v>65.400000000000006</v>
      </c>
      <c r="BC13" s="58"/>
      <c r="BE13" s="70">
        <v>65.400000000000006</v>
      </c>
      <c r="BY13" s="58"/>
      <c r="CA13" s="70">
        <v>65.400000000000006</v>
      </c>
      <c r="CS13" s="58"/>
      <c r="CU13" s="89">
        <v>65.400000000000006</v>
      </c>
      <c r="DM13" s="58"/>
      <c r="DO13" s="70">
        <v>65.400000000000006</v>
      </c>
      <c r="EG13" s="58"/>
      <c r="EI13" s="70">
        <v>65.400000000000006</v>
      </c>
      <c r="FA13" s="58"/>
      <c r="FC13" s="70">
        <v>65.400000000000006</v>
      </c>
      <c r="FU13" s="58"/>
      <c r="FW13" s="70">
        <v>65.400000000000006</v>
      </c>
      <c r="GO13" s="58"/>
      <c r="GQ13" s="70">
        <v>65.400000000000006</v>
      </c>
      <c r="HI13" s="58"/>
      <c r="HK13" s="70">
        <v>65.400000000000006</v>
      </c>
      <c r="IC13" s="58"/>
      <c r="IE13" s="70">
        <v>65.400000000000006</v>
      </c>
      <c r="IW13" s="58"/>
      <c r="IY13" s="70">
        <v>65.400000000000006</v>
      </c>
      <c r="JQ13" s="58"/>
      <c r="JS13" s="70">
        <v>65.400000000000006</v>
      </c>
      <c r="KK13" s="58"/>
      <c r="KM13" s="70">
        <v>65.400000000000006</v>
      </c>
    </row>
    <row r="14" spans="1:321" x14ac:dyDescent="0.2">
      <c r="B14" s="84" t="s">
        <v>97</v>
      </c>
      <c r="C14" s="3"/>
    </row>
    <row r="15" spans="1:321" x14ac:dyDescent="0.2">
      <c r="A15" s="58"/>
      <c r="B15" s="58"/>
      <c r="C15" s="57"/>
    </row>
    <row r="16" spans="1:321" x14ac:dyDescent="0.2">
      <c r="A16" s="58"/>
      <c r="B16" s="58"/>
      <c r="C16" s="57"/>
    </row>
    <row r="17" spans="1:3" x14ac:dyDescent="0.2">
      <c r="A17" s="58"/>
      <c r="B17" s="58"/>
      <c r="C17" s="57"/>
    </row>
    <row r="18" spans="1:3" x14ac:dyDescent="0.2">
      <c r="A18" s="7"/>
      <c r="B18" s="7"/>
      <c r="C18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5">
      <sortCondition descending="1" ref="F1:F6"/>
    </sortState>
  </autoFilter>
  <mergeCells count="92"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KO1:LI1"/>
    <mergeCell ref="KO2:KR2"/>
    <mergeCell ref="KS2:KV2"/>
    <mergeCell ref="KW2:KZ2"/>
    <mergeCell ref="LA2:LD2"/>
  </mergeCells>
  <conditionalFormatting sqref="A1:A1048576">
    <cfRule type="expression" dxfId="74" priority="72">
      <formula>AND(H1="P",F1="")</formula>
    </cfRule>
  </conditionalFormatting>
  <conditionalFormatting sqref="Q4:AK5">
    <cfRule type="expression" dxfId="73" priority="31">
      <formula>IF($AG4&lt;&gt;"",1,0)</formula>
    </cfRule>
  </conditionalFormatting>
  <conditionalFormatting sqref="AL4:BF5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22029" operator="between">
      <formula>CA$9</formula>
      <formula>100</formula>
    </cfRule>
    <cfRule type="cellIs" dxfId="63" priority="22030" operator="between">
      <formula>CA$8</formula>
      <formula>CA$9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22101" operator="between">
      <formula>CA$13</formula>
      <formula>1000</formula>
    </cfRule>
    <cfRule type="cellIs" dxfId="61" priority="22102" operator="between">
      <formula>CA$12</formula>
      <formula>CA$13</formula>
    </cfRule>
    <cfRule type="cellIs" dxfId="60" priority="22103" operator="between">
      <formula>CA$11</formula>
      <formula>CA$12</formula>
    </cfRule>
    <cfRule type="cellIs" dxfId="59" priority="22104" operator="between">
      <formula>CA$10</formula>
      <formula>CA$11</formula>
    </cfRule>
  </conditionalFormatting>
  <conditionalFormatting sqref="AH1:AH1048576 BC1:BC1048576">
    <cfRule type="expression" dxfId="58" priority="22245">
      <formula>IF(AND(AH1&gt;=AJ$9,AH1&lt;1000,AG1=""),1,0)</formula>
    </cfRule>
    <cfRule type="expression" dxfId="57" priority="22246">
      <formula>IF(AND(AH1&gt;=AJ$8,AH1&lt;AJ$9,AG1=""),1,0)</formula>
    </cfRule>
  </conditionalFormatting>
  <conditionalFormatting sqref="BD1:BD1048576 AI1:AI1048576">
    <cfRule type="expression" dxfId="56" priority="22257">
      <formula>IF(AND(AI1&gt;=AJ$13,AI1&lt;1000,AG1=""),1,0)</formula>
    </cfRule>
    <cfRule type="expression" dxfId="55" priority="22258">
      <formula>IF(AND(AI1&gt;=AJ$12,AI1&lt;AJ$13,AG1=""),1,0)</formula>
    </cfRule>
    <cfRule type="expression" dxfId="54" priority="22259">
      <formula>IF(AND(AI1&gt;=AJ$11,AI1&lt;AJ$12,AG1=""),1,0)</formula>
    </cfRule>
    <cfRule type="expression" dxfId="53" priority="22260">
      <formula>IF(AND(AI1&gt;=AJ$10,AI1&lt;AJ$11,AG1=""),1,0)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336" width="10.83203125" hidden="1" customWidth="1"/>
  </cols>
  <sheetData>
    <row r="1" spans="1:336" ht="16" customHeight="1" x14ac:dyDescent="0.2">
      <c r="A1" s="124" t="s">
        <v>1</v>
      </c>
      <c r="B1" s="124" t="s">
        <v>41</v>
      </c>
      <c r="C1" s="124" t="s">
        <v>0</v>
      </c>
      <c r="D1" s="124" t="s">
        <v>98</v>
      </c>
      <c r="E1" s="124" t="s">
        <v>2</v>
      </c>
      <c r="F1" s="130" t="s">
        <v>122</v>
      </c>
      <c r="G1" s="130" t="s">
        <v>123</v>
      </c>
      <c r="H1" s="130" t="s">
        <v>15</v>
      </c>
      <c r="I1" s="124" t="s">
        <v>16</v>
      </c>
      <c r="J1" s="136" t="s">
        <v>126</v>
      </c>
      <c r="K1" s="126" t="s">
        <v>59</v>
      </c>
      <c r="L1" s="136" t="s">
        <v>125</v>
      </c>
      <c r="M1" s="126" t="s">
        <v>59</v>
      </c>
      <c r="N1" s="127" t="s">
        <v>21</v>
      </c>
      <c r="O1" s="126" t="s">
        <v>60</v>
      </c>
      <c r="P1" s="126" t="s">
        <v>59</v>
      </c>
      <c r="Q1" s="120" t="s">
        <v>138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3" t="s">
        <v>156</v>
      </c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8" t="s">
        <v>121</v>
      </c>
      <c r="BJ1" s="128"/>
      <c r="BK1" s="134" t="s">
        <v>155</v>
      </c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5" t="s">
        <v>181</v>
      </c>
      <c r="CG1" s="135"/>
      <c r="CH1" s="135"/>
      <c r="CI1" s="135"/>
      <c r="CJ1" s="135"/>
      <c r="CK1" s="135"/>
      <c r="CL1" s="135"/>
      <c r="CM1" s="135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4" t="s">
        <v>184</v>
      </c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5" t="s">
        <v>192</v>
      </c>
      <c r="DW1" s="135"/>
      <c r="DX1" s="135"/>
      <c r="DY1" s="135"/>
      <c r="DZ1" s="135"/>
      <c r="EA1" s="135"/>
      <c r="EB1" s="135"/>
      <c r="EC1" s="135"/>
      <c r="ED1" s="135"/>
      <c r="EE1" s="135"/>
      <c r="EF1" s="135"/>
      <c r="EG1" s="135"/>
      <c r="EH1" s="135"/>
      <c r="EI1" s="135"/>
      <c r="EJ1" s="135"/>
      <c r="EK1" s="135"/>
      <c r="EL1" s="135"/>
      <c r="EM1" s="135"/>
      <c r="EN1" s="135"/>
      <c r="EO1" s="135"/>
      <c r="EP1" s="135"/>
      <c r="EQ1" s="134"/>
      <c r="ER1" s="134"/>
      <c r="ES1" s="134"/>
      <c r="ET1" s="134"/>
      <c r="EU1" s="134"/>
      <c r="EV1" s="134"/>
      <c r="EW1" s="134"/>
      <c r="EX1" s="134"/>
      <c r="EY1" s="134"/>
      <c r="EZ1" s="134"/>
      <c r="FA1" s="134"/>
      <c r="FB1" s="134"/>
      <c r="FC1" s="134"/>
      <c r="FD1" s="134"/>
      <c r="FE1" s="134"/>
      <c r="FF1" s="134"/>
      <c r="FG1" s="134"/>
      <c r="FH1" s="134"/>
      <c r="FI1" s="134"/>
      <c r="FJ1" s="134"/>
      <c r="FK1" s="134"/>
      <c r="FL1" s="135"/>
      <c r="FM1" s="135"/>
      <c r="FN1" s="135"/>
      <c r="FO1" s="135"/>
      <c r="FP1" s="135"/>
      <c r="FQ1" s="135"/>
      <c r="FR1" s="135"/>
      <c r="FS1" s="135"/>
      <c r="FT1" s="135"/>
      <c r="FU1" s="135"/>
      <c r="FV1" s="135"/>
      <c r="FW1" s="135"/>
      <c r="FX1" s="135"/>
      <c r="FY1" s="135"/>
      <c r="FZ1" s="135"/>
      <c r="GA1" s="135"/>
      <c r="GB1" s="135"/>
      <c r="GC1" s="135"/>
      <c r="GD1" s="135"/>
      <c r="GE1" s="135"/>
      <c r="GF1" s="135"/>
      <c r="GG1" s="134"/>
      <c r="GH1" s="134"/>
      <c r="GI1" s="134"/>
      <c r="GJ1" s="134"/>
      <c r="GK1" s="134"/>
      <c r="GL1" s="134"/>
      <c r="GM1" s="134"/>
      <c r="GN1" s="134"/>
      <c r="GO1" s="134"/>
      <c r="GP1" s="134"/>
      <c r="GQ1" s="134"/>
      <c r="GR1" s="134"/>
      <c r="GS1" s="134"/>
      <c r="GT1" s="134"/>
      <c r="GU1" s="134"/>
      <c r="GV1" s="134"/>
      <c r="GW1" s="134"/>
      <c r="GX1" s="134"/>
      <c r="GY1" s="134"/>
      <c r="GZ1" s="134"/>
      <c r="HA1" s="134"/>
      <c r="HB1" s="135"/>
      <c r="HC1" s="135"/>
      <c r="HD1" s="135"/>
      <c r="HE1" s="135"/>
      <c r="HF1" s="135"/>
      <c r="HG1" s="135"/>
      <c r="HH1" s="135"/>
      <c r="HI1" s="135"/>
      <c r="HJ1" s="135"/>
      <c r="HK1" s="135"/>
      <c r="HL1" s="135"/>
      <c r="HM1" s="135"/>
      <c r="HN1" s="135"/>
      <c r="HO1" s="135"/>
      <c r="HP1" s="135"/>
      <c r="HQ1" s="135"/>
      <c r="HR1" s="135"/>
      <c r="HS1" s="135"/>
      <c r="HT1" s="135"/>
      <c r="HU1" s="135"/>
      <c r="HV1" s="135"/>
      <c r="HW1" s="134"/>
      <c r="HX1" s="134"/>
      <c r="HY1" s="134"/>
      <c r="HZ1" s="134"/>
      <c r="IA1" s="134"/>
      <c r="IB1" s="134"/>
      <c r="IC1" s="134"/>
      <c r="ID1" s="134"/>
      <c r="IE1" s="134"/>
      <c r="IF1" s="134"/>
      <c r="IG1" s="134"/>
      <c r="IH1" s="134"/>
      <c r="II1" s="134"/>
      <c r="IJ1" s="134"/>
      <c r="IK1" s="134"/>
      <c r="IL1" s="134"/>
      <c r="IM1" s="134"/>
      <c r="IN1" s="134"/>
      <c r="IO1" s="134"/>
      <c r="IP1" s="134"/>
      <c r="IQ1" s="134"/>
      <c r="IR1" s="135"/>
      <c r="IS1" s="135"/>
      <c r="IT1" s="135"/>
      <c r="IU1" s="135"/>
      <c r="IV1" s="135"/>
      <c r="IW1" s="135"/>
      <c r="IX1" s="135"/>
      <c r="IY1" s="135"/>
      <c r="IZ1" s="135"/>
      <c r="JA1" s="135"/>
      <c r="JB1" s="135"/>
      <c r="JC1" s="135"/>
      <c r="JD1" s="135"/>
      <c r="JE1" s="135"/>
      <c r="JF1" s="135"/>
      <c r="JG1" s="135"/>
      <c r="JH1" s="135"/>
      <c r="JI1" s="135"/>
      <c r="JJ1" s="135"/>
      <c r="JK1" s="135"/>
      <c r="JL1" s="135"/>
      <c r="JM1" s="134"/>
      <c r="JN1" s="134"/>
      <c r="JO1" s="134"/>
      <c r="JP1" s="134"/>
      <c r="JQ1" s="134"/>
      <c r="JR1" s="134"/>
      <c r="JS1" s="134"/>
      <c r="JT1" s="134"/>
      <c r="JU1" s="134"/>
      <c r="JV1" s="134"/>
      <c r="JW1" s="134"/>
      <c r="JX1" s="134"/>
      <c r="JY1" s="134"/>
      <c r="JZ1" s="134"/>
      <c r="KA1" s="134"/>
      <c r="KB1" s="134"/>
      <c r="KC1" s="134"/>
      <c r="KD1" s="134"/>
      <c r="KE1" s="134"/>
      <c r="KF1" s="134"/>
      <c r="KG1" s="134"/>
      <c r="KH1" s="135"/>
      <c r="KI1" s="135"/>
      <c r="KJ1" s="135"/>
      <c r="KK1" s="135"/>
      <c r="KL1" s="135"/>
      <c r="KM1" s="135"/>
      <c r="KN1" s="135"/>
      <c r="KO1" s="135"/>
      <c r="KP1" s="135"/>
      <c r="KQ1" s="135"/>
      <c r="KR1" s="135"/>
      <c r="KS1" s="135"/>
      <c r="KT1" s="135"/>
      <c r="KU1" s="135"/>
      <c r="KV1" s="135"/>
      <c r="KW1" s="135"/>
      <c r="KX1" s="135"/>
      <c r="KY1" s="135"/>
      <c r="KZ1" s="135"/>
      <c r="LA1" s="135"/>
      <c r="LB1" s="135"/>
      <c r="LC1" s="120" t="s">
        <v>133</v>
      </c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</row>
    <row r="2" spans="1:336" x14ac:dyDescent="0.2">
      <c r="A2" s="124"/>
      <c r="B2" s="124"/>
      <c r="C2" s="124"/>
      <c r="D2" s="124"/>
      <c r="E2" s="124"/>
      <c r="F2" s="130"/>
      <c r="G2" s="130"/>
      <c r="H2" s="130"/>
      <c r="I2" s="124"/>
      <c r="J2" s="136"/>
      <c r="K2" s="126"/>
      <c r="L2" s="136"/>
      <c r="M2" s="126"/>
      <c r="N2" s="127"/>
      <c r="O2" s="126"/>
      <c r="P2" s="126"/>
      <c r="Q2" s="121" t="s">
        <v>44</v>
      </c>
      <c r="R2" s="121"/>
      <c r="S2" s="121"/>
      <c r="T2" s="121"/>
      <c r="U2" s="121" t="s">
        <v>47</v>
      </c>
      <c r="V2" s="121"/>
      <c r="W2" s="121"/>
      <c r="X2" s="121"/>
      <c r="Y2" s="121" t="s">
        <v>48</v>
      </c>
      <c r="Z2" s="121"/>
      <c r="AA2" s="121"/>
      <c r="AB2" s="121"/>
      <c r="AC2" s="129" t="s">
        <v>49</v>
      </c>
      <c r="AD2" s="129"/>
      <c r="AE2" s="129"/>
      <c r="AF2" s="129"/>
      <c r="AG2" s="80"/>
      <c r="AH2" s="95" t="s">
        <v>32</v>
      </c>
      <c r="AI2" s="60" t="s">
        <v>132</v>
      </c>
      <c r="AJ2" s="10" t="s">
        <v>31</v>
      </c>
      <c r="AK2" s="10" t="s">
        <v>30</v>
      </c>
      <c r="AL2" s="10" t="s">
        <v>25</v>
      </c>
      <c r="AM2" s="122" t="s">
        <v>44</v>
      </c>
      <c r="AN2" s="122"/>
      <c r="AO2" s="122"/>
      <c r="AP2" s="122"/>
      <c r="AQ2" s="122" t="s">
        <v>47</v>
      </c>
      <c r="AR2" s="122"/>
      <c r="AS2" s="122"/>
      <c r="AT2" s="122"/>
      <c r="AU2" s="122" t="s">
        <v>48</v>
      </c>
      <c r="AV2" s="122"/>
      <c r="AW2" s="122"/>
      <c r="AX2" s="122"/>
      <c r="AY2" s="133" t="s">
        <v>49</v>
      </c>
      <c r="AZ2" s="133"/>
      <c r="BA2" s="133"/>
      <c r="BB2" s="133"/>
      <c r="BC2" s="81"/>
      <c r="BD2" s="96" t="s">
        <v>32</v>
      </c>
      <c r="BE2" s="96" t="s">
        <v>132</v>
      </c>
      <c r="BF2" s="13" t="s">
        <v>31</v>
      </c>
      <c r="BG2" s="13" t="s">
        <v>30</v>
      </c>
      <c r="BH2" s="13" t="s">
        <v>25</v>
      </c>
      <c r="BI2" s="24" t="s">
        <v>128</v>
      </c>
      <c r="BJ2" s="24" t="s">
        <v>127</v>
      </c>
      <c r="BK2" s="121" t="s">
        <v>44</v>
      </c>
      <c r="BL2" s="121"/>
      <c r="BM2" s="121"/>
      <c r="BN2" s="121"/>
      <c r="BO2" s="121" t="s">
        <v>47</v>
      </c>
      <c r="BP2" s="121"/>
      <c r="BQ2" s="121"/>
      <c r="BR2" s="121"/>
      <c r="BS2" s="121" t="s">
        <v>48</v>
      </c>
      <c r="BT2" s="121"/>
      <c r="BU2" s="121"/>
      <c r="BV2" s="121"/>
      <c r="BW2" s="129" t="s">
        <v>49</v>
      </c>
      <c r="BX2" s="129"/>
      <c r="BY2" s="129"/>
      <c r="BZ2" s="129"/>
      <c r="CA2" s="95" t="s">
        <v>32</v>
      </c>
      <c r="CB2" s="95" t="s">
        <v>132</v>
      </c>
      <c r="CC2" s="10" t="s">
        <v>31</v>
      </c>
      <c r="CD2" s="10" t="s">
        <v>30</v>
      </c>
      <c r="CE2" s="10" t="s">
        <v>25</v>
      </c>
      <c r="CF2" s="133" t="s">
        <v>44</v>
      </c>
      <c r="CG2" s="133"/>
      <c r="CH2" s="133"/>
      <c r="CI2" s="133"/>
      <c r="CJ2" s="133" t="s">
        <v>47</v>
      </c>
      <c r="CK2" s="133"/>
      <c r="CL2" s="133"/>
      <c r="CM2" s="133"/>
      <c r="CN2" s="133" t="s">
        <v>48</v>
      </c>
      <c r="CO2" s="133"/>
      <c r="CP2" s="133"/>
      <c r="CQ2" s="133"/>
      <c r="CR2" s="133" t="s">
        <v>49</v>
      </c>
      <c r="CS2" s="133"/>
      <c r="CT2" s="133"/>
      <c r="CU2" s="133"/>
      <c r="CV2" s="96" t="s">
        <v>32</v>
      </c>
      <c r="CW2" s="96" t="s">
        <v>132</v>
      </c>
      <c r="CX2" s="17" t="s">
        <v>31</v>
      </c>
      <c r="CY2" s="17" t="s">
        <v>30</v>
      </c>
      <c r="CZ2" s="17" t="s">
        <v>25</v>
      </c>
      <c r="DA2" s="129" t="s">
        <v>44</v>
      </c>
      <c r="DB2" s="129"/>
      <c r="DC2" s="129"/>
      <c r="DD2" s="129"/>
      <c r="DE2" s="129" t="s">
        <v>47</v>
      </c>
      <c r="DF2" s="129"/>
      <c r="DG2" s="129"/>
      <c r="DH2" s="129"/>
      <c r="DI2" s="129" t="s">
        <v>48</v>
      </c>
      <c r="DJ2" s="129"/>
      <c r="DK2" s="129"/>
      <c r="DL2" s="129"/>
      <c r="DM2" s="129" t="s">
        <v>49</v>
      </c>
      <c r="DN2" s="129"/>
      <c r="DO2" s="129"/>
      <c r="DP2" s="129"/>
      <c r="DQ2" s="95" t="s">
        <v>32</v>
      </c>
      <c r="DR2" s="95" t="s">
        <v>132</v>
      </c>
      <c r="DS2" s="18" t="s">
        <v>31</v>
      </c>
      <c r="DT2" s="18" t="s">
        <v>30</v>
      </c>
      <c r="DU2" s="18" t="s">
        <v>25</v>
      </c>
      <c r="DV2" s="133" t="s">
        <v>44</v>
      </c>
      <c r="DW2" s="133"/>
      <c r="DX2" s="133"/>
      <c r="DY2" s="133"/>
      <c r="DZ2" s="133" t="s">
        <v>47</v>
      </c>
      <c r="EA2" s="133"/>
      <c r="EB2" s="133"/>
      <c r="EC2" s="133"/>
      <c r="ED2" s="133" t="s">
        <v>48</v>
      </c>
      <c r="EE2" s="133"/>
      <c r="EF2" s="133"/>
      <c r="EG2" s="133"/>
      <c r="EH2" s="133" t="s">
        <v>49</v>
      </c>
      <c r="EI2" s="133"/>
      <c r="EJ2" s="133"/>
      <c r="EK2" s="133"/>
      <c r="EL2" s="96" t="s">
        <v>32</v>
      </c>
      <c r="EM2" s="96" t="s">
        <v>132</v>
      </c>
      <c r="EN2" s="17" t="s">
        <v>31</v>
      </c>
      <c r="EO2" s="17" t="s">
        <v>30</v>
      </c>
      <c r="EP2" s="17" t="s">
        <v>25</v>
      </c>
      <c r="EQ2" s="129" t="s">
        <v>44</v>
      </c>
      <c r="ER2" s="129"/>
      <c r="ES2" s="129"/>
      <c r="ET2" s="129"/>
      <c r="EU2" s="129" t="s">
        <v>47</v>
      </c>
      <c r="EV2" s="129"/>
      <c r="EW2" s="129"/>
      <c r="EX2" s="129"/>
      <c r="EY2" s="129" t="s">
        <v>48</v>
      </c>
      <c r="EZ2" s="129"/>
      <c r="FA2" s="129"/>
      <c r="FB2" s="129"/>
      <c r="FC2" s="129" t="s">
        <v>49</v>
      </c>
      <c r="FD2" s="129"/>
      <c r="FE2" s="129"/>
      <c r="FF2" s="129"/>
      <c r="FG2" s="95" t="s">
        <v>32</v>
      </c>
      <c r="FH2" s="95" t="s">
        <v>132</v>
      </c>
      <c r="FI2" s="18" t="s">
        <v>31</v>
      </c>
      <c r="FJ2" s="18" t="s">
        <v>30</v>
      </c>
      <c r="FK2" s="18" t="s">
        <v>25</v>
      </c>
      <c r="FL2" s="133" t="s">
        <v>44</v>
      </c>
      <c r="FM2" s="133"/>
      <c r="FN2" s="133"/>
      <c r="FO2" s="133"/>
      <c r="FP2" s="133" t="s">
        <v>47</v>
      </c>
      <c r="FQ2" s="133"/>
      <c r="FR2" s="133"/>
      <c r="FS2" s="133"/>
      <c r="FT2" s="133" t="s">
        <v>48</v>
      </c>
      <c r="FU2" s="133"/>
      <c r="FV2" s="133"/>
      <c r="FW2" s="133"/>
      <c r="FX2" s="133" t="s">
        <v>49</v>
      </c>
      <c r="FY2" s="133"/>
      <c r="FZ2" s="133"/>
      <c r="GA2" s="133"/>
      <c r="GB2" s="97" t="s">
        <v>32</v>
      </c>
      <c r="GC2" s="97" t="s">
        <v>132</v>
      </c>
      <c r="GD2" s="17" t="s">
        <v>31</v>
      </c>
      <c r="GE2" s="17" t="s">
        <v>30</v>
      </c>
      <c r="GF2" s="17" t="s">
        <v>25</v>
      </c>
      <c r="GG2" s="129" t="s">
        <v>44</v>
      </c>
      <c r="GH2" s="129"/>
      <c r="GI2" s="129"/>
      <c r="GJ2" s="129"/>
      <c r="GK2" s="129" t="s">
        <v>47</v>
      </c>
      <c r="GL2" s="129"/>
      <c r="GM2" s="129"/>
      <c r="GN2" s="129"/>
      <c r="GO2" s="129" t="s">
        <v>48</v>
      </c>
      <c r="GP2" s="129"/>
      <c r="GQ2" s="129"/>
      <c r="GR2" s="129"/>
      <c r="GS2" s="129" t="s">
        <v>49</v>
      </c>
      <c r="GT2" s="129"/>
      <c r="GU2" s="129"/>
      <c r="GV2" s="129"/>
      <c r="GW2" s="98" t="s">
        <v>32</v>
      </c>
      <c r="GX2" s="98" t="s">
        <v>132</v>
      </c>
      <c r="GY2" s="18" t="s">
        <v>31</v>
      </c>
      <c r="GZ2" s="18" t="s">
        <v>30</v>
      </c>
      <c r="HA2" s="18" t="s">
        <v>25</v>
      </c>
      <c r="HB2" s="133" t="s">
        <v>44</v>
      </c>
      <c r="HC2" s="133"/>
      <c r="HD2" s="133"/>
      <c r="HE2" s="133"/>
      <c r="HF2" s="133" t="s">
        <v>47</v>
      </c>
      <c r="HG2" s="133"/>
      <c r="HH2" s="133"/>
      <c r="HI2" s="133"/>
      <c r="HJ2" s="133" t="s">
        <v>48</v>
      </c>
      <c r="HK2" s="133"/>
      <c r="HL2" s="133"/>
      <c r="HM2" s="133"/>
      <c r="HN2" s="133" t="s">
        <v>49</v>
      </c>
      <c r="HO2" s="133"/>
      <c r="HP2" s="133"/>
      <c r="HQ2" s="133"/>
      <c r="HR2" s="97" t="s">
        <v>32</v>
      </c>
      <c r="HS2" s="97" t="s">
        <v>132</v>
      </c>
      <c r="HT2" s="17" t="s">
        <v>31</v>
      </c>
      <c r="HU2" s="17" t="s">
        <v>30</v>
      </c>
      <c r="HV2" s="17" t="s">
        <v>25</v>
      </c>
      <c r="HW2" s="129" t="s">
        <v>44</v>
      </c>
      <c r="HX2" s="129"/>
      <c r="HY2" s="129"/>
      <c r="HZ2" s="129"/>
      <c r="IA2" s="129" t="s">
        <v>47</v>
      </c>
      <c r="IB2" s="129"/>
      <c r="IC2" s="129"/>
      <c r="ID2" s="129"/>
      <c r="IE2" s="129" t="s">
        <v>48</v>
      </c>
      <c r="IF2" s="129"/>
      <c r="IG2" s="129"/>
      <c r="IH2" s="129"/>
      <c r="II2" s="129" t="s">
        <v>49</v>
      </c>
      <c r="IJ2" s="129"/>
      <c r="IK2" s="129"/>
      <c r="IL2" s="129"/>
      <c r="IM2" s="98" t="s">
        <v>32</v>
      </c>
      <c r="IN2" s="98" t="s">
        <v>132</v>
      </c>
      <c r="IO2" s="18" t="s">
        <v>31</v>
      </c>
      <c r="IP2" s="18" t="s">
        <v>30</v>
      </c>
      <c r="IQ2" s="18" t="s">
        <v>25</v>
      </c>
      <c r="IR2" s="133" t="s">
        <v>44</v>
      </c>
      <c r="IS2" s="133"/>
      <c r="IT2" s="133"/>
      <c r="IU2" s="133"/>
      <c r="IV2" s="133" t="s">
        <v>47</v>
      </c>
      <c r="IW2" s="133"/>
      <c r="IX2" s="133"/>
      <c r="IY2" s="133"/>
      <c r="IZ2" s="133" t="s">
        <v>48</v>
      </c>
      <c r="JA2" s="133"/>
      <c r="JB2" s="133"/>
      <c r="JC2" s="133"/>
      <c r="JD2" s="133" t="s">
        <v>49</v>
      </c>
      <c r="JE2" s="133"/>
      <c r="JF2" s="133"/>
      <c r="JG2" s="133"/>
      <c r="JH2" s="97" t="s">
        <v>32</v>
      </c>
      <c r="JI2" s="97" t="s">
        <v>132</v>
      </c>
      <c r="JJ2" s="17" t="s">
        <v>31</v>
      </c>
      <c r="JK2" s="17" t="s">
        <v>30</v>
      </c>
      <c r="JL2" s="17" t="s">
        <v>25</v>
      </c>
      <c r="JM2" s="129" t="s">
        <v>44</v>
      </c>
      <c r="JN2" s="129"/>
      <c r="JO2" s="129"/>
      <c r="JP2" s="129"/>
      <c r="JQ2" s="129" t="s">
        <v>47</v>
      </c>
      <c r="JR2" s="129"/>
      <c r="JS2" s="129"/>
      <c r="JT2" s="129"/>
      <c r="JU2" s="129" t="s">
        <v>48</v>
      </c>
      <c r="JV2" s="129"/>
      <c r="JW2" s="129"/>
      <c r="JX2" s="129"/>
      <c r="JY2" s="129" t="s">
        <v>49</v>
      </c>
      <c r="JZ2" s="129"/>
      <c r="KA2" s="129"/>
      <c r="KB2" s="129"/>
      <c r="KC2" s="98" t="s">
        <v>32</v>
      </c>
      <c r="KD2" s="98" t="s">
        <v>132</v>
      </c>
      <c r="KE2" s="18" t="s">
        <v>31</v>
      </c>
      <c r="KF2" s="18" t="s">
        <v>30</v>
      </c>
      <c r="KG2" s="18" t="s">
        <v>25</v>
      </c>
      <c r="KH2" s="133" t="s">
        <v>44</v>
      </c>
      <c r="KI2" s="133"/>
      <c r="KJ2" s="133"/>
      <c r="KK2" s="133"/>
      <c r="KL2" s="133" t="s">
        <v>47</v>
      </c>
      <c r="KM2" s="133"/>
      <c r="KN2" s="133"/>
      <c r="KO2" s="133"/>
      <c r="KP2" s="133" t="s">
        <v>48</v>
      </c>
      <c r="KQ2" s="133"/>
      <c r="KR2" s="133"/>
      <c r="KS2" s="133"/>
      <c r="KT2" s="133" t="s">
        <v>49</v>
      </c>
      <c r="KU2" s="133"/>
      <c r="KV2" s="133"/>
      <c r="KW2" s="133"/>
      <c r="KX2" s="97" t="s">
        <v>32</v>
      </c>
      <c r="KY2" s="97" t="s">
        <v>132</v>
      </c>
      <c r="KZ2" s="17" t="s">
        <v>31</v>
      </c>
      <c r="LA2" s="17" t="s">
        <v>30</v>
      </c>
      <c r="LB2" s="17" t="s">
        <v>25</v>
      </c>
      <c r="LC2" s="121" t="s">
        <v>44</v>
      </c>
      <c r="LD2" s="121"/>
      <c r="LE2" s="121"/>
      <c r="LF2" s="121"/>
      <c r="LG2" s="121" t="s">
        <v>47</v>
      </c>
      <c r="LH2" s="121"/>
      <c r="LI2" s="121"/>
      <c r="LJ2" s="121"/>
      <c r="LK2" s="121" t="s">
        <v>48</v>
      </c>
      <c r="LL2" s="121"/>
      <c r="LM2" s="121"/>
      <c r="LN2" s="121"/>
      <c r="LO2" s="129" t="s">
        <v>49</v>
      </c>
      <c r="LP2" s="129"/>
      <c r="LQ2" s="129"/>
      <c r="LR2" s="129"/>
      <c r="LS2" s="111"/>
      <c r="LT2" s="111" t="s">
        <v>32</v>
      </c>
      <c r="LU2" s="111" t="s">
        <v>132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4"/>
      <c r="B3" s="124"/>
      <c r="C3" s="124"/>
      <c r="D3" s="124"/>
      <c r="E3" s="124"/>
      <c r="F3" s="130"/>
      <c r="G3" s="130"/>
      <c r="H3" s="130"/>
      <c r="I3" s="124"/>
      <c r="J3" s="136"/>
      <c r="K3" s="126"/>
      <c r="L3" s="136"/>
      <c r="M3" s="126"/>
      <c r="N3" s="127"/>
      <c r="O3" s="126"/>
      <c r="P3" s="126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95</v>
      </c>
      <c r="AH3" s="11"/>
      <c r="AI3" s="11"/>
      <c r="AJ3" s="10"/>
      <c r="AK3" s="11"/>
      <c r="AL3" s="11"/>
      <c r="AM3" s="59" t="s">
        <v>22</v>
      </c>
      <c r="AN3" s="59" t="s">
        <v>14</v>
      </c>
      <c r="AO3" s="59" t="s">
        <v>45</v>
      </c>
      <c r="AP3" s="59" t="s">
        <v>46</v>
      </c>
      <c r="AQ3" s="59" t="s">
        <v>22</v>
      </c>
      <c r="AR3" s="59" t="s">
        <v>14</v>
      </c>
      <c r="AS3" s="59" t="s">
        <v>45</v>
      </c>
      <c r="AT3" s="59" t="s">
        <v>46</v>
      </c>
      <c r="AU3" s="59" t="s">
        <v>22</v>
      </c>
      <c r="AV3" s="59" t="s">
        <v>14</v>
      </c>
      <c r="AW3" s="59" t="s">
        <v>45</v>
      </c>
      <c r="AX3" s="59" t="s">
        <v>46</v>
      </c>
      <c r="AY3" s="64" t="s">
        <v>22</v>
      </c>
      <c r="AZ3" s="64" t="s">
        <v>14</v>
      </c>
      <c r="BA3" s="64" t="s">
        <v>45</v>
      </c>
      <c r="BB3" s="64" t="s">
        <v>46</v>
      </c>
      <c r="BC3" s="81" t="s">
        <v>95</v>
      </c>
      <c r="BD3" s="14"/>
      <c r="BE3" s="14"/>
      <c r="BF3" s="13"/>
      <c r="BG3" s="14"/>
      <c r="BH3" s="14"/>
      <c r="BI3" s="25"/>
      <c r="BJ3" s="25"/>
      <c r="BK3" s="60" t="s">
        <v>22</v>
      </c>
      <c r="BL3" s="60" t="s">
        <v>14</v>
      </c>
      <c r="BM3" s="60" t="s">
        <v>45</v>
      </c>
      <c r="BN3" s="60" t="s">
        <v>46</v>
      </c>
      <c r="BO3" s="60" t="s">
        <v>22</v>
      </c>
      <c r="BP3" s="60" t="s">
        <v>14</v>
      </c>
      <c r="BQ3" s="60" t="s">
        <v>45</v>
      </c>
      <c r="BR3" s="60" t="s">
        <v>46</v>
      </c>
      <c r="BS3" s="60" t="s">
        <v>22</v>
      </c>
      <c r="BT3" s="60" t="s">
        <v>14</v>
      </c>
      <c r="BU3" s="60" t="s">
        <v>45</v>
      </c>
      <c r="BV3" s="60" t="s">
        <v>46</v>
      </c>
      <c r="BW3" s="63" t="s">
        <v>22</v>
      </c>
      <c r="BX3" s="63" t="s">
        <v>14</v>
      </c>
      <c r="BY3" s="63" t="s">
        <v>45</v>
      </c>
      <c r="BZ3" s="63" t="s">
        <v>46</v>
      </c>
      <c r="CA3" s="11"/>
      <c r="CB3" s="11"/>
      <c r="CC3" s="10"/>
      <c r="CD3" s="11"/>
      <c r="CE3" s="11"/>
      <c r="CF3" s="64" t="s">
        <v>22</v>
      </c>
      <c r="CG3" s="64" t="s">
        <v>14</v>
      </c>
      <c r="CH3" s="64" t="s">
        <v>45</v>
      </c>
      <c r="CI3" s="64" t="s">
        <v>46</v>
      </c>
      <c r="CJ3" s="64" t="s">
        <v>22</v>
      </c>
      <c r="CK3" s="64" t="s">
        <v>14</v>
      </c>
      <c r="CL3" s="64" t="s">
        <v>45</v>
      </c>
      <c r="CM3" s="64" t="s">
        <v>46</v>
      </c>
      <c r="CN3" s="64" t="s">
        <v>22</v>
      </c>
      <c r="CO3" s="64" t="s">
        <v>14</v>
      </c>
      <c r="CP3" s="64" t="s">
        <v>45</v>
      </c>
      <c r="CQ3" s="64" t="s">
        <v>46</v>
      </c>
      <c r="CR3" s="64" t="s">
        <v>22</v>
      </c>
      <c r="CS3" s="64" t="s">
        <v>14</v>
      </c>
      <c r="CT3" s="64" t="s">
        <v>45</v>
      </c>
      <c r="CU3" s="64" t="s">
        <v>46</v>
      </c>
      <c r="CV3" s="14"/>
      <c r="CW3" s="14"/>
      <c r="CX3" s="17"/>
      <c r="CY3" s="17"/>
      <c r="CZ3" s="17"/>
      <c r="DA3" s="63" t="s">
        <v>22</v>
      </c>
      <c r="DB3" s="63" t="s">
        <v>14</v>
      </c>
      <c r="DC3" s="63" t="s">
        <v>45</v>
      </c>
      <c r="DD3" s="63" t="s">
        <v>46</v>
      </c>
      <c r="DE3" s="63" t="s">
        <v>22</v>
      </c>
      <c r="DF3" s="63" t="s">
        <v>14</v>
      </c>
      <c r="DG3" s="63" t="s">
        <v>45</v>
      </c>
      <c r="DH3" s="63" t="s">
        <v>46</v>
      </c>
      <c r="DI3" s="63" t="s">
        <v>22</v>
      </c>
      <c r="DJ3" s="63" t="s">
        <v>14</v>
      </c>
      <c r="DK3" s="63" t="s">
        <v>45</v>
      </c>
      <c r="DL3" s="63" t="s">
        <v>46</v>
      </c>
      <c r="DM3" s="63" t="s">
        <v>22</v>
      </c>
      <c r="DN3" s="63" t="s">
        <v>14</v>
      </c>
      <c r="DO3" s="63" t="s">
        <v>45</v>
      </c>
      <c r="DP3" s="63" t="s">
        <v>46</v>
      </c>
      <c r="DQ3" s="11"/>
      <c r="DR3" s="11"/>
      <c r="DS3" s="18"/>
      <c r="DT3" s="18"/>
      <c r="DU3" s="18"/>
      <c r="DV3" s="64" t="s">
        <v>22</v>
      </c>
      <c r="DW3" s="64" t="s">
        <v>14</v>
      </c>
      <c r="DX3" s="64" t="s">
        <v>45</v>
      </c>
      <c r="DY3" s="64" t="s">
        <v>46</v>
      </c>
      <c r="DZ3" s="64" t="s">
        <v>22</v>
      </c>
      <c r="EA3" s="64" t="s">
        <v>14</v>
      </c>
      <c r="EB3" s="64" t="s">
        <v>45</v>
      </c>
      <c r="EC3" s="64" t="s">
        <v>46</v>
      </c>
      <c r="ED3" s="64" t="s">
        <v>22</v>
      </c>
      <c r="EE3" s="64" t="s">
        <v>14</v>
      </c>
      <c r="EF3" s="64" t="s">
        <v>45</v>
      </c>
      <c r="EG3" s="64" t="s">
        <v>46</v>
      </c>
      <c r="EH3" s="64" t="s">
        <v>22</v>
      </c>
      <c r="EI3" s="64" t="s">
        <v>14</v>
      </c>
      <c r="EJ3" s="64" t="s">
        <v>45</v>
      </c>
      <c r="EK3" s="64" t="s">
        <v>46</v>
      </c>
      <c r="EL3" s="14"/>
      <c r="EM3" s="14"/>
      <c r="EN3" s="17"/>
      <c r="EO3" s="17"/>
      <c r="EP3" s="17"/>
      <c r="EQ3" s="36" t="s">
        <v>22</v>
      </c>
      <c r="ER3" s="36" t="s">
        <v>14</v>
      </c>
      <c r="ES3" s="36" t="s">
        <v>45</v>
      </c>
      <c r="ET3" s="36" t="s">
        <v>46</v>
      </c>
      <c r="EU3" s="36" t="s">
        <v>22</v>
      </c>
      <c r="EV3" s="36" t="s">
        <v>14</v>
      </c>
      <c r="EW3" s="36" t="s">
        <v>45</v>
      </c>
      <c r="EX3" s="36" t="s">
        <v>46</v>
      </c>
      <c r="EY3" s="36" t="s">
        <v>22</v>
      </c>
      <c r="EZ3" s="36" t="s">
        <v>14</v>
      </c>
      <c r="FA3" s="36" t="s">
        <v>45</v>
      </c>
      <c r="FB3" s="36" t="s">
        <v>46</v>
      </c>
      <c r="FC3" s="36" t="s">
        <v>22</v>
      </c>
      <c r="FD3" s="36" t="s">
        <v>14</v>
      </c>
      <c r="FE3" s="36" t="s">
        <v>45</v>
      </c>
      <c r="FF3" s="36" t="s">
        <v>46</v>
      </c>
      <c r="FG3" s="11"/>
      <c r="FH3" s="11"/>
      <c r="FI3" s="18"/>
      <c r="FJ3" s="18"/>
      <c r="FK3" s="18"/>
      <c r="FL3" s="35" t="s">
        <v>22</v>
      </c>
      <c r="FM3" s="35" t="s">
        <v>14</v>
      </c>
      <c r="FN3" s="35" t="s">
        <v>45</v>
      </c>
      <c r="FO3" s="35" t="s">
        <v>46</v>
      </c>
      <c r="FP3" s="35" t="s">
        <v>22</v>
      </c>
      <c r="FQ3" s="35" t="s">
        <v>14</v>
      </c>
      <c r="FR3" s="35" t="s">
        <v>45</v>
      </c>
      <c r="FS3" s="35" t="s">
        <v>46</v>
      </c>
      <c r="FT3" s="35" t="s">
        <v>22</v>
      </c>
      <c r="FU3" s="35" t="s">
        <v>14</v>
      </c>
      <c r="FV3" s="35" t="s">
        <v>45</v>
      </c>
      <c r="FW3" s="35" t="s">
        <v>46</v>
      </c>
      <c r="FX3" s="35" t="s">
        <v>22</v>
      </c>
      <c r="FY3" s="35" t="s">
        <v>14</v>
      </c>
      <c r="FZ3" s="35" t="s">
        <v>45</v>
      </c>
      <c r="GA3" s="35" t="s">
        <v>46</v>
      </c>
      <c r="GB3" s="14"/>
      <c r="GC3" s="14"/>
      <c r="GD3" s="17"/>
      <c r="GE3" s="17"/>
      <c r="GF3" s="17"/>
      <c r="GG3" s="36" t="s">
        <v>22</v>
      </c>
      <c r="GH3" s="36" t="s">
        <v>14</v>
      </c>
      <c r="GI3" s="36" t="s">
        <v>45</v>
      </c>
      <c r="GJ3" s="36" t="s">
        <v>46</v>
      </c>
      <c r="GK3" s="36" t="s">
        <v>22</v>
      </c>
      <c r="GL3" s="36" t="s">
        <v>14</v>
      </c>
      <c r="GM3" s="36" t="s">
        <v>45</v>
      </c>
      <c r="GN3" s="36" t="s">
        <v>46</v>
      </c>
      <c r="GO3" s="36" t="s">
        <v>22</v>
      </c>
      <c r="GP3" s="36" t="s">
        <v>14</v>
      </c>
      <c r="GQ3" s="36" t="s">
        <v>45</v>
      </c>
      <c r="GR3" s="36" t="s">
        <v>46</v>
      </c>
      <c r="GS3" s="36" t="s">
        <v>22</v>
      </c>
      <c r="GT3" s="36" t="s">
        <v>14</v>
      </c>
      <c r="GU3" s="36" t="s">
        <v>45</v>
      </c>
      <c r="GV3" s="36" t="s">
        <v>46</v>
      </c>
      <c r="GW3" s="11"/>
      <c r="GX3" s="11"/>
      <c r="GY3" s="18"/>
      <c r="GZ3" s="18"/>
      <c r="HA3" s="18"/>
      <c r="HB3" s="35" t="s">
        <v>22</v>
      </c>
      <c r="HC3" s="35" t="s">
        <v>14</v>
      </c>
      <c r="HD3" s="35" t="s">
        <v>45</v>
      </c>
      <c r="HE3" s="35" t="s">
        <v>46</v>
      </c>
      <c r="HF3" s="35" t="s">
        <v>22</v>
      </c>
      <c r="HG3" s="35" t="s">
        <v>14</v>
      </c>
      <c r="HH3" s="35" t="s">
        <v>45</v>
      </c>
      <c r="HI3" s="35" t="s">
        <v>46</v>
      </c>
      <c r="HJ3" s="35" t="s">
        <v>22</v>
      </c>
      <c r="HK3" s="35" t="s">
        <v>14</v>
      </c>
      <c r="HL3" s="35" t="s">
        <v>45</v>
      </c>
      <c r="HM3" s="35" t="s">
        <v>46</v>
      </c>
      <c r="HN3" s="35" t="s">
        <v>22</v>
      </c>
      <c r="HO3" s="35" t="s">
        <v>14</v>
      </c>
      <c r="HP3" s="35" t="s">
        <v>45</v>
      </c>
      <c r="HQ3" s="35" t="s">
        <v>46</v>
      </c>
      <c r="HR3" s="14"/>
      <c r="HS3" s="14"/>
      <c r="HT3" s="17"/>
      <c r="HU3" s="17"/>
      <c r="HV3" s="17"/>
      <c r="HW3" s="36" t="s">
        <v>22</v>
      </c>
      <c r="HX3" s="36" t="s">
        <v>14</v>
      </c>
      <c r="HY3" s="36" t="s">
        <v>45</v>
      </c>
      <c r="HZ3" s="36" t="s">
        <v>46</v>
      </c>
      <c r="IA3" s="36" t="s">
        <v>22</v>
      </c>
      <c r="IB3" s="36" t="s">
        <v>14</v>
      </c>
      <c r="IC3" s="36" t="s">
        <v>45</v>
      </c>
      <c r="ID3" s="36" t="s">
        <v>46</v>
      </c>
      <c r="IE3" s="36" t="s">
        <v>22</v>
      </c>
      <c r="IF3" s="36" t="s">
        <v>14</v>
      </c>
      <c r="IG3" s="36" t="s">
        <v>45</v>
      </c>
      <c r="IH3" s="36" t="s">
        <v>46</v>
      </c>
      <c r="II3" s="36" t="s">
        <v>22</v>
      </c>
      <c r="IJ3" s="36" t="s">
        <v>14</v>
      </c>
      <c r="IK3" s="36" t="s">
        <v>45</v>
      </c>
      <c r="IL3" s="36" t="s">
        <v>46</v>
      </c>
      <c r="IM3" s="11"/>
      <c r="IN3" s="11"/>
      <c r="IO3" s="18"/>
      <c r="IP3" s="18"/>
      <c r="IQ3" s="18"/>
      <c r="IR3" s="35" t="s">
        <v>22</v>
      </c>
      <c r="IS3" s="35" t="s">
        <v>14</v>
      </c>
      <c r="IT3" s="35" t="s">
        <v>45</v>
      </c>
      <c r="IU3" s="35" t="s">
        <v>46</v>
      </c>
      <c r="IV3" s="35" t="s">
        <v>22</v>
      </c>
      <c r="IW3" s="35" t="s">
        <v>14</v>
      </c>
      <c r="IX3" s="35" t="s">
        <v>45</v>
      </c>
      <c r="IY3" s="35" t="s">
        <v>46</v>
      </c>
      <c r="IZ3" s="35" t="s">
        <v>22</v>
      </c>
      <c r="JA3" s="35" t="s">
        <v>14</v>
      </c>
      <c r="JB3" s="35" t="s">
        <v>45</v>
      </c>
      <c r="JC3" s="35" t="s">
        <v>46</v>
      </c>
      <c r="JD3" s="35" t="s">
        <v>22</v>
      </c>
      <c r="JE3" s="35" t="s">
        <v>14</v>
      </c>
      <c r="JF3" s="35" t="s">
        <v>45</v>
      </c>
      <c r="JG3" s="35" t="s">
        <v>46</v>
      </c>
      <c r="JH3" s="14"/>
      <c r="JI3" s="14"/>
      <c r="JJ3" s="17"/>
      <c r="JK3" s="17"/>
      <c r="JL3" s="17"/>
      <c r="JM3" s="36" t="s">
        <v>22</v>
      </c>
      <c r="JN3" s="36" t="s">
        <v>14</v>
      </c>
      <c r="JO3" s="36" t="s">
        <v>45</v>
      </c>
      <c r="JP3" s="36" t="s">
        <v>46</v>
      </c>
      <c r="JQ3" s="36" t="s">
        <v>22</v>
      </c>
      <c r="JR3" s="36" t="s">
        <v>14</v>
      </c>
      <c r="JS3" s="36" t="s">
        <v>45</v>
      </c>
      <c r="JT3" s="36" t="s">
        <v>46</v>
      </c>
      <c r="JU3" s="36" t="s">
        <v>22</v>
      </c>
      <c r="JV3" s="36" t="s">
        <v>14</v>
      </c>
      <c r="JW3" s="36" t="s">
        <v>45</v>
      </c>
      <c r="JX3" s="36" t="s">
        <v>46</v>
      </c>
      <c r="JY3" s="36" t="s">
        <v>22</v>
      </c>
      <c r="JZ3" s="36" t="s">
        <v>14</v>
      </c>
      <c r="KA3" s="36" t="s">
        <v>45</v>
      </c>
      <c r="KB3" s="36" t="s">
        <v>46</v>
      </c>
      <c r="KC3" s="11"/>
      <c r="KD3" s="11"/>
      <c r="KE3" s="18"/>
      <c r="KF3" s="18"/>
      <c r="KG3" s="18"/>
      <c r="KH3" s="35" t="s">
        <v>22</v>
      </c>
      <c r="KI3" s="35" t="s">
        <v>14</v>
      </c>
      <c r="KJ3" s="35" t="s">
        <v>45</v>
      </c>
      <c r="KK3" s="35" t="s">
        <v>46</v>
      </c>
      <c r="KL3" s="35" t="s">
        <v>22</v>
      </c>
      <c r="KM3" s="35" t="s">
        <v>14</v>
      </c>
      <c r="KN3" s="35" t="s">
        <v>45</v>
      </c>
      <c r="KO3" s="35" t="s">
        <v>46</v>
      </c>
      <c r="KP3" s="35" t="s">
        <v>22</v>
      </c>
      <c r="KQ3" s="35" t="s">
        <v>14</v>
      </c>
      <c r="KR3" s="35" t="s">
        <v>45</v>
      </c>
      <c r="KS3" s="35" t="s">
        <v>46</v>
      </c>
      <c r="KT3" s="35" t="s">
        <v>22</v>
      </c>
      <c r="KU3" s="35" t="s">
        <v>14</v>
      </c>
      <c r="KV3" s="35" t="s">
        <v>45</v>
      </c>
      <c r="KW3" s="35" t="s">
        <v>46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45</v>
      </c>
      <c r="LF3" s="111" t="s">
        <v>46</v>
      </c>
      <c r="LG3" s="111" t="s">
        <v>22</v>
      </c>
      <c r="LH3" s="111" t="s">
        <v>14</v>
      </c>
      <c r="LI3" s="111" t="s">
        <v>45</v>
      </c>
      <c r="LJ3" s="111" t="s">
        <v>46</v>
      </c>
      <c r="LK3" s="111" t="s">
        <v>22</v>
      </c>
      <c r="LL3" s="111" t="s">
        <v>14</v>
      </c>
      <c r="LM3" s="111" t="s">
        <v>45</v>
      </c>
      <c r="LN3" s="111" t="s">
        <v>46</v>
      </c>
      <c r="LO3" s="112" t="s">
        <v>22</v>
      </c>
      <c r="LP3" s="112" t="s">
        <v>14</v>
      </c>
      <c r="LQ3" s="112" t="s">
        <v>45</v>
      </c>
      <c r="LR3" s="112" t="s">
        <v>46</v>
      </c>
      <c r="LS3" s="111" t="s">
        <v>95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IF(AND(F4="P",H4="P"),SUMPRODUCT((F$4:F$15="P")*(H$4:H$15="P")*(E$4:E$15&gt;E4))+1,IF(H4="P",SUMPRODUCT((F$4:F$15="")*(H$4:H$15="P")*(E$4:E$15&gt;E4))+1+SUMPRODUCT((F$4:F$15="P")*(H$4:H$15="P")),""))</f>
        <v>1</v>
      </c>
      <c r="B4" s="9" t="s">
        <v>12</v>
      </c>
      <c r="C4" s="5" t="s">
        <v>6</v>
      </c>
      <c r="D4" s="6">
        <v>1996</v>
      </c>
      <c r="E4" s="16">
        <f>SUM(J4:N4)</f>
        <v>217.40000000000003</v>
      </c>
      <c r="F4" s="4" t="str">
        <f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>P</v>
      </c>
      <c r="G4" s="4" t="str">
        <f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>P</v>
      </c>
      <c r="H4" s="4" t="str">
        <f>IF(OR(AND(AJ4&gt;=AK$20,AJ4&lt;&gt;"",AG4=""),AND(BF4&gt;=BG$20,BF4&lt;&gt;"",BC4=""),AND(CC4&gt;=CD$20,CC4&lt;&gt;""),AND(CX4&gt;=CY$20,CX4&lt;&gt;""),AND(DS4&gt;=DT$20,DS4&lt;&gt;""),AND(EN4&gt;=EO$20,EN4&lt;&gt;""),AND(FI4&gt;=FJ$20,FI4&lt;&gt;""),AND(GD4&gt;=GE$20,GD4&lt;&gt;""),AND(GY4&gt;=GZ$20,GY4&lt;&gt;""),AND(HT4&gt;=HU$20,HT4&lt;&gt;""),AND(IO4&gt;=IP$20,IO4&lt;&gt;""),AND(JJ4&gt;=JK$20,JJ4&lt;&gt;""),AND(KE4&gt;=KF$20,KE4&lt;&gt;""),AND(KZ4&gt;=LA$20,KZ4&lt;&gt;"")),"P","")</f>
        <v>P</v>
      </c>
      <c r="I4" t="str">
        <f>IF(AND(H4="P",F4=""),"No DD",IF(OR(AND(AI4&gt;=AK$19,AI4&lt;&gt;"",AL4&gt;=AK$23,AL4&lt;&gt;"",AG4=""),AND(BE4&gt;=BG$19,BE4&lt;&gt;"",BH4&gt;=BG$23,BH4&lt;&gt;"",BC4=""),AND(CB4&gt;=CD$19,CB4&lt;&gt;"",CE4&gt;=CD$23,CE4&lt;&gt;""),AND(CW4&gt;=CY$19,CW4&lt;&gt;"",CZ4&gt;=CY$23,CZ4&lt;&gt;""),AND(DR4&gt;=DT$19,DR4&lt;&gt;"",DU4&gt;=DT$23,DU4&lt;&gt;""),AND(EM4&gt;=EO$19,EM4&lt;&gt;"",EP4&gt;=EO$23,EP4&lt;&gt;""),AND(FH4&gt;=FJ$19,FH4&lt;&gt;"",FK4&gt;=FJ$23,FK4&lt;&gt;""),AND(GC4&gt;=GE$19,GC4&lt;&gt;"",GF4&gt;=GE$23,GF4&lt;&gt;""),AND(GX4&gt;=GZ$19,GX4&lt;&gt;"",HA4&gt;=GZ$23,HA4&lt;&gt;""),AND(HS4&gt;=HU$19,HS4&lt;&gt;"",HV4&gt;=HU$23,HV4&lt;&gt;""),AND(IN4&gt;=IP$19,IN4&lt;&gt;"",IQ4&gt;=IP$23,IQ4&lt;&gt;""),AND(JI4&gt;=JK$19,JI4&lt;&gt;"",JL4&gt;=JK$23,JL4&lt;&gt;""),AND(KD4&gt;=KF$19,KD4&lt;&gt;"",KG4&gt;=KF$23,KG4&lt;&gt;""),AND(KY4&gt;=LA$19,KY4&lt;&gt;"",LB4&gt;=LA$23,LB4&lt;&gt;"")),"Merit",IF(OR(AND(AI4&gt;=AK$19,AI4&lt;&gt;"",AL4&gt;=AK$22,AL4&lt;&gt;"",AG4=""),AND(BE4&gt;=BG$19,BE4&lt;&gt;"",BH4&gt;=BG$22,BH4&lt;&gt;"",BC4=""),AND(CB4&gt;=CD$19,CB4&lt;&gt;"",CE4&gt;=CD$22,CE4&lt;&gt;""),AND(CW4&gt;=CY$19,CW4&lt;&gt;"",CZ4&gt;=CY$22,CZ4&lt;&gt;""),AND(DR4&gt;=DT$19,DR4&lt;&gt;"",DU4&gt;=DT$22,DU4&lt;&gt;""),AND(EM4&gt;=EO$19,EM4&lt;&gt;"",EP4&gt;=EO$22,EP4&lt;&gt;""),AND(FH4&gt;=FJ$19,FH4&lt;&gt;"",FK4&gt;=FJ$22,FK4&lt;&gt;""),AND(GC4&gt;=GE$19,GC4&lt;&gt;"",GF4&gt;=GE$22,GF4&lt;&gt;""),AND(GX4&gt;=GZ$19,GX4&lt;&gt;"",HA4&gt;=GZ$22,HA4&lt;&gt;""),AND(HS4&gt;=HU$19,HS4&lt;&gt;"",HV4&gt;=HU$22,HV4&lt;&gt;""),AND(IN4&gt;=IP$19,IN4&lt;&gt;"",IQ4&gt;=IP$22,IQ4&lt;&gt;""),AND(JI4&gt;=JK$19,JI4&lt;&gt;"",JL4&gt;=JK$22,JL4&lt;&gt;""),AND(KD4&gt;=KF$19,KD4&lt;&gt;"",KG4&gt;=KF$22,KG4&lt;&gt;""),AND(KY4&gt;=LA$19,KY4&lt;&gt;"",LB4&gt;=LA$22,LB4&lt;&gt;"")),"Excellence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Worlds Team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National Team","")))))</f>
        <v>Merit</v>
      </c>
      <c r="J4" s="15">
        <f>IF(MAX(AL4,BH4)&gt;0,MAX(AL4,BH4),"")</f>
        <v>143.30000000000001</v>
      </c>
      <c r="K4" s="15" t="str">
        <f>IF(J4="","",IF(J4=BH4,$AM$1,IF(J4=AL4,$Q$1,"")))</f>
        <v>2019 Nationals</v>
      </c>
      <c r="L4" s="15">
        <f>IF(J4=AL4,IF(MAX(BF4,BG4)&gt;0,MAX(BF4,BG4),""),IF(J4=BH4,IF(MAX(AJ4,AK4)&gt;0,MAX(AJ4,AK4),""),MAX(AJ4,AK4,BF4,BG4)))</f>
        <v>71.100000000000009</v>
      </c>
      <c r="M4" s="15" t="str">
        <f>IF(L4="","",IF(AND(J4&lt;&gt;BH4,OR(L4=BG4,L4=BF4)),$AM$1,IF(OR(L4=AK4,L4=AJ4),$Q$1,"")))</f>
        <v>2019 Elite Canada</v>
      </c>
      <c r="N4" s="15">
        <f>IF(MAX(BI4:BJ4)&gt;0,MAX(BI4:BJ4),"")</f>
        <v>3</v>
      </c>
      <c r="O4" s="27" t="str">
        <f>IF(N4="","",IF(N4=BI4,"(4 Pass)",IF(N4=BJ4,"(2 Pass)")))</f>
        <v>(4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2019 World Championships (Nov 30)</v>
      </c>
      <c r="Q4" s="71">
        <v>28.5</v>
      </c>
      <c r="R4" s="71">
        <v>8</v>
      </c>
      <c r="S4" s="71">
        <v>0.9</v>
      </c>
      <c r="T4" s="71">
        <v>0</v>
      </c>
      <c r="U4" s="71">
        <v>28.4</v>
      </c>
      <c r="V4" s="71">
        <v>8</v>
      </c>
      <c r="W4" s="71">
        <v>0.9</v>
      </c>
      <c r="X4" s="71">
        <v>0</v>
      </c>
      <c r="Y4" s="71">
        <v>25.7</v>
      </c>
      <c r="Z4" s="71">
        <v>7.7</v>
      </c>
      <c r="AA4" s="71">
        <v>1.2</v>
      </c>
      <c r="AB4" s="71">
        <v>0</v>
      </c>
      <c r="AC4" s="71">
        <v>27.6</v>
      </c>
      <c r="AD4" s="71">
        <v>8.6999999999999993</v>
      </c>
      <c r="AE4" s="71">
        <v>1.2</v>
      </c>
      <c r="AF4" s="71">
        <v>0</v>
      </c>
      <c r="AG4" s="82"/>
      <c r="AH4" s="12">
        <f>IF(SUM(R4,V4)&gt;0,SUM(R4,V4),"")</f>
        <v>16</v>
      </c>
      <c r="AI4" s="12">
        <f>IF(SUM(R4,V4,Z4,AD4)&gt;0,SUM(R4,V4,Z4,AD4),"")</f>
        <v>32.4</v>
      </c>
      <c r="AJ4" s="12">
        <f>IF(SUM(Q4:R4,T4:V4,X4)-SUM(S4,W4)&gt;0,SUM(Q4:R4,T4:V4,X4)-SUM(S4,W4),"")</f>
        <v>71.100000000000009</v>
      </c>
      <c r="AK4" s="12">
        <f>IF(SUM(Y4:Z4,AB4:AD4,AF4)-SUM(AA4,AE4)&gt;0,SUM(Y4:Z4,AB4:AD4,AF4)-SUM(AA4,AE4),"")</f>
        <v>67.3</v>
      </c>
      <c r="AL4" s="12">
        <f>IF(SUM(AJ4,AK4)&gt;0,SUM(AJ4,AK4),"")</f>
        <v>138.4</v>
      </c>
      <c r="AM4" s="40">
        <v>28.8</v>
      </c>
      <c r="AN4" s="40">
        <v>8.8000000000000007</v>
      </c>
      <c r="AO4" s="40">
        <v>0</v>
      </c>
      <c r="AP4" s="40">
        <v>0</v>
      </c>
      <c r="AQ4" s="40">
        <v>28.6</v>
      </c>
      <c r="AR4" s="40">
        <v>8.4</v>
      </c>
      <c r="AS4" s="40">
        <v>0.9</v>
      </c>
      <c r="AT4" s="40">
        <v>0</v>
      </c>
      <c r="AU4" s="40">
        <v>28.5</v>
      </c>
      <c r="AV4" s="40">
        <v>7.3</v>
      </c>
      <c r="AW4" s="40">
        <v>0</v>
      </c>
      <c r="AX4" s="40">
        <v>0</v>
      </c>
      <c r="AY4" s="40">
        <v>27.4</v>
      </c>
      <c r="AZ4" s="40">
        <v>7.9</v>
      </c>
      <c r="BA4" s="40">
        <v>1.5</v>
      </c>
      <c r="BB4" s="40">
        <v>0</v>
      </c>
      <c r="BC4" s="83"/>
      <c r="BD4" s="15">
        <f>IF(SUM(AN4,AR4)&gt;0,SUM(AN4,AR4),"")</f>
        <v>17.200000000000003</v>
      </c>
      <c r="BE4" s="15">
        <f>IF(SUM(AN4,AR4,AV4,AZ4)&gt;0,SUM(AN4,AR4,AV4,AZ4),"")</f>
        <v>32.400000000000006</v>
      </c>
      <c r="BF4" s="15">
        <f>IF(SUM(AM4:AN4,AP4:AR4,AT4)-SUM(AO4,AS4)&gt;0,SUM(AM4:AN4,AP4:AR4,AT4)-SUM(AO4,AS4),"")</f>
        <v>73.7</v>
      </c>
      <c r="BG4" s="15">
        <f>IF(SUM(AU4:AV4,AX4:AZ4,BB4)-SUM(AW4,BA4)&gt;0,SUM(AU4:AV4,AX4:AZ4,BB4)-SUM(AW4,BA4),"")</f>
        <v>69.599999999999994</v>
      </c>
      <c r="BH4" s="15">
        <f>IF(SUM(BF4,BG4)&gt;0,SUM(BF4,BG4),"")</f>
        <v>143.30000000000001</v>
      </c>
      <c r="BI4" s="26">
        <f>IF(MAX(CE4,CZ4,DU4,EP4,FK4,GF4,HA4,HV4,IQ4,JL4,KG4,LB4)-IF(J4="",0,J4)&gt;0.001,MAX(CE4,CZ4,DU4,EP4,FK4,GF4,HA4,HV4,IQ4,JL4,KG4,LB4)-IF(J4="",0,J4),"")</f>
        <v>3</v>
      </c>
      <c r="BJ4" s="26">
        <f>IF(MAX(CC4,CD4,CX4,CY4,DS4,DT4,EN4,EO4,FI4,FJ4,GD4,GE4,GY4,GZ4,HT4,HU4,IO4,IP4,JJ4,JK4,KE4,KF4,KZ4,LA4)-IF(L4="",0,L4)&gt;0.001,MAX(CC4,CD4,CX4,CY4,DS4,DT4,EN4,EO4,FI4,FJ4,GD4,GE4,GY4,GZ4,HT4,HU4,IO4,IP4,JJ4,JK4,KE4,KF4,KZ4,LA4)-IF(L4="",0,L4),"")</f>
        <v>2.7999999999999829</v>
      </c>
      <c r="BK4" s="46">
        <v>28.2</v>
      </c>
      <c r="BL4" s="46">
        <v>7.2</v>
      </c>
      <c r="BM4" s="46">
        <v>0</v>
      </c>
      <c r="BN4" s="46">
        <v>0</v>
      </c>
      <c r="BO4" s="46">
        <v>27.7</v>
      </c>
      <c r="BP4" s="46">
        <v>8.8000000000000007</v>
      </c>
      <c r="BQ4" s="46">
        <v>0.9</v>
      </c>
      <c r="BR4" s="46">
        <v>0</v>
      </c>
      <c r="BS4" s="46">
        <v>28.1</v>
      </c>
      <c r="BT4" s="46">
        <v>7.6</v>
      </c>
      <c r="BU4" s="46">
        <v>1.5</v>
      </c>
      <c r="BV4" s="46">
        <v>0</v>
      </c>
      <c r="BW4" s="46">
        <v>19.5</v>
      </c>
      <c r="BX4" s="46">
        <v>5.0999999999999996</v>
      </c>
      <c r="BY4" s="46">
        <v>0</v>
      </c>
      <c r="BZ4" s="46">
        <v>0</v>
      </c>
      <c r="CA4" s="12">
        <f>IF(SUM(BL4,BP4)&gt;0,SUM(BL4,BP4),"")</f>
        <v>16</v>
      </c>
      <c r="CB4" s="12">
        <f>IF(SUM(BL4,BP4,BT4,BX4)&gt;0,SUM(BL4,BP4,BT4,BX4),"")</f>
        <v>28.700000000000003</v>
      </c>
      <c r="CC4" s="12">
        <f>IF(SUM(BK4:BL4,BN4:BP4,BR4)-SUM(BM4,BQ4)&gt;0,SUM(BK4:BL4,BN4:BP4,BR4)-SUM(BM4,BQ4),"")</f>
        <v>70.999999999999986</v>
      </c>
      <c r="CD4" s="12">
        <f>IF(SUM(BS4:BT4,BV4:BX4,BZ4)-SUM(BU4,BY4)&gt;0,SUM(BS4:BT4,BV4:BX4,BZ4)-SUM(BU4,BY4),"")</f>
        <v>58.800000000000004</v>
      </c>
      <c r="CE4" s="12">
        <f>IF(SUM(CC4,CD4)&gt;0,SUM(CC4,CD4),"")</f>
        <v>129.79999999999998</v>
      </c>
      <c r="CF4" s="45">
        <v>0</v>
      </c>
      <c r="CG4" s="45">
        <v>0</v>
      </c>
      <c r="CH4" s="45">
        <v>0</v>
      </c>
      <c r="CI4" s="45">
        <v>0</v>
      </c>
      <c r="CJ4" s="45">
        <v>27.9</v>
      </c>
      <c r="CK4" s="45">
        <v>8.1</v>
      </c>
      <c r="CL4" s="45">
        <v>0</v>
      </c>
      <c r="CM4" s="45">
        <v>0</v>
      </c>
      <c r="CN4" s="45"/>
      <c r="CO4" s="45"/>
      <c r="CP4" s="45"/>
      <c r="CQ4" s="45"/>
      <c r="CR4" s="45"/>
      <c r="CS4" s="45"/>
      <c r="CT4" s="45"/>
      <c r="CU4" s="45"/>
      <c r="CV4" s="15">
        <f>IF(SUM(CG4,CK4)&gt;0,SUM(CG4,CK4),"")</f>
        <v>8.1</v>
      </c>
      <c r="CW4" s="15">
        <f>IF(SUM(CG4,CK4,CO4,CS4)&gt;0,SUM(CG4,CK4,CO4,CS4),"")</f>
        <v>8.1</v>
      </c>
      <c r="CX4" s="15">
        <f>IF(SUM(CF4:CG4,CI4:CK4,CM4)-SUM(CH4,CL4)&gt;0,SUM(CF4:CG4,CI4:CK4,CM4)-SUM(CH4,CL4),"")</f>
        <v>36</v>
      </c>
      <c r="CY4" s="15" t="str">
        <f>IF(SUM(CN4:CO4,CQ4:CS4,CU4)-SUM(CP4,CT4)&gt;0,SUM(CN4:CO4,CQ4:CS4,CU4)-SUM(CP4,CT4),"")</f>
        <v/>
      </c>
      <c r="CZ4" s="15">
        <f>IF(SUM(CX4,CY4)&gt;0,SUM(CX4,CY4),"")</f>
        <v>36</v>
      </c>
      <c r="DA4" s="46">
        <v>27.9</v>
      </c>
      <c r="DB4" s="46">
        <v>8.9</v>
      </c>
      <c r="DC4" s="46">
        <v>0</v>
      </c>
      <c r="DD4" s="46">
        <v>0</v>
      </c>
      <c r="DE4" s="46">
        <v>27.9</v>
      </c>
      <c r="DF4" s="46">
        <v>9.1999999999999993</v>
      </c>
      <c r="DG4" s="46">
        <v>0</v>
      </c>
      <c r="DH4" s="46">
        <v>0</v>
      </c>
      <c r="DI4" s="46">
        <v>28.5</v>
      </c>
      <c r="DJ4" s="46">
        <v>9.1999999999999993</v>
      </c>
      <c r="DK4" s="46">
        <v>0.9</v>
      </c>
      <c r="DL4" s="46">
        <v>0</v>
      </c>
      <c r="DM4" s="46">
        <v>27.8</v>
      </c>
      <c r="DN4" s="46">
        <v>8.6999999999999993</v>
      </c>
      <c r="DO4" s="46">
        <v>0.9</v>
      </c>
      <c r="DP4" s="46">
        <v>0</v>
      </c>
      <c r="DQ4" s="12">
        <f>IF(SUM(DB4,DF4)&gt;0,SUM(DB4,DF4),"")</f>
        <v>18.100000000000001</v>
      </c>
      <c r="DR4" s="12">
        <f>IF(SUM(DB4,DF4,DJ4,DN4)&gt;0,SUM(DB4,DF4,DJ4,DN4),"")</f>
        <v>36</v>
      </c>
      <c r="DS4" s="12">
        <f>IF(SUM(DA4:DB4,DD4:DF4,DH4)-SUM(DC4,DG4)&gt;0,SUM(DA4:DB4,DD4:DF4,DH4)-SUM(DC4,DG4),"")</f>
        <v>73.899999999999991</v>
      </c>
      <c r="DT4" s="12">
        <f>IF(SUM(DI4:DJ4,DL4:DN4,DP4)-SUM(DK4,DO4)&gt;0,SUM(DI4:DJ4,DL4:DN4,DP4)-SUM(DK4,DO4),"")</f>
        <v>72.400000000000006</v>
      </c>
      <c r="DU4" s="12">
        <f>IF(SUM(DS4,DT4)&gt;0,SUM(DS4,DT4),"")</f>
        <v>146.30000000000001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71">
        <f>IF($BC4="P",AM4,(Q4+AM4)/2)</f>
        <v>28.65</v>
      </c>
      <c r="LD4" s="71">
        <f t="shared" ref="LD4:LR14" si="0">IF($BC4="P",AN4,(R4+AN4)/2)</f>
        <v>8.4</v>
      </c>
      <c r="LE4" s="71">
        <f t="shared" si="0"/>
        <v>0.45</v>
      </c>
      <c r="LF4" s="71">
        <f t="shared" si="0"/>
        <v>0</v>
      </c>
      <c r="LG4" s="71">
        <f t="shared" si="0"/>
        <v>28.5</v>
      </c>
      <c r="LH4" s="71">
        <f t="shared" si="0"/>
        <v>8.1999999999999993</v>
      </c>
      <c r="LI4" s="71">
        <f t="shared" si="0"/>
        <v>0.9</v>
      </c>
      <c r="LJ4" s="71">
        <f t="shared" si="0"/>
        <v>0</v>
      </c>
      <c r="LK4" s="71">
        <f t="shared" si="0"/>
        <v>27.1</v>
      </c>
      <c r="LL4" s="71">
        <f t="shared" si="0"/>
        <v>7.5</v>
      </c>
      <c r="LM4" s="71">
        <f t="shared" si="0"/>
        <v>0.6</v>
      </c>
      <c r="LN4" s="71">
        <f t="shared" si="0"/>
        <v>0</v>
      </c>
      <c r="LO4" s="71">
        <f t="shared" si="0"/>
        <v>27.5</v>
      </c>
      <c r="LP4" s="71">
        <f t="shared" si="0"/>
        <v>8.3000000000000007</v>
      </c>
      <c r="LQ4" s="71">
        <f t="shared" si="0"/>
        <v>1.35</v>
      </c>
      <c r="LR4" s="71">
        <f t="shared" si="0"/>
        <v>0</v>
      </c>
      <c r="LS4" s="82" t="s">
        <v>96</v>
      </c>
      <c r="LT4" s="12">
        <f t="shared" ref="LT4" si="1">IF(SUM(LD4,LH4)&gt;0,SUM(LD4,LH4),"")</f>
        <v>16.600000000000001</v>
      </c>
      <c r="LU4" s="12">
        <f t="shared" ref="LU4" si="2">IF(SUM(LD4,LH4,LL4,LP4)&gt;0,SUM(LD4,LH4,LL4,LP4),"")</f>
        <v>32.400000000000006</v>
      </c>
      <c r="LV4" s="12">
        <f t="shared" ref="LV4" si="3">IF(SUM(LC4:LD4,LF4:LH4,LJ4)-SUM(LE4,LI4)&gt;0,SUM(LC4:LD4,LF4:LH4,LJ4)-SUM(LE4,LI4),"")</f>
        <v>72.400000000000006</v>
      </c>
      <c r="LW4" s="12">
        <f t="shared" ref="LW4" si="4">IF(SUM(LK4:LL4,LN4:LP4,LR4)-SUM(LM4,LQ4)&gt;0,SUM(LK4:LL4,LN4:LP4,LR4)-SUM(LM4,LQ4),"")</f>
        <v>68.45</v>
      </c>
      <c r="LX4" s="12">
        <f t="shared" ref="LX4" si="5">IF(SUM(LV4,LW4)&gt;0,SUM(LV4,LW4),"")</f>
        <v>140.85000000000002</v>
      </c>
    </row>
    <row r="5" spans="1:336" x14ac:dyDescent="0.2">
      <c r="A5" s="6">
        <f>IF(AND(F5="P",H5="P"),SUMPRODUCT((F$4:F$15="P")*(H$4:H$15="P")*(E$4:E$15&gt;E5))+1,IF(H5="P",SUMPRODUCT((F$4:F$15="")*(H$4:H$15="P")*(E$4:E$15&gt;E5))+1+SUMPRODUCT((F$4:F$15="P")*(H$4:H$15="P")),""))</f>
        <v>2</v>
      </c>
      <c r="B5" s="9" t="s">
        <v>51</v>
      </c>
      <c r="C5" s="5" t="s">
        <v>3</v>
      </c>
      <c r="D5" s="6">
        <v>1992</v>
      </c>
      <c r="E5" s="16">
        <f>SUM(J5:N5)</f>
        <v>211.7</v>
      </c>
      <c r="F5" s="4" t="str">
        <f>IF(OR(AND(AH5&gt;=AK$17,AJ5&gt;=AK$20,AJ5&lt;&gt;"",AG5=""),AND(BD5&gt;=BG$17,BF5&gt;=BG$20,BF5&lt;&gt;"",BC5=""),AND(CA5&gt;=CD$17,CC5&gt;=CD$20,CC5&lt;&gt;""),AND(CV5&gt;=CY$17,CX5&gt;=CY$20,CX5&lt;&gt;""),AND(DQ5&gt;=DT$17,DS5&gt;=DT$20,DS5&lt;&gt;""),AND(EL5&gt;=EO$17,EN5&gt;=EO$20,EN5&lt;&gt;""),AND(FG5&gt;=FJ$17,FI5&gt;=FJ$20,FI5&lt;&gt;""),AND(GB5&gt;=GE$17,GD5&gt;=GE$20,GD5&lt;&gt;""),AND(GW5&gt;=GZ$17,GY5&gt;=GZ$20,GY5&lt;&gt;""),AND(HR5&gt;=HU$17,HT5&gt;=HU$20,HT5&lt;&gt;""),AND(IM5&gt;=IP$17,IO5&gt;=IP$20,IO5&lt;&gt;""),AND(JH5&gt;=JK$17,JJ5&gt;=JK$20,JJ5&lt;&gt;""),AND(KC5&gt;=KF$17,KE5&gt;=KF$20,KE5&lt;&gt;""),AND(KX5&gt;=LA$17,KZ5&gt;=LA$20,KZ5&lt;&gt;"")),"P","")</f>
        <v>P</v>
      </c>
      <c r="G5" s="4" t="str">
        <f>IF(OR(AND(AH5&gt;=AK$18,AJ5&gt;=AK$21,AJ5&lt;&gt;"",AG5=""),AND(BD5&gt;=BG$18,BF5&gt;=BG$21,BF5&lt;&gt;"",BC5=""),AND(CA5&gt;=CD$18,CC5&gt;=CD$21,CC5&lt;&gt;""),AND(CV5&gt;=CY$18,CX5&gt;=CY$21,CX5&lt;&gt;""),AND(DQ5&gt;=DT$18,DS5&gt;=DT$21,DS5&lt;&gt;""),AND(EL5&gt;=EO$18,EN5&gt;=EO$21,EN5&lt;&gt;""),AND(FG5&gt;=FJ$18,FI5&gt;=FJ$21,FI5&lt;&gt;""),AND(GB5&gt;=GE$18,GD5&gt;=GE$21,GD5&lt;&gt;""),AND(GW5&gt;=GZ$18,GY5&gt;=GZ$21,GY5&lt;&gt;""),AND(HR5&gt;=HU$18,HT5&gt;=HU$21,HT5&lt;&gt;""),AND(IM5&gt;=IP$18,IO5&gt;=IP$21,IO5&lt;&gt;""),AND(JH5&gt;=JK$18,JJ5&gt;=JK$21,JJ5&lt;&gt;""),AND(KC5&gt;=KF$18,KE5&gt;=KF$21,KE5&lt;&gt;""),AND(KX5&gt;=LA$18,KZ5&gt;=LA$21,KZ5&lt;&gt;"")),"P","")</f>
        <v>P</v>
      </c>
      <c r="H5" s="4" t="str">
        <f>IF(OR(AND(AJ5&gt;=AK$20,AJ5&lt;&gt;"",AG5=""),AND(BF5&gt;=BG$20,BF5&lt;&gt;"",BC5=""),AND(CC5&gt;=CD$20,CC5&lt;&gt;""),AND(CX5&gt;=CY$20,CX5&lt;&gt;""),AND(DS5&gt;=DT$20,DS5&lt;&gt;""),AND(EN5&gt;=EO$20,EN5&lt;&gt;""),AND(FI5&gt;=FJ$20,FI5&lt;&gt;""),AND(GD5&gt;=GE$20,GD5&lt;&gt;""),AND(GY5&gt;=GZ$20,GY5&lt;&gt;""),AND(HT5&gt;=HU$20,HT5&lt;&gt;""),AND(IO5&gt;=IP$20,IO5&lt;&gt;""),AND(JJ5&gt;=JK$20,JJ5&lt;&gt;""),AND(KE5&gt;=KF$20,KE5&lt;&gt;""),AND(KZ5&gt;=LA$20,KZ5&lt;&gt;"")),"P","")</f>
        <v>P</v>
      </c>
      <c r="I5" t="str">
        <f>IF(AND(H5="P",F5=""),"No DD",IF(OR(AND(AI5&gt;=AK$19,AI5&lt;&gt;"",AL5&gt;=AK$23,AL5&lt;&gt;"",AG5=""),AND(BE5&gt;=BG$19,BE5&lt;&gt;"",BH5&gt;=BG$23,BH5&lt;&gt;"",BC5=""),AND(CB5&gt;=CD$19,CB5&lt;&gt;"",CE5&gt;=CD$23,CE5&lt;&gt;""),AND(CW5&gt;=CY$19,CW5&lt;&gt;"",CZ5&gt;=CY$23,CZ5&lt;&gt;""),AND(DR5&gt;=DT$19,DR5&lt;&gt;"",DU5&gt;=DT$23,DU5&lt;&gt;""),AND(EM5&gt;=EO$19,EM5&lt;&gt;"",EP5&gt;=EO$23,EP5&lt;&gt;""),AND(FH5&gt;=FJ$19,FH5&lt;&gt;"",FK5&gt;=FJ$23,FK5&lt;&gt;""),AND(GC5&gt;=GE$19,GC5&lt;&gt;"",GF5&gt;=GE$23,GF5&lt;&gt;""),AND(GX5&gt;=GZ$19,GX5&lt;&gt;"",HA5&gt;=GZ$23,HA5&lt;&gt;""),AND(HS5&gt;=HU$19,HS5&lt;&gt;"",HV5&gt;=HU$23,HV5&lt;&gt;""),AND(IN5&gt;=IP$19,IN5&lt;&gt;"",IQ5&gt;=IP$23,IQ5&lt;&gt;""),AND(JI5&gt;=JK$19,JI5&lt;&gt;"",JL5&gt;=JK$23,JL5&lt;&gt;""),AND(KD5&gt;=KF$19,KD5&lt;&gt;"",KG5&gt;=KF$23,KG5&lt;&gt;""),AND(KY5&gt;=LA$19,KY5&lt;&gt;"",LB5&gt;=LA$23,LB5&lt;&gt;"")),"Merit",IF(OR(AND(AI5&gt;=AK$19,AI5&lt;&gt;"",AL5&gt;=AK$22,AL5&lt;&gt;"",AG5=""),AND(BE5&gt;=BG$19,BE5&lt;&gt;"",BH5&gt;=BG$22,BH5&lt;&gt;"",BC5=""),AND(CB5&gt;=CD$19,CB5&lt;&gt;"",CE5&gt;=CD$22,CE5&lt;&gt;""),AND(CW5&gt;=CY$19,CW5&lt;&gt;"",CZ5&gt;=CY$22,CZ5&lt;&gt;""),AND(DR5&gt;=DT$19,DR5&lt;&gt;"",DU5&gt;=DT$22,DU5&lt;&gt;""),AND(EM5&gt;=EO$19,EM5&lt;&gt;"",EP5&gt;=EO$22,EP5&lt;&gt;""),AND(FH5&gt;=FJ$19,FH5&lt;&gt;"",FK5&gt;=FJ$22,FK5&lt;&gt;""),AND(GC5&gt;=GE$19,GC5&lt;&gt;"",GF5&gt;=GE$22,GF5&lt;&gt;""),AND(GX5&gt;=GZ$19,GX5&lt;&gt;"",HA5&gt;=GZ$22,HA5&lt;&gt;""),AND(HS5&gt;=HU$19,HS5&lt;&gt;"",HV5&gt;=HU$22,HV5&lt;&gt;""),AND(IN5&gt;=IP$19,IN5&lt;&gt;"",IQ5&gt;=IP$22,IQ5&lt;&gt;""),AND(JI5&gt;=JK$19,JI5&lt;&gt;"",JL5&gt;=JK$22,JL5&lt;&gt;""),AND(KD5&gt;=KF$19,KD5&lt;&gt;"",KG5&gt;=KF$22,KG5&lt;&gt;""),AND(KY5&gt;=LA$19,KY5&lt;&gt;"",LB5&gt;=LA$22,LB5&lt;&gt;"")),"Excellence",IF(OR(AND(AH5&gt;=AK$18,AH5&lt;&gt;"",AJ5&gt;=AK$21,AJ5&lt;&gt;"",AG5=""),AND(BD5&gt;=BG$18,BD5&lt;&gt;"",BF5&gt;=BG$21,BF5&lt;&gt;"",BC5=""),AND(CA5&gt;=CD$18,CA5&lt;&gt;"",CC5&gt;=CD$21,CC5&lt;&gt;""),AND(CV5&gt;=CY$18,CV5&lt;&gt;"",CX5&gt;=CY$21,CX5&lt;&gt;""),AND(DQ5&gt;=DT$18,DQ5&lt;&gt;"",DS5&gt;=DT$21,DS5&lt;&gt;""),AND(EL5&gt;=EO$18,EL5&lt;&gt;"",EN5&gt;=EO$21,EN5&lt;&gt;""),AND(FG5&gt;=FJ$18,FG5&lt;&gt;"",FI5&gt;=FJ$21,FI5&lt;&gt;""),AND(GB5&gt;=GE$18,GB5&lt;&gt;"",GD5&gt;=GE$21,GD5&lt;&gt;""),AND(GW5&gt;=GZ$18,GW5&lt;&gt;"",GY5&gt;=GZ$21,GY5&lt;&gt;""),AND(HR5&gt;=HU$18,HR5&lt;&gt;"",HT5&gt;=HU$21,HT5&lt;&gt;""),AND(IM5&gt;=IP$18,IM5&lt;&gt;"",IO5&gt;=IP$21,IO5&lt;&gt;""),AND(JH5&gt;=JK$18,JH5&lt;&gt;"",JJ5&gt;=JK$21,JJ5&lt;&gt;""),AND(KC5&gt;=KF$18,KC5&lt;&gt;"",KE5&gt;=KF$21,KE5&lt;&gt;""),AND(KX5&gt;=LA$18,KX5&lt;&gt;"",KZ5&gt;=LA$21,KZ5&lt;&gt;"")),"Worlds Team",IF(OR(AND(AH5&gt;=AK$17,AH5&lt;&gt;"",AJ5&gt;=AK$20,AJ5&lt;&gt;"",AG5=""),AND(BD5&gt;=BG$17,BD5&lt;&gt;"",BF5&gt;=BG$20,BF5&lt;&gt;"",BC5=""),AND(CA5&gt;=CD$17,CA5&lt;&gt;"",CC5&gt;=CD$20,CC5&lt;&gt;""),AND(CV5&gt;=CY$17,CV5&lt;&gt;"",CX5&gt;=CY$20,CX5&lt;&gt;""),AND(DQ5&gt;=DT$17,DQ5&lt;&gt;"",DS5&gt;=DT$20,DS5&lt;&gt;""),AND(EL5&gt;=EO$17,EL5&lt;&gt;"",EN5&gt;=EO$20,EN5&lt;&gt;""),AND(FG5&gt;=FJ$17,FG5&lt;&gt;"",FI5&gt;=FJ$20,FI5&lt;&gt;""),AND(GB5&gt;=GE$17,GB5&lt;&gt;"",GD5&gt;=GE$20,GD5&lt;&gt;""),AND(GW5&gt;=GZ$17,GW5&lt;&gt;"",GY5&gt;=GZ$20,GY5&lt;&gt;""),AND(HR5&gt;=HU$17,HR5&lt;&gt;"",HT5&gt;=HU$20,HT5&lt;&gt;""),AND(IM5&gt;=IP$17,IM5&lt;&gt;"",IO5&gt;=IP$20,IO5&lt;&gt;""),AND(JH5&gt;=JK$17,JH5&lt;&gt;"",JJ5&gt;=JK$20,JJ5&lt;&gt;""),AND(KC5&gt;=KF$17,KC5&lt;&gt;"",KE5&gt;=KF$20,KE5&lt;&gt;""),AND(KX5&gt;=LA$17,KX5&lt;&gt;"",KZ5&gt;=LA$20,KZ5&lt;&gt;"")),"National Team","")))))</f>
        <v>Excellence</v>
      </c>
      <c r="J5" s="15">
        <f>IF(MAX(AL5,BH5)&gt;0,MAX(AL5,BH5),"")</f>
        <v>143.5</v>
      </c>
      <c r="K5" s="15" t="str">
        <f>IF(J5="","",IF(J5=BH5,$AM$1,IF(J5=AL5,$Q$1,"")))</f>
        <v>2019 Nationals</v>
      </c>
      <c r="L5" s="15">
        <f>IF(J5=AL5,IF(MAX(BF5,BG5)&gt;0,MAX(BF5,BG5),""),IF(J5=BH5,IF(MAX(AJ5,AK5)&gt;0,MAX(AJ5,AK5),""),MAX(AJ5,AK5,BF5,BG5)))</f>
        <v>68.199999999999989</v>
      </c>
      <c r="M5" s="15" t="str">
        <f>IF(L5="","",IF(AND(J5&lt;&gt;BH5,OR(L5=BG5,L5=BF5)),$AM$1,IF(OR(L5=AK5,L5=AJ5),$Q$1,"")))</f>
        <v>2019 Elite Canada</v>
      </c>
      <c r="N5" s="15" t="str">
        <f>IF(MAX(BI5:BJ5)&gt;0,MAX(BI5:BJ5),"")</f>
        <v/>
      </c>
      <c r="O5" s="27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71">
        <v>27.9</v>
      </c>
      <c r="R5" s="71">
        <v>9.1999999999999993</v>
      </c>
      <c r="S5" s="71">
        <v>1.5</v>
      </c>
      <c r="T5" s="71">
        <v>0</v>
      </c>
      <c r="U5" s="71">
        <v>24.9</v>
      </c>
      <c r="V5" s="71">
        <v>9.1999999999999993</v>
      </c>
      <c r="W5" s="71">
        <v>1.5</v>
      </c>
      <c r="X5" s="71">
        <v>0</v>
      </c>
      <c r="Y5" s="71"/>
      <c r="Z5" s="71"/>
      <c r="AA5" s="71"/>
      <c r="AB5" s="71"/>
      <c r="AC5" s="71"/>
      <c r="AD5" s="71"/>
      <c r="AE5" s="71"/>
      <c r="AF5" s="71"/>
      <c r="AG5" s="82"/>
      <c r="AH5" s="12">
        <f>IF(SUM(R5,V5)&gt;0,SUM(R5,V5),"")</f>
        <v>18.399999999999999</v>
      </c>
      <c r="AI5" s="12">
        <f>IF(SUM(R5,V5,Z5,AD5)&gt;0,SUM(R5,V5,Z5,AD5),"")</f>
        <v>18.399999999999999</v>
      </c>
      <c r="AJ5" s="12">
        <f>IF(SUM(Q5:R5,T5:V5,X5)-SUM(S5,W5)&gt;0,SUM(Q5:R5,T5:V5,X5)-SUM(S5,W5),"")</f>
        <v>68.199999999999989</v>
      </c>
      <c r="AK5" s="12" t="str">
        <f>IF(SUM(Y5:Z5,AB5:AD5,AF5)-SUM(AA5,AE5)&gt;0,SUM(Y5:Z5,AB5:AD5,AF5)-SUM(AA5,AE5),"")</f>
        <v/>
      </c>
      <c r="AL5" s="12">
        <f>IF(SUM(AJ5,AK5)&gt;0,SUM(AJ5,AK5),"")</f>
        <v>68.199999999999989</v>
      </c>
      <c r="AM5" s="40">
        <v>28.2</v>
      </c>
      <c r="AN5" s="40">
        <v>9.1999999999999993</v>
      </c>
      <c r="AO5" s="40">
        <v>1.2</v>
      </c>
      <c r="AP5" s="40">
        <v>0</v>
      </c>
      <c r="AQ5" s="40">
        <v>27.8</v>
      </c>
      <c r="AR5" s="40">
        <v>8</v>
      </c>
      <c r="AS5" s="40">
        <v>0</v>
      </c>
      <c r="AT5" s="40">
        <v>0</v>
      </c>
      <c r="AU5" s="40">
        <v>28</v>
      </c>
      <c r="AV5" s="40">
        <v>10.1</v>
      </c>
      <c r="AW5" s="40">
        <v>0.9</v>
      </c>
      <c r="AX5" s="40">
        <v>0</v>
      </c>
      <c r="AY5" s="40">
        <v>28.2</v>
      </c>
      <c r="AZ5" s="40">
        <v>7.3</v>
      </c>
      <c r="BA5" s="40">
        <v>1.2</v>
      </c>
      <c r="BB5" s="40">
        <v>0</v>
      </c>
      <c r="BC5" s="83"/>
      <c r="BD5" s="15">
        <f>IF(SUM(AN5,AR5)&gt;0,SUM(AN5,AR5),"")</f>
        <v>17.2</v>
      </c>
      <c r="BE5" s="15">
        <f>IF(SUM(AN5,AR5,AV5,AZ5)&gt;0,SUM(AN5,AR5,AV5,AZ5),"")</f>
        <v>34.599999999999994</v>
      </c>
      <c r="BF5" s="15">
        <f>IF(SUM(AM5:AN5,AP5:AR5,AT5)-SUM(AO5,AS5)&gt;0,SUM(AM5:AN5,AP5:AR5,AT5)-SUM(AO5,AS5),"")</f>
        <v>72</v>
      </c>
      <c r="BG5" s="15">
        <f>IF(SUM(AU5:AV5,AX5:AZ5,BB5)-SUM(AW5,BA5)&gt;0,SUM(AU5:AV5,AX5:AZ5,BB5)-SUM(AW5,BA5),"")</f>
        <v>71.5</v>
      </c>
      <c r="BH5" s="15">
        <f>IF(SUM(BF5,BG5)&gt;0,SUM(BF5,BG5),"")</f>
        <v>143.5</v>
      </c>
      <c r="BI5" s="26" t="str">
        <f>IF(MAX(CE5,CZ5,DU5,EP5,FK5,GF5,HA5,HV5,IQ5,JL5,KG5,LB5)-IF(J5="",0,J5)&gt;0.001,MAX(CE5,CZ5,DU5,EP5,FK5,GF5,HA5,HV5,IQ5,JL5,KG5,LB5)-IF(J5="",0,J5),"")</f>
        <v/>
      </c>
      <c r="BJ5" s="26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12" t="str">
        <f>IF(SUM(BL5,BP5)&gt;0,SUM(BL5,BP5),"")</f>
        <v/>
      </c>
      <c r="CB5" s="12" t="str">
        <f>IF(SUM(BL5,BP5,BT5,BX5)&gt;0,SUM(BL5,BP5,BT5,BX5),"")</f>
        <v/>
      </c>
      <c r="CC5" s="12" t="str">
        <f>IF(SUM(BK5:BL5,BN5:BP5,BR5)-SUM(BM5,BQ5)&gt;0,SUM(BK5:BL5,BN5:BP5,BR5)-SUM(BM5,BQ5),"")</f>
        <v/>
      </c>
      <c r="CD5" s="12" t="str">
        <f>IF(SUM(BS5:BT5,BV5:BX5,BZ5)-SUM(BU5,BY5)&gt;0,SUM(BS5:BT5,BV5:BX5,BZ5)-SUM(BU5,BY5),"")</f>
        <v/>
      </c>
      <c r="CE5" s="12" t="str">
        <f>IF(SUM(CC5,CD5)&gt;0,SUM(CC5,CD5),"")</f>
        <v/>
      </c>
      <c r="CF5" s="45">
        <v>27.7</v>
      </c>
      <c r="CG5" s="45">
        <v>9.1999999999999993</v>
      </c>
      <c r="CH5" s="45">
        <v>0.9</v>
      </c>
      <c r="CI5" s="45">
        <v>0</v>
      </c>
      <c r="CJ5" s="45">
        <v>24.6</v>
      </c>
      <c r="CK5" s="45">
        <v>7.7</v>
      </c>
      <c r="CL5" s="45">
        <v>1.2</v>
      </c>
      <c r="CM5" s="45">
        <v>0</v>
      </c>
      <c r="CN5" s="45"/>
      <c r="CO5" s="45"/>
      <c r="CP5" s="45"/>
      <c r="CQ5" s="45"/>
      <c r="CR5" s="45"/>
      <c r="CS5" s="45"/>
      <c r="CT5" s="45"/>
      <c r="CU5" s="45"/>
      <c r="CV5" s="15">
        <f>IF(SUM(CG5,CK5)&gt;0,SUM(CG5,CK5),"")</f>
        <v>16.899999999999999</v>
      </c>
      <c r="CW5" s="15">
        <f>IF(SUM(CG5,CK5,CO5,CS5)&gt;0,SUM(CG5,CK5,CO5,CS5),"")</f>
        <v>16.899999999999999</v>
      </c>
      <c r="CX5" s="15">
        <f>IF(SUM(CF5:CG5,CI5:CK5,CM5)-SUM(CH5,CL5)&gt;0,SUM(CF5:CG5,CI5:CK5,CM5)-SUM(CH5,CL5),"")</f>
        <v>67.100000000000009</v>
      </c>
      <c r="CY5" s="15" t="str">
        <f>IF(SUM(CN5:CO5,CQ5:CS5,CU5)-SUM(CP5,CT5)&gt;0,SUM(CN5:CO5,CQ5:CS5,CU5)-SUM(CP5,CT5),"")</f>
        <v/>
      </c>
      <c r="CZ5" s="15">
        <f>IF(SUM(CX5,CY5)&gt;0,SUM(CX5,CY5),"")</f>
        <v>67.100000000000009</v>
      </c>
      <c r="DA5" s="46">
        <v>20.100000000000001</v>
      </c>
      <c r="DB5" s="46">
        <v>4</v>
      </c>
      <c r="DC5" s="46">
        <v>0</v>
      </c>
      <c r="DD5" s="46">
        <v>0</v>
      </c>
      <c r="DE5" s="46">
        <v>27</v>
      </c>
      <c r="DF5" s="46">
        <v>9.1999999999999993</v>
      </c>
      <c r="DG5" s="46">
        <v>0.3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>IF(SUM(DB5,DF5)&gt;0,SUM(DB5,DF5),"")</f>
        <v>13.2</v>
      </c>
      <c r="DR5" s="12">
        <f>IF(SUM(DB5,DF5,DJ5,DN5)&gt;0,SUM(DB5,DF5,DJ5,DN5),"")</f>
        <v>13.2</v>
      </c>
      <c r="DS5" s="12">
        <f>IF(SUM(DA5:DB5,DD5:DF5,DH5)-SUM(DC5,DG5)&gt;0,SUM(DA5:DB5,DD5:DF5,DH5)-SUM(DC5,DG5),"")</f>
        <v>60</v>
      </c>
      <c r="DT5" s="12" t="str">
        <f>IF(SUM(DI5:DJ5,DL5:DN5,DP5)-SUM(DK5,DO5)&gt;0,SUM(DI5:DJ5,DL5:DN5,DP5)-SUM(DK5,DO5),"")</f>
        <v/>
      </c>
      <c r="DU5" s="12">
        <f>IF(SUM(DS5,DT5)&gt;0,SUM(DS5,DT5),"")</f>
        <v>60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71">
        <f t="shared" ref="LC5:LC14" si="6">IF($BC5="P",AM5,(Q5+AM5)/2)</f>
        <v>28.049999999999997</v>
      </c>
      <c r="LD5" s="71">
        <f t="shared" si="0"/>
        <v>9.1999999999999993</v>
      </c>
      <c r="LE5" s="71">
        <f t="shared" si="0"/>
        <v>1.35</v>
      </c>
      <c r="LF5" s="71">
        <f t="shared" si="0"/>
        <v>0</v>
      </c>
      <c r="LG5" s="71">
        <f t="shared" si="0"/>
        <v>26.35</v>
      </c>
      <c r="LH5" s="71">
        <f t="shared" si="0"/>
        <v>8.6</v>
      </c>
      <c r="LI5" s="71">
        <f t="shared" si="0"/>
        <v>0.75</v>
      </c>
      <c r="LJ5" s="71">
        <f t="shared" si="0"/>
        <v>0</v>
      </c>
      <c r="LK5" s="71">
        <f t="shared" si="0"/>
        <v>14</v>
      </c>
      <c r="LL5" s="71">
        <f t="shared" si="0"/>
        <v>5.05</v>
      </c>
      <c r="LM5" s="71">
        <f t="shared" si="0"/>
        <v>0.45</v>
      </c>
      <c r="LN5" s="71">
        <f t="shared" si="0"/>
        <v>0</v>
      </c>
      <c r="LO5" s="71">
        <f t="shared" si="0"/>
        <v>14.1</v>
      </c>
      <c r="LP5" s="71">
        <f t="shared" si="0"/>
        <v>3.65</v>
      </c>
      <c r="LQ5" s="71">
        <f t="shared" si="0"/>
        <v>0.6</v>
      </c>
      <c r="LR5" s="71">
        <f t="shared" si="0"/>
        <v>0</v>
      </c>
      <c r="LS5" s="82" t="s">
        <v>96</v>
      </c>
      <c r="LT5" s="12">
        <f t="shared" ref="LT5:LT14" si="7">IF(SUM(LD5,LH5)&gt;0,SUM(LD5,LH5),"")</f>
        <v>17.799999999999997</v>
      </c>
      <c r="LU5" s="12">
        <f t="shared" ref="LU5:LU14" si="8">IF(SUM(LD5,LH5,LL5,LP5)&gt;0,SUM(LD5,LH5,LL5,LP5),"")</f>
        <v>26.499999999999996</v>
      </c>
      <c r="LV5" s="12">
        <f t="shared" ref="LV5:LV14" si="9">IF(SUM(LC5:LD5,LF5:LH5,LJ5)-SUM(LE5,LI5)&gt;0,SUM(LC5:LD5,LF5:LH5,LJ5)-SUM(LE5,LI5),"")</f>
        <v>70.100000000000009</v>
      </c>
      <c r="LW5" s="12">
        <f t="shared" ref="LW5:LW14" si="10">IF(SUM(LK5:LL5,LN5:LP5,LR5)-SUM(LM5,LQ5)&gt;0,SUM(LK5:LL5,LN5:LP5,LR5)-SUM(LM5,LQ5),"")</f>
        <v>35.75</v>
      </c>
      <c r="LX5" s="12">
        <f t="shared" ref="LX5:LX14" si="11">IF(SUM(LV5,LW5)&gt;0,SUM(LV5,LW5),"")</f>
        <v>105.85000000000001</v>
      </c>
    </row>
    <row r="6" spans="1:336" x14ac:dyDescent="0.2">
      <c r="A6" s="6">
        <f>IF(AND(F6="P",H6="P"),SUMPRODUCT((F$4:F$15="P")*(H$4:H$15="P")*(E$4:E$15&gt;E6))+1,IF(H6="P",SUMPRODUCT((F$4:F$15="")*(H$4:H$15="P")*(E$4:E$15&gt;E6))+1+SUMPRODUCT((F$4:F$15="P")*(H$4:H$15="P")),""))</f>
        <v>3</v>
      </c>
      <c r="B6" s="9" t="s">
        <v>11</v>
      </c>
      <c r="C6" s="5" t="s">
        <v>5</v>
      </c>
      <c r="D6" s="6">
        <v>1994</v>
      </c>
      <c r="E6" s="16">
        <f>SUM(J6:N6)</f>
        <v>210.59999999999997</v>
      </c>
      <c r="F6" s="4" t="str">
        <f>IF(OR(AND(AH6&gt;=AK$17,AJ6&gt;=AK$20,AJ6&lt;&gt;"",AG6=""),AND(BD6&gt;=BG$17,BF6&gt;=BG$20,BF6&lt;&gt;"",BC6=""),AND(CA6&gt;=CD$17,CC6&gt;=CD$20,CC6&lt;&gt;""),AND(CV6&gt;=CY$17,CX6&gt;=CY$20,CX6&lt;&gt;""),AND(DQ6&gt;=DT$17,DS6&gt;=DT$20,DS6&lt;&gt;""),AND(EL6&gt;=EO$17,EN6&gt;=EO$20,EN6&lt;&gt;""),AND(FG6&gt;=FJ$17,FI6&gt;=FJ$20,FI6&lt;&gt;""),AND(GB6&gt;=GE$17,GD6&gt;=GE$20,GD6&lt;&gt;""),AND(GW6&gt;=GZ$17,GY6&gt;=GZ$20,GY6&lt;&gt;""),AND(HR6&gt;=HU$17,HT6&gt;=HU$20,HT6&lt;&gt;""),AND(IM6&gt;=IP$17,IO6&gt;=IP$20,IO6&lt;&gt;""),AND(JH6&gt;=JK$17,JJ6&gt;=JK$20,JJ6&lt;&gt;""),AND(KC6&gt;=KF$17,KE6&gt;=KF$20,KE6&lt;&gt;""),AND(KX6&gt;=LA$17,KZ6&gt;=LA$20,KZ6&lt;&gt;"")),"P","")</f>
        <v>P</v>
      </c>
      <c r="G6" s="4" t="str">
        <f>IF(OR(AND(AH6&gt;=AK$18,AJ6&gt;=AK$21,AJ6&lt;&gt;"",AG6=""),AND(BD6&gt;=BG$18,BF6&gt;=BG$21,BF6&lt;&gt;"",BC6=""),AND(CA6&gt;=CD$18,CC6&gt;=CD$21,CC6&lt;&gt;""),AND(CV6&gt;=CY$18,CX6&gt;=CY$21,CX6&lt;&gt;""),AND(DQ6&gt;=DT$18,DS6&gt;=DT$21,DS6&lt;&gt;""),AND(EL6&gt;=EO$18,EN6&gt;=EO$21,EN6&lt;&gt;""),AND(FG6&gt;=FJ$18,FI6&gt;=FJ$21,FI6&lt;&gt;""),AND(GB6&gt;=GE$18,GD6&gt;=GE$21,GD6&lt;&gt;""),AND(GW6&gt;=GZ$18,GY6&gt;=GZ$21,GY6&lt;&gt;""),AND(HR6&gt;=HU$18,HT6&gt;=HU$21,HT6&lt;&gt;""),AND(IM6&gt;=IP$18,IO6&gt;=IP$21,IO6&lt;&gt;""),AND(JH6&gt;=JK$18,JJ6&gt;=JK$21,JJ6&lt;&gt;""),AND(KC6&gt;=KF$18,KE6&gt;=KF$21,KE6&lt;&gt;""),AND(KX6&gt;=LA$18,KZ6&gt;=LA$21,KZ6&lt;&gt;"")),"P","")</f>
        <v/>
      </c>
      <c r="H6" s="4" t="str">
        <f>IF(OR(AND(AJ6&gt;=AK$20,AJ6&lt;&gt;"",AG6=""),AND(BF6&gt;=BG$20,BF6&lt;&gt;"",BC6=""),AND(CC6&gt;=CD$20,CC6&lt;&gt;""),AND(CX6&gt;=CY$20,CX6&lt;&gt;""),AND(DS6&gt;=DT$20,DS6&lt;&gt;""),AND(EN6&gt;=EO$20,EN6&lt;&gt;""),AND(FI6&gt;=FJ$20,FI6&lt;&gt;""),AND(GD6&gt;=GE$20,GD6&lt;&gt;""),AND(GY6&gt;=GZ$20,GY6&lt;&gt;""),AND(HT6&gt;=HU$20,HT6&lt;&gt;""),AND(IO6&gt;=IP$20,IO6&lt;&gt;""),AND(JJ6&gt;=JK$20,JJ6&lt;&gt;""),AND(KE6&gt;=KF$20,KE6&lt;&gt;""),AND(KZ6&gt;=LA$20,KZ6&lt;&gt;"")),"P","")</f>
        <v>P</v>
      </c>
      <c r="I6" t="str">
        <f>IF(AND(H6="P",F6=""),"No DD",IF(OR(AND(AI6&gt;=AK$19,AI6&lt;&gt;"",AL6&gt;=AK$23,AL6&lt;&gt;"",AG6=""),AND(BE6&gt;=BG$19,BE6&lt;&gt;"",BH6&gt;=BG$23,BH6&lt;&gt;"",BC6=""),AND(CB6&gt;=CD$19,CB6&lt;&gt;"",CE6&gt;=CD$23,CE6&lt;&gt;""),AND(CW6&gt;=CY$19,CW6&lt;&gt;"",CZ6&gt;=CY$23,CZ6&lt;&gt;""),AND(DR6&gt;=DT$19,DR6&lt;&gt;"",DU6&gt;=DT$23,DU6&lt;&gt;""),AND(EM6&gt;=EO$19,EM6&lt;&gt;"",EP6&gt;=EO$23,EP6&lt;&gt;""),AND(FH6&gt;=FJ$19,FH6&lt;&gt;"",FK6&gt;=FJ$23,FK6&lt;&gt;""),AND(GC6&gt;=GE$19,GC6&lt;&gt;"",GF6&gt;=GE$23,GF6&lt;&gt;""),AND(GX6&gt;=GZ$19,GX6&lt;&gt;"",HA6&gt;=GZ$23,HA6&lt;&gt;""),AND(HS6&gt;=HU$19,HS6&lt;&gt;"",HV6&gt;=HU$23,HV6&lt;&gt;""),AND(IN6&gt;=IP$19,IN6&lt;&gt;"",IQ6&gt;=IP$23,IQ6&lt;&gt;""),AND(JI6&gt;=JK$19,JI6&lt;&gt;"",JL6&gt;=JK$23,JL6&lt;&gt;""),AND(KD6&gt;=KF$19,KD6&lt;&gt;"",KG6&gt;=KF$23,KG6&lt;&gt;""),AND(KY6&gt;=LA$19,KY6&lt;&gt;"",LB6&gt;=LA$23,LB6&lt;&gt;"")),"Merit",IF(OR(AND(AI6&gt;=AK$19,AI6&lt;&gt;"",AL6&gt;=AK$22,AL6&lt;&gt;"",AG6=""),AND(BE6&gt;=BG$19,BE6&lt;&gt;"",BH6&gt;=BG$22,BH6&lt;&gt;"",BC6=""),AND(CB6&gt;=CD$19,CB6&lt;&gt;"",CE6&gt;=CD$22,CE6&lt;&gt;""),AND(CW6&gt;=CY$19,CW6&lt;&gt;"",CZ6&gt;=CY$22,CZ6&lt;&gt;""),AND(DR6&gt;=DT$19,DR6&lt;&gt;"",DU6&gt;=DT$22,DU6&lt;&gt;""),AND(EM6&gt;=EO$19,EM6&lt;&gt;"",EP6&gt;=EO$22,EP6&lt;&gt;""),AND(FH6&gt;=FJ$19,FH6&lt;&gt;"",FK6&gt;=FJ$22,FK6&lt;&gt;""),AND(GC6&gt;=GE$19,GC6&lt;&gt;"",GF6&gt;=GE$22,GF6&lt;&gt;""),AND(GX6&gt;=GZ$19,GX6&lt;&gt;"",HA6&gt;=GZ$22,HA6&lt;&gt;""),AND(HS6&gt;=HU$19,HS6&lt;&gt;"",HV6&gt;=HU$22,HV6&lt;&gt;""),AND(IN6&gt;=IP$19,IN6&lt;&gt;"",IQ6&gt;=IP$22,IQ6&lt;&gt;""),AND(JI6&gt;=JK$19,JI6&lt;&gt;"",JL6&gt;=JK$22,JL6&lt;&gt;""),AND(KD6&gt;=KF$19,KD6&lt;&gt;"",KG6&gt;=KF$22,KG6&lt;&gt;""),AND(KY6&gt;=LA$19,KY6&lt;&gt;"",LB6&gt;=LA$22,LB6&lt;&gt;"")),"Excellence",IF(OR(AND(AH6&gt;=AK$18,AH6&lt;&gt;"",AJ6&gt;=AK$21,AJ6&lt;&gt;"",AG6=""),AND(BD6&gt;=BG$18,BD6&lt;&gt;"",BF6&gt;=BG$21,BF6&lt;&gt;"",BC6=""),AND(CA6&gt;=CD$18,CA6&lt;&gt;"",CC6&gt;=CD$21,CC6&lt;&gt;""),AND(CV6&gt;=CY$18,CV6&lt;&gt;"",CX6&gt;=CY$21,CX6&lt;&gt;""),AND(DQ6&gt;=DT$18,DQ6&lt;&gt;"",DS6&gt;=DT$21,DS6&lt;&gt;""),AND(EL6&gt;=EO$18,EL6&lt;&gt;"",EN6&gt;=EO$21,EN6&lt;&gt;""),AND(FG6&gt;=FJ$18,FG6&lt;&gt;"",FI6&gt;=FJ$21,FI6&lt;&gt;""),AND(GB6&gt;=GE$18,GB6&lt;&gt;"",GD6&gt;=GE$21,GD6&lt;&gt;""),AND(GW6&gt;=GZ$18,GW6&lt;&gt;"",GY6&gt;=GZ$21,GY6&lt;&gt;""),AND(HR6&gt;=HU$18,HR6&lt;&gt;"",HT6&gt;=HU$21,HT6&lt;&gt;""),AND(IM6&gt;=IP$18,IM6&lt;&gt;"",IO6&gt;=IP$21,IO6&lt;&gt;""),AND(JH6&gt;=JK$18,JH6&lt;&gt;"",JJ6&gt;=JK$21,JJ6&lt;&gt;""),AND(KC6&gt;=KF$18,KC6&lt;&gt;"",KE6&gt;=KF$21,KE6&lt;&gt;""),AND(KX6&gt;=LA$18,KX6&lt;&gt;"",KZ6&gt;=LA$21,KZ6&lt;&gt;"")),"Worlds Team",IF(OR(AND(AH6&gt;=AK$17,AH6&lt;&gt;"",AJ6&gt;=AK$20,AJ6&lt;&gt;"",AG6=""),AND(BD6&gt;=BG$17,BD6&lt;&gt;"",BF6&gt;=BG$20,BF6&lt;&gt;"",BC6=""),AND(CA6&gt;=CD$17,CA6&lt;&gt;"",CC6&gt;=CD$20,CC6&lt;&gt;""),AND(CV6&gt;=CY$17,CV6&lt;&gt;"",CX6&gt;=CY$20,CX6&lt;&gt;""),AND(DQ6&gt;=DT$17,DQ6&lt;&gt;"",DS6&gt;=DT$20,DS6&lt;&gt;""),AND(EL6&gt;=EO$17,EL6&lt;&gt;"",EN6&gt;=EO$20,EN6&lt;&gt;""),AND(FG6&gt;=FJ$17,FG6&lt;&gt;"",FI6&gt;=FJ$20,FI6&lt;&gt;""),AND(GB6&gt;=GE$17,GB6&lt;&gt;"",GD6&gt;=GE$20,GD6&lt;&gt;""),AND(GW6&gt;=GZ$17,GW6&lt;&gt;"",GY6&gt;=GZ$20,GY6&lt;&gt;""),AND(HR6&gt;=HU$17,HR6&lt;&gt;"",HT6&gt;=HU$20,HT6&lt;&gt;""),AND(IM6&gt;=IP$17,IM6&lt;&gt;"",IO6&gt;=IP$20,IO6&lt;&gt;""),AND(JH6&gt;=JK$17,JH6&lt;&gt;"",JJ6&gt;=JK$20,JJ6&lt;&gt;""),AND(KC6&gt;=KF$17,KC6&lt;&gt;"",KE6&gt;=KF$20,KE6&lt;&gt;""),AND(KX6&gt;=LA$17,KX6&lt;&gt;"",KZ6&gt;=LA$20,KZ6&lt;&gt;"")),"National Team","")))))</f>
        <v>National Team</v>
      </c>
      <c r="J6" s="15">
        <f>IF(MAX(AL6,BH6)&gt;0,MAX(AL6,BH6),"")</f>
        <v>140.69999999999999</v>
      </c>
      <c r="K6" s="15" t="str">
        <f>IF(J6="","",IF(J6=BH6,$AM$1,IF(J6=AL6,$Q$1,"")))</f>
        <v>2019 Nationals</v>
      </c>
      <c r="L6" s="15">
        <f>IF(J6=AL6,IF(MAX(BF6,BG6)&gt;0,MAX(BF6,BG6),""),IF(J6=BH6,IF(MAX(AJ6,AK6)&gt;0,MAX(AJ6,AK6),""),MAX(AJ6,AK6,BF6,BG6)))</f>
        <v>69.899999999999991</v>
      </c>
      <c r="M6" s="15" t="str">
        <f>IF(L6="","",IF(AND(J6&lt;&gt;BH6,OR(L6=BG6,L6=BF6)),$AM$1,IF(OR(L6=AK6,L6=AJ6),$Q$1,"")))</f>
        <v>2019 Elite Canada</v>
      </c>
      <c r="N6" s="15" t="str">
        <f>IF(MAX(BI6:BJ6)&gt;0,MAX(BI6:BJ6),"")</f>
        <v/>
      </c>
      <c r="O6" s="27" t="str">
        <f>IF(N6="","",IF(N6=BI6,"(4 Pass)",IF(N6=BJ6,"(2 Pass)")))</f>
        <v/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/>
      </c>
      <c r="Q6" s="71">
        <v>27.6</v>
      </c>
      <c r="R6" s="71">
        <v>7.6</v>
      </c>
      <c r="S6" s="71">
        <v>0.9</v>
      </c>
      <c r="T6" s="71">
        <v>0</v>
      </c>
      <c r="U6" s="71">
        <v>28.4</v>
      </c>
      <c r="V6" s="71">
        <v>7.2</v>
      </c>
      <c r="W6" s="71">
        <v>0</v>
      </c>
      <c r="X6" s="71">
        <v>0</v>
      </c>
      <c r="Y6" s="71">
        <v>28.2</v>
      </c>
      <c r="Z6" s="71">
        <v>4.4000000000000004</v>
      </c>
      <c r="AA6" s="71">
        <v>2.5</v>
      </c>
      <c r="AB6" s="71">
        <v>0</v>
      </c>
      <c r="AC6" s="71">
        <v>28</v>
      </c>
      <c r="AD6" s="71">
        <v>6.8</v>
      </c>
      <c r="AE6" s="71">
        <v>1.2</v>
      </c>
      <c r="AF6" s="71">
        <v>0</v>
      </c>
      <c r="AG6" s="82"/>
      <c r="AH6" s="12">
        <f>IF(SUM(R6,V6)&gt;0,SUM(R6,V6),"")</f>
        <v>14.8</v>
      </c>
      <c r="AI6" s="12">
        <f>IF(SUM(R6,V6,Z6,AD6)&gt;0,SUM(R6,V6,Z6,AD6),"")</f>
        <v>26.000000000000004</v>
      </c>
      <c r="AJ6" s="12">
        <f>IF(SUM(Q6:R6,T6:V6,X6)-SUM(S6,W6)&gt;0,SUM(Q6:R6,T6:V6,X6)-SUM(S6,W6),"")</f>
        <v>69.899999999999991</v>
      </c>
      <c r="AK6" s="12">
        <f>IF(SUM(Y6:Z6,AB6:AD6,AF6)-SUM(AA6,AE6)&gt;0,SUM(Y6:Z6,AB6:AD6,AF6)-SUM(AA6,AE6),"")</f>
        <v>63.7</v>
      </c>
      <c r="AL6" s="12">
        <f>IF(SUM(AJ6,AK6)&gt;0,SUM(AJ6,AK6),"")</f>
        <v>133.6</v>
      </c>
      <c r="AM6" s="40">
        <v>28.6</v>
      </c>
      <c r="AN6" s="40">
        <v>7.3</v>
      </c>
      <c r="AO6" s="40">
        <v>0</v>
      </c>
      <c r="AP6" s="40">
        <v>0</v>
      </c>
      <c r="AQ6" s="40">
        <v>28.3</v>
      </c>
      <c r="AR6" s="40">
        <v>8.4</v>
      </c>
      <c r="AS6" s="40">
        <v>0.9</v>
      </c>
      <c r="AT6" s="40">
        <v>0</v>
      </c>
      <c r="AU6" s="40">
        <v>28.2</v>
      </c>
      <c r="AV6" s="40">
        <v>7.2</v>
      </c>
      <c r="AW6" s="40">
        <v>0</v>
      </c>
      <c r="AX6" s="40">
        <v>0</v>
      </c>
      <c r="AY6" s="40">
        <v>28</v>
      </c>
      <c r="AZ6" s="40">
        <v>6.8</v>
      </c>
      <c r="BA6" s="40">
        <v>1.2</v>
      </c>
      <c r="BB6" s="40">
        <v>0</v>
      </c>
      <c r="BC6" s="83"/>
      <c r="BD6" s="15">
        <f>IF(SUM(AN6,AR6)&gt;0,SUM(AN6,AR6),"")</f>
        <v>15.7</v>
      </c>
      <c r="BE6" s="15">
        <f>IF(SUM(AN6,AR6,AV6,AZ6)&gt;0,SUM(AN6,AR6,AV6,AZ6),"")</f>
        <v>29.7</v>
      </c>
      <c r="BF6" s="15">
        <f>IF(SUM(AM6:AN6,AP6:AR6,AT6)-SUM(AO6,AS6)&gt;0,SUM(AM6:AN6,AP6:AR6,AT6)-SUM(AO6,AS6),"")</f>
        <v>71.7</v>
      </c>
      <c r="BG6" s="15">
        <f>IF(SUM(AU6:AV6,AX6:AZ6,BB6)-SUM(AW6,BA6)&gt;0,SUM(AU6:AV6,AX6:AZ6,BB6)-SUM(AW6,BA6),"")</f>
        <v>69</v>
      </c>
      <c r="BH6" s="15">
        <f>IF(SUM(BF6,BG6)&gt;0,SUM(BF6,BG6),"")</f>
        <v>140.69999999999999</v>
      </c>
      <c r="BI6" s="26" t="str">
        <f>IF(MAX(CE6,CZ6,DU6,EP6,FK6,GF6,HA6,HV6,IQ6,JL6,KG6,LB6)-IF(J6="",0,J6)&gt;0.001,MAX(CE6,CZ6,DU6,EP6,FK6,GF6,HA6,HV6,IQ6,JL6,KG6,LB6)-IF(J6="",0,J6),"")</f>
        <v/>
      </c>
      <c r="BJ6" s="26" t="str">
        <f>IF(MAX(CC6,CD6,CX6,CY6,DS6,DT6,EN6,EO6,FI6,FJ6,GD6,GE6,GY6,GZ6,HT6,HU6,IO6,IP6,JJ6,JK6,KE6,KF6,KZ6,LA6)-IF(L6="",0,L6)&gt;0.001,MAX(CC6,CD6,CX6,CY6,DS6,DT6,EN6,EO6,FI6,FJ6,GD6,GE6,GY6,GZ6,HT6,HU6,IO6,IP6,JJ6,JK6,KE6,KF6,KZ6,LA6)-IF(L6="",0,L6),"")</f>
        <v/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>IF(SUM(BL6,BP6)&gt;0,SUM(BL6,BP6),"")</f>
        <v/>
      </c>
      <c r="CB6" s="12" t="str">
        <f>IF(SUM(BL6,BP6,BT6,BX6)&gt;0,SUM(BL6,BP6,BT6,BX6),"")</f>
        <v/>
      </c>
      <c r="CC6" s="12" t="str">
        <f>IF(SUM(BK6:BL6,BN6:BP6,BR6)-SUM(BM6,BQ6)&gt;0,SUM(BK6:BL6,BN6:BP6,BR6)-SUM(BM6,BQ6),"")</f>
        <v/>
      </c>
      <c r="CD6" s="12" t="str">
        <f>IF(SUM(BS6:BT6,BV6:BX6,BZ6)-SUM(BU6,BY6)&gt;0,SUM(BS6:BT6,BV6:BX6,BZ6)-SUM(BU6,BY6),"")</f>
        <v/>
      </c>
      <c r="CE6" s="12" t="str">
        <f>IF(SUM(CC6,CD6)&gt;0,SUM(CC6,CD6),"")</f>
        <v/>
      </c>
      <c r="CF6" s="45">
        <v>27.3</v>
      </c>
      <c r="CG6" s="45">
        <v>7.6</v>
      </c>
      <c r="CH6" s="45">
        <v>0</v>
      </c>
      <c r="CI6" s="45">
        <v>0</v>
      </c>
      <c r="CJ6" s="45">
        <v>28.4</v>
      </c>
      <c r="CK6" s="45">
        <v>6.4</v>
      </c>
      <c r="CL6" s="45">
        <v>0</v>
      </c>
      <c r="CM6" s="45">
        <v>0</v>
      </c>
      <c r="CN6" s="45"/>
      <c r="CO6" s="45"/>
      <c r="CP6" s="45"/>
      <c r="CQ6" s="45"/>
      <c r="CR6" s="45"/>
      <c r="CS6" s="45"/>
      <c r="CT6" s="45"/>
      <c r="CU6" s="45"/>
      <c r="CV6" s="15">
        <f>IF(SUM(CG6,CK6)&gt;0,SUM(CG6,CK6),"")</f>
        <v>14</v>
      </c>
      <c r="CW6" s="15">
        <f>IF(SUM(CG6,CK6,CO6,CS6)&gt;0,SUM(CG6,CK6,CO6,CS6),"")</f>
        <v>14</v>
      </c>
      <c r="CX6" s="15">
        <f>IF(SUM(CF6:CG6,CI6:CK6,CM6)-SUM(CH6,CL6)&gt;0,SUM(CF6:CG6,CI6:CK6,CM6)-SUM(CH6,CL6),"")</f>
        <v>69.7</v>
      </c>
      <c r="CY6" s="15" t="str">
        <f>IF(SUM(CN6:CO6,CQ6:CS6,CU6)-SUM(CP6,CT6)&gt;0,SUM(CN6:CO6,CQ6:CS6,CU6)-SUM(CP6,CT6),"")</f>
        <v/>
      </c>
      <c r="CZ6" s="15">
        <f>IF(SUM(CX6,CY6)&gt;0,SUM(CX6,CY6),"")</f>
        <v>69.7</v>
      </c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12" t="str">
        <f>IF(SUM(DB6,DF6)&gt;0,SUM(DB6,DF6),"")</f>
        <v/>
      </c>
      <c r="DR6" s="12" t="str">
        <f>IF(SUM(DB6,DF6,DJ6,DN6)&gt;0,SUM(DB6,DF6,DJ6,DN6),"")</f>
        <v/>
      </c>
      <c r="DS6" s="12" t="str">
        <f>IF(SUM(DA6:DB6,DD6:DF6,DH6)-SUM(DC6,DG6)&gt;0,SUM(DA6:DB6,DD6:DF6,DH6)-SUM(DC6,DG6),"")</f>
        <v/>
      </c>
      <c r="DT6" s="12" t="str">
        <f>IF(SUM(DI6:DJ6,DL6:DN6,DP6)-SUM(DK6,DO6)&gt;0,SUM(DI6:DJ6,DL6:DN6,DP6)-SUM(DK6,DO6),"")</f>
        <v/>
      </c>
      <c r="DU6" s="12" t="str">
        <f>IF(SUM(DS6,DT6)&gt;0,SUM(DS6,DT6),"")</f>
        <v/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71">
        <f t="shared" si="6"/>
        <v>28.1</v>
      </c>
      <c r="LD6" s="71">
        <f t="shared" si="0"/>
        <v>7.4499999999999993</v>
      </c>
      <c r="LE6" s="71">
        <f t="shared" si="0"/>
        <v>0.45</v>
      </c>
      <c r="LF6" s="71">
        <f t="shared" si="0"/>
        <v>0</v>
      </c>
      <c r="LG6" s="71">
        <f t="shared" si="0"/>
        <v>28.35</v>
      </c>
      <c r="LH6" s="71">
        <f t="shared" si="0"/>
        <v>7.8000000000000007</v>
      </c>
      <c r="LI6" s="71">
        <f t="shared" si="0"/>
        <v>0.45</v>
      </c>
      <c r="LJ6" s="71">
        <f t="shared" si="0"/>
        <v>0</v>
      </c>
      <c r="LK6" s="71">
        <f t="shared" si="0"/>
        <v>28.2</v>
      </c>
      <c r="LL6" s="71">
        <f t="shared" si="0"/>
        <v>5.8000000000000007</v>
      </c>
      <c r="LM6" s="71">
        <f t="shared" si="0"/>
        <v>1.25</v>
      </c>
      <c r="LN6" s="71">
        <f t="shared" si="0"/>
        <v>0</v>
      </c>
      <c r="LO6" s="71">
        <f t="shared" si="0"/>
        <v>28</v>
      </c>
      <c r="LP6" s="71">
        <f t="shared" si="0"/>
        <v>6.8</v>
      </c>
      <c r="LQ6" s="71">
        <f t="shared" si="0"/>
        <v>1.2</v>
      </c>
      <c r="LR6" s="71">
        <f t="shared" si="0"/>
        <v>0</v>
      </c>
      <c r="LS6" s="82" t="s">
        <v>96</v>
      </c>
      <c r="LT6" s="12">
        <f t="shared" si="7"/>
        <v>15.25</v>
      </c>
      <c r="LU6" s="12">
        <f t="shared" si="8"/>
        <v>27.85</v>
      </c>
      <c r="LV6" s="12">
        <f t="shared" si="9"/>
        <v>70.8</v>
      </c>
      <c r="LW6" s="12">
        <f t="shared" si="10"/>
        <v>66.349999999999994</v>
      </c>
      <c r="LX6" s="12">
        <f t="shared" si="11"/>
        <v>137.14999999999998</v>
      </c>
    </row>
    <row r="7" spans="1:336" x14ac:dyDescent="0.2">
      <c r="A7" s="6">
        <f>IF(AND(F7="P",H7="P"),SUMPRODUCT((F$4:F$15="P")*(H$4:H$15="P")*(E$4:E$15&gt;E7))+1,IF(H7="P",SUMPRODUCT((F$4:F$15="")*(H$4:H$15="P")*(E$4:E$15&gt;E7))+1+SUMPRODUCT((F$4:F$15="P")*(H$4:H$15="P")),""))</f>
        <v>4</v>
      </c>
      <c r="B7" s="9" t="s">
        <v>141</v>
      </c>
      <c r="C7" s="5" t="s">
        <v>10</v>
      </c>
      <c r="D7" s="6">
        <v>2000</v>
      </c>
      <c r="E7" s="16">
        <f>SUM(J7:N7)</f>
        <v>207.89999999999998</v>
      </c>
      <c r="F7" s="4" t="str">
        <f>IF(OR(AND(AH7&gt;=AK$17,AJ7&gt;=AK$20,AJ7&lt;&gt;"",AG7=""),AND(BD7&gt;=BG$17,BF7&gt;=BG$20,BF7&lt;&gt;"",BC7=""),AND(CA7&gt;=CD$17,CC7&gt;=CD$20,CC7&lt;&gt;""),AND(CV7&gt;=CY$17,CX7&gt;=CY$20,CX7&lt;&gt;""),AND(DQ7&gt;=DT$17,DS7&gt;=DT$20,DS7&lt;&gt;""),AND(EL7&gt;=EO$17,EN7&gt;=EO$20,EN7&lt;&gt;""),AND(FG7&gt;=FJ$17,FI7&gt;=FJ$20,FI7&lt;&gt;""),AND(GB7&gt;=GE$17,GD7&gt;=GE$20,GD7&lt;&gt;""),AND(GW7&gt;=GZ$17,GY7&gt;=GZ$20,GY7&lt;&gt;""),AND(HR7&gt;=HU$17,HT7&gt;=HU$20,HT7&lt;&gt;""),AND(IM7&gt;=IP$17,IO7&gt;=IP$20,IO7&lt;&gt;""),AND(JH7&gt;=JK$17,JJ7&gt;=JK$20,JJ7&lt;&gt;""),AND(KC7&gt;=KF$17,KE7&gt;=KF$20,KE7&lt;&gt;""),AND(KX7&gt;=LA$17,KZ7&gt;=LA$20,KZ7&lt;&gt;"")),"P","")</f>
        <v>P</v>
      </c>
      <c r="G7" s="4" t="str">
        <f>IF(OR(AND(AH7&gt;=AK$18,AJ7&gt;=AK$21,AJ7&lt;&gt;"",AG7=""),AND(BD7&gt;=BG$18,BF7&gt;=BG$21,BF7&lt;&gt;"",BC7=""),AND(CA7&gt;=CD$18,CC7&gt;=CD$21,CC7&lt;&gt;""),AND(CV7&gt;=CY$18,CX7&gt;=CY$21,CX7&lt;&gt;""),AND(DQ7&gt;=DT$18,DS7&gt;=DT$21,DS7&lt;&gt;""),AND(EL7&gt;=EO$18,EN7&gt;=EO$21,EN7&lt;&gt;""),AND(FG7&gt;=FJ$18,FI7&gt;=FJ$21,FI7&lt;&gt;""),AND(GB7&gt;=GE$18,GD7&gt;=GE$21,GD7&lt;&gt;""),AND(GW7&gt;=GZ$18,GY7&gt;=GZ$21,GY7&lt;&gt;""),AND(HR7&gt;=HU$18,HT7&gt;=HU$21,HT7&lt;&gt;""),AND(IM7&gt;=IP$18,IO7&gt;=IP$21,IO7&lt;&gt;""),AND(JH7&gt;=JK$18,JJ7&gt;=JK$21,JJ7&lt;&gt;""),AND(KC7&gt;=KF$18,KE7&gt;=KF$21,KE7&lt;&gt;""),AND(KX7&gt;=LA$18,KZ7&gt;=LA$21,KZ7&lt;&gt;"")),"P","")</f>
        <v/>
      </c>
      <c r="H7" s="4" t="str">
        <f>IF(OR(AND(AJ7&gt;=AK$20,AJ7&lt;&gt;"",AG7=""),AND(BF7&gt;=BG$20,BF7&lt;&gt;"",BC7=""),AND(CC7&gt;=CD$20,CC7&lt;&gt;""),AND(CX7&gt;=CY$20,CX7&lt;&gt;""),AND(DS7&gt;=DT$20,DS7&lt;&gt;""),AND(EN7&gt;=EO$20,EN7&lt;&gt;""),AND(FI7&gt;=FJ$20,FI7&lt;&gt;""),AND(GD7&gt;=GE$20,GD7&lt;&gt;""),AND(GY7&gt;=GZ$20,GY7&lt;&gt;""),AND(HT7&gt;=HU$20,HT7&lt;&gt;""),AND(IO7&gt;=IP$20,IO7&lt;&gt;""),AND(JJ7&gt;=JK$20,JJ7&lt;&gt;""),AND(KE7&gt;=KF$20,KE7&lt;&gt;""),AND(KZ7&gt;=LA$20,KZ7&lt;&gt;"")),"P","")</f>
        <v>P</v>
      </c>
      <c r="I7" t="str">
        <f>IF(AND(H7="P",F7=""),"No DD",IF(OR(AND(AI7&gt;=AK$19,AI7&lt;&gt;"",AL7&gt;=AK$23,AL7&lt;&gt;"",AG7=""),AND(BE7&gt;=BG$19,BE7&lt;&gt;"",BH7&gt;=BG$23,BH7&lt;&gt;"",BC7=""),AND(CB7&gt;=CD$19,CB7&lt;&gt;"",CE7&gt;=CD$23,CE7&lt;&gt;""),AND(CW7&gt;=CY$19,CW7&lt;&gt;"",CZ7&gt;=CY$23,CZ7&lt;&gt;""),AND(DR7&gt;=DT$19,DR7&lt;&gt;"",DU7&gt;=DT$23,DU7&lt;&gt;""),AND(EM7&gt;=EO$19,EM7&lt;&gt;"",EP7&gt;=EO$23,EP7&lt;&gt;""),AND(FH7&gt;=FJ$19,FH7&lt;&gt;"",FK7&gt;=FJ$23,FK7&lt;&gt;""),AND(GC7&gt;=GE$19,GC7&lt;&gt;"",GF7&gt;=GE$23,GF7&lt;&gt;""),AND(GX7&gt;=GZ$19,GX7&lt;&gt;"",HA7&gt;=GZ$23,HA7&lt;&gt;""),AND(HS7&gt;=HU$19,HS7&lt;&gt;"",HV7&gt;=HU$23,HV7&lt;&gt;""),AND(IN7&gt;=IP$19,IN7&lt;&gt;"",IQ7&gt;=IP$23,IQ7&lt;&gt;""),AND(JI7&gt;=JK$19,JI7&lt;&gt;"",JL7&gt;=JK$23,JL7&lt;&gt;""),AND(KD7&gt;=KF$19,KD7&lt;&gt;"",KG7&gt;=KF$23,KG7&lt;&gt;""),AND(KY7&gt;=LA$19,KY7&lt;&gt;"",LB7&gt;=LA$23,LB7&lt;&gt;"")),"Merit",IF(OR(AND(AI7&gt;=AK$19,AI7&lt;&gt;"",AL7&gt;=AK$22,AL7&lt;&gt;"",AG7=""),AND(BE7&gt;=BG$19,BE7&lt;&gt;"",BH7&gt;=BG$22,BH7&lt;&gt;"",BC7=""),AND(CB7&gt;=CD$19,CB7&lt;&gt;"",CE7&gt;=CD$22,CE7&lt;&gt;""),AND(CW7&gt;=CY$19,CW7&lt;&gt;"",CZ7&gt;=CY$22,CZ7&lt;&gt;""),AND(DR7&gt;=DT$19,DR7&lt;&gt;"",DU7&gt;=DT$22,DU7&lt;&gt;""),AND(EM7&gt;=EO$19,EM7&lt;&gt;"",EP7&gt;=EO$22,EP7&lt;&gt;""),AND(FH7&gt;=FJ$19,FH7&lt;&gt;"",FK7&gt;=FJ$22,FK7&lt;&gt;""),AND(GC7&gt;=GE$19,GC7&lt;&gt;"",GF7&gt;=GE$22,GF7&lt;&gt;""),AND(GX7&gt;=GZ$19,GX7&lt;&gt;"",HA7&gt;=GZ$22,HA7&lt;&gt;""),AND(HS7&gt;=HU$19,HS7&lt;&gt;"",HV7&gt;=HU$22,HV7&lt;&gt;""),AND(IN7&gt;=IP$19,IN7&lt;&gt;"",IQ7&gt;=IP$22,IQ7&lt;&gt;""),AND(JI7&gt;=JK$19,JI7&lt;&gt;"",JL7&gt;=JK$22,JL7&lt;&gt;""),AND(KD7&gt;=KF$19,KD7&lt;&gt;"",KG7&gt;=KF$22,KG7&lt;&gt;""),AND(KY7&gt;=LA$19,KY7&lt;&gt;"",LB7&gt;=LA$22,LB7&lt;&gt;"")),"Excellence",IF(OR(AND(AH7&gt;=AK$18,AH7&lt;&gt;"",AJ7&gt;=AK$21,AJ7&lt;&gt;"",AG7=""),AND(BD7&gt;=BG$18,BD7&lt;&gt;"",BF7&gt;=BG$21,BF7&lt;&gt;"",BC7=""),AND(CA7&gt;=CD$18,CA7&lt;&gt;"",CC7&gt;=CD$21,CC7&lt;&gt;""),AND(CV7&gt;=CY$18,CV7&lt;&gt;"",CX7&gt;=CY$21,CX7&lt;&gt;""),AND(DQ7&gt;=DT$18,DQ7&lt;&gt;"",DS7&gt;=DT$21,DS7&lt;&gt;""),AND(EL7&gt;=EO$18,EL7&lt;&gt;"",EN7&gt;=EO$21,EN7&lt;&gt;""),AND(FG7&gt;=FJ$18,FG7&lt;&gt;"",FI7&gt;=FJ$21,FI7&lt;&gt;""),AND(GB7&gt;=GE$18,GB7&lt;&gt;"",GD7&gt;=GE$21,GD7&lt;&gt;""),AND(GW7&gt;=GZ$18,GW7&lt;&gt;"",GY7&gt;=GZ$21,GY7&lt;&gt;""),AND(HR7&gt;=HU$18,HR7&lt;&gt;"",HT7&gt;=HU$21,HT7&lt;&gt;""),AND(IM7&gt;=IP$18,IM7&lt;&gt;"",IO7&gt;=IP$21,IO7&lt;&gt;""),AND(JH7&gt;=JK$18,JH7&lt;&gt;"",JJ7&gt;=JK$21,JJ7&lt;&gt;""),AND(KC7&gt;=KF$18,KC7&lt;&gt;"",KE7&gt;=KF$21,KE7&lt;&gt;""),AND(KX7&gt;=LA$18,KX7&lt;&gt;"",KZ7&gt;=LA$21,KZ7&lt;&gt;"")),"Worlds Team",IF(OR(AND(AH7&gt;=AK$17,AH7&lt;&gt;"",AJ7&gt;=AK$20,AJ7&lt;&gt;"",AG7=""),AND(BD7&gt;=BG$17,BD7&lt;&gt;"",BF7&gt;=BG$20,BF7&lt;&gt;"",BC7=""),AND(CA7&gt;=CD$17,CA7&lt;&gt;"",CC7&gt;=CD$20,CC7&lt;&gt;""),AND(CV7&gt;=CY$17,CV7&lt;&gt;"",CX7&gt;=CY$20,CX7&lt;&gt;""),AND(DQ7&gt;=DT$17,DQ7&lt;&gt;"",DS7&gt;=DT$20,DS7&lt;&gt;""),AND(EL7&gt;=EO$17,EL7&lt;&gt;"",EN7&gt;=EO$20,EN7&lt;&gt;""),AND(FG7&gt;=FJ$17,FG7&lt;&gt;"",FI7&gt;=FJ$20,FI7&lt;&gt;""),AND(GB7&gt;=GE$17,GB7&lt;&gt;"",GD7&gt;=GE$20,GD7&lt;&gt;""),AND(GW7&gt;=GZ$17,GW7&lt;&gt;"",GY7&gt;=GZ$20,GY7&lt;&gt;""),AND(HR7&gt;=HU$17,HR7&lt;&gt;"",HT7&gt;=HU$20,HT7&lt;&gt;""),AND(IM7&gt;=IP$17,IM7&lt;&gt;"",IO7&gt;=IP$20,IO7&lt;&gt;""),AND(JH7&gt;=JK$17,JH7&lt;&gt;"",JJ7&gt;=JK$20,JJ7&lt;&gt;""),AND(KC7&gt;=KF$17,KC7&lt;&gt;"",KE7&gt;=KF$20,KE7&lt;&gt;""),AND(KX7&gt;=LA$17,KX7&lt;&gt;"",KZ7&gt;=LA$20,KZ7&lt;&gt;"")),"National Team","")))))</f>
        <v>National Team</v>
      </c>
      <c r="J7" s="15">
        <f>IF(MAX(AL7,BH7)&gt;0,MAX(AL7,BH7),"")</f>
        <v>136.89999999999998</v>
      </c>
      <c r="K7" s="15" t="str">
        <f>IF(J7="","",IF(J7=BH7,$AM$1,IF(J7=AL7,$Q$1,"")))</f>
        <v>2019 Nationals</v>
      </c>
      <c r="L7" s="15">
        <f>IF(J7=AL7,IF(MAX(BF7,BG7)&gt;0,MAX(BF7,BG7),""),IF(J7=BH7,IF(MAX(AJ7,AK7)&gt;0,MAX(AJ7,AK7),""),MAX(AJ7,AK7,BF7,BG7)))</f>
        <v>50.7</v>
      </c>
      <c r="M7" s="15" t="str">
        <f>IF(L7="","",IF(AND(J7&lt;&gt;BH7,OR(L7=BG7,L7=BF7)),$AM$1,IF(OR(L7=AK7,L7=AJ7),$Q$1,"")))</f>
        <v>2019 Elite Canada</v>
      </c>
      <c r="N7" s="15">
        <f>IF(MAX(BI7:BJ7)&gt;0,MAX(BI7:BJ7),"")</f>
        <v>20.299999999999997</v>
      </c>
      <c r="O7" s="27" t="str">
        <f>IF(N7="","",IF(N7=BI7,"(4 Pass)",IF(N7=BJ7,"(2 Pass)")))</f>
        <v>(2 Pass)</v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>2019 World Cup ESP (Oct 6)</v>
      </c>
      <c r="Q7" s="71">
        <v>27.6</v>
      </c>
      <c r="R7" s="71">
        <v>4.5999999999999996</v>
      </c>
      <c r="S7" s="71">
        <v>4.7</v>
      </c>
      <c r="T7" s="71">
        <v>0</v>
      </c>
      <c r="U7" s="71">
        <v>20</v>
      </c>
      <c r="V7" s="71">
        <v>3.2</v>
      </c>
      <c r="W7" s="71">
        <v>0</v>
      </c>
      <c r="X7" s="71">
        <v>0</v>
      </c>
      <c r="Y7" s="71"/>
      <c r="Z7" s="71"/>
      <c r="AA7" s="71"/>
      <c r="AB7" s="71"/>
      <c r="AC7" s="71"/>
      <c r="AD7" s="71"/>
      <c r="AE7" s="71"/>
      <c r="AF7" s="71"/>
      <c r="AG7" s="82"/>
      <c r="AH7" s="12">
        <f>IF(SUM(R7,V7)&gt;0,SUM(R7,V7),"")</f>
        <v>7.8</v>
      </c>
      <c r="AI7" s="12">
        <f>IF(SUM(R7,V7,Z7,AD7)&gt;0,SUM(R7,V7,Z7,AD7),"")</f>
        <v>7.8</v>
      </c>
      <c r="AJ7" s="12">
        <f>IF(SUM(Q7:R7,T7:V7,X7)-SUM(S7,W7)&gt;0,SUM(Q7:R7,T7:V7,X7)-SUM(S7,W7),"")</f>
        <v>50.7</v>
      </c>
      <c r="AK7" s="12" t="str">
        <f>IF(SUM(Y7:Z7,AB7:AD7,AF7)-SUM(AA7,AE7)&gt;0,SUM(Y7:Z7,AB7:AD7,AF7)-SUM(AA7,AE7),"")</f>
        <v/>
      </c>
      <c r="AL7" s="12">
        <f>IF(SUM(AJ7,AK7)&gt;0,SUM(AJ7,AK7),"")</f>
        <v>50.7</v>
      </c>
      <c r="AM7" s="40">
        <v>28.7</v>
      </c>
      <c r="AN7" s="40">
        <v>8</v>
      </c>
      <c r="AO7" s="40">
        <v>0</v>
      </c>
      <c r="AP7" s="40">
        <v>0</v>
      </c>
      <c r="AQ7" s="40">
        <v>27.9</v>
      </c>
      <c r="AR7" s="40">
        <v>7.6</v>
      </c>
      <c r="AS7" s="40">
        <v>1.2</v>
      </c>
      <c r="AT7" s="40">
        <v>0</v>
      </c>
      <c r="AU7" s="40">
        <v>28.5</v>
      </c>
      <c r="AV7" s="40">
        <v>8</v>
      </c>
      <c r="AW7" s="40">
        <v>0.9</v>
      </c>
      <c r="AX7" s="40">
        <v>0</v>
      </c>
      <c r="AY7" s="40">
        <v>24.4</v>
      </c>
      <c r="AZ7" s="40">
        <v>7.4</v>
      </c>
      <c r="BA7" s="40">
        <v>1.5</v>
      </c>
      <c r="BB7" s="40">
        <v>0</v>
      </c>
      <c r="BC7" s="83"/>
      <c r="BD7" s="15">
        <f>IF(SUM(AN7,AR7)&gt;0,SUM(AN7,AR7),"")</f>
        <v>15.6</v>
      </c>
      <c r="BE7" s="15">
        <f>IF(SUM(AN7,AR7,AV7,AZ7)&gt;0,SUM(AN7,AR7,AV7,AZ7),"")</f>
        <v>31</v>
      </c>
      <c r="BF7" s="15">
        <f>IF(SUM(AM7:AN7,AP7:AR7,AT7)-SUM(AO7,AS7)&gt;0,SUM(AM7:AN7,AP7:AR7,AT7)-SUM(AO7,AS7),"")</f>
        <v>70.999999999999986</v>
      </c>
      <c r="BG7" s="15">
        <f>IF(SUM(AU7:AV7,AX7:AZ7,BB7)-SUM(AW7,BA7)&gt;0,SUM(AU7:AV7,AX7:AZ7,BB7)-SUM(AW7,BA7),"")</f>
        <v>65.899999999999991</v>
      </c>
      <c r="BH7" s="15">
        <f>IF(SUM(BF7,BG7)&gt;0,SUM(BF7,BG7),"")</f>
        <v>136.89999999999998</v>
      </c>
      <c r="BI7" s="26" t="str">
        <f>IF(MAX(CE7,CZ7,DU7,EP7,FK7,GF7,HA7,HV7,IQ7,JL7,KG7,LB7)-IF(J7="",0,J7)&gt;0.001,MAX(CE7,CZ7,DU7,EP7,FK7,GF7,HA7,HV7,IQ7,JL7,KG7,LB7)-IF(J7="",0,J7),"")</f>
        <v/>
      </c>
      <c r="BJ7" s="26">
        <f>IF(MAX(CC7,CD7,CX7,CY7,DS7,DT7,EN7,EO7,FI7,FJ7,GD7,GE7,GY7,GZ7,HT7,HU7,IO7,IP7,JJ7,JK7,KE7,KF7,KZ7,LA7)-IF(L7="",0,L7)&gt;0.001,MAX(CC7,CD7,CX7,CY7,DS7,DT7,EN7,EO7,FI7,FJ7,GD7,GE7,GY7,GZ7,HT7,HU7,IO7,IP7,JJ7,JK7,KE7,KF7,KZ7,LA7)-IF(L7="",0,L7),"")</f>
        <v>20.299999999999997</v>
      </c>
      <c r="BK7" s="46">
        <v>27.4</v>
      </c>
      <c r="BL7" s="46">
        <v>6.8</v>
      </c>
      <c r="BM7" s="46">
        <v>1.2</v>
      </c>
      <c r="BN7" s="46">
        <v>0</v>
      </c>
      <c r="BO7" s="46">
        <v>27.2</v>
      </c>
      <c r="BP7" s="46">
        <v>7.6</v>
      </c>
      <c r="BQ7" s="46">
        <v>0.3</v>
      </c>
      <c r="BR7" s="46">
        <v>0</v>
      </c>
      <c r="BS7" s="46"/>
      <c r="BT7" s="46"/>
      <c r="BU7" s="46"/>
      <c r="BV7" s="46"/>
      <c r="BW7" s="46"/>
      <c r="BX7" s="46"/>
      <c r="BY7" s="46"/>
      <c r="BZ7" s="46"/>
      <c r="CA7" s="12">
        <f>IF(SUM(BL7,BP7)&gt;0,SUM(BL7,BP7),"")</f>
        <v>14.399999999999999</v>
      </c>
      <c r="CB7" s="12">
        <f>IF(SUM(BL7,BP7,BT7,BX7)&gt;0,SUM(BL7,BP7,BT7,BX7),"")</f>
        <v>14.399999999999999</v>
      </c>
      <c r="CC7" s="12">
        <f>IF(SUM(BK7:BL7,BN7:BP7,BR7)-SUM(BM7,BQ7)&gt;0,SUM(BK7:BL7,BN7:BP7,BR7)-SUM(BM7,BQ7),"")</f>
        <v>67.499999999999986</v>
      </c>
      <c r="CD7" s="12" t="str">
        <f>IF(SUM(BS7:BT7,BV7:BX7,BZ7)-SUM(BU7,BY7)&gt;0,SUM(BS7:BT7,BV7:BX7,BZ7)-SUM(BU7,BY7),"")</f>
        <v/>
      </c>
      <c r="CE7" s="12">
        <f>IF(SUM(CC7,CD7)&gt;0,SUM(CC7,CD7),"")</f>
        <v>67.499999999999986</v>
      </c>
      <c r="CF7" s="45">
        <v>28.5</v>
      </c>
      <c r="CG7" s="45">
        <v>8</v>
      </c>
      <c r="CH7" s="45">
        <v>0</v>
      </c>
      <c r="CI7" s="45">
        <v>0</v>
      </c>
      <c r="CJ7" s="45">
        <v>27.3</v>
      </c>
      <c r="CK7" s="45">
        <v>7.2</v>
      </c>
      <c r="CL7" s="45">
        <v>0</v>
      </c>
      <c r="CM7" s="45">
        <v>0</v>
      </c>
      <c r="CN7" s="45">
        <v>27.3</v>
      </c>
      <c r="CO7" s="45">
        <v>8.4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15">
        <f>IF(SUM(CG7,CK7)&gt;0,SUM(CG7,CK7),"")</f>
        <v>15.2</v>
      </c>
      <c r="CW7" s="15">
        <f>IF(SUM(CG7,CK7,CO7,CS7)&gt;0,SUM(CG7,CK7,CO7,CS7),"")</f>
        <v>23.6</v>
      </c>
      <c r="CX7" s="15">
        <f>IF(SUM(CF7:CG7,CI7:CK7,CM7)-SUM(CH7,CL7)&gt;0,SUM(CF7:CG7,CI7:CK7,CM7)-SUM(CH7,CL7),"")</f>
        <v>71</v>
      </c>
      <c r="CY7" s="15">
        <f>IF(SUM(CN7:CO7,CQ7:CS7,CU7)-SUM(CP7,CT7)&gt;0,SUM(CN7:CO7,CQ7:CS7,CU7)-SUM(CP7,CT7),"")</f>
        <v>35.700000000000003</v>
      </c>
      <c r="CZ7" s="15">
        <f>IF(SUM(CX7,CY7)&gt;0,SUM(CX7,CY7),"")</f>
        <v>106.7</v>
      </c>
      <c r="DA7" s="46">
        <v>24.6</v>
      </c>
      <c r="DB7" s="46">
        <v>6.4</v>
      </c>
      <c r="DC7" s="46">
        <v>1.8</v>
      </c>
      <c r="DD7" s="46">
        <v>0</v>
      </c>
      <c r="DE7" s="46">
        <v>27.4</v>
      </c>
      <c r="DF7" s="46">
        <v>7.6</v>
      </c>
      <c r="DG7" s="46">
        <v>1.5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>IF(SUM(DB7,DF7)&gt;0,SUM(DB7,DF7),"")</f>
        <v>14</v>
      </c>
      <c r="DR7" s="12">
        <f>IF(SUM(DB7,DF7,DJ7,DN7)&gt;0,SUM(DB7,DF7,DJ7,DN7),"")</f>
        <v>14</v>
      </c>
      <c r="DS7" s="12">
        <f>IF(SUM(DA7:DB7,DD7:DF7,DH7)-SUM(DC7,DG7)&gt;0,SUM(DA7:DB7,DD7:DF7,DH7)-SUM(DC7,DG7),"")</f>
        <v>62.7</v>
      </c>
      <c r="DT7" s="12" t="str">
        <f>IF(SUM(DI7:DJ7,DL7:DN7,DP7)-SUM(DK7,DO7)&gt;0,SUM(DI7:DJ7,DL7:DN7,DP7)-SUM(DK7,DO7),"")</f>
        <v/>
      </c>
      <c r="DU7" s="12">
        <f>IF(SUM(DS7,DT7)&gt;0,SUM(DS7,DT7),"")</f>
        <v>62.7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71">
        <f t="shared" si="6"/>
        <v>28.15</v>
      </c>
      <c r="LD7" s="71">
        <f t="shared" si="0"/>
        <v>6.3</v>
      </c>
      <c r="LE7" s="71">
        <f t="shared" si="0"/>
        <v>2.35</v>
      </c>
      <c r="LF7" s="71">
        <f t="shared" si="0"/>
        <v>0</v>
      </c>
      <c r="LG7" s="71">
        <f t="shared" si="0"/>
        <v>23.95</v>
      </c>
      <c r="LH7" s="71">
        <f t="shared" si="0"/>
        <v>5.4</v>
      </c>
      <c r="LI7" s="71">
        <f t="shared" si="0"/>
        <v>0.6</v>
      </c>
      <c r="LJ7" s="71">
        <f t="shared" si="0"/>
        <v>0</v>
      </c>
      <c r="LK7" s="71">
        <f t="shared" si="0"/>
        <v>14.25</v>
      </c>
      <c r="LL7" s="71">
        <f t="shared" si="0"/>
        <v>4</v>
      </c>
      <c r="LM7" s="71">
        <f t="shared" si="0"/>
        <v>0.45</v>
      </c>
      <c r="LN7" s="71">
        <f t="shared" si="0"/>
        <v>0</v>
      </c>
      <c r="LO7" s="71">
        <f t="shared" si="0"/>
        <v>12.2</v>
      </c>
      <c r="LP7" s="71">
        <f t="shared" si="0"/>
        <v>3.7</v>
      </c>
      <c r="LQ7" s="71">
        <f t="shared" si="0"/>
        <v>0.75</v>
      </c>
      <c r="LR7" s="71">
        <f t="shared" si="0"/>
        <v>0</v>
      </c>
      <c r="LS7" s="82" t="s">
        <v>96</v>
      </c>
      <c r="LT7" s="12">
        <f t="shared" si="7"/>
        <v>11.7</v>
      </c>
      <c r="LU7" s="12">
        <f t="shared" si="8"/>
        <v>19.399999999999999</v>
      </c>
      <c r="LV7" s="12">
        <f t="shared" si="9"/>
        <v>60.849999999999987</v>
      </c>
      <c r="LW7" s="12">
        <f t="shared" si="10"/>
        <v>32.949999999999996</v>
      </c>
      <c r="LX7" s="12">
        <f t="shared" si="11"/>
        <v>93.799999999999983</v>
      </c>
    </row>
    <row r="8" spans="1:336" x14ac:dyDescent="0.2">
      <c r="A8" s="6">
        <f>IF(AND(F8="P",H8="P"),SUMPRODUCT((F$4:F$15="P")*(H$4:H$15="P")*(E$4:E$15&gt;E8))+1,IF(H8="P",SUMPRODUCT((F$4:F$15="")*(H$4:H$15="P")*(E$4:E$15&gt;E8))+1+SUMPRODUCT((F$4:F$15="P")*(H$4:H$15="P")),""))</f>
        <v>5</v>
      </c>
      <c r="B8" s="9" t="s">
        <v>87</v>
      </c>
      <c r="C8" s="5" t="s">
        <v>5</v>
      </c>
      <c r="D8" s="6">
        <v>1999</v>
      </c>
      <c r="E8" s="16">
        <f>SUM(J8:N8)</f>
        <v>210.9</v>
      </c>
      <c r="F8" s="4" t="str">
        <f>IF(OR(AND(AH8&gt;=AK$17,AJ8&gt;=AK$20,AJ8&lt;&gt;"",AG8=""),AND(BD8&gt;=BG$17,BF8&gt;=BG$20,BF8&lt;&gt;"",BC8=""),AND(CA8&gt;=CD$17,CC8&gt;=CD$20,CC8&lt;&gt;""),AND(CV8&gt;=CY$17,CX8&gt;=CY$20,CX8&lt;&gt;""),AND(DQ8&gt;=DT$17,DS8&gt;=DT$20,DS8&lt;&gt;""),AND(EL8&gt;=EO$17,EN8&gt;=EO$20,EN8&lt;&gt;""),AND(FG8&gt;=FJ$17,FI8&gt;=FJ$20,FI8&lt;&gt;""),AND(GB8&gt;=GE$17,GD8&gt;=GE$20,GD8&lt;&gt;""),AND(GW8&gt;=GZ$17,GY8&gt;=GZ$20,GY8&lt;&gt;""),AND(HR8&gt;=HU$17,HT8&gt;=HU$20,HT8&lt;&gt;""),AND(IM8&gt;=IP$17,IO8&gt;=IP$20,IO8&lt;&gt;""),AND(JH8&gt;=JK$17,JJ8&gt;=JK$20,JJ8&lt;&gt;""),AND(KC8&gt;=KF$17,KE8&gt;=KF$20,KE8&lt;&gt;""),AND(KX8&gt;=LA$17,KZ8&gt;=LA$20,KZ8&lt;&gt;"")),"P","")</f>
        <v/>
      </c>
      <c r="G8" s="4" t="str">
        <f>IF(OR(AND(AH8&gt;=AK$18,AJ8&gt;=AK$21,AJ8&lt;&gt;"",AG8=""),AND(BD8&gt;=BG$18,BF8&gt;=BG$21,BF8&lt;&gt;"",BC8=""),AND(CA8&gt;=CD$18,CC8&gt;=CD$21,CC8&lt;&gt;""),AND(CV8&gt;=CY$18,CX8&gt;=CY$21,CX8&lt;&gt;""),AND(DQ8&gt;=DT$18,DS8&gt;=DT$21,DS8&lt;&gt;""),AND(EL8&gt;=EO$18,EN8&gt;=EO$21,EN8&lt;&gt;""),AND(FG8&gt;=FJ$18,FI8&gt;=FJ$21,FI8&lt;&gt;""),AND(GB8&gt;=GE$18,GD8&gt;=GE$21,GD8&lt;&gt;""),AND(GW8&gt;=GZ$18,GY8&gt;=GZ$21,GY8&lt;&gt;""),AND(HR8&gt;=HU$18,HT8&gt;=HU$21,HT8&lt;&gt;""),AND(IM8&gt;=IP$18,IO8&gt;=IP$21,IO8&lt;&gt;""),AND(JH8&gt;=JK$18,JJ8&gt;=JK$21,JJ8&lt;&gt;""),AND(KC8&gt;=KF$18,KE8&gt;=KF$21,KE8&lt;&gt;""),AND(KX8&gt;=LA$18,KZ8&gt;=LA$21,KZ8&lt;&gt;"")),"P","")</f>
        <v/>
      </c>
      <c r="H8" s="4" t="str">
        <f>IF(OR(AND(AJ8&gt;=AK$20,AJ8&lt;&gt;"",AG8=""),AND(BF8&gt;=BG$20,BF8&lt;&gt;"",BC8=""),AND(CC8&gt;=CD$20,CC8&lt;&gt;""),AND(CX8&gt;=CY$20,CX8&lt;&gt;""),AND(DS8&gt;=DT$20,DS8&lt;&gt;""),AND(EN8&gt;=EO$20,EN8&lt;&gt;""),AND(FI8&gt;=FJ$20,FI8&lt;&gt;""),AND(GD8&gt;=GE$20,GD8&lt;&gt;""),AND(GY8&gt;=GZ$20,GY8&lt;&gt;""),AND(HT8&gt;=HU$20,HT8&lt;&gt;""),AND(IO8&gt;=IP$20,IO8&lt;&gt;""),AND(JJ8&gt;=JK$20,JJ8&lt;&gt;""),AND(KE8&gt;=KF$20,KE8&lt;&gt;""),AND(KZ8&gt;=LA$20,KZ8&lt;&gt;"")),"P","")</f>
        <v>P</v>
      </c>
      <c r="I8" t="str">
        <f>IF(AND(H8="P",F8=""),"No DD",IF(OR(AND(AI8&gt;=AK$19,AI8&lt;&gt;"",AL8&gt;=AK$23,AL8&lt;&gt;"",AG8=""),AND(BE8&gt;=BG$19,BE8&lt;&gt;"",BH8&gt;=BG$23,BH8&lt;&gt;"",BC8=""),AND(CB8&gt;=CD$19,CB8&lt;&gt;"",CE8&gt;=CD$23,CE8&lt;&gt;""),AND(CW8&gt;=CY$19,CW8&lt;&gt;"",CZ8&gt;=CY$23,CZ8&lt;&gt;""),AND(DR8&gt;=DT$19,DR8&lt;&gt;"",DU8&gt;=DT$23,DU8&lt;&gt;""),AND(EM8&gt;=EO$19,EM8&lt;&gt;"",EP8&gt;=EO$23,EP8&lt;&gt;""),AND(FH8&gt;=FJ$19,FH8&lt;&gt;"",FK8&gt;=FJ$23,FK8&lt;&gt;""),AND(GC8&gt;=GE$19,GC8&lt;&gt;"",GF8&gt;=GE$23,GF8&lt;&gt;""),AND(GX8&gt;=GZ$19,GX8&lt;&gt;"",HA8&gt;=GZ$23,HA8&lt;&gt;""),AND(HS8&gt;=HU$19,HS8&lt;&gt;"",HV8&gt;=HU$23,HV8&lt;&gt;""),AND(IN8&gt;=IP$19,IN8&lt;&gt;"",IQ8&gt;=IP$23,IQ8&lt;&gt;""),AND(JI8&gt;=JK$19,JI8&lt;&gt;"",JL8&gt;=JK$23,JL8&lt;&gt;""),AND(KD8&gt;=KF$19,KD8&lt;&gt;"",KG8&gt;=KF$23,KG8&lt;&gt;""),AND(KY8&gt;=LA$19,KY8&lt;&gt;"",LB8&gt;=LA$23,LB8&lt;&gt;"")),"Merit",IF(OR(AND(AI8&gt;=AK$19,AI8&lt;&gt;"",AL8&gt;=AK$22,AL8&lt;&gt;"",AG8=""),AND(BE8&gt;=BG$19,BE8&lt;&gt;"",BH8&gt;=BG$22,BH8&lt;&gt;"",BC8=""),AND(CB8&gt;=CD$19,CB8&lt;&gt;"",CE8&gt;=CD$22,CE8&lt;&gt;""),AND(CW8&gt;=CY$19,CW8&lt;&gt;"",CZ8&gt;=CY$22,CZ8&lt;&gt;""),AND(DR8&gt;=DT$19,DR8&lt;&gt;"",DU8&gt;=DT$22,DU8&lt;&gt;""),AND(EM8&gt;=EO$19,EM8&lt;&gt;"",EP8&gt;=EO$22,EP8&lt;&gt;""),AND(FH8&gt;=FJ$19,FH8&lt;&gt;"",FK8&gt;=FJ$22,FK8&lt;&gt;""),AND(GC8&gt;=GE$19,GC8&lt;&gt;"",GF8&gt;=GE$22,GF8&lt;&gt;""),AND(GX8&gt;=GZ$19,GX8&lt;&gt;"",HA8&gt;=GZ$22,HA8&lt;&gt;""),AND(HS8&gt;=HU$19,HS8&lt;&gt;"",HV8&gt;=HU$22,HV8&lt;&gt;""),AND(IN8&gt;=IP$19,IN8&lt;&gt;"",IQ8&gt;=IP$22,IQ8&lt;&gt;""),AND(JI8&gt;=JK$19,JI8&lt;&gt;"",JL8&gt;=JK$22,JL8&lt;&gt;""),AND(KD8&gt;=KF$19,KD8&lt;&gt;"",KG8&gt;=KF$22,KG8&lt;&gt;""),AND(KY8&gt;=LA$19,KY8&lt;&gt;"",LB8&gt;=LA$22,LB8&lt;&gt;"")),"Excellence",IF(OR(AND(AH8&gt;=AK$18,AH8&lt;&gt;"",AJ8&gt;=AK$21,AJ8&lt;&gt;"",AG8=""),AND(BD8&gt;=BG$18,BD8&lt;&gt;"",BF8&gt;=BG$21,BF8&lt;&gt;"",BC8=""),AND(CA8&gt;=CD$18,CA8&lt;&gt;"",CC8&gt;=CD$21,CC8&lt;&gt;""),AND(CV8&gt;=CY$18,CV8&lt;&gt;"",CX8&gt;=CY$21,CX8&lt;&gt;""),AND(DQ8&gt;=DT$18,DQ8&lt;&gt;"",DS8&gt;=DT$21,DS8&lt;&gt;""),AND(EL8&gt;=EO$18,EL8&lt;&gt;"",EN8&gt;=EO$21,EN8&lt;&gt;""),AND(FG8&gt;=FJ$18,FG8&lt;&gt;"",FI8&gt;=FJ$21,FI8&lt;&gt;""),AND(GB8&gt;=GE$18,GB8&lt;&gt;"",GD8&gt;=GE$21,GD8&lt;&gt;""),AND(GW8&gt;=GZ$18,GW8&lt;&gt;"",GY8&gt;=GZ$21,GY8&lt;&gt;""),AND(HR8&gt;=HU$18,HR8&lt;&gt;"",HT8&gt;=HU$21,HT8&lt;&gt;""),AND(IM8&gt;=IP$18,IM8&lt;&gt;"",IO8&gt;=IP$21,IO8&lt;&gt;""),AND(JH8&gt;=JK$18,JH8&lt;&gt;"",JJ8&gt;=JK$21,JJ8&lt;&gt;""),AND(KC8&gt;=KF$18,KC8&lt;&gt;"",KE8&gt;=KF$21,KE8&lt;&gt;""),AND(KX8&gt;=LA$18,KX8&lt;&gt;"",KZ8&gt;=LA$21,KZ8&lt;&gt;"")),"Worlds Team",IF(OR(AND(AH8&gt;=AK$17,AH8&lt;&gt;"",AJ8&gt;=AK$20,AJ8&lt;&gt;"",AG8=""),AND(BD8&gt;=BG$17,BD8&lt;&gt;"",BF8&gt;=BG$20,BF8&lt;&gt;"",BC8=""),AND(CA8&gt;=CD$17,CA8&lt;&gt;"",CC8&gt;=CD$20,CC8&lt;&gt;""),AND(CV8&gt;=CY$17,CV8&lt;&gt;"",CX8&gt;=CY$20,CX8&lt;&gt;""),AND(DQ8&gt;=DT$17,DQ8&lt;&gt;"",DS8&gt;=DT$20,DS8&lt;&gt;""),AND(EL8&gt;=EO$17,EL8&lt;&gt;"",EN8&gt;=EO$20,EN8&lt;&gt;""),AND(FG8&gt;=FJ$17,FG8&lt;&gt;"",FI8&gt;=FJ$20,FI8&lt;&gt;""),AND(GB8&gt;=GE$17,GB8&lt;&gt;"",GD8&gt;=GE$20,GD8&lt;&gt;""),AND(GW8&gt;=GZ$17,GW8&lt;&gt;"",GY8&gt;=GZ$20,GY8&lt;&gt;""),AND(HR8&gt;=HU$17,HR8&lt;&gt;"",HT8&gt;=HU$20,HT8&lt;&gt;""),AND(IM8&gt;=IP$17,IM8&lt;&gt;"",IO8&gt;=IP$20,IO8&lt;&gt;""),AND(JH8&gt;=JK$17,JH8&lt;&gt;"",JJ8&gt;=JK$20,JJ8&lt;&gt;""),AND(KC8&gt;=KF$17,KC8&lt;&gt;"",KE8&gt;=KF$20,KE8&lt;&gt;""),AND(KX8&gt;=LA$17,KX8&lt;&gt;"",KZ8&gt;=LA$20,KZ8&lt;&gt;"")),"National Team","")))))</f>
        <v>No DD</v>
      </c>
      <c r="J8" s="15">
        <f>IF(MAX(AL8,BH8)&gt;0,MAX(AL8,BH8),"")</f>
        <v>132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69.8</v>
      </c>
      <c r="M8" s="15" t="str">
        <f>IF(L8="","",IF(AND(J8&lt;&gt;BH8,OR(L8=BG8,L8=BF8)),$AM$1,IF(OR(L8=AK8,L8=AJ8),$Q$1,"")))</f>
        <v>2019 Nationals</v>
      </c>
      <c r="N8" s="15">
        <f>IF(MAX(BI8:BJ8)&gt;0,MAX(BI8:BJ8),"")</f>
        <v>9.0999999999999943</v>
      </c>
      <c r="O8" s="27" t="str">
        <f>IF(N8="","",IF(N8=BI8,"(4 Pass)",IF(N8=BJ8,"(2 Pass)")))</f>
        <v>(4 Pass)</v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>2019 WAGC (Dec 5)</v>
      </c>
      <c r="Q8" s="71">
        <v>28.1</v>
      </c>
      <c r="R8" s="71">
        <v>7.2</v>
      </c>
      <c r="S8" s="71">
        <v>0</v>
      </c>
      <c r="T8" s="71">
        <v>0</v>
      </c>
      <c r="U8" s="71">
        <v>27.6</v>
      </c>
      <c r="V8" s="71">
        <v>7.2</v>
      </c>
      <c r="W8" s="71">
        <v>0.9</v>
      </c>
      <c r="X8" s="71">
        <v>0</v>
      </c>
      <c r="Y8" s="71">
        <v>28.2</v>
      </c>
      <c r="Z8" s="71">
        <v>7.6</v>
      </c>
      <c r="AA8" s="71">
        <v>0</v>
      </c>
      <c r="AB8" s="71">
        <v>0</v>
      </c>
      <c r="AC8" s="71">
        <v>27.5</v>
      </c>
      <c r="AD8" s="71">
        <v>3.2</v>
      </c>
      <c r="AE8" s="71">
        <v>3.7</v>
      </c>
      <c r="AF8" s="71">
        <v>0</v>
      </c>
      <c r="AG8" s="82"/>
      <c r="AH8" s="12">
        <f>IF(SUM(R8,V8)&gt;0,SUM(R8,V8),"")</f>
        <v>14.4</v>
      </c>
      <c r="AI8" s="12">
        <f>IF(SUM(R8,V8,Z8,AD8)&gt;0,SUM(R8,V8,Z8,AD8),"")</f>
        <v>25.2</v>
      </c>
      <c r="AJ8" s="12">
        <f>IF(SUM(Q8:R8,T8:V8,X8)-SUM(S8,W8)&gt;0,SUM(Q8:R8,T8:V8,X8)-SUM(S8,W8),"")</f>
        <v>69.2</v>
      </c>
      <c r="AK8" s="12">
        <f>IF(SUM(Y8:Z8,AB8:AD8,AF8)-SUM(AA8,AE8)&gt;0,SUM(Y8:Z8,AB8:AD8,AF8)-SUM(AA8,AE8),"")</f>
        <v>62.8</v>
      </c>
      <c r="AL8" s="12">
        <f>IF(SUM(AJ8,AK8)&gt;0,SUM(AJ8,AK8),"")</f>
        <v>132</v>
      </c>
      <c r="AM8" s="40">
        <v>28.2</v>
      </c>
      <c r="AN8" s="40">
        <v>8</v>
      </c>
      <c r="AO8" s="40">
        <v>1.2</v>
      </c>
      <c r="AP8" s="40">
        <v>0</v>
      </c>
      <c r="AQ8" s="40">
        <v>20.399999999999999</v>
      </c>
      <c r="AR8" s="40">
        <v>2.8</v>
      </c>
      <c r="AS8" s="40">
        <v>0</v>
      </c>
      <c r="AT8" s="40">
        <v>0</v>
      </c>
      <c r="AU8" s="40">
        <v>28.2</v>
      </c>
      <c r="AV8" s="40">
        <v>6.8</v>
      </c>
      <c r="AW8" s="40">
        <v>0.3</v>
      </c>
      <c r="AX8" s="40">
        <v>0</v>
      </c>
      <c r="AY8" s="40">
        <v>28.4</v>
      </c>
      <c r="AZ8" s="40">
        <v>7.6</v>
      </c>
      <c r="BA8" s="40">
        <v>0.9</v>
      </c>
      <c r="BB8" s="40">
        <v>0</v>
      </c>
      <c r="BC8" s="83"/>
      <c r="BD8" s="15">
        <f>IF(SUM(AN8,AR8)&gt;0,SUM(AN8,AR8),"")</f>
        <v>10.8</v>
      </c>
      <c r="BE8" s="15">
        <f>IF(SUM(AN8,AR8,AV8,AZ8)&gt;0,SUM(AN8,AR8,AV8,AZ8),"")</f>
        <v>25.200000000000003</v>
      </c>
      <c r="BF8" s="15">
        <f>IF(SUM(AM8:AN8,AP8:AR8,AT8)-SUM(AO8,AS8)&gt;0,SUM(AM8:AN8,AP8:AR8,AT8)-SUM(AO8,AS8),"")</f>
        <v>58.199999999999996</v>
      </c>
      <c r="BG8" s="15">
        <f>IF(SUM(AU8:AV8,AX8:AZ8,BB8)-SUM(AW8,BA8)&gt;0,SUM(AU8:AV8,AX8:AZ8,BB8)-SUM(AW8,BA8),"")</f>
        <v>69.8</v>
      </c>
      <c r="BH8" s="15">
        <f>IF(SUM(BF8,BG8)&gt;0,SUM(BF8,BG8),"")</f>
        <v>128</v>
      </c>
      <c r="BI8" s="26">
        <f>IF(MAX(CE8,CZ8,DU8,EP8,FK8,GF8,HA8,HV8,IQ8,JL8,KG8,LB8)-IF(J8="",0,J8)&gt;0.001,MAX(CE8,CZ8,DU8,EP8,FK8,GF8,HA8,HV8,IQ8,JL8,KG8,LB8)-IF(J8="",0,J8),"")</f>
        <v>9.0999999999999943</v>
      </c>
      <c r="BJ8" s="26">
        <f>IF(MAX(CC8,CD8,CX8,CY8,DS8,DT8,EN8,EO8,FI8,FJ8,GD8,GE8,GY8,GZ8,HT8,HU8,IO8,IP8,JJ8,JK8,KE8,KF8,KZ8,LA8)-IF(L8="",0,L8)&gt;0.001,MAX(CC8,CD8,CX8,CY8,DS8,DT8,EN8,EO8,FI8,FJ8,GD8,GE8,GY8,GZ8,HT8,HU8,IO8,IP8,JJ8,JK8,KE8,KF8,KZ8,LA8)-IF(L8="",0,L8),"")</f>
        <v>0.90000000000000568</v>
      </c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12" t="str">
        <f>IF(SUM(BL8,BP8)&gt;0,SUM(BL8,BP8),"")</f>
        <v/>
      </c>
      <c r="CB8" s="12" t="str">
        <f>IF(SUM(BL8,BP8,BT8,BX8)&gt;0,SUM(BL8,BP8,BT8,BX8),"")</f>
        <v/>
      </c>
      <c r="CC8" s="12" t="str">
        <f>IF(SUM(BK8:BL8,BN8:BP8,BR8)-SUM(BM8,BQ8)&gt;0,SUM(BK8:BL8,BN8:BP8,BR8)-SUM(BM8,BQ8),"")</f>
        <v/>
      </c>
      <c r="CD8" s="12" t="str">
        <f>IF(SUM(BS8:BT8,BV8:BX8,BZ8)-SUM(BU8,BY8)&gt;0,SUM(BS8:BT8,BV8:BX8,BZ8)-SUM(BU8,BY8),"")</f>
        <v/>
      </c>
      <c r="CE8" s="12" t="str">
        <f>IF(SUM(CC8,CD8)&gt;0,SUM(CC8,CD8),"")</f>
        <v/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5">
        <v>27.5</v>
      </c>
      <c r="DW8" s="45">
        <v>7.4</v>
      </c>
      <c r="DX8" s="45">
        <v>0</v>
      </c>
      <c r="DY8" s="45">
        <v>0</v>
      </c>
      <c r="DZ8" s="45">
        <v>27.8</v>
      </c>
      <c r="EA8" s="45">
        <v>8</v>
      </c>
      <c r="EB8" s="45">
        <v>0</v>
      </c>
      <c r="EC8" s="45">
        <v>0</v>
      </c>
      <c r="ED8" s="45">
        <v>27.8</v>
      </c>
      <c r="EE8" s="45">
        <v>7.2</v>
      </c>
      <c r="EF8" s="45">
        <v>0</v>
      </c>
      <c r="EG8" s="45">
        <v>0</v>
      </c>
      <c r="EH8" s="45">
        <v>27.8</v>
      </c>
      <c r="EI8" s="45">
        <v>7.6</v>
      </c>
      <c r="EJ8" s="45">
        <v>0</v>
      </c>
      <c r="EK8" s="45">
        <v>0</v>
      </c>
      <c r="EL8" s="15">
        <f>IF(SUM(DW8,EA8)&gt;0,SUM(DW8,EA8),"")</f>
        <v>15.4</v>
      </c>
      <c r="EM8" s="15">
        <f>IF(SUM(DW8,EA8,EE8,EI8)&gt;0,SUM(DW8,EA8,EE8,EI8),"")</f>
        <v>30.200000000000003</v>
      </c>
      <c r="EN8" s="15">
        <f>IF(SUM(DV8:DW8,DY8:EA8,EC8)-SUM(DX8,EB8)&gt;0,SUM(DV8:DW8,DY8:EA8,EC8)-SUM(DX8,EB8),"")</f>
        <v>70.7</v>
      </c>
      <c r="EO8" s="15">
        <f>IF(SUM(ED8:EE8,EG8:EI8,EK8)-SUM(EF8,EJ8)&gt;0,SUM(ED8:EE8,EG8:EI8,EK8)-SUM(EF8,EJ8),"")</f>
        <v>70.399999999999991</v>
      </c>
      <c r="EP8" s="15">
        <f>IF(SUM(EN8,EO8)&gt;0,SUM(EN8,EO8),"")</f>
        <v>141.1</v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71">
        <f t="shared" si="6"/>
        <v>28.15</v>
      </c>
      <c r="LD8" s="71">
        <f t="shared" si="0"/>
        <v>7.6</v>
      </c>
      <c r="LE8" s="71">
        <f t="shared" si="0"/>
        <v>0.6</v>
      </c>
      <c r="LF8" s="71">
        <f t="shared" si="0"/>
        <v>0</v>
      </c>
      <c r="LG8" s="71">
        <f t="shared" si="0"/>
        <v>24</v>
      </c>
      <c r="LH8" s="71">
        <f t="shared" si="0"/>
        <v>5</v>
      </c>
      <c r="LI8" s="71">
        <f t="shared" si="0"/>
        <v>0.45</v>
      </c>
      <c r="LJ8" s="71">
        <f t="shared" si="0"/>
        <v>0</v>
      </c>
      <c r="LK8" s="71">
        <f t="shared" si="0"/>
        <v>28.2</v>
      </c>
      <c r="LL8" s="71">
        <f t="shared" si="0"/>
        <v>7.1999999999999993</v>
      </c>
      <c r="LM8" s="71">
        <f t="shared" si="0"/>
        <v>0.15</v>
      </c>
      <c r="LN8" s="71">
        <f t="shared" si="0"/>
        <v>0</v>
      </c>
      <c r="LO8" s="71">
        <f t="shared" si="0"/>
        <v>27.95</v>
      </c>
      <c r="LP8" s="71">
        <f t="shared" si="0"/>
        <v>5.4</v>
      </c>
      <c r="LQ8" s="71">
        <f t="shared" si="0"/>
        <v>2.3000000000000003</v>
      </c>
      <c r="LR8" s="71">
        <f t="shared" si="0"/>
        <v>0</v>
      </c>
      <c r="LS8" s="82" t="s">
        <v>96</v>
      </c>
      <c r="LT8" s="12">
        <f t="shared" si="7"/>
        <v>12.6</v>
      </c>
      <c r="LU8" s="12">
        <f t="shared" si="8"/>
        <v>25.199999999999996</v>
      </c>
      <c r="LV8" s="12">
        <f t="shared" si="9"/>
        <v>63.7</v>
      </c>
      <c r="LW8" s="12">
        <f t="shared" si="10"/>
        <v>66.3</v>
      </c>
      <c r="LX8" s="12">
        <f t="shared" si="11"/>
        <v>130</v>
      </c>
    </row>
    <row r="9" spans="1:336" x14ac:dyDescent="0.2">
      <c r="A9" s="6">
        <f>IF(AND(F9="P",H9="P"),SUMPRODUCT((F$4:F$15="P")*(H$4:H$15="P")*(E$4:E$15&gt;E9))+1,IF(H9="P",SUMPRODUCT((F$4:F$15="")*(H$4:H$15="P")*(E$4:E$15&gt;E9))+1+SUMPRODUCT((F$4:F$15="P")*(H$4:H$15="P")),""))</f>
        <v>6</v>
      </c>
      <c r="B9" s="9" t="s">
        <v>145</v>
      </c>
      <c r="C9" s="5" t="s">
        <v>3</v>
      </c>
      <c r="D9" s="6">
        <v>2000</v>
      </c>
      <c r="E9" s="16">
        <f>SUM(J9:N9)</f>
        <v>207.10000000000002</v>
      </c>
      <c r="F9" s="4" t="str">
        <f>IF(OR(AND(AH9&gt;=AK$17,AJ9&gt;=AK$20,AJ9&lt;&gt;"",AG9=""),AND(BD9&gt;=BG$17,BF9&gt;=BG$20,BF9&lt;&gt;"",BC9=""),AND(CA9&gt;=CD$17,CC9&gt;=CD$20,CC9&lt;&gt;""),AND(CV9&gt;=CY$17,CX9&gt;=CY$20,CX9&lt;&gt;""),AND(DQ9&gt;=DT$17,DS9&gt;=DT$20,DS9&lt;&gt;""),AND(EL9&gt;=EO$17,EN9&gt;=EO$20,EN9&lt;&gt;""),AND(FG9&gt;=FJ$17,FI9&gt;=FJ$20,FI9&lt;&gt;""),AND(GB9&gt;=GE$17,GD9&gt;=GE$20,GD9&lt;&gt;""),AND(GW9&gt;=GZ$17,GY9&gt;=GZ$20,GY9&lt;&gt;""),AND(HR9&gt;=HU$17,HT9&gt;=HU$20,HT9&lt;&gt;""),AND(IM9&gt;=IP$17,IO9&gt;=IP$20,IO9&lt;&gt;""),AND(JH9&gt;=JK$17,JJ9&gt;=JK$20,JJ9&lt;&gt;""),AND(KC9&gt;=KF$17,KE9&gt;=KF$20,KE9&lt;&gt;""),AND(KX9&gt;=LA$17,KZ9&gt;=LA$20,KZ9&lt;&gt;"")),"P","")</f>
        <v/>
      </c>
      <c r="G9" s="4" t="str">
        <f>IF(OR(AND(AH9&gt;=AK$18,AJ9&gt;=AK$21,AJ9&lt;&gt;"",AG9=""),AND(BD9&gt;=BG$18,BF9&gt;=BG$21,BF9&lt;&gt;"",BC9=""),AND(CA9&gt;=CD$18,CC9&gt;=CD$21,CC9&lt;&gt;""),AND(CV9&gt;=CY$18,CX9&gt;=CY$21,CX9&lt;&gt;""),AND(DQ9&gt;=DT$18,DS9&gt;=DT$21,DS9&lt;&gt;""),AND(EL9&gt;=EO$18,EN9&gt;=EO$21,EN9&lt;&gt;""),AND(FG9&gt;=FJ$18,FI9&gt;=FJ$21,FI9&lt;&gt;""),AND(GB9&gt;=GE$18,GD9&gt;=GE$21,GD9&lt;&gt;""),AND(GW9&gt;=GZ$18,GY9&gt;=GZ$21,GY9&lt;&gt;""),AND(HR9&gt;=HU$18,HT9&gt;=HU$21,HT9&lt;&gt;""),AND(IM9&gt;=IP$18,IO9&gt;=IP$21,IO9&lt;&gt;""),AND(JH9&gt;=JK$18,JJ9&gt;=JK$21,JJ9&lt;&gt;""),AND(KC9&gt;=KF$18,KE9&gt;=KF$21,KE9&lt;&gt;""),AND(KX9&gt;=LA$18,KZ9&gt;=LA$21,KZ9&lt;&gt;"")),"P","")</f>
        <v/>
      </c>
      <c r="H9" s="4" t="str">
        <f>IF(OR(AND(AJ9&gt;=AK$20,AJ9&lt;&gt;"",AG9=""),AND(BF9&gt;=BG$20,BF9&lt;&gt;"",BC9=""),AND(CC9&gt;=CD$20,CC9&lt;&gt;""),AND(CX9&gt;=CY$20,CX9&lt;&gt;""),AND(DS9&gt;=DT$20,DS9&lt;&gt;""),AND(EN9&gt;=EO$20,EN9&lt;&gt;""),AND(FI9&gt;=FJ$20,FI9&lt;&gt;""),AND(GD9&gt;=GE$20,GD9&lt;&gt;""),AND(GY9&gt;=GZ$20,GY9&lt;&gt;""),AND(HT9&gt;=HU$20,HT9&lt;&gt;""),AND(IO9&gt;=IP$20,IO9&lt;&gt;""),AND(JJ9&gt;=JK$20,JJ9&lt;&gt;""),AND(KE9&gt;=KF$20,KE9&lt;&gt;""),AND(KZ9&gt;=LA$20,KZ9&lt;&gt;"")),"P","")</f>
        <v>P</v>
      </c>
      <c r="I9" t="str">
        <f>IF(AND(H9="P",F9=""),"No DD",IF(OR(AND(AI9&gt;=AK$19,AI9&lt;&gt;"",AL9&gt;=AK$23,AL9&lt;&gt;"",AG9=""),AND(BE9&gt;=BG$19,BE9&lt;&gt;"",BH9&gt;=BG$23,BH9&lt;&gt;"",BC9=""),AND(CB9&gt;=CD$19,CB9&lt;&gt;"",CE9&gt;=CD$23,CE9&lt;&gt;""),AND(CW9&gt;=CY$19,CW9&lt;&gt;"",CZ9&gt;=CY$23,CZ9&lt;&gt;""),AND(DR9&gt;=DT$19,DR9&lt;&gt;"",DU9&gt;=DT$23,DU9&lt;&gt;""),AND(EM9&gt;=EO$19,EM9&lt;&gt;"",EP9&gt;=EO$23,EP9&lt;&gt;""),AND(FH9&gt;=FJ$19,FH9&lt;&gt;"",FK9&gt;=FJ$23,FK9&lt;&gt;""),AND(GC9&gt;=GE$19,GC9&lt;&gt;"",GF9&gt;=GE$23,GF9&lt;&gt;""),AND(GX9&gt;=GZ$19,GX9&lt;&gt;"",HA9&gt;=GZ$23,HA9&lt;&gt;""),AND(HS9&gt;=HU$19,HS9&lt;&gt;"",HV9&gt;=HU$23,HV9&lt;&gt;""),AND(IN9&gt;=IP$19,IN9&lt;&gt;"",IQ9&gt;=IP$23,IQ9&lt;&gt;""),AND(JI9&gt;=JK$19,JI9&lt;&gt;"",JL9&gt;=JK$23,JL9&lt;&gt;""),AND(KD9&gt;=KF$19,KD9&lt;&gt;"",KG9&gt;=KF$23,KG9&lt;&gt;""),AND(KY9&gt;=LA$19,KY9&lt;&gt;"",LB9&gt;=LA$23,LB9&lt;&gt;"")),"Merit",IF(OR(AND(AI9&gt;=AK$19,AI9&lt;&gt;"",AL9&gt;=AK$22,AL9&lt;&gt;"",AG9=""),AND(BE9&gt;=BG$19,BE9&lt;&gt;"",BH9&gt;=BG$22,BH9&lt;&gt;"",BC9=""),AND(CB9&gt;=CD$19,CB9&lt;&gt;"",CE9&gt;=CD$22,CE9&lt;&gt;""),AND(CW9&gt;=CY$19,CW9&lt;&gt;"",CZ9&gt;=CY$22,CZ9&lt;&gt;""),AND(DR9&gt;=DT$19,DR9&lt;&gt;"",DU9&gt;=DT$22,DU9&lt;&gt;""),AND(EM9&gt;=EO$19,EM9&lt;&gt;"",EP9&gt;=EO$22,EP9&lt;&gt;""),AND(FH9&gt;=FJ$19,FH9&lt;&gt;"",FK9&gt;=FJ$22,FK9&lt;&gt;""),AND(GC9&gt;=GE$19,GC9&lt;&gt;"",GF9&gt;=GE$22,GF9&lt;&gt;""),AND(GX9&gt;=GZ$19,GX9&lt;&gt;"",HA9&gt;=GZ$22,HA9&lt;&gt;""),AND(HS9&gt;=HU$19,HS9&lt;&gt;"",HV9&gt;=HU$22,HV9&lt;&gt;""),AND(IN9&gt;=IP$19,IN9&lt;&gt;"",IQ9&gt;=IP$22,IQ9&lt;&gt;""),AND(JI9&gt;=JK$19,JI9&lt;&gt;"",JL9&gt;=JK$22,JL9&lt;&gt;""),AND(KD9&gt;=KF$19,KD9&lt;&gt;"",KG9&gt;=KF$22,KG9&lt;&gt;""),AND(KY9&gt;=LA$19,KY9&lt;&gt;"",LB9&gt;=LA$22,LB9&lt;&gt;"")),"Excellence",IF(OR(AND(AH9&gt;=AK$18,AH9&lt;&gt;"",AJ9&gt;=AK$21,AJ9&lt;&gt;"",AG9=""),AND(BD9&gt;=BG$18,BD9&lt;&gt;"",BF9&gt;=BG$21,BF9&lt;&gt;"",BC9=""),AND(CA9&gt;=CD$18,CA9&lt;&gt;"",CC9&gt;=CD$21,CC9&lt;&gt;""),AND(CV9&gt;=CY$18,CV9&lt;&gt;"",CX9&gt;=CY$21,CX9&lt;&gt;""),AND(DQ9&gt;=DT$18,DQ9&lt;&gt;"",DS9&gt;=DT$21,DS9&lt;&gt;""),AND(EL9&gt;=EO$18,EL9&lt;&gt;"",EN9&gt;=EO$21,EN9&lt;&gt;""),AND(FG9&gt;=FJ$18,FG9&lt;&gt;"",FI9&gt;=FJ$21,FI9&lt;&gt;""),AND(GB9&gt;=GE$18,GB9&lt;&gt;"",GD9&gt;=GE$21,GD9&lt;&gt;""),AND(GW9&gt;=GZ$18,GW9&lt;&gt;"",GY9&gt;=GZ$21,GY9&lt;&gt;""),AND(HR9&gt;=HU$18,HR9&lt;&gt;"",HT9&gt;=HU$21,HT9&lt;&gt;""),AND(IM9&gt;=IP$18,IM9&lt;&gt;"",IO9&gt;=IP$21,IO9&lt;&gt;""),AND(JH9&gt;=JK$18,JH9&lt;&gt;"",JJ9&gt;=JK$21,JJ9&lt;&gt;""),AND(KC9&gt;=KF$18,KC9&lt;&gt;"",KE9&gt;=KF$21,KE9&lt;&gt;""),AND(KX9&gt;=LA$18,KX9&lt;&gt;"",KZ9&gt;=LA$21,KZ9&lt;&gt;"")),"Worlds Team",IF(OR(AND(AH9&gt;=AK$17,AH9&lt;&gt;"",AJ9&gt;=AK$20,AJ9&lt;&gt;"",AG9=""),AND(BD9&gt;=BG$17,BD9&lt;&gt;"",BF9&gt;=BG$20,BF9&lt;&gt;"",BC9=""),AND(CA9&gt;=CD$17,CA9&lt;&gt;"",CC9&gt;=CD$20,CC9&lt;&gt;""),AND(CV9&gt;=CY$17,CV9&lt;&gt;"",CX9&gt;=CY$20,CX9&lt;&gt;""),AND(DQ9&gt;=DT$17,DQ9&lt;&gt;"",DS9&gt;=DT$20,DS9&lt;&gt;""),AND(EL9&gt;=EO$17,EL9&lt;&gt;"",EN9&gt;=EO$20,EN9&lt;&gt;""),AND(FG9&gt;=FJ$17,FG9&lt;&gt;"",FI9&gt;=FJ$20,FI9&lt;&gt;""),AND(GB9&gt;=GE$17,GB9&lt;&gt;"",GD9&gt;=GE$20,GD9&lt;&gt;""),AND(GW9&gt;=GZ$17,GW9&lt;&gt;"",GY9&gt;=GZ$20,GY9&lt;&gt;""),AND(HR9&gt;=HU$17,HR9&lt;&gt;"",HT9&gt;=HU$20,HT9&lt;&gt;""),AND(IM9&gt;=IP$17,IM9&lt;&gt;"",IO9&gt;=IP$20,IO9&lt;&gt;""),AND(JH9&gt;=JK$17,JH9&lt;&gt;"",JJ9&gt;=JK$20,JJ9&lt;&gt;""),AND(KC9&gt;=KF$17,KC9&lt;&gt;"",KE9&gt;=KF$20,KE9&lt;&gt;""),AND(KX9&gt;=LA$17,KX9&lt;&gt;"",KZ9&gt;=LA$20,KZ9&lt;&gt;"")),"National Team","")))))</f>
        <v>No DD</v>
      </c>
      <c r="J9" s="15">
        <f>IF(MAX(AL9,BH9)&gt;0,MAX(AL9,BH9),"")</f>
        <v>138.4</v>
      </c>
      <c r="K9" s="15" t="str">
        <f>IF(J9="","",IF(J9=BH9,$AM$1,IF(J9=AL9,$Q$1,"")))</f>
        <v>2019 Nationals</v>
      </c>
      <c r="L9" s="15">
        <f>IF(J9=AL9,IF(MAX(BF9,BG9)&gt;0,MAX(BF9,BG9),""),IF(J9=BH9,IF(MAX(AJ9,AK9)&gt;0,MAX(AJ9,AK9),""),MAX(AJ9,AK9,BF9,BG9)))</f>
        <v>68.7</v>
      </c>
      <c r="M9" s="15" t="str">
        <f>IF(L9="","",IF(AND(J9&lt;&gt;BH9,OR(L9=BG9,L9=BF9)),$AM$1,IF(OR(L9=AK9,L9=AJ9),$Q$1,"")))</f>
        <v>2019 Elite Canada</v>
      </c>
      <c r="N9" s="15" t="str">
        <f>IF(MAX(BI9:BJ9)&gt;0,MAX(BI9:BJ9),"")</f>
        <v/>
      </c>
      <c r="O9" s="27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71">
        <v>27.7</v>
      </c>
      <c r="R9" s="71">
        <v>6.8</v>
      </c>
      <c r="S9" s="71">
        <v>0</v>
      </c>
      <c r="T9" s="71">
        <v>0</v>
      </c>
      <c r="U9" s="71">
        <v>27.8</v>
      </c>
      <c r="V9" s="71">
        <v>6.4</v>
      </c>
      <c r="W9" s="71">
        <v>0</v>
      </c>
      <c r="X9" s="71">
        <v>0</v>
      </c>
      <c r="Y9" s="71">
        <v>27</v>
      </c>
      <c r="Z9" s="71">
        <v>7.2</v>
      </c>
      <c r="AA9" s="71">
        <v>0.9</v>
      </c>
      <c r="AB9" s="71">
        <v>0</v>
      </c>
      <c r="AC9" s="71">
        <v>26.9</v>
      </c>
      <c r="AD9" s="71">
        <v>6.8</v>
      </c>
      <c r="AE9" s="71">
        <v>0</v>
      </c>
      <c r="AF9" s="71">
        <v>0</v>
      </c>
      <c r="AG9" s="82"/>
      <c r="AH9" s="12">
        <f>IF(SUM(R9,V9)&gt;0,SUM(R9,V9),"")</f>
        <v>13.2</v>
      </c>
      <c r="AI9" s="12">
        <f>IF(SUM(R9,V9,Z9,AD9)&gt;0,SUM(R9,V9,Z9,AD9),"")</f>
        <v>27.2</v>
      </c>
      <c r="AJ9" s="12">
        <f>IF(SUM(Q9:R9,T9:V9,X9)-SUM(S9,W9)&gt;0,SUM(Q9:R9,T9:V9,X9)-SUM(S9,W9),"")</f>
        <v>68.7</v>
      </c>
      <c r="AK9" s="12">
        <f>IF(SUM(Y9:Z9,AB9:AD9,AF9)-SUM(AA9,AE9)&gt;0,SUM(Y9:Z9,AB9:AD9,AF9)-SUM(AA9,AE9),"")</f>
        <v>67</v>
      </c>
      <c r="AL9" s="12">
        <f>IF(SUM(AJ9,AK9)&gt;0,SUM(AJ9,AK9),"")</f>
        <v>135.69999999999999</v>
      </c>
      <c r="AM9" s="40">
        <v>28</v>
      </c>
      <c r="AN9" s="40">
        <v>7.2</v>
      </c>
      <c r="AO9" s="40">
        <v>0.3</v>
      </c>
      <c r="AP9" s="40">
        <v>0</v>
      </c>
      <c r="AQ9" s="40">
        <v>28.1</v>
      </c>
      <c r="AR9" s="40">
        <v>7.2</v>
      </c>
      <c r="AS9" s="40">
        <v>0.3</v>
      </c>
      <c r="AT9" s="40">
        <v>0</v>
      </c>
      <c r="AU9" s="40">
        <v>28.2</v>
      </c>
      <c r="AV9" s="40">
        <v>7.6</v>
      </c>
      <c r="AW9" s="40">
        <v>1.2</v>
      </c>
      <c r="AX9" s="40">
        <v>0</v>
      </c>
      <c r="AY9" s="40">
        <v>27.4</v>
      </c>
      <c r="AZ9" s="40">
        <v>6.8</v>
      </c>
      <c r="BA9" s="40">
        <v>0.3</v>
      </c>
      <c r="BB9" s="40">
        <v>0</v>
      </c>
      <c r="BC9" s="83"/>
      <c r="BD9" s="15">
        <f>IF(SUM(AN9,AR9)&gt;0,SUM(AN9,AR9),"")</f>
        <v>14.4</v>
      </c>
      <c r="BE9" s="15">
        <f>IF(SUM(AN9,AR9,AV9,AZ9)&gt;0,SUM(AN9,AR9,AV9,AZ9),"")</f>
        <v>28.8</v>
      </c>
      <c r="BF9" s="15">
        <f>IF(SUM(AM9:AN9,AP9:AR9,AT9)-SUM(AO9,AS9)&gt;0,SUM(AM9:AN9,AP9:AR9,AT9)-SUM(AO9,AS9),"")</f>
        <v>69.900000000000006</v>
      </c>
      <c r="BG9" s="15">
        <f>IF(SUM(AU9:AV9,AX9:AZ9,BB9)-SUM(AW9,BA9)&gt;0,SUM(AU9:AV9,AX9:AZ9,BB9)-SUM(AW9,BA9),"")</f>
        <v>68.5</v>
      </c>
      <c r="BH9" s="15">
        <f>IF(SUM(BF9,BG9)&gt;0,SUM(BF9,BG9),"")</f>
        <v>138.4</v>
      </c>
      <c r="BI9" s="26" t="str">
        <f>IF(MAX(CE9,CZ9,DU9,EP9,FK9,GF9,HA9,HV9,IQ9,JL9,KG9,LB9)-IF(J9="",0,J9)&gt;0.001,MAX(CE9,CZ9,DU9,EP9,FK9,GF9,HA9,HV9,IQ9,JL9,KG9,LB9)-IF(J9="",0,J9),"")</f>
        <v/>
      </c>
      <c r="BJ9" s="26" t="str">
        <f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5">
        <v>27.8</v>
      </c>
      <c r="DW9" s="45">
        <v>7.2</v>
      </c>
      <c r="DX9" s="45">
        <v>0.9</v>
      </c>
      <c r="DY9" s="45">
        <v>0</v>
      </c>
      <c r="DZ9" s="45">
        <v>26.8</v>
      </c>
      <c r="EA9" s="45">
        <v>6.8</v>
      </c>
      <c r="EB9" s="45">
        <v>0.9</v>
      </c>
      <c r="EC9" s="45">
        <v>0</v>
      </c>
      <c r="ED9" s="45"/>
      <c r="EE9" s="45"/>
      <c r="EF9" s="45"/>
      <c r="EG9" s="45"/>
      <c r="EH9" s="45"/>
      <c r="EI9" s="45"/>
      <c r="EJ9" s="45"/>
      <c r="EK9" s="45"/>
      <c r="EL9" s="15">
        <f>IF(SUM(DW9,EA9)&gt;0,SUM(DW9,EA9),"")</f>
        <v>14</v>
      </c>
      <c r="EM9" s="15">
        <f>IF(SUM(DW9,EA9,EE9,EI9)&gt;0,SUM(DW9,EA9,EE9,EI9),"")</f>
        <v>14</v>
      </c>
      <c r="EN9" s="15">
        <f>IF(SUM(DV9:DW9,DY9:EA9,EC9)-SUM(DX9,EB9)&gt;0,SUM(DV9:DW9,DY9:EA9,EC9)-SUM(DX9,EB9),"")</f>
        <v>66.8</v>
      </c>
      <c r="EO9" s="15" t="str">
        <f>IF(SUM(ED9:EE9,EG9:EI9,EK9)-SUM(EF9,EJ9)&gt;0,SUM(ED9:EE9,EG9:EI9,EK9)-SUM(EF9,EJ9),"")</f>
        <v/>
      </c>
      <c r="EP9" s="15">
        <f>IF(SUM(EN9,EO9)&gt;0,SUM(EN9,EO9),"")</f>
        <v>66.8</v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71">
        <f t="shared" si="6"/>
        <v>27.85</v>
      </c>
      <c r="LD9" s="71">
        <f t="shared" si="0"/>
        <v>7</v>
      </c>
      <c r="LE9" s="71">
        <f t="shared" si="0"/>
        <v>0.15</v>
      </c>
      <c r="LF9" s="71">
        <f t="shared" si="0"/>
        <v>0</v>
      </c>
      <c r="LG9" s="71">
        <f t="shared" si="0"/>
        <v>27.950000000000003</v>
      </c>
      <c r="LH9" s="71">
        <f t="shared" si="0"/>
        <v>6.8000000000000007</v>
      </c>
      <c r="LI9" s="71">
        <f t="shared" si="0"/>
        <v>0.15</v>
      </c>
      <c r="LJ9" s="71">
        <f t="shared" si="0"/>
        <v>0</v>
      </c>
      <c r="LK9" s="71">
        <f t="shared" si="0"/>
        <v>27.6</v>
      </c>
      <c r="LL9" s="71">
        <f t="shared" si="0"/>
        <v>7.4</v>
      </c>
      <c r="LM9" s="71">
        <f t="shared" si="0"/>
        <v>1.05</v>
      </c>
      <c r="LN9" s="71">
        <f t="shared" si="0"/>
        <v>0</v>
      </c>
      <c r="LO9" s="71">
        <f t="shared" si="0"/>
        <v>27.15</v>
      </c>
      <c r="LP9" s="71">
        <f t="shared" si="0"/>
        <v>6.8</v>
      </c>
      <c r="LQ9" s="71">
        <f t="shared" si="0"/>
        <v>0.15</v>
      </c>
      <c r="LR9" s="71">
        <f t="shared" si="0"/>
        <v>0</v>
      </c>
      <c r="LS9" s="82" t="s">
        <v>96</v>
      </c>
      <c r="LT9" s="12">
        <f t="shared" si="7"/>
        <v>13.8</v>
      </c>
      <c r="LU9" s="12">
        <f t="shared" si="8"/>
        <v>28.000000000000004</v>
      </c>
      <c r="LV9" s="12">
        <f t="shared" si="9"/>
        <v>69.300000000000011</v>
      </c>
      <c r="LW9" s="12">
        <f t="shared" si="10"/>
        <v>67.75</v>
      </c>
      <c r="LX9" s="12">
        <f t="shared" si="11"/>
        <v>137.05000000000001</v>
      </c>
    </row>
    <row r="10" spans="1:336" x14ac:dyDescent="0.2">
      <c r="A10" s="6">
        <f>IF(AND(F10="P",H10="P"),SUMPRODUCT((F$4:F$15="P")*(H$4:H$15="P")*(E$4:E$15&gt;E10))+1,IF(H10="P",SUMPRODUCT((F$4:F$15="")*(H$4:H$15="P")*(E$4:E$15&gt;E10))+1+SUMPRODUCT((F$4:F$15="P")*(H$4:H$15="P")),""))</f>
        <v>7</v>
      </c>
      <c r="B10" s="9" t="s">
        <v>85</v>
      </c>
      <c r="C10" s="5" t="s">
        <v>5</v>
      </c>
      <c r="D10" s="6">
        <v>1999</v>
      </c>
      <c r="E10" s="16">
        <f>SUM(J10:N10)</f>
        <v>195.2</v>
      </c>
      <c r="F10" s="4" t="str">
        <f>IF(OR(AND(AH10&gt;=AK$17,AJ10&gt;=AK$20,AJ10&lt;&gt;"",AG10=""),AND(BD10&gt;=BG$17,BF10&gt;=BG$20,BF10&lt;&gt;"",BC10=""),AND(CA10&gt;=CD$17,CC10&gt;=CD$20,CC10&lt;&gt;""),AND(CV10&gt;=CY$17,CX10&gt;=CY$20,CX10&lt;&gt;""),AND(DQ10&gt;=DT$17,DS10&gt;=DT$20,DS10&lt;&gt;""),AND(EL10&gt;=EO$17,EN10&gt;=EO$20,EN10&lt;&gt;""),AND(FG10&gt;=FJ$17,FI10&gt;=FJ$20,FI10&lt;&gt;""),AND(GB10&gt;=GE$17,GD10&gt;=GE$20,GD10&lt;&gt;""),AND(GW10&gt;=GZ$17,GY10&gt;=GZ$20,GY10&lt;&gt;""),AND(HR10&gt;=HU$17,HT10&gt;=HU$20,HT10&lt;&gt;""),AND(IM10&gt;=IP$17,IO10&gt;=IP$20,IO10&lt;&gt;""),AND(JH10&gt;=JK$17,JJ10&gt;=JK$20,JJ10&lt;&gt;""),AND(KC10&gt;=KF$17,KE10&gt;=KF$20,KE10&lt;&gt;""),AND(KX10&gt;=LA$17,KZ10&gt;=LA$20,KZ10&lt;&gt;"")),"P","")</f>
        <v/>
      </c>
      <c r="G10" s="4" t="str">
        <f>IF(OR(AND(AH10&gt;=AK$18,AJ10&gt;=AK$21,AJ10&lt;&gt;"",AG10=""),AND(BD10&gt;=BG$18,BF10&gt;=BG$21,BF10&lt;&gt;"",BC10=""),AND(CA10&gt;=CD$18,CC10&gt;=CD$21,CC10&lt;&gt;""),AND(CV10&gt;=CY$18,CX10&gt;=CY$21,CX10&lt;&gt;""),AND(DQ10&gt;=DT$18,DS10&gt;=DT$21,DS10&lt;&gt;""),AND(EL10&gt;=EO$18,EN10&gt;=EO$21,EN10&lt;&gt;""),AND(FG10&gt;=FJ$18,FI10&gt;=FJ$21,FI10&lt;&gt;""),AND(GB10&gt;=GE$18,GD10&gt;=GE$21,GD10&lt;&gt;""),AND(GW10&gt;=GZ$18,GY10&gt;=GZ$21,GY10&lt;&gt;""),AND(HR10&gt;=HU$18,HT10&gt;=HU$21,HT10&lt;&gt;""),AND(IM10&gt;=IP$18,IO10&gt;=IP$21,IO10&lt;&gt;""),AND(JH10&gt;=JK$18,JJ10&gt;=JK$21,JJ10&lt;&gt;""),AND(KC10&gt;=KF$18,KE10&gt;=KF$21,KE10&lt;&gt;""),AND(KX10&gt;=LA$18,KZ10&gt;=LA$21,KZ10&lt;&gt;"")),"P","")</f>
        <v/>
      </c>
      <c r="H10" s="4" t="str">
        <f>IF(OR(AND(AJ10&gt;=AK$20,AJ10&lt;&gt;"",AG10=""),AND(BF10&gt;=BG$20,BF10&lt;&gt;"",BC10=""),AND(CC10&gt;=CD$20,CC10&lt;&gt;""),AND(CX10&gt;=CY$20,CX10&lt;&gt;""),AND(DS10&gt;=DT$20,DS10&lt;&gt;""),AND(EN10&gt;=EO$20,EN10&lt;&gt;""),AND(FI10&gt;=FJ$20,FI10&lt;&gt;""),AND(GD10&gt;=GE$20,GD10&lt;&gt;""),AND(GY10&gt;=GZ$20,GY10&lt;&gt;""),AND(HT10&gt;=HU$20,HT10&lt;&gt;""),AND(IO10&gt;=IP$20,IO10&lt;&gt;""),AND(JJ10&gt;=JK$20,JJ10&lt;&gt;""),AND(KE10&gt;=KF$20,KE10&lt;&gt;""),AND(KZ10&gt;=LA$20,KZ10&lt;&gt;"")),"P","")</f>
        <v>P</v>
      </c>
      <c r="I10" t="str">
        <f>IF(AND(H10="P",F10=""),"No DD",IF(OR(AND(AI10&gt;=AK$19,AI10&lt;&gt;"",AL10&gt;=AK$23,AL10&lt;&gt;"",AG10=""),AND(BE10&gt;=BG$19,BE10&lt;&gt;"",BH10&gt;=BG$23,BH10&lt;&gt;"",BC10=""),AND(CB10&gt;=CD$19,CB10&lt;&gt;"",CE10&gt;=CD$23,CE10&lt;&gt;""),AND(CW10&gt;=CY$19,CW10&lt;&gt;"",CZ10&gt;=CY$23,CZ10&lt;&gt;""),AND(DR10&gt;=DT$19,DR10&lt;&gt;"",DU10&gt;=DT$23,DU10&lt;&gt;""),AND(EM10&gt;=EO$19,EM10&lt;&gt;"",EP10&gt;=EO$23,EP10&lt;&gt;""),AND(FH10&gt;=FJ$19,FH10&lt;&gt;"",FK10&gt;=FJ$23,FK10&lt;&gt;""),AND(GC10&gt;=GE$19,GC10&lt;&gt;"",GF10&gt;=GE$23,GF10&lt;&gt;""),AND(GX10&gt;=GZ$19,GX10&lt;&gt;"",HA10&gt;=GZ$23,HA10&lt;&gt;""),AND(HS10&gt;=HU$19,HS10&lt;&gt;"",HV10&gt;=HU$23,HV10&lt;&gt;""),AND(IN10&gt;=IP$19,IN10&lt;&gt;"",IQ10&gt;=IP$23,IQ10&lt;&gt;""),AND(JI10&gt;=JK$19,JI10&lt;&gt;"",JL10&gt;=JK$23,JL10&lt;&gt;""),AND(KD10&gt;=KF$19,KD10&lt;&gt;"",KG10&gt;=KF$23,KG10&lt;&gt;""),AND(KY10&gt;=LA$19,KY10&lt;&gt;"",LB10&gt;=LA$23,LB10&lt;&gt;"")),"Merit",IF(OR(AND(AI10&gt;=AK$19,AI10&lt;&gt;"",AL10&gt;=AK$22,AL10&lt;&gt;"",AG10=""),AND(BE10&gt;=BG$19,BE10&lt;&gt;"",BH10&gt;=BG$22,BH10&lt;&gt;"",BC10=""),AND(CB10&gt;=CD$19,CB10&lt;&gt;"",CE10&gt;=CD$22,CE10&lt;&gt;""),AND(CW10&gt;=CY$19,CW10&lt;&gt;"",CZ10&gt;=CY$22,CZ10&lt;&gt;""),AND(DR10&gt;=DT$19,DR10&lt;&gt;"",DU10&gt;=DT$22,DU10&lt;&gt;""),AND(EM10&gt;=EO$19,EM10&lt;&gt;"",EP10&gt;=EO$22,EP10&lt;&gt;""),AND(FH10&gt;=FJ$19,FH10&lt;&gt;"",FK10&gt;=FJ$22,FK10&lt;&gt;""),AND(GC10&gt;=GE$19,GC10&lt;&gt;"",GF10&gt;=GE$22,GF10&lt;&gt;""),AND(GX10&gt;=GZ$19,GX10&lt;&gt;"",HA10&gt;=GZ$22,HA10&lt;&gt;""),AND(HS10&gt;=HU$19,HS10&lt;&gt;"",HV10&gt;=HU$22,HV10&lt;&gt;""),AND(IN10&gt;=IP$19,IN10&lt;&gt;"",IQ10&gt;=IP$22,IQ10&lt;&gt;""),AND(JI10&gt;=JK$19,JI10&lt;&gt;"",JL10&gt;=JK$22,JL10&lt;&gt;""),AND(KD10&gt;=KF$19,KD10&lt;&gt;"",KG10&gt;=KF$22,KG10&lt;&gt;""),AND(KY10&gt;=LA$19,KY10&lt;&gt;"",LB10&gt;=LA$22,LB10&lt;&gt;"")),"Excellence",IF(OR(AND(AH10&gt;=AK$18,AH10&lt;&gt;"",AJ10&gt;=AK$21,AJ10&lt;&gt;"",AG10=""),AND(BD10&gt;=BG$18,BD10&lt;&gt;"",BF10&gt;=BG$21,BF10&lt;&gt;"",BC10=""),AND(CA10&gt;=CD$18,CA10&lt;&gt;"",CC10&gt;=CD$21,CC10&lt;&gt;""),AND(CV10&gt;=CY$18,CV10&lt;&gt;"",CX10&gt;=CY$21,CX10&lt;&gt;""),AND(DQ10&gt;=DT$18,DQ10&lt;&gt;"",DS10&gt;=DT$21,DS10&lt;&gt;""),AND(EL10&gt;=EO$18,EL10&lt;&gt;"",EN10&gt;=EO$21,EN10&lt;&gt;""),AND(FG10&gt;=FJ$18,FG10&lt;&gt;"",FI10&gt;=FJ$21,FI10&lt;&gt;""),AND(GB10&gt;=GE$18,GB10&lt;&gt;"",GD10&gt;=GE$21,GD10&lt;&gt;""),AND(GW10&gt;=GZ$18,GW10&lt;&gt;"",GY10&gt;=GZ$21,GY10&lt;&gt;""),AND(HR10&gt;=HU$18,HR10&lt;&gt;"",HT10&gt;=HU$21,HT10&lt;&gt;""),AND(IM10&gt;=IP$18,IM10&lt;&gt;"",IO10&gt;=IP$21,IO10&lt;&gt;""),AND(JH10&gt;=JK$18,JH10&lt;&gt;"",JJ10&gt;=JK$21,JJ10&lt;&gt;""),AND(KC10&gt;=KF$18,KC10&lt;&gt;"",KE10&gt;=KF$21,KE10&lt;&gt;""),AND(KX10&gt;=LA$18,KX10&lt;&gt;"",KZ10&gt;=LA$21,KZ10&lt;&gt;"")),"Worlds Team",IF(OR(AND(AH10&gt;=AK$17,AH10&lt;&gt;"",AJ10&gt;=AK$20,AJ10&lt;&gt;"",AG10=""),AND(BD10&gt;=BG$17,BD10&lt;&gt;"",BF10&gt;=BG$20,BF10&lt;&gt;"",BC10=""),AND(CA10&gt;=CD$17,CA10&lt;&gt;"",CC10&gt;=CD$20,CC10&lt;&gt;""),AND(CV10&gt;=CY$17,CV10&lt;&gt;"",CX10&gt;=CY$20,CX10&lt;&gt;""),AND(DQ10&gt;=DT$17,DQ10&lt;&gt;"",DS10&gt;=DT$20,DS10&lt;&gt;""),AND(EL10&gt;=EO$17,EL10&lt;&gt;"",EN10&gt;=EO$20,EN10&lt;&gt;""),AND(FG10&gt;=FJ$17,FG10&lt;&gt;"",FI10&gt;=FJ$20,FI10&lt;&gt;""),AND(GB10&gt;=GE$17,GB10&lt;&gt;"",GD10&gt;=GE$20,GD10&lt;&gt;""),AND(GW10&gt;=GZ$17,GW10&lt;&gt;"",GY10&gt;=GZ$20,GY10&lt;&gt;""),AND(HR10&gt;=HU$17,HR10&lt;&gt;"",HT10&gt;=HU$20,HT10&lt;&gt;""),AND(IM10&gt;=IP$17,IM10&lt;&gt;"",IO10&gt;=IP$20,IO10&lt;&gt;""),AND(JH10&gt;=JK$17,JH10&lt;&gt;"",JJ10&gt;=JK$20,JJ10&lt;&gt;""),AND(KC10&gt;=KF$17,KC10&lt;&gt;"",KE10&gt;=KF$20,KE10&lt;&gt;""),AND(KX10&gt;=LA$17,KX10&lt;&gt;"",KZ10&gt;=LA$20,KZ10&lt;&gt;"")),"National Team","")))))</f>
        <v>No DD</v>
      </c>
      <c r="J10" s="15">
        <f>IF(MAX(AL10,BH10)&gt;0,MAX(AL10,BH10),"")</f>
        <v>128.30000000000001</v>
      </c>
      <c r="K10" s="15" t="str">
        <f>IF(J10="","",IF(J10=BH10,$AM$1,IF(J10=AL10,$Q$1,"")))</f>
        <v>2019 Nationals</v>
      </c>
      <c r="L10" s="15">
        <f>IF(J10=AL10,IF(MAX(BF10,BG10)&gt;0,MAX(BF10,BG10),""),IF(J10=BH10,IF(MAX(AJ10,AK10)&gt;0,MAX(AJ10,AK10),""),MAX(AJ10,AK10,BF10,BG10)))</f>
        <v>66.899999999999991</v>
      </c>
      <c r="M10" s="15" t="str">
        <f>IF(L10="","",IF(AND(J10&lt;&gt;BH10,OR(L10=BG10,L10=BF10)),$AM$1,IF(OR(L10=AK10,L10=AJ10),$Q$1,"")))</f>
        <v>2019 Elite Canada</v>
      </c>
      <c r="N10" s="15" t="str">
        <f>IF(MAX(BI10:BJ10)&gt;0,MAX(BI10:BJ10),"")</f>
        <v/>
      </c>
      <c r="O10" s="27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71">
        <v>28.2</v>
      </c>
      <c r="R10" s="71">
        <v>7.6</v>
      </c>
      <c r="S10" s="71">
        <v>0.9</v>
      </c>
      <c r="T10" s="71">
        <v>0</v>
      </c>
      <c r="U10" s="71">
        <v>20.5</v>
      </c>
      <c r="V10" s="71">
        <v>2.8</v>
      </c>
      <c r="W10" s="71">
        <v>0</v>
      </c>
      <c r="X10" s="71">
        <v>0</v>
      </c>
      <c r="Y10" s="71">
        <v>28.7</v>
      </c>
      <c r="Z10" s="71">
        <v>7.2</v>
      </c>
      <c r="AA10" s="71">
        <v>0</v>
      </c>
      <c r="AB10" s="71">
        <v>0</v>
      </c>
      <c r="AC10" s="71">
        <v>26.2</v>
      </c>
      <c r="AD10" s="71">
        <v>6</v>
      </c>
      <c r="AE10" s="71">
        <v>1.2</v>
      </c>
      <c r="AF10" s="71">
        <v>0</v>
      </c>
      <c r="AG10" s="82"/>
      <c r="AH10" s="12">
        <f>IF(SUM(R10,V10)&gt;0,SUM(R10,V10),"")</f>
        <v>10.399999999999999</v>
      </c>
      <c r="AI10" s="12">
        <f>IF(SUM(R10,V10,Z10,AD10)&gt;0,SUM(R10,V10,Z10,AD10),"")</f>
        <v>23.599999999999998</v>
      </c>
      <c r="AJ10" s="12">
        <f>IF(SUM(Q10:R10,T10:V10,X10)-SUM(S10,W10)&gt;0,SUM(Q10:R10,T10:V10,X10)-SUM(S10,W10),"")</f>
        <v>58.199999999999996</v>
      </c>
      <c r="AK10" s="12">
        <f>IF(SUM(Y10:Z10,AB10:AD10,AF10)-SUM(AA10,AE10)&gt;0,SUM(Y10:Z10,AB10:AD10,AF10)-SUM(AA10,AE10),"")</f>
        <v>66.899999999999991</v>
      </c>
      <c r="AL10" s="12">
        <f>IF(SUM(AJ10,AK10)&gt;0,SUM(AJ10,AK10),"")</f>
        <v>125.1</v>
      </c>
      <c r="AM10" s="40">
        <v>28.2</v>
      </c>
      <c r="AN10" s="40">
        <v>7.2</v>
      </c>
      <c r="AO10" s="40">
        <v>0.3</v>
      </c>
      <c r="AP10" s="40">
        <v>0</v>
      </c>
      <c r="AQ10" s="40">
        <v>28.1</v>
      </c>
      <c r="AR10" s="40">
        <v>7.6</v>
      </c>
      <c r="AS10" s="40">
        <v>0</v>
      </c>
      <c r="AT10" s="40">
        <v>0</v>
      </c>
      <c r="AU10" s="40">
        <v>20.3</v>
      </c>
      <c r="AV10" s="40">
        <v>2.8</v>
      </c>
      <c r="AW10" s="40">
        <v>0</v>
      </c>
      <c r="AX10" s="40">
        <v>0</v>
      </c>
      <c r="AY10" s="40">
        <v>28.4</v>
      </c>
      <c r="AZ10" s="40">
        <v>6</v>
      </c>
      <c r="BA10" s="40"/>
      <c r="BB10" s="40"/>
      <c r="BC10" s="83"/>
      <c r="BD10" s="15">
        <f>IF(SUM(AN10,AR10)&gt;0,SUM(AN10,AR10),"")</f>
        <v>14.8</v>
      </c>
      <c r="BE10" s="15">
        <f>IF(SUM(AN10,AR10,AV10,AZ10)&gt;0,SUM(AN10,AR10,AV10,AZ10),"")</f>
        <v>23.6</v>
      </c>
      <c r="BF10" s="15">
        <f>IF(SUM(AM10:AN10,AP10:AR10,AT10)-SUM(AO10,AS10)&gt;0,SUM(AM10:AN10,AP10:AR10,AT10)-SUM(AO10,AS10),"")</f>
        <v>70.8</v>
      </c>
      <c r="BG10" s="15">
        <f>IF(SUM(AU10:AV10,AX10:AZ10,BB10)-SUM(AW10,BA10)&gt;0,SUM(AU10:AV10,AX10:AZ10,BB10)-SUM(AW10,BA10),"")</f>
        <v>57.5</v>
      </c>
      <c r="BH10" s="15">
        <f>IF(SUM(BF10,BG10)&gt;0,SUM(BF10,BG10),"")</f>
        <v>128.30000000000001</v>
      </c>
      <c r="BI10" s="26" t="str">
        <f>IF(MAX(CE10,CZ10,DU10,EP10,FK10,GF10,HA10,HV10,IQ10,JL10,KG10,LB10)-IF(J10="",0,J10)&gt;0.001,MAX(CE10,CZ10,DU10,EP10,FK10,GF10,HA10,HV10,IQ10,JL10,KG10,LB10)-IF(J10="",0,J10),"")</f>
        <v/>
      </c>
      <c r="BJ10" s="26" t="str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/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>IF(SUM(DW10,EA10)&gt;0,SUM(DW10,EA10),"")</f>
        <v/>
      </c>
      <c r="EM10" s="15" t="str">
        <f>IF(SUM(DW10,EA10,EE10,EI10)&gt;0,SUM(DW10,EA10,EE10,EI10),"")</f>
        <v/>
      </c>
      <c r="EN10" s="15" t="str">
        <f>IF(SUM(DV10:DW10,DY10:EA10,EC10)-SUM(DX10,EB10)&gt;0,SUM(DV10:DW10,DY10:EA10,EC10)-SUM(DX10,EB10),"")</f>
        <v/>
      </c>
      <c r="EO10" s="15" t="str">
        <f>IF(SUM(ED10:EE10,EG10:EI10,EK10)-SUM(EF10,EJ10)&gt;0,SUM(ED10:EE10,EG10:EI10,EK10)-SUM(EF10,EJ10),"")</f>
        <v/>
      </c>
      <c r="EP10" s="15" t="str">
        <f>IF(SUM(EN10,EO10)&gt;0,SUM(EN10,EO10),"")</f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71">
        <f t="shared" si="6"/>
        <v>28.2</v>
      </c>
      <c r="LD10" s="71">
        <f t="shared" si="0"/>
        <v>7.4</v>
      </c>
      <c r="LE10" s="71">
        <f t="shared" si="0"/>
        <v>0.6</v>
      </c>
      <c r="LF10" s="71">
        <f t="shared" si="0"/>
        <v>0</v>
      </c>
      <c r="LG10" s="71">
        <f t="shared" si="0"/>
        <v>24.3</v>
      </c>
      <c r="LH10" s="71">
        <f t="shared" si="0"/>
        <v>5.1999999999999993</v>
      </c>
      <c r="LI10" s="71">
        <f t="shared" si="0"/>
        <v>0</v>
      </c>
      <c r="LJ10" s="71">
        <f t="shared" si="0"/>
        <v>0</v>
      </c>
      <c r="LK10" s="71">
        <f t="shared" si="0"/>
        <v>24.5</v>
      </c>
      <c r="LL10" s="71">
        <f t="shared" si="0"/>
        <v>5</v>
      </c>
      <c r="LM10" s="71">
        <f t="shared" si="0"/>
        <v>0</v>
      </c>
      <c r="LN10" s="71">
        <f t="shared" si="0"/>
        <v>0</v>
      </c>
      <c r="LO10" s="71">
        <f t="shared" si="0"/>
        <v>27.299999999999997</v>
      </c>
      <c r="LP10" s="71">
        <f t="shared" si="0"/>
        <v>6</v>
      </c>
      <c r="LQ10" s="71">
        <f t="shared" si="0"/>
        <v>0.6</v>
      </c>
      <c r="LR10" s="71">
        <f t="shared" si="0"/>
        <v>0</v>
      </c>
      <c r="LS10" s="82" t="s">
        <v>96</v>
      </c>
      <c r="LT10" s="12">
        <f t="shared" si="7"/>
        <v>12.6</v>
      </c>
      <c r="LU10" s="12">
        <f t="shared" si="8"/>
        <v>23.6</v>
      </c>
      <c r="LV10" s="12">
        <f t="shared" si="9"/>
        <v>64.500000000000014</v>
      </c>
      <c r="LW10" s="12">
        <f t="shared" si="10"/>
        <v>62.199999999999996</v>
      </c>
      <c r="LX10" s="12">
        <f t="shared" si="11"/>
        <v>126.70000000000002</v>
      </c>
    </row>
    <row r="11" spans="1:336" x14ac:dyDescent="0.2">
      <c r="A11" s="6" t="str">
        <f>IF(AND(F11="P",H11="P"),SUMPRODUCT((F$4:F$15="P")*(H$4:H$15="P")*(E$4:E$15&gt;E11))+1,IF(H11="P",SUMPRODUCT((F$4:F$15="")*(H$4:H$15="P")*(E$4:E$15&gt;E11))+1+SUMPRODUCT((F$4:F$15="P")*(H$4:H$15="P")),""))</f>
        <v/>
      </c>
      <c r="B11" s="9" t="s">
        <v>52</v>
      </c>
      <c r="C11" s="5" t="s">
        <v>5</v>
      </c>
      <c r="D11" s="6">
        <v>1998</v>
      </c>
      <c r="E11" s="16">
        <f>SUM(J11:N11)</f>
        <v>194.75</v>
      </c>
      <c r="F11" s="4" t="str">
        <f>IF(OR(AND(AH11&gt;=AK$17,AJ11&gt;=AK$20,AJ11&lt;&gt;"",AG11=""),AND(BD11&gt;=BG$17,BF11&gt;=BG$20,BF11&lt;&gt;"",BC11=""),AND(CA11&gt;=CD$17,CC11&gt;=CD$20,CC11&lt;&gt;""),AND(CV11&gt;=CY$17,CX11&gt;=CY$20,CX11&lt;&gt;""),AND(DQ11&gt;=DT$17,DS11&gt;=DT$20,DS11&lt;&gt;""),AND(EL11&gt;=EO$17,EN11&gt;=EO$20,EN11&lt;&gt;""),AND(FG11&gt;=FJ$17,FI11&gt;=FJ$20,FI11&lt;&gt;""),AND(GB11&gt;=GE$17,GD11&gt;=GE$20,GD11&lt;&gt;""),AND(GW11&gt;=GZ$17,GY11&gt;=GZ$20,GY11&lt;&gt;""),AND(HR11&gt;=HU$17,HT11&gt;=HU$20,HT11&lt;&gt;""),AND(IM11&gt;=IP$17,IO11&gt;=IP$20,IO11&lt;&gt;""),AND(JH11&gt;=JK$17,JJ11&gt;=JK$20,JJ11&lt;&gt;""),AND(KC11&gt;=KF$17,KE11&gt;=KF$20,KE11&lt;&gt;""),AND(KX11&gt;=LA$17,KZ11&gt;=LA$20,KZ11&lt;&gt;"")),"P","")</f>
        <v/>
      </c>
      <c r="G11" s="4" t="str">
        <f>IF(OR(AND(AH11&gt;=AK$18,AJ11&gt;=AK$21,AJ11&lt;&gt;"",AG11=""),AND(BD11&gt;=BG$18,BF11&gt;=BG$21,BF11&lt;&gt;"",BC11=""),AND(CA11&gt;=CD$18,CC11&gt;=CD$21,CC11&lt;&gt;""),AND(CV11&gt;=CY$18,CX11&gt;=CY$21,CX11&lt;&gt;""),AND(DQ11&gt;=DT$18,DS11&gt;=DT$21,DS11&lt;&gt;""),AND(EL11&gt;=EO$18,EN11&gt;=EO$21,EN11&lt;&gt;""),AND(FG11&gt;=FJ$18,FI11&gt;=FJ$21,FI11&lt;&gt;""),AND(GB11&gt;=GE$18,GD11&gt;=GE$21,GD11&lt;&gt;""),AND(GW11&gt;=GZ$18,GY11&gt;=GZ$21,GY11&lt;&gt;""),AND(HR11&gt;=HU$18,HT11&gt;=HU$21,HT11&lt;&gt;""),AND(IM11&gt;=IP$18,IO11&gt;=IP$21,IO11&lt;&gt;""),AND(JH11&gt;=JK$18,JJ11&gt;=JK$21,JJ11&lt;&gt;""),AND(KC11&gt;=KF$18,KE11&gt;=KF$21,KE11&lt;&gt;""),AND(KX11&gt;=LA$18,KZ11&gt;=LA$21,KZ11&lt;&gt;"")),"P","")</f>
        <v/>
      </c>
      <c r="H11" s="4" t="str">
        <f>IF(OR(AND(AJ11&gt;=AK$20,AJ11&lt;&gt;"",AG11=""),AND(BF11&gt;=BG$20,BF11&lt;&gt;"",BC11=""),AND(CC11&gt;=CD$20,CC11&lt;&gt;""),AND(CX11&gt;=CY$20,CX11&lt;&gt;""),AND(DS11&gt;=DT$20,DS11&lt;&gt;""),AND(EN11&gt;=EO$20,EN11&lt;&gt;""),AND(FI11&gt;=FJ$20,FI11&lt;&gt;""),AND(GD11&gt;=GE$20,GD11&lt;&gt;""),AND(GY11&gt;=GZ$20,GY11&lt;&gt;""),AND(HT11&gt;=HU$20,HT11&lt;&gt;""),AND(IO11&gt;=IP$20,IO11&lt;&gt;""),AND(JJ11&gt;=JK$20,JJ11&lt;&gt;""),AND(KE11&gt;=KF$20,KE11&lt;&gt;""),AND(KZ11&gt;=LA$20,KZ11&lt;&gt;"")),"P","")</f>
        <v/>
      </c>
      <c r="I11" t="str">
        <f>IF(AND(H11="P",F11=""),"No DD",IF(OR(AND(AI11&gt;=AK$19,AI11&lt;&gt;"",AL11&gt;=AK$23,AL11&lt;&gt;"",AG11=""),AND(BE11&gt;=BG$19,BE11&lt;&gt;"",BH11&gt;=BG$23,BH11&lt;&gt;"",BC11=""),AND(CB11&gt;=CD$19,CB11&lt;&gt;"",CE11&gt;=CD$23,CE11&lt;&gt;""),AND(CW11&gt;=CY$19,CW11&lt;&gt;"",CZ11&gt;=CY$23,CZ11&lt;&gt;""),AND(DR11&gt;=DT$19,DR11&lt;&gt;"",DU11&gt;=DT$23,DU11&lt;&gt;""),AND(EM11&gt;=EO$19,EM11&lt;&gt;"",EP11&gt;=EO$23,EP11&lt;&gt;""),AND(FH11&gt;=FJ$19,FH11&lt;&gt;"",FK11&gt;=FJ$23,FK11&lt;&gt;""),AND(GC11&gt;=GE$19,GC11&lt;&gt;"",GF11&gt;=GE$23,GF11&lt;&gt;""),AND(GX11&gt;=GZ$19,GX11&lt;&gt;"",HA11&gt;=GZ$23,HA11&lt;&gt;""),AND(HS11&gt;=HU$19,HS11&lt;&gt;"",HV11&gt;=HU$23,HV11&lt;&gt;""),AND(IN11&gt;=IP$19,IN11&lt;&gt;"",IQ11&gt;=IP$23,IQ11&lt;&gt;""),AND(JI11&gt;=JK$19,JI11&lt;&gt;"",JL11&gt;=JK$23,JL11&lt;&gt;""),AND(KD11&gt;=KF$19,KD11&lt;&gt;"",KG11&gt;=KF$23,KG11&lt;&gt;""),AND(KY11&gt;=LA$19,KY11&lt;&gt;"",LB11&gt;=LA$23,LB11&lt;&gt;"")),"Merit",IF(OR(AND(AI11&gt;=AK$19,AI11&lt;&gt;"",AL11&gt;=AK$22,AL11&lt;&gt;"",AG11=""),AND(BE11&gt;=BG$19,BE11&lt;&gt;"",BH11&gt;=BG$22,BH11&lt;&gt;"",BC11=""),AND(CB11&gt;=CD$19,CB11&lt;&gt;"",CE11&gt;=CD$22,CE11&lt;&gt;""),AND(CW11&gt;=CY$19,CW11&lt;&gt;"",CZ11&gt;=CY$22,CZ11&lt;&gt;""),AND(DR11&gt;=DT$19,DR11&lt;&gt;"",DU11&gt;=DT$22,DU11&lt;&gt;""),AND(EM11&gt;=EO$19,EM11&lt;&gt;"",EP11&gt;=EO$22,EP11&lt;&gt;""),AND(FH11&gt;=FJ$19,FH11&lt;&gt;"",FK11&gt;=FJ$22,FK11&lt;&gt;""),AND(GC11&gt;=GE$19,GC11&lt;&gt;"",GF11&gt;=GE$22,GF11&lt;&gt;""),AND(GX11&gt;=GZ$19,GX11&lt;&gt;"",HA11&gt;=GZ$22,HA11&lt;&gt;""),AND(HS11&gt;=HU$19,HS11&lt;&gt;"",HV11&gt;=HU$22,HV11&lt;&gt;""),AND(IN11&gt;=IP$19,IN11&lt;&gt;"",IQ11&gt;=IP$22,IQ11&lt;&gt;""),AND(JI11&gt;=JK$19,JI11&lt;&gt;"",JL11&gt;=JK$22,JL11&lt;&gt;""),AND(KD11&gt;=KF$19,KD11&lt;&gt;"",KG11&gt;=KF$22,KG11&lt;&gt;""),AND(KY11&gt;=LA$19,KY11&lt;&gt;"",LB11&gt;=LA$22,LB11&lt;&gt;"")),"Excellence",IF(OR(AND(AH11&gt;=AK$18,AH11&lt;&gt;"",AJ11&gt;=AK$21,AJ11&lt;&gt;"",AG11=""),AND(BD11&gt;=BG$18,BD11&lt;&gt;"",BF11&gt;=BG$21,BF11&lt;&gt;"",BC11=""),AND(CA11&gt;=CD$18,CA11&lt;&gt;"",CC11&gt;=CD$21,CC11&lt;&gt;""),AND(CV11&gt;=CY$18,CV11&lt;&gt;"",CX11&gt;=CY$21,CX11&lt;&gt;""),AND(DQ11&gt;=DT$18,DQ11&lt;&gt;"",DS11&gt;=DT$21,DS11&lt;&gt;""),AND(EL11&gt;=EO$18,EL11&lt;&gt;"",EN11&gt;=EO$21,EN11&lt;&gt;""),AND(FG11&gt;=FJ$18,FG11&lt;&gt;"",FI11&gt;=FJ$21,FI11&lt;&gt;""),AND(GB11&gt;=GE$18,GB11&lt;&gt;"",GD11&gt;=GE$21,GD11&lt;&gt;""),AND(GW11&gt;=GZ$18,GW11&lt;&gt;"",GY11&gt;=GZ$21,GY11&lt;&gt;""),AND(HR11&gt;=HU$18,HR11&lt;&gt;"",HT11&gt;=HU$21,HT11&lt;&gt;""),AND(IM11&gt;=IP$18,IM11&lt;&gt;"",IO11&gt;=IP$21,IO11&lt;&gt;""),AND(JH11&gt;=JK$18,JH11&lt;&gt;"",JJ11&gt;=JK$21,JJ11&lt;&gt;""),AND(KC11&gt;=KF$18,KC11&lt;&gt;"",KE11&gt;=KF$21,KE11&lt;&gt;""),AND(KX11&gt;=LA$18,KX11&lt;&gt;"",KZ11&gt;=LA$21,KZ11&lt;&gt;"")),"Worlds Team",IF(OR(AND(AH11&gt;=AK$17,AH11&lt;&gt;"",AJ11&gt;=AK$20,AJ11&lt;&gt;"",AG11=""),AND(BD11&gt;=BG$17,BD11&lt;&gt;"",BF11&gt;=BG$20,BF11&lt;&gt;"",BC11=""),AND(CA11&gt;=CD$17,CA11&lt;&gt;"",CC11&gt;=CD$20,CC11&lt;&gt;""),AND(CV11&gt;=CY$17,CV11&lt;&gt;"",CX11&gt;=CY$20,CX11&lt;&gt;""),AND(DQ11&gt;=DT$17,DQ11&lt;&gt;"",DS11&gt;=DT$20,DS11&lt;&gt;""),AND(EL11&gt;=EO$17,EL11&lt;&gt;"",EN11&gt;=EO$20,EN11&lt;&gt;""),AND(FG11&gt;=FJ$17,FG11&lt;&gt;"",FI11&gt;=FJ$20,FI11&lt;&gt;""),AND(GB11&gt;=GE$17,GB11&lt;&gt;"",GD11&gt;=GE$20,GD11&lt;&gt;""),AND(GW11&gt;=GZ$17,GW11&lt;&gt;"",GY11&gt;=GZ$20,GY11&lt;&gt;""),AND(HR11&gt;=HU$17,HR11&lt;&gt;"",HT11&gt;=HU$20,HT11&lt;&gt;""),AND(IM11&gt;=IP$17,IM11&lt;&gt;"",IO11&gt;=IP$20,IO11&lt;&gt;""),AND(JH11&gt;=JK$17,JH11&lt;&gt;"",JJ11&gt;=JK$20,JJ11&lt;&gt;""),AND(KC11&gt;=KF$17,KC11&lt;&gt;"",KE11&gt;=KF$20,KE11&lt;&gt;""),AND(KX11&gt;=LA$17,KX11&lt;&gt;"",KZ11&gt;=LA$20,KZ11&lt;&gt;"")),"National Team","")))))</f>
        <v/>
      </c>
      <c r="J11" s="15">
        <f>IF(MAX(AL11,BH11)&gt;0,MAX(AL11,BH11),"")</f>
        <v>124.10000000000001</v>
      </c>
      <c r="K11" s="15" t="str">
        <f>IF(J11="","",IF(J11=BH11,$AM$1,IF(J11=AL11,$Q$1,"")))</f>
        <v>2019 Nationals</v>
      </c>
      <c r="L11" s="15">
        <f>IF(J11=AL11,IF(MAX(BF11,BG11)&gt;0,MAX(BF11,BG11),""),IF(J11=BH11,IF(MAX(AJ11,AK11)&gt;0,MAX(AJ11,AK11),""),MAX(AJ11,AK11,BF11,BG11)))</f>
        <v>70.650000000000006</v>
      </c>
      <c r="M11" s="15" t="str">
        <f>IF(L11="","",IF(AND(J11&lt;&gt;BH11,OR(L11=BG11,L11=BF11)),$AM$1,IF(OR(L11=AK11,L11=AJ11),$Q$1,"")))</f>
        <v>2019 Elite Canada</v>
      </c>
      <c r="N11" s="15" t="str">
        <f>IF(MAX(BI11:BJ11)&gt;0,MAX(BI11:BJ11),"")</f>
        <v/>
      </c>
      <c r="O11" s="27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71">
        <v>27.65</v>
      </c>
      <c r="R11" s="71">
        <v>8.4</v>
      </c>
      <c r="S11" s="71">
        <v>0.3</v>
      </c>
      <c r="T11" s="71">
        <v>0</v>
      </c>
      <c r="U11" s="71">
        <v>27.1</v>
      </c>
      <c r="V11" s="71">
        <v>8.1</v>
      </c>
      <c r="W11" s="71">
        <v>0.3</v>
      </c>
      <c r="X11" s="71">
        <v>0</v>
      </c>
      <c r="Y11" s="71">
        <v>14.25</v>
      </c>
      <c r="Z11" s="71">
        <v>3.4</v>
      </c>
      <c r="AA11" s="71">
        <v>0.15</v>
      </c>
      <c r="AB11" s="71">
        <v>0</v>
      </c>
      <c r="AC11" s="71">
        <v>28.5</v>
      </c>
      <c r="AD11" s="71">
        <v>7.6</v>
      </c>
      <c r="AE11" s="71">
        <v>0.15</v>
      </c>
      <c r="AF11" s="71">
        <v>0</v>
      </c>
      <c r="AG11" s="82" t="s">
        <v>96</v>
      </c>
      <c r="AH11" s="12">
        <f>IF(SUM(R11,V11)&gt;0,SUM(R11,V11),"")</f>
        <v>16.5</v>
      </c>
      <c r="AI11" s="12">
        <f>IF(SUM(R11,V11,Z11,AD11)&gt;0,SUM(R11,V11,Z11,AD11),"")</f>
        <v>27.5</v>
      </c>
      <c r="AJ11" s="12">
        <f>IF(SUM(Q11:R11,T11:V11,X11)-SUM(S11,W11)&gt;0,SUM(Q11:R11,T11:V11,X11)-SUM(S11,W11),"")</f>
        <v>70.650000000000006</v>
      </c>
      <c r="AK11" s="12">
        <f>IF(SUM(Y11:Z11,AB11:AD11,AF11)-SUM(AA11,AE11)&gt;0,SUM(Y11:Z11,AB11:AD11,AF11)-SUM(AA11,AE11),"")</f>
        <v>53.45</v>
      </c>
      <c r="AL11" s="12">
        <f>IF(SUM(AJ11,AK11)&gt;0,SUM(AJ11,AK11),"")</f>
        <v>124.10000000000001</v>
      </c>
      <c r="AM11" s="40">
        <v>27.65</v>
      </c>
      <c r="AN11" s="40">
        <v>8.4</v>
      </c>
      <c r="AO11" s="40">
        <v>0.3</v>
      </c>
      <c r="AP11" s="40">
        <v>0</v>
      </c>
      <c r="AQ11" s="40">
        <v>27.1</v>
      </c>
      <c r="AR11" s="40">
        <v>8.1</v>
      </c>
      <c r="AS11" s="40">
        <v>0.3</v>
      </c>
      <c r="AT11" s="40">
        <v>0</v>
      </c>
      <c r="AU11" s="40">
        <v>14.25</v>
      </c>
      <c r="AV11" s="40">
        <v>3.4</v>
      </c>
      <c r="AW11" s="40">
        <v>0.15</v>
      </c>
      <c r="AX11" s="40">
        <v>0</v>
      </c>
      <c r="AY11" s="40">
        <v>28.5</v>
      </c>
      <c r="AZ11" s="40">
        <v>7.6</v>
      </c>
      <c r="BA11" s="40">
        <v>0.15</v>
      </c>
      <c r="BB11" s="40">
        <v>0</v>
      </c>
      <c r="BC11" s="83" t="s">
        <v>96</v>
      </c>
      <c r="BD11" s="15">
        <f>IF(SUM(AN11,AR11)&gt;0,SUM(AN11,AR11),"")</f>
        <v>16.5</v>
      </c>
      <c r="BE11" s="15">
        <f>IF(SUM(AN11,AR11,AV11,AZ11)&gt;0,SUM(AN11,AR11,AV11,AZ11),"")</f>
        <v>27.5</v>
      </c>
      <c r="BF11" s="15">
        <f>IF(SUM(AM11:AN11,AP11:AR11,AT11)-SUM(AO11,AS11)&gt;0,SUM(AM11:AN11,AP11:AR11,AT11)-SUM(AO11,AS11),"")</f>
        <v>70.650000000000006</v>
      </c>
      <c r="BG11" s="15">
        <f>IF(SUM(AU11:AV11,AX11:AZ11,BB11)-SUM(AW11,BA11)&gt;0,SUM(AU11:AV11,AX11:AZ11,BB11)-SUM(AW11,BA11),"")</f>
        <v>53.45</v>
      </c>
      <c r="BH11" s="15">
        <f>IF(SUM(BF11,BG11)&gt;0,SUM(BF11,BG11),"")</f>
        <v>124.10000000000001</v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>
        <v>0</v>
      </c>
      <c r="DB11" s="46">
        <v>0</v>
      </c>
      <c r="DC11" s="46">
        <v>0</v>
      </c>
      <c r="DD11" s="46">
        <v>0</v>
      </c>
      <c r="DE11" s="46">
        <v>19.8</v>
      </c>
      <c r="DF11" s="46">
        <v>4.8</v>
      </c>
      <c r="DG11" s="46">
        <v>0</v>
      </c>
      <c r="DH11" s="46">
        <v>0</v>
      </c>
      <c r="DI11" s="46"/>
      <c r="DJ11" s="46"/>
      <c r="DK11" s="46"/>
      <c r="DL11" s="46"/>
      <c r="DM11" s="46"/>
      <c r="DN11" s="46"/>
      <c r="DO11" s="46"/>
      <c r="DP11" s="46"/>
      <c r="DQ11" s="12">
        <f>IF(SUM(DB11,DF11)&gt;0,SUM(DB11,DF11),"")</f>
        <v>4.8</v>
      </c>
      <c r="DR11" s="12">
        <f>IF(SUM(DB11,DF11,DJ11,DN11)&gt;0,SUM(DB11,DF11,DJ11,DN11),"")</f>
        <v>4.8</v>
      </c>
      <c r="DS11" s="12">
        <f>IF(SUM(DA11:DB11,DD11:DF11,DH11)-SUM(DC11,DG11)&gt;0,SUM(DA11:DB11,DD11:DF11,DH11)-SUM(DC11,DG11),"")</f>
        <v>24.6</v>
      </c>
      <c r="DT11" s="12" t="str">
        <f>IF(SUM(DI11:DJ11,DL11:DN11,DP11)-SUM(DK11,DO11)&gt;0,SUM(DI11:DJ11,DL11:DN11,DP11)-SUM(DK11,DO11),"")</f>
        <v/>
      </c>
      <c r="DU11" s="12">
        <f>IF(SUM(DS11,DT11)&gt;0,SUM(DS11,DT11),"")</f>
        <v>24.6</v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71">
        <f t="shared" si="6"/>
        <v>27.65</v>
      </c>
      <c r="LD11" s="71">
        <f t="shared" si="0"/>
        <v>8.4</v>
      </c>
      <c r="LE11" s="71">
        <f t="shared" si="0"/>
        <v>0.3</v>
      </c>
      <c r="LF11" s="71">
        <f t="shared" si="0"/>
        <v>0</v>
      </c>
      <c r="LG11" s="71">
        <f t="shared" si="0"/>
        <v>27.1</v>
      </c>
      <c r="LH11" s="71">
        <f t="shared" si="0"/>
        <v>8.1</v>
      </c>
      <c r="LI11" s="71">
        <f t="shared" si="0"/>
        <v>0.3</v>
      </c>
      <c r="LJ11" s="71">
        <f t="shared" si="0"/>
        <v>0</v>
      </c>
      <c r="LK11" s="71">
        <f t="shared" si="0"/>
        <v>14.25</v>
      </c>
      <c r="LL11" s="71">
        <f t="shared" si="0"/>
        <v>3.4</v>
      </c>
      <c r="LM11" s="71">
        <f t="shared" si="0"/>
        <v>0.15</v>
      </c>
      <c r="LN11" s="71">
        <f t="shared" si="0"/>
        <v>0</v>
      </c>
      <c r="LO11" s="71">
        <f t="shared" si="0"/>
        <v>28.5</v>
      </c>
      <c r="LP11" s="71">
        <f t="shared" si="0"/>
        <v>7.6</v>
      </c>
      <c r="LQ11" s="71">
        <f t="shared" si="0"/>
        <v>0.15</v>
      </c>
      <c r="LR11" s="71">
        <f t="shared" si="0"/>
        <v>0</v>
      </c>
      <c r="LS11" s="82" t="s">
        <v>96</v>
      </c>
      <c r="LT11" s="12">
        <f t="shared" si="7"/>
        <v>16.5</v>
      </c>
      <c r="LU11" s="12">
        <f t="shared" si="8"/>
        <v>27.5</v>
      </c>
      <c r="LV11" s="12">
        <f t="shared" si="9"/>
        <v>70.650000000000006</v>
      </c>
      <c r="LW11" s="12">
        <f t="shared" si="10"/>
        <v>53.45</v>
      </c>
      <c r="LX11" s="12">
        <f t="shared" si="11"/>
        <v>124.10000000000001</v>
      </c>
    </row>
    <row r="12" spans="1:336" x14ac:dyDescent="0.2">
      <c r="A12" s="6">
        <f>IF(AND(F12="P",H12="P"),SUMPRODUCT((F$4:F$15="P")*(H$4:H$15="P")*(E$4:E$15&gt;E12))+1,IF(H12="P",SUMPRODUCT((F$4:F$15="")*(H$4:H$15="P")*(E$4:E$15&gt;E12))+1+SUMPRODUCT((F$4:F$15="P")*(H$4:H$15="P")),""))</f>
        <v>8</v>
      </c>
      <c r="B12" s="9" t="s">
        <v>53</v>
      </c>
      <c r="C12" s="5" t="s">
        <v>10</v>
      </c>
      <c r="D12" s="6">
        <v>1998</v>
      </c>
      <c r="E12" s="16">
        <f>SUM(J12:N12)</f>
        <v>188.4</v>
      </c>
      <c r="F12" s="4" t="str">
        <f>IF(OR(AND(AH12&gt;=AK$17,AJ12&gt;=AK$20,AJ12&lt;&gt;"",AG12=""),AND(BD12&gt;=BG$17,BF12&gt;=BG$20,BF12&lt;&gt;"",BC12=""),AND(CA12&gt;=CD$17,CC12&gt;=CD$20,CC12&lt;&gt;""),AND(CV12&gt;=CY$17,CX12&gt;=CY$20,CX12&lt;&gt;""),AND(DQ12&gt;=DT$17,DS12&gt;=DT$20,DS12&lt;&gt;""),AND(EL12&gt;=EO$17,EN12&gt;=EO$20,EN12&lt;&gt;""),AND(FG12&gt;=FJ$17,FI12&gt;=FJ$20,FI12&lt;&gt;""),AND(GB12&gt;=GE$17,GD12&gt;=GE$20,GD12&lt;&gt;""),AND(GW12&gt;=GZ$17,GY12&gt;=GZ$20,GY12&lt;&gt;""),AND(HR12&gt;=HU$17,HT12&gt;=HU$20,HT12&lt;&gt;""),AND(IM12&gt;=IP$17,IO12&gt;=IP$20,IO12&lt;&gt;""),AND(JH12&gt;=JK$17,JJ12&gt;=JK$20,JJ12&lt;&gt;""),AND(KC12&gt;=KF$17,KE12&gt;=KF$20,KE12&lt;&gt;""),AND(KX12&gt;=LA$17,KZ12&gt;=LA$20,KZ12&lt;&gt;"")),"P","")</f>
        <v/>
      </c>
      <c r="G12" s="4" t="str">
        <f>IF(OR(AND(AH12&gt;=AK$18,AJ12&gt;=AK$21,AJ12&lt;&gt;"",AG12=""),AND(BD12&gt;=BG$18,BF12&gt;=BG$21,BF12&lt;&gt;"",BC12=""),AND(CA12&gt;=CD$18,CC12&gt;=CD$21,CC12&lt;&gt;""),AND(CV12&gt;=CY$18,CX12&gt;=CY$21,CX12&lt;&gt;""),AND(DQ12&gt;=DT$18,DS12&gt;=DT$21,DS12&lt;&gt;""),AND(EL12&gt;=EO$18,EN12&gt;=EO$21,EN12&lt;&gt;""),AND(FG12&gt;=FJ$18,FI12&gt;=FJ$21,FI12&lt;&gt;""),AND(GB12&gt;=GE$18,GD12&gt;=GE$21,GD12&lt;&gt;""),AND(GW12&gt;=GZ$18,GY12&gt;=GZ$21,GY12&lt;&gt;""),AND(HR12&gt;=HU$18,HT12&gt;=HU$21,HT12&lt;&gt;""),AND(IM12&gt;=IP$18,IO12&gt;=IP$21,IO12&lt;&gt;""),AND(JH12&gt;=JK$18,JJ12&gt;=JK$21,JJ12&lt;&gt;""),AND(KC12&gt;=KF$18,KE12&gt;=KF$21,KE12&lt;&gt;""),AND(KX12&gt;=LA$18,KZ12&gt;=LA$21,KZ12&lt;&gt;"")),"P","")</f>
        <v/>
      </c>
      <c r="H12" s="4" t="str">
        <f>IF(OR(AND(AJ12&gt;=AK$20,AJ12&lt;&gt;"",AG12=""),AND(BF12&gt;=BG$20,BF12&lt;&gt;"",BC12=""),AND(CC12&gt;=CD$20,CC12&lt;&gt;""),AND(CX12&gt;=CY$20,CX12&lt;&gt;""),AND(DS12&gt;=DT$20,DS12&lt;&gt;""),AND(EN12&gt;=EO$20,EN12&lt;&gt;""),AND(FI12&gt;=FJ$20,FI12&lt;&gt;""),AND(GD12&gt;=GE$20,GD12&lt;&gt;""),AND(GY12&gt;=GZ$20,GY12&lt;&gt;""),AND(HT12&gt;=HU$20,HT12&lt;&gt;""),AND(IO12&gt;=IP$20,IO12&lt;&gt;""),AND(JJ12&gt;=JK$20,JJ12&lt;&gt;""),AND(KE12&gt;=KF$20,KE12&lt;&gt;""),AND(KZ12&gt;=LA$20,KZ12&lt;&gt;"")),"P","")</f>
        <v>P</v>
      </c>
      <c r="I12" t="str">
        <f>IF(AND(H12="P",F12=""),"No DD",IF(OR(AND(AI12&gt;=AK$19,AI12&lt;&gt;"",AL12&gt;=AK$23,AL12&lt;&gt;"",AG12=""),AND(BE12&gt;=BG$19,BE12&lt;&gt;"",BH12&gt;=BG$23,BH12&lt;&gt;"",BC12=""),AND(CB12&gt;=CD$19,CB12&lt;&gt;"",CE12&gt;=CD$23,CE12&lt;&gt;""),AND(CW12&gt;=CY$19,CW12&lt;&gt;"",CZ12&gt;=CY$23,CZ12&lt;&gt;""),AND(DR12&gt;=DT$19,DR12&lt;&gt;"",DU12&gt;=DT$23,DU12&lt;&gt;""),AND(EM12&gt;=EO$19,EM12&lt;&gt;"",EP12&gt;=EO$23,EP12&lt;&gt;""),AND(FH12&gt;=FJ$19,FH12&lt;&gt;"",FK12&gt;=FJ$23,FK12&lt;&gt;""),AND(GC12&gt;=GE$19,GC12&lt;&gt;"",GF12&gt;=GE$23,GF12&lt;&gt;""),AND(GX12&gt;=GZ$19,GX12&lt;&gt;"",HA12&gt;=GZ$23,HA12&lt;&gt;""),AND(HS12&gt;=HU$19,HS12&lt;&gt;"",HV12&gt;=HU$23,HV12&lt;&gt;""),AND(IN12&gt;=IP$19,IN12&lt;&gt;"",IQ12&gt;=IP$23,IQ12&lt;&gt;""),AND(JI12&gt;=JK$19,JI12&lt;&gt;"",JL12&gt;=JK$23,JL12&lt;&gt;""),AND(KD12&gt;=KF$19,KD12&lt;&gt;"",KG12&gt;=KF$23,KG12&lt;&gt;""),AND(KY12&gt;=LA$19,KY12&lt;&gt;"",LB12&gt;=LA$23,LB12&lt;&gt;"")),"Merit",IF(OR(AND(AI12&gt;=AK$19,AI12&lt;&gt;"",AL12&gt;=AK$22,AL12&lt;&gt;"",AG12=""),AND(BE12&gt;=BG$19,BE12&lt;&gt;"",BH12&gt;=BG$22,BH12&lt;&gt;"",BC12=""),AND(CB12&gt;=CD$19,CB12&lt;&gt;"",CE12&gt;=CD$22,CE12&lt;&gt;""),AND(CW12&gt;=CY$19,CW12&lt;&gt;"",CZ12&gt;=CY$22,CZ12&lt;&gt;""),AND(DR12&gt;=DT$19,DR12&lt;&gt;"",DU12&gt;=DT$22,DU12&lt;&gt;""),AND(EM12&gt;=EO$19,EM12&lt;&gt;"",EP12&gt;=EO$22,EP12&lt;&gt;""),AND(FH12&gt;=FJ$19,FH12&lt;&gt;"",FK12&gt;=FJ$22,FK12&lt;&gt;""),AND(GC12&gt;=GE$19,GC12&lt;&gt;"",GF12&gt;=GE$22,GF12&lt;&gt;""),AND(GX12&gt;=GZ$19,GX12&lt;&gt;"",HA12&gt;=GZ$22,HA12&lt;&gt;""),AND(HS12&gt;=HU$19,HS12&lt;&gt;"",HV12&gt;=HU$22,HV12&lt;&gt;""),AND(IN12&gt;=IP$19,IN12&lt;&gt;"",IQ12&gt;=IP$22,IQ12&lt;&gt;""),AND(JI12&gt;=JK$19,JI12&lt;&gt;"",JL12&gt;=JK$22,JL12&lt;&gt;""),AND(KD12&gt;=KF$19,KD12&lt;&gt;"",KG12&gt;=KF$22,KG12&lt;&gt;""),AND(KY12&gt;=LA$19,KY12&lt;&gt;"",LB12&gt;=LA$22,LB12&lt;&gt;"")),"Excellence",IF(OR(AND(AH12&gt;=AK$18,AH12&lt;&gt;"",AJ12&gt;=AK$21,AJ12&lt;&gt;"",AG12=""),AND(BD12&gt;=BG$18,BD12&lt;&gt;"",BF12&gt;=BG$21,BF12&lt;&gt;"",BC12=""),AND(CA12&gt;=CD$18,CA12&lt;&gt;"",CC12&gt;=CD$21,CC12&lt;&gt;""),AND(CV12&gt;=CY$18,CV12&lt;&gt;"",CX12&gt;=CY$21,CX12&lt;&gt;""),AND(DQ12&gt;=DT$18,DQ12&lt;&gt;"",DS12&gt;=DT$21,DS12&lt;&gt;""),AND(EL12&gt;=EO$18,EL12&lt;&gt;"",EN12&gt;=EO$21,EN12&lt;&gt;""),AND(FG12&gt;=FJ$18,FG12&lt;&gt;"",FI12&gt;=FJ$21,FI12&lt;&gt;""),AND(GB12&gt;=GE$18,GB12&lt;&gt;"",GD12&gt;=GE$21,GD12&lt;&gt;""),AND(GW12&gt;=GZ$18,GW12&lt;&gt;"",GY12&gt;=GZ$21,GY12&lt;&gt;""),AND(HR12&gt;=HU$18,HR12&lt;&gt;"",HT12&gt;=HU$21,HT12&lt;&gt;""),AND(IM12&gt;=IP$18,IM12&lt;&gt;"",IO12&gt;=IP$21,IO12&lt;&gt;""),AND(JH12&gt;=JK$18,JH12&lt;&gt;"",JJ12&gt;=JK$21,JJ12&lt;&gt;""),AND(KC12&gt;=KF$18,KC12&lt;&gt;"",KE12&gt;=KF$21,KE12&lt;&gt;""),AND(KX12&gt;=LA$18,KX12&lt;&gt;"",KZ12&gt;=LA$21,KZ12&lt;&gt;"")),"Worlds Team",IF(OR(AND(AH12&gt;=AK$17,AH12&lt;&gt;"",AJ12&gt;=AK$20,AJ12&lt;&gt;"",AG12=""),AND(BD12&gt;=BG$17,BD12&lt;&gt;"",BF12&gt;=BG$20,BF12&lt;&gt;"",BC12=""),AND(CA12&gt;=CD$17,CA12&lt;&gt;"",CC12&gt;=CD$20,CC12&lt;&gt;""),AND(CV12&gt;=CY$17,CV12&lt;&gt;"",CX12&gt;=CY$20,CX12&lt;&gt;""),AND(DQ12&gt;=DT$17,DQ12&lt;&gt;"",DS12&gt;=DT$20,DS12&lt;&gt;""),AND(EL12&gt;=EO$17,EL12&lt;&gt;"",EN12&gt;=EO$20,EN12&lt;&gt;""),AND(FG12&gt;=FJ$17,FG12&lt;&gt;"",FI12&gt;=FJ$20,FI12&lt;&gt;""),AND(GB12&gt;=GE$17,GB12&lt;&gt;"",GD12&gt;=GE$20,GD12&lt;&gt;""),AND(GW12&gt;=GZ$17,GW12&lt;&gt;"",GY12&gt;=GZ$20,GY12&lt;&gt;""),AND(HR12&gt;=HU$17,HR12&lt;&gt;"",HT12&gt;=HU$20,HT12&lt;&gt;""),AND(IM12&gt;=IP$17,IM12&lt;&gt;"",IO12&gt;=IP$20,IO12&lt;&gt;""),AND(JH12&gt;=JK$17,JH12&lt;&gt;"",JJ12&gt;=JK$20,JJ12&lt;&gt;""),AND(KC12&gt;=KF$17,KC12&lt;&gt;"",KE12&gt;=KF$20,KE12&lt;&gt;""),AND(KX12&gt;=LA$17,KX12&lt;&gt;"",KZ12&gt;=LA$20,KZ12&lt;&gt;"")),"National Team","")))))</f>
        <v>No DD</v>
      </c>
      <c r="J12" s="15">
        <f>IF(MAX(AL12,BH12)&gt;0,MAX(AL12,BH12),"")</f>
        <v>136.80000000000001</v>
      </c>
      <c r="K12" s="15" t="str">
        <f>IF(J12="","",IF(J12=BH12,$AM$1,IF(J12=AL12,$Q$1,"")))</f>
        <v>2019 Elite Canada</v>
      </c>
      <c r="L12" s="15">
        <f>IF(J12=AL12,IF(MAX(BF12,BG12)&gt;0,MAX(BF12,BG12),""),IF(J12=BH12,IF(MAX(AJ12,AK12)&gt;0,MAX(AJ12,AK12),""),MAX(AJ12,AK12,BF12,BG12)))</f>
        <v>51.599999999999994</v>
      </c>
      <c r="M12" s="15" t="str">
        <f>IF(L12="","",IF(AND(J12&lt;&gt;BH12,OR(L12=BG12,L12=BF12)),$AM$1,IF(OR(L12=AK12,L12=AJ12),$Q$1,"")))</f>
        <v>2019 Nationals</v>
      </c>
      <c r="N12" s="15" t="str">
        <f>IF(MAX(BI12:BJ12)&gt;0,MAX(BI12:BJ12),"")</f>
        <v/>
      </c>
      <c r="O12" s="27" t="str">
        <f>IF(N12="","",IF(N12=BI12,"(4 Pass)",IF(N12=BJ12,"(2 Pass)")))</f>
        <v/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/>
      </c>
      <c r="Q12" s="71">
        <v>28.7</v>
      </c>
      <c r="R12" s="71">
        <v>6.8</v>
      </c>
      <c r="S12" s="71">
        <v>0.3</v>
      </c>
      <c r="T12" s="71">
        <v>0</v>
      </c>
      <c r="U12" s="71">
        <v>28.3</v>
      </c>
      <c r="V12" s="71">
        <v>6.4</v>
      </c>
      <c r="W12" s="71">
        <v>0</v>
      </c>
      <c r="X12" s="71">
        <v>0</v>
      </c>
      <c r="Y12" s="71">
        <v>27.6</v>
      </c>
      <c r="Z12" s="71">
        <v>7</v>
      </c>
      <c r="AA12" s="71">
        <v>0.9</v>
      </c>
      <c r="AB12" s="71">
        <v>0</v>
      </c>
      <c r="AC12" s="71">
        <v>27.7</v>
      </c>
      <c r="AD12" s="71">
        <v>6.4</v>
      </c>
      <c r="AE12" s="71">
        <v>0.9</v>
      </c>
      <c r="AF12" s="71">
        <v>0</v>
      </c>
      <c r="AG12" s="82"/>
      <c r="AH12" s="12">
        <f>IF(SUM(R12,V12)&gt;0,SUM(R12,V12),"")</f>
        <v>13.2</v>
      </c>
      <c r="AI12" s="12">
        <f>IF(SUM(R12,V12,Z12,AD12)&gt;0,SUM(R12,V12,Z12,AD12),"")</f>
        <v>26.6</v>
      </c>
      <c r="AJ12" s="12">
        <f>IF(SUM(Q12:R12,T12:V12,X12)-SUM(S12,W12)&gt;0,SUM(Q12:R12,T12:V12,X12)-SUM(S12,W12),"")</f>
        <v>69.900000000000006</v>
      </c>
      <c r="AK12" s="12">
        <f>IF(SUM(Y12:Z12,AB12:AD12,AF12)-SUM(AA12,AE12)&gt;0,SUM(Y12:Z12,AB12:AD12,AF12)-SUM(AA12,AE12),"")</f>
        <v>66.900000000000006</v>
      </c>
      <c r="AL12" s="12">
        <f>IF(SUM(AJ12,AK12)&gt;0,SUM(AJ12,AK12),"")</f>
        <v>136.80000000000001</v>
      </c>
      <c r="AM12" s="40">
        <v>27.5</v>
      </c>
      <c r="AN12" s="40">
        <v>3.7</v>
      </c>
      <c r="AO12" s="40">
        <v>2.6</v>
      </c>
      <c r="AP12" s="40">
        <v>0</v>
      </c>
      <c r="AQ12" s="40">
        <v>20.2</v>
      </c>
      <c r="AR12" s="40">
        <v>2.8</v>
      </c>
      <c r="AS12" s="40">
        <v>0</v>
      </c>
      <c r="AT12" s="40">
        <v>0</v>
      </c>
      <c r="AU12" s="40"/>
      <c r="AV12" s="40"/>
      <c r="AW12" s="40"/>
      <c r="AX12" s="40"/>
      <c r="AY12" s="40"/>
      <c r="AZ12" s="40"/>
      <c r="BA12" s="40"/>
      <c r="BB12" s="40"/>
      <c r="BC12" s="83"/>
      <c r="BD12" s="15">
        <f>IF(SUM(AN12,AR12)&gt;0,SUM(AN12,AR12),"")</f>
        <v>6.5</v>
      </c>
      <c r="BE12" s="15">
        <f>IF(SUM(AN12,AR12,AV12,AZ12)&gt;0,SUM(AN12,AR12,AV12,AZ12),"")</f>
        <v>6.5</v>
      </c>
      <c r="BF12" s="15">
        <f>IF(SUM(AM12:AN12,AP12:AR12,AT12)-SUM(AO12,AS12)&gt;0,SUM(AM12:AN12,AP12:AR12,AT12)-SUM(AO12,AS12),"")</f>
        <v>51.599999999999994</v>
      </c>
      <c r="BG12" s="15" t="str">
        <f>IF(SUM(AU12:AV12,AX12:AZ12,BB12)-SUM(AW12,BA12)&gt;0,SUM(AU12:AV12,AX12:AZ12,BB12)-SUM(AW12,BA12),"")</f>
        <v/>
      </c>
      <c r="BH12" s="15">
        <f>IF(SUM(BF12,BG12)&gt;0,SUM(BF12,BG12),"")</f>
        <v>51.599999999999994</v>
      </c>
      <c r="BI12" s="26" t="str">
        <f>IF(MAX(CE12,CZ12,DU12,EP12,FK12,GF12,HA12,HV12,IQ12,JL12,KG12,LB12)-IF(J12="",0,J12)&gt;0.001,MAX(CE12,CZ12,DU12,EP12,FK12,GF12,HA12,HV12,IQ12,JL12,KG12,LB12)-IF(J12="",0,J12),"")</f>
        <v/>
      </c>
      <c r="BJ12" s="26" t="str">
        <f>IF(MAX(CC12,CD12,CX12,CY12,DS12,DT12,EN12,EO12,FI12,FJ12,GD12,GE12,GY12,GZ12,HT12,HU12,IO12,IP12,JJ12,JK12,KE12,KF12,KZ12,LA12)-IF(L12="",0,L12)&gt;0.001,MAX(CC12,CD12,CX12,CY12,DS12,DT12,EN12,EO12,FI12,FJ12,GD12,GE12,GY12,GZ12,HT12,HU12,IO12,IP12,JJ12,JK12,KE12,KF12,KZ12,LA12)-IF(L12="",0,L12),"")</f>
        <v/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>IF(SUM(BL12,BP12)&gt;0,SUM(BL12,BP12),"")</f>
        <v/>
      </c>
      <c r="CB12" s="12" t="str">
        <f>IF(SUM(BL12,BP12,BT12,BX12)&gt;0,SUM(BL12,BP12,BT12,BX12),"")</f>
        <v/>
      </c>
      <c r="CC12" s="12" t="str">
        <f>IF(SUM(BK12:BL12,BN12:BP12,BR12)-SUM(BM12,BQ12)&gt;0,SUM(BK12:BL12,BN12:BP12,BR12)-SUM(BM12,BQ12),"")</f>
        <v/>
      </c>
      <c r="CD12" s="12" t="str">
        <f>IF(SUM(BS12:BT12,BV12:BX12,BZ12)-SUM(BU12,BY12)&gt;0,SUM(BS12:BT12,BV12:BX12,BZ12)-SUM(BU12,BY12),"")</f>
        <v/>
      </c>
      <c r="CE12" s="12" t="str">
        <f>IF(SUM(CC12,CD12)&gt;0,SUM(CC12,CD12),"")</f>
        <v/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>IF(SUM(CG12,CK12)&gt;0,SUM(CG12,CK12),"")</f>
        <v/>
      </c>
      <c r="CW12" s="15" t="str">
        <f>IF(SUM(CG12,CK12,CO12,CS12)&gt;0,SUM(CG12,CK12,CO12,CS12),"")</f>
        <v/>
      </c>
      <c r="CX12" s="15" t="str">
        <f>IF(SUM(CF12:CG12,CI12:CK12,CM12)-SUM(CH12,CL12)&gt;0,SUM(CF12:CG12,CI12:CK12,CM12)-SUM(CH12,CL12),"")</f>
        <v/>
      </c>
      <c r="CY12" s="15" t="str">
        <f>IF(SUM(CN12:CO12,CQ12:CS12,CU12)-SUM(CP12,CT12)&gt;0,SUM(CN12:CO12,CQ12:CS12,CU12)-SUM(CP12,CT12),"")</f>
        <v/>
      </c>
      <c r="CZ12" s="15" t="str">
        <f>IF(SUM(CX12,CY12)&gt;0,SUM(CX12,CY12),"")</f>
        <v/>
      </c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 t="str">
        <f>IF(SUM(DB12,DF12)&gt;0,SUM(DB12,DF12),"")</f>
        <v/>
      </c>
      <c r="DR12" s="12" t="str">
        <f>IF(SUM(DB12,DF12,DJ12,DN12)&gt;0,SUM(DB12,DF12,DJ12,DN12),"")</f>
        <v/>
      </c>
      <c r="DS12" s="12" t="str">
        <f>IF(SUM(DA12:DB12,DD12:DF12,DH12)-SUM(DC12,DG12)&gt;0,SUM(DA12:DB12,DD12:DF12,DH12)-SUM(DC12,DG12),"")</f>
        <v/>
      </c>
      <c r="DT12" s="12" t="str">
        <f>IF(SUM(DI12:DJ12,DL12:DN12,DP12)-SUM(DK12,DO12)&gt;0,SUM(DI12:DJ12,DL12:DN12,DP12)-SUM(DK12,DO12),"")</f>
        <v/>
      </c>
      <c r="DU12" s="12" t="str">
        <f>IF(SUM(DS12,DT12)&gt;0,SUM(DS12,DT12),"")</f>
        <v/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>IF(SUM(DW12,EA12)&gt;0,SUM(DW12,EA12),"")</f>
        <v/>
      </c>
      <c r="EM12" s="15" t="str">
        <f>IF(SUM(DW12,EA12,EE12,EI12)&gt;0,SUM(DW12,EA12,EE12,EI12),"")</f>
        <v/>
      </c>
      <c r="EN12" s="15" t="str">
        <f>IF(SUM(DV12:DW12,DY12:EA12,EC12)-SUM(DX12,EB12)&gt;0,SUM(DV12:DW12,DY12:EA12,EC12)-SUM(DX12,EB12),"")</f>
        <v/>
      </c>
      <c r="EO12" s="15" t="str">
        <f>IF(SUM(ED12:EE12,EG12:EI12,EK12)-SUM(EF12,EJ12)&gt;0,SUM(ED12:EE12,EG12:EI12,EK12)-SUM(EF12,EJ12),"")</f>
        <v/>
      </c>
      <c r="EP12" s="15" t="str">
        <f>IF(SUM(EN12,EO12)&gt;0,SUM(EN12,EO12),"")</f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>IF(SUM(ER12,EV12)&gt;0,SUM(ER12,EV12),"")</f>
        <v/>
      </c>
      <c r="FH12" s="12" t="str">
        <f>IF(SUM(ER12,EV12,EZ12,FD12)&gt;0,SUM(ER12,EV12,EZ12,FD12),"")</f>
        <v/>
      </c>
      <c r="FI12" s="12" t="str">
        <f>IF(SUM(EQ12:ER12,ET12:EV12,EX12)-SUM(ES12,EW12)&gt;0,SUM(EQ12:ER12,ET12:EV12,EX12)-SUM(ES12,EW12),"")</f>
        <v/>
      </c>
      <c r="FJ12" s="12" t="str">
        <f>IF(SUM(EY12:EZ12,FB12:FD12,FF12)-SUM(FA12,FE12)&gt;0,SUM(EY12:EZ12,FB12:FD12,FF12)-SUM(FA12,FE12),"")</f>
        <v/>
      </c>
      <c r="FK12" s="12" t="str">
        <f>IF(SUM(FI12,FJ12)&gt;0,SUM(FI12,FJ12),"")</f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>IF(SUM(FM12,FQ12)&gt;0,SUM(FM12,FQ12),"")</f>
        <v/>
      </c>
      <c r="GC12" s="15" t="str">
        <f>IF(SUM(FM12,FQ12,FU12,FY12)&gt;0,SUM(FM12,FQ12,FU12,FY12),"")</f>
        <v/>
      </c>
      <c r="GD12" s="15" t="str">
        <f>IF(SUM(FL12:FM12,FO12:FQ12,FS12)-SUM(FN12,FR12)&gt;0,SUM(FL12:FM12,FO12:FQ12,FS12)-SUM(FN12,FR12),"")</f>
        <v/>
      </c>
      <c r="GE12" s="15" t="str">
        <f>IF(SUM(FT12:FU12,FW12:FY12,GA12)-SUM(FV12,FZ12)&gt;0,SUM(FT12:FU12,FW12:FY12,GA12)-SUM(FV12,FZ12),"")</f>
        <v/>
      </c>
      <c r="GF12" s="15" t="str">
        <f>IF(SUM(GD12,GE12)&gt;0,SUM(GD12,GE12),"")</f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>IF(SUM(GH12,GL12)&gt;0,SUM(GH12,GL12),"")</f>
        <v/>
      </c>
      <c r="GX12" s="12" t="str">
        <f>IF(SUM(GH12,GL12,GP12,GT12)&gt;0,SUM(GH12,GL12,GP12,GT12),"")</f>
        <v/>
      </c>
      <c r="GY12" s="12" t="str">
        <f>IF(SUM(GG12:GH12,GJ12:GL12,GN12)-SUM(GI12,GM12)&gt;0,SUM(GG12:GH12,GJ12:GL12,GN12)-SUM(GI12,GM12),"")</f>
        <v/>
      </c>
      <c r="GZ12" s="12" t="str">
        <f>IF(SUM(GO12:GP12,GR12:GT12,GV12)-SUM(GQ12,GU12)&gt;0,SUM(GO12:GP12,GR12:GT12,GV12)-SUM(GQ12,GU12),"")</f>
        <v/>
      </c>
      <c r="HA12" s="12" t="str">
        <f>IF(SUM(GY12,GZ12)&gt;0,SUM(GY12,GZ12),"")</f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>IF(SUM(HC12,HG12)&gt;0,SUM(HC12,HG12),"")</f>
        <v/>
      </c>
      <c r="HS12" s="15" t="str">
        <f>IF(SUM(HC12,HG12,HK12,HO12)&gt;0,SUM(HC12,HG12,HK12,HO12),"")</f>
        <v/>
      </c>
      <c r="HT12" s="15" t="str">
        <f>IF(SUM(HB12:HC12,HE12:HG12,HI12)-SUM(HD12,HH12)&gt;0,SUM(HB12:HC12,HE12:HG12,HI12)-SUM(HD12,HH12),"")</f>
        <v/>
      </c>
      <c r="HU12" s="15" t="str">
        <f>IF(SUM(HJ12:HK12,HM12:HO12,HQ12)-SUM(HL12,HP12)&gt;0,SUM(HJ12:HK12,HM12:HO12,HQ12)-SUM(HL12,HP12),"")</f>
        <v/>
      </c>
      <c r="HV12" s="15" t="str">
        <f>IF(SUM(HT12,HU12)&gt;0,SUM(HT12,HU12),"")</f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>IF(SUM(HX12,IB12)&gt;0,SUM(HX12,IB12),"")</f>
        <v/>
      </c>
      <c r="IN12" s="12" t="str">
        <f>IF(SUM(HX12,IB12,IF12,IJ12)&gt;0,SUM(HX12,IB12,IF12,IJ12),"")</f>
        <v/>
      </c>
      <c r="IO12" s="12" t="str">
        <f>IF(SUM(HW12:HX12,HZ12:IB12,ID12)-SUM(HY12,IC12)&gt;0,SUM(HW12:HX12,HZ12:IB12,ID12)-SUM(HY12,IC12),"")</f>
        <v/>
      </c>
      <c r="IP12" s="12" t="str">
        <f>IF(SUM(IE12:IF12,IH12:IJ12,IL12)-SUM(IG12,IK12)&gt;0,SUM(IE12:IF12,IH12:IJ12,IL12)-SUM(IG12,IK12),"")</f>
        <v/>
      </c>
      <c r="IQ12" s="12" t="str">
        <f>IF(SUM(IO12,IP12)&gt;0,SUM(IO12,IP12),"")</f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>IF(SUM(IS12,IW12)&gt;0,SUM(IS12,IW12),"")</f>
        <v/>
      </c>
      <c r="JI12" s="15" t="str">
        <f>IF(SUM(IS12,IW12,JA12,JE12)&gt;0,SUM(IS12,IW12,JA12,JE12),"")</f>
        <v/>
      </c>
      <c r="JJ12" s="15" t="str">
        <f>IF(SUM(IR12:IS12,IU12:IW12,IY12)-SUM(IT12,IX12)&gt;0,SUM(IR12:IS12,IU12:IW12,IY12)-SUM(IT12,IX12),"")</f>
        <v/>
      </c>
      <c r="JK12" s="15" t="str">
        <f>IF(SUM(IZ12:JA12,JC12:JE12,JG12)-SUM(JB12,JF12)&gt;0,SUM(IZ12:JA12,JC12:JE12,JG12)-SUM(JB12,JF12),"")</f>
        <v/>
      </c>
      <c r="JL12" s="15" t="str">
        <f>IF(SUM(JJ12,JK12)&gt;0,SUM(JJ12,JK12),"")</f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>IF(SUM(JN12,JR12)&gt;0,SUM(JN12,JR12),"")</f>
        <v/>
      </c>
      <c r="KD12" s="12" t="str">
        <f>IF(SUM(JN12,JR12,JV12,JZ12)&gt;0,SUM(JN12,JR12,JV12,JZ12),"")</f>
        <v/>
      </c>
      <c r="KE12" s="12" t="str">
        <f>IF(SUM(JM12:JN12,JP12:JR12,JT12)-SUM(JO12,JS12)&gt;0,SUM(JM12:JN12,JP12:JR12,JT12)-SUM(JO12,JS12),"")</f>
        <v/>
      </c>
      <c r="KF12" s="12" t="str">
        <f>IF(SUM(JU12:JV12,JX12:JZ12,KB12)-SUM(JW12,KA12)&gt;0,SUM(JU12:JV12,JX12:JZ12,KB12)-SUM(JW12,KA12),"")</f>
        <v/>
      </c>
      <c r="KG12" s="12" t="str">
        <f>IF(SUM(KE12,KF12)&gt;0,SUM(KE12,KF12),"")</f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71">
        <f t="shared" si="6"/>
        <v>28.1</v>
      </c>
      <c r="LD12" s="71">
        <f t="shared" si="0"/>
        <v>5.25</v>
      </c>
      <c r="LE12" s="71">
        <f t="shared" si="0"/>
        <v>1.45</v>
      </c>
      <c r="LF12" s="71">
        <f t="shared" si="0"/>
        <v>0</v>
      </c>
      <c r="LG12" s="71">
        <f t="shared" si="0"/>
        <v>24.25</v>
      </c>
      <c r="LH12" s="71">
        <f t="shared" si="0"/>
        <v>4.5999999999999996</v>
      </c>
      <c r="LI12" s="71">
        <f t="shared" si="0"/>
        <v>0</v>
      </c>
      <c r="LJ12" s="71">
        <f t="shared" si="0"/>
        <v>0</v>
      </c>
      <c r="LK12" s="71">
        <f t="shared" si="0"/>
        <v>13.8</v>
      </c>
      <c r="LL12" s="71">
        <f t="shared" si="0"/>
        <v>3.5</v>
      </c>
      <c r="LM12" s="71">
        <f t="shared" si="0"/>
        <v>0.45</v>
      </c>
      <c r="LN12" s="71">
        <f t="shared" si="0"/>
        <v>0</v>
      </c>
      <c r="LO12" s="71">
        <f t="shared" si="0"/>
        <v>13.85</v>
      </c>
      <c r="LP12" s="71">
        <f t="shared" si="0"/>
        <v>3.2</v>
      </c>
      <c r="LQ12" s="71">
        <f t="shared" si="0"/>
        <v>0.45</v>
      </c>
      <c r="LR12" s="71">
        <f t="shared" si="0"/>
        <v>0</v>
      </c>
      <c r="LS12" s="82" t="s">
        <v>96</v>
      </c>
      <c r="LT12" s="12">
        <f t="shared" si="7"/>
        <v>9.85</v>
      </c>
      <c r="LU12" s="12">
        <f t="shared" si="8"/>
        <v>16.55</v>
      </c>
      <c r="LV12" s="12">
        <f t="shared" si="9"/>
        <v>60.75</v>
      </c>
      <c r="LW12" s="12">
        <f t="shared" si="10"/>
        <v>33.450000000000003</v>
      </c>
      <c r="LX12" s="12">
        <f t="shared" si="11"/>
        <v>94.2</v>
      </c>
    </row>
    <row r="13" spans="1:336" x14ac:dyDescent="0.2">
      <c r="A13" s="6" t="str">
        <f>IF(AND(F13="P",H13="P"),SUMPRODUCT((F$4:F$15="P")*(H$4:H$15="P")*(E$4:E$15&gt;E13))+1,IF(H13="P",SUMPRODUCT((F$4:F$15="")*(H$4:H$15="P")*(E$4:E$15&gt;E13))+1+SUMPRODUCT((F$4:F$15="P")*(H$4:H$15="P")),""))</f>
        <v/>
      </c>
      <c r="B13" s="9" t="s">
        <v>54</v>
      </c>
      <c r="C13" s="5" t="s">
        <v>5</v>
      </c>
      <c r="D13" s="6">
        <v>1993</v>
      </c>
      <c r="E13" s="16">
        <f>SUM(J13:N13)</f>
        <v>162.80000000000001</v>
      </c>
      <c r="F13" s="4" t="str">
        <f>IF(OR(AND(AH13&gt;=AK$17,AJ13&gt;=AK$20,AJ13&lt;&gt;"",AG13=""),AND(BD13&gt;=BG$17,BF13&gt;=BG$20,BF13&lt;&gt;"",BC13=""),AND(CA13&gt;=CD$17,CC13&gt;=CD$20,CC13&lt;&gt;""),AND(CV13&gt;=CY$17,CX13&gt;=CY$20,CX13&lt;&gt;""),AND(DQ13&gt;=DT$17,DS13&gt;=DT$20,DS13&lt;&gt;""),AND(EL13&gt;=EO$17,EN13&gt;=EO$20,EN13&lt;&gt;""),AND(FG13&gt;=FJ$17,FI13&gt;=FJ$20,FI13&lt;&gt;""),AND(GB13&gt;=GE$17,GD13&gt;=GE$20,GD13&lt;&gt;""),AND(GW13&gt;=GZ$17,GY13&gt;=GZ$20,GY13&lt;&gt;""),AND(HR13&gt;=HU$17,HT13&gt;=HU$20,HT13&lt;&gt;""),AND(IM13&gt;=IP$17,IO13&gt;=IP$20,IO13&lt;&gt;""),AND(JH13&gt;=JK$17,JJ13&gt;=JK$20,JJ13&lt;&gt;""),AND(KC13&gt;=KF$17,KE13&gt;=KF$20,KE13&lt;&gt;""),AND(KX13&gt;=LA$17,KZ13&gt;=LA$20,KZ13&lt;&gt;"")),"P","")</f>
        <v/>
      </c>
      <c r="G13" s="4" t="str">
        <f>IF(OR(AND(AH13&gt;=AK$18,AJ13&gt;=AK$21,AJ13&lt;&gt;"",AG13=""),AND(BD13&gt;=BG$18,BF13&gt;=BG$21,BF13&lt;&gt;"",BC13=""),AND(CA13&gt;=CD$18,CC13&gt;=CD$21,CC13&lt;&gt;""),AND(CV13&gt;=CY$18,CX13&gt;=CY$21,CX13&lt;&gt;""),AND(DQ13&gt;=DT$18,DS13&gt;=DT$21,DS13&lt;&gt;""),AND(EL13&gt;=EO$18,EN13&gt;=EO$21,EN13&lt;&gt;""),AND(FG13&gt;=FJ$18,FI13&gt;=FJ$21,FI13&lt;&gt;""),AND(GB13&gt;=GE$18,GD13&gt;=GE$21,GD13&lt;&gt;""),AND(GW13&gt;=GZ$18,GY13&gt;=GZ$21,GY13&lt;&gt;""),AND(HR13&gt;=HU$18,HT13&gt;=HU$21,HT13&lt;&gt;""),AND(IM13&gt;=IP$18,IO13&gt;=IP$21,IO13&lt;&gt;""),AND(JH13&gt;=JK$18,JJ13&gt;=JK$21,JJ13&lt;&gt;""),AND(KC13&gt;=KF$18,KE13&gt;=KF$21,KE13&lt;&gt;""),AND(KX13&gt;=LA$18,KZ13&gt;=LA$21,KZ13&lt;&gt;"")),"P","")</f>
        <v/>
      </c>
      <c r="H13" s="4" t="str">
        <f>IF(OR(AND(AJ13&gt;=AK$20,AJ13&lt;&gt;"",AG13=""),AND(BF13&gt;=BG$20,BF13&lt;&gt;"",BC13=""),AND(CC13&gt;=CD$20,CC13&lt;&gt;""),AND(CX13&gt;=CY$20,CX13&lt;&gt;""),AND(DS13&gt;=DT$20,DS13&lt;&gt;""),AND(EN13&gt;=EO$20,EN13&lt;&gt;""),AND(FI13&gt;=FJ$20,FI13&lt;&gt;""),AND(GD13&gt;=GE$20,GD13&lt;&gt;""),AND(GY13&gt;=GZ$20,GY13&lt;&gt;""),AND(HT13&gt;=HU$20,HT13&lt;&gt;""),AND(IO13&gt;=IP$20,IO13&lt;&gt;""),AND(JJ13&gt;=JK$20,JJ13&lt;&gt;""),AND(KE13&gt;=KF$20,KE13&lt;&gt;""),AND(KZ13&gt;=LA$20,KZ13&lt;&gt;"")),"P","")</f>
        <v/>
      </c>
      <c r="I13" t="str">
        <f>IF(AND(H13="P",F13=""),"No DD",IF(OR(AND(AI13&gt;=AK$19,AI13&lt;&gt;"",AL13&gt;=AK$23,AL13&lt;&gt;"",AG13=""),AND(BE13&gt;=BG$19,BE13&lt;&gt;"",BH13&gt;=BG$23,BH13&lt;&gt;"",BC13=""),AND(CB13&gt;=CD$19,CB13&lt;&gt;"",CE13&gt;=CD$23,CE13&lt;&gt;""),AND(CW13&gt;=CY$19,CW13&lt;&gt;"",CZ13&gt;=CY$23,CZ13&lt;&gt;""),AND(DR13&gt;=DT$19,DR13&lt;&gt;"",DU13&gt;=DT$23,DU13&lt;&gt;""),AND(EM13&gt;=EO$19,EM13&lt;&gt;"",EP13&gt;=EO$23,EP13&lt;&gt;""),AND(FH13&gt;=FJ$19,FH13&lt;&gt;"",FK13&gt;=FJ$23,FK13&lt;&gt;""),AND(GC13&gt;=GE$19,GC13&lt;&gt;"",GF13&gt;=GE$23,GF13&lt;&gt;""),AND(GX13&gt;=GZ$19,GX13&lt;&gt;"",HA13&gt;=GZ$23,HA13&lt;&gt;""),AND(HS13&gt;=HU$19,HS13&lt;&gt;"",HV13&gt;=HU$23,HV13&lt;&gt;""),AND(IN13&gt;=IP$19,IN13&lt;&gt;"",IQ13&gt;=IP$23,IQ13&lt;&gt;""),AND(JI13&gt;=JK$19,JI13&lt;&gt;"",JL13&gt;=JK$23,JL13&lt;&gt;""),AND(KD13&gt;=KF$19,KD13&lt;&gt;"",KG13&gt;=KF$23,KG13&lt;&gt;""),AND(KY13&gt;=LA$19,KY13&lt;&gt;"",LB13&gt;=LA$23,LB13&lt;&gt;"")),"Merit",IF(OR(AND(AI13&gt;=AK$19,AI13&lt;&gt;"",AL13&gt;=AK$22,AL13&lt;&gt;"",AG13=""),AND(BE13&gt;=BG$19,BE13&lt;&gt;"",BH13&gt;=BG$22,BH13&lt;&gt;"",BC13=""),AND(CB13&gt;=CD$19,CB13&lt;&gt;"",CE13&gt;=CD$22,CE13&lt;&gt;""),AND(CW13&gt;=CY$19,CW13&lt;&gt;"",CZ13&gt;=CY$22,CZ13&lt;&gt;""),AND(DR13&gt;=DT$19,DR13&lt;&gt;"",DU13&gt;=DT$22,DU13&lt;&gt;""),AND(EM13&gt;=EO$19,EM13&lt;&gt;"",EP13&gt;=EO$22,EP13&lt;&gt;""),AND(FH13&gt;=FJ$19,FH13&lt;&gt;"",FK13&gt;=FJ$22,FK13&lt;&gt;""),AND(GC13&gt;=GE$19,GC13&lt;&gt;"",GF13&gt;=GE$22,GF13&lt;&gt;""),AND(GX13&gt;=GZ$19,GX13&lt;&gt;"",HA13&gt;=GZ$22,HA13&lt;&gt;""),AND(HS13&gt;=HU$19,HS13&lt;&gt;"",HV13&gt;=HU$22,HV13&lt;&gt;""),AND(IN13&gt;=IP$19,IN13&lt;&gt;"",IQ13&gt;=IP$22,IQ13&lt;&gt;""),AND(JI13&gt;=JK$19,JI13&lt;&gt;"",JL13&gt;=JK$22,JL13&lt;&gt;""),AND(KD13&gt;=KF$19,KD13&lt;&gt;"",KG13&gt;=KF$22,KG13&lt;&gt;""),AND(KY13&gt;=LA$19,KY13&lt;&gt;"",LB13&gt;=LA$22,LB13&lt;&gt;"")),"Excellence",IF(OR(AND(AH13&gt;=AK$18,AH13&lt;&gt;"",AJ13&gt;=AK$21,AJ13&lt;&gt;"",AG13=""),AND(BD13&gt;=BG$18,BD13&lt;&gt;"",BF13&gt;=BG$21,BF13&lt;&gt;"",BC13=""),AND(CA13&gt;=CD$18,CA13&lt;&gt;"",CC13&gt;=CD$21,CC13&lt;&gt;""),AND(CV13&gt;=CY$18,CV13&lt;&gt;"",CX13&gt;=CY$21,CX13&lt;&gt;""),AND(DQ13&gt;=DT$18,DQ13&lt;&gt;"",DS13&gt;=DT$21,DS13&lt;&gt;""),AND(EL13&gt;=EO$18,EL13&lt;&gt;"",EN13&gt;=EO$21,EN13&lt;&gt;""),AND(FG13&gt;=FJ$18,FG13&lt;&gt;"",FI13&gt;=FJ$21,FI13&lt;&gt;""),AND(GB13&gt;=GE$18,GB13&lt;&gt;"",GD13&gt;=GE$21,GD13&lt;&gt;""),AND(GW13&gt;=GZ$18,GW13&lt;&gt;"",GY13&gt;=GZ$21,GY13&lt;&gt;""),AND(HR13&gt;=HU$18,HR13&lt;&gt;"",HT13&gt;=HU$21,HT13&lt;&gt;""),AND(IM13&gt;=IP$18,IM13&lt;&gt;"",IO13&gt;=IP$21,IO13&lt;&gt;""),AND(JH13&gt;=JK$18,JH13&lt;&gt;"",JJ13&gt;=JK$21,JJ13&lt;&gt;""),AND(KC13&gt;=KF$18,KC13&lt;&gt;"",KE13&gt;=KF$21,KE13&lt;&gt;""),AND(KX13&gt;=LA$18,KX13&lt;&gt;"",KZ13&gt;=LA$21,KZ13&lt;&gt;"")),"Worlds Team",IF(OR(AND(AH13&gt;=AK$17,AH13&lt;&gt;"",AJ13&gt;=AK$20,AJ13&lt;&gt;"",AG13=""),AND(BD13&gt;=BG$17,BD13&lt;&gt;"",BF13&gt;=BG$20,BF13&lt;&gt;"",BC13=""),AND(CA13&gt;=CD$17,CA13&lt;&gt;"",CC13&gt;=CD$20,CC13&lt;&gt;""),AND(CV13&gt;=CY$17,CV13&lt;&gt;"",CX13&gt;=CY$20,CX13&lt;&gt;""),AND(DQ13&gt;=DT$17,DQ13&lt;&gt;"",DS13&gt;=DT$20,DS13&lt;&gt;""),AND(EL13&gt;=EO$17,EL13&lt;&gt;"",EN13&gt;=EO$20,EN13&lt;&gt;""),AND(FG13&gt;=FJ$17,FG13&lt;&gt;"",FI13&gt;=FJ$20,FI13&lt;&gt;""),AND(GB13&gt;=GE$17,GB13&lt;&gt;"",GD13&gt;=GE$20,GD13&lt;&gt;""),AND(GW13&gt;=GZ$17,GW13&lt;&gt;"",GY13&gt;=GZ$20,GY13&lt;&gt;""),AND(HR13&gt;=HU$17,HR13&lt;&gt;"",HT13&gt;=HU$20,HT13&lt;&gt;""),AND(IM13&gt;=IP$17,IM13&lt;&gt;"",IO13&gt;=IP$20,IO13&lt;&gt;""),AND(JH13&gt;=JK$17,JH13&lt;&gt;"",JJ13&gt;=JK$20,JJ13&lt;&gt;""),AND(KC13&gt;=KF$17,KC13&lt;&gt;"",KE13&gt;=KF$20,KE13&lt;&gt;""),AND(KX13&gt;=LA$17,KX13&lt;&gt;"",KZ13&gt;=LA$20,KZ13&lt;&gt;"")),"National Team","")))))</f>
        <v/>
      </c>
      <c r="J13" s="15">
        <f>IF(MAX(AL13,BH13)&gt;0,MAX(AL13,BH13),"")</f>
        <v>129.5</v>
      </c>
      <c r="K13" s="15" t="str">
        <f>IF(J13="","",IF(J13=BH13,$AM$1,IF(J13=AL13,$Q$1,"")))</f>
        <v>2019 Elite Canada</v>
      </c>
      <c r="L13" s="15">
        <f>IF(J13=AL13,IF(MAX(BF13,BG13)&gt;0,MAX(BF13,BG13),""),IF(J13=BH13,IF(MAX(AJ13,AK13)&gt;0,MAX(AJ13,AK13),""),MAX(AJ13,AK13,BF13,BG13)))</f>
        <v>31.9</v>
      </c>
      <c r="M13" s="15" t="str">
        <f>IF(L13="","",IF(AND(J13&lt;&gt;BH13,OR(L13=BG13,L13=BF13)),$AM$1,IF(OR(L13=AK13,L13=AJ13),$Q$1,"")))</f>
        <v>2019 Nationals</v>
      </c>
      <c r="N13" s="15">
        <f>IF(MAX(BI13:BJ13)&gt;0,MAX(BI13:BJ13),"")</f>
        <v>1.4000000000000057</v>
      </c>
      <c r="O13" s="27" t="str">
        <f>IF(N13="","",IF(N13=BI13,"(4 Pass)",IF(N13=BJ13,"(2 Pass)")))</f>
        <v>(2 Pass)</v>
      </c>
      <c r="P13" s="15" t="str">
        <f>IF(N13="","",IF(N13=BI13,IF(N13+IF(J13="",0,J13)=CE13,$BK$1,IF(N13+IF(J13="",0,J13)=CZ13,$CF$1,IF(N13+IF(J13="",0,J13)=DU13,$DA$1,IF(N13+IF(J13="",0,J13)=EP13,$DV$1,IF(N13+IF(J13="",0,J13)=FK13,$EQ$1,IF(N13+IF(J13="",0,J13)=GF13,$FL$1,IF(N13+IF(J13="",0,J13)=HA13,$GG$1,IF(N13+IF(J13="",0,J13)=HV13,$HB$1,IF(N13+IF(J13="",0,J13)=IQ13,$HW$1,IF(N13+IF(J13="",0,J13)=JL13,$IR$1,IF(N13+IF(J13="",0,J13)=KG13,$JM$1,IF(N13+IF(J13="",0,J13)=LB13,$KH$1)))))))))))),IF(N13=BJ13,IF(OR(N13+IF(L13="",0,L13)=CC13,N13+IF(L13="",0,L13)=CD13),$BK$1,IF(OR(N13+IF(L13="",0,L13)=CX13,N13+IF(L13="",0,L13)=CY13),$CF$1,IF(OR(N13+IF(L13="",0,L13)=DS13,N13+IF(L13="",0,L13)=DT13),$DA$1,IF(OR(N13+IF(L13="",0,L13)=EN13,N13+IF(L13="",0,L13)=EO13),$DV$1,IF(OR(N13+IF(L13="",0,L13)=FI13,N13+IF(L13="",0,L13)=FJ13),$EQ$1,IF(OR(N13+IF(L13="",0,L13)=GD13,N13+IF(L13="",0,L13)=GE13),$FL$1,IF(OR(N13+IF(L13="",0,L13)=GY13,N13+IF(L13="",0,L13)=GZ13),$GG$1,IF(OR(N13+IF(L13="",0,L13)=HT13,N13+IF(L13="",0,L13)=HU13),$HB$1,IF(OR(N13+IF(L13="",0,L13)=IO13,N13+IF(L13="",0,L13)=IP13),$HW$1,IF(OR(N13+IF(L13="",0,L13)=JJ13,N13+IF(L13="",0,L13)=JK13),$IR$1,IF(OR(N13+IF(L13="",0,L13)=KE13,N13+IF(L13="",0,L13)=KF13),$JM$1,IF(OR(N13+IF(L13="",0,L13)=KZ13,N13+IF(L13="",0,L13)=LA13),$KH$1)))))))))))))))</f>
        <v>2019 Scalabis Cup (July 6)</v>
      </c>
      <c r="Q13" s="71">
        <v>24.9</v>
      </c>
      <c r="R13" s="71">
        <v>8</v>
      </c>
      <c r="S13" s="71">
        <v>1.5</v>
      </c>
      <c r="T13" s="71">
        <v>0</v>
      </c>
      <c r="U13" s="71">
        <v>28.9</v>
      </c>
      <c r="V13" s="71">
        <v>6.4</v>
      </c>
      <c r="W13" s="71">
        <v>0.9</v>
      </c>
      <c r="X13" s="71">
        <v>0</v>
      </c>
      <c r="Y13" s="71">
        <v>28.2</v>
      </c>
      <c r="Z13" s="71">
        <v>6.8</v>
      </c>
      <c r="AA13" s="71">
        <v>0.9</v>
      </c>
      <c r="AB13" s="71">
        <v>0</v>
      </c>
      <c r="AC13" s="71">
        <v>26.7</v>
      </c>
      <c r="AD13" s="71">
        <v>5.2</v>
      </c>
      <c r="AE13" s="71">
        <v>2.2999999999999998</v>
      </c>
      <c r="AF13" s="71">
        <v>0</v>
      </c>
      <c r="AG13" s="82"/>
      <c r="AH13" s="12">
        <f>IF(SUM(R13,V13)&gt;0,SUM(R13,V13),"")</f>
        <v>14.4</v>
      </c>
      <c r="AI13" s="12">
        <f>IF(SUM(R13,V13,Z13,AD13)&gt;0,SUM(R13,V13,Z13,AD13),"")</f>
        <v>26.4</v>
      </c>
      <c r="AJ13" s="12">
        <f>IF(SUM(Q13:R13,T13:V13,X13)-SUM(S13,W13)&gt;0,SUM(Q13:R13,T13:V13,X13)-SUM(S13,W13),"")</f>
        <v>65.8</v>
      </c>
      <c r="AK13" s="12">
        <f>IF(SUM(Y13:Z13,AB13:AD13,AF13)-SUM(AA13,AE13)&gt;0,SUM(Y13:Z13,AB13:AD13,AF13)-SUM(AA13,AE13),"")</f>
        <v>63.7</v>
      </c>
      <c r="AL13" s="12">
        <f>IF(SUM(AJ13,AK13)&gt;0,SUM(AJ13,AK13),"")</f>
        <v>129.5</v>
      </c>
      <c r="AM13" s="40">
        <v>0</v>
      </c>
      <c r="AN13" s="40">
        <v>0</v>
      </c>
      <c r="AO13" s="40">
        <v>0</v>
      </c>
      <c r="AP13" s="40">
        <v>0</v>
      </c>
      <c r="AQ13" s="40">
        <v>25.2</v>
      </c>
      <c r="AR13" s="40">
        <v>7.6</v>
      </c>
      <c r="AS13" s="40">
        <v>0.9</v>
      </c>
      <c r="AT13" s="40">
        <v>0</v>
      </c>
      <c r="AU13" s="40"/>
      <c r="AV13" s="40"/>
      <c r="AW13" s="40"/>
      <c r="AX13" s="40"/>
      <c r="AY13" s="40"/>
      <c r="AZ13" s="40"/>
      <c r="BA13" s="40"/>
      <c r="BB13" s="40"/>
      <c r="BC13" s="83"/>
      <c r="BD13" s="15">
        <f>IF(SUM(AN13,AR13)&gt;0,SUM(AN13,AR13),"")</f>
        <v>7.6</v>
      </c>
      <c r="BE13" s="15">
        <f>IF(SUM(AN13,AR13,AV13,AZ13)&gt;0,SUM(AN13,AR13,AV13,AZ13),"")</f>
        <v>7.6</v>
      </c>
      <c r="BF13" s="15">
        <f>IF(SUM(AM13:AN13,AP13:AR13,AT13)-SUM(AO13,AS13)&gt;0,SUM(AM13:AN13,AP13:AR13,AT13)-SUM(AO13,AS13),"")</f>
        <v>31.9</v>
      </c>
      <c r="BG13" s="15" t="str">
        <f>IF(SUM(AU13:AV13,AX13:AZ13,BB13)-SUM(AW13,BA13)&gt;0,SUM(AU13:AV13,AX13:AZ13,BB13)-SUM(AW13,BA13),"")</f>
        <v/>
      </c>
      <c r="BH13" s="15">
        <f>IF(SUM(BF13,BG13)&gt;0,SUM(BF13,BG13),"")</f>
        <v>31.9</v>
      </c>
      <c r="BI13" s="26" t="str">
        <f>IF(MAX(CE13,CZ13,DU13,EP13,FK13,GF13,HA13,HV13,IQ13,JL13,KG13,LB13)-IF(J13="",0,J13)&gt;0.001,MAX(CE13,CZ13,DU13,EP13,FK13,GF13,HA13,HV13,IQ13,JL13,KG13,LB13)-IF(J13="",0,J13),"")</f>
        <v/>
      </c>
      <c r="BJ13" s="26">
        <f>IF(MAX(CC13,CD13,CX13,CY13,DS13,DT13,EN13,EO13,FI13,FJ13,GD13,GE13,GY13,GZ13,HT13,HU13,IO13,IP13,JJ13,JK13,KE13,KF13,KZ13,LA13)-IF(L13="",0,L13)&gt;0.001,MAX(CC13,CD13,CX13,CY13,DS13,DT13,EN13,EO13,FI13,FJ13,GD13,GE13,GY13,GZ13,HT13,HU13,IO13,IP13,JJ13,JK13,KE13,KF13,KZ13,LA13)-IF(L13="",0,L13),"")</f>
        <v>1.4000000000000057</v>
      </c>
      <c r="BK13" s="46">
        <v>0</v>
      </c>
      <c r="BL13" s="46">
        <v>0</v>
      </c>
      <c r="BM13" s="46">
        <v>0</v>
      </c>
      <c r="BN13" s="46">
        <v>0</v>
      </c>
      <c r="BO13" s="46">
        <v>27.8</v>
      </c>
      <c r="BP13" s="46">
        <v>6.4</v>
      </c>
      <c r="BQ13" s="46">
        <v>0.9</v>
      </c>
      <c r="BR13" s="46">
        <v>0</v>
      </c>
      <c r="BS13" s="46"/>
      <c r="BT13" s="46"/>
      <c r="BU13" s="46"/>
      <c r="BV13" s="46"/>
      <c r="BW13" s="46"/>
      <c r="BX13" s="46"/>
      <c r="BY13" s="46"/>
      <c r="BZ13" s="46"/>
      <c r="CA13" s="12">
        <f>IF(SUM(BL13,BP13)&gt;0,SUM(BL13,BP13),"")</f>
        <v>6.4</v>
      </c>
      <c r="CB13" s="12">
        <f>IF(SUM(BL13,BP13,BT13,BX13)&gt;0,SUM(BL13,BP13,BT13,BX13),"")</f>
        <v>6.4</v>
      </c>
      <c r="CC13" s="12">
        <f>IF(SUM(BK13:BL13,BN13:BP13,BR13)-SUM(BM13,BQ13)&gt;0,SUM(BK13:BL13,BN13:BP13,BR13)-SUM(BM13,BQ13),"")</f>
        <v>33.300000000000004</v>
      </c>
      <c r="CD13" s="12" t="str">
        <f>IF(SUM(BS13:BT13,BV13:BX13,BZ13)-SUM(BU13,BY13)&gt;0,SUM(BS13:BT13,BV13:BX13,BZ13)-SUM(BU13,BY13),"")</f>
        <v/>
      </c>
      <c r="CE13" s="12">
        <f>IF(SUM(CC13,CD13)&gt;0,SUM(CC13,CD13),"")</f>
        <v>33.300000000000004</v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>IF(SUM(CG13,CK13)&gt;0,SUM(CG13,CK13),"")</f>
        <v/>
      </c>
      <c r="CW13" s="15" t="str">
        <f>IF(SUM(CG13,CK13,CO13,CS13)&gt;0,SUM(CG13,CK13,CO13,CS13),"")</f>
        <v/>
      </c>
      <c r="CX13" s="15" t="str">
        <f>IF(SUM(CF13:CG13,CI13:CK13,CM13)-SUM(CH13,CL13)&gt;0,SUM(CF13:CG13,CI13:CK13,CM13)-SUM(CH13,CL13),"")</f>
        <v/>
      </c>
      <c r="CY13" s="15" t="str">
        <f>IF(SUM(CN13:CO13,CQ13:CS13,CU13)-SUM(CP13,CT13)&gt;0,SUM(CN13:CO13,CQ13:CS13,CU13)-SUM(CP13,CT13),"")</f>
        <v/>
      </c>
      <c r="CZ13" s="15" t="str">
        <f>IF(SUM(CX13,CY13)&gt;0,SUM(CX13,CY13),"")</f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>IF(SUM(DB13,DF13)&gt;0,SUM(DB13,DF13),"")</f>
        <v/>
      </c>
      <c r="DR13" s="12" t="str">
        <f>IF(SUM(DB13,DF13,DJ13,DN13)&gt;0,SUM(DB13,DF13,DJ13,DN13),"")</f>
        <v/>
      </c>
      <c r="DS13" s="12" t="str">
        <f>IF(SUM(DA13:DB13,DD13:DF13,DH13)-SUM(DC13,DG13)&gt;0,SUM(DA13:DB13,DD13:DF13,DH13)-SUM(DC13,DG13),"")</f>
        <v/>
      </c>
      <c r="DT13" s="12" t="str">
        <f>IF(SUM(DI13:DJ13,DL13:DN13,DP13)-SUM(DK13,DO13)&gt;0,SUM(DI13:DJ13,DL13:DN13,DP13)-SUM(DK13,DO13),"")</f>
        <v/>
      </c>
      <c r="DU13" s="12" t="str">
        <f>IF(SUM(DS13,DT13)&gt;0,SUM(DS13,DT13),"")</f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>IF(SUM(DW13,EA13)&gt;0,SUM(DW13,EA13),"")</f>
        <v/>
      </c>
      <c r="EM13" s="15" t="str">
        <f>IF(SUM(DW13,EA13,EE13,EI13)&gt;0,SUM(DW13,EA13,EE13,EI13),"")</f>
        <v/>
      </c>
      <c r="EN13" s="15" t="str">
        <f>IF(SUM(DV13:DW13,DY13:EA13,EC13)-SUM(DX13,EB13)&gt;0,SUM(DV13:DW13,DY13:EA13,EC13)-SUM(DX13,EB13),"")</f>
        <v/>
      </c>
      <c r="EO13" s="15" t="str">
        <f>IF(SUM(ED13:EE13,EG13:EI13,EK13)-SUM(EF13,EJ13)&gt;0,SUM(ED13:EE13,EG13:EI13,EK13)-SUM(EF13,EJ13),"")</f>
        <v/>
      </c>
      <c r="EP13" s="15" t="str">
        <f>IF(SUM(EN13,EO13)&gt;0,SUM(EN13,EO13),"")</f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>IF(SUM(ER13,EV13)&gt;0,SUM(ER13,EV13),"")</f>
        <v/>
      </c>
      <c r="FH13" s="12" t="str">
        <f>IF(SUM(ER13,EV13,EZ13,FD13)&gt;0,SUM(ER13,EV13,EZ13,FD13),"")</f>
        <v/>
      </c>
      <c r="FI13" s="12" t="str">
        <f>IF(SUM(EQ13:ER13,ET13:EV13,EX13)-SUM(ES13,EW13)&gt;0,SUM(EQ13:ER13,ET13:EV13,EX13)-SUM(ES13,EW13),"")</f>
        <v/>
      </c>
      <c r="FJ13" s="12" t="str">
        <f>IF(SUM(EY13:EZ13,FB13:FD13,FF13)-SUM(FA13,FE13)&gt;0,SUM(EY13:EZ13,FB13:FD13,FF13)-SUM(FA13,FE13),"")</f>
        <v/>
      </c>
      <c r="FK13" s="12" t="str">
        <f>IF(SUM(FI13,FJ13)&gt;0,SUM(FI13,FJ13),"")</f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>IF(SUM(FM13,FQ13)&gt;0,SUM(FM13,FQ13),"")</f>
        <v/>
      </c>
      <c r="GC13" s="15" t="str">
        <f>IF(SUM(FM13,FQ13,FU13,FY13)&gt;0,SUM(FM13,FQ13,FU13,FY13),"")</f>
        <v/>
      </c>
      <c r="GD13" s="15" t="str">
        <f>IF(SUM(FL13:FM13,FO13:FQ13,FS13)-SUM(FN13,FR13)&gt;0,SUM(FL13:FM13,FO13:FQ13,FS13)-SUM(FN13,FR13),"")</f>
        <v/>
      </c>
      <c r="GE13" s="15" t="str">
        <f>IF(SUM(FT13:FU13,FW13:FY13,GA13)-SUM(FV13,FZ13)&gt;0,SUM(FT13:FU13,FW13:FY13,GA13)-SUM(FV13,FZ13),"")</f>
        <v/>
      </c>
      <c r="GF13" s="15" t="str">
        <f>IF(SUM(GD13,GE13)&gt;0,SUM(GD13,GE13),"")</f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>IF(SUM(GH13,GL13)&gt;0,SUM(GH13,GL13),"")</f>
        <v/>
      </c>
      <c r="GX13" s="12" t="str">
        <f>IF(SUM(GH13,GL13,GP13,GT13)&gt;0,SUM(GH13,GL13,GP13,GT13),"")</f>
        <v/>
      </c>
      <c r="GY13" s="12" t="str">
        <f>IF(SUM(GG13:GH13,GJ13:GL13,GN13)-SUM(GI13,GM13)&gt;0,SUM(GG13:GH13,GJ13:GL13,GN13)-SUM(GI13,GM13),"")</f>
        <v/>
      </c>
      <c r="GZ13" s="12" t="str">
        <f>IF(SUM(GO13:GP13,GR13:GT13,GV13)-SUM(GQ13,GU13)&gt;0,SUM(GO13:GP13,GR13:GT13,GV13)-SUM(GQ13,GU13),"")</f>
        <v/>
      </c>
      <c r="HA13" s="12" t="str">
        <f>IF(SUM(GY13,GZ13)&gt;0,SUM(GY13,GZ13),"")</f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>IF(SUM(HC13,HG13)&gt;0,SUM(HC13,HG13),"")</f>
        <v/>
      </c>
      <c r="HS13" s="15" t="str">
        <f>IF(SUM(HC13,HG13,HK13,HO13)&gt;0,SUM(HC13,HG13,HK13,HO13),"")</f>
        <v/>
      </c>
      <c r="HT13" s="15" t="str">
        <f>IF(SUM(HB13:HC13,HE13:HG13,HI13)-SUM(HD13,HH13)&gt;0,SUM(HB13:HC13,HE13:HG13,HI13)-SUM(HD13,HH13),"")</f>
        <v/>
      </c>
      <c r="HU13" s="15" t="str">
        <f>IF(SUM(HJ13:HK13,HM13:HO13,HQ13)-SUM(HL13,HP13)&gt;0,SUM(HJ13:HK13,HM13:HO13,HQ13)-SUM(HL13,HP13),"")</f>
        <v/>
      </c>
      <c r="HV13" s="15" t="str">
        <f>IF(SUM(HT13,HU13)&gt;0,SUM(HT13,HU13),"")</f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>IF(SUM(HX13,IB13)&gt;0,SUM(HX13,IB13),"")</f>
        <v/>
      </c>
      <c r="IN13" s="12" t="str">
        <f>IF(SUM(HX13,IB13,IF13,IJ13)&gt;0,SUM(HX13,IB13,IF13,IJ13),"")</f>
        <v/>
      </c>
      <c r="IO13" s="12" t="str">
        <f>IF(SUM(HW13:HX13,HZ13:IB13,ID13)-SUM(HY13,IC13)&gt;0,SUM(HW13:HX13,HZ13:IB13,ID13)-SUM(HY13,IC13),"")</f>
        <v/>
      </c>
      <c r="IP13" s="12" t="str">
        <f>IF(SUM(IE13:IF13,IH13:IJ13,IL13)-SUM(IG13,IK13)&gt;0,SUM(IE13:IF13,IH13:IJ13,IL13)-SUM(IG13,IK13),"")</f>
        <v/>
      </c>
      <c r="IQ13" s="12" t="str">
        <f>IF(SUM(IO13,IP13)&gt;0,SUM(IO13,IP13),"")</f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>IF(SUM(IS13,IW13)&gt;0,SUM(IS13,IW13),"")</f>
        <v/>
      </c>
      <c r="JI13" s="15" t="str">
        <f>IF(SUM(IS13,IW13,JA13,JE13)&gt;0,SUM(IS13,IW13,JA13,JE13),"")</f>
        <v/>
      </c>
      <c r="JJ13" s="15" t="str">
        <f>IF(SUM(IR13:IS13,IU13:IW13,IY13)-SUM(IT13,IX13)&gt;0,SUM(IR13:IS13,IU13:IW13,IY13)-SUM(IT13,IX13),"")</f>
        <v/>
      </c>
      <c r="JK13" s="15" t="str">
        <f>IF(SUM(IZ13:JA13,JC13:JE13,JG13)-SUM(JB13,JF13)&gt;0,SUM(IZ13:JA13,JC13:JE13,JG13)-SUM(JB13,JF13),"")</f>
        <v/>
      </c>
      <c r="JL13" s="15" t="str">
        <f>IF(SUM(JJ13,JK13)&gt;0,SUM(JJ13,JK13),"")</f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>IF(SUM(JN13,JR13)&gt;0,SUM(JN13,JR13),"")</f>
        <v/>
      </c>
      <c r="KD13" s="12" t="str">
        <f>IF(SUM(JN13,JR13,JV13,JZ13)&gt;0,SUM(JN13,JR13,JV13,JZ13),"")</f>
        <v/>
      </c>
      <c r="KE13" s="12" t="str">
        <f>IF(SUM(JM13:JN13,JP13:JR13,JT13)-SUM(JO13,JS13)&gt;0,SUM(JM13:JN13,JP13:JR13,JT13)-SUM(JO13,JS13),"")</f>
        <v/>
      </c>
      <c r="KF13" s="12" t="str">
        <f>IF(SUM(JU13:JV13,JX13:JZ13,KB13)-SUM(JW13,KA13)&gt;0,SUM(JU13:JV13,JX13:JZ13,KB13)-SUM(JW13,KA13),"")</f>
        <v/>
      </c>
      <c r="KG13" s="12" t="str">
        <f>IF(SUM(KE13,KF13)&gt;0,SUM(KE13,KF13),"")</f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>IF(SUM(KI13,KM13)&gt;0,SUM(KI13,KM13),"")</f>
        <v/>
      </c>
      <c r="KY13" s="15" t="str">
        <f>IF(SUM(KI13,KM13,KQ13,KU13)&gt;0,SUM(KI13,KM13,KQ13,KU13),"")</f>
        <v/>
      </c>
      <c r="KZ13" s="15" t="str">
        <f>IF(SUM(KH13:KI13,KK13:KM13,KO13)-SUM(KJ13,KN13)&gt;0,SUM(KH13:KI13,KK13:KM13,KO13)-SUM(KJ13,KN13),"")</f>
        <v/>
      </c>
      <c r="LA13" s="15" t="str">
        <f>IF(SUM(KP13:KQ13,KS13:KU13,KW13)-SUM(KR13,KV13)&gt;0,SUM(KP13:KQ13,KS13:KU13,KW13)-SUM(KR13,KV13),"")</f>
        <v/>
      </c>
      <c r="LB13" s="15" t="str">
        <f>IF(SUM(KZ13,LA13)&gt;0,SUM(KZ13,LA13),"")</f>
        <v/>
      </c>
      <c r="LC13" s="71">
        <f t="shared" si="6"/>
        <v>12.45</v>
      </c>
      <c r="LD13" s="71">
        <f t="shared" si="0"/>
        <v>4</v>
      </c>
      <c r="LE13" s="71">
        <f t="shared" si="0"/>
        <v>0.75</v>
      </c>
      <c r="LF13" s="71">
        <f t="shared" si="0"/>
        <v>0</v>
      </c>
      <c r="LG13" s="71">
        <f t="shared" si="0"/>
        <v>27.049999999999997</v>
      </c>
      <c r="LH13" s="71">
        <f t="shared" si="0"/>
        <v>7</v>
      </c>
      <c r="LI13" s="71">
        <f t="shared" si="0"/>
        <v>0.9</v>
      </c>
      <c r="LJ13" s="71">
        <f t="shared" si="0"/>
        <v>0</v>
      </c>
      <c r="LK13" s="71">
        <f t="shared" si="0"/>
        <v>14.1</v>
      </c>
      <c r="LL13" s="71">
        <f t="shared" si="0"/>
        <v>3.4</v>
      </c>
      <c r="LM13" s="71">
        <f t="shared" si="0"/>
        <v>0.45</v>
      </c>
      <c r="LN13" s="71">
        <f t="shared" si="0"/>
        <v>0</v>
      </c>
      <c r="LO13" s="71">
        <f t="shared" si="0"/>
        <v>13.35</v>
      </c>
      <c r="LP13" s="71">
        <f t="shared" si="0"/>
        <v>2.6</v>
      </c>
      <c r="LQ13" s="71">
        <f t="shared" si="0"/>
        <v>1.1499999999999999</v>
      </c>
      <c r="LR13" s="71">
        <f t="shared" si="0"/>
        <v>0</v>
      </c>
      <c r="LS13" s="82" t="s">
        <v>96</v>
      </c>
      <c r="LT13" s="12">
        <f t="shared" si="7"/>
        <v>11</v>
      </c>
      <c r="LU13" s="12">
        <f t="shared" si="8"/>
        <v>17</v>
      </c>
      <c r="LV13" s="12">
        <f t="shared" si="9"/>
        <v>48.85</v>
      </c>
      <c r="LW13" s="12">
        <f t="shared" si="10"/>
        <v>31.85</v>
      </c>
      <c r="LX13" s="12">
        <f t="shared" si="11"/>
        <v>80.7</v>
      </c>
    </row>
    <row r="14" spans="1:336" x14ac:dyDescent="0.2">
      <c r="A14" s="6" t="str">
        <f>IF(AND(F14="P",H14="P"),SUMPRODUCT((F$4:F$15="P")*(H$4:H$15="P")*(E$4:E$15&gt;E14))+1,IF(H14="P",SUMPRODUCT((F$4:F$15="")*(H$4:H$15="P")*(E$4:E$15&gt;E14))+1+SUMPRODUCT((F$4:F$15="P")*(H$4:H$15="P")),""))</f>
        <v/>
      </c>
      <c r="B14" s="9" t="s">
        <v>107</v>
      </c>
      <c r="C14" s="5" t="s">
        <v>6</v>
      </c>
      <c r="D14" s="6">
        <v>2001</v>
      </c>
      <c r="E14" s="16">
        <f>SUM(J14:N14)</f>
        <v>145.4</v>
      </c>
      <c r="F14" s="4" t="str">
        <f>IF(OR(AND(AH14&gt;=AK$17,AJ14&gt;=AK$20,AJ14&lt;&gt;"",AG14=""),AND(BD14&gt;=BG$17,BF14&gt;=BG$20,BF14&lt;&gt;"",BC14=""),AND(CA14&gt;=CD$17,CC14&gt;=CD$20,CC14&lt;&gt;""),AND(CV14&gt;=CY$17,CX14&gt;=CY$20,CX14&lt;&gt;""),AND(DQ14&gt;=DT$17,DS14&gt;=DT$20,DS14&lt;&gt;""),AND(EL14&gt;=EO$17,EN14&gt;=EO$20,EN14&lt;&gt;""),AND(FG14&gt;=FJ$17,FI14&gt;=FJ$20,FI14&lt;&gt;""),AND(GB14&gt;=GE$17,GD14&gt;=GE$20,GD14&lt;&gt;""),AND(GW14&gt;=GZ$17,GY14&gt;=GZ$20,GY14&lt;&gt;""),AND(HR14&gt;=HU$17,HT14&gt;=HU$20,HT14&lt;&gt;""),AND(IM14&gt;=IP$17,IO14&gt;=IP$20,IO14&lt;&gt;""),AND(JH14&gt;=JK$17,JJ14&gt;=JK$20,JJ14&lt;&gt;""),AND(KC14&gt;=KF$17,KE14&gt;=KF$20,KE14&lt;&gt;""),AND(KX14&gt;=LA$17,KZ14&gt;=LA$20,KZ14&lt;&gt;"")),"P","")</f>
        <v/>
      </c>
      <c r="G14" s="4" t="str">
        <f>IF(OR(AND(AH14&gt;=AK$18,AJ14&gt;=AK$21,AJ14&lt;&gt;"",AG14=""),AND(BD14&gt;=BG$18,BF14&gt;=BG$21,BF14&lt;&gt;"",BC14=""),AND(CA14&gt;=CD$18,CC14&gt;=CD$21,CC14&lt;&gt;""),AND(CV14&gt;=CY$18,CX14&gt;=CY$21,CX14&lt;&gt;""),AND(DQ14&gt;=DT$18,DS14&gt;=DT$21,DS14&lt;&gt;""),AND(EL14&gt;=EO$18,EN14&gt;=EO$21,EN14&lt;&gt;""),AND(FG14&gt;=FJ$18,FI14&gt;=FJ$21,FI14&lt;&gt;""),AND(GB14&gt;=GE$18,GD14&gt;=GE$21,GD14&lt;&gt;""),AND(GW14&gt;=GZ$18,GY14&gt;=GZ$21,GY14&lt;&gt;""),AND(HR14&gt;=HU$18,HT14&gt;=HU$21,HT14&lt;&gt;""),AND(IM14&gt;=IP$18,IO14&gt;=IP$21,IO14&lt;&gt;""),AND(JH14&gt;=JK$18,JJ14&gt;=JK$21,JJ14&lt;&gt;""),AND(KC14&gt;=KF$18,KE14&gt;=KF$21,KE14&lt;&gt;""),AND(KX14&gt;=LA$18,KZ14&gt;=LA$21,KZ14&lt;&gt;"")),"P","")</f>
        <v/>
      </c>
      <c r="H14" s="4" t="str">
        <f>IF(OR(AND(AJ14&gt;=AK$20,AJ14&lt;&gt;"",AG14=""),AND(BF14&gt;=BG$20,BF14&lt;&gt;"",BC14=""),AND(CC14&gt;=CD$20,CC14&lt;&gt;""),AND(CX14&gt;=CY$20,CX14&lt;&gt;""),AND(DS14&gt;=DT$20,DS14&lt;&gt;""),AND(EN14&gt;=EO$20,EN14&lt;&gt;""),AND(FI14&gt;=FJ$20,FI14&lt;&gt;""),AND(GD14&gt;=GE$20,GD14&lt;&gt;""),AND(GY14&gt;=GZ$20,GY14&lt;&gt;""),AND(HT14&gt;=HU$20,HT14&lt;&gt;""),AND(IO14&gt;=IP$20,IO14&lt;&gt;""),AND(JJ14&gt;=JK$20,JJ14&lt;&gt;""),AND(KE14&gt;=KF$20,KE14&lt;&gt;""),AND(KZ14&gt;=LA$20,KZ14&lt;&gt;"")),"P","")</f>
        <v/>
      </c>
      <c r="I14" t="str">
        <f>IF(AND(H14="P",F14=""),"No DD",IF(OR(AND(AI14&gt;=AK$19,AI14&lt;&gt;"",AL14&gt;=AK$23,AL14&lt;&gt;"",AG14=""),AND(BE14&gt;=BG$19,BE14&lt;&gt;"",BH14&gt;=BG$23,BH14&lt;&gt;"",BC14=""),AND(CB14&gt;=CD$19,CB14&lt;&gt;"",CE14&gt;=CD$23,CE14&lt;&gt;""),AND(CW14&gt;=CY$19,CW14&lt;&gt;"",CZ14&gt;=CY$23,CZ14&lt;&gt;""),AND(DR14&gt;=DT$19,DR14&lt;&gt;"",DU14&gt;=DT$23,DU14&lt;&gt;""),AND(EM14&gt;=EO$19,EM14&lt;&gt;"",EP14&gt;=EO$23,EP14&lt;&gt;""),AND(FH14&gt;=FJ$19,FH14&lt;&gt;"",FK14&gt;=FJ$23,FK14&lt;&gt;""),AND(GC14&gt;=GE$19,GC14&lt;&gt;"",GF14&gt;=GE$23,GF14&lt;&gt;""),AND(GX14&gt;=GZ$19,GX14&lt;&gt;"",HA14&gt;=GZ$23,HA14&lt;&gt;""),AND(HS14&gt;=HU$19,HS14&lt;&gt;"",HV14&gt;=HU$23,HV14&lt;&gt;""),AND(IN14&gt;=IP$19,IN14&lt;&gt;"",IQ14&gt;=IP$23,IQ14&lt;&gt;""),AND(JI14&gt;=JK$19,JI14&lt;&gt;"",JL14&gt;=JK$23,JL14&lt;&gt;""),AND(KD14&gt;=KF$19,KD14&lt;&gt;"",KG14&gt;=KF$23,KG14&lt;&gt;""),AND(KY14&gt;=LA$19,KY14&lt;&gt;"",LB14&gt;=LA$23,LB14&lt;&gt;"")),"Merit",IF(OR(AND(AI14&gt;=AK$19,AI14&lt;&gt;"",AL14&gt;=AK$22,AL14&lt;&gt;"",AG14=""),AND(BE14&gt;=BG$19,BE14&lt;&gt;"",BH14&gt;=BG$22,BH14&lt;&gt;"",BC14=""),AND(CB14&gt;=CD$19,CB14&lt;&gt;"",CE14&gt;=CD$22,CE14&lt;&gt;""),AND(CW14&gt;=CY$19,CW14&lt;&gt;"",CZ14&gt;=CY$22,CZ14&lt;&gt;""),AND(DR14&gt;=DT$19,DR14&lt;&gt;"",DU14&gt;=DT$22,DU14&lt;&gt;""),AND(EM14&gt;=EO$19,EM14&lt;&gt;"",EP14&gt;=EO$22,EP14&lt;&gt;""),AND(FH14&gt;=FJ$19,FH14&lt;&gt;"",FK14&gt;=FJ$22,FK14&lt;&gt;""),AND(GC14&gt;=GE$19,GC14&lt;&gt;"",GF14&gt;=GE$22,GF14&lt;&gt;""),AND(GX14&gt;=GZ$19,GX14&lt;&gt;"",HA14&gt;=GZ$22,HA14&lt;&gt;""),AND(HS14&gt;=HU$19,HS14&lt;&gt;"",HV14&gt;=HU$22,HV14&lt;&gt;""),AND(IN14&gt;=IP$19,IN14&lt;&gt;"",IQ14&gt;=IP$22,IQ14&lt;&gt;""),AND(JI14&gt;=JK$19,JI14&lt;&gt;"",JL14&gt;=JK$22,JL14&lt;&gt;""),AND(KD14&gt;=KF$19,KD14&lt;&gt;"",KG14&gt;=KF$22,KG14&lt;&gt;""),AND(KY14&gt;=LA$19,KY14&lt;&gt;"",LB14&gt;=LA$22,LB14&lt;&gt;"")),"Excellence",IF(OR(AND(AH14&gt;=AK$18,AH14&lt;&gt;"",AJ14&gt;=AK$21,AJ14&lt;&gt;"",AG14=""),AND(BD14&gt;=BG$18,BD14&lt;&gt;"",BF14&gt;=BG$21,BF14&lt;&gt;"",BC14=""),AND(CA14&gt;=CD$18,CA14&lt;&gt;"",CC14&gt;=CD$21,CC14&lt;&gt;""),AND(CV14&gt;=CY$18,CV14&lt;&gt;"",CX14&gt;=CY$21,CX14&lt;&gt;""),AND(DQ14&gt;=DT$18,DQ14&lt;&gt;"",DS14&gt;=DT$21,DS14&lt;&gt;""),AND(EL14&gt;=EO$18,EL14&lt;&gt;"",EN14&gt;=EO$21,EN14&lt;&gt;""),AND(FG14&gt;=FJ$18,FG14&lt;&gt;"",FI14&gt;=FJ$21,FI14&lt;&gt;""),AND(GB14&gt;=GE$18,GB14&lt;&gt;"",GD14&gt;=GE$21,GD14&lt;&gt;""),AND(GW14&gt;=GZ$18,GW14&lt;&gt;"",GY14&gt;=GZ$21,GY14&lt;&gt;""),AND(HR14&gt;=HU$18,HR14&lt;&gt;"",HT14&gt;=HU$21,HT14&lt;&gt;""),AND(IM14&gt;=IP$18,IM14&lt;&gt;"",IO14&gt;=IP$21,IO14&lt;&gt;""),AND(JH14&gt;=JK$18,JH14&lt;&gt;"",JJ14&gt;=JK$21,JJ14&lt;&gt;""),AND(KC14&gt;=KF$18,KC14&lt;&gt;"",KE14&gt;=KF$21,KE14&lt;&gt;""),AND(KX14&gt;=LA$18,KX14&lt;&gt;"",KZ14&gt;=LA$21,KZ14&lt;&gt;"")),"Worlds Team",IF(OR(AND(AH14&gt;=AK$17,AH14&lt;&gt;"",AJ14&gt;=AK$20,AJ14&lt;&gt;"",AG14=""),AND(BD14&gt;=BG$17,BD14&lt;&gt;"",BF14&gt;=BG$20,BF14&lt;&gt;"",BC14=""),AND(CA14&gt;=CD$17,CA14&lt;&gt;"",CC14&gt;=CD$20,CC14&lt;&gt;""),AND(CV14&gt;=CY$17,CV14&lt;&gt;"",CX14&gt;=CY$20,CX14&lt;&gt;""),AND(DQ14&gt;=DT$17,DQ14&lt;&gt;"",DS14&gt;=DT$20,DS14&lt;&gt;""),AND(EL14&gt;=EO$17,EL14&lt;&gt;"",EN14&gt;=EO$20,EN14&lt;&gt;""),AND(FG14&gt;=FJ$17,FG14&lt;&gt;"",FI14&gt;=FJ$20,FI14&lt;&gt;""),AND(GB14&gt;=GE$17,GB14&lt;&gt;"",GD14&gt;=GE$20,GD14&lt;&gt;""),AND(GW14&gt;=GZ$17,GW14&lt;&gt;"",GY14&gt;=GZ$20,GY14&lt;&gt;""),AND(HR14&gt;=HU$17,HR14&lt;&gt;"",HT14&gt;=HU$20,HT14&lt;&gt;""),AND(IM14&gt;=IP$17,IM14&lt;&gt;"",IO14&gt;=IP$20,IO14&lt;&gt;""),AND(JH14&gt;=JK$17,JH14&lt;&gt;"",JJ14&gt;=JK$20,JJ14&lt;&gt;""),AND(KC14&gt;=KF$17,KC14&lt;&gt;"",KE14&gt;=KF$20,KE14&lt;&gt;""),AND(KX14&gt;=LA$17,KX14&lt;&gt;"",KZ14&gt;=LA$20,KZ14&lt;&gt;"")),"National Team","")))))</f>
        <v/>
      </c>
      <c r="J14" s="15">
        <f>IF(MAX(AL14,BH14)&gt;0,MAX(AL14,BH14),"")</f>
        <v>121.30000000000001</v>
      </c>
      <c r="K14" s="15" t="str">
        <f>IF(J14="","",IF(J14=BH14,$AM$1,IF(J14=AL14,$Q$1,"")))</f>
        <v>2019 Nationals</v>
      </c>
      <c r="L14" s="15">
        <f>IF(J14=AL14,IF(MAX(BF14,BG14)&gt;0,MAX(BF14,BG14),""),IF(J14=BH14,IF(MAX(AJ14,AK14)&gt;0,MAX(AJ14,AK14),""),MAX(AJ14,AK14,BF14,BG14)))</f>
        <v>24.1</v>
      </c>
      <c r="M14" s="15" t="str">
        <f>IF(L14="","",IF(AND(J14&lt;&gt;BH14,OR(L14=BG14,L14=BF14)),$AM$1,IF(OR(L14=AK14,L14=AJ14),$Q$1,"")))</f>
        <v>2019 Elite Canada</v>
      </c>
      <c r="N14" s="15" t="str">
        <f>IF(MAX(BI14:BJ14)&gt;0,MAX(BI14:BJ14),"")</f>
        <v/>
      </c>
      <c r="O14" s="27" t="str">
        <f>IF(N14="","",IF(N14=BI14,"(4 Pass)",IF(N14=BJ14,"(2 Pass)")))</f>
        <v/>
      </c>
      <c r="P14" s="15" t="str">
        <f>IF(N14="","",IF(N14=BI14,IF(N14+IF(J14="",0,J14)=CE14,$BK$1,IF(N14+IF(J14="",0,J14)=CZ14,$CF$1,IF(N14+IF(J14="",0,J14)=DU14,$DA$1,IF(N14+IF(J14="",0,J14)=EP14,$DV$1,IF(N14+IF(J14="",0,J14)=FK14,$EQ$1,IF(N14+IF(J14="",0,J14)=GF14,$FL$1,IF(N14+IF(J14="",0,J14)=HA14,$GG$1,IF(N14+IF(J14="",0,J14)=HV14,$HB$1,IF(N14+IF(J14="",0,J14)=IQ14,$HW$1,IF(N14+IF(J14="",0,J14)=JL14,$IR$1,IF(N14+IF(J14="",0,J14)=KG14,$JM$1,IF(N14+IF(J14="",0,J14)=LB14,$KH$1)))))))))))),IF(N14=BJ14,IF(OR(N14+IF(L14="",0,L14)=CC14,N14+IF(L14="",0,L14)=CD14),$BK$1,IF(OR(N14+IF(L14="",0,L14)=CX14,N14+IF(L14="",0,L14)=CY14),$CF$1,IF(OR(N14+IF(L14="",0,L14)=DS14,N14+IF(L14="",0,L14)=DT14),$DA$1,IF(OR(N14+IF(L14="",0,L14)=EN14,N14+IF(L14="",0,L14)=EO14),$DV$1,IF(OR(N14+IF(L14="",0,L14)=FI14,N14+IF(L14="",0,L14)=FJ14),$EQ$1,IF(OR(N14+IF(L14="",0,L14)=GD14,N14+IF(L14="",0,L14)=GE14),$FL$1,IF(OR(N14+IF(L14="",0,L14)=GY14,N14+IF(L14="",0,L14)=GZ14),$GG$1,IF(OR(N14+IF(L14="",0,L14)=HT14,N14+IF(L14="",0,L14)=HU14),$HB$1,IF(OR(N14+IF(L14="",0,L14)=IO14,N14+IF(L14="",0,L14)=IP14),$HW$1,IF(OR(N14+IF(L14="",0,L14)=JJ14,N14+IF(L14="",0,L14)=JK14),$IR$1,IF(OR(N14+IF(L14="",0,L14)=KE14,N14+IF(L14="",0,L14)=KF14),$JM$1,IF(OR(N14+IF(L14="",0,L14)=KZ14,N14+IF(L14="",0,L14)=LA14),$KH$1)))))))))))))))</f>
        <v/>
      </c>
      <c r="Q14" s="71">
        <v>0</v>
      </c>
      <c r="R14" s="71">
        <v>0</v>
      </c>
      <c r="S14" s="71">
        <v>0</v>
      </c>
      <c r="T14" s="71">
        <v>0</v>
      </c>
      <c r="U14" s="71">
        <v>20.100000000000001</v>
      </c>
      <c r="V14" s="71">
        <v>4</v>
      </c>
      <c r="W14" s="71">
        <v>0</v>
      </c>
      <c r="X14" s="71">
        <v>0</v>
      </c>
      <c r="Y14" s="71"/>
      <c r="Z14" s="71"/>
      <c r="AA14" s="71"/>
      <c r="AB14" s="71"/>
      <c r="AC14" s="71"/>
      <c r="AD14" s="71"/>
      <c r="AE14" s="71"/>
      <c r="AF14" s="71"/>
      <c r="AG14" s="82"/>
      <c r="AH14" s="12">
        <f>IF(SUM(R14,V14)&gt;0,SUM(R14,V14),"")</f>
        <v>4</v>
      </c>
      <c r="AI14" s="12">
        <f>IF(SUM(R14,V14,Z14,AD14)&gt;0,SUM(R14,V14,Z14,AD14),"")</f>
        <v>4</v>
      </c>
      <c r="AJ14" s="12">
        <f>IF(SUM(Q14:R14,T14:V14,X14)-SUM(S14,W14)&gt;0,SUM(Q14:R14,T14:V14,X14)-SUM(S14,W14),"")</f>
        <v>24.1</v>
      </c>
      <c r="AK14" s="12" t="str">
        <f>IF(SUM(Y14:Z14,AB14:AD14,AF14)-SUM(AA14,AE14)&gt;0,SUM(Y14:Z14,AB14:AD14,AF14)-SUM(AA14,AE14),"")</f>
        <v/>
      </c>
      <c r="AL14" s="12">
        <f>IF(SUM(AJ14,AK14)&gt;0,SUM(AJ14,AK14),"")</f>
        <v>24.1</v>
      </c>
      <c r="AM14" s="40">
        <v>25.2</v>
      </c>
      <c r="AN14" s="40">
        <v>8</v>
      </c>
      <c r="AO14" s="40">
        <v>0.9</v>
      </c>
      <c r="AP14" s="40">
        <v>0</v>
      </c>
      <c r="AQ14" s="40">
        <v>27.8</v>
      </c>
      <c r="AR14" s="40">
        <v>8.4</v>
      </c>
      <c r="AS14" s="40">
        <v>1.2</v>
      </c>
      <c r="AT14" s="40">
        <v>0</v>
      </c>
      <c r="AU14" s="40">
        <v>20.6</v>
      </c>
      <c r="AV14" s="40">
        <v>2.4</v>
      </c>
      <c r="AW14" s="40">
        <v>0</v>
      </c>
      <c r="AX14" s="40">
        <v>0</v>
      </c>
      <c r="AY14" s="40">
        <v>24.5</v>
      </c>
      <c r="AZ14" s="40">
        <v>7.7</v>
      </c>
      <c r="BA14" s="40">
        <v>1.2</v>
      </c>
      <c r="BB14" s="40">
        <v>0</v>
      </c>
      <c r="BC14" s="83"/>
      <c r="BD14" s="15">
        <f>IF(SUM(AN14,AR14)&gt;0,SUM(AN14,AR14),"")</f>
        <v>16.399999999999999</v>
      </c>
      <c r="BE14" s="15">
        <f>IF(SUM(AN14,AR14,AV14,AZ14)&gt;0,SUM(AN14,AR14,AV14,AZ14),"")</f>
        <v>26.499999999999996</v>
      </c>
      <c r="BF14" s="15">
        <f>IF(SUM(AM14:AN14,AP14:AR14,AT14)-SUM(AO14,AS14)&gt;0,SUM(AM14:AN14,AP14:AR14,AT14)-SUM(AO14,AS14),"")</f>
        <v>67.300000000000011</v>
      </c>
      <c r="BG14" s="15">
        <f>IF(SUM(AU14:AV14,AX14:AZ14,BB14)-SUM(AW14,BA14)&gt;0,SUM(AU14:AV14,AX14:AZ14,BB14)-SUM(AW14,BA14),"")</f>
        <v>54</v>
      </c>
      <c r="BH14" s="15">
        <f>IF(SUM(BF14,BG14)&gt;0,SUM(BF14,BG14),"")</f>
        <v>121.30000000000001</v>
      </c>
      <c r="BI14" s="26" t="str">
        <f>IF(MAX(CE14,CZ14,DU14,EP14,FK14,GF14,HA14,HV14,IQ14,JL14,KG14,LB14)-IF(J14="",0,J14)&gt;0.001,MAX(CE14,CZ14,DU14,EP14,FK14,GF14,HA14,HV14,IQ14,JL14,KG14,LB14)-IF(J14="",0,J14),"")</f>
        <v/>
      </c>
      <c r="BJ14" s="26" t="str">
        <f>IF(MAX(CC14,CD14,CX14,CY14,DS14,DT14,EN14,EO14,FI14,FJ14,GD14,GE14,GY14,GZ14,HT14,HU14,IO14,IP14,JJ14,JK14,KE14,KF14,KZ14,LA14)-IF(L14="",0,L14)&gt;0.001,MAX(CC14,CD14,CX14,CY14,DS14,DT14,EN14,EO14,FI14,FJ14,GD14,GE14,GY14,GZ14,HT14,HU14,IO14,IP14,JJ14,JK14,KE14,KF14,KZ14,LA14)-IF(L14="",0,L14),"")</f>
        <v/>
      </c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12" t="str">
        <f>IF(SUM(BL14,BP14)&gt;0,SUM(BL14,BP14),"")</f>
        <v/>
      </c>
      <c r="CB14" s="12" t="str">
        <f>IF(SUM(BL14,BP14,BT14,BX14)&gt;0,SUM(BL14,BP14,BT14,BX14),"")</f>
        <v/>
      </c>
      <c r="CC14" s="12" t="str">
        <f>IF(SUM(BK14:BL14,BN14:BP14,BR14)-SUM(BM14,BQ14)&gt;0,SUM(BK14:BL14,BN14:BP14,BR14)-SUM(BM14,BQ14),"")</f>
        <v/>
      </c>
      <c r="CD14" s="12" t="str">
        <f>IF(SUM(BS14:BT14,BV14:BX14,BZ14)-SUM(BU14,BY14)&gt;0,SUM(BS14:BT14,BV14:BX14,BZ14)-SUM(BU14,BY14),"")</f>
        <v/>
      </c>
      <c r="CE14" s="12" t="str">
        <f>IF(SUM(CC14,CD14)&gt;0,SUM(CC14,CD14),"")</f>
        <v/>
      </c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15" t="str">
        <f>IF(SUM(CG14,CK14)&gt;0,SUM(CG14,CK14),"")</f>
        <v/>
      </c>
      <c r="CW14" s="15" t="str">
        <f>IF(SUM(CG14,CK14,CO14,CS14)&gt;0,SUM(CG14,CK14,CO14,CS14),"")</f>
        <v/>
      </c>
      <c r="CX14" s="15" t="str">
        <f>IF(SUM(CF14:CG14,CI14:CK14,CM14)-SUM(CH14,CL14)&gt;0,SUM(CF14:CG14,CI14:CK14,CM14)-SUM(CH14,CL14),"")</f>
        <v/>
      </c>
      <c r="CY14" s="15" t="str">
        <f>IF(SUM(CN14:CO14,CQ14:CS14,CU14)-SUM(CP14,CT14)&gt;0,SUM(CN14:CO14,CQ14:CS14,CU14)-SUM(CP14,CT14),"")</f>
        <v/>
      </c>
      <c r="CZ14" s="15" t="str">
        <f>IF(SUM(CX14,CY14)&gt;0,SUM(CX14,CY14),"")</f>
        <v/>
      </c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12" t="str">
        <f>IF(SUM(DB14,DF14)&gt;0,SUM(DB14,DF14),"")</f>
        <v/>
      </c>
      <c r="DR14" s="12" t="str">
        <f>IF(SUM(DB14,DF14,DJ14,DN14)&gt;0,SUM(DB14,DF14,DJ14,DN14),"")</f>
        <v/>
      </c>
      <c r="DS14" s="12" t="str">
        <f>IF(SUM(DA14:DB14,DD14:DF14,DH14)-SUM(DC14,DG14)&gt;0,SUM(DA14:DB14,DD14:DF14,DH14)-SUM(DC14,DG14),"")</f>
        <v/>
      </c>
      <c r="DT14" s="12" t="str">
        <f>IF(SUM(DI14:DJ14,DL14:DN14,DP14)-SUM(DK14,DO14)&gt;0,SUM(DI14:DJ14,DL14:DN14,DP14)-SUM(DK14,DO14),"")</f>
        <v/>
      </c>
      <c r="DU14" s="12" t="str">
        <f>IF(SUM(DS14,DT14)&gt;0,SUM(DS14,DT14),"")</f>
        <v/>
      </c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15" t="str">
        <f>IF(SUM(DW14,EA14)&gt;0,SUM(DW14,EA14),"")</f>
        <v/>
      </c>
      <c r="EM14" s="15" t="str">
        <f>IF(SUM(DW14,EA14,EE14,EI14)&gt;0,SUM(DW14,EA14,EE14,EI14),"")</f>
        <v/>
      </c>
      <c r="EN14" s="15" t="str">
        <f>IF(SUM(DV14:DW14,DY14:EA14,EC14)-SUM(DX14,EB14)&gt;0,SUM(DV14:DW14,DY14:EA14,EC14)-SUM(DX14,EB14),"")</f>
        <v/>
      </c>
      <c r="EO14" s="15" t="str">
        <f>IF(SUM(ED14:EE14,EG14:EI14,EK14)-SUM(EF14,EJ14)&gt;0,SUM(ED14:EE14,EG14:EI14,EK14)-SUM(EF14,EJ14),"")</f>
        <v/>
      </c>
      <c r="EP14" s="15" t="str">
        <f>IF(SUM(EN14,EO14)&gt;0,SUM(EN14,EO14),"")</f>
        <v/>
      </c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12" t="str">
        <f>IF(SUM(ER14,EV14)&gt;0,SUM(ER14,EV14),"")</f>
        <v/>
      </c>
      <c r="FH14" s="12" t="str">
        <f>IF(SUM(ER14,EV14,EZ14,FD14)&gt;0,SUM(ER14,EV14,EZ14,FD14),"")</f>
        <v/>
      </c>
      <c r="FI14" s="12" t="str">
        <f>IF(SUM(EQ14:ER14,ET14:EV14,EX14)-SUM(ES14,EW14)&gt;0,SUM(EQ14:ER14,ET14:EV14,EX14)-SUM(ES14,EW14),"")</f>
        <v/>
      </c>
      <c r="FJ14" s="12" t="str">
        <f>IF(SUM(EY14:EZ14,FB14:FD14,FF14)-SUM(FA14,FE14)&gt;0,SUM(EY14:EZ14,FB14:FD14,FF14)-SUM(FA14,FE14),"")</f>
        <v/>
      </c>
      <c r="FK14" s="12" t="str">
        <f>IF(SUM(FI14,FJ14)&gt;0,SUM(FI14,FJ14),"")</f>
        <v/>
      </c>
      <c r="FL14" s="45"/>
      <c r="FM14" s="45"/>
      <c r="FN14" s="45"/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15" t="str">
        <f>IF(SUM(FM14,FQ14)&gt;0,SUM(FM14,FQ14),"")</f>
        <v/>
      </c>
      <c r="GC14" s="15" t="str">
        <f>IF(SUM(FM14,FQ14,FU14,FY14)&gt;0,SUM(FM14,FQ14,FU14,FY14),"")</f>
        <v/>
      </c>
      <c r="GD14" s="15" t="str">
        <f>IF(SUM(FL14:FM14,FO14:FQ14,FS14)-SUM(FN14,FR14)&gt;0,SUM(FL14:FM14,FO14:FQ14,FS14)-SUM(FN14,FR14),"")</f>
        <v/>
      </c>
      <c r="GE14" s="15" t="str">
        <f>IF(SUM(FT14:FU14,FW14:FY14,GA14)-SUM(FV14,FZ14)&gt;0,SUM(FT14:FU14,FW14:FY14,GA14)-SUM(FV14,FZ14),"")</f>
        <v/>
      </c>
      <c r="GF14" s="15" t="str">
        <f>IF(SUM(GD14,GE14)&gt;0,SUM(GD14,GE14),"")</f>
        <v/>
      </c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12" t="str">
        <f>IF(SUM(GH14,GL14)&gt;0,SUM(GH14,GL14),"")</f>
        <v/>
      </c>
      <c r="GX14" s="12" t="str">
        <f>IF(SUM(GH14,GL14,GP14,GT14)&gt;0,SUM(GH14,GL14,GP14,GT14),"")</f>
        <v/>
      </c>
      <c r="GY14" s="12" t="str">
        <f>IF(SUM(GG14:GH14,GJ14:GL14,GN14)-SUM(GI14,GM14)&gt;0,SUM(GG14:GH14,GJ14:GL14,GN14)-SUM(GI14,GM14),"")</f>
        <v/>
      </c>
      <c r="GZ14" s="12" t="str">
        <f>IF(SUM(GO14:GP14,GR14:GT14,GV14)-SUM(GQ14,GU14)&gt;0,SUM(GO14:GP14,GR14:GT14,GV14)-SUM(GQ14,GU14),"")</f>
        <v/>
      </c>
      <c r="HA14" s="12" t="str">
        <f>IF(SUM(GY14,GZ14)&gt;0,SUM(GY14,GZ14),"")</f>
        <v/>
      </c>
      <c r="HB14" s="45"/>
      <c r="HC14" s="45"/>
      <c r="HD14" s="45"/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15" t="str">
        <f>IF(SUM(HC14,HG14)&gt;0,SUM(HC14,HG14),"")</f>
        <v/>
      </c>
      <c r="HS14" s="15" t="str">
        <f>IF(SUM(HC14,HG14,HK14,HO14)&gt;0,SUM(HC14,HG14,HK14,HO14),"")</f>
        <v/>
      </c>
      <c r="HT14" s="15" t="str">
        <f>IF(SUM(HB14:HC14,HE14:HG14,HI14)-SUM(HD14,HH14)&gt;0,SUM(HB14:HC14,HE14:HG14,HI14)-SUM(HD14,HH14),"")</f>
        <v/>
      </c>
      <c r="HU14" s="15" t="str">
        <f>IF(SUM(HJ14:HK14,HM14:HO14,HQ14)-SUM(HL14,HP14)&gt;0,SUM(HJ14:HK14,HM14:HO14,HQ14)-SUM(HL14,HP14),"")</f>
        <v/>
      </c>
      <c r="HV14" s="15" t="str">
        <f>IF(SUM(HT14,HU14)&gt;0,SUM(HT14,HU14),"")</f>
        <v/>
      </c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12" t="str">
        <f>IF(SUM(HX14,IB14)&gt;0,SUM(HX14,IB14),"")</f>
        <v/>
      </c>
      <c r="IN14" s="12" t="str">
        <f>IF(SUM(HX14,IB14,IF14,IJ14)&gt;0,SUM(HX14,IB14,IF14,IJ14),"")</f>
        <v/>
      </c>
      <c r="IO14" s="12" t="str">
        <f>IF(SUM(HW14:HX14,HZ14:IB14,ID14)-SUM(HY14,IC14)&gt;0,SUM(HW14:HX14,HZ14:IB14,ID14)-SUM(HY14,IC14),"")</f>
        <v/>
      </c>
      <c r="IP14" s="12" t="str">
        <f>IF(SUM(IE14:IF14,IH14:IJ14,IL14)-SUM(IG14,IK14)&gt;0,SUM(IE14:IF14,IH14:IJ14,IL14)-SUM(IG14,IK14),"")</f>
        <v/>
      </c>
      <c r="IQ14" s="12" t="str">
        <f>IF(SUM(IO14,IP14)&gt;0,SUM(IO14,IP14),"")</f>
        <v/>
      </c>
      <c r="IR14" s="45"/>
      <c r="IS14" s="45"/>
      <c r="IT14" s="45"/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15" t="str">
        <f>IF(SUM(IS14,IW14)&gt;0,SUM(IS14,IW14),"")</f>
        <v/>
      </c>
      <c r="JI14" s="15" t="str">
        <f>IF(SUM(IS14,IW14,JA14,JE14)&gt;0,SUM(IS14,IW14,JA14,JE14),"")</f>
        <v/>
      </c>
      <c r="JJ14" s="15" t="str">
        <f>IF(SUM(IR14:IS14,IU14:IW14,IY14)-SUM(IT14,IX14)&gt;0,SUM(IR14:IS14,IU14:IW14,IY14)-SUM(IT14,IX14),"")</f>
        <v/>
      </c>
      <c r="JK14" s="15" t="str">
        <f>IF(SUM(IZ14:JA14,JC14:JE14,JG14)-SUM(JB14,JF14)&gt;0,SUM(IZ14:JA14,JC14:JE14,JG14)-SUM(JB14,JF14),"")</f>
        <v/>
      </c>
      <c r="JL14" s="15" t="str">
        <f>IF(SUM(JJ14,JK14)&gt;0,SUM(JJ14,JK14),"")</f>
        <v/>
      </c>
      <c r="JM14" s="46"/>
      <c r="JN14" s="46"/>
      <c r="JO14" s="46"/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12" t="str">
        <f>IF(SUM(JN14,JR14)&gt;0,SUM(JN14,JR14),"")</f>
        <v/>
      </c>
      <c r="KD14" s="12" t="str">
        <f>IF(SUM(JN14,JR14,JV14,JZ14)&gt;0,SUM(JN14,JR14,JV14,JZ14),"")</f>
        <v/>
      </c>
      <c r="KE14" s="12" t="str">
        <f>IF(SUM(JM14:JN14,JP14:JR14,JT14)-SUM(JO14,JS14)&gt;0,SUM(JM14:JN14,JP14:JR14,JT14)-SUM(JO14,JS14),"")</f>
        <v/>
      </c>
      <c r="KF14" s="12" t="str">
        <f>IF(SUM(JU14:JV14,JX14:JZ14,KB14)-SUM(JW14,KA14)&gt;0,SUM(JU14:JV14,JX14:JZ14,KB14)-SUM(JW14,KA14),"")</f>
        <v/>
      </c>
      <c r="KG14" s="12" t="str">
        <f>IF(SUM(KE14,KF14)&gt;0,SUM(KE14,KF14),"")</f>
        <v/>
      </c>
      <c r="KH14" s="45"/>
      <c r="KI14" s="45"/>
      <c r="KJ14" s="45"/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15" t="str">
        <f>IF(SUM(KI14,KM14)&gt;0,SUM(KI14,KM14),"")</f>
        <v/>
      </c>
      <c r="KY14" s="15" t="str">
        <f>IF(SUM(KI14,KM14,KQ14,KU14)&gt;0,SUM(KI14,KM14,KQ14,KU14),"")</f>
        <v/>
      </c>
      <c r="KZ14" s="15" t="str">
        <f>IF(SUM(KH14:KI14,KK14:KM14,KO14)-SUM(KJ14,KN14)&gt;0,SUM(KH14:KI14,KK14:KM14,KO14)-SUM(KJ14,KN14),"")</f>
        <v/>
      </c>
      <c r="LA14" s="15" t="str">
        <f>IF(SUM(KP14:KQ14,KS14:KU14,KW14)-SUM(KR14,KV14)&gt;0,SUM(KP14:KQ14,KS14:KU14,KW14)-SUM(KR14,KV14),"")</f>
        <v/>
      </c>
      <c r="LB14" s="15" t="str">
        <f>IF(SUM(KZ14,LA14)&gt;0,SUM(KZ14,LA14),"")</f>
        <v/>
      </c>
      <c r="LC14" s="71">
        <f t="shared" si="6"/>
        <v>12.6</v>
      </c>
      <c r="LD14" s="71">
        <f t="shared" si="0"/>
        <v>4</v>
      </c>
      <c r="LE14" s="71">
        <f t="shared" si="0"/>
        <v>0.45</v>
      </c>
      <c r="LF14" s="71">
        <f t="shared" si="0"/>
        <v>0</v>
      </c>
      <c r="LG14" s="71">
        <f t="shared" si="0"/>
        <v>23.950000000000003</v>
      </c>
      <c r="LH14" s="71">
        <f t="shared" si="0"/>
        <v>6.2</v>
      </c>
      <c r="LI14" s="71">
        <f t="shared" si="0"/>
        <v>0.6</v>
      </c>
      <c r="LJ14" s="71">
        <f t="shared" si="0"/>
        <v>0</v>
      </c>
      <c r="LK14" s="71">
        <f t="shared" si="0"/>
        <v>10.3</v>
      </c>
      <c r="LL14" s="71">
        <f t="shared" si="0"/>
        <v>1.2</v>
      </c>
      <c r="LM14" s="71">
        <f t="shared" si="0"/>
        <v>0</v>
      </c>
      <c r="LN14" s="71">
        <f t="shared" si="0"/>
        <v>0</v>
      </c>
      <c r="LO14" s="71">
        <f t="shared" si="0"/>
        <v>12.25</v>
      </c>
      <c r="LP14" s="71">
        <f t="shared" si="0"/>
        <v>3.85</v>
      </c>
      <c r="LQ14" s="71">
        <f t="shared" si="0"/>
        <v>0.6</v>
      </c>
      <c r="LR14" s="71">
        <f t="shared" si="0"/>
        <v>0</v>
      </c>
      <c r="LS14" s="82" t="s">
        <v>96</v>
      </c>
      <c r="LT14" s="12">
        <f t="shared" si="7"/>
        <v>10.199999999999999</v>
      </c>
      <c r="LU14" s="12">
        <f t="shared" si="8"/>
        <v>15.249999999999998</v>
      </c>
      <c r="LV14" s="12">
        <f t="shared" si="9"/>
        <v>45.70000000000001</v>
      </c>
      <c r="LW14" s="12">
        <f t="shared" si="10"/>
        <v>27</v>
      </c>
      <c r="LX14" s="12">
        <f t="shared" si="11"/>
        <v>72.700000000000017</v>
      </c>
    </row>
    <row r="17" spans="1:313" x14ac:dyDescent="0.2">
      <c r="B17" s="72" t="s">
        <v>82</v>
      </c>
      <c r="AH17" s="58"/>
      <c r="AI17" s="58"/>
      <c r="AK17" s="66">
        <v>15.6</v>
      </c>
      <c r="BD17" s="58"/>
      <c r="BE17" s="58"/>
      <c r="BG17" s="66">
        <v>15.6</v>
      </c>
      <c r="CA17" s="58"/>
      <c r="CB17" s="58"/>
      <c r="CD17" s="66">
        <v>15.6</v>
      </c>
      <c r="CV17" s="58"/>
      <c r="CW17" s="58"/>
      <c r="CY17" s="66">
        <v>15.6</v>
      </c>
      <c r="DQ17" s="58"/>
      <c r="DR17" s="58"/>
      <c r="DT17" s="66">
        <v>15.6</v>
      </c>
      <c r="EL17" s="58"/>
      <c r="EM17" s="58"/>
      <c r="EO17" s="66">
        <v>15.6</v>
      </c>
      <c r="FG17" s="58"/>
      <c r="FH17" s="58"/>
      <c r="FJ17" s="66">
        <v>15.6</v>
      </c>
      <c r="GB17" s="58"/>
      <c r="GC17" s="58"/>
      <c r="GE17" s="66">
        <v>15.6</v>
      </c>
      <c r="GW17" s="58"/>
      <c r="GX17" s="58"/>
      <c r="GZ17" s="66">
        <v>15.6</v>
      </c>
      <c r="HR17" s="58"/>
      <c r="HS17" s="58"/>
      <c r="HU17" s="66">
        <v>15.6</v>
      </c>
      <c r="IM17" s="58"/>
      <c r="IN17" s="58"/>
      <c r="IP17" s="66">
        <v>15.6</v>
      </c>
      <c r="JH17" s="58"/>
      <c r="JI17" s="58"/>
      <c r="JK17" s="66">
        <v>15.6</v>
      </c>
      <c r="KC17" s="58"/>
      <c r="KD17" s="58"/>
      <c r="KF17" s="66">
        <v>15.6</v>
      </c>
      <c r="KX17" s="58"/>
      <c r="KY17" s="58"/>
      <c r="LA17" s="66">
        <v>15.6</v>
      </c>
    </row>
    <row r="18" spans="1:313" x14ac:dyDescent="0.2">
      <c r="B18" s="99" t="s">
        <v>81</v>
      </c>
      <c r="AH18" s="58"/>
      <c r="AI18" s="58"/>
      <c r="AK18" s="113">
        <v>16</v>
      </c>
      <c r="BD18" s="58"/>
      <c r="BE18" s="58"/>
      <c r="BG18" s="115">
        <v>16</v>
      </c>
      <c r="CA18" s="58"/>
      <c r="CB18" s="58"/>
      <c r="CD18" s="115">
        <v>16</v>
      </c>
      <c r="CV18" s="58"/>
      <c r="CW18" s="58"/>
      <c r="CY18" s="115">
        <v>16</v>
      </c>
      <c r="DQ18" s="58"/>
      <c r="DR18" s="58"/>
      <c r="DT18" s="115">
        <v>16</v>
      </c>
      <c r="EL18" s="58"/>
      <c r="EM18" s="58"/>
      <c r="EO18" s="115">
        <v>16</v>
      </c>
      <c r="FG18" s="58"/>
      <c r="FH18" s="58"/>
      <c r="FJ18" s="115">
        <v>16</v>
      </c>
      <c r="GB18" s="58"/>
      <c r="GC18" s="58"/>
      <c r="GE18" s="115">
        <v>16</v>
      </c>
      <c r="GW18" s="58"/>
      <c r="GX18" s="58"/>
      <c r="GZ18" s="115">
        <v>16</v>
      </c>
      <c r="HR18" s="58"/>
      <c r="HS18" s="58"/>
      <c r="HU18" s="115">
        <v>16</v>
      </c>
      <c r="IM18" s="58"/>
      <c r="IN18" s="58"/>
      <c r="IP18" s="115">
        <v>16</v>
      </c>
      <c r="JH18" s="58"/>
      <c r="JI18" s="58"/>
      <c r="JK18" s="115">
        <v>16</v>
      </c>
      <c r="KC18" s="58"/>
      <c r="KD18" s="58"/>
      <c r="KF18" s="115">
        <v>16</v>
      </c>
      <c r="KX18" s="58"/>
      <c r="KY18" s="58"/>
      <c r="LA18" s="115">
        <v>16</v>
      </c>
    </row>
    <row r="19" spans="1:313" x14ac:dyDescent="0.2">
      <c r="A19" s="58"/>
      <c r="B19" s="100" t="s">
        <v>131</v>
      </c>
      <c r="C19" s="57"/>
      <c r="AH19" s="58"/>
      <c r="AI19" s="58"/>
      <c r="AK19" s="114">
        <v>31.2</v>
      </c>
      <c r="BD19" s="58"/>
      <c r="BE19" s="58"/>
      <c r="BG19" s="103">
        <v>31.2</v>
      </c>
      <c r="CA19" s="58"/>
      <c r="CB19" s="58"/>
      <c r="CD19" s="103">
        <v>31.2</v>
      </c>
      <c r="CV19" s="58"/>
      <c r="CW19" s="58"/>
      <c r="CY19" s="103">
        <v>31.2</v>
      </c>
      <c r="DQ19" s="58"/>
      <c r="DR19" s="58"/>
      <c r="DT19" s="103">
        <v>31.2</v>
      </c>
      <c r="EL19" s="58"/>
      <c r="EM19" s="58"/>
      <c r="EO19" s="103">
        <v>31.2</v>
      </c>
      <c r="FG19" s="58"/>
      <c r="FH19" s="58"/>
      <c r="FJ19" s="103">
        <v>31.2</v>
      </c>
      <c r="GB19" s="58"/>
      <c r="GC19" s="58"/>
      <c r="GE19" s="103">
        <v>31.2</v>
      </c>
      <c r="GW19" s="58"/>
      <c r="GX19" s="58"/>
      <c r="GZ19" s="103">
        <v>31.2</v>
      </c>
      <c r="HR19" s="58"/>
      <c r="HS19" s="58"/>
      <c r="HU19" s="103">
        <v>31.2</v>
      </c>
      <c r="IM19" s="58"/>
      <c r="IN19" s="58"/>
      <c r="IP19" s="103">
        <v>31.2</v>
      </c>
      <c r="JH19" s="58"/>
      <c r="JI19" s="58"/>
      <c r="JK19" s="103">
        <v>31.2</v>
      </c>
      <c r="KC19" s="58"/>
      <c r="KD19" s="58"/>
      <c r="KF19" s="103">
        <v>31.2</v>
      </c>
      <c r="KX19" s="58"/>
      <c r="KY19" s="58"/>
      <c r="LA19" s="103">
        <v>31.2</v>
      </c>
    </row>
    <row r="20" spans="1:313" x14ac:dyDescent="0.2">
      <c r="A20" s="58"/>
      <c r="B20" s="73" t="s">
        <v>79</v>
      </c>
      <c r="C20" s="57"/>
      <c r="AH20" s="58"/>
      <c r="AI20" s="58"/>
      <c r="AK20" s="67">
        <v>69.5</v>
      </c>
      <c r="BD20" s="58"/>
      <c r="BE20" s="58"/>
      <c r="BG20" s="67">
        <v>69.5</v>
      </c>
      <c r="CA20" s="58"/>
      <c r="CB20" s="58"/>
      <c r="CD20" s="67">
        <v>69.5</v>
      </c>
      <c r="CV20" s="58"/>
      <c r="CW20" s="58"/>
      <c r="CY20" s="67">
        <v>69.5</v>
      </c>
      <c r="DQ20" s="58"/>
      <c r="DR20" s="58"/>
      <c r="DT20" s="67">
        <v>69.5</v>
      </c>
      <c r="EL20" s="58"/>
      <c r="EM20" s="58"/>
      <c r="EO20" s="67">
        <v>69.5</v>
      </c>
      <c r="FG20" s="58"/>
      <c r="FH20" s="58"/>
      <c r="FJ20" s="67">
        <v>69.5</v>
      </c>
      <c r="GB20" s="58"/>
      <c r="GC20" s="58"/>
      <c r="GE20" s="67">
        <v>69.5</v>
      </c>
      <c r="GW20" s="58"/>
      <c r="GX20" s="58"/>
      <c r="GZ20" s="67">
        <v>69.5</v>
      </c>
      <c r="HR20" s="58"/>
      <c r="HS20" s="58"/>
      <c r="HU20" s="67">
        <v>69.5</v>
      </c>
      <c r="IM20" s="58"/>
      <c r="IN20" s="58"/>
      <c r="IP20" s="67">
        <v>69.5</v>
      </c>
      <c r="JH20" s="58"/>
      <c r="JI20" s="58"/>
      <c r="JK20" s="67">
        <v>69.5</v>
      </c>
      <c r="KC20" s="58"/>
      <c r="KD20" s="58"/>
      <c r="KF20" s="67">
        <v>69.5</v>
      </c>
      <c r="KX20" s="58"/>
      <c r="KY20" s="58"/>
      <c r="LA20" s="67">
        <v>69.5</v>
      </c>
    </row>
    <row r="21" spans="1:313" x14ac:dyDescent="0.2">
      <c r="A21" s="58"/>
      <c r="B21" s="74" t="s">
        <v>80</v>
      </c>
      <c r="C21" s="57"/>
      <c r="AH21" s="58"/>
      <c r="AI21" s="58"/>
      <c r="AK21" s="68">
        <v>71</v>
      </c>
      <c r="BD21" s="58"/>
      <c r="BE21" s="58"/>
      <c r="BG21" s="68">
        <v>71</v>
      </c>
      <c r="CA21" s="58"/>
      <c r="CB21" s="58"/>
      <c r="CD21" s="68">
        <v>71</v>
      </c>
      <c r="CV21" s="58"/>
      <c r="CW21" s="58"/>
      <c r="CY21" s="68">
        <v>71</v>
      </c>
      <c r="DQ21" s="58"/>
      <c r="DR21" s="58"/>
      <c r="DT21" s="68">
        <v>71</v>
      </c>
      <c r="EL21" s="58"/>
      <c r="EM21" s="58"/>
      <c r="EO21" s="68">
        <v>71</v>
      </c>
      <c r="FG21" s="58"/>
      <c r="FH21" s="58"/>
      <c r="FJ21" s="68">
        <v>71</v>
      </c>
      <c r="GB21" s="58"/>
      <c r="GC21" s="58"/>
      <c r="GE21" s="68">
        <v>71</v>
      </c>
      <c r="GW21" s="58"/>
      <c r="GX21" s="58"/>
      <c r="GZ21" s="68">
        <v>71</v>
      </c>
      <c r="HR21" s="58"/>
      <c r="HS21" s="58"/>
      <c r="HU21" s="68">
        <v>71</v>
      </c>
      <c r="IM21" s="58"/>
      <c r="IN21" s="58"/>
      <c r="IP21" s="68">
        <v>71</v>
      </c>
      <c r="JH21" s="58"/>
      <c r="JI21" s="58"/>
      <c r="JK21" s="68">
        <v>71</v>
      </c>
      <c r="KC21" s="58"/>
      <c r="KD21" s="58"/>
      <c r="KF21" s="68">
        <v>71</v>
      </c>
      <c r="KX21" s="58"/>
      <c r="KY21" s="58"/>
      <c r="LA21" s="68">
        <v>71</v>
      </c>
    </row>
    <row r="22" spans="1:313" x14ac:dyDescent="0.2">
      <c r="A22" s="58"/>
      <c r="B22" s="75" t="s">
        <v>124</v>
      </c>
      <c r="C22" s="57"/>
      <c r="AH22" s="58"/>
      <c r="AI22" s="58"/>
      <c r="AK22" s="69">
        <v>143</v>
      </c>
      <c r="BD22" s="58"/>
      <c r="BE22" s="58"/>
      <c r="BG22" s="69">
        <v>143</v>
      </c>
      <c r="CA22" s="58"/>
      <c r="CB22" s="58"/>
      <c r="CD22" s="69">
        <v>143</v>
      </c>
      <c r="CV22" s="58"/>
      <c r="CW22" s="58"/>
      <c r="CY22" s="69">
        <v>143</v>
      </c>
      <c r="DQ22" s="58"/>
      <c r="DR22" s="58"/>
      <c r="DT22" s="69">
        <v>143</v>
      </c>
      <c r="EL22" s="58"/>
      <c r="EM22" s="58"/>
      <c r="EO22" s="69">
        <v>143</v>
      </c>
      <c r="FG22" s="58"/>
      <c r="FH22" s="58"/>
      <c r="FJ22" s="69">
        <v>143</v>
      </c>
      <c r="GB22" s="58"/>
      <c r="GC22" s="58"/>
      <c r="GE22" s="69">
        <v>143</v>
      </c>
      <c r="GW22" s="58"/>
      <c r="GX22" s="58"/>
      <c r="GZ22" s="69">
        <v>143</v>
      </c>
      <c r="HR22" s="58"/>
      <c r="HS22" s="58"/>
      <c r="HU22" s="69">
        <v>143</v>
      </c>
      <c r="IM22" s="58"/>
      <c r="IN22" s="58"/>
      <c r="IP22" s="69">
        <v>143</v>
      </c>
      <c r="JH22" s="58"/>
      <c r="JI22" s="58"/>
      <c r="JK22" s="69">
        <v>143</v>
      </c>
      <c r="KC22" s="58"/>
      <c r="KD22" s="58"/>
      <c r="KF22" s="69">
        <v>143</v>
      </c>
      <c r="KX22" s="58"/>
      <c r="KY22" s="58"/>
      <c r="LA22" s="69">
        <v>143</v>
      </c>
    </row>
    <row r="23" spans="1:313" x14ac:dyDescent="0.2">
      <c r="A23" s="58"/>
      <c r="B23" s="76" t="s">
        <v>61</v>
      </c>
      <c r="C23" s="57"/>
      <c r="AH23" s="58"/>
      <c r="AI23" s="58"/>
      <c r="AK23" s="70">
        <v>145</v>
      </c>
      <c r="BD23" s="58"/>
      <c r="BE23" s="58"/>
      <c r="BG23" s="70">
        <v>145</v>
      </c>
      <c r="CA23" s="58"/>
      <c r="CB23" s="58"/>
      <c r="CD23" s="70">
        <v>145</v>
      </c>
      <c r="CV23" s="58"/>
      <c r="CW23" s="58"/>
      <c r="CY23" s="70">
        <v>145</v>
      </c>
      <c r="DQ23" s="58"/>
      <c r="DR23" s="58"/>
      <c r="DT23" s="70">
        <v>145</v>
      </c>
      <c r="EL23" s="58"/>
      <c r="EM23" s="58"/>
      <c r="EO23" s="70">
        <v>145</v>
      </c>
      <c r="FG23" s="58"/>
      <c r="FH23" s="58"/>
      <c r="FJ23" s="70">
        <v>145</v>
      </c>
      <c r="GB23" s="58"/>
      <c r="GC23" s="58"/>
      <c r="GE23" s="70">
        <v>145</v>
      </c>
      <c r="GW23" s="58"/>
      <c r="GX23" s="58"/>
      <c r="GZ23" s="70">
        <v>145</v>
      </c>
      <c r="HR23" s="58"/>
      <c r="HS23" s="58"/>
      <c r="HU23" s="70">
        <v>145</v>
      </c>
      <c r="IM23" s="58"/>
      <c r="IN23" s="58"/>
      <c r="IP23" s="70">
        <v>145</v>
      </c>
      <c r="JH23" s="58"/>
      <c r="JI23" s="58"/>
      <c r="JK23" s="70">
        <v>145</v>
      </c>
      <c r="KC23" s="58"/>
      <c r="KD23" s="58"/>
      <c r="KF23" s="70">
        <v>145</v>
      </c>
      <c r="KX23" s="58"/>
      <c r="KY23" s="58"/>
      <c r="LA23" s="70">
        <v>145</v>
      </c>
    </row>
    <row r="24" spans="1:313" x14ac:dyDescent="0.2">
      <c r="B24" s="84" t="s">
        <v>97</v>
      </c>
      <c r="C24" s="3"/>
      <c r="CC24" s="7"/>
      <c r="JJ24" s="7"/>
    </row>
    <row r="25" spans="1:313" x14ac:dyDescent="0.2">
      <c r="A25" s="58"/>
      <c r="B25" s="58"/>
      <c r="C25" s="57"/>
    </row>
    <row r="26" spans="1:313" x14ac:dyDescent="0.2">
      <c r="A26" s="58"/>
      <c r="B26" s="58"/>
      <c r="C26" s="57"/>
    </row>
    <row r="27" spans="1:313" x14ac:dyDescent="0.2">
      <c r="A27" s="58"/>
      <c r="B27" s="58"/>
      <c r="C27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4">
      <sortCondition descending="1" ref="F1:F15"/>
    </sortState>
  </autoFilter>
  <mergeCells count="92"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LC1:LX1"/>
    <mergeCell ref="LC2:LF2"/>
    <mergeCell ref="LG2:LJ2"/>
    <mergeCell ref="LK2:LN2"/>
    <mergeCell ref="LO2:LR2"/>
  </mergeCells>
  <conditionalFormatting sqref="A1:A1048576">
    <cfRule type="expression" dxfId="52" priority="189">
      <formula>AND(H1="P",F1="")</formula>
    </cfRule>
  </conditionalFormatting>
  <conditionalFormatting sqref="I15:I1048576">
    <cfRule type="containsText" dxfId="51" priority="190" operator="containsText" text="Merit">
      <formula>NOT(ISERROR(SEARCH("Merit",I15)))</formula>
    </cfRule>
    <cfRule type="containsText" dxfId="50" priority="191" operator="containsText" text="Excellence">
      <formula>NOT(ISERROR(SEARCH("Excellence",I15)))</formula>
    </cfRule>
    <cfRule type="containsText" dxfId="49" priority="192" operator="containsText" text="Worlds Team">
      <formula>NOT(ISERROR(SEARCH("Worlds Team",I15)))</formula>
    </cfRule>
    <cfRule type="containsText" dxfId="48" priority="821" operator="containsText" text="National Team">
      <formula>NOT(ISERROR(SEARCH("National Team",I15)))</formula>
    </cfRule>
  </conditionalFormatting>
  <conditionalFormatting sqref="K1:K1048576 M1:M1048576">
    <cfRule type="expression" dxfId="47" priority="8865">
      <formula>IF(K1=$AM$1,1,0)</formula>
    </cfRule>
    <cfRule type="expression" dxfId="46" priority="8866">
      <formula>IF(K1=$Q$1,1,0)</formula>
    </cfRule>
  </conditionalFormatting>
  <conditionalFormatting sqref="AM4:BH14">
    <cfRule type="expression" dxfId="45" priority="8867">
      <formula>IF($BC4&lt;&gt;"",1,0)</formula>
    </cfRule>
  </conditionalFormatting>
  <conditionalFormatting sqref="Q4:AL14">
    <cfRule type="expression" dxfId="44" priority="122">
      <formula>IF($AG4&lt;&gt;"",1,0)</formula>
    </cfRule>
  </conditionalFormatting>
  <conditionalFormatting sqref="I1:I1048576">
    <cfRule type="containsText" dxfId="43" priority="11" operator="containsText" text="No DD">
      <formula>NOT(ISERROR(SEARCH("No DD",I1)))</formula>
    </cfRule>
    <cfRule type="containsText" dxfId="42" priority="12" operator="containsText" text="Merit">
      <formula>NOT(ISERROR(SEARCH("Merit",I1)))</formula>
    </cfRule>
    <cfRule type="containsText" dxfId="41" priority="13" operator="containsText" text="Excellence">
      <formula>NOT(ISERROR(SEARCH("Excellence",I1)))</formula>
    </cfRule>
    <cfRule type="containsText" dxfId="40" priority="14" operator="containsText" text="Worlds Team">
      <formula>NOT(ISERROR(SEARCH("Worlds Team",I1)))</formula>
    </cfRule>
    <cfRule type="containsText" dxfId="39" priority="1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3" priority="22264">
      <formula>IF(AND(CC1&gt;=CD$21,CC1&lt;CD$22),1,0)</formula>
    </cfRule>
    <cfRule type="expression" dxfId="12" priority="22265">
      <formula>IF(AND(CC1&gt;=CD$20,CC1&lt;CD$21),1,0)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22349">
      <formula>IF(AND(CE1&gt;=CD$23,CE1&lt;1000),1,0)</formula>
    </cfRule>
    <cfRule type="expression" dxfId="10" priority="22350">
      <formula>IF(AND(CE1&gt;=CD$22,CE1&lt;CD$23),1,0)</formula>
    </cfRule>
  </conditionalFormatting>
  <conditionalFormatting sqref="AH1:AH1048576 BD1:BD1048576">
    <cfRule type="expression" dxfId="9" priority="22422">
      <formula>IF(AND(AH1&gt;=AK$18,AH1&lt;1000,AG1=""),1,0)</formula>
    </cfRule>
    <cfRule type="expression" dxfId="8" priority="22423">
      <formula>IF(AND(AH1&gt;=AK$17,AH1&lt;AK$18,AG1=""),1,0)</formula>
    </cfRule>
  </conditionalFormatting>
  <conditionalFormatting sqref="BF1:BF1048576 AJ1:AJ1048576">
    <cfRule type="expression" dxfId="7" priority="22434">
      <formula>IF(AND(AJ1&gt;=AK$21,AJ1&lt;AK$22,AG1=""),1,0)</formula>
    </cfRule>
    <cfRule type="expression" dxfId="6" priority="22435">
      <formula>IF(AND(AJ1&gt;=AK$20,AJ1&lt;AK$21,AG1=""),1,0)</formula>
    </cfRule>
  </conditionalFormatting>
  <conditionalFormatting sqref="BH1:BH1048576 AL1:AL1048576">
    <cfRule type="expression" dxfId="5" priority="22446">
      <formula>IF(AND(AL1&gt;=AK$23,AL1&lt;1000,AG1=""),1,0)</formula>
    </cfRule>
    <cfRule type="expression" dxfId="4" priority="22447">
      <formula>IF(AND(AL1&gt;=AK$22,AL1&lt;AK$23,AG1=""),1,0)</formula>
    </cfRule>
  </conditionalFormatting>
  <conditionalFormatting sqref="AI1:AI1048576 BE1:BE1048576">
    <cfRule type="expression" dxfId="3" priority="22458">
      <formula>IF(AND(AI1&gt;=AK$19,AI1&lt;1000,AG1=""),1,0)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2" priority="22464">
      <formula>IF(AND(CA1&gt;=CD$18,CA1&lt;1000),1,0)</formula>
    </cfRule>
    <cfRule type="expression" dxfId="1" priority="22465">
      <formula>IF(AND(CA1&gt;=CD$17,CA1&lt;CD$18),1,0)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0" priority="22545">
      <formula>IF(AND(CB1&gt;=CD$19,CB1&lt;1000),1,0)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336" width="10.83203125" hidden="1" customWidth="1"/>
  </cols>
  <sheetData>
    <row r="1" spans="1:336" ht="16" customHeight="1" x14ac:dyDescent="0.2">
      <c r="A1" s="124" t="s">
        <v>1</v>
      </c>
      <c r="B1" s="124" t="s">
        <v>41</v>
      </c>
      <c r="C1" s="124" t="s">
        <v>0</v>
      </c>
      <c r="D1" s="124" t="s">
        <v>98</v>
      </c>
      <c r="E1" s="124" t="s">
        <v>2</v>
      </c>
      <c r="F1" s="130" t="s">
        <v>122</v>
      </c>
      <c r="G1" s="130" t="s">
        <v>123</v>
      </c>
      <c r="H1" s="130" t="s">
        <v>15</v>
      </c>
      <c r="I1" s="124" t="s">
        <v>16</v>
      </c>
      <c r="J1" s="136" t="s">
        <v>126</v>
      </c>
      <c r="K1" s="126" t="s">
        <v>59</v>
      </c>
      <c r="L1" s="136" t="s">
        <v>125</v>
      </c>
      <c r="M1" s="126" t="s">
        <v>59</v>
      </c>
      <c r="N1" s="127" t="s">
        <v>21</v>
      </c>
      <c r="O1" s="126" t="s">
        <v>60</v>
      </c>
      <c r="P1" s="126" t="s">
        <v>59</v>
      </c>
      <c r="Q1" s="120" t="s">
        <v>138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3" t="s">
        <v>156</v>
      </c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8" t="s">
        <v>121</v>
      </c>
      <c r="BJ1" s="128"/>
      <c r="BK1" s="134" t="s">
        <v>155</v>
      </c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5" t="s">
        <v>181</v>
      </c>
      <c r="CG1" s="135"/>
      <c r="CH1" s="135"/>
      <c r="CI1" s="135"/>
      <c r="CJ1" s="135"/>
      <c r="CK1" s="135"/>
      <c r="CL1" s="135"/>
      <c r="CM1" s="135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4" t="s">
        <v>187</v>
      </c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5" t="s">
        <v>192</v>
      </c>
      <c r="DW1" s="135"/>
      <c r="DX1" s="135"/>
      <c r="DY1" s="135"/>
      <c r="DZ1" s="135"/>
      <c r="EA1" s="135"/>
      <c r="EB1" s="135"/>
      <c r="EC1" s="135"/>
      <c r="ED1" s="135"/>
      <c r="EE1" s="135"/>
      <c r="EF1" s="135"/>
      <c r="EG1" s="135"/>
      <c r="EH1" s="135"/>
      <c r="EI1" s="135"/>
      <c r="EJ1" s="135"/>
      <c r="EK1" s="135"/>
      <c r="EL1" s="135"/>
      <c r="EM1" s="135"/>
      <c r="EN1" s="135"/>
      <c r="EO1" s="135"/>
      <c r="EP1" s="135"/>
      <c r="EQ1" s="134"/>
      <c r="ER1" s="134"/>
      <c r="ES1" s="134"/>
      <c r="ET1" s="134"/>
      <c r="EU1" s="134"/>
      <c r="EV1" s="134"/>
      <c r="EW1" s="134"/>
      <c r="EX1" s="134"/>
      <c r="EY1" s="134"/>
      <c r="EZ1" s="134"/>
      <c r="FA1" s="134"/>
      <c r="FB1" s="134"/>
      <c r="FC1" s="134"/>
      <c r="FD1" s="134"/>
      <c r="FE1" s="134"/>
      <c r="FF1" s="134"/>
      <c r="FG1" s="134"/>
      <c r="FH1" s="134"/>
      <c r="FI1" s="134"/>
      <c r="FJ1" s="134"/>
      <c r="FK1" s="134"/>
      <c r="FL1" s="135"/>
      <c r="FM1" s="135"/>
      <c r="FN1" s="135"/>
      <c r="FO1" s="135"/>
      <c r="FP1" s="135"/>
      <c r="FQ1" s="135"/>
      <c r="FR1" s="135"/>
      <c r="FS1" s="135"/>
      <c r="FT1" s="135"/>
      <c r="FU1" s="135"/>
      <c r="FV1" s="135"/>
      <c r="FW1" s="135"/>
      <c r="FX1" s="135"/>
      <c r="FY1" s="135"/>
      <c r="FZ1" s="135"/>
      <c r="GA1" s="135"/>
      <c r="GB1" s="135"/>
      <c r="GC1" s="135"/>
      <c r="GD1" s="135"/>
      <c r="GE1" s="135"/>
      <c r="GF1" s="135"/>
      <c r="GG1" s="134"/>
      <c r="GH1" s="134"/>
      <c r="GI1" s="134"/>
      <c r="GJ1" s="134"/>
      <c r="GK1" s="134"/>
      <c r="GL1" s="134"/>
      <c r="GM1" s="134"/>
      <c r="GN1" s="134"/>
      <c r="GO1" s="134"/>
      <c r="GP1" s="134"/>
      <c r="GQ1" s="134"/>
      <c r="GR1" s="134"/>
      <c r="GS1" s="134"/>
      <c r="GT1" s="134"/>
      <c r="GU1" s="134"/>
      <c r="GV1" s="134"/>
      <c r="GW1" s="134"/>
      <c r="GX1" s="134"/>
      <c r="GY1" s="134"/>
      <c r="GZ1" s="134"/>
      <c r="HA1" s="134"/>
      <c r="HB1" s="135"/>
      <c r="HC1" s="135"/>
      <c r="HD1" s="135"/>
      <c r="HE1" s="135"/>
      <c r="HF1" s="135"/>
      <c r="HG1" s="135"/>
      <c r="HH1" s="135"/>
      <c r="HI1" s="135"/>
      <c r="HJ1" s="135"/>
      <c r="HK1" s="135"/>
      <c r="HL1" s="135"/>
      <c r="HM1" s="135"/>
      <c r="HN1" s="135"/>
      <c r="HO1" s="135"/>
      <c r="HP1" s="135"/>
      <c r="HQ1" s="135"/>
      <c r="HR1" s="135"/>
      <c r="HS1" s="135"/>
      <c r="HT1" s="135"/>
      <c r="HU1" s="135"/>
      <c r="HV1" s="135"/>
      <c r="HW1" s="134"/>
      <c r="HX1" s="134"/>
      <c r="HY1" s="134"/>
      <c r="HZ1" s="134"/>
      <c r="IA1" s="134"/>
      <c r="IB1" s="134"/>
      <c r="IC1" s="134"/>
      <c r="ID1" s="134"/>
      <c r="IE1" s="134"/>
      <c r="IF1" s="134"/>
      <c r="IG1" s="134"/>
      <c r="IH1" s="134"/>
      <c r="II1" s="134"/>
      <c r="IJ1" s="134"/>
      <c r="IK1" s="134"/>
      <c r="IL1" s="134"/>
      <c r="IM1" s="134"/>
      <c r="IN1" s="134"/>
      <c r="IO1" s="134"/>
      <c r="IP1" s="134"/>
      <c r="IQ1" s="134"/>
      <c r="IR1" s="135"/>
      <c r="IS1" s="135"/>
      <c r="IT1" s="135"/>
      <c r="IU1" s="135"/>
      <c r="IV1" s="135"/>
      <c r="IW1" s="135"/>
      <c r="IX1" s="135"/>
      <c r="IY1" s="135"/>
      <c r="IZ1" s="135"/>
      <c r="JA1" s="135"/>
      <c r="JB1" s="135"/>
      <c r="JC1" s="135"/>
      <c r="JD1" s="135"/>
      <c r="JE1" s="135"/>
      <c r="JF1" s="135"/>
      <c r="JG1" s="135"/>
      <c r="JH1" s="135"/>
      <c r="JI1" s="135"/>
      <c r="JJ1" s="135"/>
      <c r="JK1" s="135"/>
      <c r="JL1" s="135"/>
      <c r="JM1" s="134"/>
      <c r="JN1" s="134"/>
      <c r="JO1" s="134"/>
      <c r="JP1" s="134"/>
      <c r="JQ1" s="134"/>
      <c r="JR1" s="134"/>
      <c r="JS1" s="134"/>
      <c r="JT1" s="134"/>
      <c r="JU1" s="134"/>
      <c r="JV1" s="134"/>
      <c r="JW1" s="134"/>
      <c r="JX1" s="134"/>
      <c r="JY1" s="134"/>
      <c r="JZ1" s="134"/>
      <c r="KA1" s="134"/>
      <c r="KB1" s="134"/>
      <c r="KC1" s="134"/>
      <c r="KD1" s="134"/>
      <c r="KE1" s="134"/>
      <c r="KF1" s="134"/>
      <c r="KG1" s="134"/>
      <c r="KH1" s="135"/>
      <c r="KI1" s="135"/>
      <c r="KJ1" s="135"/>
      <c r="KK1" s="135"/>
      <c r="KL1" s="135"/>
      <c r="KM1" s="135"/>
      <c r="KN1" s="135"/>
      <c r="KO1" s="135"/>
      <c r="KP1" s="135"/>
      <c r="KQ1" s="135"/>
      <c r="KR1" s="135"/>
      <c r="KS1" s="135"/>
      <c r="KT1" s="135"/>
      <c r="KU1" s="135"/>
      <c r="KV1" s="135"/>
      <c r="KW1" s="135"/>
      <c r="KX1" s="135"/>
      <c r="KY1" s="135"/>
      <c r="KZ1" s="135"/>
      <c r="LA1" s="135"/>
      <c r="LB1" s="135"/>
      <c r="LC1" s="120" t="s">
        <v>133</v>
      </c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</row>
    <row r="2" spans="1:336" x14ac:dyDescent="0.2">
      <c r="A2" s="124"/>
      <c r="B2" s="124"/>
      <c r="C2" s="124"/>
      <c r="D2" s="124"/>
      <c r="E2" s="124"/>
      <c r="F2" s="130"/>
      <c r="G2" s="130"/>
      <c r="H2" s="130"/>
      <c r="I2" s="124"/>
      <c r="J2" s="136"/>
      <c r="K2" s="126"/>
      <c r="L2" s="136"/>
      <c r="M2" s="126"/>
      <c r="N2" s="127"/>
      <c r="O2" s="126"/>
      <c r="P2" s="126"/>
      <c r="Q2" s="121" t="s">
        <v>44</v>
      </c>
      <c r="R2" s="121"/>
      <c r="S2" s="121"/>
      <c r="T2" s="121"/>
      <c r="U2" s="121" t="s">
        <v>47</v>
      </c>
      <c r="V2" s="121"/>
      <c r="W2" s="121"/>
      <c r="X2" s="121"/>
      <c r="Y2" s="121" t="s">
        <v>48</v>
      </c>
      <c r="Z2" s="121"/>
      <c r="AA2" s="121"/>
      <c r="AB2" s="121"/>
      <c r="AC2" s="129" t="s">
        <v>49</v>
      </c>
      <c r="AD2" s="129"/>
      <c r="AE2" s="129"/>
      <c r="AF2" s="129"/>
      <c r="AG2" s="92"/>
      <c r="AH2" s="95" t="s">
        <v>32</v>
      </c>
      <c r="AI2" s="95" t="s">
        <v>132</v>
      </c>
      <c r="AJ2" s="10" t="s">
        <v>31</v>
      </c>
      <c r="AK2" s="10" t="s">
        <v>30</v>
      </c>
      <c r="AL2" s="10" t="s">
        <v>25</v>
      </c>
      <c r="AM2" s="122" t="s">
        <v>44</v>
      </c>
      <c r="AN2" s="122"/>
      <c r="AO2" s="122"/>
      <c r="AP2" s="122"/>
      <c r="AQ2" s="122" t="s">
        <v>47</v>
      </c>
      <c r="AR2" s="122"/>
      <c r="AS2" s="122"/>
      <c r="AT2" s="122"/>
      <c r="AU2" s="122" t="s">
        <v>48</v>
      </c>
      <c r="AV2" s="122"/>
      <c r="AW2" s="122"/>
      <c r="AX2" s="122"/>
      <c r="AY2" s="133" t="s">
        <v>49</v>
      </c>
      <c r="AZ2" s="133"/>
      <c r="BA2" s="133"/>
      <c r="BB2" s="133"/>
      <c r="BC2" s="91"/>
      <c r="BD2" s="96" t="s">
        <v>32</v>
      </c>
      <c r="BE2" s="96" t="s">
        <v>132</v>
      </c>
      <c r="BF2" s="13" t="s">
        <v>31</v>
      </c>
      <c r="BG2" s="13" t="s">
        <v>30</v>
      </c>
      <c r="BH2" s="13" t="s">
        <v>25</v>
      </c>
      <c r="BI2" s="24" t="s">
        <v>128</v>
      </c>
      <c r="BJ2" s="24" t="s">
        <v>127</v>
      </c>
      <c r="BK2" s="121" t="s">
        <v>44</v>
      </c>
      <c r="BL2" s="121"/>
      <c r="BM2" s="121"/>
      <c r="BN2" s="121"/>
      <c r="BO2" s="121" t="s">
        <v>47</v>
      </c>
      <c r="BP2" s="121"/>
      <c r="BQ2" s="121"/>
      <c r="BR2" s="121"/>
      <c r="BS2" s="121" t="s">
        <v>48</v>
      </c>
      <c r="BT2" s="121"/>
      <c r="BU2" s="121"/>
      <c r="BV2" s="121"/>
      <c r="BW2" s="129" t="s">
        <v>49</v>
      </c>
      <c r="BX2" s="129"/>
      <c r="BY2" s="129"/>
      <c r="BZ2" s="129"/>
      <c r="CA2" s="95" t="s">
        <v>32</v>
      </c>
      <c r="CB2" s="95" t="s">
        <v>132</v>
      </c>
      <c r="CC2" s="10" t="s">
        <v>31</v>
      </c>
      <c r="CD2" s="10" t="s">
        <v>30</v>
      </c>
      <c r="CE2" s="10" t="s">
        <v>25</v>
      </c>
      <c r="CF2" s="133" t="s">
        <v>44</v>
      </c>
      <c r="CG2" s="133"/>
      <c r="CH2" s="133"/>
      <c r="CI2" s="133"/>
      <c r="CJ2" s="133" t="s">
        <v>47</v>
      </c>
      <c r="CK2" s="133"/>
      <c r="CL2" s="133"/>
      <c r="CM2" s="133"/>
      <c r="CN2" s="133" t="s">
        <v>48</v>
      </c>
      <c r="CO2" s="133"/>
      <c r="CP2" s="133"/>
      <c r="CQ2" s="133"/>
      <c r="CR2" s="133" t="s">
        <v>49</v>
      </c>
      <c r="CS2" s="133"/>
      <c r="CT2" s="133"/>
      <c r="CU2" s="133"/>
      <c r="CV2" s="96" t="s">
        <v>32</v>
      </c>
      <c r="CW2" s="96" t="s">
        <v>132</v>
      </c>
      <c r="CX2" s="17" t="s">
        <v>31</v>
      </c>
      <c r="CY2" s="17" t="s">
        <v>30</v>
      </c>
      <c r="CZ2" s="17" t="s">
        <v>25</v>
      </c>
      <c r="DA2" s="129" t="s">
        <v>44</v>
      </c>
      <c r="DB2" s="129"/>
      <c r="DC2" s="129"/>
      <c r="DD2" s="129"/>
      <c r="DE2" s="129" t="s">
        <v>47</v>
      </c>
      <c r="DF2" s="129"/>
      <c r="DG2" s="129"/>
      <c r="DH2" s="129"/>
      <c r="DI2" s="129" t="s">
        <v>48</v>
      </c>
      <c r="DJ2" s="129"/>
      <c r="DK2" s="129"/>
      <c r="DL2" s="129"/>
      <c r="DM2" s="129" t="s">
        <v>49</v>
      </c>
      <c r="DN2" s="129"/>
      <c r="DO2" s="129"/>
      <c r="DP2" s="129"/>
      <c r="DQ2" s="95" t="s">
        <v>32</v>
      </c>
      <c r="DR2" s="95" t="s">
        <v>132</v>
      </c>
      <c r="DS2" s="18" t="s">
        <v>31</v>
      </c>
      <c r="DT2" s="18" t="s">
        <v>30</v>
      </c>
      <c r="DU2" s="18" t="s">
        <v>25</v>
      </c>
      <c r="DV2" s="133" t="s">
        <v>44</v>
      </c>
      <c r="DW2" s="133"/>
      <c r="DX2" s="133"/>
      <c r="DY2" s="133"/>
      <c r="DZ2" s="133" t="s">
        <v>47</v>
      </c>
      <c r="EA2" s="133"/>
      <c r="EB2" s="133"/>
      <c r="EC2" s="133"/>
      <c r="ED2" s="133" t="s">
        <v>48</v>
      </c>
      <c r="EE2" s="133"/>
      <c r="EF2" s="133"/>
      <c r="EG2" s="133"/>
      <c r="EH2" s="133" t="s">
        <v>49</v>
      </c>
      <c r="EI2" s="133"/>
      <c r="EJ2" s="133"/>
      <c r="EK2" s="133"/>
      <c r="EL2" s="96" t="s">
        <v>32</v>
      </c>
      <c r="EM2" s="96" t="s">
        <v>132</v>
      </c>
      <c r="EN2" s="17" t="s">
        <v>31</v>
      </c>
      <c r="EO2" s="17" t="s">
        <v>30</v>
      </c>
      <c r="EP2" s="17" t="s">
        <v>25</v>
      </c>
      <c r="EQ2" s="129" t="s">
        <v>44</v>
      </c>
      <c r="ER2" s="129"/>
      <c r="ES2" s="129"/>
      <c r="ET2" s="129"/>
      <c r="EU2" s="129" t="s">
        <v>47</v>
      </c>
      <c r="EV2" s="129"/>
      <c r="EW2" s="129"/>
      <c r="EX2" s="129"/>
      <c r="EY2" s="129" t="s">
        <v>48</v>
      </c>
      <c r="EZ2" s="129"/>
      <c r="FA2" s="129"/>
      <c r="FB2" s="129"/>
      <c r="FC2" s="129" t="s">
        <v>49</v>
      </c>
      <c r="FD2" s="129"/>
      <c r="FE2" s="129"/>
      <c r="FF2" s="129"/>
      <c r="FG2" s="95" t="s">
        <v>32</v>
      </c>
      <c r="FH2" s="95" t="s">
        <v>132</v>
      </c>
      <c r="FI2" s="18" t="s">
        <v>31</v>
      </c>
      <c r="FJ2" s="18" t="s">
        <v>30</v>
      </c>
      <c r="FK2" s="18" t="s">
        <v>25</v>
      </c>
      <c r="FL2" s="133" t="s">
        <v>44</v>
      </c>
      <c r="FM2" s="133"/>
      <c r="FN2" s="133"/>
      <c r="FO2" s="133"/>
      <c r="FP2" s="133" t="s">
        <v>47</v>
      </c>
      <c r="FQ2" s="133"/>
      <c r="FR2" s="133"/>
      <c r="FS2" s="133"/>
      <c r="FT2" s="133" t="s">
        <v>48</v>
      </c>
      <c r="FU2" s="133"/>
      <c r="FV2" s="133"/>
      <c r="FW2" s="133"/>
      <c r="FX2" s="133" t="s">
        <v>49</v>
      </c>
      <c r="FY2" s="133"/>
      <c r="FZ2" s="133"/>
      <c r="GA2" s="133"/>
      <c r="GB2" s="96" t="s">
        <v>32</v>
      </c>
      <c r="GC2" s="96" t="s">
        <v>132</v>
      </c>
      <c r="GD2" s="17" t="s">
        <v>31</v>
      </c>
      <c r="GE2" s="17" t="s">
        <v>30</v>
      </c>
      <c r="GF2" s="17" t="s">
        <v>25</v>
      </c>
      <c r="GG2" s="129" t="s">
        <v>44</v>
      </c>
      <c r="GH2" s="129"/>
      <c r="GI2" s="129"/>
      <c r="GJ2" s="129"/>
      <c r="GK2" s="129" t="s">
        <v>47</v>
      </c>
      <c r="GL2" s="129"/>
      <c r="GM2" s="129"/>
      <c r="GN2" s="129"/>
      <c r="GO2" s="129" t="s">
        <v>48</v>
      </c>
      <c r="GP2" s="129"/>
      <c r="GQ2" s="129"/>
      <c r="GR2" s="129"/>
      <c r="GS2" s="129" t="s">
        <v>49</v>
      </c>
      <c r="GT2" s="129"/>
      <c r="GU2" s="129"/>
      <c r="GV2" s="129"/>
      <c r="GW2" s="95" t="s">
        <v>32</v>
      </c>
      <c r="GX2" s="95" t="s">
        <v>132</v>
      </c>
      <c r="GY2" s="18" t="s">
        <v>31</v>
      </c>
      <c r="GZ2" s="18" t="s">
        <v>30</v>
      </c>
      <c r="HA2" s="18" t="s">
        <v>25</v>
      </c>
      <c r="HB2" s="133" t="s">
        <v>44</v>
      </c>
      <c r="HC2" s="133"/>
      <c r="HD2" s="133"/>
      <c r="HE2" s="133"/>
      <c r="HF2" s="133" t="s">
        <v>47</v>
      </c>
      <c r="HG2" s="133"/>
      <c r="HH2" s="133"/>
      <c r="HI2" s="133"/>
      <c r="HJ2" s="133" t="s">
        <v>48</v>
      </c>
      <c r="HK2" s="133"/>
      <c r="HL2" s="133"/>
      <c r="HM2" s="133"/>
      <c r="HN2" s="133" t="s">
        <v>49</v>
      </c>
      <c r="HO2" s="133"/>
      <c r="HP2" s="133"/>
      <c r="HQ2" s="133"/>
      <c r="HR2" s="96" t="s">
        <v>32</v>
      </c>
      <c r="HS2" s="96" t="s">
        <v>132</v>
      </c>
      <c r="HT2" s="17" t="s">
        <v>31</v>
      </c>
      <c r="HU2" s="17" t="s">
        <v>30</v>
      </c>
      <c r="HV2" s="17" t="s">
        <v>25</v>
      </c>
      <c r="HW2" s="129" t="s">
        <v>44</v>
      </c>
      <c r="HX2" s="129"/>
      <c r="HY2" s="129"/>
      <c r="HZ2" s="129"/>
      <c r="IA2" s="129" t="s">
        <v>47</v>
      </c>
      <c r="IB2" s="129"/>
      <c r="IC2" s="129"/>
      <c r="ID2" s="129"/>
      <c r="IE2" s="129" t="s">
        <v>48</v>
      </c>
      <c r="IF2" s="129"/>
      <c r="IG2" s="129"/>
      <c r="IH2" s="129"/>
      <c r="II2" s="129" t="s">
        <v>49</v>
      </c>
      <c r="IJ2" s="129"/>
      <c r="IK2" s="129"/>
      <c r="IL2" s="129"/>
      <c r="IM2" s="95" t="s">
        <v>32</v>
      </c>
      <c r="IN2" s="95" t="s">
        <v>132</v>
      </c>
      <c r="IO2" s="18" t="s">
        <v>31</v>
      </c>
      <c r="IP2" s="18" t="s">
        <v>30</v>
      </c>
      <c r="IQ2" s="18" t="s">
        <v>25</v>
      </c>
      <c r="IR2" s="133" t="s">
        <v>44</v>
      </c>
      <c r="IS2" s="133"/>
      <c r="IT2" s="133"/>
      <c r="IU2" s="133"/>
      <c r="IV2" s="133" t="s">
        <v>47</v>
      </c>
      <c r="IW2" s="133"/>
      <c r="IX2" s="133"/>
      <c r="IY2" s="133"/>
      <c r="IZ2" s="133" t="s">
        <v>48</v>
      </c>
      <c r="JA2" s="133"/>
      <c r="JB2" s="133"/>
      <c r="JC2" s="133"/>
      <c r="JD2" s="133" t="s">
        <v>49</v>
      </c>
      <c r="JE2" s="133"/>
      <c r="JF2" s="133"/>
      <c r="JG2" s="133"/>
      <c r="JH2" s="96" t="s">
        <v>32</v>
      </c>
      <c r="JI2" s="96" t="s">
        <v>132</v>
      </c>
      <c r="JJ2" s="17" t="s">
        <v>31</v>
      </c>
      <c r="JK2" s="17" t="s">
        <v>30</v>
      </c>
      <c r="JL2" s="17" t="s">
        <v>25</v>
      </c>
      <c r="JM2" s="129" t="s">
        <v>44</v>
      </c>
      <c r="JN2" s="129"/>
      <c r="JO2" s="129"/>
      <c r="JP2" s="129"/>
      <c r="JQ2" s="129" t="s">
        <v>47</v>
      </c>
      <c r="JR2" s="129"/>
      <c r="JS2" s="129"/>
      <c r="JT2" s="129"/>
      <c r="JU2" s="129" t="s">
        <v>48</v>
      </c>
      <c r="JV2" s="129"/>
      <c r="JW2" s="129"/>
      <c r="JX2" s="129"/>
      <c r="JY2" s="129" t="s">
        <v>49</v>
      </c>
      <c r="JZ2" s="129"/>
      <c r="KA2" s="129"/>
      <c r="KB2" s="129"/>
      <c r="KC2" s="95" t="s">
        <v>32</v>
      </c>
      <c r="KD2" s="95" t="s">
        <v>132</v>
      </c>
      <c r="KE2" s="18" t="s">
        <v>31</v>
      </c>
      <c r="KF2" s="18" t="s">
        <v>30</v>
      </c>
      <c r="KG2" s="18" t="s">
        <v>25</v>
      </c>
      <c r="KH2" s="133" t="s">
        <v>44</v>
      </c>
      <c r="KI2" s="133"/>
      <c r="KJ2" s="133"/>
      <c r="KK2" s="133"/>
      <c r="KL2" s="133" t="s">
        <v>47</v>
      </c>
      <c r="KM2" s="133"/>
      <c r="KN2" s="133"/>
      <c r="KO2" s="133"/>
      <c r="KP2" s="133" t="s">
        <v>48</v>
      </c>
      <c r="KQ2" s="133"/>
      <c r="KR2" s="133"/>
      <c r="KS2" s="133"/>
      <c r="KT2" s="133" t="s">
        <v>49</v>
      </c>
      <c r="KU2" s="133"/>
      <c r="KV2" s="133"/>
      <c r="KW2" s="133"/>
      <c r="KX2" s="96" t="s">
        <v>32</v>
      </c>
      <c r="KY2" s="96" t="s">
        <v>132</v>
      </c>
      <c r="KZ2" s="17" t="s">
        <v>31</v>
      </c>
      <c r="LA2" s="17" t="s">
        <v>30</v>
      </c>
      <c r="LB2" s="17" t="s">
        <v>25</v>
      </c>
      <c r="LC2" s="121" t="s">
        <v>44</v>
      </c>
      <c r="LD2" s="121"/>
      <c r="LE2" s="121"/>
      <c r="LF2" s="121"/>
      <c r="LG2" s="121" t="s">
        <v>47</v>
      </c>
      <c r="LH2" s="121"/>
      <c r="LI2" s="121"/>
      <c r="LJ2" s="121"/>
      <c r="LK2" s="121" t="s">
        <v>48</v>
      </c>
      <c r="LL2" s="121"/>
      <c r="LM2" s="121"/>
      <c r="LN2" s="121"/>
      <c r="LO2" s="129" t="s">
        <v>49</v>
      </c>
      <c r="LP2" s="129"/>
      <c r="LQ2" s="129"/>
      <c r="LR2" s="129"/>
      <c r="LS2" s="111"/>
      <c r="LT2" s="111" t="s">
        <v>32</v>
      </c>
      <c r="LU2" s="111" t="s">
        <v>132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4"/>
      <c r="B3" s="124"/>
      <c r="C3" s="124"/>
      <c r="D3" s="124"/>
      <c r="E3" s="124"/>
      <c r="F3" s="130"/>
      <c r="G3" s="130"/>
      <c r="H3" s="130"/>
      <c r="I3" s="124"/>
      <c r="J3" s="136"/>
      <c r="K3" s="126"/>
      <c r="L3" s="136"/>
      <c r="M3" s="126"/>
      <c r="N3" s="127"/>
      <c r="O3" s="126"/>
      <c r="P3" s="126"/>
      <c r="Q3" s="92" t="s">
        <v>22</v>
      </c>
      <c r="R3" s="92" t="s">
        <v>14</v>
      </c>
      <c r="S3" s="92" t="s">
        <v>45</v>
      </c>
      <c r="T3" s="92" t="s">
        <v>46</v>
      </c>
      <c r="U3" s="92" t="s">
        <v>22</v>
      </c>
      <c r="V3" s="92" t="s">
        <v>14</v>
      </c>
      <c r="W3" s="92" t="s">
        <v>45</v>
      </c>
      <c r="X3" s="92" t="s">
        <v>46</v>
      </c>
      <c r="Y3" s="92" t="s">
        <v>22</v>
      </c>
      <c r="Z3" s="92" t="s">
        <v>14</v>
      </c>
      <c r="AA3" s="92" t="s">
        <v>45</v>
      </c>
      <c r="AB3" s="92" t="s">
        <v>46</v>
      </c>
      <c r="AC3" s="93" t="s">
        <v>22</v>
      </c>
      <c r="AD3" s="93" t="s">
        <v>14</v>
      </c>
      <c r="AE3" s="93" t="s">
        <v>45</v>
      </c>
      <c r="AF3" s="93" t="s">
        <v>46</v>
      </c>
      <c r="AG3" s="92" t="s">
        <v>95</v>
      </c>
      <c r="AH3" s="11"/>
      <c r="AI3" s="11"/>
      <c r="AJ3" s="10"/>
      <c r="AK3" s="11"/>
      <c r="AL3" s="11"/>
      <c r="AM3" s="91" t="s">
        <v>22</v>
      </c>
      <c r="AN3" s="91" t="s">
        <v>14</v>
      </c>
      <c r="AO3" s="91" t="s">
        <v>45</v>
      </c>
      <c r="AP3" s="91" t="s">
        <v>46</v>
      </c>
      <c r="AQ3" s="91" t="s">
        <v>22</v>
      </c>
      <c r="AR3" s="91" t="s">
        <v>14</v>
      </c>
      <c r="AS3" s="91" t="s">
        <v>45</v>
      </c>
      <c r="AT3" s="91" t="s">
        <v>46</v>
      </c>
      <c r="AU3" s="91" t="s">
        <v>22</v>
      </c>
      <c r="AV3" s="91" t="s">
        <v>14</v>
      </c>
      <c r="AW3" s="91" t="s">
        <v>45</v>
      </c>
      <c r="AX3" s="91" t="s">
        <v>46</v>
      </c>
      <c r="AY3" s="94" t="s">
        <v>22</v>
      </c>
      <c r="AZ3" s="94" t="s">
        <v>14</v>
      </c>
      <c r="BA3" s="94" t="s">
        <v>45</v>
      </c>
      <c r="BB3" s="94" t="s">
        <v>46</v>
      </c>
      <c r="BC3" s="91" t="s">
        <v>95</v>
      </c>
      <c r="BD3" s="14"/>
      <c r="BE3" s="14"/>
      <c r="BF3" s="13"/>
      <c r="BG3" s="14"/>
      <c r="BH3" s="14"/>
      <c r="BI3" s="25"/>
      <c r="BJ3" s="25"/>
      <c r="BK3" s="92" t="s">
        <v>22</v>
      </c>
      <c r="BL3" s="92" t="s">
        <v>14</v>
      </c>
      <c r="BM3" s="92" t="s">
        <v>45</v>
      </c>
      <c r="BN3" s="92" t="s">
        <v>46</v>
      </c>
      <c r="BO3" s="92" t="s">
        <v>22</v>
      </c>
      <c r="BP3" s="92" t="s">
        <v>14</v>
      </c>
      <c r="BQ3" s="92" t="s">
        <v>45</v>
      </c>
      <c r="BR3" s="92" t="s">
        <v>46</v>
      </c>
      <c r="BS3" s="92" t="s">
        <v>22</v>
      </c>
      <c r="BT3" s="92" t="s">
        <v>14</v>
      </c>
      <c r="BU3" s="92" t="s">
        <v>45</v>
      </c>
      <c r="BV3" s="92" t="s">
        <v>46</v>
      </c>
      <c r="BW3" s="93" t="s">
        <v>22</v>
      </c>
      <c r="BX3" s="93" t="s">
        <v>14</v>
      </c>
      <c r="BY3" s="93" t="s">
        <v>45</v>
      </c>
      <c r="BZ3" s="93" t="s">
        <v>46</v>
      </c>
      <c r="CA3" s="11"/>
      <c r="CB3" s="11"/>
      <c r="CC3" s="10"/>
      <c r="CD3" s="11"/>
      <c r="CE3" s="11"/>
      <c r="CF3" s="94" t="s">
        <v>22</v>
      </c>
      <c r="CG3" s="94" t="s">
        <v>14</v>
      </c>
      <c r="CH3" s="94" t="s">
        <v>45</v>
      </c>
      <c r="CI3" s="94" t="s">
        <v>46</v>
      </c>
      <c r="CJ3" s="94" t="s">
        <v>22</v>
      </c>
      <c r="CK3" s="94" t="s">
        <v>14</v>
      </c>
      <c r="CL3" s="94" t="s">
        <v>45</v>
      </c>
      <c r="CM3" s="94" t="s">
        <v>46</v>
      </c>
      <c r="CN3" s="94" t="s">
        <v>22</v>
      </c>
      <c r="CO3" s="94" t="s">
        <v>14</v>
      </c>
      <c r="CP3" s="94" t="s">
        <v>45</v>
      </c>
      <c r="CQ3" s="94" t="s">
        <v>46</v>
      </c>
      <c r="CR3" s="94" t="s">
        <v>22</v>
      </c>
      <c r="CS3" s="94" t="s">
        <v>14</v>
      </c>
      <c r="CT3" s="94" t="s">
        <v>45</v>
      </c>
      <c r="CU3" s="94" t="s">
        <v>46</v>
      </c>
      <c r="CV3" s="14"/>
      <c r="CW3" s="14"/>
      <c r="CX3" s="17"/>
      <c r="CY3" s="17"/>
      <c r="CZ3" s="17"/>
      <c r="DA3" s="93" t="s">
        <v>22</v>
      </c>
      <c r="DB3" s="93" t="s">
        <v>14</v>
      </c>
      <c r="DC3" s="93" t="s">
        <v>45</v>
      </c>
      <c r="DD3" s="93" t="s">
        <v>46</v>
      </c>
      <c r="DE3" s="93" t="s">
        <v>22</v>
      </c>
      <c r="DF3" s="93" t="s">
        <v>14</v>
      </c>
      <c r="DG3" s="93" t="s">
        <v>45</v>
      </c>
      <c r="DH3" s="93" t="s">
        <v>46</v>
      </c>
      <c r="DI3" s="93" t="s">
        <v>22</v>
      </c>
      <c r="DJ3" s="93" t="s">
        <v>14</v>
      </c>
      <c r="DK3" s="93" t="s">
        <v>45</v>
      </c>
      <c r="DL3" s="93" t="s">
        <v>46</v>
      </c>
      <c r="DM3" s="93" t="s">
        <v>22</v>
      </c>
      <c r="DN3" s="93" t="s">
        <v>14</v>
      </c>
      <c r="DO3" s="93" t="s">
        <v>45</v>
      </c>
      <c r="DP3" s="93" t="s">
        <v>46</v>
      </c>
      <c r="DQ3" s="11"/>
      <c r="DR3" s="11"/>
      <c r="DS3" s="18"/>
      <c r="DT3" s="18"/>
      <c r="DU3" s="18"/>
      <c r="DV3" s="94" t="s">
        <v>22</v>
      </c>
      <c r="DW3" s="94" t="s">
        <v>14</v>
      </c>
      <c r="DX3" s="94" t="s">
        <v>45</v>
      </c>
      <c r="DY3" s="94" t="s">
        <v>46</v>
      </c>
      <c r="DZ3" s="94" t="s">
        <v>22</v>
      </c>
      <c r="EA3" s="94" t="s">
        <v>14</v>
      </c>
      <c r="EB3" s="94" t="s">
        <v>45</v>
      </c>
      <c r="EC3" s="94" t="s">
        <v>46</v>
      </c>
      <c r="ED3" s="94" t="s">
        <v>22</v>
      </c>
      <c r="EE3" s="94" t="s">
        <v>14</v>
      </c>
      <c r="EF3" s="94" t="s">
        <v>45</v>
      </c>
      <c r="EG3" s="94" t="s">
        <v>46</v>
      </c>
      <c r="EH3" s="94" t="s">
        <v>22</v>
      </c>
      <c r="EI3" s="94" t="s">
        <v>14</v>
      </c>
      <c r="EJ3" s="94" t="s">
        <v>45</v>
      </c>
      <c r="EK3" s="94" t="s">
        <v>46</v>
      </c>
      <c r="EL3" s="14"/>
      <c r="EM3" s="14"/>
      <c r="EN3" s="17"/>
      <c r="EO3" s="17"/>
      <c r="EP3" s="17"/>
      <c r="EQ3" s="93" t="s">
        <v>22</v>
      </c>
      <c r="ER3" s="93" t="s">
        <v>14</v>
      </c>
      <c r="ES3" s="93" t="s">
        <v>45</v>
      </c>
      <c r="ET3" s="93" t="s">
        <v>46</v>
      </c>
      <c r="EU3" s="93" t="s">
        <v>22</v>
      </c>
      <c r="EV3" s="93" t="s">
        <v>14</v>
      </c>
      <c r="EW3" s="93" t="s">
        <v>45</v>
      </c>
      <c r="EX3" s="93" t="s">
        <v>46</v>
      </c>
      <c r="EY3" s="93" t="s">
        <v>22</v>
      </c>
      <c r="EZ3" s="93" t="s">
        <v>14</v>
      </c>
      <c r="FA3" s="93" t="s">
        <v>45</v>
      </c>
      <c r="FB3" s="93" t="s">
        <v>46</v>
      </c>
      <c r="FC3" s="93" t="s">
        <v>22</v>
      </c>
      <c r="FD3" s="93" t="s">
        <v>14</v>
      </c>
      <c r="FE3" s="93" t="s">
        <v>45</v>
      </c>
      <c r="FF3" s="93" t="s">
        <v>46</v>
      </c>
      <c r="FG3" s="11"/>
      <c r="FH3" s="11"/>
      <c r="FI3" s="18"/>
      <c r="FJ3" s="18"/>
      <c r="FK3" s="18"/>
      <c r="FL3" s="94" t="s">
        <v>22</v>
      </c>
      <c r="FM3" s="94" t="s">
        <v>14</v>
      </c>
      <c r="FN3" s="94" t="s">
        <v>45</v>
      </c>
      <c r="FO3" s="94" t="s">
        <v>46</v>
      </c>
      <c r="FP3" s="94" t="s">
        <v>22</v>
      </c>
      <c r="FQ3" s="94" t="s">
        <v>14</v>
      </c>
      <c r="FR3" s="94" t="s">
        <v>45</v>
      </c>
      <c r="FS3" s="94" t="s">
        <v>46</v>
      </c>
      <c r="FT3" s="94" t="s">
        <v>22</v>
      </c>
      <c r="FU3" s="94" t="s">
        <v>14</v>
      </c>
      <c r="FV3" s="94" t="s">
        <v>45</v>
      </c>
      <c r="FW3" s="94" t="s">
        <v>46</v>
      </c>
      <c r="FX3" s="94" t="s">
        <v>22</v>
      </c>
      <c r="FY3" s="94" t="s">
        <v>14</v>
      </c>
      <c r="FZ3" s="94" t="s">
        <v>45</v>
      </c>
      <c r="GA3" s="94" t="s">
        <v>46</v>
      </c>
      <c r="GB3" s="14"/>
      <c r="GC3" s="14"/>
      <c r="GD3" s="17"/>
      <c r="GE3" s="17"/>
      <c r="GF3" s="17"/>
      <c r="GG3" s="93" t="s">
        <v>22</v>
      </c>
      <c r="GH3" s="93" t="s">
        <v>14</v>
      </c>
      <c r="GI3" s="93" t="s">
        <v>45</v>
      </c>
      <c r="GJ3" s="93" t="s">
        <v>46</v>
      </c>
      <c r="GK3" s="93" t="s">
        <v>22</v>
      </c>
      <c r="GL3" s="93" t="s">
        <v>14</v>
      </c>
      <c r="GM3" s="93" t="s">
        <v>45</v>
      </c>
      <c r="GN3" s="93" t="s">
        <v>46</v>
      </c>
      <c r="GO3" s="93" t="s">
        <v>22</v>
      </c>
      <c r="GP3" s="93" t="s">
        <v>14</v>
      </c>
      <c r="GQ3" s="93" t="s">
        <v>45</v>
      </c>
      <c r="GR3" s="93" t="s">
        <v>46</v>
      </c>
      <c r="GS3" s="93" t="s">
        <v>22</v>
      </c>
      <c r="GT3" s="93" t="s">
        <v>14</v>
      </c>
      <c r="GU3" s="93" t="s">
        <v>45</v>
      </c>
      <c r="GV3" s="93" t="s">
        <v>46</v>
      </c>
      <c r="GW3" s="11"/>
      <c r="GX3" s="11"/>
      <c r="GY3" s="18"/>
      <c r="GZ3" s="18"/>
      <c r="HA3" s="18"/>
      <c r="HB3" s="94" t="s">
        <v>22</v>
      </c>
      <c r="HC3" s="94" t="s">
        <v>14</v>
      </c>
      <c r="HD3" s="94" t="s">
        <v>45</v>
      </c>
      <c r="HE3" s="94" t="s">
        <v>46</v>
      </c>
      <c r="HF3" s="94" t="s">
        <v>22</v>
      </c>
      <c r="HG3" s="94" t="s">
        <v>14</v>
      </c>
      <c r="HH3" s="94" t="s">
        <v>45</v>
      </c>
      <c r="HI3" s="94" t="s">
        <v>46</v>
      </c>
      <c r="HJ3" s="94" t="s">
        <v>22</v>
      </c>
      <c r="HK3" s="94" t="s">
        <v>14</v>
      </c>
      <c r="HL3" s="94" t="s">
        <v>45</v>
      </c>
      <c r="HM3" s="94" t="s">
        <v>46</v>
      </c>
      <c r="HN3" s="94" t="s">
        <v>22</v>
      </c>
      <c r="HO3" s="94" t="s">
        <v>14</v>
      </c>
      <c r="HP3" s="94" t="s">
        <v>45</v>
      </c>
      <c r="HQ3" s="94" t="s">
        <v>46</v>
      </c>
      <c r="HR3" s="14"/>
      <c r="HS3" s="14"/>
      <c r="HT3" s="17"/>
      <c r="HU3" s="17"/>
      <c r="HV3" s="17"/>
      <c r="HW3" s="93" t="s">
        <v>22</v>
      </c>
      <c r="HX3" s="93" t="s">
        <v>14</v>
      </c>
      <c r="HY3" s="93" t="s">
        <v>45</v>
      </c>
      <c r="HZ3" s="93" t="s">
        <v>46</v>
      </c>
      <c r="IA3" s="93" t="s">
        <v>22</v>
      </c>
      <c r="IB3" s="93" t="s">
        <v>14</v>
      </c>
      <c r="IC3" s="93" t="s">
        <v>45</v>
      </c>
      <c r="ID3" s="93" t="s">
        <v>46</v>
      </c>
      <c r="IE3" s="93" t="s">
        <v>22</v>
      </c>
      <c r="IF3" s="93" t="s">
        <v>14</v>
      </c>
      <c r="IG3" s="93" t="s">
        <v>45</v>
      </c>
      <c r="IH3" s="93" t="s">
        <v>46</v>
      </c>
      <c r="II3" s="93" t="s">
        <v>22</v>
      </c>
      <c r="IJ3" s="93" t="s">
        <v>14</v>
      </c>
      <c r="IK3" s="93" t="s">
        <v>45</v>
      </c>
      <c r="IL3" s="93" t="s">
        <v>46</v>
      </c>
      <c r="IM3" s="11"/>
      <c r="IN3" s="11"/>
      <c r="IO3" s="18"/>
      <c r="IP3" s="18"/>
      <c r="IQ3" s="18"/>
      <c r="IR3" s="94" t="s">
        <v>22</v>
      </c>
      <c r="IS3" s="94" t="s">
        <v>14</v>
      </c>
      <c r="IT3" s="94" t="s">
        <v>45</v>
      </c>
      <c r="IU3" s="94" t="s">
        <v>46</v>
      </c>
      <c r="IV3" s="94" t="s">
        <v>22</v>
      </c>
      <c r="IW3" s="94" t="s">
        <v>14</v>
      </c>
      <c r="IX3" s="94" t="s">
        <v>45</v>
      </c>
      <c r="IY3" s="94" t="s">
        <v>46</v>
      </c>
      <c r="IZ3" s="94" t="s">
        <v>22</v>
      </c>
      <c r="JA3" s="94" t="s">
        <v>14</v>
      </c>
      <c r="JB3" s="94" t="s">
        <v>45</v>
      </c>
      <c r="JC3" s="94" t="s">
        <v>46</v>
      </c>
      <c r="JD3" s="94" t="s">
        <v>22</v>
      </c>
      <c r="JE3" s="94" t="s">
        <v>14</v>
      </c>
      <c r="JF3" s="94" t="s">
        <v>45</v>
      </c>
      <c r="JG3" s="94" t="s">
        <v>46</v>
      </c>
      <c r="JH3" s="14"/>
      <c r="JI3" s="14"/>
      <c r="JJ3" s="17"/>
      <c r="JK3" s="17"/>
      <c r="JL3" s="17"/>
      <c r="JM3" s="93" t="s">
        <v>22</v>
      </c>
      <c r="JN3" s="93" t="s">
        <v>14</v>
      </c>
      <c r="JO3" s="93" t="s">
        <v>45</v>
      </c>
      <c r="JP3" s="93" t="s">
        <v>46</v>
      </c>
      <c r="JQ3" s="93" t="s">
        <v>22</v>
      </c>
      <c r="JR3" s="93" t="s">
        <v>14</v>
      </c>
      <c r="JS3" s="93" t="s">
        <v>45</v>
      </c>
      <c r="JT3" s="93" t="s">
        <v>46</v>
      </c>
      <c r="JU3" s="93" t="s">
        <v>22</v>
      </c>
      <c r="JV3" s="93" t="s">
        <v>14</v>
      </c>
      <c r="JW3" s="93" t="s">
        <v>45</v>
      </c>
      <c r="JX3" s="93" t="s">
        <v>46</v>
      </c>
      <c r="JY3" s="93" t="s">
        <v>22</v>
      </c>
      <c r="JZ3" s="93" t="s">
        <v>14</v>
      </c>
      <c r="KA3" s="93" t="s">
        <v>45</v>
      </c>
      <c r="KB3" s="93" t="s">
        <v>46</v>
      </c>
      <c r="KC3" s="11"/>
      <c r="KD3" s="11"/>
      <c r="KE3" s="18"/>
      <c r="KF3" s="18"/>
      <c r="KG3" s="18"/>
      <c r="KH3" s="94" t="s">
        <v>22</v>
      </c>
      <c r="KI3" s="94" t="s">
        <v>14</v>
      </c>
      <c r="KJ3" s="94" t="s">
        <v>45</v>
      </c>
      <c r="KK3" s="94" t="s">
        <v>46</v>
      </c>
      <c r="KL3" s="94" t="s">
        <v>22</v>
      </c>
      <c r="KM3" s="94" t="s">
        <v>14</v>
      </c>
      <c r="KN3" s="94" t="s">
        <v>45</v>
      </c>
      <c r="KO3" s="94" t="s">
        <v>46</v>
      </c>
      <c r="KP3" s="94" t="s">
        <v>22</v>
      </c>
      <c r="KQ3" s="94" t="s">
        <v>14</v>
      </c>
      <c r="KR3" s="94" t="s">
        <v>45</v>
      </c>
      <c r="KS3" s="94" t="s">
        <v>46</v>
      </c>
      <c r="KT3" s="94" t="s">
        <v>22</v>
      </c>
      <c r="KU3" s="94" t="s">
        <v>14</v>
      </c>
      <c r="KV3" s="94" t="s">
        <v>45</v>
      </c>
      <c r="KW3" s="94" t="s">
        <v>46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45</v>
      </c>
      <c r="LF3" s="111" t="s">
        <v>46</v>
      </c>
      <c r="LG3" s="111" t="s">
        <v>22</v>
      </c>
      <c r="LH3" s="111" t="s">
        <v>14</v>
      </c>
      <c r="LI3" s="111" t="s">
        <v>45</v>
      </c>
      <c r="LJ3" s="111" t="s">
        <v>46</v>
      </c>
      <c r="LK3" s="111" t="s">
        <v>22</v>
      </c>
      <c r="LL3" s="111" t="s">
        <v>14</v>
      </c>
      <c r="LM3" s="111" t="s">
        <v>45</v>
      </c>
      <c r="LN3" s="111" t="s">
        <v>46</v>
      </c>
      <c r="LO3" s="112" t="s">
        <v>22</v>
      </c>
      <c r="LP3" s="112" t="s">
        <v>14</v>
      </c>
      <c r="LQ3" s="112" t="s">
        <v>45</v>
      </c>
      <c r="LR3" s="112" t="s">
        <v>46</v>
      </c>
      <c r="LS3" s="111" t="s">
        <v>95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IF(AND(F4="P",H4="P"),SUMPRODUCT((F$4:F$12="P")*(H$4:H$12="P")*(E$4:E$12&gt;E4))+1,IF(H4="P",SUMPRODUCT((F$4:F$12="")*(H$4:H$12="P")*(E$4:E$12&gt;E4))+1+SUMPRODUCT((F$4:F$12="P")*(H$4:H$12="P")),""))</f>
        <v>1</v>
      </c>
      <c r="B4" s="9" t="s">
        <v>50</v>
      </c>
      <c r="C4" s="5" t="s">
        <v>3</v>
      </c>
      <c r="D4" s="6">
        <v>1994</v>
      </c>
      <c r="E4" s="16">
        <f>SUM(J4:N4)</f>
        <v>209.9</v>
      </c>
      <c r="F4" s="4" t="str">
        <f>IF(OR(AND(AH4&gt;=AK$14,AJ4&gt;=AK$17,AJ4&lt;&gt;"",AG4=""),AND(BD4&gt;=BG$14,BF4&gt;=BG$17,BF4&lt;&gt;"",BC4=""),AND(CA4&gt;=CD$14,CC4&gt;=CD$17,CC4&lt;&gt;""),AND(CV4&gt;=CY$14,CX4&gt;=CY$17,CX4&lt;&gt;""),AND(DQ4&gt;=DT$14,DS4&gt;=DT$17,DS4&lt;&gt;""),AND(EL4&gt;=EO$14,EN4&gt;=EO$17,EN4&lt;&gt;""),AND(FG4&gt;=FJ$14,FI4&gt;=FJ$17,FI4&lt;&gt;""),AND(GB4&gt;=GE$14,GD4&gt;=GE$17,GD4&lt;&gt;""),AND(GW4&gt;=GZ$14,GY4&gt;=GZ$17,GY4&lt;&gt;""),AND(HR4&gt;=HU$14,HT4&gt;=HU$17,HT4&lt;&gt;""),AND(IM4&gt;=IP$14,IO4&gt;=IP$17,IO4&lt;&gt;""),AND(JH4&gt;=JK$14,JJ4&gt;=JK$17,JJ4&lt;&gt;""),AND(KC4&gt;=KF$14,KE4&gt;=KF$17,KE4&lt;&gt;""),AND(KX4&gt;=LA$14,KZ4&gt;=LA$17,KZ4&lt;&gt;"")),"P","")</f>
        <v>P</v>
      </c>
      <c r="G4" s="4" t="str">
        <f>IF(OR(AND(AH4&gt;=AK$15,AJ4&gt;=AK$18,AJ4&lt;&gt;"",AG4=""),AND(BD4&gt;=BG$15,BF4&gt;=BG$18,BF4&lt;&gt;"",BC4=""),AND(CA4&gt;=CD$15,CC4&gt;=CD$18,CC4&lt;&gt;""),AND(CV4&gt;=CY$15,CX4&gt;=CY$18,CX4&lt;&gt;""),AND(DQ4&gt;=DT$15,DS4&gt;=DT$18,DS4&lt;&gt;""),AND(EL4&gt;=EO$15,EN4&gt;=EO$18,EN4&lt;&gt;""),AND(FG4&gt;=FJ$15,FI4&gt;=FJ$18,FI4&lt;&gt;""),AND(GB4&gt;=GE$15,GD4&gt;=GE$18,GD4&lt;&gt;""),AND(GW4&gt;=GZ$15,GY4&gt;=GZ$18,GY4&lt;&gt;""),AND(HR4&gt;=HU$15,HT4&gt;=HU$18,HT4&lt;&gt;""),AND(IM4&gt;=IP$15,IO4&gt;=IP$18,IO4&lt;&gt;""),AND(JH4&gt;=JK$15,JJ4&gt;=JK$18,JJ4&lt;&gt;""),AND(KC4&gt;=KF$15,KE4&gt;=KF$18,KE4&lt;&gt;""),AND(KX4&gt;=LA$15,KZ4&gt;=LA$18,KZ4&lt;&gt;"")),"P","")</f>
        <v>P</v>
      </c>
      <c r="H4" s="4" t="str">
        <f>IF(OR(AND(AJ4&gt;=AK$17,AJ4&lt;&gt;"",AG4=""),AND(BF4&gt;=BG$17,BF4&lt;&gt;"",BC4=""),AND(CC4&gt;=CD$17,CC4&lt;&gt;""),AND(CX4&gt;=CY$17,CX4&lt;&gt;""),AND(DS4&gt;=DT$17,DS4&lt;&gt;""),AND(EN4&gt;=EO$17,EN4&lt;&gt;""),AND(FI4&gt;=FJ$17,FI4&lt;&gt;""),AND(GD4&gt;=GE$17,GD4&lt;&gt;""),AND(GY4&gt;=GZ$17,GY4&lt;&gt;""),AND(HT4&gt;=HU$17,HT4&lt;&gt;""),AND(IO4&gt;=IP$17,IO4&lt;&gt;""),AND(JJ4&gt;=JK$17,JJ4&lt;&gt;""),AND(KE4&gt;=KF$17,KE4&lt;&gt;""),AND(KZ4&gt;=LA$17,KZ4&lt;&gt;"")),"P","")</f>
        <v>P</v>
      </c>
      <c r="I4" t="str">
        <f>IF(AND(H4="P",F4=""),"No DD",IF(OR(AND(AI4&gt;=AK$16,AI4&lt;&gt;"",AL4&gt;=AK$20,AL4&lt;&gt;"",AG4=""),AND(BE4&gt;=BG$16,BE4&lt;&gt;"",BH4&gt;=BG$20,BH4&lt;&gt;"",BC4=""),AND(CB4&gt;=CD$16,CB4&lt;&gt;"",CE4&gt;=CD$20,CE4&lt;&gt;""),AND(CW4&gt;=CY$16,CW4&lt;&gt;"",CZ4&gt;=CY$20,CZ4&lt;&gt;""),AND(DR4&gt;=DT$16,DR4&lt;&gt;"",DU4&gt;=DT$20,DU4&lt;&gt;""),AND(EM4&gt;=EO$16,EM4&lt;&gt;"",EP4&gt;=EO$20,EP4&lt;&gt;""),AND(FH4&gt;=FJ$16,FH4&lt;&gt;"",FK4&gt;=FJ$20,FK4&lt;&gt;""),AND(GC4&gt;=GE$16,GC4&lt;&gt;"",GF4&gt;=GE$20,GF4&lt;&gt;""),AND(GX4&gt;=GZ$16,GX4&lt;&gt;"",HA4&gt;=GZ$20,HA4&lt;&gt;""),AND(HS4&gt;=HU$16,HS4&lt;&gt;"",HV4&gt;=HU$20,HV4&lt;&gt;""),AND(IN4&gt;=IP$16,IN4&lt;&gt;"",IQ4&gt;=IP$20,IQ4&lt;&gt;""),AND(JI4&gt;=JK$16,JI4&lt;&gt;"",JL4&gt;=JK$20,JL4&lt;&gt;""),AND(KD4&gt;=KF$16,KD4&lt;&gt;"",KG4&gt;=KF$20,KG4&lt;&gt;""),AND(KY4&gt;=LA$16,KY4&lt;&gt;"",LB4&gt;=LA$20,LB4&lt;&gt;"")),"Merit",IF(OR(AND(AI4&gt;=AK$16,AI4&lt;&gt;"",AL4&gt;=AK$19,AL4&lt;&gt;"",AG4=""),AND(BE4&gt;=BG$16,BE4&lt;&gt;"",BH4&gt;=BG$19,BH4&lt;&gt;"",BC4=""),AND(CB4&gt;=CD$16,CB4&lt;&gt;"",CE4&gt;=CD$19,CE4&lt;&gt;""),AND(CW4&gt;=CY$16,CW4&lt;&gt;"",CZ4&gt;=CY$19,CZ4&lt;&gt;""),AND(DR4&gt;=DT$16,DR4&lt;&gt;"",DU4&gt;=DT$19,DU4&lt;&gt;""),AND(EM4&gt;=EO$16,EM4&lt;&gt;"",EP4&gt;=EO$19,EP4&lt;&gt;""),AND(FH4&gt;=FJ$16,FH4&lt;&gt;"",FK4&gt;=FJ$19,FK4&lt;&gt;""),AND(GC4&gt;=GE$16,GC4&lt;&gt;"",GF4&gt;=GE$19,GF4&lt;&gt;""),AND(GX4&gt;=GZ$16,GX4&lt;&gt;"",HA4&gt;=GZ$19,HA4&lt;&gt;""),AND(HS4&gt;=HU$16,HS4&lt;&gt;"",HV4&gt;=HU$19,HV4&lt;&gt;""),AND(IN4&gt;=IP$16,IN4&lt;&gt;"",IQ4&gt;=IP$19,IQ4&lt;&gt;""),AND(JI4&gt;=JK$16,JI4&lt;&gt;"",JL4&gt;=JK$19,JL4&lt;&gt;""),AND(KD4&gt;=KF$16,KD4&lt;&gt;"",KG4&gt;=KF$19,KG4&lt;&gt;""),AND(KY4&gt;=LA$16,KY4&lt;&gt;"",LB4&gt;=LA$19,LB4&lt;&gt;"")),"Excellence",IF(OR(AND(AH4&gt;=AK$15,AH4&lt;&gt;"",AJ4&gt;=AK$18,AJ4&lt;&gt;"",AG4=""),AND(BD4&gt;=BG$15,BD4&lt;&gt;"",BF4&gt;=BG$18,BF4&lt;&gt;"",BC4=""),AND(CA4&gt;=CD$15,CA4&lt;&gt;"",CC4&gt;=CD$18,CC4&lt;&gt;""),AND(CV4&gt;=CY$15,CV4&lt;&gt;"",CX4&gt;=CY$18,CX4&lt;&gt;""),AND(DQ4&gt;=DT$15,DQ4&lt;&gt;"",DS4&gt;=DT$18,DS4&lt;&gt;""),AND(EL4&gt;=EO$15,EL4&lt;&gt;"",EN4&gt;=EO$18,EN4&lt;&gt;""),AND(FG4&gt;=FJ$15,FG4&lt;&gt;"",FI4&gt;=FJ$18,FI4&lt;&gt;""),AND(GB4&gt;=GE$15,GB4&lt;&gt;"",GD4&gt;=GE$18,GD4&lt;&gt;""),AND(GW4&gt;=GZ$15,GW4&lt;&gt;"",GY4&gt;=GZ$18,GY4&lt;&gt;""),AND(HR4&gt;=HU$15,HR4&lt;&gt;"",HT4&gt;=HU$18,HT4&lt;&gt;""),AND(IM4&gt;=IP$15,IM4&lt;&gt;"",IO4&gt;=IP$18,IO4&lt;&gt;""),AND(JH4&gt;=JK$15,JH4&lt;&gt;"",JJ4&gt;=JK$18,JJ4&lt;&gt;""),AND(KC4&gt;=KF$15,KC4&lt;&gt;"",KE4&gt;=KF$18,KE4&lt;&gt;""),AND(KX4&gt;=LA$15,KX4&lt;&gt;"",KZ4&gt;=LA$18,KZ4&lt;&gt;"")),"Worlds Team",IF(OR(AND(AH4&gt;=AK$14,AH4&lt;&gt;"",AJ4&gt;=AK$17,AJ4&lt;&gt;"",AG4=""),AND(BD4&gt;=BG$14,BD4&lt;&gt;"",BF4&gt;=BG$17,BF4&lt;&gt;"",BC4=""),AND(CA4&gt;=CD$14,CA4&lt;&gt;"",CC4&gt;=CD$17,CC4&lt;&gt;""),AND(CV4&gt;=CY$14,CV4&lt;&gt;"",CX4&gt;=CY$17,CX4&lt;&gt;""),AND(DQ4&gt;=DT$14,DQ4&lt;&gt;"",DS4&gt;=DT$17,DS4&lt;&gt;""),AND(EL4&gt;=EO$14,EL4&lt;&gt;"",EN4&gt;=EO$17,EN4&lt;&gt;""),AND(FG4&gt;=FJ$14,FG4&lt;&gt;"",FI4&gt;=FJ$17,FI4&lt;&gt;""),AND(GB4&gt;=GE$14,GB4&lt;&gt;"",GD4&gt;=GE$17,GD4&lt;&gt;""),AND(GW4&gt;=GZ$14,GW4&lt;&gt;"",GY4&gt;=GZ$17,GY4&lt;&gt;""),AND(HR4&gt;=HU$14,HR4&lt;&gt;"",HT4&gt;=HU$17,HT4&lt;&gt;""),AND(IM4&gt;=IP$14,IM4&lt;&gt;"",IO4&gt;=IP$17,IO4&lt;&gt;""),AND(JH4&gt;=JK$14,JH4&lt;&gt;"",JJ4&gt;=JK$17,JJ4&lt;&gt;""),AND(KC4&gt;=KF$14,KC4&lt;&gt;"",KE4&gt;=KF$17,KE4&lt;&gt;""),AND(KX4&gt;=LA$14,KX4&lt;&gt;"",KZ4&gt;=LA$17,KZ4&lt;&gt;"")),"National Team","")))))</f>
        <v>Merit</v>
      </c>
      <c r="J4" s="15">
        <f>IF(MAX(AL4,BH4)&gt;0,MAX(AL4,BH4),"")</f>
        <v>139.60000000000002</v>
      </c>
      <c r="K4" s="15" t="str">
        <f>IF(J4="","",IF(J4=BH4,$AM$1,IF(J4=AL4,$Q$1,"")))</f>
        <v>2019 Nationals</v>
      </c>
      <c r="L4" s="15">
        <f>IF(J4=AL4,IF(MAX(BF4,BG4)&gt;0,MAX(BF4,BG4),""),IF(J4=BH4,IF(MAX(AJ4,AK4)&gt;0,MAX(AJ4,AK4),""),MAX(AJ4,AK4,BF4,BG4)))</f>
        <v>70.299999999999983</v>
      </c>
      <c r="M4" s="15" t="str">
        <f>IF(L4="","",IF(AND(J4&lt;&gt;BH4,OR(L4=BG4,L4=BF4)),$AM$1,IF(OR(L4=AK4,L4=AJ4),$Q$1,"")))</f>
        <v>2019 Elite Canada</v>
      </c>
      <c r="N4" s="15" t="str">
        <f>IF(MAX(BI4:BJ4)&gt;0,MAX(BI4:BJ4),"")</f>
        <v/>
      </c>
      <c r="O4" s="27" t="str">
        <f>IF(N4="","",IF(N4=BI4,"(4 Pass)",IF(N4=BJ4,"(2 Pass)")))</f>
        <v/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71">
        <v>28.3</v>
      </c>
      <c r="R4" s="71">
        <v>7.2</v>
      </c>
      <c r="S4" s="71">
        <v>0</v>
      </c>
      <c r="T4" s="71">
        <v>0.3</v>
      </c>
      <c r="U4" s="71">
        <v>27.8</v>
      </c>
      <c r="V4" s="71">
        <v>6.8</v>
      </c>
      <c r="W4" s="71">
        <v>0.9</v>
      </c>
      <c r="X4" s="71">
        <v>0.8</v>
      </c>
      <c r="Y4" s="71">
        <v>28.8</v>
      </c>
      <c r="Z4" s="71">
        <v>5.2</v>
      </c>
      <c r="AA4" s="71">
        <v>0</v>
      </c>
      <c r="AB4" s="71">
        <v>0</v>
      </c>
      <c r="AC4" s="71">
        <v>27.7</v>
      </c>
      <c r="AD4" s="71">
        <v>4</v>
      </c>
      <c r="AE4" s="71">
        <v>1.7</v>
      </c>
      <c r="AF4" s="71">
        <v>0.5</v>
      </c>
      <c r="AG4" s="82"/>
      <c r="AH4" s="12">
        <f>IF(SUM(R4,V4)&gt;0,SUM(R4,V4),"")</f>
        <v>14</v>
      </c>
      <c r="AI4" s="12">
        <f>IF(SUM(R4,V4,Z4,AD4)&gt;0,SUM(R4,V4,Z4,AD4),"")</f>
        <v>23.2</v>
      </c>
      <c r="AJ4" s="12">
        <f>IF(SUM(Q4:R4,T4:V4,X4)-SUM(S4,W4)&gt;0,SUM(Q4:R4,T4:V4,X4)-SUM(S4,W4),"")</f>
        <v>70.299999999999983</v>
      </c>
      <c r="AK4" s="12">
        <f>IF(SUM(Y4:Z4,AB4:AD4,AF4)-SUM(AA4,AE4)&gt;0,SUM(Y4:Z4,AB4:AD4,AF4)-SUM(AA4,AE4),"")</f>
        <v>64.5</v>
      </c>
      <c r="AL4" s="12">
        <f>IF(SUM(AJ4,AK4)&gt;0,SUM(AJ4,AK4),"")</f>
        <v>134.79999999999998</v>
      </c>
      <c r="AM4" s="40">
        <v>28.3</v>
      </c>
      <c r="AN4" s="40">
        <v>7.2</v>
      </c>
      <c r="AO4" s="40">
        <v>0</v>
      </c>
      <c r="AP4" s="40">
        <v>0.3</v>
      </c>
      <c r="AQ4" s="40">
        <v>28.1</v>
      </c>
      <c r="AR4" s="40">
        <v>6.8</v>
      </c>
      <c r="AS4" s="40">
        <v>0</v>
      </c>
      <c r="AT4" s="40">
        <v>0.5</v>
      </c>
      <c r="AU4" s="40">
        <v>28.8</v>
      </c>
      <c r="AV4" s="40">
        <v>6</v>
      </c>
      <c r="AW4" s="40">
        <v>0.3</v>
      </c>
      <c r="AX4" s="40">
        <v>0.3</v>
      </c>
      <c r="AY4" s="40">
        <v>27.4</v>
      </c>
      <c r="AZ4" s="40">
        <v>6</v>
      </c>
      <c r="BA4" s="40">
        <v>0.3</v>
      </c>
      <c r="BB4" s="40">
        <v>0.5</v>
      </c>
      <c r="BC4" s="83"/>
      <c r="BD4" s="15">
        <f>IF(SUM(AN4,AR4)&gt;0,SUM(AN4,AR4),"")</f>
        <v>14</v>
      </c>
      <c r="BE4" s="15">
        <f>IF(SUM(AN4,AR4,AV4,AZ4)&gt;0,SUM(AN4,AR4,AV4,AZ4),"")</f>
        <v>26</v>
      </c>
      <c r="BF4" s="15">
        <f>IF(SUM(AM4:AN4,AP4:AR4,AT4)-SUM(AO4,AS4)&gt;0,SUM(AM4:AN4,AP4:AR4,AT4)-SUM(AO4,AS4),"")</f>
        <v>71.2</v>
      </c>
      <c r="BG4" s="15">
        <f>IF(SUM(AU4:AV4,AX4:AZ4,BB4)-SUM(AW4,BA4)&gt;0,SUM(AU4:AV4,AX4:AZ4,BB4)-SUM(AW4,BA4),"")</f>
        <v>68.400000000000006</v>
      </c>
      <c r="BH4" s="15">
        <f>IF(SUM(BF4,BG4)&gt;0,SUM(BF4,BG4),"")</f>
        <v>139.60000000000002</v>
      </c>
      <c r="BI4" s="26" t="str">
        <f>IF(MAX(CE4,CZ4,DU4,EP4,FK4,GF4,HA4,HV4,IQ4,JL4,KG4,LB4)-IF(J4="",0,J4)&gt;0.001,MAX(CE4,CZ4,DU4,EP4,FK4,GF4,HA4,HV4,IQ4,JL4,KG4,LB4)-IF(J4="",0,J4),"")</f>
        <v/>
      </c>
      <c r="BJ4" s="26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12" t="str">
        <f>IF(SUM(BL4,BP4)&gt;0,SUM(BL4,BP4),"")</f>
        <v/>
      </c>
      <c r="CB4" s="12" t="str">
        <f>IF(SUM(BL4,BP4,BT4,BX4)&gt;0,SUM(BL4,BP4,BT4,BX4),"")</f>
        <v/>
      </c>
      <c r="CC4" s="12" t="str">
        <f>IF(SUM(BK4:BL4,BN4:BP4,BR4)-SUM(BM4,BQ4)&gt;0,SUM(BK4:BL4,BN4:BP4,BR4)-SUM(BM4,BQ4),"")</f>
        <v/>
      </c>
      <c r="CD4" s="12" t="str">
        <f>IF(SUM(BS4:BT4,BV4:BX4,BZ4)-SUM(BU4,BY4)&gt;0,SUM(BS4:BT4,BV4:BX4,BZ4)-SUM(BU4,BY4),"")</f>
        <v/>
      </c>
      <c r="CE4" s="12" t="str">
        <f>IF(SUM(CC4,CD4)&gt;0,SUM(CC4,CD4),"")</f>
        <v/>
      </c>
      <c r="CF4" s="45">
        <v>28.5</v>
      </c>
      <c r="CG4" s="45">
        <v>6.4</v>
      </c>
      <c r="CH4" s="45">
        <v>0</v>
      </c>
      <c r="CI4" s="45">
        <v>0</v>
      </c>
      <c r="CJ4" s="45">
        <v>20</v>
      </c>
      <c r="CK4" s="45">
        <v>3.2</v>
      </c>
      <c r="CL4" s="45">
        <v>0</v>
      </c>
      <c r="CM4" s="45">
        <v>0</v>
      </c>
      <c r="CN4" s="45"/>
      <c r="CO4" s="45"/>
      <c r="CP4" s="45"/>
      <c r="CQ4" s="45"/>
      <c r="CR4" s="45"/>
      <c r="CS4" s="45"/>
      <c r="CT4" s="45"/>
      <c r="CU4" s="45"/>
      <c r="CV4" s="15">
        <f>IF(SUM(CG4,CK4)&gt;0,SUM(CG4,CK4),"")</f>
        <v>9.6000000000000014</v>
      </c>
      <c r="CW4" s="15">
        <f>IF(SUM(CG4,CK4,CO4,CS4)&gt;0,SUM(CG4,CK4,CO4,CS4),"")</f>
        <v>9.6000000000000014</v>
      </c>
      <c r="CX4" s="15">
        <f>IF(SUM(CF4:CG4,CI4:CK4,CM4)-SUM(CH4,CL4)&gt;0,SUM(CF4:CG4,CI4:CK4,CM4)-SUM(CH4,CL4),"")</f>
        <v>58.1</v>
      </c>
      <c r="CY4" s="15" t="str">
        <f>IF(SUM(CN4:CO4,CQ4:CS4,CU4)-SUM(CP4,CT4)&gt;0,SUM(CN4:CO4,CQ4:CS4,CU4)-SUM(CP4,CT4),"")</f>
        <v/>
      </c>
      <c r="CZ4" s="15">
        <f>IF(SUM(CX4,CY4)&gt;0,SUM(CX4,CY4),"")</f>
        <v>58.1</v>
      </c>
      <c r="DA4" s="46">
        <v>28.2</v>
      </c>
      <c r="DB4" s="46">
        <v>6.4</v>
      </c>
      <c r="DC4" s="46">
        <v>0</v>
      </c>
      <c r="DD4" s="46">
        <v>0</v>
      </c>
      <c r="DE4" s="46">
        <v>28.2</v>
      </c>
      <c r="DF4" s="46">
        <v>6.8</v>
      </c>
      <c r="DG4" s="46">
        <v>0</v>
      </c>
      <c r="DH4" s="46">
        <v>0</v>
      </c>
      <c r="DI4" s="46">
        <v>0</v>
      </c>
      <c r="DJ4" s="46">
        <v>0</v>
      </c>
      <c r="DK4" s="46">
        <v>0</v>
      </c>
      <c r="DL4" s="46">
        <v>0</v>
      </c>
      <c r="DM4" s="46">
        <v>27.7</v>
      </c>
      <c r="DN4" s="46">
        <v>6.8</v>
      </c>
      <c r="DO4" s="46">
        <v>0</v>
      </c>
      <c r="DP4" s="46">
        <v>0</v>
      </c>
      <c r="DQ4" s="12">
        <f>IF(SUM(DB4,DF4)&gt;0,SUM(DB4,DF4),"")</f>
        <v>13.2</v>
      </c>
      <c r="DR4" s="12">
        <f>IF(SUM(DB4,DF4,DJ4,DN4)&gt;0,SUM(DB4,DF4,DJ4,DN4),"")</f>
        <v>20</v>
      </c>
      <c r="DS4" s="12">
        <f>IF(SUM(DA4:DB4,DD4:DF4,DH4)-SUM(DC4,DG4)&gt;0,SUM(DA4:DB4,DD4:DF4,DH4)-SUM(DC4,DG4),"")</f>
        <v>69.599999999999994</v>
      </c>
      <c r="DT4" s="12">
        <f>IF(SUM(DI4:DJ4,DL4:DN4,DP4)-SUM(DK4,DO4)&gt;0,SUM(DI4:DJ4,DL4:DN4,DP4)-SUM(DK4,DO4),"")</f>
        <v>34.5</v>
      </c>
      <c r="DU4" s="12">
        <f>IF(SUM(DS4,DT4)&gt;0,SUM(DS4,DT4),"")</f>
        <v>104.1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71">
        <f>IF($BC4="P",AM4,(Q4+AM4)/2)</f>
        <v>28.3</v>
      </c>
      <c r="LD4" s="71">
        <f t="shared" ref="LD4:LR11" si="0">IF($BC4="P",AN4,(R4+AN4)/2)</f>
        <v>7.2</v>
      </c>
      <c r="LE4" s="71">
        <f t="shared" si="0"/>
        <v>0</v>
      </c>
      <c r="LF4" s="71">
        <f t="shared" si="0"/>
        <v>0.3</v>
      </c>
      <c r="LG4" s="71">
        <f t="shared" si="0"/>
        <v>27.950000000000003</v>
      </c>
      <c r="LH4" s="71">
        <f t="shared" si="0"/>
        <v>6.8</v>
      </c>
      <c r="LI4" s="71">
        <f t="shared" si="0"/>
        <v>0.45</v>
      </c>
      <c r="LJ4" s="71">
        <f t="shared" si="0"/>
        <v>0.65</v>
      </c>
      <c r="LK4" s="71">
        <f t="shared" si="0"/>
        <v>28.8</v>
      </c>
      <c r="LL4" s="71">
        <f t="shared" si="0"/>
        <v>5.6</v>
      </c>
      <c r="LM4" s="71">
        <f t="shared" si="0"/>
        <v>0.15</v>
      </c>
      <c r="LN4" s="71">
        <f t="shared" si="0"/>
        <v>0.15</v>
      </c>
      <c r="LO4" s="71">
        <f t="shared" si="0"/>
        <v>27.549999999999997</v>
      </c>
      <c r="LP4" s="71">
        <f t="shared" si="0"/>
        <v>5</v>
      </c>
      <c r="LQ4" s="71">
        <f t="shared" si="0"/>
        <v>1</v>
      </c>
      <c r="LR4" s="71">
        <f t="shared" si="0"/>
        <v>0.5</v>
      </c>
      <c r="LS4" s="82" t="s">
        <v>96</v>
      </c>
      <c r="LT4" s="12">
        <f t="shared" ref="LT4" si="1">IF(SUM(LD4,LH4)&gt;0,SUM(LD4,LH4),"")</f>
        <v>14</v>
      </c>
      <c r="LU4" s="12">
        <f t="shared" ref="LU4" si="2">IF(SUM(LD4,LH4,LL4,LP4)&gt;0,SUM(LD4,LH4,LL4,LP4),"")</f>
        <v>24.6</v>
      </c>
      <c r="LV4" s="12">
        <f t="shared" ref="LV4" si="3">IF(SUM(LC4:LD4,LF4:LH4,LJ4)-SUM(LE4,LI4)&gt;0,SUM(LC4:LD4,LF4:LH4,LJ4)-SUM(LE4,LI4),"")</f>
        <v>70.75</v>
      </c>
      <c r="LW4" s="12">
        <f t="shared" ref="LW4" si="4">IF(SUM(LK4:LL4,LN4:LP4,LR4)-SUM(LM4,LQ4)&gt;0,SUM(LK4:LL4,LN4:LP4,LR4)-SUM(LM4,LQ4),"")</f>
        <v>66.449999999999989</v>
      </c>
      <c r="LX4" s="12">
        <f t="shared" ref="LX4" si="5">IF(SUM(LV4,LW4)&gt;0,SUM(LV4,LW4),"")</f>
        <v>137.19999999999999</v>
      </c>
    </row>
    <row r="5" spans="1:336" x14ac:dyDescent="0.2">
      <c r="A5" s="6">
        <f>IF(AND(F5="P",H5="P"),SUMPRODUCT((F$4:F$12="P")*(H$4:H$12="P")*(E$4:E$12&gt;E5))+1,IF(H5="P",SUMPRODUCT((F$4:F$12="")*(H$4:H$12="P")*(E$4:E$12&gt;E5))+1+SUMPRODUCT((F$4:F$12="P")*(H$4:H$12="P")),""))</f>
        <v>2</v>
      </c>
      <c r="B5" s="9" t="s">
        <v>39</v>
      </c>
      <c r="C5" s="5" t="s">
        <v>10</v>
      </c>
      <c r="D5" s="6">
        <v>1998</v>
      </c>
      <c r="E5" s="16">
        <f>SUM(J5:N5)</f>
        <v>208.3</v>
      </c>
      <c r="F5" s="4" t="str">
        <f>IF(OR(AND(AH5&gt;=AK$14,AJ5&gt;=AK$17,AJ5&lt;&gt;"",AG5=""),AND(BD5&gt;=BG$14,BF5&gt;=BG$17,BF5&lt;&gt;"",BC5=""),AND(CA5&gt;=CD$14,CC5&gt;=CD$17,CC5&lt;&gt;""),AND(CV5&gt;=CY$14,CX5&gt;=CY$17,CX5&lt;&gt;""),AND(DQ5&gt;=DT$14,DS5&gt;=DT$17,DS5&lt;&gt;""),AND(EL5&gt;=EO$14,EN5&gt;=EO$17,EN5&lt;&gt;""),AND(FG5&gt;=FJ$14,FI5&gt;=FJ$17,FI5&lt;&gt;""),AND(GB5&gt;=GE$14,GD5&gt;=GE$17,GD5&lt;&gt;""),AND(GW5&gt;=GZ$14,GY5&gt;=GZ$17,GY5&lt;&gt;""),AND(HR5&gt;=HU$14,HT5&gt;=HU$17,HT5&lt;&gt;""),AND(IM5&gt;=IP$14,IO5&gt;=IP$17,IO5&lt;&gt;""),AND(JH5&gt;=JK$14,JJ5&gt;=JK$17,JJ5&lt;&gt;""),AND(KC5&gt;=KF$14,KE5&gt;=KF$17,KE5&lt;&gt;""),AND(KX5&gt;=LA$14,KZ5&gt;=LA$17,KZ5&lt;&gt;"")),"P","")</f>
        <v>P</v>
      </c>
      <c r="G5" s="4" t="str">
        <f>IF(OR(AND(AH5&gt;=AK$15,AJ5&gt;=AK$18,AJ5&lt;&gt;"",AG5=""),AND(BD5&gt;=BG$15,BF5&gt;=BG$18,BF5&lt;&gt;"",BC5=""),AND(CA5&gt;=CD$15,CC5&gt;=CD$18,CC5&lt;&gt;""),AND(CV5&gt;=CY$15,CX5&gt;=CY$18,CX5&lt;&gt;""),AND(DQ5&gt;=DT$15,DS5&gt;=DT$18,DS5&lt;&gt;""),AND(EL5&gt;=EO$15,EN5&gt;=EO$18,EN5&lt;&gt;""),AND(FG5&gt;=FJ$15,FI5&gt;=FJ$18,FI5&lt;&gt;""),AND(GB5&gt;=GE$15,GD5&gt;=GE$18,GD5&lt;&gt;""),AND(GW5&gt;=GZ$15,GY5&gt;=GZ$18,GY5&lt;&gt;""),AND(HR5&gt;=HU$15,HT5&gt;=HU$18,HT5&lt;&gt;""),AND(IM5&gt;=IP$15,IO5&gt;=IP$18,IO5&lt;&gt;""),AND(JH5&gt;=JK$15,JJ5&gt;=JK$18,JJ5&lt;&gt;""),AND(KC5&gt;=KF$15,KE5&gt;=KF$18,KE5&lt;&gt;""),AND(KX5&gt;=LA$15,KZ5&gt;=LA$18,KZ5&lt;&gt;"")),"P","")</f>
        <v>P</v>
      </c>
      <c r="H5" s="4" t="str">
        <f>IF(OR(AND(AJ5&gt;=AK$17,AJ5&lt;&gt;"",AG5=""),AND(BF5&gt;=BG$17,BF5&lt;&gt;"",BC5=""),AND(CC5&gt;=CD$17,CC5&lt;&gt;""),AND(CX5&gt;=CY$17,CX5&lt;&gt;""),AND(DS5&gt;=DT$17,DS5&lt;&gt;""),AND(EN5&gt;=EO$17,EN5&lt;&gt;""),AND(FI5&gt;=FJ$17,FI5&lt;&gt;""),AND(GD5&gt;=GE$17,GD5&lt;&gt;""),AND(GY5&gt;=GZ$17,GY5&lt;&gt;""),AND(HT5&gt;=HU$17,HT5&lt;&gt;""),AND(IO5&gt;=IP$17,IO5&lt;&gt;""),AND(JJ5&gt;=JK$17,JJ5&lt;&gt;""),AND(KE5&gt;=KF$17,KE5&lt;&gt;""),AND(KZ5&gt;=LA$17,KZ5&lt;&gt;"")),"P","")</f>
        <v>P</v>
      </c>
      <c r="I5" t="str">
        <f>IF(AND(H5="P",F5=""),"No DD",IF(OR(AND(AI5&gt;=AK$16,AI5&lt;&gt;"",AL5&gt;=AK$20,AL5&lt;&gt;"",AG5=""),AND(BE5&gt;=BG$16,BE5&lt;&gt;"",BH5&gt;=BG$20,BH5&lt;&gt;"",BC5=""),AND(CB5&gt;=CD$16,CB5&lt;&gt;"",CE5&gt;=CD$20,CE5&lt;&gt;""),AND(CW5&gt;=CY$16,CW5&lt;&gt;"",CZ5&gt;=CY$20,CZ5&lt;&gt;""),AND(DR5&gt;=DT$16,DR5&lt;&gt;"",DU5&gt;=DT$20,DU5&lt;&gt;""),AND(EM5&gt;=EO$16,EM5&lt;&gt;"",EP5&gt;=EO$20,EP5&lt;&gt;""),AND(FH5&gt;=FJ$16,FH5&lt;&gt;"",FK5&gt;=FJ$20,FK5&lt;&gt;""),AND(GC5&gt;=GE$16,GC5&lt;&gt;"",GF5&gt;=GE$20,GF5&lt;&gt;""),AND(GX5&gt;=GZ$16,GX5&lt;&gt;"",HA5&gt;=GZ$20,HA5&lt;&gt;""),AND(HS5&gt;=HU$16,HS5&lt;&gt;"",HV5&gt;=HU$20,HV5&lt;&gt;""),AND(IN5&gt;=IP$16,IN5&lt;&gt;"",IQ5&gt;=IP$20,IQ5&lt;&gt;""),AND(JI5&gt;=JK$16,JI5&lt;&gt;"",JL5&gt;=JK$20,JL5&lt;&gt;""),AND(KD5&gt;=KF$16,KD5&lt;&gt;"",KG5&gt;=KF$20,KG5&lt;&gt;""),AND(KY5&gt;=LA$16,KY5&lt;&gt;"",LB5&gt;=LA$20,LB5&lt;&gt;"")),"Merit",IF(OR(AND(AI5&gt;=AK$16,AI5&lt;&gt;"",AL5&gt;=AK$19,AL5&lt;&gt;"",AG5=""),AND(BE5&gt;=BG$16,BE5&lt;&gt;"",BH5&gt;=BG$19,BH5&lt;&gt;"",BC5=""),AND(CB5&gt;=CD$16,CB5&lt;&gt;"",CE5&gt;=CD$19,CE5&lt;&gt;""),AND(CW5&gt;=CY$16,CW5&lt;&gt;"",CZ5&gt;=CY$19,CZ5&lt;&gt;""),AND(DR5&gt;=DT$16,DR5&lt;&gt;"",DU5&gt;=DT$19,DU5&lt;&gt;""),AND(EM5&gt;=EO$16,EM5&lt;&gt;"",EP5&gt;=EO$19,EP5&lt;&gt;""),AND(FH5&gt;=FJ$16,FH5&lt;&gt;"",FK5&gt;=FJ$19,FK5&lt;&gt;""),AND(GC5&gt;=GE$16,GC5&lt;&gt;"",GF5&gt;=GE$19,GF5&lt;&gt;""),AND(GX5&gt;=GZ$16,GX5&lt;&gt;"",HA5&gt;=GZ$19,HA5&lt;&gt;""),AND(HS5&gt;=HU$16,HS5&lt;&gt;"",HV5&gt;=HU$19,HV5&lt;&gt;""),AND(IN5&gt;=IP$16,IN5&lt;&gt;"",IQ5&gt;=IP$19,IQ5&lt;&gt;""),AND(JI5&gt;=JK$16,JI5&lt;&gt;"",JL5&gt;=JK$19,JL5&lt;&gt;""),AND(KD5&gt;=KF$16,KD5&lt;&gt;"",KG5&gt;=KF$19,KG5&lt;&gt;""),AND(KY5&gt;=LA$16,KY5&lt;&gt;"",LB5&gt;=LA$19,LB5&lt;&gt;"")),"Excellence",IF(OR(AND(AH5&gt;=AK$15,AH5&lt;&gt;"",AJ5&gt;=AK$18,AJ5&lt;&gt;"",AG5=""),AND(BD5&gt;=BG$15,BD5&lt;&gt;"",BF5&gt;=BG$18,BF5&lt;&gt;"",BC5=""),AND(CA5&gt;=CD$15,CA5&lt;&gt;"",CC5&gt;=CD$18,CC5&lt;&gt;""),AND(CV5&gt;=CY$15,CV5&lt;&gt;"",CX5&gt;=CY$18,CX5&lt;&gt;""),AND(DQ5&gt;=DT$15,DQ5&lt;&gt;"",DS5&gt;=DT$18,DS5&lt;&gt;""),AND(EL5&gt;=EO$15,EL5&lt;&gt;"",EN5&gt;=EO$18,EN5&lt;&gt;""),AND(FG5&gt;=FJ$15,FG5&lt;&gt;"",FI5&gt;=FJ$18,FI5&lt;&gt;""),AND(GB5&gt;=GE$15,GB5&lt;&gt;"",GD5&gt;=GE$18,GD5&lt;&gt;""),AND(GW5&gt;=GZ$15,GW5&lt;&gt;"",GY5&gt;=GZ$18,GY5&lt;&gt;""),AND(HR5&gt;=HU$15,HR5&lt;&gt;"",HT5&gt;=HU$18,HT5&lt;&gt;""),AND(IM5&gt;=IP$15,IM5&lt;&gt;"",IO5&gt;=IP$18,IO5&lt;&gt;""),AND(JH5&gt;=JK$15,JH5&lt;&gt;"",JJ5&gt;=JK$18,JJ5&lt;&gt;""),AND(KC5&gt;=KF$15,KC5&lt;&gt;"",KE5&gt;=KF$18,KE5&lt;&gt;""),AND(KX5&gt;=LA$15,KX5&lt;&gt;"",KZ5&gt;=LA$18,KZ5&lt;&gt;"")),"Worlds Team",IF(OR(AND(AH5&gt;=AK$14,AH5&lt;&gt;"",AJ5&gt;=AK$17,AJ5&lt;&gt;"",AG5=""),AND(BD5&gt;=BG$14,BD5&lt;&gt;"",BF5&gt;=BG$17,BF5&lt;&gt;"",BC5=""),AND(CA5&gt;=CD$14,CA5&lt;&gt;"",CC5&gt;=CD$17,CC5&lt;&gt;""),AND(CV5&gt;=CY$14,CV5&lt;&gt;"",CX5&gt;=CY$17,CX5&lt;&gt;""),AND(DQ5&gt;=DT$14,DQ5&lt;&gt;"",DS5&gt;=DT$17,DS5&lt;&gt;""),AND(EL5&gt;=EO$14,EL5&lt;&gt;"",EN5&gt;=EO$17,EN5&lt;&gt;""),AND(FG5&gt;=FJ$14,FG5&lt;&gt;"",FI5&gt;=FJ$17,FI5&lt;&gt;""),AND(GB5&gt;=GE$14,GB5&lt;&gt;"",GD5&gt;=GE$17,GD5&lt;&gt;""),AND(GW5&gt;=GZ$14,GW5&lt;&gt;"",GY5&gt;=GZ$17,GY5&lt;&gt;""),AND(HR5&gt;=HU$14,HR5&lt;&gt;"",HT5&gt;=HU$17,HT5&lt;&gt;""),AND(IM5&gt;=IP$14,IM5&lt;&gt;"",IO5&gt;=IP$17,IO5&lt;&gt;""),AND(JH5&gt;=JK$14,JH5&lt;&gt;"",JJ5&gt;=JK$17,JJ5&lt;&gt;""),AND(KC5&gt;=KF$14,KC5&lt;&gt;"",KE5&gt;=KF$17,KE5&lt;&gt;""),AND(KX5&gt;=LA$14,KX5&lt;&gt;"",KZ5&gt;=LA$17,KZ5&lt;&gt;"")),"National Team","")))))</f>
        <v>Merit</v>
      </c>
      <c r="J5" s="15">
        <f>IF(MAX(AL5,BH5)&gt;0,MAX(AL5,BH5),"")</f>
        <v>139.30000000000001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69</v>
      </c>
      <c r="M5" s="15" t="str">
        <f>IF(L5="","",IF(AND(J5&lt;&gt;BH5,OR(L5=BG5,L5=BF5)),$AM$1,IF(OR(L5=AK5,L5=AJ5),$Q$1,"")))</f>
        <v>2019 Nationals</v>
      </c>
      <c r="N5" s="15" t="str">
        <f>IF(MAX(BI5:BJ5)&gt;0,MAX(BI5:BJ5),"")</f>
        <v/>
      </c>
      <c r="O5" s="27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71">
        <v>28.3</v>
      </c>
      <c r="R5" s="71">
        <v>6.8</v>
      </c>
      <c r="S5" s="71">
        <v>0</v>
      </c>
      <c r="T5" s="71">
        <v>0.3</v>
      </c>
      <c r="U5" s="71">
        <v>27.9</v>
      </c>
      <c r="V5" s="71">
        <v>6.4</v>
      </c>
      <c r="W5" s="71">
        <v>0</v>
      </c>
      <c r="X5" s="71">
        <v>0.3</v>
      </c>
      <c r="Y5" s="71">
        <v>28.4</v>
      </c>
      <c r="Z5" s="71">
        <v>6</v>
      </c>
      <c r="AA5" s="71">
        <v>0</v>
      </c>
      <c r="AB5" s="71">
        <v>0.5</v>
      </c>
      <c r="AC5" s="71">
        <v>28.4</v>
      </c>
      <c r="AD5" s="71">
        <v>6</v>
      </c>
      <c r="AE5" s="71">
        <v>0</v>
      </c>
      <c r="AF5" s="71">
        <v>0</v>
      </c>
      <c r="AG5" s="82"/>
      <c r="AH5" s="12">
        <f>IF(SUM(R5,V5)&gt;0,SUM(R5,V5),"")</f>
        <v>13.2</v>
      </c>
      <c r="AI5" s="12">
        <f>IF(SUM(R5,V5,Z5,AD5)&gt;0,SUM(R5,V5,Z5,AD5),"")</f>
        <v>25.2</v>
      </c>
      <c r="AJ5" s="12">
        <f>IF(SUM(Q5:R5,T5:V5,X5)-SUM(S5,W5)&gt;0,SUM(Q5:R5,T5:V5,X5)-SUM(S5,W5),"")</f>
        <v>70</v>
      </c>
      <c r="AK5" s="12">
        <f>IF(SUM(Y5:Z5,AB5:AD5,AF5)-SUM(AA5,AE5)&gt;0,SUM(Y5:Z5,AB5:AD5,AF5)-SUM(AA5,AE5),"")</f>
        <v>69.3</v>
      </c>
      <c r="AL5" s="12">
        <f>IF(SUM(AJ5,AK5)&gt;0,SUM(AJ5,AK5),"")</f>
        <v>139.30000000000001</v>
      </c>
      <c r="AM5" s="40">
        <v>28.4</v>
      </c>
      <c r="AN5" s="40">
        <v>6.8</v>
      </c>
      <c r="AO5" s="40">
        <v>0</v>
      </c>
      <c r="AP5" s="40">
        <v>0.3</v>
      </c>
      <c r="AQ5" s="40">
        <v>25</v>
      </c>
      <c r="AR5" s="40">
        <v>6.4</v>
      </c>
      <c r="AS5" s="40">
        <v>0</v>
      </c>
      <c r="AT5" s="40">
        <v>0.3</v>
      </c>
      <c r="AU5" s="40">
        <v>28.1</v>
      </c>
      <c r="AV5" s="40">
        <v>6</v>
      </c>
      <c r="AW5" s="40">
        <v>0.9</v>
      </c>
      <c r="AX5" s="40">
        <v>0.5</v>
      </c>
      <c r="AY5" s="40">
        <v>28.8</v>
      </c>
      <c r="AZ5" s="40">
        <v>6</v>
      </c>
      <c r="BA5" s="40">
        <v>0</v>
      </c>
      <c r="BB5" s="40">
        <v>0.5</v>
      </c>
      <c r="BC5" s="83"/>
      <c r="BD5" s="15">
        <f>IF(SUM(AN5,AR5)&gt;0,SUM(AN5,AR5),"")</f>
        <v>13.2</v>
      </c>
      <c r="BE5" s="15">
        <f>IF(SUM(AN5,AR5,AV5,AZ5)&gt;0,SUM(AN5,AR5,AV5,AZ5),"")</f>
        <v>25.2</v>
      </c>
      <c r="BF5" s="15">
        <f>IF(SUM(AM5:AN5,AP5:AR5,AT5)-SUM(AO5,AS5)&gt;0,SUM(AM5:AN5,AP5:AR5,AT5)-SUM(AO5,AS5),"")</f>
        <v>67.199999999999989</v>
      </c>
      <c r="BG5" s="15">
        <f>IF(SUM(AU5:AV5,AX5:AZ5,BB5)-SUM(AW5,BA5)&gt;0,SUM(AU5:AV5,AX5:AZ5,BB5)-SUM(AW5,BA5),"")</f>
        <v>69</v>
      </c>
      <c r="BH5" s="15">
        <f>IF(SUM(BF5,BG5)&gt;0,SUM(BF5,BG5),"")</f>
        <v>136.19999999999999</v>
      </c>
      <c r="BI5" s="26" t="str">
        <f>IF(MAX(CE5,CZ5,DU5,EP5,FK5,GF5,HA5,HV5,IQ5,JL5,KG5,LB5)-IF(J5="",0,J5)&gt;0.001,MAX(CE5,CZ5,DU5,EP5,FK5,GF5,HA5,HV5,IQ5,JL5,KG5,LB5)-IF(J5="",0,J5),"")</f>
        <v/>
      </c>
      <c r="BJ5" s="26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6">
        <v>28</v>
      </c>
      <c r="BL5" s="46">
        <v>6.8</v>
      </c>
      <c r="BM5" s="46">
        <v>0.9</v>
      </c>
      <c r="BN5" s="46">
        <v>0</v>
      </c>
      <c r="BO5" s="46">
        <v>27.7</v>
      </c>
      <c r="BP5" s="46">
        <v>6.4</v>
      </c>
      <c r="BQ5" s="46">
        <v>0.9</v>
      </c>
      <c r="BR5" s="46">
        <v>0</v>
      </c>
      <c r="BS5" s="46">
        <v>26.8</v>
      </c>
      <c r="BT5" s="46">
        <v>5.2</v>
      </c>
      <c r="BU5" s="46">
        <v>0.3</v>
      </c>
      <c r="BV5" s="46">
        <v>0</v>
      </c>
      <c r="BW5" s="46">
        <v>19.7</v>
      </c>
      <c r="BX5" s="46">
        <v>4</v>
      </c>
      <c r="BY5" s="46">
        <v>0</v>
      </c>
      <c r="BZ5" s="46">
        <v>0</v>
      </c>
      <c r="CA5" s="12">
        <f>IF(SUM(BL5,BP5)&gt;0,SUM(BL5,BP5),"")</f>
        <v>13.2</v>
      </c>
      <c r="CB5" s="12">
        <f>IF(SUM(BL5,BP5,BT5,BX5)&gt;0,SUM(BL5,BP5,BT5,BX5),"")</f>
        <v>22.4</v>
      </c>
      <c r="CC5" s="12">
        <f>IF(SUM(BK5:BL5,BN5:BP5,BR5)-SUM(BM5,BQ5)&gt;0,SUM(BK5:BL5,BN5:BP5,BR5)-SUM(BM5,BQ5),"")</f>
        <v>67.100000000000009</v>
      </c>
      <c r="CD5" s="12">
        <f>IF(SUM(BS5:BT5,BV5:BX5,BZ5)-SUM(BU5,BY5)&gt;0,SUM(BS5:BT5,BV5:BX5,BZ5)-SUM(BU5,BY5),"")</f>
        <v>55.400000000000006</v>
      </c>
      <c r="CE5" s="12">
        <f>IF(SUM(CC5,CD5)&gt;0,SUM(CC5,CD5),"")</f>
        <v>122.50000000000001</v>
      </c>
      <c r="CF5" s="45">
        <v>20.100000000000001</v>
      </c>
      <c r="CG5" s="45">
        <v>2.4</v>
      </c>
      <c r="CH5" s="45">
        <v>0</v>
      </c>
      <c r="CI5" s="45">
        <v>0</v>
      </c>
      <c r="CJ5" s="45">
        <v>28.2</v>
      </c>
      <c r="CK5" s="45">
        <v>6</v>
      </c>
      <c r="CL5" s="45">
        <v>0</v>
      </c>
      <c r="CM5" s="45">
        <v>0</v>
      </c>
      <c r="CN5" s="45"/>
      <c r="CO5" s="45"/>
      <c r="CP5" s="45"/>
      <c r="CQ5" s="45"/>
      <c r="CR5" s="45"/>
      <c r="CS5" s="45"/>
      <c r="CT5" s="45"/>
      <c r="CU5" s="45"/>
      <c r="CV5" s="15">
        <f>IF(SUM(CG5,CK5)&gt;0,SUM(CG5,CK5),"")</f>
        <v>8.4</v>
      </c>
      <c r="CW5" s="15">
        <f>IF(SUM(CG5,CK5,CO5,CS5)&gt;0,SUM(CG5,CK5,CO5,CS5),"")</f>
        <v>8.4</v>
      </c>
      <c r="CX5" s="15">
        <f>IF(SUM(CF5:CG5,CI5:CK5,CM5)-SUM(CH5,CL5)&gt;0,SUM(CF5:CG5,CI5:CK5,CM5)-SUM(CH5,CL5),"")</f>
        <v>56.7</v>
      </c>
      <c r="CY5" s="15" t="str">
        <f>IF(SUM(CN5:CO5,CQ5:CS5,CU5)-SUM(CP5,CT5)&gt;0,SUM(CN5:CO5,CQ5:CS5,CU5)-SUM(CP5,CT5),"")</f>
        <v/>
      </c>
      <c r="CZ5" s="15">
        <f>IF(SUM(CX5,CY5)&gt;0,SUM(CX5,CY5),"")</f>
        <v>56.7</v>
      </c>
      <c r="DA5" s="46">
        <v>28</v>
      </c>
      <c r="DB5" s="46">
        <v>6.8</v>
      </c>
      <c r="DC5" s="46">
        <v>0</v>
      </c>
      <c r="DD5" s="46">
        <v>0</v>
      </c>
      <c r="DE5" s="46">
        <v>27.6</v>
      </c>
      <c r="DF5" s="46">
        <v>6.4</v>
      </c>
      <c r="DG5" s="46">
        <v>0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>IF(SUM(DB5,DF5)&gt;0,SUM(DB5,DF5),"")</f>
        <v>13.2</v>
      </c>
      <c r="DR5" s="12">
        <f>IF(SUM(DB5,DF5,DJ5,DN5)&gt;0,SUM(DB5,DF5,DJ5,DN5),"")</f>
        <v>13.2</v>
      </c>
      <c r="DS5" s="12">
        <f>IF(SUM(DA5:DB5,DD5:DF5,DH5)-SUM(DC5,DG5)&gt;0,SUM(DA5:DB5,DD5:DF5,DH5)-SUM(DC5,DG5),"")</f>
        <v>68.8</v>
      </c>
      <c r="DT5" s="12" t="str">
        <f>IF(SUM(DI5:DJ5,DL5:DN5,DP5)-SUM(DK5,DO5)&gt;0,SUM(DI5:DJ5,DL5:DN5,DP5)-SUM(DK5,DO5),"")</f>
        <v/>
      </c>
      <c r="DU5" s="12">
        <f>IF(SUM(DS5,DT5)&gt;0,SUM(DS5,DT5),"")</f>
        <v>68.8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71">
        <f t="shared" ref="LC5:LC11" si="6">IF($BC5="P",AM5,(Q5+AM5)/2)</f>
        <v>28.35</v>
      </c>
      <c r="LD5" s="71">
        <f t="shared" si="0"/>
        <v>6.8</v>
      </c>
      <c r="LE5" s="71">
        <f t="shared" si="0"/>
        <v>0</v>
      </c>
      <c r="LF5" s="71">
        <f t="shared" si="0"/>
        <v>0.3</v>
      </c>
      <c r="LG5" s="71">
        <f t="shared" si="0"/>
        <v>26.45</v>
      </c>
      <c r="LH5" s="71">
        <f t="shared" si="0"/>
        <v>6.4</v>
      </c>
      <c r="LI5" s="71">
        <f t="shared" si="0"/>
        <v>0</v>
      </c>
      <c r="LJ5" s="71">
        <f t="shared" si="0"/>
        <v>0.3</v>
      </c>
      <c r="LK5" s="71">
        <f t="shared" si="0"/>
        <v>28.25</v>
      </c>
      <c r="LL5" s="71">
        <f t="shared" si="0"/>
        <v>6</v>
      </c>
      <c r="LM5" s="71">
        <f t="shared" si="0"/>
        <v>0.45</v>
      </c>
      <c r="LN5" s="71">
        <f t="shared" si="0"/>
        <v>0.5</v>
      </c>
      <c r="LO5" s="71">
        <f t="shared" si="0"/>
        <v>28.6</v>
      </c>
      <c r="LP5" s="71">
        <f t="shared" si="0"/>
        <v>6</v>
      </c>
      <c r="LQ5" s="71">
        <f t="shared" si="0"/>
        <v>0</v>
      </c>
      <c r="LR5" s="71">
        <f t="shared" si="0"/>
        <v>0.25</v>
      </c>
      <c r="LS5" s="82" t="s">
        <v>96</v>
      </c>
      <c r="LT5" s="12">
        <f t="shared" ref="LT5:LT11" si="7">IF(SUM(LD5,LH5)&gt;0,SUM(LD5,LH5),"")</f>
        <v>13.2</v>
      </c>
      <c r="LU5" s="12">
        <f t="shared" ref="LU5:LU11" si="8">IF(SUM(LD5,LH5,LL5,LP5)&gt;0,SUM(LD5,LH5,LL5,LP5),"")</f>
        <v>25.2</v>
      </c>
      <c r="LV5" s="12">
        <f t="shared" ref="LV5:LV11" si="9">IF(SUM(LC5:LD5,LF5:LH5,LJ5)-SUM(LE5,LI5)&gt;0,SUM(LC5:LD5,LF5:LH5,LJ5)-SUM(LE5,LI5),"")</f>
        <v>68.599999999999994</v>
      </c>
      <c r="LW5" s="12">
        <f t="shared" ref="LW5:LW11" si="10">IF(SUM(LK5:LL5,LN5:LP5,LR5)-SUM(LM5,LQ5)&gt;0,SUM(LK5:LL5,LN5:LP5,LR5)-SUM(LM5,LQ5),"")</f>
        <v>69.149999999999991</v>
      </c>
      <c r="LX5" s="12">
        <f t="shared" ref="LX5:LX11" si="11">IF(SUM(LV5,LW5)&gt;0,SUM(LV5,LW5),"")</f>
        <v>137.75</v>
      </c>
    </row>
    <row r="6" spans="1:336" x14ac:dyDescent="0.2">
      <c r="A6" s="6">
        <f>IF(AND(F6="P",H6="P"),SUMPRODUCT((F$4:F$12="P")*(H$4:H$12="P")*(E$4:E$12&gt;E6))+1,IF(H6="P",SUMPRODUCT((F$4:F$12="")*(H$4:H$12="P")*(E$4:E$12&gt;E6))+1+SUMPRODUCT((F$4:F$12="P")*(H$4:H$12="P")),""))</f>
        <v>3</v>
      </c>
      <c r="B6" s="9" t="s">
        <v>84</v>
      </c>
      <c r="C6" s="5" t="s">
        <v>5</v>
      </c>
      <c r="D6" s="6">
        <v>1999</v>
      </c>
      <c r="E6" s="16">
        <f>SUM(J6:N6)</f>
        <v>204.1</v>
      </c>
      <c r="F6" s="4" t="str">
        <f>IF(OR(AND(AH6&gt;=AK$14,AJ6&gt;=AK$17,AJ6&lt;&gt;"",AG6=""),AND(BD6&gt;=BG$14,BF6&gt;=BG$17,BF6&lt;&gt;"",BC6=""),AND(CA6&gt;=CD$14,CC6&gt;=CD$17,CC6&lt;&gt;""),AND(CV6&gt;=CY$14,CX6&gt;=CY$17,CX6&lt;&gt;""),AND(DQ6&gt;=DT$14,DS6&gt;=DT$17,DS6&lt;&gt;""),AND(EL6&gt;=EO$14,EN6&gt;=EO$17,EN6&lt;&gt;""),AND(FG6&gt;=FJ$14,FI6&gt;=FJ$17,FI6&lt;&gt;""),AND(GB6&gt;=GE$14,GD6&gt;=GE$17,GD6&lt;&gt;""),AND(GW6&gt;=GZ$14,GY6&gt;=GZ$17,GY6&lt;&gt;""),AND(HR6&gt;=HU$14,HT6&gt;=HU$17,HT6&lt;&gt;""),AND(IM6&gt;=IP$14,IO6&gt;=IP$17,IO6&lt;&gt;""),AND(JH6&gt;=JK$14,JJ6&gt;=JK$17,JJ6&lt;&gt;""),AND(KC6&gt;=KF$14,KE6&gt;=KF$17,KE6&lt;&gt;""),AND(KX6&gt;=LA$14,KZ6&gt;=LA$17,KZ6&lt;&gt;"")),"P","")</f>
        <v>P</v>
      </c>
      <c r="G6" s="4" t="str">
        <f>IF(OR(AND(AH6&gt;=AK$15,AJ6&gt;=AK$18,AJ6&lt;&gt;"",AG6=""),AND(BD6&gt;=BG$15,BF6&gt;=BG$18,BF6&lt;&gt;"",BC6=""),AND(CA6&gt;=CD$15,CC6&gt;=CD$18,CC6&lt;&gt;""),AND(CV6&gt;=CY$15,CX6&gt;=CY$18,CX6&lt;&gt;""),AND(DQ6&gt;=DT$15,DS6&gt;=DT$18,DS6&lt;&gt;""),AND(EL6&gt;=EO$15,EN6&gt;=EO$18,EN6&lt;&gt;""),AND(FG6&gt;=FJ$15,FI6&gt;=FJ$18,FI6&lt;&gt;""),AND(GB6&gt;=GE$15,GD6&gt;=GE$18,GD6&lt;&gt;""),AND(GW6&gt;=GZ$15,GY6&gt;=GZ$18,GY6&lt;&gt;""),AND(HR6&gt;=HU$15,HT6&gt;=HU$18,HT6&lt;&gt;""),AND(IM6&gt;=IP$15,IO6&gt;=IP$18,IO6&lt;&gt;""),AND(JH6&gt;=JK$15,JJ6&gt;=JK$18,JJ6&lt;&gt;""),AND(KC6&gt;=KF$15,KE6&gt;=KF$18,KE6&lt;&gt;""),AND(KX6&gt;=LA$15,KZ6&gt;=LA$18,KZ6&lt;&gt;"")),"P","")</f>
        <v>P</v>
      </c>
      <c r="H6" s="4" t="str">
        <f>IF(OR(AND(AJ6&gt;=AK$17,AJ6&lt;&gt;"",AG6=""),AND(BF6&gt;=BG$17,BF6&lt;&gt;"",BC6=""),AND(CC6&gt;=CD$17,CC6&lt;&gt;""),AND(CX6&gt;=CY$17,CX6&lt;&gt;""),AND(DS6&gt;=DT$17,DS6&lt;&gt;""),AND(EN6&gt;=EO$17,EN6&lt;&gt;""),AND(FI6&gt;=FJ$17,FI6&lt;&gt;""),AND(GD6&gt;=GE$17,GD6&lt;&gt;""),AND(GY6&gt;=GZ$17,GY6&lt;&gt;""),AND(HT6&gt;=HU$17,HT6&lt;&gt;""),AND(IO6&gt;=IP$17,IO6&lt;&gt;""),AND(JJ6&gt;=JK$17,JJ6&lt;&gt;""),AND(KE6&gt;=KF$17,KE6&lt;&gt;""),AND(KZ6&gt;=LA$17,KZ6&lt;&gt;"")),"P","")</f>
        <v>P</v>
      </c>
      <c r="I6" t="str">
        <f>IF(AND(H6="P",F6=""),"No DD",IF(OR(AND(AI6&gt;=AK$16,AI6&lt;&gt;"",AL6&gt;=AK$20,AL6&lt;&gt;"",AG6=""),AND(BE6&gt;=BG$16,BE6&lt;&gt;"",BH6&gt;=BG$20,BH6&lt;&gt;"",BC6=""),AND(CB6&gt;=CD$16,CB6&lt;&gt;"",CE6&gt;=CD$20,CE6&lt;&gt;""),AND(CW6&gt;=CY$16,CW6&lt;&gt;"",CZ6&gt;=CY$20,CZ6&lt;&gt;""),AND(DR6&gt;=DT$16,DR6&lt;&gt;"",DU6&gt;=DT$20,DU6&lt;&gt;""),AND(EM6&gt;=EO$16,EM6&lt;&gt;"",EP6&gt;=EO$20,EP6&lt;&gt;""),AND(FH6&gt;=FJ$16,FH6&lt;&gt;"",FK6&gt;=FJ$20,FK6&lt;&gt;""),AND(GC6&gt;=GE$16,GC6&lt;&gt;"",GF6&gt;=GE$20,GF6&lt;&gt;""),AND(GX6&gt;=GZ$16,GX6&lt;&gt;"",HA6&gt;=GZ$20,HA6&lt;&gt;""),AND(HS6&gt;=HU$16,HS6&lt;&gt;"",HV6&gt;=HU$20,HV6&lt;&gt;""),AND(IN6&gt;=IP$16,IN6&lt;&gt;"",IQ6&gt;=IP$20,IQ6&lt;&gt;""),AND(JI6&gt;=JK$16,JI6&lt;&gt;"",JL6&gt;=JK$20,JL6&lt;&gt;""),AND(KD6&gt;=KF$16,KD6&lt;&gt;"",KG6&gt;=KF$20,KG6&lt;&gt;""),AND(KY6&gt;=LA$16,KY6&lt;&gt;"",LB6&gt;=LA$20,LB6&lt;&gt;"")),"Merit",IF(OR(AND(AI6&gt;=AK$16,AI6&lt;&gt;"",AL6&gt;=AK$19,AL6&lt;&gt;"",AG6=""),AND(BE6&gt;=BG$16,BE6&lt;&gt;"",BH6&gt;=BG$19,BH6&lt;&gt;"",BC6=""),AND(CB6&gt;=CD$16,CB6&lt;&gt;"",CE6&gt;=CD$19,CE6&lt;&gt;""),AND(CW6&gt;=CY$16,CW6&lt;&gt;"",CZ6&gt;=CY$19,CZ6&lt;&gt;""),AND(DR6&gt;=DT$16,DR6&lt;&gt;"",DU6&gt;=DT$19,DU6&lt;&gt;""),AND(EM6&gt;=EO$16,EM6&lt;&gt;"",EP6&gt;=EO$19,EP6&lt;&gt;""),AND(FH6&gt;=FJ$16,FH6&lt;&gt;"",FK6&gt;=FJ$19,FK6&lt;&gt;""),AND(GC6&gt;=GE$16,GC6&lt;&gt;"",GF6&gt;=GE$19,GF6&lt;&gt;""),AND(GX6&gt;=GZ$16,GX6&lt;&gt;"",HA6&gt;=GZ$19,HA6&lt;&gt;""),AND(HS6&gt;=HU$16,HS6&lt;&gt;"",HV6&gt;=HU$19,HV6&lt;&gt;""),AND(IN6&gt;=IP$16,IN6&lt;&gt;"",IQ6&gt;=IP$19,IQ6&lt;&gt;""),AND(JI6&gt;=JK$16,JI6&lt;&gt;"",JL6&gt;=JK$19,JL6&lt;&gt;""),AND(KD6&gt;=KF$16,KD6&lt;&gt;"",KG6&gt;=KF$19,KG6&lt;&gt;""),AND(KY6&gt;=LA$16,KY6&lt;&gt;"",LB6&gt;=LA$19,LB6&lt;&gt;"")),"Excellence",IF(OR(AND(AH6&gt;=AK$15,AH6&lt;&gt;"",AJ6&gt;=AK$18,AJ6&lt;&gt;"",AG6=""),AND(BD6&gt;=BG$15,BD6&lt;&gt;"",BF6&gt;=BG$18,BF6&lt;&gt;"",BC6=""),AND(CA6&gt;=CD$15,CA6&lt;&gt;"",CC6&gt;=CD$18,CC6&lt;&gt;""),AND(CV6&gt;=CY$15,CV6&lt;&gt;"",CX6&gt;=CY$18,CX6&lt;&gt;""),AND(DQ6&gt;=DT$15,DQ6&lt;&gt;"",DS6&gt;=DT$18,DS6&lt;&gt;""),AND(EL6&gt;=EO$15,EL6&lt;&gt;"",EN6&gt;=EO$18,EN6&lt;&gt;""),AND(FG6&gt;=FJ$15,FG6&lt;&gt;"",FI6&gt;=FJ$18,FI6&lt;&gt;""),AND(GB6&gt;=GE$15,GB6&lt;&gt;"",GD6&gt;=GE$18,GD6&lt;&gt;""),AND(GW6&gt;=GZ$15,GW6&lt;&gt;"",GY6&gt;=GZ$18,GY6&lt;&gt;""),AND(HR6&gt;=HU$15,HR6&lt;&gt;"",HT6&gt;=HU$18,HT6&lt;&gt;""),AND(IM6&gt;=IP$15,IM6&lt;&gt;"",IO6&gt;=IP$18,IO6&lt;&gt;""),AND(JH6&gt;=JK$15,JH6&lt;&gt;"",JJ6&gt;=JK$18,JJ6&lt;&gt;""),AND(KC6&gt;=KF$15,KC6&lt;&gt;"",KE6&gt;=KF$18,KE6&lt;&gt;""),AND(KX6&gt;=LA$15,KX6&lt;&gt;"",KZ6&gt;=LA$18,KZ6&lt;&gt;"")),"Worlds Team",IF(OR(AND(AH6&gt;=AK$14,AH6&lt;&gt;"",AJ6&gt;=AK$17,AJ6&lt;&gt;"",AG6=""),AND(BD6&gt;=BG$14,BD6&lt;&gt;"",BF6&gt;=BG$17,BF6&lt;&gt;"",BC6=""),AND(CA6&gt;=CD$14,CA6&lt;&gt;"",CC6&gt;=CD$17,CC6&lt;&gt;""),AND(CV6&gt;=CY$14,CV6&lt;&gt;"",CX6&gt;=CY$17,CX6&lt;&gt;""),AND(DQ6&gt;=DT$14,DQ6&lt;&gt;"",DS6&gt;=DT$17,DS6&lt;&gt;""),AND(EL6&gt;=EO$14,EL6&lt;&gt;"",EN6&gt;=EO$17,EN6&lt;&gt;""),AND(FG6&gt;=FJ$14,FG6&lt;&gt;"",FI6&gt;=FJ$17,FI6&lt;&gt;""),AND(GB6&gt;=GE$14,GB6&lt;&gt;"",GD6&gt;=GE$17,GD6&lt;&gt;""),AND(GW6&gt;=GZ$14,GW6&lt;&gt;"",GY6&gt;=GZ$17,GY6&lt;&gt;""),AND(HR6&gt;=HU$14,HR6&lt;&gt;"",HT6&gt;=HU$17,HT6&lt;&gt;""),AND(IM6&gt;=IP$14,IM6&lt;&gt;"",IO6&gt;=IP$17,IO6&lt;&gt;""),AND(JH6&gt;=JK$14,JH6&lt;&gt;"",JJ6&gt;=JK$17,JJ6&lt;&gt;""),AND(KC6&gt;=KF$14,KC6&lt;&gt;"",KE6&gt;=KF$17,KE6&lt;&gt;""),AND(KX6&gt;=LA$14,KX6&lt;&gt;"",KZ6&gt;=LA$17,KZ6&lt;&gt;"")),"National Team","")))))</f>
        <v>Excellence</v>
      </c>
      <c r="J6" s="15">
        <f>IF(MAX(AL6,BH6)&gt;0,MAX(AL6,BH6),"")</f>
        <v>135.30000000000001</v>
      </c>
      <c r="K6" s="15" t="str">
        <f>IF(J6="","",IF(J6=BH6,$AM$1,IF(J6=AL6,$Q$1,"")))</f>
        <v>2019 Elite Canada</v>
      </c>
      <c r="L6" s="15">
        <f>IF(J6=AL6,IF(MAX(BF6,BG6)&gt;0,MAX(BF6,BG6),""),IF(J6=BH6,IF(MAX(AJ6,AK6)&gt;0,MAX(AJ6,AK6),""),MAX(AJ6,AK6,BF6,BG6)))</f>
        <v>67.899999999999991</v>
      </c>
      <c r="M6" s="15" t="str">
        <f>IF(L6="","",IF(AND(J6&lt;&gt;BH6,OR(L6=BG6,L6=BF6)),$AM$1,IF(OR(L6=AK6,L6=AJ6),$Q$1,"")))</f>
        <v>2019 Nationals</v>
      </c>
      <c r="N6" s="15">
        <f>IF(MAX(BI6:BJ6)&gt;0,MAX(BI6:BJ6),"")</f>
        <v>0.90000000000000568</v>
      </c>
      <c r="O6" s="27" t="str">
        <f>IF(N6="","",IF(N6=BI6,"(4 Pass)",IF(N6=BJ6,"(2 Pass)")))</f>
        <v>(2 Pass)</v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>2019 World Cup ESP (Oct 6)</v>
      </c>
      <c r="Q6" s="71">
        <v>28.5</v>
      </c>
      <c r="R6" s="71">
        <v>5.6</v>
      </c>
      <c r="S6" s="71">
        <v>0</v>
      </c>
      <c r="T6" s="71">
        <v>0</v>
      </c>
      <c r="U6" s="71">
        <v>28.2</v>
      </c>
      <c r="V6" s="71">
        <v>5.6</v>
      </c>
      <c r="W6" s="71">
        <v>0</v>
      </c>
      <c r="X6" s="71">
        <v>0</v>
      </c>
      <c r="Y6" s="71">
        <v>28.1</v>
      </c>
      <c r="Z6" s="71">
        <v>5.2</v>
      </c>
      <c r="AA6" s="71">
        <v>0</v>
      </c>
      <c r="AB6" s="71">
        <v>0.5</v>
      </c>
      <c r="AC6" s="71">
        <v>28.4</v>
      </c>
      <c r="AD6" s="71">
        <v>5.2</v>
      </c>
      <c r="AE6" s="71">
        <v>0</v>
      </c>
      <c r="AF6" s="71">
        <v>0</v>
      </c>
      <c r="AG6" s="82"/>
      <c r="AH6" s="12">
        <f>IF(SUM(R6,V6)&gt;0,SUM(R6,V6),"")</f>
        <v>11.2</v>
      </c>
      <c r="AI6" s="12">
        <f>IF(SUM(R6,V6,Z6,AD6)&gt;0,SUM(R6,V6,Z6,AD6),"")</f>
        <v>21.599999999999998</v>
      </c>
      <c r="AJ6" s="12">
        <f>IF(SUM(Q6:R6,T6:V6,X6)-SUM(S6,W6)&gt;0,SUM(Q6:R6,T6:V6,X6)-SUM(S6,W6),"")</f>
        <v>67.899999999999991</v>
      </c>
      <c r="AK6" s="12">
        <f>IF(SUM(Y6:Z6,AB6:AD6,AF6)-SUM(AA6,AE6)&gt;0,SUM(Y6:Z6,AB6:AD6,AF6)-SUM(AA6,AE6),"")</f>
        <v>67.400000000000006</v>
      </c>
      <c r="AL6" s="12">
        <f>IF(SUM(AJ6,AK6)&gt;0,SUM(AJ6,AK6),"")</f>
        <v>135.30000000000001</v>
      </c>
      <c r="AM6" s="40">
        <v>28.5</v>
      </c>
      <c r="AN6" s="40">
        <v>5.6</v>
      </c>
      <c r="AO6" s="40">
        <v>0</v>
      </c>
      <c r="AP6" s="40">
        <v>0</v>
      </c>
      <c r="AQ6" s="40">
        <v>28.2</v>
      </c>
      <c r="AR6" s="40">
        <v>5.6</v>
      </c>
      <c r="AS6" s="40">
        <v>0</v>
      </c>
      <c r="AT6" s="40">
        <v>0</v>
      </c>
      <c r="AU6" s="40">
        <v>19.600000000000001</v>
      </c>
      <c r="AV6" s="40">
        <v>3.6</v>
      </c>
      <c r="AW6" s="40">
        <v>0</v>
      </c>
      <c r="AX6" s="40">
        <v>0.5</v>
      </c>
      <c r="AY6" s="40">
        <v>27.5</v>
      </c>
      <c r="AZ6" s="40">
        <v>5.2</v>
      </c>
      <c r="BA6" s="40">
        <v>0</v>
      </c>
      <c r="BB6" s="40">
        <v>0</v>
      </c>
      <c r="BC6" s="83"/>
      <c r="BD6" s="15">
        <f>IF(SUM(AN6,AR6)&gt;0,SUM(AN6,AR6),"")</f>
        <v>11.2</v>
      </c>
      <c r="BE6" s="15">
        <f>IF(SUM(AN6,AR6,AV6,AZ6)&gt;0,SUM(AN6,AR6,AV6,AZ6),"")</f>
        <v>20</v>
      </c>
      <c r="BF6" s="15">
        <f>IF(SUM(AM6:AN6,AP6:AR6,AT6)-SUM(AO6,AS6)&gt;0,SUM(AM6:AN6,AP6:AR6,AT6)-SUM(AO6,AS6),"")</f>
        <v>67.899999999999991</v>
      </c>
      <c r="BG6" s="15">
        <f>IF(SUM(AU6:AV6,AX6:AZ6,BB6)-SUM(AW6,BA6)&gt;0,SUM(AU6:AV6,AX6:AZ6,BB6)-SUM(AW6,BA6),"")</f>
        <v>56.400000000000006</v>
      </c>
      <c r="BH6" s="15">
        <f>IF(SUM(BF6,BG6)&gt;0,SUM(BF6,BG6),"")</f>
        <v>124.3</v>
      </c>
      <c r="BI6" s="26">
        <f>IF(MAX(CE6,CZ6,DU6,EP6,FK6,GF6,HA6,HV6,IQ6,JL6,KG6,LB6)-IF(J6="",0,J6)&gt;0.001,MAX(CE6,CZ6,DU6,EP6,FK6,GF6,HA6,HV6,IQ6,JL6,KG6,LB6)-IF(J6="",0,J6),"")</f>
        <v>0.89999999999997726</v>
      </c>
      <c r="BJ6" s="26">
        <f>IF(MAX(CC6,CD6,CX6,CY6,DS6,DT6,EN6,EO6,FI6,FJ6,GD6,GE6,GY6,GZ6,HT6,HU6,IO6,IP6,JJ6,JK6,KE6,KF6,KZ6,LA6)-IF(L6="",0,L6)&gt;0.001,MAX(CC6,CD6,CX6,CY6,DS6,DT6,EN6,EO6,FI6,FJ6,GD6,GE6,GY6,GZ6,HT6,HU6,IO6,IP6,JJ6,JK6,KE6,KF6,KZ6,LA6)-IF(L6="",0,L6),"")</f>
        <v>0.90000000000000568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>IF(SUM(BL6,BP6)&gt;0,SUM(BL6,BP6),"")</f>
        <v/>
      </c>
      <c r="CB6" s="12" t="str">
        <f>IF(SUM(BL6,BP6,BT6,BX6)&gt;0,SUM(BL6,BP6,BT6,BX6),"")</f>
        <v/>
      </c>
      <c r="CC6" s="12" t="str">
        <f>IF(SUM(BK6:BL6,BN6:BP6,BR6)-SUM(BM6,BQ6)&gt;0,SUM(BK6:BL6,BN6:BP6,BR6)-SUM(BM6,BQ6),"")</f>
        <v/>
      </c>
      <c r="CD6" s="12" t="str">
        <f>IF(SUM(BS6:BT6,BV6:BX6,BZ6)-SUM(BU6,BY6)&gt;0,SUM(BS6:BT6,BV6:BX6,BZ6)-SUM(BU6,BY6),"")</f>
        <v/>
      </c>
      <c r="CE6" s="12" t="str">
        <f>IF(SUM(CC6,CD6)&gt;0,SUM(CC6,CD6),"")</f>
        <v/>
      </c>
      <c r="CF6" s="45">
        <v>28.6</v>
      </c>
      <c r="CG6" s="45">
        <v>6.8</v>
      </c>
      <c r="CH6" s="45">
        <v>0.9</v>
      </c>
      <c r="CI6" s="45">
        <v>0</v>
      </c>
      <c r="CJ6" s="45">
        <v>28.3</v>
      </c>
      <c r="CK6" s="45">
        <v>6</v>
      </c>
      <c r="CL6" s="45">
        <v>0</v>
      </c>
      <c r="CM6" s="45">
        <v>0</v>
      </c>
      <c r="CN6" s="45">
        <v>28.4</v>
      </c>
      <c r="CO6" s="45">
        <v>6</v>
      </c>
      <c r="CP6" s="45">
        <v>0.9</v>
      </c>
      <c r="CQ6" s="45">
        <v>0</v>
      </c>
      <c r="CR6" s="45">
        <v>27.5</v>
      </c>
      <c r="CS6" s="45">
        <v>6.4</v>
      </c>
      <c r="CT6" s="45">
        <v>0</v>
      </c>
      <c r="CU6" s="45">
        <v>0</v>
      </c>
      <c r="CV6" s="15">
        <f>IF(SUM(CG6,CK6)&gt;0,SUM(CG6,CK6),"")</f>
        <v>12.8</v>
      </c>
      <c r="CW6" s="15">
        <f>IF(SUM(CG6,CK6,CO6,CS6)&gt;0,SUM(CG6,CK6,CO6,CS6),"")</f>
        <v>25.200000000000003</v>
      </c>
      <c r="CX6" s="15">
        <f>IF(SUM(CF6:CG6,CI6:CK6,CM6)-SUM(CH6,CL6)&gt;0,SUM(CF6:CG6,CI6:CK6,CM6)-SUM(CH6,CL6),"")</f>
        <v>68.8</v>
      </c>
      <c r="CY6" s="15">
        <f>IF(SUM(CN6:CO6,CQ6:CS6,CU6)-SUM(CP6,CT6)&gt;0,SUM(CN6:CO6,CQ6:CS6,CU6)-SUM(CP6,CT6),"")</f>
        <v>67.399999999999991</v>
      </c>
      <c r="CZ6" s="15">
        <f>IF(SUM(CX6,CY6)&gt;0,SUM(CX6,CY6),"")</f>
        <v>136.19999999999999</v>
      </c>
      <c r="DA6" s="46">
        <v>28.5</v>
      </c>
      <c r="DB6" s="46">
        <v>5.6</v>
      </c>
      <c r="DC6" s="46">
        <v>0</v>
      </c>
      <c r="DD6" s="46">
        <v>0</v>
      </c>
      <c r="DE6" s="46">
        <v>28</v>
      </c>
      <c r="DF6" s="46">
        <v>5.6</v>
      </c>
      <c r="DG6" s="46">
        <v>0</v>
      </c>
      <c r="DH6" s="46">
        <v>0</v>
      </c>
      <c r="DI6" s="46"/>
      <c r="DJ6" s="46"/>
      <c r="DK6" s="46"/>
      <c r="DL6" s="46"/>
      <c r="DM6" s="46"/>
      <c r="DN6" s="46"/>
      <c r="DO6" s="46"/>
      <c r="DP6" s="46"/>
      <c r="DQ6" s="12">
        <f>IF(SUM(DB6,DF6)&gt;0,SUM(DB6,DF6),"")</f>
        <v>11.2</v>
      </c>
      <c r="DR6" s="12">
        <f>IF(SUM(DB6,DF6,DJ6,DN6)&gt;0,SUM(DB6,DF6,DJ6,DN6),"")</f>
        <v>11.2</v>
      </c>
      <c r="DS6" s="12">
        <f>IF(SUM(DA6:DB6,DD6:DF6,DH6)-SUM(DC6,DG6)&gt;0,SUM(DA6:DB6,DD6:DF6,DH6)-SUM(DC6,DG6),"")</f>
        <v>67.7</v>
      </c>
      <c r="DT6" s="12" t="str">
        <f>IF(SUM(DI6:DJ6,DL6:DN6,DP6)-SUM(DK6,DO6)&gt;0,SUM(DI6:DJ6,DL6:DN6,DP6)-SUM(DK6,DO6),"")</f>
        <v/>
      </c>
      <c r="DU6" s="12">
        <f>IF(SUM(DS6,DT6)&gt;0,SUM(DS6,DT6),"")</f>
        <v>67.7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71">
        <f t="shared" si="6"/>
        <v>28.5</v>
      </c>
      <c r="LD6" s="71">
        <f t="shared" si="0"/>
        <v>5.6</v>
      </c>
      <c r="LE6" s="71">
        <f t="shared" si="0"/>
        <v>0</v>
      </c>
      <c r="LF6" s="71">
        <f t="shared" si="0"/>
        <v>0</v>
      </c>
      <c r="LG6" s="71">
        <f t="shared" si="0"/>
        <v>28.2</v>
      </c>
      <c r="LH6" s="71">
        <f t="shared" si="0"/>
        <v>5.6</v>
      </c>
      <c r="LI6" s="71">
        <f t="shared" si="0"/>
        <v>0</v>
      </c>
      <c r="LJ6" s="71">
        <f t="shared" si="0"/>
        <v>0</v>
      </c>
      <c r="LK6" s="71">
        <f t="shared" si="0"/>
        <v>23.85</v>
      </c>
      <c r="LL6" s="71">
        <f t="shared" si="0"/>
        <v>4.4000000000000004</v>
      </c>
      <c r="LM6" s="71">
        <f t="shared" si="0"/>
        <v>0</v>
      </c>
      <c r="LN6" s="71">
        <f t="shared" si="0"/>
        <v>0.5</v>
      </c>
      <c r="LO6" s="71">
        <f t="shared" si="0"/>
        <v>27.95</v>
      </c>
      <c r="LP6" s="71">
        <f t="shared" si="0"/>
        <v>5.2</v>
      </c>
      <c r="LQ6" s="71">
        <f t="shared" si="0"/>
        <v>0</v>
      </c>
      <c r="LR6" s="71">
        <f t="shared" si="0"/>
        <v>0</v>
      </c>
      <c r="LS6" s="82" t="s">
        <v>96</v>
      </c>
      <c r="LT6" s="12">
        <f t="shared" si="7"/>
        <v>11.2</v>
      </c>
      <c r="LU6" s="12">
        <f t="shared" si="8"/>
        <v>20.8</v>
      </c>
      <c r="LV6" s="12">
        <f t="shared" si="9"/>
        <v>67.899999999999991</v>
      </c>
      <c r="LW6" s="12">
        <f t="shared" si="10"/>
        <v>61.900000000000006</v>
      </c>
      <c r="LX6" s="12">
        <f t="shared" si="11"/>
        <v>129.80000000000001</v>
      </c>
    </row>
    <row r="7" spans="1:336" x14ac:dyDescent="0.2">
      <c r="A7" s="6">
        <f>IF(AND(F7="P",H7="P"),SUMPRODUCT((F$4:F$12="P")*(H$4:H$12="P")*(E$4:E$12&gt;E7))+1,IF(H7="P",SUMPRODUCT((F$4:F$12="")*(H$4:H$12="P")*(E$4:E$12&gt;E7))+1+SUMPRODUCT((F$4:F$12="P")*(H$4:H$12="P")),""))</f>
        <v>4</v>
      </c>
      <c r="B7" s="9" t="s">
        <v>65</v>
      </c>
      <c r="C7" s="5" t="s">
        <v>66</v>
      </c>
      <c r="D7" s="6">
        <v>1998</v>
      </c>
      <c r="E7" s="16">
        <f>SUM(J7:N7)</f>
        <v>203.7</v>
      </c>
      <c r="F7" s="4" t="str">
        <f>IF(OR(AND(AH7&gt;=AK$14,AJ7&gt;=AK$17,AJ7&lt;&gt;"",AG7=""),AND(BD7&gt;=BG$14,BF7&gt;=BG$17,BF7&lt;&gt;"",BC7=""),AND(CA7&gt;=CD$14,CC7&gt;=CD$17,CC7&lt;&gt;""),AND(CV7&gt;=CY$14,CX7&gt;=CY$17,CX7&lt;&gt;""),AND(DQ7&gt;=DT$14,DS7&gt;=DT$17,DS7&lt;&gt;""),AND(EL7&gt;=EO$14,EN7&gt;=EO$17,EN7&lt;&gt;""),AND(FG7&gt;=FJ$14,FI7&gt;=FJ$17,FI7&lt;&gt;""),AND(GB7&gt;=GE$14,GD7&gt;=GE$17,GD7&lt;&gt;""),AND(GW7&gt;=GZ$14,GY7&gt;=GZ$17,GY7&lt;&gt;""),AND(HR7&gt;=HU$14,HT7&gt;=HU$17,HT7&lt;&gt;""),AND(IM7&gt;=IP$14,IO7&gt;=IP$17,IO7&lt;&gt;""),AND(JH7&gt;=JK$14,JJ7&gt;=JK$17,JJ7&lt;&gt;""),AND(KC7&gt;=KF$14,KE7&gt;=KF$17,KE7&lt;&gt;""),AND(KX7&gt;=LA$14,KZ7&gt;=LA$17,KZ7&lt;&gt;"")),"P","")</f>
        <v>P</v>
      </c>
      <c r="G7" s="4" t="str">
        <f>IF(OR(AND(AH7&gt;=AK$15,AJ7&gt;=AK$18,AJ7&lt;&gt;"",AG7=""),AND(BD7&gt;=BG$15,BF7&gt;=BG$18,BF7&lt;&gt;"",BC7=""),AND(CA7&gt;=CD$15,CC7&gt;=CD$18,CC7&lt;&gt;""),AND(CV7&gt;=CY$15,CX7&gt;=CY$18,CX7&lt;&gt;""),AND(DQ7&gt;=DT$15,DS7&gt;=DT$18,DS7&lt;&gt;""),AND(EL7&gt;=EO$15,EN7&gt;=EO$18,EN7&lt;&gt;""),AND(FG7&gt;=FJ$15,FI7&gt;=FJ$18,FI7&lt;&gt;""),AND(GB7&gt;=GE$15,GD7&gt;=GE$18,GD7&lt;&gt;""),AND(GW7&gt;=GZ$15,GY7&gt;=GZ$18,GY7&lt;&gt;""),AND(HR7&gt;=HU$15,HT7&gt;=HU$18,HT7&lt;&gt;""),AND(IM7&gt;=IP$15,IO7&gt;=IP$18,IO7&lt;&gt;""),AND(JH7&gt;=JK$15,JJ7&gt;=JK$18,JJ7&lt;&gt;""),AND(KC7&gt;=KF$15,KE7&gt;=KF$18,KE7&lt;&gt;""),AND(KX7&gt;=LA$15,KZ7&gt;=LA$18,KZ7&lt;&gt;"")),"P","")</f>
        <v>P</v>
      </c>
      <c r="H7" s="4" t="str">
        <f>IF(OR(AND(AJ7&gt;=AK$17,AJ7&lt;&gt;"",AG7=""),AND(BF7&gt;=BG$17,BF7&lt;&gt;"",BC7=""),AND(CC7&gt;=CD$17,CC7&lt;&gt;""),AND(CX7&gt;=CY$17,CX7&lt;&gt;""),AND(DS7&gt;=DT$17,DS7&lt;&gt;""),AND(EN7&gt;=EO$17,EN7&lt;&gt;""),AND(FI7&gt;=FJ$17,FI7&lt;&gt;""),AND(GD7&gt;=GE$17,GD7&lt;&gt;""),AND(GY7&gt;=GZ$17,GY7&lt;&gt;""),AND(HT7&gt;=HU$17,HT7&lt;&gt;""),AND(IO7&gt;=IP$17,IO7&lt;&gt;""),AND(JJ7&gt;=JK$17,JJ7&lt;&gt;""),AND(KE7&gt;=KF$17,KE7&lt;&gt;""),AND(KZ7&gt;=LA$17,KZ7&lt;&gt;"")),"P","")</f>
        <v>P</v>
      </c>
      <c r="I7" t="str">
        <f>IF(AND(H7="P",F7=""),"No DD",IF(OR(AND(AI7&gt;=AK$16,AI7&lt;&gt;"",AL7&gt;=AK$20,AL7&lt;&gt;"",AG7=""),AND(BE7&gt;=BG$16,BE7&lt;&gt;"",BH7&gt;=BG$20,BH7&lt;&gt;"",BC7=""),AND(CB7&gt;=CD$16,CB7&lt;&gt;"",CE7&gt;=CD$20,CE7&lt;&gt;""),AND(CW7&gt;=CY$16,CW7&lt;&gt;"",CZ7&gt;=CY$20,CZ7&lt;&gt;""),AND(DR7&gt;=DT$16,DR7&lt;&gt;"",DU7&gt;=DT$20,DU7&lt;&gt;""),AND(EM7&gt;=EO$16,EM7&lt;&gt;"",EP7&gt;=EO$20,EP7&lt;&gt;""),AND(FH7&gt;=FJ$16,FH7&lt;&gt;"",FK7&gt;=FJ$20,FK7&lt;&gt;""),AND(GC7&gt;=GE$16,GC7&lt;&gt;"",GF7&gt;=GE$20,GF7&lt;&gt;""),AND(GX7&gt;=GZ$16,GX7&lt;&gt;"",HA7&gt;=GZ$20,HA7&lt;&gt;""),AND(HS7&gt;=HU$16,HS7&lt;&gt;"",HV7&gt;=HU$20,HV7&lt;&gt;""),AND(IN7&gt;=IP$16,IN7&lt;&gt;"",IQ7&gt;=IP$20,IQ7&lt;&gt;""),AND(JI7&gt;=JK$16,JI7&lt;&gt;"",JL7&gt;=JK$20,JL7&lt;&gt;""),AND(KD7&gt;=KF$16,KD7&lt;&gt;"",KG7&gt;=KF$20,KG7&lt;&gt;""),AND(KY7&gt;=LA$16,KY7&lt;&gt;"",LB7&gt;=LA$20,LB7&lt;&gt;"")),"Merit",IF(OR(AND(AI7&gt;=AK$16,AI7&lt;&gt;"",AL7&gt;=AK$19,AL7&lt;&gt;"",AG7=""),AND(BE7&gt;=BG$16,BE7&lt;&gt;"",BH7&gt;=BG$19,BH7&lt;&gt;"",BC7=""),AND(CB7&gt;=CD$16,CB7&lt;&gt;"",CE7&gt;=CD$19,CE7&lt;&gt;""),AND(CW7&gt;=CY$16,CW7&lt;&gt;"",CZ7&gt;=CY$19,CZ7&lt;&gt;""),AND(DR7&gt;=DT$16,DR7&lt;&gt;"",DU7&gt;=DT$19,DU7&lt;&gt;""),AND(EM7&gt;=EO$16,EM7&lt;&gt;"",EP7&gt;=EO$19,EP7&lt;&gt;""),AND(FH7&gt;=FJ$16,FH7&lt;&gt;"",FK7&gt;=FJ$19,FK7&lt;&gt;""),AND(GC7&gt;=GE$16,GC7&lt;&gt;"",GF7&gt;=GE$19,GF7&lt;&gt;""),AND(GX7&gt;=GZ$16,GX7&lt;&gt;"",HA7&gt;=GZ$19,HA7&lt;&gt;""),AND(HS7&gt;=HU$16,HS7&lt;&gt;"",HV7&gt;=HU$19,HV7&lt;&gt;""),AND(IN7&gt;=IP$16,IN7&lt;&gt;"",IQ7&gt;=IP$19,IQ7&lt;&gt;""),AND(JI7&gt;=JK$16,JI7&lt;&gt;"",JL7&gt;=JK$19,JL7&lt;&gt;""),AND(KD7&gt;=KF$16,KD7&lt;&gt;"",KG7&gt;=KF$19,KG7&lt;&gt;""),AND(KY7&gt;=LA$16,KY7&lt;&gt;"",LB7&gt;=LA$19,LB7&lt;&gt;"")),"Excellence",IF(OR(AND(AH7&gt;=AK$15,AH7&lt;&gt;"",AJ7&gt;=AK$18,AJ7&lt;&gt;"",AG7=""),AND(BD7&gt;=BG$15,BD7&lt;&gt;"",BF7&gt;=BG$18,BF7&lt;&gt;"",BC7=""),AND(CA7&gt;=CD$15,CA7&lt;&gt;"",CC7&gt;=CD$18,CC7&lt;&gt;""),AND(CV7&gt;=CY$15,CV7&lt;&gt;"",CX7&gt;=CY$18,CX7&lt;&gt;""),AND(DQ7&gt;=DT$15,DQ7&lt;&gt;"",DS7&gt;=DT$18,DS7&lt;&gt;""),AND(EL7&gt;=EO$15,EL7&lt;&gt;"",EN7&gt;=EO$18,EN7&lt;&gt;""),AND(FG7&gt;=FJ$15,FG7&lt;&gt;"",FI7&gt;=FJ$18,FI7&lt;&gt;""),AND(GB7&gt;=GE$15,GB7&lt;&gt;"",GD7&gt;=GE$18,GD7&lt;&gt;""),AND(GW7&gt;=GZ$15,GW7&lt;&gt;"",GY7&gt;=GZ$18,GY7&lt;&gt;""),AND(HR7&gt;=HU$15,HR7&lt;&gt;"",HT7&gt;=HU$18,HT7&lt;&gt;""),AND(IM7&gt;=IP$15,IM7&lt;&gt;"",IO7&gt;=IP$18,IO7&lt;&gt;""),AND(JH7&gt;=JK$15,JH7&lt;&gt;"",JJ7&gt;=JK$18,JJ7&lt;&gt;""),AND(KC7&gt;=KF$15,KC7&lt;&gt;"",KE7&gt;=KF$18,KE7&lt;&gt;""),AND(KX7&gt;=LA$15,KX7&lt;&gt;"",KZ7&gt;=LA$18,KZ7&lt;&gt;"")),"Worlds Team",IF(OR(AND(AH7&gt;=AK$14,AH7&lt;&gt;"",AJ7&gt;=AK$17,AJ7&lt;&gt;"",AG7=""),AND(BD7&gt;=BG$14,BD7&lt;&gt;"",BF7&gt;=BG$17,BF7&lt;&gt;"",BC7=""),AND(CA7&gt;=CD$14,CA7&lt;&gt;"",CC7&gt;=CD$17,CC7&lt;&gt;""),AND(CV7&gt;=CY$14,CV7&lt;&gt;"",CX7&gt;=CY$17,CX7&lt;&gt;""),AND(DQ7&gt;=DT$14,DQ7&lt;&gt;"",DS7&gt;=DT$17,DS7&lt;&gt;""),AND(EL7&gt;=EO$14,EL7&lt;&gt;"",EN7&gt;=EO$17,EN7&lt;&gt;""),AND(FG7&gt;=FJ$14,FG7&lt;&gt;"",FI7&gt;=FJ$17,FI7&lt;&gt;""),AND(GB7&gt;=GE$14,GB7&lt;&gt;"",GD7&gt;=GE$17,GD7&lt;&gt;""),AND(GW7&gt;=GZ$14,GW7&lt;&gt;"",GY7&gt;=GZ$17,GY7&lt;&gt;""),AND(HR7&gt;=HU$14,HR7&lt;&gt;"",HT7&gt;=HU$17,HT7&lt;&gt;""),AND(IM7&gt;=IP$14,IM7&lt;&gt;"",IO7&gt;=IP$17,IO7&lt;&gt;""),AND(JH7&gt;=JK$14,JH7&lt;&gt;"",JJ7&gt;=JK$17,JJ7&lt;&gt;""),AND(KC7&gt;=KF$14,KC7&lt;&gt;"",KE7&gt;=KF$17,KE7&lt;&gt;""),AND(KX7&gt;=LA$14,KX7&lt;&gt;"",KZ7&gt;=LA$17,KZ7&lt;&gt;"")),"National Team","")))))</f>
        <v>Merit</v>
      </c>
      <c r="J7" s="15">
        <f>IF(MAX(AL7,BH7)&gt;0,MAX(AL7,BH7),"")</f>
        <v>137.1</v>
      </c>
      <c r="K7" s="15" t="str">
        <f>IF(J7="","",IF(J7=BH7,$AM$1,IF(J7=AL7,$Q$1,"")))</f>
        <v>2019 Elite Canada</v>
      </c>
      <c r="L7" s="15">
        <f>IF(J7=AL7,IF(MAX(BF7,BG7)&gt;0,MAX(BF7,BG7),""),IF(J7=BH7,IF(MAX(AJ7,AK7)&gt;0,MAX(AJ7,AK7),""),MAX(AJ7,AK7,BF7,BG7)))</f>
        <v>66.599999999999994</v>
      </c>
      <c r="M7" s="15" t="str">
        <f>IF(L7="","",IF(AND(J7&lt;&gt;BH7,OR(L7=BG7,L7=BF7)),$AM$1,IF(OR(L7=AK7,L7=AJ7),$Q$1,"")))</f>
        <v>2019 Nationals</v>
      </c>
      <c r="N7" s="15" t="str">
        <f>IF(MAX(BI7:BJ7)&gt;0,MAX(BI7:BJ7),"")</f>
        <v/>
      </c>
      <c r="O7" s="27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71">
        <v>27.7</v>
      </c>
      <c r="R7" s="71">
        <v>6.4</v>
      </c>
      <c r="S7" s="71">
        <v>0</v>
      </c>
      <c r="T7" s="71">
        <v>0</v>
      </c>
      <c r="U7" s="71">
        <v>28.1</v>
      </c>
      <c r="V7" s="71">
        <v>6.8</v>
      </c>
      <c r="W7" s="71">
        <v>0</v>
      </c>
      <c r="X7" s="71">
        <v>0.3</v>
      </c>
      <c r="Y7" s="71">
        <v>28.6</v>
      </c>
      <c r="Z7" s="71">
        <v>5.6</v>
      </c>
      <c r="AA7" s="71">
        <v>0</v>
      </c>
      <c r="AB7" s="71">
        <v>0</v>
      </c>
      <c r="AC7" s="71">
        <v>27.9</v>
      </c>
      <c r="AD7" s="71">
        <v>6</v>
      </c>
      <c r="AE7" s="71">
        <v>0.3</v>
      </c>
      <c r="AF7" s="71">
        <v>0</v>
      </c>
      <c r="AG7" s="82"/>
      <c r="AH7" s="12">
        <f>IF(SUM(R7,V7)&gt;0,SUM(R7,V7),"")</f>
        <v>13.2</v>
      </c>
      <c r="AI7" s="12">
        <f>IF(SUM(R7,V7,Z7,AD7)&gt;0,SUM(R7,V7,Z7,AD7),"")</f>
        <v>24.799999999999997</v>
      </c>
      <c r="AJ7" s="12">
        <f>IF(SUM(Q7:R7,T7:V7,X7)-SUM(S7,W7)&gt;0,SUM(Q7:R7,T7:V7,X7)-SUM(S7,W7),"")</f>
        <v>69.3</v>
      </c>
      <c r="AK7" s="12">
        <f>IF(SUM(Y7:Z7,AB7:AD7,AF7)-SUM(AA7,AE7)&gt;0,SUM(Y7:Z7,AB7:AD7,AF7)-SUM(AA7,AE7),"")</f>
        <v>67.8</v>
      </c>
      <c r="AL7" s="12">
        <f>IF(SUM(AJ7,AK7)&gt;0,SUM(AJ7,AK7),"")</f>
        <v>137.1</v>
      </c>
      <c r="AM7" s="40">
        <v>28.2</v>
      </c>
      <c r="AN7" s="40">
        <v>6.4</v>
      </c>
      <c r="AO7" s="40">
        <v>0.3</v>
      </c>
      <c r="AP7" s="40">
        <v>0</v>
      </c>
      <c r="AQ7" s="40">
        <v>28.2</v>
      </c>
      <c r="AR7" s="40">
        <v>5.2</v>
      </c>
      <c r="AS7" s="40">
        <v>1.2</v>
      </c>
      <c r="AT7" s="40">
        <v>0</v>
      </c>
      <c r="AU7" s="40">
        <v>28.3</v>
      </c>
      <c r="AV7" s="40">
        <v>4.8</v>
      </c>
      <c r="AW7" s="40">
        <v>0</v>
      </c>
      <c r="AX7" s="40">
        <v>0</v>
      </c>
      <c r="AY7" s="40">
        <v>28.7</v>
      </c>
      <c r="AZ7" s="40">
        <v>4.8</v>
      </c>
      <c r="BA7" s="40">
        <v>0</v>
      </c>
      <c r="BB7" s="40">
        <v>0</v>
      </c>
      <c r="BC7" s="83"/>
      <c r="BD7" s="15">
        <f>IF(SUM(AN7,AR7)&gt;0,SUM(AN7,AR7),"")</f>
        <v>11.600000000000001</v>
      </c>
      <c r="BE7" s="15">
        <f>IF(SUM(AN7,AR7,AV7,AZ7)&gt;0,SUM(AN7,AR7,AV7,AZ7),"")</f>
        <v>21.200000000000003</v>
      </c>
      <c r="BF7" s="15">
        <f>IF(SUM(AM7:AN7,AP7:AR7,AT7)-SUM(AO7,AS7)&gt;0,SUM(AM7:AN7,AP7:AR7,AT7)-SUM(AO7,AS7),"")</f>
        <v>66.5</v>
      </c>
      <c r="BG7" s="15">
        <f>IF(SUM(AU7:AV7,AX7:AZ7,BB7)-SUM(AW7,BA7)&gt;0,SUM(AU7:AV7,AX7:AZ7,BB7)-SUM(AW7,BA7),"")</f>
        <v>66.599999999999994</v>
      </c>
      <c r="BH7" s="15">
        <f>IF(SUM(BF7,BG7)&gt;0,SUM(BF7,BG7),"")</f>
        <v>133.1</v>
      </c>
      <c r="BI7" s="26" t="str">
        <f>IF(MAX(CE7,CZ7,DU7,EP7,FK7,GF7,HA7,HV7,IQ7,JL7,KG7,LB7)-IF(J7="",0,J7)&gt;0.001,MAX(CE7,CZ7,DU7,EP7,FK7,GF7,HA7,HV7,IQ7,JL7,KG7,LB7)-IF(J7="",0,J7),"")</f>
        <v/>
      </c>
      <c r="BJ7" s="26" t="str">
        <f>IF(MAX(CC7,CD7,CX7,CY7,DS7,DT7,EN7,EO7,FI7,FJ7,GD7,GE7,GY7,GZ7,HT7,HU7,IO7,IP7,JJ7,JK7,KE7,KF7,KZ7,LA7)-IF(L7="",0,L7)&gt;0.001,MAX(CC7,CD7,CX7,CY7,DS7,DT7,EN7,EO7,FI7,FJ7,GD7,GE7,GY7,GZ7,HT7,HU7,IO7,IP7,JJ7,JK7,KE7,KF7,KZ7,LA7)-IF(L7="",0,L7),"")</f>
        <v/>
      </c>
      <c r="BK7" s="46">
        <v>27.9</v>
      </c>
      <c r="BL7" s="46">
        <v>6.4</v>
      </c>
      <c r="BM7" s="46">
        <v>0.9</v>
      </c>
      <c r="BN7" s="46">
        <v>0</v>
      </c>
      <c r="BO7" s="46">
        <v>24.9</v>
      </c>
      <c r="BP7" s="46">
        <v>6.8</v>
      </c>
      <c r="BQ7" s="46">
        <v>1.2</v>
      </c>
      <c r="BR7" s="46">
        <v>0</v>
      </c>
      <c r="BS7" s="46"/>
      <c r="BT7" s="46"/>
      <c r="BU7" s="46"/>
      <c r="BV7" s="46"/>
      <c r="BW7" s="46"/>
      <c r="BX7" s="46"/>
      <c r="BY7" s="46"/>
      <c r="BZ7" s="46"/>
      <c r="CA7" s="12">
        <f>IF(SUM(BL7,BP7)&gt;0,SUM(BL7,BP7),"")</f>
        <v>13.2</v>
      </c>
      <c r="CB7" s="12">
        <f>IF(SUM(BL7,BP7,BT7,BX7)&gt;0,SUM(BL7,BP7,BT7,BX7),"")</f>
        <v>13.2</v>
      </c>
      <c r="CC7" s="12">
        <f>IF(SUM(BK7:BL7,BN7:BP7,BR7)-SUM(BM7,BQ7)&gt;0,SUM(BK7:BL7,BN7:BP7,BR7)-SUM(BM7,BQ7),"")</f>
        <v>63.9</v>
      </c>
      <c r="CD7" s="12" t="str">
        <f>IF(SUM(BS7:BT7,BV7:BX7,BZ7)-SUM(BU7,BY7)&gt;0,SUM(BS7:BT7,BV7:BX7,BZ7)-SUM(BU7,BY7),"")</f>
        <v/>
      </c>
      <c r="CE7" s="12">
        <f>IF(SUM(CC7,CD7)&gt;0,SUM(CC7,CD7),"")</f>
        <v>63.9</v>
      </c>
      <c r="CF7" s="45">
        <v>28.3</v>
      </c>
      <c r="CG7" s="45">
        <v>6.4</v>
      </c>
      <c r="CH7" s="45">
        <v>0</v>
      </c>
      <c r="CI7" s="45">
        <v>0</v>
      </c>
      <c r="CJ7" s="45">
        <v>27.4</v>
      </c>
      <c r="CK7" s="45">
        <v>3</v>
      </c>
      <c r="CL7" s="45">
        <v>0.9</v>
      </c>
      <c r="CM7" s="45">
        <v>0</v>
      </c>
      <c r="CN7" s="45"/>
      <c r="CO7" s="45"/>
      <c r="CP7" s="45"/>
      <c r="CQ7" s="45"/>
      <c r="CR7" s="45"/>
      <c r="CS7" s="45"/>
      <c r="CT7" s="45"/>
      <c r="CU7" s="45"/>
      <c r="CV7" s="15">
        <f>IF(SUM(CG7,CK7)&gt;0,SUM(CG7,CK7),"")</f>
        <v>9.4</v>
      </c>
      <c r="CW7" s="15">
        <f>IF(SUM(CG7,CK7,CO7,CS7)&gt;0,SUM(CG7,CK7,CO7,CS7),"")</f>
        <v>9.4</v>
      </c>
      <c r="CX7" s="15">
        <f>IF(SUM(CF7:CG7,CI7:CK7,CM7)-SUM(CH7,CL7)&gt;0,SUM(CF7:CG7,CI7:CK7,CM7)-SUM(CH7,CL7),"")</f>
        <v>64.199999999999989</v>
      </c>
      <c r="CY7" s="15" t="str">
        <f>IF(SUM(CN7:CO7,CQ7:CS7,CU7)-SUM(CP7,CT7)&gt;0,SUM(CN7:CO7,CQ7:CS7,CU7)-SUM(CP7,CT7),"")</f>
        <v/>
      </c>
      <c r="CZ7" s="15">
        <f>IF(SUM(CX7,CY7)&gt;0,SUM(CX7,CY7),"")</f>
        <v>64.199999999999989</v>
      </c>
      <c r="DA7" s="46">
        <v>27.5</v>
      </c>
      <c r="DB7" s="46">
        <v>3.4</v>
      </c>
      <c r="DC7" s="46">
        <v>0</v>
      </c>
      <c r="DD7" s="46">
        <v>0</v>
      </c>
      <c r="DE7" s="46">
        <v>27</v>
      </c>
      <c r="DF7" s="46">
        <v>6.8</v>
      </c>
      <c r="DG7" s="46">
        <v>0.9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>IF(SUM(DB7,DF7)&gt;0,SUM(DB7,DF7),"")</f>
        <v>10.199999999999999</v>
      </c>
      <c r="DR7" s="12">
        <f>IF(SUM(DB7,DF7,DJ7,DN7)&gt;0,SUM(DB7,DF7,DJ7,DN7),"")</f>
        <v>10.199999999999999</v>
      </c>
      <c r="DS7" s="12">
        <f>IF(SUM(DA7:DB7,DD7:DF7,DH7)-SUM(DC7,DG7)&gt;0,SUM(DA7:DB7,DD7:DF7,DH7)-SUM(DC7,DG7),"")</f>
        <v>63.800000000000004</v>
      </c>
      <c r="DT7" s="12" t="str">
        <f>IF(SUM(DI7:DJ7,DL7:DN7,DP7)-SUM(DK7,DO7)&gt;0,SUM(DI7:DJ7,DL7:DN7,DP7)-SUM(DK7,DO7),"")</f>
        <v/>
      </c>
      <c r="DU7" s="12">
        <f>IF(SUM(DS7,DT7)&gt;0,SUM(DS7,DT7),"")</f>
        <v>63.800000000000004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71">
        <f t="shared" si="6"/>
        <v>27.95</v>
      </c>
      <c r="LD7" s="71">
        <f t="shared" si="0"/>
        <v>6.4</v>
      </c>
      <c r="LE7" s="71">
        <f t="shared" si="0"/>
        <v>0.15</v>
      </c>
      <c r="LF7" s="71">
        <f t="shared" si="0"/>
        <v>0</v>
      </c>
      <c r="LG7" s="71">
        <f t="shared" si="0"/>
        <v>28.15</v>
      </c>
      <c r="LH7" s="71">
        <f t="shared" si="0"/>
        <v>6</v>
      </c>
      <c r="LI7" s="71">
        <f t="shared" si="0"/>
        <v>0.6</v>
      </c>
      <c r="LJ7" s="71">
        <f t="shared" si="0"/>
        <v>0.15</v>
      </c>
      <c r="LK7" s="71">
        <f t="shared" si="0"/>
        <v>28.450000000000003</v>
      </c>
      <c r="LL7" s="71">
        <f t="shared" si="0"/>
        <v>5.1999999999999993</v>
      </c>
      <c r="LM7" s="71">
        <f t="shared" si="0"/>
        <v>0</v>
      </c>
      <c r="LN7" s="71">
        <f t="shared" si="0"/>
        <v>0</v>
      </c>
      <c r="LO7" s="71">
        <f t="shared" si="0"/>
        <v>28.299999999999997</v>
      </c>
      <c r="LP7" s="71">
        <f t="shared" si="0"/>
        <v>5.4</v>
      </c>
      <c r="LQ7" s="71">
        <f t="shared" si="0"/>
        <v>0.15</v>
      </c>
      <c r="LR7" s="71">
        <f t="shared" si="0"/>
        <v>0</v>
      </c>
      <c r="LS7" s="82" t="s">
        <v>96</v>
      </c>
      <c r="LT7" s="12">
        <f t="shared" si="7"/>
        <v>12.4</v>
      </c>
      <c r="LU7" s="12">
        <f t="shared" si="8"/>
        <v>23</v>
      </c>
      <c r="LV7" s="12">
        <f t="shared" si="9"/>
        <v>67.900000000000006</v>
      </c>
      <c r="LW7" s="12">
        <f t="shared" si="10"/>
        <v>67.2</v>
      </c>
      <c r="LX7" s="12">
        <f t="shared" si="11"/>
        <v>135.10000000000002</v>
      </c>
    </row>
    <row r="8" spans="1:336" x14ac:dyDescent="0.2">
      <c r="A8" s="6">
        <f>IF(AND(F8="P",H8="P"),SUMPRODUCT((F$4:F$12="P")*(H$4:H$12="P")*(E$4:E$12&gt;E8))+1,IF(H8="P",SUMPRODUCT((F$4:F$12="")*(H$4:H$12="P")*(E$4:E$12&gt;E8))+1+SUMPRODUCT((F$4:F$12="P")*(H$4:H$12="P")),""))</f>
        <v>5</v>
      </c>
      <c r="B8" s="9" t="s">
        <v>67</v>
      </c>
      <c r="C8" s="5" t="s">
        <v>66</v>
      </c>
      <c r="D8" s="6">
        <v>1999</v>
      </c>
      <c r="E8" s="16">
        <f>SUM(J8:N8)</f>
        <v>202.2</v>
      </c>
      <c r="F8" s="4" t="str">
        <f>IF(OR(AND(AH8&gt;=AK$14,AJ8&gt;=AK$17,AJ8&lt;&gt;"",AG8=""),AND(BD8&gt;=BG$14,BF8&gt;=BG$17,BF8&lt;&gt;"",BC8=""),AND(CA8&gt;=CD$14,CC8&gt;=CD$17,CC8&lt;&gt;""),AND(CV8&gt;=CY$14,CX8&gt;=CY$17,CX8&lt;&gt;""),AND(DQ8&gt;=DT$14,DS8&gt;=DT$17,DS8&lt;&gt;""),AND(EL8&gt;=EO$14,EN8&gt;=EO$17,EN8&lt;&gt;""),AND(FG8&gt;=FJ$14,FI8&gt;=FJ$17,FI8&lt;&gt;""),AND(GB8&gt;=GE$14,GD8&gt;=GE$17,GD8&lt;&gt;""),AND(GW8&gt;=GZ$14,GY8&gt;=GZ$17,GY8&lt;&gt;""),AND(HR8&gt;=HU$14,HT8&gt;=HU$17,HT8&lt;&gt;""),AND(IM8&gt;=IP$14,IO8&gt;=IP$17,IO8&lt;&gt;""),AND(JH8&gt;=JK$14,JJ8&gt;=JK$17,JJ8&lt;&gt;""),AND(KC8&gt;=KF$14,KE8&gt;=KF$17,KE8&lt;&gt;""),AND(KX8&gt;=LA$14,KZ8&gt;=LA$17,KZ8&lt;&gt;"")),"P","")</f>
        <v>P</v>
      </c>
      <c r="G8" s="4" t="str">
        <f>IF(OR(AND(AH8&gt;=AK$15,AJ8&gt;=AK$18,AJ8&lt;&gt;"",AG8=""),AND(BD8&gt;=BG$15,BF8&gt;=BG$18,BF8&lt;&gt;"",BC8=""),AND(CA8&gt;=CD$15,CC8&gt;=CD$18,CC8&lt;&gt;""),AND(CV8&gt;=CY$15,CX8&gt;=CY$18,CX8&lt;&gt;""),AND(DQ8&gt;=DT$15,DS8&gt;=DT$18,DS8&lt;&gt;""),AND(EL8&gt;=EO$15,EN8&gt;=EO$18,EN8&lt;&gt;""),AND(FG8&gt;=FJ$15,FI8&gt;=FJ$18,FI8&lt;&gt;""),AND(GB8&gt;=GE$15,GD8&gt;=GE$18,GD8&lt;&gt;""),AND(GW8&gt;=GZ$15,GY8&gt;=GZ$18,GY8&lt;&gt;""),AND(HR8&gt;=HU$15,HT8&gt;=HU$18,HT8&lt;&gt;""),AND(IM8&gt;=IP$15,IO8&gt;=IP$18,IO8&lt;&gt;""),AND(JH8&gt;=JK$15,JJ8&gt;=JK$18,JJ8&lt;&gt;""),AND(KC8&gt;=KF$15,KE8&gt;=KF$18,KE8&lt;&gt;""),AND(KX8&gt;=LA$15,KZ8&gt;=LA$18,KZ8&lt;&gt;"")),"P","")</f>
        <v/>
      </c>
      <c r="H8" s="4" t="str">
        <f>IF(OR(AND(AJ8&gt;=AK$17,AJ8&lt;&gt;"",AG8=""),AND(BF8&gt;=BG$17,BF8&lt;&gt;"",BC8=""),AND(CC8&gt;=CD$17,CC8&lt;&gt;""),AND(CX8&gt;=CY$17,CX8&lt;&gt;""),AND(DS8&gt;=DT$17,DS8&lt;&gt;""),AND(EN8&gt;=EO$17,EN8&lt;&gt;""),AND(FI8&gt;=FJ$17,FI8&lt;&gt;""),AND(GD8&gt;=GE$17,GD8&lt;&gt;""),AND(GY8&gt;=GZ$17,GY8&lt;&gt;""),AND(HT8&gt;=HU$17,HT8&lt;&gt;""),AND(IO8&gt;=IP$17,IO8&lt;&gt;""),AND(JJ8&gt;=JK$17,JJ8&lt;&gt;""),AND(KE8&gt;=KF$17,KE8&lt;&gt;""),AND(KZ8&gt;=LA$17,KZ8&lt;&gt;"")),"P","")</f>
        <v>P</v>
      </c>
      <c r="I8" t="str">
        <f>IF(AND(H8="P",F8=""),"No DD",IF(OR(AND(AI8&gt;=AK$16,AI8&lt;&gt;"",AL8&gt;=AK$20,AL8&lt;&gt;"",AG8=""),AND(BE8&gt;=BG$16,BE8&lt;&gt;"",BH8&gt;=BG$20,BH8&lt;&gt;"",BC8=""),AND(CB8&gt;=CD$16,CB8&lt;&gt;"",CE8&gt;=CD$20,CE8&lt;&gt;""),AND(CW8&gt;=CY$16,CW8&lt;&gt;"",CZ8&gt;=CY$20,CZ8&lt;&gt;""),AND(DR8&gt;=DT$16,DR8&lt;&gt;"",DU8&gt;=DT$20,DU8&lt;&gt;""),AND(EM8&gt;=EO$16,EM8&lt;&gt;"",EP8&gt;=EO$20,EP8&lt;&gt;""),AND(FH8&gt;=FJ$16,FH8&lt;&gt;"",FK8&gt;=FJ$20,FK8&lt;&gt;""),AND(GC8&gt;=GE$16,GC8&lt;&gt;"",GF8&gt;=GE$20,GF8&lt;&gt;""),AND(GX8&gt;=GZ$16,GX8&lt;&gt;"",HA8&gt;=GZ$20,HA8&lt;&gt;""),AND(HS8&gt;=HU$16,HS8&lt;&gt;"",HV8&gt;=HU$20,HV8&lt;&gt;""),AND(IN8&gt;=IP$16,IN8&lt;&gt;"",IQ8&gt;=IP$20,IQ8&lt;&gt;""),AND(JI8&gt;=JK$16,JI8&lt;&gt;"",JL8&gt;=JK$20,JL8&lt;&gt;""),AND(KD8&gt;=KF$16,KD8&lt;&gt;"",KG8&gt;=KF$20,KG8&lt;&gt;""),AND(KY8&gt;=LA$16,KY8&lt;&gt;"",LB8&gt;=LA$20,LB8&lt;&gt;"")),"Merit",IF(OR(AND(AI8&gt;=AK$16,AI8&lt;&gt;"",AL8&gt;=AK$19,AL8&lt;&gt;"",AG8=""),AND(BE8&gt;=BG$16,BE8&lt;&gt;"",BH8&gt;=BG$19,BH8&lt;&gt;"",BC8=""),AND(CB8&gt;=CD$16,CB8&lt;&gt;"",CE8&gt;=CD$19,CE8&lt;&gt;""),AND(CW8&gt;=CY$16,CW8&lt;&gt;"",CZ8&gt;=CY$19,CZ8&lt;&gt;""),AND(DR8&gt;=DT$16,DR8&lt;&gt;"",DU8&gt;=DT$19,DU8&lt;&gt;""),AND(EM8&gt;=EO$16,EM8&lt;&gt;"",EP8&gt;=EO$19,EP8&lt;&gt;""),AND(FH8&gt;=FJ$16,FH8&lt;&gt;"",FK8&gt;=FJ$19,FK8&lt;&gt;""),AND(GC8&gt;=GE$16,GC8&lt;&gt;"",GF8&gt;=GE$19,GF8&lt;&gt;""),AND(GX8&gt;=GZ$16,GX8&lt;&gt;"",HA8&gt;=GZ$19,HA8&lt;&gt;""),AND(HS8&gt;=HU$16,HS8&lt;&gt;"",HV8&gt;=HU$19,HV8&lt;&gt;""),AND(IN8&gt;=IP$16,IN8&lt;&gt;"",IQ8&gt;=IP$19,IQ8&lt;&gt;""),AND(JI8&gt;=JK$16,JI8&lt;&gt;"",JL8&gt;=JK$19,JL8&lt;&gt;""),AND(KD8&gt;=KF$16,KD8&lt;&gt;"",KG8&gt;=KF$19,KG8&lt;&gt;""),AND(KY8&gt;=LA$16,KY8&lt;&gt;"",LB8&gt;=LA$19,LB8&lt;&gt;"")),"Excellence",IF(OR(AND(AH8&gt;=AK$15,AH8&lt;&gt;"",AJ8&gt;=AK$18,AJ8&lt;&gt;"",AG8=""),AND(BD8&gt;=BG$15,BD8&lt;&gt;"",BF8&gt;=BG$18,BF8&lt;&gt;"",BC8=""),AND(CA8&gt;=CD$15,CA8&lt;&gt;"",CC8&gt;=CD$18,CC8&lt;&gt;""),AND(CV8&gt;=CY$15,CV8&lt;&gt;"",CX8&gt;=CY$18,CX8&lt;&gt;""),AND(DQ8&gt;=DT$15,DQ8&lt;&gt;"",DS8&gt;=DT$18,DS8&lt;&gt;""),AND(EL8&gt;=EO$15,EL8&lt;&gt;"",EN8&gt;=EO$18,EN8&lt;&gt;""),AND(FG8&gt;=FJ$15,FG8&lt;&gt;"",FI8&gt;=FJ$18,FI8&lt;&gt;""),AND(GB8&gt;=GE$15,GB8&lt;&gt;"",GD8&gt;=GE$18,GD8&lt;&gt;""),AND(GW8&gt;=GZ$15,GW8&lt;&gt;"",GY8&gt;=GZ$18,GY8&lt;&gt;""),AND(HR8&gt;=HU$15,HR8&lt;&gt;"",HT8&gt;=HU$18,HT8&lt;&gt;""),AND(IM8&gt;=IP$15,IM8&lt;&gt;"",IO8&gt;=IP$18,IO8&lt;&gt;""),AND(JH8&gt;=JK$15,JH8&lt;&gt;"",JJ8&gt;=JK$18,JJ8&lt;&gt;""),AND(KC8&gt;=KF$15,KC8&lt;&gt;"",KE8&gt;=KF$18,KE8&lt;&gt;""),AND(KX8&gt;=LA$15,KX8&lt;&gt;"",KZ8&gt;=LA$18,KZ8&lt;&gt;"")),"Worlds Team",IF(OR(AND(AH8&gt;=AK$14,AH8&lt;&gt;"",AJ8&gt;=AK$17,AJ8&lt;&gt;"",AG8=""),AND(BD8&gt;=BG$14,BD8&lt;&gt;"",BF8&gt;=BG$17,BF8&lt;&gt;"",BC8=""),AND(CA8&gt;=CD$14,CA8&lt;&gt;"",CC8&gt;=CD$17,CC8&lt;&gt;""),AND(CV8&gt;=CY$14,CV8&lt;&gt;"",CX8&gt;=CY$17,CX8&lt;&gt;""),AND(DQ8&gt;=DT$14,DQ8&lt;&gt;"",DS8&gt;=DT$17,DS8&lt;&gt;""),AND(EL8&gt;=EO$14,EL8&lt;&gt;"",EN8&gt;=EO$17,EN8&lt;&gt;""),AND(FG8&gt;=FJ$14,FG8&lt;&gt;"",FI8&gt;=FJ$17,FI8&lt;&gt;""),AND(GB8&gt;=GE$14,GB8&lt;&gt;"",GD8&gt;=GE$17,GD8&lt;&gt;""),AND(GW8&gt;=GZ$14,GW8&lt;&gt;"",GY8&gt;=GZ$17,GY8&lt;&gt;""),AND(HR8&gt;=HU$14,HR8&lt;&gt;"",HT8&gt;=HU$17,HT8&lt;&gt;""),AND(IM8&gt;=IP$14,IM8&lt;&gt;"",IO8&gt;=IP$17,IO8&lt;&gt;""),AND(JH8&gt;=JK$14,JH8&lt;&gt;"",JJ8&gt;=JK$17,JJ8&lt;&gt;""),AND(KC8&gt;=KF$14,KC8&lt;&gt;"",KE8&gt;=KF$17,KE8&lt;&gt;""),AND(KX8&gt;=LA$14,KX8&lt;&gt;"",KZ8&gt;=LA$17,KZ8&lt;&gt;"")),"National Team","")))))</f>
        <v>National Team</v>
      </c>
      <c r="J8" s="15">
        <f>IF(MAX(AL8,BH8)&gt;0,MAX(AL8,BH8),"")</f>
        <v>134.30000000000001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65.7</v>
      </c>
      <c r="M8" s="15" t="str">
        <f>IF(L8="","",IF(AND(J8&lt;&gt;BH8,OR(L8=BG8,L8=BF8)),$AM$1,IF(OR(L8=AK8,L8=AJ8),$Q$1,"")))</f>
        <v>2019 Nationals</v>
      </c>
      <c r="N8" s="15">
        <f>IF(MAX(BI8:BJ8)&gt;0,MAX(BI8:BJ8),"")</f>
        <v>2.2000000000000028</v>
      </c>
      <c r="O8" s="27" t="str">
        <f>IF(N8="","",IF(N8=BI8,"(4 Pass)",IF(N8=BJ8,"(2 Pass)")))</f>
        <v>(2 Pass)</v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>2019 Scalabis Cup (July 6)</v>
      </c>
      <c r="Q8" s="71">
        <v>28.1</v>
      </c>
      <c r="R8" s="71">
        <v>6</v>
      </c>
      <c r="S8" s="71">
        <v>0</v>
      </c>
      <c r="T8" s="71">
        <v>0</v>
      </c>
      <c r="U8" s="71">
        <v>28.4</v>
      </c>
      <c r="V8" s="71">
        <v>5.6</v>
      </c>
      <c r="W8" s="71">
        <v>0</v>
      </c>
      <c r="X8" s="71">
        <v>0</v>
      </c>
      <c r="Y8" s="71">
        <v>27.3</v>
      </c>
      <c r="Z8" s="71">
        <v>5.2</v>
      </c>
      <c r="AA8" s="71">
        <v>0.3</v>
      </c>
      <c r="AB8" s="71">
        <v>0.5</v>
      </c>
      <c r="AC8" s="71">
        <v>28.3</v>
      </c>
      <c r="AD8" s="71">
        <v>5.2</v>
      </c>
      <c r="AE8" s="71">
        <v>0</v>
      </c>
      <c r="AF8" s="71">
        <v>0</v>
      </c>
      <c r="AG8" s="82"/>
      <c r="AH8" s="12">
        <f>IF(SUM(R8,V8)&gt;0,SUM(R8,V8),"")</f>
        <v>11.6</v>
      </c>
      <c r="AI8" s="12">
        <f>IF(SUM(R8,V8,Z8,AD8)&gt;0,SUM(R8,V8,Z8,AD8),"")</f>
        <v>22</v>
      </c>
      <c r="AJ8" s="12">
        <f>IF(SUM(Q8:R8,T8:V8,X8)-SUM(S8,W8)&gt;0,SUM(Q8:R8,T8:V8,X8)-SUM(S8,W8),"")</f>
        <v>68.099999999999994</v>
      </c>
      <c r="AK8" s="12">
        <f>IF(SUM(Y8:Z8,AB8:AD8,AF8)-SUM(AA8,AE8)&gt;0,SUM(Y8:Z8,AB8:AD8,AF8)-SUM(AA8,AE8),"")</f>
        <v>66.2</v>
      </c>
      <c r="AL8" s="12">
        <f>IF(SUM(AJ8,AK8)&gt;0,SUM(AJ8,AK8),"")</f>
        <v>134.30000000000001</v>
      </c>
      <c r="AM8" s="40">
        <v>28.3</v>
      </c>
      <c r="AN8" s="40">
        <v>6</v>
      </c>
      <c r="AO8" s="40">
        <v>0.3</v>
      </c>
      <c r="AP8" s="40">
        <v>0</v>
      </c>
      <c r="AQ8" s="40">
        <v>25.6</v>
      </c>
      <c r="AR8" s="40">
        <v>6.4</v>
      </c>
      <c r="AS8" s="40">
        <v>0.3</v>
      </c>
      <c r="AT8" s="40">
        <v>0</v>
      </c>
      <c r="AU8" s="40">
        <v>27</v>
      </c>
      <c r="AV8" s="40">
        <v>5.2</v>
      </c>
      <c r="AW8" s="40">
        <v>1.2</v>
      </c>
      <c r="AX8" s="40">
        <v>0.5</v>
      </c>
      <c r="AY8" s="40">
        <v>28.2</v>
      </c>
      <c r="AZ8" s="40">
        <v>5.2</v>
      </c>
      <c r="BA8" s="40">
        <v>0</v>
      </c>
      <c r="BB8" s="40">
        <v>0</v>
      </c>
      <c r="BC8" s="83"/>
      <c r="BD8" s="15">
        <f>IF(SUM(AN8,AR8)&gt;0,SUM(AN8,AR8),"")</f>
        <v>12.4</v>
      </c>
      <c r="BE8" s="15">
        <f>IF(SUM(AN8,AR8,AV8,AZ8)&gt;0,SUM(AN8,AR8,AV8,AZ8),"")</f>
        <v>22.8</v>
      </c>
      <c r="BF8" s="15">
        <f>IF(SUM(AM8:AN8,AP8:AR8,AT8)-SUM(AO8,AS8)&gt;0,SUM(AM8:AN8,AP8:AR8,AT8)-SUM(AO8,AS8),"")</f>
        <v>65.7</v>
      </c>
      <c r="BG8" s="15">
        <f>IF(SUM(AU8:AV8,AX8:AZ8,BB8)-SUM(AW8,BA8)&gt;0,SUM(AU8:AV8,AX8:AZ8,BB8)-SUM(AW8,BA8),"")</f>
        <v>64.900000000000006</v>
      </c>
      <c r="BH8" s="15">
        <f>IF(SUM(BF8,BG8)&gt;0,SUM(BF8,BG8),"")</f>
        <v>130.60000000000002</v>
      </c>
      <c r="BI8" s="26" t="str">
        <f>IF(MAX(CE8,CZ8,DU8,EP8,FK8,GF8,HA8,HV8,IQ8,JL8,KG8,LB8)-IF(J8="",0,J8)&gt;0.001,MAX(CE8,CZ8,DU8,EP8,FK8,GF8,HA8,HV8,IQ8,JL8,KG8,LB8)-IF(J8="",0,J8),"")</f>
        <v/>
      </c>
      <c r="BJ8" s="26">
        <f>IF(MAX(CC8,CD8,CX8,CY8,DS8,DT8,EN8,EO8,FI8,FJ8,GD8,GE8,GY8,GZ8,HT8,HU8,IO8,IP8,JJ8,JK8,KE8,KF8,KZ8,LA8)-IF(L8="",0,L8)&gt;0.001,MAX(CC8,CD8,CX8,CY8,DS8,DT8,EN8,EO8,FI8,FJ8,GD8,GE8,GY8,GZ8,HT8,HU8,IO8,IP8,JJ8,JK8,KE8,KF8,KZ8,LA8)-IF(L8="",0,L8),"")</f>
        <v>2.2000000000000028</v>
      </c>
      <c r="BK8" s="46">
        <v>28.1</v>
      </c>
      <c r="BL8" s="46">
        <v>6</v>
      </c>
      <c r="BM8" s="46">
        <v>0.3</v>
      </c>
      <c r="BN8" s="46">
        <v>0</v>
      </c>
      <c r="BO8" s="46">
        <v>27.7</v>
      </c>
      <c r="BP8" s="46">
        <v>6.4</v>
      </c>
      <c r="BQ8" s="46">
        <v>0</v>
      </c>
      <c r="BR8" s="46">
        <v>0</v>
      </c>
      <c r="BS8" s="46">
        <v>27.6</v>
      </c>
      <c r="BT8" s="46">
        <v>6</v>
      </c>
      <c r="BU8" s="46">
        <v>1.2</v>
      </c>
      <c r="BV8" s="46">
        <v>0</v>
      </c>
      <c r="BW8" s="46">
        <v>27.2</v>
      </c>
      <c r="BX8" s="46">
        <v>5.2</v>
      </c>
      <c r="BY8" s="46">
        <v>0</v>
      </c>
      <c r="BZ8" s="46">
        <v>0</v>
      </c>
      <c r="CA8" s="12">
        <f>IF(SUM(BL8,BP8)&gt;0,SUM(BL8,BP8),"")</f>
        <v>12.4</v>
      </c>
      <c r="CB8" s="12">
        <f>IF(SUM(BL8,BP8,BT8,BX8)&gt;0,SUM(BL8,BP8,BT8,BX8),"")</f>
        <v>23.599999999999998</v>
      </c>
      <c r="CC8" s="12">
        <f>IF(SUM(BK8:BL8,BN8:BP8,BR8)-SUM(BM8,BQ8)&gt;0,SUM(BK8:BL8,BN8:BP8,BR8)-SUM(BM8,BQ8),"")</f>
        <v>67.900000000000006</v>
      </c>
      <c r="CD8" s="12">
        <f>IF(SUM(BS8:BT8,BV8:BX8,BZ8)-SUM(BU8,BY8)&gt;0,SUM(BS8:BT8,BV8:BX8,BZ8)-SUM(BU8,BY8),"")</f>
        <v>64.8</v>
      </c>
      <c r="CE8" s="12">
        <f>IF(SUM(CC8,CD8)&gt;0,SUM(CC8,CD8),"")</f>
        <v>132.69999999999999</v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5">
        <v>27.4</v>
      </c>
      <c r="DW8" s="45">
        <v>4.4000000000000004</v>
      </c>
      <c r="DX8" s="45">
        <v>0</v>
      </c>
      <c r="DY8" s="45">
        <v>0</v>
      </c>
      <c r="DZ8" s="45">
        <v>25.2</v>
      </c>
      <c r="EA8" s="45">
        <v>6.4</v>
      </c>
      <c r="EB8" s="45">
        <v>0</v>
      </c>
      <c r="EC8" s="45">
        <v>0</v>
      </c>
      <c r="ED8" s="45"/>
      <c r="EE8" s="45"/>
      <c r="EF8" s="45"/>
      <c r="EG8" s="45"/>
      <c r="EH8" s="45"/>
      <c r="EI8" s="45"/>
      <c r="EJ8" s="45"/>
      <c r="EK8" s="45"/>
      <c r="EL8" s="15">
        <f>IF(SUM(DW8,EA8)&gt;0,SUM(DW8,EA8),"")</f>
        <v>10.8</v>
      </c>
      <c r="EM8" s="15">
        <f>IF(SUM(DW8,EA8,EE8,EI8)&gt;0,SUM(DW8,EA8,EE8,EI8),"")</f>
        <v>10.8</v>
      </c>
      <c r="EN8" s="15">
        <f>IF(SUM(DV8:DW8,DY8:EA8,EC8)-SUM(DX8,EB8)&gt;0,SUM(DV8:DW8,DY8:EA8,EC8)-SUM(DX8,EB8),"")</f>
        <v>63.4</v>
      </c>
      <c r="EO8" s="15" t="str">
        <f>IF(SUM(ED8:EE8,EG8:EI8,EK8)-SUM(EF8,EJ8)&gt;0,SUM(ED8:EE8,EG8:EI8,EK8)-SUM(EF8,EJ8),"")</f>
        <v/>
      </c>
      <c r="EP8" s="15">
        <f>IF(SUM(EN8,EO8)&gt;0,SUM(EN8,EO8),"")</f>
        <v>63.4</v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71">
        <f t="shared" si="6"/>
        <v>28.200000000000003</v>
      </c>
      <c r="LD8" s="71">
        <f t="shared" si="0"/>
        <v>6</v>
      </c>
      <c r="LE8" s="71">
        <f t="shared" si="0"/>
        <v>0.15</v>
      </c>
      <c r="LF8" s="71">
        <f t="shared" si="0"/>
        <v>0</v>
      </c>
      <c r="LG8" s="71">
        <f t="shared" si="0"/>
        <v>27</v>
      </c>
      <c r="LH8" s="71">
        <f t="shared" si="0"/>
        <v>6</v>
      </c>
      <c r="LI8" s="71">
        <f t="shared" si="0"/>
        <v>0.15</v>
      </c>
      <c r="LJ8" s="71">
        <f t="shared" si="0"/>
        <v>0</v>
      </c>
      <c r="LK8" s="71">
        <f t="shared" si="0"/>
        <v>27.15</v>
      </c>
      <c r="LL8" s="71">
        <f t="shared" si="0"/>
        <v>5.2</v>
      </c>
      <c r="LM8" s="71">
        <f t="shared" si="0"/>
        <v>0.75</v>
      </c>
      <c r="LN8" s="71">
        <f t="shared" si="0"/>
        <v>0.5</v>
      </c>
      <c r="LO8" s="71">
        <f t="shared" si="0"/>
        <v>28.25</v>
      </c>
      <c r="LP8" s="71">
        <f t="shared" si="0"/>
        <v>5.2</v>
      </c>
      <c r="LQ8" s="71">
        <f t="shared" si="0"/>
        <v>0</v>
      </c>
      <c r="LR8" s="71">
        <f t="shared" si="0"/>
        <v>0</v>
      </c>
      <c r="LS8" s="82" t="s">
        <v>96</v>
      </c>
      <c r="LT8" s="12">
        <f t="shared" si="7"/>
        <v>12</v>
      </c>
      <c r="LU8" s="12">
        <f t="shared" si="8"/>
        <v>22.4</v>
      </c>
      <c r="LV8" s="12">
        <f t="shared" si="9"/>
        <v>66.900000000000006</v>
      </c>
      <c r="LW8" s="12">
        <f t="shared" si="10"/>
        <v>65.55</v>
      </c>
      <c r="LX8" s="12">
        <f t="shared" si="11"/>
        <v>132.44999999999999</v>
      </c>
    </row>
    <row r="9" spans="1:336" x14ac:dyDescent="0.2">
      <c r="A9" s="6" t="str">
        <f>IF(AND(F9="P",H9="P"),SUMPRODUCT((F$4:F$12="P")*(H$4:H$12="P")*(E$4:E$12&gt;E9))+1,IF(H9="P",SUMPRODUCT((F$4:F$12="")*(H$4:H$12="P")*(E$4:E$12&gt;E9))+1+SUMPRODUCT((F$4:F$12="P")*(H$4:H$12="P")),""))</f>
        <v/>
      </c>
      <c r="B9" s="9" t="s">
        <v>88</v>
      </c>
      <c r="C9" s="5" t="s">
        <v>5</v>
      </c>
      <c r="D9" s="6">
        <v>2000</v>
      </c>
      <c r="E9" s="16">
        <f>SUM(J9:N9)</f>
        <v>196.85</v>
      </c>
      <c r="F9" s="4" t="str">
        <f>IF(OR(AND(AH9&gt;=AK$14,AJ9&gt;=AK$17,AJ9&lt;&gt;"",AG9=""),AND(BD9&gt;=BG$14,BF9&gt;=BG$17,BF9&lt;&gt;"",BC9=""),AND(CA9&gt;=CD$14,CC9&gt;=CD$17,CC9&lt;&gt;""),AND(CV9&gt;=CY$14,CX9&gt;=CY$17,CX9&lt;&gt;""),AND(DQ9&gt;=DT$14,DS9&gt;=DT$17,DS9&lt;&gt;""),AND(EL9&gt;=EO$14,EN9&gt;=EO$17,EN9&lt;&gt;""),AND(FG9&gt;=FJ$14,FI9&gt;=FJ$17,FI9&lt;&gt;""),AND(GB9&gt;=GE$14,GD9&gt;=GE$17,GD9&lt;&gt;""),AND(GW9&gt;=GZ$14,GY9&gt;=GZ$17,GY9&lt;&gt;""),AND(HR9&gt;=HU$14,HT9&gt;=HU$17,HT9&lt;&gt;""),AND(IM9&gt;=IP$14,IO9&gt;=IP$17,IO9&lt;&gt;""),AND(JH9&gt;=JK$14,JJ9&gt;=JK$17,JJ9&lt;&gt;""),AND(KC9&gt;=KF$14,KE9&gt;=KF$17,KE9&lt;&gt;""),AND(KX9&gt;=LA$14,KZ9&gt;=LA$17,KZ9&lt;&gt;"")),"P","")</f>
        <v/>
      </c>
      <c r="G9" s="4" t="str">
        <f>IF(OR(AND(AH9&gt;=AK$15,AJ9&gt;=AK$18,AJ9&lt;&gt;"",AG9=""),AND(BD9&gt;=BG$15,BF9&gt;=BG$18,BF9&lt;&gt;"",BC9=""),AND(CA9&gt;=CD$15,CC9&gt;=CD$18,CC9&lt;&gt;""),AND(CV9&gt;=CY$15,CX9&gt;=CY$18,CX9&lt;&gt;""),AND(DQ9&gt;=DT$15,DS9&gt;=DT$18,DS9&lt;&gt;""),AND(EL9&gt;=EO$15,EN9&gt;=EO$18,EN9&lt;&gt;""),AND(FG9&gt;=FJ$15,FI9&gt;=FJ$18,FI9&lt;&gt;""),AND(GB9&gt;=GE$15,GD9&gt;=GE$18,GD9&lt;&gt;""),AND(GW9&gt;=GZ$15,GY9&gt;=GZ$18,GY9&lt;&gt;""),AND(HR9&gt;=HU$15,HT9&gt;=HU$18,HT9&lt;&gt;""),AND(IM9&gt;=IP$15,IO9&gt;=IP$18,IO9&lt;&gt;""),AND(JH9&gt;=JK$15,JJ9&gt;=JK$18,JJ9&lt;&gt;""),AND(KC9&gt;=KF$15,KE9&gt;=KF$18,KE9&lt;&gt;""),AND(KX9&gt;=LA$15,KZ9&gt;=LA$18,KZ9&lt;&gt;"")),"P","")</f>
        <v/>
      </c>
      <c r="H9" s="4" t="str">
        <f>IF(OR(AND(AJ9&gt;=AK$17,AJ9&lt;&gt;"",AG9=""),AND(BF9&gt;=BG$17,BF9&lt;&gt;"",BC9=""),AND(CC9&gt;=CD$17,CC9&lt;&gt;""),AND(CX9&gt;=CY$17,CX9&lt;&gt;""),AND(DS9&gt;=DT$17,DS9&lt;&gt;""),AND(EN9&gt;=EO$17,EN9&lt;&gt;""),AND(FI9&gt;=FJ$17,FI9&lt;&gt;""),AND(GD9&gt;=GE$17,GD9&lt;&gt;""),AND(GY9&gt;=GZ$17,GY9&lt;&gt;""),AND(HT9&gt;=HU$17,HT9&lt;&gt;""),AND(IO9&gt;=IP$17,IO9&lt;&gt;""),AND(JJ9&gt;=JK$17,JJ9&lt;&gt;""),AND(KE9&gt;=KF$17,KE9&lt;&gt;""),AND(KZ9&gt;=LA$17,KZ9&lt;&gt;"")),"P","")</f>
        <v/>
      </c>
      <c r="I9" t="str">
        <f>IF(AND(H9="P",F9=""),"No DD",IF(OR(AND(AI9&gt;=AK$16,AI9&lt;&gt;"",AL9&gt;=AK$20,AL9&lt;&gt;"",AG9=""),AND(BE9&gt;=BG$16,BE9&lt;&gt;"",BH9&gt;=BG$20,BH9&lt;&gt;"",BC9=""),AND(CB9&gt;=CD$16,CB9&lt;&gt;"",CE9&gt;=CD$20,CE9&lt;&gt;""),AND(CW9&gt;=CY$16,CW9&lt;&gt;"",CZ9&gt;=CY$20,CZ9&lt;&gt;""),AND(DR9&gt;=DT$16,DR9&lt;&gt;"",DU9&gt;=DT$20,DU9&lt;&gt;""),AND(EM9&gt;=EO$16,EM9&lt;&gt;"",EP9&gt;=EO$20,EP9&lt;&gt;""),AND(FH9&gt;=FJ$16,FH9&lt;&gt;"",FK9&gt;=FJ$20,FK9&lt;&gt;""),AND(GC9&gt;=GE$16,GC9&lt;&gt;"",GF9&gt;=GE$20,GF9&lt;&gt;""),AND(GX9&gt;=GZ$16,GX9&lt;&gt;"",HA9&gt;=GZ$20,HA9&lt;&gt;""),AND(HS9&gt;=HU$16,HS9&lt;&gt;"",HV9&gt;=HU$20,HV9&lt;&gt;""),AND(IN9&gt;=IP$16,IN9&lt;&gt;"",IQ9&gt;=IP$20,IQ9&lt;&gt;""),AND(JI9&gt;=JK$16,JI9&lt;&gt;"",JL9&gt;=JK$20,JL9&lt;&gt;""),AND(KD9&gt;=KF$16,KD9&lt;&gt;"",KG9&gt;=KF$20,KG9&lt;&gt;""),AND(KY9&gt;=LA$16,KY9&lt;&gt;"",LB9&gt;=LA$20,LB9&lt;&gt;"")),"Merit",IF(OR(AND(AI9&gt;=AK$16,AI9&lt;&gt;"",AL9&gt;=AK$19,AL9&lt;&gt;"",AG9=""),AND(BE9&gt;=BG$16,BE9&lt;&gt;"",BH9&gt;=BG$19,BH9&lt;&gt;"",BC9=""),AND(CB9&gt;=CD$16,CB9&lt;&gt;"",CE9&gt;=CD$19,CE9&lt;&gt;""),AND(CW9&gt;=CY$16,CW9&lt;&gt;"",CZ9&gt;=CY$19,CZ9&lt;&gt;""),AND(DR9&gt;=DT$16,DR9&lt;&gt;"",DU9&gt;=DT$19,DU9&lt;&gt;""),AND(EM9&gt;=EO$16,EM9&lt;&gt;"",EP9&gt;=EO$19,EP9&lt;&gt;""),AND(FH9&gt;=FJ$16,FH9&lt;&gt;"",FK9&gt;=FJ$19,FK9&lt;&gt;""),AND(GC9&gt;=GE$16,GC9&lt;&gt;"",GF9&gt;=GE$19,GF9&lt;&gt;""),AND(GX9&gt;=GZ$16,GX9&lt;&gt;"",HA9&gt;=GZ$19,HA9&lt;&gt;""),AND(HS9&gt;=HU$16,HS9&lt;&gt;"",HV9&gt;=HU$19,HV9&lt;&gt;""),AND(IN9&gt;=IP$16,IN9&lt;&gt;"",IQ9&gt;=IP$19,IQ9&lt;&gt;""),AND(JI9&gt;=JK$16,JI9&lt;&gt;"",JL9&gt;=JK$19,JL9&lt;&gt;""),AND(KD9&gt;=KF$16,KD9&lt;&gt;"",KG9&gt;=KF$19,KG9&lt;&gt;""),AND(KY9&gt;=LA$16,KY9&lt;&gt;"",LB9&gt;=LA$19,LB9&lt;&gt;"")),"Excellence",IF(OR(AND(AH9&gt;=AK$15,AH9&lt;&gt;"",AJ9&gt;=AK$18,AJ9&lt;&gt;"",AG9=""),AND(BD9&gt;=BG$15,BD9&lt;&gt;"",BF9&gt;=BG$18,BF9&lt;&gt;"",BC9=""),AND(CA9&gt;=CD$15,CA9&lt;&gt;"",CC9&gt;=CD$18,CC9&lt;&gt;""),AND(CV9&gt;=CY$15,CV9&lt;&gt;"",CX9&gt;=CY$18,CX9&lt;&gt;""),AND(DQ9&gt;=DT$15,DQ9&lt;&gt;"",DS9&gt;=DT$18,DS9&lt;&gt;""),AND(EL9&gt;=EO$15,EL9&lt;&gt;"",EN9&gt;=EO$18,EN9&lt;&gt;""),AND(FG9&gt;=FJ$15,FG9&lt;&gt;"",FI9&gt;=FJ$18,FI9&lt;&gt;""),AND(GB9&gt;=GE$15,GB9&lt;&gt;"",GD9&gt;=GE$18,GD9&lt;&gt;""),AND(GW9&gt;=GZ$15,GW9&lt;&gt;"",GY9&gt;=GZ$18,GY9&lt;&gt;""),AND(HR9&gt;=HU$15,HR9&lt;&gt;"",HT9&gt;=HU$18,HT9&lt;&gt;""),AND(IM9&gt;=IP$15,IM9&lt;&gt;"",IO9&gt;=IP$18,IO9&lt;&gt;""),AND(JH9&gt;=JK$15,JH9&lt;&gt;"",JJ9&gt;=JK$18,JJ9&lt;&gt;""),AND(KC9&gt;=KF$15,KC9&lt;&gt;"",KE9&gt;=KF$18,KE9&lt;&gt;""),AND(KX9&gt;=LA$15,KX9&lt;&gt;"",KZ9&gt;=LA$18,KZ9&lt;&gt;"")),"Worlds Team",IF(OR(AND(AH9&gt;=AK$14,AH9&lt;&gt;"",AJ9&gt;=AK$17,AJ9&lt;&gt;"",AG9=""),AND(BD9&gt;=BG$14,BD9&lt;&gt;"",BF9&gt;=BG$17,BF9&lt;&gt;"",BC9=""),AND(CA9&gt;=CD$14,CA9&lt;&gt;"",CC9&gt;=CD$17,CC9&lt;&gt;""),AND(CV9&gt;=CY$14,CV9&lt;&gt;"",CX9&gt;=CY$17,CX9&lt;&gt;""),AND(DQ9&gt;=DT$14,DQ9&lt;&gt;"",DS9&gt;=DT$17,DS9&lt;&gt;""),AND(EL9&gt;=EO$14,EL9&lt;&gt;"",EN9&gt;=EO$17,EN9&lt;&gt;""),AND(FG9&gt;=FJ$14,FG9&lt;&gt;"",FI9&gt;=FJ$17,FI9&lt;&gt;""),AND(GB9&gt;=GE$14,GB9&lt;&gt;"",GD9&gt;=GE$17,GD9&lt;&gt;""),AND(GW9&gt;=GZ$14,GW9&lt;&gt;"",GY9&gt;=GZ$17,GY9&lt;&gt;""),AND(HR9&gt;=HU$14,HR9&lt;&gt;"",HT9&gt;=HU$17,HT9&lt;&gt;""),AND(IM9&gt;=IP$14,IM9&lt;&gt;"",IO9&gt;=IP$17,IO9&lt;&gt;""),AND(JH9&gt;=JK$14,JH9&lt;&gt;"",JJ9&gt;=JK$17,JJ9&lt;&gt;""),AND(KC9&gt;=KF$14,KC9&lt;&gt;"",KE9&gt;=KF$17,KE9&lt;&gt;""),AND(KX9&gt;=LA$14,KX9&lt;&gt;"",KZ9&gt;=LA$17,KZ9&lt;&gt;"")),"National Team","")))))</f>
        <v/>
      </c>
      <c r="J9" s="15">
        <f>IF(MAX(AL9,BH9)&gt;0,MAX(AL9,BH9),"")</f>
        <v>129.25</v>
      </c>
      <c r="K9" s="15" t="str">
        <f>IF(J9="","",IF(J9=BH9,$AM$1,IF(J9=AL9,$Q$1,"")))</f>
        <v>2019 Nationals</v>
      </c>
      <c r="L9" s="15">
        <f>IF(J9=AL9,IF(MAX(BF9,BG9)&gt;0,MAX(BF9,BG9),""),IF(J9=BH9,IF(MAX(AJ9,AK9)&gt;0,MAX(AJ9,AK9),""),MAX(AJ9,AK9,BF9,BG9)))</f>
        <v>67.599999999999994</v>
      </c>
      <c r="M9" s="15" t="str">
        <f>IF(L9="","",IF(AND(J9&lt;&gt;BH9,OR(L9=BG9,L9=BF9)),$AM$1,IF(OR(L9=AK9,L9=AJ9),$Q$1,"")))</f>
        <v>2019 Elite Canada</v>
      </c>
      <c r="N9" s="15" t="str">
        <f>IF(MAX(BI9:BJ9)&gt;0,MAX(BI9:BJ9),"")</f>
        <v/>
      </c>
      <c r="O9" s="27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71">
        <v>27.85</v>
      </c>
      <c r="R9" s="71">
        <v>6</v>
      </c>
      <c r="S9" s="71">
        <v>0</v>
      </c>
      <c r="T9" s="71">
        <v>0</v>
      </c>
      <c r="U9" s="71">
        <v>28.6</v>
      </c>
      <c r="V9" s="71">
        <v>5.6</v>
      </c>
      <c r="W9" s="71">
        <v>0.45</v>
      </c>
      <c r="X9" s="71">
        <v>0</v>
      </c>
      <c r="Y9" s="71">
        <v>23.950000000000003</v>
      </c>
      <c r="Z9" s="71">
        <v>4</v>
      </c>
      <c r="AA9" s="71">
        <v>0</v>
      </c>
      <c r="AB9" s="71">
        <v>0</v>
      </c>
      <c r="AC9" s="71">
        <v>28.5</v>
      </c>
      <c r="AD9" s="71">
        <v>5.2</v>
      </c>
      <c r="AE9" s="71">
        <v>0</v>
      </c>
      <c r="AF9" s="71">
        <v>0</v>
      </c>
      <c r="AG9" s="82" t="s">
        <v>96</v>
      </c>
      <c r="AH9" s="12">
        <f>IF(SUM(R9,V9)&gt;0,SUM(R9,V9),"")</f>
        <v>11.6</v>
      </c>
      <c r="AI9" s="12">
        <f>IF(SUM(R9,V9,Z9,AD9)&gt;0,SUM(R9,V9,Z9,AD9),"")</f>
        <v>20.8</v>
      </c>
      <c r="AJ9" s="12">
        <f>IF(SUM(Q9:R9,T9:V9,X9)-SUM(S9,W9)&gt;0,SUM(Q9:R9,T9:V9,X9)-SUM(S9,W9),"")</f>
        <v>67.599999999999994</v>
      </c>
      <c r="AK9" s="12">
        <f>IF(SUM(Y9:Z9,AB9:AD9,AF9)-SUM(AA9,AE9)&gt;0,SUM(Y9:Z9,AB9:AD9,AF9)-SUM(AA9,AE9),"")</f>
        <v>61.650000000000006</v>
      </c>
      <c r="AL9" s="12">
        <f>IF(SUM(AJ9,AK9)&gt;0,SUM(AJ9,AK9),"")</f>
        <v>129.25</v>
      </c>
      <c r="AM9" s="40">
        <v>27.85</v>
      </c>
      <c r="AN9" s="40">
        <v>6</v>
      </c>
      <c r="AO9" s="40">
        <v>0</v>
      </c>
      <c r="AP9" s="40">
        <v>0</v>
      </c>
      <c r="AQ9" s="40">
        <v>28.6</v>
      </c>
      <c r="AR9" s="40">
        <v>5.6</v>
      </c>
      <c r="AS9" s="40">
        <v>0.45</v>
      </c>
      <c r="AT9" s="40">
        <v>0</v>
      </c>
      <c r="AU9" s="40">
        <v>23.950000000000003</v>
      </c>
      <c r="AV9" s="40">
        <v>4</v>
      </c>
      <c r="AW9" s="40">
        <v>0</v>
      </c>
      <c r="AX9" s="40">
        <v>0</v>
      </c>
      <c r="AY9" s="40">
        <v>28.5</v>
      </c>
      <c r="AZ9" s="40">
        <v>5.2</v>
      </c>
      <c r="BA9" s="40">
        <v>0</v>
      </c>
      <c r="BB9" s="40">
        <v>0</v>
      </c>
      <c r="BC9" s="83" t="s">
        <v>96</v>
      </c>
      <c r="BD9" s="15">
        <f>IF(SUM(AN9,AR9)&gt;0,SUM(AN9,AR9),"")</f>
        <v>11.6</v>
      </c>
      <c r="BE9" s="15">
        <f>IF(SUM(AN9,AR9,AV9,AZ9)&gt;0,SUM(AN9,AR9,AV9,AZ9),"")</f>
        <v>20.8</v>
      </c>
      <c r="BF9" s="15">
        <f>IF(SUM(AM9:AN9,AP9:AR9,AT9)-SUM(AO9,AS9)&gt;0,SUM(AM9:AN9,AP9:AR9,AT9)-SUM(AO9,AS9),"")</f>
        <v>67.599999999999994</v>
      </c>
      <c r="BG9" s="15">
        <f>IF(SUM(AU9:AV9,AX9:AZ9,BB9)-SUM(AW9,BA9)&gt;0,SUM(AU9:AV9,AX9:AZ9,BB9)-SUM(AW9,BA9),"")</f>
        <v>61.650000000000006</v>
      </c>
      <c r="BH9" s="15">
        <f>IF(SUM(BF9,BG9)&gt;0,SUM(BF9,BG9),"")</f>
        <v>129.25</v>
      </c>
      <c r="BI9" s="26" t="str">
        <f>IF(MAX(CE9,CZ9,DU9,EP9,FK9,GF9,HA9,HV9,IQ9,JL9,KG9,LB9)-IF(J9="",0,J9)&gt;0.001,MAX(CE9,CZ9,DU9,EP9,FK9,GF9,HA9,HV9,IQ9,JL9,KG9,LB9)-IF(J9="",0,J9),"")</f>
        <v/>
      </c>
      <c r="BJ9" s="26" t="str">
        <f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>IF(SUM(DW9,EA9)&gt;0,SUM(DW9,EA9),"")</f>
        <v/>
      </c>
      <c r="EM9" s="15" t="str">
        <f>IF(SUM(DW9,EA9,EE9,EI9)&gt;0,SUM(DW9,EA9,EE9,EI9),"")</f>
        <v/>
      </c>
      <c r="EN9" s="15" t="str">
        <f>IF(SUM(DV9:DW9,DY9:EA9,EC9)-SUM(DX9,EB9)&gt;0,SUM(DV9:DW9,DY9:EA9,EC9)-SUM(DX9,EB9),"")</f>
        <v/>
      </c>
      <c r="EO9" s="15" t="str">
        <f>IF(SUM(ED9:EE9,EG9:EI9,EK9)-SUM(EF9,EJ9)&gt;0,SUM(ED9:EE9,EG9:EI9,EK9)-SUM(EF9,EJ9),"")</f>
        <v/>
      </c>
      <c r="EP9" s="15" t="str">
        <f>IF(SUM(EN9,EO9)&gt;0,SUM(EN9,EO9),"")</f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71">
        <f t="shared" si="6"/>
        <v>27.85</v>
      </c>
      <c r="LD9" s="71">
        <f t="shared" si="0"/>
        <v>6</v>
      </c>
      <c r="LE9" s="71">
        <f t="shared" si="0"/>
        <v>0</v>
      </c>
      <c r="LF9" s="71">
        <f t="shared" si="0"/>
        <v>0</v>
      </c>
      <c r="LG9" s="71">
        <f t="shared" si="0"/>
        <v>28.6</v>
      </c>
      <c r="LH9" s="71">
        <f t="shared" si="0"/>
        <v>5.6</v>
      </c>
      <c r="LI9" s="71">
        <f t="shared" si="0"/>
        <v>0.45</v>
      </c>
      <c r="LJ9" s="71">
        <f t="shared" si="0"/>
        <v>0</v>
      </c>
      <c r="LK9" s="71">
        <f t="shared" si="0"/>
        <v>23.950000000000003</v>
      </c>
      <c r="LL9" s="71">
        <f t="shared" si="0"/>
        <v>4</v>
      </c>
      <c r="LM9" s="71">
        <f t="shared" si="0"/>
        <v>0</v>
      </c>
      <c r="LN9" s="71">
        <f t="shared" si="0"/>
        <v>0</v>
      </c>
      <c r="LO9" s="71">
        <f t="shared" si="0"/>
        <v>28.5</v>
      </c>
      <c r="LP9" s="71">
        <f t="shared" si="0"/>
        <v>5.2</v>
      </c>
      <c r="LQ9" s="71">
        <f t="shared" si="0"/>
        <v>0</v>
      </c>
      <c r="LR9" s="71">
        <f t="shared" si="0"/>
        <v>0</v>
      </c>
      <c r="LS9" s="82" t="s">
        <v>96</v>
      </c>
      <c r="LT9" s="12">
        <f t="shared" si="7"/>
        <v>11.6</v>
      </c>
      <c r="LU9" s="12">
        <f t="shared" si="8"/>
        <v>20.8</v>
      </c>
      <c r="LV9" s="12">
        <f t="shared" si="9"/>
        <v>67.599999999999994</v>
      </c>
      <c r="LW9" s="12">
        <f t="shared" si="10"/>
        <v>61.650000000000006</v>
      </c>
      <c r="LX9" s="12">
        <f t="shared" si="11"/>
        <v>129.25</v>
      </c>
    </row>
    <row r="10" spans="1:336" x14ac:dyDescent="0.2">
      <c r="A10" s="6" t="str">
        <f>IF(AND(F10="P",H10="P"),SUMPRODUCT((F$4:F$12="P")*(H$4:H$12="P")*(E$4:E$12&gt;E10))+1,IF(H10="P",SUMPRODUCT((F$4:F$12="")*(H$4:H$12="P")*(E$4:E$12&gt;E10))+1+SUMPRODUCT((F$4:F$12="P")*(H$4:H$12="P")),""))</f>
        <v/>
      </c>
      <c r="B10" s="9" t="s">
        <v>146</v>
      </c>
      <c r="C10" s="5" t="s">
        <v>5</v>
      </c>
      <c r="D10" s="6">
        <v>2000</v>
      </c>
      <c r="E10" s="16">
        <f>SUM(J10:N10)</f>
        <v>170.4</v>
      </c>
      <c r="F10" s="4" t="str">
        <f>IF(OR(AND(AH10&gt;=AK$14,AJ10&gt;=AK$17,AJ10&lt;&gt;"",AG10=""),AND(BD10&gt;=BG$14,BF10&gt;=BG$17,BF10&lt;&gt;"",BC10=""),AND(CA10&gt;=CD$14,CC10&gt;=CD$17,CC10&lt;&gt;""),AND(CV10&gt;=CY$14,CX10&gt;=CY$17,CX10&lt;&gt;""),AND(DQ10&gt;=DT$14,DS10&gt;=DT$17,DS10&lt;&gt;""),AND(EL10&gt;=EO$14,EN10&gt;=EO$17,EN10&lt;&gt;""),AND(FG10&gt;=FJ$14,FI10&gt;=FJ$17,FI10&lt;&gt;""),AND(GB10&gt;=GE$14,GD10&gt;=GE$17,GD10&lt;&gt;""),AND(GW10&gt;=GZ$14,GY10&gt;=GZ$17,GY10&lt;&gt;""),AND(HR10&gt;=HU$14,HT10&gt;=HU$17,HT10&lt;&gt;""),AND(IM10&gt;=IP$14,IO10&gt;=IP$17,IO10&lt;&gt;""),AND(JH10&gt;=JK$14,JJ10&gt;=JK$17,JJ10&lt;&gt;""),AND(KC10&gt;=KF$14,KE10&gt;=KF$17,KE10&lt;&gt;""),AND(KX10&gt;=LA$14,KZ10&gt;=LA$17,KZ10&lt;&gt;"")),"P","")</f>
        <v/>
      </c>
      <c r="G10" s="4" t="str">
        <f>IF(OR(AND(AH10&gt;=AK$15,AJ10&gt;=AK$18,AJ10&lt;&gt;"",AG10=""),AND(BD10&gt;=BG$15,BF10&gt;=BG$18,BF10&lt;&gt;"",BC10=""),AND(CA10&gt;=CD$15,CC10&gt;=CD$18,CC10&lt;&gt;""),AND(CV10&gt;=CY$15,CX10&gt;=CY$18,CX10&lt;&gt;""),AND(DQ10&gt;=DT$15,DS10&gt;=DT$18,DS10&lt;&gt;""),AND(EL10&gt;=EO$15,EN10&gt;=EO$18,EN10&lt;&gt;""),AND(FG10&gt;=FJ$15,FI10&gt;=FJ$18,FI10&lt;&gt;""),AND(GB10&gt;=GE$15,GD10&gt;=GE$18,GD10&lt;&gt;""),AND(GW10&gt;=GZ$15,GY10&gt;=GZ$18,GY10&lt;&gt;""),AND(HR10&gt;=HU$15,HT10&gt;=HU$18,HT10&lt;&gt;""),AND(IM10&gt;=IP$15,IO10&gt;=IP$18,IO10&lt;&gt;""),AND(JH10&gt;=JK$15,JJ10&gt;=JK$18,JJ10&lt;&gt;""),AND(KC10&gt;=KF$15,KE10&gt;=KF$18,KE10&lt;&gt;""),AND(KX10&gt;=LA$15,KZ10&gt;=LA$18,KZ10&lt;&gt;"")),"P","")</f>
        <v/>
      </c>
      <c r="H10" s="4" t="str">
        <f>IF(OR(AND(AJ10&gt;=AK$17,AJ10&lt;&gt;"",AG10=""),AND(BF10&gt;=BG$17,BF10&lt;&gt;"",BC10=""),AND(CC10&gt;=CD$17,CC10&lt;&gt;""),AND(CX10&gt;=CY$17,CX10&lt;&gt;""),AND(DS10&gt;=DT$17,DS10&lt;&gt;""),AND(EN10&gt;=EO$17,EN10&lt;&gt;""),AND(FI10&gt;=FJ$17,FI10&lt;&gt;""),AND(GD10&gt;=GE$17,GD10&lt;&gt;""),AND(GY10&gt;=GZ$17,GY10&lt;&gt;""),AND(HT10&gt;=HU$17,HT10&lt;&gt;""),AND(IO10&gt;=IP$17,IO10&lt;&gt;""),AND(JJ10&gt;=JK$17,JJ10&lt;&gt;""),AND(KE10&gt;=KF$17,KE10&lt;&gt;""),AND(KZ10&gt;=LA$17,KZ10&lt;&gt;"")),"P","")</f>
        <v/>
      </c>
      <c r="I10" t="str">
        <f>IF(AND(H10="P",F10=""),"No DD",IF(OR(AND(AI10&gt;=AK$16,AI10&lt;&gt;"",AL10&gt;=AK$20,AL10&lt;&gt;"",AG10=""),AND(BE10&gt;=BG$16,BE10&lt;&gt;"",BH10&gt;=BG$20,BH10&lt;&gt;"",BC10=""),AND(CB10&gt;=CD$16,CB10&lt;&gt;"",CE10&gt;=CD$20,CE10&lt;&gt;""),AND(CW10&gt;=CY$16,CW10&lt;&gt;"",CZ10&gt;=CY$20,CZ10&lt;&gt;""),AND(DR10&gt;=DT$16,DR10&lt;&gt;"",DU10&gt;=DT$20,DU10&lt;&gt;""),AND(EM10&gt;=EO$16,EM10&lt;&gt;"",EP10&gt;=EO$20,EP10&lt;&gt;""),AND(FH10&gt;=FJ$16,FH10&lt;&gt;"",FK10&gt;=FJ$20,FK10&lt;&gt;""),AND(GC10&gt;=GE$16,GC10&lt;&gt;"",GF10&gt;=GE$20,GF10&lt;&gt;""),AND(GX10&gt;=GZ$16,GX10&lt;&gt;"",HA10&gt;=GZ$20,HA10&lt;&gt;""),AND(HS10&gt;=HU$16,HS10&lt;&gt;"",HV10&gt;=HU$20,HV10&lt;&gt;""),AND(IN10&gt;=IP$16,IN10&lt;&gt;"",IQ10&gt;=IP$20,IQ10&lt;&gt;""),AND(JI10&gt;=JK$16,JI10&lt;&gt;"",JL10&gt;=JK$20,JL10&lt;&gt;""),AND(KD10&gt;=KF$16,KD10&lt;&gt;"",KG10&gt;=KF$20,KG10&lt;&gt;""),AND(KY10&gt;=LA$16,KY10&lt;&gt;"",LB10&gt;=LA$20,LB10&lt;&gt;"")),"Merit",IF(OR(AND(AI10&gt;=AK$16,AI10&lt;&gt;"",AL10&gt;=AK$19,AL10&lt;&gt;"",AG10=""),AND(BE10&gt;=BG$16,BE10&lt;&gt;"",BH10&gt;=BG$19,BH10&lt;&gt;"",BC10=""),AND(CB10&gt;=CD$16,CB10&lt;&gt;"",CE10&gt;=CD$19,CE10&lt;&gt;""),AND(CW10&gt;=CY$16,CW10&lt;&gt;"",CZ10&gt;=CY$19,CZ10&lt;&gt;""),AND(DR10&gt;=DT$16,DR10&lt;&gt;"",DU10&gt;=DT$19,DU10&lt;&gt;""),AND(EM10&gt;=EO$16,EM10&lt;&gt;"",EP10&gt;=EO$19,EP10&lt;&gt;""),AND(FH10&gt;=FJ$16,FH10&lt;&gt;"",FK10&gt;=FJ$19,FK10&lt;&gt;""),AND(GC10&gt;=GE$16,GC10&lt;&gt;"",GF10&gt;=GE$19,GF10&lt;&gt;""),AND(GX10&gt;=GZ$16,GX10&lt;&gt;"",HA10&gt;=GZ$19,HA10&lt;&gt;""),AND(HS10&gt;=HU$16,HS10&lt;&gt;"",HV10&gt;=HU$19,HV10&lt;&gt;""),AND(IN10&gt;=IP$16,IN10&lt;&gt;"",IQ10&gt;=IP$19,IQ10&lt;&gt;""),AND(JI10&gt;=JK$16,JI10&lt;&gt;"",JL10&gt;=JK$19,JL10&lt;&gt;""),AND(KD10&gt;=KF$16,KD10&lt;&gt;"",KG10&gt;=KF$19,KG10&lt;&gt;""),AND(KY10&gt;=LA$16,KY10&lt;&gt;"",LB10&gt;=LA$19,LB10&lt;&gt;"")),"Excellence",IF(OR(AND(AH10&gt;=AK$15,AH10&lt;&gt;"",AJ10&gt;=AK$18,AJ10&lt;&gt;"",AG10=""),AND(BD10&gt;=BG$15,BD10&lt;&gt;"",BF10&gt;=BG$18,BF10&lt;&gt;"",BC10=""),AND(CA10&gt;=CD$15,CA10&lt;&gt;"",CC10&gt;=CD$18,CC10&lt;&gt;""),AND(CV10&gt;=CY$15,CV10&lt;&gt;"",CX10&gt;=CY$18,CX10&lt;&gt;""),AND(DQ10&gt;=DT$15,DQ10&lt;&gt;"",DS10&gt;=DT$18,DS10&lt;&gt;""),AND(EL10&gt;=EO$15,EL10&lt;&gt;"",EN10&gt;=EO$18,EN10&lt;&gt;""),AND(FG10&gt;=FJ$15,FG10&lt;&gt;"",FI10&gt;=FJ$18,FI10&lt;&gt;""),AND(GB10&gt;=GE$15,GB10&lt;&gt;"",GD10&gt;=GE$18,GD10&lt;&gt;""),AND(GW10&gt;=GZ$15,GW10&lt;&gt;"",GY10&gt;=GZ$18,GY10&lt;&gt;""),AND(HR10&gt;=HU$15,HR10&lt;&gt;"",HT10&gt;=HU$18,HT10&lt;&gt;""),AND(IM10&gt;=IP$15,IM10&lt;&gt;"",IO10&gt;=IP$18,IO10&lt;&gt;""),AND(JH10&gt;=JK$15,JH10&lt;&gt;"",JJ10&gt;=JK$18,JJ10&lt;&gt;""),AND(KC10&gt;=KF$15,KC10&lt;&gt;"",KE10&gt;=KF$18,KE10&lt;&gt;""),AND(KX10&gt;=LA$15,KX10&lt;&gt;"",KZ10&gt;=LA$18,KZ10&lt;&gt;"")),"Worlds Team",IF(OR(AND(AH10&gt;=AK$14,AH10&lt;&gt;"",AJ10&gt;=AK$17,AJ10&lt;&gt;"",AG10=""),AND(BD10&gt;=BG$14,BD10&lt;&gt;"",BF10&gt;=BG$17,BF10&lt;&gt;"",BC10=""),AND(CA10&gt;=CD$14,CA10&lt;&gt;"",CC10&gt;=CD$17,CC10&lt;&gt;""),AND(CV10&gt;=CY$14,CV10&lt;&gt;"",CX10&gt;=CY$17,CX10&lt;&gt;""),AND(DQ10&gt;=DT$14,DQ10&lt;&gt;"",DS10&gt;=DT$17,DS10&lt;&gt;""),AND(EL10&gt;=EO$14,EL10&lt;&gt;"",EN10&gt;=EO$17,EN10&lt;&gt;""),AND(FG10&gt;=FJ$14,FG10&lt;&gt;"",FI10&gt;=FJ$17,FI10&lt;&gt;""),AND(GB10&gt;=GE$14,GB10&lt;&gt;"",GD10&gt;=GE$17,GD10&lt;&gt;""),AND(GW10&gt;=GZ$14,GW10&lt;&gt;"",GY10&gt;=GZ$17,GY10&lt;&gt;""),AND(HR10&gt;=HU$14,HR10&lt;&gt;"",HT10&gt;=HU$17,HT10&lt;&gt;""),AND(IM10&gt;=IP$14,IM10&lt;&gt;"",IO10&gt;=IP$17,IO10&lt;&gt;""),AND(JH10&gt;=JK$14,JH10&lt;&gt;"",JJ10&gt;=JK$17,JJ10&lt;&gt;""),AND(KC10&gt;=KF$14,KC10&lt;&gt;"",KE10&gt;=KF$17,KE10&lt;&gt;""),AND(KX10&gt;=LA$14,KX10&lt;&gt;"",KZ10&gt;=LA$17,KZ10&lt;&gt;"")),"National Team","")))))</f>
        <v/>
      </c>
      <c r="J10" s="15">
        <f>IF(MAX(AL10,BH10)&gt;0,MAX(AL10,BH10),"")</f>
        <v>113.9</v>
      </c>
      <c r="K10" s="15" t="str">
        <f>IF(J10="","",IF(J10=BH10,$AM$1,IF(J10=AL10,$Q$1,"")))</f>
        <v>2019 Nationals</v>
      </c>
      <c r="L10" s="15">
        <f>IF(J10=AL10,IF(MAX(BF10,BG10)&gt;0,MAX(BF10,BG10),""),IF(J10=BH10,IF(MAX(AJ10,AK10)&gt;0,MAX(AJ10,AK10),""),MAX(AJ10,AK10,BF10,BG10)))</f>
        <v>56.499999999999993</v>
      </c>
      <c r="M10" s="15" t="str">
        <f>IF(L10="","",IF(AND(J10&lt;&gt;BH10,OR(L10=BG10,L10=BF10)),$AM$1,IF(OR(L10=AK10,L10=AJ10),$Q$1,"")))</f>
        <v>2019 Elite Canada</v>
      </c>
      <c r="N10" s="15" t="str">
        <f>IF(MAX(BI10:BJ10)&gt;0,MAX(BI10:BJ10),"")</f>
        <v/>
      </c>
      <c r="O10" s="27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71">
        <v>24.4</v>
      </c>
      <c r="R10" s="71">
        <v>6</v>
      </c>
      <c r="S10" s="71">
        <v>1.2</v>
      </c>
      <c r="T10" s="71">
        <v>0</v>
      </c>
      <c r="U10" s="71">
        <v>26.5</v>
      </c>
      <c r="V10" s="71">
        <v>2.8</v>
      </c>
      <c r="W10" s="71">
        <v>2</v>
      </c>
      <c r="X10" s="71">
        <v>0</v>
      </c>
      <c r="Y10" s="71"/>
      <c r="Z10" s="71"/>
      <c r="AA10" s="71"/>
      <c r="AB10" s="71"/>
      <c r="AC10" s="71"/>
      <c r="AD10" s="71"/>
      <c r="AE10" s="71"/>
      <c r="AF10" s="71"/>
      <c r="AG10" s="82"/>
      <c r="AH10" s="12">
        <f>IF(SUM(R10,V10)&gt;0,SUM(R10,V10),"")</f>
        <v>8.8000000000000007</v>
      </c>
      <c r="AI10" s="12">
        <f>IF(SUM(R10,V10,Z10,AD10)&gt;0,SUM(R10,V10,Z10,AD10),"")</f>
        <v>8.8000000000000007</v>
      </c>
      <c r="AJ10" s="12">
        <f>IF(SUM(Q10:R10,T10:V10,X10)-SUM(S10,W10)&gt;0,SUM(Q10:R10,T10:V10,X10)-SUM(S10,W10),"")</f>
        <v>56.499999999999993</v>
      </c>
      <c r="AK10" s="12" t="str">
        <f>IF(SUM(Y10:Z10,AB10:AD10,AF10)-SUM(AA10,AE10)&gt;0,SUM(Y10:Z10,AB10:AD10,AF10)-SUM(AA10,AE10),"")</f>
        <v/>
      </c>
      <c r="AL10" s="12">
        <f>IF(SUM(AJ10,AK10)&gt;0,SUM(AJ10,AK10),"")</f>
        <v>56.499999999999993</v>
      </c>
      <c r="AM10" s="40">
        <v>28.4</v>
      </c>
      <c r="AN10" s="40">
        <v>6</v>
      </c>
      <c r="AO10" s="40">
        <v>0</v>
      </c>
      <c r="AP10" s="40">
        <v>0</v>
      </c>
      <c r="AQ10" s="40">
        <v>27</v>
      </c>
      <c r="AR10" s="40">
        <v>5.6</v>
      </c>
      <c r="AS10" s="40">
        <v>0.3</v>
      </c>
      <c r="AT10" s="40">
        <v>0</v>
      </c>
      <c r="AU10" s="40">
        <v>19.8</v>
      </c>
      <c r="AV10" s="40">
        <v>2.4</v>
      </c>
      <c r="AW10" s="40">
        <v>0</v>
      </c>
      <c r="AX10" s="40">
        <v>0</v>
      </c>
      <c r="AY10" s="40">
        <v>27</v>
      </c>
      <c r="AZ10" s="40">
        <v>2</v>
      </c>
      <c r="BA10" s="40">
        <v>4</v>
      </c>
      <c r="BB10" s="40">
        <v>0</v>
      </c>
      <c r="BC10" s="83"/>
      <c r="BD10" s="15">
        <f>IF(SUM(AN10,AR10)&gt;0,SUM(AN10,AR10),"")</f>
        <v>11.6</v>
      </c>
      <c r="BE10" s="15">
        <f>IF(SUM(AN10,AR10,AV10,AZ10)&gt;0,SUM(AN10,AR10,AV10,AZ10),"")</f>
        <v>16</v>
      </c>
      <c r="BF10" s="15">
        <f>IF(SUM(AM10:AN10,AP10:AR10,AT10)-SUM(AO10,AS10)&gt;0,SUM(AM10:AN10,AP10:AR10,AT10)-SUM(AO10,AS10),"")</f>
        <v>66.7</v>
      </c>
      <c r="BG10" s="15">
        <f>IF(SUM(AU10:AV10,AX10:AZ10,BB10)-SUM(AW10,BA10)&gt;0,SUM(AU10:AV10,AX10:AZ10,BB10)-SUM(AW10,BA10),"")</f>
        <v>47.2</v>
      </c>
      <c r="BH10" s="15">
        <f>IF(SUM(BF10,BG10)&gt;0,SUM(BF10,BG10),"")</f>
        <v>113.9</v>
      </c>
      <c r="BI10" s="26"/>
      <c r="BJ10" s="2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/>
      <c r="CB10" s="12"/>
      <c r="CC10" s="12"/>
      <c r="CD10" s="12"/>
      <c r="CE10" s="12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/>
      <c r="CW10" s="15"/>
      <c r="CX10" s="15"/>
      <c r="CY10" s="15"/>
      <c r="CZ10" s="15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/>
      <c r="DR10" s="12"/>
      <c r="DS10" s="12"/>
      <c r="DT10" s="12"/>
      <c r="DU10" s="12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/>
      <c r="EM10" s="15"/>
      <c r="EN10" s="15"/>
      <c r="EO10" s="15"/>
      <c r="EP10" s="15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/>
      <c r="FH10" s="12"/>
      <c r="FI10" s="12"/>
      <c r="FJ10" s="12"/>
      <c r="FK10" s="12"/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/>
      <c r="GC10" s="15"/>
      <c r="GD10" s="15"/>
      <c r="GE10" s="15"/>
      <c r="GF10" s="15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/>
      <c r="GX10" s="12"/>
      <c r="GY10" s="12"/>
      <c r="GZ10" s="12"/>
      <c r="HA10" s="12"/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71">
        <f t="shared" si="6"/>
        <v>26.4</v>
      </c>
      <c r="LD10" s="71">
        <f t="shared" si="0"/>
        <v>6</v>
      </c>
      <c r="LE10" s="71">
        <f t="shared" si="0"/>
        <v>0.6</v>
      </c>
      <c r="LF10" s="71">
        <f t="shared" si="0"/>
        <v>0</v>
      </c>
      <c r="LG10" s="71">
        <f t="shared" si="0"/>
        <v>26.75</v>
      </c>
      <c r="LH10" s="71">
        <f t="shared" si="0"/>
        <v>4.1999999999999993</v>
      </c>
      <c r="LI10" s="71">
        <f t="shared" si="0"/>
        <v>1.1499999999999999</v>
      </c>
      <c r="LJ10" s="71">
        <f t="shared" si="0"/>
        <v>0</v>
      </c>
      <c r="LK10" s="71">
        <f t="shared" si="0"/>
        <v>9.9</v>
      </c>
      <c r="LL10" s="71">
        <f t="shared" si="0"/>
        <v>1.2</v>
      </c>
      <c r="LM10" s="71">
        <f t="shared" si="0"/>
        <v>0</v>
      </c>
      <c r="LN10" s="71">
        <f t="shared" si="0"/>
        <v>0</v>
      </c>
      <c r="LO10" s="71">
        <f t="shared" si="0"/>
        <v>13.5</v>
      </c>
      <c r="LP10" s="71">
        <f t="shared" si="0"/>
        <v>1</v>
      </c>
      <c r="LQ10" s="71">
        <f t="shared" si="0"/>
        <v>2</v>
      </c>
      <c r="LR10" s="71">
        <f t="shared" si="0"/>
        <v>0</v>
      </c>
      <c r="LS10" s="82" t="s">
        <v>96</v>
      </c>
      <c r="LT10" s="12">
        <f t="shared" si="7"/>
        <v>10.199999999999999</v>
      </c>
      <c r="LU10" s="12">
        <f t="shared" si="8"/>
        <v>12.399999999999999</v>
      </c>
      <c r="LV10" s="12">
        <f t="shared" si="9"/>
        <v>61.599999999999994</v>
      </c>
      <c r="LW10" s="12">
        <f t="shared" si="10"/>
        <v>23.6</v>
      </c>
      <c r="LX10" s="12">
        <f t="shared" si="11"/>
        <v>85.199999999999989</v>
      </c>
    </row>
    <row r="11" spans="1:336" x14ac:dyDescent="0.2">
      <c r="A11" s="6" t="str">
        <f>IF(AND(F11="P",H11="P"),SUMPRODUCT((F$4:F$12="P")*(H$4:H$12="P")*(E$4:E$12&gt;E11))+1,IF(H11="P",SUMPRODUCT((F$4:F$12="")*(H$4:H$12="P")*(E$4:E$12&gt;E11))+1+SUMPRODUCT((F$4:F$12="P")*(H$4:H$12="P")),""))</f>
        <v/>
      </c>
      <c r="B11" s="9" t="s">
        <v>89</v>
      </c>
      <c r="C11" s="5" t="s">
        <v>6</v>
      </c>
      <c r="D11" s="6">
        <v>1991</v>
      </c>
      <c r="E11" s="16">
        <f>SUM(J11:N11)</f>
        <v>66.900000000000006</v>
      </c>
      <c r="F11" s="4" t="str">
        <f>IF(OR(AND(AH11&gt;=AK$14,AJ11&gt;=AK$17,AJ11&lt;&gt;"",AG11=""),AND(BD11&gt;=BG$14,BF11&gt;=BG$17,BF11&lt;&gt;"",BC11=""),AND(CA11&gt;=CD$14,CC11&gt;=CD$17,CC11&lt;&gt;""),AND(CV11&gt;=CY$14,CX11&gt;=CY$17,CX11&lt;&gt;""),AND(DQ11&gt;=DT$14,DS11&gt;=DT$17,DS11&lt;&gt;""),AND(EL11&gt;=EO$14,EN11&gt;=EO$17,EN11&lt;&gt;""),AND(FG11&gt;=FJ$14,FI11&gt;=FJ$17,FI11&lt;&gt;""),AND(GB11&gt;=GE$14,GD11&gt;=GE$17,GD11&lt;&gt;""),AND(GW11&gt;=GZ$14,GY11&gt;=GZ$17,GY11&lt;&gt;""),AND(HR11&gt;=HU$14,HT11&gt;=HU$17,HT11&lt;&gt;""),AND(IM11&gt;=IP$14,IO11&gt;=IP$17,IO11&lt;&gt;""),AND(JH11&gt;=JK$14,JJ11&gt;=JK$17,JJ11&lt;&gt;""),AND(KC11&gt;=KF$14,KE11&gt;=KF$17,KE11&lt;&gt;""),AND(KX11&gt;=LA$14,KZ11&gt;=LA$17,KZ11&lt;&gt;"")),"P","")</f>
        <v/>
      </c>
      <c r="G11" s="4" t="str">
        <f>IF(OR(AND(AH11&gt;=AK$15,AJ11&gt;=AK$18,AJ11&lt;&gt;"",AG11=""),AND(BD11&gt;=BG$15,BF11&gt;=BG$18,BF11&lt;&gt;"",BC11=""),AND(CA11&gt;=CD$15,CC11&gt;=CD$18,CC11&lt;&gt;""),AND(CV11&gt;=CY$15,CX11&gt;=CY$18,CX11&lt;&gt;""),AND(DQ11&gt;=DT$15,DS11&gt;=DT$18,DS11&lt;&gt;""),AND(EL11&gt;=EO$15,EN11&gt;=EO$18,EN11&lt;&gt;""),AND(FG11&gt;=FJ$15,FI11&gt;=FJ$18,FI11&lt;&gt;""),AND(GB11&gt;=GE$15,GD11&gt;=GE$18,GD11&lt;&gt;""),AND(GW11&gt;=GZ$15,GY11&gt;=GZ$18,GY11&lt;&gt;""),AND(HR11&gt;=HU$15,HT11&gt;=HU$18,HT11&lt;&gt;""),AND(IM11&gt;=IP$15,IO11&gt;=IP$18,IO11&lt;&gt;""),AND(JH11&gt;=JK$15,JJ11&gt;=JK$18,JJ11&lt;&gt;""),AND(KC11&gt;=KF$15,KE11&gt;=KF$18,KE11&lt;&gt;""),AND(KX11&gt;=LA$15,KZ11&gt;=LA$18,KZ11&lt;&gt;"")),"P","")</f>
        <v/>
      </c>
      <c r="H11" s="4" t="str">
        <f>IF(OR(AND(AJ11&gt;=AK$17,AJ11&lt;&gt;"",AG11=""),AND(BF11&gt;=BG$17,BF11&lt;&gt;"",BC11=""),AND(CC11&gt;=CD$17,CC11&lt;&gt;""),AND(CX11&gt;=CY$17,CX11&lt;&gt;""),AND(DS11&gt;=DT$17,DS11&lt;&gt;""),AND(EN11&gt;=EO$17,EN11&lt;&gt;""),AND(FI11&gt;=FJ$17,FI11&lt;&gt;""),AND(GD11&gt;=GE$17,GD11&lt;&gt;""),AND(GY11&gt;=GZ$17,GY11&lt;&gt;""),AND(HT11&gt;=HU$17,HT11&lt;&gt;""),AND(IO11&gt;=IP$17,IO11&lt;&gt;""),AND(JJ11&gt;=JK$17,JJ11&lt;&gt;""),AND(KE11&gt;=KF$17,KE11&lt;&gt;""),AND(KZ11&gt;=LA$17,KZ11&lt;&gt;"")),"P","")</f>
        <v/>
      </c>
      <c r="I11" t="str">
        <f>IF(AND(H11="P",F11=""),"No DD",IF(OR(AND(AI11&gt;=AK$16,AI11&lt;&gt;"",AL11&gt;=AK$20,AL11&lt;&gt;"",AG11=""),AND(BE11&gt;=BG$16,BE11&lt;&gt;"",BH11&gt;=BG$20,BH11&lt;&gt;"",BC11=""),AND(CB11&gt;=CD$16,CB11&lt;&gt;"",CE11&gt;=CD$20,CE11&lt;&gt;""),AND(CW11&gt;=CY$16,CW11&lt;&gt;"",CZ11&gt;=CY$20,CZ11&lt;&gt;""),AND(DR11&gt;=DT$16,DR11&lt;&gt;"",DU11&gt;=DT$20,DU11&lt;&gt;""),AND(EM11&gt;=EO$16,EM11&lt;&gt;"",EP11&gt;=EO$20,EP11&lt;&gt;""),AND(FH11&gt;=FJ$16,FH11&lt;&gt;"",FK11&gt;=FJ$20,FK11&lt;&gt;""),AND(GC11&gt;=GE$16,GC11&lt;&gt;"",GF11&gt;=GE$20,GF11&lt;&gt;""),AND(GX11&gt;=GZ$16,GX11&lt;&gt;"",HA11&gt;=GZ$20,HA11&lt;&gt;""),AND(HS11&gt;=HU$16,HS11&lt;&gt;"",HV11&gt;=HU$20,HV11&lt;&gt;""),AND(IN11&gt;=IP$16,IN11&lt;&gt;"",IQ11&gt;=IP$20,IQ11&lt;&gt;""),AND(JI11&gt;=JK$16,JI11&lt;&gt;"",JL11&gt;=JK$20,JL11&lt;&gt;""),AND(KD11&gt;=KF$16,KD11&lt;&gt;"",KG11&gt;=KF$20,KG11&lt;&gt;""),AND(KY11&gt;=LA$16,KY11&lt;&gt;"",LB11&gt;=LA$20,LB11&lt;&gt;"")),"Merit",IF(OR(AND(AI11&gt;=AK$16,AI11&lt;&gt;"",AL11&gt;=AK$19,AL11&lt;&gt;"",AG11=""),AND(BE11&gt;=BG$16,BE11&lt;&gt;"",BH11&gt;=BG$19,BH11&lt;&gt;"",BC11=""),AND(CB11&gt;=CD$16,CB11&lt;&gt;"",CE11&gt;=CD$19,CE11&lt;&gt;""),AND(CW11&gt;=CY$16,CW11&lt;&gt;"",CZ11&gt;=CY$19,CZ11&lt;&gt;""),AND(DR11&gt;=DT$16,DR11&lt;&gt;"",DU11&gt;=DT$19,DU11&lt;&gt;""),AND(EM11&gt;=EO$16,EM11&lt;&gt;"",EP11&gt;=EO$19,EP11&lt;&gt;""),AND(FH11&gt;=FJ$16,FH11&lt;&gt;"",FK11&gt;=FJ$19,FK11&lt;&gt;""),AND(GC11&gt;=GE$16,GC11&lt;&gt;"",GF11&gt;=GE$19,GF11&lt;&gt;""),AND(GX11&gt;=GZ$16,GX11&lt;&gt;"",HA11&gt;=GZ$19,HA11&lt;&gt;""),AND(HS11&gt;=HU$16,HS11&lt;&gt;"",HV11&gt;=HU$19,HV11&lt;&gt;""),AND(IN11&gt;=IP$16,IN11&lt;&gt;"",IQ11&gt;=IP$19,IQ11&lt;&gt;""),AND(JI11&gt;=JK$16,JI11&lt;&gt;"",JL11&gt;=JK$19,JL11&lt;&gt;""),AND(KD11&gt;=KF$16,KD11&lt;&gt;"",KG11&gt;=KF$19,KG11&lt;&gt;""),AND(KY11&gt;=LA$16,KY11&lt;&gt;"",LB11&gt;=LA$19,LB11&lt;&gt;"")),"Excellence",IF(OR(AND(AH11&gt;=AK$15,AH11&lt;&gt;"",AJ11&gt;=AK$18,AJ11&lt;&gt;"",AG11=""),AND(BD11&gt;=BG$15,BD11&lt;&gt;"",BF11&gt;=BG$18,BF11&lt;&gt;"",BC11=""),AND(CA11&gt;=CD$15,CA11&lt;&gt;"",CC11&gt;=CD$18,CC11&lt;&gt;""),AND(CV11&gt;=CY$15,CV11&lt;&gt;"",CX11&gt;=CY$18,CX11&lt;&gt;""),AND(DQ11&gt;=DT$15,DQ11&lt;&gt;"",DS11&gt;=DT$18,DS11&lt;&gt;""),AND(EL11&gt;=EO$15,EL11&lt;&gt;"",EN11&gt;=EO$18,EN11&lt;&gt;""),AND(FG11&gt;=FJ$15,FG11&lt;&gt;"",FI11&gt;=FJ$18,FI11&lt;&gt;""),AND(GB11&gt;=GE$15,GB11&lt;&gt;"",GD11&gt;=GE$18,GD11&lt;&gt;""),AND(GW11&gt;=GZ$15,GW11&lt;&gt;"",GY11&gt;=GZ$18,GY11&lt;&gt;""),AND(HR11&gt;=HU$15,HR11&lt;&gt;"",HT11&gt;=HU$18,HT11&lt;&gt;""),AND(IM11&gt;=IP$15,IM11&lt;&gt;"",IO11&gt;=IP$18,IO11&lt;&gt;""),AND(JH11&gt;=JK$15,JH11&lt;&gt;"",JJ11&gt;=JK$18,JJ11&lt;&gt;""),AND(KC11&gt;=KF$15,KC11&lt;&gt;"",KE11&gt;=KF$18,KE11&lt;&gt;""),AND(KX11&gt;=LA$15,KX11&lt;&gt;"",KZ11&gt;=LA$18,KZ11&lt;&gt;"")),"Worlds Team",IF(OR(AND(AH11&gt;=AK$14,AH11&lt;&gt;"",AJ11&gt;=AK$17,AJ11&lt;&gt;"",AG11=""),AND(BD11&gt;=BG$14,BD11&lt;&gt;"",BF11&gt;=BG$17,BF11&lt;&gt;"",BC11=""),AND(CA11&gt;=CD$14,CA11&lt;&gt;"",CC11&gt;=CD$17,CC11&lt;&gt;""),AND(CV11&gt;=CY$14,CV11&lt;&gt;"",CX11&gt;=CY$17,CX11&lt;&gt;""),AND(DQ11&gt;=DT$14,DQ11&lt;&gt;"",DS11&gt;=DT$17,DS11&lt;&gt;""),AND(EL11&gt;=EO$14,EL11&lt;&gt;"",EN11&gt;=EO$17,EN11&lt;&gt;""),AND(FG11&gt;=FJ$14,FG11&lt;&gt;"",FI11&gt;=FJ$17,FI11&lt;&gt;""),AND(GB11&gt;=GE$14,GB11&lt;&gt;"",GD11&gt;=GE$17,GD11&lt;&gt;""),AND(GW11&gt;=GZ$14,GW11&lt;&gt;"",GY11&gt;=GZ$17,GY11&lt;&gt;""),AND(HR11&gt;=HU$14,HR11&lt;&gt;"",HT11&gt;=HU$17,HT11&lt;&gt;""),AND(IM11&gt;=IP$14,IM11&lt;&gt;"",IO11&gt;=IP$17,IO11&lt;&gt;""),AND(JH11&gt;=JK$14,JH11&lt;&gt;"",JJ11&gt;=JK$17,JJ11&lt;&gt;""),AND(KC11&gt;=KF$14,KC11&lt;&gt;"",KE11&gt;=KF$17,KE11&lt;&gt;""),AND(KX11&gt;=LA$14,KX11&lt;&gt;"",KZ11&gt;=LA$17,KZ11&lt;&gt;"")),"National Team","")))))</f>
        <v/>
      </c>
      <c r="J11" s="15">
        <f>IF(MAX(AL11,BH11)&gt;0,MAX(AL11,BH11),"")</f>
        <v>66.900000000000006</v>
      </c>
      <c r="K11" s="15" t="str">
        <f>IF(J11="","",IF(J11=BH11,$AM$1,IF(J11=AL11,$Q$1,"")))</f>
        <v>2019 Elite Canada</v>
      </c>
      <c r="L11" s="15" t="str">
        <f>IF(J11=AL11,IF(MAX(BF11,BG11)&gt;0,MAX(BF11,BG11),""),IF(J11=BH11,IF(MAX(AJ11,AK11)&gt;0,MAX(AJ11,AK11),""),MAX(AJ11,AK11,BF11,BG11)))</f>
        <v/>
      </c>
      <c r="M11" s="15" t="str">
        <f>IF(L11="","",IF(AND(J11&lt;&gt;BH11,OR(L11=BG11,L11=BF11)),$AM$1,IF(OR(L11=AK11,L11=AJ11),$Q$1,"")))</f>
        <v/>
      </c>
      <c r="N11" s="15" t="str">
        <f>IF(MAX(BI11:BJ11)&gt;0,MAX(BI11:BJ11),"")</f>
        <v/>
      </c>
      <c r="O11" s="27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71">
        <v>28.1</v>
      </c>
      <c r="R11" s="71">
        <v>5.6</v>
      </c>
      <c r="S11" s="71">
        <v>0</v>
      </c>
      <c r="T11" s="71">
        <v>0</v>
      </c>
      <c r="U11" s="71">
        <v>27.2</v>
      </c>
      <c r="V11" s="71">
        <v>6</v>
      </c>
      <c r="W11" s="71">
        <v>0</v>
      </c>
      <c r="X11" s="71">
        <v>0</v>
      </c>
      <c r="Y11" s="71"/>
      <c r="Z11" s="71"/>
      <c r="AA11" s="71"/>
      <c r="AB11" s="71"/>
      <c r="AC11" s="71"/>
      <c r="AD11" s="71"/>
      <c r="AE11" s="71"/>
      <c r="AF11" s="71"/>
      <c r="AG11" s="82"/>
      <c r="AH11" s="12">
        <f>IF(SUM(R11,V11)&gt;0,SUM(R11,V11),"")</f>
        <v>11.6</v>
      </c>
      <c r="AI11" s="12">
        <f>IF(SUM(R11,V11,Z11,AD11)&gt;0,SUM(R11,V11,Z11,AD11),"")</f>
        <v>11.6</v>
      </c>
      <c r="AJ11" s="12">
        <f>IF(SUM(Q11:R11,T11:V11,X11)-SUM(S11,W11)&gt;0,SUM(Q11:R11,T11:V11,X11)-SUM(S11,W11),"")</f>
        <v>66.900000000000006</v>
      </c>
      <c r="AK11" s="12" t="str">
        <f>IF(SUM(Y11:Z11,AB11:AD11,AF11)-SUM(AA11,AE11)&gt;0,SUM(Y11:Z11,AB11:AD11,AF11)-SUM(AA11,AE11),"")</f>
        <v/>
      </c>
      <c r="AL11" s="12">
        <f>IF(SUM(AJ11,AK11)&gt;0,SUM(AJ11,AK11),"")</f>
        <v>66.900000000000006</v>
      </c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83"/>
      <c r="BD11" s="15" t="str">
        <f>IF(SUM(AN11,AR11)&gt;0,SUM(AN11,AR11),"")</f>
        <v/>
      </c>
      <c r="BE11" s="15" t="str">
        <f>IF(SUM(AN11,AR11,AV11,AZ11)&gt;0,SUM(AN11,AR11,AV11,AZ11),"")</f>
        <v/>
      </c>
      <c r="BF11" s="15" t="str">
        <f>IF(SUM(AM11:AN11,AP11:AR11,AT11)-SUM(AO11,AS11)&gt;0,SUM(AM11:AN11,AP11:AR11,AT11)-SUM(AO11,AS11),"")</f>
        <v/>
      </c>
      <c r="BG11" s="15" t="str">
        <f>IF(SUM(AU11:AV11,AX11:AZ11,BB11)-SUM(AW11,BA11)&gt;0,SUM(AU11:AV11,AX11:AZ11,BB11)-SUM(AW11,BA11),"")</f>
        <v/>
      </c>
      <c r="BH11" s="15" t="str">
        <f>IF(SUM(BF11,BG11)&gt;0,SUM(BF11,BG11),"")</f>
        <v/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71">
        <f t="shared" si="6"/>
        <v>14.05</v>
      </c>
      <c r="LD11" s="71">
        <f t="shared" si="0"/>
        <v>2.8</v>
      </c>
      <c r="LE11" s="71">
        <f t="shared" si="0"/>
        <v>0</v>
      </c>
      <c r="LF11" s="71">
        <f t="shared" si="0"/>
        <v>0</v>
      </c>
      <c r="LG11" s="71">
        <f t="shared" si="0"/>
        <v>13.6</v>
      </c>
      <c r="LH11" s="71">
        <f t="shared" si="0"/>
        <v>3</v>
      </c>
      <c r="LI11" s="71">
        <f t="shared" si="0"/>
        <v>0</v>
      </c>
      <c r="LJ11" s="71">
        <f t="shared" si="0"/>
        <v>0</v>
      </c>
      <c r="LK11" s="71">
        <f t="shared" si="0"/>
        <v>0</v>
      </c>
      <c r="LL11" s="71">
        <f t="shared" si="0"/>
        <v>0</v>
      </c>
      <c r="LM11" s="71">
        <f t="shared" si="0"/>
        <v>0</v>
      </c>
      <c r="LN11" s="71">
        <f t="shared" si="0"/>
        <v>0</v>
      </c>
      <c r="LO11" s="71">
        <f t="shared" si="0"/>
        <v>0</v>
      </c>
      <c r="LP11" s="71">
        <f t="shared" si="0"/>
        <v>0</v>
      </c>
      <c r="LQ11" s="71">
        <f t="shared" si="0"/>
        <v>0</v>
      </c>
      <c r="LR11" s="71">
        <f t="shared" si="0"/>
        <v>0</v>
      </c>
      <c r="LS11" s="82" t="s">
        <v>96</v>
      </c>
      <c r="LT11" s="12">
        <f t="shared" si="7"/>
        <v>5.8</v>
      </c>
      <c r="LU11" s="12">
        <f t="shared" si="8"/>
        <v>5.8</v>
      </c>
      <c r="LV11" s="12">
        <f t="shared" si="9"/>
        <v>33.450000000000003</v>
      </c>
      <c r="LW11" s="12" t="str">
        <f t="shared" si="10"/>
        <v/>
      </c>
      <c r="LX11" s="12">
        <f t="shared" si="11"/>
        <v>33.450000000000003</v>
      </c>
    </row>
    <row r="12" spans="1:336" s="55" customFormat="1" x14ac:dyDescent="0.2">
      <c r="A12" s="8"/>
      <c r="B12" s="9"/>
      <c r="C12" s="5"/>
      <c r="D12" s="8"/>
      <c r="E12" s="104"/>
      <c r="F12" s="105"/>
      <c r="G12" s="105"/>
      <c r="H12" s="105"/>
      <c r="J12" s="56"/>
      <c r="K12" s="56"/>
      <c r="L12" s="56"/>
      <c r="M12" s="56"/>
      <c r="N12" s="56"/>
      <c r="O12" s="106"/>
      <c r="P12" s="56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8"/>
      <c r="AH12" s="56"/>
      <c r="AI12" s="56"/>
      <c r="AJ12" s="56"/>
      <c r="AK12" s="56"/>
      <c r="AL12" s="56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8"/>
      <c r="BD12" s="56"/>
      <c r="BE12" s="56"/>
      <c r="BF12" s="56"/>
      <c r="BG12" s="56"/>
      <c r="BH12" s="56"/>
      <c r="BI12" s="56"/>
      <c r="BJ12" s="56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56"/>
      <c r="CB12" s="56"/>
      <c r="CC12" s="56"/>
      <c r="CD12" s="56"/>
      <c r="CE12" s="56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56"/>
      <c r="CW12" s="56"/>
      <c r="CX12" s="56"/>
      <c r="CY12" s="56"/>
      <c r="CZ12" s="56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56"/>
      <c r="DR12" s="56"/>
      <c r="DS12" s="56"/>
      <c r="DT12" s="56"/>
      <c r="DU12" s="56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56"/>
      <c r="EM12" s="56"/>
      <c r="EN12" s="56"/>
      <c r="EO12" s="56"/>
      <c r="EP12" s="56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56"/>
      <c r="FH12" s="56"/>
      <c r="FI12" s="56"/>
      <c r="FJ12" s="56"/>
      <c r="FK12" s="56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56"/>
      <c r="GC12" s="56"/>
      <c r="GD12" s="56"/>
      <c r="GE12" s="56"/>
      <c r="GF12" s="56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56"/>
      <c r="GX12" s="56"/>
      <c r="GY12" s="56"/>
      <c r="GZ12" s="56"/>
      <c r="HA12" s="56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56"/>
      <c r="HS12" s="56"/>
      <c r="HT12" s="56"/>
      <c r="HU12" s="56"/>
      <c r="HV12" s="56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56"/>
      <c r="IN12" s="56"/>
      <c r="IO12" s="56"/>
      <c r="IP12" s="56"/>
      <c r="IQ12" s="56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56"/>
      <c r="JI12" s="56"/>
      <c r="JJ12" s="56"/>
      <c r="JK12" s="56"/>
      <c r="JL12" s="56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56"/>
      <c r="KD12" s="56"/>
      <c r="KE12" s="56"/>
      <c r="KF12" s="56"/>
      <c r="KG12" s="56"/>
      <c r="KH12" s="110"/>
      <c r="KI12" s="110"/>
      <c r="KJ12" s="110"/>
      <c r="KK12" s="110"/>
      <c r="KL12" s="110"/>
      <c r="KM12" s="110"/>
      <c r="KN12" s="110"/>
      <c r="KO12" s="110"/>
      <c r="KP12" s="110"/>
      <c r="KQ12" s="110"/>
      <c r="KR12" s="110"/>
      <c r="KS12" s="110"/>
      <c r="KT12" s="110"/>
      <c r="KU12" s="110"/>
      <c r="KV12" s="110"/>
      <c r="KW12" s="110"/>
      <c r="KX12" s="56"/>
      <c r="KY12" s="56"/>
      <c r="KZ12" s="56"/>
      <c r="LA12" s="56"/>
      <c r="LB12" s="56"/>
    </row>
    <row r="13" spans="1:336" x14ac:dyDescent="0.2">
      <c r="AH13" s="56"/>
      <c r="AI13" s="56"/>
      <c r="BD13" s="56"/>
      <c r="BE13" s="56"/>
      <c r="CA13" s="56"/>
      <c r="CB13" s="56"/>
      <c r="CV13" s="56"/>
      <c r="CW13" s="56"/>
      <c r="DQ13" s="56"/>
      <c r="DR13" s="56"/>
      <c r="EL13" s="56"/>
      <c r="EM13" s="56"/>
      <c r="FG13" s="56"/>
      <c r="FH13" s="56"/>
      <c r="GB13" s="56"/>
      <c r="GC13" s="56"/>
      <c r="GW13" s="56"/>
      <c r="GX13" s="56"/>
      <c r="HR13" s="56"/>
      <c r="HS13" s="56"/>
      <c r="IM13" s="56"/>
      <c r="IN13" s="56"/>
      <c r="JH13" s="56"/>
      <c r="JI13" s="56"/>
      <c r="KC13" s="56"/>
      <c r="KD13" s="56"/>
      <c r="KX13" s="56"/>
      <c r="KY13" s="56"/>
    </row>
    <row r="14" spans="1:336" x14ac:dyDescent="0.2">
      <c r="B14" s="72" t="s">
        <v>82</v>
      </c>
      <c r="AH14" s="56"/>
      <c r="AI14" s="56"/>
      <c r="AK14" s="66">
        <v>11.6</v>
      </c>
      <c r="BD14" s="56"/>
      <c r="BE14" s="56"/>
      <c r="BG14" s="66">
        <v>11.6</v>
      </c>
      <c r="CA14" s="56"/>
      <c r="CB14" s="56"/>
      <c r="CD14" s="66">
        <v>11.6</v>
      </c>
      <c r="CV14" s="56"/>
      <c r="CW14" s="56"/>
      <c r="CY14" s="66">
        <v>11.6</v>
      </c>
      <c r="DQ14" s="56"/>
      <c r="DR14" s="56"/>
      <c r="DT14" s="66">
        <v>11.6</v>
      </c>
      <c r="EL14" s="56"/>
      <c r="EM14" s="56"/>
      <c r="EO14" s="66">
        <v>11.6</v>
      </c>
      <c r="FG14" s="56"/>
      <c r="FH14" s="56"/>
      <c r="FJ14" s="66">
        <v>11.6</v>
      </c>
      <c r="GB14" s="56"/>
      <c r="GC14" s="56"/>
      <c r="GE14" s="66">
        <v>11.6</v>
      </c>
      <c r="GW14" s="56"/>
      <c r="GX14" s="56"/>
      <c r="GZ14" s="66">
        <v>11.6</v>
      </c>
      <c r="HR14" s="56"/>
      <c r="HS14" s="56"/>
      <c r="HU14" s="66">
        <v>11.6</v>
      </c>
      <c r="IM14" s="56"/>
      <c r="IN14" s="56"/>
      <c r="IP14" s="66">
        <v>11.6</v>
      </c>
      <c r="JH14" s="56"/>
      <c r="JI14" s="56"/>
      <c r="JK14" s="66">
        <v>11.6</v>
      </c>
      <c r="KC14" s="56"/>
      <c r="KD14" s="56"/>
      <c r="KF14" s="66">
        <v>11.6</v>
      </c>
      <c r="KX14" s="56"/>
      <c r="KY14" s="56"/>
      <c r="LA14" s="66">
        <v>11.6</v>
      </c>
    </row>
    <row r="15" spans="1:336" x14ac:dyDescent="0.2">
      <c r="B15" s="99" t="s">
        <v>81</v>
      </c>
      <c r="AH15" s="56"/>
      <c r="AI15" s="56"/>
      <c r="AK15" s="101">
        <v>11.6</v>
      </c>
      <c r="BD15" s="56"/>
      <c r="BE15" s="56"/>
      <c r="BG15" s="101">
        <v>11.6</v>
      </c>
      <c r="CA15" s="56"/>
      <c r="CB15" s="56"/>
      <c r="CD15" s="101">
        <v>11.6</v>
      </c>
      <c r="CV15" s="56"/>
      <c r="CW15" s="56"/>
      <c r="CY15" s="101">
        <v>11.6</v>
      </c>
      <c r="DQ15" s="56"/>
      <c r="DR15" s="56"/>
      <c r="DT15" s="101">
        <v>11.6</v>
      </c>
      <c r="EL15" s="56"/>
      <c r="EM15" s="56"/>
      <c r="EO15" s="101">
        <v>11.6</v>
      </c>
      <c r="FG15" s="56"/>
      <c r="FH15" s="56"/>
      <c r="FJ15" s="101">
        <v>11.6</v>
      </c>
      <c r="GB15" s="56"/>
      <c r="GC15" s="56"/>
      <c r="GE15" s="101">
        <v>11.6</v>
      </c>
      <c r="GW15" s="56"/>
      <c r="GX15" s="56"/>
      <c r="GZ15" s="101">
        <v>11.6</v>
      </c>
      <c r="HR15" s="56"/>
      <c r="HS15" s="56"/>
      <c r="HU15" s="101">
        <v>11.6</v>
      </c>
      <c r="IM15" s="56"/>
      <c r="IN15" s="56"/>
      <c r="IP15" s="101">
        <v>11.6</v>
      </c>
      <c r="JH15" s="56"/>
      <c r="JI15" s="56"/>
      <c r="JK15" s="101">
        <v>11.6</v>
      </c>
      <c r="KC15" s="56"/>
      <c r="KD15" s="56"/>
      <c r="KF15" s="101">
        <v>11.6</v>
      </c>
      <c r="KX15" s="56"/>
      <c r="KY15" s="56"/>
      <c r="LA15" s="101">
        <v>11.6</v>
      </c>
    </row>
    <row r="16" spans="1:336" x14ac:dyDescent="0.2">
      <c r="A16" s="58"/>
      <c r="B16" s="100" t="s">
        <v>81</v>
      </c>
      <c r="C16" s="57"/>
      <c r="AK16" s="102">
        <v>22.8</v>
      </c>
      <c r="BG16" s="102">
        <v>22.8</v>
      </c>
      <c r="CD16" s="102">
        <v>22.8</v>
      </c>
      <c r="CY16" s="102">
        <v>22.8</v>
      </c>
      <c r="DT16" s="102">
        <v>22.8</v>
      </c>
      <c r="EO16" s="102">
        <v>22.8</v>
      </c>
      <c r="FJ16" s="102">
        <v>22.8</v>
      </c>
      <c r="GE16" s="102">
        <v>22.8</v>
      </c>
      <c r="GZ16" s="102">
        <v>22.8</v>
      </c>
      <c r="HU16" s="102">
        <v>22.8</v>
      </c>
      <c r="IP16" s="102">
        <v>22.8</v>
      </c>
      <c r="JK16" s="102">
        <v>22.8</v>
      </c>
      <c r="KF16" s="102">
        <v>22.8</v>
      </c>
      <c r="LA16" s="102">
        <v>22.8</v>
      </c>
    </row>
    <row r="17" spans="1:313" x14ac:dyDescent="0.2">
      <c r="A17" s="58"/>
      <c r="B17" s="73" t="s">
        <v>79</v>
      </c>
      <c r="C17" s="57"/>
      <c r="AK17" s="67">
        <v>67</v>
      </c>
      <c r="BG17" s="67">
        <v>67</v>
      </c>
      <c r="CD17" s="67">
        <v>67</v>
      </c>
      <c r="CY17" s="67">
        <v>67</v>
      </c>
      <c r="DT17" s="67">
        <v>67</v>
      </c>
      <c r="EO17" s="67">
        <v>67</v>
      </c>
      <c r="FJ17" s="67">
        <v>67</v>
      </c>
      <c r="GE17" s="67">
        <v>67</v>
      </c>
      <c r="GZ17" s="67">
        <v>67</v>
      </c>
      <c r="HU17" s="67">
        <v>67</v>
      </c>
      <c r="IP17" s="67">
        <v>67</v>
      </c>
      <c r="JK17" s="67">
        <v>67</v>
      </c>
      <c r="KF17" s="67">
        <v>67</v>
      </c>
      <c r="LA17" s="67">
        <v>67</v>
      </c>
    </row>
    <row r="18" spans="1:313" x14ac:dyDescent="0.2">
      <c r="A18" s="58"/>
      <c r="B18" s="74" t="s">
        <v>80</v>
      </c>
      <c r="C18" s="57"/>
      <c r="AH18" s="58"/>
      <c r="AI18" s="58"/>
      <c r="AK18" s="68">
        <v>68.2</v>
      </c>
      <c r="BD18" s="58"/>
      <c r="BE18" s="58"/>
      <c r="BG18" s="68">
        <v>68.2</v>
      </c>
      <c r="CA18" s="58"/>
      <c r="CB18" s="58"/>
      <c r="CD18" s="68">
        <v>68.2</v>
      </c>
      <c r="CV18" s="58"/>
      <c r="CW18" s="58"/>
      <c r="CY18" s="68">
        <v>68.2</v>
      </c>
      <c r="DQ18" s="58"/>
      <c r="DR18" s="58"/>
      <c r="DT18" s="68">
        <v>68.2</v>
      </c>
      <c r="EL18" s="58"/>
      <c r="EM18" s="58"/>
      <c r="EO18" s="68">
        <v>68.2</v>
      </c>
      <c r="FG18" s="58"/>
      <c r="FH18" s="58"/>
      <c r="FJ18" s="68">
        <v>68.2</v>
      </c>
      <c r="GB18" s="58"/>
      <c r="GC18" s="58"/>
      <c r="GE18" s="68">
        <v>68.2</v>
      </c>
      <c r="GW18" s="58"/>
      <c r="GX18" s="58"/>
      <c r="GZ18" s="68">
        <v>68.2</v>
      </c>
      <c r="HR18" s="58"/>
      <c r="HS18" s="58"/>
      <c r="HU18" s="68">
        <v>68.2</v>
      </c>
      <c r="IM18" s="58"/>
      <c r="IN18" s="58"/>
      <c r="IP18" s="68">
        <v>68.2</v>
      </c>
      <c r="JH18" s="58"/>
      <c r="JI18" s="58"/>
      <c r="JK18" s="68">
        <v>68.2</v>
      </c>
      <c r="KC18" s="58"/>
      <c r="KD18" s="58"/>
      <c r="KF18" s="68">
        <v>68.2</v>
      </c>
      <c r="KX18" s="58"/>
      <c r="KY18" s="58"/>
      <c r="LA18" s="68">
        <v>68.2</v>
      </c>
    </row>
    <row r="19" spans="1:313" x14ac:dyDescent="0.2">
      <c r="A19" s="58"/>
      <c r="B19" s="75" t="s">
        <v>124</v>
      </c>
      <c r="C19" s="57"/>
      <c r="AH19" s="58"/>
      <c r="AI19" s="58"/>
      <c r="AK19" s="69">
        <v>135.80000000000001</v>
      </c>
      <c r="BD19" s="58"/>
      <c r="BE19" s="58"/>
      <c r="BG19" s="69">
        <v>135.80000000000001</v>
      </c>
      <c r="CA19" s="58"/>
      <c r="CB19" s="58"/>
      <c r="CD19" s="69">
        <v>135.80000000000001</v>
      </c>
      <c r="CV19" s="58"/>
      <c r="CW19" s="58"/>
      <c r="CY19" s="69">
        <v>135.80000000000001</v>
      </c>
      <c r="DQ19" s="58"/>
      <c r="DR19" s="58"/>
      <c r="DT19" s="69">
        <v>135.80000000000001</v>
      </c>
      <c r="EL19" s="58"/>
      <c r="EM19" s="58"/>
      <c r="EO19" s="69">
        <v>135.80000000000001</v>
      </c>
      <c r="FG19" s="58"/>
      <c r="FH19" s="58"/>
      <c r="FJ19" s="69">
        <v>135.80000000000001</v>
      </c>
      <c r="GB19" s="58"/>
      <c r="GC19" s="58"/>
      <c r="GE19" s="69">
        <v>135.80000000000001</v>
      </c>
      <c r="GW19" s="58"/>
      <c r="GX19" s="58"/>
      <c r="GZ19" s="69">
        <v>135.80000000000001</v>
      </c>
      <c r="HR19" s="58"/>
      <c r="HS19" s="58"/>
      <c r="HU19" s="69">
        <v>135.80000000000001</v>
      </c>
      <c r="IM19" s="58"/>
      <c r="IN19" s="58"/>
      <c r="IP19" s="69">
        <v>135.80000000000001</v>
      </c>
      <c r="JH19" s="58"/>
      <c r="JI19" s="58"/>
      <c r="JK19" s="69">
        <v>135.80000000000001</v>
      </c>
      <c r="KC19" s="58"/>
      <c r="KD19" s="58"/>
      <c r="KF19" s="69">
        <v>135.80000000000001</v>
      </c>
      <c r="KX19" s="58"/>
      <c r="KY19" s="58"/>
      <c r="LA19" s="69">
        <v>135.80000000000001</v>
      </c>
    </row>
    <row r="20" spans="1:313" x14ac:dyDescent="0.2">
      <c r="A20" s="58"/>
      <c r="B20" s="76" t="s">
        <v>61</v>
      </c>
      <c r="C20" s="57"/>
      <c r="AH20" s="58"/>
      <c r="AI20" s="58"/>
      <c r="AK20" s="70">
        <v>136.69999999999999</v>
      </c>
      <c r="BD20" s="58"/>
      <c r="BE20" s="58"/>
      <c r="BG20" s="70">
        <v>136.69999999999999</v>
      </c>
      <c r="CA20" s="58"/>
      <c r="CB20" s="58"/>
      <c r="CD20" s="70">
        <v>136.69999999999999</v>
      </c>
      <c r="CV20" s="58"/>
      <c r="CW20" s="58"/>
      <c r="CY20" s="70">
        <v>136.69999999999999</v>
      </c>
      <c r="DQ20" s="58"/>
      <c r="DR20" s="58"/>
      <c r="DT20" s="70">
        <v>136.69999999999999</v>
      </c>
      <c r="EL20" s="58"/>
      <c r="EM20" s="58"/>
      <c r="EO20" s="70">
        <v>136.69999999999999</v>
      </c>
      <c r="FG20" s="58"/>
      <c r="FH20" s="58"/>
      <c r="FJ20" s="70">
        <v>136.69999999999999</v>
      </c>
      <c r="GB20" s="58"/>
      <c r="GC20" s="58"/>
      <c r="GE20" s="70">
        <v>136.69999999999999</v>
      </c>
      <c r="GW20" s="58"/>
      <c r="GX20" s="58"/>
      <c r="GZ20" s="70">
        <v>136.69999999999999</v>
      </c>
      <c r="HR20" s="58"/>
      <c r="HS20" s="58"/>
      <c r="HU20" s="70">
        <v>136.69999999999999</v>
      </c>
      <c r="IM20" s="58"/>
      <c r="IN20" s="58"/>
      <c r="IP20" s="70">
        <v>136.69999999999999</v>
      </c>
      <c r="JH20" s="58"/>
      <c r="JI20" s="58"/>
      <c r="JK20" s="70">
        <v>136.69999999999999</v>
      </c>
      <c r="KC20" s="58"/>
      <c r="KD20" s="58"/>
      <c r="KF20" s="70">
        <v>136.69999999999999</v>
      </c>
      <c r="KX20" s="58"/>
      <c r="KY20" s="58"/>
      <c r="LA20" s="70">
        <v>136.69999999999999</v>
      </c>
    </row>
    <row r="21" spans="1:313" x14ac:dyDescent="0.2">
      <c r="B21" s="84" t="s">
        <v>97</v>
      </c>
      <c r="C21" s="3"/>
      <c r="AH21" s="58"/>
      <c r="AI21" s="58"/>
      <c r="BD21" s="58"/>
      <c r="BE21" s="58"/>
      <c r="CA21" s="58"/>
      <c r="CB21" s="58"/>
      <c r="CC21" s="7"/>
      <c r="CV21" s="58"/>
      <c r="CW21" s="58"/>
      <c r="DQ21" s="58"/>
      <c r="DR21" s="58"/>
      <c r="EL21" s="58"/>
      <c r="EM21" s="58"/>
      <c r="FG21" s="58"/>
      <c r="FH21" s="58"/>
      <c r="GB21" s="58"/>
      <c r="GC21" s="58"/>
      <c r="GW21" s="58"/>
      <c r="GX21" s="58"/>
      <c r="HR21" s="58"/>
      <c r="HS21" s="58"/>
      <c r="IM21" s="58"/>
      <c r="IN21" s="58"/>
      <c r="JH21" s="58"/>
      <c r="JI21" s="58"/>
      <c r="JJ21" s="7"/>
      <c r="KC21" s="58"/>
      <c r="KD21" s="58"/>
      <c r="KX21" s="58"/>
      <c r="KY21" s="58"/>
    </row>
    <row r="22" spans="1:313" x14ac:dyDescent="0.2">
      <c r="A22" s="58"/>
      <c r="B22" s="58"/>
      <c r="C22" s="57"/>
      <c r="AH22" s="58"/>
      <c r="AI22" s="58"/>
      <c r="BD22" s="58"/>
      <c r="BE22" s="58"/>
      <c r="CA22" s="58"/>
      <c r="CB22" s="58"/>
      <c r="CV22" s="58"/>
      <c r="CW22" s="58"/>
      <c r="DQ22" s="58"/>
      <c r="DR22" s="58"/>
      <c r="EL22" s="58"/>
      <c r="EM22" s="58"/>
      <c r="FG22" s="58"/>
      <c r="FH22" s="58"/>
      <c r="GB22" s="58"/>
      <c r="GC22" s="58"/>
      <c r="GW22" s="58"/>
      <c r="GX22" s="58"/>
      <c r="HR22" s="58"/>
      <c r="HS22" s="58"/>
      <c r="IM22" s="58"/>
      <c r="IN22" s="58"/>
      <c r="JH22" s="58"/>
      <c r="JI22" s="58"/>
      <c r="KC22" s="58"/>
      <c r="KD22" s="58"/>
      <c r="KX22" s="58"/>
      <c r="KY22" s="58"/>
    </row>
    <row r="23" spans="1:313" x14ac:dyDescent="0.2">
      <c r="A23" s="58"/>
      <c r="B23" s="58"/>
      <c r="C23" s="57"/>
      <c r="AH23" s="58"/>
      <c r="AI23" s="58"/>
      <c r="BD23" s="58"/>
      <c r="BE23" s="58"/>
      <c r="CA23" s="58"/>
      <c r="CB23" s="58"/>
      <c r="CV23" s="58"/>
      <c r="CW23" s="58"/>
      <c r="DQ23" s="58"/>
      <c r="DR23" s="58"/>
      <c r="EL23" s="58"/>
      <c r="EM23" s="58"/>
      <c r="FG23" s="58"/>
      <c r="FH23" s="58"/>
      <c r="GB23" s="58"/>
      <c r="GC23" s="58"/>
      <c r="GW23" s="58"/>
      <c r="GX23" s="58"/>
      <c r="HR23" s="58"/>
      <c r="HS23" s="58"/>
      <c r="IM23" s="58"/>
      <c r="IN23" s="58"/>
      <c r="JH23" s="58"/>
      <c r="JI23" s="58"/>
      <c r="KC23" s="58"/>
      <c r="KD23" s="58"/>
      <c r="KX23" s="58"/>
      <c r="KY23" s="58"/>
    </row>
    <row r="24" spans="1:313" x14ac:dyDescent="0.2">
      <c r="A24" s="58"/>
      <c r="B24" s="58"/>
      <c r="C24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1">
      <sortCondition descending="1" ref="F1:F12"/>
    </sortState>
  </autoFilter>
  <mergeCells count="92"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  <mergeCell ref="LC1:LX1"/>
    <mergeCell ref="LC2:LF2"/>
    <mergeCell ref="LG2:LJ2"/>
    <mergeCell ref="LK2:LN2"/>
    <mergeCell ref="LO2:LR2"/>
  </mergeCells>
  <conditionalFormatting sqref="A1:A1048576">
    <cfRule type="expression" dxfId="38" priority="57">
      <formula>AND(H1="P",F1="")</formula>
    </cfRule>
  </conditionalFormatting>
  <conditionalFormatting sqref="I12:I1048576">
    <cfRule type="containsText" dxfId="37" priority="55" operator="containsText" text="No DD">
      <formula>NOT(ISERROR(SEARCH("No DD",I12)))</formula>
    </cfRule>
  </conditionalFormatting>
  <conditionalFormatting sqref="K1:K1048576 M1:M1048576">
    <cfRule type="expression" dxfId="36" priority="76">
      <formula>IF(K1=$AM$1,1,0)</formula>
    </cfRule>
    <cfRule type="expression" dxfId="35" priority="77">
      <formula>IF(K1=$Q$1,1,0)</formula>
    </cfRule>
  </conditionalFormatting>
  <conditionalFormatting sqref="AM4:BH12">
    <cfRule type="expression" dxfId="34" priority="78">
      <formula>IF($BC4&lt;&gt;"",1,0)</formula>
    </cfRule>
  </conditionalFormatting>
  <conditionalFormatting sqref="Q4:AL12">
    <cfRule type="expression" dxfId="33" priority="56">
      <formula>IF($AG4&lt;&gt;"",1,0)</formula>
    </cfRule>
  </conditionalFormatting>
  <conditionalFormatting sqref="I1:I1048576">
    <cfRule type="containsText" dxfId="32" priority="1" operator="containsText" text="No DD">
      <formula>NOT(ISERROR(SEARCH("No DD",I1)))</formula>
    </cfRule>
    <cfRule type="containsText" dxfId="31" priority="2" operator="containsText" text="Merit">
      <formula>NOT(ISERROR(SEARCH("Merit",I1)))</formula>
    </cfRule>
    <cfRule type="containsText" dxfId="30" priority="3" operator="containsText" text="Excellence">
      <formula>NOT(ISERROR(SEARCH("Excellence",I1)))</formula>
    </cfRule>
    <cfRule type="containsText" dxfId="29" priority="4" operator="containsText" text="Worlds Team">
      <formula>NOT(ISERROR(SEARCH("Worlds Team",I1)))</formula>
    </cfRule>
    <cfRule type="containsText" dxfId="28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27" priority="17536">
      <formula>IF(AND(CC1&gt;=CD$18,CC1&lt;CD$19),1,0)</formula>
    </cfRule>
    <cfRule type="expression" dxfId="26" priority="17537">
      <formula>IF(AND(CC1&gt;=CD$17,CC1&lt;CD$18),1,0)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25" priority="17608">
      <formula>IF(AND(CE1&gt;=CD$20,CE1&lt;1000),1,0)</formula>
    </cfRule>
    <cfRule type="expression" dxfId="24" priority="17609">
      <formula>IF(AND(CE1&gt;=CD$19,CE1&lt;CD$20),1,0)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23" priority="17680">
      <formula>IF(AND(CB1&gt;=CD$16,CB1&lt;1000),1,0)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22" priority="17716">
      <formula>IF(AND(CA1&gt;=CD$15,CA1&lt;1000),1,0)</formula>
    </cfRule>
    <cfRule type="expression" dxfId="21" priority="17717">
      <formula>IF(AND(CA1&gt;=CD$14,CA1&lt;CD$15),1,0)</formula>
    </cfRule>
  </conditionalFormatting>
  <conditionalFormatting sqref="AH1:AH1048576 BD1:BD1048576">
    <cfRule type="expression" dxfId="20" priority="17788">
      <formula>IF(AND(AH1&gt;=AK$15,AH1&lt;1000,AG1=""),1,0)</formula>
    </cfRule>
    <cfRule type="expression" dxfId="19" priority="17789">
      <formula>IF(AND(AH1&gt;=AK$14,AH1&lt;AK$15,AG1=""),1,0)</formula>
    </cfRule>
  </conditionalFormatting>
  <conditionalFormatting sqref="BF1:BF1048576 AJ1:AJ1048576">
    <cfRule type="expression" dxfId="18" priority="17800">
      <formula>IF(AND(AJ1&gt;=AK$18,AJ1&lt;AK$19,AG1=""),1,0)</formula>
    </cfRule>
    <cfRule type="expression" dxfId="17" priority="17801">
      <formula>IF(AND(AJ1&gt;=AK$17,AJ1&lt;AK$18,AG1=""),1,0)</formula>
    </cfRule>
  </conditionalFormatting>
  <conditionalFormatting sqref="BH1:BH1048576 AL1:AL1048576">
    <cfRule type="expression" dxfId="16" priority="17812">
      <formula>IF(AND(AL1&gt;=AK$20,AL1&lt;1000,AG1=""),1,0)</formula>
    </cfRule>
    <cfRule type="expression" dxfId="15" priority="17813">
      <formula>IF(AND(AL1&gt;=AK$19,AL1&lt;AK$20,AG1=""),1,0)</formula>
    </cfRule>
  </conditionalFormatting>
  <conditionalFormatting sqref="AI1:AI1048576 BE1:BE1048576">
    <cfRule type="expression" dxfId="14" priority="17824">
      <formula>IF(AND(AI1&gt;=AK$16,AI1&lt;1000,AG1=""),1,0)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2019-12-08T07:33:39Z</dcterms:modified>
</cp:coreProperties>
</file>