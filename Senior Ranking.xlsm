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53DE7BC-37AA-1145-B2E2-548900633EEC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5" r:id="rId3"/>
    <sheet name="SYN-M" sheetId="16" r:id="rId4"/>
    <sheet name="SYN-W" sheetId="17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'SYN-M'!$A$1:$TV$5</definedName>
    <definedName name="_xlnm._FilterDatabase" localSheetId="4" hidden="1">'SYN-W'!$A$1:$TV$5</definedName>
    <definedName name="_xlnm._FilterDatabase" localSheetId="1" hidden="1">'TRA-M'!$A$1:$TX$20</definedName>
    <definedName name="_xlnm._FilterDatabase" localSheetId="2" hidden="1">'TRA-W'!$A$1:$TX$14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D8" i="19" l="1"/>
  <c r="AR8" i="19"/>
  <c r="AS8" i="19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AV8" i="19" l="1"/>
  <c r="QC8" i="19"/>
  <c r="LU8" i="19"/>
  <c r="NY8" i="19"/>
  <c r="JQ8" i="19"/>
  <c r="FI8" i="19"/>
  <c r="DB8" i="19"/>
  <c r="R8" i="19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G8" i="19"/>
  <c r="AY8" i="19"/>
  <c r="Q8" i="19" l="1"/>
  <c r="DG8" i="19"/>
  <c r="S8" i="19"/>
  <c r="DH8" i="19"/>
  <c r="M8" i="19"/>
  <c r="RF8" i="19"/>
  <c r="T8" i="19"/>
  <c r="U8" i="19" s="1"/>
  <c r="I8" i="19"/>
  <c r="H8" i="19" s="1"/>
  <c r="RI8" i="19"/>
  <c r="E8" i="19" l="1"/>
  <c r="V8" i="19"/>
  <c r="AR17" i="19" l="1"/>
  <c r="AS17" i="19"/>
  <c r="AT17" i="19"/>
  <c r="AU17" i="19"/>
  <c r="AW17" i="19"/>
  <c r="AX17" i="19"/>
  <c r="BU17" i="19"/>
  <c r="BV17" i="19"/>
  <c r="BY17" i="19" s="1"/>
  <c r="BW17" i="19"/>
  <c r="BX17" i="19"/>
  <c r="BZ17" i="19"/>
  <c r="CA17" i="19"/>
  <c r="CX17" i="19"/>
  <c r="CY17" i="19"/>
  <c r="CZ17" i="19"/>
  <c r="DA17" i="19"/>
  <c r="DC17" i="19"/>
  <c r="DD17" i="19"/>
  <c r="EC17" i="19"/>
  <c r="ED17" i="19"/>
  <c r="EE17" i="19"/>
  <c r="EF17" i="19"/>
  <c r="EH17" i="19"/>
  <c r="EI17" i="19"/>
  <c r="FE17" i="19"/>
  <c r="FF17" i="19"/>
  <c r="FG17" i="19"/>
  <c r="FH17" i="19"/>
  <c r="FJ17" i="19"/>
  <c r="FK17" i="19"/>
  <c r="GG17" i="19"/>
  <c r="GH17" i="19"/>
  <c r="GK17" i="19" s="1"/>
  <c r="GI17" i="19"/>
  <c r="GJ17" i="19"/>
  <c r="GL17" i="19"/>
  <c r="GM17" i="19"/>
  <c r="HI17" i="19"/>
  <c r="HJ17" i="19"/>
  <c r="HK17" i="19"/>
  <c r="HL17" i="19"/>
  <c r="HN17" i="19"/>
  <c r="HO17" i="19"/>
  <c r="IK17" i="19"/>
  <c r="IL17" i="19"/>
  <c r="IM17" i="19"/>
  <c r="IN17" i="19"/>
  <c r="IP17" i="19"/>
  <c r="IQ17" i="19"/>
  <c r="JM17" i="19"/>
  <c r="JN17" i="19"/>
  <c r="JO17" i="19"/>
  <c r="JP17" i="19"/>
  <c r="JR17" i="19"/>
  <c r="JS17" i="19"/>
  <c r="KO17" i="19"/>
  <c r="KP17" i="19"/>
  <c r="KQ17" i="19"/>
  <c r="KR17" i="19"/>
  <c r="KT17" i="19"/>
  <c r="KU17" i="19"/>
  <c r="LQ17" i="19"/>
  <c r="LR17" i="19"/>
  <c r="LS17" i="19"/>
  <c r="LT17" i="19"/>
  <c r="LV17" i="19"/>
  <c r="LW17" i="19"/>
  <c r="MS17" i="19"/>
  <c r="MT17" i="19"/>
  <c r="MU17" i="19"/>
  <c r="MV17" i="19"/>
  <c r="MX17" i="19"/>
  <c r="MY17" i="19"/>
  <c r="NU17" i="19"/>
  <c r="NV17" i="19"/>
  <c r="NW17" i="19"/>
  <c r="NX17" i="19"/>
  <c r="NZ17" i="19"/>
  <c r="OA17" i="19"/>
  <c r="OW17" i="19"/>
  <c r="OX17" i="19"/>
  <c r="OY17" i="19"/>
  <c r="OZ17" i="19"/>
  <c r="PB17" i="19"/>
  <c r="PC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Z18" i="4"/>
  <c r="EA18" i="4"/>
  <c r="EB18" i="4"/>
  <c r="EC18" i="4"/>
  <c r="ED18" i="4"/>
  <c r="EE18" i="4"/>
  <c r="EG18" i="4"/>
  <c r="EH18" i="4"/>
  <c r="EI18" i="4"/>
  <c r="EJ18" i="4"/>
  <c r="EK18" i="4"/>
  <c r="EL18" i="4"/>
  <c r="FH18" i="4"/>
  <c r="FI18" i="4"/>
  <c r="FJ18" i="4"/>
  <c r="FN18" i="4" s="1"/>
  <c r="FK18" i="4"/>
  <c r="FL18" i="4"/>
  <c r="FM18" i="4"/>
  <c r="FO18" i="4"/>
  <c r="FP18" i="4"/>
  <c r="FQ18" i="4"/>
  <c r="FR18" i="4"/>
  <c r="FS18" i="4"/>
  <c r="FT18" i="4"/>
  <c r="GP18" i="4"/>
  <c r="GQ18" i="4"/>
  <c r="GR18" i="4"/>
  <c r="GS18" i="4"/>
  <c r="GT18" i="4"/>
  <c r="GU18" i="4"/>
  <c r="GW18" i="4"/>
  <c r="GX18" i="4"/>
  <c r="GY18" i="4"/>
  <c r="GZ18" i="4"/>
  <c r="HA18" i="4"/>
  <c r="HB18" i="4"/>
  <c r="HX18" i="4"/>
  <c r="HY18" i="4"/>
  <c r="HZ18" i="4"/>
  <c r="IA18" i="4"/>
  <c r="IB18" i="4"/>
  <c r="IC18" i="4"/>
  <c r="IE18" i="4"/>
  <c r="IF18" i="4"/>
  <c r="IG18" i="4"/>
  <c r="IH18" i="4"/>
  <c r="II18" i="4"/>
  <c r="IJ18" i="4"/>
  <c r="JF18" i="4"/>
  <c r="JG18" i="4"/>
  <c r="JH18" i="4"/>
  <c r="JI18" i="4"/>
  <c r="JJ18" i="4"/>
  <c r="JK18" i="4"/>
  <c r="JM18" i="4"/>
  <c r="JN18" i="4"/>
  <c r="JO18" i="4"/>
  <c r="JP18" i="4"/>
  <c r="JQ18" i="4"/>
  <c r="JR18" i="4"/>
  <c r="KN18" i="4"/>
  <c r="KO18" i="4"/>
  <c r="KP18" i="4"/>
  <c r="KQ18" i="4"/>
  <c r="KR18" i="4"/>
  <c r="KS18" i="4"/>
  <c r="KU18" i="4"/>
  <c r="KV18" i="4"/>
  <c r="KW18" i="4"/>
  <c r="KX18" i="4"/>
  <c r="KY18" i="4"/>
  <c r="KZ18" i="4"/>
  <c r="LV18" i="4"/>
  <c r="LW18" i="4"/>
  <c r="LX18" i="4"/>
  <c r="LY18" i="4"/>
  <c r="LZ18" i="4"/>
  <c r="MA18" i="4"/>
  <c r="MC18" i="4"/>
  <c r="MD18" i="4"/>
  <c r="ME18" i="4"/>
  <c r="MF18" i="4"/>
  <c r="MG18" i="4"/>
  <c r="MH18" i="4"/>
  <c r="ND18" i="4"/>
  <c r="NE18" i="4"/>
  <c r="NF18" i="4"/>
  <c r="NG18" i="4"/>
  <c r="NH18" i="4"/>
  <c r="NI18" i="4"/>
  <c r="NK18" i="4"/>
  <c r="NL18" i="4"/>
  <c r="NM18" i="4"/>
  <c r="NN18" i="4"/>
  <c r="NO18" i="4"/>
  <c r="NP18" i="4"/>
  <c r="OL18" i="4"/>
  <c r="OM18" i="4"/>
  <c r="ON18" i="4"/>
  <c r="OO18" i="4"/>
  <c r="OP18" i="4"/>
  <c r="OQ18" i="4"/>
  <c r="OS18" i="4"/>
  <c r="OT18" i="4"/>
  <c r="OU18" i="4"/>
  <c r="OV18" i="4"/>
  <c r="OW18" i="4"/>
  <c r="OX18" i="4"/>
  <c r="PT18" i="4"/>
  <c r="PU18" i="4"/>
  <c r="PV18" i="4"/>
  <c r="PW18" i="4"/>
  <c r="PX18" i="4"/>
  <c r="PY18" i="4"/>
  <c r="QA18" i="4"/>
  <c r="QB18" i="4"/>
  <c r="QC18" i="4"/>
  <c r="QD18" i="4"/>
  <c r="QE18" i="4"/>
  <c r="QF18" i="4"/>
  <c r="RB18" i="4"/>
  <c r="RC18" i="4"/>
  <c r="RD18" i="4"/>
  <c r="RE18" i="4"/>
  <c r="RF18" i="4"/>
  <c r="RG18" i="4"/>
  <c r="RI18" i="4"/>
  <c r="RJ18" i="4"/>
  <c r="RK18" i="4"/>
  <c r="RL18" i="4"/>
  <c r="RM18" i="4"/>
  <c r="RN18" i="4"/>
  <c r="SJ18" i="4"/>
  <c r="SK18" i="4"/>
  <c r="SL18" i="4"/>
  <c r="SM18" i="4"/>
  <c r="SN18" i="4"/>
  <c r="SO18" i="4"/>
  <c r="SQ18" i="4"/>
  <c r="SR18" i="4"/>
  <c r="SS18" i="4"/>
  <c r="ST18" i="4"/>
  <c r="SU18" i="4"/>
  <c r="SV18" i="4"/>
  <c r="SX18" i="4"/>
  <c r="SY18" i="4"/>
  <c r="SZ18" i="4"/>
  <c r="TN18" i="4" s="1"/>
  <c r="TA18" i="4"/>
  <c r="TO18" i="4" s="1"/>
  <c r="TB18" i="4"/>
  <c r="TC18" i="4"/>
  <c r="TD18" i="4"/>
  <c r="TE18" i="4"/>
  <c r="TQ18" i="4" s="1"/>
  <c r="TF18" i="4"/>
  <c r="TR18" i="4" s="1"/>
  <c r="TG18" i="4"/>
  <c r="TH18" i="4"/>
  <c r="TI18" i="4"/>
  <c r="TJ18" i="4"/>
  <c r="TU18" i="4" s="1"/>
  <c r="TK18" i="4"/>
  <c r="TV18" i="4" s="1"/>
  <c r="TL18" i="4"/>
  <c r="AO13" i="15"/>
  <c r="AP13" i="15"/>
  <c r="AQ13" i="15"/>
  <c r="AU13" i="15" s="1"/>
  <c r="AR13" i="15"/>
  <c r="AS13" i="15"/>
  <c r="AT13" i="15"/>
  <c r="AV13" i="15"/>
  <c r="AW13" i="15"/>
  <c r="AX13" i="15"/>
  <c r="BP13" i="15"/>
  <c r="BQ13" i="15"/>
  <c r="BR13" i="15"/>
  <c r="BS13" i="15"/>
  <c r="BT13" i="15"/>
  <c r="BU13" i="15"/>
  <c r="BW13" i="15"/>
  <c r="BX13" i="15"/>
  <c r="BY13" i="15"/>
  <c r="CQ13" i="15"/>
  <c r="CR13" i="15"/>
  <c r="CS13" i="15"/>
  <c r="CT13" i="15"/>
  <c r="CU13" i="15"/>
  <c r="CV13" i="15"/>
  <c r="CX13" i="15"/>
  <c r="CY13" i="15"/>
  <c r="CZ13" i="15"/>
  <c r="DZ13" i="15"/>
  <c r="EA13" i="15"/>
  <c r="EB13" i="15"/>
  <c r="EC13" i="15"/>
  <c r="ED13" i="15"/>
  <c r="EE13" i="15"/>
  <c r="EG13" i="15"/>
  <c r="EH13" i="15"/>
  <c r="EI13" i="15"/>
  <c r="EJ13" i="15"/>
  <c r="EK13" i="15"/>
  <c r="EL13" i="15"/>
  <c r="FH13" i="15"/>
  <c r="FI13" i="15"/>
  <c r="FJ13" i="15"/>
  <c r="FK13" i="15"/>
  <c r="FL13" i="15"/>
  <c r="FM13" i="15"/>
  <c r="FO13" i="15"/>
  <c r="FP13" i="15"/>
  <c r="FQ13" i="15"/>
  <c r="FR13" i="15"/>
  <c r="FS13" i="15"/>
  <c r="FT13" i="15"/>
  <c r="GP13" i="15"/>
  <c r="GQ13" i="15"/>
  <c r="GR13" i="15"/>
  <c r="GS13" i="15"/>
  <c r="GT13" i="15"/>
  <c r="GU13" i="15"/>
  <c r="GW13" i="15"/>
  <c r="GX13" i="15"/>
  <c r="GY13" i="15"/>
  <c r="GZ13" i="15"/>
  <c r="HA13" i="15"/>
  <c r="HB13" i="15"/>
  <c r="HX13" i="15"/>
  <c r="HY13" i="15"/>
  <c r="HZ13" i="15"/>
  <c r="IA13" i="15"/>
  <c r="IB13" i="15"/>
  <c r="IC13" i="15"/>
  <c r="IE13" i="15"/>
  <c r="IF13" i="15"/>
  <c r="IG13" i="15"/>
  <c r="IH13" i="15"/>
  <c r="II13" i="15"/>
  <c r="IJ13" i="15"/>
  <c r="JF13" i="15"/>
  <c r="JG13" i="15"/>
  <c r="JH13" i="15"/>
  <c r="JI13" i="15"/>
  <c r="JJ13" i="15"/>
  <c r="JK13" i="15"/>
  <c r="JM13" i="15"/>
  <c r="JN13" i="15"/>
  <c r="JO13" i="15"/>
  <c r="JP13" i="15"/>
  <c r="JQ13" i="15"/>
  <c r="JR13" i="15"/>
  <c r="KN13" i="15"/>
  <c r="KO13" i="15"/>
  <c r="KP13" i="15"/>
  <c r="KQ13" i="15"/>
  <c r="KR13" i="15"/>
  <c r="KS13" i="15"/>
  <c r="KU13" i="15"/>
  <c r="KV13" i="15"/>
  <c r="KW13" i="15"/>
  <c r="KX13" i="15"/>
  <c r="KY13" i="15"/>
  <c r="KZ13" i="15"/>
  <c r="LV13" i="15"/>
  <c r="LW13" i="15"/>
  <c r="LX13" i="15"/>
  <c r="LY13" i="15"/>
  <c r="LZ13" i="15"/>
  <c r="MA13" i="15"/>
  <c r="MC13" i="15"/>
  <c r="MD13" i="15"/>
  <c r="ME13" i="15"/>
  <c r="MF13" i="15"/>
  <c r="MG13" i="15"/>
  <c r="MH13" i="15"/>
  <c r="ND13" i="15"/>
  <c r="NE13" i="15"/>
  <c r="NF13" i="15"/>
  <c r="NG13" i="15"/>
  <c r="NH13" i="15"/>
  <c r="NI13" i="15"/>
  <c r="NK13" i="15"/>
  <c r="NL13" i="15"/>
  <c r="NM13" i="15"/>
  <c r="NN13" i="15"/>
  <c r="NO13" i="15"/>
  <c r="NP13" i="15"/>
  <c r="OL13" i="15"/>
  <c r="OM13" i="15"/>
  <c r="ON13" i="15"/>
  <c r="OO13" i="15"/>
  <c r="OP13" i="15"/>
  <c r="OQ13" i="15"/>
  <c r="OS13" i="15"/>
  <c r="OT13" i="15"/>
  <c r="OU13" i="15"/>
  <c r="OV13" i="15"/>
  <c r="OW13" i="15"/>
  <c r="OX13" i="15"/>
  <c r="PT13" i="15"/>
  <c r="PU13" i="15"/>
  <c r="PV13" i="15"/>
  <c r="PW13" i="15"/>
  <c r="PX13" i="15"/>
  <c r="PY13" i="15"/>
  <c r="QA13" i="15"/>
  <c r="QB13" i="15"/>
  <c r="QC13" i="15"/>
  <c r="QD13" i="15"/>
  <c r="QE13" i="15"/>
  <c r="QF13" i="15"/>
  <c r="RB13" i="15"/>
  <c r="RC13" i="15"/>
  <c r="RD13" i="15"/>
  <c r="RE13" i="15"/>
  <c r="RF13" i="15"/>
  <c r="RG13" i="15"/>
  <c r="RI13" i="15"/>
  <c r="RJ13" i="15"/>
  <c r="RK13" i="15"/>
  <c r="RL13" i="15"/>
  <c r="RM13" i="15"/>
  <c r="RN13" i="15"/>
  <c r="SJ13" i="15"/>
  <c r="SK13" i="15"/>
  <c r="SL13" i="15"/>
  <c r="SM13" i="15"/>
  <c r="SN13" i="15"/>
  <c r="SO13" i="15"/>
  <c r="SQ13" i="15"/>
  <c r="SR13" i="15"/>
  <c r="SS13" i="15"/>
  <c r="ST13" i="15"/>
  <c r="SU13" i="15"/>
  <c r="SV13" i="15"/>
  <c r="SX13" i="15"/>
  <c r="SY13" i="15"/>
  <c r="SZ13" i="15"/>
  <c r="TN13" i="15" s="1"/>
  <c r="TA13" i="15"/>
  <c r="TO13" i="15" s="1"/>
  <c r="TB13" i="15"/>
  <c r="TC13" i="15"/>
  <c r="TD13" i="15"/>
  <c r="TE13" i="15"/>
  <c r="TQ13" i="15" s="1"/>
  <c r="TF13" i="15"/>
  <c r="TR13" i="15" s="1"/>
  <c r="TG13" i="15"/>
  <c r="TH13" i="15"/>
  <c r="TI13" i="15"/>
  <c r="TJ13" i="15"/>
  <c r="TU13" i="15" s="1"/>
  <c r="TK13" i="15"/>
  <c r="TV13" i="15" s="1"/>
  <c r="TL13" i="15"/>
  <c r="DE17" i="19" l="1"/>
  <c r="KT18" i="4"/>
  <c r="RH18" i="4"/>
  <c r="RO18" i="4" s="1"/>
  <c r="GV18" i="4"/>
  <c r="BZ18" i="4"/>
  <c r="EF13" i="15"/>
  <c r="EM13" i="15" s="1"/>
  <c r="BV13" i="15"/>
  <c r="BZ13" i="15" s="1"/>
  <c r="AY13" i="15"/>
  <c r="EF18" i="4"/>
  <c r="EM18" i="4" s="1"/>
  <c r="IO17" i="19"/>
  <c r="EG17" i="19"/>
  <c r="MW17" i="19"/>
  <c r="HM17" i="19"/>
  <c r="CW13" i="15"/>
  <c r="DA13" i="15" s="1"/>
  <c r="FN13" i="15"/>
  <c r="FU13" i="15" s="1"/>
  <c r="HC18" i="4"/>
  <c r="CW18" i="4"/>
  <c r="DA18" i="4" s="1"/>
  <c r="QC17" i="19"/>
  <c r="PA17" i="19"/>
  <c r="NY17" i="19"/>
  <c r="LU17" i="19"/>
  <c r="KS17" i="19"/>
  <c r="JQ17" i="19"/>
  <c r="FI17" i="19"/>
  <c r="N17" i="19"/>
  <c r="O17" i="19" s="1"/>
  <c r="RG17" i="19"/>
  <c r="DB17" i="19"/>
  <c r="L17" i="19"/>
  <c r="RH17" i="19"/>
  <c r="CB17" i="19"/>
  <c r="RD17" i="19"/>
  <c r="RC17" i="19"/>
  <c r="RB17" i="19"/>
  <c r="R17" i="19"/>
  <c r="DH17" i="19" s="1"/>
  <c r="F17" i="19"/>
  <c r="AV17" i="19"/>
  <c r="J17" i="19"/>
  <c r="K17" i="19" s="1"/>
  <c r="RE17" i="19"/>
  <c r="QF17" i="19"/>
  <c r="PD17" i="19"/>
  <c r="OB17" i="19"/>
  <c r="MZ17" i="19"/>
  <c r="LX17" i="19"/>
  <c r="KV17" i="19"/>
  <c r="JT17" i="19"/>
  <c r="IR17" i="19"/>
  <c r="HP17" i="19"/>
  <c r="GN17" i="19"/>
  <c r="FL17" i="19"/>
  <c r="EJ17" i="19"/>
  <c r="P17" i="19"/>
  <c r="G17" i="19"/>
  <c r="AY17" i="19"/>
  <c r="RH13" i="15"/>
  <c r="RO13" i="15" s="1"/>
  <c r="OR13" i="15"/>
  <c r="OY13" i="15" s="1"/>
  <c r="MB13" i="15"/>
  <c r="MI13" i="15" s="1"/>
  <c r="JL13" i="15"/>
  <c r="JS13" i="15" s="1"/>
  <c r="GV13" i="15"/>
  <c r="HC13" i="15" s="1"/>
  <c r="SP18" i="4"/>
  <c r="SW18" i="4" s="1"/>
  <c r="J13" i="15"/>
  <c r="K13" i="15" s="1"/>
  <c r="KT13" i="15"/>
  <c r="LA13" i="15" s="1"/>
  <c r="PZ13" i="15"/>
  <c r="QG13" i="15" s="1"/>
  <c r="J18" i="4"/>
  <c r="K18" i="4" s="1"/>
  <c r="LA18" i="4"/>
  <c r="AY18" i="4"/>
  <c r="MB18" i="4"/>
  <c r="MI18" i="4" s="1"/>
  <c r="R18" i="4"/>
  <c r="PZ18" i="4"/>
  <c r="QG18" i="4" s="1"/>
  <c r="TP18" i="4"/>
  <c r="OR18" i="4"/>
  <c r="OY18" i="4" s="1"/>
  <c r="NJ18" i="4"/>
  <c r="NQ18" i="4" s="1"/>
  <c r="JL18" i="4"/>
  <c r="JS18" i="4" s="1"/>
  <c r="ID18" i="4"/>
  <c r="IK18" i="4" s="1"/>
  <c r="FU18" i="4"/>
  <c r="TS18" i="4"/>
  <c r="TW18" i="4"/>
  <c r="L18" i="4"/>
  <c r="G18" i="4"/>
  <c r="T18" i="4"/>
  <c r="I18" i="4"/>
  <c r="P18" i="4"/>
  <c r="DC18" i="4" s="1"/>
  <c r="N18" i="4"/>
  <c r="O18" i="4" s="1"/>
  <c r="F18" i="4"/>
  <c r="TP13" i="15"/>
  <c r="SP13" i="15"/>
  <c r="SW13" i="15" s="1"/>
  <c r="NJ13" i="15"/>
  <c r="NQ13" i="15" s="1"/>
  <c r="ID13" i="15"/>
  <c r="IK13" i="15" s="1"/>
  <c r="R13" i="15"/>
  <c r="TS13" i="15"/>
  <c r="TW13" i="15"/>
  <c r="L13" i="15"/>
  <c r="G13" i="15"/>
  <c r="T13" i="15"/>
  <c r="I13" i="15"/>
  <c r="P13" i="15"/>
  <c r="DC13" i="15" s="1"/>
  <c r="N13" i="15"/>
  <c r="O13" i="15" s="1"/>
  <c r="F13" i="15"/>
  <c r="M17" i="19" l="1"/>
  <c r="DF17" i="19"/>
  <c r="Q17" i="19"/>
  <c r="DG17" i="19"/>
  <c r="T17" i="19" s="1"/>
  <c r="U17" i="19" s="1"/>
  <c r="S13" i="15"/>
  <c r="DD13" i="15"/>
  <c r="U13" i="15"/>
  <c r="DE13" i="15"/>
  <c r="M13" i="15"/>
  <c r="DB13" i="15"/>
  <c r="M18" i="4"/>
  <c r="DB18" i="4"/>
  <c r="S18" i="4"/>
  <c r="DD18" i="4"/>
  <c r="U18" i="4"/>
  <c r="DE18" i="4"/>
  <c r="S17" i="19"/>
  <c r="I17" i="19"/>
  <c r="RI17" i="19"/>
  <c r="A18" i="4" a="1"/>
  <c r="A18" i="4" s="1"/>
  <c r="RF17" i="19"/>
  <c r="H17" i="19"/>
  <c r="A17" i="19"/>
  <c r="TT13" i="15"/>
  <c r="TX13" i="15" s="1"/>
  <c r="TT18" i="4"/>
  <c r="TX18" i="4" s="1"/>
  <c r="Q18" i="4"/>
  <c r="H18" i="4"/>
  <c r="H13" i="15"/>
  <c r="Q13" i="15"/>
  <c r="V17" i="19" l="1"/>
  <c r="E17" i="19"/>
  <c r="V18" i="4"/>
  <c r="E18" i="4" s="1"/>
  <c r="V13" i="15"/>
  <c r="E13" i="15" s="1"/>
  <c r="X18" i="4" l="1"/>
  <c r="W18" i="4"/>
  <c r="X13" i="15"/>
  <c r="W13" i="15"/>
  <c r="AO13" i="4" l="1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Z13" i="4"/>
  <c r="EA13" i="4"/>
  <c r="EB13" i="4"/>
  <c r="EC13" i="4"/>
  <c r="ED13" i="4"/>
  <c r="EE13" i="4"/>
  <c r="EG13" i="4"/>
  <c r="EH13" i="4"/>
  <c r="EI13" i="4"/>
  <c r="EJ13" i="4"/>
  <c r="EK13" i="4"/>
  <c r="EL13" i="4"/>
  <c r="FH13" i="4"/>
  <c r="FI13" i="4"/>
  <c r="FJ13" i="4"/>
  <c r="FK13" i="4"/>
  <c r="FL13" i="4"/>
  <c r="FM13" i="4"/>
  <c r="FO13" i="4"/>
  <c r="FP13" i="4"/>
  <c r="FQ13" i="4"/>
  <c r="FR13" i="4"/>
  <c r="FS13" i="4"/>
  <c r="FT13" i="4"/>
  <c r="GP13" i="4"/>
  <c r="GQ13" i="4"/>
  <c r="GR13" i="4"/>
  <c r="GS13" i="4"/>
  <c r="GT13" i="4"/>
  <c r="GU13" i="4"/>
  <c r="GW13" i="4"/>
  <c r="GX13" i="4"/>
  <c r="GY13" i="4"/>
  <c r="GZ13" i="4"/>
  <c r="HA13" i="4"/>
  <c r="HB13" i="4"/>
  <c r="HX13" i="4"/>
  <c r="HY13" i="4"/>
  <c r="HZ13" i="4"/>
  <c r="IA13" i="4"/>
  <c r="IB13" i="4"/>
  <c r="IC13" i="4"/>
  <c r="IE13" i="4"/>
  <c r="IF13" i="4"/>
  <c r="IG13" i="4"/>
  <c r="IH13" i="4"/>
  <c r="II13" i="4"/>
  <c r="IJ13" i="4"/>
  <c r="JF13" i="4"/>
  <c r="JG13" i="4"/>
  <c r="JH13" i="4"/>
  <c r="JI13" i="4"/>
  <c r="JJ13" i="4"/>
  <c r="JK13" i="4"/>
  <c r="JM13" i="4"/>
  <c r="JN13" i="4"/>
  <c r="JO13" i="4"/>
  <c r="JP13" i="4"/>
  <c r="JQ13" i="4"/>
  <c r="JR13" i="4"/>
  <c r="KN13" i="4"/>
  <c r="KO13" i="4"/>
  <c r="KP13" i="4"/>
  <c r="KQ13" i="4"/>
  <c r="KR13" i="4"/>
  <c r="KS13" i="4"/>
  <c r="KU13" i="4"/>
  <c r="KV13" i="4"/>
  <c r="KW13" i="4"/>
  <c r="KX13" i="4"/>
  <c r="KY13" i="4"/>
  <c r="KZ13" i="4"/>
  <c r="LV13" i="4"/>
  <c r="LW13" i="4"/>
  <c r="LX13" i="4"/>
  <c r="LY13" i="4"/>
  <c r="LZ13" i="4"/>
  <c r="MA13" i="4"/>
  <c r="MC13" i="4"/>
  <c r="MD13" i="4"/>
  <c r="ME13" i="4"/>
  <c r="MF13" i="4"/>
  <c r="MG13" i="4"/>
  <c r="MH13" i="4"/>
  <c r="ND13" i="4"/>
  <c r="NE13" i="4"/>
  <c r="NF13" i="4"/>
  <c r="NG13" i="4"/>
  <c r="NH13" i="4"/>
  <c r="NI13" i="4"/>
  <c r="NK13" i="4"/>
  <c r="NL13" i="4"/>
  <c r="NM13" i="4"/>
  <c r="NN13" i="4"/>
  <c r="NO13" i="4"/>
  <c r="NP13" i="4"/>
  <c r="OL13" i="4"/>
  <c r="OM13" i="4"/>
  <c r="ON13" i="4"/>
  <c r="OO13" i="4"/>
  <c r="OP13" i="4"/>
  <c r="OQ13" i="4"/>
  <c r="OS13" i="4"/>
  <c r="OT13" i="4"/>
  <c r="OU13" i="4"/>
  <c r="OV13" i="4"/>
  <c r="OW13" i="4"/>
  <c r="OX13" i="4"/>
  <c r="PT13" i="4"/>
  <c r="PU13" i="4"/>
  <c r="PV13" i="4"/>
  <c r="PW13" i="4"/>
  <c r="PX13" i="4"/>
  <c r="PY13" i="4"/>
  <c r="QA13" i="4"/>
  <c r="QB13" i="4"/>
  <c r="QC13" i="4"/>
  <c r="QD13" i="4"/>
  <c r="QE13" i="4"/>
  <c r="QF13" i="4"/>
  <c r="RB13" i="4"/>
  <c r="RC13" i="4"/>
  <c r="RD13" i="4"/>
  <c r="RE13" i="4"/>
  <c r="RF13" i="4"/>
  <c r="RG13" i="4"/>
  <c r="RI13" i="4"/>
  <c r="RJ13" i="4"/>
  <c r="RK13" i="4"/>
  <c r="RL13" i="4"/>
  <c r="RM13" i="4"/>
  <c r="RN13" i="4"/>
  <c r="SJ13" i="4"/>
  <c r="SK13" i="4"/>
  <c r="SL13" i="4"/>
  <c r="SM13" i="4"/>
  <c r="SN13" i="4"/>
  <c r="SO13" i="4"/>
  <c r="SQ13" i="4"/>
  <c r="SR13" i="4"/>
  <c r="SS13" i="4"/>
  <c r="ST13" i="4"/>
  <c r="SU13" i="4"/>
  <c r="SV13" i="4"/>
  <c r="SX13" i="4"/>
  <c r="SY13" i="4"/>
  <c r="SZ13" i="4"/>
  <c r="TN13" i="4" s="1"/>
  <c r="TA13" i="4"/>
  <c r="TO13" i="4" s="1"/>
  <c r="TB13" i="4"/>
  <c r="TC13" i="4"/>
  <c r="TD13" i="4"/>
  <c r="TE13" i="4"/>
  <c r="TQ13" i="4" s="1"/>
  <c r="TF13" i="4"/>
  <c r="TR13" i="4" s="1"/>
  <c r="TG13" i="4"/>
  <c r="TH13" i="4"/>
  <c r="TI13" i="4"/>
  <c r="TJ13" i="4"/>
  <c r="TU13" i="4" s="1"/>
  <c r="TK13" i="4"/>
  <c r="TV13" i="4" s="1"/>
  <c r="TL13" i="4"/>
  <c r="JL13" i="4" l="1"/>
  <c r="RH13" i="4"/>
  <c r="RO13" i="4" s="1"/>
  <c r="OR13" i="4"/>
  <c r="OY13" i="4" s="1"/>
  <c r="MB13" i="4"/>
  <c r="MI13" i="4" s="1"/>
  <c r="EF13" i="4"/>
  <c r="EM13" i="4" s="1"/>
  <c r="GV13" i="4"/>
  <c r="HC13" i="4" s="1"/>
  <c r="NJ13" i="4"/>
  <c r="NQ13" i="4" s="1"/>
  <c r="ID13" i="4"/>
  <c r="IK13" i="4" s="1"/>
  <c r="SP13" i="4"/>
  <c r="SW13" i="4" s="1"/>
  <c r="BV13" i="4"/>
  <c r="BZ13" i="4" s="1"/>
  <c r="CW13" i="4"/>
  <c r="DA13" i="4" s="1"/>
  <c r="PZ13" i="4"/>
  <c r="QG13" i="4" s="1"/>
  <c r="KT13" i="4"/>
  <c r="LA13" i="4" s="1"/>
  <c r="JS13" i="4"/>
  <c r="FN13" i="4"/>
  <c r="FU13" i="4" s="1"/>
  <c r="TS13" i="4"/>
  <c r="TW13" i="4"/>
  <c r="P13" i="4"/>
  <c r="DC13" i="4" s="1"/>
  <c r="T13" i="4"/>
  <c r="L13" i="4"/>
  <c r="F13" i="4"/>
  <c r="R13" i="4"/>
  <c r="DD13" i="4" s="1"/>
  <c r="J13" i="4"/>
  <c r="I13" i="4"/>
  <c r="TP13" i="4"/>
  <c r="AU13" i="4"/>
  <c r="AY13" i="4" s="1"/>
  <c r="G13" i="4"/>
  <c r="N13" i="4"/>
  <c r="O13" i="4" s="1"/>
  <c r="M13" i="4" l="1"/>
  <c r="DB13" i="4"/>
  <c r="U13" i="4"/>
  <c r="DE13" i="4"/>
  <c r="TT13" i="4"/>
  <c r="TX13" i="4" s="1"/>
  <c r="Q13" i="4"/>
  <c r="H13" i="4"/>
  <c r="K13" i="4"/>
  <c r="S13" i="4"/>
  <c r="A13" i="4" a="1"/>
  <c r="A13" i="4" s="1"/>
  <c r="V13" i="4" l="1"/>
  <c r="E13" i="4" s="1"/>
  <c r="X13" i="4" l="1"/>
  <c r="W13" i="4"/>
  <c r="CA13" i="21"/>
  <c r="BZ13" i="21"/>
  <c r="BX13" i="21"/>
  <c r="BW13" i="21"/>
  <c r="BV13" i="21"/>
  <c r="BU13" i="21"/>
  <c r="CA9" i="21"/>
  <c r="BZ9" i="21"/>
  <c r="BX9" i="21"/>
  <c r="BW9" i="21"/>
  <c r="BV9" i="21"/>
  <c r="BU9" i="21"/>
  <c r="CA10" i="21"/>
  <c r="BZ10" i="21"/>
  <c r="BX10" i="21"/>
  <c r="BW10" i="21"/>
  <c r="BV10" i="21"/>
  <c r="BU10" i="21"/>
  <c r="CA14" i="21"/>
  <c r="BZ14" i="21"/>
  <c r="BX14" i="21"/>
  <c r="BW14" i="21"/>
  <c r="BV14" i="21"/>
  <c r="BU14" i="21"/>
  <c r="CA8" i="21"/>
  <c r="BZ8" i="21"/>
  <c r="BX8" i="21"/>
  <c r="BW8" i="21"/>
  <c r="BV8" i="21"/>
  <c r="BU8" i="21"/>
  <c r="CA11" i="21"/>
  <c r="BZ11" i="21"/>
  <c r="BX11" i="21"/>
  <c r="BW11" i="21"/>
  <c r="BV11" i="21"/>
  <c r="BU11" i="21"/>
  <c r="CA12" i="21"/>
  <c r="BZ12" i="21"/>
  <c r="BX12" i="21"/>
  <c r="BW12" i="21"/>
  <c r="BV12" i="21"/>
  <c r="BU12" i="21"/>
  <c r="CA7" i="21"/>
  <c r="BZ7" i="21"/>
  <c r="BX7" i="21"/>
  <c r="BW7" i="21"/>
  <c r="BV7" i="21"/>
  <c r="BU7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3" i="21"/>
  <c r="AW13" i="21"/>
  <c r="AU13" i="21"/>
  <c r="AT13" i="21"/>
  <c r="AS13" i="21"/>
  <c r="AR13" i="21"/>
  <c r="AX9" i="21"/>
  <c r="AW9" i="21"/>
  <c r="AU9" i="21"/>
  <c r="AT9" i="21"/>
  <c r="AS9" i="21"/>
  <c r="AR9" i="21"/>
  <c r="AX10" i="21"/>
  <c r="AW10" i="21"/>
  <c r="AU10" i="21"/>
  <c r="AT10" i="21"/>
  <c r="AS10" i="21"/>
  <c r="AR10" i="21"/>
  <c r="AX14" i="21"/>
  <c r="AW14" i="21"/>
  <c r="AU14" i="21"/>
  <c r="AT14" i="21"/>
  <c r="AS14" i="21"/>
  <c r="AR14" i="21"/>
  <c r="AX8" i="21"/>
  <c r="AW8" i="21"/>
  <c r="AU8" i="21"/>
  <c r="AT8" i="21"/>
  <c r="AS8" i="21"/>
  <c r="AR8" i="21"/>
  <c r="AX11" i="21"/>
  <c r="AW11" i="21"/>
  <c r="AU11" i="21"/>
  <c r="AT11" i="21"/>
  <c r="AS11" i="21"/>
  <c r="AR11" i="21"/>
  <c r="AX12" i="21"/>
  <c r="AW12" i="21"/>
  <c r="AU12" i="21"/>
  <c r="AT12" i="21"/>
  <c r="AS12" i="21"/>
  <c r="AR12" i="21"/>
  <c r="AX7" i="21"/>
  <c r="AW7" i="21"/>
  <c r="AU7" i="21"/>
  <c r="AT7" i="21"/>
  <c r="AS7" i="21"/>
  <c r="AR7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15" i="19"/>
  <c r="BZ15" i="19"/>
  <c r="BX15" i="19"/>
  <c r="BW15" i="19"/>
  <c r="BV15" i="19"/>
  <c r="BU15" i="19"/>
  <c r="CA6" i="19"/>
  <c r="BZ6" i="19"/>
  <c r="BX6" i="19"/>
  <c r="BW6" i="19"/>
  <c r="BV6" i="19"/>
  <c r="BU6" i="19"/>
  <c r="CA11" i="19"/>
  <c r="BZ11" i="19"/>
  <c r="BX11" i="19"/>
  <c r="BW11" i="19"/>
  <c r="BV11" i="19"/>
  <c r="BU11" i="19"/>
  <c r="CA10" i="19"/>
  <c r="BZ10" i="19"/>
  <c r="BX10" i="19"/>
  <c r="BW10" i="19"/>
  <c r="BV10" i="19"/>
  <c r="BU10" i="19"/>
  <c r="CA16" i="19"/>
  <c r="BZ16" i="19"/>
  <c r="BX16" i="19"/>
  <c r="BW16" i="19"/>
  <c r="BV16" i="19"/>
  <c r="BU16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4" i="19"/>
  <c r="BZ4" i="19"/>
  <c r="BX4" i="19"/>
  <c r="BW4" i="19"/>
  <c r="BV4" i="19"/>
  <c r="BU4" i="19"/>
  <c r="CA5" i="19"/>
  <c r="BZ5" i="19"/>
  <c r="BX5" i="19"/>
  <c r="BW5" i="19"/>
  <c r="BV5" i="19"/>
  <c r="BU5" i="19"/>
  <c r="AX9" i="19"/>
  <c r="AW9" i="19"/>
  <c r="AU9" i="19"/>
  <c r="AT9" i="19"/>
  <c r="AS9" i="19"/>
  <c r="AR9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15" i="19"/>
  <c r="AW15" i="19"/>
  <c r="AU15" i="19"/>
  <c r="AT15" i="19"/>
  <c r="AS15" i="19"/>
  <c r="AR15" i="19"/>
  <c r="AX6" i="19"/>
  <c r="AW6" i="19"/>
  <c r="AU6" i="19"/>
  <c r="AT6" i="19"/>
  <c r="AS6" i="19"/>
  <c r="AR6" i="19"/>
  <c r="AX11" i="19"/>
  <c r="AW11" i="19"/>
  <c r="AU11" i="19"/>
  <c r="AT11" i="19"/>
  <c r="AS11" i="19"/>
  <c r="AR11" i="19"/>
  <c r="AX10" i="19"/>
  <c r="AW10" i="19"/>
  <c r="AU10" i="19"/>
  <c r="AT10" i="19"/>
  <c r="AS10" i="19"/>
  <c r="AR10" i="19"/>
  <c r="AX16" i="19"/>
  <c r="AW16" i="19"/>
  <c r="AU16" i="19"/>
  <c r="AT16" i="19"/>
  <c r="AS16" i="19"/>
  <c r="AR16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4" i="19"/>
  <c r="AW4" i="19"/>
  <c r="AU4" i="19"/>
  <c r="AT4" i="19"/>
  <c r="AS4" i="19"/>
  <c r="AR4" i="19"/>
  <c r="AX5" i="19"/>
  <c r="AW5" i="19"/>
  <c r="AU5" i="19"/>
  <c r="AT5" i="19"/>
  <c r="AS5" i="19"/>
  <c r="AR5" i="19"/>
  <c r="BS5" i="8"/>
  <c r="BR5" i="8"/>
  <c r="BQ5" i="8"/>
  <c r="BP5" i="8"/>
  <c r="BO5" i="8"/>
  <c r="BS6" i="8"/>
  <c r="BR6" i="8"/>
  <c r="BQ6" i="8"/>
  <c r="BP6" i="8"/>
  <c r="BO6" i="8"/>
  <c r="BS7" i="8"/>
  <c r="BR7" i="8"/>
  <c r="BQ7" i="8"/>
  <c r="BP7" i="8"/>
  <c r="BT7" i="8" s="1"/>
  <c r="BO7" i="8"/>
  <c r="BS4" i="8"/>
  <c r="BR4" i="8"/>
  <c r="BQ4" i="8"/>
  <c r="BP4" i="8"/>
  <c r="BO4" i="8"/>
  <c r="AR5" i="8"/>
  <c r="AQ5" i="8"/>
  <c r="AP5" i="8"/>
  <c r="AO5" i="8"/>
  <c r="AN5" i="8"/>
  <c r="AR6" i="8"/>
  <c r="AQ6" i="8"/>
  <c r="AP6" i="8"/>
  <c r="AO6" i="8"/>
  <c r="AN6" i="8"/>
  <c r="AR7" i="8"/>
  <c r="AQ7" i="8"/>
  <c r="AP7" i="8"/>
  <c r="AO7" i="8"/>
  <c r="AN7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W5" i="17"/>
  <c r="BV5" i="17"/>
  <c r="BU5" i="17"/>
  <c r="BS5" i="17"/>
  <c r="BR5" i="17"/>
  <c r="BQ5" i="17"/>
  <c r="BP5" i="17"/>
  <c r="BT5" i="17" s="1"/>
  <c r="BO5" i="17"/>
  <c r="BN5" i="17"/>
  <c r="BW4" i="17"/>
  <c r="BV4" i="17"/>
  <c r="BU4" i="17"/>
  <c r="BS4" i="17"/>
  <c r="BR4" i="17"/>
  <c r="BQ4" i="17"/>
  <c r="BP4" i="17"/>
  <c r="BT4" i="17" s="1"/>
  <c r="BO4" i="17"/>
  <c r="BN4" i="17"/>
  <c r="AV5" i="17"/>
  <c r="AU5" i="17"/>
  <c r="AT5" i="17"/>
  <c r="AR5" i="17"/>
  <c r="AQ5" i="17"/>
  <c r="AP5" i="17"/>
  <c r="AO5" i="17"/>
  <c r="AS5" i="17" s="1"/>
  <c r="AN5" i="17"/>
  <c r="AM5" i="17"/>
  <c r="AV4" i="17"/>
  <c r="AU4" i="17"/>
  <c r="AT4" i="17"/>
  <c r="AR4" i="17"/>
  <c r="AQ4" i="17"/>
  <c r="AP4" i="17"/>
  <c r="AO4" i="17"/>
  <c r="AS4" i="17" s="1"/>
  <c r="AN4" i="17"/>
  <c r="AM4" i="17"/>
  <c r="BW5" i="16"/>
  <c r="BV5" i="16"/>
  <c r="BU5" i="16"/>
  <c r="BS5" i="16"/>
  <c r="BR5" i="16"/>
  <c r="BQ5" i="16"/>
  <c r="BP5" i="16"/>
  <c r="BT5" i="16" s="1"/>
  <c r="BO5" i="16"/>
  <c r="BN5" i="16"/>
  <c r="BW4" i="16"/>
  <c r="BV4" i="16"/>
  <c r="BU4" i="16"/>
  <c r="BS4" i="16"/>
  <c r="BR4" i="16"/>
  <c r="BQ4" i="16"/>
  <c r="BP4" i="16"/>
  <c r="BT4" i="16" s="1"/>
  <c r="BO4" i="16"/>
  <c r="BN4" i="16"/>
  <c r="AV5" i="16"/>
  <c r="AU5" i="16"/>
  <c r="AT5" i="16"/>
  <c r="AR5" i="16"/>
  <c r="AQ5" i="16"/>
  <c r="AP5" i="16"/>
  <c r="AO5" i="16"/>
  <c r="AS5" i="16" s="1"/>
  <c r="AN5" i="16"/>
  <c r="AM5" i="16"/>
  <c r="AV4" i="16"/>
  <c r="AU4" i="16"/>
  <c r="AT4" i="16"/>
  <c r="AR4" i="16"/>
  <c r="AQ4" i="16"/>
  <c r="AP4" i="16"/>
  <c r="AO4" i="16"/>
  <c r="AS4" i="16" s="1"/>
  <c r="AN4" i="16"/>
  <c r="AM4" i="16"/>
  <c r="BY14" i="15"/>
  <c r="BX14" i="15"/>
  <c r="BW14" i="15"/>
  <c r="BU14" i="15"/>
  <c r="BT14" i="15"/>
  <c r="BS14" i="15"/>
  <c r="BR14" i="15"/>
  <c r="BQ14" i="15"/>
  <c r="BP14" i="15"/>
  <c r="BY9" i="15"/>
  <c r="BX9" i="15"/>
  <c r="BW9" i="15"/>
  <c r="BU9" i="15"/>
  <c r="BT9" i="15"/>
  <c r="BS9" i="15"/>
  <c r="BR9" i="15"/>
  <c r="BQ9" i="15"/>
  <c r="BP9" i="15"/>
  <c r="BY10" i="15"/>
  <c r="BX10" i="15"/>
  <c r="BW10" i="15"/>
  <c r="BU10" i="15"/>
  <c r="BT10" i="15"/>
  <c r="BS10" i="15"/>
  <c r="BR10" i="15"/>
  <c r="BQ10" i="15"/>
  <c r="BP10" i="15"/>
  <c r="BY12" i="15"/>
  <c r="BX12" i="15"/>
  <c r="BW12" i="15"/>
  <c r="BU12" i="15"/>
  <c r="BT12" i="15"/>
  <c r="BS12" i="15"/>
  <c r="BR12" i="15"/>
  <c r="BQ12" i="15"/>
  <c r="BP12" i="15"/>
  <c r="BY8" i="15"/>
  <c r="BX8" i="15"/>
  <c r="BW8" i="15"/>
  <c r="BU8" i="15"/>
  <c r="BT8" i="15"/>
  <c r="BS8" i="15"/>
  <c r="BR8" i="15"/>
  <c r="BQ8" i="15"/>
  <c r="BP8" i="15"/>
  <c r="BY6" i="15"/>
  <c r="BX6" i="15"/>
  <c r="BW6" i="15"/>
  <c r="BU6" i="15"/>
  <c r="BT6" i="15"/>
  <c r="BS6" i="15"/>
  <c r="BR6" i="15"/>
  <c r="BQ6" i="15"/>
  <c r="BP6" i="15"/>
  <c r="BY7" i="15"/>
  <c r="BX7" i="15"/>
  <c r="BW7" i="15"/>
  <c r="BU7" i="15"/>
  <c r="BT7" i="15"/>
  <c r="BS7" i="15"/>
  <c r="BR7" i="15"/>
  <c r="BQ7" i="15"/>
  <c r="BP7" i="15"/>
  <c r="BY5" i="15"/>
  <c r="BX5" i="15"/>
  <c r="BW5" i="15"/>
  <c r="BU5" i="15"/>
  <c r="BT5" i="15"/>
  <c r="BS5" i="15"/>
  <c r="BR5" i="15"/>
  <c r="BQ5" i="15"/>
  <c r="BP5" i="15"/>
  <c r="BY4" i="15"/>
  <c r="BX4" i="15"/>
  <c r="BW4" i="15"/>
  <c r="BU4" i="15"/>
  <c r="BT4" i="15"/>
  <c r="BS4" i="15"/>
  <c r="BR4" i="15"/>
  <c r="BQ4" i="15"/>
  <c r="BP4" i="15"/>
  <c r="BY11" i="15"/>
  <c r="BX11" i="15"/>
  <c r="BW11" i="15"/>
  <c r="BU11" i="15"/>
  <c r="BT11" i="15"/>
  <c r="BS11" i="15"/>
  <c r="BR11" i="15"/>
  <c r="BV11" i="15" s="1"/>
  <c r="BQ11" i="15"/>
  <c r="BP11" i="15"/>
  <c r="AX14" i="15"/>
  <c r="AW14" i="15"/>
  <c r="AV14" i="15"/>
  <c r="AT14" i="15"/>
  <c r="AS14" i="15"/>
  <c r="AR14" i="15"/>
  <c r="AQ14" i="15"/>
  <c r="AP14" i="15"/>
  <c r="AO14" i="15"/>
  <c r="AX9" i="15"/>
  <c r="AW9" i="15"/>
  <c r="AV9" i="15"/>
  <c r="AT9" i="15"/>
  <c r="AS9" i="15"/>
  <c r="AR9" i="15"/>
  <c r="AQ9" i="15"/>
  <c r="AP9" i="15"/>
  <c r="AO9" i="15"/>
  <c r="AX10" i="15"/>
  <c r="AW10" i="15"/>
  <c r="AV10" i="15"/>
  <c r="AT10" i="15"/>
  <c r="AS10" i="15"/>
  <c r="AR10" i="15"/>
  <c r="AQ10" i="15"/>
  <c r="AP10" i="15"/>
  <c r="AO10" i="15"/>
  <c r="AX12" i="15"/>
  <c r="AW12" i="15"/>
  <c r="AV12" i="15"/>
  <c r="AT12" i="15"/>
  <c r="AS12" i="15"/>
  <c r="AR12" i="15"/>
  <c r="AQ12" i="15"/>
  <c r="AP12" i="15"/>
  <c r="AO12" i="15"/>
  <c r="AX8" i="15"/>
  <c r="AW8" i="15"/>
  <c r="AV8" i="15"/>
  <c r="AT8" i="15"/>
  <c r="AS8" i="15"/>
  <c r="AR8" i="15"/>
  <c r="AQ8" i="15"/>
  <c r="AP8" i="15"/>
  <c r="AO8" i="15"/>
  <c r="AX6" i="15"/>
  <c r="AW6" i="15"/>
  <c r="AV6" i="15"/>
  <c r="AT6" i="15"/>
  <c r="AS6" i="15"/>
  <c r="AR6" i="15"/>
  <c r="AQ6" i="15"/>
  <c r="AP6" i="15"/>
  <c r="AO6" i="15"/>
  <c r="AX7" i="15"/>
  <c r="AW7" i="15"/>
  <c r="AV7" i="15"/>
  <c r="AT7" i="15"/>
  <c r="AS7" i="15"/>
  <c r="AR7" i="15"/>
  <c r="AQ7" i="15"/>
  <c r="AP7" i="15"/>
  <c r="AO7" i="15"/>
  <c r="AX5" i="15"/>
  <c r="AW5" i="15"/>
  <c r="AV5" i="15"/>
  <c r="AT5" i="15"/>
  <c r="AS5" i="15"/>
  <c r="AR5" i="15"/>
  <c r="AQ5" i="15"/>
  <c r="AP5" i="15"/>
  <c r="AO5" i="15"/>
  <c r="AX4" i="15"/>
  <c r="AW4" i="15"/>
  <c r="AV4" i="15"/>
  <c r="AT4" i="15"/>
  <c r="AS4" i="15"/>
  <c r="AR4" i="15"/>
  <c r="AQ4" i="15"/>
  <c r="AP4" i="15"/>
  <c r="AO4" i="15"/>
  <c r="AX11" i="15"/>
  <c r="AW11" i="15"/>
  <c r="AV11" i="15"/>
  <c r="AT11" i="15"/>
  <c r="AS11" i="15"/>
  <c r="AR11" i="15"/>
  <c r="AQ11" i="15"/>
  <c r="AP11" i="15"/>
  <c r="AO11" i="15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4" i="19"/>
  <c r="QB13" i="19"/>
  <c r="QB15" i="19"/>
  <c r="QB6" i="19"/>
  <c r="QB11" i="19"/>
  <c r="QB10" i="19"/>
  <c r="QB16" i="19"/>
  <c r="QB12" i="19"/>
  <c r="QB7" i="19"/>
  <c r="QB4" i="19"/>
  <c r="QB5" i="19"/>
  <c r="OZ9" i="19"/>
  <c r="OZ14" i="19"/>
  <c r="OZ13" i="19"/>
  <c r="OZ15" i="19"/>
  <c r="OZ6" i="19"/>
  <c r="OZ11" i="19"/>
  <c r="OZ10" i="19"/>
  <c r="OZ16" i="19"/>
  <c r="OZ12" i="19"/>
  <c r="OZ7" i="19"/>
  <c r="OZ4" i="19"/>
  <c r="OZ5" i="19"/>
  <c r="NX9" i="19"/>
  <c r="NX14" i="19"/>
  <c r="NX13" i="19"/>
  <c r="NX15" i="19"/>
  <c r="NX6" i="19"/>
  <c r="NX11" i="19"/>
  <c r="NX10" i="19"/>
  <c r="NX16" i="19"/>
  <c r="NX12" i="19"/>
  <c r="NX7" i="19"/>
  <c r="NX4" i="19"/>
  <c r="NX5" i="19"/>
  <c r="MV9" i="19"/>
  <c r="MV14" i="19"/>
  <c r="MV13" i="19"/>
  <c r="MV15" i="19"/>
  <c r="MV6" i="19"/>
  <c r="MV11" i="19"/>
  <c r="MV10" i="19"/>
  <c r="MV16" i="19"/>
  <c r="MV12" i="19"/>
  <c r="MV7" i="19"/>
  <c r="MV4" i="19"/>
  <c r="MV5" i="19"/>
  <c r="LT9" i="19"/>
  <c r="LT14" i="19"/>
  <c r="LT13" i="19"/>
  <c r="LT15" i="19"/>
  <c r="LT6" i="19"/>
  <c r="LT11" i="19"/>
  <c r="LT10" i="19"/>
  <c r="LT16" i="19"/>
  <c r="LT12" i="19"/>
  <c r="LT7" i="19"/>
  <c r="LT4" i="19"/>
  <c r="LT5" i="19"/>
  <c r="KR9" i="19"/>
  <c r="KR14" i="19"/>
  <c r="KR13" i="19"/>
  <c r="KR15" i="19"/>
  <c r="KR6" i="19"/>
  <c r="KR11" i="19"/>
  <c r="KR10" i="19"/>
  <c r="KR16" i="19"/>
  <c r="KR12" i="19"/>
  <c r="KR7" i="19"/>
  <c r="KR4" i="19"/>
  <c r="KR5" i="19"/>
  <c r="JP9" i="19"/>
  <c r="JP14" i="19"/>
  <c r="JP13" i="19"/>
  <c r="JP15" i="19"/>
  <c r="JP6" i="19"/>
  <c r="JP11" i="19"/>
  <c r="JP10" i="19"/>
  <c r="JP16" i="19"/>
  <c r="JP12" i="19"/>
  <c r="JP7" i="19"/>
  <c r="JP4" i="19"/>
  <c r="JP5" i="19"/>
  <c r="IN9" i="19"/>
  <c r="IN14" i="19"/>
  <c r="IN13" i="19"/>
  <c r="IN15" i="19"/>
  <c r="IN6" i="19"/>
  <c r="IN11" i="19"/>
  <c r="IN10" i="19"/>
  <c r="IN16" i="19"/>
  <c r="IN12" i="19"/>
  <c r="IN7" i="19"/>
  <c r="IN4" i="19"/>
  <c r="IN5" i="19"/>
  <c r="HL9" i="19"/>
  <c r="HL14" i="19"/>
  <c r="HL13" i="19"/>
  <c r="HL15" i="19"/>
  <c r="HL6" i="19"/>
  <c r="HL11" i="19"/>
  <c r="HL10" i="19"/>
  <c r="HL16" i="19"/>
  <c r="HL12" i="19"/>
  <c r="HL7" i="19"/>
  <c r="HL4" i="19"/>
  <c r="HL5" i="19"/>
  <c r="GJ9" i="19"/>
  <c r="GJ14" i="19"/>
  <c r="GJ13" i="19"/>
  <c r="GJ15" i="19"/>
  <c r="GJ6" i="19"/>
  <c r="GJ11" i="19"/>
  <c r="GJ10" i="19"/>
  <c r="GJ16" i="19"/>
  <c r="GJ12" i="19"/>
  <c r="GJ7" i="19"/>
  <c r="GJ4" i="19"/>
  <c r="GJ5" i="19"/>
  <c r="FH9" i="19"/>
  <c r="FH14" i="19"/>
  <c r="FH13" i="19"/>
  <c r="FH15" i="19"/>
  <c r="FH6" i="19"/>
  <c r="FH11" i="19"/>
  <c r="FH10" i="19"/>
  <c r="FH16" i="19"/>
  <c r="FH12" i="19"/>
  <c r="FH7" i="19"/>
  <c r="FH4" i="19"/>
  <c r="FH5" i="19"/>
  <c r="EF4" i="19"/>
  <c r="EF7" i="19"/>
  <c r="EF12" i="19"/>
  <c r="EF16" i="19"/>
  <c r="EF10" i="19"/>
  <c r="EF11" i="19"/>
  <c r="EF6" i="19"/>
  <c r="EF15" i="19"/>
  <c r="EF13" i="19"/>
  <c r="EF14" i="19"/>
  <c r="EF9" i="19"/>
  <c r="EF5" i="19"/>
  <c r="DA9" i="19"/>
  <c r="DA14" i="19"/>
  <c r="DA13" i="19"/>
  <c r="DA15" i="19"/>
  <c r="DA6" i="19"/>
  <c r="DA11" i="19"/>
  <c r="DA10" i="19"/>
  <c r="DA16" i="19"/>
  <c r="DA12" i="19"/>
  <c r="DA7" i="19"/>
  <c r="DA4" i="19"/>
  <c r="DA5" i="19"/>
  <c r="OT4" i="8"/>
  <c r="OT7" i="8"/>
  <c r="OT6" i="8"/>
  <c r="OT5" i="8"/>
  <c r="NT7" i="8"/>
  <c r="NT6" i="8"/>
  <c r="NT5" i="8"/>
  <c r="NT4" i="8"/>
  <c r="MT7" i="8"/>
  <c r="MT6" i="8"/>
  <c r="MT5" i="8"/>
  <c r="MT4" i="8"/>
  <c r="LT7" i="8"/>
  <c r="LT6" i="8"/>
  <c r="LT5" i="8"/>
  <c r="LT4" i="8"/>
  <c r="KT7" i="8"/>
  <c r="KT6" i="8"/>
  <c r="KT5" i="8"/>
  <c r="KT4" i="8"/>
  <c r="JT7" i="8"/>
  <c r="JT6" i="8"/>
  <c r="JT5" i="8"/>
  <c r="JT4" i="8"/>
  <c r="IT7" i="8"/>
  <c r="IT6" i="8"/>
  <c r="IT5" i="8"/>
  <c r="IT4" i="8"/>
  <c r="HT7" i="8"/>
  <c r="HT6" i="8"/>
  <c r="HT5" i="8"/>
  <c r="HT4" i="8"/>
  <c r="GT7" i="8"/>
  <c r="GT6" i="8"/>
  <c r="GT5" i="8"/>
  <c r="GT4" i="8"/>
  <c r="FT7" i="8"/>
  <c r="FT6" i="8"/>
  <c r="FT5" i="8"/>
  <c r="FT4" i="8"/>
  <c r="ET7" i="8"/>
  <c r="ET6" i="8"/>
  <c r="ET5" i="8"/>
  <c r="ET4" i="8"/>
  <c r="DT7" i="8"/>
  <c r="DT6" i="8"/>
  <c r="DT5" i="8"/>
  <c r="DT4" i="8"/>
  <c r="CR7" i="8"/>
  <c r="CR6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7" i="19"/>
  <c r="QA12" i="19"/>
  <c r="QA16" i="19"/>
  <c r="QA10" i="19"/>
  <c r="QA11" i="19"/>
  <c r="QA6" i="19"/>
  <c r="QA15" i="19"/>
  <c r="QA13" i="19"/>
  <c r="QA14" i="19"/>
  <c r="QA9" i="19"/>
  <c r="QA5" i="19"/>
  <c r="OY4" i="19"/>
  <c r="OY7" i="19"/>
  <c r="OY12" i="19"/>
  <c r="OY16" i="19"/>
  <c r="OY10" i="19"/>
  <c r="OY11" i="19"/>
  <c r="OY6" i="19"/>
  <c r="OY15" i="19"/>
  <c r="OY13" i="19"/>
  <c r="OY14" i="19"/>
  <c r="OY9" i="19"/>
  <c r="OY5" i="19"/>
  <c r="NW4" i="19"/>
  <c r="NW7" i="19"/>
  <c r="NW12" i="19"/>
  <c r="NW16" i="19"/>
  <c r="NW10" i="19"/>
  <c r="NW11" i="19"/>
  <c r="NW6" i="19"/>
  <c r="NW15" i="19"/>
  <c r="NW13" i="19"/>
  <c r="NW14" i="19"/>
  <c r="NW9" i="19"/>
  <c r="NW5" i="19"/>
  <c r="MU4" i="19"/>
  <c r="MU7" i="19"/>
  <c r="MU12" i="19"/>
  <c r="MU16" i="19"/>
  <c r="MU10" i="19"/>
  <c r="MU11" i="19"/>
  <c r="MU6" i="19"/>
  <c r="MU15" i="19"/>
  <c r="MU13" i="19"/>
  <c r="MU14" i="19"/>
  <c r="MU9" i="19"/>
  <c r="MU5" i="19"/>
  <c r="LS4" i="19"/>
  <c r="LS7" i="19"/>
  <c r="LS12" i="19"/>
  <c r="LS16" i="19"/>
  <c r="LS10" i="19"/>
  <c r="LS11" i="19"/>
  <c r="LS6" i="19"/>
  <c r="LS15" i="19"/>
  <c r="LS13" i="19"/>
  <c r="LS14" i="19"/>
  <c r="LS9" i="19"/>
  <c r="LS5" i="19"/>
  <c r="KQ4" i="19"/>
  <c r="KQ7" i="19"/>
  <c r="KQ12" i="19"/>
  <c r="KQ16" i="19"/>
  <c r="KQ10" i="19"/>
  <c r="KQ11" i="19"/>
  <c r="KQ6" i="19"/>
  <c r="KQ15" i="19"/>
  <c r="KQ13" i="19"/>
  <c r="KQ14" i="19"/>
  <c r="KQ9" i="19"/>
  <c r="KQ5" i="19"/>
  <c r="JO5" i="19"/>
  <c r="JO4" i="19"/>
  <c r="JO7" i="19"/>
  <c r="JO12" i="19"/>
  <c r="JO16" i="19"/>
  <c r="JO10" i="19"/>
  <c r="JO11" i="19"/>
  <c r="JO6" i="19"/>
  <c r="JO15" i="19"/>
  <c r="JO13" i="19"/>
  <c r="JO14" i="19"/>
  <c r="JO9" i="19"/>
  <c r="IM4" i="19"/>
  <c r="IM7" i="19"/>
  <c r="IM12" i="19"/>
  <c r="IM16" i="19"/>
  <c r="IM10" i="19"/>
  <c r="IM11" i="19"/>
  <c r="IM6" i="19"/>
  <c r="IM15" i="19"/>
  <c r="IM13" i="19"/>
  <c r="IM14" i="19"/>
  <c r="IM9" i="19"/>
  <c r="IM5" i="19"/>
  <c r="HK4" i="19"/>
  <c r="HK7" i="19"/>
  <c r="HK12" i="19"/>
  <c r="HK16" i="19"/>
  <c r="HK10" i="19"/>
  <c r="HK11" i="19"/>
  <c r="HK6" i="19"/>
  <c r="HK15" i="19"/>
  <c r="HK13" i="19"/>
  <c r="HK14" i="19"/>
  <c r="HK9" i="19"/>
  <c r="HK5" i="19"/>
  <c r="GI4" i="19"/>
  <c r="GI7" i="19"/>
  <c r="GI12" i="19"/>
  <c r="GI16" i="19"/>
  <c r="GI10" i="19"/>
  <c r="GI11" i="19"/>
  <c r="GI6" i="19"/>
  <c r="GI15" i="19"/>
  <c r="GI13" i="19"/>
  <c r="GI14" i="19"/>
  <c r="GI9" i="19"/>
  <c r="GI5" i="19"/>
  <c r="FG4" i="19"/>
  <c r="FG7" i="19"/>
  <c r="FG12" i="19"/>
  <c r="FG16" i="19"/>
  <c r="FG10" i="19"/>
  <c r="FG11" i="19"/>
  <c r="FG6" i="19"/>
  <c r="FG15" i="19"/>
  <c r="FG13" i="19"/>
  <c r="FG14" i="19"/>
  <c r="FG9" i="19"/>
  <c r="FG5" i="19"/>
  <c r="EE4" i="19"/>
  <c r="EE7" i="19"/>
  <c r="EE12" i="19"/>
  <c r="EE16" i="19"/>
  <c r="EE10" i="19"/>
  <c r="EE11" i="19"/>
  <c r="EE6" i="19"/>
  <c r="EE15" i="19"/>
  <c r="EE13" i="19"/>
  <c r="EE14" i="19"/>
  <c r="EE9" i="19"/>
  <c r="EE5" i="19"/>
  <c r="CZ5" i="19"/>
  <c r="CZ4" i="19"/>
  <c r="CZ7" i="19"/>
  <c r="CZ12" i="19"/>
  <c r="CZ16" i="19"/>
  <c r="CZ10" i="19"/>
  <c r="CZ11" i="19"/>
  <c r="CZ6" i="19"/>
  <c r="CZ15" i="19"/>
  <c r="CZ13" i="19"/>
  <c r="CZ14" i="19"/>
  <c r="CZ9" i="19"/>
  <c r="N9" i="19" s="1"/>
  <c r="O9" i="19" s="1"/>
  <c r="CX16" i="19"/>
  <c r="CY16" i="19"/>
  <c r="DC16" i="19"/>
  <c r="DD16" i="19"/>
  <c r="EC16" i="19"/>
  <c r="ED16" i="19"/>
  <c r="EH16" i="19"/>
  <c r="EI16" i="19"/>
  <c r="FE16" i="19"/>
  <c r="FF16" i="19"/>
  <c r="FJ16" i="19"/>
  <c r="FK16" i="19"/>
  <c r="GG16" i="19"/>
  <c r="GH16" i="19"/>
  <c r="GL16" i="19"/>
  <c r="GM16" i="19"/>
  <c r="HI16" i="19"/>
  <c r="HJ16" i="19"/>
  <c r="HN16" i="19"/>
  <c r="HO16" i="19"/>
  <c r="IK16" i="19"/>
  <c r="IL16" i="19"/>
  <c r="IP16" i="19"/>
  <c r="IQ16" i="19"/>
  <c r="JM16" i="19"/>
  <c r="JN16" i="19"/>
  <c r="JQ16" i="19" s="1"/>
  <c r="JR16" i="19"/>
  <c r="JS16" i="19"/>
  <c r="KO16" i="19"/>
  <c r="KP16" i="19"/>
  <c r="KS16" i="19" s="1"/>
  <c r="KT16" i="19"/>
  <c r="KU16" i="19"/>
  <c r="LQ16" i="19"/>
  <c r="LR16" i="19"/>
  <c r="LV16" i="19"/>
  <c r="LW16" i="19"/>
  <c r="MS16" i="19"/>
  <c r="MT16" i="19"/>
  <c r="MW16" i="19" s="1"/>
  <c r="MX16" i="19"/>
  <c r="MY16" i="19"/>
  <c r="NU16" i="19"/>
  <c r="NV16" i="19"/>
  <c r="NZ16" i="19"/>
  <c r="OA16" i="19"/>
  <c r="OW16" i="19"/>
  <c r="OX16" i="19"/>
  <c r="PA16" i="19" s="1"/>
  <c r="PB16" i="19"/>
  <c r="PC16" i="19"/>
  <c r="PY16" i="19"/>
  <c r="PZ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0" i="19"/>
  <c r="CY10" i="19"/>
  <c r="DB10" i="19" s="1"/>
  <c r="DC10" i="19"/>
  <c r="DD10" i="19"/>
  <c r="EC10" i="19"/>
  <c r="ED10" i="19"/>
  <c r="EH10" i="19"/>
  <c r="EI10" i="19"/>
  <c r="FE10" i="19"/>
  <c r="FF10" i="19"/>
  <c r="FI10" i="19" s="1"/>
  <c r="FJ10" i="19"/>
  <c r="FK10" i="19"/>
  <c r="GG10" i="19"/>
  <c r="GH10" i="19"/>
  <c r="GL10" i="19"/>
  <c r="GM10" i="19"/>
  <c r="HI10" i="19"/>
  <c r="HJ10" i="19"/>
  <c r="HM10" i="19" s="1"/>
  <c r="HN10" i="19"/>
  <c r="HO10" i="19"/>
  <c r="IK10" i="19"/>
  <c r="IL10" i="19"/>
  <c r="IP10" i="19"/>
  <c r="IQ10" i="19"/>
  <c r="JM10" i="19"/>
  <c r="JN10" i="19"/>
  <c r="JQ10" i="19" s="1"/>
  <c r="JR10" i="19"/>
  <c r="JS10" i="19"/>
  <c r="KO10" i="19"/>
  <c r="KP10" i="19"/>
  <c r="KT10" i="19"/>
  <c r="KU10" i="19"/>
  <c r="LQ10" i="19"/>
  <c r="LR10" i="19"/>
  <c r="LU10" i="19" s="1"/>
  <c r="LV10" i="19"/>
  <c r="LW10" i="19"/>
  <c r="MS10" i="19"/>
  <c r="MT10" i="19"/>
  <c r="MX10" i="19"/>
  <c r="MY10" i="19"/>
  <c r="NU10" i="19"/>
  <c r="NV10" i="19"/>
  <c r="NY10" i="19" s="1"/>
  <c r="NZ10" i="19"/>
  <c r="OA10" i="19"/>
  <c r="OW10" i="19"/>
  <c r="OX10" i="19"/>
  <c r="PB10" i="19"/>
  <c r="PC10" i="19"/>
  <c r="PY10" i="19"/>
  <c r="PZ10" i="19"/>
  <c r="QC10" i="19" s="1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1" i="19"/>
  <c r="CY11" i="19"/>
  <c r="DC11" i="19"/>
  <c r="DD11" i="19"/>
  <c r="EC11" i="19"/>
  <c r="ED11" i="19"/>
  <c r="EG11" i="19" s="1"/>
  <c r="EH11" i="19"/>
  <c r="EI11" i="19"/>
  <c r="FE11" i="19"/>
  <c r="FF11" i="19"/>
  <c r="FI11" i="19" s="1"/>
  <c r="FJ11" i="19"/>
  <c r="FK11" i="19"/>
  <c r="GG11" i="19"/>
  <c r="GH11" i="19"/>
  <c r="GK11" i="19" s="1"/>
  <c r="GL11" i="19"/>
  <c r="GM11" i="19"/>
  <c r="HI11" i="19"/>
  <c r="HJ11" i="19"/>
  <c r="HM11" i="19" s="1"/>
  <c r="HN11" i="19"/>
  <c r="HO11" i="19"/>
  <c r="IK11" i="19"/>
  <c r="IL11" i="19"/>
  <c r="IO11" i="19" s="1"/>
  <c r="IP11" i="19"/>
  <c r="IQ11" i="19"/>
  <c r="JM11" i="19"/>
  <c r="JN11" i="19"/>
  <c r="JQ11" i="19" s="1"/>
  <c r="JR11" i="19"/>
  <c r="JS11" i="19"/>
  <c r="KO11" i="19"/>
  <c r="KP11" i="19"/>
  <c r="KS11" i="19" s="1"/>
  <c r="KT11" i="19"/>
  <c r="KU11" i="19"/>
  <c r="LQ11" i="19"/>
  <c r="LR11" i="19"/>
  <c r="LU11" i="19" s="1"/>
  <c r="LV11" i="19"/>
  <c r="LW11" i="19"/>
  <c r="MS11" i="19"/>
  <c r="MT11" i="19"/>
  <c r="MW11" i="19" s="1"/>
  <c r="MX11" i="19"/>
  <c r="MY11" i="19"/>
  <c r="NU11" i="19"/>
  <c r="NV11" i="19"/>
  <c r="NY11" i="19" s="1"/>
  <c r="NZ11" i="19"/>
  <c r="OA11" i="19"/>
  <c r="OW11" i="19"/>
  <c r="OX11" i="19"/>
  <c r="PA11" i="19" s="1"/>
  <c r="PB11" i="19"/>
  <c r="PC11" i="19"/>
  <c r="PY11" i="19"/>
  <c r="PZ11" i="19"/>
  <c r="QC11" i="19" s="1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6" i="19"/>
  <c r="CY6" i="19"/>
  <c r="DC6" i="19"/>
  <c r="DD6" i="19"/>
  <c r="EC6" i="19"/>
  <c r="ED6" i="19"/>
  <c r="EG6" i="19" s="1"/>
  <c r="EH6" i="19"/>
  <c r="EI6" i="19"/>
  <c r="FE6" i="19"/>
  <c r="FF6" i="19"/>
  <c r="FI6" i="19" s="1"/>
  <c r="FJ6" i="19"/>
  <c r="FK6" i="19"/>
  <c r="GG6" i="19"/>
  <c r="GH6" i="19"/>
  <c r="GK6" i="19" s="1"/>
  <c r="GL6" i="19"/>
  <c r="GM6" i="19"/>
  <c r="HI6" i="19"/>
  <c r="HJ6" i="19"/>
  <c r="HM6" i="19" s="1"/>
  <c r="HN6" i="19"/>
  <c r="HO6" i="19"/>
  <c r="IK6" i="19"/>
  <c r="IL6" i="19"/>
  <c r="IO6" i="19" s="1"/>
  <c r="IP6" i="19"/>
  <c r="IQ6" i="19"/>
  <c r="JM6" i="19"/>
  <c r="JN6" i="19"/>
  <c r="JR6" i="19"/>
  <c r="JS6" i="19"/>
  <c r="KO6" i="19"/>
  <c r="KP6" i="19"/>
  <c r="KS6" i="19" s="1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5" i="19"/>
  <c r="CY15" i="19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3" i="19"/>
  <c r="CY13" i="19"/>
  <c r="DB13" i="19" s="1"/>
  <c r="DC13" i="19"/>
  <c r="DD13" i="19"/>
  <c r="EC13" i="19"/>
  <c r="ED13" i="19"/>
  <c r="EG13" i="19" s="1"/>
  <c r="EH13" i="19"/>
  <c r="EI13" i="19"/>
  <c r="FE13" i="19"/>
  <c r="FF13" i="19"/>
  <c r="FJ13" i="19"/>
  <c r="FK13" i="19"/>
  <c r="GG13" i="19"/>
  <c r="GH13" i="19"/>
  <c r="GK13" i="19" s="1"/>
  <c r="GL13" i="19"/>
  <c r="GM13" i="19"/>
  <c r="HI13" i="19"/>
  <c r="HJ13" i="19"/>
  <c r="HN13" i="19"/>
  <c r="HO13" i="19"/>
  <c r="IK13" i="19"/>
  <c r="IL13" i="19"/>
  <c r="IO13" i="19" s="1"/>
  <c r="IP13" i="19"/>
  <c r="IQ13" i="19"/>
  <c r="JM13" i="19"/>
  <c r="JN13" i="19"/>
  <c r="JQ13" i="19" s="1"/>
  <c r="JR13" i="19"/>
  <c r="JS13" i="19"/>
  <c r="KO13" i="19"/>
  <c r="KP13" i="19"/>
  <c r="KS13" i="19" s="1"/>
  <c r="KT13" i="19"/>
  <c r="KU13" i="19"/>
  <c r="LQ13" i="19"/>
  <c r="LR13" i="19"/>
  <c r="LV13" i="19"/>
  <c r="LW13" i="19"/>
  <c r="MS13" i="19"/>
  <c r="MT13" i="19"/>
  <c r="MW13" i="19" s="1"/>
  <c r="MX13" i="19"/>
  <c r="MY13" i="19"/>
  <c r="NU13" i="19"/>
  <c r="NV13" i="19"/>
  <c r="NZ13" i="19"/>
  <c r="OA13" i="19"/>
  <c r="OW13" i="19"/>
  <c r="OX13" i="19"/>
  <c r="PA13" i="19" s="1"/>
  <c r="PB13" i="19"/>
  <c r="PC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4" i="19"/>
  <c r="CY14" i="19"/>
  <c r="DC14" i="19"/>
  <c r="DD14" i="19"/>
  <c r="EC14" i="19"/>
  <c r="ED14" i="19"/>
  <c r="EH14" i="19"/>
  <c r="EI14" i="19"/>
  <c r="FE14" i="19"/>
  <c r="FF14" i="19"/>
  <c r="FI14" i="19" s="1"/>
  <c r="FJ14" i="19"/>
  <c r="FK14" i="19"/>
  <c r="GG14" i="19"/>
  <c r="GH14" i="19"/>
  <c r="GL14" i="19"/>
  <c r="GM14" i="19"/>
  <c r="HI14" i="19"/>
  <c r="HJ14" i="19"/>
  <c r="HM14" i="19" s="1"/>
  <c r="HN14" i="19"/>
  <c r="HO14" i="19"/>
  <c r="IK14" i="19"/>
  <c r="IL14" i="19"/>
  <c r="IP14" i="19"/>
  <c r="IQ14" i="19"/>
  <c r="JM14" i="19"/>
  <c r="JN14" i="19"/>
  <c r="JR14" i="19"/>
  <c r="JS14" i="19"/>
  <c r="KO14" i="19"/>
  <c r="KP14" i="19"/>
  <c r="KT14" i="19"/>
  <c r="KU14" i="19"/>
  <c r="LQ14" i="19"/>
  <c r="LR14" i="19"/>
  <c r="LU14" i="19" s="1"/>
  <c r="LV14" i="19"/>
  <c r="LW14" i="19"/>
  <c r="MS14" i="19"/>
  <c r="MT14" i="19"/>
  <c r="MX14" i="19"/>
  <c r="MY14" i="19"/>
  <c r="NU14" i="19"/>
  <c r="NV14" i="19"/>
  <c r="NY14" i="19" s="1"/>
  <c r="NZ14" i="19"/>
  <c r="OA14" i="19"/>
  <c r="OW14" i="19"/>
  <c r="OX14" i="19"/>
  <c r="PA14" i="19" s="1"/>
  <c r="PB14" i="19"/>
  <c r="PC14" i="19"/>
  <c r="PY14" i="19"/>
  <c r="PZ14" i="19"/>
  <c r="QC14" i="19" s="1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2" i="19"/>
  <c r="QY12" i="19"/>
  <c r="QX12" i="19"/>
  <c r="QW12" i="19"/>
  <c r="QV12" i="19"/>
  <c r="QU12" i="19"/>
  <c r="QT12" i="19"/>
  <c r="QS12" i="19"/>
  <c r="QR12" i="19"/>
  <c r="QQ12" i="19"/>
  <c r="QP12" i="19"/>
  <c r="QO12" i="19"/>
  <c r="QN12" i="19"/>
  <c r="QM12" i="19"/>
  <c r="QL12" i="19"/>
  <c r="QK12" i="19"/>
  <c r="QJ12" i="19"/>
  <c r="QI12" i="19"/>
  <c r="QH12" i="19"/>
  <c r="QG12" i="19"/>
  <c r="QE12" i="19"/>
  <c r="QD12" i="19"/>
  <c r="PZ12" i="19"/>
  <c r="PY12" i="19"/>
  <c r="PC12" i="19"/>
  <c r="PB12" i="19"/>
  <c r="OX12" i="19"/>
  <c r="PA12" i="19" s="1"/>
  <c r="OW12" i="19"/>
  <c r="OA12" i="19"/>
  <c r="NZ12" i="19"/>
  <c r="NV12" i="19"/>
  <c r="NU12" i="19"/>
  <c r="MY12" i="19"/>
  <c r="MX12" i="19"/>
  <c r="MT12" i="19"/>
  <c r="MW12" i="19" s="1"/>
  <c r="MS12" i="19"/>
  <c r="LW12" i="19"/>
  <c r="LV12" i="19"/>
  <c r="LR12" i="19"/>
  <c r="LQ12" i="19"/>
  <c r="KU12" i="19"/>
  <c r="KT12" i="19"/>
  <c r="KP12" i="19"/>
  <c r="KS12" i="19" s="1"/>
  <c r="KO12" i="19"/>
  <c r="JS12" i="19"/>
  <c r="JR12" i="19"/>
  <c r="JN12" i="19"/>
  <c r="JQ12" i="19" s="1"/>
  <c r="JM12" i="19"/>
  <c r="IQ12" i="19"/>
  <c r="IP12" i="19"/>
  <c r="IL12" i="19"/>
  <c r="IO12" i="19" s="1"/>
  <c r="IK12" i="19"/>
  <c r="HO12" i="19"/>
  <c r="HN12" i="19"/>
  <c r="HJ12" i="19"/>
  <c r="HI12" i="19"/>
  <c r="GM12" i="19"/>
  <c r="GL12" i="19"/>
  <c r="GH12" i="19"/>
  <c r="GK12" i="19" s="1"/>
  <c r="GG12" i="19"/>
  <c r="FK12" i="19"/>
  <c r="FJ12" i="19"/>
  <c r="FF12" i="19"/>
  <c r="FE12" i="19"/>
  <c r="EI12" i="19"/>
  <c r="EH12" i="19"/>
  <c r="ED12" i="19"/>
  <c r="EG12" i="19" s="1"/>
  <c r="EC12" i="19"/>
  <c r="DD12" i="19"/>
  <c r="DC12" i="19"/>
  <c r="CY12" i="19"/>
  <c r="DB12" i="19" s="1"/>
  <c r="CX12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PA7" i="19" s="1"/>
  <c r="OW7" i="19"/>
  <c r="OA7" i="19"/>
  <c r="NZ7" i="19"/>
  <c r="NV7" i="19"/>
  <c r="NY7" i="19" s="1"/>
  <c r="NU7" i="19"/>
  <c r="MY7" i="19"/>
  <c r="MX7" i="19"/>
  <c r="MT7" i="19"/>
  <c r="MW7" i="19" s="1"/>
  <c r="MS7" i="19"/>
  <c r="LW7" i="19"/>
  <c r="LV7" i="19"/>
  <c r="LR7" i="19"/>
  <c r="LU7" i="19" s="1"/>
  <c r="LQ7" i="19"/>
  <c r="KU7" i="19"/>
  <c r="KT7" i="19"/>
  <c r="KP7" i="19"/>
  <c r="KS7" i="19" s="1"/>
  <c r="KO7" i="19"/>
  <c r="JS7" i="19"/>
  <c r="JR7" i="19"/>
  <c r="JN7" i="19"/>
  <c r="JM7" i="19"/>
  <c r="IQ7" i="19"/>
  <c r="IP7" i="19"/>
  <c r="IL7" i="19"/>
  <c r="IO7" i="19" s="1"/>
  <c r="IK7" i="19"/>
  <c r="HO7" i="19"/>
  <c r="HN7" i="19"/>
  <c r="HJ7" i="19"/>
  <c r="HM7" i="19" s="1"/>
  <c r="HI7" i="19"/>
  <c r="GM7" i="19"/>
  <c r="GL7" i="19"/>
  <c r="GH7" i="19"/>
  <c r="GK7" i="19" s="1"/>
  <c r="GG7" i="19"/>
  <c r="FK7" i="19"/>
  <c r="FJ7" i="19"/>
  <c r="FF7" i="19"/>
  <c r="FI7" i="19" s="1"/>
  <c r="FE7" i="19"/>
  <c r="EI7" i="19"/>
  <c r="EH7" i="19"/>
  <c r="ED7" i="19"/>
  <c r="EG7" i="19" s="1"/>
  <c r="EC7" i="19"/>
  <c r="DD7" i="19"/>
  <c r="DC7" i="19"/>
  <c r="CY7" i="19"/>
  <c r="CX7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7" i="8"/>
  <c r="PF7" i="8"/>
  <c r="PG7" i="8"/>
  <c r="PH7" i="8"/>
  <c r="PI7" i="8"/>
  <c r="PE6" i="8"/>
  <c r="PF6" i="8"/>
  <c r="PG6" i="8"/>
  <c r="PH6" i="8"/>
  <c r="PI6" i="8"/>
  <c r="PE5" i="8"/>
  <c r="PF5" i="8"/>
  <c r="PG5" i="8"/>
  <c r="PH5" i="8"/>
  <c r="PI5" i="8"/>
  <c r="PF4" i="8"/>
  <c r="PG4" i="8"/>
  <c r="PH4" i="8"/>
  <c r="PI4" i="8"/>
  <c r="TJ5" i="17"/>
  <c r="TI5" i="17"/>
  <c r="TT5" i="17" s="1"/>
  <c r="TH5" i="17"/>
  <c r="TS5" i="17" s="1"/>
  <c r="TG5" i="17"/>
  <c r="TF5" i="17"/>
  <c r="TE5" i="17"/>
  <c r="TD5" i="17"/>
  <c r="TP5" i="17" s="1"/>
  <c r="TC5" i="17"/>
  <c r="TO5" i="17" s="1"/>
  <c r="TB5" i="17"/>
  <c r="TA5" i="17"/>
  <c r="SZ5" i="17"/>
  <c r="SY5" i="17"/>
  <c r="TM5" i="17" s="1"/>
  <c r="SX5" i="17"/>
  <c r="TL5" i="17" s="1"/>
  <c r="SW5" i="17"/>
  <c r="SV5" i="17"/>
  <c r="ST5" i="17"/>
  <c r="SS5" i="17"/>
  <c r="SR5" i="17"/>
  <c r="SQ5" i="17"/>
  <c r="SP5" i="17"/>
  <c r="SO5" i="17"/>
  <c r="SM5" i="17"/>
  <c r="SL5" i="17"/>
  <c r="SK5" i="17"/>
  <c r="SJ5" i="17"/>
  <c r="SI5" i="17"/>
  <c r="SH5" i="17"/>
  <c r="RL5" i="17"/>
  <c r="RK5" i="17"/>
  <c r="RJ5" i="17"/>
  <c r="RI5" i="17"/>
  <c r="RH5" i="17"/>
  <c r="RG5" i="17"/>
  <c r="RE5" i="17"/>
  <c r="RD5" i="17"/>
  <c r="RC5" i="17"/>
  <c r="RB5" i="17"/>
  <c r="RA5" i="17"/>
  <c r="QZ5" i="17"/>
  <c r="QD5" i="17"/>
  <c r="QC5" i="17"/>
  <c r="QB5" i="17"/>
  <c r="QA5" i="17"/>
  <c r="PZ5" i="17"/>
  <c r="PY5" i="17"/>
  <c r="PW5" i="17"/>
  <c r="PV5" i="17"/>
  <c r="PU5" i="17"/>
  <c r="PT5" i="17"/>
  <c r="PS5" i="17"/>
  <c r="PR5" i="17"/>
  <c r="OV5" i="17"/>
  <c r="OU5" i="17"/>
  <c r="OT5" i="17"/>
  <c r="OS5" i="17"/>
  <c r="OR5" i="17"/>
  <c r="OQ5" i="17"/>
  <c r="OO5" i="17"/>
  <c r="ON5" i="17"/>
  <c r="OM5" i="17"/>
  <c r="OL5" i="17"/>
  <c r="OK5" i="17"/>
  <c r="OJ5" i="17"/>
  <c r="NN5" i="17"/>
  <c r="NM5" i="17"/>
  <c r="NL5" i="17"/>
  <c r="NK5" i="17"/>
  <c r="NJ5" i="17"/>
  <c r="NI5" i="17"/>
  <c r="NG5" i="17"/>
  <c r="NF5" i="17"/>
  <c r="NE5" i="17"/>
  <c r="ND5" i="17"/>
  <c r="NC5" i="17"/>
  <c r="NB5" i="17"/>
  <c r="MF5" i="17"/>
  <c r="ME5" i="17"/>
  <c r="MD5" i="17"/>
  <c r="MC5" i="17"/>
  <c r="MB5" i="17"/>
  <c r="MA5" i="17"/>
  <c r="LY5" i="17"/>
  <c r="LX5" i="17"/>
  <c r="LW5" i="17"/>
  <c r="LV5" i="17"/>
  <c r="LU5" i="17"/>
  <c r="LT5" i="17"/>
  <c r="KX5" i="17"/>
  <c r="KW5" i="17"/>
  <c r="KV5" i="17"/>
  <c r="KU5" i="17"/>
  <c r="KT5" i="17"/>
  <c r="KS5" i="17"/>
  <c r="KQ5" i="17"/>
  <c r="KP5" i="17"/>
  <c r="KO5" i="17"/>
  <c r="KN5" i="17"/>
  <c r="KM5" i="17"/>
  <c r="KL5" i="17"/>
  <c r="JP5" i="17"/>
  <c r="JO5" i="17"/>
  <c r="JN5" i="17"/>
  <c r="JM5" i="17"/>
  <c r="JL5" i="17"/>
  <c r="JK5" i="17"/>
  <c r="JI5" i="17"/>
  <c r="JH5" i="17"/>
  <c r="JG5" i="17"/>
  <c r="JF5" i="17"/>
  <c r="JE5" i="17"/>
  <c r="JD5" i="17"/>
  <c r="IH5" i="17"/>
  <c r="IG5" i="17"/>
  <c r="IF5" i="17"/>
  <c r="IE5" i="17"/>
  <c r="ID5" i="17"/>
  <c r="IC5" i="17"/>
  <c r="IA5" i="17"/>
  <c r="HZ5" i="17"/>
  <c r="HY5" i="17"/>
  <c r="HX5" i="17"/>
  <c r="HW5" i="17"/>
  <c r="HV5" i="17"/>
  <c r="GZ5" i="17"/>
  <c r="GY5" i="17"/>
  <c r="GX5" i="17"/>
  <c r="GW5" i="17"/>
  <c r="GV5" i="17"/>
  <c r="GU5" i="17"/>
  <c r="GS5" i="17"/>
  <c r="GR5" i="17"/>
  <c r="GQ5" i="17"/>
  <c r="GP5" i="17"/>
  <c r="GO5" i="17"/>
  <c r="GN5" i="17"/>
  <c r="FR5" i="17"/>
  <c r="FQ5" i="17"/>
  <c r="FP5" i="17"/>
  <c r="FO5" i="17"/>
  <c r="FN5" i="17"/>
  <c r="FM5" i="17"/>
  <c r="FK5" i="17"/>
  <c r="FJ5" i="17"/>
  <c r="FI5" i="17"/>
  <c r="FH5" i="17"/>
  <c r="FG5" i="17"/>
  <c r="FF5" i="17"/>
  <c r="EJ5" i="17"/>
  <c r="EI5" i="17"/>
  <c r="EH5" i="17"/>
  <c r="EG5" i="17"/>
  <c r="EF5" i="17"/>
  <c r="EE5" i="17"/>
  <c r="EC5" i="17"/>
  <c r="EB5" i="17"/>
  <c r="EA5" i="17"/>
  <c r="DZ5" i="17"/>
  <c r="DY5" i="17"/>
  <c r="DX5" i="17"/>
  <c r="CX5" i="17"/>
  <c r="CW5" i="17"/>
  <c r="CV5" i="17"/>
  <c r="CT5" i="17"/>
  <c r="CS5" i="17"/>
  <c r="CR5" i="17"/>
  <c r="CQ5" i="17"/>
  <c r="CU5" i="17" s="1"/>
  <c r="CP5" i="17"/>
  <c r="CO5" i="17"/>
  <c r="TJ4" i="17"/>
  <c r="TI4" i="17"/>
  <c r="TT4" i="17" s="1"/>
  <c r="TH4" i="17"/>
  <c r="TS4" i="17" s="1"/>
  <c r="TG4" i="17"/>
  <c r="TF4" i="17"/>
  <c r="TE4" i="17"/>
  <c r="TD4" i="17"/>
  <c r="TP4" i="17" s="1"/>
  <c r="TC4" i="17"/>
  <c r="TO4" i="17" s="1"/>
  <c r="TB4" i="17"/>
  <c r="TA4" i="17"/>
  <c r="SZ4" i="17"/>
  <c r="SY4" i="17"/>
  <c r="TM4" i="17" s="1"/>
  <c r="SX4" i="17"/>
  <c r="TL4" i="17" s="1"/>
  <c r="SW4" i="17"/>
  <c r="SV4" i="17"/>
  <c r="ST4" i="17"/>
  <c r="SS4" i="17"/>
  <c r="SR4" i="17"/>
  <c r="SQ4" i="17"/>
  <c r="SP4" i="17"/>
  <c r="SO4" i="17"/>
  <c r="SM4" i="17"/>
  <c r="SL4" i="17"/>
  <c r="SK4" i="17"/>
  <c r="SJ4" i="17"/>
  <c r="SI4" i="17"/>
  <c r="SH4" i="17"/>
  <c r="RL4" i="17"/>
  <c r="RK4" i="17"/>
  <c r="RJ4" i="17"/>
  <c r="RI4" i="17"/>
  <c r="RH4" i="17"/>
  <c r="RG4" i="17"/>
  <c r="RE4" i="17"/>
  <c r="RD4" i="17"/>
  <c r="RC4" i="17"/>
  <c r="RB4" i="17"/>
  <c r="RA4" i="17"/>
  <c r="QZ4" i="17"/>
  <c r="QD4" i="17"/>
  <c r="QC4" i="17"/>
  <c r="QB4" i="17"/>
  <c r="QA4" i="17"/>
  <c r="PZ4" i="17"/>
  <c r="PY4" i="17"/>
  <c r="PW4" i="17"/>
  <c r="PV4" i="17"/>
  <c r="PU4" i="17"/>
  <c r="PT4" i="17"/>
  <c r="PS4" i="17"/>
  <c r="PR4" i="17"/>
  <c r="OV4" i="17"/>
  <c r="OU4" i="17"/>
  <c r="OT4" i="17"/>
  <c r="OS4" i="17"/>
  <c r="OR4" i="17"/>
  <c r="OQ4" i="17"/>
  <c r="OO4" i="17"/>
  <c r="ON4" i="17"/>
  <c r="OM4" i="17"/>
  <c r="OL4" i="17"/>
  <c r="OK4" i="17"/>
  <c r="OJ4" i="17"/>
  <c r="NN4" i="17"/>
  <c r="NM4" i="17"/>
  <c r="NL4" i="17"/>
  <c r="NK4" i="17"/>
  <c r="NJ4" i="17"/>
  <c r="NI4" i="17"/>
  <c r="NG4" i="17"/>
  <c r="NF4" i="17"/>
  <c r="NE4" i="17"/>
  <c r="ND4" i="17"/>
  <c r="NC4" i="17"/>
  <c r="NB4" i="17"/>
  <c r="MF4" i="17"/>
  <c r="ME4" i="17"/>
  <c r="MD4" i="17"/>
  <c r="MC4" i="17"/>
  <c r="MB4" i="17"/>
  <c r="MA4" i="17"/>
  <c r="LY4" i="17"/>
  <c r="LX4" i="17"/>
  <c r="LW4" i="17"/>
  <c r="LV4" i="17"/>
  <c r="LU4" i="17"/>
  <c r="LT4" i="17"/>
  <c r="KX4" i="17"/>
  <c r="KW4" i="17"/>
  <c r="KV4" i="17"/>
  <c r="KU4" i="17"/>
  <c r="KT4" i="17"/>
  <c r="KS4" i="17"/>
  <c r="KQ4" i="17"/>
  <c r="KP4" i="17"/>
  <c r="KO4" i="17"/>
  <c r="KN4" i="17"/>
  <c r="KM4" i="17"/>
  <c r="KL4" i="17"/>
  <c r="JP4" i="17"/>
  <c r="JO4" i="17"/>
  <c r="JN4" i="17"/>
  <c r="JM4" i="17"/>
  <c r="JL4" i="17"/>
  <c r="JK4" i="17"/>
  <c r="JI4" i="17"/>
  <c r="JH4" i="17"/>
  <c r="JG4" i="17"/>
  <c r="JF4" i="17"/>
  <c r="JE4" i="17"/>
  <c r="JD4" i="17"/>
  <c r="IH4" i="17"/>
  <c r="IG4" i="17"/>
  <c r="IF4" i="17"/>
  <c r="IE4" i="17"/>
  <c r="ID4" i="17"/>
  <c r="IC4" i="17"/>
  <c r="IA4" i="17"/>
  <c r="HZ4" i="17"/>
  <c r="HY4" i="17"/>
  <c r="HX4" i="17"/>
  <c r="HW4" i="17"/>
  <c r="HV4" i="17"/>
  <c r="GZ4" i="17"/>
  <c r="GY4" i="17"/>
  <c r="GX4" i="17"/>
  <c r="GW4" i="17"/>
  <c r="GV4" i="17"/>
  <c r="GU4" i="17"/>
  <c r="GS4" i="17"/>
  <c r="GR4" i="17"/>
  <c r="GQ4" i="17"/>
  <c r="GP4" i="17"/>
  <c r="GO4" i="17"/>
  <c r="GN4" i="17"/>
  <c r="FR4" i="17"/>
  <c r="FQ4" i="17"/>
  <c r="FP4" i="17"/>
  <c r="FO4" i="17"/>
  <c r="FN4" i="17"/>
  <c r="FM4" i="17"/>
  <c r="FK4" i="17"/>
  <c r="FJ4" i="17"/>
  <c r="FI4" i="17"/>
  <c r="FH4" i="17"/>
  <c r="FG4" i="17"/>
  <c r="FF4" i="17"/>
  <c r="EJ4" i="17"/>
  <c r="EI4" i="17"/>
  <c r="EH4" i="17"/>
  <c r="EG4" i="17"/>
  <c r="EF4" i="17"/>
  <c r="EE4" i="17"/>
  <c r="EC4" i="17"/>
  <c r="EB4" i="17"/>
  <c r="EA4" i="17"/>
  <c r="DZ4" i="17"/>
  <c r="DY4" i="17"/>
  <c r="DX4" i="17"/>
  <c r="CX4" i="17"/>
  <c r="CW4" i="17"/>
  <c r="CV4" i="17"/>
  <c r="CT4" i="17"/>
  <c r="CS4" i="17"/>
  <c r="CR4" i="17"/>
  <c r="CQ4" i="17"/>
  <c r="CU4" i="17" s="1"/>
  <c r="CP4" i="17"/>
  <c r="CO4" i="17"/>
  <c r="TJ5" i="16"/>
  <c r="TI5" i="16"/>
  <c r="TT5" i="16" s="1"/>
  <c r="TH5" i="16"/>
  <c r="TS5" i="16" s="1"/>
  <c r="TG5" i="16"/>
  <c r="TF5" i="16"/>
  <c r="TE5" i="16"/>
  <c r="TD5" i="16"/>
  <c r="TP5" i="16" s="1"/>
  <c r="TC5" i="16"/>
  <c r="TO5" i="16" s="1"/>
  <c r="TB5" i="16"/>
  <c r="TA5" i="16"/>
  <c r="SZ5" i="16"/>
  <c r="SY5" i="16"/>
  <c r="TM5" i="16" s="1"/>
  <c r="SX5" i="16"/>
  <c r="TL5" i="16" s="1"/>
  <c r="SW5" i="16"/>
  <c r="SV5" i="16"/>
  <c r="ST5" i="16"/>
  <c r="SS5" i="16"/>
  <c r="SR5" i="16"/>
  <c r="SQ5" i="16"/>
  <c r="SP5" i="16"/>
  <c r="SO5" i="16"/>
  <c r="SM5" i="16"/>
  <c r="SL5" i="16"/>
  <c r="SK5" i="16"/>
  <c r="SJ5" i="16"/>
  <c r="SI5" i="16"/>
  <c r="SH5" i="16"/>
  <c r="RL5" i="16"/>
  <c r="RK5" i="16"/>
  <c r="RJ5" i="16"/>
  <c r="RI5" i="16"/>
  <c r="RH5" i="16"/>
  <c r="RG5" i="16"/>
  <c r="RE5" i="16"/>
  <c r="RD5" i="16"/>
  <c r="RC5" i="16"/>
  <c r="RB5" i="16"/>
  <c r="RA5" i="16"/>
  <c r="QZ5" i="16"/>
  <c r="QD5" i="16"/>
  <c r="QC5" i="16"/>
  <c r="QB5" i="16"/>
  <c r="QA5" i="16"/>
  <c r="PZ5" i="16"/>
  <c r="PY5" i="16"/>
  <c r="PW5" i="16"/>
  <c r="PV5" i="16"/>
  <c r="PU5" i="16"/>
  <c r="PT5" i="16"/>
  <c r="PS5" i="16"/>
  <c r="PR5" i="16"/>
  <c r="OV5" i="16"/>
  <c r="OU5" i="16"/>
  <c r="OT5" i="16"/>
  <c r="OS5" i="16"/>
  <c r="OR5" i="16"/>
  <c r="OQ5" i="16"/>
  <c r="OO5" i="16"/>
  <c r="ON5" i="16"/>
  <c r="OM5" i="16"/>
  <c r="OL5" i="16"/>
  <c r="OK5" i="16"/>
  <c r="OJ5" i="16"/>
  <c r="NN5" i="16"/>
  <c r="NM5" i="16"/>
  <c r="NL5" i="16"/>
  <c r="NK5" i="16"/>
  <c r="NJ5" i="16"/>
  <c r="NI5" i="16"/>
  <c r="NG5" i="16"/>
  <c r="NF5" i="16"/>
  <c r="NE5" i="16"/>
  <c r="ND5" i="16"/>
  <c r="NC5" i="16"/>
  <c r="NB5" i="16"/>
  <c r="MF5" i="16"/>
  <c r="ME5" i="16"/>
  <c r="MD5" i="16"/>
  <c r="MC5" i="16"/>
  <c r="MB5" i="16"/>
  <c r="MA5" i="16"/>
  <c r="LY5" i="16"/>
  <c r="LX5" i="16"/>
  <c r="LW5" i="16"/>
  <c r="LV5" i="16"/>
  <c r="LU5" i="16"/>
  <c r="LT5" i="16"/>
  <c r="KX5" i="16"/>
  <c r="KW5" i="16"/>
  <c r="KV5" i="16"/>
  <c r="KU5" i="16"/>
  <c r="KT5" i="16"/>
  <c r="KS5" i="16"/>
  <c r="KQ5" i="16"/>
  <c r="KP5" i="16"/>
  <c r="KO5" i="16"/>
  <c r="KN5" i="16"/>
  <c r="KM5" i="16"/>
  <c r="KL5" i="16"/>
  <c r="JP5" i="16"/>
  <c r="JO5" i="16"/>
  <c r="JN5" i="16"/>
  <c r="JM5" i="16"/>
  <c r="JL5" i="16"/>
  <c r="JK5" i="16"/>
  <c r="JI5" i="16"/>
  <c r="JH5" i="16"/>
  <c r="JG5" i="16"/>
  <c r="JF5" i="16"/>
  <c r="JE5" i="16"/>
  <c r="JD5" i="16"/>
  <c r="IH5" i="16"/>
  <c r="IG5" i="16"/>
  <c r="IF5" i="16"/>
  <c r="IE5" i="16"/>
  <c r="ID5" i="16"/>
  <c r="IC5" i="16"/>
  <c r="IA5" i="16"/>
  <c r="HZ5" i="16"/>
  <c r="HY5" i="16"/>
  <c r="HX5" i="16"/>
  <c r="HW5" i="16"/>
  <c r="HV5" i="16"/>
  <c r="GZ5" i="16"/>
  <c r="GY5" i="16"/>
  <c r="GX5" i="16"/>
  <c r="GW5" i="16"/>
  <c r="GV5" i="16"/>
  <c r="GU5" i="16"/>
  <c r="GS5" i="16"/>
  <c r="GR5" i="16"/>
  <c r="GQ5" i="16"/>
  <c r="GP5" i="16"/>
  <c r="GO5" i="16"/>
  <c r="GN5" i="16"/>
  <c r="FR5" i="16"/>
  <c r="FQ5" i="16"/>
  <c r="FP5" i="16"/>
  <c r="FO5" i="16"/>
  <c r="FN5" i="16"/>
  <c r="FM5" i="16"/>
  <c r="FK5" i="16"/>
  <c r="FJ5" i="16"/>
  <c r="FI5" i="16"/>
  <c r="FH5" i="16"/>
  <c r="FG5" i="16"/>
  <c r="FF5" i="16"/>
  <c r="EJ5" i="16"/>
  <c r="EI5" i="16"/>
  <c r="EH5" i="16"/>
  <c r="EG5" i="16"/>
  <c r="EF5" i="16"/>
  <c r="EE5" i="16"/>
  <c r="EC5" i="16"/>
  <c r="EB5" i="16"/>
  <c r="EA5" i="16"/>
  <c r="DZ5" i="16"/>
  <c r="DY5" i="16"/>
  <c r="DX5" i="16"/>
  <c r="CX5" i="16"/>
  <c r="CW5" i="16"/>
  <c r="CV5" i="16"/>
  <c r="CT5" i="16"/>
  <c r="CS5" i="16"/>
  <c r="CR5" i="16"/>
  <c r="CQ5" i="16"/>
  <c r="CU5" i="16" s="1"/>
  <c r="CP5" i="16"/>
  <c r="CO5" i="16"/>
  <c r="TJ4" i="16"/>
  <c r="TI4" i="16"/>
  <c r="TT4" i="16" s="1"/>
  <c r="TH4" i="16"/>
  <c r="TS4" i="16" s="1"/>
  <c r="TG4" i="16"/>
  <c r="TF4" i="16"/>
  <c r="TE4" i="16"/>
  <c r="TD4" i="16"/>
  <c r="TC4" i="16"/>
  <c r="TO4" i="16" s="1"/>
  <c r="TB4" i="16"/>
  <c r="TA4" i="16"/>
  <c r="SZ4" i="16"/>
  <c r="SY4" i="16"/>
  <c r="TM4" i="16" s="1"/>
  <c r="SX4" i="16"/>
  <c r="TL4" i="16" s="1"/>
  <c r="SW4" i="16"/>
  <c r="SV4" i="16"/>
  <c r="ST4" i="16"/>
  <c r="SS4" i="16"/>
  <c r="SR4" i="16"/>
  <c r="SQ4" i="16"/>
  <c r="SP4" i="16"/>
  <c r="SO4" i="16"/>
  <c r="SM4" i="16"/>
  <c r="SL4" i="16"/>
  <c r="SK4" i="16"/>
  <c r="SJ4" i="16"/>
  <c r="SI4" i="16"/>
  <c r="SH4" i="16"/>
  <c r="RL4" i="16"/>
  <c r="RK4" i="16"/>
  <c r="RJ4" i="16"/>
  <c r="RI4" i="16"/>
  <c r="RH4" i="16"/>
  <c r="RG4" i="16"/>
  <c r="RE4" i="16"/>
  <c r="RD4" i="16"/>
  <c r="RC4" i="16"/>
  <c r="RB4" i="16"/>
  <c r="RA4" i="16"/>
  <c r="QZ4" i="16"/>
  <c r="QD4" i="16"/>
  <c r="QC4" i="16"/>
  <c r="QB4" i="16"/>
  <c r="QA4" i="16"/>
  <c r="PZ4" i="16"/>
  <c r="PY4" i="16"/>
  <c r="PW4" i="16"/>
  <c r="PV4" i="16"/>
  <c r="PU4" i="16"/>
  <c r="PT4" i="16"/>
  <c r="PS4" i="16"/>
  <c r="PR4" i="16"/>
  <c r="OV4" i="16"/>
  <c r="OU4" i="16"/>
  <c r="OT4" i="16"/>
  <c r="OS4" i="16"/>
  <c r="OR4" i="16"/>
  <c r="OQ4" i="16"/>
  <c r="OO4" i="16"/>
  <c r="ON4" i="16"/>
  <c r="OM4" i="16"/>
  <c r="OL4" i="16"/>
  <c r="OK4" i="16"/>
  <c r="OJ4" i="16"/>
  <c r="NN4" i="16"/>
  <c r="NM4" i="16"/>
  <c r="NL4" i="16"/>
  <c r="NK4" i="16"/>
  <c r="NJ4" i="16"/>
  <c r="NI4" i="16"/>
  <c r="NG4" i="16"/>
  <c r="NF4" i="16"/>
  <c r="NE4" i="16"/>
  <c r="ND4" i="16"/>
  <c r="NC4" i="16"/>
  <c r="NB4" i="16"/>
  <c r="MF4" i="16"/>
  <c r="ME4" i="16"/>
  <c r="MD4" i="16"/>
  <c r="MC4" i="16"/>
  <c r="MB4" i="16"/>
  <c r="MA4" i="16"/>
  <c r="LY4" i="16"/>
  <c r="LX4" i="16"/>
  <c r="LW4" i="16"/>
  <c r="LV4" i="16"/>
  <c r="LU4" i="16"/>
  <c r="LT4" i="16"/>
  <c r="KX4" i="16"/>
  <c r="KW4" i="16"/>
  <c r="KV4" i="16"/>
  <c r="KU4" i="16"/>
  <c r="KT4" i="16"/>
  <c r="KS4" i="16"/>
  <c r="KQ4" i="16"/>
  <c r="KP4" i="16"/>
  <c r="KO4" i="16"/>
  <c r="KN4" i="16"/>
  <c r="KM4" i="16"/>
  <c r="KL4" i="16"/>
  <c r="JP4" i="16"/>
  <c r="JO4" i="16"/>
  <c r="JN4" i="16"/>
  <c r="JM4" i="16"/>
  <c r="JL4" i="16"/>
  <c r="JK4" i="16"/>
  <c r="JI4" i="16"/>
  <c r="JH4" i="16"/>
  <c r="JG4" i="16"/>
  <c r="JF4" i="16"/>
  <c r="JE4" i="16"/>
  <c r="JD4" i="16"/>
  <c r="IH4" i="16"/>
  <c r="IG4" i="16"/>
  <c r="IF4" i="16"/>
  <c r="IE4" i="16"/>
  <c r="ID4" i="16"/>
  <c r="IC4" i="16"/>
  <c r="IA4" i="16"/>
  <c r="HZ4" i="16"/>
  <c r="HY4" i="16"/>
  <c r="HX4" i="16"/>
  <c r="HW4" i="16"/>
  <c r="HV4" i="16"/>
  <c r="GZ4" i="16"/>
  <c r="GY4" i="16"/>
  <c r="GX4" i="16"/>
  <c r="GW4" i="16"/>
  <c r="GV4" i="16"/>
  <c r="GU4" i="16"/>
  <c r="GS4" i="16"/>
  <c r="GR4" i="16"/>
  <c r="GQ4" i="16"/>
  <c r="GP4" i="16"/>
  <c r="GO4" i="16"/>
  <c r="GN4" i="16"/>
  <c r="FR4" i="16"/>
  <c r="FQ4" i="16"/>
  <c r="FP4" i="16"/>
  <c r="FO4" i="16"/>
  <c r="FN4" i="16"/>
  <c r="FM4" i="16"/>
  <c r="FK4" i="16"/>
  <c r="FJ4" i="16"/>
  <c r="FI4" i="16"/>
  <c r="FH4" i="16"/>
  <c r="FG4" i="16"/>
  <c r="FF4" i="16"/>
  <c r="EJ4" i="16"/>
  <c r="EI4" i="16"/>
  <c r="EH4" i="16"/>
  <c r="EG4" i="16"/>
  <c r="EF4" i="16"/>
  <c r="EE4" i="16"/>
  <c r="EC4" i="16"/>
  <c r="EB4" i="16"/>
  <c r="EA4" i="16"/>
  <c r="DZ4" i="16"/>
  <c r="DY4" i="16"/>
  <c r="DX4" i="16"/>
  <c r="CX4" i="16"/>
  <c r="CW4" i="16"/>
  <c r="CV4" i="16"/>
  <c r="CT4" i="16"/>
  <c r="CS4" i="16"/>
  <c r="CR4" i="16"/>
  <c r="CQ4" i="16"/>
  <c r="CU4" i="16" s="1"/>
  <c r="CP4" i="16"/>
  <c r="CO4" i="16"/>
  <c r="TL14" i="15"/>
  <c r="TK14" i="15"/>
  <c r="TV14" i="15" s="1"/>
  <c r="TJ14" i="15"/>
  <c r="TU14" i="15" s="1"/>
  <c r="TI14" i="15"/>
  <c r="TH14" i="15"/>
  <c r="TG14" i="15"/>
  <c r="TF14" i="15"/>
  <c r="TR14" i="15" s="1"/>
  <c r="TE14" i="15"/>
  <c r="TD14" i="15"/>
  <c r="TC14" i="15"/>
  <c r="TB14" i="15"/>
  <c r="TA14" i="15"/>
  <c r="TO14" i="15" s="1"/>
  <c r="SZ14" i="15"/>
  <c r="TN14" i="15" s="1"/>
  <c r="SY14" i="15"/>
  <c r="SX14" i="15"/>
  <c r="SV14" i="15"/>
  <c r="SU14" i="15"/>
  <c r="ST14" i="15"/>
  <c r="SS14" i="15"/>
  <c r="SR14" i="15"/>
  <c r="SQ14" i="15"/>
  <c r="SO14" i="15"/>
  <c r="SN14" i="15"/>
  <c r="SM14" i="15"/>
  <c r="SL14" i="15"/>
  <c r="SK14" i="15"/>
  <c r="SJ14" i="15"/>
  <c r="RN14" i="15"/>
  <c r="RM14" i="15"/>
  <c r="RL14" i="15"/>
  <c r="RK14" i="15"/>
  <c r="RJ14" i="15"/>
  <c r="RI14" i="15"/>
  <c r="RG14" i="15"/>
  <c r="RF14" i="15"/>
  <c r="RE14" i="15"/>
  <c r="RD14" i="15"/>
  <c r="RC14" i="15"/>
  <c r="RB14" i="15"/>
  <c r="QF14" i="15"/>
  <c r="QE14" i="15"/>
  <c r="QD14" i="15"/>
  <c r="QC14" i="15"/>
  <c r="QB14" i="15"/>
  <c r="QA14" i="15"/>
  <c r="PY14" i="15"/>
  <c r="PX14" i="15"/>
  <c r="PW14" i="15"/>
  <c r="PV14" i="15"/>
  <c r="PU14" i="15"/>
  <c r="PT14" i="15"/>
  <c r="OX14" i="15"/>
  <c r="OW14" i="15"/>
  <c r="OV14" i="15"/>
  <c r="OU14" i="15"/>
  <c r="OT14" i="15"/>
  <c r="OS14" i="15"/>
  <c r="OQ14" i="15"/>
  <c r="OP14" i="15"/>
  <c r="OO14" i="15"/>
  <c r="ON14" i="15"/>
  <c r="OM14" i="15"/>
  <c r="OL14" i="15"/>
  <c r="NP14" i="15"/>
  <c r="NO14" i="15"/>
  <c r="NN14" i="15"/>
  <c r="NM14" i="15"/>
  <c r="NL14" i="15"/>
  <c r="NK14" i="15"/>
  <c r="NI14" i="15"/>
  <c r="NH14" i="15"/>
  <c r="NG14" i="15"/>
  <c r="NF14" i="15"/>
  <c r="NE14" i="15"/>
  <c r="ND14" i="15"/>
  <c r="MH14" i="15"/>
  <c r="MG14" i="15"/>
  <c r="MF14" i="15"/>
  <c r="ME14" i="15"/>
  <c r="MD14" i="15"/>
  <c r="MC14" i="15"/>
  <c r="MA14" i="15"/>
  <c r="LZ14" i="15"/>
  <c r="LY14" i="15"/>
  <c r="LX14" i="15"/>
  <c r="MB14" i="15" s="1"/>
  <c r="LW14" i="15"/>
  <c r="LV14" i="15"/>
  <c r="KZ14" i="15"/>
  <c r="KY14" i="15"/>
  <c r="KX14" i="15"/>
  <c r="KW14" i="15"/>
  <c r="KV14" i="15"/>
  <c r="KU14" i="15"/>
  <c r="KS14" i="15"/>
  <c r="KR14" i="15"/>
  <c r="KQ14" i="15"/>
  <c r="KP14" i="15"/>
  <c r="KO14" i="15"/>
  <c r="KN14" i="15"/>
  <c r="JR14" i="15"/>
  <c r="JQ14" i="15"/>
  <c r="JP14" i="15"/>
  <c r="JO14" i="15"/>
  <c r="JN14" i="15"/>
  <c r="JM14" i="15"/>
  <c r="JK14" i="15"/>
  <c r="JJ14" i="15"/>
  <c r="JI14" i="15"/>
  <c r="JH14" i="15"/>
  <c r="JL14" i="15" s="1"/>
  <c r="JG14" i="15"/>
  <c r="JF14" i="15"/>
  <c r="IJ14" i="15"/>
  <c r="II14" i="15"/>
  <c r="IH14" i="15"/>
  <c r="IG14" i="15"/>
  <c r="IF14" i="15"/>
  <c r="IE14" i="15"/>
  <c r="IC14" i="15"/>
  <c r="IB14" i="15"/>
  <c r="IA14" i="15"/>
  <c r="HZ14" i="15"/>
  <c r="HY14" i="15"/>
  <c r="HX14" i="15"/>
  <c r="HB14" i="15"/>
  <c r="HA14" i="15"/>
  <c r="GZ14" i="15"/>
  <c r="GY14" i="15"/>
  <c r="GX14" i="15"/>
  <c r="GW14" i="15"/>
  <c r="GU14" i="15"/>
  <c r="GT14" i="15"/>
  <c r="GS14" i="15"/>
  <c r="GR14" i="15"/>
  <c r="GV14" i="15" s="1"/>
  <c r="GQ14" i="15"/>
  <c r="GP14" i="15"/>
  <c r="FT14" i="15"/>
  <c r="FS14" i="15"/>
  <c r="FR14" i="15"/>
  <c r="FQ14" i="15"/>
  <c r="FP14" i="15"/>
  <c r="FO14" i="15"/>
  <c r="FM14" i="15"/>
  <c r="FL14" i="15"/>
  <c r="FK14" i="15"/>
  <c r="FJ14" i="15"/>
  <c r="FI14" i="15"/>
  <c r="FH14" i="15"/>
  <c r="EL14" i="15"/>
  <c r="EK14" i="15"/>
  <c r="EJ14" i="15"/>
  <c r="EI14" i="15"/>
  <c r="EH14" i="15"/>
  <c r="EG14" i="15"/>
  <c r="EE14" i="15"/>
  <c r="ED14" i="15"/>
  <c r="EC14" i="15"/>
  <c r="EB14" i="15"/>
  <c r="EF14" i="15" s="1"/>
  <c r="EA14" i="15"/>
  <c r="DZ14" i="15"/>
  <c r="CZ14" i="15"/>
  <c r="CY14" i="15"/>
  <c r="CX14" i="15"/>
  <c r="CV14" i="15"/>
  <c r="CU14" i="15"/>
  <c r="CT14" i="15"/>
  <c r="CS14" i="15"/>
  <c r="CR14" i="15"/>
  <c r="CQ14" i="15"/>
  <c r="TL9" i="15"/>
  <c r="TK9" i="15"/>
  <c r="TV9" i="15" s="1"/>
  <c r="TJ9" i="15"/>
  <c r="TU9" i="15" s="1"/>
  <c r="TI9" i="15"/>
  <c r="TH9" i="15"/>
  <c r="TG9" i="15"/>
  <c r="TF9" i="15"/>
  <c r="TR9" i="15" s="1"/>
  <c r="TE9" i="15"/>
  <c r="TQ9" i="15" s="1"/>
  <c r="TD9" i="15"/>
  <c r="TC9" i="15"/>
  <c r="TB9" i="15"/>
  <c r="TA9" i="15"/>
  <c r="TO9" i="15" s="1"/>
  <c r="SZ9" i="15"/>
  <c r="TN9" i="15" s="1"/>
  <c r="SY9" i="15"/>
  <c r="SX9" i="15"/>
  <c r="SV9" i="15"/>
  <c r="SU9" i="15"/>
  <c r="ST9" i="15"/>
  <c r="SS9" i="15"/>
  <c r="SR9" i="15"/>
  <c r="SQ9" i="15"/>
  <c r="SO9" i="15"/>
  <c r="SN9" i="15"/>
  <c r="SM9" i="15"/>
  <c r="SL9" i="15"/>
  <c r="SK9" i="15"/>
  <c r="SJ9" i="15"/>
  <c r="RN9" i="15"/>
  <c r="RM9" i="15"/>
  <c r="RL9" i="15"/>
  <c r="RK9" i="15"/>
  <c r="RJ9" i="15"/>
  <c r="RI9" i="15"/>
  <c r="RG9" i="15"/>
  <c r="RF9" i="15"/>
  <c r="RE9" i="15"/>
  <c r="RD9" i="15"/>
  <c r="RH9" i="15" s="1"/>
  <c r="RC9" i="15"/>
  <c r="RB9" i="15"/>
  <c r="QF9" i="15"/>
  <c r="QE9" i="15"/>
  <c r="QD9" i="15"/>
  <c r="QC9" i="15"/>
  <c r="QB9" i="15"/>
  <c r="QA9" i="15"/>
  <c r="PY9" i="15"/>
  <c r="PX9" i="15"/>
  <c r="PW9" i="15"/>
  <c r="PV9" i="15"/>
  <c r="PU9" i="15"/>
  <c r="PT9" i="15"/>
  <c r="OX9" i="15"/>
  <c r="OW9" i="15"/>
  <c r="OV9" i="15"/>
  <c r="OU9" i="15"/>
  <c r="OT9" i="15"/>
  <c r="OS9" i="15"/>
  <c r="OQ9" i="15"/>
  <c r="OP9" i="15"/>
  <c r="OO9" i="15"/>
  <c r="ON9" i="15"/>
  <c r="OM9" i="15"/>
  <c r="OL9" i="15"/>
  <c r="NP9" i="15"/>
  <c r="NO9" i="15"/>
  <c r="NN9" i="15"/>
  <c r="NM9" i="15"/>
  <c r="NL9" i="15"/>
  <c r="NK9" i="15"/>
  <c r="NI9" i="15"/>
  <c r="NH9" i="15"/>
  <c r="NG9" i="15"/>
  <c r="NF9" i="15"/>
  <c r="NE9" i="15"/>
  <c r="ND9" i="15"/>
  <c r="MH9" i="15"/>
  <c r="MG9" i="15"/>
  <c r="MF9" i="15"/>
  <c r="ME9" i="15"/>
  <c r="MD9" i="15"/>
  <c r="MC9" i="15"/>
  <c r="MA9" i="15"/>
  <c r="LZ9" i="15"/>
  <c r="LY9" i="15"/>
  <c r="LX9" i="15"/>
  <c r="MB9" i="15" s="1"/>
  <c r="LW9" i="15"/>
  <c r="LV9" i="15"/>
  <c r="KZ9" i="15"/>
  <c r="KY9" i="15"/>
  <c r="KX9" i="15"/>
  <c r="KW9" i="15"/>
  <c r="KV9" i="15"/>
  <c r="KU9" i="15"/>
  <c r="KS9" i="15"/>
  <c r="KR9" i="15"/>
  <c r="KQ9" i="15"/>
  <c r="KP9" i="15"/>
  <c r="KO9" i="15"/>
  <c r="KN9" i="15"/>
  <c r="JR9" i="15"/>
  <c r="JQ9" i="15"/>
  <c r="JP9" i="15"/>
  <c r="JO9" i="15"/>
  <c r="JN9" i="15"/>
  <c r="JM9" i="15"/>
  <c r="JK9" i="15"/>
  <c r="JJ9" i="15"/>
  <c r="JI9" i="15"/>
  <c r="JH9" i="15"/>
  <c r="JG9" i="15"/>
  <c r="JF9" i="15"/>
  <c r="IJ9" i="15"/>
  <c r="II9" i="15"/>
  <c r="IH9" i="15"/>
  <c r="IG9" i="15"/>
  <c r="IF9" i="15"/>
  <c r="IE9" i="15"/>
  <c r="IC9" i="15"/>
  <c r="IB9" i="15"/>
  <c r="IA9" i="15"/>
  <c r="HZ9" i="15"/>
  <c r="HY9" i="15"/>
  <c r="HX9" i="15"/>
  <c r="HB9" i="15"/>
  <c r="HA9" i="15"/>
  <c r="GZ9" i="15"/>
  <c r="GY9" i="15"/>
  <c r="GX9" i="15"/>
  <c r="GW9" i="15"/>
  <c r="GU9" i="15"/>
  <c r="GT9" i="15"/>
  <c r="GS9" i="15"/>
  <c r="GR9" i="15"/>
  <c r="GV9" i="15" s="1"/>
  <c r="GQ9" i="15"/>
  <c r="GP9" i="15"/>
  <c r="FT9" i="15"/>
  <c r="FS9" i="15"/>
  <c r="FR9" i="15"/>
  <c r="FQ9" i="15"/>
  <c r="FP9" i="15"/>
  <c r="FO9" i="15"/>
  <c r="FM9" i="15"/>
  <c r="FL9" i="15"/>
  <c r="FK9" i="15"/>
  <c r="FJ9" i="15"/>
  <c r="FI9" i="15"/>
  <c r="FH9" i="15"/>
  <c r="EL9" i="15"/>
  <c r="EK9" i="15"/>
  <c r="EJ9" i="15"/>
  <c r="EI9" i="15"/>
  <c r="EH9" i="15"/>
  <c r="EG9" i="15"/>
  <c r="EE9" i="15"/>
  <c r="ED9" i="15"/>
  <c r="EC9" i="15"/>
  <c r="EB9" i="15"/>
  <c r="EF9" i="15" s="1"/>
  <c r="EA9" i="15"/>
  <c r="DZ9" i="15"/>
  <c r="CZ9" i="15"/>
  <c r="CY9" i="15"/>
  <c r="CX9" i="15"/>
  <c r="CV9" i="15"/>
  <c r="CU9" i="15"/>
  <c r="CT9" i="15"/>
  <c r="CS9" i="15"/>
  <c r="CR9" i="15"/>
  <c r="CQ9" i="15"/>
  <c r="TL10" i="15"/>
  <c r="TK10" i="15"/>
  <c r="TV10" i="15" s="1"/>
  <c r="TJ10" i="15"/>
  <c r="TU10" i="15" s="1"/>
  <c r="TI10" i="15"/>
  <c r="TH10" i="15"/>
  <c r="TG10" i="15"/>
  <c r="TF10" i="15"/>
  <c r="TR10" i="15" s="1"/>
  <c r="TE10" i="15"/>
  <c r="TQ10" i="15" s="1"/>
  <c r="TD10" i="15"/>
  <c r="TC10" i="15"/>
  <c r="TB10" i="15"/>
  <c r="TA10" i="15"/>
  <c r="TO10" i="15" s="1"/>
  <c r="SZ10" i="15"/>
  <c r="TN10" i="15" s="1"/>
  <c r="SY10" i="15"/>
  <c r="SX10" i="15"/>
  <c r="SV10" i="15"/>
  <c r="SU10" i="15"/>
  <c r="ST10" i="15"/>
  <c r="SS10" i="15"/>
  <c r="SR10" i="15"/>
  <c r="SQ10" i="15"/>
  <c r="SO10" i="15"/>
  <c r="SN10" i="15"/>
  <c r="SM10" i="15"/>
  <c r="SL10" i="15"/>
  <c r="SK10" i="15"/>
  <c r="SJ10" i="15"/>
  <c r="RN10" i="15"/>
  <c r="RM10" i="15"/>
  <c r="RL10" i="15"/>
  <c r="RK10" i="15"/>
  <c r="RJ10" i="15"/>
  <c r="RI10" i="15"/>
  <c r="RG10" i="15"/>
  <c r="RF10" i="15"/>
  <c r="RE10" i="15"/>
  <c r="RD10" i="15"/>
  <c r="RC10" i="15"/>
  <c r="RB10" i="15"/>
  <c r="QF10" i="15"/>
  <c r="QE10" i="15"/>
  <c r="QD10" i="15"/>
  <c r="QC10" i="15"/>
  <c r="QB10" i="15"/>
  <c r="QA10" i="15"/>
  <c r="PY10" i="15"/>
  <c r="PX10" i="15"/>
  <c r="PW10" i="15"/>
  <c r="PV10" i="15"/>
  <c r="PU10" i="15"/>
  <c r="PT10" i="15"/>
  <c r="OX10" i="15"/>
  <c r="OW10" i="15"/>
  <c r="OV10" i="15"/>
  <c r="OU10" i="15"/>
  <c r="OT10" i="15"/>
  <c r="OS10" i="15"/>
  <c r="OQ10" i="15"/>
  <c r="OP10" i="15"/>
  <c r="OO10" i="15"/>
  <c r="ON10" i="15"/>
  <c r="OM10" i="15"/>
  <c r="OL10" i="15"/>
  <c r="NP10" i="15"/>
  <c r="NO10" i="15"/>
  <c r="NN10" i="15"/>
  <c r="NM10" i="15"/>
  <c r="NL10" i="15"/>
  <c r="NK10" i="15"/>
  <c r="NI10" i="15"/>
  <c r="NH10" i="15"/>
  <c r="NG10" i="15"/>
  <c r="NF10" i="15"/>
  <c r="NE10" i="15"/>
  <c r="ND10" i="15"/>
  <c r="MH10" i="15"/>
  <c r="MG10" i="15"/>
  <c r="MF10" i="15"/>
  <c r="ME10" i="15"/>
  <c r="MD10" i="15"/>
  <c r="MC10" i="15"/>
  <c r="MA10" i="15"/>
  <c r="LZ10" i="15"/>
  <c r="LY10" i="15"/>
  <c r="LX10" i="15"/>
  <c r="LW10" i="15"/>
  <c r="LV10" i="15"/>
  <c r="KZ10" i="15"/>
  <c r="KY10" i="15"/>
  <c r="KX10" i="15"/>
  <c r="KW10" i="15"/>
  <c r="KV10" i="15"/>
  <c r="KU10" i="15"/>
  <c r="KS10" i="15"/>
  <c r="KR10" i="15"/>
  <c r="KQ10" i="15"/>
  <c r="KP10" i="15"/>
  <c r="KO10" i="15"/>
  <c r="KN10" i="15"/>
  <c r="JR10" i="15"/>
  <c r="JQ10" i="15"/>
  <c r="JP10" i="15"/>
  <c r="JO10" i="15"/>
  <c r="JN10" i="15"/>
  <c r="JM10" i="15"/>
  <c r="JK10" i="15"/>
  <c r="JJ10" i="15"/>
  <c r="JI10" i="15"/>
  <c r="JH10" i="15"/>
  <c r="JG10" i="15"/>
  <c r="JF10" i="15"/>
  <c r="IJ10" i="15"/>
  <c r="II10" i="15"/>
  <c r="IH10" i="15"/>
  <c r="IG10" i="15"/>
  <c r="IF10" i="15"/>
  <c r="IE10" i="15"/>
  <c r="IC10" i="15"/>
  <c r="IB10" i="15"/>
  <c r="IA10" i="15"/>
  <c r="HZ10" i="15"/>
  <c r="HY10" i="15"/>
  <c r="HX10" i="15"/>
  <c r="HB10" i="15"/>
  <c r="HA10" i="15"/>
  <c r="GZ10" i="15"/>
  <c r="GY10" i="15"/>
  <c r="GX10" i="15"/>
  <c r="GW10" i="15"/>
  <c r="GU10" i="15"/>
  <c r="GT10" i="15"/>
  <c r="GS10" i="15"/>
  <c r="GR10" i="15"/>
  <c r="GQ10" i="15"/>
  <c r="GP10" i="15"/>
  <c r="FT10" i="15"/>
  <c r="FS10" i="15"/>
  <c r="FR10" i="15"/>
  <c r="FQ10" i="15"/>
  <c r="FP10" i="15"/>
  <c r="FO10" i="15"/>
  <c r="FM10" i="15"/>
  <c r="FL10" i="15"/>
  <c r="FK10" i="15"/>
  <c r="FJ10" i="15"/>
  <c r="FI10" i="15"/>
  <c r="FH10" i="15"/>
  <c r="EL10" i="15"/>
  <c r="EK10" i="15"/>
  <c r="EJ10" i="15"/>
  <c r="EI10" i="15"/>
  <c r="EH10" i="15"/>
  <c r="EG10" i="15"/>
  <c r="EE10" i="15"/>
  <c r="ED10" i="15"/>
  <c r="EC10" i="15"/>
  <c r="EB10" i="15"/>
  <c r="EA10" i="15"/>
  <c r="DZ10" i="15"/>
  <c r="CZ10" i="15"/>
  <c r="CY10" i="15"/>
  <c r="CX10" i="15"/>
  <c r="CV10" i="15"/>
  <c r="CU10" i="15"/>
  <c r="CT10" i="15"/>
  <c r="CS10" i="15"/>
  <c r="CR10" i="15"/>
  <c r="CQ10" i="15"/>
  <c r="TL12" i="15"/>
  <c r="TK12" i="15"/>
  <c r="TV12" i="15" s="1"/>
  <c r="TJ12" i="15"/>
  <c r="TU12" i="15" s="1"/>
  <c r="TI12" i="15"/>
  <c r="TH12" i="15"/>
  <c r="TG12" i="15"/>
  <c r="TF12" i="15"/>
  <c r="TR12" i="15" s="1"/>
  <c r="TE12" i="15"/>
  <c r="TQ12" i="15" s="1"/>
  <c r="TD12" i="15"/>
  <c r="TC12" i="15"/>
  <c r="TB12" i="15"/>
  <c r="TA12" i="15"/>
  <c r="TO12" i="15" s="1"/>
  <c r="SZ12" i="15"/>
  <c r="TN12" i="15" s="1"/>
  <c r="SY12" i="15"/>
  <c r="SX12" i="15"/>
  <c r="SV12" i="15"/>
  <c r="SU12" i="15"/>
  <c r="ST12" i="15"/>
  <c r="SS12" i="15"/>
  <c r="SR12" i="15"/>
  <c r="SQ12" i="15"/>
  <c r="SO12" i="15"/>
  <c r="SN12" i="15"/>
  <c r="SM12" i="15"/>
  <c r="SL12" i="15"/>
  <c r="SK12" i="15"/>
  <c r="SJ12" i="15"/>
  <c r="RN12" i="15"/>
  <c r="RM12" i="15"/>
  <c r="RL12" i="15"/>
  <c r="RK12" i="15"/>
  <c r="RJ12" i="15"/>
  <c r="RI12" i="15"/>
  <c r="RG12" i="15"/>
  <c r="RF12" i="15"/>
  <c r="RE12" i="15"/>
  <c r="RD12" i="15"/>
  <c r="RC12" i="15"/>
  <c r="RB12" i="15"/>
  <c r="QF12" i="15"/>
  <c r="QE12" i="15"/>
  <c r="QD12" i="15"/>
  <c r="QC12" i="15"/>
  <c r="QB12" i="15"/>
  <c r="QA12" i="15"/>
  <c r="PY12" i="15"/>
  <c r="PX12" i="15"/>
  <c r="PW12" i="15"/>
  <c r="PV12" i="15"/>
  <c r="PU12" i="15"/>
  <c r="PT12" i="15"/>
  <c r="OX12" i="15"/>
  <c r="OW12" i="15"/>
  <c r="OV12" i="15"/>
  <c r="OU12" i="15"/>
  <c r="OT12" i="15"/>
  <c r="OS12" i="15"/>
  <c r="OQ12" i="15"/>
  <c r="OP12" i="15"/>
  <c r="OO12" i="15"/>
  <c r="ON12" i="15"/>
  <c r="OM12" i="15"/>
  <c r="OL12" i="15"/>
  <c r="NP12" i="15"/>
  <c r="NO12" i="15"/>
  <c r="NN12" i="15"/>
  <c r="NM12" i="15"/>
  <c r="NL12" i="15"/>
  <c r="NK12" i="15"/>
  <c r="NI12" i="15"/>
  <c r="NH12" i="15"/>
  <c r="NG12" i="15"/>
  <c r="NF12" i="15"/>
  <c r="NE12" i="15"/>
  <c r="ND12" i="15"/>
  <c r="MH12" i="15"/>
  <c r="MG12" i="15"/>
  <c r="MF12" i="15"/>
  <c r="ME12" i="15"/>
  <c r="MD12" i="15"/>
  <c r="MC12" i="15"/>
  <c r="MA12" i="15"/>
  <c r="LZ12" i="15"/>
  <c r="LY12" i="15"/>
  <c r="LX12" i="15"/>
  <c r="LW12" i="15"/>
  <c r="LV12" i="15"/>
  <c r="KZ12" i="15"/>
  <c r="KY12" i="15"/>
  <c r="KX12" i="15"/>
  <c r="KW12" i="15"/>
  <c r="KV12" i="15"/>
  <c r="KU12" i="15"/>
  <c r="KS12" i="15"/>
  <c r="KR12" i="15"/>
  <c r="KQ12" i="15"/>
  <c r="KP12" i="15"/>
  <c r="KO12" i="15"/>
  <c r="KN12" i="15"/>
  <c r="JR12" i="15"/>
  <c r="JQ12" i="15"/>
  <c r="JP12" i="15"/>
  <c r="JO12" i="15"/>
  <c r="JN12" i="15"/>
  <c r="JM12" i="15"/>
  <c r="JK12" i="15"/>
  <c r="JJ12" i="15"/>
  <c r="JI12" i="15"/>
  <c r="JH12" i="15"/>
  <c r="JG12" i="15"/>
  <c r="JF12" i="15"/>
  <c r="IJ12" i="15"/>
  <c r="II12" i="15"/>
  <c r="IH12" i="15"/>
  <c r="IG12" i="15"/>
  <c r="IF12" i="15"/>
  <c r="IE12" i="15"/>
  <c r="IC12" i="15"/>
  <c r="IB12" i="15"/>
  <c r="IA12" i="15"/>
  <c r="HZ12" i="15"/>
  <c r="HY12" i="15"/>
  <c r="HX12" i="15"/>
  <c r="HB12" i="15"/>
  <c r="HA12" i="15"/>
  <c r="GZ12" i="15"/>
  <c r="GY12" i="15"/>
  <c r="GX12" i="15"/>
  <c r="GW12" i="15"/>
  <c r="GU12" i="15"/>
  <c r="GT12" i="15"/>
  <c r="GS12" i="15"/>
  <c r="GR12" i="15"/>
  <c r="GQ12" i="15"/>
  <c r="GP12" i="15"/>
  <c r="FT12" i="15"/>
  <c r="FS12" i="15"/>
  <c r="FR12" i="15"/>
  <c r="FQ12" i="15"/>
  <c r="FP12" i="15"/>
  <c r="FO12" i="15"/>
  <c r="FM12" i="15"/>
  <c r="FL12" i="15"/>
  <c r="FK12" i="15"/>
  <c r="FJ12" i="15"/>
  <c r="FI12" i="15"/>
  <c r="FH12" i="15"/>
  <c r="EL12" i="15"/>
  <c r="EK12" i="15"/>
  <c r="EJ12" i="15"/>
  <c r="EI12" i="15"/>
  <c r="EH12" i="15"/>
  <c r="EG12" i="15"/>
  <c r="EE12" i="15"/>
  <c r="ED12" i="15"/>
  <c r="EC12" i="15"/>
  <c r="EB12" i="15"/>
  <c r="EA12" i="15"/>
  <c r="DZ12" i="15"/>
  <c r="CZ12" i="15"/>
  <c r="CY12" i="15"/>
  <c r="CX12" i="15"/>
  <c r="CV12" i="15"/>
  <c r="CU12" i="15"/>
  <c r="CT12" i="15"/>
  <c r="CS12" i="15"/>
  <c r="CW12" i="15" s="1"/>
  <c r="CR12" i="15"/>
  <c r="CQ12" i="15"/>
  <c r="TL8" i="15"/>
  <c r="TK8" i="15"/>
  <c r="TV8" i="15" s="1"/>
  <c r="TJ8" i="15"/>
  <c r="TU8" i="15" s="1"/>
  <c r="TI8" i="15"/>
  <c r="TH8" i="15"/>
  <c r="TG8" i="15"/>
  <c r="TF8" i="15"/>
  <c r="TR8" i="15" s="1"/>
  <c r="TE8" i="15"/>
  <c r="TQ8" i="15" s="1"/>
  <c r="TD8" i="15"/>
  <c r="TC8" i="15"/>
  <c r="TB8" i="15"/>
  <c r="TA8" i="15"/>
  <c r="TO8" i="15" s="1"/>
  <c r="SZ8" i="15"/>
  <c r="TN8" i="15" s="1"/>
  <c r="SY8" i="15"/>
  <c r="SX8" i="15"/>
  <c r="SV8" i="15"/>
  <c r="SU8" i="15"/>
  <c r="ST8" i="15"/>
  <c r="SS8" i="15"/>
  <c r="SR8" i="15"/>
  <c r="SQ8" i="15"/>
  <c r="SO8" i="15"/>
  <c r="SN8" i="15"/>
  <c r="SM8" i="15"/>
  <c r="SL8" i="15"/>
  <c r="SK8" i="15"/>
  <c r="SJ8" i="15"/>
  <c r="RN8" i="15"/>
  <c r="RM8" i="15"/>
  <c r="RL8" i="15"/>
  <c r="RK8" i="15"/>
  <c r="RJ8" i="15"/>
  <c r="RI8" i="15"/>
  <c r="RG8" i="15"/>
  <c r="RF8" i="15"/>
  <c r="RE8" i="15"/>
  <c r="RD8" i="15"/>
  <c r="RC8" i="15"/>
  <c r="RB8" i="15"/>
  <c r="QF8" i="15"/>
  <c r="QE8" i="15"/>
  <c r="QD8" i="15"/>
  <c r="QC8" i="15"/>
  <c r="QB8" i="15"/>
  <c r="QA8" i="15"/>
  <c r="PY8" i="15"/>
  <c r="PX8" i="15"/>
  <c r="PW8" i="15"/>
  <c r="PV8" i="15"/>
  <c r="PU8" i="15"/>
  <c r="PT8" i="15"/>
  <c r="OX8" i="15"/>
  <c r="OW8" i="15"/>
  <c r="OV8" i="15"/>
  <c r="OU8" i="15"/>
  <c r="OT8" i="15"/>
  <c r="OS8" i="15"/>
  <c r="OQ8" i="15"/>
  <c r="OP8" i="15"/>
  <c r="OO8" i="15"/>
  <c r="ON8" i="15"/>
  <c r="OM8" i="15"/>
  <c r="OL8" i="15"/>
  <c r="NP8" i="15"/>
  <c r="NO8" i="15"/>
  <c r="NN8" i="15"/>
  <c r="NM8" i="15"/>
  <c r="NL8" i="15"/>
  <c r="NK8" i="15"/>
  <c r="NI8" i="15"/>
  <c r="NH8" i="15"/>
  <c r="NG8" i="15"/>
  <c r="NF8" i="15"/>
  <c r="NE8" i="15"/>
  <c r="ND8" i="15"/>
  <c r="MH8" i="15"/>
  <c r="MG8" i="15"/>
  <c r="MF8" i="15"/>
  <c r="ME8" i="15"/>
  <c r="MD8" i="15"/>
  <c r="MC8" i="15"/>
  <c r="MA8" i="15"/>
  <c r="LZ8" i="15"/>
  <c r="LY8" i="15"/>
  <c r="LX8" i="15"/>
  <c r="LW8" i="15"/>
  <c r="LV8" i="15"/>
  <c r="KZ8" i="15"/>
  <c r="KY8" i="15"/>
  <c r="KX8" i="15"/>
  <c r="KW8" i="15"/>
  <c r="KV8" i="15"/>
  <c r="KU8" i="15"/>
  <c r="KS8" i="15"/>
  <c r="KR8" i="15"/>
  <c r="KQ8" i="15"/>
  <c r="KP8" i="15"/>
  <c r="KO8" i="15"/>
  <c r="KN8" i="15"/>
  <c r="JR8" i="15"/>
  <c r="JQ8" i="15"/>
  <c r="JP8" i="15"/>
  <c r="JO8" i="15"/>
  <c r="JN8" i="15"/>
  <c r="JM8" i="15"/>
  <c r="JK8" i="15"/>
  <c r="JJ8" i="15"/>
  <c r="JI8" i="15"/>
  <c r="JH8" i="15"/>
  <c r="JG8" i="15"/>
  <c r="JF8" i="15"/>
  <c r="IJ8" i="15"/>
  <c r="II8" i="15"/>
  <c r="IH8" i="15"/>
  <c r="IG8" i="15"/>
  <c r="IF8" i="15"/>
  <c r="IE8" i="15"/>
  <c r="IC8" i="15"/>
  <c r="IB8" i="15"/>
  <c r="IA8" i="15"/>
  <c r="HZ8" i="15"/>
  <c r="HY8" i="15"/>
  <c r="HX8" i="15"/>
  <c r="HB8" i="15"/>
  <c r="HA8" i="15"/>
  <c r="GZ8" i="15"/>
  <c r="GY8" i="15"/>
  <c r="GX8" i="15"/>
  <c r="GW8" i="15"/>
  <c r="GU8" i="15"/>
  <c r="GT8" i="15"/>
  <c r="GS8" i="15"/>
  <c r="GR8" i="15"/>
  <c r="GQ8" i="15"/>
  <c r="GP8" i="15"/>
  <c r="FT8" i="15"/>
  <c r="FS8" i="15"/>
  <c r="FR8" i="15"/>
  <c r="FQ8" i="15"/>
  <c r="FP8" i="15"/>
  <c r="FO8" i="15"/>
  <c r="FM8" i="15"/>
  <c r="FL8" i="15"/>
  <c r="FK8" i="15"/>
  <c r="FJ8" i="15"/>
  <c r="FI8" i="15"/>
  <c r="FH8" i="15"/>
  <c r="EL8" i="15"/>
  <c r="EK8" i="15"/>
  <c r="EJ8" i="15"/>
  <c r="EI8" i="15"/>
  <c r="EH8" i="15"/>
  <c r="EG8" i="15"/>
  <c r="EE8" i="15"/>
  <c r="ED8" i="15"/>
  <c r="EC8" i="15"/>
  <c r="EB8" i="15"/>
  <c r="EA8" i="15"/>
  <c r="DZ8" i="15"/>
  <c r="CZ8" i="15"/>
  <c r="CY8" i="15"/>
  <c r="CX8" i="15"/>
  <c r="CV8" i="15"/>
  <c r="CU8" i="15"/>
  <c r="CT8" i="15"/>
  <c r="CS8" i="15"/>
  <c r="CR8" i="15"/>
  <c r="CQ8" i="15"/>
  <c r="TL7" i="15"/>
  <c r="TK7" i="15"/>
  <c r="TV7" i="15" s="1"/>
  <c r="TJ7" i="15"/>
  <c r="TU7" i="15" s="1"/>
  <c r="TI7" i="15"/>
  <c r="TH7" i="15"/>
  <c r="TG7" i="15"/>
  <c r="TF7" i="15"/>
  <c r="TR7" i="15" s="1"/>
  <c r="TE7" i="15"/>
  <c r="TQ7" i="15" s="1"/>
  <c r="TD7" i="15"/>
  <c r="TC7" i="15"/>
  <c r="TB7" i="15"/>
  <c r="TA7" i="15"/>
  <c r="TO7" i="15" s="1"/>
  <c r="SZ7" i="15"/>
  <c r="TN7" i="15" s="1"/>
  <c r="SY7" i="15"/>
  <c r="SX7" i="15"/>
  <c r="SV7" i="15"/>
  <c r="SU7" i="15"/>
  <c r="ST7" i="15"/>
  <c r="SS7" i="15"/>
  <c r="SR7" i="15"/>
  <c r="SQ7" i="15"/>
  <c r="SO7" i="15"/>
  <c r="SN7" i="15"/>
  <c r="SM7" i="15"/>
  <c r="SL7" i="15"/>
  <c r="SK7" i="15"/>
  <c r="SJ7" i="15"/>
  <c r="RN7" i="15"/>
  <c r="RM7" i="15"/>
  <c r="RL7" i="15"/>
  <c r="RK7" i="15"/>
  <c r="RJ7" i="15"/>
  <c r="RI7" i="15"/>
  <c r="RG7" i="15"/>
  <c r="RF7" i="15"/>
  <c r="RE7" i="15"/>
  <c r="RD7" i="15"/>
  <c r="RC7" i="15"/>
  <c r="RB7" i="15"/>
  <c r="QF7" i="15"/>
  <c r="QE7" i="15"/>
  <c r="QD7" i="15"/>
  <c r="QC7" i="15"/>
  <c r="QB7" i="15"/>
  <c r="QA7" i="15"/>
  <c r="PY7" i="15"/>
  <c r="PX7" i="15"/>
  <c r="PW7" i="15"/>
  <c r="PV7" i="15"/>
  <c r="PU7" i="15"/>
  <c r="PT7" i="15"/>
  <c r="OX7" i="15"/>
  <c r="OW7" i="15"/>
  <c r="OV7" i="15"/>
  <c r="OU7" i="15"/>
  <c r="OT7" i="15"/>
  <c r="OS7" i="15"/>
  <c r="OQ7" i="15"/>
  <c r="OP7" i="15"/>
  <c r="OO7" i="15"/>
  <c r="ON7" i="15"/>
  <c r="OM7" i="15"/>
  <c r="OL7" i="15"/>
  <c r="NP7" i="15"/>
  <c r="NO7" i="15"/>
  <c r="NN7" i="15"/>
  <c r="NM7" i="15"/>
  <c r="NL7" i="15"/>
  <c r="NK7" i="15"/>
  <c r="NI7" i="15"/>
  <c r="NH7" i="15"/>
  <c r="NG7" i="15"/>
  <c r="NF7" i="15"/>
  <c r="NE7" i="15"/>
  <c r="ND7" i="15"/>
  <c r="MH7" i="15"/>
  <c r="MG7" i="15"/>
  <c r="MF7" i="15"/>
  <c r="ME7" i="15"/>
  <c r="MD7" i="15"/>
  <c r="MC7" i="15"/>
  <c r="MA7" i="15"/>
  <c r="LZ7" i="15"/>
  <c r="LY7" i="15"/>
  <c r="LX7" i="15"/>
  <c r="LW7" i="15"/>
  <c r="LV7" i="15"/>
  <c r="KZ7" i="15"/>
  <c r="KY7" i="15"/>
  <c r="KX7" i="15"/>
  <c r="KW7" i="15"/>
  <c r="KV7" i="15"/>
  <c r="KU7" i="15"/>
  <c r="KS7" i="15"/>
  <c r="KR7" i="15"/>
  <c r="KQ7" i="15"/>
  <c r="KP7" i="15"/>
  <c r="KO7" i="15"/>
  <c r="KN7" i="15"/>
  <c r="JR7" i="15"/>
  <c r="JQ7" i="15"/>
  <c r="JP7" i="15"/>
  <c r="JO7" i="15"/>
  <c r="JN7" i="15"/>
  <c r="JM7" i="15"/>
  <c r="JK7" i="15"/>
  <c r="JJ7" i="15"/>
  <c r="JI7" i="15"/>
  <c r="JH7" i="15"/>
  <c r="JG7" i="15"/>
  <c r="JF7" i="15"/>
  <c r="IJ7" i="15"/>
  <c r="II7" i="15"/>
  <c r="IH7" i="15"/>
  <c r="IG7" i="15"/>
  <c r="IF7" i="15"/>
  <c r="IE7" i="15"/>
  <c r="IC7" i="15"/>
  <c r="IB7" i="15"/>
  <c r="IA7" i="15"/>
  <c r="HZ7" i="15"/>
  <c r="HY7" i="15"/>
  <c r="HX7" i="15"/>
  <c r="HB7" i="15"/>
  <c r="HA7" i="15"/>
  <c r="GZ7" i="15"/>
  <c r="GY7" i="15"/>
  <c r="GX7" i="15"/>
  <c r="GW7" i="15"/>
  <c r="GU7" i="15"/>
  <c r="GT7" i="15"/>
  <c r="GS7" i="15"/>
  <c r="GR7" i="15"/>
  <c r="GQ7" i="15"/>
  <c r="GP7" i="15"/>
  <c r="FT7" i="15"/>
  <c r="FS7" i="15"/>
  <c r="FR7" i="15"/>
  <c r="FQ7" i="15"/>
  <c r="FP7" i="15"/>
  <c r="FO7" i="15"/>
  <c r="FM7" i="15"/>
  <c r="FL7" i="15"/>
  <c r="FK7" i="15"/>
  <c r="FJ7" i="15"/>
  <c r="FI7" i="15"/>
  <c r="FH7" i="15"/>
  <c r="EL7" i="15"/>
  <c r="EK7" i="15"/>
  <c r="EJ7" i="15"/>
  <c r="EI7" i="15"/>
  <c r="EH7" i="15"/>
  <c r="EG7" i="15"/>
  <c r="EE7" i="15"/>
  <c r="ED7" i="15"/>
  <c r="EC7" i="15"/>
  <c r="EB7" i="15"/>
  <c r="EA7" i="15"/>
  <c r="DZ7" i="15"/>
  <c r="CZ7" i="15"/>
  <c r="CY7" i="15"/>
  <c r="CX7" i="15"/>
  <c r="CV7" i="15"/>
  <c r="CU7" i="15"/>
  <c r="CT7" i="15"/>
  <c r="CS7" i="15"/>
  <c r="CR7" i="15"/>
  <c r="CQ7" i="15"/>
  <c r="TL5" i="15"/>
  <c r="TK5" i="15"/>
  <c r="TV5" i="15" s="1"/>
  <c r="TJ5" i="15"/>
  <c r="TU5" i="15" s="1"/>
  <c r="TI5" i="15"/>
  <c r="TH5" i="15"/>
  <c r="TG5" i="15"/>
  <c r="TF5" i="15"/>
  <c r="TR5" i="15" s="1"/>
  <c r="TE5" i="15"/>
  <c r="TQ5" i="15" s="1"/>
  <c r="TD5" i="15"/>
  <c r="TC5" i="15"/>
  <c r="TB5" i="15"/>
  <c r="TA5" i="15"/>
  <c r="TO5" i="15" s="1"/>
  <c r="SZ5" i="15"/>
  <c r="TN5" i="15" s="1"/>
  <c r="SY5" i="15"/>
  <c r="SX5" i="15"/>
  <c r="SV5" i="15"/>
  <c r="SU5" i="15"/>
  <c r="ST5" i="15"/>
  <c r="SS5" i="15"/>
  <c r="SR5" i="15"/>
  <c r="SQ5" i="15"/>
  <c r="SO5" i="15"/>
  <c r="SN5" i="15"/>
  <c r="SM5" i="15"/>
  <c r="SL5" i="15"/>
  <c r="SK5" i="15"/>
  <c r="SJ5" i="15"/>
  <c r="RN5" i="15"/>
  <c r="RM5" i="15"/>
  <c r="RL5" i="15"/>
  <c r="RK5" i="15"/>
  <c r="RJ5" i="15"/>
  <c r="RI5" i="15"/>
  <c r="RG5" i="15"/>
  <c r="RF5" i="15"/>
  <c r="RE5" i="15"/>
  <c r="RD5" i="15"/>
  <c r="RC5" i="15"/>
  <c r="RB5" i="15"/>
  <c r="QF5" i="15"/>
  <c r="QE5" i="15"/>
  <c r="QD5" i="15"/>
  <c r="QC5" i="15"/>
  <c r="QB5" i="15"/>
  <c r="QA5" i="15"/>
  <c r="PY5" i="15"/>
  <c r="PX5" i="15"/>
  <c r="PW5" i="15"/>
  <c r="PV5" i="15"/>
  <c r="PU5" i="15"/>
  <c r="PT5" i="15"/>
  <c r="OX5" i="15"/>
  <c r="OW5" i="15"/>
  <c r="OV5" i="15"/>
  <c r="OU5" i="15"/>
  <c r="OT5" i="15"/>
  <c r="OS5" i="15"/>
  <c r="OQ5" i="15"/>
  <c r="OP5" i="15"/>
  <c r="OO5" i="15"/>
  <c r="ON5" i="15"/>
  <c r="OM5" i="15"/>
  <c r="OL5" i="15"/>
  <c r="NP5" i="15"/>
  <c r="NO5" i="15"/>
  <c r="NN5" i="15"/>
  <c r="NM5" i="15"/>
  <c r="NL5" i="15"/>
  <c r="NK5" i="15"/>
  <c r="NI5" i="15"/>
  <c r="NH5" i="15"/>
  <c r="NG5" i="15"/>
  <c r="NF5" i="15"/>
  <c r="NE5" i="15"/>
  <c r="ND5" i="15"/>
  <c r="MH5" i="15"/>
  <c r="MG5" i="15"/>
  <c r="MF5" i="15"/>
  <c r="ME5" i="15"/>
  <c r="MD5" i="15"/>
  <c r="MC5" i="15"/>
  <c r="MA5" i="15"/>
  <c r="LZ5" i="15"/>
  <c r="LY5" i="15"/>
  <c r="LX5" i="15"/>
  <c r="LW5" i="15"/>
  <c r="LV5" i="15"/>
  <c r="KZ5" i="15"/>
  <c r="KY5" i="15"/>
  <c r="KX5" i="15"/>
  <c r="KW5" i="15"/>
  <c r="KV5" i="15"/>
  <c r="KU5" i="15"/>
  <c r="KS5" i="15"/>
  <c r="KR5" i="15"/>
  <c r="KQ5" i="15"/>
  <c r="KP5" i="15"/>
  <c r="KO5" i="15"/>
  <c r="KN5" i="15"/>
  <c r="JR5" i="15"/>
  <c r="JQ5" i="15"/>
  <c r="JP5" i="15"/>
  <c r="JO5" i="15"/>
  <c r="JN5" i="15"/>
  <c r="JM5" i="15"/>
  <c r="JK5" i="15"/>
  <c r="JJ5" i="15"/>
  <c r="JI5" i="15"/>
  <c r="JH5" i="15"/>
  <c r="JG5" i="15"/>
  <c r="JF5" i="15"/>
  <c r="IJ5" i="15"/>
  <c r="II5" i="15"/>
  <c r="IH5" i="15"/>
  <c r="IG5" i="15"/>
  <c r="IF5" i="15"/>
  <c r="IE5" i="15"/>
  <c r="IC5" i="15"/>
  <c r="IB5" i="15"/>
  <c r="IA5" i="15"/>
  <c r="HZ5" i="15"/>
  <c r="HY5" i="15"/>
  <c r="HX5" i="15"/>
  <c r="HB5" i="15"/>
  <c r="HA5" i="15"/>
  <c r="GZ5" i="15"/>
  <c r="GY5" i="15"/>
  <c r="GX5" i="15"/>
  <c r="GW5" i="15"/>
  <c r="GU5" i="15"/>
  <c r="GT5" i="15"/>
  <c r="GS5" i="15"/>
  <c r="GR5" i="15"/>
  <c r="GQ5" i="15"/>
  <c r="GP5" i="15"/>
  <c r="FT5" i="15"/>
  <c r="FS5" i="15"/>
  <c r="FR5" i="15"/>
  <c r="FQ5" i="15"/>
  <c r="FP5" i="15"/>
  <c r="FO5" i="15"/>
  <c r="FM5" i="15"/>
  <c r="FL5" i="15"/>
  <c r="FK5" i="15"/>
  <c r="FJ5" i="15"/>
  <c r="FI5" i="15"/>
  <c r="FH5" i="15"/>
  <c r="EL5" i="15"/>
  <c r="EK5" i="15"/>
  <c r="EJ5" i="15"/>
  <c r="EI5" i="15"/>
  <c r="EH5" i="15"/>
  <c r="EG5" i="15"/>
  <c r="EE5" i="15"/>
  <c r="ED5" i="15"/>
  <c r="EC5" i="15"/>
  <c r="EB5" i="15"/>
  <c r="EA5" i="15"/>
  <c r="DZ5" i="15"/>
  <c r="CZ5" i="15"/>
  <c r="CY5" i="15"/>
  <c r="CX5" i="15"/>
  <c r="CV5" i="15"/>
  <c r="CU5" i="15"/>
  <c r="CT5" i="15"/>
  <c r="CS5" i="15"/>
  <c r="CR5" i="15"/>
  <c r="CQ5" i="15"/>
  <c r="TL6" i="15"/>
  <c r="TK6" i="15"/>
  <c r="TV6" i="15" s="1"/>
  <c r="TJ6" i="15"/>
  <c r="TU6" i="15" s="1"/>
  <c r="TI6" i="15"/>
  <c r="TH6" i="15"/>
  <c r="TG6" i="15"/>
  <c r="TF6" i="15"/>
  <c r="TR6" i="15" s="1"/>
  <c r="TE6" i="15"/>
  <c r="TQ6" i="15" s="1"/>
  <c r="TD6" i="15"/>
  <c r="TC6" i="15"/>
  <c r="TB6" i="15"/>
  <c r="TA6" i="15"/>
  <c r="TO6" i="15" s="1"/>
  <c r="SZ6" i="15"/>
  <c r="TN6" i="15" s="1"/>
  <c r="SY6" i="15"/>
  <c r="SX6" i="15"/>
  <c r="SV6" i="15"/>
  <c r="SU6" i="15"/>
  <c r="ST6" i="15"/>
  <c r="SS6" i="15"/>
  <c r="SR6" i="15"/>
  <c r="SQ6" i="15"/>
  <c r="SO6" i="15"/>
  <c r="SN6" i="15"/>
  <c r="SM6" i="15"/>
  <c r="SL6" i="15"/>
  <c r="SK6" i="15"/>
  <c r="SJ6" i="15"/>
  <c r="RN6" i="15"/>
  <c r="RM6" i="15"/>
  <c r="RL6" i="15"/>
  <c r="RK6" i="15"/>
  <c r="RJ6" i="15"/>
  <c r="RI6" i="15"/>
  <c r="RG6" i="15"/>
  <c r="RF6" i="15"/>
  <c r="RE6" i="15"/>
  <c r="RD6" i="15"/>
  <c r="RC6" i="15"/>
  <c r="RB6" i="15"/>
  <c r="QF6" i="15"/>
  <c r="QE6" i="15"/>
  <c r="QD6" i="15"/>
  <c r="QC6" i="15"/>
  <c r="QB6" i="15"/>
  <c r="QA6" i="15"/>
  <c r="PY6" i="15"/>
  <c r="PX6" i="15"/>
  <c r="PW6" i="15"/>
  <c r="PV6" i="15"/>
  <c r="PU6" i="15"/>
  <c r="PT6" i="15"/>
  <c r="OX6" i="15"/>
  <c r="OW6" i="15"/>
  <c r="OV6" i="15"/>
  <c r="OU6" i="15"/>
  <c r="OT6" i="15"/>
  <c r="OS6" i="15"/>
  <c r="OQ6" i="15"/>
  <c r="OP6" i="15"/>
  <c r="OO6" i="15"/>
  <c r="ON6" i="15"/>
  <c r="OM6" i="15"/>
  <c r="OL6" i="15"/>
  <c r="NP6" i="15"/>
  <c r="NO6" i="15"/>
  <c r="NN6" i="15"/>
  <c r="NM6" i="15"/>
  <c r="NL6" i="15"/>
  <c r="NK6" i="15"/>
  <c r="NI6" i="15"/>
  <c r="NH6" i="15"/>
  <c r="NG6" i="15"/>
  <c r="NF6" i="15"/>
  <c r="NE6" i="15"/>
  <c r="ND6" i="15"/>
  <c r="MH6" i="15"/>
  <c r="MG6" i="15"/>
  <c r="MF6" i="15"/>
  <c r="ME6" i="15"/>
  <c r="MD6" i="15"/>
  <c r="MC6" i="15"/>
  <c r="MA6" i="15"/>
  <c r="LZ6" i="15"/>
  <c r="LY6" i="15"/>
  <c r="LX6" i="15"/>
  <c r="LW6" i="15"/>
  <c r="LV6" i="15"/>
  <c r="KZ6" i="15"/>
  <c r="KY6" i="15"/>
  <c r="KX6" i="15"/>
  <c r="KW6" i="15"/>
  <c r="KV6" i="15"/>
  <c r="KU6" i="15"/>
  <c r="KS6" i="15"/>
  <c r="KR6" i="15"/>
  <c r="KQ6" i="15"/>
  <c r="KP6" i="15"/>
  <c r="KO6" i="15"/>
  <c r="KN6" i="15"/>
  <c r="JR6" i="15"/>
  <c r="JQ6" i="15"/>
  <c r="JP6" i="15"/>
  <c r="JO6" i="15"/>
  <c r="JN6" i="15"/>
  <c r="JM6" i="15"/>
  <c r="JK6" i="15"/>
  <c r="JJ6" i="15"/>
  <c r="JI6" i="15"/>
  <c r="JH6" i="15"/>
  <c r="JG6" i="15"/>
  <c r="JF6" i="15"/>
  <c r="IJ6" i="15"/>
  <c r="II6" i="15"/>
  <c r="IH6" i="15"/>
  <c r="IG6" i="15"/>
  <c r="IF6" i="15"/>
  <c r="IE6" i="15"/>
  <c r="IC6" i="15"/>
  <c r="IB6" i="15"/>
  <c r="IA6" i="15"/>
  <c r="HZ6" i="15"/>
  <c r="HY6" i="15"/>
  <c r="HX6" i="15"/>
  <c r="HB6" i="15"/>
  <c r="HA6" i="15"/>
  <c r="GZ6" i="15"/>
  <c r="GY6" i="15"/>
  <c r="GX6" i="15"/>
  <c r="GW6" i="15"/>
  <c r="GU6" i="15"/>
  <c r="GT6" i="15"/>
  <c r="GS6" i="15"/>
  <c r="GR6" i="15"/>
  <c r="GQ6" i="15"/>
  <c r="GP6" i="15"/>
  <c r="FT6" i="15"/>
  <c r="FS6" i="15"/>
  <c r="FR6" i="15"/>
  <c r="FQ6" i="15"/>
  <c r="FP6" i="15"/>
  <c r="FO6" i="15"/>
  <c r="FM6" i="15"/>
  <c r="FL6" i="15"/>
  <c r="FK6" i="15"/>
  <c r="FJ6" i="15"/>
  <c r="FI6" i="15"/>
  <c r="FH6" i="15"/>
  <c r="EL6" i="15"/>
  <c r="EK6" i="15"/>
  <c r="EJ6" i="15"/>
  <c r="EI6" i="15"/>
  <c r="EH6" i="15"/>
  <c r="EG6" i="15"/>
  <c r="EE6" i="15"/>
  <c r="ED6" i="15"/>
  <c r="EC6" i="15"/>
  <c r="EB6" i="15"/>
  <c r="EA6" i="15"/>
  <c r="DZ6" i="15"/>
  <c r="CZ6" i="15"/>
  <c r="CY6" i="15"/>
  <c r="CX6" i="15"/>
  <c r="CV6" i="15"/>
  <c r="CU6" i="15"/>
  <c r="CT6" i="15"/>
  <c r="CS6" i="15"/>
  <c r="CR6" i="15"/>
  <c r="CQ6" i="15"/>
  <c r="TL4" i="15"/>
  <c r="TK4" i="15"/>
  <c r="TV4" i="15" s="1"/>
  <c r="TJ4" i="15"/>
  <c r="TU4" i="15" s="1"/>
  <c r="TI4" i="15"/>
  <c r="TH4" i="15"/>
  <c r="TG4" i="15"/>
  <c r="TF4" i="15"/>
  <c r="TR4" i="15" s="1"/>
  <c r="TE4" i="15"/>
  <c r="TQ4" i="15" s="1"/>
  <c r="TD4" i="15"/>
  <c r="TC4" i="15"/>
  <c r="TB4" i="15"/>
  <c r="TA4" i="15"/>
  <c r="TO4" i="15" s="1"/>
  <c r="SZ4" i="15"/>
  <c r="TN4" i="15" s="1"/>
  <c r="SY4" i="15"/>
  <c r="SX4" i="15"/>
  <c r="SV4" i="15"/>
  <c r="SU4" i="15"/>
  <c r="ST4" i="15"/>
  <c r="SS4" i="15"/>
  <c r="SR4" i="15"/>
  <c r="SQ4" i="15"/>
  <c r="SO4" i="15"/>
  <c r="SN4" i="15"/>
  <c r="SM4" i="15"/>
  <c r="SL4" i="15"/>
  <c r="SK4" i="15"/>
  <c r="SJ4" i="15"/>
  <c r="RN4" i="15"/>
  <c r="RM4" i="15"/>
  <c r="RL4" i="15"/>
  <c r="RK4" i="15"/>
  <c r="RJ4" i="15"/>
  <c r="RI4" i="15"/>
  <c r="RG4" i="15"/>
  <c r="RF4" i="15"/>
  <c r="RE4" i="15"/>
  <c r="RD4" i="15"/>
  <c r="RC4" i="15"/>
  <c r="RB4" i="15"/>
  <c r="QF4" i="15"/>
  <c r="QE4" i="15"/>
  <c r="QD4" i="15"/>
  <c r="QC4" i="15"/>
  <c r="QB4" i="15"/>
  <c r="QA4" i="15"/>
  <c r="PY4" i="15"/>
  <c r="PX4" i="15"/>
  <c r="PW4" i="15"/>
  <c r="PV4" i="15"/>
  <c r="PU4" i="15"/>
  <c r="PT4" i="15"/>
  <c r="OX4" i="15"/>
  <c r="OW4" i="15"/>
  <c r="OV4" i="15"/>
  <c r="OU4" i="15"/>
  <c r="OT4" i="15"/>
  <c r="OS4" i="15"/>
  <c r="OQ4" i="15"/>
  <c r="OP4" i="15"/>
  <c r="OO4" i="15"/>
  <c r="ON4" i="15"/>
  <c r="OM4" i="15"/>
  <c r="OL4" i="15"/>
  <c r="NP4" i="15"/>
  <c r="NO4" i="15"/>
  <c r="NN4" i="15"/>
  <c r="NM4" i="15"/>
  <c r="NL4" i="15"/>
  <c r="NK4" i="15"/>
  <c r="NI4" i="15"/>
  <c r="NH4" i="15"/>
  <c r="NG4" i="15"/>
  <c r="NF4" i="15"/>
  <c r="NE4" i="15"/>
  <c r="ND4" i="15"/>
  <c r="MH4" i="15"/>
  <c r="MG4" i="15"/>
  <c r="MF4" i="15"/>
  <c r="ME4" i="15"/>
  <c r="MD4" i="15"/>
  <c r="MC4" i="15"/>
  <c r="MA4" i="15"/>
  <c r="LZ4" i="15"/>
  <c r="LY4" i="15"/>
  <c r="LX4" i="15"/>
  <c r="LW4" i="15"/>
  <c r="LV4" i="15"/>
  <c r="KZ4" i="15"/>
  <c r="KY4" i="15"/>
  <c r="KX4" i="15"/>
  <c r="KW4" i="15"/>
  <c r="KV4" i="15"/>
  <c r="KU4" i="15"/>
  <c r="KS4" i="15"/>
  <c r="KR4" i="15"/>
  <c r="KQ4" i="15"/>
  <c r="KP4" i="15"/>
  <c r="KO4" i="15"/>
  <c r="KN4" i="15"/>
  <c r="JR4" i="15"/>
  <c r="JQ4" i="15"/>
  <c r="JP4" i="15"/>
  <c r="JO4" i="15"/>
  <c r="JN4" i="15"/>
  <c r="JM4" i="15"/>
  <c r="JK4" i="15"/>
  <c r="JJ4" i="15"/>
  <c r="JI4" i="15"/>
  <c r="JH4" i="15"/>
  <c r="JG4" i="15"/>
  <c r="JF4" i="15"/>
  <c r="IJ4" i="15"/>
  <c r="II4" i="15"/>
  <c r="IH4" i="15"/>
  <c r="IG4" i="15"/>
  <c r="IF4" i="15"/>
  <c r="IE4" i="15"/>
  <c r="IC4" i="15"/>
  <c r="IB4" i="15"/>
  <c r="IA4" i="15"/>
  <c r="HZ4" i="15"/>
  <c r="HY4" i="15"/>
  <c r="HX4" i="15"/>
  <c r="HB4" i="15"/>
  <c r="HA4" i="15"/>
  <c r="GZ4" i="15"/>
  <c r="GY4" i="15"/>
  <c r="GX4" i="15"/>
  <c r="GW4" i="15"/>
  <c r="GU4" i="15"/>
  <c r="GT4" i="15"/>
  <c r="GS4" i="15"/>
  <c r="GR4" i="15"/>
  <c r="GQ4" i="15"/>
  <c r="GP4" i="15"/>
  <c r="FT4" i="15"/>
  <c r="FS4" i="15"/>
  <c r="FR4" i="15"/>
  <c r="FQ4" i="15"/>
  <c r="FP4" i="15"/>
  <c r="FO4" i="15"/>
  <c r="FM4" i="15"/>
  <c r="FL4" i="15"/>
  <c r="FK4" i="15"/>
  <c r="FJ4" i="15"/>
  <c r="FI4" i="15"/>
  <c r="FH4" i="15"/>
  <c r="EL4" i="15"/>
  <c r="EK4" i="15"/>
  <c r="EJ4" i="15"/>
  <c r="EI4" i="15"/>
  <c r="EH4" i="15"/>
  <c r="EG4" i="15"/>
  <c r="EE4" i="15"/>
  <c r="ED4" i="15"/>
  <c r="EC4" i="15"/>
  <c r="EB4" i="15"/>
  <c r="EA4" i="15"/>
  <c r="DZ4" i="15"/>
  <c r="CZ4" i="15"/>
  <c r="CY4" i="15"/>
  <c r="CX4" i="15"/>
  <c r="CV4" i="15"/>
  <c r="CU4" i="15"/>
  <c r="CT4" i="15"/>
  <c r="CS4" i="15"/>
  <c r="CR4" i="15"/>
  <c r="CQ4" i="15"/>
  <c r="TL11" i="15"/>
  <c r="TK11" i="15"/>
  <c r="TV11" i="15" s="1"/>
  <c r="TJ11" i="15"/>
  <c r="TU11" i="15" s="1"/>
  <c r="TI11" i="15"/>
  <c r="TH11" i="15"/>
  <c r="TG11" i="15"/>
  <c r="TF11" i="15"/>
  <c r="TR11" i="15" s="1"/>
  <c r="TE11" i="15"/>
  <c r="TQ11" i="15" s="1"/>
  <c r="TD11" i="15"/>
  <c r="TC11" i="15"/>
  <c r="TB11" i="15"/>
  <c r="TA11" i="15"/>
  <c r="TO11" i="15" s="1"/>
  <c r="SZ11" i="15"/>
  <c r="TN11" i="15" s="1"/>
  <c r="SY11" i="15"/>
  <c r="SX11" i="15"/>
  <c r="SV11" i="15"/>
  <c r="SU11" i="15"/>
  <c r="ST11" i="15"/>
  <c r="SS11" i="15"/>
  <c r="SR11" i="15"/>
  <c r="SQ11" i="15"/>
  <c r="SO11" i="15"/>
  <c r="SN11" i="15"/>
  <c r="SM11" i="15"/>
  <c r="SL11" i="15"/>
  <c r="SK11" i="15"/>
  <c r="SJ11" i="15"/>
  <c r="RN11" i="15"/>
  <c r="RM11" i="15"/>
  <c r="RL11" i="15"/>
  <c r="RK11" i="15"/>
  <c r="RJ11" i="15"/>
  <c r="RI11" i="15"/>
  <c r="RG11" i="15"/>
  <c r="RF11" i="15"/>
  <c r="RE11" i="15"/>
  <c r="RD11" i="15"/>
  <c r="RC11" i="15"/>
  <c r="RB11" i="15"/>
  <c r="QF11" i="15"/>
  <c r="QE11" i="15"/>
  <c r="QD11" i="15"/>
  <c r="QC11" i="15"/>
  <c r="QB11" i="15"/>
  <c r="QA11" i="15"/>
  <c r="PY11" i="15"/>
  <c r="PX11" i="15"/>
  <c r="PW11" i="15"/>
  <c r="PV11" i="15"/>
  <c r="PU11" i="15"/>
  <c r="PT11" i="15"/>
  <c r="OX11" i="15"/>
  <c r="OW11" i="15"/>
  <c r="OV11" i="15"/>
  <c r="OU11" i="15"/>
  <c r="OT11" i="15"/>
  <c r="OS11" i="15"/>
  <c r="OQ11" i="15"/>
  <c r="OP11" i="15"/>
  <c r="OO11" i="15"/>
  <c r="ON11" i="15"/>
  <c r="OM11" i="15"/>
  <c r="OL11" i="15"/>
  <c r="NP11" i="15"/>
  <c r="NO11" i="15"/>
  <c r="NN11" i="15"/>
  <c r="NM11" i="15"/>
  <c r="NL11" i="15"/>
  <c r="NK11" i="15"/>
  <c r="NI11" i="15"/>
  <c r="NH11" i="15"/>
  <c r="NG11" i="15"/>
  <c r="NF11" i="15"/>
  <c r="NE11" i="15"/>
  <c r="ND11" i="15"/>
  <c r="MH11" i="15"/>
  <c r="MG11" i="15"/>
  <c r="MF11" i="15"/>
  <c r="ME11" i="15"/>
  <c r="MD11" i="15"/>
  <c r="MC11" i="15"/>
  <c r="MA11" i="15"/>
  <c r="LZ11" i="15"/>
  <c r="LY11" i="15"/>
  <c r="LX11" i="15"/>
  <c r="LW11" i="15"/>
  <c r="LV11" i="15"/>
  <c r="KZ11" i="15"/>
  <c r="KY11" i="15"/>
  <c r="KX11" i="15"/>
  <c r="KW11" i="15"/>
  <c r="KV11" i="15"/>
  <c r="KU11" i="15"/>
  <c r="KS11" i="15"/>
  <c r="KR11" i="15"/>
  <c r="KQ11" i="15"/>
  <c r="KP11" i="15"/>
  <c r="KO11" i="15"/>
  <c r="KN11" i="15"/>
  <c r="JR11" i="15"/>
  <c r="JQ11" i="15"/>
  <c r="JP11" i="15"/>
  <c r="JO11" i="15"/>
  <c r="JN11" i="15"/>
  <c r="JM11" i="15"/>
  <c r="JK11" i="15"/>
  <c r="JJ11" i="15"/>
  <c r="JI11" i="15"/>
  <c r="JH11" i="15"/>
  <c r="JG11" i="15"/>
  <c r="JF11" i="15"/>
  <c r="IJ11" i="15"/>
  <c r="II11" i="15"/>
  <c r="IH11" i="15"/>
  <c r="IG11" i="15"/>
  <c r="IF11" i="15"/>
  <c r="IE11" i="15"/>
  <c r="IC11" i="15"/>
  <c r="IB11" i="15"/>
  <c r="IA11" i="15"/>
  <c r="HZ11" i="15"/>
  <c r="HY11" i="15"/>
  <c r="HX11" i="15"/>
  <c r="HB11" i="15"/>
  <c r="HA11" i="15"/>
  <c r="GZ11" i="15"/>
  <c r="GY11" i="15"/>
  <c r="GX11" i="15"/>
  <c r="GW11" i="15"/>
  <c r="GU11" i="15"/>
  <c r="GT11" i="15"/>
  <c r="GS11" i="15"/>
  <c r="GR11" i="15"/>
  <c r="GQ11" i="15"/>
  <c r="GP11" i="15"/>
  <c r="FT11" i="15"/>
  <c r="FS11" i="15"/>
  <c r="FR11" i="15"/>
  <c r="FQ11" i="15"/>
  <c r="FP11" i="15"/>
  <c r="FO11" i="15"/>
  <c r="FM11" i="15"/>
  <c r="FL11" i="15"/>
  <c r="FK11" i="15"/>
  <c r="FJ11" i="15"/>
  <c r="FI11" i="15"/>
  <c r="FH11" i="15"/>
  <c r="EL11" i="15"/>
  <c r="EK11" i="15"/>
  <c r="EJ11" i="15"/>
  <c r="EI11" i="15"/>
  <c r="EH11" i="15"/>
  <c r="EG11" i="15"/>
  <c r="EE11" i="15"/>
  <c r="ED11" i="15"/>
  <c r="EC11" i="15"/>
  <c r="EB11" i="15"/>
  <c r="EA11" i="15"/>
  <c r="DZ11" i="15"/>
  <c r="CZ11" i="15"/>
  <c r="CY11" i="15"/>
  <c r="CX11" i="15"/>
  <c r="CV11" i="15"/>
  <c r="CU11" i="15"/>
  <c r="CT11" i="15"/>
  <c r="CS11" i="15"/>
  <c r="CW11" i="15" s="1"/>
  <c r="CR11" i="15"/>
  <c r="CQ11" i="15"/>
  <c r="IO16" i="19" l="1"/>
  <c r="GK16" i="19"/>
  <c r="EG16" i="19"/>
  <c r="Q4" i="19"/>
  <c r="DG4" i="19"/>
  <c r="JQ9" i="19"/>
  <c r="DB9" i="19"/>
  <c r="QC16" i="19"/>
  <c r="NY16" i="19"/>
  <c r="LU16" i="19"/>
  <c r="HM16" i="19"/>
  <c r="FI16" i="19"/>
  <c r="FI5" i="19"/>
  <c r="HM5" i="19"/>
  <c r="LU5" i="19"/>
  <c r="NY5" i="19"/>
  <c r="QC5" i="19"/>
  <c r="PA15" i="19"/>
  <c r="MW15" i="19"/>
  <c r="KS15" i="19"/>
  <c r="IO15" i="19"/>
  <c r="GK15" i="19"/>
  <c r="EG15" i="19"/>
  <c r="PA6" i="21"/>
  <c r="KS12" i="21"/>
  <c r="GK10" i="21"/>
  <c r="KS10" i="21"/>
  <c r="BX5" i="16"/>
  <c r="OR14" i="15"/>
  <c r="BT4" i="18"/>
  <c r="FL4" i="17"/>
  <c r="FS4" i="17" s="1"/>
  <c r="AU12" i="4"/>
  <c r="AY12" i="4" s="1"/>
  <c r="AU19" i="4"/>
  <c r="AY19" i="4" s="1"/>
  <c r="EF6" i="15"/>
  <c r="JL6" i="15"/>
  <c r="JS6" i="15" s="1"/>
  <c r="CB6" i="19"/>
  <c r="CB9" i="19"/>
  <c r="IO7" i="21"/>
  <c r="FI12" i="21"/>
  <c r="FI5" i="21"/>
  <c r="DB16" i="19"/>
  <c r="MW14" i="19"/>
  <c r="KS14" i="19"/>
  <c r="IO14" i="19"/>
  <c r="GK14" i="19"/>
  <c r="EG14" i="19"/>
  <c r="CB14" i="21"/>
  <c r="CB13" i="21"/>
  <c r="KS13" i="21"/>
  <c r="PA13" i="21"/>
  <c r="FI10" i="21"/>
  <c r="JQ10" i="21"/>
  <c r="NY10" i="21"/>
  <c r="AY5" i="19"/>
  <c r="AY16" i="19"/>
  <c r="AY15" i="19"/>
  <c r="CB5" i="19"/>
  <c r="AS5" i="8"/>
  <c r="AS4" i="8"/>
  <c r="AY15" i="4"/>
  <c r="AU5" i="4"/>
  <c r="AY5" i="4" s="1"/>
  <c r="BV4" i="4"/>
  <c r="BZ4" i="4" s="1"/>
  <c r="EJ6" i="21"/>
  <c r="IR6" i="21"/>
  <c r="GN4" i="21"/>
  <c r="RB10" i="21"/>
  <c r="LU6" i="21"/>
  <c r="KS7" i="21"/>
  <c r="LU12" i="21"/>
  <c r="FI9" i="21"/>
  <c r="NY9" i="21"/>
  <c r="R9" i="21"/>
  <c r="IR13" i="21"/>
  <c r="RB13" i="21"/>
  <c r="RG13" i="21"/>
  <c r="AY4" i="21"/>
  <c r="AY8" i="21"/>
  <c r="AY9" i="21"/>
  <c r="CB4" i="21"/>
  <c r="CB8" i="21"/>
  <c r="CB9" i="21"/>
  <c r="AY5" i="21"/>
  <c r="AY11" i="21"/>
  <c r="CB5" i="21"/>
  <c r="CB11" i="21"/>
  <c r="QC13" i="19"/>
  <c r="NY13" i="19"/>
  <c r="LU13" i="19"/>
  <c r="HM13" i="19"/>
  <c r="FI13" i="19"/>
  <c r="PA10" i="19"/>
  <c r="MW10" i="19"/>
  <c r="AY13" i="19"/>
  <c r="CB4" i="19"/>
  <c r="CB13" i="19"/>
  <c r="CB11" i="19"/>
  <c r="CB14" i="19"/>
  <c r="KS10" i="19"/>
  <c r="IO10" i="19"/>
  <c r="GK10" i="19"/>
  <c r="EG10" i="19"/>
  <c r="AS6" i="8"/>
  <c r="BX4" i="17"/>
  <c r="BX5" i="17"/>
  <c r="AW4" i="17"/>
  <c r="PX4" i="17"/>
  <c r="QE4" i="17" s="1"/>
  <c r="BX4" i="16"/>
  <c r="N4" i="15"/>
  <c r="O4" i="15" s="1"/>
  <c r="N14" i="15"/>
  <c r="O14" i="15" s="1"/>
  <c r="N5" i="15"/>
  <c r="O5" i="15" s="1"/>
  <c r="N7" i="15"/>
  <c r="O7" i="15" s="1"/>
  <c r="BZ11" i="15"/>
  <c r="N6" i="15"/>
  <c r="O6" i="15" s="1"/>
  <c r="N8" i="15"/>
  <c r="O8" i="15" s="1"/>
  <c r="N10" i="15"/>
  <c r="O10" i="15" s="1"/>
  <c r="N11" i="15"/>
  <c r="O11" i="15" s="1"/>
  <c r="N9" i="15"/>
  <c r="O9" i="15" s="1"/>
  <c r="N12" i="15"/>
  <c r="O12" i="15" s="1"/>
  <c r="BV21" i="4"/>
  <c r="BZ21" i="4" s="1"/>
  <c r="BV7" i="4"/>
  <c r="BZ7" i="4" s="1"/>
  <c r="BV17" i="4"/>
  <c r="BZ17" i="4" s="1"/>
  <c r="BZ20" i="4"/>
  <c r="BZ22" i="4"/>
  <c r="OR6" i="15"/>
  <c r="BV4" i="15"/>
  <c r="BZ4" i="15" s="1"/>
  <c r="BV6" i="15"/>
  <c r="BZ6" i="15" s="1"/>
  <c r="BV9" i="15"/>
  <c r="BZ9" i="15" s="1"/>
  <c r="EM9" i="15"/>
  <c r="HC9" i="15"/>
  <c r="MI9" i="15"/>
  <c r="RO9" i="15"/>
  <c r="EM14" i="15"/>
  <c r="HC14" i="15"/>
  <c r="JS14" i="15"/>
  <c r="OY14" i="15"/>
  <c r="BV14" i="15"/>
  <c r="BZ14" i="15" s="1"/>
  <c r="BV8" i="4"/>
  <c r="BZ8" i="4" s="1"/>
  <c r="BV14" i="4"/>
  <c r="BZ14" i="4" s="1"/>
  <c r="AU10" i="4"/>
  <c r="AY10" i="4" s="1"/>
  <c r="AU20" i="4"/>
  <c r="AY20" i="4" s="1"/>
  <c r="BV12" i="4"/>
  <c r="BZ12" i="4" s="1"/>
  <c r="BV19" i="4"/>
  <c r="BZ19" i="4" s="1"/>
  <c r="MZ9" i="21"/>
  <c r="PD9" i="21"/>
  <c r="QF6" i="21"/>
  <c r="AY6" i="21"/>
  <c r="AY12" i="21"/>
  <c r="AY10" i="21"/>
  <c r="CB6" i="21"/>
  <c r="CB12" i="21"/>
  <c r="CB10" i="21"/>
  <c r="HP5" i="21"/>
  <c r="JT5" i="21"/>
  <c r="LX5" i="21"/>
  <c r="AY7" i="21"/>
  <c r="AY14" i="21"/>
  <c r="AY13" i="21"/>
  <c r="CB7" i="21"/>
  <c r="JQ13" i="21"/>
  <c r="NY13" i="21"/>
  <c r="QF9" i="21"/>
  <c r="EG13" i="21"/>
  <c r="IO13" i="21"/>
  <c r="CB16" i="19"/>
  <c r="AY12" i="19"/>
  <c r="AY6" i="19"/>
  <c r="AY9" i="19"/>
  <c r="CB12" i="19"/>
  <c r="AY7" i="19"/>
  <c r="CB15" i="19"/>
  <c r="AY11" i="19"/>
  <c r="AY14" i="19"/>
  <c r="CB7" i="19"/>
  <c r="AY4" i="19"/>
  <c r="AY10" i="19"/>
  <c r="CB10" i="19"/>
  <c r="AS7" i="8"/>
  <c r="BT6" i="8"/>
  <c r="BT5" i="8"/>
  <c r="BT4" i="8"/>
  <c r="AS5" i="18"/>
  <c r="AS4" i="18"/>
  <c r="BT5" i="18"/>
  <c r="KR4" i="17"/>
  <c r="KY4" i="17" s="1"/>
  <c r="GT5" i="17"/>
  <c r="HA5" i="17" s="1"/>
  <c r="OP5" i="17"/>
  <c r="OW5" i="17" s="1"/>
  <c r="RF5" i="17"/>
  <c r="RM5" i="17" s="1"/>
  <c r="AW5" i="17"/>
  <c r="AW4" i="16"/>
  <c r="ED5" i="16"/>
  <c r="EK5" i="16" s="1"/>
  <c r="GT5" i="16"/>
  <c r="HA5" i="16" s="1"/>
  <c r="JJ5" i="16"/>
  <c r="JQ5" i="16" s="1"/>
  <c r="LZ5" i="16"/>
  <c r="MG5" i="16" s="1"/>
  <c r="OP5" i="16"/>
  <c r="OW5" i="16" s="1"/>
  <c r="AW5" i="16"/>
  <c r="F11" i="15"/>
  <c r="AU12" i="15"/>
  <c r="AY12" i="15" s="1"/>
  <c r="F4" i="15"/>
  <c r="AU10" i="15"/>
  <c r="AY10" i="15" s="1"/>
  <c r="PZ8" i="15"/>
  <c r="QG8" i="15" s="1"/>
  <c r="G11" i="15"/>
  <c r="BV5" i="15"/>
  <c r="BZ5" i="15" s="1"/>
  <c r="BV8" i="15"/>
  <c r="BZ8" i="15" s="1"/>
  <c r="AU4" i="15"/>
  <c r="AY4" i="15" s="1"/>
  <c r="AU14" i="15"/>
  <c r="AY14" i="15" s="1"/>
  <c r="BV10" i="15"/>
  <c r="BZ10" i="15" s="1"/>
  <c r="AU5" i="15"/>
  <c r="AY5" i="15" s="1"/>
  <c r="AU9" i="15"/>
  <c r="AY9" i="15" s="1"/>
  <c r="BV7" i="15"/>
  <c r="BZ7" i="15" s="1"/>
  <c r="OR10" i="15"/>
  <c r="OY10" i="15" s="1"/>
  <c r="AU7" i="15"/>
  <c r="AY7" i="15" s="1"/>
  <c r="ID7" i="15"/>
  <c r="IK7" i="15" s="1"/>
  <c r="NJ7" i="15"/>
  <c r="NQ7" i="15" s="1"/>
  <c r="SP7" i="15"/>
  <c r="SW7" i="15" s="1"/>
  <c r="AU8" i="15"/>
  <c r="AY8" i="15" s="1"/>
  <c r="BV12" i="15"/>
  <c r="BZ12" i="15" s="1"/>
  <c r="I11" i="15"/>
  <c r="AU11" i="15"/>
  <c r="AY11" i="15" s="1"/>
  <c r="AU6" i="15"/>
  <c r="AY6" i="15" s="1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9" i="4"/>
  <c r="BZ9" i="4" s="1"/>
  <c r="BZ10" i="4"/>
  <c r="AU9" i="4"/>
  <c r="AY9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9" i="21"/>
  <c r="RG10" i="21"/>
  <c r="DB12" i="21"/>
  <c r="BY6" i="21"/>
  <c r="BY5" i="21"/>
  <c r="BY4" i="21"/>
  <c r="BY7" i="21"/>
  <c r="BY12" i="21"/>
  <c r="BY11" i="21"/>
  <c r="BY8" i="21"/>
  <c r="BY14" i="21"/>
  <c r="BY10" i="21"/>
  <c r="BY9" i="21"/>
  <c r="BY13" i="21"/>
  <c r="RH13" i="21"/>
  <c r="AV6" i="21"/>
  <c r="AV5" i="21"/>
  <c r="AV4" i="21"/>
  <c r="AV7" i="21"/>
  <c r="AV12" i="21"/>
  <c r="AV11" i="21"/>
  <c r="AV8" i="21"/>
  <c r="AV14" i="21"/>
  <c r="AV10" i="21"/>
  <c r="AV9" i="21"/>
  <c r="AV13" i="21"/>
  <c r="DB11" i="19"/>
  <c r="BY5" i="19"/>
  <c r="BY4" i="19"/>
  <c r="BY7" i="19"/>
  <c r="BY12" i="19"/>
  <c r="BY16" i="19"/>
  <c r="BY10" i="19"/>
  <c r="BY11" i="19"/>
  <c r="BY6" i="19"/>
  <c r="BY15" i="19"/>
  <c r="BY13" i="19"/>
  <c r="BY14" i="19"/>
  <c r="BY9" i="19"/>
  <c r="AV5" i="19"/>
  <c r="AV4" i="19"/>
  <c r="AV7" i="19"/>
  <c r="AV12" i="19"/>
  <c r="AV16" i="19"/>
  <c r="AV10" i="19"/>
  <c r="AV11" i="19"/>
  <c r="AV6" i="19"/>
  <c r="AV15" i="19"/>
  <c r="AV13" i="19"/>
  <c r="AV14" i="19"/>
  <c r="AV9" i="19"/>
  <c r="PS4" i="18"/>
  <c r="PV5" i="18"/>
  <c r="QC5" i="21"/>
  <c r="PA4" i="21"/>
  <c r="FI7" i="21"/>
  <c r="JQ12" i="21"/>
  <c r="QC9" i="21"/>
  <c r="L13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HM12" i="21"/>
  <c r="FI13" i="21"/>
  <c r="GN11" i="21"/>
  <c r="KV11" i="21"/>
  <c r="PD11" i="21"/>
  <c r="DE8" i="21"/>
  <c r="FL8" i="21"/>
  <c r="JT8" i="21"/>
  <c r="OB8" i="21"/>
  <c r="EJ14" i="21"/>
  <c r="IR14" i="21"/>
  <c r="MZ14" i="21"/>
  <c r="RE14" i="21"/>
  <c r="R10" i="21"/>
  <c r="DE10" i="21"/>
  <c r="L9" i="21"/>
  <c r="DF9" i="21" s="1"/>
  <c r="MZ6" i="21"/>
  <c r="GN5" i="21"/>
  <c r="OB7" i="21"/>
  <c r="MZ12" i="21"/>
  <c r="P10" i="21"/>
  <c r="P9" i="21"/>
  <c r="FI6" i="21"/>
  <c r="FL11" i="21"/>
  <c r="JT11" i="21"/>
  <c r="OB11" i="21"/>
  <c r="R14" i="21"/>
  <c r="DH14" i="21" s="1"/>
  <c r="DE14" i="21"/>
  <c r="HP14" i="21"/>
  <c r="LX14" i="21"/>
  <c r="QF14" i="21"/>
  <c r="PA10" i="21"/>
  <c r="EJ9" i="21"/>
  <c r="IR9" i="21"/>
  <c r="R13" i="21"/>
  <c r="RD13" i="21"/>
  <c r="N6" i="21"/>
  <c r="O6" i="21" s="1"/>
  <c r="JQ6" i="21"/>
  <c r="NY6" i="21"/>
  <c r="RB4" i="21"/>
  <c r="HM7" i="21"/>
  <c r="KV7" i="21"/>
  <c r="RE7" i="21"/>
  <c r="LX12" i="21"/>
  <c r="NY12" i="21"/>
  <c r="JT13" i="21"/>
  <c r="QC9" i="19"/>
  <c r="NY9" i="19"/>
  <c r="LU9" i="19"/>
  <c r="HM9" i="19"/>
  <c r="FI9" i="19"/>
  <c r="JQ14" i="19"/>
  <c r="DB14" i="19"/>
  <c r="P7" i="19"/>
  <c r="DB7" i="19"/>
  <c r="JQ7" i="19"/>
  <c r="FI12" i="19"/>
  <c r="HM12" i="19"/>
  <c r="LU12" i="19"/>
  <c r="NY12" i="19"/>
  <c r="QC12" i="19"/>
  <c r="IR4" i="21"/>
  <c r="KV4" i="21"/>
  <c r="GK7" i="21"/>
  <c r="QF7" i="21"/>
  <c r="JT12" i="21"/>
  <c r="MW12" i="21"/>
  <c r="LX6" i="21"/>
  <c r="FL5" i="21"/>
  <c r="MZ4" i="21"/>
  <c r="IR7" i="21"/>
  <c r="EJ11" i="21"/>
  <c r="IR11" i="21"/>
  <c r="MZ11" i="21"/>
  <c r="RB11" i="21"/>
  <c r="R8" i="21"/>
  <c r="DH8" i="21" s="1"/>
  <c r="DB8" i="21"/>
  <c r="LX9" i="21"/>
  <c r="P13" i="21"/>
  <c r="R6" i="21"/>
  <c r="KV6" i="21"/>
  <c r="HM5" i="21"/>
  <c r="HP4" i="21"/>
  <c r="JQ4" i="21"/>
  <c r="P7" i="21"/>
  <c r="PD7" i="21"/>
  <c r="GN12" i="21"/>
  <c r="KV9" i="21"/>
  <c r="HP6" i="21"/>
  <c r="GK5" i="21"/>
  <c r="P4" i="21"/>
  <c r="NY4" i="21"/>
  <c r="EG7" i="21"/>
  <c r="GN7" i="21"/>
  <c r="JQ7" i="21"/>
  <c r="P12" i="21"/>
  <c r="OB12" i="21"/>
  <c r="QC12" i="21"/>
  <c r="HP11" i="21"/>
  <c r="LX11" i="21"/>
  <c r="QF11" i="21"/>
  <c r="GN8" i="21"/>
  <c r="KV8" i="21"/>
  <c r="PD8" i="21"/>
  <c r="N10" i="21"/>
  <c r="O10" i="21" s="1"/>
  <c r="HP9" i="21"/>
  <c r="RB6" i="21"/>
  <c r="DB5" i="21"/>
  <c r="NY5" i="21"/>
  <c r="EG4" i="21"/>
  <c r="IO4" i="21"/>
  <c r="JT9" i="21"/>
  <c r="RE9" i="21"/>
  <c r="DB13" i="21"/>
  <c r="HM13" i="21"/>
  <c r="KV13" i="21"/>
  <c r="MW13" i="21"/>
  <c r="GK6" i="21"/>
  <c r="P5" i="21"/>
  <c r="MW4" i="21"/>
  <c r="PA12" i="21"/>
  <c r="P11" i="21"/>
  <c r="RG14" i="21"/>
  <c r="RC10" i="21"/>
  <c r="RD10" i="21"/>
  <c r="GK9" i="21"/>
  <c r="DB4" i="21"/>
  <c r="MW7" i="21"/>
  <c r="IO12" i="21"/>
  <c r="RC14" i="21"/>
  <c r="RD14" i="21"/>
  <c r="RH14" i="21"/>
  <c r="HM10" i="21"/>
  <c r="LU10" i="21"/>
  <c r="QC10" i="21"/>
  <c r="KS9" i="21"/>
  <c r="GK13" i="21"/>
  <c r="LU13" i="21"/>
  <c r="QC13" i="21"/>
  <c r="RD12" i="21"/>
  <c r="RD11" i="21"/>
  <c r="P8" i="21"/>
  <c r="G14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DE12" i="21"/>
  <c r="FL12" i="21"/>
  <c r="KV12" i="21"/>
  <c r="N11" i="21"/>
  <c r="O11" i="21" s="1"/>
  <c r="P14" i="21"/>
  <c r="N9" i="21"/>
  <c r="O9" i="21" s="1"/>
  <c r="EG9" i="21"/>
  <c r="MW9" i="21"/>
  <c r="RB9" i="21"/>
  <c r="RG9" i="21"/>
  <c r="G13" i="21"/>
  <c r="P6" i="21"/>
  <c r="DE6" i="21"/>
  <c r="RG7" i="21"/>
  <c r="G12" i="21"/>
  <c r="R12" i="21"/>
  <c r="DH12" i="21" s="1"/>
  <c r="RG12" i="21"/>
  <c r="L11" i="21"/>
  <c r="DF11" i="21" s="1"/>
  <c r="FI11" i="21"/>
  <c r="GK11" i="21"/>
  <c r="HM11" i="21"/>
  <c r="IO11" i="21"/>
  <c r="JQ11" i="21"/>
  <c r="KS11" i="21"/>
  <c r="LU11" i="21"/>
  <c r="MW11" i="21"/>
  <c r="NY11" i="21"/>
  <c r="PA11" i="21"/>
  <c r="QC11" i="21"/>
  <c r="RH11" i="21"/>
  <c r="L8" i="21"/>
  <c r="DF8" i="21" s="1"/>
  <c r="EJ8" i="21"/>
  <c r="IR8" i="21"/>
  <c r="MZ8" i="21"/>
  <c r="RE8" i="21"/>
  <c r="RG8" i="21"/>
  <c r="DB14" i="21"/>
  <c r="GN14" i="21"/>
  <c r="KV14" i="21"/>
  <c r="PD14" i="21"/>
  <c r="N13" i="21"/>
  <c r="O13" i="21" s="1"/>
  <c r="HP13" i="21"/>
  <c r="QF13" i="21"/>
  <c r="KS6" i="21"/>
  <c r="RH6" i="21"/>
  <c r="N5" i="21"/>
  <c r="O5" i="21" s="1"/>
  <c r="JQ5" i="21"/>
  <c r="FL7" i="21"/>
  <c r="L12" i="21"/>
  <c r="DF12" i="21" s="1"/>
  <c r="EJ12" i="21"/>
  <c r="GK12" i="21"/>
  <c r="IR12" i="21"/>
  <c r="RG11" i="21"/>
  <c r="N8" i="21"/>
  <c r="O8" i="21" s="1"/>
  <c r="RD8" i="21"/>
  <c r="GN13" i="21"/>
  <c r="PD13" i="21"/>
  <c r="GN6" i="21"/>
  <c r="PD6" i="21"/>
  <c r="EJ4" i="21"/>
  <c r="JT4" i="21"/>
  <c r="QF4" i="21"/>
  <c r="EJ7" i="21"/>
  <c r="MZ7" i="21"/>
  <c r="N12" i="21"/>
  <c r="O12" i="21" s="1"/>
  <c r="HP12" i="21"/>
  <c r="QF12" i="21"/>
  <c r="HP8" i="21"/>
  <c r="LX8" i="21"/>
  <c r="QF8" i="21"/>
  <c r="FL14" i="21"/>
  <c r="JT14" i="21"/>
  <c r="OB14" i="21"/>
  <c r="RH10" i="21"/>
  <c r="GN9" i="21"/>
  <c r="JQ9" i="21"/>
  <c r="RD9" i="21"/>
  <c r="FL13" i="21"/>
  <c r="OB13" i="21"/>
  <c r="RE13" i="21"/>
  <c r="FL6" i="21"/>
  <c r="IO6" i="21"/>
  <c r="OB6" i="21"/>
  <c r="RG6" i="21"/>
  <c r="EG5" i="21"/>
  <c r="QF5" i="21"/>
  <c r="LU4" i="21"/>
  <c r="PD4" i="21"/>
  <c r="RC4" i="21"/>
  <c r="RD4" i="21"/>
  <c r="LX7" i="21"/>
  <c r="PD12" i="21"/>
  <c r="DB11" i="21"/>
  <c r="RH8" i="21"/>
  <c r="FL9" i="21"/>
  <c r="IO9" i="21"/>
  <c r="OB9" i="21"/>
  <c r="EJ13" i="21"/>
  <c r="MZ13" i="21"/>
  <c r="HM6" i="21"/>
  <c r="QC6" i="21"/>
  <c r="RD6" i="21"/>
  <c r="FI4" i="21"/>
  <c r="KS4" i="21"/>
  <c r="EG10" i="21"/>
  <c r="IO10" i="21"/>
  <c r="MW10" i="21"/>
  <c r="HM9" i="21"/>
  <c r="LX13" i="21"/>
  <c r="RE5" i="19"/>
  <c r="RE12" i="19"/>
  <c r="PU4" i="8"/>
  <c r="FW4" i="18"/>
  <c r="CU5" i="18"/>
  <c r="EW5" i="18"/>
  <c r="GW5" i="18"/>
  <c r="IW5" i="18"/>
  <c r="MW5" i="18"/>
  <c r="OW5" i="18"/>
  <c r="EW4" i="18"/>
  <c r="N5" i="17"/>
  <c r="DA5" i="17" s="1"/>
  <c r="CY4" i="16"/>
  <c r="JJ4" i="16"/>
  <c r="JQ4" i="16" s="1"/>
  <c r="KT8" i="15"/>
  <c r="LA8" i="15" s="1"/>
  <c r="P10" i="15"/>
  <c r="RH5" i="15"/>
  <c r="RO5" i="15" s="1"/>
  <c r="L12" i="15"/>
  <c r="T10" i="15"/>
  <c r="MB8" i="15"/>
  <c r="MI8" i="15" s="1"/>
  <c r="OR8" i="15"/>
  <c r="OY8" i="15" s="1"/>
  <c r="RH8" i="15"/>
  <c r="RO8" i="15" s="1"/>
  <c r="JQ15" i="19"/>
  <c r="DB15" i="19"/>
  <c r="RE16" i="19"/>
  <c r="JQ6" i="19"/>
  <c r="DB6" i="19"/>
  <c r="RE10" i="19"/>
  <c r="RE9" i="19"/>
  <c r="RE4" i="19"/>
  <c r="RE14" i="19"/>
  <c r="RE13" i="19"/>
  <c r="RE7" i="19"/>
  <c r="RE15" i="19"/>
  <c r="F5" i="19"/>
  <c r="RE6" i="19"/>
  <c r="G5" i="19"/>
  <c r="DB5" i="19"/>
  <c r="JQ5" i="19"/>
  <c r="RE11" i="19"/>
  <c r="EG11" i="21"/>
  <c r="EG12" i="21"/>
  <c r="G8" i="21"/>
  <c r="J12" i="21"/>
  <c r="DE11" i="21"/>
  <c r="RC12" i="21"/>
  <c r="F4" i="21"/>
  <c r="L5" i="21"/>
  <c r="RC8" i="21"/>
  <c r="F6" i="21"/>
  <c r="RE5" i="21"/>
  <c r="RC11" i="21"/>
  <c r="F10" i="21"/>
  <c r="G6" i="21"/>
  <c r="RC6" i="21"/>
  <c r="RE4" i="21"/>
  <c r="RB7" i="21"/>
  <c r="G10" i="21"/>
  <c r="F12" i="21"/>
  <c r="J11" i="21"/>
  <c r="RE6" i="21"/>
  <c r="RE11" i="21"/>
  <c r="J8" i="21"/>
  <c r="K8" i="21" s="1"/>
  <c r="F13" i="21"/>
  <c r="RC13" i="21"/>
  <c r="RF13" i="21" s="1"/>
  <c r="F8" i="21"/>
  <c r="L6" i="21"/>
  <c r="DF6" i="21" s="1"/>
  <c r="J5" i="21"/>
  <c r="F5" i="21"/>
  <c r="J14" i="21"/>
  <c r="G5" i="21"/>
  <c r="J10" i="21"/>
  <c r="L14" i="21"/>
  <c r="DF14" i="21" s="1"/>
  <c r="F14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11" i="21"/>
  <c r="DB7" i="21"/>
  <c r="DE7" i="21"/>
  <c r="R11" i="21"/>
  <c r="DH11" i="21" s="1"/>
  <c r="DE5" i="21"/>
  <c r="PD5" i="21"/>
  <c r="RH4" i="21"/>
  <c r="RG4" i="21"/>
  <c r="RI14" i="21"/>
  <c r="IO5" i="21"/>
  <c r="OB5" i="21"/>
  <c r="M12" i="21"/>
  <c r="MZ5" i="21"/>
  <c r="RC5" i="21"/>
  <c r="G4" i="21"/>
  <c r="F7" i="21"/>
  <c r="RH7" i="21"/>
  <c r="S12" i="21"/>
  <c r="RH12" i="21"/>
  <c r="G7" i="21"/>
  <c r="L7" i="21"/>
  <c r="DF7" i="21" s="1"/>
  <c r="J7" i="21"/>
  <c r="RE12" i="21"/>
  <c r="RB12" i="21"/>
  <c r="EJ10" i="21"/>
  <c r="FL10" i="21"/>
  <c r="GN10" i="21"/>
  <c r="HP10" i="21"/>
  <c r="IR10" i="21"/>
  <c r="JT10" i="21"/>
  <c r="KV10" i="21"/>
  <c r="LX10" i="21"/>
  <c r="MZ10" i="21"/>
  <c r="OB10" i="21"/>
  <c r="PD10" i="21"/>
  <c r="QF10" i="21"/>
  <c r="RE10" i="21"/>
  <c r="F9" i="21"/>
  <c r="DE9" i="21"/>
  <c r="RC9" i="21"/>
  <c r="S8" i="21"/>
  <c r="G9" i="21"/>
  <c r="DE13" i="21"/>
  <c r="EG8" i="21"/>
  <c r="FI8" i="21"/>
  <c r="GK8" i="21"/>
  <c r="HM8" i="21"/>
  <c r="IO8" i="21"/>
  <c r="JQ8" i="21"/>
  <c r="KS8" i="21"/>
  <c r="LU8" i="21"/>
  <c r="MW8" i="21"/>
  <c r="NY8" i="21"/>
  <c r="PA8" i="21"/>
  <c r="QC8" i="21"/>
  <c r="RB8" i="21"/>
  <c r="DB10" i="21"/>
  <c r="G11" i="21"/>
  <c r="EG14" i="21"/>
  <c r="FI14" i="21"/>
  <c r="GK14" i="21"/>
  <c r="HM14" i="21"/>
  <c r="IO14" i="21"/>
  <c r="JQ14" i="21"/>
  <c r="KS14" i="21"/>
  <c r="LU14" i="21"/>
  <c r="MW14" i="21"/>
  <c r="NY14" i="21"/>
  <c r="PA14" i="21"/>
  <c r="QC14" i="21"/>
  <c r="RB14" i="21"/>
  <c r="L10" i="21"/>
  <c r="DF10" i="21" s="1"/>
  <c r="J9" i="21"/>
  <c r="N14" i="21"/>
  <c r="O14" i="21" s="1"/>
  <c r="J13" i="21"/>
  <c r="IR15" i="19"/>
  <c r="GN15" i="19"/>
  <c r="J5" i="19"/>
  <c r="P13" i="19"/>
  <c r="N14" i="19"/>
  <c r="O14" i="19" s="1"/>
  <c r="N5" i="19"/>
  <c r="O5" i="19" s="1"/>
  <c r="DE9" i="19"/>
  <c r="QF9" i="19"/>
  <c r="QF13" i="19"/>
  <c r="P16" i="19"/>
  <c r="N13" i="19"/>
  <c r="O13" i="19" s="1"/>
  <c r="N7" i="19"/>
  <c r="O7" i="19" s="1"/>
  <c r="EJ11" i="19"/>
  <c r="N4" i="19"/>
  <c r="O4" i="19" s="1"/>
  <c r="P9" i="19"/>
  <c r="P14" i="19"/>
  <c r="OB13" i="19"/>
  <c r="OB6" i="19"/>
  <c r="PD16" i="19"/>
  <c r="KV16" i="19"/>
  <c r="P11" i="19"/>
  <c r="LX10" i="19"/>
  <c r="P10" i="19"/>
  <c r="PU5" i="8"/>
  <c r="PU7" i="8"/>
  <c r="PU6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FL4" i="16"/>
  <c r="FS4" i="16" s="1"/>
  <c r="IB4" i="16"/>
  <c r="II4" i="16" s="1"/>
  <c r="CY5" i="16"/>
  <c r="ED4" i="16"/>
  <c r="EK4" i="16" s="1"/>
  <c r="R12" i="15"/>
  <c r="R5" i="15"/>
  <c r="T11" i="15"/>
  <c r="JL11" i="15"/>
  <c r="JS11" i="15" s="1"/>
  <c r="OR11" i="15"/>
  <c r="ID6" i="15"/>
  <c r="IK6" i="15" s="1"/>
  <c r="NJ6" i="15"/>
  <c r="NQ6" i="15" s="1"/>
  <c r="SP6" i="15"/>
  <c r="SW6" i="15" s="1"/>
  <c r="R7" i="15"/>
  <c r="GV7" i="15"/>
  <c r="HC7" i="15" s="1"/>
  <c r="R9" i="15"/>
  <c r="R4" i="15"/>
  <c r="R8" i="15"/>
  <c r="R6" i="15"/>
  <c r="R14" i="15"/>
  <c r="FN4" i="15"/>
  <c r="FU4" i="15" s="1"/>
  <c r="ID4" i="15"/>
  <c r="IK4" i="15" s="1"/>
  <c r="SP4" i="15"/>
  <c r="SW4" i="15" s="1"/>
  <c r="R11" i="15"/>
  <c r="T14" i="15"/>
  <c r="R10" i="15"/>
  <c r="T5" i="15"/>
  <c r="T6" i="15"/>
  <c r="T12" i="15"/>
  <c r="NJ12" i="15"/>
  <c r="NQ12" i="15" s="1"/>
  <c r="SP12" i="15"/>
  <c r="SW12" i="15" s="1"/>
  <c r="CW9" i="15"/>
  <c r="DA9" i="15" s="1"/>
  <c r="T9" i="15"/>
  <c r="T4" i="15"/>
  <c r="T7" i="15"/>
  <c r="T8" i="15"/>
  <c r="P15" i="19"/>
  <c r="P6" i="19"/>
  <c r="N16" i="19"/>
  <c r="O16" i="19" s="1"/>
  <c r="N11" i="19"/>
  <c r="O11" i="19" s="1"/>
  <c r="N10" i="19"/>
  <c r="O10" i="19" s="1"/>
  <c r="N12" i="19"/>
  <c r="O12" i="19" s="1"/>
  <c r="N15" i="19"/>
  <c r="O15" i="19" s="1"/>
  <c r="N6" i="19"/>
  <c r="O6" i="19" s="1"/>
  <c r="P5" i="19"/>
  <c r="P12" i="19"/>
  <c r="FL6" i="19"/>
  <c r="HP14" i="19"/>
  <c r="KV15" i="19"/>
  <c r="LX13" i="19"/>
  <c r="PD11" i="19"/>
  <c r="GN11" i="19"/>
  <c r="MZ9" i="19"/>
  <c r="KV9" i="19"/>
  <c r="MZ11" i="19"/>
  <c r="DE16" i="19"/>
  <c r="QF10" i="19"/>
  <c r="QF14" i="19"/>
  <c r="RG13" i="19"/>
  <c r="JT15" i="19"/>
  <c r="HP15" i="19"/>
  <c r="FL15" i="19"/>
  <c r="DE6" i="19"/>
  <c r="GN10" i="19"/>
  <c r="EJ10" i="19"/>
  <c r="RD13" i="19"/>
  <c r="J14" i="19"/>
  <c r="K14" i="19" s="1"/>
  <c r="MZ13" i="19"/>
  <c r="KV13" i="19"/>
  <c r="IR13" i="19"/>
  <c r="OB9" i="19"/>
  <c r="KV14" i="19"/>
  <c r="DE10" i="19"/>
  <c r="RB13" i="19"/>
  <c r="QF16" i="19"/>
  <c r="FL14" i="19"/>
  <c r="R6" i="19"/>
  <c r="LX11" i="19"/>
  <c r="RG9" i="19"/>
  <c r="RB9" i="19"/>
  <c r="EJ9" i="19"/>
  <c r="OB15" i="19"/>
  <c r="PD6" i="19"/>
  <c r="IR6" i="19"/>
  <c r="MZ16" i="19"/>
  <c r="RC6" i="19"/>
  <c r="JT9" i="19"/>
  <c r="FL9" i="19"/>
  <c r="GN14" i="19"/>
  <c r="EJ14" i="19"/>
  <c r="EJ6" i="19"/>
  <c r="R11" i="19"/>
  <c r="PD10" i="19"/>
  <c r="MZ10" i="19"/>
  <c r="PD9" i="19"/>
  <c r="PD15" i="19"/>
  <c r="DE11" i="19"/>
  <c r="R16" i="19"/>
  <c r="RG14" i="19"/>
  <c r="OB14" i="19"/>
  <c r="LX14" i="19"/>
  <c r="R13" i="19"/>
  <c r="RD15" i="19"/>
  <c r="LX6" i="19"/>
  <c r="JT6" i="19"/>
  <c r="RD16" i="19"/>
  <c r="RC16" i="19"/>
  <c r="JT16" i="19"/>
  <c r="HP16" i="19"/>
  <c r="HP13" i="19"/>
  <c r="FL13" i="19"/>
  <c r="DE13" i="19"/>
  <c r="KV11" i="19"/>
  <c r="IR11" i="19"/>
  <c r="RG16" i="19"/>
  <c r="RB16" i="19"/>
  <c r="EJ12" i="19"/>
  <c r="GN12" i="19"/>
  <c r="IR12" i="19"/>
  <c r="KV12" i="19"/>
  <c r="MZ12" i="19"/>
  <c r="PD12" i="19"/>
  <c r="MZ14" i="19"/>
  <c r="LX15" i="19"/>
  <c r="JT10" i="19"/>
  <c r="HP10" i="19"/>
  <c r="GN16" i="19"/>
  <c r="EJ16" i="19"/>
  <c r="IR14" i="19"/>
  <c r="RD6" i="19"/>
  <c r="GN6" i="19"/>
  <c r="RB11" i="19"/>
  <c r="QF11" i="19"/>
  <c r="JT11" i="19"/>
  <c r="RC13" i="19"/>
  <c r="F13" i="19"/>
  <c r="G15" i="19"/>
  <c r="RH9" i="19"/>
  <c r="RD9" i="19"/>
  <c r="R9" i="19"/>
  <c r="DH9" i="19" s="1"/>
  <c r="JT14" i="19"/>
  <c r="MZ15" i="19"/>
  <c r="HP6" i="19"/>
  <c r="RH11" i="19"/>
  <c r="OB11" i="19"/>
  <c r="FL10" i="19"/>
  <c r="R10" i="19"/>
  <c r="DH10" i="19" s="1"/>
  <c r="F9" i="19"/>
  <c r="RH14" i="19"/>
  <c r="RD14" i="19"/>
  <c r="RC14" i="19"/>
  <c r="PD14" i="19"/>
  <c r="RH13" i="19"/>
  <c r="J13" i="19"/>
  <c r="RC15" i="19"/>
  <c r="DE15" i="19"/>
  <c r="MZ6" i="19"/>
  <c r="G11" i="19"/>
  <c r="KV10" i="19"/>
  <c r="FL16" i="19"/>
  <c r="RC9" i="19"/>
  <c r="GN13" i="19"/>
  <c r="RG15" i="19"/>
  <c r="RB15" i="19"/>
  <c r="QF15" i="19"/>
  <c r="KV6" i="19"/>
  <c r="RD11" i="19"/>
  <c r="RC11" i="19"/>
  <c r="IR10" i="19"/>
  <c r="IR9" i="19"/>
  <c r="GN9" i="19"/>
  <c r="L9" i="19"/>
  <c r="DF9" i="19" s="1"/>
  <c r="R14" i="19"/>
  <c r="EJ13" i="19"/>
  <c r="RH15" i="19"/>
  <c r="RG6" i="19"/>
  <c r="RB6" i="19"/>
  <c r="QF6" i="19"/>
  <c r="RG11" i="19"/>
  <c r="OB10" i="19"/>
  <c r="G10" i="19"/>
  <c r="IR16" i="19"/>
  <c r="RB14" i="19"/>
  <c r="DE14" i="19"/>
  <c r="JT13" i="19"/>
  <c r="RH6" i="19"/>
  <c r="HP11" i="19"/>
  <c r="RD10" i="19"/>
  <c r="RC10" i="19"/>
  <c r="F10" i="19"/>
  <c r="L16" i="19"/>
  <c r="LX9" i="19"/>
  <c r="HP9" i="19"/>
  <c r="PD13" i="19"/>
  <c r="EJ15" i="19"/>
  <c r="FL11" i="19"/>
  <c r="RG10" i="19"/>
  <c r="RB10" i="19"/>
  <c r="OB16" i="19"/>
  <c r="LX16" i="19"/>
  <c r="F16" i="19"/>
  <c r="G6" i="19"/>
  <c r="F15" i="19"/>
  <c r="F11" i="19"/>
  <c r="F14" i="19"/>
  <c r="F6" i="19"/>
  <c r="L10" i="19"/>
  <c r="DF10" i="19" s="1"/>
  <c r="G13" i="19"/>
  <c r="R15" i="19"/>
  <c r="DH15" i="19" s="1"/>
  <c r="L11" i="19"/>
  <c r="DF11" i="19" s="1"/>
  <c r="J16" i="19"/>
  <c r="J9" i="19"/>
  <c r="G14" i="19"/>
  <c r="L6" i="19"/>
  <c r="DF6" i="19" s="1"/>
  <c r="J10" i="19"/>
  <c r="RH16" i="19"/>
  <c r="G9" i="19"/>
  <c r="L15" i="19"/>
  <c r="DF15" i="19" s="1"/>
  <c r="J11" i="19"/>
  <c r="RH10" i="19"/>
  <c r="L13" i="19"/>
  <c r="DF13" i="19" s="1"/>
  <c r="J6" i="19"/>
  <c r="G16" i="19"/>
  <c r="L14" i="19"/>
  <c r="DF14" i="19" s="1"/>
  <c r="J15" i="19"/>
  <c r="HP12" i="19"/>
  <c r="JT12" i="19"/>
  <c r="OB12" i="19"/>
  <c r="QF12" i="19"/>
  <c r="GN5" i="19"/>
  <c r="KV5" i="19"/>
  <c r="PD5" i="19"/>
  <c r="DE7" i="19"/>
  <c r="FL7" i="19"/>
  <c r="HP7" i="19"/>
  <c r="JT7" i="19"/>
  <c r="LX7" i="19"/>
  <c r="OB7" i="19"/>
  <c r="QF7" i="19"/>
  <c r="RH12" i="19"/>
  <c r="JT4" i="19"/>
  <c r="RG12" i="19"/>
  <c r="R7" i="19"/>
  <c r="EJ4" i="19"/>
  <c r="GN4" i="19"/>
  <c r="IR4" i="19"/>
  <c r="KV4" i="19"/>
  <c r="MZ4" i="19"/>
  <c r="PD4" i="19"/>
  <c r="RB4" i="19"/>
  <c r="KV7" i="19"/>
  <c r="MZ7" i="19"/>
  <c r="LX5" i="19"/>
  <c r="OB5" i="19"/>
  <c r="QF5" i="19"/>
  <c r="RG5" i="19"/>
  <c r="L5" i="19"/>
  <c r="RB7" i="19"/>
  <c r="R4" i="19"/>
  <c r="RH4" i="19"/>
  <c r="GN7" i="19"/>
  <c r="R5" i="19"/>
  <c r="DH5" i="19" s="1"/>
  <c r="DE5" i="19"/>
  <c r="HP5" i="19"/>
  <c r="JT5" i="19"/>
  <c r="J4" i="19"/>
  <c r="PD7" i="19"/>
  <c r="LX12" i="19"/>
  <c r="RC7" i="19"/>
  <c r="RH5" i="19"/>
  <c r="RH7" i="19"/>
  <c r="L12" i="19"/>
  <c r="RC4" i="19"/>
  <c r="RD4" i="19"/>
  <c r="RG7" i="19"/>
  <c r="R12" i="19"/>
  <c r="EJ5" i="19"/>
  <c r="RB5" i="19"/>
  <c r="J12" i="19"/>
  <c r="RB12" i="19"/>
  <c r="IR5" i="19"/>
  <c r="MZ5" i="19"/>
  <c r="RC5" i="19"/>
  <c r="RD5" i="19"/>
  <c r="FL4" i="19"/>
  <c r="HP4" i="19"/>
  <c r="LX4" i="19"/>
  <c r="J7" i="19"/>
  <c r="DE12" i="19"/>
  <c r="RC12" i="19"/>
  <c r="RD12" i="19"/>
  <c r="RD7" i="19"/>
  <c r="FL5" i="19"/>
  <c r="DE4" i="19"/>
  <c r="OB4" i="19"/>
  <c r="QF4" i="19"/>
  <c r="RG4" i="19"/>
  <c r="EJ7" i="19"/>
  <c r="IR7" i="19"/>
  <c r="FL12" i="19"/>
  <c r="L7" i="19"/>
  <c r="DF7" i="19" s="1"/>
  <c r="L4" i="19"/>
  <c r="DF4" i="19" s="1"/>
  <c r="F12" i="19"/>
  <c r="F7" i="19"/>
  <c r="G12" i="19"/>
  <c r="F4" i="19"/>
  <c r="G7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TU4" i="17"/>
  <c r="TN4" i="17"/>
  <c r="CY4" i="17"/>
  <c r="R5" i="17"/>
  <c r="GT4" i="17"/>
  <c r="HA4" i="17" s="1"/>
  <c r="LZ4" i="17"/>
  <c r="MG4" i="17" s="1"/>
  <c r="RF4" i="17"/>
  <c r="RM4" i="17" s="1"/>
  <c r="LZ5" i="17"/>
  <c r="MG5" i="17" s="1"/>
  <c r="IB5" i="17"/>
  <c r="II5" i="17" s="1"/>
  <c r="NH5" i="17"/>
  <c r="NO5" i="17" s="1"/>
  <c r="P4" i="17"/>
  <c r="IB4" i="17"/>
  <c r="II4" i="17" s="1"/>
  <c r="NH4" i="17"/>
  <c r="NO4" i="17" s="1"/>
  <c r="SN4" i="17"/>
  <c r="SU4" i="17" s="1"/>
  <c r="TQ4" i="17"/>
  <c r="TN5" i="17"/>
  <c r="F5" i="17"/>
  <c r="TQ5" i="17"/>
  <c r="G5" i="17"/>
  <c r="CY5" i="17"/>
  <c r="FL5" i="17"/>
  <c r="FS5" i="17" s="1"/>
  <c r="SN5" i="17"/>
  <c r="SU5" i="17" s="1"/>
  <c r="TU5" i="17"/>
  <c r="ED5" i="17"/>
  <c r="EK5" i="17" s="1"/>
  <c r="KR5" i="17"/>
  <c r="KY5" i="17" s="1"/>
  <c r="N4" i="17"/>
  <c r="DA4" i="17" s="1"/>
  <c r="JJ4" i="17"/>
  <c r="JQ4" i="17" s="1"/>
  <c r="OP4" i="17"/>
  <c r="OW4" i="17" s="1"/>
  <c r="P5" i="17"/>
  <c r="JJ5" i="17"/>
  <c r="JQ5" i="17" s="1"/>
  <c r="PX5" i="17"/>
  <c r="QE5" i="17" s="1"/>
  <c r="KR5" i="16"/>
  <c r="KY5" i="16" s="1"/>
  <c r="NH5" i="16"/>
  <c r="NO5" i="16" s="1"/>
  <c r="PX5" i="16"/>
  <c r="QE5" i="16" s="1"/>
  <c r="PX4" i="16"/>
  <c r="QE4" i="16" s="1"/>
  <c r="J5" i="16"/>
  <c r="L4" i="16"/>
  <c r="LZ4" i="16"/>
  <c r="MG4" i="16" s="1"/>
  <c r="OP4" i="16"/>
  <c r="OW4" i="16" s="1"/>
  <c r="RF4" i="16"/>
  <c r="RM4" i="16" s="1"/>
  <c r="IB5" i="16"/>
  <c r="II5" i="16" s="1"/>
  <c r="L5" i="16"/>
  <c r="J4" i="16"/>
  <c r="KR4" i="16"/>
  <c r="KY4" i="16" s="1"/>
  <c r="NH4" i="16"/>
  <c r="NO4" i="16" s="1"/>
  <c r="SN5" i="16"/>
  <c r="SU5" i="16" s="1"/>
  <c r="J5" i="15"/>
  <c r="J11" i="15"/>
  <c r="K11" i="15" s="1"/>
  <c r="CW8" i="15"/>
  <c r="DA8" i="15" s="1"/>
  <c r="L10" i="15"/>
  <c r="ID5" i="15"/>
  <c r="IK5" i="15" s="1"/>
  <c r="FN10" i="15"/>
  <c r="FU10" i="15" s="1"/>
  <c r="L9" i="15"/>
  <c r="CW14" i="15"/>
  <c r="DA14" i="15" s="1"/>
  <c r="L8" i="15"/>
  <c r="SP8" i="15"/>
  <c r="SW8" i="15" s="1"/>
  <c r="JL12" i="15"/>
  <c r="JS12" i="15" s="1"/>
  <c r="KT14" i="15"/>
  <c r="J6" i="15"/>
  <c r="L14" i="15"/>
  <c r="J14" i="15"/>
  <c r="K14" i="15" s="1"/>
  <c r="J4" i="15"/>
  <c r="L7" i="15"/>
  <c r="EF5" i="15"/>
  <c r="EM5" i="15" s="1"/>
  <c r="GV5" i="15"/>
  <c r="HC5" i="15" s="1"/>
  <c r="JL5" i="15"/>
  <c r="MB5" i="15"/>
  <c r="MI5" i="15" s="1"/>
  <c r="FN8" i="15"/>
  <c r="FU8" i="15" s="1"/>
  <c r="ID10" i="15"/>
  <c r="IK10" i="15" s="1"/>
  <c r="KT10" i="15"/>
  <c r="LA10" i="15" s="1"/>
  <c r="NJ10" i="15"/>
  <c r="NQ10" i="15" s="1"/>
  <c r="PZ10" i="15"/>
  <c r="QG10" i="15" s="1"/>
  <c r="SP10" i="15"/>
  <c r="SW10" i="15" s="1"/>
  <c r="PZ14" i="15"/>
  <c r="QG14" i="15" s="1"/>
  <c r="J9" i="15"/>
  <c r="L11" i="15"/>
  <c r="L5" i="15"/>
  <c r="NJ4" i="15"/>
  <c r="NQ4" i="15" s="1"/>
  <c r="CW7" i="15"/>
  <c r="DA7" i="15" s="1"/>
  <c r="RH12" i="15"/>
  <c r="RO12" i="15" s="1"/>
  <c r="ID14" i="15"/>
  <c r="IK14" i="15" s="1"/>
  <c r="NJ14" i="15"/>
  <c r="NQ14" i="15" s="1"/>
  <c r="J10" i="15"/>
  <c r="L6" i="15"/>
  <c r="JL4" i="15"/>
  <c r="JS4" i="15" s="1"/>
  <c r="MB4" i="15"/>
  <c r="MI4" i="15" s="1"/>
  <c r="OR4" i="15"/>
  <c r="OY4" i="15" s="1"/>
  <c r="RH4" i="15"/>
  <c r="RO4" i="15" s="1"/>
  <c r="J12" i="15"/>
  <c r="L4" i="15"/>
  <c r="ID9" i="15"/>
  <c r="IK9" i="15" s="1"/>
  <c r="NJ9" i="15"/>
  <c r="NQ9" i="15" s="1"/>
  <c r="J8" i="15"/>
  <c r="FN11" i="15"/>
  <c r="FU11" i="15" s="1"/>
  <c r="KT11" i="15"/>
  <c r="LA11" i="15" s="1"/>
  <c r="PZ11" i="15"/>
  <c r="QG11" i="15" s="1"/>
  <c r="NJ5" i="15"/>
  <c r="NQ5" i="15" s="1"/>
  <c r="PZ5" i="15"/>
  <c r="QG5" i="15" s="1"/>
  <c r="SP5" i="15"/>
  <c r="SW5" i="15" s="1"/>
  <c r="GV8" i="15"/>
  <c r="HC8" i="15" s="1"/>
  <c r="JL8" i="15"/>
  <c r="JS8" i="15" s="1"/>
  <c r="FN12" i="15"/>
  <c r="FU12" i="15" s="1"/>
  <c r="ID12" i="15"/>
  <c r="IK12" i="15" s="1"/>
  <c r="KT12" i="15"/>
  <c r="LA12" i="15" s="1"/>
  <c r="GV10" i="15"/>
  <c r="HC10" i="15" s="1"/>
  <c r="SP9" i="15"/>
  <c r="SW9" i="15" s="1"/>
  <c r="TW14" i="15"/>
  <c r="J7" i="15"/>
  <c r="MB7" i="15"/>
  <c r="MI7" i="15" s="1"/>
  <c r="RH7" i="15"/>
  <c r="RO7" i="15" s="1"/>
  <c r="P14" i="15"/>
  <c r="DC14" i="15" s="1"/>
  <c r="OY6" i="15"/>
  <c r="G4" i="17"/>
  <c r="ED4" i="17"/>
  <c r="EK4" i="17" s="1"/>
  <c r="R4" i="17"/>
  <c r="J4" i="17"/>
  <c r="L4" i="17"/>
  <c r="CZ4" i="17" s="1"/>
  <c r="I5" i="17"/>
  <c r="I4" i="17"/>
  <c r="J5" i="17"/>
  <c r="F4" i="17"/>
  <c r="L5" i="17"/>
  <c r="CZ5" i="17" s="1"/>
  <c r="G5" i="16"/>
  <c r="P4" i="16"/>
  <c r="DB4" i="16" s="1"/>
  <c r="TQ4" i="16"/>
  <c r="I5" i="16"/>
  <c r="TP4" i="16"/>
  <c r="R5" i="16"/>
  <c r="TU5" i="16"/>
  <c r="TN4" i="16"/>
  <c r="R4" i="16"/>
  <c r="N5" i="16"/>
  <c r="G4" i="16"/>
  <c r="GT4" i="16"/>
  <c r="HA4" i="16" s="1"/>
  <c r="SN4" i="16"/>
  <c r="SU4" i="16" s="1"/>
  <c r="TU4" i="16"/>
  <c r="FL5" i="16"/>
  <c r="FS5" i="16" s="1"/>
  <c r="RF5" i="16"/>
  <c r="RM5" i="16" s="1"/>
  <c r="TN5" i="16"/>
  <c r="TQ5" i="16"/>
  <c r="F4" i="16"/>
  <c r="N4" i="16"/>
  <c r="DA4" i="16" s="1"/>
  <c r="I4" i="16"/>
  <c r="F5" i="16"/>
  <c r="P5" i="16"/>
  <c r="DB5" i="16" s="1"/>
  <c r="DA12" i="15"/>
  <c r="CW10" i="15"/>
  <c r="DA10" i="15" s="1"/>
  <c r="CW6" i="15"/>
  <c r="DA6" i="15" s="1"/>
  <c r="P4" i="15"/>
  <c r="DC4" i="15" s="1"/>
  <c r="EM6" i="15"/>
  <c r="EF11" i="15"/>
  <c r="EM11" i="15" s="1"/>
  <c r="EF4" i="15"/>
  <c r="EM4" i="15" s="1"/>
  <c r="EF12" i="15"/>
  <c r="EM12" i="15" s="1"/>
  <c r="TW12" i="15"/>
  <c r="F5" i="15"/>
  <c r="TP14" i="15"/>
  <c r="TW4" i="15"/>
  <c r="P8" i="15"/>
  <c r="P5" i="15"/>
  <c r="DC5" i="15" s="1"/>
  <c r="TS8" i="15"/>
  <c r="P9" i="15"/>
  <c r="TS4" i="15"/>
  <c r="TW6" i="15"/>
  <c r="P7" i="15"/>
  <c r="I8" i="15"/>
  <c r="F7" i="15"/>
  <c r="TP12" i="15"/>
  <c r="TP6" i="15"/>
  <c r="TS6" i="15"/>
  <c r="TP5" i="15"/>
  <c r="I7" i="15"/>
  <c r="OY11" i="15"/>
  <c r="TW7" i="15"/>
  <c r="I12" i="15"/>
  <c r="FN9" i="15"/>
  <c r="FU9" i="15" s="1"/>
  <c r="I4" i="15"/>
  <c r="P11" i="15"/>
  <c r="DC11" i="15" s="1"/>
  <c r="TW11" i="15"/>
  <c r="CW5" i="15"/>
  <c r="DA5" i="15" s="1"/>
  <c r="JS5" i="15"/>
  <c r="TS5" i="15"/>
  <c r="OR12" i="15"/>
  <c r="OY12" i="15" s="1"/>
  <c r="KT9" i="15"/>
  <c r="LA9" i="15" s="1"/>
  <c r="MI14" i="15"/>
  <c r="ID8" i="15"/>
  <c r="IK8" i="15" s="1"/>
  <c r="TW8" i="15"/>
  <c r="PZ12" i="15"/>
  <c r="QG12" i="15" s="1"/>
  <c r="MB10" i="15"/>
  <c r="MI10" i="15" s="1"/>
  <c r="TP10" i="15"/>
  <c r="F9" i="15"/>
  <c r="JL9" i="15"/>
  <c r="JS9" i="15" s="1"/>
  <c r="PZ9" i="15"/>
  <c r="QG9" i="15" s="1"/>
  <c r="SP14" i="15"/>
  <c r="SW14" i="15" s="1"/>
  <c r="CW4" i="15"/>
  <c r="DA4" i="15" s="1"/>
  <c r="KT4" i="15"/>
  <c r="LA4" i="15" s="1"/>
  <c r="GV6" i="15"/>
  <c r="HC6" i="15" s="1"/>
  <c r="MB6" i="15"/>
  <c r="MI6" i="15" s="1"/>
  <c r="RH6" i="15"/>
  <c r="RO6" i="15" s="1"/>
  <c r="FN5" i="15"/>
  <c r="FU5" i="15" s="1"/>
  <c r="OR5" i="15"/>
  <c r="OY5" i="15" s="1"/>
  <c r="FN7" i="15"/>
  <c r="FU7" i="15" s="1"/>
  <c r="KT7" i="15"/>
  <c r="LA7" i="15" s="1"/>
  <c r="PZ7" i="15"/>
  <c r="QG7" i="15" s="1"/>
  <c r="TP7" i="15"/>
  <c r="TS7" i="15"/>
  <c r="K8" i="15"/>
  <c r="EF10" i="15"/>
  <c r="EM10" i="15" s="1"/>
  <c r="RH10" i="15"/>
  <c r="RO10" i="15" s="1"/>
  <c r="OR9" i="15"/>
  <c r="OY9" i="15" s="1"/>
  <c r="TS9" i="15"/>
  <c r="FN14" i="15"/>
  <c r="FU14" i="15" s="1"/>
  <c r="RH14" i="15"/>
  <c r="RO14" i="15" s="1"/>
  <c r="DA11" i="15"/>
  <c r="ID11" i="15"/>
  <c r="IK11" i="15" s="1"/>
  <c r="NJ11" i="15"/>
  <c r="NQ11" i="15" s="1"/>
  <c r="SP11" i="15"/>
  <c r="SW11" i="15" s="1"/>
  <c r="TP11" i="15"/>
  <c r="TS11" i="15"/>
  <c r="G4" i="15"/>
  <c r="TP4" i="15"/>
  <c r="P6" i="15"/>
  <c r="DC6" i="15" s="1"/>
  <c r="FN6" i="15"/>
  <c r="FU6" i="15" s="1"/>
  <c r="KT6" i="15"/>
  <c r="LA6" i="15" s="1"/>
  <c r="PZ6" i="15"/>
  <c r="QG6" i="15" s="1"/>
  <c r="G5" i="15"/>
  <c r="EF7" i="15"/>
  <c r="EM7" i="15" s="1"/>
  <c r="JL7" i="15"/>
  <c r="JS7" i="15" s="1"/>
  <c r="OR7" i="15"/>
  <c r="OY7" i="15" s="1"/>
  <c r="EF8" i="15"/>
  <c r="EM8" i="15" s="1"/>
  <c r="NJ8" i="15"/>
  <c r="NQ8" i="15" s="1"/>
  <c r="TP8" i="15"/>
  <c r="P12" i="15"/>
  <c r="MB12" i="15"/>
  <c r="MI12" i="15" s="1"/>
  <c r="JL10" i="15"/>
  <c r="JS10" i="15" s="1"/>
  <c r="GV11" i="15"/>
  <c r="HC11" i="15" s="1"/>
  <c r="MB11" i="15"/>
  <c r="MI11" i="15" s="1"/>
  <c r="RH11" i="15"/>
  <c r="RO11" i="15" s="1"/>
  <c r="GV4" i="15"/>
  <c r="HC4" i="15" s="1"/>
  <c r="PZ4" i="15"/>
  <c r="QG4" i="15" s="1"/>
  <c r="I5" i="15"/>
  <c r="KT5" i="15"/>
  <c r="LA5" i="15" s="1"/>
  <c r="TW5" i="15"/>
  <c r="G12" i="15"/>
  <c r="LA14" i="15"/>
  <c r="G7" i="15"/>
  <c r="TW9" i="15"/>
  <c r="F6" i="15"/>
  <c r="F8" i="15"/>
  <c r="G6" i="15"/>
  <c r="G8" i="15"/>
  <c r="TS12" i="15"/>
  <c r="G10" i="15"/>
  <c r="F10" i="15"/>
  <c r="TW10" i="15"/>
  <c r="TP9" i="15"/>
  <c r="I6" i="15"/>
  <c r="F12" i="15"/>
  <c r="GV12" i="15"/>
  <c r="HC12" i="15" s="1"/>
  <c r="TS14" i="15"/>
  <c r="TQ14" i="15"/>
  <c r="I10" i="15"/>
  <c r="TS10" i="15"/>
  <c r="G9" i="15"/>
  <c r="I9" i="15"/>
  <c r="F14" i="15"/>
  <c r="G14" i="15"/>
  <c r="I14" i="15"/>
  <c r="Q4" i="21" l="1"/>
  <c r="DG4" i="21"/>
  <c r="S13" i="21"/>
  <c r="DH13" i="21"/>
  <c r="S4" i="21"/>
  <c r="DH4" i="21"/>
  <c r="M13" i="21"/>
  <c r="DF13" i="21"/>
  <c r="T13" i="21" s="1"/>
  <c r="U13" i="21" s="1"/>
  <c r="S9" i="21"/>
  <c r="DH9" i="21"/>
  <c r="Q11" i="21"/>
  <c r="DG11" i="21"/>
  <c r="M5" i="21"/>
  <c r="DF5" i="21"/>
  <c r="Q14" i="21"/>
  <c r="DG14" i="21"/>
  <c r="T14" i="21" s="1"/>
  <c r="V14" i="21" s="1"/>
  <c r="Q6" i="21"/>
  <c r="DG6" i="21"/>
  <c r="S7" i="21"/>
  <c r="DH7" i="21"/>
  <c r="Q12" i="21"/>
  <c r="DG12" i="21"/>
  <c r="S6" i="21"/>
  <c r="DH6" i="21"/>
  <c r="T6" i="21" s="1"/>
  <c r="Q5" i="21"/>
  <c r="DG5" i="21"/>
  <c r="Q13" i="21"/>
  <c r="DG13" i="21"/>
  <c r="Q8" i="21"/>
  <c r="DG8" i="21"/>
  <c r="T8" i="21" s="1"/>
  <c r="Q9" i="21"/>
  <c r="DG9" i="21"/>
  <c r="T9" i="21" s="1"/>
  <c r="U9" i="21" s="1"/>
  <c r="S10" i="21"/>
  <c r="DH10" i="21"/>
  <c r="Q7" i="21"/>
  <c r="DG7" i="21"/>
  <c r="Q10" i="21"/>
  <c r="DG10" i="21"/>
  <c r="S4" i="19"/>
  <c r="DH4" i="19"/>
  <c r="S7" i="19"/>
  <c r="DH7" i="19"/>
  <c r="Q7" i="19"/>
  <c r="DG7" i="19"/>
  <c r="S16" i="19"/>
  <c r="DH16" i="19"/>
  <c r="Q14" i="19"/>
  <c r="DG14" i="19"/>
  <c r="M5" i="19"/>
  <c r="DF5" i="19"/>
  <c r="Q10" i="19"/>
  <c r="DG10" i="19"/>
  <c r="Q9" i="19"/>
  <c r="DG9" i="19"/>
  <c r="M12" i="19"/>
  <c r="DF12" i="19"/>
  <c r="M16" i="19"/>
  <c r="DF16" i="19"/>
  <c r="Q11" i="19"/>
  <c r="DG11" i="19"/>
  <c r="S13" i="19"/>
  <c r="DH13" i="19"/>
  <c r="Q12" i="19"/>
  <c r="DG12" i="19"/>
  <c r="Q6" i="19"/>
  <c r="DG6" i="19"/>
  <c r="Q13" i="19"/>
  <c r="DG13" i="19"/>
  <c r="S14" i="19"/>
  <c r="DH14" i="19"/>
  <c r="S6" i="19"/>
  <c r="DH6" i="19"/>
  <c r="Q5" i="19"/>
  <c r="DG5" i="19"/>
  <c r="Q15" i="19"/>
  <c r="DG15" i="19"/>
  <c r="S12" i="19"/>
  <c r="DH12" i="19"/>
  <c r="S11" i="19"/>
  <c r="DH11" i="19"/>
  <c r="Q16" i="19"/>
  <c r="DG16" i="19"/>
  <c r="O5" i="18"/>
  <c r="CW5" i="18"/>
  <c r="M4" i="18"/>
  <c r="CV4" i="18"/>
  <c r="M5" i="18"/>
  <c r="CV5" i="18"/>
  <c r="CW4" i="18"/>
  <c r="S5" i="17"/>
  <c r="DC5" i="17"/>
  <c r="Q4" i="17"/>
  <c r="DB4" i="17"/>
  <c r="S4" i="17"/>
  <c r="DC4" i="17"/>
  <c r="Q5" i="17"/>
  <c r="DB5" i="17"/>
  <c r="O5" i="16"/>
  <c r="DA5" i="16"/>
  <c r="S4" i="16"/>
  <c r="DC4" i="16"/>
  <c r="M5" i="16"/>
  <c r="CZ5" i="16"/>
  <c r="S5" i="16"/>
  <c r="DC5" i="16"/>
  <c r="M4" i="16"/>
  <c r="CZ4" i="16"/>
  <c r="M6" i="15"/>
  <c r="DB6" i="15"/>
  <c r="DB11" i="15"/>
  <c r="M14" i="15"/>
  <c r="DB14" i="15"/>
  <c r="U12" i="15"/>
  <c r="DE12" i="15"/>
  <c r="U8" i="15"/>
  <c r="DE8" i="15"/>
  <c r="U6" i="15"/>
  <c r="DE6" i="15"/>
  <c r="S14" i="15"/>
  <c r="DD14" i="15"/>
  <c r="Q9" i="15"/>
  <c r="DC9" i="15"/>
  <c r="M4" i="15"/>
  <c r="DB4" i="15"/>
  <c r="DB10" i="15"/>
  <c r="U7" i="15"/>
  <c r="DE7" i="15"/>
  <c r="U5" i="15"/>
  <c r="DE5" i="15"/>
  <c r="S6" i="15"/>
  <c r="DD6" i="15"/>
  <c r="Q12" i="15"/>
  <c r="DC12" i="15"/>
  <c r="U4" i="15"/>
  <c r="DE4" i="15"/>
  <c r="S10" i="15"/>
  <c r="DD10" i="15"/>
  <c r="S8" i="15"/>
  <c r="DD8" i="15"/>
  <c r="U9" i="15"/>
  <c r="DE9" i="15"/>
  <c r="U14" i="15"/>
  <c r="DE14" i="15"/>
  <c r="V14" i="15" s="1"/>
  <c r="S4" i="15"/>
  <c r="DD4" i="15"/>
  <c r="U10" i="15"/>
  <c r="DE10" i="15"/>
  <c r="Q8" i="15"/>
  <c r="DC8" i="15"/>
  <c r="DB7" i="15"/>
  <c r="M8" i="15"/>
  <c r="DB8" i="15"/>
  <c r="S11" i="15"/>
  <c r="DD11" i="15"/>
  <c r="S9" i="15"/>
  <c r="DD9" i="15"/>
  <c r="U11" i="15"/>
  <c r="DE11" i="15"/>
  <c r="DB12" i="15"/>
  <c r="S5" i="15"/>
  <c r="DD5" i="15"/>
  <c r="Q7" i="15"/>
  <c r="DC7" i="15"/>
  <c r="M5" i="15"/>
  <c r="DB5" i="15"/>
  <c r="M9" i="15"/>
  <c r="DB9" i="15"/>
  <c r="S7" i="15"/>
  <c r="DD7" i="15"/>
  <c r="S12" i="15"/>
  <c r="DD12" i="15"/>
  <c r="Q10" i="15"/>
  <c r="DC10" i="15"/>
  <c r="M9" i="21"/>
  <c r="M8" i="21"/>
  <c r="I13" i="21"/>
  <c r="H13" i="21" s="1"/>
  <c r="RF8" i="21"/>
  <c r="RF14" i="21"/>
  <c r="I16" i="19"/>
  <c r="TT12" i="15"/>
  <c r="TX12" i="15" s="1"/>
  <c r="I9" i="21"/>
  <c r="RF12" i="21"/>
  <c r="Q14" i="15"/>
  <c r="RI6" i="21"/>
  <c r="RI10" i="21"/>
  <c r="I14" i="19"/>
  <c r="I13" i="19"/>
  <c r="H13" i="19" s="1"/>
  <c r="I4" i="19"/>
  <c r="I10" i="19"/>
  <c r="TT10" i="15"/>
  <c r="RF10" i="21"/>
  <c r="RF14" i="19"/>
  <c r="RF12" i="19"/>
  <c r="I11" i="19"/>
  <c r="H11" i="19" s="1"/>
  <c r="A14" i="21"/>
  <c r="RI4" i="21"/>
  <c r="RI8" i="21"/>
  <c r="RF4" i="21"/>
  <c r="RI11" i="21"/>
  <c r="RF6" i="21"/>
  <c r="S14" i="21"/>
  <c r="K5" i="21"/>
  <c r="K11" i="21"/>
  <c r="K12" i="21"/>
  <c r="K10" i="21"/>
  <c r="K14" i="21"/>
  <c r="I6" i="19"/>
  <c r="H6" i="19" s="1"/>
  <c r="K4" i="19"/>
  <c r="K12" i="19"/>
  <c r="K7" i="19"/>
  <c r="K13" i="19"/>
  <c r="I9" i="19"/>
  <c r="H9" i="19" s="1"/>
  <c r="TR4" i="17"/>
  <c r="TV4" i="17" s="1"/>
  <c r="O5" i="17"/>
  <c r="O4" i="17"/>
  <c r="K5" i="16"/>
  <c r="TT8" i="15"/>
  <c r="TX8" i="15" s="1"/>
  <c r="Q4" i="15"/>
  <c r="TT14" i="15"/>
  <c r="TX14" i="15" s="1"/>
  <c r="K5" i="15"/>
  <c r="I12" i="21"/>
  <c r="H12" i="21" s="1"/>
  <c r="RF11" i="21"/>
  <c r="M14" i="21"/>
  <c r="RI12" i="21"/>
  <c r="RF10" i="19"/>
  <c r="I7" i="19"/>
  <c r="H7" i="19" s="1"/>
  <c r="I15" i="19"/>
  <c r="H15" i="19" s="1"/>
  <c r="I12" i="19"/>
  <c r="H12" i="19" s="1"/>
  <c r="M11" i="21"/>
  <c r="I11" i="21"/>
  <c r="I4" i="21"/>
  <c r="H4" i="21" s="1"/>
  <c r="A13" i="21"/>
  <c r="I8" i="21"/>
  <c r="H8" i="21" s="1"/>
  <c r="I14" i="21"/>
  <c r="H14" i="21" s="1"/>
  <c r="RI13" i="21"/>
  <c r="RF16" i="19"/>
  <c r="RF4" i="19"/>
  <c r="H5" i="19"/>
  <c r="PX4" i="18"/>
  <c r="H5" i="17"/>
  <c r="H4" i="19"/>
  <c r="RF15" i="19"/>
  <c r="RF7" i="19"/>
  <c r="I5" i="19"/>
  <c r="RF6" i="19"/>
  <c r="RI5" i="19"/>
  <c r="RF5" i="19"/>
  <c r="RF11" i="19"/>
  <c r="RI9" i="19"/>
  <c r="RF9" i="19"/>
  <c r="H10" i="19"/>
  <c r="RF13" i="19"/>
  <c r="H16" i="19"/>
  <c r="I6" i="21"/>
  <c r="H6" i="21" s="1"/>
  <c r="I7" i="21"/>
  <c r="H7" i="21" s="1"/>
  <c r="H11" i="21"/>
  <c r="M6" i="21"/>
  <c r="M4" i="21"/>
  <c r="I5" i="21"/>
  <c r="H5" i="21" s="1"/>
  <c r="K4" i="21"/>
  <c r="H9" i="21"/>
  <c r="RI5" i="21"/>
  <c r="RF5" i="21"/>
  <c r="T12" i="21"/>
  <c r="I10" i="21"/>
  <c r="H10" i="21" s="1"/>
  <c r="RI9" i="21"/>
  <c r="RF9" i="21"/>
  <c r="K7" i="21"/>
  <c r="T11" i="21"/>
  <c r="S11" i="21"/>
  <c r="RI7" i="21"/>
  <c r="RF7" i="21"/>
  <c r="K13" i="21"/>
  <c r="M7" i="21"/>
  <c r="T5" i="21"/>
  <c r="S5" i="21"/>
  <c r="T10" i="21"/>
  <c r="M10" i="21"/>
  <c r="K9" i="21"/>
  <c r="K6" i="21"/>
  <c r="H14" i="19"/>
  <c r="S10" i="19"/>
  <c r="PX5" i="18"/>
  <c r="H5" i="18"/>
  <c r="Q4" i="16"/>
  <c r="Q5" i="15"/>
  <c r="TT4" i="15"/>
  <c r="TX4" i="15" s="1"/>
  <c r="TT9" i="15"/>
  <c r="TX9" i="15" s="1"/>
  <c r="RI14" i="19"/>
  <c r="RI10" i="19"/>
  <c r="RI11" i="19"/>
  <c r="M9" i="19"/>
  <c r="RI15" i="19"/>
  <c r="S9" i="19"/>
  <c r="RI6" i="19"/>
  <c r="RI16" i="19"/>
  <c r="RI13" i="19"/>
  <c r="T5" i="19"/>
  <c r="V5" i="19" s="1"/>
  <c r="M6" i="19"/>
  <c r="M14" i="19"/>
  <c r="M10" i="19"/>
  <c r="T10" i="19"/>
  <c r="M13" i="19"/>
  <c r="K10" i="19"/>
  <c r="S15" i="19"/>
  <c r="K11" i="19"/>
  <c r="M15" i="19"/>
  <c r="K15" i="19"/>
  <c r="K9" i="19"/>
  <c r="K16" i="19"/>
  <c r="T9" i="19"/>
  <c r="K6" i="19"/>
  <c r="M11" i="19"/>
  <c r="S5" i="19"/>
  <c r="RI12" i="19"/>
  <c r="RI4" i="19"/>
  <c r="RI7" i="19"/>
  <c r="M7" i="19"/>
  <c r="M4" i="19"/>
  <c r="K5" i="19"/>
  <c r="K4" i="18"/>
  <c r="K5" i="18"/>
  <c r="TR5" i="17"/>
  <c r="TV5" i="17" s="1"/>
  <c r="A5" i="17" a="1"/>
  <c r="A5" i="17" s="1"/>
  <c r="TR4" i="16"/>
  <c r="TV4" i="16" s="1"/>
  <c r="Q6" i="15"/>
  <c r="M5" i="17"/>
  <c r="K4" i="17"/>
  <c r="H4" i="17"/>
  <c r="K5" i="17"/>
  <c r="M4" i="17"/>
  <c r="TR5" i="16"/>
  <c r="TV5" i="16" s="1"/>
  <c r="H4" i="16"/>
  <c r="Q5" i="16"/>
  <c r="K4" i="16"/>
  <c r="O4" i="16"/>
  <c r="H5" i="16"/>
  <c r="H9" i="15"/>
  <c r="H11" i="15"/>
  <c r="Q11" i="15"/>
  <c r="H8" i="15"/>
  <c r="H5" i="15"/>
  <c r="H7" i="15"/>
  <c r="TT11" i="15"/>
  <c r="TX11" i="15" s="1"/>
  <c r="TT6" i="15"/>
  <c r="TX6" i="15" s="1"/>
  <c r="A14" i="15" a="1"/>
  <c r="A14" i="15" s="1"/>
  <c r="TX10" i="15"/>
  <c r="H4" i="15"/>
  <c r="H6" i="15"/>
  <c r="TT7" i="15"/>
  <c r="TX7" i="15" s="1"/>
  <c r="TT5" i="15"/>
  <c r="TX5" i="15" s="1"/>
  <c r="M7" i="15"/>
  <c r="K10" i="15"/>
  <c r="K6" i="15"/>
  <c r="M10" i="15"/>
  <c r="K7" i="15"/>
  <c r="M11" i="15"/>
  <c r="H14" i="15"/>
  <c r="H10" i="15"/>
  <c r="K9" i="15"/>
  <c r="H12" i="15"/>
  <c r="M12" i="15"/>
  <c r="K4" i="15"/>
  <c r="K12" i="15"/>
  <c r="E14" i="15" l="1"/>
  <c r="E8" i="21"/>
  <c r="E13" i="21"/>
  <c r="E9" i="21"/>
  <c r="T7" i="21"/>
  <c r="U8" i="21"/>
  <c r="V8" i="21"/>
  <c r="T4" i="21"/>
  <c r="E4" i="21" s="1"/>
  <c r="V9" i="21"/>
  <c r="T16" i="19"/>
  <c r="U16" i="19" s="1"/>
  <c r="P5" i="18"/>
  <c r="R5" i="18" s="1"/>
  <c r="V13" i="21"/>
  <c r="E12" i="21"/>
  <c r="V6" i="21"/>
  <c r="U6" i="21"/>
  <c r="E6" i="21"/>
  <c r="E5" i="19"/>
  <c r="U14" i="21"/>
  <c r="E14" i="21"/>
  <c r="E11" i="21"/>
  <c r="E10" i="21"/>
  <c r="E7" i="21"/>
  <c r="E5" i="21"/>
  <c r="E9" i="19"/>
  <c r="E10" i="19"/>
  <c r="T5" i="17"/>
  <c r="E5" i="17" s="1"/>
  <c r="T11" i="19"/>
  <c r="E11" i="19" s="1"/>
  <c r="P4" i="18"/>
  <c r="T6" i="19"/>
  <c r="U6" i="19" s="1"/>
  <c r="V7" i="21"/>
  <c r="U7" i="21"/>
  <c r="V11" i="21"/>
  <c r="U11" i="21"/>
  <c r="V5" i="21"/>
  <c r="U5" i="21"/>
  <c r="V10" i="21"/>
  <c r="U10" i="21"/>
  <c r="U12" i="21"/>
  <c r="V12" i="21"/>
  <c r="T13" i="19"/>
  <c r="E13" i="19" s="1"/>
  <c r="T14" i="19"/>
  <c r="V14" i="19" s="1"/>
  <c r="T4" i="17"/>
  <c r="U10" i="19"/>
  <c r="V10" i="19"/>
  <c r="U9" i="19"/>
  <c r="V9" i="19"/>
  <c r="T15" i="19"/>
  <c r="E15" i="19" s="1"/>
  <c r="T7" i="19"/>
  <c r="V7" i="19" s="1"/>
  <c r="T4" i="19"/>
  <c r="V4" i="19" s="1"/>
  <c r="U5" i="19"/>
  <c r="T12" i="19"/>
  <c r="E12" i="19" s="1"/>
  <c r="V10" i="15"/>
  <c r="E10" i="15" s="1"/>
  <c r="V8" i="15"/>
  <c r="E8" i="15" s="1"/>
  <c r="T5" i="16"/>
  <c r="E5" i="16" s="1"/>
  <c r="T4" i="16"/>
  <c r="E4" i="16" s="1"/>
  <c r="V5" i="15"/>
  <c r="X5" i="15" s="1"/>
  <c r="V12" i="15"/>
  <c r="E12" i="15" s="1"/>
  <c r="V6" i="15"/>
  <c r="X6" i="15" s="1"/>
  <c r="V4" i="15"/>
  <c r="E4" i="15" s="1"/>
  <c r="V11" i="15"/>
  <c r="X11" i="15" s="1"/>
  <c r="V9" i="15"/>
  <c r="E9" i="15" s="1"/>
  <c r="X14" i="15"/>
  <c r="W14" i="15"/>
  <c r="V7" i="15"/>
  <c r="E7" i="15" s="1"/>
  <c r="R4" i="18" l="1"/>
  <c r="DR4" i="18"/>
  <c r="V4" i="21"/>
  <c r="U4" i="21"/>
  <c r="Q5" i="18"/>
  <c r="A10" i="21"/>
  <c r="A9" i="21"/>
  <c r="V16" i="19"/>
  <c r="E16" i="19"/>
  <c r="E5" i="18"/>
  <c r="A8" i="21"/>
  <c r="A5" i="21"/>
  <c r="U5" i="17"/>
  <c r="A6" i="21" a="1"/>
  <c r="A6" i="21" s="1"/>
  <c r="E4" i="19"/>
  <c r="E6" i="19"/>
  <c r="V6" i="19"/>
  <c r="E7" i="19"/>
  <c r="V11" i="19"/>
  <c r="E14" i="19"/>
  <c r="U11" i="19"/>
  <c r="E4" i="18"/>
  <c r="E4" i="17"/>
  <c r="A4" i="17" s="1" a="1"/>
  <c r="A4" i="17" s="1"/>
  <c r="D24" i="11" s="1"/>
  <c r="V5" i="17"/>
  <c r="E5" i="15"/>
  <c r="E6" i="15"/>
  <c r="E11" i="15"/>
  <c r="A4" i="21"/>
  <c r="Q4" i="18"/>
  <c r="U4" i="17"/>
  <c r="V4" i="17"/>
  <c r="X8" i="15"/>
  <c r="W10" i="15"/>
  <c r="X10" i="15"/>
  <c r="A12" i="21"/>
  <c r="A7" i="21"/>
  <c r="A11" i="21"/>
  <c r="V13" i="19"/>
  <c r="U13" i="19"/>
  <c r="U14" i="19"/>
  <c r="U4" i="19"/>
  <c r="U15" i="19"/>
  <c r="V15" i="19"/>
  <c r="A11" i="19"/>
  <c r="A10" i="19"/>
  <c r="A14" i="19"/>
  <c r="U7" i="19"/>
  <c r="U12" i="19"/>
  <c r="V12" i="19"/>
  <c r="W12" i="15"/>
  <c r="W8" i="15"/>
  <c r="U5" i="16"/>
  <c r="V5" i="16"/>
  <c r="U4" i="16"/>
  <c r="V4" i="16"/>
  <c r="X12" i="15"/>
  <c r="W5" i="15"/>
  <c r="W4" i="15"/>
  <c r="X4" i="15"/>
  <c r="W6" i="15"/>
  <c r="W11" i="15"/>
  <c r="X9" i="15"/>
  <c r="W9" i="15"/>
  <c r="X7" i="15"/>
  <c r="W7" i="15"/>
  <c r="A8" i="19" l="1"/>
  <c r="A13" i="15" a="1"/>
  <c r="A13" i="15" s="1"/>
  <c r="C23" i="11"/>
  <c r="C22" i="11"/>
  <c r="D22" i="11"/>
  <c r="C24" i="11"/>
  <c r="C25" i="11"/>
  <c r="D25" i="11"/>
  <c r="D23" i="11"/>
  <c r="C51" i="11"/>
  <c r="C55" i="11"/>
  <c r="D51" i="11"/>
  <c r="D54" i="11"/>
  <c r="C57" i="11"/>
  <c r="D53" i="11"/>
  <c r="C56" i="11"/>
  <c r="C52" i="11"/>
  <c r="C50" i="11"/>
  <c r="D55" i="11"/>
  <c r="C54" i="11"/>
  <c r="D50" i="11"/>
  <c r="C53" i="11"/>
  <c r="D57" i="11"/>
  <c r="D56" i="11"/>
  <c r="D52" i="11"/>
  <c r="A5" i="19" a="1"/>
  <c r="A5" i="19" s="1"/>
  <c r="A5" i="15" a="1"/>
  <c r="A5" i="15" s="1"/>
  <c r="A12" i="19"/>
  <c r="A15" i="19"/>
  <c r="A13" i="19"/>
  <c r="A16" i="19"/>
  <c r="A9" i="19"/>
  <c r="A6" i="19"/>
  <c r="A4" i="19"/>
  <c r="A7" i="19"/>
  <c r="A5" i="16" a="1"/>
  <c r="A5" i="16" s="1"/>
  <c r="A4" i="16" a="1"/>
  <c r="A4" i="16" s="1"/>
  <c r="A10" i="15" a="1"/>
  <c r="A10" i="15" s="1"/>
  <c r="A9" i="15" a="1"/>
  <c r="A9" i="15" s="1"/>
  <c r="A11" i="15" a="1"/>
  <c r="A11" i="15" s="1"/>
  <c r="A6" i="15" a="1"/>
  <c r="A6" i="15" s="1"/>
  <c r="A4" i="15" a="1"/>
  <c r="A4" i="15" s="1"/>
  <c r="A7" i="15" a="1"/>
  <c r="A7" i="15" s="1"/>
  <c r="A8" i="15" a="1"/>
  <c r="A8" i="15" s="1"/>
  <c r="A12" i="15" a="1"/>
  <c r="A12" i="15" s="1"/>
  <c r="D43" i="11" l="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D19" i="11"/>
  <c r="D20" i="11"/>
  <c r="D21" i="11"/>
  <c r="C19" i="11"/>
  <c r="C20" i="11"/>
  <c r="C21" i="11"/>
  <c r="C18" i="11"/>
  <c r="D18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D17" i="11"/>
  <c r="C17" i="11"/>
  <c r="D10" i="11"/>
  <c r="C10" i="11"/>
  <c r="SV19" i="4"/>
  <c r="SU19" i="4"/>
  <c r="ST19" i="4"/>
  <c r="SS19" i="4"/>
  <c r="SR19" i="4"/>
  <c r="SQ19" i="4"/>
  <c r="SO19" i="4"/>
  <c r="SN19" i="4"/>
  <c r="SM19" i="4"/>
  <c r="SL19" i="4"/>
  <c r="SK19" i="4"/>
  <c r="SJ19" i="4"/>
  <c r="RN19" i="4"/>
  <c r="RM19" i="4"/>
  <c r="RL19" i="4"/>
  <c r="RK19" i="4"/>
  <c r="RJ19" i="4"/>
  <c r="RI19" i="4"/>
  <c r="RG19" i="4"/>
  <c r="RF19" i="4"/>
  <c r="RE19" i="4"/>
  <c r="RD19" i="4"/>
  <c r="RC19" i="4"/>
  <c r="RB19" i="4"/>
  <c r="QF19" i="4"/>
  <c r="QE19" i="4"/>
  <c r="QD19" i="4"/>
  <c r="QC19" i="4"/>
  <c r="QB19" i="4"/>
  <c r="QA19" i="4"/>
  <c r="PY19" i="4"/>
  <c r="PX19" i="4"/>
  <c r="PW19" i="4"/>
  <c r="PV19" i="4"/>
  <c r="PU19" i="4"/>
  <c r="PT19" i="4"/>
  <c r="OX19" i="4"/>
  <c r="OW19" i="4"/>
  <c r="OV19" i="4"/>
  <c r="OU19" i="4"/>
  <c r="OT19" i="4"/>
  <c r="OS19" i="4"/>
  <c r="OQ19" i="4"/>
  <c r="OP19" i="4"/>
  <c r="OO19" i="4"/>
  <c r="ON19" i="4"/>
  <c r="OM19" i="4"/>
  <c r="OL19" i="4"/>
  <c r="NP19" i="4"/>
  <c r="NO19" i="4"/>
  <c r="NN19" i="4"/>
  <c r="NM19" i="4"/>
  <c r="NL19" i="4"/>
  <c r="NK19" i="4"/>
  <c r="NI19" i="4"/>
  <c r="NH19" i="4"/>
  <c r="NG19" i="4"/>
  <c r="NF19" i="4"/>
  <c r="NE19" i="4"/>
  <c r="ND19" i="4"/>
  <c r="MH19" i="4"/>
  <c r="MG19" i="4"/>
  <c r="MF19" i="4"/>
  <c r="ME19" i="4"/>
  <c r="MD19" i="4"/>
  <c r="MC19" i="4"/>
  <c r="MA19" i="4"/>
  <c r="LZ19" i="4"/>
  <c r="LY19" i="4"/>
  <c r="LX19" i="4"/>
  <c r="LW19" i="4"/>
  <c r="LV19" i="4"/>
  <c r="SV22" i="4"/>
  <c r="SU22" i="4"/>
  <c r="ST22" i="4"/>
  <c r="SS22" i="4"/>
  <c r="SR22" i="4"/>
  <c r="SQ22" i="4"/>
  <c r="SO22" i="4"/>
  <c r="SN22" i="4"/>
  <c r="SM22" i="4"/>
  <c r="SL22" i="4"/>
  <c r="SK22" i="4"/>
  <c r="SJ22" i="4"/>
  <c r="RN22" i="4"/>
  <c r="RM22" i="4"/>
  <c r="RL22" i="4"/>
  <c r="RK22" i="4"/>
  <c r="RJ22" i="4"/>
  <c r="RI22" i="4"/>
  <c r="RG22" i="4"/>
  <c r="RF22" i="4"/>
  <c r="RE22" i="4"/>
  <c r="RD22" i="4"/>
  <c r="RC22" i="4"/>
  <c r="RB22" i="4"/>
  <c r="QF22" i="4"/>
  <c r="QE22" i="4"/>
  <c r="QD22" i="4"/>
  <c r="QC22" i="4"/>
  <c r="QB22" i="4"/>
  <c r="QA22" i="4"/>
  <c r="PY22" i="4"/>
  <c r="PX22" i="4"/>
  <c r="PW22" i="4"/>
  <c r="PV22" i="4"/>
  <c r="PU22" i="4"/>
  <c r="PT22" i="4"/>
  <c r="OX22" i="4"/>
  <c r="OW22" i="4"/>
  <c r="OV22" i="4"/>
  <c r="OU22" i="4"/>
  <c r="OT22" i="4"/>
  <c r="OS22" i="4"/>
  <c r="OQ22" i="4"/>
  <c r="OP22" i="4"/>
  <c r="OO22" i="4"/>
  <c r="ON22" i="4"/>
  <c r="OM22" i="4"/>
  <c r="OL22" i="4"/>
  <c r="NP22" i="4"/>
  <c r="NO22" i="4"/>
  <c r="NN22" i="4"/>
  <c r="NM22" i="4"/>
  <c r="NL22" i="4"/>
  <c r="NK22" i="4"/>
  <c r="NI22" i="4"/>
  <c r="NH22" i="4"/>
  <c r="NG22" i="4"/>
  <c r="NF22" i="4"/>
  <c r="NE22" i="4"/>
  <c r="ND22" i="4"/>
  <c r="MH22" i="4"/>
  <c r="MG22" i="4"/>
  <c r="MF22" i="4"/>
  <c r="ME22" i="4"/>
  <c r="MD22" i="4"/>
  <c r="MC22" i="4"/>
  <c r="MA22" i="4"/>
  <c r="LZ22" i="4"/>
  <c r="LY22" i="4"/>
  <c r="LX22" i="4"/>
  <c r="LW22" i="4"/>
  <c r="LV22" i="4"/>
  <c r="SV15" i="4"/>
  <c r="SU15" i="4"/>
  <c r="ST15" i="4"/>
  <c r="SS15" i="4"/>
  <c r="SR15" i="4"/>
  <c r="SQ15" i="4"/>
  <c r="SO15" i="4"/>
  <c r="SP15" i="4" s="1"/>
  <c r="SN15" i="4"/>
  <c r="SM15" i="4"/>
  <c r="SL15" i="4"/>
  <c r="SK15" i="4"/>
  <c r="SJ15" i="4"/>
  <c r="RN15" i="4"/>
  <c r="RM15" i="4"/>
  <c r="RL15" i="4"/>
  <c r="RK15" i="4"/>
  <c r="RJ15" i="4"/>
  <c r="RI15" i="4"/>
  <c r="RG15" i="4"/>
  <c r="RF15" i="4"/>
  <c r="RE15" i="4"/>
  <c r="RD15" i="4"/>
  <c r="RC15" i="4"/>
  <c r="RB15" i="4"/>
  <c r="QF15" i="4"/>
  <c r="QE15" i="4"/>
  <c r="QD15" i="4"/>
  <c r="QC15" i="4"/>
  <c r="QB15" i="4"/>
  <c r="QA15" i="4"/>
  <c r="PY15" i="4"/>
  <c r="PX15" i="4"/>
  <c r="PW15" i="4"/>
  <c r="PV15" i="4"/>
  <c r="PU15" i="4"/>
  <c r="PT15" i="4"/>
  <c r="OX15" i="4"/>
  <c r="OW15" i="4"/>
  <c r="OV15" i="4"/>
  <c r="OU15" i="4"/>
  <c r="OT15" i="4"/>
  <c r="OS15" i="4"/>
  <c r="OQ15" i="4"/>
  <c r="OP15" i="4"/>
  <c r="OO15" i="4"/>
  <c r="ON15" i="4"/>
  <c r="OM15" i="4"/>
  <c r="OL15" i="4"/>
  <c r="NP15" i="4"/>
  <c r="NO15" i="4"/>
  <c r="NN15" i="4"/>
  <c r="NM15" i="4"/>
  <c r="NL15" i="4"/>
  <c r="NK15" i="4"/>
  <c r="NI15" i="4"/>
  <c r="NJ15" i="4" s="1"/>
  <c r="NH15" i="4"/>
  <c r="NG15" i="4"/>
  <c r="NF15" i="4"/>
  <c r="NE15" i="4"/>
  <c r="ND15" i="4"/>
  <c r="MH15" i="4"/>
  <c r="MG15" i="4"/>
  <c r="MF15" i="4"/>
  <c r="ME15" i="4"/>
  <c r="MD15" i="4"/>
  <c r="MC15" i="4"/>
  <c r="MA15" i="4"/>
  <c r="LZ15" i="4"/>
  <c r="LY15" i="4"/>
  <c r="LX15" i="4"/>
  <c r="LW15" i="4"/>
  <c r="LV15" i="4"/>
  <c r="SV17" i="4"/>
  <c r="SU17" i="4"/>
  <c r="ST17" i="4"/>
  <c r="SS17" i="4"/>
  <c r="SR17" i="4"/>
  <c r="SQ17" i="4"/>
  <c r="SO17" i="4"/>
  <c r="SN17" i="4"/>
  <c r="SM17" i="4"/>
  <c r="SL17" i="4"/>
  <c r="SK17" i="4"/>
  <c r="SJ17" i="4"/>
  <c r="RN17" i="4"/>
  <c r="RM17" i="4"/>
  <c r="RL17" i="4"/>
  <c r="RK17" i="4"/>
  <c r="RJ17" i="4"/>
  <c r="RI17" i="4"/>
  <c r="RG17" i="4"/>
  <c r="RF17" i="4"/>
  <c r="RE17" i="4"/>
  <c r="RD17" i="4"/>
  <c r="RC17" i="4"/>
  <c r="RB17" i="4"/>
  <c r="QF17" i="4"/>
  <c r="QE17" i="4"/>
  <c r="QD17" i="4"/>
  <c r="QC17" i="4"/>
  <c r="QB17" i="4"/>
  <c r="QA17" i="4"/>
  <c r="PY17" i="4"/>
  <c r="PX17" i="4"/>
  <c r="PW17" i="4"/>
  <c r="PV17" i="4"/>
  <c r="PU17" i="4"/>
  <c r="PT17" i="4"/>
  <c r="OX17" i="4"/>
  <c r="OW17" i="4"/>
  <c r="OV17" i="4"/>
  <c r="OU17" i="4"/>
  <c r="OT17" i="4"/>
  <c r="OS17" i="4"/>
  <c r="OQ17" i="4"/>
  <c r="OP17" i="4"/>
  <c r="OO17" i="4"/>
  <c r="ON17" i="4"/>
  <c r="OM17" i="4"/>
  <c r="OL17" i="4"/>
  <c r="NP17" i="4"/>
  <c r="NO17" i="4"/>
  <c r="NN17" i="4"/>
  <c r="NM17" i="4"/>
  <c r="NL17" i="4"/>
  <c r="NK17" i="4"/>
  <c r="NI17" i="4"/>
  <c r="NH17" i="4"/>
  <c r="NG17" i="4"/>
  <c r="NF17" i="4"/>
  <c r="NE17" i="4"/>
  <c r="ND17" i="4"/>
  <c r="MH17" i="4"/>
  <c r="MG17" i="4"/>
  <c r="MF17" i="4"/>
  <c r="ME17" i="4"/>
  <c r="MD17" i="4"/>
  <c r="MC17" i="4"/>
  <c r="MA17" i="4"/>
  <c r="LZ17" i="4"/>
  <c r="LY17" i="4"/>
  <c r="LX17" i="4"/>
  <c r="LW17" i="4"/>
  <c r="LV17" i="4"/>
  <c r="SV14" i="4"/>
  <c r="SU14" i="4"/>
  <c r="ST14" i="4"/>
  <c r="SS14" i="4"/>
  <c r="SR14" i="4"/>
  <c r="SQ14" i="4"/>
  <c r="SO14" i="4"/>
  <c r="SN14" i="4"/>
  <c r="SM14" i="4"/>
  <c r="SL14" i="4"/>
  <c r="SK14" i="4"/>
  <c r="SJ14" i="4"/>
  <c r="RN14" i="4"/>
  <c r="RM14" i="4"/>
  <c r="RL14" i="4"/>
  <c r="RK14" i="4"/>
  <c r="RJ14" i="4"/>
  <c r="RI14" i="4"/>
  <c r="RG14" i="4"/>
  <c r="RF14" i="4"/>
  <c r="RE14" i="4"/>
  <c r="RD14" i="4"/>
  <c r="RC14" i="4"/>
  <c r="RB14" i="4"/>
  <c r="QF14" i="4"/>
  <c r="QE14" i="4"/>
  <c r="QD14" i="4"/>
  <c r="QC14" i="4"/>
  <c r="QB14" i="4"/>
  <c r="QA14" i="4"/>
  <c r="PY14" i="4"/>
  <c r="PX14" i="4"/>
  <c r="PW14" i="4"/>
  <c r="PV14" i="4"/>
  <c r="PU14" i="4"/>
  <c r="PT14" i="4"/>
  <c r="OX14" i="4"/>
  <c r="OW14" i="4"/>
  <c r="OV14" i="4"/>
  <c r="OU14" i="4"/>
  <c r="OT14" i="4"/>
  <c r="OS14" i="4"/>
  <c r="OQ14" i="4"/>
  <c r="OP14" i="4"/>
  <c r="OO14" i="4"/>
  <c r="ON14" i="4"/>
  <c r="OM14" i="4"/>
  <c r="OL14" i="4"/>
  <c r="NP14" i="4"/>
  <c r="NO14" i="4"/>
  <c r="NN14" i="4"/>
  <c r="NM14" i="4"/>
  <c r="NL14" i="4"/>
  <c r="NK14" i="4"/>
  <c r="NI14" i="4"/>
  <c r="NH14" i="4"/>
  <c r="NG14" i="4"/>
  <c r="NF14" i="4"/>
  <c r="NE14" i="4"/>
  <c r="ND14" i="4"/>
  <c r="MH14" i="4"/>
  <c r="MG14" i="4"/>
  <c r="MF14" i="4"/>
  <c r="ME14" i="4"/>
  <c r="MD14" i="4"/>
  <c r="MC14" i="4"/>
  <c r="MA14" i="4"/>
  <c r="LZ14" i="4"/>
  <c r="LY14" i="4"/>
  <c r="LX14" i="4"/>
  <c r="LW14" i="4"/>
  <c r="LV14" i="4"/>
  <c r="SV20" i="4"/>
  <c r="SU20" i="4"/>
  <c r="ST20" i="4"/>
  <c r="SS20" i="4"/>
  <c r="SR20" i="4"/>
  <c r="SQ20" i="4"/>
  <c r="SO20" i="4"/>
  <c r="SN20" i="4"/>
  <c r="SM20" i="4"/>
  <c r="SL20" i="4"/>
  <c r="SK20" i="4"/>
  <c r="SJ20" i="4"/>
  <c r="RN20" i="4"/>
  <c r="RM20" i="4"/>
  <c r="RL20" i="4"/>
  <c r="RK20" i="4"/>
  <c r="RJ20" i="4"/>
  <c r="RI20" i="4"/>
  <c r="RG20" i="4"/>
  <c r="RF20" i="4"/>
  <c r="RE20" i="4"/>
  <c r="RD20" i="4"/>
  <c r="RC20" i="4"/>
  <c r="RB20" i="4"/>
  <c r="QF20" i="4"/>
  <c r="QE20" i="4"/>
  <c r="QD20" i="4"/>
  <c r="QC20" i="4"/>
  <c r="QB20" i="4"/>
  <c r="QA20" i="4"/>
  <c r="PY20" i="4"/>
  <c r="PX20" i="4"/>
  <c r="PW20" i="4"/>
  <c r="PV20" i="4"/>
  <c r="PU20" i="4"/>
  <c r="PT20" i="4"/>
  <c r="OX20" i="4"/>
  <c r="OW20" i="4"/>
  <c r="OV20" i="4"/>
  <c r="OU20" i="4"/>
  <c r="OT20" i="4"/>
  <c r="OS20" i="4"/>
  <c r="OQ20" i="4"/>
  <c r="OP20" i="4"/>
  <c r="OO20" i="4"/>
  <c r="ON20" i="4"/>
  <c r="OR20" i="4" s="1"/>
  <c r="OM20" i="4"/>
  <c r="OL20" i="4"/>
  <c r="NP20" i="4"/>
  <c r="NO20" i="4"/>
  <c r="NN20" i="4"/>
  <c r="NM20" i="4"/>
  <c r="NL20" i="4"/>
  <c r="NK20" i="4"/>
  <c r="NI20" i="4"/>
  <c r="NH20" i="4"/>
  <c r="NG20" i="4"/>
  <c r="NF20" i="4"/>
  <c r="NE20" i="4"/>
  <c r="ND20" i="4"/>
  <c r="MH20" i="4"/>
  <c r="MG20" i="4"/>
  <c r="MF20" i="4"/>
  <c r="ME20" i="4"/>
  <c r="MD20" i="4"/>
  <c r="MC20" i="4"/>
  <c r="MA20" i="4"/>
  <c r="LZ20" i="4"/>
  <c r="LY20" i="4"/>
  <c r="LX20" i="4"/>
  <c r="LW20" i="4"/>
  <c r="LV20" i="4"/>
  <c r="SV21" i="4"/>
  <c r="SU21" i="4"/>
  <c r="ST21" i="4"/>
  <c r="SS21" i="4"/>
  <c r="SR21" i="4"/>
  <c r="SQ21" i="4"/>
  <c r="SO21" i="4"/>
  <c r="SN21" i="4"/>
  <c r="SM21" i="4"/>
  <c r="SL21" i="4"/>
  <c r="SK21" i="4"/>
  <c r="SJ21" i="4"/>
  <c r="RN21" i="4"/>
  <c r="RM21" i="4"/>
  <c r="RL21" i="4"/>
  <c r="RK21" i="4"/>
  <c r="RJ21" i="4"/>
  <c r="RI21" i="4"/>
  <c r="RG21" i="4"/>
  <c r="RF21" i="4"/>
  <c r="RE21" i="4"/>
  <c r="RD21" i="4"/>
  <c r="RH21" i="4" s="1"/>
  <c r="RC21" i="4"/>
  <c r="RB21" i="4"/>
  <c r="QF21" i="4"/>
  <c r="QE21" i="4"/>
  <c r="QD21" i="4"/>
  <c r="QC21" i="4"/>
  <c r="QB21" i="4"/>
  <c r="QA21" i="4"/>
  <c r="PY21" i="4"/>
  <c r="PX21" i="4"/>
  <c r="PW21" i="4"/>
  <c r="PV21" i="4"/>
  <c r="PU21" i="4"/>
  <c r="PT21" i="4"/>
  <c r="OX21" i="4"/>
  <c r="OW21" i="4"/>
  <c r="OV21" i="4"/>
  <c r="OU21" i="4"/>
  <c r="OT21" i="4"/>
  <c r="OS21" i="4"/>
  <c r="OQ21" i="4"/>
  <c r="OP21" i="4"/>
  <c r="OO21" i="4"/>
  <c r="ON21" i="4"/>
  <c r="OM21" i="4"/>
  <c r="OL21" i="4"/>
  <c r="NP21" i="4"/>
  <c r="NO21" i="4"/>
  <c r="NN21" i="4"/>
  <c r="NM21" i="4"/>
  <c r="NL21" i="4"/>
  <c r="NK21" i="4"/>
  <c r="NI21" i="4"/>
  <c r="NH21" i="4"/>
  <c r="NG21" i="4"/>
  <c r="NF21" i="4"/>
  <c r="NE21" i="4"/>
  <c r="ND21" i="4"/>
  <c r="MH21" i="4"/>
  <c r="MG21" i="4"/>
  <c r="MF21" i="4"/>
  <c r="ME21" i="4"/>
  <c r="MD21" i="4"/>
  <c r="MC21" i="4"/>
  <c r="MA21" i="4"/>
  <c r="LZ21" i="4"/>
  <c r="LY21" i="4"/>
  <c r="LX21" i="4"/>
  <c r="MB21" i="4" s="1"/>
  <c r="LW21" i="4"/>
  <c r="LV21" i="4"/>
  <c r="SV11" i="4"/>
  <c r="SU11" i="4"/>
  <c r="ST11" i="4"/>
  <c r="SS11" i="4"/>
  <c r="SR11" i="4"/>
  <c r="SQ11" i="4"/>
  <c r="SO11" i="4"/>
  <c r="SN11" i="4"/>
  <c r="SM11" i="4"/>
  <c r="SL11" i="4"/>
  <c r="SK11" i="4"/>
  <c r="SJ11" i="4"/>
  <c r="RN11" i="4"/>
  <c r="RM11" i="4"/>
  <c r="RL11" i="4"/>
  <c r="RK11" i="4"/>
  <c r="RJ11" i="4"/>
  <c r="RI11" i="4"/>
  <c r="RG11" i="4"/>
  <c r="RF11" i="4"/>
  <c r="RE11" i="4"/>
  <c r="RD11" i="4"/>
  <c r="RC11" i="4"/>
  <c r="RB11" i="4"/>
  <c r="QF11" i="4"/>
  <c r="QE11" i="4"/>
  <c r="QD11" i="4"/>
  <c r="QC11" i="4"/>
  <c r="QB11" i="4"/>
  <c r="QA11" i="4"/>
  <c r="PY11" i="4"/>
  <c r="PX11" i="4"/>
  <c r="PW11" i="4"/>
  <c r="PV11" i="4"/>
  <c r="PU11" i="4"/>
  <c r="PT11" i="4"/>
  <c r="OX11" i="4"/>
  <c r="OW11" i="4"/>
  <c r="OV11" i="4"/>
  <c r="OU11" i="4"/>
  <c r="OT11" i="4"/>
  <c r="OS11" i="4"/>
  <c r="OQ11" i="4"/>
  <c r="OP11" i="4"/>
  <c r="OO11" i="4"/>
  <c r="ON11" i="4"/>
  <c r="OR11" i="4" s="1"/>
  <c r="OM11" i="4"/>
  <c r="OL11" i="4"/>
  <c r="NP11" i="4"/>
  <c r="NO11" i="4"/>
  <c r="NN11" i="4"/>
  <c r="NM11" i="4"/>
  <c r="NL11" i="4"/>
  <c r="NK11" i="4"/>
  <c r="NI11" i="4"/>
  <c r="NH11" i="4"/>
  <c r="NG11" i="4"/>
  <c r="NF11" i="4"/>
  <c r="NE11" i="4"/>
  <c r="ND11" i="4"/>
  <c r="MH11" i="4"/>
  <c r="MG11" i="4"/>
  <c r="MF11" i="4"/>
  <c r="ME11" i="4"/>
  <c r="MD11" i="4"/>
  <c r="MC11" i="4"/>
  <c r="MA11" i="4"/>
  <c r="LZ11" i="4"/>
  <c r="LY11" i="4"/>
  <c r="LX11" i="4"/>
  <c r="LW11" i="4"/>
  <c r="LV11" i="4"/>
  <c r="SV16" i="4"/>
  <c r="SU16" i="4"/>
  <c r="ST16" i="4"/>
  <c r="SS16" i="4"/>
  <c r="SR16" i="4"/>
  <c r="SQ16" i="4"/>
  <c r="SO16" i="4"/>
  <c r="SN16" i="4"/>
  <c r="SM16" i="4"/>
  <c r="SL16" i="4"/>
  <c r="SK16" i="4"/>
  <c r="SJ16" i="4"/>
  <c r="RN16" i="4"/>
  <c r="RM16" i="4"/>
  <c r="RL16" i="4"/>
  <c r="RK16" i="4"/>
  <c r="RJ16" i="4"/>
  <c r="RI16" i="4"/>
  <c r="RG16" i="4"/>
  <c r="RF16" i="4"/>
  <c r="RE16" i="4"/>
  <c r="RD16" i="4"/>
  <c r="RC16" i="4"/>
  <c r="RB16" i="4"/>
  <c r="QF16" i="4"/>
  <c r="QE16" i="4"/>
  <c r="QD16" i="4"/>
  <c r="QC16" i="4"/>
  <c r="QB16" i="4"/>
  <c r="QA16" i="4"/>
  <c r="PY16" i="4"/>
  <c r="PX16" i="4"/>
  <c r="PW16" i="4"/>
  <c r="PV16" i="4"/>
  <c r="PU16" i="4"/>
  <c r="PT16" i="4"/>
  <c r="OX16" i="4"/>
  <c r="OW16" i="4"/>
  <c r="OV16" i="4"/>
  <c r="OU16" i="4"/>
  <c r="OT16" i="4"/>
  <c r="OS16" i="4"/>
  <c r="OQ16" i="4"/>
  <c r="OP16" i="4"/>
  <c r="OO16" i="4"/>
  <c r="ON16" i="4"/>
  <c r="OM16" i="4"/>
  <c r="OL16" i="4"/>
  <c r="NP16" i="4"/>
  <c r="NO16" i="4"/>
  <c r="NN16" i="4"/>
  <c r="NM16" i="4"/>
  <c r="NL16" i="4"/>
  <c r="NK16" i="4"/>
  <c r="NI16" i="4"/>
  <c r="NH16" i="4"/>
  <c r="NG16" i="4"/>
  <c r="NF16" i="4"/>
  <c r="NE16" i="4"/>
  <c r="ND16" i="4"/>
  <c r="MH16" i="4"/>
  <c r="MG16" i="4"/>
  <c r="MF16" i="4"/>
  <c r="ME16" i="4"/>
  <c r="MD16" i="4"/>
  <c r="MC16" i="4"/>
  <c r="MA16" i="4"/>
  <c r="LZ16" i="4"/>
  <c r="LY16" i="4"/>
  <c r="LX16" i="4"/>
  <c r="LW16" i="4"/>
  <c r="LV16" i="4"/>
  <c r="SV12" i="4"/>
  <c r="SU12" i="4"/>
  <c r="ST12" i="4"/>
  <c r="SS12" i="4"/>
  <c r="SR12" i="4"/>
  <c r="SQ12" i="4"/>
  <c r="SO12" i="4"/>
  <c r="SN12" i="4"/>
  <c r="SM12" i="4"/>
  <c r="SL12" i="4"/>
  <c r="SK12" i="4"/>
  <c r="SJ12" i="4"/>
  <c r="RN12" i="4"/>
  <c r="RM12" i="4"/>
  <c r="RL12" i="4"/>
  <c r="RK12" i="4"/>
  <c r="RJ12" i="4"/>
  <c r="RI12" i="4"/>
  <c r="RG12" i="4"/>
  <c r="RF12" i="4"/>
  <c r="RE12" i="4"/>
  <c r="RD12" i="4"/>
  <c r="RC12" i="4"/>
  <c r="RB12" i="4"/>
  <c r="QF12" i="4"/>
  <c r="QE12" i="4"/>
  <c r="QD12" i="4"/>
  <c r="QC12" i="4"/>
  <c r="QB12" i="4"/>
  <c r="QA12" i="4"/>
  <c r="PY12" i="4"/>
  <c r="PX12" i="4"/>
  <c r="PW12" i="4"/>
  <c r="PV12" i="4"/>
  <c r="PU12" i="4"/>
  <c r="PT12" i="4"/>
  <c r="OX12" i="4"/>
  <c r="OW12" i="4"/>
  <c r="OV12" i="4"/>
  <c r="OU12" i="4"/>
  <c r="OT12" i="4"/>
  <c r="OS12" i="4"/>
  <c r="OQ12" i="4"/>
  <c r="OP12" i="4"/>
  <c r="OO12" i="4"/>
  <c r="ON12" i="4"/>
  <c r="OM12" i="4"/>
  <c r="OL12" i="4"/>
  <c r="NP12" i="4"/>
  <c r="NO12" i="4"/>
  <c r="NN12" i="4"/>
  <c r="NM12" i="4"/>
  <c r="NL12" i="4"/>
  <c r="NK12" i="4"/>
  <c r="NI12" i="4"/>
  <c r="NH12" i="4"/>
  <c r="NG12" i="4"/>
  <c r="NF12" i="4"/>
  <c r="NE12" i="4"/>
  <c r="ND12" i="4"/>
  <c r="MH12" i="4"/>
  <c r="MG12" i="4"/>
  <c r="MF12" i="4"/>
  <c r="ME12" i="4"/>
  <c r="MD12" i="4"/>
  <c r="MC12" i="4"/>
  <c r="MA12" i="4"/>
  <c r="LZ12" i="4"/>
  <c r="LY12" i="4"/>
  <c r="LX12" i="4"/>
  <c r="LW12" i="4"/>
  <c r="LV12" i="4"/>
  <c r="SV9" i="4"/>
  <c r="SU9" i="4"/>
  <c r="ST9" i="4"/>
  <c r="SS9" i="4"/>
  <c r="SR9" i="4"/>
  <c r="SQ9" i="4"/>
  <c r="SO9" i="4"/>
  <c r="SN9" i="4"/>
  <c r="SM9" i="4"/>
  <c r="SL9" i="4"/>
  <c r="SK9" i="4"/>
  <c r="SJ9" i="4"/>
  <c r="RN9" i="4"/>
  <c r="RM9" i="4"/>
  <c r="RL9" i="4"/>
  <c r="RK9" i="4"/>
  <c r="RJ9" i="4"/>
  <c r="RI9" i="4"/>
  <c r="RG9" i="4"/>
  <c r="RF9" i="4"/>
  <c r="RE9" i="4"/>
  <c r="RD9" i="4"/>
  <c r="RC9" i="4"/>
  <c r="RB9" i="4"/>
  <c r="QF9" i="4"/>
  <c r="QE9" i="4"/>
  <c r="QD9" i="4"/>
  <c r="QC9" i="4"/>
  <c r="QB9" i="4"/>
  <c r="QA9" i="4"/>
  <c r="PY9" i="4"/>
  <c r="PX9" i="4"/>
  <c r="PW9" i="4"/>
  <c r="PV9" i="4"/>
  <c r="PU9" i="4"/>
  <c r="PT9" i="4"/>
  <c r="OX9" i="4"/>
  <c r="OW9" i="4"/>
  <c r="OV9" i="4"/>
  <c r="OU9" i="4"/>
  <c r="OT9" i="4"/>
  <c r="OS9" i="4"/>
  <c r="OQ9" i="4"/>
  <c r="OP9" i="4"/>
  <c r="OO9" i="4"/>
  <c r="ON9" i="4"/>
  <c r="OM9" i="4"/>
  <c r="OL9" i="4"/>
  <c r="NP9" i="4"/>
  <c r="NO9" i="4"/>
  <c r="NN9" i="4"/>
  <c r="NM9" i="4"/>
  <c r="NL9" i="4"/>
  <c r="NK9" i="4"/>
  <c r="NI9" i="4"/>
  <c r="NH9" i="4"/>
  <c r="NG9" i="4"/>
  <c r="NF9" i="4"/>
  <c r="NE9" i="4"/>
  <c r="ND9" i="4"/>
  <c r="MH9" i="4"/>
  <c r="MG9" i="4"/>
  <c r="MF9" i="4"/>
  <c r="ME9" i="4"/>
  <c r="MD9" i="4"/>
  <c r="MC9" i="4"/>
  <c r="MA9" i="4"/>
  <c r="LZ9" i="4"/>
  <c r="LY9" i="4"/>
  <c r="LX9" i="4"/>
  <c r="LW9" i="4"/>
  <c r="LV9" i="4"/>
  <c r="SV8" i="4"/>
  <c r="SU8" i="4"/>
  <c r="ST8" i="4"/>
  <c r="SS8" i="4"/>
  <c r="SR8" i="4"/>
  <c r="SQ8" i="4"/>
  <c r="SO8" i="4"/>
  <c r="SN8" i="4"/>
  <c r="SM8" i="4"/>
  <c r="SL8" i="4"/>
  <c r="SK8" i="4"/>
  <c r="SJ8" i="4"/>
  <c r="RN8" i="4"/>
  <c r="RM8" i="4"/>
  <c r="RL8" i="4"/>
  <c r="RK8" i="4"/>
  <c r="RJ8" i="4"/>
  <c r="RI8" i="4"/>
  <c r="RG8" i="4"/>
  <c r="RF8" i="4"/>
  <c r="RE8" i="4"/>
  <c r="RD8" i="4"/>
  <c r="RC8" i="4"/>
  <c r="RB8" i="4"/>
  <c r="QF8" i="4"/>
  <c r="QE8" i="4"/>
  <c r="QD8" i="4"/>
  <c r="QC8" i="4"/>
  <c r="QB8" i="4"/>
  <c r="QA8" i="4"/>
  <c r="PY8" i="4"/>
  <c r="PX8" i="4"/>
  <c r="PW8" i="4"/>
  <c r="PV8" i="4"/>
  <c r="PU8" i="4"/>
  <c r="PT8" i="4"/>
  <c r="OX8" i="4"/>
  <c r="OW8" i="4"/>
  <c r="OV8" i="4"/>
  <c r="OU8" i="4"/>
  <c r="OT8" i="4"/>
  <c r="OS8" i="4"/>
  <c r="OQ8" i="4"/>
  <c r="OP8" i="4"/>
  <c r="OO8" i="4"/>
  <c r="ON8" i="4"/>
  <c r="OM8" i="4"/>
  <c r="OL8" i="4"/>
  <c r="NP8" i="4"/>
  <c r="NO8" i="4"/>
  <c r="NN8" i="4"/>
  <c r="NM8" i="4"/>
  <c r="NL8" i="4"/>
  <c r="NK8" i="4"/>
  <c r="NI8" i="4"/>
  <c r="NH8" i="4"/>
  <c r="NG8" i="4"/>
  <c r="NF8" i="4"/>
  <c r="NE8" i="4"/>
  <c r="ND8" i="4"/>
  <c r="MH8" i="4"/>
  <c r="MG8" i="4"/>
  <c r="MF8" i="4"/>
  <c r="ME8" i="4"/>
  <c r="MD8" i="4"/>
  <c r="MC8" i="4"/>
  <c r="MA8" i="4"/>
  <c r="LZ8" i="4"/>
  <c r="LY8" i="4"/>
  <c r="LX8" i="4"/>
  <c r="LW8" i="4"/>
  <c r="LV8" i="4"/>
  <c r="SV7" i="4"/>
  <c r="SU7" i="4"/>
  <c r="ST7" i="4"/>
  <c r="SS7" i="4"/>
  <c r="SR7" i="4"/>
  <c r="SQ7" i="4"/>
  <c r="SO7" i="4"/>
  <c r="SN7" i="4"/>
  <c r="SM7" i="4"/>
  <c r="SL7" i="4"/>
  <c r="SK7" i="4"/>
  <c r="SJ7" i="4"/>
  <c r="RN7" i="4"/>
  <c r="RM7" i="4"/>
  <c r="RL7" i="4"/>
  <c r="RK7" i="4"/>
  <c r="RJ7" i="4"/>
  <c r="RI7" i="4"/>
  <c r="RG7" i="4"/>
  <c r="RF7" i="4"/>
  <c r="RE7" i="4"/>
  <c r="RD7" i="4"/>
  <c r="RC7" i="4"/>
  <c r="RB7" i="4"/>
  <c r="QF7" i="4"/>
  <c r="QE7" i="4"/>
  <c r="QD7" i="4"/>
  <c r="QC7" i="4"/>
  <c r="QB7" i="4"/>
  <c r="QA7" i="4"/>
  <c r="PY7" i="4"/>
  <c r="PX7" i="4"/>
  <c r="PW7" i="4"/>
  <c r="PV7" i="4"/>
  <c r="PU7" i="4"/>
  <c r="PT7" i="4"/>
  <c r="OX7" i="4"/>
  <c r="OW7" i="4"/>
  <c r="OV7" i="4"/>
  <c r="OU7" i="4"/>
  <c r="OT7" i="4"/>
  <c r="OS7" i="4"/>
  <c r="OQ7" i="4"/>
  <c r="OP7" i="4"/>
  <c r="OO7" i="4"/>
  <c r="ON7" i="4"/>
  <c r="OM7" i="4"/>
  <c r="OL7" i="4"/>
  <c r="NP7" i="4"/>
  <c r="NO7" i="4"/>
  <c r="NN7" i="4"/>
  <c r="NM7" i="4"/>
  <c r="NL7" i="4"/>
  <c r="NK7" i="4"/>
  <c r="NI7" i="4"/>
  <c r="NH7" i="4"/>
  <c r="NG7" i="4"/>
  <c r="NF7" i="4"/>
  <c r="NE7" i="4"/>
  <c r="ND7" i="4"/>
  <c r="MH7" i="4"/>
  <c r="MG7" i="4"/>
  <c r="MF7" i="4"/>
  <c r="ME7" i="4"/>
  <c r="MD7" i="4"/>
  <c r="MC7" i="4"/>
  <c r="MA7" i="4"/>
  <c r="LZ7" i="4"/>
  <c r="LY7" i="4"/>
  <c r="LX7" i="4"/>
  <c r="LW7" i="4"/>
  <c r="LV7" i="4"/>
  <c r="SV6" i="4"/>
  <c r="SU6" i="4"/>
  <c r="ST6" i="4"/>
  <c r="SS6" i="4"/>
  <c r="SR6" i="4"/>
  <c r="SQ6" i="4"/>
  <c r="SO6" i="4"/>
  <c r="SN6" i="4"/>
  <c r="SM6" i="4"/>
  <c r="SL6" i="4"/>
  <c r="SK6" i="4"/>
  <c r="SJ6" i="4"/>
  <c r="RN6" i="4"/>
  <c r="RM6" i="4"/>
  <c r="RL6" i="4"/>
  <c r="RK6" i="4"/>
  <c r="RJ6" i="4"/>
  <c r="RI6" i="4"/>
  <c r="RG6" i="4"/>
  <c r="RF6" i="4"/>
  <c r="RE6" i="4"/>
  <c r="RD6" i="4"/>
  <c r="RC6" i="4"/>
  <c r="RB6" i="4"/>
  <c r="QF6" i="4"/>
  <c r="QE6" i="4"/>
  <c r="QD6" i="4"/>
  <c r="QC6" i="4"/>
  <c r="QB6" i="4"/>
  <c r="QA6" i="4"/>
  <c r="PY6" i="4"/>
  <c r="PX6" i="4"/>
  <c r="PW6" i="4"/>
  <c r="PV6" i="4"/>
  <c r="PU6" i="4"/>
  <c r="PT6" i="4"/>
  <c r="OX6" i="4"/>
  <c r="OW6" i="4"/>
  <c r="OV6" i="4"/>
  <c r="OU6" i="4"/>
  <c r="OT6" i="4"/>
  <c r="OS6" i="4"/>
  <c r="OQ6" i="4"/>
  <c r="OP6" i="4"/>
  <c r="OO6" i="4"/>
  <c r="ON6" i="4"/>
  <c r="OM6" i="4"/>
  <c r="OL6" i="4"/>
  <c r="NP6" i="4"/>
  <c r="NO6" i="4"/>
  <c r="NN6" i="4"/>
  <c r="NM6" i="4"/>
  <c r="NL6" i="4"/>
  <c r="NK6" i="4"/>
  <c r="NI6" i="4"/>
  <c r="NH6" i="4"/>
  <c r="NG6" i="4"/>
  <c r="NF6" i="4"/>
  <c r="NE6" i="4"/>
  <c r="ND6" i="4"/>
  <c r="MH6" i="4"/>
  <c r="MG6" i="4"/>
  <c r="MF6" i="4"/>
  <c r="ME6" i="4"/>
  <c r="MD6" i="4"/>
  <c r="MC6" i="4"/>
  <c r="MA6" i="4"/>
  <c r="LZ6" i="4"/>
  <c r="LY6" i="4"/>
  <c r="LX6" i="4"/>
  <c r="LW6" i="4"/>
  <c r="LV6" i="4"/>
  <c r="SV5" i="4"/>
  <c r="SU5" i="4"/>
  <c r="ST5" i="4"/>
  <c r="SS5" i="4"/>
  <c r="SR5" i="4"/>
  <c r="SQ5" i="4"/>
  <c r="SO5" i="4"/>
  <c r="SN5" i="4"/>
  <c r="SM5" i="4"/>
  <c r="SL5" i="4"/>
  <c r="SK5" i="4"/>
  <c r="SJ5" i="4"/>
  <c r="RN5" i="4"/>
  <c r="RM5" i="4"/>
  <c r="RL5" i="4"/>
  <c r="RK5" i="4"/>
  <c r="RJ5" i="4"/>
  <c r="RI5" i="4"/>
  <c r="RG5" i="4"/>
  <c r="RF5" i="4"/>
  <c r="RE5" i="4"/>
  <c r="RD5" i="4"/>
  <c r="RC5" i="4"/>
  <c r="RB5" i="4"/>
  <c r="QF5" i="4"/>
  <c r="QE5" i="4"/>
  <c r="QD5" i="4"/>
  <c r="QC5" i="4"/>
  <c r="QB5" i="4"/>
  <c r="QA5" i="4"/>
  <c r="PY5" i="4"/>
  <c r="PX5" i="4"/>
  <c r="PW5" i="4"/>
  <c r="PV5" i="4"/>
  <c r="PU5" i="4"/>
  <c r="PT5" i="4"/>
  <c r="OX5" i="4"/>
  <c r="OW5" i="4"/>
  <c r="OV5" i="4"/>
  <c r="OU5" i="4"/>
  <c r="OT5" i="4"/>
  <c r="OS5" i="4"/>
  <c r="OQ5" i="4"/>
  <c r="OP5" i="4"/>
  <c r="OO5" i="4"/>
  <c r="ON5" i="4"/>
  <c r="OM5" i="4"/>
  <c r="OL5" i="4"/>
  <c r="NP5" i="4"/>
  <c r="NO5" i="4"/>
  <c r="NN5" i="4"/>
  <c r="NM5" i="4"/>
  <c r="NL5" i="4"/>
  <c r="NK5" i="4"/>
  <c r="NI5" i="4"/>
  <c r="NH5" i="4"/>
  <c r="NG5" i="4"/>
  <c r="NF5" i="4"/>
  <c r="NE5" i="4"/>
  <c r="ND5" i="4"/>
  <c r="MH5" i="4"/>
  <c r="MG5" i="4"/>
  <c r="MF5" i="4"/>
  <c r="ME5" i="4"/>
  <c r="MD5" i="4"/>
  <c r="MC5" i="4"/>
  <c r="MA5" i="4"/>
  <c r="LZ5" i="4"/>
  <c r="LY5" i="4"/>
  <c r="LX5" i="4"/>
  <c r="LW5" i="4"/>
  <c r="LV5" i="4"/>
  <c r="SV4" i="4"/>
  <c r="SU4" i="4"/>
  <c r="ST4" i="4"/>
  <c r="SS4" i="4"/>
  <c r="SR4" i="4"/>
  <c r="SQ4" i="4"/>
  <c r="SO4" i="4"/>
  <c r="SN4" i="4"/>
  <c r="SM4" i="4"/>
  <c r="SL4" i="4"/>
  <c r="SK4" i="4"/>
  <c r="SJ4" i="4"/>
  <c r="RN4" i="4"/>
  <c r="RM4" i="4"/>
  <c r="RL4" i="4"/>
  <c r="RK4" i="4"/>
  <c r="RJ4" i="4"/>
  <c r="RI4" i="4"/>
  <c r="RG4" i="4"/>
  <c r="RF4" i="4"/>
  <c r="RE4" i="4"/>
  <c r="RD4" i="4"/>
  <c r="RC4" i="4"/>
  <c r="RB4" i="4"/>
  <c r="QF4" i="4"/>
  <c r="QE4" i="4"/>
  <c r="QD4" i="4"/>
  <c r="QC4" i="4"/>
  <c r="QB4" i="4"/>
  <c r="QA4" i="4"/>
  <c r="PY4" i="4"/>
  <c r="PX4" i="4"/>
  <c r="PW4" i="4"/>
  <c r="PV4" i="4"/>
  <c r="PU4" i="4"/>
  <c r="PT4" i="4"/>
  <c r="OX4" i="4"/>
  <c r="OW4" i="4"/>
  <c r="OV4" i="4"/>
  <c r="OU4" i="4"/>
  <c r="OT4" i="4"/>
  <c r="OS4" i="4"/>
  <c r="OQ4" i="4"/>
  <c r="OP4" i="4"/>
  <c r="OO4" i="4"/>
  <c r="ON4" i="4"/>
  <c r="OM4" i="4"/>
  <c r="OL4" i="4"/>
  <c r="NP4" i="4"/>
  <c r="NO4" i="4"/>
  <c r="NN4" i="4"/>
  <c r="NM4" i="4"/>
  <c r="NL4" i="4"/>
  <c r="NK4" i="4"/>
  <c r="NI4" i="4"/>
  <c r="NH4" i="4"/>
  <c r="NG4" i="4"/>
  <c r="NF4" i="4"/>
  <c r="NE4" i="4"/>
  <c r="ND4" i="4"/>
  <c r="MH4" i="4"/>
  <c r="MG4" i="4"/>
  <c r="MF4" i="4"/>
  <c r="ME4" i="4"/>
  <c r="MD4" i="4"/>
  <c r="MC4" i="4"/>
  <c r="MA4" i="4"/>
  <c r="LZ4" i="4"/>
  <c r="LY4" i="4"/>
  <c r="LX4" i="4"/>
  <c r="LW4" i="4"/>
  <c r="LV4" i="4"/>
  <c r="SV10" i="4"/>
  <c r="SU10" i="4"/>
  <c r="ST10" i="4"/>
  <c r="SS10" i="4"/>
  <c r="SR10" i="4"/>
  <c r="SQ10" i="4"/>
  <c r="SO10" i="4"/>
  <c r="SN10" i="4"/>
  <c r="SM10" i="4"/>
  <c r="SL10" i="4"/>
  <c r="SK10" i="4"/>
  <c r="SJ10" i="4"/>
  <c r="RN10" i="4"/>
  <c r="RM10" i="4"/>
  <c r="RL10" i="4"/>
  <c r="RK10" i="4"/>
  <c r="RJ10" i="4"/>
  <c r="RI10" i="4"/>
  <c r="RG10" i="4"/>
  <c r="RF10" i="4"/>
  <c r="RE10" i="4"/>
  <c r="RD10" i="4"/>
  <c r="RC10" i="4"/>
  <c r="RB10" i="4"/>
  <c r="QF10" i="4"/>
  <c r="QE10" i="4"/>
  <c r="QD10" i="4"/>
  <c r="QC10" i="4"/>
  <c r="QB10" i="4"/>
  <c r="QA10" i="4"/>
  <c r="PY10" i="4"/>
  <c r="PX10" i="4"/>
  <c r="PW10" i="4"/>
  <c r="PV10" i="4"/>
  <c r="PU10" i="4"/>
  <c r="PT10" i="4"/>
  <c r="OX10" i="4"/>
  <c r="OW10" i="4"/>
  <c r="OV10" i="4"/>
  <c r="OU10" i="4"/>
  <c r="OT10" i="4"/>
  <c r="OS10" i="4"/>
  <c r="OQ10" i="4"/>
  <c r="OP10" i="4"/>
  <c r="OO10" i="4"/>
  <c r="ON10" i="4"/>
  <c r="OM10" i="4"/>
  <c r="OL10" i="4"/>
  <c r="NP10" i="4"/>
  <c r="NO10" i="4"/>
  <c r="NN10" i="4"/>
  <c r="NM10" i="4"/>
  <c r="NL10" i="4"/>
  <c r="NK10" i="4"/>
  <c r="NI10" i="4"/>
  <c r="NH10" i="4"/>
  <c r="NG10" i="4"/>
  <c r="NF10" i="4"/>
  <c r="NE10" i="4"/>
  <c r="ND10" i="4"/>
  <c r="MH10" i="4"/>
  <c r="MG10" i="4"/>
  <c r="MF10" i="4"/>
  <c r="ME10" i="4"/>
  <c r="MD10" i="4"/>
  <c r="MC10" i="4"/>
  <c r="MA10" i="4"/>
  <c r="LZ10" i="4"/>
  <c r="LY10" i="4"/>
  <c r="LX10" i="4"/>
  <c r="LW10" i="4"/>
  <c r="LV10" i="4"/>
  <c r="KZ19" i="4"/>
  <c r="KY19" i="4"/>
  <c r="KX19" i="4"/>
  <c r="KW19" i="4"/>
  <c r="KV19" i="4"/>
  <c r="KU19" i="4"/>
  <c r="KS19" i="4"/>
  <c r="KR19" i="4"/>
  <c r="KQ19" i="4"/>
  <c r="KP19" i="4"/>
  <c r="KO19" i="4"/>
  <c r="KN19" i="4"/>
  <c r="JR19" i="4"/>
  <c r="JQ19" i="4"/>
  <c r="JP19" i="4"/>
  <c r="JO19" i="4"/>
  <c r="JN19" i="4"/>
  <c r="JM19" i="4"/>
  <c r="JK19" i="4"/>
  <c r="JJ19" i="4"/>
  <c r="JI19" i="4"/>
  <c r="JH19" i="4"/>
  <c r="JG19" i="4"/>
  <c r="JF19" i="4"/>
  <c r="KZ22" i="4"/>
  <c r="KY22" i="4"/>
  <c r="KX22" i="4"/>
  <c r="KW22" i="4"/>
  <c r="KV22" i="4"/>
  <c r="KU22" i="4"/>
  <c r="KS22" i="4"/>
  <c r="KR22" i="4"/>
  <c r="KQ22" i="4"/>
  <c r="KP22" i="4"/>
  <c r="KO22" i="4"/>
  <c r="KN22" i="4"/>
  <c r="JR22" i="4"/>
  <c r="JQ22" i="4"/>
  <c r="JP22" i="4"/>
  <c r="JO22" i="4"/>
  <c r="JN22" i="4"/>
  <c r="JM22" i="4"/>
  <c r="JK22" i="4"/>
  <c r="JJ22" i="4"/>
  <c r="JI22" i="4"/>
  <c r="JH22" i="4"/>
  <c r="JG22" i="4"/>
  <c r="JF22" i="4"/>
  <c r="KZ15" i="4"/>
  <c r="KY15" i="4"/>
  <c r="KX15" i="4"/>
  <c r="KW15" i="4"/>
  <c r="KV15" i="4"/>
  <c r="KU15" i="4"/>
  <c r="KS15" i="4"/>
  <c r="KR15" i="4"/>
  <c r="KQ15" i="4"/>
  <c r="KP15" i="4"/>
  <c r="KO15" i="4"/>
  <c r="KN15" i="4"/>
  <c r="JR15" i="4"/>
  <c r="JQ15" i="4"/>
  <c r="JP15" i="4"/>
  <c r="JO15" i="4"/>
  <c r="JN15" i="4"/>
  <c r="JM15" i="4"/>
  <c r="JK15" i="4"/>
  <c r="JJ15" i="4"/>
  <c r="JI15" i="4"/>
  <c r="JH15" i="4"/>
  <c r="JG15" i="4"/>
  <c r="JF15" i="4"/>
  <c r="KZ17" i="4"/>
  <c r="KY17" i="4"/>
  <c r="KX17" i="4"/>
  <c r="KW17" i="4"/>
  <c r="KV17" i="4"/>
  <c r="KU17" i="4"/>
  <c r="KS17" i="4"/>
  <c r="KR17" i="4"/>
  <c r="KQ17" i="4"/>
  <c r="KP17" i="4"/>
  <c r="KO17" i="4"/>
  <c r="KN17" i="4"/>
  <c r="JR17" i="4"/>
  <c r="JQ17" i="4"/>
  <c r="JP17" i="4"/>
  <c r="JO17" i="4"/>
  <c r="JN17" i="4"/>
  <c r="JM17" i="4"/>
  <c r="JK17" i="4"/>
  <c r="JJ17" i="4"/>
  <c r="JI17" i="4"/>
  <c r="JH17" i="4"/>
  <c r="JG17" i="4"/>
  <c r="JF17" i="4"/>
  <c r="KZ14" i="4"/>
  <c r="KY14" i="4"/>
  <c r="KX14" i="4"/>
  <c r="KW14" i="4"/>
  <c r="KV14" i="4"/>
  <c r="KU14" i="4"/>
  <c r="KS14" i="4"/>
  <c r="KR14" i="4"/>
  <c r="KQ14" i="4"/>
  <c r="KP14" i="4"/>
  <c r="KO14" i="4"/>
  <c r="KN14" i="4"/>
  <c r="JR14" i="4"/>
  <c r="JQ14" i="4"/>
  <c r="JP14" i="4"/>
  <c r="JO14" i="4"/>
  <c r="JN14" i="4"/>
  <c r="JM14" i="4"/>
  <c r="JK14" i="4"/>
  <c r="JJ14" i="4"/>
  <c r="JI14" i="4"/>
  <c r="JH14" i="4"/>
  <c r="JG14" i="4"/>
  <c r="JF14" i="4"/>
  <c r="KZ20" i="4"/>
  <c r="KY20" i="4"/>
  <c r="KX20" i="4"/>
  <c r="KW20" i="4"/>
  <c r="KV20" i="4"/>
  <c r="KU20" i="4"/>
  <c r="KS20" i="4"/>
  <c r="KR20" i="4"/>
  <c r="KQ20" i="4"/>
  <c r="KP20" i="4"/>
  <c r="KO20" i="4"/>
  <c r="KN20" i="4"/>
  <c r="JR20" i="4"/>
  <c r="JQ20" i="4"/>
  <c r="JP20" i="4"/>
  <c r="JO20" i="4"/>
  <c r="JN20" i="4"/>
  <c r="JM20" i="4"/>
  <c r="JK20" i="4"/>
  <c r="JJ20" i="4"/>
  <c r="JI20" i="4"/>
  <c r="JH20" i="4"/>
  <c r="JG20" i="4"/>
  <c r="JF20" i="4"/>
  <c r="KZ21" i="4"/>
  <c r="KY21" i="4"/>
  <c r="KX21" i="4"/>
  <c r="KW21" i="4"/>
  <c r="KV21" i="4"/>
  <c r="KU21" i="4"/>
  <c r="KS21" i="4"/>
  <c r="KR21" i="4"/>
  <c r="KQ21" i="4"/>
  <c r="KP21" i="4"/>
  <c r="KO21" i="4"/>
  <c r="KN21" i="4"/>
  <c r="JR21" i="4"/>
  <c r="JQ21" i="4"/>
  <c r="JP21" i="4"/>
  <c r="JO21" i="4"/>
  <c r="JN21" i="4"/>
  <c r="JM21" i="4"/>
  <c r="JK21" i="4"/>
  <c r="JJ21" i="4"/>
  <c r="JI21" i="4"/>
  <c r="JH21" i="4"/>
  <c r="JG21" i="4"/>
  <c r="JF21" i="4"/>
  <c r="KZ11" i="4"/>
  <c r="KY11" i="4"/>
  <c r="KX11" i="4"/>
  <c r="KW11" i="4"/>
  <c r="KV11" i="4"/>
  <c r="KU11" i="4"/>
  <c r="KS11" i="4"/>
  <c r="KR11" i="4"/>
  <c r="KQ11" i="4"/>
  <c r="KP11" i="4"/>
  <c r="KO11" i="4"/>
  <c r="KN11" i="4"/>
  <c r="JR11" i="4"/>
  <c r="JQ11" i="4"/>
  <c r="JP11" i="4"/>
  <c r="JO11" i="4"/>
  <c r="JN11" i="4"/>
  <c r="JM11" i="4"/>
  <c r="JK11" i="4"/>
  <c r="JJ11" i="4"/>
  <c r="JI11" i="4"/>
  <c r="JH11" i="4"/>
  <c r="JG11" i="4"/>
  <c r="JF11" i="4"/>
  <c r="KZ16" i="4"/>
  <c r="KY16" i="4"/>
  <c r="KX16" i="4"/>
  <c r="KW16" i="4"/>
  <c r="KV16" i="4"/>
  <c r="KU16" i="4"/>
  <c r="KS16" i="4"/>
  <c r="KR16" i="4"/>
  <c r="KQ16" i="4"/>
  <c r="KP16" i="4"/>
  <c r="KO16" i="4"/>
  <c r="KN16" i="4"/>
  <c r="JR16" i="4"/>
  <c r="JQ16" i="4"/>
  <c r="JP16" i="4"/>
  <c r="JO16" i="4"/>
  <c r="JN16" i="4"/>
  <c r="JM16" i="4"/>
  <c r="JK16" i="4"/>
  <c r="JJ16" i="4"/>
  <c r="JI16" i="4"/>
  <c r="JH16" i="4"/>
  <c r="JG16" i="4"/>
  <c r="JF16" i="4"/>
  <c r="KZ12" i="4"/>
  <c r="KY12" i="4"/>
  <c r="KX12" i="4"/>
  <c r="KW12" i="4"/>
  <c r="KV12" i="4"/>
  <c r="KU12" i="4"/>
  <c r="KS12" i="4"/>
  <c r="KR12" i="4"/>
  <c r="KQ12" i="4"/>
  <c r="KP12" i="4"/>
  <c r="KO12" i="4"/>
  <c r="KN12" i="4"/>
  <c r="JR12" i="4"/>
  <c r="JQ12" i="4"/>
  <c r="JP12" i="4"/>
  <c r="JO12" i="4"/>
  <c r="JN12" i="4"/>
  <c r="JM12" i="4"/>
  <c r="JK12" i="4"/>
  <c r="JJ12" i="4"/>
  <c r="JI12" i="4"/>
  <c r="JH12" i="4"/>
  <c r="JG12" i="4"/>
  <c r="JF12" i="4"/>
  <c r="KZ9" i="4"/>
  <c r="KY9" i="4"/>
  <c r="KX9" i="4"/>
  <c r="KW9" i="4"/>
  <c r="KV9" i="4"/>
  <c r="KU9" i="4"/>
  <c r="KS9" i="4"/>
  <c r="KR9" i="4"/>
  <c r="KQ9" i="4"/>
  <c r="KP9" i="4"/>
  <c r="KO9" i="4"/>
  <c r="KN9" i="4"/>
  <c r="JR9" i="4"/>
  <c r="JQ9" i="4"/>
  <c r="JP9" i="4"/>
  <c r="JO9" i="4"/>
  <c r="JN9" i="4"/>
  <c r="JM9" i="4"/>
  <c r="JK9" i="4"/>
  <c r="JJ9" i="4"/>
  <c r="JI9" i="4"/>
  <c r="JH9" i="4"/>
  <c r="JG9" i="4"/>
  <c r="JF9" i="4"/>
  <c r="KZ8" i="4"/>
  <c r="KY8" i="4"/>
  <c r="KX8" i="4"/>
  <c r="KW8" i="4"/>
  <c r="KV8" i="4"/>
  <c r="KU8" i="4"/>
  <c r="KS8" i="4"/>
  <c r="KR8" i="4"/>
  <c r="KQ8" i="4"/>
  <c r="KP8" i="4"/>
  <c r="KO8" i="4"/>
  <c r="KN8" i="4"/>
  <c r="JR8" i="4"/>
  <c r="JQ8" i="4"/>
  <c r="JP8" i="4"/>
  <c r="JO8" i="4"/>
  <c r="JN8" i="4"/>
  <c r="JM8" i="4"/>
  <c r="JK8" i="4"/>
  <c r="JJ8" i="4"/>
  <c r="JI8" i="4"/>
  <c r="JH8" i="4"/>
  <c r="JG8" i="4"/>
  <c r="JF8" i="4"/>
  <c r="KZ7" i="4"/>
  <c r="KY7" i="4"/>
  <c r="KX7" i="4"/>
  <c r="KW7" i="4"/>
  <c r="KV7" i="4"/>
  <c r="KU7" i="4"/>
  <c r="KS7" i="4"/>
  <c r="KR7" i="4"/>
  <c r="KQ7" i="4"/>
  <c r="KP7" i="4"/>
  <c r="KO7" i="4"/>
  <c r="KN7" i="4"/>
  <c r="JR7" i="4"/>
  <c r="JQ7" i="4"/>
  <c r="JP7" i="4"/>
  <c r="JO7" i="4"/>
  <c r="JN7" i="4"/>
  <c r="JM7" i="4"/>
  <c r="JK7" i="4"/>
  <c r="JJ7" i="4"/>
  <c r="JI7" i="4"/>
  <c r="JH7" i="4"/>
  <c r="JG7" i="4"/>
  <c r="JF7" i="4"/>
  <c r="KZ6" i="4"/>
  <c r="KY6" i="4"/>
  <c r="KX6" i="4"/>
  <c r="KW6" i="4"/>
  <c r="KV6" i="4"/>
  <c r="KU6" i="4"/>
  <c r="KS6" i="4"/>
  <c r="KR6" i="4"/>
  <c r="KQ6" i="4"/>
  <c r="KP6" i="4"/>
  <c r="KO6" i="4"/>
  <c r="KN6" i="4"/>
  <c r="JR6" i="4"/>
  <c r="JQ6" i="4"/>
  <c r="JP6" i="4"/>
  <c r="JO6" i="4"/>
  <c r="JN6" i="4"/>
  <c r="JM6" i="4"/>
  <c r="JK6" i="4"/>
  <c r="JJ6" i="4"/>
  <c r="JI6" i="4"/>
  <c r="JH6" i="4"/>
  <c r="JG6" i="4"/>
  <c r="JF6" i="4"/>
  <c r="KZ5" i="4"/>
  <c r="KY5" i="4"/>
  <c r="KX5" i="4"/>
  <c r="KW5" i="4"/>
  <c r="KV5" i="4"/>
  <c r="KU5" i="4"/>
  <c r="KS5" i="4"/>
  <c r="KR5" i="4"/>
  <c r="KQ5" i="4"/>
  <c r="KP5" i="4"/>
  <c r="KO5" i="4"/>
  <c r="KN5" i="4"/>
  <c r="JR5" i="4"/>
  <c r="JQ5" i="4"/>
  <c r="JP5" i="4"/>
  <c r="JO5" i="4"/>
  <c r="JN5" i="4"/>
  <c r="JM5" i="4"/>
  <c r="JK5" i="4"/>
  <c r="JJ5" i="4"/>
  <c r="JI5" i="4"/>
  <c r="JH5" i="4"/>
  <c r="JG5" i="4"/>
  <c r="JF5" i="4"/>
  <c r="KZ4" i="4"/>
  <c r="KY4" i="4"/>
  <c r="KX4" i="4"/>
  <c r="KW4" i="4"/>
  <c r="KV4" i="4"/>
  <c r="KU4" i="4"/>
  <c r="KS4" i="4"/>
  <c r="KR4" i="4"/>
  <c r="KQ4" i="4"/>
  <c r="KP4" i="4"/>
  <c r="KO4" i="4"/>
  <c r="KN4" i="4"/>
  <c r="JR4" i="4"/>
  <c r="JQ4" i="4"/>
  <c r="JP4" i="4"/>
  <c r="JO4" i="4"/>
  <c r="JN4" i="4"/>
  <c r="JM4" i="4"/>
  <c r="JK4" i="4"/>
  <c r="JJ4" i="4"/>
  <c r="JI4" i="4"/>
  <c r="JH4" i="4"/>
  <c r="JG4" i="4"/>
  <c r="JF4" i="4"/>
  <c r="KZ10" i="4"/>
  <c r="KY10" i="4"/>
  <c r="KX10" i="4"/>
  <c r="KW10" i="4"/>
  <c r="KV10" i="4"/>
  <c r="KU10" i="4"/>
  <c r="KS10" i="4"/>
  <c r="KR10" i="4"/>
  <c r="KQ10" i="4"/>
  <c r="KP10" i="4"/>
  <c r="KO10" i="4"/>
  <c r="KN10" i="4"/>
  <c r="JR10" i="4"/>
  <c r="JQ10" i="4"/>
  <c r="JP10" i="4"/>
  <c r="JO10" i="4"/>
  <c r="JN10" i="4"/>
  <c r="JM10" i="4"/>
  <c r="JK10" i="4"/>
  <c r="JJ10" i="4"/>
  <c r="JI10" i="4"/>
  <c r="JH10" i="4"/>
  <c r="JG10" i="4"/>
  <c r="JF10" i="4"/>
  <c r="IJ19" i="4"/>
  <c r="II19" i="4"/>
  <c r="IH19" i="4"/>
  <c r="IG19" i="4"/>
  <c r="IF19" i="4"/>
  <c r="IE19" i="4"/>
  <c r="IC19" i="4"/>
  <c r="IB19" i="4"/>
  <c r="IA19" i="4"/>
  <c r="HZ19" i="4"/>
  <c r="HY19" i="4"/>
  <c r="HX19" i="4"/>
  <c r="HB19" i="4"/>
  <c r="HA19" i="4"/>
  <c r="GZ19" i="4"/>
  <c r="GY19" i="4"/>
  <c r="GX19" i="4"/>
  <c r="GW19" i="4"/>
  <c r="GU19" i="4"/>
  <c r="GT19" i="4"/>
  <c r="GS19" i="4"/>
  <c r="GR19" i="4"/>
  <c r="GQ19" i="4"/>
  <c r="GP19" i="4"/>
  <c r="IJ22" i="4"/>
  <c r="II22" i="4"/>
  <c r="IH22" i="4"/>
  <c r="IG22" i="4"/>
  <c r="IF22" i="4"/>
  <c r="IE22" i="4"/>
  <c r="IC22" i="4"/>
  <c r="IB22" i="4"/>
  <c r="IA22" i="4"/>
  <c r="HZ22" i="4"/>
  <c r="HY22" i="4"/>
  <c r="HX22" i="4"/>
  <c r="HB22" i="4"/>
  <c r="HA22" i="4"/>
  <c r="GZ22" i="4"/>
  <c r="GY22" i="4"/>
  <c r="GX22" i="4"/>
  <c r="GW22" i="4"/>
  <c r="GU22" i="4"/>
  <c r="GT22" i="4"/>
  <c r="GS22" i="4"/>
  <c r="GR22" i="4"/>
  <c r="GQ22" i="4"/>
  <c r="GP22" i="4"/>
  <c r="IJ15" i="4"/>
  <c r="II15" i="4"/>
  <c r="IH15" i="4"/>
  <c r="IG15" i="4"/>
  <c r="IF15" i="4"/>
  <c r="IE15" i="4"/>
  <c r="IC15" i="4"/>
  <c r="IB15" i="4"/>
  <c r="IA15" i="4"/>
  <c r="HZ15" i="4"/>
  <c r="HY15" i="4"/>
  <c r="HX15" i="4"/>
  <c r="HB15" i="4"/>
  <c r="HA15" i="4"/>
  <c r="GZ15" i="4"/>
  <c r="GY15" i="4"/>
  <c r="GX15" i="4"/>
  <c r="GW15" i="4"/>
  <c r="GU15" i="4"/>
  <c r="GT15" i="4"/>
  <c r="GS15" i="4"/>
  <c r="GR15" i="4"/>
  <c r="GQ15" i="4"/>
  <c r="GP15" i="4"/>
  <c r="IJ17" i="4"/>
  <c r="II17" i="4"/>
  <c r="IH17" i="4"/>
  <c r="IG17" i="4"/>
  <c r="IF17" i="4"/>
  <c r="IE17" i="4"/>
  <c r="IC17" i="4"/>
  <c r="IB17" i="4"/>
  <c r="IA17" i="4"/>
  <c r="HZ17" i="4"/>
  <c r="HY17" i="4"/>
  <c r="HX17" i="4"/>
  <c r="HB17" i="4"/>
  <c r="HA17" i="4"/>
  <c r="GZ17" i="4"/>
  <c r="GY17" i="4"/>
  <c r="GX17" i="4"/>
  <c r="GW17" i="4"/>
  <c r="GU17" i="4"/>
  <c r="GT17" i="4"/>
  <c r="GS17" i="4"/>
  <c r="GR17" i="4"/>
  <c r="GQ17" i="4"/>
  <c r="GP17" i="4"/>
  <c r="IJ14" i="4"/>
  <c r="II14" i="4"/>
  <c r="IH14" i="4"/>
  <c r="IG14" i="4"/>
  <c r="IF14" i="4"/>
  <c r="IE14" i="4"/>
  <c r="IC14" i="4"/>
  <c r="IB14" i="4"/>
  <c r="IA14" i="4"/>
  <c r="HZ14" i="4"/>
  <c r="HY14" i="4"/>
  <c r="HX14" i="4"/>
  <c r="HB14" i="4"/>
  <c r="HA14" i="4"/>
  <c r="GZ14" i="4"/>
  <c r="GY14" i="4"/>
  <c r="GX14" i="4"/>
  <c r="GW14" i="4"/>
  <c r="GU14" i="4"/>
  <c r="GT14" i="4"/>
  <c r="GS14" i="4"/>
  <c r="GR14" i="4"/>
  <c r="GQ14" i="4"/>
  <c r="GP14" i="4"/>
  <c r="IJ20" i="4"/>
  <c r="II20" i="4"/>
  <c r="IH20" i="4"/>
  <c r="IG20" i="4"/>
  <c r="IF20" i="4"/>
  <c r="IE20" i="4"/>
  <c r="IC20" i="4"/>
  <c r="IB20" i="4"/>
  <c r="IA20" i="4"/>
  <c r="HZ20" i="4"/>
  <c r="HY20" i="4"/>
  <c r="HX20" i="4"/>
  <c r="HB20" i="4"/>
  <c r="HA20" i="4"/>
  <c r="GZ20" i="4"/>
  <c r="GY20" i="4"/>
  <c r="GX20" i="4"/>
  <c r="GW20" i="4"/>
  <c r="GU20" i="4"/>
  <c r="GT20" i="4"/>
  <c r="GS20" i="4"/>
  <c r="GR20" i="4"/>
  <c r="GQ20" i="4"/>
  <c r="GP20" i="4"/>
  <c r="IJ21" i="4"/>
  <c r="II21" i="4"/>
  <c r="IH21" i="4"/>
  <c r="IG21" i="4"/>
  <c r="IF21" i="4"/>
  <c r="IE21" i="4"/>
  <c r="IC21" i="4"/>
  <c r="IB21" i="4"/>
  <c r="IA21" i="4"/>
  <c r="HZ21" i="4"/>
  <c r="HY21" i="4"/>
  <c r="HX21" i="4"/>
  <c r="HB21" i="4"/>
  <c r="HA21" i="4"/>
  <c r="GZ21" i="4"/>
  <c r="GY21" i="4"/>
  <c r="GX21" i="4"/>
  <c r="GW21" i="4"/>
  <c r="GU21" i="4"/>
  <c r="GT21" i="4"/>
  <c r="GS21" i="4"/>
  <c r="GR21" i="4"/>
  <c r="GQ21" i="4"/>
  <c r="GP21" i="4"/>
  <c r="IJ11" i="4"/>
  <c r="II11" i="4"/>
  <c r="IH11" i="4"/>
  <c r="IG11" i="4"/>
  <c r="IF11" i="4"/>
  <c r="IE11" i="4"/>
  <c r="IC11" i="4"/>
  <c r="IB11" i="4"/>
  <c r="IA11" i="4"/>
  <c r="HZ11" i="4"/>
  <c r="HY11" i="4"/>
  <c r="HX11" i="4"/>
  <c r="HB11" i="4"/>
  <c r="HA11" i="4"/>
  <c r="GZ11" i="4"/>
  <c r="GY11" i="4"/>
  <c r="GX11" i="4"/>
  <c r="GW11" i="4"/>
  <c r="GU11" i="4"/>
  <c r="GT11" i="4"/>
  <c r="GS11" i="4"/>
  <c r="GR11" i="4"/>
  <c r="GQ11" i="4"/>
  <c r="GP11" i="4"/>
  <c r="IJ16" i="4"/>
  <c r="II16" i="4"/>
  <c r="IH16" i="4"/>
  <c r="IG16" i="4"/>
  <c r="IF16" i="4"/>
  <c r="IE16" i="4"/>
  <c r="IC16" i="4"/>
  <c r="IB16" i="4"/>
  <c r="IA16" i="4"/>
  <c r="HZ16" i="4"/>
  <c r="HY16" i="4"/>
  <c r="HX16" i="4"/>
  <c r="HB16" i="4"/>
  <c r="HA16" i="4"/>
  <c r="GZ16" i="4"/>
  <c r="GY16" i="4"/>
  <c r="GX16" i="4"/>
  <c r="GW16" i="4"/>
  <c r="GU16" i="4"/>
  <c r="GT16" i="4"/>
  <c r="GS16" i="4"/>
  <c r="GR16" i="4"/>
  <c r="GQ16" i="4"/>
  <c r="GP16" i="4"/>
  <c r="IJ12" i="4"/>
  <c r="II12" i="4"/>
  <c r="IH12" i="4"/>
  <c r="IG12" i="4"/>
  <c r="IF12" i="4"/>
  <c r="IE12" i="4"/>
  <c r="IC12" i="4"/>
  <c r="IB12" i="4"/>
  <c r="IA12" i="4"/>
  <c r="HZ12" i="4"/>
  <c r="HY12" i="4"/>
  <c r="HX12" i="4"/>
  <c r="HB12" i="4"/>
  <c r="HA12" i="4"/>
  <c r="GZ12" i="4"/>
  <c r="GY12" i="4"/>
  <c r="GX12" i="4"/>
  <c r="GW12" i="4"/>
  <c r="GU12" i="4"/>
  <c r="GT12" i="4"/>
  <c r="GS12" i="4"/>
  <c r="GR12" i="4"/>
  <c r="GQ12" i="4"/>
  <c r="GP12" i="4"/>
  <c r="IJ9" i="4"/>
  <c r="II9" i="4"/>
  <c r="IH9" i="4"/>
  <c r="IG9" i="4"/>
  <c r="IF9" i="4"/>
  <c r="IE9" i="4"/>
  <c r="IC9" i="4"/>
  <c r="IB9" i="4"/>
  <c r="IA9" i="4"/>
  <c r="HZ9" i="4"/>
  <c r="HY9" i="4"/>
  <c r="HX9" i="4"/>
  <c r="HB9" i="4"/>
  <c r="HA9" i="4"/>
  <c r="GZ9" i="4"/>
  <c r="GY9" i="4"/>
  <c r="GX9" i="4"/>
  <c r="GW9" i="4"/>
  <c r="GU9" i="4"/>
  <c r="GT9" i="4"/>
  <c r="GS9" i="4"/>
  <c r="GR9" i="4"/>
  <c r="GQ9" i="4"/>
  <c r="GP9" i="4"/>
  <c r="IJ8" i="4"/>
  <c r="II8" i="4"/>
  <c r="IH8" i="4"/>
  <c r="IG8" i="4"/>
  <c r="IF8" i="4"/>
  <c r="IE8" i="4"/>
  <c r="IC8" i="4"/>
  <c r="IB8" i="4"/>
  <c r="IA8" i="4"/>
  <c r="HZ8" i="4"/>
  <c r="HY8" i="4"/>
  <c r="HX8" i="4"/>
  <c r="HB8" i="4"/>
  <c r="HA8" i="4"/>
  <c r="GZ8" i="4"/>
  <c r="GY8" i="4"/>
  <c r="GX8" i="4"/>
  <c r="GW8" i="4"/>
  <c r="GU8" i="4"/>
  <c r="GT8" i="4"/>
  <c r="GS8" i="4"/>
  <c r="GR8" i="4"/>
  <c r="GQ8" i="4"/>
  <c r="GP8" i="4"/>
  <c r="IJ7" i="4"/>
  <c r="II7" i="4"/>
  <c r="IH7" i="4"/>
  <c r="IG7" i="4"/>
  <c r="IF7" i="4"/>
  <c r="IE7" i="4"/>
  <c r="IC7" i="4"/>
  <c r="IB7" i="4"/>
  <c r="IA7" i="4"/>
  <c r="HZ7" i="4"/>
  <c r="HY7" i="4"/>
  <c r="HX7" i="4"/>
  <c r="HB7" i="4"/>
  <c r="HA7" i="4"/>
  <c r="GZ7" i="4"/>
  <c r="GY7" i="4"/>
  <c r="GX7" i="4"/>
  <c r="GW7" i="4"/>
  <c r="GU7" i="4"/>
  <c r="GT7" i="4"/>
  <c r="GS7" i="4"/>
  <c r="GR7" i="4"/>
  <c r="GV7" i="4" s="1"/>
  <c r="GQ7" i="4"/>
  <c r="GP7" i="4"/>
  <c r="IJ6" i="4"/>
  <c r="II6" i="4"/>
  <c r="IH6" i="4"/>
  <c r="IG6" i="4"/>
  <c r="IF6" i="4"/>
  <c r="IE6" i="4"/>
  <c r="IC6" i="4"/>
  <c r="IB6" i="4"/>
  <c r="IA6" i="4"/>
  <c r="HZ6" i="4"/>
  <c r="HY6" i="4"/>
  <c r="HX6" i="4"/>
  <c r="HB6" i="4"/>
  <c r="HA6" i="4"/>
  <c r="GZ6" i="4"/>
  <c r="GY6" i="4"/>
  <c r="GX6" i="4"/>
  <c r="GW6" i="4"/>
  <c r="GU6" i="4"/>
  <c r="GT6" i="4"/>
  <c r="GS6" i="4"/>
  <c r="GR6" i="4"/>
  <c r="GV6" i="4" s="1"/>
  <c r="HC6" i="4" s="1"/>
  <c r="GQ6" i="4"/>
  <c r="GP6" i="4"/>
  <c r="IJ5" i="4"/>
  <c r="II5" i="4"/>
  <c r="IH5" i="4"/>
  <c r="IG5" i="4"/>
  <c r="IF5" i="4"/>
  <c r="IE5" i="4"/>
  <c r="IC5" i="4"/>
  <c r="IB5" i="4"/>
  <c r="IA5" i="4"/>
  <c r="HZ5" i="4"/>
  <c r="HY5" i="4"/>
  <c r="HX5" i="4"/>
  <c r="HB5" i="4"/>
  <c r="HA5" i="4"/>
  <c r="GZ5" i="4"/>
  <c r="GY5" i="4"/>
  <c r="GX5" i="4"/>
  <c r="GW5" i="4"/>
  <c r="GU5" i="4"/>
  <c r="GT5" i="4"/>
  <c r="GS5" i="4"/>
  <c r="GR5" i="4"/>
  <c r="GQ5" i="4"/>
  <c r="GP5" i="4"/>
  <c r="IJ4" i="4"/>
  <c r="II4" i="4"/>
  <c r="IH4" i="4"/>
  <c r="IG4" i="4"/>
  <c r="IF4" i="4"/>
  <c r="IE4" i="4"/>
  <c r="IC4" i="4"/>
  <c r="IB4" i="4"/>
  <c r="IA4" i="4"/>
  <c r="HZ4" i="4"/>
  <c r="HY4" i="4"/>
  <c r="HX4" i="4"/>
  <c r="HB4" i="4"/>
  <c r="HA4" i="4"/>
  <c r="GZ4" i="4"/>
  <c r="GY4" i="4"/>
  <c r="GX4" i="4"/>
  <c r="GW4" i="4"/>
  <c r="GU4" i="4"/>
  <c r="GT4" i="4"/>
  <c r="GS4" i="4"/>
  <c r="GR4" i="4"/>
  <c r="GQ4" i="4"/>
  <c r="GP4" i="4"/>
  <c r="IJ10" i="4"/>
  <c r="II10" i="4"/>
  <c r="IH10" i="4"/>
  <c r="IG10" i="4"/>
  <c r="IF10" i="4"/>
  <c r="IE10" i="4"/>
  <c r="IC10" i="4"/>
  <c r="IB10" i="4"/>
  <c r="IA10" i="4"/>
  <c r="HZ10" i="4"/>
  <c r="HY10" i="4"/>
  <c r="HX10" i="4"/>
  <c r="HB10" i="4"/>
  <c r="HA10" i="4"/>
  <c r="GZ10" i="4"/>
  <c r="GY10" i="4"/>
  <c r="GX10" i="4"/>
  <c r="GW10" i="4"/>
  <c r="GU10" i="4"/>
  <c r="GT10" i="4"/>
  <c r="GS10" i="4"/>
  <c r="GR10" i="4"/>
  <c r="GQ10" i="4"/>
  <c r="GP10" i="4"/>
  <c r="FT19" i="4"/>
  <c r="FS19" i="4"/>
  <c r="FR19" i="4"/>
  <c r="FQ19" i="4"/>
  <c r="FP19" i="4"/>
  <c r="FO19" i="4"/>
  <c r="FM19" i="4"/>
  <c r="FL19" i="4"/>
  <c r="FK19" i="4"/>
  <c r="FJ19" i="4"/>
  <c r="FI19" i="4"/>
  <c r="FH19" i="4"/>
  <c r="FT22" i="4"/>
  <c r="FS22" i="4"/>
  <c r="FR22" i="4"/>
  <c r="FQ22" i="4"/>
  <c r="FP22" i="4"/>
  <c r="FO22" i="4"/>
  <c r="FM22" i="4"/>
  <c r="FL22" i="4"/>
  <c r="FK22" i="4"/>
  <c r="FJ22" i="4"/>
  <c r="FI22" i="4"/>
  <c r="FH22" i="4"/>
  <c r="FT15" i="4"/>
  <c r="FS15" i="4"/>
  <c r="FR15" i="4"/>
  <c r="FQ15" i="4"/>
  <c r="FP15" i="4"/>
  <c r="FO15" i="4"/>
  <c r="FM15" i="4"/>
  <c r="FL15" i="4"/>
  <c r="FK15" i="4"/>
  <c r="FJ15" i="4"/>
  <c r="FI15" i="4"/>
  <c r="FH15" i="4"/>
  <c r="FT17" i="4"/>
  <c r="FS17" i="4"/>
  <c r="FR17" i="4"/>
  <c r="FQ17" i="4"/>
  <c r="FP17" i="4"/>
  <c r="FO17" i="4"/>
  <c r="FM17" i="4"/>
  <c r="FL17" i="4"/>
  <c r="FK17" i="4"/>
  <c r="FJ17" i="4"/>
  <c r="FI17" i="4"/>
  <c r="FH17" i="4"/>
  <c r="FT14" i="4"/>
  <c r="FS14" i="4"/>
  <c r="FR14" i="4"/>
  <c r="FQ14" i="4"/>
  <c r="FP14" i="4"/>
  <c r="FO14" i="4"/>
  <c r="FM14" i="4"/>
  <c r="FL14" i="4"/>
  <c r="FK14" i="4"/>
  <c r="FJ14" i="4"/>
  <c r="FI14" i="4"/>
  <c r="FH14" i="4"/>
  <c r="FT20" i="4"/>
  <c r="FS20" i="4"/>
  <c r="FR20" i="4"/>
  <c r="FQ20" i="4"/>
  <c r="FP20" i="4"/>
  <c r="FO20" i="4"/>
  <c r="FM20" i="4"/>
  <c r="FL20" i="4"/>
  <c r="FK20" i="4"/>
  <c r="FJ20" i="4"/>
  <c r="FI20" i="4"/>
  <c r="FH20" i="4"/>
  <c r="FT21" i="4"/>
  <c r="FS21" i="4"/>
  <c r="FR21" i="4"/>
  <c r="FQ21" i="4"/>
  <c r="FP21" i="4"/>
  <c r="FO21" i="4"/>
  <c r="FM21" i="4"/>
  <c r="FL21" i="4"/>
  <c r="FK21" i="4"/>
  <c r="FJ21" i="4"/>
  <c r="FI21" i="4"/>
  <c r="FH21" i="4"/>
  <c r="FT11" i="4"/>
  <c r="FS11" i="4"/>
  <c r="FR11" i="4"/>
  <c r="FQ11" i="4"/>
  <c r="FP11" i="4"/>
  <c r="FO11" i="4"/>
  <c r="FM11" i="4"/>
  <c r="FL11" i="4"/>
  <c r="FK11" i="4"/>
  <c r="FJ11" i="4"/>
  <c r="FI11" i="4"/>
  <c r="FH11" i="4"/>
  <c r="FT16" i="4"/>
  <c r="FS16" i="4"/>
  <c r="FR16" i="4"/>
  <c r="FQ16" i="4"/>
  <c r="FP16" i="4"/>
  <c r="FO16" i="4"/>
  <c r="FM16" i="4"/>
  <c r="FL16" i="4"/>
  <c r="FK16" i="4"/>
  <c r="FJ16" i="4"/>
  <c r="FI16" i="4"/>
  <c r="FH16" i="4"/>
  <c r="FT12" i="4"/>
  <c r="FS12" i="4"/>
  <c r="FR12" i="4"/>
  <c r="FQ12" i="4"/>
  <c r="FP12" i="4"/>
  <c r="FO12" i="4"/>
  <c r="FM12" i="4"/>
  <c r="FL12" i="4"/>
  <c r="FK12" i="4"/>
  <c r="FJ12" i="4"/>
  <c r="FI12" i="4"/>
  <c r="FH12" i="4"/>
  <c r="FT9" i="4"/>
  <c r="FS9" i="4"/>
  <c r="FR9" i="4"/>
  <c r="FQ9" i="4"/>
  <c r="FP9" i="4"/>
  <c r="FO9" i="4"/>
  <c r="FM9" i="4"/>
  <c r="FL9" i="4"/>
  <c r="FK9" i="4"/>
  <c r="FJ9" i="4"/>
  <c r="FI9" i="4"/>
  <c r="FH9" i="4"/>
  <c r="FT8" i="4"/>
  <c r="FS8" i="4"/>
  <c r="FR8" i="4"/>
  <c r="FQ8" i="4"/>
  <c r="FP8" i="4"/>
  <c r="FO8" i="4"/>
  <c r="FM8" i="4"/>
  <c r="FL8" i="4"/>
  <c r="FK8" i="4"/>
  <c r="FJ8" i="4"/>
  <c r="FI8" i="4"/>
  <c r="FH8" i="4"/>
  <c r="FT7" i="4"/>
  <c r="FS7" i="4"/>
  <c r="FR7" i="4"/>
  <c r="FQ7" i="4"/>
  <c r="FP7" i="4"/>
  <c r="FO7" i="4"/>
  <c r="FM7" i="4"/>
  <c r="FL7" i="4"/>
  <c r="FK7" i="4"/>
  <c r="FJ7" i="4"/>
  <c r="FI7" i="4"/>
  <c r="FH7" i="4"/>
  <c r="FT6" i="4"/>
  <c r="FS6" i="4"/>
  <c r="FR6" i="4"/>
  <c r="FQ6" i="4"/>
  <c r="FP6" i="4"/>
  <c r="FO6" i="4"/>
  <c r="FM6" i="4"/>
  <c r="FL6" i="4"/>
  <c r="FK6" i="4"/>
  <c r="FJ6" i="4"/>
  <c r="FI6" i="4"/>
  <c r="FH6" i="4"/>
  <c r="FT5" i="4"/>
  <c r="FS5" i="4"/>
  <c r="FR5" i="4"/>
  <c r="FQ5" i="4"/>
  <c r="FP5" i="4"/>
  <c r="FO5" i="4"/>
  <c r="FM5" i="4"/>
  <c r="FL5" i="4"/>
  <c r="FK5" i="4"/>
  <c r="FJ5" i="4"/>
  <c r="FI5" i="4"/>
  <c r="FH5" i="4"/>
  <c r="FT4" i="4"/>
  <c r="FS4" i="4"/>
  <c r="FR4" i="4"/>
  <c r="FQ4" i="4"/>
  <c r="FP4" i="4"/>
  <c r="FO4" i="4"/>
  <c r="FM4" i="4"/>
  <c r="FL4" i="4"/>
  <c r="FK4" i="4"/>
  <c r="FJ4" i="4"/>
  <c r="FI4" i="4"/>
  <c r="FH4" i="4"/>
  <c r="FT10" i="4"/>
  <c r="FS10" i="4"/>
  <c r="FR10" i="4"/>
  <c r="FQ10" i="4"/>
  <c r="FP10" i="4"/>
  <c r="FO10" i="4"/>
  <c r="FM10" i="4"/>
  <c r="FL10" i="4"/>
  <c r="FK10" i="4"/>
  <c r="FJ10" i="4"/>
  <c r="FI10" i="4"/>
  <c r="FH10" i="4"/>
  <c r="EG4" i="4"/>
  <c r="EH4" i="4"/>
  <c r="EG5" i="4"/>
  <c r="EH5" i="4"/>
  <c r="EI5" i="4"/>
  <c r="EG6" i="4"/>
  <c r="EH6" i="4"/>
  <c r="EI6" i="4"/>
  <c r="EG7" i="4"/>
  <c r="EH7" i="4"/>
  <c r="EI7" i="4"/>
  <c r="EG8" i="4"/>
  <c r="EH8" i="4"/>
  <c r="EI8" i="4"/>
  <c r="EG9" i="4"/>
  <c r="EH9" i="4"/>
  <c r="EI9" i="4"/>
  <c r="EG12" i="4"/>
  <c r="EH12" i="4"/>
  <c r="EI12" i="4"/>
  <c r="EG16" i="4"/>
  <c r="EH16" i="4"/>
  <c r="EI16" i="4"/>
  <c r="EG11" i="4"/>
  <c r="EH11" i="4"/>
  <c r="EI11" i="4"/>
  <c r="EG21" i="4"/>
  <c r="EH21" i="4"/>
  <c r="EI21" i="4"/>
  <c r="EG20" i="4"/>
  <c r="EH20" i="4"/>
  <c r="EI20" i="4"/>
  <c r="EG14" i="4"/>
  <c r="EH14" i="4"/>
  <c r="EI14" i="4"/>
  <c r="EG17" i="4"/>
  <c r="EH17" i="4"/>
  <c r="EI17" i="4"/>
  <c r="EG15" i="4"/>
  <c r="EH15" i="4"/>
  <c r="EI15" i="4"/>
  <c r="EG22" i="4"/>
  <c r="EH22" i="4"/>
  <c r="EI22" i="4"/>
  <c r="EG19" i="4"/>
  <c r="EH19" i="4"/>
  <c r="EI19" i="4"/>
  <c r="EI10" i="4"/>
  <c r="EB10" i="4"/>
  <c r="EH10" i="4"/>
  <c r="EG10" i="4"/>
  <c r="EC10" i="4"/>
  <c r="EJ4" i="4"/>
  <c r="EK4" i="4"/>
  <c r="EL4" i="4"/>
  <c r="DZ5" i="4"/>
  <c r="EA5" i="4"/>
  <c r="EB5" i="4"/>
  <c r="EC5" i="4"/>
  <c r="ED5" i="4"/>
  <c r="EE5" i="4"/>
  <c r="EJ5" i="4"/>
  <c r="EK5" i="4"/>
  <c r="EL5" i="4"/>
  <c r="DZ6" i="4"/>
  <c r="EA6" i="4"/>
  <c r="EB6" i="4"/>
  <c r="EC6" i="4"/>
  <c r="ED6" i="4"/>
  <c r="EE6" i="4"/>
  <c r="EJ6" i="4"/>
  <c r="EK6" i="4"/>
  <c r="EL6" i="4"/>
  <c r="DZ7" i="4"/>
  <c r="EA7" i="4"/>
  <c r="EB7" i="4"/>
  <c r="EC7" i="4"/>
  <c r="ED7" i="4"/>
  <c r="EE7" i="4"/>
  <c r="EJ7" i="4"/>
  <c r="EK7" i="4"/>
  <c r="EL7" i="4"/>
  <c r="DZ8" i="4"/>
  <c r="EA8" i="4"/>
  <c r="EB8" i="4"/>
  <c r="EC8" i="4"/>
  <c r="ED8" i="4"/>
  <c r="EE8" i="4"/>
  <c r="EJ8" i="4"/>
  <c r="EK8" i="4"/>
  <c r="EL8" i="4"/>
  <c r="DZ9" i="4"/>
  <c r="EA9" i="4"/>
  <c r="EB9" i="4"/>
  <c r="EC9" i="4"/>
  <c r="ED9" i="4"/>
  <c r="EE9" i="4"/>
  <c r="EJ9" i="4"/>
  <c r="EK9" i="4"/>
  <c r="EL9" i="4"/>
  <c r="DZ12" i="4"/>
  <c r="EA12" i="4"/>
  <c r="EB12" i="4"/>
  <c r="EC12" i="4"/>
  <c r="ED12" i="4"/>
  <c r="EE12" i="4"/>
  <c r="EJ12" i="4"/>
  <c r="EK12" i="4"/>
  <c r="EL12" i="4"/>
  <c r="DZ16" i="4"/>
  <c r="EA16" i="4"/>
  <c r="EB16" i="4"/>
  <c r="EC16" i="4"/>
  <c r="ED16" i="4"/>
  <c r="EE16" i="4"/>
  <c r="EJ16" i="4"/>
  <c r="EK16" i="4"/>
  <c r="EL16" i="4"/>
  <c r="DZ11" i="4"/>
  <c r="EA11" i="4"/>
  <c r="EB11" i="4"/>
  <c r="EC11" i="4"/>
  <c r="ED11" i="4"/>
  <c r="EE11" i="4"/>
  <c r="EJ11" i="4"/>
  <c r="EK11" i="4"/>
  <c r="EL11" i="4"/>
  <c r="DZ21" i="4"/>
  <c r="EA21" i="4"/>
  <c r="EB21" i="4"/>
  <c r="EC21" i="4"/>
  <c r="ED21" i="4"/>
  <c r="EE21" i="4"/>
  <c r="EJ21" i="4"/>
  <c r="EK21" i="4"/>
  <c r="EL21" i="4"/>
  <c r="DZ20" i="4"/>
  <c r="EA20" i="4"/>
  <c r="EB20" i="4"/>
  <c r="EC20" i="4"/>
  <c r="ED20" i="4"/>
  <c r="EE20" i="4"/>
  <c r="EJ20" i="4"/>
  <c r="EK20" i="4"/>
  <c r="EL20" i="4"/>
  <c r="DZ14" i="4"/>
  <c r="EA14" i="4"/>
  <c r="EB14" i="4"/>
  <c r="EC14" i="4"/>
  <c r="ED14" i="4"/>
  <c r="EE14" i="4"/>
  <c r="EJ14" i="4"/>
  <c r="EK14" i="4"/>
  <c r="EL14" i="4"/>
  <c r="DZ17" i="4"/>
  <c r="EA17" i="4"/>
  <c r="EB17" i="4"/>
  <c r="EC17" i="4"/>
  <c r="ED17" i="4"/>
  <c r="EE17" i="4"/>
  <c r="EJ17" i="4"/>
  <c r="EK17" i="4"/>
  <c r="EL17" i="4"/>
  <c r="DZ15" i="4"/>
  <c r="EA15" i="4"/>
  <c r="EB15" i="4"/>
  <c r="EC15" i="4"/>
  <c r="ED15" i="4"/>
  <c r="EE15" i="4"/>
  <c r="EJ15" i="4"/>
  <c r="EK15" i="4"/>
  <c r="EL15" i="4"/>
  <c r="DZ22" i="4"/>
  <c r="EA22" i="4"/>
  <c r="EB22" i="4"/>
  <c r="EC22" i="4"/>
  <c r="ED22" i="4"/>
  <c r="EE22" i="4"/>
  <c r="EJ22" i="4"/>
  <c r="EK22" i="4"/>
  <c r="EL22" i="4"/>
  <c r="DZ19" i="4"/>
  <c r="EA19" i="4"/>
  <c r="EB19" i="4"/>
  <c r="EC19" i="4"/>
  <c r="ED19" i="4"/>
  <c r="EE19" i="4"/>
  <c r="EJ19" i="4"/>
  <c r="EK19" i="4"/>
  <c r="EL19" i="4"/>
  <c r="EL10" i="4"/>
  <c r="EK10" i="4"/>
  <c r="EJ10" i="4"/>
  <c r="EE10" i="4"/>
  <c r="ED10" i="4"/>
  <c r="EA10" i="4"/>
  <c r="DZ10" i="4"/>
  <c r="CY10" i="4"/>
  <c r="CY5" i="4"/>
  <c r="CY6" i="4"/>
  <c r="CY7" i="4"/>
  <c r="CY8" i="4"/>
  <c r="CY9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9" i="4"/>
  <c r="CU12" i="4"/>
  <c r="CU16" i="4"/>
  <c r="CU11" i="4"/>
  <c r="CU21" i="4"/>
  <c r="CU20" i="4"/>
  <c r="CU14" i="4"/>
  <c r="CU17" i="4"/>
  <c r="CU15" i="4"/>
  <c r="CU22" i="4"/>
  <c r="CU19" i="4"/>
  <c r="CU10" i="4"/>
  <c r="CT10" i="4"/>
  <c r="CR4" i="4"/>
  <c r="CR5" i="4"/>
  <c r="CR6" i="4"/>
  <c r="CR7" i="4"/>
  <c r="CR8" i="4"/>
  <c r="CR9" i="4"/>
  <c r="CR12" i="4"/>
  <c r="CR16" i="4"/>
  <c r="CR11" i="4"/>
  <c r="CR21" i="4"/>
  <c r="CR20" i="4"/>
  <c r="CR14" i="4"/>
  <c r="CR17" i="4"/>
  <c r="CR15" i="4"/>
  <c r="CR22" i="4"/>
  <c r="CR19" i="4"/>
  <c r="CR10" i="4"/>
  <c r="CQ10" i="4"/>
  <c r="CQ4" i="4"/>
  <c r="CQ5" i="4"/>
  <c r="CQ6" i="4"/>
  <c r="CQ7" i="4"/>
  <c r="CQ8" i="4"/>
  <c r="CQ9" i="4"/>
  <c r="CQ12" i="4"/>
  <c r="CQ16" i="4"/>
  <c r="CQ11" i="4"/>
  <c r="CQ21" i="4"/>
  <c r="CQ20" i="4"/>
  <c r="CQ14" i="4"/>
  <c r="CQ17" i="4"/>
  <c r="CQ15" i="4"/>
  <c r="CQ22" i="4"/>
  <c r="CQ19" i="4"/>
  <c r="MI21" i="4" l="1"/>
  <c r="EC4" i="4"/>
  <c r="EI4" i="4"/>
  <c r="HC7" i="4"/>
  <c r="RH17" i="4"/>
  <c r="RO17" i="4" s="1"/>
  <c r="MB15" i="4"/>
  <c r="MI15" i="4" s="1"/>
  <c r="OR15" i="4"/>
  <c r="OY15" i="4" s="1"/>
  <c r="RH15" i="4"/>
  <c r="RO15" i="4" s="1"/>
  <c r="MB22" i="4"/>
  <c r="MI22" i="4" s="1"/>
  <c r="OR22" i="4"/>
  <c r="OY22" i="4" s="1"/>
  <c r="RH22" i="4"/>
  <c r="RO22" i="4" s="1"/>
  <c r="MB19" i="4"/>
  <c r="MI19" i="4" s="1"/>
  <c r="OR19" i="4"/>
  <c r="OY19" i="4" s="1"/>
  <c r="RH19" i="4"/>
  <c r="RO19" i="4" s="1"/>
  <c r="JL4" i="4"/>
  <c r="JS4" i="4" s="1"/>
  <c r="JL6" i="4"/>
  <c r="JS6" i="4" s="1"/>
  <c r="JL8" i="4"/>
  <c r="JS8" i="4" s="1"/>
  <c r="NQ15" i="4"/>
  <c r="SW15" i="4"/>
  <c r="GV8" i="4"/>
  <c r="HC8" i="4" s="1"/>
  <c r="GV9" i="4"/>
  <c r="HC9" i="4" s="1"/>
  <c r="NJ21" i="4"/>
  <c r="NQ21" i="4" s="1"/>
  <c r="SP21" i="4"/>
  <c r="SW21" i="4" s="1"/>
  <c r="OR9" i="4"/>
  <c r="OY9" i="4" s="1"/>
  <c r="MB12" i="4"/>
  <c r="MI12" i="4" s="1"/>
  <c r="RH12" i="4"/>
  <c r="RO12" i="4" s="1"/>
  <c r="KT9" i="4"/>
  <c r="LA9" i="4" s="1"/>
  <c r="PZ10" i="4"/>
  <c r="QG10" i="4" s="1"/>
  <c r="SP10" i="4"/>
  <c r="SW10" i="4" s="1"/>
  <c r="NJ4" i="4"/>
  <c r="NQ4" i="4" s="1"/>
  <c r="PZ4" i="4"/>
  <c r="QG4" i="4" s="1"/>
  <c r="SP4" i="4"/>
  <c r="SW4" i="4" s="1"/>
  <c r="NJ5" i="4"/>
  <c r="NQ5" i="4" s="1"/>
  <c r="PZ5" i="4"/>
  <c r="QG5" i="4" s="1"/>
  <c r="SP5" i="4"/>
  <c r="SW5" i="4" s="1"/>
  <c r="NJ6" i="4"/>
  <c r="NQ6" i="4" s="1"/>
  <c r="PZ6" i="4"/>
  <c r="QG6" i="4" s="1"/>
  <c r="SP7" i="4"/>
  <c r="SW7" i="4" s="1"/>
  <c r="SP8" i="4"/>
  <c r="SW8" i="4" s="1"/>
  <c r="NJ9" i="4"/>
  <c r="NQ9" i="4" s="1"/>
  <c r="PZ9" i="4"/>
  <c r="QG9" i="4" s="1"/>
  <c r="SP9" i="4"/>
  <c r="SW9" i="4" s="1"/>
  <c r="NJ12" i="4"/>
  <c r="NQ12" i="4" s="1"/>
  <c r="PZ12" i="4"/>
  <c r="QG12" i="4" s="1"/>
  <c r="SP12" i="4"/>
  <c r="SW12" i="4" s="1"/>
  <c r="NJ16" i="4"/>
  <c r="NQ16" i="4" s="1"/>
  <c r="PZ16" i="4"/>
  <c r="QG16" i="4" s="1"/>
  <c r="SP16" i="4"/>
  <c r="SW16" i="4" s="1"/>
  <c r="OY20" i="4"/>
  <c r="ID5" i="4"/>
  <c r="IK5" i="4" s="1"/>
  <c r="ID14" i="4"/>
  <c r="IK14" i="4" s="1"/>
  <c r="KT5" i="4"/>
  <c r="LA5" i="4" s="1"/>
  <c r="NJ10" i="4"/>
  <c r="NQ10" i="4" s="1"/>
  <c r="RH20" i="4"/>
  <c r="RO20" i="4" s="1"/>
  <c r="OR14" i="4"/>
  <c r="OY14" i="4" s="1"/>
  <c r="JL17" i="4"/>
  <c r="JS17" i="4" s="1"/>
  <c r="MB10" i="4"/>
  <c r="MI10" i="4" s="1"/>
  <c r="OR10" i="4"/>
  <c r="OY10" i="4" s="1"/>
  <c r="RH10" i="4"/>
  <c r="RO10" i="4" s="1"/>
  <c r="MB6" i="4"/>
  <c r="MI6" i="4" s="1"/>
  <c r="OR6" i="4"/>
  <c r="OY6" i="4" s="1"/>
  <c r="NJ7" i="4"/>
  <c r="NQ7" i="4" s="1"/>
  <c r="NJ20" i="4"/>
  <c r="NQ20" i="4" s="1"/>
  <c r="PZ20" i="4"/>
  <c r="QG20" i="4" s="1"/>
  <c r="SP20" i="4"/>
  <c r="SW20" i="4" s="1"/>
  <c r="NJ14" i="4"/>
  <c r="NQ14" i="4" s="1"/>
  <c r="PZ14" i="4"/>
  <c r="QG14" i="4" s="1"/>
  <c r="SP14" i="4"/>
  <c r="SW14" i="4" s="1"/>
  <c r="NJ17" i="4"/>
  <c r="NQ17" i="4" s="1"/>
  <c r="PZ17" i="4"/>
  <c r="QG17" i="4" s="1"/>
  <c r="SP17" i="4"/>
  <c r="SW17" i="4" s="1"/>
  <c r="RH6" i="4"/>
  <c r="RO6" i="4" s="1"/>
  <c r="MB7" i="4"/>
  <c r="MI7" i="4" s="1"/>
  <c r="OR7" i="4"/>
  <c r="OY7" i="4" s="1"/>
  <c r="RH7" i="4"/>
  <c r="RO7" i="4" s="1"/>
  <c r="PZ8" i="4"/>
  <c r="QG8" i="4" s="1"/>
  <c r="OR8" i="4"/>
  <c r="OY8" i="4" s="1"/>
  <c r="MB9" i="4"/>
  <c r="MI9" i="4" s="1"/>
  <c r="RH16" i="4"/>
  <c r="RO16" i="4" s="1"/>
  <c r="PZ11" i="4"/>
  <c r="QG11" i="4" s="1"/>
  <c r="GV10" i="4"/>
  <c r="HC10" i="4" s="1"/>
  <c r="OY11" i="4"/>
  <c r="OR16" i="4"/>
  <c r="OY16" i="4" s="1"/>
  <c r="RO21" i="4"/>
  <c r="MB11" i="4"/>
  <c r="MI11" i="4" s="1"/>
  <c r="FN10" i="4"/>
  <c r="FU10" i="4" s="1"/>
  <c r="FN5" i="4"/>
  <c r="FU5" i="4" s="1"/>
  <c r="FN9" i="4"/>
  <c r="FU9" i="4" s="1"/>
  <c r="ID10" i="4"/>
  <c r="IK10" i="4" s="1"/>
  <c r="ID4" i="4"/>
  <c r="IK4" i="4" s="1"/>
  <c r="GV19" i="4"/>
  <c r="HC19" i="4" s="1"/>
  <c r="JL10" i="4"/>
  <c r="JS10" i="4" s="1"/>
  <c r="MB4" i="4"/>
  <c r="MI4" i="4" s="1"/>
  <c r="OR4" i="4"/>
  <c r="OY4" i="4" s="1"/>
  <c r="SP6" i="4"/>
  <c r="SW6" i="4" s="1"/>
  <c r="RH9" i="4"/>
  <c r="RO9" i="4" s="1"/>
  <c r="NJ11" i="4"/>
  <c r="NQ11" i="4" s="1"/>
  <c r="RH11" i="4"/>
  <c r="RO11" i="4" s="1"/>
  <c r="MB14" i="4"/>
  <c r="MI14" i="4" s="1"/>
  <c r="PZ15" i="4"/>
  <c r="QG15" i="4" s="1"/>
  <c r="ID9" i="4"/>
  <c r="IK9" i="4" s="1"/>
  <c r="ID12" i="4"/>
  <c r="IK12" i="4" s="1"/>
  <c r="ID16" i="4"/>
  <c r="IK16" i="4" s="1"/>
  <c r="ID11" i="4"/>
  <c r="IK11" i="4" s="1"/>
  <c r="ID21" i="4"/>
  <c r="IK21" i="4" s="1"/>
  <c r="KT10" i="4"/>
  <c r="LA10" i="4" s="1"/>
  <c r="KT7" i="4"/>
  <c r="LA7" i="4" s="1"/>
  <c r="KT8" i="4"/>
  <c r="LA8" i="4" s="1"/>
  <c r="JL16" i="4"/>
  <c r="JS16" i="4" s="1"/>
  <c r="JL21" i="4"/>
  <c r="JS21" i="4" s="1"/>
  <c r="JL14" i="4"/>
  <c r="JS14" i="4" s="1"/>
  <c r="JL19" i="4"/>
  <c r="JS19" i="4" s="1"/>
  <c r="RH4" i="4"/>
  <c r="RO4" i="4" s="1"/>
  <c r="MB5" i="4"/>
  <c r="MI5" i="4" s="1"/>
  <c r="PZ7" i="4"/>
  <c r="QG7" i="4" s="1"/>
  <c r="MB8" i="4"/>
  <c r="MI8" i="4" s="1"/>
  <c r="OR12" i="4"/>
  <c r="OY12" i="4" s="1"/>
  <c r="SP11" i="4"/>
  <c r="SW11" i="4" s="1"/>
  <c r="OR21" i="4"/>
  <c r="OY21" i="4" s="1"/>
  <c r="RH14" i="4"/>
  <c r="RO14" i="4" s="1"/>
  <c r="NJ22" i="4"/>
  <c r="NQ22" i="4" s="1"/>
  <c r="PZ22" i="4"/>
  <c r="QG22" i="4" s="1"/>
  <c r="SP22" i="4"/>
  <c r="SW22" i="4" s="1"/>
  <c r="NJ19" i="4"/>
  <c r="NQ19" i="4" s="1"/>
  <c r="PZ19" i="4"/>
  <c r="QG19" i="4" s="1"/>
  <c r="SP19" i="4"/>
  <c r="SW19" i="4" s="1"/>
  <c r="KT16" i="4"/>
  <c r="LA16" i="4" s="1"/>
  <c r="KT11" i="4"/>
  <c r="LA11" i="4" s="1"/>
  <c r="KT21" i="4"/>
  <c r="LA21" i="4" s="1"/>
  <c r="KT20" i="4"/>
  <c r="LA20" i="4" s="1"/>
  <c r="KT14" i="4"/>
  <c r="LA14" i="4" s="1"/>
  <c r="KT17" i="4"/>
  <c r="LA17" i="4" s="1"/>
  <c r="KT15" i="4"/>
  <c r="LA15" i="4" s="1"/>
  <c r="KT19" i="4"/>
  <c r="LA19" i="4" s="1"/>
  <c r="OR5" i="4"/>
  <c r="OY5" i="4" s="1"/>
  <c r="RH5" i="4"/>
  <c r="RO5" i="4" s="1"/>
  <c r="NJ8" i="4"/>
  <c r="NQ8" i="4" s="1"/>
  <c r="RH8" i="4"/>
  <c r="RO8" i="4" s="1"/>
  <c r="MB16" i="4"/>
  <c r="MI16" i="4" s="1"/>
  <c r="PZ21" i="4"/>
  <c r="QG21" i="4" s="1"/>
  <c r="MB20" i="4"/>
  <c r="MI20" i="4" s="1"/>
  <c r="MB17" i="4"/>
  <c r="MI17" i="4" s="1"/>
  <c r="OR17" i="4"/>
  <c r="OY17" i="4" s="1"/>
  <c r="ID15" i="4"/>
  <c r="IK15" i="4" s="1"/>
  <c r="ID22" i="4"/>
  <c r="IK22" i="4" s="1"/>
  <c r="ID19" i="4"/>
  <c r="IK19" i="4" s="1"/>
  <c r="JL5" i="4"/>
  <c r="JS5" i="4" s="1"/>
  <c r="JL12" i="4"/>
  <c r="JS12" i="4" s="1"/>
  <c r="KT22" i="4"/>
  <c r="LA22" i="4" s="1"/>
  <c r="KT4" i="4"/>
  <c r="LA4" i="4" s="1"/>
  <c r="JL7" i="4"/>
  <c r="JS7" i="4" s="1"/>
  <c r="JL11" i="4"/>
  <c r="JS11" i="4" s="1"/>
  <c r="ID7" i="4"/>
  <c r="IK7" i="4" s="1"/>
  <c r="KT6" i="4"/>
  <c r="LA6" i="4" s="1"/>
  <c r="JL9" i="4"/>
  <c r="JS9" i="4" s="1"/>
  <c r="JL20" i="4"/>
  <c r="JS20" i="4" s="1"/>
  <c r="GV20" i="4"/>
  <c r="HC20" i="4" s="1"/>
  <c r="GV14" i="4"/>
  <c r="HC14" i="4" s="1"/>
  <c r="GV17" i="4"/>
  <c r="HC17" i="4" s="1"/>
  <c r="GV15" i="4"/>
  <c r="HC15" i="4" s="1"/>
  <c r="KT12" i="4"/>
  <c r="LA12" i="4" s="1"/>
  <c r="JL22" i="4"/>
  <c r="JS22" i="4" s="1"/>
  <c r="FN16" i="4"/>
  <c r="FU16" i="4" s="1"/>
  <c r="FN21" i="4"/>
  <c r="FU21" i="4" s="1"/>
  <c r="FN14" i="4"/>
  <c r="FU14" i="4" s="1"/>
  <c r="FN15" i="4"/>
  <c r="FU15" i="4" s="1"/>
  <c r="FN19" i="4"/>
  <c r="FU19" i="4" s="1"/>
  <c r="GV5" i="4"/>
  <c r="HC5" i="4" s="1"/>
  <c r="GV16" i="4"/>
  <c r="HC16" i="4" s="1"/>
  <c r="GV21" i="4"/>
  <c r="HC21" i="4" s="1"/>
  <c r="JL15" i="4"/>
  <c r="JS15" i="4" s="1"/>
  <c r="FN6" i="4"/>
  <c r="FU6" i="4" s="1"/>
  <c r="FN8" i="4"/>
  <c r="FU8" i="4" s="1"/>
  <c r="FN12" i="4"/>
  <c r="FU12" i="4" s="1"/>
  <c r="ID6" i="4"/>
  <c r="IK6" i="4" s="1"/>
  <c r="GV12" i="4"/>
  <c r="HC12" i="4" s="1"/>
  <c r="ID20" i="4"/>
  <c r="IK20" i="4" s="1"/>
  <c r="GV22" i="4"/>
  <c r="HC22" i="4" s="1"/>
  <c r="GV4" i="4"/>
  <c r="HC4" i="4" s="1"/>
  <c r="ID8" i="4"/>
  <c r="IK8" i="4" s="1"/>
  <c r="GV11" i="4"/>
  <c r="HC11" i="4" s="1"/>
  <c r="ID17" i="4"/>
  <c r="IK17" i="4" s="1"/>
  <c r="FN11" i="4"/>
  <c r="FU11" i="4" s="1"/>
  <c r="FN20" i="4"/>
  <c r="FU20" i="4" s="1"/>
  <c r="FN17" i="4"/>
  <c r="FU17" i="4" s="1"/>
  <c r="FN22" i="4"/>
  <c r="FU22" i="4" s="1"/>
  <c r="FN7" i="4"/>
  <c r="FU7" i="4" s="1"/>
  <c r="FN4" i="4"/>
  <c r="FU4" i="4" s="1"/>
  <c r="EF6" i="4"/>
  <c r="EF9" i="4"/>
  <c r="EF21" i="4"/>
  <c r="EF11" i="4"/>
  <c r="EF19" i="4"/>
  <c r="EF14" i="4"/>
  <c r="EF22" i="4"/>
  <c r="EF7" i="4"/>
  <c r="EF15" i="4"/>
  <c r="EF10" i="4"/>
  <c r="EF20" i="4"/>
  <c r="EF16" i="4"/>
  <c r="EF17" i="4"/>
  <c r="EF12" i="4"/>
  <c r="EF5" i="4"/>
  <c r="EF8" i="4"/>
  <c r="CP7" i="8"/>
  <c r="CQ7" i="8"/>
  <c r="CS7" i="8"/>
  <c r="CT7" i="8"/>
  <c r="DR7" i="8"/>
  <c r="DS7" i="8"/>
  <c r="DU7" i="8"/>
  <c r="DV7" i="8"/>
  <c r="ER7" i="8"/>
  <c r="ES7" i="8"/>
  <c r="EU7" i="8"/>
  <c r="EV7" i="8"/>
  <c r="FR7" i="8"/>
  <c r="FS7" i="8"/>
  <c r="FU7" i="8"/>
  <c r="FV7" i="8"/>
  <c r="GR7" i="8"/>
  <c r="GS7" i="8"/>
  <c r="GU7" i="8"/>
  <c r="GV7" i="8"/>
  <c r="HR7" i="8"/>
  <c r="HS7" i="8"/>
  <c r="HU7" i="8"/>
  <c r="HV7" i="8"/>
  <c r="IR7" i="8"/>
  <c r="IS7" i="8"/>
  <c r="IU7" i="8"/>
  <c r="IV7" i="8"/>
  <c r="JR7" i="8"/>
  <c r="JS7" i="8"/>
  <c r="JU7" i="8"/>
  <c r="JV7" i="8"/>
  <c r="KR7" i="8"/>
  <c r="KS7" i="8"/>
  <c r="KU7" i="8"/>
  <c r="KV7" i="8"/>
  <c r="LR7" i="8"/>
  <c r="LS7" i="8"/>
  <c r="LU7" i="8"/>
  <c r="LV7" i="8"/>
  <c r="MR7" i="8"/>
  <c r="MS7" i="8"/>
  <c r="MU7" i="8"/>
  <c r="MV7" i="8"/>
  <c r="NR7" i="8"/>
  <c r="NS7" i="8"/>
  <c r="NU7" i="8"/>
  <c r="NV7" i="8"/>
  <c r="OR7" i="8"/>
  <c r="OS7" i="8"/>
  <c r="OU7" i="8"/>
  <c r="OV7" i="8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G7" i="8" l="1"/>
  <c r="I7" i="8"/>
  <c r="F7" i="8"/>
  <c r="J7" i="8"/>
  <c r="L7" i="8"/>
  <c r="CV7" i="8" s="1"/>
  <c r="N7" i="8"/>
  <c r="EM10" i="4"/>
  <c r="EM9" i="4"/>
  <c r="EM6" i="4"/>
  <c r="EM15" i="4"/>
  <c r="EM12" i="4"/>
  <c r="EM14" i="4"/>
  <c r="EM5" i="4"/>
  <c r="EM22" i="4"/>
  <c r="EM16" i="4"/>
  <c r="EM19" i="4"/>
  <c r="EM8" i="4"/>
  <c r="EM7" i="4"/>
  <c r="EM17" i="4"/>
  <c r="EM11" i="4"/>
  <c r="EM20" i="4"/>
  <c r="EM21" i="4"/>
  <c r="NW7" i="8"/>
  <c r="JW7" i="8"/>
  <c r="DW7" i="8"/>
  <c r="LW7" i="8"/>
  <c r="GW7" i="8"/>
  <c r="KW7" i="8"/>
  <c r="EW7" i="8"/>
  <c r="MW7" i="8"/>
  <c r="IW7" i="8"/>
  <c r="CU7" i="8"/>
  <c r="PV7" i="8"/>
  <c r="PS7" i="8"/>
  <c r="OW7" i="8"/>
  <c r="HW7" i="8"/>
  <c r="FW7" i="8"/>
  <c r="PW7" i="8"/>
  <c r="PT7" i="8"/>
  <c r="O7" i="8" l="1"/>
  <c r="CW7" i="8"/>
  <c r="M7" i="8"/>
  <c r="PX7" i="8"/>
  <c r="K7" i="8"/>
  <c r="P7" i="8" l="1"/>
  <c r="E7" i="8" s="1"/>
  <c r="R7" i="8" l="1"/>
  <c r="Q7" i="8"/>
  <c r="CS19" i="4"/>
  <c r="CT19" i="4"/>
  <c r="CV19" i="4"/>
  <c r="CX19" i="4"/>
  <c r="CZ19" i="4"/>
  <c r="SX19" i="4"/>
  <c r="SY19" i="4"/>
  <c r="SZ19" i="4"/>
  <c r="TN19" i="4" s="1"/>
  <c r="TA19" i="4"/>
  <c r="TO19" i="4" s="1"/>
  <c r="TB19" i="4"/>
  <c r="TC19" i="4"/>
  <c r="TD19" i="4"/>
  <c r="TE19" i="4"/>
  <c r="TQ19" i="4" s="1"/>
  <c r="TF19" i="4"/>
  <c r="TR19" i="4" s="1"/>
  <c r="TG19" i="4"/>
  <c r="TH19" i="4"/>
  <c r="TI19" i="4"/>
  <c r="TJ19" i="4"/>
  <c r="TU19" i="4" s="1"/>
  <c r="TK19" i="4"/>
  <c r="TV19" i="4" s="1"/>
  <c r="TL19" i="4"/>
  <c r="N19" i="4" l="1"/>
  <c r="O19" i="4" s="1"/>
  <c r="T19" i="4"/>
  <c r="R19" i="4"/>
  <c r="L19" i="4"/>
  <c r="DB19" i="4" s="1"/>
  <c r="J19" i="4"/>
  <c r="TW19" i="4"/>
  <c r="G19" i="4"/>
  <c r="I19" i="4"/>
  <c r="F19" i="4"/>
  <c r="TS19" i="4"/>
  <c r="TP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X17" i="4"/>
  <c r="SY17" i="4"/>
  <c r="SZ17" i="4"/>
  <c r="TN17" i="4" s="1"/>
  <c r="TA17" i="4"/>
  <c r="TO17" i="4" s="1"/>
  <c r="TB17" i="4"/>
  <c r="TC17" i="4"/>
  <c r="TD17" i="4"/>
  <c r="TE17" i="4"/>
  <c r="TQ17" i="4" s="1"/>
  <c r="TF17" i="4"/>
  <c r="TR17" i="4" s="1"/>
  <c r="TG17" i="4"/>
  <c r="TH17" i="4"/>
  <c r="TI17" i="4"/>
  <c r="TJ17" i="4"/>
  <c r="TU17" i="4" s="1"/>
  <c r="TK17" i="4"/>
  <c r="TV17" i="4" s="1"/>
  <c r="TL17" i="4"/>
  <c r="CS9" i="4"/>
  <c r="CT9" i="4"/>
  <c r="CV9" i="4"/>
  <c r="CX9" i="4"/>
  <c r="CZ9" i="4"/>
  <c r="P9" i="4" s="1"/>
  <c r="DC9" i="4" s="1"/>
  <c r="SX9" i="4"/>
  <c r="SY9" i="4"/>
  <c r="SZ9" i="4"/>
  <c r="TN9" i="4" s="1"/>
  <c r="TA9" i="4"/>
  <c r="TO9" i="4" s="1"/>
  <c r="TB9" i="4"/>
  <c r="TC9" i="4"/>
  <c r="TD9" i="4"/>
  <c r="TE9" i="4"/>
  <c r="TQ9" i="4" s="1"/>
  <c r="TF9" i="4"/>
  <c r="TR9" i="4" s="1"/>
  <c r="TG9" i="4"/>
  <c r="TH9" i="4"/>
  <c r="TI9" i="4"/>
  <c r="TJ9" i="4"/>
  <c r="TU9" i="4" s="1"/>
  <c r="TK9" i="4"/>
  <c r="TV9" i="4" s="1"/>
  <c r="TL9" i="4"/>
  <c r="CS5" i="8"/>
  <c r="CS6" i="8"/>
  <c r="NV6" i="8"/>
  <c r="NU6" i="8"/>
  <c r="NS6" i="8"/>
  <c r="NR6" i="8"/>
  <c r="NV5" i="8"/>
  <c r="NU5" i="8"/>
  <c r="NS5" i="8"/>
  <c r="NR5" i="8"/>
  <c r="NV4" i="8"/>
  <c r="NU4" i="8"/>
  <c r="NS4" i="8"/>
  <c r="NR4" i="8"/>
  <c r="MV6" i="8"/>
  <c r="MU6" i="8"/>
  <c r="MS6" i="8"/>
  <c r="MR6" i="8"/>
  <c r="MV5" i="8"/>
  <c r="MU5" i="8"/>
  <c r="MS5" i="8"/>
  <c r="MR5" i="8"/>
  <c r="MV4" i="8"/>
  <c r="MU4" i="8"/>
  <c r="MS4" i="8"/>
  <c r="MR4" i="8"/>
  <c r="LV6" i="8"/>
  <c r="LU6" i="8"/>
  <c r="LS6" i="8"/>
  <c r="LR6" i="8"/>
  <c r="LV5" i="8"/>
  <c r="LU5" i="8"/>
  <c r="LS5" i="8"/>
  <c r="LR5" i="8"/>
  <c r="LV4" i="8"/>
  <c r="LU4" i="8"/>
  <c r="LS4" i="8"/>
  <c r="LR4" i="8"/>
  <c r="KV6" i="8"/>
  <c r="KU6" i="8"/>
  <c r="KS6" i="8"/>
  <c r="KR6" i="8"/>
  <c r="KV5" i="8"/>
  <c r="KU5" i="8"/>
  <c r="KS5" i="8"/>
  <c r="KR5" i="8"/>
  <c r="KV4" i="8"/>
  <c r="KU4" i="8"/>
  <c r="KS4" i="8"/>
  <c r="KR4" i="8"/>
  <c r="JV6" i="8"/>
  <c r="JU6" i="8"/>
  <c r="JS6" i="8"/>
  <c r="JR6" i="8"/>
  <c r="JV5" i="8"/>
  <c r="JU5" i="8"/>
  <c r="JS5" i="8"/>
  <c r="JR5" i="8"/>
  <c r="JV4" i="8"/>
  <c r="JU4" i="8"/>
  <c r="JS4" i="8"/>
  <c r="JR4" i="8"/>
  <c r="IV6" i="8"/>
  <c r="IU6" i="8"/>
  <c r="IS6" i="8"/>
  <c r="IR6" i="8"/>
  <c r="IV5" i="8"/>
  <c r="IU5" i="8"/>
  <c r="IS5" i="8"/>
  <c r="IR5" i="8"/>
  <c r="IV4" i="8"/>
  <c r="IU4" i="8"/>
  <c r="IS4" i="8"/>
  <c r="IR4" i="8"/>
  <c r="HV6" i="8"/>
  <c r="HU6" i="8"/>
  <c r="HS6" i="8"/>
  <c r="HR6" i="8"/>
  <c r="HV5" i="8"/>
  <c r="HU5" i="8"/>
  <c r="HS5" i="8"/>
  <c r="HR5" i="8"/>
  <c r="HV4" i="8"/>
  <c r="HU4" i="8"/>
  <c r="HS4" i="8"/>
  <c r="HR4" i="8"/>
  <c r="GV6" i="8"/>
  <c r="GU6" i="8"/>
  <c r="GS6" i="8"/>
  <c r="GR6" i="8"/>
  <c r="GV5" i="8"/>
  <c r="GU5" i="8"/>
  <c r="GS5" i="8"/>
  <c r="GR5" i="8"/>
  <c r="GV4" i="8"/>
  <c r="GU4" i="8"/>
  <c r="GS4" i="8"/>
  <c r="GR4" i="8"/>
  <c r="FV6" i="8"/>
  <c r="FU6" i="8"/>
  <c r="FS6" i="8"/>
  <c r="FR6" i="8"/>
  <c r="FV5" i="8"/>
  <c r="FU5" i="8"/>
  <c r="FS5" i="8"/>
  <c r="FR5" i="8"/>
  <c r="FV4" i="8"/>
  <c r="FU4" i="8"/>
  <c r="FS4" i="8"/>
  <c r="FR4" i="8"/>
  <c r="EV6" i="8"/>
  <c r="EU6" i="8"/>
  <c r="ES6" i="8"/>
  <c r="ER6" i="8"/>
  <c r="EV5" i="8"/>
  <c r="EU5" i="8"/>
  <c r="ES5" i="8"/>
  <c r="ER5" i="8"/>
  <c r="EV4" i="8"/>
  <c r="EU4" i="8"/>
  <c r="ES4" i="8"/>
  <c r="ER4" i="8"/>
  <c r="DV6" i="8"/>
  <c r="DU6" i="8"/>
  <c r="DS6" i="8"/>
  <c r="DR6" i="8"/>
  <c r="DV5" i="8"/>
  <c r="DU5" i="8"/>
  <c r="DS5" i="8"/>
  <c r="DR5" i="8"/>
  <c r="DV4" i="8"/>
  <c r="DU4" i="8"/>
  <c r="DS4" i="8"/>
  <c r="DR4" i="8"/>
  <c r="CP5" i="8"/>
  <c r="CQ5" i="8"/>
  <c r="L5" i="8" s="1"/>
  <c r="CV5" i="8" s="1"/>
  <c r="CT5" i="8"/>
  <c r="N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X15" i="4"/>
  <c r="SY15" i="4"/>
  <c r="SZ15" i="4"/>
  <c r="TN15" i="4" s="1"/>
  <c r="TA15" i="4"/>
  <c r="TO15" i="4" s="1"/>
  <c r="TB15" i="4"/>
  <c r="TC15" i="4"/>
  <c r="TD15" i="4"/>
  <c r="TE15" i="4"/>
  <c r="TQ15" i="4" s="1"/>
  <c r="TF15" i="4"/>
  <c r="TR15" i="4" s="1"/>
  <c r="TG15" i="4"/>
  <c r="TH15" i="4"/>
  <c r="TI15" i="4"/>
  <c r="TJ15" i="4"/>
  <c r="TU15" i="4" s="1"/>
  <c r="TK15" i="4"/>
  <c r="TV15" i="4" s="1"/>
  <c r="TL15" i="4"/>
  <c r="CS16" i="4"/>
  <c r="CT16" i="4"/>
  <c r="CV16" i="4"/>
  <c r="CX16" i="4"/>
  <c r="CZ16" i="4"/>
  <c r="P16" i="4" s="1"/>
  <c r="DC16" i="4" s="1"/>
  <c r="SX16" i="4"/>
  <c r="SY16" i="4"/>
  <c r="SZ16" i="4"/>
  <c r="TN16" i="4" s="1"/>
  <c r="TA16" i="4"/>
  <c r="TO16" i="4" s="1"/>
  <c r="TB16" i="4"/>
  <c r="TC16" i="4"/>
  <c r="TD16" i="4"/>
  <c r="TE16" i="4"/>
  <c r="TQ16" i="4" s="1"/>
  <c r="TF16" i="4"/>
  <c r="TR16" i="4" s="1"/>
  <c r="TG16" i="4"/>
  <c r="TH16" i="4"/>
  <c r="TI16" i="4"/>
  <c r="TJ16" i="4"/>
  <c r="TU16" i="4" s="1"/>
  <c r="TK16" i="4"/>
  <c r="TV16" i="4" s="1"/>
  <c r="TL16" i="4"/>
  <c r="O5" i="8" l="1"/>
  <c r="CW5" i="8"/>
  <c r="S19" i="4"/>
  <c r="DD19" i="4"/>
  <c r="U19" i="4"/>
  <c r="DE19" i="4"/>
  <c r="N15" i="4"/>
  <c r="O15" i="4" s="1"/>
  <c r="N9" i="4"/>
  <c r="O9" i="4" s="1"/>
  <c r="N17" i="4"/>
  <c r="O17" i="4" s="1"/>
  <c r="N16" i="4"/>
  <c r="O16" i="4" s="1"/>
  <c r="R16" i="4"/>
  <c r="K19" i="4"/>
  <c r="L9" i="4"/>
  <c r="DB9" i="4" s="1"/>
  <c r="I5" i="8"/>
  <c r="G5" i="8"/>
  <c r="F5" i="8"/>
  <c r="G17" i="4"/>
  <c r="G16" i="4"/>
  <c r="R9" i="4"/>
  <c r="R15" i="4"/>
  <c r="R17" i="4"/>
  <c r="T15" i="4"/>
  <c r="T17" i="4"/>
  <c r="T16" i="4"/>
  <c r="T9" i="4"/>
  <c r="M5" i="8"/>
  <c r="J5" i="8"/>
  <c r="J17" i="4"/>
  <c r="I9" i="4"/>
  <c r="F15" i="4"/>
  <c r="J9" i="4"/>
  <c r="L16" i="4"/>
  <c r="DB16" i="4" s="1"/>
  <c r="J16" i="4"/>
  <c r="I17" i="4"/>
  <c r="L15" i="4"/>
  <c r="DB15" i="4" s="1"/>
  <c r="L17" i="4"/>
  <c r="DB17" i="4" s="1"/>
  <c r="J15" i="4"/>
  <c r="F9" i="4"/>
  <c r="G15" i="4"/>
  <c r="F16" i="4"/>
  <c r="TT19" i="4"/>
  <c r="TX19" i="4" s="1"/>
  <c r="I16" i="4"/>
  <c r="G9" i="4"/>
  <c r="I15" i="4"/>
  <c r="F17" i="4"/>
  <c r="TW9" i="4"/>
  <c r="TP16" i="4"/>
  <c r="TP9" i="4"/>
  <c r="H19" i="4"/>
  <c r="Q15" i="4"/>
  <c r="Q17" i="4"/>
  <c r="TW16" i="4"/>
  <c r="TS15" i="4"/>
  <c r="TS17" i="4"/>
  <c r="Q16" i="4"/>
  <c r="Q9" i="4"/>
  <c r="M19" i="4"/>
  <c r="TW15" i="4"/>
  <c r="TW17" i="4"/>
  <c r="TS16" i="4"/>
  <c r="TS9" i="4"/>
  <c r="TP15" i="4"/>
  <c r="TP17" i="4"/>
  <c r="Q19" i="4"/>
  <c r="CW9" i="4"/>
  <c r="DA9" i="4" s="1"/>
  <c r="CW15" i="4"/>
  <c r="DA15" i="4" s="1"/>
  <c r="CW16" i="4"/>
  <c r="DA16" i="4" s="1"/>
  <c r="K17" i="4"/>
  <c r="CW17" i="4"/>
  <c r="DA17" i="4" s="1"/>
  <c r="K16" i="4"/>
  <c r="EW6" i="8"/>
  <c r="LW6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6" i="8"/>
  <c r="KW5" i="8"/>
  <c r="KW6" i="8"/>
  <c r="DW5" i="8"/>
  <c r="DW6" i="8"/>
  <c r="JW5" i="8"/>
  <c r="JW6" i="8"/>
  <c r="NW5" i="8"/>
  <c r="NW6" i="8"/>
  <c r="GW6" i="8"/>
  <c r="HW5" i="8"/>
  <c r="HW6" i="8"/>
  <c r="IW5" i="8"/>
  <c r="IW6" i="8"/>
  <c r="MW6" i="8"/>
  <c r="OW5" i="8"/>
  <c r="PV5" i="8"/>
  <c r="PS5" i="8"/>
  <c r="CU5" i="8"/>
  <c r="PT5" i="8"/>
  <c r="PW5" i="8"/>
  <c r="U9" i="4" l="1"/>
  <c r="DE9" i="4"/>
  <c r="U16" i="4"/>
  <c r="DE16" i="4"/>
  <c r="U17" i="4"/>
  <c r="DE17" i="4"/>
  <c r="U15" i="4"/>
  <c r="DE15" i="4"/>
  <c r="S17" i="4"/>
  <c r="DD17" i="4"/>
  <c r="S15" i="4"/>
  <c r="DD15" i="4"/>
  <c r="S9" i="4"/>
  <c r="DD9" i="4"/>
  <c r="S16" i="4"/>
  <c r="DD16" i="4"/>
  <c r="H16" i="4"/>
  <c r="H17" i="4"/>
  <c r="TT17" i="4"/>
  <c r="TX17" i="4" s="1"/>
  <c r="K9" i="4"/>
  <c r="K15" i="4"/>
  <c r="H15" i="4"/>
  <c r="H9" i="4"/>
  <c r="TT16" i="4"/>
  <c r="TX16" i="4" s="1"/>
  <c r="TT15" i="4"/>
  <c r="TX15" i="4" s="1"/>
  <c r="TT9" i="4"/>
  <c r="TX9" i="4" s="1"/>
  <c r="M15" i="4"/>
  <c r="M17" i="4"/>
  <c r="M9" i="4"/>
  <c r="M16" i="4"/>
  <c r="PX5" i="8"/>
  <c r="P5" i="8"/>
  <c r="K5" i="8"/>
  <c r="E5" i="8" l="1"/>
  <c r="R5" i="8"/>
  <c r="Q5" i="8"/>
  <c r="V19" i="4" l="1"/>
  <c r="V15" i="4"/>
  <c r="X15" i="4" l="1"/>
  <c r="E15" i="4"/>
  <c r="X19" i="4"/>
  <c r="E19" i="4"/>
  <c r="W15" i="4"/>
  <c r="W19" i="4"/>
  <c r="V17" i="4"/>
  <c r="E17" i="4" s="1"/>
  <c r="V9" i="4"/>
  <c r="V16" i="4"/>
  <c r="X16" i="4" l="1"/>
  <c r="E16" i="4"/>
  <c r="X9" i="4"/>
  <c r="E9" i="4"/>
  <c r="W17" i="4"/>
  <c r="X17" i="4"/>
  <c r="W16" i="4"/>
  <c r="W9" i="4"/>
  <c r="CS11" i="4"/>
  <c r="CT11" i="4"/>
  <c r="CV11" i="4"/>
  <c r="CX11" i="4"/>
  <c r="CZ11" i="4"/>
  <c r="P11" i="4" s="1"/>
  <c r="DC11" i="4" s="1"/>
  <c r="SX11" i="4"/>
  <c r="SY11" i="4"/>
  <c r="SZ11" i="4"/>
  <c r="TN11" i="4" s="1"/>
  <c r="TA11" i="4"/>
  <c r="TO11" i="4" s="1"/>
  <c r="TB11" i="4"/>
  <c r="TC11" i="4"/>
  <c r="TD11" i="4"/>
  <c r="TE11" i="4"/>
  <c r="TQ11" i="4" s="1"/>
  <c r="TF11" i="4"/>
  <c r="TR11" i="4" s="1"/>
  <c r="TG11" i="4"/>
  <c r="TH11" i="4"/>
  <c r="TI11" i="4"/>
  <c r="TJ11" i="4"/>
  <c r="TU11" i="4" s="1"/>
  <c r="TK11" i="4"/>
  <c r="TV11" i="4" s="1"/>
  <c r="TL11" i="4"/>
  <c r="TB5" i="4"/>
  <c r="TC5" i="4"/>
  <c r="TD5" i="4"/>
  <c r="TE5" i="4"/>
  <c r="TQ5" i="4" s="1"/>
  <c r="TF5" i="4"/>
  <c r="TR5" i="4" s="1"/>
  <c r="TG5" i="4"/>
  <c r="TH5" i="4"/>
  <c r="TI5" i="4"/>
  <c r="TJ5" i="4"/>
  <c r="TU5" i="4" s="1"/>
  <c r="TK5" i="4"/>
  <c r="TV5" i="4" s="1"/>
  <c r="TL5" i="4"/>
  <c r="TB8" i="4"/>
  <c r="TC8" i="4"/>
  <c r="TD8" i="4"/>
  <c r="TE8" i="4"/>
  <c r="TQ8" i="4" s="1"/>
  <c r="TF8" i="4"/>
  <c r="TR8" i="4" s="1"/>
  <c r="TG8" i="4"/>
  <c r="TH8" i="4"/>
  <c r="TI8" i="4"/>
  <c r="TJ8" i="4"/>
  <c r="TU8" i="4" s="1"/>
  <c r="TK8" i="4"/>
  <c r="TV8" i="4" s="1"/>
  <c r="TL8" i="4"/>
  <c r="TB6" i="4"/>
  <c r="TC6" i="4"/>
  <c r="TD6" i="4"/>
  <c r="TE6" i="4"/>
  <c r="TQ6" i="4" s="1"/>
  <c r="TF6" i="4"/>
  <c r="TR6" i="4" s="1"/>
  <c r="TG6" i="4"/>
  <c r="TH6" i="4"/>
  <c r="TI6" i="4"/>
  <c r="TJ6" i="4"/>
  <c r="TU6" i="4" s="1"/>
  <c r="TK6" i="4"/>
  <c r="TV6" i="4" s="1"/>
  <c r="TL6" i="4"/>
  <c r="TB12" i="4"/>
  <c r="TC12" i="4"/>
  <c r="TD12" i="4"/>
  <c r="TE12" i="4"/>
  <c r="TQ12" i="4" s="1"/>
  <c r="TF12" i="4"/>
  <c r="TR12" i="4" s="1"/>
  <c r="TG12" i="4"/>
  <c r="TH12" i="4"/>
  <c r="TI12" i="4"/>
  <c r="TJ12" i="4"/>
  <c r="TU12" i="4" s="1"/>
  <c r="TK12" i="4"/>
  <c r="TV12" i="4" s="1"/>
  <c r="TL12" i="4"/>
  <c r="TB22" i="4"/>
  <c r="TC22" i="4"/>
  <c r="TD22" i="4"/>
  <c r="TE22" i="4"/>
  <c r="TQ22" i="4" s="1"/>
  <c r="TF22" i="4"/>
  <c r="TR22" i="4" s="1"/>
  <c r="TG22" i="4"/>
  <c r="TH22" i="4"/>
  <c r="TI22" i="4"/>
  <c r="TJ22" i="4"/>
  <c r="TU22" i="4" s="1"/>
  <c r="TK22" i="4"/>
  <c r="TV22" i="4" s="1"/>
  <c r="TL22" i="4"/>
  <c r="TB7" i="4"/>
  <c r="TC7" i="4"/>
  <c r="TD7" i="4"/>
  <c r="TE7" i="4"/>
  <c r="TQ7" i="4" s="1"/>
  <c r="TF7" i="4"/>
  <c r="TR7" i="4" s="1"/>
  <c r="TG7" i="4"/>
  <c r="TH7" i="4"/>
  <c r="TI7" i="4"/>
  <c r="TJ7" i="4"/>
  <c r="TU7" i="4" s="1"/>
  <c r="TK7" i="4"/>
  <c r="TV7" i="4" s="1"/>
  <c r="TL7" i="4"/>
  <c r="TB4" i="4"/>
  <c r="TC4" i="4"/>
  <c r="TD4" i="4"/>
  <c r="TE4" i="4"/>
  <c r="TQ4" i="4" s="1"/>
  <c r="TF4" i="4"/>
  <c r="TR4" i="4" s="1"/>
  <c r="TG4" i="4"/>
  <c r="TH4" i="4"/>
  <c r="TI4" i="4"/>
  <c r="TJ4" i="4"/>
  <c r="TU4" i="4" s="1"/>
  <c r="TK4" i="4"/>
  <c r="TV4" i="4" s="1"/>
  <c r="TL4" i="4"/>
  <c r="TB21" i="4"/>
  <c r="TC21" i="4"/>
  <c r="TD21" i="4"/>
  <c r="TE21" i="4"/>
  <c r="TQ21" i="4" s="1"/>
  <c r="TF21" i="4"/>
  <c r="TR21" i="4" s="1"/>
  <c r="TG21" i="4"/>
  <c r="TH21" i="4"/>
  <c r="TI21" i="4"/>
  <c r="TJ21" i="4"/>
  <c r="TU21" i="4" s="1"/>
  <c r="TK21" i="4"/>
  <c r="TV21" i="4" s="1"/>
  <c r="TL21" i="4"/>
  <c r="TB14" i="4"/>
  <c r="TC14" i="4"/>
  <c r="TD14" i="4"/>
  <c r="TE14" i="4"/>
  <c r="TQ14" i="4" s="1"/>
  <c r="TF14" i="4"/>
  <c r="TR14" i="4" s="1"/>
  <c r="TG14" i="4"/>
  <c r="TH14" i="4"/>
  <c r="TI14" i="4"/>
  <c r="TJ14" i="4"/>
  <c r="TU14" i="4" s="1"/>
  <c r="TK14" i="4"/>
  <c r="TV14" i="4" s="1"/>
  <c r="TL14" i="4"/>
  <c r="TB20" i="4"/>
  <c r="TC20" i="4"/>
  <c r="TD20" i="4"/>
  <c r="TE20" i="4"/>
  <c r="TQ20" i="4" s="1"/>
  <c r="TF20" i="4"/>
  <c r="TR20" i="4" s="1"/>
  <c r="TG20" i="4"/>
  <c r="TH20" i="4"/>
  <c r="TI20" i="4"/>
  <c r="TJ20" i="4"/>
  <c r="TU20" i="4" s="1"/>
  <c r="TK20" i="4"/>
  <c r="TV20" i="4" s="1"/>
  <c r="TL20" i="4"/>
  <c r="TC10" i="4"/>
  <c r="TD10" i="4"/>
  <c r="TE10" i="4"/>
  <c r="TQ10" i="4" s="1"/>
  <c r="TF10" i="4"/>
  <c r="TR10" i="4" s="1"/>
  <c r="TG10" i="4"/>
  <c r="TH10" i="4"/>
  <c r="TI10" i="4"/>
  <c r="TJ10" i="4"/>
  <c r="TU10" i="4" s="1"/>
  <c r="TK10" i="4"/>
  <c r="TV10" i="4" s="1"/>
  <c r="TL10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10" i="4"/>
  <c r="CS10" i="4"/>
  <c r="OU6" i="8"/>
  <c r="OU4" i="8"/>
  <c r="CS4" i="8"/>
  <c r="N12" i="4" l="1"/>
  <c r="O12" i="4" s="1"/>
  <c r="N14" i="4"/>
  <c r="O14" i="4" s="1"/>
  <c r="N5" i="4"/>
  <c r="O5" i="4" s="1"/>
  <c r="N20" i="4"/>
  <c r="O20" i="4" s="1"/>
  <c r="N22" i="4"/>
  <c r="O22" i="4" s="1"/>
  <c r="N11" i="4"/>
  <c r="O11" i="4" s="1"/>
  <c r="N10" i="4"/>
  <c r="O10" i="4" s="1"/>
  <c r="N21" i="4"/>
  <c r="O21" i="4" s="1"/>
  <c r="N6" i="4"/>
  <c r="O6" i="4" s="1"/>
  <c r="N7" i="4"/>
  <c r="O7" i="4" s="1"/>
  <c r="L4" i="4"/>
  <c r="M4" i="4" s="1"/>
  <c r="N4" i="4"/>
  <c r="O4" i="4" s="1"/>
  <c r="N8" i="4"/>
  <c r="O8" i="4" s="1"/>
  <c r="T21" i="4"/>
  <c r="R21" i="4"/>
  <c r="R6" i="4"/>
  <c r="T6" i="4"/>
  <c r="R7" i="4"/>
  <c r="T7" i="4"/>
  <c r="T8" i="4"/>
  <c r="R8" i="4"/>
  <c r="R5" i="4"/>
  <c r="T5" i="4"/>
  <c r="R14" i="4"/>
  <c r="T14" i="4"/>
  <c r="R12" i="4"/>
  <c r="T12" i="4"/>
  <c r="T4" i="4"/>
  <c r="U4" i="4" s="1"/>
  <c r="R4" i="4"/>
  <c r="S4" i="4" s="1"/>
  <c r="R20" i="4"/>
  <c r="T20" i="4"/>
  <c r="R22" i="4"/>
  <c r="T22" i="4"/>
  <c r="T11" i="4"/>
  <c r="R11" i="4"/>
  <c r="J20" i="4"/>
  <c r="K20" i="4" s="1"/>
  <c r="L20" i="4"/>
  <c r="DB20" i="4" s="1"/>
  <c r="L11" i="4"/>
  <c r="DB11" i="4" s="1"/>
  <c r="J11" i="4"/>
  <c r="K11" i="4" s="1"/>
  <c r="L10" i="4"/>
  <c r="DB10" i="4" s="1"/>
  <c r="J10" i="4"/>
  <c r="L21" i="4"/>
  <c r="DB21" i="4" s="1"/>
  <c r="J21" i="4"/>
  <c r="L6" i="4"/>
  <c r="DB6" i="4" s="1"/>
  <c r="J6" i="4"/>
  <c r="J7" i="4"/>
  <c r="K7" i="4" s="1"/>
  <c r="L7" i="4"/>
  <c r="DB7" i="4" s="1"/>
  <c r="L5" i="4"/>
  <c r="DB5" i="4" s="1"/>
  <c r="J5" i="4"/>
  <c r="K5" i="4" s="1"/>
  <c r="L22" i="4"/>
  <c r="DB22" i="4" s="1"/>
  <c r="J22" i="4"/>
  <c r="K22" i="4" s="1"/>
  <c r="L8" i="4"/>
  <c r="DB8" i="4" s="1"/>
  <c r="J8" i="4"/>
  <c r="J14" i="4"/>
  <c r="K14" i="4" s="1"/>
  <c r="L14" i="4"/>
  <c r="DB14" i="4" s="1"/>
  <c r="J12" i="4"/>
  <c r="K12" i="4" s="1"/>
  <c r="L12" i="4"/>
  <c r="DB12" i="4" s="1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20" i="4"/>
  <c r="G20" i="4"/>
  <c r="F20" i="4"/>
  <c r="G22" i="4"/>
  <c r="I22" i="4"/>
  <c r="F22" i="4"/>
  <c r="F11" i="4"/>
  <c r="G11" i="4"/>
  <c r="I11" i="4"/>
  <c r="TW22" i="4"/>
  <c r="TS12" i="4"/>
  <c r="TW4" i="4"/>
  <c r="TS7" i="4"/>
  <c r="Q8" i="4"/>
  <c r="TW20" i="4"/>
  <c r="TS14" i="4"/>
  <c r="TW8" i="4"/>
  <c r="TS5" i="4"/>
  <c r="TP11" i="4"/>
  <c r="Q11" i="4"/>
  <c r="Q20" i="4"/>
  <c r="TW12" i="4"/>
  <c r="TS6" i="4"/>
  <c r="TS21" i="4"/>
  <c r="TW5" i="4"/>
  <c r="TS11" i="4"/>
  <c r="Q21" i="4"/>
  <c r="TS10" i="4"/>
  <c r="TW7" i="4"/>
  <c r="Q4" i="4"/>
  <c r="TW14" i="4"/>
  <c r="Q5" i="4"/>
  <c r="TS20" i="4"/>
  <c r="TW6" i="4"/>
  <c r="TS8" i="4"/>
  <c r="Q22" i="4"/>
  <c r="Q6" i="4"/>
  <c r="Q7" i="4"/>
  <c r="TS22" i="4"/>
  <c r="Q14" i="4"/>
  <c r="Q12" i="4"/>
  <c r="TW10" i="4"/>
  <c r="TW21" i="4"/>
  <c r="TS4" i="4"/>
  <c r="TW11" i="4"/>
  <c r="CW21" i="4"/>
  <c r="DA21" i="4" s="1"/>
  <c r="K21" i="4"/>
  <c r="CW11" i="4"/>
  <c r="DA11" i="4" s="1"/>
  <c r="CW6" i="4"/>
  <c r="DA6" i="4" s="1"/>
  <c r="CW5" i="4"/>
  <c r="DA5" i="4" s="1"/>
  <c r="CW22" i="4"/>
  <c r="DA22" i="4" s="1"/>
  <c r="CW10" i="4"/>
  <c r="CW4" i="4"/>
  <c r="DA4" i="4" s="1"/>
  <c r="CW7" i="4"/>
  <c r="DA7" i="4" s="1"/>
  <c r="CW14" i="4"/>
  <c r="DA14" i="4" s="1"/>
  <c r="CW12" i="4"/>
  <c r="DA12" i="4" s="1"/>
  <c r="CW20" i="4"/>
  <c r="DA20" i="4" s="1"/>
  <c r="CW8" i="4"/>
  <c r="DA8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X10" i="4"/>
  <c r="CT6" i="8"/>
  <c r="N6" i="8" s="1"/>
  <c r="CQ6" i="8"/>
  <c r="CP6" i="8"/>
  <c r="CT4" i="8"/>
  <c r="N4" i="8" s="1"/>
  <c r="CQ4" i="8"/>
  <c r="CP4" i="8"/>
  <c r="SY10" i="4"/>
  <c r="SZ10" i="4"/>
  <c r="TN10" i="4" s="1"/>
  <c r="TA10" i="4"/>
  <c r="TO10" i="4" s="1"/>
  <c r="TB10" i="4"/>
  <c r="SY5" i="4"/>
  <c r="SZ5" i="4"/>
  <c r="TN5" i="4" s="1"/>
  <c r="TA5" i="4"/>
  <c r="TO5" i="4" s="1"/>
  <c r="SY8" i="4"/>
  <c r="SZ8" i="4"/>
  <c r="TN8" i="4" s="1"/>
  <c r="TA8" i="4"/>
  <c r="TO8" i="4" s="1"/>
  <c r="SY6" i="4"/>
  <c r="SZ6" i="4"/>
  <c r="TN6" i="4" s="1"/>
  <c r="TA6" i="4"/>
  <c r="TO6" i="4" s="1"/>
  <c r="SY12" i="4"/>
  <c r="SZ12" i="4"/>
  <c r="TN12" i="4" s="1"/>
  <c r="TA12" i="4"/>
  <c r="TO12" i="4" s="1"/>
  <c r="SY22" i="4"/>
  <c r="SZ22" i="4"/>
  <c r="TN22" i="4" s="1"/>
  <c r="TA22" i="4"/>
  <c r="TO22" i="4" s="1"/>
  <c r="SY7" i="4"/>
  <c r="SZ7" i="4"/>
  <c r="TN7" i="4" s="1"/>
  <c r="TA7" i="4"/>
  <c r="TO7" i="4" s="1"/>
  <c r="SY4" i="4"/>
  <c r="SZ4" i="4"/>
  <c r="TN4" i="4" s="1"/>
  <c r="TA4" i="4"/>
  <c r="TO4" i="4" s="1"/>
  <c r="SY21" i="4"/>
  <c r="SZ21" i="4"/>
  <c r="TN21" i="4" s="1"/>
  <c r="TA21" i="4"/>
  <c r="TO21" i="4" s="1"/>
  <c r="SY14" i="4"/>
  <c r="SZ14" i="4"/>
  <c r="TN14" i="4" s="1"/>
  <c r="TA14" i="4"/>
  <c r="TO14" i="4" s="1"/>
  <c r="SY20" i="4"/>
  <c r="SZ20" i="4"/>
  <c r="TN20" i="4" s="1"/>
  <c r="TA20" i="4"/>
  <c r="TO20" i="4" s="1"/>
  <c r="SX5" i="4"/>
  <c r="SX8" i="4"/>
  <c r="SX6" i="4"/>
  <c r="SX12" i="4"/>
  <c r="SX22" i="4"/>
  <c r="SX7" i="4"/>
  <c r="SX4" i="4"/>
  <c r="SX21" i="4"/>
  <c r="SX14" i="4"/>
  <c r="SX20" i="4"/>
  <c r="O4" i="8" l="1"/>
  <c r="O6" i="8"/>
  <c r="S22" i="4"/>
  <c r="DD22" i="4"/>
  <c r="S14" i="4"/>
  <c r="DD14" i="4"/>
  <c r="S6" i="4"/>
  <c r="DD6" i="4"/>
  <c r="U20" i="4"/>
  <c r="DE20" i="4"/>
  <c r="U5" i="4"/>
  <c r="DE5" i="4"/>
  <c r="S21" i="4"/>
  <c r="DD21" i="4"/>
  <c r="S20" i="4"/>
  <c r="DD20" i="4"/>
  <c r="S5" i="4"/>
  <c r="DD5" i="4"/>
  <c r="U21" i="4"/>
  <c r="DE21" i="4"/>
  <c r="S8" i="4"/>
  <c r="DD8" i="4"/>
  <c r="U8" i="4"/>
  <c r="DE8" i="4"/>
  <c r="S11" i="4"/>
  <c r="DD11" i="4"/>
  <c r="U12" i="4"/>
  <c r="DE12" i="4"/>
  <c r="U7" i="4"/>
  <c r="DE7" i="4"/>
  <c r="U11" i="4"/>
  <c r="DE11" i="4"/>
  <c r="S12" i="4"/>
  <c r="DD12" i="4"/>
  <c r="S7" i="4"/>
  <c r="DD7" i="4"/>
  <c r="U22" i="4"/>
  <c r="DE22" i="4"/>
  <c r="U14" i="4"/>
  <c r="DE14" i="4"/>
  <c r="U6" i="4"/>
  <c r="DE6" i="4"/>
  <c r="K8" i="4"/>
  <c r="K6" i="4"/>
  <c r="PT4" i="8"/>
  <c r="L4" i="8"/>
  <c r="CV4" i="8" s="1"/>
  <c r="J4" i="8"/>
  <c r="J6" i="8"/>
  <c r="L6" i="8"/>
  <c r="CV6" i="8" s="1"/>
  <c r="H14" i="4"/>
  <c r="H22" i="4"/>
  <c r="H12" i="4"/>
  <c r="H8" i="4"/>
  <c r="H6" i="4"/>
  <c r="H7" i="4"/>
  <c r="H20" i="4"/>
  <c r="H5" i="4"/>
  <c r="H21" i="4"/>
  <c r="TP6" i="4"/>
  <c r="TT6" i="4" s="1"/>
  <c r="TX6" i="4" s="1"/>
  <c r="H11" i="4"/>
  <c r="TP7" i="4"/>
  <c r="TT7" i="4" s="1"/>
  <c r="TX7" i="4" s="1"/>
  <c r="M20" i="4"/>
  <c r="M10" i="4"/>
  <c r="M6" i="4"/>
  <c r="TP22" i="4"/>
  <c r="TT22" i="4" s="1"/>
  <c r="TX22" i="4" s="1"/>
  <c r="M22" i="4"/>
  <c r="TP12" i="4"/>
  <c r="TT12" i="4" s="1"/>
  <c r="TX12" i="4" s="1"/>
  <c r="M12" i="4"/>
  <c r="M11" i="4"/>
  <c r="TP4" i="4"/>
  <c r="TT4" i="4" s="1"/>
  <c r="TX4" i="4" s="1"/>
  <c r="M7" i="4"/>
  <c r="TP20" i="4"/>
  <c r="TT20" i="4" s="1"/>
  <c r="TX20" i="4" s="1"/>
  <c r="TP5" i="4"/>
  <c r="TT5" i="4" s="1"/>
  <c r="TX5" i="4" s="1"/>
  <c r="M8" i="4"/>
  <c r="M14" i="4"/>
  <c r="M5" i="4"/>
  <c r="M21" i="4"/>
  <c r="TP8" i="4"/>
  <c r="TT8" i="4" s="1"/>
  <c r="TX8" i="4" s="1"/>
  <c r="TP14" i="4"/>
  <c r="TT14" i="4" s="1"/>
  <c r="TX14" i="4" s="1"/>
  <c r="TP10" i="4"/>
  <c r="TT10" i="4" s="1"/>
  <c r="TX10" i="4" s="1"/>
  <c r="TP21" i="4"/>
  <c r="TT21" i="4" s="1"/>
  <c r="TX21" i="4" s="1"/>
  <c r="TT11" i="4"/>
  <c r="TX11" i="4" s="1"/>
  <c r="K10" i="4"/>
  <c r="PV6" i="8"/>
  <c r="PV4" i="8"/>
  <c r="CU6" i="8"/>
  <c r="CU4" i="8"/>
  <c r="CZ10" i="4"/>
  <c r="G10" i="4" s="1"/>
  <c r="CX10" i="4"/>
  <c r="OR6" i="8"/>
  <c r="OS6" i="8"/>
  <c r="OV6" i="8"/>
  <c r="CW6" i="8" s="1"/>
  <c r="R10" i="4" l="1"/>
  <c r="T10" i="4"/>
  <c r="F10" i="4"/>
  <c r="G6" i="8"/>
  <c r="I6" i="8"/>
  <c r="F6" i="8"/>
  <c r="M6" i="8"/>
  <c r="M4" i="8"/>
  <c r="I10" i="4"/>
  <c r="P10" i="4"/>
  <c r="DC10" i="4" s="1"/>
  <c r="DA10" i="4"/>
  <c r="K6" i="8"/>
  <c r="OW6" i="8"/>
  <c r="PS6" i="8"/>
  <c r="PT6" i="8"/>
  <c r="PW6" i="8"/>
  <c r="U10" i="4" l="1"/>
  <c r="DE10" i="4"/>
  <c r="S10" i="4"/>
  <c r="DD10" i="4"/>
  <c r="H10" i="4"/>
  <c r="Q10" i="4"/>
  <c r="V11" i="4"/>
  <c r="E11" i="4" s="1"/>
  <c r="PX6" i="8"/>
  <c r="W11" i="4" l="1"/>
  <c r="X11" i="4"/>
  <c r="P6" i="8"/>
  <c r="E6" i="8" s="1"/>
  <c r="R6" i="8" l="1"/>
  <c r="Q6" i="8"/>
  <c r="V20" i="4" l="1"/>
  <c r="X20" i="4" l="1"/>
  <c r="E20" i="4"/>
  <c r="W20" i="4"/>
  <c r="PS4" i="8" l="1"/>
  <c r="PW4" i="8"/>
  <c r="PX4" i="8" l="1"/>
  <c r="V21" i="4" l="1"/>
  <c r="X21" i="4" l="1"/>
  <c r="E21" i="4"/>
  <c r="W21" i="4"/>
  <c r="OS4" i="8"/>
  <c r="A7" i="8" l="1"/>
  <c r="K4" i="8"/>
  <c r="V10" i="4" l="1"/>
  <c r="E10" i="4" s="1"/>
  <c r="X10" i="4" l="1"/>
  <c r="W10" i="4"/>
  <c r="A19" i="4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OR4" i="8"/>
  <c r="G4" i="8" l="1"/>
  <c r="CW4" i="8"/>
  <c r="I4" i="8"/>
  <c r="F4" i="8"/>
  <c r="H4" i="8" s="1"/>
  <c r="OW4" i="8"/>
  <c r="V14" i="4" l="1"/>
  <c r="X14" i="4" l="1"/>
  <c r="E14" i="4"/>
  <c r="W14" i="4"/>
  <c r="A14" i="4" a="1"/>
  <c r="A14" i="4" s="1"/>
  <c r="P4" i="8"/>
  <c r="E4" i="8" s="1"/>
  <c r="Q4" i="8" l="1"/>
  <c r="R4" i="8"/>
  <c r="V12" i="4"/>
  <c r="A5" i="8"/>
  <c r="X12" i="4" l="1"/>
  <c r="E12" i="4"/>
  <c r="W12" i="4"/>
  <c r="V8" i="4" l="1"/>
  <c r="V22" i="4"/>
  <c r="V6" i="4"/>
  <c r="X6" i="4" l="1"/>
  <c r="E6" i="4"/>
  <c r="X22" i="4"/>
  <c r="E22" i="4"/>
  <c r="X8" i="4"/>
  <c r="E8" i="4"/>
  <c r="W22" i="4"/>
  <c r="W6" i="4"/>
  <c r="W8" i="4"/>
  <c r="V5" i="4"/>
  <c r="V7" i="4"/>
  <c r="X7" i="4" l="1"/>
  <c r="E7" i="4"/>
  <c r="X5" i="4"/>
  <c r="E5" i="4"/>
  <c r="W7" i="4"/>
  <c r="W5" i="4"/>
  <c r="A6" i="8"/>
  <c r="A20" i="4" l="1" a="1"/>
  <c r="A20" i="4" s="1"/>
  <c r="A21" i="4" a="1"/>
  <c r="A21" i="4" s="1"/>
  <c r="A22" i="4" a="1"/>
  <c r="A2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H6" i="8"/>
  <c r="H5" i="8"/>
  <c r="D35" i="11" s="1"/>
  <c r="H7" i="8"/>
  <c r="D34" i="11" l="1"/>
  <c r="EE4" i="4"/>
  <c r="ED4" i="4"/>
  <c r="EA4" i="4"/>
  <c r="EB4" i="4"/>
  <c r="DZ4" i="4"/>
  <c r="DD4" i="4" s="1"/>
  <c r="DE4" i="4"/>
  <c r="F4" i="4" l="1"/>
  <c r="EF4" i="4"/>
  <c r="G4" i="4"/>
  <c r="I4" i="4"/>
  <c r="H4" i="4" l="1"/>
  <c r="EM4" i="4"/>
  <c r="DB4" i="4"/>
  <c r="V4" i="4" s="1"/>
  <c r="E4" i="4" l="1"/>
  <c r="W4" i="4"/>
  <c r="X4" i="4"/>
  <c r="A10" i="4" l="1" a="1"/>
  <c r="A10" i="4" s="1"/>
  <c r="A12" i="4" a="1"/>
  <c r="A12" i="4" s="1"/>
  <c r="A8" i="4" a="1"/>
  <c r="A8" i="4" s="1"/>
  <c r="A9" i="4" a="1"/>
  <c r="A9" i="4" s="1"/>
  <c r="A4" i="4" a="1"/>
  <c r="A4" i="4" s="1"/>
  <c r="A7" i="4" a="1"/>
  <c r="A7" i="4" s="1"/>
  <c r="A5" i="4" a="1"/>
  <c r="A5" i="4" s="1"/>
  <c r="A6" i="4" a="1"/>
  <c r="A6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s="1"/>
  <c r="I4" i="18" l="1"/>
  <c r="G4" i="18"/>
  <c r="F4" i="18"/>
  <c r="A5" i="18" s="1"/>
  <c r="A4" i="18" l="1"/>
  <c r="C28" i="11" s="1"/>
  <c r="H4" i="18"/>
  <c r="D26" i="11" s="1"/>
  <c r="C31" i="11"/>
  <c r="D29" i="11"/>
  <c r="C30" i="11"/>
  <c r="D28" i="11"/>
  <c r="C32" i="11"/>
  <c r="D31" i="11"/>
  <c r="D30" i="11"/>
  <c r="D32" i="11"/>
  <c r="C29" i="11"/>
  <c r="D27" i="11"/>
  <c r="C27" i="11"/>
  <c r="C26" i="11"/>
  <c r="D33" i="11"/>
  <c r="C33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<sst xmlns="http://schemas.openxmlformats.org/spreadsheetml/2006/main" count="4963" uniqueCount="178">
  <si>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</si>
  <si>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</si>
  <si>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</si>
  <si>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</si>
  <si>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</si>
  <si>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</si>
  <si>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</si>
  <si>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</si>
  <si>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</si>
  <si>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</si>
  <si>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</si>
  <si>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</si>
  <si>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</si>
  <si>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</si>
  <si>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</si>
  <si>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</si>
  <si>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</si>
  <si>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</si>
  <si>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</si>
  <si>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</si>
  <si>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</si>
  <si>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</si>
  <si>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</si>
  <si>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</si>
  <si>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</si>
  <si>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</si>
  <si>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</si>
  <si>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</si>
  <si>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</si>
  <si>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</si>
  <si>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</si>
  <si>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</si>
  <si>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</si>
  <si>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</si>
  <si>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</si>
  <si>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</si>
  <si>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</si>
  <si>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</si>
  <si>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</si>
  <si>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</si>
  <si>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</si>
  <si>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</si>
  <si>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</si>
  <si>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</si>
  <si>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</si>
  <si>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</si>
  <si>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</si>
  <si>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</si>
  <si>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</si>
  <si>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</si>
  <si>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</si>
  <si>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</si>
  <si>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</si>
  <si>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</si>
  <si>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</si>
  <si>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</si>
  <si>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</si>
  <si>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</si>
  <si>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</si>
  <si>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</si>
  <si>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</si>
  <si>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</si>
  <si>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</si>
  <si>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</si>
  <si>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</si>
  <si>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</si>
  <si>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</si>
  <si>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</si>
  <si>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</si>
  <si>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</si>
  <si>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</si>
  <si>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</si>
  <si>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</si>
  <si>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</si>
  <si>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</si>
  <si>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</si>
  <si>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</si>
  <si>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</si>
  <si>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</si>
  <si>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</si>
  <si>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</si>
  <si>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</si>
  <si>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</si>
  <si>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</si>
  <si>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</si>
  <si>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</si>
  <si>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</si>
  <si>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</si>
  <si>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</si>
  <si>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</si>
  <si>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</si>
  <si>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</si>
  <si>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</si>
  <si>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</si>
  <si>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</si>
  <si>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</si>
  <si>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</si>
  <si>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</si>
  <si>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</si>
  <si>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</si>
  <si>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</si>
  <si>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</si>
  <si>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</si>
  <si>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</si>
  <si>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</si>
  <si>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</si>
  <si>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</si>
  <si>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</si>
  <si>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</si>
  <si>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</si>
  <si>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World Cup ITA/Olympic Technical Trial (June 4/9)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</si>
  <si>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</si>
  <si>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</si>
  <si>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</si>
  <si>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</si>
  <si>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</si>
  <si>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</si>
  <si>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</si>
  <si>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</si>
  <si>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</si>
  <si>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</si>
  <si>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</si>
  <si>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</si>
  <si>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</si>
  <si>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</si>
  <si>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</si>
  <si>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</si>
  <si>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</si>
  <si>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</si>
  <si>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</si>
  <si>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</si>
  <si>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</si>
  <si>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</si>
  <si>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</si>
  <si>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</si>
  <si>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</si>
  <si>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</si>
  <si>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</si>
  <si>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</si>
  <si>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</si>
  <si>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</si>
  <si>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</si>
  <si>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</si>
  <si>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</si>
  <si>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</si>
  <si>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</si>
  <si>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</si>
  <si>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2022 Rules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</si>
  <si>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</si>
  <si>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</si>
  <si>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</si>
  <si>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</si>
  <si>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</si>
  <si>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</si>
  <si>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</si>
  <si>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</si>
  <si>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</si>
  <si>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</si>
  <si>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</si>
  <si>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</si>
  <si>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</si>
  <si>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 Prelim Routine</t>
  </si>
  <si>
    <t>3rd Best
Prelim Routine</t>
  </si>
  <si>
    <t>CLOUTIER, Etienne</t>
  </si>
  <si>
    <t>NOGA-BARD, Kasha</t>
  </si>
  <si>
    <t>Elite Canada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</si>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</sst>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6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Worlds Team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CHARTIER, Jérémy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MILETTE, Sarah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TAM, Rachel</v>
      </c>
      <c r="D11" s="7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MÉTHOT, Sophiane</v>
      </c>
      <c r="D12" s="7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7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7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72" t="str">
        <f>IF(B7&gt;MAX('TRA-W'!A:A),"",INDEX('TRA-W'!H:H,MATCH(B7,'TRA-W'!A:A,0)))</f>
        <v>National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7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72" t="str">
        <f>IF(B9&gt;MAX('TRA-W'!A:A),"",INDEX('TRA-W'!H:H,MATCH(B9,'TRA-W'!A:A,0)))</f>
        <v>Merit</v>
      </c>
      <c r="J17" s="31"/>
    </row>
    <row r="18" spans="1:10" hidden="1" x14ac:dyDescent="0.2">
      <c r="A18" s="10" t="s">
        <v>49</v>
      </c>
      <c r="B18" s="10">
        <v>1</v>
      </c>
      <c r="C18" s="10" t="str">
        <f>IF(B2&gt;MAX('SYN-M'!A:A),"",INDEX('SYN-M'!B:B,MATCH(B2,'SYN-M'!A:A,0)))</f>
        <v/>
      </c>
      <c r="D18" s="67" t="str">
        <f>IF(B2&gt;MAX('SYN-M'!A:A),"",INDEX('SYN-M'!H:H,MATCH(B2,'SYN-M'!A:A,0)))</f>
        <v/>
      </c>
      <c r="J18" s="31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73" t="str">
        <f>IF(B3&gt;MAX('SYN-M'!A:A),"",INDEX('SYN-M'!H:H,MATCH(B3,'SYN-M'!A:A,0)))</f>
        <v/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73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73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MÉTHOT &amp; MILETTE</v>
      </c>
      <c r="D22" s="68" t="str">
        <f>IF(B2&gt;MAX('SYN-W'!A:A),"",INDEX('SYN-W'!H:H,MATCH(B2,'SYN-W'!A:A,0)))</f>
        <v>National Team</v>
      </c>
    </row>
    <row r="23" spans="1:10" hidden="1" x14ac:dyDescent="0.2">
      <c r="A23" s="12"/>
      <c r="B23" s="12">
        <v>2</v>
      </c>
      <c r="C23" s="12" t="str">
        <f>IF(B3&gt;MAX('SYN-W'!A:A),"",INDEX('SYN-W'!B:B,MATCH(B3,'SYN-W'!A:A,0)))</f>
        <v/>
      </c>
      <c r="D23" s="72" t="str">
        <f>IF(B3&gt;MAX('SYN-W'!A:A),"",INDEX('SYN-W'!H:H,MATCH(B3,'SYN-W'!A:A,0)))</f>
        <v/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7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7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National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hidden="1" x14ac:dyDescent="0.2">
      <c r="A36" s="12"/>
      <c r="B36" s="12">
        <v>3</v>
      </c>
      <c r="C36" s="12" t="str">
        <f>IF(B4&gt;MAX('TUM-W'!A:A),"",INDEX('TUM-W'!B:B,MATCH(B4,'TUM-W'!A:A,0)))</f>
        <v/>
      </c>
      <c r="D36" s="68" t="str">
        <f>IF(B4&gt;MAX('TUM-W'!A:A),"",INDEX('TUM-W'!H:H,MATCH(B4,'TUM-W'!A:A,0)))</f>
        <v/>
      </c>
    </row>
    <row r="37" spans="1:4" hidden="1" x14ac:dyDescent="0.2">
      <c r="A37" s="12"/>
      <c r="B37" s="12">
        <v>4</v>
      </c>
      <c r="C37" s="12" t="str">
        <f>IF(B5&gt;MAX('TUM-W'!A:A),"",INDEX('TUM-W'!B:B,MATCH(B5,'TUM-W'!A:A,0)))</f>
        <v/>
      </c>
      <c r="D37" s="68" t="str">
        <f>IF(B5&gt;MAX('TUM-W'!A:A),"",INDEX('TUM-W'!H:H,MATCH(B5,'TUM-W'!A:A,0)))</f>
        <v/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DODD, Kristina</v>
      </c>
      <c r="D54" s="95" t="str">
        <f>IF(B6&gt;MAX('DMT-W'!A:A),"",INDEX('DMT-W'!H:H,MATCH(B6,'DMT-W'!A:A,0)))</f>
        <v>Worlds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BODNAR, Cassidy</v>
      </c>
      <c r="D56" s="95" t="str">
        <f>IF(B8&gt;MAX('DMT-W'!A:A),"",INDEX('DMT-W'!H:H,MATCH(B8,'DMT-W'!A:A,0)))</f>
        <v>National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HOWELL, Kayla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01">
        <v>44658</v>
      </c>
      <c r="C66" s="101"/>
    </row>
    <row r="67" spans="1:4" x14ac:dyDescent="0.2">
      <c r="B67" s="59" t="s">
        <v>165</v>
      </c>
    </row>
    <row r="68" spans="1:4" x14ac:dyDescent="0.2">
      <c r="B68" s="59" t="s">
        <v>147</v>
      </c>
    </row>
    <row r="69" spans="1:4" x14ac:dyDescent="0.2">
      <c r="B69" s="31"/>
    </row>
    <row r="70" spans="1:4" x14ac:dyDescent="0.2">
      <c r="B70" s="31"/>
    </row>
    <row r="71" spans="1:4" x14ac:dyDescent="0.2">
      <c r="B71" s="31"/>
    </row>
  </sheetData>
  <sheetProtection formatCells="0" formatColumns="0" formatRows="0"/>
  <mergeCells count="1">
    <mergeCell ref="B66:C66"/>
  </mergeCells>
  <conditionalFormatting sqref="D2:D57">
    <cfRule type="containsText" dxfId="760" priority="1" operator="containsText" text="No DD">
      <formula>NOT(ISERROR(SEARCH("No DD",D2)))</formula>
    </cfRule>
    <cfRule type="containsText" dxfId="759" priority="4" operator="containsText" text="Merit">
      <formula>NOT(ISERROR(SEARCH("Merit",D2)))</formula>
    </cfRule>
    <cfRule type="containsText" dxfId="758" priority="5" operator="containsText" text="Excellence">
      <formula>NOT(ISERROR(SEARCH("Excellence",D2)))</formula>
    </cfRule>
    <cfRule type="containsText" dxfId="757" priority="6" operator="containsText" text="Worlds Team">
      <formula>NOT(ISERROR(SEARCH("Worlds Team",D2)))</formula>
    </cfRule>
    <cfRule type="containsText" dxfId="75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X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bestFit="1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9" width="10.83203125" style="70" customWidth="1"/>
    <col min="110" max="129" width="10.83203125" hidden="1" customWidth="1"/>
    <col min="130" max="142" width="10.83203125" customWidth="1"/>
    <col min="143" max="143" width="10.83203125" style="70" customWidth="1"/>
    <col min="144" max="163" width="10.83203125" hidden="1" customWidth="1"/>
    <col min="164" max="176" width="10.83203125" customWidth="1"/>
    <col min="177" max="177" width="10.83203125" style="70" customWidth="1"/>
    <col min="178" max="197" width="10.83203125" hidden="1" customWidth="1"/>
    <col min="198" max="210" width="10.83203125" customWidth="1"/>
    <col min="211" max="211" width="10.83203125" style="70" customWidth="1"/>
    <col min="212" max="231" width="10.83203125" hidden="1" customWidth="1"/>
    <col min="232" max="244" width="10.83203125" customWidth="1"/>
    <col min="245" max="245" width="10.83203125" style="70" customWidth="1"/>
    <col min="246" max="278" width="10.83203125" hidden="1" customWidth="1"/>
    <col min="279" max="279" width="10.83203125" style="70" hidden="1" customWidth="1"/>
    <col min="280" max="544" width="10.83203125" hidden="1" customWidth="1"/>
  </cols>
  <sheetData>
    <row r="1" spans="1:544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2" t="s">
        <v>12</v>
      </c>
      <c r="H1" s="102" t="s">
        <v>13</v>
      </c>
      <c r="I1" s="102" t="s">
        <v>96</v>
      </c>
      <c r="J1" s="108" t="s">
        <v>131</v>
      </c>
      <c r="K1" s="104" t="s">
        <v>37</v>
      </c>
      <c r="L1" s="108" t="s">
        <v>132</v>
      </c>
      <c r="M1" s="104" t="s">
        <v>37</v>
      </c>
      <c r="N1" s="108" t="s">
        <v>162</v>
      </c>
      <c r="O1" s="104" t="s">
        <v>37</v>
      </c>
      <c r="P1" s="104" t="s">
        <v>14</v>
      </c>
      <c r="Q1" s="104" t="s">
        <v>37</v>
      </c>
      <c r="R1" s="104" t="s">
        <v>133</v>
      </c>
      <c r="S1" s="104" t="s">
        <v>37</v>
      </c>
      <c r="T1" s="108" t="s">
        <v>134</v>
      </c>
      <c r="U1" s="104" t="s">
        <v>37</v>
      </c>
      <c r="V1" s="107" t="s">
        <v>15</v>
      </c>
      <c r="W1" s="104" t="s">
        <v>38</v>
      </c>
      <c r="X1" s="104" t="s">
        <v>37</v>
      </c>
      <c r="Y1" s="105" t="s">
        <v>104</v>
      </c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10" t="s">
        <v>111</v>
      </c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05" t="s">
        <v>146</v>
      </c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11" t="s">
        <v>15</v>
      </c>
      <c r="DC1" s="111"/>
      <c r="DD1" s="111"/>
      <c r="DE1" s="111"/>
      <c r="DF1" s="105" t="s">
        <v>110</v>
      </c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10" t="s">
        <v>114</v>
      </c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05" t="s">
        <v>125</v>
      </c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05"/>
      <c r="HC1" s="105"/>
      <c r="HD1" s="110" t="s">
        <v>130</v>
      </c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5"/>
      <c r="OY1" s="105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10"/>
      <c r="QG1" s="110"/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  <c r="RJ1" s="105"/>
      <c r="RK1" s="105"/>
      <c r="RL1" s="105"/>
      <c r="RM1" s="105"/>
      <c r="RN1" s="105"/>
      <c r="RO1" s="105"/>
      <c r="RP1" s="110"/>
      <c r="RQ1" s="110"/>
      <c r="RR1" s="110"/>
      <c r="RS1" s="110"/>
      <c r="RT1" s="110"/>
      <c r="RU1" s="110"/>
      <c r="RV1" s="110"/>
      <c r="RW1" s="110"/>
      <c r="RX1" s="110"/>
      <c r="RY1" s="110"/>
      <c r="RZ1" s="110"/>
      <c r="SA1" s="110"/>
      <c r="SB1" s="110"/>
      <c r="SC1" s="110"/>
      <c r="SD1" s="110"/>
      <c r="SE1" s="110"/>
      <c r="SF1" s="110"/>
      <c r="SG1" s="110"/>
      <c r="SH1" s="110"/>
      <c r="SI1" s="110"/>
      <c r="SJ1" s="110"/>
      <c r="SK1" s="110"/>
      <c r="SL1" s="110"/>
      <c r="SM1" s="110"/>
      <c r="SN1" s="110"/>
      <c r="SO1" s="110"/>
      <c r="SP1" s="110"/>
      <c r="SQ1" s="110"/>
      <c r="SR1" s="110"/>
      <c r="SS1" s="110"/>
      <c r="ST1" s="110"/>
      <c r="SU1" s="110"/>
      <c r="SV1" s="110"/>
      <c r="SW1" s="110"/>
      <c r="SX1" s="105" t="s">
        <v>72</v>
      </c>
      <c r="SY1" s="105"/>
      <c r="SZ1" s="105"/>
      <c r="TA1" s="105"/>
      <c r="TB1" s="105"/>
      <c r="TC1" s="105"/>
      <c r="TD1" s="105"/>
      <c r="TE1" s="105"/>
      <c r="TF1" s="105"/>
      <c r="TG1" s="105"/>
      <c r="TH1" s="105"/>
      <c r="TI1" s="105"/>
      <c r="TJ1" s="105"/>
      <c r="TK1" s="105"/>
      <c r="TL1" s="105"/>
      <c r="TM1" s="105"/>
      <c r="TN1" s="105"/>
      <c r="TO1" s="105"/>
      <c r="TP1" s="105"/>
      <c r="TQ1" s="105"/>
      <c r="TR1" s="105"/>
      <c r="TS1" s="105"/>
      <c r="TT1" s="105"/>
      <c r="TU1" s="105"/>
      <c r="TV1" s="105"/>
      <c r="TW1" s="105"/>
      <c r="TX1" s="105"/>
    </row>
    <row r="2" spans="1:544" x14ac:dyDescent="0.2">
      <c r="A2" s="102"/>
      <c r="B2" s="102"/>
      <c r="C2" s="102"/>
      <c r="D2" s="102"/>
      <c r="E2" s="102"/>
      <c r="F2" s="103"/>
      <c r="G2" s="102"/>
      <c r="H2" s="102"/>
      <c r="I2" s="102"/>
      <c r="J2" s="108"/>
      <c r="K2" s="104"/>
      <c r="L2" s="108"/>
      <c r="M2" s="104"/>
      <c r="N2" s="108"/>
      <c r="O2" s="104"/>
      <c r="P2" s="104"/>
      <c r="Q2" s="104"/>
      <c r="R2" s="104"/>
      <c r="S2" s="104"/>
      <c r="T2" s="108"/>
      <c r="U2" s="104"/>
      <c r="V2" s="107"/>
      <c r="W2" s="104"/>
      <c r="X2" s="104"/>
      <c r="Y2" s="106" t="s">
        <v>20</v>
      </c>
      <c r="Z2" s="106"/>
      <c r="AA2" s="106"/>
      <c r="AB2" s="106"/>
      <c r="AC2" s="106"/>
      <c r="AD2" s="106" t="s">
        <v>21</v>
      </c>
      <c r="AE2" s="106"/>
      <c r="AF2" s="106"/>
      <c r="AG2" s="106"/>
      <c r="AH2" s="106"/>
      <c r="AI2" s="106" t="s">
        <v>24</v>
      </c>
      <c r="AJ2" s="106"/>
      <c r="AK2" s="106"/>
      <c r="AL2" s="106"/>
      <c r="AM2" s="106"/>
      <c r="AN2" s="48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09" t="s">
        <v>20</v>
      </c>
      <c r="BA2" s="109"/>
      <c r="BB2" s="109"/>
      <c r="BC2" s="109"/>
      <c r="BD2" s="109"/>
      <c r="BE2" s="109" t="s">
        <v>21</v>
      </c>
      <c r="BF2" s="109"/>
      <c r="BG2" s="109"/>
      <c r="BH2" s="109"/>
      <c r="BI2" s="109"/>
      <c r="BJ2" s="109" t="s">
        <v>24</v>
      </c>
      <c r="BK2" s="109"/>
      <c r="BL2" s="109"/>
      <c r="BM2" s="109"/>
      <c r="BN2" s="109"/>
      <c r="BO2" s="47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06" t="s">
        <v>20</v>
      </c>
      <c r="CB2" s="106"/>
      <c r="CC2" s="106"/>
      <c r="CD2" s="106"/>
      <c r="CE2" s="106"/>
      <c r="CF2" s="106" t="s">
        <v>21</v>
      </c>
      <c r="CG2" s="106"/>
      <c r="CH2" s="106"/>
      <c r="CI2" s="106"/>
      <c r="CJ2" s="106"/>
      <c r="CK2" s="106" t="s">
        <v>24</v>
      </c>
      <c r="CL2" s="106"/>
      <c r="CM2" s="106"/>
      <c r="CN2" s="106"/>
      <c r="CO2" s="106"/>
      <c r="CP2" s="60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86" t="s">
        <v>11</v>
      </c>
      <c r="DE2" s="86" t="s">
        <v>18</v>
      </c>
      <c r="DF2" s="106" t="s">
        <v>20</v>
      </c>
      <c r="DG2" s="106"/>
      <c r="DH2" s="106"/>
      <c r="DI2" s="106"/>
      <c r="DJ2" s="106"/>
      <c r="DK2" s="106" t="s">
        <v>21</v>
      </c>
      <c r="DL2" s="106"/>
      <c r="DM2" s="106"/>
      <c r="DN2" s="106"/>
      <c r="DO2" s="106"/>
      <c r="DP2" s="106" t="s">
        <v>140</v>
      </c>
      <c r="DQ2" s="106"/>
      <c r="DR2" s="106"/>
      <c r="DS2" s="106"/>
      <c r="DT2" s="106"/>
      <c r="DU2" s="106" t="s">
        <v>24</v>
      </c>
      <c r="DV2" s="106"/>
      <c r="DW2" s="106"/>
      <c r="DX2" s="106"/>
      <c r="DY2" s="106"/>
      <c r="DZ2" s="73" t="s">
        <v>135</v>
      </c>
      <c r="EA2" s="73" t="s">
        <v>136</v>
      </c>
      <c r="EB2" s="73" t="s">
        <v>22</v>
      </c>
      <c r="EC2" s="73" t="s">
        <v>87</v>
      </c>
      <c r="ED2" s="73" t="s">
        <v>137</v>
      </c>
      <c r="EE2" s="73" t="s">
        <v>23</v>
      </c>
      <c r="EF2" s="73" t="s">
        <v>25</v>
      </c>
      <c r="EG2" s="73" t="s">
        <v>141</v>
      </c>
      <c r="EH2" s="73" t="s">
        <v>142</v>
      </c>
      <c r="EI2" s="73" t="s">
        <v>140</v>
      </c>
      <c r="EJ2" s="73" t="s">
        <v>138</v>
      </c>
      <c r="EK2" s="73" t="s">
        <v>139</v>
      </c>
      <c r="EL2" s="73" t="s">
        <v>24</v>
      </c>
      <c r="EM2" s="100" t="s">
        <v>19</v>
      </c>
      <c r="EN2" s="109" t="s">
        <v>20</v>
      </c>
      <c r="EO2" s="109"/>
      <c r="EP2" s="109"/>
      <c r="EQ2" s="109"/>
      <c r="ER2" s="109"/>
      <c r="ES2" s="109" t="s">
        <v>21</v>
      </c>
      <c r="ET2" s="109"/>
      <c r="EU2" s="109"/>
      <c r="EV2" s="109"/>
      <c r="EW2" s="109"/>
      <c r="EX2" s="109" t="s">
        <v>140</v>
      </c>
      <c r="EY2" s="109"/>
      <c r="EZ2" s="109"/>
      <c r="FA2" s="109"/>
      <c r="FB2" s="109"/>
      <c r="FC2" s="109" t="s">
        <v>24</v>
      </c>
      <c r="FD2" s="109"/>
      <c r="FE2" s="109"/>
      <c r="FF2" s="109"/>
      <c r="FG2" s="109"/>
      <c r="FH2" s="72" t="s">
        <v>135</v>
      </c>
      <c r="FI2" s="72" t="s">
        <v>136</v>
      </c>
      <c r="FJ2" s="72" t="s">
        <v>22</v>
      </c>
      <c r="FK2" s="72" t="s">
        <v>87</v>
      </c>
      <c r="FL2" s="72" t="s">
        <v>137</v>
      </c>
      <c r="FM2" s="72" t="s">
        <v>23</v>
      </c>
      <c r="FN2" s="72" t="s">
        <v>25</v>
      </c>
      <c r="FO2" s="72" t="s">
        <v>141</v>
      </c>
      <c r="FP2" s="72" t="s">
        <v>142</v>
      </c>
      <c r="FQ2" s="72" t="s">
        <v>140</v>
      </c>
      <c r="FR2" s="72" t="s">
        <v>138</v>
      </c>
      <c r="FS2" s="72" t="s">
        <v>139</v>
      </c>
      <c r="FT2" s="72" t="s">
        <v>24</v>
      </c>
      <c r="FU2" s="99" t="s">
        <v>19</v>
      </c>
      <c r="FV2" s="106" t="s">
        <v>20</v>
      </c>
      <c r="FW2" s="106"/>
      <c r="FX2" s="106"/>
      <c r="FY2" s="106"/>
      <c r="FZ2" s="106"/>
      <c r="GA2" s="106" t="s">
        <v>21</v>
      </c>
      <c r="GB2" s="106"/>
      <c r="GC2" s="106"/>
      <c r="GD2" s="106"/>
      <c r="GE2" s="106"/>
      <c r="GF2" s="106" t="s">
        <v>140</v>
      </c>
      <c r="GG2" s="106"/>
      <c r="GH2" s="106"/>
      <c r="GI2" s="106"/>
      <c r="GJ2" s="106"/>
      <c r="GK2" s="106" t="s">
        <v>24</v>
      </c>
      <c r="GL2" s="106"/>
      <c r="GM2" s="106"/>
      <c r="GN2" s="106"/>
      <c r="GO2" s="106"/>
      <c r="GP2" s="73" t="s">
        <v>135</v>
      </c>
      <c r="GQ2" s="73" t="s">
        <v>136</v>
      </c>
      <c r="GR2" s="73" t="s">
        <v>22</v>
      </c>
      <c r="GS2" s="73" t="s">
        <v>87</v>
      </c>
      <c r="GT2" s="73" t="s">
        <v>137</v>
      </c>
      <c r="GU2" s="73" t="s">
        <v>23</v>
      </c>
      <c r="GV2" s="73" t="s">
        <v>25</v>
      </c>
      <c r="GW2" s="73" t="s">
        <v>141</v>
      </c>
      <c r="GX2" s="73" t="s">
        <v>142</v>
      </c>
      <c r="GY2" s="73" t="s">
        <v>140</v>
      </c>
      <c r="GZ2" s="73" t="s">
        <v>138</v>
      </c>
      <c r="HA2" s="73" t="s">
        <v>139</v>
      </c>
      <c r="HB2" s="73" t="s">
        <v>24</v>
      </c>
      <c r="HC2" s="100" t="s">
        <v>19</v>
      </c>
      <c r="HD2" s="109" t="s">
        <v>20</v>
      </c>
      <c r="HE2" s="109"/>
      <c r="HF2" s="109"/>
      <c r="HG2" s="109"/>
      <c r="HH2" s="109"/>
      <c r="HI2" s="109" t="s">
        <v>21</v>
      </c>
      <c r="HJ2" s="109"/>
      <c r="HK2" s="109"/>
      <c r="HL2" s="109"/>
      <c r="HM2" s="109"/>
      <c r="HN2" s="109" t="s">
        <v>140</v>
      </c>
      <c r="HO2" s="109"/>
      <c r="HP2" s="109"/>
      <c r="HQ2" s="109"/>
      <c r="HR2" s="109"/>
      <c r="HS2" s="109" t="s">
        <v>24</v>
      </c>
      <c r="HT2" s="109"/>
      <c r="HU2" s="109"/>
      <c r="HV2" s="109"/>
      <c r="HW2" s="109"/>
      <c r="HX2" s="72" t="s">
        <v>135</v>
      </c>
      <c r="HY2" s="72" t="s">
        <v>136</v>
      </c>
      <c r="HZ2" s="72" t="s">
        <v>22</v>
      </c>
      <c r="IA2" s="72" t="s">
        <v>87</v>
      </c>
      <c r="IB2" s="72" t="s">
        <v>137</v>
      </c>
      <c r="IC2" s="72" t="s">
        <v>23</v>
      </c>
      <c r="ID2" s="72" t="s">
        <v>25</v>
      </c>
      <c r="IE2" s="72" t="s">
        <v>141</v>
      </c>
      <c r="IF2" s="72" t="s">
        <v>142</v>
      </c>
      <c r="IG2" s="72" t="s">
        <v>140</v>
      </c>
      <c r="IH2" s="72" t="s">
        <v>138</v>
      </c>
      <c r="II2" s="72" t="s">
        <v>139</v>
      </c>
      <c r="IJ2" s="72" t="s">
        <v>24</v>
      </c>
      <c r="IK2" s="99" t="s">
        <v>19</v>
      </c>
      <c r="IL2" s="106" t="s">
        <v>20</v>
      </c>
      <c r="IM2" s="106"/>
      <c r="IN2" s="106"/>
      <c r="IO2" s="106"/>
      <c r="IP2" s="106"/>
      <c r="IQ2" s="106" t="s">
        <v>21</v>
      </c>
      <c r="IR2" s="106"/>
      <c r="IS2" s="106"/>
      <c r="IT2" s="106"/>
      <c r="IU2" s="106"/>
      <c r="IV2" s="106" t="s">
        <v>140</v>
      </c>
      <c r="IW2" s="106"/>
      <c r="IX2" s="106"/>
      <c r="IY2" s="106"/>
      <c r="IZ2" s="106"/>
      <c r="JA2" s="106" t="s">
        <v>24</v>
      </c>
      <c r="JB2" s="106"/>
      <c r="JC2" s="106"/>
      <c r="JD2" s="106"/>
      <c r="JE2" s="106"/>
      <c r="JF2" s="73" t="s">
        <v>135</v>
      </c>
      <c r="JG2" s="73" t="s">
        <v>136</v>
      </c>
      <c r="JH2" s="73" t="s">
        <v>22</v>
      </c>
      <c r="JI2" s="73" t="s">
        <v>87</v>
      </c>
      <c r="JJ2" s="73" t="s">
        <v>137</v>
      </c>
      <c r="JK2" s="73" t="s">
        <v>23</v>
      </c>
      <c r="JL2" s="73" t="s">
        <v>25</v>
      </c>
      <c r="JM2" s="73" t="s">
        <v>141</v>
      </c>
      <c r="JN2" s="73" t="s">
        <v>142</v>
      </c>
      <c r="JO2" s="73" t="s">
        <v>140</v>
      </c>
      <c r="JP2" s="73" t="s">
        <v>138</v>
      </c>
      <c r="JQ2" s="73" t="s">
        <v>139</v>
      </c>
      <c r="JR2" s="73" t="s">
        <v>24</v>
      </c>
      <c r="JS2" s="100" t="s">
        <v>19</v>
      </c>
      <c r="JT2" s="109" t="s">
        <v>20</v>
      </c>
      <c r="JU2" s="109"/>
      <c r="JV2" s="109"/>
      <c r="JW2" s="109"/>
      <c r="JX2" s="109"/>
      <c r="JY2" s="109" t="s">
        <v>21</v>
      </c>
      <c r="JZ2" s="109"/>
      <c r="KA2" s="109"/>
      <c r="KB2" s="109"/>
      <c r="KC2" s="109"/>
      <c r="KD2" s="109" t="s">
        <v>140</v>
      </c>
      <c r="KE2" s="109"/>
      <c r="KF2" s="109"/>
      <c r="KG2" s="109"/>
      <c r="KH2" s="109"/>
      <c r="KI2" s="109" t="s">
        <v>24</v>
      </c>
      <c r="KJ2" s="109"/>
      <c r="KK2" s="109"/>
      <c r="KL2" s="109"/>
      <c r="KM2" s="109"/>
      <c r="KN2" s="72" t="s">
        <v>135</v>
      </c>
      <c r="KO2" s="72" t="s">
        <v>136</v>
      </c>
      <c r="KP2" s="72" t="s">
        <v>22</v>
      </c>
      <c r="KQ2" s="72" t="s">
        <v>87</v>
      </c>
      <c r="KR2" s="72" t="s">
        <v>137</v>
      </c>
      <c r="KS2" s="72" t="s">
        <v>23</v>
      </c>
      <c r="KT2" s="72" t="s">
        <v>25</v>
      </c>
      <c r="KU2" s="72" t="s">
        <v>141</v>
      </c>
      <c r="KV2" s="72" t="s">
        <v>142</v>
      </c>
      <c r="KW2" s="72" t="s">
        <v>140</v>
      </c>
      <c r="KX2" s="72" t="s">
        <v>138</v>
      </c>
      <c r="KY2" s="72" t="s">
        <v>139</v>
      </c>
      <c r="KZ2" s="72" t="s">
        <v>24</v>
      </c>
      <c r="LA2" s="72" t="s">
        <v>19</v>
      </c>
      <c r="LB2" s="106" t="s">
        <v>20</v>
      </c>
      <c r="LC2" s="106"/>
      <c r="LD2" s="106"/>
      <c r="LE2" s="106"/>
      <c r="LF2" s="106"/>
      <c r="LG2" s="106" t="s">
        <v>21</v>
      </c>
      <c r="LH2" s="106"/>
      <c r="LI2" s="106"/>
      <c r="LJ2" s="106"/>
      <c r="LK2" s="106"/>
      <c r="LL2" s="106" t="s">
        <v>140</v>
      </c>
      <c r="LM2" s="106"/>
      <c r="LN2" s="106"/>
      <c r="LO2" s="106"/>
      <c r="LP2" s="106"/>
      <c r="LQ2" s="106" t="s">
        <v>24</v>
      </c>
      <c r="LR2" s="106"/>
      <c r="LS2" s="106"/>
      <c r="LT2" s="106"/>
      <c r="LU2" s="106"/>
      <c r="LV2" s="73" t="s">
        <v>135</v>
      </c>
      <c r="LW2" s="73" t="s">
        <v>136</v>
      </c>
      <c r="LX2" s="73" t="s">
        <v>22</v>
      </c>
      <c r="LY2" s="73" t="s">
        <v>87</v>
      </c>
      <c r="LZ2" s="73" t="s">
        <v>137</v>
      </c>
      <c r="MA2" s="73" t="s">
        <v>23</v>
      </c>
      <c r="MB2" s="73" t="s">
        <v>25</v>
      </c>
      <c r="MC2" s="73" t="s">
        <v>141</v>
      </c>
      <c r="MD2" s="73" t="s">
        <v>142</v>
      </c>
      <c r="ME2" s="73" t="s">
        <v>140</v>
      </c>
      <c r="MF2" s="73" t="s">
        <v>138</v>
      </c>
      <c r="MG2" s="73" t="s">
        <v>139</v>
      </c>
      <c r="MH2" s="73" t="s">
        <v>24</v>
      </c>
      <c r="MI2" s="73" t="s">
        <v>19</v>
      </c>
      <c r="MJ2" s="109" t="s">
        <v>20</v>
      </c>
      <c r="MK2" s="109"/>
      <c r="ML2" s="109"/>
      <c r="MM2" s="109"/>
      <c r="MN2" s="109"/>
      <c r="MO2" s="109" t="s">
        <v>21</v>
      </c>
      <c r="MP2" s="109"/>
      <c r="MQ2" s="109"/>
      <c r="MR2" s="109"/>
      <c r="MS2" s="109"/>
      <c r="MT2" s="109" t="s">
        <v>140</v>
      </c>
      <c r="MU2" s="109"/>
      <c r="MV2" s="109"/>
      <c r="MW2" s="109"/>
      <c r="MX2" s="109"/>
      <c r="MY2" s="109" t="s">
        <v>24</v>
      </c>
      <c r="MZ2" s="109"/>
      <c r="NA2" s="109"/>
      <c r="NB2" s="109"/>
      <c r="NC2" s="109"/>
      <c r="ND2" s="72" t="s">
        <v>135</v>
      </c>
      <c r="NE2" s="72" t="s">
        <v>136</v>
      </c>
      <c r="NF2" s="72" t="s">
        <v>22</v>
      </c>
      <c r="NG2" s="72" t="s">
        <v>87</v>
      </c>
      <c r="NH2" s="72" t="s">
        <v>137</v>
      </c>
      <c r="NI2" s="72" t="s">
        <v>23</v>
      </c>
      <c r="NJ2" s="72" t="s">
        <v>25</v>
      </c>
      <c r="NK2" s="72" t="s">
        <v>141</v>
      </c>
      <c r="NL2" s="72" t="s">
        <v>142</v>
      </c>
      <c r="NM2" s="72" t="s">
        <v>140</v>
      </c>
      <c r="NN2" s="72" t="s">
        <v>138</v>
      </c>
      <c r="NO2" s="72" t="s">
        <v>139</v>
      </c>
      <c r="NP2" s="72" t="s">
        <v>24</v>
      </c>
      <c r="NQ2" s="72" t="s">
        <v>19</v>
      </c>
      <c r="NR2" s="106" t="s">
        <v>20</v>
      </c>
      <c r="NS2" s="106"/>
      <c r="NT2" s="106"/>
      <c r="NU2" s="106"/>
      <c r="NV2" s="106"/>
      <c r="NW2" s="106" t="s">
        <v>21</v>
      </c>
      <c r="NX2" s="106"/>
      <c r="NY2" s="106"/>
      <c r="NZ2" s="106"/>
      <c r="OA2" s="106"/>
      <c r="OB2" s="106" t="s">
        <v>140</v>
      </c>
      <c r="OC2" s="106"/>
      <c r="OD2" s="106"/>
      <c r="OE2" s="106"/>
      <c r="OF2" s="106"/>
      <c r="OG2" s="106" t="s">
        <v>24</v>
      </c>
      <c r="OH2" s="106"/>
      <c r="OI2" s="106"/>
      <c r="OJ2" s="106"/>
      <c r="OK2" s="106"/>
      <c r="OL2" s="73" t="s">
        <v>135</v>
      </c>
      <c r="OM2" s="73" t="s">
        <v>136</v>
      </c>
      <c r="ON2" s="73" t="s">
        <v>22</v>
      </c>
      <c r="OO2" s="73" t="s">
        <v>87</v>
      </c>
      <c r="OP2" s="73" t="s">
        <v>137</v>
      </c>
      <c r="OQ2" s="73" t="s">
        <v>23</v>
      </c>
      <c r="OR2" s="73" t="s">
        <v>25</v>
      </c>
      <c r="OS2" s="73" t="s">
        <v>141</v>
      </c>
      <c r="OT2" s="73" t="s">
        <v>142</v>
      </c>
      <c r="OU2" s="73" t="s">
        <v>140</v>
      </c>
      <c r="OV2" s="73" t="s">
        <v>138</v>
      </c>
      <c r="OW2" s="73" t="s">
        <v>139</v>
      </c>
      <c r="OX2" s="73" t="s">
        <v>24</v>
      </c>
      <c r="OY2" s="73" t="s">
        <v>19</v>
      </c>
      <c r="OZ2" s="109" t="s">
        <v>20</v>
      </c>
      <c r="PA2" s="109"/>
      <c r="PB2" s="109"/>
      <c r="PC2" s="109"/>
      <c r="PD2" s="109"/>
      <c r="PE2" s="109" t="s">
        <v>21</v>
      </c>
      <c r="PF2" s="109"/>
      <c r="PG2" s="109"/>
      <c r="PH2" s="109"/>
      <c r="PI2" s="109"/>
      <c r="PJ2" s="109" t="s">
        <v>140</v>
      </c>
      <c r="PK2" s="109"/>
      <c r="PL2" s="109"/>
      <c r="PM2" s="109"/>
      <c r="PN2" s="109"/>
      <c r="PO2" s="109" t="s">
        <v>24</v>
      </c>
      <c r="PP2" s="109"/>
      <c r="PQ2" s="109"/>
      <c r="PR2" s="109"/>
      <c r="PS2" s="109"/>
      <c r="PT2" s="72" t="s">
        <v>135</v>
      </c>
      <c r="PU2" s="72" t="s">
        <v>136</v>
      </c>
      <c r="PV2" s="72" t="s">
        <v>22</v>
      </c>
      <c r="PW2" s="72" t="s">
        <v>87</v>
      </c>
      <c r="PX2" s="72" t="s">
        <v>137</v>
      </c>
      <c r="PY2" s="72" t="s">
        <v>23</v>
      </c>
      <c r="PZ2" s="72" t="s">
        <v>25</v>
      </c>
      <c r="QA2" s="72" t="s">
        <v>141</v>
      </c>
      <c r="QB2" s="72" t="s">
        <v>142</v>
      </c>
      <c r="QC2" s="72" t="s">
        <v>140</v>
      </c>
      <c r="QD2" s="72" t="s">
        <v>138</v>
      </c>
      <c r="QE2" s="72" t="s">
        <v>139</v>
      </c>
      <c r="QF2" s="72" t="s">
        <v>24</v>
      </c>
      <c r="QG2" s="72" t="s">
        <v>19</v>
      </c>
      <c r="QH2" s="106" t="s">
        <v>20</v>
      </c>
      <c r="QI2" s="106"/>
      <c r="QJ2" s="106"/>
      <c r="QK2" s="106"/>
      <c r="QL2" s="106"/>
      <c r="QM2" s="106" t="s">
        <v>21</v>
      </c>
      <c r="QN2" s="106"/>
      <c r="QO2" s="106"/>
      <c r="QP2" s="106"/>
      <c r="QQ2" s="106"/>
      <c r="QR2" s="106" t="s">
        <v>140</v>
      </c>
      <c r="QS2" s="106"/>
      <c r="QT2" s="106"/>
      <c r="QU2" s="106"/>
      <c r="QV2" s="106"/>
      <c r="QW2" s="106" t="s">
        <v>24</v>
      </c>
      <c r="QX2" s="106"/>
      <c r="QY2" s="106"/>
      <c r="QZ2" s="106"/>
      <c r="RA2" s="106"/>
      <c r="RB2" s="73" t="s">
        <v>135</v>
      </c>
      <c r="RC2" s="73" t="s">
        <v>136</v>
      </c>
      <c r="RD2" s="73" t="s">
        <v>22</v>
      </c>
      <c r="RE2" s="73" t="s">
        <v>87</v>
      </c>
      <c r="RF2" s="73" t="s">
        <v>137</v>
      </c>
      <c r="RG2" s="73" t="s">
        <v>23</v>
      </c>
      <c r="RH2" s="73" t="s">
        <v>25</v>
      </c>
      <c r="RI2" s="73" t="s">
        <v>141</v>
      </c>
      <c r="RJ2" s="73" t="s">
        <v>142</v>
      </c>
      <c r="RK2" s="73" t="s">
        <v>140</v>
      </c>
      <c r="RL2" s="73" t="s">
        <v>138</v>
      </c>
      <c r="RM2" s="73" t="s">
        <v>139</v>
      </c>
      <c r="RN2" s="73" t="s">
        <v>24</v>
      </c>
      <c r="RO2" s="73" t="s">
        <v>19</v>
      </c>
      <c r="RP2" s="109" t="s">
        <v>20</v>
      </c>
      <c r="RQ2" s="109"/>
      <c r="RR2" s="109"/>
      <c r="RS2" s="109"/>
      <c r="RT2" s="109"/>
      <c r="RU2" s="109" t="s">
        <v>21</v>
      </c>
      <c r="RV2" s="109"/>
      <c r="RW2" s="109"/>
      <c r="RX2" s="109"/>
      <c r="RY2" s="109"/>
      <c r="RZ2" s="109" t="s">
        <v>140</v>
      </c>
      <c r="SA2" s="109"/>
      <c r="SB2" s="109"/>
      <c r="SC2" s="109"/>
      <c r="SD2" s="109"/>
      <c r="SE2" s="109" t="s">
        <v>24</v>
      </c>
      <c r="SF2" s="109"/>
      <c r="SG2" s="109"/>
      <c r="SH2" s="109"/>
      <c r="SI2" s="109"/>
      <c r="SJ2" s="72" t="s">
        <v>135</v>
      </c>
      <c r="SK2" s="72" t="s">
        <v>136</v>
      </c>
      <c r="SL2" s="72" t="s">
        <v>22</v>
      </c>
      <c r="SM2" s="72" t="s">
        <v>87</v>
      </c>
      <c r="SN2" s="72" t="s">
        <v>137</v>
      </c>
      <c r="SO2" s="72" t="s">
        <v>23</v>
      </c>
      <c r="SP2" s="72" t="s">
        <v>25</v>
      </c>
      <c r="SQ2" s="72" t="s">
        <v>141</v>
      </c>
      <c r="SR2" s="72" t="s">
        <v>142</v>
      </c>
      <c r="SS2" s="72" t="s">
        <v>140</v>
      </c>
      <c r="ST2" s="72" t="s">
        <v>138</v>
      </c>
      <c r="SU2" s="72" t="s">
        <v>139</v>
      </c>
      <c r="SV2" s="72" t="s">
        <v>24</v>
      </c>
      <c r="SW2" s="72" t="s">
        <v>19</v>
      </c>
      <c r="SX2" s="106" t="s">
        <v>20</v>
      </c>
      <c r="SY2" s="106"/>
      <c r="SZ2" s="106"/>
      <c r="TA2" s="106"/>
      <c r="TB2" s="106"/>
      <c r="TC2" s="106" t="s">
        <v>21</v>
      </c>
      <c r="TD2" s="106"/>
      <c r="TE2" s="106"/>
      <c r="TF2" s="106"/>
      <c r="TG2" s="106"/>
      <c r="TH2" s="106" t="s">
        <v>24</v>
      </c>
      <c r="TI2" s="106"/>
      <c r="TJ2" s="106"/>
      <c r="TK2" s="106"/>
      <c r="TL2" s="106"/>
      <c r="TM2" s="57"/>
      <c r="TN2" s="73" t="s">
        <v>135</v>
      </c>
      <c r="TO2" s="73" t="s">
        <v>136</v>
      </c>
      <c r="TP2" s="73" t="s">
        <v>22</v>
      </c>
      <c r="TQ2" s="73" t="s">
        <v>87</v>
      </c>
      <c r="TR2" s="73" t="s">
        <v>137</v>
      </c>
      <c r="TS2" s="73" t="s">
        <v>23</v>
      </c>
      <c r="TT2" s="73" t="s">
        <v>25</v>
      </c>
      <c r="TU2" s="73" t="s">
        <v>138</v>
      </c>
      <c r="TV2" s="73" t="s">
        <v>139</v>
      </c>
      <c r="TW2" s="73" t="s">
        <v>24</v>
      </c>
      <c r="TX2" s="73" t="s">
        <v>19</v>
      </c>
    </row>
    <row r="3" spans="1:544" x14ac:dyDescent="0.2">
      <c r="A3" s="102"/>
      <c r="B3" s="102"/>
      <c r="C3" s="102"/>
      <c r="D3" s="102"/>
      <c r="E3" s="102"/>
      <c r="F3" s="103"/>
      <c r="G3" s="102"/>
      <c r="H3" s="102"/>
      <c r="I3" s="102"/>
      <c r="J3" s="108"/>
      <c r="K3" s="104"/>
      <c r="L3" s="108"/>
      <c r="M3" s="104"/>
      <c r="N3" s="108"/>
      <c r="O3" s="104"/>
      <c r="P3" s="104"/>
      <c r="Q3" s="104"/>
      <c r="R3" s="104"/>
      <c r="S3" s="104"/>
      <c r="T3" s="108"/>
      <c r="U3" s="104"/>
      <c r="V3" s="107"/>
      <c r="W3" s="104"/>
      <c r="X3" s="104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86"/>
      <c r="DE3" s="86"/>
      <c r="DF3" s="23" t="s">
        <v>16</v>
      </c>
      <c r="DG3" s="23" t="s">
        <v>17</v>
      </c>
      <c r="DH3" s="23" t="s">
        <v>11</v>
      </c>
      <c r="DI3" s="23" t="s">
        <v>18</v>
      </c>
      <c r="DJ3" s="29" t="s">
        <v>34</v>
      </c>
      <c r="DK3" s="23" t="s">
        <v>16</v>
      </c>
      <c r="DL3" s="23" t="s">
        <v>17</v>
      </c>
      <c r="DM3" s="23" t="s">
        <v>11</v>
      </c>
      <c r="DN3" s="23" t="s">
        <v>18</v>
      </c>
      <c r="DO3" s="29" t="s">
        <v>34</v>
      </c>
      <c r="DP3" s="73" t="s">
        <v>16</v>
      </c>
      <c r="DQ3" s="73" t="s">
        <v>17</v>
      </c>
      <c r="DR3" s="73" t="s">
        <v>11</v>
      </c>
      <c r="DS3" s="73" t="s">
        <v>18</v>
      </c>
      <c r="DT3" s="73" t="s">
        <v>34</v>
      </c>
      <c r="DU3" s="23" t="s">
        <v>16</v>
      </c>
      <c r="DV3" s="23" t="s">
        <v>17</v>
      </c>
      <c r="DW3" s="23" t="s">
        <v>11</v>
      </c>
      <c r="DX3" s="23" t="s">
        <v>18</v>
      </c>
      <c r="DY3" s="29" t="s">
        <v>34</v>
      </c>
      <c r="DZ3" s="10"/>
      <c r="EA3" s="10"/>
      <c r="EB3" s="9"/>
      <c r="EC3" s="9"/>
      <c r="ED3" s="9"/>
      <c r="EE3" s="9"/>
      <c r="EF3" s="9"/>
      <c r="EG3" s="9"/>
      <c r="EH3" s="9"/>
      <c r="EI3" s="9"/>
      <c r="EJ3" s="9"/>
      <c r="EK3" s="9"/>
      <c r="EL3" s="10"/>
      <c r="EM3" s="100"/>
      <c r="EN3" s="72" t="s">
        <v>16</v>
      </c>
      <c r="EO3" s="72" t="s">
        <v>17</v>
      </c>
      <c r="EP3" s="72" t="s">
        <v>11</v>
      </c>
      <c r="EQ3" s="72" t="s">
        <v>18</v>
      </c>
      <c r="ER3" s="72" t="s">
        <v>34</v>
      </c>
      <c r="ES3" s="72" t="s">
        <v>16</v>
      </c>
      <c r="ET3" s="72" t="s">
        <v>17</v>
      </c>
      <c r="EU3" s="72" t="s">
        <v>11</v>
      </c>
      <c r="EV3" s="72" t="s">
        <v>18</v>
      </c>
      <c r="EW3" s="72" t="s">
        <v>34</v>
      </c>
      <c r="EX3" s="72" t="s">
        <v>16</v>
      </c>
      <c r="EY3" s="72" t="s">
        <v>17</v>
      </c>
      <c r="EZ3" s="72" t="s">
        <v>11</v>
      </c>
      <c r="FA3" s="72" t="s">
        <v>18</v>
      </c>
      <c r="FB3" s="72" t="s">
        <v>34</v>
      </c>
      <c r="FC3" s="72" t="s">
        <v>16</v>
      </c>
      <c r="FD3" s="72" t="s">
        <v>17</v>
      </c>
      <c r="FE3" s="72" t="s">
        <v>11</v>
      </c>
      <c r="FF3" s="72" t="s">
        <v>18</v>
      </c>
      <c r="FG3" s="72" t="s">
        <v>34</v>
      </c>
      <c r="FH3" s="12"/>
      <c r="FI3" s="12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2"/>
      <c r="FU3" s="99"/>
      <c r="FV3" s="73" t="s">
        <v>16</v>
      </c>
      <c r="FW3" s="73" t="s">
        <v>17</v>
      </c>
      <c r="FX3" s="73" t="s">
        <v>11</v>
      </c>
      <c r="FY3" s="73" t="s">
        <v>18</v>
      </c>
      <c r="FZ3" s="73" t="s">
        <v>34</v>
      </c>
      <c r="GA3" s="73" t="s">
        <v>16</v>
      </c>
      <c r="GB3" s="73" t="s">
        <v>17</v>
      </c>
      <c r="GC3" s="73" t="s">
        <v>11</v>
      </c>
      <c r="GD3" s="73" t="s">
        <v>18</v>
      </c>
      <c r="GE3" s="73" t="s">
        <v>34</v>
      </c>
      <c r="GF3" s="73" t="s">
        <v>16</v>
      </c>
      <c r="GG3" s="73" t="s">
        <v>17</v>
      </c>
      <c r="GH3" s="73" t="s">
        <v>11</v>
      </c>
      <c r="GI3" s="73" t="s">
        <v>18</v>
      </c>
      <c r="GJ3" s="73" t="s">
        <v>34</v>
      </c>
      <c r="GK3" s="73" t="s">
        <v>16</v>
      </c>
      <c r="GL3" s="73" t="s">
        <v>17</v>
      </c>
      <c r="GM3" s="73" t="s">
        <v>11</v>
      </c>
      <c r="GN3" s="73" t="s">
        <v>18</v>
      </c>
      <c r="GO3" s="73" t="s">
        <v>34</v>
      </c>
      <c r="GP3" s="10"/>
      <c r="GQ3" s="10"/>
      <c r="GR3" s="9"/>
      <c r="GS3" s="9"/>
      <c r="GT3" s="9"/>
      <c r="GU3" s="9"/>
      <c r="GV3" s="9"/>
      <c r="GW3" s="9"/>
      <c r="GX3" s="9"/>
      <c r="GY3" s="9"/>
      <c r="GZ3" s="9"/>
      <c r="HA3" s="9"/>
      <c r="HB3" s="10"/>
      <c r="HC3" s="100"/>
      <c r="HD3" s="72" t="s">
        <v>16</v>
      </c>
      <c r="HE3" s="72" t="s">
        <v>17</v>
      </c>
      <c r="HF3" s="72" t="s">
        <v>11</v>
      </c>
      <c r="HG3" s="72" t="s">
        <v>18</v>
      </c>
      <c r="HH3" s="72" t="s">
        <v>34</v>
      </c>
      <c r="HI3" s="72" t="s">
        <v>16</v>
      </c>
      <c r="HJ3" s="72" t="s">
        <v>17</v>
      </c>
      <c r="HK3" s="72" t="s">
        <v>11</v>
      </c>
      <c r="HL3" s="72" t="s">
        <v>18</v>
      </c>
      <c r="HM3" s="72" t="s">
        <v>34</v>
      </c>
      <c r="HN3" s="72" t="s">
        <v>16</v>
      </c>
      <c r="HO3" s="72" t="s">
        <v>17</v>
      </c>
      <c r="HP3" s="72" t="s">
        <v>11</v>
      </c>
      <c r="HQ3" s="72" t="s">
        <v>18</v>
      </c>
      <c r="HR3" s="72" t="s">
        <v>34</v>
      </c>
      <c r="HS3" s="72" t="s">
        <v>16</v>
      </c>
      <c r="HT3" s="72" t="s">
        <v>17</v>
      </c>
      <c r="HU3" s="72" t="s">
        <v>11</v>
      </c>
      <c r="HV3" s="72" t="s">
        <v>18</v>
      </c>
      <c r="HW3" s="72" t="s">
        <v>34</v>
      </c>
      <c r="HX3" s="12"/>
      <c r="HY3" s="12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2"/>
      <c r="IK3" s="99"/>
      <c r="IL3" s="73" t="s">
        <v>16</v>
      </c>
      <c r="IM3" s="73" t="s">
        <v>17</v>
      </c>
      <c r="IN3" s="73" t="s">
        <v>11</v>
      </c>
      <c r="IO3" s="73" t="s">
        <v>18</v>
      </c>
      <c r="IP3" s="73" t="s">
        <v>34</v>
      </c>
      <c r="IQ3" s="73" t="s">
        <v>16</v>
      </c>
      <c r="IR3" s="73" t="s">
        <v>17</v>
      </c>
      <c r="IS3" s="73" t="s">
        <v>11</v>
      </c>
      <c r="IT3" s="73" t="s">
        <v>18</v>
      </c>
      <c r="IU3" s="73" t="s">
        <v>34</v>
      </c>
      <c r="IV3" s="73" t="s">
        <v>16</v>
      </c>
      <c r="IW3" s="73" t="s">
        <v>17</v>
      </c>
      <c r="IX3" s="73" t="s">
        <v>11</v>
      </c>
      <c r="IY3" s="73" t="s">
        <v>18</v>
      </c>
      <c r="IZ3" s="73" t="s">
        <v>34</v>
      </c>
      <c r="JA3" s="73" t="s">
        <v>16</v>
      </c>
      <c r="JB3" s="73" t="s">
        <v>17</v>
      </c>
      <c r="JC3" s="73" t="s">
        <v>11</v>
      </c>
      <c r="JD3" s="73" t="s">
        <v>18</v>
      </c>
      <c r="JE3" s="73" t="s">
        <v>34</v>
      </c>
      <c r="JF3" s="10"/>
      <c r="JG3" s="10"/>
      <c r="JH3" s="9"/>
      <c r="JI3" s="9"/>
      <c r="JJ3" s="9"/>
      <c r="JK3" s="9"/>
      <c r="JL3" s="9"/>
      <c r="JM3" s="9"/>
      <c r="JN3" s="9"/>
      <c r="JO3" s="9"/>
      <c r="JP3" s="9"/>
      <c r="JQ3" s="9"/>
      <c r="JR3" s="10"/>
      <c r="JS3" s="100"/>
      <c r="JT3" s="72" t="s">
        <v>16</v>
      </c>
      <c r="JU3" s="72" t="s">
        <v>17</v>
      </c>
      <c r="JV3" s="72" t="s">
        <v>11</v>
      </c>
      <c r="JW3" s="72" t="s">
        <v>18</v>
      </c>
      <c r="JX3" s="72" t="s">
        <v>34</v>
      </c>
      <c r="JY3" s="72" t="s">
        <v>16</v>
      </c>
      <c r="JZ3" s="72" t="s">
        <v>17</v>
      </c>
      <c r="KA3" s="72" t="s">
        <v>11</v>
      </c>
      <c r="KB3" s="72" t="s">
        <v>18</v>
      </c>
      <c r="KC3" s="72" t="s">
        <v>34</v>
      </c>
      <c r="KD3" s="72" t="s">
        <v>16</v>
      </c>
      <c r="KE3" s="72" t="s">
        <v>17</v>
      </c>
      <c r="KF3" s="72" t="s">
        <v>11</v>
      </c>
      <c r="KG3" s="72" t="s">
        <v>18</v>
      </c>
      <c r="KH3" s="72" t="s">
        <v>34</v>
      </c>
      <c r="KI3" s="72" t="s">
        <v>16</v>
      </c>
      <c r="KJ3" s="72" t="s">
        <v>17</v>
      </c>
      <c r="KK3" s="72" t="s">
        <v>11</v>
      </c>
      <c r="KL3" s="72" t="s">
        <v>18</v>
      </c>
      <c r="KM3" s="72" t="s">
        <v>34</v>
      </c>
      <c r="KN3" s="12"/>
      <c r="KO3" s="12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2"/>
      <c r="LA3" s="12"/>
      <c r="LB3" s="73" t="s">
        <v>16</v>
      </c>
      <c r="LC3" s="73" t="s">
        <v>17</v>
      </c>
      <c r="LD3" s="73" t="s">
        <v>11</v>
      </c>
      <c r="LE3" s="73" t="s">
        <v>18</v>
      </c>
      <c r="LF3" s="73" t="s">
        <v>34</v>
      </c>
      <c r="LG3" s="73" t="s">
        <v>16</v>
      </c>
      <c r="LH3" s="73" t="s">
        <v>17</v>
      </c>
      <c r="LI3" s="73" t="s">
        <v>11</v>
      </c>
      <c r="LJ3" s="73" t="s">
        <v>18</v>
      </c>
      <c r="LK3" s="73" t="s">
        <v>34</v>
      </c>
      <c r="LL3" s="73" t="s">
        <v>16</v>
      </c>
      <c r="LM3" s="73" t="s">
        <v>17</v>
      </c>
      <c r="LN3" s="73" t="s">
        <v>11</v>
      </c>
      <c r="LO3" s="73" t="s">
        <v>18</v>
      </c>
      <c r="LP3" s="73" t="s">
        <v>34</v>
      </c>
      <c r="LQ3" s="73" t="s">
        <v>16</v>
      </c>
      <c r="LR3" s="73" t="s">
        <v>17</v>
      </c>
      <c r="LS3" s="73" t="s">
        <v>11</v>
      </c>
      <c r="LT3" s="73" t="s">
        <v>18</v>
      </c>
      <c r="LU3" s="73" t="s">
        <v>34</v>
      </c>
      <c r="LV3" s="10"/>
      <c r="LW3" s="10"/>
      <c r="LX3" s="9"/>
      <c r="LY3" s="9"/>
      <c r="LZ3" s="9"/>
      <c r="MA3" s="9"/>
      <c r="MB3" s="9"/>
      <c r="MC3" s="9"/>
      <c r="MD3" s="9"/>
      <c r="ME3" s="9"/>
      <c r="MF3" s="9"/>
      <c r="MG3" s="9"/>
      <c r="MH3" s="10"/>
      <c r="MI3" s="10"/>
      <c r="MJ3" s="72" t="s">
        <v>16</v>
      </c>
      <c r="MK3" s="72" t="s">
        <v>17</v>
      </c>
      <c r="ML3" s="72" t="s">
        <v>11</v>
      </c>
      <c r="MM3" s="72" t="s">
        <v>18</v>
      </c>
      <c r="MN3" s="72" t="s">
        <v>34</v>
      </c>
      <c r="MO3" s="72" t="s">
        <v>16</v>
      </c>
      <c r="MP3" s="72" t="s">
        <v>17</v>
      </c>
      <c r="MQ3" s="72" t="s">
        <v>11</v>
      </c>
      <c r="MR3" s="72" t="s">
        <v>18</v>
      </c>
      <c r="MS3" s="72" t="s">
        <v>34</v>
      </c>
      <c r="MT3" s="72" t="s">
        <v>16</v>
      </c>
      <c r="MU3" s="72" t="s">
        <v>17</v>
      </c>
      <c r="MV3" s="72" t="s">
        <v>11</v>
      </c>
      <c r="MW3" s="72" t="s">
        <v>18</v>
      </c>
      <c r="MX3" s="72" t="s">
        <v>34</v>
      </c>
      <c r="MY3" s="72" t="s">
        <v>16</v>
      </c>
      <c r="MZ3" s="72" t="s">
        <v>17</v>
      </c>
      <c r="NA3" s="72" t="s">
        <v>11</v>
      </c>
      <c r="NB3" s="72" t="s">
        <v>18</v>
      </c>
      <c r="NC3" s="72" t="s">
        <v>34</v>
      </c>
      <c r="ND3" s="12"/>
      <c r="NE3" s="12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2"/>
      <c r="NQ3" s="12"/>
      <c r="NR3" s="73" t="s">
        <v>16</v>
      </c>
      <c r="NS3" s="73" t="s">
        <v>17</v>
      </c>
      <c r="NT3" s="73" t="s">
        <v>11</v>
      </c>
      <c r="NU3" s="73" t="s">
        <v>18</v>
      </c>
      <c r="NV3" s="73" t="s">
        <v>34</v>
      </c>
      <c r="NW3" s="73" t="s">
        <v>16</v>
      </c>
      <c r="NX3" s="73" t="s">
        <v>17</v>
      </c>
      <c r="NY3" s="73" t="s">
        <v>11</v>
      </c>
      <c r="NZ3" s="73" t="s">
        <v>18</v>
      </c>
      <c r="OA3" s="73" t="s">
        <v>34</v>
      </c>
      <c r="OB3" s="73" t="s">
        <v>16</v>
      </c>
      <c r="OC3" s="73" t="s">
        <v>17</v>
      </c>
      <c r="OD3" s="73" t="s">
        <v>11</v>
      </c>
      <c r="OE3" s="73" t="s">
        <v>18</v>
      </c>
      <c r="OF3" s="73" t="s">
        <v>34</v>
      </c>
      <c r="OG3" s="73" t="s">
        <v>16</v>
      </c>
      <c r="OH3" s="73" t="s">
        <v>17</v>
      </c>
      <c r="OI3" s="73" t="s">
        <v>11</v>
      </c>
      <c r="OJ3" s="73" t="s">
        <v>18</v>
      </c>
      <c r="OK3" s="73" t="s">
        <v>34</v>
      </c>
      <c r="OL3" s="10"/>
      <c r="OM3" s="10"/>
      <c r="ON3" s="9"/>
      <c r="OO3" s="9"/>
      <c r="OP3" s="9"/>
      <c r="OQ3" s="9"/>
      <c r="OR3" s="9"/>
      <c r="OS3" s="9"/>
      <c r="OT3" s="9"/>
      <c r="OU3" s="9"/>
      <c r="OV3" s="9"/>
      <c r="OW3" s="9"/>
      <c r="OX3" s="10"/>
      <c r="OY3" s="10"/>
      <c r="OZ3" s="72" t="s">
        <v>16</v>
      </c>
      <c r="PA3" s="72" t="s">
        <v>17</v>
      </c>
      <c r="PB3" s="72" t="s">
        <v>11</v>
      </c>
      <c r="PC3" s="72" t="s">
        <v>18</v>
      </c>
      <c r="PD3" s="72" t="s">
        <v>34</v>
      </c>
      <c r="PE3" s="72" t="s">
        <v>16</v>
      </c>
      <c r="PF3" s="72" t="s">
        <v>17</v>
      </c>
      <c r="PG3" s="72" t="s">
        <v>11</v>
      </c>
      <c r="PH3" s="72" t="s">
        <v>18</v>
      </c>
      <c r="PI3" s="72" t="s">
        <v>34</v>
      </c>
      <c r="PJ3" s="72" t="s">
        <v>16</v>
      </c>
      <c r="PK3" s="72" t="s">
        <v>17</v>
      </c>
      <c r="PL3" s="72" t="s">
        <v>11</v>
      </c>
      <c r="PM3" s="72" t="s">
        <v>18</v>
      </c>
      <c r="PN3" s="72" t="s">
        <v>34</v>
      </c>
      <c r="PO3" s="72" t="s">
        <v>16</v>
      </c>
      <c r="PP3" s="72" t="s">
        <v>17</v>
      </c>
      <c r="PQ3" s="72" t="s">
        <v>11</v>
      </c>
      <c r="PR3" s="72" t="s">
        <v>18</v>
      </c>
      <c r="PS3" s="72" t="s">
        <v>34</v>
      </c>
      <c r="PT3" s="12"/>
      <c r="PU3" s="12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2"/>
      <c r="QG3" s="12"/>
      <c r="QH3" s="73" t="s">
        <v>16</v>
      </c>
      <c r="QI3" s="73" t="s">
        <v>17</v>
      </c>
      <c r="QJ3" s="73" t="s">
        <v>11</v>
      </c>
      <c r="QK3" s="73" t="s">
        <v>18</v>
      </c>
      <c r="QL3" s="73" t="s">
        <v>34</v>
      </c>
      <c r="QM3" s="73" t="s">
        <v>16</v>
      </c>
      <c r="QN3" s="73" t="s">
        <v>17</v>
      </c>
      <c r="QO3" s="73" t="s">
        <v>11</v>
      </c>
      <c r="QP3" s="73" t="s">
        <v>18</v>
      </c>
      <c r="QQ3" s="73" t="s">
        <v>34</v>
      </c>
      <c r="QR3" s="73" t="s">
        <v>16</v>
      </c>
      <c r="QS3" s="73" t="s">
        <v>17</v>
      </c>
      <c r="QT3" s="73" t="s">
        <v>11</v>
      </c>
      <c r="QU3" s="73" t="s">
        <v>18</v>
      </c>
      <c r="QV3" s="73" t="s">
        <v>34</v>
      </c>
      <c r="QW3" s="73" t="s">
        <v>16</v>
      </c>
      <c r="QX3" s="73" t="s">
        <v>17</v>
      </c>
      <c r="QY3" s="73" t="s">
        <v>11</v>
      </c>
      <c r="QZ3" s="73" t="s">
        <v>18</v>
      </c>
      <c r="RA3" s="73" t="s">
        <v>34</v>
      </c>
      <c r="RB3" s="10"/>
      <c r="RC3" s="10"/>
      <c r="RD3" s="9"/>
      <c r="RE3" s="9"/>
      <c r="RF3" s="9"/>
      <c r="RG3" s="9"/>
      <c r="RH3" s="9"/>
      <c r="RI3" s="9"/>
      <c r="RJ3" s="9"/>
      <c r="RK3" s="9"/>
      <c r="RL3" s="9"/>
      <c r="RM3" s="9"/>
      <c r="RN3" s="10"/>
      <c r="RO3" s="10"/>
      <c r="RP3" s="72" t="s">
        <v>16</v>
      </c>
      <c r="RQ3" s="72" t="s">
        <v>17</v>
      </c>
      <c r="RR3" s="72" t="s">
        <v>11</v>
      </c>
      <c r="RS3" s="72" t="s">
        <v>18</v>
      </c>
      <c r="RT3" s="72" t="s">
        <v>34</v>
      </c>
      <c r="RU3" s="72" t="s">
        <v>16</v>
      </c>
      <c r="RV3" s="72" t="s">
        <v>17</v>
      </c>
      <c r="RW3" s="72" t="s">
        <v>11</v>
      </c>
      <c r="RX3" s="72" t="s">
        <v>18</v>
      </c>
      <c r="RY3" s="72" t="s">
        <v>34</v>
      </c>
      <c r="RZ3" s="72" t="s">
        <v>16</v>
      </c>
      <c r="SA3" s="72" t="s">
        <v>17</v>
      </c>
      <c r="SB3" s="72" t="s">
        <v>11</v>
      </c>
      <c r="SC3" s="72" t="s">
        <v>18</v>
      </c>
      <c r="SD3" s="72" t="s">
        <v>34</v>
      </c>
      <c r="SE3" s="72" t="s">
        <v>16</v>
      </c>
      <c r="SF3" s="72" t="s">
        <v>17</v>
      </c>
      <c r="SG3" s="72" t="s">
        <v>11</v>
      </c>
      <c r="SH3" s="72" t="s">
        <v>18</v>
      </c>
      <c r="SI3" s="72" t="s">
        <v>34</v>
      </c>
      <c r="SJ3" s="12"/>
      <c r="SK3" s="12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2"/>
      <c r="SW3" s="12"/>
      <c r="SX3" s="57" t="s">
        <v>16</v>
      </c>
      <c r="SY3" s="57" t="s">
        <v>17</v>
      </c>
      <c r="SZ3" s="57" t="s">
        <v>11</v>
      </c>
      <c r="TA3" s="57" t="s">
        <v>18</v>
      </c>
      <c r="TB3" s="57" t="s">
        <v>34</v>
      </c>
      <c r="TC3" s="62" t="s">
        <v>16</v>
      </c>
      <c r="TD3" s="62" t="s">
        <v>17</v>
      </c>
      <c r="TE3" s="62" t="s">
        <v>11</v>
      </c>
      <c r="TF3" s="62" t="s">
        <v>18</v>
      </c>
      <c r="TG3" s="62" t="s">
        <v>34</v>
      </c>
      <c r="TH3" s="57" t="s">
        <v>16</v>
      </c>
      <c r="TI3" s="57" t="s">
        <v>17</v>
      </c>
      <c r="TJ3" s="57" t="s">
        <v>11</v>
      </c>
      <c r="TK3" s="57" t="s">
        <v>18</v>
      </c>
      <c r="TL3" s="57" t="s">
        <v>34</v>
      </c>
      <c r="TM3" s="57" t="s">
        <v>60</v>
      </c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</row>
    <row r="4" spans="1:544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>SUM(J4:V4)+SUM(J4:T4)*0.0000001+SUM(J4)*0.0000000000001</f>
        <v>266.55502665550586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Z4&gt;=EM$25,DZ4&lt;&gt;"",EB4&gt;=EM$29,EB4&lt;&gt;""),AND(EC4&gt;=EM$25,EC4&lt;&gt;"",EE4&gt;=EM$29,EE4&lt;&gt;""),AND(EG4&gt;=EM$25,EG4&lt;&gt;"",EI4&gt;=EM$29,EI4&lt;&gt;""),AND(EJ4&gt;=EM$25,EJ4&lt;&gt;"",EL4&gt;=EM$29,EL4&lt;&gt;""),AND(FH4&gt;=FU$25,FH4&lt;&gt;"",FJ4&gt;=FU$29,FJ4&lt;&gt;""),AND(FK4&gt;=FU$25,FK4&lt;&gt;"",FM4&gt;=FU$29,FM4&lt;&gt;""),AND(FO4&gt;=FU$25,FO4&lt;&gt;"",FQ4&gt;=FU$29,FQ4&lt;&gt;""),AND(FR4&gt;=FU$25,FR4&lt;&gt;"",FT4&gt;=FU$29,FT4&lt;&gt;""),AND(GP4&gt;=HC$25,GP4&lt;&gt;"",GR4&gt;=HC$29,GR4&lt;&gt;""),AND(GS4&gt;=HC$25,GS4&lt;&gt;"",GU4&gt;=HC$29,GU4&lt;&gt;""),AND(GW4&gt;=HC$25,GW4&lt;&gt;"",GY4&gt;=HC$29,GY4&lt;&gt;""),AND(GZ4&gt;=HC$25,GZ4&lt;&gt;"",HB4&gt;=HC$29,HB4&lt;&gt;""),AND(HX4&gt;=IK$25,HX4&lt;&gt;"",HZ4&gt;=IK$29,HZ4&lt;&gt;""),AND(IA4&gt;=IK$25,IA4&lt;&gt;"",IC4&gt;=IK$29,IC4&lt;&gt;""),AND(IE4&gt;=IK$25,IE4&lt;&gt;"",IG4&gt;=IK$29,IG4&lt;&gt;""),AND(IH4&gt;=IK$25,IH4&lt;&gt;"",IJ4&gt;=IK$29,IJ4&lt;&gt;""),AND(JF4&gt;=JS$25,JF4&lt;&gt;"",JH4&gt;=JS$29,JH4&lt;&gt;""),AND(JI4&gt;=JS$25,JI4&lt;&gt;"",JK4&gt;=JS$29,JK4&lt;&gt;""),AND(JM4&gt;=JS$25,JM4&lt;&gt;"",JO4&gt;=JS$29,JO4&lt;&gt;""),AND(JP4&gt;=JS$25,JP4&lt;&gt;"",JR4&gt;=JS$29,JR4&lt;&gt;""),AND(KN4&gt;=LA$25,KN4&lt;&gt;"",KP4&gt;=LA$29,KP4&lt;&gt;""),AND(KQ4&gt;=LA$25,KQ4&lt;&gt;"",KS4&gt;=LA$29,KS4&lt;&gt;""),AND(KU4&gt;=LA$25,KU4&lt;&gt;"",KW4&gt;=LA$29,KW4&lt;&gt;""),AND(KX4&gt;=LA$25,KX4&lt;&gt;"",KZ4&gt;=LA$29,KZ4&lt;&gt;""),AND(LV4&gt;=MI$25,LV4&lt;&gt;"",LX4&gt;=MI$29,LX4&lt;&gt;""),AND(LY4&gt;=MI$25,LY4&lt;&gt;"",MA4&gt;=MI$29,MA4&lt;&gt;""),AND(MC4&gt;=MI$25,MC4&lt;&gt;"",ME4&gt;=MI$29,ME4&lt;&gt;""),AND(MF4&gt;=MI$25,MF4&lt;&gt;"",MH4&gt;=MI$29,MH4&lt;&gt;""),AND(ND4&gt;=NQ$25,ND4&lt;&gt;"",NF4&gt;=NQ$29,NF4&lt;&gt;""),AND(NG4&gt;=NQ$25,NG4&lt;&gt;"",NI4&gt;=NQ$29,NI4&lt;&gt;""),AND(NK4&gt;=NQ$25,NK4&lt;&gt;"",NM4&gt;=NQ$29,NM4&lt;&gt;""),AND(NN4&gt;=NQ$25,NN4&lt;&gt;"",NP4&gt;=NQ$29,NP4&lt;&gt;""),AND(OL4&gt;=OY$25,OL4&lt;&gt;"",ON4&gt;=OY$29,ON4&lt;&gt;""),AND(OO4&gt;=OY$25,OO4&lt;&gt;"",OQ4&gt;=OY$29,OQ4&lt;&gt;""),AND(OS4&gt;=OY$25,OS4&lt;&gt;"",OU4&gt;=OY$29,OU4&lt;&gt;""),AND(OV4&gt;=OY$25,OV4&lt;&gt;"",OX4&gt;=OY$29,OX4&lt;&gt;""),AND(PT4&gt;=QG$25,PT4&lt;&gt;"",PV4&gt;=QG$29,PV4&lt;&gt;""),AND(PW4&gt;=QG$25,PW4&lt;&gt;"",PY4&gt;=QG$29,PY4&lt;&gt;""),AND(QA4&gt;=QG$25,QA4&lt;&gt;"",QC4&gt;=QG$29,QC4&lt;&gt;""),AND(QD4&gt;=QG$25,QD4&lt;&gt;"",QF4&gt;=QG$29,QF4&lt;&gt;""),AND(RB4&gt;=RO$25,RB4&lt;&gt;"",RD4&gt;=RO$29,RD4&lt;&gt;""),AND(RE4&gt;=RO$25,RE4&lt;&gt;"",RG4&gt;=RO$29,RG4&lt;&gt;""),AND(RI4&gt;=RO$25,RI4&lt;&gt;"",RK4&gt;=RO$29,RK4&lt;&gt;""),AND(RL4&gt;=RO$25,RL4&lt;&gt;"",RN4&gt;=RO$29,RN4&lt;&gt;""),AND(SJ4&gt;=SW$25,SJ4&lt;&gt;"",SL4&gt;=SW$29,SL4&lt;&gt;""),AND(SM4&gt;=SW$25,SM4&lt;&gt;"",SO4&gt;=SW$29,SO4&lt;&gt;""),AND(SQ4&gt;=SW$25,SQ4&lt;&gt;"",SS4&gt;=SW$29,SS4&lt;&gt;""),AND(ST4&gt;=SW$25,ST4&lt;&gt;"",SV4&gt;=SW$29,SV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EB4&gt;=EM$29,EB4&lt;&gt;""),AND(EE4&gt;=EM$29,EE4&lt;&gt;""),AND(EI4&gt;=EM$29,EI4&lt;&gt;""),AND(EL4&gt;=EM$29,EL4&lt;&gt;""),AND(FJ4&gt;=FU$29,FJ4&lt;&gt;""),AND(FM4&gt;=FU$29,FM4&lt;&gt;""),AND(FQ4&gt;=FU$29,FQ4&lt;&gt;""),AND(FT4&gt;=FU$29,FT4&lt;&gt;""),AND(GR4&gt;=HC$29,GR4&lt;&gt;""),AND(GU4&gt;=HC$29,GU4&lt;&gt;""),AND(GY4&gt;=HC$29,GY4&lt;&gt;""),AND(HB4&gt;=HC$29,HB4&lt;&gt;""),AND(HZ4&gt;=IK$29,HZ4&lt;&gt;""),AND(IC4&gt;=IK$29,IC4&lt;&gt;""),AND(IG4&gt;=IK$29,IG4&lt;&gt;""),AND(IJ4&gt;=IK$29,IJ4&lt;&gt;""),AND(JH4&gt;=JS$29,JH4&lt;&gt;""),AND(JK4&gt;=JS$29,JK4&lt;&gt;""),AND(JO4&gt;=JS$29,JO4&lt;&gt;""),AND(JR4&gt;=JS$29,JR4&lt;&gt;""),AND(KP4&gt;=LA$29,KP4&lt;&gt;""),AND(KS4&gt;=LA$29,KS4&lt;&gt;""),AND(KW4&gt;=LA$29,KW4&lt;&gt;""),AND(KZ4&gt;=LA$29,KZ4&lt;&gt;""),AND(LX4&gt;=MI$29,LX4&lt;&gt;""),AND(MA4&gt;=MI$29,MA4&lt;&gt;""),AND(ME4&gt;=MI$29,ME4&lt;&gt;""),AND(MH4&gt;=MI$29,MH4&lt;&gt;""),AND(NF4&gt;=NQ$29,NF4&lt;&gt;""),AND(NI4&gt;=NQ$29,NI4&lt;&gt;""),AND(NM4&gt;=NQ$29,NM4&lt;&gt;""),AND(NP4&gt;=NQ$29,NP4&lt;&gt;""),AND(ON4&gt;=OY$29,ON4&lt;&gt;""),AND(OQ4&gt;=OY$29,OQ4&lt;&gt;""),AND(OU4&gt;=OY$29,OU4&lt;&gt;""),AND(OX4&gt;=OY$29,OX4&lt;&gt;""),AND(PV4&gt;=QG$29,PV4&lt;&gt;""),AND(PY4&gt;=QG$29,PY4&lt;&gt;""),AND(QC4&gt;=QG$29,QC4&lt;&gt;""),AND(QF4&gt;=QG$29,QF4&lt;&gt;""),AND(RD4&gt;=RO$29,RD4&lt;&gt;""),AND(RG4&gt;=RO$29,RG4&lt;&gt;""),AND(RK4&gt;=RO$29,RK4&lt;&gt;""),AND(RN4&gt;=RO$29,RN4&lt;&gt;""),AND(SL4&gt;=SW$29,SL4&lt;&gt;""),AND(SO4&gt;=SW$29,SO4&lt;&gt;""),AND(SS4&gt;=SW$29,SS4&lt;&gt;""),AND(SV4&gt;=SW$29,SV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Z4&gt;=EM$28,DZ4&lt;&gt;"",EB4&gt;=EM$32,EB4&lt;&gt;""),AND(EC4&gt;=EM$28,EC4&lt;&gt;"",EE4&gt;=EM$32,EE4&lt;&gt;""),AND(EG4&gt;=EM$28,EG4&lt;&gt;"",EI4&gt;=EM$32,EI4&lt;&gt;""),AND(EJ4&gt;=EM$28,EJ4&lt;&gt;"",EL4&gt;=EM$32,EL4&lt;&gt;""),AND(FH4&gt;=FU$28,FH4&lt;&gt;"",FJ4&gt;=FU$32,FJ4&lt;&gt;""),AND(FK4&gt;=FU$28,FK4&lt;&gt;"",FM4&gt;=FU$32,FM4&lt;&gt;""),AND(FO4&gt;=FU$28,FO4&lt;&gt;"",FQ4&gt;=FU$32,FQ4&lt;&gt;""),AND(FR4&gt;=FU$28,FR4&lt;&gt;"",FT4&gt;=FU$32,FT4&lt;&gt;""),AND(GP4&gt;=HC$28,GP4&lt;&gt;"",GR4&gt;=HC$32,GR4&lt;&gt;""),AND(GS4&gt;=HC$28,GS4&lt;&gt;"",GU4&gt;=HC$32,GU4&lt;&gt;""),AND(GW4&gt;=HC$28,GW4&lt;&gt;"",GY4&gt;=HC$32,GY4&lt;&gt;""),AND(GZ4&gt;=HC$28,GZ4&lt;&gt;"",HB4&gt;=HC$32,HB4&lt;&gt;""),AND(HX4&gt;=IK$28,HX4&lt;&gt;"",HZ4&gt;=IK$32,HZ4&lt;&gt;""),AND(IA4&gt;=IK$28,IA4&lt;&gt;"",IC4&gt;=IK$32,IC4&lt;&gt;""),AND(IE4&gt;=IK$28,IE4&lt;&gt;"",IG4&gt;=IK$32,IG4&lt;&gt;""),AND(IH4&gt;=IK$28,IH4&lt;&gt;"",IJ4&gt;=IK$32,IJ4&lt;&gt;""),AND(JF4&gt;=JS$28,JF4&lt;&gt;"",JH4&gt;=JS$32,JH4&lt;&gt;""),AND(JI4&gt;=JS$28,JI4&lt;&gt;"",JK4&gt;=JS$32,JK4&lt;&gt;""),AND(JM4&gt;=JS$28,JM4&lt;&gt;"",JO4&gt;=JS$32,JO4&lt;&gt;""),AND(JP4&gt;=JS$28,JP4&lt;&gt;"",JR4&gt;=JS$32,JR4&lt;&gt;""),AND(KN4&gt;=LA$28,KN4&lt;&gt;"",KP4&gt;=LA$32,KP4&lt;&gt;""),AND(KQ4&gt;=LA$28,KQ4&lt;&gt;"",KS4&gt;=LA$32,KS4&lt;&gt;""),AND(KU4&gt;=LA$28,KU4&lt;&gt;"",KW4&gt;=LA$32,KW4&lt;&gt;""),AND(KX4&gt;=LA$28,KX4&lt;&gt;"",KZ4&gt;=LA$32,KZ4&lt;&gt;""),AND(LV4&gt;=MI$28,LV4&lt;&gt;"",LX4&gt;=MI$32,LX4&lt;&gt;""),AND(LY4&gt;=MI$28,LY4&lt;&gt;"",MA4&gt;=MI$32,MA4&lt;&gt;""),AND(MC4&gt;=MI$28,MC4&lt;&gt;"",ME4&gt;=MI$32,ME4&lt;&gt;""),AND(MF4&gt;=MI$28,MF4&lt;&gt;"",MH4&gt;=MI$32,MH4&lt;&gt;""),AND(ND4&gt;=NQ$28,ND4&lt;&gt;"",NF4&gt;=NQ$32,NF4&lt;&gt;""),AND(NG4&gt;=NQ$28,NG4&lt;&gt;"",NI4&gt;=NQ$32,NI4&lt;&gt;""),AND(NK4&gt;=NQ$28,NK4&lt;&gt;"",NM4&gt;=NQ$32,NM4&lt;&gt;""),AND(NN4&gt;=NQ$28,NN4&lt;&gt;"",NP4&gt;=NQ$32,NP4&lt;&gt;""),AND(OL4&gt;=OY$28,OL4&lt;&gt;"",ON4&gt;=OY$32,ON4&lt;&gt;""),AND(OO4&gt;=OY$28,OO4&lt;&gt;"",OQ4&gt;=OY$32,OQ4&lt;&gt;""),AND(OS4&gt;=OY$28,OS4&lt;&gt;"",OU4&gt;=OY$32,OU4&lt;&gt;""),AND(OV4&gt;=OY$28,OV4&lt;&gt;"",OX4&gt;=OY$32,OX4&lt;&gt;""),AND(PT4&gt;=QG$28,PT4&lt;&gt;"",PV4&gt;=QG$32,PV4&lt;&gt;""),AND(PW4&gt;=QG$28,PW4&lt;&gt;"",PY4&gt;=QG$32,PY4&lt;&gt;""),AND(QA4&gt;=QG$28,QA4&lt;&gt;"",QC4&gt;=QG$32,QC4&lt;&gt;""),AND(QD4&gt;=QG$28,QD4&lt;&gt;"",QF4&gt;=QG$32,QF4&lt;&gt;""),AND(RB4&gt;=RO$28,RB4&lt;&gt;"",RD4&gt;=RO$32,RD4&lt;&gt;""),AND(RE4&gt;=RO$28,RE4&lt;&gt;"",RG4&gt;=RO$32,RG4&lt;&gt;""),AND(RI4&gt;=RO$28,RI4&lt;&gt;"",RK4&gt;=RO$32,RK4&lt;&gt;""),AND(RL4&gt;=RO$28,RL4&lt;&gt;"",RN4&gt;=RO$32,RN4&lt;&gt;""),AND(SJ4&gt;=SW$28,SJ4&lt;&gt;"",SL4&gt;=SW$32,SL4&lt;&gt;""),AND(SM4&gt;=SW$28,SM4&lt;&gt;"",SO4&gt;=SW$32,SO4&lt;&gt;""),AND(SQ4&gt;=SW$28,SQ4&lt;&gt;"",SS4&gt;=SW$32,SS4&lt;&gt;""),AND(ST4&gt;=SW$28,ST4&lt;&gt;"",SV4&gt;=SW$32,SV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Z4&gt;=EM$27,DZ4&lt;&gt;"",EB4&gt;=EM$31,EB4&lt;&gt;""),AND(EC4&gt;=EM$27,EC4&lt;&gt;"",EE4&gt;=EM$31,EE4&lt;&gt;""),AND(EG4&gt;=EM$27,EG4&lt;&gt;"",EI4&gt;=EM$31,EI4&lt;&gt;""),AND(EJ4&gt;=EM$27,EJ4&lt;&gt;"",EL4&gt;=EM$31,EL4&lt;&gt;""),AND(FH4&gt;=FU$27,FH4&lt;&gt;"",FJ4&gt;=FU$31,FJ4&lt;&gt;""),AND(FK4&gt;=FU$27,FK4&lt;&gt;"",FM4&gt;=FU$31,FM4&lt;&gt;""),AND(FO4&gt;=FU$27,FO4&lt;&gt;"",FQ4&gt;=FU$31,FQ4&lt;&gt;""),AND(FR4&gt;=FU$27,FR4&lt;&gt;"",FT4&gt;=FU$31,FT4&lt;&gt;""),AND(GP4&gt;=HC$27,GP4&lt;&gt;"",GR4&gt;=HC$31,GR4&lt;&gt;""),AND(GS4&gt;=HC$27,GS4&lt;&gt;"",GU4&gt;=HC$31,GU4&lt;&gt;""),AND(GW4&gt;=HC$27,GW4&lt;&gt;"",GY4&gt;=HC$31,GY4&lt;&gt;""),AND(GZ4&gt;=HC$27,GZ4&lt;&gt;"",HB4&gt;=HC$31,HB4&lt;&gt;""),AND(HX4&gt;=IK$27,HX4&lt;&gt;"",HZ4&gt;=IK$31,HZ4&lt;&gt;""),AND(IA4&gt;=IK$27,IA4&lt;&gt;"",IC4&gt;=IK$31,IC4&lt;&gt;""),AND(IE4&gt;=IK$27,IE4&lt;&gt;"",IG4&gt;=IK$31,IG4&lt;&gt;""),AND(IH4&gt;=IK$27,IH4&lt;&gt;"",IJ4&gt;=IK$31,IJ4&lt;&gt;""),AND(JF4&gt;=JS$27,JF4&lt;&gt;"",JH4&gt;=JS$31,JH4&lt;&gt;""),AND(JI4&gt;=JS$27,JI4&lt;&gt;"",JK4&gt;=JS$31,JK4&lt;&gt;""),AND(JM4&gt;=JS$27,JM4&lt;&gt;"",JO4&gt;=JS$31,JO4&lt;&gt;""),AND(JP4&gt;=JS$27,JP4&lt;&gt;"",JR4&gt;=JS$31,JR4&lt;&gt;""),AND(KN4&gt;=LA$27,KN4&lt;&gt;"",KP4&gt;=LA$31,KP4&lt;&gt;""),AND(KQ4&gt;=LA$27,KQ4&lt;&gt;"",KS4&gt;=LA$31,KS4&lt;&gt;""),AND(KU4&gt;=LA$27,KU4&lt;&gt;"",KW4&gt;=LA$31,KW4&lt;&gt;""),AND(KX4&gt;=LA$27,KX4&lt;&gt;"",KZ4&gt;=LA$31,KZ4&lt;&gt;""),AND(LV4&gt;=MI$27,LV4&lt;&gt;"",LX4&gt;=MI$31,LX4&lt;&gt;""),AND(LY4&gt;=MI$27,LY4&lt;&gt;"",MA4&gt;=MI$31,MA4&lt;&gt;""),AND(MC4&gt;=MI$27,MC4&lt;&gt;"",ME4&gt;=MI$31,ME4&lt;&gt;""),AND(MF4&gt;=MI$27,MF4&lt;&gt;"",MH4&gt;=MI$31,MH4&lt;&gt;""),AND(ND4&gt;=NQ$27,ND4&lt;&gt;"",NF4&gt;=NQ$31,NF4&lt;&gt;""),AND(NG4&gt;=NQ$27,NG4&lt;&gt;"",NI4&gt;=NQ$31,NI4&lt;&gt;""),AND(NK4&gt;=NQ$27,NK4&lt;&gt;"",NM4&gt;=NQ$31,NM4&lt;&gt;""),AND(NN4&gt;=NQ$27,NN4&lt;&gt;"",NP4&gt;=NQ$31,NP4&lt;&gt;""),AND(OL4&gt;=OY$27,OL4&lt;&gt;"",ON4&gt;=OY$31,ON4&lt;&gt;""),AND(OO4&gt;=OY$27,OO4&lt;&gt;"",OQ4&gt;=OY$31,OQ4&lt;&gt;""),AND(OS4&gt;=OY$27,OS4&lt;&gt;"",OU4&gt;=OY$31,OU4&lt;&gt;""),AND(OV4&gt;=OY$27,OV4&lt;&gt;"",OX4&gt;=OY$31,OX4&lt;&gt;""),AND(PT4&gt;=QG$27,PT4&lt;&gt;"",PV4&gt;=QG$31,PV4&lt;&gt;""),AND(PW4&gt;=QG$27,PW4&lt;&gt;"",PY4&gt;=QG$31,PY4&lt;&gt;""),AND(QA4&gt;=QG$27,QA4&lt;&gt;"",QC4&gt;=QG$31,QC4&lt;&gt;""),AND(QD4&gt;=QG$27,QD4&lt;&gt;"",QF4&gt;=QG$31,QF4&lt;&gt;""),AND(RB4&gt;=RO$27,RB4&lt;&gt;"",RD4&gt;=RO$31,RD4&lt;&gt;""),AND(RE4&gt;=RO$27,RE4&lt;&gt;"",RG4&gt;=RO$31,RG4&lt;&gt;""),AND(RI4&gt;=RO$27,RI4&lt;&gt;"",RK4&gt;=RO$31,RK4&lt;&gt;""),AND(RL4&gt;=RO$27,RL4&lt;&gt;"",RN4&gt;=RO$31,RN4&lt;&gt;""),AND(SJ4&gt;=SW$27,SJ4&lt;&gt;"",SL4&gt;=SW$31,SL4&lt;&gt;""),AND(SM4&gt;=SW$27,SM4&lt;&gt;"",SO4&gt;=SW$31,SO4&lt;&gt;""),AND(SQ4&gt;=SW$27,SQ4&lt;&gt;"",SS4&gt;=SW$31,SS4&lt;&gt;""),AND(ST4&gt;=SW$27,ST4&lt;&gt;"",SV4&gt;=SW$31,SV4&lt;&gt;"")),"Excellence",IF(I4="P","Worlds Team",IF(F4="P","National Team","")))))</f>
        <v>Excellence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Z4&gt;=EM$26,DZ4&lt;&gt;"",EB4&gt;=EM$30,EB4&lt;&gt;""),AND(EC4&gt;=EM$26,EC4&lt;&gt;"",EE4&gt;=EM$30,EE4&lt;&gt;""),AND(EG4&gt;=EM$26,EG4&lt;&gt;"",EI4&gt;=EM$30,EI4&lt;&gt;""),AND(EJ4&gt;=EM$26,EJ4&lt;&gt;"",EL4&gt;=EM$30,EL4&lt;&gt;""),AND(FH4&gt;=FU$26,FH4&lt;&gt;"",FJ4&gt;=FU$30,FJ4&lt;&gt;""),AND(FK4&gt;=FU$26,FK4&lt;&gt;"",FM4&gt;=FU$30,FM4&lt;&gt;""),AND(FO4&gt;=FU$26,FO4&lt;&gt;"",FQ4&gt;=FU$30,FQ4&lt;&gt;""),AND(FR4&gt;=FU$26,FR4&lt;&gt;"",FT4&gt;=FU$30,FT4&lt;&gt;""),AND(GP4&gt;=HC$26,GP4&lt;&gt;"",GR4&gt;=HC$30,GR4&lt;&gt;""),AND(GS4&gt;=HC$26,GS4&lt;&gt;"",GU4&gt;=HC$30,GU4&lt;&gt;""),AND(GW4&gt;=HC$26,GW4&lt;&gt;"",GY4&gt;=HC$30,GY4&lt;&gt;""),AND(GZ4&gt;=HC$26,GZ4&lt;&gt;"",HB4&gt;=HC$30,HB4&lt;&gt;""),AND(HX4&gt;=IK$26,HX4&lt;&gt;"",HZ4&gt;=IK$30,HZ4&lt;&gt;""),AND(IA4&gt;=IK$26,IA4&lt;&gt;"",IC4&gt;=IK$30,IC4&lt;&gt;""),AND(IE4&gt;=IK$26,IE4&lt;&gt;"",IG4&gt;=IK$30,IG4&lt;&gt;""),AND(IH4&gt;=IK$26,IH4&lt;&gt;"",IJ4&gt;=IK$30,IJ4&lt;&gt;""),AND(JF4&gt;=JS$26,JF4&lt;&gt;"",JH4&gt;=JS$30,JH4&lt;&gt;""),AND(JI4&gt;=JS$26,JI4&lt;&gt;"",JK4&gt;=JS$30,JK4&lt;&gt;""),AND(JM4&gt;=JS$26,JM4&lt;&gt;"",JO4&gt;=JS$30,JO4&lt;&gt;""),AND(JP4&gt;=JS$26,JP4&lt;&gt;"",JR4&gt;=JS$30,JR4&lt;&gt;""),AND(KN4&gt;=LA$26,KN4&lt;&gt;"",KP4&gt;=LA$30,KP4&lt;&gt;""),AND(KQ4&gt;=LA$26,KQ4&lt;&gt;"",KS4&gt;=LA$30,KS4&lt;&gt;""),AND(KU4&gt;=LA$26,KU4&lt;&gt;"",KW4&gt;=LA$30,KW4&lt;&gt;""),AND(KX4&gt;=LA$26,KX4&lt;&gt;"",KZ4&gt;=LA$30,KZ4&lt;&gt;""),AND(LV4&gt;=MI$26,LV4&lt;&gt;"",LX4&gt;=MI$30,LX4&lt;&gt;""),AND(LY4&gt;=MI$26,LY4&lt;&gt;"",MA4&gt;=MI$30,MA4&lt;&gt;""),AND(MC4&gt;=MI$26,MC4&lt;&gt;"",ME4&gt;=MI$30,ME4&lt;&gt;""),AND(MF4&gt;=MI$26,MF4&lt;&gt;"",MH4&gt;=MI$30,MH4&lt;&gt;""),AND(ND4&gt;=NQ$26,ND4&lt;&gt;"",NF4&gt;=NQ$30,NF4&lt;&gt;""),AND(NG4&gt;=NQ$26,NG4&lt;&gt;"",NI4&gt;=NQ$30,NI4&lt;&gt;""),AND(NK4&gt;=NQ$26,NK4&lt;&gt;"",NM4&gt;=NQ$30,NM4&lt;&gt;""),AND(NN4&gt;=NQ$26,NN4&lt;&gt;"",NP4&gt;=NQ$30,NP4&lt;&gt;""),AND(OL4&gt;=OY$26,OL4&lt;&gt;"",ON4&gt;=OY$30,ON4&lt;&gt;""),AND(OO4&gt;=OY$26,OO4&lt;&gt;"",OQ4&gt;=OY$30,OQ4&lt;&gt;""),AND(OS4&gt;=OY$26,OS4&lt;&gt;"",OU4&gt;=OY$30,OU4&lt;&gt;""),AND(OV4&gt;=OY$26,OV4&lt;&gt;"",OX4&gt;=OY$30,OX4&lt;&gt;""),AND(PT4&gt;=QG$26,PT4&lt;&gt;"",PV4&gt;=QG$30,PV4&lt;&gt;""),AND(PW4&gt;=QG$26,PW4&lt;&gt;"",PY4&gt;=QG$30,PY4&lt;&gt;""),AND(QA4&gt;=QG$26,QA4&lt;&gt;"",QC4&gt;=QG$30,QC4&lt;&gt;""),AND(QD4&gt;=QG$26,QD4&lt;&gt;"",QF4&gt;=QG$30,QF4&lt;&gt;""),AND(RB4&gt;=RO$26,RB4&lt;&gt;"",RD4&gt;=RO$30,RD4&lt;&gt;""),AND(RE4&gt;=RO$26,RE4&lt;&gt;"",RG4&gt;=RO$30,RG4&lt;&gt;""),AND(RI4&gt;=RO$26,RI4&lt;&gt;"",RK4&gt;=RO$30,RK4&lt;&gt;""),AND(RL4&gt;=RO$26,RL4&lt;&gt;"",RN4&gt;=RO$30,RN4&lt;&gt;""),AND(SJ4&gt;=SW$26,SJ4&lt;&gt;"",SL4&gt;=SW$30,SL4&lt;&gt;""),AND(SM4&gt;=SW$26,SM4&lt;&gt;"",SO4&gt;=SW$30,SO4&lt;&gt;""),AND(SQ4&gt;=SW$26,SQ4&lt;&gt;"",SS4&gt;=SW$30,SS4&lt;&gt;""),AND(ST4&gt;=SW$26,ST4&lt;&gt;"",SV4&gt;=SW$30,SV4&lt;&gt;"")),"P","")</f>
        <v>P</v>
      </c>
      <c r="J4" s="13">
        <f>IF(COUNT(AQ4,AT4,BR4,BU4,CS4,CV4)&gt;0,LARGE((AQ4,AT4,BR4,BU4,CS4,CV4),1),0)</f>
        <v>58.6</v>
      </c>
      <c r="K4" s="13" t="str">
        <f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58.885000000000005</v>
      </c>
      <c r="Q4" s="13" t="str">
        <f>IF(P4="","",IF(P4=CZ4,$CA$1,IF(P4=BY4,$AZ$1,IF(P4=AX4,$Y$1,""))))</f>
        <v>2021 Canadian Championships</v>
      </c>
      <c r="R4" s="13">
        <f>IF(MAX(AO4,AR4,AV4,BP4,BS4,BW4,CQ4,CT4,CX4)&gt;0,MAX(AO4,AR4,BP4,BS4,CQ4,CT4,AV4),0)</f>
        <v>15.6</v>
      </c>
      <c r="S4" s="13" t="str">
        <f>IF(R4=0,"",IF(OR(R4=CQ4,R4=CT4,R4=CX4),$CA$1,IF(OR(R4=BP4,R4=BS4,R4=BW4),$AZ$1,IF(OR(R4=AO4,R4=AR4,R4=AV4),$Y$1,""))))</f>
        <v>2022 Elite Canada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),0)</f>
        <v>17.399999999999999</v>
      </c>
      <c r="U4" s="13" t="str">
        <f>IF(T4=0,"",IF(OR(T4=CR4,T4=CU4,T4=CY4),$CA$1,IF(OR(T4=BQ4,T4=BT4,T4=BX4),$AZ$1,IF(OR(T4=AP4,T4=AS4,T4=AW4),$Y$1,""))))</f>
        <v>2021 Elite Canada</v>
      </c>
      <c r="V4" s="13" t="str">
        <f>IF(MAX(DB4,DC4,DD4,DE4)&gt;0,MAX(DB4,DC4,DD4,DE4),"")</f>
        <v/>
      </c>
      <c r="W4" s="16" t="str">
        <f>IF(V4="","",IF(V4=DB4,"("&amp;DB$2&amp;")",IF(V4=DC4,"("&amp;DC$2&amp;")",IF(V4=DD4,"("&amp;DD$2&amp;")",IF(V4=DE4,"("&amp;DE$2&amp;")")))))</f>
        <v/>
      </c>
      <c r="X4" s="13" t="str">
        <f>IF(V4="","",IF(V4=DB4,IF(V4+IF(L4="",0,L4)=SP4,$RP$1,IF(V4+IF(L4="",0,L4)=RH4,$QH$1,IF(V4+IF(L4="",0,L4)=PZ4,$OZ$1,IF(V4+IF(L4="",0,L4)=OR4,$NR$1,IF(V4+IF(L4="",0,L4)=NJ4,$MJ$1,IF(V4+IF(L4="",0,L4)=MB4,$LB$1,IF(V4+IF(L4="",0,L4)=KT4,$JT$1,IF(V4+IF(L4="",0,L4)=JL4,$IL$1,IF(V4+IF(L4="",0,L4)=ID4,$HD$1,IF(V4+IF(L4="",0,L4)=GV4,$FV$1,IF(V4+IF(L4="",0,L4)=FN4,$EN$1,IF(V4+IF(L4="",0,L4)=EF4,$DF$1)))))))))))),IF(V4=DC4,IF(V4+IF(P4="",0,P4)=SV4,$RP$1,IF(V4+IF(P4="",0,P4)=RN4,$QH$1,IF(V4+IF(P4="",0,P4)=QF4,$OZ$1,IF(V4+IF(P4="",0,P4)=OX4,$NR$1,IF(V4+IF(P4="",0,P4)=NP4,$MJ$1,IF(V4+IF(P4="",0,P4)=MH4,$LB$1,IF(V4+IF(P4="",0,P4)=KZ4,$JT$1,IF(V4+IF(P4="",0,P4)=JR4,$IL$1,IF(V4+IF(P4="",0,P4)=IJ4,$HD$1,IF(V4+IF(P4="",0,P4)=HB4,$FV$1,IF(V4+IF(P4="",0,P4)=FT4,$EN$1,IF(V4+IF(P4="",0,P4)=EL4,$DF$1)))))))))))),IF(V4=DD4,IF(V4+IF(R4="",0,R4)=MAX(SJ4,SM4,SQ4,ST4),$RP$1,IF(V4+IF(R4="",0,R4)=MAX(RB4,RE4,RI4,RL4),$QH$1,IF(V4+IF(R4="",0,R4)=MAX(PT4,PW4,QA4,QD4),$OZ$1,IF(V4+IF(R4="",0,R4)=MAX(OL4,OO4,OS4,OV4),$NR$1,IF(V4+IF(R4="",0,R4)=MAX(ND4,NG4,NK4,NN4),$MJ$1,IF(V4+IF(R4="",0,R4)=MAX(LV4,LY4,MC4,MF4),$LB$1,IF(V4+IF(R4="",0,R4)=MAX(KN4,KQ4,KU4,KX4),$JT$1,IF(V4+IF(R4="",0,R4)=MAX(JF4,JI4,JM4,JP4),$IL$1,IF(V4+IF(R4="",0,R4)=MAX(HX4,IA4,IE4,IH4),$HD$1,IF(V4+IF(R4="",0,R4)=MAX(GP4,GS4,GW4,GZ4),$FV$1,IF(V4+IF(R4="",0,R4)=MAX(FH4,FK4,FO4,FR4),$EN$1,IF(V4+IF(R4="",0,R4)=MAX(DZ4,EC4,EG4,EJ4),$DF$1)))))))))))),IF(V4=DE4,IF(V4+IF(T4="",0,T4)=MAX(SK4,SN4,SR4,SU4),$RP$1,IF(V4+IF(T4="",0,T4)=MAX(RC4,RF4,RJ4,RM4),$QH$1,IF(V4+IF(T4="",0,T4)=MAX(PU4,PX4,QB4,QE4),$OZ$1,IF(V4+IF(T4="",0,T4)=MAX(OM4,OP4,OT4,OW4),$NR$1,IF(V4+IF(T4="",0,T4)=MAX(NE4,NH4,NL4,NO4),$MJ$1,IF(V4+IF(T4="",0,T4)=MAX(LW4,LZ4,MD4,MG4),$LB$1,IF(V4+IF(T4="",0,T4)=MAX(KO4,KR4,KV4,KY4),$JT$1,IF(V4+IF(T4="",0,T4)=MAX(JG4,JJ4,JN4,JQ4),$IL$1,IF(V4+IF(T4="",0,T4)=MAX(HY4,IB4,IF4,II4),$HD$1,IF(V4+IF(T4="",0,T4)=MAX(GQ4,GT4,GX4,HA4),$FV$1,IF(V4+IF(T4="",0,T4)=MAX(FI4,FL4,FP4,FS4),$EN$1,IF(V4+IF(T4="",0,T4)=MAX(EA4,ED4,EH4,EK4),$DF$1))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>IF(AA4&gt;0,AA4,"")</f>
        <v>15.6</v>
      </c>
      <c r="AP4" s="74">
        <f>IF(AB4&gt;0,AB4,"")</f>
        <v>17.25</v>
      </c>
      <c r="AQ4" s="76">
        <f>IF(SUM(Y4:AB4)-AC4&gt;0,SUM(Y4:AB4)-AC4,"")</f>
        <v>58.15</v>
      </c>
      <c r="AR4" s="76">
        <f>IF(AF4&gt;0,AF4,"")</f>
        <v>15.6</v>
      </c>
      <c r="AS4" s="76">
        <f>IF(AG4&gt;0,AG4,"")</f>
        <v>17.399999999999999</v>
      </c>
      <c r="AT4" s="76">
        <f>IF(SUM(AD4:AG4)-AH4&gt;0,SUM(AD4:AG4)-AH4,"")</f>
        <v>58.6</v>
      </c>
      <c r="AU4" s="76">
        <f>IF(AQ4="","",MAX(AQ4,AT4))</f>
        <v>58.6</v>
      </c>
      <c r="AV4" s="76" t="str">
        <f>IF(AK4&gt;0,AK4,"")</f>
        <v/>
      </c>
      <c r="AW4" s="76" t="str">
        <f>IF(AL4&gt;0,AL4,"")</f>
        <v/>
      </c>
      <c r="AX4" s="76" t="str">
        <f>IF(SUM(AI4:AL4)-AM4&gt;0,SUM(AI4:AL4)-AM4,"")</f>
        <v/>
      </c>
      <c r="AY4" s="76">
        <f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>IF(BB4&gt;0,BB4,"")</f>
        <v>15</v>
      </c>
      <c r="BQ4" s="75">
        <f>IF(BC4&gt;0,BC4,"")</f>
        <v>16.75</v>
      </c>
      <c r="BR4" s="16">
        <f>IF(SUM(AZ4:BC4)-BD4&gt;0,SUM(AZ4:BC4)-BD4,"")</f>
        <v>56.65</v>
      </c>
      <c r="BS4" s="16">
        <f>IF(BG4&gt;0,BG4,"")</f>
        <v>15.6</v>
      </c>
      <c r="BT4" s="16">
        <f>IF(BH4&gt;0,BH4,"")</f>
        <v>17.22</v>
      </c>
      <c r="BU4" s="16">
        <f>IF(SUM(BE4:BH4)-BI4&gt;0,SUM(BE4:BH4)-BI4,"")</f>
        <v>57.92</v>
      </c>
      <c r="BV4" s="16">
        <f>IF(BR4="","",MAX(BR4,BU4))</f>
        <v>57.92</v>
      </c>
      <c r="BW4" s="16">
        <f>IF(BL4&gt;0,BL4,"")</f>
        <v>15.6</v>
      </c>
      <c r="BX4" s="16">
        <f>IF(BM4&gt;0,BM4,"")</f>
        <v>17.184999999999999</v>
      </c>
      <c r="BY4" s="16">
        <f>IF(SUM(BJ4:BM4)-BN4&gt;0,SUM(BJ4:BM4)-BN4,"")</f>
        <v>58.885000000000005</v>
      </c>
      <c r="BZ4" s="16">
        <f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>IF(CC4&gt;0,CC4,"")</f>
        <v>15</v>
      </c>
      <c r="CR4" s="74">
        <f>IF(CD4&gt;0,CD4,"")</f>
        <v>17.309999999999999</v>
      </c>
      <c r="CS4" s="76">
        <f>IF(SUM(CA4:CD4)-CE4&gt;0,SUM(CA4:CD4)-CE4,"")</f>
        <v>57.41</v>
      </c>
      <c r="CT4" s="76">
        <f>IF(CH4&gt;0,CH4,"")</f>
        <v>12.7</v>
      </c>
      <c r="CU4" s="76">
        <f>IF(CI4&gt;0,CI4,"")</f>
        <v>17.29</v>
      </c>
      <c r="CV4" s="76">
        <f>IF(SUM(CF4:CI4)-CJ4&gt;0,SUM(CF4:CI4)-CJ4,"")</f>
        <v>53.089999999999996</v>
      </c>
      <c r="CW4" s="76">
        <f>IF(CS4="","",MAX(CS4,CV4))</f>
        <v>57.41</v>
      </c>
      <c r="CX4" s="76">
        <f>IF(CM4&gt;0,CM4,"")</f>
        <v>15.6</v>
      </c>
      <c r="CY4" s="76">
        <f>IF(CN4&gt;0,CN4,"")</f>
        <v>17.350000000000001</v>
      </c>
      <c r="CZ4" s="76">
        <f>IF(SUM(CK4:CN4)-CO4&gt;0,SUM(CK4:CN4)-CO4,"")</f>
        <v>58.050000000000004</v>
      </c>
      <c r="DA4" s="76">
        <f>IF(SUM(CW4,CZ4)&gt;0,SUM(CW4,CZ4),"")</f>
        <v>115.46000000000001</v>
      </c>
      <c r="DB4" s="87" t="str">
        <f>IF(L4&gt;=0.001,IF(MAX(EF4,FN4,GV4,ID4,JL4,KT4,MB4,NJ4,OR4,PZ4,RH4,SP4)-IF(L4="",0,L4)&gt;0.001,MAX(EF4,FN4,GV4,ID4,JL4,KT4,MB4,NJ4,OR4,PZ4,RH4,SP4)-IF(L4="",0,L4),""),"")</f>
        <v/>
      </c>
      <c r="DC4" s="87" t="str">
        <f>IF(P4&gt;=0.001,IF(MAX(EI4,EL4,FQ4,FT4,GY4,HB4,IG4,IJ4,JO4,JR4,KW4,KZ4,ME4,MH4,NM4,NP4,OU4,OX4,QC4,QF4,RK4,RN4,SS4,SV4)-IF(P4="",0,P4)&gt;0.001,MAX(EI4,EL4,FQ4,FT4,GY4,HB4,IG4,IJ4,JO4,JR4,KW4,KZ4,ME4,MH4,NM4,NP4,OU4,OX4,QC4,QF4,RK4,RN4,SS4,SV4)-IF(P4="",0,P4),""),"")</f>
        <v/>
      </c>
      <c r="DD4" s="87" t="str">
        <f>IF(R4&gt;=0.001,IF(MAX(DZ4,EC4,EG4,EJ4,FH4,FK4,FO4,FR4,GP4,GS4,GW4,GZ4,HX4,IA4,IE4,IH4,JF4,JI4,JM4,JP4,KN4,KQ4,KU4,KX4,LV4,LY4,MC4,MF4,ND4,NG4,NK4,NN4,OL4,OO4,OS4,OV4,PT4,PW4,QA4,QD4,RB4,RE4,RI4,RL4,SJ4,SM4,SQ4,ST4)-IF(R4="",0,R4)&gt;0.001,MAX(DZ4,EC4,EG4,EJ4,FH4,FK4,FO4,FR4,GP4,GS4,GW4,GZ4,HX4,IA4,IE4,IH4,JF4,JI4,JM4,JP4,KN4,KQ4,KU4,KX4,LV4,LY4,MC4,MF4,ND4,NG4,NK4,NN4,OL4,OO4,OS4,OV4,PT4,PW4,QA4,QD4,RB4,RE4,RI4,RL4,SJ4,SM4,SQ4,ST4)-IF(R4="",0,R4),""),"")</f>
        <v/>
      </c>
      <c r="DE4" s="87" t="str">
        <f>IF(T4&gt;=0.001,IF(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&gt;0.001,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,""),"")</f>
        <v/>
      </c>
      <c r="DF4" s="25">
        <v>15.8</v>
      </c>
      <c r="DG4" s="25">
        <v>9.4</v>
      </c>
      <c r="DH4" s="25">
        <v>15.6</v>
      </c>
      <c r="DI4" s="25">
        <v>17.399999999999999</v>
      </c>
      <c r="DJ4" s="25">
        <v>0.6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>
        <v>14.8</v>
      </c>
      <c r="DV4" s="25">
        <v>8.9</v>
      </c>
      <c r="DW4" s="25">
        <v>15.6</v>
      </c>
      <c r="DX4" s="25">
        <v>17.079999999999998</v>
      </c>
      <c r="DY4" s="25">
        <v>0</v>
      </c>
      <c r="DZ4" s="76">
        <f>IF(DH4&gt;0,DH4,"")</f>
        <v>15.6</v>
      </c>
      <c r="EA4" s="76">
        <f>IF(DI4&gt;0,DI4,"")</f>
        <v>17.399999999999999</v>
      </c>
      <c r="EB4" s="76">
        <f>IF(SUM(DF4:DI4)-DJ4&gt;0,SUM(DF4:DI4)-DJ4,"")</f>
        <v>57.6</v>
      </c>
      <c r="EC4" s="76" t="str">
        <f>IF(DM4&gt;0,DM4,"")</f>
        <v/>
      </c>
      <c r="ED4" s="76" t="str">
        <f>IF(DN4&gt;0,DN4,"")</f>
        <v/>
      </c>
      <c r="EE4" s="76" t="str">
        <f>IF(SUM(DK4:DN4)-DO4&gt;0,SUM(DK4:DN4)-DO4,"")</f>
        <v/>
      </c>
      <c r="EF4" s="76">
        <f>IF(MAX(EB4,EE4)&gt;0,MAX(EB4,EE4),"")</f>
        <v>57.6</v>
      </c>
      <c r="EG4" s="76" t="str">
        <f>IF(DR4&gt;0,DR4,"")</f>
        <v/>
      </c>
      <c r="EH4" s="76" t="str">
        <f>IF(DS4&gt;0,DS4,"")</f>
        <v/>
      </c>
      <c r="EI4" s="76" t="str">
        <f>IF(SUM(DP4:DS4)-DT4&gt;0,SUM(DP4:DS4)-DT4,"")</f>
        <v/>
      </c>
      <c r="EJ4" s="76">
        <f>IF(DW4&gt;0,DW4,"")</f>
        <v>15.6</v>
      </c>
      <c r="EK4" s="76">
        <f>IF(DX4&gt;0,DX4,"")</f>
        <v>17.079999999999998</v>
      </c>
      <c r="EL4" s="76">
        <f>IF(SUM(DU4:DX4)-DY4&gt;0,SUM(DU4:DX4)-DY4,"")</f>
        <v>56.38</v>
      </c>
      <c r="EM4" s="76">
        <f>IF(SUM(EF4,EL4)&gt;0,SUM(EF4,EL4),"")</f>
        <v>113.98</v>
      </c>
      <c r="EN4" s="26">
        <v>14.9</v>
      </c>
      <c r="EO4" s="26">
        <v>9.1999999999999993</v>
      </c>
      <c r="EP4" s="26">
        <v>15.4</v>
      </c>
      <c r="EQ4" s="26">
        <v>16.43</v>
      </c>
      <c r="ER4" s="26">
        <v>0</v>
      </c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16">
        <f>IF(EP4&gt;0,EP4,"")</f>
        <v>15.4</v>
      </c>
      <c r="FI4" s="16">
        <f>IF(EQ4&gt;0,EQ4,"")</f>
        <v>16.43</v>
      </c>
      <c r="FJ4" s="16">
        <f>IF(SUM(EN4:EQ4)-ER4&gt;0,SUM(EN4:EQ4)-ER4,"")</f>
        <v>55.93</v>
      </c>
      <c r="FK4" s="16" t="str">
        <f>IF(EU4&gt;0,EU4,"")</f>
        <v/>
      </c>
      <c r="FL4" s="16" t="str">
        <f>IF(EV4&gt;0,EV4,"")</f>
        <v/>
      </c>
      <c r="FM4" s="16" t="str">
        <f>IF(SUM(ES4:EV4)-EW4&gt;0,SUM(ES4:EV4)-EW4,"")</f>
        <v/>
      </c>
      <c r="FN4" s="16">
        <f>IF(MAX(FJ4,FM4)&gt;0,MAX(FJ4,FM4),"")</f>
        <v>55.93</v>
      </c>
      <c r="FO4" s="16" t="str">
        <f>IF(EZ4&gt;0,EZ4,"")</f>
        <v/>
      </c>
      <c r="FP4" s="16" t="str">
        <f>IF(FA4&gt;0,FA4,"")</f>
        <v/>
      </c>
      <c r="FQ4" s="16" t="str">
        <f>IF(SUM(EX4:FA4)-FB4&gt;0,SUM(EX4:FA4)-FB4,"")</f>
        <v/>
      </c>
      <c r="FR4" s="16" t="str">
        <f>IF(FE4&gt;0,FE4,"")</f>
        <v/>
      </c>
      <c r="FS4" s="16" t="str">
        <f>IF(FF4&gt;0,FF4,"")</f>
        <v/>
      </c>
      <c r="FT4" s="16" t="str">
        <f>IF(SUM(FC4:FF4)-FG4&gt;0,SUM(FC4:FF4)-FG4,"")</f>
        <v/>
      </c>
      <c r="FU4" s="16">
        <f>IF(SUM(FN4,FT4)&gt;0,SUM(FN4,FT4),"")</f>
        <v>55.93</v>
      </c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>
        <v>14.8</v>
      </c>
      <c r="GL4" s="25">
        <v>9.4</v>
      </c>
      <c r="GM4" s="25">
        <v>15.6</v>
      </c>
      <c r="GN4" s="25">
        <v>16.614999999999998</v>
      </c>
      <c r="GO4" s="25">
        <v>0</v>
      </c>
      <c r="GP4" s="76" t="str">
        <f>IF(FX4&gt;0,FX4,"")</f>
        <v/>
      </c>
      <c r="GQ4" s="76" t="str">
        <f>IF(FY4&gt;0,FY4,"")</f>
        <v/>
      </c>
      <c r="GR4" s="76" t="str">
        <f>IF(SUM(FV4:FY4)-FZ4&gt;0,SUM(FV4:FY4)-FZ4,"")</f>
        <v/>
      </c>
      <c r="GS4" s="76" t="str">
        <f>IF(GC4&gt;0,GC4,"")</f>
        <v/>
      </c>
      <c r="GT4" s="76" t="str">
        <f>IF(GD4&gt;0,GD4,"")</f>
        <v/>
      </c>
      <c r="GU4" s="76" t="str">
        <f>IF(SUM(GA4:GD4)-GE4&gt;0,SUM(GA4:GD4)-GE4,"")</f>
        <v/>
      </c>
      <c r="GV4" s="76" t="str">
        <f>IF(MAX(GR4,GU4)&gt;0,MAX(GR4,GU4),"")</f>
        <v/>
      </c>
      <c r="GW4" s="76" t="str">
        <f>IF(GH4&gt;0,GH4,"")</f>
        <v/>
      </c>
      <c r="GX4" s="76" t="str">
        <f>IF(GI4&gt;0,GI4,"")</f>
        <v/>
      </c>
      <c r="GY4" s="76" t="str">
        <f>IF(SUM(GF4:GI4)-GJ4&gt;0,SUM(GF4:GI4)-GJ4,"")</f>
        <v/>
      </c>
      <c r="GZ4" s="76">
        <f>IF(GM4&gt;0,GM4,"")</f>
        <v>15.6</v>
      </c>
      <c r="HA4" s="76">
        <f>IF(GN4&gt;0,GN4,"")</f>
        <v>16.614999999999998</v>
      </c>
      <c r="HB4" s="76">
        <f>IF(SUM(GK4:GN4)-GO4&gt;0,SUM(GK4:GN4)-GO4,"")</f>
        <v>56.415000000000006</v>
      </c>
      <c r="HC4" s="76">
        <f>IF(SUM(GV4,HB4)&gt;0,SUM(GV4,HB4),"")</f>
        <v>56.415000000000006</v>
      </c>
      <c r="HD4" s="26">
        <v>14.4</v>
      </c>
      <c r="HE4" s="26">
        <v>9.5</v>
      </c>
      <c r="HF4" s="26">
        <v>15.4</v>
      </c>
      <c r="HG4" s="26">
        <v>16.574999999999999</v>
      </c>
      <c r="HH4" s="26">
        <v>0</v>
      </c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>
        <v>3</v>
      </c>
      <c r="HT4" s="26">
        <v>1.8</v>
      </c>
      <c r="HU4" s="26">
        <v>3.2</v>
      </c>
      <c r="HV4" s="26">
        <v>3.5649999999999999</v>
      </c>
      <c r="HW4" s="26">
        <v>0</v>
      </c>
      <c r="HX4" s="16">
        <f>IF(HF4&gt;0,HF4,"")</f>
        <v>15.4</v>
      </c>
      <c r="HY4" s="16">
        <f>IF(HG4&gt;0,HG4,"")</f>
        <v>16.574999999999999</v>
      </c>
      <c r="HZ4" s="16">
        <f>IF(SUM(HD4:HG4)-HH4&gt;0,SUM(HD4:HG4)-HH4,"")</f>
        <v>55.875</v>
      </c>
      <c r="IA4" s="16" t="str">
        <f>IF(HK4&gt;0,HK4,"")</f>
        <v/>
      </c>
      <c r="IB4" s="16" t="str">
        <f>IF(HL4&gt;0,HL4,"")</f>
        <v/>
      </c>
      <c r="IC4" s="16" t="str">
        <f>IF(SUM(HI4:HL4)-HM4&gt;0,SUM(HI4:HL4)-HM4,"")</f>
        <v/>
      </c>
      <c r="ID4" s="16">
        <f>IF(MAX(HZ4,IC4)&gt;0,MAX(HZ4,IC4),"")</f>
        <v>55.875</v>
      </c>
      <c r="IE4" s="16" t="str">
        <f>IF(HP4&gt;0,HP4,"")</f>
        <v/>
      </c>
      <c r="IF4" s="16" t="str">
        <f>IF(HQ4&gt;0,HQ4,"")</f>
        <v/>
      </c>
      <c r="IG4" s="16" t="str">
        <f>IF(SUM(HN4:HQ4)-HR4&gt;0,SUM(HN4:HQ4)-HR4,"")</f>
        <v/>
      </c>
      <c r="IH4" s="16">
        <f>IF(HU4&gt;0,HU4,"")</f>
        <v>3.2</v>
      </c>
      <c r="II4" s="16">
        <f>IF(HV4&gt;0,HV4,"")</f>
        <v>3.5649999999999999</v>
      </c>
      <c r="IJ4" s="16">
        <f>IF(SUM(HS4:HV4)-HW4&gt;0,SUM(HS4:HV4)-HW4,"")</f>
        <v>11.565</v>
      </c>
      <c r="IK4" s="16">
        <f>IF(SUM(ID4,IJ4)&gt;0,SUM(ID4,IJ4),"")</f>
        <v>67.44</v>
      </c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76" t="str">
        <f>IF(IN4&gt;0,IN4,"")</f>
        <v/>
      </c>
      <c r="JG4" s="76" t="str">
        <f>IF(IO4&gt;0,IO4,"")</f>
        <v/>
      </c>
      <c r="JH4" s="76" t="str">
        <f>IF(SUM(IL4:IO4)-IP4&gt;0,SUM(IL4:IO4)-IP4,"")</f>
        <v/>
      </c>
      <c r="JI4" s="76" t="str">
        <f>IF(IS4&gt;0,IS4,"")</f>
        <v/>
      </c>
      <c r="JJ4" s="76" t="str">
        <f>IF(IT4&gt;0,IT4,"")</f>
        <v/>
      </c>
      <c r="JK4" s="76" t="str">
        <f>IF(SUM(IQ4:IT4)-IU4&gt;0,SUM(IQ4:IT4)-IU4,"")</f>
        <v/>
      </c>
      <c r="JL4" s="76" t="str">
        <f>IF(MAX(JH4,JK4)&gt;0,MAX(JH4,JK4),"")</f>
        <v/>
      </c>
      <c r="JM4" s="76" t="str">
        <f>IF(IX4&gt;0,IX4,"")</f>
        <v/>
      </c>
      <c r="JN4" s="76" t="str">
        <f>IF(IY4&gt;0,IY4,"")</f>
        <v/>
      </c>
      <c r="JO4" s="76" t="str">
        <f>IF(SUM(IV4:IY4)-IZ4&gt;0,SUM(IV4:IY4)-IZ4,"")</f>
        <v/>
      </c>
      <c r="JP4" s="76" t="str">
        <f>IF(JC4&gt;0,JC4,"")</f>
        <v/>
      </c>
      <c r="JQ4" s="76" t="str">
        <f>IF(JD4&gt;0,JD4,"")</f>
        <v/>
      </c>
      <c r="JR4" s="76" t="str">
        <f>IF(SUM(JA4:JD4)-JE4&gt;0,SUM(JA4:JD4)-JE4,"")</f>
        <v/>
      </c>
      <c r="JS4" s="76" t="str">
        <f>IF(SUM(JL4,JR4)&gt;0,SUM(JL4,JR4),"")</f>
        <v/>
      </c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16" t="str">
        <f>IF(JV4&gt;0,JV4,"")</f>
        <v/>
      </c>
      <c r="KO4" s="16" t="str">
        <f>IF(JW4&gt;0,JW4,"")</f>
        <v/>
      </c>
      <c r="KP4" s="16" t="str">
        <f>IF(SUM(JT4:JW4)-JX4&gt;0,SUM(JT4:JW4)-JX4,"")</f>
        <v/>
      </c>
      <c r="KQ4" s="16" t="str">
        <f>IF(KA4&gt;0,KA4,"")</f>
        <v/>
      </c>
      <c r="KR4" s="16" t="str">
        <f>IF(KB4&gt;0,KB4,"")</f>
        <v/>
      </c>
      <c r="KS4" s="16" t="str">
        <f>IF(SUM(JY4:KB4)-KC4&gt;0,SUM(JY4:KB4)-KC4,"")</f>
        <v/>
      </c>
      <c r="KT4" s="16" t="str">
        <f>IF(MAX(KP4,KS4)&gt;0,MAX(KP4,KS4),"")</f>
        <v/>
      </c>
      <c r="KU4" s="16" t="str">
        <f>IF(KF4&gt;0,KF4,"")</f>
        <v/>
      </c>
      <c r="KV4" s="16" t="str">
        <f>IF(KG4&gt;0,KG4,"")</f>
        <v/>
      </c>
      <c r="KW4" s="16" t="str">
        <f>IF(SUM(KD4:KG4)-KH4&gt;0,SUM(KD4:KG4)-KH4,"")</f>
        <v/>
      </c>
      <c r="KX4" s="16" t="str">
        <f>IF(KK4&gt;0,KK4,"")</f>
        <v/>
      </c>
      <c r="KY4" s="16" t="str">
        <f>IF(KL4&gt;0,KL4,"")</f>
        <v/>
      </c>
      <c r="KZ4" s="16" t="str">
        <f>IF(SUM(KI4:KL4)-KM4&gt;0,SUM(KI4:KL4)-KM4,"")</f>
        <v/>
      </c>
      <c r="LA4" s="16" t="str">
        <f>IF(SUM(KT4,KZ4)&gt;0,SUM(KT4,KZ4),"")</f>
        <v/>
      </c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76" t="str">
        <f>IF(LD4&gt;0,LD4,"")</f>
        <v/>
      </c>
      <c r="LW4" s="76" t="str">
        <f>IF(LE4&gt;0,LE4,"")</f>
        <v/>
      </c>
      <c r="LX4" s="76" t="str">
        <f>IF(SUM(LB4:LE4)-LF4&gt;0,SUM(LB4:LE4)-LF4,"")</f>
        <v/>
      </c>
      <c r="LY4" s="76" t="str">
        <f>IF(LI4&gt;0,LI4,"")</f>
        <v/>
      </c>
      <c r="LZ4" s="76" t="str">
        <f>IF(LJ4&gt;0,LJ4,"")</f>
        <v/>
      </c>
      <c r="MA4" s="76" t="str">
        <f>IF(SUM(LG4:LJ4)-LK4&gt;0,SUM(LG4:LJ4)-LK4,"")</f>
        <v/>
      </c>
      <c r="MB4" s="76" t="str">
        <f>IF(MAX(LX4,MA4)&gt;0,MAX(LX4,MA4),"")</f>
        <v/>
      </c>
      <c r="MC4" s="76" t="str">
        <f>IF(LN4&gt;0,LN4,"")</f>
        <v/>
      </c>
      <c r="MD4" s="76" t="str">
        <f>IF(LO4&gt;0,LO4,"")</f>
        <v/>
      </c>
      <c r="ME4" s="76" t="str">
        <f>IF(SUM(LL4:LO4)-LP4&gt;0,SUM(LL4:LO4)-LP4,"")</f>
        <v/>
      </c>
      <c r="MF4" s="76" t="str">
        <f>IF(LS4&gt;0,LS4,"")</f>
        <v/>
      </c>
      <c r="MG4" s="76" t="str">
        <f>IF(LT4&gt;0,LT4,"")</f>
        <v/>
      </c>
      <c r="MH4" s="76" t="str">
        <f>IF(SUM(LQ4:LT4)-LU4&gt;0,SUM(LQ4:LT4)-LU4,"")</f>
        <v/>
      </c>
      <c r="MI4" s="76" t="str">
        <f>IF(SUM(MB4,MH4)&gt;0,SUM(MB4,MH4),"")</f>
        <v/>
      </c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16" t="str">
        <f>IF(ML4&gt;0,ML4,"")</f>
        <v/>
      </c>
      <c r="NE4" s="16" t="str">
        <f>IF(MM4&gt;0,MM4,"")</f>
        <v/>
      </c>
      <c r="NF4" s="16" t="str">
        <f>IF(SUM(MJ4:MM4)-MN4&gt;0,SUM(MJ4:MM4)-MN4,"")</f>
        <v/>
      </c>
      <c r="NG4" s="16" t="str">
        <f>IF(MQ4&gt;0,MQ4,"")</f>
        <v/>
      </c>
      <c r="NH4" s="16" t="str">
        <f>IF(MR4&gt;0,MR4,"")</f>
        <v/>
      </c>
      <c r="NI4" s="16" t="str">
        <f>IF(SUM(MO4:MR4)-MS4&gt;0,SUM(MO4:MR4)-MS4,"")</f>
        <v/>
      </c>
      <c r="NJ4" s="16" t="str">
        <f>IF(MAX(NF4,NI4)&gt;0,MAX(NF4,NI4),"")</f>
        <v/>
      </c>
      <c r="NK4" s="16" t="str">
        <f>IF(MV4&gt;0,MV4,"")</f>
        <v/>
      </c>
      <c r="NL4" s="16" t="str">
        <f>IF(MW4&gt;0,MW4,"")</f>
        <v/>
      </c>
      <c r="NM4" s="16" t="str">
        <f>IF(SUM(MT4:MW4)-MX4&gt;0,SUM(MT4:MW4)-MX4,"")</f>
        <v/>
      </c>
      <c r="NN4" s="16" t="str">
        <f>IF(NA4&gt;0,NA4,"")</f>
        <v/>
      </c>
      <c r="NO4" s="16" t="str">
        <f>IF(NB4&gt;0,NB4,"")</f>
        <v/>
      </c>
      <c r="NP4" s="16" t="str">
        <f>IF(SUM(MY4:NB4)-NC4&gt;0,SUM(MY4:NB4)-NC4,"")</f>
        <v/>
      </c>
      <c r="NQ4" s="16" t="str">
        <f>IF(SUM(NJ4,NP4)&gt;0,SUM(NJ4,NP4),"")</f>
        <v/>
      </c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76" t="str">
        <f>IF(NT4&gt;0,NT4,"")</f>
        <v/>
      </c>
      <c r="OM4" s="76" t="str">
        <f>IF(NU4&gt;0,NU4,"")</f>
        <v/>
      </c>
      <c r="ON4" s="76" t="str">
        <f>IF(SUM(NR4:NU4)-NV4&gt;0,SUM(NR4:NU4)-NV4,"")</f>
        <v/>
      </c>
      <c r="OO4" s="76" t="str">
        <f>IF(NY4&gt;0,NY4,"")</f>
        <v/>
      </c>
      <c r="OP4" s="76" t="str">
        <f>IF(NZ4&gt;0,NZ4,"")</f>
        <v/>
      </c>
      <c r="OQ4" s="76" t="str">
        <f>IF(SUM(NW4:NZ4)-OA4&gt;0,SUM(NW4:NZ4)-OA4,"")</f>
        <v/>
      </c>
      <c r="OR4" s="76" t="str">
        <f>IF(MAX(ON4,OQ4)&gt;0,MAX(ON4,OQ4),"")</f>
        <v/>
      </c>
      <c r="OS4" s="76" t="str">
        <f>IF(OD4&gt;0,OD4,"")</f>
        <v/>
      </c>
      <c r="OT4" s="76" t="str">
        <f>IF(OE4&gt;0,OE4,"")</f>
        <v/>
      </c>
      <c r="OU4" s="76" t="str">
        <f>IF(SUM(OB4:OE4)-OF4&gt;0,SUM(OB4:OE4)-OF4,"")</f>
        <v/>
      </c>
      <c r="OV4" s="76" t="str">
        <f>IF(OI4&gt;0,OI4,"")</f>
        <v/>
      </c>
      <c r="OW4" s="76" t="str">
        <f>IF(OJ4&gt;0,OJ4,"")</f>
        <v/>
      </c>
      <c r="OX4" s="76" t="str">
        <f>IF(SUM(OG4:OJ4)-OK4&gt;0,SUM(OG4:OJ4)-OK4,"")</f>
        <v/>
      </c>
      <c r="OY4" s="76" t="str">
        <f>IF(SUM(OR4,OX4)&gt;0,SUM(OR4,OX4),"")</f>
        <v/>
      </c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16" t="str">
        <f>IF(PB4&gt;0,PB4,"")</f>
        <v/>
      </c>
      <c r="PU4" s="16" t="str">
        <f>IF(PC4&gt;0,PC4,"")</f>
        <v/>
      </c>
      <c r="PV4" s="16" t="str">
        <f>IF(SUM(OZ4:PC4)-PD4&gt;0,SUM(OZ4:PC4)-PD4,"")</f>
        <v/>
      </c>
      <c r="PW4" s="16" t="str">
        <f>IF(PG4&gt;0,PG4,"")</f>
        <v/>
      </c>
      <c r="PX4" s="16" t="str">
        <f>IF(PH4&gt;0,PH4,"")</f>
        <v/>
      </c>
      <c r="PY4" s="16" t="str">
        <f>IF(SUM(PE4:PH4)-PI4&gt;0,SUM(PE4:PH4)-PI4,"")</f>
        <v/>
      </c>
      <c r="PZ4" s="16" t="str">
        <f>IF(MAX(PV4,PY4)&gt;0,MAX(PV4,PY4),"")</f>
        <v/>
      </c>
      <c r="QA4" s="16" t="str">
        <f>IF(PL4&gt;0,PL4,"")</f>
        <v/>
      </c>
      <c r="QB4" s="16" t="str">
        <f>IF(PM4&gt;0,PM4,"")</f>
        <v/>
      </c>
      <c r="QC4" s="16" t="str">
        <f>IF(SUM(PJ4:PM4)-PN4&gt;0,SUM(PJ4:PM4)-PN4,"")</f>
        <v/>
      </c>
      <c r="QD4" s="16" t="str">
        <f>IF(PQ4&gt;0,PQ4,"")</f>
        <v/>
      </c>
      <c r="QE4" s="16" t="str">
        <f>IF(PR4&gt;0,PR4,"")</f>
        <v/>
      </c>
      <c r="QF4" s="16" t="str">
        <f>IF(SUM(PO4:PR4)-PS4&gt;0,SUM(PO4:PR4)-PS4,"")</f>
        <v/>
      </c>
      <c r="QG4" s="16" t="str">
        <f>IF(SUM(PZ4,QF4)&gt;0,SUM(PZ4,QF4),"")</f>
        <v/>
      </c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76" t="str">
        <f>IF(QJ4&gt;0,QJ4,"")</f>
        <v/>
      </c>
      <c r="RC4" s="76" t="str">
        <f>IF(QK4&gt;0,QK4,"")</f>
        <v/>
      </c>
      <c r="RD4" s="76" t="str">
        <f>IF(SUM(QH4:QK4)-QL4&gt;0,SUM(QH4:QK4)-QL4,"")</f>
        <v/>
      </c>
      <c r="RE4" s="76" t="str">
        <f>IF(QO4&gt;0,QO4,"")</f>
        <v/>
      </c>
      <c r="RF4" s="76" t="str">
        <f>IF(QP4&gt;0,QP4,"")</f>
        <v/>
      </c>
      <c r="RG4" s="76" t="str">
        <f>IF(SUM(QM4:QP4)-QQ4&gt;0,SUM(QM4:QP4)-QQ4,"")</f>
        <v/>
      </c>
      <c r="RH4" s="76" t="str">
        <f>IF(MAX(RD4,RG4)&gt;0,MAX(RD4,RG4),"")</f>
        <v/>
      </c>
      <c r="RI4" s="76" t="str">
        <f>IF(QT4&gt;0,QT4,"")</f>
        <v/>
      </c>
      <c r="RJ4" s="76" t="str">
        <f>IF(QU4&gt;0,QU4,"")</f>
        <v/>
      </c>
      <c r="RK4" s="76" t="str">
        <f>IF(SUM(QR4:QU4)-QV4&gt;0,SUM(QR4:QU4)-QV4,"")</f>
        <v/>
      </c>
      <c r="RL4" s="76" t="str">
        <f>IF(QY4&gt;0,QY4,"")</f>
        <v/>
      </c>
      <c r="RM4" s="76" t="str">
        <f>IF(QZ4&gt;0,QZ4,"")</f>
        <v/>
      </c>
      <c r="RN4" s="76" t="str">
        <f>IF(SUM(QW4:QZ4)-RA4&gt;0,SUM(QW4:QZ4)-RA4,"")</f>
        <v/>
      </c>
      <c r="RO4" s="76" t="str">
        <f>IF(SUM(RH4,RN4)&gt;0,SUM(RH4,RN4),"")</f>
        <v/>
      </c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16" t="str">
        <f>IF(RR4&gt;0,RR4,"")</f>
        <v/>
      </c>
      <c r="SK4" s="16" t="str">
        <f>IF(RS4&gt;0,RS4,"")</f>
        <v/>
      </c>
      <c r="SL4" s="16" t="str">
        <f>IF(SUM(RP4:RS4)-RT4&gt;0,SUM(RP4:RS4)-RT4,"")</f>
        <v/>
      </c>
      <c r="SM4" s="16" t="str">
        <f>IF(RW4&gt;0,RW4,"")</f>
        <v/>
      </c>
      <c r="SN4" s="16" t="str">
        <f>IF(RX4&gt;0,RX4,"")</f>
        <v/>
      </c>
      <c r="SO4" s="16" t="str">
        <f>IF(SUM(RU4:RX4)-RY4&gt;0,SUM(RU4:RX4)-RY4,"")</f>
        <v/>
      </c>
      <c r="SP4" s="16" t="str">
        <f>IF(MAX(SL4,SO4)&gt;0,MAX(SL4,SO4),"")</f>
        <v/>
      </c>
      <c r="SQ4" s="16" t="str">
        <f>IF(SB4&gt;0,SB4,"")</f>
        <v/>
      </c>
      <c r="SR4" s="16" t="str">
        <f>IF(SC4&gt;0,SC4,"")</f>
        <v/>
      </c>
      <c r="SS4" s="16" t="str">
        <f>IF(SUM(RZ4:SC4)-SD4&gt;0,SUM(RZ4:SC4)-SD4,"")</f>
        <v/>
      </c>
      <c r="ST4" s="16" t="str">
        <f>IF(SG4&gt;0,SG4,"")</f>
        <v/>
      </c>
      <c r="SU4" s="16" t="str">
        <f>IF(SH4&gt;0,SH4,"")</f>
        <v/>
      </c>
      <c r="SV4" s="16" t="str">
        <f>IF(SUM(SE4:SH4)-SI4&gt;0,SUM(SE4:SH4)-SI4,"")</f>
        <v/>
      </c>
      <c r="SW4" s="16" t="str">
        <f>IF(SUM(SP4,SV4)&gt;0,SUM(SP4,SV4),"")</f>
        <v/>
      </c>
      <c r="SX4" s="42">
        <f>IF($CP4="P",CA4,(CA4+AZ4)/2)</f>
        <v>15.950000000000001</v>
      </c>
      <c r="SY4" s="42">
        <f>IF($CP4="P",CB4,(CB4+BA4)/2)</f>
        <v>9.0500000000000007</v>
      </c>
      <c r="SZ4" s="42">
        <f>IF($CP4="P",CC4,(CC4+BB4)/2)</f>
        <v>15</v>
      </c>
      <c r="TA4" s="42">
        <f>IF($CP4="P",CD4,(CD4+BC4)/2)</f>
        <v>17.03</v>
      </c>
      <c r="TB4" s="42">
        <f>IF($CP4="P",CE4,(CE4+BD4)/2)</f>
        <v>0</v>
      </c>
      <c r="TC4" s="42">
        <f>IF($CP4="P",CF4,(CF4+BE4)/2)</f>
        <v>15.5</v>
      </c>
      <c r="TD4" s="42">
        <f>IF($CP4="P",CG4,(CG4+BF4)/2)</f>
        <v>9</v>
      </c>
      <c r="TE4" s="42">
        <f>IF($CP4="P",CH4,(CH4+BG4)/2)</f>
        <v>14.149999999999999</v>
      </c>
      <c r="TF4" s="42">
        <f>IF($CP4="P",CI4,(CI4+BH4)/2)</f>
        <v>17.254999999999999</v>
      </c>
      <c r="TG4" s="42">
        <f>IF($CP4="P",CJ4,(CJ4+BI4)/2)</f>
        <v>0.4</v>
      </c>
      <c r="TH4" s="42">
        <f>IF($CP4="P",CK4,(CK4+BJ4)/2)</f>
        <v>16.2</v>
      </c>
      <c r="TI4" s="42">
        <f>IF($CP4="P",CL4,(CL4+BK4)/2)</f>
        <v>9.4</v>
      </c>
      <c r="TJ4" s="42">
        <f>IF($CP4="P",CM4,(CM4+BL4)/2)</f>
        <v>15.6</v>
      </c>
      <c r="TK4" s="42">
        <f>IF($CP4="P",CN4,(CN4+BM4)/2)</f>
        <v>17.267499999999998</v>
      </c>
      <c r="TL4" s="42">
        <f>IF($CP4="P",CO4,(CO4+BN4)/2)</f>
        <v>0</v>
      </c>
      <c r="TM4" s="51" t="s">
        <v>61</v>
      </c>
      <c r="TN4" s="76">
        <f>IF(SZ4&gt;0,SZ4,"")</f>
        <v>15</v>
      </c>
      <c r="TO4" s="76">
        <f>IF(TA4&gt;0,TA4,"")</f>
        <v>17.03</v>
      </c>
      <c r="TP4" s="76">
        <f>IF(SUM(SX4:TA4)-TB4&gt;0,SUM(SX4:TA4)-TB4,"")</f>
        <v>57.03</v>
      </c>
      <c r="TQ4" s="76">
        <f>IF(TE4&gt;0,TE4,"")</f>
        <v>14.149999999999999</v>
      </c>
      <c r="TR4" s="76">
        <f>IF(TF4&gt;0,TF4,"")</f>
        <v>17.254999999999999</v>
      </c>
      <c r="TS4" s="76">
        <f>IF(SUM(TC4:TF4)-TG4&gt;0,SUM(TC4:TF4)-TG4,"")</f>
        <v>55.505000000000003</v>
      </c>
      <c r="TT4" s="76">
        <f>IF(MAX(TP4,TS4)&gt;0,MAX(TP4,TS4),"")</f>
        <v>57.03</v>
      </c>
      <c r="TU4" s="76">
        <f>IF(TJ4&gt;0,TJ4,"")</f>
        <v>15.6</v>
      </c>
      <c r="TV4" s="76">
        <f>IF(TK4&gt;0,TK4,"")</f>
        <v>17.267499999999998</v>
      </c>
      <c r="TW4" s="76">
        <f>IF(SUM(TH4:TK4)-TL4&gt;0,SUM(TH4:TK4)-TL4,"")</f>
        <v>58.467500000000001</v>
      </c>
      <c r="TX4" s="76">
        <f>IF(SUM(TT4,TW4)&gt;0,SUM(TT4,TW4),"")</f>
        <v>115.4975</v>
      </c>
    </row>
    <row r="5" spans="1:544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264.30002640000583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Z5&gt;=EM$25,DZ5&lt;&gt;"",EB5&gt;=EM$29,EB5&lt;&gt;""),AND(EC5&gt;=EM$25,EC5&lt;&gt;"",EE5&gt;=EM$29,EE5&lt;&gt;""),AND(EG5&gt;=EM$25,EG5&lt;&gt;"",EI5&gt;=EM$29,EI5&lt;&gt;""),AND(EJ5&gt;=EM$25,EJ5&lt;&gt;"",EL5&gt;=EM$29,EL5&lt;&gt;""),AND(FH5&gt;=FU$25,FH5&lt;&gt;"",FJ5&gt;=FU$29,FJ5&lt;&gt;""),AND(FK5&gt;=FU$25,FK5&lt;&gt;"",FM5&gt;=FU$29,FM5&lt;&gt;""),AND(FO5&gt;=FU$25,FO5&lt;&gt;"",FQ5&gt;=FU$29,FQ5&lt;&gt;""),AND(FR5&gt;=FU$25,FR5&lt;&gt;"",FT5&gt;=FU$29,FT5&lt;&gt;""),AND(GP5&gt;=HC$25,GP5&lt;&gt;"",GR5&gt;=HC$29,GR5&lt;&gt;""),AND(GS5&gt;=HC$25,GS5&lt;&gt;"",GU5&gt;=HC$29,GU5&lt;&gt;""),AND(GW5&gt;=HC$25,GW5&lt;&gt;"",GY5&gt;=HC$29,GY5&lt;&gt;""),AND(GZ5&gt;=HC$25,GZ5&lt;&gt;"",HB5&gt;=HC$29,HB5&lt;&gt;""),AND(HX5&gt;=IK$25,HX5&lt;&gt;"",HZ5&gt;=IK$29,HZ5&lt;&gt;""),AND(IA5&gt;=IK$25,IA5&lt;&gt;"",IC5&gt;=IK$29,IC5&lt;&gt;""),AND(IE5&gt;=IK$25,IE5&lt;&gt;"",IG5&gt;=IK$29,IG5&lt;&gt;""),AND(IH5&gt;=IK$25,IH5&lt;&gt;"",IJ5&gt;=IK$29,IJ5&lt;&gt;""),AND(JF5&gt;=JS$25,JF5&lt;&gt;"",JH5&gt;=JS$29,JH5&lt;&gt;""),AND(JI5&gt;=JS$25,JI5&lt;&gt;"",JK5&gt;=JS$29,JK5&lt;&gt;""),AND(JM5&gt;=JS$25,JM5&lt;&gt;"",JO5&gt;=JS$29,JO5&lt;&gt;""),AND(JP5&gt;=JS$25,JP5&lt;&gt;"",JR5&gt;=JS$29,JR5&lt;&gt;""),AND(KN5&gt;=LA$25,KN5&lt;&gt;"",KP5&gt;=LA$29,KP5&lt;&gt;""),AND(KQ5&gt;=LA$25,KQ5&lt;&gt;"",KS5&gt;=LA$29,KS5&lt;&gt;""),AND(KU5&gt;=LA$25,KU5&lt;&gt;"",KW5&gt;=LA$29,KW5&lt;&gt;""),AND(KX5&gt;=LA$25,KX5&lt;&gt;"",KZ5&gt;=LA$29,KZ5&lt;&gt;""),AND(LV5&gt;=MI$25,LV5&lt;&gt;"",LX5&gt;=MI$29,LX5&lt;&gt;""),AND(LY5&gt;=MI$25,LY5&lt;&gt;"",MA5&gt;=MI$29,MA5&lt;&gt;""),AND(MC5&gt;=MI$25,MC5&lt;&gt;"",ME5&gt;=MI$29,ME5&lt;&gt;""),AND(MF5&gt;=MI$25,MF5&lt;&gt;"",MH5&gt;=MI$29,MH5&lt;&gt;""),AND(ND5&gt;=NQ$25,ND5&lt;&gt;"",NF5&gt;=NQ$29,NF5&lt;&gt;""),AND(NG5&gt;=NQ$25,NG5&lt;&gt;"",NI5&gt;=NQ$29,NI5&lt;&gt;""),AND(NK5&gt;=NQ$25,NK5&lt;&gt;"",NM5&gt;=NQ$29,NM5&lt;&gt;""),AND(NN5&gt;=NQ$25,NN5&lt;&gt;"",NP5&gt;=NQ$29,NP5&lt;&gt;""),AND(OL5&gt;=OY$25,OL5&lt;&gt;"",ON5&gt;=OY$29,ON5&lt;&gt;""),AND(OO5&gt;=OY$25,OO5&lt;&gt;"",OQ5&gt;=OY$29,OQ5&lt;&gt;""),AND(OS5&gt;=OY$25,OS5&lt;&gt;"",OU5&gt;=OY$29,OU5&lt;&gt;""),AND(OV5&gt;=OY$25,OV5&lt;&gt;"",OX5&gt;=OY$29,OX5&lt;&gt;""),AND(PT5&gt;=QG$25,PT5&lt;&gt;"",PV5&gt;=QG$29,PV5&lt;&gt;""),AND(PW5&gt;=QG$25,PW5&lt;&gt;"",PY5&gt;=QG$29,PY5&lt;&gt;""),AND(QA5&gt;=QG$25,QA5&lt;&gt;"",QC5&gt;=QG$29,QC5&lt;&gt;""),AND(QD5&gt;=QG$25,QD5&lt;&gt;"",QF5&gt;=QG$29,QF5&lt;&gt;""),AND(RB5&gt;=RO$25,RB5&lt;&gt;"",RD5&gt;=RO$29,RD5&lt;&gt;""),AND(RE5&gt;=RO$25,RE5&lt;&gt;"",RG5&gt;=RO$29,RG5&lt;&gt;""),AND(RI5&gt;=RO$25,RI5&lt;&gt;"",RK5&gt;=RO$29,RK5&lt;&gt;""),AND(RL5&gt;=RO$25,RL5&lt;&gt;"",RN5&gt;=RO$29,RN5&lt;&gt;""),AND(SJ5&gt;=SW$25,SJ5&lt;&gt;"",SL5&gt;=SW$29,SL5&lt;&gt;""),AND(SM5&gt;=SW$25,SM5&lt;&gt;"",SO5&gt;=SW$29,SO5&lt;&gt;""),AND(SQ5&gt;=SW$25,SQ5&lt;&gt;"",SS5&gt;=SW$29,SS5&lt;&gt;""),AND(ST5&gt;=SW$25,ST5&lt;&gt;"",SV5&gt;=SW$29,SV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EB5&gt;=EM$29,EB5&lt;&gt;""),AND(EE5&gt;=EM$29,EE5&lt;&gt;""),AND(EI5&gt;=EM$29,EI5&lt;&gt;""),AND(EL5&gt;=EM$29,EL5&lt;&gt;""),AND(FJ5&gt;=FU$29,FJ5&lt;&gt;""),AND(FM5&gt;=FU$29,FM5&lt;&gt;""),AND(FQ5&gt;=FU$29,FQ5&lt;&gt;""),AND(FT5&gt;=FU$29,FT5&lt;&gt;""),AND(GR5&gt;=HC$29,GR5&lt;&gt;""),AND(GU5&gt;=HC$29,GU5&lt;&gt;""),AND(GY5&gt;=HC$29,GY5&lt;&gt;""),AND(HB5&gt;=HC$29,HB5&lt;&gt;""),AND(HZ5&gt;=IK$29,HZ5&lt;&gt;""),AND(IC5&gt;=IK$29,IC5&lt;&gt;""),AND(IG5&gt;=IK$29,IG5&lt;&gt;""),AND(IJ5&gt;=IK$29,IJ5&lt;&gt;""),AND(JH5&gt;=JS$29,JH5&lt;&gt;""),AND(JK5&gt;=JS$29,JK5&lt;&gt;""),AND(JO5&gt;=JS$29,JO5&lt;&gt;""),AND(JR5&gt;=JS$29,JR5&lt;&gt;""),AND(KP5&gt;=LA$29,KP5&lt;&gt;""),AND(KS5&gt;=LA$29,KS5&lt;&gt;""),AND(KW5&gt;=LA$29,KW5&lt;&gt;""),AND(KZ5&gt;=LA$29,KZ5&lt;&gt;""),AND(LX5&gt;=MI$29,LX5&lt;&gt;""),AND(MA5&gt;=MI$29,MA5&lt;&gt;""),AND(ME5&gt;=MI$29,ME5&lt;&gt;""),AND(MH5&gt;=MI$29,MH5&lt;&gt;""),AND(NF5&gt;=NQ$29,NF5&lt;&gt;""),AND(NI5&gt;=NQ$29,NI5&lt;&gt;""),AND(NM5&gt;=NQ$29,NM5&lt;&gt;""),AND(NP5&gt;=NQ$29,NP5&lt;&gt;""),AND(ON5&gt;=OY$29,ON5&lt;&gt;""),AND(OQ5&gt;=OY$29,OQ5&lt;&gt;""),AND(OU5&gt;=OY$29,OU5&lt;&gt;""),AND(OX5&gt;=OY$29,OX5&lt;&gt;""),AND(PV5&gt;=QG$29,PV5&lt;&gt;""),AND(PY5&gt;=QG$29,PY5&lt;&gt;""),AND(QC5&gt;=QG$29,QC5&lt;&gt;""),AND(QF5&gt;=QG$29,QF5&lt;&gt;""),AND(RD5&gt;=RO$29,RD5&lt;&gt;""),AND(RG5&gt;=RO$29,RG5&lt;&gt;""),AND(RK5&gt;=RO$29,RK5&lt;&gt;""),AND(RN5&gt;=RO$29,RN5&lt;&gt;""),AND(SL5&gt;=SW$29,SL5&lt;&gt;""),AND(SO5&gt;=SW$29,SO5&lt;&gt;""),AND(SS5&gt;=SW$29,SS5&lt;&gt;""),AND(SV5&gt;=SW$29,SV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Z5&gt;=EM$28,DZ5&lt;&gt;"",EB5&gt;=EM$32,EB5&lt;&gt;""),AND(EC5&gt;=EM$28,EC5&lt;&gt;"",EE5&gt;=EM$32,EE5&lt;&gt;""),AND(EG5&gt;=EM$28,EG5&lt;&gt;"",EI5&gt;=EM$32,EI5&lt;&gt;""),AND(EJ5&gt;=EM$28,EJ5&lt;&gt;"",EL5&gt;=EM$32,EL5&lt;&gt;""),AND(FH5&gt;=FU$28,FH5&lt;&gt;"",FJ5&gt;=FU$32,FJ5&lt;&gt;""),AND(FK5&gt;=FU$28,FK5&lt;&gt;"",FM5&gt;=FU$32,FM5&lt;&gt;""),AND(FO5&gt;=FU$28,FO5&lt;&gt;"",FQ5&gt;=FU$32,FQ5&lt;&gt;""),AND(FR5&gt;=FU$28,FR5&lt;&gt;"",FT5&gt;=FU$32,FT5&lt;&gt;""),AND(GP5&gt;=HC$28,GP5&lt;&gt;"",GR5&gt;=HC$32,GR5&lt;&gt;""),AND(GS5&gt;=HC$28,GS5&lt;&gt;"",GU5&gt;=HC$32,GU5&lt;&gt;""),AND(GW5&gt;=HC$28,GW5&lt;&gt;"",GY5&gt;=HC$32,GY5&lt;&gt;""),AND(GZ5&gt;=HC$28,GZ5&lt;&gt;"",HB5&gt;=HC$32,HB5&lt;&gt;""),AND(HX5&gt;=IK$28,HX5&lt;&gt;"",HZ5&gt;=IK$32,HZ5&lt;&gt;""),AND(IA5&gt;=IK$28,IA5&lt;&gt;"",IC5&gt;=IK$32,IC5&lt;&gt;""),AND(IE5&gt;=IK$28,IE5&lt;&gt;"",IG5&gt;=IK$32,IG5&lt;&gt;""),AND(IH5&gt;=IK$28,IH5&lt;&gt;"",IJ5&gt;=IK$32,IJ5&lt;&gt;""),AND(JF5&gt;=JS$28,JF5&lt;&gt;"",JH5&gt;=JS$32,JH5&lt;&gt;""),AND(JI5&gt;=JS$28,JI5&lt;&gt;"",JK5&gt;=JS$32,JK5&lt;&gt;""),AND(JM5&gt;=JS$28,JM5&lt;&gt;"",JO5&gt;=JS$32,JO5&lt;&gt;""),AND(JP5&gt;=JS$28,JP5&lt;&gt;"",JR5&gt;=JS$32,JR5&lt;&gt;""),AND(KN5&gt;=LA$28,KN5&lt;&gt;"",KP5&gt;=LA$32,KP5&lt;&gt;""),AND(KQ5&gt;=LA$28,KQ5&lt;&gt;"",KS5&gt;=LA$32,KS5&lt;&gt;""),AND(KU5&gt;=LA$28,KU5&lt;&gt;"",KW5&gt;=LA$32,KW5&lt;&gt;""),AND(KX5&gt;=LA$28,KX5&lt;&gt;"",KZ5&gt;=LA$32,KZ5&lt;&gt;""),AND(LV5&gt;=MI$28,LV5&lt;&gt;"",LX5&gt;=MI$32,LX5&lt;&gt;""),AND(LY5&gt;=MI$28,LY5&lt;&gt;"",MA5&gt;=MI$32,MA5&lt;&gt;""),AND(MC5&gt;=MI$28,MC5&lt;&gt;"",ME5&gt;=MI$32,ME5&lt;&gt;""),AND(MF5&gt;=MI$28,MF5&lt;&gt;"",MH5&gt;=MI$32,MH5&lt;&gt;""),AND(ND5&gt;=NQ$28,ND5&lt;&gt;"",NF5&gt;=NQ$32,NF5&lt;&gt;""),AND(NG5&gt;=NQ$28,NG5&lt;&gt;"",NI5&gt;=NQ$32,NI5&lt;&gt;""),AND(NK5&gt;=NQ$28,NK5&lt;&gt;"",NM5&gt;=NQ$32,NM5&lt;&gt;""),AND(NN5&gt;=NQ$28,NN5&lt;&gt;"",NP5&gt;=NQ$32,NP5&lt;&gt;""),AND(OL5&gt;=OY$28,OL5&lt;&gt;"",ON5&gt;=OY$32,ON5&lt;&gt;""),AND(OO5&gt;=OY$28,OO5&lt;&gt;"",OQ5&gt;=OY$32,OQ5&lt;&gt;""),AND(OS5&gt;=OY$28,OS5&lt;&gt;"",OU5&gt;=OY$32,OU5&lt;&gt;""),AND(OV5&gt;=OY$28,OV5&lt;&gt;"",OX5&gt;=OY$32,OX5&lt;&gt;""),AND(PT5&gt;=QG$28,PT5&lt;&gt;"",PV5&gt;=QG$32,PV5&lt;&gt;""),AND(PW5&gt;=QG$28,PW5&lt;&gt;"",PY5&gt;=QG$32,PY5&lt;&gt;""),AND(QA5&gt;=QG$28,QA5&lt;&gt;"",QC5&gt;=QG$32,QC5&lt;&gt;""),AND(QD5&gt;=QG$28,QD5&lt;&gt;"",QF5&gt;=QG$32,QF5&lt;&gt;""),AND(RB5&gt;=RO$28,RB5&lt;&gt;"",RD5&gt;=RO$32,RD5&lt;&gt;""),AND(RE5&gt;=RO$28,RE5&lt;&gt;"",RG5&gt;=RO$32,RG5&lt;&gt;""),AND(RI5&gt;=RO$28,RI5&lt;&gt;"",RK5&gt;=RO$32,RK5&lt;&gt;""),AND(RL5&gt;=RO$28,RL5&lt;&gt;"",RN5&gt;=RO$32,RN5&lt;&gt;""),AND(SJ5&gt;=SW$28,SJ5&lt;&gt;"",SL5&gt;=SW$32,SL5&lt;&gt;""),AND(SM5&gt;=SW$28,SM5&lt;&gt;"",SO5&gt;=SW$32,SO5&lt;&gt;""),AND(SQ5&gt;=SW$28,SQ5&lt;&gt;"",SS5&gt;=SW$32,SS5&lt;&gt;""),AND(ST5&gt;=SW$28,ST5&lt;&gt;"",SV5&gt;=SW$32,SV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Z5&gt;=EM$27,DZ5&lt;&gt;"",EB5&gt;=EM$31,EB5&lt;&gt;""),AND(EC5&gt;=EM$27,EC5&lt;&gt;"",EE5&gt;=EM$31,EE5&lt;&gt;""),AND(EG5&gt;=EM$27,EG5&lt;&gt;"",EI5&gt;=EM$31,EI5&lt;&gt;""),AND(EJ5&gt;=EM$27,EJ5&lt;&gt;"",EL5&gt;=EM$31,EL5&lt;&gt;""),AND(FH5&gt;=FU$27,FH5&lt;&gt;"",FJ5&gt;=FU$31,FJ5&lt;&gt;""),AND(FK5&gt;=FU$27,FK5&lt;&gt;"",FM5&gt;=FU$31,FM5&lt;&gt;""),AND(FO5&gt;=FU$27,FO5&lt;&gt;"",FQ5&gt;=FU$31,FQ5&lt;&gt;""),AND(FR5&gt;=FU$27,FR5&lt;&gt;"",FT5&gt;=FU$31,FT5&lt;&gt;""),AND(GP5&gt;=HC$27,GP5&lt;&gt;"",GR5&gt;=HC$31,GR5&lt;&gt;""),AND(GS5&gt;=HC$27,GS5&lt;&gt;"",GU5&gt;=HC$31,GU5&lt;&gt;""),AND(GW5&gt;=HC$27,GW5&lt;&gt;"",GY5&gt;=HC$31,GY5&lt;&gt;""),AND(GZ5&gt;=HC$27,GZ5&lt;&gt;"",HB5&gt;=HC$31,HB5&lt;&gt;""),AND(HX5&gt;=IK$27,HX5&lt;&gt;"",HZ5&gt;=IK$31,HZ5&lt;&gt;""),AND(IA5&gt;=IK$27,IA5&lt;&gt;"",IC5&gt;=IK$31,IC5&lt;&gt;""),AND(IE5&gt;=IK$27,IE5&lt;&gt;"",IG5&gt;=IK$31,IG5&lt;&gt;""),AND(IH5&gt;=IK$27,IH5&lt;&gt;"",IJ5&gt;=IK$31,IJ5&lt;&gt;""),AND(JF5&gt;=JS$27,JF5&lt;&gt;"",JH5&gt;=JS$31,JH5&lt;&gt;""),AND(JI5&gt;=JS$27,JI5&lt;&gt;"",JK5&gt;=JS$31,JK5&lt;&gt;""),AND(JM5&gt;=JS$27,JM5&lt;&gt;"",JO5&gt;=JS$31,JO5&lt;&gt;""),AND(JP5&gt;=JS$27,JP5&lt;&gt;"",JR5&gt;=JS$31,JR5&lt;&gt;""),AND(KN5&gt;=LA$27,KN5&lt;&gt;"",KP5&gt;=LA$31,KP5&lt;&gt;""),AND(KQ5&gt;=LA$27,KQ5&lt;&gt;"",KS5&gt;=LA$31,KS5&lt;&gt;""),AND(KU5&gt;=LA$27,KU5&lt;&gt;"",KW5&gt;=LA$31,KW5&lt;&gt;""),AND(KX5&gt;=LA$27,KX5&lt;&gt;"",KZ5&gt;=LA$31,KZ5&lt;&gt;""),AND(LV5&gt;=MI$27,LV5&lt;&gt;"",LX5&gt;=MI$31,LX5&lt;&gt;""),AND(LY5&gt;=MI$27,LY5&lt;&gt;"",MA5&gt;=MI$31,MA5&lt;&gt;""),AND(MC5&gt;=MI$27,MC5&lt;&gt;"",ME5&gt;=MI$31,ME5&lt;&gt;""),AND(MF5&gt;=MI$27,MF5&lt;&gt;"",MH5&gt;=MI$31,MH5&lt;&gt;""),AND(ND5&gt;=NQ$27,ND5&lt;&gt;"",NF5&gt;=NQ$31,NF5&lt;&gt;""),AND(NG5&gt;=NQ$27,NG5&lt;&gt;"",NI5&gt;=NQ$31,NI5&lt;&gt;""),AND(NK5&gt;=NQ$27,NK5&lt;&gt;"",NM5&gt;=NQ$31,NM5&lt;&gt;""),AND(NN5&gt;=NQ$27,NN5&lt;&gt;"",NP5&gt;=NQ$31,NP5&lt;&gt;""),AND(OL5&gt;=OY$27,OL5&lt;&gt;"",ON5&gt;=OY$31,ON5&lt;&gt;""),AND(OO5&gt;=OY$27,OO5&lt;&gt;"",OQ5&gt;=OY$31,OQ5&lt;&gt;""),AND(OS5&gt;=OY$27,OS5&lt;&gt;"",OU5&gt;=OY$31,OU5&lt;&gt;""),AND(OV5&gt;=OY$27,OV5&lt;&gt;"",OX5&gt;=OY$31,OX5&lt;&gt;""),AND(PT5&gt;=QG$27,PT5&lt;&gt;"",PV5&gt;=QG$31,PV5&lt;&gt;""),AND(PW5&gt;=QG$27,PW5&lt;&gt;"",PY5&gt;=QG$31,PY5&lt;&gt;""),AND(QA5&gt;=QG$27,QA5&lt;&gt;"",QC5&gt;=QG$31,QC5&lt;&gt;""),AND(QD5&gt;=QG$27,QD5&lt;&gt;"",QF5&gt;=QG$31,QF5&lt;&gt;""),AND(RB5&gt;=RO$27,RB5&lt;&gt;"",RD5&gt;=RO$31,RD5&lt;&gt;""),AND(RE5&gt;=RO$27,RE5&lt;&gt;"",RG5&gt;=RO$31,RG5&lt;&gt;""),AND(RI5&gt;=RO$27,RI5&lt;&gt;"",RK5&gt;=RO$31,RK5&lt;&gt;""),AND(RL5&gt;=RO$27,RL5&lt;&gt;"",RN5&gt;=RO$31,RN5&lt;&gt;""),AND(SJ5&gt;=SW$27,SJ5&lt;&gt;"",SL5&gt;=SW$31,SL5&lt;&gt;""),AND(SM5&gt;=SW$27,SM5&lt;&gt;"",SO5&gt;=SW$31,SO5&lt;&gt;""),AND(SQ5&gt;=SW$27,SQ5&lt;&gt;"",SS5&gt;=SW$31,SS5&lt;&gt;""),AND(ST5&gt;=SW$27,ST5&lt;&gt;"",SV5&gt;=SW$31,SV5&lt;&gt;"")),"Excellence",IF(I5="P","Worlds Team",IF(F5="P","National Team","")))))</f>
        <v>Worlds Team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Z5&gt;=EM$26,DZ5&lt;&gt;"",EB5&gt;=EM$30,EB5&lt;&gt;""),AND(EC5&gt;=EM$26,EC5&lt;&gt;"",EE5&gt;=EM$30,EE5&lt;&gt;""),AND(EG5&gt;=EM$26,EG5&lt;&gt;"",EI5&gt;=EM$30,EI5&lt;&gt;""),AND(EJ5&gt;=EM$26,EJ5&lt;&gt;"",EL5&gt;=EM$30,EL5&lt;&gt;""),AND(FH5&gt;=FU$26,FH5&lt;&gt;"",FJ5&gt;=FU$30,FJ5&lt;&gt;""),AND(FK5&gt;=FU$26,FK5&lt;&gt;"",FM5&gt;=FU$30,FM5&lt;&gt;""),AND(FO5&gt;=FU$26,FO5&lt;&gt;"",FQ5&gt;=FU$30,FQ5&lt;&gt;""),AND(FR5&gt;=FU$26,FR5&lt;&gt;"",FT5&gt;=FU$30,FT5&lt;&gt;""),AND(GP5&gt;=HC$26,GP5&lt;&gt;"",GR5&gt;=HC$30,GR5&lt;&gt;""),AND(GS5&gt;=HC$26,GS5&lt;&gt;"",GU5&gt;=HC$30,GU5&lt;&gt;""),AND(GW5&gt;=HC$26,GW5&lt;&gt;"",GY5&gt;=HC$30,GY5&lt;&gt;""),AND(GZ5&gt;=HC$26,GZ5&lt;&gt;"",HB5&gt;=HC$30,HB5&lt;&gt;""),AND(HX5&gt;=IK$26,HX5&lt;&gt;"",HZ5&gt;=IK$30,HZ5&lt;&gt;""),AND(IA5&gt;=IK$26,IA5&lt;&gt;"",IC5&gt;=IK$30,IC5&lt;&gt;""),AND(IE5&gt;=IK$26,IE5&lt;&gt;"",IG5&gt;=IK$30,IG5&lt;&gt;""),AND(IH5&gt;=IK$26,IH5&lt;&gt;"",IJ5&gt;=IK$30,IJ5&lt;&gt;""),AND(JF5&gt;=JS$26,JF5&lt;&gt;"",JH5&gt;=JS$30,JH5&lt;&gt;""),AND(JI5&gt;=JS$26,JI5&lt;&gt;"",JK5&gt;=JS$30,JK5&lt;&gt;""),AND(JM5&gt;=JS$26,JM5&lt;&gt;"",JO5&gt;=JS$30,JO5&lt;&gt;""),AND(JP5&gt;=JS$26,JP5&lt;&gt;"",JR5&gt;=JS$30,JR5&lt;&gt;""),AND(KN5&gt;=LA$26,KN5&lt;&gt;"",KP5&gt;=LA$30,KP5&lt;&gt;""),AND(KQ5&gt;=LA$26,KQ5&lt;&gt;"",KS5&gt;=LA$30,KS5&lt;&gt;""),AND(KU5&gt;=LA$26,KU5&lt;&gt;"",KW5&gt;=LA$30,KW5&lt;&gt;""),AND(KX5&gt;=LA$26,KX5&lt;&gt;"",KZ5&gt;=LA$30,KZ5&lt;&gt;""),AND(LV5&gt;=MI$26,LV5&lt;&gt;"",LX5&gt;=MI$30,LX5&lt;&gt;""),AND(LY5&gt;=MI$26,LY5&lt;&gt;"",MA5&gt;=MI$30,MA5&lt;&gt;""),AND(MC5&gt;=MI$26,MC5&lt;&gt;"",ME5&gt;=MI$30,ME5&lt;&gt;""),AND(MF5&gt;=MI$26,MF5&lt;&gt;"",MH5&gt;=MI$30,MH5&lt;&gt;""),AND(ND5&gt;=NQ$26,ND5&lt;&gt;"",NF5&gt;=NQ$30,NF5&lt;&gt;""),AND(NG5&gt;=NQ$26,NG5&lt;&gt;"",NI5&gt;=NQ$30,NI5&lt;&gt;""),AND(NK5&gt;=NQ$26,NK5&lt;&gt;"",NM5&gt;=NQ$30,NM5&lt;&gt;""),AND(NN5&gt;=NQ$26,NN5&lt;&gt;"",NP5&gt;=NQ$30,NP5&lt;&gt;""),AND(OL5&gt;=OY$26,OL5&lt;&gt;"",ON5&gt;=OY$30,ON5&lt;&gt;""),AND(OO5&gt;=OY$26,OO5&lt;&gt;"",OQ5&gt;=OY$30,OQ5&lt;&gt;""),AND(OS5&gt;=OY$26,OS5&lt;&gt;"",OU5&gt;=OY$30,OU5&lt;&gt;""),AND(OV5&gt;=OY$26,OV5&lt;&gt;"",OX5&gt;=OY$30,OX5&lt;&gt;""),AND(PT5&gt;=QG$26,PT5&lt;&gt;"",PV5&gt;=QG$30,PV5&lt;&gt;""),AND(PW5&gt;=QG$26,PW5&lt;&gt;"",PY5&gt;=QG$30,PY5&lt;&gt;""),AND(QA5&gt;=QG$26,QA5&lt;&gt;"",QC5&gt;=QG$30,QC5&lt;&gt;""),AND(QD5&gt;=QG$26,QD5&lt;&gt;"",QF5&gt;=QG$30,QF5&lt;&gt;""),AND(RB5&gt;=RO$26,RB5&lt;&gt;"",RD5&gt;=RO$30,RD5&lt;&gt;""),AND(RE5&gt;=RO$26,RE5&lt;&gt;"",RG5&gt;=RO$30,RG5&lt;&gt;""),AND(RI5&gt;=RO$26,RI5&lt;&gt;"",RK5&gt;=RO$30,RK5&lt;&gt;""),AND(RL5&gt;=RO$26,RL5&lt;&gt;"",RN5&gt;=RO$30,RN5&lt;&gt;""),AND(SJ5&gt;=SW$26,SJ5&lt;&gt;"",SL5&gt;=SW$30,SL5&lt;&gt;""),AND(SM5&gt;=SW$26,SM5&lt;&gt;"",SO5&gt;=SW$30,SO5&lt;&gt;""),AND(SQ5&gt;=SW$26,SQ5&lt;&gt;"",SS5&gt;=SW$30,SS5&lt;&gt;""),AND(ST5&gt;=SW$26,ST5&lt;&gt;"",SV5&gt;=SW$30,SV5&lt;&gt;"")),"P","")</f>
        <v>P</v>
      </c>
      <c r="J5" s="13">
        <f>IF(COUNT(AQ5,AT5,BR5,BU5,CS5,CV5)&gt;0,LARGE((AQ5,AT5,BR5,BU5,CS5,CV5),1),0)</f>
        <v>58.174999999999997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57.91</v>
      </c>
      <c r="M5" s="13" t="str">
        <f>IF(L5="","",IF(OR(L5=CS5,L5=CV5),$CA$1,IF(OR(L5=BR5,L5=BU5),$AZ$1,IF(OR(L5=AQ5,L5=AT5),$Y$1,""))))</f>
        <v>2021 Canadian Championships</v>
      </c>
      <c r="N5" s="13">
        <f>IF(COUNT(AQ5,AT5,BR5,BU5,CS5,CV5)&gt;2,LARGE((AQ5,AT5,BR5,BU5,CS5,CV5),3),0)</f>
        <v>57.89500000000001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57.510000000000005</v>
      </c>
      <c r="Q5" s="13" t="str">
        <f>IF(P5="","",IF(P5=CZ5,$CA$1,IF(P5=BY5,$AZ$1,IF(P5=AX5,$Y$1,""))))</f>
        <v>2021 Canadian Championships</v>
      </c>
      <c r="R5" s="13">
        <f>IF(MAX(AO5,AR5,AV5,BP5,BS5,BW5,CQ5,CT5,CX5)&gt;0,MAX(AO5,AR5,BP5,BS5,CQ5,CT5,AV5),0)</f>
        <v>15.6</v>
      </c>
      <c r="S5" s="13" t="str">
        <f>IF(R5=0,"",IF(OR(R5=CQ5,R5=CT5,R5=CX5),$CA$1,IF(OR(R5=BP5,R5=BS5,R5=BW5),$AZ$1,IF(OR(R5=AO5,R5=AR5,R5=AV5),$Y$1,""))))</f>
        <v>2021 Elite Canada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),0)</f>
        <v>16.91</v>
      </c>
      <c r="U5" s="13" t="str">
        <f>IF(T5=0,"",IF(OR(T5=CR5,T5=CU5,T5=CY5),$CA$1,IF(OR(T5=BQ5,T5=BT5,T5=BX5),$AZ$1,IF(OR(T5=AP5,T5=AS5,T5=AW5),$Y$1,""))))</f>
        <v>2021 Canadian Championships</v>
      </c>
      <c r="V5" s="13">
        <f>IF(MAX(DB5,DC5,DD5,DE5)&gt;0,MAX(DB5,DC5,DD5,DE5),"")</f>
        <v>0.30000000000000071</v>
      </c>
      <c r="W5" s="16" t="str">
        <f>IF(V5="","",IF(V5=DB5,"("&amp;DB$2&amp;")",IF(V5=DC5,"("&amp;DC$2&amp;")",IF(V5=DD5,"("&amp;DD$2&amp;")",IF(V5=DE5,"("&amp;DE$2&amp;")")))))</f>
        <v>(DD)</v>
      </c>
      <c r="X5" s="13" t="str">
        <f>IF(V5="","",IF(V5=DB5,IF(V5+IF(L5="",0,L5)=SP5,$RP$1,IF(V5+IF(L5="",0,L5)=RH5,$QH$1,IF(V5+IF(L5="",0,L5)=PZ5,$OZ$1,IF(V5+IF(L5="",0,L5)=OR5,$NR$1,IF(V5+IF(L5="",0,L5)=NJ5,$MJ$1,IF(V5+IF(L5="",0,L5)=MB5,$LB$1,IF(V5+IF(L5="",0,L5)=KT5,$JT$1,IF(V5+IF(L5="",0,L5)=JL5,$IL$1,IF(V5+IF(L5="",0,L5)=ID5,$HD$1,IF(V5+IF(L5="",0,L5)=GV5,$FV$1,IF(V5+IF(L5="",0,L5)=FN5,$EN$1,IF(V5+IF(L5="",0,L5)=EF5,$DF$1)))))))))))),IF(V5=DC5,IF(V5+IF(P5="",0,P5)=SV5,$RP$1,IF(V5+IF(P5="",0,P5)=RN5,$QH$1,IF(V5+IF(P5="",0,P5)=QF5,$OZ$1,IF(V5+IF(P5="",0,P5)=OX5,$NR$1,IF(V5+IF(P5="",0,P5)=NP5,$MJ$1,IF(V5+IF(P5="",0,P5)=MH5,$LB$1,IF(V5+IF(P5="",0,P5)=KZ5,$JT$1,IF(V5+IF(P5="",0,P5)=JR5,$IL$1,IF(V5+IF(P5="",0,P5)=IJ5,$HD$1,IF(V5+IF(P5="",0,P5)=HB5,$FV$1,IF(V5+IF(P5="",0,P5)=FT5,$EN$1,IF(V5+IF(P5="",0,P5)=EL5,$DF$1)))))))))))),IF(V5=DD5,IF(V5+IF(R5="",0,R5)=MAX(SJ5,SM5,SQ5,ST5),$RP$1,IF(V5+IF(R5="",0,R5)=MAX(RB5,RE5,RI5,RL5),$QH$1,IF(V5+IF(R5="",0,R5)=MAX(PT5,PW5,QA5,QD5),$OZ$1,IF(V5+IF(R5="",0,R5)=MAX(OL5,OO5,OS5,OV5),$NR$1,IF(V5+IF(R5="",0,R5)=MAX(ND5,NG5,NK5,NN5),$MJ$1,IF(V5+IF(R5="",0,R5)=MAX(LV5,LY5,MC5,MF5),$LB$1,IF(V5+IF(R5="",0,R5)=MAX(KN5,KQ5,KU5,KX5),$JT$1,IF(V5+IF(R5="",0,R5)=MAX(JF5,JI5,JM5,JP5),$IL$1,IF(V5+IF(R5="",0,R5)=MAX(HX5,IA5,IE5,IH5),$HD$1,IF(V5+IF(R5="",0,R5)=MAX(GP5,GS5,GW5,GZ5),$FV$1,IF(V5+IF(R5="",0,R5)=MAX(FH5,FK5,FO5,FR5),$EN$1,IF(V5+IF(R5="",0,R5)=MAX(DZ5,EC5,EG5,EJ5),$DF$1)))))))))))),IF(V5=DE5,IF(V5+IF(T5="",0,T5)=MAX(SK5,SN5,SR5,SU5),$RP$1,IF(V5+IF(T5="",0,T5)=MAX(RC5,RF5,RJ5,RM5),$QH$1,IF(V5+IF(T5="",0,T5)=MAX(PU5,PX5,QB5,QE5),$OZ$1,IF(V5+IF(T5="",0,T5)=MAX(OM5,OP5,OT5,OW5),$NR$1,IF(V5+IF(T5="",0,T5)=MAX(NE5,NH5,NL5,NO5),$MJ$1,IF(V5+IF(T5="",0,T5)=MAX(LW5,LZ5,MD5,MG5),$LB$1,IF(V5+IF(T5="",0,T5)=MAX(KO5,KR5,KV5,KY5),$JT$1,IF(V5+IF(T5="",0,T5)=MAX(JG5,JJ5,JN5,JQ5),$IL$1,IF(V5+IF(T5="",0,T5)=MAX(HY5,IB5,IF5,II5),$HD$1,IF(V5+IF(T5="",0,T5)=MAX(GQ5,GT5,GX5,HA5),$FV$1,IF(V5+IF(T5="",0,T5)=MAX(FI5,FL5,FP5,FS5),$EN$1,IF(V5+IF(T5="",0,T5)=MAX(EA5,ED5,EH5,EK5),$DF$1)))))))))))))))))</f>
        <v>2021 World Championships (Nov 18)</v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>IF(AA5&gt;0,AA5,"")</f>
        <v>15.2</v>
      </c>
      <c r="AP5" s="74">
        <f>IF(AB5&gt;0,AB5,"")</f>
        <v>16.225000000000001</v>
      </c>
      <c r="AQ5" s="76">
        <f>IF(SUM(Y5:AB5)-AC5&gt;0,SUM(Y5:AB5)-AC5,"")</f>
        <v>57.524999999999999</v>
      </c>
      <c r="AR5" s="76">
        <f>IF(AF5&gt;0,AF5,"")</f>
        <v>15.2</v>
      </c>
      <c r="AS5" s="76">
        <f>IF(AG5&gt;0,AG5,"")</f>
        <v>16.11</v>
      </c>
      <c r="AT5" s="76">
        <f>IF(SUM(AD5:AG5)-AH5&gt;0,SUM(AD5:AG5)-AH5,"")</f>
        <v>57.61</v>
      </c>
      <c r="AU5" s="76">
        <f>IF(AQ5="","",MAX(AQ5,AT5))</f>
        <v>57.61</v>
      </c>
      <c r="AV5" s="76">
        <f>IF(AK5&gt;0,AK5,"")</f>
        <v>15.6</v>
      </c>
      <c r="AW5" s="76">
        <f>IF(AL5&gt;0,AL5,"")</f>
        <v>16.04</v>
      </c>
      <c r="AX5" s="76">
        <f>IF(SUM(AI5:AL5)-AM5&gt;0,SUM(AI5:AL5)-AM5,"")</f>
        <v>55.84</v>
      </c>
      <c r="AY5" s="76">
        <f>IF(SUM(AU5,AX5)&gt;0,SUM(AU5,AX5),"")</f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>IF(BB5&gt;0,BB5,"")</f>
        <v>15</v>
      </c>
      <c r="BQ5" s="75">
        <f>IF(BC5&gt;0,BC5,"")</f>
        <v>16.91</v>
      </c>
      <c r="BR5" s="16">
        <f>IF(SUM(AZ5:BC5)-BD5&gt;0,SUM(AZ5:BC5)-BD5,"")</f>
        <v>57.91</v>
      </c>
      <c r="BS5" s="16">
        <f>IF(BG5&gt;0,BG5,"")</f>
        <v>15</v>
      </c>
      <c r="BT5" s="16">
        <f>IF(BH5&gt;0,BH5,"")</f>
        <v>16.495000000000001</v>
      </c>
      <c r="BU5" s="16">
        <f>IF(SUM(BE5:BH5)-BI5&gt;0,SUM(BE5:BH5)-BI5,"")</f>
        <v>57.89500000000001</v>
      </c>
      <c r="BV5" s="16">
        <f>IF(BR5="","",MAX(BR5,BU5))</f>
        <v>57.91</v>
      </c>
      <c r="BW5" s="16">
        <f>IF(BL5&gt;0,BL5,"")</f>
        <v>15</v>
      </c>
      <c r="BX5" s="16">
        <f>IF(BM5&gt;0,BM5,"")</f>
        <v>16.41</v>
      </c>
      <c r="BY5" s="16">
        <f>IF(SUM(BJ5:BM5)-BN5&gt;0,SUM(BJ5:BM5)-BN5,"")</f>
        <v>57.510000000000005</v>
      </c>
      <c r="BZ5" s="16">
        <f>IF(SUM(BV5,BY5)&gt;0,SUM(BV5,BY5),"")</f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>IF(CC5&gt;0,CC5,"")</f>
        <v>15.4</v>
      </c>
      <c r="CR5" s="74">
        <f>IF(CD5&gt;0,CD5,"")</f>
        <v>16.574999999999999</v>
      </c>
      <c r="CS5" s="76">
        <f>IF(SUM(CA5:CD5)-CE5&gt;0,SUM(CA5:CD5)-CE5,"")</f>
        <v>58.174999999999997</v>
      </c>
      <c r="CT5" s="76">
        <f>IF(CH5&gt;0,CH5,"")</f>
        <v>3.6</v>
      </c>
      <c r="CU5" s="76">
        <f>IF(CI5&gt;0,CI5,"")</f>
        <v>3.5150000000000001</v>
      </c>
      <c r="CV5" s="76">
        <f>IF(SUM(CF5:CI5)-CJ5&gt;0,SUM(CF5:CI5)-CJ5,"")</f>
        <v>11.815000000000001</v>
      </c>
      <c r="CW5" s="76">
        <f>IF(CS5="","",MAX(CS5,CV5))</f>
        <v>58.174999999999997</v>
      </c>
      <c r="CX5" s="76">
        <f>IF(CM5&gt;0,CM5,"")</f>
        <v>16.3</v>
      </c>
      <c r="CY5" s="76">
        <f>IF(CN5&gt;0,CN5,"")</f>
        <v>16.295000000000002</v>
      </c>
      <c r="CZ5" s="76">
        <f>IF(SUM(CK5:CN5)-CO5&gt;0,SUM(CK5:CN5)-CO5,"")</f>
        <v>56.995000000000005</v>
      </c>
      <c r="DA5" s="76">
        <f>IF(SUM(CW5,CZ5)&gt;0,SUM(CW5,CZ5),"")</f>
        <v>115.17</v>
      </c>
      <c r="DB5" s="87" t="str">
        <f>IF(L5&gt;=0.001,IF(MAX(EF5,FN5,GV5,ID5,JL5,KT5,MB5,NJ5,OR5,PZ5,RH5,SP5)-IF(L5="",0,L5)&gt;0.001,MAX(EF5,FN5,GV5,ID5,JL5,KT5,MB5,NJ5,OR5,PZ5,RH5,SP5)-IF(L5="",0,L5),""),"")</f>
        <v/>
      </c>
      <c r="DC5" s="87" t="str">
        <f>IF(P5&gt;=0.001,IF(MAX(EI5,EL5,FQ5,FT5,GY5,HB5,IG5,IJ5,JO5,JR5,KW5,KZ5,ME5,MH5,NM5,NP5,OU5,OX5,QC5,QF5,RK5,RN5,SS5,SV5)-IF(P5="",0,P5)&gt;0.001,MAX(EI5,EL5,FQ5,FT5,GY5,HB5,IG5,IJ5,JO5,JR5,KW5,KZ5,ME5,MH5,NM5,NP5,OU5,OX5,QC5,QF5,RK5,RN5,SS5,SV5)-IF(P5="",0,P5),""),"")</f>
        <v/>
      </c>
      <c r="DD5" s="87">
        <f>IF(R5&gt;=0.001,IF(MAX(DZ5,EC5,EG5,EJ5,FH5,FK5,FO5,FR5,GP5,GS5,GW5,GZ5,HX5,IA5,IE5,IH5,JF5,JI5,JM5,JP5,KN5,KQ5,KU5,KX5,LV5,LY5,MC5,MF5,ND5,NG5,NK5,NN5,OL5,OO5,OS5,OV5,PT5,PW5,QA5,QD5,RB5,RE5,RI5,RL5,SJ5,SM5,SQ5,ST5)-IF(R5="",0,R5)&gt;0.001,MAX(DZ5,EC5,EG5,EJ5,FH5,FK5,FO5,FR5,GP5,GS5,GW5,GZ5,HX5,IA5,IE5,IH5,JF5,JI5,JM5,JP5,KN5,KQ5,KU5,KX5,LV5,LY5,MC5,MF5,ND5,NG5,NK5,NN5,OL5,OO5,OS5,OV5,PT5,PW5,QA5,QD5,RB5,RE5,RI5,RL5,SJ5,SM5,SQ5,ST5)-IF(R5="",0,R5),""),"")</f>
        <v>0.30000000000000071</v>
      </c>
      <c r="DE5" s="87" t="str">
        <f>IF(T5&gt;=0.001,IF(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&gt;0.001,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,""),"")</f>
        <v/>
      </c>
      <c r="DF5" s="25">
        <v>17</v>
      </c>
      <c r="DG5" s="25">
        <v>9.6</v>
      </c>
      <c r="DH5" s="25">
        <v>15</v>
      </c>
      <c r="DI5" s="25">
        <v>15.76</v>
      </c>
      <c r="DJ5" s="25">
        <v>0</v>
      </c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>
        <v>16.600000000000001</v>
      </c>
      <c r="DV5" s="25">
        <v>9.4</v>
      </c>
      <c r="DW5" s="25">
        <v>15</v>
      </c>
      <c r="DX5" s="25">
        <v>15.994999999999999</v>
      </c>
      <c r="DY5" s="25">
        <v>0</v>
      </c>
      <c r="DZ5" s="76">
        <f>IF(DH5&gt;0,DH5,"")</f>
        <v>15</v>
      </c>
      <c r="EA5" s="76">
        <f>IF(DI5&gt;0,DI5,"")</f>
        <v>15.76</v>
      </c>
      <c r="EB5" s="76">
        <f>IF(SUM(DF5:DI5)-DJ5&gt;0,SUM(DF5:DI5)-DJ5,"")</f>
        <v>57.36</v>
      </c>
      <c r="EC5" s="76" t="str">
        <f>IF(DM5&gt;0,DM5,"")</f>
        <v/>
      </c>
      <c r="ED5" s="76" t="str">
        <f>IF(DN5&gt;0,DN5,"")</f>
        <v/>
      </c>
      <c r="EE5" s="76" t="str">
        <f>IF(SUM(DK5:DN5)-DO5&gt;0,SUM(DK5:DN5)-DO5,"")</f>
        <v/>
      </c>
      <c r="EF5" s="76">
        <f>IF(MAX(EB5,EE5)&gt;0,MAX(EB5,EE5),"")</f>
        <v>57.36</v>
      </c>
      <c r="EG5" s="76" t="str">
        <f>IF(DR5&gt;0,DR5,"")</f>
        <v/>
      </c>
      <c r="EH5" s="76" t="str">
        <f>IF(DS5&gt;0,DS5,"")</f>
        <v/>
      </c>
      <c r="EI5" s="76" t="str">
        <f>IF(SUM(DP5:DS5)-DT5&gt;0,SUM(DP5:DS5)-DT5,"")</f>
        <v/>
      </c>
      <c r="EJ5" s="76">
        <f>IF(DW5&gt;0,DW5,"")</f>
        <v>15</v>
      </c>
      <c r="EK5" s="76">
        <f>IF(DX5&gt;0,DX5,"")</f>
        <v>15.994999999999999</v>
      </c>
      <c r="EL5" s="76">
        <f>IF(SUM(DU5:DX5)-DY5&gt;0,SUM(DU5:DX5)-DY5,"")</f>
        <v>56.994999999999997</v>
      </c>
      <c r="EM5" s="76">
        <f>IF(SUM(EF5,EL5)&gt;0,SUM(EF5,EL5),"")</f>
        <v>114.35499999999999</v>
      </c>
      <c r="EN5" s="26">
        <v>14.1</v>
      </c>
      <c r="EO5" s="26">
        <v>8.6999999999999993</v>
      </c>
      <c r="EP5" s="26">
        <v>15.9</v>
      </c>
      <c r="EQ5" s="26">
        <v>15.9</v>
      </c>
      <c r="ER5" s="26">
        <v>0</v>
      </c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16">
        <f>IF(EP5&gt;0,EP5,"")</f>
        <v>15.9</v>
      </c>
      <c r="FI5" s="16">
        <f>IF(EQ5&gt;0,EQ5,"")</f>
        <v>15.9</v>
      </c>
      <c r="FJ5" s="16">
        <f>IF(SUM(EN5:EQ5)-ER5&gt;0,SUM(EN5:EQ5)-ER5,"")</f>
        <v>54.599999999999994</v>
      </c>
      <c r="FK5" s="16" t="str">
        <f>IF(EU5&gt;0,EU5,"")</f>
        <v/>
      </c>
      <c r="FL5" s="16" t="str">
        <f>IF(EV5&gt;0,EV5,"")</f>
        <v/>
      </c>
      <c r="FM5" s="16" t="str">
        <f>IF(SUM(ES5:EV5)-EW5&gt;0,SUM(ES5:EV5)-EW5,"")</f>
        <v/>
      </c>
      <c r="FN5" s="16">
        <f>IF(MAX(FJ5,FM5)&gt;0,MAX(FJ5,FM5),"")</f>
        <v>54.599999999999994</v>
      </c>
      <c r="FO5" s="16" t="str">
        <f>IF(EZ5&gt;0,EZ5,"")</f>
        <v/>
      </c>
      <c r="FP5" s="16" t="str">
        <f>IF(FA5&gt;0,FA5,"")</f>
        <v/>
      </c>
      <c r="FQ5" s="16" t="str">
        <f>IF(SUM(EX5:FA5)-FB5&gt;0,SUM(EX5:FA5)-FB5,"")</f>
        <v/>
      </c>
      <c r="FR5" s="16" t="str">
        <f>IF(FE5&gt;0,FE5,"")</f>
        <v/>
      </c>
      <c r="FS5" s="16" t="str">
        <f>IF(FF5&gt;0,FF5,"")</f>
        <v/>
      </c>
      <c r="FT5" s="16" t="str">
        <f>IF(SUM(FC5:FF5)-FG5&gt;0,SUM(FC5:FF5)-FG5,"")</f>
        <v/>
      </c>
      <c r="FU5" s="16">
        <f>IF(SUM(FN5,FT5)&gt;0,SUM(FN5,FT5),"")</f>
        <v>54.599999999999994</v>
      </c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76" t="str">
        <f>IF(FX5&gt;0,FX5,"")</f>
        <v/>
      </c>
      <c r="GQ5" s="76" t="str">
        <f>IF(FY5&gt;0,FY5,"")</f>
        <v/>
      </c>
      <c r="GR5" s="76" t="str">
        <f>IF(SUM(FV5:FY5)-FZ5&gt;0,SUM(FV5:FY5)-FZ5,"")</f>
        <v/>
      </c>
      <c r="GS5" s="76" t="str">
        <f>IF(GC5&gt;0,GC5,"")</f>
        <v/>
      </c>
      <c r="GT5" s="76" t="str">
        <f>IF(GD5&gt;0,GD5,"")</f>
        <v/>
      </c>
      <c r="GU5" s="76" t="str">
        <f>IF(SUM(GA5:GD5)-GE5&gt;0,SUM(GA5:GD5)-GE5,"")</f>
        <v/>
      </c>
      <c r="GV5" s="76" t="str">
        <f>IF(MAX(GR5,GU5)&gt;0,MAX(GR5,GU5),"")</f>
        <v/>
      </c>
      <c r="GW5" s="76" t="str">
        <f>IF(GH5&gt;0,GH5,"")</f>
        <v/>
      </c>
      <c r="GX5" s="76" t="str">
        <f>IF(GI5&gt;0,GI5,"")</f>
        <v/>
      </c>
      <c r="GY5" s="76" t="str">
        <f>IF(SUM(GF5:GI5)-GJ5&gt;0,SUM(GF5:GI5)-GJ5,"")</f>
        <v/>
      </c>
      <c r="GZ5" s="76" t="str">
        <f>IF(GM5&gt;0,GM5,"")</f>
        <v/>
      </c>
      <c r="HA5" s="76" t="str">
        <f>IF(GN5&gt;0,GN5,"")</f>
        <v/>
      </c>
      <c r="HB5" s="76" t="str">
        <f>IF(SUM(GK5:GN5)-GO5&gt;0,SUM(GK5:GN5)-GO5,"")</f>
        <v/>
      </c>
      <c r="HC5" s="76" t="str">
        <f>IF(SUM(GV5,HB5)&gt;0,SUM(GV5,HB5),"")</f>
        <v/>
      </c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16" t="str">
        <f>IF(HF5&gt;0,HF5,"")</f>
        <v/>
      </c>
      <c r="HY5" s="16" t="str">
        <f>IF(HG5&gt;0,HG5,"")</f>
        <v/>
      </c>
      <c r="HZ5" s="16" t="str">
        <f>IF(SUM(HD5:HG5)-HH5&gt;0,SUM(HD5:HG5)-HH5,"")</f>
        <v/>
      </c>
      <c r="IA5" s="16" t="str">
        <f>IF(HK5&gt;0,HK5,"")</f>
        <v/>
      </c>
      <c r="IB5" s="16" t="str">
        <f>IF(HL5&gt;0,HL5,"")</f>
        <v/>
      </c>
      <c r="IC5" s="16" t="str">
        <f>IF(SUM(HI5:HL5)-HM5&gt;0,SUM(HI5:HL5)-HM5,"")</f>
        <v/>
      </c>
      <c r="ID5" s="16" t="str">
        <f>IF(MAX(HZ5,IC5)&gt;0,MAX(HZ5,IC5),"")</f>
        <v/>
      </c>
      <c r="IE5" s="16" t="str">
        <f>IF(HP5&gt;0,HP5,"")</f>
        <v/>
      </c>
      <c r="IF5" s="16" t="str">
        <f>IF(HQ5&gt;0,HQ5,"")</f>
        <v/>
      </c>
      <c r="IG5" s="16" t="str">
        <f>IF(SUM(HN5:HQ5)-HR5&gt;0,SUM(HN5:HQ5)-HR5,"")</f>
        <v/>
      </c>
      <c r="IH5" s="16" t="str">
        <f>IF(HU5&gt;0,HU5,"")</f>
        <v/>
      </c>
      <c r="II5" s="16" t="str">
        <f>IF(HV5&gt;0,HV5,"")</f>
        <v/>
      </c>
      <c r="IJ5" s="16" t="str">
        <f>IF(SUM(HS5:HV5)-HW5&gt;0,SUM(HS5:HV5)-HW5,"")</f>
        <v/>
      </c>
      <c r="IK5" s="16" t="str">
        <f>IF(SUM(ID5,IJ5)&gt;0,SUM(ID5,IJ5),"")</f>
        <v/>
      </c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76" t="str">
        <f>IF(IN5&gt;0,IN5,"")</f>
        <v/>
      </c>
      <c r="JG5" s="76" t="str">
        <f>IF(IO5&gt;0,IO5,"")</f>
        <v/>
      </c>
      <c r="JH5" s="76" t="str">
        <f>IF(SUM(IL5:IO5)-IP5&gt;0,SUM(IL5:IO5)-IP5,"")</f>
        <v/>
      </c>
      <c r="JI5" s="76" t="str">
        <f>IF(IS5&gt;0,IS5,"")</f>
        <v/>
      </c>
      <c r="JJ5" s="76" t="str">
        <f>IF(IT5&gt;0,IT5,"")</f>
        <v/>
      </c>
      <c r="JK5" s="76" t="str">
        <f>IF(SUM(IQ5:IT5)-IU5&gt;0,SUM(IQ5:IT5)-IU5,"")</f>
        <v/>
      </c>
      <c r="JL5" s="76" t="str">
        <f>IF(MAX(JH5,JK5)&gt;0,MAX(JH5,JK5),"")</f>
        <v/>
      </c>
      <c r="JM5" s="76" t="str">
        <f>IF(IX5&gt;0,IX5,"")</f>
        <v/>
      </c>
      <c r="JN5" s="76" t="str">
        <f>IF(IY5&gt;0,IY5,"")</f>
        <v/>
      </c>
      <c r="JO5" s="76" t="str">
        <f>IF(SUM(IV5:IY5)-IZ5&gt;0,SUM(IV5:IY5)-IZ5,"")</f>
        <v/>
      </c>
      <c r="JP5" s="76" t="str">
        <f>IF(JC5&gt;0,JC5,"")</f>
        <v/>
      </c>
      <c r="JQ5" s="76" t="str">
        <f>IF(JD5&gt;0,JD5,"")</f>
        <v/>
      </c>
      <c r="JR5" s="76" t="str">
        <f>IF(SUM(JA5:JD5)-JE5&gt;0,SUM(JA5:JD5)-JE5,"")</f>
        <v/>
      </c>
      <c r="JS5" s="76" t="str">
        <f>IF(SUM(JL5,JR5)&gt;0,SUM(JL5,JR5),"")</f>
        <v/>
      </c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16" t="str">
        <f>IF(JV5&gt;0,JV5,"")</f>
        <v/>
      </c>
      <c r="KO5" s="16" t="str">
        <f>IF(JW5&gt;0,JW5,"")</f>
        <v/>
      </c>
      <c r="KP5" s="16" t="str">
        <f>IF(SUM(JT5:JW5)-JX5&gt;0,SUM(JT5:JW5)-JX5,"")</f>
        <v/>
      </c>
      <c r="KQ5" s="16" t="str">
        <f>IF(KA5&gt;0,KA5,"")</f>
        <v/>
      </c>
      <c r="KR5" s="16" t="str">
        <f>IF(KB5&gt;0,KB5,"")</f>
        <v/>
      </c>
      <c r="KS5" s="16" t="str">
        <f>IF(SUM(JY5:KB5)-KC5&gt;0,SUM(JY5:KB5)-KC5,"")</f>
        <v/>
      </c>
      <c r="KT5" s="16" t="str">
        <f>IF(MAX(KP5,KS5)&gt;0,MAX(KP5,KS5),"")</f>
        <v/>
      </c>
      <c r="KU5" s="16" t="str">
        <f>IF(KF5&gt;0,KF5,"")</f>
        <v/>
      </c>
      <c r="KV5" s="16" t="str">
        <f>IF(KG5&gt;0,KG5,"")</f>
        <v/>
      </c>
      <c r="KW5" s="16" t="str">
        <f>IF(SUM(KD5:KG5)-KH5&gt;0,SUM(KD5:KG5)-KH5,"")</f>
        <v/>
      </c>
      <c r="KX5" s="16" t="str">
        <f>IF(KK5&gt;0,KK5,"")</f>
        <v/>
      </c>
      <c r="KY5" s="16" t="str">
        <f>IF(KL5&gt;0,KL5,"")</f>
        <v/>
      </c>
      <c r="KZ5" s="16" t="str">
        <f>IF(SUM(KI5:KL5)-KM5&gt;0,SUM(KI5:KL5)-KM5,"")</f>
        <v/>
      </c>
      <c r="LA5" s="16" t="str">
        <f>IF(SUM(KT5,KZ5)&gt;0,SUM(KT5,KZ5),"")</f>
        <v/>
      </c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76" t="str">
        <f>IF(LD5&gt;0,LD5,"")</f>
        <v/>
      </c>
      <c r="LW5" s="76" t="str">
        <f>IF(LE5&gt;0,LE5,"")</f>
        <v/>
      </c>
      <c r="LX5" s="76" t="str">
        <f>IF(SUM(LB5:LE5)-LF5&gt;0,SUM(LB5:LE5)-LF5,"")</f>
        <v/>
      </c>
      <c r="LY5" s="76" t="str">
        <f>IF(LI5&gt;0,LI5,"")</f>
        <v/>
      </c>
      <c r="LZ5" s="76" t="str">
        <f>IF(LJ5&gt;0,LJ5,"")</f>
        <v/>
      </c>
      <c r="MA5" s="76" t="str">
        <f>IF(SUM(LG5:LJ5)-LK5&gt;0,SUM(LG5:LJ5)-LK5,"")</f>
        <v/>
      </c>
      <c r="MB5" s="76" t="str">
        <f>IF(MAX(LX5,MA5)&gt;0,MAX(LX5,MA5),"")</f>
        <v/>
      </c>
      <c r="MC5" s="76" t="str">
        <f>IF(LN5&gt;0,LN5,"")</f>
        <v/>
      </c>
      <c r="MD5" s="76" t="str">
        <f>IF(LO5&gt;0,LO5,"")</f>
        <v/>
      </c>
      <c r="ME5" s="76" t="str">
        <f>IF(SUM(LL5:LO5)-LP5&gt;0,SUM(LL5:LO5)-LP5,"")</f>
        <v/>
      </c>
      <c r="MF5" s="76" t="str">
        <f>IF(LS5&gt;0,LS5,"")</f>
        <v/>
      </c>
      <c r="MG5" s="76" t="str">
        <f>IF(LT5&gt;0,LT5,"")</f>
        <v/>
      </c>
      <c r="MH5" s="76" t="str">
        <f>IF(SUM(LQ5:LT5)-LU5&gt;0,SUM(LQ5:LT5)-LU5,"")</f>
        <v/>
      </c>
      <c r="MI5" s="76" t="str">
        <f>IF(SUM(MB5,MH5)&gt;0,SUM(MB5,MH5),"")</f>
        <v/>
      </c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26"/>
      <c r="NC5" s="26"/>
      <c r="ND5" s="16" t="str">
        <f>IF(ML5&gt;0,ML5,"")</f>
        <v/>
      </c>
      <c r="NE5" s="16" t="str">
        <f>IF(MM5&gt;0,MM5,"")</f>
        <v/>
      </c>
      <c r="NF5" s="16" t="str">
        <f>IF(SUM(MJ5:MM5)-MN5&gt;0,SUM(MJ5:MM5)-MN5,"")</f>
        <v/>
      </c>
      <c r="NG5" s="16" t="str">
        <f>IF(MQ5&gt;0,MQ5,"")</f>
        <v/>
      </c>
      <c r="NH5" s="16" t="str">
        <f>IF(MR5&gt;0,MR5,"")</f>
        <v/>
      </c>
      <c r="NI5" s="16" t="str">
        <f>IF(SUM(MO5:MR5)-MS5&gt;0,SUM(MO5:MR5)-MS5,"")</f>
        <v/>
      </c>
      <c r="NJ5" s="16" t="str">
        <f>IF(MAX(NF5,NI5)&gt;0,MAX(NF5,NI5),"")</f>
        <v/>
      </c>
      <c r="NK5" s="16" t="str">
        <f>IF(MV5&gt;0,MV5,"")</f>
        <v/>
      </c>
      <c r="NL5" s="16" t="str">
        <f>IF(MW5&gt;0,MW5,"")</f>
        <v/>
      </c>
      <c r="NM5" s="16" t="str">
        <f>IF(SUM(MT5:MW5)-MX5&gt;0,SUM(MT5:MW5)-MX5,"")</f>
        <v/>
      </c>
      <c r="NN5" s="16" t="str">
        <f>IF(NA5&gt;0,NA5,"")</f>
        <v/>
      </c>
      <c r="NO5" s="16" t="str">
        <f>IF(NB5&gt;0,NB5,"")</f>
        <v/>
      </c>
      <c r="NP5" s="16" t="str">
        <f>IF(SUM(MY5:NB5)-NC5&gt;0,SUM(MY5:NB5)-NC5,"")</f>
        <v/>
      </c>
      <c r="NQ5" s="16" t="str">
        <f>IF(SUM(NJ5,NP5)&gt;0,SUM(NJ5,NP5),"")</f>
        <v/>
      </c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76" t="str">
        <f>IF(NT5&gt;0,NT5,"")</f>
        <v/>
      </c>
      <c r="OM5" s="76" t="str">
        <f>IF(NU5&gt;0,NU5,"")</f>
        <v/>
      </c>
      <c r="ON5" s="76" t="str">
        <f>IF(SUM(NR5:NU5)-NV5&gt;0,SUM(NR5:NU5)-NV5,"")</f>
        <v/>
      </c>
      <c r="OO5" s="76" t="str">
        <f>IF(NY5&gt;0,NY5,"")</f>
        <v/>
      </c>
      <c r="OP5" s="76" t="str">
        <f>IF(NZ5&gt;0,NZ5,"")</f>
        <v/>
      </c>
      <c r="OQ5" s="76" t="str">
        <f>IF(SUM(NW5:NZ5)-OA5&gt;0,SUM(NW5:NZ5)-OA5,"")</f>
        <v/>
      </c>
      <c r="OR5" s="76" t="str">
        <f>IF(MAX(ON5,OQ5)&gt;0,MAX(ON5,OQ5),"")</f>
        <v/>
      </c>
      <c r="OS5" s="76" t="str">
        <f>IF(OD5&gt;0,OD5,"")</f>
        <v/>
      </c>
      <c r="OT5" s="76" t="str">
        <f>IF(OE5&gt;0,OE5,"")</f>
        <v/>
      </c>
      <c r="OU5" s="76" t="str">
        <f>IF(SUM(OB5:OE5)-OF5&gt;0,SUM(OB5:OE5)-OF5,"")</f>
        <v/>
      </c>
      <c r="OV5" s="76" t="str">
        <f>IF(OI5&gt;0,OI5,"")</f>
        <v/>
      </c>
      <c r="OW5" s="76" t="str">
        <f>IF(OJ5&gt;0,OJ5,"")</f>
        <v/>
      </c>
      <c r="OX5" s="76" t="str">
        <f>IF(SUM(OG5:OJ5)-OK5&gt;0,SUM(OG5:OJ5)-OK5,"")</f>
        <v/>
      </c>
      <c r="OY5" s="76" t="str">
        <f>IF(SUM(OR5,OX5)&gt;0,SUM(OR5,OX5),"")</f>
        <v/>
      </c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16" t="str">
        <f>IF(PB5&gt;0,PB5,"")</f>
        <v/>
      </c>
      <c r="PU5" s="16" t="str">
        <f>IF(PC5&gt;0,PC5,"")</f>
        <v/>
      </c>
      <c r="PV5" s="16" t="str">
        <f>IF(SUM(OZ5:PC5)-PD5&gt;0,SUM(OZ5:PC5)-PD5,"")</f>
        <v/>
      </c>
      <c r="PW5" s="16" t="str">
        <f>IF(PG5&gt;0,PG5,"")</f>
        <v/>
      </c>
      <c r="PX5" s="16" t="str">
        <f>IF(PH5&gt;0,PH5,"")</f>
        <v/>
      </c>
      <c r="PY5" s="16" t="str">
        <f>IF(SUM(PE5:PH5)-PI5&gt;0,SUM(PE5:PH5)-PI5,"")</f>
        <v/>
      </c>
      <c r="PZ5" s="16" t="str">
        <f>IF(MAX(PV5,PY5)&gt;0,MAX(PV5,PY5),"")</f>
        <v/>
      </c>
      <c r="QA5" s="16" t="str">
        <f>IF(PL5&gt;0,PL5,"")</f>
        <v/>
      </c>
      <c r="QB5" s="16" t="str">
        <f>IF(PM5&gt;0,PM5,"")</f>
        <v/>
      </c>
      <c r="QC5" s="16" t="str">
        <f>IF(SUM(PJ5:PM5)-PN5&gt;0,SUM(PJ5:PM5)-PN5,"")</f>
        <v/>
      </c>
      <c r="QD5" s="16" t="str">
        <f>IF(PQ5&gt;0,PQ5,"")</f>
        <v/>
      </c>
      <c r="QE5" s="16" t="str">
        <f>IF(PR5&gt;0,PR5,"")</f>
        <v/>
      </c>
      <c r="QF5" s="16" t="str">
        <f>IF(SUM(PO5:PR5)-PS5&gt;0,SUM(PO5:PR5)-PS5,"")</f>
        <v/>
      </c>
      <c r="QG5" s="16" t="str">
        <f>IF(SUM(PZ5,QF5)&gt;0,SUM(PZ5,QF5),"")</f>
        <v/>
      </c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25"/>
      <c r="RA5" s="25"/>
      <c r="RB5" s="76" t="str">
        <f>IF(QJ5&gt;0,QJ5,"")</f>
        <v/>
      </c>
      <c r="RC5" s="76" t="str">
        <f>IF(QK5&gt;0,QK5,"")</f>
        <v/>
      </c>
      <c r="RD5" s="76" t="str">
        <f>IF(SUM(QH5:QK5)-QL5&gt;0,SUM(QH5:QK5)-QL5,"")</f>
        <v/>
      </c>
      <c r="RE5" s="76" t="str">
        <f>IF(QO5&gt;0,QO5,"")</f>
        <v/>
      </c>
      <c r="RF5" s="76" t="str">
        <f>IF(QP5&gt;0,QP5,"")</f>
        <v/>
      </c>
      <c r="RG5" s="76" t="str">
        <f>IF(SUM(QM5:QP5)-QQ5&gt;0,SUM(QM5:QP5)-QQ5,"")</f>
        <v/>
      </c>
      <c r="RH5" s="76" t="str">
        <f>IF(MAX(RD5,RG5)&gt;0,MAX(RD5,RG5),"")</f>
        <v/>
      </c>
      <c r="RI5" s="76" t="str">
        <f>IF(QT5&gt;0,QT5,"")</f>
        <v/>
      </c>
      <c r="RJ5" s="76" t="str">
        <f>IF(QU5&gt;0,QU5,"")</f>
        <v/>
      </c>
      <c r="RK5" s="76" t="str">
        <f>IF(SUM(QR5:QU5)-QV5&gt;0,SUM(QR5:QU5)-QV5,"")</f>
        <v/>
      </c>
      <c r="RL5" s="76" t="str">
        <f>IF(QY5&gt;0,QY5,"")</f>
        <v/>
      </c>
      <c r="RM5" s="76" t="str">
        <f>IF(QZ5&gt;0,QZ5,"")</f>
        <v/>
      </c>
      <c r="RN5" s="76" t="str">
        <f>IF(SUM(QW5:QZ5)-RA5&gt;0,SUM(QW5:QZ5)-RA5,"")</f>
        <v/>
      </c>
      <c r="RO5" s="76" t="str">
        <f>IF(SUM(RH5,RN5)&gt;0,SUM(RH5,RN5),"")</f>
        <v/>
      </c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26"/>
      <c r="SI5" s="26"/>
      <c r="SJ5" s="16" t="str">
        <f>IF(RR5&gt;0,RR5,"")</f>
        <v/>
      </c>
      <c r="SK5" s="16" t="str">
        <f>IF(RS5&gt;0,RS5,"")</f>
        <v/>
      </c>
      <c r="SL5" s="16" t="str">
        <f>IF(SUM(RP5:RS5)-RT5&gt;0,SUM(RP5:RS5)-RT5,"")</f>
        <v/>
      </c>
      <c r="SM5" s="16" t="str">
        <f>IF(RW5&gt;0,RW5,"")</f>
        <v/>
      </c>
      <c r="SN5" s="16" t="str">
        <f>IF(RX5&gt;0,RX5,"")</f>
        <v/>
      </c>
      <c r="SO5" s="16" t="str">
        <f>IF(SUM(RU5:RX5)-RY5&gt;0,SUM(RU5:RX5)-RY5,"")</f>
        <v/>
      </c>
      <c r="SP5" s="16" t="str">
        <f>IF(MAX(SL5,SO5)&gt;0,MAX(SL5,SO5),"")</f>
        <v/>
      </c>
      <c r="SQ5" s="16" t="str">
        <f>IF(SB5&gt;0,SB5,"")</f>
        <v/>
      </c>
      <c r="SR5" s="16" t="str">
        <f>IF(SC5&gt;0,SC5,"")</f>
        <v/>
      </c>
      <c r="SS5" s="16" t="str">
        <f>IF(SUM(RZ5:SC5)-SD5&gt;0,SUM(RZ5:SC5)-SD5,"")</f>
        <v/>
      </c>
      <c r="ST5" s="16" t="str">
        <f>IF(SG5&gt;0,SG5,"")</f>
        <v/>
      </c>
      <c r="SU5" s="16" t="str">
        <f>IF(SH5&gt;0,SH5,"")</f>
        <v/>
      </c>
      <c r="SV5" s="16" t="str">
        <f>IF(SUM(SE5:SH5)-SI5&gt;0,SUM(SE5:SH5)-SI5,"")</f>
        <v/>
      </c>
      <c r="SW5" s="16" t="str">
        <f>IF(SUM(SP5,SV5)&gt;0,SUM(SP5,SV5),"")</f>
        <v/>
      </c>
      <c r="SX5" s="42">
        <f>IF($CP5="P",CA5,(CA5+AZ5)/2)</f>
        <v>16.850000000000001</v>
      </c>
      <c r="SY5" s="42">
        <f>IF($CP5="P",CB5,(CB5+BA5)/2)</f>
        <v>9.25</v>
      </c>
      <c r="SZ5" s="42">
        <f>IF($CP5="P",CC5,(CC5+BB5)/2)</f>
        <v>15.2</v>
      </c>
      <c r="TA5" s="42">
        <f>IF($CP5="P",CD5,(CD5+BC5)/2)</f>
        <v>16.7425</v>
      </c>
      <c r="TB5" s="42">
        <f>IF($CP5="P",CE5,(CE5+BD5)/2)</f>
        <v>0</v>
      </c>
      <c r="TC5" s="42">
        <f>IF($CP5="P",CF5,(CF5+BE5)/2)</f>
        <v>10.100000000000001</v>
      </c>
      <c r="TD5" s="42">
        <f>IF($CP5="P",CG5,(CG5+BF5)/2)</f>
        <v>5.45</v>
      </c>
      <c r="TE5" s="42">
        <f>IF($CP5="P",CH5,(CH5+BG5)/2)</f>
        <v>9.3000000000000007</v>
      </c>
      <c r="TF5" s="42">
        <f>IF($CP5="P",CI5,(CI5+BH5)/2)</f>
        <v>10.005000000000001</v>
      </c>
      <c r="TG5" s="42">
        <f>IF($CP5="P",CJ5,(CJ5+BI5)/2)</f>
        <v>0</v>
      </c>
      <c r="TH5" s="42">
        <f>IF($CP5="P",CK5,(CK5+BJ5)/2)</f>
        <v>16.399999999999999</v>
      </c>
      <c r="TI5" s="42">
        <f>IF($CP5="P",CL5,(CL5+BK5)/2)</f>
        <v>8.85</v>
      </c>
      <c r="TJ5" s="42">
        <f>IF($CP5="P",CM5,(CM5+BL5)/2)</f>
        <v>15.65</v>
      </c>
      <c r="TK5" s="42">
        <f>IF($CP5="P",CN5,(CN5+BM5)/2)</f>
        <v>16.352499999999999</v>
      </c>
      <c r="TL5" s="42">
        <f>IF($CP5="P",CO5,(CO5+BN5)/2)</f>
        <v>0</v>
      </c>
      <c r="TM5" s="51" t="s">
        <v>61</v>
      </c>
      <c r="TN5" s="76">
        <f>IF(SZ5&gt;0,SZ5,"")</f>
        <v>15.2</v>
      </c>
      <c r="TO5" s="76">
        <f>IF(TA5&gt;0,TA5,"")</f>
        <v>16.7425</v>
      </c>
      <c r="TP5" s="76">
        <f>IF(SUM(SX5:TA5)-TB5&gt;0,SUM(SX5:TA5)-TB5,"")</f>
        <v>58.042499999999997</v>
      </c>
      <c r="TQ5" s="76">
        <f>IF(TE5&gt;0,TE5,"")</f>
        <v>9.3000000000000007</v>
      </c>
      <c r="TR5" s="76">
        <f>IF(TF5&gt;0,TF5,"")</f>
        <v>10.005000000000001</v>
      </c>
      <c r="TS5" s="76">
        <f>IF(SUM(TC5:TF5)-TG5&gt;0,SUM(TC5:TF5)-TG5,"")</f>
        <v>34.855000000000004</v>
      </c>
      <c r="TT5" s="76">
        <f>IF(MAX(TP5,TS5)&gt;0,MAX(TP5,TS5),"")</f>
        <v>58.042499999999997</v>
      </c>
      <c r="TU5" s="76">
        <f>IF(TJ5&gt;0,TJ5,"")</f>
        <v>15.65</v>
      </c>
      <c r="TV5" s="76">
        <f>IF(TK5&gt;0,TK5,"")</f>
        <v>16.352499999999999</v>
      </c>
      <c r="TW5" s="76">
        <f>IF(SUM(TH5:TK5)-TL5&gt;0,SUM(TH5:TK5)-TL5,"")</f>
        <v>57.252499999999998</v>
      </c>
      <c r="TX5" s="76">
        <f>IF(SUM(TT5,TW5)&gt;0,SUM(TT5,TW5),"")</f>
        <v>115.29499999999999</v>
      </c>
    </row>
    <row r="6" spans="1:544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>SUM(J6:V6)+SUM(J6:T6)*0.0000001+SUM(J6)*0.0000000000001</f>
        <v>261.34002613400565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Z6&gt;=EM$25,DZ6&lt;&gt;"",EB6&gt;=EM$29,EB6&lt;&gt;""),AND(EC6&gt;=EM$25,EC6&lt;&gt;"",EE6&gt;=EM$29,EE6&lt;&gt;""),AND(EG6&gt;=EM$25,EG6&lt;&gt;"",EI6&gt;=EM$29,EI6&lt;&gt;""),AND(EJ6&gt;=EM$25,EJ6&lt;&gt;"",EL6&gt;=EM$29,EL6&lt;&gt;""),AND(FH6&gt;=FU$25,FH6&lt;&gt;"",FJ6&gt;=FU$29,FJ6&lt;&gt;""),AND(FK6&gt;=FU$25,FK6&lt;&gt;"",FM6&gt;=FU$29,FM6&lt;&gt;""),AND(FO6&gt;=FU$25,FO6&lt;&gt;"",FQ6&gt;=FU$29,FQ6&lt;&gt;""),AND(FR6&gt;=FU$25,FR6&lt;&gt;"",FT6&gt;=FU$29,FT6&lt;&gt;""),AND(GP6&gt;=HC$25,GP6&lt;&gt;"",GR6&gt;=HC$29,GR6&lt;&gt;""),AND(GS6&gt;=HC$25,GS6&lt;&gt;"",GU6&gt;=HC$29,GU6&lt;&gt;""),AND(GW6&gt;=HC$25,GW6&lt;&gt;"",GY6&gt;=HC$29,GY6&lt;&gt;""),AND(GZ6&gt;=HC$25,GZ6&lt;&gt;"",HB6&gt;=HC$29,HB6&lt;&gt;""),AND(HX6&gt;=IK$25,HX6&lt;&gt;"",HZ6&gt;=IK$29,HZ6&lt;&gt;""),AND(IA6&gt;=IK$25,IA6&lt;&gt;"",IC6&gt;=IK$29,IC6&lt;&gt;""),AND(IE6&gt;=IK$25,IE6&lt;&gt;"",IG6&gt;=IK$29,IG6&lt;&gt;""),AND(IH6&gt;=IK$25,IH6&lt;&gt;"",IJ6&gt;=IK$29,IJ6&lt;&gt;""),AND(JF6&gt;=JS$25,JF6&lt;&gt;"",JH6&gt;=JS$29,JH6&lt;&gt;""),AND(JI6&gt;=JS$25,JI6&lt;&gt;"",JK6&gt;=JS$29,JK6&lt;&gt;""),AND(JM6&gt;=JS$25,JM6&lt;&gt;"",JO6&gt;=JS$29,JO6&lt;&gt;""),AND(JP6&gt;=JS$25,JP6&lt;&gt;"",JR6&gt;=JS$29,JR6&lt;&gt;""),AND(KN6&gt;=LA$25,KN6&lt;&gt;"",KP6&gt;=LA$29,KP6&lt;&gt;""),AND(KQ6&gt;=LA$25,KQ6&lt;&gt;"",KS6&gt;=LA$29,KS6&lt;&gt;""),AND(KU6&gt;=LA$25,KU6&lt;&gt;"",KW6&gt;=LA$29,KW6&lt;&gt;""),AND(KX6&gt;=LA$25,KX6&lt;&gt;"",KZ6&gt;=LA$29,KZ6&lt;&gt;""),AND(LV6&gt;=MI$25,LV6&lt;&gt;"",LX6&gt;=MI$29,LX6&lt;&gt;""),AND(LY6&gt;=MI$25,LY6&lt;&gt;"",MA6&gt;=MI$29,MA6&lt;&gt;""),AND(MC6&gt;=MI$25,MC6&lt;&gt;"",ME6&gt;=MI$29,ME6&lt;&gt;""),AND(MF6&gt;=MI$25,MF6&lt;&gt;"",MH6&gt;=MI$29,MH6&lt;&gt;""),AND(ND6&gt;=NQ$25,ND6&lt;&gt;"",NF6&gt;=NQ$29,NF6&lt;&gt;""),AND(NG6&gt;=NQ$25,NG6&lt;&gt;"",NI6&gt;=NQ$29,NI6&lt;&gt;""),AND(NK6&gt;=NQ$25,NK6&lt;&gt;"",NM6&gt;=NQ$29,NM6&lt;&gt;""),AND(NN6&gt;=NQ$25,NN6&lt;&gt;"",NP6&gt;=NQ$29,NP6&lt;&gt;""),AND(OL6&gt;=OY$25,OL6&lt;&gt;"",ON6&gt;=OY$29,ON6&lt;&gt;""),AND(OO6&gt;=OY$25,OO6&lt;&gt;"",OQ6&gt;=OY$29,OQ6&lt;&gt;""),AND(OS6&gt;=OY$25,OS6&lt;&gt;"",OU6&gt;=OY$29,OU6&lt;&gt;""),AND(OV6&gt;=OY$25,OV6&lt;&gt;"",OX6&gt;=OY$29,OX6&lt;&gt;""),AND(PT6&gt;=QG$25,PT6&lt;&gt;"",PV6&gt;=QG$29,PV6&lt;&gt;""),AND(PW6&gt;=QG$25,PW6&lt;&gt;"",PY6&gt;=QG$29,PY6&lt;&gt;""),AND(QA6&gt;=QG$25,QA6&lt;&gt;"",QC6&gt;=QG$29,QC6&lt;&gt;""),AND(QD6&gt;=QG$25,QD6&lt;&gt;"",QF6&gt;=QG$29,QF6&lt;&gt;""),AND(RB6&gt;=RO$25,RB6&lt;&gt;"",RD6&gt;=RO$29,RD6&lt;&gt;""),AND(RE6&gt;=RO$25,RE6&lt;&gt;"",RG6&gt;=RO$29,RG6&lt;&gt;""),AND(RI6&gt;=RO$25,RI6&lt;&gt;"",RK6&gt;=RO$29,RK6&lt;&gt;""),AND(RL6&gt;=RO$25,RL6&lt;&gt;"",RN6&gt;=RO$29,RN6&lt;&gt;""),AND(SJ6&gt;=SW$25,SJ6&lt;&gt;"",SL6&gt;=SW$29,SL6&lt;&gt;""),AND(SM6&gt;=SW$25,SM6&lt;&gt;"",SO6&gt;=SW$29,SO6&lt;&gt;""),AND(SQ6&gt;=SW$25,SQ6&lt;&gt;"",SS6&gt;=SW$29,SS6&lt;&gt;""),AND(ST6&gt;=SW$25,ST6&lt;&gt;"",SV6&gt;=SW$29,SV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EB6&gt;=EM$29,EB6&lt;&gt;""),AND(EE6&gt;=EM$29,EE6&lt;&gt;""),AND(EI6&gt;=EM$29,EI6&lt;&gt;""),AND(EL6&gt;=EM$29,EL6&lt;&gt;""),AND(FJ6&gt;=FU$29,FJ6&lt;&gt;""),AND(FM6&gt;=FU$29,FM6&lt;&gt;""),AND(FQ6&gt;=FU$29,FQ6&lt;&gt;""),AND(FT6&gt;=FU$29,FT6&lt;&gt;""),AND(GR6&gt;=HC$29,GR6&lt;&gt;""),AND(GU6&gt;=HC$29,GU6&lt;&gt;""),AND(GY6&gt;=HC$29,GY6&lt;&gt;""),AND(HB6&gt;=HC$29,HB6&lt;&gt;""),AND(HZ6&gt;=IK$29,HZ6&lt;&gt;""),AND(IC6&gt;=IK$29,IC6&lt;&gt;""),AND(IG6&gt;=IK$29,IG6&lt;&gt;""),AND(IJ6&gt;=IK$29,IJ6&lt;&gt;""),AND(JH6&gt;=JS$29,JH6&lt;&gt;""),AND(JK6&gt;=JS$29,JK6&lt;&gt;""),AND(JO6&gt;=JS$29,JO6&lt;&gt;""),AND(JR6&gt;=JS$29,JR6&lt;&gt;""),AND(KP6&gt;=LA$29,KP6&lt;&gt;""),AND(KS6&gt;=LA$29,KS6&lt;&gt;""),AND(KW6&gt;=LA$29,KW6&lt;&gt;""),AND(KZ6&gt;=LA$29,KZ6&lt;&gt;""),AND(LX6&gt;=MI$29,LX6&lt;&gt;""),AND(MA6&gt;=MI$29,MA6&lt;&gt;""),AND(ME6&gt;=MI$29,ME6&lt;&gt;""),AND(MH6&gt;=MI$29,MH6&lt;&gt;""),AND(NF6&gt;=NQ$29,NF6&lt;&gt;""),AND(NI6&gt;=NQ$29,NI6&lt;&gt;""),AND(NM6&gt;=NQ$29,NM6&lt;&gt;""),AND(NP6&gt;=NQ$29,NP6&lt;&gt;""),AND(ON6&gt;=OY$29,ON6&lt;&gt;""),AND(OQ6&gt;=OY$29,OQ6&lt;&gt;""),AND(OU6&gt;=OY$29,OU6&lt;&gt;""),AND(OX6&gt;=OY$29,OX6&lt;&gt;""),AND(PV6&gt;=QG$29,PV6&lt;&gt;""),AND(PY6&gt;=QG$29,PY6&lt;&gt;""),AND(QC6&gt;=QG$29,QC6&lt;&gt;""),AND(QF6&gt;=QG$29,QF6&lt;&gt;""),AND(RD6&gt;=RO$29,RD6&lt;&gt;""),AND(RG6&gt;=RO$29,RG6&lt;&gt;""),AND(RK6&gt;=RO$29,RK6&lt;&gt;""),AND(RN6&gt;=RO$29,RN6&lt;&gt;""),AND(SL6&gt;=SW$29,SL6&lt;&gt;""),AND(SO6&gt;=SW$29,SO6&lt;&gt;""),AND(SS6&gt;=SW$29,SS6&lt;&gt;""),AND(SV6&gt;=SW$29,SV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Z6&gt;=EM$28,DZ6&lt;&gt;"",EB6&gt;=EM$32,EB6&lt;&gt;""),AND(EC6&gt;=EM$28,EC6&lt;&gt;"",EE6&gt;=EM$32,EE6&lt;&gt;""),AND(EG6&gt;=EM$28,EG6&lt;&gt;"",EI6&gt;=EM$32,EI6&lt;&gt;""),AND(EJ6&gt;=EM$28,EJ6&lt;&gt;"",EL6&gt;=EM$32,EL6&lt;&gt;""),AND(FH6&gt;=FU$28,FH6&lt;&gt;"",FJ6&gt;=FU$32,FJ6&lt;&gt;""),AND(FK6&gt;=FU$28,FK6&lt;&gt;"",FM6&gt;=FU$32,FM6&lt;&gt;""),AND(FO6&gt;=FU$28,FO6&lt;&gt;"",FQ6&gt;=FU$32,FQ6&lt;&gt;""),AND(FR6&gt;=FU$28,FR6&lt;&gt;"",FT6&gt;=FU$32,FT6&lt;&gt;""),AND(GP6&gt;=HC$28,GP6&lt;&gt;"",GR6&gt;=HC$32,GR6&lt;&gt;""),AND(GS6&gt;=HC$28,GS6&lt;&gt;"",GU6&gt;=HC$32,GU6&lt;&gt;""),AND(GW6&gt;=HC$28,GW6&lt;&gt;"",GY6&gt;=HC$32,GY6&lt;&gt;""),AND(GZ6&gt;=HC$28,GZ6&lt;&gt;"",HB6&gt;=HC$32,HB6&lt;&gt;""),AND(HX6&gt;=IK$28,HX6&lt;&gt;"",HZ6&gt;=IK$32,HZ6&lt;&gt;""),AND(IA6&gt;=IK$28,IA6&lt;&gt;"",IC6&gt;=IK$32,IC6&lt;&gt;""),AND(IE6&gt;=IK$28,IE6&lt;&gt;"",IG6&gt;=IK$32,IG6&lt;&gt;""),AND(IH6&gt;=IK$28,IH6&lt;&gt;"",IJ6&gt;=IK$32,IJ6&lt;&gt;""),AND(JF6&gt;=JS$28,JF6&lt;&gt;"",JH6&gt;=JS$32,JH6&lt;&gt;""),AND(JI6&gt;=JS$28,JI6&lt;&gt;"",JK6&gt;=JS$32,JK6&lt;&gt;""),AND(JM6&gt;=JS$28,JM6&lt;&gt;"",JO6&gt;=JS$32,JO6&lt;&gt;""),AND(JP6&gt;=JS$28,JP6&lt;&gt;"",JR6&gt;=JS$32,JR6&lt;&gt;""),AND(KN6&gt;=LA$28,KN6&lt;&gt;"",KP6&gt;=LA$32,KP6&lt;&gt;""),AND(KQ6&gt;=LA$28,KQ6&lt;&gt;"",KS6&gt;=LA$32,KS6&lt;&gt;""),AND(KU6&gt;=LA$28,KU6&lt;&gt;"",KW6&gt;=LA$32,KW6&lt;&gt;""),AND(KX6&gt;=LA$28,KX6&lt;&gt;"",KZ6&gt;=LA$32,KZ6&lt;&gt;""),AND(LV6&gt;=MI$28,LV6&lt;&gt;"",LX6&gt;=MI$32,LX6&lt;&gt;""),AND(LY6&gt;=MI$28,LY6&lt;&gt;"",MA6&gt;=MI$32,MA6&lt;&gt;""),AND(MC6&gt;=MI$28,MC6&lt;&gt;"",ME6&gt;=MI$32,ME6&lt;&gt;""),AND(MF6&gt;=MI$28,MF6&lt;&gt;"",MH6&gt;=MI$32,MH6&lt;&gt;""),AND(ND6&gt;=NQ$28,ND6&lt;&gt;"",NF6&gt;=NQ$32,NF6&lt;&gt;""),AND(NG6&gt;=NQ$28,NG6&lt;&gt;"",NI6&gt;=NQ$32,NI6&lt;&gt;""),AND(NK6&gt;=NQ$28,NK6&lt;&gt;"",NM6&gt;=NQ$32,NM6&lt;&gt;""),AND(NN6&gt;=NQ$28,NN6&lt;&gt;"",NP6&gt;=NQ$32,NP6&lt;&gt;""),AND(OL6&gt;=OY$28,OL6&lt;&gt;"",ON6&gt;=OY$32,ON6&lt;&gt;""),AND(OO6&gt;=OY$28,OO6&lt;&gt;"",OQ6&gt;=OY$32,OQ6&lt;&gt;""),AND(OS6&gt;=OY$28,OS6&lt;&gt;"",OU6&gt;=OY$32,OU6&lt;&gt;""),AND(OV6&gt;=OY$28,OV6&lt;&gt;"",OX6&gt;=OY$32,OX6&lt;&gt;""),AND(PT6&gt;=QG$28,PT6&lt;&gt;"",PV6&gt;=QG$32,PV6&lt;&gt;""),AND(PW6&gt;=QG$28,PW6&lt;&gt;"",PY6&gt;=QG$32,PY6&lt;&gt;""),AND(QA6&gt;=QG$28,QA6&lt;&gt;"",QC6&gt;=QG$32,QC6&lt;&gt;""),AND(QD6&gt;=QG$28,QD6&lt;&gt;"",QF6&gt;=QG$32,QF6&lt;&gt;""),AND(RB6&gt;=RO$28,RB6&lt;&gt;"",RD6&gt;=RO$32,RD6&lt;&gt;""),AND(RE6&gt;=RO$28,RE6&lt;&gt;"",RG6&gt;=RO$32,RG6&lt;&gt;""),AND(RI6&gt;=RO$28,RI6&lt;&gt;"",RK6&gt;=RO$32,RK6&lt;&gt;""),AND(RL6&gt;=RO$28,RL6&lt;&gt;"",RN6&gt;=RO$32,RN6&lt;&gt;""),AND(SJ6&gt;=SW$28,SJ6&lt;&gt;"",SL6&gt;=SW$32,SL6&lt;&gt;""),AND(SM6&gt;=SW$28,SM6&lt;&gt;"",SO6&gt;=SW$32,SO6&lt;&gt;""),AND(SQ6&gt;=SW$28,SQ6&lt;&gt;"",SS6&gt;=SW$32,SS6&lt;&gt;""),AND(ST6&gt;=SW$28,ST6&lt;&gt;"",SV6&gt;=SW$32,SV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Z6&gt;=EM$27,DZ6&lt;&gt;"",EB6&gt;=EM$31,EB6&lt;&gt;""),AND(EC6&gt;=EM$27,EC6&lt;&gt;"",EE6&gt;=EM$31,EE6&lt;&gt;""),AND(EG6&gt;=EM$27,EG6&lt;&gt;"",EI6&gt;=EM$31,EI6&lt;&gt;""),AND(EJ6&gt;=EM$27,EJ6&lt;&gt;"",EL6&gt;=EM$31,EL6&lt;&gt;""),AND(FH6&gt;=FU$27,FH6&lt;&gt;"",FJ6&gt;=FU$31,FJ6&lt;&gt;""),AND(FK6&gt;=FU$27,FK6&lt;&gt;"",FM6&gt;=FU$31,FM6&lt;&gt;""),AND(FO6&gt;=FU$27,FO6&lt;&gt;"",FQ6&gt;=FU$31,FQ6&lt;&gt;""),AND(FR6&gt;=FU$27,FR6&lt;&gt;"",FT6&gt;=FU$31,FT6&lt;&gt;""),AND(GP6&gt;=HC$27,GP6&lt;&gt;"",GR6&gt;=HC$31,GR6&lt;&gt;""),AND(GS6&gt;=HC$27,GS6&lt;&gt;"",GU6&gt;=HC$31,GU6&lt;&gt;""),AND(GW6&gt;=HC$27,GW6&lt;&gt;"",GY6&gt;=HC$31,GY6&lt;&gt;""),AND(GZ6&gt;=HC$27,GZ6&lt;&gt;"",HB6&gt;=HC$31,HB6&lt;&gt;""),AND(HX6&gt;=IK$27,HX6&lt;&gt;"",HZ6&gt;=IK$31,HZ6&lt;&gt;""),AND(IA6&gt;=IK$27,IA6&lt;&gt;"",IC6&gt;=IK$31,IC6&lt;&gt;""),AND(IE6&gt;=IK$27,IE6&lt;&gt;"",IG6&gt;=IK$31,IG6&lt;&gt;""),AND(IH6&gt;=IK$27,IH6&lt;&gt;"",IJ6&gt;=IK$31,IJ6&lt;&gt;""),AND(JF6&gt;=JS$27,JF6&lt;&gt;"",JH6&gt;=JS$31,JH6&lt;&gt;""),AND(JI6&gt;=JS$27,JI6&lt;&gt;"",JK6&gt;=JS$31,JK6&lt;&gt;""),AND(JM6&gt;=JS$27,JM6&lt;&gt;"",JO6&gt;=JS$31,JO6&lt;&gt;""),AND(JP6&gt;=JS$27,JP6&lt;&gt;"",JR6&gt;=JS$31,JR6&lt;&gt;""),AND(KN6&gt;=LA$27,KN6&lt;&gt;"",KP6&gt;=LA$31,KP6&lt;&gt;""),AND(KQ6&gt;=LA$27,KQ6&lt;&gt;"",KS6&gt;=LA$31,KS6&lt;&gt;""),AND(KU6&gt;=LA$27,KU6&lt;&gt;"",KW6&gt;=LA$31,KW6&lt;&gt;""),AND(KX6&gt;=LA$27,KX6&lt;&gt;"",KZ6&gt;=LA$31,KZ6&lt;&gt;""),AND(LV6&gt;=MI$27,LV6&lt;&gt;"",LX6&gt;=MI$31,LX6&lt;&gt;""),AND(LY6&gt;=MI$27,LY6&lt;&gt;"",MA6&gt;=MI$31,MA6&lt;&gt;""),AND(MC6&gt;=MI$27,MC6&lt;&gt;"",ME6&gt;=MI$31,ME6&lt;&gt;""),AND(MF6&gt;=MI$27,MF6&lt;&gt;"",MH6&gt;=MI$31,MH6&lt;&gt;""),AND(ND6&gt;=NQ$27,ND6&lt;&gt;"",NF6&gt;=NQ$31,NF6&lt;&gt;""),AND(NG6&gt;=NQ$27,NG6&lt;&gt;"",NI6&gt;=NQ$31,NI6&lt;&gt;""),AND(NK6&gt;=NQ$27,NK6&lt;&gt;"",NM6&gt;=NQ$31,NM6&lt;&gt;""),AND(NN6&gt;=NQ$27,NN6&lt;&gt;"",NP6&gt;=NQ$31,NP6&lt;&gt;""),AND(OL6&gt;=OY$27,OL6&lt;&gt;"",ON6&gt;=OY$31,ON6&lt;&gt;""),AND(OO6&gt;=OY$27,OO6&lt;&gt;"",OQ6&gt;=OY$31,OQ6&lt;&gt;""),AND(OS6&gt;=OY$27,OS6&lt;&gt;"",OU6&gt;=OY$31,OU6&lt;&gt;""),AND(OV6&gt;=OY$27,OV6&lt;&gt;"",OX6&gt;=OY$31,OX6&lt;&gt;""),AND(PT6&gt;=QG$27,PT6&lt;&gt;"",PV6&gt;=QG$31,PV6&lt;&gt;""),AND(PW6&gt;=QG$27,PW6&lt;&gt;"",PY6&gt;=QG$31,PY6&lt;&gt;""),AND(QA6&gt;=QG$27,QA6&lt;&gt;"",QC6&gt;=QG$31,QC6&lt;&gt;""),AND(QD6&gt;=QG$27,QD6&lt;&gt;"",QF6&gt;=QG$31,QF6&lt;&gt;""),AND(RB6&gt;=RO$27,RB6&lt;&gt;"",RD6&gt;=RO$31,RD6&lt;&gt;""),AND(RE6&gt;=RO$27,RE6&lt;&gt;"",RG6&gt;=RO$31,RG6&lt;&gt;""),AND(RI6&gt;=RO$27,RI6&lt;&gt;"",RK6&gt;=RO$31,RK6&lt;&gt;""),AND(RL6&gt;=RO$27,RL6&lt;&gt;"",RN6&gt;=RO$31,RN6&lt;&gt;""),AND(SJ6&gt;=SW$27,SJ6&lt;&gt;"",SL6&gt;=SW$31,SL6&lt;&gt;""),AND(SM6&gt;=SW$27,SM6&lt;&gt;"",SO6&gt;=SW$31,SO6&lt;&gt;""),AND(SQ6&gt;=SW$27,SQ6&lt;&gt;"",SS6&gt;=SW$31,SS6&lt;&gt;""),AND(ST6&gt;=SW$27,ST6&lt;&gt;"",SV6&gt;=SW$31,SV6&lt;&gt;"")),"Excellence",IF(I6="P","Worlds Team",IF(F6="P","National Team","")))))</f>
        <v>Worlds Team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Z6&gt;=EM$26,DZ6&lt;&gt;"",EB6&gt;=EM$30,EB6&lt;&gt;""),AND(EC6&gt;=EM$26,EC6&lt;&gt;"",EE6&gt;=EM$30,EE6&lt;&gt;""),AND(EG6&gt;=EM$26,EG6&lt;&gt;"",EI6&gt;=EM$30,EI6&lt;&gt;""),AND(EJ6&gt;=EM$26,EJ6&lt;&gt;"",EL6&gt;=EM$30,EL6&lt;&gt;""),AND(FH6&gt;=FU$26,FH6&lt;&gt;"",FJ6&gt;=FU$30,FJ6&lt;&gt;""),AND(FK6&gt;=FU$26,FK6&lt;&gt;"",FM6&gt;=FU$30,FM6&lt;&gt;""),AND(FO6&gt;=FU$26,FO6&lt;&gt;"",FQ6&gt;=FU$30,FQ6&lt;&gt;""),AND(FR6&gt;=FU$26,FR6&lt;&gt;"",FT6&gt;=FU$30,FT6&lt;&gt;""),AND(GP6&gt;=HC$26,GP6&lt;&gt;"",GR6&gt;=HC$30,GR6&lt;&gt;""),AND(GS6&gt;=HC$26,GS6&lt;&gt;"",GU6&gt;=HC$30,GU6&lt;&gt;""),AND(GW6&gt;=HC$26,GW6&lt;&gt;"",GY6&gt;=HC$30,GY6&lt;&gt;""),AND(GZ6&gt;=HC$26,GZ6&lt;&gt;"",HB6&gt;=HC$30,HB6&lt;&gt;""),AND(HX6&gt;=IK$26,HX6&lt;&gt;"",HZ6&gt;=IK$30,HZ6&lt;&gt;""),AND(IA6&gt;=IK$26,IA6&lt;&gt;"",IC6&gt;=IK$30,IC6&lt;&gt;""),AND(IE6&gt;=IK$26,IE6&lt;&gt;"",IG6&gt;=IK$30,IG6&lt;&gt;""),AND(IH6&gt;=IK$26,IH6&lt;&gt;"",IJ6&gt;=IK$30,IJ6&lt;&gt;""),AND(JF6&gt;=JS$26,JF6&lt;&gt;"",JH6&gt;=JS$30,JH6&lt;&gt;""),AND(JI6&gt;=JS$26,JI6&lt;&gt;"",JK6&gt;=JS$30,JK6&lt;&gt;""),AND(JM6&gt;=JS$26,JM6&lt;&gt;"",JO6&gt;=JS$30,JO6&lt;&gt;""),AND(JP6&gt;=JS$26,JP6&lt;&gt;"",JR6&gt;=JS$30,JR6&lt;&gt;""),AND(KN6&gt;=LA$26,KN6&lt;&gt;"",KP6&gt;=LA$30,KP6&lt;&gt;""),AND(KQ6&gt;=LA$26,KQ6&lt;&gt;"",KS6&gt;=LA$30,KS6&lt;&gt;""),AND(KU6&gt;=LA$26,KU6&lt;&gt;"",KW6&gt;=LA$30,KW6&lt;&gt;""),AND(KX6&gt;=LA$26,KX6&lt;&gt;"",KZ6&gt;=LA$30,KZ6&lt;&gt;""),AND(LV6&gt;=MI$26,LV6&lt;&gt;"",LX6&gt;=MI$30,LX6&lt;&gt;""),AND(LY6&gt;=MI$26,LY6&lt;&gt;"",MA6&gt;=MI$30,MA6&lt;&gt;""),AND(MC6&gt;=MI$26,MC6&lt;&gt;"",ME6&gt;=MI$30,ME6&lt;&gt;""),AND(MF6&gt;=MI$26,MF6&lt;&gt;"",MH6&gt;=MI$30,MH6&lt;&gt;""),AND(ND6&gt;=NQ$26,ND6&lt;&gt;"",NF6&gt;=NQ$30,NF6&lt;&gt;""),AND(NG6&gt;=NQ$26,NG6&lt;&gt;"",NI6&gt;=NQ$30,NI6&lt;&gt;""),AND(NK6&gt;=NQ$26,NK6&lt;&gt;"",NM6&gt;=NQ$30,NM6&lt;&gt;""),AND(NN6&gt;=NQ$26,NN6&lt;&gt;"",NP6&gt;=NQ$30,NP6&lt;&gt;""),AND(OL6&gt;=OY$26,OL6&lt;&gt;"",ON6&gt;=OY$30,ON6&lt;&gt;""),AND(OO6&gt;=OY$26,OO6&lt;&gt;"",OQ6&gt;=OY$30,OQ6&lt;&gt;""),AND(OS6&gt;=OY$26,OS6&lt;&gt;"",OU6&gt;=OY$30,OU6&lt;&gt;""),AND(OV6&gt;=OY$26,OV6&lt;&gt;"",OX6&gt;=OY$30,OX6&lt;&gt;""),AND(PT6&gt;=QG$26,PT6&lt;&gt;"",PV6&gt;=QG$30,PV6&lt;&gt;""),AND(PW6&gt;=QG$26,PW6&lt;&gt;"",PY6&gt;=QG$30,PY6&lt;&gt;""),AND(QA6&gt;=QG$26,QA6&lt;&gt;"",QC6&gt;=QG$30,QC6&lt;&gt;""),AND(QD6&gt;=QG$26,QD6&lt;&gt;"",QF6&gt;=QG$30,QF6&lt;&gt;""),AND(RB6&gt;=RO$26,RB6&lt;&gt;"",RD6&gt;=RO$30,RD6&lt;&gt;""),AND(RE6&gt;=RO$26,RE6&lt;&gt;"",RG6&gt;=RO$30,RG6&lt;&gt;""),AND(RI6&gt;=RO$26,RI6&lt;&gt;"",RK6&gt;=RO$30,RK6&lt;&gt;""),AND(RL6&gt;=RO$26,RL6&lt;&gt;"",RN6&gt;=RO$30,RN6&lt;&gt;""),AND(SJ6&gt;=SW$26,SJ6&lt;&gt;"",SL6&gt;=SW$30,SL6&lt;&gt;""),AND(SM6&gt;=SW$26,SM6&lt;&gt;"",SO6&gt;=SW$30,SO6&lt;&gt;""),AND(SQ6&gt;=SW$26,SQ6&lt;&gt;"",SS6&gt;=SW$30,SS6&lt;&gt;""),AND(ST6&gt;=SW$26,ST6&lt;&gt;"",SV6&gt;=SW$30,SV6&lt;&gt;"")),"P","")</f>
        <v>P</v>
      </c>
      <c r="J6" s="13">
        <f>IF(COUNT(AQ6,AT6,BR6,BU6,CS6,CV6)&gt;0,LARGE((AQ6,AT6,BR6,BU6,CS6,CV6),1),0)</f>
        <v>56.930000000000007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56.72999999999999</v>
      </c>
      <c r="M6" s="13" t="str">
        <f>IF(L6="","",IF(OR(L6=CS6,L6=CV6),$CA$1,IF(OR(L6=BR6,L6=BU6),$AZ$1,IF(OR(L6=AQ6,L6=AT6),$Y$1,""))))</f>
        <v>2021 Canadian Championships</v>
      </c>
      <c r="N6" s="13">
        <f>IF(COUNT(AQ6,AT6,BR6,BU6,CS6,CV6)&gt;2,LARGE((AQ6,AT6,BR6,BU6,CS6,CV6),3),0)</f>
        <v>56.69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57.894999999999996</v>
      </c>
      <c r="Q6" s="13" t="str">
        <f>IF(P6="","",IF(P6=CZ6,$CA$1,IF(P6=BY6,$AZ$1,IF(P6=AX6,$Y$1,""))))</f>
        <v>2021 Elite Canada</v>
      </c>
      <c r="R6" s="13">
        <f>IF(MAX(AO6,AR6,AV6,BP6,BS6,BW6,CQ6,CT6,CX6)&gt;0,MAX(AO6,AR6,BP6,BS6,CQ6,CT6,AV6),0)</f>
        <v>16.2</v>
      </c>
      <c r="S6" s="13" t="str">
        <f>IF(R6=0,"",IF(OR(R6=CQ6,R6=CT6,R6=CX6),$CA$1,IF(OR(R6=BP6,R6=BS6,R6=BW6),$AZ$1,IF(OR(R6=AO6,R6=AR6,R6=AV6),$Y$1,""))))</f>
        <v>2022 Elite Canada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),0)</f>
        <v>16.895</v>
      </c>
      <c r="U6" s="13" t="str">
        <f>IF(T6=0,"",IF(OR(T6=CR6,T6=CU6,T6=CY6),$CA$1,IF(OR(T6=BQ6,T6=BT6,T6=BX6),$AZ$1,IF(OR(T6=AP6,T6=AS6,T6=AW6),$Y$1,""))))</f>
        <v>2021 Elite Canada</v>
      </c>
      <c r="V6" s="13" t="str">
        <f>IF(MAX(DB6,DC6,DD6,DE6)&gt;0,MAX(DB6,DC6,DD6,DE6),"")</f>
        <v/>
      </c>
      <c r="W6" s="16" t="str">
        <f>IF(V6="","",IF(V6=DB6,"("&amp;DB$2&amp;")",IF(V6=DC6,"("&amp;DC$2&amp;")",IF(V6=DD6,"("&amp;DD$2&amp;")",IF(V6=DE6,"("&amp;DE$2&amp;")")))))</f>
        <v/>
      </c>
      <c r="X6" s="13" t="str">
        <f>IF(V6="","",IF(V6=DB6,IF(V6+IF(L6="",0,L6)=SP6,$RP$1,IF(V6+IF(L6="",0,L6)=RH6,$QH$1,IF(V6+IF(L6="",0,L6)=PZ6,$OZ$1,IF(V6+IF(L6="",0,L6)=OR6,$NR$1,IF(V6+IF(L6="",0,L6)=NJ6,$MJ$1,IF(V6+IF(L6="",0,L6)=MB6,$LB$1,IF(V6+IF(L6="",0,L6)=KT6,$JT$1,IF(V6+IF(L6="",0,L6)=JL6,$IL$1,IF(V6+IF(L6="",0,L6)=ID6,$HD$1,IF(V6+IF(L6="",0,L6)=GV6,$FV$1,IF(V6+IF(L6="",0,L6)=FN6,$EN$1,IF(V6+IF(L6="",0,L6)=EF6,$DF$1)))))))))))),IF(V6=DC6,IF(V6+IF(P6="",0,P6)=SV6,$RP$1,IF(V6+IF(P6="",0,P6)=RN6,$QH$1,IF(V6+IF(P6="",0,P6)=QF6,$OZ$1,IF(V6+IF(P6="",0,P6)=OX6,$NR$1,IF(V6+IF(P6="",0,P6)=NP6,$MJ$1,IF(V6+IF(P6="",0,P6)=MH6,$LB$1,IF(V6+IF(P6="",0,P6)=KZ6,$JT$1,IF(V6+IF(P6="",0,P6)=JR6,$IL$1,IF(V6+IF(P6="",0,P6)=IJ6,$HD$1,IF(V6+IF(P6="",0,P6)=HB6,$FV$1,IF(V6+IF(P6="",0,P6)=FT6,$EN$1,IF(V6+IF(P6="",0,P6)=EL6,$DF$1)))))))))))),IF(V6=DD6,IF(V6+IF(R6="",0,R6)=MAX(SJ6,SM6,SQ6,ST6),$RP$1,IF(V6+IF(R6="",0,R6)=MAX(RB6,RE6,RI6,RL6),$QH$1,IF(V6+IF(R6="",0,R6)=MAX(PT6,PW6,QA6,QD6),$OZ$1,IF(V6+IF(R6="",0,R6)=MAX(OL6,OO6,OS6,OV6),$NR$1,IF(V6+IF(R6="",0,R6)=MAX(ND6,NG6,NK6,NN6),$MJ$1,IF(V6+IF(R6="",0,R6)=MAX(LV6,LY6,MC6,MF6),$LB$1,IF(V6+IF(R6="",0,R6)=MAX(KN6,KQ6,KU6,KX6),$JT$1,IF(V6+IF(R6="",0,R6)=MAX(JF6,JI6,JM6,JP6),$IL$1,IF(V6+IF(R6="",0,R6)=MAX(HX6,IA6,IE6,IH6),$HD$1,IF(V6+IF(R6="",0,R6)=MAX(GP6,GS6,GW6,GZ6),$FV$1,IF(V6+IF(R6="",0,R6)=MAX(FH6,FK6,FO6,FR6),$EN$1,IF(V6+IF(R6="",0,R6)=MAX(DZ6,EC6,EG6,EJ6),$DF$1)))))))))))),IF(V6=DE6,IF(V6+IF(T6="",0,T6)=MAX(SK6,SN6,SR6,SU6),$RP$1,IF(V6+IF(T6="",0,T6)=MAX(RC6,RF6,RJ6,RM6),$QH$1,IF(V6+IF(T6="",0,T6)=MAX(PU6,PX6,QB6,QE6),$OZ$1,IF(V6+IF(T6="",0,T6)=MAX(OM6,OP6,OT6,OW6),$NR$1,IF(V6+IF(T6="",0,T6)=MAX(NE6,NH6,NL6,NO6),$MJ$1,IF(V6+IF(T6="",0,T6)=MAX(LW6,LZ6,MD6,MG6),$LB$1,IF(V6+IF(T6="",0,T6)=MAX(KO6,KR6,KV6,KY6),$JT$1,IF(V6+IF(T6="",0,T6)=MAX(JG6,JJ6,JN6,JQ6),$IL$1,IF(V6+IF(T6="",0,T6)=MAX(HY6,IB6,IF6,II6),$HD$1,IF(V6+IF(T6="",0,T6)=MAX(GQ6,GT6,GX6,HA6),$FV$1,IF(V6+IF(T6="",0,T6)=MAX(FI6,FL6,FP6,FS6),$EN$1,IF(V6+IF(T6="",0,T6)=MAX(EA6,ED6,EH6,EK6),$DF$1)))))))))))))))))</f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>IF(AA6&gt;0,AA6,"")</f>
        <v>3.8</v>
      </c>
      <c r="AP6" s="74">
        <f>IF(AB6&gt;0,AB6,"")</f>
        <v>3.63</v>
      </c>
      <c r="AQ6" s="76">
        <f>IF(SUM(Y6:AB6)-AC6&gt;0,SUM(Y6:AB6)-AC6,"")</f>
        <v>12.43</v>
      </c>
      <c r="AR6" s="76">
        <f>IF(AF6&gt;0,AF6,"")</f>
        <v>7.1</v>
      </c>
      <c r="AS6" s="76">
        <f>IF(AG6&gt;0,AG6,"")</f>
        <v>7.08</v>
      </c>
      <c r="AT6" s="76">
        <f>IF(SUM(AD6:AG6)-AH6&gt;0,SUM(AD6:AG6)-AH6,"")</f>
        <v>24.479999999999997</v>
      </c>
      <c r="AU6" s="76">
        <f>IF(AQ6="","",MAX(AQ6,AT6))</f>
        <v>24.479999999999997</v>
      </c>
      <c r="AV6" s="76">
        <f>IF(AK6&gt;0,AK6,"")</f>
        <v>15.8</v>
      </c>
      <c r="AW6" s="76">
        <f>IF(AL6&gt;0,AL6,"")</f>
        <v>16.895</v>
      </c>
      <c r="AX6" s="76">
        <f>IF(SUM(AI6:AL6)-AM6&gt;0,SUM(AI6:AL6)-AM6,"")</f>
        <v>57.894999999999996</v>
      </c>
      <c r="AY6" s="76">
        <f>IF(SUM(AU6,AX6)&gt;0,SUM(AU6,AX6),"")</f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>IF(BB6&gt;0,BB6,"")</f>
        <v>16.2</v>
      </c>
      <c r="BQ6" s="75">
        <f>IF(BC6&gt;0,BC6,"")</f>
        <v>16.63</v>
      </c>
      <c r="BR6" s="16">
        <f>IF(SUM(AZ6:BC6)-BD6&gt;0,SUM(AZ6:BC6)-BD6,"")</f>
        <v>56.72999999999999</v>
      </c>
      <c r="BS6" s="16">
        <f>IF(BG6&gt;0,BG6,"")</f>
        <v>16.2</v>
      </c>
      <c r="BT6" s="16">
        <f>IF(BH6&gt;0,BH6,"")</f>
        <v>16.73</v>
      </c>
      <c r="BU6" s="16">
        <f>IF(SUM(BE6:BH6)-BI6&gt;0,SUM(BE6:BH6)-BI6,"")</f>
        <v>56.930000000000007</v>
      </c>
      <c r="BV6" s="16">
        <f>IF(BR6="","",MAX(BR6,BU6))</f>
        <v>56.930000000000007</v>
      </c>
      <c r="BW6" s="16">
        <f>IF(BL6&gt;0,BL6,"")</f>
        <v>2</v>
      </c>
      <c r="BX6" s="16">
        <f>IF(BM6&gt;0,BM6,"")</f>
        <v>1.8</v>
      </c>
      <c r="BY6" s="16">
        <f>IF(SUM(BJ6:BM6)-BN6&gt;0,SUM(BJ6:BM6)-BN6,"")</f>
        <v>6.3</v>
      </c>
      <c r="BZ6" s="16">
        <f>IF(SUM(BV6,BY6)&gt;0,SUM(BV6,BY6),"")</f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>IF(CC6&gt;0,CC6,"")</f>
        <v>16.2</v>
      </c>
      <c r="CR6" s="74">
        <f>IF(CD6&gt;0,CD6,"")</f>
        <v>16.07</v>
      </c>
      <c r="CS6" s="76">
        <f>IF(SUM(CA6:CD6)-CE6&gt;0,SUM(CA6:CD6)-CE6,"")</f>
        <v>56.57</v>
      </c>
      <c r="CT6" s="76">
        <f>IF(CH6&gt;0,CH6,"")</f>
        <v>16.2</v>
      </c>
      <c r="CU6" s="76">
        <f>IF(CI6&gt;0,CI6,"")</f>
        <v>16.39</v>
      </c>
      <c r="CV6" s="76">
        <f>IF(SUM(CF6:CI6)-CJ6&gt;0,SUM(CF6:CI6)-CJ6,"")</f>
        <v>56.69</v>
      </c>
      <c r="CW6" s="76">
        <f>IF(CS6="","",MAX(CS6,CV6))</f>
        <v>56.69</v>
      </c>
      <c r="CX6" s="76">
        <f>IF(CM6&gt;0,CM6,"")</f>
        <v>16.2</v>
      </c>
      <c r="CY6" s="76">
        <f>IF(CN6&gt;0,CN6,"")</f>
        <v>16.11</v>
      </c>
      <c r="CZ6" s="76">
        <f>IF(SUM(CK6:CN6)-CO6&gt;0,SUM(CK6:CN6)-CO6,"")</f>
        <v>55.209999999999994</v>
      </c>
      <c r="DA6" s="76">
        <f>IF(SUM(CW6,CZ6)&gt;0,SUM(CW6,CZ6),"")</f>
        <v>111.89999999999999</v>
      </c>
      <c r="DB6" s="87" t="str">
        <f>IF(L6&gt;=0.001,IF(MAX(EF6,FN6,GV6,ID6,JL6,KT6,MB6,NJ6,OR6,PZ6,RH6,SP6)-IF(L6="",0,L6)&gt;0.001,MAX(EF6,FN6,GV6,ID6,JL6,KT6,MB6,NJ6,OR6,PZ6,RH6,SP6)-IF(L6="",0,L6),""),"")</f>
        <v/>
      </c>
      <c r="DC6" s="87" t="str">
        <f>IF(P6&gt;=0.001,IF(MAX(EI6,EL6,FQ6,FT6,GY6,HB6,IG6,IJ6,JO6,JR6,KW6,KZ6,ME6,MH6,NM6,NP6,OU6,OX6,QC6,QF6,RK6,RN6,SS6,SV6)-IF(P6="",0,P6)&gt;0.001,MAX(EI6,EL6,FQ6,FT6,GY6,HB6,IG6,IJ6,JO6,JR6,KW6,KZ6,ME6,MH6,NM6,NP6,OU6,OX6,QC6,QF6,RK6,RN6,SS6,SV6)-IF(P6="",0,P6),""),"")</f>
        <v/>
      </c>
      <c r="DD6" s="87" t="str">
        <f>IF(R6&gt;=0.001,IF(MAX(DZ6,EC6,EG6,EJ6,FH6,FK6,FO6,FR6,GP6,GS6,GW6,GZ6,HX6,IA6,IE6,IH6,JF6,JI6,JM6,JP6,KN6,KQ6,KU6,KX6,LV6,LY6,MC6,MF6,ND6,NG6,NK6,NN6,OL6,OO6,OS6,OV6,PT6,PW6,QA6,QD6,RB6,RE6,RI6,RL6,SJ6,SM6,SQ6,ST6)-IF(R6="",0,R6)&gt;0.001,MAX(DZ6,EC6,EG6,EJ6,FH6,FK6,FO6,FR6,GP6,GS6,GW6,GZ6,HX6,IA6,IE6,IH6,JF6,JI6,JM6,JP6,KN6,KQ6,KU6,KX6,LV6,LY6,MC6,MF6,ND6,NG6,NK6,NN6,OL6,OO6,OS6,OV6,PT6,PW6,QA6,QD6,RB6,RE6,RI6,RL6,SJ6,SM6,SQ6,ST6)-IF(R6="",0,R6),""),"")</f>
        <v/>
      </c>
      <c r="DE6" s="87" t="str">
        <f>IF(T6&gt;=0.001,IF(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&gt;0.001,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,""),"")</f>
        <v/>
      </c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76" t="str">
        <f>IF(DH6&gt;0,DH6,"")</f>
        <v/>
      </c>
      <c r="EA6" s="76" t="str">
        <f>IF(DI6&gt;0,DI6,"")</f>
        <v/>
      </c>
      <c r="EB6" s="76" t="str">
        <f>IF(SUM(DF6:DI6)-DJ6&gt;0,SUM(DF6:DI6)-DJ6,"")</f>
        <v/>
      </c>
      <c r="EC6" s="76" t="str">
        <f>IF(DM6&gt;0,DM6,"")</f>
        <v/>
      </c>
      <c r="ED6" s="76" t="str">
        <f>IF(DN6&gt;0,DN6,"")</f>
        <v/>
      </c>
      <c r="EE6" s="76" t="str">
        <f>IF(SUM(DK6:DN6)-DO6&gt;0,SUM(DK6:DN6)-DO6,"")</f>
        <v/>
      </c>
      <c r="EF6" s="76" t="str">
        <f>IF(MAX(EB6,EE6)&gt;0,MAX(EB6,EE6),"")</f>
        <v/>
      </c>
      <c r="EG6" s="76" t="str">
        <f>IF(DR6&gt;0,DR6,"")</f>
        <v/>
      </c>
      <c r="EH6" s="76" t="str">
        <f>IF(DS6&gt;0,DS6,"")</f>
        <v/>
      </c>
      <c r="EI6" s="76" t="str">
        <f>IF(SUM(DP6:DS6)-DT6&gt;0,SUM(DP6:DS6)-DT6,"")</f>
        <v/>
      </c>
      <c r="EJ6" s="76" t="str">
        <f>IF(DW6&gt;0,DW6,"")</f>
        <v/>
      </c>
      <c r="EK6" s="76" t="str">
        <f>IF(DX6&gt;0,DX6,"")</f>
        <v/>
      </c>
      <c r="EL6" s="76" t="str">
        <f>IF(SUM(DU6:DX6)-DY6&gt;0,SUM(DU6:DX6)-DY6,"")</f>
        <v/>
      </c>
      <c r="EM6" s="76" t="str">
        <f>IF(SUM(EF6,EL6)&gt;0,SUM(EF6,EL6),"")</f>
        <v/>
      </c>
      <c r="EN6" s="26">
        <v>13.8</v>
      </c>
      <c r="EO6" s="26">
        <v>9.1999999999999993</v>
      </c>
      <c r="EP6" s="26">
        <v>15.6</v>
      </c>
      <c r="EQ6" s="26">
        <v>15.6</v>
      </c>
      <c r="ER6" s="26">
        <v>0</v>
      </c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16">
        <f>IF(EP6&gt;0,EP6,"")</f>
        <v>15.6</v>
      </c>
      <c r="FI6" s="16">
        <f>IF(EQ6&gt;0,EQ6,"")</f>
        <v>15.6</v>
      </c>
      <c r="FJ6" s="16">
        <f>IF(SUM(EN6:EQ6)-ER6&gt;0,SUM(EN6:EQ6)-ER6,"")</f>
        <v>54.2</v>
      </c>
      <c r="FK6" s="16" t="str">
        <f>IF(EU6&gt;0,EU6,"")</f>
        <v/>
      </c>
      <c r="FL6" s="16" t="str">
        <f>IF(EV6&gt;0,EV6,"")</f>
        <v/>
      </c>
      <c r="FM6" s="16" t="str">
        <f>IF(SUM(ES6:EV6)-EW6&gt;0,SUM(ES6:EV6)-EW6,"")</f>
        <v/>
      </c>
      <c r="FN6" s="16">
        <f>IF(MAX(FJ6,FM6)&gt;0,MAX(FJ6,FM6),"")</f>
        <v>54.2</v>
      </c>
      <c r="FO6" s="16" t="str">
        <f>IF(EZ6&gt;0,EZ6,"")</f>
        <v/>
      </c>
      <c r="FP6" s="16" t="str">
        <f>IF(FA6&gt;0,FA6,"")</f>
        <v/>
      </c>
      <c r="FQ6" s="16" t="str">
        <f>IF(SUM(EX6:FA6)-FB6&gt;0,SUM(EX6:FA6)-FB6,"")</f>
        <v/>
      </c>
      <c r="FR6" s="16" t="str">
        <f>IF(FE6&gt;0,FE6,"")</f>
        <v/>
      </c>
      <c r="FS6" s="16" t="str">
        <f>IF(FF6&gt;0,FF6,"")</f>
        <v/>
      </c>
      <c r="FT6" s="16" t="str">
        <f>IF(SUM(FC6:FF6)-FG6&gt;0,SUM(FC6:FF6)-FG6,"")</f>
        <v/>
      </c>
      <c r="FU6" s="16">
        <f>IF(SUM(FN6,FT6)&gt;0,SUM(FN6,FT6),"")</f>
        <v>54.2</v>
      </c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76" t="str">
        <f>IF(FX6&gt;0,FX6,"")</f>
        <v/>
      </c>
      <c r="GQ6" s="76" t="str">
        <f>IF(FY6&gt;0,FY6,"")</f>
        <v/>
      </c>
      <c r="GR6" s="76" t="str">
        <f>IF(SUM(FV6:FY6)-FZ6&gt;0,SUM(FV6:FY6)-FZ6,"")</f>
        <v/>
      </c>
      <c r="GS6" s="76" t="str">
        <f>IF(GC6&gt;0,GC6,"")</f>
        <v/>
      </c>
      <c r="GT6" s="76" t="str">
        <f>IF(GD6&gt;0,GD6,"")</f>
        <v/>
      </c>
      <c r="GU6" s="76" t="str">
        <f>IF(SUM(GA6:GD6)-GE6&gt;0,SUM(GA6:GD6)-GE6,"")</f>
        <v/>
      </c>
      <c r="GV6" s="76" t="str">
        <f>IF(MAX(GR6,GU6)&gt;0,MAX(GR6,GU6),"")</f>
        <v/>
      </c>
      <c r="GW6" s="76" t="str">
        <f>IF(GH6&gt;0,GH6,"")</f>
        <v/>
      </c>
      <c r="GX6" s="76" t="str">
        <f>IF(GI6&gt;0,GI6,"")</f>
        <v/>
      </c>
      <c r="GY6" s="76" t="str">
        <f>IF(SUM(GF6:GI6)-GJ6&gt;0,SUM(GF6:GI6)-GJ6,"")</f>
        <v/>
      </c>
      <c r="GZ6" s="76" t="str">
        <f>IF(GM6&gt;0,GM6,"")</f>
        <v/>
      </c>
      <c r="HA6" s="76" t="str">
        <f>IF(GN6&gt;0,GN6,"")</f>
        <v/>
      </c>
      <c r="HB6" s="76" t="str">
        <f>IF(SUM(GK6:GN6)-GO6&gt;0,SUM(GK6:GN6)-GO6,"")</f>
        <v/>
      </c>
      <c r="HC6" s="76" t="str">
        <f>IF(SUM(GV6,HB6)&gt;0,SUM(GV6,HB6),"")</f>
        <v/>
      </c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16" t="str">
        <f>IF(HF6&gt;0,HF6,"")</f>
        <v/>
      </c>
      <c r="HY6" s="16" t="str">
        <f>IF(HG6&gt;0,HG6,"")</f>
        <v/>
      </c>
      <c r="HZ6" s="16" t="str">
        <f>IF(SUM(HD6:HG6)-HH6&gt;0,SUM(HD6:HG6)-HH6,"")</f>
        <v/>
      </c>
      <c r="IA6" s="16" t="str">
        <f>IF(HK6&gt;0,HK6,"")</f>
        <v/>
      </c>
      <c r="IB6" s="16" t="str">
        <f>IF(HL6&gt;0,HL6,"")</f>
        <v/>
      </c>
      <c r="IC6" s="16" t="str">
        <f>IF(SUM(HI6:HL6)-HM6&gt;0,SUM(HI6:HL6)-HM6,"")</f>
        <v/>
      </c>
      <c r="ID6" s="16" t="str">
        <f>IF(MAX(HZ6,IC6)&gt;0,MAX(HZ6,IC6),"")</f>
        <v/>
      </c>
      <c r="IE6" s="16" t="str">
        <f>IF(HP6&gt;0,HP6,"")</f>
        <v/>
      </c>
      <c r="IF6" s="16" t="str">
        <f>IF(HQ6&gt;0,HQ6,"")</f>
        <v/>
      </c>
      <c r="IG6" s="16" t="str">
        <f>IF(SUM(HN6:HQ6)-HR6&gt;0,SUM(HN6:HQ6)-HR6,"")</f>
        <v/>
      </c>
      <c r="IH6" s="16" t="str">
        <f>IF(HU6&gt;0,HU6,"")</f>
        <v/>
      </c>
      <c r="II6" s="16" t="str">
        <f>IF(HV6&gt;0,HV6,"")</f>
        <v/>
      </c>
      <c r="IJ6" s="16" t="str">
        <f>IF(SUM(HS6:HV6)-HW6&gt;0,SUM(HS6:HV6)-HW6,"")</f>
        <v/>
      </c>
      <c r="IK6" s="16" t="str">
        <f>IF(SUM(ID6,IJ6)&gt;0,SUM(ID6,IJ6),"")</f>
        <v/>
      </c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76" t="str">
        <f>IF(IN6&gt;0,IN6,"")</f>
        <v/>
      </c>
      <c r="JG6" s="76" t="str">
        <f>IF(IO6&gt;0,IO6,"")</f>
        <v/>
      </c>
      <c r="JH6" s="76" t="str">
        <f>IF(SUM(IL6:IO6)-IP6&gt;0,SUM(IL6:IO6)-IP6,"")</f>
        <v/>
      </c>
      <c r="JI6" s="76" t="str">
        <f>IF(IS6&gt;0,IS6,"")</f>
        <v/>
      </c>
      <c r="JJ6" s="76" t="str">
        <f>IF(IT6&gt;0,IT6,"")</f>
        <v/>
      </c>
      <c r="JK6" s="76" t="str">
        <f>IF(SUM(IQ6:IT6)-IU6&gt;0,SUM(IQ6:IT6)-IU6,"")</f>
        <v/>
      </c>
      <c r="JL6" s="76" t="str">
        <f>IF(MAX(JH6,JK6)&gt;0,MAX(JH6,JK6),"")</f>
        <v/>
      </c>
      <c r="JM6" s="76" t="str">
        <f>IF(IX6&gt;0,IX6,"")</f>
        <v/>
      </c>
      <c r="JN6" s="76" t="str">
        <f>IF(IY6&gt;0,IY6,"")</f>
        <v/>
      </c>
      <c r="JO6" s="76" t="str">
        <f>IF(SUM(IV6:IY6)-IZ6&gt;0,SUM(IV6:IY6)-IZ6,"")</f>
        <v/>
      </c>
      <c r="JP6" s="76" t="str">
        <f>IF(JC6&gt;0,JC6,"")</f>
        <v/>
      </c>
      <c r="JQ6" s="76" t="str">
        <f>IF(JD6&gt;0,JD6,"")</f>
        <v/>
      </c>
      <c r="JR6" s="76" t="str">
        <f>IF(SUM(JA6:JD6)-JE6&gt;0,SUM(JA6:JD6)-JE6,"")</f>
        <v/>
      </c>
      <c r="JS6" s="76" t="str">
        <f>IF(SUM(JL6,JR6)&gt;0,SUM(JL6,JR6),"")</f>
        <v/>
      </c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16" t="str">
        <f>IF(JV6&gt;0,JV6,"")</f>
        <v/>
      </c>
      <c r="KO6" s="16" t="str">
        <f>IF(JW6&gt;0,JW6,"")</f>
        <v/>
      </c>
      <c r="KP6" s="16" t="str">
        <f>IF(SUM(JT6:JW6)-JX6&gt;0,SUM(JT6:JW6)-JX6,"")</f>
        <v/>
      </c>
      <c r="KQ6" s="16" t="str">
        <f>IF(KA6&gt;0,KA6,"")</f>
        <v/>
      </c>
      <c r="KR6" s="16" t="str">
        <f>IF(KB6&gt;0,KB6,"")</f>
        <v/>
      </c>
      <c r="KS6" s="16" t="str">
        <f>IF(SUM(JY6:KB6)-KC6&gt;0,SUM(JY6:KB6)-KC6,"")</f>
        <v/>
      </c>
      <c r="KT6" s="16" t="str">
        <f>IF(MAX(KP6,KS6)&gt;0,MAX(KP6,KS6),"")</f>
        <v/>
      </c>
      <c r="KU6" s="16" t="str">
        <f>IF(KF6&gt;0,KF6,"")</f>
        <v/>
      </c>
      <c r="KV6" s="16" t="str">
        <f>IF(KG6&gt;0,KG6,"")</f>
        <v/>
      </c>
      <c r="KW6" s="16" t="str">
        <f>IF(SUM(KD6:KG6)-KH6&gt;0,SUM(KD6:KG6)-KH6,"")</f>
        <v/>
      </c>
      <c r="KX6" s="16" t="str">
        <f>IF(KK6&gt;0,KK6,"")</f>
        <v/>
      </c>
      <c r="KY6" s="16" t="str">
        <f>IF(KL6&gt;0,KL6,"")</f>
        <v/>
      </c>
      <c r="KZ6" s="16" t="str">
        <f>IF(SUM(KI6:KL6)-KM6&gt;0,SUM(KI6:KL6)-KM6,"")</f>
        <v/>
      </c>
      <c r="LA6" s="16" t="str">
        <f>IF(SUM(KT6,KZ6)&gt;0,SUM(KT6,KZ6),"")</f>
        <v/>
      </c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76" t="str">
        <f>IF(LD6&gt;0,LD6,"")</f>
        <v/>
      </c>
      <c r="LW6" s="76" t="str">
        <f>IF(LE6&gt;0,LE6,"")</f>
        <v/>
      </c>
      <c r="LX6" s="76" t="str">
        <f>IF(SUM(LB6:LE6)-LF6&gt;0,SUM(LB6:LE6)-LF6,"")</f>
        <v/>
      </c>
      <c r="LY6" s="76" t="str">
        <f>IF(LI6&gt;0,LI6,"")</f>
        <v/>
      </c>
      <c r="LZ6" s="76" t="str">
        <f>IF(LJ6&gt;0,LJ6,"")</f>
        <v/>
      </c>
      <c r="MA6" s="76" t="str">
        <f>IF(SUM(LG6:LJ6)-LK6&gt;0,SUM(LG6:LJ6)-LK6,"")</f>
        <v/>
      </c>
      <c r="MB6" s="76" t="str">
        <f>IF(MAX(LX6,MA6)&gt;0,MAX(LX6,MA6),"")</f>
        <v/>
      </c>
      <c r="MC6" s="76" t="str">
        <f>IF(LN6&gt;0,LN6,"")</f>
        <v/>
      </c>
      <c r="MD6" s="76" t="str">
        <f>IF(LO6&gt;0,LO6,"")</f>
        <v/>
      </c>
      <c r="ME6" s="76" t="str">
        <f>IF(SUM(LL6:LO6)-LP6&gt;0,SUM(LL6:LO6)-LP6,"")</f>
        <v/>
      </c>
      <c r="MF6" s="76" t="str">
        <f>IF(LS6&gt;0,LS6,"")</f>
        <v/>
      </c>
      <c r="MG6" s="76" t="str">
        <f>IF(LT6&gt;0,LT6,"")</f>
        <v/>
      </c>
      <c r="MH6" s="76" t="str">
        <f>IF(SUM(LQ6:LT6)-LU6&gt;0,SUM(LQ6:LT6)-LU6,"")</f>
        <v/>
      </c>
      <c r="MI6" s="76" t="str">
        <f>IF(SUM(MB6,MH6)&gt;0,SUM(MB6,MH6),"")</f>
        <v/>
      </c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16" t="str">
        <f>IF(ML6&gt;0,ML6,"")</f>
        <v/>
      </c>
      <c r="NE6" s="16" t="str">
        <f>IF(MM6&gt;0,MM6,"")</f>
        <v/>
      </c>
      <c r="NF6" s="16" t="str">
        <f>IF(SUM(MJ6:MM6)-MN6&gt;0,SUM(MJ6:MM6)-MN6,"")</f>
        <v/>
      </c>
      <c r="NG6" s="16" t="str">
        <f>IF(MQ6&gt;0,MQ6,"")</f>
        <v/>
      </c>
      <c r="NH6" s="16" t="str">
        <f>IF(MR6&gt;0,MR6,"")</f>
        <v/>
      </c>
      <c r="NI6" s="16" t="str">
        <f>IF(SUM(MO6:MR6)-MS6&gt;0,SUM(MO6:MR6)-MS6,"")</f>
        <v/>
      </c>
      <c r="NJ6" s="16" t="str">
        <f>IF(MAX(NF6,NI6)&gt;0,MAX(NF6,NI6),"")</f>
        <v/>
      </c>
      <c r="NK6" s="16" t="str">
        <f>IF(MV6&gt;0,MV6,"")</f>
        <v/>
      </c>
      <c r="NL6" s="16" t="str">
        <f>IF(MW6&gt;0,MW6,"")</f>
        <v/>
      </c>
      <c r="NM6" s="16" t="str">
        <f>IF(SUM(MT6:MW6)-MX6&gt;0,SUM(MT6:MW6)-MX6,"")</f>
        <v/>
      </c>
      <c r="NN6" s="16" t="str">
        <f>IF(NA6&gt;0,NA6,"")</f>
        <v/>
      </c>
      <c r="NO6" s="16" t="str">
        <f>IF(NB6&gt;0,NB6,"")</f>
        <v/>
      </c>
      <c r="NP6" s="16" t="str">
        <f>IF(SUM(MY6:NB6)-NC6&gt;0,SUM(MY6:NB6)-NC6,"")</f>
        <v/>
      </c>
      <c r="NQ6" s="16" t="str">
        <f>IF(SUM(NJ6,NP6)&gt;0,SUM(NJ6,NP6),"")</f>
        <v/>
      </c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76" t="str">
        <f>IF(NT6&gt;0,NT6,"")</f>
        <v/>
      </c>
      <c r="OM6" s="76" t="str">
        <f>IF(NU6&gt;0,NU6,"")</f>
        <v/>
      </c>
      <c r="ON6" s="76" t="str">
        <f>IF(SUM(NR6:NU6)-NV6&gt;0,SUM(NR6:NU6)-NV6,"")</f>
        <v/>
      </c>
      <c r="OO6" s="76" t="str">
        <f>IF(NY6&gt;0,NY6,"")</f>
        <v/>
      </c>
      <c r="OP6" s="76" t="str">
        <f>IF(NZ6&gt;0,NZ6,"")</f>
        <v/>
      </c>
      <c r="OQ6" s="76" t="str">
        <f>IF(SUM(NW6:NZ6)-OA6&gt;0,SUM(NW6:NZ6)-OA6,"")</f>
        <v/>
      </c>
      <c r="OR6" s="76" t="str">
        <f>IF(MAX(ON6,OQ6)&gt;0,MAX(ON6,OQ6),"")</f>
        <v/>
      </c>
      <c r="OS6" s="76" t="str">
        <f>IF(OD6&gt;0,OD6,"")</f>
        <v/>
      </c>
      <c r="OT6" s="76" t="str">
        <f>IF(OE6&gt;0,OE6,"")</f>
        <v/>
      </c>
      <c r="OU6" s="76" t="str">
        <f>IF(SUM(OB6:OE6)-OF6&gt;0,SUM(OB6:OE6)-OF6,"")</f>
        <v/>
      </c>
      <c r="OV6" s="76" t="str">
        <f>IF(OI6&gt;0,OI6,"")</f>
        <v/>
      </c>
      <c r="OW6" s="76" t="str">
        <f>IF(OJ6&gt;0,OJ6,"")</f>
        <v/>
      </c>
      <c r="OX6" s="76" t="str">
        <f>IF(SUM(OG6:OJ6)-OK6&gt;0,SUM(OG6:OJ6)-OK6,"")</f>
        <v/>
      </c>
      <c r="OY6" s="76" t="str">
        <f>IF(SUM(OR6,OX6)&gt;0,SUM(OR6,OX6),"")</f>
        <v/>
      </c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16" t="str">
        <f>IF(PB6&gt;0,PB6,"")</f>
        <v/>
      </c>
      <c r="PU6" s="16" t="str">
        <f>IF(PC6&gt;0,PC6,"")</f>
        <v/>
      </c>
      <c r="PV6" s="16" t="str">
        <f>IF(SUM(OZ6:PC6)-PD6&gt;0,SUM(OZ6:PC6)-PD6,"")</f>
        <v/>
      </c>
      <c r="PW6" s="16" t="str">
        <f>IF(PG6&gt;0,PG6,"")</f>
        <v/>
      </c>
      <c r="PX6" s="16" t="str">
        <f>IF(PH6&gt;0,PH6,"")</f>
        <v/>
      </c>
      <c r="PY6" s="16" t="str">
        <f>IF(SUM(PE6:PH6)-PI6&gt;0,SUM(PE6:PH6)-PI6,"")</f>
        <v/>
      </c>
      <c r="PZ6" s="16" t="str">
        <f>IF(MAX(PV6,PY6)&gt;0,MAX(PV6,PY6),"")</f>
        <v/>
      </c>
      <c r="QA6" s="16" t="str">
        <f>IF(PL6&gt;0,PL6,"")</f>
        <v/>
      </c>
      <c r="QB6" s="16" t="str">
        <f>IF(PM6&gt;0,PM6,"")</f>
        <v/>
      </c>
      <c r="QC6" s="16" t="str">
        <f>IF(SUM(PJ6:PM6)-PN6&gt;0,SUM(PJ6:PM6)-PN6,"")</f>
        <v/>
      </c>
      <c r="QD6" s="16" t="str">
        <f>IF(PQ6&gt;0,PQ6,"")</f>
        <v/>
      </c>
      <c r="QE6" s="16" t="str">
        <f>IF(PR6&gt;0,PR6,"")</f>
        <v/>
      </c>
      <c r="QF6" s="16" t="str">
        <f>IF(SUM(PO6:PR6)-PS6&gt;0,SUM(PO6:PR6)-PS6,"")</f>
        <v/>
      </c>
      <c r="QG6" s="16" t="str">
        <f>IF(SUM(PZ6,QF6)&gt;0,SUM(PZ6,QF6),"")</f>
        <v/>
      </c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76" t="str">
        <f>IF(QJ6&gt;0,QJ6,"")</f>
        <v/>
      </c>
      <c r="RC6" s="76" t="str">
        <f>IF(QK6&gt;0,QK6,"")</f>
        <v/>
      </c>
      <c r="RD6" s="76" t="str">
        <f>IF(SUM(QH6:QK6)-QL6&gt;0,SUM(QH6:QK6)-QL6,"")</f>
        <v/>
      </c>
      <c r="RE6" s="76" t="str">
        <f>IF(QO6&gt;0,QO6,"")</f>
        <v/>
      </c>
      <c r="RF6" s="76" t="str">
        <f>IF(QP6&gt;0,QP6,"")</f>
        <v/>
      </c>
      <c r="RG6" s="76" t="str">
        <f>IF(SUM(QM6:QP6)-QQ6&gt;0,SUM(QM6:QP6)-QQ6,"")</f>
        <v/>
      </c>
      <c r="RH6" s="76" t="str">
        <f>IF(MAX(RD6,RG6)&gt;0,MAX(RD6,RG6),"")</f>
        <v/>
      </c>
      <c r="RI6" s="76" t="str">
        <f>IF(QT6&gt;0,QT6,"")</f>
        <v/>
      </c>
      <c r="RJ6" s="76" t="str">
        <f>IF(QU6&gt;0,QU6,"")</f>
        <v/>
      </c>
      <c r="RK6" s="76" t="str">
        <f>IF(SUM(QR6:QU6)-QV6&gt;0,SUM(QR6:QU6)-QV6,"")</f>
        <v/>
      </c>
      <c r="RL6" s="76" t="str">
        <f>IF(QY6&gt;0,QY6,"")</f>
        <v/>
      </c>
      <c r="RM6" s="76" t="str">
        <f>IF(QZ6&gt;0,QZ6,"")</f>
        <v/>
      </c>
      <c r="RN6" s="76" t="str">
        <f>IF(SUM(QW6:QZ6)-RA6&gt;0,SUM(QW6:QZ6)-RA6,"")</f>
        <v/>
      </c>
      <c r="RO6" s="76" t="str">
        <f>IF(SUM(RH6,RN6)&gt;0,SUM(RH6,RN6),"")</f>
        <v/>
      </c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16" t="str">
        <f>IF(RR6&gt;0,RR6,"")</f>
        <v/>
      </c>
      <c r="SK6" s="16" t="str">
        <f>IF(RS6&gt;0,RS6,"")</f>
        <v/>
      </c>
      <c r="SL6" s="16" t="str">
        <f>IF(SUM(RP6:RS6)-RT6&gt;0,SUM(RP6:RS6)-RT6,"")</f>
        <v/>
      </c>
      <c r="SM6" s="16" t="str">
        <f>IF(RW6&gt;0,RW6,"")</f>
        <v/>
      </c>
      <c r="SN6" s="16" t="str">
        <f>IF(RX6&gt;0,RX6,"")</f>
        <v/>
      </c>
      <c r="SO6" s="16" t="str">
        <f>IF(SUM(RU6:RX6)-RY6&gt;0,SUM(RU6:RX6)-RY6,"")</f>
        <v/>
      </c>
      <c r="SP6" s="16" t="str">
        <f>IF(MAX(SL6,SO6)&gt;0,MAX(SL6,SO6),"")</f>
        <v/>
      </c>
      <c r="SQ6" s="16" t="str">
        <f>IF(SB6&gt;0,SB6,"")</f>
        <v/>
      </c>
      <c r="SR6" s="16" t="str">
        <f>IF(SC6&gt;0,SC6,"")</f>
        <v/>
      </c>
      <c r="SS6" s="16" t="str">
        <f>IF(SUM(RZ6:SC6)-SD6&gt;0,SUM(RZ6:SC6)-SD6,"")</f>
        <v/>
      </c>
      <c r="ST6" s="16" t="str">
        <f>IF(SG6&gt;0,SG6,"")</f>
        <v/>
      </c>
      <c r="SU6" s="16" t="str">
        <f>IF(SH6&gt;0,SH6,"")</f>
        <v/>
      </c>
      <c r="SV6" s="16" t="str">
        <f>IF(SUM(SE6:SH6)-SI6&gt;0,SUM(SE6:SH6)-SI6,"")</f>
        <v/>
      </c>
      <c r="SW6" s="16" t="str">
        <f>IF(SUM(SP6,SV6)&gt;0,SUM(SP6,SV6),"")</f>
        <v/>
      </c>
      <c r="SX6" s="42">
        <f>IF($CP6="P",CA6,(CA6+AZ6)/2)</f>
        <v>14.8</v>
      </c>
      <c r="SY6" s="42">
        <f>IF($CP6="P",CB6,(CB6+BA6)/2)</f>
        <v>9.3000000000000007</v>
      </c>
      <c r="SZ6" s="42">
        <f>IF($CP6="P",CC6,(CC6+BB6)/2)</f>
        <v>16.2</v>
      </c>
      <c r="TA6" s="42">
        <f>IF($CP6="P",CD6,(CD6+BC6)/2)</f>
        <v>16.350000000000001</v>
      </c>
      <c r="TB6" s="42">
        <f>IF($CP6="P",CE6,(CE6+BD6)/2)</f>
        <v>0</v>
      </c>
      <c r="TC6" s="42">
        <f>IF($CP6="P",CF6,(CF6+BE6)/2)</f>
        <v>14.9</v>
      </c>
      <c r="TD6" s="42">
        <f>IF($CP6="P",CG6,(CG6+BF6)/2)</f>
        <v>9.1499999999999986</v>
      </c>
      <c r="TE6" s="42">
        <f>IF($CP6="P",CH6,(CH6+BG6)/2)</f>
        <v>16.2</v>
      </c>
      <c r="TF6" s="42">
        <f>IF($CP6="P",CI6,(CI6+BH6)/2)</f>
        <v>16.560000000000002</v>
      </c>
      <c r="TG6" s="42">
        <f>IF($CP6="P",CJ6,(CJ6+BI6)/2)</f>
        <v>0</v>
      </c>
      <c r="TH6" s="42">
        <f>IF($CP6="P",CK6,(CK6+BJ6)/2)</f>
        <v>7.8999999999999995</v>
      </c>
      <c r="TI6" s="42">
        <f>IF($CP6="P",CL6,(CL6+BK6)/2)</f>
        <v>4.9000000000000004</v>
      </c>
      <c r="TJ6" s="42">
        <f>IF($CP6="P",CM6,(CM6+BL6)/2)</f>
        <v>9.1</v>
      </c>
      <c r="TK6" s="42">
        <f>IF($CP6="P",CN6,(CN6+BM6)/2)</f>
        <v>8.9550000000000001</v>
      </c>
      <c r="TL6" s="42">
        <f>IF($CP6="P",CO6,(CO6+BN6)/2)</f>
        <v>0.1</v>
      </c>
      <c r="TM6" s="51" t="s">
        <v>61</v>
      </c>
      <c r="TN6" s="76">
        <f>IF(SZ6&gt;0,SZ6,"")</f>
        <v>16.2</v>
      </c>
      <c r="TO6" s="76">
        <f>IF(TA6&gt;0,TA6,"")</f>
        <v>16.350000000000001</v>
      </c>
      <c r="TP6" s="76">
        <f>IF(SUM(SX6:TA6)-TB6&gt;0,SUM(SX6:TA6)-TB6,"")</f>
        <v>56.65</v>
      </c>
      <c r="TQ6" s="76">
        <f>IF(TE6&gt;0,TE6,"")</f>
        <v>16.2</v>
      </c>
      <c r="TR6" s="76">
        <f>IF(TF6&gt;0,TF6,"")</f>
        <v>16.560000000000002</v>
      </c>
      <c r="TS6" s="76">
        <f>IF(SUM(TC6:TF6)-TG6&gt;0,SUM(TC6:TF6)-TG6,"")</f>
        <v>56.81</v>
      </c>
      <c r="TT6" s="76">
        <f>IF(MAX(TP6,TS6)&gt;0,MAX(TP6,TS6),"")</f>
        <v>56.81</v>
      </c>
      <c r="TU6" s="76">
        <f>IF(TJ6&gt;0,TJ6,"")</f>
        <v>9.1</v>
      </c>
      <c r="TV6" s="76">
        <f>IF(TK6&gt;0,TK6,"")</f>
        <v>8.9550000000000001</v>
      </c>
      <c r="TW6" s="76">
        <f>IF(SUM(TH6:TK6)-TL6&gt;0,SUM(TH6:TK6)-TL6,"")</f>
        <v>30.754999999999995</v>
      </c>
      <c r="TX6" s="76">
        <f>IF(SUM(TT6,TW6)&gt;0,SUM(TT6,TW6),"")</f>
        <v>87.564999999999998</v>
      </c>
    </row>
    <row r="7" spans="1:544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>SUM(J7:V7)+SUM(J7:T7)*0.0000001+SUM(J7)*0.0000000000001</f>
        <v>258.38002583800568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Z7&gt;=EM$25,DZ7&lt;&gt;"",EB7&gt;=EM$29,EB7&lt;&gt;""),AND(EC7&gt;=EM$25,EC7&lt;&gt;"",EE7&gt;=EM$29,EE7&lt;&gt;""),AND(EG7&gt;=EM$25,EG7&lt;&gt;"",EI7&gt;=EM$29,EI7&lt;&gt;""),AND(EJ7&gt;=EM$25,EJ7&lt;&gt;"",EL7&gt;=EM$29,EL7&lt;&gt;""),AND(FH7&gt;=FU$25,FH7&lt;&gt;"",FJ7&gt;=FU$29,FJ7&lt;&gt;""),AND(FK7&gt;=FU$25,FK7&lt;&gt;"",FM7&gt;=FU$29,FM7&lt;&gt;""),AND(FO7&gt;=FU$25,FO7&lt;&gt;"",FQ7&gt;=FU$29,FQ7&lt;&gt;""),AND(FR7&gt;=FU$25,FR7&lt;&gt;"",FT7&gt;=FU$29,FT7&lt;&gt;""),AND(GP7&gt;=HC$25,GP7&lt;&gt;"",GR7&gt;=HC$29,GR7&lt;&gt;""),AND(GS7&gt;=HC$25,GS7&lt;&gt;"",GU7&gt;=HC$29,GU7&lt;&gt;""),AND(GW7&gt;=HC$25,GW7&lt;&gt;"",GY7&gt;=HC$29,GY7&lt;&gt;""),AND(GZ7&gt;=HC$25,GZ7&lt;&gt;"",HB7&gt;=HC$29,HB7&lt;&gt;""),AND(HX7&gt;=IK$25,HX7&lt;&gt;"",HZ7&gt;=IK$29,HZ7&lt;&gt;""),AND(IA7&gt;=IK$25,IA7&lt;&gt;"",IC7&gt;=IK$29,IC7&lt;&gt;""),AND(IE7&gt;=IK$25,IE7&lt;&gt;"",IG7&gt;=IK$29,IG7&lt;&gt;""),AND(IH7&gt;=IK$25,IH7&lt;&gt;"",IJ7&gt;=IK$29,IJ7&lt;&gt;""),AND(JF7&gt;=JS$25,JF7&lt;&gt;"",JH7&gt;=JS$29,JH7&lt;&gt;""),AND(JI7&gt;=JS$25,JI7&lt;&gt;"",JK7&gt;=JS$29,JK7&lt;&gt;""),AND(JM7&gt;=JS$25,JM7&lt;&gt;"",JO7&gt;=JS$29,JO7&lt;&gt;""),AND(JP7&gt;=JS$25,JP7&lt;&gt;"",JR7&gt;=JS$29,JR7&lt;&gt;""),AND(KN7&gt;=LA$25,KN7&lt;&gt;"",KP7&gt;=LA$29,KP7&lt;&gt;""),AND(KQ7&gt;=LA$25,KQ7&lt;&gt;"",KS7&gt;=LA$29,KS7&lt;&gt;""),AND(KU7&gt;=LA$25,KU7&lt;&gt;"",KW7&gt;=LA$29,KW7&lt;&gt;""),AND(KX7&gt;=LA$25,KX7&lt;&gt;"",KZ7&gt;=LA$29,KZ7&lt;&gt;""),AND(LV7&gt;=MI$25,LV7&lt;&gt;"",LX7&gt;=MI$29,LX7&lt;&gt;""),AND(LY7&gt;=MI$25,LY7&lt;&gt;"",MA7&gt;=MI$29,MA7&lt;&gt;""),AND(MC7&gt;=MI$25,MC7&lt;&gt;"",ME7&gt;=MI$29,ME7&lt;&gt;""),AND(MF7&gt;=MI$25,MF7&lt;&gt;"",MH7&gt;=MI$29,MH7&lt;&gt;""),AND(ND7&gt;=NQ$25,ND7&lt;&gt;"",NF7&gt;=NQ$29,NF7&lt;&gt;""),AND(NG7&gt;=NQ$25,NG7&lt;&gt;"",NI7&gt;=NQ$29,NI7&lt;&gt;""),AND(NK7&gt;=NQ$25,NK7&lt;&gt;"",NM7&gt;=NQ$29,NM7&lt;&gt;""),AND(NN7&gt;=NQ$25,NN7&lt;&gt;"",NP7&gt;=NQ$29,NP7&lt;&gt;""),AND(OL7&gt;=OY$25,OL7&lt;&gt;"",ON7&gt;=OY$29,ON7&lt;&gt;""),AND(OO7&gt;=OY$25,OO7&lt;&gt;"",OQ7&gt;=OY$29,OQ7&lt;&gt;""),AND(OS7&gt;=OY$25,OS7&lt;&gt;"",OU7&gt;=OY$29,OU7&lt;&gt;""),AND(OV7&gt;=OY$25,OV7&lt;&gt;"",OX7&gt;=OY$29,OX7&lt;&gt;""),AND(PT7&gt;=QG$25,PT7&lt;&gt;"",PV7&gt;=QG$29,PV7&lt;&gt;""),AND(PW7&gt;=QG$25,PW7&lt;&gt;"",PY7&gt;=QG$29,PY7&lt;&gt;""),AND(QA7&gt;=QG$25,QA7&lt;&gt;"",QC7&gt;=QG$29,QC7&lt;&gt;""),AND(QD7&gt;=QG$25,QD7&lt;&gt;"",QF7&gt;=QG$29,QF7&lt;&gt;""),AND(RB7&gt;=RO$25,RB7&lt;&gt;"",RD7&gt;=RO$29,RD7&lt;&gt;""),AND(RE7&gt;=RO$25,RE7&lt;&gt;"",RG7&gt;=RO$29,RG7&lt;&gt;""),AND(RI7&gt;=RO$25,RI7&lt;&gt;"",RK7&gt;=RO$29,RK7&lt;&gt;""),AND(RL7&gt;=RO$25,RL7&lt;&gt;"",RN7&gt;=RO$29,RN7&lt;&gt;""),AND(SJ7&gt;=SW$25,SJ7&lt;&gt;"",SL7&gt;=SW$29,SL7&lt;&gt;""),AND(SM7&gt;=SW$25,SM7&lt;&gt;"",SO7&gt;=SW$29,SO7&lt;&gt;""),AND(SQ7&gt;=SW$25,SQ7&lt;&gt;"",SS7&gt;=SW$29,SS7&lt;&gt;""),AND(ST7&gt;=SW$25,ST7&lt;&gt;"",SV7&gt;=SW$29,SV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EB7&gt;=EM$29,EB7&lt;&gt;""),AND(EE7&gt;=EM$29,EE7&lt;&gt;""),AND(EI7&gt;=EM$29,EI7&lt;&gt;""),AND(EL7&gt;=EM$29,EL7&lt;&gt;""),AND(FJ7&gt;=FU$29,FJ7&lt;&gt;""),AND(FM7&gt;=FU$29,FM7&lt;&gt;""),AND(FQ7&gt;=FU$29,FQ7&lt;&gt;""),AND(FT7&gt;=FU$29,FT7&lt;&gt;""),AND(GR7&gt;=HC$29,GR7&lt;&gt;""),AND(GU7&gt;=HC$29,GU7&lt;&gt;""),AND(GY7&gt;=HC$29,GY7&lt;&gt;""),AND(HB7&gt;=HC$29,HB7&lt;&gt;""),AND(HZ7&gt;=IK$29,HZ7&lt;&gt;""),AND(IC7&gt;=IK$29,IC7&lt;&gt;""),AND(IG7&gt;=IK$29,IG7&lt;&gt;""),AND(IJ7&gt;=IK$29,IJ7&lt;&gt;""),AND(JH7&gt;=JS$29,JH7&lt;&gt;""),AND(JK7&gt;=JS$29,JK7&lt;&gt;""),AND(JO7&gt;=JS$29,JO7&lt;&gt;""),AND(JR7&gt;=JS$29,JR7&lt;&gt;""),AND(KP7&gt;=LA$29,KP7&lt;&gt;""),AND(KS7&gt;=LA$29,KS7&lt;&gt;""),AND(KW7&gt;=LA$29,KW7&lt;&gt;""),AND(KZ7&gt;=LA$29,KZ7&lt;&gt;""),AND(LX7&gt;=MI$29,LX7&lt;&gt;""),AND(MA7&gt;=MI$29,MA7&lt;&gt;""),AND(ME7&gt;=MI$29,ME7&lt;&gt;""),AND(MH7&gt;=MI$29,MH7&lt;&gt;""),AND(NF7&gt;=NQ$29,NF7&lt;&gt;""),AND(NI7&gt;=NQ$29,NI7&lt;&gt;""),AND(NM7&gt;=NQ$29,NM7&lt;&gt;""),AND(NP7&gt;=NQ$29,NP7&lt;&gt;""),AND(ON7&gt;=OY$29,ON7&lt;&gt;""),AND(OQ7&gt;=OY$29,OQ7&lt;&gt;""),AND(OU7&gt;=OY$29,OU7&lt;&gt;""),AND(OX7&gt;=OY$29,OX7&lt;&gt;""),AND(PV7&gt;=QG$29,PV7&lt;&gt;""),AND(PY7&gt;=QG$29,PY7&lt;&gt;""),AND(QC7&gt;=QG$29,QC7&lt;&gt;""),AND(QF7&gt;=QG$29,QF7&lt;&gt;""),AND(RD7&gt;=RO$29,RD7&lt;&gt;""),AND(RG7&gt;=RO$29,RG7&lt;&gt;""),AND(RK7&gt;=RO$29,RK7&lt;&gt;""),AND(RN7&gt;=RO$29,RN7&lt;&gt;""),AND(SL7&gt;=SW$29,SL7&lt;&gt;""),AND(SO7&gt;=SW$29,SO7&lt;&gt;""),AND(SS7&gt;=SW$29,SS7&lt;&gt;""),AND(SV7&gt;=SW$29,SV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Z7&gt;=EM$28,DZ7&lt;&gt;"",EB7&gt;=EM$32,EB7&lt;&gt;""),AND(EC7&gt;=EM$28,EC7&lt;&gt;"",EE7&gt;=EM$32,EE7&lt;&gt;""),AND(EG7&gt;=EM$28,EG7&lt;&gt;"",EI7&gt;=EM$32,EI7&lt;&gt;""),AND(EJ7&gt;=EM$28,EJ7&lt;&gt;"",EL7&gt;=EM$32,EL7&lt;&gt;""),AND(FH7&gt;=FU$28,FH7&lt;&gt;"",FJ7&gt;=FU$32,FJ7&lt;&gt;""),AND(FK7&gt;=FU$28,FK7&lt;&gt;"",FM7&gt;=FU$32,FM7&lt;&gt;""),AND(FO7&gt;=FU$28,FO7&lt;&gt;"",FQ7&gt;=FU$32,FQ7&lt;&gt;""),AND(FR7&gt;=FU$28,FR7&lt;&gt;"",FT7&gt;=FU$32,FT7&lt;&gt;""),AND(GP7&gt;=HC$28,GP7&lt;&gt;"",GR7&gt;=HC$32,GR7&lt;&gt;""),AND(GS7&gt;=HC$28,GS7&lt;&gt;"",GU7&gt;=HC$32,GU7&lt;&gt;""),AND(GW7&gt;=HC$28,GW7&lt;&gt;"",GY7&gt;=HC$32,GY7&lt;&gt;""),AND(GZ7&gt;=HC$28,GZ7&lt;&gt;"",HB7&gt;=HC$32,HB7&lt;&gt;""),AND(HX7&gt;=IK$28,HX7&lt;&gt;"",HZ7&gt;=IK$32,HZ7&lt;&gt;""),AND(IA7&gt;=IK$28,IA7&lt;&gt;"",IC7&gt;=IK$32,IC7&lt;&gt;""),AND(IE7&gt;=IK$28,IE7&lt;&gt;"",IG7&gt;=IK$32,IG7&lt;&gt;""),AND(IH7&gt;=IK$28,IH7&lt;&gt;"",IJ7&gt;=IK$32,IJ7&lt;&gt;""),AND(JF7&gt;=JS$28,JF7&lt;&gt;"",JH7&gt;=JS$32,JH7&lt;&gt;""),AND(JI7&gt;=JS$28,JI7&lt;&gt;"",JK7&gt;=JS$32,JK7&lt;&gt;""),AND(JM7&gt;=JS$28,JM7&lt;&gt;"",JO7&gt;=JS$32,JO7&lt;&gt;""),AND(JP7&gt;=JS$28,JP7&lt;&gt;"",JR7&gt;=JS$32,JR7&lt;&gt;""),AND(KN7&gt;=LA$28,KN7&lt;&gt;"",KP7&gt;=LA$32,KP7&lt;&gt;""),AND(KQ7&gt;=LA$28,KQ7&lt;&gt;"",KS7&gt;=LA$32,KS7&lt;&gt;""),AND(KU7&gt;=LA$28,KU7&lt;&gt;"",KW7&gt;=LA$32,KW7&lt;&gt;""),AND(KX7&gt;=LA$28,KX7&lt;&gt;"",KZ7&gt;=LA$32,KZ7&lt;&gt;""),AND(LV7&gt;=MI$28,LV7&lt;&gt;"",LX7&gt;=MI$32,LX7&lt;&gt;""),AND(LY7&gt;=MI$28,LY7&lt;&gt;"",MA7&gt;=MI$32,MA7&lt;&gt;""),AND(MC7&gt;=MI$28,MC7&lt;&gt;"",ME7&gt;=MI$32,ME7&lt;&gt;""),AND(MF7&gt;=MI$28,MF7&lt;&gt;"",MH7&gt;=MI$32,MH7&lt;&gt;""),AND(ND7&gt;=NQ$28,ND7&lt;&gt;"",NF7&gt;=NQ$32,NF7&lt;&gt;""),AND(NG7&gt;=NQ$28,NG7&lt;&gt;"",NI7&gt;=NQ$32,NI7&lt;&gt;""),AND(NK7&gt;=NQ$28,NK7&lt;&gt;"",NM7&gt;=NQ$32,NM7&lt;&gt;""),AND(NN7&gt;=NQ$28,NN7&lt;&gt;"",NP7&gt;=NQ$32,NP7&lt;&gt;""),AND(OL7&gt;=OY$28,OL7&lt;&gt;"",ON7&gt;=OY$32,ON7&lt;&gt;""),AND(OO7&gt;=OY$28,OO7&lt;&gt;"",OQ7&gt;=OY$32,OQ7&lt;&gt;""),AND(OS7&gt;=OY$28,OS7&lt;&gt;"",OU7&gt;=OY$32,OU7&lt;&gt;""),AND(OV7&gt;=OY$28,OV7&lt;&gt;"",OX7&gt;=OY$32,OX7&lt;&gt;""),AND(PT7&gt;=QG$28,PT7&lt;&gt;"",PV7&gt;=QG$32,PV7&lt;&gt;""),AND(PW7&gt;=QG$28,PW7&lt;&gt;"",PY7&gt;=QG$32,PY7&lt;&gt;""),AND(QA7&gt;=QG$28,QA7&lt;&gt;"",QC7&gt;=QG$32,QC7&lt;&gt;""),AND(QD7&gt;=QG$28,QD7&lt;&gt;"",QF7&gt;=QG$32,QF7&lt;&gt;""),AND(RB7&gt;=RO$28,RB7&lt;&gt;"",RD7&gt;=RO$32,RD7&lt;&gt;""),AND(RE7&gt;=RO$28,RE7&lt;&gt;"",RG7&gt;=RO$32,RG7&lt;&gt;""),AND(RI7&gt;=RO$28,RI7&lt;&gt;"",RK7&gt;=RO$32,RK7&lt;&gt;""),AND(RL7&gt;=RO$28,RL7&lt;&gt;"",RN7&gt;=RO$32,RN7&lt;&gt;""),AND(SJ7&gt;=SW$28,SJ7&lt;&gt;"",SL7&gt;=SW$32,SL7&lt;&gt;""),AND(SM7&gt;=SW$28,SM7&lt;&gt;"",SO7&gt;=SW$32,SO7&lt;&gt;""),AND(SQ7&gt;=SW$28,SQ7&lt;&gt;"",SS7&gt;=SW$32,SS7&lt;&gt;""),AND(ST7&gt;=SW$28,ST7&lt;&gt;"",SV7&gt;=SW$32,SV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Z7&gt;=EM$27,DZ7&lt;&gt;"",EB7&gt;=EM$31,EB7&lt;&gt;""),AND(EC7&gt;=EM$27,EC7&lt;&gt;"",EE7&gt;=EM$31,EE7&lt;&gt;""),AND(EG7&gt;=EM$27,EG7&lt;&gt;"",EI7&gt;=EM$31,EI7&lt;&gt;""),AND(EJ7&gt;=EM$27,EJ7&lt;&gt;"",EL7&gt;=EM$31,EL7&lt;&gt;""),AND(FH7&gt;=FU$27,FH7&lt;&gt;"",FJ7&gt;=FU$31,FJ7&lt;&gt;""),AND(FK7&gt;=FU$27,FK7&lt;&gt;"",FM7&gt;=FU$31,FM7&lt;&gt;""),AND(FO7&gt;=FU$27,FO7&lt;&gt;"",FQ7&gt;=FU$31,FQ7&lt;&gt;""),AND(FR7&gt;=FU$27,FR7&lt;&gt;"",FT7&gt;=FU$31,FT7&lt;&gt;""),AND(GP7&gt;=HC$27,GP7&lt;&gt;"",GR7&gt;=HC$31,GR7&lt;&gt;""),AND(GS7&gt;=HC$27,GS7&lt;&gt;"",GU7&gt;=HC$31,GU7&lt;&gt;""),AND(GW7&gt;=HC$27,GW7&lt;&gt;"",GY7&gt;=HC$31,GY7&lt;&gt;""),AND(GZ7&gt;=HC$27,GZ7&lt;&gt;"",HB7&gt;=HC$31,HB7&lt;&gt;""),AND(HX7&gt;=IK$27,HX7&lt;&gt;"",HZ7&gt;=IK$31,HZ7&lt;&gt;""),AND(IA7&gt;=IK$27,IA7&lt;&gt;"",IC7&gt;=IK$31,IC7&lt;&gt;""),AND(IE7&gt;=IK$27,IE7&lt;&gt;"",IG7&gt;=IK$31,IG7&lt;&gt;""),AND(IH7&gt;=IK$27,IH7&lt;&gt;"",IJ7&gt;=IK$31,IJ7&lt;&gt;""),AND(JF7&gt;=JS$27,JF7&lt;&gt;"",JH7&gt;=JS$31,JH7&lt;&gt;""),AND(JI7&gt;=JS$27,JI7&lt;&gt;"",JK7&gt;=JS$31,JK7&lt;&gt;""),AND(JM7&gt;=JS$27,JM7&lt;&gt;"",JO7&gt;=JS$31,JO7&lt;&gt;""),AND(JP7&gt;=JS$27,JP7&lt;&gt;"",JR7&gt;=JS$31,JR7&lt;&gt;""),AND(KN7&gt;=LA$27,KN7&lt;&gt;"",KP7&gt;=LA$31,KP7&lt;&gt;""),AND(KQ7&gt;=LA$27,KQ7&lt;&gt;"",KS7&gt;=LA$31,KS7&lt;&gt;""),AND(KU7&gt;=LA$27,KU7&lt;&gt;"",KW7&gt;=LA$31,KW7&lt;&gt;""),AND(KX7&gt;=LA$27,KX7&lt;&gt;"",KZ7&gt;=LA$31,KZ7&lt;&gt;""),AND(LV7&gt;=MI$27,LV7&lt;&gt;"",LX7&gt;=MI$31,LX7&lt;&gt;""),AND(LY7&gt;=MI$27,LY7&lt;&gt;"",MA7&gt;=MI$31,MA7&lt;&gt;""),AND(MC7&gt;=MI$27,MC7&lt;&gt;"",ME7&gt;=MI$31,ME7&lt;&gt;""),AND(MF7&gt;=MI$27,MF7&lt;&gt;"",MH7&gt;=MI$31,MH7&lt;&gt;""),AND(ND7&gt;=NQ$27,ND7&lt;&gt;"",NF7&gt;=NQ$31,NF7&lt;&gt;""),AND(NG7&gt;=NQ$27,NG7&lt;&gt;"",NI7&gt;=NQ$31,NI7&lt;&gt;""),AND(NK7&gt;=NQ$27,NK7&lt;&gt;"",NM7&gt;=NQ$31,NM7&lt;&gt;""),AND(NN7&gt;=NQ$27,NN7&lt;&gt;"",NP7&gt;=NQ$31,NP7&lt;&gt;""),AND(OL7&gt;=OY$27,OL7&lt;&gt;"",ON7&gt;=OY$31,ON7&lt;&gt;""),AND(OO7&gt;=OY$27,OO7&lt;&gt;"",OQ7&gt;=OY$31,OQ7&lt;&gt;""),AND(OS7&gt;=OY$27,OS7&lt;&gt;"",OU7&gt;=OY$31,OU7&lt;&gt;""),AND(OV7&gt;=OY$27,OV7&lt;&gt;"",OX7&gt;=OY$31,OX7&lt;&gt;""),AND(PT7&gt;=QG$27,PT7&lt;&gt;"",PV7&gt;=QG$31,PV7&lt;&gt;""),AND(PW7&gt;=QG$27,PW7&lt;&gt;"",PY7&gt;=QG$31,PY7&lt;&gt;""),AND(QA7&gt;=QG$27,QA7&lt;&gt;"",QC7&gt;=QG$31,QC7&lt;&gt;""),AND(QD7&gt;=QG$27,QD7&lt;&gt;"",QF7&gt;=QG$31,QF7&lt;&gt;""),AND(RB7&gt;=RO$27,RB7&lt;&gt;"",RD7&gt;=RO$31,RD7&lt;&gt;""),AND(RE7&gt;=RO$27,RE7&lt;&gt;"",RG7&gt;=RO$31,RG7&lt;&gt;""),AND(RI7&gt;=RO$27,RI7&lt;&gt;"",RK7&gt;=RO$31,RK7&lt;&gt;""),AND(RL7&gt;=RO$27,RL7&lt;&gt;"",RN7&gt;=RO$31,RN7&lt;&gt;""),AND(SJ7&gt;=SW$27,SJ7&lt;&gt;"",SL7&gt;=SW$31,SL7&lt;&gt;""),AND(SM7&gt;=SW$27,SM7&lt;&gt;"",SO7&gt;=SW$31,SO7&lt;&gt;""),AND(SQ7&gt;=SW$27,SQ7&lt;&gt;"",SS7&gt;=SW$31,SS7&lt;&gt;""),AND(ST7&gt;=SW$27,ST7&lt;&gt;"",SV7&gt;=SW$31,SV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Z7&gt;=EM$26,DZ7&lt;&gt;"",EB7&gt;=EM$30,EB7&lt;&gt;""),AND(EC7&gt;=EM$26,EC7&lt;&gt;"",EE7&gt;=EM$30,EE7&lt;&gt;""),AND(EG7&gt;=EM$26,EG7&lt;&gt;"",EI7&gt;=EM$30,EI7&lt;&gt;""),AND(EJ7&gt;=EM$26,EJ7&lt;&gt;"",EL7&gt;=EM$30,EL7&lt;&gt;""),AND(FH7&gt;=FU$26,FH7&lt;&gt;"",FJ7&gt;=FU$30,FJ7&lt;&gt;""),AND(FK7&gt;=FU$26,FK7&lt;&gt;"",FM7&gt;=FU$30,FM7&lt;&gt;""),AND(FO7&gt;=FU$26,FO7&lt;&gt;"",FQ7&gt;=FU$30,FQ7&lt;&gt;""),AND(FR7&gt;=FU$26,FR7&lt;&gt;"",FT7&gt;=FU$30,FT7&lt;&gt;""),AND(GP7&gt;=HC$26,GP7&lt;&gt;"",GR7&gt;=HC$30,GR7&lt;&gt;""),AND(GS7&gt;=HC$26,GS7&lt;&gt;"",GU7&gt;=HC$30,GU7&lt;&gt;""),AND(GW7&gt;=HC$26,GW7&lt;&gt;"",GY7&gt;=HC$30,GY7&lt;&gt;""),AND(GZ7&gt;=HC$26,GZ7&lt;&gt;"",HB7&gt;=HC$30,HB7&lt;&gt;""),AND(HX7&gt;=IK$26,HX7&lt;&gt;"",HZ7&gt;=IK$30,HZ7&lt;&gt;""),AND(IA7&gt;=IK$26,IA7&lt;&gt;"",IC7&gt;=IK$30,IC7&lt;&gt;""),AND(IE7&gt;=IK$26,IE7&lt;&gt;"",IG7&gt;=IK$30,IG7&lt;&gt;""),AND(IH7&gt;=IK$26,IH7&lt;&gt;"",IJ7&gt;=IK$30,IJ7&lt;&gt;""),AND(JF7&gt;=JS$26,JF7&lt;&gt;"",JH7&gt;=JS$30,JH7&lt;&gt;""),AND(JI7&gt;=JS$26,JI7&lt;&gt;"",JK7&gt;=JS$30,JK7&lt;&gt;""),AND(JM7&gt;=JS$26,JM7&lt;&gt;"",JO7&gt;=JS$30,JO7&lt;&gt;""),AND(JP7&gt;=JS$26,JP7&lt;&gt;"",JR7&gt;=JS$30,JR7&lt;&gt;""),AND(KN7&gt;=LA$26,KN7&lt;&gt;"",KP7&gt;=LA$30,KP7&lt;&gt;""),AND(KQ7&gt;=LA$26,KQ7&lt;&gt;"",KS7&gt;=LA$30,KS7&lt;&gt;""),AND(KU7&gt;=LA$26,KU7&lt;&gt;"",KW7&gt;=LA$30,KW7&lt;&gt;""),AND(KX7&gt;=LA$26,KX7&lt;&gt;"",KZ7&gt;=LA$30,KZ7&lt;&gt;""),AND(LV7&gt;=MI$26,LV7&lt;&gt;"",LX7&gt;=MI$30,LX7&lt;&gt;""),AND(LY7&gt;=MI$26,LY7&lt;&gt;"",MA7&gt;=MI$30,MA7&lt;&gt;""),AND(MC7&gt;=MI$26,MC7&lt;&gt;"",ME7&gt;=MI$30,ME7&lt;&gt;""),AND(MF7&gt;=MI$26,MF7&lt;&gt;"",MH7&gt;=MI$30,MH7&lt;&gt;""),AND(ND7&gt;=NQ$26,ND7&lt;&gt;"",NF7&gt;=NQ$30,NF7&lt;&gt;""),AND(NG7&gt;=NQ$26,NG7&lt;&gt;"",NI7&gt;=NQ$30,NI7&lt;&gt;""),AND(NK7&gt;=NQ$26,NK7&lt;&gt;"",NM7&gt;=NQ$30,NM7&lt;&gt;""),AND(NN7&gt;=NQ$26,NN7&lt;&gt;"",NP7&gt;=NQ$30,NP7&lt;&gt;""),AND(OL7&gt;=OY$26,OL7&lt;&gt;"",ON7&gt;=OY$30,ON7&lt;&gt;""),AND(OO7&gt;=OY$26,OO7&lt;&gt;"",OQ7&gt;=OY$30,OQ7&lt;&gt;""),AND(OS7&gt;=OY$26,OS7&lt;&gt;"",OU7&gt;=OY$30,OU7&lt;&gt;""),AND(OV7&gt;=OY$26,OV7&lt;&gt;"",OX7&gt;=OY$30,OX7&lt;&gt;""),AND(PT7&gt;=QG$26,PT7&lt;&gt;"",PV7&gt;=QG$30,PV7&lt;&gt;""),AND(PW7&gt;=QG$26,PW7&lt;&gt;"",PY7&gt;=QG$30,PY7&lt;&gt;""),AND(QA7&gt;=QG$26,QA7&lt;&gt;"",QC7&gt;=QG$30,QC7&lt;&gt;""),AND(QD7&gt;=QG$26,QD7&lt;&gt;"",QF7&gt;=QG$30,QF7&lt;&gt;""),AND(RB7&gt;=RO$26,RB7&lt;&gt;"",RD7&gt;=RO$30,RD7&lt;&gt;""),AND(RE7&gt;=RO$26,RE7&lt;&gt;"",RG7&gt;=RO$30,RG7&lt;&gt;""),AND(RI7&gt;=RO$26,RI7&lt;&gt;"",RK7&gt;=RO$30,RK7&lt;&gt;""),AND(RL7&gt;=RO$26,RL7&lt;&gt;"",RN7&gt;=RO$30,RN7&lt;&gt;""),AND(SJ7&gt;=SW$26,SJ7&lt;&gt;"",SL7&gt;=SW$30,SL7&lt;&gt;""),AND(SM7&gt;=SW$26,SM7&lt;&gt;"",SO7&gt;=SW$30,SO7&lt;&gt;""),AND(SQ7&gt;=SW$26,SQ7&lt;&gt;"",SS7&gt;=SW$30,SS7&lt;&gt;""),AND(ST7&gt;=SW$26,ST7&lt;&gt;"",SV7&gt;=SW$30,SV7&lt;&gt;"")),"P","")</f>
        <v>P</v>
      </c>
      <c r="J7" s="13">
        <f>IF(COUNT(AQ7,AT7,BR7,BU7,CS7,CV7)&gt;0,LARGE((AQ7,AT7,BR7,BU7,CS7,CV7),1),0)</f>
        <v>56.83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56.614999999999995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</v>
      </c>
      <c r="O7" s="13" t="str">
        <f>IF(N7="","",IF(OR(N7=CS7,N7=CV7),$CA$1,IF(OR(N7=BR7,N7=BU7),$AZ$1,IF(OR(N7=AQ7,N7=AT7),$Y$1,""))))</f>
        <v>2021 Elite Canada</v>
      </c>
      <c r="P7" s="13">
        <f>IF(MAX(AX7,BY7,CZ7)&gt;0,MAX(AX7,BY7,CZ7),0)</f>
        <v>56.304999999999993</v>
      </c>
      <c r="Q7" s="13" t="str">
        <f>IF(P7="","",IF(P7=CZ7,$CA$1,IF(P7=BY7,$AZ$1,IF(P7=AX7,$Y$1,""))))</f>
        <v>2021 Elite Canada</v>
      </c>
      <c r="R7" s="13">
        <f>IF(MAX(AO7,AR7,AV7,BP7,BS7,BW7,CQ7,CT7,CX7)&gt;0,MAX(AO7,AR7,BP7,BS7,CQ7,CT7,AV7),0)</f>
        <v>15.4</v>
      </c>
      <c r="S7" s="13" t="str">
        <f>IF(R7=0,"",IF(OR(R7=CQ7,R7=CT7,R7=CX7),$CA$1,IF(OR(R7=BP7,R7=BS7,R7=BW7),$AZ$1,IF(OR(R7=AO7,R7=AR7,R7=AV7),$Y$1,""))))</f>
        <v>2022 Elite Canada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),0)</f>
        <v>16.829999999999998</v>
      </c>
      <c r="U7" s="13" t="str">
        <f>IF(T7=0,"",IF(OR(T7=CR7,T7=CU7,T7=CY7),$CA$1,IF(OR(T7=BQ7,T7=BT7,T7=BX7),$AZ$1,IF(OR(T7=AP7,T7=AS7,T7=AW7),$Y$1,""))))</f>
        <v>2021 Canadian Championships</v>
      </c>
      <c r="V7" s="13" t="str">
        <f>IF(MAX(DB7,DC7,DD7,DE7)&gt;0,MAX(DB7,DC7,DD7,DE7),"")</f>
        <v/>
      </c>
      <c r="W7" s="16" t="str">
        <f>IF(V7="","",IF(V7=DB7,"("&amp;DB$2&amp;")",IF(V7=DC7,"("&amp;DC$2&amp;")",IF(V7=DD7,"("&amp;DD$2&amp;")",IF(V7=DE7,"("&amp;DE$2&amp;")")))))</f>
        <v/>
      </c>
      <c r="X7" s="13" t="str">
        <f>IF(V7="","",IF(V7=DB7,IF(V7+IF(L7="",0,L7)=SP7,$RP$1,IF(V7+IF(L7="",0,L7)=RH7,$QH$1,IF(V7+IF(L7="",0,L7)=PZ7,$OZ$1,IF(V7+IF(L7="",0,L7)=OR7,$NR$1,IF(V7+IF(L7="",0,L7)=NJ7,$MJ$1,IF(V7+IF(L7="",0,L7)=MB7,$LB$1,IF(V7+IF(L7="",0,L7)=KT7,$JT$1,IF(V7+IF(L7="",0,L7)=JL7,$IL$1,IF(V7+IF(L7="",0,L7)=ID7,$HD$1,IF(V7+IF(L7="",0,L7)=GV7,$FV$1,IF(V7+IF(L7="",0,L7)=FN7,$EN$1,IF(V7+IF(L7="",0,L7)=EF7,$DF$1)))))))))))),IF(V7=DC7,IF(V7+IF(P7="",0,P7)=SV7,$RP$1,IF(V7+IF(P7="",0,P7)=RN7,$QH$1,IF(V7+IF(P7="",0,P7)=QF7,$OZ$1,IF(V7+IF(P7="",0,P7)=OX7,$NR$1,IF(V7+IF(P7="",0,P7)=NP7,$MJ$1,IF(V7+IF(P7="",0,P7)=MH7,$LB$1,IF(V7+IF(P7="",0,P7)=KZ7,$JT$1,IF(V7+IF(P7="",0,P7)=JR7,$IL$1,IF(V7+IF(P7="",0,P7)=IJ7,$HD$1,IF(V7+IF(P7="",0,P7)=HB7,$FV$1,IF(V7+IF(P7="",0,P7)=FT7,$EN$1,IF(V7+IF(P7="",0,P7)=EL7,$DF$1)))))))))))),IF(V7=DD7,IF(V7+IF(R7="",0,R7)=MAX(SJ7,SM7,SQ7,ST7),$RP$1,IF(V7+IF(R7="",0,R7)=MAX(RB7,RE7,RI7,RL7),$QH$1,IF(V7+IF(R7="",0,R7)=MAX(PT7,PW7,QA7,QD7),$OZ$1,IF(V7+IF(R7="",0,R7)=MAX(OL7,OO7,OS7,OV7),$NR$1,IF(V7+IF(R7="",0,R7)=MAX(ND7,NG7,NK7,NN7),$MJ$1,IF(V7+IF(R7="",0,R7)=MAX(LV7,LY7,MC7,MF7),$LB$1,IF(V7+IF(R7="",0,R7)=MAX(KN7,KQ7,KU7,KX7),$JT$1,IF(V7+IF(R7="",0,R7)=MAX(JF7,JI7,JM7,JP7),$IL$1,IF(V7+IF(R7="",0,R7)=MAX(HX7,IA7,IE7,IH7),$HD$1,IF(V7+IF(R7="",0,R7)=MAX(GP7,GS7,GW7,GZ7),$FV$1,IF(V7+IF(R7="",0,R7)=MAX(FH7,FK7,FO7,FR7),$EN$1,IF(V7+IF(R7="",0,R7)=MAX(DZ7,EC7,EG7,EJ7),$DF$1)))))))))))),IF(V7=DE7,IF(V7+IF(T7="",0,T7)=MAX(SK7,SN7,SR7,SU7),$RP$1,IF(V7+IF(T7="",0,T7)=MAX(RC7,RF7,RJ7,RM7),$QH$1,IF(V7+IF(T7="",0,T7)=MAX(PU7,PX7,QB7,QE7),$OZ$1,IF(V7+IF(T7="",0,T7)=MAX(OM7,OP7,OT7,OW7),$NR$1,IF(V7+IF(T7="",0,T7)=MAX(NE7,NH7,NL7,NO7),$MJ$1,IF(V7+IF(T7="",0,T7)=MAX(LW7,LZ7,MD7,MG7),$LB$1,IF(V7+IF(T7="",0,T7)=MAX(KO7,KR7,KV7,KY7),$JT$1,IF(V7+IF(T7="",0,T7)=MAX(JG7,JJ7,JN7,JQ7),$IL$1,IF(V7+IF(T7="",0,T7)=MAX(HY7,IB7,IF7,II7),$HD$1,IF(V7+IF(T7="",0,T7)=MAX(GQ7,GT7,GX7,HA7),$FV$1,IF(V7+IF(T7="",0,T7)=MAX(FI7,FL7,FP7,FS7),$EN$1,IF(V7+IF(T7="",0,T7)=MAX(EA7,ED7,EH7,EK7),$DF$1)))))))))))))))))</f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>IF(AA7&gt;0,AA7,"")</f>
        <v>15</v>
      </c>
      <c r="AP7" s="74">
        <f>IF(AB7&gt;0,AB7,"")</f>
        <v>15.86</v>
      </c>
      <c r="AQ7" s="76">
        <f>IF(SUM(Y7:AB7)-AC7&gt;0,SUM(Y7:AB7)-AC7,"")</f>
        <v>55.06</v>
      </c>
      <c r="AR7" s="76">
        <f>IF(AF7&gt;0,AF7,"")</f>
        <v>15.4</v>
      </c>
      <c r="AS7" s="76">
        <f>IF(AG7&gt;0,AG7,"")</f>
        <v>16.600000000000001</v>
      </c>
      <c r="AT7" s="76">
        <f>IF(SUM(AD7:AG7)-AH7&gt;0,SUM(AD7:AG7)-AH7,"")</f>
        <v>56.4</v>
      </c>
      <c r="AU7" s="76">
        <f>IF(AQ7="","",MAX(AQ7,AT7))</f>
        <v>56.4</v>
      </c>
      <c r="AV7" s="76">
        <f>IF(AK7&gt;0,AK7,"")</f>
        <v>15</v>
      </c>
      <c r="AW7" s="76">
        <f>IF(AL7&gt;0,AL7,"")</f>
        <v>16.504999999999999</v>
      </c>
      <c r="AX7" s="76">
        <f>IF(SUM(AI7:AL7)-AM7&gt;0,SUM(AI7:AL7)-AM7,"")</f>
        <v>56.304999999999993</v>
      </c>
      <c r="AY7" s="76">
        <f>IF(SUM(AU7,AX7)&gt;0,SUM(AU7,AX7),"")</f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>IF(BB7&gt;0,BB7,"")</f>
        <v>15</v>
      </c>
      <c r="BQ7" s="75">
        <f>IF(BC7&gt;0,BC7,"")</f>
        <v>16.565000000000001</v>
      </c>
      <c r="BR7" s="16">
        <f>IF(SUM(AZ7:BC7)-BD7&gt;0,SUM(AZ7:BC7)-BD7,"")</f>
        <v>56.364999999999995</v>
      </c>
      <c r="BS7" s="16">
        <f>IF(BG7&gt;0,BG7,"")</f>
        <v>15.4</v>
      </c>
      <c r="BT7" s="16">
        <f>IF(BH7&gt;0,BH7,"")</f>
        <v>16.829999999999998</v>
      </c>
      <c r="BU7" s="16">
        <f>IF(SUM(BE7:BH7)-BI7&gt;0,SUM(BE7:BH7)-BI7,"")</f>
        <v>56.83</v>
      </c>
      <c r="BV7" s="16">
        <f>IF(BR7="","",MAX(BR7,BU7))</f>
        <v>56.83</v>
      </c>
      <c r="BW7" s="16">
        <f>IF(BL7&gt;0,BL7,"")</f>
        <v>13.4</v>
      </c>
      <c r="BX7" s="16">
        <f>IF(BM7&gt;0,BM7,"")</f>
        <v>16.350000000000001</v>
      </c>
      <c r="BY7" s="16">
        <f>IF(SUM(BJ7:BM7)-BN7&gt;0,SUM(BJ7:BM7)-BN7,"")</f>
        <v>53.75</v>
      </c>
      <c r="BZ7" s="16">
        <f>IF(SUM(BV7,BY7)&gt;0,SUM(BV7,BY7),"")</f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>IF(CC7&gt;0,CC7,"")</f>
        <v>15</v>
      </c>
      <c r="CR7" s="74">
        <f>IF(CD7&gt;0,CD7,"")</f>
        <v>16.213000000000001</v>
      </c>
      <c r="CS7" s="76">
        <f>IF(SUM(CA7:CD7)-CE7&gt;0,SUM(CA7:CD7)-CE7,"")</f>
        <v>55.713000000000001</v>
      </c>
      <c r="CT7" s="76">
        <f>IF(CH7&gt;0,CH7,"")</f>
        <v>15.4</v>
      </c>
      <c r="CU7" s="76">
        <f>IF(CI7&gt;0,CI7,"")</f>
        <v>16.715</v>
      </c>
      <c r="CV7" s="76">
        <f>IF(SUM(CF7:CI7)-CJ7&gt;0,SUM(CF7:CI7)-CJ7,"")</f>
        <v>56.614999999999995</v>
      </c>
      <c r="CW7" s="76">
        <f>IF(CS7="","",MAX(CS7,CV7))</f>
        <v>56.614999999999995</v>
      </c>
      <c r="CX7" s="76">
        <f>IF(CM7&gt;0,CM7,"")</f>
        <v>14.2</v>
      </c>
      <c r="CY7" s="76">
        <f>IF(CN7&gt;0,CN7,"")</f>
        <v>16.428000000000001</v>
      </c>
      <c r="CZ7" s="76">
        <f>IF(SUM(CK7:CN7)-CO7&gt;0,SUM(CK7:CN7)-CO7,"")</f>
        <v>55.028000000000006</v>
      </c>
      <c r="DA7" s="76">
        <f>IF(SUM(CW7,CZ7)&gt;0,SUM(CW7,CZ7),"")</f>
        <v>111.643</v>
      </c>
      <c r="DB7" s="87" t="str">
        <f>IF(L7&gt;=0.001,IF(MAX(EF7,FN7,GV7,ID7,JL7,KT7,MB7,NJ7,OR7,PZ7,RH7,SP7)-IF(L7="",0,L7)&gt;0.001,MAX(EF7,FN7,GV7,ID7,JL7,KT7,MB7,NJ7,OR7,PZ7,RH7,SP7)-IF(L7="",0,L7),""),"")</f>
        <v/>
      </c>
      <c r="DC7" s="87" t="str">
        <f>IF(P7&gt;=0.001,IF(MAX(EI7,EL7,FQ7,FT7,GY7,HB7,IG7,IJ7,JO7,JR7,KW7,KZ7,ME7,MH7,NM7,NP7,OU7,OX7,QC7,QF7,RK7,RN7,SS7,SV7)-IF(P7="",0,P7)&gt;0.001,MAX(EI7,EL7,FQ7,FT7,GY7,HB7,IG7,IJ7,JO7,JR7,KW7,KZ7,ME7,MH7,NM7,NP7,OU7,OX7,QC7,QF7,RK7,RN7,SS7,SV7)-IF(P7="",0,P7),""),"")</f>
        <v/>
      </c>
      <c r="DD7" s="87" t="str">
        <f>IF(R7&gt;=0.001,IF(MAX(DZ7,EC7,EG7,EJ7,FH7,FK7,FO7,FR7,GP7,GS7,GW7,GZ7,HX7,IA7,IE7,IH7,JF7,JI7,JM7,JP7,KN7,KQ7,KU7,KX7,LV7,LY7,MC7,MF7,ND7,NG7,NK7,NN7,OL7,OO7,OS7,OV7,PT7,PW7,QA7,QD7,RB7,RE7,RI7,RL7,SJ7,SM7,SQ7,ST7)-IF(R7="",0,R7)&gt;0.001,MAX(DZ7,EC7,EG7,EJ7,FH7,FK7,FO7,FR7,GP7,GS7,GW7,GZ7,HX7,IA7,IE7,IH7,JF7,JI7,JM7,JP7,KN7,KQ7,KU7,KX7,LV7,LY7,MC7,MF7,ND7,NG7,NK7,NN7,OL7,OO7,OS7,OV7,PT7,PW7,QA7,QD7,RB7,RE7,RI7,RL7,SJ7,SM7,SQ7,ST7)-IF(R7="",0,R7),""),"")</f>
        <v/>
      </c>
      <c r="DE7" s="87" t="str">
        <f>IF(T7&gt;=0.001,IF(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&gt;0.001,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,""),"")</f>
        <v/>
      </c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76" t="str">
        <f>IF(DH7&gt;0,DH7,"")</f>
        <v/>
      </c>
      <c r="EA7" s="76" t="str">
        <f>IF(DI7&gt;0,DI7,"")</f>
        <v/>
      </c>
      <c r="EB7" s="76" t="str">
        <f>IF(SUM(DF7:DI7)-DJ7&gt;0,SUM(DF7:DI7)-DJ7,"")</f>
        <v/>
      </c>
      <c r="EC7" s="76" t="str">
        <f>IF(DM7&gt;0,DM7,"")</f>
        <v/>
      </c>
      <c r="ED7" s="76" t="str">
        <f>IF(DN7&gt;0,DN7,"")</f>
        <v/>
      </c>
      <c r="EE7" s="76" t="str">
        <f>IF(SUM(DK7:DN7)-DO7&gt;0,SUM(DK7:DN7)-DO7,"")</f>
        <v/>
      </c>
      <c r="EF7" s="76" t="str">
        <f>IF(MAX(EB7,EE7)&gt;0,MAX(EB7,EE7),"")</f>
        <v/>
      </c>
      <c r="EG7" s="76" t="str">
        <f>IF(DR7&gt;0,DR7,"")</f>
        <v/>
      </c>
      <c r="EH7" s="76" t="str">
        <f>IF(DS7&gt;0,DS7,"")</f>
        <v/>
      </c>
      <c r="EI7" s="76" t="str">
        <f>IF(SUM(DP7:DS7)-DT7&gt;0,SUM(DP7:DS7)-DT7,"")</f>
        <v/>
      </c>
      <c r="EJ7" s="76" t="str">
        <f>IF(DW7&gt;0,DW7,"")</f>
        <v/>
      </c>
      <c r="EK7" s="76" t="str">
        <f>IF(DX7&gt;0,DX7,"")</f>
        <v/>
      </c>
      <c r="EL7" s="76" t="str">
        <f>IF(SUM(DU7:DX7)-DY7&gt;0,SUM(DU7:DX7)-DY7,"")</f>
        <v/>
      </c>
      <c r="EM7" s="76" t="str">
        <f>IF(SUM(EF7,EL7)&gt;0,SUM(EF7,EL7),"")</f>
        <v/>
      </c>
      <c r="EN7" s="26">
        <v>14</v>
      </c>
      <c r="EO7" s="26">
        <v>9.5</v>
      </c>
      <c r="EP7" s="26">
        <v>15</v>
      </c>
      <c r="EQ7" s="26">
        <v>15.64</v>
      </c>
      <c r="ER7" s="26">
        <v>0</v>
      </c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16">
        <f>IF(EP7&gt;0,EP7,"")</f>
        <v>15</v>
      </c>
      <c r="FI7" s="16">
        <f>IF(EQ7&gt;0,EQ7,"")</f>
        <v>15.64</v>
      </c>
      <c r="FJ7" s="16">
        <f>IF(SUM(EN7:EQ7)-ER7&gt;0,SUM(EN7:EQ7)-ER7,"")</f>
        <v>54.14</v>
      </c>
      <c r="FK7" s="16" t="str">
        <f>IF(EU7&gt;0,EU7,"")</f>
        <v/>
      </c>
      <c r="FL7" s="16" t="str">
        <f>IF(EV7&gt;0,EV7,"")</f>
        <v/>
      </c>
      <c r="FM7" s="16" t="str">
        <f>IF(SUM(ES7:EV7)-EW7&gt;0,SUM(ES7:EV7)-EW7,"")</f>
        <v/>
      </c>
      <c r="FN7" s="16">
        <f>IF(MAX(FJ7,FM7)&gt;0,MAX(FJ7,FM7),"")</f>
        <v>54.14</v>
      </c>
      <c r="FO7" s="16" t="str">
        <f>IF(EZ7&gt;0,EZ7,"")</f>
        <v/>
      </c>
      <c r="FP7" s="16" t="str">
        <f>IF(FA7&gt;0,FA7,"")</f>
        <v/>
      </c>
      <c r="FQ7" s="16" t="str">
        <f>IF(SUM(EX7:FA7)-FB7&gt;0,SUM(EX7:FA7)-FB7,"")</f>
        <v/>
      </c>
      <c r="FR7" s="16" t="str">
        <f>IF(FE7&gt;0,FE7,"")</f>
        <v/>
      </c>
      <c r="FS7" s="16" t="str">
        <f>IF(FF7&gt;0,FF7,"")</f>
        <v/>
      </c>
      <c r="FT7" s="16" t="str">
        <f>IF(SUM(FC7:FF7)-FG7&gt;0,SUM(FC7:FF7)-FG7,"")</f>
        <v/>
      </c>
      <c r="FU7" s="16">
        <f>IF(SUM(FN7,FT7)&gt;0,SUM(FN7,FT7),"")</f>
        <v>54.14</v>
      </c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76" t="str">
        <f>IF(FX7&gt;0,FX7,"")</f>
        <v/>
      </c>
      <c r="GQ7" s="76" t="str">
        <f>IF(FY7&gt;0,FY7,"")</f>
        <v/>
      </c>
      <c r="GR7" s="76" t="str">
        <f>IF(SUM(FV7:FY7)-FZ7&gt;0,SUM(FV7:FY7)-FZ7,"")</f>
        <v/>
      </c>
      <c r="GS7" s="76" t="str">
        <f>IF(GC7&gt;0,GC7,"")</f>
        <v/>
      </c>
      <c r="GT7" s="76" t="str">
        <f>IF(GD7&gt;0,GD7,"")</f>
        <v/>
      </c>
      <c r="GU7" s="76" t="str">
        <f>IF(SUM(GA7:GD7)-GE7&gt;0,SUM(GA7:GD7)-GE7,"")</f>
        <v/>
      </c>
      <c r="GV7" s="76" t="str">
        <f>IF(MAX(GR7,GU7)&gt;0,MAX(GR7,GU7),"")</f>
        <v/>
      </c>
      <c r="GW7" s="76" t="str">
        <f>IF(GH7&gt;0,GH7,"")</f>
        <v/>
      </c>
      <c r="GX7" s="76" t="str">
        <f>IF(GI7&gt;0,GI7,"")</f>
        <v/>
      </c>
      <c r="GY7" s="76" t="str">
        <f>IF(SUM(GF7:GI7)-GJ7&gt;0,SUM(GF7:GI7)-GJ7,"")</f>
        <v/>
      </c>
      <c r="GZ7" s="76" t="str">
        <f>IF(GM7&gt;0,GM7,"")</f>
        <v/>
      </c>
      <c r="HA7" s="76" t="str">
        <f>IF(GN7&gt;0,GN7,"")</f>
        <v/>
      </c>
      <c r="HB7" s="76" t="str">
        <f>IF(SUM(GK7:GN7)-GO7&gt;0,SUM(GK7:GN7)-GO7,"")</f>
        <v/>
      </c>
      <c r="HC7" s="76" t="str">
        <f>IF(SUM(GV7,HB7)&gt;0,SUM(GV7,HB7),"")</f>
        <v/>
      </c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16" t="str">
        <f>IF(HF7&gt;0,HF7,"")</f>
        <v/>
      </c>
      <c r="HY7" s="16" t="str">
        <f>IF(HG7&gt;0,HG7,"")</f>
        <v/>
      </c>
      <c r="HZ7" s="16" t="str">
        <f>IF(SUM(HD7:HG7)-HH7&gt;0,SUM(HD7:HG7)-HH7,"")</f>
        <v/>
      </c>
      <c r="IA7" s="16" t="str">
        <f>IF(HK7&gt;0,HK7,"")</f>
        <v/>
      </c>
      <c r="IB7" s="16" t="str">
        <f>IF(HL7&gt;0,HL7,"")</f>
        <v/>
      </c>
      <c r="IC7" s="16" t="str">
        <f>IF(SUM(HI7:HL7)-HM7&gt;0,SUM(HI7:HL7)-HM7,"")</f>
        <v/>
      </c>
      <c r="ID7" s="16" t="str">
        <f>IF(MAX(HZ7,IC7)&gt;0,MAX(HZ7,IC7),"")</f>
        <v/>
      </c>
      <c r="IE7" s="16" t="str">
        <f>IF(HP7&gt;0,HP7,"")</f>
        <v/>
      </c>
      <c r="IF7" s="16" t="str">
        <f>IF(HQ7&gt;0,HQ7,"")</f>
        <v/>
      </c>
      <c r="IG7" s="16" t="str">
        <f>IF(SUM(HN7:HQ7)-HR7&gt;0,SUM(HN7:HQ7)-HR7,"")</f>
        <v/>
      </c>
      <c r="IH7" s="16" t="str">
        <f>IF(HU7&gt;0,HU7,"")</f>
        <v/>
      </c>
      <c r="II7" s="16" t="str">
        <f>IF(HV7&gt;0,HV7,"")</f>
        <v/>
      </c>
      <c r="IJ7" s="16" t="str">
        <f>IF(SUM(HS7:HV7)-HW7&gt;0,SUM(HS7:HV7)-HW7,"")</f>
        <v/>
      </c>
      <c r="IK7" s="16" t="str">
        <f>IF(SUM(ID7,IJ7)&gt;0,SUM(ID7,IJ7),"")</f>
        <v/>
      </c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76" t="str">
        <f>IF(IN7&gt;0,IN7,"")</f>
        <v/>
      </c>
      <c r="JG7" s="76" t="str">
        <f>IF(IO7&gt;0,IO7,"")</f>
        <v/>
      </c>
      <c r="JH7" s="76" t="str">
        <f>IF(SUM(IL7:IO7)-IP7&gt;0,SUM(IL7:IO7)-IP7,"")</f>
        <v/>
      </c>
      <c r="JI7" s="76" t="str">
        <f>IF(IS7&gt;0,IS7,"")</f>
        <v/>
      </c>
      <c r="JJ7" s="76" t="str">
        <f>IF(IT7&gt;0,IT7,"")</f>
        <v/>
      </c>
      <c r="JK7" s="76" t="str">
        <f>IF(SUM(IQ7:IT7)-IU7&gt;0,SUM(IQ7:IT7)-IU7,"")</f>
        <v/>
      </c>
      <c r="JL7" s="76" t="str">
        <f>IF(MAX(JH7,JK7)&gt;0,MAX(JH7,JK7),"")</f>
        <v/>
      </c>
      <c r="JM7" s="76" t="str">
        <f>IF(IX7&gt;0,IX7,"")</f>
        <v/>
      </c>
      <c r="JN7" s="76" t="str">
        <f>IF(IY7&gt;0,IY7,"")</f>
        <v/>
      </c>
      <c r="JO7" s="76" t="str">
        <f>IF(SUM(IV7:IY7)-IZ7&gt;0,SUM(IV7:IY7)-IZ7,"")</f>
        <v/>
      </c>
      <c r="JP7" s="76" t="str">
        <f>IF(JC7&gt;0,JC7,"")</f>
        <v/>
      </c>
      <c r="JQ7" s="76" t="str">
        <f>IF(JD7&gt;0,JD7,"")</f>
        <v/>
      </c>
      <c r="JR7" s="76" t="str">
        <f>IF(SUM(JA7:JD7)-JE7&gt;0,SUM(JA7:JD7)-JE7,"")</f>
        <v/>
      </c>
      <c r="JS7" s="76" t="str">
        <f>IF(SUM(JL7,JR7)&gt;0,SUM(JL7,JR7),"")</f>
        <v/>
      </c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16" t="str">
        <f>IF(JV7&gt;0,JV7,"")</f>
        <v/>
      </c>
      <c r="KO7" s="16" t="str">
        <f>IF(JW7&gt;0,JW7,"")</f>
        <v/>
      </c>
      <c r="KP7" s="16" t="str">
        <f>IF(SUM(JT7:JW7)-JX7&gt;0,SUM(JT7:JW7)-JX7,"")</f>
        <v/>
      </c>
      <c r="KQ7" s="16" t="str">
        <f>IF(KA7&gt;0,KA7,"")</f>
        <v/>
      </c>
      <c r="KR7" s="16" t="str">
        <f>IF(KB7&gt;0,KB7,"")</f>
        <v/>
      </c>
      <c r="KS7" s="16" t="str">
        <f>IF(SUM(JY7:KB7)-KC7&gt;0,SUM(JY7:KB7)-KC7,"")</f>
        <v/>
      </c>
      <c r="KT7" s="16" t="str">
        <f>IF(MAX(KP7,KS7)&gt;0,MAX(KP7,KS7),"")</f>
        <v/>
      </c>
      <c r="KU7" s="16" t="str">
        <f>IF(KF7&gt;0,KF7,"")</f>
        <v/>
      </c>
      <c r="KV7" s="16" t="str">
        <f>IF(KG7&gt;0,KG7,"")</f>
        <v/>
      </c>
      <c r="KW7" s="16" t="str">
        <f>IF(SUM(KD7:KG7)-KH7&gt;0,SUM(KD7:KG7)-KH7,"")</f>
        <v/>
      </c>
      <c r="KX7" s="16" t="str">
        <f>IF(KK7&gt;0,KK7,"")</f>
        <v/>
      </c>
      <c r="KY7" s="16" t="str">
        <f>IF(KL7&gt;0,KL7,"")</f>
        <v/>
      </c>
      <c r="KZ7" s="16" t="str">
        <f>IF(SUM(KI7:KL7)-KM7&gt;0,SUM(KI7:KL7)-KM7,"")</f>
        <v/>
      </c>
      <c r="LA7" s="16" t="str">
        <f>IF(SUM(KT7,KZ7)&gt;0,SUM(KT7,KZ7),"")</f>
        <v/>
      </c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76" t="str">
        <f>IF(LD7&gt;0,LD7,"")</f>
        <v/>
      </c>
      <c r="LW7" s="76" t="str">
        <f>IF(LE7&gt;0,LE7,"")</f>
        <v/>
      </c>
      <c r="LX7" s="76" t="str">
        <f>IF(SUM(LB7:LE7)-LF7&gt;0,SUM(LB7:LE7)-LF7,"")</f>
        <v/>
      </c>
      <c r="LY7" s="76" t="str">
        <f>IF(LI7&gt;0,LI7,"")</f>
        <v/>
      </c>
      <c r="LZ7" s="76" t="str">
        <f>IF(LJ7&gt;0,LJ7,"")</f>
        <v/>
      </c>
      <c r="MA7" s="76" t="str">
        <f>IF(SUM(LG7:LJ7)-LK7&gt;0,SUM(LG7:LJ7)-LK7,"")</f>
        <v/>
      </c>
      <c r="MB7" s="76" t="str">
        <f>IF(MAX(LX7,MA7)&gt;0,MAX(LX7,MA7),"")</f>
        <v/>
      </c>
      <c r="MC7" s="76" t="str">
        <f>IF(LN7&gt;0,LN7,"")</f>
        <v/>
      </c>
      <c r="MD7" s="76" t="str">
        <f>IF(LO7&gt;0,LO7,"")</f>
        <v/>
      </c>
      <c r="ME7" s="76" t="str">
        <f>IF(SUM(LL7:LO7)-LP7&gt;0,SUM(LL7:LO7)-LP7,"")</f>
        <v/>
      </c>
      <c r="MF7" s="76" t="str">
        <f>IF(LS7&gt;0,LS7,"")</f>
        <v/>
      </c>
      <c r="MG7" s="76" t="str">
        <f>IF(LT7&gt;0,LT7,"")</f>
        <v/>
      </c>
      <c r="MH7" s="76" t="str">
        <f>IF(SUM(LQ7:LT7)-LU7&gt;0,SUM(LQ7:LT7)-LU7,"")</f>
        <v/>
      </c>
      <c r="MI7" s="76" t="str">
        <f>IF(SUM(MB7,MH7)&gt;0,SUM(MB7,MH7),"")</f>
        <v/>
      </c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16" t="str">
        <f>IF(ML7&gt;0,ML7,"")</f>
        <v/>
      </c>
      <c r="NE7" s="16" t="str">
        <f>IF(MM7&gt;0,MM7,"")</f>
        <v/>
      </c>
      <c r="NF7" s="16" t="str">
        <f>IF(SUM(MJ7:MM7)-MN7&gt;0,SUM(MJ7:MM7)-MN7,"")</f>
        <v/>
      </c>
      <c r="NG7" s="16" t="str">
        <f>IF(MQ7&gt;0,MQ7,"")</f>
        <v/>
      </c>
      <c r="NH7" s="16" t="str">
        <f>IF(MR7&gt;0,MR7,"")</f>
        <v/>
      </c>
      <c r="NI7" s="16" t="str">
        <f>IF(SUM(MO7:MR7)-MS7&gt;0,SUM(MO7:MR7)-MS7,"")</f>
        <v/>
      </c>
      <c r="NJ7" s="16" t="str">
        <f>IF(MAX(NF7,NI7)&gt;0,MAX(NF7,NI7),"")</f>
        <v/>
      </c>
      <c r="NK7" s="16" t="str">
        <f>IF(MV7&gt;0,MV7,"")</f>
        <v/>
      </c>
      <c r="NL7" s="16" t="str">
        <f>IF(MW7&gt;0,MW7,"")</f>
        <v/>
      </c>
      <c r="NM7" s="16" t="str">
        <f>IF(SUM(MT7:MW7)-MX7&gt;0,SUM(MT7:MW7)-MX7,"")</f>
        <v/>
      </c>
      <c r="NN7" s="16" t="str">
        <f>IF(NA7&gt;0,NA7,"")</f>
        <v/>
      </c>
      <c r="NO7" s="16" t="str">
        <f>IF(NB7&gt;0,NB7,"")</f>
        <v/>
      </c>
      <c r="NP7" s="16" t="str">
        <f>IF(SUM(MY7:NB7)-NC7&gt;0,SUM(MY7:NB7)-NC7,"")</f>
        <v/>
      </c>
      <c r="NQ7" s="16" t="str">
        <f>IF(SUM(NJ7,NP7)&gt;0,SUM(NJ7,NP7),"")</f>
        <v/>
      </c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76" t="str">
        <f>IF(NT7&gt;0,NT7,"")</f>
        <v/>
      </c>
      <c r="OM7" s="76" t="str">
        <f>IF(NU7&gt;0,NU7,"")</f>
        <v/>
      </c>
      <c r="ON7" s="76" t="str">
        <f>IF(SUM(NR7:NU7)-NV7&gt;0,SUM(NR7:NU7)-NV7,"")</f>
        <v/>
      </c>
      <c r="OO7" s="76" t="str">
        <f>IF(NY7&gt;0,NY7,"")</f>
        <v/>
      </c>
      <c r="OP7" s="76" t="str">
        <f>IF(NZ7&gt;0,NZ7,"")</f>
        <v/>
      </c>
      <c r="OQ7" s="76" t="str">
        <f>IF(SUM(NW7:NZ7)-OA7&gt;0,SUM(NW7:NZ7)-OA7,"")</f>
        <v/>
      </c>
      <c r="OR7" s="76" t="str">
        <f>IF(MAX(ON7,OQ7)&gt;0,MAX(ON7,OQ7),"")</f>
        <v/>
      </c>
      <c r="OS7" s="76" t="str">
        <f>IF(OD7&gt;0,OD7,"")</f>
        <v/>
      </c>
      <c r="OT7" s="76" t="str">
        <f>IF(OE7&gt;0,OE7,"")</f>
        <v/>
      </c>
      <c r="OU7" s="76" t="str">
        <f>IF(SUM(OB7:OE7)-OF7&gt;0,SUM(OB7:OE7)-OF7,"")</f>
        <v/>
      </c>
      <c r="OV7" s="76" t="str">
        <f>IF(OI7&gt;0,OI7,"")</f>
        <v/>
      </c>
      <c r="OW7" s="76" t="str">
        <f>IF(OJ7&gt;0,OJ7,"")</f>
        <v/>
      </c>
      <c r="OX7" s="76" t="str">
        <f>IF(SUM(OG7:OJ7)-OK7&gt;0,SUM(OG7:OJ7)-OK7,"")</f>
        <v/>
      </c>
      <c r="OY7" s="76" t="str">
        <f>IF(SUM(OR7,OX7)&gt;0,SUM(OR7,OX7),"")</f>
        <v/>
      </c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16" t="str">
        <f>IF(PB7&gt;0,PB7,"")</f>
        <v/>
      </c>
      <c r="PU7" s="16" t="str">
        <f>IF(PC7&gt;0,PC7,"")</f>
        <v/>
      </c>
      <c r="PV7" s="16" t="str">
        <f>IF(SUM(OZ7:PC7)-PD7&gt;0,SUM(OZ7:PC7)-PD7,"")</f>
        <v/>
      </c>
      <c r="PW7" s="16" t="str">
        <f>IF(PG7&gt;0,PG7,"")</f>
        <v/>
      </c>
      <c r="PX7" s="16" t="str">
        <f>IF(PH7&gt;0,PH7,"")</f>
        <v/>
      </c>
      <c r="PY7" s="16" t="str">
        <f>IF(SUM(PE7:PH7)-PI7&gt;0,SUM(PE7:PH7)-PI7,"")</f>
        <v/>
      </c>
      <c r="PZ7" s="16" t="str">
        <f>IF(MAX(PV7,PY7)&gt;0,MAX(PV7,PY7),"")</f>
        <v/>
      </c>
      <c r="QA7" s="16" t="str">
        <f>IF(PL7&gt;0,PL7,"")</f>
        <v/>
      </c>
      <c r="QB7" s="16" t="str">
        <f>IF(PM7&gt;0,PM7,"")</f>
        <v/>
      </c>
      <c r="QC7" s="16" t="str">
        <f>IF(SUM(PJ7:PM7)-PN7&gt;0,SUM(PJ7:PM7)-PN7,"")</f>
        <v/>
      </c>
      <c r="QD7" s="16" t="str">
        <f>IF(PQ7&gt;0,PQ7,"")</f>
        <v/>
      </c>
      <c r="QE7" s="16" t="str">
        <f>IF(PR7&gt;0,PR7,"")</f>
        <v/>
      </c>
      <c r="QF7" s="16" t="str">
        <f>IF(SUM(PO7:PR7)-PS7&gt;0,SUM(PO7:PR7)-PS7,"")</f>
        <v/>
      </c>
      <c r="QG7" s="16" t="str">
        <f>IF(SUM(PZ7,QF7)&gt;0,SUM(PZ7,QF7),"")</f>
        <v/>
      </c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25"/>
      <c r="RA7" s="25"/>
      <c r="RB7" s="76" t="str">
        <f>IF(QJ7&gt;0,QJ7,"")</f>
        <v/>
      </c>
      <c r="RC7" s="76" t="str">
        <f>IF(QK7&gt;0,QK7,"")</f>
        <v/>
      </c>
      <c r="RD7" s="76" t="str">
        <f>IF(SUM(QH7:QK7)-QL7&gt;0,SUM(QH7:QK7)-QL7,"")</f>
        <v/>
      </c>
      <c r="RE7" s="76" t="str">
        <f>IF(QO7&gt;0,QO7,"")</f>
        <v/>
      </c>
      <c r="RF7" s="76" t="str">
        <f>IF(QP7&gt;0,QP7,"")</f>
        <v/>
      </c>
      <c r="RG7" s="76" t="str">
        <f>IF(SUM(QM7:QP7)-QQ7&gt;0,SUM(QM7:QP7)-QQ7,"")</f>
        <v/>
      </c>
      <c r="RH7" s="76" t="str">
        <f>IF(MAX(RD7,RG7)&gt;0,MAX(RD7,RG7),"")</f>
        <v/>
      </c>
      <c r="RI7" s="76" t="str">
        <f>IF(QT7&gt;0,QT7,"")</f>
        <v/>
      </c>
      <c r="RJ7" s="76" t="str">
        <f>IF(QU7&gt;0,QU7,"")</f>
        <v/>
      </c>
      <c r="RK7" s="76" t="str">
        <f>IF(SUM(QR7:QU7)-QV7&gt;0,SUM(QR7:QU7)-QV7,"")</f>
        <v/>
      </c>
      <c r="RL7" s="76" t="str">
        <f>IF(QY7&gt;0,QY7,"")</f>
        <v/>
      </c>
      <c r="RM7" s="76" t="str">
        <f>IF(QZ7&gt;0,QZ7,"")</f>
        <v/>
      </c>
      <c r="RN7" s="76" t="str">
        <f>IF(SUM(QW7:QZ7)-RA7&gt;0,SUM(QW7:QZ7)-RA7,"")</f>
        <v/>
      </c>
      <c r="RO7" s="76" t="str">
        <f>IF(SUM(RH7,RN7)&gt;0,SUM(RH7,RN7),"")</f>
        <v/>
      </c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16" t="str">
        <f>IF(RR7&gt;0,RR7,"")</f>
        <v/>
      </c>
      <c r="SK7" s="16" t="str">
        <f>IF(RS7&gt;0,RS7,"")</f>
        <v/>
      </c>
      <c r="SL7" s="16" t="str">
        <f>IF(SUM(RP7:RS7)-RT7&gt;0,SUM(RP7:RS7)-RT7,"")</f>
        <v/>
      </c>
      <c r="SM7" s="16" t="str">
        <f>IF(RW7&gt;0,RW7,"")</f>
        <v/>
      </c>
      <c r="SN7" s="16" t="str">
        <f>IF(RX7&gt;0,RX7,"")</f>
        <v/>
      </c>
      <c r="SO7" s="16" t="str">
        <f>IF(SUM(RU7:RX7)-RY7&gt;0,SUM(RU7:RX7)-RY7,"")</f>
        <v/>
      </c>
      <c r="SP7" s="16" t="str">
        <f>IF(MAX(SL7,SO7)&gt;0,MAX(SL7,SO7),"")</f>
        <v/>
      </c>
      <c r="SQ7" s="16" t="str">
        <f>IF(SB7&gt;0,SB7,"")</f>
        <v/>
      </c>
      <c r="SR7" s="16" t="str">
        <f>IF(SC7&gt;0,SC7,"")</f>
        <v/>
      </c>
      <c r="SS7" s="16" t="str">
        <f>IF(SUM(RZ7:SC7)-SD7&gt;0,SUM(RZ7:SC7)-SD7,"")</f>
        <v/>
      </c>
      <c r="ST7" s="16" t="str">
        <f>IF(SG7&gt;0,SG7,"")</f>
        <v/>
      </c>
      <c r="SU7" s="16" t="str">
        <f>IF(SH7&gt;0,SH7,"")</f>
        <v/>
      </c>
      <c r="SV7" s="16" t="str">
        <f>IF(SUM(SE7:SH7)-SI7&gt;0,SUM(SE7:SH7)-SI7,"")</f>
        <v/>
      </c>
      <c r="SW7" s="16" t="str">
        <f>IF(SUM(SP7,SV7)&gt;0,SUM(SP7,SV7),"")</f>
        <v/>
      </c>
      <c r="SX7" s="42">
        <f>IF($CP7="P",CA7,(CA7+AZ7)/2)</f>
        <v>15.25</v>
      </c>
      <c r="SY7" s="42">
        <f>IF($CP7="P",CB7,(CB7+BA7)/2)</f>
        <v>9.25</v>
      </c>
      <c r="SZ7" s="42">
        <f>IF($CP7="P",CC7,(CC7+BB7)/2)</f>
        <v>15</v>
      </c>
      <c r="TA7" s="42">
        <f>IF($CP7="P",CD7,(CD7+BC7)/2)</f>
        <v>16.213000000000001</v>
      </c>
      <c r="TB7" s="42">
        <f>IF($CP7="P",CE7,(CE7+BD7)/2)</f>
        <v>0</v>
      </c>
      <c r="TC7" s="42">
        <f>IF($CP7="P",CF7,(CF7+BE7)/2)</f>
        <v>15.4</v>
      </c>
      <c r="TD7" s="42">
        <f>IF($CP7="P",CG7,(CG7+BF7)/2)</f>
        <v>9.1</v>
      </c>
      <c r="TE7" s="42">
        <f>IF($CP7="P",CH7,(CH7+BG7)/2)</f>
        <v>15.4</v>
      </c>
      <c r="TF7" s="42">
        <f>IF($CP7="P",CI7,(CI7+BH7)/2)</f>
        <v>16.715</v>
      </c>
      <c r="TG7" s="42">
        <f>IF($CP7="P",CJ7,(CJ7+BI7)/2)</f>
        <v>0</v>
      </c>
      <c r="TH7" s="42">
        <f>IF($CP7="P",CK7,(CK7+BJ7)/2)</f>
        <v>15.55</v>
      </c>
      <c r="TI7" s="42">
        <f>IF($CP7="P",CL7,(CL7+BK7)/2)</f>
        <v>8.8999999999999986</v>
      </c>
      <c r="TJ7" s="42">
        <f>IF($CP7="P",CM7,(CM7+BL7)/2)</f>
        <v>14.2</v>
      </c>
      <c r="TK7" s="42">
        <f>IF($CP7="P",CN7,(CN7+BM7)/2)</f>
        <v>16.428000000000001</v>
      </c>
      <c r="TL7" s="42">
        <f>IF($CP7="P",CO7,(CO7+BN7)/2)</f>
        <v>0.05</v>
      </c>
      <c r="TM7" s="51" t="s">
        <v>61</v>
      </c>
      <c r="TN7" s="76">
        <f>IF(SZ7&gt;0,SZ7,"")</f>
        <v>15</v>
      </c>
      <c r="TO7" s="76">
        <f>IF(TA7&gt;0,TA7,"")</f>
        <v>16.213000000000001</v>
      </c>
      <c r="TP7" s="76">
        <f>IF(SUM(SX7:TA7)-TB7&gt;0,SUM(SX7:TA7)-TB7,"")</f>
        <v>55.713000000000001</v>
      </c>
      <c r="TQ7" s="76">
        <f>IF(TE7&gt;0,TE7,"")</f>
        <v>15.4</v>
      </c>
      <c r="TR7" s="76">
        <f>IF(TF7&gt;0,TF7,"")</f>
        <v>16.715</v>
      </c>
      <c r="TS7" s="76">
        <f>IF(SUM(TC7:TF7)-TG7&gt;0,SUM(TC7:TF7)-TG7,"")</f>
        <v>56.614999999999995</v>
      </c>
      <c r="TT7" s="76">
        <f>IF(MAX(TP7,TS7)&gt;0,MAX(TP7,TS7),"")</f>
        <v>56.614999999999995</v>
      </c>
      <c r="TU7" s="76">
        <f>IF(TJ7&gt;0,TJ7,"")</f>
        <v>14.2</v>
      </c>
      <c r="TV7" s="76">
        <f>IF(TK7&gt;0,TK7,"")</f>
        <v>16.428000000000001</v>
      </c>
      <c r="TW7" s="76">
        <f>IF(SUM(TH7:TK7)-TL7&gt;0,SUM(TH7:TK7)-TL7,"")</f>
        <v>55.028000000000006</v>
      </c>
      <c r="TX7" s="76">
        <f>IF(SUM(TT7,TW7)&gt;0,SUM(TT7,TW7),"")</f>
        <v>111.643</v>
      </c>
    </row>
    <row r="8" spans="1:544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>SUM(J8:V8)+SUM(J8:T8)*0.0000001+SUM(J8)*0.0000000000001</f>
        <v>257.27502572750569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Z8&gt;=EM$25,DZ8&lt;&gt;"",EB8&gt;=EM$29,EB8&lt;&gt;""),AND(EC8&gt;=EM$25,EC8&lt;&gt;"",EE8&gt;=EM$29,EE8&lt;&gt;""),AND(EG8&gt;=EM$25,EG8&lt;&gt;"",EI8&gt;=EM$29,EI8&lt;&gt;""),AND(EJ8&gt;=EM$25,EJ8&lt;&gt;"",EL8&gt;=EM$29,EL8&lt;&gt;""),AND(FH8&gt;=FU$25,FH8&lt;&gt;"",FJ8&gt;=FU$29,FJ8&lt;&gt;""),AND(FK8&gt;=FU$25,FK8&lt;&gt;"",FM8&gt;=FU$29,FM8&lt;&gt;""),AND(FO8&gt;=FU$25,FO8&lt;&gt;"",FQ8&gt;=FU$29,FQ8&lt;&gt;""),AND(FR8&gt;=FU$25,FR8&lt;&gt;"",FT8&gt;=FU$29,FT8&lt;&gt;""),AND(GP8&gt;=HC$25,GP8&lt;&gt;"",GR8&gt;=HC$29,GR8&lt;&gt;""),AND(GS8&gt;=HC$25,GS8&lt;&gt;"",GU8&gt;=HC$29,GU8&lt;&gt;""),AND(GW8&gt;=HC$25,GW8&lt;&gt;"",GY8&gt;=HC$29,GY8&lt;&gt;""),AND(GZ8&gt;=HC$25,GZ8&lt;&gt;"",HB8&gt;=HC$29,HB8&lt;&gt;""),AND(HX8&gt;=IK$25,HX8&lt;&gt;"",HZ8&gt;=IK$29,HZ8&lt;&gt;""),AND(IA8&gt;=IK$25,IA8&lt;&gt;"",IC8&gt;=IK$29,IC8&lt;&gt;""),AND(IE8&gt;=IK$25,IE8&lt;&gt;"",IG8&gt;=IK$29,IG8&lt;&gt;""),AND(IH8&gt;=IK$25,IH8&lt;&gt;"",IJ8&gt;=IK$29,IJ8&lt;&gt;""),AND(JF8&gt;=JS$25,JF8&lt;&gt;"",JH8&gt;=JS$29,JH8&lt;&gt;""),AND(JI8&gt;=JS$25,JI8&lt;&gt;"",JK8&gt;=JS$29,JK8&lt;&gt;""),AND(JM8&gt;=JS$25,JM8&lt;&gt;"",JO8&gt;=JS$29,JO8&lt;&gt;""),AND(JP8&gt;=JS$25,JP8&lt;&gt;"",JR8&gt;=JS$29,JR8&lt;&gt;""),AND(KN8&gt;=LA$25,KN8&lt;&gt;"",KP8&gt;=LA$29,KP8&lt;&gt;""),AND(KQ8&gt;=LA$25,KQ8&lt;&gt;"",KS8&gt;=LA$29,KS8&lt;&gt;""),AND(KU8&gt;=LA$25,KU8&lt;&gt;"",KW8&gt;=LA$29,KW8&lt;&gt;""),AND(KX8&gt;=LA$25,KX8&lt;&gt;"",KZ8&gt;=LA$29,KZ8&lt;&gt;""),AND(LV8&gt;=MI$25,LV8&lt;&gt;"",LX8&gt;=MI$29,LX8&lt;&gt;""),AND(LY8&gt;=MI$25,LY8&lt;&gt;"",MA8&gt;=MI$29,MA8&lt;&gt;""),AND(MC8&gt;=MI$25,MC8&lt;&gt;"",ME8&gt;=MI$29,ME8&lt;&gt;""),AND(MF8&gt;=MI$25,MF8&lt;&gt;"",MH8&gt;=MI$29,MH8&lt;&gt;""),AND(ND8&gt;=NQ$25,ND8&lt;&gt;"",NF8&gt;=NQ$29,NF8&lt;&gt;""),AND(NG8&gt;=NQ$25,NG8&lt;&gt;"",NI8&gt;=NQ$29,NI8&lt;&gt;""),AND(NK8&gt;=NQ$25,NK8&lt;&gt;"",NM8&gt;=NQ$29,NM8&lt;&gt;""),AND(NN8&gt;=NQ$25,NN8&lt;&gt;"",NP8&gt;=NQ$29,NP8&lt;&gt;""),AND(OL8&gt;=OY$25,OL8&lt;&gt;"",ON8&gt;=OY$29,ON8&lt;&gt;""),AND(OO8&gt;=OY$25,OO8&lt;&gt;"",OQ8&gt;=OY$29,OQ8&lt;&gt;""),AND(OS8&gt;=OY$25,OS8&lt;&gt;"",OU8&gt;=OY$29,OU8&lt;&gt;""),AND(OV8&gt;=OY$25,OV8&lt;&gt;"",OX8&gt;=OY$29,OX8&lt;&gt;""),AND(PT8&gt;=QG$25,PT8&lt;&gt;"",PV8&gt;=QG$29,PV8&lt;&gt;""),AND(PW8&gt;=QG$25,PW8&lt;&gt;"",PY8&gt;=QG$29,PY8&lt;&gt;""),AND(QA8&gt;=QG$25,QA8&lt;&gt;"",QC8&gt;=QG$29,QC8&lt;&gt;""),AND(QD8&gt;=QG$25,QD8&lt;&gt;"",QF8&gt;=QG$29,QF8&lt;&gt;""),AND(RB8&gt;=RO$25,RB8&lt;&gt;"",RD8&gt;=RO$29,RD8&lt;&gt;""),AND(RE8&gt;=RO$25,RE8&lt;&gt;"",RG8&gt;=RO$29,RG8&lt;&gt;""),AND(RI8&gt;=RO$25,RI8&lt;&gt;"",RK8&gt;=RO$29,RK8&lt;&gt;""),AND(RL8&gt;=RO$25,RL8&lt;&gt;"",RN8&gt;=RO$29,RN8&lt;&gt;""),AND(SJ8&gt;=SW$25,SJ8&lt;&gt;"",SL8&gt;=SW$29,SL8&lt;&gt;""),AND(SM8&gt;=SW$25,SM8&lt;&gt;"",SO8&gt;=SW$29,SO8&lt;&gt;""),AND(SQ8&gt;=SW$25,SQ8&lt;&gt;"",SS8&gt;=SW$29,SS8&lt;&gt;""),AND(ST8&gt;=SW$25,ST8&lt;&gt;"",SV8&gt;=SW$29,SV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EB8&gt;=EM$29,EB8&lt;&gt;""),AND(EE8&gt;=EM$29,EE8&lt;&gt;""),AND(EI8&gt;=EM$29,EI8&lt;&gt;""),AND(EL8&gt;=EM$29,EL8&lt;&gt;""),AND(FJ8&gt;=FU$29,FJ8&lt;&gt;""),AND(FM8&gt;=FU$29,FM8&lt;&gt;""),AND(FQ8&gt;=FU$29,FQ8&lt;&gt;""),AND(FT8&gt;=FU$29,FT8&lt;&gt;""),AND(GR8&gt;=HC$29,GR8&lt;&gt;""),AND(GU8&gt;=HC$29,GU8&lt;&gt;""),AND(GY8&gt;=HC$29,GY8&lt;&gt;""),AND(HB8&gt;=HC$29,HB8&lt;&gt;""),AND(HZ8&gt;=IK$29,HZ8&lt;&gt;""),AND(IC8&gt;=IK$29,IC8&lt;&gt;""),AND(IG8&gt;=IK$29,IG8&lt;&gt;""),AND(IJ8&gt;=IK$29,IJ8&lt;&gt;""),AND(JH8&gt;=JS$29,JH8&lt;&gt;""),AND(JK8&gt;=JS$29,JK8&lt;&gt;""),AND(JO8&gt;=JS$29,JO8&lt;&gt;""),AND(JR8&gt;=JS$29,JR8&lt;&gt;""),AND(KP8&gt;=LA$29,KP8&lt;&gt;""),AND(KS8&gt;=LA$29,KS8&lt;&gt;""),AND(KW8&gt;=LA$29,KW8&lt;&gt;""),AND(KZ8&gt;=LA$29,KZ8&lt;&gt;""),AND(LX8&gt;=MI$29,LX8&lt;&gt;""),AND(MA8&gt;=MI$29,MA8&lt;&gt;""),AND(ME8&gt;=MI$29,ME8&lt;&gt;""),AND(MH8&gt;=MI$29,MH8&lt;&gt;""),AND(NF8&gt;=NQ$29,NF8&lt;&gt;""),AND(NI8&gt;=NQ$29,NI8&lt;&gt;""),AND(NM8&gt;=NQ$29,NM8&lt;&gt;""),AND(NP8&gt;=NQ$29,NP8&lt;&gt;""),AND(ON8&gt;=OY$29,ON8&lt;&gt;""),AND(OQ8&gt;=OY$29,OQ8&lt;&gt;""),AND(OU8&gt;=OY$29,OU8&lt;&gt;""),AND(OX8&gt;=OY$29,OX8&lt;&gt;""),AND(PV8&gt;=QG$29,PV8&lt;&gt;""),AND(PY8&gt;=QG$29,PY8&lt;&gt;""),AND(QC8&gt;=QG$29,QC8&lt;&gt;""),AND(QF8&gt;=QG$29,QF8&lt;&gt;""),AND(RD8&gt;=RO$29,RD8&lt;&gt;""),AND(RG8&gt;=RO$29,RG8&lt;&gt;""),AND(RK8&gt;=RO$29,RK8&lt;&gt;""),AND(RN8&gt;=RO$29,RN8&lt;&gt;""),AND(SL8&gt;=SW$29,SL8&lt;&gt;""),AND(SO8&gt;=SW$29,SO8&lt;&gt;""),AND(SS8&gt;=SW$29,SS8&lt;&gt;""),AND(SV8&gt;=SW$29,SV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Z8&gt;=EM$28,DZ8&lt;&gt;"",EB8&gt;=EM$32,EB8&lt;&gt;""),AND(EC8&gt;=EM$28,EC8&lt;&gt;"",EE8&gt;=EM$32,EE8&lt;&gt;""),AND(EG8&gt;=EM$28,EG8&lt;&gt;"",EI8&gt;=EM$32,EI8&lt;&gt;""),AND(EJ8&gt;=EM$28,EJ8&lt;&gt;"",EL8&gt;=EM$32,EL8&lt;&gt;""),AND(FH8&gt;=FU$28,FH8&lt;&gt;"",FJ8&gt;=FU$32,FJ8&lt;&gt;""),AND(FK8&gt;=FU$28,FK8&lt;&gt;"",FM8&gt;=FU$32,FM8&lt;&gt;""),AND(FO8&gt;=FU$28,FO8&lt;&gt;"",FQ8&gt;=FU$32,FQ8&lt;&gt;""),AND(FR8&gt;=FU$28,FR8&lt;&gt;"",FT8&gt;=FU$32,FT8&lt;&gt;""),AND(GP8&gt;=HC$28,GP8&lt;&gt;"",GR8&gt;=HC$32,GR8&lt;&gt;""),AND(GS8&gt;=HC$28,GS8&lt;&gt;"",GU8&gt;=HC$32,GU8&lt;&gt;""),AND(GW8&gt;=HC$28,GW8&lt;&gt;"",GY8&gt;=HC$32,GY8&lt;&gt;""),AND(GZ8&gt;=HC$28,GZ8&lt;&gt;"",HB8&gt;=HC$32,HB8&lt;&gt;""),AND(HX8&gt;=IK$28,HX8&lt;&gt;"",HZ8&gt;=IK$32,HZ8&lt;&gt;""),AND(IA8&gt;=IK$28,IA8&lt;&gt;"",IC8&gt;=IK$32,IC8&lt;&gt;""),AND(IE8&gt;=IK$28,IE8&lt;&gt;"",IG8&gt;=IK$32,IG8&lt;&gt;""),AND(IH8&gt;=IK$28,IH8&lt;&gt;"",IJ8&gt;=IK$32,IJ8&lt;&gt;""),AND(JF8&gt;=JS$28,JF8&lt;&gt;"",JH8&gt;=JS$32,JH8&lt;&gt;""),AND(JI8&gt;=JS$28,JI8&lt;&gt;"",JK8&gt;=JS$32,JK8&lt;&gt;""),AND(JM8&gt;=JS$28,JM8&lt;&gt;"",JO8&gt;=JS$32,JO8&lt;&gt;""),AND(JP8&gt;=JS$28,JP8&lt;&gt;"",JR8&gt;=JS$32,JR8&lt;&gt;""),AND(KN8&gt;=LA$28,KN8&lt;&gt;"",KP8&gt;=LA$32,KP8&lt;&gt;""),AND(KQ8&gt;=LA$28,KQ8&lt;&gt;"",KS8&gt;=LA$32,KS8&lt;&gt;""),AND(KU8&gt;=LA$28,KU8&lt;&gt;"",KW8&gt;=LA$32,KW8&lt;&gt;""),AND(KX8&gt;=LA$28,KX8&lt;&gt;"",KZ8&gt;=LA$32,KZ8&lt;&gt;""),AND(LV8&gt;=MI$28,LV8&lt;&gt;"",LX8&gt;=MI$32,LX8&lt;&gt;""),AND(LY8&gt;=MI$28,LY8&lt;&gt;"",MA8&gt;=MI$32,MA8&lt;&gt;""),AND(MC8&gt;=MI$28,MC8&lt;&gt;"",ME8&gt;=MI$32,ME8&lt;&gt;""),AND(MF8&gt;=MI$28,MF8&lt;&gt;"",MH8&gt;=MI$32,MH8&lt;&gt;""),AND(ND8&gt;=NQ$28,ND8&lt;&gt;"",NF8&gt;=NQ$32,NF8&lt;&gt;""),AND(NG8&gt;=NQ$28,NG8&lt;&gt;"",NI8&gt;=NQ$32,NI8&lt;&gt;""),AND(NK8&gt;=NQ$28,NK8&lt;&gt;"",NM8&gt;=NQ$32,NM8&lt;&gt;""),AND(NN8&gt;=NQ$28,NN8&lt;&gt;"",NP8&gt;=NQ$32,NP8&lt;&gt;""),AND(OL8&gt;=OY$28,OL8&lt;&gt;"",ON8&gt;=OY$32,ON8&lt;&gt;""),AND(OO8&gt;=OY$28,OO8&lt;&gt;"",OQ8&gt;=OY$32,OQ8&lt;&gt;""),AND(OS8&gt;=OY$28,OS8&lt;&gt;"",OU8&gt;=OY$32,OU8&lt;&gt;""),AND(OV8&gt;=OY$28,OV8&lt;&gt;"",OX8&gt;=OY$32,OX8&lt;&gt;""),AND(PT8&gt;=QG$28,PT8&lt;&gt;"",PV8&gt;=QG$32,PV8&lt;&gt;""),AND(PW8&gt;=QG$28,PW8&lt;&gt;"",PY8&gt;=QG$32,PY8&lt;&gt;""),AND(QA8&gt;=QG$28,QA8&lt;&gt;"",QC8&gt;=QG$32,QC8&lt;&gt;""),AND(QD8&gt;=QG$28,QD8&lt;&gt;"",QF8&gt;=QG$32,QF8&lt;&gt;""),AND(RB8&gt;=RO$28,RB8&lt;&gt;"",RD8&gt;=RO$32,RD8&lt;&gt;""),AND(RE8&gt;=RO$28,RE8&lt;&gt;"",RG8&gt;=RO$32,RG8&lt;&gt;""),AND(RI8&gt;=RO$28,RI8&lt;&gt;"",RK8&gt;=RO$32,RK8&lt;&gt;""),AND(RL8&gt;=RO$28,RL8&lt;&gt;"",RN8&gt;=RO$32,RN8&lt;&gt;""),AND(SJ8&gt;=SW$28,SJ8&lt;&gt;"",SL8&gt;=SW$32,SL8&lt;&gt;""),AND(SM8&gt;=SW$28,SM8&lt;&gt;"",SO8&gt;=SW$32,SO8&lt;&gt;""),AND(SQ8&gt;=SW$28,SQ8&lt;&gt;"",SS8&gt;=SW$32,SS8&lt;&gt;""),AND(ST8&gt;=SW$28,ST8&lt;&gt;"",SV8&gt;=SW$32,SV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Z8&gt;=EM$27,DZ8&lt;&gt;"",EB8&gt;=EM$31,EB8&lt;&gt;""),AND(EC8&gt;=EM$27,EC8&lt;&gt;"",EE8&gt;=EM$31,EE8&lt;&gt;""),AND(EG8&gt;=EM$27,EG8&lt;&gt;"",EI8&gt;=EM$31,EI8&lt;&gt;""),AND(EJ8&gt;=EM$27,EJ8&lt;&gt;"",EL8&gt;=EM$31,EL8&lt;&gt;""),AND(FH8&gt;=FU$27,FH8&lt;&gt;"",FJ8&gt;=FU$31,FJ8&lt;&gt;""),AND(FK8&gt;=FU$27,FK8&lt;&gt;"",FM8&gt;=FU$31,FM8&lt;&gt;""),AND(FO8&gt;=FU$27,FO8&lt;&gt;"",FQ8&gt;=FU$31,FQ8&lt;&gt;""),AND(FR8&gt;=FU$27,FR8&lt;&gt;"",FT8&gt;=FU$31,FT8&lt;&gt;""),AND(GP8&gt;=HC$27,GP8&lt;&gt;"",GR8&gt;=HC$31,GR8&lt;&gt;""),AND(GS8&gt;=HC$27,GS8&lt;&gt;"",GU8&gt;=HC$31,GU8&lt;&gt;""),AND(GW8&gt;=HC$27,GW8&lt;&gt;"",GY8&gt;=HC$31,GY8&lt;&gt;""),AND(GZ8&gt;=HC$27,GZ8&lt;&gt;"",HB8&gt;=HC$31,HB8&lt;&gt;""),AND(HX8&gt;=IK$27,HX8&lt;&gt;"",HZ8&gt;=IK$31,HZ8&lt;&gt;""),AND(IA8&gt;=IK$27,IA8&lt;&gt;"",IC8&gt;=IK$31,IC8&lt;&gt;""),AND(IE8&gt;=IK$27,IE8&lt;&gt;"",IG8&gt;=IK$31,IG8&lt;&gt;""),AND(IH8&gt;=IK$27,IH8&lt;&gt;"",IJ8&gt;=IK$31,IJ8&lt;&gt;""),AND(JF8&gt;=JS$27,JF8&lt;&gt;"",JH8&gt;=JS$31,JH8&lt;&gt;""),AND(JI8&gt;=JS$27,JI8&lt;&gt;"",JK8&gt;=JS$31,JK8&lt;&gt;""),AND(JM8&gt;=JS$27,JM8&lt;&gt;"",JO8&gt;=JS$31,JO8&lt;&gt;""),AND(JP8&gt;=JS$27,JP8&lt;&gt;"",JR8&gt;=JS$31,JR8&lt;&gt;""),AND(KN8&gt;=LA$27,KN8&lt;&gt;"",KP8&gt;=LA$31,KP8&lt;&gt;""),AND(KQ8&gt;=LA$27,KQ8&lt;&gt;"",KS8&gt;=LA$31,KS8&lt;&gt;""),AND(KU8&gt;=LA$27,KU8&lt;&gt;"",KW8&gt;=LA$31,KW8&lt;&gt;""),AND(KX8&gt;=LA$27,KX8&lt;&gt;"",KZ8&gt;=LA$31,KZ8&lt;&gt;""),AND(LV8&gt;=MI$27,LV8&lt;&gt;"",LX8&gt;=MI$31,LX8&lt;&gt;""),AND(LY8&gt;=MI$27,LY8&lt;&gt;"",MA8&gt;=MI$31,MA8&lt;&gt;""),AND(MC8&gt;=MI$27,MC8&lt;&gt;"",ME8&gt;=MI$31,ME8&lt;&gt;""),AND(MF8&gt;=MI$27,MF8&lt;&gt;"",MH8&gt;=MI$31,MH8&lt;&gt;""),AND(ND8&gt;=NQ$27,ND8&lt;&gt;"",NF8&gt;=NQ$31,NF8&lt;&gt;""),AND(NG8&gt;=NQ$27,NG8&lt;&gt;"",NI8&gt;=NQ$31,NI8&lt;&gt;""),AND(NK8&gt;=NQ$27,NK8&lt;&gt;"",NM8&gt;=NQ$31,NM8&lt;&gt;""),AND(NN8&gt;=NQ$27,NN8&lt;&gt;"",NP8&gt;=NQ$31,NP8&lt;&gt;""),AND(OL8&gt;=OY$27,OL8&lt;&gt;"",ON8&gt;=OY$31,ON8&lt;&gt;""),AND(OO8&gt;=OY$27,OO8&lt;&gt;"",OQ8&gt;=OY$31,OQ8&lt;&gt;""),AND(OS8&gt;=OY$27,OS8&lt;&gt;"",OU8&gt;=OY$31,OU8&lt;&gt;""),AND(OV8&gt;=OY$27,OV8&lt;&gt;"",OX8&gt;=OY$31,OX8&lt;&gt;""),AND(PT8&gt;=QG$27,PT8&lt;&gt;"",PV8&gt;=QG$31,PV8&lt;&gt;""),AND(PW8&gt;=QG$27,PW8&lt;&gt;"",PY8&gt;=QG$31,PY8&lt;&gt;""),AND(QA8&gt;=QG$27,QA8&lt;&gt;"",QC8&gt;=QG$31,QC8&lt;&gt;""),AND(QD8&gt;=QG$27,QD8&lt;&gt;"",QF8&gt;=QG$31,QF8&lt;&gt;""),AND(RB8&gt;=RO$27,RB8&lt;&gt;"",RD8&gt;=RO$31,RD8&lt;&gt;""),AND(RE8&gt;=RO$27,RE8&lt;&gt;"",RG8&gt;=RO$31,RG8&lt;&gt;""),AND(RI8&gt;=RO$27,RI8&lt;&gt;"",RK8&gt;=RO$31,RK8&lt;&gt;""),AND(RL8&gt;=RO$27,RL8&lt;&gt;"",RN8&gt;=RO$31,RN8&lt;&gt;""),AND(SJ8&gt;=SW$27,SJ8&lt;&gt;"",SL8&gt;=SW$31,SL8&lt;&gt;""),AND(SM8&gt;=SW$27,SM8&lt;&gt;"",SO8&gt;=SW$31,SO8&lt;&gt;""),AND(SQ8&gt;=SW$27,SQ8&lt;&gt;"",SS8&gt;=SW$31,SS8&lt;&gt;""),AND(ST8&gt;=SW$27,ST8&lt;&gt;"",SV8&gt;=SW$31,SV8&lt;&gt;"")),"Excellence",IF(I8="P","Worlds Team",IF(F8="P","National Team","")))))</f>
        <v>Worlds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Z8&gt;=EM$26,DZ8&lt;&gt;"",EB8&gt;=EM$30,EB8&lt;&gt;""),AND(EC8&gt;=EM$26,EC8&lt;&gt;"",EE8&gt;=EM$30,EE8&lt;&gt;""),AND(EG8&gt;=EM$26,EG8&lt;&gt;"",EI8&gt;=EM$30,EI8&lt;&gt;""),AND(EJ8&gt;=EM$26,EJ8&lt;&gt;"",EL8&gt;=EM$30,EL8&lt;&gt;""),AND(FH8&gt;=FU$26,FH8&lt;&gt;"",FJ8&gt;=FU$30,FJ8&lt;&gt;""),AND(FK8&gt;=FU$26,FK8&lt;&gt;"",FM8&gt;=FU$30,FM8&lt;&gt;""),AND(FO8&gt;=FU$26,FO8&lt;&gt;"",FQ8&gt;=FU$30,FQ8&lt;&gt;""),AND(FR8&gt;=FU$26,FR8&lt;&gt;"",FT8&gt;=FU$30,FT8&lt;&gt;""),AND(GP8&gt;=HC$26,GP8&lt;&gt;"",GR8&gt;=HC$30,GR8&lt;&gt;""),AND(GS8&gt;=HC$26,GS8&lt;&gt;"",GU8&gt;=HC$30,GU8&lt;&gt;""),AND(GW8&gt;=HC$26,GW8&lt;&gt;"",GY8&gt;=HC$30,GY8&lt;&gt;""),AND(GZ8&gt;=HC$26,GZ8&lt;&gt;"",HB8&gt;=HC$30,HB8&lt;&gt;""),AND(HX8&gt;=IK$26,HX8&lt;&gt;"",HZ8&gt;=IK$30,HZ8&lt;&gt;""),AND(IA8&gt;=IK$26,IA8&lt;&gt;"",IC8&gt;=IK$30,IC8&lt;&gt;""),AND(IE8&gt;=IK$26,IE8&lt;&gt;"",IG8&gt;=IK$30,IG8&lt;&gt;""),AND(IH8&gt;=IK$26,IH8&lt;&gt;"",IJ8&gt;=IK$30,IJ8&lt;&gt;""),AND(JF8&gt;=JS$26,JF8&lt;&gt;"",JH8&gt;=JS$30,JH8&lt;&gt;""),AND(JI8&gt;=JS$26,JI8&lt;&gt;"",JK8&gt;=JS$30,JK8&lt;&gt;""),AND(JM8&gt;=JS$26,JM8&lt;&gt;"",JO8&gt;=JS$30,JO8&lt;&gt;""),AND(JP8&gt;=JS$26,JP8&lt;&gt;"",JR8&gt;=JS$30,JR8&lt;&gt;""),AND(KN8&gt;=LA$26,KN8&lt;&gt;"",KP8&gt;=LA$30,KP8&lt;&gt;""),AND(KQ8&gt;=LA$26,KQ8&lt;&gt;"",KS8&gt;=LA$30,KS8&lt;&gt;""),AND(KU8&gt;=LA$26,KU8&lt;&gt;"",KW8&gt;=LA$30,KW8&lt;&gt;""),AND(KX8&gt;=LA$26,KX8&lt;&gt;"",KZ8&gt;=LA$30,KZ8&lt;&gt;""),AND(LV8&gt;=MI$26,LV8&lt;&gt;"",LX8&gt;=MI$30,LX8&lt;&gt;""),AND(LY8&gt;=MI$26,LY8&lt;&gt;"",MA8&gt;=MI$30,MA8&lt;&gt;""),AND(MC8&gt;=MI$26,MC8&lt;&gt;"",ME8&gt;=MI$30,ME8&lt;&gt;""),AND(MF8&gt;=MI$26,MF8&lt;&gt;"",MH8&gt;=MI$30,MH8&lt;&gt;""),AND(ND8&gt;=NQ$26,ND8&lt;&gt;"",NF8&gt;=NQ$30,NF8&lt;&gt;""),AND(NG8&gt;=NQ$26,NG8&lt;&gt;"",NI8&gt;=NQ$30,NI8&lt;&gt;""),AND(NK8&gt;=NQ$26,NK8&lt;&gt;"",NM8&gt;=NQ$30,NM8&lt;&gt;""),AND(NN8&gt;=NQ$26,NN8&lt;&gt;"",NP8&gt;=NQ$30,NP8&lt;&gt;""),AND(OL8&gt;=OY$26,OL8&lt;&gt;"",ON8&gt;=OY$30,ON8&lt;&gt;""),AND(OO8&gt;=OY$26,OO8&lt;&gt;"",OQ8&gt;=OY$30,OQ8&lt;&gt;""),AND(OS8&gt;=OY$26,OS8&lt;&gt;"",OU8&gt;=OY$30,OU8&lt;&gt;""),AND(OV8&gt;=OY$26,OV8&lt;&gt;"",OX8&gt;=OY$30,OX8&lt;&gt;""),AND(PT8&gt;=QG$26,PT8&lt;&gt;"",PV8&gt;=QG$30,PV8&lt;&gt;""),AND(PW8&gt;=QG$26,PW8&lt;&gt;"",PY8&gt;=QG$30,PY8&lt;&gt;""),AND(QA8&gt;=QG$26,QA8&lt;&gt;"",QC8&gt;=QG$30,QC8&lt;&gt;""),AND(QD8&gt;=QG$26,QD8&lt;&gt;"",QF8&gt;=QG$30,QF8&lt;&gt;""),AND(RB8&gt;=RO$26,RB8&lt;&gt;"",RD8&gt;=RO$30,RD8&lt;&gt;""),AND(RE8&gt;=RO$26,RE8&lt;&gt;"",RG8&gt;=RO$30,RG8&lt;&gt;""),AND(RI8&gt;=RO$26,RI8&lt;&gt;"",RK8&gt;=RO$30,RK8&lt;&gt;""),AND(RL8&gt;=RO$26,RL8&lt;&gt;"",RN8&gt;=RO$30,RN8&lt;&gt;""),AND(SJ8&gt;=SW$26,SJ8&lt;&gt;"",SL8&gt;=SW$30,SL8&lt;&gt;""),AND(SM8&gt;=SW$26,SM8&lt;&gt;"",SO8&gt;=SW$30,SO8&lt;&gt;""),AND(SQ8&gt;=SW$26,SQ8&lt;&gt;"",SS8&gt;=SW$30,SS8&lt;&gt;""),AND(ST8&gt;=SW$26,ST8&lt;&gt;"",SV8&gt;=SW$30,SV8&lt;&gt;"")),"P","")</f>
        <v>P</v>
      </c>
      <c r="J8" s="13">
        <f>IF(COUNT(AQ8,AT8,BR8,BU8,CS8,CV8)&gt;0,LARGE((AQ8,AT8,BR8,BU8,CS8,CV8),1),0)</f>
        <v>57.125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56.305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55.164999999999999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56.74</v>
      </c>
      <c r="Q8" s="13" t="str">
        <f>IF(P8="","",IF(P8=CZ8,$CA$1,IF(P8=BY8,$AZ$1,IF(P8=AX8,$Y$1,""))))</f>
        <v>2021 Canadian Championships</v>
      </c>
      <c r="R8" s="13">
        <f>IF(MAX(AO8,AR8,AV8,BP8,BS8,BW8,CQ8,CT8,CX8)&gt;0,MAX(AO8,AR8,BP8,BS8,CQ8,CT8,AV8),0)</f>
        <v>15.4</v>
      </c>
      <c r="S8" s="13" t="str">
        <f>IF(R8=0,"",IF(OR(R8=CQ8,R8=CT8,R8=CX8),$CA$1,IF(OR(R8=BP8,R8=BS8,R8=BW8),$AZ$1,IF(OR(R8=AO8,R8=AR8,R8=AV8),$Y$1,""))))</f>
        <v>2021 Canadian Championships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),0)</f>
        <v>16.54</v>
      </c>
      <c r="U8" s="13" t="str">
        <f>IF(T8=0,"",IF(OR(T8=CR8,T8=CU8,T8=CY8),$CA$1,IF(OR(T8=BQ8,T8=BT8,T8=BX8),$AZ$1,IF(OR(T8=AP8,T8=AS8,T8=AW8),$Y$1,""))))</f>
        <v>2021 Canadian Championships</v>
      </c>
      <c r="V8" s="13" t="str">
        <f>IF(MAX(DB8,DC8,DD8,DE8)&gt;0,MAX(DB8,DC8,DD8,DE8),"")</f>
        <v/>
      </c>
      <c r="W8" s="16" t="str">
        <f>IF(V8="","",IF(V8=DB8,"("&amp;DB$2&amp;")",IF(V8=DC8,"("&amp;DC$2&amp;")",IF(V8=DD8,"("&amp;DD$2&amp;")",IF(V8=DE8,"("&amp;DE$2&amp;")")))))</f>
        <v/>
      </c>
      <c r="X8" s="13" t="str">
        <f>IF(V8="","",IF(V8=DB8,IF(V8+IF(L8="",0,L8)=SP8,$RP$1,IF(V8+IF(L8="",0,L8)=RH8,$QH$1,IF(V8+IF(L8="",0,L8)=PZ8,$OZ$1,IF(V8+IF(L8="",0,L8)=OR8,$NR$1,IF(V8+IF(L8="",0,L8)=NJ8,$MJ$1,IF(V8+IF(L8="",0,L8)=MB8,$LB$1,IF(V8+IF(L8="",0,L8)=KT8,$JT$1,IF(V8+IF(L8="",0,L8)=JL8,$IL$1,IF(V8+IF(L8="",0,L8)=ID8,$HD$1,IF(V8+IF(L8="",0,L8)=GV8,$FV$1,IF(V8+IF(L8="",0,L8)=FN8,$EN$1,IF(V8+IF(L8="",0,L8)=EF8,$DF$1)))))))))))),IF(V8=DC8,IF(V8+IF(P8="",0,P8)=SV8,$RP$1,IF(V8+IF(P8="",0,P8)=RN8,$QH$1,IF(V8+IF(P8="",0,P8)=QF8,$OZ$1,IF(V8+IF(P8="",0,P8)=OX8,$NR$1,IF(V8+IF(P8="",0,P8)=NP8,$MJ$1,IF(V8+IF(P8="",0,P8)=MH8,$LB$1,IF(V8+IF(P8="",0,P8)=KZ8,$JT$1,IF(V8+IF(P8="",0,P8)=JR8,$IL$1,IF(V8+IF(P8="",0,P8)=IJ8,$HD$1,IF(V8+IF(P8="",0,P8)=HB8,$FV$1,IF(V8+IF(P8="",0,P8)=FT8,$EN$1,IF(V8+IF(P8="",0,P8)=EL8,$DF$1)))))))))))),IF(V8=DD8,IF(V8+IF(R8="",0,R8)=MAX(SJ8,SM8,SQ8,ST8),$RP$1,IF(V8+IF(R8="",0,R8)=MAX(RB8,RE8,RI8,RL8),$QH$1,IF(V8+IF(R8="",0,R8)=MAX(PT8,PW8,QA8,QD8),$OZ$1,IF(V8+IF(R8="",0,R8)=MAX(OL8,OO8,OS8,OV8),$NR$1,IF(V8+IF(R8="",0,R8)=MAX(ND8,NG8,NK8,NN8),$MJ$1,IF(V8+IF(R8="",0,R8)=MAX(LV8,LY8,MC8,MF8),$LB$1,IF(V8+IF(R8="",0,R8)=MAX(KN8,KQ8,KU8,KX8),$JT$1,IF(V8+IF(R8="",0,R8)=MAX(JF8,JI8,JM8,JP8),$IL$1,IF(V8+IF(R8="",0,R8)=MAX(HX8,IA8,IE8,IH8),$HD$1,IF(V8+IF(R8="",0,R8)=MAX(GP8,GS8,GW8,GZ8),$FV$1,IF(V8+IF(R8="",0,R8)=MAX(FH8,FK8,FO8,FR8),$EN$1,IF(V8+IF(R8="",0,R8)=MAX(DZ8,EC8,EG8,EJ8),$DF$1)))))))))))),IF(V8=DE8,IF(V8+IF(T8="",0,T8)=MAX(SK8,SN8,SR8,SU8),$RP$1,IF(V8+IF(T8="",0,T8)=MAX(RC8,RF8,RJ8,RM8),$QH$1,IF(V8+IF(T8="",0,T8)=MAX(PU8,PX8,QB8,QE8),$OZ$1,IF(V8+IF(T8="",0,T8)=MAX(OM8,OP8,OT8,OW8),$NR$1,IF(V8+IF(T8="",0,T8)=MAX(NE8,NH8,NL8,NO8),$MJ$1,IF(V8+IF(T8="",0,T8)=MAX(LW8,LZ8,MD8,MG8),$LB$1,IF(V8+IF(T8="",0,T8)=MAX(KO8,KR8,KV8,KY8),$JT$1,IF(V8+IF(T8="",0,T8)=MAX(JG8,JJ8,JN8,JQ8),$IL$1,IF(V8+IF(T8="",0,T8)=MAX(HY8,IB8,IF8,II8),$HD$1,IF(V8+IF(T8="",0,T8)=MAX(GQ8,GT8,GX8,HA8),$FV$1,IF(V8+IF(T8="",0,T8)=MAX(FI8,FL8,FP8,FS8),$EN$1,IF(V8+IF(T8="",0,T8)=MAX(EA8,ED8,EH8,EK8),$DF$1)))))))))))))))))</f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>IF(AA8&gt;0,AA8,"")</f>
        <v>15.4</v>
      </c>
      <c r="AP8" s="74">
        <f>IF(AB8&gt;0,AB8,"")</f>
        <v>16.425000000000001</v>
      </c>
      <c r="AQ8" s="76">
        <f>IF(SUM(Y8:AB8)-AC8&gt;0,SUM(Y8:AB8)-AC8,"")</f>
        <v>57.125</v>
      </c>
      <c r="AR8" s="76">
        <f>IF(AF8&gt;0,AF8,"")</f>
        <v>14.4</v>
      </c>
      <c r="AS8" s="76">
        <f>IF(AG8&gt;0,AG8,"")</f>
        <v>16.164999999999999</v>
      </c>
      <c r="AT8" s="76">
        <f>IF(SUM(AD8:AG8)-AH8&gt;0,SUM(AD8:AG8)-AH8,"")</f>
        <v>55.164999999999999</v>
      </c>
      <c r="AU8" s="76">
        <f>IF(AQ8="","",MAX(AQ8,AT8))</f>
        <v>57.125</v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>
        <f>IF(SUM(AU8,AX8)&gt;0,SUM(AU8,AX8),"")</f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>IF(BB8&gt;0,BB8,"")</f>
        <v>5.0999999999999996</v>
      </c>
      <c r="BQ8" s="75">
        <f>IF(BC8&gt;0,BC8,"")</f>
        <v>5.335</v>
      </c>
      <c r="BR8" s="16">
        <f>IF(SUM(AZ8:BC8)-BD8&gt;0,SUM(AZ8:BC8)-BD8,"")</f>
        <v>17.835000000000001</v>
      </c>
      <c r="BS8" s="16">
        <f>IF(BG8&gt;0,BG8,"")</f>
        <v>15.4</v>
      </c>
      <c r="BT8" s="16">
        <f>IF(BH8&gt;0,BH8,"")</f>
        <v>16.405000000000001</v>
      </c>
      <c r="BU8" s="16">
        <f>IF(SUM(BE8:BH8)-BI8&gt;0,SUM(BE8:BH8)-BI8,"")</f>
        <v>56.305</v>
      </c>
      <c r="BV8" s="16">
        <f>IF(BR8="","",MAX(BR8,BU8))</f>
        <v>56.305</v>
      </c>
      <c r="BW8" s="16">
        <f>IF(BL8&gt;0,BL8,"")</f>
        <v>15.5</v>
      </c>
      <c r="BX8" s="16">
        <f>IF(BM8&gt;0,BM8,"")</f>
        <v>16.54</v>
      </c>
      <c r="BY8" s="16">
        <f>IF(SUM(BJ8:BM8)-BN8&gt;0,SUM(BJ8:BM8)-BN8,"")</f>
        <v>56.74</v>
      </c>
      <c r="BZ8" s="16">
        <f>IF(SUM(BV8,BY8)&gt;0,SUM(BV8,BY8),"")</f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IF(L8&gt;=0.001,IF(MAX(EF8,FN8,GV8,ID8,JL8,KT8,MB8,NJ8,OR8,PZ8,RH8,SP8)-IF(L8="",0,L8)&gt;0.001,MAX(EF8,FN8,GV8,ID8,JL8,KT8,MB8,NJ8,OR8,PZ8,RH8,SP8)-IF(L8="",0,L8),""),"")</f>
        <v/>
      </c>
      <c r="DC8" s="87" t="str">
        <f>IF(P8&gt;=0.001,IF(MAX(EI8,EL8,FQ8,FT8,GY8,HB8,IG8,IJ8,JO8,JR8,KW8,KZ8,ME8,MH8,NM8,NP8,OU8,OX8,QC8,QF8,RK8,RN8,SS8,SV8)-IF(P8="",0,P8)&gt;0.001,MAX(EI8,EL8,FQ8,FT8,GY8,HB8,IG8,IJ8,JO8,JR8,KW8,KZ8,ME8,MH8,NM8,NP8,OU8,OX8,QC8,QF8,RK8,RN8,SS8,SV8)-IF(P8="",0,P8),""),"")</f>
        <v/>
      </c>
      <c r="DD8" s="87" t="str">
        <f>IF(R8&gt;=0.001,IF(MAX(DZ8,EC8,EG8,EJ8,FH8,FK8,FO8,FR8,GP8,GS8,GW8,GZ8,HX8,IA8,IE8,IH8,JF8,JI8,JM8,JP8,KN8,KQ8,KU8,KX8,LV8,LY8,MC8,MF8,ND8,NG8,NK8,NN8,OL8,OO8,OS8,OV8,PT8,PW8,QA8,QD8,RB8,RE8,RI8,RL8,SJ8,SM8,SQ8,ST8)-IF(R8="",0,R8)&gt;0.001,MAX(DZ8,EC8,EG8,EJ8,FH8,FK8,FO8,FR8,GP8,GS8,GW8,GZ8,HX8,IA8,IE8,IH8,JF8,JI8,JM8,JP8,KN8,KQ8,KU8,KX8,LV8,LY8,MC8,MF8,ND8,NG8,NK8,NN8,OL8,OO8,OS8,OV8,PT8,PW8,QA8,QD8,RB8,RE8,RI8,RL8,SJ8,SM8,SQ8,ST8)-IF(R8="",0,R8),""),"")</f>
        <v/>
      </c>
      <c r="DE8" s="87" t="str">
        <f>IF(T8&gt;=0.001,IF(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&gt;0.001,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,""),"")</f>
        <v/>
      </c>
      <c r="DF8" s="25">
        <v>6.4</v>
      </c>
      <c r="DG8" s="25">
        <v>3.4</v>
      </c>
      <c r="DH8" s="25">
        <v>6.5</v>
      </c>
      <c r="DI8" s="25">
        <v>6.89</v>
      </c>
      <c r="DJ8" s="25">
        <v>0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>
        <v>15.4</v>
      </c>
      <c r="DV8" s="25">
        <v>9.3000000000000007</v>
      </c>
      <c r="DW8" s="25">
        <v>14.8</v>
      </c>
      <c r="DX8" s="25">
        <v>16.21</v>
      </c>
      <c r="DY8" s="25">
        <v>0</v>
      </c>
      <c r="DZ8" s="76">
        <f>IF(DH8&gt;0,DH8,"")</f>
        <v>6.5</v>
      </c>
      <c r="EA8" s="76">
        <f>IF(DI8&gt;0,DI8,"")</f>
        <v>6.89</v>
      </c>
      <c r="EB8" s="76">
        <f>IF(SUM(DF8:DI8)-DJ8&gt;0,SUM(DF8:DI8)-DJ8,"")</f>
        <v>23.19</v>
      </c>
      <c r="EC8" s="76" t="str">
        <f>IF(DM8&gt;0,DM8,"")</f>
        <v/>
      </c>
      <c r="ED8" s="76" t="str">
        <f>IF(DN8&gt;0,DN8,"")</f>
        <v/>
      </c>
      <c r="EE8" s="76" t="str">
        <f>IF(SUM(DK8:DN8)-DO8&gt;0,SUM(DK8:DN8)-DO8,"")</f>
        <v/>
      </c>
      <c r="EF8" s="76">
        <f>IF(MAX(EB8,EE8)&gt;0,MAX(EB8,EE8),"")</f>
        <v>23.19</v>
      </c>
      <c r="EG8" s="76" t="str">
        <f>IF(DR8&gt;0,DR8,"")</f>
        <v/>
      </c>
      <c r="EH8" s="76" t="str">
        <f>IF(DS8&gt;0,DS8,"")</f>
        <v/>
      </c>
      <c r="EI8" s="76" t="str">
        <f>IF(SUM(DP8:DS8)-DT8&gt;0,SUM(DP8:DS8)-DT8,"")</f>
        <v/>
      </c>
      <c r="EJ8" s="76">
        <f>IF(DW8&gt;0,DW8,"")</f>
        <v>14.8</v>
      </c>
      <c r="EK8" s="76">
        <f>IF(DX8&gt;0,DX8,"")</f>
        <v>16.21</v>
      </c>
      <c r="EL8" s="76">
        <f>IF(SUM(DU8:DX8)-DY8&gt;0,SUM(DU8:DX8)-DY8,"")</f>
        <v>55.71</v>
      </c>
      <c r="EM8" s="76">
        <f>IF(SUM(EF8,EL8)&gt;0,SUM(EF8,EL8),"")</f>
        <v>78.900000000000006</v>
      </c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16" t="str">
        <f>IF(EP8&gt;0,EP8,"")</f>
        <v/>
      </c>
      <c r="FI8" s="16" t="str">
        <f>IF(EQ8&gt;0,EQ8,"")</f>
        <v/>
      </c>
      <c r="FJ8" s="16" t="str">
        <f>IF(SUM(EN8:EQ8)-ER8&gt;0,SUM(EN8:EQ8)-ER8,"")</f>
        <v/>
      </c>
      <c r="FK8" s="16" t="str">
        <f>IF(EU8&gt;0,EU8,"")</f>
        <v/>
      </c>
      <c r="FL8" s="16" t="str">
        <f>IF(EV8&gt;0,EV8,"")</f>
        <v/>
      </c>
      <c r="FM8" s="16" t="str">
        <f>IF(SUM(ES8:EV8)-EW8&gt;0,SUM(ES8:EV8)-EW8,"")</f>
        <v/>
      </c>
      <c r="FN8" s="16" t="str">
        <f>IF(MAX(FJ8,FM8)&gt;0,MAX(FJ8,FM8),"")</f>
        <v/>
      </c>
      <c r="FO8" s="16" t="str">
        <f>IF(EZ8&gt;0,EZ8,"")</f>
        <v/>
      </c>
      <c r="FP8" s="16" t="str">
        <f>IF(FA8&gt;0,FA8,"")</f>
        <v/>
      </c>
      <c r="FQ8" s="16" t="str">
        <f>IF(SUM(EX8:FA8)-FB8&gt;0,SUM(EX8:FA8)-FB8,"")</f>
        <v/>
      </c>
      <c r="FR8" s="16" t="str">
        <f>IF(FE8&gt;0,FE8,"")</f>
        <v/>
      </c>
      <c r="FS8" s="16" t="str">
        <f>IF(FF8&gt;0,FF8,"")</f>
        <v/>
      </c>
      <c r="FT8" s="16" t="str">
        <f>IF(SUM(FC8:FF8)-FG8&gt;0,SUM(FC8:FF8)-FG8,"")</f>
        <v/>
      </c>
      <c r="FU8" s="16" t="str">
        <f>IF(SUM(FN8,FT8)&gt;0,SUM(FN8,FT8),"")</f>
        <v/>
      </c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76" t="str">
        <f>IF(FX8&gt;0,FX8,"")</f>
        <v/>
      </c>
      <c r="GQ8" s="76" t="str">
        <f>IF(FY8&gt;0,FY8,"")</f>
        <v/>
      </c>
      <c r="GR8" s="76" t="str">
        <f>IF(SUM(FV8:FY8)-FZ8&gt;0,SUM(FV8:FY8)-FZ8,"")</f>
        <v/>
      </c>
      <c r="GS8" s="76" t="str">
        <f>IF(GC8&gt;0,GC8,"")</f>
        <v/>
      </c>
      <c r="GT8" s="76" t="str">
        <f>IF(GD8&gt;0,GD8,"")</f>
        <v/>
      </c>
      <c r="GU8" s="76" t="str">
        <f>IF(SUM(GA8:GD8)-GE8&gt;0,SUM(GA8:GD8)-GE8,"")</f>
        <v/>
      </c>
      <c r="GV8" s="76" t="str">
        <f>IF(MAX(GR8,GU8)&gt;0,MAX(GR8,GU8),"")</f>
        <v/>
      </c>
      <c r="GW8" s="76" t="str">
        <f>IF(GH8&gt;0,GH8,"")</f>
        <v/>
      </c>
      <c r="GX8" s="76" t="str">
        <f>IF(GI8&gt;0,GI8,"")</f>
        <v/>
      </c>
      <c r="GY8" s="76" t="str">
        <f>IF(SUM(GF8:GI8)-GJ8&gt;0,SUM(GF8:GI8)-GJ8,"")</f>
        <v/>
      </c>
      <c r="GZ8" s="76" t="str">
        <f>IF(GM8&gt;0,GM8,"")</f>
        <v/>
      </c>
      <c r="HA8" s="76" t="str">
        <f>IF(GN8&gt;0,GN8,"")</f>
        <v/>
      </c>
      <c r="HB8" s="76" t="str">
        <f>IF(SUM(GK8:GN8)-GO8&gt;0,SUM(GK8:GN8)-GO8,"")</f>
        <v/>
      </c>
      <c r="HC8" s="76" t="str">
        <f>IF(SUM(GV8,HB8)&gt;0,SUM(GV8,HB8),"")</f>
        <v/>
      </c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16" t="str">
        <f>IF(HF8&gt;0,HF8,"")</f>
        <v/>
      </c>
      <c r="HY8" s="16" t="str">
        <f>IF(HG8&gt;0,HG8,"")</f>
        <v/>
      </c>
      <c r="HZ8" s="16" t="str">
        <f>IF(SUM(HD8:HG8)-HH8&gt;0,SUM(HD8:HG8)-HH8,"")</f>
        <v/>
      </c>
      <c r="IA8" s="16" t="str">
        <f>IF(HK8&gt;0,HK8,"")</f>
        <v/>
      </c>
      <c r="IB8" s="16" t="str">
        <f>IF(HL8&gt;0,HL8,"")</f>
        <v/>
      </c>
      <c r="IC8" s="16" t="str">
        <f>IF(SUM(HI8:HL8)-HM8&gt;0,SUM(HI8:HL8)-HM8,"")</f>
        <v/>
      </c>
      <c r="ID8" s="16" t="str">
        <f>IF(MAX(HZ8,IC8)&gt;0,MAX(HZ8,IC8),"")</f>
        <v/>
      </c>
      <c r="IE8" s="16" t="str">
        <f>IF(HP8&gt;0,HP8,"")</f>
        <v/>
      </c>
      <c r="IF8" s="16" t="str">
        <f>IF(HQ8&gt;0,HQ8,"")</f>
        <v/>
      </c>
      <c r="IG8" s="16" t="str">
        <f>IF(SUM(HN8:HQ8)-HR8&gt;0,SUM(HN8:HQ8)-HR8,"")</f>
        <v/>
      </c>
      <c r="IH8" s="16" t="str">
        <f>IF(HU8&gt;0,HU8,"")</f>
        <v/>
      </c>
      <c r="II8" s="16" t="str">
        <f>IF(HV8&gt;0,HV8,"")</f>
        <v/>
      </c>
      <c r="IJ8" s="16" t="str">
        <f>IF(SUM(HS8:HV8)-HW8&gt;0,SUM(HS8:HV8)-HW8,"")</f>
        <v/>
      </c>
      <c r="IK8" s="16" t="str">
        <f>IF(SUM(ID8,IJ8)&gt;0,SUM(ID8,IJ8),"")</f>
        <v/>
      </c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76" t="str">
        <f>IF(IN8&gt;0,IN8,"")</f>
        <v/>
      </c>
      <c r="JG8" s="76" t="str">
        <f>IF(IO8&gt;0,IO8,"")</f>
        <v/>
      </c>
      <c r="JH8" s="76" t="str">
        <f>IF(SUM(IL8:IO8)-IP8&gt;0,SUM(IL8:IO8)-IP8,"")</f>
        <v/>
      </c>
      <c r="JI8" s="76" t="str">
        <f>IF(IS8&gt;0,IS8,"")</f>
        <v/>
      </c>
      <c r="JJ8" s="76" t="str">
        <f>IF(IT8&gt;0,IT8,"")</f>
        <v/>
      </c>
      <c r="JK8" s="76" t="str">
        <f>IF(SUM(IQ8:IT8)-IU8&gt;0,SUM(IQ8:IT8)-IU8,"")</f>
        <v/>
      </c>
      <c r="JL8" s="76" t="str">
        <f>IF(MAX(JH8,JK8)&gt;0,MAX(JH8,JK8),"")</f>
        <v/>
      </c>
      <c r="JM8" s="76" t="str">
        <f>IF(IX8&gt;0,IX8,"")</f>
        <v/>
      </c>
      <c r="JN8" s="76" t="str">
        <f>IF(IY8&gt;0,IY8,"")</f>
        <v/>
      </c>
      <c r="JO8" s="76" t="str">
        <f>IF(SUM(IV8:IY8)-IZ8&gt;0,SUM(IV8:IY8)-IZ8,"")</f>
        <v/>
      </c>
      <c r="JP8" s="76" t="str">
        <f>IF(JC8&gt;0,JC8,"")</f>
        <v/>
      </c>
      <c r="JQ8" s="76" t="str">
        <f>IF(JD8&gt;0,JD8,"")</f>
        <v/>
      </c>
      <c r="JR8" s="76" t="str">
        <f>IF(SUM(JA8:JD8)-JE8&gt;0,SUM(JA8:JD8)-JE8,"")</f>
        <v/>
      </c>
      <c r="JS8" s="76" t="str">
        <f>IF(SUM(JL8,JR8)&gt;0,SUM(JL8,JR8),"")</f>
        <v/>
      </c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16" t="str">
        <f>IF(JV8&gt;0,JV8,"")</f>
        <v/>
      </c>
      <c r="KO8" s="16" t="str">
        <f>IF(JW8&gt;0,JW8,"")</f>
        <v/>
      </c>
      <c r="KP8" s="16" t="str">
        <f>IF(SUM(JT8:JW8)-JX8&gt;0,SUM(JT8:JW8)-JX8,"")</f>
        <v/>
      </c>
      <c r="KQ8" s="16" t="str">
        <f>IF(KA8&gt;0,KA8,"")</f>
        <v/>
      </c>
      <c r="KR8" s="16" t="str">
        <f>IF(KB8&gt;0,KB8,"")</f>
        <v/>
      </c>
      <c r="KS8" s="16" t="str">
        <f>IF(SUM(JY8:KB8)-KC8&gt;0,SUM(JY8:KB8)-KC8,"")</f>
        <v/>
      </c>
      <c r="KT8" s="16" t="str">
        <f>IF(MAX(KP8,KS8)&gt;0,MAX(KP8,KS8),"")</f>
        <v/>
      </c>
      <c r="KU8" s="16" t="str">
        <f>IF(KF8&gt;0,KF8,"")</f>
        <v/>
      </c>
      <c r="KV8" s="16" t="str">
        <f>IF(KG8&gt;0,KG8,"")</f>
        <v/>
      </c>
      <c r="KW8" s="16" t="str">
        <f>IF(SUM(KD8:KG8)-KH8&gt;0,SUM(KD8:KG8)-KH8,"")</f>
        <v/>
      </c>
      <c r="KX8" s="16" t="str">
        <f>IF(KK8&gt;0,KK8,"")</f>
        <v/>
      </c>
      <c r="KY8" s="16" t="str">
        <f>IF(KL8&gt;0,KL8,"")</f>
        <v/>
      </c>
      <c r="KZ8" s="16" t="str">
        <f>IF(SUM(KI8:KL8)-KM8&gt;0,SUM(KI8:KL8)-KM8,"")</f>
        <v/>
      </c>
      <c r="LA8" s="16" t="str">
        <f>IF(SUM(KT8,KZ8)&gt;0,SUM(KT8,KZ8),"")</f>
        <v/>
      </c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76" t="str">
        <f>IF(LD8&gt;0,LD8,"")</f>
        <v/>
      </c>
      <c r="LW8" s="76" t="str">
        <f>IF(LE8&gt;0,LE8,"")</f>
        <v/>
      </c>
      <c r="LX8" s="76" t="str">
        <f>IF(SUM(LB8:LE8)-LF8&gt;0,SUM(LB8:LE8)-LF8,"")</f>
        <v/>
      </c>
      <c r="LY8" s="76" t="str">
        <f>IF(LI8&gt;0,LI8,"")</f>
        <v/>
      </c>
      <c r="LZ8" s="76" t="str">
        <f>IF(LJ8&gt;0,LJ8,"")</f>
        <v/>
      </c>
      <c r="MA8" s="76" t="str">
        <f>IF(SUM(LG8:LJ8)-LK8&gt;0,SUM(LG8:LJ8)-LK8,"")</f>
        <v/>
      </c>
      <c r="MB8" s="76" t="str">
        <f>IF(MAX(LX8,MA8)&gt;0,MAX(LX8,MA8),"")</f>
        <v/>
      </c>
      <c r="MC8" s="76" t="str">
        <f>IF(LN8&gt;0,LN8,"")</f>
        <v/>
      </c>
      <c r="MD8" s="76" t="str">
        <f>IF(LO8&gt;0,LO8,"")</f>
        <v/>
      </c>
      <c r="ME8" s="76" t="str">
        <f>IF(SUM(LL8:LO8)-LP8&gt;0,SUM(LL8:LO8)-LP8,"")</f>
        <v/>
      </c>
      <c r="MF8" s="76" t="str">
        <f>IF(LS8&gt;0,LS8,"")</f>
        <v/>
      </c>
      <c r="MG8" s="76" t="str">
        <f>IF(LT8&gt;0,LT8,"")</f>
        <v/>
      </c>
      <c r="MH8" s="76" t="str">
        <f>IF(SUM(LQ8:LT8)-LU8&gt;0,SUM(LQ8:LT8)-LU8,"")</f>
        <v/>
      </c>
      <c r="MI8" s="76" t="str">
        <f>IF(SUM(MB8,MH8)&gt;0,SUM(MB8,MH8),"")</f>
        <v/>
      </c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26"/>
      <c r="NC8" s="26"/>
      <c r="ND8" s="16" t="str">
        <f>IF(ML8&gt;0,ML8,"")</f>
        <v/>
      </c>
      <c r="NE8" s="16" t="str">
        <f>IF(MM8&gt;0,MM8,"")</f>
        <v/>
      </c>
      <c r="NF8" s="16" t="str">
        <f>IF(SUM(MJ8:MM8)-MN8&gt;0,SUM(MJ8:MM8)-MN8,"")</f>
        <v/>
      </c>
      <c r="NG8" s="16" t="str">
        <f>IF(MQ8&gt;0,MQ8,"")</f>
        <v/>
      </c>
      <c r="NH8" s="16" t="str">
        <f>IF(MR8&gt;0,MR8,"")</f>
        <v/>
      </c>
      <c r="NI8" s="16" t="str">
        <f>IF(SUM(MO8:MR8)-MS8&gt;0,SUM(MO8:MR8)-MS8,"")</f>
        <v/>
      </c>
      <c r="NJ8" s="16" t="str">
        <f>IF(MAX(NF8,NI8)&gt;0,MAX(NF8,NI8),"")</f>
        <v/>
      </c>
      <c r="NK8" s="16" t="str">
        <f>IF(MV8&gt;0,MV8,"")</f>
        <v/>
      </c>
      <c r="NL8" s="16" t="str">
        <f>IF(MW8&gt;0,MW8,"")</f>
        <v/>
      </c>
      <c r="NM8" s="16" t="str">
        <f>IF(SUM(MT8:MW8)-MX8&gt;0,SUM(MT8:MW8)-MX8,"")</f>
        <v/>
      </c>
      <c r="NN8" s="16" t="str">
        <f>IF(NA8&gt;0,NA8,"")</f>
        <v/>
      </c>
      <c r="NO8" s="16" t="str">
        <f>IF(NB8&gt;0,NB8,"")</f>
        <v/>
      </c>
      <c r="NP8" s="16" t="str">
        <f>IF(SUM(MY8:NB8)-NC8&gt;0,SUM(MY8:NB8)-NC8,"")</f>
        <v/>
      </c>
      <c r="NQ8" s="16" t="str">
        <f>IF(SUM(NJ8,NP8)&gt;0,SUM(NJ8,NP8),"")</f>
        <v/>
      </c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76" t="str">
        <f>IF(NT8&gt;0,NT8,"")</f>
        <v/>
      </c>
      <c r="OM8" s="76" t="str">
        <f>IF(NU8&gt;0,NU8,"")</f>
        <v/>
      </c>
      <c r="ON8" s="76" t="str">
        <f>IF(SUM(NR8:NU8)-NV8&gt;0,SUM(NR8:NU8)-NV8,"")</f>
        <v/>
      </c>
      <c r="OO8" s="76" t="str">
        <f>IF(NY8&gt;0,NY8,"")</f>
        <v/>
      </c>
      <c r="OP8" s="76" t="str">
        <f>IF(NZ8&gt;0,NZ8,"")</f>
        <v/>
      </c>
      <c r="OQ8" s="76" t="str">
        <f>IF(SUM(NW8:NZ8)-OA8&gt;0,SUM(NW8:NZ8)-OA8,"")</f>
        <v/>
      </c>
      <c r="OR8" s="76" t="str">
        <f>IF(MAX(ON8,OQ8)&gt;0,MAX(ON8,OQ8),"")</f>
        <v/>
      </c>
      <c r="OS8" s="76" t="str">
        <f>IF(OD8&gt;0,OD8,"")</f>
        <v/>
      </c>
      <c r="OT8" s="76" t="str">
        <f>IF(OE8&gt;0,OE8,"")</f>
        <v/>
      </c>
      <c r="OU8" s="76" t="str">
        <f>IF(SUM(OB8:OE8)-OF8&gt;0,SUM(OB8:OE8)-OF8,"")</f>
        <v/>
      </c>
      <c r="OV8" s="76" t="str">
        <f>IF(OI8&gt;0,OI8,"")</f>
        <v/>
      </c>
      <c r="OW8" s="76" t="str">
        <f>IF(OJ8&gt;0,OJ8,"")</f>
        <v/>
      </c>
      <c r="OX8" s="76" t="str">
        <f>IF(SUM(OG8:OJ8)-OK8&gt;0,SUM(OG8:OJ8)-OK8,"")</f>
        <v/>
      </c>
      <c r="OY8" s="76" t="str">
        <f>IF(SUM(OR8,OX8)&gt;0,SUM(OR8,OX8),"")</f>
        <v/>
      </c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16" t="str">
        <f>IF(PB8&gt;0,PB8,"")</f>
        <v/>
      </c>
      <c r="PU8" s="16" t="str">
        <f>IF(PC8&gt;0,PC8,"")</f>
        <v/>
      </c>
      <c r="PV8" s="16" t="str">
        <f>IF(SUM(OZ8:PC8)-PD8&gt;0,SUM(OZ8:PC8)-PD8,"")</f>
        <v/>
      </c>
      <c r="PW8" s="16" t="str">
        <f>IF(PG8&gt;0,PG8,"")</f>
        <v/>
      </c>
      <c r="PX8" s="16" t="str">
        <f>IF(PH8&gt;0,PH8,"")</f>
        <v/>
      </c>
      <c r="PY8" s="16" t="str">
        <f>IF(SUM(PE8:PH8)-PI8&gt;0,SUM(PE8:PH8)-PI8,"")</f>
        <v/>
      </c>
      <c r="PZ8" s="16" t="str">
        <f>IF(MAX(PV8,PY8)&gt;0,MAX(PV8,PY8),"")</f>
        <v/>
      </c>
      <c r="QA8" s="16" t="str">
        <f>IF(PL8&gt;0,PL8,"")</f>
        <v/>
      </c>
      <c r="QB8" s="16" t="str">
        <f>IF(PM8&gt;0,PM8,"")</f>
        <v/>
      </c>
      <c r="QC8" s="16" t="str">
        <f>IF(SUM(PJ8:PM8)-PN8&gt;0,SUM(PJ8:PM8)-PN8,"")</f>
        <v/>
      </c>
      <c r="QD8" s="16" t="str">
        <f>IF(PQ8&gt;0,PQ8,"")</f>
        <v/>
      </c>
      <c r="QE8" s="16" t="str">
        <f>IF(PR8&gt;0,PR8,"")</f>
        <v/>
      </c>
      <c r="QF8" s="16" t="str">
        <f>IF(SUM(PO8:PR8)-PS8&gt;0,SUM(PO8:PR8)-PS8,"")</f>
        <v/>
      </c>
      <c r="QG8" s="16" t="str">
        <f>IF(SUM(PZ8,QF8)&gt;0,SUM(PZ8,QF8),"")</f>
        <v/>
      </c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76" t="str">
        <f>IF(QJ8&gt;0,QJ8,"")</f>
        <v/>
      </c>
      <c r="RC8" s="76" t="str">
        <f>IF(QK8&gt;0,QK8,"")</f>
        <v/>
      </c>
      <c r="RD8" s="76" t="str">
        <f>IF(SUM(QH8:QK8)-QL8&gt;0,SUM(QH8:QK8)-QL8,"")</f>
        <v/>
      </c>
      <c r="RE8" s="76" t="str">
        <f>IF(QO8&gt;0,QO8,"")</f>
        <v/>
      </c>
      <c r="RF8" s="76" t="str">
        <f>IF(QP8&gt;0,QP8,"")</f>
        <v/>
      </c>
      <c r="RG8" s="76" t="str">
        <f>IF(SUM(QM8:QP8)-QQ8&gt;0,SUM(QM8:QP8)-QQ8,"")</f>
        <v/>
      </c>
      <c r="RH8" s="76" t="str">
        <f>IF(MAX(RD8,RG8)&gt;0,MAX(RD8,RG8),"")</f>
        <v/>
      </c>
      <c r="RI8" s="76" t="str">
        <f>IF(QT8&gt;0,QT8,"")</f>
        <v/>
      </c>
      <c r="RJ8" s="76" t="str">
        <f>IF(QU8&gt;0,QU8,"")</f>
        <v/>
      </c>
      <c r="RK8" s="76" t="str">
        <f>IF(SUM(QR8:QU8)-QV8&gt;0,SUM(QR8:QU8)-QV8,"")</f>
        <v/>
      </c>
      <c r="RL8" s="76" t="str">
        <f>IF(QY8&gt;0,QY8,"")</f>
        <v/>
      </c>
      <c r="RM8" s="76" t="str">
        <f>IF(QZ8&gt;0,QZ8,"")</f>
        <v/>
      </c>
      <c r="RN8" s="76" t="str">
        <f>IF(SUM(QW8:QZ8)-RA8&gt;0,SUM(QW8:QZ8)-RA8,"")</f>
        <v/>
      </c>
      <c r="RO8" s="76" t="str">
        <f>IF(SUM(RH8,RN8)&gt;0,SUM(RH8,RN8),"")</f>
        <v/>
      </c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26"/>
      <c r="SI8" s="26"/>
      <c r="SJ8" s="16" t="str">
        <f>IF(RR8&gt;0,RR8,"")</f>
        <v/>
      </c>
      <c r="SK8" s="16" t="str">
        <f>IF(RS8&gt;0,RS8,"")</f>
        <v/>
      </c>
      <c r="SL8" s="16" t="str">
        <f>IF(SUM(RP8:RS8)-RT8&gt;0,SUM(RP8:RS8)-RT8,"")</f>
        <v/>
      </c>
      <c r="SM8" s="16" t="str">
        <f>IF(RW8&gt;0,RW8,"")</f>
        <v/>
      </c>
      <c r="SN8" s="16" t="str">
        <f>IF(RX8&gt;0,RX8,"")</f>
        <v/>
      </c>
      <c r="SO8" s="16" t="str">
        <f>IF(SUM(RU8:RX8)-RY8&gt;0,SUM(RU8:RX8)-RY8,"")</f>
        <v/>
      </c>
      <c r="SP8" s="16" t="str">
        <f>IF(MAX(SL8,SO8)&gt;0,MAX(SL8,SO8),"")</f>
        <v/>
      </c>
      <c r="SQ8" s="16" t="str">
        <f>IF(SB8&gt;0,SB8,"")</f>
        <v/>
      </c>
      <c r="SR8" s="16" t="str">
        <f>IF(SC8&gt;0,SC8,"")</f>
        <v/>
      </c>
      <c r="SS8" s="16" t="str">
        <f>IF(SUM(RZ8:SC8)-SD8&gt;0,SUM(RZ8:SC8)-SD8,"")</f>
        <v/>
      </c>
      <c r="ST8" s="16" t="str">
        <f>IF(SG8&gt;0,SG8,"")</f>
        <v/>
      </c>
      <c r="SU8" s="16" t="str">
        <f>IF(SH8&gt;0,SH8,"")</f>
        <v/>
      </c>
      <c r="SV8" s="16" t="str">
        <f>IF(SUM(SE8:SH8)-SI8&gt;0,SUM(SE8:SH8)-SI8,"")</f>
        <v/>
      </c>
      <c r="SW8" s="16" t="str">
        <f>IF(SUM(SP8,SV8)&gt;0,SUM(SP8,SV8),"")</f>
        <v/>
      </c>
      <c r="SX8" s="42">
        <f>IF($CP8="P",CA8,(CA8+AZ8)/2)</f>
        <v>2.4</v>
      </c>
      <c r="SY8" s="42">
        <f>IF($CP8="P",CB8,(CB8+BA8)/2)</f>
        <v>1.3</v>
      </c>
      <c r="SZ8" s="42">
        <f>IF($CP8="P",CC8,(CC8+BB8)/2)</f>
        <v>2.5499999999999998</v>
      </c>
      <c r="TA8" s="42">
        <f>IF($CP8="P",CD8,(CD8+BC8)/2)</f>
        <v>2.6675</v>
      </c>
      <c r="TB8" s="42">
        <f>IF($CP8="P",CE8,(CE8+BD8)/2)</f>
        <v>0</v>
      </c>
      <c r="TC8" s="42">
        <f>IF($CP8="P",CF8,(CF8+BE8)/2)</f>
        <v>7.9</v>
      </c>
      <c r="TD8" s="42">
        <f>IF($CP8="P",CG8,(CG8+BF8)/2)</f>
        <v>4.3499999999999996</v>
      </c>
      <c r="TE8" s="42">
        <f>IF($CP8="P",CH8,(CH8+BG8)/2)</f>
        <v>7.7</v>
      </c>
      <c r="TF8" s="42">
        <f>IF($CP8="P",CI8,(CI8+BH8)/2)</f>
        <v>8.2025000000000006</v>
      </c>
      <c r="TG8" s="42">
        <f>IF($CP8="P",CJ8,(CJ8+BI8)/2)</f>
        <v>0</v>
      </c>
      <c r="TH8" s="42">
        <f>IF($CP8="P",CK8,(CK8+BJ8)/2)</f>
        <v>7.85</v>
      </c>
      <c r="TI8" s="42">
        <f>IF($CP8="P",CL8,(CL8+BK8)/2)</f>
        <v>4.5</v>
      </c>
      <c r="TJ8" s="42">
        <f>IF($CP8="P",CM8,(CM8+BL8)/2)</f>
        <v>7.75</v>
      </c>
      <c r="TK8" s="42">
        <f>IF($CP8="P",CN8,(CN8+BM8)/2)</f>
        <v>8.27</v>
      </c>
      <c r="TL8" s="42">
        <f>IF($CP8="P",CO8,(CO8+BN8)/2)</f>
        <v>0</v>
      </c>
      <c r="TM8" s="51" t="s">
        <v>61</v>
      </c>
      <c r="TN8" s="76">
        <f>IF(SZ8&gt;0,SZ8,"")</f>
        <v>2.5499999999999998</v>
      </c>
      <c r="TO8" s="76">
        <f>IF(TA8&gt;0,TA8,"")</f>
        <v>2.6675</v>
      </c>
      <c r="TP8" s="76">
        <f>IF(SUM(SX8:TA8)-TB8&gt;0,SUM(SX8:TA8)-TB8,"")</f>
        <v>8.9175000000000004</v>
      </c>
      <c r="TQ8" s="76">
        <f>IF(TE8&gt;0,TE8,"")</f>
        <v>7.7</v>
      </c>
      <c r="TR8" s="76">
        <f>IF(TF8&gt;0,TF8,"")</f>
        <v>8.2025000000000006</v>
      </c>
      <c r="TS8" s="76">
        <f>IF(SUM(TC8:TF8)-TG8&gt;0,SUM(TC8:TF8)-TG8,"")</f>
        <v>28.1525</v>
      </c>
      <c r="TT8" s="76">
        <f>IF(MAX(TP8,TS8)&gt;0,MAX(TP8,TS8),"")</f>
        <v>28.1525</v>
      </c>
      <c r="TU8" s="76">
        <f>IF(TJ8&gt;0,TJ8,"")</f>
        <v>7.75</v>
      </c>
      <c r="TV8" s="76">
        <f>IF(TK8&gt;0,TK8,"")</f>
        <v>8.27</v>
      </c>
      <c r="TW8" s="76">
        <f>IF(SUM(TH8:TK8)-TL8&gt;0,SUM(TH8:TK8)-TL8,"")</f>
        <v>28.37</v>
      </c>
      <c r="TX8" s="76">
        <f>IF(SUM(TT8,TW8)&gt;0,SUM(TT8,TW8),"")</f>
        <v>56.522500000000001</v>
      </c>
    </row>
    <row r="9" spans="1:544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106</v>
      </c>
      <c r="C9" s="7" t="s">
        <v>3</v>
      </c>
      <c r="D9" s="5">
        <v>1988</v>
      </c>
      <c r="E9" s="14">
        <f>SUM(J9:V9)+SUM(J9:T9)*0.0000001+SUM(J9)*0.0000000000001</f>
        <v>250.54502505450552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Z9&gt;=EM$25,DZ9&lt;&gt;"",EB9&gt;=EM$29,EB9&lt;&gt;""),AND(EC9&gt;=EM$25,EC9&lt;&gt;"",EE9&gt;=EM$29,EE9&lt;&gt;""),AND(EG9&gt;=EM$25,EG9&lt;&gt;"",EI9&gt;=EM$29,EI9&lt;&gt;""),AND(EJ9&gt;=EM$25,EJ9&lt;&gt;"",EL9&gt;=EM$29,EL9&lt;&gt;""),AND(FH9&gt;=FU$25,FH9&lt;&gt;"",FJ9&gt;=FU$29,FJ9&lt;&gt;""),AND(FK9&gt;=FU$25,FK9&lt;&gt;"",FM9&gt;=FU$29,FM9&lt;&gt;""),AND(FO9&gt;=FU$25,FO9&lt;&gt;"",FQ9&gt;=FU$29,FQ9&lt;&gt;""),AND(FR9&gt;=FU$25,FR9&lt;&gt;"",FT9&gt;=FU$29,FT9&lt;&gt;""),AND(GP9&gt;=HC$25,GP9&lt;&gt;"",GR9&gt;=HC$29,GR9&lt;&gt;""),AND(GS9&gt;=HC$25,GS9&lt;&gt;"",GU9&gt;=HC$29,GU9&lt;&gt;""),AND(GW9&gt;=HC$25,GW9&lt;&gt;"",GY9&gt;=HC$29,GY9&lt;&gt;""),AND(GZ9&gt;=HC$25,GZ9&lt;&gt;"",HB9&gt;=HC$29,HB9&lt;&gt;""),AND(HX9&gt;=IK$25,HX9&lt;&gt;"",HZ9&gt;=IK$29,HZ9&lt;&gt;""),AND(IA9&gt;=IK$25,IA9&lt;&gt;"",IC9&gt;=IK$29,IC9&lt;&gt;""),AND(IE9&gt;=IK$25,IE9&lt;&gt;"",IG9&gt;=IK$29,IG9&lt;&gt;""),AND(IH9&gt;=IK$25,IH9&lt;&gt;"",IJ9&gt;=IK$29,IJ9&lt;&gt;""),AND(JF9&gt;=JS$25,JF9&lt;&gt;"",JH9&gt;=JS$29,JH9&lt;&gt;""),AND(JI9&gt;=JS$25,JI9&lt;&gt;"",JK9&gt;=JS$29,JK9&lt;&gt;""),AND(JM9&gt;=JS$25,JM9&lt;&gt;"",JO9&gt;=JS$29,JO9&lt;&gt;""),AND(JP9&gt;=JS$25,JP9&lt;&gt;"",JR9&gt;=JS$29,JR9&lt;&gt;""),AND(KN9&gt;=LA$25,KN9&lt;&gt;"",KP9&gt;=LA$29,KP9&lt;&gt;""),AND(KQ9&gt;=LA$25,KQ9&lt;&gt;"",KS9&gt;=LA$29,KS9&lt;&gt;""),AND(KU9&gt;=LA$25,KU9&lt;&gt;"",KW9&gt;=LA$29,KW9&lt;&gt;""),AND(KX9&gt;=LA$25,KX9&lt;&gt;"",KZ9&gt;=LA$29,KZ9&lt;&gt;""),AND(LV9&gt;=MI$25,LV9&lt;&gt;"",LX9&gt;=MI$29,LX9&lt;&gt;""),AND(LY9&gt;=MI$25,LY9&lt;&gt;"",MA9&gt;=MI$29,MA9&lt;&gt;""),AND(MC9&gt;=MI$25,MC9&lt;&gt;"",ME9&gt;=MI$29,ME9&lt;&gt;""),AND(MF9&gt;=MI$25,MF9&lt;&gt;"",MH9&gt;=MI$29,MH9&lt;&gt;""),AND(ND9&gt;=NQ$25,ND9&lt;&gt;"",NF9&gt;=NQ$29,NF9&lt;&gt;""),AND(NG9&gt;=NQ$25,NG9&lt;&gt;"",NI9&gt;=NQ$29,NI9&lt;&gt;""),AND(NK9&gt;=NQ$25,NK9&lt;&gt;"",NM9&gt;=NQ$29,NM9&lt;&gt;""),AND(NN9&gt;=NQ$25,NN9&lt;&gt;"",NP9&gt;=NQ$29,NP9&lt;&gt;""),AND(OL9&gt;=OY$25,OL9&lt;&gt;"",ON9&gt;=OY$29,ON9&lt;&gt;""),AND(OO9&gt;=OY$25,OO9&lt;&gt;"",OQ9&gt;=OY$29,OQ9&lt;&gt;""),AND(OS9&gt;=OY$25,OS9&lt;&gt;"",OU9&gt;=OY$29,OU9&lt;&gt;""),AND(OV9&gt;=OY$25,OV9&lt;&gt;"",OX9&gt;=OY$29,OX9&lt;&gt;""),AND(PT9&gt;=QG$25,PT9&lt;&gt;"",PV9&gt;=QG$29,PV9&lt;&gt;""),AND(PW9&gt;=QG$25,PW9&lt;&gt;"",PY9&gt;=QG$29,PY9&lt;&gt;""),AND(QA9&gt;=QG$25,QA9&lt;&gt;"",QC9&gt;=QG$29,QC9&lt;&gt;""),AND(QD9&gt;=QG$25,QD9&lt;&gt;"",QF9&gt;=QG$29,QF9&lt;&gt;""),AND(RB9&gt;=RO$25,RB9&lt;&gt;"",RD9&gt;=RO$29,RD9&lt;&gt;""),AND(RE9&gt;=RO$25,RE9&lt;&gt;"",RG9&gt;=RO$29,RG9&lt;&gt;""),AND(RI9&gt;=RO$25,RI9&lt;&gt;"",RK9&gt;=RO$29,RK9&lt;&gt;""),AND(RL9&gt;=RO$25,RL9&lt;&gt;"",RN9&gt;=RO$29,RN9&lt;&gt;""),AND(SJ9&gt;=SW$25,SJ9&lt;&gt;"",SL9&gt;=SW$29,SL9&lt;&gt;""),AND(SM9&gt;=SW$25,SM9&lt;&gt;"",SO9&gt;=SW$29,SO9&lt;&gt;""),AND(SQ9&gt;=SW$25,SQ9&lt;&gt;"",SS9&gt;=SW$29,SS9&lt;&gt;""),AND(ST9&gt;=SW$25,ST9&lt;&gt;"",SV9&gt;=SW$29,SV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EB9&gt;=EM$29,EB9&lt;&gt;""),AND(EE9&gt;=EM$29,EE9&lt;&gt;""),AND(EI9&gt;=EM$29,EI9&lt;&gt;""),AND(EL9&gt;=EM$29,EL9&lt;&gt;""),AND(FJ9&gt;=FU$29,FJ9&lt;&gt;""),AND(FM9&gt;=FU$29,FM9&lt;&gt;""),AND(FQ9&gt;=FU$29,FQ9&lt;&gt;""),AND(FT9&gt;=FU$29,FT9&lt;&gt;""),AND(GR9&gt;=HC$29,GR9&lt;&gt;""),AND(GU9&gt;=HC$29,GU9&lt;&gt;""),AND(GY9&gt;=HC$29,GY9&lt;&gt;""),AND(HB9&gt;=HC$29,HB9&lt;&gt;""),AND(HZ9&gt;=IK$29,HZ9&lt;&gt;""),AND(IC9&gt;=IK$29,IC9&lt;&gt;""),AND(IG9&gt;=IK$29,IG9&lt;&gt;""),AND(IJ9&gt;=IK$29,IJ9&lt;&gt;""),AND(JH9&gt;=JS$29,JH9&lt;&gt;""),AND(JK9&gt;=JS$29,JK9&lt;&gt;""),AND(JO9&gt;=JS$29,JO9&lt;&gt;""),AND(JR9&gt;=JS$29,JR9&lt;&gt;""),AND(KP9&gt;=LA$29,KP9&lt;&gt;""),AND(KS9&gt;=LA$29,KS9&lt;&gt;""),AND(KW9&gt;=LA$29,KW9&lt;&gt;""),AND(KZ9&gt;=LA$29,KZ9&lt;&gt;""),AND(LX9&gt;=MI$29,LX9&lt;&gt;""),AND(MA9&gt;=MI$29,MA9&lt;&gt;""),AND(ME9&gt;=MI$29,ME9&lt;&gt;""),AND(MH9&gt;=MI$29,MH9&lt;&gt;""),AND(NF9&gt;=NQ$29,NF9&lt;&gt;""),AND(NI9&gt;=NQ$29,NI9&lt;&gt;""),AND(NM9&gt;=NQ$29,NM9&lt;&gt;""),AND(NP9&gt;=NQ$29,NP9&lt;&gt;""),AND(ON9&gt;=OY$29,ON9&lt;&gt;""),AND(OQ9&gt;=OY$29,OQ9&lt;&gt;""),AND(OU9&gt;=OY$29,OU9&lt;&gt;""),AND(OX9&gt;=OY$29,OX9&lt;&gt;""),AND(PV9&gt;=QG$29,PV9&lt;&gt;""),AND(PY9&gt;=QG$29,PY9&lt;&gt;""),AND(QC9&gt;=QG$29,QC9&lt;&gt;""),AND(QF9&gt;=QG$29,QF9&lt;&gt;""),AND(RD9&gt;=RO$29,RD9&lt;&gt;""),AND(RG9&gt;=RO$29,RG9&lt;&gt;""),AND(RK9&gt;=RO$29,RK9&lt;&gt;""),AND(RN9&gt;=RO$29,RN9&lt;&gt;""),AND(SL9&gt;=SW$29,SL9&lt;&gt;""),AND(SO9&gt;=SW$29,SO9&lt;&gt;""),AND(SS9&gt;=SW$29,SS9&lt;&gt;""),AND(SV9&gt;=SW$29,SV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Z9&gt;=EM$28,DZ9&lt;&gt;"",EB9&gt;=EM$32,EB9&lt;&gt;""),AND(EC9&gt;=EM$28,EC9&lt;&gt;"",EE9&gt;=EM$32,EE9&lt;&gt;""),AND(EG9&gt;=EM$28,EG9&lt;&gt;"",EI9&gt;=EM$32,EI9&lt;&gt;""),AND(EJ9&gt;=EM$28,EJ9&lt;&gt;"",EL9&gt;=EM$32,EL9&lt;&gt;""),AND(FH9&gt;=FU$28,FH9&lt;&gt;"",FJ9&gt;=FU$32,FJ9&lt;&gt;""),AND(FK9&gt;=FU$28,FK9&lt;&gt;"",FM9&gt;=FU$32,FM9&lt;&gt;""),AND(FO9&gt;=FU$28,FO9&lt;&gt;"",FQ9&gt;=FU$32,FQ9&lt;&gt;""),AND(FR9&gt;=FU$28,FR9&lt;&gt;"",FT9&gt;=FU$32,FT9&lt;&gt;""),AND(GP9&gt;=HC$28,GP9&lt;&gt;"",GR9&gt;=HC$32,GR9&lt;&gt;""),AND(GS9&gt;=HC$28,GS9&lt;&gt;"",GU9&gt;=HC$32,GU9&lt;&gt;""),AND(GW9&gt;=HC$28,GW9&lt;&gt;"",GY9&gt;=HC$32,GY9&lt;&gt;""),AND(GZ9&gt;=HC$28,GZ9&lt;&gt;"",HB9&gt;=HC$32,HB9&lt;&gt;""),AND(HX9&gt;=IK$28,HX9&lt;&gt;"",HZ9&gt;=IK$32,HZ9&lt;&gt;""),AND(IA9&gt;=IK$28,IA9&lt;&gt;"",IC9&gt;=IK$32,IC9&lt;&gt;""),AND(IE9&gt;=IK$28,IE9&lt;&gt;"",IG9&gt;=IK$32,IG9&lt;&gt;""),AND(IH9&gt;=IK$28,IH9&lt;&gt;"",IJ9&gt;=IK$32,IJ9&lt;&gt;""),AND(JF9&gt;=JS$28,JF9&lt;&gt;"",JH9&gt;=JS$32,JH9&lt;&gt;""),AND(JI9&gt;=JS$28,JI9&lt;&gt;"",JK9&gt;=JS$32,JK9&lt;&gt;""),AND(JM9&gt;=JS$28,JM9&lt;&gt;"",JO9&gt;=JS$32,JO9&lt;&gt;""),AND(JP9&gt;=JS$28,JP9&lt;&gt;"",JR9&gt;=JS$32,JR9&lt;&gt;""),AND(KN9&gt;=LA$28,KN9&lt;&gt;"",KP9&gt;=LA$32,KP9&lt;&gt;""),AND(KQ9&gt;=LA$28,KQ9&lt;&gt;"",KS9&gt;=LA$32,KS9&lt;&gt;""),AND(KU9&gt;=LA$28,KU9&lt;&gt;"",KW9&gt;=LA$32,KW9&lt;&gt;""),AND(KX9&gt;=LA$28,KX9&lt;&gt;"",KZ9&gt;=LA$32,KZ9&lt;&gt;""),AND(LV9&gt;=MI$28,LV9&lt;&gt;"",LX9&gt;=MI$32,LX9&lt;&gt;""),AND(LY9&gt;=MI$28,LY9&lt;&gt;"",MA9&gt;=MI$32,MA9&lt;&gt;""),AND(MC9&gt;=MI$28,MC9&lt;&gt;"",ME9&gt;=MI$32,ME9&lt;&gt;""),AND(MF9&gt;=MI$28,MF9&lt;&gt;"",MH9&gt;=MI$32,MH9&lt;&gt;""),AND(ND9&gt;=NQ$28,ND9&lt;&gt;"",NF9&gt;=NQ$32,NF9&lt;&gt;""),AND(NG9&gt;=NQ$28,NG9&lt;&gt;"",NI9&gt;=NQ$32,NI9&lt;&gt;""),AND(NK9&gt;=NQ$28,NK9&lt;&gt;"",NM9&gt;=NQ$32,NM9&lt;&gt;""),AND(NN9&gt;=NQ$28,NN9&lt;&gt;"",NP9&gt;=NQ$32,NP9&lt;&gt;""),AND(OL9&gt;=OY$28,OL9&lt;&gt;"",ON9&gt;=OY$32,ON9&lt;&gt;""),AND(OO9&gt;=OY$28,OO9&lt;&gt;"",OQ9&gt;=OY$32,OQ9&lt;&gt;""),AND(OS9&gt;=OY$28,OS9&lt;&gt;"",OU9&gt;=OY$32,OU9&lt;&gt;""),AND(OV9&gt;=OY$28,OV9&lt;&gt;"",OX9&gt;=OY$32,OX9&lt;&gt;""),AND(PT9&gt;=QG$28,PT9&lt;&gt;"",PV9&gt;=QG$32,PV9&lt;&gt;""),AND(PW9&gt;=QG$28,PW9&lt;&gt;"",PY9&gt;=QG$32,PY9&lt;&gt;""),AND(QA9&gt;=QG$28,QA9&lt;&gt;"",QC9&gt;=QG$32,QC9&lt;&gt;""),AND(QD9&gt;=QG$28,QD9&lt;&gt;"",QF9&gt;=QG$32,QF9&lt;&gt;""),AND(RB9&gt;=RO$28,RB9&lt;&gt;"",RD9&gt;=RO$32,RD9&lt;&gt;""),AND(RE9&gt;=RO$28,RE9&lt;&gt;"",RG9&gt;=RO$32,RG9&lt;&gt;""),AND(RI9&gt;=RO$28,RI9&lt;&gt;"",RK9&gt;=RO$32,RK9&lt;&gt;""),AND(RL9&gt;=RO$28,RL9&lt;&gt;"",RN9&gt;=RO$32,RN9&lt;&gt;""),AND(SJ9&gt;=SW$28,SJ9&lt;&gt;"",SL9&gt;=SW$32,SL9&lt;&gt;""),AND(SM9&gt;=SW$28,SM9&lt;&gt;"",SO9&gt;=SW$32,SO9&lt;&gt;""),AND(SQ9&gt;=SW$28,SQ9&lt;&gt;"",SS9&gt;=SW$32,SS9&lt;&gt;""),AND(ST9&gt;=SW$28,ST9&lt;&gt;"",SV9&gt;=SW$32,SV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Z9&gt;=EM$27,DZ9&lt;&gt;"",EB9&gt;=EM$31,EB9&lt;&gt;""),AND(EC9&gt;=EM$27,EC9&lt;&gt;"",EE9&gt;=EM$31,EE9&lt;&gt;""),AND(EG9&gt;=EM$27,EG9&lt;&gt;"",EI9&gt;=EM$31,EI9&lt;&gt;""),AND(EJ9&gt;=EM$27,EJ9&lt;&gt;"",EL9&gt;=EM$31,EL9&lt;&gt;""),AND(FH9&gt;=FU$27,FH9&lt;&gt;"",FJ9&gt;=FU$31,FJ9&lt;&gt;""),AND(FK9&gt;=FU$27,FK9&lt;&gt;"",FM9&gt;=FU$31,FM9&lt;&gt;""),AND(FO9&gt;=FU$27,FO9&lt;&gt;"",FQ9&gt;=FU$31,FQ9&lt;&gt;""),AND(FR9&gt;=FU$27,FR9&lt;&gt;"",FT9&gt;=FU$31,FT9&lt;&gt;""),AND(GP9&gt;=HC$27,GP9&lt;&gt;"",GR9&gt;=HC$31,GR9&lt;&gt;""),AND(GS9&gt;=HC$27,GS9&lt;&gt;"",GU9&gt;=HC$31,GU9&lt;&gt;""),AND(GW9&gt;=HC$27,GW9&lt;&gt;"",GY9&gt;=HC$31,GY9&lt;&gt;""),AND(GZ9&gt;=HC$27,GZ9&lt;&gt;"",HB9&gt;=HC$31,HB9&lt;&gt;""),AND(HX9&gt;=IK$27,HX9&lt;&gt;"",HZ9&gt;=IK$31,HZ9&lt;&gt;""),AND(IA9&gt;=IK$27,IA9&lt;&gt;"",IC9&gt;=IK$31,IC9&lt;&gt;""),AND(IE9&gt;=IK$27,IE9&lt;&gt;"",IG9&gt;=IK$31,IG9&lt;&gt;""),AND(IH9&gt;=IK$27,IH9&lt;&gt;"",IJ9&gt;=IK$31,IJ9&lt;&gt;""),AND(JF9&gt;=JS$27,JF9&lt;&gt;"",JH9&gt;=JS$31,JH9&lt;&gt;""),AND(JI9&gt;=JS$27,JI9&lt;&gt;"",JK9&gt;=JS$31,JK9&lt;&gt;""),AND(JM9&gt;=JS$27,JM9&lt;&gt;"",JO9&gt;=JS$31,JO9&lt;&gt;""),AND(JP9&gt;=JS$27,JP9&lt;&gt;"",JR9&gt;=JS$31,JR9&lt;&gt;""),AND(KN9&gt;=LA$27,KN9&lt;&gt;"",KP9&gt;=LA$31,KP9&lt;&gt;""),AND(KQ9&gt;=LA$27,KQ9&lt;&gt;"",KS9&gt;=LA$31,KS9&lt;&gt;""),AND(KU9&gt;=LA$27,KU9&lt;&gt;"",KW9&gt;=LA$31,KW9&lt;&gt;""),AND(KX9&gt;=LA$27,KX9&lt;&gt;"",KZ9&gt;=LA$31,KZ9&lt;&gt;""),AND(LV9&gt;=MI$27,LV9&lt;&gt;"",LX9&gt;=MI$31,LX9&lt;&gt;""),AND(LY9&gt;=MI$27,LY9&lt;&gt;"",MA9&gt;=MI$31,MA9&lt;&gt;""),AND(MC9&gt;=MI$27,MC9&lt;&gt;"",ME9&gt;=MI$31,ME9&lt;&gt;""),AND(MF9&gt;=MI$27,MF9&lt;&gt;"",MH9&gt;=MI$31,MH9&lt;&gt;""),AND(ND9&gt;=NQ$27,ND9&lt;&gt;"",NF9&gt;=NQ$31,NF9&lt;&gt;""),AND(NG9&gt;=NQ$27,NG9&lt;&gt;"",NI9&gt;=NQ$31,NI9&lt;&gt;""),AND(NK9&gt;=NQ$27,NK9&lt;&gt;"",NM9&gt;=NQ$31,NM9&lt;&gt;""),AND(NN9&gt;=NQ$27,NN9&lt;&gt;"",NP9&gt;=NQ$31,NP9&lt;&gt;""),AND(OL9&gt;=OY$27,OL9&lt;&gt;"",ON9&gt;=OY$31,ON9&lt;&gt;""),AND(OO9&gt;=OY$27,OO9&lt;&gt;"",OQ9&gt;=OY$31,OQ9&lt;&gt;""),AND(OS9&gt;=OY$27,OS9&lt;&gt;"",OU9&gt;=OY$31,OU9&lt;&gt;""),AND(OV9&gt;=OY$27,OV9&lt;&gt;"",OX9&gt;=OY$31,OX9&lt;&gt;""),AND(PT9&gt;=QG$27,PT9&lt;&gt;"",PV9&gt;=QG$31,PV9&lt;&gt;""),AND(PW9&gt;=QG$27,PW9&lt;&gt;"",PY9&gt;=QG$31,PY9&lt;&gt;""),AND(QA9&gt;=QG$27,QA9&lt;&gt;"",QC9&gt;=QG$31,QC9&lt;&gt;""),AND(QD9&gt;=QG$27,QD9&lt;&gt;"",QF9&gt;=QG$31,QF9&lt;&gt;""),AND(RB9&gt;=RO$27,RB9&lt;&gt;"",RD9&gt;=RO$31,RD9&lt;&gt;""),AND(RE9&gt;=RO$27,RE9&lt;&gt;"",RG9&gt;=RO$31,RG9&lt;&gt;""),AND(RI9&gt;=RO$27,RI9&lt;&gt;"",RK9&gt;=RO$31,RK9&lt;&gt;""),AND(RL9&gt;=RO$27,RL9&lt;&gt;"",RN9&gt;=RO$31,RN9&lt;&gt;""),AND(SJ9&gt;=SW$27,SJ9&lt;&gt;"",SL9&gt;=SW$31,SL9&lt;&gt;""),AND(SM9&gt;=SW$27,SM9&lt;&gt;"",SO9&gt;=SW$31,SO9&lt;&gt;""),AND(SQ9&gt;=SW$27,SQ9&lt;&gt;"",SS9&gt;=SW$31,SS9&lt;&gt;""),AND(ST9&gt;=SW$27,ST9&lt;&gt;"",SV9&gt;=SW$31,SV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Z9&gt;=EM$26,DZ9&lt;&gt;"",EB9&gt;=EM$30,EB9&lt;&gt;""),AND(EC9&gt;=EM$26,EC9&lt;&gt;"",EE9&gt;=EM$30,EE9&lt;&gt;""),AND(EG9&gt;=EM$26,EG9&lt;&gt;"",EI9&gt;=EM$30,EI9&lt;&gt;""),AND(EJ9&gt;=EM$26,EJ9&lt;&gt;"",EL9&gt;=EM$30,EL9&lt;&gt;""),AND(FH9&gt;=FU$26,FH9&lt;&gt;"",FJ9&gt;=FU$30,FJ9&lt;&gt;""),AND(FK9&gt;=FU$26,FK9&lt;&gt;"",FM9&gt;=FU$30,FM9&lt;&gt;""),AND(FO9&gt;=FU$26,FO9&lt;&gt;"",FQ9&gt;=FU$30,FQ9&lt;&gt;""),AND(FR9&gt;=FU$26,FR9&lt;&gt;"",FT9&gt;=FU$30,FT9&lt;&gt;""),AND(GP9&gt;=HC$26,GP9&lt;&gt;"",GR9&gt;=HC$30,GR9&lt;&gt;""),AND(GS9&gt;=HC$26,GS9&lt;&gt;"",GU9&gt;=HC$30,GU9&lt;&gt;""),AND(GW9&gt;=HC$26,GW9&lt;&gt;"",GY9&gt;=HC$30,GY9&lt;&gt;""),AND(GZ9&gt;=HC$26,GZ9&lt;&gt;"",HB9&gt;=HC$30,HB9&lt;&gt;""),AND(HX9&gt;=IK$26,HX9&lt;&gt;"",HZ9&gt;=IK$30,HZ9&lt;&gt;""),AND(IA9&gt;=IK$26,IA9&lt;&gt;"",IC9&gt;=IK$30,IC9&lt;&gt;""),AND(IE9&gt;=IK$26,IE9&lt;&gt;"",IG9&gt;=IK$30,IG9&lt;&gt;""),AND(IH9&gt;=IK$26,IH9&lt;&gt;"",IJ9&gt;=IK$30,IJ9&lt;&gt;""),AND(JF9&gt;=JS$26,JF9&lt;&gt;"",JH9&gt;=JS$30,JH9&lt;&gt;""),AND(JI9&gt;=JS$26,JI9&lt;&gt;"",JK9&gt;=JS$30,JK9&lt;&gt;""),AND(JM9&gt;=JS$26,JM9&lt;&gt;"",JO9&gt;=JS$30,JO9&lt;&gt;""),AND(JP9&gt;=JS$26,JP9&lt;&gt;"",JR9&gt;=JS$30,JR9&lt;&gt;""),AND(KN9&gt;=LA$26,KN9&lt;&gt;"",KP9&gt;=LA$30,KP9&lt;&gt;""),AND(KQ9&gt;=LA$26,KQ9&lt;&gt;"",KS9&gt;=LA$30,KS9&lt;&gt;""),AND(KU9&gt;=LA$26,KU9&lt;&gt;"",KW9&gt;=LA$30,KW9&lt;&gt;""),AND(KX9&gt;=LA$26,KX9&lt;&gt;"",KZ9&gt;=LA$30,KZ9&lt;&gt;""),AND(LV9&gt;=MI$26,LV9&lt;&gt;"",LX9&gt;=MI$30,LX9&lt;&gt;""),AND(LY9&gt;=MI$26,LY9&lt;&gt;"",MA9&gt;=MI$30,MA9&lt;&gt;""),AND(MC9&gt;=MI$26,MC9&lt;&gt;"",ME9&gt;=MI$30,ME9&lt;&gt;""),AND(MF9&gt;=MI$26,MF9&lt;&gt;"",MH9&gt;=MI$30,MH9&lt;&gt;""),AND(ND9&gt;=NQ$26,ND9&lt;&gt;"",NF9&gt;=NQ$30,NF9&lt;&gt;""),AND(NG9&gt;=NQ$26,NG9&lt;&gt;"",NI9&gt;=NQ$30,NI9&lt;&gt;""),AND(NK9&gt;=NQ$26,NK9&lt;&gt;"",NM9&gt;=NQ$30,NM9&lt;&gt;""),AND(NN9&gt;=NQ$26,NN9&lt;&gt;"",NP9&gt;=NQ$30,NP9&lt;&gt;""),AND(OL9&gt;=OY$26,OL9&lt;&gt;"",ON9&gt;=OY$30,ON9&lt;&gt;""),AND(OO9&gt;=OY$26,OO9&lt;&gt;"",OQ9&gt;=OY$30,OQ9&lt;&gt;""),AND(OS9&gt;=OY$26,OS9&lt;&gt;"",OU9&gt;=OY$30,OU9&lt;&gt;""),AND(OV9&gt;=OY$26,OV9&lt;&gt;"",OX9&gt;=OY$30,OX9&lt;&gt;""),AND(PT9&gt;=QG$26,PT9&lt;&gt;"",PV9&gt;=QG$30,PV9&lt;&gt;""),AND(PW9&gt;=QG$26,PW9&lt;&gt;"",PY9&gt;=QG$30,PY9&lt;&gt;""),AND(QA9&gt;=QG$26,QA9&lt;&gt;"",QC9&gt;=QG$30,QC9&lt;&gt;""),AND(QD9&gt;=QG$26,QD9&lt;&gt;"",QF9&gt;=QG$30,QF9&lt;&gt;""),AND(RB9&gt;=RO$26,RB9&lt;&gt;"",RD9&gt;=RO$30,RD9&lt;&gt;""),AND(RE9&gt;=RO$26,RE9&lt;&gt;"",RG9&gt;=RO$30,RG9&lt;&gt;""),AND(RI9&gt;=RO$26,RI9&lt;&gt;"",RK9&gt;=RO$30,RK9&lt;&gt;""),AND(RL9&gt;=RO$26,RL9&lt;&gt;"",RN9&gt;=RO$30,RN9&lt;&gt;""),AND(SJ9&gt;=SW$26,SJ9&lt;&gt;"",SL9&gt;=SW$30,SL9&lt;&gt;""),AND(SM9&gt;=SW$26,SM9&lt;&gt;"",SO9&gt;=SW$30,SO9&lt;&gt;""),AND(SQ9&gt;=SW$26,SQ9&lt;&gt;"",SS9&gt;=SW$30,SS9&lt;&gt;""),AND(ST9&gt;=SW$26,ST9&lt;&gt;"",SV9&gt;=SW$30,SV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54.8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IF(MAX(AO9,AR9,AV9,BP9,BS9,BW9,CQ9,CT9,CX9)&gt;0,MAX(AO9,AR9,BP9,BS9,CQ9,CT9,AV9),0)</f>
        <v>15.4</v>
      </c>
      <c r="S9" s="13" t="str">
        <f>IF(R9=0,"",IF(OR(R9=CQ9,R9=CT9,R9=CX9),$CA$1,IF(OR(R9=BP9,R9=BS9,R9=BW9),$AZ$1,IF(OR(R9=AO9,R9=AR9,R9=AV9),$Y$1,""))))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),0)</f>
        <v>15.404999999999999</v>
      </c>
      <c r="U9" s="13" t="str">
        <f>IF(T9=0,"",IF(OR(T9=CR9,T9=CU9,T9=CY9),$CA$1,IF(OR(T9=BQ9,T9=BT9,T9=BX9),$AZ$1,IF(OR(T9=AP9,T9=AS9,T9=AW9),$Y$1,""))))</f>
        <v>2021 Canadian Championships</v>
      </c>
      <c r="V9" s="13" t="str">
        <f>IF(MAX(DB9,DC9,DD9,DE9)&gt;0,MAX(DB9,DC9,DD9,DE9),"")</f>
        <v/>
      </c>
      <c r="W9" s="16" t="str">
        <f>IF(V9="","",IF(V9=DB9,"("&amp;DB$2&amp;")",IF(V9=DC9,"("&amp;DC$2&amp;")",IF(V9=DD9,"("&amp;DD$2&amp;")",IF(V9=DE9,"("&amp;DE$2&amp;")")))))</f>
        <v/>
      </c>
      <c r="X9" s="13" t="str">
        <f>IF(V9="","",IF(V9=DB9,IF(V9+IF(L9="",0,L9)=SP9,$RP$1,IF(V9+IF(L9="",0,L9)=RH9,$QH$1,IF(V9+IF(L9="",0,L9)=PZ9,$OZ$1,IF(V9+IF(L9="",0,L9)=OR9,$NR$1,IF(V9+IF(L9="",0,L9)=NJ9,$MJ$1,IF(V9+IF(L9="",0,L9)=MB9,$LB$1,IF(V9+IF(L9="",0,L9)=KT9,$JT$1,IF(V9+IF(L9="",0,L9)=JL9,$IL$1,IF(V9+IF(L9="",0,L9)=ID9,$HD$1,IF(V9+IF(L9="",0,L9)=GV9,$FV$1,IF(V9+IF(L9="",0,L9)=FN9,$EN$1,IF(V9+IF(L9="",0,L9)=EF9,$DF$1)))))))))))),IF(V9=DC9,IF(V9+IF(P9="",0,P9)=SV9,$RP$1,IF(V9+IF(P9="",0,P9)=RN9,$QH$1,IF(V9+IF(P9="",0,P9)=QF9,$OZ$1,IF(V9+IF(P9="",0,P9)=OX9,$NR$1,IF(V9+IF(P9="",0,P9)=NP9,$MJ$1,IF(V9+IF(P9="",0,P9)=MH9,$LB$1,IF(V9+IF(P9="",0,P9)=KZ9,$JT$1,IF(V9+IF(P9="",0,P9)=JR9,$IL$1,IF(V9+IF(P9="",0,P9)=IJ9,$HD$1,IF(V9+IF(P9="",0,P9)=HB9,$FV$1,IF(V9+IF(P9="",0,P9)=FT9,$EN$1,IF(V9+IF(P9="",0,P9)=EL9,$DF$1)))))))))))),IF(V9=DD9,IF(V9+IF(R9="",0,R9)=MAX(SJ9,SM9,SQ9,ST9),$RP$1,IF(V9+IF(R9="",0,R9)=MAX(RB9,RE9,RI9,RL9),$QH$1,IF(V9+IF(R9="",0,R9)=MAX(PT9,PW9,QA9,QD9),$OZ$1,IF(V9+IF(R9="",0,R9)=MAX(OL9,OO9,OS9,OV9),$NR$1,IF(V9+IF(R9="",0,R9)=MAX(ND9,NG9,NK9,NN9),$MJ$1,IF(V9+IF(R9="",0,R9)=MAX(LV9,LY9,MC9,MF9),$LB$1,IF(V9+IF(R9="",0,R9)=MAX(KN9,KQ9,KU9,KX9),$JT$1,IF(V9+IF(R9="",0,R9)=MAX(JF9,JI9,JM9,JP9),$IL$1,IF(V9+IF(R9="",0,R9)=MAX(HX9,IA9,IE9,IH9),$HD$1,IF(V9+IF(R9="",0,R9)=MAX(GP9,GS9,GW9,GZ9),$FV$1,IF(V9+IF(R9="",0,R9)=MAX(FH9,FK9,FO9,FR9),$EN$1,IF(V9+IF(R9="",0,R9)=MAX(DZ9,EC9,EG9,EJ9),$DF$1)))))))))))),IF(V9=DE9,IF(V9+IF(T9="",0,T9)=MAX(SK9,SN9,SR9,SU9),$RP$1,IF(V9+IF(T9="",0,T9)=MAX(RC9,RF9,RJ9,RM9),$QH$1,IF(V9+IF(T9="",0,T9)=MAX(PU9,PX9,QB9,QE9),$OZ$1,IF(V9+IF(T9="",0,T9)=MAX(OM9,OP9,OT9,OW9),$NR$1,IF(V9+IF(T9="",0,T9)=MAX(NE9,NH9,NL9,NO9),$MJ$1,IF(V9+IF(T9="",0,T9)=MAX(LW9,LZ9,MD9,MG9),$LB$1,IF(V9+IF(T9="",0,T9)=MAX(KO9,KR9,KV9,KY9),$JT$1,IF(V9+IF(T9="",0,T9)=MAX(JG9,JJ9,JN9,JQ9),$IL$1,IF(V9+IF(T9="",0,T9)=MAX(HY9,IB9,IF9,II9),$HD$1,IF(V9+IF(T9="",0,T9)=MAX(GQ9,GT9,GX9,HA9),$FV$1,IF(V9+IF(T9="",0,T9)=MAX(FI9,FL9,FP9,FS9),$EN$1,IF(V9+IF(T9="",0,T9)=MAX(EA9,ED9,EH9,EK9),$DF$1)))))))))))))))))</f>
        <v/>
      </c>
      <c r="Y9" s="42">
        <v>9</v>
      </c>
      <c r="Z9" s="42">
        <v>5.5</v>
      </c>
      <c r="AA9" s="42">
        <v>9.1999999999999993</v>
      </c>
      <c r="AB9" s="42">
        <v>9.2850000000000001</v>
      </c>
      <c r="AC9" s="42">
        <v>0</v>
      </c>
      <c r="AD9" s="42">
        <v>14.8</v>
      </c>
      <c r="AE9" s="42">
        <v>9.6</v>
      </c>
      <c r="AF9" s="42">
        <v>15.2</v>
      </c>
      <c r="AG9" s="42">
        <v>15.2</v>
      </c>
      <c r="AH9" s="42">
        <v>0</v>
      </c>
      <c r="AI9" s="42">
        <v>14.5</v>
      </c>
      <c r="AJ9" s="42">
        <v>9</v>
      </c>
      <c r="AK9" s="42">
        <v>15.2</v>
      </c>
      <c r="AL9" s="42">
        <v>15.07</v>
      </c>
      <c r="AM9" s="42">
        <v>0</v>
      </c>
      <c r="AN9" s="51"/>
      <c r="AO9" s="74">
        <f>IF(AA9&gt;0,AA9,"")</f>
        <v>9.1999999999999993</v>
      </c>
      <c r="AP9" s="74">
        <f>IF(AB9&gt;0,AB9,"")</f>
        <v>9.2850000000000001</v>
      </c>
      <c r="AQ9" s="76">
        <f>IF(SUM(Y9:AB9)-AC9&gt;0,SUM(Y9:AB9)-AC9,"")</f>
        <v>32.984999999999999</v>
      </c>
      <c r="AR9" s="76">
        <f>IF(AF9&gt;0,AF9,"")</f>
        <v>15.2</v>
      </c>
      <c r="AS9" s="76">
        <f>IF(AG9&gt;0,AG9,"")</f>
        <v>15.2</v>
      </c>
      <c r="AT9" s="76">
        <f>IF(SUM(AD9:AG9)-AH9&gt;0,SUM(AD9:AG9)-AH9,"")</f>
        <v>54.8</v>
      </c>
      <c r="AU9" s="76">
        <f>IF(AQ9="","",MAX(AQ9,AT9))</f>
        <v>54.8</v>
      </c>
      <c r="AV9" s="76">
        <f>IF(AK9&gt;0,AK9,"")</f>
        <v>15.2</v>
      </c>
      <c r="AW9" s="76">
        <f>IF(AL9&gt;0,AL9,"")</f>
        <v>15.07</v>
      </c>
      <c r="AX9" s="76">
        <f>IF(SUM(AI9:AL9)-AM9&gt;0,SUM(AI9:AL9)-AM9,"")</f>
        <v>53.77</v>
      </c>
      <c r="AY9" s="76">
        <f>IF(SUM(AU9,AX9)&gt;0,SUM(AU9,AX9),"")</f>
        <v>108.57</v>
      </c>
      <c r="AZ9" s="46">
        <v>14.4</v>
      </c>
      <c r="BA9" s="46">
        <v>9</v>
      </c>
      <c r="BB9" s="46">
        <v>15.2</v>
      </c>
      <c r="BC9" s="46">
        <v>15.025</v>
      </c>
      <c r="BD9" s="46">
        <v>0</v>
      </c>
      <c r="BE9" s="46">
        <v>15.2</v>
      </c>
      <c r="BF9" s="46">
        <v>9.5</v>
      </c>
      <c r="BG9" s="46">
        <v>15.2</v>
      </c>
      <c r="BH9" s="46">
        <v>15.404999999999999</v>
      </c>
      <c r="BI9" s="46">
        <v>0</v>
      </c>
      <c r="BJ9" s="46">
        <v>14.7</v>
      </c>
      <c r="BK9" s="46">
        <v>9.3000000000000007</v>
      </c>
      <c r="BL9" s="46">
        <v>15.2</v>
      </c>
      <c r="BM9" s="46">
        <v>15.14</v>
      </c>
      <c r="BN9" s="46">
        <v>0</v>
      </c>
      <c r="BO9" s="52"/>
      <c r="BP9" s="75">
        <f>IF(BB9&gt;0,BB9,"")</f>
        <v>15.2</v>
      </c>
      <c r="BQ9" s="75">
        <f>IF(BC9&gt;0,BC9,"")</f>
        <v>15.025</v>
      </c>
      <c r="BR9" s="16">
        <f>IF(SUM(AZ9:BC9)-BD9&gt;0,SUM(AZ9:BC9)-BD9,"")</f>
        <v>53.624999999999993</v>
      </c>
      <c r="BS9" s="16">
        <f>IF(BG9&gt;0,BG9,"")</f>
        <v>15.2</v>
      </c>
      <c r="BT9" s="16">
        <f>IF(BH9&gt;0,BH9,"")</f>
        <v>15.404999999999999</v>
      </c>
      <c r="BU9" s="16">
        <f>IF(SUM(BE9:BH9)-BI9&gt;0,SUM(BE9:BH9)-BI9,"")</f>
        <v>55.305</v>
      </c>
      <c r="BV9" s="16">
        <f>IF(BR9="","",MAX(BR9,BU9))</f>
        <v>55.305</v>
      </c>
      <c r="BW9" s="16">
        <f>IF(BL9&gt;0,BL9,"")</f>
        <v>15.2</v>
      </c>
      <c r="BX9" s="16">
        <f>IF(BM9&gt;0,BM9,"")</f>
        <v>15.14</v>
      </c>
      <c r="BY9" s="16">
        <f>IF(SUM(BJ9:BM9)-BN9&gt;0,SUM(BJ9:BM9)-BN9,"")</f>
        <v>54.34</v>
      </c>
      <c r="BZ9" s="16">
        <f>IF(SUM(BV9,BY9)&gt;0,SUM(BV9,BY9),"")</f>
        <v>109.64500000000001</v>
      </c>
      <c r="CA9" s="42">
        <v>15.4</v>
      </c>
      <c r="CB9" s="42">
        <v>9.1</v>
      </c>
      <c r="CC9" s="42">
        <v>15.4</v>
      </c>
      <c r="CD9" s="42">
        <v>15.395</v>
      </c>
      <c r="CE9" s="42">
        <v>0</v>
      </c>
      <c r="CF9" s="42">
        <v>3</v>
      </c>
      <c r="CG9" s="42">
        <v>1.8</v>
      </c>
      <c r="CH9" s="42">
        <v>3.4</v>
      </c>
      <c r="CI9" s="42">
        <v>3.3</v>
      </c>
      <c r="CJ9" s="42">
        <v>0</v>
      </c>
      <c r="CK9" s="42">
        <v>11.6</v>
      </c>
      <c r="CL9" s="42">
        <v>7.1</v>
      </c>
      <c r="CM9" s="42">
        <v>12.3</v>
      </c>
      <c r="CN9" s="42">
        <v>12.595000000000001</v>
      </c>
      <c r="CO9" s="42">
        <v>0</v>
      </c>
      <c r="CP9" s="51"/>
      <c r="CQ9" s="74">
        <f>IF(CC9&gt;0,CC9,"")</f>
        <v>15.4</v>
      </c>
      <c r="CR9" s="74">
        <f>IF(CD9&gt;0,CD9,"")</f>
        <v>15.395</v>
      </c>
      <c r="CS9" s="76">
        <f>IF(SUM(CA9:CD9)-CE9&gt;0,SUM(CA9:CD9)-CE9,"")</f>
        <v>55.295000000000002</v>
      </c>
      <c r="CT9" s="76">
        <f>IF(CH9&gt;0,CH9,"")</f>
        <v>3.4</v>
      </c>
      <c r="CU9" s="76">
        <f>IF(CI9&gt;0,CI9,"")</f>
        <v>3.3</v>
      </c>
      <c r="CV9" s="76">
        <f>IF(SUM(CF9:CI9)-CJ9&gt;0,SUM(CF9:CI9)-CJ9,"")</f>
        <v>11.5</v>
      </c>
      <c r="CW9" s="76">
        <f>IF(CS9="","",MAX(CS9,CV9))</f>
        <v>55.295000000000002</v>
      </c>
      <c r="CX9" s="76">
        <f>IF(CM9&gt;0,CM9,"")</f>
        <v>12.3</v>
      </c>
      <c r="CY9" s="76">
        <f>IF(CN9&gt;0,CN9,"")</f>
        <v>12.595000000000001</v>
      </c>
      <c r="CZ9" s="76">
        <f>IF(SUM(CK9:CN9)-CO9&gt;0,SUM(CK9:CN9)-CO9,"")</f>
        <v>43.594999999999999</v>
      </c>
      <c r="DA9" s="76">
        <f>IF(SUM(CW9,CZ9)&gt;0,SUM(CW9,CZ9),"")</f>
        <v>98.89</v>
      </c>
      <c r="DB9" s="87" t="str">
        <f>IF(L9&gt;=0.001,IF(MAX(EF9,FN9,GV9,ID9,JL9,KT9,MB9,NJ9,OR9,PZ9,RH9,SP9)-IF(L9="",0,L9)&gt;0.001,MAX(EF9,FN9,GV9,ID9,JL9,KT9,MB9,NJ9,OR9,PZ9,RH9,SP9)-IF(L9="",0,L9),""),"")</f>
        <v/>
      </c>
      <c r="DC9" s="87" t="str">
        <f>IF(P9&gt;=0.001,IF(MAX(EI9,EL9,FQ9,FT9,GY9,HB9,IG9,IJ9,JO9,JR9,KW9,KZ9,ME9,MH9,NM9,NP9,OU9,OX9,QC9,QF9,RK9,RN9,SS9,SV9)-IF(P9="",0,P9)&gt;0.001,MAX(EI9,EL9,FQ9,FT9,GY9,HB9,IG9,IJ9,JO9,JR9,KW9,KZ9,ME9,MH9,NM9,NP9,OU9,OX9,QC9,QF9,RK9,RN9,SS9,SV9)-IF(P9="",0,P9),""),"")</f>
        <v/>
      </c>
      <c r="DD9" s="87" t="str">
        <f>IF(R9&gt;=0.001,IF(MAX(DZ9,EC9,EG9,EJ9,FH9,FK9,FO9,FR9,GP9,GS9,GW9,GZ9,HX9,IA9,IE9,IH9,JF9,JI9,JM9,JP9,KN9,KQ9,KU9,KX9,LV9,LY9,MC9,MF9,ND9,NG9,NK9,NN9,OL9,OO9,OS9,OV9,PT9,PW9,QA9,QD9,RB9,RE9,RI9,RL9,SJ9,SM9,SQ9,ST9)-IF(R9="",0,R9)&gt;0.001,MAX(DZ9,EC9,EG9,EJ9,FH9,FK9,FO9,FR9,GP9,GS9,GW9,GZ9,HX9,IA9,IE9,IH9,JF9,JI9,JM9,JP9,KN9,KQ9,KU9,KX9,LV9,LY9,MC9,MF9,ND9,NG9,NK9,NN9,OL9,OO9,OS9,OV9,PT9,PW9,QA9,QD9,RB9,RE9,RI9,RL9,SJ9,SM9,SQ9,ST9)-IF(R9="",0,R9),""),"")</f>
        <v/>
      </c>
      <c r="DE9" s="87" t="str">
        <f>IF(T9&gt;=0.001,IF(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&gt;0.001,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,""),"")</f>
        <v/>
      </c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76" t="str">
        <f>IF(DH9&gt;0,DH9,"")</f>
        <v/>
      </c>
      <c r="EA9" s="76" t="str">
        <f>IF(DI9&gt;0,DI9,"")</f>
        <v/>
      </c>
      <c r="EB9" s="76" t="str">
        <f>IF(SUM(DF9:DI9)-DJ9&gt;0,SUM(DF9:DI9)-DJ9,"")</f>
        <v/>
      </c>
      <c r="EC9" s="76" t="str">
        <f>IF(DM9&gt;0,DM9,"")</f>
        <v/>
      </c>
      <c r="ED9" s="76" t="str">
        <f>IF(DN9&gt;0,DN9,"")</f>
        <v/>
      </c>
      <c r="EE9" s="76" t="str">
        <f>IF(SUM(DK9:DN9)-DO9&gt;0,SUM(DK9:DN9)-DO9,"")</f>
        <v/>
      </c>
      <c r="EF9" s="76" t="str">
        <f>IF(MAX(EB9,EE9)&gt;0,MAX(EB9,EE9),"")</f>
        <v/>
      </c>
      <c r="EG9" s="76" t="str">
        <f>IF(DR9&gt;0,DR9,"")</f>
        <v/>
      </c>
      <c r="EH9" s="76" t="str">
        <f>IF(DS9&gt;0,DS9,"")</f>
        <v/>
      </c>
      <c r="EI9" s="76" t="str">
        <f>IF(SUM(DP9:DS9)-DT9&gt;0,SUM(DP9:DS9)-DT9,"")</f>
        <v/>
      </c>
      <c r="EJ9" s="76" t="str">
        <f>IF(DW9&gt;0,DW9,"")</f>
        <v/>
      </c>
      <c r="EK9" s="76" t="str">
        <f>IF(DX9&gt;0,DX9,"")</f>
        <v/>
      </c>
      <c r="EL9" s="76" t="str">
        <f>IF(SUM(DU9:DX9)-DY9&gt;0,SUM(DU9:DX9)-DY9,"")</f>
        <v/>
      </c>
      <c r="EM9" s="76" t="str">
        <f>IF(SUM(EF9,EL9)&gt;0,SUM(EF9,EL9),"")</f>
        <v/>
      </c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16" t="str">
        <f>IF(EP9&gt;0,EP9,"")</f>
        <v/>
      </c>
      <c r="FI9" s="16" t="str">
        <f>IF(EQ9&gt;0,EQ9,"")</f>
        <v/>
      </c>
      <c r="FJ9" s="16" t="str">
        <f>IF(SUM(EN9:EQ9)-ER9&gt;0,SUM(EN9:EQ9)-ER9,"")</f>
        <v/>
      </c>
      <c r="FK9" s="16" t="str">
        <f>IF(EU9&gt;0,EU9,"")</f>
        <v/>
      </c>
      <c r="FL9" s="16" t="str">
        <f>IF(EV9&gt;0,EV9,"")</f>
        <v/>
      </c>
      <c r="FM9" s="16" t="str">
        <f>IF(SUM(ES9:EV9)-EW9&gt;0,SUM(ES9:EV9)-EW9,"")</f>
        <v/>
      </c>
      <c r="FN9" s="16" t="str">
        <f>IF(MAX(FJ9,FM9)&gt;0,MAX(FJ9,FM9),"")</f>
        <v/>
      </c>
      <c r="FO9" s="16" t="str">
        <f>IF(EZ9&gt;0,EZ9,"")</f>
        <v/>
      </c>
      <c r="FP9" s="16" t="str">
        <f>IF(FA9&gt;0,FA9,"")</f>
        <v/>
      </c>
      <c r="FQ9" s="16" t="str">
        <f>IF(SUM(EX9:FA9)-FB9&gt;0,SUM(EX9:FA9)-FB9,"")</f>
        <v/>
      </c>
      <c r="FR9" s="16" t="str">
        <f>IF(FE9&gt;0,FE9,"")</f>
        <v/>
      </c>
      <c r="FS9" s="16" t="str">
        <f>IF(FF9&gt;0,FF9,"")</f>
        <v/>
      </c>
      <c r="FT9" s="16" t="str">
        <f>IF(SUM(FC9:FF9)-FG9&gt;0,SUM(FC9:FF9)-FG9,"")</f>
        <v/>
      </c>
      <c r="FU9" s="16" t="str">
        <f>IF(SUM(FN9,FT9)&gt;0,SUM(FN9,FT9),"")</f>
        <v/>
      </c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76" t="str">
        <f>IF(FX9&gt;0,FX9,"")</f>
        <v/>
      </c>
      <c r="GQ9" s="76" t="str">
        <f>IF(FY9&gt;0,FY9,"")</f>
        <v/>
      </c>
      <c r="GR9" s="76" t="str">
        <f>IF(SUM(FV9:FY9)-FZ9&gt;0,SUM(FV9:FY9)-FZ9,"")</f>
        <v/>
      </c>
      <c r="GS9" s="76" t="str">
        <f>IF(GC9&gt;0,GC9,"")</f>
        <v/>
      </c>
      <c r="GT9" s="76" t="str">
        <f>IF(GD9&gt;0,GD9,"")</f>
        <v/>
      </c>
      <c r="GU9" s="76" t="str">
        <f>IF(SUM(GA9:GD9)-GE9&gt;0,SUM(GA9:GD9)-GE9,"")</f>
        <v/>
      </c>
      <c r="GV9" s="76" t="str">
        <f>IF(MAX(GR9,GU9)&gt;0,MAX(GR9,GU9),"")</f>
        <v/>
      </c>
      <c r="GW9" s="76" t="str">
        <f>IF(GH9&gt;0,GH9,"")</f>
        <v/>
      </c>
      <c r="GX9" s="76" t="str">
        <f>IF(GI9&gt;0,GI9,"")</f>
        <v/>
      </c>
      <c r="GY9" s="76" t="str">
        <f>IF(SUM(GF9:GI9)-GJ9&gt;0,SUM(GF9:GI9)-GJ9,"")</f>
        <v/>
      </c>
      <c r="GZ9" s="76" t="str">
        <f>IF(GM9&gt;0,GM9,"")</f>
        <v/>
      </c>
      <c r="HA9" s="76" t="str">
        <f>IF(GN9&gt;0,GN9,"")</f>
        <v/>
      </c>
      <c r="HB9" s="76" t="str">
        <f>IF(SUM(GK9:GN9)-GO9&gt;0,SUM(GK9:GN9)-GO9,"")</f>
        <v/>
      </c>
      <c r="HC9" s="76" t="str">
        <f>IF(SUM(GV9,HB9)&gt;0,SUM(GV9,HB9),"")</f>
        <v/>
      </c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16" t="str">
        <f>IF(HF9&gt;0,HF9,"")</f>
        <v/>
      </c>
      <c r="HY9" s="16" t="str">
        <f>IF(HG9&gt;0,HG9,"")</f>
        <v/>
      </c>
      <c r="HZ9" s="16" t="str">
        <f>IF(SUM(HD9:HG9)-HH9&gt;0,SUM(HD9:HG9)-HH9,"")</f>
        <v/>
      </c>
      <c r="IA9" s="16" t="str">
        <f>IF(HK9&gt;0,HK9,"")</f>
        <v/>
      </c>
      <c r="IB9" s="16" t="str">
        <f>IF(HL9&gt;0,HL9,"")</f>
        <v/>
      </c>
      <c r="IC9" s="16" t="str">
        <f>IF(SUM(HI9:HL9)-HM9&gt;0,SUM(HI9:HL9)-HM9,"")</f>
        <v/>
      </c>
      <c r="ID9" s="16" t="str">
        <f>IF(MAX(HZ9,IC9)&gt;0,MAX(HZ9,IC9),"")</f>
        <v/>
      </c>
      <c r="IE9" s="16" t="str">
        <f>IF(HP9&gt;0,HP9,"")</f>
        <v/>
      </c>
      <c r="IF9" s="16" t="str">
        <f>IF(HQ9&gt;0,HQ9,"")</f>
        <v/>
      </c>
      <c r="IG9" s="16" t="str">
        <f>IF(SUM(HN9:HQ9)-HR9&gt;0,SUM(HN9:HQ9)-HR9,"")</f>
        <v/>
      </c>
      <c r="IH9" s="16" t="str">
        <f>IF(HU9&gt;0,HU9,"")</f>
        <v/>
      </c>
      <c r="II9" s="16" t="str">
        <f>IF(HV9&gt;0,HV9,"")</f>
        <v/>
      </c>
      <c r="IJ9" s="16" t="str">
        <f>IF(SUM(HS9:HV9)-HW9&gt;0,SUM(HS9:HV9)-HW9,"")</f>
        <v/>
      </c>
      <c r="IK9" s="16" t="str">
        <f>IF(SUM(ID9,IJ9)&gt;0,SUM(ID9,IJ9),"")</f>
        <v/>
      </c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76" t="str">
        <f>IF(IN9&gt;0,IN9,"")</f>
        <v/>
      </c>
      <c r="JG9" s="76" t="str">
        <f>IF(IO9&gt;0,IO9,"")</f>
        <v/>
      </c>
      <c r="JH9" s="76" t="str">
        <f>IF(SUM(IL9:IO9)-IP9&gt;0,SUM(IL9:IO9)-IP9,"")</f>
        <v/>
      </c>
      <c r="JI9" s="76" t="str">
        <f>IF(IS9&gt;0,IS9,"")</f>
        <v/>
      </c>
      <c r="JJ9" s="76" t="str">
        <f>IF(IT9&gt;0,IT9,"")</f>
        <v/>
      </c>
      <c r="JK9" s="76" t="str">
        <f>IF(SUM(IQ9:IT9)-IU9&gt;0,SUM(IQ9:IT9)-IU9,"")</f>
        <v/>
      </c>
      <c r="JL9" s="76" t="str">
        <f>IF(MAX(JH9,JK9)&gt;0,MAX(JH9,JK9),"")</f>
        <v/>
      </c>
      <c r="JM9" s="76" t="str">
        <f>IF(IX9&gt;0,IX9,"")</f>
        <v/>
      </c>
      <c r="JN9" s="76" t="str">
        <f>IF(IY9&gt;0,IY9,"")</f>
        <v/>
      </c>
      <c r="JO9" s="76" t="str">
        <f>IF(SUM(IV9:IY9)-IZ9&gt;0,SUM(IV9:IY9)-IZ9,"")</f>
        <v/>
      </c>
      <c r="JP9" s="76" t="str">
        <f>IF(JC9&gt;0,JC9,"")</f>
        <v/>
      </c>
      <c r="JQ9" s="76" t="str">
        <f>IF(JD9&gt;0,JD9,"")</f>
        <v/>
      </c>
      <c r="JR9" s="76" t="str">
        <f>IF(SUM(JA9:JD9)-JE9&gt;0,SUM(JA9:JD9)-JE9,"")</f>
        <v/>
      </c>
      <c r="JS9" s="76" t="str">
        <f>IF(SUM(JL9,JR9)&gt;0,SUM(JL9,JR9),"")</f>
        <v/>
      </c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16" t="str">
        <f>IF(JV9&gt;0,JV9,"")</f>
        <v/>
      </c>
      <c r="KO9" s="16" t="str">
        <f>IF(JW9&gt;0,JW9,"")</f>
        <v/>
      </c>
      <c r="KP9" s="16" t="str">
        <f>IF(SUM(JT9:JW9)-JX9&gt;0,SUM(JT9:JW9)-JX9,"")</f>
        <v/>
      </c>
      <c r="KQ9" s="16" t="str">
        <f>IF(KA9&gt;0,KA9,"")</f>
        <v/>
      </c>
      <c r="KR9" s="16" t="str">
        <f>IF(KB9&gt;0,KB9,"")</f>
        <v/>
      </c>
      <c r="KS9" s="16" t="str">
        <f>IF(SUM(JY9:KB9)-KC9&gt;0,SUM(JY9:KB9)-KC9,"")</f>
        <v/>
      </c>
      <c r="KT9" s="16" t="str">
        <f>IF(MAX(KP9,KS9)&gt;0,MAX(KP9,KS9),"")</f>
        <v/>
      </c>
      <c r="KU9" s="16" t="str">
        <f>IF(KF9&gt;0,KF9,"")</f>
        <v/>
      </c>
      <c r="KV9" s="16" t="str">
        <f>IF(KG9&gt;0,KG9,"")</f>
        <v/>
      </c>
      <c r="KW9" s="16" t="str">
        <f>IF(SUM(KD9:KG9)-KH9&gt;0,SUM(KD9:KG9)-KH9,"")</f>
        <v/>
      </c>
      <c r="KX9" s="16" t="str">
        <f>IF(KK9&gt;0,KK9,"")</f>
        <v/>
      </c>
      <c r="KY9" s="16" t="str">
        <f>IF(KL9&gt;0,KL9,"")</f>
        <v/>
      </c>
      <c r="KZ9" s="16" t="str">
        <f>IF(SUM(KI9:KL9)-KM9&gt;0,SUM(KI9:KL9)-KM9,"")</f>
        <v/>
      </c>
      <c r="LA9" s="16" t="str">
        <f>IF(SUM(KT9,KZ9)&gt;0,SUM(KT9,KZ9),"")</f>
        <v/>
      </c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76" t="str">
        <f>IF(LD9&gt;0,LD9,"")</f>
        <v/>
      </c>
      <c r="LW9" s="76" t="str">
        <f>IF(LE9&gt;0,LE9,"")</f>
        <v/>
      </c>
      <c r="LX9" s="76" t="str">
        <f>IF(SUM(LB9:LE9)-LF9&gt;0,SUM(LB9:LE9)-LF9,"")</f>
        <v/>
      </c>
      <c r="LY9" s="76" t="str">
        <f>IF(LI9&gt;0,LI9,"")</f>
        <v/>
      </c>
      <c r="LZ9" s="76" t="str">
        <f>IF(LJ9&gt;0,LJ9,"")</f>
        <v/>
      </c>
      <c r="MA9" s="76" t="str">
        <f>IF(SUM(LG9:LJ9)-LK9&gt;0,SUM(LG9:LJ9)-LK9,"")</f>
        <v/>
      </c>
      <c r="MB9" s="76" t="str">
        <f>IF(MAX(LX9,MA9)&gt;0,MAX(LX9,MA9),"")</f>
        <v/>
      </c>
      <c r="MC9" s="76" t="str">
        <f>IF(LN9&gt;0,LN9,"")</f>
        <v/>
      </c>
      <c r="MD9" s="76" t="str">
        <f>IF(LO9&gt;0,LO9,"")</f>
        <v/>
      </c>
      <c r="ME9" s="76" t="str">
        <f>IF(SUM(LL9:LO9)-LP9&gt;0,SUM(LL9:LO9)-LP9,"")</f>
        <v/>
      </c>
      <c r="MF9" s="76" t="str">
        <f>IF(LS9&gt;0,LS9,"")</f>
        <v/>
      </c>
      <c r="MG9" s="76" t="str">
        <f>IF(LT9&gt;0,LT9,"")</f>
        <v/>
      </c>
      <c r="MH9" s="76" t="str">
        <f>IF(SUM(LQ9:LT9)-LU9&gt;0,SUM(LQ9:LT9)-LU9,"")</f>
        <v/>
      </c>
      <c r="MI9" s="76" t="str">
        <f>IF(SUM(MB9,MH9)&gt;0,SUM(MB9,MH9),"")</f>
        <v/>
      </c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16" t="str">
        <f>IF(ML9&gt;0,ML9,"")</f>
        <v/>
      </c>
      <c r="NE9" s="16" t="str">
        <f>IF(MM9&gt;0,MM9,"")</f>
        <v/>
      </c>
      <c r="NF9" s="16" t="str">
        <f>IF(SUM(MJ9:MM9)-MN9&gt;0,SUM(MJ9:MM9)-MN9,"")</f>
        <v/>
      </c>
      <c r="NG9" s="16" t="str">
        <f>IF(MQ9&gt;0,MQ9,"")</f>
        <v/>
      </c>
      <c r="NH9" s="16" t="str">
        <f>IF(MR9&gt;0,MR9,"")</f>
        <v/>
      </c>
      <c r="NI9" s="16" t="str">
        <f>IF(SUM(MO9:MR9)-MS9&gt;0,SUM(MO9:MR9)-MS9,"")</f>
        <v/>
      </c>
      <c r="NJ9" s="16" t="str">
        <f>IF(MAX(NF9,NI9)&gt;0,MAX(NF9,NI9),"")</f>
        <v/>
      </c>
      <c r="NK9" s="16" t="str">
        <f>IF(MV9&gt;0,MV9,"")</f>
        <v/>
      </c>
      <c r="NL9" s="16" t="str">
        <f>IF(MW9&gt;0,MW9,"")</f>
        <v/>
      </c>
      <c r="NM9" s="16" t="str">
        <f>IF(SUM(MT9:MW9)-MX9&gt;0,SUM(MT9:MW9)-MX9,"")</f>
        <v/>
      </c>
      <c r="NN9" s="16" t="str">
        <f>IF(NA9&gt;0,NA9,"")</f>
        <v/>
      </c>
      <c r="NO9" s="16" t="str">
        <f>IF(NB9&gt;0,NB9,"")</f>
        <v/>
      </c>
      <c r="NP9" s="16" t="str">
        <f>IF(SUM(MY9:NB9)-NC9&gt;0,SUM(MY9:NB9)-NC9,"")</f>
        <v/>
      </c>
      <c r="NQ9" s="16" t="str">
        <f>IF(SUM(NJ9,NP9)&gt;0,SUM(NJ9,NP9),"")</f>
        <v/>
      </c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76" t="str">
        <f>IF(NT9&gt;0,NT9,"")</f>
        <v/>
      </c>
      <c r="OM9" s="76" t="str">
        <f>IF(NU9&gt;0,NU9,"")</f>
        <v/>
      </c>
      <c r="ON9" s="76" t="str">
        <f>IF(SUM(NR9:NU9)-NV9&gt;0,SUM(NR9:NU9)-NV9,"")</f>
        <v/>
      </c>
      <c r="OO9" s="76" t="str">
        <f>IF(NY9&gt;0,NY9,"")</f>
        <v/>
      </c>
      <c r="OP9" s="76" t="str">
        <f>IF(NZ9&gt;0,NZ9,"")</f>
        <v/>
      </c>
      <c r="OQ9" s="76" t="str">
        <f>IF(SUM(NW9:NZ9)-OA9&gt;0,SUM(NW9:NZ9)-OA9,"")</f>
        <v/>
      </c>
      <c r="OR9" s="76" t="str">
        <f>IF(MAX(ON9,OQ9)&gt;0,MAX(ON9,OQ9),"")</f>
        <v/>
      </c>
      <c r="OS9" s="76" t="str">
        <f>IF(OD9&gt;0,OD9,"")</f>
        <v/>
      </c>
      <c r="OT9" s="76" t="str">
        <f>IF(OE9&gt;0,OE9,"")</f>
        <v/>
      </c>
      <c r="OU9" s="76" t="str">
        <f>IF(SUM(OB9:OE9)-OF9&gt;0,SUM(OB9:OE9)-OF9,"")</f>
        <v/>
      </c>
      <c r="OV9" s="76" t="str">
        <f>IF(OI9&gt;0,OI9,"")</f>
        <v/>
      </c>
      <c r="OW9" s="76" t="str">
        <f>IF(OJ9&gt;0,OJ9,"")</f>
        <v/>
      </c>
      <c r="OX9" s="76" t="str">
        <f>IF(SUM(OG9:OJ9)-OK9&gt;0,SUM(OG9:OJ9)-OK9,"")</f>
        <v/>
      </c>
      <c r="OY9" s="76" t="str">
        <f>IF(SUM(OR9,OX9)&gt;0,SUM(OR9,OX9),"")</f>
        <v/>
      </c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16" t="str">
        <f>IF(PB9&gt;0,PB9,"")</f>
        <v/>
      </c>
      <c r="PU9" s="16" t="str">
        <f>IF(PC9&gt;0,PC9,"")</f>
        <v/>
      </c>
      <c r="PV9" s="16" t="str">
        <f>IF(SUM(OZ9:PC9)-PD9&gt;0,SUM(OZ9:PC9)-PD9,"")</f>
        <v/>
      </c>
      <c r="PW9" s="16" t="str">
        <f>IF(PG9&gt;0,PG9,"")</f>
        <v/>
      </c>
      <c r="PX9" s="16" t="str">
        <f>IF(PH9&gt;0,PH9,"")</f>
        <v/>
      </c>
      <c r="PY9" s="16" t="str">
        <f>IF(SUM(PE9:PH9)-PI9&gt;0,SUM(PE9:PH9)-PI9,"")</f>
        <v/>
      </c>
      <c r="PZ9" s="16" t="str">
        <f>IF(MAX(PV9,PY9)&gt;0,MAX(PV9,PY9),"")</f>
        <v/>
      </c>
      <c r="QA9" s="16" t="str">
        <f>IF(PL9&gt;0,PL9,"")</f>
        <v/>
      </c>
      <c r="QB9" s="16" t="str">
        <f>IF(PM9&gt;0,PM9,"")</f>
        <v/>
      </c>
      <c r="QC9" s="16" t="str">
        <f>IF(SUM(PJ9:PM9)-PN9&gt;0,SUM(PJ9:PM9)-PN9,"")</f>
        <v/>
      </c>
      <c r="QD9" s="16" t="str">
        <f>IF(PQ9&gt;0,PQ9,"")</f>
        <v/>
      </c>
      <c r="QE9" s="16" t="str">
        <f>IF(PR9&gt;0,PR9,"")</f>
        <v/>
      </c>
      <c r="QF9" s="16" t="str">
        <f>IF(SUM(PO9:PR9)-PS9&gt;0,SUM(PO9:PR9)-PS9,"")</f>
        <v/>
      </c>
      <c r="QG9" s="16" t="str">
        <f>IF(SUM(PZ9,QF9)&gt;0,SUM(PZ9,QF9),"")</f>
        <v/>
      </c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76" t="str">
        <f>IF(QJ9&gt;0,QJ9,"")</f>
        <v/>
      </c>
      <c r="RC9" s="76" t="str">
        <f>IF(QK9&gt;0,QK9,"")</f>
        <v/>
      </c>
      <c r="RD9" s="76" t="str">
        <f>IF(SUM(QH9:QK9)-QL9&gt;0,SUM(QH9:QK9)-QL9,"")</f>
        <v/>
      </c>
      <c r="RE9" s="76" t="str">
        <f>IF(QO9&gt;0,QO9,"")</f>
        <v/>
      </c>
      <c r="RF9" s="76" t="str">
        <f>IF(QP9&gt;0,QP9,"")</f>
        <v/>
      </c>
      <c r="RG9" s="76" t="str">
        <f>IF(SUM(QM9:QP9)-QQ9&gt;0,SUM(QM9:QP9)-QQ9,"")</f>
        <v/>
      </c>
      <c r="RH9" s="76" t="str">
        <f>IF(MAX(RD9,RG9)&gt;0,MAX(RD9,RG9),"")</f>
        <v/>
      </c>
      <c r="RI9" s="76" t="str">
        <f>IF(QT9&gt;0,QT9,"")</f>
        <v/>
      </c>
      <c r="RJ9" s="76" t="str">
        <f>IF(QU9&gt;0,QU9,"")</f>
        <v/>
      </c>
      <c r="RK9" s="76" t="str">
        <f>IF(SUM(QR9:QU9)-QV9&gt;0,SUM(QR9:QU9)-QV9,"")</f>
        <v/>
      </c>
      <c r="RL9" s="76" t="str">
        <f>IF(QY9&gt;0,QY9,"")</f>
        <v/>
      </c>
      <c r="RM9" s="76" t="str">
        <f>IF(QZ9&gt;0,QZ9,"")</f>
        <v/>
      </c>
      <c r="RN9" s="76" t="str">
        <f>IF(SUM(QW9:QZ9)-RA9&gt;0,SUM(QW9:QZ9)-RA9,"")</f>
        <v/>
      </c>
      <c r="RO9" s="76" t="str">
        <f>IF(SUM(RH9,RN9)&gt;0,SUM(RH9,RN9),"")</f>
        <v/>
      </c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16" t="str">
        <f>IF(RR9&gt;0,RR9,"")</f>
        <v/>
      </c>
      <c r="SK9" s="16" t="str">
        <f>IF(RS9&gt;0,RS9,"")</f>
        <v/>
      </c>
      <c r="SL9" s="16" t="str">
        <f>IF(SUM(RP9:RS9)-RT9&gt;0,SUM(RP9:RS9)-RT9,"")</f>
        <v/>
      </c>
      <c r="SM9" s="16" t="str">
        <f>IF(RW9&gt;0,RW9,"")</f>
        <v/>
      </c>
      <c r="SN9" s="16" t="str">
        <f>IF(RX9&gt;0,RX9,"")</f>
        <v/>
      </c>
      <c r="SO9" s="16" t="str">
        <f>IF(SUM(RU9:RX9)-RY9&gt;0,SUM(RU9:RX9)-RY9,"")</f>
        <v/>
      </c>
      <c r="SP9" s="16" t="str">
        <f>IF(MAX(SL9,SO9)&gt;0,MAX(SL9,SO9),"")</f>
        <v/>
      </c>
      <c r="SQ9" s="16" t="str">
        <f>IF(SB9&gt;0,SB9,"")</f>
        <v/>
      </c>
      <c r="SR9" s="16" t="str">
        <f>IF(SC9&gt;0,SC9,"")</f>
        <v/>
      </c>
      <c r="SS9" s="16" t="str">
        <f>IF(SUM(RZ9:SC9)-SD9&gt;0,SUM(RZ9:SC9)-SD9,"")</f>
        <v/>
      </c>
      <c r="ST9" s="16" t="str">
        <f>IF(SG9&gt;0,SG9,"")</f>
        <v/>
      </c>
      <c r="SU9" s="16" t="str">
        <f>IF(SH9&gt;0,SH9,"")</f>
        <v/>
      </c>
      <c r="SV9" s="16" t="str">
        <f>IF(SUM(SE9:SH9)-SI9&gt;0,SUM(SE9:SH9)-SI9,"")</f>
        <v/>
      </c>
      <c r="SW9" s="16" t="str">
        <f>IF(SUM(SP9,SV9)&gt;0,SUM(SP9,SV9),"")</f>
        <v/>
      </c>
      <c r="SX9" s="42">
        <f>IF($CP9="P",CA9,(CA9+AZ9)/2)</f>
        <v>14.9</v>
      </c>
      <c r="SY9" s="42">
        <f>IF($CP9="P",CB9,(CB9+BA9)/2)</f>
        <v>9.0500000000000007</v>
      </c>
      <c r="SZ9" s="42">
        <f>IF($CP9="P",CC9,(CC9+BB9)/2)</f>
        <v>15.3</v>
      </c>
      <c r="TA9" s="42">
        <f>IF($CP9="P",CD9,(CD9+BC9)/2)</f>
        <v>15.21</v>
      </c>
      <c r="TB9" s="42">
        <f>IF($CP9="P",CE9,(CE9+BD9)/2)</f>
        <v>0</v>
      </c>
      <c r="TC9" s="42">
        <f>IF($CP9="P",CF9,(CF9+BE9)/2)</f>
        <v>9.1</v>
      </c>
      <c r="TD9" s="42">
        <f>IF($CP9="P",CG9,(CG9+BF9)/2)</f>
        <v>5.65</v>
      </c>
      <c r="TE9" s="42">
        <f>IF($CP9="P",CH9,(CH9+BG9)/2)</f>
        <v>9.2999999999999989</v>
      </c>
      <c r="TF9" s="42">
        <f>IF($CP9="P",CI9,(CI9+BH9)/2)</f>
        <v>9.3524999999999991</v>
      </c>
      <c r="TG9" s="42">
        <f>IF($CP9="P",CJ9,(CJ9+BI9)/2)</f>
        <v>0</v>
      </c>
      <c r="TH9" s="42">
        <f>IF($CP9="P",CK9,(CK9+BJ9)/2)</f>
        <v>13.149999999999999</v>
      </c>
      <c r="TI9" s="42">
        <f>IF($CP9="P",CL9,(CL9+BK9)/2)</f>
        <v>8.1999999999999993</v>
      </c>
      <c r="TJ9" s="42">
        <f>IF($CP9="P",CM9,(CM9+BL9)/2)</f>
        <v>13.75</v>
      </c>
      <c r="TK9" s="42">
        <f>IF($CP9="P",CN9,(CN9+BM9)/2)</f>
        <v>13.8675</v>
      </c>
      <c r="TL9" s="42">
        <f>IF($CP9="P",CO9,(CO9+BN9)/2)</f>
        <v>0</v>
      </c>
      <c r="TM9" s="51" t="s">
        <v>61</v>
      </c>
      <c r="TN9" s="76">
        <f>IF(SZ9&gt;0,SZ9,"")</f>
        <v>15.3</v>
      </c>
      <c r="TO9" s="76">
        <f>IF(TA9&gt;0,TA9,"")</f>
        <v>15.21</v>
      </c>
      <c r="TP9" s="76">
        <f>IF(SUM(SX9:TA9)-TB9&gt;0,SUM(SX9:TA9)-TB9,"")</f>
        <v>54.46</v>
      </c>
      <c r="TQ9" s="76">
        <f>IF(TE9&gt;0,TE9,"")</f>
        <v>9.2999999999999989</v>
      </c>
      <c r="TR9" s="76">
        <f>IF(TF9&gt;0,TF9,"")</f>
        <v>9.3524999999999991</v>
      </c>
      <c r="TS9" s="76">
        <f>IF(SUM(TC9:TF9)-TG9&gt;0,SUM(TC9:TF9)-TG9,"")</f>
        <v>33.402499999999996</v>
      </c>
      <c r="TT9" s="76">
        <f>IF(MAX(TP9,TS9)&gt;0,MAX(TP9,TS9),"")</f>
        <v>54.46</v>
      </c>
      <c r="TU9" s="76">
        <f>IF(TJ9&gt;0,TJ9,"")</f>
        <v>13.75</v>
      </c>
      <c r="TV9" s="76">
        <f>IF(TK9&gt;0,TK9,"")</f>
        <v>13.8675</v>
      </c>
      <c r="TW9" s="76">
        <f>IF(SUM(TH9:TK9)-TL9&gt;0,SUM(TH9:TK9)-TL9,"")</f>
        <v>48.967499999999994</v>
      </c>
      <c r="TX9" s="76">
        <f>IF(SUM(TT9,TW9)&gt;0,SUM(TT9,TW9),"")</f>
        <v>103.42749999999999</v>
      </c>
    </row>
    <row r="10" spans="1:544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67</v>
      </c>
      <c r="C10" s="7" t="s">
        <v>9</v>
      </c>
      <c r="D10" s="7">
        <v>2001</v>
      </c>
      <c r="E10" s="14">
        <f>SUM(J10:V10)+SUM(J10:T10)*0.0000001+SUM(J10)*0.0000000000001</f>
        <v>242.56752365850579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Z10&gt;=EM$25,DZ10&lt;&gt;"",EB10&gt;=EM$29,EB10&lt;&gt;""),AND(EC10&gt;=EM$25,EC10&lt;&gt;"",EE10&gt;=EM$29,EE10&lt;&gt;""),AND(EG10&gt;=EM$25,EG10&lt;&gt;"",EI10&gt;=EM$29,EI10&lt;&gt;""),AND(EJ10&gt;=EM$25,EJ10&lt;&gt;"",EL10&gt;=EM$29,EL10&lt;&gt;""),AND(FH10&gt;=FU$25,FH10&lt;&gt;"",FJ10&gt;=FU$29,FJ10&lt;&gt;""),AND(FK10&gt;=FU$25,FK10&lt;&gt;"",FM10&gt;=FU$29,FM10&lt;&gt;""),AND(FO10&gt;=FU$25,FO10&lt;&gt;"",FQ10&gt;=FU$29,FQ10&lt;&gt;""),AND(FR10&gt;=FU$25,FR10&lt;&gt;"",FT10&gt;=FU$29,FT10&lt;&gt;""),AND(GP10&gt;=HC$25,GP10&lt;&gt;"",GR10&gt;=HC$29,GR10&lt;&gt;""),AND(GS10&gt;=HC$25,GS10&lt;&gt;"",GU10&gt;=HC$29,GU10&lt;&gt;""),AND(GW10&gt;=HC$25,GW10&lt;&gt;"",GY10&gt;=HC$29,GY10&lt;&gt;""),AND(GZ10&gt;=HC$25,GZ10&lt;&gt;"",HB10&gt;=HC$29,HB10&lt;&gt;""),AND(HX10&gt;=IK$25,HX10&lt;&gt;"",HZ10&gt;=IK$29,HZ10&lt;&gt;""),AND(IA10&gt;=IK$25,IA10&lt;&gt;"",IC10&gt;=IK$29,IC10&lt;&gt;""),AND(IE10&gt;=IK$25,IE10&lt;&gt;"",IG10&gt;=IK$29,IG10&lt;&gt;""),AND(IH10&gt;=IK$25,IH10&lt;&gt;"",IJ10&gt;=IK$29,IJ10&lt;&gt;""),AND(JF10&gt;=JS$25,JF10&lt;&gt;"",JH10&gt;=JS$29,JH10&lt;&gt;""),AND(JI10&gt;=JS$25,JI10&lt;&gt;"",JK10&gt;=JS$29,JK10&lt;&gt;""),AND(JM10&gt;=JS$25,JM10&lt;&gt;"",JO10&gt;=JS$29,JO10&lt;&gt;""),AND(JP10&gt;=JS$25,JP10&lt;&gt;"",JR10&gt;=JS$29,JR10&lt;&gt;""),AND(KN10&gt;=LA$25,KN10&lt;&gt;"",KP10&gt;=LA$29,KP10&lt;&gt;""),AND(KQ10&gt;=LA$25,KQ10&lt;&gt;"",KS10&gt;=LA$29,KS10&lt;&gt;""),AND(KU10&gt;=LA$25,KU10&lt;&gt;"",KW10&gt;=LA$29,KW10&lt;&gt;""),AND(KX10&gt;=LA$25,KX10&lt;&gt;"",KZ10&gt;=LA$29,KZ10&lt;&gt;""),AND(LV10&gt;=MI$25,LV10&lt;&gt;"",LX10&gt;=MI$29,LX10&lt;&gt;""),AND(LY10&gt;=MI$25,LY10&lt;&gt;"",MA10&gt;=MI$29,MA10&lt;&gt;""),AND(MC10&gt;=MI$25,MC10&lt;&gt;"",ME10&gt;=MI$29,ME10&lt;&gt;""),AND(MF10&gt;=MI$25,MF10&lt;&gt;"",MH10&gt;=MI$29,MH10&lt;&gt;""),AND(ND10&gt;=NQ$25,ND10&lt;&gt;"",NF10&gt;=NQ$29,NF10&lt;&gt;""),AND(NG10&gt;=NQ$25,NG10&lt;&gt;"",NI10&gt;=NQ$29,NI10&lt;&gt;""),AND(NK10&gt;=NQ$25,NK10&lt;&gt;"",NM10&gt;=NQ$29,NM10&lt;&gt;""),AND(NN10&gt;=NQ$25,NN10&lt;&gt;"",NP10&gt;=NQ$29,NP10&lt;&gt;""),AND(OL10&gt;=OY$25,OL10&lt;&gt;"",ON10&gt;=OY$29,ON10&lt;&gt;""),AND(OO10&gt;=OY$25,OO10&lt;&gt;"",OQ10&gt;=OY$29,OQ10&lt;&gt;""),AND(OS10&gt;=OY$25,OS10&lt;&gt;"",OU10&gt;=OY$29,OU10&lt;&gt;""),AND(OV10&gt;=OY$25,OV10&lt;&gt;"",OX10&gt;=OY$29,OX10&lt;&gt;""),AND(PT10&gt;=QG$25,PT10&lt;&gt;"",PV10&gt;=QG$29,PV10&lt;&gt;""),AND(PW10&gt;=QG$25,PW10&lt;&gt;"",PY10&gt;=QG$29,PY10&lt;&gt;""),AND(QA10&gt;=QG$25,QA10&lt;&gt;"",QC10&gt;=QG$29,QC10&lt;&gt;""),AND(QD10&gt;=QG$25,QD10&lt;&gt;"",QF10&gt;=QG$29,QF10&lt;&gt;""),AND(RB10&gt;=RO$25,RB10&lt;&gt;"",RD10&gt;=RO$29,RD10&lt;&gt;""),AND(RE10&gt;=RO$25,RE10&lt;&gt;"",RG10&gt;=RO$29,RG10&lt;&gt;""),AND(RI10&gt;=RO$25,RI10&lt;&gt;"",RK10&gt;=RO$29,RK10&lt;&gt;""),AND(RL10&gt;=RO$25,RL10&lt;&gt;"",RN10&gt;=RO$29,RN10&lt;&gt;""),AND(SJ10&gt;=SW$25,SJ10&lt;&gt;"",SL10&gt;=SW$29,SL10&lt;&gt;""),AND(SM10&gt;=SW$25,SM10&lt;&gt;"",SO10&gt;=SW$29,SO10&lt;&gt;""),AND(SQ10&gt;=SW$25,SQ10&lt;&gt;"",SS10&gt;=SW$29,SS10&lt;&gt;""),AND(ST10&gt;=SW$25,ST10&lt;&gt;"",SV10&gt;=SW$29,SV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EB10&gt;=EM$29,EB10&lt;&gt;""),AND(EE10&gt;=EM$29,EE10&lt;&gt;""),AND(EI10&gt;=EM$29,EI10&lt;&gt;""),AND(EL10&gt;=EM$29,EL10&lt;&gt;""),AND(FJ10&gt;=FU$29,FJ10&lt;&gt;""),AND(FM10&gt;=FU$29,FM10&lt;&gt;""),AND(FQ10&gt;=FU$29,FQ10&lt;&gt;""),AND(FT10&gt;=FU$29,FT10&lt;&gt;""),AND(GR10&gt;=HC$29,GR10&lt;&gt;""),AND(GU10&gt;=HC$29,GU10&lt;&gt;""),AND(GY10&gt;=HC$29,GY10&lt;&gt;""),AND(HB10&gt;=HC$29,HB10&lt;&gt;""),AND(HZ10&gt;=IK$29,HZ10&lt;&gt;""),AND(IC10&gt;=IK$29,IC10&lt;&gt;""),AND(IG10&gt;=IK$29,IG10&lt;&gt;""),AND(IJ10&gt;=IK$29,IJ10&lt;&gt;""),AND(JH10&gt;=JS$29,JH10&lt;&gt;""),AND(JK10&gt;=JS$29,JK10&lt;&gt;""),AND(JO10&gt;=JS$29,JO10&lt;&gt;""),AND(JR10&gt;=JS$29,JR10&lt;&gt;""),AND(KP10&gt;=LA$29,KP10&lt;&gt;""),AND(KS10&gt;=LA$29,KS10&lt;&gt;""),AND(KW10&gt;=LA$29,KW10&lt;&gt;""),AND(KZ10&gt;=LA$29,KZ10&lt;&gt;""),AND(LX10&gt;=MI$29,LX10&lt;&gt;""),AND(MA10&gt;=MI$29,MA10&lt;&gt;""),AND(ME10&gt;=MI$29,ME10&lt;&gt;""),AND(MH10&gt;=MI$29,MH10&lt;&gt;""),AND(NF10&gt;=NQ$29,NF10&lt;&gt;""),AND(NI10&gt;=NQ$29,NI10&lt;&gt;""),AND(NM10&gt;=NQ$29,NM10&lt;&gt;""),AND(NP10&gt;=NQ$29,NP10&lt;&gt;""),AND(ON10&gt;=OY$29,ON10&lt;&gt;""),AND(OQ10&gt;=OY$29,OQ10&lt;&gt;""),AND(OU10&gt;=OY$29,OU10&lt;&gt;""),AND(OX10&gt;=OY$29,OX10&lt;&gt;""),AND(PV10&gt;=QG$29,PV10&lt;&gt;""),AND(PY10&gt;=QG$29,PY10&lt;&gt;""),AND(QC10&gt;=QG$29,QC10&lt;&gt;""),AND(QF10&gt;=QG$29,QF10&lt;&gt;""),AND(RD10&gt;=RO$29,RD10&lt;&gt;""),AND(RG10&gt;=RO$29,RG10&lt;&gt;""),AND(RK10&gt;=RO$29,RK10&lt;&gt;""),AND(RN10&gt;=RO$29,RN10&lt;&gt;""),AND(SL10&gt;=SW$29,SL10&lt;&gt;""),AND(SO10&gt;=SW$29,SO10&lt;&gt;""),AND(SS10&gt;=SW$29,SS10&lt;&gt;""),AND(SV10&gt;=SW$29,SV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Z10&gt;=EM$28,DZ10&lt;&gt;"",EB10&gt;=EM$32,EB10&lt;&gt;""),AND(EC10&gt;=EM$28,EC10&lt;&gt;"",EE10&gt;=EM$32,EE10&lt;&gt;""),AND(EG10&gt;=EM$28,EG10&lt;&gt;"",EI10&gt;=EM$32,EI10&lt;&gt;""),AND(EJ10&gt;=EM$28,EJ10&lt;&gt;"",EL10&gt;=EM$32,EL10&lt;&gt;""),AND(FH10&gt;=FU$28,FH10&lt;&gt;"",FJ10&gt;=FU$32,FJ10&lt;&gt;""),AND(FK10&gt;=FU$28,FK10&lt;&gt;"",FM10&gt;=FU$32,FM10&lt;&gt;""),AND(FO10&gt;=FU$28,FO10&lt;&gt;"",FQ10&gt;=FU$32,FQ10&lt;&gt;""),AND(FR10&gt;=FU$28,FR10&lt;&gt;"",FT10&gt;=FU$32,FT10&lt;&gt;""),AND(GP10&gt;=HC$28,GP10&lt;&gt;"",GR10&gt;=HC$32,GR10&lt;&gt;""),AND(GS10&gt;=HC$28,GS10&lt;&gt;"",GU10&gt;=HC$32,GU10&lt;&gt;""),AND(GW10&gt;=HC$28,GW10&lt;&gt;"",GY10&gt;=HC$32,GY10&lt;&gt;""),AND(GZ10&gt;=HC$28,GZ10&lt;&gt;"",HB10&gt;=HC$32,HB10&lt;&gt;""),AND(HX10&gt;=IK$28,HX10&lt;&gt;"",HZ10&gt;=IK$32,HZ10&lt;&gt;""),AND(IA10&gt;=IK$28,IA10&lt;&gt;"",IC10&gt;=IK$32,IC10&lt;&gt;""),AND(IE10&gt;=IK$28,IE10&lt;&gt;"",IG10&gt;=IK$32,IG10&lt;&gt;""),AND(IH10&gt;=IK$28,IH10&lt;&gt;"",IJ10&gt;=IK$32,IJ10&lt;&gt;""),AND(JF10&gt;=JS$28,JF10&lt;&gt;"",JH10&gt;=JS$32,JH10&lt;&gt;""),AND(JI10&gt;=JS$28,JI10&lt;&gt;"",JK10&gt;=JS$32,JK10&lt;&gt;""),AND(JM10&gt;=JS$28,JM10&lt;&gt;"",JO10&gt;=JS$32,JO10&lt;&gt;""),AND(JP10&gt;=JS$28,JP10&lt;&gt;"",JR10&gt;=JS$32,JR10&lt;&gt;""),AND(KN10&gt;=LA$28,KN10&lt;&gt;"",KP10&gt;=LA$32,KP10&lt;&gt;""),AND(KQ10&gt;=LA$28,KQ10&lt;&gt;"",KS10&gt;=LA$32,KS10&lt;&gt;""),AND(KU10&gt;=LA$28,KU10&lt;&gt;"",KW10&gt;=LA$32,KW10&lt;&gt;""),AND(KX10&gt;=LA$28,KX10&lt;&gt;"",KZ10&gt;=LA$32,KZ10&lt;&gt;""),AND(LV10&gt;=MI$28,LV10&lt;&gt;"",LX10&gt;=MI$32,LX10&lt;&gt;""),AND(LY10&gt;=MI$28,LY10&lt;&gt;"",MA10&gt;=MI$32,MA10&lt;&gt;""),AND(MC10&gt;=MI$28,MC10&lt;&gt;"",ME10&gt;=MI$32,ME10&lt;&gt;""),AND(MF10&gt;=MI$28,MF10&lt;&gt;"",MH10&gt;=MI$32,MH10&lt;&gt;""),AND(ND10&gt;=NQ$28,ND10&lt;&gt;"",NF10&gt;=NQ$32,NF10&lt;&gt;""),AND(NG10&gt;=NQ$28,NG10&lt;&gt;"",NI10&gt;=NQ$32,NI10&lt;&gt;""),AND(NK10&gt;=NQ$28,NK10&lt;&gt;"",NM10&gt;=NQ$32,NM10&lt;&gt;""),AND(NN10&gt;=NQ$28,NN10&lt;&gt;"",NP10&gt;=NQ$32,NP10&lt;&gt;""),AND(OL10&gt;=OY$28,OL10&lt;&gt;"",ON10&gt;=OY$32,ON10&lt;&gt;""),AND(OO10&gt;=OY$28,OO10&lt;&gt;"",OQ10&gt;=OY$32,OQ10&lt;&gt;""),AND(OS10&gt;=OY$28,OS10&lt;&gt;"",OU10&gt;=OY$32,OU10&lt;&gt;""),AND(OV10&gt;=OY$28,OV10&lt;&gt;"",OX10&gt;=OY$32,OX10&lt;&gt;""),AND(PT10&gt;=QG$28,PT10&lt;&gt;"",PV10&gt;=QG$32,PV10&lt;&gt;""),AND(PW10&gt;=QG$28,PW10&lt;&gt;"",PY10&gt;=QG$32,PY10&lt;&gt;""),AND(QA10&gt;=QG$28,QA10&lt;&gt;"",QC10&gt;=QG$32,QC10&lt;&gt;""),AND(QD10&gt;=QG$28,QD10&lt;&gt;"",QF10&gt;=QG$32,QF10&lt;&gt;""),AND(RB10&gt;=RO$28,RB10&lt;&gt;"",RD10&gt;=RO$32,RD10&lt;&gt;""),AND(RE10&gt;=RO$28,RE10&lt;&gt;"",RG10&gt;=RO$32,RG10&lt;&gt;""),AND(RI10&gt;=RO$28,RI10&lt;&gt;"",RK10&gt;=RO$32,RK10&lt;&gt;""),AND(RL10&gt;=RO$28,RL10&lt;&gt;"",RN10&gt;=RO$32,RN10&lt;&gt;""),AND(SJ10&gt;=SW$28,SJ10&lt;&gt;"",SL10&gt;=SW$32,SL10&lt;&gt;""),AND(SM10&gt;=SW$28,SM10&lt;&gt;"",SO10&gt;=SW$32,SO10&lt;&gt;""),AND(SQ10&gt;=SW$28,SQ10&lt;&gt;"",SS10&gt;=SW$32,SS10&lt;&gt;""),AND(ST10&gt;=SW$28,ST10&lt;&gt;"",SV10&gt;=SW$32,SV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Z10&gt;=EM$27,DZ10&lt;&gt;"",EB10&gt;=EM$31,EB10&lt;&gt;""),AND(EC10&gt;=EM$27,EC10&lt;&gt;"",EE10&gt;=EM$31,EE10&lt;&gt;""),AND(EG10&gt;=EM$27,EG10&lt;&gt;"",EI10&gt;=EM$31,EI10&lt;&gt;""),AND(EJ10&gt;=EM$27,EJ10&lt;&gt;"",EL10&gt;=EM$31,EL10&lt;&gt;""),AND(FH10&gt;=FU$27,FH10&lt;&gt;"",FJ10&gt;=FU$31,FJ10&lt;&gt;""),AND(FK10&gt;=FU$27,FK10&lt;&gt;"",FM10&gt;=FU$31,FM10&lt;&gt;""),AND(FO10&gt;=FU$27,FO10&lt;&gt;"",FQ10&gt;=FU$31,FQ10&lt;&gt;""),AND(FR10&gt;=FU$27,FR10&lt;&gt;"",FT10&gt;=FU$31,FT10&lt;&gt;""),AND(GP10&gt;=HC$27,GP10&lt;&gt;"",GR10&gt;=HC$31,GR10&lt;&gt;""),AND(GS10&gt;=HC$27,GS10&lt;&gt;"",GU10&gt;=HC$31,GU10&lt;&gt;""),AND(GW10&gt;=HC$27,GW10&lt;&gt;"",GY10&gt;=HC$31,GY10&lt;&gt;""),AND(GZ10&gt;=HC$27,GZ10&lt;&gt;"",HB10&gt;=HC$31,HB10&lt;&gt;""),AND(HX10&gt;=IK$27,HX10&lt;&gt;"",HZ10&gt;=IK$31,HZ10&lt;&gt;""),AND(IA10&gt;=IK$27,IA10&lt;&gt;"",IC10&gt;=IK$31,IC10&lt;&gt;""),AND(IE10&gt;=IK$27,IE10&lt;&gt;"",IG10&gt;=IK$31,IG10&lt;&gt;""),AND(IH10&gt;=IK$27,IH10&lt;&gt;"",IJ10&gt;=IK$31,IJ10&lt;&gt;""),AND(JF10&gt;=JS$27,JF10&lt;&gt;"",JH10&gt;=JS$31,JH10&lt;&gt;""),AND(JI10&gt;=JS$27,JI10&lt;&gt;"",JK10&gt;=JS$31,JK10&lt;&gt;""),AND(JM10&gt;=JS$27,JM10&lt;&gt;"",JO10&gt;=JS$31,JO10&lt;&gt;""),AND(JP10&gt;=JS$27,JP10&lt;&gt;"",JR10&gt;=JS$31,JR10&lt;&gt;""),AND(KN10&gt;=LA$27,KN10&lt;&gt;"",KP10&gt;=LA$31,KP10&lt;&gt;""),AND(KQ10&gt;=LA$27,KQ10&lt;&gt;"",KS10&gt;=LA$31,KS10&lt;&gt;""),AND(KU10&gt;=LA$27,KU10&lt;&gt;"",KW10&gt;=LA$31,KW10&lt;&gt;""),AND(KX10&gt;=LA$27,KX10&lt;&gt;"",KZ10&gt;=LA$31,KZ10&lt;&gt;""),AND(LV10&gt;=MI$27,LV10&lt;&gt;"",LX10&gt;=MI$31,LX10&lt;&gt;""),AND(LY10&gt;=MI$27,LY10&lt;&gt;"",MA10&gt;=MI$31,MA10&lt;&gt;""),AND(MC10&gt;=MI$27,MC10&lt;&gt;"",ME10&gt;=MI$31,ME10&lt;&gt;""),AND(MF10&gt;=MI$27,MF10&lt;&gt;"",MH10&gt;=MI$31,MH10&lt;&gt;""),AND(ND10&gt;=NQ$27,ND10&lt;&gt;"",NF10&gt;=NQ$31,NF10&lt;&gt;""),AND(NG10&gt;=NQ$27,NG10&lt;&gt;"",NI10&gt;=NQ$31,NI10&lt;&gt;""),AND(NK10&gt;=NQ$27,NK10&lt;&gt;"",NM10&gt;=NQ$31,NM10&lt;&gt;""),AND(NN10&gt;=NQ$27,NN10&lt;&gt;"",NP10&gt;=NQ$31,NP10&lt;&gt;""),AND(OL10&gt;=OY$27,OL10&lt;&gt;"",ON10&gt;=OY$31,ON10&lt;&gt;""),AND(OO10&gt;=OY$27,OO10&lt;&gt;"",OQ10&gt;=OY$31,OQ10&lt;&gt;""),AND(OS10&gt;=OY$27,OS10&lt;&gt;"",OU10&gt;=OY$31,OU10&lt;&gt;""),AND(OV10&gt;=OY$27,OV10&lt;&gt;"",OX10&gt;=OY$31,OX10&lt;&gt;""),AND(PT10&gt;=QG$27,PT10&lt;&gt;"",PV10&gt;=QG$31,PV10&lt;&gt;""),AND(PW10&gt;=QG$27,PW10&lt;&gt;"",PY10&gt;=QG$31,PY10&lt;&gt;""),AND(QA10&gt;=QG$27,QA10&lt;&gt;"",QC10&gt;=QG$31,QC10&lt;&gt;""),AND(QD10&gt;=QG$27,QD10&lt;&gt;"",QF10&gt;=QG$31,QF10&lt;&gt;""),AND(RB10&gt;=RO$27,RB10&lt;&gt;"",RD10&gt;=RO$31,RD10&lt;&gt;""),AND(RE10&gt;=RO$27,RE10&lt;&gt;"",RG10&gt;=RO$31,RG10&lt;&gt;""),AND(RI10&gt;=RO$27,RI10&lt;&gt;"",RK10&gt;=RO$31,RK10&lt;&gt;""),AND(RL10&gt;=RO$27,RL10&lt;&gt;"",RN10&gt;=RO$31,RN10&lt;&gt;""),AND(SJ10&gt;=SW$27,SJ10&lt;&gt;"",SL10&gt;=SW$31,SL10&lt;&gt;""),AND(SM10&gt;=SW$27,SM10&lt;&gt;"",SO10&gt;=SW$31,SO10&lt;&gt;""),AND(SQ10&gt;=SW$27,SQ10&lt;&gt;"",SS10&gt;=SW$31,SS10&lt;&gt;""),AND(ST10&gt;=SW$27,ST10&lt;&gt;"",SV10&gt;=SW$31,SV10&lt;&gt;"")),"Excellence",IF(I10="P","Worlds Team",IF(F10="P","National Team","")))))</f>
        <v>Worlds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Z10&gt;=EM$26,DZ10&lt;&gt;"",EB10&gt;=EM$30,EB10&lt;&gt;""),AND(EC10&gt;=EM$26,EC10&lt;&gt;"",EE10&gt;=EM$30,EE10&lt;&gt;""),AND(EG10&gt;=EM$26,EG10&lt;&gt;"",EI10&gt;=EM$30,EI10&lt;&gt;""),AND(EJ10&gt;=EM$26,EJ10&lt;&gt;"",EL10&gt;=EM$30,EL10&lt;&gt;""),AND(FH10&gt;=FU$26,FH10&lt;&gt;"",FJ10&gt;=FU$30,FJ10&lt;&gt;""),AND(FK10&gt;=FU$26,FK10&lt;&gt;"",FM10&gt;=FU$30,FM10&lt;&gt;""),AND(FO10&gt;=FU$26,FO10&lt;&gt;"",FQ10&gt;=FU$30,FQ10&lt;&gt;""),AND(FR10&gt;=FU$26,FR10&lt;&gt;"",FT10&gt;=FU$30,FT10&lt;&gt;""),AND(GP10&gt;=HC$26,GP10&lt;&gt;"",GR10&gt;=HC$30,GR10&lt;&gt;""),AND(GS10&gt;=HC$26,GS10&lt;&gt;"",GU10&gt;=HC$30,GU10&lt;&gt;""),AND(GW10&gt;=HC$26,GW10&lt;&gt;"",GY10&gt;=HC$30,GY10&lt;&gt;""),AND(GZ10&gt;=HC$26,GZ10&lt;&gt;"",HB10&gt;=HC$30,HB10&lt;&gt;""),AND(HX10&gt;=IK$26,HX10&lt;&gt;"",HZ10&gt;=IK$30,HZ10&lt;&gt;""),AND(IA10&gt;=IK$26,IA10&lt;&gt;"",IC10&gt;=IK$30,IC10&lt;&gt;""),AND(IE10&gt;=IK$26,IE10&lt;&gt;"",IG10&gt;=IK$30,IG10&lt;&gt;""),AND(IH10&gt;=IK$26,IH10&lt;&gt;"",IJ10&gt;=IK$30,IJ10&lt;&gt;""),AND(JF10&gt;=JS$26,JF10&lt;&gt;"",JH10&gt;=JS$30,JH10&lt;&gt;""),AND(JI10&gt;=JS$26,JI10&lt;&gt;"",JK10&gt;=JS$30,JK10&lt;&gt;""),AND(JM10&gt;=JS$26,JM10&lt;&gt;"",JO10&gt;=JS$30,JO10&lt;&gt;""),AND(JP10&gt;=JS$26,JP10&lt;&gt;"",JR10&gt;=JS$30,JR10&lt;&gt;""),AND(KN10&gt;=LA$26,KN10&lt;&gt;"",KP10&gt;=LA$30,KP10&lt;&gt;""),AND(KQ10&gt;=LA$26,KQ10&lt;&gt;"",KS10&gt;=LA$30,KS10&lt;&gt;""),AND(KU10&gt;=LA$26,KU10&lt;&gt;"",KW10&gt;=LA$30,KW10&lt;&gt;""),AND(KX10&gt;=LA$26,KX10&lt;&gt;"",KZ10&gt;=LA$30,KZ10&lt;&gt;""),AND(LV10&gt;=MI$26,LV10&lt;&gt;"",LX10&gt;=MI$30,LX10&lt;&gt;""),AND(LY10&gt;=MI$26,LY10&lt;&gt;"",MA10&gt;=MI$30,MA10&lt;&gt;""),AND(MC10&gt;=MI$26,MC10&lt;&gt;"",ME10&gt;=MI$30,ME10&lt;&gt;""),AND(MF10&gt;=MI$26,MF10&lt;&gt;"",MH10&gt;=MI$30,MH10&lt;&gt;""),AND(ND10&gt;=NQ$26,ND10&lt;&gt;"",NF10&gt;=NQ$30,NF10&lt;&gt;""),AND(NG10&gt;=NQ$26,NG10&lt;&gt;"",NI10&gt;=NQ$30,NI10&lt;&gt;""),AND(NK10&gt;=NQ$26,NK10&lt;&gt;"",NM10&gt;=NQ$30,NM10&lt;&gt;""),AND(NN10&gt;=NQ$26,NN10&lt;&gt;"",NP10&gt;=NQ$30,NP10&lt;&gt;""),AND(OL10&gt;=OY$26,OL10&lt;&gt;"",ON10&gt;=OY$30,ON10&lt;&gt;""),AND(OO10&gt;=OY$26,OO10&lt;&gt;"",OQ10&gt;=OY$30,OQ10&lt;&gt;""),AND(OS10&gt;=OY$26,OS10&lt;&gt;"",OU10&gt;=OY$30,OU10&lt;&gt;""),AND(OV10&gt;=OY$26,OV10&lt;&gt;"",OX10&gt;=OY$30,OX10&lt;&gt;""),AND(PT10&gt;=QG$26,PT10&lt;&gt;"",PV10&gt;=QG$30,PV10&lt;&gt;""),AND(PW10&gt;=QG$26,PW10&lt;&gt;"",PY10&gt;=QG$30,PY10&lt;&gt;""),AND(QA10&gt;=QG$26,QA10&lt;&gt;"",QC10&gt;=QG$30,QC10&lt;&gt;""),AND(QD10&gt;=QG$26,QD10&lt;&gt;"",QF10&gt;=QG$30,QF10&lt;&gt;""),AND(RB10&gt;=RO$26,RB10&lt;&gt;"",RD10&gt;=RO$30,RD10&lt;&gt;""),AND(RE10&gt;=RO$26,RE10&lt;&gt;"",RG10&gt;=RO$30,RG10&lt;&gt;""),AND(RI10&gt;=RO$26,RI10&lt;&gt;"",RK10&gt;=RO$30,RK10&lt;&gt;""),AND(RL10&gt;=RO$26,RL10&lt;&gt;"",RN10&gt;=RO$30,RN10&lt;&gt;""),AND(SJ10&gt;=SW$26,SJ10&lt;&gt;"",SL10&gt;=SW$30,SL10&lt;&gt;""),AND(SM10&gt;=SW$26,SM10&lt;&gt;"",SO10&gt;=SW$30,SO10&lt;&gt;""),AND(SQ10&gt;=SW$26,SQ10&lt;&gt;"",SS10&gt;=SW$30,SS10&lt;&gt;""),AND(ST10&gt;=SW$26,ST10&lt;&gt;"",SV10&gt;=SW$30,SV10&lt;&gt;"")),"P","")</f>
        <v>P</v>
      </c>
      <c r="J10" s="13">
        <f>IF(COUNT(AQ10,AT10,BR10,BU10,CS10,CV10)&gt;0,LARGE((AQ10,AT10,BR10,BU10,CS10,CV10),1),0)</f>
        <v>58.054999999999993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51.827500000000001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51.827500000000001</v>
      </c>
      <c r="O10" s="13" t="str">
        <f>IF(N10="","",IF(OR(N10=CS10,N10=CV10),$CA$1,IF(OR(N10=BR10,N10=BU10),$AZ$1,IF(OR(N10=AQ10,N10=AT10),$Y$1,""))))</f>
        <v>2021 Canadian Championships</v>
      </c>
      <c r="P10" s="13">
        <f>IF(MAX(AX10,BY10,CZ10)&gt;0,MAX(AX10,BY10,CZ10),0)</f>
        <v>42.02</v>
      </c>
      <c r="Q10" s="13" t="str">
        <f>IF(P10="","",IF(P10=CZ10,$CA$1,IF(P10=BY10,$AZ$1,IF(P10=AX10,$Y$1,""))))</f>
        <v>2021 Canadian Championships</v>
      </c>
      <c r="R10" s="13">
        <f>IF(MAX(AO10,AR10,AV10,BP10,BS10,BW10,CQ10,CT10,CX10)&gt;0,MAX(AO10,AR10,BP10,BS10,CQ10,CT10,AV10),0)</f>
        <v>15.6</v>
      </c>
      <c r="S10" s="13" t="str">
        <f>IF(R10=0,"",IF(OR(R10=CQ10,R10=CT10,R10=CX10),$CA$1,IF(OR(R10=BP10,R10=BS10,R10=BW10),$AZ$1,IF(OR(R10=AO10,R10=AR10,R10=AV10),$Y$1,""))))</f>
        <v>2022 Elite Canada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),0)</f>
        <v>17.254999999999999</v>
      </c>
      <c r="U10" s="13" t="str">
        <f>IF(T10=0,"",IF(OR(T10=CR10,T10=CU10,T10=CY10),$CA$1,IF(OR(T10=BQ10,T10=BT10,T10=BX10),$AZ$1,IF(OR(T10=AP10,T10=AS10,T10=AW10),$Y$1,""))))</f>
        <v>2022 Elite Canada</v>
      </c>
      <c r="V10" s="13">
        <f>IF(MAX(DB10,DC10,DD10,DE10)&gt;0,MAX(DB10,DC10,DD10,DE10),"")</f>
        <v>5.9825000000000017</v>
      </c>
      <c r="W10" s="16" t="str">
        <f>IF(V10="","",IF(V10=DB10,"("&amp;DB$2&amp;")",IF(V10=DC10,"("&amp;DC$2&amp;")",IF(V10=DD10,"("&amp;DD$2&amp;")",IF(V10=DE10,"("&amp;DE$2&amp;")")))))</f>
        <v>(Prelim)</v>
      </c>
      <c r="X10" s="13" t="str">
        <f>IF(V10="","",IF(V10=DB10,IF(V10+IF(L10="",0,L10)=SP10,$RP$1,IF(V10+IF(L10="",0,L10)=RH10,$QH$1,IF(V10+IF(L10="",0,L10)=PZ10,$OZ$1,IF(V10+IF(L10="",0,L10)=OR10,$NR$1,IF(V10+IF(L10="",0,L10)=NJ10,$MJ$1,IF(V10+IF(L10="",0,L10)=MB10,$LB$1,IF(V10+IF(L10="",0,L10)=KT10,$JT$1,IF(V10+IF(L10="",0,L10)=JL10,$IL$1,IF(V10+IF(L10="",0,L10)=ID10,$HD$1,IF(V10+IF(L10="",0,L10)=GV10,$FV$1,IF(V10+IF(L10="",0,L10)=FN10,$EN$1,IF(V10+IF(L10="",0,L10)=EF10,$DF$1)))))))))))),IF(V10=DC10,IF(V10+IF(P10="",0,P10)=SV10,$RP$1,IF(V10+IF(P10="",0,P10)=RN10,$QH$1,IF(V10+IF(P10="",0,P10)=QF10,$OZ$1,IF(V10+IF(P10="",0,P10)=OX10,$NR$1,IF(V10+IF(P10="",0,P10)=NP10,$MJ$1,IF(V10+IF(P10="",0,P10)=MH10,$LB$1,IF(V10+IF(P10="",0,P10)=KZ10,$JT$1,IF(V10+IF(P10="",0,P10)=JR10,$IL$1,IF(V10+IF(P10="",0,P10)=IJ10,$HD$1,IF(V10+IF(P10="",0,P10)=HB10,$FV$1,IF(V10+IF(P10="",0,P10)=FT10,$EN$1,IF(V10+IF(P10="",0,P10)=EL10,$DF$1)))))))))))),IF(V10=DD10,IF(V10+IF(R10="",0,R10)=MAX(SJ10,SM10,SQ10,ST10),$RP$1,IF(V10+IF(R10="",0,R10)=MAX(RB10,RE10,RI10,RL10),$QH$1,IF(V10+IF(R10="",0,R10)=MAX(PT10,PW10,QA10,QD10),$OZ$1,IF(V10+IF(R10="",0,R10)=MAX(OL10,OO10,OS10,OV10),$NR$1,IF(V10+IF(R10="",0,R10)=MAX(ND10,NG10,NK10,NN10),$MJ$1,IF(V10+IF(R10="",0,R10)=MAX(LV10,LY10,MC10,MF10),$LB$1,IF(V10+IF(R10="",0,R10)=MAX(KN10,KQ10,KU10,KX10),$JT$1,IF(V10+IF(R10="",0,R10)=MAX(JF10,JI10,JM10,JP10),$IL$1,IF(V10+IF(R10="",0,R10)=MAX(HX10,IA10,IE10,IH10),$HD$1,IF(V10+IF(R10="",0,R10)=MAX(GP10,GS10,GW10,GZ10),$FV$1,IF(V10+IF(R10="",0,R10)=MAX(FH10,FK10,FO10,FR10),$EN$1,IF(V10+IF(R10="",0,R10)=MAX(DZ10,EC10,EG10,EJ10),$DF$1)))))))))))),IF(V10=DE10,IF(V10+IF(T10="",0,T10)=MAX(SK10,SN10,SR10,SU10),$RP$1,IF(V10+IF(T10="",0,T10)=MAX(RC10,RF10,RJ10,RM10),$QH$1,IF(V10+IF(T10="",0,T10)=MAX(PU10,PX10,QB10,QE10),$OZ$1,IF(V10+IF(T10="",0,T10)=MAX(OM10,OP10,OT10,OW10),$NR$1,IF(V10+IF(T10="",0,T10)=MAX(NE10,NH10,NL10,NO10),$MJ$1,IF(V10+IF(T10="",0,T10)=MAX(LW10,LZ10,MD10,MG10),$LB$1,IF(V10+IF(T10="",0,T10)=MAX(KO10,KR10,KV10,KY10),$JT$1,IF(V10+IF(T10="",0,T10)=MAX(JG10,JJ10,JN10,JQ10),$IL$1,IF(V10+IF(T10="",0,T10)=MAX(HY10,IB10,IF10,II10),$HD$1,IF(V10+IF(T10="",0,T10)=MAX(GQ10,GT10,GX10,HA10),$FV$1,IF(V10+IF(T10="",0,T10)=MAX(FI10,FL10,FP10,FS10),$EN$1,IF(V10+IF(T10="",0,T10)=MAX(EA10,ED10,EH10,EK10),$DF$1)))))))))))))))))</f>
        <v>2021 World Cup ITA/Olympic Technical Trial (June 4/9)</v>
      </c>
      <c r="Y10" s="42">
        <v>15</v>
      </c>
      <c r="Z10" s="42">
        <v>7.7750000000000004</v>
      </c>
      <c r="AA10" s="42">
        <v>13.75</v>
      </c>
      <c r="AB10" s="42">
        <v>15.302499999999998</v>
      </c>
      <c r="AC10" s="42">
        <v>0</v>
      </c>
      <c r="AD10" s="42">
        <v>10</v>
      </c>
      <c r="AE10" s="42">
        <v>5.3999999999999995</v>
      </c>
      <c r="AF10" s="42">
        <v>9.7999999999999989</v>
      </c>
      <c r="AG10" s="42">
        <v>10.385</v>
      </c>
      <c r="AH10" s="42">
        <v>0</v>
      </c>
      <c r="AI10" s="42">
        <v>12</v>
      </c>
      <c r="AJ10" s="42">
        <v>6.3</v>
      </c>
      <c r="AK10" s="42">
        <v>11.45</v>
      </c>
      <c r="AL10" s="42">
        <v>12.270000000000001</v>
      </c>
      <c r="AM10" s="42">
        <v>0</v>
      </c>
      <c r="AN10" s="51" t="s">
        <v>61</v>
      </c>
      <c r="AO10" s="74">
        <f>IF(AA10&gt;0,AA10,"")</f>
        <v>13.75</v>
      </c>
      <c r="AP10" s="74">
        <f>IF(AB10&gt;0,AB10,"")</f>
        <v>15.302499999999998</v>
      </c>
      <c r="AQ10" s="76">
        <f>IF(SUM(Y10:AB10)-AC10&gt;0,SUM(Y10:AB10)-AC10,"")</f>
        <v>51.827500000000001</v>
      </c>
      <c r="AR10" s="76">
        <f>IF(AF10&gt;0,AF10,"")</f>
        <v>9.7999999999999989</v>
      </c>
      <c r="AS10" s="76">
        <f>IF(AG10&gt;0,AG10,"")</f>
        <v>10.385</v>
      </c>
      <c r="AT10" s="76">
        <f>IF(SUM(AD10:AG10)-AH10&gt;0,SUM(AD10:AG10)-AH10,"")</f>
        <v>35.584999999999994</v>
      </c>
      <c r="AU10" s="76">
        <f>IF(AQ10="","",MAX(AQ10,AT10))</f>
        <v>51.827500000000001</v>
      </c>
      <c r="AV10" s="76">
        <f>IF(AK10&gt;0,AK10,"")</f>
        <v>11.45</v>
      </c>
      <c r="AW10" s="76">
        <f>IF(AL10&gt;0,AL10,"")</f>
        <v>12.270000000000001</v>
      </c>
      <c r="AX10" s="76">
        <f>IF(SUM(AI10:AL10)-AM10&gt;0,SUM(AI10:AL10)-AM10,"")</f>
        <v>42.02</v>
      </c>
      <c r="AY10" s="76">
        <f>IF(SUM(AU10,AX10)&gt;0,SUM(AU10,AX10),"")</f>
        <v>93.847499999999997</v>
      </c>
      <c r="AZ10" s="46">
        <v>15</v>
      </c>
      <c r="BA10" s="46">
        <v>7.7750000000000004</v>
      </c>
      <c r="BB10" s="46">
        <v>13.75</v>
      </c>
      <c r="BC10" s="46">
        <v>15.302499999999998</v>
      </c>
      <c r="BD10" s="46">
        <v>0</v>
      </c>
      <c r="BE10" s="46">
        <v>10</v>
      </c>
      <c r="BF10" s="46">
        <v>5.3999999999999995</v>
      </c>
      <c r="BG10" s="46">
        <v>9.7999999999999989</v>
      </c>
      <c r="BH10" s="46">
        <v>10.385</v>
      </c>
      <c r="BI10" s="46">
        <v>0</v>
      </c>
      <c r="BJ10" s="46">
        <v>12</v>
      </c>
      <c r="BK10" s="46">
        <v>6.3</v>
      </c>
      <c r="BL10" s="46">
        <v>11.45</v>
      </c>
      <c r="BM10" s="46">
        <v>12.270000000000001</v>
      </c>
      <c r="BN10" s="46">
        <v>0</v>
      </c>
      <c r="BO10" s="52" t="s">
        <v>61</v>
      </c>
      <c r="BP10" s="75">
        <f>IF(BB10&gt;0,BB10,"")</f>
        <v>13.75</v>
      </c>
      <c r="BQ10" s="75">
        <f>IF(BC10&gt;0,BC10,"")</f>
        <v>15.302499999999998</v>
      </c>
      <c r="BR10" s="16">
        <f>IF(SUM(AZ10:BC10)-BD10&gt;0,SUM(AZ10:BC10)-BD10,"")</f>
        <v>51.827500000000001</v>
      </c>
      <c r="BS10" s="16">
        <f>IF(BG10&gt;0,BG10,"")</f>
        <v>9.7999999999999989</v>
      </c>
      <c r="BT10" s="16">
        <f>IF(BH10&gt;0,BH10,"")</f>
        <v>10.385</v>
      </c>
      <c r="BU10" s="16">
        <f>IF(SUM(BE10:BH10)-BI10&gt;0,SUM(BE10:BH10)-BI10,"")</f>
        <v>35.584999999999994</v>
      </c>
      <c r="BV10" s="16">
        <f>IF(BR10="","",MAX(BR10,BU10))</f>
        <v>51.827500000000001</v>
      </c>
      <c r="BW10" s="16">
        <f>IF(BL10&gt;0,BL10,"")</f>
        <v>11.45</v>
      </c>
      <c r="BX10" s="16">
        <f>IF(BM10&gt;0,BM10,"")</f>
        <v>12.270000000000001</v>
      </c>
      <c r="BY10" s="16">
        <f>IF(SUM(BJ10:BM10)-BN10&gt;0,SUM(BJ10:BM10)-BN10,"")</f>
        <v>42.02</v>
      </c>
      <c r="BZ10" s="16">
        <f>IF(SUM(BV10,BY10)&gt;0,SUM(BV10,BY10),"")</f>
        <v>93.847499999999997</v>
      </c>
      <c r="CA10" s="42">
        <v>13.8</v>
      </c>
      <c r="CB10" s="42">
        <v>6.6</v>
      </c>
      <c r="CC10" s="42">
        <v>12.1</v>
      </c>
      <c r="CD10" s="42">
        <v>13.935</v>
      </c>
      <c r="CE10" s="42">
        <v>0</v>
      </c>
      <c r="CF10" s="42">
        <v>16.899999999999999</v>
      </c>
      <c r="CG10" s="42">
        <v>8.3000000000000007</v>
      </c>
      <c r="CH10" s="42">
        <v>15.6</v>
      </c>
      <c r="CI10" s="42">
        <v>17.254999999999999</v>
      </c>
      <c r="CJ10" s="42">
        <v>0</v>
      </c>
      <c r="CK10" s="42">
        <v>3.1</v>
      </c>
      <c r="CL10" s="42">
        <v>1.7</v>
      </c>
      <c r="CM10" s="42">
        <v>3.8</v>
      </c>
      <c r="CN10" s="42">
        <v>3.55</v>
      </c>
      <c r="CO10" s="42">
        <v>0</v>
      </c>
      <c r="CP10" s="51"/>
      <c r="CQ10" s="74">
        <f>IF(CC10&gt;0,CC10,"")</f>
        <v>12.1</v>
      </c>
      <c r="CR10" s="74">
        <f>IF(CD10&gt;0,CD10,"")</f>
        <v>13.935</v>
      </c>
      <c r="CS10" s="76">
        <f>IF(SUM(CA10:CD10)-CE10&gt;0,SUM(CA10:CD10)-CE10,"")</f>
        <v>46.435000000000002</v>
      </c>
      <c r="CT10" s="76">
        <f>IF(CH10&gt;0,CH10,"")</f>
        <v>15.6</v>
      </c>
      <c r="CU10" s="76">
        <f>IF(CI10&gt;0,CI10,"")</f>
        <v>17.254999999999999</v>
      </c>
      <c r="CV10" s="76">
        <f>IF(SUM(CF10:CI10)-CJ10&gt;0,SUM(CF10:CI10)-CJ10,"")</f>
        <v>58.054999999999993</v>
      </c>
      <c r="CW10" s="76">
        <f>IF(CS10="","",MAX(CS10,CV10))</f>
        <v>58.054999999999993</v>
      </c>
      <c r="CX10" s="76">
        <f>IF(CM10&gt;0,CM10,"")</f>
        <v>3.8</v>
      </c>
      <c r="CY10" s="76">
        <f>IF(CN10&gt;0,CN10,"")</f>
        <v>3.55</v>
      </c>
      <c r="CZ10" s="76">
        <f>IF(SUM(CK10:CN10)-CO10&gt;0,SUM(CK10:CN10)-CO10,"")</f>
        <v>12.149999999999999</v>
      </c>
      <c r="DA10" s="76">
        <f>IF(SUM(CW10,CZ10)&gt;0,SUM(CW10,CZ10),"")</f>
        <v>70.204999999999984</v>
      </c>
      <c r="DB10" s="87">
        <f>IF(L10&gt;=0.001,IF(MAX(EF10,FN10,GV10,ID10,JL10,KT10,MB10,NJ10,OR10,PZ10,RH10,SP10)-IF(L10="",0,L10)&gt;0.001,MAX(EF10,FN10,GV10,ID10,JL10,KT10,MB10,NJ10,OR10,PZ10,RH10,SP10)-IF(L10="",0,L10),""),"")</f>
        <v>5.9825000000000017</v>
      </c>
      <c r="DC10" s="87" t="str">
        <f>IF(P10&gt;=0.001,IF(MAX(EI10,EL10,FQ10,FT10,GY10,HB10,IG10,IJ10,JO10,JR10,KW10,KZ10,ME10,MH10,NM10,NP10,OU10,OX10,QC10,QF10,RK10,RN10,SS10,SV10)-IF(P10="",0,P10)&gt;0.001,MAX(EI10,EL10,FQ10,FT10,GY10,HB10,IG10,IJ10,JO10,JR10,KW10,KZ10,ME10,MH10,NM10,NP10,OU10,OX10,QC10,QF10,RK10,RN10,SS10,SV10)-IF(P10="",0,P10),""),"")</f>
        <v/>
      </c>
      <c r="DD10" s="87">
        <f>IF(R10&gt;=0.001,IF(MAX(DZ10,EC10,EG10,EJ10,FH10,FK10,FO10,FR10,GP10,GS10,GW10,GZ10,HX10,IA10,IE10,IH10,JF10,JI10,JM10,JP10,KN10,KQ10,KU10,KX10,LV10,LY10,MC10,MF10,ND10,NG10,NK10,NN10,OL10,OO10,OS10,OV10,PT10,PW10,QA10,QD10,RB10,RE10,RI10,RL10,SJ10,SM10,SQ10,ST10)-IF(R10="",0,R10)&gt;0.001,MAX(DZ10,EC10,EG10,EJ10,FH10,FK10,FO10,FR10,GP10,GS10,GW10,GZ10,HX10,IA10,IE10,IH10,JF10,JI10,JM10,JP10,KN10,KQ10,KU10,KX10,LV10,LY10,MC10,MF10,ND10,NG10,NK10,NN10,OL10,OO10,OS10,OV10,PT10,PW10,QA10,QD10,RB10,RE10,RI10,RL10,SJ10,SM10,SQ10,ST10)-IF(R10="",0,R10),""),"")</f>
        <v>1.5000000000000018</v>
      </c>
      <c r="DE10" s="87" t="str">
        <f>IF(T10&gt;=0.001,IF(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&gt;0.001,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,""),"")</f>
        <v/>
      </c>
      <c r="DF10" s="25">
        <v>15.5</v>
      </c>
      <c r="DG10" s="25">
        <v>8.6999999999999993</v>
      </c>
      <c r="DH10" s="25">
        <v>17.100000000000001</v>
      </c>
      <c r="DI10" s="25">
        <v>16.510000000000002</v>
      </c>
      <c r="DJ10" s="25">
        <v>0</v>
      </c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76">
        <f>IF(DH10&gt;0,DH10,"")</f>
        <v>17.100000000000001</v>
      </c>
      <c r="EA10" s="76">
        <f>IF(DI10&gt;0,DI10,"")</f>
        <v>16.510000000000002</v>
      </c>
      <c r="EB10" s="76">
        <f>IF(SUM(DF10:DI10)-DJ10&gt;0,SUM(DF10:DI10)-DJ10,"")</f>
        <v>57.81</v>
      </c>
      <c r="EC10" s="76" t="str">
        <f>IF(DM10&gt;0,DM10,"")</f>
        <v/>
      </c>
      <c r="ED10" s="76" t="str">
        <f>IF(DN10&gt;0,DN10,"")</f>
        <v/>
      </c>
      <c r="EE10" s="76" t="str">
        <f>IF(SUM(DK10:DN10)-DO10&gt;0,SUM(DK10:DN10)-DO10,"")</f>
        <v/>
      </c>
      <c r="EF10" s="76">
        <f>IF(MAX(EB10,EE10)&gt;0,MAX(EB10,EE10),"")</f>
        <v>57.81</v>
      </c>
      <c r="EG10" s="76" t="str">
        <f>IF(DR10&gt;0,DR10,"")</f>
        <v/>
      </c>
      <c r="EH10" s="76" t="str">
        <f>IF(DS10&gt;0,DS10,"")</f>
        <v/>
      </c>
      <c r="EI10" s="76" t="str">
        <f>IF(SUM(DP10:DS10)-DT10&gt;0,SUM(DP10:DS10)-DT10,"")</f>
        <v/>
      </c>
      <c r="EJ10" s="76" t="str">
        <f>IF(DW10&gt;0,DW10,"")</f>
        <v/>
      </c>
      <c r="EK10" s="76" t="str">
        <f>IF(DX10&gt;0,DX10,"")</f>
        <v/>
      </c>
      <c r="EL10" s="76" t="str">
        <f>IF(SUM(DU10:DX10)-DY10&gt;0,SUM(DU10:DX10)-DY10,"")</f>
        <v/>
      </c>
      <c r="EM10" s="76">
        <f>IF(SUM(EF10,EL10)&gt;0,SUM(EF10,EL10),"")</f>
        <v>57.81</v>
      </c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16" t="str">
        <f>IF(EP10&gt;0,EP10,"")</f>
        <v/>
      </c>
      <c r="FI10" s="16" t="str">
        <f>IF(EQ10&gt;0,EQ10,"")</f>
        <v/>
      </c>
      <c r="FJ10" s="16" t="str">
        <f>IF(SUM(EN10:EQ10)-ER10&gt;0,SUM(EN10:EQ10)-ER10,"")</f>
        <v/>
      </c>
      <c r="FK10" s="16" t="str">
        <f>IF(EU10&gt;0,EU10,"")</f>
        <v/>
      </c>
      <c r="FL10" s="16" t="str">
        <f>IF(EV10&gt;0,EV10,"")</f>
        <v/>
      </c>
      <c r="FM10" s="16" t="str">
        <f>IF(SUM(ES10:EV10)-EW10&gt;0,SUM(ES10:EV10)-EW10,"")</f>
        <v/>
      </c>
      <c r="FN10" s="16" t="str">
        <f>IF(MAX(FJ10,FM10)&gt;0,MAX(FJ10,FM10),"")</f>
        <v/>
      </c>
      <c r="FO10" s="16" t="str">
        <f>IF(EZ10&gt;0,EZ10,"")</f>
        <v/>
      </c>
      <c r="FP10" s="16" t="str">
        <f>IF(FA10&gt;0,FA10,"")</f>
        <v/>
      </c>
      <c r="FQ10" s="16" t="str">
        <f>IF(SUM(EX10:FA10)-FB10&gt;0,SUM(EX10:FA10)-FB10,"")</f>
        <v/>
      </c>
      <c r="FR10" s="16" t="str">
        <f>IF(FE10&gt;0,FE10,"")</f>
        <v/>
      </c>
      <c r="FS10" s="16" t="str">
        <f>IF(FF10&gt;0,FF10,"")</f>
        <v/>
      </c>
      <c r="FT10" s="16" t="str">
        <f>IF(SUM(FC10:FF10)-FG10&gt;0,SUM(FC10:FF10)-FG10,"")</f>
        <v/>
      </c>
      <c r="FU10" s="16" t="str">
        <f>IF(SUM(FN10,FT10)&gt;0,SUM(FN10,FT10),"")</f>
        <v/>
      </c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76" t="str">
        <f>IF(FX10&gt;0,FX10,"")</f>
        <v/>
      </c>
      <c r="GQ10" s="76" t="str">
        <f>IF(FY10&gt;0,FY10,"")</f>
        <v/>
      </c>
      <c r="GR10" s="76" t="str">
        <f>IF(SUM(FV10:FY10)-FZ10&gt;0,SUM(FV10:FY10)-FZ10,"")</f>
        <v/>
      </c>
      <c r="GS10" s="76" t="str">
        <f>IF(GC10&gt;0,GC10,"")</f>
        <v/>
      </c>
      <c r="GT10" s="76" t="str">
        <f>IF(GD10&gt;0,GD10,"")</f>
        <v/>
      </c>
      <c r="GU10" s="76" t="str">
        <f>IF(SUM(GA10:GD10)-GE10&gt;0,SUM(GA10:GD10)-GE10,"")</f>
        <v/>
      </c>
      <c r="GV10" s="76" t="str">
        <f>IF(MAX(GR10,GU10)&gt;0,MAX(GR10,GU10),"")</f>
        <v/>
      </c>
      <c r="GW10" s="76" t="str">
        <f>IF(GH10&gt;0,GH10,"")</f>
        <v/>
      </c>
      <c r="GX10" s="76" t="str">
        <f>IF(GI10&gt;0,GI10,"")</f>
        <v/>
      </c>
      <c r="GY10" s="76" t="str">
        <f>IF(SUM(GF10:GI10)-GJ10&gt;0,SUM(GF10:GI10)-GJ10,"")</f>
        <v/>
      </c>
      <c r="GZ10" s="76" t="str">
        <f>IF(GM10&gt;0,GM10,"")</f>
        <v/>
      </c>
      <c r="HA10" s="76" t="str">
        <f>IF(GN10&gt;0,GN10,"")</f>
        <v/>
      </c>
      <c r="HB10" s="76" t="str">
        <f>IF(SUM(GK10:GN10)-GO10&gt;0,SUM(GK10:GN10)-GO10,"")</f>
        <v/>
      </c>
      <c r="HC10" s="76" t="str">
        <f>IF(SUM(GV10,HB10)&gt;0,SUM(GV10,HB10),"")</f>
        <v/>
      </c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16" t="str">
        <f>IF(HF10&gt;0,HF10,"")</f>
        <v/>
      </c>
      <c r="HY10" s="16" t="str">
        <f>IF(HG10&gt;0,HG10,"")</f>
        <v/>
      </c>
      <c r="HZ10" s="16" t="str">
        <f>IF(SUM(HD10:HG10)-HH10&gt;0,SUM(HD10:HG10)-HH10,"")</f>
        <v/>
      </c>
      <c r="IA10" s="16" t="str">
        <f>IF(HK10&gt;0,HK10,"")</f>
        <v/>
      </c>
      <c r="IB10" s="16" t="str">
        <f>IF(HL10&gt;0,HL10,"")</f>
        <v/>
      </c>
      <c r="IC10" s="16" t="str">
        <f>IF(SUM(HI10:HL10)-HM10&gt;0,SUM(HI10:HL10)-HM10,"")</f>
        <v/>
      </c>
      <c r="ID10" s="16" t="str">
        <f>IF(MAX(HZ10,IC10)&gt;0,MAX(HZ10,IC10),"")</f>
        <v/>
      </c>
      <c r="IE10" s="16" t="str">
        <f>IF(HP10&gt;0,HP10,"")</f>
        <v/>
      </c>
      <c r="IF10" s="16" t="str">
        <f>IF(HQ10&gt;0,HQ10,"")</f>
        <v/>
      </c>
      <c r="IG10" s="16" t="str">
        <f>IF(SUM(HN10:HQ10)-HR10&gt;0,SUM(HN10:HQ10)-HR10,"")</f>
        <v/>
      </c>
      <c r="IH10" s="16" t="str">
        <f>IF(HU10&gt;0,HU10,"")</f>
        <v/>
      </c>
      <c r="II10" s="16" t="str">
        <f>IF(HV10&gt;0,HV10,"")</f>
        <v/>
      </c>
      <c r="IJ10" s="16" t="str">
        <f>IF(SUM(HS10:HV10)-HW10&gt;0,SUM(HS10:HV10)-HW10,"")</f>
        <v/>
      </c>
      <c r="IK10" s="16" t="str">
        <f>IF(SUM(ID10,IJ10)&gt;0,SUM(ID10,IJ10),"")</f>
        <v/>
      </c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76" t="str">
        <f>IF(IN10&gt;0,IN10,"")</f>
        <v/>
      </c>
      <c r="JG10" s="76" t="str">
        <f>IF(IO10&gt;0,IO10,"")</f>
        <v/>
      </c>
      <c r="JH10" s="76" t="str">
        <f>IF(SUM(IL10:IO10)-IP10&gt;0,SUM(IL10:IO10)-IP10,"")</f>
        <v/>
      </c>
      <c r="JI10" s="76" t="str">
        <f>IF(IS10&gt;0,IS10,"")</f>
        <v/>
      </c>
      <c r="JJ10" s="76" t="str">
        <f>IF(IT10&gt;0,IT10,"")</f>
        <v/>
      </c>
      <c r="JK10" s="76" t="str">
        <f>IF(SUM(IQ10:IT10)-IU10&gt;0,SUM(IQ10:IT10)-IU10,"")</f>
        <v/>
      </c>
      <c r="JL10" s="76" t="str">
        <f>IF(MAX(JH10,JK10)&gt;0,MAX(JH10,JK10),"")</f>
        <v/>
      </c>
      <c r="JM10" s="76" t="str">
        <f>IF(IX10&gt;0,IX10,"")</f>
        <v/>
      </c>
      <c r="JN10" s="76" t="str">
        <f>IF(IY10&gt;0,IY10,"")</f>
        <v/>
      </c>
      <c r="JO10" s="76" t="str">
        <f>IF(SUM(IV10:IY10)-IZ10&gt;0,SUM(IV10:IY10)-IZ10,"")</f>
        <v/>
      </c>
      <c r="JP10" s="76" t="str">
        <f>IF(JC10&gt;0,JC10,"")</f>
        <v/>
      </c>
      <c r="JQ10" s="76" t="str">
        <f>IF(JD10&gt;0,JD10,"")</f>
        <v/>
      </c>
      <c r="JR10" s="76" t="str">
        <f>IF(SUM(JA10:JD10)-JE10&gt;0,SUM(JA10:JD10)-JE10,"")</f>
        <v/>
      </c>
      <c r="JS10" s="76" t="str">
        <f>IF(SUM(JL10,JR10)&gt;0,SUM(JL10,JR10),"")</f>
        <v/>
      </c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16" t="str">
        <f>IF(JV10&gt;0,JV10,"")</f>
        <v/>
      </c>
      <c r="KO10" s="16" t="str">
        <f>IF(JW10&gt;0,JW10,"")</f>
        <v/>
      </c>
      <c r="KP10" s="16" t="str">
        <f>IF(SUM(JT10:JW10)-JX10&gt;0,SUM(JT10:JW10)-JX10,"")</f>
        <v/>
      </c>
      <c r="KQ10" s="16" t="str">
        <f>IF(KA10&gt;0,KA10,"")</f>
        <v/>
      </c>
      <c r="KR10" s="16" t="str">
        <f>IF(KB10&gt;0,KB10,"")</f>
        <v/>
      </c>
      <c r="KS10" s="16" t="str">
        <f>IF(SUM(JY10:KB10)-KC10&gt;0,SUM(JY10:KB10)-KC10,"")</f>
        <v/>
      </c>
      <c r="KT10" s="16" t="str">
        <f>IF(MAX(KP10,KS10)&gt;0,MAX(KP10,KS10),"")</f>
        <v/>
      </c>
      <c r="KU10" s="16" t="str">
        <f>IF(KF10&gt;0,KF10,"")</f>
        <v/>
      </c>
      <c r="KV10" s="16" t="str">
        <f>IF(KG10&gt;0,KG10,"")</f>
        <v/>
      </c>
      <c r="KW10" s="16" t="str">
        <f>IF(SUM(KD10:KG10)-KH10&gt;0,SUM(KD10:KG10)-KH10,"")</f>
        <v/>
      </c>
      <c r="KX10" s="16" t="str">
        <f>IF(KK10&gt;0,KK10,"")</f>
        <v/>
      </c>
      <c r="KY10" s="16" t="str">
        <f>IF(KL10&gt;0,KL10,"")</f>
        <v/>
      </c>
      <c r="KZ10" s="16" t="str">
        <f>IF(SUM(KI10:KL10)-KM10&gt;0,SUM(KI10:KL10)-KM10,"")</f>
        <v/>
      </c>
      <c r="LA10" s="16" t="str">
        <f>IF(SUM(KT10,KZ10)&gt;0,SUM(KT10,KZ10),"")</f>
        <v/>
      </c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76" t="str">
        <f>IF(LD10&gt;0,LD10,"")</f>
        <v/>
      </c>
      <c r="LW10" s="76" t="str">
        <f>IF(LE10&gt;0,LE10,"")</f>
        <v/>
      </c>
      <c r="LX10" s="76" t="str">
        <f>IF(SUM(LB10:LE10)-LF10&gt;0,SUM(LB10:LE10)-LF10,"")</f>
        <v/>
      </c>
      <c r="LY10" s="76" t="str">
        <f>IF(LI10&gt;0,LI10,"")</f>
        <v/>
      </c>
      <c r="LZ10" s="76" t="str">
        <f>IF(LJ10&gt;0,LJ10,"")</f>
        <v/>
      </c>
      <c r="MA10" s="76" t="str">
        <f>IF(SUM(LG10:LJ10)-LK10&gt;0,SUM(LG10:LJ10)-LK10,"")</f>
        <v/>
      </c>
      <c r="MB10" s="76" t="str">
        <f>IF(MAX(LX10,MA10)&gt;0,MAX(LX10,MA10),"")</f>
        <v/>
      </c>
      <c r="MC10" s="76" t="str">
        <f>IF(LN10&gt;0,LN10,"")</f>
        <v/>
      </c>
      <c r="MD10" s="76" t="str">
        <f>IF(LO10&gt;0,LO10,"")</f>
        <v/>
      </c>
      <c r="ME10" s="76" t="str">
        <f>IF(SUM(LL10:LO10)-LP10&gt;0,SUM(LL10:LO10)-LP10,"")</f>
        <v/>
      </c>
      <c r="MF10" s="76" t="str">
        <f>IF(LS10&gt;0,LS10,"")</f>
        <v/>
      </c>
      <c r="MG10" s="76" t="str">
        <f>IF(LT10&gt;0,LT10,"")</f>
        <v/>
      </c>
      <c r="MH10" s="76" t="str">
        <f>IF(SUM(LQ10:LT10)-LU10&gt;0,SUM(LQ10:LT10)-LU10,"")</f>
        <v/>
      </c>
      <c r="MI10" s="76" t="str">
        <f>IF(SUM(MB10,MH10)&gt;0,SUM(MB10,MH10),"")</f>
        <v/>
      </c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16" t="str">
        <f>IF(ML10&gt;0,ML10,"")</f>
        <v/>
      </c>
      <c r="NE10" s="16" t="str">
        <f>IF(MM10&gt;0,MM10,"")</f>
        <v/>
      </c>
      <c r="NF10" s="16" t="str">
        <f>IF(SUM(MJ10:MM10)-MN10&gt;0,SUM(MJ10:MM10)-MN10,"")</f>
        <v/>
      </c>
      <c r="NG10" s="16" t="str">
        <f>IF(MQ10&gt;0,MQ10,"")</f>
        <v/>
      </c>
      <c r="NH10" s="16" t="str">
        <f>IF(MR10&gt;0,MR10,"")</f>
        <v/>
      </c>
      <c r="NI10" s="16" t="str">
        <f>IF(SUM(MO10:MR10)-MS10&gt;0,SUM(MO10:MR10)-MS10,"")</f>
        <v/>
      </c>
      <c r="NJ10" s="16" t="str">
        <f>IF(MAX(NF10,NI10)&gt;0,MAX(NF10,NI10),"")</f>
        <v/>
      </c>
      <c r="NK10" s="16" t="str">
        <f>IF(MV10&gt;0,MV10,"")</f>
        <v/>
      </c>
      <c r="NL10" s="16" t="str">
        <f>IF(MW10&gt;0,MW10,"")</f>
        <v/>
      </c>
      <c r="NM10" s="16" t="str">
        <f>IF(SUM(MT10:MW10)-MX10&gt;0,SUM(MT10:MW10)-MX10,"")</f>
        <v/>
      </c>
      <c r="NN10" s="16" t="str">
        <f>IF(NA10&gt;0,NA10,"")</f>
        <v/>
      </c>
      <c r="NO10" s="16" t="str">
        <f>IF(NB10&gt;0,NB10,"")</f>
        <v/>
      </c>
      <c r="NP10" s="16" t="str">
        <f>IF(SUM(MY10:NB10)-NC10&gt;0,SUM(MY10:NB10)-NC10,"")</f>
        <v/>
      </c>
      <c r="NQ10" s="16" t="str">
        <f>IF(SUM(NJ10,NP10)&gt;0,SUM(NJ10,NP10),"")</f>
        <v/>
      </c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76" t="str">
        <f>IF(NT10&gt;0,NT10,"")</f>
        <v/>
      </c>
      <c r="OM10" s="76" t="str">
        <f>IF(NU10&gt;0,NU10,"")</f>
        <v/>
      </c>
      <c r="ON10" s="76" t="str">
        <f>IF(SUM(NR10:NU10)-NV10&gt;0,SUM(NR10:NU10)-NV10,"")</f>
        <v/>
      </c>
      <c r="OO10" s="76" t="str">
        <f>IF(NY10&gt;0,NY10,"")</f>
        <v/>
      </c>
      <c r="OP10" s="76" t="str">
        <f>IF(NZ10&gt;0,NZ10,"")</f>
        <v/>
      </c>
      <c r="OQ10" s="76" t="str">
        <f>IF(SUM(NW10:NZ10)-OA10&gt;0,SUM(NW10:NZ10)-OA10,"")</f>
        <v/>
      </c>
      <c r="OR10" s="76" t="str">
        <f>IF(MAX(ON10,OQ10)&gt;0,MAX(ON10,OQ10),"")</f>
        <v/>
      </c>
      <c r="OS10" s="76" t="str">
        <f>IF(OD10&gt;0,OD10,"")</f>
        <v/>
      </c>
      <c r="OT10" s="76" t="str">
        <f>IF(OE10&gt;0,OE10,"")</f>
        <v/>
      </c>
      <c r="OU10" s="76" t="str">
        <f>IF(SUM(OB10:OE10)-OF10&gt;0,SUM(OB10:OE10)-OF10,"")</f>
        <v/>
      </c>
      <c r="OV10" s="76" t="str">
        <f>IF(OI10&gt;0,OI10,"")</f>
        <v/>
      </c>
      <c r="OW10" s="76" t="str">
        <f>IF(OJ10&gt;0,OJ10,"")</f>
        <v/>
      </c>
      <c r="OX10" s="76" t="str">
        <f>IF(SUM(OG10:OJ10)-OK10&gt;0,SUM(OG10:OJ10)-OK10,"")</f>
        <v/>
      </c>
      <c r="OY10" s="76" t="str">
        <f>IF(SUM(OR10,OX10)&gt;0,SUM(OR10,OX10),"")</f>
        <v/>
      </c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16" t="str">
        <f>IF(PB10&gt;0,PB10,"")</f>
        <v/>
      </c>
      <c r="PU10" s="16" t="str">
        <f>IF(PC10&gt;0,PC10,"")</f>
        <v/>
      </c>
      <c r="PV10" s="16" t="str">
        <f>IF(SUM(OZ10:PC10)-PD10&gt;0,SUM(OZ10:PC10)-PD10,"")</f>
        <v/>
      </c>
      <c r="PW10" s="16" t="str">
        <f>IF(PG10&gt;0,PG10,"")</f>
        <v/>
      </c>
      <c r="PX10" s="16" t="str">
        <f>IF(PH10&gt;0,PH10,"")</f>
        <v/>
      </c>
      <c r="PY10" s="16" t="str">
        <f>IF(SUM(PE10:PH10)-PI10&gt;0,SUM(PE10:PH10)-PI10,"")</f>
        <v/>
      </c>
      <c r="PZ10" s="16" t="str">
        <f>IF(MAX(PV10,PY10)&gt;0,MAX(PV10,PY10),"")</f>
        <v/>
      </c>
      <c r="QA10" s="16" t="str">
        <f>IF(PL10&gt;0,PL10,"")</f>
        <v/>
      </c>
      <c r="QB10" s="16" t="str">
        <f>IF(PM10&gt;0,PM10,"")</f>
        <v/>
      </c>
      <c r="QC10" s="16" t="str">
        <f>IF(SUM(PJ10:PM10)-PN10&gt;0,SUM(PJ10:PM10)-PN10,"")</f>
        <v/>
      </c>
      <c r="QD10" s="16" t="str">
        <f>IF(PQ10&gt;0,PQ10,"")</f>
        <v/>
      </c>
      <c r="QE10" s="16" t="str">
        <f>IF(PR10&gt;0,PR10,"")</f>
        <v/>
      </c>
      <c r="QF10" s="16" t="str">
        <f>IF(SUM(PO10:PR10)-PS10&gt;0,SUM(PO10:PR10)-PS10,"")</f>
        <v/>
      </c>
      <c r="QG10" s="16" t="str">
        <f>IF(SUM(PZ10,QF10)&gt;0,SUM(PZ10,QF10),"")</f>
        <v/>
      </c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76" t="str">
        <f>IF(QJ10&gt;0,QJ10,"")</f>
        <v/>
      </c>
      <c r="RC10" s="76" t="str">
        <f>IF(QK10&gt;0,QK10,"")</f>
        <v/>
      </c>
      <c r="RD10" s="76" t="str">
        <f>IF(SUM(QH10:QK10)-QL10&gt;0,SUM(QH10:QK10)-QL10,"")</f>
        <v/>
      </c>
      <c r="RE10" s="76" t="str">
        <f>IF(QO10&gt;0,QO10,"")</f>
        <v/>
      </c>
      <c r="RF10" s="76" t="str">
        <f>IF(QP10&gt;0,QP10,"")</f>
        <v/>
      </c>
      <c r="RG10" s="76" t="str">
        <f>IF(SUM(QM10:QP10)-QQ10&gt;0,SUM(QM10:QP10)-QQ10,"")</f>
        <v/>
      </c>
      <c r="RH10" s="76" t="str">
        <f>IF(MAX(RD10,RG10)&gt;0,MAX(RD10,RG10),"")</f>
        <v/>
      </c>
      <c r="RI10" s="76" t="str">
        <f>IF(QT10&gt;0,QT10,"")</f>
        <v/>
      </c>
      <c r="RJ10" s="76" t="str">
        <f>IF(QU10&gt;0,QU10,"")</f>
        <v/>
      </c>
      <c r="RK10" s="76" t="str">
        <f>IF(SUM(QR10:QU10)-QV10&gt;0,SUM(QR10:QU10)-QV10,"")</f>
        <v/>
      </c>
      <c r="RL10" s="76" t="str">
        <f>IF(QY10&gt;0,QY10,"")</f>
        <v/>
      </c>
      <c r="RM10" s="76" t="str">
        <f>IF(QZ10&gt;0,QZ10,"")</f>
        <v/>
      </c>
      <c r="RN10" s="76" t="str">
        <f>IF(SUM(QW10:QZ10)-RA10&gt;0,SUM(QW10:QZ10)-RA10,"")</f>
        <v/>
      </c>
      <c r="RO10" s="76" t="str">
        <f>IF(SUM(RH10,RN10)&gt;0,SUM(RH10,RN10),"")</f>
        <v/>
      </c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16" t="str">
        <f>IF(RR10&gt;0,RR10,"")</f>
        <v/>
      </c>
      <c r="SK10" s="16" t="str">
        <f>IF(RS10&gt;0,RS10,"")</f>
        <v/>
      </c>
      <c r="SL10" s="16" t="str">
        <f>IF(SUM(RP10:RS10)-RT10&gt;0,SUM(RP10:RS10)-RT10,"")</f>
        <v/>
      </c>
      <c r="SM10" s="16" t="str">
        <f>IF(RW10&gt;0,RW10,"")</f>
        <v/>
      </c>
      <c r="SN10" s="16" t="str">
        <f>IF(RX10&gt;0,RX10,"")</f>
        <v/>
      </c>
      <c r="SO10" s="16" t="str">
        <f>IF(SUM(RU10:RX10)-RY10&gt;0,SUM(RU10:RX10)-RY10,"")</f>
        <v/>
      </c>
      <c r="SP10" s="16" t="str">
        <f>IF(MAX(SL10,SO10)&gt;0,MAX(SL10,SO10),"")</f>
        <v/>
      </c>
      <c r="SQ10" s="16" t="str">
        <f>IF(SB10&gt;0,SB10,"")</f>
        <v/>
      </c>
      <c r="SR10" s="16" t="str">
        <f>IF(SC10&gt;0,SC10,"")</f>
        <v/>
      </c>
      <c r="SS10" s="16" t="str">
        <f>IF(SUM(RZ10:SC10)-SD10&gt;0,SUM(RZ10:SC10)-SD10,"")</f>
        <v/>
      </c>
      <c r="ST10" s="16" t="str">
        <f>IF(SG10&gt;0,SG10,"")</f>
        <v/>
      </c>
      <c r="SU10" s="16" t="str">
        <f>IF(SH10&gt;0,SH10,"")</f>
        <v/>
      </c>
      <c r="SV10" s="16" t="str">
        <f>IF(SUM(SE10:SH10)-SI10&gt;0,SUM(SE10:SH10)-SI10,"")</f>
        <v/>
      </c>
      <c r="SW10" s="16" t="str">
        <f>IF(SUM(SP10,SV10)&gt;0,SUM(SP10,SV10),"")</f>
        <v/>
      </c>
      <c r="SX10" s="42">
        <f>IF($CP10="P",CA10,(CA10+AZ10)/2)</f>
        <v>14.4</v>
      </c>
      <c r="SY10" s="42">
        <f>IF($CP10="P",CB10,(CB10+BA10)/2)</f>
        <v>7.1875</v>
      </c>
      <c r="SZ10" s="42">
        <f>IF($CP10="P",CC10,(CC10+BB10)/2)</f>
        <v>12.925000000000001</v>
      </c>
      <c r="TA10" s="42">
        <f>IF($CP10="P",CD10,(CD10+BC10)/2)</f>
        <v>14.618749999999999</v>
      </c>
      <c r="TB10" s="42">
        <f>IF($CP10="P",CE10,(CE10+BD10)/2)</f>
        <v>0</v>
      </c>
      <c r="TC10" s="42">
        <f>IF($CP10="P",CF10,(CF10+BE10)/2)</f>
        <v>13.45</v>
      </c>
      <c r="TD10" s="42">
        <f>IF($CP10="P",CG10,(CG10+BF10)/2)</f>
        <v>6.85</v>
      </c>
      <c r="TE10" s="42">
        <f>IF($CP10="P",CH10,(CH10+BG10)/2)</f>
        <v>12.7</v>
      </c>
      <c r="TF10" s="42">
        <f>IF($CP10="P",CI10,(CI10+BH10)/2)</f>
        <v>13.82</v>
      </c>
      <c r="TG10" s="42">
        <f>IF($CP10="P",CJ10,(CJ10+BI10)/2)</f>
        <v>0</v>
      </c>
      <c r="TH10" s="42">
        <f>IF($CP10="P",CK10,(CK10+BJ10)/2)</f>
        <v>7.55</v>
      </c>
      <c r="TI10" s="42">
        <f>IF($CP10="P",CL10,(CL10+BK10)/2)</f>
        <v>4</v>
      </c>
      <c r="TJ10" s="42">
        <f>IF($CP10="P",CM10,(CM10+BL10)/2)</f>
        <v>7.625</v>
      </c>
      <c r="TK10" s="42">
        <f>IF($CP10="P",CN10,(CN10+BM10)/2)</f>
        <v>7.91</v>
      </c>
      <c r="TL10" s="42">
        <f>IF($CP10="P",CO10,(CO10+BN10)/2)</f>
        <v>0</v>
      </c>
      <c r="TM10" s="51" t="s">
        <v>61</v>
      </c>
      <c r="TN10" s="76">
        <f>IF(SZ10&gt;0,SZ10,"")</f>
        <v>12.925000000000001</v>
      </c>
      <c r="TO10" s="76">
        <f>IF(TA10&gt;0,TA10,"")</f>
        <v>14.618749999999999</v>
      </c>
      <c r="TP10" s="76">
        <f>IF(SUM(SX10:TA10)-TB10&gt;0,SUM(SX10:TA10)-TB10,"")</f>
        <v>49.131250000000001</v>
      </c>
      <c r="TQ10" s="76">
        <f>IF(TE10&gt;0,TE10,"")</f>
        <v>12.7</v>
      </c>
      <c r="TR10" s="76">
        <f>IF(TF10&gt;0,TF10,"")</f>
        <v>13.82</v>
      </c>
      <c r="TS10" s="76">
        <f>IF(SUM(TC10:TF10)-TG10&gt;0,SUM(TC10:TF10)-TG10,"")</f>
        <v>46.82</v>
      </c>
      <c r="TT10" s="76">
        <f>IF(MAX(TP10,TS10)&gt;0,MAX(TP10,TS10),"")</f>
        <v>49.131250000000001</v>
      </c>
      <c r="TU10" s="76">
        <f>IF(TJ10&gt;0,TJ10,"")</f>
        <v>7.625</v>
      </c>
      <c r="TV10" s="76">
        <f>IF(TK10&gt;0,TK10,"")</f>
        <v>7.91</v>
      </c>
      <c r="TW10" s="76">
        <f>IF(SUM(TH10:TK10)-TL10&gt;0,SUM(TH10:TK10)-TL10,"")</f>
        <v>27.085000000000001</v>
      </c>
      <c r="TX10" s="76">
        <f>IF(SUM(TT10,TW10)&gt;0,SUM(TT10,TW10),"")</f>
        <v>76.216250000000002</v>
      </c>
    </row>
    <row r="11" spans="1:544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>SUM(J11:V11)+SUM(J11:T11)*0.0000001+SUM(J11)*0.0000000000001</f>
        <v>241.20002412000537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Z11&gt;=EM$25,DZ11&lt;&gt;"",EB11&gt;=EM$29,EB11&lt;&gt;""),AND(EC11&gt;=EM$25,EC11&lt;&gt;"",EE11&gt;=EM$29,EE11&lt;&gt;""),AND(EG11&gt;=EM$25,EG11&lt;&gt;"",EI11&gt;=EM$29,EI11&lt;&gt;""),AND(EJ11&gt;=EM$25,EJ11&lt;&gt;"",EL11&gt;=EM$29,EL11&lt;&gt;""),AND(FH11&gt;=FU$25,FH11&lt;&gt;"",FJ11&gt;=FU$29,FJ11&lt;&gt;""),AND(FK11&gt;=FU$25,FK11&lt;&gt;"",FM11&gt;=FU$29,FM11&lt;&gt;""),AND(FO11&gt;=FU$25,FO11&lt;&gt;"",FQ11&gt;=FU$29,FQ11&lt;&gt;""),AND(FR11&gt;=FU$25,FR11&lt;&gt;"",FT11&gt;=FU$29,FT11&lt;&gt;""),AND(GP11&gt;=HC$25,GP11&lt;&gt;"",GR11&gt;=HC$29,GR11&lt;&gt;""),AND(GS11&gt;=HC$25,GS11&lt;&gt;"",GU11&gt;=HC$29,GU11&lt;&gt;""),AND(GW11&gt;=HC$25,GW11&lt;&gt;"",GY11&gt;=HC$29,GY11&lt;&gt;""),AND(GZ11&gt;=HC$25,GZ11&lt;&gt;"",HB11&gt;=HC$29,HB11&lt;&gt;""),AND(HX11&gt;=IK$25,HX11&lt;&gt;"",HZ11&gt;=IK$29,HZ11&lt;&gt;""),AND(IA11&gt;=IK$25,IA11&lt;&gt;"",IC11&gt;=IK$29,IC11&lt;&gt;""),AND(IE11&gt;=IK$25,IE11&lt;&gt;"",IG11&gt;=IK$29,IG11&lt;&gt;""),AND(IH11&gt;=IK$25,IH11&lt;&gt;"",IJ11&gt;=IK$29,IJ11&lt;&gt;""),AND(JF11&gt;=JS$25,JF11&lt;&gt;"",JH11&gt;=JS$29,JH11&lt;&gt;""),AND(JI11&gt;=JS$25,JI11&lt;&gt;"",JK11&gt;=JS$29,JK11&lt;&gt;""),AND(JM11&gt;=JS$25,JM11&lt;&gt;"",JO11&gt;=JS$29,JO11&lt;&gt;""),AND(JP11&gt;=JS$25,JP11&lt;&gt;"",JR11&gt;=JS$29,JR11&lt;&gt;""),AND(KN11&gt;=LA$25,KN11&lt;&gt;"",KP11&gt;=LA$29,KP11&lt;&gt;""),AND(KQ11&gt;=LA$25,KQ11&lt;&gt;"",KS11&gt;=LA$29,KS11&lt;&gt;""),AND(KU11&gt;=LA$25,KU11&lt;&gt;"",KW11&gt;=LA$29,KW11&lt;&gt;""),AND(KX11&gt;=LA$25,KX11&lt;&gt;"",KZ11&gt;=LA$29,KZ11&lt;&gt;""),AND(LV11&gt;=MI$25,LV11&lt;&gt;"",LX11&gt;=MI$29,LX11&lt;&gt;""),AND(LY11&gt;=MI$25,LY11&lt;&gt;"",MA11&gt;=MI$29,MA11&lt;&gt;""),AND(MC11&gt;=MI$25,MC11&lt;&gt;"",ME11&gt;=MI$29,ME11&lt;&gt;""),AND(MF11&gt;=MI$25,MF11&lt;&gt;"",MH11&gt;=MI$29,MH11&lt;&gt;""),AND(ND11&gt;=NQ$25,ND11&lt;&gt;"",NF11&gt;=NQ$29,NF11&lt;&gt;""),AND(NG11&gt;=NQ$25,NG11&lt;&gt;"",NI11&gt;=NQ$29,NI11&lt;&gt;""),AND(NK11&gt;=NQ$25,NK11&lt;&gt;"",NM11&gt;=NQ$29,NM11&lt;&gt;""),AND(NN11&gt;=NQ$25,NN11&lt;&gt;"",NP11&gt;=NQ$29,NP11&lt;&gt;""),AND(OL11&gt;=OY$25,OL11&lt;&gt;"",ON11&gt;=OY$29,ON11&lt;&gt;""),AND(OO11&gt;=OY$25,OO11&lt;&gt;"",OQ11&gt;=OY$29,OQ11&lt;&gt;""),AND(OS11&gt;=OY$25,OS11&lt;&gt;"",OU11&gt;=OY$29,OU11&lt;&gt;""),AND(OV11&gt;=OY$25,OV11&lt;&gt;"",OX11&gt;=OY$29,OX11&lt;&gt;""),AND(PT11&gt;=QG$25,PT11&lt;&gt;"",PV11&gt;=QG$29,PV11&lt;&gt;""),AND(PW11&gt;=QG$25,PW11&lt;&gt;"",PY11&gt;=QG$29,PY11&lt;&gt;""),AND(QA11&gt;=QG$25,QA11&lt;&gt;"",QC11&gt;=QG$29,QC11&lt;&gt;""),AND(QD11&gt;=QG$25,QD11&lt;&gt;"",QF11&gt;=QG$29,QF11&lt;&gt;""),AND(RB11&gt;=RO$25,RB11&lt;&gt;"",RD11&gt;=RO$29,RD11&lt;&gt;""),AND(RE11&gt;=RO$25,RE11&lt;&gt;"",RG11&gt;=RO$29,RG11&lt;&gt;""),AND(RI11&gt;=RO$25,RI11&lt;&gt;"",RK11&gt;=RO$29,RK11&lt;&gt;""),AND(RL11&gt;=RO$25,RL11&lt;&gt;"",RN11&gt;=RO$29,RN11&lt;&gt;""),AND(SJ11&gt;=SW$25,SJ11&lt;&gt;"",SL11&gt;=SW$29,SL11&lt;&gt;""),AND(SM11&gt;=SW$25,SM11&lt;&gt;"",SO11&gt;=SW$29,SO11&lt;&gt;""),AND(SQ11&gt;=SW$25,SQ11&lt;&gt;"",SS11&gt;=SW$29,SS11&lt;&gt;""),AND(ST11&gt;=SW$25,ST11&lt;&gt;"",SV11&gt;=SW$29,SV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EB11&gt;=EM$29,EB11&lt;&gt;""),AND(EE11&gt;=EM$29,EE11&lt;&gt;""),AND(EI11&gt;=EM$29,EI11&lt;&gt;""),AND(EL11&gt;=EM$29,EL11&lt;&gt;""),AND(FJ11&gt;=FU$29,FJ11&lt;&gt;""),AND(FM11&gt;=FU$29,FM11&lt;&gt;""),AND(FQ11&gt;=FU$29,FQ11&lt;&gt;""),AND(FT11&gt;=FU$29,FT11&lt;&gt;""),AND(GR11&gt;=HC$29,GR11&lt;&gt;""),AND(GU11&gt;=HC$29,GU11&lt;&gt;""),AND(GY11&gt;=HC$29,GY11&lt;&gt;""),AND(HB11&gt;=HC$29,HB11&lt;&gt;""),AND(HZ11&gt;=IK$29,HZ11&lt;&gt;""),AND(IC11&gt;=IK$29,IC11&lt;&gt;""),AND(IG11&gt;=IK$29,IG11&lt;&gt;""),AND(IJ11&gt;=IK$29,IJ11&lt;&gt;""),AND(JH11&gt;=JS$29,JH11&lt;&gt;""),AND(JK11&gt;=JS$29,JK11&lt;&gt;""),AND(JO11&gt;=JS$29,JO11&lt;&gt;""),AND(JR11&gt;=JS$29,JR11&lt;&gt;""),AND(KP11&gt;=LA$29,KP11&lt;&gt;""),AND(KS11&gt;=LA$29,KS11&lt;&gt;""),AND(KW11&gt;=LA$29,KW11&lt;&gt;""),AND(KZ11&gt;=LA$29,KZ11&lt;&gt;""),AND(LX11&gt;=MI$29,LX11&lt;&gt;""),AND(MA11&gt;=MI$29,MA11&lt;&gt;""),AND(ME11&gt;=MI$29,ME11&lt;&gt;""),AND(MH11&gt;=MI$29,MH11&lt;&gt;""),AND(NF11&gt;=NQ$29,NF11&lt;&gt;""),AND(NI11&gt;=NQ$29,NI11&lt;&gt;""),AND(NM11&gt;=NQ$29,NM11&lt;&gt;""),AND(NP11&gt;=NQ$29,NP11&lt;&gt;""),AND(ON11&gt;=OY$29,ON11&lt;&gt;""),AND(OQ11&gt;=OY$29,OQ11&lt;&gt;""),AND(OU11&gt;=OY$29,OU11&lt;&gt;""),AND(OX11&gt;=OY$29,OX11&lt;&gt;""),AND(PV11&gt;=QG$29,PV11&lt;&gt;""),AND(PY11&gt;=QG$29,PY11&lt;&gt;""),AND(QC11&gt;=QG$29,QC11&lt;&gt;""),AND(QF11&gt;=QG$29,QF11&lt;&gt;""),AND(RD11&gt;=RO$29,RD11&lt;&gt;""),AND(RG11&gt;=RO$29,RG11&lt;&gt;""),AND(RK11&gt;=RO$29,RK11&lt;&gt;""),AND(RN11&gt;=RO$29,RN11&lt;&gt;""),AND(SL11&gt;=SW$29,SL11&lt;&gt;""),AND(SO11&gt;=SW$29,SO11&lt;&gt;""),AND(SS11&gt;=SW$29,SS11&lt;&gt;""),AND(SV11&gt;=SW$29,SV11&lt;&gt;"")),"P","")</f>
        <v/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Z11&gt;=EM$28,DZ11&lt;&gt;"",EB11&gt;=EM$32,EB11&lt;&gt;""),AND(EC11&gt;=EM$28,EC11&lt;&gt;"",EE11&gt;=EM$32,EE11&lt;&gt;""),AND(EG11&gt;=EM$28,EG11&lt;&gt;"",EI11&gt;=EM$32,EI11&lt;&gt;""),AND(EJ11&gt;=EM$28,EJ11&lt;&gt;"",EL11&gt;=EM$32,EL11&lt;&gt;""),AND(FH11&gt;=FU$28,FH11&lt;&gt;"",FJ11&gt;=FU$32,FJ11&lt;&gt;""),AND(FK11&gt;=FU$28,FK11&lt;&gt;"",FM11&gt;=FU$32,FM11&lt;&gt;""),AND(FO11&gt;=FU$28,FO11&lt;&gt;"",FQ11&gt;=FU$32,FQ11&lt;&gt;""),AND(FR11&gt;=FU$28,FR11&lt;&gt;"",FT11&gt;=FU$32,FT11&lt;&gt;""),AND(GP11&gt;=HC$28,GP11&lt;&gt;"",GR11&gt;=HC$32,GR11&lt;&gt;""),AND(GS11&gt;=HC$28,GS11&lt;&gt;"",GU11&gt;=HC$32,GU11&lt;&gt;""),AND(GW11&gt;=HC$28,GW11&lt;&gt;"",GY11&gt;=HC$32,GY11&lt;&gt;""),AND(GZ11&gt;=HC$28,GZ11&lt;&gt;"",HB11&gt;=HC$32,HB11&lt;&gt;""),AND(HX11&gt;=IK$28,HX11&lt;&gt;"",HZ11&gt;=IK$32,HZ11&lt;&gt;""),AND(IA11&gt;=IK$28,IA11&lt;&gt;"",IC11&gt;=IK$32,IC11&lt;&gt;""),AND(IE11&gt;=IK$28,IE11&lt;&gt;"",IG11&gt;=IK$32,IG11&lt;&gt;""),AND(IH11&gt;=IK$28,IH11&lt;&gt;"",IJ11&gt;=IK$32,IJ11&lt;&gt;""),AND(JF11&gt;=JS$28,JF11&lt;&gt;"",JH11&gt;=JS$32,JH11&lt;&gt;""),AND(JI11&gt;=JS$28,JI11&lt;&gt;"",JK11&gt;=JS$32,JK11&lt;&gt;""),AND(JM11&gt;=JS$28,JM11&lt;&gt;"",JO11&gt;=JS$32,JO11&lt;&gt;""),AND(JP11&gt;=JS$28,JP11&lt;&gt;"",JR11&gt;=JS$32,JR11&lt;&gt;""),AND(KN11&gt;=LA$28,KN11&lt;&gt;"",KP11&gt;=LA$32,KP11&lt;&gt;""),AND(KQ11&gt;=LA$28,KQ11&lt;&gt;"",KS11&gt;=LA$32,KS11&lt;&gt;""),AND(KU11&gt;=LA$28,KU11&lt;&gt;"",KW11&gt;=LA$32,KW11&lt;&gt;""),AND(KX11&gt;=LA$28,KX11&lt;&gt;"",KZ11&gt;=LA$32,KZ11&lt;&gt;""),AND(LV11&gt;=MI$28,LV11&lt;&gt;"",LX11&gt;=MI$32,LX11&lt;&gt;""),AND(LY11&gt;=MI$28,LY11&lt;&gt;"",MA11&gt;=MI$32,MA11&lt;&gt;""),AND(MC11&gt;=MI$28,MC11&lt;&gt;"",ME11&gt;=MI$32,ME11&lt;&gt;""),AND(MF11&gt;=MI$28,MF11&lt;&gt;"",MH11&gt;=MI$32,MH11&lt;&gt;""),AND(ND11&gt;=NQ$28,ND11&lt;&gt;"",NF11&gt;=NQ$32,NF11&lt;&gt;""),AND(NG11&gt;=NQ$28,NG11&lt;&gt;"",NI11&gt;=NQ$32,NI11&lt;&gt;""),AND(NK11&gt;=NQ$28,NK11&lt;&gt;"",NM11&gt;=NQ$32,NM11&lt;&gt;""),AND(NN11&gt;=NQ$28,NN11&lt;&gt;"",NP11&gt;=NQ$32,NP11&lt;&gt;""),AND(OL11&gt;=OY$28,OL11&lt;&gt;"",ON11&gt;=OY$32,ON11&lt;&gt;""),AND(OO11&gt;=OY$28,OO11&lt;&gt;"",OQ11&gt;=OY$32,OQ11&lt;&gt;""),AND(OS11&gt;=OY$28,OS11&lt;&gt;"",OU11&gt;=OY$32,OU11&lt;&gt;""),AND(OV11&gt;=OY$28,OV11&lt;&gt;"",OX11&gt;=OY$32,OX11&lt;&gt;""),AND(PT11&gt;=QG$28,PT11&lt;&gt;"",PV11&gt;=QG$32,PV11&lt;&gt;""),AND(PW11&gt;=QG$28,PW11&lt;&gt;"",PY11&gt;=QG$32,PY11&lt;&gt;""),AND(QA11&gt;=QG$28,QA11&lt;&gt;"",QC11&gt;=QG$32,QC11&lt;&gt;""),AND(QD11&gt;=QG$28,QD11&lt;&gt;"",QF11&gt;=QG$32,QF11&lt;&gt;""),AND(RB11&gt;=RO$28,RB11&lt;&gt;"",RD11&gt;=RO$32,RD11&lt;&gt;""),AND(RE11&gt;=RO$28,RE11&lt;&gt;"",RG11&gt;=RO$32,RG11&lt;&gt;""),AND(RI11&gt;=RO$28,RI11&lt;&gt;"",RK11&gt;=RO$32,RK11&lt;&gt;""),AND(RL11&gt;=RO$28,RL11&lt;&gt;"",RN11&gt;=RO$32,RN11&lt;&gt;""),AND(SJ11&gt;=SW$28,SJ11&lt;&gt;"",SL11&gt;=SW$32,SL11&lt;&gt;""),AND(SM11&gt;=SW$28,SM11&lt;&gt;"",SO11&gt;=SW$32,SO11&lt;&gt;""),AND(SQ11&gt;=SW$28,SQ11&lt;&gt;"",SS11&gt;=SW$32,SS11&lt;&gt;""),AND(ST11&gt;=SW$28,ST11&lt;&gt;"",SV11&gt;=SW$32,SV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Z11&gt;=EM$27,DZ11&lt;&gt;"",EB11&gt;=EM$31,EB11&lt;&gt;""),AND(EC11&gt;=EM$27,EC11&lt;&gt;"",EE11&gt;=EM$31,EE11&lt;&gt;""),AND(EG11&gt;=EM$27,EG11&lt;&gt;"",EI11&gt;=EM$31,EI11&lt;&gt;""),AND(EJ11&gt;=EM$27,EJ11&lt;&gt;"",EL11&gt;=EM$31,EL11&lt;&gt;""),AND(FH11&gt;=FU$27,FH11&lt;&gt;"",FJ11&gt;=FU$31,FJ11&lt;&gt;""),AND(FK11&gt;=FU$27,FK11&lt;&gt;"",FM11&gt;=FU$31,FM11&lt;&gt;""),AND(FO11&gt;=FU$27,FO11&lt;&gt;"",FQ11&gt;=FU$31,FQ11&lt;&gt;""),AND(FR11&gt;=FU$27,FR11&lt;&gt;"",FT11&gt;=FU$31,FT11&lt;&gt;""),AND(GP11&gt;=HC$27,GP11&lt;&gt;"",GR11&gt;=HC$31,GR11&lt;&gt;""),AND(GS11&gt;=HC$27,GS11&lt;&gt;"",GU11&gt;=HC$31,GU11&lt;&gt;""),AND(GW11&gt;=HC$27,GW11&lt;&gt;"",GY11&gt;=HC$31,GY11&lt;&gt;""),AND(GZ11&gt;=HC$27,GZ11&lt;&gt;"",HB11&gt;=HC$31,HB11&lt;&gt;""),AND(HX11&gt;=IK$27,HX11&lt;&gt;"",HZ11&gt;=IK$31,HZ11&lt;&gt;""),AND(IA11&gt;=IK$27,IA11&lt;&gt;"",IC11&gt;=IK$31,IC11&lt;&gt;""),AND(IE11&gt;=IK$27,IE11&lt;&gt;"",IG11&gt;=IK$31,IG11&lt;&gt;""),AND(IH11&gt;=IK$27,IH11&lt;&gt;"",IJ11&gt;=IK$31,IJ11&lt;&gt;""),AND(JF11&gt;=JS$27,JF11&lt;&gt;"",JH11&gt;=JS$31,JH11&lt;&gt;""),AND(JI11&gt;=JS$27,JI11&lt;&gt;"",JK11&gt;=JS$31,JK11&lt;&gt;""),AND(JM11&gt;=JS$27,JM11&lt;&gt;"",JO11&gt;=JS$31,JO11&lt;&gt;""),AND(JP11&gt;=JS$27,JP11&lt;&gt;"",JR11&gt;=JS$31,JR11&lt;&gt;""),AND(KN11&gt;=LA$27,KN11&lt;&gt;"",KP11&gt;=LA$31,KP11&lt;&gt;""),AND(KQ11&gt;=LA$27,KQ11&lt;&gt;"",KS11&gt;=LA$31,KS11&lt;&gt;""),AND(KU11&gt;=LA$27,KU11&lt;&gt;"",KW11&gt;=LA$31,KW11&lt;&gt;""),AND(KX11&gt;=LA$27,KX11&lt;&gt;"",KZ11&gt;=LA$31,KZ11&lt;&gt;""),AND(LV11&gt;=MI$27,LV11&lt;&gt;"",LX11&gt;=MI$31,LX11&lt;&gt;""),AND(LY11&gt;=MI$27,LY11&lt;&gt;"",MA11&gt;=MI$31,MA11&lt;&gt;""),AND(MC11&gt;=MI$27,MC11&lt;&gt;"",ME11&gt;=MI$31,ME11&lt;&gt;""),AND(MF11&gt;=MI$27,MF11&lt;&gt;"",MH11&gt;=MI$31,MH11&lt;&gt;""),AND(ND11&gt;=NQ$27,ND11&lt;&gt;"",NF11&gt;=NQ$31,NF11&lt;&gt;""),AND(NG11&gt;=NQ$27,NG11&lt;&gt;"",NI11&gt;=NQ$31,NI11&lt;&gt;""),AND(NK11&gt;=NQ$27,NK11&lt;&gt;"",NM11&gt;=NQ$31,NM11&lt;&gt;""),AND(NN11&gt;=NQ$27,NN11&lt;&gt;"",NP11&gt;=NQ$31,NP11&lt;&gt;""),AND(OL11&gt;=OY$27,OL11&lt;&gt;"",ON11&gt;=OY$31,ON11&lt;&gt;""),AND(OO11&gt;=OY$27,OO11&lt;&gt;"",OQ11&gt;=OY$31,OQ11&lt;&gt;""),AND(OS11&gt;=OY$27,OS11&lt;&gt;"",OU11&gt;=OY$31,OU11&lt;&gt;""),AND(OV11&gt;=OY$27,OV11&lt;&gt;"",OX11&gt;=OY$31,OX11&lt;&gt;""),AND(PT11&gt;=QG$27,PT11&lt;&gt;"",PV11&gt;=QG$31,PV11&lt;&gt;""),AND(PW11&gt;=QG$27,PW11&lt;&gt;"",PY11&gt;=QG$31,PY11&lt;&gt;""),AND(QA11&gt;=QG$27,QA11&lt;&gt;"",QC11&gt;=QG$31,QC11&lt;&gt;""),AND(QD11&gt;=QG$27,QD11&lt;&gt;"",QF11&gt;=QG$31,QF11&lt;&gt;""),AND(RB11&gt;=RO$27,RB11&lt;&gt;"",RD11&gt;=RO$31,RD11&lt;&gt;""),AND(RE11&gt;=RO$27,RE11&lt;&gt;"",RG11&gt;=RO$31,RG11&lt;&gt;""),AND(RI11&gt;=RO$27,RI11&lt;&gt;"",RK11&gt;=RO$31,RK11&lt;&gt;""),AND(RL11&gt;=RO$27,RL11&lt;&gt;"",RN11&gt;=RO$31,RN11&lt;&gt;""),AND(SJ11&gt;=SW$27,SJ11&lt;&gt;"",SL11&gt;=SW$31,SL11&lt;&gt;""),AND(SM11&gt;=SW$27,SM11&lt;&gt;"",SO11&gt;=SW$31,SO11&lt;&gt;""),AND(SQ11&gt;=SW$27,SQ11&lt;&gt;"",SS11&gt;=SW$31,SS11&lt;&gt;""),AND(ST11&gt;=SW$27,ST11&lt;&gt;"",SV11&gt;=SW$31,SV11&lt;&gt;"")),"Excellence",IF(I11="P","Worlds Team",IF(F11="P","National Team","")))))</f>
        <v/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Z11&gt;=EM$26,DZ11&lt;&gt;"",EB11&gt;=EM$30,EB11&lt;&gt;""),AND(EC11&gt;=EM$26,EC11&lt;&gt;"",EE11&gt;=EM$30,EE11&lt;&gt;""),AND(EG11&gt;=EM$26,EG11&lt;&gt;"",EI11&gt;=EM$30,EI11&lt;&gt;""),AND(EJ11&gt;=EM$26,EJ11&lt;&gt;"",EL11&gt;=EM$30,EL11&lt;&gt;""),AND(FH11&gt;=FU$26,FH11&lt;&gt;"",FJ11&gt;=FU$30,FJ11&lt;&gt;""),AND(FK11&gt;=FU$26,FK11&lt;&gt;"",FM11&gt;=FU$30,FM11&lt;&gt;""),AND(FO11&gt;=FU$26,FO11&lt;&gt;"",FQ11&gt;=FU$30,FQ11&lt;&gt;""),AND(FR11&gt;=FU$26,FR11&lt;&gt;"",FT11&gt;=FU$30,FT11&lt;&gt;""),AND(GP11&gt;=HC$26,GP11&lt;&gt;"",GR11&gt;=HC$30,GR11&lt;&gt;""),AND(GS11&gt;=HC$26,GS11&lt;&gt;"",GU11&gt;=HC$30,GU11&lt;&gt;""),AND(GW11&gt;=HC$26,GW11&lt;&gt;"",GY11&gt;=HC$30,GY11&lt;&gt;""),AND(GZ11&gt;=HC$26,GZ11&lt;&gt;"",HB11&gt;=HC$30,HB11&lt;&gt;""),AND(HX11&gt;=IK$26,HX11&lt;&gt;"",HZ11&gt;=IK$30,HZ11&lt;&gt;""),AND(IA11&gt;=IK$26,IA11&lt;&gt;"",IC11&gt;=IK$30,IC11&lt;&gt;""),AND(IE11&gt;=IK$26,IE11&lt;&gt;"",IG11&gt;=IK$30,IG11&lt;&gt;""),AND(IH11&gt;=IK$26,IH11&lt;&gt;"",IJ11&gt;=IK$30,IJ11&lt;&gt;""),AND(JF11&gt;=JS$26,JF11&lt;&gt;"",JH11&gt;=JS$30,JH11&lt;&gt;""),AND(JI11&gt;=JS$26,JI11&lt;&gt;"",JK11&gt;=JS$30,JK11&lt;&gt;""),AND(JM11&gt;=JS$26,JM11&lt;&gt;"",JO11&gt;=JS$30,JO11&lt;&gt;""),AND(JP11&gt;=JS$26,JP11&lt;&gt;"",JR11&gt;=JS$30,JR11&lt;&gt;""),AND(KN11&gt;=LA$26,KN11&lt;&gt;"",KP11&gt;=LA$30,KP11&lt;&gt;""),AND(KQ11&gt;=LA$26,KQ11&lt;&gt;"",KS11&gt;=LA$30,KS11&lt;&gt;""),AND(KU11&gt;=LA$26,KU11&lt;&gt;"",KW11&gt;=LA$30,KW11&lt;&gt;""),AND(KX11&gt;=LA$26,KX11&lt;&gt;"",KZ11&gt;=LA$30,KZ11&lt;&gt;""),AND(LV11&gt;=MI$26,LV11&lt;&gt;"",LX11&gt;=MI$30,LX11&lt;&gt;""),AND(LY11&gt;=MI$26,LY11&lt;&gt;"",MA11&gt;=MI$30,MA11&lt;&gt;""),AND(MC11&gt;=MI$26,MC11&lt;&gt;"",ME11&gt;=MI$30,ME11&lt;&gt;""),AND(MF11&gt;=MI$26,MF11&lt;&gt;"",MH11&gt;=MI$30,MH11&lt;&gt;""),AND(ND11&gt;=NQ$26,ND11&lt;&gt;"",NF11&gt;=NQ$30,NF11&lt;&gt;""),AND(NG11&gt;=NQ$26,NG11&lt;&gt;"",NI11&gt;=NQ$30,NI11&lt;&gt;""),AND(NK11&gt;=NQ$26,NK11&lt;&gt;"",NM11&gt;=NQ$30,NM11&lt;&gt;""),AND(NN11&gt;=NQ$26,NN11&lt;&gt;"",NP11&gt;=NQ$30,NP11&lt;&gt;""),AND(OL11&gt;=OY$26,OL11&lt;&gt;"",ON11&gt;=OY$30,ON11&lt;&gt;""),AND(OO11&gt;=OY$26,OO11&lt;&gt;"",OQ11&gt;=OY$30,OQ11&lt;&gt;""),AND(OS11&gt;=OY$26,OS11&lt;&gt;"",OU11&gt;=OY$30,OU11&lt;&gt;""),AND(OV11&gt;=OY$26,OV11&lt;&gt;"",OX11&gt;=OY$30,OX11&lt;&gt;""),AND(PT11&gt;=QG$26,PT11&lt;&gt;"",PV11&gt;=QG$30,PV11&lt;&gt;""),AND(PW11&gt;=QG$26,PW11&lt;&gt;"",PY11&gt;=QG$30,PY11&lt;&gt;""),AND(QA11&gt;=QG$26,QA11&lt;&gt;"",QC11&gt;=QG$30,QC11&lt;&gt;""),AND(QD11&gt;=QG$26,QD11&lt;&gt;"",QF11&gt;=QG$30,QF11&lt;&gt;""),AND(RB11&gt;=RO$26,RB11&lt;&gt;"",RD11&gt;=RO$30,RD11&lt;&gt;""),AND(RE11&gt;=RO$26,RE11&lt;&gt;"",RG11&gt;=RO$30,RG11&lt;&gt;""),AND(RI11&gt;=RO$26,RI11&lt;&gt;"",RK11&gt;=RO$30,RK11&lt;&gt;""),AND(RL11&gt;=RO$26,RL11&lt;&gt;"",RN11&gt;=RO$30,RN11&lt;&gt;""),AND(SJ11&gt;=SW$26,SJ11&lt;&gt;"",SL11&gt;=SW$30,SL11&lt;&gt;""),AND(SM11&gt;=SW$26,SM11&lt;&gt;"",SO11&gt;=SW$30,SO11&lt;&gt;""),AND(SQ11&gt;=SW$26,SQ11&lt;&gt;"",SS11&gt;=SW$30,SS11&lt;&gt;""),AND(ST11&gt;=SW$26,ST11&lt;&gt;"",SV11&gt;=SW$30,SV11&lt;&gt;"")),"P","")</f>
        <v/>
      </c>
      <c r="J11" s="13">
        <f>IF(COUNT(AQ11,AT11,BR11,BU11,CS11,CV11)&gt;0,LARGE((AQ11,AT11,BR11,BU11,CS11,CV11),1),0)</f>
        <v>53.53</v>
      </c>
      <c r="K11" s="13" t="str">
        <f>IF(J11="","",IF(OR(J11=CS11,J11=CV11),$CA$1,IF(OR(J11=BR11,J11=BU11),$AZ$1,IF(OR(J11=AQ11,J11=AT11),$Y$1,""))))</f>
        <v>2021 Canadian Championships</v>
      </c>
      <c r="L11" s="13">
        <f>IF(COUNT(AQ11,AT11,BR11,BU11,CS11,CV11)&gt;1,LARGE((AQ11,AT11,BR11,BU11,CS11,CV11),2),0)</f>
        <v>53.145000000000003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52.18</v>
      </c>
      <c r="O11" s="13" t="str">
        <f>IF(N11="","",IF(OR(N11=CS11,N11=CV11),$CA$1,IF(OR(N11=BR11,N11=BU11),$AZ$1,IF(OR(N11=AQ11,N11=AT11),$Y$1,""))))</f>
        <v>2021 Elite Canada</v>
      </c>
      <c r="P11" s="13">
        <f>IF(MAX(AX11,BY11,CZ11)&gt;0,MAX(AX11,BY11,CZ11),0)</f>
        <v>51.919999999999995</v>
      </c>
      <c r="Q11" s="13" t="str">
        <f>IF(P11="","",IF(P11=CZ11,$CA$1,IF(P11=BY11,$AZ$1,IF(P11=AX11,$Y$1,""))))</f>
        <v>2021 Canadian Championships</v>
      </c>
      <c r="R11" s="13">
        <f>IF(MAX(AO11,AR11,AV11,BP11,BS11,BW11,CQ11,CT11,CX11)&gt;0,MAX(AO11,AR11,BP11,BS11,CQ11,CT11,AV11),0)</f>
        <v>14.4</v>
      </c>
      <c r="S11" s="13" t="str">
        <f>IF(R11=0,"",IF(OR(R11=CQ11,R11=CT11,R11=CX11),$CA$1,IF(OR(R11=BP11,R11=BS11,R11=BW11),$AZ$1,IF(OR(R11=AO11,R11=AR11,R11=AV11),$Y$1,""))))</f>
        <v>2021 Canadian Championships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),0)</f>
        <v>16.024999999999999</v>
      </c>
      <c r="U11" s="13" t="str">
        <f>IF(T11=0,"",IF(OR(T11=CR11,T11=CU11,T11=CY11),$CA$1,IF(OR(T11=BQ11,T11=BT11,T11=BX11),$AZ$1,IF(OR(T11=AP11,T11=AS11,T11=AW11),$Y$1,""))))</f>
        <v>2021 Elite Canada</v>
      </c>
      <c r="V11" s="13" t="str">
        <f>IF(MAX(DB11,DC11,DD11,DE11)&gt;0,MAX(DB11,DC11,DD11,DE11),"")</f>
        <v/>
      </c>
      <c r="W11" s="16" t="str">
        <f>IF(V11="","",IF(V11=DB11,"("&amp;DB$2&amp;")",IF(V11=DC11,"("&amp;DC$2&amp;")",IF(V11=DD11,"("&amp;DD$2&amp;")",IF(V11=DE11,"("&amp;DE$2&amp;")")))))</f>
        <v/>
      </c>
      <c r="X11" s="13" t="str">
        <f>IF(V11="","",IF(V11=DB11,IF(V11+IF(L11="",0,L11)=SP11,$RP$1,IF(V11+IF(L11="",0,L11)=RH11,$QH$1,IF(V11+IF(L11="",0,L11)=PZ11,$OZ$1,IF(V11+IF(L11="",0,L11)=OR11,$NR$1,IF(V11+IF(L11="",0,L11)=NJ11,$MJ$1,IF(V11+IF(L11="",0,L11)=MB11,$LB$1,IF(V11+IF(L11="",0,L11)=KT11,$JT$1,IF(V11+IF(L11="",0,L11)=JL11,$IL$1,IF(V11+IF(L11="",0,L11)=ID11,$HD$1,IF(V11+IF(L11="",0,L11)=GV11,$FV$1,IF(V11+IF(L11="",0,L11)=FN11,$EN$1,IF(V11+IF(L11="",0,L11)=EF11,$DF$1)))))))))))),IF(V11=DC11,IF(V11+IF(P11="",0,P11)=SV11,$RP$1,IF(V11+IF(P11="",0,P11)=RN11,$QH$1,IF(V11+IF(P11="",0,P11)=QF11,$OZ$1,IF(V11+IF(P11="",0,P11)=OX11,$NR$1,IF(V11+IF(P11="",0,P11)=NP11,$MJ$1,IF(V11+IF(P11="",0,P11)=MH11,$LB$1,IF(V11+IF(P11="",0,P11)=KZ11,$JT$1,IF(V11+IF(P11="",0,P11)=JR11,$IL$1,IF(V11+IF(P11="",0,P11)=IJ11,$HD$1,IF(V11+IF(P11="",0,P11)=HB11,$FV$1,IF(V11+IF(P11="",0,P11)=FT11,$EN$1,IF(V11+IF(P11="",0,P11)=EL11,$DF$1)))))))))))),IF(V11=DD11,IF(V11+IF(R11="",0,R11)=MAX(SJ11,SM11,SQ11,ST11),$RP$1,IF(V11+IF(R11="",0,R11)=MAX(RB11,RE11,RI11,RL11),$QH$1,IF(V11+IF(R11="",0,R11)=MAX(PT11,PW11,QA11,QD11),$OZ$1,IF(V11+IF(R11="",0,R11)=MAX(OL11,OO11,OS11,OV11),$NR$1,IF(V11+IF(R11="",0,R11)=MAX(ND11,NG11,NK11,NN11),$MJ$1,IF(V11+IF(R11="",0,R11)=MAX(LV11,LY11,MC11,MF11),$LB$1,IF(V11+IF(R11="",0,R11)=MAX(KN11,KQ11,KU11,KX11),$JT$1,IF(V11+IF(R11="",0,R11)=MAX(JF11,JI11,JM11,JP11),$IL$1,IF(V11+IF(R11="",0,R11)=MAX(HX11,IA11,IE11,IH11),$HD$1,IF(V11+IF(R11="",0,R11)=MAX(GP11,GS11,GW11,GZ11),$FV$1,IF(V11+IF(R11="",0,R11)=MAX(FH11,FK11,FO11,FR11),$EN$1,IF(V11+IF(R11="",0,R11)=MAX(DZ11,EC11,EG11,EJ11),$DF$1)))))))))))),IF(V11=DE11,IF(V11+IF(T11="",0,T11)=MAX(SK11,SN11,SR11,SU11),$RP$1,IF(V11+IF(T11="",0,T11)=MAX(RC11,RF11,RJ11,RM11),$QH$1,IF(V11+IF(T11="",0,T11)=MAX(PU11,PX11,QB11,QE11),$OZ$1,IF(V11+IF(T11="",0,T11)=MAX(OM11,OP11,OT11,OW11),$NR$1,IF(V11+IF(T11="",0,T11)=MAX(NE11,NH11,NL11,NO11),$MJ$1,IF(V11+IF(T11="",0,T11)=MAX(LW11,LZ11,MD11,MG11),$LB$1,IF(V11+IF(T11="",0,T11)=MAX(KO11,KR11,KV11,KY11),$JT$1,IF(V11+IF(T11="",0,T11)=MAX(JG11,JJ11,JN11,JQ11),$IL$1,IF(V11+IF(T11="",0,T11)=MAX(HY11,IB11,IF11,II11),$HD$1,IF(V11+IF(T11="",0,T11)=MAX(GQ11,GT11,GX11,HA11),$FV$1,IF(V11+IF(T11="",0,T11)=MAX(FI11,FL11,FP11,FS11),$EN$1,IF(V11+IF(T11="",0,T11)=MAX(EA11,ED11,EH11,EK11),$DF$1)))))))))))))))))</f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>IF(AA11&gt;0,AA11,"")</f>
        <v>14.4</v>
      </c>
      <c r="AP11" s="74">
        <f>IF(AB11&gt;0,AB11,"")</f>
        <v>15.945</v>
      </c>
      <c r="AQ11" s="76">
        <f>IF(SUM(Y11:AB11)-AC11&gt;0,SUM(Y11:AB11)-AC11,"")</f>
        <v>53.145000000000003</v>
      </c>
      <c r="AR11" s="76">
        <f>IF(AF11&gt;0,AF11,"")</f>
        <v>14.4</v>
      </c>
      <c r="AS11" s="76">
        <f>IF(AG11&gt;0,AG11,"")</f>
        <v>15.88</v>
      </c>
      <c r="AT11" s="76">
        <f>IF(SUM(AD11:AG11)-AH11&gt;0,SUM(AD11:AG11)-AH11,"")</f>
        <v>52.18</v>
      </c>
      <c r="AU11" s="76">
        <f>IF(AQ11="","",MAX(AQ11,AT11))</f>
        <v>53.145000000000003</v>
      </c>
      <c r="AV11" s="76">
        <f>IF(AK11&gt;0,AK11,"")</f>
        <v>14.4</v>
      </c>
      <c r="AW11" s="76">
        <f>IF(AL11&gt;0,AL11,"")</f>
        <v>16.024999999999999</v>
      </c>
      <c r="AX11" s="76">
        <f>IF(SUM(AI11:AL11)-AM11&gt;0,SUM(AI11:AL11)-AM11,"")</f>
        <v>49.524999999999999</v>
      </c>
      <c r="AY11" s="76">
        <f>IF(SUM(AU11,AX11)&gt;0,SUM(AU11,AX11),"")</f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>IF(BB11&gt;0,BB11,"")</f>
        <v>14.4</v>
      </c>
      <c r="BQ11" s="75">
        <f>IF(BC11&gt;0,BC11,"")</f>
        <v>15.83</v>
      </c>
      <c r="BR11" s="16">
        <f>IF(SUM(AZ11:BC11)-BD11&gt;0,SUM(AZ11:BC11)-BD11,"")</f>
        <v>53.53</v>
      </c>
      <c r="BS11" s="16">
        <f>IF(BG11&gt;0,BG11,"")</f>
        <v>3.4</v>
      </c>
      <c r="BT11" s="16">
        <f>IF(BH11&gt;0,BH11,"")</f>
        <v>3.4</v>
      </c>
      <c r="BU11" s="16">
        <f>IF(SUM(BE11:BH11)-BI11&gt;0,SUM(BE11:BH11)-BI11,"")</f>
        <v>11.4</v>
      </c>
      <c r="BV11" s="16">
        <f>IF(BR11="","",MAX(BR11,BU11))</f>
        <v>53.53</v>
      </c>
      <c r="BW11" s="16">
        <f>IF(BL11&gt;0,BL11,"")</f>
        <v>14.4</v>
      </c>
      <c r="BX11" s="16">
        <f>IF(BM11&gt;0,BM11,"")</f>
        <v>15.62</v>
      </c>
      <c r="BY11" s="16">
        <f>IF(SUM(BJ11:BM11)-BN11&gt;0,SUM(BJ11:BM11)-BN11,"")</f>
        <v>51.919999999999995</v>
      </c>
      <c r="BZ11" s="16">
        <f>IF(SUM(BV11,BY11)&gt;0,SUM(BV11,BY11),"")</f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>IF(CC11&gt;0,CC11,"")</f>
        <v>8.1999999999999993</v>
      </c>
      <c r="CR11" s="74">
        <f>IF(CD11&gt;0,CD11,"")</f>
        <v>8.0500000000000007</v>
      </c>
      <c r="CS11" s="76">
        <f>IF(SUM(CA11:CD11)-CE11&gt;0,SUM(CA11:CD11)-CE11,"")</f>
        <v>27.65</v>
      </c>
      <c r="CT11" s="76">
        <f>IF(CH11&gt;0,CH11,"")</f>
        <v>13.6</v>
      </c>
      <c r="CU11" s="76">
        <f>IF(CI11&gt;0,CI11,"")</f>
        <v>15.505000000000001</v>
      </c>
      <c r="CV11" s="76">
        <f>IF(SUM(CF11:CI11)-CJ11&gt;0,SUM(CF11:CI11)-CJ11,"")</f>
        <v>48.805000000000007</v>
      </c>
      <c r="CW11" s="76">
        <f>IF(CS11="","",MAX(CS11,CV11))</f>
        <v>48.805000000000007</v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>
        <f>IF(SUM(CW11,CZ11)&gt;0,SUM(CW11,CZ11),"")</f>
        <v>48.805000000000007</v>
      </c>
      <c r="DB11" s="87" t="str">
        <f>IF(L11&gt;=0.001,IF(MAX(EF11,FN11,GV11,ID11,JL11,KT11,MB11,NJ11,OR11,PZ11,RH11,SP11)-IF(L11="",0,L11)&gt;0.001,MAX(EF11,FN11,GV11,ID11,JL11,KT11,MB11,NJ11,OR11,PZ11,RH11,SP11)-IF(L11="",0,L11),""),"")</f>
        <v/>
      </c>
      <c r="DC11" s="87" t="str">
        <f>IF(P11&gt;=0.001,IF(MAX(EI11,EL11,FQ11,FT11,GY11,HB11,IG11,IJ11,JO11,JR11,KW11,KZ11,ME11,MH11,NM11,NP11,OU11,OX11,QC11,QF11,RK11,RN11,SS11,SV11)-IF(P11="",0,P11)&gt;0.001,MAX(EI11,EL11,FQ11,FT11,GY11,HB11,IG11,IJ11,JO11,JR11,KW11,KZ11,ME11,MH11,NM11,NP11,OU11,OX11,QC11,QF11,RK11,RN11,SS11,SV11)-IF(P11="",0,P11),""),"")</f>
        <v/>
      </c>
      <c r="DD11" s="87" t="str">
        <f>IF(R11&gt;=0.001,IF(MAX(DZ11,EC11,EG11,EJ11,FH11,FK11,FO11,FR11,GP11,GS11,GW11,GZ11,HX11,IA11,IE11,IH11,JF11,JI11,JM11,JP11,KN11,KQ11,KU11,KX11,LV11,LY11,MC11,MF11,ND11,NG11,NK11,NN11,OL11,OO11,OS11,OV11,PT11,PW11,QA11,QD11,RB11,RE11,RI11,RL11,SJ11,SM11,SQ11,ST11)-IF(R11="",0,R11)&gt;0.001,MAX(DZ11,EC11,EG11,EJ11,FH11,FK11,FO11,FR11,GP11,GS11,GW11,GZ11,HX11,IA11,IE11,IH11,JF11,JI11,JM11,JP11,KN11,KQ11,KU11,KX11,LV11,LY11,MC11,MF11,ND11,NG11,NK11,NN11,OL11,OO11,OS11,OV11,PT11,PW11,QA11,QD11,RB11,RE11,RI11,RL11,SJ11,SM11,SQ11,ST11)-IF(R11="",0,R11),""),"")</f>
        <v/>
      </c>
      <c r="DE11" s="87" t="str">
        <f>IF(T11&gt;=0.001,IF(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&gt;0.001,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,""),"")</f>
        <v/>
      </c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76" t="str">
        <f>IF(DH11&gt;0,DH11,"")</f>
        <v/>
      </c>
      <c r="EA11" s="76" t="str">
        <f>IF(DI11&gt;0,DI11,"")</f>
        <v/>
      </c>
      <c r="EB11" s="76" t="str">
        <f>IF(SUM(DF11:DI11)-DJ11&gt;0,SUM(DF11:DI11)-DJ11,"")</f>
        <v/>
      </c>
      <c r="EC11" s="76" t="str">
        <f>IF(DM11&gt;0,DM11,"")</f>
        <v/>
      </c>
      <c r="ED11" s="76" t="str">
        <f>IF(DN11&gt;0,DN11,"")</f>
        <v/>
      </c>
      <c r="EE11" s="76" t="str">
        <f>IF(SUM(DK11:DN11)-DO11&gt;0,SUM(DK11:DN11)-DO11,"")</f>
        <v/>
      </c>
      <c r="EF11" s="76" t="str">
        <f>IF(MAX(EB11,EE11)&gt;0,MAX(EB11,EE11),"")</f>
        <v/>
      </c>
      <c r="EG11" s="76" t="str">
        <f>IF(DR11&gt;0,DR11,"")</f>
        <v/>
      </c>
      <c r="EH11" s="76" t="str">
        <f>IF(DS11&gt;0,DS11,"")</f>
        <v/>
      </c>
      <c r="EI11" s="76" t="str">
        <f>IF(SUM(DP11:DS11)-DT11&gt;0,SUM(DP11:DS11)-DT11,"")</f>
        <v/>
      </c>
      <c r="EJ11" s="76" t="str">
        <f>IF(DW11&gt;0,DW11,"")</f>
        <v/>
      </c>
      <c r="EK11" s="76" t="str">
        <f>IF(DX11&gt;0,DX11,"")</f>
        <v/>
      </c>
      <c r="EL11" s="76" t="str">
        <f>IF(SUM(DU11:DX11)-DY11&gt;0,SUM(DU11:DX11)-DY11,"")</f>
        <v/>
      </c>
      <c r="EM11" s="76" t="str">
        <f>IF(SUM(EF11,EL11)&gt;0,SUM(EF11,EL11),"")</f>
        <v/>
      </c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16" t="str">
        <f>IF(EP11&gt;0,EP11,"")</f>
        <v/>
      </c>
      <c r="FI11" s="16" t="str">
        <f>IF(EQ11&gt;0,EQ11,"")</f>
        <v/>
      </c>
      <c r="FJ11" s="16" t="str">
        <f>IF(SUM(EN11:EQ11)-ER11&gt;0,SUM(EN11:EQ11)-ER11,"")</f>
        <v/>
      </c>
      <c r="FK11" s="16" t="str">
        <f>IF(EU11&gt;0,EU11,"")</f>
        <v/>
      </c>
      <c r="FL11" s="16" t="str">
        <f>IF(EV11&gt;0,EV11,"")</f>
        <v/>
      </c>
      <c r="FM11" s="16" t="str">
        <f>IF(SUM(ES11:EV11)-EW11&gt;0,SUM(ES11:EV11)-EW11,"")</f>
        <v/>
      </c>
      <c r="FN11" s="16" t="str">
        <f>IF(MAX(FJ11,FM11)&gt;0,MAX(FJ11,FM11),"")</f>
        <v/>
      </c>
      <c r="FO11" s="16" t="str">
        <f>IF(EZ11&gt;0,EZ11,"")</f>
        <v/>
      </c>
      <c r="FP11" s="16" t="str">
        <f>IF(FA11&gt;0,FA11,"")</f>
        <v/>
      </c>
      <c r="FQ11" s="16" t="str">
        <f>IF(SUM(EX11:FA11)-FB11&gt;0,SUM(EX11:FA11)-FB11,"")</f>
        <v/>
      </c>
      <c r="FR11" s="16" t="str">
        <f>IF(FE11&gt;0,FE11,"")</f>
        <v/>
      </c>
      <c r="FS11" s="16" t="str">
        <f>IF(FF11&gt;0,FF11,"")</f>
        <v/>
      </c>
      <c r="FT11" s="16" t="str">
        <f>IF(SUM(FC11:FF11)-FG11&gt;0,SUM(FC11:FF11)-FG11,"")</f>
        <v/>
      </c>
      <c r="FU11" s="16" t="str">
        <f>IF(SUM(FN11,FT11)&gt;0,SUM(FN11,FT11),"")</f>
        <v/>
      </c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76" t="str">
        <f>IF(FX11&gt;0,FX11,"")</f>
        <v/>
      </c>
      <c r="GQ11" s="76" t="str">
        <f>IF(FY11&gt;0,FY11,"")</f>
        <v/>
      </c>
      <c r="GR11" s="76" t="str">
        <f>IF(SUM(FV11:FY11)-FZ11&gt;0,SUM(FV11:FY11)-FZ11,"")</f>
        <v/>
      </c>
      <c r="GS11" s="76" t="str">
        <f>IF(GC11&gt;0,GC11,"")</f>
        <v/>
      </c>
      <c r="GT11" s="76" t="str">
        <f>IF(GD11&gt;0,GD11,"")</f>
        <v/>
      </c>
      <c r="GU11" s="76" t="str">
        <f>IF(SUM(GA11:GD11)-GE11&gt;0,SUM(GA11:GD11)-GE11,"")</f>
        <v/>
      </c>
      <c r="GV11" s="76" t="str">
        <f>IF(MAX(GR11,GU11)&gt;0,MAX(GR11,GU11),"")</f>
        <v/>
      </c>
      <c r="GW11" s="76" t="str">
        <f>IF(GH11&gt;0,GH11,"")</f>
        <v/>
      </c>
      <c r="GX11" s="76" t="str">
        <f>IF(GI11&gt;0,GI11,"")</f>
        <v/>
      </c>
      <c r="GY11" s="76" t="str">
        <f>IF(SUM(GF11:GI11)-GJ11&gt;0,SUM(GF11:GI11)-GJ11,"")</f>
        <v/>
      </c>
      <c r="GZ11" s="76" t="str">
        <f>IF(GM11&gt;0,GM11,"")</f>
        <v/>
      </c>
      <c r="HA11" s="76" t="str">
        <f>IF(GN11&gt;0,GN11,"")</f>
        <v/>
      </c>
      <c r="HB11" s="76" t="str">
        <f>IF(SUM(GK11:GN11)-GO11&gt;0,SUM(GK11:GN11)-GO11,"")</f>
        <v/>
      </c>
      <c r="HC11" s="76" t="str">
        <f>IF(SUM(GV11,HB11)&gt;0,SUM(GV11,HB11),"")</f>
        <v/>
      </c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16" t="str">
        <f>IF(HF11&gt;0,HF11,"")</f>
        <v/>
      </c>
      <c r="HY11" s="16" t="str">
        <f>IF(HG11&gt;0,HG11,"")</f>
        <v/>
      </c>
      <c r="HZ11" s="16" t="str">
        <f>IF(SUM(HD11:HG11)-HH11&gt;0,SUM(HD11:HG11)-HH11,"")</f>
        <v/>
      </c>
      <c r="IA11" s="16" t="str">
        <f>IF(HK11&gt;0,HK11,"")</f>
        <v/>
      </c>
      <c r="IB11" s="16" t="str">
        <f>IF(HL11&gt;0,HL11,"")</f>
        <v/>
      </c>
      <c r="IC11" s="16" t="str">
        <f>IF(SUM(HI11:HL11)-HM11&gt;0,SUM(HI11:HL11)-HM11,"")</f>
        <v/>
      </c>
      <c r="ID11" s="16" t="str">
        <f>IF(MAX(HZ11,IC11)&gt;0,MAX(HZ11,IC11),"")</f>
        <v/>
      </c>
      <c r="IE11" s="16" t="str">
        <f>IF(HP11&gt;0,HP11,"")</f>
        <v/>
      </c>
      <c r="IF11" s="16" t="str">
        <f>IF(HQ11&gt;0,HQ11,"")</f>
        <v/>
      </c>
      <c r="IG11" s="16" t="str">
        <f>IF(SUM(HN11:HQ11)-HR11&gt;0,SUM(HN11:HQ11)-HR11,"")</f>
        <v/>
      </c>
      <c r="IH11" s="16" t="str">
        <f>IF(HU11&gt;0,HU11,"")</f>
        <v/>
      </c>
      <c r="II11" s="16" t="str">
        <f>IF(HV11&gt;0,HV11,"")</f>
        <v/>
      </c>
      <c r="IJ11" s="16" t="str">
        <f>IF(SUM(HS11:HV11)-HW11&gt;0,SUM(HS11:HV11)-HW11,"")</f>
        <v/>
      </c>
      <c r="IK11" s="16" t="str">
        <f>IF(SUM(ID11,IJ11)&gt;0,SUM(ID11,IJ11),"")</f>
        <v/>
      </c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76" t="str">
        <f>IF(IN11&gt;0,IN11,"")</f>
        <v/>
      </c>
      <c r="JG11" s="76" t="str">
        <f>IF(IO11&gt;0,IO11,"")</f>
        <v/>
      </c>
      <c r="JH11" s="76" t="str">
        <f>IF(SUM(IL11:IO11)-IP11&gt;0,SUM(IL11:IO11)-IP11,"")</f>
        <v/>
      </c>
      <c r="JI11" s="76" t="str">
        <f>IF(IS11&gt;0,IS11,"")</f>
        <v/>
      </c>
      <c r="JJ11" s="76" t="str">
        <f>IF(IT11&gt;0,IT11,"")</f>
        <v/>
      </c>
      <c r="JK11" s="76" t="str">
        <f>IF(SUM(IQ11:IT11)-IU11&gt;0,SUM(IQ11:IT11)-IU11,"")</f>
        <v/>
      </c>
      <c r="JL11" s="76" t="str">
        <f>IF(MAX(JH11,JK11)&gt;0,MAX(JH11,JK11),"")</f>
        <v/>
      </c>
      <c r="JM11" s="76" t="str">
        <f>IF(IX11&gt;0,IX11,"")</f>
        <v/>
      </c>
      <c r="JN11" s="76" t="str">
        <f>IF(IY11&gt;0,IY11,"")</f>
        <v/>
      </c>
      <c r="JO11" s="76" t="str">
        <f>IF(SUM(IV11:IY11)-IZ11&gt;0,SUM(IV11:IY11)-IZ11,"")</f>
        <v/>
      </c>
      <c r="JP11" s="76" t="str">
        <f>IF(JC11&gt;0,JC11,"")</f>
        <v/>
      </c>
      <c r="JQ11" s="76" t="str">
        <f>IF(JD11&gt;0,JD11,"")</f>
        <v/>
      </c>
      <c r="JR11" s="76" t="str">
        <f>IF(SUM(JA11:JD11)-JE11&gt;0,SUM(JA11:JD11)-JE11,"")</f>
        <v/>
      </c>
      <c r="JS11" s="76" t="str">
        <f>IF(SUM(JL11,JR11)&gt;0,SUM(JL11,JR11),"")</f>
        <v/>
      </c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16" t="str">
        <f>IF(JV11&gt;0,JV11,"")</f>
        <v/>
      </c>
      <c r="KO11" s="16" t="str">
        <f>IF(JW11&gt;0,JW11,"")</f>
        <v/>
      </c>
      <c r="KP11" s="16" t="str">
        <f>IF(SUM(JT11:JW11)-JX11&gt;0,SUM(JT11:JW11)-JX11,"")</f>
        <v/>
      </c>
      <c r="KQ11" s="16" t="str">
        <f>IF(KA11&gt;0,KA11,"")</f>
        <v/>
      </c>
      <c r="KR11" s="16" t="str">
        <f>IF(KB11&gt;0,KB11,"")</f>
        <v/>
      </c>
      <c r="KS11" s="16" t="str">
        <f>IF(SUM(JY11:KB11)-KC11&gt;0,SUM(JY11:KB11)-KC11,"")</f>
        <v/>
      </c>
      <c r="KT11" s="16" t="str">
        <f>IF(MAX(KP11,KS11)&gt;0,MAX(KP11,KS11),"")</f>
        <v/>
      </c>
      <c r="KU11" s="16" t="str">
        <f>IF(KF11&gt;0,KF11,"")</f>
        <v/>
      </c>
      <c r="KV11" s="16" t="str">
        <f>IF(KG11&gt;0,KG11,"")</f>
        <v/>
      </c>
      <c r="KW11" s="16" t="str">
        <f>IF(SUM(KD11:KG11)-KH11&gt;0,SUM(KD11:KG11)-KH11,"")</f>
        <v/>
      </c>
      <c r="KX11" s="16" t="str">
        <f>IF(KK11&gt;0,KK11,"")</f>
        <v/>
      </c>
      <c r="KY11" s="16" t="str">
        <f>IF(KL11&gt;0,KL11,"")</f>
        <v/>
      </c>
      <c r="KZ11" s="16" t="str">
        <f>IF(SUM(KI11:KL11)-KM11&gt;0,SUM(KI11:KL11)-KM11,"")</f>
        <v/>
      </c>
      <c r="LA11" s="16" t="str">
        <f>IF(SUM(KT11,KZ11)&gt;0,SUM(KT11,KZ11),"")</f>
        <v/>
      </c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76" t="str">
        <f>IF(LD11&gt;0,LD11,"")</f>
        <v/>
      </c>
      <c r="LW11" s="76" t="str">
        <f>IF(LE11&gt;0,LE11,"")</f>
        <v/>
      </c>
      <c r="LX11" s="76" t="str">
        <f>IF(SUM(LB11:LE11)-LF11&gt;0,SUM(LB11:LE11)-LF11,"")</f>
        <v/>
      </c>
      <c r="LY11" s="76" t="str">
        <f>IF(LI11&gt;0,LI11,"")</f>
        <v/>
      </c>
      <c r="LZ11" s="76" t="str">
        <f>IF(LJ11&gt;0,LJ11,"")</f>
        <v/>
      </c>
      <c r="MA11" s="76" t="str">
        <f>IF(SUM(LG11:LJ11)-LK11&gt;0,SUM(LG11:LJ11)-LK11,"")</f>
        <v/>
      </c>
      <c r="MB11" s="76" t="str">
        <f>IF(MAX(LX11,MA11)&gt;0,MAX(LX11,MA11),"")</f>
        <v/>
      </c>
      <c r="MC11" s="76" t="str">
        <f>IF(LN11&gt;0,LN11,"")</f>
        <v/>
      </c>
      <c r="MD11" s="76" t="str">
        <f>IF(LO11&gt;0,LO11,"")</f>
        <v/>
      </c>
      <c r="ME11" s="76" t="str">
        <f>IF(SUM(LL11:LO11)-LP11&gt;0,SUM(LL11:LO11)-LP11,"")</f>
        <v/>
      </c>
      <c r="MF11" s="76" t="str">
        <f>IF(LS11&gt;0,LS11,"")</f>
        <v/>
      </c>
      <c r="MG11" s="76" t="str">
        <f>IF(LT11&gt;0,LT11,"")</f>
        <v/>
      </c>
      <c r="MH11" s="76" t="str">
        <f>IF(SUM(LQ11:LT11)-LU11&gt;0,SUM(LQ11:LT11)-LU11,"")</f>
        <v/>
      </c>
      <c r="MI11" s="76" t="str">
        <f>IF(SUM(MB11,MH11)&gt;0,SUM(MB11,MH11),"")</f>
        <v/>
      </c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16" t="str">
        <f>IF(ML11&gt;0,ML11,"")</f>
        <v/>
      </c>
      <c r="NE11" s="16" t="str">
        <f>IF(MM11&gt;0,MM11,"")</f>
        <v/>
      </c>
      <c r="NF11" s="16" t="str">
        <f>IF(SUM(MJ11:MM11)-MN11&gt;0,SUM(MJ11:MM11)-MN11,"")</f>
        <v/>
      </c>
      <c r="NG11" s="16" t="str">
        <f>IF(MQ11&gt;0,MQ11,"")</f>
        <v/>
      </c>
      <c r="NH11" s="16" t="str">
        <f>IF(MR11&gt;0,MR11,"")</f>
        <v/>
      </c>
      <c r="NI11" s="16" t="str">
        <f>IF(SUM(MO11:MR11)-MS11&gt;0,SUM(MO11:MR11)-MS11,"")</f>
        <v/>
      </c>
      <c r="NJ11" s="16" t="str">
        <f>IF(MAX(NF11,NI11)&gt;0,MAX(NF11,NI11),"")</f>
        <v/>
      </c>
      <c r="NK11" s="16" t="str">
        <f>IF(MV11&gt;0,MV11,"")</f>
        <v/>
      </c>
      <c r="NL11" s="16" t="str">
        <f>IF(MW11&gt;0,MW11,"")</f>
        <v/>
      </c>
      <c r="NM11" s="16" t="str">
        <f>IF(SUM(MT11:MW11)-MX11&gt;0,SUM(MT11:MW11)-MX11,"")</f>
        <v/>
      </c>
      <c r="NN11" s="16" t="str">
        <f>IF(NA11&gt;0,NA11,"")</f>
        <v/>
      </c>
      <c r="NO11" s="16" t="str">
        <f>IF(NB11&gt;0,NB11,"")</f>
        <v/>
      </c>
      <c r="NP11" s="16" t="str">
        <f>IF(SUM(MY11:NB11)-NC11&gt;0,SUM(MY11:NB11)-NC11,"")</f>
        <v/>
      </c>
      <c r="NQ11" s="16" t="str">
        <f>IF(SUM(NJ11,NP11)&gt;0,SUM(NJ11,NP11),"")</f>
        <v/>
      </c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76" t="str">
        <f>IF(NT11&gt;0,NT11,"")</f>
        <v/>
      </c>
      <c r="OM11" s="76" t="str">
        <f>IF(NU11&gt;0,NU11,"")</f>
        <v/>
      </c>
      <c r="ON11" s="76" t="str">
        <f>IF(SUM(NR11:NU11)-NV11&gt;0,SUM(NR11:NU11)-NV11,"")</f>
        <v/>
      </c>
      <c r="OO11" s="76" t="str">
        <f>IF(NY11&gt;0,NY11,"")</f>
        <v/>
      </c>
      <c r="OP11" s="76" t="str">
        <f>IF(NZ11&gt;0,NZ11,"")</f>
        <v/>
      </c>
      <c r="OQ11" s="76" t="str">
        <f>IF(SUM(NW11:NZ11)-OA11&gt;0,SUM(NW11:NZ11)-OA11,"")</f>
        <v/>
      </c>
      <c r="OR11" s="76" t="str">
        <f>IF(MAX(ON11,OQ11)&gt;0,MAX(ON11,OQ11),"")</f>
        <v/>
      </c>
      <c r="OS11" s="76" t="str">
        <f>IF(OD11&gt;0,OD11,"")</f>
        <v/>
      </c>
      <c r="OT11" s="76" t="str">
        <f>IF(OE11&gt;0,OE11,"")</f>
        <v/>
      </c>
      <c r="OU11" s="76" t="str">
        <f>IF(SUM(OB11:OE11)-OF11&gt;0,SUM(OB11:OE11)-OF11,"")</f>
        <v/>
      </c>
      <c r="OV11" s="76" t="str">
        <f>IF(OI11&gt;0,OI11,"")</f>
        <v/>
      </c>
      <c r="OW11" s="76" t="str">
        <f>IF(OJ11&gt;0,OJ11,"")</f>
        <v/>
      </c>
      <c r="OX11" s="76" t="str">
        <f>IF(SUM(OG11:OJ11)-OK11&gt;0,SUM(OG11:OJ11)-OK11,"")</f>
        <v/>
      </c>
      <c r="OY11" s="76" t="str">
        <f>IF(SUM(OR11,OX11)&gt;0,SUM(OR11,OX11),"")</f>
        <v/>
      </c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16" t="str">
        <f>IF(PB11&gt;0,PB11,"")</f>
        <v/>
      </c>
      <c r="PU11" s="16" t="str">
        <f>IF(PC11&gt;0,PC11,"")</f>
        <v/>
      </c>
      <c r="PV11" s="16" t="str">
        <f>IF(SUM(OZ11:PC11)-PD11&gt;0,SUM(OZ11:PC11)-PD11,"")</f>
        <v/>
      </c>
      <c r="PW11" s="16" t="str">
        <f>IF(PG11&gt;0,PG11,"")</f>
        <v/>
      </c>
      <c r="PX11" s="16" t="str">
        <f>IF(PH11&gt;0,PH11,"")</f>
        <v/>
      </c>
      <c r="PY11" s="16" t="str">
        <f>IF(SUM(PE11:PH11)-PI11&gt;0,SUM(PE11:PH11)-PI11,"")</f>
        <v/>
      </c>
      <c r="PZ11" s="16" t="str">
        <f>IF(MAX(PV11,PY11)&gt;0,MAX(PV11,PY11),"")</f>
        <v/>
      </c>
      <c r="QA11" s="16" t="str">
        <f>IF(PL11&gt;0,PL11,"")</f>
        <v/>
      </c>
      <c r="QB11" s="16" t="str">
        <f>IF(PM11&gt;0,PM11,"")</f>
        <v/>
      </c>
      <c r="QC11" s="16" t="str">
        <f>IF(SUM(PJ11:PM11)-PN11&gt;0,SUM(PJ11:PM11)-PN11,"")</f>
        <v/>
      </c>
      <c r="QD11" s="16" t="str">
        <f>IF(PQ11&gt;0,PQ11,"")</f>
        <v/>
      </c>
      <c r="QE11" s="16" t="str">
        <f>IF(PR11&gt;0,PR11,"")</f>
        <v/>
      </c>
      <c r="QF11" s="16" t="str">
        <f>IF(SUM(PO11:PR11)-PS11&gt;0,SUM(PO11:PR11)-PS11,"")</f>
        <v/>
      </c>
      <c r="QG11" s="16" t="str">
        <f>IF(SUM(PZ11,QF11)&gt;0,SUM(PZ11,QF11),"")</f>
        <v/>
      </c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76" t="str">
        <f>IF(QJ11&gt;0,QJ11,"")</f>
        <v/>
      </c>
      <c r="RC11" s="76" t="str">
        <f>IF(QK11&gt;0,QK11,"")</f>
        <v/>
      </c>
      <c r="RD11" s="76" t="str">
        <f>IF(SUM(QH11:QK11)-QL11&gt;0,SUM(QH11:QK11)-QL11,"")</f>
        <v/>
      </c>
      <c r="RE11" s="76" t="str">
        <f>IF(QO11&gt;0,QO11,"")</f>
        <v/>
      </c>
      <c r="RF11" s="76" t="str">
        <f>IF(QP11&gt;0,QP11,"")</f>
        <v/>
      </c>
      <c r="RG11" s="76" t="str">
        <f>IF(SUM(QM11:QP11)-QQ11&gt;0,SUM(QM11:QP11)-QQ11,"")</f>
        <v/>
      </c>
      <c r="RH11" s="76" t="str">
        <f>IF(MAX(RD11,RG11)&gt;0,MAX(RD11,RG11),"")</f>
        <v/>
      </c>
      <c r="RI11" s="76" t="str">
        <f>IF(QT11&gt;0,QT11,"")</f>
        <v/>
      </c>
      <c r="RJ11" s="76" t="str">
        <f>IF(QU11&gt;0,QU11,"")</f>
        <v/>
      </c>
      <c r="RK11" s="76" t="str">
        <f>IF(SUM(QR11:QU11)-QV11&gt;0,SUM(QR11:QU11)-QV11,"")</f>
        <v/>
      </c>
      <c r="RL11" s="76" t="str">
        <f>IF(QY11&gt;0,QY11,"")</f>
        <v/>
      </c>
      <c r="RM11" s="76" t="str">
        <f>IF(QZ11&gt;0,QZ11,"")</f>
        <v/>
      </c>
      <c r="RN11" s="76" t="str">
        <f>IF(SUM(QW11:QZ11)-RA11&gt;0,SUM(QW11:QZ11)-RA11,"")</f>
        <v/>
      </c>
      <c r="RO11" s="76" t="str">
        <f>IF(SUM(RH11,RN11)&gt;0,SUM(RH11,RN11),"")</f>
        <v/>
      </c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16" t="str">
        <f>IF(RR11&gt;0,RR11,"")</f>
        <v/>
      </c>
      <c r="SK11" s="16" t="str">
        <f>IF(RS11&gt;0,RS11,"")</f>
        <v/>
      </c>
      <c r="SL11" s="16" t="str">
        <f>IF(SUM(RP11:RS11)-RT11&gt;0,SUM(RP11:RS11)-RT11,"")</f>
        <v/>
      </c>
      <c r="SM11" s="16" t="str">
        <f>IF(RW11&gt;0,RW11,"")</f>
        <v/>
      </c>
      <c r="SN11" s="16" t="str">
        <f>IF(RX11&gt;0,RX11,"")</f>
        <v/>
      </c>
      <c r="SO11" s="16" t="str">
        <f>IF(SUM(RU11:RX11)-RY11&gt;0,SUM(RU11:RX11)-RY11,"")</f>
        <v/>
      </c>
      <c r="SP11" s="16" t="str">
        <f>IF(MAX(SL11,SO11)&gt;0,MAX(SL11,SO11),"")</f>
        <v/>
      </c>
      <c r="SQ11" s="16" t="str">
        <f>IF(SB11&gt;0,SB11,"")</f>
        <v/>
      </c>
      <c r="SR11" s="16" t="str">
        <f>IF(SC11&gt;0,SC11,"")</f>
        <v/>
      </c>
      <c r="SS11" s="16" t="str">
        <f>IF(SUM(RZ11:SC11)-SD11&gt;0,SUM(RZ11:SC11)-SD11,"")</f>
        <v/>
      </c>
      <c r="ST11" s="16" t="str">
        <f>IF(SG11&gt;0,SG11,"")</f>
        <v/>
      </c>
      <c r="SU11" s="16" t="str">
        <f>IF(SH11&gt;0,SH11,"")</f>
        <v/>
      </c>
      <c r="SV11" s="16" t="str">
        <f>IF(SUM(SE11:SH11)-SI11&gt;0,SUM(SE11:SH11)-SI11,"")</f>
        <v/>
      </c>
      <c r="SW11" s="16" t="str">
        <f>IF(SUM(SP11,SV11)&gt;0,SUM(SP11,SV11),"")</f>
        <v/>
      </c>
      <c r="SX11" s="42">
        <f>IF($CP11="P",CA11,(CA11+AZ11)/2)</f>
        <v>10.55</v>
      </c>
      <c r="SY11" s="42">
        <f>IF($CP11="P",CB11,(CB11+BA11)/2)</f>
        <v>6.8</v>
      </c>
      <c r="SZ11" s="42">
        <f>IF($CP11="P",CC11,(CC11+BB11)/2)</f>
        <v>11.3</v>
      </c>
      <c r="TA11" s="42">
        <f>IF($CP11="P",CD11,(CD11+BC11)/2)</f>
        <v>11.940000000000001</v>
      </c>
      <c r="TB11" s="42">
        <f>IF($CP11="P",CE11,(CE11+BD11)/2)</f>
        <v>0</v>
      </c>
      <c r="TC11" s="42">
        <f>IF($CP11="P",CF11,(CF11+BE11)/2)</f>
        <v>6.8500000000000005</v>
      </c>
      <c r="TD11" s="42">
        <f>IF($CP11="P",CG11,(CG11+BF11)/2)</f>
        <v>5.3</v>
      </c>
      <c r="TE11" s="42">
        <f>IF($CP11="P",CH11,(CH11+BG11)/2)</f>
        <v>8.5</v>
      </c>
      <c r="TF11" s="42">
        <f>IF($CP11="P",CI11,(CI11+BH11)/2)</f>
        <v>9.4525000000000006</v>
      </c>
      <c r="TG11" s="42">
        <f>IF($CP11="P",CJ11,(CJ11+BI11)/2)</f>
        <v>0</v>
      </c>
      <c r="TH11" s="42">
        <f>IF($CP11="P",CK11,(CK11+BJ11)/2)</f>
        <v>6.7</v>
      </c>
      <c r="TI11" s="42">
        <f>IF($CP11="P",CL11,(CL11+BK11)/2)</f>
        <v>4.25</v>
      </c>
      <c r="TJ11" s="42">
        <f>IF($CP11="P",CM11,(CM11+BL11)/2)</f>
        <v>7.2</v>
      </c>
      <c r="TK11" s="42">
        <f>IF($CP11="P",CN11,(CN11+BM11)/2)</f>
        <v>7.81</v>
      </c>
      <c r="TL11" s="42">
        <f>IF($CP11="P",CO11,(CO11+BN11)/2)</f>
        <v>0</v>
      </c>
      <c r="TM11" s="51" t="s">
        <v>61</v>
      </c>
      <c r="TN11" s="76">
        <f>IF(SZ11&gt;0,SZ11,"")</f>
        <v>11.3</v>
      </c>
      <c r="TO11" s="76">
        <f>IF(TA11&gt;0,TA11,"")</f>
        <v>11.940000000000001</v>
      </c>
      <c r="TP11" s="76">
        <f>IF(SUM(SX11:TA11)-TB11&gt;0,SUM(SX11:TA11)-TB11,"")</f>
        <v>40.590000000000003</v>
      </c>
      <c r="TQ11" s="76">
        <f>IF(TE11&gt;0,TE11,"")</f>
        <v>8.5</v>
      </c>
      <c r="TR11" s="76">
        <f>IF(TF11&gt;0,TF11,"")</f>
        <v>9.4525000000000006</v>
      </c>
      <c r="TS11" s="76">
        <f>IF(SUM(TC11:TF11)-TG11&gt;0,SUM(TC11:TF11)-TG11,"")</f>
        <v>30.102499999999999</v>
      </c>
      <c r="TT11" s="76">
        <f>IF(MAX(TP11,TS11)&gt;0,MAX(TP11,TS11),"")</f>
        <v>40.590000000000003</v>
      </c>
      <c r="TU11" s="76">
        <f>IF(TJ11&gt;0,TJ11,"")</f>
        <v>7.2</v>
      </c>
      <c r="TV11" s="76">
        <f>IF(TK11&gt;0,TK11,"")</f>
        <v>7.81</v>
      </c>
      <c r="TW11" s="76">
        <f>IF(SUM(TH11:TK11)-TL11&gt;0,SUM(TH11:TK11)-TL11,"")</f>
        <v>25.959999999999997</v>
      </c>
      <c r="TX11" s="76">
        <f>IF(SUM(TT11,TW11)&gt;0,SUM(TT11,TW11),"")</f>
        <v>66.55</v>
      </c>
    </row>
    <row r="12" spans="1:544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>SUM(J12:V12)+SUM(J12:T12)*0.0000001+SUM(J12)*0.0000000000001</f>
        <v>228.00002280000535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Z12&gt;=EM$25,DZ12&lt;&gt;"",EB12&gt;=EM$29,EB12&lt;&gt;""),AND(EC12&gt;=EM$25,EC12&lt;&gt;"",EE12&gt;=EM$29,EE12&lt;&gt;""),AND(EG12&gt;=EM$25,EG12&lt;&gt;"",EI12&gt;=EM$29,EI12&lt;&gt;""),AND(EJ12&gt;=EM$25,EJ12&lt;&gt;"",EL12&gt;=EM$29,EL12&lt;&gt;""),AND(FH12&gt;=FU$25,FH12&lt;&gt;"",FJ12&gt;=FU$29,FJ12&lt;&gt;""),AND(FK12&gt;=FU$25,FK12&lt;&gt;"",FM12&gt;=FU$29,FM12&lt;&gt;""),AND(FO12&gt;=FU$25,FO12&lt;&gt;"",FQ12&gt;=FU$29,FQ12&lt;&gt;""),AND(FR12&gt;=FU$25,FR12&lt;&gt;"",FT12&gt;=FU$29,FT12&lt;&gt;""),AND(GP12&gt;=HC$25,GP12&lt;&gt;"",GR12&gt;=HC$29,GR12&lt;&gt;""),AND(GS12&gt;=HC$25,GS12&lt;&gt;"",GU12&gt;=HC$29,GU12&lt;&gt;""),AND(GW12&gt;=HC$25,GW12&lt;&gt;"",GY12&gt;=HC$29,GY12&lt;&gt;""),AND(GZ12&gt;=HC$25,GZ12&lt;&gt;"",HB12&gt;=HC$29,HB12&lt;&gt;""),AND(HX12&gt;=IK$25,HX12&lt;&gt;"",HZ12&gt;=IK$29,HZ12&lt;&gt;""),AND(IA12&gt;=IK$25,IA12&lt;&gt;"",IC12&gt;=IK$29,IC12&lt;&gt;""),AND(IE12&gt;=IK$25,IE12&lt;&gt;"",IG12&gt;=IK$29,IG12&lt;&gt;""),AND(IH12&gt;=IK$25,IH12&lt;&gt;"",IJ12&gt;=IK$29,IJ12&lt;&gt;""),AND(JF12&gt;=JS$25,JF12&lt;&gt;"",JH12&gt;=JS$29,JH12&lt;&gt;""),AND(JI12&gt;=JS$25,JI12&lt;&gt;"",JK12&gt;=JS$29,JK12&lt;&gt;""),AND(JM12&gt;=JS$25,JM12&lt;&gt;"",JO12&gt;=JS$29,JO12&lt;&gt;""),AND(JP12&gt;=JS$25,JP12&lt;&gt;"",JR12&gt;=JS$29,JR12&lt;&gt;""),AND(KN12&gt;=LA$25,KN12&lt;&gt;"",KP12&gt;=LA$29,KP12&lt;&gt;""),AND(KQ12&gt;=LA$25,KQ12&lt;&gt;"",KS12&gt;=LA$29,KS12&lt;&gt;""),AND(KU12&gt;=LA$25,KU12&lt;&gt;"",KW12&gt;=LA$29,KW12&lt;&gt;""),AND(KX12&gt;=LA$25,KX12&lt;&gt;"",KZ12&gt;=LA$29,KZ12&lt;&gt;""),AND(LV12&gt;=MI$25,LV12&lt;&gt;"",LX12&gt;=MI$29,LX12&lt;&gt;""),AND(LY12&gt;=MI$25,LY12&lt;&gt;"",MA12&gt;=MI$29,MA12&lt;&gt;""),AND(MC12&gt;=MI$25,MC12&lt;&gt;"",ME12&gt;=MI$29,ME12&lt;&gt;""),AND(MF12&gt;=MI$25,MF12&lt;&gt;"",MH12&gt;=MI$29,MH12&lt;&gt;""),AND(ND12&gt;=NQ$25,ND12&lt;&gt;"",NF12&gt;=NQ$29,NF12&lt;&gt;""),AND(NG12&gt;=NQ$25,NG12&lt;&gt;"",NI12&gt;=NQ$29,NI12&lt;&gt;""),AND(NK12&gt;=NQ$25,NK12&lt;&gt;"",NM12&gt;=NQ$29,NM12&lt;&gt;""),AND(NN12&gt;=NQ$25,NN12&lt;&gt;"",NP12&gt;=NQ$29,NP12&lt;&gt;""),AND(OL12&gt;=OY$25,OL12&lt;&gt;"",ON12&gt;=OY$29,ON12&lt;&gt;""),AND(OO12&gt;=OY$25,OO12&lt;&gt;"",OQ12&gt;=OY$29,OQ12&lt;&gt;""),AND(OS12&gt;=OY$25,OS12&lt;&gt;"",OU12&gt;=OY$29,OU12&lt;&gt;""),AND(OV12&gt;=OY$25,OV12&lt;&gt;"",OX12&gt;=OY$29,OX12&lt;&gt;""),AND(PT12&gt;=QG$25,PT12&lt;&gt;"",PV12&gt;=QG$29,PV12&lt;&gt;""),AND(PW12&gt;=QG$25,PW12&lt;&gt;"",PY12&gt;=QG$29,PY12&lt;&gt;""),AND(QA12&gt;=QG$25,QA12&lt;&gt;"",QC12&gt;=QG$29,QC12&lt;&gt;""),AND(QD12&gt;=QG$25,QD12&lt;&gt;"",QF12&gt;=QG$29,QF12&lt;&gt;""),AND(RB12&gt;=RO$25,RB12&lt;&gt;"",RD12&gt;=RO$29,RD12&lt;&gt;""),AND(RE12&gt;=RO$25,RE12&lt;&gt;"",RG12&gt;=RO$29,RG12&lt;&gt;""),AND(RI12&gt;=RO$25,RI12&lt;&gt;"",RK12&gt;=RO$29,RK12&lt;&gt;""),AND(RL12&gt;=RO$25,RL12&lt;&gt;"",RN12&gt;=RO$29,RN12&lt;&gt;""),AND(SJ12&gt;=SW$25,SJ12&lt;&gt;"",SL12&gt;=SW$29,SL12&lt;&gt;""),AND(SM12&gt;=SW$25,SM12&lt;&gt;"",SO12&gt;=SW$29,SO12&lt;&gt;""),AND(SQ12&gt;=SW$25,SQ12&lt;&gt;"",SS12&gt;=SW$29,SS12&lt;&gt;""),AND(ST12&gt;=SW$25,ST12&lt;&gt;"",SV12&gt;=SW$29,SV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EB12&gt;=EM$29,EB12&lt;&gt;""),AND(EE12&gt;=EM$29,EE12&lt;&gt;""),AND(EI12&gt;=EM$29,EI12&lt;&gt;""),AND(EL12&gt;=EM$29,EL12&lt;&gt;""),AND(FJ12&gt;=FU$29,FJ12&lt;&gt;""),AND(FM12&gt;=FU$29,FM12&lt;&gt;""),AND(FQ12&gt;=FU$29,FQ12&lt;&gt;""),AND(FT12&gt;=FU$29,FT12&lt;&gt;""),AND(GR12&gt;=HC$29,GR12&lt;&gt;""),AND(GU12&gt;=HC$29,GU12&lt;&gt;""),AND(GY12&gt;=HC$29,GY12&lt;&gt;""),AND(HB12&gt;=HC$29,HB12&lt;&gt;""),AND(HZ12&gt;=IK$29,HZ12&lt;&gt;""),AND(IC12&gt;=IK$29,IC12&lt;&gt;""),AND(IG12&gt;=IK$29,IG12&lt;&gt;""),AND(IJ12&gt;=IK$29,IJ12&lt;&gt;""),AND(JH12&gt;=JS$29,JH12&lt;&gt;""),AND(JK12&gt;=JS$29,JK12&lt;&gt;""),AND(JO12&gt;=JS$29,JO12&lt;&gt;""),AND(JR12&gt;=JS$29,JR12&lt;&gt;""),AND(KP12&gt;=LA$29,KP12&lt;&gt;""),AND(KS12&gt;=LA$29,KS12&lt;&gt;""),AND(KW12&gt;=LA$29,KW12&lt;&gt;""),AND(KZ12&gt;=LA$29,KZ12&lt;&gt;""),AND(LX12&gt;=MI$29,LX12&lt;&gt;""),AND(MA12&gt;=MI$29,MA12&lt;&gt;""),AND(ME12&gt;=MI$29,ME12&lt;&gt;""),AND(MH12&gt;=MI$29,MH12&lt;&gt;""),AND(NF12&gt;=NQ$29,NF12&lt;&gt;""),AND(NI12&gt;=NQ$29,NI12&lt;&gt;""),AND(NM12&gt;=NQ$29,NM12&lt;&gt;""),AND(NP12&gt;=NQ$29,NP12&lt;&gt;""),AND(ON12&gt;=OY$29,ON12&lt;&gt;""),AND(OQ12&gt;=OY$29,OQ12&lt;&gt;""),AND(OU12&gt;=OY$29,OU12&lt;&gt;""),AND(OX12&gt;=OY$29,OX12&lt;&gt;""),AND(PV12&gt;=QG$29,PV12&lt;&gt;""),AND(PY12&gt;=QG$29,PY12&lt;&gt;""),AND(QC12&gt;=QG$29,QC12&lt;&gt;""),AND(QF12&gt;=QG$29,QF12&lt;&gt;""),AND(RD12&gt;=RO$29,RD12&lt;&gt;""),AND(RG12&gt;=RO$29,RG12&lt;&gt;""),AND(RK12&gt;=RO$29,RK12&lt;&gt;""),AND(RN12&gt;=RO$29,RN12&lt;&gt;""),AND(SL12&gt;=SW$29,SL12&lt;&gt;""),AND(SO12&gt;=SW$29,SO12&lt;&gt;""),AND(SS12&gt;=SW$29,SS12&lt;&gt;""),AND(SV12&gt;=SW$29,SV12&lt;&gt;"")),"P","")</f>
        <v>P</v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Z12&gt;=EM$28,DZ12&lt;&gt;"",EB12&gt;=EM$32,EB12&lt;&gt;""),AND(EC12&gt;=EM$28,EC12&lt;&gt;"",EE12&gt;=EM$32,EE12&lt;&gt;""),AND(EG12&gt;=EM$28,EG12&lt;&gt;"",EI12&gt;=EM$32,EI12&lt;&gt;""),AND(EJ12&gt;=EM$28,EJ12&lt;&gt;"",EL12&gt;=EM$32,EL12&lt;&gt;""),AND(FH12&gt;=FU$28,FH12&lt;&gt;"",FJ12&gt;=FU$32,FJ12&lt;&gt;""),AND(FK12&gt;=FU$28,FK12&lt;&gt;"",FM12&gt;=FU$32,FM12&lt;&gt;""),AND(FO12&gt;=FU$28,FO12&lt;&gt;"",FQ12&gt;=FU$32,FQ12&lt;&gt;""),AND(FR12&gt;=FU$28,FR12&lt;&gt;"",FT12&gt;=FU$32,FT12&lt;&gt;""),AND(GP12&gt;=HC$28,GP12&lt;&gt;"",GR12&gt;=HC$32,GR12&lt;&gt;""),AND(GS12&gt;=HC$28,GS12&lt;&gt;"",GU12&gt;=HC$32,GU12&lt;&gt;""),AND(GW12&gt;=HC$28,GW12&lt;&gt;"",GY12&gt;=HC$32,GY12&lt;&gt;""),AND(GZ12&gt;=HC$28,GZ12&lt;&gt;"",HB12&gt;=HC$32,HB12&lt;&gt;""),AND(HX12&gt;=IK$28,HX12&lt;&gt;"",HZ12&gt;=IK$32,HZ12&lt;&gt;""),AND(IA12&gt;=IK$28,IA12&lt;&gt;"",IC12&gt;=IK$32,IC12&lt;&gt;""),AND(IE12&gt;=IK$28,IE12&lt;&gt;"",IG12&gt;=IK$32,IG12&lt;&gt;""),AND(IH12&gt;=IK$28,IH12&lt;&gt;"",IJ12&gt;=IK$32,IJ12&lt;&gt;""),AND(JF12&gt;=JS$28,JF12&lt;&gt;"",JH12&gt;=JS$32,JH12&lt;&gt;""),AND(JI12&gt;=JS$28,JI12&lt;&gt;"",JK12&gt;=JS$32,JK12&lt;&gt;""),AND(JM12&gt;=JS$28,JM12&lt;&gt;"",JO12&gt;=JS$32,JO12&lt;&gt;""),AND(JP12&gt;=JS$28,JP12&lt;&gt;"",JR12&gt;=JS$32,JR12&lt;&gt;""),AND(KN12&gt;=LA$28,KN12&lt;&gt;"",KP12&gt;=LA$32,KP12&lt;&gt;""),AND(KQ12&gt;=LA$28,KQ12&lt;&gt;"",KS12&gt;=LA$32,KS12&lt;&gt;""),AND(KU12&gt;=LA$28,KU12&lt;&gt;"",KW12&gt;=LA$32,KW12&lt;&gt;""),AND(KX12&gt;=LA$28,KX12&lt;&gt;"",KZ12&gt;=LA$32,KZ12&lt;&gt;""),AND(LV12&gt;=MI$28,LV12&lt;&gt;"",LX12&gt;=MI$32,LX12&lt;&gt;""),AND(LY12&gt;=MI$28,LY12&lt;&gt;"",MA12&gt;=MI$32,MA12&lt;&gt;""),AND(MC12&gt;=MI$28,MC12&lt;&gt;"",ME12&gt;=MI$32,ME12&lt;&gt;""),AND(MF12&gt;=MI$28,MF12&lt;&gt;"",MH12&gt;=MI$32,MH12&lt;&gt;""),AND(ND12&gt;=NQ$28,ND12&lt;&gt;"",NF12&gt;=NQ$32,NF12&lt;&gt;""),AND(NG12&gt;=NQ$28,NG12&lt;&gt;"",NI12&gt;=NQ$32,NI12&lt;&gt;""),AND(NK12&gt;=NQ$28,NK12&lt;&gt;"",NM12&gt;=NQ$32,NM12&lt;&gt;""),AND(NN12&gt;=NQ$28,NN12&lt;&gt;"",NP12&gt;=NQ$32,NP12&lt;&gt;""),AND(OL12&gt;=OY$28,OL12&lt;&gt;"",ON12&gt;=OY$32,ON12&lt;&gt;""),AND(OO12&gt;=OY$28,OO12&lt;&gt;"",OQ12&gt;=OY$32,OQ12&lt;&gt;""),AND(OS12&gt;=OY$28,OS12&lt;&gt;"",OU12&gt;=OY$32,OU12&lt;&gt;""),AND(OV12&gt;=OY$28,OV12&lt;&gt;"",OX12&gt;=OY$32,OX12&lt;&gt;""),AND(PT12&gt;=QG$28,PT12&lt;&gt;"",PV12&gt;=QG$32,PV12&lt;&gt;""),AND(PW12&gt;=QG$28,PW12&lt;&gt;"",PY12&gt;=QG$32,PY12&lt;&gt;""),AND(QA12&gt;=QG$28,QA12&lt;&gt;"",QC12&gt;=QG$32,QC12&lt;&gt;""),AND(QD12&gt;=QG$28,QD12&lt;&gt;"",QF12&gt;=QG$32,QF12&lt;&gt;""),AND(RB12&gt;=RO$28,RB12&lt;&gt;"",RD12&gt;=RO$32,RD12&lt;&gt;""),AND(RE12&gt;=RO$28,RE12&lt;&gt;"",RG12&gt;=RO$32,RG12&lt;&gt;""),AND(RI12&gt;=RO$28,RI12&lt;&gt;"",RK12&gt;=RO$32,RK12&lt;&gt;""),AND(RL12&gt;=RO$28,RL12&lt;&gt;"",RN12&gt;=RO$32,RN12&lt;&gt;""),AND(SJ12&gt;=SW$28,SJ12&lt;&gt;"",SL12&gt;=SW$32,SL12&lt;&gt;""),AND(SM12&gt;=SW$28,SM12&lt;&gt;"",SO12&gt;=SW$32,SO12&lt;&gt;""),AND(SQ12&gt;=SW$28,SQ12&lt;&gt;"",SS12&gt;=SW$32,SS12&lt;&gt;""),AND(ST12&gt;=SW$28,ST12&lt;&gt;"",SV12&gt;=SW$32,SV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Z12&gt;=EM$27,DZ12&lt;&gt;"",EB12&gt;=EM$31,EB12&lt;&gt;""),AND(EC12&gt;=EM$27,EC12&lt;&gt;"",EE12&gt;=EM$31,EE12&lt;&gt;""),AND(EG12&gt;=EM$27,EG12&lt;&gt;"",EI12&gt;=EM$31,EI12&lt;&gt;""),AND(EJ12&gt;=EM$27,EJ12&lt;&gt;"",EL12&gt;=EM$31,EL12&lt;&gt;""),AND(FH12&gt;=FU$27,FH12&lt;&gt;"",FJ12&gt;=FU$31,FJ12&lt;&gt;""),AND(FK12&gt;=FU$27,FK12&lt;&gt;"",FM12&gt;=FU$31,FM12&lt;&gt;""),AND(FO12&gt;=FU$27,FO12&lt;&gt;"",FQ12&gt;=FU$31,FQ12&lt;&gt;""),AND(FR12&gt;=FU$27,FR12&lt;&gt;"",FT12&gt;=FU$31,FT12&lt;&gt;""),AND(GP12&gt;=HC$27,GP12&lt;&gt;"",GR12&gt;=HC$31,GR12&lt;&gt;""),AND(GS12&gt;=HC$27,GS12&lt;&gt;"",GU12&gt;=HC$31,GU12&lt;&gt;""),AND(GW12&gt;=HC$27,GW12&lt;&gt;"",GY12&gt;=HC$31,GY12&lt;&gt;""),AND(GZ12&gt;=HC$27,GZ12&lt;&gt;"",HB12&gt;=HC$31,HB12&lt;&gt;""),AND(HX12&gt;=IK$27,HX12&lt;&gt;"",HZ12&gt;=IK$31,HZ12&lt;&gt;""),AND(IA12&gt;=IK$27,IA12&lt;&gt;"",IC12&gt;=IK$31,IC12&lt;&gt;""),AND(IE12&gt;=IK$27,IE12&lt;&gt;"",IG12&gt;=IK$31,IG12&lt;&gt;""),AND(IH12&gt;=IK$27,IH12&lt;&gt;"",IJ12&gt;=IK$31,IJ12&lt;&gt;""),AND(JF12&gt;=JS$27,JF12&lt;&gt;"",JH12&gt;=JS$31,JH12&lt;&gt;""),AND(JI12&gt;=JS$27,JI12&lt;&gt;"",JK12&gt;=JS$31,JK12&lt;&gt;""),AND(JM12&gt;=JS$27,JM12&lt;&gt;"",JO12&gt;=JS$31,JO12&lt;&gt;""),AND(JP12&gt;=JS$27,JP12&lt;&gt;"",JR12&gt;=JS$31,JR12&lt;&gt;""),AND(KN12&gt;=LA$27,KN12&lt;&gt;"",KP12&gt;=LA$31,KP12&lt;&gt;""),AND(KQ12&gt;=LA$27,KQ12&lt;&gt;"",KS12&gt;=LA$31,KS12&lt;&gt;""),AND(KU12&gt;=LA$27,KU12&lt;&gt;"",KW12&gt;=LA$31,KW12&lt;&gt;""),AND(KX12&gt;=LA$27,KX12&lt;&gt;"",KZ12&gt;=LA$31,KZ12&lt;&gt;""),AND(LV12&gt;=MI$27,LV12&lt;&gt;"",LX12&gt;=MI$31,LX12&lt;&gt;""),AND(LY12&gt;=MI$27,LY12&lt;&gt;"",MA12&gt;=MI$31,MA12&lt;&gt;""),AND(MC12&gt;=MI$27,MC12&lt;&gt;"",ME12&gt;=MI$31,ME12&lt;&gt;""),AND(MF12&gt;=MI$27,MF12&lt;&gt;"",MH12&gt;=MI$31,MH12&lt;&gt;""),AND(ND12&gt;=NQ$27,ND12&lt;&gt;"",NF12&gt;=NQ$31,NF12&lt;&gt;""),AND(NG12&gt;=NQ$27,NG12&lt;&gt;"",NI12&gt;=NQ$31,NI12&lt;&gt;""),AND(NK12&gt;=NQ$27,NK12&lt;&gt;"",NM12&gt;=NQ$31,NM12&lt;&gt;""),AND(NN12&gt;=NQ$27,NN12&lt;&gt;"",NP12&gt;=NQ$31,NP12&lt;&gt;""),AND(OL12&gt;=OY$27,OL12&lt;&gt;"",ON12&gt;=OY$31,ON12&lt;&gt;""),AND(OO12&gt;=OY$27,OO12&lt;&gt;"",OQ12&gt;=OY$31,OQ12&lt;&gt;""),AND(OS12&gt;=OY$27,OS12&lt;&gt;"",OU12&gt;=OY$31,OU12&lt;&gt;""),AND(OV12&gt;=OY$27,OV12&lt;&gt;"",OX12&gt;=OY$31,OX12&lt;&gt;""),AND(PT12&gt;=QG$27,PT12&lt;&gt;"",PV12&gt;=QG$31,PV12&lt;&gt;""),AND(PW12&gt;=QG$27,PW12&lt;&gt;"",PY12&gt;=QG$31,PY12&lt;&gt;""),AND(QA12&gt;=QG$27,QA12&lt;&gt;"",QC12&gt;=QG$31,QC12&lt;&gt;""),AND(QD12&gt;=QG$27,QD12&lt;&gt;"",QF12&gt;=QG$31,QF12&lt;&gt;""),AND(RB12&gt;=RO$27,RB12&lt;&gt;"",RD12&gt;=RO$31,RD12&lt;&gt;""),AND(RE12&gt;=RO$27,RE12&lt;&gt;"",RG12&gt;=RO$31,RG12&lt;&gt;""),AND(RI12&gt;=RO$27,RI12&lt;&gt;"",RK12&gt;=RO$31,RK12&lt;&gt;""),AND(RL12&gt;=RO$27,RL12&lt;&gt;"",RN12&gt;=RO$31,RN12&lt;&gt;""),AND(SJ12&gt;=SW$27,SJ12&lt;&gt;"",SL12&gt;=SW$31,SL12&lt;&gt;""),AND(SM12&gt;=SW$27,SM12&lt;&gt;"",SO12&gt;=SW$31,SO12&lt;&gt;""),AND(SQ12&gt;=SW$27,SQ12&lt;&gt;"",SS12&gt;=SW$31,SS12&lt;&gt;""),AND(ST12&gt;=SW$27,ST12&lt;&gt;"",SV12&gt;=SW$31,SV12&lt;&gt;"")),"Excellence",IF(I12="P","Worlds Team",IF(F12="P","National Team","")))))</f>
        <v>No DD</v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Z12&gt;=EM$26,DZ12&lt;&gt;"",EB12&gt;=EM$30,EB12&lt;&gt;""),AND(EC12&gt;=EM$26,EC12&lt;&gt;"",EE12&gt;=EM$30,EE12&lt;&gt;""),AND(EG12&gt;=EM$26,EG12&lt;&gt;"",EI12&gt;=EM$30,EI12&lt;&gt;""),AND(EJ12&gt;=EM$26,EJ12&lt;&gt;"",EL12&gt;=EM$30,EL12&lt;&gt;""),AND(FH12&gt;=FU$26,FH12&lt;&gt;"",FJ12&gt;=FU$30,FJ12&lt;&gt;""),AND(FK12&gt;=FU$26,FK12&lt;&gt;"",FM12&gt;=FU$30,FM12&lt;&gt;""),AND(FO12&gt;=FU$26,FO12&lt;&gt;"",FQ12&gt;=FU$30,FQ12&lt;&gt;""),AND(FR12&gt;=FU$26,FR12&lt;&gt;"",FT12&gt;=FU$30,FT12&lt;&gt;""),AND(GP12&gt;=HC$26,GP12&lt;&gt;"",GR12&gt;=HC$30,GR12&lt;&gt;""),AND(GS12&gt;=HC$26,GS12&lt;&gt;"",GU12&gt;=HC$30,GU12&lt;&gt;""),AND(GW12&gt;=HC$26,GW12&lt;&gt;"",GY12&gt;=HC$30,GY12&lt;&gt;""),AND(GZ12&gt;=HC$26,GZ12&lt;&gt;"",HB12&gt;=HC$30,HB12&lt;&gt;""),AND(HX12&gt;=IK$26,HX12&lt;&gt;"",HZ12&gt;=IK$30,HZ12&lt;&gt;""),AND(IA12&gt;=IK$26,IA12&lt;&gt;"",IC12&gt;=IK$30,IC12&lt;&gt;""),AND(IE12&gt;=IK$26,IE12&lt;&gt;"",IG12&gt;=IK$30,IG12&lt;&gt;""),AND(IH12&gt;=IK$26,IH12&lt;&gt;"",IJ12&gt;=IK$30,IJ12&lt;&gt;""),AND(JF12&gt;=JS$26,JF12&lt;&gt;"",JH12&gt;=JS$30,JH12&lt;&gt;""),AND(JI12&gt;=JS$26,JI12&lt;&gt;"",JK12&gt;=JS$30,JK12&lt;&gt;""),AND(JM12&gt;=JS$26,JM12&lt;&gt;"",JO12&gt;=JS$30,JO12&lt;&gt;""),AND(JP12&gt;=JS$26,JP12&lt;&gt;"",JR12&gt;=JS$30,JR12&lt;&gt;""),AND(KN12&gt;=LA$26,KN12&lt;&gt;"",KP12&gt;=LA$30,KP12&lt;&gt;""),AND(KQ12&gt;=LA$26,KQ12&lt;&gt;"",KS12&gt;=LA$30,KS12&lt;&gt;""),AND(KU12&gt;=LA$26,KU12&lt;&gt;"",KW12&gt;=LA$30,KW12&lt;&gt;""),AND(KX12&gt;=LA$26,KX12&lt;&gt;"",KZ12&gt;=LA$30,KZ12&lt;&gt;""),AND(LV12&gt;=MI$26,LV12&lt;&gt;"",LX12&gt;=MI$30,LX12&lt;&gt;""),AND(LY12&gt;=MI$26,LY12&lt;&gt;"",MA12&gt;=MI$30,MA12&lt;&gt;""),AND(MC12&gt;=MI$26,MC12&lt;&gt;"",ME12&gt;=MI$30,ME12&lt;&gt;""),AND(MF12&gt;=MI$26,MF12&lt;&gt;"",MH12&gt;=MI$30,MH12&lt;&gt;""),AND(ND12&gt;=NQ$26,ND12&lt;&gt;"",NF12&gt;=NQ$30,NF12&lt;&gt;""),AND(NG12&gt;=NQ$26,NG12&lt;&gt;"",NI12&gt;=NQ$30,NI12&lt;&gt;""),AND(NK12&gt;=NQ$26,NK12&lt;&gt;"",NM12&gt;=NQ$30,NM12&lt;&gt;""),AND(NN12&gt;=NQ$26,NN12&lt;&gt;"",NP12&gt;=NQ$30,NP12&lt;&gt;""),AND(OL12&gt;=OY$26,OL12&lt;&gt;"",ON12&gt;=OY$30,ON12&lt;&gt;""),AND(OO12&gt;=OY$26,OO12&lt;&gt;"",OQ12&gt;=OY$30,OQ12&lt;&gt;""),AND(OS12&gt;=OY$26,OS12&lt;&gt;"",OU12&gt;=OY$30,OU12&lt;&gt;""),AND(OV12&gt;=OY$26,OV12&lt;&gt;"",OX12&gt;=OY$30,OX12&lt;&gt;""),AND(PT12&gt;=QG$26,PT12&lt;&gt;"",PV12&gt;=QG$30,PV12&lt;&gt;""),AND(PW12&gt;=QG$26,PW12&lt;&gt;"",PY12&gt;=QG$30,PY12&lt;&gt;""),AND(QA12&gt;=QG$26,QA12&lt;&gt;"",QC12&gt;=QG$30,QC12&lt;&gt;""),AND(QD12&gt;=QG$26,QD12&lt;&gt;"",QF12&gt;=QG$30,QF12&lt;&gt;""),AND(RB12&gt;=RO$26,RB12&lt;&gt;"",RD12&gt;=RO$30,RD12&lt;&gt;""),AND(RE12&gt;=RO$26,RE12&lt;&gt;"",RG12&gt;=RO$30,RG12&lt;&gt;""),AND(RI12&gt;=RO$26,RI12&lt;&gt;"",RK12&gt;=RO$30,RK12&lt;&gt;""),AND(RL12&gt;=RO$26,RL12&lt;&gt;"",RN12&gt;=RO$30,RN12&lt;&gt;""),AND(SJ12&gt;=SW$26,SJ12&lt;&gt;"",SL12&gt;=SW$30,SL12&lt;&gt;""),AND(SM12&gt;=SW$26,SM12&lt;&gt;"",SO12&gt;=SW$30,SO12&lt;&gt;""),AND(SQ12&gt;=SW$26,SQ12&lt;&gt;"",SS12&gt;=SW$30,SS12&lt;&gt;""),AND(ST12&gt;=SW$26,ST12&lt;&gt;"",SV12&gt;=SW$30,SV12&lt;&gt;"")),"P","")</f>
        <v/>
      </c>
      <c r="J12" s="13">
        <f>IF(COUNT(AQ12,AT12,BR12,BU12,CS12,CV12)&gt;0,LARGE((AQ12,AT12,BR12,BU12,CS12,CV12),1),0)</f>
        <v>53.500000000000007</v>
      </c>
      <c r="K12" s="13" t="str">
        <f>IF(J12="","",IF(OR(J12=CS12,J12=CV12),$CA$1,IF(OR(J12=BR12,J12=BU12),$AZ$1,IF(OR(J12=AQ12,J12=AT12),$Y$1,""))))</f>
        <v>2021 Elite Canada</v>
      </c>
      <c r="L12" s="13">
        <f>IF(COUNT(AQ12,AT12,BR12,BU12,CS12,CV12)&gt;1,LARGE((AQ12,AT12,BR12,BU12,CS12,CV12),2),0)</f>
        <v>53.36</v>
      </c>
      <c r="M12" s="13" t="str">
        <f>IF(L12="","",IF(OR(L12=CS12,L12=CV12),$CA$1,IF(OR(L12=BR12,L12=BU12),$AZ$1,IF(OR(L12=AQ12,L12=AT12),$Y$1,""))))</f>
        <v>2022 Elite Canada</v>
      </c>
      <c r="N12" s="13">
        <f>IF(COUNT(AQ12,AT12,BR12,BU12,CS12,CV12)&gt;2,LARGE((AQ12,AT12,BR12,BU12,CS12,CV12),3),0)</f>
        <v>52.169999999999995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54.169999999999995</v>
      </c>
      <c r="Q12" s="13" t="str">
        <f>IF(P12="","",IF(P12=CZ12,$CA$1,IF(P12=BY12,$AZ$1,IF(P12=AX12,$Y$1,""))))</f>
        <v>2022 Elite Canada</v>
      </c>
      <c r="R12" s="13">
        <f>IF(MAX(AO12,AR12,AV12,BP12,BS12,BW12,CQ12,CT12,CX12)&gt;0,MAX(AO12,AR12,BP12,BS12,CQ12,CT12,AV12),0)</f>
        <v>14.8</v>
      </c>
      <c r="S12" s="13" t="str">
        <f>IF(R12=0,"",IF(OR(R12=CQ12,R12=CT12,R12=CX12),$CA$1,IF(OR(R12=BP12,R12=BS12,R12=BW12),$AZ$1,IF(OR(R12=AO12,R12=AR12,R12=AV12),$Y$1,""))))</f>
        <v>2022 Elite Canada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),0)</f>
        <v>0</v>
      </c>
      <c r="U12" s="13" t="str">
        <f>IF(T12=0,"",IF(OR(T12=CR12,T12=CU12,T12=CY12),$CA$1,IF(OR(T12=BQ12,T12=BT12,T12=BX12),$AZ$1,IF(OR(T12=AP12,T12=AS12,T12=AW12),$Y$1,""))))</f>
        <v/>
      </c>
      <c r="V12" s="13" t="str">
        <f>IF(MAX(DB12,DC12,DD12,DE12)&gt;0,MAX(DB12,DC12,DD12,DE12),"")</f>
        <v/>
      </c>
      <c r="W12" s="16" t="str">
        <f>IF(V12="","",IF(V12=DB12,"("&amp;DB$2&amp;")",IF(V12=DC12,"("&amp;DC$2&amp;")",IF(V12=DD12,"("&amp;DD$2&amp;")",IF(V12=DE12,"("&amp;DE$2&amp;")")))))</f>
        <v/>
      </c>
      <c r="X12" s="13" t="str">
        <f>IF(V12="","",IF(V12=DB12,IF(V12+IF(L12="",0,L12)=SP12,$RP$1,IF(V12+IF(L12="",0,L12)=RH12,$QH$1,IF(V12+IF(L12="",0,L12)=PZ12,$OZ$1,IF(V12+IF(L12="",0,L12)=OR12,$NR$1,IF(V12+IF(L12="",0,L12)=NJ12,$MJ$1,IF(V12+IF(L12="",0,L12)=MB12,$LB$1,IF(V12+IF(L12="",0,L12)=KT12,$JT$1,IF(V12+IF(L12="",0,L12)=JL12,$IL$1,IF(V12+IF(L12="",0,L12)=ID12,$HD$1,IF(V12+IF(L12="",0,L12)=GV12,$FV$1,IF(V12+IF(L12="",0,L12)=FN12,$EN$1,IF(V12+IF(L12="",0,L12)=EF12,$DF$1)))))))))))),IF(V12=DC12,IF(V12+IF(P12="",0,P12)=SV12,$RP$1,IF(V12+IF(P12="",0,P12)=RN12,$QH$1,IF(V12+IF(P12="",0,P12)=QF12,$OZ$1,IF(V12+IF(P12="",0,P12)=OX12,$NR$1,IF(V12+IF(P12="",0,P12)=NP12,$MJ$1,IF(V12+IF(P12="",0,P12)=MH12,$LB$1,IF(V12+IF(P12="",0,P12)=KZ12,$JT$1,IF(V12+IF(P12="",0,P12)=JR12,$IL$1,IF(V12+IF(P12="",0,P12)=IJ12,$HD$1,IF(V12+IF(P12="",0,P12)=HB12,$FV$1,IF(V12+IF(P12="",0,P12)=FT12,$EN$1,IF(V12+IF(P12="",0,P12)=EL12,$DF$1)))))))))))),IF(V12=DD12,IF(V12+IF(R12="",0,R12)=MAX(SJ12,SM12,SQ12,ST12),$RP$1,IF(V12+IF(R12="",0,R12)=MAX(RB12,RE12,RI12,RL12),$QH$1,IF(V12+IF(R12="",0,R12)=MAX(PT12,PW12,QA12,QD12),$OZ$1,IF(V12+IF(R12="",0,R12)=MAX(OL12,OO12,OS12,OV12),$NR$1,IF(V12+IF(R12="",0,R12)=MAX(ND12,NG12,NK12,NN12),$MJ$1,IF(V12+IF(R12="",0,R12)=MAX(LV12,LY12,MC12,MF12),$LB$1,IF(V12+IF(R12="",0,R12)=MAX(KN12,KQ12,KU12,KX12),$JT$1,IF(V12+IF(R12="",0,R12)=MAX(JF12,JI12,JM12,JP12),$IL$1,IF(V12+IF(R12="",0,R12)=MAX(HX12,IA12,IE12,IH12),$HD$1,IF(V12+IF(R12="",0,R12)=MAX(GP12,GS12,GW12,GZ12),$FV$1,IF(V12+IF(R12="",0,R12)=MAX(FH12,FK12,FO12,FR12),$EN$1,IF(V12+IF(R12="",0,R12)=MAX(DZ12,EC12,EG12,EJ12),$DF$1)))))))))))),IF(V12=DE12,IF(V12+IF(T12="",0,T12)=MAX(SK12,SN12,SR12,SU12),$RP$1,IF(V12+IF(T12="",0,T12)=MAX(RC12,RF12,RJ12,RM12),$QH$1,IF(V12+IF(T12="",0,T12)=MAX(PU12,PX12,QB12,QE12),$OZ$1,IF(V12+IF(T12="",0,T12)=MAX(OM12,OP12,OT12,OW12),$NR$1,IF(V12+IF(T12="",0,T12)=MAX(NE12,NH12,NL12,NO12),$MJ$1,IF(V12+IF(T12="",0,T12)=MAX(LW12,LZ12,MD12,MG12),$LB$1,IF(V12+IF(T12="",0,T12)=MAX(KO12,KR12,KV12,KY12),$JT$1,IF(V12+IF(T12="",0,T12)=MAX(JG12,JJ12,JN12,JQ12),$IL$1,IF(V12+IF(T12="",0,T12)=MAX(HY12,IB12,IF12,II12),$HD$1,IF(V12+IF(T12="",0,T12)=MAX(GQ12,GT12,GX12,HA12),$FV$1,IF(V12+IF(T12="",0,T12)=MAX(FI12,FL12,FP12,FS12),$EN$1,IF(V12+IF(T12="",0,T12)=MAX(EA12,ED12,EH12,EK12),$DF$1)))))))))))))))))</f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>IF(AA12&gt;0,AA12,"")</f>
        <v>14.2</v>
      </c>
      <c r="AP12" s="74">
        <f>IF(AB12&gt;0,AB12,"")</f>
        <v>15.1</v>
      </c>
      <c r="AQ12" s="76">
        <f>IF(SUM(Y12:AB12)-AC12&gt;0,SUM(Y12:AB12)-AC12,"")</f>
        <v>53.500000000000007</v>
      </c>
      <c r="AR12" s="76" t="str">
        <f>IF(AF12&gt;0,AF12,"")</f>
        <v/>
      </c>
      <c r="AS12" s="76" t="str">
        <f>IF(AG12&gt;0,AG12,"")</f>
        <v/>
      </c>
      <c r="AT12" s="76" t="str">
        <f>IF(SUM(AD12:AG12)-AH12&gt;0,SUM(AD12:AG12)-AH12,"")</f>
        <v/>
      </c>
      <c r="AU12" s="76">
        <f>IF(AQ12="","",MAX(AQ12,AT12))</f>
        <v>53.500000000000007</v>
      </c>
      <c r="AV12" s="76">
        <f>IF(AK12&gt;0,AK12,"")</f>
        <v>6.7</v>
      </c>
      <c r="AW12" s="76">
        <f>IF(AL12&gt;0,AL12,"")</f>
        <v>6.13</v>
      </c>
      <c r="AX12" s="76">
        <f>IF(SUM(AI12:AL12)-AM12&gt;0,SUM(AI12:AL12)-AM12,"")</f>
        <v>32.53</v>
      </c>
      <c r="AY12" s="76">
        <f>IF(SUM(AU12,AX12)&gt;0,SUM(AU12,AX12),"")</f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5.0999999999999996</v>
      </c>
      <c r="BQ12" s="75">
        <f>IF(BC12&gt;0,BC12,"")</f>
        <v>4.8650000000000002</v>
      </c>
      <c r="BR12" s="16">
        <f>IF(SUM(AZ12:BC12)-BD12&gt;0,SUM(AZ12:BC12)-BD12,"")</f>
        <v>17.365000000000002</v>
      </c>
      <c r="BS12" s="16">
        <f>IF(BG12&gt;0,BG12,"")</f>
        <v>5.0999999999999996</v>
      </c>
      <c r="BT12" s="16">
        <f>IF(BH12&gt;0,BH12,"")</f>
        <v>5.05</v>
      </c>
      <c r="BU12" s="16">
        <f>IF(SUM(BE12:BH12)-BI12&gt;0,SUM(BE12:BH12)-BI12,"")</f>
        <v>17.349999999999998</v>
      </c>
      <c r="BV12" s="16">
        <f>IF(BR12="","",MAX(BR12,BU12))</f>
        <v>17.365000000000002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>IF(CC12&gt;0,CC12,"")</f>
        <v>14.8</v>
      </c>
      <c r="CR12" s="74">
        <f>IF(CD12&gt;0,CD12,"")</f>
        <v>15.36</v>
      </c>
      <c r="CS12" s="76">
        <f>IF(SUM(CA12:CD12)-CE12&gt;0,SUM(CA12:CD12)-CE12,"")</f>
        <v>53.36</v>
      </c>
      <c r="CT12" s="76">
        <f>IF(CH12&gt;0,CH12,"")</f>
        <v>12.7</v>
      </c>
      <c r="CU12" s="76">
        <f>IF(CI12&gt;0,CI12,"")</f>
        <v>15.87</v>
      </c>
      <c r="CV12" s="76">
        <f>IF(SUM(CF12:CI12)-CJ12&gt;0,SUM(CF12:CI12)-CJ12,"")</f>
        <v>52.169999999999995</v>
      </c>
      <c r="CW12" s="76">
        <f>IF(CS12="","",MAX(CS12,CV12))</f>
        <v>53.36</v>
      </c>
      <c r="CX12" s="76">
        <f>IF(CM12&gt;0,CM12,"")</f>
        <v>14.6</v>
      </c>
      <c r="CY12" s="76">
        <f>IF(CN12&gt;0,CN12,"")</f>
        <v>15.87</v>
      </c>
      <c r="CZ12" s="76">
        <f>IF(SUM(CK12:CN12)-CO12&gt;0,SUM(CK12:CN12)-CO12,"")</f>
        <v>54.169999999999995</v>
      </c>
      <c r="DA12" s="76">
        <f>IF(SUM(CW12,CZ12)&gt;0,SUM(CW12,CZ12),"")</f>
        <v>107.53</v>
      </c>
      <c r="DB12" s="87" t="str">
        <f>IF(L12&gt;=0.001,IF(MAX(EF12,FN12,GV12,ID12,JL12,KT12,MB12,NJ12,OR12,PZ12,RH12,SP12)-IF(L12="",0,L12)&gt;0.001,MAX(EF12,FN12,GV12,ID12,JL12,KT12,MB12,NJ12,OR12,PZ12,RH12,SP12)-IF(L12="",0,L12),""),"")</f>
        <v/>
      </c>
      <c r="DC12" s="87" t="str">
        <f>IF(P12&gt;=0.001,IF(MAX(EI12,EL12,FQ12,FT12,GY12,HB12,IG12,IJ12,JO12,JR12,KW12,KZ12,ME12,MH12,NM12,NP12,OU12,OX12,QC12,QF12,RK12,RN12,SS12,SV12)-IF(P12="",0,P12)&gt;0.001,MAX(EI12,EL12,FQ12,FT12,GY12,HB12,IG12,IJ12,JO12,JR12,KW12,KZ12,ME12,MH12,NM12,NP12,OU12,OX12,QC12,QF12,RK12,RN12,SS12,SV12)-IF(P12="",0,P12),""),"")</f>
        <v/>
      </c>
      <c r="DD12" s="87" t="str">
        <f>IF(R12&gt;=0.001,IF(MAX(DZ12,EC12,EG12,EJ12,FH12,FK12,FO12,FR12,GP12,GS12,GW12,GZ12,HX12,IA12,IE12,IH12,JF12,JI12,JM12,JP12,KN12,KQ12,KU12,KX12,LV12,LY12,MC12,MF12,ND12,NG12,NK12,NN12,OL12,OO12,OS12,OV12,PT12,PW12,QA12,QD12,RB12,RE12,RI12,RL12,SJ12,SM12,SQ12,ST12)-IF(R12="",0,R12)&gt;0.001,MAX(DZ12,EC12,EG12,EJ12,FH12,FK12,FO12,FR12,GP12,GS12,GW12,GZ12,HX12,IA12,IE12,IH12,JF12,JI12,JM12,JP12,KN12,KQ12,KU12,KX12,LV12,LY12,MC12,MF12,ND12,NG12,NK12,NN12,OL12,OO12,OS12,OV12,PT12,PW12,QA12,QD12,RB12,RE12,RI12,RL12,SJ12,SM12,SQ12,ST12)-IF(R12="",0,R12),""),"")</f>
        <v/>
      </c>
      <c r="DE12" s="87" t="str">
        <f>IF(T12&gt;=0.001,IF(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&gt;0.001,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,""),"")</f>
        <v/>
      </c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76" t="str">
        <f>IF(DH12&gt;0,DH12,"")</f>
        <v/>
      </c>
      <c r="EA12" s="76" t="str">
        <f>IF(DI12&gt;0,DI12,"")</f>
        <v/>
      </c>
      <c r="EB12" s="76" t="str">
        <f>IF(SUM(DF12:DI12)-DJ12&gt;0,SUM(DF12:DI12)-DJ12,"")</f>
        <v/>
      </c>
      <c r="EC12" s="76" t="str">
        <f>IF(DM12&gt;0,DM12,"")</f>
        <v/>
      </c>
      <c r="ED12" s="76" t="str">
        <f>IF(DN12&gt;0,DN12,"")</f>
        <v/>
      </c>
      <c r="EE12" s="76" t="str">
        <f>IF(SUM(DK12:DN12)-DO12&gt;0,SUM(DK12:DN12)-DO12,"")</f>
        <v/>
      </c>
      <c r="EF12" s="76" t="str">
        <f>IF(MAX(EB12,EE12)&gt;0,MAX(EB12,EE12),"")</f>
        <v/>
      </c>
      <c r="EG12" s="76" t="str">
        <f>IF(DR12&gt;0,DR12,"")</f>
        <v/>
      </c>
      <c r="EH12" s="76" t="str">
        <f>IF(DS12&gt;0,DS12,"")</f>
        <v/>
      </c>
      <c r="EI12" s="76" t="str">
        <f>IF(SUM(DP12:DS12)-DT12&gt;0,SUM(DP12:DS12)-DT12,"")</f>
        <v/>
      </c>
      <c r="EJ12" s="76" t="str">
        <f>IF(DW12&gt;0,DW12,"")</f>
        <v/>
      </c>
      <c r="EK12" s="76" t="str">
        <f>IF(DX12&gt;0,DX12,"")</f>
        <v/>
      </c>
      <c r="EL12" s="76" t="str">
        <f>IF(SUM(DU12:DX12)-DY12&gt;0,SUM(DU12:DX12)-DY12,"")</f>
        <v/>
      </c>
      <c r="EM12" s="76" t="str">
        <f>IF(SUM(EF12,EL12)&gt;0,SUM(EF12,EL12),"")</f>
        <v/>
      </c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16" t="str">
        <f>IF(EP12&gt;0,EP12,"")</f>
        <v/>
      </c>
      <c r="FI12" s="16" t="str">
        <f>IF(EQ12&gt;0,EQ12,"")</f>
        <v/>
      </c>
      <c r="FJ12" s="16" t="str">
        <f>IF(SUM(EN12:EQ12)-ER12&gt;0,SUM(EN12:EQ12)-ER12,"")</f>
        <v/>
      </c>
      <c r="FK12" s="16" t="str">
        <f>IF(EU12&gt;0,EU12,"")</f>
        <v/>
      </c>
      <c r="FL12" s="16" t="str">
        <f>IF(EV12&gt;0,EV12,"")</f>
        <v/>
      </c>
      <c r="FM12" s="16" t="str">
        <f>IF(SUM(ES12:EV12)-EW12&gt;0,SUM(ES12:EV12)-EW12,"")</f>
        <v/>
      </c>
      <c r="FN12" s="16" t="str">
        <f>IF(MAX(FJ12,FM12)&gt;0,MAX(FJ12,FM12),"")</f>
        <v/>
      </c>
      <c r="FO12" s="16" t="str">
        <f>IF(EZ12&gt;0,EZ12,"")</f>
        <v/>
      </c>
      <c r="FP12" s="16" t="str">
        <f>IF(FA12&gt;0,FA12,"")</f>
        <v/>
      </c>
      <c r="FQ12" s="16" t="str">
        <f>IF(SUM(EX12:FA12)-FB12&gt;0,SUM(EX12:FA12)-FB12,"")</f>
        <v/>
      </c>
      <c r="FR12" s="16" t="str">
        <f>IF(FE12&gt;0,FE12,"")</f>
        <v/>
      </c>
      <c r="FS12" s="16" t="str">
        <f>IF(FF12&gt;0,FF12,"")</f>
        <v/>
      </c>
      <c r="FT12" s="16" t="str">
        <f>IF(SUM(FC12:FF12)-FG12&gt;0,SUM(FC12:FF12)-FG12,"")</f>
        <v/>
      </c>
      <c r="FU12" s="16" t="str">
        <f>IF(SUM(FN12,FT12)&gt;0,SUM(FN12,FT12),"")</f>
        <v/>
      </c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76" t="str">
        <f>IF(FX12&gt;0,FX12,"")</f>
        <v/>
      </c>
      <c r="GQ12" s="76" t="str">
        <f>IF(FY12&gt;0,FY12,"")</f>
        <v/>
      </c>
      <c r="GR12" s="76" t="str">
        <f>IF(SUM(FV12:FY12)-FZ12&gt;0,SUM(FV12:FY12)-FZ12,"")</f>
        <v/>
      </c>
      <c r="GS12" s="76" t="str">
        <f>IF(GC12&gt;0,GC12,"")</f>
        <v/>
      </c>
      <c r="GT12" s="76" t="str">
        <f>IF(GD12&gt;0,GD12,"")</f>
        <v/>
      </c>
      <c r="GU12" s="76" t="str">
        <f>IF(SUM(GA12:GD12)-GE12&gt;0,SUM(GA12:GD12)-GE12,"")</f>
        <v/>
      </c>
      <c r="GV12" s="76" t="str">
        <f>IF(MAX(GR12,GU12)&gt;0,MAX(GR12,GU12),"")</f>
        <v/>
      </c>
      <c r="GW12" s="76" t="str">
        <f>IF(GH12&gt;0,GH12,"")</f>
        <v/>
      </c>
      <c r="GX12" s="76" t="str">
        <f>IF(GI12&gt;0,GI12,"")</f>
        <v/>
      </c>
      <c r="GY12" s="76" t="str">
        <f>IF(SUM(GF12:GI12)-GJ12&gt;0,SUM(GF12:GI12)-GJ12,"")</f>
        <v/>
      </c>
      <c r="GZ12" s="76" t="str">
        <f>IF(GM12&gt;0,GM12,"")</f>
        <v/>
      </c>
      <c r="HA12" s="76" t="str">
        <f>IF(GN12&gt;0,GN12,"")</f>
        <v/>
      </c>
      <c r="HB12" s="76" t="str">
        <f>IF(SUM(GK12:GN12)-GO12&gt;0,SUM(GK12:GN12)-GO12,"")</f>
        <v/>
      </c>
      <c r="HC12" s="76" t="str">
        <f>IF(SUM(GV12,HB12)&gt;0,SUM(GV12,HB12),"")</f>
        <v/>
      </c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16" t="str">
        <f>IF(HF12&gt;0,HF12,"")</f>
        <v/>
      </c>
      <c r="HY12" s="16" t="str">
        <f>IF(HG12&gt;0,HG12,"")</f>
        <v/>
      </c>
      <c r="HZ12" s="16" t="str">
        <f>IF(SUM(HD12:HG12)-HH12&gt;0,SUM(HD12:HG12)-HH12,"")</f>
        <v/>
      </c>
      <c r="IA12" s="16" t="str">
        <f>IF(HK12&gt;0,HK12,"")</f>
        <v/>
      </c>
      <c r="IB12" s="16" t="str">
        <f>IF(HL12&gt;0,HL12,"")</f>
        <v/>
      </c>
      <c r="IC12" s="16" t="str">
        <f>IF(SUM(HI12:HL12)-HM12&gt;0,SUM(HI12:HL12)-HM12,"")</f>
        <v/>
      </c>
      <c r="ID12" s="16" t="str">
        <f>IF(MAX(HZ12,IC12)&gt;0,MAX(HZ12,IC12),"")</f>
        <v/>
      </c>
      <c r="IE12" s="16" t="str">
        <f>IF(HP12&gt;0,HP12,"")</f>
        <v/>
      </c>
      <c r="IF12" s="16" t="str">
        <f>IF(HQ12&gt;0,HQ12,"")</f>
        <v/>
      </c>
      <c r="IG12" s="16" t="str">
        <f>IF(SUM(HN12:HQ12)-HR12&gt;0,SUM(HN12:HQ12)-HR12,"")</f>
        <v/>
      </c>
      <c r="IH12" s="16" t="str">
        <f>IF(HU12&gt;0,HU12,"")</f>
        <v/>
      </c>
      <c r="II12" s="16" t="str">
        <f>IF(HV12&gt;0,HV12,"")</f>
        <v/>
      </c>
      <c r="IJ12" s="16" t="str">
        <f>IF(SUM(HS12:HV12)-HW12&gt;0,SUM(HS12:HV12)-HW12,"")</f>
        <v/>
      </c>
      <c r="IK12" s="16" t="str">
        <f>IF(SUM(ID12,IJ12)&gt;0,SUM(ID12,IJ12),"")</f>
        <v/>
      </c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76" t="str">
        <f>IF(IN12&gt;0,IN12,"")</f>
        <v/>
      </c>
      <c r="JG12" s="76" t="str">
        <f>IF(IO12&gt;0,IO12,"")</f>
        <v/>
      </c>
      <c r="JH12" s="76" t="str">
        <f>IF(SUM(IL12:IO12)-IP12&gt;0,SUM(IL12:IO12)-IP12,"")</f>
        <v/>
      </c>
      <c r="JI12" s="76" t="str">
        <f>IF(IS12&gt;0,IS12,"")</f>
        <v/>
      </c>
      <c r="JJ12" s="76" t="str">
        <f>IF(IT12&gt;0,IT12,"")</f>
        <v/>
      </c>
      <c r="JK12" s="76" t="str">
        <f>IF(SUM(IQ12:IT12)-IU12&gt;0,SUM(IQ12:IT12)-IU12,"")</f>
        <v/>
      </c>
      <c r="JL12" s="76" t="str">
        <f>IF(MAX(JH12,JK12)&gt;0,MAX(JH12,JK12),"")</f>
        <v/>
      </c>
      <c r="JM12" s="76" t="str">
        <f>IF(IX12&gt;0,IX12,"")</f>
        <v/>
      </c>
      <c r="JN12" s="76" t="str">
        <f>IF(IY12&gt;0,IY12,"")</f>
        <v/>
      </c>
      <c r="JO12" s="76" t="str">
        <f>IF(SUM(IV12:IY12)-IZ12&gt;0,SUM(IV12:IY12)-IZ12,"")</f>
        <v/>
      </c>
      <c r="JP12" s="76" t="str">
        <f>IF(JC12&gt;0,JC12,"")</f>
        <v/>
      </c>
      <c r="JQ12" s="76" t="str">
        <f>IF(JD12&gt;0,JD12,"")</f>
        <v/>
      </c>
      <c r="JR12" s="76" t="str">
        <f>IF(SUM(JA12:JD12)-JE12&gt;0,SUM(JA12:JD12)-JE12,"")</f>
        <v/>
      </c>
      <c r="JS12" s="76" t="str">
        <f>IF(SUM(JL12,JR12)&gt;0,SUM(JL12,JR12),"")</f>
        <v/>
      </c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16" t="str">
        <f>IF(JV12&gt;0,JV12,"")</f>
        <v/>
      </c>
      <c r="KO12" s="16" t="str">
        <f>IF(JW12&gt;0,JW12,"")</f>
        <v/>
      </c>
      <c r="KP12" s="16" t="str">
        <f>IF(SUM(JT12:JW12)-JX12&gt;0,SUM(JT12:JW12)-JX12,"")</f>
        <v/>
      </c>
      <c r="KQ12" s="16" t="str">
        <f>IF(KA12&gt;0,KA12,"")</f>
        <v/>
      </c>
      <c r="KR12" s="16" t="str">
        <f>IF(KB12&gt;0,KB12,"")</f>
        <v/>
      </c>
      <c r="KS12" s="16" t="str">
        <f>IF(SUM(JY12:KB12)-KC12&gt;0,SUM(JY12:KB12)-KC12,"")</f>
        <v/>
      </c>
      <c r="KT12" s="16" t="str">
        <f>IF(MAX(KP12,KS12)&gt;0,MAX(KP12,KS12),"")</f>
        <v/>
      </c>
      <c r="KU12" s="16" t="str">
        <f>IF(KF12&gt;0,KF12,"")</f>
        <v/>
      </c>
      <c r="KV12" s="16" t="str">
        <f>IF(KG12&gt;0,KG12,"")</f>
        <v/>
      </c>
      <c r="KW12" s="16" t="str">
        <f>IF(SUM(KD12:KG12)-KH12&gt;0,SUM(KD12:KG12)-KH12,"")</f>
        <v/>
      </c>
      <c r="KX12" s="16" t="str">
        <f>IF(KK12&gt;0,KK12,"")</f>
        <v/>
      </c>
      <c r="KY12" s="16" t="str">
        <f>IF(KL12&gt;0,KL12,"")</f>
        <v/>
      </c>
      <c r="KZ12" s="16" t="str">
        <f>IF(SUM(KI12:KL12)-KM12&gt;0,SUM(KI12:KL12)-KM12,"")</f>
        <v/>
      </c>
      <c r="LA12" s="16" t="str">
        <f>IF(SUM(KT12,KZ12)&gt;0,SUM(KT12,KZ12),"")</f>
        <v/>
      </c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76" t="str">
        <f>IF(LD12&gt;0,LD12,"")</f>
        <v/>
      </c>
      <c r="LW12" s="76" t="str">
        <f>IF(LE12&gt;0,LE12,"")</f>
        <v/>
      </c>
      <c r="LX12" s="76" t="str">
        <f>IF(SUM(LB12:LE12)-LF12&gt;0,SUM(LB12:LE12)-LF12,"")</f>
        <v/>
      </c>
      <c r="LY12" s="76" t="str">
        <f>IF(LI12&gt;0,LI12,"")</f>
        <v/>
      </c>
      <c r="LZ12" s="76" t="str">
        <f>IF(LJ12&gt;0,LJ12,"")</f>
        <v/>
      </c>
      <c r="MA12" s="76" t="str">
        <f>IF(SUM(LG12:LJ12)-LK12&gt;0,SUM(LG12:LJ12)-LK12,"")</f>
        <v/>
      </c>
      <c r="MB12" s="76" t="str">
        <f>IF(MAX(LX12,MA12)&gt;0,MAX(LX12,MA12),"")</f>
        <v/>
      </c>
      <c r="MC12" s="76" t="str">
        <f>IF(LN12&gt;0,LN12,"")</f>
        <v/>
      </c>
      <c r="MD12" s="76" t="str">
        <f>IF(LO12&gt;0,LO12,"")</f>
        <v/>
      </c>
      <c r="ME12" s="76" t="str">
        <f>IF(SUM(LL12:LO12)-LP12&gt;0,SUM(LL12:LO12)-LP12,"")</f>
        <v/>
      </c>
      <c r="MF12" s="76" t="str">
        <f>IF(LS12&gt;0,LS12,"")</f>
        <v/>
      </c>
      <c r="MG12" s="76" t="str">
        <f>IF(LT12&gt;0,LT12,"")</f>
        <v/>
      </c>
      <c r="MH12" s="76" t="str">
        <f>IF(SUM(LQ12:LT12)-LU12&gt;0,SUM(LQ12:LT12)-LU12,"")</f>
        <v/>
      </c>
      <c r="MI12" s="76" t="str">
        <f>IF(SUM(MB12,MH12)&gt;0,SUM(MB12,MH12),"")</f>
        <v/>
      </c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16" t="str">
        <f>IF(ML12&gt;0,ML12,"")</f>
        <v/>
      </c>
      <c r="NE12" s="16" t="str">
        <f>IF(MM12&gt;0,MM12,"")</f>
        <v/>
      </c>
      <c r="NF12" s="16" t="str">
        <f>IF(SUM(MJ12:MM12)-MN12&gt;0,SUM(MJ12:MM12)-MN12,"")</f>
        <v/>
      </c>
      <c r="NG12" s="16" t="str">
        <f>IF(MQ12&gt;0,MQ12,"")</f>
        <v/>
      </c>
      <c r="NH12" s="16" t="str">
        <f>IF(MR12&gt;0,MR12,"")</f>
        <v/>
      </c>
      <c r="NI12" s="16" t="str">
        <f>IF(SUM(MO12:MR12)-MS12&gt;0,SUM(MO12:MR12)-MS12,"")</f>
        <v/>
      </c>
      <c r="NJ12" s="16" t="str">
        <f>IF(MAX(NF12,NI12)&gt;0,MAX(NF12,NI12),"")</f>
        <v/>
      </c>
      <c r="NK12" s="16" t="str">
        <f>IF(MV12&gt;0,MV12,"")</f>
        <v/>
      </c>
      <c r="NL12" s="16" t="str">
        <f>IF(MW12&gt;0,MW12,"")</f>
        <v/>
      </c>
      <c r="NM12" s="16" t="str">
        <f>IF(SUM(MT12:MW12)-MX12&gt;0,SUM(MT12:MW12)-MX12,"")</f>
        <v/>
      </c>
      <c r="NN12" s="16" t="str">
        <f>IF(NA12&gt;0,NA12,"")</f>
        <v/>
      </c>
      <c r="NO12" s="16" t="str">
        <f>IF(NB12&gt;0,NB12,"")</f>
        <v/>
      </c>
      <c r="NP12" s="16" t="str">
        <f>IF(SUM(MY12:NB12)-NC12&gt;0,SUM(MY12:NB12)-NC12,"")</f>
        <v/>
      </c>
      <c r="NQ12" s="16" t="str">
        <f>IF(SUM(NJ12,NP12)&gt;0,SUM(NJ12,NP12),"")</f>
        <v/>
      </c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76" t="str">
        <f>IF(NT12&gt;0,NT12,"")</f>
        <v/>
      </c>
      <c r="OM12" s="76" t="str">
        <f>IF(NU12&gt;0,NU12,"")</f>
        <v/>
      </c>
      <c r="ON12" s="76" t="str">
        <f>IF(SUM(NR12:NU12)-NV12&gt;0,SUM(NR12:NU12)-NV12,"")</f>
        <v/>
      </c>
      <c r="OO12" s="76" t="str">
        <f>IF(NY12&gt;0,NY12,"")</f>
        <v/>
      </c>
      <c r="OP12" s="76" t="str">
        <f>IF(NZ12&gt;0,NZ12,"")</f>
        <v/>
      </c>
      <c r="OQ12" s="76" t="str">
        <f>IF(SUM(NW12:NZ12)-OA12&gt;0,SUM(NW12:NZ12)-OA12,"")</f>
        <v/>
      </c>
      <c r="OR12" s="76" t="str">
        <f>IF(MAX(ON12,OQ12)&gt;0,MAX(ON12,OQ12),"")</f>
        <v/>
      </c>
      <c r="OS12" s="76" t="str">
        <f>IF(OD12&gt;0,OD12,"")</f>
        <v/>
      </c>
      <c r="OT12" s="76" t="str">
        <f>IF(OE12&gt;0,OE12,"")</f>
        <v/>
      </c>
      <c r="OU12" s="76" t="str">
        <f>IF(SUM(OB12:OE12)-OF12&gt;0,SUM(OB12:OE12)-OF12,"")</f>
        <v/>
      </c>
      <c r="OV12" s="76" t="str">
        <f>IF(OI12&gt;0,OI12,"")</f>
        <v/>
      </c>
      <c r="OW12" s="76" t="str">
        <f>IF(OJ12&gt;0,OJ12,"")</f>
        <v/>
      </c>
      <c r="OX12" s="76" t="str">
        <f>IF(SUM(OG12:OJ12)-OK12&gt;0,SUM(OG12:OJ12)-OK12,"")</f>
        <v/>
      </c>
      <c r="OY12" s="76" t="str">
        <f>IF(SUM(OR12,OX12)&gt;0,SUM(OR12,OX12),"")</f>
        <v/>
      </c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16" t="str">
        <f>IF(PB12&gt;0,PB12,"")</f>
        <v/>
      </c>
      <c r="PU12" s="16" t="str">
        <f>IF(PC12&gt;0,PC12,"")</f>
        <v/>
      </c>
      <c r="PV12" s="16" t="str">
        <f>IF(SUM(OZ12:PC12)-PD12&gt;0,SUM(OZ12:PC12)-PD12,"")</f>
        <v/>
      </c>
      <c r="PW12" s="16" t="str">
        <f>IF(PG12&gt;0,PG12,"")</f>
        <v/>
      </c>
      <c r="PX12" s="16" t="str">
        <f>IF(PH12&gt;0,PH12,"")</f>
        <v/>
      </c>
      <c r="PY12" s="16" t="str">
        <f>IF(SUM(PE12:PH12)-PI12&gt;0,SUM(PE12:PH12)-PI12,"")</f>
        <v/>
      </c>
      <c r="PZ12" s="16" t="str">
        <f>IF(MAX(PV12,PY12)&gt;0,MAX(PV12,PY12),"")</f>
        <v/>
      </c>
      <c r="QA12" s="16" t="str">
        <f>IF(PL12&gt;0,PL12,"")</f>
        <v/>
      </c>
      <c r="QB12" s="16" t="str">
        <f>IF(PM12&gt;0,PM12,"")</f>
        <v/>
      </c>
      <c r="QC12" s="16" t="str">
        <f>IF(SUM(PJ12:PM12)-PN12&gt;0,SUM(PJ12:PM12)-PN12,"")</f>
        <v/>
      </c>
      <c r="QD12" s="16" t="str">
        <f>IF(PQ12&gt;0,PQ12,"")</f>
        <v/>
      </c>
      <c r="QE12" s="16" t="str">
        <f>IF(PR12&gt;0,PR12,"")</f>
        <v/>
      </c>
      <c r="QF12" s="16" t="str">
        <f>IF(SUM(PO12:PR12)-PS12&gt;0,SUM(PO12:PR12)-PS12,"")</f>
        <v/>
      </c>
      <c r="QG12" s="16" t="str">
        <f>IF(SUM(PZ12,QF12)&gt;0,SUM(PZ12,QF12),"")</f>
        <v/>
      </c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76" t="str">
        <f>IF(QJ12&gt;0,QJ12,"")</f>
        <v/>
      </c>
      <c r="RC12" s="76" t="str">
        <f>IF(QK12&gt;0,QK12,"")</f>
        <v/>
      </c>
      <c r="RD12" s="76" t="str">
        <f>IF(SUM(QH12:QK12)-QL12&gt;0,SUM(QH12:QK12)-QL12,"")</f>
        <v/>
      </c>
      <c r="RE12" s="76" t="str">
        <f>IF(QO12&gt;0,QO12,"")</f>
        <v/>
      </c>
      <c r="RF12" s="76" t="str">
        <f>IF(QP12&gt;0,QP12,"")</f>
        <v/>
      </c>
      <c r="RG12" s="76" t="str">
        <f>IF(SUM(QM12:QP12)-QQ12&gt;0,SUM(QM12:QP12)-QQ12,"")</f>
        <v/>
      </c>
      <c r="RH12" s="76" t="str">
        <f>IF(MAX(RD12,RG12)&gt;0,MAX(RD12,RG12),"")</f>
        <v/>
      </c>
      <c r="RI12" s="76" t="str">
        <f>IF(QT12&gt;0,QT12,"")</f>
        <v/>
      </c>
      <c r="RJ12" s="76" t="str">
        <f>IF(QU12&gt;0,QU12,"")</f>
        <v/>
      </c>
      <c r="RK12" s="76" t="str">
        <f>IF(SUM(QR12:QU12)-QV12&gt;0,SUM(QR12:QU12)-QV12,"")</f>
        <v/>
      </c>
      <c r="RL12" s="76" t="str">
        <f>IF(QY12&gt;0,QY12,"")</f>
        <v/>
      </c>
      <c r="RM12" s="76" t="str">
        <f>IF(QZ12&gt;0,QZ12,"")</f>
        <v/>
      </c>
      <c r="RN12" s="76" t="str">
        <f>IF(SUM(QW12:QZ12)-RA12&gt;0,SUM(QW12:QZ12)-RA12,"")</f>
        <v/>
      </c>
      <c r="RO12" s="76" t="str">
        <f>IF(SUM(RH12,RN12)&gt;0,SUM(RH12,RN12),"")</f>
        <v/>
      </c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16" t="str">
        <f>IF(RR12&gt;0,RR12,"")</f>
        <v/>
      </c>
      <c r="SK12" s="16" t="str">
        <f>IF(RS12&gt;0,RS12,"")</f>
        <v/>
      </c>
      <c r="SL12" s="16" t="str">
        <f>IF(SUM(RP12:RS12)-RT12&gt;0,SUM(RP12:RS12)-RT12,"")</f>
        <v/>
      </c>
      <c r="SM12" s="16" t="str">
        <f>IF(RW12&gt;0,RW12,"")</f>
        <v/>
      </c>
      <c r="SN12" s="16" t="str">
        <f>IF(RX12&gt;0,RX12,"")</f>
        <v/>
      </c>
      <c r="SO12" s="16" t="str">
        <f>IF(SUM(RU12:RX12)-RY12&gt;0,SUM(RU12:RX12)-RY12,"")</f>
        <v/>
      </c>
      <c r="SP12" s="16" t="str">
        <f>IF(MAX(SL12,SO12)&gt;0,MAX(SL12,SO12),"")</f>
        <v/>
      </c>
      <c r="SQ12" s="16" t="str">
        <f>IF(SB12&gt;0,SB12,"")</f>
        <v/>
      </c>
      <c r="SR12" s="16" t="str">
        <f>IF(SC12&gt;0,SC12,"")</f>
        <v/>
      </c>
      <c r="SS12" s="16" t="str">
        <f>IF(SUM(RZ12:SC12)-SD12&gt;0,SUM(RZ12:SC12)-SD12,"")</f>
        <v/>
      </c>
      <c r="ST12" s="16" t="str">
        <f>IF(SG12&gt;0,SG12,"")</f>
        <v/>
      </c>
      <c r="SU12" s="16" t="str">
        <f>IF(SH12&gt;0,SH12,"")</f>
        <v/>
      </c>
      <c r="SV12" s="16" t="str">
        <f>IF(SUM(SE12:SH12)-SI12&gt;0,SUM(SE12:SH12)-SI12,"")</f>
        <v/>
      </c>
      <c r="SW12" s="16" t="str">
        <f>IF(SUM(SP12,SV12)&gt;0,SUM(SP12,SV12),"")</f>
        <v/>
      </c>
      <c r="SX12" s="42">
        <f>IF($CP12="P",CA12,(CA12+AZ12)/2)</f>
        <v>9.4</v>
      </c>
      <c r="SY12" s="42">
        <f>IF($CP12="P",CB12,(CB12+BA12)/2)</f>
        <v>5.9</v>
      </c>
      <c r="SZ12" s="42">
        <f>IF($CP12="P",CC12,(CC12+BB12)/2)</f>
        <v>9.9499999999999993</v>
      </c>
      <c r="TA12" s="42">
        <f>IF($CP12="P",CD12,(CD12+BC12)/2)</f>
        <v>10.112500000000001</v>
      </c>
      <c r="TB12" s="42">
        <f>IF($CP12="P",CE12,(CE12+BD12)/2)</f>
        <v>0</v>
      </c>
      <c r="TC12" s="42">
        <f>IF($CP12="P",CF12,(CF12+BE12)/2)</f>
        <v>9.65</v>
      </c>
      <c r="TD12" s="42">
        <f>IF($CP12="P",CG12,(CG12+BF12)/2)</f>
        <v>6.15</v>
      </c>
      <c r="TE12" s="42">
        <f>IF($CP12="P",CH12,(CH12+BG12)/2)</f>
        <v>8.8999999999999986</v>
      </c>
      <c r="TF12" s="42">
        <f>IF($CP12="P",CI12,(CI12+BH12)/2)</f>
        <v>10.459999999999999</v>
      </c>
      <c r="TG12" s="42">
        <f>IF($CP12="P",CJ12,(CJ12+BI12)/2)</f>
        <v>0.4</v>
      </c>
      <c r="TH12" s="42">
        <f>IF($CP12="P",CK12,(CK12+BJ12)/2)</f>
        <v>7.3</v>
      </c>
      <c r="TI12" s="42">
        <f>IF($CP12="P",CL12,(CL12+BK12)/2)</f>
        <v>4.55</v>
      </c>
      <c r="TJ12" s="42">
        <f>IF($CP12="P",CM12,(CM12+BL12)/2)</f>
        <v>7.3</v>
      </c>
      <c r="TK12" s="42">
        <f>IF($CP12="P",CN12,(CN12+BM12)/2)</f>
        <v>7.9349999999999996</v>
      </c>
      <c r="TL12" s="42">
        <f>IF($CP12="P",CO12,(CO12+BN12)/2)</f>
        <v>0</v>
      </c>
      <c r="TM12" s="51" t="s">
        <v>61</v>
      </c>
      <c r="TN12" s="76">
        <f>IF(SZ12&gt;0,SZ12,"")</f>
        <v>9.9499999999999993</v>
      </c>
      <c r="TO12" s="76">
        <f>IF(TA12&gt;0,TA12,"")</f>
        <v>10.112500000000001</v>
      </c>
      <c r="TP12" s="76">
        <f>IF(SUM(SX12:TA12)-TB12&gt;0,SUM(SX12:TA12)-TB12,"")</f>
        <v>35.362499999999997</v>
      </c>
      <c r="TQ12" s="76">
        <f>IF(TE12&gt;0,TE12,"")</f>
        <v>8.8999999999999986</v>
      </c>
      <c r="TR12" s="76">
        <f>IF(TF12&gt;0,TF12,"")</f>
        <v>10.459999999999999</v>
      </c>
      <c r="TS12" s="76">
        <f>IF(SUM(TC12:TF12)-TG12&gt;0,SUM(TC12:TF12)-TG12,"")</f>
        <v>34.76</v>
      </c>
      <c r="TT12" s="76">
        <f>IF(MAX(TP12,TS12)&gt;0,MAX(TP12,TS12),"")</f>
        <v>35.362499999999997</v>
      </c>
      <c r="TU12" s="76">
        <f>IF(TJ12&gt;0,TJ12,"")</f>
        <v>7.3</v>
      </c>
      <c r="TV12" s="76">
        <f>IF(TK12&gt;0,TK12,"")</f>
        <v>7.9349999999999996</v>
      </c>
      <c r="TW12" s="76">
        <f>IF(SUM(TH12:TK12)-TL12&gt;0,SUM(TH12:TK12)-TL12,"")</f>
        <v>27.084999999999997</v>
      </c>
      <c r="TX12" s="76">
        <f>IF(SUM(TT12,TW12)&gt;0,SUM(TT12,TW12),"")</f>
        <v>62.447499999999991</v>
      </c>
    </row>
    <row r="13" spans="1:544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163</v>
      </c>
      <c r="C13" s="7" t="s">
        <v>9</v>
      </c>
      <c r="D13" s="5">
        <v>2005</v>
      </c>
      <c r="E13" s="14">
        <f>SUM(J13:V13)+SUM(J13:T13)*0.0000001+SUM(J13)*0.0000000000001</f>
        <v>223.64502236450537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Z13&gt;=EM$25,DZ13&lt;&gt;"",EB13&gt;=EM$29,EB13&lt;&gt;""),AND(EC13&gt;=EM$25,EC13&lt;&gt;"",EE13&gt;=EM$29,EE13&lt;&gt;""),AND(EG13&gt;=EM$25,EG13&lt;&gt;"",EI13&gt;=EM$29,EI13&lt;&gt;""),AND(EJ13&gt;=EM$25,EJ13&lt;&gt;"",EL13&gt;=EM$29,EL13&lt;&gt;""),AND(FH13&gt;=FU$25,FH13&lt;&gt;"",FJ13&gt;=FU$29,FJ13&lt;&gt;""),AND(FK13&gt;=FU$25,FK13&lt;&gt;"",FM13&gt;=FU$29,FM13&lt;&gt;""),AND(FO13&gt;=FU$25,FO13&lt;&gt;"",FQ13&gt;=FU$29,FQ13&lt;&gt;""),AND(FR13&gt;=FU$25,FR13&lt;&gt;"",FT13&gt;=FU$29,FT13&lt;&gt;""),AND(GP13&gt;=HC$25,GP13&lt;&gt;"",GR13&gt;=HC$29,GR13&lt;&gt;""),AND(GS13&gt;=HC$25,GS13&lt;&gt;"",GU13&gt;=HC$29,GU13&lt;&gt;""),AND(GW13&gt;=HC$25,GW13&lt;&gt;"",GY13&gt;=HC$29,GY13&lt;&gt;""),AND(GZ13&gt;=HC$25,GZ13&lt;&gt;"",HB13&gt;=HC$29,HB13&lt;&gt;""),AND(HX13&gt;=IK$25,HX13&lt;&gt;"",HZ13&gt;=IK$29,HZ13&lt;&gt;""),AND(IA13&gt;=IK$25,IA13&lt;&gt;"",IC13&gt;=IK$29,IC13&lt;&gt;""),AND(IE13&gt;=IK$25,IE13&lt;&gt;"",IG13&gt;=IK$29,IG13&lt;&gt;""),AND(IH13&gt;=IK$25,IH13&lt;&gt;"",IJ13&gt;=IK$29,IJ13&lt;&gt;""),AND(JF13&gt;=JS$25,JF13&lt;&gt;"",JH13&gt;=JS$29,JH13&lt;&gt;""),AND(JI13&gt;=JS$25,JI13&lt;&gt;"",JK13&gt;=JS$29,JK13&lt;&gt;""),AND(JM13&gt;=JS$25,JM13&lt;&gt;"",JO13&gt;=JS$29,JO13&lt;&gt;""),AND(JP13&gt;=JS$25,JP13&lt;&gt;"",JR13&gt;=JS$29,JR13&lt;&gt;""),AND(KN13&gt;=LA$25,KN13&lt;&gt;"",KP13&gt;=LA$29,KP13&lt;&gt;""),AND(KQ13&gt;=LA$25,KQ13&lt;&gt;"",KS13&gt;=LA$29,KS13&lt;&gt;""),AND(KU13&gt;=LA$25,KU13&lt;&gt;"",KW13&gt;=LA$29,KW13&lt;&gt;""),AND(KX13&gt;=LA$25,KX13&lt;&gt;"",KZ13&gt;=LA$29,KZ13&lt;&gt;""),AND(LV13&gt;=MI$25,LV13&lt;&gt;"",LX13&gt;=MI$29,LX13&lt;&gt;""),AND(LY13&gt;=MI$25,LY13&lt;&gt;"",MA13&gt;=MI$29,MA13&lt;&gt;""),AND(MC13&gt;=MI$25,MC13&lt;&gt;"",ME13&gt;=MI$29,ME13&lt;&gt;""),AND(MF13&gt;=MI$25,MF13&lt;&gt;"",MH13&gt;=MI$29,MH13&lt;&gt;""),AND(ND13&gt;=NQ$25,ND13&lt;&gt;"",NF13&gt;=NQ$29,NF13&lt;&gt;""),AND(NG13&gt;=NQ$25,NG13&lt;&gt;"",NI13&gt;=NQ$29,NI13&lt;&gt;""),AND(NK13&gt;=NQ$25,NK13&lt;&gt;"",NM13&gt;=NQ$29,NM13&lt;&gt;""),AND(NN13&gt;=NQ$25,NN13&lt;&gt;"",NP13&gt;=NQ$29,NP13&lt;&gt;""),AND(OL13&gt;=OY$25,OL13&lt;&gt;"",ON13&gt;=OY$29,ON13&lt;&gt;""),AND(OO13&gt;=OY$25,OO13&lt;&gt;"",OQ13&gt;=OY$29,OQ13&lt;&gt;""),AND(OS13&gt;=OY$25,OS13&lt;&gt;"",OU13&gt;=OY$29,OU13&lt;&gt;""),AND(OV13&gt;=OY$25,OV13&lt;&gt;"",OX13&gt;=OY$29,OX13&lt;&gt;""),AND(PT13&gt;=QG$25,PT13&lt;&gt;"",PV13&gt;=QG$29,PV13&lt;&gt;""),AND(PW13&gt;=QG$25,PW13&lt;&gt;"",PY13&gt;=QG$29,PY13&lt;&gt;""),AND(QA13&gt;=QG$25,QA13&lt;&gt;"",QC13&gt;=QG$29,QC13&lt;&gt;""),AND(QD13&gt;=QG$25,QD13&lt;&gt;"",QF13&gt;=QG$29,QF13&lt;&gt;""),AND(RB13&gt;=RO$25,RB13&lt;&gt;"",RD13&gt;=RO$29,RD13&lt;&gt;""),AND(RE13&gt;=RO$25,RE13&lt;&gt;"",RG13&gt;=RO$29,RG13&lt;&gt;""),AND(RI13&gt;=RO$25,RI13&lt;&gt;"",RK13&gt;=RO$29,RK13&lt;&gt;""),AND(RL13&gt;=RO$25,RL13&lt;&gt;"",RN13&gt;=RO$29,RN13&lt;&gt;""),AND(SJ13&gt;=SW$25,SJ13&lt;&gt;"",SL13&gt;=SW$29,SL13&lt;&gt;""),AND(SM13&gt;=SW$25,SM13&lt;&gt;"",SO13&gt;=SW$29,SO13&lt;&gt;""),AND(SQ13&gt;=SW$25,SQ13&lt;&gt;"",SS13&gt;=SW$29,SS13&lt;&gt;""),AND(ST13&gt;=SW$25,ST13&lt;&gt;"",SV13&gt;=SW$29,SV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EB13&gt;=EM$29,EB13&lt;&gt;""),AND(EE13&gt;=EM$29,EE13&lt;&gt;""),AND(EI13&gt;=EM$29,EI13&lt;&gt;""),AND(EL13&gt;=EM$29,EL13&lt;&gt;""),AND(FJ13&gt;=FU$29,FJ13&lt;&gt;""),AND(FM13&gt;=FU$29,FM13&lt;&gt;""),AND(FQ13&gt;=FU$29,FQ13&lt;&gt;""),AND(FT13&gt;=FU$29,FT13&lt;&gt;""),AND(GR13&gt;=HC$29,GR13&lt;&gt;""),AND(GU13&gt;=HC$29,GU13&lt;&gt;""),AND(GY13&gt;=HC$29,GY13&lt;&gt;""),AND(HB13&gt;=HC$29,HB13&lt;&gt;""),AND(HZ13&gt;=IK$29,HZ13&lt;&gt;""),AND(IC13&gt;=IK$29,IC13&lt;&gt;""),AND(IG13&gt;=IK$29,IG13&lt;&gt;""),AND(IJ13&gt;=IK$29,IJ13&lt;&gt;""),AND(JH13&gt;=JS$29,JH13&lt;&gt;""),AND(JK13&gt;=JS$29,JK13&lt;&gt;""),AND(JO13&gt;=JS$29,JO13&lt;&gt;""),AND(JR13&gt;=JS$29,JR13&lt;&gt;""),AND(KP13&gt;=LA$29,KP13&lt;&gt;""),AND(KS13&gt;=LA$29,KS13&lt;&gt;""),AND(KW13&gt;=LA$29,KW13&lt;&gt;""),AND(KZ13&gt;=LA$29,KZ13&lt;&gt;""),AND(LX13&gt;=MI$29,LX13&lt;&gt;""),AND(MA13&gt;=MI$29,MA13&lt;&gt;""),AND(ME13&gt;=MI$29,ME13&lt;&gt;""),AND(MH13&gt;=MI$29,MH13&lt;&gt;""),AND(NF13&gt;=NQ$29,NF13&lt;&gt;""),AND(NI13&gt;=NQ$29,NI13&lt;&gt;""),AND(NM13&gt;=NQ$29,NM13&lt;&gt;""),AND(NP13&gt;=NQ$29,NP13&lt;&gt;""),AND(ON13&gt;=OY$29,ON13&lt;&gt;""),AND(OQ13&gt;=OY$29,OQ13&lt;&gt;""),AND(OU13&gt;=OY$29,OU13&lt;&gt;""),AND(OX13&gt;=OY$29,OX13&lt;&gt;""),AND(PV13&gt;=QG$29,PV13&lt;&gt;""),AND(PY13&gt;=QG$29,PY13&lt;&gt;""),AND(QC13&gt;=QG$29,QC13&lt;&gt;""),AND(QF13&gt;=QG$29,QF13&lt;&gt;""),AND(RD13&gt;=RO$29,RD13&lt;&gt;""),AND(RG13&gt;=RO$29,RG13&lt;&gt;""),AND(RK13&gt;=RO$29,RK13&lt;&gt;""),AND(RN13&gt;=RO$29,RN13&lt;&gt;""),AND(SL13&gt;=SW$29,SL13&lt;&gt;""),AND(SO13&gt;=SW$29,SO13&lt;&gt;""),AND(SS13&gt;=SW$29,SS13&lt;&gt;""),AND(SV13&gt;=SW$29,SV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Z13&gt;=EM$28,DZ13&lt;&gt;"",EB13&gt;=EM$32,EB13&lt;&gt;""),AND(EC13&gt;=EM$28,EC13&lt;&gt;"",EE13&gt;=EM$32,EE13&lt;&gt;""),AND(EG13&gt;=EM$28,EG13&lt;&gt;"",EI13&gt;=EM$32,EI13&lt;&gt;""),AND(EJ13&gt;=EM$28,EJ13&lt;&gt;"",EL13&gt;=EM$32,EL13&lt;&gt;""),AND(FH13&gt;=FU$28,FH13&lt;&gt;"",FJ13&gt;=FU$32,FJ13&lt;&gt;""),AND(FK13&gt;=FU$28,FK13&lt;&gt;"",FM13&gt;=FU$32,FM13&lt;&gt;""),AND(FO13&gt;=FU$28,FO13&lt;&gt;"",FQ13&gt;=FU$32,FQ13&lt;&gt;""),AND(FR13&gt;=FU$28,FR13&lt;&gt;"",FT13&gt;=FU$32,FT13&lt;&gt;""),AND(GP13&gt;=HC$28,GP13&lt;&gt;"",GR13&gt;=HC$32,GR13&lt;&gt;""),AND(GS13&gt;=HC$28,GS13&lt;&gt;"",GU13&gt;=HC$32,GU13&lt;&gt;""),AND(GW13&gt;=HC$28,GW13&lt;&gt;"",GY13&gt;=HC$32,GY13&lt;&gt;""),AND(GZ13&gt;=HC$28,GZ13&lt;&gt;"",HB13&gt;=HC$32,HB13&lt;&gt;""),AND(HX13&gt;=IK$28,HX13&lt;&gt;"",HZ13&gt;=IK$32,HZ13&lt;&gt;""),AND(IA13&gt;=IK$28,IA13&lt;&gt;"",IC13&gt;=IK$32,IC13&lt;&gt;""),AND(IE13&gt;=IK$28,IE13&lt;&gt;"",IG13&gt;=IK$32,IG13&lt;&gt;""),AND(IH13&gt;=IK$28,IH13&lt;&gt;"",IJ13&gt;=IK$32,IJ13&lt;&gt;""),AND(JF13&gt;=JS$28,JF13&lt;&gt;"",JH13&gt;=JS$32,JH13&lt;&gt;""),AND(JI13&gt;=JS$28,JI13&lt;&gt;"",JK13&gt;=JS$32,JK13&lt;&gt;""),AND(JM13&gt;=JS$28,JM13&lt;&gt;"",JO13&gt;=JS$32,JO13&lt;&gt;""),AND(JP13&gt;=JS$28,JP13&lt;&gt;"",JR13&gt;=JS$32,JR13&lt;&gt;""),AND(KN13&gt;=LA$28,KN13&lt;&gt;"",KP13&gt;=LA$32,KP13&lt;&gt;""),AND(KQ13&gt;=LA$28,KQ13&lt;&gt;"",KS13&gt;=LA$32,KS13&lt;&gt;""),AND(KU13&gt;=LA$28,KU13&lt;&gt;"",KW13&gt;=LA$32,KW13&lt;&gt;""),AND(KX13&gt;=LA$28,KX13&lt;&gt;"",KZ13&gt;=LA$32,KZ13&lt;&gt;""),AND(LV13&gt;=MI$28,LV13&lt;&gt;"",LX13&gt;=MI$32,LX13&lt;&gt;""),AND(LY13&gt;=MI$28,LY13&lt;&gt;"",MA13&gt;=MI$32,MA13&lt;&gt;""),AND(MC13&gt;=MI$28,MC13&lt;&gt;"",ME13&gt;=MI$32,ME13&lt;&gt;""),AND(MF13&gt;=MI$28,MF13&lt;&gt;"",MH13&gt;=MI$32,MH13&lt;&gt;""),AND(ND13&gt;=NQ$28,ND13&lt;&gt;"",NF13&gt;=NQ$32,NF13&lt;&gt;""),AND(NG13&gt;=NQ$28,NG13&lt;&gt;"",NI13&gt;=NQ$32,NI13&lt;&gt;""),AND(NK13&gt;=NQ$28,NK13&lt;&gt;"",NM13&gt;=NQ$32,NM13&lt;&gt;""),AND(NN13&gt;=NQ$28,NN13&lt;&gt;"",NP13&gt;=NQ$32,NP13&lt;&gt;""),AND(OL13&gt;=OY$28,OL13&lt;&gt;"",ON13&gt;=OY$32,ON13&lt;&gt;""),AND(OO13&gt;=OY$28,OO13&lt;&gt;"",OQ13&gt;=OY$32,OQ13&lt;&gt;""),AND(OS13&gt;=OY$28,OS13&lt;&gt;"",OU13&gt;=OY$32,OU13&lt;&gt;""),AND(OV13&gt;=OY$28,OV13&lt;&gt;"",OX13&gt;=OY$32,OX13&lt;&gt;""),AND(PT13&gt;=QG$28,PT13&lt;&gt;"",PV13&gt;=QG$32,PV13&lt;&gt;""),AND(PW13&gt;=QG$28,PW13&lt;&gt;"",PY13&gt;=QG$32,PY13&lt;&gt;""),AND(QA13&gt;=QG$28,QA13&lt;&gt;"",QC13&gt;=QG$32,QC13&lt;&gt;""),AND(QD13&gt;=QG$28,QD13&lt;&gt;"",QF13&gt;=QG$32,QF13&lt;&gt;""),AND(RB13&gt;=RO$28,RB13&lt;&gt;"",RD13&gt;=RO$32,RD13&lt;&gt;""),AND(RE13&gt;=RO$28,RE13&lt;&gt;"",RG13&gt;=RO$32,RG13&lt;&gt;""),AND(RI13&gt;=RO$28,RI13&lt;&gt;"",RK13&gt;=RO$32,RK13&lt;&gt;""),AND(RL13&gt;=RO$28,RL13&lt;&gt;"",RN13&gt;=RO$32,RN13&lt;&gt;""),AND(SJ13&gt;=SW$28,SJ13&lt;&gt;"",SL13&gt;=SW$32,SL13&lt;&gt;""),AND(SM13&gt;=SW$28,SM13&lt;&gt;"",SO13&gt;=SW$32,SO13&lt;&gt;""),AND(SQ13&gt;=SW$28,SQ13&lt;&gt;"",SS13&gt;=SW$32,SS13&lt;&gt;""),AND(ST13&gt;=SW$28,ST13&lt;&gt;"",SV13&gt;=SW$32,SV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Z13&gt;=EM$27,DZ13&lt;&gt;"",EB13&gt;=EM$31,EB13&lt;&gt;""),AND(EC13&gt;=EM$27,EC13&lt;&gt;"",EE13&gt;=EM$31,EE13&lt;&gt;""),AND(EG13&gt;=EM$27,EG13&lt;&gt;"",EI13&gt;=EM$31,EI13&lt;&gt;""),AND(EJ13&gt;=EM$27,EJ13&lt;&gt;"",EL13&gt;=EM$31,EL13&lt;&gt;""),AND(FH13&gt;=FU$27,FH13&lt;&gt;"",FJ13&gt;=FU$31,FJ13&lt;&gt;""),AND(FK13&gt;=FU$27,FK13&lt;&gt;"",FM13&gt;=FU$31,FM13&lt;&gt;""),AND(FO13&gt;=FU$27,FO13&lt;&gt;"",FQ13&gt;=FU$31,FQ13&lt;&gt;""),AND(FR13&gt;=FU$27,FR13&lt;&gt;"",FT13&gt;=FU$31,FT13&lt;&gt;""),AND(GP13&gt;=HC$27,GP13&lt;&gt;"",GR13&gt;=HC$31,GR13&lt;&gt;""),AND(GS13&gt;=HC$27,GS13&lt;&gt;"",GU13&gt;=HC$31,GU13&lt;&gt;""),AND(GW13&gt;=HC$27,GW13&lt;&gt;"",GY13&gt;=HC$31,GY13&lt;&gt;""),AND(GZ13&gt;=HC$27,GZ13&lt;&gt;"",HB13&gt;=HC$31,HB13&lt;&gt;""),AND(HX13&gt;=IK$27,HX13&lt;&gt;"",HZ13&gt;=IK$31,HZ13&lt;&gt;""),AND(IA13&gt;=IK$27,IA13&lt;&gt;"",IC13&gt;=IK$31,IC13&lt;&gt;""),AND(IE13&gt;=IK$27,IE13&lt;&gt;"",IG13&gt;=IK$31,IG13&lt;&gt;""),AND(IH13&gt;=IK$27,IH13&lt;&gt;"",IJ13&gt;=IK$31,IJ13&lt;&gt;""),AND(JF13&gt;=JS$27,JF13&lt;&gt;"",JH13&gt;=JS$31,JH13&lt;&gt;""),AND(JI13&gt;=JS$27,JI13&lt;&gt;"",JK13&gt;=JS$31,JK13&lt;&gt;""),AND(JM13&gt;=JS$27,JM13&lt;&gt;"",JO13&gt;=JS$31,JO13&lt;&gt;""),AND(JP13&gt;=JS$27,JP13&lt;&gt;"",JR13&gt;=JS$31,JR13&lt;&gt;""),AND(KN13&gt;=LA$27,KN13&lt;&gt;"",KP13&gt;=LA$31,KP13&lt;&gt;""),AND(KQ13&gt;=LA$27,KQ13&lt;&gt;"",KS13&gt;=LA$31,KS13&lt;&gt;""),AND(KU13&gt;=LA$27,KU13&lt;&gt;"",KW13&gt;=LA$31,KW13&lt;&gt;""),AND(KX13&gt;=LA$27,KX13&lt;&gt;"",KZ13&gt;=LA$31,KZ13&lt;&gt;""),AND(LV13&gt;=MI$27,LV13&lt;&gt;"",LX13&gt;=MI$31,LX13&lt;&gt;""),AND(LY13&gt;=MI$27,LY13&lt;&gt;"",MA13&gt;=MI$31,MA13&lt;&gt;""),AND(MC13&gt;=MI$27,MC13&lt;&gt;"",ME13&gt;=MI$31,ME13&lt;&gt;""),AND(MF13&gt;=MI$27,MF13&lt;&gt;"",MH13&gt;=MI$31,MH13&lt;&gt;""),AND(ND13&gt;=NQ$27,ND13&lt;&gt;"",NF13&gt;=NQ$31,NF13&lt;&gt;""),AND(NG13&gt;=NQ$27,NG13&lt;&gt;"",NI13&gt;=NQ$31,NI13&lt;&gt;""),AND(NK13&gt;=NQ$27,NK13&lt;&gt;"",NM13&gt;=NQ$31,NM13&lt;&gt;""),AND(NN13&gt;=NQ$27,NN13&lt;&gt;"",NP13&gt;=NQ$31,NP13&lt;&gt;""),AND(OL13&gt;=OY$27,OL13&lt;&gt;"",ON13&gt;=OY$31,ON13&lt;&gt;""),AND(OO13&gt;=OY$27,OO13&lt;&gt;"",OQ13&gt;=OY$31,OQ13&lt;&gt;""),AND(OS13&gt;=OY$27,OS13&lt;&gt;"",OU13&gt;=OY$31,OU13&lt;&gt;""),AND(OV13&gt;=OY$27,OV13&lt;&gt;"",OX13&gt;=OY$31,OX13&lt;&gt;""),AND(PT13&gt;=QG$27,PT13&lt;&gt;"",PV13&gt;=QG$31,PV13&lt;&gt;""),AND(PW13&gt;=QG$27,PW13&lt;&gt;"",PY13&gt;=QG$31,PY13&lt;&gt;""),AND(QA13&gt;=QG$27,QA13&lt;&gt;"",QC13&gt;=QG$31,QC13&lt;&gt;""),AND(QD13&gt;=QG$27,QD13&lt;&gt;"",QF13&gt;=QG$31,QF13&lt;&gt;""),AND(RB13&gt;=RO$27,RB13&lt;&gt;"",RD13&gt;=RO$31,RD13&lt;&gt;""),AND(RE13&gt;=RO$27,RE13&lt;&gt;"",RG13&gt;=RO$31,RG13&lt;&gt;""),AND(RI13&gt;=RO$27,RI13&lt;&gt;"",RK13&gt;=RO$31,RK13&lt;&gt;""),AND(RL13&gt;=RO$27,RL13&lt;&gt;"",RN13&gt;=RO$31,RN13&lt;&gt;""),AND(SJ13&gt;=SW$27,SJ13&lt;&gt;"",SL13&gt;=SW$31,SL13&lt;&gt;""),AND(SM13&gt;=SW$27,SM13&lt;&gt;"",SO13&gt;=SW$31,SO13&lt;&gt;""),AND(SQ13&gt;=SW$27,SQ13&lt;&gt;"",SS13&gt;=SW$31,SS13&lt;&gt;""),AND(ST13&gt;=SW$27,ST13&lt;&gt;"",SV13&gt;=SW$31,SV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Z13&gt;=EM$26,DZ13&lt;&gt;"",EB13&gt;=EM$30,EB13&lt;&gt;""),AND(EC13&gt;=EM$26,EC13&lt;&gt;"",EE13&gt;=EM$30,EE13&lt;&gt;""),AND(EG13&gt;=EM$26,EG13&lt;&gt;"",EI13&gt;=EM$30,EI13&lt;&gt;""),AND(EJ13&gt;=EM$26,EJ13&lt;&gt;"",EL13&gt;=EM$30,EL13&lt;&gt;""),AND(FH13&gt;=FU$26,FH13&lt;&gt;"",FJ13&gt;=FU$30,FJ13&lt;&gt;""),AND(FK13&gt;=FU$26,FK13&lt;&gt;"",FM13&gt;=FU$30,FM13&lt;&gt;""),AND(FO13&gt;=FU$26,FO13&lt;&gt;"",FQ13&gt;=FU$30,FQ13&lt;&gt;""),AND(FR13&gt;=FU$26,FR13&lt;&gt;"",FT13&gt;=FU$30,FT13&lt;&gt;""),AND(GP13&gt;=HC$26,GP13&lt;&gt;"",GR13&gt;=HC$30,GR13&lt;&gt;""),AND(GS13&gt;=HC$26,GS13&lt;&gt;"",GU13&gt;=HC$30,GU13&lt;&gt;""),AND(GW13&gt;=HC$26,GW13&lt;&gt;"",GY13&gt;=HC$30,GY13&lt;&gt;""),AND(GZ13&gt;=HC$26,GZ13&lt;&gt;"",HB13&gt;=HC$30,HB13&lt;&gt;""),AND(HX13&gt;=IK$26,HX13&lt;&gt;"",HZ13&gt;=IK$30,HZ13&lt;&gt;""),AND(IA13&gt;=IK$26,IA13&lt;&gt;"",IC13&gt;=IK$30,IC13&lt;&gt;""),AND(IE13&gt;=IK$26,IE13&lt;&gt;"",IG13&gt;=IK$30,IG13&lt;&gt;""),AND(IH13&gt;=IK$26,IH13&lt;&gt;"",IJ13&gt;=IK$30,IJ13&lt;&gt;""),AND(JF13&gt;=JS$26,JF13&lt;&gt;"",JH13&gt;=JS$30,JH13&lt;&gt;""),AND(JI13&gt;=JS$26,JI13&lt;&gt;"",JK13&gt;=JS$30,JK13&lt;&gt;""),AND(JM13&gt;=JS$26,JM13&lt;&gt;"",JO13&gt;=JS$30,JO13&lt;&gt;""),AND(JP13&gt;=JS$26,JP13&lt;&gt;"",JR13&gt;=JS$30,JR13&lt;&gt;""),AND(KN13&gt;=LA$26,KN13&lt;&gt;"",KP13&gt;=LA$30,KP13&lt;&gt;""),AND(KQ13&gt;=LA$26,KQ13&lt;&gt;"",KS13&gt;=LA$30,KS13&lt;&gt;""),AND(KU13&gt;=LA$26,KU13&lt;&gt;"",KW13&gt;=LA$30,KW13&lt;&gt;""),AND(KX13&gt;=LA$26,KX13&lt;&gt;"",KZ13&gt;=LA$30,KZ13&lt;&gt;""),AND(LV13&gt;=MI$26,LV13&lt;&gt;"",LX13&gt;=MI$30,LX13&lt;&gt;""),AND(LY13&gt;=MI$26,LY13&lt;&gt;"",MA13&gt;=MI$30,MA13&lt;&gt;""),AND(MC13&gt;=MI$26,MC13&lt;&gt;"",ME13&gt;=MI$30,ME13&lt;&gt;""),AND(MF13&gt;=MI$26,MF13&lt;&gt;"",MH13&gt;=MI$30,MH13&lt;&gt;""),AND(ND13&gt;=NQ$26,ND13&lt;&gt;"",NF13&gt;=NQ$30,NF13&lt;&gt;""),AND(NG13&gt;=NQ$26,NG13&lt;&gt;"",NI13&gt;=NQ$30,NI13&lt;&gt;""),AND(NK13&gt;=NQ$26,NK13&lt;&gt;"",NM13&gt;=NQ$30,NM13&lt;&gt;""),AND(NN13&gt;=NQ$26,NN13&lt;&gt;"",NP13&gt;=NQ$30,NP13&lt;&gt;""),AND(OL13&gt;=OY$26,OL13&lt;&gt;"",ON13&gt;=OY$30,ON13&lt;&gt;""),AND(OO13&gt;=OY$26,OO13&lt;&gt;"",OQ13&gt;=OY$30,OQ13&lt;&gt;""),AND(OS13&gt;=OY$26,OS13&lt;&gt;"",OU13&gt;=OY$30,OU13&lt;&gt;""),AND(OV13&gt;=OY$26,OV13&lt;&gt;"",OX13&gt;=OY$30,OX13&lt;&gt;""),AND(PT13&gt;=QG$26,PT13&lt;&gt;"",PV13&gt;=QG$30,PV13&lt;&gt;""),AND(PW13&gt;=QG$26,PW13&lt;&gt;"",PY13&gt;=QG$30,PY13&lt;&gt;""),AND(QA13&gt;=QG$26,QA13&lt;&gt;"",QC13&gt;=QG$30,QC13&lt;&gt;""),AND(QD13&gt;=QG$26,QD13&lt;&gt;"",QF13&gt;=QG$30,QF13&lt;&gt;""),AND(RB13&gt;=RO$26,RB13&lt;&gt;"",RD13&gt;=RO$30,RD13&lt;&gt;""),AND(RE13&gt;=RO$26,RE13&lt;&gt;"",RG13&gt;=RO$30,RG13&lt;&gt;""),AND(RI13&gt;=RO$26,RI13&lt;&gt;"",RK13&gt;=RO$30,RK13&lt;&gt;""),AND(RL13&gt;=RO$26,RL13&lt;&gt;"",RN13&gt;=RO$30,RN13&lt;&gt;""),AND(SJ13&gt;=SW$26,SJ13&lt;&gt;"",SL13&gt;=SW$30,SL13&lt;&gt;""),AND(SM13&gt;=SW$26,SM13&lt;&gt;"",SO13&gt;=SW$30,SO13&lt;&gt;""),AND(SQ13&gt;=SW$26,SQ13&lt;&gt;"",SS13&gt;=SW$30,SS13&lt;&gt;""),AND(ST13&gt;=SW$26,ST13&lt;&gt;"",SV13&gt;=SW$30,SV13&lt;&gt;"")),"P","")</f>
        <v/>
      </c>
      <c r="J13" s="13">
        <f>IF(COUNT(AQ13,AT13,BR13,BU13,CS13,CV13)&gt;0,LARGE((AQ13,AT13,BR13,BU13,CS13,CV13),1),0)</f>
        <v>53.3</v>
      </c>
      <c r="K13" s="13" t="str">
        <f>IF(J13="","",IF(OR(J13=CS13,J13=CV13),$CA$1,IF(OR(J13=BR13,J13=BU13),$AZ$1,IF(OR(J13=AQ13,J13=AT13),$Y$1,""))))</f>
        <v>2021 Elite Canada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52.715000000000003</v>
      </c>
      <c r="Q13" s="13" t="str">
        <f>IF(P13="","",IF(P13=CZ13,$CA$1,IF(P13=BY13,$AZ$1,IF(P13=AX13,$Y$1,""))))</f>
        <v>2021 Elite Canada</v>
      </c>
      <c r="R13" s="13">
        <f>IF(MAX(AO13,AR13,AV13,BP13,BS13,BW13,CQ13,CT13,CX13)&gt;0,MAX(AO13,AR13,BP13,BS13,CQ13,CT13,AV13),0)</f>
        <v>13.5</v>
      </c>
      <c r="S13" s="13" t="str">
        <f>IF(R13=0,"",IF(OR(R13=CQ13,R13=CT13,R13=CX13),$CA$1,IF(OR(R13=BP13,R13=BS13,R13=BW13),$AZ$1,IF(OR(R13=AO13,R13=AR13,R13=AV13),$Y$1,""))))</f>
        <v>2022 Elite Canada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),0)</f>
        <v>0</v>
      </c>
      <c r="U13" s="13" t="str">
        <f>IF(T13=0,"",IF(OR(T13=CR13,T13=CU13,T13=CY13),$CA$1,IF(OR(T13=BQ13,T13=BT13,T13=BX13),$AZ$1,IF(OR(T13=AP13,T13=AS13,T13=AW13),$Y$1,""))))</f>
        <v/>
      </c>
      <c r="V13" s="13" t="str">
        <f>IF(MAX(DB13,DC13,DD13,DE13)&gt;0,MAX(DB13,DC13,DD13,DE13),"")</f>
        <v/>
      </c>
      <c r="W13" s="16" t="str">
        <f>IF(V13="","",IF(V13=DB13,"("&amp;DB$2&amp;")",IF(V13=DC13,"("&amp;DC$2&amp;")",IF(V13=DD13,"("&amp;DD$2&amp;")",IF(V13=DE13,"("&amp;DE$2&amp;")")))))</f>
        <v/>
      </c>
      <c r="X13" s="13" t="str">
        <f>IF(V13="","",IF(V13=DB13,IF(V13+IF(L13="",0,L13)=SP13,$RP$1,IF(V13+IF(L13="",0,L13)=RH13,$QH$1,IF(V13+IF(L13="",0,L13)=PZ13,$OZ$1,IF(V13+IF(L13="",0,L13)=OR13,$NR$1,IF(V13+IF(L13="",0,L13)=NJ13,$MJ$1,IF(V13+IF(L13="",0,L13)=MB13,$LB$1,IF(V13+IF(L13="",0,L13)=KT13,$JT$1,IF(V13+IF(L13="",0,L13)=JL13,$IL$1,IF(V13+IF(L13="",0,L13)=ID13,$HD$1,IF(V13+IF(L13="",0,L13)=GV13,$FV$1,IF(V13+IF(L13="",0,L13)=FN13,$EN$1,IF(V13+IF(L13="",0,L13)=EF13,$DF$1)))))))))))),IF(V13=DC13,IF(V13+IF(P13="",0,P13)=SV13,$RP$1,IF(V13+IF(P13="",0,P13)=RN13,$QH$1,IF(V13+IF(P13="",0,P13)=QF13,$OZ$1,IF(V13+IF(P13="",0,P13)=OX13,$NR$1,IF(V13+IF(P13="",0,P13)=NP13,$MJ$1,IF(V13+IF(P13="",0,P13)=MH13,$LB$1,IF(V13+IF(P13="",0,P13)=KZ13,$JT$1,IF(V13+IF(P13="",0,P13)=JR13,$IL$1,IF(V13+IF(P13="",0,P13)=IJ13,$HD$1,IF(V13+IF(P13="",0,P13)=HB13,$FV$1,IF(V13+IF(P13="",0,P13)=FT13,$EN$1,IF(V13+IF(P13="",0,P13)=EL13,$DF$1)))))))))))),IF(V13=DD13,IF(V13+IF(R13="",0,R13)=MAX(SJ13,SM13,SQ13,ST13),$RP$1,IF(V13+IF(R13="",0,R13)=MAX(RB13,RE13,RI13,RL13),$QH$1,IF(V13+IF(R13="",0,R13)=MAX(PT13,PW13,QA13,QD13),$OZ$1,IF(V13+IF(R13="",0,R13)=MAX(OL13,OO13,OS13,OV13),$NR$1,IF(V13+IF(R13="",0,R13)=MAX(ND13,NG13,NK13,NN13),$MJ$1,IF(V13+IF(R13="",0,R13)=MAX(LV13,LY13,MC13,MF13),$LB$1,IF(V13+IF(R13="",0,R13)=MAX(KN13,KQ13,KU13,KX13),$JT$1,IF(V13+IF(R13="",0,R13)=MAX(JF13,JI13,JM13,JP13),$IL$1,IF(V13+IF(R13="",0,R13)=MAX(HX13,IA13,IE13,IH13),$HD$1,IF(V13+IF(R13="",0,R13)=MAX(GP13,GS13,GW13,GZ13),$FV$1,IF(V13+IF(R13="",0,R13)=MAX(FH13,FK13,FO13,FR13),$EN$1,IF(V13+IF(R13="",0,R13)=MAX(DZ13,EC13,EG13,EJ13),$DF$1)))))))))))),IF(V13=DE13,IF(V13+IF(T13="",0,T13)=MAX(SK13,SN13,SR13,SU13),$RP$1,IF(V13+IF(T13="",0,T13)=MAX(RC13,RF13,RJ13,RM13),$QH$1,IF(V13+IF(T13="",0,T13)=MAX(PU13,PX13,QB13,QE13),$OZ$1,IF(V13+IF(T13="",0,T13)=MAX(OM13,OP13,OT13,OW13),$NR$1,IF(V13+IF(T13="",0,T13)=MAX(NE13,NH13,NL13,NO13),$MJ$1,IF(V13+IF(T13="",0,T13)=MAX(LW13,LZ13,MD13,MG13),$LB$1,IF(V13+IF(T13="",0,T13)=MAX(KO13,KR13,KV13,KY13),$JT$1,IF(V13+IF(T13="",0,T13)=MAX(JG13,JJ13,JN13,JQ13),$IL$1,IF(V13+IF(T13="",0,T13)=MAX(HY13,IB13,IF13,II13),$HD$1,IF(V13+IF(T13="",0,T13)=MAX(GQ13,GT13,GX13,HA13),$FV$1,IF(V13+IF(T13="",0,T13)=MAX(FI13,FL13,FP13,FS13),$EN$1,IF(V13+IF(T13="",0,T13)=MAX(EA13,ED13,EH13,EK13),$DF$1)))))))))))))))))</f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>IF(AA13&gt;0,AA13,"")</f>
        <v>13.5</v>
      </c>
      <c r="AP13" s="74">
        <f>IF(AB13&gt;0,AB13,"")</f>
        <v>14.9</v>
      </c>
      <c r="AQ13" s="76">
        <f>IF(SUM(Y13:AB13)-AC13&gt;0,SUM(Y13:AB13)-AC13,"")</f>
        <v>53.3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53.3</v>
      </c>
      <c r="AV13" s="76">
        <f>IF(AK13&gt;0,AK13,"")</f>
        <v>13.3</v>
      </c>
      <c r="AW13" s="76">
        <f>IF(AL13&gt;0,AL13,"")</f>
        <v>14.715</v>
      </c>
      <c r="AX13" s="76">
        <f>IF(SUM(AI13:AL13)-AM13&gt;0,SUM(AI13:AL13)-AM13,"")</f>
        <v>52.715000000000003</v>
      </c>
      <c r="AY13" s="76">
        <f>IF(SUM(AU13,AX13)&gt;0,SUM(AU13,AX13),"")</f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>IF(BB13&gt;0,BB13,"")</f>
        <v>12.5</v>
      </c>
      <c r="BQ13" s="75">
        <f>IF(BC13&gt;0,BC13,"")</f>
        <v>14.185</v>
      </c>
      <c r="BR13" s="16">
        <f>IF(SUM(AZ13:BC13)-BD13&gt;0,SUM(AZ13:BC13)-BD13,"")</f>
        <v>51.085000000000001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51.085000000000001</v>
      </c>
      <c r="BW13" s="16">
        <f>IF(BL13&gt;0,BL13,"")</f>
        <v>13.5</v>
      </c>
      <c r="BX13" s="16">
        <f>IF(BM13&gt;0,BM13,"")</f>
        <v>14.605</v>
      </c>
      <c r="BY13" s="16">
        <f>IF(SUM(BJ13:BM13)-BN13&gt;0,SUM(BJ13:BM13)-BN13,"")</f>
        <v>52.305000000000007</v>
      </c>
      <c r="BZ13" s="16">
        <f>IF(SUM(BV13,BY13)&gt;0,SUM(BV13,BY13),"")</f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>IF(CC13&gt;0,CC13,"")</f>
        <v>13.5</v>
      </c>
      <c r="CR13" s="74">
        <f>IF(CD13&gt;0,CD13,"")</f>
        <v>14.744999999999999</v>
      </c>
      <c r="CS13" s="76">
        <f>IF(SUM(CA13:CD13)-CE13&gt;0,SUM(CA13:CD13)-CE13,"")</f>
        <v>53.044999999999995</v>
      </c>
      <c r="CT13" s="76">
        <f>IF(CH13&gt;0,CH13,"")</f>
        <v>12.5</v>
      </c>
      <c r="CU13" s="76">
        <f>IF(CI13&gt;0,CI13,"")</f>
        <v>14.91</v>
      </c>
      <c r="CV13" s="76">
        <f>IF(SUM(CF13:CI13)-CJ13&gt;0,SUM(CF13:CI13)-CJ13,"")</f>
        <v>49.41</v>
      </c>
      <c r="CW13" s="76">
        <f>IF(CS13="","",MAX(CS13,CV13))</f>
        <v>53.044999999999995</v>
      </c>
      <c r="CX13" s="76">
        <f>IF(CM13&gt;0,CM13,"")</f>
        <v>5.6</v>
      </c>
      <c r="CY13" s="76">
        <f>IF(CN13&gt;0,CN13,"")</f>
        <v>6.29</v>
      </c>
      <c r="CZ13" s="76">
        <f>IF(SUM(CK13:CN13)-CO13&gt;0,SUM(CK13:CN13)-CO13,"")</f>
        <v>21.39</v>
      </c>
      <c r="DA13" s="76">
        <f>IF(SUM(CW13,CZ13)&gt;0,SUM(CW13,CZ13),"")</f>
        <v>74.435000000000002</v>
      </c>
      <c r="DB13" s="87" t="str">
        <f>IF(L13&gt;=0.001,IF(MAX(EF13,FN13,GV13,ID13,JL13,KT13,MB13,NJ13,OR13,PZ13,RH13,SP13)-IF(L13="",0,L13)&gt;0.001,MAX(EF13,FN13,GV13,ID13,JL13,KT13,MB13,NJ13,OR13,PZ13,RH13,SP13)-IF(L13="",0,L13),""),"")</f>
        <v/>
      </c>
      <c r="DC13" s="87" t="str">
        <f>IF(P13&gt;=0.001,IF(MAX(EI13,EL13,FQ13,FT13,GY13,HB13,IG13,IJ13,JO13,JR13,KW13,KZ13,ME13,MH13,NM13,NP13,OU13,OX13,QC13,QF13,RK13,RN13,SS13,SV13)-IF(P13="",0,P13)&gt;0.001,MAX(EI13,EL13,FQ13,FT13,GY13,HB13,IG13,IJ13,JO13,JR13,KW13,KZ13,ME13,MH13,NM13,NP13,OU13,OX13,QC13,QF13,RK13,RN13,SS13,SV13)-IF(P13="",0,P13),""),"")</f>
        <v/>
      </c>
      <c r="DD13" s="87" t="str">
        <f>IF(R13&gt;=0.001,IF(MAX(DZ13,EC13,EG13,EJ13,FH13,FK13,FO13,FR13,GP13,GS13,GW13,GZ13,HX13,IA13,IE13,IH13,JF13,JI13,JM13,JP13,KN13,KQ13,KU13,KX13,LV13,LY13,MC13,MF13,ND13,NG13,NK13,NN13,OL13,OO13,OS13,OV13,PT13,PW13,QA13,QD13,RB13,RE13,RI13,RL13,SJ13,SM13,SQ13,ST13)-IF(R13="",0,R13)&gt;0.001,MAX(DZ13,EC13,EG13,EJ13,FH13,FK13,FO13,FR13,GP13,GS13,GW13,GZ13,HX13,IA13,IE13,IH13,JF13,JI13,JM13,JP13,KN13,KQ13,KU13,KX13,LV13,LY13,MC13,MF13,ND13,NG13,NK13,NN13,OL13,OO13,OS13,OV13,PT13,PW13,QA13,QD13,RB13,RE13,RI13,RL13,SJ13,SM13,SQ13,ST13)-IF(R13="",0,R13),""),"")</f>
        <v/>
      </c>
      <c r="DE13" s="87" t="str">
        <f>IF(T13&gt;=0.001,IF(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&gt;0.001,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,""),"")</f>
        <v/>
      </c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76" t="str">
        <f>IF(DH13&gt;0,DH13,"")</f>
        <v/>
      </c>
      <c r="EA13" s="76" t="str">
        <f>IF(DI13&gt;0,DI13,"")</f>
        <v/>
      </c>
      <c r="EB13" s="76" t="str">
        <f>IF(SUM(DF13:DI13)-DJ13&gt;0,SUM(DF13:DI13)-DJ13,"")</f>
        <v/>
      </c>
      <c r="EC13" s="76" t="str">
        <f>IF(DM13&gt;0,DM13,"")</f>
        <v/>
      </c>
      <c r="ED13" s="76" t="str">
        <f>IF(DN13&gt;0,DN13,"")</f>
        <v/>
      </c>
      <c r="EE13" s="76" t="str">
        <f>IF(SUM(DK13:DN13)-DO13&gt;0,SUM(DK13:DN13)-DO13,"")</f>
        <v/>
      </c>
      <c r="EF13" s="76" t="str">
        <f>IF(MAX(EB13,EE13)&gt;0,MAX(EB13,EE13),"")</f>
        <v/>
      </c>
      <c r="EG13" s="76" t="str">
        <f>IF(DR13&gt;0,DR13,"")</f>
        <v/>
      </c>
      <c r="EH13" s="76" t="str">
        <f>IF(DS13&gt;0,DS13,"")</f>
        <v/>
      </c>
      <c r="EI13" s="76" t="str">
        <f>IF(SUM(DP13:DS13)-DT13&gt;0,SUM(DP13:DS13)-DT13,"")</f>
        <v/>
      </c>
      <c r="EJ13" s="76" t="str">
        <f>IF(DW13&gt;0,DW13,"")</f>
        <v/>
      </c>
      <c r="EK13" s="76" t="str">
        <f>IF(DX13&gt;0,DX13,"")</f>
        <v/>
      </c>
      <c r="EL13" s="76" t="str">
        <f>IF(SUM(DU13:DX13)-DY13&gt;0,SUM(DU13:DX13)-DY13,"")</f>
        <v/>
      </c>
      <c r="EM13" s="76" t="str">
        <f>IF(SUM(EF13,EL13)&gt;0,SUM(EF13,EL13),"")</f>
        <v/>
      </c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16" t="str">
        <f>IF(EP13&gt;0,EP13,"")</f>
        <v/>
      </c>
      <c r="FI13" s="16" t="str">
        <f>IF(EQ13&gt;0,EQ13,"")</f>
        <v/>
      </c>
      <c r="FJ13" s="16" t="str">
        <f>IF(SUM(EN13:EQ13)-ER13&gt;0,SUM(EN13:EQ13)-ER13,"")</f>
        <v/>
      </c>
      <c r="FK13" s="16" t="str">
        <f>IF(EU13&gt;0,EU13,"")</f>
        <v/>
      </c>
      <c r="FL13" s="16" t="str">
        <f>IF(EV13&gt;0,EV13,"")</f>
        <v/>
      </c>
      <c r="FM13" s="16" t="str">
        <f>IF(SUM(ES13:EV13)-EW13&gt;0,SUM(ES13:EV13)-EW13,"")</f>
        <v/>
      </c>
      <c r="FN13" s="16" t="str">
        <f>IF(MAX(FJ13,FM13)&gt;0,MAX(FJ13,FM13),"")</f>
        <v/>
      </c>
      <c r="FO13" s="16" t="str">
        <f>IF(EZ13&gt;0,EZ13,"")</f>
        <v/>
      </c>
      <c r="FP13" s="16" t="str">
        <f>IF(FA13&gt;0,FA13,"")</f>
        <v/>
      </c>
      <c r="FQ13" s="16" t="str">
        <f>IF(SUM(EX13:FA13)-FB13&gt;0,SUM(EX13:FA13)-FB13,"")</f>
        <v/>
      </c>
      <c r="FR13" s="16" t="str">
        <f>IF(FE13&gt;0,FE13,"")</f>
        <v/>
      </c>
      <c r="FS13" s="16" t="str">
        <f>IF(FF13&gt;0,FF13,"")</f>
        <v/>
      </c>
      <c r="FT13" s="16" t="str">
        <f>IF(SUM(FC13:FF13)-FG13&gt;0,SUM(FC13:FF13)-FG13,"")</f>
        <v/>
      </c>
      <c r="FU13" s="16" t="str">
        <f>IF(SUM(FN13,FT13)&gt;0,SUM(FN13,FT13),"")</f>
        <v/>
      </c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76" t="str">
        <f>IF(FX13&gt;0,FX13,"")</f>
        <v/>
      </c>
      <c r="GQ13" s="76" t="str">
        <f>IF(FY13&gt;0,FY13,"")</f>
        <v/>
      </c>
      <c r="GR13" s="76" t="str">
        <f>IF(SUM(FV13:FY13)-FZ13&gt;0,SUM(FV13:FY13)-FZ13,"")</f>
        <v/>
      </c>
      <c r="GS13" s="76" t="str">
        <f>IF(GC13&gt;0,GC13,"")</f>
        <v/>
      </c>
      <c r="GT13" s="76" t="str">
        <f>IF(GD13&gt;0,GD13,"")</f>
        <v/>
      </c>
      <c r="GU13" s="76" t="str">
        <f>IF(SUM(GA13:GD13)-GE13&gt;0,SUM(GA13:GD13)-GE13,"")</f>
        <v/>
      </c>
      <c r="GV13" s="76" t="str">
        <f>IF(MAX(GR13,GU13)&gt;0,MAX(GR13,GU13),"")</f>
        <v/>
      </c>
      <c r="GW13" s="76" t="str">
        <f>IF(GH13&gt;0,GH13,"")</f>
        <v/>
      </c>
      <c r="GX13" s="76" t="str">
        <f>IF(GI13&gt;0,GI13,"")</f>
        <v/>
      </c>
      <c r="GY13" s="76" t="str">
        <f>IF(SUM(GF13:GI13)-GJ13&gt;0,SUM(GF13:GI13)-GJ13,"")</f>
        <v/>
      </c>
      <c r="GZ13" s="76" t="str">
        <f>IF(GM13&gt;0,GM13,"")</f>
        <v/>
      </c>
      <c r="HA13" s="76" t="str">
        <f>IF(GN13&gt;0,GN13,"")</f>
        <v/>
      </c>
      <c r="HB13" s="76" t="str">
        <f>IF(SUM(GK13:GN13)-GO13&gt;0,SUM(GK13:GN13)-GO13,"")</f>
        <v/>
      </c>
      <c r="HC13" s="76" t="str">
        <f>IF(SUM(GV13,HB13)&gt;0,SUM(GV13,HB13),"")</f>
        <v/>
      </c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16" t="str">
        <f>IF(HF13&gt;0,HF13,"")</f>
        <v/>
      </c>
      <c r="HY13" s="16" t="str">
        <f>IF(HG13&gt;0,HG13,"")</f>
        <v/>
      </c>
      <c r="HZ13" s="16" t="str">
        <f>IF(SUM(HD13:HG13)-HH13&gt;0,SUM(HD13:HG13)-HH13,"")</f>
        <v/>
      </c>
      <c r="IA13" s="16" t="str">
        <f>IF(HK13&gt;0,HK13,"")</f>
        <v/>
      </c>
      <c r="IB13" s="16" t="str">
        <f>IF(HL13&gt;0,HL13,"")</f>
        <v/>
      </c>
      <c r="IC13" s="16" t="str">
        <f>IF(SUM(HI13:HL13)-HM13&gt;0,SUM(HI13:HL13)-HM13,"")</f>
        <v/>
      </c>
      <c r="ID13" s="16" t="str">
        <f>IF(MAX(HZ13,IC13)&gt;0,MAX(HZ13,IC13),"")</f>
        <v/>
      </c>
      <c r="IE13" s="16" t="str">
        <f>IF(HP13&gt;0,HP13,"")</f>
        <v/>
      </c>
      <c r="IF13" s="16" t="str">
        <f>IF(HQ13&gt;0,HQ13,"")</f>
        <v/>
      </c>
      <c r="IG13" s="16" t="str">
        <f>IF(SUM(HN13:HQ13)-HR13&gt;0,SUM(HN13:HQ13)-HR13,"")</f>
        <v/>
      </c>
      <c r="IH13" s="16" t="str">
        <f>IF(HU13&gt;0,HU13,"")</f>
        <v/>
      </c>
      <c r="II13" s="16" t="str">
        <f>IF(HV13&gt;0,HV13,"")</f>
        <v/>
      </c>
      <c r="IJ13" s="16" t="str">
        <f>IF(SUM(HS13:HV13)-HW13&gt;0,SUM(HS13:HV13)-HW13,"")</f>
        <v/>
      </c>
      <c r="IK13" s="16" t="str">
        <f>IF(SUM(ID13,IJ13)&gt;0,SUM(ID13,IJ13),"")</f>
        <v/>
      </c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76" t="str">
        <f>IF(IN13&gt;0,IN13,"")</f>
        <v/>
      </c>
      <c r="JG13" s="76" t="str">
        <f>IF(IO13&gt;0,IO13,"")</f>
        <v/>
      </c>
      <c r="JH13" s="76" t="str">
        <f>IF(SUM(IL13:IO13)-IP13&gt;0,SUM(IL13:IO13)-IP13,"")</f>
        <v/>
      </c>
      <c r="JI13" s="76" t="str">
        <f>IF(IS13&gt;0,IS13,"")</f>
        <v/>
      </c>
      <c r="JJ13" s="76" t="str">
        <f>IF(IT13&gt;0,IT13,"")</f>
        <v/>
      </c>
      <c r="JK13" s="76" t="str">
        <f>IF(SUM(IQ13:IT13)-IU13&gt;0,SUM(IQ13:IT13)-IU13,"")</f>
        <v/>
      </c>
      <c r="JL13" s="76" t="str">
        <f>IF(MAX(JH13,JK13)&gt;0,MAX(JH13,JK13),"")</f>
        <v/>
      </c>
      <c r="JM13" s="76" t="str">
        <f>IF(IX13&gt;0,IX13,"")</f>
        <v/>
      </c>
      <c r="JN13" s="76" t="str">
        <f>IF(IY13&gt;0,IY13,"")</f>
        <v/>
      </c>
      <c r="JO13" s="76" t="str">
        <f>IF(SUM(IV13:IY13)-IZ13&gt;0,SUM(IV13:IY13)-IZ13,"")</f>
        <v/>
      </c>
      <c r="JP13" s="76" t="str">
        <f>IF(JC13&gt;0,JC13,"")</f>
        <v/>
      </c>
      <c r="JQ13" s="76" t="str">
        <f>IF(JD13&gt;0,JD13,"")</f>
        <v/>
      </c>
      <c r="JR13" s="76" t="str">
        <f>IF(SUM(JA13:JD13)-JE13&gt;0,SUM(JA13:JD13)-JE13,"")</f>
        <v/>
      </c>
      <c r="JS13" s="76" t="str">
        <f>IF(SUM(JL13,JR13)&gt;0,SUM(JL13,JR13),"")</f>
        <v/>
      </c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16" t="str">
        <f>IF(JV13&gt;0,JV13,"")</f>
        <v/>
      </c>
      <c r="KO13" s="16" t="str">
        <f>IF(JW13&gt;0,JW13,"")</f>
        <v/>
      </c>
      <c r="KP13" s="16" t="str">
        <f>IF(SUM(JT13:JW13)-JX13&gt;0,SUM(JT13:JW13)-JX13,"")</f>
        <v/>
      </c>
      <c r="KQ13" s="16" t="str">
        <f>IF(KA13&gt;0,KA13,"")</f>
        <v/>
      </c>
      <c r="KR13" s="16" t="str">
        <f>IF(KB13&gt;0,KB13,"")</f>
        <v/>
      </c>
      <c r="KS13" s="16" t="str">
        <f>IF(SUM(JY13:KB13)-KC13&gt;0,SUM(JY13:KB13)-KC13,"")</f>
        <v/>
      </c>
      <c r="KT13" s="16" t="str">
        <f>IF(MAX(KP13,KS13)&gt;0,MAX(KP13,KS13),"")</f>
        <v/>
      </c>
      <c r="KU13" s="16" t="str">
        <f>IF(KF13&gt;0,KF13,"")</f>
        <v/>
      </c>
      <c r="KV13" s="16" t="str">
        <f>IF(KG13&gt;0,KG13,"")</f>
        <v/>
      </c>
      <c r="KW13" s="16" t="str">
        <f>IF(SUM(KD13:KG13)-KH13&gt;0,SUM(KD13:KG13)-KH13,"")</f>
        <v/>
      </c>
      <c r="KX13" s="16" t="str">
        <f>IF(KK13&gt;0,KK13,"")</f>
        <v/>
      </c>
      <c r="KY13" s="16" t="str">
        <f>IF(KL13&gt;0,KL13,"")</f>
        <v/>
      </c>
      <c r="KZ13" s="16" t="str">
        <f>IF(SUM(KI13:KL13)-KM13&gt;0,SUM(KI13:KL13)-KM13,"")</f>
        <v/>
      </c>
      <c r="LA13" s="16" t="str">
        <f>IF(SUM(KT13,KZ13)&gt;0,SUM(KT13,KZ13),"")</f>
        <v/>
      </c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76" t="str">
        <f>IF(LD13&gt;0,LD13,"")</f>
        <v/>
      </c>
      <c r="LW13" s="76" t="str">
        <f>IF(LE13&gt;0,LE13,"")</f>
        <v/>
      </c>
      <c r="LX13" s="76" t="str">
        <f>IF(SUM(LB13:LE13)-LF13&gt;0,SUM(LB13:LE13)-LF13,"")</f>
        <v/>
      </c>
      <c r="LY13" s="76" t="str">
        <f>IF(LI13&gt;0,LI13,"")</f>
        <v/>
      </c>
      <c r="LZ13" s="76" t="str">
        <f>IF(LJ13&gt;0,LJ13,"")</f>
        <v/>
      </c>
      <c r="MA13" s="76" t="str">
        <f>IF(SUM(LG13:LJ13)-LK13&gt;0,SUM(LG13:LJ13)-LK13,"")</f>
        <v/>
      </c>
      <c r="MB13" s="76" t="str">
        <f>IF(MAX(LX13,MA13)&gt;0,MAX(LX13,MA13),"")</f>
        <v/>
      </c>
      <c r="MC13" s="76" t="str">
        <f>IF(LN13&gt;0,LN13,"")</f>
        <v/>
      </c>
      <c r="MD13" s="76" t="str">
        <f>IF(LO13&gt;0,LO13,"")</f>
        <v/>
      </c>
      <c r="ME13" s="76" t="str">
        <f>IF(SUM(LL13:LO13)-LP13&gt;0,SUM(LL13:LO13)-LP13,"")</f>
        <v/>
      </c>
      <c r="MF13" s="76" t="str">
        <f>IF(LS13&gt;0,LS13,"")</f>
        <v/>
      </c>
      <c r="MG13" s="76" t="str">
        <f>IF(LT13&gt;0,LT13,"")</f>
        <v/>
      </c>
      <c r="MH13" s="76" t="str">
        <f>IF(SUM(LQ13:LT13)-LU13&gt;0,SUM(LQ13:LT13)-LU13,"")</f>
        <v/>
      </c>
      <c r="MI13" s="76" t="str">
        <f>IF(SUM(MB13,MH13)&gt;0,SUM(MB13,MH13),"")</f>
        <v/>
      </c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16" t="str">
        <f>IF(ML13&gt;0,ML13,"")</f>
        <v/>
      </c>
      <c r="NE13" s="16" t="str">
        <f>IF(MM13&gt;0,MM13,"")</f>
        <v/>
      </c>
      <c r="NF13" s="16" t="str">
        <f>IF(SUM(MJ13:MM13)-MN13&gt;0,SUM(MJ13:MM13)-MN13,"")</f>
        <v/>
      </c>
      <c r="NG13" s="16" t="str">
        <f>IF(MQ13&gt;0,MQ13,"")</f>
        <v/>
      </c>
      <c r="NH13" s="16" t="str">
        <f>IF(MR13&gt;0,MR13,"")</f>
        <v/>
      </c>
      <c r="NI13" s="16" t="str">
        <f>IF(SUM(MO13:MR13)-MS13&gt;0,SUM(MO13:MR13)-MS13,"")</f>
        <v/>
      </c>
      <c r="NJ13" s="16" t="str">
        <f>IF(MAX(NF13,NI13)&gt;0,MAX(NF13,NI13),"")</f>
        <v/>
      </c>
      <c r="NK13" s="16" t="str">
        <f>IF(MV13&gt;0,MV13,"")</f>
        <v/>
      </c>
      <c r="NL13" s="16" t="str">
        <f>IF(MW13&gt;0,MW13,"")</f>
        <v/>
      </c>
      <c r="NM13" s="16" t="str">
        <f>IF(SUM(MT13:MW13)-MX13&gt;0,SUM(MT13:MW13)-MX13,"")</f>
        <v/>
      </c>
      <c r="NN13" s="16" t="str">
        <f>IF(NA13&gt;0,NA13,"")</f>
        <v/>
      </c>
      <c r="NO13" s="16" t="str">
        <f>IF(NB13&gt;0,NB13,"")</f>
        <v/>
      </c>
      <c r="NP13" s="16" t="str">
        <f>IF(SUM(MY13:NB13)-NC13&gt;0,SUM(MY13:NB13)-NC13,"")</f>
        <v/>
      </c>
      <c r="NQ13" s="16" t="str">
        <f>IF(SUM(NJ13,NP13)&gt;0,SUM(NJ13,NP13),"")</f>
        <v/>
      </c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76" t="str">
        <f>IF(NT13&gt;0,NT13,"")</f>
        <v/>
      </c>
      <c r="OM13" s="76" t="str">
        <f>IF(NU13&gt;0,NU13,"")</f>
        <v/>
      </c>
      <c r="ON13" s="76" t="str">
        <f>IF(SUM(NR13:NU13)-NV13&gt;0,SUM(NR13:NU13)-NV13,"")</f>
        <v/>
      </c>
      <c r="OO13" s="76" t="str">
        <f>IF(NY13&gt;0,NY13,"")</f>
        <v/>
      </c>
      <c r="OP13" s="76" t="str">
        <f>IF(NZ13&gt;0,NZ13,"")</f>
        <v/>
      </c>
      <c r="OQ13" s="76" t="str">
        <f>IF(SUM(NW13:NZ13)-OA13&gt;0,SUM(NW13:NZ13)-OA13,"")</f>
        <v/>
      </c>
      <c r="OR13" s="76" t="str">
        <f>IF(MAX(ON13,OQ13)&gt;0,MAX(ON13,OQ13),"")</f>
        <v/>
      </c>
      <c r="OS13" s="76" t="str">
        <f>IF(OD13&gt;0,OD13,"")</f>
        <v/>
      </c>
      <c r="OT13" s="76" t="str">
        <f>IF(OE13&gt;0,OE13,"")</f>
        <v/>
      </c>
      <c r="OU13" s="76" t="str">
        <f>IF(SUM(OB13:OE13)-OF13&gt;0,SUM(OB13:OE13)-OF13,"")</f>
        <v/>
      </c>
      <c r="OV13" s="76" t="str">
        <f>IF(OI13&gt;0,OI13,"")</f>
        <v/>
      </c>
      <c r="OW13" s="76" t="str">
        <f>IF(OJ13&gt;0,OJ13,"")</f>
        <v/>
      </c>
      <c r="OX13" s="76" t="str">
        <f>IF(SUM(OG13:OJ13)-OK13&gt;0,SUM(OG13:OJ13)-OK13,"")</f>
        <v/>
      </c>
      <c r="OY13" s="76" t="str">
        <f>IF(SUM(OR13,OX13)&gt;0,SUM(OR13,OX13),"")</f>
        <v/>
      </c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16" t="str">
        <f>IF(PB13&gt;0,PB13,"")</f>
        <v/>
      </c>
      <c r="PU13" s="16" t="str">
        <f>IF(PC13&gt;0,PC13,"")</f>
        <v/>
      </c>
      <c r="PV13" s="16" t="str">
        <f>IF(SUM(OZ13:PC13)-PD13&gt;0,SUM(OZ13:PC13)-PD13,"")</f>
        <v/>
      </c>
      <c r="PW13" s="16" t="str">
        <f>IF(PG13&gt;0,PG13,"")</f>
        <v/>
      </c>
      <c r="PX13" s="16" t="str">
        <f>IF(PH13&gt;0,PH13,"")</f>
        <v/>
      </c>
      <c r="PY13" s="16" t="str">
        <f>IF(SUM(PE13:PH13)-PI13&gt;0,SUM(PE13:PH13)-PI13,"")</f>
        <v/>
      </c>
      <c r="PZ13" s="16" t="str">
        <f>IF(MAX(PV13,PY13)&gt;0,MAX(PV13,PY13),"")</f>
        <v/>
      </c>
      <c r="QA13" s="16" t="str">
        <f>IF(PL13&gt;0,PL13,"")</f>
        <v/>
      </c>
      <c r="QB13" s="16" t="str">
        <f>IF(PM13&gt;0,PM13,"")</f>
        <v/>
      </c>
      <c r="QC13" s="16" t="str">
        <f>IF(SUM(PJ13:PM13)-PN13&gt;0,SUM(PJ13:PM13)-PN13,"")</f>
        <v/>
      </c>
      <c r="QD13" s="16" t="str">
        <f>IF(PQ13&gt;0,PQ13,"")</f>
        <v/>
      </c>
      <c r="QE13" s="16" t="str">
        <f>IF(PR13&gt;0,PR13,"")</f>
        <v/>
      </c>
      <c r="QF13" s="16" t="str">
        <f>IF(SUM(PO13:PR13)-PS13&gt;0,SUM(PO13:PR13)-PS13,"")</f>
        <v/>
      </c>
      <c r="QG13" s="16" t="str">
        <f>IF(SUM(PZ13,QF13)&gt;0,SUM(PZ13,QF13),"")</f>
        <v/>
      </c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76" t="str">
        <f>IF(QJ13&gt;0,QJ13,"")</f>
        <v/>
      </c>
      <c r="RC13" s="76" t="str">
        <f>IF(QK13&gt;0,QK13,"")</f>
        <v/>
      </c>
      <c r="RD13" s="76" t="str">
        <f>IF(SUM(QH13:QK13)-QL13&gt;0,SUM(QH13:QK13)-QL13,"")</f>
        <v/>
      </c>
      <c r="RE13" s="76" t="str">
        <f>IF(QO13&gt;0,QO13,"")</f>
        <v/>
      </c>
      <c r="RF13" s="76" t="str">
        <f>IF(QP13&gt;0,QP13,"")</f>
        <v/>
      </c>
      <c r="RG13" s="76" t="str">
        <f>IF(SUM(QM13:QP13)-QQ13&gt;0,SUM(QM13:QP13)-QQ13,"")</f>
        <v/>
      </c>
      <c r="RH13" s="76" t="str">
        <f>IF(MAX(RD13,RG13)&gt;0,MAX(RD13,RG13),"")</f>
        <v/>
      </c>
      <c r="RI13" s="76" t="str">
        <f>IF(QT13&gt;0,QT13,"")</f>
        <v/>
      </c>
      <c r="RJ13" s="76" t="str">
        <f>IF(QU13&gt;0,QU13,"")</f>
        <v/>
      </c>
      <c r="RK13" s="76" t="str">
        <f>IF(SUM(QR13:QU13)-QV13&gt;0,SUM(QR13:QU13)-QV13,"")</f>
        <v/>
      </c>
      <c r="RL13" s="76" t="str">
        <f>IF(QY13&gt;0,QY13,"")</f>
        <v/>
      </c>
      <c r="RM13" s="76" t="str">
        <f>IF(QZ13&gt;0,QZ13,"")</f>
        <v/>
      </c>
      <c r="RN13" s="76" t="str">
        <f>IF(SUM(QW13:QZ13)-RA13&gt;0,SUM(QW13:QZ13)-RA13,"")</f>
        <v/>
      </c>
      <c r="RO13" s="76" t="str">
        <f>IF(SUM(RH13,RN13)&gt;0,SUM(RH13,RN13),"")</f>
        <v/>
      </c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16" t="str">
        <f>IF(RR13&gt;0,RR13,"")</f>
        <v/>
      </c>
      <c r="SK13" s="16" t="str">
        <f>IF(RS13&gt;0,RS13,"")</f>
        <v/>
      </c>
      <c r="SL13" s="16" t="str">
        <f>IF(SUM(RP13:RS13)-RT13&gt;0,SUM(RP13:RS13)-RT13,"")</f>
        <v/>
      </c>
      <c r="SM13" s="16" t="str">
        <f>IF(RW13&gt;0,RW13,"")</f>
        <v/>
      </c>
      <c r="SN13" s="16" t="str">
        <f>IF(RX13&gt;0,RX13,"")</f>
        <v/>
      </c>
      <c r="SO13" s="16" t="str">
        <f>IF(SUM(RU13:RX13)-RY13&gt;0,SUM(RU13:RX13)-RY13,"")</f>
        <v/>
      </c>
      <c r="SP13" s="16" t="str">
        <f>IF(MAX(SL13,SO13)&gt;0,MAX(SL13,SO13),"")</f>
        <v/>
      </c>
      <c r="SQ13" s="16" t="str">
        <f>IF(SB13&gt;0,SB13,"")</f>
        <v/>
      </c>
      <c r="SR13" s="16" t="str">
        <f>IF(SC13&gt;0,SC13,"")</f>
        <v/>
      </c>
      <c r="SS13" s="16" t="str">
        <f>IF(SUM(RZ13:SC13)-SD13&gt;0,SUM(RZ13:SC13)-SD13,"")</f>
        <v/>
      </c>
      <c r="ST13" s="16" t="str">
        <f>IF(SG13&gt;0,SG13,"")</f>
        <v/>
      </c>
      <c r="SU13" s="16" t="str">
        <f>IF(SH13&gt;0,SH13,"")</f>
        <v/>
      </c>
      <c r="SV13" s="16" t="str">
        <f>IF(SUM(SE13:SH13)-SI13&gt;0,SUM(SE13:SH13)-SI13,"")</f>
        <v/>
      </c>
      <c r="SW13" s="16" t="str">
        <f>IF(SUM(SP13,SV13)&gt;0,SUM(SP13,SV13),"")</f>
        <v/>
      </c>
      <c r="SX13" s="42">
        <f>IF($CP13="P",CA13,(CA13+AZ13)/2)</f>
        <v>15.5</v>
      </c>
      <c r="SY13" s="42">
        <f>IF($CP13="P",CB13,(CB13+BA13)/2)</f>
        <v>9.1999999999999993</v>
      </c>
      <c r="SZ13" s="42">
        <f>IF($CP13="P",CC13,(CC13+BB13)/2)</f>
        <v>13</v>
      </c>
      <c r="TA13" s="42">
        <f>IF($CP13="P",CD13,(CD13+BC13)/2)</f>
        <v>14.465</v>
      </c>
      <c r="TB13" s="42">
        <f>IF($CP13="P",CE13,(CE13+BD13)/2)</f>
        <v>0.1</v>
      </c>
      <c r="TC13" s="42">
        <f>IF($CP13="P",CF13,(CF13+BE13)/2)</f>
        <v>6.95</v>
      </c>
      <c r="TD13" s="42">
        <f>IF($CP13="P",CG13,(CG13+BF13)/2)</f>
        <v>4.55</v>
      </c>
      <c r="TE13" s="42">
        <f>IF($CP13="P",CH13,(CH13+BG13)/2)</f>
        <v>6.25</v>
      </c>
      <c r="TF13" s="42">
        <f>IF($CP13="P",CI13,(CI13+BH13)/2)</f>
        <v>7.4550000000000001</v>
      </c>
      <c r="TG13" s="42">
        <f>IF($CP13="P",CJ13,(CJ13+BI13)/2)</f>
        <v>0.5</v>
      </c>
      <c r="TH13" s="42">
        <f>IF($CP13="P",CK13,(CK13+BJ13)/2)</f>
        <v>10.8</v>
      </c>
      <c r="TI13" s="42">
        <f>IF($CP13="P",CL13,(CL13+BK13)/2)</f>
        <v>6.0500000000000007</v>
      </c>
      <c r="TJ13" s="42">
        <f>IF($CP13="P",CM13,(CM13+BL13)/2)</f>
        <v>9.5500000000000007</v>
      </c>
      <c r="TK13" s="42">
        <f>IF($CP13="P",CN13,(CN13+BM13)/2)</f>
        <v>10.4475</v>
      </c>
      <c r="TL13" s="42">
        <f>IF($CP13="P",CO13,(CO13+BN13)/2)</f>
        <v>0</v>
      </c>
      <c r="TM13" s="51" t="s">
        <v>61</v>
      </c>
      <c r="TN13" s="76">
        <f>IF(SZ13&gt;0,SZ13,"")</f>
        <v>13</v>
      </c>
      <c r="TO13" s="76">
        <f>IF(TA13&gt;0,TA13,"")</f>
        <v>14.465</v>
      </c>
      <c r="TP13" s="76">
        <f>IF(SUM(SX13:TA13)-TB13&gt;0,SUM(SX13:TA13)-TB13,"")</f>
        <v>52.065000000000005</v>
      </c>
      <c r="TQ13" s="76">
        <f>IF(TE13&gt;0,TE13,"")</f>
        <v>6.25</v>
      </c>
      <c r="TR13" s="76">
        <f>IF(TF13&gt;0,TF13,"")</f>
        <v>7.4550000000000001</v>
      </c>
      <c r="TS13" s="76">
        <f>IF(SUM(TC13:TF13)-TG13&gt;0,SUM(TC13:TF13)-TG13,"")</f>
        <v>24.704999999999998</v>
      </c>
      <c r="TT13" s="76">
        <f>IF(MAX(TP13,TS13)&gt;0,MAX(TP13,TS13),"")</f>
        <v>52.065000000000005</v>
      </c>
      <c r="TU13" s="76">
        <f>IF(TJ13&gt;0,TJ13,"")</f>
        <v>9.5500000000000007</v>
      </c>
      <c r="TV13" s="76">
        <f>IF(TK13&gt;0,TK13,"")</f>
        <v>10.4475</v>
      </c>
      <c r="TW13" s="76">
        <f>IF(SUM(TH13:TK13)-TL13&gt;0,SUM(TH13:TK13)-TL13,"")</f>
        <v>36.847500000000004</v>
      </c>
      <c r="TX13" s="76">
        <f>IF(SUM(TT13,TW13)&gt;0,SUM(TT13,TW13),"")</f>
        <v>88.912500000000009</v>
      </c>
    </row>
    <row r="14" spans="1:544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>SUM(J14:V14)+SUM(J14:T14)*0.0000001+SUM(J14)*0.0000000000001</f>
        <v>217.17002171700526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Z14&gt;=EM$25,DZ14&lt;&gt;"",EB14&gt;=EM$29,EB14&lt;&gt;""),AND(EC14&gt;=EM$25,EC14&lt;&gt;"",EE14&gt;=EM$29,EE14&lt;&gt;""),AND(EG14&gt;=EM$25,EG14&lt;&gt;"",EI14&gt;=EM$29,EI14&lt;&gt;""),AND(EJ14&gt;=EM$25,EJ14&lt;&gt;"",EL14&gt;=EM$29,EL14&lt;&gt;""),AND(FH14&gt;=FU$25,FH14&lt;&gt;"",FJ14&gt;=FU$29,FJ14&lt;&gt;""),AND(FK14&gt;=FU$25,FK14&lt;&gt;"",FM14&gt;=FU$29,FM14&lt;&gt;""),AND(FO14&gt;=FU$25,FO14&lt;&gt;"",FQ14&gt;=FU$29,FQ14&lt;&gt;""),AND(FR14&gt;=FU$25,FR14&lt;&gt;"",FT14&gt;=FU$29,FT14&lt;&gt;""),AND(GP14&gt;=HC$25,GP14&lt;&gt;"",GR14&gt;=HC$29,GR14&lt;&gt;""),AND(GS14&gt;=HC$25,GS14&lt;&gt;"",GU14&gt;=HC$29,GU14&lt;&gt;""),AND(GW14&gt;=HC$25,GW14&lt;&gt;"",GY14&gt;=HC$29,GY14&lt;&gt;""),AND(GZ14&gt;=HC$25,GZ14&lt;&gt;"",HB14&gt;=HC$29,HB14&lt;&gt;""),AND(HX14&gt;=IK$25,HX14&lt;&gt;"",HZ14&gt;=IK$29,HZ14&lt;&gt;""),AND(IA14&gt;=IK$25,IA14&lt;&gt;"",IC14&gt;=IK$29,IC14&lt;&gt;""),AND(IE14&gt;=IK$25,IE14&lt;&gt;"",IG14&gt;=IK$29,IG14&lt;&gt;""),AND(IH14&gt;=IK$25,IH14&lt;&gt;"",IJ14&gt;=IK$29,IJ14&lt;&gt;""),AND(JF14&gt;=JS$25,JF14&lt;&gt;"",JH14&gt;=JS$29,JH14&lt;&gt;""),AND(JI14&gt;=JS$25,JI14&lt;&gt;"",JK14&gt;=JS$29,JK14&lt;&gt;""),AND(JM14&gt;=JS$25,JM14&lt;&gt;"",JO14&gt;=JS$29,JO14&lt;&gt;""),AND(JP14&gt;=JS$25,JP14&lt;&gt;"",JR14&gt;=JS$29,JR14&lt;&gt;""),AND(KN14&gt;=LA$25,KN14&lt;&gt;"",KP14&gt;=LA$29,KP14&lt;&gt;""),AND(KQ14&gt;=LA$25,KQ14&lt;&gt;"",KS14&gt;=LA$29,KS14&lt;&gt;""),AND(KU14&gt;=LA$25,KU14&lt;&gt;"",KW14&gt;=LA$29,KW14&lt;&gt;""),AND(KX14&gt;=LA$25,KX14&lt;&gt;"",KZ14&gt;=LA$29,KZ14&lt;&gt;""),AND(LV14&gt;=MI$25,LV14&lt;&gt;"",LX14&gt;=MI$29,LX14&lt;&gt;""),AND(LY14&gt;=MI$25,LY14&lt;&gt;"",MA14&gt;=MI$29,MA14&lt;&gt;""),AND(MC14&gt;=MI$25,MC14&lt;&gt;"",ME14&gt;=MI$29,ME14&lt;&gt;""),AND(MF14&gt;=MI$25,MF14&lt;&gt;"",MH14&gt;=MI$29,MH14&lt;&gt;""),AND(ND14&gt;=NQ$25,ND14&lt;&gt;"",NF14&gt;=NQ$29,NF14&lt;&gt;""),AND(NG14&gt;=NQ$25,NG14&lt;&gt;"",NI14&gt;=NQ$29,NI14&lt;&gt;""),AND(NK14&gt;=NQ$25,NK14&lt;&gt;"",NM14&gt;=NQ$29,NM14&lt;&gt;""),AND(NN14&gt;=NQ$25,NN14&lt;&gt;"",NP14&gt;=NQ$29,NP14&lt;&gt;""),AND(OL14&gt;=OY$25,OL14&lt;&gt;"",ON14&gt;=OY$29,ON14&lt;&gt;""),AND(OO14&gt;=OY$25,OO14&lt;&gt;"",OQ14&gt;=OY$29,OQ14&lt;&gt;""),AND(OS14&gt;=OY$25,OS14&lt;&gt;"",OU14&gt;=OY$29,OU14&lt;&gt;""),AND(OV14&gt;=OY$25,OV14&lt;&gt;"",OX14&gt;=OY$29,OX14&lt;&gt;""),AND(PT14&gt;=QG$25,PT14&lt;&gt;"",PV14&gt;=QG$29,PV14&lt;&gt;""),AND(PW14&gt;=QG$25,PW14&lt;&gt;"",PY14&gt;=QG$29,PY14&lt;&gt;""),AND(QA14&gt;=QG$25,QA14&lt;&gt;"",QC14&gt;=QG$29,QC14&lt;&gt;""),AND(QD14&gt;=QG$25,QD14&lt;&gt;"",QF14&gt;=QG$29,QF14&lt;&gt;""),AND(RB14&gt;=RO$25,RB14&lt;&gt;"",RD14&gt;=RO$29,RD14&lt;&gt;""),AND(RE14&gt;=RO$25,RE14&lt;&gt;"",RG14&gt;=RO$29,RG14&lt;&gt;""),AND(RI14&gt;=RO$25,RI14&lt;&gt;"",RK14&gt;=RO$29,RK14&lt;&gt;""),AND(RL14&gt;=RO$25,RL14&lt;&gt;"",RN14&gt;=RO$29,RN14&lt;&gt;""),AND(SJ14&gt;=SW$25,SJ14&lt;&gt;"",SL14&gt;=SW$29,SL14&lt;&gt;""),AND(SM14&gt;=SW$25,SM14&lt;&gt;"",SO14&gt;=SW$29,SO14&lt;&gt;""),AND(SQ14&gt;=SW$25,SQ14&lt;&gt;"",SS14&gt;=SW$29,SS14&lt;&gt;""),AND(ST14&gt;=SW$25,ST14&lt;&gt;"",SV14&gt;=SW$29,SV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EB14&gt;=EM$29,EB14&lt;&gt;""),AND(EE14&gt;=EM$29,EE14&lt;&gt;""),AND(EI14&gt;=EM$29,EI14&lt;&gt;""),AND(EL14&gt;=EM$29,EL14&lt;&gt;""),AND(FJ14&gt;=FU$29,FJ14&lt;&gt;""),AND(FM14&gt;=FU$29,FM14&lt;&gt;""),AND(FQ14&gt;=FU$29,FQ14&lt;&gt;""),AND(FT14&gt;=FU$29,FT14&lt;&gt;""),AND(GR14&gt;=HC$29,GR14&lt;&gt;""),AND(GU14&gt;=HC$29,GU14&lt;&gt;""),AND(GY14&gt;=HC$29,GY14&lt;&gt;""),AND(HB14&gt;=HC$29,HB14&lt;&gt;""),AND(HZ14&gt;=IK$29,HZ14&lt;&gt;""),AND(IC14&gt;=IK$29,IC14&lt;&gt;""),AND(IG14&gt;=IK$29,IG14&lt;&gt;""),AND(IJ14&gt;=IK$29,IJ14&lt;&gt;""),AND(JH14&gt;=JS$29,JH14&lt;&gt;""),AND(JK14&gt;=JS$29,JK14&lt;&gt;""),AND(JO14&gt;=JS$29,JO14&lt;&gt;""),AND(JR14&gt;=JS$29,JR14&lt;&gt;""),AND(KP14&gt;=LA$29,KP14&lt;&gt;""),AND(KS14&gt;=LA$29,KS14&lt;&gt;""),AND(KW14&gt;=LA$29,KW14&lt;&gt;""),AND(KZ14&gt;=LA$29,KZ14&lt;&gt;""),AND(LX14&gt;=MI$29,LX14&lt;&gt;""),AND(MA14&gt;=MI$29,MA14&lt;&gt;""),AND(ME14&gt;=MI$29,ME14&lt;&gt;""),AND(MH14&gt;=MI$29,MH14&lt;&gt;""),AND(NF14&gt;=NQ$29,NF14&lt;&gt;""),AND(NI14&gt;=NQ$29,NI14&lt;&gt;""),AND(NM14&gt;=NQ$29,NM14&lt;&gt;""),AND(NP14&gt;=NQ$29,NP14&lt;&gt;""),AND(ON14&gt;=OY$29,ON14&lt;&gt;""),AND(OQ14&gt;=OY$29,OQ14&lt;&gt;""),AND(OU14&gt;=OY$29,OU14&lt;&gt;""),AND(OX14&gt;=OY$29,OX14&lt;&gt;""),AND(PV14&gt;=QG$29,PV14&lt;&gt;""),AND(PY14&gt;=QG$29,PY14&lt;&gt;""),AND(QC14&gt;=QG$29,QC14&lt;&gt;""),AND(QF14&gt;=QG$29,QF14&lt;&gt;""),AND(RD14&gt;=RO$29,RD14&lt;&gt;""),AND(RG14&gt;=RO$29,RG14&lt;&gt;""),AND(RK14&gt;=RO$29,RK14&lt;&gt;""),AND(RN14&gt;=RO$29,RN14&lt;&gt;""),AND(SL14&gt;=SW$29,SL14&lt;&gt;""),AND(SO14&gt;=SW$29,SO14&lt;&gt;""),AND(SS14&gt;=SW$29,SS14&lt;&gt;""),AND(SV14&gt;=SW$29,SV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Z14&gt;=EM$28,DZ14&lt;&gt;"",EB14&gt;=EM$32,EB14&lt;&gt;""),AND(EC14&gt;=EM$28,EC14&lt;&gt;"",EE14&gt;=EM$32,EE14&lt;&gt;""),AND(EG14&gt;=EM$28,EG14&lt;&gt;"",EI14&gt;=EM$32,EI14&lt;&gt;""),AND(EJ14&gt;=EM$28,EJ14&lt;&gt;"",EL14&gt;=EM$32,EL14&lt;&gt;""),AND(FH14&gt;=FU$28,FH14&lt;&gt;"",FJ14&gt;=FU$32,FJ14&lt;&gt;""),AND(FK14&gt;=FU$28,FK14&lt;&gt;"",FM14&gt;=FU$32,FM14&lt;&gt;""),AND(FO14&gt;=FU$28,FO14&lt;&gt;"",FQ14&gt;=FU$32,FQ14&lt;&gt;""),AND(FR14&gt;=FU$28,FR14&lt;&gt;"",FT14&gt;=FU$32,FT14&lt;&gt;""),AND(GP14&gt;=HC$28,GP14&lt;&gt;"",GR14&gt;=HC$32,GR14&lt;&gt;""),AND(GS14&gt;=HC$28,GS14&lt;&gt;"",GU14&gt;=HC$32,GU14&lt;&gt;""),AND(GW14&gt;=HC$28,GW14&lt;&gt;"",GY14&gt;=HC$32,GY14&lt;&gt;""),AND(GZ14&gt;=HC$28,GZ14&lt;&gt;"",HB14&gt;=HC$32,HB14&lt;&gt;""),AND(HX14&gt;=IK$28,HX14&lt;&gt;"",HZ14&gt;=IK$32,HZ14&lt;&gt;""),AND(IA14&gt;=IK$28,IA14&lt;&gt;"",IC14&gt;=IK$32,IC14&lt;&gt;""),AND(IE14&gt;=IK$28,IE14&lt;&gt;"",IG14&gt;=IK$32,IG14&lt;&gt;""),AND(IH14&gt;=IK$28,IH14&lt;&gt;"",IJ14&gt;=IK$32,IJ14&lt;&gt;""),AND(JF14&gt;=JS$28,JF14&lt;&gt;"",JH14&gt;=JS$32,JH14&lt;&gt;""),AND(JI14&gt;=JS$28,JI14&lt;&gt;"",JK14&gt;=JS$32,JK14&lt;&gt;""),AND(JM14&gt;=JS$28,JM14&lt;&gt;"",JO14&gt;=JS$32,JO14&lt;&gt;""),AND(JP14&gt;=JS$28,JP14&lt;&gt;"",JR14&gt;=JS$32,JR14&lt;&gt;""),AND(KN14&gt;=LA$28,KN14&lt;&gt;"",KP14&gt;=LA$32,KP14&lt;&gt;""),AND(KQ14&gt;=LA$28,KQ14&lt;&gt;"",KS14&gt;=LA$32,KS14&lt;&gt;""),AND(KU14&gt;=LA$28,KU14&lt;&gt;"",KW14&gt;=LA$32,KW14&lt;&gt;""),AND(KX14&gt;=LA$28,KX14&lt;&gt;"",KZ14&gt;=LA$32,KZ14&lt;&gt;""),AND(LV14&gt;=MI$28,LV14&lt;&gt;"",LX14&gt;=MI$32,LX14&lt;&gt;""),AND(LY14&gt;=MI$28,LY14&lt;&gt;"",MA14&gt;=MI$32,MA14&lt;&gt;""),AND(MC14&gt;=MI$28,MC14&lt;&gt;"",ME14&gt;=MI$32,ME14&lt;&gt;""),AND(MF14&gt;=MI$28,MF14&lt;&gt;"",MH14&gt;=MI$32,MH14&lt;&gt;""),AND(ND14&gt;=NQ$28,ND14&lt;&gt;"",NF14&gt;=NQ$32,NF14&lt;&gt;""),AND(NG14&gt;=NQ$28,NG14&lt;&gt;"",NI14&gt;=NQ$32,NI14&lt;&gt;""),AND(NK14&gt;=NQ$28,NK14&lt;&gt;"",NM14&gt;=NQ$32,NM14&lt;&gt;""),AND(NN14&gt;=NQ$28,NN14&lt;&gt;"",NP14&gt;=NQ$32,NP14&lt;&gt;""),AND(OL14&gt;=OY$28,OL14&lt;&gt;"",ON14&gt;=OY$32,ON14&lt;&gt;""),AND(OO14&gt;=OY$28,OO14&lt;&gt;"",OQ14&gt;=OY$32,OQ14&lt;&gt;""),AND(OS14&gt;=OY$28,OS14&lt;&gt;"",OU14&gt;=OY$32,OU14&lt;&gt;""),AND(OV14&gt;=OY$28,OV14&lt;&gt;"",OX14&gt;=OY$32,OX14&lt;&gt;""),AND(PT14&gt;=QG$28,PT14&lt;&gt;"",PV14&gt;=QG$32,PV14&lt;&gt;""),AND(PW14&gt;=QG$28,PW14&lt;&gt;"",PY14&gt;=QG$32,PY14&lt;&gt;""),AND(QA14&gt;=QG$28,QA14&lt;&gt;"",QC14&gt;=QG$32,QC14&lt;&gt;""),AND(QD14&gt;=QG$28,QD14&lt;&gt;"",QF14&gt;=QG$32,QF14&lt;&gt;""),AND(RB14&gt;=RO$28,RB14&lt;&gt;"",RD14&gt;=RO$32,RD14&lt;&gt;""),AND(RE14&gt;=RO$28,RE14&lt;&gt;"",RG14&gt;=RO$32,RG14&lt;&gt;""),AND(RI14&gt;=RO$28,RI14&lt;&gt;"",RK14&gt;=RO$32,RK14&lt;&gt;""),AND(RL14&gt;=RO$28,RL14&lt;&gt;"",RN14&gt;=RO$32,RN14&lt;&gt;""),AND(SJ14&gt;=SW$28,SJ14&lt;&gt;"",SL14&gt;=SW$32,SL14&lt;&gt;""),AND(SM14&gt;=SW$28,SM14&lt;&gt;"",SO14&gt;=SW$32,SO14&lt;&gt;""),AND(SQ14&gt;=SW$28,SQ14&lt;&gt;"",SS14&gt;=SW$32,SS14&lt;&gt;""),AND(ST14&gt;=SW$28,ST14&lt;&gt;"",SV14&gt;=SW$32,SV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Z14&gt;=EM$27,DZ14&lt;&gt;"",EB14&gt;=EM$31,EB14&lt;&gt;""),AND(EC14&gt;=EM$27,EC14&lt;&gt;"",EE14&gt;=EM$31,EE14&lt;&gt;""),AND(EG14&gt;=EM$27,EG14&lt;&gt;"",EI14&gt;=EM$31,EI14&lt;&gt;""),AND(EJ14&gt;=EM$27,EJ14&lt;&gt;"",EL14&gt;=EM$31,EL14&lt;&gt;""),AND(FH14&gt;=FU$27,FH14&lt;&gt;"",FJ14&gt;=FU$31,FJ14&lt;&gt;""),AND(FK14&gt;=FU$27,FK14&lt;&gt;"",FM14&gt;=FU$31,FM14&lt;&gt;""),AND(FO14&gt;=FU$27,FO14&lt;&gt;"",FQ14&gt;=FU$31,FQ14&lt;&gt;""),AND(FR14&gt;=FU$27,FR14&lt;&gt;"",FT14&gt;=FU$31,FT14&lt;&gt;""),AND(GP14&gt;=HC$27,GP14&lt;&gt;"",GR14&gt;=HC$31,GR14&lt;&gt;""),AND(GS14&gt;=HC$27,GS14&lt;&gt;"",GU14&gt;=HC$31,GU14&lt;&gt;""),AND(GW14&gt;=HC$27,GW14&lt;&gt;"",GY14&gt;=HC$31,GY14&lt;&gt;""),AND(GZ14&gt;=HC$27,GZ14&lt;&gt;"",HB14&gt;=HC$31,HB14&lt;&gt;""),AND(HX14&gt;=IK$27,HX14&lt;&gt;"",HZ14&gt;=IK$31,HZ14&lt;&gt;""),AND(IA14&gt;=IK$27,IA14&lt;&gt;"",IC14&gt;=IK$31,IC14&lt;&gt;""),AND(IE14&gt;=IK$27,IE14&lt;&gt;"",IG14&gt;=IK$31,IG14&lt;&gt;""),AND(IH14&gt;=IK$27,IH14&lt;&gt;"",IJ14&gt;=IK$31,IJ14&lt;&gt;""),AND(JF14&gt;=JS$27,JF14&lt;&gt;"",JH14&gt;=JS$31,JH14&lt;&gt;""),AND(JI14&gt;=JS$27,JI14&lt;&gt;"",JK14&gt;=JS$31,JK14&lt;&gt;""),AND(JM14&gt;=JS$27,JM14&lt;&gt;"",JO14&gt;=JS$31,JO14&lt;&gt;""),AND(JP14&gt;=JS$27,JP14&lt;&gt;"",JR14&gt;=JS$31,JR14&lt;&gt;""),AND(KN14&gt;=LA$27,KN14&lt;&gt;"",KP14&gt;=LA$31,KP14&lt;&gt;""),AND(KQ14&gt;=LA$27,KQ14&lt;&gt;"",KS14&gt;=LA$31,KS14&lt;&gt;""),AND(KU14&gt;=LA$27,KU14&lt;&gt;"",KW14&gt;=LA$31,KW14&lt;&gt;""),AND(KX14&gt;=LA$27,KX14&lt;&gt;"",KZ14&gt;=LA$31,KZ14&lt;&gt;""),AND(LV14&gt;=MI$27,LV14&lt;&gt;"",LX14&gt;=MI$31,LX14&lt;&gt;""),AND(LY14&gt;=MI$27,LY14&lt;&gt;"",MA14&gt;=MI$31,MA14&lt;&gt;""),AND(MC14&gt;=MI$27,MC14&lt;&gt;"",ME14&gt;=MI$31,ME14&lt;&gt;""),AND(MF14&gt;=MI$27,MF14&lt;&gt;"",MH14&gt;=MI$31,MH14&lt;&gt;""),AND(ND14&gt;=NQ$27,ND14&lt;&gt;"",NF14&gt;=NQ$31,NF14&lt;&gt;""),AND(NG14&gt;=NQ$27,NG14&lt;&gt;"",NI14&gt;=NQ$31,NI14&lt;&gt;""),AND(NK14&gt;=NQ$27,NK14&lt;&gt;"",NM14&gt;=NQ$31,NM14&lt;&gt;""),AND(NN14&gt;=NQ$27,NN14&lt;&gt;"",NP14&gt;=NQ$31,NP14&lt;&gt;""),AND(OL14&gt;=OY$27,OL14&lt;&gt;"",ON14&gt;=OY$31,ON14&lt;&gt;""),AND(OO14&gt;=OY$27,OO14&lt;&gt;"",OQ14&gt;=OY$31,OQ14&lt;&gt;""),AND(OS14&gt;=OY$27,OS14&lt;&gt;"",OU14&gt;=OY$31,OU14&lt;&gt;""),AND(OV14&gt;=OY$27,OV14&lt;&gt;"",OX14&gt;=OY$31,OX14&lt;&gt;""),AND(PT14&gt;=QG$27,PT14&lt;&gt;"",PV14&gt;=QG$31,PV14&lt;&gt;""),AND(PW14&gt;=QG$27,PW14&lt;&gt;"",PY14&gt;=QG$31,PY14&lt;&gt;""),AND(QA14&gt;=QG$27,QA14&lt;&gt;"",QC14&gt;=QG$31,QC14&lt;&gt;""),AND(QD14&gt;=QG$27,QD14&lt;&gt;"",QF14&gt;=QG$31,QF14&lt;&gt;""),AND(RB14&gt;=RO$27,RB14&lt;&gt;"",RD14&gt;=RO$31,RD14&lt;&gt;""),AND(RE14&gt;=RO$27,RE14&lt;&gt;"",RG14&gt;=RO$31,RG14&lt;&gt;""),AND(RI14&gt;=RO$27,RI14&lt;&gt;"",RK14&gt;=RO$31,RK14&lt;&gt;""),AND(RL14&gt;=RO$27,RL14&lt;&gt;"",RN14&gt;=RO$31,RN14&lt;&gt;""),AND(SJ14&gt;=SW$27,SJ14&lt;&gt;"",SL14&gt;=SW$31,SL14&lt;&gt;""),AND(SM14&gt;=SW$27,SM14&lt;&gt;"",SO14&gt;=SW$31,SO14&lt;&gt;""),AND(SQ14&gt;=SW$27,SQ14&lt;&gt;"",SS14&gt;=SW$31,SS14&lt;&gt;""),AND(ST14&gt;=SW$27,ST14&lt;&gt;"",SV14&gt;=SW$31,SV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Z14&gt;=EM$26,DZ14&lt;&gt;"",EB14&gt;=EM$30,EB14&lt;&gt;""),AND(EC14&gt;=EM$26,EC14&lt;&gt;"",EE14&gt;=EM$30,EE14&lt;&gt;""),AND(EG14&gt;=EM$26,EG14&lt;&gt;"",EI14&gt;=EM$30,EI14&lt;&gt;""),AND(EJ14&gt;=EM$26,EJ14&lt;&gt;"",EL14&gt;=EM$30,EL14&lt;&gt;""),AND(FH14&gt;=FU$26,FH14&lt;&gt;"",FJ14&gt;=FU$30,FJ14&lt;&gt;""),AND(FK14&gt;=FU$26,FK14&lt;&gt;"",FM14&gt;=FU$30,FM14&lt;&gt;""),AND(FO14&gt;=FU$26,FO14&lt;&gt;"",FQ14&gt;=FU$30,FQ14&lt;&gt;""),AND(FR14&gt;=FU$26,FR14&lt;&gt;"",FT14&gt;=FU$30,FT14&lt;&gt;""),AND(GP14&gt;=HC$26,GP14&lt;&gt;"",GR14&gt;=HC$30,GR14&lt;&gt;""),AND(GS14&gt;=HC$26,GS14&lt;&gt;"",GU14&gt;=HC$30,GU14&lt;&gt;""),AND(GW14&gt;=HC$26,GW14&lt;&gt;"",GY14&gt;=HC$30,GY14&lt;&gt;""),AND(GZ14&gt;=HC$26,GZ14&lt;&gt;"",HB14&gt;=HC$30,HB14&lt;&gt;""),AND(HX14&gt;=IK$26,HX14&lt;&gt;"",HZ14&gt;=IK$30,HZ14&lt;&gt;""),AND(IA14&gt;=IK$26,IA14&lt;&gt;"",IC14&gt;=IK$30,IC14&lt;&gt;""),AND(IE14&gt;=IK$26,IE14&lt;&gt;"",IG14&gt;=IK$30,IG14&lt;&gt;""),AND(IH14&gt;=IK$26,IH14&lt;&gt;"",IJ14&gt;=IK$30,IJ14&lt;&gt;""),AND(JF14&gt;=JS$26,JF14&lt;&gt;"",JH14&gt;=JS$30,JH14&lt;&gt;""),AND(JI14&gt;=JS$26,JI14&lt;&gt;"",JK14&gt;=JS$30,JK14&lt;&gt;""),AND(JM14&gt;=JS$26,JM14&lt;&gt;"",JO14&gt;=JS$30,JO14&lt;&gt;""),AND(JP14&gt;=JS$26,JP14&lt;&gt;"",JR14&gt;=JS$30,JR14&lt;&gt;""),AND(KN14&gt;=LA$26,KN14&lt;&gt;"",KP14&gt;=LA$30,KP14&lt;&gt;""),AND(KQ14&gt;=LA$26,KQ14&lt;&gt;"",KS14&gt;=LA$30,KS14&lt;&gt;""),AND(KU14&gt;=LA$26,KU14&lt;&gt;"",KW14&gt;=LA$30,KW14&lt;&gt;""),AND(KX14&gt;=LA$26,KX14&lt;&gt;"",KZ14&gt;=LA$30,KZ14&lt;&gt;""),AND(LV14&gt;=MI$26,LV14&lt;&gt;"",LX14&gt;=MI$30,LX14&lt;&gt;""),AND(LY14&gt;=MI$26,LY14&lt;&gt;"",MA14&gt;=MI$30,MA14&lt;&gt;""),AND(MC14&gt;=MI$26,MC14&lt;&gt;"",ME14&gt;=MI$30,ME14&lt;&gt;""),AND(MF14&gt;=MI$26,MF14&lt;&gt;"",MH14&gt;=MI$30,MH14&lt;&gt;""),AND(ND14&gt;=NQ$26,ND14&lt;&gt;"",NF14&gt;=NQ$30,NF14&lt;&gt;""),AND(NG14&gt;=NQ$26,NG14&lt;&gt;"",NI14&gt;=NQ$30,NI14&lt;&gt;""),AND(NK14&gt;=NQ$26,NK14&lt;&gt;"",NM14&gt;=NQ$30,NM14&lt;&gt;""),AND(NN14&gt;=NQ$26,NN14&lt;&gt;"",NP14&gt;=NQ$30,NP14&lt;&gt;""),AND(OL14&gt;=OY$26,OL14&lt;&gt;"",ON14&gt;=OY$30,ON14&lt;&gt;""),AND(OO14&gt;=OY$26,OO14&lt;&gt;"",OQ14&gt;=OY$30,OQ14&lt;&gt;""),AND(OS14&gt;=OY$26,OS14&lt;&gt;"",OU14&gt;=OY$30,OU14&lt;&gt;""),AND(OV14&gt;=OY$26,OV14&lt;&gt;"",OX14&gt;=OY$30,OX14&lt;&gt;""),AND(PT14&gt;=QG$26,PT14&lt;&gt;"",PV14&gt;=QG$30,PV14&lt;&gt;""),AND(PW14&gt;=QG$26,PW14&lt;&gt;"",PY14&gt;=QG$30,PY14&lt;&gt;""),AND(QA14&gt;=QG$26,QA14&lt;&gt;"",QC14&gt;=QG$30,QC14&lt;&gt;""),AND(QD14&gt;=QG$26,QD14&lt;&gt;"",QF14&gt;=QG$30,QF14&lt;&gt;""),AND(RB14&gt;=RO$26,RB14&lt;&gt;"",RD14&gt;=RO$30,RD14&lt;&gt;""),AND(RE14&gt;=RO$26,RE14&lt;&gt;"",RG14&gt;=RO$30,RG14&lt;&gt;""),AND(RI14&gt;=RO$26,RI14&lt;&gt;"",RK14&gt;=RO$30,RK14&lt;&gt;""),AND(RL14&gt;=RO$26,RL14&lt;&gt;"",RN14&gt;=RO$30,RN14&lt;&gt;""),AND(SJ14&gt;=SW$26,SJ14&lt;&gt;"",SL14&gt;=SW$30,SL14&lt;&gt;""),AND(SM14&gt;=SW$26,SM14&lt;&gt;"",SO14&gt;=SW$30,SO14&lt;&gt;""),AND(SQ14&gt;=SW$26,SQ14&lt;&gt;"",SS14&gt;=SW$30,SS14&lt;&gt;""),AND(ST14&gt;=SW$26,ST14&lt;&gt;"",SV14&gt;=SW$30,SV14&lt;&gt;"")),"P","")</f>
        <v/>
      </c>
      <c r="J14" s="13">
        <f>IF(COUNT(AQ14,AT14,BR14,BU14,CS14,CV14)&gt;0,LARGE((AQ14,AT14,BR14,BU14,CS14,CV14),1),0)</f>
        <v>52.464999999999996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49.515000000000001</v>
      </c>
      <c r="M14" s="13" t="str">
        <f>IF(L14="","",IF(OR(L14=CS14,L14=CV14),$CA$1,IF(OR(L14=BR14,L14=BU14),$AZ$1,IF(OR(L14=AQ14,L14=AT14),$Y$1,""))))</f>
        <v>2021 Elite Canada</v>
      </c>
      <c r="N14" s="13">
        <f>IF(COUNT(AQ14,AT14,BR14,BU14,CS14,CV14)&gt;2,LARGE((AQ14,AT14,BR14,BU14,CS14,CV14),3),0)</f>
        <v>48.969999999999992</v>
      </c>
      <c r="O14" s="13" t="str">
        <f>IF(N14="","",IF(OR(N14=CS14,N14=CV14),$CA$1,IF(OR(N14=BR14,N14=BU14),$AZ$1,IF(OR(N14=AQ14,N14=AT14),$Y$1,""))))</f>
        <v>2022 Elite Canada</v>
      </c>
      <c r="P14" s="13">
        <f>IF(MAX(AX14,BY14,CZ14)&gt;0,MAX(AX14,BY14,CZ14),0)</f>
        <v>52.419999999999995</v>
      </c>
      <c r="Q14" s="13" t="str">
        <f>IF(P14="","",IF(P14=CZ14,$CA$1,IF(P14=BY14,$AZ$1,IF(P14=AX14,$Y$1,""))))</f>
        <v>2021 Elite Canada</v>
      </c>
      <c r="R14" s="13">
        <f>IF(MAX(AO14,AR14,AV14,BP14,BS14,BW14,CQ14,CT14,CX14)&gt;0,MAX(AO14,AR14,BP14,BS14,CQ14,CT14,AV14),0)</f>
        <v>13.8</v>
      </c>
      <c r="S14" s="13" t="str">
        <f>IF(R14=0,"",IF(OR(R14=CQ14,R14=CT14,R14=CX14),$CA$1,IF(OR(R14=BP14,R14=BS14,R14=BW14),$AZ$1,IF(OR(R14=AO14,R14=AR14,R14=AV14),$Y$1,""))))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),0)</f>
        <v>0</v>
      </c>
      <c r="U14" s="13" t="str">
        <f>IF(T14=0,"",IF(OR(T14=CR14,T14=CU14,T14=CY14),$CA$1,IF(OR(T14=BQ14,T14=BT14,T14=BX14),$AZ$1,IF(OR(T14=AP14,T14=AS14,T14=AW14),$Y$1,""))))</f>
        <v/>
      </c>
      <c r="V14" s="13" t="str">
        <f>IF(MAX(DB14,DC14,DD14,DE14)&gt;0,MAX(DB14,DC14,DD14,DE14),"")</f>
        <v/>
      </c>
      <c r="W14" s="16" t="str">
        <f>IF(V14="","",IF(V14=DB14,"("&amp;DB$2&amp;")",IF(V14=DC14,"("&amp;DC$2&amp;")",IF(V14=DD14,"("&amp;DD$2&amp;")",IF(V14=DE14,"("&amp;DE$2&amp;")")))))</f>
        <v/>
      </c>
      <c r="X14" s="13" t="str">
        <f>IF(V14="","",IF(V14=DB14,IF(V14+IF(L14="",0,L14)=SP14,$RP$1,IF(V14+IF(L14="",0,L14)=RH14,$QH$1,IF(V14+IF(L14="",0,L14)=PZ14,$OZ$1,IF(V14+IF(L14="",0,L14)=OR14,$NR$1,IF(V14+IF(L14="",0,L14)=NJ14,$MJ$1,IF(V14+IF(L14="",0,L14)=MB14,$LB$1,IF(V14+IF(L14="",0,L14)=KT14,$JT$1,IF(V14+IF(L14="",0,L14)=JL14,$IL$1,IF(V14+IF(L14="",0,L14)=ID14,$HD$1,IF(V14+IF(L14="",0,L14)=GV14,$FV$1,IF(V14+IF(L14="",0,L14)=FN14,$EN$1,IF(V14+IF(L14="",0,L14)=EF14,$DF$1)))))))))))),IF(V14=DC14,IF(V14+IF(P14="",0,P14)=SV14,$RP$1,IF(V14+IF(P14="",0,P14)=RN14,$QH$1,IF(V14+IF(P14="",0,P14)=QF14,$OZ$1,IF(V14+IF(P14="",0,P14)=OX14,$NR$1,IF(V14+IF(P14="",0,P14)=NP14,$MJ$1,IF(V14+IF(P14="",0,P14)=MH14,$LB$1,IF(V14+IF(P14="",0,P14)=KZ14,$JT$1,IF(V14+IF(P14="",0,P14)=JR14,$IL$1,IF(V14+IF(P14="",0,P14)=IJ14,$HD$1,IF(V14+IF(P14="",0,P14)=HB14,$FV$1,IF(V14+IF(P14="",0,P14)=FT14,$EN$1,IF(V14+IF(P14="",0,P14)=EL14,$DF$1)))))))))))),IF(V14=DD14,IF(V14+IF(R14="",0,R14)=MAX(SJ14,SM14,SQ14,ST14),$RP$1,IF(V14+IF(R14="",0,R14)=MAX(RB14,RE14,RI14,RL14),$QH$1,IF(V14+IF(R14="",0,R14)=MAX(PT14,PW14,QA14,QD14),$OZ$1,IF(V14+IF(R14="",0,R14)=MAX(OL14,OO14,OS14,OV14),$NR$1,IF(V14+IF(R14="",0,R14)=MAX(ND14,NG14,NK14,NN14),$MJ$1,IF(V14+IF(R14="",0,R14)=MAX(LV14,LY14,MC14,MF14),$LB$1,IF(V14+IF(R14="",0,R14)=MAX(KN14,KQ14,KU14,KX14),$JT$1,IF(V14+IF(R14="",0,R14)=MAX(JF14,JI14,JM14,JP14),$IL$1,IF(V14+IF(R14="",0,R14)=MAX(HX14,IA14,IE14,IH14),$HD$1,IF(V14+IF(R14="",0,R14)=MAX(GP14,GS14,GW14,GZ14),$FV$1,IF(V14+IF(R14="",0,R14)=MAX(FH14,FK14,FO14,FR14),$EN$1,IF(V14+IF(R14="",0,R14)=MAX(DZ14,EC14,EG14,EJ14),$DF$1)))))))))))),IF(V14=DE14,IF(V14+IF(T14="",0,T14)=MAX(SK14,SN14,SR14,SU14),$RP$1,IF(V14+IF(T14="",0,T14)=MAX(RC14,RF14,RJ14,RM14),$QH$1,IF(V14+IF(T14="",0,T14)=MAX(PU14,PX14,QB14,QE14),$OZ$1,IF(V14+IF(T14="",0,T14)=MAX(OM14,OP14,OT14,OW14),$NR$1,IF(V14+IF(T14="",0,T14)=MAX(NE14,NH14,NL14,NO14),$MJ$1,IF(V14+IF(T14="",0,T14)=MAX(LW14,LZ14,MD14,MG14),$LB$1,IF(V14+IF(T14="",0,T14)=MAX(KO14,KR14,KV14,KY14),$JT$1,IF(V14+IF(T14="",0,T14)=MAX(JG14,JJ14,JN14,JQ14),$IL$1,IF(V14+IF(T14="",0,T14)=MAX(HY14,IB14,IF14,II14),$HD$1,IF(V14+IF(T14="",0,T14)=MAX(GQ14,GT14,GX14,HA14),$FV$1,IF(V14+IF(T14="",0,T14)=MAX(FI14,FL14,FP14,FS14),$EN$1,IF(V14+IF(T14="",0,T14)=MAX(EA14,ED14,EH14,EK14),$DF$1)))))))))))))))))</f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>IF(AA14&gt;0,AA14,"")</f>
        <v>11.8</v>
      </c>
      <c r="AP14" s="74">
        <f>IF(AB14&gt;0,AB14,"")</f>
        <v>15.215</v>
      </c>
      <c r="AQ14" s="76">
        <f>IF(SUM(Y14:AB14)-AC14&gt;0,SUM(Y14:AB14)-AC14,"")</f>
        <v>49.515000000000001</v>
      </c>
      <c r="AR14" s="76">
        <f>IF(AF14&gt;0,AF14,"")</f>
        <v>9.1999999999999993</v>
      </c>
      <c r="AS14" s="76">
        <f>IF(AG14&gt;0,AG14,"")</f>
        <v>10.7</v>
      </c>
      <c r="AT14" s="76">
        <f>IF(SUM(AD14:AG14)-AH14&gt;0,SUM(AD14:AG14)-AH14,"")</f>
        <v>37</v>
      </c>
      <c r="AU14" s="76">
        <f>IF(AQ14="","",MAX(AQ14,AT14))</f>
        <v>49.515000000000001</v>
      </c>
      <c r="AV14" s="76">
        <f>IF(AK14&gt;0,AK14,"")</f>
        <v>13.3</v>
      </c>
      <c r="AW14" s="76">
        <f>IF(AL14&gt;0,AL14,"")</f>
        <v>15.62</v>
      </c>
      <c r="AX14" s="76">
        <f>IF(SUM(AI14:AL14)-AM14&gt;0,SUM(AI14:AL14)-AM14,"")</f>
        <v>52.419999999999995</v>
      </c>
      <c r="AY14" s="76">
        <f>IF(SUM(AU14,AX14)&gt;0,SUM(AU14,AX14),"")</f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>IF(BB14&gt;0,BB14,"")</f>
        <v>4.5999999999999996</v>
      </c>
      <c r="BQ14" s="75">
        <f>IF(BC14&gt;0,BC14,"")</f>
        <v>4.8250000000000002</v>
      </c>
      <c r="BR14" s="16">
        <f>IF(SUM(AZ14:BC14)-BD14&gt;0,SUM(AZ14:BC14)-BD14,"")</f>
        <v>16.324999999999999</v>
      </c>
      <c r="BS14" s="16">
        <f>IF(BG14&gt;0,BG14,"")</f>
        <v>3.1</v>
      </c>
      <c r="BT14" s="16">
        <f>IF(BH14&gt;0,BH14,"")</f>
        <v>3.28</v>
      </c>
      <c r="BU14" s="16">
        <f>IF(SUM(BE14:BH14)-BI14&gt;0,SUM(BE14:BH14)-BI14,"")</f>
        <v>10.979999999999999</v>
      </c>
      <c r="BV14" s="16">
        <f>IF(BR14="","",MAX(BR14,BU14))</f>
        <v>16.324999999999999</v>
      </c>
      <c r="BW14" s="16" t="str">
        <f>IF(BL14&gt;0,BL14,"")</f>
        <v/>
      </c>
      <c r="BX14" s="16" t="str">
        <f>IF(BM14&gt;0,BM14,"")</f>
        <v/>
      </c>
      <c r="BY14" s="16" t="str">
        <f>IF(SUM(BJ14:BM14)-BN14&gt;0,SUM(BJ14:BM14)-BN14,"")</f>
        <v/>
      </c>
      <c r="BZ14" s="16">
        <f>IF(SUM(BV14,BY14)&gt;0,SUM(BV14,BY14),"")</f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>IF(CC14&gt;0,CC14,"")</f>
        <v>12.8</v>
      </c>
      <c r="CR14" s="74">
        <f>IF(CD14&gt;0,CD14,"")</f>
        <v>15.57</v>
      </c>
      <c r="CS14" s="76">
        <f>IF(SUM(CA14:CD14)-CE14&gt;0,SUM(CA14:CD14)-CE14,"")</f>
        <v>48.969999999999992</v>
      </c>
      <c r="CT14" s="76">
        <f>IF(CH14&gt;0,CH14,"")</f>
        <v>13.8</v>
      </c>
      <c r="CU14" s="76">
        <f>IF(CI14&gt;0,CI14,"")</f>
        <v>15.565</v>
      </c>
      <c r="CV14" s="76">
        <f>IF(SUM(CF14:CI14)-CJ14&gt;0,SUM(CF14:CI14)-CJ14,"")</f>
        <v>52.464999999999996</v>
      </c>
      <c r="CW14" s="76">
        <f>IF(CS14="","",MAX(CS14,CV14))</f>
        <v>52.464999999999996</v>
      </c>
      <c r="CX14" s="76">
        <f>IF(CM14&gt;0,CM14,"")</f>
        <v>3.4</v>
      </c>
      <c r="CY14" s="76">
        <f>IF(CN14&gt;0,CN14,"")</f>
        <v>3.33</v>
      </c>
      <c r="CZ14" s="76">
        <f>IF(SUM(CK14:CN14)-CO14&gt;0,SUM(CK14:CN14)-CO14,"")</f>
        <v>11.33</v>
      </c>
      <c r="DA14" s="76">
        <f>IF(SUM(CW14,CZ14)&gt;0,SUM(CW14,CZ14),"")</f>
        <v>63.794999999999995</v>
      </c>
      <c r="DB14" s="87" t="str">
        <f>IF(L14&gt;=0.001,IF(MAX(EF14,FN14,GV14,ID14,JL14,KT14,MB14,NJ14,OR14,PZ14,RH14,SP14)-IF(L14="",0,L14)&gt;0.001,MAX(EF14,FN14,GV14,ID14,JL14,KT14,MB14,NJ14,OR14,PZ14,RH14,SP14)-IF(L14="",0,L14),""),"")</f>
        <v/>
      </c>
      <c r="DC14" s="87" t="str">
        <f>IF(P14&gt;=0.001,IF(MAX(EI14,EL14,FQ14,FT14,GY14,HB14,IG14,IJ14,JO14,JR14,KW14,KZ14,ME14,MH14,NM14,NP14,OU14,OX14,QC14,QF14,RK14,RN14,SS14,SV14)-IF(P14="",0,P14)&gt;0.001,MAX(EI14,EL14,FQ14,FT14,GY14,HB14,IG14,IJ14,JO14,JR14,KW14,KZ14,ME14,MH14,NM14,NP14,OU14,OX14,QC14,QF14,RK14,RN14,SS14,SV14)-IF(P14="",0,P14),""),"")</f>
        <v/>
      </c>
      <c r="DD14" s="87" t="str">
        <f>IF(R14&gt;=0.001,IF(MAX(DZ14,EC14,EG14,EJ14,FH14,FK14,FO14,FR14,GP14,GS14,GW14,GZ14,HX14,IA14,IE14,IH14,JF14,JI14,JM14,JP14,KN14,KQ14,KU14,KX14,LV14,LY14,MC14,MF14,ND14,NG14,NK14,NN14,OL14,OO14,OS14,OV14,PT14,PW14,QA14,QD14,RB14,RE14,RI14,RL14,SJ14,SM14,SQ14,ST14)-IF(R14="",0,R14)&gt;0.001,MAX(DZ14,EC14,EG14,EJ14,FH14,FK14,FO14,FR14,GP14,GS14,GW14,GZ14,HX14,IA14,IE14,IH14,JF14,JI14,JM14,JP14,KN14,KQ14,KU14,KX14,LV14,LY14,MC14,MF14,ND14,NG14,NK14,NN14,OL14,OO14,OS14,OV14,PT14,PW14,QA14,QD14,RB14,RE14,RI14,RL14,SJ14,SM14,SQ14,ST14)-IF(R14="",0,R14),""),"")</f>
        <v/>
      </c>
      <c r="DE14" s="87" t="str">
        <f>IF(T14&gt;=0.001,IF(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&gt;0.001,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,""),"")</f>
        <v/>
      </c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76" t="str">
        <f>IF(DH14&gt;0,DH14,"")</f>
        <v/>
      </c>
      <c r="EA14" s="76" t="str">
        <f>IF(DI14&gt;0,DI14,"")</f>
        <v/>
      </c>
      <c r="EB14" s="76" t="str">
        <f>IF(SUM(DF14:DI14)-DJ14&gt;0,SUM(DF14:DI14)-DJ14,"")</f>
        <v/>
      </c>
      <c r="EC14" s="76" t="str">
        <f>IF(DM14&gt;0,DM14,"")</f>
        <v/>
      </c>
      <c r="ED14" s="76" t="str">
        <f>IF(DN14&gt;0,DN14,"")</f>
        <v/>
      </c>
      <c r="EE14" s="76" t="str">
        <f>IF(SUM(DK14:DN14)-DO14&gt;0,SUM(DK14:DN14)-DO14,"")</f>
        <v/>
      </c>
      <c r="EF14" s="76" t="str">
        <f>IF(MAX(EB14,EE14)&gt;0,MAX(EB14,EE14),"")</f>
        <v/>
      </c>
      <c r="EG14" s="76" t="str">
        <f>IF(DR14&gt;0,DR14,"")</f>
        <v/>
      </c>
      <c r="EH14" s="76" t="str">
        <f>IF(DS14&gt;0,DS14,"")</f>
        <v/>
      </c>
      <c r="EI14" s="76" t="str">
        <f>IF(SUM(DP14:DS14)-DT14&gt;0,SUM(DP14:DS14)-DT14,"")</f>
        <v/>
      </c>
      <c r="EJ14" s="76" t="str">
        <f>IF(DW14&gt;0,DW14,"")</f>
        <v/>
      </c>
      <c r="EK14" s="76" t="str">
        <f>IF(DX14&gt;0,DX14,"")</f>
        <v/>
      </c>
      <c r="EL14" s="76" t="str">
        <f>IF(SUM(DU14:DX14)-DY14&gt;0,SUM(DU14:DX14)-DY14,"")</f>
        <v/>
      </c>
      <c r="EM14" s="76" t="str">
        <f>IF(SUM(EF14,EL14)&gt;0,SUM(EF14,EL14),"")</f>
        <v/>
      </c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16" t="str">
        <f>IF(EP14&gt;0,EP14,"")</f>
        <v/>
      </c>
      <c r="FI14" s="16" t="str">
        <f>IF(EQ14&gt;0,EQ14,"")</f>
        <v/>
      </c>
      <c r="FJ14" s="16" t="str">
        <f>IF(SUM(EN14:EQ14)-ER14&gt;0,SUM(EN14:EQ14)-ER14,"")</f>
        <v/>
      </c>
      <c r="FK14" s="16" t="str">
        <f>IF(EU14&gt;0,EU14,"")</f>
        <v/>
      </c>
      <c r="FL14" s="16" t="str">
        <f>IF(EV14&gt;0,EV14,"")</f>
        <v/>
      </c>
      <c r="FM14" s="16" t="str">
        <f>IF(SUM(ES14:EV14)-EW14&gt;0,SUM(ES14:EV14)-EW14,"")</f>
        <v/>
      </c>
      <c r="FN14" s="16" t="str">
        <f>IF(MAX(FJ14,FM14)&gt;0,MAX(FJ14,FM14),"")</f>
        <v/>
      </c>
      <c r="FO14" s="16" t="str">
        <f>IF(EZ14&gt;0,EZ14,"")</f>
        <v/>
      </c>
      <c r="FP14" s="16" t="str">
        <f>IF(FA14&gt;0,FA14,"")</f>
        <v/>
      </c>
      <c r="FQ14" s="16" t="str">
        <f>IF(SUM(EX14:FA14)-FB14&gt;0,SUM(EX14:FA14)-FB14,"")</f>
        <v/>
      </c>
      <c r="FR14" s="16" t="str">
        <f>IF(FE14&gt;0,FE14,"")</f>
        <v/>
      </c>
      <c r="FS14" s="16" t="str">
        <f>IF(FF14&gt;0,FF14,"")</f>
        <v/>
      </c>
      <c r="FT14" s="16" t="str">
        <f>IF(SUM(FC14:FF14)-FG14&gt;0,SUM(FC14:FF14)-FG14,"")</f>
        <v/>
      </c>
      <c r="FU14" s="16" t="str">
        <f>IF(SUM(FN14,FT14)&gt;0,SUM(FN14,FT14),"")</f>
        <v/>
      </c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76" t="str">
        <f>IF(FX14&gt;0,FX14,"")</f>
        <v/>
      </c>
      <c r="GQ14" s="76" t="str">
        <f>IF(FY14&gt;0,FY14,"")</f>
        <v/>
      </c>
      <c r="GR14" s="76" t="str">
        <f>IF(SUM(FV14:FY14)-FZ14&gt;0,SUM(FV14:FY14)-FZ14,"")</f>
        <v/>
      </c>
      <c r="GS14" s="76" t="str">
        <f>IF(GC14&gt;0,GC14,"")</f>
        <v/>
      </c>
      <c r="GT14" s="76" t="str">
        <f>IF(GD14&gt;0,GD14,"")</f>
        <v/>
      </c>
      <c r="GU14" s="76" t="str">
        <f>IF(SUM(GA14:GD14)-GE14&gt;0,SUM(GA14:GD14)-GE14,"")</f>
        <v/>
      </c>
      <c r="GV14" s="76" t="str">
        <f>IF(MAX(GR14,GU14)&gt;0,MAX(GR14,GU14),"")</f>
        <v/>
      </c>
      <c r="GW14" s="76" t="str">
        <f>IF(GH14&gt;0,GH14,"")</f>
        <v/>
      </c>
      <c r="GX14" s="76" t="str">
        <f>IF(GI14&gt;0,GI14,"")</f>
        <v/>
      </c>
      <c r="GY14" s="76" t="str">
        <f>IF(SUM(GF14:GI14)-GJ14&gt;0,SUM(GF14:GI14)-GJ14,"")</f>
        <v/>
      </c>
      <c r="GZ14" s="76" t="str">
        <f>IF(GM14&gt;0,GM14,"")</f>
        <v/>
      </c>
      <c r="HA14" s="76" t="str">
        <f>IF(GN14&gt;0,GN14,"")</f>
        <v/>
      </c>
      <c r="HB14" s="76" t="str">
        <f>IF(SUM(GK14:GN14)-GO14&gt;0,SUM(GK14:GN14)-GO14,"")</f>
        <v/>
      </c>
      <c r="HC14" s="76" t="str">
        <f>IF(SUM(GV14,HB14)&gt;0,SUM(GV14,HB14),"")</f>
        <v/>
      </c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16" t="str">
        <f>IF(HF14&gt;0,HF14,"")</f>
        <v/>
      </c>
      <c r="HY14" s="16" t="str">
        <f>IF(HG14&gt;0,HG14,"")</f>
        <v/>
      </c>
      <c r="HZ14" s="16" t="str">
        <f>IF(SUM(HD14:HG14)-HH14&gt;0,SUM(HD14:HG14)-HH14,"")</f>
        <v/>
      </c>
      <c r="IA14" s="16" t="str">
        <f>IF(HK14&gt;0,HK14,"")</f>
        <v/>
      </c>
      <c r="IB14" s="16" t="str">
        <f>IF(HL14&gt;0,HL14,"")</f>
        <v/>
      </c>
      <c r="IC14" s="16" t="str">
        <f>IF(SUM(HI14:HL14)-HM14&gt;0,SUM(HI14:HL14)-HM14,"")</f>
        <v/>
      </c>
      <c r="ID14" s="16" t="str">
        <f>IF(MAX(HZ14,IC14)&gt;0,MAX(HZ14,IC14),"")</f>
        <v/>
      </c>
      <c r="IE14" s="16" t="str">
        <f>IF(HP14&gt;0,HP14,"")</f>
        <v/>
      </c>
      <c r="IF14" s="16" t="str">
        <f>IF(HQ14&gt;0,HQ14,"")</f>
        <v/>
      </c>
      <c r="IG14" s="16" t="str">
        <f>IF(SUM(HN14:HQ14)-HR14&gt;0,SUM(HN14:HQ14)-HR14,"")</f>
        <v/>
      </c>
      <c r="IH14" s="16" t="str">
        <f>IF(HU14&gt;0,HU14,"")</f>
        <v/>
      </c>
      <c r="II14" s="16" t="str">
        <f>IF(HV14&gt;0,HV14,"")</f>
        <v/>
      </c>
      <c r="IJ14" s="16" t="str">
        <f>IF(SUM(HS14:HV14)-HW14&gt;0,SUM(HS14:HV14)-HW14,"")</f>
        <v/>
      </c>
      <c r="IK14" s="16" t="str">
        <f>IF(SUM(ID14,IJ14)&gt;0,SUM(ID14,IJ14),"")</f>
        <v/>
      </c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76" t="str">
        <f>IF(IN14&gt;0,IN14,"")</f>
        <v/>
      </c>
      <c r="JG14" s="76" t="str">
        <f>IF(IO14&gt;0,IO14,"")</f>
        <v/>
      </c>
      <c r="JH14" s="76" t="str">
        <f>IF(SUM(IL14:IO14)-IP14&gt;0,SUM(IL14:IO14)-IP14,"")</f>
        <v/>
      </c>
      <c r="JI14" s="76" t="str">
        <f>IF(IS14&gt;0,IS14,"")</f>
        <v/>
      </c>
      <c r="JJ14" s="76" t="str">
        <f>IF(IT14&gt;0,IT14,"")</f>
        <v/>
      </c>
      <c r="JK14" s="76" t="str">
        <f>IF(SUM(IQ14:IT14)-IU14&gt;0,SUM(IQ14:IT14)-IU14,"")</f>
        <v/>
      </c>
      <c r="JL14" s="76" t="str">
        <f>IF(MAX(JH14,JK14)&gt;0,MAX(JH14,JK14),"")</f>
        <v/>
      </c>
      <c r="JM14" s="76" t="str">
        <f>IF(IX14&gt;0,IX14,"")</f>
        <v/>
      </c>
      <c r="JN14" s="76" t="str">
        <f>IF(IY14&gt;0,IY14,"")</f>
        <v/>
      </c>
      <c r="JO14" s="76" t="str">
        <f>IF(SUM(IV14:IY14)-IZ14&gt;0,SUM(IV14:IY14)-IZ14,"")</f>
        <v/>
      </c>
      <c r="JP14" s="76" t="str">
        <f>IF(JC14&gt;0,JC14,"")</f>
        <v/>
      </c>
      <c r="JQ14" s="76" t="str">
        <f>IF(JD14&gt;0,JD14,"")</f>
        <v/>
      </c>
      <c r="JR14" s="76" t="str">
        <f>IF(SUM(JA14:JD14)-JE14&gt;0,SUM(JA14:JD14)-JE14,"")</f>
        <v/>
      </c>
      <c r="JS14" s="76" t="str">
        <f>IF(SUM(JL14,JR14)&gt;0,SUM(JL14,JR14),"")</f>
        <v/>
      </c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16" t="str">
        <f>IF(JV14&gt;0,JV14,"")</f>
        <v/>
      </c>
      <c r="KO14" s="16" t="str">
        <f>IF(JW14&gt;0,JW14,"")</f>
        <v/>
      </c>
      <c r="KP14" s="16" t="str">
        <f>IF(SUM(JT14:JW14)-JX14&gt;0,SUM(JT14:JW14)-JX14,"")</f>
        <v/>
      </c>
      <c r="KQ14" s="16" t="str">
        <f>IF(KA14&gt;0,KA14,"")</f>
        <v/>
      </c>
      <c r="KR14" s="16" t="str">
        <f>IF(KB14&gt;0,KB14,"")</f>
        <v/>
      </c>
      <c r="KS14" s="16" t="str">
        <f>IF(SUM(JY14:KB14)-KC14&gt;0,SUM(JY14:KB14)-KC14,"")</f>
        <v/>
      </c>
      <c r="KT14" s="16" t="str">
        <f>IF(MAX(KP14,KS14)&gt;0,MAX(KP14,KS14),"")</f>
        <v/>
      </c>
      <c r="KU14" s="16" t="str">
        <f>IF(KF14&gt;0,KF14,"")</f>
        <v/>
      </c>
      <c r="KV14" s="16" t="str">
        <f>IF(KG14&gt;0,KG14,"")</f>
        <v/>
      </c>
      <c r="KW14" s="16" t="str">
        <f>IF(SUM(KD14:KG14)-KH14&gt;0,SUM(KD14:KG14)-KH14,"")</f>
        <v/>
      </c>
      <c r="KX14" s="16" t="str">
        <f>IF(KK14&gt;0,KK14,"")</f>
        <v/>
      </c>
      <c r="KY14" s="16" t="str">
        <f>IF(KL14&gt;0,KL14,"")</f>
        <v/>
      </c>
      <c r="KZ14" s="16" t="str">
        <f>IF(SUM(KI14:KL14)-KM14&gt;0,SUM(KI14:KL14)-KM14,"")</f>
        <v/>
      </c>
      <c r="LA14" s="16" t="str">
        <f>IF(SUM(KT14,KZ14)&gt;0,SUM(KT14,KZ14),"")</f>
        <v/>
      </c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76" t="str">
        <f>IF(LD14&gt;0,LD14,"")</f>
        <v/>
      </c>
      <c r="LW14" s="76" t="str">
        <f>IF(LE14&gt;0,LE14,"")</f>
        <v/>
      </c>
      <c r="LX14" s="76" t="str">
        <f>IF(SUM(LB14:LE14)-LF14&gt;0,SUM(LB14:LE14)-LF14,"")</f>
        <v/>
      </c>
      <c r="LY14" s="76" t="str">
        <f>IF(LI14&gt;0,LI14,"")</f>
        <v/>
      </c>
      <c r="LZ14" s="76" t="str">
        <f>IF(LJ14&gt;0,LJ14,"")</f>
        <v/>
      </c>
      <c r="MA14" s="76" t="str">
        <f>IF(SUM(LG14:LJ14)-LK14&gt;0,SUM(LG14:LJ14)-LK14,"")</f>
        <v/>
      </c>
      <c r="MB14" s="76" t="str">
        <f>IF(MAX(LX14,MA14)&gt;0,MAX(LX14,MA14),"")</f>
        <v/>
      </c>
      <c r="MC14" s="76" t="str">
        <f>IF(LN14&gt;0,LN14,"")</f>
        <v/>
      </c>
      <c r="MD14" s="76" t="str">
        <f>IF(LO14&gt;0,LO14,"")</f>
        <v/>
      </c>
      <c r="ME14" s="76" t="str">
        <f>IF(SUM(LL14:LO14)-LP14&gt;0,SUM(LL14:LO14)-LP14,"")</f>
        <v/>
      </c>
      <c r="MF14" s="76" t="str">
        <f>IF(LS14&gt;0,LS14,"")</f>
        <v/>
      </c>
      <c r="MG14" s="76" t="str">
        <f>IF(LT14&gt;0,LT14,"")</f>
        <v/>
      </c>
      <c r="MH14" s="76" t="str">
        <f>IF(SUM(LQ14:LT14)-LU14&gt;0,SUM(LQ14:LT14)-LU14,"")</f>
        <v/>
      </c>
      <c r="MI14" s="76" t="str">
        <f>IF(SUM(MB14,MH14)&gt;0,SUM(MB14,MH14),"")</f>
        <v/>
      </c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16" t="str">
        <f>IF(ML14&gt;0,ML14,"")</f>
        <v/>
      </c>
      <c r="NE14" s="16" t="str">
        <f>IF(MM14&gt;0,MM14,"")</f>
        <v/>
      </c>
      <c r="NF14" s="16" t="str">
        <f>IF(SUM(MJ14:MM14)-MN14&gt;0,SUM(MJ14:MM14)-MN14,"")</f>
        <v/>
      </c>
      <c r="NG14" s="16" t="str">
        <f>IF(MQ14&gt;0,MQ14,"")</f>
        <v/>
      </c>
      <c r="NH14" s="16" t="str">
        <f>IF(MR14&gt;0,MR14,"")</f>
        <v/>
      </c>
      <c r="NI14" s="16" t="str">
        <f>IF(SUM(MO14:MR14)-MS14&gt;0,SUM(MO14:MR14)-MS14,"")</f>
        <v/>
      </c>
      <c r="NJ14" s="16" t="str">
        <f>IF(MAX(NF14,NI14)&gt;0,MAX(NF14,NI14),"")</f>
        <v/>
      </c>
      <c r="NK14" s="16" t="str">
        <f>IF(MV14&gt;0,MV14,"")</f>
        <v/>
      </c>
      <c r="NL14" s="16" t="str">
        <f>IF(MW14&gt;0,MW14,"")</f>
        <v/>
      </c>
      <c r="NM14" s="16" t="str">
        <f>IF(SUM(MT14:MW14)-MX14&gt;0,SUM(MT14:MW14)-MX14,"")</f>
        <v/>
      </c>
      <c r="NN14" s="16" t="str">
        <f>IF(NA14&gt;0,NA14,"")</f>
        <v/>
      </c>
      <c r="NO14" s="16" t="str">
        <f>IF(NB14&gt;0,NB14,"")</f>
        <v/>
      </c>
      <c r="NP14" s="16" t="str">
        <f>IF(SUM(MY14:NB14)-NC14&gt;0,SUM(MY14:NB14)-NC14,"")</f>
        <v/>
      </c>
      <c r="NQ14" s="16" t="str">
        <f>IF(SUM(NJ14,NP14)&gt;0,SUM(NJ14,NP14),"")</f>
        <v/>
      </c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76" t="str">
        <f>IF(NT14&gt;0,NT14,"")</f>
        <v/>
      </c>
      <c r="OM14" s="76" t="str">
        <f>IF(NU14&gt;0,NU14,"")</f>
        <v/>
      </c>
      <c r="ON14" s="76" t="str">
        <f>IF(SUM(NR14:NU14)-NV14&gt;0,SUM(NR14:NU14)-NV14,"")</f>
        <v/>
      </c>
      <c r="OO14" s="76" t="str">
        <f>IF(NY14&gt;0,NY14,"")</f>
        <v/>
      </c>
      <c r="OP14" s="76" t="str">
        <f>IF(NZ14&gt;0,NZ14,"")</f>
        <v/>
      </c>
      <c r="OQ14" s="76" t="str">
        <f>IF(SUM(NW14:NZ14)-OA14&gt;0,SUM(NW14:NZ14)-OA14,"")</f>
        <v/>
      </c>
      <c r="OR14" s="76" t="str">
        <f>IF(MAX(ON14,OQ14)&gt;0,MAX(ON14,OQ14),"")</f>
        <v/>
      </c>
      <c r="OS14" s="76" t="str">
        <f>IF(OD14&gt;0,OD14,"")</f>
        <v/>
      </c>
      <c r="OT14" s="76" t="str">
        <f>IF(OE14&gt;0,OE14,"")</f>
        <v/>
      </c>
      <c r="OU14" s="76" t="str">
        <f>IF(SUM(OB14:OE14)-OF14&gt;0,SUM(OB14:OE14)-OF14,"")</f>
        <v/>
      </c>
      <c r="OV14" s="76" t="str">
        <f>IF(OI14&gt;0,OI14,"")</f>
        <v/>
      </c>
      <c r="OW14" s="76" t="str">
        <f>IF(OJ14&gt;0,OJ14,"")</f>
        <v/>
      </c>
      <c r="OX14" s="76" t="str">
        <f>IF(SUM(OG14:OJ14)-OK14&gt;0,SUM(OG14:OJ14)-OK14,"")</f>
        <v/>
      </c>
      <c r="OY14" s="76" t="str">
        <f>IF(SUM(OR14,OX14)&gt;0,SUM(OR14,OX14),"")</f>
        <v/>
      </c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16" t="str">
        <f>IF(PB14&gt;0,PB14,"")</f>
        <v/>
      </c>
      <c r="PU14" s="16" t="str">
        <f>IF(PC14&gt;0,PC14,"")</f>
        <v/>
      </c>
      <c r="PV14" s="16" t="str">
        <f>IF(SUM(OZ14:PC14)-PD14&gt;0,SUM(OZ14:PC14)-PD14,"")</f>
        <v/>
      </c>
      <c r="PW14" s="16" t="str">
        <f>IF(PG14&gt;0,PG14,"")</f>
        <v/>
      </c>
      <c r="PX14" s="16" t="str">
        <f>IF(PH14&gt;0,PH14,"")</f>
        <v/>
      </c>
      <c r="PY14" s="16" t="str">
        <f>IF(SUM(PE14:PH14)-PI14&gt;0,SUM(PE14:PH14)-PI14,"")</f>
        <v/>
      </c>
      <c r="PZ14" s="16" t="str">
        <f>IF(MAX(PV14,PY14)&gt;0,MAX(PV14,PY14),"")</f>
        <v/>
      </c>
      <c r="QA14" s="16" t="str">
        <f>IF(PL14&gt;0,PL14,"")</f>
        <v/>
      </c>
      <c r="QB14" s="16" t="str">
        <f>IF(PM14&gt;0,PM14,"")</f>
        <v/>
      </c>
      <c r="QC14" s="16" t="str">
        <f>IF(SUM(PJ14:PM14)-PN14&gt;0,SUM(PJ14:PM14)-PN14,"")</f>
        <v/>
      </c>
      <c r="QD14" s="16" t="str">
        <f>IF(PQ14&gt;0,PQ14,"")</f>
        <v/>
      </c>
      <c r="QE14" s="16" t="str">
        <f>IF(PR14&gt;0,PR14,"")</f>
        <v/>
      </c>
      <c r="QF14" s="16" t="str">
        <f>IF(SUM(PO14:PR14)-PS14&gt;0,SUM(PO14:PR14)-PS14,"")</f>
        <v/>
      </c>
      <c r="QG14" s="16" t="str">
        <f>IF(SUM(PZ14,QF14)&gt;0,SUM(PZ14,QF14),"")</f>
        <v/>
      </c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76" t="str">
        <f>IF(QJ14&gt;0,QJ14,"")</f>
        <v/>
      </c>
      <c r="RC14" s="76" t="str">
        <f>IF(QK14&gt;0,QK14,"")</f>
        <v/>
      </c>
      <c r="RD14" s="76" t="str">
        <f>IF(SUM(QH14:QK14)-QL14&gt;0,SUM(QH14:QK14)-QL14,"")</f>
        <v/>
      </c>
      <c r="RE14" s="76" t="str">
        <f>IF(QO14&gt;0,QO14,"")</f>
        <v/>
      </c>
      <c r="RF14" s="76" t="str">
        <f>IF(QP14&gt;0,QP14,"")</f>
        <v/>
      </c>
      <c r="RG14" s="76" t="str">
        <f>IF(SUM(QM14:QP14)-QQ14&gt;0,SUM(QM14:QP14)-QQ14,"")</f>
        <v/>
      </c>
      <c r="RH14" s="76" t="str">
        <f>IF(MAX(RD14,RG14)&gt;0,MAX(RD14,RG14),"")</f>
        <v/>
      </c>
      <c r="RI14" s="76" t="str">
        <f>IF(QT14&gt;0,QT14,"")</f>
        <v/>
      </c>
      <c r="RJ14" s="76" t="str">
        <f>IF(QU14&gt;0,QU14,"")</f>
        <v/>
      </c>
      <c r="RK14" s="76" t="str">
        <f>IF(SUM(QR14:QU14)-QV14&gt;0,SUM(QR14:QU14)-QV14,"")</f>
        <v/>
      </c>
      <c r="RL14" s="76" t="str">
        <f>IF(QY14&gt;0,QY14,"")</f>
        <v/>
      </c>
      <c r="RM14" s="76" t="str">
        <f>IF(QZ14&gt;0,QZ14,"")</f>
        <v/>
      </c>
      <c r="RN14" s="76" t="str">
        <f>IF(SUM(QW14:QZ14)-RA14&gt;0,SUM(QW14:QZ14)-RA14,"")</f>
        <v/>
      </c>
      <c r="RO14" s="76" t="str">
        <f>IF(SUM(RH14,RN14)&gt;0,SUM(RH14,RN14),"")</f>
        <v/>
      </c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16" t="str">
        <f>IF(RR14&gt;0,RR14,"")</f>
        <v/>
      </c>
      <c r="SK14" s="16" t="str">
        <f>IF(RS14&gt;0,RS14,"")</f>
        <v/>
      </c>
      <c r="SL14" s="16" t="str">
        <f>IF(SUM(RP14:RS14)-RT14&gt;0,SUM(RP14:RS14)-RT14,"")</f>
        <v/>
      </c>
      <c r="SM14" s="16" t="str">
        <f>IF(RW14&gt;0,RW14,"")</f>
        <v/>
      </c>
      <c r="SN14" s="16" t="str">
        <f>IF(RX14&gt;0,RX14,"")</f>
        <v/>
      </c>
      <c r="SO14" s="16" t="str">
        <f>IF(SUM(RU14:RX14)-RY14&gt;0,SUM(RU14:RX14)-RY14,"")</f>
        <v/>
      </c>
      <c r="SP14" s="16" t="str">
        <f>IF(MAX(SL14,SO14)&gt;0,MAX(SL14,SO14),"")</f>
        <v/>
      </c>
      <c r="SQ14" s="16" t="str">
        <f>IF(SB14&gt;0,SB14,"")</f>
        <v/>
      </c>
      <c r="SR14" s="16" t="str">
        <f>IF(SC14&gt;0,SC14,"")</f>
        <v/>
      </c>
      <c r="SS14" s="16" t="str">
        <f>IF(SUM(RZ14:SC14)-SD14&gt;0,SUM(RZ14:SC14)-SD14,"")</f>
        <v/>
      </c>
      <c r="ST14" s="16" t="str">
        <f>IF(SG14&gt;0,SG14,"")</f>
        <v/>
      </c>
      <c r="SU14" s="16" t="str">
        <f>IF(SH14&gt;0,SH14,"")</f>
        <v/>
      </c>
      <c r="SV14" s="16" t="str">
        <f>IF(SUM(SE14:SH14)-SI14&gt;0,SUM(SE14:SH14)-SI14,"")</f>
        <v/>
      </c>
      <c r="SW14" s="16" t="str">
        <f>IF(SUM(SP14,SV14)&gt;0,SUM(SP14,SV14),"")</f>
        <v/>
      </c>
      <c r="SX14" s="42">
        <f>IF($CP14="P",CA14,(CA14+AZ14)/2)</f>
        <v>8.1</v>
      </c>
      <c r="SY14" s="42">
        <f>IF($CP14="P",CB14,(CB14+BA14)/2)</f>
        <v>6</v>
      </c>
      <c r="SZ14" s="42">
        <f>IF($CP14="P",CC14,(CC14+BB14)/2)</f>
        <v>8.6999999999999993</v>
      </c>
      <c r="TA14" s="42">
        <f>IF($CP14="P",CD14,(CD14+BC14)/2)</f>
        <v>10.1975</v>
      </c>
      <c r="TB14" s="42">
        <f>IF($CP14="P",CE14,(CE14+BD14)/2)</f>
        <v>0.35</v>
      </c>
      <c r="TC14" s="42">
        <f>IF($CP14="P",CF14,(CF14+BE14)/2)</f>
        <v>8.5500000000000007</v>
      </c>
      <c r="TD14" s="42">
        <f>IF($CP14="P",CG14,(CG14+BF14)/2)</f>
        <v>5.4</v>
      </c>
      <c r="TE14" s="42">
        <f>IF($CP14="P",CH14,(CH14+BG14)/2)</f>
        <v>8.4500000000000011</v>
      </c>
      <c r="TF14" s="42">
        <f>IF($CP14="P",CI14,(CI14+BH14)/2)</f>
        <v>9.4224999999999994</v>
      </c>
      <c r="TG14" s="42">
        <f>IF($CP14="P",CJ14,(CJ14+BI14)/2)</f>
        <v>0.1</v>
      </c>
      <c r="TH14" s="42">
        <f>IF($CP14="P",CK14,(CK14+BJ14)/2)</f>
        <v>1.45</v>
      </c>
      <c r="TI14" s="42">
        <f>IF($CP14="P",CL14,(CL14+BK14)/2)</f>
        <v>0.85</v>
      </c>
      <c r="TJ14" s="42">
        <f>IF($CP14="P",CM14,(CM14+BL14)/2)</f>
        <v>1.7</v>
      </c>
      <c r="TK14" s="42">
        <f>IF($CP14="P",CN14,(CN14+BM14)/2)</f>
        <v>1.665</v>
      </c>
      <c r="TL14" s="42">
        <f>IF($CP14="P",CO14,(CO14+BN14)/2)</f>
        <v>0</v>
      </c>
      <c r="TM14" s="51" t="s">
        <v>61</v>
      </c>
      <c r="TN14" s="76">
        <f>IF(SZ14&gt;0,SZ14,"")</f>
        <v>8.6999999999999993</v>
      </c>
      <c r="TO14" s="76">
        <f>IF(TA14&gt;0,TA14,"")</f>
        <v>10.1975</v>
      </c>
      <c r="TP14" s="76">
        <f>IF(SUM(SX14:TA14)-TB14&gt;0,SUM(SX14:TA14)-TB14,"")</f>
        <v>32.647499999999994</v>
      </c>
      <c r="TQ14" s="76">
        <f>IF(TE14&gt;0,TE14,"")</f>
        <v>8.4500000000000011</v>
      </c>
      <c r="TR14" s="76">
        <f>IF(TF14&gt;0,TF14,"")</f>
        <v>9.4224999999999994</v>
      </c>
      <c r="TS14" s="76">
        <f>IF(SUM(TC14:TF14)-TG14&gt;0,SUM(TC14:TF14)-TG14,"")</f>
        <v>31.7225</v>
      </c>
      <c r="TT14" s="76">
        <f>IF(MAX(TP14,TS14)&gt;0,MAX(TP14,TS14),"")</f>
        <v>32.647499999999994</v>
      </c>
      <c r="TU14" s="76">
        <f>IF(TJ14&gt;0,TJ14,"")</f>
        <v>1.7</v>
      </c>
      <c r="TV14" s="76">
        <f>IF(TK14&gt;0,TK14,"")</f>
        <v>1.665</v>
      </c>
      <c r="TW14" s="76">
        <f>IF(SUM(TH14:TK14)-TL14&gt;0,SUM(TH14:TK14)-TL14,"")</f>
        <v>5.665</v>
      </c>
      <c r="TX14" s="76">
        <f>IF(SUM(TT14,TW14)&gt;0,SUM(TT14,TW14),"")</f>
        <v>38.312499999999993</v>
      </c>
    </row>
    <row r="15" spans="1:544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>SUM(J15:V15)+SUM(J15:T15)*0.0000001+SUM(J15)*0.0000000000001</f>
        <v>216.64502166450529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Z15&gt;=EM$25,DZ15&lt;&gt;"",EB15&gt;=EM$29,EB15&lt;&gt;""),AND(EC15&gt;=EM$25,EC15&lt;&gt;"",EE15&gt;=EM$29,EE15&lt;&gt;""),AND(EG15&gt;=EM$25,EG15&lt;&gt;"",EI15&gt;=EM$29,EI15&lt;&gt;""),AND(EJ15&gt;=EM$25,EJ15&lt;&gt;"",EL15&gt;=EM$29,EL15&lt;&gt;""),AND(FH15&gt;=FU$25,FH15&lt;&gt;"",FJ15&gt;=FU$29,FJ15&lt;&gt;""),AND(FK15&gt;=FU$25,FK15&lt;&gt;"",FM15&gt;=FU$29,FM15&lt;&gt;""),AND(FO15&gt;=FU$25,FO15&lt;&gt;"",FQ15&gt;=FU$29,FQ15&lt;&gt;""),AND(FR15&gt;=FU$25,FR15&lt;&gt;"",FT15&gt;=FU$29,FT15&lt;&gt;""),AND(GP15&gt;=HC$25,GP15&lt;&gt;"",GR15&gt;=HC$29,GR15&lt;&gt;""),AND(GS15&gt;=HC$25,GS15&lt;&gt;"",GU15&gt;=HC$29,GU15&lt;&gt;""),AND(GW15&gt;=HC$25,GW15&lt;&gt;"",GY15&gt;=HC$29,GY15&lt;&gt;""),AND(GZ15&gt;=HC$25,GZ15&lt;&gt;"",HB15&gt;=HC$29,HB15&lt;&gt;""),AND(HX15&gt;=IK$25,HX15&lt;&gt;"",HZ15&gt;=IK$29,HZ15&lt;&gt;""),AND(IA15&gt;=IK$25,IA15&lt;&gt;"",IC15&gt;=IK$29,IC15&lt;&gt;""),AND(IE15&gt;=IK$25,IE15&lt;&gt;"",IG15&gt;=IK$29,IG15&lt;&gt;""),AND(IH15&gt;=IK$25,IH15&lt;&gt;"",IJ15&gt;=IK$29,IJ15&lt;&gt;""),AND(JF15&gt;=JS$25,JF15&lt;&gt;"",JH15&gt;=JS$29,JH15&lt;&gt;""),AND(JI15&gt;=JS$25,JI15&lt;&gt;"",JK15&gt;=JS$29,JK15&lt;&gt;""),AND(JM15&gt;=JS$25,JM15&lt;&gt;"",JO15&gt;=JS$29,JO15&lt;&gt;""),AND(JP15&gt;=JS$25,JP15&lt;&gt;"",JR15&gt;=JS$29,JR15&lt;&gt;""),AND(KN15&gt;=LA$25,KN15&lt;&gt;"",KP15&gt;=LA$29,KP15&lt;&gt;""),AND(KQ15&gt;=LA$25,KQ15&lt;&gt;"",KS15&gt;=LA$29,KS15&lt;&gt;""),AND(KU15&gt;=LA$25,KU15&lt;&gt;"",KW15&gt;=LA$29,KW15&lt;&gt;""),AND(KX15&gt;=LA$25,KX15&lt;&gt;"",KZ15&gt;=LA$29,KZ15&lt;&gt;""),AND(LV15&gt;=MI$25,LV15&lt;&gt;"",LX15&gt;=MI$29,LX15&lt;&gt;""),AND(LY15&gt;=MI$25,LY15&lt;&gt;"",MA15&gt;=MI$29,MA15&lt;&gt;""),AND(MC15&gt;=MI$25,MC15&lt;&gt;"",ME15&gt;=MI$29,ME15&lt;&gt;""),AND(MF15&gt;=MI$25,MF15&lt;&gt;"",MH15&gt;=MI$29,MH15&lt;&gt;""),AND(ND15&gt;=NQ$25,ND15&lt;&gt;"",NF15&gt;=NQ$29,NF15&lt;&gt;""),AND(NG15&gt;=NQ$25,NG15&lt;&gt;"",NI15&gt;=NQ$29,NI15&lt;&gt;""),AND(NK15&gt;=NQ$25,NK15&lt;&gt;"",NM15&gt;=NQ$29,NM15&lt;&gt;""),AND(NN15&gt;=NQ$25,NN15&lt;&gt;"",NP15&gt;=NQ$29,NP15&lt;&gt;""),AND(OL15&gt;=OY$25,OL15&lt;&gt;"",ON15&gt;=OY$29,ON15&lt;&gt;""),AND(OO15&gt;=OY$25,OO15&lt;&gt;"",OQ15&gt;=OY$29,OQ15&lt;&gt;""),AND(OS15&gt;=OY$25,OS15&lt;&gt;"",OU15&gt;=OY$29,OU15&lt;&gt;""),AND(OV15&gt;=OY$25,OV15&lt;&gt;"",OX15&gt;=OY$29,OX15&lt;&gt;""),AND(PT15&gt;=QG$25,PT15&lt;&gt;"",PV15&gt;=QG$29,PV15&lt;&gt;""),AND(PW15&gt;=QG$25,PW15&lt;&gt;"",PY15&gt;=QG$29,PY15&lt;&gt;""),AND(QA15&gt;=QG$25,QA15&lt;&gt;"",QC15&gt;=QG$29,QC15&lt;&gt;""),AND(QD15&gt;=QG$25,QD15&lt;&gt;"",QF15&gt;=QG$29,QF15&lt;&gt;""),AND(RB15&gt;=RO$25,RB15&lt;&gt;"",RD15&gt;=RO$29,RD15&lt;&gt;""),AND(RE15&gt;=RO$25,RE15&lt;&gt;"",RG15&gt;=RO$29,RG15&lt;&gt;""),AND(RI15&gt;=RO$25,RI15&lt;&gt;"",RK15&gt;=RO$29,RK15&lt;&gt;""),AND(RL15&gt;=RO$25,RL15&lt;&gt;"",RN15&gt;=RO$29,RN15&lt;&gt;""),AND(SJ15&gt;=SW$25,SJ15&lt;&gt;"",SL15&gt;=SW$29,SL15&lt;&gt;""),AND(SM15&gt;=SW$25,SM15&lt;&gt;"",SO15&gt;=SW$29,SO15&lt;&gt;""),AND(SQ15&gt;=SW$25,SQ15&lt;&gt;"",SS15&gt;=SW$29,SS15&lt;&gt;""),AND(ST15&gt;=SW$25,ST15&lt;&gt;"",SV15&gt;=SW$29,SV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EB15&gt;=EM$29,EB15&lt;&gt;""),AND(EE15&gt;=EM$29,EE15&lt;&gt;""),AND(EI15&gt;=EM$29,EI15&lt;&gt;""),AND(EL15&gt;=EM$29,EL15&lt;&gt;""),AND(FJ15&gt;=FU$29,FJ15&lt;&gt;""),AND(FM15&gt;=FU$29,FM15&lt;&gt;""),AND(FQ15&gt;=FU$29,FQ15&lt;&gt;""),AND(FT15&gt;=FU$29,FT15&lt;&gt;""),AND(GR15&gt;=HC$29,GR15&lt;&gt;""),AND(GU15&gt;=HC$29,GU15&lt;&gt;""),AND(GY15&gt;=HC$29,GY15&lt;&gt;""),AND(HB15&gt;=HC$29,HB15&lt;&gt;""),AND(HZ15&gt;=IK$29,HZ15&lt;&gt;""),AND(IC15&gt;=IK$29,IC15&lt;&gt;""),AND(IG15&gt;=IK$29,IG15&lt;&gt;""),AND(IJ15&gt;=IK$29,IJ15&lt;&gt;""),AND(JH15&gt;=JS$29,JH15&lt;&gt;""),AND(JK15&gt;=JS$29,JK15&lt;&gt;""),AND(JO15&gt;=JS$29,JO15&lt;&gt;""),AND(JR15&gt;=JS$29,JR15&lt;&gt;""),AND(KP15&gt;=LA$29,KP15&lt;&gt;""),AND(KS15&gt;=LA$29,KS15&lt;&gt;""),AND(KW15&gt;=LA$29,KW15&lt;&gt;""),AND(KZ15&gt;=LA$29,KZ15&lt;&gt;""),AND(LX15&gt;=MI$29,LX15&lt;&gt;""),AND(MA15&gt;=MI$29,MA15&lt;&gt;""),AND(ME15&gt;=MI$29,ME15&lt;&gt;""),AND(MH15&gt;=MI$29,MH15&lt;&gt;""),AND(NF15&gt;=NQ$29,NF15&lt;&gt;""),AND(NI15&gt;=NQ$29,NI15&lt;&gt;""),AND(NM15&gt;=NQ$29,NM15&lt;&gt;""),AND(NP15&gt;=NQ$29,NP15&lt;&gt;""),AND(ON15&gt;=OY$29,ON15&lt;&gt;""),AND(OQ15&gt;=OY$29,OQ15&lt;&gt;""),AND(OU15&gt;=OY$29,OU15&lt;&gt;""),AND(OX15&gt;=OY$29,OX15&lt;&gt;""),AND(PV15&gt;=QG$29,PV15&lt;&gt;""),AND(PY15&gt;=QG$29,PY15&lt;&gt;""),AND(QC15&gt;=QG$29,QC15&lt;&gt;""),AND(QF15&gt;=QG$29,QF15&lt;&gt;""),AND(RD15&gt;=RO$29,RD15&lt;&gt;""),AND(RG15&gt;=RO$29,RG15&lt;&gt;""),AND(RK15&gt;=RO$29,RK15&lt;&gt;""),AND(RN15&gt;=RO$29,RN15&lt;&gt;""),AND(SL15&gt;=SW$29,SL15&lt;&gt;""),AND(SO15&gt;=SW$29,SO15&lt;&gt;""),AND(SS15&gt;=SW$29,SS15&lt;&gt;""),AND(SV15&gt;=SW$29,SV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Z15&gt;=EM$28,DZ15&lt;&gt;"",EB15&gt;=EM$32,EB15&lt;&gt;""),AND(EC15&gt;=EM$28,EC15&lt;&gt;"",EE15&gt;=EM$32,EE15&lt;&gt;""),AND(EG15&gt;=EM$28,EG15&lt;&gt;"",EI15&gt;=EM$32,EI15&lt;&gt;""),AND(EJ15&gt;=EM$28,EJ15&lt;&gt;"",EL15&gt;=EM$32,EL15&lt;&gt;""),AND(FH15&gt;=FU$28,FH15&lt;&gt;"",FJ15&gt;=FU$32,FJ15&lt;&gt;""),AND(FK15&gt;=FU$28,FK15&lt;&gt;"",FM15&gt;=FU$32,FM15&lt;&gt;""),AND(FO15&gt;=FU$28,FO15&lt;&gt;"",FQ15&gt;=FU$32,FQ15&lt;&gt;""),AND(FR15&gt;=FU$28,FR15&lt;&gt;"",FT15&gt;=FU$32,FT15&lt;&gt;""),AND(GP15&gt;=HC$28,GP15&lt;&gt;"",GR15&gt;=HC$32,GR15&lt;&gt;""),AND(GS15&gt;=HC$28,GS15&lt;&gt;"",GU15&gt;=HC$32,GU15&lt;&gt;""),AND(GW15&gt;=HC$28,GW15&lt;&gt;"",GY15&gt;=HC$32,GY15&lt;&gt;""),AND(GZ15&gt;=HC$28,GZ15&lt;&gt;"",HB15&gt;=HC$32,HB15&lt;&gt;""),AND(HX15&gt;=IK$28,HX15&lt;&gt;"",HZ15&gt;=IK$32,HZ15&lt;&gt;""),AND(IA15&gt;=IK$28,IA15&lt;&gt;"",IC15&gt;=IK$32,IC15&lt;&gt;""),AND(IE15&gt;=IK$28,IE15&lt;&gt;"",IG15&gt;=IK$32,IG15&lt;&gt;""),AND(IH15&gt;=IK$28,IH15&lt;&gt;"",IJ15&gt;=IK$32,IJ15&lt;&gt;""),AND(JF15&gt;=JS$28,JF15&lt;&gt;"",JH15&gt;=JS$32,JH15&lt;&gt;""),AND(JI15&gt;=JS$28,JI15&lt;&gt;"",JK15&gt;=JS$32,JK15&lt;&gt;""),AND(JM15&gt;=JS$28,JM15&lt;&gt;"",JO15&gt;=JS$32,JO15&lt;&gt;""),AND(JP15&gt;=JS$28,JP15&lt;&gt;"",JR15&gt;=JS$32,JR15&lt;&gt;""),AND(KN15&gt;=LA$28,KN15&lt;&gt;"",KP15&gt;=LA$32,KP15&lt;&gt;""),AND(KQ15&gt;=LA$28,KQ15&lt;&gt;"",KS15&gt;=LA$32,KS15&lt;&gt;""),AND(KU15&gt;=LA$28,KU15&lt;&gt;"",KW15&gt;=LA$32,KW15&lt;&gt;""),AND(KX15&gt;=LA$28,KX15&lt;&gt;"",KZ15&gt;=LA$32,KZ15&lt;&gt;""),AND(LV15&gt;=MI$28,LV15&lt;&gt;"",LX15&gt;=MI$32,LX15&lt;&gt;""),AND(LY15&gt;=MI$28,LY15&lt;&gt;"",MA15&gt;=MI$32,MA15&lt;&gt;""),AND(MC15&gt;=MI$28,MC15&lt;&gt;"",ME15&gt;=MI$32,ME15&lt;&gt;""),AND(MF15&gt;=MI$28,MF15&lt;&gt;"",MH15&gt;=MI$32,MH15&lt;&gt;""),AND(ND15&gt;=NQ$28,ND15&lt;&gt;"",NF15&gt;=NQ$32,NF15&lt;&gt;""),AND(NG15&gt;=NQ$28,NG15&lt;&gt;"",NI15&gt;=NQ$32,NI15&lt;&gt;""),AND(NK15&gt;=NQ$28,NK15&lt;&gt;"",NM15&gt;=NQ$32,NM15&lt;&gt;""),AND(NN15&gt;=NQ$28,NN15&lt;&gt;"",NP15&gt;=NQ$32,NP15&lt;&gt;""),AND(OL15&gt;=OY$28,OL15&lt;&gt;"",ON15&gt;=OY$32,ON15&lt;&gt;""),AND(OO15&gt;=OY$28,OO15&lt;&gt;"",OQ15&gt;=OY$32,OQ15&lt;&gt;""),AND(OS15&gt;=OY$28,OS15&lt;&gt;"",OU15&gt;=OY$32,OU15&lt;&gt;""),AND(OV15&gt;=OY$28,OV15&lt;&gt;"",OX15&gt;=OY$32,OX15&lt;&gt;""),AND(PT15&gt;=QG$28,PT15&lt;&gt;"",PV15&gt;=QG$32,PV15&lt;&gt;""),AND(PW15&gt;=QG$28,PW15&lt;&gt;"",PY15&gt;=QG$32,PY15&lt;&gt;""),AND(QA15&gt;=QG$28,QA15&lt;&gt;"",QC15&gt;=QG$32,QC15&lt;&gt;""),AND(QD15&gt;=QG$28,QD15&lt;&gt;"",QF15&gt;=QG$32,QF15&lt;&gt;""),AND(RB15&gt;=RO$28,RB15&lt;&gt;"",RD15&gt;=RO$32,RD15&lt;&gt;""),AND(RE15&gt;=RO$28,RE15&lt;&gt;"",RG15&gt;=RO$32,RG15&lt;&gt;""),AND(RI15&gt;=RO$28,RI15&lt;&gt;"",RK15&gt;=RO$32,RK15&lt;&gt;""),AND(RL15&gt;=RO$28,RL15&lt;&gt;"",RN15&gt;=RO$32,RN15&lt;&gt;""),AND(SJ15&gt;=SW$28,SJ15&lt;&gt;"",SL15&gt;=SW$32,SL15&lt;&gt;""),AND(SM15&gt;=SW$28,SM15&lt;&gt;"",SO15&gt;=SW$32,SO15&lt;&gt;""),AND(SQ15&gt;=SW$28,SQ15&lt;&gt;"",SS15&gt;=SW$32,SS15&lt;&gt;""),AND(ST15&gt;=SW$28,ST15&lt;&gt;"",SV15&gt;=SW$32,SV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Z15&gt;=EM$27,DZ15&lt;&gt;"",EB15&gt;=EM$31,EB15&lt;&gt;""),AND(EC15&gt;=EM$27,EC15&lt;&gt;"",EE15&gt;=EM$31,EE15&lt;&gt;""),AND(EG15&gt;=EM$27,EG15&lt;&gt;"",EI15&gt;=EM$31,EI15&lt;&gt;""),AND(EJ15&gt;=EM$27,EJ15&lt;&gt;"",EL15&gt;=EM$31,EL15&lt;&gt;""),AND(FH15&gt;=FU$27,FH15&lt;&gt;"",FJ15&gt;=FU$31,FJ15&lt;&gt;""),AND(FK15&gt;=FU$27,FK15&lt;&gt;"",FM15&gt;=FU$31,FM15&lt;&gt;""),AND(FO15&gt;=FU$27,FO15&lt;&gt;"",FQ15&gt;=FU$31,FQ15&lt;&gt;""),AND(FR15&gt;=FU$27,FR15&lt;&gt;"",FT15&gt;=FU$31,FT15&lt;&gt;""),AND(GP15&gt;=HC$27,GP15&lt;&gt;"",GR15&gt;=HC$31,GR15&lt;&gt;""),AND(GS15&gt;=HC$27,GS15&lt;&gt;"",GU15&gt;=HC$31,GU15&lt;&gt;""),AND(GW15&gt;=HC$27,GW15&lt;&gt;"",GY15&gt;=HC$31,GY15&lt;&gt;""),AND(GZ15&gt;=HC$27,GZ15&lt;&gt;"",HB15&gt;=HC$31,HB15&lt;&gt;""),AND(HX15&gt;=IK$27,HX15&lt;&gt;"",HZ15&gt;=IK$31,HZ15&lt;&gt;""),AND(IA15&gt;=IK$27,IA15&lt;&gt;"",IC15&gt;=IK$31,IC15&lt;&gt;""),AND(IE15&gt;=IK$27,IE15&lt;&gt;"",IG15&gt;=IK$31,IG15&lt;&gt;""),AND(IH15&gt;=IK$27,IH15&lt;&gt;"",IJ15&gt;=IK$31,IJ15&lt;&gt;""),AND(JF15&gt;=JS$27,JF15&lt;&gt;"",JH15&gt;=JS$31,JH15&lt;&gt;""),AND(JI15&gt;=JS$27,JI15&lt;&gt;"",JK15&gt;=JS$31,JK15&lt;&gt;""),AND(JM15&gt;=JS$27,JM15&lt;&gt;"",JO15&gt;=JS$31,JO15&lt;&gt;""),AND(JP15&gt;=JS$27,JP15&lt;&gt;"",JR15&gt;=JS$31,JR15&lt;&gt;""),AND(KN15&gt;=LA$27,KN15&lt;&gt;"",KP15&gt;=LA$31,KP15&lt;&gt;""),AND(KQ15&gt;=LA$27,KQ15&lt;&gt;"",KS15&gt;=LA$31,KS15&lt;&gt;""),AND(KU15&gt;=LA$27,KU15&lt;&gt;"",KW15&gt;=LA$31,KW15&lt;&gt;""),AND(KX15&gt;=LA$27,KX15&lt;&gt;"",KZ15&gt;=LA$31,KZ15&lt;&gt;""),AND(LV15&gt;=MI$27,LV15&lt;&gt;"",LX15&gt;=MI$31,LX15&lt;&gt;""),AND(LY15&gt;=MI$27,LY15&lt;&gt;"",MA15&gt;=MI$31,MA15&lt;&gt;""),AND(MC15&gt;=MI$27,MC15&lt;&gt;"",ME15&gt;=MI$31,ME15&lt;&gt;""),AND(MF15&gt;=MI$27,MF15&lt;&gt;"",MH15&gt;=MI$31,MH15&lt;&gt;""),AND(ND15&gt;=NQ$27,ND15&lt;&gt;"",NF15&gt;=NQ$31,NF15&lt;&gt;""),AND(NG15&gt;=NQ$27,NG15&lt;&gt;"",NI15&gt;=NQ$31,NI15&lt;&gt;""),AND(NK15&gt;=NQ$27,NK15&lt;&gt;"",NM15&gt;=NQ$31,NM15&lt;&gt;""),AND(NN15&gt;=NQ$27,NN15&lt;&gt;"",NP15&gt;=NQ$31,NP15&lt;&gt;""),AND(OL15&gt;=OY$27,OL15&lt;&gt;"",ON15&gt;=OY$31,ON15&lt;&gt;""),AND(OO15&gt;=OY$27,OO15&lt;&gt;"",OQ15&gt;=OY$31,OQ15&lt;&gt;""),AND(OS15&gt;=OY$27,OS15&lt;&gt;"",OU15&gt;=OY$31,OU15&lt;&gt;""),AND(OV15&gt;=OY$27,OV15&lt;&gt;"",OX15&gt;=OY$31,OX15&lt;&gt;""),AND(PT15&gt;=QG$27,PT15&lt;&gt;"",PV15&gt;=QG$31,PV15&lt;&gt;""),AND(PW15&gt;=QG$27,PW15&lt;&gt;"",PY15&gt;=QG$31,PY15&lt;&gt;""),AND(QA15&gt;=QG$27,QA15&lt;&gt;"",QC15&gt;=QG$31,QC15&lt;&gt;""),AND(QD15&gt;=QG$27,QD15&lt;&gt;"",QF15&gt;=QG$31,QF15&lt;&gt;""),AND(RB15&gt;=RO$27,RB15&lt;&gt;"",RD15&gt;=RO$31,RD15&lt;&gt;""),AND(RE15&gt;=RO$27,RE15&lt;&gt;"",RG15&gt;=RO$31,RG15&lt;&gt;""),AND(RI15&gt;=RO$27,RI15&lt;&gt;"",RK15&gt;=RO$31,RK15&lt;&gt;""),AND(RL15&gt;=RO$27,RL15&lt;&gt;"",RN15&gt;=RO$31,RN15&lt;&gt;""),AND(SJ15&gt;=SW$27,SJ15&lt;&gt;"",SL15&gt;=SW$31,SL15&lt;&gt;""),AND(SM15&gt;=SW$27,SM15&lt;&gt;"",SO15&gt;=SW$31,SO15&lt;&gt;""),AND(SQ15&gt;=SW$27,SQ15&lt;&gt;"",SS15&gt;=SW$31,SS15&lt;&gt;""),AND(ST15&gt;=SW$27,ST15&lt;&gt;"",SV15&gt;=SW$31,SV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Z15&gt;=EM$26,DZ15&lt;&gt;"",EB15&gt;=EM$30,EB15&lt;&gt;""),AND(EC15&gt;=EM$26,EC15&lt;&gt;"",EE15&gt;=EM$30,EE15&lt;&gt;""),AND(EG15&gt;=EM$26,EG15&lt;&gt;"",EI15&gt;=EM$30,EI15&lt;&gt;""),AND(EJ15&gt;=EM$26,EJ15&lt;&gt;"",EL15&gt;=EM$30,EL15&lt;&gt;""),AND(FH15&gt;=FU$26,FH15&lt;&gt;"",FJ15&gt;=FU$30,FJ15&lt;&gt;""),AND(FK15&gt;=FU$26,FK15&lt;&gt;"",FM15&gt;=FU$30,FM15&lt;&gt;""),AND(FO15&gt;=FU$26,FO15&lt;&gt;"",FQ15&gt;=FU$30,FQ15&lt;&gt;""),AND(FR15&gt;=FU$26,FR15&lt;&gt;"",FT15&gt;=FU$30,FT15&lt;&gt;""),AND(GP15&gt;=HC$26,GP15&lt;&gt;"",GR15&gt;=HC$30,GR15&lt;&gt;""),AND(GS15&gt;=HC$26,GS15&lt;&gt;"",GU15&gt;=HC$30,GU15&lt;&gt;""),AND(GW15&gt;=HC$26,GW15&lt;&gt;"",GY15&gt;=HC$30,GY15&lt;&gt;""),AND(GZ15&gt;=HC$26,GZ15&lt;&gt;"",HB15&gt;=HC$30,HB15&lt;&gt;""),AND(HX15&gt;=IK$26,HX15&lt;&gt;"",HZ15&gt;=IK$30,HZ15&lt;&gt;""),AND(IA15&gt;=IK$26,IA15&lt;&gt;"",IC15&gt;=IK$30,IC15&lt;&gt;""),AND(IE15&gt;=IK$26,IE15&lt;&gt;"",IG15&gt;=IK$30,IG15&lt;&gt;""),AND(IH15&gt;=IK$26,IH15&lt;&gt;"",IJ15&gt;=IK$30,IJ15&lt;&gt;""),AND(JF15&gt;=JS$26,JF15&lt;&gt;"",JH15&gt;=JS$30,JH15&lt;&gt;""),AND(JI15&gt;=JS$26,JI15&lt;&gt;"",JK15&gt;=JS$30,JK15&lt;&gt;""),AND(JM15&gt;=JS$26,JM15&lt;&gt;"",JO15&gt;=JS$30,JO15&lt;&gt;""),AND(JP15&gt;=JS$26,JP15&lt;&gt;"",JR15&gt;=JS$30,JR15&lt;&gt;""),AND(KN15&gt;=LA$26,KN15&lt;&gt;"",KP15&gt;=LA$30,KP15&lt;&gt;""),AND(KQ15&gt;=LA$26,KQ15&lt;&gt;"",KS15&gt;=LA$30,KS15&lt;&gt;""),AND(KU15&gt;=LA$26,KU15&lt;&gt;"",KW15&gt;=LA$30,KW15&lt;&gt;""),AND(KX15&gt;=LA$26,KX15&lt;&gt;"",KZ15&gt;=LA$30,KZ15&lt;&gt;""),AND(LV15&gt;=MI$26,LV15&lt;&gt;"",LX15&gt;=MI$30,LX15&lt;&gt;""),AND(LY15&gt;=MI$26,LY15&lt;&gt;"",MA15&gt;=MI$30,MA15&lt;&gt;""),AND(MC15&gt;=MI$26,MC15&lt;&gt;"",ME15&gt;=MI$30,ME15&lt;&gt;""),AND(MF15&gt;=MI$26,MF15&lt;&gt;"",MH15&gt;=MI$30,MH15&lt;&gt;""),AND(ND15&gt;=NQ$26,ND15&lt;&gt;"",NF15&gt;=NQ$30,NF15&lt;&gt;""),AND(NG15&gt;=NQ$26,NG15&lt;&gt;"",NI15&gt;=NQ$30,NI15&lt;&gt;""),AND(NK15&gt;=NQ$26,NK15&lt;&gt;"",NM15&gt;=NQ$30,NM15&lt;&gt;""),AND(NN15&gt;=NQ$26,NN15&lt;&gt;"",NP15&gt;=NQ$30,NP15&lt;&gt;""),AND(OL15&gt;=OY$26,OL15&lt;&gt;"",ON15&gt;=OY$30,ON15&lt;&gt;""),AND(OO15&gt;=OY$26,OO15&lt;&gt;"",OQ15&gt;=OY$30,OQ15&lt;&gt;""),AND(OS15&gt;=OY$26,OS15&lt;&gt;"",OU15&gt;=OY$30,OU15&lt;&gt;""),AND(OV15&gt;=OY$26,OV15&lt;&gt;"",OX15&gt;=OY$30,OX15&lt;&gt;""),AND(PT15&gt;=QG$26,PT15&lt;&gt;"",PV15&gt;=QG$30,PV15&lt;&gt;""),AND(PW15&gt;=QG$26,PW15&lt;&gt;"",PY15&gt;=QG$30,PY15&lt;&gt;""),AND(QA15&gt;=QG$26,QA15&lt;&gt;"",QC15&gt;=QG$30,QC15&lt;&gt;""),AND(QD15&gt;=QG$26,QD15&lt;&gt;"",QF15&gt;=QG$30,QF15&lt;&gt;""),AND(RB15&gt;=RO$26,RB15&lt;&gt;"",RD15&gt;=RO$30,RD15&lt;&gt;""),AND(RE15&gt;=RO$26,RE15&lt;&gt;"",RG15&gt;=RO$30,RG15&lt;&gt;""),AND(RI15&gt;=RO$26,RI15&lt;&gt;"",RK15&gt;=RO$30,RK15&lt;&gt;""),AND(RL15&gt;=RO$26,RL15&lt;&gt;"",RN15&gt;=RO$30,RN15&lt;&gt;""),AND(SJ15&gt;=SW$26,SJ15&lt;&gt;"",SL15&gt;=SW$30,SL15&lt;&gt;""),AND(SM15&gt;=SW$26,SM15&lt;&gt;"",SO15&gt;=SW$30,SO15&lt;&gt;""),AND(SQ15&gt;=SW$26,SQ15&lt;&gt;"",SS15&gt;=SW$30,SS15&lt;&gt;""),AND(ST15&gt;=SW$26,ST15&lt;&gt;"",SV15&gt;=SW$30,SV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49.445</v>
      </c>
      <c r="O15" s="13" t="str">
        <f>IF(N15="","",IF(OR(N15=CS15,N15=CV15),$CA$1,IF(OR(N15=BR15,N15=BU15),$AZ$1,IF(OR(N15=AQ15,N15=AT15),$Y$1,""))))</f>
        <v>2022 Elite Canada</v>
      </c>
      <c r="P15" s="13">
        <f>IF(MAX(AX15,BY15,CZ15)&gt;0,MAX(AX15,BY15,CZ15),0)</f>
        <v>48.845000000000006</v>
      </c>
      <c r="Q15" s="13" t="str">
        <f>IF(P15="","",IF(P15=CZ15,$CA$1,IF(P15=BY15,$AZ$1,IF(P15=AX15,$Y$1,""))))</f>
        <v>2022 Elite Canada</v>
      </c>
      <c r="R15" s="13">
        <f>IF(MAX(AO15,AR15,AV15,BP15,BS15,BW15,CQ15,CT15,CX15)&gt;0,MAX(AO15,AR15,BP15,BS15,CQ15,CT15,AV15),0)</f>
        <v>13.5</v>
      </c>
      <c r="S15" s="13" t="str">
        <f>IF(R15=0,"",IF(OR(R15=CQ15,R15=CT15,R15=CX15),$CA$1,IF(OR(R15=BP15,R15=BS15,R15=BW15),$AZ$1,IF(OR(R15=AO15,R15=AR15,R15=AV15),$Y$1,""))))</f>
        <v>2022 Elite Canada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),0)</f>
        <v>0</v>
      </c>
      <c r="U15" s="13" t="str">
        <f>IF(T15=0,"",IF(OR(T15=CR15,T15=CU15,T15=CY15),$CA$1,IF(OR(T15=BQ15,T15=BT15,T15=BX15),$AZ$1,IF(OR(T15=AP15,T15=AS15,T15=AW15),$Y$1,""))))</f>
        <v/>
      </c>
      <c r="V15" s="13" t="str">
        <f>IF(MAX(DB15,DC15,DD15,DE15)&gt;0,MAX(DB15,DC15,DD15,DE15),"")</f>
        <v/>
      </c>
      <c r="W15" s="16" t="str">
        <f>IF(V15="","",IF(V15=DB15,"("&amp;DB$2&amp;")",IF(V15=DC15,"("&amp;DC$2&amp;")",IF(V15=DD15,"("&amp;DD$2&amp;")",IF(V15=DE15,"("&amp;DE$2&amp;")")))))</f>
        <v/>
      </c>
      <c r="X15" s="13" t="str">
        <f>IF(V15="","",IF(V15=DB15,IF(V15+IF(L15="",0,L15)=SP15,$RP$1,IF(V15+IF(L15="",0,L15)=RH15,$QH$1,IF(V15+IF(L15="",0,L15)=PZ15,$OZ$1,IF(V15+IF(L15="",0,L15)=OR15,$NR$1,IF(V15+IF(L15="",0,L15)=NJ15,$MJ$1,IF(V15+IF(L15="",0,L15)=MB15,$LB$1,IF(V15+IF(L15="",0,L15)=KT15,$JT$1,IF(V15+IF(L15="",0,L15)=JL15,$IL$1,IF(V15+IF(L15="",0,L15)=ID15,$HD$1,IF(V15+IF(L15="",0,L15)=GV15,$FV$1,IF(V15+IF(L15="",0,L15)=FN15,$EN$1,IF(V15+IF(L15="",0,L15)=EF15,$DF$1)))))))))))),IF(V15=DC15,IF(V15+IF(P15="",0,P15)=SV15,$RP$1,IF(V15+IF(P15="",0,P15)=RN15,$QH$1,IF(V15+IF(P15="",0,P15)=QF15,$OZ$1,IF(V15+IF(P15="",0,P15)=OX15,$NR$1,IF(V15+IF(P15="",0,P15)=NP15,$MJ$1,IF(V15+IF(P15="",0,P15)=MH15,$LB$1,IF(V15+IF(P15="",0,P15)=KZ15,$JT$1,IF(V15+IF(P15="",0,P15)=JR15,$IL$1,IF(V15+IF(P15="",0,P15)=IJ15,$HD$1,IF(V15+IF(P15="",0,P15)=HB15,$FV$1,IF(V15+IF(P15="",0,P15)=FT15,$EN$1,IF(V15+IF(P15="",0,P15)=EL15,$DF$1)))))))))))),IF(V15=DD15,IF(V15+IF(R15="",0,R15)=MAX(SJ15,SM15,SQ15,ST15),$RP$1,IF(V15+IF(R15="",0,R15)=MAX(RB15,RE15,RI15,RL15),$QH$1,IF(V15+IF(R15="",0,R15)=MAX(PT15,PW15,QA15,QD15),$OZ$1,IF(V15+IF(R15="",0,R15)=MAX(OL15,OO15,OS15,OV15),$NR$1,IF(V15+IF(R15="",0,R15)=MAX(ND15,NG15,NK15,NN15),$MJ$1,IF(V15+IF(R15="",0,R15)=MAX(LV15,LY15,MC15,MF15),$LB$1,IF(V15+IF(R15="",0,R15)=MAX(KN15,KQ15,KU15,KX15),$JT$1,IF(V15+IF(R15="",0,R15)=MAX(JF15,JI15,JM15,JP15),$IL$1,IF(V15+IF(R15="",0,R15)=MAX(HX15,IA15,IE15,IH15),$HD$1,IF(V15+IF(R15="",0,R15)=MAX(GP15,GS15,GW15,GZ15),$FV$1,IF(V15+IF(R15="",0,R15)=MAX(FH15,FK15,FO15,FR15),$EN$1,IF(V15+IF(R15="",0,R15)=MAX(DZ15,EC15,EG15,EJ15),$DF$1)))))))))))),IF(V15=DE15,IF(V15+IF(T15="",0,T15)=MAX(SK15,SN15,SR15,SU15),$RP$1,IF(V15+IF(T15="",0,T15)=MAX(RC15,RF15,RJ15,RM15),$QH$1,IF(V15+IF(T15="",0,T15)=MAX(PU15,PX15,QB15,QE15),$OZ$1,IF(V15+IF(T15="",0,T15)=MAX(OM15,OP15,OT15,OW15),$NR$1,IF(V15+IF(T15="",0,T15)=MAX(NE15,NH15,NL15,NO15),$MJ$1,IF(V15+IF(T15="",0,T15)=MAX(LW15,LZ15,MD15,MG15),$LB$1,IF(V15+IF(T15="",0,T15)=MAX(KO15,KR15,KV15,KY15),$JT$1,IF(V15+IF(T15="",0,T15)=MAX(JG15,JJ15,JN15,JQ15),$IL$1,IF(V15+IF(T15="",0,T15)=MAX(HY15,IB15,IF15,II15),$HD$1,IF(V15+IF(T15="",0,T15)=MAX(GQ15,GT15,GX15,HA15),$FV$1,IF(V15+IF(T15="",0,T15)=MAX(FI15,FL15,FP15,FS15),$EN$1,IF(V15+IF(T15="",0,T15)=MAX(EA15,ED15,EH15,EK15),$DF$1)))))))))))))))))</f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>IF(AA15&gt;0,AA15,"")</f>
        <v/>
      </c>
      <c r="AP15" s="74" t="str">
        <f>IF(AB15&gt;0,AB15,"")</f>
        <v/>
      </c>
      <c r="AQ15" s="76" t="str">
        <f>IF(SUM(Y15:AB15)-AC15&gt;0,SUM(Y15:AB15)-AC15,"")</f>
        <v/>
      </c>
      <c r="AR15" s="76" t="str">
        <f>IF(AF15&gt;0,AF15,"")</f>
        <v/>
      </c>
      <c r="AS15" s="76" t="str">
        <f>IF(AG15&gt;0,AG15,"")</f>
        <v/>
      </c>
      <c r="AT15" s="76" t="str">
        <f>IF(SUM(AD15:AG15)-AH15&gt;0,SUM(AD15:AG15)-AH15,"")</f>
        <v/>
      </c>
      <c r="AU15" s="76" t="str">
        <f>IF(AQ15="","",MAX(AQ15,AT15))</f>
        <v/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 t="str">
        <f>IF(SUM(AU15,AX15)&gt;0,SUM(AU15,AX15),"")</f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>IF(BB15&gt;0,BB15,"")</f>
        <v>8.3000000000000007</v>
      </c>
      <c r="BQ15" s="75">
        <f>IF(BC15&gt;0,BC15,"")</f>
        <v>11.654999999999999</v>
      </c>
      <c r="BR15" s="16">
        <f>IF(SUM(AZ15:BC15)-BD15&gt;0,SUM(AZ15:BC15)-BD15,"")</f>
        <v>38.155000000000001</v>
      </c>
      <c r="BS15" s="16">
        <f>IF(BG15&gt;0,BG15,"")</f>
        <v>13.1</v>
      </c>
      <c r="BT15" s="16">
        <f>IF(BH15&gt;0,BH15,"")</f>
        <v>15.06</v>
      </c>
      <c r="BU15" s="16">
        <f>IF(SUM(BE15:BH15)-BI15&gt;0,SUM(BE15:BH15)-BI15,"")</f>
        <v>52.06</v>
      </c>
      <c r="BV15" s="16">
        <f>IF(BR15="","",MAX(BR15,BU15))</f>
        <v>52.06</v>
      </c>
      <c r="BW15" s="16">
        <f>IF(BL15&gt;0,BL15,"")</f>
        <v>5.4</v>
      </c>
      <c r="BX15" s="16">
        <f>IF(BM15&gt;0,BM15,"")</f>
        <v>6.085</v>
      </c>
      <c r="BY15" s="16">
        <f>IF(SUM(BJ15:BM15)-BN15&gt;0,SUM(BJ15:BM15)-BN15,"")</f>
        <v>21.285</v>
      </c>
      <c r="BZ15" s="16">
        <f>IF(SUM(BV15,BY15)&gt;0,SUM(BV15,BY15),"")</f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>IF(CC15&gt;0,CC15,"")</f>
        <v>12.6</v>
      </c>
      <c r="CR15" s="74">
        <f>IF(CD15&gt;0,CD15,"")</f>
        <v>14.345000000000001</v>
      </c>
      <c r="CS15" s="76">
        <f>IF(SUM(CA15:CD15)-CE15&gt;0,SUM(CA15:CD15)-CE15,"")</f>
        <v>49.445</v>
      </c>
      <c r="CT15" s="76">
        <f>IF(CH15&gt;0,CH15,"")</f>
        <v>13.5</v>
      </c>
      <c r="CU15" s="76">
        <f>IF(CI15&gt;0,CI15,"")</f>
        <v>14.895</v>
      </c>
      <c r="CV15" s="76">
        <f>IF(SUM(CF15:CI15)-CJ15&gt;0,SUM(CF15:CI15)-CJ15,"")</f>
        <v>52.795000000000002</v>
      </c>
      <c r="CW15" s="76">
        <f>IF(CS15="","",MAX(CS15,CV15))</f>
        <v>52.795000000000002</v>
      </c>
      <c r="CX15" s="76">
        <f>IF(CM15&gt;0,CM15,"")</f>
        <v>12.6</v>
      </c>
      <c r="CY15" s="76">
        <f>IF(CN15&gt;0,CN15,"")</f>
        <v>14.545</v>
      </c>
      <c r="CZ15" s="76">
        <f>IF(SUM(CK15:CN15)-CO15&gt;0,SUM(CK15:CN15)-CO15,"")</f>
        <v>48.845000000000006</v>
      </c>
      <c r="DA15" s="76">
        <f>IF(SUM(CW15,CZ15)&gt;0,SUM(CW15,CZ15),"")</f>
        <v>101.64000000000001</v>
      </c>
      <c r="DB15" s="87" t="str">
        <f>IF(L15&gt;=0.001,IF(MAX(EF15,FN15,GV15,ID15,JL15,KT15,MB15,NJ15,OR15,PZ15,RH15,SP15)-IF(L15="",0,L15)&gt;0.001,MAX(EF15,FN15,GV15,ID15,JL15,KT15,MB15,NJ15,OR15,PZ15,RH15,SP15)-IF(L15="",0,L15),""),"")</f>
        <v/>
      </c>
      <c r="DC15" s="87" t="str">
        <f>IF(P15&gt;=0.001,IF(MAX(EI15,EL15,FQ15,FT15,GY15,HB15,IG15,IJ15,JO15,JR15,KW15,KZ15,ME15,MH15,NM15,NP15,OU15,OX15,QC15,QF15,RK15,RN15,SS15,SV15)-IF(P15="",0,P15)&gt;0.001,MAX(EI15,EL15,FQ15,FT15,GY15,HB15,IG15,IJ15,JO15,JR15,KW15,KZ15,ME15,MH15,NM15,NP15,OU15,OX15,QC15,QF15,RK15,RN15,SS15,SV15)-IF(P15="",0,P15),""),"")</f>
        <v/>
      </c>
      <c r="DD15" s="87" t="str">
        <f>IF(R15&gt;=0.001,IF(MAX(DZ15,EC15,EG15,EJ15,FH15,FK15,FO15,FR15,GP15,GS15,GW15,GZ15,HX15,IA15,IE15,IH15,JF15,JI15,JM15,JP15,KN15,KQ15,KU15,KX15,LV15,LY15,MC15,MF15,ND15,NG15,NK15,NN15,OL15,OO15,OS15,OV15,PT15,PW15,QA15,QD15,RB15,RE15,RI15,RL15,SJ15,SM15,SQ15,ST15)-IF(R15="",0,R15)&gt;0.001,MAX(DZ15,EC15,EG15,EJ15,FH15,FK15,FO15,FR15,GP15,GS15,GW15,GZ15,HX15,IA15,IE15,IH15,JF15,JI15,JM15,JP15,KN15,KQ15,KU15,KX15,LV15,LY15,MC15,MF15,ND15,NG15,NK15,NN15,OL15,OO15,OS15,OV15,PT15,PW15,QA15,QD15,RB15,RE15,RI15,RL15,SJ15,SM15,SQ15,ST15)-IF(R15="",0,R15),""),"")</f>
        <v/>
      </c>
      <c r="DE15" s="87" t="str">
        <f>IF(T15&gt;=0.001,IF(MAX(IF(DZ15&gt;=$EM$25,EA15,0),IF(EC15&gt;=$EM$25,ED15,0),IF(EG15&gt;=$EM$25,EH15,0),IF(EJ15&gt;=$EM$25,EK15,0),IF(FH15&gt;=$FU$25,FI15,0),IF(FK15&gt;=$FU$25,FL15,0),IF(FO15&gt;=$FU$25,FP15,0),IF(FR15&gt;=$FU$25,FS15,0),IF(GP15&gt;=$HC$25,GQ15,0),IF(GS15&gt;=$HC$25,GT15,0),IF(GW15&gt;=$HC$25,GX15,0),IF(GZ15&gt;=$HC$25,HA15,0),IF(HX15&gt;=$IK$25,HY15,0),IF(IA15&gt;=$IK$25,IB15,0),IF(IE15&gt;=$IK$25,IF15,0),IF(IH15&gt;=$IK$25,II15,0),IF(JF15&gt;=$JS$25,JG15,0),IF(JI15&gt;=$JS$25,JJ15,0),IF(JM15&gt;=$JS$25,JN15,0),IF(JP15&gt;=$JS$25,JQ15,0),IF(KN15&gt;=$LA$25,KO15,0),IF(KQ15&gt;=$LA$25,KR15,0),IF(KU15&gt;=$LA$25,KV15,0),IF(KX15&gt;=$LA$25,KY15,0),IF(LV15&gt;=$MI$25,LW15,0),IF(LY15&gt;=$MI$25,LZ15,0),IF(MC15&gt;=$MI$25,MD15,0),IF(MF15&gt;=$MI$25,MG15,0),IF(ND15&gt;=$NQ$25,NE15,0),IF(NG15&gt;=$NQ$25,NH15,0),IF(NK15&gt;=$NQ$25,NL15,0),IF(NN15&gt;=$NQ$25,NO15,0),IF(OL15&gt;=$OY$25,OM15,0),IF(OO15&gt;=$OY$25,OP15,0),IF(OS15&gt;=$OY$25,OT15,0),IF(OV15&gt;=$OY$25,OW15,0),IF(PT15&gt;=$QG$25,PU15,0),IF(PW15&gt;=$QG$25,PX15,0),IF(QA15&gt;=$QG$25,QB15,0),IF(QD15&gt;=$QG$25,QE15,0),IF(RB15&gt;=$RO$25,RC15,0),IF(RE15&gt;=$RO$25,RF15,0),IF(RI15&gt;=$RO$25,RJ15,0),IF(RL15&gt;=$RO$25,RM15,0),IF(SJ15&gt;=$SW$25,SK15,0),IF(SM15&gt;=$SW$25,SN15,0),IF(SQ15&gt;=$SW$25,SR15,0),IF(ST15&gt;=$SW$25,SU15,0))-IF(T15="",0,T15)&gt;0.001,MAX(IF(DZ15&gt;=$EM$25,EA15,0),IF(EC15&gt;=$EM$25,ED15,0),IF(EG15&gt;=$EM$25,EH15,0),IF(EJ15&gt;=$EM$25,EK15,0),IF(FH15&gt;=$FU$25,FI15,0),IF(FK15&gt;=$FU$25,FL15,0),IF(FO15&gt;=$FU$25,FP15,0),IF(FR15&gt;=$FU$25,FS15,0),IF(GP15&gt;=$HC$25,GQ15,0),IF(GS15&gt;=$HC$25,GT15,0),IF(GW15&gt;=$HC$25,GX15,0),IF(GZ15&gt;=$HC$25,HA15,0),IF(HX15&gt;=$IK$25,HY15,0),IF(IA15&gt;=$IK$25,IB15,0),IF(IE15&gt;=$IK$25,IF15,0),IF(IH15&gt;=$IK$25,II15,0),IF(JF15&gt;=$JS$25,JG15,0),IF(JI15&gt;=$JS$25,JJ15,0),IF(JM15&gt;=$JS$25,JN15,0),IF(JP15&gt;=$JS$25,JQ15,0),IF(KN15&gt;=$LA$25,KO15,0),IF(KQ15&gt;=$LA$25,KR15,0),IF(KU15&gt;=$LA$25,KV15,0),IF(KX15&gt;=$LA$25,KY15,0),IF(LV15&gt;=$MI$25,LW15,0),IF(LY15&gt;=$MI$25,LZ15,0),IF(MC15&gt;=$MI$25,MD15,0),IF(MF15&gt;=$MI$25,MG15,0),IF(ND15&gt;=$NQ$25,NE15,0),IF(NG15&gt;=$NQ$25,NH15,0),IF(NK15&gt;=$NQ$25,NL15,0),IF(NN15&gt;=$NQ$25,NO15,0),IF(OL15&gt;=$OY$25,OM15,0),IF(OO15&gt;=$OY$25,OP15,0),IF(OS15&gt;=$OY$25,OT15,0),IF(OV15&gt;=$OY$25,OW15,0),IF(PT15&gt;=$QG$25,PU15,0),IF(PW15&gt;=$QG$25,PX15,0),IF(QA15&gt;=$QG$25,QB15,0),IF(QD15&gt;=$QG$25,QE15,0),IF(RB15&gt;=$RO$25,RC15,0),IF(RE15&gt;=$RO$25,RF15,0),IF(RI15&gt;=$RO$25,RJ15,0),IF(RL15&gt;=$RO$25,RM15,0),IF(SJ15&gt;=$SW$25,SK15,0),IF(SM15&gt;=$SW$25,SN15,0),IF(SQ15&gt;=$SW$25,SR15,0),IF(ST15&gt;=$SW$25,SU15,0))-IF(T15="",0,T15),""),"")</f>
        <v/>
      </c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76" t="str">
        <f>IF(DH15&gt;0,DH15,"")</f>
        <v/>
      </c>
      <c r="EA15" s="76" t="str">
        <f>IF(DI15&gt;0,DI15,"")</f>
        <v/>
      </c>
      <c r="EB15" s="76" t="str">
        <f>IF(SUM(DF15:DI15)-DJ15&gt;0,SUM(DF15:DI15)-DJ15,"")</f>
        <v/>
      </c>
      <c r="EC15" s="76" t="str">
        <f>IF(DM15&gt;0,DM15,"")</f>
        <v/>
      </c>
      <c r="ED15" s="76" t="str">
        <f>IF(DN15&gt;0,DN15,"")</f>
        <v/>
      </c>
      <c r="EE15" s="76" t="str">
        <f>IF(SUM(DK15:DN15)-DO15&gt;0,SUM(DK15:DN15)-DO15,"")</f>
        <v/>
      </c>
      <c r="EF15" s="76" t="str">
        <f>IF(MAX(EB15,EE15)&gt;0,MAX(EB15,EE15),"")</f>
        <v/>
      </c>
      <c r="EG15" s="76" t="str">
        <f>IF(DR15&gt;0,DR15,"")</f>
        <v/>
      </c>
      <c r="EH15" s="76" t="str">
        <f>IF(DS15&gt;0,DS15,"")</f>
        <v/>
      </c>
      <c r="EI15" s="76" t="str">
        <f>IF(SUM(DP15:DS15)-DT15&gt;0,SUM(DP15:DS15)-DT15,"")</f>
        <v/>
      </c>
      <c r="EJ15" s="76" t="str">
        <f>IF(DW15&gt;0,DW15,"")</f>
        <v/>
      </c>
      <c r="EK15" s="76" t="str">
        <f>IF(DX15&gt;0,DX15,"")</f>
        <v/>
      </c>
      <c r="EL15" s="76" t="str">
        <f>IF(SUM(DU15:DX15)-DY15&gt;0,SUM(DU15:DX15)-DY15,"")</f>
        <v/>
      </c>
      <c r="EM15" s="76" t="str">
        <f>IF(SUM(EF15,EL15)&gt;0,SUM(EF15,EL15),"")</f>
        <v/>
      </c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16" t="str">
        <f>IF(EP15&gt;0,EP15,"")</f>
        <v/>
      </c>
      <c r="FI15" s="16" t="str">
        <f>IF(EQ15&gt;0,EQ15,"")</f>
        <v/>
      </c>
      <c r="FJ15" s="16" t="str">
        <f>IF(SUM(EN15:EQ15)-ER15&gt;0,SUM(EN15:EQ15)-ER15,"")</f>
        <v/>
      </c>
      <c r="FK15" s="16" t="str">
        <f>IF(EU15&gt;0,EU15,"")</f>
        <v/>
      </c>
      <c r="FL15" s="16" t="str">
        <f>IF(EV15&gt;0,EV15,"")</f>
        <v/>
      </c>
      <c r="FM15" s="16" t="str">
        <f>IF(SUM(ES15:EV15)-EW15&gt;0,SUM(ES15:EV15)-EW15,"")</f>
        <v/>
      </c>
      <c r="FN15" s="16" t="str">
        <f>IF(MAX(FJ15,FM15)&gt;0,MAX(FJ15,FM15),"")</f>
        <v/>
      </c>
      <c r="FO15" s="16" t="str">
        <f>IF(EZ15&gt;0,EZ15,"")</f>
        <v/>
      </c>
      <c r="FP15" s="16" t="str">
        <f>IF(FA15&gt;0,FA15,"")</f>
        <v/>
      </c>
      <c r="FQ15" s="16" t="str">
        <f>IF(SUM(EX15:FA15)-FB15&gt;0,SUM(EX15:FA15)-FB15,"")</f>
        <v/>
      </c>
      <c r="FR15" s="16" t="str">
        <f>IF(FE15&gt;0,FE15,"")</f>
        <v/>
      </c>
      <c r="FS15" s="16" t="str">
        <f>IF(FF15&gt;0,FF15,"")</f>
        <v/>
      </c>
      <c r="FT15" s="16" t="str">
        <f>IF(SUM(FC15:FF15)-FG15&gt;0,SUM(FC15:FF15)-FG15,"")</f>
        <v/>
      </c>
      <c r="FU15" s="16" t="str">
        <f>IF(SUM(FN15,FT15)&gt;0,SUM(FN15,FT15),"")</f>
        <v/>
      </c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76" t="str">
        <f>IF(FX15&gt;0,FX15,"")</f>
        <v/>
      </c>
      <c r="GQ15" s="76" t="str">
        <f>IF(FY15&gt;0,FY15,"")</f>
        <v/>
      </c>
      <c r="GR15" s="76" t="str">
        <f>IF(SUM(FV15:FY15)-FZ15&gt;0,SUM(FV15:FY15)-FZ15,"")</f>
        <v/>
      </c>
      <c r="GS15" s="76" t="str">
        <f>IF(GC15&gt;0,GC15,"")</f>
        <v/>
      </c>
      <c r="GT15" s="76" t="str">
        <f>IF(GD15&gt;0,GD15,"")</f>
        <v/>
      </c>
      <c r="GU15" s="76" t="str">
        <f>IF(SUM(GA15:GD15)-GE15&gt;0,SUM(GA15:GD15)-GE15,"")</f>
        <v/>
      </c>
      <c r="GV15" s="76" t="str">
        <f>IF(MAX(GR15,GU15)&gt;0,MAX(GR15,GU15),"")</f>
        <v/>
      </c>
      <c r="GW15" s="76" t="str">
        <f>IF(GH15&gt;0,GH15,"")</f>
        <v/>
      </c>
      <c r="GX15" s="76" t="str">
        <f>IF(GI15&gt;0,GI15,"")</f>
        <v/>
      </c>
      <c r="GY15" s="76" t="str">
        <f>IF(SUM(GF15:GI15)-GJ15&gt;0,SUM(GF15:GI15)-GJ15,"")</f>
        <v/>
      </c>
      <c r="GZ15" s="76" t="str">
        <f>IF(GM15&gt;0,GM15,"")</f>
        <v/>
      </c>
      <c r="HA15" s="76" t="str">
        <f>IF(GN15&gt;0,GN15,"")</f>
        <v/>
      </c>
      <c r="HB15" s="76" t="str">
        <f>IF(SUM(GK15:GN15)-GO15&gt;0,SUM(GK15:GN15)-GO15,"")</f>
        <v/>
      </c>
      <c r="HC15" s="76" t="str">
        <f>IF(SUM(GV15,HB15)&gt;0,SUM(GV15,HB15),"")</f>
        <v/>
      </c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16" t="str">
        <f>IF(HF15&gt;0,HF15,"")</f>
        <v/>
      </c>
      <c r="HY15" s="16" t="str">
        <f>IF(HG15&gt;0,HG15,"")</f>
        <v/>
      </c>
      <c r="HZ15" s="16" t="str">
        <f>IF(SUM(HD15:HG15)-HH15&gt;0,SUM(HD15:HG15)-HH15,"")</f>
        <v/>
      </c>
      <c r="IA15" s="16" t="str">
        <f>IF(HK15&gt;0,HK15,"")</f>
        <v/>
      </c>
      <c r="IB15" s="16" t="str">
        <f>IF(HL15&gt;0,HL15,"")</f>
        <v/>
      </c>
      <c r="IC15" s="16" t="str">
        <f>IF(SUM(HI15:HL15)-HM15&gt;0,SUM(HI15:HL15)-HM15,"")</f>
        <v/>
      </c>
      <c r="ID15" s="16" t="str">
        <f>IF(MAX(HZ15,IC15)&gt;0,MAX(HZ15,IC15),"")</f>
        <v/>
      </c>
      <c r="IE15" s="16" t="str">
        <f>IF(HP15&gt;0,HP15,"")</f>
        <v/>
      </c>
      <c r="IF15" s="16" t="str">
        <f>IF(HQ15&gt;0,HQ15,"")</f>
        <v/>
      </c>
      <c r="IG15" s="16" t="str">
        <f>IF(SUM(HN15:HQ15)-HR15&gt;0,SUM(HN15:HQ15)-HR15,"")</f>
        <v/>
      </c>
      <c r="IH15" s="16" t="str">
        <f>IF(HU15&gt;0,HU15,"")</f>
        <v/>
      </c>
      <c r="II15" s="16" t="str">
        <f>IF(HV15&gt;0,HV15,"")</f>
        <v/>
      </c>
      <c r="IJ15" s="16" t="str">
        <f>IF(SUM(HS15:HV15)-HW15&gt;0,SUM(HS15:HV15)-HW15,"")</f>
        <v/>
      </c>
      <c r="IK15" s="16" t="str">
        <f>IF(SUM(ID15,IJ15)&gt;0,SUM(ID15,IJ15),"")</f>
        <v/>
      </c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76" t="str">
        <f>IF(IN15&gt;0,IN15,"")</f>
        <v/>
      </c>
      <c r="JG15" s="76" t="str">
        <f>IF(IO15&gt;0,IO15,"")</f>
        <v/>
      </c>
      <c r="JH15" s="76" t="str">
        <f>IF(SUM(IL15:IO15)-IP15&gt;0,SUM(IL15:IO15)-IP15,"")</f>
        <v/>
      </c>
      <c r="JI15" s="76" t="str">
        <f>IF(IS15&gt;0,IS15,"")</f>
        <v/>
      </c>
      <c r="JJ15" s="76" t="str">
        <f>IF(IT15&gt;0,IT15,"")</f>
        <v/>
      </c>
      <c r="JK15" s="76" t="str">
        <f>IF(SUM(IQ15:IT15)-IU15&gt;0,SUM(IQ15:IT15)-IU15,"")</f>
        <v/>
      </c>
      <c r="JL15" s="76" t="str">
        <f>IF(MAX(JH15,JK15)&gt;0,MAX(JH15,JK15),"")</f>
        <v/>
      </c>
      <c r="JM15" s="76" t="str">
        <f>IF(IX15&gt;0,IX15,"")</f>
        <v/>
      </c>
      <c r="JN15" s="76" t="str">
        <f>IF(IY15&gt;0,IY15,"")</f>
        <v/>
      </c>
      <c r="JO15" s="76" t="str">
        <f>IF(SUM(IV15:IY15)-IZ15&gt;0,SUM(IV15:IY15)-IZ15,"")</f>
        <v/>
      </c>
      <c r="JP15" s="76" t="str">
        <f>IF(JC15&gt;0,JC15,"")</f>
        <v/>
      </c>
      <c r="JQ15" s="76" t="str">
        <f>IF(JD15&gt;0,JD15,"")</f>
        <v/>
      </c>
      <c r="JR15" s="76" t="str">
        <f>IF(SUM(JA15:JD15)-JE15&gt;0,SUM(JA15:JD15)-JE15,"")</f>
        <v/>
      </c>
      <c r="JS15" s="76" t="str">
        <f>IF(SUM(JL15,JR15)&gt;0,SUM(JL15,JR15),"")</f>
        <v/>
      </c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16" t="str">
        <f>IF(JV15&gt;0,JV15,"")</f>
        <v/>
      </c>
      <c r="KO15" s="16" t="str">
        <f>IF(JW15&gt;0,JW15,"")</f>
        <v/>
      </c>
      <c r="KP15" s="16" t="str">
        <f>IF(SUM(JT15:JW15)-JX15&gt;0,SUM(JT15:JW15)-JX15,"")</f>
        <v/>
      </c>
      <c r="KQ15" s="16" t="str">
        <f>IF(KA15&gt;0,KA15,"")</f>
        <v/>
      </c>
      <c r="KR15" s="16" t="str">
        <f>IF(KB15&gt;0,KB15,"")</f>
        <v/>
      </c>
      <c r="KS15" s="16" t="str">
        <f>IF(SUM(JY15:KB15)-KC15&gt;0,SUM(JY15:KB15)-KC15,"")</f>
        <v/>
      </c>
      <c r="KT15" s="16" t="str">
        <f>IF(MAX(KP15,KS15)&gt;0,MAX(KP15,KS15),"")</f>
        <v/>
      </c>
      <c r="KU15" s="16" t="str">
        <f>IF(KF15&gt;0,KF15,"")</f>
        <v/>
      </c>
      <c r="KV15" s="16" t="str">
        <f>IF(KG15&gt;0,KG15,"")</f>
        <v/>
      </c>
      <c r="KW15" s="16" t="str">
        <f>IF(SUM(KD15:KG15)-KH15&gt;0,SUM(KD15:KG15)-KH15,"")</f>
        <v/>
      </c>
      <c r="KX15" s="16" t="str">
        <f>IF(KK15&gt;0,KK15,"")</f>
        <v/>
      </c>
      <c r="KY15" s="16" t="str">
        <f>IF(KL15&gt;0,KL15,"")</f>
        <v/>
      </c>
      <c r="KZ15" s="16" t="str">
        <f>IF(SUM(KI15:KL15)-KM15&gt;0,SUM(KI15:KL15)-KM15,"")</f>
        <v/>
      </c>
      <c r="LA15" s="16" t="str">
        <f>IF(SUM(KT15,KZ15)&gt;0,SUM(KT15,KZ15),"")</f>
        <v/>
      </c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76" t="str">
        <f>IF(LD15&gt;0,LD15,"")</f>
        <v/>
      </c>
      <c r="LW15" s="76" t="str">
        <f>IF(LE15&gt;0,LE15,"")</f>
        <v/>
      </c>
      <c r="LX15" s="76" t="str">
        <f>IF(SUM(LB15:LE15)-LF15&gt;0,SUM(LB15:LE15)-LF15,"")</f>
        <v/>
      </c>
      <c r="LY15" s="76" t="str">
        <f>IF(LI15&gt;0,LI15,"")</f>
        <v/>
      </c>
      <c r="LZ15" s="76" t="str">
        <f>IF(LJ15&gt;0,LJ15,"")</f>
        <v/>
      </c>
      <c r="MA15" s="76" t="str">
        <f>IF(SUM(LG15:LJ15)-LK15&gt;0,SUM(LG15:LJ15)-LK15,"")</f>
        <v/>
      </c>
      <c r="MB15" s="76" t="str">
        <f>IF(MAX(LX15,MA15)&gt;0,MAX(LX15,MA15),"")</f>
        <v/>
      </c>
      <c r="MC15" s="76" t="str">
        <f>IF(LN15&gt;0,LN15,"")</f>
        <v/>
      </c>
      <c r="MD15" s="76" t="str">
        <f>IF(LO15&gt;0,LO15,"")</f>
        <v/>
      </c>
      <c r="ME15" s="76" t="str">
        <f>IF(SUM(LL15:LO15)-LP15&gt;0,SUM(LL15:LO15)-LP15,"")</f>
        <v/>
      </c>
      <c r="MF15" s="76" t="str">
        <f>IF(LS15&gt;0,LS15,"")</f>
        <v/>
      </c>
      <c r="MG15" s="76" t="str">
        <f>IF(LT15&gt;0,LT15,"")</f>
        <v/>
      </c>
      <c r="MH15" s="76" t="str">
        <f>IF(SUM(LQ15:LT15)-LU15&gt;0,SUM(LQ15:LT15)-LU15,"")</f>
        <v/>
      </c>
      <c r="MI15" s="76" t="str">
        <f>IF(SUM(MB15,MH15)&gt;0,SUM(MB15,MH15),"")</f>
        <v/>
      </c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26"/>
      <c r="NC15" s="26"/>
      <c r="ND15" s="16" t="str">
        <f>IF(ML15&gt;0,ML15,"")</f>
        <v/>
      </c>
      <c r="NE15" s="16" t="str">
        <f>IF(MM15&gt;0,MM15,"")</f>
        <v/>
      </c>
      <c r="NF15" s="16" t="str">
        <f>IF(SUM(MJ15:MM15)-MN15&gt;0,SUM(MJ15:MM15)-MN15,"")</f>
        <v/>
      </c>
      <c r="NG15" s="16" t="str">
        <f>IF(MQ15&gt;0,MQ15,"")</f>
        <v/>
      </c>
      <c r="NH15" s="16" t="str">
        <f>IF(MR15&gt;0,MR15,"")</f>
        <v/>
      </c>
      <c r="NI15" s="16" t="str">
        <f>IF(SUM(MO15:MR15)-MS15&gt;0,SUM(MO15:MR15)-MS15,"")</f>
        <v/>
      </c>
      <c r="NJ15" s="16" t="str">
        <f>IF(MAX(NF15,NI15)&gt;0,MAX(NF15,NI15),"")</f>
        <v/>
      </c>
      <c r="NK15" s="16" t="str">
        <f>IF(MV15&gt;0,MV15,"")</f>
        <v/>
      </c>
      <c r="NL15" s="16" t="str">
        <f>IF(MW15&gt;0,MW15,"")</f>
        <v/>
      </c>
      <c r="NM15" s="16" t="str">
        <f>IF(SUM(MT15:MW15)-MX15&gt;0,SUM(MT15:MW15)-MX15,"")</f>
        <v/>
      </c>
      <c r="NN15" s="16" t="str">
        <f>IF(NA15&gt;0,NA15,"")</f>
        <v/>
      </c>
      <c r="NO15" s="16" t="str">
        <f>IF(NB15&gt;0,NB15,"")</f>
        <v/>
      </c>
      <c r="NP15" s="16" t="str">
        <f>IF(SUM(MY15:NB15)-NC15&gt;0,SUM(MY15:NB15)-NC15,"")</f>
        <v/>
      </c>
      <c r="NQ15" s="16" t="str">
        <f>IF(SUM(NJ15,NP15)&gt;0,SUM(NJ15,NP15),"")</f>
        <v/>
      </c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76" t="str">
        <f>IF(NT15&gt;0,NT15,"")</f>
        <v/>
      </c>
      <c r="OM15" s="76" t="str">
        <f>IF(NU15&gt;0,NU15,"")</f>
        <v/>
      </c>
      <c r="ON15" s="76" t="str">
        <f>IF(SUM(NR15:NU15)-NV15&gt;0,SUM(NR15:NU15)-NV15,"")</f>
        <v/>
      </c>
      <c r="OO15" s="76" t="str">
        <f>IF(NY15&gt;0,NY15,"")</f>
        <v/>
      </c>
      <c r="OP15" s="76" t="str">
        <f>IF(NZ15&gt;0,NZ15,"")</f>
        <v/>
      </c>
      <c r="OQ15" s="76" t="str">
        <f>IF(SUM(NW15:NZ15)-OA15&gt;0,SUM(NW15:NZ15)-OA15,"")</f>
        <v/>
      </c>
      <c r="OR15" s="76" t="str">
        <f>IF(MAX(ON15,OQ15)&gt;0,MAX(ON15,OQ15),"")</f>
        <v/>
      </c>
      <c r="OS15" s="76" t="str">
        <f>IF(OD15&gt;0,OD15,"")</f>
        <v/>
      </c>
      <c r="OT15" s="76" t="str">
        <f>IF(OE15&gt;0,OE15,"")</f>
        <v/>
      </c>
      <c r="OU15" s="76" t="str">
        <f>IF(SUM(OB15:OE15)-OF15&gt;0,SUM(OB15:OE15)-OF15,"")</f>
        <v/>
      </c>
      <c r="OV15" s="76" t="str">
        <f>IF(OI15&gt;0,OI15,"")</f>
        <v/>
      </c>
      <c r="OW15" s="76" t="str">
        <f>IF(OJ15&gt;0,OJ15,"")</f>
        <v/>
      </c>
      <c r="OX15" s="76" t="str">
        <f>IF(SUM(OG15:OJ15)-OK15&gt;0,SUM(OG15:OJ15)-OK15,"")</f>
        <v/>
      </c>
      <c r="OY15" s="76" t="str">
        <f>IF(SUM(OR15,OX15)&gt;0,SUM(OR15,OX15),"")</f>
        <v/>
      </c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16" t="str">
        <f>IF(PB15&gt;0,PB15,"")</f>
        <v/>
      </c>
      <c r="PU15" s="16" t="str">
        <f>IF(PC15&gt;0,PC15,"")</f>
        <v/>
      </c>
      <c r="PV15" s="16" t="str">
        <f>IF(SUM(OZ15:PC15)-PD15&gt;0,SUM(OZ15:PC15)-PD15,"")</f>
        <v/>
      </c>
      <c r="PW15" s="16" t="str">
        <f>IF(PG15&gt;0,PG15,"")</f>
        <v/>
      </c>
      <c r="PX15" s="16" t="str">
        <f>IF(PH15&gt;0,PH15,"")</f>
        <v/>
      </c>
      <c r="PY15" s="16" t="str">
        <f>IF(SUM(PE15:PH15)-PI15&gt;0,SUM(PE15:PH15)-PI15,"")</f>
        <v/>
      </c>
      <c r="PZ15" s="16" t="str">
        <f>IF(MAX(PV15,PY15)&gt;0,MAX(PV15,PY15),"")</f>
        <v/>
      </c>
      <c r="QA15" s="16" t="str">
        <f>IF(PL15&gt;0,PL15,"")</f>
        <v/>
      </c>
      <c r="QB15" s="16" t="str">
        <f>IF(PM15&gt;0,PM15,"")</f>
        <v/>
      </c>
      <c r="QC15" s="16" t="str">
        <f>IF(SUM(PJ15:PM15)-PN15&gt;0,SUM(PJ15:PM15)-PN15,"")</f>
        <v/>
      </c>
      <c r="QD15" s="16" t="str">
        <f>IF(PQ15&gt;0,PQ15,"")</f>
        <v/>
      </c>
      <c r="QE15" s="16" t="str">
        <f>IF(PR15&gt;0,PR15,"")</f>
        <v/>
      </c>
      <c r="QF15" s="16" t="str">
        <f>IF(SUM(PO15:PR15)-PS15&gt;0,SUM(PO15:PR15)-PS15,"")</f>
        <v/>
      </c>
      <c r="QG15" s="16" t="str">
        <f>IF(SUM(PZ15,QF15)&gt;0,SUM(PZ15,QF15),"")</f>
        <v/>
      </c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25"/>
      <c r="RA15" s="25"/>
      <c r="RB15" s="76" t="str">
        <f>IF(QJ15&gt;0,QJ15,"")</f>
        <v/>
      </c>
      <c r="RC15" s="76" t="str">
        <f>IF(QK15&gt;0,QK15,"")</f>
        <v/>
      </c>
      <c r="RD15" s="76" t="str">
        <f>IF(SUM(QH15:QK15)-QL15&gt;0,SUM(QH15:QK15)-QL15,"")</f>
        <v/>
      </c>
      <c r="RE15" s="76" t="str">
        <f>IF(QO15&gt;0,QO15,"")</f>
        <v/>
      </c>
      <c r="RF15" s="76" t="str">
        <f>IF(QP15&gt;0,QP15,"")</f>
        <v/>
      </c>
      <c r="RG15" s="76" t="str">
        <f>IF(SUM(QM15:QP15)-QQ15&gt;0,SUM(QM15:QP15)-QQ15,"")</f>
        <v/>
      </c>
      <c r="RH15" s="76" t="str">
        <f>IF(MAX(RD15,RG15)&gt;0,MAX(RD15,RG15),"")</f>
        <v/>
      </c>
      <c r="RI15" s="76" t="str">
        <f>IF(QT15&gt;0,QT15,"")</f>
        <v/>
      </c>
      <c r="RJ15" s="76" t="str">
        <f>IF(QU15&gt;0,QU15,"")</f>
        <v/>
      </c>
      <c r="RK15" s="76" t="str">
        <f>IF(SUM(QR15:QU15)-QV15&gt;0,SUM(QR15:QU15)-QV15,"")</f>
        <v/>
      </c>
      <c r="RL15" s="76" t="str">
        <f>IF(QY15&gt;0,QY15,"")</f>
        <v/>
      </c>
      <c r="RM15" s="76" t="str">
        <f>IF(QZ15&gt;0,QZ15,"")</f>
        <v/>
      </c>
      <c r="RN15" s="76" t="str">
        <f>IF(SUM(QW15:QZ15)-RA15&gt;0,SUM(QW15:QZ15)-RA15,"")</f>
        <v/>
      </c>
      <c r="RO15" s="76" t="str">
        <f>IF(SUM(RH15,RN15)&gt;0,SUM(RH15,RN15),"")</f>
        <v/>
      </c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26"/>
      <c r="SI15" s="26"/>
      <c r="SJ15" s="16" t="str">
        <f>IF(RR15&gt;0,RR15,"")</f>
        <v/>
      </c>
      <c r="SK15" s="16" t="str">
        <f>IF(RS15&gt;0,RS15,"")</f>
        <v/>
      </c>
      <c r="SL15" s="16" t="str">
        <f>IF(SUM(RP15:RS15)-RT15&gt;0,SUM(RP15:RS15)-RT15,"")</f>
        <v/>
      </c>
      <c r="SM15" s="16" t="str">
        <f>IF(RW15&gt;0,RW15,"")</f>
        <v/>
      </c>
      <c r="SN15" s="16" t="str">
        <f>IF(RX15&gt;0,RX15,"")</f>
        <v/>
      </c>
      <c r="SO15" s="16" t="str">
        <f>IF(SUM(RU15:RX15)-RY15&gt;0,SUM(RU15:RX15)-RY15,"")</f>
        <v/>
      </c>
      <c r="SP15" s="16" t="str">
        <f>IF(MAX(SL15,SO15)&gt;0,MAX(SL15,SO15),"")</f>
        <v/>
      </c>
      <c r="SQ15" s="16" t="str">
        <f>IF(SB15&gt;0,SB15,"")</f>
        <v/>
      </c>
      <c r="SR15" s="16" t="str">
        <f>IF(SC15&gt;0,SC15,"")</f>
        <v/>
      </c>
      <c r="SS15" s="16" t="str">
        <f>IF(SUM(RZ15:SC15)-SD15&gt;0,SUM(RZ15:SC15)-SD15,"")</f>
        <v/>
      </c>
      <c r="ST15" s="16" t="str">
        <f>IF(SG15&gt;0,SG15,"")</f>
        <v/>
      </c>
      <c r="SU15" s="16" t="str">
        <f>IF(SH15&gt;0,SH15,"")</f>
        <v/>
      </c>
      <c r="SV15" s="16" t="str">
        <f>IF(SUM(SE15:SH15)-SI15&gt;0,SUM(SE15:SH15)-SI15,"")</f>
        <v/>
      </c>
      <c r="SW15" s="16" t="str">
        <f>IF(SUM(SP15,SV15)&gt;0,SUM(SP15,SV15),"")</f>
        <v/>
      </c>
      <c r="SX15" s="42">
        <f>IF($CP15="P",CA15,(CA15+AZ15)/2)</f>
        <v>12.7</v>
      </c>
      <c r="SY15" s="42">
        <f>IF($CP15="P",CB15,(CB15+BA15)/2)</f>
        <v>8.1</v>
      </c>
      <c r="SZ15" s="42">
        <f>IF($CP15="P",CC15,(CC15+BB15)/2)</f>
        <v>10.45</v>
      </c>
      <c r="TA15" s="42">
        <f>IF($CP15="P",CD15,(CD15+BC15)/2)</f>
        <v>13</v>
      </c>
      <c r="TB15" s="42">
        <f>IF($CP15="P",CE15,(CE15+BD15)/2)</f>
        <v>0.45</v>
      </c>
      <c r="TC15" s="42">
        <f>IF($CP15="P",CF15,(CF15+BE15)/2)</f>
        <v>14.85</v>
      </c>
      <c r="TD15" s="42">
        <f>IF($CP15="P",CG15,(CG15+BF15)/2)</f>
        <v>9.5</v>
      </c>
      <c r="TE15" s="42">
        <f>IF($CP15="P",CH15,(CH15+BG15)/2)</f>
        <v>13.3</v>
      </c>
      <c r="TF15" s="42">
        <f>IF($CP15="P",CI15,(CI15+BH15)/2)</f>
        <v>14.977499999999999</v>
      </c>
      <c r="TG15" s="42">
        <f>IF($CP15="P",CJ15,(CJ15+BI15)/2)</f>
        <v>0.2</v>
      </c>
      <c r="TH15" s="42">
        <f>IF($CP15="P",CK15,(CK15+BJ15)/2)</f>
        <v>9.4</v>
      </c>
      <c r="TI15" s="42">
        <f>IF($CP15="P",CL15,(CL15+BK15)/2)</f>
        <v>6.8</v>
      </c>
      <c r="TJ15" s="42">
        <f>IF($CP15="P",CM15,(CM15+BL15)/2)</f>
        <v>9</v>
      </c>
      <c r="TK15" s="42">
        <f>IF($CP15="P",CN15,(CN15+BM15)/2)</f>
        <v>10.315</v>
      </c>
      <c r="TL15" s="42">
        <f>IF($CP15="P",CO15,(CO15+BN15)/2)</f>
        <v>0.45</v>
      </c>
      <c r="TM15" s="51" t="s">
        <v>61</v>
      </c>
      <c r="TN15" s="76">
        <f>IF(SZ15&gt;0,SZ15,"")</f>
        <v>10.45</v>
      </c>
      <c r="TO15" s="76">
        <f>IF(TA15&gt;0,TA15,"")</f>
        <v>13</v>
      </c>
      <c r="TP15" s="76">
        <f>IF(SUM(SX15:TA15)-TB15&gt;0,SUM(SX15:TA15)-TB15,"")</f>
        <v>43.8</v>
      </c>
      <c r="TQ15" s="76">
        <f>IF(TE15&gt;0,TE15,"")</f>
        <v>13.3</v>
      </c>
      <c r="TR15" s="76">
        <f>IF(TF15&gt;0,TF15,"")</f>
        <v>14.977499999999999</v>
      </c>
      <c r="TS15" s="76">
        <f>IF(SUM(TC15:TF15)-TG15&gt;0,SUM(TC15:TF15)-TG15,"")</f>
        <v>52.427500000000002</v>
      </c>
      <c r="TT15" s="76">
        <f>IF(MAX(TP15,TS15)&gt;0,MAX(TP15,TS15),"")</f>
        <v>52.427500000000002</v>
      </c>
      <c r="TU15" s="76">
        <f>IF(TJ15&gt;0,TJ15,"")</f>
        <v>9</v>
      </c>
      <c r="TV15" s="76">
        <f>IF(TK15&gt;0,TK15,"")</f>
        <v>10.315</v>
      </c>
      <c r="TW15" s="76">
        <f>IF(SUM(TH15:TK15)-TL15&gt;0,SUM(TH15:TK15)-TL15,"")</f>
        <v>35.064999999999998</v>
      </c>
      <c r="TX15" s="76">
        <f>IF(SUM(TT15,TW15)&gt;0,SUM(TT15,TW15),"")</f>
        <v>87.492500000000007</v>
      </c>
    </row>
    <row r="16" spans="1:544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>SUM(J16:V16)+SUM(J16:T16)*0.0000001+SUM(J16)*0.0000000000001</f>
        <v>210.03502100350542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Z16&gt;=EM$25,DZ16&lt;&gt;"",EB16&gt;=EM$29,EB16&lt;&gt;""),AND(EC16&gt;=EM$25,EC16&lt;&gt;"",EE16&gt;=EM$29,EE16&lt;&gt;""),AND(EG16&gt;=EM$25,EG16&lt;&gt;"",EI16&gt;=EM$29,EI16&lt;&gt;""),AND(EJ16&gt;=EM$25,EJ16&lt;&gt;"",EL16&gt;=EM$29,EL16&lt;&gt;""),AND(FH16&gt;=FU$25,FH16&lt;&gt;"",FJ16&gt;=FU$29,FJ16&lt;&gt;""),AND(FK16&gt;=FU$25,FK16&lt;&gt;"",FM16&gt;=FU$29,FM16&lt;&gt;""),AND(FO16&gt;=FU$25,FO16&lt;&gt;"",FQ16&gt;=FU$29,FQ16&lt;&gt;""),AND(FR16&gt;=FU$25,FR16&lt;&gt;"",FT16&gt;=FU$29,FT16&lt;&gt;""),AND(GP16&gt;=HC$25,GP16&lt;&gt;"",GR16&gt;=HC$29,GR16&lt;&gt;""),AND(GS16&gt;=HC$25,GS16&lt;&gt;"",GU16&gt;=HC$29,GU16&lt;&gt;""),AND(GW16&gt;=HC$25,GW16&lt;&gt;"",GY16&gt;=HC$29,GY16&lt;&gt;""),AND(GZ16&gt;=HC$25,GZ16&lt;&gt;"",HB16&gt;=HC$29,HB16&lt;&gt;""),AND(HX16&gt;=IK$25,HX16&lt;&gt;"",HZ16&gt;=IK$29,HZ16&lt;&gt;""),AND(IA16&gt;=IK$25,IA16&lt;&gt;"",IC16&gt;=IK$29,IC16&lt;&gt;""),AND(IE16&gt;=IK$25,IE16&lt;&gt;"",IG16&gt;=IK$29,IG16&lt;&gt;""),AND(IH16&gt;=IK$25,IH16&lt;&gt;"",IJ16&gt;=IK$29,IJ16&lt;&gt;""),AND(JF16&gt;=JS$25,JF16&lt;&gt;"",JH16&gt;=JS$29,JH16&lt;&gt;""),AND(JI16&gt;=JS$25,JI16&lt;&gt;"",JK16&gt;=JS$29,JK16&lt;&gt;""),AND(JM16&gt;=JS$25,JM16&lt;&gt;"",JO16&gt;=JS$29,JO16&lt;&gt;""),AND(JP16&gt;=JS$25,JP16&lt;&gt;"",JR16&gt;=JS$29,JR16&lt;&gt;""),AND(KN16&gt;=LA$25,KN16&lt;&gt;"",KP16&gt;=LA$29,KP16&lt;&gt;""),AND(KQ16&gt;=LA$25,KQ16&lt;&gt;"",KS16&gt;=LA$29,KS16&lt;&gt;""),AND(KU16&gt;=LA$25,KU16&lt;&gt;"",KW16&gt;=LA$29,KW16&lt;&gt;""),AND(KX16&gt;=LA$25,KX16&lt;&gt;"",KZ16&gt;=LA$29,KZ16&lt;&gt;""),AND(LV16&gt;=MI$25,LV16&lt;&gt;"",LX16&gt;=MI$29,LX16&lt;&gt;""),AND(LY16&gt;=MI$25,LY16&lt;&gt;"",MA16&gt;=MI$29,MA16&lt;&gt;""),AND(MC16&gt;=MI$25,MC16&lt;&gt;"",ME16&gt;=MI$29,ME16&lt;&gt;""),AND(MF16&gt;=MI$25,MF16&lt;&gt;"",MH16&gt;=MI$29,MH16&lt;&gt;""),AND(ND16&gt;=NQ$25,ND16&lt;&gt;"",NF16&gt;=NQ$29,NF16&lt;&gt;""),AND(NG16&gt;=NQ$25,NG16&lt;&gt;"",NI16&gt;=NQ$29,NI16&lt;&gt;""),AND(NK16&gt;=NQ$25,NK16&lt;&gt;"",NM16&gt;=NQ$29,NM16&lt;&gt;""),AND(NN16&gt;=NQ$25,NN16&lt;&gt;"",NP16&gt;=NQ$29,NP16&lt;&gt;""),AND(OL16&gt;=OY$25,OL16&lt;&gt;"",ON16&gt;=OY$29,ON16&lt;&gt;""),AND(OO16&gt;=OY$25,OO16&lt;&gt;"",OQ16&gt;=OY$29,OQ16&lt;&gt;""),AND(OS16&gt;=OY$25,OS16&lt;&gt;"",OU16&gt;=OY$29,OU16&lt;&gt;""),AND(OV16&gt;=OY$25,OV16&lt;&gt;"",OX16&gt;=OY$29,OX16&lt;&gt;""),AND(PT16&gt;=QG$25,PT16&lt;&gt;"",PV16&gt;=QG$29,PV16&lt;&gt;""),AND(PW16&gt;=QG$25,PW16&lt;&gt;"",PY16&gt;=QG$29,PY16&lt;&gt;""),AND(QA16&gt;=QG$25,QA16&lt;&gt;"",QC16&gt;=QG$29,QC16&lt;&gt;""),AND(QD16&gt;=QG$25,QD16&lt;&gt;"",QF16&gt;=QG$29,QF16&lt;&gt;""),AND(RB16&gt;=RO$25,RB16&lt;&gt;"",RD16&gt;=RO$29,RD16&lt;&gt;""),AND(RE16&gt;=RO$25,RE16&lt;&gt;"",RG16&gt;=RO$29,RG16&lt;&gt;""),AND(RI16&gt;=RO$25,RI16&lt;&gt;"",RK16&gt;=RO$29,RK16&lt;&gt;""),AND(RL16&gt;=RO$25,RL16&lt;&gt;"",RN16&gt;=RO$29,RN16&lt;&gt;""),AND(SJ16&gt;=SW$25,SJ16&lt;&gt;"",SL16&gt;=SW$29,SL16&lt;&gt;""),AND(SM16&gt;=SW$25,SM16&lt;&gt;"",SO16&gt;=SW$29,SO16&lt;&gt;""),AND(SQ16&gt;=SW$25,SQ16&lt;&gt;"",SS16&gt;=SW$29,SS16&lt;&gt;""),AND(ST16&gt;=SW$25,ST16&lt;&gt;"",SV16&gt;=SW$29,SV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EB16&gt;=EM$29,EB16&lt;&gt;""),AND(EE16&gt;=EM$29,EE16&lt;&gt;""),AND(EI16&gt;=EM$29,EI16&lt;&gt;""),AND(EL16&gt;=EM$29,EL16&lt;&gt;""),AND(FJ16&gt;=FU$29,FJ16&lt;&gt;""),AND(FM16&gt;=FU$29,FM16&lt;&gt;""),AND(FQ16&gt;=FU$29,FQ16&lt;&gt;""),AND(FT16&gt;=FU$29,FT16&lt;&gt;""),AND(GR16&gt;=HC$29,GR16&lt;&gt;""),AND(GU16&gt;=HC$29,GU16&lt;&gt;""),AND(GY16&gt;=HC$29,GY16&lt;&gt;""),AND(HB16&gt;=HC$29,HB16&lt;&gt;""),AND(HZ16&gt;=IK$29,HZ16&lt;&gt;""),AND(IC16&gt;=IK$29,IC16&lt;&gt;""),AND(IG16&gt;=IK$29,IG16&lt;&gt;""),AND(IJ16&gt;=IK$29,IJ16&lt;&gt;""),AND(JH16&gt;=JS$29,JH16&lt;&gt;""),AND(JK16&gt;=JS$29,JK16&lt;&gt;""),AND(JO16&gt;=JS$29,JO16&lt;&gt;""),AND(JR16&gt;=JS$29,JR16&lt;&gt;""),AND(KP16&gt;=LA$29,KP16&lt;&gt;""),AND(KS16&gt;=LA$29,KS16&lt;&gt;""),AND(KW16&gt;=LA$29,KW16&lt;&gt;""),AND(KZ16&gt;=LA$29,KZ16&lt;&gt;""),AND(LX16&gt;=MI$29,LX16&lt;&gt;""),AND(MA16&gt;=MI$29,MA16&lt;&gt;""),AND(ME16&gt;=MI$29,ME16&lt;&gt;""),AND(MH16&gt;=MI$29,MH16&lt;&gt;""),AND(NF16&gt;=NQ$29,NF16&lt;&gt;""),AND(NI16&gt;=NQ$29,NI16&lt;&gt;""),AND(NM16&gt;=NQ$29,NM16&lt;&gt;""),AND(NP16&gt;=NQ$29,NP16&lt;&gt;""),AND(ON16&gt;=OY$29,ON16&lt;&gt;""),AND(OQ16&gt;=OY$29,OQ16&lt;&gt;""),AND(OU16&gt;=OY$29,OU16&lt;&gt;""),AND(OX16&gt;=OY$29,OX16&lt;&gt;""),AND(PV16&gt;=QG$29,PV16&lt;&gt;""),AND(PY16&gt;=QG$29,PY16&lt;&gt;""),AND(QC16&gt;=QG$29,QC16&lt;&gt;""),AND(QF16&gt;=QG$29,QF16&lt;&gt;""),AND(RD16&gt;=RO$29,RD16&lt;&gt;""),AND(RG16&gt;=RO$29,RG16&lt;&gt;""),AND(RK16&gt;=RO$29,RK16&lt;&gt;""),AND(RN16&gt;=RO$29,RN16&lt;&gt;""),AND(SL16&gt;=SW$29,SL16&lt;&gt;""),AND(SO16&gt;=SW$29,SO16&lt;&gt;""),AND(SS16&gt;=SW$29,SS16&lt;&gt;""),AND(SV16&gt;=SW$29,SV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Z16&gt;=EM$28,DZ16&lt;&gt;"",EB16&gt;=EM$32,EB16&lt;&gt;""),AND(EC16&gt;=EM$28,EC16&lt;&gt;"",EE16&gt;=EM$32,EE16&lt;&gt;""),AND(EG16&gt;=EM$28,EG16&lt;&gt;"",EI16&gt;=EM$32,EI16&lt;&gt;""),AND(EJ16&gt;=EM$28,EJ16&lt;&gt;"",EL16&gt;=EM$32,EL16&lt;&gt;""),AND(FH16&gt;=FU$28,FH16&lt;&gt;"",FJ16&gt;=FU$32,FJ16&lt;&gt;""),AND(FK16&gt;=FU$28,FK16&lt;&gt;"",FM16&gt;=FU$32,FM16&lt;&gt;""),AND(FO16&gt;=FU$28,FO16&lt;&gt;"",FQ16&gt;=FU$32,FQ16&lt;&gt;""),AND(FR16&gt;=FU$28,FR16&lt;&gt;"",FT16&gt;=FU$32,FT16&lt;&gt;""),AND(GP16&gt;=HC$28,GP16&lt;&gt;"",GR16&gt;=HC$32,GR16&lt;&gt;""),AND(GS16&gt;=HC$28,GS16&lt;&gt;"",GU16&gt;=HC$32,GU16&lt;&gt;""),AND(GW16&gt;=HC$28,GW16&lt;&gt;"",GY16&gt;=HC$32,GY16&lt;&gt;""),AND(GZ16&gt;=HC$28,GZ16&lt;&gt;"",HB16&gt;=HC$32,HB16&lt;&gt;""),AND(HX16&gt;=IK$28,HX16&lt;&gt;"",HZ16&gt;=IK$32,HZ16&lt;&gt;""),AND(IA16&gt;=IK$28,IA16&lt;&gt;"",IC16&gt;=IK$32,IC16&lt;&gt;""),AND(IE16&gt;=IK$28,IE16&lt;&gt;"",IG16&gt;=IK$32,IG16&lt;&gt;""),AND(IH16&gt;=IK$28,IH16&lt;&gt;"",IJ16&gt;=IK$32,IJ16&lt;&gt;""),AND(JF16&gt;=JS$28,JF16&lt;&gt;"",JH16&gt;=JS$32,JH16&lt;&gt;""),AND(JI16&gt;=JS$28,JI16&lt;&gt;"",JK16&gt;=JS$32,JK16&lt;&gt;""),AND(JM16&gt;=JS$28,JM16&lt;&gt;"",JO16&gt;=JS$32,JO16&lt;&gt;""),AND(JP16&gt;=JS$28,JP16&lt;&gt;"",JR16&gt;=JS$32,JR16&lt;&gt;""),AND(KN16&gt;=LA$28,KN16&lt;&gt;"",KP16&gt;=LA$32,KP16&lt;&gt;""),AND(KQ16&gt;=LA$28,KQ16&lt;&gt;"",KS16&gt;=LA$32,KS16&lt;&gt;""),AND(KU16&gt;=LA$28,KU16&lt;&gt;"",KW16&gt;=LA$32,KW16&lt;&gt;""),AND(KX16&gt;=LA$28,KX16&lt;&gt;"",KZ16&gt;=LA$32,KZ16&lt;&gt;""),AND(LV16&gt;=MI$28,LV16&lt;&gt;"",LX16&gt;=MI$32,LX16&lt;&gt;""),AND(LY16&gt;=MI$28,LY16&lt;&gt;"",MA16&gt;=MI$32,MA16&lt;&gt;""),AND(MC16&gt;=MI$28,MC16&lt;&gt;"",ME16&gt;=MI$32,ME16&lt;&gt;""),AND(MF16&gt;=MI$28,MF16&lt;&gt;"",MH16&gt;=MI$32,MH16&lt;&gt;""),AND(ND16&gt;=NQ$28,ND16&lt;&gt;"",NF16&gt;=NQ$32,NF16&lt;&gt;""),AND(NG16&gt;=NQ$28,NG16&lt;&gt;"",NI16&gt;=NQ$32,NI16&lt;&gt;""),AND(NK16&gt;=NQ$28,NK16&lt;&gt;"",NM16&gt;=NQ$32,NM16&lt;&gt;""),AND(NN16&gt;=NQ$28,NN16&lt;&gt;"",NP16&gt;=NQ$32,NP16&lt;&gt;""),AND(OL16&gt;=OY$28,OL16&lt;&gt;"",ON16&gt;=OY$32,ON16&lt;&gt;""),AND(OO16&gt;=OY$28,OO16&lt;&gt;"",OQ16&gt;=OY$32,OQ16&lt;&gt;""),AND(OS16&gt;=OY$28,OS16&lt;&gt;"",OU16&gt;=OY$32,OU16&lt;&gt;""),AND(OV16&gt;=OY$28,OV16&lt;&gt;"",OX16&gt;=OY$32,OX16&lt;&gt;""),AND(PT16&gt;=QG$28,PT16&lt;&gt;"",PV16&gt;=QG$32,PV16&lt;&gt;""),AND(PW16&gt;=QG$28,PW16&lt;&gt;"",PY16&gt;=QG$32,PY16&lt;&gt;""),AND(QA16&gt;=QG$28,QA16&lt;&gt;"",QC16&gt;=QG$32,QC16&lt;&gt;""),AND(QD16&gt;=QG$28,QD16&lt;&gt;"",QF16&gt;=QG$32,QF16&lt;&gt;""),AND(RB16&gt;=RO$28,RB16&lt;&gt;"",RD16&gt;=RO$32,RD16&lt;&gt;""),AND(RE16&gt;=RO$28,RE16&lt;&gt;"",RG16&gt;=RO$32,RG16&lt;&gt;""),AND(RI16&gt;=RO$28,RI16&lt;&gt;"",RK16&gt;=RO$32,RK16&lt;&gt;""),AND(RL16&gt;=RO$28,RL16&lt;&gt;"",RN16&gt;=RO$32,RN16&lt;&gt;""),AND(SJ16&gt;=SW$28,SJ16&lt;&gt;"",SL16&gt;=SW$32,SL16&lt;&gt;""),AND(SM16&gt;=SW$28,SM16&lt;&gt;"",SO16&gt;=SW$32,SO16&lt;&gt;""),AND(SQ16&gt;=SW$28,SQ16&lt;&gt;"",SS16&gt;=SW$32,SS16&lt;&gt;""),AND(ST16&gt;=SW$28,ST16&lt;&gt;"",SV16&gt;=SW$32,SV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Z16&gt;=EM$27,DZ16&lt;&gt;"",EB16&gt;=EM$31,EB16&lt;&gt;""),AND(EC16&gt;=EM$27,EC16&lt;&gt;"",EE16&gt;=EM$31,EE16&lt;&gt;""),AND(EG16&gt;=EM$27,EG16&lt;&gt;"",EI16&gt;=EM$31,EI16&lt;&gt;""),AND(EJ16&gt;=EM$27,EJ16&lt;&gt;"",EL16&gt;=EM$31,EL16&lt;&gt;""),AND(FH16&gt;=FU$27,FH16&lt;&gt;"",FJ16&gt;=FU$31,FJ16&lt;&gt;""),AND(FK16&gt;=FU$27,FK16&lt;&gt;"",FM16&gt;=FU$31,FM16&lt;&gt;""),AND(FO16&gt;=FU$27,FO16&lt;&gt;"",FQ16&gt;=FU$31,FQ16&lt;&gt;""),AND(FR16&gt;=FU$27,FR16&lt;&gt;"",FT16&gt;=FU$31,FT16&lt;&gt;""),AND(GP16&gt;=HC$27,GP16&lt;&gt;"",GR16&gt;=HC$31,GR16&lt;&gt;""),AND(GS16&gt;=HC$27,GS16&lt;&gt;"",GU16&gt;=HC$31,GU16&lt;&gt;""),AND(GW16&gt;=HC$27,GW16&lt;&gt;"",GY16&gt;=HC$31,GY16&lt;&gt;""),AND(GZ16&gt;=HC$27,GZ16&lt;&gt;"",HB16&gt;=HC$31,HB16&lt;&gt;""),AND(HX16&gt;=IK$27,HX16&lt;&gt;"",HZ16&gt;=IK$31,HZ16&lt;&gt;""),AND(IA16&gt;=IK$27,IA16&lt;&gt;"",IC16&gt;=IK$31,IC16&lt;&gt;""),AND(IE16&gt;=IK$27,IE16&lt;&gt;"",IG16&gt;=IK$31,IG16&lt;&gt;""),AND(IH16&gt;=IK$27,IH16&lt;&gt;"",IJ16&gt;=IK$31,IJ16&lt;&gt;""),AND(JF16&gt;=JS$27,JF16&lt;&gt;"",JH16&gt;=JS$31,JH16&lt;&gt;""),AND(JI16&gt;=JS$27,JI16&lt;&gt;"",JK16&gt;=JS$31,JK16&lt;&gt;""),AND(JM16&gt;=JS$27,JM16&lt;&gt;"",JO16&gt;=JS$31,JO16&lt;&gt;""),AND(JP16&gt;=JS$27,JP16&lt;&gt;"",JR16&gt;=JS$31,JR16&lt;&gt;""),AND(KN16&gt;=LA$27,KN16&lt;&gt;"",KP16&gt;=LA$31,KP16&lt;&gt;""),AND(KQ16&gt;=LA$27,KQ16&lt;&gt;"",KS16&gt;=LA$31,KS16&lt;&gt;""),AND(KU16&gt;=LA$27,KU16&lt;&gt;"",KW16&gt;=LA$31,KW16&lt;&gt;""),AND(KX16&gt;=LA$27,KX16&lt;&gt;"",KZ16&gt;=LA$31,KZ16&lt;&gt;""),AND(LV16&gt;=MI$27,LV16&lt;&gt;"",LX16&gt;=MI$31,LX16&lt;&gt;""),AND(LY16&gt;=MI$27,LY16&lt;&gt;"",MA16&gt;=MI$31,MA16&lt;&gt;""),AND(MC16&gt;=MI$27,MC16&lt;&gt;"",ME16&gt;=MI$31,ME16&lt;&gt;""),AND(MF16&gt;=MI$27,MF16&lt;&gt;"",MH16&gt;=MI$31,MH16&lt;&gt;""),AND(ND16&gt;=NQ$27,ND16&lt;&gt;"",NF16&gt;=NQ$31,NF16&lt;&gt;""),AND(NG16&gt;=NQ$27,NG16&lt;&gt;"",NI16&gt;=NQ$31,NI16&lt;&gt;""),AND(NK16&gt;=NQ$27,NK16&lt;&gt;"",NM16&gt;=NQ$31,NM16&lt;&gt;""),AND(NN16&gt;=NQ$27,NN16&lt;&gt;"",NP16&gt;=NQ$31,NP16&lt;&gt;""),AND(OL16&gt;=OY$27,OL16&lt;&gt;"",ON16&gt;=OY$31,ON16&lt;&gt;""),AND(OO16&gt;=OY$27,OO16&lt;&gt;"",OQ16&gt;=OY$31,OQ16&lt;&gt;""),AND(OS16&gt;=OY$27,OS16&lt;&gt;"",OU16&gt;=OY$31,OU16&lt;&gt;""),AND(OV16&gt;=OY$27,OV16&lt;&gt;"",OX16&gt;=OY$31,OX16&lt;&gt;""),AND(PT16&gt;=QG$27,PT16&lt;&gt;"",PV16&gt;=QG$31,PV16&lt;&gt;""),AND(PW16&gt;=QG$27,PW16&lt;&gt;"",PY16&gt;=QG$31,PY16&lt;&gt;""),AND(QA16&gt;=QG$27,QA16&lt;&gt;"",QC16&gt;=QG$31,QC16&lt;&gt;""),AND(QD16&gt;=QG$27,QD16&lt;&gt;"",QF16&gt;=QG$31,QF16&lt;&gt;""),AND(RB16&gt;=RO$27,RB16&lt;&gt;"",RD16&gt;=RO$31,RD16&lt;&gt;""),AND(RE16&gt;=RO$27,RE16&lt;&gt;"",RG16&gt;=RO$31,RG16&lt;&gt;""),AND(RI16&gt;=RO$27,RI16&lt;&gt;"",RK16&gt;=RO$31,RK16&lt;&gt;""),AND(RL16&gt;=RO$27,RL16&lt;&gt;"",RN16&gt;=RO$31,RN16&lt;&gt;""),AND(SJ16&gt;=SW$27,SJ16&lt;&gt;"",SL16&gt;=SW$31,SL16&lt;&gt;""),AND(SM16&gt;=SW$27,SM16&lt;&gt;"",SO16&gt;=SW$31,SO16&lt;&gt;""),AND(SQ16&gt;=SW$27,SQ16&lt;&gt;"",SS16&gt;=SW$31,SS16&lt;&gt;""),AND(ST16&gt;=SW$27,ST16&lt;&gt;"",SV16&gt;=SW$31,SV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Z16&gt;=EM$26,DZ16&lt;&gt;"",EB16&gt;=EM$30,EB16&lt;&gt;""),AND(EC16&gt;=EM$26,EC16&lt;&gt;"",EE16&gt;=EM$30,EE16&lt;&gt;""),AND(EG16&gt;=EM$26,EG16&lt;&gt;"",EI16&gt;=EM$30,EI16&lt;&gt;""),AND(EJ16&gt;=EM$26,EJ16&lt;&gt;"",EL16&gt;=EM$30,EL16&lt;&gt;""),AND(FH16&gt;=FU$26,FH16&lt;&gt;"",FJ16&gt;=FU$30,FJ16&lt;&gt;""),AND(FK16&gt;=FU$26,FK16&lt;&gt;"",FM16&gt;=FU$30,FM16&lt;&gt;""),AND(FO16&gt;=FU$26,FO16&lt;&gt;"",FQ16&gt;=FU$30,FQ16&lt;&gt;""),AND(FR16&gt;=FU$26,FR16&lt;&gt;"",FT16&gt;=FU$30,FT16&lt;&gt;""),AND(GP16&gt;=HC$26,GP16&lt;&gt;"",GR16&gt;=HC$30,GR16&lt;&gt;""),AND(GS16&gt;=HC$26,GS16&lt;&gt;"",GU16&gt;=HC$30,GU16&lt;&gt;""),AND(GW16&gt;=HC$26,GW16&lt;&gt;"",GY16&gt;=HC$30,GY16&lt;&gt;""),AND(GZ16&gt;=HC$26,GZ16&lt;&gt;"",HB16&gt;=HC$30,HB16&lt;&gt;""),AND(HX16&gt;=IK$26,HX16&lt;&gt;"",HZ16&gt;=IK$30,HZ16&lt;&gt;""),AND(IA16&gt;=IK$26,IA16&lt;&gt;"",IC16&gt;=IK$30,IC16&lt;&gt;""),AND(IE16&gt;=IK$26,IE16&lt;&gt;"",IG16&gt;=IK$30,IG16&lt;&gt;""),AND(IH16&gt;=IK$26,IH16&lt;&gt;"",IJ16&gt;=IK$30,IJ16&lt;&gt;""),AND(JF16&gt;=JS$26,JF16&lt;&gt;"",JH16&gt;=JS$30,JH16&lt;&gt;""),AND(JI16&gt;=JS$26,JI16&lt;&gt;"",JK16&gt;=JS$30,JK16&lt;&gt;""),AND(JM16&gt;=JS$26,JM16&lt;&gt;"",JO16&gt;=JS$30,JO16&lt;&gt;""),AND(JP16&gt;=JS$26,JP16&lt;&gt;"",JR16&gt;=JS$30,JR16&lt;&gt;""),AND(KN16&gt;=LA$26,KN16&lt;&gt;"",KP16&gt;=LA$30,KP16&lt;&gt;""),AND(KQ16&gt;=LA$26,KQ16&lt;&gt;"",KS16&gt;=LA$30,KS16&lt;&gt;""),AND(KU16&gt;=LA$26,KU16&lt;&gt;"",KW16&gt;=LA$30,KW16&lt;&gt;""),AND(KX16&gt;=LA$26,KX16&lt;&gt;"",KZ16&gt;=LA$30,KZ16&lt;&gt;""),AND(LV16&gt;=MI$26,LV16&lt;&gt;"",LX16&gt;=MI$30,LX16&lt;&gt;""),AND(LY16&gt;=MI$26,LY16&lt;&gt;"",MA16&gt;=MI$30,MA16&lt;&gt;""),AND(MC16&gt;=MI$26,MC16&lt;&gt;"",ME16&gt;=MI$30,ME16&lt;&gt;""),AND(MF16&gt;=MI$26,MF16&lt;&gt;"",MH16&gt;=MI$30,MH16&lt;&gt;""),AND(ND16&gt;=NQ$26,ND16&lt;&gt;"",NF16&gt;=NQ$30,NF16&lt;&gt;""),AND(NG16&gt;=NQ$26,NG16&lt;&gt;"",NI16&gt;=NQ$30,NI16&lt;&gt;""),AND(NK16&gt;=NQ$26,NK16&lt;&gt;"",NM16&gt;=NQ$30,NM16&lt;&gt;""),AND(NN16&gt;=NQ$26,NN16&lt;&gt;"",NP16&gt;=NQ$30,NP16&lt;&gt;""),AND(OL16&gt;=OY$26,OL16&lt;&gt;"",ON16&gt;=OY$30,ON16&lt;&gt;""),AND(OO16&gt;=OY$26,OO16&lt;&gt;"",OQ16&gt;=OY$30,OQ16&lt;&gt;""),AND(OS16&gt;=OY$26,OS16&lt;&gt;"",OU16&gt;=OY$30,OU16&lt;&gt;""),AND(OV16&gt;=OY$26,OV16&lt;&gt;"",OX16&gt;=OY$30,OX16&lt;&gt;""),AND(PT16&gt;=QG$26,PT16&lt;&gt;"",PV16&gt;=QG$30,PV16&lt;&gt;""),AND(PW16&gt;=QG$26,PW16&lt;&gt;"",PY16&gt;=QG$30,PY16&lt;&gt;""),AND(QA16&gt;=QG$26,QA16&lt;&gt;"",QC16&gt;=QG$30,QC16&lt;&gt;""),AND(QD16&gt;=QG$26,QD16&lt;&gt;"",QF16&gt;=QG$30,QF16&lt;&gt;""),AND(RB16&gt;=RO$26,RB16&lt;&gt;"",RD16&gt;=RO$30,RD16&lt;&gt;""),AND(RE16&gt;=RO$26,RE16&lt;&gt;"",RG16&gt;=RO$30,RG16&lt;&gt;""),AND(RI16&gt;=RO$26,RI16&lt;&gt;"",RK16&gt;=RO$30,RK16&lt;&gt;""),AND(RL16&gt;=RO$26,RL16&lt;&gt;"",RN16&gt;=RO$30,RN16&lt;&gt;""),AND(SJ16&gt;=SW$26,SJ16&lt;&gt;"",SL16&gt;=SW$30,SL16&lt;&gt;""),AND(SM16&gt;=SW$26,SM16&lt;&gt;"",SO16&gt;=SW$30,SO16&lt;&gt;""),AND(SQ16&gt;=SW$26,SQ16&lt;&gt;"",SS16&gt;=SW$30,SS16&lt;&gt;""),AND(ST16&gt;=SW$26,ST16&lt;&gt;"",SV16&gt;=SW$30,SV16&lt;&gt;"")),"P","")</f>
        <v/>
      </c>
      <c r="J16" s="13">
        <f>IF(COUNT(AQ16,AT16,BR16,BU16,CS16,CV16)&gt;0,LARGE((AQ16,AT16,BR16,BU16,CS16,CV16),1),0)</f>
        <v>53.894999999999996</v>
      </c>
      <c r="K16" s="13" t="str">
        <f>IF(J16="","",IF(OR(J16=CS16,J16=CV16),$CA$1,IF(OR(J16=BR16,J16=BU16),$AZ$1,IF(OR(J16=AQ16,J16=AT16),$Y$1,""))))</f>
        <v>2021 Elite Canada</v>
      </c>
      <c r="L16" s="13">
        <f>IF(COUNT(AQ16,AT16,BR16,BU16,CS16,CV16)&gt;1,LARGE((AQ16,AT16,BR16,BU16,CS16,CV16),2),0)</f>
        <v>52.78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26.125</v>
      </c>
      <c r="O16" s="13" t="str">
        <f>IF(N16="","",IF(OR(N16=CS16,N16=CV16),$CA$1,IF(OR(N16=BR16,N16=BU16),$AZ$1,IF(OR(N16=AQ16,N16=AT16),$Y$1,""))))</f>
        <v>2021 Canadian Championships</v>
      </c>
      <c r="P16" s="13">
        <f>IF(MAX(AX16,BY16,CZ16)&gt;0,MAX(AX16,BY16,CZ16),0)</f>
        <v>46.44</v>
      </c>
      <c r="Q16" s="13" t="str">
        <f>IF(P16="","",IF(P16=CZ16,$CA$1,IF(P16=BY16,$AZ$1,IF(P16=AX16,$Y$1,""))))</f>
        <v>2021 Canadian Championships</v>
      </c>
      <c r="R16" s="13">
        <f>IF(MAX(AO16,AR16,AV16,BP16,BS16,BW16,CQ16,CT16,CX16)&gt;0,MAX(AO16,AR16,BP16,BS16,CQ16,CT16,AV16),0)</f>
        <v>14.4</v>
      </c>
      <c r="S16" s="13" t="str">
        <f>IF(R16=0,"",IF(OR(R16=CQ16,R16=CT16,R16=CX16),$CA$1,IF(OR(R16=BP16,R16=BS16,R16=BW16),$AZ$1,IF(OR(R16=AO16,R16=AR16,R16=AV16),$Y$1,""))))</f>
        <v>2021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),0)</f>
        <v>16.395</v>
      </c>
      <c r="U16" s="13" t="str">
        <f>IF(T16=0,"",IF(OR(T16=CR16,T16=CU16,T16=CY16),$CA$1,IF(OR(T16=BQ16,T16=BT16,T16=BX16),$AZ$1,IF(OR(T16=AP16,T16=AS16,T16=AW16),$Y$1,""))))</f>
        <v>2021 Elite Canada</v>
      </c>
      <c r="V16" s="13" t="str">
        <f>IF(MAX(DB16,DC16,DD16,DE16)&gt;0,MAX(DB16,DC16,DD16,DE16),"")</f>
        <v/>
      </c>
      <c r="W16" s="16" t="str">
        <f>IF(V16="","",IF(V16=DB16,"("&amp;DB$2&amp;")",IF(V16=DC16,"("&amp;DC$2&amp;")",IF(V16=DD16,"("&amp;DD$2&amp;")",IF(V16=DE16,"("&amp;DE$2&amp;")")))))</f>
        <v/>
      </c>
      <c r="X16" s="13" t="str">
        <f>IF(V16="","",IF(V16=DB16,IF(V16+IF(L16="",0,L16)=SP16,$RP$1,IF(V16+IF(L16="",0,L16)=RH16,$QH$1,IF(V16+IF(L16="",0,L16)=PZ16,$OZ$1,IF(V16+IF(L16="",0,L16)=OR16,$NR$1,IF(V16+IF(L16="",0,L16)=NJ16,$MJ$1,IF(V16+IF(L16="",0,L16)=MB16,$LB$1,IF(V16+IF(L16="",0,L16)=KT16,$JT$1,IF(V16+IF(L16="",0,L16)=JL16,$IL$1,IF(V16+IF(L16="",0,L16)=ID16,$HD$1,IF(V16+IF(L16="",0,L16)=GV16,$FV$1,IF(V16+IF(L16="",0,L16)=FN16,$EN$1,IF(V16+IF(L16="",0,L16)=EF16,$DF$1)))))))))))),IF(V16=DC16,IF(V16+IF(P16="",0,P16)=SV16,$RP$1,IF(V16+IF(P16="",0,P16)=RN16,$QH$1,IF(V16+IF(P16="",0,P16)=QF16,$OZ$1,IF(V16+IF(P16="",0,P16)=OX16,$NR$1,IF(V16+IF(P16="",0,P16)=NP16,$MJ$1,IF(V16+IF(P16="",0,P16)=MH16,$LB$1,IF(V16+IF(P16="",0,P16)=KZ16,$JT$1,IF(V16+IF(P16="",0,P16)=JR16,$IL$1,IF(V16+IF(P16="",0,P16)=IJ16,$HD$1,IF(V16+IF(P16="",0,P16)=HB16,$FV$1,IF(V16+IF(P16="",0,P16)=FT16,$EN$1,IF(V16+IF(P16="",0,P16)=EL16,$DF$1)))))))))))),IF(V16=DD16,IF(V16+IF(R16="",0,R16)=MAX(SJ16,SM16,SQ16,ST16),$RP$1,IF(V16+IF(R16="",0,R16)=MAX(RB16,RE16,RI16,RL16),$QH$1,IF(V16+IF(R16="",0,R16)=MAX(PT16,PW16,QA16,QD16),$OZ$1,IF(V16+IF(R16="",0,R16)=MAX(OL16,OO16,OS16,OV16),$NR$1,IF(V16+IF(R16="",0,R16)=MAX(ND16,NG16,NK16,NN16),$MJ$1,IF(V16+IF(R16="",0,R16)=MAX(LV16,LY16,MC16,MF16),$LB$1,IF(V16+IF(R16="",0,R16)=MAX(KN16,KQ16,KU16,KX16),$JT$1,IF(V16+IF(R16="",0,R16)=MAX(JF16,JI16,JM16,JP16),$IL$1,IF(V16+IF(R16="",0,R16)=MAX(HX16,IA16,IE16,IH16),$HD$1,IF(V16+IF(R16="",0,R16)=MAX(GP16,GS16,GW16,GZ16),$FV$1,IF(V16+IF(R16="",0,R16)=MAX(FH16,FK16,FO16,FR16),$EN$1,IF(V16+IF(R16="",0,R16)=MAX(DZ16,EC16,EG16,EJ16),$DF$1)))))))))))),IF(V16=DE16,IF(V16+IF(T16="",0,T16)=MAX(SK16,SN16,SR16,SU16),$RP$1,IF(V16+IF(T16="",0,T16)=MAX(RC16,RF16,RJ16,RM16),$QH$1,IF(V16+IF(T16="",0,T16)=MAX(PU16,PX16,QB16,QE16),$OZ$1,IF(V16+IF(T16="",0,T16)=MAX(OM16,OP16,OT16,OW16),$NR$1,IF(V16+IF(T16="",0,T16)=MAX(NE16,NH16,NL16,NO16),$MJ$1,IF(V16+IF(T16="",0,T16)=MAX(LW16,LZ16,MD16,MG16),$LB$1,IF(V16+IF(T16="",0,T16)=MAX(KO16,KR16,KV16,KY16),$JT$1,IF(V16+IF(T16="",0,T16)=MAX(JG16,JJ16,JN16,JQ16),$IL$1,IF(V16+IF(T16="",0,T16)=MAX(HY16,IB16,IF16,II16),$HD$1,IF(V16+IF(T16="",0,T16)=MAX(GQ16,GT16,GX16,HA16),$FV$1,IF(V16+IF(T16="",0,T16)=MAX(FI16,FL16,FP16,FS16),$EN$1,IF(V16+IF(T16="",0,T16)=MAX(EA16,ED16,EH16,EK16),$DF$1)))))))))))))))))</f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>IF(AA16&gt;0,AA16,"")</f>
        <v>14.4</v>
      </c>
      <c r="AP16" s="74">
        <f>IF(AB16&gt;0,AB16,"")</f>
        <v>16.395</v>
      </c>
      <c r="AQ16" s="76">
        <f>IF(SUM(Y16:AB16)-AC16&gt;0,SUM(Y16:AB16)-AC16,"")</f>
        <v>53.894999999999996</v>
      </c>
      <c r="AR16" s="76">
        <f>IF(AF16&gt;0,AF16,"")</f>
        <v>3.2</v>
      </c>
      <c r="AS16" s="76">
        <f>IF(AG16&gt;0,AG16,"")</f>
        <v>3.4550000000000001</v>
      </c>
      <c r="AT16" s="76">
        <f>IF(SUM(AD16:AG16)-AH16&gt;0,SUM(AD16:AG16)-AH16,"")</f>
        <v>11.155000000000001</v>
      </c>
      <c r="AU16" s="76">
        <f>IF(AQ16="","",MAX(AQ16,AT16))</f>
        <v>53.894999999999996</v>
      </c>
      <c r="AV16" s="76">
        <f>IF(AK16&gt;0,AK16,"")</f>
        <v>3.8</v>
      </c>
      <c r="AW16" s="76">
        <f>IF(AL16&gt;0,AL16,"")</f>
        <v>4.95</v>
      </c>
      <c r="AX16" s="76">
        <f>IF(SUM(AI16:AL16)-AM16&gt;0,SUM(AI16:AL16)-AM16,"")</f>
        <v>16.05</v>
      </c>
      <c r="AY16" s="76">
        <f>IF(SUM(AU16,AX16)&gt;0,SUM(AU16,AX16),"")</f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>IF(BB16&gt;0,BB16,"")</f>
        <v>6.8</v>
      </c>
      <c r="BQ16" s="75">
        <f>IF(BC16&gt;0,BC16,"")</f>
        <v>8.0250000000000004</v>
      </c>
      <c r="BR16" s="16">
        <f>IF(SUM(AZ16:BC16)-BD16&gt;0,SUM(AZ16:BC16)-BD16,"")</f>
        <v>26.125</v>
      </c>
      <c r="BS16" s="16">
        <f>IF(BG16&gt;0,BG16,"")</f>
        <v>14.2</v>
      </c>
      <c r="BT16" s="16">
        <f>IF(BH16&gt;0,BH16,"")</f>
        <v>15.98</v>
      </c>
      <c r="BU16" s="16">
        <f>IF(SUM(BE16:BH16)-BI16&gt;0,SUM(BE16:BH16)-BI16,"")</f>
        <v>52.78</v>
      </c>
      <c r="BV16" s="16">
        <f>IF(BR16="","",MAX(BR16,BU16))</f>
        <v>52.78</v>
      </c>
      <c r="BW16" s="16">
        <f>IF(BL16&gt;0,BL16,"")</f>
        <v>11.9</v>
      </c>
      <c r="BX16" s="16">
        <f>IF(BM16&gt;0,BM16,"")</f>
        <v>14.44</v>
      </c>
      <c r="BY16" s="16">
        <f>IF(SUM(BJ16:BM16)-BN16&gt;0,SUM(BJ16:BM16)-BN16,"")</f>
        <v>46.44</v>
      </c>
      <c r="BZ16" s="16">
        <f>IF(SUM(BV16,BY16)&gt;0,SUM(BV16,BY16),"")</f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IF(L16&gt;=0.001,IF(MAX(EF16,FN16,GV16,ID16,JL16,KT16,MB16,NJ16,OR16,PZ16,RH16,SP16)-IF(L16="",0,L16)&gt;0.001,MAX(EF16,FN16,GV16,ID16,JL16,KT16,MB16,NJ16,OR16,PZ16,RH16,SP16)-IF(L16="",0,L16),""),"")</f>
        <v/>
      </c>
      <c r="DC16" s="87" t="str">
        <f>IF(P16&gt;=0.001,IF(MAX(EI16,EL16,FQ16,FT16,GY16,HB16,IG16,IJ16,JO16,JR16,KW16,KZ16,ME16,MH16,NM16,NP16,OU16,OX16,QC16,QF16,RK16,RN16,SS16,SV16)-IF(P16="",0,P16)&gt;0.001,MAX(EI16,EL16,FQ16,FT16,GY16,HB16,IG16,IJ16,JO16,JR16,KW16,KZ16,ME16,MH16,NM16,NP16,OU16,OX16,QC16,QF16,RK16,RN16,SS16,SV16)-IF(P16="",0,P16),""),"")</f>
        <v/>
      </c>
      <c r="DD16" s="87" t="str">
        <f>IF(R16&gt;=0.001,IF(MAX(DZ16,EC16,EG16,EJ16,FH16,FK16,FO16,FR16,GP16,GS16,GW16,GZ16,HX16,IA16,IE16,IH16,JF16,JI16,JM16,JP16,KN16,KQ16,KU16,KX16,LV16,LY16,MC16,MF16,ND16,NG16,NK16,NN16,OL16,OO16,OS16,OV16,PT16,PW16,QA16,QD16,RB16,RE16,RI16,RL16,SJ16,SM16,SQ16,ST16)-IF(R16="",0,R16)&gt;0.001,MAX(DZ16,EC16,EG16,EJ16,FH16,FK16,FO16,FR16,GP16,GS16,GW16,GZ16,HX16,IA16,IE16,IH16,JF16,JI16,JM16,JP16,KN16,KQ16,KU16,KX16,LV16,LY16,MC16,MF16,ND16,NG16,NK16,NN16,OL16,OO16,OS16,OV16,PT16,PW16,QA16,QD16,RB16,RE16,RI16,RL16,SJ16,SM16,SQ16,ST16)-IF(R16="",0,R16),""),"")</f>
        <v/>
      </c>
      <c r="DE16" s="87" t="str">
        <f>IF(T16&gt;=0.001,IF(MAX(IF(DZ16&gt;=$EM$25,EA16,0),IF(EC16&gt;=$EM$25,ED16,0),IF(EG16&gt;=$EM$25,EH16,0),IF(EJ16&gt;=$EM$25,EK16,0),IF(FH16&gt;=$FU$25,FI16,0),IF(FK16&gt;=$FU$25,FL16,0),IF(FO16&gt;=$FU$25,FP16,0),IF(FR16&gt;=$FU$25,FS16,0),IF(GP16&gt;=$HC$25,GQ16,0),IF(GS16&gt;=$HC$25,GT16,0),IF(GW16&gt;=$HC$25,GX16,0),IF(GZ16&gt;=$HC$25,HA16,0),IF(HX16&gt;=$IK$25,HY16,0),IF(IA16&gt;=$IK$25,IB16,0),IF(IE16&gt;=$IK$25,IF16,0),IF(IH16&gt;=$IK$25,II16,0),IF(JF16&gt;=$JS$25,JG16,0),IF(JI16&gt;=$JS$25,JJ16,0),IF(JM16&gt;=$JS$25,JN16,0),IF(JP16&gt;=$JS$25,JQ16,0),IF(KN16&gt;=$LA$25,KO16,0),IF(KQ16&gt;=$LA$25,KR16,0),IF(KU16&gt;=$LA$25,KV16,0),IF(KX16&gt;=$LA$25,KY16,0),IF(LV16&gt;=$MI$25,LW16,0),IF(LY16&gt;=$MI$25,LZ16,0),IF(MC16&gt;=$MI$25,MD16,0),IF(MF16&gt;=$MI$25,MG16,0),IF(ND16&gt;=$NQ$25,NE16,0),IF(NG16&gt;=$NQ$25,NH16,0),IF(NK16&gt;=$NQ$25,NL16,0),IF(NN16&gt;=$NQ$25,NO16,0),IF(OL16&gt;=$OY$25,OM16,0),IF(OO16&gt;=$OY$25,OP16,0),IF(OS16&gt;=$OY$25,OT16,0),IF(OV16&gt;=$OY$25,OW16,0),IF(PT16&gt;=$QG$25,PU16,0),IF(PW16&gt;=$QG$25,PX16,0),IF(QA16&gt;=$QG$25,QB16,0),IF(QD16&gt;=$QG$25,QE16,0),IF(RB16&gt;=$RO$25,RC16,0),IF(RE16&gt;=$RO$25,RF16,0),IF(RI16&gt;=$RO$25,RJ16,0),IF(RL16&gt;=$RO$25,RM16,0),IF(SJ16&gt;=$SW$25,SK16,0),IF(SM16&gt;=$SW$25,SN16,0),IF(SQ16&gt;=$SW$25,SR16,0),IF(ST16&gt;=$SW$25,SU16,0))-IF(T16="",0,T16)&gt;0.001,MAX(IF(DZ16&gt;=$EM$25,EA16,0),IF(EC16&gt;=$EM$25,ED16,0),IF(EG16&gt;=$EM$25,EH16,0),IF(EJ16&gt;=$EM$25,EK16,0),IF(FH16&gt;=$FU$25,FI16,0),IF(FK16&gt;=$FU$25,FL16,0),IF(FO16&gt;=$FU$25,FP16,0),IF(FR16&gt;=$FU$25,FS16,0),IF(GP16&gt;=$HC$25,GQ16,0),IF(GS16&gt;=$HC$25,GT16,0),IF(GW16&gt;=$HC$25,GX16,0),IF(GZ16&gt;=$HC$25,HA16,0),IF(HX16&gt;=$IK$25,HY16,0),IF(IA16&gt;=$IK$25,IB16,0),IF(IE16&gt;=$IK$25,IF16,0),IF(IH16&gt;=$IK$25,II16,0),IF(JF16&gt;=$JS$25,JG16,0),IF(JI16&gt;=$JS$25,JJ16,0),IF(JM16&gt;=$JS$25,JN16,0),IF(JP16&gt;=$JS$25,JQ16,0),IF(KN16&gt;=$LA$25,KO16,0),IF(KQ16&gt;=$LA$25,KR16,0),IF(KU16&gt;=$LA$25,KV16,0),IF(KX16&gt;=$LA$25,KY16,0),IF(LV16&gt;=$MI$25,LW16,0),IF(LY16&gt;=$MI$25,LZ16,0),IF(MC16&gt;=$MI$25,MD16,0),IF(MF16&gt;=$MI$25,MG16,0),IF(ND16&gt;=$NQ$25,NE16,0),IF(NG16&gt;=$NQ$25,NH16,0),IF(NK16&gt;=$NQ$25,NL16,0),IF(NN16&gt;=$NQ$25,NO16,0),IF(OL16&gt;=$OY$25,OM16,0),IF(OO16&gt;=$OY$25,OP16,0),IF(OS16&gt;=$OY$25,OT16,0),IF(OV16&gt;=$OY$25,OW16,0),IF(PT16&gt;=$QG$25,PU16,0),IF(PW16&gt;=$QG$25,PX16,0),IF(QA16&gt;=$QG$25,QB16,0),IF(QD16&gt;=$QG$25,QE16,0),IF(RB16&gt;=$RO$25,RC16,0),IF(RE16&gt;=$RO$25,RF16,0),IF(RI16&gt;=$RO$25,RJ16,0),IF(RL16&gt;=$RO$25,RM16,0),IF(SJ16&gt;=$SW$25,SK16,0),IF(SM16&gt;=$SW$25,SN16,0),IF(SQ16&gt;=$SW$25,SR16,0),IF(ST16&gt;=$SW$25,SU16,0))-IF(T16="",0,T16),""),"")</f>
        <v/>
      </c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76" t="str">
        <f>IF(DH16&gt;0,DH16,"")</f>
        <v/>
      </c>
      <c r="EA16" s="76" t="str">
        <f>IF(DI16&gt;0,DI16,"")</f>
        <v/>
      </c>
      <c r="EB16" s="76" t="str">
        <f>IF(SUM(DF16:DI16)-DJ16&gt;0,SUM(DF16:DI16)-DJ16,"")</f>
        <v/>
      </c>
      <c r="EC16" s="76" t="str">
        <f>IF(DM16&gt;0,DM16,"")</f>
        <v/>
      </c>
      <c r="ED16" s="76" t="str">
        <f>IF(DN16&gt;0,DN16,"")</f>
        <v/>
      </c>
      <c r="EE16" s="76" t="str">
        <f>IF(SUM(DK16:DN16)-DO16&gt;0,SUM(DK16:DN16)-DO16,"")</f>
        <v/>
      </c>
      <c r="EF16" s="76" t="str">
        <f>IF(MAX(EB16,EE16)&gt;0,MAX(EB16,EE16),"")</f>
        <v/>
      </c>
      <c r="EG16" s="76" t="str">
        <f>IF(DR16&gt;0,DR16,"")</f>
        <v/>
      </c>
      <c r="EH16" s="76" t="str">
        <f>IF(DS16&gt;0,DS16,"")</f>
        <v/>
      </c>
      <c r="EI16" s="76" t="str">
        <f>IF(SUM(DP16:DS16)-DT16&gt;0,SUM(DP16:DS16)-DT16,"")</f>
        <v/>
      </c>
      <c r="EJ16" s="76" t="str">
        <f>IF(DW16&gt;0,DW16,"")</f>
        <v/>
      </c>
      <c r="EK16" s="76" t="str">
        <f>IF(DX16&gt;0,DX16,"")</f>
        <v/>
      </c>
      <c r="EL16" s="76" t="str">
        <f>IF(SUM(DU16:DX16)-DY16&gt;0,SUM(DU16:DX16)-DY16,"")</f>
        <v/>
      </c>
      <c r="EM16" s="76" t="str">
        <f>IF(SUM(EF16,EL16)&gt;0,SUM(EF16,EL16),"")</f>
        <v/>
      </c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16" t="str">
        <f>IF(EP16&gt;0,EP16,"")</f>
        <v/>
      </c>
      <c r="FI16" s="16" t="str">
        <f>IF(EQ16&gt;0,EQ16,"")</f>
        <v/>
      </c>
      <c r="FJ16" s="16" t="str">
        <f>IF(SUM(EN16:EQ16)-ER16&gt;0,SUM(EN16:EQ16)-ER16,"")</f>
        <v/>
      </c>
      <c r="FK16" s="16" t="str">
        <f>IF(EU16&gt;0,EU16,"")</f>
        <v/>
      </c>
      <c r="FL16" s="16" t="str">
        <f>IF(EV16&gt;0,EV16,"")</f>
        <v/>
      </c>
      <c r="FM16" s="16" t="str">
        <f>IF(SUM(ES16:EV16)-EW16&gt;0,SUM(ES16:EV16)-EW16,"")</f>
        <v/>
      </c>
      <c r="FN16" s="16" t="str">
        <f>IF(MAX(FJ16,FM16)&gt;0,MAX(FJ16,FM16),"")</f>
        <v/>
      </c>
      <c r="FO16" s="16" t="str">
        <f>IF(EZ16&gt;0,EZ16,"")</f>
        <v/>
      </c>
      <c r="FP16" s="16" t="str">
        <f>IF(FA16&gt;0,FA16,"")</f>
        <v/>
      </c>
      <c r="FQ16" s="16" t="str">
        <f>IF(SUM(EX16:FA16)-FB16&gt;0,SUM(EX16:FA16)-FB16,"")</f>
        <v/>
      </c>
      <c r="FR16" s="16" t="str">
        <f>IF(FE16&gt;0,FE16,"")</f>
        <v/>
      </c>
      <c r="FS16" s="16" t="str">
        <f>IF(FF16&gt;0,FF16,"")</f>
        <v/>
      </c>
      <c r="FT16" s="16" t="str">
        <f>IF(SUM(FC16:FF16)-FG16&gt;0,SUM(FC16:FF16)-FG16,"")</f>
        <v/>
      </c>
      <c r="FU16" s="16" t="str">
        <f>IF(SUM(FN16,FT16)&gt;0,SUM(FN16,FT16),"")</f>
        <v/>
      </c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76" t="str">
        <f>IF(FX16&gt;0,FX16,"")</f>
        <v/>
      </c>
      <c r="GQ16" s="76" t="str">
        <f>IF(FY16&gt;0,FY16,"")</f>
        <v/>
      </c>
      <c r="GR16" s="76" t="str">
        <f>IF(SUM(FV16:FY16)-FZ16&gt;0,SUM(FV16:FY16)-FZ16,"")</f>
        <v/>
      </c>
      <c r="GS16" s="76" t="str">
        <f>IF(GC16&gt;0,GC16,"")</f>
        <v/>
      </c>
      <c r="GT16" s="76" t="str">
        <f>IF(GD16&gt;0,GD16,"")</f>
        <v/>
      </c>
      <c r="GU16" s="76" t="str">
        <f>IF(SUM(GA16:GD16)-GE16&gt;0,SUM(GA16:GD16)-GE16,"")</f>
        <v/>
      </c>
      <c r="GV16" s="76" t="str">
        <f>IF(MAX(GR16,GU16)&gt;0,MAX(GR16,GU16),"")</f>
        <v/>
      </c>
      <c r="GW16" s="76" t="str">
        <f>IF(GH16&gt;0,GH16,"")</f>
        <v/>
      </c>
      <c r="GX16" s="76" t="str">
        <f>IF(GI16&gt;0,GI16,"")</f>
        <v/>
      </c>
      <c r="GY16" s="76" t="str">
        <f>IF(SUM(GF16:GI16)-GJ16&gt;0,SUM(GF16:GI16)-GJ16,"")</f>
        <v/>
      </c>
      <c r="GZ16" s="76" t="str">
        <f>IF(GM16&gt;0,GM16,"")</f>
        <v/>
      </c>
      <c r="HA16" s="76" t="str">
        <f>IF(GN16&gt;0,GN16,"")</f>
        <v/>
      </c>
      <c r="HB16" s="76" t="str">
        <f>IF(SUM(GK16:GN16)-GO16&gt;0,SUM(GK16:GN16)-GO16,"")</f>
        <v/>
      </c>
      <c r="HC16" s="76" t="str">
        <f>IF(SUM(GV16,HB16)&gt;0,SUM(GV16,HB16),"")</f>
        <v/>
      </c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16" t="str">
        <f>IF(HF16&gt;0,HF16,"")</f>
        <v/>
      </c>
      <c r="HY16" s="16" t="str">
        <f>IF(HG16&gt;0,HG16,"")</f>
        <v/>
      </c>
      <c r="HZ16" s="16" t="str">
        <f>IF(SUM(HD16:HG16)-HH16&gt;0,SUM(HD16:HG16)-HH16,"")</f>
        <v/>
      </c>
      <c r="IA16" s="16" t="str">
        <f>IF(HK16&gt;0,HK16,"")</f>
        <v/>
      </c>
      <c r="IB16" s="16" t="str">
        <f>IF(HL16&gt;0,HL16,"")</f>
        <v/>
      </c>
      <c r="IC16" s="16" t="str">
        <f>IF(SUM(HI16:HL16)-HM16&gt;0,SUM(HI16:HL16)-HM16,"")</f>
        <v/>
      </c>
      <c r="ID16" s="16" t="str">
        <f>IF(MAX(HZ16,IC16)&gt;0,MAX(HZ16,IC16),"")</f>
        <v/>
      </c>
      <c r="IE16" s="16" t="str">
        <f>IF(HP16&gt;0,HP16,"")</f>
        <v/>
      </c>
      <c r="IF16" s="16" t="str">
        <f>IF(HQ16&gt;0,HQ16,"")</f>
        <v/>
      </c>
      <c r="IG16" s="16" t="str">
        <f>IF(SUM(HN16:HQ16)-HR16&gt;0,SUM(HN16:HQ16)-HR16,"")</f>
        <v/>
      </c>
      <c r="IH16" s="16" t="str">
        <f>IF(HU16&gt;0,HU16,"")</f>
        <v/>
      </c>
      <c r="II16" s="16" t="str">
        <f>IF(HV16&gt;0,HV16,"")</f>
        <v/>
      </c>
      <c r="IJ16" s="16" t="str">
        <f>IF(SUM(HS16:HV16)-HW16&gt;0,SUM(HS16:HV16)-HW16,"")</f>
        <v/>
      </c>
      <c r="IK16" s="16" t="str">
        <f>IF(SUM(ID16,IJ16)&gt;0,SUM(ID16,IJ16),"")</f>
        <v/>
      </c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76" t="str">
        <f>IF(IN16&gt;0,IN16,"")</f>
        <v/>
      </c>
      <c r="JG16" s="76" t="str">
        <f>IF(IO16&gt;0,IO16,"")</f>
        <v/>
      </c>
      <c r="JH16" s="76" t="str">
        <f>IF(SUM(IL16:IO16)-IP16&gt;0,SUM(IL16:IO16)-IP16,"")</f>
        <v/>
      </c>
      <c r="JI16" s="76" t="str">
        <f>IF(IS16&gt;0,IS16,"")</f>
        <v/>
      </c>
      <c r="JJ16" s="76" t="str">
        <f>IF(IT16&gt;0,IT16,"")</f>
        <v/>
      </c>
      <c r="JK16" s="76" t="str">
        <f>IF(SUM(IQ16:IT16)-IU16&gt;0,SUM(IQ16:IT16)-IU16,"")</f>
        <v/>
      </c>
      <c r="JL16" s="76" t="str">
        <f>IF(MAX(JH16,JK16)&gt;0,MAX(JH16,JK16),"")</f>
        <v/>
      </c>
      <c r="JM16" s="76" t="str">
        <f>IF(IX16&gt;0,IX16,"")</f>
        <v/>
      </c>
      <c r="JN16" s="76" t="str">
        <f>IF(IY16&gt;0,IY16,"")</f>
        <v/>
      </c>
      <c r="JO16" s="76" t="str">
        <f>IF(SUM(IV16:IY16)-IZ16&gt;0,SUM(IV16:IY16)-IZ16,"")</f>
        <v/>
      </c>
      <c r="JP16" s="76" t="str">
        <f>IF(JC16&gt;0,JC16,"")</f>
        <v/>
      </c>
      <c r="JQ16" s="76" t="str">
        <f>IF(JD16&gt;0,JD16,"")</f>
        <v/>
      </c>
      <c r="JR16" s="76" t="str">
        <f>IF(SUM(JA16:JD16)-JE16&gt;0,SUM(JA16:JD16)-JE16,"")</f>
        <v/>
      </c>
      <c r="JS16" s="76" t="str">
        <f>IF(SUM(JL16,JR16)&gt;0,SUM(JL16,JR16),"")</f>
        <v/>
      </c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16" t="str">
        <f>IF(JV16&gt;0,JV16,"")</f>
        <v/>
      </c>
      <c r="KO16" s="16" t="str">
        <f>IF(JW16&gt;0,JW16,"")</f>
        <v/>
      </c>
      <c r="KP16" s="16" t="str">
        <f>IF(SUM(JT16:JW16)-JX16&gt;0,SUM(JT16:JW16)-JX16,"")</f>
        <v/>
      </c>
      <c r="KQ16" s="16" t="str">
        <f>IF(KA16&gt;0,KA16,"")</f>
        <v/>
      </c>
      <c r="KR16" s="16" t="str">
        <f>IF(KB16&gt;0,KB16,"")</f>
        <v/>
      </c>
      <c r="KS16" s="16" t="str">
        <f>IF(SUM(JY16:KB16)-KC16&gt;0,SUM(JY16:KB16)-KC16,"")</f>
        <v/>
      </c>
      <c r="KT16" s="16" t="str">
        <f>IF(MAX(KP16,KS16)&gt;0,MAX(KP16,KS16),"")</f>
        <v/>
      </c>
      <c r="KU16" s="16" t="str">
        <f>IF(KF16&gt;0,KF16,"")</f>
        <v/>
      </c>
      <c r="KV16" s="16" t="str">
        <f>IF(KG16&gt;0,KG16,"")</f>
        <v/>
      </c>
      <c r="KW16" s="16" t="str">
        <f>IF(SUM(KD16:KG16)-KH16&gt;0,SUM(KD16:KG16)-KH16,"")</f>
        <v/>
      </c>
      <c r="KX16" s="16" t="str">
        <f>IF(KK16&gt;0,KK16,"")</f>
        <v/>
      </c>
      <c r="KY16" s="16" t="str">
        <f>IF(KL16&gt;0,KL16,"")</f>
        <v/>
      </c>
      <c r="KZ16" s="16" t="str">
        <f>IF(SUM(KI16:KL16)-KM16&gt;0,SUM(KI16:KL16)-KM16,"")</f>
        <v/>
      </c>
      <c r="LA16" s="16" t="str">
        <f>IF(SUM(KT16,KZ16)&gt;0,SUM(KT16,KZ16),"")</f>
        <v/>
      </c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76" t="str">
        <f>IF(LD16&gt;0,LD16,"")</f>
        <v/>
      </c>
      <c r="LW16" s="76" t="str">
        <f>IF(LE16&gt;0,LE16,"")</f>
        <v/>
      </c>
      <c r="LX16" s="76" t="str">
        <f>IF(SUM(LB16:LE16)-LF16&gt;0,SUM(LB16:LE16)-LF16,"")</f>
        <v/>
      </c>
      <c r="LY16" s="76" t="str">
        <f>IF(LI16&gt;0,LI16,"")</f>
        <v/>
      </c>
      <c r="LZ16" s="76" t="str">
        <f>IF(LJ16&gt;0,LJ16,"")</f>
        <v/>
      </c>
      <c r="MA16" s="76" t="str">
        <f>IF(SUM(LG16:LJ16)-LK16&gt;0,SUM(LG16:LJ16)-LK16,"")</f>
        <v/>
      </c>
      <c r="MB16" s="76" t="str">
        <f>IF(MAX(LX16,MA16)&gt;0,MAX(LX16,MA16),"")</f>
        <v/>
      </c>
      <c r="MC16" s="76" t="str">
        <f>IF(LN16&gt;0,LN16,"")</f>
        <v/>
      </c>
      <c r="MD16" s="76" t="str">
        <f>IF(LO16&gt;0,LO16,"")</f>
        <v/>
      </c>
      <c r="ME16" s="76" t="str">
        <f>IF(SUM(LL16:LO16)-LP16&gt;0,SUM(LL16:LO16)-LP16,"")</f>
        <v/>
      </c>
      <c r="MF16" s="76" t="str">
        <f>IF(LS16&gt;0,LS16,"")</f>
        <v/>
      </c>
      <c r="MG16" s="76" t="str">
        <f>IF(LT16&gt;0,LT16,"")</f>
        <v/>
      </c>
      <c r="MH16" s="76" t="str">
        <f>IF(SUM(LQ16:LT16)-LU16&gt;0,SUM(LQ16:LT16)-LU16,"")</f>
        <v/>
      </c>
      <c r="MI16" s="76" t="str">
        <f>IF(SUM(MB16,MH16)&gt;0,SUM(MB16,MH16),"")</f>
        <v/>
      </c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26"/>
      <c r="NC16" s="26"/>
      <c r="ND16" s="16" t="str">
        <f>IF(ML16&gt;0,ML16,"")</f>
        <v/>
      </c>
      <c r="NE16" s="16" t="str">
        <f>IF(MM16&gt;0,MM16,"")</f>
        <v/>
      </c>
      <c r="NF16" s="16" t="str">
        <f>IF(SUM(MJ16:MM16)-MN16&gt;0,SUM(MJ16:MM16)-MN16,"")</f>
        <v/>
      </c>
      <c r="NG16" s="16" t="str">
        <f>IF(MQ16&gt;0,MQ16,"")</f>
        <v/>
      </c>
      <c r="NH16" s="16" t="str">
        <f>IF(MR16&gt;0,MR16,"")</f>
        <v/>
      </c>
      <c r="NI16" s="16" t="str">
        <f>IF(SUM(MO16:MR16)-MS16&gt;0,SUM(MO16:MR16)-MS16,"")</f>
        <v/>
      </c>
      <c r="NJ16" s="16" t="str">
        <f>IF(MAX(NF16,NI16)&gt;0,MAX(NF16,NI16),"")</f>
        <v/>
      </c>
      <c r="NK16" s="16" t="str">
        <f>IF(MV16&gt;0,MV16,"")</f>
        <v/>
      </c>
      <c r="NL16" s="16" t="str">
        <f>IF(MW16&gt;0,MW16,"")</f>
        <v/>
      </c>
      <c r="NM16" s="16" t="str">
        <f>IF(SUM(MT16:MW16)-MX16&gt;0,SUM(MT16:MW16)-MX16,"")</f>
        <v/>
      </c>
      <c r="NN16" s="16" t="str">
        <f>IF(NA16&gt;0,NA16,"")</f>
        <v/>
      </c>
      <c r="NO16" s="16" t="str">
        <f>IF(NB16&gt;0,NB16,"")</f>
        <v/>
      </c>
      <c r="NP16" s="16" t="str">
        <f>IF(SUM(MY16:NB16)-NC16&gt;0,SUM(MY16:NB16)-NC16,"")</f>
        <v/>
      </c>
      <c r="NQ16" s="16" t="str">
        <f>IF(SUM(NJ16,NP16)&gt;0,SUM(NJ16,NP16),"")</f>
        <v/>
      </c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76" t="str">
        <f>IF(NT16&gt;0,NT16,"")</f>
        <v/>
      </c>
      <c r="OM16" s="76" t="str">
        <f>IF(NU16&gt;0,NU16,"")</f>
        <v/>
      </c>
      <c r="ON16" s="76" t="str">
        <f>IF(SUM(NR16:NU16)-NV16&gt;0,SUM(NR16:NU16)-NV16,"")</f>
        <v/>
      </c>
      <c r="OO16" s="76" t="str">
        <f>IF(NY16&gt;0,NY16,"")</f>
        <v/>
      </c>
      <c r="OP16" s="76" t="str">
        <f>IF(NZ16&gt;0,NZ16,"")</f>
        <v/>
      </c>
      <c r="OQ16" s="76" t="str">
        <f>IF(SUM(NW16:NZ16)-OA16&gt;0,SUM(NW16:NZ16)-OA16,"")</f>
        <v/>
      </c>
      <c r="OR16" s="76" t="str">
        <f>IF(MAX(ON16,OQ16)&gt;0,MAX(ON16,OQ16),"")</f>
        <v/>
      </c>
      <c r="OS16" s="76" t="str">
        <f>IF(OD16&gt;0,OD16,"")</f>
        <v/>
      </c>
      <c r="OT16" s="76" t="str">
        <f>IF(OE16&gt;0,OE16,"")</f>
        <v/>
      </c>
      <c r="OU16" s="76" t="str">
        <f>IF(SUM(OB16:OE16)-OF16&gt;0,SUM(OB16:OE16)-OF16,"")</f>
        <v/>
      </c>
      <c r="OV16" s="76" t="str">
        <f>IF(OI16&gt;0,OI16,"")</f>
        <v/>
      </c>
      <c r="OW16" s="76" t="str">
        <f>IF(OJ16&gt;0,OJ16,"")</f>
        <v/>
      </c>
      <c r="OX16" s="76" t="str">
        <f>IF(SUM(OG16:OJ16)-OK16&gt;0,SUM(OG16:OJ16)-OK16,"")</f>
        <v/>
      </c>
      <c r="OY16" s="76" t="str">
        <f>IF(SUM(OR16,OX16)&gt;0,SUM(OR16,OX16),"")</f>
        <v/>
      </c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16" t="str">
        <f>IF(PB16&gt;0,PB16,"")</f>
        <v/>
      </c>
      <c r="PU16" s="16" t="str">
        <f>IF(PC16&gt;0,PC16,"")</f>
        <v/>
      </c>
      <c r="PV16" s="16" t="str">
        <f>IF(SUM(OZ16:PC16)-PD16&gt;0,SUM(OZ16:PC16)-PD16,"")</f>
        <v/>
      </c>
      <c r="PW16" s="16" t="str">
        <f>IF(PG16&gt;0,PG16,"")</f>
        <v/>
      </c>
      <c r="PX16" s="16" t="str">
        <f>IF(PH16&gt;0,PH16,"")</f>
        <v/>
      </c>
      <c r="PY16" s="16" t="str">
        <f>IF(SUM(PE16:PH16)-PI16&gt;0,SUM(PE16:PH16)-PI16,"")</f>
        <v/>
      </c>
      <c r="PZ16" s="16" t="str">
        <f>IF(MAX(PV16,PY16)&gt;0,MAX(PV16,PY16),"")</f>
        <v/>
      </c>
      <c r="QA16" s="16" t="str">
        <f>IF(PL16&gt;0,PL16,"")</f>
        <v/>
      </c>
      <c r="QB16" s="16" t="str">
        <f>IF(PM16&gt;0,PM16,"")</f>
        <v/>
      </c>
      <c r="QC16" s="16" t="str">
        <f>IF(SUM(PJ16:PM16)-PN16&gt;0,SUM(PJ16:PM16)-PN16,"")</f>
        <v/>
      </c>
      <c r="QD16" s="16" t="str">
        <f>IF(PQ16&gt;0,PQ16,"")</f>
        <v/>
      </c>
      <c r="QE16" s="16" t="str">
        <f>IF(PR16&gt;0,PR16,"")</f>
        <v/>
      </c>
      <c r="QF16" s="16" t="str">
        <f>IF(SUM(PO16:PR16)-PS16&gt;0,SUM(PO16:PR16)-PS16,"")</f>
        <v/>
      </c>
      <c r="QG16" s="16" t="str">
        <f>IF(SUM(PZ16,QF16)&gt;0,SUM(PZ16,QF16),"")</f>
        <v/>
      </c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25"/>
      <c r="RA16" s="25"/>
      <c r="RB16" s="76" t="str">
        <f>IF(QJ16&gt;0,QJ16,"")</f>
        <v/>
      </c>
      <c r="RC16" s="76" t="str">
        <f>IF(QK16&gt;0,QK16,"")</f>
        <v/>
      </c>
      <c r="RD16" s="76" t="str">
        <f>IF(SUM(QH16:QK16)-QL16&gt;0,SUM(QH16:QK16)-QL16,"")</f>
        <v/>
      </c>
      <c r="RE16" s="76" t="str">
        <f>IF(QO16&gt;0,QO16,"")</f>
        <v/>
      </c>
      <c r="RF16" s="76" t="str">
        <f>IF(QP16&gt;0,QP16,"")</f>
        <v/>
      </c>
      <c r="RG16" s="76" t="str">
        <f>IF(SUM(QM16:QP16)-QQ16&gt;0,SUM(QM16:QP16)-QQ16,"")</f>
        <v/>
      </c>
      <c r="RH16" s="76" t="str">
        <f>IF(MAX(RD16,RG16)&gt;0,MAX(RD16,RG16),"")</f>
        <v/>
      </c>
      <c r="RI16" s="76" t="str">
        <f>IF(QT16&gt;0,QT16,"")</f>
        <v/>
      </c>
      <c r="RJ16" s="76" t="str">
        <f>IF(QU16&gt;0,QU16,"")</f>
        <v/>
      </c>
      <c r="RK16" s="76" t="str">
        <f>IF(SUM(QR16:QU16)-QV16&gt;0,SUM(QR16:QU16)-QV16,"")</f>
        <v/>
      </c>
      <c r="RL16" s="76" t="str">
        <f>IF(QY16&gt;0,QY16,"")</f>
        <v/>
      </c>
      <c r="RM16" s="76" t="str">
        <f>IF(QZ16&gt;0,QZ16,"")</f>
        <v/>
      </c>
      <c r="RN16" s="76" t="str">
        <f>IF(SUM(QW16:QZ16)-RA16&gt;0,SUM(QW16:QZ16)-RA16,"")</f>
        <v/>
      </c>
      <c r="RO16" s="76" t="str">
        <f>IF(SUM(RH16,RN16)&gt;0,SUM(RH16,RN16),"")</f>
        <v/>
      </c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26"/>
      <c r="SI16" s="26"/>
      <c r="SJ16" s="16" t="str">
        <f>IF(RR16&gt;0,RR16,"")</f>
        <v/>
      </c>
      <c r="SK16" s="16" t="str">
        <f>IF(RS16&gt;0,RS16,"")</f>
        <v/>
      </c>
      <c r="SL16" s="16" t="str">
        <f>IF(SUM(RP16:RS16)-RT16&gt;0,SUM(RP16:RS16)-RT16,"")</f>
        <v/>
      </c>
      <c r="SM16" s="16" t="str">
        <f>IF(RW16&gt;0,RW16,"")</f>
        <v/>
      </c>
      <c r="SN16" s="16" t="str">
        <f>IF(RX16&gt;0,RX16,"")</f>
        <v/>
      </c>
      <c r="SO16" s="16" t="str">
        <f>IF(SUM(RU16:RX16)-RY16&gt;0,SUM(RU16:RX16)-RY16,"")</f>
        <v/>
      </c>
      <c r="SP16" s="16" t="str">
        <f>IF(MAX(SL16,SO16)&gt;0,MAX(SL16,SO16),"")</f>
        <v/>
      </c>
      <c r="SQ16" s="16" t="str">
        <f>IF(SB16&gt;0,SB16,"")</f>
        <v/>
      </c>
      <c r="SR16" s="16" t="str">
        <f>IF(SC16&gt;0,SC16,"")</f>
        <v/>
      </c>
      <c r="SS16" s="16" t="str">
        <f>IF(SUM(RZ16:SC16)-SD16&gt;0,SUM(RZ16:SC16)-SD16,"")</f>
        <v/>
      </c>
      <c r="ST16" s="16" t="str">
        <f>IF(SG16&gt;0,SG16,"")</f>
        <v/>
      </c>
      <c r="SU16" s="16" t="str">
        <f>IF(SH16&gt;0,SH16,"")</f>
        <v/>
      </c>
      <c r="SV16" s="16" t="str">
        <f>IF(SUM(SE16:SH16)-SI16&gt;0,SUM(SE16:SH16)-SI16,"")</f>
        <v/>
      </c>
      <c r="SW16" s="16" t="str">
        <f>IF(SUM(SP16,SV16)&gt;0,SUM(SP16,SV16),"")</f>
        <v/>
      </c>
      <c r="SX16" s="42">
        <f>IF($CP16="P",CA16,(CA16+AZ16)/2)</f>
        <v>3.3</v>
      </c>
      <c r="SY16" s="42">
        <f>IF($CP16="P",CB16,(CB16+BA16)/2)</f>
        <v>2.35</v>
      </c>
      <c r="SZ16" s="42">
        <f>IF($CP16="P",CC16,(CC16+BB16)/2)</f>
        <v>3.4</v>
      </c>
      <c r="TA16" s="42">
        <f>IF($CP16="P",CD16,(CD16+BC16)/2)</f>
        <v>4.0125000000000002</v>
      </c>
      <c r="TB16" s="42">
        <f>IF($CP16="P",CE16,(CE16+BD16)/2)</f>
        <v>0</v>
      </c>
      <c r="TC16" s="42">
        <f>IF($CP16="P",CF16,(CF16+BE16)/2)</f>
        <v>6.9</v>
      </c>
      <c r="TD16" s="42">
        <f>IF($CP16="P",CG16,(CG16+BF16)/2)</f>
        <v>4.4000000000000004</v>
      </c>
      <c r="TE16" s="42">
        <f>IF($CP16="P",CH16,(CH16+BG16)/2)</f>
        <v>7.1</v>
      </c>
      <c r="TF16" s="42">
        <f>IF($CP16="P",CI16,(CI16+BH16)/2)</f>
        <v>7.99</v>
      </c>
      <c r="TG16" s="42">
        <f>IF($CP16="P",CJ16,(CJ16+BI16)/2)</f>
        <v>0</v>
      </c>
      <c r="TH16" s="42">
        <f>IF($CP16="P",CK16,(CK16+BJ16)/2)</f>
        <v>6.1</v>
      </c>
      <c r="TI16" s="42">
        <f>IF($CP16="P",CL16,(CL16+BK16)/2)</f>
        <v>3.95</v>
      </c>
      <c r="TJ16" s="42">
        <f>IF($CP16="P",CM16,(CM16+BL16)/2)</f>
        <v>5.95</v>
      </c>
      <c r="TK16" s="42">
        <f>IF($CP16="P",CN16,(CN16+BM16)/2)</f>
        <v>7.22</v>
      </c>
      <c r="TL16" s="42">
        <f>IF($CP16="P",CO16,(CO16+BN16)/2)</f>
        <v>0</v>
      </c>
      <c r="TM16" s="51" t="s">
        <v>61</v>
      </c>
      <c r="TN16" s="76">
        <f>IF(SZ16&gt;0,SZ16,"")</f>
        <v>3.4</v>
      </c>
      <c r="TO16" s="76">
        <f>IF(TA16&gt;0,TA16,"")</f>
        <v>4.0125000000000002</v>
      </c>
      <c r="TP16" s="76">
        <f>IF(SUM(SX16:TA16)-TB16&gt;0,SUM(SX16:TA16)-TB16,"")</f>
        <v>13.0625</v>
      </c>
      <c r="TQ16" s="76">
        <f>IF(TE16&gt;0,TE16,"")</f>
        <v>7.1</v>
      </c>
      <c r="TR16" s="76">
        <f>IF(TF16&gt;0,TF16,"")</f>
        <v>7.99</v>
      </c>
      <c r="TS16" s="76">
        <f>IF(SUM(TC16:TF16)-TG16&gt;0,SUM(TC16:TF16)-TG16,"")</f>
        <v>26.39</v>
      </c>
      <c r="TT16" s="76">
        <f>IF(MAX(TP16,TS16)&gt;0,MAX(TP16,TS16),"")</f>
        <v>26.39</v>
      </c>
      <c r="TU16" s="76">
        <f>IF(TJ16&gt;0,TJ16,"")</f>
        <v>5.95</v>
      </c>
      <c r="TV16" s="76">
        <f>IF(TK16&gt;0,TK16,"")</f>
        <v>7.22</v>
      </c>
      <c r="TW16" s="76">
        <f>IF(SUM(TH16:TK16)-TL16&gt;0,SUM(TH16:TK16)-TL16,"")</f>
        <v>23.22</v>
      </c>
      <c r="TX16" s="76">
        <f>IF(SUM(TT16,TW16)&gt;0,SUM(TT16,TW16),"")</f>
        <v>49.61</v>
      </c>
    </row>
    <row r="17" spans="1:544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>SUM(J17:V17)+SUM(J17:T17)*0.0000001+SUM(J17)*0.0000000000001</f>
        <v>203.24502032450516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Z17&gt;=EM$25,DZ17&lt;&gt;"",EB17&gt;=EM$29,EB17&lt;&gt;""),AND(EC17&gt;=EM$25,EC17&lt;&gt;"",EE17&gt;=EM$29,EE17&lt;&gt;""),AND(EG17&gt;=EM$25,EG17&lt;&gt;"",EI17&gt;=EM$29,EI17&lt;&gt;""),AND(EJ17&gt;=EM$25,EJ17&lt;&gt;"",EL17&gt;=EM$29,EL17&lt;&gt;""),AND(FH17&gt;=FU$25,FH17&lt;&gt;"",FJ17&gt;=FU$29,FJ17&lt;&gt;""),AND(FK17&gt;=FU$25,FK17&lt;&gt;"",FM17&gt;=FU$29,FM17&lt;&gt;""),AND(FO17&gt;=FU$25,FO17&lt;&gt;"",FQ17&gt;=FU$29,FQ17&lt;&gt;""),AND(FR17&gt;=FU$25,FR17&lt;&gt;"",FT17&gt;=FU$29,FT17&lt;&gt;""),AND(GP17&gt;=HC$25,GP17&lt;&gt;"",GR17&gt;=HC$29,GR17&lt;&gt;""),AND(GS17&gt;=HC$25,GS17&lt;&gt;"",GU17&gt;=HC$29,GU17&lt;&gt;""),AND(GW17&gt;=HC$25,GW17&lt;&gt;"",GY17&gt;=HC$29,GY17&lt;&gt;""),AND(GZ17&gt;=HC$25,GZ17&lt;&gt;"",HB17&gt;=HC$29,HB17&lt;&gt;""),AND(HX17&gt;=IK$25,HX17&lt;&gt;"",HZ17&gt;=IK$29,HZ17&lt;&gt;""),AND(IA17&gt;=IK$25,IA17&lt;&gt;"",IC17&gt;=IK$29,IC17&lt;&gt;""),AND(IE17&gt;=IK$25,IE17&lt;&gt;"",IG17&gt;=IK$29,IG17&lt;&gt;""),AND(IH17&gt;=IK$25,IH17&lt;&gt;"",IJ17&gt;=IK$29,IJ17&lt;&gt;""),AND(JF17&gt;=JS$25,JF17&lt;&gt;"",JH17&gt;=JS$29,JH17&lt;&gt;""),AND(JI17&gt;=JS$25,JI17&lt;&gt;"",JK17&gt;=JS$29,JK17&lt;&gt;""),AND(JM17&gt;=JS$25,JM17&lt;&gt;"",JO17&gt;=JS$29,JO17&lt;&gt;""),AND(JP17&gt;=JS$25,JP17&lt;&gt;"",JR17&gt;=JS$29,JR17&lt;&gt;""),AND(KN17&gt;=LA$25,KN17&lt;&gt;"",KP17&gt;=LA$29,KP17&lt;&gt;""),AND(KQ17&gt;=LA$25,KQ17&lt;&gt;"",KS17&gt;=LA$29,KS17&lt;&gt;""),AND(KU17&gt;=LA$25,KU17&lt;&gt;"",KW17&gt;=LA$29,KW17&lt;&gt;""),AND(KX17&gt;=LA$25,KX17&lt;&gt;"",KZ17&gt;=LA$29,KZ17&lt;&gt;""),AND(LV17&gt;=MI$25,LV17&lt;&gt;"",LX17&gt;=MI$29,LX17&lt;&gt;""),AND(LY17&gt;=MI$25,LY17&lt;&gt;"",MA17&gt;=MI$29,MA17&lt;&gt;""),AND(MC17&gt;=MI$25,MC17&lt;&gt;"",ME17&gt;=MI$29,ME17&lt;&gt;""),AND(MF17&gt;=MI$25,MF17&lt;&gt;"",MH17&gt;=MI$29,MH17&lt;&gt;""),AND(ND17&gt;=NQ$25,ND17&lt;&gt;"",NF17&gt;=NQ$29,NF17&lt;&gt;""),AND(NG17&gt;=NQ$25,NG17&lt;&gt;"",NI17&gt;=NQ$29,NI17&lt;&gt;""),AND(NK17&gt;=NQ$25,NK17&lt;&gt;"",NM17&gt;=NQ$29,NM17&lt;&gt;""),AND(NN17&gt;=NQ$25,NN17&lt;&gt;"",NP17&gt;=NQ$29,NP17&lt;&gt;""),AND(OL17&gt;=OY$25,OL17&lt;&gt;"",ON17&gt;=OY$29,ON17&lt;&gt;""),AND(OO17&gt;=OY$25,OO17&lt;&gt;"",OQ17&gt;=OY$29,OQ17&lt;&gt;""),AND(OS17&gt;=OY$25,OS17&lt;&gt;"",OU17&gt;=OY$29,OU17&lt;&gt;""),AND(OV17&gt;=OY$25,OV17&lt;&gt;"",OX17&gt;=OY$29,OX17&lt;&gt;""),AND(PT17&gt;=QG$25,PT17&lt;&gt;"",PV17&gt;=QG$29,PV17&lt;&gt;""),AND(PW17&gt;=QG$25,PW17&lt;&gt;"",PY17&gt;=QG$29,PY17&lt;&gt;""),AND(QA17&gt;=QG$25,QA17&lt;&gt;"",QC17&gt;=QG$29,QC17&lt;&gt;""),AND(QD17&gt;=QG$25,QD17&lt;&gt;"",QF17&gt;=QG$29,QF17&lt;&gt;""),AND(RB17&gt;=RO$25,RB17&lt;&gt;"",RD17&gt;=RO$29,RD17&lt;&gt;""),AND(RE17&gt;=RO$25,RE17&lt;&gt;"",RG17&gt;=RO$29,RG17&lt;&gt;""),AND(RI17&gt;=RO$25,RI17&lt;&gt;"",RK17&gt;=RO$29,RK17&lt;&gt;""),AND(RL17&gt;=RO$25,RL17&lt;&gt;"",RN17&gt;=RO$29,RN17&lt;&gt;""),AND(SJ17&gt;=SW$25,SJ17&lt;&gt;"",SL17&gt;=SW$29,SL17&lt;&gt;""),AND(SM17&gt;=SW$25,SM17&lt;&gt;"",SO17&gt;=SW$29,SO17&lt;&gt;""),AND(SQ17&gt;=SW$25,SQ17&lt;&gt;"",SS17&gt;=SW$29,SS17&lt;&gt;""),AND(ST17&gt;=SW$25,ST17&lt;&gt;"",SV17&gt;=SW$29,SV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EB17&gt;=EM$29,EB17&lt;&gt;""),AND(EE17&gt;=EM$29,EE17&lt;&gt;""),AND(EI17&gt;=EM$29,EI17&lt;&gt;""),AND(EL17&gt;=EM$29,EL17&lt;&gt;""),AND(FJ17&gt;=FU$29,FJ17&lt;&gt;""),AND(FM17&gt;=FU$29,FM17&lt;&gt;""),AND(FQ17&gt;=FU$29,FQ17&lt;&gt;""),AND(FT17&gt;=FU$29,FT17&lt;&gt;""),AND(GR17&gt;=HC$29,GR17&lt;&gt;""),AND(GU17&gt;=HC$29,GU17&lt;&gt;""),AND(GY17&gt;=HC$29,GY17&lt;&gt;""),AND(HB17&gt;=HC$29,HB17&lt;&gt;""),AND(HZ17&gt;=IK$29,HZ17&lt;&gt;""),AND(IC17&gt;=IK$29,IC17&lt;&gt;""),AND(IG17&gt;=IK$29,IG17&lt;&gt;""),AND(IJ17&gt;=IK$29,IJ17&lt;&gt;""),AND(JH17&gt;=JS$29,JH17&lt;&gt;""),AND(JK17&gt;=JS$29,JK17&lt;&gt;""),AND(JO17&gt;=JS$29,JO17&lt;&gt;""),AND(JR17&gt;=JS$29,JR17&lt;&gt;""),AND(KP17&gt;=LA$29,KP17&lt;&gt;""),AND(KS17&gt;=LA$29,KS17&lt;&gt;""),AND(KW17&gt;=LA$29,KW17&lt;&gt;""),AND(KZ17&gt;=LA$29,KZ17&lt;&gt;""),AND(LX17&gt;=MI$29,LX17&lt;&gt;""),AND(MA17&gt;=MI$29,MA17&lt;&gt;""),AND(ME17&gt;=MI$29,ME17&lt;&gt;""),AND(MH17&gt;=MI$29,MH17&lt;&gt;""),AND(NF17&gt;=NQ$29,NF17&lt;&gt;""),AND(NI17&gt;=NQ$29,NI17&lt;&gt;""),AND(NM17&gt;=NQ$29,NM17&lt;&gt;""),AND(NP17&gt;=NQ$29,NP17&lt;&gt;""),AND(ON17&gt;=OY$29,ON17&lt;&gt;""),AND(OQ17&gt;=OY$29,OQ17&lt;&gt;""),AND(OU17&gt;=OY$29,OU17&lt;&gt;""),AND(OX17&gt;=OY$29,OX17&lt;&gt;""),AND(PV17&gt;=QG$29,PV17&lt;&gt;""),AND(PY17&gt;=QG$29,PY17&lt;&gt;""),AND(QC17&gt;=QG$29,QC17&lt;&gt;""),AND(QF17&gt;=QG$29,QF17&lt;&gt;""),AND(RD17&gt;=RO$29,RD17&lt;&gt;""),AND(RG17&gt;=RO$29,RG17&lt;&gt;""),AND(RK17&gt;=RO$29,RK17&lt;&gt;""),AND(RN17&gt;=RO$29,RN17&lt;&gt;""),AND(SL17&gt;=SW$29,SL17&lt;&gt;""),AND(SO17&gt;=SW$29,SO17&lt;&gt;""),AND(SS17&gt;=SW$29,SS17&lt;&gt;""),AND(SV17&gt;=SW$29,SV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Z17&gt;=EM$28,DZ17&lt;&gt;"",EB17&gt;=EM$32,EB17&lt;&gt;""),AND(EC17&gt;=EM$28,EC17&lt;&gt;"",EE17&gt;=EM$32,EE17&lt;&gt;""),AND(EG17&gt;=EM$28,EG17&lt;&gt;"",EI17&gt;=EM$32,EI17&lt;&gt;""),AND(EJ17&gt;=EM$28,EJ17&lt;&gt;"",EL17&gt;=EM$32,EL17&lt;&gt;""),AND(FH17&gt;=FU$28,FH17&lt;&gt;"",FJ17&gt;=FU$32,FJ17&lt;&gt;""),AND(FK17&gt;=FU$28,FK17&lt;&gt;"",FM17&gt;=FU$32,FM17&lt;&gt;""),AND(FO17&gt;=FU$28,FO17&lt;&gt;"",FQ17&gt;=FU$32,FQ17&lt;&gt;""),AND(FR17&gt;=FU$28,FR17&lt;&gt;"",FT17&gt;=FU$32,FT17&lt;&gt;""),AND(GP17&gt;=HC$28,GP17&lt;&gt;"",GR17&gt;=HC$32,GR17&lt;&gt;""),AND(GS17&gt;=HC$28,GS17&lt;&gt;"",GU17&gt;=HC$32,GU17&lt;&gt;""),AND(GW17&gt;=HC$28,GW17&lt;&gt;"",GY17&gt;=HC$32,GY17&lt;&gt;""),AND(GZ17&gt;=HC$28,GZ17&lt;&gt;"",HB17&gt;=HC$32,HB17&lt;&gt;""),AND(HX17&gt;=IK$28,HX17&lt;&gt;"",HZ17&gt;=IK$32,HZ17&lt;&gt;""),AND(IA17&gt;=IK$28,IA17&lt;&gt;"",IC17&gt;=IK$32,IC17&lt;&gt;""),AND(IE17&gt;=IK$28,IE17&lt;&gt;"",IG17&gt;=IK$32,IG17&lt;&gt;""),AND(IH17&gt;=IK$28,IH17&lt;&gt;"",IJ17&gt;=IK$32,IJ17&lt;&gt;""),AND(JF17&gt;=JS$28,JF17&lt;&gt;"",JH17&gt;=JS$32,JH17&lt;&gt;""),AND(JI17&gt;=JS$28,JI17&lt;&gt;"",JK17&gt;=JS$32,JK17&lt;&gt;""),AND(JM17&gt;=JS$28,JM17&lt;&gt;"",JO17&gt;=JS$32,JO17&lt;&gt;""),AND(JP17&gt;=JS$28,JP17&lt;&gt;"",JR17&gt;=JS$32,JR17&lt;&gt;""),AND(KN17&gt;=LA$28,KN17&lt;&gt;"",KP17&gt;=LA$32,KP17&lt;&gt;""),AND(KQ17&gt;=LA$28,KQ17&lt;&gt;"",KS17&gt;=LA$32,KS17&lt;&gt;""),AND(KU17&gt;=LA$28,KU17&lt;&gt;"",KW17&gt;=LA$32,KW17&lt;&gt;""),AND(KX17&gt;=LA$28,KX17&lt;&gt;"",KZ17&gt;=LA$32,KZ17&lt;&gt;""),AND(LV17&gt;=MI$28,LV17&lt;&gt;"",LX17&gt;=MI$32,LX17&lt;&gt;""),AND(LY17&gt;=MI$28,LY17&lt;&gt;"",MA17&gt;=MI$32,MA17&lt;&gt;""),AND(MC17&gt;=MI$28,MC17&lt;&gt;"",ME17&gt;=MI$32,ME17&lt;&gt;""),AND(MF17&gt;=MI$28,MF17&lt;&gt;"",MH17&gt;=MI$32,MH17&lt;&gt;""),AND(ND17&gt;=NQ$28,ND17&lt;&gt;"",NF17&gt;=NQ$32,NF17&lt;&gt;""),AND(NG17&gt;=NQ$28,NG17&lt;&gt;"",NI17&gt;=NQ$32,NI17&lt;&gt;""),AND(NK17&gt;=NQ$28,NK17&lt;&gt;"",NM17&gt;=NQ$32,NM17&lt;&gt;""),AND(NN17&gt;=NQ$28,NN17&lt;&gt;"",NP17&gt;=NQ$32,NP17&lt;&gt;""),AND(OL17&gt;=OY$28,OL17&lt;&gt;"",ON17&gt;=OY$32,ON17&lt;&gt;""),AND(OO17&gt;=OY$28,OO17&lt;&gt;"",OQ17&gt;=OY$32,OQ17&lt;&gt;""),AND(OS17&gt;=OY$28,OS17&lt;&gt;"",OU17&gt;=OY$32,OU17&lt;&gt;""),AND(OV17&gt;=OY$28,OV17&lt;&gt;"",OX17&gt;=OY$32,OX17&lt;&gt;""),AND(PT17&gt;=QG$28,PT17&lt;&gt;"",PV17&gt;=QG$32,PV17&lt;&gt;""),AND(PW17&gt;=QG$28,PW17&lt;&gt;"",PY17&gt;=QG$32,PY17&lt;&gt;""),AND(QA17&gt;=QG$28,QA17&lt;&gt;"",QC17&gt;=QG$32,QC17&lt;&gt;""),AND(QD17&gt;=QG$28,QD17&lt;&gt;"",QF17&gt;=QG$32,QF17&lt;&gt;""),AND(RB17&gt;=RO$28,RB17&lt;&gt;"",RD17&gt;=RO$32,RD17&lt;&gt;""),AND(RE17&gt;=RO$28,RE17&lt;&gt;"",RG17&gt;=RO$32,RG17&lt;&gt;""),AND(RI17&gt;=RO$28,RI17&lt;&gt;"",RK17&gt;=RO$32,RK17&lt;&gt;""),AND(RL17&gt;=RO$28,RL17&lt;&gt;"",RN17&gt;=RO$32,RN17&lt;&gt;""),AND(SJ17&gt;=SW$28,SJ17&lt;&gt;"",SL17&gt;=SW$32,SL17&lt;&gt;""),AND(SM17&gt;=SW$28,SM17&lt;&gt;"",SO17&gt;=SW$32,SO17&lt;&gt;""),AND(SQ17&gt;=SW$28,SQ17&lt;&gt;"",SS17&gt;=SW$32,SS17&lt;&gt;""),AND(ST17&gt;=SW$28,ST17&lt;&gt;"",SV17&gt;=SW$32,SV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Z17&gt;=EM$27,DZ17&lt;&gt;"",EB17&gt;=EM$31,EB17&lt;&gt;""),AND(EC17&gt;=EM$27,EC17&lt;&gt;"",EE17&gt;=EM$31,EE17&lt;&gt;""),AND(EG17&gt;=EM$27,EG17&lt;&gt;"",EI17&gt;=EM$31,EI17&lt;&gt;""),AND(EJ17&gt;=EM$27,EJ17&lt;&gt;"",EL17&gt;=EM$31,EL17&lt;&gt;""),AND(FH17&gt;=FU$27,FH17&lt;&gt;"",FJ17&gt;=FU$31,FJ17&lt;&gt;""),AND(FK17&gt;=FU$27,FK17&lt;&gt;"",FM17&gt;=FU$31,FM17&lt;&gt;""),AND(FO17&gt;=FU$27,FO17&lt;&gt;"",FQ17&gt;=FU$31,FQ17&lt;&gt;""),AND(FR17&gt;=FU$27,FR17&lt;&gt;"",FT17&gt;=FU$31,FT17&lt;&gt;""),AND(GP17&gt;=HC$27,GP17&lt;&gt;"",GR17&gt;=HC$31,GR17&lt;&gt;""),AND(GS17&gt;=HC$27,GS17&lt;&gt;"",GU17&gt;=HC$31,GU17&lt;&gt;""),AND(GW17&gt;=HC$27,GW17&lt;&gt;"",GY17&gt;=HC$31,GY17&lt;&gt;""),AND(GZ17&gt;=HC$27,GZ17&lt;&gt;"",HB17&gt;=HC$31,HB17&lt;&gt;""),AND(HX17&gt;=IK$27,HX17&lt;&gt;"",HZ17&gt;=IK$31,HZ17&lt;&gt;""),AND(IA17&gt;=IK$27,IA17&lt;&gt;"",IC17&gt;=IK$31,IC17&lt;&gt;""),AND(IE17&gt;=IK$27,IE17&lt;&gt;"",IG17&gt;=IK$31,IG17&lt;&gt;""),AND(IH17&gt;=IK$27,IH17&lt;&gt;"",IJ17&gt;=IK$31,IJ17&lt;&gt;""),AND(JF17&gt;=JS$27,JF17&lt;&gt;"",JH17&gt;=JS$31,JH17&lt;&gt;""),AND(JI17&gt;=JS$27,JI17&lt;&gt;"",JK17&gt;=JS$31,JK17&lt;&gt;""),AND(JM17&gt;=JS$27,JM17&lt;&gt;"",JO17&gt;=JS$31,JO17&lt;&gt;""),AND(JP17&gt;=JS$27,JP17&lt;&gt;"",JR17&gt;=JS$31,JR17&lt;&gt;""),AND(KN17&gt;=LA$27,KN17&lt;&gt;"",KP17&gt;=LA$31,KP17&lt;&gt;""),AND(KQ17&gt;=LA$27,KQ17&lt;&gt;"",KS17&gt;=LA$31,KS17&lt;&gt;""),AND(KU17&gt;=LA$27,KU17&lt;&gt;"",KW17&gt;=LA$31,KW17&lt;&gt;""),AND(KX17&gt;=LA$27,KX17&lt;&gt;"",KZ17&gt;=LA$31,KZ17&lt;&gt;""),AND(LV17&gt;=MI$27,LV17&lt;&gt;"",LX17&gt;=MI$31,LX17&lt;&gt;""),AND(LY17&gt;=MI$27,LY17&lt;&gt;"",MA17&gt;=MI$31,MA17&lt;&gt;""),AND(MC17&gt;=MI$27,MC17&lt;&gt;"",ME17&gt;=MI$31,ME17&lt;&gt;""),AND(MF17&gt;=MI$27,MF17&lt;&gt;"",MH17&gt;=MI$31,MH17&lt;&gt;""),AND(ND17&gt;=NQ$27,ND17&lt;&gt;"",NF17&gt;=NQ$31,NF17&lt;&gt;""),AND(NG17&gt;=NQ$27,NG17&lt;&gt;"",NI17&gt;=NQ$31,NI17&lt;&gt;""),AND(NK17&gt;=NQ$27,NK17&lt;&gt;"",NM17&gt;=NQ$31,NM17&lt;&gt;""),AND(NN17&gt;=NQ$27,NN17&lt;&gt;"",NP17&gt;=NQ$31,NP17&lt;&gt;""),AND(OL17&gt;=OY$27,OL17&lt;&gt;"",ON17&gt;=OY$31,ON17&lt;&gt;""),AND(OO17&gt;=OY$27,OO17&lt;&gt;"",OQ17&gt;=OY$31,OQ17&lt;&gt;""),AND(OS17&gt;=OY$27,OS17&lt;&gt;"",OU17&gt;=OY$31,OU17&lt;&gt;""),AND(OV17&gt;=OY$27,OV17&lt;&gt;"",OX17&gt;=OY$31,OX17&lt;&gt;""),AND(PT17&gt;=QG$27,PT17&lt;&gt;"",PV17&gt;=QG$31,PV17&lt;&gt;""),AND(PW17&gt;=QG$27,PW17&lt;&gt;"",PY17&gt;=QG$31,PY17&lt;&gt;""),AND(QA17&gt;=QG$27,QA17&lt;&gt;"",QC17&gt;=QG$31,QC17&lt;&gt;""),AND(QD17&gt;=QG$27,QD17&lt;&gt;"",QF17&gt;=QG$31,QF17&lt;&gt;""),AND(RB17&gt;=RO$27,RB17&lt;&gt;"",RD17&gt;=RO$31,RD17&lt;&gt;""),AND(RE17&gt;=RO$27,RE17&lt;&gt;"",RG17&gt;=RO$31,RG17&lt;&gt;""),AND(RI17&gt;=RO$27,RI17&lt;&gt;"",RK17&gt;=RO$31,RK17&lt;&gt;""),AND(RL17&gt;=RO$27,RL17&lt;&gt;"",RN17&gt;=RO$31,RN17&lt;&gt;""),AND(SJ17&gt;=SW$27,SJ17&lt;&gt;"",SL17&gt;=SW$31,SL17&lt;&gt;""),AND(SM17&gt;=SW$27,SM17&lt;&gt;"",SO17&gt;=SW$31,SO17&lt;&gt;""),AND(SQ17&gt;=SW$27,SQ17&lt;&gt;"",SS17&gt;=SW$31,SS17&lt;&gt;""),AND(ST17&gt;=SW$27,ST17&lt;&gt;"",SV17&gt;=SW$31,SV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Z17&gt;=EM$26,DZ17&lt;&gt;"",EB17&gt;=EM$30,EB17&lt;&gt;""),AND(EC17&gt;=EM$26,EC17&lt;&gt;"",EE17&gt;=EM$30,EE17&lt;&gt;""),AND(EG17&gt;=EM$26,EG17&lt;&gt;"",EI17&gt;=EM$30,EI17&lt;&gt;""),AND(EJ17&gt;=EM$26,EJ17&lt;&gt;"",EL17&gt;=EM$30,EL17&lt;&gt;""),AND(FH17&gt;=FU$26,FH17&lt;&gt;"",FJ17&gt;=FU$30,FJ17&lt;&gt;""),AND(FK17&gt;=FU$26,FK17&lt;&gt;"",FM17&gt;=FU$30,FM17&lt;&gt;""),AND(FO17&gt;=FU$26,FO17&lt;&gt;"",FQ17&gt;=FU$30,FQ17&lt;&gt;""),AND(FR17&gt;=FU$26,FR17&lt;&gt;"",FT17&gt;=FU$30,FT17&lt;&gt;""),AND(GP17&gt;=HC$26,GP17&lt;&gt;"",GR17&gt;=HC$30,GR17&lt;&gt;""),AND(GS17&gt;=HC$26,GS17&lt;&gt;"",GU17&gt;=HC$30,GU17&lt;&gt;""),AND(GW17&gt;=HC$26,GW17&lt;&gt;"",GY17&gt;=HC$30,GY17&lt;&gt;""),AND(GZ17&gt;=HC$26,GZ17&lt;&gt;"",HB17&gt;=HC$30,HB17&lt;&gt;""),AND(HX17&gt;=IK$26,HX17&lt;&gt;"",HZ17&gt;=IK$30,HZ17&lt;&gt;""),AND(IA17&gt;=IK$26,IA17&lt;&gt;"",IC17&gt;=IK$30,IC17&lt;&gt;""),AND(IE17&gt;=IK$26,IE17&lt;&gt;"",IG17&gt;=IK$30,IG17&lt;&gt;""),AND(IH17&gt;=IK$26,IH17&lt;&gt;"",IJ17&gt;=IK$30,IJ17&lt;&gt;""),AND(JF17&gt;=JS$26,JF17&lt;&gt;"",JH17&gt;=JS$30,JH17&lt;&gt;""),AND(JI17&gt;=JS$26,JI17&lt;&gt;"",JK17&gt;=JS$30,JK17&lt;&gt;""),AND(JM17&gt;=JS$26,JM17&lt;&gt;"",JO17&gt;=JS$30,JO17&lt;&gt;""),AND(JP17&gt;=JS$26,JP17&lt;&gt;"",JR17&gt;=JS$30,JR17&lt;&gt;""),AND(KN17&gt;=LA$26,KN17&lt;&gt;"",KP17&gt;=LA$30,KP17&lt;&gt;""),AND(KQ17&gt;=LA$26,KQ17&lt;&gt;"",KS17&gt;=LA$30,KS17&lt;&gt;""),AND(KU17&gt;=LA$26,KU17&lt;&gt;"",KW17&gt;=LA$30,KW17&lt;&gt;""),AND(KX17&gt;=LA$26,KX17&lt;&gt;"",KZ17&gt;=LA$30,KZ17&lt;&gt;""),AND(LV17&gt;=MI$26,LV17&lt;&gt;"",LX17&gt;=MI$30,LX17&lt;&gt;""),AND(LY17&gt;=MI$26,LY17&lt;&gt;"",MA17&gt;=MI$30,MA17&lt;&gt;""),AND(MC17&gt;=MI$26,MC17&lt;&gt;"",ME17&gt;=MI$30,ME17&lt;&gt;""),AND(MF17&gt;=MI$26,MF17&lt;&gt;"",MH17&gt;=MI$30,MH17&lt;&gt;""),AND(ND17&gt;=NQ$26,ND17&lt;&gt;"",NF17&gt;=NQ$30,NF17&lt;&gt;""),AND(NG17&gt;=NQ$26,NG17&lt;&gt;"",NI17&gt;=NQ$30,NI17&lt;&gt;""),AND(NK17&gt;=NQ$26,NK17&lt;&gt;"",NM17&gt;=NQ$30,NM17&lt;&gt;""),AND(NN17&gt;=NQ$26,NN17&lt;&gt;"",NP17&gt;=NQ$30,NP17&lt;&gt;""),AND(OL17&gt;=OY$26,OL17&lt;&gt;"",ON17&gt;=OY$30,ON17&lt;&gt;""),AND(OO17&gt;=OY$26,OO17&lt;&gt;"",OQ17&gt;=OY$30,OQ17&lt;&gt;""),AND(OS17&gt;=OY$26,OS17&lt;&gt;"",OU17&gt;=OY$30,OU17&lt;&gt;""),AND(OV17&gt;=OY$26,OV17&lt;&gt;"",OX17&gt;=OY$30,OX17&lt;&gt;""),AND(PT17&gt;=QG$26,PT17&lt;&gt;"",PV17&gt;=QG$30,PV17&lt;&gt;""),AND(PW17&gt;=QG$26,PW17&lt;&gt;"",PY17&gt;=QG$30,PY17&lt;&gt;""),AND(QA17&gt;=QG$26,QA17&lt;&gt;"",QC17&gt;=QG$30,QC17&lt;&gt;""),AND(QD17&gt;=QG$26,QD17&lt;&gt;"",QF17&gt;=QG$30,QF17&lt;&gt;""),AND(RB17&gt;=RO$26,RB17&lt;&gt;"",RD17&gt;=RO$30,RD17&lt;&gt;""),AND(RE17&gt;=RO$26,RE17&lt;&gt;"",RG17&gt;=RO$30,RG17&lt;&gt;""),AND(RI17&gt;=RO$26,RI17&lt;&gt;"",RK17&gt;=RO$30,RK17&lt;&gt;""),AND(RL17&gt;=RO$26,RL17&lt;&gt;"",RN17&gt;=RO$30,RN17&lt;&gt;""),AND(SJ17&gt;=SW$26,SJ17&lt;&gt;"",SL17&gt;=SW$30,SL17&lt;&gt;""),AND(SM17&gt;=SW$26,SM17&lt;&gt;"",SO17&gt;=SW$30,SO17&lt;&gt;""),AND(SQ17&gt;=SW$26,SQ17&lt;&gt;"",SS17&gt;=SW$30,SS17&lt;&gt;""),AND(ST17&gt;=SW$26,ST17&lt;&gt;"",SV17&gt;=SW$30,SV17&lt;&gt;"")),"P","")</f>
        <v/>
      </c>
      <c r="J17" s="13">
        <f>IF(COUNT(AQ17,AT17,BR17,BU17,CS17,CV17)&gt;0,LARGE((AQ17,AT17,BR17,BU17,CS17,CV17),1),0)</f>
        <v>51.35</v>
      </c>
      <c r="K17" s="13" t="str">
        <f>IF(J17="","",IF(OR(J17=CS17,J17=CV17),$CA$1,IF(OR(J17=BR17,J17=BU17),$AZ$1,IF(OR(J17=AQ17,J17=AT17),$Y$1,""))))</f>
        <v>2021 Elite Canada</v>
      </c>
      <c r="L17" s="13">
        <f>IF(COUNT(AQ17,AT17,BR17,BU17,CS17,CV17)&gt;1,LARGE((AQ17,AT17,BR17,BU17,CS17,CV17),2),0)</f>
        <v>50.65</v>
      </c>
      <c r="M17" s="13" t="str">
        <f>IF(L17="","",IF(OR(L17=CS17,L17=CV17),$CA$1,IF(OR(L17=BR17,L17=BU17),$AZ$1,IF(OR(L17=AQ17,L17=AT17),$Y$1,""))))</f>
        <v>2021 Elite Canada</v>
      </c>
      <c r="N17" s="13">
        <f>IF(COUNT(AQ17,AT17,BR17,BU17,CS17,CV17)&gt;2,LARGE((AQ17,AT17,BR17,BU17,CS17,CV17),3),0)</f>
        <v>38.614999999999995</v>
      </c>
      <c r="O17" s="13" t="str">
        <f>IF(N17="","",IF(OR(N17=CS17,N17=CV17),$CA$1,IF(OR(N17=BR17,N17=BU17),$AZ$1,IF(OR(N17=AQ17,N17=AT17),$Y$1,""))))</f>
        <v>2021 Canadian Championships</v>
      </c>
      <c r="P17" s="13">
        <f>IF(MAX(AX17,BY17,CZ17)&gt;0,MAX(AX17,BY17,CZ17),0)</f>
        <v>49.13</v>
      </c>
      <c r="Q17" s="13" t="str">
        <f>IF(P17="","",IF(P17=CZ17,$CA$1,IF(P17=BY17,$AZ$1,IF(P17=AX17,$Y$1,""))))</f>
        <v>2021 Elite Canada</v>
      </c>
      <c r="R17" s="13">
        <f>IF(MAX(AO17,AR17,AV17,BP17,BS17,BW17,CQ17,CT17,CX17)&gt;0,MAX(AO17,AR17,BP17,BS17,CQ17,CT17,AV17),0)</f>
        <v>13.5</v>
      </c>
      <c r="S17" s="13" t="str">
        <f>IF(R17=0,"",IF(OR(R17=CQ17,R17=CT17,R17=CX17),$CA$1,IF(OR(R17=BP17,R17=BS17,R17=BW17),$AZ$1,IF(OR(R17=AO17,R17=AR17,R17=AV17),$Y$1,""))))</f>
        <v>2021 Elite Canada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),0)</f>
        <v>0</v>
      </c>
      <c r="U17" s="13" t="str">
        <f>IF(T17=0,"",IF(OR(T17=CR17,T17=CU17,T17=CY17),$CA$1,IF(OR(T17=BQ17,T17=BT17,T17=BX17),$AZ$1,IF(OR(T17=AP17,T17=AS17,T17=AW17),$Y$1,""))))</f>
        <v/>
      </c>
      <c r="V17" s="13" t="str">
        <f>IF(MAX(DB17,DC17,DD17,DE17)&gt;0,MAX(DB17,DC17,DD17,DE17),"")</f>
        <v/>
      </c>
      <c r="W17" s="16" t="str">
        <f>IF(V17="","",IF(V17=DB17,"("&amp;DB$2&amp;")",IF(V17=DC17,"("&amp;DC$2&amp;")",IF(V17=DD17,"("&amp;DD$2&amp;")",IF(V17=DE17,"("&amp;DE$2&amp;")")))))</f>
        <v/>
      </c>
      <c r="X17" s="13" t="str">
        <f>IF(V17="","",IF(V17=DB17,IF(V17+IF(L17="",0,L17)=SP17,$RP$1,IF(V17+IF(L17="",0,L17)=RH17,$QH$1,IF(V17+IF(L17="",0,L17)=PZ17,$OZ$1,IF(V17+IF(L17="",0,L17)=OR17,$NR$1,IF(V17+IF(L17="",0,L17)=NJ17,$MJ$1,IF(V17+IF(L17="",0,L17)=MB17,$LB$1,IF(V17+IF(L17="",0,L17)=KT17,$JT$1,IF(V17+IF(L17="",0,L17)=JL17,$IL$1,IF(V17+IF(L17="",0,L17)=ID17,$HD$1,IF(V17+IF(L17="",0,L17)=GV17,$FV$1,IF(V17+IF(L17="",0,L17)=FN17,$EN$1,IF(V17+IF(L17="",0,L17)=EF17,$DF$1)))))))))))),IF(V17=DC17,IF(V17+IF(P17="",0,P17)=SV17,$RP$1,IF(V17+IF(P17="",0,P17)=RN17,$QH$1,IF(V17+IF(P17="",0,P17)=QF17,$OZ$1,IF(V17+IF(P17="",0,P17)=OX17,$NR$1,IF(V17+IF(P17="",0,P17)=NP17,$MJ$1,IF(V17+IF(P17="",0,P17)=MH17,$LB$1,IF(V17+IF(P17="",0,P17)=KZ17,$JT$1,IF(V17+IF(P17="",0,P17)=JR17,$IL$1,IF(V17+IF(P17="",0,P17)=IJ17,$HD$1,IF(V17+IF(P17="",0,P17)=HB17,$FV$1,IF(V17+IF(P17="",0,P17)=FT17,$EN$1,IF(V17+IF(P17="",0,P17)=EL17,$DF$1)))))))))))),IF(V17=DD17,IF(V17+IF(R17="",0,R17)=MAX(SJ17,SM17,SQ17,ST17),$RP$1,IF(V17+IF(R17="",0,R17)=MAX(RB17,RE17,RI17,RL17),$QH$1,IF(V17+IF(R17="",0,R17)=MAX(PT17,PW17,QA17,QD17),$OZ$1,IF(V17+IF(R17="",0,R17)=MAX(OL17,OO17,OS17,OV17),$NR$1,IF(V17+IF(R17="",0,R17)=MAX(ND17,NG17,NK17,NN17),$MJ$1,IF(V17+IF(R17="",0,R17)=MAX(LV17,LY17,MC17,MF17),$LB$1,IF(V17+IF(R17="",0,R17)=MAX(KN17,KQ17,KU17,KX17),$JT$1,IF(V17+IF(R17="",0,R17)=MAX(JF17,JI17,JM17,JP17),$IL$1,IF(V17+IF(R17="",0,R17)=MAX(HX17,IA17,IE17,IH17),$HD$1,IF(V17+IF(R17="",0,R17)=MAX(GP17,GS17,GW17,GZ17),$FV$1,IF(V17+IF(R17="",0,R17)=MAX(FH17,FK17,FO17,FR17),$EN$1,IF(V17+IF(R17="",0,R17)=MAX(DZ17,EC17,EG17,EJ17),$DF$1)))))))))))),IF(V17=DE17,IF(V17+IF(T17="",0,T17)=MAX(SK17,SN17,SR17,SU17),$RP$1,IF(V17+IF(T17="",0,T17)=MAX(RC17,RF17,RJ17,RM17),$QH$1,IF(V17+IF(T17="",0,T17)=MAX(PU17,PX17,QB17,QE17),$OZ$1,IF(V17+IF(T17="",0,T17)=MAX(OM17,OP17,OT17,OW17),$NR$1,IF(V17+IF(T17="",0,T17)=MAX(NE17,NH17,NL17,NO17),$MJ$1,IF(V17+IF(T17="",0,T17)=MAX(LW17,LZ17,MD17,MG17),$LB$1,IF(V17+IF(T17="",0,T17)=MAX(KO17,KR17,KV17,KY17),$JT$1,IF(V17+IF(T17="",0,T17)=MAX(JG17,JJ17,JN17,JQ17),$IL$1,IF(V17+IF(T17="",0,T17)=MAX(HY17,IB17,IF17,II17),$HD$1,IF(V17+IF(T17="",0,T17)=MAX(GQ17,GT17,GX17,HA17),$FV$1,IF(V17+IF(T17="",0,T17)=MAX(FI17,FL17,FP17,FS17),$EN$1,IF(V17+IF(T17="",0,T17)=MAX(EA17,ED17,EH17,EK17),$DF$1)))))))))))))))))</f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>IF(AA17&gt;0,AA17,"")</f>
        <v>13.5</v>
      </c>
      <c r="AP17" s="74">
        <f>IF(AB17&gt;0,AB17,"")</f>
        <v>14.75</v>
      </c>
      <c r="AQ17" s="76">
        <f>IF(SUM(Y17:AB17)-AC17&gt;0,SUM(Y17:AB17)-AC17,"")</f>
        <v>50.65</v>
      </c>
      <c r="AR17" s="76">
        <f>IF(AF17&gt;0,AF17,"")</f>
        <v>13.5</v>
      </c>
      <c r="AS17" s="76">
        <f>IF(AG17&gt;0,AG17,"")</f>
        <v>14.65</v>
      </c>
      <c r="AT17" s="76">
        <f>IF(SUM(AD17:AG17)-AH17&gt;0,SUM(AD17:AG17)-AH17,"")</f>
        <v>51.35</v>
      </c>
      <c r="AU17" s="76">
        <f>IF(AQ17="","",MAX(AQ17,AT17))</f>
        <v>51.35</v>
      </c>
      <c r="AV17" s="76">
        <f>IF(AK17&gt;0,AK17,"")</f>
        <v>12.1</v>
      </c>
      <c r="AW17" s="76">
        <f>IF(AL17&gt;0,AL17,"")</f>
        <v>14.43</v>
      </c>
      <c r="AX17" s="76">
        <f>IF(SUM(AI17:AL17)-AM17&gt;0,SUM(AI17:AL17)-AM17,"")</f>
        <v>49.13</v>
      </c>
      <c r="AY17" s="76">
        <f>IF(SUM(AU17,AX17)&gt;0,SUM(AU17,AX17),"")</f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>IF(BB17&gt;0,BB17,"")</f>
        <v>9.6</v>
      </c>
      <c r="BQ17" s="75">
        <f>IF(BC17&gt;0,BC17,"")</f>
        <v>12.215</v>
      </c>
      <c r="BR17" s="16">
        <f>IF(SUM(AZ17:BC17)-BD17&gt;0,SUM(AZ17:BC17)-BD17,"")</f>
        <v>38.614999999999995</v>
      </c>
      <c r="BS17" s="16">
        <f>IF(BG17&gt;0,BG17,"")</f>
        <v>9.6</v>
      </c>
      <c r="BT17" s="16">
        <f>IF(BH17&gt;0,BH17,"")</f>
        <v>10.914999999999999</v>
      </c>
      <c r="BU17" s="16">
        <f>IF(SUM(BE17:BH17)-BI17&gt;0,SUM(BE17:BH17)-BI17,"")</f>
        <v>36.914999999999999</v>
      </c>
      <c r="BV17" s="16">
        <f>IF(BR17="","",MAX(BR17,BU17))</f>
        <v>38.614999999999995</v>
      </c>
      <c r="BW17" s="16">
        <f>IF(BL17&gt;0,BL17,"")</f>
        <v>2.7</v>
      </c>
      <c r="BX17" s="16">
        <f>IF(BM17&gt;0,BM17,"")</f>
        <v>3.15</v>
      </c>
      <c r="BY17" s="16">
        <f>IF(SUM(BJ17:BM17)-BN17&gt;0,SUM(BJ17:BM17)-BN17,"")</f>
        <v>10.45</v>
      </c>
      <c r="BZ17" s="16">
        <f>IF(SUM(BV17,BY17)&gt;0,SUM(BV17,BY17),"")</f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IF(L17&gt;=0.001,IF(MAX(EF17,FN17,GV17,ID17,JL17,KT17,MB17,NJ17,OR17,PZ17,RH17,SP17)-IF(L17="",0,L17)&gt;0.001,MAX(EF17,FN17,GV17,ID17,JL17,KT17,MB17,NJ17,OR17,PZ17,RH17,SP17)-IF(L17="",0,L17),""),"")</f>
        <v/>
      </c>
      <c r="DC17" s="87" t="str">
        <f>IF(P17&gt;=0.001,IF(MAX(EI17,EL17,FQ17,FT17,GY17,HB17,IG17,IJ17,JO17,JR17,KW17,KZ17,ME17,MH17,NM17,NP17,OU17,OX17,QC17,QF17,RK17,RN17,SS17,SV17)-IF(P17="",0,P17)&gt;0.001,MAX(EI17,EL17,FQ17,FT17,GY17,HB17,IG17,IJ17,JO17,JR17,KW17,KZ17,ME17,MH17,NM17,NP17,OU17,OX17,QC17,QF17,RK17,RN17,SS17,SV17)-IF(P17="",0,P17),""),"")</f>
        <v/>
      </c>
      <c r="DD17" s="87" t="str">
        <f>IF(R17&gt;=0.001,IF(MAX(DZ17,EC17,EG17,EJ17,FH17,FK17,FO17,FR17,GP17,GS17,GW17,GZ17,HX17,IA17,IE17,IH17,JF17,JI17,JM17,JP17,KN17,KQ17,KU17,KX17,LV17,LY17,MC17,MF17,ND17,NG17,NK17,NN17,OL17,OO17,OS17,OV17,PT17,PW17,QA17,QD17,RB17,RE17,RI17,RL17,SJ17,SM17,SQ17,ST17)-IF(R17="",0,R17)&gt;0.001,MAX(DZ17,EC17,EG17,EJ17,FH17,FK17,FO17,FR17,GP17,GS17,GW17,GZ17,HX17,IA17,IE17,IH17,JF17,JI17,JM17,JP17,KN17,KQ17,KU17,KX17,LV17,LY17,MC17,MF17,ND17,NG17,NK17,NN17,OL17,OO17,OS17,OV17,PT17,PW17,QA17,QD17,RB17,RE17,RI17,RL17,SJ17,SM17,SQ17,ST17)-IF(R17="",0,R17),""),"")</f>
        <v/>
      </c>
      <c r="DE17" s="87" t="str">
        <f>IF(T17&gt;=0.001,IF(MAX(IF(DZ17&gt;=$EM$25,EA17,0),IF(EC17&gt;=$EM$25,ED17,0),IF(EG17&gt;=$EM$25,EH17,0),IF(EJ17&gt;=$EM$25,EK17,0),IF(FH17&gt;=$FU$25,FI17,0),IF(FK17&gt;=$FU$25,FL17,0),IF(FO17&gt;=$FU$25,FP17,0),IF(FR17&gt;=$FU$25,FS17,0),IF(GP17&gt;=$HC$25,GQ17,0),IF(GS17&gt;=$HC$25,GT17,0),IF(GW17&gt;=$HC$25,GX17,0),IF(GZ17&gt;=$HC$25,HA17,0),IF(HX17&gt;=$IK$25,HY17,0),IF(IA17&gt;=$IK$25,IB17,0),IF(IE17&gt;=$IK$25,IF17,0),IF(IH17&gt;=$IK$25,II17,0),IF(JF17&gt;=$JS$25,JG17,0),IF(JI17&gt;=$JS$25,JJ17,0),IF(JM17&gt;=$JS$25,JN17,0),IF(JP17&gt;=$JS$25,JQ17,0),IF(KN17&gt;=$LA$25,KO17,0),IF(KQ17&gt;=$LA$25,KR17,0),IF(KU17&gt;=$LA$25,KV17,0),IF(KX17&gt;=$LA$25,KY17,0),IF(LV17&gt;=$MI$25,LW17,0),IF(LY17&gt;=$MI$25,LZ17,0),IF(MC17&gt;=$MI$25,MD17,0),IF(MF17&gt;=$MI$25,MG17,0),IF(ND17&gt;=$NQ$25,NE17,0),IF(NG17&gt;=$NQ$25,NH17,0),IF(NK17&gt;=$NQ$25,NL17,0),IF(NN17&gt;=$NQ$25,NO17,0),IF(OL17&gt;=$OY$25,OM17,0),IF(OO17&gt;=$OY$25,OP17,0),IF(OS17&gt;=$OY$25,OT17,0),IF(OV17&gt;=$OY$25,OW17,0),IF(PT17&gt;=$QG$25,PU17,0),IF(PW17&gt;=$QG$25,PX17,0),IF(QA17&gt;=$QG$25,QB17,0),IF(QD17&gt;=$QG$25,QE17,0),IF(RB17&gt;=$RO$25,RC17,0),IF(RE17&gt;=$RO$25,RF17,0),IF(RI17&gt;=$RO$25,RJ17,0),IF(RL17&gt;=$RO$25,RM17,0),IF(SJ17&gt;=$SW$25,SK17,0),IF(SM17&gt;=$SW$25,SN17,0),IF(SQ17&gt;=$SW$25,SR17,0),IF(ST17&gt;=$SW$25,SU17,0))-IF(T17="",0,T17)&gt;0.001,MAX(IF(DZ17&gt;=$EM$25,EA17,0),IF(EC17&gt;=$EM$25,ED17,0),IF(EG17&gt;=$EM$25,EH17,0),IF(EJ17&gt;=$EM$25,EK17,0),IF(FH17&gt;=$FU$25,FI17,0),IF(FK17&gt;=$FU$25,FL17,0),IF(FO17&gt;=$FU$25,FP17,0),IF(FR17&gt;=$FU$25,FS17,0),IF(GP17&gt;=$HC$25,GQ17,0),IF(GS17&gt;=$HC$25,GT17,0),IF(GW17&gt;=$HC$25,GX17,0),IF(GZ17&gt;=$HC$25,HA17,0),IF(HX17&gt;=$IK$25,HY17,0),IF(IA17&gt;=$IK$25,IB17,0),IF(IE17&gt;=$IK$25,IF17,0),IF(IH17&gt;=$IK$25,II17,0),IF(JF17&gt;=$JS$25,JG17,0),IF(JI17&gt;=$JS$25,JJ17,0),IF(JM17&gt;=$JS$25,JN17,0),IF(JP17&gt;=$JS$25,JQ17,0),IF(KN17&gt;=$LA$25,KO17,0),IF(KQ17&gt;=$LA$25,KR17,0),IF(KU17&gt;=$LA$25,KV17,0),IF(KX17&gt;=$LA$25,KY17,0),IF(LV17&gt;=$MI$25,LW17,0),IF(LY17&gt;=$MI$25,LZ17,0),IF(MC17&gt;=$MI$25,MD17,0),IF(MF17&gt;=$MI$25,MG17,0),IF(ND17&gt;=$NQ$25,NE17,0),IF(NG17&gt;=$NQ$25,NH17,0),IF(NK17&gt;=$NQ$25,NL17,0),IF(NN17&gt;=$NQ$25,NO17,0),IF(OL17&gt;=$OY$25,OM17,0),IF(OO17&gt;=$OY$25,OP17,0),IF(OS17&gt;=$OY$25,OT17,0),IF(OV17&gt;=$OY$25,OW17,0),IF(PT17&gt;=$QG$25,PU17,0),IF(PW17&gt;=$QG$25,PX17,0),IF(QA17&gt;=$QG$25,QB17,0),IF(QD17&gt;=$QG$25,QE17,0),IF(RB17&gt;=$RO$25,RC17,0),IF(RE17&gt;=$RO$25,RF17,0),IF(RI17&gt;=$RO$25,RJ17,0),IF(RL17&gt;=$RO$25,RM17,0),IF(SJ17&gt;=$SW$25,SK17,0),IF(SM17&gt;=$SW$25,SN17,0),IF(SQ17&gt;=$SW$25,SR17,0),IF(ST17&gt;=$SW$25,SU17,0))-IF(T17="",0,T17),""),"")</f>
        <v/>
      </c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76" t="str">
        <f>IF(DH17&gt;0,DH17,"")</f>
        <v/>
      </c>
      <c r="EA17" s="76" t="str">
        <f>IF(DI17&gt;0,DI17,"")</f>
        <v/>
      </c>
      <c r="EB17" s="76" t="str">
        <f>IF(SUM(DF17:DI17)-DJ17&gt;0,SUM(DF17:DI17)-DJ17,"")</f>
        <v/>
      </c>
      <c r="EC17" s="76" t="str">
        <f>IF(DM17&gt;0,DM17,"")</f>
        <v/>
      </c>
      <c r="ED17" s="76" t="str">
        <f>IF(DN17&gt;0,DN17,"")</f>
        <v/>
      </c>
      <c r="EE17" s="76" t="str">
        <f>IF(SUM(DK17:DN17)-DO17&gt;0,SUM(DK17:DN17)-DO17,"")</f>
        <v/>
      </c>
      <c r="EF17" s="76" t="str">
        <f>IF(MAX(EB17,EE17)&gt;0,MAX(EB17,EE17),"")</f>
        <v/>
      </c>
      <c r="EG17" s="76" t="str">
        <f>IF(DR17&gt;0,DR17,"")</f>
        <v/>
      </c>
      <c r="EH17" s="76" t="str">
        <f>IF(DS17&gt;0,DS17,"")</f>
        <v/>
      </c>
      <c r="EI17" s="76" t="str">
        <f>IF(SUM(DP17:DS17)-DT17&gt;0,SUM(DP17:DS17)-DT17,"")</f>
        <v/>
      </c>
      <c r="EJ17" s="76" t="str">
        <f>IF(DW17&gt;0,DW17,"")</f>
        <v/>
      </c>
      <c r="EK17" s="76" t="str">
        <f>IF(DX17&gt;0,DX17,"")</f>
        <v/>
      </c>
      <c r="EL17" s="76" t="str">
        <f>IF(SUM(DU17:DX17)-DY17&gt;0,SUM(DU17:DX17)-DY17,"")</f>
        <v/>
      </c>
      <c r="EM17" s="76" t="str">
        <f>IF(SUM(EF17,EL17)&gt;0,SUM(EF17,EL17),"")</f>
        <v/>
      </c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16" t="str">
        <f>IF(EP17&gt;0,EP17,"")</f>
        <v/>
      </c>
      <c r="FI17" s="16" t="str">
        <f>IF(EQ17&gt;0,EQ17,"")</f>
        <v/>
      </c>
      <c r="FJ17" s="16" t="str">
        <f>IF(SUM(EN17:EQ17)-ER17&gt;0,SUM(EN17:EQ17)-ER17,"")</f>
        <v/>
      </c>
      <c r="FK17" s="16" t="str">
        <f>IF(EU17&gt;0,EU17,"")</f>
        <v/>
      </c>
      <c r="FL17" s="16" t="str">
        <f>IF(EV17&gt;0,EV17,"")</f>
        <v/>
      </c>
      <c r="FM17" s="16" t="str">
        <f>IF(SUM(ES17:EV17)-EW17&gt;0,SUM(ES17:EV17)-EW17,"")</f>
        <v/>
      </c>
      <c r="FN17" s="16" t="str">
        <f>IF(MAX(FJ17,FM17)&gt;0,MAX(FJ17,FM17),"")</f>
        <v/>
      </c>
      <c r="FO17" s="16" t="str">
        <f>IF(EZ17&gt;0,EZ17,"")</f>
        <v/>
      </c>
      <c r="FP17" s="16" t="str">
        <f>IF(FA17&gt;0,FA17,"")</f>
        <v/>
      </c>
      <c r="FQ17" s="16" t="str">
        <f>IF(SUM(EX17:FA17)-FB17&gt;0,SUM(EX17:FA17)-FB17,"")</f>
        <v/>
      </c>
      <c r="FR17" s="16" t="str">
        <f>IF(FE17&gt;0,FE17,"")</f>
        <v/>
      </c>
      <c r="FS17" s="16" t="str">
        <f>IF(FF17&gt;0,FF17,"")</f>
        <v/>
      </c>
      <c r="FT17" s="16" t="str">
        <f>IF(SUM(FC17:FF17)-FG17&gt;0,SUM(FC17:FF17)-FG17,"")</f>
        <v/>
      </c>
      <c r="FU17" s="16" t="str">
        <f>IF(SUM(FN17,FT17)&gt;0,SUM(FN17,FT17),"")</f>
        <v/>
      </c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76" t="str">
        <f>IF(FX17&gt;0,FX17,"")</f>
        <v/>
      </c>
      <c r="GQ17" s="76" t="str">
        <f>IF(FY17&gt;0,FY17,"")</f>
        <v/>
      </c>
      <c r="GR17" s="76" t="str">
        <f>IF(SUM(FV17:FY17)-FZ17&gt;0,SUM(FV17:FY17)-FZ17,"")</f>
        <v/>
      </c>
      <c r="GS17" s="76" t="str">
        <f>IF(GC17&gt;0,GC17,"")</f>
        <v/>
      </c>
      <c r="GT17" s="76" t="str">
        <f>IF(GD17&gt;0,GD17,"")</f>
        <v/>
      </c>
      <c r="GU17" s="76" t="str">
        <f>IF(SUM(GA17:GD17)-GE17&gt;0,SUM(GA17:GD17)-GE17,"")</f>
        <v/>
      </c>
      <c r="GV17" s="76" t="str">
        <f>IF(MAX(GR17,GU17)&gt;0,MAX(GR17,GU17),"")</f>
        <v/>
      </c>
      <c r="GW17" s="76" t="str">
        <f>IF(GH17&gt;0,GH17,"")</f>
        <v/>
      </c>
      <c r="GX17" s="76" t="str">
        <f>IF(GI17&gt;0,GI17,"")</f>
        <v/>
      </c>
      <c r="GY17" s="76" t="str">
        <f>IF(SUM(GF17:GI17)-GJ17&gt;0,SUM(GF17:GI17)-GJ17,"")</f>
        <v/>
      </c>
      <c r="GZ17" s="76" t="str">
        <f>IF(GM17&gt;0,GM17,"")</f>
        <v/>
      </c>
      <c r="HA17" s="76" t="str">
        <f>IF(GN17&gt;0,GN17,"")</f>
        <v/>
      </c>
      <c r="HB17" s="76" t="str">
        <f>IF(SUM(GK17:GN17)-GO17&gt;0,SUM(GK17:GN17)-GO17,"")</f>
        <v/>
      </c>
      <c r="HC17" s="76" t="str">
        <f>IF(SUM(GV17,HB17)&gt;0,SUM(GV17,HB17),"")</f>
        <v/>
      </c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16" t="str">
        <f>IF(HF17&gt;0,HF17,"")</f>
        <v/>
      </c>
      <c r="HY17" s="16" t="str">
        <f>IF(HG17&gt;0,HG17,"")</f>
        <v/>
      </c>
      <c r="HZ17" s="16" t="str">
        <f>IF(SUM(HD17:HG17)-HH17&gt;0,SUM(HD17:HG17)-HH17,"")</f>
        <v/>
      </c>
      <c r="IA17" s="16" t="str">
        <f>IF(HK17&gt;0,HK17,"")</f>
        <v/>
      </c>
      <c r="IB17" s="16" t="str">
        <f>IF(HL17&gt;0,HL17,"")</f>
        <v/>
      </c>
      <c r="IC17" s="16" t="str">
        <f>IF(SUM(HI17:HL17)-HM17&gt;0,SUM(HI17:HL17)-HM17,"")</f>
        <v/>
      </c>
      <c r="ID17" s="16" t="str">
        <f>IF(MAX(HZ17,IC17)&gt;0,MAX(HZ17,IC17),"")</f>
        <v/>
      </c>
      <c r="IE17" s="16" t="str">
        <f>IF(HP17&gt;0,HP17,"")</f>
        <v/>
      </c>
      <c r="IF17" s="16" t="str">
        <f>IF(HQ17&gt;0,HQ17,"")</f>
        <v/>
      </c>
      <c r="IG17" s="16" t="str">
        <f>IF(SUM(HN17:HQ17)-HR17&gt;0,SUM(HN17:HQ17)-HR17,"")</f>
        <v/>
      </c>
      <c r="IH17" s="16" t="str">
        <f>IF(HU17&gt;0,HU17,"")</f>
        <v/>
      </c>
      <c r="II17" s="16" t="str">
        <f>IF(HV17&gt;0,HV17,"")</f>
        <v/>
      </c>
      <c r="IJ17" s="16" t="str">
        <f>IF(SUM(HS17:HV17)-HW17&gt;0,SUM(HS17:HV17)-HW17,"")</f>
        <v/>
      </c>
      <c r="IK17" s="16" t="str">
        <f>IF(SUM(ID17,IJ17)&gt;0,SUM(ID17,IJ17),"")</f>
        <v/>
      </c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76" t="str">
        <f>IF(IN17&gt;0,IN17,"")</f>
        <v/>
      </c>
      <c r="JG17" s="76" t="str">
        <f>IF(IO17&gt;0,IO17,"")</f>
        <v/>
      </c>
      <c r="JH17" s="76" t="str">
        <f>IF(SUM(IL17:IO17)-IP17&gt;0,SUM(IL17:IO17)-IP17,"")</f>
        <v/>
      </c>
      <c r="JI17" s="76" t="str">
        <f>IF(IS17&gt;0,IS17,"")</f>
        <v/>
      </c>
      <c r="JJ17" s="76" t="str">
        <f>IF(IT17&gt;0,IT17,"")</f>
        <v/>
      </c>
      <c r="JK17" s="76" t="str">
        <f>IF(SUM(IQ17:IT17)-IU17&gt;0,SUM(IQ17:IT17)-IU17,"")</f>
        <v/>
      </c>
      <c r="JL17" s="76" t="str">
        <f>IF(MAX(JH17,JK17)&gt;0,MAX(JH17,JK17),"")</f>
        <v/>
      </c>
      <c r="JM17" s="76" t="str">
        <f>IF(IX17&gt;0,IX17,"")</f>
        <v/>
      </c>
      <c r="JN17" s="76" t="str">
        <f>IF(IY17&gt;0,IY17,"")</f>
        <v/>
      </c>
      <c r="JO17" s="76" t="str">
        <f>IF(SUM(IV17:IY17)-IZ17&gt;0,SUM(IV17:IY17)-IZ17,"")</f>
        <v/>
      </c>
      <c r="JP17" s="76" t="str">
        <f>IF(JC17&gt;0,JC17,"")</f>
        <v/>
      </c>
      <c r="JQ17" s="76" t="str">
        <f>IF(JD17&gt;0,JD17,"")</f>
        <v/>
      </c>
      <c r="JR17" s="76" t="str">
        <f>IF(SUM(JA17:JD17)-JE17&gt;0,SUM(JA17:JD17)-JE17,"")</f>
        <v/>
      </c>
      <c r="JS17" s="76" t="str">
        <f>IF(SUM(JL17,JR17)&gt;0,SUM(JL17,JR17),"")</f>
        <v/>
      </c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16" t="str">
        <f>IF(JV17&gt;0,JV17,"")</f>
        <v/>
      </c>
      <c r="KO17" s="16" t="str">
        <f>IF(JW17&gt;0,JW17,"")</f>
        <v/>
      </c>
      <c r="KP17" s="16" t="str">
        <f>IF(SUM(JT17:JW17)-JX17&gt;0,SUM(JT17:JW17)-JX17,"")</f>
        <v/>
      </c>
      <c r="KQ17" s="16" t="str">
        <f>IF(KA17&gt;0,KA17,"")</f>
        <v/>
      </c>
      <c r="KR17" s="16" t="str">
        <f>IF(KB17&gt;0,KB17,"")</f>
        <v/>
      </c>
      <c r="KS17" s="16" t="str">
        <f>IF(SUM(JY17:KB17)-KC17&gt;0,SUM(JY17:KB17)-KC17,"")</f>
        <v/>
      </c>
      <c r="KT17" s="16" t="str">
        <f>IF(MAX(KP17,KS17)&gt;0,MAX(KP17,KS17),"")</f>
        <v/>
      </c>
      <c r="KU17" s="16" t="str">
        <f>IF(KF17&gt;0,KF17,"")</f>
        <v/>
      </c>
      <c r="KV17" s="16" t="str">
        <f>IF(KG17&gt;0,KG17,"")</f>
        <v/>
      </c>
      <c r="KW17" s="16" t="str">
        <f>IF(SUM(KD17:KG17)-KH17&gt;0,SUM(KD17:KG17)-KH17,"")</f>
        <v/>
      </c>
      <c r="KX17" s="16" t="str">
        <f>IF(KK17&gt;0,KK17,"")</f>
        <v/>
      </c>
      <c r="KY17" s="16" t="str">
        <f>IF(KL17&gt;0,KL17,"")</f>
        <v/>
      </c>
      <c r="KZ17" s="16" t="str">
        <f>IF(SUM(KI17:KL17)-KM17&gt;0,SUM(KI17:KL17)-KM17,"")</f>
        <v/>
      </c>
      <c r="LA17" s="16" t="str">
        <f>IF(SUM(KT17,KZ17)&gt;0,SUM(KT17,KZ17),"")</f>
        <v/>
      </c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76" t="str">
        <f>IF(LD17&gt;0,LD17,"")</f>
        <v/>
      </c>
      <c r="LW17" s="76" t="str">
        <f>IF(LE17&gt;0,LE17,"")</f>
        <v/>
      </c>
      <c r="LX17" s="76" t="str">
        <f>IF(SUM(LB17:LE17)-LF17&gt;0,SUM(LB17:LE17)-LF17,"")</f>
        <v/>
      </c>
      <c r="LY17" s="76" t="str">
        <f>IF(LI17&gt;0,LI17,"")</f>
        <v/>
      </c>
      <c r="LZ17" s="76" t="str">
        <f>IF(LJ17&gt;0,LJ17,"")</f>
        <v/>
      </c>
      <c r="MA17" s="76" t="str">
        <f>IF(SUM(LG17:LJ17)-LK17&gt;0,SUM(LG17:LJ17)-LK17,"")</f>
        <v/>
      </c>
      <c r="MB17" s="76" t="str">
        <f>IF(MAX(LX17,MA17)&gt;0,MAX(LX17,MA17),"")</f>
        <v/>
      </c>
      <c r="MC17" s="76" t="str">
        <f>IF(LN17&gt;0,LN17,"")</f>
        <v/>
      </c>
      <c r="MD17" s="76" t="str">
        <f>IF(LO17&gt;0,LO17,"")</f>
        <v/>
      </c>
      <c r="ME17" s="76" t="str">
        <f>IF(SUM(LL17:LO17)-LP17&gt;0,SUM(LL17:LO17)-LP17,"")</f>
        <v/>
      </c>
      <c r="MF17" s="76" t="str">
        <f>IF(LS17&gt;0,LS17,"")</f>
        <v/>
      </c>
      <c r="MG17" s="76" t="str">
        <f>IF(LT17&gt;0,LT17,"")</f>
        <v/>
      </c>
      <c r="MH17" s="76" t="str">
        <f>IF(SUM(LQ17:LT17)-LU17&gt;0,SUM(LQ17:LT17)-LU17,"")</f>
        <v/>
      </c>
      <c r="MI17" s="76" t="str">
        <f>IF(SUM(MB17,MH17)&gt;0,SUM(MB17,MH17),"")</f>
        <v/>
      </c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26"/>
      <c r="NC17" s="26"/>
      <c r="ND17" s="16" t="str">
        <f>IF(ML17&gt;0,ML17,"")</f>
        <v/>
      </c>
      <c r="NE17" s="16" t="str">
        <f>IF(MM17&gt;0,MM17,"")</f>
        <v/>
      </c>
      <c r="NF17" s="16" t="str">
        <f>IF(SUM(MJ17:MM17)-MN17&gt;0,SUM(MJ17:MM17)-MN17,"")</f>
        <v/>
      </c>
      <c r="NG17" s="16" t="str">
        <f>IF(MQ17&gt;0,MQ17,"")</f>
        <v/>
      </c>
      <c r="NH17" s="16" t="str">
        <f>IF(MR17&gt;0,MR17,"")</f>
        <v/>
      </c>
      <c r="NI17" s="16" t="str">
        <f>IF(SUM(MO17:MR17)-MS17&gt;0,SUM(MO17:MR17)-MS17,"")</f>
        <v/>
      </c>
      <c r="NJ17" s="16" t="str">
        <f>IF(MAX(NF17,NI17)&gt;0,MAX(NF17,NI17),"")</f>
        <v/>
      </c>
      <c r="NK17" s="16" t="str">
        <f>IF(MV17&gt;0,MV17,"")</f>
        <v/>
      </c>
      <c r="NL17" s="16" t="str">
        <f>IF(MW17&gt;0,MW17,"")</f>
        <v/>
      </c>
      <c r="NM17" s="16" t="str">
        <f>IF(SUM(MT17:MW17)-MX17&gt;0,SUM(MT17:MW17)-MX17,"")</f>
        <v/>
      </c>
      <c r="NN17" s="16" t="str">
        <f>IF(NA17&gt;0,NA17,"")</f>
        <v/>
      </c>
      <c r="NO17" s="16" t="str">
        <f>IF(NB17&gt;0,NB17,"")</f>
        <v/>
      </c>
      <c r="NP17" s="16" t="str">
        <f>IF(SUM(MY17:NB17)-NC17&gt;0,SUM(MY17:NB17)-NC17,"")</f>
        <v/>
      </c>
      <c r="NQ17" s="16" t="str">
        <f>IF(SUM(NJ17,NP17)&gt;0,SUM(NJ17,NP17),"")</f>
        <v/>
      </c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76" t="str">
        <f>IF(NT17&gt;0,NT17,"")</f>
        <v/>
      </c>
      <c r="OM17" s="76" t="str">
        <f>IF(NU17&gt;0,NU17,"")</f>
        <v/>
      </c>
      <c r="ON17" s="76" t="str">
        <f>IF(SUM(NR17:NU17)-NV17&gt;0,SUM(NR17:NU17)-NV17,"")</f>
        <v/>
      </c>
      <c r="OO17" s="76" t="str">
        <f>IF(NY17&gt;0,NY17,"")</f>
        <v/>
      </c>
      <c r="OP17" s="76" t="str">
        <f>IF(NZ17&gt;0,NZ17,"")</f>
        <v/>
      </c>
      <c r="OQ17" s="76" t="str">
        <f>IF(SUM(NW17:NZ17)-OA17&gt;0,SUM(NW17:NZ17)-OA17,"")</f>
        <v/>
      </c>
      <c r="OR17" s="76" t="str">
        <f>IF(MAX(ON17,OQ17)&gt;0,MAX(ON17,OQ17),"")</f>
        <v/>
      </c>
      <c r="OS17" s="76" t="str">
        <f>IF(OD17&gt;0,OD17,"")</f>
        <v/>
      </c>
      <c r="OT17" s="76" t="str">
        <f>IF(OE17&gt;0,OE17,"")</f>
        <v/>
      </c>
      <c r="OU17" s="76" t="str">
        <f>IF(SUM(OB17:OE17)-OF17&gt;0,SUM(OB17:OE17)-OF17,"")</f>
        <v/>
      </c>
      <c r="OV17" s="76" t="str">
        <f>IF(OI17&gt;0,OI17,"")</f>
        <v/>
      </c>
      <c r="OW17" s="76" t="str">
        <f>IF(OJ17&gt;0,OJ17,"")</f>
        <v/>
      </c>
      <c r="OX17" s="76" t="str">
        <f>IF(SUM(OG17:OJ17)-OK17&gt;0,SUM(OG17:OJ17)-OK17,"")</f>
        <v/>
      </c>
      <c r="OY17" s="76" t="str">
        <f>IF(SUM(OR17,OX17)&gt;0,SUM(OR17,OX17),"")</f>
        <v/>
      </c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16" t="str">
        <f>IF(PB17&gt;0,PB17,"")</f>
        <v/>
      </c>
      <c r="PU17" s="16" t="str">
        <f>IF(PC17&gt;0,PC17,"")</f>
        <v/>
      </c>
      <c r="PV17" s="16" t="str">
        <f>IF(SUM(OZ17:PC17)-PD17&gt;0,SUM(OZ17:PC17)-PD17,"")</f>
        <v/>
      </c>
      <c r="PW17" s="16" t="str">
        <f>IF(PG17&gt;0,PG17,"")</f>
        <v/>
      </c>
      <c r="PX17" s="16" t="str">
        <f>IF(PH17&gt;0,PH17,"")</f>
        <v/>
      </c>
      <c r="PY17" s="16" t="str">
        <f>IF(SUM(PE17:PH17)-PI17&gt;0,SUM(PE17:PH17)-PI17,"")</f>
        <v/>
      </c>
      <c r="PZ17" s="16" t="str">
        <f>IF(MAX(PV17,PY17)&gt;0,MAX(PV17,PY17),"")</f>
        <v/>
      </c>
      <c r="QA17" s="16" t="str">
        <f>IF(PL17&gt;0,PL17,"")</f>
        <v/>
      </c>
      <c r="QB17" s="16" t="str">
        <f>IF(PM17&gt;0,PM17,"")</f>
        <v/>
      </c>
      <c r="QC17" s="16" t="str">
        <f>IF(SUM(PJ17:PM17)-PN17&gt;0,SUM(PJ17:PM17)-PN17,"")</f>
        <v/>
      </c>
      <c r="QD17" s="16" t="str">
        <f>IF(PQ17&gt;0,PQ17,"")</f>
        <v/>
      </c>
      <c r="QE17" s="16" t="str">
        <f>IF(PR17&gt;0,PR17,"")</f>
        <v/>
      </c>
      <c r="QF17" s="16" t="str">
        <f>IF(SUM(PO17:PR17)-PS17&gt;0,SUM(PO17:PR17)-PS17,"")</f>
        <v/>
      </c>
      <c r="QG17" s="16" t="str">
        <f>IF(SUM(PZ17,QF17)&gt;0,SUM(PZ17,QF17),"")</f>
        <v/>
      </c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25"/>
      <c r="RA17" s="25"/>
      <c r="RB17" s="76" t="str">
        <f>IF(QJ17&gt;0,QJ17,"")</f>
        <v/>
      </c>
      <c r="RC17" s="76" t="str">
        <f>IF(QK17&gt;0,QK17,"")</f>
        <v/>
      </c>
      <c r="RD17" s="76" t="str">
        <f>IF(SUM(QH17:QK17)-QL17&gt;0,SUM(QH17:QK17)-QL17,"")</f>
        <v/>
      </c>
      <c r="RE17" s="76" t="str">
        <f>IF(QO17&gt;0,QO17,"")</f>
        <v/>
      </c>
      <c r="RF17" s="76" t="str">
        <f>IF(QP17&gt;0,QP17,"")</f>
        <v/>
      </c>
      <c r="RG17" s="76" t="str">
        <f>IF(SUM(QM17:QP17)-QQ17&gt;0,SUM(QM17:QP17)-QQ17,"")</f>
        <v/>
      </c>
      <c r="RH17" s="76" t="str">
        <f>IF(MAX(RD17,RG17)&gt;0,MAX(RD17,RG17),"")</f>
        <v/>
      </c>
      <c r="RI17" s="76" t="str">
        <f>IF(QT17&gt;0,QT17,"")</f>
        <v/>
      </c>
      <c r="RJ17" s="76" t="str">
        <f>IF(QU17&gt;0,QU17,"")</f>
        <v/>
      </c>
      <c r="RK17" s="76" t="str">
        <f>IF(SUM(QR17:QU17)-QV17&gt;0,SUM(QR17:QU17)-QV17,"")</f>
        <v/>
      </c>
      <c r="RL17" s="76" t="str">
        <f>IF(QY17&gt;0,QY17,"")</f>
        <v/>
      </c>
      <c r="RM17" s="76" t="str">
        <f>IF(QZ17&gt;0,QZ17,"")</f>
        <v/>
      </c>
      <c r="RN17" s="76" t="str">
        <f>IF(SUM(QW17:QZ17)-RA17&gt;0,SUM(QW17:QZ17)-RA17,"")</f>
        <v/>
      </c>
      <c r="RO17" s="76" t="str">
        <f>IF(SUM(RH17,RN17)&gt;0,SUM(RH17,RN17),"")</f>
        <v/>
      </c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26"/>
      <c r="SI17" s="26"/>
      <c r="SJ17" s="16" t="str">
        <f>IF(RR17&gt;0,RR17,"")</f>
        <v/>
      </c>
      <c r="SK17" s="16" t="str">
        <f>IF(RS17&gt;0,RS17,"")</f>
        <v/>
      </c>
      <c r="SL17" s="16" t="str">
        <f>IF(SUM(RP17:RS17)-RT17&gt;0,SUM(RP17:RS17)-RT17,"")</f>
        <v/>
      </c>
      <c r="SM17" s="16" t="str">
        <f>IF(RW17&gt;0,RW17,"")</f>
        <v/>
      </c>
      <c r="SN17" s="16" t="str">
        <f>IF(RX17&gt;0,RX17,"")</f>
        <v/>
      </c>
      <c r="SO17" s="16" t="str">
        <f>IF(SUM(RU17:RX17)-RY17&gt;0,SUM(RU17:RX17)-RY17,"")</f>
        <v/>
      </c>
      <c r="SP17" s="16" t="str">
        <f>IF(MAX(SL17,SO17)&gt;0,MAX(SL17,SO17),"")</f>
        <v/>
      </c>
      <c r="SQ17" s="16" t="str">
        <f>IF(SB17&gt;0,SB17,"")</f>
        <v/>
      </c>
      <c r="SR17" s="16" t="str">
        <f>IF(SC17&gt;0,SC17,"")</f>
        <v/>
      </c>
      <c r="SS17" s="16" t="str">
        <f>IF(SUM(RZ17:SC17)-SD17&gt;0,SUM(RZ17:SC17)-SD17,"")</f>
        <v/>
      </c>
      <c r="ST17" s="16" t="str">
        <f>IF(SG17&gt;0,SG17,"")</f>
        <v/>
      </c>
      <c r="SU17" s="16" t="str">
        <f>IF(SH17&gt;0,SH17,"")</f>
        <v/>
      </c>
      <c r="SV17" s="16" t="str">
        <f>IF(SUM(SE17:SH17)-SI17&gt;0,SUM(SE17:SH17)-SI17,"")</f>
        <v/>
      </c>
      <c r="SW17" s="16" t="str">
        <f>IF(SUM(SP17,SV17)&gt;0,SUM(SP17,SV17),"")</f>
        <v/>
      </c>
      <c r="SX17" s="42">
        <f>IF($CP17="P",CA17,(CA17+AZ17)/2)</f>
        <v>5.0999999999999996</v>
      </c>
      <c r="SY17" s="42">
        <f>IF($CP17="P",CB17,(CB17+BA17)/2)</f>
        <v>3.3</v>
      </c>
      <c r="SZ17" s="42">
        <f>IF($CP17="P",CC17,(CC17+BB17)/2)</f>
        <v>4.8</v>
      </c>
      <c r="TA17" s="42">
        <f>IF($CP17="P",CD17,(CD17+BC17)/2)</f>
        <v>6.1074999999999999</v>
      </c>
      <c r="TB17" s="42">
        <f>IF($CP17="P",CE17,(CE17+BD17)/2)</f>
        <v>0</v>
      </c>
      <c r="TC17" s="42">
        <f>IF($CP17="P",CF17,(CF17+BE17)/2)</f>
        <v>4.9000000000000004</v>
      </c>
      <c r="TD17" s="42">
        <f>IF($CP17="P",CG17,(CG17+BF17)/2)</f>
        <v>3.3</v>
      </c>
      <c r="TE17" s="42">
        <f>IF($CP17="P",CH17,(CH17+BG17)/2)</f>
        <v>4.8</v>
      </c>
      <c r="TF17" s="42">
        <f>IF($CP17="P",CI17,(CI17+BH17)/2)</f>
        <v>5.4574999999999996</v>
      </c>
      <c r="TG17" s="42">
        <f>IF($CP17="P",CJ17,(CJ17+BI17)/2)</f>
        <v>0</v>
      </c>
      <c r="TH17" s="42">
        <f>IF($CP17="P",CK17,(CK17+BJ17)/2)</f>
        <v>1.4</v>
      </c>
      <c r="TI17" s="42">
        <f>IF($CP17="P",CL17,(CL17+BK17)/2)</f>
        <v>0.9</v>
      </c>
      <c r="TJ17" s="42">
        <f>IF($CP17="P",CM17,(CM17+BL17)/2)</f>
        <v>1.35</v>
      </c>
      <c r="TK17" s="42">
        <f>IF($CP17="P",CN17,(CN17+BM17)/2)</f>
        <v>1.575</v>
      </c>
      <c r="TL17" s="42">
        <f>IF($CP17="P",CO17,(CO17+BN17)/2)</f>
        <v>0</v>
      </c>
      <c r="TM17" s="51" t="s">
        <v>61</v>
      </c>
      <c r="TN17" s="76">
        <f>IF(SZ17&gt;0,SZ17,"")</f>
        <v>4.8</v>
      </c>
      <c r="TO17" s="76">
        <f>IF(TA17&gt;0,TA17,"")</f>
        <v>6.1074999999999999</v>
      </c>
      <c r="TP17" s="76">
        <f>IF(SUM(SX17:TA17)-TB17&gt;0,SUM(SX17:TA17)-TB17,"")</f>
        <v>19.307499999999997</v>
      </c>
      <c r="TQ17" s="76">
        <f>IF(TE17&gt;0,TE17,"")</f>
        <v>4.8</v>
      </c>
      <c r="TR17" s="76">
        <f>IF(TF17&gt;0,TF17,"")</f>
        <v>5.4574999999999996</v>
      </c>
      <c r="TS17" s="76">
        <f>IF(SUM(TC17:TF17)-TG17&gt;0,SUM(TC17:TF17)-TG17,"")</f>
        <v>18.4575</v>
      </c>
      <c r="TT17" s="76">
        <f>IF(MAX(TP17,TS17)&gt;0,MAX(TP17,TS17),"")</f>
        <v>19.307499999999997</v>
      </c>
      <c r="TU17" s="76">
        <f>IF(TJ17&gt;0,TJ17,"")</f>
        <v>1.35</v>
      </c>
      <c r="TV17" s="76">
        <f>IF(TK17&gt;0,TK17,"")</f>
        <v>1.575</v>
      </c>
      <c r="TW17" s="76">
        <f>IF(SUM(TH17:TK17)-TL17&gt;0,SUM(TH17:TK17)-TL17,"")</f>
        <v>5.2249999999999996</v>
      </c>
      <c r="TX17" s="76">
        <f>IF(SUM(TT17,TW17)&gt;0,SUM(TT17,TW17),"")</f>
        <v>24.532499999999999</v>
      </c>
    </row>
    <row r="18" spans="1:544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Z18&gt;=EM$25,DZ18&lt;&gt;"",EB18&gt;=EM$29,EB18&lt;&gt;""),AND(EC18&gt;=EM$25,EC18&lt;&gt;"",EE18&gt;=EM$29,EE18&lt;&gt;""),AND(EG18&gt;=EM$25,EG18&lt;&gt;"",EI18&gt;=EM$29,EI18&lt;&gt;""),AND(EJ18&gt;=EM$25,EJ18&lt;&gt;"",EL18&gt;=EM$29,EL18&lt;&gt;""),AND(FH18&gt;=FU$25,FH18&lt;&gt;"",FJ18&gt;=FU$29,FJ18&lt;&gt;""),AND(FK18&gt;=FU$25,FK18&lt;&gt;"",FM18&gt;=FU$29,FM18&lt;&gt;""),AND(FO18&gt;=FU$25,FO18&lt;&gt;"",FQ18&gt;=FU$29,FQ18&lt;&gt;""),AND(FR18&gt;=FU$25,FR18&lt;&gt;"",FT18&gt;=FU$29,FT18&lt;&gt;""),AND(GP18&gt;=HC$25,GP18&lt;&gt;"",GR18&gt;=HC$29,GR18&lt;&gt;""),AND(GS18&gt;=HC$25,GS18&lt;&gt;"",GU18&gt;=HC$29,GU18&lt;&gt;""),AND(GW18&gt;=HC$25,GW18&lt;&gt;"",GY18&gt;=HC$29,GY18&lt;&gt;""),AND(GZ18&gt;=HC$25,GZ18&lt;&gt;"",HB18&gt;=HC$29,HB18&lt;&gt;""),AND(HX18&gt;=IK$25,HX18&lt;&gt;"",HZ18&gt;=IK$29,HZ18&lt;&gt;""),AND(IA18&gt;=IK$25,IA18&lt;&gt;"",IC18&gt;=IK$29,IC18&lt;&gt;""),AND(IE18&gt;=IK$25,IE18&lt;&gt;"",IG18&gt;=IK$29,IG18&lt;&gt;""),AND(IH18&gt;=IK$25,IH18&lt;&gt;"",IJ18&gt;=IK$29,IJ18&lt;&gt;""),AND(JF18&gt;=JS$25,JF18&lt;&gt;"",JH18&gt;=JS$29,JH18&lt;&gt;""),AND(JI18&gt;=JS$25,JI18&lt;&gt;"",JK18&gt;=JS$29,JK18&lt;&gt;""),AND(JM18&gt;=JS$25,JM18&lt;&gt;"",JO18&gt;=JS$29,JO18&lt;&gt;""),AND(JP18&gt;=JS$25,JP18&lt;&gt;"",JR18&gt;=JS$29,JR18&lt;&gt;""),AND(KN18&gt;=LA$25,KN18&lt;&gt;"",KP18&gt;=LA$29,KP18&lt;&gt;""),AND(KQ18&gt;=LA$25,KQ18&lt;&gt;"",KS18&gt;=LA$29,KS18&lt;&gt;""),AND(KU18&gt;=LA$25,KU18&lt;&gt;"",KW18&gt;=LA$29,KW18&lt;&gt;""),AND(KX18&gt;=LA$25,KX18&lt;&gt;"",KZ18&gt;=LA$29,KZ18&lt;&gt;""),AND(LV18&gt;=MI$25,LV18&lt;&gt;"",LX18&gt;=MI$29,LX18&lt;&gt;""),AND(LY18&gt;=MI$25,LY18&lt;&gt;"",MA18&gt;=MI$29,MA18&lt;&gt;""),AND(MC18&gt;=MI$25,MC18&lt;&gt;"",ME18&gt;=MI$29,ME18&lt;&gt;""),AND(MF18&gt;=MI$25,MF18&lt;&gt;"",MH18&gt;=MI$29,MH18&lt;&gt;""),AND(ND18&gt;=NQ$25,ND18&lt;&gt;"",NF18&gt;=NQ$29,NF18&lt;&gt;""),AND(NG18&gt;=NQ$25,NG18&lt;&gt;"",NI18&gt;=NQ$29,NI18&lt;&gt;""),AND(NK18&gt;=NQ$25,NK18&lt;&gt;"",NM18&gt;=NQ$29,NM18&lt;&gt;""),AND(NN18&gt;=NQ$25,NN18&lt;&gt;"",NP18&gt;=NQ$29,NP18&lt;&gt;""),AND(OL18&gt;=OY$25,OL18&lt;&gt;"",ON18&gt;=OY$29,ON18&lt;&gt;""),AND(OO18&gt;=OY$25,OO18&lt;&gt;"",OQ18&gt;=OY$29,OQ18&lt;&gt;""),AND(OS18&gt;=OY$25,OS18&lt;&gt;"",OU18&gt;=OY$29,OU18&lt;&gt;""),AND(OV18&gt;=OY$25,OV18&lt;&gt;"",OX18&gt;=OY$29,OX18&lt;&gt;""),AND(PT18&gt;=QG$25,PT18&lt;&gt;"",PV18&gt;=QG$29,PV18&lt;&gt;""),AND(PW18&gt;=QG$25,PW18&lt;&gt;"",PY18&gt;=QG$29,PY18&lt;&gt;""),AND(QA18&gt;=QG$25,QA18&lt;&gt;"",QC18&gt;=QG$29,QC18&lt;&gt;""),AND(QD18&gt;=QG$25,QD18&lt;&gt;"",QF18&gt;=QG$29,QF18&lt;&gt;""),AND(RB18&gt;=RO$25,RB18&lt;&gt;"",RD18&gt;=RO$29,RD18&lt;&gt;""),AND(RE18&gt;=RO$25,RE18&lt;&gt;"",RG18&gt;=RO$29,RG18&lt;&gt;""),AND(RI18&gt;=RO$25,RI18&lt;&gt;"",RK18&gt;=RO$29,RK18&lt;&gt;""),AND(RL18&gt;=RO$25,RL18&lt;&gt;"",RN18&gt;=RO$29,RN18&lt;&gt;""),AND(SJ18&gt;=SW$25,SJ18&lt;&gt;"",SL18&gt;=SW$29,SL18&lt;&gt;""),AND(SM18&gt;=SW$25,SM18&lt;&gt;"",SO18&gt;=SW$29,SO18&lt;&gt;""),AND(SQ18&gt;=SW$25,SQ18&lt;&gt;"",SS18&gt;=SW$29,SS18&lt;&gt;""),AND(ST18&gt;=SW$25,ST18&lt;&gt;"",SV18&gt;=SW$29,SV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EB18&gt;=EM$29,EB18&lt;&gt;""),AND(EE18&gt;=EM$29,EE18&lt;&gt;""),AND(EI18&gt;=EM$29,EI18&lt;&gt;""),AND(EL18&gt;=EM$29,EL18&lt;&gt;""),AND(FJ18&gt;=FU$29,FJ18&lt;&gt;""),AND(FM18&gt;=FU$29,FM18&lt;&gt;""),AND(FQ18&gt;=FU$29,FQ18&lt;&gt;""),AND(FT18&gt;=FU$29,FT18&lt;&gt;""),AND(GR18&gt;=HC$29,GR18&lt;&gt;""),AND(GU18&gt;=HC$29,GU18&lt;&gt;""),AND(GY18&gt;=HC$29,GY18&lt;&gt;""),AND(HB18&gt;=HC$29,HB18&lt;&gt;""),AND(HZ18&gt;=IK$29,HZ18&lt;&gt;""),AND(IC18&gt;=IK$29,IC18&lt;&gt;""),AND(IG18&gt;=IK$29,IG18&lt;&gt;""),AND(IJ18&gt;=IK$29,IJ18&lt;&gt;""),AND(JH18&gt;=JS$29,JH18&lt;&gt;""),AND(JK18&gt;=JS$29,JK18&lt;&gt;""),AND(JO18&gt;=JS$29,JO18&lt;&gt;""),AND(JR18&gt;=JS$29,JR18&lt;&gt;""),AND(KP18&gt;=LA$29,KP18&lt;&gt;""),AND(KS18&gt;=LA$29,KS18&lt;&gt;""),AND(KW18&gt;=LA$29,KW18&lt;&gt;""),AND(KZ18&gt;=LA$29,KZ18&lt;&gt;""),AND(LX18&gt;=MI$29,LX18&lt;&gt;""),AND(MA18&gt;=MI$29,MA18&lt;&gt;""),AND(ME18&gt;=MI$29,ME18&lt;&gt;""),AND(MH18&gt;=MI$29,MH18&lt;&gt;""),AND(NF18&gt;=NQ$29,NF18&lt;&gt;""),AND(NI18&gt;=NQ$29,NI18&lt;&gt;""),AND(NM18&gt;=NQ$29,NM18&lt;&gt;""),AND(NP18&gt;=NQ$29,NP18&lt;&gt;""),AND(ON18&gt;=OY$29,ON18&lt;&gt;""),AND(OQ18&gt;=OY$29,OQ18&lt;&gt;""),AND(OU18&gt;=OY$29,OU18&lt;&gt;""),AND(OX18&gt;=OY$29,OX18&lt;&gt;""),AND(PV18&gt;=QG$29,PV18&lt;&gt;""),AND(PY18&gt;=QG$29,PY18&lt;&gt;""),AND(QC18&gt;=QG$29,QC18&lt;&gt;""),AND(QF18&gt;=QG$29,QF18&lt;&gt;""),AND(RD18&gt;=RO$29,RD18&lt;&gt;""),AND(RG18&gt;=RO$29,RG18&lt;&gt;""),AND(RK18&gt;=RO$29,RK18&lt;&gt;""),AND(RN18&gt;=RO$29,RN18&lt;&gt;""),AND(SL18&gt;=SW$29,SL18&lt;&gt;""),AND(SO18&gt;=SW$29,SO18&lt;&gt;""),AND(SS18&gt;=SW$29,SS18&lt;&gt;""),AND(SV18&gt;=SW$29,SV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Z18&gt;=EM$28,DZ18&lt;&gt;"",EB18&gt;=EM$32,EB18&lt;&gt;""),AND(EC18&gt;=EM$28,EC18&lt;&gt;"",EE18&gt;=EM$32,EE18&lt;&gt;""),AND(EG18&gt;=EM$28,EG18&lt;&gt;"",EI18&gt;=EM$32,EI18&lt;&gt;""),AND(EJ18&gt;=EM$28,EJ18&lt;&gt;"",EL18&gt;=EM$32,EL18&lt;&gt;""),AND(FH18&gt;=FU$28,FH18&lt;&gt;"",FJ18&gt;=FU$32,FJ18&lt;&gt;""),AND(FK18&gt;=FU$28,FK18&lt;&gt;"",FM18&gt;=FU$32,FM18&lt;&gt;""),AND(FO18&gt;=FU$28,FO18&lt;&gt;"",FQ18&gt;=FU$32,FQ18&lt;&gt;""),AND(FR18&gt;=FU$28,FR18&lt;&gt;"",FT18&gt;=FU$32,FT18&lt;&gt;""),AND(GP18&gt;=HC$28,GP18&lt;&gt;"",GR18&gt;=HC$32,GR18&lt;&gt;""),AND(GS18&gt;=HC$28,GS18&lt;&gt;"",GU18&gt;=HC$32,GU18&lt;&gt;""),AND(GW18&gt;=HC$28,GW18&lt;&gt;"",GY18&gt;=HC$32,GY18&lt;&gt;""),AND(GZ18&gt;=HC$28,GZ18&lt;&gt;"",HB18&gt;=HC$32,HB18&lt;&gt;""),AND(HX18&gt;=IK$28,HX18&lt;&gt;"",HZ18&gt;=IK$32,HZ18&lt;&gt;""),AND(IA18&gt;=IK$28,IA18&lt;&gt;"",IC18&gt;=IK$32,IC18&lt;&gt;""),AND(IE18&gt;=IK$28,IE18&lt;&gt;"",IG18&gt;=IK$32,IG18&lt;&gt;""),AND(IH18&gt;=IK$28,IH18&lt;&gt;"",IJ18&gt;=IK$32,IJ18&lt;&gt;""),AND(JF18&gt;=JS$28,JF18&lt;&gt;"",JH18&gt;=JS$32,JH18&lt;&gt;""),AND(JI18&gt;=JS$28,JI18&lt;&gt;"",JK18&gt;=JS$32,JK18&lt;&gt;""),AND(JM18&gt;=JS$28,JM18&lt;&gt;"",JO18&gt;=JS$32,JO18&lt;&gt;""),AND(JP18&gt;=JS$28,JP18&lt;&gt;"",JR18&gt;=JS$32,JR18&lt;&gt;""),AND(KN18&gt;=LA$28,KN18&lt;&gt;"",KP18&gt;=LA$32,KP18&lt;&gt;""),AND(KQ18&gt;=LA$28,KQ18&lt;&gt;"",KS18&gt;=LA$32,KS18&lt;&gt;""),AND(KU18&gt;=LA$28,KU18&lt;&gt;"",KW18&gt;=LA$32,KW18&lt;&gt;""),AND(KX18&gt;=LA$28,KX18&lt;&gt;"",KZ18&gt;=LA$32,KZ18&lt;&gt;""),AND(LV18&gt;=MI$28,LV18&lt;&gt;"",LX18&gt;=MI$32,LX18&lt;&gt;""),AND(LY18&gt;=MI$28,LY18&lt;&gt;"",MA18&gt;=MI$32,MA18&lt;&gt;""),AND(MC18&gt;=MI$28,MC18&lt;&gt;"",ME18&gt;=MI$32,ME18&lt;&gt;""),AND(MF18&gt;=MI$28,MF18&lt;&gt;"",MH18&gt;=MI$32,MH18&lt;&gt;""),AND(ND18&gt;=NQ$28,ND18&lt;&gt;"",NF18&gt;=NQ$32,NF18&lt;&gt;""),AND(NG18&gt;=NQ$28,NG18&lt;&gt;"",NI18&gt;=NQ$32,NI18&lt;&gt;""),AND(NK18&gt;=NQ$28,NK18&lt;&gt;"",NM18&gt;=NQ$32,NM18&lt;&gt;""),AND(NN18&gt;=NQ$28,NN18&lt;&gt;"",NP18&gt;=NQ$32,NP18&lt;&gt;""),AND(OL18&gt;=OY$28,OL18&lt;&gt;"",ON18&gt;=OY$32,ON18&lt;&gt;""),AND(OO18&gt;=OY$28,OO18&lt;&gt;"",OQ18&gt;=OY$32,OQ18&lt;&gt;""),AND(OS18&gt;=OY$28,OS18&lt;&gt;"",OU18&gt;=OY$32,OU18&lt;&gt;""),AND(OV18&gt;=OY$28,OV18&lt;&gt;"",OX18&gt;=OY$32,OX18&lt;&gt;""),AND(PT18&gt;=QG$28,PT18&lt;&gt;"",PV18&gt;=QG$32,PV18&lt;&gt;""),AND(PW18&gt;=QG$28,PW18&lt;&gt;"",PY18&gt;=QG$32,PY18&lt;&gt;""),AND(QA18&gt;=QG$28,QA18&lt;&gt;"",QC18&gt;=QG$32,QC18&lt;&gt;""),AND(QD18&gt;=QG$28,QD18&lt;&gt;"",QF18&gt;=QG$32,QF18&lt;&gt;""),AND(RB18&gt;=RO$28,RB18&lt;&gt;"",RD18&gt;=RO$32,RD18&lt;&gt;""),AND(RE18&gt;=RO$28,RE18&lt;&gt;"",RG18&gt;=RO$32,RG18&lt;&gt;""),AND(RI18&gt;=RO$28,RI18&lt;&gt;"",RK18&gt;=RO$32,RK18&lt;&gt;""),AND(RL18&gt;=RO$28,RL18&lt;&gt;"",RN18&gt;=RO$32,RN18&lt;&gt;""),AND(SJ18&gt;=SW$28,SJ18&lt;&gt;"",SL18&gt;=SW$32,SL18&lt;&gt;""),AND(SM18&gt;=SW$28,SM18&lt;&gt;"",SO18&gt;=SW$32,SO18&lt;&gt;""),AND(SQ18&gt;=SW$28,SQ18&lt;&gt;"",SS18&gt;=SW$32,SS18&lt;&gt;""),AND(ST18&gt;=SW$28,ST18&lt;&gt;"",SV18&gt;=SW$32,SV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Z18&gt;=EM$27,DZ18&lt;&gt;"",EB18&gt;=EM$31,EB18&lt;&gt;""),AND(EC18&gt;=EM$27,EC18&lt;&gt;"",EE18&gt;=EM$31,EE18&lt;&gt;""),AND(EG18&gt;=EM$27,EG18&lt;&gt;"",EI18&gt;=EM$31,EI18&lt;&gt;""),AND(EJ18&gt;=EM$27,EJ18&lt;&gt;"",EL18&gt;=EM$31,EL18&lt;&gt;""),AND(FH18&gt;=FU$27,FH18&lt;&gt;"",FJ18&gt;=FU$31,FJ18&lt;&gt;""),AND(FK18&gt;=FU$27,FK18&lt;&gt;"",FM18&gt;=FU$31,FM18&lt;&gt;""),AND(FO18&gt;=FU$27,FO18&lt;&gt;"",FQ18&gt;=FU$31,FQ18&lt;&gt;""),AND(FR18&gt;=FU$27,FR18&lt;&gt;"",FT18&gt;=FU$31,FT18&lt;&gt;""),AND(GP18&gt;=HC$27,GP18&lt;&gt;"",GR18&gt;=HC$31,GR18&lt;&gt;""),AND(GS18&gt;=HC$27,GS18&lt;&gt;"",GU18&gt;=HC$31,GU18&lt;&gt;""),AND(GW18&gt;=HC$27,GW18&lt;&gt;"",GY18&gt;=HC$31,GY18&lt;&gt;""),AND(GZ18&gt;=HC$27,GZ18&lt;&gt;"",HB18&gt;=HC$31,HB18&lt;&gt;""),AND(HX18&gt;=IK$27,HX18&lt;&gt;"",HZ18&gt;=IK$31,HZ18&lt;&gt;""),AND(IA18&gt;=IK$27,IA18&lt;&gt;"",IC18&gt;=IK$31,IC18&lt;&gt;""),AND(IE18&gt;=IK$27,IE18&lt;&gt;"",IG18&gt;=IK$31,IG18&lt;&gt;""),AND(IH18&gt;=IK$27,IH18&lt;&gt;"",IJ18&gt;=IK$31,IJ18&lt;&gt;""),AND(JF18&gt;=JS$27,JF18&lt;&gt;"",JH18&gt;=JS$31,JH18&lt;&gt;""),AND(JI18&gt;=JS$27,JI18&lt;&gt;"",JK18&gt;=JS$31,JK18&lt;&gt;""),AND(JM18&gt;=JS$27,JM18&lt;&gt;"",JO18&gt;=JS$31,JO18&lt;&gt;""),AND(JP18&gt;=JS$27,JP18&lt;&gt;"",JR18&gt;=JS$31,JR18&lt;&gt;""),AND(KN18&gt;=LA$27,KN18&lt;&gt;"",KP18&gt;=LA$31,KP18&lt;&gt;""),AND(KQ18&gt;=LA$27,KQ18&lt;&gt;"",KS18&gt;=LA$31,KS18&lt;&gt;""),AND(KU18&gt;=LA$27,KU18&lt;&gt;"",KW18&gt;=LA$31,KW18&lt;&gt;""),AND(KX18&gt;=LA$27,KX18&lt;&gt;"",KZ18&gt;=LA$31,KZ18&lt;&gt;""),AND(LV18&gt;=MI$27,LV18&lt;&gt;"",LX18&gt;=MI$31,LX18&lt;&gt;""),AND(LY18&gt;=MI$27,LY18&lt;&gt;"",MA18&gt;=MI$31,MA18&lt;&gt;""),AND(MC18&gt;=MI$27,MC18&lt;&gt;"",ME18&gt;=MI$31,ME18&lt;&gt;""),AND(MF18&gt;=MI$27,MF18&lt;&gt;"",MH18&gt;=MI$31,MH18&lt;&gt;""),AND(ND18&gt;=NQ$27,ND18&lt;&gt;"",NF18&gt;=NQ$31,NF18&lt;&gt;""),AND(NG18&gt;=NQ$27,NG18&lt;&gt;"",NI18&gt;=NQ$31,NI18&lt;&gt;""),AND(NK18&gt;=NQ$27,NK18&lt;&gt;"",NM18&gt;=NQ$31,NM18&lt;&gt;""),AND(NN18&gt;=NQ$27,NN18&lt;&gt;"",NP18&gt;=NQ$31,NP18&lt;&gt;""),AND(OL18&gt;=OY$27,OL18&lt;&gt;"",ON18&gt;=OY$31,ON18&lt;&gt;""),AND(OO18&gt;=OY$27,OO18&lt;&gt;"",OQ18&gt;=OY$31,OQ18&lt;&gt;""),AND(OS18&gt;=OY$27,OS18&lt;&gt;"",OU18&gt;=OY$31,OU18&lt;&gt;""),AND(OV18&gt;=OY$27,OV18&lt;&gt;"",OX18&gt;=OY$31,OX18&lt;&gt;""),AND(PT18&gt;=QG$27,PT18&lt;&gt;"",PV18&gt;=QG$31,PV18&lt;&gt;""),AND(PW18&gt;=QG$27,PW18&lt;&gt;"",PY18&gt;=QG$31,PY18&lt;&gt;""),AND(QA18&gt;=QG$27,QA18&lt;&gt;"",QC18&gt;=QG$31,QC18&lt;&gt;""),AND(QD18&gt;=QG$27,QD18&lt;&gt;"",QF18&gt;=QG$31,QF18&lt;&gt;""),AND(RB18&gt;=RO$27,RB18&lt;&gt;"",RD18&gt;=RO$31,RD18&lt;&gt;""),AND(RE18&gt;=RO$27,RE18&lt;&gt;"",RG18&gt;=RO$31,RG18&lt;&gt;""),AND(RI18&gt;=RO$27,RI18&lt;&gt;"",RK18&gt;=RO$31,RK18&lt;&gt;""),AND(RL18&gt;=RO$27,RL18&lt;&gt;"",RN18&gt;=RO$31,RN18&lt;&gt;""),AND(SJ18&gt;=SW$27,SJ18&lt;&gt;"",SL18&gt;=SW$31,SL18&lt;&gt;""),AND(SM18&gt;=SW$27,SM18&lt;&gt;"",SO18&gt;=SW$31,SO18&lt;&gt;""),AND(SQ18&gt;=SW$27,SQ18&lt;&gt;"",SS18&gt;=SW$31,SS18&lt;&gt;""),AND(ST18&gt;=SW$27,ST18&lt;&gt;"",SV18&gt;=SW$31,SV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Z18&gt;=EM$26,DZ18&lt;&gt;"",EB18&gt;=EM$30,EB18&lt;&gt;""),AND(EC18&gt;=EM$26,EC18&lt;&gt;"",EE18&gt;=EM$30,EE18&lt;&gt;""),AND(EG18&gt;=EM$26,EG18&lt;&gt;"",EI18&gt;=EM$30,EI18&lt;&gt;""),AND(EJ18&gt;=EM$26,EJ18&lt;&gt;"",EL18&gt;=EM$30,EL18&lt;&gt;""),AND(FH18&gt;=FU$26,FH18&lt;&gt;"",FJ18&gt;=FU$30,FJ18&lt;&gt;""),AND(FK18&gt;=FU$26,FK18&lt;&gt;"",FM18&gt;=FU$30,FM18&lt;&gt;""),AND(FO18&gt;=FU$26,FO18&lt;&gt;"",FQ18&gt;=FU$30,FQ18&lt;&gt;""),AND(FR18&gt;=FU$26,FR18&lt;&gt;"",FT18&gt;=FU$30,FT18&lt;&gt;""),AND(GP18&gt;=HC$26,GP18&lt;&gt;"",GR18&gt;=HC$30,GR18&lt;&gt;""),AND(GS18&gt;=HC$26,GS18&lt;&gt;"",GU18&gt;=HC$30,GU18&lt;&gt;""),AND(GW18&gt;=HC$26,GW18&lt;&gt;"",GY18&gt;=HC$30,GY18&lt;&gt;""),AND(GZ18&gt;=HC$26,GZ18&lt;&gt;"",HB18&gt;=HC$30,HB18&lt;&gt;""),AND(HX18&gt;=IK$26,HX18&lt;&gt;"",HZ18&gt;=IK$30,HZ18&lt;&gt;""),AND(IA18&gt;=IK$26,IA18&lt;&gt;"",IC18&gt;=IK$30,IC18&lt;&gt;""),AND(IE18&gt;=IK$26,IE18&lt;&gt;"",IG18&gt;=IK$30,IG18&lt;&gt;""),AND(IH18&gt;=IK$26,IH18&lt;&gt;"",IJ18&gt;=IK$30,IJ18&lt;&gt;""),AND(JF18&gt;=JS$26,JF18&lt;&gt;"",JH18&gt;=JS$30,JH18&lt;&gt;""),AND(JI18&gt;=JS$26,JI18&lt;&gt;"",JK18&gt;=JS$30,JK18&lt;&gt;""),AND(JM18&gt;=JS$26,JM18&lt;&gt;"",JO18&gt;=JS$30,JO18&lt;&gt;""),AND(JP18&gt;=JS$26,JP18&lt;&gt;"",JR18&gt;=JS$30,JR18&lt;&gt;""),AND(KN18&gt;=LA$26,KN18&lt;&gt;"",KP18&gt;=LA$30,KP18&lt;&gt;""),AND(KQ18&gt;=LA$26,KQ18&lt;&gt;"",KS18&gt;=LA$30,KS18&lt;&gt;""),AND(KU18&gt;=LA$26,KU18&lt;&gt;"",KW18&gt;=LA$30,KW18&lt;&gt;""),AND(KX18&gt;=LA$26,KX18&lt;&gt;"",KZ18&gt;=LA$30,KZ18&lt;&gt;""),AND(LV18&gt;=MI$26,LV18&lt;&gt;"",LX18&gt;=MI$30,LX18&lt;&gt;""),AND(LY18&gt;=MI$26,LY18&lt;&gt;"",MA18&gt;=MI$30,MA18&lt;&gt;""),AND(MC18&gt;=MI$26,MC18&lt;&gt;"",ME18&gt;=MI$30,ME18&lt;&gt;""),AND(MF18&gt;=MI$26,MF18&lt;&gt;"",MH18&gt;=MI$30,MH18&lt;&gt;""),AND(ND18&gt;=NQ$26,ND18&lt;&gt;"",NF18&gt;=NQ$30,NF18&lt;&gt;""),AND(NG18&gt;=NQ$26,NG18&lt;&gt;"",NI18&gt;=NQ$30,NI18&lt;&gt;""),AND(NK18&gt;=NQ$26,NK18&lt;&gt;"",NM18&gt;=NQ$30,NM18&lt;&gt;""),AND(NN18&gt;=NQ$26,NN18&lt;&gt;"",NP18&gt;=NQ$30,NP18&lt;&gt;""),AND(OL18&gt;=OY$26,OL18&lt;&gt;"",ON18&gt;=OY$30,ON18&lt;&gt;""),AND(OO18&gt;=OY$26,OO18&lt;&gt;"",OQ18&gt;=OY$30,OQ18&lt;&gt;""),AND(OS18&gt;=OY$26,OS18&lt;&gt;"",OU18&gt;=OY$30,OU18&lt;&gt;""),AND(OV18&gt;=OY$26,OV18&lt;&gt;"",OX18&gt;=OY$30,OX18&lt;&gt;""),AND(PT18&gt;=QG$26,PT18&lt;&gt;"",PV18&gt;=QG$30,PV18&lt;&gt;""),AND(PW18&gt;=QG$26,PW18&lt;&gt;"",PY18&gt;=QG$30,PY18&lt;&gt;""),AND(QA18&gt;=QG$26,QA18&lt;&gt;"",QC18&gt;=QG$30,QC18&lt;&gt;""),AND(QD18&gt;=QG$26,QD18&lt;&gt;"",QF18&gt;=QG$30,QF18&lt;&gt;""),AND(RB18&gt;=RO$26,RB18&lt;&gt;"",RD18&gt;=RO$30,RD18&lt;&gt;""),AND(RE18&gt;=RO$26,RE18&lt;&gt;"",RG18&gt;=RO$30,RG18&lt;&gt;""),AND(RI18&gt;=RO$26,RI18&lt;&gt;"",RK18&gt;=RO$30,RK18&lt;&gt;""),AND(RL18&gt;=RO$26,RL18&lt;&gt;"",RN18&gt;=RO$30,RN18&lt;&gt;""),AND(SJ18&gt;=SW$26,SJ18&lt;&gt;"",SL18&gt;=SW$30,SL18&lt;&gt;""),AND(SM18&gt;=SW$26,SM18&lt;&gt;"",SO18&gt;=SW$30,SO18&lt;&gt;""),AND(SQ18&gt;=SW$26,SQ18&lt;&gt;"",SS18&gt;=SW$30,SS18&lt;&gt;""),AND(ST18&gt;=SW$26,ST18&lt;&gt;"",SV18&gt;=SW$30,SV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IF(MAX(AO18,AR18,AV18,BP18,BS18,BW18,CQ18,CT18,CX18)&gt;0,MAX(AO18,AR18,BP18,BS18,CQ18,CT18,AV18),0)</f>
        <v>14.6</v>
      </c>
      <c r="S18" s="13" t="str">
        <f>IF(R18=0,"",IF(OR(R18=CQ18,R18=CT18,R18=CX18),$CA$1,IF(OR(R18=BP18,R18=BS18,R18=BW18),$AZ$1,IF(OR(R18=AO18,R18=AR18,R18=AV18),$Y$1,""))))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),0)</f>
        <v>0</v>
      </c>
      <c r="U18" s="13" t="str">
        <f>IF(T18=0,"",IF(OR(T18=CR18,T18=CU18,T18=CY18),$CA$1,IF(OR(T18=BQ18,T18=BT18,T18=BX18),$AZ$1,IF(OR(T18=AP18,T18=AS18,T18=AW18),$Y$1,""))))</f>
        <v/>
      </c>
      <c r="V18" s="13" t="str">
        <f>IF(MAX(DB18,DC18,DD18,DE18)&gt;0,MAX(DB18,DC18,DD18,DE18),"")</f>
        <v/>
      </c>
      <c r="W18" s="16" t="str">
        <f>IF(V18="","",IF(V18=DB18,"("&amp;DB$2&amp;")",IF(V18=DC18,"("&amp;DC$2&amp;")",IF(V18=DD18,"("&amp;DD$2&amp;")",IF(V18=DE18,"("&amp;DE$2&amp;")")))))</f>
        <v/>
      </c>
      <c r="X18" s="13" t="str">
        <f>IF(V18="","",IF(V18=DB18,IF(V18+IF(L18="",0,L18)=SP18,$RP$1,IF(V18+IF(L18="",0,L18)=RH18,$QH$1,IF(V18+IF(L18="",0,L18)=PZ18,$OZ$1,IF(V18+IF(L18="",0,L18)=OR18,$NR$1,IF(V18+IF(L18="",0,L18)=NJ18,$MJ$1,IF(V18+IF(L18="",0,L18)=MB18,$LB$1,IF(V18+IF(L18="",0,L18)=KT18,$JT$1,IF(V18+IF(L18="",0,L18)=JL18,$IL$1,IF(V18+IF(L18="",0,L18)=ID18,$HD$1,IF(V18+IF(L18="",0,L18)=GV18,$FV$1,IF(V18+IF(L18="",0,L18)=FN18,$EN$1,IF(V18+IF(L18="",0,L18)=EF18,$DF$1)))))))))))),IF(V18=DC18,IF(V18+IF(P18="",0,P18)=SV18,$RP$1,IF(V18+IF(P18="",0,P18)=RN18,$QH$1,IF(V18+IF(P18="",0,P18)=QF18,$OZ$1,IF(V18+IF(P18="",0,P18)=OX18,$NR$1,IF(V18+IF(P18="",0,P18)=NP18,$MJ$1,IF(V18+IF(P18="",0,P18)=MH18,$LB$1,IF(V18+IF(P18="",0,P18)=KZ18,$JT$1,IF(V18+IF(P18="",0,P18)=JR18,$IL$1,IF(V18+IF(P18="",0,P18)=IJ18,$HD$1,IF(V18+IF(P18="",0,P18)=HB18,$FV$1,IF(V18+IF(P18="",0,P18)=FT18,$EN$1,IF(V18+IF(P18="",0,P18)=EL18,$DF$1)))))))))))),IF(V18=DD18,IF(V18+IF(R18="",0,R18)=MAX(SJ18,SM18,SQ18,ST18),$RP$1,IF(V18+IF(R18="",0,R18)=MAX(RB18,RE18,RI18,RL18),$QH$1,IF(V18+IF(R18="",0,R18)=MAX(PT18,PW18,QA18,QD18),$OZ$1,IF(V18+IF(R18="",0,R18)=MAX(OL18,OO18,OS18,OV18),$NR$1,IF(V18+IF(R18="",0,R18)=MAX(ND18,NG18,NK18,NN18),$MJ$1,IF(V18+IF(R18="",0,R18)=MAX(LV18,LY18,MC18,MF18),$LB$1,IF(V18+IF(R18="",0,R18)=MAX(KN18,KQ18,KU18,KX18),$JT$1,IF(V18+IF(R18="",0,R18)=MAX(JF18,JI18,JM18,JP18),$IL$1,IF(V18+IF(R18="",0,R18)=MAX(HX18,IA18,IE18,IH18),$HD$1,IF(V18+IF(R18="",0,R18)=MAX(GP18,GS18,GW18,GZ18),$FV$1,IF(V18+IF(R18="",0,R18)=MAX(FH18,FK18,FO18,FR18),$EN$1,IF(V18+IF(R18="",0,R18)=MAX(DZ18,EC18,EG18,EJ18),$DF$1)))))))))))),IF(V18=DE18,IF(V18+IF(T18="",0,T18)=MAX(SK18,SN18,SR18,SU18),$RP$1,IF(V18+IF(T18="",0,T18)=MAX(RC18,RF18,RJ18,RM18),$QH$1,IF(V18+IF(T18="",0,T18)=MAX(PU18,PX18,QB18,QE18),$OZ$1,IF(V18+IF(T18="",0,T18)=MAX(OM18,OP18,OT18,OW18),$NR$1,IF(V18+IF(T18="",0,T18)=MAX(NE18,NH18,NL18,NO18),$MJ$1,IF(V18+IF(T18="",0,T18)=MAX(LW18,LZ18,MD18,MG18),$LB$1,IF(V18+IF(T18="",0,T18)=MAX(KO18,KR18,KV18,KY18),$JT$1,IF(V18+IF(T18="",0,T18)=MAX(JG18,JJ18,JN18,JQ18),$IL$1,IF(V18+IF(T18="",0,T18)=MAX(HY18,IB18,IF18,II18),$HD$1,IF(V18+IF(T18="",0,T18)=MAX(GQ18,GT18,GX18,HA18),$FV$1,IF(V18+IF(T18="",0,T18)=MAX(FI18,FL18,FP18,FS18),$EN$1,IF(V18+IF(T18="",0,T18)=MAX(EA18,ED18,EH18,EK18),$DF$1)))))))))))))))))</f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>IF(AA18&gt;0,AA18,"")</f>
        <v/>
      </c>
      <c r="AP18" s="74" t="str">
        <f>IF(AB18&gt;0,AB18,"")</f>
        <v/>
      </c>
      <c r="AQ18" s="76" t="str">
        <f>IF(SUM(Y18:AB18)-AC18&gt;0,SUM(Y18:AB18)-AC18,"")</f>
        <v/>
      </c>
      <c r="AR18" s="76" t="str">
        <f>IF(AF18&gt;0,AF18,"")</f>
        <v/>
      </c>
      <c r="AS18" s="76" t="str">
        <f>IF(AG18&gt;0,AG18,"")</f>
        <v/>
      </c>
      <c r="AT18" s="76" t="str">
        <f>IF(SUM(AD18:AG18)-AH18&gt;0,SUM(AD18:AG18)-AH18,"")</f>
        <v/>
      </c>
      <c r="AU18" s="76" t="str">
        <f>IF(AQ18="","",MAX(AQ18,AT18))</f>
        <v/>
      </c>
      <c r="AV18" s="76" t="str">
        <f>IF(AK18&gt;0,AK18,"")</f>
        <v/>
      </c>
      <c r="AW18" s="76" t="str">
        <f>IF(AL18&gt;0,AL18,"")</f>
        <v/>
      </c>
      <c r="AX18" s="76" t="str">
        <f>IF(SUM(AI18:AL18)-AM18&gt;0,SUM(AI18:AL18)-AM18,"")</f>
        <v/>
      </c>
      <c r="AY18" s="76" t="str">
        <f>IF(SUM(AU18,AX18)&gt;0,SUM(AU18,AX18),"")</f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>IF(CC18&gt;0,CC18,"")</f>
        <v>14.6</v>
      </c>
      <c r="CR18" s="74">
        <f>IF(CD18&gt;0,CD18,"")</f>
        <v>15.37</v>
      </c>
      <c r="CS18" s="76">
        <f>IF(SUM(CA18:CD18)-CE18&gt;0,SUM(CA18:CD18)-CE18,"")</f>
        <v>51.769999999999996</v>
      </c>
      <c r="CT18" s="76">
        <f>IF(CH18&gt;0,CH18,"")</f>
        <v>11.9</v>
      </c>
      <c r="CU18" s="76">
        <f>IF(CI18&gt;0,CI18,"")</f>
        <v>12.055</v>
      </c>
      <c r="CV18" s="76">
        <f>IF(SUM(CF18:CI18)-CJ18&gt;0,SUM(CF18:CI18)-CJ18,"")</f>
        <v>43.155000000000001</v>
      </c>
      <c r="CW18" s="76">
        <f>IF(CS18="","",MAX(CS18,CV18))</f>
        <v>51.769999999999996</v>
      </c>
      <c r="CX18" s="76">
        <f>IF(CM18&gt;0,CM18,"")</f>
        <v>14.2</v>
      </c>
      <c r="CY18" s="76">
        <f>IF(CN18&gt;0,CN18,"")</f>
        <v>14.885</v>
      </c>
      <c r="CZ18" s="76">
        <f>IF(SUM(CK18:CN18)-CO18&gt;0,SUM(CK18:CN18)-CO18,"")</f>
        <v>51.684999999999995</v>
      </c>
      <c r="DA18" s="76">
        <f>IF(SUM(CW18,CZ18)&gt;0,SUM(CW18,CZ18),"")</f>
        <v>103.45499999999998</v>
      </c>
      <c r="DB18" s="87" t="str">
        <f>IF(L18&gt;=0.001,IF(MAX(EF18,FN18,GV18,ID18,JL18,KT18,MB18,NJ18,OR18,PZ18,RH18,SP18)-IF(L18="",0,L18)&gt;0.001,MAX(EF18,FN18,GV18,ID18,JL18,KT18,MB18,NJ18,OR18,PZ18,RH18,SP18)-IF(L18="",0,L18),""),"")</f>
        <v/>
      </c>
      <c r="DC18" s="87" t="str">
        <f>IF(P18&gt;=0.001,IF(MAX(EI18,EL18,FQ18,FT18,GY18,HB18,IG18,IJ18,JO18,JR18,KW18,KZ18,ME18,MH18,NM18,NP18,OU18,OX18,QC18,QF18,RK18,RN18,SS18,SV18)-IF(P18="",0,P18)&gt;0.001,MAX(EI18,EL18,FQ18,FT18,GY18,HB18,IG18,IJ18,JO18,JR18,KW18,KZ18,ME18,MH18,NM18,NP18,OU18,OX18,QC18,QF18,RK18,RN18,SS18,SV18)-IF(P18="",0,P18),""),"")</f>
        <v/>
      </c>
      <c r="DD18" s="87" t="str">
        <f>IF(R18&gt;=0.001,IF(MAX(DZ18,EC18,EG18,EJ18,FH18,FK18,FO18,FR18,GP18,GS18,GW18,GZ18,HX18,IA18,IE18,IH18,JF18,JI18,JM18,JP18,KN18,KQ18,KU18,KX18,LV18,LY18,MC18,MF18,ND18,NG18,NK18,NN18,OL18,OO18,OS18,OV18,PT18,PW18,QA18,QD18,RB18,RE18,RI18,RL18,SJ18,SM18,SQ18,ST18)-IF(R18="",0,R18)&gt;0.001,MAX(DZ18,EC18,EG18,EJ18,FH18,FK18,FO18,FR18,GP18,GS18,GW18,GZ18,HX18,IA18,IE18,IH18,JF18,JI18,JM18,JP18,KN18,KQ18,KU18,KX18,LV18,LY18,MC18,MF18,ND18,NG18,NK18,NN18,OL18,OO18,OS18,OV18,PT18,PW18,QA18,QD18,RB18,RE18,RI18,RL18,SJ18,SM18,SQ18,ST18)-IF(R18="",0,R18),""),"")</f>
        <v/>
      </c>
      <c r="DE18" s="87" t="str">
        <f>IF(T18&gt;=0.001,IF(MAX(IF(DZ18&gt;=$EM$25,EA18,0),IF(EC18&gt;=$EM$25,ED18,0),IF(EG18&gt;=$EM$25,EH18,0),IF(EJ18&gt;=$EM$25,EK18,0),IF(FH18&gt;=$FU$25,FI18,0),IF(FK18&gt;=$FU$25,FL18,0),IF(FO18&gt;=$FU$25,FP18,0),IF(FR18&gt;=$FU$25,FS18,0),IF(GP18&gt;=$HC$25,GQ18,0),IF(GS18&gt;=$HC$25,GT18,0),IF(GW18&gt;=$HC$25,GX18,0),IF(GZ18&gt;=$HC$25,HA18,0),IF(HX18&gt;=$IK$25,HY18,0),IF(IA18&gt;=$IK$25,IB18,0),IF(IE18&gt;=$IK$25,IF18,0),IF(IH18&gt;=$IK$25,II18,0),IF(JF18&gt;=$JS$25,JG18,0),IF(JI18&gt;=$JS$25,JJ18,0),IF(JM18&gt;=$JS$25,JN18,0),IF(JP18&gt;=$JS$25,JQ18,0),IF(KN18&gt;=$LA$25,KO18,0),IF(KQ18&gt;=$LA$25,KR18,0),IF(KU18&gt;=$LA$25,KV18,0),IF(KX18&gt;=$LA$25,KY18,0),IF(LV18&gt;=$MI$25,LW18,0),IF(LY18&gt;=$MI$25,LZ18,0),IF(MC18&gt;=$MI$25,MD18,0),IF(MF18&gt;=$MI$25,MG18,0),IF(ND18&gt;=$NQ$25,NE18,0),IF(NG18&gt;=$NQ$25,NH18,0),IF(NK18&gt;=$NQ$25,NL18,0),IF(NN18&gt;=$NQ$25,NO18,0),IF(OL18&gt;=$OY$25,OM18,0),IF(OO18&gt;=$OY$25,OP18,0),IF(OS18&gt;=$OY$25,OT18,0),IF(OV18&gt;=$OY$25,OW18,0),IF(PT18&gt;=$QG$25,PU18,0),IF(PW18&gt;=$QG$25,PX18,0),IF(QA18&gt;=$QG$25,QB18,0),IF(QD18&gt;=$QG$25,QE18,0),IF(RB18&gt;=$RO$25,RC18,0),IF(RE18&gt;=$RO$25,RF18,0),IF(RI18&gt;=$RO$25,RJ18,0),IF(RL18&gt;=$RO$25,RM18,0),IF(SJ18&gt;=$SW$25,SK18,0),IF(SM18&gt;=$SW$25,SN18,0),IF(SQ18&gt;=$SW$25,SR18,0),IF(ST18&gt;=$SW$25,SU18,0))-IF(T18="",0,T18)&gt;0.001,MAX(IF(DZ18&gt;=$EM$25,EA18,0),IF(EC18&gt;=$EM$25,ED18,0),IF(EG18&gt;=$EM$25,EH18,0),IF(EJ18&gt;=$EM$25,EK18,0),IF(FH18&gt;=$FU$25,FI18,0),IF(FK18&gt;=$FU$25,FL18,0),IF(FO18&gt;=$FU$25,FP18,0),IF(FR18&gt;=$FU$25,FS18,0),IF(GP18&gt;=$HC$25,GQ18,0),IF(GS18&gt;=$HC$25,GT18,0),IF(GW18&gt;=$HC$25,GX18,0),IF(GZ18&gt;=$HC$25,HA18,0),IF(HX18&gt;=$IK$25,HY18,0),IF(IA18&gt;=$IK$25,IB18,0),IF(IE18&gt;=$IK$25,IF18,0),IF(IH18&gt;=$IK$25,II18,0),IF(JF18&gt;=$JS$25,JG18,0),IF(JI18&gt;=$JS$25,JJ18,0),IF(JM18&gt;=$JS$25,JN18,0),IF(JP18&gt;=$JS$25,JQ18,0),IF(KN18&gt;=$LA$25,KO18,0),IF(KQ18&gt;=$LA$25,KR18,0),IF(KU18&gt;=$LA$25,KV18,0),IF(KX18&gt;=$LA$25,KY18,0),IF(LV18&gt;=$MI$25,LW18,0),IF(LY18&gt;=$MI$25,LZ18,0),IF(MC18&gt;=$MI$25,MD18,0),IF(MF18&gt;=$MI$25,MG18,0),IF(ND18&gt;=$NQ$25,NE18,0),IF(NG18&gt;=$NQ$25,NH18,0),IF(NK18&gt;=$NQ$25,NL18,0),IF(NN18&gt;=$NQ$25,NO18,0),IF(OL18&gt;=$OY$25,OM18,0),IF(OO18&gt;=$OY$25,OP18,0),IF(OS18&gt;=$OY$25,OT18,0),IF(OV18&gt;=$OY$25,OW18,0),IF(PT18&gt;=$QG$25,PU18,0),IF(PW18&gt;=$QG$25,PX18,0),IF(QA18&gt;=$QG$25,QB18,0),IF(QD18&gt;=$QG$25,QE18,0),IF(RB18&gt;=$RO$25,RC18,0),IF(RE18&gt;=$RO$25,RF18,0),IF(RI18&gt;=$RO$25,RJ18,0),IF(RL18&gt;=$RO$25,RM18,0),IF(SJ18&gt;=$SW$25,SK18,0),IF(SM18&gt;=$SW$25,SN18,0),IF(SQ18&gt;=$SW$25,SR18,0),IF(ST18&gt;=$SW$25,SU18,0))-IF(T18="",0,T18),""),"")</f>
        <v/>
      </c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76" t="str">
        <f>IF(DH18&gt;0,DH18,"")</f>
        <v/>
      </c>
      <c r="EA18" s="76" t="str">
        <f>IF(DI18&gt;0,DI18,"")</f>
        <v/>
      </c>
      <c r="EB18" s="76" t="str">
        <f>IF(SUM(DF18:DI18)-DJ18&gt;0,SUM(DF18:DI18)-DJ18,"")</f>
        <v/>
      </c>
      <c r="EC18" s="76" t="str">
        <f>IF(DM18&gt;0,DM18,"")</f>
        <v/>
      </c>
      <c r="ED18" s="76" t="str">
        <f>IF(DN18&gt;0,DN18,"")</f>
        <v/>
      </c>
      <c r="EE18" s="76" t="str">
        <f>IF(SUM(DK18:DN18)-DO18&gt;0,SUM(DK18:DN18)-DO18,"")</f>
        <v/>
      </c>
      <c r="EF18" s="76" t="str">
        <f>IF(MAX(EB18,EE18)&gt;0,MAX(EB18,EE18),"")</f>
        <v/>
      </c>
      <c r="EG18" s="76" t="str">
        <f>IF(DR18&gt;0,DR18,"")</f>
        <v/>
      </c>
      <c r="EH18" s="76" t="str">
        <f>IF(DS18&gt;0,DS18,"")</f>
        <v/>
      </c>
      <c r="EI18" s="76" t="str">
        <f>IF(SUM(DP18:DS18)-DT18&gt;0,SUM(DP18:DS18)-DT18,"")</f>
        <v/>
      </c>
      <c r="EJ18" s="76" t="str">
        <f>IF(DW18&gt;0,DW18,"")</f>
        <v/>
      </c>
      <c r="EK18" s="76" t="str">
        <f>IF(DX18&gt;0,DX18,"")</f>
        <v/>
      </c>
      <c r="EL18" s="76" t="str">
        <f>IF(SUM(DU18:DX18)-DY18&gt;0,SUM(DU18:DX18)-DY18,"")</f>
        <v/>
      </c>
      <c r="EM18" s="76" t="str">
        <f>IF(SUM(EF18,EL18)&gt;0,SUM(EF18,EL18),"")</f>
        <v/>
      </c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16" t="str">
        <f>IF(EP18&gt;0,EP18,"")</f>
        <v/>
      </c>
      <c r="FI18" s="16" t="str">
        <f>IF(EQ18&gt;0,EQ18,"")</f>
        <v/>
      </c>
      <c r="FJ18" s="16" t="str">
        <f>IF(SUM(EN18:EQ18)-ER18&gt;0,SUM(EN18:EQ18)-ER18,"")</f>
        <v/>
      </c>
      <c r="FK18" s="16" t="str">
        <f>IF(EU18&gt;0,EU18,"")</f>
        <v/>
      </c>
      <c r="FL18" s="16" t="str">
        <f>IF(EV18&gt;0,EV18,"")</f>
        <v/>
      </c>
      <c r="FM18" s="16" t="str">
        <f>IF(SUM(ES18:EV18)-EW18&gt;0,SUM(ES18:EV18)-EW18,"")</f>
        <v/>
      </c>
      <c r="FN18" s="16" t="str">
        <f>IF(MAX(FJ18,FM18)&gt;0,MAX(FJ18,FM18),"")</f>
        <v/>
      </c>
      <c r="FO18" s="16" t="str">
        <f>IF(EZ18&gt;0,EZ18,"")</f>
        <v/>
      </c>
      <c r="FP18" s="16" t="str">
        <f>IF(FA18&gt;0,FA18,"")</f>
        <v/>
      </c>
      <c r="FQ18" s="16" t="str">
        <f>IF(SUM(EX18:FA18)-FB18&gt;0,SUM(EX18:FA18)-FB18,"")</f>
        <v/>
      </c>
      <c r="FR18" s="16" t="str">
        <f>IF(FE18&gt;0,FE18,"")</f>
        <v/>
      </c>
      <c r="FS18" s="16" t="str">
        <f>IF(FF18&gt;0,FF18,"")</f>
        <v/>
      </c>
      <c r="FT18" s="16" t="str">
        <f>IF(SUM(FC18:FF18)-FG18&gt;0,SUM(FC18:FF18)-FG18,"")</f>
        <v/>
      </c>
      <c r="FU18" s="16" t="str">
        <f>IF(SUM(FN18,FT18)&gt;0,SUM(FN18,FT18),"")</f>
        <v/>
      </c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76" t="str">
        <f>IF(FX18&gt;0,FX18,"")</f>
        <v/>
      </c>
      <c r="GQ18" s="76" t="str">
        <f>IF(FY18&gt;0,FY18,"")</f>
        <v/>
      </c>
      <c r="GR18" s="76" t="str">
        <f>IF(SUM(FV18:FY18)-FZ18&gt;0,SUM(FV18:FY18)-FZ18,"")</f>
        <v/>
      </c>
      <c r="GS18" s="76" t="str">
        <f>IF(GC18&gt;0,GC18,"")</f>
        <v/>
      </c>
      <c r="GT18" s="76" t="str">
        <f>IF(GD18&gt;0,GD18,"")</f>
        <v/>
      </c>
      <c r="GU18" s="76" t="str">
        <f>IF(SUM(GA18:GD18)-GE18&gt;0,SUM(GA18:GD18)-GE18,"")</f>
        <v/>
      </c>
      <c r="GV18" s="76" t="str">
        <f>IF(MAX(GR18,GU18)&gt;0,MAX(GR18,GU18),"")</f>
        <v/>
      </c>
      <c r="GW18" s="76" t="str">
        <f>IF(GH18&gt;0,GH18,"")</f>
        <v/>
      </c>
      <c r="GX18" s="76" t="str">
        <f>IF(GI18&gt;0,GI18,"")</f>
        <v/>
      </c>
      <c r="GY18" s="76" t="str">
        <f>IF(SUM(GF18:GI18)-GJ18&gt;0,SUM(GF18:GI18)-GJ18,"")</f>
        <v/>
      </c>
      <c r="GZ18" s="76" t="str">
        <f>IF(GM18&gt;0,GM18,"")</f>
        <v/>
      </c>
      <c r="HA18" s="76" t="str">
        <f>IF(GN18&gt;0,GN18,"")</f>
        <v/>
      </c>
      <c r="HB18" s="76" t="str">
        <f>IF(SUM(GK18:GN18)-GO18&gt;0,SUM(GK18:GN18)-GO18,"")</f>
        <v/>
      </c>
      <c r="HC18" s="76" t="str">
        <f>IF(SUM(GV18,HB18)&gt;0,SUM(GV18,HB18),"")</f>
        <v/>
      </c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16" t="str">
        <f>IF(HF18&gt;0,HF18,"")</f>
        <v/>
      </c>
      <c r="HY18" s="16" t="str">
        <f>IF(HG18&gt;0,HG18,"")</f>
        <v/>
      </c>
      <c r="HZ18" s="16" t="str">
        <f>IF(SUM(HD18:HG18)-HH18&gt;0,SUM(HD18:HG18)-HH18,"")</f>
        <v/>
      </c>
      <c r="IA18" s="16" t="str">
        <f>IF(HK18&gt;0,HK18,"")</f>
        <v/>
      </c>
      <c r="IB18" s="16" t="str">
        <f>IF(HL18&gt;0,HL18,"")</f>
        <v/>
      </c>
      <c r="IC18" s="16" t="str">
        <f>IF(SUM(HI18:HL18)-HM18&gt;0,SUM(HI18:HL18)-HM18,"")</f>
        <v/>
      </c>
      <c r="ID18" s="16" t="str">
        <f>IF(MAX(HZ18,IC18)&gt;0,MAX(HZ18,IC18),"")</f>
        <v/>
      </c>
      <c r="IE18" s="16" t="str">
        <f>IF(HP18&gt;0,HP18,"")</f>
        <v/>
      </c>
      <c r="IF18" s="16" t="str">
        <f>IF(HQ18&gt;0,HQ18,"")</f>
        <v/>
      </c>
      <c r="IG18" s="16" t="str">
        <f>IF(SUM(HN18:HQ18)-HR18&gt;0,SUM(HN18:HQ18)-HR18,"")</f>
        <v/>
      </c>
      <c r="IH18" s="16" t="str">
        <f>IF(HU18&gt;0,HU18,"")</f>
        <v/>
      </c>
      <c r="II18" s="16" t="str">
        <f>IF(HV18&gt;0,HV18,"")</f>
        <v/>
      </c>
      <c r="IJ18" s="16" t="str">
        <f>IF(SUM(HS18:HV18)-HW18&gt;0,SUM(HS18:HV18)-HW18,"")</f>
        <v/>
      </c>
      <c r="IK18" s="16" t="str">
        <f>IF(SUM(ID18,IJ18)&gt;0,SUM(ID18,IJ18),"")</f>
        <v/>
      </c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76" t="str">
        <f>IF(IN18&gt;0,IN18,"")</f>
        <v/>
      </c>
      <c r="JG18" s="76" t="str">
        <f>IF(IO18&gt;0,IO18,"")</f>
        <v/>
      </c>
      <c r="JH18" s="76" t="str">
        <f>IF(SUM(IL18:IO18)-IP18&gt;0,SUM(IL18:IO18)-IP18,"")</f>
        <v/>
      </c>
      <c r="JI18" s="76" t="str">
        <f>IF(IS18&gt;0,IS18,"")</f>
        <v/>
      </c>
      <c r="JJ18" s="76" t="str">
        <f>IF(IT18&gt;0,IT18,"")</f>
        <v/>
      </c>
      <c r="JK18" s="76" t="str">
        <f>IF(SUM(IQ18:IT18)-IU18&gt;0,SUM(IQ18:IT18)-IU18,"")</f>
        <v/>
      </c>
      <c r="JL18" s="76" t="str">
        <f>IF(MAX(JH18,JK18)&gt;0,MAX(JH18,JK18),"")</f>
        <v/>
      </c>
      <c r="JM18" s="76" t="str">
        <f>IF(IX18&gt;0,IX18,"")</f>
        <v/>
      </c>
      <c r="JN18" s="76" t="str">
        <f>IF(IY18&gt;0,IY18,"")</f>
        <v/>
      </c>
      <c r="JO18" s="76" t="str">
        <f>IF(SUM(IV18:IY18)-IZ18&gt;0,SUM(IV18:IY18)-IZ18,"")</f>
        <v/>
      </c>
      <c r="JP18" s="76" t="str">
        <f>IF(JC18&gt;0,JC18,"")</f>
        <v/>
      </c>
      <c r="JQ18" s="76" t="str">
        <f>IF(JD18&gt;0,JD18,"")</f>
        <v/>
      </c>
      <c r="JR18" s="76" t="str">
        <f>IF(SUM(JA18:JD18)-JE18&gt;0,SUM(JA18:JD18)-JE18,"")</f>
        <v/>
      </c>
      <c r="JS18" s="76" t="str">
        <f>IF(SUM(JL18,JR18)&gt;0,SUM(JL18,JR18),"")</f>
        <v/>
      </c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16" t="str">
        <f>IF(JV18&gt;0,JV18,"")</f>
        <v/>
      </c>
      <c r="KO18" s="16" t="str">
        <f>IF(JW18&gt;0,JW18,"")</f>
        <v/>
      </c>
      <c r="KP18" s="16" t="str">
        <f>IF(SUM(JT18:JW18)-JX18&gt;0,SUM(JT18:JW18)-JX18,"")</f>
        <v/>
      </c>
      <c r="KQ18" s="16" t="str">
        <f>IF(KA18&gt;0,KA18,"")</f>
        <v/>
      </c>
      <c r="KR18" s="16" t="str">
        <f>IF(KB18&gt;0,KB18,"")</f>
        <v/>
      </c>
      <c r="KS18" s="16" t="str">
        <f>IF(SUM(JY18:KB18)-KC18&gt;0,SUM(JY18:KB18)-KC18,"")</f>
        <v/>
      </c>
      <c r="KT18" s="16" t="str">
        <f>IF(MAX(KP18,KS18)&gt;0,MAX(KP18,KS18),"")</f>
        <v/>
      </c>
      <c r="KU18" s="16" t="str">
        <f>IF(KF18&gt;0,KF18,"")</f>
        <v/>
      </c>
      <c r="KV18" s="16" t="str">
        <f>IF(KG18&gt;0,KG18,"")</f>
        <v/>
      </c>
      <c r="KW18" s="16" t="str">
        <f>IF(SUM(KD18:KG18)-KH18&gt;0,SUM(KD18:KG18)-KH18,"")</f>
        <v/>
      </c>
      <c r="KX18" s="16" t="str">
        <f>IF(KK18&gt;0,KK18,"")</f>
        <v/>
      </c>
      <c r="KY18" s="16" t="str">
        <f>IF(KL18&gt;0,KL18,"")</f>
        <v/>
      </c>
      <c r="KZ18" s="16" t="str">
        <f>IF(SUM(KI18:KL18)-KM18&gt;0,SUM(KI18:KL18)-KM18,"")</f>
        <v/>
      </c>
      <c r="LA18" s="16" t="str">
        <f>IF(SUM(KT18,KZ18)&gt;0,SUM(KT18,KZ18),"")</f>
        <v/>
      </c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76" t="str">
        <f>IF(LD18&gt;0,LD18,"")</f>
        <v/>
      </c>
      <c r="LW18" s="76" t="str">
        <f>IF(LE18&gt;0,LE18,"")</f>
        <v/>
      </c>
      <c r="LX18" s="76" t="str">
        <f>IF(SUM(LB18:LE18)-LF18&gt;0,SUM(LB18:LE18)-LF18,"")</f>
        <v/>
      </c>
      <c r="LY18" s="76" t="str">
        <f>IF(LI18&gt;0,LI18,"")</f>
        <v/>
      </c>
      <c r="LZ18" s="76" t="str">
        <f>IF(LJ18&gt;0,LJ18,"")</f>
        <v/>
      </c>
      <c r="MA18" s="76" t="str">
        <f>IF(SUM(LG18:LJ18)-LK18&gt;0,SUM(LG18:LJ18)-LK18,"")</f>
        <v/>
      </c>
      <c r="MB18" s="76" t="str">
        <f>IF(MAX(LX18,MA18)&gt;0,MAX(LX18,MA18),"")</f>
        <v/>
      </c>
      <c r="MC18" s="76" t="str">
        <f>IF(LN18&gt;0,LN18,"")</f>
        <v/>
      </c>
      <c r="MD18" s="76" t="str">
        <f>IF(LO18&gt;0,LO18,"")</f>
        <v/>
      </c>
      <c r="ME18" s="76" t="str">
        <f>IF(SUM(LL18:LO18)-LP18&gt;0,SUM(LL18:LO18)-LP18,"")</f>
        <v/>
      </c>
      <c r="MF18" s="76" t="str">
        <f>IF(LS18&gt;0,LS18,"")</f>
        <v/>
      </c>
      <c r="MG18" s="76" t="str">
        <f>IF(LT18&gt;0,LT18,"")</f>
        <v/>
      </c>
      <c r="MH18" s="76" t="str">
        <f>IF(SUM(LQ18:LT18)-LU18&gt;0,SUM(LQ18:LT18)-LU18,"")</f>
        <v/>
      </c>
      <c r="MI18" s="76" t="str">
        <f>IF(SUM(MB18,MH18)&gt;0,SUM(MB18,MH18),"")</f>
        <v/>
      </c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26"/>
      <c r="NC18" s="26"/>
      <c r="ND18" s="16" t="str">
        <f>IF(ML18&gt;0,ML18,"")</f>
        <v/>
      </c>
      <c r="NE18" s="16" t="str">
        <f>IF(MM18&gt;0,MM18,"")</f>
        <v/>
      </c>
      <c r="NF18" s="16" t="str">
        <f>IF(SUM(MJ18:MM18)-MN18&gt;0,SUM(MJ18:MM18)-MN18,"")</f>
        <v/>
      </c>
      <c r="NG18" s="16" t="str">
        <f>IF(MQ18&gt;0,MQ18,"")</f>
        <v/>
      </c>
      <c r="NH18" s="16" t="str">
        <f>IF(MR18&gt;0,MR18,"")</f>
        <v/>
      </c>
      <c r="NI18" s="16" t="str">
        <f>IF(SUM(MO18:MR18)-MS18&gt;0,SUM(MO18:MR18)-MS18,"")</f>
        <v/>
      </c>
      <c r="NJ18" s="16" t="str">
        <f>IF(MAX(NF18,NI18)&gt;0,MAX(NF18,NI18),"")</f>
        <v/>
      </c>
      <c r="NK18" s="16" t="str">
        <f>IF(MV18&gt;0,MV18,"")</f>
        <v/>
      </c>
      <c r="NL18" s="16" t="str">
        <f>IF(MW18&gt;0,MW18,"")</f>
        <v/>
      </c>
      <c r="NM18" s="16" t="str">
        <f>IF(SUM(MT18:MW18)-MX18&gt;0,SUM(MT18:MW18)-MX18,"")</f>
        <v/>
      </c>
      <c r="NN18" s="16" t="str">
        <f>IF(NA18&gt;0,NA18,"")</f>
        <v/>
      </c>
      <c r="NO18" s="16" t="str">
        <f>IF(NB18&gt;0,NB18,"")</f>
        <v/>
      </c>
      <c r="NP18" s="16" t="str">
        <f>IF(SUM(MY18:NB18)-NC18&gt;0,SUM(MY18:NB18)-NC18,"")</f>
        <v/>
      </c>
      <c r="NQ18" s="16" t="str">
        <f>IF(SUM(NJ18,NP18)&gt;0,SUM(NJ18,NP18),"")</f>
        <v/>
      </c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76" t="str">
        <f>IF(NT18&gt;0,NT18,"")</f>
        <v/>
      </c>
      <c r="OM18" s="76" t="str">
        <f>IF(NU18&gt;0,NU18,"")</f>
        <v/>
      </c>
      <c r="ON18" s="76" t="str">
        <f>IF(SUM(NR18:NU18)-NV18&gt;0,SUM(NR18:NU18)-NV18,"")</f>
        <v/>
      </c>
      <c r="OO18" s="76" t="str">
        <f>IF(NY18&gt;0,NY18,"")</f>
        <v/>
      </c>
      <c r="OP18" s="76" t="str">
        <f>IF(NZ18&gt;0,NZ18,"")</f>
        <v/>
      </c>
      <c r="OQ18" s="76" t="str">
        <f>IF(SUM(NW18:NZ18)-OA18&gt;0,SUM(NW18:NZ18)-OA18,"")</f>
        <v/>
      </c>
      <c r="OR18" s="76" t="str">
        <f>IF(MAX(ON18,OQ18)&gt;0,MAX(ON18,OQ18),"")</f>
        <v/>
      </c>
      <c r="OS18" s="76" t="str">
        <f>IF(OD18&gt;0,OD18,"")</f>
        <v/>
      </c>
      <c r="OT18" s="76" t="str">
        <f>IF(OE18&gt;0,OE18,"")</f>
        <v/>
      </c>
      <c r="OU18" s="76" t="str">
        <f>IF(SUM(OB18:OE18)-OF18&gt;0,SUM(OB18:OE18)-OF18,"")</f>
        <v/>
      </c>
      <c r="OV18" s="76" t="str">
        <f>IF(OI18&gt;0,OI18,"")</f>
        <v/>
      </c>
      <c r="OW18" s="76" t="str">
        <f>IF(OJ18&gt;0,OJ18,"")</f>
        <v/>
      </c>
      <c r="OX18" s="76" t="str">
        <f>IF(SUM(OG18:OJ18)-OK18&gt;0,SUM(OG18:OJ18)-OK18,"")</f>
        <v/>
      </c>
      <c r="OY18" s="76" t="str">
        <f>IF(SUM(OR18,OX18)&gt;0,SUM(OR18,OX18),"")</f>
        <v/>
      </c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16" t="str">
        <f>IF(PB18&gt;0,PB18,"")</f>
        <v/>
      </c>
      <c r="PU18" s="16" t="str">
        <f>IF(PC18&gt;0,PC18,"")</f>
        <v/>
      </c>
      <c r="PV18" s="16" t="str">
        <f>IF(SUM(OZ18:PC18)-PD18&gt;0,SUM(OZ18:PC18)-PD18,"")</f>
        <v/>
      </c>
      <c r="PW18" s="16" t="str">
        <f>IF(PG18&gt;0,PG18,"")</f>
        <v/>
      </c>
      <c r="PX18" s="16" t="str">
        <f>IF(PH18&gt;0,PH18,"")</f>
        <v/>
      </c>
      <c r="PY18" s="16" t="str">
        <f>IF(SUM(PE18:PH18)-PI18&gt;0,SUM(PE18:PH18)-PI18,"")</f>
        <v/>
      </c>
      <c r="PZ18" s="16" t="str">
        <f>IF(MAX(PV18,PY18)&gt;0,MAX(PV18,PY18),"")</f>
        <v/>
      </c>
      <c r="QA18" s="16" t="str">
        <f>IF(PL18&gt;0,PL18,"")</f>
        <v/>
      </c>
      <c r="QB18" s="16" t="str">
        <f>IF(PM18&gt;0,PM18,"")</f>
        <v/>
      </c>
      <c r="QC18" s="16" t="str">
        <f>IF(SUM(PJ18:PM18)-PN18&gt;0,SUM(PJ18:PM18)-PN18,"")</f>
        <v/>
      </c>
      <c r="QD18" s="16" t="str">
        <f>IF(PQ18&gt;0,PQ18,"")</f>
        <v/>
      </c>
      <c r="QE18" s="16" t="str">
        <f>IF(PR18&gt;0,PR18,"")</f>
        <v/>
      </c>
      <c r="QF18" s="16" t="str">
        <f>IF(SUM(PO18:PR18)-PS18&gt;0,SUM(PO18:PR18)-PS18,"")</f>
        <v/>
      </c>
      <c r="QG18" s="16" t="str">
        <f>IF(SUM(PZ18,QF18)&gt;0,SUM(PZ18,QF18),"")</f>
        <v/>
      </c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25"/>
      <c r="RA18" s="25"/>
      <c r="RB18" s="76" t="str">
        <f>IF(QJ18&gt;0,QJ18,"")</f>
        <v/>
      </c>
      <c r="RC18" s="76" t="str">
        <f>IF(QK18&gt;0,QK18,"")</f>
        <v/>
      </c>
      <c r="RD18" s="76" t="str">
        <f>IF(SUM(QH18:QK18)-QL18&gt;0,SUM(QH18:QK18)-QL18,"")</f>
        <v/>
      </c>
      <c r="RE18" s="76" t="str">
        <f>IF(QO18&gt;0,QO18,"")</f>
        <v/>
      </c>
      <c r="RF18" s="76" t="str">
        <f>IF(QP18&gt;0,QP18,"")</f>
        <v/>
      </c>
      <c r="RG18" s="76" t="str">
        <f>IF(SUM(QM18:QP18)-QQ18&gt;0,SUM(QM18:QP18)-QQ18,"")</f>
        <v/>
      </c>
      <c r="RH18" s="76" t="str">
        <f>IF(MAX(RD18,RG18)&gt;0,MAX(RD18,RG18),"")</f>
        <v/>
      </c>
      <c r="RI18" s="76" t="str">
        <f>IF(QT18&gt;0,QT18,"")</f>
        <v/>
      </c>
      <c r="RJ18" s="76" t="str">
        <f>IF(QU18&gt;0,QU18,"")</f>
        <v/>
      </c>
      <c r="RK18" s="76" t="str">
        <f>IF(SUM(QR18:QU18)-QV18&gt;0,SUM(QR18:QU18)-QV18,"")</f>
        <v/>
      </c>
      <c r="RL18" s="76" t="str">
        <f>IF(QY18&gt;0,QY18,"")</f>
        <v/>
      </c>
      <c r="RM18" s="76" t="str">
        <f>IF(QZ18&gt;0,QZ18,"")</f>
        <v/>
      </c>
      <c r="RN18" s="76" t="str">
        <f>IF(SUM(QW18:QZ18)-RA18&gt;0,SUM(QW18:QZ18)-RA18,"")</f>
        <v/>
      </c>
      <c r="RO18" s="76" t="str">
        <f>IF(SUM(RH18,RN18)&gt;0,SUM(RH18,RN18),"")</f>
        <v/>
      </c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26"/>
      <c r="SI18" s="26"/>
      <c r="SJ18" s="16" t="str">
        <f>IF(RR18&gt;0,RR18,"")</f>
        <v/>
      </c>
      <c r="SK18" s="16" t="str">
        <f>IF(RS18&gt;0,RS18,"")</f>
        <v/>
      </c>
      <c r="SL18" s="16" t="str">
        <f>IF(SUM(RP18:RS18)-RT18&gt;0,SUM(RP18:RS18)-RT18,"")</f>
        <v/>
      </c>
      <c r="SM18" s="16" t="str">
        <f>IF(RW18&gt;0,RW18,"")</f>
        <v/>
      </c>
      <c r="SN18" s="16" t="str">
        <f>IF(RX18&gt;0,RX18,"")</f>
        <v/>
      </c>
      <c r="SO18" s="16" t="str">
        <f>IF(SUM(RU18:RX18)-RY18&gt;0,SUM(RU18:RX18)-RY18,"")</f>
        <v/>
      </c>
      <c r="SP18" s="16" t="str">
        <f>IF(MAX(SL18,SO18)&gt;0,MAX(SL18,SO18),"")</f>
        <v/>
      </c>
      <c r="SQ18" s="16" t="str">
        <f>IF(SB18&gt;0,SB18,"")</f>
        <v/>
      </c>
      <c r="SR18" s="16" t="str">
        <f>IF(SC18&gt;0,SC18,"")</f>
        <v/>
      </c>
      <c r="SS18" s="16" t="str">
        <f>IF(SUM(RZ18:SC18)-SD18&gt;0,SUM(RZ18:SC18)-SD18,"")</f>
        <v/>
      </c>
      <c r="ST18" s="16" t="str">
        <f>IF(SG18&gt;0,SG18,"")</f>
        <v/>
      </c>
      <c r="SU18" s="16" t="str">
        <f>IF(SH18&gt;0,SH18,"")</f>
        <v/>
      </c>
      <c r="SV18" s="16" t="str">
        <f>IF(SUM(SE18:SH18)-SI18&gt;0,SUM(SE18:SH18)-SI18,"")</f>
        <v/>
      </c>
      <c r="SW18" s="16" t="str">
        <f>IF(SUM(SP18,SV18)&gt;0,SUM(SP18,SV18),"")</f>
        <v/>
      </c>
      <c r="SX18" s="42">
        <f>IF($CP18="P",CA18,(CA18+AZ18)/2)</f>
        <v>6.35</v>
      </c>
      <c r="SY18" s="42">
        <f>IF($CP18="P",CB18,(CB18+BA18)/2)</f>
        <v>4.55</v>
      </c>
      <c r="SZ18" s="42">
        <f>IF($CP18="P",CC18,(CC18+BB18)/2)</f>
        <v>7.3</v>
      </c>
      <c r="TA18" s="42">
        <f>IF($CP18="P",CD18,(CD18+BC18)/2)</f>
        <v>7.6849999999999996</v>
      </c>
      <c r="TB18" s="42">
        <f>IF($CP18="P",CE18,(CE18+BD18)/2)</f>
        <v>0</v>
      </c>
      <c r="TC18" s="42">
        <f>IF($CP18="P",CF18,(CF18+BE18)/2)</f>
        <v>5.85</v>
      </c>
      <c r="TD18" s="42">
        <f>IF($CP18="P",CG18,(CG18+BF18)/2)</f>
        <v>3.75</v>
      </c>
      <c r="TE18" s="42">
        <f>IF($CP18="P",CH18,(CH18+BG18)/2)</f>
        <v>5.95</v>
      </c>
      <c r="TF18" s="42">
        <f>IF($CP18="P",CI18,(CI18+BH18)/2)</f>
        <v>6.0274999999999999</v>
      </c>
      <c r="TG18" s="42">
        <f>IF($CP18="P",CJ18,(CJ18+BI18)/2)</f>
        <v>0</v>
      </c>
      <c r="TH18" s="42">
        <f>IF($CP18="P",CK18,(CK18+BJ18)/2)</f>
        <v>6.75</v>
      </c>
      <c r="TI18" s="42">
        <f>IF($CP18="P",CL18,(CL18+BK18)/2)</f>
        <v>4.55</v>
      </c>
      <c r="TJ18" s="42">
        <f>IF($CP18="P",CM18,(CM18+BL18)/2)</f>
        <v>7.1</v>
      </c>
      <c r="TK18" s="42">
        <f>IF($CP18="P",CN18,(CN18+BM18)/2)</f>
        <v>7.4424999999999999</v>
      </c>
      <c r="TL18" s="42">
        <f>IF($CP18="P",CO18,(CO18+BN18)/2)</f>
        <v>0</v>
      </c>
      <c r="TM18" s="51" t="s">
        <v>61</v>
      </c>
      <c r="TN18" s="76">
        <f>IF(SZ18&gt;0,SZ18,"")</f>
        <v>7.3</v>
      </c>
      <c r="TO18" s="76">
        <f>IF(TA18&gt;0,TA18,"")</f>
        <v>7.6849999999999996</v>
      </c>
      <c r="TP18" s="76">
        <f>IF(SUM(SX18:TA18)-TB18&gt;0,SUM(SX18:TA18)-TB18,"")</f>
        <v>25.884999999999998</v>
      </c>
      <c r="TQ18" s="76">
        <f>IF(TE18&gt;0,TE18,"")</f>
        <v>5.95</v>
      </c>
      <c r="TR18" s="76">
        <f>IF(TF18&gt;0,TF18,"")</f>
        <v>6.0274999999999999</v>
      </c>
      <c r="TS18" s="76">
        <f>IF(SUM(TC18:TF18)-TG18&gt;0,SUM(TC18:TF18)-TG18,"")</f>
        <v>21.577500000000001</v>
      </c>
      <c r="TT18" s="76">
        <f>IF(MAX(TP18,TS18)&gt;0,MAX(TP18,TS18),"")</f>
        <v>25.884999999999998</v>
      </c>
      <c r="TU18" s="76">
        <f>IF(TJ18&gt;0,TJ18,"")</f>
        <v>7.1</v>
      </c>
      <c r="TV18" s="76">
        <f>IF(TK18&gt;0,TK18,"")</f>
        <v>7.4424999999999999</v>
      </c>
      <c r="TW18" s="76">
        <f>IF(SUM(TH18:TK18)-TL18&gt;0,SUM(TH18:TK18)-TL18,"")</f>
        <v>25.842499999999998</v>
      </c>
      <c r="TX18" s="76">
        <f>IF(SUM(TT18,TW18)&gt;0,SUM(TT18,TW18),"")</f>
        <v>51.727499999999992</v>
      </c>
    </row>
    <row r="19" spans="1:544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>SUM(J19:V19)+SUM(J19:T19)*0.0000001+SUM(J19)*0.0000000000001</f>
        <v>146.70501467050514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Z19&gt;=EM$25,DZ19&lt;&gt;"",EB19&gt;=EM$29,EB19&lt;&gt;""),AND(EC19&gt;=EM$25,EC19&lt;&gt;"",EE19&gt;=EM$29,EE19&lt;&gt;""),AND(EG19&gt;=EM$25,EG19&lt;&gt;"",EI19&gt;=EM$29,EI19&lt;&gt;""),AND(EJ19&gt;=EM$25,EJ19&lt;&gt;"",EL19&gt;=EM$29,EL19&lt;&gt;""),AND(FH19&gt;=FU$25,FH19&lt;&gt;"",FJ19&gt;=FU$29,FJ19&lt;&gt;""),AND(FK19&gt;=FU$25,FK19&lt;&gt;"",FM19&gt;=FU$29,FM19&lt;&gt;""),AND(FO19&gt;=FU$25,FO19&lt;&gt;"",FQ19&gt;=FU$29,FQ19&lt;&gt;""),AND(FR19&gt;=FU$25,FR19&lt;&gt;"",FT19&gt;=FU$29,FT19&lt;&gt;""),AND(GP19&gt;=HC$25,GP19&lt;&gt;"",GR19&gt;=HC$29,GR19&lt;&gt;""),AND(GS19&gt;=HC$25,GS19&lt;&gt;"",GU19&gt;=HC$29,GU19&lt;&gt;""),AND(GW19&gt;=HC$25,GW19&lt;&gt;"",GY19&gt;=HC$29,GY19&lt;&gt;""),AND(GZ19&gt;=HC$25,GZ19&lt;&gt;"",HB19&gt;=HC$29,HB19&lt;&gt;""),AND(HX19&gt;=IK$25,HX19&lt;&gt;"",HZ19&gt;=IK$29,HZ19&lt;&gt;""),AND(IA19&gt;=IK$25,IA19&lt;&gt;"",IC19&gt;=IK$29,IC19&lt;&gt;""),AND(IE19&gt;=IK$25,IE19&lt;&gt;"",IG19&gt;=IK$29,IG19&lt;&gt;""),AND(IH19&gt;=IK$25,IH19&lt;&gt;"",IJ19&gt;=IK$29,IJ19&lt;&gt;""),AND(JF19&gt;=JS$25,JF19&lt;&gt;"",JH19&gt;=JS$29,JH19&lt;&gt;""),AND(JI19&gt;=JS$25,JI19&lt;&gt;"",JK19&gt;=JS$29,JK19&lt;&gt;""),AND(JM19&gt;=JS$25,JM19&lt;&gt;"",JO19&gt;=JS$29,JO19&lt;&gt;""),AND(JP19&gt;=JS$25,JP19&lt;&gt;"",JR19&gt;=JS$29,JR19&lt;&gt;""),AND(KN19&gt;=LA$25,KN19&lt;&gt;"",KP19&gt;=LA$29,KP19&lt;&gt;""),AND(KQ19&gt;=LA$25,KQ19&lt;&gt;"",KS19&gt;=LA$29,KS19&lt;&gt;""),AND(KU19&gt;=LA$25,KU19&lt;&gt;"",KW19&gt;=LA$29,KW19&lt;&gt;""),AND(KX19&gt;=LA$25,KX19&lt;&gt;"",KZ19&gt;=LA$29,KZ19&lt;&gt;""),AND(LV19&gt;=MI$25,LV19&lt;&gt;"",LX19&gt;=MI$29,LX19&lt;&gt;""),AND(LY19&gt;=MI$25,LY19&lt;&gt;"",MA19&gt;=MI$29,MA19&lt;&gt;""),AND(MC19&gt;=MI$25,MC19&lt;&gt;"",ME19&gt;=MI$29,ME19&lt;&gt;""),AND(MF19&gt;=MI$25,MF19&lt;&gt;"",MH19&gt;=MI$29,MH19&lt;&gt;""),AND(ND19&gt;=NQ$25,ND19&lt;&gt;"",NF19&gt;=NQ$29,NF19&lt;&gt;""),AND(NG19&gt;=NQ$25,NG19&lt;&gt;"",NI19&gt;=NQ$29,NI19&lt;&gt;""),AND(NK19&gt;=NQ$25,NK19&lt;&gt;"",NM19&gt;=NQ$29,NM19&lt;&gt;""),AND(NN19&gt;=NQ$25,NN19&lt;&gt;"",NP19&gt;=NQ$29,NP19&lt;&gt;""),AND(OL19&gt;=OY$25,OL19&lt;&gt;"",ON19&gt;=OY$29,ON19&lt;&gt;""),AND(OO19&gt;=OY$25,OO19&lt;&gt;"",OQ19&gt;=OY$29,OQ19&lt;&gt;""),AND(OS19&gt;=OY$25,OS19&lt;&gt;"",OU19&gt;=OY$29,OU19&lt;&gt;""),AND(OV19&gt;=OY$25,OV19&lt;&gt;"",OX19&gt;=OY$29,OX19&lt;&gt;""),AND(PT19&gt;=QG$25,PT19&lt;&gt;"",PV19&gt;=QG$29,PV19&lt;&gt;""),AND(PW19&gt;=QG$25,PW19&lt;&gt;"",PY19&gt;=QG$29,PY19&lt;&gt;""),AND(QA19&gt;=QG$25,QA19&lt;&gt;"",QC19&gt;=QG$29,QC19&lt;&gt;""),AND(QD19&gt;=QG$25,QD19&lt;&gt;"",QF19&gt;=QG$29,QF19&lt;&gt;""),AND(RB19&gt;=RO$25,RB19&lt;&gt;"",RD19&gt;=RO$29,RD19&lt;&gt;""),AND(RE19&gt;=RO$25,RE19&lt;&gt;"",RG19&gt;=RO$29,RG19&lt;&gt;""),AND(RI19&gt;=RO$25,RI19&lt;&gt;"",RK19&gt;=RO$29,RK19&lt;&gt;""),AND(RL19&gt;=RO$25,RL19&lt;&gt;"",RN19&gt;=RO$29,RN19&lt;&gt;""),AND(SJ19&gt;=SW$25,SJ19&lt;&gt;"",SL19&gt;=SW$29,SL19&lt;&gt;""),AND(SM19&gt;=SW$25,SM19&lt;&gt;"",SO19&gt;=SW$29,SO19&lt;&gt;""),AND(SQ19&gt;=SW$25,SQ19&lt;&gt;"",SS19&gt;=SW$29,SS19&lt;&gt;""),AND(ST19&gt;=SW$25,ST19&lt;&gt;"",SV19&gt;=SW$29,SV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EB19&gt;=EM$29,EB19&lt;&gt;""),AND(EE19&gt;=EM$29,EE19&lt;&gt;""),AND(EI19&gt;=EM$29,EI19&lt;&gt;""),AND(EL19&gt;=EM$29,EL19&lt;&gt;""),AND(FJ19&gt;=FU$29,FJ19&lt;&gt;""),AND(FM19&gt;=FU$29,FM19&lt;&gt;""),AND(FQ19&gt;=FU$29,FQ19&lt;&gt;""),AND(FT19&gt;=FU$29,FT19&lt;&gt;""),AND(GR19&gt;=HC$29,GR19&lt;&gt;""),AND(GU19&gt;=HC$29,GU19&lt;&gt;""),AND(GY19&gt;=HC$29,GY19&lt;&gt;""),AND(HB19&gt;=HC$29,HB19&lt;&gt;""),AND(HZ19&gt;=IK$29,HZ19&lt;&gt;""),AND(IC19&gt;=IK$29,IC19&lt;&gt;""),AND(IG19&gt;=IK$29,IG19&lt;&gt;""),AND(IJ19&gt;=IK$29,IJ19&lt;&gt;""),AND(JH19&gt;=JS$29,JH19&lt;&gt;""),AND(JK19&gt;=JS$29,JK19&lt;&gt;""),AND(JO19&gt;=JS$29,JO19&lt;&gt;""),AND(JR19&gt;=JS$29,JR19&lt;&gt;""),AND(KP19&gt;=LA$29,KP19&lt;&gt;""),AND(KS19&gt;=LA$29,KS19&lt;&gt;""),AND(KW19&gt;=LA$29,KW19&lt;&gt;""),AND(KZ19&gt;=LA$29,KZ19&lt;&gt;""),AND(LX19&gt;=MI$29,LX19&lt;&gt;""),AND(MA19&gt;=MI$29,MA19&lt;&gt;""),AND(ME19&gt;=MI$29,ME19&lt;&gt;""),AND(MH19&gt;=MI$29,MH19&lt;&gt;""),AND(NF19&gt;=NQ$29,NF19&lt;&gt;""),AND(NI19&gt;=NQ$29,NI19&lt;&gt;""),AND(NM19&gt;=NQ$29,NM19&lt;&gt;""),AND(NP19&gt;=NQ$29,NP19&lt;&gt;""),AND(ON19&gt;=OY$29,ON19&lt;&gt;""),AND(OQ19&gt;=OY$29,OQ19&lt;&gt;""),AND(OU19&gt;=OY$29,OU19&lt;&gt;""),AND(OX19&gt;=OY$29,OX19&lt;&gt;""),AND(PV19&gt;=QG$29,PV19&lt;&gt;""),AND(PY19&gt;=QG$29,PY19&lt;&gt;""),AND(QC19&gt;=QG$29,QC19&lt;&gt;""),AND(QF19&gt;=QG$29,QF19&lt;&gt;""),AND(RD19&gt;=RO$29,RD19&lt;&gt;""),AND(RG19&gt;=RO$29,RG19&lt;&gt;""),AND(RK19&gt;=RO$29,RK19&lt;&gt;""),AND(RN19&gt;=RO$29,RN19&lt;&gt;""),AND(SL19&gt;=SW$29,SL19&lt;&gt;""),AND(SO19&gt;=SW$29,SO19&lt;&gt;""),AND(SS19&gt;=SW$29,SS19&lt;&gt;""),AND(SV19&gt;=SW$29,SV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Z19&gt;=EM$28,DZ19&lt;&gt;"",EB19&gt;=EM$32,EB19&lt;&gt;""),AND(EC19&gt;=EM$28,EC19&lt;&gt;"",EE19&gt;=EM$32,EE19&lt;&gt;""),AND(EG19&gt;=EM$28,EG19&lt;&gt;"",EI19&gt;=EM$32,EI19&lt;&gt;""),AND(EJ19&gt;=EM$28,EJ19&lt;&gt;"",EL19&gt;=EM$32,EL19&lt;&gt;""),AND(FH19&gt;=FU$28,FH19&lt;&gt;"",FJ19&gt;=FU$32,FJ19&lt;&gt;""),AND(FK19&gt;=FU$28,FK19&lt;&gt;"",FM19&gt;=FU$32,FM19&lt;&gt;""),AND(FO19&gt;=FU$28,FO19&lt;&gt;"",FQ19&gt;=FU$32,FQ19&lt;&gt;""),AND(FR19&gt;=FU$28,FR19&lt;&gt;"",FT19&gt;=FU$32,FT19&lt;&gt;""),AND(GP19&gt;=HC$28,GP19&lt;&gt;"",GR19&gt;=HC$32,GR19&lt;&gt;""),AND(GS19&gt;=HC$28,GS19&lt;&gt;"",GU19&gt;=HC$32,GU19&lt;&gt;""),AND(GW19&gt;=HC$28,GW19&lt;&gt;"",GY19&gt;=HC$32,GY19&lt;&gt;""),AND(GZ19&gt;=HC$28,GZ19&lt;&gt;"",HB19&gt;=HC$32,HB19&lt;&gt;""),AND(HX19&gt;=IK$28,HX19&lt;&gt;"",HZ19&gt;=IK$32,HZ19&lt;&gt;""),AND(IA19&gt;=IK$28,IA19&lt;&gt;"",IC19&gt;=IK$32,IC19&lt;&gt;""),AND(IE19&gt;=IK$28,IE19&lt;&gt;"",IG19&gt;=IK$32,IG19&lt;&gt;""),AND(IH19&gt;=IK$28,IH19&lt;&gt;"",IJ19&gt;=IK$32,IJ19&lt;&gt;""),AND(JF19&gt;=JS$28,JF19&lt;&gt;"",JH19&gt;=JS$32,JH19&lt;&gt;""),AND(JI19&gt;=JS$28,JI19&lt;&gt;"",JK19&gt;=JS$32,JK19&lt;&gt;""),AND(JM19&gt;=JS$28,JM19&lt;&gt;"",JO19&gt;=JS$32,JO19&lt;&gt;""),AND(JP19&gt;=JS$28,JP19&lt;&gt;"",JR19&gt;=JS$32,JR19&lt;&gt;""),AND(KN19&gt;=LA$28,KN19&lt;&gt;"",KP19&gt;=LA$32,KP19&lt;&gt;""),AND(KQ19&gt;=LA$28,KQ19&lt;&gt;"",KS19&gt;=LA$32,KS19&lt;&gt;""),AND(KU19&gt;=LA$28,KU19&lt;&gt;"",KW19&gt;=LA$32,KW19&lt;&gt;""),AND(KX19&gt;=LA$28,KX19&lt;&gt;"",KZ19&gt;=LA$32,KZ19&lt;&gt;""),AND(LV19&gt;=MI$28,LV19&lt;&gt;"",LX19&gt;=MI$32,LX19&lt;&gt;""),AND(LY19&gt;=MI$28,LY19&lt;&gt;"",MA19&gt;=MI$32,MA19&lt;&gt;""),AND(MC19&gt;=MI$28,MC19&lt;&gt;"",ME19&gt;=MI$32,ME19&lt;&gt;""),AND(MF19&gt;=MI$28,MF19&lt;&gt;"",MH19&gt;=MI$32,MH19&lt;&gt;""),AND(ND19&gt;=NQ$28,ND19&lt;&gt;"",NF19&gt;=NQ$32,NF19&lt;&gt;""),AND(NG19&gt;=NQ$28,NG19&lt;&gt;"",NI19&gt;=NQ$32,NI19&lt;&gt;""),AND(NK19&gt;=NQ$28,NK19&lt;&gt;"",NM19&gt;=NQ$32,NM19&lt;&gt;""),AND(NN19&gt;=NQ$28,NN19&lt;&gt;"",NP19&gt;=NQ$32,NP19&lt;&gt;""),AND(OL19&gt;=OY$28,OL19&lt;&gt;"",ON19&gt;=OY$32,ON19&lt;&gt;""),AND(OO19&gt;=OY$28,OO19&lt;&gt;"",OQ19&gt;=OY$32,OQ19&lt;&gt;""),AND(OS19&gt;=OY$28,OS19&lt;&gt;"",OU19&gt;=OY$32,OU19&lt;&gt;""),AND(OV19&gt;=OY$28,OV19&lt;&gt;"",OX19&gt;=OY$32,OX19&lt;&gt;""),AND(PT19&gt;=QG$28,PT19&lt;&gt;"",PV19&gt;=QG$32,PV19&lt;&gt;""),AND(PW19&gt;=QG$28,PW19&lt;&gt;"",PY19&gt;=QG$32,PY19&lt;&gt;""),AND(QA19&gt;=QG$28,QA19&lt;&gt;"",QC19&gt;=QG$32,QC19&lt;&gt;""),AND(QD19&gt;=QG$28,QD19&lt;&gt;"",QF19&gt;=QG$32,QF19&lt;&gt;""),AND(RB19&gt;=RO$28,RB19&lt;&gt;"",RD19&gt;=RO$32,RD19&lt;&gt;""),AND(RE19&gt;=RO$28,RE19&lt;&gt;"",RG19&gt;=RO$32,RG19&lt;&gt;""),AND(RI19&gt;=RO$28,RI19&lt;&gt;"",RK19&gt;=RO$32,RK19&lt;&gt;""),AND(RL19&gt;=RO$28,RL19&lt;&gt;"",RN19&gt;=RO$32,RN19&lt;&gt;""),AND(SJ19&gt;=SW$28,SJ19&lt;&gt;"",SL19&gt;=SW$32,SL19&lt;&gt;""),AND(SM19&gt;=SW$28,SM19&lt;&gt;"",SO19&gt;=SW$32,SO19&lt;&gt;""),AND(SQ19&gt;=SW$28,SQ19&lt;&gt;"",SS19&gt;=SW$32,SS19&lt;&gt;""),AND(ST19&gt;=SW$28,ST19&lt;&gt;"",SV19&gt;=SW$32,SV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Z19&gt;=EM$27,DZ19&lt;&gt;"",EB19&gt;=EM$31,EB19&lt;&gt;""),AND(EC19&gt;=EM$27,EC19&lt;&gt;"",EE19&gt;=EM$31,EE19&lt;&gt;""),AND(EG19&gt;=EM$27,EG19&lt;&gt;"",EI19&gt;=EM$31,EI19&lt;&gt;""),AND(EJ19&gt;=EM$27,EJ19&lt;&gt;"",EL19&gt;=EM$31,EL19&lt;&gt;""),AND(FH19&gt;=FU$27,FH19&lt;&gt;"",FJ19&gt;=FU$31,FJ19&lt;&gt;""),AND(FK19&gt;=FU$27,FK19&lt;&gt;"",FM19&gt;=FU$31,FM19&lt;&gt;""),AND(FO19&gt;=FU$27,FO19&lt;&gt;"",FQ19&gt;=FU$31,FQ19&lt;&gt;""),AND(FR19&gt;=FU$27,FR19&lt;&gt;"",FT19&gt;=FU$31,FT19&lt;&gt;""),AND(GP19&gt;=HC$27,GP19&lt;&gt;"",GR19&gt;=HC$31,GR19&lt;&gt;""),AND(GS19&gt;=HC$27,GS19&lt;&gt;"",GU19&gt;=HC$31,GU19&lt;&gt;""),AND(GW19&gt;=HC$27,GW19&lt;&gt;"",GY19&gt;=HC$31,GY19&lt;&gt;""),AND(GZ19&gt;=HC$27,GZ19&lt;&gt;"",HB19&gt;=HC$31,HB19&lt;&gt;""),AND(HX19&gt;=IK$27,HX19&lt;&gt;"",HZ19&gt;=IK$31,HZ19&lt;&gt;""),AND(IA19&gt;=IK$27,IA19&lt;&gt;"",IC19&gt;=IK$31,IC19&lt;&gt;""),AND(IE19&gt;=IK$27,IE19&lt;&gt;"",IG19&gt;=IK$31,IG19&lt;&gt;""),AND(IH19&gt;=IK$27,IH19&lt;&gt;"",IJ19&gt;=IK$31,IJ19&lt;&gt;""),AND(JF19&gt;=JS$27,JF19&lt;&gt;"",JH19&gt;=JS$31,JH19&lt;&gt;""),AND(JI19&gt;=JS$27,JI19&lt;&gt;"",JK19&gt;=JS$31,JK19&lt;&gt;""),AND(JM19&gt;=JS$27,JM19&lt;&gt;"",JO19&gt;=JS$31,JO19&lt;&gt;""),AND(JP19&gt;=JS$27,JP19&lt;&gt;"",JR19&gt;=JS$31,JR19&lt;&gt;""),AND(KN19&gt;=LA$27,KN19&lt;&gt;"",KP19&gt;=LA$31,KP19&lt;&gt;""),AND(KQ19&gt;=LA$27,KQ19&lt;&gt;"",KS19&gt;=LA$31,KS19&lt;&gt;""),AND(KU19&gt;=LA$27,KU19&lt;&gt;"",KW19&gt;=LA$31,KW19&lt;&gt;""),AND(KX19&gt;=LA$27,KX19&lt;&gt;"",KZ19&gt;=LA$31,KZ19&lt;&gt;""),AND(LV19&gt;=MI$27,LV19&lt;&gt;"",LX19&gt;=MI$31,LX19&lt;&gt;""),AND(LY19&gt;=MI$27,LY19&lt;&gt;"",MA19&gt;=MI$31,MA19&lt;&gt;""),AND(MC19&gt;=MI$27,MC19&lt;&gt;"",ME19&gt;=MI$31,ME19&lt;&gt;""),AND(MF19&gt;=MI$27,MF19&lt;&gt;"",MH19&gt;=MI$31,MH19&lt;&gt;""),AND(ND19&gt;=NQ$27,ND19&lt;&gt;"",NF19&gt;=NQ$31,NF19&lt;&gt;""),AND(NG19&gt;=NQ$27,NG19&lt;&gt;"",NI19&gt;=NQ$31,NI19&lt;&gt;""),AND(NK19&gt;=NQ$27,NK19&lt;&gt;"",NM19&gt;=NQ$31,NM19&lt;&gt;""),AND(NN19&gt;=NQ$27,NN19&lt;&gt;"",NP19&gt;=NQ$31,NP19&lt;&gt;""),AND(OL19&gt;=OY$27,OL19&lt;&gt;"",ON19&gt;=OY$31,ON19&lt;&gt;""),AND(OO19&gt;=OY$27,OO19&lt;&gt;"",OQ19&gt;=OY$31,OQ19&lt;&gt;""),AND(OS19&gt;=OY$27,OS19&lt;&gt;"",OU19&gt;=OY$31,OU19&lt;&gt;""),AND(OV19&gt;=OY$27,OV19&lt;&gt;"",OX19&gt;=OY$31,OX19&lt;&gt;""),AND(PT19&gt;=QG$27,PT19&lt;&gt;"",PV19&gt;=QG$31,PV19&lt;&gt;""),AND(PW19&gt;=QG$27,PW19&lt;&gt;"",PY19&gt;=QG$31,PY19&lt;&gt;""),AND(QA19&gt;=QG$27,QA19&lt;&gt;"",QC19&gt;=QG$31,QC19&lt;&gt;""),AND(QD19&gt;=QG$27,QD19&lt;&gt;"",QF19&gt;=QG$31,QF19&lt;&gt;""),AND(RB19&gt;=RO$27,RB19&lt;&gt;"",RD19&gt;=RO$31,RD19&lt;&gt;""),AND(RE19&gt;=RO$27,RE19&lt;&gt;"",RG19&gt;=RO$31,RG19&lt;&gt;""),AND(RI19&gt;=RO$27,RI19&lt;&gt;"",RK19&gt;=RO$31,RK19&lt;&gt;""),AND(RL19&gt;=RO$27,RL19&lt;&gt;"",RN19&gt;=RO$31,RN19&lt;&gt;""),AND(SJ19&gt;=SW$27,SJ19&lt;&gt;"",SL19&gt;=SW$31,SL19&lt;&gt;""),AND(SM19&gt;=SW$27,SM19&lt;&gt;"",SO19&gt;=SW$31,SO19&lt;&gt;""),AND(SQ19&gt;=SW$27,SQ19&lt;&gt;"",SS19&gt;=SW$31,SS19&lt;&gt;""),AND(ST19&gt;=SW$27,ST19&lt;&gt;"",SV19&gt;=SW$31,SV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Z19&gt;=EM$26,DZ19&lt;&gt;"",EB19&gt;=EM$30,EB19&lt;&gt;""),AND(EC19&gt;=EM$26,EC19&lt;&gt;"",EE19&gt;=EM$30,EE19&lt;&gt;""),AND(EG19&gt;=EM$26,EG19&lt;&gt;"",EI19&gt;=EM$30,EI19&lt;&gt;""),AND(EJ19&gt;=EM$26,EJ19&lt;&gt;"",EL19&gt;=EM$30,EL19&lt;&gt;""),AND(FH19&gt;=FU$26,FH19&lt;&gt;"",FJ19&gt;=FU$30,FJ19&lt;&gt;""),AND(FK19&gt;=FU$26,FK19&lt;&gt;"",FM19&gt;=FU$30,FM19&lt;&gt;""),AND(FO19&gt;=FU$26,FO19&lt;&gt;"",FQ19&gt;=FU$30,FQ19&lt;&gt;""),AND(FR19&gt;=FU$26,FR19&lt;&gt;"",FT19&gt;=FU$30,FT19&lt;&gt;""),AND(GP19&gt;=HC$26,GP19&lt;&gt;"",GR19&gt;=HC$30,GR19&lt;&gt;""),AND(GS19&gt;=HC$26,GS19&lt;&gt;"",GU19&gt;=HC$30,GU19&lt;&gt;""),AND(GW19&gt;=HC$26,GW19&lt;&gt;"",GY19&gt;=HC$30,GY19&lt;&gt;""),AND(GZ19&gt;=HC$26,GZ19&lt;&gt;"",HB19&gt;=HC$30,HB19&lt;&gt;""),AND(HX19&gt;=IK$26,HX19&lt;&gt;"",HZ19&gt;=IK$30,HZ19&lt;&gt;""),AND(IA19&gt;=IK$26,IA19&lt;&gt;"",IC19&gt;=IK$30,IC19&lt;&gt;""),AND(IE19&gt;=IK$26,IE19&lt;&gt;"",IG19&gt;=IK$30,IG19&lt;&gt;""),AND(IH19&gt;=IK$26,IH19&lt;&gt;"",IJ19&gt;=IK$30,IJ19&lt;&gt;""),AND(JF19&gt;=JS$26,JF19&lt;&gt;"",JH19&gt;=JS$30,JH19&lt;&gt;""),AND(JI19&gt;=JS$26,JI19&lt;&gt;"",JK19&gt;=JS$30,JK19&lt;&gt;""),AND(JM19&gt;=JS$26,JM19&lt;&gt;"",JO19&gt;=JS$30,JO19&lt;&gt;""),AND(JP19&gt;=JS$26,JP19&lt;&gt;"",JR19&gt;=JS$30,JR19&lt;&gt;""),AND(KN19&gt;=LA$26,KN19&lt;&gt;"",KP19&gt;=LA$30,KP19&lt;&gt;""),AND(KQ19&gt;=LA$26,KQ19&lt;&gt;"",KS19&gt;=LA$30,KS19&lt;&gt;""),AND(KU19&gt;=LA$26,KU19&lt;&gt;"",KW19&gt;=LA$30,KW19&lt;&gt;""),AND(KX19&gt;=LA$26,KX19&lt;&gt;"",KZ19&gt;=LA$30,KZ19&lt;&gt;""),AND(LV19&gt;=MI$26,LV19&lt;&gt;"",LX19&gt;=MI$30,LX19&lt;&gt;""),AND(LY19&gt;=MI$26,LY19&lt;&gt;"",MA19&gt;=MI$30,MA19&lt;&gt;""),AND(MC19&gt;=MI$26,MC19&lt;&gt;"",ME19&gt;=MI$30,ME19&lt;&gt;""),AND(MF19&gt;=MI$26,MF19&lt;&gt;"",MH19&gt;=MI$30,MH19&lt;&gt;""),AND(ND19&gt;=NQ$26,ND19&lt;&gt;"",NF19&gt;=NQ$30,NF19&lt;&gt;""),AND(NG19&gt;=NQ$26,NG19&lt;&gt;"",NI19&gt;=NQ$30,NI19&lt;&gt;""),AND(NK19&gt;=NQ$26,NK19&lt;&gt;"",NM19&gt;=NQ$30,NM19&lt;&gt;""),AND(NN19&gt;=NQ$26,NN19&lt;&gt;"",NP19&gt;=NQ$30,NP19&lt;&gt;""),AND(OL19&gt;=OY$26,OL19&lt;&gt;"",ON19&gt;=OY$30,ON19&lt;&gt;""),AND(OO19&gt;=OY$26,OO19&lt;&gt;"",OQ19&gt;=OY$30,OQ19&lt;&gt;""),AND(OS19&gt;=OY$26,OS19&lt;&gt;"",OU19&gt;=OY$30,OU19&lt;&gt;""),AND(OV19&gt;=OY$26,OV19&lt;&gt;"",OX19&gt;=OY$30,OX19&lt;&gt;""),AND(PT19&gt;=QG$26,PT19&lt;&gt;"",PV19&gt;=QG$30,PV19&lt;&gt;""),AND(PW19&gt;=QG$26,PW19&lt;&gt;"",PY19&gt;=QG$30,PY19&lt;&gt;""),AND(QA19&gt;=QG$26,QA19&lt;&gt;"",QC19&gt;=QG$30,QC19&lt;&gt;""),AND(QD19&gt;=QG$26,QD19&lt;&gt;"",QF19&gt;=QG$30,QF19&lt;&gt;""),AND(RB19&gt;=RO$26,RB19&lt;&gt;"",RD19&gt;=RO$30,RD19&lt;&gt;""),AND(RE19&gt;=RO$26,RE19&lt;&gt;"",RG19&gt;=RO$30,RG19&lt;&gt;""),AND(RI19&gt;=RO$26,RI19&lt;&gt;"",RK19&gt;=RO$30,RK19&lt;&gt;""),AND(RL19&gt;=RO$26,RL19&lt;&gt;"",RN19&gt;=RO$30,RN19&lt;&gt;""),AND(SJ19&gt;=SW$26,SJ19&lt;&gt;"",SL19&gt;=SW$30,SL19&lt;&gt;""),AND(SM19&gt;=SW$26,SM19&lt;&gt;"",SO19&gt;=SW$30,SO19&lt;&gt;""),AND(SQ19&gt;=SW$26,SQ19&lt;&gt;"",SS19&gt;=SW$30,SS19&lt;&gt;""),AND(ST19&gt;=SW$26,ST19&lt;&gt;"",SV19&gt;=SW$30,SV19&lt;&gt;"")),"P","")</f>
        <v/>
      </c>
      <c r="J19" s="13">
        <f>IF(COUNT(AQ19,AT19,BR19,BU19,CS19,CV19)&gt;0,LARGE((AQ19,AT19,BR19,BU19,CS19,CV19),1),0)</f>
        <v>51.33</v>
      </c>
      <c r="K19" s="13" t="str">
        <f>IF(J19="","",IF(OR(J19=CS19,J19=CV19),$CA$1,IF(OR(J19=BR19,J19=BU19),$AZ$1,IF(OR(J19=AQ19,J19=AT19),$Y$1,""))))</f>
        <v>2021 Elite Canada</v>
      </c>
      <c r="L19" s="13">
        <f>IF(COUNT(AQ19,AT19,BR19,BU19,CS19,CV19)&gt;1,LARGE((AQ19,AT19,BR19,BU19,CS19,CV19),2),0)</f>
        <v>43.92</v>
      </c>
      <c r="M19" s="13" t="str">
        <f>IF(L19="","",IF(OR(L19=CS19,L19=CV19),$CA$1,IF(OR(L19=BR19,L19=BU19),$AZ$1,IF(OR(L19=AQ19,L19=AT19),$Y$1,""))))</f>
        <v>2021 Canadian Championships</v>
      </c>
      <c r="N19" s="13">
        <f>IF(COUNT(AQ19,AT19,BR19,BU19,CS19,CV19)&gt;2,LARGE((AQ19,AT19,BR19,BU19,CS19,CV19),3),0)</f>
        <v>6.1150000000000002</v>
      </c>
      <c r="O19" s="13" t="str">
        <f>IF(N19="","",IF(OR(N19=CS19,N19=CV19),$CA$1,IF(OR(N19=BR19,N19=BU19),$AZ$1,IF(OR(N19=AQ19,N19=AT19),$Y$1,""))))</f>
        <v>2021 Canadian Championships</v>
      </c>
      <c r="P19" s="13">
        <f>IF(MAX(AX19,BY19,CZ19)&gt;0,MAX(AX19,BY19,CZ19),0)</f>
        <v>32.74</v>
      </c>
      <c r="Q19" s="13" t="str">
        <f>IF(P19="","",IF(P19=CZ19,$CA$1,IF(P19=BY19,$AZ$1,IF(P19=AX19,$Y$1,""))))</f>
        <v>2021 Elite Canada</v>
      </c>
      <c r="R19" s="13">
        <f>IF(MAX(AO19,AR19,AV19,BP19,BS19,BW19,CQ19,CT19,CX19)&gt;0,MAX(AO19,AR19,BP19,BS19,CQ19,CT19,AV19),0)</f>
        <v>12.6</v>
      </c>
      <c r="S19" s="13" t="str">
        <f>IF(R19=0,"",IF(OR(R19=CQ19,R19=CT19,R19=CX19),$CA$1,IF(OR(R19=BP19,R19=BS19,R19=BW19),$AZ$1,IF(OR(R19=AO19,R19=AR19,R19=AV19),$Y$1,""))))</f>
        <v>2021 Elite Canada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),0)</f>
        <v>0</v>
      </c>
      <c r="U19" s="13" t="str">
        <f>IF(T19=0,"",IF(OR(T19=CR19,T19=CU19,T19=CY19),$CA$1,IF(OR(T19=BQ19,T19=BT19,T19=BX19),$AZ$1,IF(OR(T19=AP19,T19=AS19,T19=AW19),$Y$1,""))))</f>
        <v/>
      </c>
      <c r="V19" s="13" t="str">
        <f>IF(MAX(DB19,DC19,DD19,DE19)&gt;0,MAX(DB19,DC19,DD19,DE19),"")</f>
        <v/>
      </c>
      <c r="W19" s="16" t="str">
        <f>IF(V19="","",IF(V19=DB19,"("&amp;DB$2&amp;")",IF(V19=DC19,"("&amp;DC$2&amp;")",IF(V19=DD19,"("&amp;DD$2&amp;")",IF(V19=DE19,"("&amp;DE$2&amp;")")))))</f>
        <v/>
      </c>
      <c r="X19" s="13" t="str">
        <f>IF(V19="","",IF(V19=DB19,IF(V19+IF(L19="",0,L19)=SP19,$RP$1,IF(V19+IF(L19="",0,L19)=RH19,$QH$1,IF(V19+IF(L19="",0,L19)=PZ19,$OZ$1,IF(V19+IF(L19="",0,L19)=OR19,$NR$1,IF(V19+IF(L19="",0,L19)=NJ19,$MJ$1,IF(V19+IF(L19="",0,L19)=MB19,$LB$1,IF(V19+IF(L19="",0,L19)=KT19,$JT$1,IF(V19+IF(L19="",0,L19)=JL19,$IL$1,IF(V19+IF(L19="",0,L19)=ID19,$HD$1,IF(V19+IF(L19="",0,L19)=GV19,$FV$1,IF(V19+IF(L19="",0,L19)=FN19,$EN$1,IF(V19+IF(L19="",0,L19)=EF19,$DF$1)))))))))))),IF(V19=DC19,IF(V19+IF(P19="",0,P19)=SV19,$RP$1,IF(V19+IF(P19="",0,P19)=RN19,$QH$1,IF(V19+IF(P19="",0,P19)=QF19,$OZ$1,IF(V19+IF(P19="",0,P19)=OX19,$NR$1,IF(V19+IF(P19="",0,P19)=NP19,$MJ$1,IF(V19+IF(P19="",0,P19)=MH19,$LB$1,IF(V19+IF(P19="",0,P19)=KZ19,$JT$1,IF(V19+IF(P19="",0,P19)=JR19,$IL$1,IF(V19+IF(P19="",0,P19)=IJ19,$HD$1,IF(V19+IF(P19="",0,P19)=HB19,$FV$1,IF(V19+IF(P19="",0,P19)=FT19,$EN$1,IF(V19+IF(P19="",0,P19)=EL19,$DF$1)))))))))))),IF(V19=DD19,IF(V19+IF(R19="",0,R19)=MAX(SJ19,SM19,SQ19,ST19),$RP$1,IF(V19+IF(R19="",0,R19)=MAX(RB19,RE19,RI19,RL19),$QH$1,IF(V19+IF(R19="",0,R19)=MAX(PT19,PW19,QA19,QD19),$OZ$1,IF(V19+IF(R19="",0,R19)=MAX(OL19,OO19,OS19,OV19),$NR$1,IF(V19+IF(R19="",0,R19)=MAX(ND19,NG19,NK19,NN19),$MJ$1,IF(V19+IF(R19="",0,R19)=MAX(LV19,LY19,MC19,MF19),$LB$1,IF(V19+IF(R19="",0,R19)=MAX(KN19,KQ19,KU19,KX19),$JT$1,IF(V19+IF(R19="",0,R19)=MAX(JF19,JI19,JM19,JP19),$IL$1,IF(V19+IF(R19="",0,R19)=MAX(HX19,IA19,IE19,IH19),$HD$1,IF(V19+IF(R19="",0,R19)=MAX(GP19,GS19,GW19,GZ19),$FV$1,IF(V19+IF(R19="",0,R19)=MAX(FH19,FK19,FO19,FR19),$EN$1,IF(V19+IF(R19="",0,R19)=MAX(DZ19,EC19,EG19,EJ19),$DF$1)))))))))))),IF(V19=DE19,IF(V19+IF(T19="",0,T19)=MAX(SK19,SN19,SR19,SU19),$RP$1,IF(V19+IF(T19="",0,T19)=MAX(RC19,RF19,RJ19,RM19),$QH$1,IF(V19+IF(T19="",0,T19)=MAX(PU19,PX19,QB19,QE19),$OZ$1,IF(V19+IF(T19="",0,T19)=MAX(OM19,OP19,OT19,OW19),$NR$1,IF(V19+IF(T19="",0,T19)=MAX(NE19,NH19,NL19,NO19),$MJ$1,IF(V19+IF(T19="",0,T19)=MAX(LW19,LZ19,MD19,MG19),$LB$1,IF(V19+IF(T19="",0,T19)=MAX(KO19,KR19,KV19,KY19),$JT$1,IF(V19+IF(T19="",0,T19)=MAX(JG19,JJ19,JN19,JQ19),$IL$1,IF(V19+IF(T19="",0,T19)=MAX(HY19,IB19,IF19,II19),$HD$1,IF(V19+IF(T19="",0,T19)=MAX(GQ19,GT19,GX19,HA19),$FV$1,IF(V19+IF(T19="",0,T19)=MAX(FI19,FL19,FP19,FS19),$EN$1,IF(V19+IF(T19="",0,T19)=MAX(EA19,ED19,EH19,EK19),$DF$1)))))))))))))))))</f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>IF(AA19&gt;0,AA19,"")</f>
        <v>12.6</v>
      </c>
      <c r="AP19" s="74">
        <f>IF(AB19&gt;0,AB19,"")</f>
        <v>15.73</v>
      </c>
      <c r="AQ19" s="76">
        <f>IF(SUM(Y19:AB19)-AC19&gt;0,SUM(Y19:AB19)-AC19,"")</f>
        <v>51.33</v>
      </c>
      <c r="AR19" s="76">
        <f>IF(AF19&gt;0,AF19,"")</f>
        <v>2</v>
      </c>
      <c r="AS19" s="76">
        <f>IF(AG19&gt;0,AG19,"")</f>
        <v>1.7350000000000001</v>
      </c>
      <c r="AT19" s="76">
        <f>IF(SUM(AD19:AG19)-AH19&gt;0,SUM(AD19:AG19)-AH19,"")</f>
        <v>5.9350000000000005</v>
      </c>
      <c r="AU19" s="76">
        <f>IF(AQ19="","",MAX(AQ19,AT19))</f>
        <v>51.33</v>
      </c>
      <c r="AV19" s="76">
        <f>IF(AK19&gt;0,AK19,"")</f>
        <v>8.6</v>
      </c>
      <c r="AW19" s="76">
        <f>IF(AL19&gt;0,AL19,"")</f>
        <v>9.74</v>
      </c>
      <c r="AX19" s="76">
        <f>IF(SUM(AI19:AL19)-AM19&gt;0,SUM(AI19:AL19)-AM19,"")</f>
        <v>32.74</v>
      </c>
      <c r="AY19" s="76">
        <f>IF(SUM(AU19,AX19)&gt;0,SUM(AU19,AX19),"")</f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>IF(BB19&gt;0,BB19,"")</f>
        <v>2</v>
      </c>
      <c r="BQ19" s="75">
        <f>IF(BC19&gt;0,BC19,"")</f>
        <v>1.7150000000000001</v>
      </c>
      <c r="BR19" s="16">
        <f>IF(SUM(AZ19:BC19)-BD19&gt;0,SUM(AZ19:BC19)-BD19,"")</f>
        <v>6.1150000000000002</v>
      </c>
      <c r="BS19" s="16">
        <f>IF(BG19&gt;0,BG19,"")</f>
        <v>11</v>
      </c>
      <c r="BT19" s="16">
        <f>IF(BH19&gt;0,BH19,"")</f>
        <v>13.22</v>
      </c>
      <c r="BU19" s="16">
        <f>IF(SUM(BE19:BH19)-BI19&gt;0,SUM(BE19:BH19)-BI19,"")</f>
        <v>43.92</v>
      </c>
      <c r="BV19" s="16">
        <f>IF(BR19="","",MAX(BR19,BU19))</f>
        <v>43.92</v>
      </c>
      <c r="BW19" s="16">
        <f>IF(BL19&gt;0,BL19,"")</f>
        <v>4.5</v>
      </c>
      <c r="BX19" s="16">
        <f>IF(BM19&gt;0,BM19,"")</f>
        <v>5.03</v>
      </c>
      <c r="BY19" s="16">
        <f>IF(SUM(BJ19:BM19)-BN19&gt;0,SUM(BJ19:BM19)-BN19,"")</f>
        <v>16.73</v>
      </c>
      <c r="BZ19" s="16">
        <f>IF(SUM(BV19,BY19)&gt;0,SUM(BV19,BY19),"")</f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IF(L19&gt;=0.001,IF(MAX(EF19,FN19,GV19,ID19,JL19,KT19,MB19,NJ19,OR19,PZ19,RH19,SP19)-IF(L19="",0,L19)&gt;0.001,MAX(EF19,FN19,GV19,ID19,JL19,KT19,MB19,NJ19,OR19,PZ19,RH19,SP19)-IF(L19="",0,L19),""),"")</f>
        <v/>
      </c>
      <c r="DC19" s="87" t="str">
        <f>IF(P19&gt;=0.001,IF(MAX(EI19,EL19,FQ19,FT19,GY19,HB19,IG19,IJ19,JO19,JR19,KW19,KZ19,ME19,MH19,NM19,NP19,OU19,OX19,QC19,QF19,RK19,RN19,SS19,SV19)-IF(P19="",0,P19)&gt;0.001,MAX(EI19,EL19,FQ19,FT19,GY19,HB19,IG19,IJ19,JO19,JR19,KW19,KZ19,ME19,MH19,NM19,NP19,OU19,OX19,QC19,QF19,RK19,RN19,SS19,SV19)-IF(P19="",0,P19),""),"")</f>
        <v/>
      </c>
      <c r="DD19" s="87" t="str">
        <f>IF(R19&gt;=0.001,IF(MAX(DZ19,EC19,EG19,EJ19,FH19,FK19,FO19,FR19,GP19,GS19,GW19,GZ19,HX19,IA19,IE19,IH19,JF19,JI19,JM19,JP19,KN19,KQ19,KU19,KX19,LV19,LY19,MC19,MF19,ND19,NG19,NK19,NN19,OL19,OO19,OS19,OV19,PT19,PW19,QA19,QD19,RB19,RE19,RI19,RL19,SJ19,SM19,SQ19,ST19)-IF(R19="",0,R19)&gt;0.001,MAX(DZ19,EC19,EG19,EJ19,FH19,FK19,FO19,FR19,GP19,GS19,GW19,GZ19,HX19,IA19,IE19,IH19,JF19,JI19,JM19,JP19,KN19,KQ19,KU19,KX19,LV19,LY19,MC19,MF19,ND19,NG19,NK19,NN19,OL19,OO19,OS19,OV19,PT19,PW19,QA19,QD19,RB19,RE19,RI19,RL19,SJ19,SM19,SQ19,ST19)-IF(R19="",0,R19),""),"")</f>
        <v/>
      </c>
      <c r="DE19" s="87" t="str">
        <f>IF(T19&gt;=0.001,IF(MAX(IF(DZ19&gt;=$EM$25,EA19,0),IF(EC19&gt;=$EM$25,ED19,0),IF(EG19&gt;=$EM$25,EH19,0),IF(EJ19&gt;=$EM$25,EK19,0),IF(FH19&gt;=$FU$25,FI19,0),IF(FK19&gt;=$FU$25,FL19,0),IF(FO19&gt;=$FU$25,FP19,0),IF(FR19&gt;=$FU$25,FS19,0),IF(GP19&gt;=$HC$25,GQ19,0),IF(GS19&gt;=$HC$25,GT19,0),IF(GW19&gt;=$HC$25,GX19,0),IF(GZ19&gt;=$HC$25,HA19,0),IF(HX19&gt;=$IK$25,HY19,0),IF(IA19&gt;=$IK$25,IB19,0),IF(IE19&gt;=$IK$25,IF19,0),IF(IH19&gt;=$IK$25,II19,0),IF(JF19&gt;=$JS$25,JG19,0),IF(JI19&gt;=$JS$25,JJ19,0),IF(JM19&gt;=$JS$25,JN19,0),IF(JP19&gt;=$JS$25,JQ19,0),IF(KN19&gt;=$LA$25,KO19,0),IF(KQ19&gt;=$LA$25,KR19,0),IF(KU19&gt;=$LA$25,KV19,0),IF(KX19&gt;=$LA$25,KY19,0),IF(LV19&gt;=$MI$25,LW19,0),IF(LY19&gt;=$MI$25,LZ19,0),IF(MC19&gt;=$MI$25,MD19,0),IF(MF19&gt;=$MI$25,MG19,0),IF(ND19&gt;=$NQ$25,NE19,0),IF(NG19&gt;=$NQ$25,NH19,0),IF(NK19&gt;=$NQ$25,NL19,0),IF(NN19&gt;=$NQ$25,NO19,0),IF(OL19&gt;=$OY$25,OM19,0),IF(OO19&gt;=$OY$25,OP19,0),IF(OS19&gt;=$OY$25,OT19,0),IF(OV19&gt;=$OY$25,OW19,0),IF(PT19&gt;=$QG$25,PU19,0),IF(PW19&gt;=$QG$25,PX19,0),IF(QA19&gt;=$QG$25,QB19,0),IF(QD19&gt;=$QG$25,QE19,0),IF(RB19&gt;=$RO$25,RC19,0),IF(RE19&gt;=$RO$25,RF19,0),IF(RI19&gt;=$RO$25,RJ19,0),IF(RL19&gt;=$RO$25,RM19,0),IF(SJ19&gt;=$SW$25,SK19,0),IF(SM19&gt;=$SW$25,SN19,0),IF(SQ19&gt;=$SW$25,SR19,0),IF(ST19&gt;=$SW$25,SU19,0))-IF(T19="",0,T19)&gt;0.001,MAX(IF(DZ19&gt;=$EM$25,EA19,0),IF(EC19&gt;=$EM$25,ED19,0),IF(EG19&gt;=$EM$25,EH19,0),IF(EJ19&gt;=$EM$25,EK19,0),IF(FH19&gt;=$FU$25,FI19,0),IF(FK19&gt;=$FU$25,FL19,0),IF(FO19&gt;=$FU$25,FP19,0),IF(FR19&gt;=$FU$25,FS19,0),IF(GP19&gt;=$HC$25,GQ19,0),IF(GS19&gt;=$HC$25,GT19,0),IF(GW19&gt;=$HC$25,GX19,0),IF(GZ19&gt;=$HC$25,HA19,0),IF(HX19&gt;=$IK$25,HY19,0),IF(IA19&gt;=$IK$25,IB19,0),IF(IE19&gt;=$IK$25,IF19,0),IF(IH19&gt;=$IK$25,II19,0),IF(JF19&gt;=$JS$25,JG19,0),IF(JI19&gt;=$JS$25,JJ19,0),IF(JM19&gt;=$JS$25,JN19,0),IF(JP19&gt;=$JS$25,JQ19,0),IF(KN19&gt;=$LA$25,KO19,0),IF(KQ19&gt;=$LA$25,KR19,0),IF(KU19&gt;=$LA$25,KV19,0),IF(KX19&gt;=$LA$25,KY19,0),IF(LV19&gt;=$MI$25,LW19,0),IF(LY19&gt;=$MI$25,LZ19,0),IF(MC19&gt;=$MI$25,MD19,0),IF(MF19&gt;=$MI$25,MG19,0),IF(ND19&gt;=$NQ$25,NE19,0),IF(NG19&gt;=$NQ$25,NH19,0),IF(NK19&gt;=$NQ$25,NL19,0),IF(NN19&gt;=$NQ$25,NO19,0),IF(OL19&gt;=$OY$25,OM19,0),IF(OO19&gt;=$OY$25,OP19,0),IF(OS19&gt;=$OY$25,OT19,0),IF(OV19&gt;=$OY$25,OW19,0),IF(PT19&gt;=$QG$25,PU19,0),IF(PW19&gt;=$QG$25,PX19,0),IF(QA19&gt;=$QG$25,QB19,0),IF(QD19&gt;=$QG$25,QE19,0),IF(RB19&gt;=$RO$25,RC19,0),IF(RE19&gt;=$RO$25,RF19,0),IF(RI19&gt;=$RO$25,RJ19,0),IF(RL19&gt;=$RO$25,RM19,0),IF(SJ19&gt;=$SW$25,SK19,0),IF(SM19&gt;=$SW$25,SN19,0),IF(SQ19&gt;=$SW$25,SR19,0),IF(ST19&gt;=$SW$25,SU19,0))-IF(T19="",0,T19),""),"")</f>
        <v/>
      </c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76" t="str">
        <f>IF(DH19&gt;0,DH19,"")</f>
        <v/>
      </c>
      <c r="EA19" s="76" t="str">
        <f>IF(DI19&gt;0,DI19,"")</f>
        <v/>
      </c>
      <c r="EB19" s="76" t="str">
        <f>IF(SUM(DF19:DI19)-DJ19&gt;0,SUM(DF19:DI19)-DJ19,"")</f>
        <v/>
      </c>
      <c r="EC19" s="76" t="str">
        <f>IF(DM19&gt;0,DM19,"")</f>
        <v/>
      </c>
      <c r="ED19" s="76" t="str">
        <f>IF(DN19&gt;0,DN19,"")</f>
        <v/>
      </c>
      <c r="EE19" s="76" t="str">
        <f>IF(SUM(DK19:DN19)-DO19&gt;0,SUM(DK19:DN19)-DO19,"")</f>
        <v/>
      </c>
      <c r="EF19" s="76" t="str">
        <f>IF(MAX(EB19,EE19)&gt;0,MAX(EB19,EE19),"")</f>
        <v/>
      </c>
      <c r="EG19" s="76" t="str">
        <f>IF(DR19&gt;0,DR19,"")</f>
        <v/>
      </c>
      <c r="EH19" s="76" t="str">
        <f>IF(DS19&gt;0,DS19,"")</f>
        <v/>
      </c>
      <c r="EI19" s="76" t="str">
        <f>IF(SUM(DP19:DS19)-DT19&gt;0,SUM(DP19:DS19)-DT19,"")</f>
        <v/>
      </c>
      <c r="EJ19" s="76" t="str">
        <f>IF(DW19&gt;0,DW19,"")</f>
        <v/>
      </c>
      <c r="EK19" s="76" t="str">
        <f>IF(DX19&gt;0,DX19,"")</f>
        <v/>
      </c>
      <c r="EL19" s="76" t="str">
        <f>IF(SUM(DU19:DX19)-DY19&gt;0,SUM(DU19:DX19)-DY19,"")</f>
        <v/>
      </c>
      <c r="EM19" s="76" t="str">
        <f>IF(SUM(EF19,EL19)&gt;0,SUM(EF19,EL19),"")</f>
        <v/>
      </c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16" t="str">
        <f>IF(EP19&gt;0,EP19,"")</f>
        <v/>
      </c>
      <c r="FI19" s="16" t="str">
        <f>IF(EQ19&gt;0,EQ19,"")</f>
        <v/>
      </c>
      <c r="FJ19" s="16" t="str">
        <f>IF(SUM(EN19:EQ19)-ER19&gt;0,SUM(EN19:EQ19)-ER19,"")</f>
        <v/>
      </c>
      <c r="FK19" s="16" t="str">
        <f>IF(EU19&gt;0,EU19,"")</f>
        <v/>
      </c>
      <c r="FL19" s="16" t="str">
        <f>IF(EV19&gt;0,EV19,"")</f>
        <v/>
      </c>
      <c r="FM19" s="16" t="str">
        <f>IF(SUM(ES19:EV19)-EW19&gt;0,SUM(ES19:EV19)-EW19,"")</f>
        <v/>
      </c>
      <c r="FN19" s="16" t="str">
        <f>IF(MAX(FJ19,FM19)&gt;0,MAX(FJ19,FM19),"")</f>
        <v/>
      </c>
      <c r="FO19" s="16" t="str">
        <f>IF(EZ19&gt;0,EZ19,"")</f>
        <v/>
      </c>
      <c r="FP19" s="16" t="str">
        <f>IF(FA19&gt;0,FA19,"")</f>
        <v/>
      </c>
      <c r="FQ19" s="16" t="str">
        <f>IF(SUM(EX19:FA19)-FB19&gt;0,SUM(EX19:FA19)-FB19,"")</f>
        <v/>
      </c>
      <c r="FR19" s="16" t="str">
        <f>IF(FE19&gt;0,FE19,"")</f>
        <v/>
      </c>
      <c r="FS19" s="16" t="str">
        <f>IF(FF19&gt;0,FF19,"")</f>
        <v/>
      </c>
      <c r="FT19" s="16" t="str">
        <f>IF(SUM(FC19:FF19)-FG19&gt;0,SUM(FC19:FF19)-FG19,"")</f>
        <v/>
      </c>
      <c r="FU19" s="16" t="str">
        <f>IF(SUM(FN19,FT19)&gt;0,SUM(FN19,FT19),"")</f>
        <v/>
      </c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76" t="str">
        <f>IF(FX19&gt;0,FX19,"")</f>
        <v/>
      </c>
      <c r="GQ19" s="76" t="str">
        <f>IF(FY19&gt;0,FY19,"")</f>
        <v/>
      </c>
      <c r="GR19" s="76" t="str">
        <f>IF(SUM(FV19:FY19)-FZ19&gt;0,SUM(FV19:FY19)-FZ19,"")</f>
        <v/>
      </c>
      <c r="GS19" s="76" t="str">
        <f>IF(GC19&gt;0,GC19,"")</f>
        <v/>
      </c>
      <c r="GT19" s="76" t="str">
        <f>IF(GD19&gt;0,GD19,"")</f>
        <v/>
      </c>
      <c r="GU19" s="76" t="str">
        <f>IF(SUM(GA19:GD19)-GE19&gt;0,SUM(GA19:GD19)-GE19,"")</f>
        <v/>
      </c>
      <c r="GV19" s="76" t="str">
        <f>IF(MAX(GR19,GU19)&gt;0,MAX(GR19,GU19),"")</f>
        <v/>
      </c>
      <c r="GW19" s="76" t="str">
        <f>IF(GH19&gt;0,GH19,"")</f>
        <v/>
      </c>
      <c r="GX19" s="76" t="str">
        <f>IF(GI19&gt;0,GI19,"")</f>
        <v/>
      </c>
      <c r="GY19" s="76" t="str">
        <f>IF(SUM(GF19:GI19)-GJ19&gt;0,SUM(GF19:GI19)-GJ19,"")</f>
        <v/>
      </c>
      <c r="GZ19" s="76" t="str">
        <f>IF(GM19&gt;0,GM19,"")</f>
        <v/>
      </c>
      <c r="HA19" s="76" t="str">
        <f>IF(GN19&gt;0,GN19,"")</f>
        <v/>
      </c>
      <c r="HB19" s="76" t="str">
        <f>IF(SUM(GK19:GN19)-GO19&gt;0,SUM(GK19:GN19)-GO19,"")</f>
        <v/>
      </c>
      <c r="HC19" s="76" t="str">
        <f>IF(SUM(GV19,HB19)&gt;0,SUM(GV19,HB19),"")</f>
        <v/>
      </c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16" t="str">
        <f>IF(HF19&gt;0,HF19,"")</f>
        <v/>
      </c>
      <c r="HY19" s="16" t="str">
        <f>IF(HG19&gt;0,HG19,"")</f>
        <v/>
      </c>
      <c r="HZ19" s="16" t="str">
        <f>IF(SUM(HD19:HG19)-HH19&gt;0,SUM(HD19:HG19)-HH19,"")</f>
        <v/>
      </c>
      <c r="IA19" s="16" t="str">
        <f>IF(HK19&gt;0,HK19,"")</f>
        <v/>
      </c>
      <c r="IB19" s="16" t="str">
        <f>IF(HL19&gt;0,HL19,"")</f>
        <v/>
      </c>
      <c r="IC19" s="16" t="str">
        <f>IF(SUM(HI19:HL19)-HM19&gt;0,SUM(HI19:HL19)-HM19,"")</f>
        <v/>
      </c>
      <c r="ID19" s="16" t="str">
        <f>IF(MAX(HZ19,IC19)&gt;0,MAX(HZ19,IC19),"")</f>
        <v/>
      </c>
      <c r="IE19" s="16" t="str">
        <f>IF(HP19&gt;0,HP19,"")</f>
        <v/>
      </c>
      <c r="IF19" s="16" t="str">
        <f>IF(HQ19&gt;0,HQ19,"")</f>
        <v/>
      </c>
      <c r="IG19" s="16" t="str">
        <f>IF(SUM(HN19:HQ19)-HR19&gt;0,SUM(HN19:HQ19)-HR19,"")</f>
        <v/>
      </c>
      <c r="IH19" s="16" t="str">
        <f>IF(HU19&gt;0,HU19,"")</f>
        <v/>
      </c>
      <c r="II19" s="16" t="str">
        <f>IF(HV19&gt;0,HV19,"")</f>
        <v/>
      </c>
      <c r="IJ19" s="16" t="str">
        <f>IF(SUM(HS19:HV19)-HW19&gt;0,SUM(HS19:HV19)-HW19,"")</f>
        <v/>
      </c>
      <c r="IK19" s="16" t="str">
        <f>IF(SUM(ID19,IJ19)&gt;0,SUM(ID19,IJ19),"")</f>
        <v/>
      </c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76" t="str">
        <f>IF(IN19&gt;0,IN19,"")</f>
        <v/>
      </c>
      <c r="JG19" s="76" t="str">
        <f>IF(IO19&gt;0,IO19,"")</f>
        <v/>
      </c>
      <c r="JH19" s="76" t="str">
        <f>IF(SUM(IL19:IO19)-IP19&gt;0,SUM(IL19:IO19)-IP19,"")</f>
        <v/>
      </c>
      <c r="JI19" s="76" t="str">
        <f>IF(IS19&gt;0,IS19,"")</f>
        <v/>
      </c>
      <c r="JJ19" s="76" t="str">
        <f>IF(IT19&gt;0,IT19,"")</f>
        <v/>
      </c>
      <c r="JK19" s="76" t="str">
        <f>IF(SUM(IQ19:IT19)-IU19&gt;0,SUM(IQ19:IT19)-IU19,"")</f>
        <v/>
      </c>
      <c r="JL19" s="76" t="str">
        <f>IF(MAX(JH19,JK19)&gt;0,MAX(JH19,JK19),"")</f>
        <v/>
      </c>
      <c r="JM19" s="76" t="str">
        <f>IF(IX19&gt;0,IX19,"")</f>
        <v/>
      </c>
      <c r="JN19" s="76" t="str">
        <f>IF(IY19&gt;0,IY19,"")</f>
        <v/>
      </c>
      <c r="JO19" s="76" t="str">
        <f>IF(SUM(IV19:IY19)-IZ19&gt;0,SUM(IV19:IY19)-IZ19,"")</f>
        <v/>
      </c>
      <c r="JP19" s="76" t="str">
        <f>IF(JC19&gt;0,JC19,"")</f>
        <v/>
      </c>
      <c r="JQ19" s="76" t="str">
        <f>IF(JD19&gt;0,JD19,"")</f>
        <v/>
      </c>
      <c r="JR19" s="76" t="str">
        <f>IF(SUM(JA19:JD19)-JE19&gt;0,SUM(JA19:JD19)-JE19,"")</f>
        <v/>
      </c>
      <c r="JS19" s="76" t="str">
        <f>IF(SUM(JL19,JR19)&gt;0,SUM(JL19,JR19),"")</f>
        <v/>
      </c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16" t="str">
        <f>IF(JV19&gt;0,JV19,"")</f>
        <v/>
      </c>
      <c r="KO19" s="16" t="str">
        <f>IF(JW19&gt;0,JW19,"")</f>
        <v/>
      </c>
      <c r="KP19" s="16" t="str">
        <f>IF(SUM(JT19:JW19)-JX19&gt;0,SUM(JT19:JW19)-JX19,"")</f>
        <v/>
      </c>
      <c r="KQ19" s="16" t="str">
        <f>IF(KA19&gt;0,KA19,"")</f>
        <v/>
      </c>
      <c r="KR19" s="16" t="str">
        <f>IF(KB19&gt;0,KB19,"")</f>
        <v/>
      </c>
      <c r="KS19" s="16" t="str">
        <f>IF(SUM(JY19:KB19)-KC19&gt;0,SUM(JY19:KB19)-KC19,"")</f>
        <v/>
      </c>
      <c r="KT19" s="16" t="str">
        <f>IF(MAX(KP19,KS19)&gt;0,MAX(KP19,KS19),"")</f>
        <v/>
      </c>
      <c r="KU19" s="16" t="str">
        <f>IF(KF19&gt;0,KF19,"")</f>
        <v/>
      </c>
      <c r="KV19" s="16" t="str">
        <f>IF(KG19&gt;0,KG19,"")</f>
        <v/>
      </c>
      <c r="KW19" s="16" t="str">
        <f>IF(SUM(KD19:KG19)-KH19&gt;0,SUM(KD19:KG19)-KH19,"")</f>
        <v/>
      </c>
      <c r="KX19" s="16" t="str">
        <f>IF(KK19&gt;0,KK19,"")</f>
        <v/>
      </c>
      <c r="KY19" s="16" t="str">
        <f>IF(KL19&gt;0,KL19,"")</f>
        <v/>
      </c>
      <c r="KZ19" s="16" t="str">
        <f>IF(SUM(KI19:KL19)-KM19&gt;0,SUM(KI19:KL19)-KM19,"")</f>
        <v/>
      </c>
      <c r="LA19" s="16" t="str">
        <f>IF(SUM(KT19,KZ19)&gt;0,SUM(KT19,KZ19),"")</f>
        <v/>
      </c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76" t="str">
        <f>IF(LD19&gt;0,LD19,"")</f>
        <v/>
      </c>
      <c r="LW19" s="76" t="str">
        <f>IF(LE19&gt;0,LE19,"")</f>
        <v/>
      </c>
      <c r="LX19" s="76" t="str">
        <f>IF(SUM(LB19:LE19)-LF19&gt;0,SUM(LB19:LE19)-LF19,"")</f>
        <v/>
      </c>
      <c r="LY19" s="76" t="str">
        <f>IF(LI19&gt;0,LI19,"")</f>
        <v/>
      </c>
      <c r="LZ19" s="76" t="str">
        <f>IF(LJ19&gt;0,LJ19,"")</f>
        <v/>
      </c>
      <c r="MA19" s="76" t="str">
        <f>IF(SUM(LG19:LJ19)-LK19&gt;0,SUM(LG19:LJ19)-LK19,"")</f>
        <v/>
      </c>
      <c r="MB19" s="76" t="str">
        <f>IF(MAX(LX19,MA19)&gt;0,MAX(LX19,MA19),"")</f>
        <v/>
      </c>
      <c r="MC19" s="76" t="str">
        <f>IF(LN19&gt;0,LN19,"")</f>
        <v/>
      </c>
      <c r="MD19" s="76" t="str">
        <f>IF(LO19&gt;0,LO19,"")</f>
        <v/>
      </c>
      <c r="ME19" s="76" t="str">
        <f>IF(SUM(LL19:LO19)-LP19&gt;0,SUM(LL19:LO19)-LP19,"")</f>
        <v/>
      </c>
      <c r="MF19" s="76" t="str">
        <f>IF(LS19&gt;0,LS19,"")</f>
        <v/>
      </c>
      <c r="MG19" s="76" t="str">
        <f>IF(LT19&gt;0,LT19,"")</f>
        <v/>
      </c>
      <c r="MH19" s="76" t="str">
        <f>IF(SUM(LQ19:LT19)-LU19&gt;0,SUM(LQ19:LT19)-LU19,"")</f>
        <v/>
      </c>
      <c r="MI19" s="76" t="str">
        <f>IF(SUM(MB19,MH19)&gt;0,SUM(MB19,MH19),"")</f>
        <v/>
      </c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26"/>
      <c r="NC19" s="26"/>
      <c r="ND19" s="16" t="str">
        <f>IF(ML19&gt;0,ML19,"")</f>
        <v/>
      </c>
      <c r="NE19" s="16" t="str">
        <f>IF(MM19&gt;0,MM19,"")</f>
        <v/>
      </c>
      <c r="NF19" s="16" t="str">
        <f>IF(SUM(MJ19:MM19)-MN19&gt;0,SUM(MJ19:MM19)-MN19,"")</f>
        <v/>
      </c>
      <c r="NG19" s="16" t="str">
        <f>IF(MQ19&gt;0,MQ19,"")</f>
        <v/>
      </c>
      <c r="NH19" s="16" t="str">
        <f>IF(MR19&gt;0,MR19,"")</f>
        <v/>
      </c>
      <c r="NI19" s="16" t="str">
        <f>IF(SUM(MO19:MR19)-MS19&gt;0,SUM(MO19:MR19)-MS19,"")</f>
        <v/>
      </c>
      <c r="NJ19" s="16" t="str">
        <f>IF(MAX(NF19,NI19)&gt;0,MAX(NF19,NI19),"")</f>
        <v/>
      </c>
      <c r="NK19" s="16" t="str">
        <f>IF(MV19&gt;0,MV19,"")</f>
        <v/>
      </c>
      <c r="NL19" s="16" t="str">
        <f>IF(MW19&gt;0,MW19,"")</f>
        <v/>
      </c>
      <c r="NM19" s="16" t="str">
        <f>IF(SUM(MT19:MW19)-MX19&gt;0,SUM(MT19:MW19)-MX19,"")</f>
        <v/>
      </c>
      <c r="NN19" s="16" t="str">
        <f>IF(NA19&gt;0,NA19,"")</f>
        <v/>
      </c>
      <c r="NO19" s="16" t="str">
        <f>IF(NB19&gt;0,NB19,"")</f>
        <v/>
      </c>
      <c r="NP19" s="16" t="str">
        <f>IF(SUM(MY19:NB19)-NC19&gt;0,SUM(MY19:NB19)-NC19,"")</f>
        <v/>
      </c>
      <c r="NQ19" s="16" t="str">
        <f>IF(SUM(NJ19,NP19)&gt;0,SUM(NJ19,NP19),"")</f>
        <v/>
      </c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76" t="str">
        <f>IF(NT19&gt;0,NT19,"")</f>
        <v/>
      </c>
      <c r="OM19" s="76" t="str">
        <f>IF(NU19&gt;0,NU19,"")</f>
        <v/>
      </c>
      <c r="ON19" s="76" t="str">
        <f>IF(SUM(NR19:NU19)-NV19&gt;0,SUM(NR19:NU19)-NV19,"")</f>
        <v/>
      </c>
      <c r="OO19" s="76" t="str">
        <f>IF(NY19&gt;0,NY19,"")</f>
        <v/>
      </c>
      <c r="OP19" s="76" t="str">
        <f>IF(NZ19&gt;0,NZ19,"")</f>
        <v/>
      </c>
      <c r="OQ19" s="76" t="str">
        <f>IF(SUM(NW19:NZ19)-OA19&gt;0,SUM(NW19:NZ19)-OA19,"")</f>
        <v/>
      </c>
      <c r="OR19" s="76" t="str">
        <f>IF(MAX(ON19,OQ19)&gt;0,MAX(ON19,OQ19),"")</f>
        <v/>
      </c>
      <c r="OS19" s="76" t="str">
        <f>IF(OD19&gt;0,OD19,"")</f>
        <v/>
      </c>
      <c r="OT19" s="76" t="str">
        <f>IF(OE19&gt;0,OE19,"")</f>
        <v/>
      </c>
      <c r="OU19" s="76" t="str">
        <f>IF(SUM(OB19:OE19)-OF19&gt;0,SUM(OB19:OE19)-OF19,"")</f>
        <v/>
      </c>
      <c r="OV19" s="76" t="str">
        <f>IF(OI19&gt;0,OI19,"")</f>
        <v/>
      </c>
      <c r="OW19" s="76" t="str">
        <f>IF(OJ19&gt;0,OJ19,"")</f>
        <v/>
      </c>
      <c r="OX19" s="76" t="str">
        <f>IF(SUM(OG19:OJ19)-OK19&gt;0,SUM(OG19:OJ19)-OK19,"")</f>
        <v/>
      </c>
      <c r="OY19" s="76" t="str">
        <f>IF(SUM(OR19,OX19)&gt;0,SUM(OR19,OX19),"")</f>
        <v/>
      </c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16" t="str">
        <f>IF(PB19&gt;0,PB19,"")</f>
        <v/>
      </c>
      <c r="PU19" s="16" t="str">
        <f>IF(PC19&gt;0,PC19,"")</f>
        <v/>
      </c>
      <c r="PV19" s="16" t="str">
        <f>IF(SUM(OZ19:PC19)-PD19&gt;0,SUM(OZ19:PC19)-PD19,"")</f>
        <v/>
      </c>
      <c r="PW19" s="16" t="str">
        <f>IF(PG19&gt;0,PG19,"")</f>
        <v/>
      </c>
      <c r="PX19" s="16" t="str">
        <f>IF(PH19&gt;0,PH19,"")</f>
        <v/>
      </c>
      <c r="PY19" s="16" t="str">
        <f>IF(SUM(PE19:PH19)-PI19&gt;0,SUM(PE19:PH19)-PI19,"")</f>
        <v/>
      </c>
      <c r="PZ19" s="16" t="str">
        <f>IF(MAX(PV19,PY19)&gt;0,MAX(PV19,PY19),"")</f>
        <v/>
      </c>
      <c r="QA19" s="16" t="str">
        <f>IF(PL19&gt;0,PL19,"")</f>
        <v/>
      </c>
      <c r="QB19" s="16" t="str">
        <f>IF(PM19&gt;0,PM19,"")</f>
        <v/>
      </c>
      <c r="QC19" s="16" t="str">
        <f>IF(SUM(PJ19:PM19)-PN19&gt;0,SUM(PJ19:PM19)-PN19,"")</f>
        <v/>
      </c>
      <c r="QD19" s="16" t="str">
        <f>IF(PQ19&gt;0,PQ19,"")</f>
        <v/>
      </c>
      <c r="QE19" s="16" t="str">
        <f>IF(PR19&gt;0,PR19,"")</f>
        <v/>
      </c>
      <c r="QF19" s="16" t="str">
        <f>IF(SUM(PO19:PR19)-PS19&gt;0,SUM(PO19:PR19)-PS19,"")</f>
        <v/>
      </c>
      <c r="QG19" s="16" t="str">
        <f>IF(SUM(PZ19,QF19)&gt;0,SUM(PZ19,QF19),"")</f>
        <v/>
      </c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25"/>
      <c r="RA19" s="25"/>
      <c r="RB19" s="76" t="str">
        <f>IF(QJ19&gt;0,QJ19,"")</f>
        <v/>
      </c>
      <c r="RC19" s="76" t="str">
        <f>IF(QK19&gt;0,QK19,"")</f>
        <v/>
      </c>
      <c r="RD19" s="76" t="str">
        <f>IF(SUM(QH19:QK19)-QL19&gt;0,SUM(QH19:QK19)-QL19,"")</f>
        <v/>
      </c>
      <c r="RE19" s="76" t="str">
        <f>IF(QO19&gt;0,QO19,"")</f>
        <v/>
      </c>
      <c r="RF19" s="76" t="str">
        <f>IF(QP19&gt;0,QP19,"")</f>
        <v/>
      </c>
      <c r="RG19" s="76" t="str">
        <f>IF(SUM(QM19:QP19)-QQ19&gt;0,SUM(QM19:QP19)-QQ19,"")</f>
        <v/>
      </c>
      <c r="RH19" s="76" t="str">
        <f>IF(MAX(RD19,RG19)&gt;0,MAX(RD19,RG19),"")</f>
        <v/>
      </c>
      <c r="RI19" s="76" t="str">
        <f>IF(QT19&gt;0,QT19,"")</f>
        <v/>
      </c>
      <c r="RJ19" s="76" t="str">
        <f>IF(QU19&gt;0,QU19,"")</f>
        <v/>
      </c>
      <c r="RK19" s="76" t="str">
        <f>IF(SUM(QR19:QU19)-QV19&gt;0,SUM(QR19:QU19)-QV19,"")</f>
        <v/>
      </c>
      <c r="RL19" s="76" t="str">
        <f>IF(QY19&gt;0,QY19,"")</f>
        <v/>
      </c>
      <c r="RM19" s="76" t="str">
        <f>IF(QZ19&gt;0,QZ19,"")</f>
        <v/>
      </c>
      <c r="RN19" s="76" t="str">
        <f>IF(SUM(QW19:QZ19)-RA19&gt;0,SUM(QW19:QZ19)-RA19,"")</f>
        <v/>
      </c>
      <c r="RO19" s="76" t="str">
        <f>IF(SUM(RH19,RN19)&gt;0,SUM(RH19,RN19),"")</f>
        <v/>
      </c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26"/>
      <c r="SI19" s="26"/>
      <c r="SJ19" s="16" t="str">
        <f>IF(RR19&gt;0,RR19,"")</f>
        <v/>
      </c>
      <c r="SK19" s="16" t="str">
        <f>IF(RS19&gt;0,RS19,"")</f>
        <v/>
      </c>
      <c r="SL19" s="16" t="str">
        <f>IF(SUM(RP19:RS19)-RT19&gt;0,SUM(RP19:RS19)-RT19,"")</f>
        <v/>
      </c>
      <c r="SM19" s="16" t="str">
        <f>IF(RW19&gt;0,RW19,"")</f>
        <v/>
      </c>
      <c r="SN19" s="16" t="str">
        <f>IF(RX19&gt;0,RX19,"")</f>
        <v/>
      </c>
      <c r="SO19" s="16" t="str">
        <f>IF(SUM(RU19:RX19)-RY19&gt;0,SUM(RU19:RX19)-RY19,"")</f>
        <v/>
      </c>
      <c r="SP19" s="16" t="str">
        <f>IF(MAX(SL19,SO19)&gt;0,MAX(SL19,SO19),"")</f>
        <v/>
      </c>
      <c r="SQ19" s="16" t="str">
        <f>IF(SB19&gt;0,SB19,"")</f>
        <v/>
      </c>
      <c r="SR19" s="16" t="str">
        <f>IF(SC19&gt;0,SC19,"")</f>
        <v/>
      </c>
      <c r="SS19" s="16" t="str">
        <f>IF(SUM(RZ19:SC19)-SD19&gt;0,SUM(RZ19:SC19)-SD19,"")</f>
        <v/>
      </c>
      <c r="ST19" s="16" t="str">
        <f>IF(SG19&gt;0,SG19,"")</f>
        <v/>
      </c>
      <c r="SU19" s="16" t="str">
        <f>IF(SH19&gt;0,SH19,"")</f>
        <v/>
      </c>
      <c r="SV19" s="16" t="str">
        <f>IF(SUM(SE19:SH19)-SI19&gt;0,SUM(SE19:SH19)-SI19,"")</f>
        <v/>
      </c>
      <c r="SW19" s="16" t="str">
        <f>IF(SUM(SP19,SV19)&gt;0,SUM(SP19,SV19),"")</f>
        <v/>
      </c>
      <c r="SX19" s="42">
        <f>IF($CP19="P",CA19,(CA19+AZ19)/2)</f>
        <v>0.7</v>
      </c>
      <c r="SY19" s="42">
        <f>IF($CP19="P",CB19,(CB19+BA19)/2)</f>
        <v>0.5</v>
      </c>
      <c r="SZ19" s="42">
        <f>IF($CP19="P",CC19,(CC19+BB19)/2)</f>
        <v>1</v>
      </c>
      <c r="TA19" s="42">
        <f>IF($CP19="P",CD19,(CD19+BC19)/2)</f>
        <v>0.85750000000000004</v>
      </c>
      <c r="TB19" s="42">
        <f>IF($CP19="P",CE19,(CE19+BD19)/2)</f>
        <v>0</v>
      </c>
      <c r="TC19" s="42">
        <f>IF($CP19="P",CF19,(CF19+BE19)/2)</f>
        <v>6</v>
      </c>
      <c r="TD19" s="42">
        <f>IF($CP19="P",CG19,(CG19+BF19)/2)</f>
        <v>3.85</v>
      </c>
      <c r="TE19" s="42">
        <f>IF($CP19="P",CH19,(CH19+BG19)/2)</f>
        <v>5.5</v>
      </c>
      <c r="TF19" s="42">
        <f>IF($CP19="P",CI19,(CI19+BH19)/2)</f>
        <v>6.61</v>
      </c>
      <c r="TG19" s="42">
        <f>IF($CP19="P",CJ19,(CJ19+BI19)/2)</f>
        <v>0</v>
      </c>
      <c r="TH19" s="42">
        <f>IF($CP19="P",CK19,(CK19+BJ19)/2)</f>
        <v>2.2000000000000002</v>
      </c>
      <c r="TI19" s="42">
        <f>IF($CP19="P",CL19,(CL19+BK19)/2)</f>
        <v>1.4</v>
      </c>
      <c r="TJ19" s="42">
        <f>IF($CP19="P",CM19,(CM19+BL19)/2)</f>
        <v>2.25</v>
      </c>
      <c r="TK19" s="42">
        <f>IF($CP19="P",CN19,(CN19+BM19)/2)</f>
        <v>2.5150000000000001</v>
      </c>
      <c r="TL19" s="42">
        <f>IF($CP19="P",CO19,(CO19+BN19)/2)</f>
        <v>0</v>
      </c>
      <c r="TM19" s="51" t="s">
        <v>61</v>
      </c>
      <c r="TN19" s="76">
        <f>IF(SZ19&gt;0,SZ19,"")</f>
        <v>1</v>
      </c>
      <c r="TO19" s="76">
        <f>IF(TA19&gt;0,TA19,"")</f>
        <v>0.85750000000000004</v>
      </c>
      <c r="TP19" s="76">
        <f>IF(SUM(SX19:TA19)-TB19&gt;0,SUM(SX19:TA19)-TB19,"")</f>
        <v>3.0575000000000001</v>
      </c>
      <c r="TQ19" s="76">
        <f>IF(TE19&gt;0,TE19,"")</f>
        <v>5.5</v>
      </c>
      <c r="TR19" s="76">
        <f>IF(TF19&gt;0,TF19,"")</f>
        <v>6.61</v>
      </c>
      <c r="TS19" s="76">
        <f>IF(SUM(TC19:TF19)-TG19&gt;0,SUM(TC19:TF19)-TG19,"")</f>
        <v>21.96</v>
      </c>
      <c r="TT19" s="76">
        <f>IF(MAX(TP19,TS19)&gt;0,MAX(TP19,TS19),"")</f>
        <v>21.96</v>
      </c>
      <c r="TU19" s="76">
        <f>IF(TJ19&gt;0,TJ19,"")</f>
        <v>2.25</v>
      </c>
      <c r="TV19" s="76">
        <f>IF(TK19&gt;0,TK19,"")</f>
        <v>2.5150000000000001</v>
      </c>
      <c r="TW19" s="76">
        <f>IF(SUM(TH19:TK19)-TL19&gt;0,SUM(TH19:TK19)-TL19,"")</f>
        <v>8.3650000000000002</v>
      </c>
      <c r="TX19" s="76">
        <f>IF(SUM(TT19,TW19)&gt;0,SUM(TT19,TW19),"")</f>
        <v>30.325000000000003</v>
      </c>
    </row>
    <row r="20" spans="1:544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>SUM(J20:V20)+SUM(J20:T20)*0.0000001+SUM(J20)*0.0000000000001</f>
        <v>130.00001300000491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Z20&gt;=EM$25,DZ20&lt;&gt;"",EB20&gt;=EM$29,EB20&lt;&gt;""),AND(EC20&gt;=EM$25,EC20&lt;&gt;"",EE20&gt;=EM$29,EE20&lt;&gt;""),AND(EG20&gt;=EM$25,EG20&lt;&gt;"",EI20&gt;=EM$29,EI20&lt;&gt;""),AND(EJ20&gt;=EM$25,EJ20&lt;&gt;"",EL20&gt;=EM$29,EL20&lt;&gt;""),AND(FH20&gt;=FU$25,FH20&lt;&gt;"",FJ20&gt;=FU$29,FJ20&lt;&gt;""),AND(FK20&gt;=FU$25,FK20&lt;&gt;"",FM20&gt;=FU$29,FM20&lt;&gt;""),AND(FO20&gt;=FU$25,FO20&lt;&gt;"",FQ20&gt;=FU$29,FQ20&lt;&gt;""),AND(FR20&gt;=FU$25,FR20&lt;&gt;"",FT20&gt;=FU$29,FT20&lt;&gt;""),AND(GP20&gt;=HC$25,GP20&lt;&gt;"",GR20&gt;=HC$29,GR20&lt;&gt;""),AND(GS20&gt;=HC$25,GS20&lt;&gt;"",GU20&gt;=HC$29,GU20&lt;&gt;""),AND(GW20&gt;=HC$25,GW20&lt;&gt;"",GY20&gt;=HC$29,GY20&lt;&gt;""),AND(GZ20&gt;=HC$25,GZ20&lt;&gt;"",HB20&gt;=HC$29,HB20&lt;&gt;""),AND(HX20&gt;=IK$25,HX20&lt;&gt;"",HZ20&gt;=IK$29,HZ20&lt;&gt;""),AND(IA20&gt;=IK$25,IA20&lt;&gt;"",IC20&gt;=IK$29,IC20&lt;&gt;""),AND(IE20&gt;=IK$25,IE20&lt;&gt;"",IG20&gt;=IK$29,IG20&lt;&gt;""),AND(IH20&gt;=IK$25,IH20&lt;&gt;"",IJ20&gt;=IK$29,IJ20&lt;&gt;""),AND(JF20&gt;=JS$25,JF20&lt;&gt;"",JH20&gt;=JS$29,JH20&lt;&gt;""),AND(JI20&gt;=JS$25,JI20&lt;&gt;"",JK20&gt;=JS$29,JK20&lt;&gt;""),AND(JM20&gt;=JS$25,JM20&lt;&gt;"",JO20&gt;=JS$29,JO20&lt;&gt;""),AND(JP20&gt;=JS$25,JP20&lt;&gt;"",JR20&gt;=JS$29,JR20&lt;&gt;""),AND(KN20&gt;=LA$25,KN20&lt;&gt;"",KP20&gt;=LA$29,KP20&lt;&gt;""),AND(KQ20&gt;=LA$25,KQ20&lt;&gt;"",KS20&gt;=LA$29,KS20&lt;&gt;""),AND(KU20&gt;=LA$25,KU20&lt;&gt;"",KW20&gt;=LA$29,KW20&lt;&gt;""),AND(KX20&gt;=LA$25,KX20&lt;&gt;"",KZ20&gt;=LA$29,KZ20&lt;&gt;""),AND(LV20&gt;=MI$25,LV20&lt;&gt;"",LX20&gt;=MI$29,LX20&lt;&gt;""),AND(LY20&gt;=MI$25,LY20&lt;&gt;"",MA20&gt;=MI$29,MA20&lt;&gt;""),AND(MC20&gt;=MI$25,MC20&lt;&gt;"",ME20&gt;=MI$29,ME20&lt;&gt;""),AND(MF20&gt;=MI$25,MF20&lt;&gt;"",MH20&gt;=MI$29,MH20&lt;&gt;""),AND(ND20&gt;=NQ$25,ND20&lt;&gt;"",NF20&gt;=NQ$29,NF20&lt;&gt;""),AND(NG20&gt;=NQ$25,NG20&lt;&gt;"",NI20&gt;=NQ$29,NI20&lt;&gt;""),AND(NK20&gt;=NQ$25,NK20&lt;&gt;"",NM20&gt;=NQ$29,NM20&lt;&gt;""),AND(NN20&gt;=NQ$25,NN20&lt;&gt;"",NP20&gt;=NQ$29,NP20&lt;&gt;""),AND(OL20&gt;=OY$25,OL20&lt;&gt;"",ON20&gt;=OY$29,ON20&lt;&gt;""),AND(OO20&gt;=OY$25,OO20&lt;&gt;"",OQ20&gt;=OY$29,OQ20&lt;&gt;""),AND(OS20&gt;=OY$25,OS20&lt;&gt;"",OU20&gt;=OY$29,OU20&lt;&gt;""),AND(OV20&gt;=OY$25,OV20&lt;&gt;"",OX20&gt;=OY$29,OX20&lt;&gt;""),AND(PT20&gt;=QG$25,PT20&lt;&gt;"",PV20&gt;=QG$29,PV20&lt;&gt;""),AND(PW20&gt;=QG$25,PW20&lt;&gt;"",PY20&gt;=QG$29,PY20&lt;&gt;""),AND(QA20&gt;=QG$25,QA20&lt;&gt;"",QC20&gt;=QG$29,QC20&lt;&gt;""),AND(QD20&gt;=QG$25,QD20&lt;&gt;"",QF20&gt;=QG$29,QF20&lt;&gt;""),AND(RB20&gt;=RO$25,RB20&lt;&gt;"",RD20&gt;=RO$29,RD20&lt;&gt;""),AND(RE20&gt;=RO$25,RE20&lt;&gt;"",RG20&gt;=RO$29,RG20&lt;&gt;""),AND(RI20&gt;=RO$25,RI20&lt;&gt;"",RK20&gt;=RO$29,RK20&lt;&gt;""),AND(RL20&gt;=RO$25,RL20&lt;&gt;"",RN20&gt;=RO$29,RN20&lt;&gt;""),AND(SJ20&gt;=SW$25,SJ20&lt;&gt;"",SL20&gt;=SW$29,SL20&lt;&gt;""),AND(SM20&gt;=SW$25,SM20&lt;&gt;"",SO20&gt;=SW$29,SO20&lt;&gt;""),AND(SQ20&gt;=SW$25,SQ20&lt;&gt;"",SS20&gt;=SW$29,SS20&lt;&gt;""),AND(ST20&gt;=SW$25,ST20&lt;&gt;"",SV20&gt;=SW$29,SV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EB20&gt;=EM$29,EB20&lt;&gt;""),AND(EE20&gt;=EM$29,EE20&lt;&gt;""),AND(EI20&gt;=EM$29,EI20&lt;&gt;""),AND(EL20&gt;=EM$29,EL20&lt;&gt;""),AND(FJ20&gt;=FU$29,FJ20&lt;&gt;""),AND(FM20&gt;=FU$29,FM20&lt;&gt;""),AND(FQ20&gt;=FU$29,FQ20&lt;&gt;""),AND(FT20&gt;=FU$29,FT20&lt;&gt;""),AND(GR20&gt;=HC$29,GR20&lt;&gt;""),AND(GU20&gt;=HC$29,GU20&lt;&gt;""),AND(GY20&gt;=HC$29,GY20&lt;&gt;""),AND(HB20&gt;=HC$29,HB20&lt;&gt;""),AND(HZ20&gt;=IK$29,HZ20&lt;&gt;""),AND(IC20&gt;=IK$29,IC20&lt;&gt;""),AND(IG20&gt;=IK$29,IG20&lt;&gt;""),AND(IJ20&gt;=IK$29,IJ20&lt;&gt;""),AND(JH20&gt;=JS$29,JH20&lt;&gt;""),AND(JK20&gt;=JS$29,JK20&lt;&gt;""),AND(JO20&gt;=JS$29,JO20&lt;&gt;""),AND(JR20&gt;=JS$29,JR20&lt;&gt;""),AND(KP20&gt;=LA$29,KP20&lt;&gt;""),AND(KS20&gt;=LA$29,KS20&lt;&gt;""),AND(KW20&gt;=LA$29,KW20&lt;&gt;""),AND(KZ20&gt;=LA$29,KZ20&lt;&gt;""),AND(LX20&gt;=MI$29,LX20&lt;&gt;""),AND(MA20&gt;=MI$29,MA20&lt;&gt;""),AND(ME20&gt;=MI$29,ME20&lt;&gt;""),AND(MH20&gt;=MI$29,MH20&lt;&gt;""),AND(NF20&gt;=NQ$29,NF20&lt;&gt;""),AND(NI20&gt;=NQ$29,NI20&lt;&gt;""),AND(NM20&gt;=NQ$29,NM20&lt;&gt;""),AND(NP20&gt;=NQ$29,NP20&lt;&gt;""),AND(ON20&gt;=OY$29,ON20&lt;&gt;""),AND(OQ20&gt;=OY$29,OQ20&lt;&gt;""),AND(OU20&gt;=OY$29,OU20&lt;&gt;""),AND(OX20&gt;=OY$29,OX20&lt;&gt;""),AND(PV20&gt;=QG$29,PV20&lt;&gt;""),AND(PY20&gt;=QG$29,PY20&lt;&gt;""),AND(QC20&gt;=QG$29,QC20&lt;&gt;""),AND(QF20&gt;=QG$29,QF20&lt;&gt;""),AND(RD20&gt;=RO$29,RD20&lt;&gt;""),AND(RG20&gt;=RO$29,RG20&lt;&gt;""),AND(RK20&gt;=RO$29,RK20&lt;&gt;""),AND(RN20&gt;=RO$29,RN20&lt;&gt;""),AND(SL20&gt;=SW$29,SL20&lt;&gt;""),AND(SO20&gt;=SW$29,SO20&lt;&gt;""),AND(SS20&gt;=SW$29,SS20&lt;&gt;""),AND(SV20&gt;=SW$29,SV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Z20&gt;=EM$28,DZ20&lt;&gt;"",EB20&gt;=EM$32,EB20&lt;&gt;""),AND(EC20&gt;=EM$28,EC20&lt;&gt;"",EE20&gt;=EM$32,EE20&lt;&gt;""),AND(EG20&gt;=EM$28,EG20&lt;&gt;"",EI20&gt;=EM$32,EI20&lt;&gt;""),AND(EJ20&gt;=EM$28,EJ20&lt;&gt;"",EL20&gt;=EM$32,EL20&lt;&gt;""),AND(FH20&gt;=FU$28,FH20&lt;&gt;"",FJ20&gt;=FU$32,FJ20&lt;&gt;""),AND(FK20&gt;=FU$28,FK20&lt;&gt;"",FM20&gt;=FU$32,FM20&lt;&gt;""),AND(FO20&gt;=FU$28,FO20&lt;&gt;"",FQ20&gt;=FU$32,FQ20&lt;&gt;""),AND(FR20&gt;=FU$28,FR20&lt;&gt;"",FT20&gt;=FU$32,FT20&lt;&gt;""),AND(GP20&gt;=HC$28,GP20&lt;&gt;"",GR20&gt;=HC$32,GR20&lt;&gt;""),AND(GS20&gt;=HC$28,GS20&lt;&gt;"",GU20&gt;=HC$32,GU20&lt;&gt;""),AND(GW20&gt;=HC$28,GW20&lt;&gt;"",GY20&gt;=HC$32,GY20&lt;&gt;""),AND(GZ20&gt;=HC$28,GZ20&lt;&gt;"",HB20&gt;=HC$32,HB20&lt;&gt;""),AND(HX20&gt;=IK$28,HX20&lt;&gt;"",HZ20&gt;=IK$32,HZ20&lt;&gt;""),AND(IA20&gt;=IK$28,IA20&lt;&gt;"",IC20&gt;=IK$32,IC20&lt;&gt;""),AND(IE20&gt;=IK$28,IE20&lt;&gt;"",IG20&gt;=IK$32,IG20&lt;&gt;""),AND(IH20&gt;=IK$28,IH20&lt;&gt;"",IJ20&gt;=IK$32,IJ20&lt;&gt;""),AND(JF20&gt;=JS$28,JF20&lt;&gt;"",JH20&gt;=JS$32,JH20&lt;&gt;""),AND(JI20&gt;=JS$28,JI20&lt;&gt;"",JK20&gt;=JS$32,JK20&lt;&gt;""),AND(JM20&gt;=JS$28,JM20&lt;&gt;"",JO20&gt;=JS$32,JO20&lt;&gt;""),AND(JP20&gt;=JS$28,JP20&lt;&gt;"",JR20&gt;=JS$32,JR20&lt;&gt;""),AND(KN20&gt;=LA$28,KN20&lt;&gt;"",KP20&gt;=LA$32,KP20&lt;&gt;""),AND(KQ20&gt;=LA$28,KQ20&lt;&gt;"",KS20&gt;=LA$32,KS20&lt;&gt;""),AND(KU20&gt;=LA$28,KU20&lt;&gt;"",KW20&gt;=LA$32,KW20&lt;&gt;""),AND(KX20&gt;=LA$28,KX20&lt;&gt;"",KZ20&gt;=LA$32,KZ20&lt;&gt;""),AND(LV20&gt;=MI$28,LV20&lt;&gt;"",LX20&gt;=MI$32,LX20&lt;&gt;""),AND(LY20&gt;=MI$28,LY20&lt;&gt;"",MA20&gt;=MI$32,MA20&lt;&gt;""),AND(MC20&gt;=MI$28,MC20&lt;&gt;"",ME20&gt;=MI$32,ME20&lt;&gt;""),AND(MF20&gt;=MI$28,MF20&lt;&gt;"",MH20&gt;=MI$32,MH20&lt;&gt;""),AND(ND20&gt;=NQ$28,ND20&lt;&gt;"",NF20&gt;=NQ$32,NF20&lt;&gt;""),AND(NG20&gt;=NQ$28,NG20&lt;&gt;"",NI20&gt;=NQ$32,NI20&lt;&gt;""),AND(NK20&gt;=NQ$28,NK20&lt;&gt;"",NM20&gt;=NQ$32,NM20&lt;&gt;""),AND(NN20&gt;=NQ$28,NN20&lt;&gt;"",NP20&gt;=NQ$32,NP20&lt;&gt;""),AND(OL20&gt;=OY$28,OL20&lt;&gt;"",ON20&gt;=OY$32,ON20&lt;&gt;""),AND(OO20&gt;=OY$28,OO20&lt;&gt;"",OQ20&gt;=OY$32,OQ20&lt;&gt;""),AND(OS20&gt;=OY$28,OS20&lt;&gt;"",OU20&gt;=OY$32,OU20&lt;&gt;""),AND(OV20&gt;=OY$28,OV20&lt;&gt;"",OX20&gt;=OY$32,OX20&lt;&gt;""),AND(PT20&gt;=QG$28,PT20&lt;&gt;"",PV20&gt;=QG$32,PV20&lt;&gt;""),AND(PW20&gt;=QG$28,PW20&lt;&gt;"",PY20&gt;=QG$32,PY20&lt;&gt;""),AND(QA20&gt;=QG$28,QA20&lt;&gt;"",QC20&gt;=QG$32,QC20&lt;&gt;""),AND(QD20&gt;=QG$28,QD20&lt;&gt;"",QF20&gt;=QG$32,QF20&lt;&gt;""),AND(RB20&gt;=RO$28,RB20&lt;&gt;"",RD20&gt;=RO$32,RD20&lt;&gt;""),AND(RE20&gt;=RO$28,RE20&lt;&gt;"",RG20&gt;=RO$32,RG20&lt;&gt;""),AND(RI20&gt;=RO$28,RI20&lt;&gt;"",RK20&gt;=RO$32,RK20&lt;&gt;""),AND(RL20&gt;=RO$28,RL20&lt;&gt;"",RN20&gt;=RO$32,RN20&lt;&gt;""),AND(SJ20&gt;=SW$28,SJ20&lt;&gt;"",SL20&gt;=SW$32,SL20&lt;&gt;""),AND(SM20&gt;=SW$28,SM20&lt;&gt;"",SO20&gt;=SW$32,SO20&lt;&gt;""),AND(SQ20&gt;=SW$28,SQ20&lt;&gt;"",SS20&gt;=SW$32,SS20&lt;&gt;""),AND(ST20&gt;=SW$28,ST20&lt;&gt;"",SV20&gt;=SW$32,SV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Z20&gt;=EM$27,DZ20&lt;&gt;"",EB20&gt;=EM$31,EB20&lt;&gt;""),AND(EC20&gt;=EM$27,EC20&lt;&gt;"",EE20&gt;=EM$31,EE20&lt;&gt;""),AND(EG20&gt;=EM$27,EG20&lt;&gt;"",EI20&gt;=EM$31,EI20&lt;&gt;""),AND(EJ20&gt;=EM$27,EJ20&lt;&gt;"",EL20&gt;=EM$31,EL20&lt;&gt;""),AND(FH20&gt;=FU$27,FH20&lt;&gt;"",FJ20&gt;=FU$31,FJ20&lt;&gt;""),AND(FK20&gt;=FU$27,FK20&lt;&gt;"",FM20&gt;=FU$31,FM20&lt;&gt;""),AND(FO20&gt;=FU$27,FO20&lt;&gt;"",FQ20&gt;=FU$31,FQ20&lt;&gt;""),AND(FR20&gt;=FU$27,FR20&lt;&gt;"",FT20&gt;=FU$31,FT20&lt;&gt;""),AND(GP20&gt;=HC$27,GP20&lt;&gt;"",GR20&gt;=HC$31,GR20&lt;&gt;""),AND(GS20&gt;=HC$27,GS20&lt;&gt;"",GU20&gt;=HC$31,GU20&lt;&gt;""),AND(GW20&gt;=HC$27,GW20&lt;&gt;"",GY20&gt;=HC$31,GY20&lt;&gt;""),AND(GZ20&gt;=HC$27,GZ20&lt;&gt;"",HB20&gt;=HC$31,HB20&lt;&gt;""),AND(HX20&gt;=IK$27,HX20&lt;&gt;"",HZ20&gt;=IK$31,HZ20&lt;&gt;""),AND(IA20&gt;=IK$27,IA20&lt;&gt;"",IC20&gt;=IK$31,IC20&lt;&gt;""),AND(IE20&gt;=IK$27,IE20&lt;&gt;"",IG20&gt;=IK$31,IG20&lt;&gt;""),AND(IH20&gt;=IK$27,IH20&lt;&gt;"",IJ20&gt;=IK$31,IJ20&lt;&gt;""),AND(JF20&gt;=JS$27,JF20&lt;&gt;"",JH20&gt;=JS$31,JH20&lt;&gt;""),AND(JI20&gt;=JS$27,JI20&lt;&gt;"",JK20&gt;=JS$31,JK20&lt;&gt;""),AND(JM20&gt;=JS$27,JM20&lt;&gt;"",JO20&gt;=JS$31,JO20&lt;&gt;""),AND(JP20&gt;=JS$27,JP20&lt;&gt;"",JR20&gt;=JS$31,JR20&lt;&gt;""),AND(KN20&gt;=LA$27,KN20&lt;&gt;"",KP20&gt;=LA$31,KP20&lt;&gt;""),AND(KQ20&gt;=LA$27,KQ20&lt;&gt;"",KS20&gt;=LA$31,KS20&lt;&gt;""),AND(KU20&gt;=LA$27,KU20&lt;&gt;"",KW20&gt;=LA$31,KW20&lt;&gt;""),AND(KX20&gt;=LA$27,KX20&lt;&gt;"",KZ20&gt;=LA$31,KZ20&lt;&gt;""),AND(LV20&gt;=MI$27,LV20&lt;&gt;"",LX20&gt;=MI$31,LX20&lt;&gt;""),AND(LY20&gt;=MI$27,LY20&lt;&gt;"",MA20&gt;=MI$31,MA20&lt;&gt;""),AND(MC20&gt;=MI$27,MC20&lt;&gt;"",ME20&gt;=MI$31,ME20&lt;&gt;""),AND(MF20&gt;=MI$27,MF20&lt;&gt;"",MH20&gt;=MI$31,MH20&lt;&gt;""),AND(ND20&gt;=NQ$27,ND20&lt;&gt;"",NF20&gt;=NQ$31,NF20&lt;&gt;""),AND(NG20&gt;=NQ$27,NG20&lt;&gt;"",NI20&gt;=NQ$31,NI20&lt;&gt;""),AND(NK20&gt;=NQ$27,NK20&lt;&gt;"",NM20&gt;=NQ$31,NM20&lt;&gt;""),AND(NN20&gt;=NQ$27,NN20&lt;&gt;"",NP20&gt;=NQ$31,NP20&lt;&gt;""),AND(OL20&gt;=OY$27,OL20&lt;&gt;"",ON20&gt;=OY$31,ON20&lt;&gt;""),AND(OO20&gt;=OY$27,OO20&lt;&gt;"",OQ20&gt;=OY$31,OQ20&lt;&gt;""),AND(OS20&gt;=OY$27,OS20&lt;&gt;"",OU20&gt;=OY$31,OU20&lt;&gt;""),AND(OV20&gt;=OY$27,OV20&lt;&gt;"",OX20&gt;=OY$31,OX20&lt;&gt;""),AND(PT20&gt;=QG$27,PT20&lt;&gt;"",PV20&gt;=QG$31,PV20&lt;&gt;""),AND(PW20&gt;=QG$27,PW20&lt;&gt;"",PY20&gt;=QG$31,PY20&lt;&gt;""),AND(QA20&gt;=QG$27,QA20&lt;&gt;"",QC20&gt;=QG$31,QC20&lt;&gt;""),AND(QD20&gt;=QG$27,QD20&lt;&gt;"",QF20&gt;=QG$31,QF20&lt;&gt;""),AND(RB20&gt;=RO$27,RB20&lt;&gt;"",RD20&gt;=RO$31,RD20&lt;&gt;""),AND(RE20&gt;=RO$27,RE20&lt;&gt;"",RG20&gt;=RO$31,RG20&lt;&gt;""),AND(RI20&gt;=RO$27,RI20&lt;&gt;"",RK20&gt;=RO$31,RK20&lt;&gt;""),AND(RL20&gt;=RO$27,RL20&lt;&gt;"",RN20&gt;=RO$31,RN20&lt;&gt;""),AND(SJ20&gt;=SW$27,SJ20&lt;&gt;"",SL20&gt;=SW$31,SL20&lt;&gt;""),AND(SM20&gt;=SW$27,SM20&lt;&gt;"",SO20&gt;=SW$31,SO20&lt;&gt;""),AND(SQ20&gt;=SW$27,SQ20&lt;&gt;"",SS20&gt;=SW$31,SS20&lt;&gt;""),AND(ST20&gt;=SW$27,ST20&lt;&gt;"",SV20&gt;=SW$31,SV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Z20&gt;=EM$26,DZ20&lt;&gt;"",EB20&gt;=EM$30,EB20&lt;&gt;""),AND(EC20&gt;=EM$26,EC20&lt;&gt;"",EE20&gt;=EM$30,EE20&lt;&gt;""),AND(EG20&gt;=EM$26,EG20&lt;&gt;"",EI20&gt;=EM$30,EI20&lt;&gt;""),AND(EJ20&gt;=EM$26,EJ20&lt;&gt;"",EL20&gt;=EM$30,EL20&lt;&gt;""),AND(FH20&gt;=FU$26,FH20&lt;&gt;"",FJ20&gt;=FU$30,FJ20&lt;&gt;""),AND(FK20&gt;=FU$26,FK20&lt;&gt;"",FM20&gt;=FU$30,FM20&lt;&gt;""),AND(FO20&gt;=FU$26,FO20&lt;&gt;"",FQ20&gt;=FU$30,FQ20&lt;&gt;""),AND(FR20&gt;=FU$26,FR20&lt;&gt;"",FT20&gt;=FU$30,FT20&lt;&gt;""),AND(GP20&gt;=HC$26,GP20&lt;&gt;"",GR20&gt;=HC$30,GR20&lt;&gt;""),AND(GS20&gt;=HC$26,GS20&lt;&gt;"",GU20&gt;=HC$30,GU20&lt;&gt;""),AND(GW20&gt;=HC$26,GW20&lt;&gt;"",GY20&gt;=HC$30,GY20&lt;&gt;""),AND(GZ20&gt;=HC$26,GZ20&lt;&gt;"",HB20&gt;=HC$30,HB20&lt;&gt;""),AND(HX20&gt;=IK$26,HX20&lt;&gt;"",HZ20&gt;=IK$30,HZ20&lt;&gt;""),AND(IA20&gt;=IK$26,IA20&lt;&gt;"",IC20&gt;=IK$30,IC20&lt;&gt;""),AND(IE20&gt;=IK$26,IE20&lt;&gt;"",IG20&gt;=IK$30,IG20&lt;&gt;""),AND(IH20&gt;=IK$26,IH20&lt;&gt;"",IJ20&gt;=IK$30,IJ20&lt;&gt;""),AND(JF20&gt;=JS$26,JF20&lt;&gt;"",JH20&gt;=JS$30,JH20&lt;&gt;""),AND(JI20&gt;=JS$26,JI20&lt;&gt;"",JK20&gt;=JS$30,JK20&lt;&gt;""),AND(JM20&gt;=JS$26,JM20&lt;&gt;"",JO20&gt;=JS$30,JO20&lt;&gt;""),AND(JP20&gt;=JS$26,JP20&lt;&gt;"",JR20&gt;=JS$30,JR20&lt;&gt;""),AND(KN20&gt;=LA$26,KN20&lt;&gt;"",KP20&gt;=LA$30,KP20&lt;&gt;""),AND(KQ20&gt;=LA$26,KQ20&lt;&gt;"",KS20&gt;=LA$30,KS20&lt;&gt;""),AND(KU20&gt;=LA$26,KU20&lt;&gt;"",KW20&gt;=LA$30,KW20&lt;&gt;""),AND(KX20&gt;=LA$26,KX20&lt;&gt;"",KZ20&gt;=LA$30,KZ20&lt;&gt;""),AND(LV20&gt;=MI$26,LV20&lt;&gt;"",LX20&gt;=MI$30,LX20&lt;&gt;""),AND(LY20&gt;=MI$26,LY20&lt;&gt;"",MA20&gt;=MI$30,MA20&lt;&gt;""),AND(MC20&gt;=MI$26,MC20&lt;&gt;"",ME20&gt;=MI$30,ME20&lt;&gt;""),AND(MF20&gt;=MI$26,MF20&lt;&gt;"",MH20&gt;=MI$30,MH20&lt;&gt;""),AND(ND20&gt;=NQ$26,ND20&lt;&gt;"",NF20&gt;=NQ$30,NF20&lt;&gt;""),AND(NG20&gt;=NQ$26,NG20&lt;&gt;"",NI20&gt;=NQ$30,NI20&lt;&gt;""),AND(NK20&gt;=NQ$26,NK20&lt;&gt;"",NM20&gt;=NQ$30,NM20&lt;&gt;""),AND(NN20&gt;=NQ$26,NN20&lt;&gt;"",NP20&gt;=NQ$30,NP20&lt;&gt;""),AND(OL20&gt;=OY$26,OL20&lt;&gt;"",ON20&gt;=OY$30,ON20&lt;&gt;""),AND(OO20&gt;=OY$26,OO20&lt;&gt;"",OQ20&gt;=OY$30,OQ20&lt;&gt;""),AND(OS20&gt;=OY$26,OS20&lt;&gt;"",OU20&gt;=OY$30,OU20&lt;&gt;""),AND(OV20&gt;=OY$26,OV20&lt;&gt;"",OX20&gt;=OY$30,OX20&lt;&gt;""),AND(PT20&gt;=QG$26,PT20&lt;&gt;"",PV20&gt;=QG$30,PV20&lt;&gt;""),AND(PW20&gt;=QG$26,PW20&lt;&gt;"",PY20&gt;=QG$30,PY20&lt;&gt;""),AND(QA20&gt;=QG$26,QA20&lt;&gt;"",QC20&gt;=QG$30,QC20&lt;&gt;""),AND(QD20&gt;=QG$26,QD20&lt;&gt;"",QF20&gt;=QG$30,QF20&lt;&gt;""),AND(RB20&gt;=RO$26,RB20&lt;&gt;"",RD20&gt;=RO$30,RD20&lt;&gt;""),AND(RE20&gt;=RO$26,RE20&lt;&gt;"",RG20&gt;=RO$30,RG20&lt;&gt;""),AND(RI20&gt;=RO$26,RI20&lt;&gt;"",RK20&gt;=RO$30,RK20&lt;&gt;""),AND(RL20&gt;=RO$26,RL20&lt;&gt;"",RN20&gt;=RO$30,RN20&lt;&gt;""),AND(SJ20&gt;=SW$26,SJ20&lt;&gt;"",SL20&gt;=SW$30,SL20&lt;&gt;""),AND(SM20&gt;=SW$26,SM20&lt;&gt;"",SO20&gt;=SW$30,SO20&lt;&gt;""),AND(SQ20&gt;=SW$26,SQ20&lt;&gt;"",SS20&gt;=SW$30,SS20&lt;&gt;""),AND(ST20&gt;=SW$26,ST20&lt;&gt;"",SV20&gt;=SW$30,SV20&lt;&gt;"")),"P","")</f>
        <v/>
      </c>
      <c r="J20" s="13">
        <f>IF(COUNT(AQ20,AT20,BR20,BU20,CS20,CV20)&gt;0,LARGE((AQ20,AT20,BR20,BU20,CS20,CV20),1),0)</f>
        <v>49.16</v>
      </c>
      <c r="K20" s="13" t="str">
        <f>IF(J20="","",IF(OR(J20=CS20,J20=CV20),$CA$1,IF(OR(J20=BR20,J20=BU20),$AZ$1,IF(OR(J20=AQ20,J20=AT20),$Y$1,""))))</f>
        <v>2022 Elite Canada</v>
      </c>
      <c r="L20" s="13">
        <f>IF(COUNT(AQ20,AT20,BR20,BU20,CS20,CV20)&gt;1,LARGE((AQ20,AT20,BR20,BU20,CS20,CV20),2),0)</f>
        <v>46.47</v>
      </c>
      <c r="M20" s="13" t="str">
        <f>IF(L20="","",IF(OR(L20=CS20,L20=CV20),$CA$1,IF(OR(L20=BR20,L20=BU20),$AZ$1,IF(OR(L20=AQ20,L20=AT20),$Y$1,""))))</f>
        <v>2022 Elite Canada</v>
      </c>
      <c r="N20" s="13">
        <f>IF(COUNT(AQ20,AT20,BR20,BU20,CS20,CV20)&gt;2,LARGE((AQ20,AT20,BR20,BU20,CS20,CV20),3),0)</f>
        <v>21.37</v>
      </c>
      <c r="O20" s="13" t="str">
        <f>IF(N20="","",IF(OR(N20=CS20,N20=CV20),$CA$1,IF(OR(N20=BR20,N20=BU20),$AZ$1,IF(OR(N20=AQ20,N20=AT20),$Y$1,""))))</f>
        <v>2021 Elite Canada</v>
      </c>
      <c r="P20" s="13">
        <f>IF(MAX(AX20,BY20,CZ20)&gt;0,MAX(AX20,BY20,CZ20),0)</f>
        <v>0</v>
      </c>
      <c r="Q20" s="13" t="str">
        <f>IF(P20="","",IF(P20=CZ20,$CA$1,IF(P20=BY20,$AZ$1,IF(P20=AX20,$Y$1,""))))</f>
        <v/>
      </c>
      <c r="R20" s="13">
        <f>IF(MAX(AO20,AR20,AV20,BP20,BS20,BW20,CQ20,CT20,CX20)&gt;0,MAX(AO20,AR20,BP20,BS20,CQ20,CT20,AV20),0)</f>
        <v>13</v>
      </c>
      <c r="S20" s="13" t="str">
        <f>IF(R20=0,"",IF(OR(R20=CQ20,R20=CT20,R20=CX20),$CA$1,IF(OR(R20=BP20,R20=BS20,R20=BW20),$AZ$1,IF(OR(R20=AO20,R20=AR20,R20=AV20),$Y$1,""))))</f>
        <v>2022 Elite Canada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),0)</f>
        <v>0</v>
      </c>
      <c r="U20" s="13" t="str">
        <f>IF(T20=0,"",IF(OR(T20=CR20,T20=CU20,T20=CY20),$CA$1,IF(OR(T20=BQ20,T20=BT20,T20=BX20),$AZ$1,IF(OR(T20=AP20,T20=AS20,T20=AW20),$Y$1,""))))</f>
        <v/>
      </c>
      <c r="V20" s="13" t="str">
        <f>IF(MAX(DB20,DC20,DD20,DE20)&gt;0,MAX(DB20,DC20,DD20,DE20),"")</f>
        <v/>
      </c>
      <c r="W20" s="16" t="str">
        <f>IF(V20="","",IF(V20=DB20,"("&amp;DB$2&amp;")",IF(V20=DC20,"("&amp;DC$2&amp;")",IF(V20=DD20,"("&amp;DD$2&amp;")",IF(V20=DE20,"("&amp;DE$2&amp;")")))))</f>
        <v/>
      </c>
      <c r="X20" s="13" t="str">
        <f>IF(V20="","",IF(V20=DB20,IF(V20+IF(L20="",0,L20)=SP20,$RP$1,IF(V20+IF(L20="",0,L20)=RH20,$QH$1,IF(V20+IF(L20="",0,L20)=PZ20,$OZ$1,IF(V20+IF(L20="",0,L20)=OR20,$NR$1,IF(V20+IF(L20="",0,L20)=NJ20,$MJ$1,IF(V20+IF(L20="",0,L20)=MB20,$LB$1,IF(V20+IF(L20="",0,L20)=KT20,$JT$1,IF(V20+IF(L20="",0,L20)=JL20,$IL$1,IF(V20+IF(L20="",0,L20)=ID20,$HD$1,IF(V20+IF(L20="",0,L20)=GV20,$FV$1,IF(V20+IF(L20="",0,L20)=FN20,$EN$1,IF(V20+IF(L20="",0,L20)=EF20,$DF$1)))))))))))),IF(V20=DC20,IF(V20+IF(P20="",0,P20)=SV20,$RP$1,IF(V20+IF(P20="",0,P20)=RN20,$QH$1,IF(V20+IF(P20="",0,P20)=QF20,$OZ$1,IF(V20+IF(P20="",0,P20)=OX20,$NR$1,IF(V20+IF(P20="",0,P20)=NP20,$MJ$1,IF(V20+IF(P20="",0,P20)=MH20,$LB$1,IF(V20+IF(P20="",0,P20)=KZ20,$JT$1,IF(V20+IF(P20="",0,P20)=JR20,$IL$1,IF(V20+IF(P20="",0,P20)=IJ20,$HD$1,IF(V20+IF(P20="",0,P20)=HB20,$FV$1,IF(V20+IF(P20="",0,P20)=FT20,$EN$1,IF(V20+IF(P20="",0,P20)=EL20,$DF$1)))))))))))),IF(V20=DD20,IF(V20+IF(R20="",0,R20)=MAX(SJ20,SM20,SQ20,ST20),$RP$1,IF(V20+IF(R20="",0,R20)=MAX(RB20,RE20,RI20,RL20),$QH$1,IF(V20+IF(R20="",0,R20)=MAX(PT20,PW20,QA20,QD20),$OZ$1,IF(V20+IF(R20="",0,R20)=MAX(OL20,OO20,OS20,OV20),$NR$1,IF(V20+IF(R20="",0,R20)=MAX(ND20,NG20,NK20,NN20),$MJ$1,IF(V20+IF(R20="",0,R20)=MAX(LV20,LY20,MC20,MF20),$LB$1,IF(V20+IF(R20="",0,R20)=MAX(KN20,KQ20,KU20,KX20),$JT$1,IF(V20+IF(R20="",0,R20)=MAX(JF20,JI20,JM20,JP20),$IL$1,IF(V20+IF(R20="",0,R20)=MAX(HX20,IA20,IE20,IH20),$HD$1,IF(V20+IF(R20="",0,R20)=MAX(GP20,GS20,GW20,GZ20),$FV$1,IF(V20+IF(R20="",0,R20)=MAX(FH20,FK20,FO20,FR20),$EN$1,IF(V20+IF(R20="",0,R20)=MAX(DZ20,EC20,EG20,EJ20),$DF$1)))))))))))),IF(V20=DE20,IF(V20+IF(T20="",0,T20)=MAX(SK20,SN20,SR20,SU20),$RP$1,IF(V20+IF(T20="",0,T20)=MAX(RC20,RF20,RJ20,RM20),$QH$1,IF(V20+IF(T20="",0,T20)=MAX(PU20,PX20,QB20,QE20),$OZ$1,IF(V20+IF(T20="",0,T20)=MAX(OM20,OP20,OT20,OW20),$NR$1,IF(V20+IF(T20="",0,T20)=MAX(NE20,NH20,NL20,NO20),$MJ$1,IF(V20+IF(T20="",0,T20)=MAX(LW20,LZ20,MD20,MG20),$LB$1,IF(V20+IF(T20="",0,T20)=MAX(KO20,KR20,KV20,KY20),$JT$1,IF(V20+IF(T20="",0,T20)=MAX(JG20,JJ20,JN20,JQ20),$IL$1,IF(V20+IF(T20="",0,T20)=MAX(HY20,IB20,IF20,II20),$HD$1,IF(V20+IF(T20="",0,T20)=MAX(GQ20,GT20,GX20,HA20),$FV$1,IF(V20+IF(T20="",0,T20)=MAX(FI20,FL20,FP20,FS20),$EN$1,IF(V20+IF(T20="",0,T20)=MAX(EA20,ED20,EH20,EK20),$DF$1)))))))))))))))))</f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>IF(AA20&gt;0,AA20,"")</f>
        <v>6.3</v>
      </c>
      <c r="AP20" s="74">
        <f>IF(AB20&gt;0,AB20,"")</f>
        <v>6.37</v>
      </c>
      <c r="AQ20" s="76">
        <f>IF(SUM(Y20:AB20)-AC20&gt;0,SUM(Y20:AB20)-AC20,"")</f>
        <v>21.37</v>
      </c>
      <c r="AR20" s="76">
        <f>IF(AF20&gt;0,AF20,"")</f>
        <v>4.9000000000000004</v>
      </c>
      <c r="AS20" s="76">
        <f>IF(AG20&gt;0,AG20,"")</f>
        <v>4.835</v>
      </c>
      <c r="AT20" s="76">
        <f>IF(SUM(AD20:AG20)-AH20&gt;0,SUM(AD20:AG20)-AH20,"")</f>
        <v>16.234999999999999</v>
      </c>
      <c r="AU20" s="76">
        <f>IF(AQ20="","",MAX(AQ20,AT20))</f>
        <v>21.37</v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>
        <f>IF(SUM(AU20,AX20)&gt;0,SUM(AU20,AX20),"")</f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>IF(CC20&gt;0,CC20,"")</f>
        <v>12.3</v>
      </c>
      <c r="CR20" s="74">
        <f>IF(CD20&gt;0,CD20,"")</f>
        <v>15.16</v>
      </c>
      <c r="CS20" s="76">
        <f>IF(SUM(CA20:CD20)-CE20&gt;0,SUM(CA20:CD20)-CE20,"")</f>
        <v>49.16</v>
      </c>
      <c r="CT20" s="76">
        <f>IF(CH20&gt;0,CH20,"")</f>
        <v>13</v>
      </c>
      <c r="CU20" s="76">
        <f>IF(CI20&gt;0,CI20,"")</f>
        <v>13.67</v>
      </c>
      <c r="CV20" s="76">
        <f>IF(SUM(CF20:CI20)-CJ20&gt;0,SUM(CF20:CI20)-CJ20,"")</f>
        <v>46.47</v>
      </c>
      <c r="CW20" s="76">
        <f>IF(CS20="","",MAX(CS20,CV20))</f>
        <v>49.16</v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>
        <f>IF(SUM(CW20,CZ20)&gt;0,SUM(CW20,CZ20),"")</f>
        <v>49.16</v>
      </c>
      <c r="DB20" s="87" t="str">
        <f>IF(L20&gt;=0.001,IF(MAX(EF20,FN20,GV20,ID20,JL20,KT20,MB20,NJ20,OR20,PZ20,RH20,SP20)-IF(L20="",0,L20)&gt;0.001,MAX(EF20,FN20,GV20,ID20,JL20,KT20,MB20,NJ20,OR20,PZ20,RH20,SP20)-IF(L20="",0,L20),""),"")</f>
        <v/>
      </c>
      <c r="DC20" s="87" t="str">
        <f>IF(P20&gt;=0.001,IF(MAX(EI20,EL20,FQ20,FT20,GY20,HB20,IG20,IJ20,JO20,JR20,KW20,KZ20,ME20,MH20,NM20,NP20,OU20,OX20,QC20,QF20,RK20,RN20,SS20,SV20)-IF(P20="",0,P20)&gt;0.001,MAX(EI20,EL20,FQ20,FT20,GY20,HB20,IG20,IJ20,JO20,JR20,KW20,KZ20,ME20,MH20,NM20,NP20,OU20,OX20,QC20,QF20,RK20,RN20,SS20,SV20)-IF(P20="",0,P20),""),"")</f>
        <v/>
      </c>
      <c r="DD20" s="87" t="str">
        <f>IF(R20&gt;=0.001,IF(MAX(DZ20,EC20,EG20,EJ20,FH20,FK20,FO20,FR20,GP20,GS20,GW20,GZ20,HX20,IA20,IE20,IH20,JF20,JI20,JM20,JP20,KN20,KQ20,KU20,KX20,LV20,LY20,MC20,MF20,ND20,NG20,NK20,NN20,OL20,OO20,OS20,OV20,PT20,PW20,QA20,QD20,RB20,RE20,RI20,RL20,SJ20,SM20,SQ20,ST20)-IF(R20="",0,R20)&gt;0.001,MAX(DZ20,EC20,EG20,EJ20,FH20,FK20,FO20,FR20,GP20,GS20,GW20,GZ20,HX20,IA20,IE20,IH20,JF20,JI20,JM20,JP20,KN20,KQ20,KU20,KX20,LV20,LY20,MC20,MF20,ND20,NG20,NK20,NN20,OL20,OO20,OS20,OV20,PT20,PW20,QA20,QD20,RB20,RE20,RI20,RL20,SJ20,SM20,SQ20,ST20)-IF(R20="",0,R20),""),"")</f>
        <v/>
      </c>
      <c r="DE20" s="87" t="str">
        <f>IF(T20&gt;=0.001,IF(MAX(IF(DZ20&gt;=$EM$25,EA20,0),IF(EC20&gt;=$EM$25,ED20,0),IF(EG20&gt;=$EM$25,EH20,0),IF(EJ20&gt;=$EM$25,EK20,0),IF(FH20&gt;=$FU$25,FI20,0),IF(FK20&gt;=$FU$25,FL20,0),IF(FO20&gt;=$FU$25,FP20,0),IF(FR20&gt;=$FU$25,FS20,0),IF(GP20&gt;=$HC$25,GQ20,0),IF(GS20&gt;=$HC$25,GT20,0),IF(GW20&gt;=$HC$25,GX20,0),IF(GZ20&gt;=$HC$25,HA20,0),IF(HX20&gt;=$IK$25,HY20,0),IF(IA20&gt;=$IK$25,IB20,0),IF(IE20&gt;=$IK$25,IF20,0),IF(IH20&gt;=$IK$25,II20,0),IF(JF20&gt;=$JS$25,JG20,0),IF(JI20&gt;=$JS$25,JJ20,0),IF(JM20&gt;=$JS$25,JN20,0),IF(JP20&gt;=$JS$25,JQ20,0),IF(KN20&gt;=$LA$25,KO20,0),IF(KQ20&gt;=$LA$25,KR20,0),IF(KU20&gt;=$LA$25,KV20,0),IF(KX20&gt;=$LA$25,KY20,0),IF(LV20&gt;=$MI$25,LW20,0),IF(LY20&gt;=$MI$25,LZ20,0),IF(MC20&gt;=$MI$25,MD20,0),IF(MF20&gt;=$MI$25,MG20,0),IF(ND20&gt;=$NQ$25,NE20,0),IF(NG20&gt;=$NQ$25,NH20,0),IF(NK20&gt;=$NQ$25,NL20,0),IF(NN20&gt;=$NQ$25,NO20,0),IF(OL20&gt;=$OY$25,OM20,0),IF(OO20&gt;=$OY$25,OP20,0),IF(OS20&gt;=$OY$25,OT20,0),IF(OV20&gt;=$OY$25,OW20,0),IF(PT20&gt;=$QG$25,PU20,0),IF(PW20&gt;=$QG$25,PX20,0),IF(QA20&gt;=$QG$25,QB20,0),IF(QD20&gt;=$QG$25,QE20,0),IF(RB20&gt;=$RO$25,RC20,0),IF(RE20&gt;=$RO$25,RF20,0),IF(RI20&gt;=$RO$25,RJ20,0),IF(RL20&gt;=$RO$25,RM20,0),IF(SJ20&gt;=$SW$25,SK20,0),IF(SM20&gt;=$SW$25,SN20,0),IF(SQ20&gt;=$SW$25,SR20,0),IF(ST20&gt;=$SW$25,SU20,0))-IF(T20="",0,T20)&gt;0.001,MAX(IF(DZ20&gt;=$EM$25,EA20,0),IF(EC20&gt;=$EM$25,ED20,0),IF(EG20&gt;=$EM$25,EH20,0),IF(EJ20&gt;=$EM$25,EK20,0),IF(FH20&gt;=$FU$25,FI20,0),IF(FK20&gt;=$FU$25,FL20,0),IF(FO20&gt;=$FU$25,FP20,0),IF(FR20&gt;=$FU$25,FS20,0),IF(GP20&gt;=$HC$25,GQ20,0),IF(GS20&gt;=$HC$25,GT20,0),IF(GW20&gt;=$HC$25,GX20,0),IF(GZ20&gt;=$HC$25,HA20,0),IF(HX20&gt;=$IK$25,HY20,0),IF(IA20&gt;=$IK$25,IB20,0),IF(IE20&gt;=$IK$25,IF20,0),IF(IH20&gt;=$IK$25,II20,0),IF(JF20&gt;=$JS$25,JG20,0),IF(JI20&gt;=$JS$25,JJ20,0),IF(JM20&gt;=$JS$25,JN20,0),IF(JP20&gt;=$JS$25,JQ20,0),IF(KN20&gt;=$LA$25,KO20,0),IF(KQ20&gt;=$LA$25,KR20,0),IF(KU20&gt;=$LA$25,KV20,0),IF(KX20&gt;=$LA$25,KY20,0),IF(LV20&gt;=$MI$25,LW20,0),IF(LY20&gt;=$MI$25,LZ20,0),IF(MC20&gt;=$MI$25,MD20,0),IF(MF20&gt;=$MI$25,MG20,0),IF(ND20&gt;=$NQ$25,NE20,0),IF(NG20&gt;=$NQ$25,NH20,0),IF(NK20&gt;=$NQ$25,NL20,0),IF(NN20&gt;=$NQ$25,NO20,0),IF(OL20&gt;=$OY$25,OM20,0),IF(OO20&gt;=$OY$25,OP20,0),IF(OS20&gt;=$OY$25,OT20,0),IF(OV20&gt;=$OY$25,OW20,0),IF(PT20&gt;=$QG$25,PU20,0),IF(PW20&gt;=$QG$25,PX20,0),IF(QA20&gt;=$QG$25,QB20,0),IF(QD20&gt;=$QG$25,QE20,0),IF(RB20&gt;=$RO$25,RC20,0),IF(RE20&gt;=$RO$25,RF20,0),IF(RI20&gt;=$RO$25,RJ20,0),IF(RL20&gt;=$RO$25,RM20,0),IF(SJ20&gt;=$SW$25,SK20,0),IF(SM20&gt;=$SW$25,SN20,0),IF(SQ20&gt;=$SW$25,SR20,0),IF(ST20&gt;=$SW$25,SU20,0))-IF(T20="",0,T20),""),"")</f>
        <v/>
      </c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76" t="str">
        <f>IF(DH20&gt;0,DH20,"")</f>
        <v/>
      </c>
      <c r="EA20" s="76" t="str">
        <f>IF(DI20&gt;0,DI20,"")</f>
        <v/>
      </c>
      <c r="EB20" s="76" t="str">
        <f>IF(SUM(DF20:DI20)-DJ20&gt;0,SUM(DF20:DI20)-DJ20,"")</f>
        <v/>
      </c>
      <c r="EC20" s="76" t="str">
        <f>IF(DM20&gt;0,DM20,"")</f>
        <v/>
      </c>
      <c r="ED20" s="76" t="str">
        <f>IF(DN20&gt;0,DN20,"")</f>
        <v/>
      </c>
      <c r="EE20" s="76" t="str">
        <f>IF(SUM(DK20:DN20)-DO20&gt;0,SUM(DK20:DN20)-DO20,"")</f>
        <v/>
      </c>
      <c r="EF20" s="76" t="str">
        <f>IF(MAX(EB20,EE20)&gt;0,MAX(EB20,EE20),"")</f>
        <v/>
      </c>
      <c r="EG20" s="76" t="str">
        <f>IF(DR20&gt;0,DR20,"")</f>
        <v/>
      </c>
      <c r="EH20" s="76" t="str">
        <f>IF(DS20&gt;0,DS20,"")</f>
        <v/>
      </c>
      <c r="EI20" s="76" t="str">
        <f>IF(SUM(DP20:DS20)-DT20&gt;0,SUM(DP20:DS20)-DT20,"")</f>
        <v/>
      </c>
      <c r="EJ20" s="76" t="str">
        <f>IF(DW20&gt;0,DW20,"")</f>
        <v/>
      </c>
      <c r="EK20" s="76" t="str">
        <f>IF(DX20&gt;0,DX20,"")</f>
        <v/>
      </c>
      <c r="EL20" s="76" t="str">
        <f>IF(SUM(DU20:DX20)-DY20&gt;0,SUM(DU20:DX20)-DY20,"")</f>
        <v/>
      </c>
      <c r="EM20" s="76" t="str">
        <f>IF(SUM(EF20,EL20)&gt;0,SUM(EF20,EL20),"")</f>
        <v/>
      </c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16" t="str">
        <f>IF(EP20&gt;0,EP20,"")</f>
        <v/>
      </c>
      <c r="FI20" s="16" t="str">
        <f>IF(EQ20&gt;0,EQ20,"")</f>
        <v/>
      </c>
      <c r="FJ20" s="16" t="str">
        <f>IF(SUM(EN20:EQ20)-ER20&gt;0,SUM(EN20:EQ20)-ER20,"")</f>
        <v/>
      </c>
      <c r="FK20" s="16" t="str">
        <f>IF(EU20&gt;0,EU20,"")</f>
        <v/>
      </c>
      <c r="FL20" s="16" t="str">
        <f>IF(EV20&gt;0,EV20,"")</f>
        <v/>
      </c>
      <c r="FM20" s="16" t="str">
        <f>IF(SUM(ES20:EV20)-EW20&gt;0,SUM(ES20:EV20)-EW20,"")</f>
        <v/>
      </c>
      <c r="FN20" s="16" t="str">
        <f>IF(MAX(FJ20,FM20)&gt;0,MAX(FJ20,FM20),"")</f>
        <v/>
      </c>
      <c r="FO20" s="16" t="str">
        <f>IF(EZ20&gt;0,EZ20,"")</f>
        <v/>
      </c>
      <c r="FP20" s="16" t="str">
        <f>IF(FA20&gt;0,FA20,"")</f>
        <v/>
      </c>
      <c r="FQ20" s="16" t="str">
        <f>IF(SUM(EX20:FA20)-FB20&gt;0,SUM(EX20:FA20)-FB20,"")</f>
        <v/>
      </c>
      <c r="FR20" s="16" t="str">
        <f>IF(FE20&gt;0,FE20,"")</f>
        <v/>
      </c>
      <c r="FS20" s="16" t="str">
        <f>IF(FF20&gt;0,FF20,"")</f>
        <v/>
      </c>
      <c r="FT20" s="16" t="str">
        <f>IF(SUM(FC20:FF20)-FG20&gt;0,SUM(FC20:FF20)-FG20,"")</f>
        <v/>
      </c>
      <c r="FU20" s="16" t="str">
        <f>IF(SUM(FN20,FT20)&gt;0,SUM(FN20,FT20),"")</f>
        <v/>
      </c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76" t="str">
        <f>IF(FX20&gt;0,FX20,"")</f>
        <v/>
      </c>
      <c r="GQ20" s="76" t="str">
        <f>IF(FY20&gt;0,FY20,"")</f>
        <v/>
      </c>
      <c r="GR20" s="76" t="str">
        <f>IF(SUM(FV20:FY20)-FZ20&gt;0,SUM(FV20:FY20)-FZ20,"")</f>
        <v/>
      </c>
      <c r="GS20" s="76" t="str">
        <f>IF(GC20&gt;0,GC20,"")</f>
        <v/>
      </c>
      <c r="GT20" s="76" t="str">
        <f>IF(GD20&gt;0,GD20,"")</f>
        <v/>
      </c>
      <c r="GU20" s="76" t="str">
        <f>IF(SUM(GA20:GD20)-GE20&gt;0,SUM(GA20:GD20)-GE20,"")</f>
        <v/>
      </c>
      <c r="GV20" s="76" t="str">
        <f>IF(MAX(GR20,GU20)&gt;0,MAX(GR20,GU20),"")</f>
        <v/>
      </c>
      <c r="GW20" s="76" t="str">
        <f>IF(GH20&gt;0,GH20,"")</f>
        <v/>
      </c>
      <c r="GX20" s="76" t="str">
        <f>IF(GI20&gt;0,GI20,"")</f>
        <v/>
      </c>
      <c r="GY20" s="76" t="str">
        <f>IF(SUM(GF20:GI20)-GJ20&gt;0,SUM(GF20:GI20)-GJ20,"")</f>
        <v/>
      </c>
      <c r="GZ20" s="76" t="str">
        <f>IF(GM20&gt;0,GM20,"")</f>
        <v/>
      </c>
      <c r="HA20" s="76" t="str">
        <f>IF(GN20&gt;0,GN20,"")</f>
        <v/>
      </c>
      <c r="HB20" s="76" t="str">
        <f>IF(SUM(GK20:GN20)-GO20&gt;0,SUM(GK20:GN20)-GO20,"")</f>
        <v/>
      </c>
      <c r="HC20" s="76" t="str">
        <f>IF(SUM(GV20,HB20)&gt;0,SUM(GV20,HB20),"")</f>
        <v/>
      </c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16" t="str">
        <f>IF(HF20&gt;0,HF20,"")</f>
        <v/>
      </c>
      <c r="HY20" s="16" t="str">
        <f>IF(HG20&gt;0,HG20,"")</f>
        <v/>
      </c>
      <c r="HZ20" s="16" t="str">
        <f>IF(SUM(HD20:HG20)-HH20&gt;0,SUM(HD20:HG20)-HH20,"")</f>
        <v/>
      </c>
      <c r="IA20" s="16" t="str">
        <f>IF(HK20&gt;0,HK20,"")</f>
        <v/>
      </c>
      <c r="IB20" s="16" t="str">
        <f>IF(HL20&gt;0,HL20,"")</f>
        <v/>
      </c>
      <c r="IC20" s="16" t="str">
        <f>IF(SUM(HI20:HL20)-HM20&gt;0,SUM(HI20:HL20)-HM20,"")</f>
        <v/>
      </c>
      <c r="ID20" s="16" t="str">
        <f>IF(MAX(HZ20,IC20)&gt;0,MAX(HZ20,IC20),"")</f>
        <v/>
      </c>
      <c r="IE20" s="16" t="str">
        <f>IF(HP20&gt;0,HP20,"")</f>
        <v/>
      </c>
      <c r="IF20" s="16" t="str">
        <f>IF(HQ20&gt;0,HQ20,"")</f>
        <v/>
      </c>
      <c r="IG20" s="16" t="str">
        <f>IF(SUM(HN20:HQ20)-HR20&gt;0,SUM(HN20:HQ20)-HR20,"")</f>
        <v/>
      </c>
      <c r="IH20" s="16" t="str">
        <f>IF(HU20&gt;0,HU20,"")</f>
        <v/>
      </c>
      <c r="II20" s="16" t="str">
        <f>IF(HV20&gt;0,HV20,"")</f>
        <v/>
      </c>
      <c r="IJ20" s="16" t="str">
        <f>IF(SUM(HS20:HV20)-HW20&gt;0,SUM(HS20:HV20)-HW20,"")</f>
        <v/>
      </c>
      <c r="IK20" s="16" t="str">
        <f>IF(SUM(ID20,IJ20)&gt;0,SUM(ID20,IJ20),"")</f>
        <v/>
      </c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76" t="str">
        <f>IF(IN20&gt;0,IN20,"")</f>
        <v/>
      </c>
      <c r="JG20" s="76" t="str">
        <f>IF(IO20&gt;0,IO20,"")</f>
        <v/>
      </c>
      <c r="JH20" s="76" t="str">
        <f>IF(SUM(IL20:IO20)-IP20&gt;0,SUM(IL20:IO20)-IP20,"")</f>
        <v/>
      </c>
      <c r="JI20" s="76" t="str">
        <f>IF(IS20&gt;0,IS20,"")</f>
        <v/>
      </c>
      <c r="JJ20" s="76" t="str">
        <f>IF(IT20&gt;0,IT20,"")</f>
        <v/>
      </c>
      <c r="JK20" s="76" t="str">
        <f>IF(SUM(IQ20:IT20)-IU20&gt;0,SUM(IQ20:IT20)-IU20,"")</f>
        <v/>
      </c>
      <c r="JL20" s="76" t="str">
        <f>IF(MAX(JH20,JK20)&gt;0,MAX(JH20,JK20),"")</f>
        <v/>
      </c>
      <c r="JM20" s="76" t="str">
        <f>IF(IX20&gt;0,IX20,"")</f>
        <v/>
      </c>
      <c r="JN20" s="76" t="str">
        <f>IF(IY20&gt;0,IY20,"")</f>
        <v/>
      </c>
      <c r="JO20" s="76" t="str">
        <f>IF(SUM(IV20:IY20)-IZ20&gt;0,SUM(IV20:IY20)-IZ20,"")</f>
        <v/>
      </c>
      <c r="JP20" s="76" t="str">
        <f>IF(JC20&gt;0,JC20,"")</f>
        <v/>
      </c>
      <c r="JQ20" s="76" t="str">
        <f>IF(JD20&gt;0,JD20,"")</f>
        <v/>
      </c>
      <c r="JR20" s="76" t="str">
        <f>IF(SUM(JA20:JD20)-JE20&gt;0,SUM(JA20:JD20)-JE20,"")</f>
        <v/>
      </c>
      <c r="JS20" s="76" t="str">
        <f>IF(SUM(JL20,JR20)&gt;0,SUM(JL20,JR20),"")</f>
        <v/>
      </c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16" t="str">
        <f>IF(JV20&gt;0,JV20,"")</f>
        <v/>
      </c>
      <c r="KO20" s="16" t="str">
        <f>IF(JW20&gt;0,JW20,"")</f>
        <v/>
      </c>
      <c r="KP20" s="16" t="str">
        <f>IF(SUM(JT20:JW20)-JX20&gt;0,SUM(JT20:JW20)-JX20,"")</f>
        <v/>
      </c>
      <c r="KQ20" s="16" t="str">
        <f>IF(KA20&gt;0,KA20,"")</f>
        <v/>
      </c>
      <c r="KR20" s="16" t="str">
        <f>IF(KB20&gt;0,KB20,"")</f>
        <v/>
      </c>
      <c r="KS20" s="16" t="str">
        <f>IF(SUM(JY20:KB20)-KC20&gt;0,SUM(JY20:KB20)-KC20,"")</f>
        <v/>
      </c>
      <c r="KT20" s="16" t="str">
        <f>IF(MAX(KP20,KS20)&gt;0,MAX(KP20,KS20),"")</f>
        <v/>
      </c>
      <c r="KU20" s="16" t="str">
        <f>IF(KF20&gt;0,KF20,"")</f>
        <v/>
      </c>
      <c r="KV20" s="16" t="str">
        <f>IF(KG20&gt;0,KG20,"")</f>
        <v/>
      </c>
      <c r="KW20" s="16" t="str">
        <f>IF(SUM(KD20:KG20)-KH20&gt;0,SUM(KD20:KG20)-KH20,"")</f>
        <v/>
      </c>
      <c r="KX20" s="16" t="str">
        <f>IF(KK20&gt;0,KK20,"")</f>
        <v/>
      </c>
      <c r="KY20" s="16" t="str">
        <f>IF(KL20&gt;0,KL20,"")</f>
        <v/>
      </c>
      <c r="KZ20" s="16" t="str">
        <f>IF(SUM(KI20:KL20)-KM20&gt;0,SUM(KI20:KL20)-KM20,"")</f>
        <v/>
      </c>
      <c r="LA20" s="16" t="str">
        <f>IF(SUM(KT20,KZ20)&gt;0,SUM(KT20,KZ20),"")</f>
        <v/>
      </c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76" t="str">
        <f>IF(LD20&gt;0,LD20,"")</f>
        <v/>
      </c>
      <c r="LW20" s="76" t="str">
        <f>IF(LE20&gt;0,LE20,"")</f>
        <v/>
      </c>
      <c r="LX20" s="76" t="str">
        <f>IF(SUM(LB20:LE20)-LF20&gt;0,SUM(LB20:LE20)-LF20,"")</f>
        <v/>
      </c>
      <c r="LY20" s="76" t="str">
        <f>IF(LI20&gt;0,LI20,"")</f>
        <v/>
      </c>
      <c r="LZ20" s="76" t="str">
        <f>IF(LJ20&gt;0,LJ20,"")</f>
        <v/>
      </c>
      <c r="MA20" s="76" t="str">
        <f>IF(SUM(LG20:LJ20)-LK20&gt;0,SUM(LG20:LJ20)-LK20,"")</f>
        <v/>
      </c>
      <c r="MB20" s="76" t="str">
        <f>IF(MAX(LX20,MA20)&gt;0,MAX(LX20,MA20),"")</f>
        <v/>
      </c>
      <c r="MC20" s="76" t="str">
        <f>IF(LN20&gt;0,LN20,"")</f>
        <v/>
      </c>
      <c r="MD20" s="76" t="str">
        <f>IF(LO20&gt;0,LO20,"")</f>
        <v/>
      </c>
      <c r="ME20" s="76" t="str">
        <f>IF(SUM(LL20:LO20)-LP20&gt;0,SUM(LL20:LO20)-LP20,"")</f>
        <v/>
      </c>
      <c r="MF20" s="76" t="str">
        <f>IF(LS20&gt;0,LS20,"")</f>
        <v/>
      </c>
      <c r="MG20" s="76" t="str">
        <f>IF(LT20&gt;0,LT20,"")</f>
        <v/>
      </c>
      <c r="MH20" s="76" t="str">
        <f>IF(SUM(LQ20:LT20)-LU20&gt;0,SUM(LQ20:LT20)-LU20,"")</f>
        <v/>
      </c>
      <c r="MI20" s="76" t="str">
        <f>IF(SUM(MB20,MH20)&gt;0,SUM(MB20,MH20),"")</f>
        <v/>
      </c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26"/>
      <c r="NC20" s="26"/>
      <c r="ND20" s="16" t="str">
        <f>IF(ML20&gt;0,ML20,"")</f>
        <v/>
      </c>
      <c r="NE20" s="16" t="str">
        <f>IF(MM20&gt;0,MM20,"")</f>
        <v/>
      </c>
      <c r="NF20" s="16" t="str">
        <f>IF(SUM(MJ20:MM20)-MN20&gt;0,SUM(MJ20:MM20)-MN20,"")</f>
        <v/>
      </c>
      <c r="NG20" s="16" t="str">
        <f>IF(MQ20&gt;0,MQ20,"")</f>
        <v/>
      </c>
      <c r="NH20" s="16" t="str">
        <f>IF(MR20&gt;0,MR20,"")</f>
        <v/>
      </c>
      <c r="NI20" s="16" t="str">
        <f>IF(SUM(MO20:MR20)-MS20&gt;0,SUM(MO20:MR20)-MS20,"")</f>
        <v/>
      </c>
      <c r="NJ20" s="16" t="str">
        <f>IF(MAX(NF20,NI20)&gt;0,MAX(NF20,NI20),"")</f>
        <v/>
      </c>
      <c r="NK20" s="16" t="str">
        <f>IF(MV20&gt;0,MV20,"")</f>
        <v/>
      </c>
      <c r="NL20" s="16" t="str">
        <f>IF(MW20&gt;0,MW20,"")</f>
        <v/>
      </c>
      <c r="NM20" s="16" t="str">
        <f>IF(SUM(MT20:MW20)-MX20&gt;0,SUM(MT20:MW20)-MX20,"")</f>
        <v/>
      </c>
      <c r="NN20" s="16" t="str">
        <f>IF(NA20&gt;0,NA20,"")</f>
        <v/>
      </c>
      <c r="NO20" s="16" t="str">
        <f>IF(NB20&gt;0,NB20,"")</f>
        <v/>
      </c>
      <c r="NP20" s="16" t="str">
        <f>IF(SUM(MY20:NB20)-NC20&gt;0,SUM(MY20:NB20)-NC20,"")</f>
        <v/>
      </c>
      <c r="NQ20" s="16" t="str">
        <f>IF(SUM(NJ20,NP20)&gt;0,SUM(NJ20,NP20),"")</f>
        <v/>
      </c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76" t="str">
        <f>IF(NT20&gt;0,NT20,"")</f>
        <v/>
      </c>
      <c r="OM20" s="76" t="str">
        <f>IF(NU20&gt;0,NU20,"")</f>
        <v/>
      </c>
      <c r="ON20" s="76" t="str">
        <f>IF(SUM(NR20:NU20)-NV20&gt;0,SUM(NR20:NU20)-NV20,"")</f>
        <v/>
      </c>
      <c r="OO20" s="76" t="str">
        <f>IF(NY20&gt;0,NY20,"")</f>
        <v/>
      </c>
      <c r="OP20" s="76" t="str">
        <f>IF(NZ20&gt;0,NZ20,"")</f>
        <v/>
      </c>
      <c r="OQ20" s="76" t="str">
        <f>IF(SUM(NW20:NZ20)-OA20&gt;0,SUM(NW20:NZ20)-OA20,"")</f>
        <v/>
      </c>
      <c r="OR20" s="76" t="str">
        <f>IF(MAX(ON20,OQ20)&gt;0,MAX(ON20,OQ20),"")</f>
        <v/>
      </c>
      <c r="OS20" s="76" t="str">
        <f>IF(OD20&gt;0,OD20,"")</f>
        <v/>
      </c>
      <c r="OT20" s="76" t="str">
        <f>IF(OE20&gt;0,OE20,"")</f>
        <v/>
      </c>
      <c r="OU20" s="76" t="str">
        <f>IF(SUM(OB20:OE20)-OF20&gt;0,SUM(OB20:OE20)-OF20,"")</f>
        <v/>
      </c>
      <c r="OV20" s="76" t="str">
        <f>IF(OI20&gt;0,OI20,"")</f>
        <v/>
      </c>
      <c r="OW20" s="76" t="str">
        <f>IF(OJ20&gt;0,OJ20,"")</f>
        <v/>
      </c>
      <c r="OX20" s="76" t="str">
        <f>IF(SUM(OG20:OJ20)-OK20&gt;0,SUM(OG20:OJ20)-OK20,"")</f>
        <v/>
      </c>
      <c r="OY20" s="76" t="str">
        <f>IF(SUM(OR20,OX20)&gt;0,SUM(OR20,OX20),"")</f>
        <v/>
      </c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16" t="str">
        <f>IF(PB20&gt;0,PB20,"")</f>
        <v/>
      </c>
      <c r="PU20" s="16" t="str">
        <f>IF(PC20&gt;0,PC20,"")</f>
        <v/>
      </c>
      <c r="PV20" s="16" t="str">
        <f>IF(SUM(OZ20:PC20)-PD20&gt;0,SUM(OZ20:PC20)-PD20,"")</f>
        <v/>
      </c>
      <c r="PW20" s="16" t="str">
        <f>IF(PG20&gt;0,PG20,"")</f>
        <v/>
      </c>
      <c r="PX20" s="16" t="str">
        <f>IF(PH20&gt;0,PH20,"")</f>
        <v/>
      </c>
      <c r="PY20" s="16" t="str">
        <f>IF(SUM(PE20:PH20)-PI20&gt;0,SUM(PE20:PH20)-PI20,"")</f>
        <v/>
      </c>
      <c r="PZ20" s="16" t="str">
        <f>IF(MAX(PV20,PY20)&gt;0,MAX(PV20,PY20),"")</f>
        <v/>
      </c>
      <c r="QA20" s="16" t="str">
        <f>IF(PL20&gt;0,PL20,"")</f>
        <v/>
      </c>
      <c r="QB20" s="16" t="str">
        <f>IF(PM20&gt;0,PM20,"")</f>
        <v/>
      </c>
      <c r="QC20" s="16" t="str">
        <f>IF(SUM(PJ20:PM20)-PN20&gt;0,SUM(PJ20:PM20)-PN20,"")</f>
        <v/>
      </c>
      <c r="QD20" s="16" t="str">
        <f>IF(PQ20&gt;0,PQ20,"")</f>
        <v/>
      </c>
      <c r="QE20" s="16" t="str">
        <f>IF(PR20&gt;0,PR20,"")</f>
        <v/>
      </c>
      <c r="QF20" s="16" t="str">
        <f>IF(SUM(PO20:PR20)-PS20&gt;0,SUM(PO20:PR20)-PS20,"")</f>
        <v/>
      </c>
      <c r="QG20" s="16" t="str">
        <f>IF(SUM(PZ20,QF20)&gt;0,SUM(PZ20,QF20),"")</f>
        <v/>
      </c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25"/>
      <c r="RA20" s="25"/>
      <c r="RB20" s="76" t="str">
        <f>IF(QJ20&gt;0,QJ20,"")</f>
        <v/>
      </c>
      <c r="RC20" s="76" t="str">
        <f>IF(QK20&gt;0,QK20,"")</f>
        <v/>
      </c>
      <c r="RD20" s="76" t="str">
        <f>IF(SUM(QH20:QK20)-QL20&gt;0,SUM(QH20:QK20)-QL20,"")</f>
        <v/>
      </c>
      <c r="RE20" s="76" t="str">
        <f>IF(QO20&gt;0,QO20,"")</f>
        <v/>
      </c>
      <c r="RF20" s="76" t="str">
        <f>IF(QP20&gt;0,QP20,"")</f>
        <v/>
      </c>
      <c r="RG20" s="76" t="str">
        <f>IF(SUM(QM20:QP20)-QQ20&gt;0,SUM(QM20:QP20)-QQ20,"")</f>
        <v/>
      </c>
      <c r="RH20" s="76" t="str">
        <f>IF(MAX(RD20,RG20)&gt;0,MAX(RD20,RG20),"")</f>
        <v/>
      </c>
      <c r="RI20" s="76" t="str">
        <f>IF(QT20&gt;0,QT20,"")</f>
        <v/>
      </c>
      <c r="RJ20" s="76" t="str">
        <f>IF(QU20&gt;0,QU20,"")</f>
        <v/>
      </c>
      <c r="RK20" s="76" t="str">
        <f>IF(SUM(QR20:QU20)-QV20&gt;0,SUM(QR20:QU20)-QV20,"")</f>
        <v/>
      </c>
      <c r="RL20" s="76" t="str">
        <f>IF(QY20&gt;0,QY20,"")</f>
        <v/>
      </c>
      <c r="RM20" s="76" t="str">
        <f>IF(QZ20&gt;0,QZ20,"")</f>
        <v/>
      </c>
      <c r="RN20" s="76" t="str">
        <f>IF(SUM(QW20:QZ20)-RA20&gt;0,SUM(QW20:QZ20)-RA20,"")</f>
        <v/>
      </c>
      <c r="RO20" s="76" t="str">
        <f>IF(SUM(RH20,RN20)&gt;0,SUM(RH20,RN20),"")</f>
        <v/>
      </c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26"/>
      <c r="SI20" s="26"/>
      <c r="SJ20" s="16" t="str">
        <f>IF(RR20&gt;0,RR20,"")</f>
        <v/>
      </c>
      <c r="SK20" s="16" t="str">
        <f>IF(RS20&gt;0,RS20,"")</f>
        <v/>
      </c>
      <c r="SL20" s="16" t="str">
        <f>IF(SUM(RP20:RS20)-RT20&gt;0,SUM(RP20:RS20)-RT20,"")</f>
        <v/>
      </c>
      <c r="SM20" s="16" t="str">
        <f>IF(RW20&gt;0,RW20,"")</f>
        <v/>
      </c>
      <c r="SN20" s="16" t="str">
        <f>IF(RX20&gt;0,RX20,"")</f>
        <v/>
      </c>
      <c r="SO20" s="16" t="str">
        <f>IF(SUM(RU20:RX20)-RY20&gt;0,SUM(RU20:RX20)-RY20,"")</f>
        <v/>
      </c>
      <c r="SP20" s="16" t="str">
        <f>IF(MAX(SL20,SO20)&gt;0,MAX(SL20,SO20),"")</f>
        <v/>
      </c>
      <c r="SQ20" s="16" t="str">
        <f>IF(SB20&gt;0,SB20,"")</f>
        <v/>
      </c>
      <c r="SR20" s="16" t="str">
        <f>IF(SC20&gt;0,SC20,"")</f>
        <v/>
      </c>
      <c r="SS20" s="16" t="str">
        <f>IF(SUM(RZ20:SC20)-SD20&gt;0,SUM(RZ20:SC20)-SD20,"")</f>
        <v/>
      </c>
      <c r="ST20" s="16" t="str">
        <f>IF(SG20&gt;0,SG20,"")</f>
        <v/>
      </c>
      <c r="SU20" s="16" t="str">
        <f>IF(SH20&gt;0,SH20,"")</f>
        <v/>
      </c>
      <c r="SV20" s="16" t="str">
        <f>IF(SUM(SE20:SH20)-SI20&gt;0,SUM(SE20:SH20)-SI20,"")</f>
        <v/>
      </c>
      <c r="SW20" s="16" t="str">
        <f>IF(SUM(SP20,SV20)&gt;0,SUM(SP20,SV20),"")</f>
        <v/>
      </c>
      <c r="SX20" s="42">
        <f>IF($CP20="P",CA20,(CA20+AZ20)/2)</f>
        <v>6.85</v>
      </c>
      <c r="SY20" s="42">
        <f>IF($CP20="P",CB20,(CB20+BA20)/2)</f>
        <v>4.5999999999999996</v>
      </c>
      <c r="SZ20" s="42">
        <f>IF($CP20="P",CC20,(CC20+BB20)/2)</f>
        <v>6.15</v>
      </c>
      <c r="TA20" s="42">
        <f>IF($CP20="P",CD20,(CD20+BC20)/2)</f>
        <v>7.58</v>
      </c>
      <c r="TB20" s="42">
        <f>IF($CP20="P",CE20,(CE20+BD20)/2)</f>
        <v>0.6</v>
      </c>
      <c r="TC20" s="42">
        <f>IF($CP20="P",CF20,(CF20+BE20)/2)</f>
        <v>6.05</v>
      </c>
      <c r="TD20" s="42">
        <f>IF($CP20="P",CG20,(CG20+BF20)/2)</f>
        <v>3.85</v>
      </c>
      <c r="TE20" s="42">
        <f>IF($CP20="P",CH20,(CH20+BG20)/2)</f>
        <v>6.5</v>
      </c>
      <c r="TF20" s="42">
        <f>IF($CP20="P",CI20,(CI20+BH20)/2)</f>
        <v>6.835</v>
      </c>
      <c r="TG20" s="42">
        <f>IF($CP20="P",CJ20,(CJ20+BI20)/2)</f>
        <v>0</v>
      </c>
      <c r="TH20" s="42">
        <f>IF($CP20="P",CK20,(CK20+BJ20)/2)</f>
        <v>0</v>
      </c>
      <c r="TI20" s="42">
        <f>IF($CP20="P",CL20,(CL20+BK20)/2)</f>
        <v>0</v>
      </c>
      <c r="TJ20" s="42">
        <f>IF($CP20="P",CM20,(CM20+BL20)/2)</f>
        <v>0</v>
      </c>
      <c r="TK20" s="42">
        <f>IF($CP20="P",CN20,(CN20+BM20)/2)</f>
        <v>0</v>
      </c>
      <c r="TL20" s="42">
        <f>IF($CP20="P",CO20,(CO20+BN20)/2)</f>
        <v>0</v>
      </c>
      <c r="TM20" s="51" t="s">
        <v>61</v>
      </c>
      <c r="TN20" s="76">
        <f>IF(SZ20&gt;0,SZ20,"")</f>
        <v>6.15</v>
      </c>
      <c r="TO20" s="76">
        <f>IF(TA20&gt;0,TA20,"")</f>
        <v>7.58</v>
      </c>
      <c r="TP20" s="76">
        <f>IF(SUM(SX20:TA20)-TB20&gt;0,SUM(SX20:TA20)-TB20,"")</f>
        <v>24.58</v>
      </c>
      <c r="TQ20" s="76">
        <f>IF(TE20&gt;0,TE20,"")</f>
        <v>6.5</v>
      </c>
      <c r="TR20" s="76">
        <f>IF(TF20&gt;0,TF20,"")</f>
        <v>6.835</v>
      </c>
      <c r="TS20" s="76">
        <f>IF(SUM(TC20:TF20)-TG20&gt;0,SUM(TC20:TF20)-TG20,"")</f>
        <v>23.234999999999999</v>
      </c>
      <c r="TT20" s="76">
        <f>IF(MAX(TP20,TS20)&gt;0,MAX(TP20,TS20),"")</f>
        <v>24.58</v>
      </c>
      <c r="TU20" s="76" t="str">
        <f>IF(TJ20&gt;0,TJ20,"")</f>
        <v/>
      </c>
      <c r="TV20" s="76" t="str">
        <f>IF(TK20&gt;0,TK20,"")</f>
        <v/>
      </c>
      <c r="TW20" s="76" t="str">
        <f>IF(SUM(TH20:TK20)-TL20&gt;0,SUM(TH20:TK20)-TL20,"")</f>
        <v/>
      </c>
      <c r="TX20" s="76">
        <f>IF(SUM(TT20,TW20)&gt;0,SUM(TT20,TW20),"")</f>
        <v>24.58</v>
      </c>
    </row>
    <row r="21" spans="1:544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>SUM(J21:V21)+SUM(J21:T21)*0.0000001+SUM(J21)*0.0000000000001</f>
        <v>86.095008609504703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Z21&gt;=EM$25,DZ21&lt;&gt;"",EB21&gt;=EM$29,EB21&lt;&gt;""),AND(EC21&gt;=EM$25,EC21&lt;&gt;"",EE21&gt;=EM$29,EE21&lt;&gt;""),AND(EG21&gt;=EM$25,EG21&lt;&gt;"",EI21&gt;=EM$29,EI21&lt;&gt;""),AND(EJ21&gt;=EM$25,EJ21&lt;&gt;"",EL21&gt;=EM$29,EL21&lt;&gt;""),AND(FH21&gt;=FU$25,FH21&lt;&gt;"",FJ21&gt;=FU$29,FJ21&lt;&gt;""),AND(FK21&gt;=FU$25,FK21&lt;&gt;"",FM21&gt;=FU$29,FM21&lt;&gt;""),AND(FO21&gt;=FU$25,FO21&lt;&gt;"",FQ21&gt;=FU$29,FQ21&lt;&gt;""),AND(FR21&gt;=FU$25,FR21&lt;&gt;"",FT21&gt;=FU$29,FT21&lt;&gt;""),AND(GP21&gt;=HC$25,GP21&lt;&gt;"",GR21&gt;=HC$29,GR21&lt;&gt;""),AND(GS21&gt;=HC$25,GS21&lt;&gt;"",GU21&gt;=HC$29,GU21&lt;&gt;""),AND(GW21&gt;=HC$25,GW21&lt;&gt;"",GY21&gt;=HC$29,GY21&lt;&gt;""),AND(GZ21&gt;=HC$25,GZ21&lt;&gt;"",HB21&gt;=HC$29,HB21&lt;&gt;""),AND(HX21&gt;=IK$25,HX21&lt;&gt;"",HZ21&gt;=IK$29,HZ21&lt;&gt;""),AND(IA21&gt;=IK$25,IA21&lt;&gt;"",IC21&gt;=IK$29,IC21&lt;&gt;""),AND(IE21&gt;=IK$25,IE21&lt;&gt;"",IG21&gt;=IK$29,IG21&lt;&gt;""),AND(IH21&gt;=IK$25,IH21&lt;&gt;"",IJ21&gt;=IK$29,IJ21&lt;&gt;""),AND(JF21&gt;=JS$25,JF21&lt;&gt;"",JH21&gt;=JS$29,JH21&lt;&gt;""),AND(JI21&gt;=JS$25,JI21&lt;&gt;"",JK21&gt;=JS$29,JK21&lt;&gt;""),AND(JM21&gt;=JS$25,JM21&lt;&gt;"",JO21&gt;=JS$29,JO21&lt;&gt;""),AND(JP21&gt;=JS$25,JP21&lt;&gt;"",JR21&gt;=JS$29,JR21&lt;&gt;""),AND(KN21&gt;=LA$25,KN21&lt;&gt;"",KP21&gt;=LA$29,KP21&lt;&gt;""),AND(KQ21&gt;=LA$25,KQ21&lt;&gt;"",KS21&gt;=LA$29,KS21&lt;&gt;""),AND(KU21&gt;=LA$25,KU21&lt;&gt;"",KW21&gt;=LA$29,KW21&lt;&gt;""),AND(KX21&gt;=LA$25,KX21&lt;&gt;"",KZ21&gt;=LA$29,KZ21&lt;&gt;""),AND(LV21&gt;=MI$25,LV21&lt;&gt;"",LX21&gt;=MI$29,LX21&lt;&gt;""),AND(LY21&gt;=MI$25,LY21&lt;&gt;"",MA21&gt;=MI$29,MA21&lt;&gt;""),AND(MC21&gt;=MI$25,MC21&lt;&gt;"",ME21&gt;=MI$29,ME21&lt;&gt;""),AND(MF21&gt;=MI$25,MF21&lt;&gt;"",MH21&gt;=MI$29,MH21&lt;&gt;""),AND(ND21&gt;=NQ$25,ND21&lt;&gt;"",NF21&gt;=NQ$29,NF21&lt;&gt;""),AND(NG21&gt;=NQ$25,NG21&lt;&gt;"",NI21&gt;=NQ$29,NI21&lt;&gt;""),AND(NK21&gt;=NQ$25,NK21&lt;&gt;"",NM21&gt;=NQ$29,NM21&lt;&gt;""),AND(NN21&gt;=NQ$25,NN21&lt;&gt;"",NP21&gt;=NQ$29,NP21&lt;&gt;""),AND(OL21&gt;=OY$25,OL21&lt;&gt;"",ON21&gt;=OY$29,ON21&lt;&gt;""),AND(OO21&gt;=OY$25,OO21&lt;&gt;"",OQ21&gt;=OY$29,OQ21&lt;&gt;""),AND(OS21&gt;=OY$25,OS21&lt;&gt;"",OU21&gt;=OY$29,OU21&lt;&gt;""),AND(OV21&gt;=OY$25,OV21&lt;&gt;"",OX21&gt;=OY$29,OX21&lt;&gt;""),AND(PT21&gt;=QG$25,PT21&lt;&gt;"",PV21&gt;=QG$29,PV21&lt;&gt;""),AND(PW21&gt;=QG$25,PW21&lt;&gt;"",PY21&gt;=QG$29,PY21&lt;&gt;""),AND(QA21&gt;=QG$25,QA21&lt;&gt;"",QC21&gt;=QG$29,QC21&lt;&gt;""),AND(QD21&gt;=QG$25,QD21&lt;&gt;"",QF21&gt;=QG$29,QF21&lt;&gt;""),AND(RB21&gt;=RO$25,RB21&lt;&gt;"",RD21&gt;=RO$29,RD21&lt;&gt;""),AND(RE21&gt;=RO$25,RE21&lt;&gt;"",RG21&gt;=RO$29,RG21&lt;&gt;""),AND(RI21&gt;=RO$25,RI21&lt;&gt;"",RK21&gt;=RO$29,RK21&lt;&gt;""),AND(RL21&gt;=RO$25,RL21&lt;&gt;"",RN21&gt;=RO$29,RN21&lt;&gt;""),AND(SJ21&gt;=SW$25,SJ21&lt;&gt;"",SL21&gt;=SW$29,SL21&lt;&gt;""),AND(SM21&gt;=SW$25,SM21&lt;&gt;"",SO21&gt;=SW$29,SO21&lt;&gt;""),AND(SQ21&gt;=SW$25,SQ21&lt;&gt;"",SS21&gt;=SW$29,SS21&lt;&gt;""),AND(ST21&gt;=SW$25,ST21&lt;&gt;"",SV21&gt;=SW$29,SV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EB21&gt;=EM$29,EB21&lt;&gt;""),AND(EE21&gt;=EM$29,EE21&lt;&gt;""),AND(EI21&gt;=EM$29,EI21&lt;&gt;""),AND(EL21&gt;=EM$29,EL21&lt;&gt;""),AND(FJ21&gt;=FU$29,FJ21&lt;&gt;""),AND(FM21&gt;=FU$29,FM21&lt;&gt;""),AND(FQ21&gt;=FU$29,FQ21&lt;&gt;""),AND(FT21&gt;=FU$29,FT21&lt;&gt;""),AND(GR21&gt;=HC$29,GR21&lt;&gt;""),AND(GU21&gt;=HC$29,GU21&lt;&gt;""),AND(GY21&gt;=HC$29,GY21&lt;&gt;""),AND(HB21&gt;=HC$29,HB21&lt;&gt;""),AND(HZ21&gt;=IK$29,HZ21&lt;&gt;""),AND(IC21&gt;=IK$29,IC21&lt;&gt;""),AND(IG21&gt;=IK$29,IG21&lt;&gt;""),AND(IJ21&gt;=IK$29,IJ21&lt;&gt;""),AND(JH21&gt;=JS$29,JH21&lt;&gt;""),AND(JK21&gt;=JS$29,JK21&lt;&gt;""),AND(JO21&gt;=JS$29,JO21&lt;&gt;""),AND(JR21&gt;=JS$29,JR21&lt;&gt;""),AND(KP21&gt;=LA$29,KP21&lt;&gt;""),AND(KS21&gt;=LA$29,KS21&lt;&gt;""),AND(KW21&gt;=LA$29,KW21&lt;&gt;""),AND(KZ21&gt;=LA$29,KZ21&lt;&gt;""),AND(LX21&gt;=MI$29,LX21&lt;&gt;""),AND(MA21&gt;=MI$29,MA21&lt;&gt;""),AND(ME21&gt;=MI$29,ME21&lt;&gt;""),AND(MH21&gt;=MI$29,MH21&lt;&gt;""),AND(NF21&gt;=NQ$29,NF21&lt;&gt;""),AND(NI21&gt;=NQ$29,NI21&lt;&gt;""),AND(NM21&gt;=NQ$29,NM21&lt;&gt;""),AND(NP21&gt;=NQ$29,NP21&lt;&gt;""),AND(ON21&gt;=OY$29,ON21&lt;&gt;""),AND(OQ21&gt;=OY$29,OQ21&lt;&gt;""),AND(OU21&gt;=OY$29,OU21&lt;&gt;""),AND(OX21&gt;=OY$29,OX21&lt;&gt;""),AND(PV21&gt;=QG$29,PV21&lt;&gt;""),AND(PY21&gt;=QG$29,PY21&lt;&gt;""),AND(QC21&gt;=QG$29,QC21&lt;&gt;""),AND(QF21&gt;=QG$29,QF21&lt;&gt;""),AND(RD21&gt;=RO$29,RD21&lt;&gt;""),AND(RG21&gt;=RO$29,RG21&lt;&gt;""),AND(RK21&gt;=RO$29,RK21&lt;&gt;""),AND(RN21&gt;=RO$29,RN21&lt;&gt;""),AND(SL21&gt;=SW$29,SL21&lt;&gt;""),AND(SO21&gt;=SW$29,SO21&lt;&gt;""),AND(SS21&gt;=SW$29,SS21&lt;&gt;""),AND(SV21&gt;=SW$29,SV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Z21&gt;=EM$28,DZ21&lt;&gt;"",EB21&gt;=EM$32,EB21&lt;&gt;""),AND(EC21&gt;=EM$28,EC21&lt;&gt;"",EE21&gt;=EM$32,EE21&lt;&gt;""),AND(EG21&gt;=EM$28,EG21&lt;&gt;"",EI21&gt;=EM$32,EI21&lt;&gt;""),AND(EJ21&gt;=EM$28,EJ21&lt;&gt;"",EL21&gt;=EM$32,EL21&lt;&gt;""),AND(FH21&gt;=FU$28,FH21&lt;&gt;"",FJ21&gt;=FU$32,FJ21&lt;&gt;""),AND(FK21&gt;=FU$28,FK21&lt;&gt;"",FM21&gt;=FU$32,FM21&lt;&gt;""),AND(FO21&gt;=FU$28,FO21&lt;&gt;"",FQ21&gt;=FU$32,FQ21&lt;&gt;""),AND(FR21&gt;=FU$28,FR21&lt;&gt;"",FT21&gt;=FU$32,FT21&lt;&gt;""),AND(GP21&gt;=HC$28,GP21&lt;&gt;"",GR21&gt;=HC$32,GR21&lt;&gt;""),AND(GS21&gt;=HC$28,GS21&lt;&gt;"",GU21&gt;=HC$32,GU21&lt;&gt;""),AND(GW21&gt;=HC$28,GW21&lt;&gt;"",GY21&gt;=HC$32,GY21&lt;&gt;""),AND(GZ21&gt;=HC$28,GZ21&lt;&gt;"",HB21&gt;=HC$32,HB21&lt;&gt;""),AND(HX21&gt;=IK$28,HX21&lt;&gt;"",HZ21&gt;=IK$32,HZ21&lt;&gt;""),AND(IA21&gt;=IK$28,IA21&lt;&gt;"",IC21&gt;=IK$32,IC21&lt;&gt;""),AND(IE21&gt;=IK$28,IE21&lt;&gt;"",IG21&gt;=IK$32,IG21&lt;&gt;""),AND(IH21&gt;=IK$28,IH21&lt;&gt;"",IJ21&gt;=IK$32,IJ21&lt;&gt;""),AND(JF21&gt;=JS$28,JF21&lt;&gt;"",JH21&gt;=JS$32,JH21&lt;&gt;""),AND(JI21&gt;=JS$28,JI21&lt;&gt;"",JK21&gt;=JS$32,JK21&lt;&gt;""),AND(JM21&gt;=JS$28,JM21&lt;&gt;"",JO21&gt;=JS$32,JO21&lt;&gt;""),AND(JP21&gt;=JS$28,JP21&lt;&gt;"",JR21&gt;=JS$32,JR21&lt;&gt;""),AND(KN21&gt;=LA$28,KN21&lt;&gt;"",KP21&gt;=LA$32,KP21&lt;&gt;""),AND(KQ21&gt;=LA$28,KQ21&lt;&gt;"",KS21&gt;=LA$32,KS21&lt;&gt;""),AND(KU21&gt;=LA$28,KU21&lt;&gt;"",KW21&gt;=LA$32,KW21&lt;&gt;""),AND(KX21&gt;=LA$28,KX21&lt;&gt;"",KZ21&gt;=LA$32,KZ21&lt;&gt;""),AND(LV21&gt;=MI$28,LV21&lt;&gt;"",LX21&gt;=MI$32,LX21&lt;&gt;""),AND(LY21&gt;=MI$28,LY21&lt;&gt;"",MA21&gt;=MI$32,MA21&lt;&gt;""),AND(MC21&gt;=MI$28,MC21&lt;&gt;"",ME21&gt;=MI$32,ME21&lt;&gt;""),AND(MF21&gt;=MI$28,MF21&lt;&gt;"",MH21&gt;=MI$32,MH21&lt;&gt;""),AND(ND21&gt;=NQ$28,ND21&lt;&gt;"",NF21&gt;=NQ$32,NF21&lt;&gt;""),AND(NG21&gt;=NQ$28,NG21&lt;&gt;"",NI21&gt;=NQ$32,NI21&lt;&gt;""),AND(NK21&gt;=NQ$28,NK21&lt;&gt;"",NM21&gt;=NQ$32,NM21&lt;&gt;""),AND(NN21&gt;=NQ$28,NN21&lt;&gt;"",NP21&gt;=NQ$32,NP21&lt;&gt;""),AND(OL21&gt;=OY$28,OL21&lt;&gt;"",ON21&gt;=OY$32,ON21&lt;&gt;""),AND(OO21&gt;=OY$28,OO21&lt;&gt;"",OQ21&gt;=OY$32,OQ21&lt;&gt;""),AND(OS21&gt;=OY$28,OS21&lt;&gt;"",OU21&gt;=OY$32,OU21&lt;&gt;""),AND(OV21&gt;=OY$28,OV21&lt;&gt;"",OX21&gt;=OY$32,OX21&lt;&gt;""),AND(PT21&gt;=QG$28,PT21&lt;&gt;"",PV21&gt;=QG$32,PV21&lt;&gt;""),AND(PW21&gt;=QG$28,PW21&lt;&gt;"",PY21&gt;=QG$32,PY21&lt;&gt;""),AND(QA21&gt;=QG$28,QA21&lt;&gt;"",QC21&gt;=QG$32,QC21&lt;&gt;""),AND(QD21&gt;=QG$28,QD21&lt;&gt;"",QF21&gt;=QG$32,QF21&lt;&gt;""),AND(RB21&gt;=RO$28,RB21&lt;&gt;"",RD21&gt;=RO$32,RD21&lt;&gt;""),AND(RE21&gt;=RO$28,RE21&lt;&gt;"",RG21&gt;=RO$32,RG21&lt;&gt;""),AND(RI21&gt;=RO$28,RI21&lt;&gt;"",RK21&gt;=RO$32,RK21&lt;&gt;""),AND(RL21&gt;=RO$28,RL21&lt;&gt;"",RN21&gt;=RO$32,RN21&lt;&gt;""),AND(SJ21&gt;=SW$28,SJ21&lt;&gt;"",SL21&gt;=SW$32,SL21&lt;&gt;""),AND(SM21&gt;=SW$28,SM21&lt;&gt;"",SO21&gt;=SW$32,SO21&lt;&gt;""),AND(SQ21&gt;=SW$28,SQ21&lt;&gt;"",SS21&gt;=SW$32,SS21&lt;&gt;""),AND(ST21&gt;=SW$28,ST21&lt;&gt;"",SV21&gt;=SW$32,SV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Z21&gt;=EM$27,DZ21&lt;&gt;"",EB21&gt;=EM$31,EB21&lt;&gt;""),AND(EC21&gt;=EM$27,EC21&lt;&gt;"",EE21&gt;=EM$31,EE21&lt;&gt;""),AND(EG21&gt;=EM$27,EG21&lt;&gt;"",EI21&gt;=EM$31,EI21&lt;&gt;""),AND(EJ21&gt;=EM$27,EJ21&lt;&gt;"",EL21&gt;=EM$31,EL21&lt;&gt;""),AND(FH21&gt;=FU$27,FH21&lt;&gt;"",FJ21&gt;=FU$31,FJ21&lt;&gt;""),AND(FK21&gt;=FU$27,FK21&lt;&gt;"",FM21&gt;=FU$31,FM21&lt;&gt;""),AND(FO21&gt;=FU$27,FO21&lt;&gt;"",FQ21&gt;=FU$31,FQ21&lt;&gt;""),AND(FR21&gt;=FU$27,FR21&lt;&gt;"",FT21&gt;=FU$31,FT21&lt;&gt;""),AND(GP21&gt;=HC$27,GP21&lt;&gt;"",GR21&gt;=HC$31,GR21&lt;&gt;""),AND(GS21&gt;=HC$27,GS21&lt;&gt;"",GU21&gt;=HC$31,GU21&lt;&gt;""),AND(GW21&gt;=HC$27,GW21&lt;&gt;"",GY21&gt;=HC$31,GY21&lt;&gt;""),AND(GZ21&gt;=HC$27,GZ21&lt;&gt;"",HB21&gt;=HC$31,HB21&lt;&gt;""),AND(HX21&gt;=IK$27,HX21&lt;&gt;"",HZ21&gt;=IK$31,HZ21&lt;&gt;""),AND(IA21&gt;=IK$27,IA21&lt;&gt;"",IC21&gt;=IK$31,IC21&lt;&gt;""),AND(IE21&gt;=IK$27,IE21&lt;&gt;"",IG21&gt;=IK$31,IG21&lt;&gt;""),AND(IH21&gt;=IK$27,IH21&lt;&gt;"",IJ21&gt;=IK$31,IJ21&lt;&gt;""),AND(JF21&gt;=JS$27,JF21&lt;&gt;"",JH21&gt;=JS$31,JH21&lt;&gt;""),AND(JI21&gt;=JS$27,JI21&lt;&gt;"",JK21&gt;=JS$31,JK21&lt;&gt;""),AND(JM21&gt;=JS$27,JM21&lt;&gt;"",JO21&gt;=JS$31,JO21&lt;&gt;""),AND(JP21&gt;=JS$27,JP21&lt;&gt;"",JR21&gt;=JS$31,JR21&lt;&gt;""),AND(KN21&gt;=LA$27,KN21&lt;&gt;"",KP21&gt;=LA$31,KP21&lt;&gt;""),AND(KQ21&gt;=LA$27,KQ21&lt;&gt;"",KS21&gt;=LA$31,KS21&lt;&gt;""),AND(KU21&gt;=LA$27,KU21&lt;&gt;"",KW21&gt;=LA$31,KW21&lt;&gt;""),AND(KX21&gt;=LA$27,KX21&lt;&gt;"",KZ21&gt;=LA$31,KZ21&lt;&gt;""),AND(LV21&gt;=MI$27,LV21&lt;&gt;"",LX21&gt;=MI$31,LX21&lt;&gt;""),AND(LY21&gt;=MI$27,LY21&lt;&gt;"",MA21&gt;=MI$31,MA21&lt;&gt;""),AND(MC21&gt;=MI$27,MC21&lt;&gt;"",ME21&gt;=MI$31,ME21&lt;&gt;""),AND(MF21&gt;=MI$27,MF21&lt;&gt;"",MH21&gt;=MI$31,MH21&lt;&gt;""),AND(ND21&gt;=NQ$27,ND21&lt;&gt;"",NF21&gt;=NQ$31,NF21&lt;&gt;""),AND(NG21&gt;=NQ$27,NG21&lt;&gt;"",NI21&gt;=NQ$31,NI21&lt;&gt;""),AND(NK21&gt;=NQ$27,NK21&lt;&gt;"",NM21&gt;=NQ$31,NM21&lt;&gt;""),AND(NN21&gt;=NQ$27,NN21&lt;&gt;"",NP21&gt;=NQ$31,NP21&lt;&gt;""),AND(OL21&gt;=OY$27,OL21&lt;&gt;"",ON21&gt;=OY$31,ON21&lt;&gt;""),AND(OO21&gt;=OY$27,OO21&lt;&gt;"",OQ21&gt;=OY$31,OQ21&lt;&gt;""),AND(OS21&gt;=OY$27,OS21&lt;&gt;"",OU21&gt;=OY$31,OU21&lt;&gt;""),AND(OV21&gt;=OY$27,OV21&lt;&gt;"",OX21&gt;=OY$31,OX21&lt;&gt;""),AND(PT21&gt;=QG$27,PT21&lt;&gt;"",PV21&gt;=QG$31,PV21&lt;&gt;""),AND(PW21&gt;=QG$27,PW21&lt;&gt;"",PY21&gt;=QG$31,PY21&lt;&gt;""),AND(QA21&gt;=QG$27,QA21&lt;&gt;"",QC21&gt;=QG$31,QC21&lt;&gt;""),AND(QD21&gt;=QG$27,QD21&lt;&gt;"",QF21&gt;=QG$31,QF21&lt;&gt;""),AND(RB21&gt;=RO$27,RB21&lt;&gt;"",RD21&gt;=RO$31,RD21&lt;&gt;""),AND(RE21&gt;=RO$27,RE21&lt;&gt;"",RG21&gt;=RO$31,RG21&lt;&gt;""),AND(RI21&gt;=RO$27,RI21&lt;&gt;"",RK21&gt;=RO$31,RK21&lt;&gt;""),AND(RL21&gt;=RO$27,RL21&lt;&gt;"",RN21&gt;=RO$31,RN21&lt;&gt;""),AND(SJ21&gt;=SW$27,SJ21&lt;&gt;"",SL21&gt;=SW$31,SL21&lt;&gt;""),AND(SM21&gt;=SW$27,SM21&lt;&gt;"",SO21&gt;=SW$31,SO21&lt;&gt;""),AND(SQ21&gt;=SW$27,SQ21&lt;&gt;"",SS21&gt;=SW$31,SS21&lt;&gt;""),AND(ST21&gt;=SW$27,ST21&lt;&gt;"",SV21&gt;=SW$31,SV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Z21&gt;=EM$26,DZ21&lt;&gt;"",EB21&gt;=EM$30,EB21&lt;&gt;""),AND(EC21&gt;=EM$26,EC21&lt;&gt;"",EE21&gt;=EM$30,EE21&lt;&gt;""),AND(EG21&gt;=EM$26,EG21&lt;&gt;"",EI21&gt;=EM$30,EI21&lt;&gt;""),AND(EJ21&gt;=EM$26,EJ21&lt;&gt;"",EL21&gt;=EM$30,EL21&lt;&gt;""),AND(FH21&gt;=FU$26,FH21&lt;&gt;"",FJ21&gt;=FU$30,FJ21&lt;&gt;""),AND(FK21&gt;=FU$26,FK21&lt;&gt;"",FM21&gt;=FU$30,FM21&lt;&gt;""),AND(FO21&gt;=FU$26,FO21&lt;&gt;"",FQ21&gt;=FU$30,FQ21&lt;&gt;""),AND(FR21&gt;=FU$26,FR21&lt;&gt;"",FT21&gt;=FU$30,FT21&lt;&gt;""),AND(GP21&gt;=HC$26,GP21&lt;&gt;"",GR21&gt;=HC$30,GR21&lt;&gt;""),AND(GS21&gt;=HC$26,GS21&lt;&gt;"",GU21&gt;=HC$30,GU21&lt;&gt;""),AND(GW21&gt;=HC$26,GW21&lt;&gt;"",GY21&gt;=HC$30,GY21&lt;&gt;""),AND(GZ21&gt;=HC$26,GZ21&lt;&gt;"",HB21&gt;=HC$30,HB21&lt;&gt;""),AND(HX21&gt;=IK$26,HX21&lt;&gt;"",HZ21&gt;=IK$30,HZ21&lt;&gt;""),AND(IA21&gt;=IK$26,IA21&lt;&gt;"",IC21&gt;=IK$30,IC21&lt;&gt;""),AND(IE21&gt;=IK$26,IE21&lt;&gt;"",IG21&gt;=IK$30,IG21&lt;&gt;""),AND(IH21&gt;=IK$26,IH21&lt;&gt;"",IJ21&gt;=IK$30,IJ21&lt;&gt;""),AND(JF21&gt;=JS$26,JF21&lt;&gt;"",JH21&gt;=JS$30,JH21&lt;&gt;""),AND(JI21&gt;=JS$26,JI21&lt;&gt;"",JK21&gt;=JS$30,JK21&lt;&gt;""),AND(JM21&gt;=JS$26,JM21&lt;&gt;"",JO21&gt;=JS$30,JO21&lt;&gt;""),AND(JP21&gt;=JS$26,JP21&lt;&gt;"",JR21&gt;=JS$30,JR21&lt;&gt;""),AND(KN21&gt;=LA$26,KN21&lt;&gt;"",KP21&gt;=LA$30,KP21&lt;&gt;""),AND(KQ21&gt;=LA$26,KQ21&lt;&gt;"",KS21&gt;=LA$30,KS21&lt;&gt;""),AND(KU21&gt;=LA$26,KU21&lt;&gt;"",KW21&gt;=LA$30,KW21&lt;&gt;""),AND(KX21&gt;=LA$26,KX21&lt;&gt;"",KZ21&gt;=LA$30,KZ21&lt;&gt;""),AND(LV21&gt;=MI$26,LV21&lt;&gt;"",LX21&gt;=MI$30,LX21&lt;&gt;""),AND(LY21&gt;=MI$26,LY21&lt;&gt;"",MA21&gt;=MI$30,MA21&lt;&gt;""),AND(MC21&gt;=MI$26,MC21&lt;&gt;"",ME21&gt;=MI$30,ME21&lt;&gt;""),AND(MF21&gt;=MI$26,MF21&lt;&gt;"",MH21&gt;=MI$30,MH21&lt;&gt;""),AND(ND21&gt;=NQ$26,ND21&lt;&gt;"",NF21&gt;=NQ$30,NF21&lt;&gt;""),AND(NG21&gt;=NQ$26,NG21&lt;&gt;"",NI21&gt;=NQ$30,NI21&lt;&gt;""),AND(NK21&gt;=NQ$26,NK21&lt;&gt;"",NM21&gt;=NQ$30,NM21&lt;&gt;""),AND(NN21&gt;=NQ$26,NN21&lt;&gt;"",NP21&gt;=NQ$30,NP21&lt;&gt;""),AND(OL21&gt;=OY$26,OL21&lt;&gt;"",ON21&gt;=OY$30,ON21&lt;&gt;""),AND(OO21&gt;=OY$26,OO21&lt;&gt;"",OQ21&gt;=OY$30,OQ21&lt;&gt;""),AND(OS21&gt;=OY$26,OS21&lt;&gt;"",OU21&gt;=OY$30,OU21&lt;&gt;""),AND(OV21&gt;=OY$26,OV21&lt;&gt;"",OX21&gt;=OY$30,OX21&lt;&gt;""),AND(PT21&gt;=QG$26,PT21&lt;&gt;"",PV21&gt;=QG$30,PV21&lt;&gt;""),AND(PW21&gt;=QG$26,PW21&lt;&gt;"",PY21&gt;=QG$30,PY21&lt;&gt;""),AND(QA21&gt;=QG$26,QA21&lt;&gt;"",QC21&gt;=QG$30,QC21&lt;&gt;""),AND(QD21&gt;=QG$26,QD21&lt;&gt;"",QF21&gt;=QG$30,QF21&lt;&gt;""),AND(RB21&gt;=RO$26,RB21&lt;&gt;"",RD21&gt;=RO$30,RD21&lt;&gt;""),AND(RE21&gt;=RO$26,RE21&lt;&gt;"",RG21&gt;=RO$30,RG21&lt;&gt;""),AND(RI21&gt;=RO$26,RI21&lt;&gt;"",RK21&gt;=RO$30,RK21&lt;&gt;""),AND(RL21&gt;=RO$26,RL21&lt;&gt;"",RN21&gt;=RO$30,RN21&lt;&gt;""),AND(SJ21&gt;=SW$26,SJ21&lt;&gt;"",SL21&gt;=SW$30,SL21&lt;&gt;""),AND(SM21&gt;=SW$26,SM21&lt;&gt;"",SO21&gt;=SW$30,SO21&lt;&gt;""),AND(SQ21&gt;=SW$26,SQ21&lt;&gt;"",SS21&gt;=SW$30,SS21&lt;&gt;""),AND(ST21&gt;=SW$26,ST21&lt;&gt;"",SV21&gt;=SW$30,SV21&lt;&gt;"")),"P","")</f>
        <v/>
      </c>
      <c r="J21" s="13">
        <f>IF(COUNT(AQ21,AT21,BR21,BU21,CS21,CV21)&gt;0,LARGE((AQ21,AT21,BR21,BU21,CS21,CV21),1),0)</f>
        <v>47.085000000000001</v>
      </c>
      <c r="K21" s="13" t="str">
        <f>IF(J21="","",IF(OR(J21=CS21,J21=CV21),$CA$1,IF(OR(J21=BR21,J21=BU21),$AZ$1,IF(OR(J21=AQ21,J21=AT21),$Y$1,""))))</f>
        <v>2021 Canadian Championships</v>
      </c>
      <c r="L21" s="13">
        <f>IF(COUNT(AQ21,AT21,BR21,BU21,CS21,CV21)&gt;1,LARGE((AQ21,AT21,BR21,BU21,CS21,CV21),2),0)</f>
        <v>16.130000000000003</v>
      </c>
      <c r="M21" s="13" t="str">
        <f>IF(L21="","",IF(OR(L21=CS21,L21=CV21),$CA$1,IF(OR(L21=BR21,L21=BU21),$AZ$1,IF(OR(L21=AQ21,L21=AT21),$Y$1,""))))</f>
        <v>2021 Elite Canada</v>
      </c>
      <c r="N21" s="13">
        <f>IF(COUNT(AQ21,AT21,BR21,BU21,CS21,CV21)&gt;2,LARGE((AQ21,AT21,BR21,BU21,CS21,CV21),3),0)</f>
        <v>10.38</v>
      </c>
      <c r="O21" s="13" t="str">
        <f>IF(N21="","",IF(OR(N21=CS21,N21=CV21),$CA$1,IF(OR(N21=BR21,N21=BU21),$AZ$1,IF(OR(N21=AQ21,N21=AT21),$Y$1,""))))</f>
        <v>2021 Canadian Championships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IF(MAX(AO21,AR21,AV21,BP21,BS21,BW21,CQ21,CT21,CX21)&gt;0,MAX(AO21,AR21,BP21,BS21,CQ21,CT21,AV21),0)</f>
        <v>12.5</v>
      </c>
      <c r="S21" s="13" t="str">
        <f>IF(R21=0,"",IF(OR(R21=CQ21,R21=CT21,R21=CX21),$CA$1,IF(OR(R21=BP21,R21=BS21,R21=BW21),$AZ$1,IF(OR(R21=AO21,R21=AR21,R21=AV21),$Y$1,""))))</f>
        <v>2021 Canadian Championships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),0)</f>
        <v>0</v>
      </c>
      <c r="U21" s="13" t="str">
        <f>IF(T21=0,"",IF(OR(T21=CR21,T21=CU21,T21=CY21),$CA$1,IF(OR(T21=BQ21,T21=BT21,T21=BX21),$AZ$1,IF(OR(T21=AP21,T21=AS21,T21=AW21),$Y$1,""))))</f>
        <v/>
      </c>
      <c r="V21" s="13" t="str">
        <f>IF(MAX(DB21,DC21,DD21,DE21)&gt;0,MAX(DB21,DC21,DD21,DE21),"")</f>
        <v/>
      </c>
      <c r="W21" s="16" t="str">
        <f>IF(V21="","",IF(V21=DB21,"("&amp;DB$2&amp;")",IF(V21=DC21,"("&amp;DC$2&amp;")",IF(V21=DD21,"("&amp;DD$2&amp;")",IF(V21=DE21,"("&amp;DE$2&amp;")")))))</f>
        <v/>
      </c>
      <c r="X21" s="13" t="str">
        <f>IF(V21="","",IF(V21=DB21,IF(V21+IF(L21="",0,L21)=SP21,$RP$1,IF(V21+IF(L21="",0,L21)=RH21,$QH$1,IF(V21+IF(L21="",0,L21)=PZ21,$OZ$1,IF(V21+IF(L21="",0,L21)=OR21,$NR$1,IF(V21+IF(L21="",0,L21)=NJ21,$MJ$1,IF(V21+IF(L21="",0,L21)=MB21,$LB$1,IF(V21+IF(L21="",0,L21)=KT21,$JT$1,IF(V21+IF(L21="",0,L21)=JL21,$IL$1,IF(V21+IF(L21="",0,L21)=ID21,$HD$1,IF(V21+IF(L21="",0,L21)=GV21,$FV$1,IF(V21+IF(L21="",0,L21)=FN21,$EN$1,IF(V21+IF(L21="",0,L21)=EF21,$DF$1)))))))))))),IF(V21=DC21,IF(V21+IF(P21="",0,P21)=SV21,$RP$1,IF(V21+IF(P21="",0,P21)=RN21,$QH$1,IF(V21+IF(P21="",0,P21)=QF21,$OZ$1,IF(V21+IF(P21="",0,P21)=OX21,$NR$1,IF(V21+IF(P21="",0,P21)=NP21,$MJ$1,IF(V21+IF(P21="",0,P21)=MH21,$LB$1,IF(V21+IF(P21="",0,P21)=KZ21,$JT$1,IF(V21+IF(P21="",0,P21)=JR21,$IL$1,IF(V21+IF(P21="",0,P21)=IJ21,$HD$1,IF(V21+IF(P21="",0,P21)=HB21,$FV$1,IF(V21+IF(P21="",0,P21)=FT21,$EN$1,IF(V21+IF(P21="",0,P21)=EL21,$DF$1)))))))))))),IF(V21=DD21,IF(V21+IF(R21="",0,R21)=MAX(SJ21,SM21,SQ21,ST21),$RP$1,IF(V21+IF(R21="",0,R21)=MAX(RB21,RE21,RI21,RL21),$QH$1,IF(V21+IF(R21="",0,R21)=MAX(PT21,PW21,QA21,QD21),$OZ$1,IF(V21+IF(R21="",0,R21)=MAX(OL21,OO21,OS21,OV21),$NR$1,IF(V21+IF(R21="",0,R21)=MAX(ND21,NG21,NK21,NN21),$MJ$1,IF(V21+IF(R21="",0,R21)=MAX(LV21,LY21,MC21,MF21),$LB$1,IF(V21+IF(R21="",0,R21)=MAX(KN21,KQ21,KU21,KX21),$JT$1,IF(V21+IF(R21="",0,R21)=MAX(JF21,JI21,JM21,JP21),$IL$1,IF(V21+IF(R21="",0,R21)=MAX(HX21,IA21,IE21,IH21),$HD$1,IF(V21+IF(R21="",0,R21)=MAX(GP21,GS21,GW21,GZ21),$FV$1,IF(V21+IF(R21="",0,R21)=MAX(FH21,FK21,FO21,FR21),$EN$1,IF(V21+IF(R21="",0,R21)=MAX(DZ21,EC21,EG21,EJ21),$DF$1)))))))))))),IF(V21=DE21,IF(V21+IF(T21="",0,T21)=MAX(SK21,SN21,SR21,SU21),$RP$1,IF(V21+IF(T21="",0,T21)=MAX(RC21,RF21,RJ21,RM21),$QH$1,IF(V21+IF(T21="",0,T21)=MAX(PU21,PX21,QB21,QE21),$OZ$1,IF(V21+IF(T21="",0,T21)=MAX(OM21,OP21,OT21,OW21),$NR$1,IF(V21+IF(T21="",0,T21)=MAX(NE21,NH21,NL21,NO21),$MJ$1,IF(V21+IF(T21="",0,T21)=MAX(LW21,LZ21,MD21,MG21),$LB$1,IF(V21+IF(T21="",0,T21)=MAX(KO21,KR21,KV21,KY21),$JT$1,IF(V21+IF(T21="",0,T21)=MAX(JG21,JJ21,JN21,JQ21),$IL$1,IF(V21+IF(T21="",0,T21)=MAX(HY21,IB21,IF21,II21),$HD$1,IF(V21+IF(T21="",0,T21)=MAX(GQ21,GT21,GX21,HA21),$FV$1,IF(V21+IF(T21="",0,T21)=MAX(FI21,FL21,FP21,FS21),$EN$1,IF(V21+IF(T21="",0,T21)=MAX(EA21,ED21,EH21,EK21),$DF$1)))))))))))))))))</f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>IF(AA21&gt;0,AA21,"")</f>
        <v>3.7</v>
      </c>
      <c r="AP21" s="74">
        <f>IF(AB21&gt;0,AB21,"")</f>
        <v>5.33</v>
      </c>
      <c r="AQ21" s="76">
        <f>IF(SUM(Y21:AB21)-AC21&gt;0,SUM(Y21:AB21)-AC21,"")</f>
        <v>16.130000000000003</v>
      </c>
      <c r="AR21" s="76">
        <f>IF(AF21&gt;0,AF21,"")</f>
        <v>2</v>
      </c>
      <c r="AS21" s="76">
        <f>IF(AG21&gt;0,AG21,"")</f>
        <v>1.8</v>
      </c>
      <c r="AT21" s="76">
        <f>IF(SUM(AD21:AG21)-AH21&gt;0,SUM(AD21:AG21)-AH21,"")</f>
        <v>6.2</v>
      </c>
      <c r="AU21" s="76">
        <f>IF(AQ21="","",MAX(AQ21,AT21))</f>
        <v>16.130000000000003</v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>
        <f>IF(SUM(AU21,AX21)&gt;0,SUM(AU21,AX21),"")</f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12.5</v>
      </c>
      <c r="BQ21" s="75">
        <f>IF(BC21&gt;0,BC21,"")</f>
        <v>14.885</v>
      </c>
      <c r="BR21" s="16">
        <f>IF(SUM(AZ21:BC21)-BD21&gt;0,SUM(AZ21:BC21)-BD21,"")</f>
        <v>47.085000000000001</v>
      </c>
      <c r="BS21" s="16">
        <f>IF(BG21&gt;0,BG21,"")</f>
        <v>2.5</v>
      </c>
      <c r="BT21" s="16">
        <f>IF(BH21&gt;0,BH21,"")</f>
        <v>3.68</v>
      </c>
      <c r="BU21" s="16">
        <f>IF(SUM(BE21:BH21)-BI21&gt;0,SUM(BE21:BH21)-BI21,"")</f>
        <v>10.38</v>
      </c>
      <c r="BV21" s="16">
        <f>IF(BR21="","",MAX(BR21,BU21))</f>
        <v>47.085000000000001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IF(L21&gt;=0.001,IF(MAX(EF21,FN21,GV21,ID21,JL21,KT21,MB21,NJ21,OR21,PZ21,RH21,SP21)-IF(L21="",0,L21)&gt;0.001,MAX(EF21,FN21,GV21,ID21,JL21,KT21,MB21,NJ21,OR21,PZ21,RH21,SP21)-IF(L21="",0,L21),""),"")</f>
        <v/>
      </c>
      <c r="DC21" s="87" t="str">
        <f>IF(P21&gt;=0.001,IF(MAX(EI21,EL21,FQ21,FT21,GY21,HB21,IG21,IJ21,JO21,JR21,KW21,KZ21,ME21,MH21,NM21,NP21,OU21,OX21,QC21,QF21,RK21,RN21,SS21,SV21)-IF(P21="",0,P21)&gt;0.001,MAX(EI21,EL21,FQ21,FT21,GY21,HB21,IG21,IJ21,JO21,JR21,KW21,KZ21,ME21,MH21,NM21,NP21,OU21,OX21,QC21,QF21,RK21,RN21,SS21,SV21)-IF(P21="",0,P21),""),"")</f>
        <v/>
      </c>
      <c r="DD21" s="87" t="str">
        <f>IF(R21&gt;=0.001,IF(MAX(DZ21,EC21,EG21,EJ21,FH21,FK21,FO21,FR21,GP21,GS21,GW21,GZ21,HX21,IA21,IE21,IH21,JF21,JI21,JM21,JP21,KN21,KQ21,KU21,KX21,LV21,LY21,MC21,MF21,ND21,NG21,NK21,NN21,OL21,OO21,OS21,OV21,PT21,PW21,QA21,QD21,RB21,RE21,RI21,RL21,SJ21,SM21,SQ21,ST21)-IF(R21="",0,R21)&gt;0.001,MAX(DZ21,EC21,EG21,EJ21,FH21,FK21,FO21,FR21,GP21,GS21,GW21,GZ21,HX21,IA21,IE21,IH21,JF21,JI21,JM21,JP21,KN21,KQ21,KU21,KX21,LV21,LY21,MC21,MF21,ND21,NG21,NK21,NN21,OL21,OO21,OS21,OV21,PT21,PW21,QA21,QD21,RB21,RE21,RI21,RL21,SJ21,SM21,SQ21,ST21)-IF(R21="",0,R21),""),"")</f>
        <v/>
      </c>
      <c r="DE21" s="87" t="str">
        <f>IF(T21&gt;=0.001,IF(MAX(IF(DZ21&gt;=$EM$25,EA21,0),IF(EC21&gt;=$EM$25,ED21,0),IF(EG21&gt;=$EM$25,EH21,0),IF(EJ21&gt;=$EM$25,EK21,0),IF(FH21&gt;=$FU$25,FI21,0),IF(FK21&gt;=$FU$25,FL21,0),IF(FO21&gt;=$FU$25,FP21,0),IF(FR21&gt;=$FU$25,FS21,0),IF(GP21&gt;=$HC$25,GQ21,0),IF(GS21&gt;=$HC$25,GT21,0),IF(GW21&gt;=$HC$25,GX21,0),IF(GZ21&gt;=$HC$25,HA21,0),IF(HX21&gt;=$IK$25,HY21,0),IF(IA21&gt;=$IK$25,IB21,0),IF(IE21&gt;=$IK$25,IF21,0),IF(IH21&gt;=$IK$25,II21,0),IF(JF21&gt;=$JS$25,JG21,0),IF(JI21&gt;=$JS$25,JJ21,0),IF(JM21&gt;=$JS$25,JN21,0),IF(JP21&gt;=$JS$25,JQ21,0),IF(KN21&gt;=$LA$25,KO21,0),IF(KQ21&gt;=$LA$25,KR21,0),IF(KU21&gt;=$LA$25,KV21,0),IF(KX21&gt;=$LA$25,KY21,0),IF(LV21&gt;=$MI$25,LW21,0),IF(LY21&gt;=$MI$25,LZ21,0),IF(MC21&gt;=$MI$25,MD21,0),IF(MF21&gt;=$MI$25,MG21,0),IF(ND21&gt;=$NQ$25,NE21,0),IF(NG21&gt;=$NQ$25,NH21,0),IF(NK21&gt;=$NQ$25,NL21,0),IF(NN21&gt;=$NQ$25,NO21,0),IF(OL21&gt;=$OY$25,OM21,0),IF(OO21&gt;=$OY$25,OP21,0),IF(OS21&gt;=$OY$25,OT21,0),IF(OV21&gt;=$OY$25,OW21,0),IF(PT21&gt;=$QG$25,PU21,0),IF(PW21&gt;=$QG$25,PX21,0),IF(QA21&gt;=$QG$25,QB21,0),IF(QD21&gt;=$QG$25,QE21,0),IF(RB21&gt;=$RO$25,RC21,0),IF(RE21&gt;=$RO$25,RF21,0),IF(RI21&gt;=$RO$25,RJ21,0),IF(RL21&gt;=$RO$25,RM21,0),IF(SJ21&gt;=$SW$25,SK21,0),IF(SM21&gt;=$SW$25,SN21,0),IF(SQ21&gt;=$SW$25,SR21,0),IF(ST21&gt;=$SW$25,SU21,0))-IF(T21="",0,T21)&gt;0.001,MAX(IF(DZ21&gt;=$EM$25,EA21,0),IF(EC21&gt;=$EM$25,ED21,0),IF(EG21&gt;=$EM$25,EH21,0),IF(EJ21&gt;=$EM$25,EK21,0),IF(FH21&gt;=$FU$25,FI21,0),IF(FK21&gt;=$FU$25,FL21,0),IF(FO21&gt;=$FU$25,FP21,0),IF(FR21&gt;=$FU$25,FS21,0),IF(GP21&gt;=$HC$25,GQ21,0),IF(GS21&gt;=$HC$25,GT21,0),IF(GW21&gt;=$HC$25,GX21,0),IF(GZ21&gt;=$HC$25,HA21,0),IF(HX21&gt;=$IK$25,HY21,0),IF(IA21&gt;=$IK$25,IB21,0),IF(IE21&gt;=$IK$25,IF21,0),IF(IH21&gt;=$IK$25,II21,0),IF(JF21&gt;=$JS$25,JG21,0),IF(JI21&gt;=$JS$25,JJ21,0),IF(JM21&gt;=$JS$25,JN21,0),IF(JP21&gt;=$JS$25,JQ21,0),IF(KN21&gt;=$LA$25,KO21,0),IF(KQ21&gt;=$LA$25,KR21,0),IF(KU21&gt;=$LA$25,KV21,0),IF(KX21&gt;=$LA$25,KY21,0),IF(LV21&gt;=$MI$25,LW21,0),IF(LY21&gt;=$MI$25,LZ21,0),IF(MC21&gt;=$MI$25,MD21,0),IF(MF21&gt;=$MI$25,MG21,0),IF(ND21&gt;=$NQ$25,NE21,0),IF(NG21&gt;=$NQ$25,NH21,0),IF(NK21&gt;=$NQ$25,NL21,0),IF(NN21&gt;=$NQ$25,NO21,0),IF(OL21&gt;=$OY$25,OM21,0),IF(OO21&gt;=$OY$25,OP21,0),IF(OS21&gt;=$OY$25,OT21,0),IF(OV21&gt;=$OY$25,OW21,0),IF(PT21&gt;=$QG$25,PU21,0),IF(PW21&gt;=$QG$25,PX21,0),IF(QA21&gt;=$QG$25,QB21,0),IF(QD21&gt;=$QG$25,QE21,0),IF(RB21&gt;=$RO$25,RC21,0),IF(RE21&gt;=$RO$25,RF21,0),IF(RI21&gt;=$RO$25,RJ21,0),IF(RL21&gt;=$RO$25,RM21,0),IF(SJ21&gt;=$SW$25,SK21,0),IF(SM21&gt;=$SW$25,SN21,0),IF(SQ21&gt;=$SW$25,SR21,0),IF(ST21&gt;=$SW$25,SU21,0))-IF(T21="",0,T21),""),"")</f>
        <v/>
      </c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76" t="str">
        <f>IF(DH21&gt;0,DH21,"")</f>
        <v/>
      </c>
      <c r="EA21" s="76" t="str">
        <f>IF(DI21&gt;0,DI21,"")</f>
        <v/>
      </c>
      <c r="EB21" s="76" t="str">
        <f>IF(SUM(DF21:DI21)-DJ21&gt;0,SUM(DF21:DI21)-DJ21,"")</f>
        <v/>
      </c>
      <c r="EC21" s="76" t="str">
        <f>IF(DM21&gt;0,DM21,"")</f>
        <v/>
      </c>
      <c r="ED21" s="76" t="str">
        <f>IF(DN21&gt;0,DN21,"")</f>
        <v/>
      </c>
      <c r="EE21" s="76" t="str">
        <f>IF(SUM(DK21:DN21)-DO21&gt;0,SUM(DK21:DN21)-DO21,"")</f>
        <v/>
      </c>
      <c r="EF21" s="76" t="str">
        <f>IF(MAX(EB21,EE21)&gt;0,MAX(EB21,EE21),"")</f>
        <v/>
      </c>
      <c r="EG21" s="76" t="str">
        <f>IF(DR21&gt;0,DR21,"")</f>
        <v/>
      </c>
      <c r="EH21" s="76" t="str">
        <f>IF(DS21&gt;0,DS21,"")</f>
        <v/>
      </c>
      <c r="EI21" s="76" t="str">
        <f>IF(SUM(DP21:DS21)-DT21&gt;0,SUM(DP21:DS21)-DT21,"")</f>
        <v/>
      </c>
      <c r="EJ21" s="76" t="str">
        <f>IF(DW21&gt;0,DW21,"")</f>
        <v/>
      </c>
      <c r="EK21" s="76" t="str">
        <f>IF(DX21&gt;0,DX21,"")</f>
        <v/>
      </c>
      <c r="EL21" s="76" t="str">
        <f>IF(SUM(DU21:DX21)-DY21&gt;0,SUM(DU21:DX21)-DY21,"")</f>
        <v/>
      </c>
      <c r="EM21" s="76" t="str">
        <f>IF(SUM(EF21,EL21)&gt;0,SUM(EF21,EL21),"")</f>
        <v/>
      </c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16" t="str">
        <f>IF(EP21&gt;0,EP21,"")</f>
        <v/>
      </c>
      <c r="FI21" s="16" t="str">
        <f>IF(EQ21&gt;0,EQ21,"")</f>
        <v/>
      </c>
      <c r="FJ21" s="16" t="str">
        <f>IF(SUM(EN21:EQ21)-ER21&gt;0,SUM(EN21:EQ21)-ER21,"")</f>
        <v/>
      </c>
      <c r="FK21" s="16" t="str">
        <f>IF(EU21&gt;0,EU21,"")</f>
        <v/>
      </c>
      <c r="FL21" s="16" t="str">
        <f>IF(EV21&gt;0,EV21,"")</f>
        <v/>
      </c>
      <c r="FM21" s="16" t="str">
        <f>IF(SUM(ES21:EV21)-EW21&gt;0,SUM(ES21:EV21)-EW21,"")</f>
        <v/>
      </c>
      <c r="FN21" s="16" t="str">
        <f>IF(MAX(FJ21,FM21)&gt;0,MAX(FJ21,FM21),"")</f>
        <v/>
      </c>
      <c r="FO21" s="16" t="str">
        <f>IF(EZ21&gt;0,EZ21,"")</f>
        <v/>
      </c>
      <c r="FP21" s="16" t="str">
        <f>IF(FA21&gt;0,FA21,"")</f>
        <v/>
      </c>
      <c r="FQ21" s="16" t="str">
        <f>IF(SUM(EX21:FA21)-FB21&gt;0,SUM(EX21:FA21)-FB21,"")</f>
        <v/>
      </c>
      <c r="FR21" s="16" t="str">
        <f>IF(FE21&gt;0,FE21,"")</f>
        <v/>
      </c>
      <c r="FS21" s="16" t="str">
        <f>IF(FF21&gt;0,FF21,"")</f>
        <v/>
      </c>
      <c r="FT21" s="16" t="str">
        <f>IF(SUM(FC21:FF21)-FG21&gt;0,SUM(FC21:FF21)-FG21,"")</f>
        <v/>
      </c>
      <c r="FU21" s="16" t="str">
        <f>IF(SUM(FN21,FT21)&gt;0,SUM(FN21,FT21),"")</f>
        <v/>
      </c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76" t="str">
        <f>IF(FX21&gt;0,FX21,"")</f>
        <v/>
      </c>
      <c r="GQ21" s="76" t="str">
        <f>IF(FY21&gt;0,FY21,"")</f>
        <v/>
      </c>
      <c r="GR21" s="76" t="str">
        <f>IF(SUM(FV21:FY21)-FZ21&gt;0,SUM(FV21:FY21)-FZ21,"")</f>
        <v/>
      </c>
      <c r="GS21" s="76" t="str">
        <f>IF(GC21&gt;0,GC21,"")</f>
        <v/>
      </c>
      <c r="GT21" s="76" t="str">
        <f>IF(GD21&gt;0,GD21,"")</f>
        <v/>
      </c>
      <c r="GU21" s="76" t="str">
        <f>IF(SUM(GA21:GD21)-GE21&gt;0,SUM(GA21:GD21)-GE21,"")</f>
        <v/>
      </c>
      <c r="GV21" s="76" t="str">
        <f>IF(MAX(GR21,GU21)&gt;0,MAX(GR21,GU21),"")</f>
        <v/>
      </c>
      <c r="GW21" s="76" t="str">
        <f>IF(GH21&gt;0,GH21,"")</f>
        <v/>
      </c>
      <c r="GX21" s="76" t="str">
        <f>IF(GI21&gt;0,GI21,"")</f>
        <v/>
      </c>
      <c r="GY21" s="76" t="str">
        <f>IF(SUM(GF21:GI21)-GJ21&gt;0,SUM(GF21:GI21)-GJ21,"")</f>
        <v/>
      </c>
      <c r="GZ21" s="76" t="str">
        <f>IF(GM21&gt;0,GM21,"")</f>
        <v/>
      </c>
      <c r="HA21" s="76" t="str">
        <f>IF(GN21&gt;0,GN21,"")</f>
        <v/>
      </c>
      <c r="HB21" s="76" t="str">
        <f>IF(SUM(GK21:GN21)-GO21&gt;0,SUM(GK21:GN21)-GO21,"")</f>
        <v/>
      </c>
      <c r="HC21" s="76" t="str">
        <f>IF(SUM(GV21,HB21)&gt;0,SUM(GV21,HB21),"")</f>
        <v/>
      </c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16" t="str">
        <f>IF(HF21&gt;0,HF21,"")</f>
        <v/>
      </c>
      <c r="HY21" s="16" t="str">
        <f>IF(HG21&gt;0,HG21,"")</f>
        <v/>
      </c>
      <c r="HZ21" s="16" t="str">
        <f>IF(SUM(HD21:HG21)-HH21&gt;0,SUM(HD21:HG21)-HH21,"")</f>
        <v/>
      </c>
      <c r="IA21" s="16" t="str">
        <f>IF(HK21&gt;0,HK21,"")</f>
        <v/>
      </c>
      <c r="IB21" s="16" t="str">
        <f>IF(HL21&gt;0,HL21,"")</f>
        <v/>
      </c>
      <c r="IC21" s="16" t="str">
        <f>IF(SUM(HI21:HL21)-HM21&gt;0,SUM(HI21:HL21)-HM21,"")</f>
        <v/>
      </c>
      <c r="ID21" s="16" t="str">
        <f>IF(MAX(HZ21,IC21)&gt;0,MAX(HZ21,IC21),"")</f>
        <v/>
      </c>
      <c r="IE21" s="16" t="str">
        <f>IF(HP21&gt;0,HP21,"")</f>
        <v/>
      </c>
      <c r="IF21" s="16" t="str">
        <f>IF(HQ21&gt;0,HQ21,"")</f>
        <v/>
      </c>
      <c r="IG21" s="16" t="str">
        <f>IF(SUM(HN21:HQ21)-HR21&gt;0,SUM(HN21:HQ21)-HR21,"")</f>
        <v/>
      </c>
      <c r="IH21" s="16" t="str">
        <f>IF(HU21&gt;0,HU21,"")</f>
        <v/>
      </c>
      <c r="II21" s="16" t="str">
        <f>IF(HV21&gt;0,HV21,"")</f>
        <v/>
      </c>
      <c r="IJ21" s="16" t="str">
        <f>IF(SUM(HS21:HV21)-HW21&gt;0,SUM(HS21:HV21)-HW21,"")</f>
        <v/>
      </c>
      <c r="IK21" s="16" t="str">
        <f>IF(SUM(ID21,IJ21)&gt;0,SUM(ID21,IJ21),"")</f>
        <v/>
      </c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76" t="str">
        <f>IF(IN21&gt;0,IN21,"")</f>
        <v/>
      </c>
      <c r="JG21" s="76" t="str">
        <f>IF(IO21&gt;0,IO21,"")</f>
        <v/>
      </c>
      <c r="JH21" s="76" t="str">
        <f>IF(SUM(IL21:IO21)-IP21&gt;0,SUM(IL21:IO21)-IP21,"")</f>
        <v/>
      </c>
      <c r="JI21" s="76" t="str">
        <f>IF(IS21&gt;0,IS21,"")</f>
        <v/>
      </c>
      <c r="JJ21" s="76" t="str">
        <f>IF(IT21&gt;0,IT21,"")</f>
        <v/>
      </c>
      <c r="JK21" s="76" t="str">
        <f>IF(SUM(IQ21:IT21)-IU21&gt;0,SUM(IQ21:IT21)-IU21,"")</f>
        <v/>
      </c>
      <c r="JL21" s="76" t="str">
        <f>IF(MAX(JH21,JK21)&gt;0,MAX(JH21,JK21),"")</f>
        <v/>
      </c>
      <c r="JM21" s="76" t="str">
        <f>IF(IX21&gt;0,IX21,"")</f>
        <v/>
      </c>
      <c r="JN21" s="76" t="str">
        <f>IF(IY21&gt;0,IY21,"")</f>
        <v/>
      </c>
      <c r="JO21" s="76" t="str">
        <f>IF(SUM(IV21:IY21)-IZ21&gt;0,SUM(IV21:IY21)-IZ21,"")</f>
        <v/>
      </c>
      <c r="JP21" s="76" t="str">
        <f>IF(JC21&gt;0,JC21,"")</f>
        <v/>
      </c>
      <c r="JQ21" s="76" t="str">
        <f>IF(JD21&gt;0,JD21,"")</f>
        <v/>
      </c>
      <c r="JR21" s="76" t="str">
        <f>IF(SUM(JA21:JD21)-JE21&gt;0,SUM(JA21:JD21)-JE21,"")</f>
        <v/>
      </c>
      <c r="JS21" s="76" t="str">
        <f>IF(SUM(JL21,JR21)&gt;0,SUM(JL21,JR21),"")</f>
        <v/>
      </c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16" t="str">
        <f>IF(JV21&gt;0,JV21,"")</f>
        <v/>
      </c>
      <c r="KO21" s="16" t="str">
        <f>IF(JW21&gt;0,JW21,"")</f>
        <v/>
      </c>
      <c r="KP21" s="16" t="str">
        <f>IF(SUM(JT21:JW21)-JX21&gt;0,SUM(JT21:JW21)-JX21,"")</f>
        <v/>
      </c>
      <c r="KQ21" s="16" t="str">
        <f>IF(KA21&gt;0,KA21,"")</f>
        <v/>
      </c>
      <c r="KR21" s="16" t="str">
        <f>IF(KB21&gt;0,KB21,"")</f>
        <v/>
      </c>
      <c r="KS21" s="16" t="str">
        <f>IF(SUM(JY21:KB21)-KC21&gt;0,SUM(JY21:KB21)-KC21,"")</f>
        <v/>
      </c>
      <c r="KT21" s="16" t="str">
        <f>IF(MAX(KP21,KS21)&gt;0,MAX(KP21,KS21),"")</f>
        <v/>
      </c>
      <c r="KU21" s="16" t="str">
        <f>IF(KF21&gt;0,KF21,"")</f>
        <v/>
      </c>
      <c r="KV21" s="16" t="str">
        <f>IF(KG21&gt;0,KG21,"")</f>
        <v/>
      </c>
      <c r="KW21" s="16" t="str">
        <f>IF(SUM(KD21:KG21)-KH21&gt;0,SUM(KD21:KG21)-KH21,"")</f>
        <v/>
      </c>
      <c r="KX21" s="16" t="str">
        <f>IF(KK21&gt;0,KK21,"")</f>
        <v/>
      </c>
      <c r="KY21" s="16" t="str">
        <f>IF(KL21&gt;0,KL21,"")</f>
        <v/>
      </c>
      <c r="KZ21" s="16" t="str">
        <f>IF(SUM(KI21:KL21)-KM21&gt;0,SUM(KI21:KL21)-KM21,"")</f>
        <v/>
      </c>
      <c r="LA21" s="16" t="str">
        <f>IF(SUM(KT21,KZ21)&gt;0,SUM(KT21,KZ21),"")</f>
        <v/>
      </c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76" t="str">
        <f>IF(LD21&gt;0,LD21,"")</f>
        <v/>
      </c>
      <c r="LW21" s="76" t="str">
        <f>IF(LE21&gt;0,LE21,"")</f>
        <v/>
      </c>
      <c r="LX21" s="76" t="str">
        <f>IF(SUM(LB21:LE21)-LF21&gt;0,SUM(LB21:LE21)-LF21,"")</f>
        <v/>
      </c>
      <c r="LY21" s="76" t="str">
        <f>IF(LI21&gt;0,LI21,"")</f>
        <v/>
      </c>
      <c r="LZ21" s="76" t="str">
        <f>IF(LJ21&gt;0,LJ21,"")</f>
        <v/>
      </c>
      <c r="MA21" s="76" t="str">
        <f>IF(SUM(LG21:LJ21)-LK21&gt;0,SUM(LG21:LJ21)-LK21,"")</f>
        <v/>
      </c>
      <c r="MB21" s="76" t="str">
        <f>IF(MAX(LX21,MA21)&gt;0,MAX(LX21,MA21),"")</f>
        <v/>
      </c>
      <c r="MC21" s="76" t="str">
        <f>IF(LN21&gt;0,LN21,"")</f>
        <v/>
      </c>
      <c r="MD21" s="76" t="str">
        <f>IF(LO21&gt;0,LO21,"")</f>
        <v/>
      </c>
      <c r="ME21" s="76" t="str">
        <f>IF(SUM(LL21:LO21)-LP21&gt;0,SUM(LL21:LO21)-LP21,"")</f>
        <v/>
      </c>
      <c r="MF21" s="76" t="str">
        <f>IF(LS21&gt;0,LS21,"")</f>
        <v/>
      </c>
      <c r="MG21" s="76" t="str">
        <f>IF(LT21&gt;0,LT21,"")</f>
        <v/>
      </c>
      <c r="MH21" s="76" t="str">
        <f>IF(SUM(LQ21:LT21)-LU21&gt;0,SUM(LQ21:LT21)-LU21,"")</f>
        <v/>
      </c>
      <c r="MI21" s="76" t="str">
        <f>IF(SUM(MB21,MH21)&gt;0,SUM(MB21,MH21),"")</f>
        <v/>
      </c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16" t="str">
        <f>IF(ML21&gt;0,ML21,"")</f>
        <v/>
      </c>
      <c r="NE21" s="16" t="str">
        <f>IF(MM21&gt;0,MM21,"")</f>
        <v/>
      </c>
      <c r="NF21" s="16" t="str">
        <f>IF(SUM(MJ21:MM21)-MN21&gt;0,SUM(MJ21:MM21)-MN21,"")</f>
        <v/>
      </c>
      <c r="NG21" s="16" t="str">
        <f>IF(MQ21&gt;0,MQ21,"")</f>
        <v/>
      </c>
      <c r="NH21" s="16" t="str">
        <f>IF(MR21&gt;0,MR21,"")</f>
        <v/>
      </c>
      <c r="NI21" s="16" t="str">
        <f>IF(SUM(MO21:MR21)-MS21&gt;0,SUM(MO21:MR21)-MS21,"")</f>
        <v/>
      </c>
      <c r="NJ21" s="16" t="str">
        <f>IF(MAX(NF21,NI21)&gt;0,MAX(NF21,NI21),"")</f>
        <v/>
      </c>
      <c r="NK21" s="16" t="str">
        <f>IF(MV21&gt;0,MV21,"")</f>
        <v/>
      </c>
      <c r="NL21" s="16" t="str">
        <f>IF(MW21&gt;0,MW21,"")</f>
        <v/>
      </c>
      <c r="NM21" s="16" t="str">
        <f>IF(SUM(MT21:MW21)-MX21&gt;0,SUM(MT21:MW21)-MX21,"")</f>
        <v/>
      </c>
      <c r="NN21" s="16" t="str">
        <f>IF(NA21&gt;0,NA21,"")</f>
        <v/>
      </c>
      <c r="NO21" s="16" t="str">
        <f>IF(NB21&gt;0,NB21,"")</f>
        <v/>
      </c>
      <c r="NP21" s="16" t="str">
        <f>IF(SUM(MY21:NB21)-NC21&gt;0,SUM(MY21:NB21)-NC21,"")</f>
        <v/>
      </c>
      <c r="NQ21" s="16" t="str">
        <f>IF(SUM(NJ21,NP21)&gt;0,SUM(NJ21,NP21),"")</f>
        <v/>
      </c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76" t="str">
        <f>IF(NT21&gt;0,NT21,"")</f>
        <v/>
      </c>
      <c r="OM21" s="76" t="str">
        <f>IF(NU21&gt;0,NU21,"")</f>
        <v/>
      </c>
      <c r="ON21" s="76" t="str">
        <f>IF(SUM(NR21:NU21)-NV21&gt;0,SUM(NR21:NU21)-NV21,"")</f>
        <v/>
      </c>
      <c r="OO21" s="76" t="str">
        <f>IF(NY21&gt;0,NY21,"")</f>
        <v/>
      </c>
      <c r="OP21" s="76" t="str">
        <f>IF(NZ21&gt;0,NZ21,"")</f>
        <v/>
      </c>
      <c r="OQ21" s="76" t="str">
        <f>IF(SUM(NW21:NZ21)-OA21&gt;0,SUM(NW21:NZ21)-OA21,"")</f>
        <v/>
      </c>
      <c r="OR21" s="76" t="str">
        <f>IF(MAX(ON21,OQ21)&gt;0,MAX(ON21,OQ21),"")</f>
        <v/>
      </c>
      <c r="OS21" s="76" t="str">
        <f>IF(OD21&gt;0,OD21,"")</f>
        <v/>
      </c>
      <c r="OT21" s="76" t="str">
        <f>IF(OE21&gt;0,OE21,"")</f>
        <v/>
      </c>
      <c r="OU21" s="76" t="str">
        <f>IF(SUM(OB21:OE21)-OF21&gt;0,SUM(OB21:OE21)-OF21,"")</f>
        <v/>
      </c>
      <c r="OV21" s="76" t="str">
        <f>IF(OI21&gt;0,OI21,"")</f>
        <v/>
      </c>
      <c r="OW21" s="76" t="str">
        <f>IF(OJ21&gt;0,OJ21,"")</f>
        <v/>
      </c>
      <c r="OX21" s="76" t="str">
        <f>IF(SUM(OG21:OJ21)-OK21&gt;0,SUM(OG21:OJ21)-OK21,"")</f>
        <v/>
      </c>
      <c r="OY21" s="76" t="str">
        <f>IF(SUM(OR21,OX21)&gt;0,SUM(OR21,OX21),"")</f>
        <v/>
      </c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16" t="str">
        <f>IF(PB21&gt;0,PB21,"")</f>
        <v/>
      </c>
      <c r="PU21" s="16" t="str">
        <f>IF(PC21&gt;0,PC21,"")</f>
        <v/>
      </c>
      <c r="PV21" s="16" t="str">
        <f>IF(SUM(OZ21:PC21)-PD21&gt;0,SUM(OZ21:PC21)-PD21,"")</f>
        <v/>
      </c>
      <c r="PW21" s="16" t="str">
        <f>IF(PG21&gt;0,PG21,"")</f>
        <v/>
      </c>
      <c r="PX21" s="16" t="str">
        <f>IF(PH21&gt;0,PH21,"")</f>
        <v/>
      </c>
      <c r="PY21" s="16" t="str">
        <f>IF(SUM(PE21:PH21)-PI21&gt;0,SUM(PE21:PH21)-PI21,"")</f>
        <v/>
      </c>
      <c r="PZ21" s="16" t="str">
        <f>IF(MAX(PV21,PY21)&gt;0,MAX(PV21,PY21),"")</f>
        <v/>
      </c>
      <c r="QA21" s="16" t="str">
        <f>IF(PL21&gt;0,PL21,"")</f>
        <v/>
      </c>
      <c r="QB21" s="16" t="str">
        <f>IF(PM21&gt;0,PM21,"")</f>
        <v/>
      </c>
      <c r="QC21" s="16" t="str">
        <f>IF(SUM(PJ21:PM21)-PN21&gt;0,SUM(PJ21:PM21)-PN21,"")</f>
        <v/>
      </c>
      <c r="QD21" s="16" t="str">
        <f>IF(PQ21&gt;0,PQ21,"")</f>
        <v/>
      </c>
      <c r="QE21" s="16" t="str">
        <f>IF(PR21&gt;0,PR21,"")</f>
        <v/>
      </c>
      <c r="QF21" s="16" t="str">
        <f>IF(SUM(PO21:PR21)-PS21&gt;0,SUM(PO21:PR21)-PS21,"")</f>
        <v/>
      </c>
      <c r="QG21" s="16" t="str">
        <f>IF(SUM(PZ21,QF21)&gt;0,SUM(PZ21,QF21),"")</f>
        <v/>
      </c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25"/>
      <c r="RA21" s="25"/>
      <c r="RB21" s="76" t="str">
        <f>IF(QJ21&gt;0,QJ21,"")</f>
        <v/>
      </c>
      <c r="RC21" s="76" t="str">
        <f>IF(QK21&gt;0,QK21,"")</f>
        <v/>
      </c>
      <c r="RD21" s="76" t="str">
        <f>IF(SUM(QH21:QK21)-QL21&gt;0,SUM(QH21:QK21)-QL21,"")</f>
        <v/>
      </c>
      <c r="RE21" s="76" t="str">
        <f>IF(QO21&gt;0,QO21,"")</f>
        <v/>
      </c>
      <c r="RF21" s="76" t="str">
        <f>IF(QP21&gt;0,QP21,"")</f>
        <v/>
      </c>
      <c r="RG21" s="76" t="str">
        <f>IF(SUM(QM21:QP21)-QQ21&gt;0,SUM(QM21:QP21)-QQ21,"")</f>
        <v/>
      </c>
      <c r="RH21" s="76" t="str">
        <f>IF(MAX(RD21,RG21)&gt;0,MAX(RD21,RG21),"")</f>
        <v/>
      </c>
      <c r="RI21" s="76" t="str">
        <f>IF(QT21&gt;0,QT21,"")</f>
        <v/>
      </c>
      <c r="RJ21" s="76" t="str">
        <f>IF(QU21&gt;0,QU21,"")</f>
        <v/>
      </c>
      <c r="RK21" s="76" t="str">
        <f>IF(SUM(QR21:QU21)-QV21&gt;0,SUM(QR21:QU21)-QV21,"")</f>
        <v/>
      </c>
      <c r="RL21" s="76" t="str">
        <f>IF(QY21&gt;0,QY21,"")</f>
        <v/>
      </c>
      <c r="RM21" s="76" t="str">
        <f>IF(QZ21&gt;0,QZ21,"")</f>
        <v/>
      </c>
      <c r="RN21" s="76" t="str">
        <f>IF(SUM(QW21:QZ21)-RA21&gt;0,SUM(QW21:QZ21)-RA21,"")</f>
        <v/>
      </c>
      <c r="RO21" s="76" t="str">
        <f>IF(SUM(RH21,RN21)&gt;0,SUM(RH21,RN21),"")</f>
        <v/>
      </c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26"/>
      <c r="SI21" s="26"/>
      <c r="SJ21" s="16" t="str">
        <f>IF(RR21&gt;0,RR21,"")</f>
        <v/>
      </c>
      <c r="SK21" s="16" t="str">
        <f>IF(RS21&gt;0,RS21,"")</f>
        <v/>
      </c>
      <c r="SL21" s="16" t="str">
        <f>IF(SUM(RP21:RS21)-RT21&gt;0,SUM(RP21:RS21)-RT21,"")</f>
        <v/>
      </c>
      <c r="SM21" s="16" t="str">
        <f>IF(RW21&gt;0,RW21,"")</f>
        <v/>
      </c>
      <c r="SN21" s="16" t="str">
        <f>IF(RX21&gt;0,RX21,"")</f>
        <v/>
      </c>
      <c r="SO21" s="16" t="str">
        <f>IF(SUM(RU21:RX21)-RY21&gt;0,SUM(RU21:RX21)-RY21,"")</f>
        <v/>
      </c>
      <c r="SP21" s="16" t="str">
        <f>IF(MAX(SL21,SO21)&gt;0,MAX(SL21,SO21),"")</f>
        <v/>
      </c>
      <c r="SQ21" s="16" t="str">
        <f>IF(SB21&gt;0,SB21,"")</f>
        <v/>
      </c>
      <c r="SR21" s="16" t="str">
        <f>IF(SC21&gt;0,SC21,"")</f>
        <v/>
      </c>
      <c r="SS21" s="16" t="str">
        <f>IF(SUM(RZ21:SC21)-SD21&gt;0,SUM(RZ21:SC21)-SD21,"")</f>
        <v/>
      </c>
      <c r="ST21" s="16" t="str">
        <f>IF(SG21&gt;0,SG21,"")</f>
        <v/>
      </c>
      <c r="SU21" s="16" t="str">
        <f>IF(SH21&gt;0,SH21,"")</f>
        <v/>
      </c>
      <c r="SV21" s="16" t="str">
        <f>IF(SUM(SE21:SH21)-SI21&gt;0,SUM(SE21:SH21)-SI21,"")</f>
        <v/>
      </c>
      <c r="SW21" s="16" t="str">
        <f>IF(SUM(SP21,SV21)&gt;0,SUM(SP21,SV21),"")</f>
        <v/>
      </c>
      <c r="SX21" s="42">
        <f>IF($CP21="P",CA21,(CA21+AZ21)/2)</f>
        <v>5.8</v>
      </c>
      <c r="SY21" s="42">
        <f>IF($CP21="P",CB21,(CB21+BA21)/2)</f>
        <v>4.05</v>
      </c>
      <c r="SZ21" s="42">
        <f>IF($CP21="P",CC21,(CC21+BB21)/2)</f>
        <v>6.25</v>
      </c>
      <c r="TA21" s="42">
        <f>IF($CP21="P",CD21,(CD21+BC21)/2)</f>
        <v>7.4424999999999999</v>
      </c>
      <c r="TB21" s="42">
        <f>IF($CP21="P",CE21,(CE21+BD21)/2)</f>
        <v>0</v>
      </c>
      <c r="TC21" s="42">
        <f>IF($CP21="P",CF21,(CF21+BE21)/2)</f>
        <v>1.2</v>
      </c>
      <c r="TD21" s="42">
        <f>IF($CP21="P",CG21,(CG21+BF21)/2)</f>
        <v>0.9</v>
      </c>
      <c r="TE21" s="42">
        <f>IF($CP21="P",CH21,(CH21+BG21)/2)</f>
        <v>1.25</v>
      </c>
      <c r="TF21" s="42">
        <f>IF($CP21="P",CI21,(CI21+BH21)/2)</f>
        <v>1.84</v>
      </c>
      <c r="TG21" s="42">
        <f>IF($CP21="P",CJ21,(CJ21+BI21)/2)</f>
        <v>0</v>
      </c>
      <c r="TH21" s="42">
        <f>IF($CP21="P",CK21,(CK21+BJ21)/2)</f>
        <v>0</v>
      </c>
      <c r="TI21" s="42">
        <f>IF($CP21="P",CL21,(CL21+BK21)/2)</f>
        <v>0</v>
      </c>
      <c r="TJ21" s="42">
        <f>IF($CP21="P",CM21,(CM21+BL21)/2)</f>
        <v>0</v>
      </c>
      <c r="TK21" s="42">
        <f>IF($CP21="P",CN21,(CN21+BM21)/2)</f>
        <v>0</v>
      </c>
      <c r="TL21" s="42">
        <f>IF($CP21="P",CO21,(CO21+BN21)/2)</f>
        <v>0</v>
      </c>
      <c r="TM21" s="51" t="s">
        <v>61</v>
      </c>
      <c r="TN21" s="76">
        <f>IF(SZ21&gt;0,SZ21,"")</f>
        <v>6.25</v>
      </c>
      <c r="TO21" s="76">
        <f>IF(TA21&gt;0,TA21,"")</f>
        <v>7.4424999999999999</v>
      </c>
      <c r="TP21" s="76">
        <f>IF(SUM(SX21:TA21)-TB21&gt;0,SUM(SX21:TA21)-TB21,"")</f>
        <v>23.5425</v>
      </c>
      <c r="TQ21" s="76">
        <f>IF(TE21&gt;0,TE21,"")</f>
        <v>1.25</v>
      </c>
      <c r="TR21" s="76">
        <f>IF(TF21&gt;0,TF21,"")</f>
        <v>1.84</v>
      </c>
      <c r="TS21" s="76">
        <f>IF(SUM(TC21:TF21)-TG21&gt;0,SUM(TC21:TF21)-TG21,"")</f>
        <v>5.19</v>
      </c>
      <c r="TT21" s="76">
        <f>IF(MAX(TP21,TS21)&gt;0,MAX(TP21,TS21),"")</f>
        <v>23.5425</v>
      </c>
      <c r="TU21" s="76" t="str">
        <f>IF(TJ21&gt;0,TJ21,"")</f>
        <v/>
      </c>
      <c r="TV21" s="76" t="str">
        <f>IF(TK21&gt;0,TK21,"")</f>
        <v/>
      </c>
      <c r="TW21" s="76" t="str">
        <f>IF(SUM(TH21:TK21)-TL21&gt;0,SUM(TH21:TK21)-TL21,"")</f>
        <v/>
      </c>
      <c r="TX21" s="76">
        <f>IF(SUM(TT21,TW21)&gt;0,SUM(TT21,TW21),"")</f>
        <v>23.5425</v>
      </c>
    </row>
    <row r="22" spans="1:544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>SUM(J22:V22)+SUM(J22:T22)*0.0000001+SUM(J22)*0.0000000000001</f>
        <v>15.565001556501217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Z22&gt;=EM$25,DZ22&lt;&gt;"",EB22&gt;=EM$29,EB22&lt;&gt;""),AND(EC22&gt;=EM$25,EC22&lt;&gt;"",EE22&gt;=EM$29,EE22&lt;&gt;""),AND(EG22&gt;=EM$25,EG22&lt;&gt;"",EI22&gt;=EM$29,EI22&lt;&gt;""),AND(EJ22&gt;=EM$25,EJ22&lt;&gt;"",EL22&gt;=EM$29,EL22&lt;&gt;""),AND(FH22&gt;=FU$25,FH22&lt;&gt;"",FJ22&gt;=FU$29,FJ22&lt;&gt;""),AND(FK22&gt;=FU$25,FK22&lt;&gt;"",FM22&gt;=FU$29,FM22&lt;&gt;""),AND(FO22&gt;=FU$25,FO22&lt;&gt;"",FQ22&gt;=FU$29,FQ22&lt;&gt;""),AND(FR22&gt;=FU$25,FR22&lt;&gt;"",FT22&gt;=FU$29,FT22&lt;&gt;""),AND(GP22&gt;=HC$25,GP22&lt;&gt;"",GR22&gt;=HC$29,GR22&lt;&gt;""),AND(GS22&gt;=HC$25,GS22&lt;&gt;"",GU22&gt;=HC$29,GU22&lt;&gt;""),AND(GW22&gt;=HC$25,GW22&lt;&gt;"",GY22&gt;=HC$29,GY22&lt;&gt;""),AND(GZ22&gt;=HC$25,GZ22&lt;&gt;"",HB22&gt;=HC$29,HB22&lt;&gt;""),AND(HX22&gt;=IK$25,HX22&lt;&gt;"",HZ22&gt;=IK$29,HZ22&lt;&gt;""),AND(IA22&gt;=IK$25,IA22&lt;&gt;"",IC22&gt;=IK$29,IC22&lt;&gt;""),AND(IE22&gt;=IK$25,IE22&lt;&gt;"",IG22&gt;=IK$29,IG22&lt;&gt;""),AND(IH22&gt;=IK$25,IH22&lt;&gt;"",IJ22&gt;=IK$29,IJ22&lt;&gt;""),AND(JF22&gt;=JS$25,JF22&lt;&gt;"",JH22&gt;=JS$29,JH22&lt;&gt;""),AND(JI22&gt;=JS$25,JI22&lt;&gt;"",JK22&gt;=JS$29,JK22&lt;&gt;""),AND(JM22&gt;=JS$25,JM22&lt;&gt;"",JO22&gt;=JS$29,JO22&lt;&gt;""),AND(JP22&gt;=JS$25,JP22&lt;&gt;"",JR22&gt;=JS$29,JR22&lt;&gt;""),AND(KN22&gt;=LA$25,KN22&lt;&gt;"",KP22&gt;=LA$29,KP22&lt;&gt;""),AND(KQ22&gt;=LA$25,KQ22&lt;&gt;"",KS22&gt;=LA$29,KS22&lt;&gt;""),AND(KU22&gt;=LA$25,KU22&lt;&gt;"",KW22&gt;=LA$29,KW22&lt;&gt;""),AND(KX22&gt;=LA$25,KX22&lt;&gt;"",KZ22&gt;=LA$29,KZ22&lt;&gt;""),AND(LV22&gt;=MI$25,LV22&lt;&gt;"",LX22&gt;=MI$29,LX22&lt;&gt;""),AND(LY22&gt;=MI$25,LY22&lt;&gt;"",MA22&gt;=MI$29,MA22&lt;&gt;""),AND(MC22&gt;=MI$25,MC22&lt;&gt;"",ME22&gt;=MI$29,ME22&lt;&gt;""),AND(MF22&gt;=MI$25,MF22&lt;&gt;"",MH22&gt;=MI$29,MH22&lt;&gt;""),AND(ND22&gt;=NQ$25,ND22&lt;&gt;"",NF22&gt;=NQ$29,NF22&lt;&gt;""),AND(NG22&gt;=NQ$25,NG22&lt;&gt;"",NI22&gt;=NQ$29,NI22&lt;&gt;""),AND(NK22&gt;=NQ$25,NK22&lt;&gt;"",NM22&gt;=NQ$29,NM22&lt;&gt;""),AND(NN22&gt;=NQ$25,NN22&lt;&gt;"",NP22&gt;=NQ$29,NP22&lt;&gt;""),AND(OL22&gt;=OY$25,OL22&lt;&gt;"",ON22&gt;=OY$29,ON22&lt;&gt;""),AND(OO22&gt;=OY$25,OO22&lt;&gt;"",OQ22&gt;=OY$29,OQ22&lt;&gt;""),AND(OS22&gt;=OY$25,OS22&lt;&gt;"",OU22&gt;=OY$29,OU22&lt;&gt;""),AND(OV22&gt;=OY$25,OV22&lt;&gt;"",OX22&gt;=OY$29,OX22&lt;&gt;""),AND(PT22&gt;=QG$25,PT22&lt;&gt;"",PV22&gt;=QG$29,PV22&lt;&gt;""),AND(PW22&gt;=QG$25,PW22&lt;&gt;"",PY22&gt;=QG$29,PY22&lt;&gt;""),AND(QA22&gt;=QG$25,QA22&lt;&gt;"",QC22&gt;=QG$29,QC22&lt;&gt;""),AND(QD22&gt;=QG$25,QD22&lt;&gt;"",QF22&gt;=QG$29,QF22&lt;&gt;""),AND(RB22&gt;=RO$25,RB22&lt;&gt;"",RD22&gt;=RO$29,RD22&lt;&gt;""),AND(RE22&gt;=RO$25,RE22&lt;&gt;"",RG22&gt;=RO$29,RG22&lt;&gt;""),AND(RI22&gt;=RO$25,RI22&lt;&gt;"",RK22&gt;=RO$29,RK22&lt;&gt;""),AND(RL22&gt;=RO$25,RL22&lt;&gt;"",RN22&gt;=RO$29,RN22&lt;&gt;""),AND(SJ22&gt;=SW$25,SJ22&lt;&gt;"",SL22&gt;=SW$29,SL22&lt;&gt;""),AND(SM22&gt;=SW$25,SM22&lt;&gt;"",SO22&gt;=SW$29,SO22&lt;&gt;""),AND(SQ22&gt;=SW$25,SQ22&lt;&gt;"",SS22&gt;=SW$29,SS22&lt;&gt;""),AND(ST22&gt;=SW$25,ST22&lt;&gt;"",SV22&gt;=SW$29,SV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EB22&gt;=EM$29,EB22&lt;&gt;""),AND(EE22&gt;=EM$29,EE22&lt;&gt;""),AND(EI22&gt;=EM$29,EI22&lt;&gt;""),AND(EL22&gt;=EM$29,EL22&lt;&gt;""),AND(FJ22&gt;=FU$29,FJ22&lt;&gt;""),AND(FM22&gt;=FU$29,FM22&lt;&gt;""),AND(FQ22&gt;=FU$29,FQ22&lt;&gt;""),AND(FT22&gt;=FU$29,FT22&lt;&gt;""),AND(GR22&gt;=HC$29,GR22&lt;&gt;""),AND(GU22&gt;=HC$29,GU22&lt;&gt;""),AND(GY22&gt;=HC$29,GY22&lt;&gt;""),AND(HB22&gt;=HC$29,HB22&lt;&gt;""),AND(HZ22&gt;=IK$29,HZ22&lt;&gt;""),AND(IC22&gt;=IK$29,IC22&lt;&gt;""),AND(IG22&gt;=IK$29,IG22&lt;&gt;""),AND(IJ22&gt;=IK$29,IJ22&lt;&gt;""),AND(JH22&gt;=JS$29,JH22&lt;&gt;""),AND(JK22&gt;=JS$29,JK22&lt;&gt;""),AND(JO22&gt;=JS$29,JO22&lt;&gt;""),AND(JR22&gt;=JS$29,JR22&lt;&gt;""),AND(KP22&gt;=LA$29,KP22&lt;&gt;""),AND(KS22&gt;=LA$29,KS22&lt;&gt;""),AND(KW22&gt;=LA$29,KW22&lt;&gt;""),AND(KZ22&gt;=LA$29,KZ22&lt;&gt;""),AND(LX22&gt;=MI$29,LX22&lt;&gt;""),AND(MA22&gt;=MI$29,MA22&lt;&gt;""),AND(ME22&gt;=MI$29,ME22&lt;&gt;""),AND(MH22&gt;=MI$29,MH22&lt;&gt;""),AND(NF22&gt;=NQ$29,NF22&lt;&gt;""),AND(NI22&gt;=NQ$29,NI22&lt;&gt;""),AND(NM22&gt;=NQ$29,NM22&lt;&gt;""),AND(NP22&gt;=NQ$29,NP22&lt;&gt;""),AND(ON22&gt;=OY$29,ON22&lt;&gt;""),AND(OQ22&gt;=OY$29,OQ22&lt;&gt;""),AND(OU22&gt;=OY$29,OU22&lt;&gt;""),AND(OX22&gt;=OY$29,OX22&lt;&gt;""),AND(PV22&gt;=QG$29,PV22&lt;&gt;""),AND(PY22&gt;=QG$29,PY22&lt;&gt;""),AND(QC22&gt;=QG$29,QC22&lt;&gt;""),AND(QF22&gt;=QG$29,QF22&lt;&gt;""),AND(RD22&gt;=RO$29,RD22&lt;&gt;""),AND(RG22&gt;=RO$29,RG22&lt;&gt;""),AND(RK22&gt;=RO$29,RK22&lt;&gt;""),AND(RN22&gt;=RO$29,RN22&lt;&gt;""),AND(SL22&gt;=SW$29,SL22&lt;&gt;""),AND(SO22&gt;=SW$29,SO22&lt;&gt;""),AND(SS22&gt;=SW$29,SS22&lt;&gt;""),AND(SV22&gt;=SW$29,SV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Z22&gt;=EM$28,DZ22&lt;&gt;"",EB22&gt;=EM$32,EB22&lt;&gt;""),AND(EC22&gt;=EM$28,EC22&lt;&gt;"",EE22&gt;=EM$32,EE22&lt;&gt;""),AND(EG22&gt;=EM$28,EG22&lt;&gt;"",EI22&gt;=EM$32,EI22&lt;&gt;""),AND(EJ22&gt;=EM$28,EJ22&lt;&gt;"",EL22&gt;=EM$32,EL22&lt;&gt;""),AND(FH22&gt;=FU$28,FH22&lt;&gt;"",FJ22&gt;=FU$32,FJ22&lt;&gt;""),AND(FK22&gt;=FU$28,FK22&lt;&gt;"",FM22&gt;=FU$32,FM22&lt;&gt;""),AND(FO22&gt;=FU$28,FO22&lt;&gt;"",FQ22&gt;=FU$32,FQ22&lt;&gt;""),AND(FR22&gt;=FU$28,FR22&lt;&gt;"",FT22&gt;=FU$32,FT22&lt;&gt;""),AND(GP22&gt;=HC$28,GP22&lt;&gt;"",GR22&gt;=HC$32,GR22&lt;&gt;""),AND(GS22&gt;=HC$28,GS22&lt;&gt;"",GU22&gt;=HC$32,GU22&lt;&gt;""),AND(GW22&gt;=HC$28,GW22&lt;&gt;"",GY22&gt;=HC$32,GY22&lt;&gt;""),AND(GZ22&gt;=HC$28,GZ22&lt;&gt;"",HB22&gt;=HC$32,HB22&lt;&gt;""),AND(HX22&gt;=IK$28,HX22&lt;&gt;"",HZ22&gt;=IK$32,HZ22&lt;&gt;""),AND(IA22&gt;=IK$28,IA22&lt;&gt;"",IC22&gt;=IK$32,IC22&lt;&gt;""),AND(IE22&gt;=IK$28,IE22&lt;&gt;"",IG22&gt;=IK$32,IG22&lt;&gt;""),AND(IH22&gt;=IK$28,IH22&lt;&gt;"",IJ22&gt;=IK$32,IJ22&lt;&gt;""),AND(JF22&gt;=JS$28,JF22&lt;&gt;"",JH22&gt;=JS$32,JH22&lt;&gt;""),AND(JI22&gt;=JS$28,JI22&lt;&gt;"",JK22&gt;=JS$32,JK22&lt;&gt;""),AND(JM22&gt;=JS$28,JM22&lt;&gt;"",JO22&gt;=JS$32,JO22&lt;&gt;""),AND(JP22&gt;=JS$28,JP22&lt;&gt;"",JR22&gt;=JS$32,JR22&lt;&gt;""),AND(KN22&gt;=LA$28,KN22&lt;&gt;"",KP22&gt;=LA$32,KP22&lt;&gt;""),AND(KQ22&gt;=LA$28,KQ22&lt;&gt;"",KS22&gt;=LA$32,KS22&lt;&gt;""),AND(KU22&gt;=LA$28,KU22&lt;&gt;"",KW22&gt;=LA$32,KW22&lt;&gt;""),AND(KX22&gt;=LA$28,KX22&lt;&gt;"",KZ22&gt;=LA$32,KZ22&lt;&gt;""),AND(LV22&gt;=MI$28,LV22&lt;&gt;"",LX22&gt;=MI$32,LX22&lt;&gt;""),AND(LY22&gt;=MI$28,LY22&lt;&gt;"",MA22&gt;=MI$32,MA22&lt;&gt;""),AND(MC22&gt;=MI$28,MC22&lt;&gt;"",ME22&gt;=MI$32,ME22&lt;&gt;""),AND(MF22&gt;=MI$28,MF22&lt;&gt;"",MH22&gt;=MI$32,MH22&lt;&gt;""),AND(ND22&gt;=NQ$28,ND22&lt;&gt;"",NF22&gt;=NQ$32,NF22&lt;&gt;""),AND(NG22&gt;=NQ$28,NG22&lt;&gt;"",NI22&gt;=NQ$32,NI22&lt;&gt;""),AND(NK22&gt;=NQ$28,NK22&lt;&gt;"",NM22&gt;=NQ$32,NM22&lt;&gt;""),AND(NN22&gt;=NQ$28,NN22&lt;&gt;"",NP22&gt;=NQ$32,NP22&lt;&gt;""),AND(OL22&gt;=OY$28,OL22&lt;&gt;"",ON22&gt;=OY$32,ON22&lt;&gt;""),AND(OO22&gt;=OY$28,OO22&lt;&gt;"",OQ22&gt;=OY$32,OQ22&lt;&gt;""),AND(OS22&gt;=OY$28,OS22&lt;&gt;"",OU22&gt;=OY$32,OU22&lt;&gt;""),AND(OV22&gt;=OY$28,OV22&lt;&gt;"",OX22&gt;=OY$32,OX22&lt;&gt;""),AND(PT22&gt;=QG$28,PT22&lt;&gt;"",PV22&gt;=QG$32,PV22&lt;&gt;""),AND(PW22&gt;=QG$28,PW22&lt;&gt;"",PY22&gt;=QG$32,PY22&lt;&gt;""),AND(QA22&gt;=QG$28,QA22&lt;&gt;"",QC22&gt;=QG$32,QC22&lt;&gt;""),AND(QD22&gt;=QG$28,QD22&lt;&gt;"",QF22&gt;=QG$32,QF22&lt;&gt;""),AND(RB22&gt;=RO$28,RB22&lt;&gt;"",RD22&gt;=RO$32,RD22&lt;&gt;""),AND(RE22&gt;=RO$28,RE22&lt;&gt;"",RG22&gt;=RO$32,RG22&lt;&gt;""),AND(RI22&gt;=RO$28,RI22&lt;&gt;"",RK22&gt;=RO$32,RK22&lt;&gt;""),AND(RL22&gt;=RO$28,RL22&lt;&gt;"",RN22&gt;=RO$32,RN22&lt;&gt;""),AND(SJ22&gt;=SW$28,SJ22&lt;&gt;"",SL22&gt;=SW$32,SL22&lt;&gt;""),AND(SM22&gt;=SW$28,SM22&lt;&gt;"",SO22&gt;=SW$32,SO22&lt;&gt;""),AND(SQ22&gt;=SW$28,SQ22&lt;&gt;"",SS22&gt;=SW$32,SS22&lt;&gt;""),AND(ST22&gt;=SW$28,ST22&lt;&gt;"",SV22&gt;=SW$32,SV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Z22&gt;=EM$27,DZ22&lt;&gt;"",EB22&gt;=EM$31,EB22&lt;&gt;""),AND(EC22&gt;=EM$27,EC22&lt;&gt;"",EE22&gt;=EM$31,EE22&lt;&gt;""),AND(EG22&gt;=EM$27,EG22&lt;&gt;"",EI22&gt;=EM$31,EI22&lt;&gt;""),AND(EJ22&gt;=EM$27,EJ22&lt;&gt;"",EL22&gt;=EM$31,EL22&lt;&gt;""),AND(FH22&gt;=FU$27,FH22&lt;&gt;"",FJ22&gt;=FU$31,FJ22&lt;&gt;""),AND(FK22&gt;=FU$27,FK22&lt;&gt;"",FM22&gt;=FU$31,FM22&lt;&gt;""),AND(FO22&gt;=FU$27,FO22&lt;&gt;"",FQ22&gt;=FU$31,FQ22&lt;&gt;""),AND(FR22&gt;=FU$27,FR22&lt;&gt;"",FT22&gt;=FU$31,FT22&lt;&gt;""),AND(GP22&gt;=HC$27,GP22&lt;&gt;"",GR22&gt;=HC$31,GR22&lt;&gt;""),AND(GS22&gt;=HC$27,GS22&lt;&gt;"",GU22&gt;=HC$31,GU22&lt;&gt;""),AND(GW22&gt;=HC$27,GW22&lt;&gt;"",GY22&gt;=HC$31,GY22&lt;&gt;""),AND(GZ22&gt;=HC$27,GZ22&lt;&gt;"",HB22&gt;=HC$31,HB22&lt;&gt;""),AND(HX22&gt;=IK$27,HX22&lt;&gt;"",HZ22&gt;=IK$31,HZ22&lt;&gt;""),AND(IA22&gt;=IK$27,IA22&lt;&gt;"",IC22&gt;=IK$31,IC22&lt;&gt;""),AND(IE22&gt;=IK$27,IE22&lt;&gt;"",IG22&gt;=IK$31,IG22&lt;&gt;""),AND(IH22&gt;=IK$27,IH22&lt;&gt;"",IJ22&gt;=IK$31,IJ22&lt;&gt;""),AND(JF22&gt;=JS$27,JF22&lt;&gt;"",JH22&gt;=JS$31,JH22&lt;&gt;""),AND(JI22&gt;=JS$27,JI22&lt;&gt;"",JK22&gt;=JS$31,JK22&lt;&gt;""),AND(JM22&gt;=JS$27,JM22&lt;&gt;"",JO22&gt;=JS$31,JO22&lt;&gt;""),AND(JP22&gt;=JS$27,JP22&lt;&gt;"",JR22&gt;=JS$31,JR22&lt;&gt;""),AND(KN22&gt;=LA$27,KN22&lt;&gt;"",KP22&gt;=LA$31,KP22&lt;&gt;""),AND(KQ22&gt;=LA$27,KQ22&lt;&gt;"",KS22&gt;=LA$31,KS22&lt;&gt;""),AND(KU22&gt;=LA$27,KU22&lt;&gt;"",KW22&gt;=LA$31,KW22&lt;&gt;""),AND(KX22&gt;=LA$27,KX22&lt;&gt;"",KZ22&gt;=LA$31,KZ22&lt;&gt;""),AND(LV22&gt;=MI$27,LV22&lt;&gt;"",LX22&gt;=MI$31,LX22&lt;&gt;""),AND(LY22&gt;=MI$27,LY22&lt;&gt;"",MA22&gt;=MI$31,MA22&lt;&gt;""),AND(MC22&gt;=MI$27,MC22&lt;&gt;"",ME22&gt;=MI$31,ME22&lt;&gt;""),AND(MF22&gt;=MI$27,MF22&lt;&gt;"",MH22&gt;=MI$31,MH22&lt;&gt;""),AND(ND22&gt;=NQ$27,ND22&lt;&gt;"",NF22&gt;=NQ$31,NF22&lt;&gt;""),AND(NG22&gt;=NQ$27,NG22&lt;&gt;"",NI22&gt;=NQ$31,NI22&lt;&gt;""),AND(NK22&gt;=NQ$27,NK22&lt;&gt;"",NM22&gt;=NQ$31,NM22&lt;&gt;""),AND(NN22&gt;=NQ$27,NN22&lt;&gt;"",NP22&gt;=NQ$31,NP22&lt;&gt;""),AND(OL22&gt;=OY$27,OL22&lt;&gt;"",ON22&gt;=OY$31,ON22&lt;&gt;""),AND(OO22&gt;=OY$27,OO22&lt;&gt;"",OQ22&gt;=OY$31,OQ22&lt;&gt;""),AND(OS22&gt;=OY$27,OS22&lt;&gt;"",OU22&gt;=OY$31,OU22&lt;&gt;""),AND(OV22&gt;=OY$27,OV22&lt;&gt;"",OX22&gt;=OY$31,OX22&lt;&gt;""),AND(PT22&gt;=QG$27,PT22&lt;&gt;"",PV22&gt;=QG$31,PV22&lt;&gt;""),AND(PW22&gt;=QG$27,PW22&lt;&gt;"",PY22&gt;=QG$31,PY22&lt;&gt;""),AND(QA22&gt;=QG$27,QA22&lt;&gt;"",QC22&gt;=QG$31,QC22&lt;&gt;""),AND(QD22&gt;=QG$27,QD22&lt;&gt;"",QF22&gt;=QG$31,QF22&lt;&gt;""),AND(RB22&gt;=RO$27,RB22&lt;&gt;"",RD22&gt;=RO$31,RD22&lt;&gt;""),AND(RE22&gt;=RO$27,RE22&lt;&gt;"",RG22&gt;=RO$31,RG22&lt;&gt;""),AND(RI22&gt;=RO$27,RI22&lt;&gt;"",RK22&gt;=RO$31,RK22&lt;&gt;""),AND(RL22&gt;=RO$27,RL22&lt;&gt;"",RN22&gt;=RO$31,RN22&lt;&gt;""),AND(SJ22&gt;=SW$27,SJ22&lt;&gt;"",SL22&gt;=SW$31,SL22&lt;&gt;""),AND(SM22&gt;=SW$27,SM22&lt;&gt;"",SO22&gt;=SW$31,SO22&lt;&gt;""),AND(SQ22&gt;=SW$27,SQ22&lt;&gt;"",SS22&gt;=SW$31,SS22&lt;&gt;""),AND(ST22&gt;=SW$27,ST22&lt;&gt;"",SV22&gt;=SW$31,SV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Z22&gt;=EM$26,DZ22&lt;&gt;"",EB22&gt;=EM$30,EB22&lt;&gt;""),AND(EC22&gt;=EM$26,EC22&lt;&gt;"",EE22&gt;=EM$30,EE22&lt;&gt;""),AND(EG22&gt;=EM$26,EG22&lt;&gt;"",EI22&gt;=EM$30,EI22&lt;&gt;""),AND(EJ22&gt;=EM$26,EJ22&lt;&gt;"",EL22&gt;=EM$30,EL22&lt;&gt;""),AND(FH22&gt;=FU$26,FH22&lt;&gt;"",FJ22&gt;=FU$30,FJ22&lt;&gt;""),AND(FK22&gt;=FU$26,FK22&lt;&gt;"",FM22&gt;=FU$30,FM22&lt;&gt;""),AND(FO22&gt;=FU$26,FO22&lt;&gt;"",FQ22&gt;=FU$30,FQ22&lt;&gt;""),AND(FR22&gt;=FU$26,FR22&lt;&gt;"",FT22&gt;=FU$30,FT22&lt;&gt;""),AND(GP22&gt;=HC$26,GP22&lt;&gt;"",GR22&gt;=HC$30,GR22&lt;&gt;""),AND(GS22&gt;=HC$26,GS22&lt;&gt;"",GU22&gt;=HC$30,GU22&lt;&gt;""),AND(GW22&gt;=HC$26,GW22&lt;&gt;"",GY22&gt;=HC$30,GY22&lt;&gt;""),AND(GZ22&gt;=HC$26,GZ22&lt;&gt;"",HB22&gt;=HC$30,HB22&lt;&gt;""),AND(HX22&gt;=IK$26,HX22&lt;&gt;"",HZ22&gt;=IK$30,HZ22&lt;&gt;""),AND(IA22&gt;=IK$26,IA22&lt;&gt;"",IC22&gt;=IK$30,IC22&lt;&gt;""),AND(IE22&gt;=IK$26,IE22&lt;&gt;"",IG22&gt;=IK$30,IG22&lt;&gt;""),AND(IH22&gt;=IK$26,IH22&lt;&gt;"",IJ22&gt;=IK$30,IJ22&lt;&gt;""),AND(JF22&gt;=JS$26,JF22&lt;&gt;"",JH22&gt;=JS$30,JH22&lt;&gt;""),AND(JI22&gt;=JS$26,JI22&lt;&gt;"",JK22&gt;=JS$30,JK22&lt;&gt;""),AND(JM22&gt;=JS$26,JM22&lt;&gt;"",JO22&gt;=JS$30,JO22&lt;&gt;""),AND(JP22&gt;=JS$26,JP22&lt;&gt;"",JR22&gt;=JS$30,JR22&lt;&gt;""),AND(KN22&gt;=LA$26,KN22&lt;&gt;"",KP22&gt;=LA$30,KP22&lt;&gt;""),AND(KQ22&gt;=LA$26,KQ22&lt;&gt;"",KS22&gt;=LA$30,KS22&lt;&gt;""),AND(KU22&gt;=LA$26,KU22&lt;&gt;"",KW22&gt;=LA$30,KW22&lt;&gt;""),AND(KX22&gt;=LA$26,KX22&lt;&gt;"",KZ22&gt;=LA$30,KZ22&lt;&gt;""),AND(LV22&gt;=MI$26,LV22&lt;&gt;"",LX22&gt;=MI$30,LX22&lt;&gt;""),AND(LY22&gt;=MI$26,LY22&lt;&gt;"",MA22&gt;=MI$30,MA22&lt;&gt;""),AND(MC22&gt;=MI$26,MC22&lt;&gt;"",ME22&gt;=MI$30,ME22&lt;&gt;""),AND(MF22&gt;=MI$26,MF22&lt;&gt;"",MH22&gt;=MI$30,MH22&lt;&gt;""),AND(ND22&gt;=NQ$26,ND22&lt;&gt;"",NF22&gt;=NQ$30,NF22&lt;&gt;""),AND(NG22&gt;=NQ$26,NG22&lt;&gt;"",NI22&gt;=NQ$30,NI22&lt;&gt;""),AND(NK22&gt;=NQ$26,NK22&lt;&gt;"",NM22&gt;=NQ$30,NM22&lt;&gt;""),AND(NN22&gt;=NQ$26,NN22&lt;&gt;"",NP22&gt;=NQ$30,NP22&lt;&gt;""),AND(OL22&gt;=OY$26,OL22&lt;&gt;"",ON22&gt;=OY$30,ON22&lt;&gt;""),AND(OO22&gt;=OY$26,OO22&lt;&gt;"",OQ22&gt;=OY$30,OQ22&lt;&gt;""),AND(OS22&gt;=OY$26,OS22&lt;&gt;"",OU22&gt;=OY$30,OU22&lt;&gt;""),AND(OV22&gt;=OY$26,OV22&lt;&gt;"",OX22&gt;=OY$30,OX22&lt;&gt;""),AND(PT22&gt;=QG$26,PT22&lt;&gt;"",PV22&gt;=QG$30,PV22&lt;&gt;""),AND(PW22&gt;=QG$26,PW22&lt;&gt;"",PY22&gt;=QG$30,PY22&lt;&gt;""),AND(QA22&gt;=QG$26,QA22&lt;&gt;"",QC22&gt;=QG$30,QC22&lt;&gt;""),AND(QD22&gt;=QG$26,QD22&lt;&gt;"",QF22&gt;=QG$30,QF22&lt;&gt;""),AND(RB22&gt;=RO$26,RB22&lt;&gt;"",RD22&gt;=RO$30,RD22&lt;&gt;""),AND(RE22&gt;=RO$26,RE22&lt;&gt;"",RG22&gt;=RO$30,RG22&lt;&gt;""),AND(RI22&gt;=RO$26,RI22&lt;&gt;"",RK22&gt;=RO$30,RK22&lt;&gt;""),AND(RL22&gt;=RO$26,RL22&lt;&gt;"",RN22&gt;=RO$30,RN22&lt;&gt;""),AND(SJ22&gt;=SW$26,SJ22&lt;&gt;"",SL22&gt;=SW$30,SL22&lt;&gt;""),AND(SM22&gt;=SW$26,SM22&lt;&gt;"",SO22&gt;=SW$30,SO22&lt;&gt;""),AND(SQ22&gt;=SW$26,SQ22&lt;&gt;"",SS22&gt;=SW$30,SS22&lt;&gt;""),AND(ST22&gt;=SW$26,ST22&lt;&gt;"",SV22&gt;=SW$30,SV22&lt;&gt;"")),"P","")</f>
        <v/>
      </c>
      <c r="J22" s="13">
        <f>IF(COUNT(AQ22,AT22,BR22,BU22,CS22,CV22)&gt;0,LARGE((AQ22,AT22,BR22,BU22,CS22,CV22),1),0)</f>
        <v>12.164999999999999</v>
      </c>
      <c r="K22" s="13" t="str">
        <f>IF(J22="","",IF(OR(J22=CS22,J22=CV22),$CA$1,IF(OR(J22=BR22,J22=BU22),$AZ$1,IF(OR(J22=AQ22,J22=AT22),$Y$1,""))))</f>
        <v>2021 Elite Canada</v>
      </c>
      <c r="L22" s="13">
        <f>IF(COUNT(AQ22,AT22,BR22,BU22,CS22,CV22)&gt;1,LARGE((AQ22,AT22,BR22,BU22,CS22,CV22),2),0)</f>
        <v>0</v>
      </c>
      <c r="M22" s="13" t="str">
        <f>IF(L22="","",IF(OR(L22=CS22,L22=CV22),$CA$1,IF(OR(L22=BR22,L22=BU22),$AZ$1,IF(OR(L22=AQ22,L22=AT22),$Y$1,""))))</f>
        <v/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IF(MAX(AO22,AR22,AV22,BP22,BS22,BW22,CQ22,CT22,CX22)&gt;0,MAX(AO22,AR22,BP22,BS22,CQ22,CT22,AV22),0)</f>
        <v>3.4</v>
      </c>
      <c r="S22" s="13" t="str">
        <f>IF(R22=0,"",IF(OR(R22=CQ22,R22=CT22,R22=CX22),$CA$1,IF(OR(R22=BP22,R22=BS22,R22=BW22),$AZ$1,IF(OR(R22=AO22,R22=AR22,R22=AV22),$Y$1,""))))</f>
        <v>2021 Elite Canada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),0)</f>
        <v>0</v>
      </c>
      <c r="U22" s="13" t="str">
        <f>IF(T22=0,"",IF(OR(T22=CR22,T22=CU22,T22=CY22),$CA$1,IF(OR(T22=BQ22,T22=BT22,T22=BX22),$AZ$1,IF(OR(T22=AP22,T22=AS22,T22=AW22),$Y$1,""))))</f>
        <v/>
      </c>
      <c r="V22" s="13" t="str">
        <f>IF(MAX(DB22,DC22,DD22,DE22)&gt;0,MAX(DB22,DC22,DD22,DE22),"")</f>
        <v/>
      </c>
      <c r="W22" s="16" t="str">
        <f>IF(V22="","",IF(V22=DB22,"("&amp;DB$2&amp;")",IF(V22=DC22,"("&amp;DC$2&amp;")",IF(V22=DD22,"("&amp;DD$2&amp;")",IF(V22=DE22,"("&amp;DE$2&amp;")")))))</f>
        <v/>
      </c>
      <c r="X22" s="13" t="str">
        <f>IF(V22="","",IF(V22=DB22,IF(V22+IF(L22="",0,L22)=SP22,$RP$1,IF(V22+IF(L22="",0,L22)=RH22,$QH$1,IF(V22+IF(L22="",0,L22)=PZ22,$OZ$1,IF(V22+IF(L22="",0,L22)=OR22,$NR$1,IF(V22+IF(L22="",0,L22)=NJ22,$MJ$1,IF(V22+IF(L22="",0,L22)=MB22,$LB$1,IF(V22+IF(L22="",0,L22)=KT22,$JT$1,IF(V22+IF(L22="",0,L22)=JL22,$IL$1,IF(V22+IF(L22="",0,L22)=ID22,$HD$1,IF(V22+IF(L22="",0,L22)=GV22,$FV$1,IF(V22+IF(L22="",0,L22)=FN22,$EN$1,IF(V22+IF(L22="",0,L22)=EF22,$DF$1)))))))))))),IF(V22=DC22,IF(V22+IF(P22="",0,P22)=SV22,$RP$1,IF(V22+IF(P22="",0,P22)=RN22,$QH$1,IF(V22+IF(P22="",0,P22)=QF22,$OZ$1,IF(V22+IF(P22="",0,P22)=OX22,$NR$1,IF(V22+IF(P22="",0,P22)=NP22,$MJ$1,IF(V22+IF(P22="",0,P22)=MH22,$LB$1,IF(V22+IF(P22="",0,P22)=KZ22,$JT$1,IF(V22+IF(P22="",0,P22)=JR22,$IL$1,IF(V22+IF(P22="",0,P22)=IJ22,$HD$1,IF(V22+IF(P22="",0,P22)=HB22,$FV$1,IF(V22+IF(P22="",0,P22)=FT22,$EN$1,IF(V22+IF(P22="",0,P22)=EL22,$DF$1)))))))))))),IF(V22=DD22,IF(V22+IF(R22="",0,R22)=MAX(SJ22,SM22,SQ22,ST22),$RP$1,IF(V22+IF(R22="",0,R22)=MAX(RB22,RE22,RI22,RL22),$QH$1,IF(V22+IF(R22="",0,R22)=MAX(PT22,PW22,QA22,QD22),$OZ$1,IF(V22+IF(R22="",0,R22)=MAX(OL22,OO22,OS22,OV22),$NR$1,IF(V22+IF(R22="",0,R22)=MAX(ND22,NG22,NK22,NN22),$MJ$1,IF(V22+IF(R22="",0,R22)=MAX(LV22,LY22,MC22,MF22),$LB$1,IF(V22+IF(R22="",0,R22)=MAX(KN22,KQ22,KU22,KX22),$JT$1,IF(V22+IF(R22="",0,R22)=MAX(JF22,JI22,JM22,JP22),$IL$1,IF(V22+IF(R22="",0,R22)=MAX(HX22,IA22,IE22,IH22),$HD$1,IF(V22+IF(R22="",0,R22)=MAX(GP22,GS22,GW22,GZ22),$FV$1,IF(V22+IF(R22="",0,R22)=MAX(FH22,FK22,FO22,FR22),$EN$1,IF(V22+IF(R22="",0,R22)=MAX(DZ22,EC22,EG22,EJ22),$DF$1)))))))))))),IF(V22=DE22,IF(V22+IF(T22="",0,T22)=MAX(SK22,SN22,SR22,SU22),$RP$1,IF(V22+IF(T22="",0,T22)=MAX(RC22,RF22,RJ22,RM22),$QH$1,IF(V22+IF(T22="",0,T22)=MAX(PU22,PX22,QB22,QE22),$OZ$1,IF(V22+IF(T22="",0,T22)=MAX(OM22,OP22,OT22,OW22),$NR$1,IF(V22+IF(T22="",0,T22)=MAX(NE22,NH22,NL22,NO22),$MJ$1,IF(V22+IF(T22="",0,T22)=MAX(LW22,LZ22,MD22,MG22),$LB$1,IF(V22+IF(T22="",0,T22)=MAX(KO22,KR22,KV22,KY22),$JT$1,IF(V22+IF(T22="",0,T22)=MAX(JG22,JJ22,JN22,JQ22),$IL$1,IF(V22+IF(T22="",0,T22)=MAX(HY22,IB22,IF22,II22),$HD$1,IF(V22+IF(T22="",0,T22)=MAX(GQ22,GT22,GX22,HA22),$FV$1,IF(V22+IF(T22="",0,T22)=MAX(FI22,FL22,FP22,FS22),$EN$1,IF(V22+IF(T22="",0,T22)=MAX(EA22,ED22,EH22,EK22),$DF$1)))))))))))))))))</f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>
        <f>IF(AF22&gt;0,AF22,"")</f>
        <v>3.4</v>
      </c>
      <c r="AS22" s="76">
        <f>IF(AG22&gt;0,AG22,"")</f>
        <v>3.5649999999999999</v>
      </c>
      <c r="AT22" s="76">
        <f>IF(SUM(AD22:AG22)-AH22&gt;0,SUM(AD22:AG22)-AH22,"")</f>
        <v>12.164999999999999</v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IF(L22&gt;=0.001,IF(MAX(EF22,FN22,GV22,ID22,JL22,KT22,MB22,NJ22,OR22,PZ22,RH22,SP22)-IF(L22="",0,L22)&gt;0.001,MAX(EF22,FN22,GV22,ID22,JL22,KT22,MB22,NJ22,OR22,PZ22,RH22,SP22)-IF(L22="",0,L22),""),"")</f>
        <v/>
      </c>
      <c r="DC22" s="87" t="str">
        <f>IF(P22&gt;=0.001,IF(MAX(EI22,EL22,FQ22,FT22,GY22,HB22,IG22,IJ22,JO22,JR22,KW22,KZ22,ME22,MH22,NM22,NP22,OU22,OX22,QC22,QF22,RK22,RN22,SS22,SV22)-IF(P22="",0,P22)&gt;0.001,MAX(EI22,EL22,FQ22,FT22,GY22,HB22,IG22,IJ22,JO22,JR22,KW22,KZ22,ME22,MH22,NM22,NP22,OU22,OX22,QC22,QF22,RK22,RN22,SS22,SV22)-IF(P22="",0,P22),""),"")</f>
        <v/>
      </c>
      <c r="DD22" s="87" t="str">
        <f>IF(R22&gt;=0.001,IF(MAX(DZ22,EC22,EG22,EJ22,FH22,FK22,FO22,FR22,GP22,GS22,GW22,GZ22,HX22,IA22,IE22,IH22,JF22,JI22,JM22,JP22,KN22,KQ22,KU22,KX22,LV22,LY22,MC22,MF22,ND22,NG22,NK22,NN22,OL22,OO22,OS22,OV22,PT22,PW22,QA22,QD22,RB22,RE22,RI22,RL22,SJ22,SM22,SQ22,ST22)-IF(R22="",0,R22)&gt;0.001,MAX(DZ22,EC22,EG22,EJ22,FH22,FK22,FO22,FR22,GP22,GS22,GW22,GZ22,HX22,IA22,IE22,IH22,JF22,JI22,JM22,JP22,KN22,KQ22,KU22,KX22,LV22,LY22,MC22,MF22,ND22,NG22,NK22,NN22,OL22,OO22,OS22,OV22,PT22,PW22,QA22,QD22,RB22,RE22,RI22,RL22,SJ22,SM22,SQ22,ST22)-IF(R22="",0,R22),""),"")</f>
        <v/>
      </c>
      <c r="DE22" s="87" t="str">
        <f>IF(T22&gt;=0.001,IF(MAX(IF(DZ22&gt;=$EM$25,EA22,0),IF(EC22&gt;=$EM$25,ED22,0),IF(EG22&gt;=$EM$25,EH22,0),IF(EJ22&gt;=$EM$25,EK22,0),IF(FH22&gt;=$FU$25,FI22,0),IF(FK22&gt;=$FU$25,FL22,0),IF(FO22&gt;=$FU$25,FP22,0),IF(FR22&gt;=$FU$25,FS22,0),IF(GP22&gt;=$HC$25,GQ22,0),IF(GS22&gt;=$HC$25,GT22,0),IF(GW22&gt;=$HC$25,GX22,0),IF(GZ22&gt;=$HC$25,HA22,0),IF(HX22&gt;=$IK$25,HY22,0),IF(IA22&gt;=$IK$25,IB22,0),IF(IE22&gt;=$IK$25,IF22,0),IF(IH22&gt;=$IK$25,II22,0),IF(JF22&gt;=$JS$25,JG22,0),IF(JI22&gt;=$JS$25,JJ22,0),IF(JM22&gt;=$JS$25,JN22,0),IF(JP22&gt;=$JS$25,JQ22,0),IF(KN22&gt;=$LA$25,KO22,0),IF(KQ22&gt;=$LA$25,KR22,0),IF(KU22&gt;=$LA$25,KV22,0),IF(KX22&gt;=$LA$25,KY22,0),IF(LV22&gt;=$MI$25,LW22,0),IF(LY22&gt;=$MI$25,LZ22,0),IF(MC22&gt;=$MI$25,MD22,0),IF(MF22&gt;=$MI$25,MG22,0),IF(ND22&gt;=$NQ$25,NE22,0),IF(NG22&gt;=$NQ$25,NH22,0),IF(NK22&gt;=$NQ$25,NL22,0),IF(NN22&gt;=$NQ$25,NO22,0),IF(OL22&gt;=$OY$25,OM22,0),IF(OO22&gt;=$OY$25,OP22,0),IF(OS22&gt;=$OY$25,OT22,0),IF(OV22&gt;=$OY$25,OW22,0),IF(PT22&gt;=$QG$25,PU22,0),IF(PW22&gt;=$QG$25,PX22,0),IF(QA22&gt;=$QG$25,QB22,0),IF(QD22&gt;=$QG$25,QE22,0),IF(RB22&gt;=$RO$25,RC22,0),IF(RE22&gt;=$RO$25,RF22,0),IF(RI22&gt;=$RO$25,RJ22,0),IF(RL22&gt;=$RO$25,RM22,0),IF(SJ22&gt;=$SW$25,SK22,0),IF(SM22&gt;=$SW$25,SN22,0),IF(SQ22&gt;=$SW$25,SR22,0),IF(ST22&gt;=$SW$25,SU22,0))-IF(T22="",0,T22)&gt;0.001,MAX(IF(DZ22&gt;=$EM$25,EA22,0),IF(EC22&gt;=$EM$25,ED22,0),IF(EG22&gt;=$EM$25,EH22,0),IF(EJ22&gt;=$EM$25,EK22,0),IF(FH22&gt;=$FU$25,FI22,0),IF(FK22&gt;=$FU$25,FL22,0),IF(FO22&gt;=$FU$25,FP22,0),IF(FR22&gt;=$FU$25,FS22,0),IF(GP22&gt;=$HC$25,GQ22,0),IF(GS22&gt;=$HC$25,GT22,0),IF(GW22&gt;=$HC$25,GX22,0),IF(GZ22&gt;=$HC$25,HA22,0),IF(HX22&gt;=$IK$25,HY22,0),IF(IA22&gt;=$IK$25,IB22,0),IF(IE22&gt;=$IK$25,IF22,0),IF(IH22&gt;=$IK$25,II22,0),IF(JF22&gt;=$JS$25,JG22,0),IF(JI22&gt;=$JS$25,JJ22,0),IF(JM22&gt;=$JS$25,JN22,0),IF(JP22&gt;=$JS$25,JQ22,0),IF(KN22&gt;=$LA$25,KO22,0),IF(KQ22&gt;=$LA$25,KR22,0),IF(KU22&gt;=$LA$25,KV22,0),IF(KX22&gt;=$LA$25,KY22,0),IF(LV22&gt;=$MI$25,LW22,0),IF(LY22&gt;=$MI$25,LZ22,0),IF(MC22&gt;=$MI$25,MD22,0),IF(MF22&gt;=$MI$25,MG22,0),IF(ND22&gt;=$NQ$25,NE22,0),IF(NG22&gt;=$NQ$25,NH22,0),IF(NK22&gt;=$NQ$25,NL22,0),IF(NN22&gt;=$NQ$25,NO22,0),IF(OL22&gt;=$OY$25,OM22,0),IF(OO22&gt;=$OY$25,OP22,0),IF(OS22&gt;=$OY$25,OT22,0),IF(OV22&gt;=$OY$25,OW22,0),IF(PT22&gt;=$QG$25,PU22,0),IF(PW22&gt;=$QG$25,PX22,0),IF(QA22&gt;=$QG$25,QB22,0),IF(QD22&gt;=$QG$25,QE22,0),IF(RB22&gt;=$RO$25,RC22,0),IF(RE22&gt;=$RO$25,RF22,0),IF(RI22&gt;=$RO$25,RJ22,0),IF(RL22&gt;=$RO$25,RM22,0),IF(SJ22&gt;=$SW$25,SK22,0),IF(SM22&gt;=$SW$25,SN22,0),IF(SQ22&gt;=$SW$25,SR22,0),IF(ST22&gt;=$SW$25,SU22,0))-IF(T22="",0,T22),""),"")</f>
        <v/>
      </c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76" t="str">
        <f>IF(DH22&gt;0,DH22,"")</f>
        <v/>
      </c>
      <c r="EA22" s="76" t="str">
        <f>IF(DI22&gt;0,DI22,"")</f>
        <v/>
      </c>
      <c r="EB22" s="76" t="str">
        <f>IF(SUM(DF22:DI22)-DJ22&gt;0,SUM(DF22:DI22)-DJ22,"")</f>
        <v/>
      </c>
      <c r="EC22" s="76" t="str">
        <f>IF(DM22&gt;0,DM22,"")</f>
        <v/>
      </c>
      <c r="ED22" s="76" t="str">
        <f>IF(DN22&gt;0,DN22,"")</f>
        <v/>
      </c>
      <c r="EE22" s="76" t="str">
        <f>IF(SUM(DK22:DN22)-DO22&gt;0,SUM(DK22:DN22)-DO22,"")</f>
        <v/>
      </c>
      <c r="EF22" s="76" t="str">
        <f>IF(MAX(EB22,EE22)&gt;0,MAX(EB22,EE22),"")</f>
        <v/>
      </c>
      <c r="EG22" s="76" t="str">
        <f>IF(DR22&gt;0,DR22,"")</f>
        <v/>
      </c>
      <c r="EH22" s="76" t="str">
        <f>IF(DS22&gt;0,DS22,"")</f>
        <v/>
      </c>
      <c r="EI22" s="76" t="str">
        <f>IF(SUM(DP22:DS22)-DT22&gt;0,SUM(DP22:DS22)-DT22,"")</f>
        <v/>
      </c>
      <c r="EJ22" s="76" t="str">
        <f>IF(DW22&gt;0,DW22,"")</f>
        <v/>
      </c>
      <c r="EK22" s="76" t="str">
        <f>IF(DX22&gt;0,DX22,"")</f>
        <v/>
      </c>
      <c r="EL22" s="76" t="str">
        <f>IF(SUM(DU22:DX22)-DY22&gt;0,SUM(DU22:DX22)-DY22,"")</f>
        <v/>
      </c>
      <c r="EM22" s="76" t="str">
        <f>IF(SUM(EF22,EL22)&gt;0,SUM(EF22,EL22),"")</f>
        <v/>
      </c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16" t="str">
        <f>IF(EP22&gt;0,EP22,"")</f>
        <v/>
      </c>
      <c r="FI22" s="16" t="str">
        <f>IF(EQ22&gt;0,EQ22,"")</f>
        <v/>
      </c>
      <c r="FJ22" s="16" t="str">
        <f>IF(SUM(EN22:EQ22)-ER22&gt;0,SUM(EN22:EQ22)-ER22,"")</f>
        <v/>
      </c>
      <c r="FK22" s="16" t="str">
        <f>IF(EU22&gt;0,EU22,"")</f>
        <v/>
      </c>
      <c r="FL22" s="16" t="str">
        <f>IF(EV22&gt;0,EV22,"")</f>
        <v/>
      </c>
      <c r="FM22" s="16" t="str">
        <f>IF(SUM(ES22:EV22)-EW22&gt;0,SUM(ES22:EV22)-EW22,"")</f>
        <v/>
      </c>
      <c r="FN22" s="16" t="str">
        <f>IF(MAX(FJ22,FM22)&gt;0,MAX(FJ22,FM22),"")</f>
        <v/>
      </c>
      <c r="FO22" s="16" t="str">
        <f>IF(EZ22&gt;0,EZ22,"")</f>
        <v/>
      </c>
      <c r="FP22" s="16" t="str">
        <f>IF(FA22&gt;0,FA22,"")</f>
        <v/>
      </c>
      <c r="FQ22" s="16" t="str">
        <f>IF(SUM(EX22:FA22)-FB22&gt;0,SUM(EX22:FA22)-FB22,"")</f>
        <v/>
      </c>
      <c r="FR22" s="16" t="str">
        <f>IF(FE22&gt;0,FE22,"")</f>
        <v/>
      </c>
      <c r="FS22" s="16" t="str">
        <f>IF(FF22&gt;0,FF22,"")</f>
        <v/>
      </c>
      <c r="FT22" s="16" t="str">
        <f>IF(SUM(FC22:FF22)-FG22&gt;0,SUM(FC22:FF22)-FG22,"")</f>
        <v/>
      </c>
      <c r="FU22" s="16" t="str">
        <f>IF(SUM(FN22,FT22)&gt;0,SUM(FN22,FT22),"")</f>
        <v/>
      </c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76" t="str">
        <f>IF(FX22&gt;0,FX22,"")</f>
        <v/>
      </c>
      <c r="GQ22" s="76" t="str">
        <f>IF(FY22&gt;0,FY22,"")</f>
        <v/>
      </c>
      <c r="GR22" s="76" t="str">
        <f>IF(SUM(FV22:FY22)-FZ22&gt;0,SUM(FV22:FY22)-FZ22,"")</f>
        <v/>
      </c>
      <c r="GS22" s="76" t="str">
        <f>IF(GC22&gt;0,GC22,"")</f>
        <v/>
      </c>
      <c r="GT22" s="76" t="str">
        <f>IF(GD22&gt;0,GD22,"")</f>
        <v/>
      </c>
      <c r="GU22" s="76" t="str">
        <f>IF(SUM(GA22:GD22)-GE22&gt;0,SUM(GA22:GD22)-GE22,"")</f>
        <v/>
      </c>
      <c r="GV22" s="76" t="str">
        <f>IF(MAX(GR22,GU22)&gt;0,MAX(GR22,GU22),"")</f>
        <v/>
      </c>
      <c r="GW22" s="76" t="str">
        <f>IF(GH22&gt;0,GH22,"")</f>
        <v/>
      </c>
      <c r="GX22" s="76" t="str">
        <f>IF(GI22&gt;0,GI22,"")</f>
        <v/>
      </c>
      <c r="GY22" s="76" t="str">
        <f>IF(SUM(GF22:GI22)-GJ22&gt;0,SUM(GF22:GI22)-GJ22,"")</f>
        <v/>
      </c>
      <c r="GZ22" s="76" t="str">
        <f>IF(GM22&gt;0,GM22,"")</f>
        <v/>
      </c>
      <c r="HA22" s="76" t="str">
        <f>IF(GN22&gt;0,GN22,"")</f>
        <v/>
      </c>
      <c r="HB22" s="76" t="str">
        <f>IF(SUM(GK22:GN22)-GO22&gt;0,SUM(GK22:GN22)-GO22,"")</f>
        <v/>
      </c>
      <c r="HC22" s="76" t="str">
        <f>IF(SUM(GV22,HB22)&gt;0,SUM(GV22,HB22),"")</f>
        <v/>
      </c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16" t="str">
        <f>IF(HF22&gt;0,HF22,"")</f>
        <v/>
      </c>
      <c r="HY22" s="16" t="str">
        <f>IF(HG22&gt;0,HG22,"")</f>
        <v/>
      </c>
      <c r="HZ22" s="16" t="str">
        <f>IF(SUM(HD22:HG22)-HH22&gt;0,SUM(HD22:HG22)-HH22,"")</f>
        <v/>
      </c>
      <c r="IA22" s="16" t="str">
        <f>IF(HK22&gt;0,HK22,"")</f>
        <v/>
      </c>
      <c r="IB22" s="16" t="str">
        <f>IF(HL22&gt;0,HL22,"")</f>
        <v/>
      </c>
      <c r="IC22" s="16" t="str">
        <f>IF(SUM(HI22:HL22)-HM22&gt;0,SUM(HI22:HL22)-HM22,"")</f>
        <v/>
      </c>
      <c r="ID22" s="16" t="str">
        <f>IF(MAX(HZ22,IC22)&gt;0,MAX(HZ22,IC22),"")</f>
        <v/>
      </c>
      <c r="IE22" s="16" t="str">
        <f>IF(HP22&gt;0,HP22,"")</f>
        <v/>
      </c>
      <c r="IF22" s="16" t="str">
        <f>IF(HQ22&gt;0,HQ22,"")</f>
        <v/>
      </c>
      <c r="IG22" s="16" t="str">
        <f>IF(SUM(HN22:HQ22)-HR22&gt;0,SUM(HN22:HQ22)-HR22,"")</f>
        <v/>
      </c>
      <c r="IH22" s="16" t="str">
        <f>IF(HU22&gt;0,HU22,"")</f>
        <v/>
      </c>
      <c r="II22" s="16" t="str">
        <f>IF(HV22&gt;0,HV22,"")</f>
        <v/>
      </c>
      <c r="IJ22" s="16" t="str">
        <f>IF(SUM(HS22:HV22)-HW22&gt;0,SUM(HS22:HV22)-HW22,"")</f>
        <v/>
      </c>
      <c r="IK22" s="16" t="str">
        <f>IF(SUM(ID22,IJ22)&gt;0,SUM(ID22,IJ22),"")</f>
        <v/>
      </c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76" t="str">
        <f>IF(IN22&gt;0,IN22,"")</f>
        <v/>
      </c>
      <c r="JG22" s="76" t="str">
        <f>IF(IO22&gt;0,IO22,"")</f>
        <v/>
      </c>
      <c r="JH22" s="76" t="str">
        <f>IF(SUM(IL22:IO22)-IP22&gt;0,SUM(IL22:IO22)-IP22,"")</f>
        <v/>
      </c>
      <c r="JI22" s="76" t="str">
        <f>IF(IS22&gt;0,IS22,"")</f>
        <v/>
      </c>
      <c r="JJ22" s="76" t="str">
        <f>IF(IT22&gt;0,IT22,"")</f>
        <v/>
      </c>
      <c r="JK22" s="76" t="str">
        <f>IF(SUM(IQ22:IT22)-IU22&gt;0,SUM(IQ22:IT22)-IU22,"")</f>
        <v/>
      </c>
      <c r="JL22" s="76" t="str">
        <f>IF(MAX(JH22,JK22)&gt;0,MAX(JH22,JK22),"")</f>
        <v/>
      </c>
      <c r="JM22" s="76" t="str">
        <f>IF(IX22&gt;0,IX22,"")</f>
        <v/>
      </c>
      <c r="JN22" s="76" t="str">
        <f>IF(IY22&gt;0,IY22,"")</f>
        <v/>
      </c>
      <c r="JO22" s="76" t="str">
        <f>IF(SUM(IV22:IY22)-IZ22&gt;0,SUM(IV22:IY22)-IZ22,"")</f>
        <v/>
      </c>
      <c r="JP22" s="76" t="str">
        <f>IF(JC22&gt;0,JC22,"")</f>
        <v/>
      </c>
      <c r="JQ22" s="76" t="str">
        <f>IF(JD22&gt;0,JD22,"")</f>
        <v/>
      </c>
      <c r="JR22" s="76" t="str">
        <f>IF(SUM(JA22:JD22)-JE22&gt;0,SUM(JA22:JD22)-JE22,"")</f>
        <v/>
      </c>
      <c r="JS22" s="76" t="str">
        <f>IF(SUM(JL22,JR22)&gt;0,SUM(JL22,JR22),"")</f>
        <v/>
      </c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26"/>
      <c r="KM22" s="26"/>
      <c r="KN22" s="16" t="str">
        <f>IF(JV22&gt;0,JV22,"")</f>
        <v/>
      </c>
      <c r="KO22" s="16" t="str">
        <f>IF(JW22&gt;0,JW22,"")</f>
        <v/>
      </c>
      <c r="KP22" s="16" t="str">
        <f>IF(SUM(JT22:JW22)-JX22&gt;0,SUM(JT22:JW22)-JX22,"")</f>
        <v/>
      </c>
      <c r="KQ22" s="16" t="str">
        <f>IF(KA22&gt;0,KA22,"")</f>
        <v/>
      </c>
      <c r="KR22" s="16" t="str">
        <f>IF(KB22&gt;0,KB22,"")</f>
        <v/>
      </c>
      <c r="KS22" s="16" t="str">
        <f>IF(SUM(JY22:KB22)-KC22&gt;0,SUM(JY22:KB22)-KC22,"")</f>
        <v/>
      </c>
      <c r="KT22" s="16" t="str">
        <f>IF(MAX(KP22,KS22)&gt;0,MAX(KP22,KS22),"")</f>
        <v/>
      </c>
      <c r="KU22" s="16" t="str">
        <f>IF(KF22&gt;0,KF22,"")</f>
        <v/>
      </c>
      <c r="KV22" s="16" t="str">
        <f>IF(KG22&gt;0,KG22,"")</f>
        <v/>
      </c>
      <c r="KW22" s="16" t="str">
        <f>IF(SUM(KD22:KG22)-KH22&gt;0,SUM(KD22:KG22)-KH22,"")</f>
        <v/>
      </c>
      <c r="KX22" s="16" t="str">
        <f>IF(KK22&gt;0,KK22,"")</f>
        <v/>
      </c>
      <c r="KY22" s="16" t="str">
        <f>IF(KL22&gt;0,KL22,"")</f>
        <v/>
      </c>
      <c r="KZ22" s="16" t="str">
        <f>IF(SUM(KI22:KL22)-KM22&gt;0,SUM(KI22:KL22)-KM22,"")</f>
        <v/>
      </c>
      <c r="LA22" s="16" t="str">
        <f>IF(SUM(KT22,KZ22)&gt;0,SUM(KT22,KZ22),"")</f>
        <v/>
      </c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76" t="str">
        <f>IF(LD22&gt;0,LD22,"")</f>
        <v/>
      </c>
      <c r="LW22" s="76" t="str">
        <f>IF(LE22&gt;0,LE22,"")</f>
        <v/>
      </c>
      <c r="LX22" s="76" t="str">
        <f>IF(SUM(LB22:LE22)-LF22&gt;0,SUM(LB22:LE22)-LF22,"")</f>
        <v/>
      </c>
      <c r="LY22" s="76" t="str">
        <f>IF(LI22&gt;0,LI22,"")</f>
        <v/>
      </c>
      <c r="LZ22" s="76" t="str">
        <f>IF(LJ22&gt;0,LJ22,"")</f>
        <v/>
      </c>
      <c r="MA22" s="76" t="str">
        <f>IF(SUM(LG22:LJ22)-LK22&gt;0,SUM(LG22:LJ22)-LK22,"")</f>
        <v/>
      </c>
      <c r="MB22" s="76" t="str">
        <f>IF(MAX(LX22,MA22)&gt;0,MAX(LX22,MA22),"")</f>
        <v/>
      </c>
      <c r="MC22" s="76" t="str">
        <f>IF(LN22&gt;0,LN22,"")</f>
        <v/>
      </c>
      <c r="MD22" s="76" t="str">
        <f>IF(LO22&gt;0,LO22,"")</f>
        <v/>
      </c>
      <c r="ME22" s="76" t="str">
        <f>IF(SUM(LL22:LO22)-LP22&gt;0,SUM(LL22:LO22)-LP22,"")</f>
        <v/>
      </c>
      <c r="MF22" s="76" t="str">
        <f>IF(LS22&gt;0,LS22,"")</f>
        <v/>
      </c>
      <c r="MG22" s="76" t="str">
        <f>IF(LT22&gt;0,LT22,"")</f>
        <v/>
      </c>
      <c r="MH22" s="76" t="str">
        <f>IF(SUM(LQ22:LT22)-LU22&gt;0,SUM(LQ22:LT22)-LU22,"")</f>
        <v/>
      </c>
      <c r="MI22" s="76" t="str">
        <f>IF(SUM(MB22,MH22)&gt;0,SUM(MB22,MH22),"")</f>
        <v/>
      </c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26"/>
      <c r="NC22" s="26"/>
      <c r="ND22" s="16" t="str">
        <f>IF(ML22&gt;0,ML22,"")</f>
        <v/>
      </c>
      <c r="NE22" s="16" t="str">
        <f>IF(MM22&gt;0,MM22,"")</f>
        <v/>
      </c>
      <c r="NF22" s="16" t="str">
        <f>IF(SUM(MJ22:MM22)-MN22&gt;0,SUM(MJ22:MM22)-MN22,"")</f>
        <v/>
      </c>
      <c r="NG22" s="16" t="str">
        <f>IF(MQ22&gt;0,MQ22,"")</f>
        <v/>
      </c>
      <c r="NH22" s="16" t="str">
        <f>IF(MR22&gt;0,MR22,"")</f>
        <v/>
      </c>
      <c r="NI22" s="16" t="str">
        <f>IF(SUM(MO22:MR22)-MS22&gt;0,SUM(MO22:MR22)-MS22,"")</f>
        <v/>
      </c>
      <c r="NJ22" s="16" t="str">
        <f>IF(MAX(NF22,NI22)&gt;0,MAX(NF22,NI22),"")</f>
        <v/>
      </c>
      <c r="NK22" s="16" t="str">
        <f>IF(MV22&gt;0,MV22,"")</f>
        <v/>
      </c>
      <c r="NL22" s="16" t="str">
        <f>IF(MW22&gt;0,MW22,"")</f>
        <v/>
      </c>
      <c r="NM22" s="16" t="str">
        <f>IF(SUM(MT22:MW22)-MX22&gt;0,SUM(MT22:MW22)-MX22,"")</f>
        <v/>
      </c>
      <c r="NN22" s="16" t="str">
        <f>IF(NA22&gt;0,NA22,"")</f>
        <v/>
      </c>
      <c r="NO22" s="16" t="str">
        <f>IF(NB22&gt;0,NB22,"")</f>
        <v/>
      </c>
      <c r="NP22" s="16" t="str">
        <f>IF(SUM(MY22:NB22)-NC22&gt;0,SUM(MY22:NB22)-NC22,"")</f>
        <v/>
      </c>
      <c r="NQ22" s="16" t="str">
        <f>IF(SUM(NJ22,NP22)&gt;0,SUM(NJ22,NP22),"")</f>
        <v/>
      </c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76" t="str">
        <f>IF(NT22&gt;0,NT22,"")</f>
        <v/>
      </c>
      <c r="OM22" s="76" t="str">
        <f>IF(NU22&gt;0,NU22,"")</f>
        <v/>
      </c>
      <c r="ON22" s="76" t="str">
        <f>IF(SUM(NR22:NU22)-NV22&gt;0,SUM(NR22:NU22)-NV22,"")</f>
        <v/>
      </c>
      <c r="OO22" s="76" t="str">
        <f>IF(NY22&gt;0,NY22,"")</f>
        <v/>
      </c>
      <c r="OP22" s="76" t="str">
        <f>IF(NZ22&gt;0,NZ22,"")</f>
        <v/>
      </c>
      <c r="OQ22" s="76" t="str">
        <f>IF(SUM(NW22:NZ22)-OA22&gt;0,SUM(NW22:NZ22)-OA22,"")</f>
        <v/>
      </c>
      <c r="OR22" s="76" t="str">
        <f>IF(MAX(ON22,OQ22)&gt;0,MAX(ON22,OQ22),"")</f>
        <v/>
      </c>
      <c r="OS22" s="76" t="str">
        <f>IF(OD22&gt;0,OD22,"")</f>
        <v/>
      </c>
      <c r="OT22" s="76" t="str">
        <f>IF(OE22&gt;0,OE22,"")</f>
        <v/>
      </c>
      <c r="OU22" s="76" t="str">
        <f>IF(SUM(OB22:OE22)-OF22&gt;0,SUM(OB22:OE22)-OF22,"")</f>
        <v/>
      </c>
      <c r="OV22" s="76" t="str">
        <f>IF(OI22&gt;0,OI22,"")</f>
        <v/>
      </c>
      <c r="OW22" s="76" t="str">
        <f>IF(OJ22&gt;0,OJ22,"")</f>
        <v/>
      </c>
      <c r="OX22" s="76" t="str">
        <f>IF(SUM(OG22:OJ22)-OK22&gt;0,SUM(OG22:OJ22)-OK22,"")</f>
        <v/>
      </c>
      <c r="OY22" s="76" t="str">
        <f>IF(SUM(OR22,OX22)&gt;0,SUM(OR22,OX22),"")</f>
        <v/>
      </c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16" t="str">
        <f>IF(PB22&gt;0,PB22,"")</f>
        <v/>
      </c>
      <c r="PU22" s="16" t="str">
        <f>IF(PC22&gt;0,PC22,"")</f>
        <v/>
      </c>
      <c r="PV22" s="16" t="str">
        <f>IF(SUM(OZ22:PC22)-PD22&gt;0,SUM(OZ22:PC22)-PD22,"")</f>
        <v/>
      </c>
      <c r="PW22" s="16" t="str">
        <f>IF(PG22&gt;0,PG22,"")</f>
        <v/>
      </c>
      <c r="PX22" s="16" t="str">
        <f>IF(PH22&gt;0,PH22,"")</f>
        <v/>
      </c>
      <c r="PY22" s="16" t="str">
        <f>IF(SUM(PE22:PH22)-PI22&gt;0,SUM(PE22:PH22)-PI22,"")</f>
        <v/>
      </c>
      <c r="PZ22" s="16" t="str">
        <f>IF(MAX(PV22,PY22)&gt;0,MAX(PV22,PY22),"")</f>
        <v/>
      </c>
      <c r="QA22" s="16" t="str">
        <f>IF(PL22&gt;0,PL22,"")</f>
        <v/>
      </c>
      <c r="QB22" s="16" t="str">
        <f>IF(PM22&gt;0,PM22,"")</f>
        <v/>
      </c>
      <c r="QC22" s="16" t="str">
        <f>IF(SUM(PJ22:PM22)-PN22&gt;0,SUM(PJ22:PM22)-PN22,"")</f>
        <v/>
      </c>
      <c r="QD22" s="16" t="str">
        <f>IF(PQ22&gt;0,PQ22,"")</f>
        <v/>
      </c>
      <c r="QE22" s="16" t="str">
        <f>IF(PR22&gt;0,PR22,"")</f>
        <v/>
      </c>
      <c r="QF22" s="16" t="str">
        <f>IF(SUM(PO22:PR22)-PS22&gt;0,SUM(PO22:PR22)-PS22,"")</f>
        <v/>
      </c>
      <c r="QG22" s="16" t="str">
        <f>IF(SUM(PZ22,QF22)&gt;0,SUM(PZ22,QF22),"")</f>
        <v/>
      </c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25"/>
      <c r="RA22" s="25"/>
      <c r="RB22" s="76" t="str">
        <f>IF(QJ22&gt;0,QJ22,"")</f>
        <v/>
      </c>
      <c r="RC22" s="76" t="str">
        <f>IF(QK22&gt;0,QK22,"")</f>
        <v/>
      </c>
      <c r="RD22" s="76" t="str">
        <f>IF(SUM(QH22:QK22)-QL22&gt;0,SUM(QH22:QK22)-QL22,"")</f>
        <v/>
      </c>
      <c r="RE22" s="76" t="str">
        <f>IF(QO22&gt;0,QO22,"")</f>
        <v/>
      </c>
      <c r="RF22" s="76" t="str">
        <f>IF(QP22&gt;0,QP22,"")</f>
        <v/>
      </c>
      <c r="RG22" s="76" t="str">
        <f>IF(SUM(QM22:QP22)-QQ22&gt;0,SUM(QM22:QP22)-QQ22,"")</f>
        <v/>
      </c>
      <c r="RH22" s="76" t="str">
        <f>IF(MAX(RD22,RG22)&gt;0,MAX(RD22,RG22),"")</f>
        <v/>
      </c>
      <c r="RI22" s="76" t="str">
        <f>IF(QT22&gt;0,QT22,"")</f>
        <v/>
      </c>
      <c r="RJ22" s="76" t="str">
        <f>IF(QU22&gt;0,QU22,"")</f>
        <v/>
      </c>
      <c r="RK22" s="76" t="str">
        <f>IF(SUM(QR22:QU22)-QV22&gt;0,SUM(QR22:QU22)-QV22,"")</f>
        <v/>
      </c>
      <c r="RL22" s="76" t="str">
        <f>IF(QY22&gt;0,QY22,"")</f>
        <v/>
      </c>
      <c r="RM22" s="76" t="str">
        <f>IF(QZ22&gt;0,QZ22,"")</f>
        <v/>
      </c>
      <c r="RN22" s="76" t="str">
        <f>IF(SUM(QW22:QZ22)-RA22&gt;0,SUM(QW22:QZ22)-RA22,"")</f>
        <v/>
      </c>
      <c r="RO22" s="76" t="str">
        <f>IF(SUM(RH22,RN22)&gt;0,SUM(RH22,RN22),"")</f>
        <v/>
      </c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26"/>
      <c r="SI22" s="26"/>
      <c r="SJ22" s="16" t="str">
        <f>IF(RR22&gt;0,RR22,"")</f>
        <v/>
      </c>
      <c r="SK22" s="16" t="str">
        <f>IF(RS22&gt;0,RS22,"")</f>
        <v/>
      </c>
      <c r="SL22" s="16" t="str">
        <f>IF(SUM(RP22:RS22)-RT22&gt;0,SUM(RP22:RS22)-RT22,"")</f>
        <v/>
      </c>
      <c r="SM22" s="16" t="str">
        <f>IF(RW22&gt;0,RW22,"")</f>
        <v/>
      </c>
      <c r="SN22" s="16" t="str">
        <f>IF(RX22&gt;0,RX22,"")</f>
        <v/>
      </c>
      <c r="SO22" s="16" t="str">
        <f>IF(SUM(RU22:RX22)-RY22&gt;0,SUM(RU22:RX22)-RY22,"")</f>
        <v/>
      </c>
      <c r="SP22" s="16" t="str">
        <f>IF(MAX(SL22,SO22)&gt;0,MAX(SL22,SO22),"")</f>
        <v/>
      </c>
      <c r="SQ22" s="16" t="str">
        <f>IF(SB22&gt;0,SB22,"")</f>
        <v/>
      </c>
      <c r="SR22" s="16" t="str">
        <f>IF(SC22&gt;0,SC22,"")</f>
        <v/>
      </c>
      <c r="SS22" s="16" t="str">
        <f>IF(SUM(RZ22:SC22)-SD22&gt;0,SUM(RZ22:SC22)-SD22,"")</f>
        <v/>
      </c>
      <c r="ST22" s="16" t="str">
        <f>IF(SG22&gt;0,SG22,"")</f>
        <v/>
      </c>
      <c r="SU22" s="16" t="str">
        <f>IF(SH22&gt;0,SH22,"")</f>
        <v/>
      </c>
      <c r="SV22" s="16" t="str">
        <f>IF(SUM(SE22:SH22)-SI22&gt;0,SUM(SE22:SH22)-SI22,"")</f>
        <v/>
      </c>
      <c r="SW22" s="16" t="str">
        <f>IF(SUM(SP22,SV22)&gt;0,SUM(SP22,SV22),"")</f>
        <v/>
      </c>
      <c r="SX22" s="42">
        <f>IF($CP22="P",CA22,(CA22+AZ22)/2)</f>
        <v>0</v>
      </c>
      <c r="SY22" s="42">
        <f>IF($CP22="P",CB22,(CB22+BA22)/2)</f>
        <v>0</v>
      </c>
      <c r="SZ22" s="42">
        <f>IF($CP22="P",CC22,(CC22+BB22)/2)</f>
        <v>0</v>
      </c>
      <c r="TA22" s="42">
        <f>IF($CP22="P",CD22,(CD22+BC22)/2)</f>
        <v>0</v>
      </c>
      <c r="TB22" s="42">
        <f>IF($CP22="P",CE22,(CE22+BD22)/2)</f>
        <v>0</v>
      </c>
      <c r="TC22" s="42">
        <f>IF($CP22="P",CF22,(CF22+BE22)/2)</f>
        <v>0</v>
      </c>
      <c r="TD22" s="42">
        <f>IF($CP22="P",CG22,(CG22+BF22)/2)</f>
        <v>0</v>
      </c>
      <c r="TE22" s="42">
        <f>IF($CP22="P",CH22,(CH22+BG22)/2)</f>
        <v>0</v>
      </c>
      <c r="TF22" s="42">
        <f>IF($CP22="P",CI22,(CI22+BH22)/2)</f>
        <v>0</v>
      </c>
      <c r="TG22" s="42">
        <f>IF($CP22="P",CJ22,(CJ22+BI22)/2)</f>
        <v>0</v>
      </c>
      <c r="TH22" s="42">
        <f>IF($CP22="P",CK22,(CK22+BJ22)/2)</f>
        <v>0</v>
      </c>
      <c r="TI22" s="42">
        <f>IF($CP22="P",CL22,(CL22+BK22)/2)</f>
        <v>0</v>
      </c>
      <c r="TJ22" s="42">
        <f>IF($CP22="P",CM22,(CM22+BL22)/2)</f>
        <v>0</v>
      </c>
      <c r="TK22" s="42">
        <f>IF($CP22="P",CN22,(CN22+BM22)/2)</f>
        <v>0</v>
      </c>
      <c r="TL22" s="42">
        <f>IF($CP22="P",CO22,(CO22+BN22)/2)</f>
        <v>0</v>
      </c>
      <c r="TM22" s="51" t="s">
        <v>61</v>
      </c>
      <c r="TN22" s="76" t="str">
        <f>IF(SZ22&gt;0,SZ22,"")</f>
        <v/>
      </c>
      <c r="TO22" s="76" t="str">
        <f>IF(TA22&gt;0,TA22,"")</f>
        <v/>
      </c>
      <c r="TP22" s="76" t="str">
        <f>IF(SUM(SX22:TA22)-TB22&gt;0,SUM(SX22:TA22)-TB22,"")</f>
        <v/>
      </c>
      <c r="TQ22" s="76" t="str">
        <f>IF(TE22&gt;0,TE22,"")</f>
        <v/>
      </c>
      <c r="TR22" s="76" t="str">
        <f>IF(TF22&gt;0,TF22,"")</f>
        <v/>
      </c>
      <c r="TS22" s="76" t="str">
        <f>IF(SUM(TC22:TF22)-TG22&gt;0,SUM(TC22:TF22)-TG22,"")</f>
        <v/>
      </c>
      <c r="TT22" s="76" t="str">
        <f>IF(MAX(TP22,TS22)&gt;0,MAX(TP22,TS22),"")</f>
        <v/>
      </c>
      <c r="TU22" s="76" t="str">
        <f>IF(TJ22&gt;0,TJ22,"")</f>
        <v/>
      </c>
      <c r="TV22" s="76" t="str">
        <f>IF(TK22&gt;0,TK22,"")</f>
        <v/>
      </c>
      <c r="TW22" s="76" t="str">
        <f>IF(SUM(TH22:TK22)-TL22&gt;0,SUM(TH22:TK22)-TL22,"")</f>
        <v/>
      </c>
      <c r="TX22" s="76" t="str">
        <f>IF(SUM(TT22,TW22)&gt;0,SUM(TT22,TW22),"")</f>
        <v/>
      </c>
    </row>
    <row r="23" spans="1:544" x14ac:dyDescent="0.2">
      <c r="B23" s="6"/>
      <c r="D23" s="1"/>
    </row>
    <row r="24" spans="1:544" x14ac:dyDescent="0.2">
      <c r="G24" s="69"/>
      <c r="I24" s="69"/>
    </row>
    <row r="25" spans="1:544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Z25" s="35"/>
      <c r="EA25" s="35"/>
      <c r="EJ25" s="33"/>
      <c r="EK25" s="33"/>
      <c r="EM25" s="78">
        <v>14.4</v>
      </c>
      <c r="FH25" s="35"/>
      <c r="FI25" s="35"/>
      <c r="FR25" s="33"/>
      <c r="FS25" s="33"/>
      <c r="FU25" s="78">
        <v>14.4</v>
      </c>
      <c r="GP25" s="35"/>
      <c r="GQ25" s="35"/>
      <c r="GZ25" s="33"/>
      <c r="HA25" s="33"/>
      <c r="HC25" s="78">
        <v>14.4</v>
      </c>
      <c r="HX25" s="35"/>
      <c r="HY25" s="35"/>
      <c r="IH25" s="33"/>
      <c r="II25" s="33"/>
      <c r="IK25" s="78">
        <v>14.4</v>
      </c>
      <c r="JF25" s="35"/>
      <c r="JG25" s="35"/>
      <c r="JP25" s="33"/>
      <c r="JQ25" s="33"/>
      <c r="JS25" s="78">
        <v>15.4</v>
      </c>
      <c r="KN25" s="35"/>
      <c r="KO25" s="35"/>
      <c r="KX25" s="33"/>
      <c r="KY25" s="33"/>
      <c r="LA25" s="78">
        <v>15.4</v>
      </c>
      <c r="LV25" s="35"/>
      <c r="LW25" s="35"/>
      <c r="MF25" s="33"/>
      <c r="MG25" s="33"/>
      <c r="MI25" s="78">
        <v>15.4</v>
      </c>
      <c r="ND25" s="35"/>
      <c r="NE25" s="35"/>
      <c r="NN25" s="33"/>
      <c r="NO25" s="33"/>
      <c r="NQ25" s="78">
        <v>15.4</v>
      </c>
      <c r="OL25" s="35"/>
      <c r="OM25" s="35"/>
      <c r="OV25" s="33"/>
      <c r="OW25" s="33"/>
      <c r="OY25" s="78">
        <v>15.4</v>
      </c>
      <c r="PT25" s="35"/>
      <c r="PU25" s="35"/>
      <c r="QD25" s="33"/>
      <c r="QE25" s="33"/>
      <c r="QG25" s="78">
        <v>15.4</v>
      </c>
      <c r="RB25" s="35"/>
      <c r="RC25" s="35"/>
      <c r="RL25" s="33"/>
      <c r="RM25" s="33"/>
      <c r="RO25" s="78">
        <v>15.4</v>
      </c>
      <c r="SJ25" s="35"/>
      <c r="SK25" s="35"/>
      <c r="ST25" s="33"/>
      <c r="SU25" s="33"/>
      <c r="SW25" s="78">
        <v>15.4</v>
      </c>
    </row>
    <row r="26" spans="1:544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Z26" s="35"/>
      <c r="EA26" s="35"/>
      <c r="EJ26" s="33"/>
      <c r="EK26" s="33"/>
      <c r="EM26" s="79">
        <v>15</v>
      </c>
      <c r="FH26" s="35"/>
      <c r="FI26" s="35"/>
      <c r="FR26" s="33"/>
      <c r="FS26" s="33"/>
      <c r="FU26" s="79">
        <v>15.4</v>
      </c>
      <c r="GP26" s="35"/>
      <c r="GQ26" s="35"/>
      <c r="GZ26" s="33"/>
      <c r="HA26" s="33"/>
      <c r="HC26" s="79">
        <v>15.4</v>
      </c>
      <c r="HX26" s="35"/>
      <c r="HY26" s="35"/>
      <c r="IH26" s="33"/>
      <c r="II26" s="33"/>
      <c r="IK26" s="79">
        <v>15.4</v>
      </c>
      <c r="JF26" s="35"/>
      <c r="JG26" s="35"/>
      <c r="JP26" s="33"/>
      <c r="JQ26" s="33"/>
      <c r="JS26" s="79">
        <v>16</v>
      </c>
      <c r="KN26" s="35"/>
      <c r="KO26" s="35"/>
      <c r="KX26" s="33"/>
      <c r="KY26" s="33"/>
      <c r="LA26" s="79">
        <v>16</v>
      </c>
      <c r="LV26" s="35"/>
      <c r="LW26" s="35"/>
      <c r="MF26" s="33"/>
      <c r="MG26" s="33"/>
      <c r="MI26" s="79">
        <v>16</v>
      </c>
      <c r="ND26" s="35"/>
      <c r="NE26" s="35"/>
      <c r="NN26" s="33"/>
      <c r="NO26" s="33"/>
      <c r="NQ26" s="79">
        <v>16</v>
      </c>
      <c r="OL26" s="35"/>
      <c r="OM26" s="35"/>
      <c r="OV26" s="33"/>
      <c r="OW26" s="33"/>
      <c r="OY26" s="79">
        <v>16</v>
      </c>
      <c r="PT26" s="35"/>
      <c r="PU26" s="35"/>
      <c r="QD26" s="33"/>
      <c r="QE26" s="33"/>
      <c r="QG26" s="79">
        <v>16</v>
      </c>
      <c r="RB26" s="35"/>
      <c r="RC26" s="35"/>
      <c r="RL26" s="33"/>
      <c r="RM26" s="33"/>
      <c r="RO26" s="79">
        <v>16</v>
      </c>
      <c r="SJ26" s="35"/>
      <c r="SK26" s="35"/>
      <c r="ST26" s="33"/>
      <c r="SU26" s="33"/>
      <c r="SW26" s="79">
        <v>16</v>
      </c>
    </row>
    <row r="27" spans="1:544" x14ac:dyDescent="0.2">
      <c r="A27" s="35"/>
      <c r="B27" s="55" t="s">
        <v>71</v>
      </c>
      <c r="C27" s="35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Z27" s="35"/>
      <c r="EA27" s="35"/>
      <c r="EJ27" s="33"/>
      <c r="EK27" s="33"/>
      <c r="EM27" s="80">
        <v>15.4</v>
      </c>
      <c r="FH27" s="35"/>
      <c r="FI27" s="35"/>
      <c r="FR27" s="33"/>
      <c r="FS27" s="33"/>
      <c r="FU27" s="80">
        <v>15.4</v>
      </c>
      <c r="GP27" s="35"/>
      <c r="GQ27" s="35"/>
      <c r="GZ27" s="33"/>
      <c r="HA27" s="33"/>
      <c r="HC27" s="80">
        <v>15.4</v>
      </c>
      <c r="HX27" s="35"/>
      <c r="HY27" s="35"/>
      <c r="IH27" s="33"/>
      <c r="II27" s="33"/>
      <c r="IK27" s="80">
        <v>15.4</v>
      </c>
      <c r="JF27" s="35"/>
      <c r="JG27" s="35"/>
      <c r="JP27" s="33"/>
      <c r="JQ27" s="33"/>
      <c r="JS27" s="80">
        <v>16.2</v>
      </c>
      <c r="KN27" s="35"/>
      <c r="KO27" s="35"/>
      <c r="KX27" s="33"/>
      <c r="KY27" s="33"/>
      <c r="LA27" s="80">
        <v>16.2</v>
      </c>
      <c r="LV27" s="35"/>
      <c r="LW27" s="35"/>
      <c r="MF27" s="33"/>
      <c r="MG27" s="33"/>
      <c r="MI27" s="80">
        <v>16.2</v>
      </c>
      <c r="ND27" s="35"/>
      <c r="NE27" s="35"/>
      <c r="NN27" s="33"/>
      <c r="NO27" s="33"/>
      <c r="NQ27" s="80">
        <v>16.2</v>
      </c>
      <c r="OL27" s="35"/>
      <c r="OM27" s="35"/>
      <c r="OV27" s="33"/>
      <c r="OW27" s="33"/>
      <c r="OY27" s="80">
        <v>16.2</v>
      </c>
      <c r="PT27" s="35"/>
      <c r="PU27" s="35"/>
      <c r="QD27" s="33"/>
      <c r="QE27" s="33"/>
      <c r="QG27" s="80">
        <v>16.2</v>
      </c>
      <c r="RB27" s="35"/>
      <c r="RC27" s="35"/>
      <c r="RL27" s="33"/>
      <c r="RM27" s="33"/>
      <c r="RO27" s="80">
        <v>16.2</v>
      </c>
      <c r="SJ27" s="35"/>
      <c r="SK27" s="35"/>
      <c r="ST27" s="33"/>
      <c r="SU27" s="33"/>
      <c r="SW27" s="80">
        <v>16.2</v>
      </c>
    </row>
    <row r="28" spans="1:544" x14ac:dyDescent="0.2">
      <c r="A28" s="35"/>
      <c r="B28" s="66" t="s">
        <v>86</v>
      </c>
      <c r="C28" s="35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Z28" s="35"/>
      <c r="EA28" s="35"/>
      <c r="EJ28" s="33"/>
      <c r="EK28" s="33"/>
      <c r="EM28" s="81">
        <v>15.4</v>
      </c>
      <c r="FH28" s="35"/>
      <c r="FI28" s="35"/>
      <c r="FR28" s="33"/>
      <c r="FS28" s="33"/>
      <c r="FU28" s="81">
        <v>15.4</v>
      </c>
      <c r="GP28" s="35"/>
      <c r="GQ28" s="35"/>
      <c r="GZ28" s="33"/>
      <c r="HA28" s="33"/>
      <c r="HC28" s="81">
        <v>15.4</v>
      </c>
      <c r="HX28" s="35"/>
      <c r="HY28" s="35"/>
      <c r="IH28" s="33"/>
      <c r="II28" s="33"/>
      <c r="IK28" s="81">
        <v>15.4</v>
      </c>
      <c r="JF28" s="35"/>
      <c r="JG28" s="35"/>
      <c r="JP28" s="33"/>
      <c r="JQ28" s="33"/>
      <c r="JS28" s="81">
        <v>17.100000000000001</v>
      </c>
      <c r="KN28" s="35"/>
      <c r="KO28" s="35"/>
      <c r="KX28" s="33"/>
      <c r="KY28" s="33"/>
      <c r="LA28" s="81">
        <v>17.100000000000001</v>
      </c>
      <c r="LV28" s="35"/>
      <c r="LW28" s="35"/>
      <c r="MF28" s="33"/>
      <c r="MG28" s="33"/>
      <c r="MI28" s="81">
        <v>17.100000000000001</v>
      </c>
      <c r="ND28" s="35"/>
      <c r="NE28" s="35"/>
      <c r="NN28" s="33"/>
      <c r="NO28" s="33"/>
      <c r="NQ28" s="81">
        <v>17.100000000000001</v>
      </c>
      <c r="OL28" s="35"/>
      <c r="OM28" s="35"/>
      <c r="OV28" s="33"/>
      <c r="OW28" s="33"/>
      <c r="OY28" s="81">
        <v>17.100000000000001</v>
      </c>
      <c r="PT28" s="35"/>
      <c r="PU28" s="35"/>
      <c r="QD28" s="33"/>
      <c r="QE28" s="33"/>
      <c r="QG28" s="81">
        <v>17.100000000000001</v>
      </c>
      <c r="RB28" s="35"/>
      <c r="RC28" s="35"/>
      <c r="RL28" s="33"/>
      <c r="RM28" s="33"/>
      <c r="RO28" s="81">
        <v>17.100000000000001</v>
      </c>
      <c r="SJ28" s="35"/>
      <c r="SK28" s="35"/>
      <c r="ST28" s="33"/>
      <c r="SU28" s="33"/>
      <c r="SW28" s="81">
        <v>17.100000000000001</v>
      </c>
    </row>
    <row r="29" spans="1:544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Z29" s="35"/>
      <c r="EA29" s="35"/>
      <c r="EJ29" s="33"/>
      <c r="EK29" s="33"/>
      <c r="EM29" s="82">
        <v>56</v>
      </c>
      <c r="FH29" s="35"/>
      <c r="FI29" s="35"/>
      <c r="FR29" s="33"/>
      <c r="FS29" s="33"/>
      <c r="FU29" s="82">
        <v>54.5</v>
      </c>
      <c r="GP29" s="35"/>
      <c r="GQ29" s="35"/>
      <c r="GZ29" s="33"/>
      <c r="HA29" s="33"/>
      <c r="HC29" s="82">
        <v>58</v>
      </c>
      <c r="HX29" s="35"/>
      <c r="HY29" s="35"/>
      <c r="IH29" s="33"/>
      <c r="II29" s="33"/>
      <c r="IK29" s="82">
        <v>55</v>
      </c>
      <c r="JF29" s="35"/>
      <c r="JG29" s="35"/>
      <c r="JP29" s="33"/>
      <c r="JQ29" s="33"/>
      <c r="JS29" s="82">
        <v>54</v>
      </c>
      <c r="KN29" s="35"/>
      <c r="KO29" s="35"/>
      <c r="KX29" s="33"/>
      <c r="KY29" s="33"/>
      <c r="LA29" s="82">
        <v>54</v>
      </c>
      <c r="LV29" s="35"/>
      <c r="LW29" s="35"/>
      <c r="MF29" s="33"/>
      <c r="MG29" s="33"/>
      <c r="MI29" s="82">
        <v>54</v>
      </c>
      <c r="ND29" s="35"/>
      <c r="NE29" s="35"/>
      <c r="NN29" s="33"/>
      <c r="NO29" s="33"/>
      <c r="NQ29" s="82">
        <v>54</v>
      </c>
      <c r="OL29" s="35"/>
      <c r="OM29" s="35"/>
      <c r="OV29" s="33"/>
      <c r="OW29" s="33"/>
      <c r="OY29" s="82">
        <v>54</v>
      </c>
      <c r="PT29" s="35"/>
      <c r="PU29" s="35"/>
      <c r="QD29" s="33"/>
      <c r="QE29" s="33"/>
      <c r="QG29" s="82">
        <v>54</v>
      </c>
      <c r="RB29" s="35"/>
      <c r="RC29" s="35"/>
      <c r="RL29" s="33"/>
      <c r="RM29" s="33"/>
      <c r="RO29" s="82">
        <v>54</v>
      </c>
      <c r="SJ29" s="35"/>
      <c r="SK29" s="35"/>
      <c r="ST29" s="33"/>
      <c r="SU29" s="33"/>
      <c r="SW29" s="82">
        <v>54</v>
      </c>
    </row>
    <row r="30" spans="1:544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Z30" s="35"/>
      <c r="EA30" s="35"/>
      <c r="EJ30" s="33"/>
      <c r="EK30" s="33"/>
      <c r="EM30" s="83">
        <v>57</v>
      </c>
      <c r="FH30" s="35"/>
      <c r="FI30" s="35"/>
      <c r="FR30" s="33"/>
      <c r="FS30" s="33"/>
      <c r="FU30" s="83">
        <v>54.6</v>
      </c>
      <c r="GP30" s="35"/>
      <c r="GQ30" s="35"/>
      <c r="GZ30" s="33"/>
      <c r="HA30" s="33"/>
      <c r="HC30" s="83">
        <v>58</v>
      </c>
      <c r="HX30" s="35"/>
      <c r="HY30" s="35"/>
      <c r="IH30" s="33"/>
      <c r="II30" s="33"/>
      <c r="IK30" s="83">
        <v>56</v>
      </c>
      <c r="JF30" s="35"/>
      <c r="JG30" s="35"/>
      <c r="JP30" s="33"/>
      <c r="JQ30" s="33"/>
      <c r="JS30" s="83">
        <v>56</v>
      </c>
      <c r="KN30" s="35"/>
      <c r="KO30" s="35"/>
      <c r="KX30" s="33"/>
      <c r="KY30" s="33"/>
      <c r="LA30" s="83">
        <v>56</v>
      </c>
      <c r="LV30" s="35"/>
      <c r="LW30" s="35"/>
      <c r="MF30" s="33"/>
      <c r="MG30" s="33"/>
      <c r="MI30" s="83">
        <v>56</v>
      </c>
      <c r="ND30" s="35"/>
      <c r="NE30" s="35"/>
      <c r="NN30" s="33"/>
      <c r="NO30" s="33"/>
      <c r="NQ30" s="83">
        <v>56</v>
      </c>
      <c r="OL30" s="35"/>
      <c r="OM30" s="35"/>
      <c r="OV30" s="33"/>
      <c r="OW30" s="33"/>
      <c r="OY30" s="83">
        <v>56</v>
      </c>
      <c r="PT30" s="35"/>
      <c r="PU30" s="35"/>
      <c r="QD30" s="33"/>
      <c r="QE30" s="33"/>
      <c r="QG30" s="83">
        <v>56</v>
      </c>
      <c r="RB30" s="35"/>
      <c r="RC30" s="35"/>
      <c r="RL30" s="33"/>
      <c r="RM30" s="33"/>
      <c r="RO30" s="83">
        <v>56</v>
      </c>
      <c r="SJ30" s="35"/>
      <c r="SK30" s="35"/>
      <c r="ST30" s="33"/>
      <c r="SU30" s="33"/>
      <c r="SW30" s="83">
        <v>56</v>
      </c>
    </row>
    <row r="31" spans="1:544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Z31" s="35"/>
      <c r="EA31" s="35"/>
      <c r="EJ31" s="33"/>
      <c r="EK31" s="33"/>
      <c r="EL31" s="71"/>
      <c r="EM31" s="84">
        <v>58</v>
      </c>
      <c r="FH31" s="35"/>
      <c r="FI31" s="35"/>
      <c r="FR31" s="33"/>
      <c r="FS31" s="33"/>
      <c r="FT31" s="71"/>
      <c r="FU31" s="84">
        <v>58</v>
      </c>
      <c r="GP31" s="35"/>
      <c r="GQ31" s="35"/>
      <c r="GZ31" s="33"/>
      <c r="HA31" s="33"/>
      <c r="HB31" s="71"/>
      <c r="HC31" s="84">
        <v>58</v>
      </c>
      <c r="HX31" s="35"/>
      <c r="HY31" s="35"/>
      <c r="IH31" s="33"/>
      <c r="II31" s="33"/>
      <c r="IJ31" s="71"/>
      <c r="IK31" s="84">
        <v>58</v>
      </c>
      <c r="JF31" s="35"/>
      <c r="JG31" s="35"/>
      <c r="JP31" s="33"/>
      <c r="JQ31" s="33"/>
      <c r="JR31" s="71"/>
      <c r="JS31" s="84">
        <v>57</v>
      </c>
      <c r="KN31" s="35"/>
      <c r="KO31" s="35"/>
      <c r="KX31" s="33"/>
      <c r="KY31" s="33"/>
      <c r="KZ31" s="71"/>
      <c r="LA31" s="84">
        <v>57</v>
      </c>
      <c r="LV31" s="35"/>
      <c r="LW31" s="35"/>
      <c r="MF31" s="33"/>
      <c r="MG31" s="33"/>
      <c r="MH31" s="71"/>
      <c r="MI31" s="84">
        <v>57</v>
      </c>
      <c r="ND31" s="35"/>
      <c r="NE31" s="35"/>
      <c r="NN31" s="33"/>
      <c r="NO31" s="33"/>
      <c r="NP31" s="71"/>
      <c r="NQ31" s="84">
        <v>57</v>
      </c>
      <c r="OL31" s="35"/>
      <c r="OM31" s="35"/>
      <c r="OV31" s="33"/>
      <c r="OW31" s="33"/>
      <c r="OX31" s="71"/>
      <c r="OY31" s="84">
        <v>57</v>
      </c>
      <c r="PT31" s="35"/>
      <c r="PU31" s="35"/>
      <c r="QD31" s="33"/>
      <c r="QE31" s="33"/>
      <c r="QF31" s="71"/>
      <c r="QG31" s="84">
        <v>57</v>
      </c>
      <c r="RB31" s="35"/>
      <c r="RC31" s="35"/>
      <c r="RL31" s="33"/>
      <c r="RM31" s="33"/>
      <c r="RN31" s="71"/>
      <c r="RO31" s="84">
        <v>57</v>
      </c>
      <c r="SJ31" s="35"/>
      <c r="SK31" s="35"/>
      <c r="ST31" s="33"/>
      <c r="SU31" s="33"/>
      <c r="SV31" s="71"/>
      <c r="SW31" s="84">
        <v>57</v>
      </c>
    </row>
    <row r="32" spans="1:544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143</v>
      </c>
      <c r="AW32" s="77"/>
      <c r="AX32" s="56"/>
      <c r="AY32" s="85">
        <v>59.4</v>
      </c>
      <c r="BS32" s="77"/>
      <c r="BT32" s="77"/>
      <c r="BU32" s="77"/>
      <c r="BW32" s="77" t="s">
        <v>143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Z32" s="35"/>
      <c r="EA32" s="35"/>
      <c r="EJ32" s="77" t="s">
        <v>143</v>
      </c>
      <c r="EK32" s="33"/>
      <c r="EM32" s="85">
        <v>59.4</v>
      </c>
      <c r="FH32" s="35"/>
      <c r="FI32" s="35"/>
      <c r="FR32" s="77" t="s">
        <v>143</v>
      </c>
      <c r="FS32" s="33"/>
      <c r="FU32" s="85">
        <v>59.4</v>
      </c>
      <c r="GP32" s="35"/>
      <c r="GQ32" s="35"/>
      <c r="GZ32" s="33"/>
      <c r="HA32" s="33"/>
      <c r="HC32" s="85">
        <v>59.4</v>
      </c>
      <c r="HX32" s="35"/>
      <c r="HY32" s="35"/>
      <c r="IH32" s="77" t="s">
        <v>143</v>
      </c>
      <c r="II32" s="33"/>
      <c r="IK32" s="85">
        <v>59.4</v>
      </c>
      <c r="JF32" s="35"/>
      <c r="JG32" s="35"/>
      <c r="JP32" s="33"/>
      <c r="JQ32" s="33"/>
      <c r="JS32" s="85">
        <v>59</v>
      </c>
      <c r="KN32" s="35"/>
      <c r="KO32" s="35"/>
      <c r="KX32" s="33"/>
      <c r="KY32" s="33"/>
      <c r="LA32" s="85">
        <v>59</v>
      </c>
      <c r="LV32" s="35"/>
      <c r="LW32" s="35"/>
      <c r="MF32" s="33"/>
      <c r="MG32" s="33"/>
      <c r="MI32" s="85">
        <v>59</v>
      </c>
      <c r="ND32" s="35"/>
      <c r="NE32" s="35"/>
      <c r="NN32" s="33"/>
      <c r="NO32" s="33"/>
      <c r="NQ32" s="85">
        <v>59</v>
      </c>
      <c r="OL32" s="35"/>
      <c r="OM32" s="35"/>
      <c r="OV32" s="33"/>
      <c r="OW32" s="33"/>
      <c r="OY32" s="85">
        <v>59</v>
      </c>
      <c r="PT32" s="35"/>
      <c r="PU32" s="35"/>
      <c r="QD32" s="33"/>
      <c r="QE32" s="33"/>
      <c r="QG32" s="85">
        <v>59</v>
      </c>
      <c r="RB32" s="35"/>
      <c r="RC32" s="35"/>
      <c r="RL32" s="33"/>
      <c r="RM32" s="33"/>
      <c r="RO32" s="85">
        <v>59</v>
      </c>
      <c r="SJ32" s="35"/>
      <c r="SK32" s="35"/>
      <c r="ST32" s="33"/>
      <c r="SU32" s="33"/>
      <c r="SW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X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sortState xmlns:xlrd2="http://schemas.microsoft.com/office/spreadsheetml/2017/richdata2" ref="A4:TX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QW2:RA2"/>
    <mergeCell ref="RP2:RT2"/>
    <mergeCell ref="RU2:RY2"/>
    <mergeCell ref="RZ2:SD2"/>
    <mergeCell ref="SE2:SI2"/>
    <mergeCell ref="SX1:TX1"/>
    <mergeCell ref="RP1:SW1"/>
    <mergeCell ref="TC2:TG2"/>
    <mergeCell ref="SX2:TB2"/>
    <mergeCell ref="TH2:TL2"/>
    <mergeCell ref="LB1:MI1"/>
    <mergeCell ref="MJ1:NQ1"/>
    <mergeCell ref="NR1:OY1"/>
    <mergeCell ref="OZ1:QG1"/>
    <mergeCell ref="QH1:RO1"/>
    <mergeCell ref="OB2:OF2"/>
    <mergeCell ref="OG2:OK2"/>
    <mergeCell ref="OZ2:PD2"/>
    <mergeCell ref="PE2:PI2"/>
    <mergeCell ref="PJ2:PN2"/>
    <mergeCell ref="MO2:MS2"/>
    <mergeCell ref="MT2:MX2"/>
    <mergeCell ref="MY2:NC2"/>
    <mergeCell ref="NR2:NV2"/>
    <mergeCell ref="NW2:OA2"/>
    <mergeCell ref="LB2:LF2"/>
    <mergeCell ref="LG2:LK2"/>
    <mergeCell ref="LL2:LP2"/>
    <mergeCell ref="LQ2:LU2"/>
    <mergeCell ref="MJ2:MN2"/>
    <mergeCell ref="PO2:PS2"/>
    <mergeCell ref="QH2:QL2"/>
    <mergeCell ref="QM2:QQ2"/>
    <mergeCell ref="QR2:QV2"/>
    <mergeCell ref="IL1:JS1"/>
    <mergeCell ref="JT1:LA1"/>
    <mergeCell ref="JA2:JE2"/>
    <mergeCell ref="JT2:JX2"/>
    <mergeCell ref="JY2:KC2"/>
    <mergeCell ref="IV2:IZ2"/>
    <mergeCell ref="IQ2:IU2"/>
    <mergeCell ref="IL2:IP2"/>
    <mergeCell ref="KD2:KH2"/>
    <mergeCell ref="KI2:KM2"/>
    <mergeCell ref="HD1:IK1"/>
    <mergeCell ref="FV2:FZ2"/>
    <mergeCell ref="GA2:GE2"/>
    <mergeCell ref="GF2:GJ2"/>
    <mergeCell ref="GK2:GO2"/>
    <mergeCell ref="HI2:HM2"/>
    <mergeCell ref="HN2:HR2"/>
    <mergeCell ref="HS2:HW2"/>
    <mergeCell ref="FV1:HC1"/>
    <mergeCell ref="HD2:HH2"/>
    <mergeCell ref="EN1:FU1"/>
    <mergeCell ref="EN2:ER2"/>
    <mergeCell ref="ES2:EW2"/>
    <mergeCell ref="EX2:FB2"/>
    <mergeCell ref="FC2:FG2"/>
    <mergeCell ref="DK2:DO2"/>
    <mergeCell ref="DF1:EM1"/>
    <mergeCell ref="BJ2:BN2"/>
    <mergeCell ref="DF2:DJ2"/>
    <mergeCell ref="DB1:DE1"/>
    <mergeCell ref="DP2:DT2"/>
    <mergeCell ref="DU2:DY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55" priority="228" operator="containsText" text="No DD">
      <formula>NOT(ISERROR(SEARCH("No DD",H1)))</formula>
    </cfRule>
    <cfRule type="containsText" dxfId="754" priority="229" operator="containsText" text="Merit">
      <formula>NOT(ISERROR(SEARCH("Merit",H1)))</formula>
    </cfRule>
    <cfRule type="containsText" dxfId="753" priority="230" operator="containsText" text="Excellence">
      <formula>NOT(ISERROR(SEARCH("Excellence",H1)))</formula>
    </cfRule>
    <cfRule type="containsText" dxfId="752" priority="231" operator="containsText" text="Worlds Team">
      <formula>NOT(ISERROR(SEARCH("Worlds Team",H1)))</formula>
    </cfRule>
    <cfRule type="containsText" dxfId="751" priority="232" operator="containsText" text="National Team">
      <formula>NOT(ISERROR(SEARCH("National Team",H1)))</formula>
    </cfRule>
  </conditionalFormatting>
  <conditionalFormatting sqref="A1:A1048576">
    <cfRule type="expression" dxfId="750" priority="37562">
      <formula>AND(G1&lt;&gt;"",F1="")</formula>
    </cfRule>
  </conditionalFormatting>
  <conditionalFormatting sqref="Y4:AY22">
    <cfRule type="expression" dxfId="749" priority="51274" stopIfTrue="1">
      <formula>IF($AN4&lt;&gt;"",1,0)</formula>
    </cfRule>
  </conditionalFormatting>
  <conditionalFormatting sqref="AZ4:BZ22">
    <cfRule type="expression" dxfId="748" priority="209" stopIfTrue="1">
      <formula>IF($BO4&lt;&gt;"",1,0)</formula>
    </cfRule>
  </conditionalFormatting>
  <conditionalFormatting sqref="CA4:DA22">
    <cfRule type="expression" dxfId="747" priority="205" stopIfTrue="1">
      <formula>IF($CP4&lt;&gt;"",1,0)</formula>
    </cfRule>
  </conditionalFormatting>
  <conditionalFormatting sqref="M1:M3 O1:O3 K1:K1048576 Q1:Q1048576 U1:U1048576 S1:S1048576 M4:O1048576">
    <cfRule type="expression" dxfId="746" priority="52650">
      <formula>IF(K1=$CA$1,1,0)</formula>
    </cfRule>
    <cfRule type="expression" dxfId="745" priority="52651">
      <formula>IF(K1=$AZ$1,1,0)</formula>
    </cfRule>
    <cfRule type="expression" dxfId="744" priority="52652">
      <formula>IF(K1=$Y$1,1,0)</formula>
    </cfRule>
  </conditionalFormatting>
  <conditionalFormatting sqref="BW33:BW1048576 BP1:BP1048576 BS1:BS1048576 BW1:BW31">
    <cfRule type="cellIs" dxfId="743" priority="52631" operator="between">
      <formula>$BZ$28</formula>
      <formula>1000</formula>
    </cfRule>
    <cfRule type="cellIs" dxfId="742" priority="52632" operator="between">
      <formula>$BZ$27</formula>
      <formula>$BZ$28</formula>
    </cfRule>
    <cfRule type="cellIs" dxfId="741" priority="52633" operator="between">
      <formula>$BZ$26</formula>
      <formula>$BZ$27</formula>
    </cfRule>
    <cfRule type="cellIs" dxfId="740" priority="52634" operator="between">
      <formula>$BZ$25</formula>
      <formula>$BZ$26</formula>
    </cfRule>
  </conditionalFormatting>
  <conditionalFormatting sqref="CX33:CX1048576 CQ1:CQ1048576 CT1:CT1048576 CX1:CX31">
    <cfRule type="cellIs" dxfId="739" priority="51508" operator="between">
      <formula>$DA$28</formula>
      <formula>1000</formula>
    </cfRule>
    <cfRule type="cellIs" dxfId="738" priority="51509" operator="between">
      <formula>$DA$27</formula>
      <formula>$DA$28</formula>
    </cfRule>
    <cfRule type="cellIs" dxfId="737" priority="51510" operator="between">
      <formula>$DA$26</formula>
      <formula>$DA$27</formula>
    </cfRule>
    <cfRule type="cellIs" dxfId="736" priority="51511" operator="between">
      <formula>$DA$25</formula>
      <formula>$DA$26</formula>
    </cfRule>
  </conditionalFormatting>
  <conditionalFormatting sqref="EJ33:EJ1048576 DZ1:DZ1048576 EC1:EC1048576 EG1:EG1048576 EJ1:EJ31">
    <cfRule type="cellIs" dxfId="735" priority="52659" operator="between">
      <formula>$EM$28</formula>
      <formula>1000</formula>
    </cfRule>
    <cfRule type="cellIs" dxfId="734" priority="52660" operator="between">
      <formula>$EM$27</formula>
      <formula>$EM$28</formula>
    </cfRule>
    <cfRule type="cellIs" dxfId="733" priority="52661" operator="between">
      <formula>$EM$26</formula>
      <formula>$EM$27</formula>
    </cfRule>
    <cfRule type="cellIs" dxfId="732" priority="52662" operator="between">
      <formula>$EM$25</formula>
      <formula>$EM$26</formula>
    </cfRule>
  </conditionalFormatting>
  <conditionalFormatting sqref="FR33:FR1048576 FH1:FH1048576 FK1:FK1048576 FO1:FO1048576 FR1:FR31">
    <cfRule type="cellIs" dxfId="731" priority="189" operator="between">
      <formula>$FU$28</formula>
      <formula>1000</formula>
    </cfRule>
    <cfRule type="cellIs" dxfId="730" priority="190" operator="between">
      <formula>$FU$27</formula>
      <formula>$FU$28</formula>
    </cfRule>
    <cfRule type="cellIs" dxfId="729" priority="191" operator="between">
      <formula>$FU$26</formula>
      <formula>$FU$27</formula>
    </cfRule>
    <cfRule type="cellIs" dxfId="728" priority="192" operator="between">
      <formula>$FU$25</formula>
      <formula>$FU$26</formula>
    </cfRule>
  </conditionalFormatting>
  <conditionalFormatting sqref="IH33:IH1048576 HX1:HX1048576 IA1:IA1048576 IE1:IE1048576 IH1:IH31">
    <cfRule type="cellIs" dxfId="727" priority="157" operator="between">
      <formula>$IK$28</formula>
      <formula>1000</formula>
    </cfRule>
    <cfRule type="cellIs" dxfId="726" priority="158" operator="between">
      <formula>$IK$27</formula>
      <formula>$IK$28</formula>
    </cfRule>
    <cfRule type="cellIs" dxfId="725" priority="159" operator="between">
      <formula>$IK$26</formula>
      <formula>$IK$27</formula>
    </cfRule>
    <cfRule type="cellIs" dxfId="724" priority="160" operator="between">
      <formula>$IK$25</formula>
      <formula>$IK$26</formula>
    </cfRule>
  </conditionalFormatting>
  <conditionalFormatting sqref="AW32 AO1:AO1048576 AR1:AR1048576 AV1:AV1048576">
    <cfRule type="cellIs" dxfId="723" priority="21" operator="between">
      <formula>$AY$28</formula>
      <formula>1000</formula>
    </cfRule>
    <cfRule type="cellIs" dxfId="722" priority="22" operator="between">
      <formula>$AY$27</formula>
      <formula>$AY$28</formula>
    </cfRule>
    <cfRule type="cellIs" dxfId="721" priority="23" operator="between">
      <formula>$AY$26</formula>
      <formula>$AY$27</formula>
    </cfRule>
    <cfRule type="cellIs" dxfId="720" priority="24" operator="between">
      <formula>$AY$25</formula>
      <formula>$AY$26</formula>
    </cfRule>
  </conditionalFormatting>
  <conditionalFormatting sqref="BW32">
    <cfRule type="cellIs" dxfId="719" priority="17" operator="between">
      <formula>$AY$28</formula>
      <formula>1000</formula>
    </cfRule>
    <cfRule type="cellIs" dxfId="718" priority="18" operator="between">
      <formula>$AY$27</formula>
      <formula>$AY$28</formula>
    </cfRule>
    <cfRule type="cellIs" dxfId="717" priority="19" operator="between">
      <formula>$AY$26</formula>
      <formula>$AY$27</formula>
    </cfRule>
    <cfRule type="cellIs" dxfId="716" priority="20" operator="between">
      <formula>$AY$25</formula>
      <formula>$AY$26</formula>
    </cfRule>
  </conditionalFormatting>
  <conditionalFormatting sqref="CX32">
    <cfRule type="cellIs" dxfId="715" priority="13" operator="between">
      <formula>$AY$28</formula>
      <formula>1000</formula>
    </cfRule>
    <cfRule type="cellIs" dxfId="714" priority="14" operator="between">
      <formula>$AY$27</formula>
      <formula>$AY$28</formula>
    </cfRule>
    <cfRule type="cellIs" dxfId="713" priority="15" operator="between">
      <formula>$AY$26</formula>
      <formula>$AY$27</formula>
    </cfRule>
    <cfRule type="cellIs" dxfId="712" priority="16" operator="between">
      <formula>$AY$25</formula>
      <formula>$AY$26</formula>
    </cfRule>
  </conditionalFormatting>
  <conditionalFormatting sqref="EJ32">
    <cfRule type="cellIs" dxfId="711" priority="9" operator="between">
      <formula>$AY$28</formula>
      <formula>1000</formula>
    </cfRule>
    <cfRule type="cellIs" dxfId="710" priority="10" operator="between">
      <formula>$AY$27</formula>
      <formula>$AY$28</formula>
    </cfRule>
    <cfRule type="cellIs" dxfId="709" priority="11" operator="between">
      <formula>$AY$26</formula>
      <formula>$AY$27</formula>
    </cfRule>
    <cfRule type="cellIs" dxfId="708" priority="12" operator="between">
      <formula>$AY$25</formula>
      <formula>$AY$26</formula>
    </cfRule>
  </conditionalFormatting>
  <conditionalFormatting sqref="FR32">
    <cfRule type="cellIs" dxfId="707" priority="5" operator="between">
      <formula>$AY$28</formula>
      <formula>1000</formula>
    </cfRule>
    <cfRule type="cellIs" dxfId="706" priority="6" operator="between">
      <formula>$AY$27</formula>
      <formula>$AY$28</formula>
    </cfRule>
    <cfRule type="cellIs" dxfId="705" priority="7" operator="between">
      <formula>$AY$26</formula>
      <formula>$AY$27</formula>
    </cfRule>
    <cfRule type="cellIs" dxfId="704" priority="8" operator="between">
      <formula>$AY$25</formula>
      <formula>$AY$26</formula>
    </cfRule>
  </conditionalFormatting>
  <conditionalFormatting sqref="IH32">
    <cfRule type="cellIs" dxfId="703" priority="1" operator="between">
      <formula>$AY$28</formula>
      <formula>1000</formula>
    </cfRule>
    <cfRule type="cellIs" dxfId="702" priority="2" operator="between">
      <formula>$AY$27</formula>
      <formula>$AY$28</formula>
    </cfRule>
    <cfRule type="cellIs" dxfId="701" priority="3" operator="between">
      <formula>$AY$26</formula>
      <formula>$AY$27</formula>
    </cfRule>
    <cfRule type="cellIs" dxfId="700" priority="4" operator="between">
      <formula>$AY$25</formula>
      <formula>$AY$26</formula>
    </cfRule>
  </conditionalFormatting>
  <conditionalFormatting sqref="CV1:CV1048576 AT1:AT1048576">
    <cfRule type="cellIs" dxfId="699" priority="55729" operator="between">
      <formula>AY$32</formula>
      <formula>1000</formula>
    </cfRule>
    <cfRule type="cellIs" dxfId="698" priority="55730" operator="between">
      <formula>AY$31</formula>
      <formula>AY$32</formula>
    </cfRule>
  </conditionalFormatting>
  <conditionalFormatting sqref="EE1:EE1048576 FM1:FM1048576 GU1:GU1048576 IC1:IC1048576 JK1:JK1048576 KS1:KS1048576 MA1:MA1048576 NI1:NI1048576 OQ1:OQ1048576 PY1:PY1048576 RG1:RG1048576 SO1:SO1048576">
    <cfRule type="cellIs" dxfId="697" priority="55789" operator="between">
      <formula>EM$32</formula>
      <formula>1000</formula>
    </cfRule>
    <cfRule type="cellIs" dxfId="696" priority="55790" operator="between">
      <formula>EM$31</formula>
      <formula>EM$32</formula>
    </cfRule>
  </conditionalFormatting>
  <conditionalFormatting sqref="EF1:EF1048576 FN1:FN1048576 GV1:GV1048576 ID1:ID1048576 JL1:JL1048576 KT1:KT1048576 MB1:MB1048576 NJ1:NJ1048576 OR1:OR1048576 PZ1:PZ1048576 RH1:RH1048576 SP1:SP1048576">
    <cfRule type="cellIs" dxfId="695" priority="55795" operator="between">
      <formula>EM$30</formula>
      <formula>1000</formula>
    </cfRule>
    <cfRule type="cellIs" dxfId="694" priority="55796" operator="between">
      <formula>EM$29</formula>
      <formula>EM$30</formula>
    </cfRule>
  </conditionalFormatting>
  <conditionalFormatting sqref="AQ1:AQ1048576 AT1:AT1048576 AX1:AX1048576">
    <cfRule type="cellIs" dxfId="693" priority="55901" operator="between">
      <formula>$AY$32</formula>
      <formula>1000</formula>
    </cfRule>
    <cfRule type="cellIs" dxfId="692" priority="55902" operator="between">
      <formula>$AY$31</formula>
      <formula>$AY$32</formula>
    </cfRule>
    <cfRule type="cellIs" dxfId="691" priority="55903" operator="between">
      <formula>$AY$30</formula>
      <formula>$AY$31</formula>
    </cfRule>
    <cfRule type="cellIs" dxfId="690" priority="55904" operator="between">
      <formula>$AY$29</formula>
      <formula>$AY$30</formula>
    </cfRule>
  </conditionalFormatting>
  <conditionalFormatting sqref="BR1:BR1048576 BU1:BU1048576 BY1:BY1048576">
    <cfRule type="cellIs" dxfId="689" priority="55937" operator="between">
      <formula>$BZ$32</formula>
      <formula>1000</formula>
    </cfRule>
    <cfRule type="cellIs" dxfId="688" priority="55938" operator="between">
      <formula>$BZ$31</formula>
      <formula>$BZ$32</formula>
    </cfRule>
    <cfRule type="cellIs" dxfId="687" priority="55939" operator="between">
      <formula>$BZ$30</formula>
      <formula>$BZ$31</formula>
    </cfRule>
    <cfRule type="cellIs" dxfId="686" priority="55940" operator="between">
      <formula>$BZ$29</formula>
      <formula>$BZ$30</formula>
    </cfRule>
  </conditionalFormatting>
  <conditionalFormatting sqref="CS1:CS1048576 CV1:CV1048576 CZ1:CZ1048576">
    <cfRule type="cellIs" dxfId="685" priority="55973" operator="between">
      <formula>$DA$32</formula>
      <formula>1000</formula>
    </cfRule>
    <cfRule type="cellIs" dxfId="684" priority="55974" operator="between">
      <formula>$DA$31</formula>
      <formula>$DA$32</formula>
    </cfRule>
    <cfRule type="cellIs" dxfId="683" priority="55975" operator="between">
      <formula>$DA$30</formula>
      <formula>$DA$31</formula>
    </cfRule>
    <cfRule type="cellIs" dxfId="682" priority="55976" operator="between">
      <formula>$DA$29</formula>
      <formula>$DA$30</formula>
    </cfRule>
  </conditionalFormatting>
  <conditionalFormatting sqref="ND1:ND1048576 NG1:NG1048576 NK1:NK1048576 NN1:NN1048576">
    <cfRule type="cellIs" dxfId="681" priority="56093" operator="between">
      <formula>$NQ$25</formula>
      <formula>$NQ$26</formula>
    </cfRule>
  </conditionalFormatting>
  <conditionalFormatting sqref="EB1:EB1048576 EE1:EE1048576 EI1:EI1048576 EL1:EL1048576">
    <cfRule type="cellIs" dxfId="680" priority="56197" operator="between">
      <formula>$EM$32</formula>
      <formula>1000</formula>
    </cfRule>
    <cfRule type="cellIs" dxfId="679" priority="56198" operator="between">
      <formula>$EM$31</formula>
      <formula>$EM$32</formula>
    </cfRule>
    <cfRule type="cellIs" dxfId="678" priority="56199" operator="between">
      <formula>$EM$30</formula>
      <formula>$EM$31</formula>
    </cfRule>
    <cfRule type="cellIs" dxfId="677" priority="56200" operator="between">
      <formula>$EM$29</formula>
      <formula>$EM$30</formula>
    </cfRule>
  </conditionalFormatting>
  <conditionalFormatting sqref="FJ1:FJ1048576 FM1:FM1048576 FQ1:FQ1048576 FT1:FT1048576">
    <cfRule type="cellIs" dxfId="676" priority="56289" operator="between">
      <formula>$FU$32</formula>
      <formula>1000</formula>
    </cfRule>
    <cfRule type="cellIs" dxfId="675" priority="56290" operator="between">
      <formula>$FU$31</formula>
      <formula>$FU$32</formula>
    </cfRule>
    <cfRule type="cellIs" dxfId="674" priority="56291" operator="between">
      <formula>$FU$30</formula>
      <formula>$FU$31</formula>
    </cfRule>
    <cfRule type="cellIs" dxfId="673" priority="56292" operator="between">
      <formula>$FU$29</formula>
      <formula>$FU$30</formula>
    </cfRule>
  </conditionalFormatting>
  <conditionalFormatting sqref="GP1:GP1048576 GS1:GS1048576 GW1:GW1048576 GZ1:GZ1048576">
    <cfRule type="cellIs" dxfId="672" priority="56337" operator="between">
      <formula>$HC$28</formula>
      <formula>1000</formula>
    </cfRule>
    <cfRule type="cellIs" dxfId="671" priority="56338" operator="between">
      <formula>$HC$27</formula>
      <formula>$HC$28</formula>
    </cfRule>
    <cfRule type="cellIs" dxfId="670" priority="56339" operator="between">
      <formula>$HC$26</formula>
      <formula>$HC$27</formula>
    </cfRule>
    <cfRule type="cellIs" dxfId="669" priority="56340" operator="between">
      <formula>$HC$25</formula>
      <formula>$HC$26</formula>
    </cfRule>
  </conditionalFormatting>
  <conditionalFormatting sqref="GR1:GR1048576 GU1:GU1048576 GY1:GY1048576 HB1:HB1048576">
    <cfRule type="cellIs" dxfId="668" priority="56385" operator="between">
      <formula>$HC$32</formula>
      <formula>1000</formula>
    </cfRule>
    <cfRule type="cellIs" dxfId="667" priority="56386" operator="between">
      <formula>$HC$31</formula>
      <formula>$HC$32</formula>
    </cfRule>
    <cfRule type="cellIs" dxfId="666" priority="56387" operator="between">
      <formula>$HC$30</formula>
      <formula>$HC$31</formula>
    </cfRule>
    <cfRule type="cellIs" dxfId="665" priority="56388" operator="between">
      <formula>$HC$29</formula>
      <formula>$HC$30</formula>
    </cfRule>
  </conditionalFormatting>
  <conditionalFormatting sqref="HZ1:HZ1048576 IC1:IC1048576 IG1:IG1048576 IJ1:IJ1048576">
    <cfRule type="cellIs" dxfId="664" priority="56477" operator="between">
      <formula>$IK$32</formula>
      <formula>1000</formula>
    </cfRule>
    <cfRule type="cellIs" dxfId="663" priority="56478" operator="between">
      <formula>$IK$31</formula>
      <formula>$IK$32</formula>
    </cfRule>
    <cfRule type="cellIs" dxfId="662" priority="56479" operator="between">
      <formula>$IK$30</formula>
      <formula>$IK$31</formula>
    </cfRule>
    <cfRule type="cellIs" dxfId="661" priority="56480" operator="between">
      <formula>$IK$29</formula>
      <formula>$IK$30</formula>
    </cfRule>
  </conditionalFormatting>
  <conditionalFormatting sqref="JF1:JF1048576 JI1:JI1048576 JM1:JM1048576 JP1:JP1048576">
    <cfRule type="cellIs" dxfId="660" priority="56525" operator="between">
      <formula>$JS$28</formula>
      <formula>1000</formula>
    </cfRule>
    <cfRule type="cellIs" dxfId="659" priority="56526" operator="between">
      <formula>$JS$27</formula>
      <formula>$JS$28</formula>
    </cfRule>
    <cfRule type="cellIs" dxfId="658" priority="56527" operator="between">
      <formula>$JS$26</formula>
      <formula>$JS$27</formula>
    </cfRule>
    <cfRule type="cellIs" dxfId="657" priority="56528" operator="between">
      <formula>$JS$25</formula>
      <formula>$JS$26</formula>
    </cfRule>
  </conditionalFormatting>
  <conditionalFormatting sqref="JH1:JH1048576 JK1:JK1048576 JO1:JO1048576 JR1:JR1048576">
    <cfRule type="cellIs" dxfId="656" priority="56573" operator="between">
      <formula>$JS$32</formula>
      <formula>1000</formula>
    </cfRule>
    <cfRule type="cellIs" dxfId="655" priority="56574" operator="between">
      <formula>$JS$31</formula>
      <formula>$JS$32</formula>
    </cfRule>
    <cfRule type="cellIs" dxfId="654" priority="56575" operator="between">
      <formula>$JS$30</formula>
      <formula>$JS$31</formula>
    </cfRule>
    <cfRule type="cellIs" dxfId="653" priority="56576" operator="between">
      <formula>$JS$29</formula>
      <formula>$JS$30</formula>
    </cfRule>
  </conditionalFormatting>
  <conditionalFormatting sqref="KN1:KN1048576 KQ1:KQ1048576 KU1:KU1048576 KX1:KX1048576">
    <cfRule type="cellIs" dxfId="652" priority="56621" operator="between">
      <formula>$LA$28</formula>
      <formula>1000</formula>
    </cfRule>
    <cfRule type="cellIs" dxfId="651" priority="56622" operator="between">
      <formula>$LA$27</formula>
      <formula>$LA$28</formula>
    </cfRule>
    <cfRule type="cellIs" dxfId="650" priority="56623" operator="between">
      <formula>$LA$26</formula>
      <formula>$LA$27</formula>
    </cfRule>
    <cfRule type="cellIs" dxfId="649" priority="56624" operator="between">
      <formula>$LA$25</formula>
      <formula>$LA$26</formula>
    </cfRule>
  </conditionalFormatting>
  <conditionalFormatting sqref="KP1:KP1048576 KS1:KS1048576 KW1:KW1048576 KZ1:KZ1048576">
    <cfRule type="cellIs" dxfId="648" priority="56669" operator="between">
      <formula>$LA$32</formula>
      <formula>1000</formula>
    </cfRule>
    <cfRule type="cellIs" dxfId="647" priority="56670" operator="between">
      <formula>$LA$31</formula>
      <formula>$LA$32</formula>
    </cfRule>
    <cfRule type="cellIs" dxfId="646" priority="56671" operator="between">
      <formula>$LA$30</formula>
      <formula>$LA$31</formula>
    </cfRule>
    <cfRule type="cellIs" dxfId="645" priority="56672" operator="between">
      <formula>$LA$29</formula>
      <formula>$LA$30</formula>
    </cfRule>
  </conditionalFormatting>
  <conditionalFormatting sqref="LV1:LV1048576 LY1:LY1048576 MC1:MC1048576 MF1:MF1048576">
    <cfRule type="cellIs" dxfId="644" priority="56717" operator="between">
      <formula>$MI$28</formula>
      <formula>1000</formula>
    </cfRule>
    <cfRule type="cellIs" dxfId="643" priority="56718" operator="between">
      <formula>$MI$27</formula>
      <formula>$MI$28</formula>
    </cfRule>
    <cfRule type="cellIs" dxfId="642" priority="56719" operator="between">
      <formula>$MI$26</formula>
      <formula>$MI$27</formula>
    </cfRule>
    <cfRule type="cellIs" dxfId="641" priority="56720" operator="between">
      <formula>$MI$25</formula>
      <formula>$MI$26</formula>
    </cfRule>
  </conditionalFormatting>
  <conditionalFormatting sqref="LX1:LX1048576 MA1:MA1048576 ME1:ME1048576 MH1:MH1048576">
    <cfRule type="cellIs" dxfId="640" priority="56765" operator="between">
      <formula>$MI$32</formula>
      <formula>1000</formula>
    </cfRule>
    <cfRule type="cellIs" dxfId="639" priority="56766" operator="between">
      <formula>$MI$31</formula>
      <formula>$MI$32</formula>
    </cfRule>
    <cfRule type="cellIs" dxfId="638" priority="56767" operator="between">
      <formula>$MI$30</formula>
      <formula>$MI$31</formula>
    </cfRule>
    <cfRule type="cellIs" dxfId="637" priority="56768" operator="between">
      <formula>$MI$29</formula>
      <formula>$MI$30</formula>
    </cfRule>
  </conditionalFormatting>
  <conditionalFormatting sqref="ND1:ND1048576 NG1:NG1048576 NK1:NK1048576">
    <cfRule type="cellIs" dxfId="636" priority="56813" operator="between">
      <formula>$NQ$28</formula>
      <formula>1000</formula>
    </cfRule>
    <cfRule type="cellIs" dxfId="635" priority="56814" operator="between">
      <formula>$NQ$27</formula>
      <formula>$NQ$28</formula>
    </cfRule>
    <cfRule type="cellIs" dxfId="634" priority="56815" operator="between">
      <formula>$NQ$26</formula>
      <formula>$NQ$27</formula>
    </cfRule>
  </conditionalFormatting>
  <conditionalFormatting sqref="NF1:NF1048576 NI1:NI1048576 NM1:NM1048576 NP1:NP1048576">
    <cfRule type="cellIs" dxfId="633" priority="56840" operator="between">
      <formula>$NQ$32</formula>
      <formula>1000</formula>
    </cfRule>
    <cfRule type="cellIs" dxfId="632" priority="56841" operator="between">
      <formula>$NQ$31</formula>
      <formula>$NQ$32</formula>
    </cfRule>
    <cfRule type="cellIs" dxfId="631" priority="56842" operator="between">
      <formula>$NQ$30</formula>
      <formula>$NQ$31</formula>
    </cfRule>
    <cfRule type="cellIs" dxfId="630" priority="56843" operator="between">
      <formula>$NQ$29</formula>
      <formula>$NQ$30</formula>
    </cfRule>
  </conditionalFormatting>
  <conditionalFormatting sqref="OL1:OL1048576 OO1:OO1048576 OS1:OS1048576 OV1:OV1048576">
    <cfRule type="cellIs" dxfId="629" priority="56888" operator="between">
      <formula>$OY$28</formula>
      <formula>1000</formula>
    </cfRule>
    <cfRule type="cellIs" dxfId="628" priority="56889" operator="between">
      <formula>$OY$27</formula>
      <formula>$OY$28</formula>
    </cfRule>
    <cfRule type="cellIs" dxfId="627" priority="56890" operator="between">
      <formula>$OY$26</formula>
      <formula>$OY$27</formula>
    </cfRule>
    <cfRule type="cellIs" dxfId="626" priority="56891" operator="between">
      <formula>$OY$25</formula>
      <formula>$OY$26</formula>
    </cfRule>
  </conditionalFormatting>
  <conditionalFormatting sqref="ON1:ON1048576 OQ1:OQ1048576 OU1:OU1048576 OX1:OX1048576">
    <cfRule type="cellIs" dxfId="625" priority="56936" operator="between">
      <formula>$OY$32</formula>
      <formula>1000</formula>
    </cfRule>
    <cfRule type="cellIs" dxfId="624" priority="56937" operator="between">
      <formula>$OY$31</formula>
      <formula>$OY$32</formula>
    </cfRule>
    <cfRule type="cellIs" dxfId="623" priority="56938" operator="between">
      <formula>$OY$30</formula>
      <formula>$OY$31</formula>
    </cfRule>
    <cfRule type="cellIs" dxfId="622" priority="56939" operator="between">
      <formula>$OY$29</formula>
      <formula>$OY$30</formula>
    </cfRule>
  </conditionalFormatting>
  <conditionalFormatting sqref="PT1:PT1048576 PW1:PW1048576 QA1:QA1048576 QD1:QD1048576">
    <cfRule type="cellIs" dxfId="621" priority="56984" operator="between">
      <formula>$QG$28</formula>
      <formula>1000</formula>
    </cfRule>
    <cfRule type="cellIs" dxfId="620" priority="56985" operator="between">
      <formula>$QG$27</formula>
      <formula>$QG$28</formula>
    </cfRule>
    <cfRule type="cellIs" dxfId="619" priority="56986" operator="between">
      <formula>$QG$26</formula>
      <formula>$QG$27</formula>
    </cfRule>
    <cfRule type="cellIs" dxfId="618" priority="56987" operator="between">
      <formula>$QG$25</formula>
      <formula>$QG$26</formula>
    </cfRule>
  </conditionalFormatting>
  <conditionalFormatting sqref="PV1:PV1048576 PY1:PY1048576 QC1:QC1048576 QF1:QF1048576">
    <cfRule type="cellIs" dxfId="617" priority="57032" operator="between">
      <formula>$QG$32</formula>
      <formula>1000</formula>
    </cfRule>
    <cfRule type="cellIs" dxfId="616" priority="57033" operator="between">
      <formula>$QG$31</formula>
      <formula>$QG$32</formula>
    </cfRule>
    <cfRule type="cellIs" dxfId="615" priority="57034" operator="between">
      <formula>$QG$30</formula>
      <formula>$QG$31</formula>
    </cfRule>
    <cfRule type="cellIs" dxfId="614" priority="57035" operator="between">
      <formula>$QG$29</formula>
      <formula>$QG$30</formula>
    </cfRule>
  </conditionalFormatting>
  <conditionalFormatting sqref="RB1:RB1048576 RE1:RE1048576 RI1:RI1048576 RL1:RL1048576">
    <cfRule type="cellIs" dxfId="613" priority="57080" operator="between">
      <formula>$RO$28</formula>
      <formula>1000</formula>
    </cfRule>
    <cfRule type="cellIs" dxfId="612" priority="57081" operator="between">
      <formula>$RO$27</formula>
      <formula>$RO$28</formula>
    </cfRule>
    <cfRule type="cellIs" dxfId="611" priority="57082" operator="between">
      <formula>$RO$26</formula>
      <formula>$RO$27</formula>
    </cfRule>
    <cfRule type="cellIs" dxfId="610" priority="57083" operator="between">
      <formula>$RO$25</formula>
      <formula>$RO$26</formula>
    </cfRule>
  </conditionalFormatting>
  <conditionalFormatting sqref="RD1:RD1048576 RG1:RG1048576 RK1:RK1048576 RN1:RN1048576">
    <cfRule type="cellIs" dxfId="609" priority="57128" operator="between">
      <formula>$RO$32</formula>
      <formula>1000</formula>
    </cfRule>
    <cfRule type="cellIs" dxfId="608" priority="57129" operator="between">
      <formula>$RO$31</formula>
      <formula>$RO$32</formula>
    </cfRule>
    <cfRule type="cellIs" dxfId="607" priority="57130" operator="between">
      <formula>$RO$30</formula>
      <formula>$RO$31</formula>
    </cfRule>
    <cfRule type="cellIs" dxfId="606" priority="57131" operator="between">
      <formula>$RO$29</formula>
      <formula>$RO$30</formula>
    </cfRule>
  </conditionalFormatting>
  <conditionalFormatting sqref="SJ1:SJ1048576 SM1:SM1048576 SQ1:SQ1048576 ST1:ST1048576">
    <cfRule type="cellIs" dxfId="605" priority="57176" operator="between">
      <formula>$SW$28</formula>
      <formula>1000</formula>
    </cfRule>
    <cfRule type="cellIs" dxfId="604" priority="57177" operator="between">
      <formula>$SW$27</formula>
      <formula>$SW$28</formula>
    </cfRule>
    <cfRule type="cellIs" dxfId="603" priority="57178" operator="between">
      <formula>$SW$26</formula>
      <formula>$SW$27</formula>
    </cfRule>
    <cfRule type="cellIs" dxfId="602" priority="57179" operator="between">
      <formula>$SW$25</formula>
      <formula>$SW$26</formula>
    </cfRule>
  </conditionalFormatting>
  <conditionalFormatting sqref="SL1:SL1048576 SO1:SO1048576 SS1:SS1048576 SV1:SV1048576">
    <cfRule type="cellIs" dxfId="601" priority="57224" operator="between">
      <formula>$SW$32</formula>
      <formula>1000</formula>
    </cfRule>
    <cfRule type="cellIs" dxfId="600" priority="57225" operator="between">
      <formula>$SW$31</formula>
      <formula>$SW$32</formula>
    </cfRule>
    <cfRule type="cellIs" dxfId="599" priority="57226" operator="between">
      <formula>$SW$30</formula>
      <formula>$SW$31</formula>
    </cfRule>
    <cfRule type="cellIs" dxfId="598" priority="57227" operator="between">
      <formula>$SW$29</formula>
      <formula>$SW$30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28634-B81F-674C-BF25-77A06EF66D03}">
  <sheetPr codeName="Sheet2"/>
  <dimension ref="A1:AF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bestFit="1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9" width="10.83203125" style="70" customWidth="1"/>
    <col min="110" max="129" width="10.83203125" hidden="1" customWidth="1"/>
    <col min="130" max="142" width="10.83203125" customWidth="1"/>
    <col min="143" max="143" width="10.83203125" style="70" customWidth="1"/>
    <col min="144" max="163" width="10.83203125" hidden="1" customWidth="1"/>
    <col min="164" max="176" width="10.83203125" customWidth="1"/>
    <col min="177" max="177" width="10.83203125" style="70" customWidth="1"/>
    <col min="178" max="197" width="10.83203125" hidden="1" customWidth="1"/>
    <col min="198" max="210" width="10.83203125" customWidth="1"/>
    <col min="211" max="211" width="10.83203125" style="70" customWidth="1"/>
    <col min="212" max="231" width="10.83203125" hidden="1" customWidth="1"/>
    <col min="232" max="244" width="10.83203125" customWidth="1"/>
    <col min="245" max="245" width="10.83203125" style="70" customWidth="1"/>
    <col min="246" max="265" width="10.83203125" hidden="1" customWidth="1"/>
    <col min="266" max="278" width="10.83203125" customWidth="1"/>
    <col min="279" max="279" width="10.83203125" style="70" customWidth="1"/>
    <col min="280" max="299" width="10.83203125" hidden="1" customWidth="1"/>
    <col min="300" max="312" width="10.83203125" customWidth="1"/>
    <col min="313" max="313" width="10.83203125" style="70" customWidth="1"/>
    <col min="314" max="333" width="10.83203125" hidden="1" customWidth="1"/>
    <col min="334" max="346" width="10.83203125" customWidth="1"/>
    <col min="347" max="347" width="10.83203125" style="70" customWidth="1"/>
    <col min="348" max="380" width="10.83203125" hidden="1" customWidth="1"/>
    <col min="381" max="381" width="10.83203125" style="70" hidden="1" customWidth="1"/>
    <col min="382" max="544" width="10.83203125" hidden="1" customWidth="1"/>
  </cols>
  <sheetData>
    <row r="1" spans="1:544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2" t="s">
        <v>12</v>
      </c>
      <c r="H1" s="102" t="s">
        <v>13</v>
      </c>
      <c r="I1" s="102" t="s">
        <v>96</v>
      </c>
      <c r="J1" s="108" t="s">
        <v>131</v>
      </c>
      <c r="K1" s="104" t="s">
        <v>37</v>
      </c>
      <c r="L1" s="108" t="s">
        <v>132</v>
      </c>
      <c r="M1" s="104" t="s">
        <v>37</v>
      </c>
      <c r="N1" s="108" t="s">
        <v>161</v>
      </c>
      <c r="O1" s="104" t="s">
        <v>37</v>
      </c>
      <c r="P1" s="104" t="s">
        <v>14</v>
      </c>
      <c r="Q1" s="104" t="s">
        <v>37</v>
      </c>
      <c r="R1" s="104" t="s">
        <v>133</v>
      </c>
      <c r="S1" s="104" t="s">
        <v>37</v>
      </c>
      <c r="T1" s="108" t="s">
        <v>134</v>
      </c>
      <c r="U1" s="104" t="s">
        <v>37</v>
      </c>
      <c r="V1" s="107" t="s">
        <v>15</v>
      </c>
      <c r="W1" s="104" t="s">
        <v>38</v>
      </c>
      <c r="X1" s="104" t="s">
        <v>37</v>
      </c>
      <c r="Y1" s="105" t="s">
        <v>104</v>
      </c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10" t="s">
        <v>111</v>
      </c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05" t="s">
        <v>146</v>
      </c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11" t="s">
        <v>15</v>
      </c>
      <c r="DC1" s="111"/>
      <c r="DD1" s="111"/>
      <c r="DE1" s="111"/>
      <c r="DF1" s="105" t="s">
        <v>110</v>
      </c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10" t="s">
        <v>105</v>
      </c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05" t="s">
        <v>144</v>
      </c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05"/>
      <c r="HC1" s="105"/>
      <c r="HD1" s="110" t="s">
        <v>115</v>
      </c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05" t="s">
        <v>125</v>
      </c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10" t="s">
        <v>126</v>
      </c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05" t="s">
        <v>130</v>
      </c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5"/>
      <c r="OY1" s="105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10"/>
      <c r="QG1" s="110"/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  <c r="RJ1" s="105"/>
      <c r="RK1" s="105"/>
      <c r="RL1" s="105"/>
      <c r="RM1" s="105"/>
      <c r="RN1" s="105"/>
      <c r="RO1" s="105"/>
      <c r="RP1" s="110"/>
      <c r="RQ1" s="110"/>
      <c r="RR1" s="110"/>
      <c r="RS1" s="110"/>
      <c r="RT1" s="110"/>
      <c r="RU1" s="110"/>
      <c r="RV1" s="110"/>
      <c r="RW1" s="110"/>
      <c r="RX1" s="110"/>
      <c r="RY1" s="110"/>
      <c r="RZ1" s="110"/>
      <c r="SA1" s="110"/>
      <c r="SB1" s="110"/>
      <c r="SC1" s="110"/>
      <c r="SD1" s="110"/>
      <c r="SE1" s="110"/>
      <c r="SF1" s="110"/>
      <c r="SG1" s="110"/>
      <c r="SH1" s="110"/>
      <c r="SI1" s="110"/>
      <c r="SJ1" s="110"/>
      <c r="SK1" s="110"/>
      <c r="SL1" s="110"/>
      <c r="SM1" s="110"/>
      <c r="SN1" s="110"/>
      <c r="SO1" s="110"/>
      <c r="SP1" s="110"/>
      <c r="SQ1" s="110"/>
      <c r="SR1" s="110"/>
      <c r="SS1" s="110"/>
      <c r="ST1" s="110"/>
      <c r="SU1" s="110"/>
      <c r="SV1" s="110"/>
      <c r="SW1" s="110"/>
      <c r="SX1" s="105" t="s">
        <v>72</v>
      </c>
      <c r="SY1" s="105"/>
      <c r="SZ1" s="105"/>
      <c r="TA1" s="105"/>
      <c r="TB1" s="105"/>
      <c r="TC1" s="105"/>
      <c r="TD1" s="105"/>
      <c r="TE1" s="105"/>
      <c r="TF1" s="105"/>
      <c r="TG1" s="105"/>
      <c r="TH1" s="105"/>
      <c r="TI1" s="105"/>
      <c r="TJ1" s="105"/>
      <c r="TK1" s="105"/>
      <c r="TL1" s="105"/>
      <c r="TM1" s="105"/>
      <c r="TN1" s="105"/>
      <c r="TO1" s="105"/>
      <c r="TP1" s="105"/>
      <c r="TQ1" s="105"/>
      <c r="TR1" s="105"/>
      <c r="TS1" s="105"/>
      <c r="TT1" s="105"/>
      <c r="TU1" s="105"/>
      <c r="TV1" s="105"/>
      <c r="TW1" s="105"/>
      <c r="TX1" s="105"/>
    </row>
    <row r="2" spans="1:544" x14ac:dyDescent="0.2">
      <c r="A2" s="102"/>
      <c r="B2" s="102"/>
      <c r="C2" s="102"/>
      <c r="D2" s="102"/>
      <c r="E2" s="102"/>
      <c r="F2" s="103"/>
      <c r="G2" s="102"/>
      <c r="H2" s="102"/>
      <c r="I2" s="102"/>
      <c r="J2" s="108"/>
      <c r="K2" s="104"/>
      <c r="L2" s="108"/>
      <c r="M2" s="104"/>
      <c r="N2" s="108"/>
      <c r="O2" s="104"/>
      <c r="P2" s="104"/>
      <c r="Q2" s="104"/>
      <c r="R2" s="104"/>
      <c r="S2" s="104"/>
      <c r="T2" s="108"/>
      <c r="U2" s="104"/>
      <c r="V2" s="107"/>
      <c r="W2" s="104"/>
      <c r="X2" s="104"/>
      <c r="Y2" s="106" t="s">
        <v>20</v>
      </c>
      <c r="Z2" s="106"/>
      <c r="AA2" s="106"/>
      <c r="AB2" s="106"/>
      <c r="AC2" s="106"/>
      <c r="AD2" s="106" t="s">
        <v>21</v>
      </c>
      <c r="AE2" s="106"/>
      <c r="AF2" s="106"/>
      <c r="AG2" s="106"/>
      <c r="AH2" s="106"/>
      <c r="AI2" s="106" t="s">
        <v>24</v>
      </c>
      <c r="AJ2" s="106"/>
      <c r="AK2" s="106"/>
      <c r="AL2" s="106"/>
      <c r="AM2" s="106"/>
      <c r="AN2" s="73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09" t="s">
        <v>20</v>
      </c>
      <c r="BA2" s="109"/>
      <c r="BB2" s="109"/>
      <c r="BC2" s="109"/>
      <c r="BD2" s="109"/>
      <c r="BE2" s="109" t="s">
        <v>21</v>
      </c>
      <c r="BF2" s="109"/>
      <c r="BG2" s="109"/>
      <c r="BH2" s="109"/>
      <c r="BI2" s="109"/>
      <c r="BJ2" s="109" t="s">
        <v>24</v>
      </c>
      <c r="BK2" s="109"/>
      <c r="BL2" s="109"/>
      <c r="BM2" s="109"/>
      <c r="BN2" s="109"/>
      <c r="BO2" s="72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06" t="s">
        <v>20</v>
      </c>
      <c r="CB2" s="106"/>
      <c r="CC2" s="106"/>
      <c r="CD2" s="106"/>
      <c r="CE2" s="106"/>
      <c r="CF2" s="106" t="s">
        <v>21</v>
      </c>
      <c r="CG2" s="106"/>
      <c r="CH2" s="106"/>
      <c r="CI2" s="106"/>
      <c r="CJ2" s="106"/>
      <c r="CK2" s="106" t="s">
        <v>24</v>
      </c>
      <c r="CL2" s="106"/>
      <c r="CM2" s="106"/>
      <c r="CN2" s="106"/>
      <c r="CO2" s="106"/>
      <c r="CP2" s="73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86" t="s">
        <v>11</v>
      </c>
      <c r="DE2" s="86" t="s">
        <v>18</v>
      </c>
      <c r="DF2" s="106" t="s">
        <v>20</v>
      </c>
      <c r="DG2" s="106"/>
      <c r="DH2" s="106"/>
      <c r="DI2" s="106"/>
      <c r="DJ2" s="106"/>
      <c r="DK2" s="106" t="s">
        <v>21</v>
      </c>
      <c r="DL2" s="106"/>
      <c r="DM2" s="106"/>
      <c r="DN2" s="106"/>
      <c r="DO2" s="106"/>
      <c r="DP2" s="106" t="s">
        <v>140</v>
      </c>
      <c r="DQ2" s="106"/>
      <c r="DR2" s="106"/>
      <c r="DS2" s="106"/>
      <c r="DT2" s="106"/>
      <c r="DU2" s="106" t="s">
        <v>24</v>
      </c>
      <c r="DV2" s="106"/>
      <c r="DW2" s="106"/>
      <c r="DX2" s="106"/>
      <c r="DY2" s="106"/>
      <c r="DZ2" s="73" t="s">
        <v>135</v>
      </c>
      <c r="EA2" s="73" t="s">
        <v>136</v>
      </c>
      <c r="EB2" s="73" t="s">
        <v>22</v>
      </c>
      <c r="EC2" s="73" t="s">
        <v>87</v>
      </c>
      <c r="ED2" s="73" t="s">
        <v>137</v>
      </c>
      <c r="EE2" s="73" t="s">
        <v>23</v>
      </c>
      <c r="EF2" s="73" t="s">
        <v>25</v>
      </c>
      <c r="EG2" s="73" t="s">
        <v>141</v>
      </c>
      <c r="EH2" s="73" t="s">
        <v>142</v>
      </c>
      <c r="EI2" s="73" t="s">
        <v>140</v>
      </c>
      <c r="EJ2" s="73" t="s">
        <v>138</v>
      </c>
      <c r="EK2" s="73" t="s">
        <v>139</v>
      </c>
      <c r="EL2" s="73" t="s">
        <v>24</v>
      </c>
      <c r="EM2" s="100" t="s">
        <v>19</v>
      </c>
      <c r="EN2" s="109" t="s">
        <v>20</v>
      </c>
      <c r="EO2" s="109"/>
      <c r="EP2" s="109"/>
      <c r="EQ2" s="109"/>
      <c r="ER2" s="109"/>
      <c r="ES2" s="109" t="s">
        <v>21</v>
      </c>
      <c r="ET2" s="109"/>
      <c r="EU2" s="109"/>
      <c r="EV2" s="109"/>
      <c r="EW2" s="109"/>
      <c r="EX2" s="109" t="s">
        <v>140</v>
      </c>
      <c r="EY2" s="109"/>
      <c r="EZ2" s="109"/>
      <c r="FA2" s="109"/>
      <c r="FB2" s="109"/>
      <c r="FC2" s="109" t="s">
        <v>24</v>
      </c>
      <c r="FD2" s="109"/>
      <c r="FE2" s="109"/>
      <c r="FF2" s="109"/>
      <c r="FG2" s="109"/>
      <c r="FH2" s="72" t="s">
        <v>135</v>
      </c>
      <c r="FI2" s="72" t="s">
        <v>136</v>
      </c>
      <c r="FJ2" s="72" t="s">
        <v>22</v>
      </c>
      <c r="FK2" s="72" t="s">
        <v>87</v>
      </c>
      <c r="FL2" s="72" t="s">
        <v>137</v>
      </c>
      <c r="FM2" s="72" t="s">
        <v>23</v>
      </c>
      <c r="FN2" s="72" t="s">
        <v>25</v>
      </c>
      <c r="FO2" s="72" t="s">
        <v>141</v>
      </c>
      <c r="FP2" s="72" t="s">
        <v>142</v>
      </c>
      <c r="FQ2" s="72" t="s">
        <v>140</v>
      </c>
      <c r="FR2" s="72" t="s">
        <v>138</v>
      </c>
      <c r="FS2" s="72" t="s">
        <v>139</v>
      </c>
      <c r="FT2" s="72" t="s">
        <v>24</v>
      </c>
      <c r="FU2" s="99" t="s">
        <v>19</v>
      </c>
      <c r="FV2" s="106" t="s">
        <v>20</v>
      </c>
      <c r="FW2" s="106"/>
      <c r="FX2" s="106"/>
      <c r="FY2" s="106"/>
      <c r="FZ2" s="106"/>
      <c r="GA2" s="106" t="s">
        <v>21</v>
      </c>
      <c r="GB2" s="106"/>
      <c r="GC2" s="106"/>
      <c r="GD2" s="106"/>
      <c r="GE2" s="106"/>
      <c r="GF2" s="106" t="s">
        <v>140</v>
      </c>
      <c r="GG2" s="106"/>
      <c r="GH2" s="106"/>
      <c r="GI2" s="106"/>
      <c r="GJ2" s="106"/>
      <c r="GK2" s="106" t="s">
        <v>24</v>
      </c>
      <c r="GL2" s="106"/>
      <c r="GM2" s="106"/>
      <c r="GN2" s="106"/>
      <c r="GO2" s="106"/>
      <c r="GP2" s="73" t="s">
        <v>135</v>
      </c>
      <c r="GQ2" s="73" t="s">
        <v>136</v>
      </c>
      <c r="GR2" s="73" t="s">
        <v>22</v>
      </c>
      <c r="GS2" s="73" t="s">
        <v>87</v>
      </c>
      <c r="GT2" s="73" t="s">
        <v>137</v>
      </c>
      <c r="GU2" s="73" t="s">
        <v>23</v>
      </c>
      <c r="GV2" s="73" t="s">
        <v>25</v>
      </c>
      <c r="GW2" s="73" t="s">
        <v>141</v>
      </c>
      <c r="GX2" s="73" t="s">
        <v>142</v>
      </c>
      <c r="GY2" s="73" t="s">
        <v>140</v>
      </c>
      <c r="GZ2" s="73" t="s">
        <v>138</v>
      </c>
      <c r="HA2" s="73" t="s">
        <v>139</v>
      </c>
      <c r="HB2" s="73" t="s">
        <v>24</v>
      </c>
      <c r="HC2" s="100" t="s">
        <v>19</v>
      </c>
      <c r="HD2" s="109" t="s">
        <v>20</v>
      </c>
      <c r="HE2" s="109"/>
      <c r="HF2" s="109"/>
      <c r="HG2" s="109"/>
      <c r="HH2" s="109"/>
      <c r="HI2" s="109" t="s">
        <v>21</v>
      </c>
      <c r="HJ2" s="109"/>
      <c r="HK2" s="109"/>
      <c r="HL2" s="109"/>
      <c r="HM2" s="109"/>
      <c r="HN2" s="109" t="s">
        <v>140</v>
      </c>
      <c r="HO2" s="109"/>
      <c r="HP2" s="109"/>
      <c r="HQ2" s="109"/>
      <c r="HR2" s="109"/>
      <c r="HS2" s="109" t="s">
        <v>24</v>
      </c>
      <c r="HT2" s="109"/>
      <c r="HU2" s="109"/>
      <c r="HV2" s="109"/>
      <c r="HW2" s="109"/>
      <c r="HX2" s="72" t="s">
        <v>135</v>
      </c>
      <c r="HY2" s="72" t="s">
        <v>136</v>
      </c>
      <c r="HZ2" s="72" t="s">
        <v>22</v>
      </c>
      <c r="IA2" s="72" t="s">
        <v>87</v>
      </c>
      <c r="IB2" s="72" t="s">
        <v>137</v>
      </c>
      <c r="IC2" s="72" t="s">
        <v>23</v>
      </c>
      <c r="ID2" s="72" t="s">
        <v>25</v>
      </c>
      <c r="IE2" s="72" t="s">
        <v>141</v>
      </c>
      <c r="IF2" s="72" t="s">
        <v>142</v>
      </c>
      <c r="IG2" s="72" t="s">
        <v>140</v>
      </c>
      <c r="IH2" s="72" t="s">
        <v>138</v>
      </c>
      <c r="II2" s="72" t="s">
        <v>139</v>
      </c>
      <c r="IJ2" s="72" t="s">
        <v>24</v>
      </c>
      <c r="IK2" s="99" t="s">
        <v>19</v>
      </c>
      <c r="IL2" s="106" t="s">
        <v>20</v>
      </c>
      <c r="IM2" s="106"/>
      <c r="IN2" s="106"/>
      <c r="IO2" s="106"/>
      <c r="IP2" s="106"/>
      <c r="IQ2" s="106" t="s">
        <v>21</v>
      </c>
      <c r="IR2" s="106"/>
      <c r="IS2" s="106"/>
      <c r="IT2" s="106"/>
      <c r="IU2" s="106"/>
      <c r="IV2" s="106" t="s">
        <v>140</v>
      </c>
      <c r="IW2" s="106"/>
      <c r="IX2" s="106"/>
      <c r="IY2" s="106"/>
      <c r="IZ2" s="106"/>
      <c r="JA2" s="106" t="s">
        <v>24</v>
      </c>
      <c r="JB2" s="106"/>
      <c r="JC2" s="106"/>
      <c r="JD2" s="106"/>
      <c r="JE2" s="106"/>
      <c r="JF2" s="73" t="s">
        <v>135</v>
      </c>
      <c r="JG2" s="73" t="s">
        <v>136</v>
      </c>
      <c r="JH2" s="73" t="s">
        <v>22</v>
      </c>
      <c r="JI2" s="73" t="s">
        <v>87</v>
      </c>
      <c r="JJ2" s="73" t="s">
        <v>137</v>
      </c>
      <c r="JK2" s="73" t="s">
        <v>23</v>
      </c>
      <c r="JL2" s="73" t="s">
        <v>25</v>
      </c>
      <c r="JM2" s="73" t="s">
        <v>141</v>
      </c>
      <c r="JN2" s="73" t="s">
        <v>142</v>
      </c>
      <c r="JO2" s="73" t="s">
        <v>140</v>
      </c>
      <c r="JP2" s="73" t="s">
        <v>138</v>
      </c>
      <c r="JQ2" s="73" t="s">
        <v>139</v>
      </c>
      <c r="JR2" s="73" t="s">
        <v>24</v>
      </c>
      <c r="JS2" s="100" t="s">
        <v>19</v>
      </c>
      <c r="JT2" s="109" t="s">
        <v>20</v>
      </c>
      <c r="JU2" s="109"/>
      <c r="JV2" s="109"/>
      <c r="JW2" s="109"/>
      <c r="JX2" s="109"/>
      <c r="JY2" s="109" t="s">
        <v>21</v>
      </c>
      <c r="JZ2" s="109"/>
      <c r="KA2" s="109"/>
      <c r="KB2" s="109"/>
      <c r="KC2" s="109"/>
      <c r="KD2" s="109" t="s">
        <v>140</v>
      </c>
      <c r="KE2" s="109"/>
      <c r="KF2" s="109"/>
      <c r="KG2" s="109"/>
      <c r="KH2" s="109"/>
      <c r="KI2" s="109" t="s">
        <v>24</v>
      </c>
      <c r="KJ2" s="109"/>
      <c r="KK2" s="109"/>
      <c r="KL2" s="109"/>
      <c r="KM2" s="109"/>
      <c r="KN2" s="72" t="s">
        <v>135</v>
      </c>
      <c r="KO2" s="72" t="s">
        <v>136</v>
      </c>
      <c r="KP2" s="72" t="s">
        <v>22</v>
      </c>
      <c r="KQ2" s="72" t="s">
        <v>87</v>
      </c>
      <c r="KR2" s="72" t="s">
        <v>137</v>
      </c>
      <c r="KS2" s="72" t="s">
        <v>23</v>
      </c>
      <c r="KT2" s="72" t="s">
        <v>25</v>
      </c>
      <c r="KU2" s="72" t="s">
        <v>141</v>
      </c>
      <c r="KV2" s="72" t="s">
        <v>142</v>
      </c>
      <c r="KW2" s="72" t="s">
        <v>140</v>
      </c>
      <c r="KX2" s="72" t="s">
        <v>138</v>
      </c>
      <c r="KY2" s="72" t="s">
        <v>139</v>
      </c>
      <c r="KZ2" s="72" t="s">
        <v>24</v>
      </c>
      <c r="LA2" s="99" t="s">
        <v>19</v>
      </c>
      <c r="LB2" s="106" t="s">
        <v>20</v>
      </c>
      <c r="LC2" s="106"/>
      <c r="LD2" s="106"/>
      <c r="LE2" s="106"/>
      <c r="LF2" s="106"/>
      <c r="LG2" s="106" t="s">
        <v>21</v>
      </c>
      <c r="LH2" s="106"/>
      <c r="LI2" s="106"/>
      <c r="LJ2" s="106"/>
      <c r="LK2" s="106"/>
      <c r="LL2" s="106" t="s">
        <v>140</v>
      </c>
      <c r="LM2" s="106"/>
      <c r="LN2" s="106"/>
      <c r="LO2" s="106"/>
      <c r="LP2" s="106"/>
      <c r="LQ2" s="106" t="s">
        <v>24</v>
      </c>
      <c r="LR2" s="106"/>
      <c r="LS2" s="106"/>
      <c r="LT2" s="106"/>
      <c r="LU2" s="106"/>
      <c r="LV2" s="73" t="s">
        <v>135</v>
      </c>
      <c r="LW2" s="73" t="s">
        <v>136</v>
      </c>
      <c r="LX2" s="73" t="s">
        <v>22</v>
      </c>
      <c r="LY2" s="73" t="s">
        <v>87</v>
      </c>
      <c r="LZ2" s="73" t="s">
        <v>137</v>
      </c>
      <c r="MA2" s="73" t="s">
        <v>23</v>
      </c>
      <c r="MB2" s="73" t="s">
        <v>25</v>
      </c>
      <c r="MC2" s="73" t="s">
        <v>141</v>
      </c>
      <c r="MD2" s="73" t="s">
        <v>142</v>
      </c>
      <c r="ME2" s="73" t="s">
        <v>140</v>
      </c>
      <c r="MF2" s="73" t="s">
        <v>138</v>
      </c>
      <c r="MG2" s="73" t="s">
        <v>139</v>
      </c>
      <c r="MH2" s="73" t="s">
        <v>24</v>
      </c>
      <c r="MI2" s="100" t="s">
        <v>19</v>
      </c>
      <c r="MJ2" s="109" t="s">
        <v>20</v>
      </c>
      <c r="MK2" s="109"/>
      <c r="ML2" s="109"/>
      <c r="MM2" s="109"/>
      <c r="MN2" s="109"/>
      <c r="MO2" s="109" t="s">
        <v>21</v>
      </c>
      <c r="MP2" s="109"/>
      <c r="MQ2" s="109"/>
      <c r="MR2" s="109"/>
      <c r="MS2" s="109"/>
      <c r="MT2" s="109" t="s">
        <v>140</v>
      </c>
      <c r="MU2" s="109"/>
      <c r="MV2" s="109"/>
      <c r="MW2" s="109"/>
      <c r="MX2" s="109"/>
      <c r="MY2" s="109" t="s">
        <v>24</v>
      </c>
      <c r="MZ2" s="109"/>
      <c r="NA2" s="109"/>
      <c r="NB2" s="109"/>
      <c r="NC2" s="109"/>
      <c r="ND2" s="72" t="s">
        <v>135</v>
      </c>
      <c r="NE2" s="72" t="s">
        <v>136</v>
      </c>
      <c r="NF2" s="72" t="s">
        <v>22</v>
      </c>
      <c r="NG2" s="72" t="s">
        <v>87</v>
      </c>
      <c r="NH2" s="72" t="s">
        <v>137</v>
      </c>
      <c r="NI2" s="72" t="s">
        <v>23</v>
      </c>
      <c r="NJ2" s="72" t="s">
        <v>25</v>
      </c>
      <c r="NK2" s="72" t="s">
        <v>141</v>
      </c>
      <c r="NL2" s="72" t="s">
        <v>142</v>
      </c>
      <c r="NM2" s="72" t="s">
        <v>140</v>
      </c>
      <c r="NN2" s="72" t="s">
        <v>138</v>
      </c>
      <c r="NO2" s="72" t="s">
        <v>139</v>
      </c>
      <c r="NP2" s="72" t="s">
        <v>24</v>
      </c>
      <c r="NQ2" s="99" t="s">
        <v>19</v>
      </c>
      <c r="NR2" s="106" t="s">
        <v>20</v>
      </c>
      <c r="NS2" s="106"/>
      <c r="NT2" s="106"/>
      <c r="NU2" s="106"/>
      <c r="NV2" s="106"/>
      <c r="NW2" s="106" t="s">
        <v>21</v>
      </c>
      <c r="NX2" s="106"/>
      <c r="NY2" s="106"/>
      <c r="NZ2" s="106"/>
      <c r="OA2" s="106"/>
      <c r="OB2" s="106" t="s">
        <v>140</v>
      </c>
      <c r="OC2" s="106"/>
      <c r="OD2" s="106"/>
      <c r="OE2" s="106"/>
      <c r="OF2" s="106"/>
      <c r="OG2" s="106" t="s">
        <v>24</v>
      </c>
      <c r="OH2" s="106"/>
      <c r="OI2" s="106"/>
      <c r="OJ2" s="106"/>
      <c r="OK2" s="106"/>
      <c r="OL2" s="73" t="s">
        <v>135</v>
      </c>
      <c r="OM2" s="73" t="s">
        <v>136</v>
      </c>
      <c r="ON2" s="73" t="s">
        <v>22</v>
      </c>
      <c r="OO2" s="73" t="s">
        <v>87</v>
      </c>
      <c r="OP2" s="73" t="s">
        <v>137</v>
      </c>
      <c r="OQ2" s="73" t="s">
        <v>23</v>
      </c>
      <c r="OR2" s="73" t="s">
        <v>25</v>
      </c>
      <c r="OS2" s="73" t="s">
        <v>141</v>
      </c>
      <c r="OT2" s="73" t="s">
        <v>142</v>
      </c>
      <c r="OU2" s="73" t="s">
        <v>140</v>
      </c>
      <c r="OV2" s="73" t="s">
        <v>138</v>
      </c>
      <c r="OW2" s="73" t="s">
        <v>139</v>
      </c>
      <c r="OX2" s="73" t="s">
        <v>24</v>
      </c>
      <c r="OY2" s="73" t="s">
        <v>19</v>
      </c>
      <c r="OZ2" s="109" t="s">
        <v>20</v>
      </c>
      <c r="PA2" s="109"/>
      <c r="PB2" s="109"/>
      <c r="PC2" s="109"/>
      <c r="PD2" s="109"/>
      <c r="PE2" s="109" t="s">
        <v>21</v>
      </c>
      <c r="PF2" s="109"/>
      <c r="PG2" s="109"/>
      <c r="PH2" s="109"/>
      <c r="PI2" s="109"/>
      <c r="PJ2" s="109" t="s">
        <v>140</v>
      </c>
      <c r="PK2" s="109"/>
      <c r="PL2" s="109"/>
      <c r="PM2" s="109"/>
      <c r="PN2" s="109"/>
      <c r="PO2" s="109" t="s">
        <v>24</v>
      </c>
      <c r="PP2" s="109"/>
      <c r="PQ2" s="109"/>
      <c r="PR2" s="109"/>
      <c r="PS2" s="109"/>
      <c r="PT2" s="72" t="s">
        <v>135</v>
      </c>
      <c r="PU2" s="72" t="s">
        <v>136</v>
      </c>
      <c r="PV2" s="72" t="s">
        <v>22</v>
      </c>
      <c r="PW2" s="72" t="s">
        <v>87</v>
      </c>
      <c r="PX2" s="72" t="s">
        <v>137</v>
      </c>
      <c r="PY2" s="72" t="s">
        <v>23</v>
      </c>
      <c r="PZ2" s="72" t="s">
        <v>25</v>
      </c>
      <c r="QA2" s="72" t="s">
        <v>141</v>
      </c>
      <c r="QB2" s="72" t="s">
        <v>142</v>
      </c>
      <c r="QC2" s="72" t="s">
        <v>140</v>
      </c>
      <c r="QD2" s="72" t="s">
        <v>138</v>
      </c>
      <c r="QE2" s="72" t="s">
        <v>139</v>
      </c>
      <c r="QF2" s="72" t="s">
        <v>24</v>
      </c>
      <c r="QG2" s="72" t="s">
        <v>19</v>
      </c>
      <c r="QH2" s="106" t="s">
        <v>20</v>
      </c>
      <c r="QI2" s="106"/>
      <c r="QJ2" s="106"/>
      <c r="QK2" s="106"/>
      <c r="QL2" s="106"/>
      <c r="QM2" s="106" t="s">
        <v>21</v>
      </c>
      <c r="QN2" s="106"/>
      <c r="QO2" s="106"/>
      <c r="QP2" s="106"/>
      <c r="QQ2" s="106"/>
      <c r="QR2" s="106" t="s">
        <v>140</v>
      </c>
      <c r="QS2" s="106"/>
      <c r="QT2" s="106"/>
      <c r="QU2" s="106"/>
      <c r="QV2" s="106"/>
      <c r="QW2" s="106" t="s">
        <v>24</v>
      </c>
      <c r="QX2" s="106"/>
      <c r="QY2" s="106"/>
      <c r="QZ2" s="106"/>
      <c r="RA2" s="106"/>
      <c r="RB2" s="73" t="s">
        <v>135</v>
      </c>
      <c r="RC2" s="73" t="s">
        <v>136</v>
      </c>
      <c r="RD2" s="73" t="s">
        <v>22</v>
      </c>
      <c r="RE2" s="73" t="s">
        <v>87</v>
      </c>
      <c r="RF2" s="73" t="s">
        <v>137</v>
      </c>
      <c r="RG2" s="73" t="s">
        <v>23</v>
      </c>
      <c r="RH2" s="73" t="s">
        <v>25</v>
      </c>
      <c r="RI2" s="73" t="s">
        <v>141</v>
      </c>
      <c r="RJ2" s="73" t="s">
        <v>142</v>
      </c>
      <c r="RK2" s="73" t="s">
        <v>140</v>
      </c>
      <c r="RL2" s="73" t="s">
        <v>138</v>
      </c>
      <c r="RM2" s="73" t="s">
        <v>139</v>
      </c>
      <c r="RN2" s="73" t="s">
        <v>24</v>
      </c>
      <c r="RO2" s="73" t="s">
        <v>19</v>
      </c>
      <c r="RP2" s="109" t="s">
        <v>20</v>
      </c>
      <c r="RQ2" s="109"/>
      <c r="RR2" s="109"/>
      <c r="RS2" s="109"/>
      <c r="RT2" s="109"/>
      <c r="RU2" s="109" t="s">
        <v>21</v>
      </c>
      <c r="RV2" s="109"/>
      <c r="RW2" s="109"/>
      <c r="RX2" s="109"/>
      <c r="RY2" s="109"/>
      <c r="RZ2" s="109" t="s">
        <v>140</v>
      </c>
      <c r="SA2" s="109"/>
      <c r="SB2" s="109"/>
      <c r="SC2" s="109"/>
      <c r="SD2" s="109"/>
      <c r="SE2" s="109" t="s">
        <v>24</v>
      </c>
      <c r="SF2" s="109"/>
      <c r="SG2" s="109"/>
      <c r="SH2" s="109"/>
      <c r="SI2" s="109"/>
      <c r="SJ2" s="72" t="s">
        <v>135</v>
      </c>
      <c r="SK2" s="72" t="s">
        <v>136</v>
      </c>
      <c r="SL2" s="72" t="s">
        <v>22</v>
      </c>
      <c r="SM2" s="72" t="s">
        <v>87</v>
      </c>
      <c r="SN2" s="72" t="s">
        <v>137</v>
      </c>
      <c r="SO2" s="72" t="s">
        <v>23</v>
      </c>
      <c r="SP2" s="72" t="s">
        <v>25</v>
      </c>
      <c r="SQ2" s="72" t="s">
        <v>141</v>
      </c>
      <c r="SR2" s="72" t="s">
        <v>142</v>
      </c>
      <c r="SS2" s="72" t="s">
        <v>140</v>
      </c>
      <c r="ST2" s="72" t="s">
        <v>138</v>
      </c>
      <c r="SU2" s="72" t="s">
        <v>139</v>
      </c>
      <c r="SV2" s="72" t="s">
        <v>24</v>
      </c>
      <c r="SW2" s="72" t="s">
        <v>19</v>
      </c>
      <c r="SX2" s="106" t="s">
        <v>20</v>
      </c>
      <c r="SY2" s="106"/>
      <c r="SZ2" s="106"/>
      <c r="TA2" s="106"/>
      <c r="TB2" s="106"/>
      <c r="TC2" s="106" t="s">
        <v>21</v>
      </c>
      <c r="TD2" s="106"/>
      <c r="TE2" s="106"/>
      <c r="TF2" s="106"/>
      <c r="TG2" s="106"/>
      <c r="TH2" s="106" t="s">
        <v>24</v>
      </c>
      <c r="TI2" s="106"/>
      <c r="TJ2" s="106"/>
      <c r="TK2" s="106"/>
      <c r="TL2" s="106"/>
      <c r="TM2" s="73"/>
      <c r="TN2" s="73" t="s">
        <v>135</v>
      </c>
      <c r="TO2" s="73" t="s">
        <v>136</v>
      </c>
      <c r="TP2" s="73" t="s">
        <v>22</v>
      </c>
      <c r="TQ2" s="73" t="s">
        <v>87</v>
      </c>
      <c r="TR2" s="73" t="s">
        <v>137</v>
      </c>
      <c r="TS2" s="73" t="s">
        <v>23</v>
      </c>
      <c r="TT2" s="73" t="s">
        <v>25</v>
      </c>
      <c r="TU2" s="73" t="s">
        <v>138</v>
      </c>
      <c r="TV2" s="73" t="s">
        <v>139</v>
      </c>
      <c r="TW2" s="73" t="s">
        <v>24</v>
      </c>
      <c r="TX2" s="73" t="s">
        <v>19</v>
      </c>
    </row>
    <row r="3" spans="1:544" x14ac:dyDescent="0.2">
      <c r="A3" s="102"/>
      <c r="B3" s="102"/>
      <c r="C3" s="102"/>
      <c r="D3" s="102"/>
      <c r="E3" s="102"/>
      <c r="F3" s="103"/>
      <c r="G3" s="102"/>
      <c r="H3" s="102"/>
      <c r="I3" s="102"/>
      <c r="J3" s="108"/>
      <c r="K3" s="104"/>
      <c r="L3" s="108"/>
      <c r="M3" s="104"/>
      <c r="N3" s="108"/>
      <c r="O3" s="104"/>
      <c r="P3" s="104"/>
      <c r="Q3" s="104"/>
      <c r="R3" s="104"/>
      <c r="S3" s="104"/>
      <c r="T3" s="108"/>
      <c r="U3" s="104"/>
      <c r="V3" s="107"/>
      <c r="W3" s="104"/>
      <c r="X3" s="104"/>
      <c r="Y3" s="73" t="s">
        <v>16</v>
      </c>
      <c r="Z3" s="73" t="s">
        <v>17</v>
      </c>
      <c r="AA3" s="73" t="s">
        <v>11</v>
      </c>
      <c r="AB3" s="73" t="s">
        <v>18</v>
      </c>
      <c r="AC3" s="73" t="s">
        <v>34</v>
      </c>
      <c r="AD3" s="73" t="s">
        <v>16</v>
      </c>
      <c r="AE3" s="73" t="s">
        <v>17</v>
      </c>
      <c r="AF3" s="73" t="s">
        <v>11</v>
      </c>
      <c r="AG3" s="73" t="s">
        <v>18</v>
      </c>
      <c r="AH3" s="73" t="s">
        <v>34</v>
      </c>
      <c r="AI3" s="73" t="s">
        <v>16</v>
      </c>
      <c r="AJ3" s="73" t="s">
        <v>17</v>
      </c>
      <c r="AK3" s="73" t="s">
        <v>11</v>
      </c>
      <c r="AL3" s="73" t="s">
        <v>18</v>
      </c>
      <c r="AM3" s="73" t="s">
        <v>34</v>
      </c>
      <c r="AN3" s="73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2" t="s">
        <v>16</v>
      </c>
      <c r="BA3" s="72" t="s">
        <v>17</v>
      </c>
      <c r="BB3" s="72" t="s">
        <v>11</v>
      </c>
      <c r="BC3" s="72" t="s">
        <v>18</v>
      </c>
      <c r="BD3" s="72" t="s">
        <v>34</v>
      </c>
      <c r="BE3" s="72" t="s">
        <v>16</v>
      </c>
      <c r="BF3" s="72" t="s">
        <v>17</v>
      </c>
      <c r="BG3" s="72" t="s">
        <v>11</v>
      </c>
      <c r="BH3" s="72" t="s">
        <v>18</v>
      </c>
      <c r="BI3" s="72" t="s">
        <v>34</v>
      </c>
      <c r="BJ3" s="72" t="s">
        <v>16</v>
      </c>
      <c r="BK3" s="72" t="s">
        <v>17</v>
      </c>
      <c r="BL3" s="72" t="s">
        <v>11</v>
      </c>
      <c r="BM3" s="72" t="s">
        <v>18</v>
      </c>
      <c r="BN3" s="72" t="s">
        <v>34</v>
      </c>
      <c r="BO3" s="72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3" t="s">
        <v>16</v>
      </c>
      <c r="CB3" s="73" t="s">
        <v>17</v>
      </c>
      <c r="CC3" s="73" t="s">
        <v>11</v>
      </c>
      <c r="CD3" s="73" t="s">
        <v>18</v>
      </c>
      <c r="CE3" s="73" t="s">
        <v>34</v>
      </c>
      <c r="CF3" s="73" t="s">
        <v>16</v>
      </c>
      <c r="CG3" s="73" t="s">
        <v>17</v>
      </c>
      <c r="CH3" s="73" t="s">
        <v>11</v>
      </c>
      <c r="CI3" s="73" t="s">
        <v>18</v>
      </c>
      <c r="CJ3" s="73" t="s">
        <v>34</v>
      </c>
      <c r="CK3" s="73" t="s">
        <v>16</v>
      </c>
      <c r="CL3" s="73" t="s">
        <v>17</v>
      </c>
      <c r="CM3" s="73" t="s">
        <v>11</v>
      </c>
      <c r="CN3" s="73" t="s">
        <v>18</v>
      </c>
      <c r="CO3" s="73" t="s">
        <v>34</v>
      </c>
      <c r="CP3" s="73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86"/>
      <c r="DE3" s="86"/>
      <c r="DF3" s="73" t="s">
        <v>16</v>
      </c>
      <c r="DG3" s="73" t="s">
        <v>17</v>
      </c>
      <c r="DH3" s="73" t="s">
        <v>11</v>
      </c>
      <c r="DI3" s="73" t="s">
        <v>18</v>
      </c>
      <c r="DJ3" s="73" t="s">
        <v>34</v>
      </c>
      <c r="DK3" s="73" t="s">
        <v>16</v>
      </c>
      <c r="DL3" s="73" t="s">
        <v>17</v>
      </c>
      <c r="DM3" s="73" t="s">
        <v>11</v>
      </c>
      <c r="DN3" s="73" t="s">
        <v>18</v>
      </c>
      <c r="DO3" s="73" t="s">
        <v>34</v>
      </c>
      <c r="DP3" s="73" t="s">
        <v>16</v>
      </c>
      <c r="DQ3" s="73" t="s">
        <v>17</v>
      </c>
      <c r="DR3" s="73" t="s">
        <v>11</v>
      </c>
      <c r="DS3" s="73" t="s">
        <v>18</v>
      </c>
      <c r="DT3" s="73" t="s">
        <v>34</v>
      </c>
      <c r="DU3" s="73" t="s">
        <v>16</v>
      </c>
      <c r="DV3" s="73" t="s">
        <v>17</v>
      </c>
      <c r="DW3" s="73" t="s">
        <v>11</v>
      </c>
      <c r="DX3" s="73" t="s">
        <v>18</v>
      </c>
      <c r="DY3" s="73" t="s">
        <v>34</v>
      </c>
      <c r="DZ3" s="10"/>
      <c r="EA3" s="10"/>
      <c r="EB3" s="9"/>
      <c r="EC3" s="9"/>
      <c r="ED3" s="9"/>
      <c r="EE3" s="9"/>
      <c r="EF3" s="9"/>
      <c r="EG3" s="9"/>
      <c r="EH3" s="9"/>
      <c r="EI3" s="9"/>
      <c r="EJ3" s="9"/>
      <c r="EK3" s="9"/>
      <c r="EL3" s="10"/>
      <c r="EM3" s="100"/>
      <c r="EN3" s="72" t="s">
        <v>16</v>
      </c>
      <c r="EO3" s="72" t="s">
        <v>17</v>
      </c>
      <c r="EP3" s="72" t="s">
        <v>11</v>
      </c>
      <c r="EQ3" s="72" t="s">
        <v>18</v>
      </c>
      <c r="ER3" s="72" t="s">
        <v>34</v>
      </c>
      <c r="ES3" s="72" t="s">
        <v>16</v>
      </c>
      <c r="ET3" s="72" t="s">
        <v>17</v>
      </c>
      <c r="EU3" s="72" t="s">
        <v>11</v>
      </c>
      <c r="EV3" s="72" t="s">
        <v>18</v>
      </c>
      <c r="EW3" s="72" t="s">
        <v>34</v>
      </c>
      <c r="EX3" s="72" t="s">
        <v>16</v>
      </c>
      <c r="EY3" s="72" t="s">
        <v>17</v>
      </c>
      <c r="EZ3" s="72" t="s">
        <v>11</v>
      </c>
      <c r="FA3" s="72" t="s">
        <v>18</v>
      </c>
      <c r="FB3" s="72" t="s">
        <v>34</v>
      </c>
      <c r="FC3" s="72" t="s">
        <v>16</v>
      </c>
      <c r="FD3" s="72" t="s">
        <v>17</v>
      </c>
      <c r="FE3" s="72" t="s">
        <v>11</v>
      </c>
      <c r="FF3" s="72" t="s">
        <v>18</v>
      </c>
      <c r="FG3" s="72" t="s">
        <v>34</v>
      </c>
      <c r="FH3" s="12"/>
      <c r="FI3" s="12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2"/>
      <c r="FU3" s="99"/>
      <c r="FV3" s="73" t="s">
        <v>16</v>
      </c>
      <c r="FW3" s="73" t="s">
        <v>17</v>
      </c>
      <c r="FX3" s="73" t="s">
        <v>11</v>
      </c>
      <c r="FY3" s="73" t="s">
        <v>18</v>
      </c>
      <c r="FZ3" s="73" t="s">
        <v>34</v>
      </c>
      <c r="GA3" s="73" t="s">
        <v>16</v>
      </c>
      <c r="GB3" s="73" t="s">
        <v>17</v>
      </c>
      <c r="GC3" s="73" t="s">
        <v>11</v>
      </c>
      <c r="GD3" s="73" t="s">
        <v>18</v>
      </c>
      <c r="GE3" s="73" t="s">
        <v>34</v>
      </c>
      <c r="GF3" s="73" t="s">
        <v>16</v>
      </c>
      <c r="GG3" s="73" t="s">
        <v>17</v>
      </c>
      <c r="GH3" s="73" t="s">
        <v>11</v>
      </c>
      <c r="GI3" s="73" t="s">
        <v>18</v>
      </c>
      <c r="GJ3" s="73" t="s">
        <v>34</v>
      </c>
      <c r="GK3" s="73" t="s">
        <v>16</v>
      </c>
      <c r="GL3" s="73" t="s">
        <v>17</v>
      </c>
      <c r="GM3" s="73" t="s">
        <v>11</v>
      </c>
      <c r="GN3" s="73" t="s">
        <v>18</v>
      </c>
      <c r="GO3" s="73" t="s">
        <v>34</v>
      </c>
      <c r="GP3" s="10"/>
      <c r="GQ3" s="10"/>
      <c r="GR3" s="9"/>
      <c r="GS3" s="9"/>
      <c r="GT3" s="9"/>
      <c r="GU3" s="9"/>
      <c r="GV3" s="9"/>
      <c r="GW3" s="9"/>
      <c r="GX3" s="9"/>
      <c r="GY3" s="9"/>
      <c r="GZ3" s="9"/>
      <c r="HA3" s="9"/>
      <c r="HB3" s="10"/>
      <c r="HC3" s="100"/>
      <c r="HD3" s="72" t="s">
        <v>16</v>
      </c>
      <c r="HE3" s="72" t="s">
        <v>17</v>
      </c>
      <c r="HF3" s="72" t="s">
        <v>11</v>
      </c>
      <c r="HG3" s="72" t="s">
        <v>18</v>
      </c>
      <c r="HH3" s="72" t="s">
        <v>34</v>
      </c>
      <c r="HI3" s="72" t="s">
        <v>16</v>
      </c>
      <c r="HJ3" s="72" t="s">
        <v>17</v>
      </c>
      <c r="HK3" s="72" t="s">
        <v>11</v>
      </c>
      <c r="HL3" s="72" t="s">
        <v>18</v>
      </c>
      <c r="HM3" s="72" t="s">
        <v>34</v>
      </c>
      <c r="HN3" s="72" t="s">
        <v>16</v>
      </c>
      <c r="HO3" s="72" t="s">
        <v>17</v>
      </c>
      <c r="HP3" s="72" t="s">
        <v>11</v>
      </c>
      <c r="HQ3" s="72" t="s">
        <v>18</v>
      </c>
      <c r="HR3" s="72" t="s">
        <v>34</v>
      </c>
      <c r="HS3" s="72" t="s">
        <v>16</v>
      </c>
      <c r="HT3" s="72" t="s">
        <v>17</v>
      </c>
      <c r="HU3" s="72" t="s">
        <v>11</v>
      </c>
      <c r="HV3" s="72" t="s">
        <v>18</v>
      </c>
      <c r="HW3" s="72" t="s">
        <v>34</v>
      </c>
      <c r="HX3" s="12"/>
      <c r="HY3" s="12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2"/>
      <c r="IK3" s="99"/>
      <c r="IL3" s="73" t="s">
        <v>16</v>
      </c>
      <c r="IM3" s="73" t="s">
        <v>17</v>
      </c>
      <c r="IN3" s="73" t="s">
        <v>11</v>
      </c>
      <c r="IO3" s="73" t="s">
        <v>18</v>
      </c>
      <c r="IP3" s="73" t="s">
        <v>34</v>
      </c>
      <c r="IQ3" s="73" t="s">
        <v>16</v>
      </c>
      <c r="IR3" s="73" t="s">
        <v>17</v>
      </c>
      <c r="IS3" s="73" t="s">
        <v>11</v>
      </c>
      <c r="IT3" s="73" t="s">
        <v>18</v>
      </c>
      <c r="IU3" s="73" t="s">
        <v>34</v>
      </c>
      <c r="IV3" s="73" t="s">
        <v>16</v>
      </c>
      <c r="IW3" s="73" t="s">
        <v>17</v>
      </c>
      <c r="IX3" s="73" t="s">
        <v>11</v>
      </c>
      <c r="IY3" s="73" t="s">
        <v>18</v>
      </c>
      <c r="IZ3" s="73" t="s">
        <v>34</v>
      </c>
      <c r="JA3" s="73" t="s">
        <v>16</v>
      </c>
      <c r="JB3" s="73" t="s">
        <v>17</v>
      </c>
      <c r="JC3" s="73" t="s">
        <v>11</v>
      </c>
      <c r="JD3" s="73" t="s">
        <v>18</v>
      </c>
      <c r="JE3" s="73" t="s">
        <v>34</v>
      </c>
      <c r="JF3" s="10"/>
      <c r="JG3" s="10"/>
      <c r="JH3" s="9"/>
      <c r="JI3" s="9"/>
      <c r="JJ3" s="9"/>
      <c r="JK3" s="9"/>
      <c r="JL3" s="9"/>
      <c r="JM3" s="9"/>
      <c r="JN3" s="9"/>
      <c r="JO3" s="9"/>
      <c r="JP3" s="9"/>
      <c r="JQ3" s="9"/>
      <c r="JR3" s="10"/>
      <c r="JS3" s="100"/>
      <c r="JT3" s="72" t="s">
        <v>16</v>
      </c>
      <c r="JU3" s="72" t="s">
        <v>17</v>
      </c>
      <c r="JV3" s="72" t="s">
        <v>11</v>
      </c>
      <c r="JW3" s="72" t="s">
        <v>18</v>
      </c>
      <c r="JX3" s="72" t="s">
        <v>34</v>
      </c>
      <c r="JY3" s="72" t="s">
        <v>16</v>
      </c>
      <c r="JZ3" s="72" t="s">
        <v>17</v>
      </c>
      <c r="KA3" s="72" t="s">
        <v>11</v>
      </c>
      <c r="KB3" s="72" t="s">
        <v>18</v>
      </c>
      <c r="KC3" s="72" t="s">
        <v>34</v>
      </c>
      <c r="KD3" s="72" t="s">
        <v>16</v>
      </c>
      <c r="KE3" s="72" t="s">
        <v>17</v>
      </c>
      <c r="KF3" s="72" t="s">
        <v>11</v>
      </c>
      <c r="KG3" s="72" t="s">
        <v>18</v>
      </c>
      <c r="KH3" s="72" t="s">
        <v>34</v>
      </c>
      <c r="KI3" s="72" t="s">
        <v>16</v>
      </c>
      <c r="KJ3" s="72" t="s">
        <v>17</v>
      </c>
      <c r="KK3" s="72" t="s">
        <v>11</v>
      </c>
      <c r="KL3" s="72" t="s">
        <v>18</v>
      </c>
      <c r="KM3" s="72" t="s">
        <v>34</v>
      </c>
      <c r="KN3" s="12"/>
      <c r="KO3" s="12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2"/>
      <c r="LA3" s="99"/>
      <c r="LB3" s="73" t="s">
        <v>16</v>
      </c>
      <c r="LC3" s="73" t="s">
        <v>17</v>
      </c>
      <c r="LD3" s="73" t="s">
        <v>11</v>
      </c>
      <c r="LE3" s="73" t="s">
        <v>18</v>
      </c>
      <c r="LF3" s="73" t="s">
        <v>34</v>
      </c>
      <c r="LG3" s="73" t="s">
        <v>16</v>
      </c>
      <c r="LH3" s="73" t="s">
        <v>17</v>
      </c>
      <c r="LI3" s="73" t="s">
        <v>11</v>
      </c>
      <c r="LJ3" s="73" t="s">
        <v>18</v>
      </c>
      <c r="LK3" s="73" t="s">
        <v>34</v>
      </c>
      <c r="LL3" s="73" t="s">
        <v>16</v>
      </c>
      <c r="LM3" s="73" t="s">
        <v>17</v>
      </c>
      <c r="LN3" s="73" t="s">
        <v>11</v>
      </c>
      <c r="LO3" s="73" t="s">
        <v>18</v>
      </c>
      <c r="LP3" s="73" t="s">
        <v>34</v>
      </c>
      <c r="LQ3" s="73" t="s">
        <v>16</v>
      </c>
      <c r="LR3" s="73" t="s">
        <v>17</v>
      </c>
      <c r="LS3" s="73" t="s">
        <v>11</v>
      </c>
      <c r="LT3" s="73" t="s">
        <v>18</v>
      </c>
      <c r="LU3" s="73" t="s">
        <v>34</v>
      </c>
      <c r="LV3" s="10"/>
      <c r="LW3" s="10"/>
      <c r="LX3" s="9"/>
      <c r="LY3" s="9"/>
      <c r="LZ3" s="9"/>
      <c r="MA3" s="9"/>
      <c r="MB3" s="9"/>
      <c r="MC3" s="9"/>
      <c r="MD3" s="9"/>
      <c r="ME3" s="9"/>
      <c r="MF3" s="9"/>
      <c r="MG3" s="9"/>
      <c r="MH3" s="10"/>
      <c r="MI3" s="100"/>
      <c r="MJ3" s="72" t="s">
        <v>16</v>
      </c>
      <c r="MK3" s="72" t="s">
        <v>17</v>
      </c>
      <c r="ML3" s="72" t="s">
        <v>11</v>
      </c>
      <c r="MM3" s="72" t="s">
        <v>18</v>
      </c>
      <c r="MN3" s="72" t="s">
        <v>34</v>
      </c>
      <c r="MO3" s="72" t="s">
        <v>16</v>
      </c>
      <c r="MP3" s="72" t="s">
        <v>17</v>
      </c>
      <c r="MQ3" s="72" t="s">
        <v>11</v>
      </c>
      <c r="MR3" s="72" t="s">
        <v>18</v>
      </c>
      <c r="MS3" s="72" t="s">
        <v>34</v>
      </c>
      <c r="MT3" s="72" t="s">
        <v>16</v>
      </c>
      <c r="MU3" s="72" t="s">
        <v>17</v>
      </c>
      <c r="MV3" s="72" t="s">
        <v>11</v>
      </c>
      <c r="MW3" s="72" t="s">
        <v>18</v>
      </c>
      <c r="MX3" s="72" t="s">
        <v>34</v>
      </c>
      <c r="MY3" s="72" t="s">
        <v>16</v>
      </c>
      <c r="MZ3" s="72" t="s">
        <v>17</v>
      </c>
      <c r="NA3" s="72" t="s">
        <v>11</v>
      </c>
      <c r="NB3" s="72" t="s">
        <v>18</v>
      </c>
      <c r="NC3" s="72" t="s">
        <v>34</v>
      </c>
      <c r="ND3" s="12"/>
      <c r="NE3" s="12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2"/>
      <c r="NQ3" s="99"/>
      <c r="NR3" s="73" t="s">
        <v>16</v>
      </c>
      <c r="NS3" s="73" t="s">
        <v>17</v>
      </c>
      <c r="NT3" s="73" t="s">
        <v>11</v>
      </c>
      <c r="NU3" s="73" t="s">
        <v>18</v>
      </c>
      <c r="NV3" s="73" t="s">
        <v>34</v>
      </c>
      <c r="NW3" s="73" t="s">
        <v>16</v>
      </c>
      <c r="NX3" s="73" t="s">
        <v>17</v>
      </c>
      <c r="NY3" s="73" t="s">
        <v>11</v>
      </c>
      <c r="NZ3" s="73" t="s">
        <v>18</v>
      </c>
      <c r="OA3" s="73" t="s">
        <v>34</v>
      </c>
      <c r="OB3" s="73" t="s">
        <v>16</v>
      </c>
      <c r="OC3" s="73" t="s">
        <v>17</v>
      </c>
      <c r="OD3" s="73" t="s">
        <v>11</v>
      </c>
      <c r="OE3" s="73" t="s">
        <v>18</v>
      </c>
      <c r="OF3" s="73" t="s">
        <v>34</v>
      </c>
      <c r="OG3" s="73" t="s">
        <v>16</v>
      </c>
      <c r="OH3" s="73" t="s">
        <v>17</v>
      </c>
      <c r="OI3" s="73" t="s">
        <v>11</v>
      </c>
      <c r="OJ3" s="73" t="s">
        <v>18</v>
      </c>
      <c r="OK3" s="73" t="s">
        <v>34</v>
      </c>
      <c r="OL3" s="10"/>
      <c r="OM3" s="10"/>
      <c r="ON3" s="9"/>
      <c r="OO3" s="9"/>
      <c r="OP3" s="9"/>
      <c r="OQ3" s="9"/>
      <c r="OR3" s="9"/>
      <c r="OS3" s="9"/>
      <c r="OT3" s="9"/>
      <c r="OU3" s="9"/>
      <c r="OV3" s="9"/>
      <c r="OW3" s="9"/>
      <c r="OX3" s="10"/>
      <c r="OY3" s="10"/>
      <c r="OZ3" s="72" t="s">
        <v>16</v>
      </c>
      <c r="PA3" s="72" t="s">
        <v>17</v>
      </c>
      <c r="PB3" s="72" t="s">
        <v>11</v>
      </c>
      <c r="PC3" s="72" t="s">
        <v>18</v>
      </c>
      <c r="PD3" s="72" t="s">
        <v>34</v>
      </c>
      <c r="PE3" s="72" t="s">
        <v>16</v>
      </c>
      <c r="PF3" s="72" t="s">
        <v>17</v>
      </c>
      <c r="PG3" s="72" t="s">
        <v>11</v>
      </c>
      <c r="PH3" s="72" t="s">
        <v>18</v>
      </c>
      <c r="PI3" s="72" t="s">
        <v>34</v>
      </c>
      <c r="PJ3" s="72" t="s">
        <v>16</v>
      </c>
      <c r="PK3" s="72" t="s">
        <v>17</v>
      </c>
      <c r="PL3" s="72" t="s">
        <v>11</v>
      </c>
      <c r="PM3" s="72" t="s">
        <v>18</v>
      </c>
      <c r="PN3" s="72" t="s">
        <v>34</v>
      </c>
      <c r="PO3" s="72" t="s">
        <v>16</v>
      </c>
      <c r="PP3" s="72" t="s">
        <v>17</v>
      </c>
      <c r="PQ3" s="72" t="s">
        <v>11</v>
      </c>
      <c r="PR3" s="72" t="s">
        <v>18</v>
      </c>
      <c r="PS3" s="72" t="s">
        <v>34</v>
      </c>
      <c r="PT3" s="12"/>
      <c r="PU3" s="12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2"/>
      <c r="QG3" s="12"/>
      <c r="QH3" s="73" t="s">
        <v>16</v>
      </c>
      <c r="QI3" s="73" t="s">
        <v>17</v>
      </c>
      <c r="QJ3" s="73" t="s">
        <v>11</v>
      </c>
      <c r="QK3" s="73" t="s">
        <v>18</v>
      </c>
      <c r="QL3" s="73" t="s">
        <v>34</v>
      </c>
      <c r="QM3" s="73" t="s">
        <v>16</v>
      </c>
      <c r="QN3" s="73" t="s">
        <v>17</v>
      </c>
      <c r="QO3" s="73" t="s">
        <v>11</v>
      </c>
      <c r="QP3" s="73" t="s">
        <v>18</v>
      </c>
      <c r="QQ3" s="73" t="s">
        <v>34</v>
      </c>
      <c r="QR3" s="73" t="s">
        <v>16</v>
      </c>
      <c r="QS3" s="73" t="s">
        <v>17</v>
      </c>
      <c r="QT3" s="73" t="s">
        <v>11</v>
      </c>
      <c r="QU3" s="73" t="s">
        <v>18</v>
      </c>
      <c r="QV3" s="73" t="s">
        <v>34</v>
      </c>
      <c r="QW3" s="73" t="s">
        <v>16</v>
      </c>
      <c r="QX3" s="73" t="s">
        <v>17</v>
      </c>
      <c r="QY3" s="73" t="s">
        <v>11</v>
      </c>
      <c r="QZ3" s="73" t="s">
        <v>18</v>
      </c>
      <c r="RA3" s="73" t="s">
        <v>34</v>
      </c>
      <c r="RB3" s="10"/>
      <c r="RC3" s="10"/>
      <c r="RD3" s="9"/>
      <c r="RE3" s="9"/>
      <c r="RF3" s="9"/>
      <c r="RG3" s="9"/>
      <c r="RH3" s="9"/>
      <c r="RI3" s="9"/>
      <c r="RJ3" s="9"/>
      <c r="RK3" s="9"/>
      <c r="RL3" s="9"/>
      <c r="RM3" s="9"/>
      <c r="RN3" s="10"/>
      <c r="RO3" s="10"/>
      <c r="RP3" s="72" t="s">
        <v>16</v>
      </c>
      <c r="RQ3" s="72" t="s">
        <v>17</v>
      </c>
      <c r="RR3" s="72" t="s">
        <v>11</v>
      </c>
      <c r="RS3" s="72" t="s">
        <v>18</v>
      </c>
      <c r="RT3" s="72" t="s">
        <v>34</v>
      </c>
      <c r="RU3" s="72" t="s">
        <v>16</v>
      </c>
      <c r="RV3" s="72" t="s">
        <v>17</v>
      </c>
      <c r="RW3" s="72" t="s">
        <v>11</v>
      </c>
      <c r="RX3" s="72" t="s">
        <v>18</v>
      </c>
      <c r="RY3" s="72" t="s">
        <v>34</v>
      </c>
      <c r="RZ3" s="72" t="s">
        <v>16</v>
      </c>
      <c r="SA3" s="72" t="s">
        <v>17</v>
      </c>
      <c r="SB3" s="72" t="s">
        <v>11</v>
      </c>
      <c r="SC3" s="72" t="s">
        <v>18</v>
      </c>
      <c r="SD3" s="72" t="s">
        <v>34</v>
      </c>
      <c r="SE3" s="72" t="s">
        <v>16</v>
      </c>
      <c r="SF3" s="72" t="s">
        <v>17</v>
      </c>
      <c r="SG3" s="72" t="s">
        <v>11</v>
      </c>
      <c r="SH3" s="72" t="s">
        <v>18</v>
      </c>
      <c r="SI3" s="72" t="s">
        <v>34</v>
      </c>
      <c r="SJ3" s="12"/>
      <c r="SK3" s="12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2"/>
      <c r="SW3" s="12"/>
      <c r="SX3" s="73" t="s">
        <v>16</v>
      </c>
      <c r="SY3" s="73" t="s">
        <v>17</v>
      </c>
      <c r="SZ3" s="73" t="s">
        <v>11</v>
      </c>
      <c r="TA3" s="73" t="s">
        <v>18</v>
      </c>
      <c r="TB3" s="73" t="s">
        <v>34</v>
      </c>
      <c r="TC3" s="73" t="s">
        <v>16</v>
      </c>
      <c r="TD3" s="73" t="s">
        <v>17</v>
      </c>
      <c r="TE3" s="73" t="s">
        <v>11</v>
      </c>
      <c r="TF3" s="73" t="s">
        <v>18</v>
      </c>
      <c r="TG3" s="73" t="s">
        <v>34</v>
      </c>
      <c r="TH3" s="73" t="s">
        <v>16</v>
      </c>
      <c r="TI3" s="73" t="s">
        <v>17</v>
      </c>
      <c r="TJ3" s="73" t="s">
        <v>11</v>
      </c>
      <c r="TK3" s="73" t="s">
        <v>18</v>
      </c>
      <c r="TL3" s="73" t="s">
        <v>34</v>
      </c>
      <c r="TM3" s="73" t="s">
        <v>60</v>
      </c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</row>
    <row r="4" spans="1:544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27</v>
      </c>
      <c r="C4" s="7" t="s">
        <v>9</v>
      </c>
      <c r="D4" s="18">
        <v>1997</v>
      </c>
      <c r="E4" s="14">
        <f>SUM(J4:V4)+SUM(J4:T4)*0.0000001+SUM(J4)*0.0000000000001</f>
        <v>250.10627492263052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Z4&gt;=EM$17,DZ4&lt;&gt;"",EB4&gt;=EM$21,EB4&lt;&gt;""),AND(EC4&gt;=EM$17,EC4&lt;&gt;"",EE4&gt;=EM$21,EE4&lt;&gt;""),AND(EG4&gt;=EM$17,EG4&lt;&gt;"",EI4&gt;=EM$21,EI4&lt;&gt;""),AND(EJ4&gt;=EM$17,EJ4&lt;&gt;"",EL4&gt;=EM$21,EL4&lt;&gt;""),AND(FH4&gt;=FU$17,FH4&lt;&gt;"",FJ4&gt;=FU$21,FJ4&lt;&gt;""),AND(FK4&gt;=FU$17,FK4&lt;&gt;"",FM4&gt;=FU$21,FM4&lt;&gt;""),AND(FO4&gt;=FU$17,FO4&lt;&gt;"",FQ4&gt;=FU$21,FQ4&lt;&gt;""),AND(FR4&gt;=FU$17,FR4&lt;&gt;"",FT4&gt;=FU$21,FT4&lt;&gt;""),AND(GP4&gt;=HC$17,GP4&lt;&gt;"",GR4&gt;=HC$21,GR4&lt;&gt;""),AND(GS4&gt;=HC$17,GS4&lt;&gt;"",GU4&gt;=HC$21,GU4&lt;&gt;""),AND(GW4&gt;=HC$17,GW4&lt;&gt;"",GY4&gt;=HC$21,GY4&lt;&gt;""),AND(GZ4&gt;=HC$17,GZ4&lt;&gt;"",HB4&gt;=HC$21,HB4&lt;&gt;""),AND(HX4&gt;=IK$17,HX4&lt;&gt;"",HZ4&gt;=IK$21,HZ4&lt;&gt;""),AND(IA4&gt;=IK$17,IA4&lt;&gt;"",IC4&gt;=IK$21,IC4&lt;&gt;""),AND(IE4&gt;=IK$17,IE4&lt;&gt;"",IG4&gt;=IK$21,IG4&lt;&gt;""),AND(IH4&gt;=IK$17,IH4&lt;&gt;"",IJ4&gt;=IK$21,IJ4&lt;&gt;""),AND(JF4&gt;=JS$17,JF4&lt;&gt;"",JH4&gt;=JS$21,JH4&lt;&gt;""),AND(JI4&gt;=JS$17,JI4&lt;&gt;"",JK4&gt;=JS$21,JK4&lt;&gt;""),AND(JM4&gt;=JS$17,JM4&lt;&gt;"",JO4&gt;=JS$21,JO4&lt;&gt;""),AND(JP4&gt;=JS$17,JP4&lt;&gt;"",JR4&gt;=JS$21,JR4&lt;&gt;""),AND(KN4&gt;=LA$17,KN4&lt;&gt;"",KP4&gt;=LA$21,KP4&lt;&gt;""),AND(KQ4&gt;=LA$17,KQ4&lt;&gt;"",KS4&gt;=LA$21,KS4&lt;&gt;""),AND(KU4&gt;=LA$17,KU4&lt;&gt;"",KW4&gt;=LA$21,KW4&lt;&gt;""),AND(KX4&gt;=LA$17,KX4&lt;&gt;"",KZ4&gt;=LA$21,KZ4&lt;&gt;""),AND(LV4&gt;=MI$17,LV4&lt;&gt;"",LX4&gt;=MI$21,LX4&lt;&gt;""),AND(LY4&gt;=MI$17,LY4&lt;&gt;"",MA4&gt;=MI$21,MA4&lt;&gt;""),AND(MC4&gt;=MI$17,MC4&lt;&gt;"",ME4&gt;=MI$21,ME4&lt;&gt;""),AND(MF4&gt;=MI$17,MF4&lt;&gt;"",MH4&gt;=MI$21,MH4&lt;&gt;""),AND(ND4&gt;=NQ$17,ND4&lt;&gt;"",NF4&gt;=NQ$21,NF4&lt;&gt;""),AND(NG4&gt;=NQ$17,NG4&lt;&gt;"",NI4&gt;=NQ$21,NI4&lt;&gt;""),AND(NK4&gt;=NQ$17,NK4&lt;&gt;"",NM4&gt;=NQ$21,NM4&lt;&gt;""),AND(NN4&gt;=NQ$17,NN4&lt;&gt;"",NP4&gt;=NQ$21,NP4&lt;&gt;""),AND(OL4&gt;=OY$17,OL4&lt;&gt;"",ON4&gt;=OY$21,ON4&lt;&gt;""),AND(OO4&gt;=OY$17,OO4&lt;&gt;"",OQ4&gt;=OY$21,OQ4&lt;&gt;""),AND(OS4&gt;=OY$17,OS4&lt;&gt;"",OU4&gt;=OY$21,OU4&lt;&gt;""),AND(OV4&gt;=OY$17,OV4&lt;&gt;"",OX4&gt;=OY$21,OX4&lt;&gt;""),AND(PT4&gt;=QG$17,PT4&lt;&gt;"",PV4&gt;=QG$21,PV4&lt;&gt;""),AND(PW4&gt;=QG$17,PW4&lt;&gt;"",PY4&gt;=QG$21,PY4&lt;&gt;""),AND(QA4&gt;=QG$17,QA4&lt;&gt;"",QC4&gt;=QG$21,QC4&lt;&gt;""),AND(QD4&gt;=QG$17,QD4&lt;&gt;"",QF4&gt;=QG$21,QF4&lt;&gt;""),AND(RB4&gt;=RO$17,RB4&lt;&gt;"",RD4&gt;=RO$21,RD4&lt;&gt;""),AND(RE4&gt;=RO$17,RE4&lt;&gt;"",RG4&gt;=RO$21,RG4&lt;&gt;""),AND(RI4&gt;=RO$17,RI4&lt;&gt;"",RK4&gt;=RO$21,RK4&lt;&gt;""),AND(RL4&gt;=RO$17,RL4&lt;&gt;"",RN4&gt;=RO$21,RN4&lt;&gt;""),AND(SJ4&gt;=SW$17,SJ4&lt;&gt;"",SL4&gt;=SW$21,SL4&lt;&gt;""),AND(SM4&gt;=SW$17,SM4&lt;&gt;"",SO4&gt;=SW$21,SO4&lt;&gt;""),AND(SQ4&gt;=SW$17,SQ4&lt;&gt;"",SS4&gt;=SW$21,SS4&lt;&gt;""),AND(ST4&gt;=SW$17,ST4&lt;&gt;"",SV4&gt;=SW$21,SV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EB4&gt;=EM$21,EB4&lt;&gt;""),AND(EE4&gt;=EM$21,EE4&lt;&gt;""),AND(EI4&gt;=EM$21,EI4&lt;&gt;""),AND(EL4&gt;=EM$21,EL4&lt;&gt;""),AND(FJ4&gt;=FU$21,FJ4&lt;&gt;""),AND(FM4&gt;=FU$21,FM4&lt;&gt;""),AND(FQ4&gt;=FU$21,FQ4&lt;&gt;""),AND(FT4&gt;=FU$21,FT4&lt;&gt;""),AND(GR4&gt;=HC$21,GR4&lt;&gt;""),AND(GU4&gt;=HC$21,GU4&lt;&gt;""),AND(GY4&gt;=HC$21,GY4&lt;&gt;""),AND(HB4&gt;=HC$21,HB4&lt;&gt;""),AND(HZ4&gt;=IK$21,HZ4&lt;&gt;""),AND(IC4&gt;=IK$21,IC4&lt;&gt;""),AND(IG4&gt;=IK$21,IG4&lt;&gt;""),AND(IJ4&gt;=IK$21,IJ4&lt;&gt;""),AND(JH4&gt;=JS$21,JH4&lt;&gt;""),AND(JK4&gt;=JS$21,JK4&lt;&gt;""),AND(JO4&gt;=JS$21,JO4&lt;&gt;""),AND(JR4&gt;=JS$21,JR4&lt;&gt;""),AND(KP4&gt;=LA$21,KP4&lt;&gt;""),AND(KS4&gt;=LA$21,KS4&lt;&gt;""),AND(KW4&gt;=LA$21,KW4&lt;&gt;""),AND(KZ4&gt;=LA$21,KZ4&lt;&gt;""),AND(LX4&gt;=MI$21,LX4&lt;&gt;""),AND(MA4&gt;=MI$21,MA4&lt;&gt;""),AND(ME4&gt;=MI$21,ME4&lt;&gt;""),AND(MH4&gt;=MI$21,MH4&lt;&gt;""),AND(NF4&gt;=NQ$21,NF4&lt;&gt;""),AND(NI4&gt;=NQ$21,NI4&lt;&gt;""),AND(NM4&gt;=NQ$21,NM4&lt;&gt;""),AND(NP4&gt;=NQ$21,NP4&lt;&gt;""),AND(ON4&gt;=OY$21,ON4&lt;&gt;""),AND(OQ4&gt;=OY$21,OQ4&lt;&gt;""),AND(OU4&gt;=OY$21,OU4&lt;&gt;""),AND(OX4&gt;=OY$21,OX4&lt;&gt;""),AND(PV4&gt;=QG$21,PV4&lt;&gt;""),AND(PY4&gt;=QG$21,PY4&lt;&gt;""),AND(QC4&gt;=QG$21,QC4&lt;&gt;""),AND(QF4&gt;=QG$21,QF4&lt;&gt;""),AND(RD4&gt;=RO$21,RD4&lt;&gt;""),AND(RG4&gt;=RO$21,RG4&lt;&gt;""),AND(RK4&gt;=RO$21,RK4&lt;&gt;""),AND(RN4&gt;=RO$21,RN4&lt;&gt;""),AND(SL4&gt;=SW$21,SL4&lt;&gt;""),AND(SO4&gt;=SW$21,SO4&lt;&gt;""),AND(SS4&gt;=SW$21,SS4&lt;&gt;""),AND(SV4&gt;=SW$21,SV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Z4&gt;=EM$20,DZ4&lt;&gt;"",EB4&gt;=EM$24,EB4&lt;&gt;""),AND(EC4&gt;=EM$20,EC4&lt;&gt;"",EE4&gt;=EM$24,EE4&lt;&gt;""),AND(EG4&gt;=EM$20,EG4&lt;&gt;"",EI4&gt;=EM$24,EI4&lt;&gt;""),AND(EJ4&gt;=EM$20,EJ4&lt;&gt;"",EL4&gt;=EM$24,EL4&lt;&gt;""),AND(FH4&gt;=FU$20,FH4&lt;&gt;"",FJ4&gt;=FU$24,FJ4&lt;&gt;""),AND(FK4&gt;=FU$20,FK4&lt;&gt;"",FM4&gt;=FU$24,FM4&lt;&gt;""),AND(FO4&gt;=FU$20,FO4&lt;&gt;"",FQ4&gt;=FU$24,FQ4&lt;&gt;""),AND(FR4&gt;=FU$20,FR4&lt;&gt;"",FT4&gt;=FU$24,FT4&lt;&gt;""),AND(GP4&gt;=HC$20,GP4&lt;&gt;"",GR4&gt;=HC$24,GR4&lt;&gt;""),AND(GS4&gt;=HC$20,GS4&lt;&gt;"",GU4&gt;=HC$24,GU4&lt;&gt;""),AND(GW4&gt;=HC$20,GW4&lt;&gt;"",GY4&gt;=HC$24,GY4&lt;&gt;""),AND(GZ4&gt;=HC$20,GZ4&lt;&gt;"",HB4&gt;=HC$24,HB4&lt;&gt;""),AND(HX4&gt;=IK$20,HX4&lt;&gt;"",HZ4&gt;=IK$24,HZ4&lt;&gt;""),AND(IA4&gt;=IK$20,IA4&lt;&gt;"",IC4&gt;=IK$24,IC4&lt;&gt;""),AND(IE4&gt;=IK$20,IE4&lt;&gt;"",IG4&gt;=IK$24,IG4&lt;&gt;""),AND(IH4&gt;=IK$20,IH4&lt;&gt;"",IJ4&gt;=IK$24,IJ4&lt;&gt;""),AND(JF4&gt;=JS$20,JF4&lt;&gt;"",JH4&gt;=JS$24,JH4&lt;&gt;""),AND(JI4&gt;=JS$20,JI4&lt;&gt;"",JK4&gt;=JS$24,JK4&lt;&gt;""),AND(JM4&gt;=JS$20,JM4&lt;&gt;"",JO4&gt;=JS$24,JO4&lt;&gt;""),AND(JP4&gt;=JS$20,JP4&lt;&gt;"",JR4&gt;=JS$24,JR4&lt;&gt;""),AND(KN4&gt;=LA$20,KN4&lt;&gt;"",KP4&gt;=LA$24,KP4&lt;&gt;""),AND(KQ4&gt;=LA$20,KQ4&lt;&gt;"",KS4&gt;=LA$24,KS4&lt;&gt;""),AND(KU4&gt;=LA$20,KU4&lt;&gt;"",KW4&gt;=LA$24,KW4&lt;&gt;""),AND(KX4&gt;=LA$20,KX4&lt;&gt;"",KZ4&gt;=LA$24,KZ4&lt;&gt;""),AND(LV4&gt;=MI$20,LV4&lt;&gt;"",LX4&gt;=MI$24,LX4&lt;&gt;""),AND(LY4&gt;=MI$20,LY4&lt;&gt;"",MA4&gt;=MI$24,MA4&lt;&gt;""),AND(MC4&gt;=MI$20,MC4&lt;&gt;"",ME4&gt;=MI$24,ME4&lt;&gt;""),AND(MF4&gt;=MI$20,MF4&lt;&gt;"",MH4&gt;=MI$24,MH4&lt;&gt;""),AND(ND4&gt;=NQ$20,ND4&lt;&gt;"",NF4&gt;=NQ$24,NF4&lt;&gt;""),AND(NG4&gt;=NQ$20,NG4&lt;&gt;"",NI4&gt;=NQ$24,NI4&lt;&gt;""),AND(NK4&gt;=NQ$20,NK4&lt;&gt;"",NM4&gt;=NQ$24,NM4&lt;&gt;""),AND(NN4&gt;=NQ$20,NN4&lt;&gt;"",NP4&gt;=NQ$24,NP4&lt;&gt;""),AND(OL4&gt;=OY$20,OL4&lt;&gt;"",ON4&gt;=OY$24,ON4&lt;&gt;""),AND(OO4&gt;=OY$20,OO4&lt;&gt;"",OQ4&gt;=OY$24,OQ4&lt;&gt;""),AND(OS4&gt;=OY$20,OS4&lt;&gt;"",OU4&gt;=OY$24,OU4&lt;&gt;""),AND(OV4&gt;=OY$20,OV4&lt;&gt;"",OX4&gt;=OY$24,OX4&lt;&gt;""),AND(PT4&gt;=QG$20,PT4&lt;&gt;"",PV4&gt;=QG$24,PV4&lt;&gt;""),AND(PW4&gt;=QG$20,PW4&lt;&gt;"",PY4&gt;=QG$24,PY4&lt;&gt;""),AND(QA4&gt;=QG$20,QA4&lt;&gt;"",QC4&gt;=QG$24,QC4&lt;&gt;""),AND(QD4&gt;=QG$20,QD4&lt;&gt;"",QF4&gt;=QG$24,QF4&lt;&gt;""),AND(RB4&gt;=RO$20,RB4&lt;&gt;"",RD4&gt;=RO$24,RD4&lt;&gt;""),AND(RE4&gt;=RO$20,RE4&lt;&gt;"",RG4&gt;=RO$24,RG4&lt;&gt;""),AND(RI4&gt;=RO$20,RI4&lt;&gt;"",RK4&gt;=RO$24,RK4&lt;&gt;""),AND(RL4&gt;=RO$20,RL4&lt;&gt;"",RN4&gt;=RO$24,RN4&lt;&gt;""),AND(SJ4&gt;=SW$20,SJ4&lt;&gt;"",SL4&gt;=SW$24,SL4&lt;&gt;""),AND(SM4&gt;=SW$20,SM4&lt;&gt;"",SO4&gt;=SW$24,SO4&lt;&gt;""),AND(SQ4&gt;=SW$20,SQ4&lt;&gt;"",SS4&gt;=SW$24,SS4&lt;&gt;""),AND(ST4&gt;=SW$20,ST4&lt;&gt;"",SV4&gt;=SW$24,SV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Z4&gt;=EM$19,DZ4&lt;&gt;"",EB4&gt;=EM$23,EB4&lt;&gt;""),AND(EC4&gt;=EM$19,EC4&lt;&gt;"",EE4&gt;=EM$23,EE4&lt;&gt;""),AND(EG4&gt;=EM$19,EG4&lt;&gt;"",EI4&gt;=EM$23,EI4&lt;&gt;""),AND(EJ4&gt;=EM$19,EJ4&lt;&gt;"",EL4&gt;=EM$23,EL4&lt;&gt;""),AND(FH4&gt;=FU$19,FH4&lt;&gt;"",FJ4&gt;=FU$23,FJ4&lt;&gt;""),AND(FK4&gt;=FU$19,FK4&lt;&gt;"",FM4&gt;=FU$23,FM4&lt;&gt;""),AND(FO4&gt;=FU$19,FO4&lt;&gt;"",FQ4&gt;=FU$23,FQ4&lt;&gt;""),AND(FR4&gt;=FU$19,FR4&lt;&gt;"",FT4&gt;=FU$23,FT4&lt;&gt;""),AND(GP4&gt;=HC$19,GP4&lt;&gt;"",GR4&gt;=HC$23,GR4&lt;&gt;""),AND(GS4&gt;=HC$19,GS4&lt;&gt;"",GU4&gt;=HC$23,GU4&lt;&gt;""),AND(GW4&gt;=HC$19,GW4&lt;&gt;"",GY4&gt;=HC$23,GY4&lt;&gt;""),AND(GZ4&gt;=HC$19,GZ4&lt;&gt;"",HB4&gt;=HC$23,HB4&lt;&gt;""),AND(HX4&gt;=IK$19,HX4&lt;&gt;"",HZ4&gt;=IK$23,HZ4&lt;&gt;""),AND(IA4&gt;=IK$19,IA4&lt;&gt;"",IC4&gt;=IK$23,IC4&lt;&gt;""),AND(IE4&gt;=IK$19,IE4&lt;&gt;"",IG4&gt;=IK$23,IG4&lt;&gt;""),AND(IH4&gt;=IK$19,IH4&lt;&gt;"",IJ4&gt;=IK$23,IJ4&lt;&gt;""),AND(JF4&gt;=JS$19,JF4&lt;&gt;"",JH4&gt;=JS$23,JH4&lt;&gt;""),AND(JI4&gt;=JS$19,JI4&lt;&gt;"",JK4&gt;=JS$23,JK4&lt;&gt;""),AND(JM4&gt;=JS$19,JM4&lt;&gt;"",JO4&gt;=JS$23,JO4&lt;&gt;""),AND(JP4&gt;=JS$19,JP4&lt;&gt;"",JR4&gt;=JS$23,JR4&lt;&gt;""),AND(KN4&gt;=LA$19,KN4&lt;&gt;"",KP4&gt;=LA$23,KP4&lt;&gt;""),AND(KQ4&gt;=LA$19,KQ4&lt;&gt;"",KS4&gt;=LA$23,KS4&lt;&gt;""),AND(KU4&gt;=LA$19,KU4&lt;&gt;"",KW4&gt;=LA$23,KW4&lt;&gt;""),AND(KX4&gt;=LA$19,KX4&lt;&gt;"",KZ4&gt;=LA$23,KZ4&lt;&gt;""),AND(LV4&gt;=MI$19,LV4&lt;&gt;"",LX4&gt;=MI$23,LX4&lt;&gt;""),AND(LY4&gt;=MI$19,LY4&lt;&gt;"",MA4&gt;=MI$23,MA4&lt;&gt;""),AND(MC4&gt;=MI$19,MC4&lt;&gt;"",ME4&gt;=MI$23,ME4&lt;&gt;""),AND(MF4&gt;=MI$19,MF4&lt;&gt;"",MH4&gt;=MI$23,MH4&lt;&gt;""),AND(ND4&gt;=NQ$19,ND4&lt;&gt;"",NF4&gt;=NQ$23,NF4&lt;&gt;""),AND(NG4&gt;=NQ$19,NG4&lt;&gt;"",NI4&gt;=NQ$23,NI4&lt;&gt;""),AND(NK4&gt;=NQ$19,NK4&lt;&gt;"",NM4&gt;=NQ$23,NM4&lt;&gt;""),AND(NN4&gt;=NQ$19,NN4&lt;&gt;"",NP4&gt;=NQ$23,NP4&lt;&gt;""),AND(OL4&gt;=OY$19,OL4&lt;&gt;"",ON4&gt;=OY$23,ON4&lt;&gt;""),AND(OO4&gt;=OY$19,OO4&lt;&gt;"",OQ4&gt;=OY$23,OQ4&lt;&gt;""),AND(OS4&gt;=OY$19,OS4&lt;&gt;"",OU4&gt;=OY$23,OU4&lt;&gt;""),AND(OV4&gt;=OY$19,OV4&lt;&gt;"",OX4&gt;=OY$23,OX4&lt;&gt;""),AND(PT4&gt;=QG$19,PT4&lt;&gt;"",PV4&gt;=QG$23,PV4&lt;&gt;""),AND(PW4&gt;=QG$19,PW4&lt;&gt;"",PY4&gt;=QG$23,PY4&lt;&gt;""),AND(QA4&gt;=QG$19,QA4&lt;&gt;"",QC4&gt;=QG$23,QC4&lt;&gt;""),AND(QD4&gt;=QG$19,QD4&lt;&gt;"",QF4&gt;=QG$23,QF4&lt;&gt;""),AND(RB4&gt;=RO$19,RB4&lt;&gt;"",RD4&gt;=RO$23,RD4&lt;&gt;""),AND(RE4&gt;=RO$19,RE4&lt;&gt;"",RG4&gt;=RO$23,RG4&lt;&gt;""),AND(RI4&gt;=RO$19,RI4&lt;&gt;"",RK4&gt;=RO$23,RK4&lt;&gt;""),AND(RL4&gt;=RO$19,RL4&lt;&gt;"",RN4&gt;=RO$23,RN4&lt;&gt;""),AND(SJ4&gt;=SW$19,SJ4&lt;&gt;"",SL4&gt;=SW$23,SL4&lt;&gt;""),AND(SM4&gt;=SW$19,SM4&lt;&gt;"",SO4&gt;=SW$23,SO4&lt;&gt;""),AND(SQ4&gt;=SW$19,SQ4&lt;&gt;"",SS4&gt;=SW$23,SS4&lt;&gt;""),AND(ST4&gt;=SW$19,ST4&lt;&gt;"",SV4&gt;=SW$23,SV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Z4&gt;=EM$18,DZ4&lt;&gt;"",EB4&gt;=EM$22,EB4&lt;&gt;""),AND(EC4&gt;=EM$18,EC4&lt;&gt;"",EE4&gt;=EM$22,EE4&lt;&gt;""),AND(EG4&gt;=EM$18,EG4&lt;&gt;"",EI4&gt;=EM$22,EI4&lt;&gt;""),AND(EJ4&gt;=EM$18,EJ4&lt;&gt;"",EL4&gt;=EM$22,EL4&lt;&gt;""),AND(FH4&gt;=FU$18,FH4&lt;&gt;"",FJ4&gt;=FU$22,FJ4&lt;&gt;""),AND(FK4&gt;=FU$18,FK4&lt;&gt;"",FM4&gt;=FU$22,FM4&lt;&gt;""),AND(FO4&gt;=FU$18,FO4&lt;&gt;"",FQ4&gt;=FU$22,FQ4&lt;&gt;""),AND(FR4&gt;=FU$18,FR4&lt;&gt;"",FT4&gt;=FU$22,FT4&lt;&gt;""),AND(GP4&gt;=HC$18,GP4&lt;&gt;"",GR4&gt;=HC$22,GR4&lt;&gt;""),AND(GS4&gt;=HC$18,GS4&lt;&gt;"",GU4&gt;=HC$22,GU4&lt;&gt;""),AND(GW4&gt;=HC$18,GW4&lt;&gt;"",GY4&gt;=HC$22,GY4&lt;&gt;""),AND(GZ4&gt;=HC$18,GZ4&lt;&gt;"",HB4&gt;=HC$22,HB4&lt;&gt;""),AND(HX4&gt;=IK$18,HX4&lt;&gt;"",HZ4&gt;=IK$22,HZ4&lt;&gt;""),AND(IA4&gt;=IK$18,IA4&lt;&gt;"",IC4&gt;=IK$22,IC4&lt;&gt;""),AND(IE4&gt;=IK$18,IE4&lt;&gt;"",IG4&gt;=IK$22,IG4&lt;&gt;""),AND(IH4&gt;=IK$18,IH4&lt;&gt;"",IJ4&gt;=IK$22,IJ4&lt;&gt;""),AND(JF4&gt;=JS$18,JF4&lt;&gt;"",JH4&gt;=JS$22,JH4&lt;&gt;""),AND(JI4&gt;=JS$18,JI4&lt;&gt;"",JK4&gt;=JS$22,JK4&lt;&gt;""),AND(JM4&gt;=JS$18,JM4&lt;&gt;"",JO4&gt;=JS$22,JO4&lt;&gt;""),AND(JP4&gt;=JS$18,JP4&lt;&gt;"",JR4&gt;=JS$22,JR4&lt;&gt;""),AND(KN4&gt;=LA$18,KN4&lt;&gt;"",KP4&gt;=LA$22,KP4&lt;&gt;""),AND(KQ4&gt;=LA$18,KQ4&lt;&gt;"",KS4&gt;=LA$22,KS4&lt;&gt;""),AND(KU4&gt;=LA$18,KU4&lt;&gt;"",KW4&gt;=LA$22,KW4&lt;&gt;""),AND(KX4&gt;=LA$18,KX4&lt;&gt;"",KZ4&gt;=LA$22,KZ4&lt;&gt;""),AND(LV4&gt;=MI$18,LV4&lt;&gt;"",LX4&gt;=MI$22,LX4&lt;&gt;""),AND(LY4&gt;=MI$18,LY4&lt;&gt;"",MA4&gt;=MI$22,MA4&lt;&gt;""),AND(MC4&gt;=MI$18,MC4&lt;&gt;"",ME4&gt;=MI$22,ME4&lt;&gt;""),AND(MF4&gt;=MI$18,MF4&lt;&gt;"",MH4&gt;=MI$22,MH4&lt;&gt;""),AND(ND4&gt;=NQ$18,ND4&lt;&gt;"",NF4&gt;=NQ$22,NF4&lt;&gt;""),AND(NG4&gt;=NQ$18,NG4&lt;&gt;"",NI4&gt;=NQ$22,NI4&lt;&gt;""),AND(NK4&gt;=NQ$18,NK4&lt;&gt;"",NM4&gt;=NQ$22,NM4&lt;&gt;""),AND(NN4&gt;=NQ$18,NN4&lt;&gt;"",NP4&gt;=NQ$22,NP4&lt;&gt;""),AND(OL4&gt;=OY$18,OL4&lt;&gt;"",ON4&gt;=OY$22,ON4&lt;&gt;""),AND(OO4&gt;=OY$18,OO4&lt;&gt;"",OQ4&gt;=OY$22,OQ4&lt;&gt;""),AND(OS4&gt;=OY$18,OS4&lt;&gt;"",OU4&gt;=OY$22,OU4&lt;&gt;""),AND(OV4&gt;=OY$18,OV4&lt;&gt;"",OX4&gt;=OY$22,OX4&lt;&gt;""),AND(PT4&gt;=QG$18,PT4&lt;&gt;"",PV4&gt;=QG$22,PV4&lt;&gt;""),AND(PW4&gt;=QG$18,PW4&lt;&gt;"",PY4&gt;=QG$22,PY4&lt;&gt;""),AND(QA4&gt;=QG$18,QA4&lt;&gt;"",QC4&gt;=QG$22,QC4&lt;&gt;""),AND(QD4&gt;=QG$18,QD4&lt;&gt;"",QF4&gt;=QG$22,QF4&lt;&gt;""),AND(RB4&gt;=RO$18,RB4&lt;&gt;"",RD4&gt;=RO$22,RD4&lt;&gt;""),AND(RE4&gt;=RO$18,RE4&lt;&gt;"",RG4&gt;=RO$22,RG4&lt;&gt;""),AND(RI4&gt;=RO$18,RI4&lt;&gt;"",RK4&gt;=RO$22,RK4&lt;&gt;""),AND(RL4&gt;=RO$18,RL4&lt;&gt;"",RN4&gt;=RO$22,RN4&lt;&gt;""),AND(SJ4&gt;=SW$18,SJ4&lt;&gt;"",SL4&gt;=SW$22,SL4&lt;&gt;""),AND(SM4&gt;=SW$18,SM4&lt;&gt;"",SO4&gt;=SW$22,SO4&lt;&gt;""),AND(SQ4&gt;=SW$18,SQ4&lt;&gt;"",SS4&gt;=SW$22,SS4&lt;&gt;""),AND(ST4&gt;=SW$18,ST4&lt;&gt;"",SV4&gt;=SW$22,SV4&lt;&gt;"")),"P","")</f>
        <v>P</v>
      </c>
      <c r="J4" s="13">
        <f>IF(COUNT(AQ4,AT4,BR4,BU4,CS4,CV4)&gt;0,LARGE((AQ4,AT4,BR4,BU4,CS4,CV4),1),0)</f>
        <v>55.284999999999997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54.808749999999996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54.555000000000007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54.519999999999996</v>
      </c>
      <c r="Q4" s="13" t="str">
        <f>IF(P4="","",IF(P4=CZ4,$CA$1,IF(P4=BY4,$AZ$1,IF(P4=AX4,$Y$1,""))))</f>
        <v>2021 Canadian Championships</v>
      </c>
      <c r="R4" s="13">
        <f>IF(MAX(AO4,AR4,AV4,BP4,BS4,BW4,CQ4,CT4,CX4)&gt;0,MAX(AO4,AR4,BP4,BS4,CQ4,CT4,AV4),0)</f>
        <v>14.4</v>
      </c>
      <c r="S4" s="13" t="str">
        <f>IF(R4=0,"",IF(OR(R4=CQ4,R4=CT4,R4=CX4),$CA$1,IF(OR(R4=BP4,R4=BS4,R4=BW4),$AZ$1,IF(OR(R4=AO4,R4=AR4,R4=AV4),$Y$1,""))))</f>
        <v>2021 Canadian Championships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),0)</f>
        <v>15.657499999999999</v>
      </c>
      <c r="U4" s="13" t="str">
        <f>IF(T4=0,"",IF(OR(T4=CR4,T4=CU4,T4=CY4),$CA$1,IF(OR(T4=BQ4,T4=BT4,T4=BX4),$AZ$1,IF(OR(T4=AP4,T4=AS4,T4=AW4),$Y$1,""))))</f>
        <v>2021 Elite Canada</v>
      </c>
      <c r="V4" s="13">
        <f>IF(MAX(DB4,DC4,DD4,DE4)&gt;0,MAX(DB4,DC4,DD4,DE4),"")</f>
        <v>0.88000000000000256</v>
      </c>
      <c r="W4" s="16" t="str">
        <f>IF(V4="","",IF(V4=DB4,"("&amp;DB$2&amp;")",IF(V4=DC4,"("&amp;DC$2&amp;")",IF(V4=DD4,"("&amp;DD$2&amp;")",IF(V4=DE4,"("&amp;DE$2&amp;")")))))</f>
        <v>(Final)</v>
      </c>
      <c r="X4" s="13" t="str">
        <f>IF(V4="","",IF(V4=DB4,IF(V4+IF(L4="",0,L4)=SP4,$RP$1,IF(V4+IF(L4="",0,L4)=RH4,$QH$1,IF(V4+IF(L4="",0,L4)=PZ4,$OZ$1,IF(V4+IF(L4="",0,L4)=OR4,$NR$1,IF(V4+IF(L4="",0,L4)=NJ4,$MJ$1,IF(V4+IF(L4="",0,L4)=MB4,$LB$1,IF(V4+IF(L4="",0,L4)=KT4,$JT$1,IF(V4+IF(L4="",0,L4)=JL4,$IL$1,IF(V4+IF(L4="",0,L4)=ID4,$HD$1,IF(V4+IF(L4="",0,L4)=GV4,$FV$1,IF(V4+IF(L4="",0,L4)=FN4,$EN$1,IF(V4+IF(L4="",0,L4)=EF4,$DF$1)))))))))))),IF(V4=DC4,IF(V4+IF(P4="",0,P4)=SV4,$RP$1,IF(V4+IF(P4="",0,P4)=RN4,$QH$1,IF(V4+IF(P4="",0,P4)=QF4,$OZ$1,IF(V4+IF(P4="",0,P4)=OX4,$NR$1,IF(V4+IF(P4="",0,P4)=NP4,$MJ$1,IF(V4+IF(P4="",0,P4)=MH4,$LB$1,IF(V4+IF(P4="",0,P4)=KZ4,$JT$1,IF(V4+IF(P4="",0,P4)=JR4,$IL$1,IF(V4+IF(P4="",0,P4)=IJ4,$HD$1,IF(V4+IF(P4="",0,P4)=HB4,$FV$1,IF(V4+IF(P4="",0,P4)=FT4,$EN$1,IF(V4+IF(P4="",0,P4)=EL4,$DF$1)))))))))))),IF(V4=DD4,IF(V4+IF(R4="",0,R4)=MAX(SJ4,SM4,SQ4,ST4),$RP$1,IF(V4+IF(R4="",0,R4)=MAX(RB4,RE4,RI4,RL4),$QH$1,IF(V4+IF(R4="",0,R4)=MAX(PT4,PW4,QA4,QD4),$OZ$1,IF(V4+IF(R4="",0,R4)=MAX(OL4,OO4,OS4,OV4),$NR$1,IF(V4+IF(R4="",0,R4)=MAX(ND4,NG4,NK4,NN4),$MJ$1,IF(V4+IF(R4="",0,R4)=MAX(LV4,LY4,MC4,MF4),$LB$1,IF(V4+IF(R4="",0,R4)=MAX(KN4,KQ4,KU4,KX4),$JT$1,IF(V4+IF(R4="",0,R4)=MAX(JF4,JI4,JM4,JP4),$IL$1,IF(V4+IF(R4="",0,R4)=MAX(HX4,IA4,IE4,IH4),$HD$1,IF(V4+IF(R4="",0,R4)=MAX(GP4,GS4,GW4,GZ4),$FV$1,IF(V4+IF(R4="",0,R4)=MAX(FH4,FK4,FO4,FR4),$EN$1,IF(V4+IF(R4="",0,R4)=MAX(DZ4,EC4,EG4,EJ4),$DF$1)))))))))))),IF(V4=DE4,IF(V4+IF(T4="",0,T4)=MAX(SK4,SN4,SR4,SU4),$RP$1,IF(V4+IF(T4="",0,T4)=MAX(RC4,RF4,RJ4,RM4),$QH$1,IF(V4+IF(T4="",0,T4)=MAX(PU4,PX4,QB4,QE4),$OZ$1,IF(V4+IF(T4="",0,T4)=MAX(OM4,OP4,OT4,OW4),$NR$1,IF(V4+IF(T4="",0,T4)=MAX(NE4,NH4,NL4,NO4),$MJ$1,IF(V4+IF(T4="",0,T4)=MAX(LW4,LZ4,MD4,MG4),$LB$1,IF(V4+IF(T4="",0,T4)=MAX(KO4,KR4,KV4,KY4),$JT$1,IF(V4+IF(T4="",0,T4)=MAX(JG4,JJ4,JN4,JQ4),$IL$1,IF(V4+IF(T4="",0,T4)=MAX(HY4,IB4,IF4,II4),$HD$1,IF(V4+IF(T4="",0,T4)=MAX(GQ4,GT4,GX4,HA4),$FV$1,IF(V4+IF(T4="",0,T4)=MAX(FI4,FL4,FP4,FS4),$EN$1,IF(V4+IF(T4="",0,T4)=MAX(EA4,ED4,EH4,EK4),$DF$1)))))))))))))))))</f>
        <v>2021 World Cup ITA/Olympic Technical Trial (June 4/9)</v>
      </c>
      <c r="Y4" s="42">
        <v>16.399999999999999</v>
      </c>
      <c r="Z4" s="42">
        <v>8.9750000000000014</v>
      </c>
      <c r="AA4" s="42">
        <v>13.3</v>
      </c>
      <c r="AB4" s="42">
        <v>15.657499999999999</v>
      </c>
      <c r="AC4" s="42">
        <v>0</v>
      </c>
      <c r="AD4" s="42">
        <v>12.05</v>
      </c>
      <c r="AE4" s="42">
        <v>6.8</v>
      </c>
      <c r="AF4" s="42">
        <v>10.8</v>
      </c>
      <c r="AG4" s="42">
        <v>11.727499999999999</v>
      </c>
      <c r="AH4" s="42">
        <v>0</v>
      </c>
      <c r="AI4" s="42">
        <v>15.15</v>
      </c>
      <c r="AJ4" s="42">
        <v>9.1999999999999993</v>
      </c>
      <c r="AK4" s="42">
        <v>13.45</v>
      </c>
      <c r="AL4" s="42">
        <v>15.18</v>
      </c>
      <c r="AM4" s="42">
        <v>0</v>
      </c>
      <c r="AN4" s="51" t="s">
        <v>61</v>
      </c>
      <c r="AO4" s="74">
        <f>IF(AA4&gt;0,AA4,"")</f>
        <v>13.3</v>
      </c>
      <c r="AP4" s="74">
        <f>IF(AB4&gt;0,AB4,"")</f>
        <v>15.657499999999999</v>
      </c>
      <c r="AQ4" s="76">
        <f>IF(SUM(Y4:AB4)-AC4&gt;0,SUM(Y4:AB4)-AC4,"")</f>
        <v>54.332499999999996</v>
      </c>
      <c r="AR4" s="76">
        <f>IF(AF4&gt;0,AF4,"")</f>
        <v>10.8</v>
      </c>
      <c r="AS4" s="76">
        <f>IF(AG4&gt;0,AG4,"")</f>
        <v>11.727499999999999</v>
      </c>
      <c r="AT4" s="76">
        <f>IF(SUM(AD4:AG4)-AH4&gt;0,SUM(AD4:AG4)-AH4,"")</f>
        <v>41.377499999999998</v>
      </c>
      <c r="AU4" s="76">
        <f>IF(AQ4="","",MAX(AQ4,AT4))</f>
        <v>54.332499999999996</v>
      </c>
      <c r="AV4" s="76">
        <f>IF(AK4&gt;0,AK4,"")</f>
        <v>13.45</v>
      </c>
      <c r="AW4" s="76">
        <f>IF(AL4&gt;0,AL4,"")</f>
        <v>15.18</v>
      </c>
      <c r="AX4" s="76">
        <f>IF(SUM(AI4:AL4)-AM4&gt;0,SUM(AI4:AL4)-AM4,"")</f>
        <v>52.98</v>
      </c>
      <c r="AY4" s="76">
        <f>IF(SUM(AU4,AX4)&gt;0,SUM(AU4,AX4),"")</f>
        <v>107.3125</v>
      </c>
      <c r="AZ4" s="46">
        <v>16.2</v>
      </c>
      <c r="BA4" s="46">
        <v>9.1999999999999993</v>
      </c>
      <c r="BB4" s="46">
        <v>14.4</v>
      </c>
      <c r="BC4" s="46">
        <v>15.484999999999999</v>
      </c>
      <c r="BD4" s="46">
        <v>0</v>
      </c>
      <c r="BE4" s="46">
        <v>15.9</v>
      </c>
      <c r="BF4" s="46">
        <v>8.9</v>
      </c>
      <c r="BG4" s="46">
        <v>14.4</v>
      </c>
      <c r="BH4" s="46">
        <v>15.355</v>
      </c>
      <c r="BI4" s="46">
        <v>0</v>
      </c>
      <c r="BJ4" s="46">
        <v>16.2</v>
      </c>
      <c r="BK4" s="46">
        <v>9.1999999999999993</v>
      </c>
      <c r="BL4" s="46">
        <v>13.6</v>
      </c>
      <c r="BM4" s="46">
        <v>15.52</v>
      </c>
      <c r="BN4" s="46">
        <v>0</v>
      </c>
      <c r="BO4" s="52"/>
      <c r="BP4" s="75">
        <f>IF(BB4&gt;0,BB4,"")</f>
        <v>14.4</v>
      </c>
      <c r="BQ4" s="75">
        <f>IF(BC4&gt;0,BC4,"")</f>
        <v>15.484999999999999</v>
      </c>
      <c r="BR4" s="16">
        <f>IF(SUM(AZ4:BC4)-BD4&gt;0,SUM(AZ4:BC4)-BD4,"")</f>
        <v>55.284999999999997</v>
      </c>
      <c r="BS4" s="16">
        <f>IF(BG4&gt;0,BG4,"")</f>
        <v>14.4</v>
      </c>
      <c r="BT4" s="16">
        <f>IF(BH4&gt;0,BH4,"")</f>
        <v>15.355</v>
      </c>
      <c r="BU4" s="16">
        <f>IF(SUM(BE4:BH4)-BI4&gt;0,SUM(BE4:BH4)-BI4,"")</f>
        <v>54.555000000000007</v>
      </c>
      <c r="BV4" s="16">
        <f>IF(BR4="","",MAX(BR4,BU4))</f>
        <v>55.284999999999997</v>
      </c>
      <c r="BW4" s="16">
        <f>IF(BL4&gt;0,BL4,"")</f>
        <v>13.6</v>
      </c>
      <c r="BX4" s="16">
        <f>IF(BM4&gt;0,BM4,"")</f>
        <v>15.52</v>
      </c>
      <c r="BY4" s="16">
        <f>IF(SUM(BJ4:BM4)-BN4&gt;0,SUM(BJ4:BM4)-BN4,"")</f>
        <v>54.519999999999996</v>
      </c>
      <c r="BZ4" s="16">
        <f>IF(SUM(BV4,BY4)&gt;0,SUM(BV4,BY4),"")</f>
        <v>109.80499999999999</v>
      </c>
      <c r="CA4" s="42">
        <v>16.299999999999997</v>
      </c>
      <c r="CB4" s="42">
        <v>9.0875000000000004</v>
      </c>
      <c r="CC4" s="42">
        <v>13.850000000000001</v>
      </c>
      <c r="CD4" s="42">
        <v>15.571249999999999</v>
      </c>
      <c r="CE4" s="42">
        <v>0</v>
      </c>
      <c r="CF4" s="42">
        <v>13.975000000000001</v>
      </c>
      <c r="CG4" s="42">
        <v>7.85</v>
      </c>
      <c r="CH4" s="42">
        <v>12.600000000000001</v>
      </c>
      <c r="CI4" s="42">
        <v>13.54125</v>
      </c>
      <c r="CJ4" s="42">
        <v>0</v>
      </c>
      <c r="CK4" s="42">
        <v>15.675000000000001</v>
      </c>
      <c r="CL4" s="42">
        <v>9.1999999999999993</v>
      </c>
      <c r="CM4" s="42">
        <v>13.524999999999999</v>
      </c>
      <c r="CN4" s="42">
        <v>15.35</v>
      </c>
      <c r="CO4" s="42">
        <v>0</v>
      </c>
      <c r="CP4" s="51" t="s">
        <v>61</v>
      </c>
      <c r="CQ4" s="74">
        <f>IF(CC4&gt;0,CC4,"")</f>
        <v>13.850000000000001</v>
      </c>
      <c r="CR4" s="74">
        <f>IF(CD4&gt;0,CD4,"")</f>
        <v>15.571249999999999</v>
      </c>
      <c r="CS4" s="76">
        <f>IF(SUM(CA4:CD4)-CE4&gt;0,SUM(CA4:CD4)-CE4,"")</f>
        <v>54.808749999999996</v>
      </c>
      <c r="CT4" s="76">
        <f>IF(CH4&gt;0,CH4,"")</f>
        <v>12.600000000000001</v>
      </c>
      <c r="CU4" s="76">
        <f>IF(CI4&gt;0,CI4,"")</f>
        <v>13.54125</v>
      </c>
      <c r="CV4" s="76">
        <f>IF(SUM(CF4:CI4)-CJ4&gt;0,SUM(CF4:CI4)-CJ4,"")</f>
        <v>47.966250000000002</v>
      </c>
      <c r="CW4" s="76">
        <f>IF(CS4="","",MAX(CS4,CV4))</f>
        <v>54.808749999999996</v>
      </c>
      <c r="CX4" s="76">
        <f>IF(CM4&gt;0,CM4,"")</f>
        <v>13.524999999999999</v>
      </c>
      <c r="CY4" s="76">
        <f>IF(CN4&gt;0,CN4,"")</f>
        <v>15.35</v>
      </c>
      <c r="CZ4" s="76">
        <f>IF(SUM(CK4:CN4)-CO4&gt;0,SUM(CK4:CN4)-CO4,"")</f>
        <v>53.75</v>
      </c>
      <c r="DA4" s="76">
        <f>IF(SUM(CW4,CZ4)&gt;0,SUM(CW4,CZ4),"")</f>
        <v>108.55875</v>
      </c>
      <c r="DB4" s="87">
        <f>IF(L4&gt;=0.001,IF(MAX(EF4,FN4,GV4,ID4,JL4,KT4,MB4,NJ4,OR4,PZ4,RH4,SP4)-IF(L4="",0,L4)&gt;0.001,MAX(EF4,FN4,GV4,ID4,JL4,KT4,MB4,NJ4,OR4,PZ4,RH4,SP4)-IF(L4="",0,L4),""),"")</f>
        <v>9.1250000000002274E-2</v>
      </c>
      <c r="DC4" s="87">
        <f>IF(P4&gt;=0.001,IF(MAX(EI4,EL4,FQ4,FT4,GY4,HB4,IG4,IJ4,JO4,JR4,KW4,KZ4,ME4,MH4,NM4,NP4,OU4,OX4,QC4,QF4,RK4,RN4,SS4,SV4)-IF(P4="",0,P4)&gt;0.001,MAX(EI4,EL4,FQ4,FT4,GY4,HB4,IG4,IJ4,JO4,JR4,KW4,KZ4,ME4,MH4,NM4,NP4,OU4,OX4,QC4,QF4,RK4,RN4,SS4,SV4)-IF(P4="",0,P4),""),"")</f>
        <v>0.88000000000000256</v>
      </c>
      <c r="DD4" s="87" t="str">
        <f>IF(R4&gt;=0.001,IF(MAX(DZ4,EC4,EG4,EJ4,FH4,FK4,FO4,FR4,GP4,GS4,GW4,GZ4,HX4,IA4,IE4,IH4,JF4,JI4,JM4,JP4,KN4,KQ4,KU4,KX4,LV4,LY4,MC4,MF4,ND4,NG4,NK4,NN4,OL4,OO4,OS4,OV4,PT4,PW4,QA4,QD4,RB4,RE4,RI4,RL4,SJ4,SM4,SQ4,ST4)-IF(R4="",0,R4)&gt;0.001,MAX(DZ4,EC4,EG4,EJ4,FH4,FK4,FO4,FR4,GP4,GS4,GW4,GZ4,HX4,IA4,IE4,IH4,JF4,JI4,JM4,JP4,KN4,KQ4,KU4,KX4,LV4,LY4,MC4,MF4,ND4,NG4,NK4,NN4,OL4,OO4,OS4,OV4,PT4,PW4,QA4,QD4,RB4,RE4,RI4,RL4,SJ4,SM4,SQ4,ST4)-IF(R4="",0,R4),""),"")</f>
        <v/>
      </c>
      <c r="DE4" s="87" t="str">
        <f>IF(T4&gt;=0.001,IF(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&gt;0.001,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,""),"")</f>
        <v/>
      </c>
      <c r="DF4" s="25">
        <v>15.7</v>
      </c>
      <c r="DG4" s="25">
        <v>9.1999999999999993</v>
      </c>
      <c r="DH4" s="25">
        <v>14.4</v>
      </c>
      <c r="DI4" s="25">
        <v>15.6</v>
      </c>
      <c r="DJ4" s="25">
        <v>0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>
        <v>16.100000000000001</v>
      </c>
      <c r="DV4" s="25">
        <v>9.5</v>
      </c>
      <c r="DW4" s="25">
        <v>14.4</v>
      </c>
      <c r="DX4" s="25">
        <v>15.4</v>
      </c>
      <c r="DY4" s="25">
        <v>0</v>
      </c>
      <c r="DZ4" s="76">
        <f>IF(DH4&gt;0,DH4,"")</f>
        <v>14.4</v>
      </c>
      <c r="EA4" s="76">
        <f>IF(DI4&gt;0,DI4,"")</f>
        <v>15.6</v>
      </c>
      <c r="EB4" s="76">
        <f>IF(SUM(DF4:DI4)-DJ4&gt;0,SUM(DF4:DI4)-DJ4,"")</f>
        <v>54.9</v>
      </c>
      <c r="EC4" s="76" t="str">
        <f>IF(DM4&gt;0,DM4,"")</f>
        <v/>
      </c>
      <c r="ED4" s="76" t="str">
        <f>IF(DN4&gt;0,DN4,"")</f>
        <v/>
      </c>
      <c r="EE4" s="76" t="str">
        <f>IF(SUM(DK4:DN4)-DO4&gt;0,SUM(DK4:DN4)-DO4,"")</f>
        <v/>
      </c>
      <c r="EF4" s="76">
        <f>IF(MAX(EB4,EE4)&gt;0,MAX(EB4,EE4),"")</f>
        <v>54.9</v>
      </c>
      <c r="EG4" s="76" t="str">
        <f>IF(DR4&gt;0,DR4,"")</f>
        <v/>
      </c>
      <c r="EH4" s="76" t="str">
        <f>IF(DS4&gt;0,DS4,"")</f>
        <v/>
      </c>
      <c r="EI4" s="76" t="str">
        <f>IF(SUM(DP4:DS4)-DT4&gt;0,SUM(DP4:DS4)-DT4,"")</f>
        <v/>
      </c>
      <c r="EJ4" s="76">
        <f>IF(DW4&gt;0,DW4,"")</f>
        <v>14.4</v>
      </c>
      <c r="EK4" s="76">
        <f>IF(DX4&gt;0,DX4,"")</f>
        <v>15.4</v>
      </c>
      <c r="EL4" s="76">
        <f>IF(SUM(DU4:DX4)-DY4&gt;0,SUM(DU4:DX4)-DY4,"")</f>
        <v>55.4</v>
      </c>
      <c r="EM4" s="76">
        <f>IF(SUM(EF4,EL4)&gt;0,SUM(EF4,EL4),"")</f>
        <v>110.3</v>
      </c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16" t="str">
        <f>IF(EP4&gt;0,EP4,"")</f>
        <v/>
      </c>
      <c r="FI4" s="16" t="str">
        <f>IF(EQ4&gt;0,EQ4,"")</f>
        <v/>
      </c>
      <c r="FJ4" s="16" t="str">
        <f>IF(SUM(EN4:EQ4)-ER4&gt;0,SUM(EN4:EQ4)-ER4,"")</f>
        <v/>
      </c>
      <c r="FK4" s="16" t="str">
        <f>IF(EU4&gt;0,EU4,"")</f>
        <v/>
      </c>
      <c r="FL4" s="16" t="str">
        <f>IF(EV4&gt;0,EV4,"")</f>
        <v/>
      </c>
      <c r="FM4" s="16" t="str">
        <f>IF(SUM(ES4:EV4)-EW4&gt;0,SUM(ES4:EV4)-EW4,"")</f>
        <v/>
      </c>
      <c r="FN4" s="16" t="str">
        <f>IF(MAX(FJ4,FM4)&gt;0,MAX(FJ4,FM4),"")</f>
        <v/>
      </c>
      <c r="FO4" s="16" t="str">
        <f>IF(EZ4&gt;0,EZ4,"")</f>
        <v/>
      </c>
      <c r="FP4" s="16" t="str">
        <f>IF(FA4&gt;0,FA4,"")</f>
        <v/>
      </c>
      <c r="FQ4" s="16" t="str">
        <f>IF(SUM(EX4:FA4)-FB4&gt;0,SUM(EX4:FA4)-FB4,"")</f>
        <v/>
      </c>
      <c r="FR4" s="16" t="str">
        <f>IF(FE4&gt;0,FE4,"")</f>
        <v/>
      </c>
      <c r="FS4" s="16" t="str">
        <f>IF(FF4&gt;0,FF4,"")</f>
        <v/>
      </c>
      <c r="FT4" s="16" t="str">
        <f>IF(SUM(FC4:FF4)-FG4&gt;0,SUM(FC4:FF4)-FG4,"")</f>
        <v/>
      </c>
      <c r="FU4" s="16" t="str">
        <f>IF(SUM(FN4,FT4)&gt;0,SUM(FN4,FT4),"")</f>
        <v/>
      </c>
      <c r="FV4" s="25">
        <v>15.4</v>
      </c>
      <c r="FW4" s="25">
        <v>9.1999999999999993</v>
      </c>
      <c r="FX4" s="25">
        <v>13.3</v>
      </c>
      <c r="FY4" s="25">
        <v>15.154999999999999</v>
      </c>
      <c r="FZ4" s="25">
        <v>0</v>
      </c>
      <c r="GA4" s="25"/>
      <c r="GB4" s="25"/>
      <c r="GC4" s="25"/>
      <c r="GD4" s="25"/>
      <c r="GE4" s="25"/>
      <c r="GF4" s="25">
        <v>15.2</v>
      </c>
      <c r="GG4" s="25">
        <v>9.1</v>
      </c>
      <c r="GH4" s="25">
        <v>14.4</v>
      </c>
      <c r="GI4" s="25">
        <v>15.21</v>
      </c>
      <c r="GJ4" s="25">
        <v>0</v>
      </c>
      <c r="GK4" s="25">
        <v>14.9</v>
      </c>
      <c r="GL4" s="25">
        <v>9.1</v>
      </c>
      <c r="GM4" s="25">
        <v>11.9</v>
      </c>
      <c r="GN4" s="25">
        <v>14.984999999999999</v>
      </c>
      <c r="GO4" s="25"/>
      <c r="GP4" s="76">
        <f>IF(FX4&gt;0,FX4,"")</f>
        <v>13.3</v>
      </c>
      <c r="GQ4" s="76">
        <f>IF(FY4&gt;0,FY4,"")</f>
        <v>15.154999999999999</v>
      </c>
      <c r="GR4" s="76">
        <f>IF(SUM(FV4:FY4)-FZ4&gt;0,SUM(FV4:FY4)-FZ4,"")</f>
        <v>53.055000000000007</v>
      </c>
      <c r="GS4" s="76" t="str">
        <f>IF(GC4&gt;0,GC4,"")</f>
        <v/>
      </c>
      <c r="GT4" s="76" t="str">
        <f>IF(GD4&gt;0,GD4,"")</f>
        <v/>
      </c>
      <c r="GU4" s="76" t="str">
        <f>IF(SUM(GA4:GD4)-GE4&gt;0,SUM(GA4:GD4)-GE4,"")</f>
        <v/>
      </c>
      <c r="GV4" s="76">
        <f>IF(MAX(GR4,GU4)&gt;0,MAX(GR4,GU4),"")</f>
        <v>53.055000000000007</v>
      </c>
      <c r="GW4" s="76">
        <f>IF(GH4&gt;0,GH4,"")</f>
        <v>14.4</v>
      </c>
      <c r="GX4" s="76">
        <f>IF(GI4&gt;0,GI4,"")</f>
        <v>15.21</v>
      </c>
      <c r="GY4" s="76">
        <f>IF(SUM(GF4:GI4)-GJ4&gt;0,SUM(GF4:GI4)-GJ4,"")</f>
        <v>53.91</v>
      </c>
      <c r="GZ4" s="76">
        <f>IF(GM4&gt;0,GM4,"")</f>
        <v>11.9</v>
      </c>
      <c r="HA4" s="76">
        <f>IF(GN4&gt;0,GN4,"")</f>
        <v>14.984999999999999</v>
      </c>
      <c r="HB4" s="76">
        <f>IF(SUM(GK4:GN4)-GO4&gt;0,SUM(GK4:GN4)-GO4,"")</f>
        <v>50.884999999999998</v>
      </c>
      <c r="HC4" s="76">
        <f>IF(SUM(GV4,HB4)&gt;0,SUM(GV4,HB4),"")</f>
        <v>103.94</v>
      </c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>
        <v>14.8</v>
      </c>
      <c r="HT4" s="26">
        <v>9.5</v>
      </c>
      <c r="HU4" s="26">
        <v>14.2</v>
      </c>
      <c r="HV4" s="26">
        <v>15.145</v>
      </c>
      <c r="HW4" s="26">
        <v>0</v>
      </c>
      <c r="HX4" s="16" t="str">
        <f>IF(HF4&gt;0,HF4,"")</f>
        <v/>
      </c>
      <c r="HY4" s="16" t="str">
        <f>IF(HG4&gt;0,HG4,"")</f>
        <v/>
      </c>
      <c r="HZ4" s="16" t="str">
        <f>IF(SUM(HD4:HG4)-HH4&gt;0,SUM(HD4:HG4)-HH4,"")</f>
        <v/>
      </c>
      <c r="IA4" s="16" t="str">
        <f>IF(HK4&gt;0,HK4,"")</f>
        <v/>
      </c>
      <c r="IB4" s="16" t="str">
        <f>IF(HL4&gt;0,HL4,"")</f>
        <v/>
      </c>
      <c r="IC4" s="16" t="str">
        <f>IF(SUM(HI4:HL4)-HM4&gt;0,SUM(HI4:HL4)-HM4,"")</f>
        <v/>
      </c>
      <c r="ID4" s="16" t="str">
        <f>IF(MAX(HZ4,IC4)&gt;0,MAX(HZ4,IC4),"")</f>
        <v/>
      </c>
      <c r="IE4" s="16" t="str">
        <f>IF(HP4&gt;0,HP4,"")</f>
        <v/>
      </c>
      <c r="IF4" s="16" t="str">
        <f>IF(HQ4&gt;0,HQ4,"")</f>
        <v/>
      </c>
      <c r="IG4" s="16" t="str">
        <f>IF(SUM(HN4:HQ4)-HR4&gt;0,SUM(HN4:HQ4)-HR4,"")</f>
        <v/>
      </c>
      <c r="IH4" s="16">
        <f>IF(HU4&gt;0,HU4,"")</f>
        <v>14.2</v>
      </c>
      <c r="II4" s="16">
        <f>IF(HV4&gt;0,HV4,"")</f>
        <v>15.145</v>
      </c>
      <c r="IJ4" s="16">
        <f>IF(SUM(HS4:HV4)-HW4&gt;0,SUM(HS4:HV4)-HW4,"")</f>
        <v>53.644999999999996</v>
      </c>
      <c r="IK4" s="16">
        <f>IF(SUM(ID4,IJ4)&gt;0,SUM(ID4,IJ4),"")</f>
        <v>53.644999999999996</v>
      </c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>
        <v>15.3</v>
      </c>
      <c r="JB4" s="25">
        <v>9.5</v>
      </c>
      <c r="JC4" s="25">
        <v>14.4</v>
      </c>
      <c r="JD4" s="25">
        <v>15.065</v>
      </c>
      <c r="JE4" s="25">
        <v>0</v>
      </c>
      <c r="JF4" s="76" t="str">
        <f>IF(IN4&gt;0,IN4,"")</f>
        <v/>
      </c>
      <c r="JG4" s="76" t="str">
        <f>IF(IO4&gt;0,IO4,"")</f>
        <v/>
      </c>
      <c r="JH4" s="76" t="str">
        <f>IF(SUM(IL4:IO4)-IP4&gt;0,SUM(IL4:IO4)-IP4,"")</f>
        <v/>
      </c>
      <c r="JI4" s="76" t="str">
        <f>IF(IS4&gt;0,IS4,"")</f>
        <v/>
      </c>
      <c r="JJ4" s="76" t="str">
        <f>IF(IT4&gt;0,IT4,"")</f>
        <v/>
      </c>
      <c r="JK4" s="76" t="str">
        <f>IF(SUM(IQ4:IT4)-IU4&gt;0,SUM(IQ4:IT4)-IU4,"")</f>
        <v/>
      </c>
      <c r="JL4" s="76" t="str">
        <f>IF(MAX(JH4,JK4)&gt;0,MAX(JH4,JK4),"")</f>
        <v/>
      </c>
      <c r="JM4" s="76" t="str">
        <f>IF(IX4&gt;0,IX4,"")</f>
        <v/>
      </c>
      <c r="JN4" s="76" t="str">
        <f>IF(IY4&gt;0,IY4,"")</f>
        <v/>
      </c>
      <c r="JO4" s="76" t="str">
        <f>IF(SUM(IV4:IY4)-IZ4&gt;0,SUM(IV4:IY4)-IZ4,"")</f>
        <v/>
      </c>
      <c r="JP4" s="76">
        <f>IF(JC4&gt;0,JC4,"")</f>
        <v>14.4</v>
      </c>
      <c r="JQ4" s="76">
        <f>IF(JD4&gt;0,JD4,"")</f>
        <v>15.065</v>
      </c>
      <c r="JR4" s="76">
        <f>IF(SUM(JA4:JD4)-JE4&gt;0,SUM(JA4:JD4)-JE4,"")</f>
        <v>54.265000000000001</v>
      </c>
      <c r="JS4" s="76">
        <f>IF(SUM(JL4,JR4)&gt;0,SUM(JL4,JR4),"")</f>
        <v>54.265000000000001</v>
      </c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16" t="str">
        <f>IF(JV4&gt;0,JV4,"")</f>
        <v/>
      </c>
      <c r="KO4" s="16" t="str">
        <f>IF(JW4&gt;0,JW4,"")</f>
        <v/>
      </c>
      <c r="KP4" s="16" t="str">
        <f>IF(SUM(JT4:JW4)-JX4&gt;0,SUM(JT4:JW4)-JX4,"")</f>
        <v/>
      </c>
      <c r="KQ4" s="16" t="str">
        <f>IF(KA4&gt;0,KA4,"")</f>
        <v/>
      </c>
      <c r="KR4" s="16" t="str">
        <f>IF(KB4&gt;0,KB4,"")</f>
        <v/>
      </c>
      <c r="KS4" s="16" t="str">
        <f>IF(SUM(JY4:KB4)-KC4&gt;0,SUM(JY4:KB4)-KC4,"")</f>
        <v/>
      </c>
      <c r="KT4" s="16" t="str">
        <f>IF(MAX(KP4,KS4)&gt;0,MAX(KP4,KS4),"")</f>
        <v/>
      </c>
      <c r="KU4" s="16" t="str">
        <f>IF(KF4&gt;0,KF4,"")</f>
        <v/>
      </c>
      <c r="KV4" s="16" t="str">
        <f>IF(KG4&gt;0,KG4,"")</f>
        <v/>
      </c>
      <c r="KW4" s="16" t="str">
        <f>IF(SUM(KD4:KG4)-KH4&gt;0,SUM(KD4:KG4)-KH4,"")</f>
        <v/>
      </c>
      <c r="KX4" s="16" t="str">
        <f>IF(KK4&gt;0,KK4,"")</f>
        <v/>
      </c>
      <c r="KY4" s="16" t="str">
        <f>IF(KL4&gt;0,KL4,"")</f>
        <v/>
      </c>
      <c r="KZ4" s="16" t="str">
        <f>IF(SUM(KI4:KL4)-KM4&gt;0,SUM(KI4:KL4)-KM4,"")</f>
        <v/>
      </c>
      <c r="LA4" s="16" t="str">
        <f>IF(SUM(KT4,KZ4)&gt;0,SUM(KT4,KZ4),"")</f>
        <v/>
      </c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76" t="str">
        <f>IF(LD4&gt;0,LD4,"")</f>
        <v/>
      </c>
      <c r="LW4" s="76" t="str">
        <f>IF(LE4&gt;0,LE4,"")</f>
        <v/>
      </c>
      <c r="LX4" s="76" t="str">
        <f>IF(SUM(LB4:LE4)-LF4&gt;0,SUM(LB4:LE4)-LF4,"")</f>
        <v/>
      </c>
      <c r="LY4" s="76" t="str">
        <f>IF(LI4&gt;0,LI4,"")</f>
        <v/>
      </c>
      <c r="LZ4" s="76" t="str">
        <f>IF(LJ4&gt;0,LJ4,"")</f>
        <v/>
      </c>
      <c r="MA4" s="76" t="str">
        <f>IF(SUM(LG4:LJ4)-LK4&gt;0,SUM(LG4:LJ4)-LK4,"")</f>
        <v/>
      </c>
      <c r="MB4" s="76" t="str">
        <f>IF(MAX(LX4,MA4)&gt;0,MAX(LX4,MA4),"")</f>
        <v/>
      </c>
      <c r="MC4" s="76" t="str">
        <f>IF(LN4&gt;0,LN4,"")</f>
        <v/>
      </c>
      <c r="MD4" s="76" t="str">
        <f>IF(LO4&gt;0,LO4,"")</f>
        <v/>
      </c>
      <c r="ME4" s="76" t="str">
        <f>IF(SUM(LL4:LO4)-LP4&gt;0,SUM(LL4:LO4)-LP4,"")</f>
        <v/>
      </c>
      <c r="MF4" s="76" t="str">
        <f>IF(LS4&gt;0,LS4,"")</f>
        <v/>
      </c>
      <c r="MG4" s="76" t="str">
        <f>IF(LT4&gt;0,LT4,"")</f>
        <v/>
      </c>
      <c r="MH4" s="76" t="str">
        <f>IF(SUM(LQ4:LT4)-LU4&gt;0,SUM(LQ4:LT4)-LU4,"")</f>
        <v/>
      </c>
      <c r="MI4" s="76" t="str">
        <f>IF(SUM(MB4,MH4)&gt;0,SUM(MB4,MH4),"")</f>
        <v/>
      </c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16" t="str">
        <f>IF(ML4&gt;0,ML4,"")</f>
        <v/>
      </c>
      <c r="NE4" s="16" t="str">
        <f>IF(MM4&gt;0,MM4,"")</f>
        <v/>
      </c>
      <c r="NF4" s="16" t="str">
        <f>IF(SUM(MJ4:MM4)-MN4&gt;0,SUM(MJ4:MM4)-MN4,"")</f>
        <v/>
      </c>
      <c r="NG4" s="16" t="str">
        <f>IF(MQ4&gt;0,MQ4,"")</f>
        <v/>
      </c>
      <c r="NH4" s="16" t="str">
        <f>IF(MR4&gt;0,MR4,"")</f>
        <v/>
      </c>
      <c r="NI4" s="16" t="str">
        <f>IF(SUM(MO4:MR4)-MS4&gt;0,SUM(MO4:MR4)-MS4,"")</f>
        <v/>
      </c>
      <c r="NJ4" s="16" t="str">
        <f>IF(MAX(NF4,NI4)&gt;0,MAX(NF4,NI4),"")</f>
        <v/>
      </c>
      <c r="NK4" s="16" t="str">
        <f>IF(MV4&gt;0,MV4,"")</f>
        <v/>
      </c>
      <c r="NL4" s="16" t="str">
        <f>IF(MW4&gt;0,MW4,"")</f>
        <v/>
      </c>
      <c r="NM4" s="16" t="str">
        <f>IF(SUM(MT4:MW4)-MX4&gt;0,SUM(MT4:MW4)-MX4,"")</f>
        <v/>
      </c>
      <c r="NN4" s="16" t="str">
        <f>IF(NA4&gt;0,NA4,"")</f>
        <v/>
      </c>
      <c r="NO4" s="16" t="str">
        <f>IF(NB4&gt;0,NB4,"")</f>
        <v/>
      </c>
      <c r="NP4" s="16" t="str">
        <f>IF(SUM(MY4:NB4)-NC4&gt;0,SUM(MY4:NB4)-NC4,"")</f>
        <v/>
      </c>
      <c r="NQ4" s="16" t="str">
        <f>IF(SUM(NJ4,NP4)&gt;0,SUM(NJ4,NP4),"")</f>
        <v/>
      </c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76" t="str">
        <f>IF(NT4&gt;0,NT4,"")</f>
        <v/>
      </c>
      <c r="OM4" s="76" t="str">
        <f>IF(NU4&gt;0,NU4,"")</f>
        <v/>
      </c>
      <c r="ON4" s="76" t="str">
        <f>IF(SUM(NR4:NU4)-NV4&gt;0,SUM(NR4:NU4)-NV4,"")</f>
        <v/>
      </c>
      <c r="OO4" s="76" t="str">
        <f>IF(NY4&gt;0,NY4,"")</f>
        <v/>
      </c>
      <c r="OP4" s="76" t="str">
        <f>IF(NZ4&gt;0,NZ4,"")</f>
        <v/>
      </c>
      <c r="OQ4" s="76" t="str">
        <f>IF(SUM(NW4:NZ4)-OA4&gt;0,SUM(NW4:NZ4)-OA4,"")</f>
        <v/>
      </c>
      <c r="OR4" s="76" t="str">
        <f>IF(MAX(ON4,OQ4)&gt;0,MAX(ON4,OQ4),"")</f>
        <v/>
      </c>
      <c r="OS4" s="76" t="str">
        <f>IF(OD4&gt;0,OD4,"")</f>
        <v/>
      </c>
      <c r="OT4" s="76" t="str">
        <f>IF(OE4&gt;0,OE4,"")</f>
        <v/>
      </c>
      <c r="OU4" s="76" t="str">
        <f>IF(SUM(OB4:OE4)-OF4&gt;0,SUM(OB4:OE4)-OF4,"")</f>
        <v/>
      </c>
      <c r="OV4" s="76" t="str">
        <f>IF(OI4&gt;0,OI4,"")</f>
        <v/>
      </c>
      <c r="OW4" s="76" t="str">
        <f>IF(OJ4&gt;0,OJ4,"")</f>
        <v/>
      </c>
      <c r="OX4" s="76" t="str">
        <f>IF(SUM(OG4:OJ4)-OK4&gt;0,SUM(OG4:OJ4)-OK4,"")</f>
        <v/>
      </c>
      <c r="OY4" s="76" t="str">
        <f>IF(SUM(OR4,OX4)&gt;0,SUM(OR4,OX4),"")</f>
        <v/>
      </c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16" t="str">
        <f>IF(PB4&gt;0,PB4,"")</f>
        <v/>
      </c>
      <c r="PU4" s="16" t="str">
        <f>IF(PC4&gt;0,PC4,"")</f>
        <v/>
      </c>
      <c r="PV4" s="16" t="str">
        <f>IF(SUM(OZ4:PC4)-PD4&gt;0,SUM(OZ4:PC4)-PD4,"")</f>
        <v/>
      </c>
      <c r="PW4" s="16" t="str">
        <f>IF(PG4&gt;0,PG4,"")</f>
        <v/>
      </c>
      <c r="PX4" s="16" t="str">
        <f>IF(PH4&gt;0,PH4,"")</f>
        <v/>
      </c>
      <c r="PY4" s="16" t="str">
        <f>IF(SUM(PE4:PH4)-PI4&gt;0,SUM(PE4:PH4)-PI4,"")</f>
        <v/>
      </c>
      <c r="PZ4" s="16" t="str">
        <f>IF(MAX(PV4,PY4)&gt;0,MAX(PV4,PY4),"")</f>
        <v/>
      </c>
      <c r="QA4" s="16" t="str">
        <f>IF(PL4&gt;0,PL4,"")</f>
        <v/>
      </c>
      <c r="QB4" s="16" t="str">
        <f>IF(PM4&gt;0,PM4,"")</f>
        <v/>
      </c>
      <c r="QC4" s="16" t="str">
        <f>IF(SUM(PJ4:PM4)-PN4&gt;0,SUM(PJ4:PM4)-PN4,"")</f>
        <v/>
      </c>
      <c r="QD4" s="16" t="str">
        <f>IF(PQ4&gt;0,PQ4,"")</f>
        <v/>
      </c>
      <c r="QE4" s="16" t="str">
        <f>IF(PR4&gt;0,PR4,"")</f>
        <v/>
      </c>
      <c r="QF4" s="16" t="str">
        <f>IF(SUM(PO4:PR4)-PS4&gt;0,SUM(PO4:PR4)-PS4,"")</f>
        <v/>
      </c>
      <c r="QG4" s="16" t="str">
        <f>IF(SUM(PZ4,QF4)&gt;0,SUM(PZ4,QF4),"")</f>
        <v/>
      </c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76" t="str">
        <f>IF(QJ4&gt;0,QJ4,"")</f>
        <v/>
      </c>
      <c r="RC4" s="76" t="str">
        <f>IF(QK4&gt;0,QK4,"")</f>
        <v/>
      </c>
      <c r="RD4" s="76" t="str">
        <f>IF(SUM(QH4:QK4)-QL4&gt;0,SUM(QH4:QK4)-QL4,"")</f>
        <v/>
      </c>
      <c r="RE4" s="76" t="str">
        <f>IF(QO4&gt;0,QO4,"")</f>
        <v/>
      </c>
      <c r="RF4" s="76" t="str">
        <f>IF(QP4&gt;0,QP4,"")</f>
        <v/>
      </c>
      <c r="RG4" s="76" t="str">
        <f>IF(SUM(QM4:QP4)-QQ4&gt;0,SUM(QM4:QP4)-QQ4,"")</f>
        <v/>
      </c>
      <c r="RH4" s="76" t="str">
        <f>IF(MAX(RD4,RG4)&gt;0,MAX(RD4,RG4),"")</f>
        <v/>
      </c>
      <c r="RI4" s="76" t="str">
        <f>IF(QT4&gt;0,QT4,"")</f>
        <v/>
      </c>
      <c r="RJ4" s="76" t="str">
        <f>IF(QU4&gt;0,QU4,"")</f>
        <v/>
      </c>
      <c r="RK4" s="76" t="str">
        <f>IF(SUM(QR4:QU4)-QV4&gt;0,SUM(QR4:QU4)-QV4,"")</f>
        <v/>
      </c>
      <c r="RL4" s="76" t="str">
        <f>IF(QY4&gt;0,QY4,"")</f>
        <v/>
      </c>
      <c r="RM4" s="76" t="str">
        <f>IF(QZ4&gt;0,QZ4,"")</f>
        <v/>
      </c>
      <c r="RN4" s="76" t="str">
        <f>IF(SUM(QW4:QZ4)-RA4&gt;0,SUM(QW4:QZ4)-RA4,"")</f>
        <v/>
      </c>
      <c r="RO4" s="76" t="str">
        <f>IF(SUM(RH4,RN4)&gt;0,SUM(RH4,RN4),"")</f>
        <v/>
      </c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16" t="str">
        <f>IF(RR4&gt;0,RR4,"")</f>
        <v/>
      </c>
      <c r="SK4" s="16" t="str">
        <f>IF(RS4&gt;0,RS4,"")</f>
        <v/>
      </c>
      <c r="SL4" s="16" t="str">
        <f>IF(SUM(RP4:RS4)-RT4&gt;0,SUM(RP4:RS4)-RT4,"")</f>
        <v/>
      </c>
      <c r="SM4" s="16" t="str">
        <f>IF(RW4&gt;0,RW4,"")</f>
        <v/>
      </c>
      <c r="SN4" s="16" t="str">
        <f>IF(RX4&gt;0,RX4,"")</f>
        <v/>
      </c>
      <c r="SO4" s="16" t="str">
        <f>IF(SUM(RU4:RX4)-RY4&gt;0,SUM(RU4:RX4)-RY4,"")</f>
        <v/>
      </c>
      <c r="SP4" s="16" t="str">
        <f>IF(MAX(SL4,SO4)&gt;0,MAX(SL4,SO4),"")</f>
        <v/>
      </c>
      <c r="SQ4" s="16" t="str">
        <f>IF(SB4&gt;0,SB4,"")</f>
        <v/>
      </c>
      <c r="SR4" s="16" t="str">
        <f>IF(SC4&gt;0,SC4,"")</f>
        <v/>
      </c>
      <c r="SS4" s="16" t="str">
        <f>IF(SUM(RZ4:SC4)-SD4&gt;0,SUM(RZ4:SC4)-SD4,"")</f>
        <v/>
      </c>
      <c r="ST4" s="16" t="str">
        <f>IF(SG4&gt;0,SG4,"")</f>
        <v/>
      </c>
      <c r="SU4" s="16" t="str">
        <f>IF(SH4&gt;0,SH4,"")</f>
        <v/>
      </c>
      <c r="SV4" s="16" t="str">
        <f>IF(SUM(SE4:SH4)-SI4&gt;0,SUM(SE4:SH4)-SI4,"")</f>
        <v/>
      </c>
      <c r="SW4" s="16" t="str">
        <f>IF(SUM(SP4,SV4)&gt;0,SUM(SP4,SV4),"")</f>
        <v/>
      </c>
      <c r="SX4" s="42">
        <f>IF($CP4="P",CA4,(CA4+AZ4)/2)</f>
        <v>16.299999999999997</v>
      </c>
      <c r="SY4" s="42">
        <f>IF($CP4="P",CB4,(CB4+BA4)/2)</f>
        <v>9.0875000000000004</v>
      </c>
      <c r="SZ4" s="42">
        <f>IF($CP4="P",CC4,(CC4+BB4)/2)</f>
        <v>13.850000000000001</v>
      </c>
      <c r="TA4" s="42">
        <f>IF($CP4="P",CD4,(CD4+BC4)/2)</f>
        <v>15.571249999999999</v>
      </c>
      <c r="TB4" s="42">
        <f>IF($CP4="P",CE4,(CE4+BD4)/2)</f>
        <v>0</v>
      </c>
      <c r="TC4" s="42">
        <f>IF($CP4="P",CF4,(CF4+BE4)/2)</f>
        <v>13.975000000000001</v>
      </c>
      <c r="TD4" s="42">
        <f>IF($CP4="P",CG4,(CG4+BF4)/2)</f>
        <v>7.85</v>
      </c>
      <c r="TE4" s="42">
        <f>IF($CP4="P",CH4,(CH4+BG4)/2)</f>
        <v>12.600000000000001</v>
      </c>
      <c r="TF4" s="42">
        <f>IF($CP4="P",CI4,(CI4+BH4)/2)</f>
        <v>13.54125</v>
      </c>
      <c r="TG4" s="42">
        <f>IF($CP4="P",CJ4,(CJ4+BI4)/2)</f>
        <v>0</v>
      </c>
      <c r="TH4" s="42">
        <f>IF($CP4="P",CK4,(CK4+BJ4)/2)</f>
        <v>15.675000000000001</v>
      </c>
      <c r="TI4" s="42">
        <f>IF($CP4="P",CL4,(CL4+BK4)/2)</f>
        <v>9.1999999999999993</v>
      </c>
      <c r="TJ4" s="42">
        <f>IF($CP4="P",CM4,(CM4+BL4)/2)</f>
        <v>13.524999999999999</v>
      </c>
      <c r="TK4" s="42">
        <f>IF($CP4="P",CN4,(CN4+BM4)/2)</f>
        <v>15.35</v>
      </c>
      <c r="TL4" s="42">
        <f>IF($CP4="P",CO4,(CO4+BN4)/2)</f>
        <v>0</v>
      </c>
      <c r="TM4" s="51" t="s">
        <v>61</v>
      </c>
      <c r="TN4" s="76">
        <f>IF(SZ4&gt;0,SZ4,"")</f>
        <v>13.850000000000001</v>
      </c>
      <c r="TO4" s="76">
        <f>IF(TA4&gt;0,TA4,"")</f>
        <v>15.571249999999999</v>
      </c>
      <c r="TP4" s="76">
        <f>IF(SUM(SX4:TA4)-TB4&gt;0,SUM(SX4:TA4)-TB4,"")</f>
        <v>54.808749999999996</v>
      </c>
      <c r="TQ4" s="76">
        <f>IF(TE4&gt;0,TE4,"")</f>
        <v>12.600000000000001</v>
      </c>
      <c r="TR4" s="76">
        <f>IF(TF4&gt;0,TF4,"")</f>
        <v>13.54125</v>
      </c>
      <c r="TS4" s="76">
        <f>IF(SUM(TC4:TF4)-TG4&gt;0,SUM(TC4:TF4)-TG4,"")</f>
        <v>47.966250000000002</v>
      </c>
      <c r="TT4" s="76">
        <f>IF(MAX(TP4,TS4)&gt;0,MAX(TP4,TS4),"")</f>
        <v>54.808749999999996</v>
      </c>
      <c r="TU4" s="76">
        <f>IF(TJ4&gt;0,TJ4,"")</f>
        <v>13.524999999999999</v>
      </c>
      <c r="TV4" s="76">
        <f>IF(TK4&gt;0,TK4,"")</f>
        <v>15.35</v>
      </c>
      <c r="TW4" s="76">
        <f>IF(SUM(TH4:TK4)-TL4&gt;0,SUM(TH4:TK4)-TL4,"")</f>
        <v>53.75</v>
      </c>
      <c r="TX4" s="76">
        <f>IF(SUM(TT4,TW4)&gt;0,SUM(TT4,TW4),"")</f>
        <v>108.55875</v>
      </c>
    </row>
    <row r="5" spans="1:544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29</v>
      </c>
      <c r="C5" s="7" t="s">
        <v>3</v>
      </c>
      <c r="D5" s="18">
        <v>1998</v>
      </c>
      <c r="E5" s="14">
        <f>SUM(J5:V5)+SUM(J5:T5)*0.0000001+SUM(J5)*0.0000000000001</f>
        <v>248.71002483100548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Z5&gt;=EM$17,DZ5&lt;&gt;"",EB5&gt;=EM$21,EB5&lt;&gt;""),AND(EC5&gt;=EM$17,EC5&lt;&gt;"",EE5&gt;=EM$21,EE5&lt;&gt;""),AND(EG5&gt;=EM$17,EG5&lt;&gt;"",EI5&gt;=EM$21,EI5&lt;&gt;""),AND(EJ5&gt;=EM$17,EJ5&lt;&gt;"",EL5&gt;=EM$21,EL5&lt;&gt;""),AND(FH5&gt;=FU$17,FH5&lt;&gt;"",FJ5&gt;=FU$21,FJ5&lt;&gt;""),AND(FK5&gt;=FU$17,FK5&lt;&gt;"",FM5&gt;=FU$21,FM5&lt;&gt;""),AND(FO5&gt;=FU$17,FO5&lt;&gt;"",FQ5&gt;=FU$21,FQ5&lt;&gt;""),AND(FR5&gt;=FU$17,FR5&lt;&gt;"",FT5&gt;=FU$21,FT5&lt;&gt;""),AND(GP5&gt;=HC$17,GP5&lt;&gt;"",GR5&gt;=HC$21,GR5&lt;&gt;""),AND(GS5&gt;=HC$17,GS5&lt;&gt;"",GU5&gt;=HC$21,GU5&lt;&gt;""),AND(GW5&gt;=HC$17,GW5&lt;&gt;"",GY5&gt;=HC$21,GY5&lt;&gt;""),AND(GZ5&gt;=HC$17,GZ5&lt;&gt;"",HB5&gt;=HC$21,HB5&lt;&gt;""),AND(HX5&gt;=IK$17,HX5&lt;&gt;"",HZ5&gt;=IK$21,HZ5&lt;&gt;""),AND(IA5&gt;=IK$17,IA5&lt;&gt;"",IC5&gt;=IK$21,IC5&lt;&gt;""),AND(IE5&gt;=IK$17,IE5&lt;&gt;"",IG5&gt;=IK$21,IG5&lt;&gt;""),AND(IH5&gt;=IK$17,IH5&lt;&gt;"",IJ5&gt;=IK$21,IJ5&lt;&gt;""),AND(JF5&gt;=JS$17,JF5&lt;&gt;"",JH5&gt;=JS$21,JH5&lt;&gt;""),AND(JI5&gt;=JS$17,JI5&lt;&gt;"",JK5&gt;=JS$21,JK5&lt;&gt;""),AND(JM5&gt;=JS$17,JM5&lt;&gt;"",JO5&gt;=JS$21,JO5&lt;&gt;""),AND(JP5&gt;=JS$17,JP5&lt;&gt;"",JR5&gt;=JS$21,JR5&lt;&gt;""),AND(KN5&gt;=LA$17,KN5&lt;&gt;"",KP5&gt;=LA$21,KP5&lt;&gt;""),AND(KQ5&gt;=LA$17,KQ5&lt;&gt;"",KS5&gt;=LA$21,KS5&lt;&gt;""),AND(KU5&gt;=LA$17,KU5&lt;&gt;"",KW5&gt;=LA$21,KW5&lt;&gt;""),AND(KX5&gt;=LA$17,KX5&lt;&gt;"",KZ5&gt;=LA$21,KZ5&lt;&gt;""),AND(LV5&gt;=MI$17,LV5&lt;&gt;"",LX5&gt;=MI$21,LX5&lt;&gt;""),AND(LY5&gt;=MI$17,LY5&lt;&gt;"",MA5&gt;=MI$21,MA5&lt;&gt;""),AND(MC5&gt;=MI$17,MC5&lt;&gt;"",ME5&gt;=MI$21,ME5&lt;&gt;""),AND(MF5&gt;=MI$17,MF5&lt;&gt;"",MH5&gt;=MI$21,MH5&lt;&gt;""),AND(ND5&gt;=NQ$17,ND5&lt;&gt;"",NF5&gt;=NQ$21,NF5&lt;&gt;""),AND(NG5&gt;=NQ$17,NG5&lt;&gt;"",NI5&gt;=NQ$21,NI5&lt;&gt;""),AND(NK5&gt;=NQ$17,NK5&lt;&gt;"",NM5&gt;=NQ$21,NM5&lt;&gt;""),AND(NN5&gt;=NQ$17,NN5&lt;&gt;"",NP5&gt;=NQ$21,NP5&lt;&gt;""),AND(OL5&gt;=OY$17,OL5&lt;&gt;"",ON5&gt;=OY$21,ON5&lt;&gt;""),AND(OO5&gt;=OY$17,OO5&lt;&gt;"",OQ5&gt;=OY$21,OQ5&lt;&gt;""),AND(OS5&gt;=OY$17,OS5&lt;&gt;"",OU5&gt;=OY$21,OU5&lt;&gt;""),AND(OV5&gt;=OY$17,OV5&lt;&gt;"",OX5&gt;=OY$21,OX5&lt;&gt;""),AND(PT5&gt;=QG$17,PT5&lt;&gt;"",PV5&gt;=QG$21,PV5&lt;&gt;""),AND(PW5&gt;=QG$17,PW5&lt;&gt;"",PY5&gt;=QG$21,PY5&lt;&gt;""),AND(QA5&gt;=QG$17,QA5&lt;&gt;"",QC5&gt;=QG$21,QC5&lt;&gt;""),AND(QD5&gt;=QG$17,QD5&lt;&gt;"",QF5&gt;=QG$21,QF5&lt;&gt;""),AND(RB5&gt;=RO$17,RB5&lt;&gt;"",RD5&gt;=RO$21,RD5&lt;&gt;""),AND(RE5&gt;=RO$17,RE5&lt;&gt;"",RG5&gt;=RO$21,RG5&lt;&gt;""),AND(RI5&gt;=RO$17,RI5&lt;&gt;"",RK5&gt;=RO$21,RK5&lt;&gt;""),AND(RL5&gt;=RO$17,RL5&lt;&gt;"",RN5&gt;=RO$21,RN5&lt;&gt;""),AND(SJ5&gt;=SW$17,SJ5&lt;&gt;"",SL5&gt;=SW$21,SL5&lt;&gt;""),AND(SM5&gt;=SW$17,SM5&lt;&gt;"",SO5&gt;=SW$21,SO5&lt;&gt;""),AND(SQ5&gt;=SW$17,SQ5&lt;&gt;"",SS5&gt;=SW$21,SS5&lt;&gt;""),AND(ST5&gt;=SW$17,ST5&lt;&gt;"",SV5&gt;=SW$21,SV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EB5&gt;=EM$21,EB5&lt;&gt;""),AND(EE5&gt;=EM$21,EE5&lt;&gt;""),AND(EI5&gt;=EM$21,EI5&lt;&gt;""),AND(EL5&gt;=EM$21,EL5&lt;&gt;""),AND(FJ5&gt;=FU$21,FJ5&lt;&gt;""),AND(FM5&gt;=FU$21,FM5&lt;&gt;""),AND(FQ5&gt;=FU$21,FQ5&lt;&gt;""),AND(FT5&gt;=FU$21,FT5&lt;&gt;""),AND(GR5&gt;=HC$21,GR5&lt;&gt;""),AND(GU5&gt;=HC$21,GU5&lt;&gt;""),AND(GY5&gt;=HC$21,GY5&lt;&gt;""),AND(HB5&gt;=HC$21,HB5&lt;&gt;""),AND(HZ5&gt;=IK$21,HZ5&lt;&gt;""),AND(IC5&gt;=IK$21,IC5&lt;&gt;""),AND(IG5&gt;=IK$21,IG5&lt;&gt;""),AND(IJ5&gt;=IK$21,IJ5&lt;&gt;""),AND(JH5&gt;=JS$21,JH5&lt;&gt;""),AND(JK5&gt;=JS$21,JK5&lt;&gt;""),AND(JO5&gt;=JS$21,JO5&lt;&gt;""),AND(JR5&gt;=JS$21,JR5&lt;&gt;""),AND(KP5&gt;=LA$21,KP5&lt;&gt;""),AND(KS5&gt;=LA$21,KS5&lt;&gt;""),AND(KW5&gt;=LA$21,KW5&lt;&gt;""),AND(KZ5&gt;=LA$21,KZ5&lt;&gt;""),AND(LX5&gt;=MI$21,LX5&lt;&gt;""),AND(MA5&gt;=MI$21,MA5&lt;&gt;""),AND(ME5&gt;=MI$21,ME5&lt;&gt;""),AND(MH5&gt;=MI$21,MH5&lt;&gt;""),AND(NF5&gt;=NQ$21,NF5&lt;&gt;""),AND(NI5&gt;=NQ$21,NI5&lt;&gt;""),AND(NM5&gt;=NQ$21,NM5&lt;&gt;""),AND(NP5&gt;=NQ$21,NP5&lt;&gt;""),AND(ON5&gt;=OY$21,ON5&lt;&gt;""),AND(OQ5&gt;=OY$21,OQ5&lt;&gt;""),AND(OU5&gt;=OY$21,OU5&lt;&gt;""),AND(OX5&gt;=OY$21,OX5&lt;&gt;""),AND(PV5&gt;=QG$21,PV5&lt;&gt;""),AND(PY5&gt;=QG$21,PY5&lt;&gt;""),AND(QC5&gt;=QG$21,QC5&lt;&gt;""),AND(QF5&gt;=QG$21,QF5&lt;&gt;""),AND(RD5&gt;=RO$21,RD5&lt;&gt;""),AND(RG5&gt;=RO$21,RG5&lt;&gt;""),AND(RK5&gt;=RO$21,RK5&lt;&gt;""),AND(RN5&gt;=RO$21,RN5&lt;&gt;""),AND(SL5&gt;=SW$21,SL5&lt;&gt;""),AND(SO5&gt;=SW$21,SO5&lt;&gt;""),AND(SS5&gt;=SW$21,SS5&lt;&gt;""),AND(SV5&gt;=SW$21,SV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Z5&gt;=EM$20,DZ5&lt;&gt;"",EB5&gt;=EM$24,EB5&lt;&gt;""),AND(EC5&gt;=EM$20,EC5&lt;&gt;"",EE5&gt;=EM$24,EE5&lt;&gt;""),AND(EG5&gt;=EM$20,EG5&lt;&gt;"",EI5&gt;=EM$24,EI5&lt;&gt;""),AND(EJ5&gt;=EM$20,EJ5&lt;&gt;"",EL5&gt;=EM$24,EL5&lt;&gt;""),AND(FH5&gt;=FU$20,FH5&lt;&gt;"",FJ5&gt;=FU$24,FJ5&lt;&gt;""),AND(FK5&gt;=FU$20,FK5&lt;&gt;"",FM5&gt;=FU$24,FM5&lt;&gt;""),AND(FO5&gt;=FU$20,FO5&lt;&gt;"",FQ5&gt;=FU$24,FQ5&lt;&gt;""),AND(FR5&gt;=FU$20,FR5&lt;&gt;"",FT5&gt;=FU$24,FT5&lt;&gt;""),AND(GP5&gt;=HC$20,GP5&lt;&gt;"",GR5&gt;=HC$24,GR5&lt;&gt;""),AND(GS5&gt;=HC$20,GS5&lt;&gt;"",GU5&gt;=HC$24,GU5&lt;&gt;""),AND(GW5&gt;=HC$20,GW5&lt;&gt;"",GY5&gt;=HC$24,GY5&lt;&gt;""),AND(GZ5&gt;=HC$20,GZ5&lt;&gt;"",HB5&gt;=HC$24,HB5&lt;&gt;""),AND(HX5&gt;=IK$20,HX5&lt;&gt;"",HZ5&gt;=IK$24,HZ5&lt;&gt;""),AND(IA5&gt;=IK$20,IA5&lt;&gt;"",IC5&gt;=IK$24,IC5&lt;&gt;""),AND(IE5&gt;=IK$20,IE5&lt;&gt;"",IG5&gt;=IK$24,IG5&lt;&gt;""),AND(IH5&gt;=IK$20,IH5&lt;&gt;"",IJ5&gt;=IK$24,IJ5&lt;&gt;""),AND(JF5&gt;=JS$20,JF5&lt;&gt;"",JH5&gt;=JS$24,JH5&lt;&gt;""),AND(JI5&gt;=JS$20,JI5&lt;&gt;"",JK5&gt;=JS$24,JK5&lt;&gt;""),AND(JM5&gt;=JS$20,JM5&lt;&gt;"",JO5&gt;=JS$24,JO5&lt;&gt;""),AND(JP5&gt;=JS$20,JP5&lt;&gt;"",JR5&gt;=JS$24,JR5&lt;&gt;""),AND(KN5&gt;=LA$20,KN5&lt;&gt;"",KP5&gt;=LA$24,KP5&lt;&gt;""),AND(KQ5&gt;=LA$20,KQ5&lt;&gt;"",KS5&gt;=LA$24,KS5&lt;&gt;""),AND(KU5&gt;=LA$20,KU5&lt;&gt;"",KW5&gt;=LA$24,KW5&lt;&gt;""),AND(KX5&gt;=LA$20,KX5&lt;&gt;"",KZ5&gt;=LA$24,KZ5&lt;&gt;""),AND(LV5&gt;=MI$20,LV5&lt;&gt;"",LX5&gt;=MI$24,LX5&lt;&gt;""),AND(LY5&gt;=MI$20,LY5&lt;&gt;"",MA5&gt;=MI$24,MA5&lt;&gt;""),AND(MC5&gt;=MI$20,MC5&lt;&gt;"",ME5&gt;=MI$24,ME5&lt;&gt;""),AND(MF5&gt;=MI$20,MF5&lt;&gt;"",MH5&gt;=MI$24,MH5&lt;&gt;""),AND(ND5&gt;=NQ$20,ND5&lt;&gt;"",NF5&gt;=NQ$24,NF5&lt;&gt;""),AND(NG5&gt;=NQ$20,NG5&lt;&gt;"",NI5&gt;=NQ$24,NI5&lt;&gt;""),AND(NK5&gt;=NQ$20,NK5&lt;&gt;"",NM5&gt;=NQ$24,NM5&lt;&gt;""),AND(NN5&gt;=NQ$20,NN5&lt;&gt;"",NP5&gt;=NQ$24,NP5&lt;&gt;""),AND(OL5&gt;=OY$20,OL5&lt;&gt;"",ON5&gt;=OY$24,ON5&lt;&gt;""),AND(OO5&gt;=OY$20,OO5&lt;&gt;"",OQ5&gt;=OY$24,OQ5&lt;&gt;""),AND(OS5&gt;=OY$20,OS5&lt;&gt;"",OU5&gt;=OY$24,OU5&lt;&gt;""),AND(OV5&gt;=OY$20,OV5&lt;&gt;"",OX5&gt;=OY$24,OX5&lt;&gt;""),AND(PT5&gt;=QG$20,PT5&lt;&gt;"",PV5&gt;=QG$24,PV5&lt;&gt;""),AND(PW5&gt;=QG$20,PW5&lt;&gt;"",PY5&gt;=QG$24,PY5&lt;&gt;""),AND(QA5&gt;=QG$20,QA5&lt;&gt;"",QC5&gt;=QG$24,QC5&lt;&gt;""),AND(QD5&gt;=QG$20,QD5&lt;&gt;"",QF5&gt;=QG$24,QF5&lt;&gt;""),AND(RB5&gt;=RO$20,RB5&lt;&gt;"",RD5&gt;=RO$24,RD5&lt;&gt;""),AND(RE5&gt;=RO$20,RE5&lt;&gt;"",RG5&gt;=RO$24,RG5&lt;&gt;""),AND(RI5&gt;=RO$20,RI5&lt;&gt;"",RK5&gt;=RO$24,RK5&lt;&gt;""),AND(RL5&gt;=RO$20,RL5&lt;&gt;"",RN5&gt;=RO$24,RN5&lt;&gt;""),AND(SJ5&gt;=SW$20,SJ5&lt;&gt;"",SL5&gt;=SW$24,SL5&lt;&gt;""),AND(SM5&gt;=SW$20,SM5&lt;&gt;"",SO5&gt;=SW$24,SO5&lt;&gt;""),AND(SQ5&gt;=SW$20,SQ5&lt;&gt;"",SS5&gt;=SW$24,SS5&lt;&gt;""),AND(ST5&gt;=SW$20,ST5&lt;&gt;"",SV5&gt;=SW$24,SV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Z5&gt;=EM$19,DZ5&lt;&gt;"",EB5&gt;=EM$23,EB5&lt;&gt;""),AND(EC5&gt;=EM$19,EC5&lt;&gt;"",EE5&gt;=EM$23,EE5&lt;&gt;""),AND(EG5&gt;=EM$19,EG5&lt;&gt;"",EI5&gt;=EM$23,EI5&lt;&gt;""),AND(EJ5&gt;=EM$19,EJ5&lt;&gt;"",EL5&gt;=EM$23,EL5&lt;&gt;""),AND(FH5&gt;=FU$19,FH5&lt;&gt;"",FJ5&gt;=FU$23,FJ5&lt;&gt;""),AND(FK5&gt;=FU$19,FK5&lt;&gt;"",FM5&gt;=FU$23,FM5&lt;&gt;""),AND(FO5&gt;=FU$19,FO5&lt;&gt;"",FQ5&gt;=FU$23,FQ5&lt;&gt;""),AND(FR5&gt;=FU$19,FR5&lt;&gt;"",FT5&gt;=FU$23,FT5&lt;&gt;""),AND(GP5&gt;=HC$19,GP5&lt;&gt;"",GR5&gt;=HC$23,GR5&lt;&gt;""),AND(GS5&gt;=HC$19,GS5&lt;&gt;"",GU5&gt;=HC$23,GU5&lt;&gt;""),AND(GW5&gt;=HC$19,GW5&lt;&gt;"",GY5&gt;=HC$23,GY5&lt;&gt;""),AND(GZ5&gt;=HC$19,GZ5&lt;&gt;"",HB5&gt;=HC$23,HB5&lt;&gt;""),AND(HX5&gt;=IK$19,HX5&lt;&gt;"",HZ5&gt;=IK$23,HZ5&lt;&gt;""),AND(IA5&gt;=IK$19,IA5&lt;&gt;"",IC5&gt;=IK$23,IC5&lt;&gt;""),AND(IE5&gt;=IK$19,IE5&lt;&gt;"",IG5&gt;=IK$23,IG5&lt;&gt;""),AND(IH5&gt;=IK$19,IH5&lt;&gt;"",IJ5&gt;=IK$23,IJ5&lt;&gt;""),AND(JF5&gt;=JS$19,JF5&lt;&gt;"",JH5&gt;=JS$23,JH5&lt;&gt;""),AND(JI5&gt;=JS$19,JI5&lt;&gt;"",JK5&gt;=JS$23,JK5&lt;&gt;""),AND(JM5&gt;=JS$19,JM5&lt;&gt;"",JO5&gt;=JS$23,JO5&lt;&gt;""),AND(JP5&gt;=JS$19,JP5&lt;&gt;"",JR5&gt;=JS$23,JR5&lt;&gt;""),AND(KN5&gt;=LA$19,KN5&lt;&gt;"",KP5&gt;=LA$23,KP5&lt;&gt;""),AND(KQ5&gt;=LA$19,KQ5&lt;&gt;"",KS5&gt;=LA$23,KS5&lt;&gt;""),AND(KU5&gt;=LA$19,KU5&lt;&gt;"",KW5&gt;=LA$23,KW5&lt;&gt;""),AND(KX5&gt;=LA$19,KX5&lt;&gt;"",KZ5&gt;=LA$23,KZ5&lt;&gt;""),AND(LV5&gt;=MI$19,LV5&lt;&gt;"",LX5&gt;=MI$23,LX5&lt;&gt;""),AND(LY5&gt;=MI$19,LY5&lt;&gt;"",MA5&gt;=MI$23,MA5&lt;&gt;""),AND(MC5&gt;=MI$19,MC5&lt;&gt;"",ME5&gt;=MI$23,ME5&lt;&gt;""),AND(MF5&gt;=MI$19,MF5&lt;&gt;"",MH5&gt;=MI$23,MH5&lt;&gt;""),AND(ND5&gt;=NQ$19,ND5&lt;&gt;"",NF5&gt;=NQ$23,NF5&lt;&gt;""),AND(NG5&gt;=NQ$19,NG5&lt;&gt;"",NI5&gt;=NQ$23,NI5&lt;&gt;""),AND(NK5&gt;=NQ$19,NK5&lt;&gt;"",NM5&gt;=NQ$23,NM5&lt;&gt;""),AND(NN5&gt;=NQ$19,NN5&lt;&gt;"",NP5&gt;=NQ$23,NP5&lt;&gt;""),AND(OL5&gt;=OY$19,OL5&lt;&gt;"",ON5&gt;=OY$23,ON5&lt;&gt;""),AND(OO5&gt;=OY$19,OO5&lt;&gt;"",OQ5&gt;=OY$23,OQ5&lt;&gt;""),AND(OS5&gt;=OY$19,OS5&lt;&gt;"",OU5&gt;=OY$23,OU5&lt;&gt;""),AND(OV5&gt;=OY$19,OV5&lt;&gt;"",OX5&gt;=OY$23,OX5&lt;&gt;""),AND(PT5&gt;=QG$19,PT5&lt;&gt;"",PV5&gt;=QG$23,PV5&lt;&gt;""),AND(PW5&gt;=QG$19,PW5&lt;&gt;"",PY5&gt;=QG$23,PY5&lt;&gt;""),AND(QA5&gt;=QG$19,QA5&lt;&gt;"",QC5&gt;=QG$23,QC5&lt;&gt;""),AND(QD5&gt;=QG$19,QD5&lt;&gt;"",QF5&gt;=QG$23,QF5&lt;&gt;""),AND(RB5&gt;=RO$19,RB5&lt;&gt;"",RD5&gt;=RO$23,RD5&lt;&gt;""),AND(RE5&gt;=RO$19,RE5&lt;&gt;"",RG5&gt;=RO$23,RG5&lt;&gt;""),AND(RI5&gt;=RO$19,RI5&lt;&gt;"",RK5&gt;=RO$23,RK5&lt;&gt;""),AND(RL5&gt;=RO$19,RL5&lt;&gt;"",RN5&gt;=RO$23,RN5&lt;&gt;""),AND(SJ5&gt;=SW$19,SJ5&lt;&gt;"",SL5&gt;=SW$23,SL5&lt;&gt;""),AND(SM5&gt;=SW$19,SM5&lt;&gt;"",SO5&gt;=SW$23,SO5&lt;&gt;""),AND(SQ5&gt;=SW$19,SQ5&lt;&gt;"",SS5&gt;=SW$23,SS5&lt;&gt;""),AND(ST5&gt;=SW$19,ST5&lt;&gt;"",SV5&gt;=SW$23,SV5&lt;&gt;"")),"Excellence",IF(I5="P","Worlds Team",IF(F5="P","National Team","")))))</f>
        <v>Merit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Z5&gt;=EM$18,DZ5&lt;&gt;"",EB5&gt;=EM$22,EB5&lt;&gt;""),AND(EC5&gt;=EM$18,EC5&lt;&gt;"",EE5&gt;=EM$22,EE5&lt;&gt;""),AND(EG5&gt;=EM$18,EG5&lt;&gt;"",EI5&gt;=EM$22,EI5&lt;&gt;""),AND(EJ5&gt;=EM$18,EJ5&lt;&gt;"",EL5&gt;=EM$22,EL5&lt;&gt;""),AND(FH5&gt;=FU$18,FH5&lt;&gt;"",FJ5&gt;=FU$22,FJ5&lt;&gt;""),AND(FK5&gt;=FU$18,FK5&lt;&gt;"",FM5&gt;=FU$22,FM5&lt;&gt;""),AND(FO5&gt;=FU$18,FO5&lt;&gt;"",FQ5&gt;=FU$22,FQ5&lt;&gt;""),AND(FR5&gt;=FU$18,FR5&lt;&gt;"",FT5&gt;=FU$22,FT5&lt;&gt;""),AND(GP5&gt;=HC$18,GP5&lt;&gt;"",GR5&gt;=HC$22,GR5&lt;&gt;""),AND(GS5&gt;=HC$18,GS5&lt;&gt;"",GU5&gt;=HC$22,GU5&lt;&gt;""),AND(GW5&gt;=HC$18,GW5&lt;&gt;"",GY5&gt;=HC$22,GY5&lt;&gt;""),AND(GZ5&gt;=HC$18,GZ5&lt;&gt;"",HB5&gt;=HC$22,HB5&lt;&gt;""),AND(HX5&gt;=IK$18,HX5&lt;&gt;"",HZ5&gt;=IK$22,HZ5&lt;&gt;""),AND(IA5&gt;=IK$18,IA5&lt;&gt;"",IC5&gt;=IK$22,IC5&lt;&gt;""),AND(IE5&gt;=IK$18,IE5&lt;&gt;"",IG5&gt;=IK$22,IG5&lt;&gt;""),AND(IH5&gt;=IK$18,IH5&lt;&gt;"",IJ5&gt;=IK$22,IJ5&lt;&gt;""),AND(JF5&gt;=JS$18,JF5&lt;&gt;"",JH5&gt;=JS$22,JH5&lt;&gt;""),AND(JI5&gt;=JS$18,JI5&lt;&gt;"",JK5&gt;=JS$22,JK5&lt;&gt;""),AND(JM5&gt;=JS$18,JM5&lt;&gt;"",JO5&gt;=JS$22,JO5&lt;&gt;""),AND(JP5&gt;=JS$18,JP5&lt;&gt;"",JR5&gt;=JS$22,JR5&lt;&gt;""),AND(KN5&gt;=LA$18,KN5&lt;&gt;"",KP5&gt;=LA$22,KP5&lt;&gt;""),AND(KQ5&gt;=LA$18,KQ5&lt;&gt;"",KS5&gt;=LA$22,KS5&lt;&gt;""),AND(KU5&gt;=LA$18,KU5&lt;&gt;"",KW5&gt;=LA$22,KW5&lt;&gt;""),AND(KX5&gt;=LA$18,KX5&lt;&gt;"",KZ5&gt;=LA$22,KZ5&lt;&gt;""),AND(LV5&gt;=MI$18,LV5&lt;&gt;"",LX5&gt;=MI$22,LX5&lt;&gt;""),AND(LY5&gt;=MI$18,LY5&lt;&gt;"",MA5&gt;=MI$22,MA5&lt;&gt;""),AND(MC5&gt;=MI$18,MC5&lt;&gt;"",ME5&gt;=MI$22,ME5&lt;&gt;""),AND(MF5&gt;=MI$18,MF5&lt;&gt;"",MH5&gt;=MI$22,MH5&lt;&gt;""),AND(ND5&gt;=NQ$18,ND5&lt;&gt;"",NF5&gt;=NQ$22,NF5&lt;&gt;""),AND(NG5&gt;=NQ$18,NG5&lt;&gt;"",NI5&gt;=NQ$22,NI5&lt;&gt;""),AND(NK5&gt;=NQ$18,NK5&lt;&gt;"",NM5&gt;=NQ$22,NM5&lt;&gt;""),AND(NN5&gt;=NQ$18,NN5&lt;&gt;"",NP5&gt;=NQ$22,NP5&lt;&gt;""),AND(OL5&gt;=OY$18,OL5&lt;&gt;"",ON5&gt;=OY$22,ON5&lt;&gt;""),AND(OO5&gt;=OY$18,OO5&lt;&gt;"",OQ5&gt;=OY$22,OQ5&lt;&gt;""),AND(OS5&gt;=OY$18,OS5&lt;&gt;"",OU5&gt;=OY$22,OU5&lt;&gt;""),AND(OV5&gt;=OY$18,OV5&lt;&gt;"",OX5&gt;=OY$22,OX5&lt;&gt;""),AND(PT5&gt;=QG$18,PT5&lt;&gt;"",PV5&gt;=QG$22,PV5&lt;&gt;""),AND(PW5&gt;=QG$18,PW5&lt;&gt;"",PY5&gt;=QG$22,PY5&lt;&gt;""),AND(QA5&gt;=QG$18,QA5&lt;&gt;"",QC5&gt;=QG$22,QC5&lt;&gt;""),AND(QD5&gt;=QG$18,QD5&lt;&gt;"",QF5&gt;=QG$22,QF5&lt;&gt;""),AND(RB5&gt;=RO$18,RB5&lt;&gt;"",RD5&gt;=RO$22,RD5&lt;&gt;""),AND(RE5&gt;=RO$18,RE5&lt;&gt;"",RG5&gt;=RO$22,RG5&lt;&gt;""),AND(RI5&gt;=RO$18,RI5&lt;&gt;"",RK5&gt;=RO$22,RK5&lt;&gt;""),AND(RL5&gt;=RO$18,RL5&lt;&gt;"",RN5&gt;=RO$22,RN5&lt;&gt;""),AND(SJ5&gt;=SW$18,SJ5&lt;&gt;"",SL5&gt;=SW$22,SL5&lt;&gt;""),AND(SM5&gt;=SW$18,SM5&lt;&gt;"",SO5&gt;=SW$22,SO5&lt;&gt;""),AND(SQ5&gt;=SW$18,SQ5&lt;&gt;"",SS5&gt;=SW$22,SS5&lt;&gt;""),AND(ST5&gt;=SW$18,ST5&lt;&gt;"",SV5&gt;=SW$22,SV5&lt;&gt;"")),"P","")</f>
        <v>P</v>
      </c>
      <c r="J5" s="13">
        <f>IF(COUNT(AQ5,AT5,BR5,BU5,CS5,CV5)&gt;0,LARGE((AQ5,AT5,BR5,BU5,CS5,CV5),1),0)</f>
        <v>54.83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54.67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54.51</v>
      </c>
      <c r="O5" s="13" t="str">
        <f>IF(N5="","",IF(OR(N5=CS5,N5=CV5),$CA$1,IF(OR(N5=BR5,N5=BU5),$AZ$1,IF(OR(N5=AQ5,N5=AT5),$Y$1,""))))</f>
        <v>2021 Elite Canada</v>
      </c>
      <c r="P5" s="13">
        <f>IF(MAX(AX5,BY5,CZ5)&gt;0,MAX(AX5,BY5,CZ5),0)</f>
        <v>55.1</v>
      </c>
      <c r="Q5" s="13" t="str">
        <f>IF(P5="","",IF(P5=CZ5,$CA$1,IF(P5=BY5,$AZ$1,IF(P5=AX5,$Y$1,""))))</f>
        <v>2021 Elite Canada</v>
      </c>
      <c r="R5" s="13">
        <f>IF(MAX(AO5,AR5,AV5,BP5,BS5,BW5,CQ5,CT5,CX5)&gt;0,MAX(AO5,AR5,BP5,BS5,CQ5,CT5,AV5),0)</f>
        <v>13.8</v>
      </c>
      <c r="S5" s="13" t="str">
        <f>IF(R5=0,"",IF(OR(R5=CQ5,R5=CT5,R5=CX5),$CA$1,IF(OR(R5=BP5,R5=BS5,R5=BW5),$AZ$1,IF(OR(R5=AO5,R5=AR5,R5=AV5),$Y$1,""))))</f>
        <v>2022 Elite Canada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),0)</f>
        <v>15.4</v>
      </c>
      <c r="U5" s="13" t="str">
        <f>IF(T5=0,"",IF(OR(T5=CR5,T5=CU5,T5=CY5),$CA$1,IF(OR(T5=BQ5,T5=BT5,T5=BX5),$AZ$1,IF(OR(T5=AP5,T5=AS5,T5=AW5),$Y$1,""))))</f>
        <v>2022 Elite Canada</v>
      </c>
      <c r="V5" s="13">
        <f>IF(MAX(DB5,DC5,DD5,DE5)&gt;0,MAX(DB5,DC5,DD5,DE5),"")</f>
        <v>0.39999999999999858</v>
      </c>
      <c r="W5" s="16" t="str">
        <f>IF(V5="","",IF(V5=DB5,"("&amp;DB$2&amp;")",IF(V5=DC5,"("&amp;DC$2&amp;")",IF(V5=DD5,"("&amp;DD$2&amp;")",IF(V5=DE5,"("&amp;DE$2&amp;")")))))</f>
        <v>(DD)</v>
      </c>
      <c r="X5" s="13" t="str">
        <f>IF(V5="","",IF(V5=DB5,IF(V5+IF(L5="",0,L5)=SP5,$RP$1,IF(V5+IF(L5="",0,L5)=RH5,$QH$1,IF(V5+IF(L5="",0,L5)=PZ5,$OZ$1,IF(V5+IF(L5="",0,L5)=OR5,$NR$1,IF(V5+IF(L5="",0,L5)=NJ5,$MJ$1,IF(V5+IF(L5="",0,L5)=MB5,$LB$1,IF(V5+IF(L5="",0,L5)=KT5,$JT$1,IF(V5+IF(L5="",0,L5)=JL5,$IL$1,IF(V5+IF(L5="",0,L5)=ID5,$HD$1,IF(V5+IF(L5="",0,L5)=GV5,$FV$1,IF(V5+IF(L5="",0,L5)=FN5,$EN$1,IF(V5+IF(L5="",0,L5)=EF5,$DF$1)))))))))))),IF(V5=DC5,IF(V5+IF(P5="",0,P5)=SV5,$RP$1,IF(V5+IF(P5="",0,P5)=RN5,$QH$1,IF(V5+IF(P5="",0,P5)=QF5,$OZ$1,IF(V5+IF(P5="",0,P5)=OX5,$NR$1,IF(V5+IF(P5="",0,P5)=NP5,$MJ$1,IF(V5+IF(P5="",0,P5)=MH5,$LB$1,IF(V5+IF(P5="",0,P5)=KZ5,$JT$1,IF(V5+IF(P5="",0,P5)=JR5,$IL$1,IF(V5+IF(P5="",0,P5)=IJ5,$HD$1,IF(V5+IF(P5="",0,P5)=HB5,$FV$1,IF(V5+IF(P5="",0,P5)=FT5,$EN$1,IF(V5+IF(P5="",0,P5)=EL5,$DF$1)))))))))))),IF(V5=DD5,IF(V5+IF(R5="",0,R5)=MAX(SJ5,SM5,SQ5,ST5),$RP$1,IF(V5+IF(R5="",0,R5)=MAX(RB5,RE5,RI5,RL5),$QH$1,IF(V5+IF(R5="",0,R5)=MAX(PT5,PW5,QA5,QD5),$OZ$1,IF(V5+IF(R5="",0,R5)=MAX(OL5,OO5,OS5,OV5),$NR$1,IF(V5+IF(R5="",0,R5)=MAX(ND5,NG5,NK5,NN5),$MJ$1,IF(V5+IF(R5="",0,R5)=MAX(LV5,LY5,MC5,MF5),$LB$1,IF(V5+IF(R5="",0,R5)=MAX(KN5,KQ5,KU5,KX5),$JT$1,IF(V5+IF(R5="",0,R5)=MAX(JF5,JI5,JM5,JP5),$IL$1,IF(V5+IF(R5="",0,R5)=MAX(HX5,IA5,IE5,IH5),$HD$1,IF(V5+IF(R5="",0,R5)=MAX(GP5,GS5,GW5,GZ5),$FV$1,IF(V5+IF(R5="",0,R5)=MAX(FH5,FK5,FO5,FR5),$EN$1,IF(V5+IF(R5="",0,R5)=MAX(DZ5,EC5,EG5,EJ5),$DF$1)))))))))))),IF(V5=DE5,IF(V5+IF(T5="",0,T5)=MAX(SK5,SN5,SR5,SU5),$RP$1,IF(V5+IF(T5="",0,T5)=MAX(RC5,RF5,RJ5,RM5),$QH$1,IF(V5+IF(T5="",0,T5)=MAX(PU5,PX5,QB5,QE5),$OZ$1,IF(V5+IF(T5="",0,T5)=MAX(OM5,OP5,OT5,OW5),$NR$1,IF(V5+IF(T5="",0,T5)=MAX(NE5,NH5,NL5,NO5),$MJ$1,IF(V5+IF(T5="",0,T5)=MAX(LW5,LZ5,MD5,MG5),$LB$1,IF(V5+IF(T5="",0,T5)=MAX(KO5,KR5,KV5,KY5),$JT$1,IF(V5+IF(T5="",0,T5)=MAX(JG5,JJ5,JN5,JQ5),$IL$1,IF(V5+IF(T5="",0,T5)=MAX(HY5,IB5,IF5,II5),$HD$1,IF(V5+IF(T5="",0,T5)=MAX(GQ5,GT5,GX5,HA5),$FV$1,IF(V5+IF(T5="",0,T5)=MAX(FI5,FL5,FP5,FS5),$EN$1,IF(V5+IF(T5="",0,T5)=MAX(EA5,ED5,EH5,EK5),$DF$1)))))))))))))))))</f>
        <v>2021 World Championships Team Finals (Nov 19)</v>
      </c>
      <c r="Y5" s="42">
        <v>16</v>
      </c>
      <c r="Z5" s="42">
        <v>9.3000000000000007</v>
      </c>
      <c r="AA5" s="42">
        <v>13.8</v>
      </c>
      <c r="AB5" s="42">
        <v>15.244999999999999</v>
      </c>
      <c r="AC5" s="42">
        <v>0</v>
      </c>
      <c r="AD5" s="42">
        <v>16.3</v>
      </c>
      <c r="AE5" s="42">
        <v>9.1999999999999993</v>
      </c>
      <c r="AF5" s="42">
        <v>13.8</v>
      </c>
      <c r="AG5" s="42">
        <v>15.21</v>
      </c>
      <c r="AH5" s="42">
        <v>0</v>
      </c>
      <c r="AI5" s="42">
        <v>16.600000000000001</v>
      </c>
      <c r="AJ5" s="42">
        <v>9.3000000000000007</v>
      </c>
      <c r="AK5" s="42">
        <v>13.8</v>
      </c>
      <c r="AL5" s="42">
        <v>15.4</v>
      </c>
      <c r="AM5" s="42">
        <v>0</v>
      </c>
      <c r="AN5" s="51"/>
      <c r="AO5" s="74">
        <f>IF(AA5&gt;0,AA5,"")</f>
        <v>13.8</v>
      </c>
      <c r="AP5" s="74">
        <f>IF(AB5&gt;0,AB5,"")</f>
        <v>15.244999999999999</v>
      </c>
      <c r="AQ5" s="76">
        <f>IF(SUM(Y5:AB5)-AC5&gt;0,SUM(Y5:AB5)-AC5,"")</f>
        <v>54.344999999999999</v>
      </c>
      <c r="AR5" s="76">
        <f>IF(AF5&gt;0,AF5,"")</f>
        <v>13.8</v>
      </c>
      <c r="AS5" s="76">
        <f>IF(AG5&gt;0,AG5,"")</f>
        <v>15.21</v>
      </c>
      <c r="AT5" s="76">
        <f>IF(SUM(AD5:AG5)-AH5&gt;0,SUM(AD5:AG5)-AH5,"")</f>
        <v>54.51</v>
      </c>
      <c r="AU5" s="76">
        <f>IF(AQ5="","",MAX(AQ5,AT5))</f>
        <v>54.51</v>
      </c>
      <c r="AV5" s="76">
        <f>IF(AK5&gt;0,AK5,"")</f>
        <v>13.8</v>
      </c>
      <c r="AW5" s="76">
        <f>IF(AL5&gt;0,AL5,"")</f>
        <v>15.4</v>
      </c>
      <c r="AX5" s="76">
        <f>IF(SUM(AI5:AL5)-AM5&gt;0,SUM(AI5:AL5)-AM5,"")</f>
        <v>55.1</v>
      </c>
      <c r="AY5" s="76">
        <f>IF(SUM(AU5,AX5)&gt;0,SUM(AU5,AX5),"")</f>
        <v>109.61</v>
      </c>
      <c r="AZ5" s="46">
        <v>7.2</v>
      </c>
      <c r="BA5" s="46">
        <v>4.4000000000000004</v>
      </c>
      <c r="BB5" s="46">
        <v>7.4</v>
      </c>
      <c r="BC5" s="46">
        <v>7.8</v>
      </c>
      <c r="BD5" s="46">
        <v>0</v>
      </c>
      <c r="BE5" s="46">
        <v>16.2</v>
      </c>
      <c r="BF5" s="46">
        <v>9.6</v>
      </c>
      <c r="BG5" s="46">
        <v>13.8</v>
      </c>
      <c r="BH5" s="46">
        <v>15.23</v>
      </c>
      <c r="BI5" s="46">
        <v>0</v>
      </c>
      <c r="BJ5" s="46">
        <v>15.9</v>
      </c>
      <c r="BK5" s="46">
        <v>9.1999999999999993</v>
      </c>
      <c r="BL5" s="46">
        <v>14.2</v>
      </c>
      <c r="BM5" s="46">
        <v>15.4</v>
      </c>
      <c r="BN5" s="46">
        <v>0</v>
      </c>
      <c r="BO5" s="52"/>
      <c r="BP5" s="75">
        <f>IF(BB5&gt;0,BB5,"")</f>
        <v>7.4</v>
      </c>
      <c r="BQ5" s="75">
        <f>IF(BC5&gt;0,BC5,"")</f>
        <v>7.8</v>
      </c>
      <c r="BR5" s="16">
        <f>IF(SUM(AZ5:BC5)-BD5&gt;0,SUM(AZ5:BC5)-BD5,"")</f>
        <v>26.8</v>
      </c>
      <c r="BS5" s="16">
        <f>IF(BG5&gt;0,BG5,"")</f>
        <v>13.8</v>
      </c>
      <c r="BT5" s="16">
        <f>IF(BH5&gt;0,BH5,"")</f>
        <v>15.23</v>
      </c>
      <c r="BU5" s="16">
        <f>IF(SUM(BE5:BH5)-BI5&gt;0,SUM(BE5:BH5)-BI5,"")</f>
        <v>54.83</v>
      </c>
      <c r="BV5" s="16">
        <f>IF(BR5="","",MAX(BR5,BU5))</f>
        <v>54.83</v>
      </c>
      <c r="BW5" s="16">
        <f>IF(BL5&gt;0,BL5,"")</f>
        <v>14.2</v>
      </c>
      <c r="BX5" s="16">
        <f>IF(BM5&gt;0,BM5,"")</f>
        <v>15.4</v>
      </c>
      <c r="BY5" s="16">
        <f>IF(SUM(BJ5:BM5)-BN5&gt;0,SUM(BJ5:BM5)-BN5,"")</f>
        <v>54.699999999999996</v>
      </c>
      <c r="BZ5" s="16">
        <f>IF(SUM(BV5,BY5)&gt;0,SUM(BV5,BY5),"")</f>
        <v>109.53</v>
      </c>
      <c r="CA5" s="42">
        <v>11.6</v>
      </c>
      <c r="CB5" s="42">
        <v>6.8500000000000005</v>
      </c>
      <c r="CC5" s="42">
        <v>10.600000000000001</v>
      </c>
      <c r="CD5" s="42">
        <v>11.522499999999999</v>
      </c>
      <c r="CE5" s="42">
        <v>0</v>
      </c>
      <c r="CF5" s="42">
        <v>16.25</v>
      </c>
      <c r="CG5" s="42">
        <v>9.3999999999999986</v>
      </c>
      <c r="CH5" s="42">
        <v>13.8</v>
      </c>
      <c r="CI5" s="42">
        <v>15.22</v>
      </c>
      <c r="CJ5" s="42">
        <v>0</v>
      </c>
      <c r="CK5" s="42">
        <v>16.25</v>
      </c>
      <c r="CL5" s="42">
        <v>9.25</v>
      </c>
      <c r="CM5" s="42">
        <v>14</v>
      </c>
      <c r="CN5" s="42">
        <v>15.4</v>
      </c>
      <c r="CO5" s="42">
        <v>0</v>
      </c>
      <c r="CP5" s="51" t="s">
        <v>61</v>
      </c>
      <c r="CQ5" s="74">
        <f>IF(CC5&gt;0,CC5,"")</f>
        <v>10.600000000000001</v>
      </c>
      <c r="CR5" s="74">
        <f>IF(CD5&gt;0,CD5,"")</f>
        <v>11.522499999999999</v>
      </c>
      <c r="CS5" s="76">
        <f>IF(SUM(CA5:CD5)-CE5&gt;0,SUM(CA5:CD5)-CE5,"")</f>
        <v>40.572499999999998</v>
      </c>
      <c r="CT5" s="76">
        <f>IF(CH5&gt;0,CH5,"")</f>
        <v>13.8</v>
      </c>
      <c r="CU5" s="76">
        <f>IF(CI5&gt;0,CI5,"")</f>
        <v>15.22</v>
      </c>
      <c r="CV5" s="76">
        <f>IF(SUM(CF5:CI5)-CJ5&gt;0,SUM(CF5:CI5)-CJ5,"")</f>
        <v>54.67</v>
      </c>
      <c r="CW5" s="76">
        <f>IF(CS5="","",MAX(CS5,CV5))</f>
        <v>54.67</v>
      </c>
      <c r="CX5" s="76">
        <f>IF(CM5&gt;0,CM5,"")</f>
        <v>14</v>
      </c>
      <c r="CY5" s="76">
        <f>IF(CN5&gt;0,CN5,"")</f>
        <v>15.4</v>
      </c>
      <c r="CZ5" s="76">
        <f>IF(SUM(CK5:CN5)-CO5&gt;0,SUM(CK5:CN5)-CO5,"")</f>
        <v>54.9</v>
      </c>
      <c r="DA5" s="76">
        <f>IF(SUM(CW5,CZ5)&gt;0,SUM(CW5,CZ5),"")</f>
        <v>109.57</v>
      </c>
      <c r="DB5" s="87" t="str">
        <f>IF(L5&gt;=0.001,IF(MAX(EF5,FN5,GV5,ID5,JL5,KT5,MB5,NJ5,OR5,PZ5,RH5,SP5)-IF(L5="",0,L5)&gt;0.001,MAX(EF5,FN5,GV5,ID5,JL5,KT5,MB5,NJ5,OR5,PZ5,RH5,SP5)-IF(L5="",0,L5),""),"")</f>
        <v/>
      </c>
      <c r="DC5" s="87" t="str">
        <f>IF(P5&gt;=0.001,IF(MAX(EI5,EL5,FQ5,FT5,GY5,HB5,IG5,IJ5,JO5,JR5,KW5,KZ5,ME5,MH5,NM5,NP5,OU5,OX5,QC5,QF5,RK5,RN5,SS5,SV5)-IF(P5="",0,P5)&gt;0.001,MAX(EI5,EL5,FQ5,FT5,GY5,HB5,IG5,IJ5,JO5,JR5,KW5,KZ5,ME5,MH5,NM5,NP5,OU5,OX5,QC5,QF5,RK5,RN5,SS5,SV5)-IF(P5="",0,P5),""),"")</f>
        <v/>
      </c>
      <c r="DD5" s="87">
        <f>IF(R5&gt;=0.001,IF(MAX(DZ5,EC5,EG5,EJ5,FH5,FK5,FO5,FR5,GP5,GS5,GW5,GZ5,HX5,IA5,IE5,IH5,JF5,JI5,JM5,JP5,KN5,KQ5,KU5,KX5,LV5,LY5,MC5,MF5,ND5,NG5,NK5,NN5,OL5,OO5,OS5,OV5,PT5,PW5,QA5,QD5,RB5,RE5,RI5,RL5,SJ5,SM5,SQ5,ST5)-IF(R5="",0,R5)&gt;0.001,MAX(DZ5,EC5,EG5,EJ5,FH5,FK5,FO5,FR5,GP5,GS5,GW5,GZ5,HX5,IA5,IE5,IH5,JF5,JI5,JM5,JP5,KN5,KQ5,KU5,KX5,LV5,LY5,MC5,MF5,ND5,NG5,NK5,NN5,OL5,OO5,OS5,OV5,PT5,PW5,QA5,QD5,RB5,RE5,RI5,RL5,SJ5,SM5,SQ5,ST5)-IF(R5="",0,R5),""),"")</f>
        <v>0.39999999999999858</v>
      </c>
      <c r="DE5" s="87" t="str">
        <f>IF(T5&gt;=0.001,IF(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&gt;0.001,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,""),"")</f>
        <v/>
      </c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76" t="str">
        <f>IF(DH5&gt;0,DH5,"")</f>
        <v/>
      </c>
      <c r="EA5" s="76" t="str">
        <f>IF(DI5&gt;0,DI5,"")</f>
        <v/>
      </c>
      <c r="EB5" s="76" t="str">
        <f>IF(SUM(DF5:DI5)-DJ5&gt;0,SUM(DF5:DI5)-DJ5,"")</f>
        <v/>
      </c>
      <c r="EC5" s="76" t="str">
        <f>IF(DM5&gt;0,DM5,"")</f>
        <v/>
      </c>
      <c r="ED5" s="76" t="str">
        <f>IF(DN5&gt;0,DN5,"")</f>
        <v/>
      </c>
      <c r="EE5" s="76" t="str">
        <f>IF(SUM(DK5:DN5)-DO5&gt;0,SUM(DK5:DN5)-DO5,"")</f>
        <v/>
      </c>
      <c r="EF5" s="76" t="str">
        <f>IF(MAX(EB5,EE5)&gt;0,MAX(EB5,EE5),"")</f>
        <v/>
      </c>
      <c r="EG5" s="76" t="str">
        <f>IF(DR5&gt;0,DR5,"")</f>
        <v/>
      </c>
      <c r="EH5" s="76" t="str">
        <f>IF(DS5&gt;0,DS5,"")</f>
        <v/>
      </c>
      <c r="EI5" s="76" t="str">
        <f>IF(SUM(DP5:DS5)-DT5&gt;0,SUM(DP5:DS5)-DT5,"")</f>
        <v/>
      </c>
      <c r="EJ5" s="76" t="str">
        <f>IF(DW5&gt;0,DW5,"")</f>
        <v/>
      </c>
      <c r="EK5" s="76" t="str">
        <f>IF(DX5&gt;0,DX5,"")</f>
        <v/>
      </c>
      <c r="EL5" s="76" t="str">
        <f>IF(SUM(DU5:DX5)-DY5&gt;0,SUM(DU5:DX5)-DY5,"")</f>
        <v/>
      </c>
      <c r="EM5" s="76" t="str">
        <f>IF(SUM(EF5,EL5)&gt;0,SUM(EF5,EL5),"")</f>
        <v/>
      </c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16" t="str">
        <f>IF(EP5&gt;0,EP5,"")</f>
        <v/>
      </c>
      <c r="FI5" s="16" t="str">
        <f>IF(EQ5&gt;0,EQ5,"")</f>
        <v/>
      </c>
      <c r="FJ5" s="16" t="str">
        <f>IF(SUM(EN5:EQ5)-ER5&gt;0,SUM(EN5:EQ5)-ER5,"")</f>
        <v/>
      </c>
      <c r="FK5" s="16" t="str">
        <f>IF(EU5&gt;0,EU5,"")</f>
        <v/>
      </c>
      <c r="FL5" s="16" t="str">
        <f>IF(EV5&gt;0,EV5,"")</f>
        <v/>
      </c>
      <c r="FM5" s="16" t="str">
        <f>IF(SUM(ES5:EV5)-EW5&gt;0,SUM(ES5:EV5)-EW5,"")</f>
        <v/>
      </c>
      <c r="FN5" s="16" t="str">
        <f>IF(MAX(FJ5,FM5)&gt;0,MAX(FJ5,FM5),"")</f>
        <v/>
      </c>
      <c r="FO5" s="16" t="str">
        <f>IF(EZ5&gt;0,EZ5,"")</f>
        <v/>
      </c>
      <c r="FP5" s="16" t="str">
        <f>IF(FA5&gt;0,FA5,"")</f>
        <v/>
      </c>
      <c r="FQ5" s="16" t="str">
        <f>IF(SUM(EX5:FA5)-FB5&gt;0,SUM(EX5:FA5)-FB5,"")</f>
        <v/>
      </c>
      <c r="FR5" s="16" t="str">
        <f>IF(FE5&gt;0,FE5,"")</f>
        <v/>
      </c>
      <c r="FS5" s="16" t="str">
        <f>IF(FF5&gt;0,FF5,"")</f>
        <v/>
      </c>
      <c r="FT5" s="16" t="str">
        <f>IF(SUM(FC5:FF5)-FG5&gt;0,SUM(FC5:FF5)-FG5,"")</f>
        <v/>
      </c>
      <c r="FU5" s="16" t="str">
        <f>IF(SUM(FN5,FT5)&gt;0,SUM(FN5,FT5),"")</f>
        <v/>
      </c>
      <c r="FV5" s="25">
        <v>14.8</v>
      </c>
      <c r="FW5" s="25">
        <v>9.5</v>
      </c>
      <c r="FX5" s="25">
        <v>14.2</v>
      </c>
      <c r="FY5" s="25">
        <v>14.595000000000001</v>
      </c>
      <c r="FZ5" s="25">
        <v>0</v>
      </c>
      <c r="GA5" s="25"/>
      <c r="GB5" s="25"/>
      <c r="GC5" s="25"/>
      <c r="GD5" s="25"/>
      <c r="GE5" s="25"/>
      <c r="GF5" s="25">
        <v>15.4</v>
      </c>
      <c r="GG5" s="25">
        <v>9.3000000000000007</v>
      </c>
      <c r="GH5" s="25">
        <v>14.2</v>
      </c>
      <c r="GI5" s="25">
        <v>14.435</v>
      </c>
      <c r="GJ5" s="25">
        <v>0</v>
      </c>
      <c r="GK5" s="25"/>
      <c r="GL5" s="25"/>
      <c r="GM5" s="25"/>
      <c r="GN5" s="25"/>
      <c r="GO5" s="25"/>
      <c r="GP5" s="76">
        <f>IF(FX5&gt;0,FX5,"")</f>
        <v>14.2</v>
      </c>
      <c r="GQ5" s="76">
        <f>IF(FY5&gt;0,FY5,"")</f>
        <v>14.595000000000001</v>
      </c>
      <c r="GR5" s="76">
        <f>IF(SUM(FV5:FY5)-FZ5&gt;0,SUM(FV5:FY5)-FZ5,"")</f>
        <v>53.094999999999999</v>
      </c>
      <c r="GS5" s="76" t="str">
        <f>IF(GC5&gt;0,GC5,"")</f>
        <v/>
      </c>
      <c r="GT5" s="76" t="str">
        <f>IF(GD5&gt;0,GD5,"")</f>
        <v/>
      </c>
      <c r="GU5" s="76" t="str">
        <f>IF(SUM(GA5:GD5)-GE5&gt;0,SUM(GA5:GD5)-GE5,"")</f>
        <v/>
      </c>
      <c r="GV5" s="76">
        <f>IF(MAX(GR5,GU5)&gt;0,MAX(GR5,GU5),"")</f>
        <v>53.094999999999999</v>
      </c>
      <c r="GW5" s="76">
        <f>IF(GH5&gt;0,GH5,"")</f>
        <v>14.2</v>
      </c>
      <c r="GX5" s="76">
        <f>IF(GI5&gt;0,GI5,"")</f>
        <v>14.435</v>
      </c>
      <c r="GY5" s="76">
        <f>IF(SUM(GF5:GI5)-GJ5&gt;0,SUM(GF5:GI5)-GJ5,"")</f>
        <v>53.335000000000008</v>
      </c>
      <c r="GZ5" s="76" t="str">
        <f>IF(GM5&gt;0,GM5,"")</f>
        <v/>
      </c>
      <c r="HA5" s="76" t="str">
        <f>IF(GN5&gt;0,GN5,"")</f>
        <v/>
      </c>
      <c r="HB5" s="76" t="str">
        <f>IF(SUM(GK5:GN5)-GO5&gt;0,SUM(GK5:GN5)-GO5,"")</f>
        <v/>
      </c>
      <c r="HC5" s="76">
        <f>IF(SUM(GV5,HB5)&gt;0,SUM(GV5,HB5),"")</f>
        <v>53.094999999999999</v>
      </c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>
        <v>14.9</v>
      </c>
      <c r="HT5" s="26">
        <v>9.5</v>
      </c>
      <c r="HU5" s="26">
        <v>14.2</v>
      </c>
      <c r="HV5" s="26">
        <v>14.67</v>
      </c>
      <c r="HW5" s="26">
        <v>0</v>
      </c>
      <c r="HX5" s="16" t="str">
        <f>IF(HF5&gt;0,HF5,"")</f>
        <v/>
      </c>
      <c r="HY5" s="16" t="str">
        <f>IF(HG5&gt;0,HG5,"")</f>
        <v/>
      </c>
      <c r="HZ5" s="16" t="str">
        <f>IF(SUM(HD5:HG5)-HH5&gt;0,SUM(HD5:HG5)-HH5,"")</f>
        <v/>
      </c>
      <c r="IA5" s="16" t="str">
        <f>IF(HK5&gt;0,HK5,"")</f>
        <v/>
      </c>
      <c r="IB5" s="16" t="str">
        <f>IF(HL5&gt;0,HL5,"")</f>
        <v/>
      </c>
      <c r="IC5" s="16" t="str">
        <f>IF(SUM(HI5:HL5)-HM5&gt;0,SUM(HI5:HL5)-HM5,"")</f>
        <v/>
      </c>
      <c r="ID5" s="16" t="str">
        <f>IF(MAX(HZ5,IC5)&gt;0,MAX(HZ5,IC5),"")</f>
        <v/>
      </c>
      <c r="IE5" s="16" t="str">
        <f>IF(HP5&gt;0,HP5,"")</f>
        <v/>
      </c>
      <c r="IF5" s="16" t="str">
        <f>IF(HQ5&gt;0,HQ5,"")</f>
        <v/>
      </c>
      <c r="IG5" s="16" t="str">
        <f>IF(SUM(HN5:HQ5)-HR5&gt;0,SUM(HN5:HQ5)-HR5,"")</f>
        <v/>
      </c>
      <c r="IH5" s="16">
        <f>IF(HU5&gt;0,HU5,"")</f>
        <v>14.2</v>
      </c>
      <c r="II5" s="16">
        <f>IF(HV5&gt;0,HV5,"")</f>
        <v>14.67</v>
      </c>
      <c r="IJ5" s="16">
        <f>IF(SUM(HS5:HV5)-HW5&gt;0,SUM(HS5:HV5)-HW5,"")</f>
        <v>53.269999999999996</v>
      </c>
      <c r="IK5" s="16">
        <f>IF(SUM(ID5,IJ5)&gt;0,SUM(ID5,IJ5),"")</f>
        <v>53.269999999999996</v>
      </c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76" t="str">
        <f>IF(IN5&gt;0,IN5,"")</f>
        <v/>
      </c>
      <c r="JG5" s="76" t="str">
        <f>IF(IO5&gt;0,IO5,"")</f>
        <v/>
      </c>
      <c r="JH5" s="76" t="str">
        <f>IF(SUM(IL5:IO5)-IP5&gt;0,SUM(IL5:IO5)-IP5,"")</f>
        <v/>
      </c>
      <c r="JI5" s="76" t="str">
        <f>IF(IS5&gt;0,IS5,"")</f>
        <v/>
      </c>
      <c r="JJ5" s="76" t="str">
        <f>IF(IT5&gt;0,IT5,"")</f>
        <v/>
      </c>
      <c r="JK5" s="76" t="str">
        <f>IF(SUM(IQ5:IT5)-IU5&gt;0,SUM(IQ5:IT5)-IU5,"")</f>
        <v/>
      </c>
      <c r="JL5" s="76" t="str">
        <f>IF(MAX(JH5,JK5)&gt;0,MAX(JH5,JK5),"")</f>
        <v/>
      </c>
      <c r="JM5" s="76" t="str">
        <f>IF(IX5&gt;0,IX5,"")</f>
        <v/>
      </c>
      <c r="JN5" s="76" t="str">
        <f>IF(IY5&gt;0,IY5,"")</f>
        <v/>
      </c>
      <c r="JO5" s="76" t="str">
        <f>IF(SUM(IV5:IY5)-IZ5&gt;0,SUM(IV5:IY5)-IZ5,"")</f>
        <v/>
      </c>
      <c r="JP5" s="76" t="str">
        <f>IF(JC5&gt;0,JC5,"")</f>
        <v/>
      </c>
      <c r="JQ5" s="76" t="str">
        <f>IF(JD5&gt;0,JD5,"")</f>
        <v/>
      </c>
      <c r="JR5" s="76" t="str">
        <f>IF(SUM(JA5:JD5)-JE5&gt;0,SUM(JA5:JD5)-JE5,"")</f>
        <v/>
      </c>
      <c r="JS5" s="76" t="str">
        <f>IF(SUM(JL5,JR5)&gt;0,SUM(JL5,JR5),"")</f>
        <v/>
      </c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16" t="str">
        <f>IF(JV5&gt;0,JV5,"")</f>
        <v/>
      </c>
      <c r="KO5" s="16" t="str">
        <f>IF(JW5&gt;0,JW5,"")</f>
        <v/>
      </c>
      <c r="KP5" s="16" t="str">
        <f>IF(SUM(JT5:JW5)-JX5&gt;0,SUM(JT5:JW5)-JX5,"")</f>
        <v/>
      </c>
      <c r="KQ5" s="16" t="str">
        <f>IF(KA5&gt;0,KA5,"")</f>
        <v/>
      </c>
      <c r="KR5" s="16" t="str">
        <f>IF(KB5&gt;0,KB5,"")</f>
        <v/>
      </c>
      <c r="KS5" s="16" t="str">
        <f>IF(SUM(JY5:KB5)-KC5&gt;0,SUM(JY5:KB5)-KC5,"")</f>
        <v/>
      </c>
      <c r="KT5" s="16" t="str">
        <f>IF(MAX(KP5,KS5)&gt;0,MAX(KP5,KS5),"")</f>
        <v/>
      </c>
      <c r="KU5" s="16" t="str">
        <f>IF(KF5&gt;0,KF5,"")</f>
        <v/>
      </c>
      <c r="KV5" s="16" t="str">
        <f>IF(KG5&gt;0,KG5,"")</f>
        <v/>
      </c>
      <c r="KW5" s="16" t="str">
        <f>IF(SUM(KD5:KG5)-KH5&gt;0,SUM(KD5:KG5)-KH5,"")</f>
        <v/>
      </c>
      <c r="KX5" s="16" t="str">
        <f>IF(KK5&gt;0,KK5,"")</f>
        <v/>
      </c>
      <c r="KY5" s="16" t="str">
        <f>IF(KL5&gt;0,KL5,"")</f>
        <v/>
      </c>
      <c r="KZ5" s="16" t="str">
        <f>IF(SUM(KI5:KL5)-KM5&gt;0,SUM(KI5:KL5)-KM5,"")</f>
        <v/>
      </c>
      <c r="LA5" s="16" t="str">
        <f>IF(SUM(KT5,KZ5)&gt;0,SUM(KT5,KZ5),"")</f>
        <v/>
      </c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76" t="str">
        <f>IF(LD5&gt;0,LD5,"")</f>
        <v/>
      </c>
      <c r="LW5" s="76" t="str">
        <f>IF(LE5&gt;0,LE5,"")</f>
        <v/>
      </c>
      <c r="LX5" s="76" t="str">
        <f>IF(SUM(LB5:LE5)-LF5&gt;0,SUM(LB5:LE5)-LF5,"")</f>
        <v/>
      </c>
      <c r="LY5" s="76" t="str">
        <f>IF(LI5&gt;0,LI5,"")</f>
        <v/>
      </c>
      <c r="LZ5" s="76" t="str">
        <f>IF(LJ5&gt;0,LJ5,"")</f>
        <v/>
      </c>
      <c r="MA5" s="76" t="str">
        <f>IF(SUM(LG5:LJ5)-LK5&gt;0,SUM(LG5:LJ5)-LK5,"")</f>
        <v/>
      </c>
      <c r="MB5" s="76" t="str">
        <f>IF(MAX(LX5,MA5)&gt;0,MAX(LX5,MA5),"")</f>
        <v/>
      </c>
      <c r="MC5" s="76" t="str">
        <f>IF(LN5&gt;0,LN5,"")</f>
        <v/>
      </c>
      <c r="MD5" s="76" t="str">
        <f>IF(LO5&gt;0,LO5,"")</f>
        <v/>
      </c>
      <c r="ME5" s="76" t="str">
        <f>IF(SUM(LL5:LO5)-LP5&gt;0,SUM(LL5:LO5)-LP5,"")</f>
        <v/>
      </c>
      <c r="MF5" s="76" t="str">
        <f>IF(LS5&gt;0,LS5,"")</f>
        <v/>
      </c>
      <c r="MG5" s="76" t="str">
        <f>IF(LT5&gt;0,LT5,"")</f>
        <v/>
      </c>
      <c r="MH5" s="76" t="str">
        <f>IF(SUM(LQ5:LT5)-LU5&gt;0,SUM(LQ5:LT5)-LU5,"")</f>
        <v/>
      </c>
      <c r="MI5" s="76" t="str">
        <f>IF(SUM(MB5,MH5)&gt;0,SUM(MB5,MH5),"")</f>
        <v/>
      </c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26"/>
      <c r="NC5" s="26"/>
      <c r="ND5" s="16" t="str">
        <f>IF(ML5&gt;0,ML5,"")</f>
        <v/>
      </c>
      <c r="NE5" s="16" t="str">
        <f>IF(MM5&gt;0,MM5,"")</f>
        <v/>
      </c>
      <c r="NF5" s="16" t="str">
        <f>IF(SUM(MJ5:MM5)-MN5&gt;0,SUM(MJ5:MM5)-MN5,"")</f>
        <v/>
      </c>
      <c r="NG5" s="16" t="str">
        <f>IF(MQ5&gt;0,MQ5,"")</f>
        <v/>
      </c>
      <c r="NH5" s="16" t="str">
        <f>IF(MR5&gt;0,MR5,"")</f>
        <v/>
      </c>
      <c r="NI5" s="16" t="str">
        <f>IF(SUM(MO5:MR5)-MS5&gt;0,SUM(MO5:MR5)-MS5,"")</f>
        <v/>
      </c>
      <c r="NJ5" s="16" t="str">
        <f>IF(MAX(NF5,NI5)&gt;0,MAX(NF5,NI5),"")</f>
        <v/>
      </c>
      <c r="NK5" s="16" t="str">
        <f>IF(MV5&gt;0,MV5,"")</f>
        <v/>
      </c>
      <c r="NL5" s="16" t="str">
        <f>IF(MW5&gt;0,MW5,"")</f>
        <v/>
      </c>
      <c r="NM5" s="16" t="str">
        <f>IF(SUM(MT5:MW5)-MX5&gt;0,SUM(MT5:MW5)-MX5,"")</f>
        <v/>
      </c>
      <c r="NN5" s="16" t="str">
        <f>IF(NA5&gt;0,NA5,"")</f>
        <v/>
      </c>
      <c r="NO5" s="16" t="str">
        <f>IF(NB5&gt;0,NB5,"")</f>
        <v/>
      </c>
      <c r="NP5" s="16" t="str">
        <f>IF(SUM(MY5:NB5)-NC5&gt;0,SUM(MY5:NB5)-NC5,"")</f>
        <v/>
      </c>
      <c r="NQ5" s="16" t="str">
        <f>IF(SUM(NJ5,NP5)&gt;0,SUM(NJ5,NP5),"")</f>
        <v/>
      </c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76" t="str">
        <f>IF(NT5&gt;0,NT5,"")</f>
        <v/>
      </c>
      <c r="OM5" s="76" t="str">
        <f>IF(NU5&gt;0,NU5,"")</f>
        <v/>
      </c>
      <c r="ON5" s="76" t="str">
        <f>IF(SUM(NR5:NU5)-NV5&gt;0,SUM(NR5:NU5)-NV5,"")</f>
        <v/>
      </c>
      <c r="OO5" s="76" t="str">
        <f>IF(NY5&gt;0,NY5,"")</f>
        <v/>
      </c>
      <c r="OP5" s="76" t="str">
        <f>IF(NZ5&gt;0,NZ5,"")</f>
        <v/>
      </c>
      <c r="OQ5" s="76" t="str">
        <f>IF(SUM(NW5:NZ5)-OA5&gt;0,SUM(NW5:NZ5)-OA5,"")</f>
        <v/>
      </c>
      <c r="OR5" s="76" t="str">
        <f>IF(MAX(ON5,OQ5)&gt;0,MAX(ON5,OQ5),"")</f>
        <v/>
      </c>
      <c r="OS5" s="76" t="str">
        <f>IF(OD5&gt;0,OD5,"")</f>
        <v/>
      </c>
      <c r="OT5" s="76" t="str">
        <f>IF(OE5&gt;0,OE5,"")</f>
        <v/>
      </c>
      <c r="OU5" s="76" t="str">
        <f>IF(SUM(OB5:OE5)-OF5&gt;0,SUM(OB5:OE5)-OF5,"")</f>
        <v/>
      </c>
      <c r="OV5" s="76" t="str">
        <f>IF(OI5&gt;0,OI5,"")</f>
        <v/>
      </c>
      <c r="OW5" s="76" t="str">
        <f>IF(OJ5&gt;0,OJ5,"")</f>
        <v/>
      </c>
      <c r="OX5" s="76" t="str">
        <f>IF(SUM(OG5:OJ5)-OK5&gt;0,SUM(OG5:OJ5)-OK5,"")</f>
        <v/>
      </c>
      <c r="OY5" s="76" t="str">
        <f>IF(SUM(OR5,OX5)&gt;0,SUM(OR5,OX5),"")</f>
        <v/>
      </c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16" t="str">
        <f>IF(PB5&gt;0,PB5,"")</f>
        <v/>
      </c>
      <c r="PU5" s="16" t="str">
        <f>IF(PC5&gt;0,PC5,"")</f>
        <v/>
      </c>
      <c r="PV5" s="16" t="str">
        <f>IF(SUM(OZ5:PC5)-PD5&gt;0,SUM(OZ5:PC5)-PD5,"")</f>
        <v/>
      </c>
      <c r="PW5" s="16" t="str">
        <f>IF(PG5&gt;0,PG5,"")</f>
        <v/>
      </c>
      <c r="PX5" s="16" t="str">
        <f>IF(PH5&gt;0,PH5,"")</f>
        <v/>
      </c>
      <c r="PY5" s="16" t="str">
        <f>IF(SUM(PE5:PH5)-PI5&gt;0,SUM(PE5:PH5)-PI5,"")</f>
        <v/>
      </c>
      <c r="PZ5" s="16" t="str">
        <f>IF(MAX(PV5,PY5)&gt;0,MAX(PV5,PY5),"")</f>
        <v/>
      </c>
      <c r="QA5" s="16" t="str">
        <f>IF(PL5&gt;0,PL5,"")</f>
        <v/>
      </c>
      <c r="QB5" s="16" t="str">
        <f>IF(PM5&gt;0,PM5,"")</f>
        <v/>
      </c>
      <c r="QC5" s="16" t="str">
        <f>IF(SUM(PJ5:PM5)-PN5&gt;0,SUM(PJ5:PM5)-PN5,"")</f>
        <v/>
      </c>
      <c r="QD5" s="16" t="str">
        <f>IF(PQ5&gt;0,PQ5,"")</f>
        <v/>
      </c>
      <c r="QE5" s="16" t="str">
        <f>IF(PR5&gt;0,PR5,"")</f>
        <v/>
      </c>
      <c r="QF5" s="16" t="str">
        <f>IF(SUM(PO5:PR5)-PS5&gt;0,SUM(PO5:PR5)-PS5,"")</f>
        <v/>
      </c>
      <c r="QG5" s="16" t="str">
        <f>IF(SUM(PZ5,QF5)&gt;0,SUM(PZ5,QF5),"")</f>
        <v/>
      </c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25"/>
      <c r="RA5" s="25"/>
      <c r="RB5" s="76" t="str">
        <f>IF(QJ5&gt;0,QJ5,"")</f>
        <v/>
      </c>
      <c r="RC5" s="76" t="str">
        <f>IF(QK5&gt;0,QK5,"")</f>
        <v/>
      </c>
      <c r="RD5" s="76" t="str">
        <f>IF(SUM(QH5:QK5)-QL5&gt;0,SUM(QH5:QK5)-QL5,"")</f>
        <v/>
      </c>
      <c r="RE5" s="76" t="str">
        <f>IF(QO5&gt;0,QO5,"")</f>
        <v/>
      </c>
      <c r="RF5" s="76" t="str">
        <f>IF(QP5&gt;0,QP5,"")</f>
        <v/>
      </c>
      <c r="RG5" s="76" t="str">
        <f>IF(SUM(QM5:QP5)-QQ5&gt;0,SUM(QM5:QP5)-QQ5,"")</f>
        <v/>
      </c>
      <c r="RH5" s="76" t="str">
        <f>IF(MAX(RD5,RG5)&gt;0,MAX(RD5,RG5),"")</f>
        <v/>
      </c>
      <c r="RI5" s="76" t="str">
        <f>IF(QT5&gt;0,QT5,"")</f>
        <v/>
      </c>
      <c r="RJ5" s="76" t="str">
        <f>IF(QU5&gt;0,QU5,"")</f>
        <v/>
      </c>
      <c r="RK5" s="76" t="str">
        <f>IF(SUM(QR5:QU5)-QV5&gt;0,SUM(QR5:QU5)-QV5,"")</f>
        <v/>
      </c>
      <c r="RL5" s="76" t="str">
        <f>IF(QY5&gt;0,QY5,"")</f>
        <v/>
      </c>
      <c r="RM5" s="76" t="str">
        <f>IF(QZ5&gt;0,QZ5,"")</f>
        <v/>
      </c>
      <c r="RN5" s="76" t="str">
        <f>IF(SUM(QW5:QZ5)-RA5&gt;0,SUM(QW5:QZ5)-RA5,"")</f>
        <v/>
      </c>
      <c r="RO5" s="76" t="str">
        <f>IF(SUM(RH5,RN5)&gt;0,SUM(RH5,RN5),"")</f>
        <v/>
      </c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26"/>
      <c r="SI5" s="26"/>
      <c r="SJ5" s="16" t="str">
        <f>IF(RR5&gt;0,RR5,"")</f>
        <v/>
      </c>
      <c r="SK5" s="16" t="str">
        <f>IF(RS5&gt;0,RS5,"")</f>
        <v/>
      </c>
      <c r="SL5" s="16" t="str">
        <f>IF(SUM(RP5:RS5)-RT5&gt;0,SUM(RP5:RS5)-RT5,"")</f>
        <v/>
      </c>
      <c r="SM5" s="16" t="str">
        <f>IF(RW5&gt;0,RW5,"")</f>
        <v/>
      </c>
      <c r="SN5" s="16" t="str">
        <f>IF(RX5&gt;0,RX5,"")</f>
        <v/>
      </c>
      <c r="SO5" s="16" t="str">
        <f>IF(SUM(RU5:RX5)-RY5&gt;0,SUM(RU5:RX5)-RY5,"")</f>
        <v/>
      </c>
      <c r="SP5" s="16" t="str">
        <f>IF(MAX(SL5,SO5)&gt;0,MAX(SL5,SO5),"")</f>
        <v/>
      </c>
      <c r="SQ5" s="16" t="str">
        <f>IF(SB5&gt;0,SB5,"")</f>
        <v/>
      </c>
      <c r="SR5" s="16" t="str">
        <f>IF(SC5&gt;0,SC5,"")</f>
        <v/>
      </c>
      <c r="SS5" s="16" t="str">
        <f>IF(SUM(RZ5:SC5)-SD5&gt;0,SUM(RZ5:SC5)-SD5,"")</f>
        <v/>
      </c>
      <c r="ST5" s="16" t="str">
        <f>IF(SG5&gt;0,SG5,"")</f>
        <v/>
      </c>
      <c r="SU5" s="16" t="str">
        <f>IF(SH5&gt;0,SH5,"")</f>
        <v/>
      </c>
      <c r="SV5" s="16" t="str">
        <f>IF(SUM(SE5:SH5)-SI5&gt;0,SUM(SE5:SH5)-SI5,"")</f>
        <v/>
      </c>
      <c r="SW5" s="16" t="str">
        <f>IF(SUM(SP5,SV5)&gt;0,SUM(SP5,SV5),"")</f>
        <v/>
      </c>
      <c r="SX5" s="42">
        <f>IF($CP5="P",CA5,(CA5+AZ5)/2)</f>
        <v>11.6</v>
      </c>
      <c r="SY5" s="42">
        <f>IF($CP5="P",CB5,(CB5+BA5)/2)</f>
        <v>6.8500000000000005</v>
      </c>
      <c r="SZ5" s="42">
        <f>IF($CP5="P",CC5,(CC5+BB5)/2)</f>
        <v>10.600000000000001</v>
      </c>
      <c r="TA5" s="42">
        <f>IF($CP5="P",CD5,(CD5+BC5)/2)</f>
        <v>11.522499999999999</v>
      </c>
      <c r="TB5" s="42">
        <f>IF($CP5="P",CE5,(CE5+BD5)/2)</f>
        <v>0</v>
      </c>
      <c r="TC5" s="42">
        <f>IF($CP5="P",CF5,(CF5+BE5)/2)</f>
        <v>16.25</v>
      </c>
      <c r="TD5" s="42">
        <f>IF($CP5="P",CG5,(CG5+BF5)/2)</f>
        <v>9.3999999999999986</v>
      </c>
      <c r="TE5" s="42">
        <f>IF($CP5="P",CH5,(CH5+BG5)/2)</f>
        <v>13.8</v>
      </c>
      <c r="TF5" s="42">
        <f>IF($CP5="P",CI5,(CI5+BH5)/2)</f>
        <v>15.22</v>
      </c>
      <c r="TG5" s="42">
        <f>IF($CP5="P",CJ5,(CJ5+BI5)/2)</f>
        <v>0</v>
      </c>
      <c r="TH5" s="42">
        <f>IF($CP5="P",CK5,(CK5+BJ5)/2)</f>
        <v>16.25</v>
      </c>
      <c r="TI5" s="42">
        <f>IF($CP5="P",CL5,(CL5+BK5)/2)</f>
        <v>9.25</v>
      </c>
      <c r="TJ5" s="42">
        <f>IF($CP5="P",CM5,(CM5+BL5)/2)</f>
        <v>14</v>
      </c>
      <c r="TK5" s="42">
        <f>IF($CP5="P",CN5,(CN5+BM5)/2)</f>
        <v>15.4</v>
      </c>
      <c r="TL5" s="42">
        <f>IF($CP5="P",CO5,(CO5+BN5)/2)</f>
        <v>0</v>
      </c>
      <c r="TM5" s="51" t="s">
        <v>61</v>
      </c>
      <c r="TN5" s="76">
        <f>IF(SZ5&gt;0,SZ5,"")</f>
        <v>10.600000000000001</v>
      </c>
      <c r="TO5" s="76">
        <f>IF(TA5&gt;0,TA5,"")</f>
        <v>11.522499999999999</v>
      </c>
      <c r="TP5" s="76">
        <f>IF(SUM(SX5:TA5)-TB5&gt;0,SUM(SX5:TA5)-TB5,"")</f>
        <v>40.572499999999998</v>
      </c>
      <c r="TQ5" s="76">
        <f>IF(TE5&gt;0,TE5,"")</f>
        <v>13.8</v>
      </c>
      <c r="TR5" s="76">
        <f>IF(TF5&gt;0,TF5,"")</f>
        <v>15.22</v>
      </c>
      <c r="TS5" s="76">
        <f>IF(SUM(TC5:TF5)-TG5&gt;0,SUM(TC5:TF5)-TG5,"")</f>
        <v>54.67</v>
      </c>
      <c r="TT5" s="76">
        <f>IF(MAX(TP5,TS5)&gt;0,MAX(TP5,TS5),"")</f>
        <v>54.67</v>
      </c>
      <c r="TU5" s="76">
        <f>IF(TJ5&gt;0,TJ5,"")</f>
        <v>14</v>
      </c>
      <c r="TV5" s="76">
        <f>IF(TK5&gt;0,TK5,"")</f>
        <v>15.4</v>
      </c>
      <c r="TW5" s="76">
        <f>IF(SUM(TH5:TK5)-TL5&gt;0,SUM(TH5:TK5)-TL5,"")</f>
        <v>54.9</v>
      </c>
      <c r="TX5" s="76">
        <f>IF(SUM(TT5,TW5)&gt;0,SUM(TT5,TW5),"")</f>
        <v>109.57</v>
      </c>
    </row>
    <row r="6" spans="1:544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26</v>
      </c>
      <c r="C6" s="4" t="s">
        <v>9</v>
      </c>
      <c r="D6" s="5">
        <v>1998</v>
      </c>
      <c r="E6" s="14">
        <f>SUM(J6:V6)+SUM(J6:T6)*0.0000001+SUM(J6)*0.0000000000001</f>
        <v>248.48502481850554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Z6&gt;=EM$17,DZ6&lt;&gt;"",EB6&gt;=EM$21,EB6&lt;&gt;""),AND(EC6&gt;=EM$17,EC6&lt;&gt;"",EE6&gt;=EM$21,EE6&lt;&gt;""),AND(EG6&gt;=EM$17,EG6&lt;&gt;"",EI6&gt;=EM$21,EI6&lt;&gt;""),AND(EJ6&gt;=EM$17,EJ6&lt;&gt;"",EL6&gt;=EM$21,EL6&lt;&gt;""),AND(FH6&gt;=FU$17,FH6&lt;&gt;"",FJ6&gt;=FU$21,FJ6&lt;&gt;""),AND(FK6&gt;=FU$17,FK6&lt;&gt;"",FM6&gt;=FU$21,FM6&lt;&gt;""),AND(FO6&gt;=FU$17,FO6&lt;&gt;"",FQ6&gt;=FU$21,FQ6&lt;&gt;""),AND(FR6&gt;=FU$17,FR6&lt;&gt;"",FT6&gt;=FU$21,FT6&lt;&gt;""),AND(GP6&gt;=HC$17,GP6&lt;&gt;"",GR6&gt;=HC$21,GR6&lt;&gt;""),AND(GS6&gt;=HC$17,GS6&lt;&gt;"",GU6&gt;=HC$21,GU6&lt;&gt;""),AND(GW6&gt;=HC$17,GW6&lt;&gt;"",GY6&gt;=HC$21,GY6&lt;&gt;""),AND(GZ6&gt;=HC$17,GZ6&lt;&gt;"",HB6&gt;=HC$21,HB6&lt;&gt;""),AND(HX6&gt;=IK$17,HX6&lt;&gt;"",HZ6&gt;=IK$21,HZ6&lt;&gt;""),AND(IA6&gt;=IK$17,IA6&lt;&gt;"",IC6&gt;=IK$21,IC6&lt;&gt;""),AND(IE6&gt;=IK$17,IE6&lt;&gt;"",IG6&gt;=IK$21,IG6&lt;&gt;""),AND(IH6&gt;=IK$17,IH6&lt;&gt;"",IJ6&gt;=IK$21,IJ6&lt;&gt;""),AND(JF6&gt;=JS$17,JF6&lt;&gt;"",JH6&gt;=JS$21,JH6&lt;&gt;""),AND(JI6&gt;=JS$17,JI6&lt;&gt;"",JK6&gt;=JS$21,JK6&lt;&gt;""),AND(JM6&gt;=JS$17,JM6&lt;&gt;"",JO6&gt;=JS$21,JO6&lt;&gt;""),AND(JP6&gt;=JS$17,JP6&lt;&gt;"",JR6&gt;=JS$21,JR6&lt;&gt;""),AND(KN6&gt;=LA$17,KN6&lt;&gt;"",KP6&gt;=LA$21,KP6&lt;&gt;""),AND(KQ6&gt;=LA$17,KQ6&lt;&gt;"",KS6&gt;=LA$21,KS6&lt;&gt;""),AND(KU6&gt;=LA$17,KU6&lt;&gt;"",KW6&gt;=LA$21,KW6&lt;&gt;""),AND(KX6&gt;=LA$17,KX6&lt;&gt;"",KZ6&gt;=LA$21,KZ6&lt;&gt;""),AND(LV6&gt;=MI$17,LV6&lt;&gt;"",LX6&gt;=MI$21,LX6&lt;&gt;""),AND(LY6&gt;=MI$17,LY6&lt;&gt;"",MA6&gt;=MI$21,MA6&lt;&gt;""),AND(MC6&gt;=MI$17,MC6&lt;&gt;"",ME6&gt;=MI$21,ME6&lt;&gt;""),AND(MF6&gt;=MI$17,MF6&lt;&gt;"",MH6&gt;=MI$21,MH6&lt;&gt;""),AND(ND6&gt;=NQ$17,ND6&lt;&gt;"",NF6&gt;=NQ$21,NF6&lt;&gt;""),AND(NG6&gt;=NQ$17,NG6&lt;&gt;"",NI6&gt;=NQ$21,NI6&lt;&gt;""),AND(NK6&gt;=NQ$17,NK6&lt;&gt;"",NM6&gt;=NQ$21,NM6&lt;&gt;""),AND(NN6&gt;=NQ$17,NN6&lt;&gt;"",NP6&gt;=NQ$21,NP6&lt;&gt;""),AND(OL6&gt;=OY$17,OL6&lt;&gt;"",ON6&gt;=OY$21,ON6&lt;&gt;""),AND(OO6&gt;=OY$17,OO6&lt;&gt;"",OQ6&gt;=OY$21,OQ6&lt;&gt;""),AND(OS6&gt;=OY$17,OS6&lt;&gt;"",OU6&gt;=OY$21,OU6&lt;&gt;""),AND(OV6&gt;=OY$17,OV6&lt;&gt;"",OX6&gt;=OY$21,OX6&lt;&gt;""),AND(PT6&gt;=QG$17,PT6&lt;&gt;"",PV6&gt;=QG$21,PV6&lt;&gt;""),AND(PW6&gt;=QG$17,PW6&lt;&gt;"",PY6&gt;=QG$21,PY6&lt;&gt;""),AND(QA6&gt;=QG$17,QA6&lt;&gt;"",QC6&gt;=QG$21,QC6&lt;&gt;""),AND(QD6&gt;=QG$17,QD6&lt;&gt;"",QF6&gt;=QG$21,QF6&lt;&gt;""),AND(RB6&gt;=RO$17,RB6&lt;&gt;"",RD6&gt;=RO$21,RD6&lt;&gt;""),AND(RE6&gt;=RO$17,RE6&lt;&gt;"",RG6&gt;=RO$21,RG6&lt;&gt;""),AND(RI6&gt;=RO$17,RI6&lt;&gt;"",RK6&gt;=RO$21,RK6&lt;&gt;""),AND(RL6&gt;=RO$17,RL6&lt;&gt;"",RN6&gt;=RO$21,RN6&lt;&gt;""),AND(SJ6&gt;=SW$17,SJ6&lt;&gt;"",SL6&gt;=SW$21,SL6&lt;&gt;""),AND(SM6&gt;=SW$17,SM6&lt;&gt;"",SO6&gt;=SW$21,SO6&lt;&gt;""),AND(SQ6&gt;=SW$17,SQ6&lt;&gt;"",SS6&gt;=SW$21,SS6&lt;&gt;""),AND(ST6&gt;=SW$17,ST6&lt;&gt;"",SV6&gt;=SW$21,SV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EB6&gt;=EM$21,EB6&lt;&gt;""),AND(EE6&gt;=EM$21,EE6&lt;&gt;""),AND(EI6&gt;=EM$21,EI6&lt;&gt;""),AND(EL6&gt;=EM$21,EL6&lt;&gt;""),AND(FJ6&gt;=FU$21,FJ6&lt;&gt;""),AND(FM6&gt;=FU$21,FM6&lt;&gt;""),AND(FQ6&gt;=FU$21,FQ6&lt;&gt;""),AND(FT6&gt;=FU$21,FT6&lt;&gt;""),AND(GR6&gt;=HC$21,GR6&lt;&gt;""),AND(GU6&gt;=HC$21,GU6&lt;&gt;""),AND(GY6&gt;=HC$21,GY6&lt;&gt;""),AND(HB6&gt;=HC$21,HB6&lt;&gt;""),AND(HZ6&gt;=IK$21,HZ6&lt;&gt;""),AND(IC6&gt;=IK$21,IC6&lt;&gt;""),AND(IG6&gt;=IK$21,IG6&lt;&gt;""),AND(IJ6&gt;=IK$21,IJ6&lt;&gt;""),AND(JH6&gt;=JS$21,JH6&lt;&gt;""),AND(JK6&gt;=JS$21,JK6&lt;&gt;""),AND(JO6&gt;=JS$21,JO6&lt;&gt;""),AND(JR6&gt;=JS$21,JR6&lt;&gt;""),AND(KP6&gt;=LA$21,KP6&lt;&gt;""),AND(KS6&gt;=LA$21,KS6&lt;&gt;""),AND(KW6&gt;=LA$21,KW6&lt;&gt;""),AND(KZ6&gt;=LA$21,KZ6&lt;&gt;""),AND(LX6&gt;=MI$21,LX6&lt;&gt;""),AND(MA6&gt;=MI$21,MA6&lt;&gt;""),AND(ME6&gt;=MI$21,ME6&lt;&gt;""),AND(MH6&gt;=MI$21,MH6&lt;&gt;""),AND(NF6&gt;=NQ$21,NF6&lt;&gt;""),AND(NI6&gt;=NQ$21,NI6&lt;&gt;""),AND(NM6&gt;=NQ$21,NM6&lt;&gt;""),AND(NP6&gt;=NQ$21,NP6&lt;&gt;""),AND(ON6&gt;=OY$21,ON6&lt;&gt;""),AND(OQ6&gt;=OY$21,OQ6&lt;&gt;""),AND(OU6&gt;=OY$21,OU6&lt;&gt;""),AND(OX6&gt;=OY$21,OX6&lt;&gt;""),AND(PV6&gt;=QG$21,PV6&lt;&gt;""),AND(PY6&gt;=QG$21,PY6&lt;&gt;""),AND(QC6&gt;=QG$21,QC6&lt;&gt;""),AND(QF6&gt;=QG$21,QF6&lt;&gt;""),AND(RD6&gt;=RO$21,RD6&lt;&gt;""),AND(RG6&gt;=RO$21,RG6&lt;&gt;""),AND(RK6&gt;=RO$21,RK6&lt;&gt;""),AND(RN6&gt;=RO$21,RN6&lt;&gt;""),AND(SL6&gt;=SW$21,SL6&lt;&gt;""),AND(SO6&gt;=SW$21,SO6&lt;&gt;""),AND(SS6&gt;=SW$21,SS6&lt;&gt;""),AND(SV6&gt;=SW$21,SV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Z6&gt;=EM$20,DZ6&lt;&gt;"",EB6&gt;=EM$24,EB6&lt;&gt;""),AND(EC6&gt;=EM$20,EC6&lt;&gt;"",EE6&gt;=EM$24,EE6&lt;&gt;""),AND(EG6&gt;=EM$20,EG6&lt;&gt;"",EI6&gt;=EM$24,EI6&lt;&gt;""),AND(EJ6&gt;=EM$20,EJ6&lt;&gt;"",EL6&gt;=EM$24,EL6&lt;&gt;""),AND(FH6&gt;=FU$20,FH6&lt;&gt;"",FJ6&gt;=FU$24,FJ6&lt;&gt;""),AND(FK6&gt;=FU$20,FK6&lt;&gt;"",FM6&gt;=FU$24,FM6&lt;&gt;""),AND(FO6&gt;=FU$20,FO6&lt;&gt;"",FQ6&gt;=FU$24,FQ6&lt;&gt;""),AND(FR6&gt;=FU$20,FR6&lt;&gt;"",FT6&gt;=FU$24,FT6&lt;&gt;""),AND(GP6&gt;=HC$20,GP6&lt;&gt;"",GR6&gt;=HC$24,GR6&lt;&gt;""),AND(GS6&gt;=HC$20,GS6&lt;&gt;"",GU6&gt;=HC$24,GU6&lt;&gt;""),AND(GW6&gt;=HC$20,GW6&lt;&gt;"",GY6&gt;=HC$24,GY6&lt;&gt;""),AND(GZ6&gt;=HC$20,GZ6&lt;&gt;"",HB6&gt;=HC$24,HB6&lt;&gt;""),AND(HX6&gt;=IK$20,HX6&lt;&gt;"",HZ6&gt;=IK$24,HZ6&lt;&gt;""),AND(IA6&gt;=IK$20,IA6&lt;&gt;"",IC6&gt;=IK$24,IC6&lt;&gt;""),AND(IE6&gt;=IK$20,IE6&lt;&gt;"",IG6&gt;=IK$24,IG6&lt;&gt;""),AND(IH6&gt;=IK$20,IH6&lt;&gt;"",IJ6&gt;=IK$24,IJ6&lt;&gt;""),AND(JF6&gt;=JS$20,JF6&lt;&gt;"",JH6&gt;=JS$24,JH6&lt;&gt;""),AND(JI6&gt;=JS$20,JI6&lt;&gt;"",JK6&gt;=JS$24,JK6&lt;&gt;""),AND(JM6&gt;=JS$20,JM6&lt;&gt;"",JO6&gt;=JS$24,JO6&lt;&gt;""),AND(JP6&gt;=JS$20,JP6&lt;&gt;"",JR6&gt;=JS$24,JR6&lt;&gt;""),AND(KN6&gt;=LA$20,KN6&lt;&gt;"",KP6&gt;=LA$24,KP6&lt;&gt;""),AND(KQ6&gt;=LA$20,KQ6&lt;&gt;"",KS6&gt;=LA$24,KS6&lt;&gt;""),AND(KU6&gt;=LA$20,KU6&lt;&gt;"",KW6&gt;=LA$24,KW6&lt;&gt;""),AND(KX6&gt;=LA$20,KX6&lt;&gt;"",KZ6&gt;=LA$24,KZ6&lt;&gt;""),AND(LV6&gt;=MI$20,LV6&lt;&gt;"",LX6&gt;=MI$24,LX6&lt;&gt;""),AND(LY6&gt;=MI$20,LY6&lt;&gt;"",MA6&gt;=MI$24,MA6&lt;&gt;""),AND(MC6&gt;=MI$20,MC6&lt;&gt;"",ME6&gt;=MI$24,ME6&lt;&gt;""),AND(MF6&gt;=MI$20,MF6&lt;&gt;"",MH6&gt;=MI$24,MH6&lt;&gt;""),AND(ND6&gt;=NQ$20,ND6&lt;&gt;"",NF6&gt;=NQ$24,NF6&lt;&gt;""),AND(NG6&gt;=NQ$20,NG6&lt;&gt;"",NI6&gt;=NQ$24,NI6&lt;&gt;""),AND(NK6&gt;=NQ$20,NK6&lt;&gt;"",NM6&gt;=NQ$24,NM6&lt;&gt;""),AND(NN6&gt;=NQ$20,NN6&lt;&gt;"",NP6&gt;=NQ$24,NP6&lt;&gt;""),AND(OL6&gt;=OY$20,OL6&lt;&gt;"",ON6&gt;=OY$24,ON6&lt;&gt;""),AND(OO6&gt;=OY$20,OO6&lt;&gt;"",OQ6&gt;=OY$24,OQ6&lt;&gt;""),AND(OS6&gt;=OY$20,OS6&lt;&gt;"",OU6&gt;=OY$24,OU6&lt;&gt;""),AND(OV6&gt;=OY$20,OV6&lt;&gt;"",OX6&gt;=OY$24,OX6&lt;&gt;""),AND(PT6&gt;=QG$20,PT6&lt;&gt;"",PV6&gt;=QG$24,PV6&lt;&gt;""),AND(PW6&gt;=QG$20,PW6&lt;&gt;"",PY6&gt;=QG$24,PY6&lt;&gt;""),AND(QA6&gt;=QG$20,QA6&lt;&gt;"",QC6&gt;=QG$24,QC6&lt;&gt;""),AND(QD6&gt;=QG$20,QD6&lt;&gt;"",QF6&gt;=QG$24,QF6&lt;&gt;""),AND(RB6&gt;=RO$20,RB6&lt;&gt;"",RD6&gt;=RO$24,RD6&lt;&gt;""),AND(RE6&gt;=RO$20,RE6&lt;&gt;"",RG6&gt;=RO$24,RG6&lt;&gt;""),AND(RI6&gt;=RO$20,RI6&lt;&gt;"",RK6&gt;=RO$24,RK6&lt;&gt;""),AND(RL6&gt;=RO$20,RL6&lt;&gt;"",RN6&gt;=RO$24,RN6&lt;&gt;""),AND(SJ6&gt;=SW$20,SJ6&lt;&gt;"",SL6&gt;=SW$24,SL6&lt;&gt;""),AND(SM6&gt;=SW$20,SM6&lt;&gt;"",SO6&gt;=SW$24,SO6&lt;&gt;""),AND(SQ6&gt;=SW$20,SQ6&lt;&gt;"",SS6&gt;=SW$24,SS6&lt;&gt;""),AND(ST6&gt;=SW$20,ST6&lt;&gt;"",SV6&gt;=SW$24,SV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Z6&gt;=EM$19,DZ6&lt;&gt;"",EB6&gt;=EM$23,EB6&lt;&gt;""),AND(EC6&gt;=EM$19,EC6&lt;&gt;"",EE6&gt;=EM$23,EE6&lt;&gt;""),AND(EG6&gt;=EM$19,EG6&lt;&gt;"",EI6&gt;=EM$23,EI6&lt;&gt;""),AND(EJ6&gt;=EM$19,EJ6&lt;&gt;"",EL6&gt;=EM$23,EL6&lt;&gt;""),AND(FH6&gt;=FU$19,FH6&lt;&gt;"",FJ6&gt;=FU$23,FJ6&lt;&gt;""),AND(FK6&gt;=FU$19,FK6&lt;&gt;"",FM6&gt;=FU$23,FM6&lt;&gt;""),AND(FO6&gt;=FU$19,FO6&lt;&gt;"",FQ6&gt;=FU$23,FQ6&lt;&gt;""),AND(FR6&gt;=FU$19,FR6&lt;&gt;"",FT6&gt;=FU$23,FT6&lt;&gt;""),AND(GP6&gt;=HC$19,GP6&lt;&gt;"",GR6&gt;=HC$23,GR6&lt;&gt;""),AND(GS6&gt;=HC$19,GS6&lt;&gt;"",GU6&gt;=HC$23,GU6&lt;&gt;""),AND(GW6&gt;=HC$19,GW6&lt;&gt;"",GY6&gt;=HC$23,GY6&lt;&gt;""),AND(GZ6&gt;=HC$19,GZ6&lt;&gt;"",HB6&gt;=HC$23,HB6&lt;&gt;""),AND(HX6&gt;=IK$19,HX6&lt;&gt;"",HZ6&gt;=IK$23,HZ6&lt;&gt;""),AND(IA6&gt;=IK$19,IA6&lt;&gt;"",IC6&gt;=IK$23,IC6&lt;&gt;""),AND(IE6&gt;=IK$19,IE6&lt;&gt;"",IG6&gt;=IK$23,IG6&lt;&gt;""),AND(IH6&gt;=IK$19,IH6&lt;&gt;"",IJ6&gt;=IK$23,IJ6&lt;&gt;""),AND(JF6&gt;=JS$19,JF6&lt;&gt;"",JH6&gt;=JS$23,JH6&lt;&gt;""),AND(JI6&gt;=JS$19,JI6&lt;&gt;"",JK6&gt;=JS$23,JK6&lt;&gt;""),AND(JM6&gt;=JS$19,JM6&lt;&gt;"",JO6&gt;=JS$23,JO6&lt;&gt;""),AND(JP6&gt;=JS$19,JP6&lt;&gt;"",JR6&gt;=JS$23,JR6&lt;&gt;""),AND(KN6&gt;=LA$19,KN6&lt;&gt;"",KP6&gt;=LA$23,KP6&lt;&gt;""),AND(KQ6&gt;=LA$19,KQ6&lt;&gt;"",KS6&gt;=LA$23,KS6&lt;&gt;""),AND(KU6&gt;=LA$19,KU6&lt;&gt;"",KW6&gt;=LA$23,KW6&lt;&gt;""),AND(KX6&gt;=LA$19,KX6&lt;&gt;"",KZ6&gt;=LA$23,KZ6&lt;&gt;""),AND(LV6&gt;=MI$19,LV6&lt;&gt;"",LX6&gt;=MI$23,LX6&lt;&gt;""),AND(LY6&gt;=MI$19,LY6&lt;&gt;"",MA6&gt;=MI$23,MA6&lt;&gt;""),AND(MC6&gt;=MI$19,MC6&lt;&gt;"",ME6&gt;=MI$23,ME6&lt;&gt;""),AND(MF6&gt;=MI$19,MF6&lt;&gt;"",MH6&gt;=MI$23,MH6&lt;&gt;""),AND(ND6&gt;=NQ$19,ND6&lt;&gt;"",NF6&gt;=NQ$23,NF6&lt;&gt;""),AND(NG6&gt;=NQ$19,NG6&lt;&gt;"",NI6&gt;=NQ$23,NI6&lt;&gt;""),AND(NK6&gt;=NQ$19,NK6&lt;&gt;"",NM6&gt;=NQ$23,NM6&lt;&gt;""),AND(NN6&gt;=NQ$19,NN6&lt;&gt;"",NP6&gt;=NQ$23,NP6&lt;&gt;""),AND(OL6&gt;=OY$19,OL6&lt;&gt;"",ON6&gt;=OY$23,ON6&lt;&gt;""),AND(OO6&gt;=OY$19,OO6&lt;&gt;"",OQ6&gt;=OY$23,OQ6&lt;&gt;""),AND(OS6&gt;=OY$19,OS6&lt;&gt;"",OU6&gt;=OY$23,OU6&lt;&gt;""),AND(OV6&gt;=OY$19,OV6&lt;&gt;"",OX6&gt;=OY$23,OX6&lt;&gt;""),AND(PT6&gt;=QG$19,PT6&lt;&gt;"",PV6&gt;=QG$23,PV6&lt;&gt;""),AND(PW6&gt;=QG$19,PW6&lt;&gt;"",PY6&gt;=QG$23,PY6&lt;&gt;""),AND(QA6&gt;=QG$19,QA6&lt;&gt;"",QC6&gt;=QG$23,QC6&lt;&gt;""),AND(QD6&gt;=QG$19,QD6&lt;&gt;"",QF6&gt;=QG$23,QF6&lt;&gt;""),AND(RB6&gt;=RO$19,RB6&lt;&gt;"",RD6&gt;=RO$23,RD6&lt;&gt;""),AND(RE6&gt;=RO$19,RE6&lt;&gt;"",RG6&gt;=RO$23,RG6&lt;&gt;""),AND(RI6&gt;=RO$19,RI6&lt;&gt;"",RK6&gt;=RO$23,RK6&lt;&gt;""),AND(RL6&gt;=RO$19,RL6&lt;&gt;"",RN6&gt;=RO$23,RN6&lt;&gt;""),AND(SJ6&gt;=SW$19,SJ6&lt;&gt;"",SL6&gt;=SW$23,SL6&lt;&gt;""),AND(SM6&gt;=SW$19,SM6&lt;&gt;"",SO6&gt;=SW$23,SO6&lt;&gt;""),AND(SQ6&gt;=SW$19,SQ6&lt;&gt;"",SS6&gt;=SW$23,SS6&lt;&gt;""),AND(ST6&gt;=SW$19,ST6&lt;&gt;"",SV6&gt;=SW$23,SV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Z6&gt;=EM$18,DZ6&lt;&gt;"",EB6&gt;=EM$22,EB6&lt;&gt;""),AND(EC6&gt;=EM$18,EC6&lt;&gt;"",EE6&gt;=EM$22,EE6&lt;&gt;""),AND(EG6&gt;=EM$18,EG6&lt;&gt;"",EI6&gt;=EM$22,EI6&lt;&gt;""),AND(EJ6&gt;=EM$18,EJ6&lt;&gt;"",EL6&gt;=EM$22,EL6&lt;&gt;""),AND(FH6&gt;=FU$18,FH6&lt;&gt;"",FJ6&gt;=FU$22,FJ6&lt;&gt;""),AND(FK6&gt;=FU$18,FK6&lt;&gt;"",FM6&gt;=FU$22,FM6&lt;&gt;""),AND(FO6&gt;=FU$18,FO6&lt;&gt;"",FQ6&gt;=FU$22,FQ6&lt;&gt;""),AND(FR6&gt;=FU$18,FR6&lt;&gt;"",FT6&gt;=FU$22,FT6&lt;&gt;""),AND(GP6&gt;=HC$18,GP6&lt;&gt;"",GR6&gt;=HC$22,GR6&lt;&gt;""),AND(GS6&gt;=HC$18,GS6&lt;&gt;"",GU6&gt;=HC$22,GU6&lt;&gt;""),AND(GW6&gt;=HC$18,GW6&lt;&gt;"",GY6&gt;=HC$22,GY6&lt;&gt;""),AND(GZ6&gt;=HC$18,GZ6&lt;&gt;"",HB6&gt;=HC$22,HB6&lt;&gt;""),AND(HX6&gt;=IK$18,HX6&lt;&gt;"",HZ6&gt;=IK$22,HZ6&lt;&gt;""),AND(IA6&gt;=IK$18,IA6&lt;&gt;"",IC6&gt;=IK$22,IC6&lt;&gt;""),AND(IE6&gt;=IK$18,IE6&lt;&gt;"",IG6&gt;=IK$22,IG6&lt;&gt;""),AND(IH6&gt;=IK$18,IH6&lt;&gt;"",IJ6&gt;=IK$22,IJ6&lt;&gt;""),AND(JF6&gt;=JS$18,JF6&lt;&gt;"",JH6&gt;=JS$22,JH6&lt;&gt;""),AND(JI6&gt;=JS$18,JI6&lt;&gt;"",JK6&gt;=JS$22,JK6&lt;&gt;""),AND(JM6&gt;=JS$18,JM6&lt;&gt;"",JO6&gt;=JS$22,JO6&lt;&gt;""),AND(JP6&gt;=JS$18,JP6&lt;&gt;"",JR6&gt;=JS$22,JR6&lt;&gt;""),AND(KN6&gt;=LA$18,KN6&lt;&gt;"",KP6&gt;=LA$22,KP6&lt;&gt;""),AND(KQ6&gt;=LA$18,KQ6&lt;&gt;"",KS6&gt;=LA$22,KS6&lt;&gt;""),AND(KU6&gt;=LA$18,KU6&lt;&gt;"",KW6&gt;=LA$22,KW6&lt;&gt;""),AND(KX6&gt;=LA$18,KX6&lt;&gt;"",KZ6&gt;=LA$22,KZ6&lt;&gt;""),AND(LV6&gt;=MI$18,LV6&lt;&gt;"",LX6&gt;=MI$22,LX6&lt;&gt;""),AND(LY6&gt;=MI$18,LY6&lt;&gt;"",MA6&gt;=MI$22,MA6&lt;&gt;""),AND(MC6&gt;=MI$18,MC6&lt;&gt;"",ME6&gt;=MI$22,ME6&lt;&gt;""),AND(MF6&gt;=MI$18,MF6&lt;&gt;"",MH6&gt;=MI$22,MH6&lt;&gt;""),AND(ND6&gt;=NQ$18,ND6&lt;&gt;"",NF6&gt;=NQ$22,NF6&lt;&gt;""),AND(NG6&gt;=NQ$18,NG6&lt;&gt;"",NI6&gt;=NQ$22,NI6&lt;&gt;""),AND(NK6&gt;=NQ$18,NK6&lt;&gt;"",NM6&gt;=NQ$22,NM6&lt;&gt;""),AND(NN6&gt;=NQ$18,NN6&lt;&gt;"",NP6&gt;=NQ$22,NP6&lt;&gt;""),AND(OL6&gt;=OY$18,OL6&lt;&gt;"",ON6&gt;=OY$22,ON6&lt;&gt;""),AND(OO6&gt;=OY$18,OO6&lt;&gt;"",OQ6&gt;=OY$22,OQ6&lt;&gt;""),AND(OS6&gt;=OY$18,OS6&lt;&gt;"",OU6&gt;=OY$22,OU6&lt;&gt;""),AND(OV6&gt;=OY$18,OV6&lt;&gt;"",OX6&gt;=OY$22,OX6&lt;&gt;""),AND(PT6&gt;=QG$18,PT6&lt;&gt;"",PV6&gt;=QG$22,PV6&lt;&gt;""),AND(PW6&gt;=QG$18,PW6&lt;&gt;"",PY6&gt;=QG$22,PY6&lt;&gt;""),AND(QA6&gt;=QG$18,QA6&lt;&gt;"",QC6&gt;=QG$22,QC6&lt;&gt;""),AND(QD6&gt;=QG$18,QD6&lt;&gt;"",QF6&gt;=QG$22,QF6&lt;&gt;""),AND(RB6&gt;=RO$18,RB6&lt;&gt;"",RD6&gt;=RO$22,RD6&lt;&gt;""),AND(RE6&gt;=RO$18,RE6&lt;&gt;"",RG6&gt;=RO$22,RG6&lt;&gt;""),AND(RI6&gt;=RO$18,RI6&lt;&gt;"",RK6&gt;=RO$22,RK6&lt;&gt;""),AND(RL6&gt;=RO$18,RL6&lt;&gt;"",RN6&gt;=RO$22,RN6&lt;&gt;""),AND(SJ6&gt;=SW$18,SJ6&lt;&gt;"",SL6&gt;=SW$22,SL6&lt;&gt;""),AND(SM6&gt;=SW$18,SM6&lt;&gt;"",SO6&gt;=SW$22,SO6&lt;&gt;""),AND(SQ6&gt;=SW$18,SQ6&lt;&gt;"",SS6&gt;=SW$22,SS6&lt;&gt;""),AND(ST6&gt;=SW$18,ST6&lt;&gt;"",SV6&gt;=SW$22,SV6&lt;&gt;"")),"P","")</f>
        <v>P</v>
      </c>
      <c r="J6" s="13">
        <f>IF(COUNT(AQ6,AT6,BR6,BU6,CS6,CV6)&gt;0,LARGE((AQ6,AT6,BR6,BU6,CS6,CV6),1),0)</f>
        <v>55.199999999999996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54.55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54.52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55.050000000000004</v>
      </c>
      <c r="Q6" s="13" t="str">
        <f>IF(P6="","",IF(P6=CZ6,$CA$1,IF(P6=BY6,$AZ$1,IF(P6=AX6,$Y$1,""))))</f>
        <v>2021 Canadian Championships</v>
      </c>
      <c r="R6" s="13">
        <f>IF(MAX(AO6,AR6,AV6,BP6,BS6,BW6,CQ6,CT6,CX6)&gt;0,MAX(AO6,AR6,BP6,BS6,CQ6,CT6,AV6),0)</f>
        <v>13.7</v>
      </c>
      <c r="S6" s="13" t="str">
        <f>IF(R6=0,"",IF(OR(R6=CQ6,R6=CT6,R6=CX6),$CA$1,IF(OR(R6=BP6,R6=BS6,R6=BW6),$AZ$1,IF(OR(R6=AO6,R6=AR6,R6=AV6),$Y$1,""))))</f>
        <v>2022 Elite Canada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),0)</f>
        <v>15.164999999999999</v>
      </c>
      <c r="U6" s="13" t="str">
        <f>IF(T6=0,"",IF(OR(T6=CR6,T6=CU6,T6=CY6),$CA$1,IF(OR(T6=BQ6,T6=BT6,T6=BX6),$AZ$1,IF(OR(T6=AP6,T6=AS6,T6=AW6),$Y$1,""))))</f>
        <v>2021 Elite Canada</v>
      </c>
      <c r="V6" s="13">
        <f>IF(MAX(DB6,DC6,DD6,DE6)&gt;0,MAX(DB6,DC6,DD6,DE6),"")</f>
        <v>0.30000000000000071</v>
      </c>
      <c r="W6" s="16" t="str">
        <f>IF(V6="","",IF(V6=DB6,"("&amp;DB$2&amp;")",IF(V6=DC6,"("&amp;DC$2&amp;")",IF(V6=DD6,"("&amp;DD$2&amp;")",IF(V6=DE6,"("&amp;DE$2&amp;")")))))</f>
        <v>(DD)</v>
      </c>
      <c r="X6" s="13" t="str">
        <f>IF(V6="","",IF(V6=DB6,IF(V6+IF(L6="",0,L6)=SP6,$RP$1,IF(V6+IF(L6="",0,L6)=RH6,$QH$1,IF(V6+IF(L6="",0,L6)=PZ6,$OZ$1,IF(V6+IF(L6="",0,L6)=OR6,$NR$1,IF(V6+IF(L6="",0,L6)=NJ6,$MJ$1,IF(V6+IF(L6="",0,L6)=MB6,$LB$1,IF(V6+IF(L6="",0,L6)=KT6,$JT$1,IF(V6+IF(L6="",0,L6)=JL6,$IL$1,IF(V6+IF(L6="",0,L6)=ID6,$HD$1,IF(V6+IF(L6="",0,L6)=GV6,$FV$1,IF(V6+IF(L6="",0,L6)=FN6,$EN$1,IF(V6+IF(L6="",0,L6)=EF6,$DF$1)))))))))))),IF(V6=DC6,IF(V6+IF(P6="",0,P6)=SV6,$RP$1,IF(V6+IF(P6="",0,P6)=RN6,$QH$1,IF(V6+IF(P6="",0,P6)=QF6,$OZ$1,IF(V6+IF(P6="",0,P6)=OX6,$NR$1,IF(V6+IF(P6="",0,P6)=NP6,$MJ$1,IF(V6+IF(P6="",0,P6)=MH6,$LB$1,IF(V6+IF(P6="",0,P6)=KZ6,$JT$1,IF(V6+IF(P6="",0,P6)=JR6,$IL$1,IF(V6+IF(P6="",0,P6)=IJ6,$HD$1,IF(V6+IF(P6="",0,P6)=HB6,$FV$1,IF(V6+IF(P6="",0,P6)=FT6,$EN$1,IF(V6+IF(P6="",0,P6)=EL6,$DF$1)))))))))))),IF(V6=DD6,IF(V6+IF(R6="",0,R6)=MAX(SJ6,SM6,SQ6,ST6),$RP$1,IF(V6+IF(R6="",0,R6)=MAX(RB6,RE6,RI6,RL6),$QH$1,IF(V6+IF(R6="",0,R6)=MAX(PT6,PW6,QA6,QD6),$OZ$1,IF(V6+IF(R6="",0,R6)=MAX(OL6,OO6,OS6,OV6),$NR$1,IF(V6+IF(R6="",0,R6)=MAX(ND6,NG6,NK6,NN6),$MJ$1,IF(V6+IF(R6="",0,R6)=MAX(LV6,LY6,MC6,MF6),$LB$1,IF(V6+IF(R6="",0,R6)=MAX(KN6,KQ6,KU6,KX6),$JT$1,IF(V6+IF(R6="",0,R6)=MAX(JF6,JI6,JM6,JP6),$IL$1,IF(V6+IF(R6="",0,R6)=MAX(HX6,IA6,IE6,IH6),$HD$1,IF(V6+IF(R6="",0,R6)=MAX(GP6,GS6,GW6,GZ6),$FV$1,IF(V6+IF(R6="",0,R6)=MAX(FH6,FK6,FO6,FR6),$EN$1,IF(V6+IF(R6="",0,R6)=MAX(DZ6,EC6,EG6,EJ6),$DF$1)))))))))))),IF(V6=DE6,IF(V6+IF(T6="",0,T6)=MAX(SK6,SN6,SR6,SU6),$RP$1,IF(V6+IF(T6="",0,T6)=MAX(RC6,RF6,RJ6,RM6),$QH$1,IF(V6+IF(T6="",0,T6)=MAX(PU6,PX6,QB6,QE6),$OZ$1,IF(V6+IF(T6="",0,T6)=MAX(OM6,OP6,OT6,OW6),$NR$1,IF(V6+IF(T6="",0,T6)=MAX(NE6,NH6,NL6,NO6),$MJ$1,IF(V6+IF(T6="",0,T6)=MAX(LW6,LZ6,MD6,MG6),$LB$1,IF(V6+IF(T6="",0,T6)=MAX(KO6,KR6,KV6,KY6),$JT$1,IF(V6+IF(T6="",0,T6)=MAX(JG6,JJ6,JN6,JQ6),$IL$1,IF(V6+IF(T6="",0,T6)=MAX(HY6,IB6,IF6,II6),$HD$1,IF(V6+IF(T6="",0,T6)=MAX(GQ6,GT6,GX6,HA6),$FV$1,IF(V6+IF(T6="",0,T6)=MAX(FI6,FL6,FP6,FS6),$EN$1,IF(V6+IF(T6="",0,T6)=MAX(EA6,ED6,EH6,EK6),$DF$1)))))))))))))))))</f>
        <v>2021 World Cup ITA/Olympic Technical Trial (June 4/9)</v>
      </c>
      <c r="Y6" s="42">
        <v>16.149999999999999</v>
      </c>
      <c r="Z6" s="42">
        <v>9.1999999999999993</v>
      </c>
      <c r="AA6" s="42">
        <v>12.6</v>
      </c>
      <c r="AB6" s="42">
        <v>15.164999999999999</v>
      </c>
      <c r="AC6" s="42">
        <v>0.3</v>
      </c>
      <c r="AD6" s="42">
        <v>16.850000000000001</v>
      </c>
      <c r="AE6" s="42">
        <v>9.25</v>
      </c>
      <c r="AF6" s="42">
        <v>13.3</v>
      </c>
      <c r="AG6" s="42">
        <v>15</v>
      </c>
      <c r="AH6" s="42">
        <v>0</v>
      </c>
      <c r="AI6" s="42">
        <v>17</v>
      </c>
      <c r="AJ6" s="42">
        <v>9.4</v>
      </c>
      <c r="AK6" s="42">
        <v>13.3</v>
      </c>
      <c r="AL6" s="42">
        <v>15.015000000000001</v>
      </c>
      <c r="AM6" s="42">
        <v>0</v>
      </c>
      <c r="AN6" s="51" t="s">
        <v>61</v>
      </c>
      <c r="AO6" s="74">
        <f>IF(AA6&gt;0,AA6,"")</f>
        <v>12.6</v>
      </c>
      <c r="AP6" s="74">
        <f>IF(AB6&gt;0,AB6,"")</f>
        <v>15.164999999999999</v>
      </c>
      <c r="AQ6" s="76">
        <f>IF(SUM(Y6:AB6)-AC6&gt;0,SUM(Y6:AB6)-AC6,"")</f>
        <v>52.814999999999998</v>
      </c>
      <c r="AR6" s="76">
        <f>IF(AF6&gt;0,AF6,"")</f>
        <v>13.3</v>
      </c>
      <c r="AS6" s="76">
        <f>IF(AG6&gt;0,AG6,"")</f>
        <v>15</v>
      </c>
      <c r="AT6" s="76">
        <f>IF(SUM(AD6:AG6)-AH6&gt;0,SUM(AD6:AG6)-AH6,"")</f>
        <v>54.400000000000006</v>
      </c>
      <c r="AU6" s="76">
        <f>IF(AQ6="","",MAX(AQ6,AT6))</f>
        <v>54.400000000000006</v>
      </c>
      <c r="AV6" s="76">
        <f>IF(AK6&gt;0,AK6,"")</f>
        <v>13.3</v>
      </c>
      <c r="AW6" s="76">
        <f>IF(AL6&gt;0,AL6,"")</f>
        <v>15.015000000000001</v>
      </c>
      <c r="AX6" s="76">
        <f>IF(SUM(AI6:AL6)-AM6&gt;0,SUM(AI6:AL6)-AM6,"")</f>
        <v>54.715000000000003</v>
      </c>
      <c r="AY6" s="76">
        <f>IF(SUM(AU6,AX6)&gt;0,SUM(AU6,AX6),"")</f>
        <v>109.11500000000001</v>
      </c>
      <c r="AZ6" s="46">
        <v>16.600000000000001</v>
      </c>
      <c r="BA6" s="46">
        <v>9.1999999999999993</v>
      </c>
      <c r="BB6" s="46">
        <v>13.7</v>
      </c>
      <c r="BC6" s="46">
        <v>14.885</v>
      </c>
      <c r="BD6" s="46">
        <v>0</v>
      </c>
      <c r="BE6" s="46">
        <v>16.899999999999999</v>
      </c>
      <c r="BF6" s="46">
        <v>9.5</v>
      </c>
      <c r="BG6" s="46">
        <v>13.7</v>
      </c>
      <c r="BH6" s="46">
        <v>15.1</v>
      </c>
      <c r="BI6" s="46">
        <v>0</v>
      </c>
      <c r="BJ6" s="46">
        <v>16.7</v>
      </c>
      <c r="BK6" s="46">
        <v>9.5</v>
      </c>
      <c r="BL6" s="46">
        <v>14</v>
      </c>
      <c r="BM6" s="46">
        <v>14.85</v>
      </c>
      <c r="BN6" s="46">
        <v>0</v>
      </c>
      <c r="BO6" s="52"/>
      <c r="BP6" s="75">
        <f>IF(BB6&gt;0,BB6,"")</f>
        <v>13.7</v>
      </c>
      <c r="BQ6" s="75">
        <f>IF(BC6&gt;0,BC6,"")</f>
        <v>14.885</v>
      </c>
      <c r="BR6" s="16">
        <f>IF(SUM(AZ6:BC6)-BD6&gt;0,SUM(AZ6:BC6)-BD6,"")</f>
        <v>54.384999999999998</v>
      </c>
      <c r="BS6" s="16">
        <f>IF(BG6&gt;0,BG6,"")</f>
        <v>13.7</v>
      </c>
      <c r="BT6" s="16">
        <f>IF(BH6&gt;0,BH6,"")</f>
        <v>15.1</v>
      </c>
      <c r="BU6" s="16">
        <f>IF(SUM(BE6:BH6)-BI6&gt;0,SUM(BE6:BH6)-BI6,"")</f>
        <v>55.199999999999996</v>
      </c>
      <c r="BV6" s="16">
        <f>IF(BR6="","",MAX(BR6,BU6))</f>
        <v>55.199999999999996</v>
      </c>
      <c r="BW6" s="16">
        <f>IF(BL6&gt;0,BL6,"")</f>
        <v>14</v>
      </c>
      <c r="BX6" s="16">
        <f>IF(BM6&gt;0,BM6,"")</f>
        <v>14.85</v>
      </c>
      <c r="BY6" s="16">
        <f>IF(SUM(BJ6:BM6)-BN6&gt;0,SUM(BJ6:BM6)-BN6,"")</f>
        <v>55.050000000000004</v>
      </c>
      <c r="BZ6" s="16">
        <f>IF(SUM(BV6,BY6)&gt;0,SUM(BV6,BY6),"")</f>
        <v>110.25</v>
      </c>
      <c r="CA6" s="42">
        <v>16.5</v>
      </c>
      <c r="CB6" s="42">
        <v>9.6</v>
      </c>
      <c r="CC6" s="42">
        <v>13.5</v>
      </c>
      <c r="CD6" s="42">
        <v>14.95</v>
      </c>
      <c r="CE6" s="42">
        <v>0</v>
      </c>
      <c r="CF6" s="42">
        <v>16.600000000000001</v>
      </c>
      <c r="CG6" s="42">
        <v>9.3000000000000007</v>
      </c>
      <c r="CH6" s="42">
        <v>13.7</v>
      </c>
      <c r="CI6" s="42">
        <v>14.92</v>
      </c>
      <c r="CJ6" s="42">
        <v>0</v>
      </c>
      <c r="CK6" s="42">
        <v>8.1999999999999993</v>
      </c>
      <c r="CL6" s="42">
        <v>4.3</v>
      </c>
      <c r="CM6" s="42">
        <v>6.5</v>
      </c>
      <c r="CN6" s="42">
        <v>7.77</v>
      </c>
      <c r="CO6" s="42">
        <v>0</v>
      </c>
      <c r="CP6" s="51"/>
      <c r="CQ6" s="74">
        <f>IF(CC6&gt;0,CC6,"")</f>
        <v>13.5</v>
      </c>
      <c r="CR6" s="74">
        <f>IF(CD6&gt;0,CD6,"")</f>
        <v>14.95</v>
      </c>
      <c r="CS6" s="76">
        <f>IF(SUM(CA6:CD6)-CE6&gt;0,SUM(CA6:CD6)-CE6,"")</f>
        <v>54.55</v>
      </c>
      <c r="CT6" s="76">
        <f>IF(CH6&gt;0,CH6,"")</f>
        <v>13.7</v>
      </c>
      <c r="CU6" s="76">
        <f>IF(CI6&gt;0,CI6,"")</f>
        <v>14.92</v>
      </c>
      <c r="CV6" s="76">
        <f>IF(SUM(CF6:CI6)-CJ6&gt;0,SUM(CF6:CI6)-CJ6,"")</f>
        <v>54.52</v>
      </c>
      <c r="CW6" s="76">
        <f>IF(CS6="","",MAX(CS6,CV6))</f>
        <v>54.55</v>
      </c>
      <c r="CX6" s="76">
        <f>IF(CM6&gt;0,CM6,"")</f>
        <v>6.5</v>
      </c>
      <c r="CY6" s="76">
        <f>IF(CN6&gt;0,CN6,"")</f>
        <v>7.77</v>
      </c>
      <c r="CZ6" s="76">
        <f>IF(SUM(CK6:CN6)-CO6&gt;0,SUM(CK6:CN6)-CO6,"")</f>
        <v>26.77</v>
      </c>
      <c r="DA6" s="76">
        <f>IF(SUM(CW6,CZ6)&gt;0,SUM(CW6,CZ6),"")</f>
        <v>81.319999999999993</v>
      </c>
      <c r="DB6" s="87">
        <f>IF(L6&gt;=0.001,IF(MAX(EF6,FN6,GV6,ID6,JL6,KT6,MB6,NJ6,OR6,PZ6,RH6,SP6)-IF(L6="",0,L6)&gt;0.001,MAX(EF6,FN6,GV6,ID6,JL6,KT6,MB6,NJ6,OR6,PZ6,RH6,SP6)-IF(L6="",0,L6),""),"")</f>
        <v>7.0000000000000284E-2</v>
      </c>
      <c r="DC6" s="87" t="str">
        <f>IF(P6&gt;=0.001,IF(MAX(EI6,EL6,FQ6,FT6,GY6,HB6,IG6,IJ6,JO6,JR6,KW6,KZ6,ME6,MH6,NM6,NP6,OU6,OX6,QC6,QF6,RK6,RN6,SS6,SV6)-IF(P6="",0,P6)&gt;0.001,MAX(EI6,EL6,FQ6,FT6,GY6,HB6,IG6,IJ6,JO6,JR6,KW6,KZ6,ME6,MH6,NM6,NP6,OU6,OX6,QC6,QF6,RK6,RN6,SS6,SV6)-IF(P6="",0,P6),""),"")</f>
        <v/>
      </c>
      <c r="DD6" s="87">
        <f>IF(R6&gt;=0.001,IF(MAX(DZ6,EC6,EG6,EJ6,FH6,FK6,FO6,FR6,GP6,GS6,GW6,GZ6,HX6,IA6,IE6,IH6,JF6,JI6,JM6,JP6,KN6,KQ6,KU6,KX6,LV6,LY6,MC6,MF6,ND6,NG6,NK6,NN6,OL6,OO6,OS6,OV6,PT6,PW6,QA6,QD6,RB6,RE6,RI6,RL6,SJ6,SM6,SQ6,ST6)-IF(R6="",0,R6)&gt;0.001,MAX(DZ6,EC6,EG6,EJ6,FH6,FK6,FO6,FR6,GP6,GS6,GW6,GZ6,HX6,IA6,IE6,IH6,JF6,JI6,JM6,JP6,KN6,KQ6,KU6,KX6,LV6,LY6,MC6,MF6,ND6,NG6,NK6,NN6,OL6,OO6,OS6,OV6,PT6,PW6,QA6,QD6,RB6,RE6,RI6,RL6,SJ6,SM6,SQ6,ST6)-IF(R6="",0,R6),""),"")</f>
        <v>0.30000000000000071</v>
      </c>
      <c r="DE6" s="87" t="str">
        <f>IF(T6&gt;=0.001,IF(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&gt;0.001,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,""),"")</f>
        <v/>
      </c>
      <c r="DF6" s="25">
        <v>16.5</v>
      </c>
      <c r="DG6" s="25">
        <v>9.4</v>
      </c>
      <c r="DH6" s="25">
        <v>14</v>
      </c>
      <c r="DI6" s="25">
        <v>14.72</v>
      </c>
      <c r="DJ6" s="25">
        <v>0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>
        <v>16.100000000000001</v>
      </c>
      <c r="DV6" s="25">
        <v>9</v>
      </c>
      <c r="DW6" s="25">
        <v>13.8</v>
      </c>
      <c r="DX6" s="25">
        <v>14.76</v>
      </c>
      <c r="DY6" s="25">
        <v>0</v>
      </c>
      <c r="DZ6" s="76">
        <f>IF(DH6&gt;0,DH6,"")</f>
        <v>14</v>
      </c>
      <c r="EA6" s="76">
        <f>IF(DI6&gt;0,DI6,"")</f>
        <v>14.72</v>
      </c>
      <c r="EB6" s="76">
        <f>IF(SUM(DF6:DI6)-DJ6&gt;0,SUM(DF6:DI6)-DJ6,"")</f>
        <v>54.62</v>
      </c>
      <c r="EC6" s="76" t="str">
        <f>IF(DM6&gt;0,DM6,"")</f>
        <v/>
      </c>
      <c r="ED6" s="76" t="str">
        <f>IF(DN6&gt;0,DN6,"")</f>
        <v/>
      </c>
      <c r="EE6" s="76" t="str">
        <f>IF(SUM(DK6:DN6)-DO6&gt;0,SUM(DK6:DN6)-DO6,"")</f>
        <v/>
      </c>
      <c r="EF6" s="76">
        <f>IF(MAX(EB6,EE6)&gt;0,MAX(EB6,EE6),"")</f>
        <v>54.62</v>
      </c>
      <c r="EG6" s="76" t="str">
        <f>IF(DR6&gt;0,DR6,"")</f>
        <v/>
      </c>
      <c r="EH6" s="76" t="str">
        <f>IF(DS6&gt;0,DS6,"")</f>
        <v/>
      </c>
      <c r="EI6" s="76" t="str">
        <f>IF(SUM(DP6:DS6)-DT6&gt;0,SUM(DP6:DS6)-DT6,"")</f>
        <v/>
      </c>
      <c r="EJ6" s="76">
        <f>IF(DW6&gt;0,DW6,"")</f>
        <v>13.8</v>
      </c>
      <c r="EK6" s="76">
        <f>IF(DX6&gt;0,DX6,"")</f>
        <v>14.76</v>
      </c>
      <c r="EL6" s="76">
        <f>IF(SUM(DU6:DX6)-DY6&gt;0,SUM(DU6:DX6)-DY6,"")</f>
        <v>53.660000000000004</v>
      </c>
      <c r="EM6" s="76">
        <f>IF(SUM(EF6,EL6)&gt;0,SUM(EF6,EL6),"")</f>
        <v>108.28</v>
      </c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16" t="str">
        <f>IF(EP6&gt;0,EP6,"")</f>
        <v/>
      </c>
      <c r="FI6" s="16" t="str">
        <f>IF(EQ6&gt;0,EQ6,"")</f>
        <v/>
      </c>
      <c r="FJ6" s="16" t="str">
        <f>IF(SUM(EN6:EQ6)-ER6&gt;0,SUM(EN6:EQ6)-ER6,"")</f>
        <v/>
      </c>
      <c r="FK6" s="16" t="str">
        <f>IF(EU6&gt;0,EU6,"")</f>
        <v/>
      </c>
      <c r="FL6" s="16" t="str">
        <f>IF(EV6&gt;0,EV6,"")</f>
        <v/>
      </c>
      <c r="FM6" s="16" t="str">
        <f>IF(SUM(ES6:EV6)-EW6&gt;0,SUM(ES6:EV6)-EW6,"")</f>
        <v/>
      </c>
      <c r="FN6" s="16" t="str">
        <f>IF(MAX(FJ6,FM6)&gt;0,MAX(FJ6,FM6),"")</f>
        <v/>
      </c>
      <c r="FO6" s="16" t="str">
        <f>IF(EZ6&gt;0,EZ6,"")</f>
        <v/>
      </c>
      <c r="FP6" s="16" t="str">
        <f>IF(FA6&gt;0,FA6,"")</f>
        <v/>
      </c>
      <c r="FQ6" s="16" t="str">
        <f>IF(SUM(EX6:FA6)-FB6&gt;0,SUM(EX6:FA6)-FB6,"")</f>
        <v/>
      </c>
      <c r="FR6" s="16" t="str">
        <f>IF(FE6&gt;0,FE6,"")</f>
        <v/>
      </c>
      <c r="FS6" s="16" t="str">
        <f>IF(FF6&gt;0,FF6,"")</f>
        <v/>
      </c>
      <c r="FT6" s="16" t="str">
        <f>IF(SUM(FC6:FF6)-FG6&gt;0,SUM(FC6:FF6)-FG6,"")</f>
        <v/>
      </c>
      <c r="FU6" s="16" t="str">
        <f>IF(SUM(FN6,FT6)&gt;0,SUM(FN6,FT6),"")</f>
        <v/>
      </c>
      <c r="FV6" s="25">
        <v>15.6</v>
      </c>
      <c r="FW6" s="25">
        <v>8.9</v>
      </c>
      <c r="FX6" s="25">
        <v>13.7</v>
      </c>
      <c r="FY6" s="25">
        <v>14.355</v>
      </c>
      <c r="FZ6" s="25">
        <v>0</v>
      </c>
      <c r="GA6" s="25"/>
      <c r="GB6" s="25"/>
      <c r="GC6" s="25"/>
      <c r="GD6" s="25"/>
      <c r="GE6" s="25"/>
      <c r="GF6" s="25">
        <v>15.1</v>
      </c>
      <c r="GG6" s="25">
        <v>9.3000000000000007</v>
      </c>
      <c r="GH6" s="25">
        <v>13.3</v>
      </c>
      <c r="GI6" s="25">
        <v>14.535</v>
      </c>
      <c r="GJ6" s="25">
        <v>0</v>
      </c>
      <c r="GK6" s="25"/>
      <c r="GL6" s="25"/>
      <c r="GM6" s="25"/>
      <c r="GN6" s="25"/>
      <c r="GO6" s="25"/>
      <c r="GP6" s="76">
        <f>IF(FX6&gt;0,FX6,"")</f>
        <v>13.7</v>
      </c>
      <c r="GQ6" s="76">
        <f>IF(FY6&gt;0,FY6,"")</f>
        <v>14.355</v>
      </c>
      <c r="GR6" s="76">
        <f>IF(SUM(FV6:FY6)-FZ6&gt;0,SUM(FV6:FY6)-FZ6,"")</f>
        <v>52.555000000000007</v>
      </c>
      <c r="GS6" s="76" t="str">
        <f>IF(GC6&gt;0,GC6,"")</f>
        <v/>
      </c>
      <c r="GT6" s="76" t="str">
        <f>IF(GD6&gt;0,GD6,"")</f>
        <v/>
      </c>
      <c r="GU6" s="76" t="str">
        <f>IF(SUM(GA6:GD6)-GE6&gt;0,SUM(GA6:GD6)-GE6,"")</f>
        <v/>
      </c>
      <c r="GV6" s="76">
        <f>IF(MAX(GR6,GU6)&gt;0,MAX(GR6,GU6),"")</f>
        <v>52.555000000000007</v>
      </c>
      <c r="GW6" s="76">
        <f>IF(GH6&gt;0,GH6,"")</f>
        <v>13.3</v>
      </c>
      <c r="GX6" s="76">
        <f>IF(GI6&gt;0,GI6,"")</f>
        <v>14.535</v>
      </c>
      <c r="GY6" s="76">
        <f>IF(SUM(GF6:GI6)-GJ6&gt;0,SUM(GF6:GI6)-GJ6,"")</f>
        <v>52.234999999999999</v>
      </c>
      <c r="GZ6" s="76" t="str">
        <f>IF(GM6&gt;0,GM6,"")</f>
        <v/>
      </c>
      <c r="HA6" s="76" t="str">
        <f>IF(GN6&gt;0,GN6,"")</f>
        <v/>
      </c>
      <c r="HB6" s="76" t="str">
        <f>IF(SUM(GK6:GN6)-GO6&gt;0,SUM(GK6:GN6)-GO6,"")</f>
        <v/>
      </c>
      <c r="HC6" s="76">
        <f>IF(SUM(GV6,HB6)&gt;0,SUM(GV6,HB6),"")</f>
        <v>52.555000000000007</v>
      </c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>
        <v>14</v>
      </c>
      <c r="HT6" s="26">
        <v>13.19</v>
      </c>
      <c r="HU6" s="26">
        <v>12.1</v>
      </c>
      <c r="HV6" s="26">
        <v>8.6999999999999993</v>
      </c>
      <c r="HW6" s="26">
        <v>0</v>
      </c>
      <c r="HX6" s="16" t="str">
        <f>IF(HF6&gt;0,HF6,"")</f>
        <v/>
      </c>
      <c r="HY6" s="16" t="str">
        <f>IF(HG6&gt;0,HG6,"")</f>
        <v/>
      </c>
      <c r="HZ6" s="16" t="str">
        <f>IF(SUM(HD6:HG6)-HH6&gt;0,SUM(HD6:HG6)-HH6,"")</f>
        <v/>
      </c>
      <c r="IA6" s="16" t="str">
        <f>IF(HK6&gt;0,HK6,"")</f>
        <v/>
      </c>
      <c r="IB6" s="16" t="str">
        <f>IF(HL6&gt;0,HL6,"")</f>
        <v/>
      </c>
      <c r="IC6" s="16" t="str">
        <f>IF(SUM(HI6:HL6)-HM6&gt;0,SUM(HI6:HL6)-HM6,"")</f>
        <v/>
      </c>
      <c r="ID6" s="16" t="str">
        <f>IF(MAX(HZ6,IC6)&gt;0,MAX(HZ6,IC6),"")</f>
        <v/>
      </c>
      <c r="IE6" s="16" t="str">
        <f>IF(HP6&gt;0,HP6,"")</f>
        <v/>
      </c>
      <c r="IF6" s="16" t="str">
        <f>IF(HQ6&gt;0,HQ6,"")</f>
        <v/>
      </c>
      <c r="IG6" s="16" t="str">
        <f>IF(SUM(HN6:HQ6)-HR6&gt;0,SUM(HN6:HQ6)-HR6,"")</f>
        <v/>
      </c>
      <c r="IH6" s="16">
        <f>IF(HU6&gt;0,HU6,"")</f>
        <v>12.1</v>
      </c>
      <c r="II6" s="16">
        <f>IF(HV6&gt;0,HV6,"")</f>
        <v>8.6999999999999993</v>
      </c>
      <c r="IJ6" s="16">
        <f>IF(SUM(HS6:HV6)-HW6&gt;0,SUM(HS6:HV6)-HW6,"")</f>
        <v>47.989999999999995</v>
      </c>
      <c r="IK6" s="16">
        <f>IF(SUM(ID6,IJ6)&gt;0,SUM(ID6,IJ6),"")</f>
        <v>47.989999999999995</v>
      </c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76" t="str">
        <f>IF(IN6&gt;0,IN6,"")</f>
        <v/>
      </c>
      <c r="JG6" s="76" t="str">
        <f>IF(IO6&gt;0,IO6,"")</f>
        <v/>
      </c>
      <c r="JH6" s="76" t="str">
        <f>IF(SUM(IL6:IO6)-IP6&gt;0,SUM(IL6:IO6)-IP6,"")</f>
        <v/>
      </c>
      <c r="JI6" s="76" t="str">
        <f>IF(IS6&gt;0,IS6,"")</f>
        <v/>
      </c>
      <c r="JJ6" s="76" t="str">
        <f>IF(IT6&gt;0,IT6,"")</f>
        <v/>
      </c>
      <c r="JK6" s="76" t="str">
        <f>IF(SUM(IQ6:IT6)-IU6&gt;0,SUM(IQ6:IT6)-IU6,"")</f>
        <v/>
      </c>
      <c r="JL6" s="76" t="str">
        <f>IF(MAX(JH6,JK6)&gt;0,MAX(JH6,JK6),"")</f>
        <v/>
      </c>
      <c r="JM6" s="76" t="str">
        <f>IF(IX6&gt;0,IX6,"")</f>
        <v/>
      </c>
      <c r="JN6" s="76" t="str">
        <f>IF(IY6&gt;0,IY6,"")</f>
        <v/>
      </c>
      <c r="JO6" s="76" t="str">
        <f>IF(SUM(IV6:IY6)-IZ6&gt;0,SUM(IV6:IY6)-IZ6,"")</f>
        <v/>
      </c>
      <c r="JP6" s="76" t="str">
        <f>IF(JC6&gt;0,JC6,"")</f>
        <v/>
      </c>
      <c r="JQ6" s="76" t="str">
        <f>IF(JD6&gt;0,JD6,"")</f>
        <v/>
      </c>
      <c r="JR6" s="76" t="str">
        <f>IF(SUM(JA6:JD6)-JE6&gt;0,SUM(JA6:JD6)-JE6,"")</f>
        <v/>
      </c>
      <c r="JS6" s="76" t="str">
        <f>IF(SUM(JL6,JR6)&gt;0,SUM(JL6,JR6),"")</f>
        <v/>
      </c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16" t="str">
        <f>IF(JV6&gt;0,JV6,"")</f>
        <v/>
      </c>
      <c r="KO6" s="16" t="str">
        <f>IF(JW6&gt;0,JW6,"")</f>
        <v/>
      </c>
      <c r="KP6" s="16" t="str">
        <f>IF(SUM(JT6:JW6)-JX6&gt;0,SUM(JT6:JW6)-JX6,"")</f>
        <v/>
      </c>
      <c r="KQ6" s="16" t="str">
        <f>IF(KA6&gt;0,KA6,"")</f>
        <v/>
      </c>
      <c r="KR6" s="16" t="str">
        <f>IF(KB6&gt;0,KB6,"")</f>
        <v/>
      </c>
      <c r="KS6" s="16" t="str">
        <f>IF(SUM(JY6:KB6)-KC6&gt;0,SUM(JY6:KB6)-KC6,"")</f>
        <v/>
      </c>
      <c r="KT6" s="16" t="str">
        <f>IF(MAX(KP6,KS6)&gt;0,MAX(KP6,KS6),"")</f>
        <v/>
      </c>
      <c r="KU6" s="16" t="str">
        <f>IF(KF6&gt;0,KF6,"")</f>
        <v/>
      </c>
      <c r="KV6" s="16" t="str">
        <f>IF(KG6&gt;0,KG6,"")</f>
        <v/>
      </c>
      <c r="KW6" s="16" t="str">
        <f>IF(SUM(KD6:KG6)-KH6&gt;0,SUM(KD6:KG6)-KH6,"")</f>
        <v/>
      </c>
      <c r="KX6" s="16" t="str">
        <f>IF(KK6&gt;0,KK6,"")</f>
        <v/>
      </c>
      <c r="KY6" s="16" t="str">
        <f>IF(KL6&gt;0,KL6,"")</f>
        <v/>
      </c>
      <c r="KZ6" s="16" t="str">
        <f>IF(SUM(KI6:KL6)-KM6&gt;0,SUM(KI6:KL6)-KM6,"")</f>
        <v/>
      </c>
      <c r="LA6" s="16" t="str">
        <f>IF(SUM(KT6,KZ6)&gt;0,SUM(KT6,KZ6),"")</f>
        <v/>
      </c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76" t="str">
        <f>IF(LD6&gt;0,LD6,"")</f>
        <v/>
      </c>
      <c r="LW6" s="76" t="str">
        <f>IF(LE6&gt;0,LE6,"")</f>
        <v/>
      </c>
      <c r="LX6" s="76" t="str">
        <f>IF(SUM(LB6:LE6)-LF6&gt;0,SUM(LB6:LE6)-LF6,"")</f>
        <v/>
      </c>
      <c r="LY6" s="76" t="str">
        <f>IF(LI6&gt;0,LI6,"")</f>
        <v/>
      </c>
      <c r="LZ6" s="76" t="str">
        <f>IF(LJ6&gt;0,LJ6,"")</f>
        <v/>
      </c>
      <c r="MA6" s="76" t="str">
        <f>IF(SUM(LG6:LJ6)-LK6&gt;0,SUM(LG6:LJ6)-LK6,"")</f>
        <v/>
      </c>
      <c r="MB6" s="76" t="str">
        <f>IF(MAX(LX6,MA6)&gt;0,MAX(LX6,MA6),"")</f>
        <v/>
      </c>
      <c r="MC6" s="76" t="str">
        <f>IF(LN6&gt;0,LN6,"")</f>
        <v/>
      </c>
      <c r="MD6" s="76" t="str">
        <f>IF(LO6&gt;0,LO6,"")</f>
        <v/>
      </c>
      <c r="ME6" s="76" t="str">
        <f>IF(SUM(LL6:LO6)-LP6&gt;0,SUM(LL6:LO6)-LP6,"")</f>
        <v/>
      </c>
      <c r="MF6" s="76" t="str">
        <f>IF(LS6&gt;0,LS6,"")</f>
        <v/>
      </c>
      <c r="MG6" s="76" t="str">
        <f>IF(LT6&gt;0,LT6,"")</f>
        <v/>
      </c>
      <c r="MH6" s="76" t="str">
        <f>IF(SUM(LQ6:LT6)-LU6&gt;0,SUM(LQ6:LT6)-LU6,"")</f>
        <v/>
      </c>
      <c r="MI6" s="76" t="str">
        <f>IF(SUM(MB6,MH6)&gt;0,SUM(MB6,MH6),"")</f>
        <v/>
      </c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16" t="str">
        <f>IF(ML6&gt;0,ML6,"")</f>
        <v/>
      </c>
      <c r="NE6" s="16" t="str">
        <f>IF(MM6&gt;0,MM6,"")</f>
        <v/>
      </c>
      <c r="NF6" s="16" t="str">
        <f>IF(SUM(MJ6:MM6)-MN6&gt;0,SUM(MJ6:MM6)-MN6,"")</f>
        <v/>
      </c>
      <c r="NG6" s="16" t="str">
        <f>IF(MQ6&gt;0,MQ6,"")</f>
        <v/>
      </c>
      <c r="NH6" s="16" t="str">
        <f>IF(MR6&gt;0,MR6,"")</f>
        <v/>
      </c>
      <c r="NI6" s="16" t="str">
        <f>IF(SUM(MO6:MR6)-MS6&gt;0,SUM(MO6:MR6)-MS6,"")</f>
        <v/>
      </c>
      <c r="NJ6" s="16" t="str">
        <f>IF(MAX(NF6,NI6)&gt;0,MAX(NF6,NI6),"")</f>
        <v/>
      </c>
      <c r="NK6" s="16" t="str">
        <f>IF(MV6&gt;0,MV6,"")</f>
        <v/>
      </c>
      <c r="NL6" s="16" t="str">
        <f>IF(MW6&gt;0,MW6,"")</f>
        <v/>
      </c>
      <c r="NM6" s="16" t="str">
        <f>IF(SUM(MT6:MW6)-MX6&gt;0,SUM(MT6:MW6)-MX6,"")</f>
        <v/>
      </c>
      <c r="NN6" s="16" t="str">
        <f>IF(NA6&gt;0,NA6,"")</f>
        <v/>
      </c>
      <c r="NO6" s="16" t="str">
        <f>IF(NB6&gt;0,NB6,"")</f>
        <v/>
      </c>
      <c r="NP6" s="16" t="str">
        <f>IF(SUM(MY6:NB6)-NC6&gt;0,SUM(MY6:NB6)-NC6,"")</f>
        <v/>
      </c>
      <c r="NQ6" s="16" t="str">
        <f>IF(SUM(NJ6,NP6)&gt;0,SUM(NJ6,NP6),"")</f>
        <v/>
      </c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76" t="str">
        <f>IF(NT6&gt;0,NT6,"")</f>
        <v/>
      </c>
      <c r="OM6" s="76" t="str">
        <f>IF(NU6&gt;0,NU6,"")</f>
        <v/>
      </c>
      <c r="ON6" s="76" t="str">
        <f>IF(SUM(NR6:NU6)-NV6&gt;0,SUM(NR6:NU6)-NV6,"")</f>
        <v/>
      </c>
      <c r="OO6" s="76" t="str">
        <f>IF(NY6&gt;0,NY6,"")</f>
        <v/>
      </c>
      <c r="OP6" s="76" t="str">
        <f>IF(NZ6&gt;0,NZ6,"")</f>
        <v/>
      </c>
      <c r="OQ6" s="76" t="str">
        <f>IF(SUM(NW6:NZ6)-OA6&gt;0,SUM(NW6:NZ6)-OA6,"")</f>
        <v/>
      </c>
      <c r="OR6" s="76" t="str">
        <f>IF(MAX(ON6,OQ6)&gt;0,MAX(ON6,OQ6),"")</f>
        <v/>
      </c>
      <c r="OS6" s="76" t="str">
        <f>IF(OD6&gt;0,OD6,"")</f>
        <v/>
      </c>
      <c r="OT6" s="76" t="str">
        <f>IF(OE6&gt;0,OE6,"")</f>
        <v/>
      </c>
      <c r="OU6" s="76" t="str">
        <f>IF(SUM(OB6:OE6)-OF6&gt;0,SUM(OB6:OE6)-OF6,"")</f>
        <v/>
      </c>
      <c r="OV6" s="76" t="str">
        <f>IF(OI6&gt;0,OI6,"")</f>
        <v/>
      </c>
      <c r="OW6" s="76" t="str">
        <f>IF(OJ6&gt;0,OJ6,"")</f>
        <v/>
      </c>
      <c r="OX6" s="76" t="str">
        <f>IF(SUM(OG6:OJ6)-OK6&gt;0,SUM(OG6:OJ6)-OK6,"")</f>
        <v/>
      </c>
      <c r="OY6" s="76" t="str">
        <f>IF(SUM(OR6,OX6)&gt;0,SUM(OR6,OX6),"")</f>
        <v/>
      </c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16" t="str">
        <f>IF(PB6&gt;0,PB6,"")</f>
        <v/>
      </c>
      <c r="PU6" s="16" t="str">
        <f>IF(PC6&gt;0,PC6,"")</f>
        <v/>
      </c>
      <c r="PV6" s="16" t="str">
        <f>IF(SUM(OZ6:PC6)-PD6&gt;0,SUM(OZ6:PC6)-PD6,"")</f>
        <v/>
      </c>
      <c r="PW6" s="16" t="str">
        <f>IF(PG6&gt;0,PG6,"")</f>
        <v/>
      </c>
      <c r="PX6" s="16" t="str">
        <f>IF(PH6&gt;0,PH6,"")</f>
        <v/>
      </c>
      <c r="PY6" s="16" t="str">
        <f>IF(SUM(PE6:PH6)-PI6&gt;0,SUM(PE6:PH6)-PI6,"")</f>
        <v/>
      </c>
      <c r="PZ6" s="16" t="str">
        <f>IF(MAX(PV6,PY6)&gt;0,MAX(PV6,PY6),"")</f>
        <v/>
      </c>
      <c r="QA6" s="16" t="str">
        <f>IF(PL6&gt;0,PL6,"")</f>
        <v/>
      </c>
      <c r="QB6" s="16" t="str">
        <f>IF(PM6&gt;0,PM6,"")</f>
        <v/>
      </c>
      <c r="QC6" s="16" t="str">
        <f>IF(SUM(PJ6:PM6)-PN6&gt;0,SUM(PJ6:PM6)-PN6,"")</f>
        <v/>
      </c>
      <c r="QD6" s="16" t="str">
        <f>IF(PQ6&gt;0,PQ6,"")</f>
        <v/>
      </c>
      <c r="QE6" s="16" t="str">
        <f>IF(PR6&gt;0,PR6,"")</f>
        <v/>
      </c>
      <c r="QF6" s="16" t="str">
        <f>IF(SUM(PO6:PR6)-PS6&gt;0,SUM(PO6:PR6)-PS6,"")</f>
        <v/>
      </c>
      <c r="QG6" s="16" t="str">
        <f>IF(SUM(PZ6,QF6)&gt;0,SUM(PZ6,QF6),"")</f>
        <v/>
      </c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76" t="str">
        <f>IF(QJ6&gt;0,QJ6,"")</f>
        <v/>
      </c>
      <c r="RC6" s="76" t="str">
        <f>IF(QK6&gt;0,QK6,"")</f>
        <v/>
      </c>
      <c r="RD6" s="76" t="str">
        <f>IF(SUM(QH6:QK6)-QL6&gt;0,SUM(QH6:QK6)-QL6,"")</f>
        <v/>
      </c>
      <c r="RE6" s="76" t="str">
        <f>IF(QO6&gt;0,QO6,"")</f>
        <v/>
      </c>
      <c r="RF6" s="76" t="str">
        <f>IF(QP6&gt;0,QP6,"")</f>
        <v/>
      </c>
      <c r="RG6" s="76" t="str">
        <f>IF(SUM(QM6:QP6)-QQ6&gt;0,SUM(QM6:QP6)-QQ6,"")</f>
        <v/>
      </c>
      <c r="RH6" s="76" t="str">
        <f>IF(MAX(RD6,RG6)&gt;0,MAX(RD6,RG6),"")</f>
        <v/>
      </c>
      <c r="RI6" s="76" t="str">
        <f>IF(QT6&gt;0,QT6,"")</f>
        <v/>
      </c>
      <c r="RJ6" s="76" t="str">
        <f>IF(QU6&gt;0,QU6,"")</f>
        <v/>
      </c>
      <c r="RK6" s="76" t="str">
        <f>IF(SUM(QR6:QU6)-QV6&gt;0,SUM(QR6:QU6)-QV6,"")</f>
        <v/>
      </c>
      <c r="RL6" s="76" t="str">
        <f>IF(QY6&gt;0,QY6,"")</f>
        <v/>
      </c>
      <c r="RM6" s="76" t="str">
        <f>IF(QZ6&gt;0,QZ6,"")</f>
        <v/>
      </c>
      <c r="RN6" s="76" t="str">
        <f>IF(SUM(QW6:QZ6)-RA6&gt;0,SUM(QW6:QZ6)-RA6,"")</f>
        <v/>
      </c>
      <c r="RO6" s="76" t="str">
        <f>IF(SUM(RH6,RN6)&gt;0,SUM(RH6,RN6),"")</f>
        <v/>
      </c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16" t="str">
        <f>IF(RR6&gt;0,RR6,"")</f>
        <v/>
      </c>
      <c r="SK6" s="16" t="str">
        <f>IF(RS6&gt;0,RS6,"")</f>
        <v/>
      </c>
      <c r="SL6" s="16" t="str">
        <f>IF(SUM(RP6:RS6)-RT6&gt;0,SUM(RP6:RS6)-RT6,"")</f>
        <v/>
      </c>
      <c r="SM6" s="16" t="str">
        <f>IF(RW6&gt;0,RW6,"")</f>
        <v/>
      </c>
      <c r="SN6" s="16" t="str">
        <f>IF(RX6&gt;0,RX6,"")</f>
        <v/>
      </c>
      <c r="SO6" s="16" t="str">
        <f>IF(SUM(RU6:RX6)-RY6&gt;0,SUM(RU6:RX6)-RY6,"")</f>
        <v/>
      </c>
      <c r="SP6" s="16" t="str">
        <f>IF(MAX(SL6,SO6)&gt;0,MAX(SL6,SO6),"")</f>
        <v/>
      </c>
      <c r="SQ6" s="16" t="str">
        <f>IF(SB6&gt;0,SB6,"")</f>
        <v/>
      </c>
      <c r="SR6" s="16" t="str">
        <f>IF(SC6&gt;0,SC6,"")</f>
        <v/>
      </c>
      <c r="SS6" s="16" t="str">
        <f>IF(SUM(RZ6:SC6)-SD6&gt;0,SUM(RZ6:SC6)-SD6,"")</f>
        <v/>
      </c>
      <c r="ST6" s="16" t="str">
        <f>IF(SG6&gt;0,SG6,"")</f>
        <v/>
      </c>
      <c r="SU6" s="16" t="str">
        <f>IF(SH6&gt;0,SH6,"")</f>
        <v/>
      </c>
      <c r="SV6" s="16" t="str">
        <f>IF(SUM(SE6:SH6)-SI6&gt;0,SUM(SE6:SH6)-SI6,"")</f>
        <v/>
      </c>
      <c r="SW6" s="16" t="str">
        <f>IF(SUM(SP6,SV6)&gt;0,SUM(SP6,SV6),"")</f>
        <v/>
      </c>
      <c r="SX6" s="42">
        <f>IF($CP6="P",CA6,(CA6+AZ6)/2)</f>
        <v>16.55</v>
      </c>
      <c r="SY6" s="42">
        <f>IF($CP6="P",CB6,(CB6+BA6)/2)</f>
        <v>9.3999999999999986</v>
      </c>
      <c r="SZ6" s="42">
        <f>IF($CP6="P",CC6,(CC6+BB6)/2)</f>
        <v>13.6</v>
      </c>
      <c r="TA6" s="42">
        <f>IF($CP6="P",CD6,(CD6+BC6)/2)</f>
        <v>14.9175</v>
      </c>
      <c r="TB6" s="42">
        <f>IF($CP6="P",CE6,(CE6+BD6)/2)</f>
        <v>0</v>
      </c>
      <c r="TC6" s="42">
        <f>IF($CP6="P",CF6,(CF6+BE6)/2)</f>
        <v>16.75</v>
      </c>
      <c r="TD6" s="42">
        <f>IF($CP6="P",CG6,(CG6+BF6)/2)</f>
        <v>9.4</v>
      </c>
      <c r="TE6" s="42">
        <f>IF($CP6="P",CH6,(CH6+BG6)/2)</f>
        <v>13.7</v>
      </c>
      <c r="TF6" s="42">
        <f>IF($CP6="P",CI6,(CI6+BH6)/2)</f>
        <v>15.01</v>
      </c>
      <c r="TG6" s="42">
        <f>IF($CP6="P",CJ6,(CJ6+BI6)/2)</f>
        <v>0</v>
      </c>
      <c r="TH6" s="42">
        <f>IF($CP6="P",CK6,(CK6+BJ6)/2)</f>
        <v>12.45</v>
      </c>
      <c r="TI6" s="42">
        <f>IF($CP6="P",CL6,(CL6+BK6)/2)</f>
        <v>6.9</v>
      </c>
      <c r="TJ6" s="42">
        <f>IF($CP6="P",CM6,(CM6+BL6)/2)</f>
        <v>10.25</v>
      </c>
      <c r="TK6" s="42">
        <f>IF($CP6="P",CN6,(CN6+BM6)/2)</f>
        <v>11.309999999999999</v>
      </c>
      <c r="TL6" s="42">
        <f>IF($CP6="P",CO6,(CO6+BN6)/2)</f>
        <v>0</v>
      </c>
      <c r="TM6" s="51" t="s">
        <v>61</v>
      </c>
      <c r="TN6" s="76">
        <f>IF(SZ6&gt;0,SZ6,"")</f>
        <v>13.6</v>
      </c>
      <c r="TO6" s="76">
        <f>IF(TA6&gt;0,TA6,"")</f>
        <v>14.9175</v>
      </c>
      <c r="TP6" s="76">
        <f>IF(SUM(SX6:TA6)-TB6&gt;0,SUM(SX6:TA6)-TB6,"")</f>
        <v>54.467500000000001</v>
      </c>
      <c r="TQ6" s="76">
        <f>IF(TE6&gt;0,TE6,"")</f>
        <v>13.7</v>
      </c>
      <c r="TR6" s="76">
        <f>IF(TF6&gt;0,TF6,"")</f>
        <v>15.01</v>
      </c>
      <c r="TS6" s="76">
        <f>IF(SUM(TC6:TF6)-TG6&gt;0,SUM(TC6:TF6)-TG6,"")</f>
        <v>54.859999999999992</v>
      </c>
      <c r="TT6" s="76">
        <f>IF(MAX(TP6,TS6)&gt;0,MAX(TP6,TS6),"")</f>
        <v>54.859999999999992</v>
      </c>
      <c r="TU6" s="76">
        <f>IF(TJ6&gt;0,TJ6,"")</f>
        <v>10.25</v>
      </c>
      <c r="TV6" s="76">
        <f>IF(TK6&gt;0,TK6,"")</f>
        <v>11.309999999999999</v>
      </c>
      <c r="TW6" s="76">
        <f>IF(SUM(TH6:TK6)-TL6&gt;0,SUM(TH6:TK6)-TL6,"")</f>
        <v>40.909999999999997</v>
      </c>
      <c r="TX6" s="76">
        <f>IF(SUM(TT6,TW6)&gt;0,SUM(TT6,TW6),"")</f>
        <v>95.769999999999982</v>
      </c>
    </row>
    <row r="7" spans="1:544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245.41002430500541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Z7&gt;=EM$17,DZ7&lt;&gt;"",EB7&gt;=EM$21,EB7&lt;&gt;""),AND(EC7&gt;=EM$17,EC7&lt;&gt;"",EE7&gt;=EM$21,EE7&lt;&gt;""),AND(EG7&gt;=EM$17,EG7&lt;&gt;"",EI7&gt;=EM$21,EI7&lt;&gt;""),AND(EJ7&gt;=EM$17,EJ7&lt;&gt;"",EL7&gt;=EM$21,EL7&lt;&gt;""),AND(FH7&gt;=FU$17,FH7&lt;&gt;"",FJ7&gt;=FU$21,FJ7&lt;&gt;""),AND(FK7&gt;=FU$17,FK7&lt;&gt;"",FM7&gt;=FU$21,FM7&lt;&gt;""),AND(FO7&gt;=FU$17,FO7&lt;&gt;"",FQ7&gt;=FU$21,FQ7&lt;&gt;""),AND(FR7&gt;=FU$17,FR7&lt;&gt;"",FT7&gt;=FU$21,FT7&lt;&gt;""),AND(GP7&gt;=HC$17,GP7&lt;&gt;"",GR7&gt;=HC$21,GR7&lt;&gt;""),AND(GS7&gt;=HC$17,GS7&lt;&gt;"",GU7&gt;=HC$21,GU7&lt;&gt;""),AND(GW7&gt;=HC$17,GW7&lt;&gt;"",GY7&gt;=HC$21,GY7&lt;&gt;""),AND(GZ7&gt;=HC$17,GZ7&lt;&gt;"",HB7&gt;=HC$21,HB7&lt;&gt;""),AND(HX7&gt;=IK$17,HX7&lt;&gt;"",HZ7&gt;=IK$21,HZ7&lt;&gt;""),AND(IA7&gt;=IK$17,IA7&lt;&gt;"",IC7&gt;=IK$21,IC7&lt;&gt;""),AND(IE7&gt;=IK$17,IE7&lt;&gt;"",IG7&gt;=IK$21,IG7&lt;&gt;""),AND(IH7&gt;=IK$17,IH7&lt;&gt;"",IJ7&gt;=IK$21,IJ7&lt;&gt;""),AND(JF7&gt;=JS$17,JF7&lt;&gt;"",JH7&gt;=JS$21,JH7&lt;&gt;""),AND(JI7&gt;=JS$17,JI7&lt;&gt;"",JK7&gt;=JS$21,JK7&lt;&gt;""),AND(JM7&gt;=JS$17,JM7&lt;&gt;"",JO7&gt;=JS$21,JO7&lt;&gt;""),AND(JP7&gt;=JS$17,JP7&lt;&gt;"",JR7&gt;=JS$21,JR7&lt;&gt;""),AND(KN7&gt;=LA$17,KN7&lt;&gt;"",KP7&gt;=LA$21,KP7&lt;&gt;""),AND(KQ7&gt;=LA$17,KQ7&lt;&gt;"",KS7&gt;=LA$21,KS7&lt;&gt;""),AND(KU7&gt;=LA$17,KU7&lt;&gt;"",KW7&gt;=LA$21,KW7&lt;&gt;""),AND(KX7&gt;=LA$17,KX7&lt;&gt;"",KZ7&gt;=LA$21,KZ7&lt;&gt;""),AND(LV7&gt;=MI$17,LV7&lt;&gt;"",LX7&gt;=MI$21,LX7&lt;&gt;""),AND(LY7&gt;=MI$17,LY7&lt;&gt;"",MA7&gt;=MI$21,MA7&lt;&gt;""),AND(MC7&gt;=MI$17,MC7&lt;&gt;"",ME7&gt;=MI$21,ME7&lt;&gt;""),AND(MF7&gt;=MI$17,MF7&lt;&gt;"",MH7&gt;=MI$21,MH7&lt;&gt;""),AND(ND7&gt;=NQ$17,ND7&lt;&gt;"",NF7&gt;=NQ$21,NF7&lt;&gt;""),AND(NG7&gt;=NQ$17,NG7&lt;&gt;"",NI7&gt;=NQ$21,NI7&lt;&gt;""),AND(NK7&gt;=NQ$17,NK7&lt;&gt;"",NM7&gt;=NQ$21,NM7&lt;&gt;""),AND(NN7&gt;=NQ$17,NN7&lt;&gt;"",NP7&gt;=NQ$21,NP7&lt;&gt;""),AND(OL7&gt;=OY$17,OL7&lt;&gt;"",ON7&gt;=OY$21,ON7&lt;&gt;""),AND(OO7&gt;=OY$17,OO7&lt;&gt;"",OQ7&gt;=OY$21,OQ7&lt;&gt;""),AND(OS7&gt;=OY$17,OS7&lt;&gt;"",OU7&gt;=OY$21,OU7&lt;&gt;""),AND(OV7&gt;=OY$17,OV7&lt;&gt;"",OX7&gt;=OY$21,OX7&lt;&gt;""),AND(PT7&gt;=QG$17,PT7&lt;&gt;"",PV7&gt;=QG$21,PV7&lt;&gt;""),AND(PW7&gt;=QG$17,PW7&lt;&gt;"",PY7&gt;=QG$21,PY7&lt;&gt;""),AND(QA7&gt;=QG$17,QA7&lt;&gt;"",QC7&gt;=QG$21,QC7&lt;&gt;""),AND(QD7&gt;=QG$17,QD7&lt;&gt;"",QF7&gt;=QG$21,QF7&lt;&gt;""),AND(RB7&gt;=RO$17,RB7&lt;&gt;"",RD7&gt;=RO$21,RD7&lt;&gt;""),AND(RE7&gt;=RO$17,RE7&lt;&gt;"",RG7&gt;=RO$21,RG7&lt;&gt;""),AND(RI7&gt;=RO$17,RI7&lt;&gt;"",RK7&gt;=RO$21,RK7&lt;&gt;""),AND(RL7&gt;=RO$17,RL7&lt;&gt;"",RN7&gt;=RO$21,RN7&lt;&gt;""),AND(SJ7&gt;=SW$17,SJ7&lt;&gt;"",SL7&gt;=SW$21,SL7&lt;&gt;""),AND(SM7&gt;=SW$17,SM7&lt;&gt;"",SO7&gt;=SW$21,SO7&lt;&gt;""),AND(SQ7&gt;=SW$17,SQ7&lt;&gt;"",SS7&gt;=SW$21,SS7&lt;&gt;""),AND(ST7&gt;=SW$17,ST7&lt;&gt;"",SV7&gt;=SW$21,SV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EB7&gt;=EM$21,EB7&lt;&gt;""),AND(EE7&gt;=EM$21,EE7&lt;&gt;""),AND(EI7&gt;=EM$21,EI7&lt;&gt;""),AND(EL7&gt;=EM$21,EL7&lt;&gt;""),AND(FJ7&gt;=FU$21,FJ7&lt;&gt;""),AND(FM7&gt;=FU$21,FM7&lt;&gt;""),AND(FQ7&gt;=FU$21,FQ7&lt;&gt;""),AND(FT7&gt;=FU$21,FT7&lt;&gt;""),AND(GR7&gt;=HC$21,GR7&lt;&gt;""),AND(GU7&gt;=HC$21,GU7&lt;&gt;""),AND(GY7&gt;=HC$21,GY7&lt;&gt;""),AND(HB7&gt;=HC$21,HB7&lt;&gt;""),AND(HZ7&gt;=IK$21,HZ7&lt;&gt;""),AND(IC7&gt;=IK$21,IC7&lt;&gt;""),AND(IG7&gt;=IK$21,IG7&lt;&gt;""),AND(IJ7&gt;=IK$21,IJ7&lt;&gt;""),AND(JH7&gt;=JS$21,JH7&lt;&gt;""),AND(JK7&gt;=JS$21,JK7&lt;&gt;""),AND(JO7&gt;=JS$21,JO7&lt;&gt;""),AND(JR7&gt;=JS$21,JR7&lt;&gt;""),AND(KP7&gt;=LA$21,KP7&lt;&gt;""),AND(KS7&gt;=LA$21,KS7&lt;&gt;""),AND(KW7&gt;=LA$21,KW7&lt;&gt;""),AND(KZ7&gt;=LA$21,KZ7&lt;&gt;""),AND(LX7&gt;=MI$21,LX7&lt;&gt;""),AND(MA7&gt;=MI$21,MA7&lt;&gt;""),AND(ME7&gt;=MI$21,ME7&lt;&gt;""),AND(MH7&gt;=MI$21,MH7&lt;&gt;""),AND(NF7&gt;=NQ$21,NF7&lt;&gt;""),AND(NI7&gt;=NQ$21,NI7&lt;&gt;""),AND(NM7&gt;=NQ$21,NM7&lt;&gt;""),AND(NP7&gt;=NQ$21,NP7&lt;&gt;""),AND(ON7&gt;=OY$21,ON7&lt;&gt;""),AND(OQ7&gt;=OY$21,OQ7&lt;&gt;""),AND(OU7&gt;=OY$21,OU7&lt;&gt;""),AND(OX7&gt;=OY$21,OX7&lt;&gt;""),AND(PV7&gt;=QG$21,PV7&lt;&gt;""),AND(PY7&gt;=QG$21,PY7&lt;&gt;""),AND(QC7&gt;=QG$21,QC7&lt;&gt;""),AND(QF7&gt;=QG$21,QF7&lt;&gt;""),AND(RD7&gt;=RO$21,RD7&lt;&gt;""),AND(RG7&gt;=RO$21,RG7&lt;&gt;""),AND(RK7&gt;=RO$21,RK7&lt;&gt;""),AND(RN7&gt;=RO$21,RN7&lt;&gt;""),AND(SL7&gt;=SW$21,SL7&lt;&gt;""),AND(SO7&gt;=SW$21,SO7&lt;&gt;""),AND(SS7&gt;=SW$21,SS7&lt;&gt;""),AND(SV7&gt;=SW$21,SV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Z7&gt;=EM$20,DZ7&lt;&gt;"",EB7&gt;=EM$24,EB7&lt;&gt;""),AND(EC7&gt;=EM$20,EC7&lt;&gt;"",EE7&gt;=EM$24,EE7&lt;&gt;""),AND(EG7&gt;=EM$20,EG7&lt;&gt;"",EI7&gt;=EM$24,EI7&lt;&gt;""),AND(EJ7&gt;=EM$20,EJ7&lt;&gt;"",EL7&gt;=EM$24,EL7&lt;&gt;""),AND(FH7&gt;=FU$20,FH7&lt;&gt;"",FJ7&gt;=FU$24,FJ7&lt;&gt;""),AND(FK7&gt;=FU$20,FK7&lt;&gt;"",FM7&gt;=FU$24,FM7&lt;&gt;""),AND(FO7&gt;=FU$20,FO7&lt;&gt;"",FQ7&gt;=FU$24,FQ7&lt;&gt;""),AND(FR7&gt;=FU$20,FR7&lt;&gt;"",FT7&gt;=FU$24,FT7&lt;&gt;""),AND(GP7&gt;=HC$20,GP7&lt;&gt;"",GR7&gt;=HC$24,GR7&lt;&gt;""),AND(GS7&gt;=HC$20,GS7&lt;&gt;"",GU7&gt;=HC$24,GU7&lt;&gt;""),AND(GW7&gt;=HC$20,GW7&lt;&gt;"",GY7&gt;=HC$24,GY7&lt;&gt;""),AND(GZ7&gt;=HC$20,GZ7&lt;&gt;"",HB7&gt;=HC$24,HB7&lt;&gt;""),AND(HX7&gt;=IK$20,HX7&lt;&gt;"",HZ7&gt;=IK$24,HZ7&lt;&gt;""),AND(IA7&gt;=IK$20,IA7&lt;&gt;"",IC7&gt;=IK$24,IC7&lt;&gt;""),AND(IE7&gt;=IK$20,IE7&lt;&gt;"",IG7&gt;=IK$24,IG7&lt;&gt;""),AND(IH7&gt;=IK$20,IH7&lt;&gt;"",IJ7&gt;=IK$24,IJ7&lt;&gt;""),AND(JF7&gt;=JS$20,JF7&lt;&gt;"",JH7&gt;=JS$24,JH7&lt;&gt;""),AND(JI7&gt;=JS$20,JI7&lt;&gt;"",JK7&gt;=JS$24,JK7&lt;&gt;""),AND(JM7&gt;=JS$20,JM7&lt;&gt;"",JO7&gt;=JS$24,JO7&lt;&gt;""),AND(JP7&gt;=JS$20,JP7&lt;&gt;"",JR7&gt;=JS$24,JR7&lt;&gt;""),AND(KN7&gt;=LA$20,KN7&lt;&gt;"",KP7&gt;=LA$24,KP7&lt;&gt;""),AND(KQ7&gt;=LA$20,KQ7&lt;&gt;"",KS7&gt;=LA$24,KS7&lt;&gt;""),AND(KU7&gt;=LA$20,KU7&lt;&gt;"",KW7&gt;=LA$24,KW7&lt;&gt;""),AND(KX7&gt;=LA$20,KX7&lt;&gt;"",KZ7&gt;=LA$24,KZ7&lt;&gt;""),AND(LV7&gt;=MI$20,LV7&lt;&gt;"",LX7&gt;=MI$24,LX7&lt;&gt;""),AND(LY7&gt;=MI$20,LY7&lt;&gt;"",MA7&gt;=MI$24,MA7&lt;&gt;""),AND(MC7&gt;=MI$20,MC7&lt;&gt;"",ME7&gt;=MI$24,ME7&lt;&gt;""),AND(MF7&gt;=MI$20,MF7&lt;&gt;"",MH7&gt;=MI$24,MH7&lt;&gt;""),AND(ND7&gt;=NQ$20,ND7&lt;&gt;"",NF7&gt;=NQ$24,NF7&lt;&gt;""),AND(NG7&gt;=NQ$20,NG7&lt;&gt;"",NI7&gt;=NQ$24,NI7&lt;&gt;""),AND(NK7&gt;=NQ$20,NK7&lt;&gt;"",NM7&gt;=NQ$24,NM7&lt;&gt;""),AND(NN7&gt;=NQ$20,NN7&lt;&gt;"",NP7&gt;=NQ$24,NP7&lt;&gt;""),AND(OL7&gt;=OY$20,OL7&lt;&gt;"",ON7&gt;=OY$24,ON7&lt;&gt;""),AND(OO7&gt;=OY$20,OO7&lt;&gt;"",OQ7&gt;=OY$24,OQ7&lt;&gt;""),AND(OS7&gt;=OY$20,OS7&lt;&gt;"",OU7&gt;=OY$24,OU7&lt;&gt;""),AND(OV7&gt;=OY$20,OV7&lt;&gt;"",OX7&gt;=OY$24,OX7&lt;&gt;""),AND(PT7&gt;=QG$20,PT7&lt;&gt;"",PV7&gt;=QG$24,PV7&lt;&gt;""),AND(PW7&gt;=QG$20,PW7&lt;&gt;"",PY7&gt;=QG$24,PY7&lt;&gt;""),AND(QA7&gt;=QG$20,QA7&lt;&gt;"",QC7&gt;=QG$24,QC7&lt;&gt;""),AND(QD7&gt;=QG$20,QD7&lt;&gt;"",QF7&gt;=QG$24,QF7&lt;&gt;""),AND(RB7&gt;=RO$20,RB7&lt;&gt;"",RD7&gt;=RO$24,RD7&lt;&gt;""),AND(RE7&gt;=RO$20,RE7&lt;&gt;"",RG7&gt;=RO$24,RG7&lt;&gt;""),AND(RI7&gt;=RO$20,RI7&lt;&gt;"",RK7&gt;=RO$24,RK7&lt;&gt;""),AND(RL7&gt;=RO$20,RL7&lt;&gt;"",RN7&gt;=RO$24,RN7&lt;&gt;""),AND(SJ7&gt;=SW$20,SJ7&lt;&gt;"",SL7&gt;=SW$24,SL7&lt;&gt;""),AND(SM7&gt;=SW$20,SM7&lt;&gt;"",SO7&gt;=SW$24,SO7&lt;&gt;""),AND(SQ7&gt;=SW$20,SQ7&lt;&gt;"",SS7&gt;=SW$24,SS7&lt;&gt;""),AND(ST7&gt;=SW$20,ST7&lt;&gt;"",SV7&gt;=SW$24,SV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Z7&gt;=EM$19,DZ7&lt;&gt;"",EB7&gt;=EM$23,EB7&lt;&gt;""),AND(EC7&gt;=EM$19,EC7&lt;&gt;"",EE7&gt;=EM$23,EE7&lt;&gt;""),AND(EG7&gt;=EM$19,EG7&lt;&gt;"",EI7&gt;=EM$23,EI7&lt;&gt;""),AND(EJ7&gt;=EM$19,EJ7&lt;&gt;"",EL7&gt;=EM$23,EL7&lt;&gt;""),AND(FH7&gt;=FU$19,FH7&lt;&gt;"",FJ7&gt;=FU$23,FJ7&lt;&gt;""),AND(FK7&gt;=FU$19,FK7&lt;&gt;"",FM7&gt;=FU$23,FM7&lt;&gt;""),AND(FO7&gt;=FU$19,FO7&lt;&gt;"",FQ7&gt;=FU$23,FQ7&lt;&gt;""),AND(FR7&gt;=FU$19,FR7&lt;&gt;"",FT7&gt;=FU$23,FT7&lt;&gt;""),AND(GP7&gt;=HC$19,GP7&lt;&gt;"",GR7&gt;=HC$23,GR7&lt;&gt;""),AND(GS7&gt;=HC$19,GS7&lt;&gt;"",GU7&gt;=HC$23,GU7&lt;&gt;""),AND(GW7&gt;=HC$19,GW7&lt;&gt;"",GY7&gt;=HC$23,GY7&lt;&gt;""),AND(GZ7&gt;=HC$19,GZ7&lt;&gt;"",HB7&gt;=HC$23,HB7&lt;&gt;""),AND(HX7&gt;=IK$19,HX7&lt;&gt;"",HZ7&gt;=IK$23,HZ7&lt;&gt;""),AND(IA7&gt;=IK$19,IA7&lt;&gt;"",IC7&gt;=IK$23,IC7&lt;&gt;""),AND(IE7&gt;=IK$19,IE7&lt;&gt;"",IG7&gt;=IK$23,IG7&lt;&gt;""),AND(IH7&gt;=IK$19,IH7&lt;&gt;"",IJ7&gt;=IK$23,IJ7&lt;&gt;""),AND(JF7&gt;=JS$19,JF7&lt;&gt;"",JH7&gt;=JS$23,JH7&lt;&gt;""),AND(JI7&gt;=JS$19,JI7&lt;&gt;"",JK7&gt;=JS$23,JK7&lt;&gt;""),AND(JM7&gt;=JS$19,JM7&lt;&gt;"",JO7&gt;=JS$23,JO7&lt;&gt;""),AND(JP7&gt;=JS$19,JP7&lt;&gt;"",JR7&gt;=JS$23,JR7&lt;&gt;""),AND(KN7&gt;=LA$19,KN7&lt;&gt;"",KP7&gt;=LA$23,KP7&lt;&gt;""),AND(KQ7&gt;=LA$19,KQ7&lt;&gt;"",KS7&gt;=LA$23,KS7&lt;&gt;""),AND(KU7&gt;=LA$19,KU7&lt;&gt;"",KW7&gt;=LA$23,KW7&lt;&gt;""),AND(KX7&gt;=LA$19,KX7&lt;&gt;"",KZ7&gt;=LA$23,KZ7&lt;&gt;""),AND(LV7&gt;=MI$19,LV7&lt;&gt;"",LX7&gt;=MI$23,LX7&lt;&gt;""),AND(LY7&gt;=MI$19,LY7&lt;&gt;"",MA7&gt;=MI$23,MA7&lt;&gt;""),AND(MC7&gt;=MI$19,MC7&lt;&gt;"",ME7&gt;=MI$23,ME7&lt;&gt;""),AND(MF7&gt;=MI$19,MF7&lt;&gt;"",MH7&gt;=MI$23,MH7&lt;&gt;""),AND(ND7&gt;=NQ$19,ND7&lt;&gt;"",NF7&gt;=NQ$23,NF7&lt;&gt;""),AND(NG7&gt;=NQ$19,NG7&lt;&gt;"",NI7&gt;=NQ$23,NI7&lt;&gt;""),AND(NK7&gt;=NQ$19,NK7&lt;&gt;"",NM7&gt;=NQ$23,NM7&lt;&gt;""),AND(NN7&gt;=NQ$19,NN7&lt;&gt;"",NP7&gt;=NQ$23,NP7&lt;&gt;""),AND(OL7&gt;=OY$19,OL7&lt;&gt;"",ON7&gt;=OY$23,ON7&lt;&gt;""),AND(OO7&gt;=OY$19,OO7&lt;&gt;"",OQ7&gt;=OY$23,OQ7&lt;&gt;""),AND(OS7&gt;=OY$19,OS7&lt;&gt;"",OU7&gt;=OY$23,OU7&lt;&gt;""),AND(OV7&gt;=OY$19,OV7&lt;&gt;"",OX7&gt;=OY$23,OX7&lt;&gt;""),AND(PT7&gt;=QG$19,PT7&lt;&gt;"",PV7&gt;=QG$23,PV7&lt;&gt;""),AND(PW7&gt;=QG$19,PW7&lt;&gt;"",PY7&gt;=QG$23,PY7&lt;&gt;""),AND(QA7&gt;=QG$19,QA7&lt;&gt;"",QC7&gt;=QG$23,QC7&lt;&gt;""),AND(QD7&gt;=QG$19,QD7&lt;&gt;"",QF7&gt;=QG$23,QF7&lt;&gt;""),AND(RB7&gt;=RO$19,RB7&lt;&gt;"",RD7&gt;=RO$23,RD7&lt;&gt;""),AND(RE7&gt;=RO$19,RE7&lt;&gt;"",RG7&gt;=RO$23,RG7&lt;&gt;""),AND(RI7&gt;=RO$19,RI7&lt;&gt;"",RK7&gt;=RO$23,RK7&lt;&gt;""),AND(RL7&gt;=RO$19,RL7&lt;&gt;"",RN7&gt;=RO$23,RN7&lt;&gt;""),AND(SJ7&gt;=SW$19,SJ7&lt;&gt;"",SL7&gt;=SW$23,SL7&lt;&gt;""),AND(SM7&gt;=SW$19,SM7&lt;&gt;"",SO7&gt;=SW$23,SO7&lt;&gt;""),AND(SQ7&gt;=SW$19,SQ7&lt;&gt;"",SS7&gt;=SW$23,SS7&lt;&gt;""),AND(ST7&gt;=SW$19,ST7&lt;&gt;"",SV7&gt;=SW$23,SV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Z7&gt;=EM$18,DZ7&lt;&gt;"",EB7&gt;=EM$22,EB7&lt;&gt;""),AND(EC7&gt;=EM$18,EC7&lt;&gt;"",EE7&gt;=EM$22,EE7&lt;&gt;""),AND(EG7&gt;=EM$18,EG7&lt;&gt;"",EI7&gt;=EM$22,EI7&lt;&gt;""),AND(EJ7&gt;=EM$18,EJ7&lt;&gt;"",EL7&gt;=EM$22,EL7&lt;&gt;""),AND(FH7&gt;=FU$18,FH7&lt;&gt;"",FJ7&gt;=FU$22,FJ7&lt;&gt;""),AND(FK7&gt;=FU$18,FK7&lt;&gt;"",FM7&gt;=FU$22,FM7&lt;&gt;""),AND(FO7&gt;=FU$18,FO7&lt;&gt;"",FQ7&gt;=FU$22,FQ7&lt;&gt;""),AND(FR7&gt;=FU$18,FR7&lt;&gt;"",FT7&gt;=FU$22,FT7&lt;&gt;""),AND(GP7&gt;=HC$18,GP7&lt;&gt;"",GR7&gt;=HC$22,GR7&lt;&gt;""),AND(GS7&gt;=HC$18,GS7&lt;&gt;"",GU7&gt;=HC$22,GU7&lt;&gt;""),AND(GW7&gt;=HC$18,GW7&lt;&gt;"",GY7&gt;=HC$22,GY7&lt;&gt;""),AND(GZ7&gt;=HC$18,GZ7&lt;&gt;"",HB7&gt;=HC$22,HB7&lt;&gt;""),AND(HX7&gt;=IK$18,HX7&lt;&gt;"",HZ7&gt;=IK$22,HZ7&lt;&gt;""),AND(IA7&gt;=IK$18,IA7&lt;&gt;"",IC7&gt;=IK$22,IC7&lt;&gt;""),AND(IE7&gt;=IK$18,IE7&lt;&gt;"",IG7&gt;=IK$22,IG7&lt;&gt;""),AND(IH7&gt;=IK$18,IH7&lt;&gt;"",IJ7&gt;=IK$22,IJ7&lt;&gt;""),AND(JF7&gt;=JS$18,JF7&lt;&gt;"",JH7&gt;=JS$22,JH7&lt;&gt;""),AND(JI7&gt;=JS$18,JI7&lt;&gt;"",JK7&gt;=JS$22,JK7&lt;&gt;""),AND(JM7&gt;=JS$18,JM7&lt;&gt;"",JO7&gt;=JS$22,JO7&lt;&gt;""),AND(JP7&gt;=JS$18,JP7&lt;&gt;"",JR7&gt;=JS$22,JR7&lt;&gt;""),AND(KN7&gt;=LA$18,KN7&lt;&gt;"",KP7&gt;=LA$22,KP7&lt;&gt;""),AND(KQ7&gt;=LA$18,KQ7&lt;&gt;"",KS7&gt;=LA$22,KS7&lt;&gt;""),AND(KU7&gt;=LA$18,KU7&lt;&gt;"",KW7&gt;=LA$22,KW7&lt;&gt;""),AND(KX7&gt;=LA$18,KX7&lt;&gt;"",KZ7&gt;=LA$22,KZ7&lt;&gt;""),AND(LV7&gt;=MI$18,LV7&lt;&gt;"",LX7&gt;=MI$22,LX7&lt;&gt;""),AND(LY7&gt;=MI$18,LY7&lt;&gt;"",MA7&gt;=MI$22,MA7&lt;&gt;""),AND(MC7&gt;=MI$18,MC7&lt;&gt;"",ME7&gt;=MI$22,ME7&lt;&gt;""),AND(MF7&gt;=MI$18,MF7&lt;&gt;"",MH7&gt;=MI$22,MH7&lt;&gt;""),AND(ND7&gt;=NQ$18,ND7&lt;&gt;"",NF7&gt;=NQ$22,NF7&lt;&gt;""),AND(NG7&gt;=NQ$18,NG7&lt;&gt;"",NI7&gt;=NQ$22,NI7&lt;&gt;""),AND(NK7&gt;=NQ$18,NK7&lt;&gt;"",NM7&gt;=NQ$22,NM7&lt;&gt;""),AND(NN7&gt;=NQ$18,NN7&lt;&gt;"",NP7&gt;=NQ$22,NP7&lt;&gt;""),AND(OL7&gt;=OY$18,OL7&lt;&gt;"",ON7&gt;=OY$22,ON7&lt;&gt;""),AND(OO7&gt;=OY$18,OO7&lt;&gt;"",OQ7&gt;=OY$22,OQ7&lt;&gt;""),AND(OS7&gt;=OY$18,OS7&lt;&gt;"",OU7&gt;=OY$22,OU7&lt;&gt;""),AND(OV7&gt;=OY$18,OV7&lt;&gt;"",OX7&gt;=OY$22,OX7&lt;&gt;""),AND(PT7&gt;=QG$18,PT7&lt;&gt;"",PV7&gt;=QG$22,PV7&lt;&gt;""),AND(PW7&gt;=QG$18,PW7&lt;&gt;"",PY7&gt;=QG$22,PY7&lt;&gt;""),AND(QA7&gt;=QG$18,QA7&lt;&gt;"",QC7&gt;=QG$22,QC7&lt;&gt;""),AND(QD7&gt;=QG$18,QD7&lt;&gt;"",QF7&gt;=QG$22,QF7&lt;&gt;""),AND(RB7&gt;=RO$18,RB7&lt;&gt;"",RD7&gt;=RO$22,RD7&lt;&gt;""),AND(RE7&gt;=RO$18,RE7&lt;&gt;"",RG7&gt;=RO$22,RG7&lt;&gt;""),AND(RI7&gt;=RO$18,RI7&lt;&gt;"",RK7&gt;=RO$22,RK7&lt;&gt;""),AND(RL7&gt;=RO$18,RL7&lt;&gt;"",RN7&gt;=RO$22,RN7&lt;&gt;""),AND(SJ7&gt;=SW$18,SJ7&lt;&gt;"",SL7&gt;=SW$22,SL7&lt;&gt;""),AND(SM7&gt;=SW$18,SM7&lt;&gt;"",SO7&gt;=SW$22,SO7&lt;&gt;""),AND(SQ7&gt;=SW$18,SQ7&lt;&gt;"",SS7&gt;=SW$22,SS7&lt;&gt;""),AND(ST7&gt;=SW$18,ST7&lt;&gt;"",SV7&gt;=SW$22,SV7&lt;&gt;"")),"P","")</f>
        <v>P</v>
      </c>
      <c r="J7" s="13">
        <f>IF(COUNT(AQ7,AT7,BR7,BU7,CS7,CV7)&gt;0,LARGE((AQ7,AT7,BR7,BU7,CS7,CV7),1),0)</f>
        <v>54.215000000000003</v>
      </c>
      <c r="K7" s="13" t="str">
        <f>IF(J7="","",IF(OR(J7=CS7,J7=CV7),$CA$1,IF(OR(J7=BR7,J7=BU7),$AZ$1,IF(OR(J7=AQ7,J7=AT7),$Y$1,""))))</f>
        <v>2021 Elite Canada</v>
      </c>
      <c r="L7" s="13">
        <f>IF(COUNT(AQ7,AT7,BR7,BU7,CS7,CV7)&gt;1,LARGE((AQ7,AT7,BR7,BU7,CS7,CV7),2),0)</f>
        <v>53.550000000000004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53.445</v>
      </c>
      <c r="O7" s="13" t="str">
        <f>IF(N7="","",IF(OR(N7=CS7,N7=CV7),$CA$1,IF(OR(N7=BR7,N7=BU7),$AZ$1,IF(OR(N7=AQ7,N7=AT7),$Y$1,""))))</f>
        <v>2021 Canadian Championships</v>
      </c>
      <c r="P7" s="13">
        <f>IF(MAX(AX7,BY7,CZ7)&gt;0,MAX(AX7,BY7,CZ7),0)</f>
        <v>52.3</v>
      </c>
      <c r="Q7" s="13" t="str">
        <f>IF(P7="","",IF(P7=CZ7,$CA$1,IF(P7=BY7,$AZ$1,IF(P7=AX7,$Y$1,""))))</f>
        <v>2022 Elite Canada</v>
      </c>
      <c r="R7" s="13">
        <f>IF(MAX(AO7,AR7,AV7,BP7,BS7,BW7,CQ7,CT7,CX7)&gt;0,MAX(AO7,AR7,BP7,BS7,CQ7,CT7,AV7),0)</f>
        <v>14.2</v>
      </c>
      <c r="S7" s="13" t="str">
        <f>IF(R7=0,"",IF(OR(R7=CQ7,R7=CT7,R7=CX7),$CA$1,IF(OR(R7=BP7,R7=BS7,R7=BW7),$AZ$1,IF(OR(R7=AO7,R7=AR7,R7=AV7),$Y$1,""))))</f>
        <v>2021 Canadian Championships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),0)</f>
        <v>15.34</v>
      </c>
      <c r="U7" s="13" t="str">
        <f>IF(T7=0,"",IF(OR(T7=CR7,T7=CU7,T7=CY7),$CA$1,IF(OR(T7=BQ7,T7=BT7,T7=BX7),$AZ$1,IF(OR(T7=AP7,T7=AS7,T7=AW7),$Y$1,""))))</f>
        <v>2021 Elite Canada</v>
      </c>
      <c r="V7" s="13">
        <f>IF(MAX(DB7,DC7,DD7,DE7)&gt;0,MAX(DB7,DC7,DD7,DE7),"")</f>
        <v>2.3599999999999994</v>
      </c>
      <c r="W7" s="16" t="str">
        <f>IF(V7="","",IF(V7=DB7,"("&amp;DB$2&amp;")",IF(V7=DC7,"("&amp;DC$2&amp;")",IF(V7=DD7,"("&amp;DD$2&amp;")",IF(V7=DE7,"("&amp;DE$2&amp;")")))))</f>
        <v>(Final)</v>
      </c>
      <c r="X7" s="13" t="str">
        <f>IF(V7="","",IF(V7=DB7,IF(V7+IF(L7="",0,L7)=SP7,$RP$1,IF(V7+IF(L7="",0,L7)=RH7,$QH$1,IF(V7+IF(L7="",0,L7)=PZ7,$OZ$1,IF(V7+IF(L7="",0,L7)=OR7,$NR$1,IF(V7+IF(L7="",0,L7)=NJ7,$MJ$1,IF(V7+IF(L7="",0,L7)=MB7,$LB$1,IF(V7+IF(L7="",0,L7)=KT7,$JT$1,IF(V7+IF(L7="",0,L7)=JL7,$IL$1,IF(V7+IF(L7="",0,L7)=ID7,$HD$1,IF(V7+IF(L7="",0,L7)=GV7,$FV$1,IF(V7+IF(L7="",0,L7)=FN7,$EN$1,IF(V7+IF(L7="",0,L7)=EF7,$DF$1)))))))))))),IF(V7=DC7,IF(V7+IF(P7="",0,P7)=SV7,$RP$1,IF(V7+IF(P7="",0,P7)=RN7,$QH$1,IF(V7+IF(P7="",0,P7)=QF7,$OZ$1,IF(V7+IF(P7="",0,P7)=OX7,$NR$1,IF(V7+IF(P7="",0,P7)=NP7,$MJ$1,IF(V7+IF(P7="",0,P7)=MH7,$LB$1,IF(V7+IF(P7="",0,P7)=KZ7,$JT$1,IF(V7+IF(P7="",0,P7)=JR7,$IL$1,IF(V7+IF(P7="",0,P7)=IJ7,$HD$1,IF(V7+IF(P7="",0,P7)=HB7,$FV$1,IF(V7+IF(P7="",0,P7)=FT7,$EN$1,IF(V7+IF(P7="",0,P7)=EL7,$DF$1)))))))))))),IF(V7=DD7,IF(V7+IF(R7="",0,R7)=MAX(SJ7,SM7,SQ7,ST7),$RP$1,IF(V7+IF(R7="",0,R7)=MAX(RB7,RE7,RI7,RL7),$QH$1,IF(V7+IF(R7="",0,R7)=MAX(PT7,PW7,QA7,QD7),$OZ$1,IF(V7+IF(R7="",0,R7)=MAX(OL7,OO7,OS7,OV7),$NR$1,IF(V7+IF(R7="",0,R7)=MAX(ND7,NG7,NK7,NN7),$MJ$1,IF(V7+IF(R7="",0,R7)=MAX(LV7,LY7,MC7,MF7),$LB$1,IF(V7+IF(R7="",0,R7)=MAX(KN7,KQ7,KU7,KX7),$JT$1,IF(V7+IF(R7="",0,R7)=MAX(JF7,JI7,JM7,JP7),$IL$1,IF(V7+IF(R7="",0,R7)=MAX(HX7,IA7,IE7,IH7),$HD$1,IF(V7+IF(R7="",0,R7)=MAX(GP7,GS7,GW7,GZ7),$FV$1,IF(V7+IF(R7="",0,R7)=MAX(FH7,FK7,FO7,FR7),$EN$1,IF(V7+IF(R7="",0,R7)=MAX(DZ7,EC7,EG7,EJ7),$DF$1)))))))))))),IF(V7=DE7,IF(V7+IF(T7="",0,T7)=MAX(SK7,SN7,SR7,SU7),$RP$1,IF(V7+IF(T7="",0,T7)=MAX(RC7,RF7,RJ7,RM7),$QH$1,IF(V7+IF(T7="",0,T7)=MAX(PU7,PX7,QB7,QE7),$OZ$1,IF(V7+IF(T7="",0,T7)=MAX(OM7,OP7,OT7,OW7),$NR$1,IF(V7+IF(T7="",0,T7)=MAX(NE7,NH7,NL7,NO7),$MJ$1,IF(V7+IF(T7="",0,T7)=MAX(LW7,LZ7,MD7,MG7),$LB$1,IF(V7+IF(T7="",0,T7)=MAX(KO7,KR7,KV7,KY7),$JT$1,IF(V7+IF(T7="",0,T7)=MAX(JG7,JJ7,JN7,JQ7),$IL$1,IF(V7+IF(T7="",0,T7)=MAX(HY7,IB7,IF7,II7),$HD$1,IF(V7+IF(T7="",0,T7)=MAX(GQ7,GT7,GX7,HA7),$FV$1,IF(V7+IF(T7="",0,T7)=MAX(FI7,FL7,FP7,FS7),$EN$1,IF(V7+IF(T7="",0,T7)=MAX(EA7,ED7,EH7,EK7),$DF$1)))))))))))))))))</f>
        <v>2021 World Cup ITA/Olympic Technical Trial (June 4/9)</v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>IF(AA7&gt;0,AA7,"")</f>
        <v>14.2</v>
      </c>
      <c r="AP7" s="74">
        <f>IF(AB7&gt;0,AB7,"")</f>
        <v>15.34</v>
      </c>
      <c r="AQ7" s="76">
        <f>IF(SUM(Y7:AB7)-AC7&gt;0,SUM(Y7:AB7)-AC7,"")</f>
        <v>54.215000000000003</v>
      </c>
      <c r="AR7" s="76">
        <f>IF(AF7&gt;0,AF7,"")</f>
        <v>7.4</v>
      </c>
      <c r="AS7" s="76">
        <f>IF(AG7&gt;0,AG7,"")</f>
        <v>7.67</v>
      </c>
      <c r="AT7" s="76">
        <f>IF(SUM(AD7:AG7)-AH7&gt;0,SUM(AD7:AG7)-AH7,"")</f>
        <v>27.520000000000003</v>
      </c>
      <c r="AU7" s="76">
        <f>IF(AQ7="","",MAX(AQ7,AT7))</f>
        <v>54.215000000000003</v>
      </c>
      <c r="AV7" s="76">
        <f>IF(AK7&gt;0,AK7,"")</f>
        <v>12.649999999999999</v>
      </c>
      <c r="AW7" s="76">
        <f>IF(AL7&gt;0,AL7,"")</f>
        <v>12.940000000000001</v>
      </c>
      <c r="AX7" s="76">
        <f>IF(SUM(AI7:AL7)-AM7&gt;0,SUM(AI7:AL7)-AM7,"")</f>
        <v>46.364999999999995</v>
      </c>
      <c r="AY7" s="76">
        <f>IF(SUM(AU7,AX7)&gt;0,SUM(AU7,AX7),"")</f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15.04</v>
      </c>
      <c r="BR7" s="16">
        <f>IF(SUM(AZ7:BC7)-BD7&gt;0,SUM(AZ7:BC7)-BD7,"")</f>
        <v>52.94</v>
      </c>
      <c r="BS7" s="16">
        <f>IF(BG7&gt;0,BG7,"")</f>
        <v>13.5</v>
      </c>
      <c r="BT7" s="16">
        <f>IF(BH7&gt;0,BH7,"")</f>
        <v>15.045</v>
      </c>
      <c r="BU7" s="16">
        <f>IF(SUM(BE7:BH7)-BI7&gt;0,SUM(BE7:BH7)-BI7,"")</f>
        <v>53.445</v>
      </c>
      <c r="BV7" s="16">
        <f>IF(BR7="","",MAX(BR7,BU7))</f>
        <v>53.445</v>
      </c>
      <c r="BW7" s="16">
        <f>IF(BL7&gt;0,BL7,"")</f>
        <v>14.2</v>
      </c>
      <c r="BX7" s="16">
        <f>IF(BM7&gt;0,BM7,"")</f>
        <v>14.59</v>
      </c>
      <c r="BY7" s="16">
        <f>IF(SUM(BJ7:BM7)-BN7&gt;0,SUM(BJ7:BM7)-BN7,"")</f>
        <v>51.790000000000006</v>
      </c>
      <c r="BZ7" s="16">
        <f>IF(SUM(BV7,BY7)&gt;0,SUM(BV7,BY7),"")</f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>IF(CC7&gt;0,CC7,"")</f>
        <v>14</v>
      </c>
      <c r="CR7" s="74">
        <f>IF(CD7&gt;0,CD7,"")</f>
        <v>14.73</v>
      </c>
      <c r="CS7" s="76">
        <f>IF(SUM(CA7:CD7)-CE7&gt;0,SUM(CA7:CD7)-CE7,"")</f>
        <v>53.430000000000007</v>
      </c>
      <c r="CT7" s="76">
        <f>IF(CH7&gt;0,CH7,"")</f>
        <v>14</v>
      </c>
      <c r="CU7" s="76">
        <f>IF(CI7&gt;0,CI7,"")</f>
        <v>14.85</v>
      </c>
      <c r="CV7" s="76">
        <f>IF(SUM(CF7:CI7)-CJ7&gt;0,SUM(CF7:CI7)-CJ7,"")</f>
        <v>53.550000000000004</v>
      </c>
      <c r="CW7" s="76">
        <f>IF(CS7="","",MAX(CS7,CV7))</f>
        <v>53.550000000000004</v>
      </c>
      <c r="CX7" s="76">
        <f>IF(CM7&gt;0,CM7,"")</f>
        <v>14</v>
      </c>
      <c r="CY7" s="76">
        <f>IF(CN7&gt;0,CN7,"")</f>
        <v>14.5</v>
      </c>
      <c r="CZ7" s="76">
        <f>IF(SUM(CK7:CN7)-CO7&gt;0,SUM(CK7:CN7)-CO7,"")</f>
        <v>52.3</v>
      </c>
      <c r="DA7" s="76">
        <f>IF(SUM(CW7,CZ7)&gt;0,SUM(CW7,CZ7),"")</f>
        <v>105.85</v>
      </c>
      <c r="DB7" s="87">
        <f>IF(L7&gt;=0.001,IF(MAX(EF7,FN7,GV7,ID7,JL7,KT7,MB7,NJ7,OR7,PZ7,RH7,SP7)-IF(L7="",0,L7)&gt;0.001,MAX(EF7,FN7,GV7,ID7,JL7,KT7,MB7,NJ7,OR7,PZ7,RH7,SP7)-IF(L7="",0,L7),""),"")</f>
        <v>2.1999999999999957</v>
      </c>
      <c r="DC7" s="87">
        <f>IF(P7&gt;=0.001,IF(MAX(EI7,EL7,FQ7,FT7,GY7,HB7,IG7,IJ7,JO7,JR7,KW7,KZ7,ME7,MH7,NM7,NP7,OU7,OX7,QC7,QF7,RK7,RN7,SS7,SV7)-IF(P7="",0,P7)&gt;0.001,MAX(EI7,EL7,FQ7,FT7,GY7,HB7,IG7,IJ7,JO7,JR7,KW7,KZ7,ME7,MH7,NM7,NP7,OU7,OX7,QC7,QF7,RK7,RN7,SS7,SV7)-IF(P7="",0,P7),""),"")</f>
        <v>2.3599999999999994</v>
      </c>
      <c r="DD7" s="87">
        <f>IF(R7&gt;=0.001,IF(MAX(DZ7,EC7,EG7,EJ7,FH7,FK7,FO7,FR7,GP7,GS7,GW7,GZ7,HX7,IA7,IE7,IH7,JF7,JI7,JM7,JP7,KN7,KQ7,KU7,KX7,LV7,LY7,MC7,MF7,ND7,NG7,NK7,NN7,OL7,OO7,OS7,OV7,PT7,PW7,QA7,QD7,RB7,RE7,RI7,RL7,SJ7,SM7,SQ7,ST7)-IF(R7="",0,R7)&gt;0.001,MAX(DZ7,EC7,EG7,EJ7,FH7,FK7,FO7,FR7,GP7,GS7,GW7,GZ7,HX7,IA7,IE7,IH7,JF7,JI7,JM7,JP7,KN7,KQ7,KU7,KX7,LV7,LY7,MC7,MF7,ND7,NG7,NK7,NN7,OL7,OO7,OS7,OV7,PT7,PW7,QA7,QD7,RB7,RE7,RI7,RL7,SJ7,SM7,SQ7,ST7)-IF(R7="",0,R7),""),"")</f>
        <v>0.60000000000000142</v>
      </c>
      <c r="DE7" s="87">
        <f>IF(T7&gt;=0.001,IF(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&gt;0.001,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,""),"")</f>
        <v>0.10999999999999943</v>
      </c>
      <c r="DF7" s="25">
        <v>15.8</v>
      </c>
      <c r="DG7" s="25">
        <v>9.6999999999999993</v>
      </c>
      <c r="DH7" s="25">
        <v>14.8</v>
      </c>
      <c r="DI7" s="25">
        <v>15.45</v>
      </c>
      <c r="DJ7" s="25">
        <v>0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>
        <v>15.5</v>
      </c>
      <c r="DV7" s="25">
        <v>9.1999999999999993</v>
      </c>
      <c r="DW7" s="25">
        <v>14.8</v>
      </c>
      <c r="DX7" s="25">
        <v>15.16</v>
      </c>
      <c r="DY7" s="25">
        <v>0</v>
      </c>
      <c r="DZ7" s="76">
        <f>IF(DH7&gt;0,DH7,"")</f>
        <v>14.8</v>
      </c>
      <c r="EA7" s="76">
        <f>IF(DI7&gt;0,DI7,"")</f>
        <v>15.45</v>
      </c>
      <c r="EB7" s="76">
        <f>IF(SUM(DF7:DI7)-DJ7&gt;0,SUM(DF7:DI7)-DJ7,"")</f>
        <v>55.75</v>
      </c>
      <c r="EC7" s="76" t="str">
        <f>IF(DM7&gt;0,DM7,"")</f>
        <v/>
      </c>
      <c r="ED7" s="76" t="str">
        <f>IF(DN7&gt;0,DN7,"")</f>
        <v/>
      </c>
      <c r="EE7" s="76" t="str">
        <f>IF(SUM(DK7:DN7)-DO7&gt;0,SUM(DK7:DN7)-DO7,"")</f>
        <v/>
      </c>
      <c r="EF7" s="76">
        <f>IF(MAX(EB7,EE7)&gt;0,MAX(EB7,EE7),"")</f>
        <v>55.75</v>
      </c>
      <c r="EG7" s="76" t="str">
        <f>IF(DR7&gt;0,DR7,"")</f>
        <v/>
      </c>
      <c r="EH7" s="76" t="str">
        <f>IF(DS7&gt;0,DS7,"")</f>
        <v/>
      </c>
      <c r="EI7" s="76" t="str">
        <f>IF(SUM(DP7:DS7)-DT7&gt;0,SUM(DP7:DS7)-DT7,"")</f>
        <v/>
      </c>
      <c r="EJ7" s="76">
        <f>IF(DW7&gt;0,DW7,"")</f>
        <v>14.8</v>
      </c>
      <c r="EK7" s="76">
        <f>IF(DX7&gt;0,DX7,"")</f>
        <v>15.16</v>
      </c>
      <c r="EL7" s="76">
        <f>IF(SUM(DU7:DX7)-DY7&gt;0,SUM(DU7:DX7)-DY7,"")</f>
        <v>54.66</v>
      </c>
      <c r="EM7" s="76">
        <f>IF(SUM(EF7,EL7)&gt;0,SUM(EF7,EL7),"")</f>
        <v>110.41</v>
      </c>
      <c r="EN7" s="26">
        <v>2.8</v>
      </c>
      <c r="EO7" s="26">
        <v>1.7</v>
      </c>
      <c r="EP7" s="26">
        <v>3.4</v>
      </c>
      <c r="EQ7" s="26">
        <v>3.31</v>
      </c>
      <c r="ER7" s="26">
        <v>0</v>
      </c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16">
        <f>IF(EP7&gt;0,EP7,"")</f>
        <v>3.4</v>
      </c>
      <c r="FI7" s="16">
        <f>IF(EQ7&gt;0,EQ7,"")</f>
        <v>3.31</v>
      </c>
      <c r="FJ7" s="16">
        <f>IF(SUM(EN7:EQ7)-ER7&gt;0,SUM(EN7:EQ7)-ER7,"")</f>
        <v>11.21</v>
      </c>
      <c r="FK7" s="16" t="str">
        <f>IF(EU7&gt;0,EU7,"")</f>
        <v/>
      </c>
      <c r="FL7" s="16" t="str">
        <f>IF(EV7&gt;0,EV7,"")</f>
        <v/>
      </c>
      <c r="FM7" s="16" t="str">
        <f>IF(SUM(ES7:EV7)-EW7&gt;0,SUM(ES7:EV7)-EW7,"")</f>
        <v/>
      </c>
      <c r="FN7" s="16">
        <f>IF(MAX(FJ7,FM7)&gt;0,MAX(FJ7,FM7),"")</f>
        <v>11.21</v>
      </c>
      <c r="FO7" s="16" t="str">
        <f>IF(EZ7&gt;0,EZ7,"")</f>
        <v/>
      </c>
      <c r="FP7" s="16" t="str">
        <f>IF(FA7&gt;0,FA7,"")</f>
        <v/>
      </c>
      <c r="FQ7" s="16" t="str">
        <f>IF(SUM(EX7:FA7)-FB7&gt;0,SUM(EX7:FA7)-FB7,"")</f>
        <v/>
      </c>
      <c r="FR7" s="16" t="str">
        <f>IF(FE7&gt;0,FE7,"")</f>
        <v/>
      </c>
      <c r="FS7" s="16" t="str">
        <f>IF(FF7&gt;0,FF7,"")</f>
        <v/>
      </c>
      <c r="FT7" s="16" t="str">
        <f>IF(SUM(FC7:FF7)-FG7&gt;0,SUM(FC7:FF7)-FG7,"")</f>
        <v/>
      </c>
      <c r="FU7" s="16">
        <f>IF(SUM(FN7,FT7)&gt;0,SUM(FN7,FT7),"")</f>
        <v>11.21</v>
      </c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76" t="str">
        <f>IF(FX7&gt;0,FX7,"")</f>
        <v/>
      </c>
      <c r="GQ7" s="76" t="str">
        <f>IF(FY7&gt;0,FY7,"")</f>
        <v/>
      </c>
      <c r="GR7" s="76" t="str">
        <f>IF(SUM(FV7:FY7)-FZ7&gt;0,SUM(FV7:FY7)-FZ7,"")</f>
        <v/>
      </c>
      <c r="GS7" s="76" t="str">
        <f>IF(GC7&gt;0,GC7,"")</f>
        <v/>
      </c>
      <c r="GT7" s="76" t="str">
        <f>IF(GD7&gt;0,GD7,"")</f>
        <v/>
      </c>
      <c r="GU7" s="76" t="str">
        <f>IF(SUM(GA7:GD7)-GE7&gt;0,SUM(GA7:GD7)-GE7,"")</f>
        <v/>
      </c>
      <c r="GV7" s="76" t="str">
        <f>IF(MAX(GR7,GU7)&gt;0,MAX(GR7,GU7),"")</f>
        <v/>
      </c>
      <c r="GW7" s="76" t="str">
        <f>IF(GH7&gt;0,GH7,"")</f>
        <v/>
      </c>
      <c r="GX7" s="76" t="str">
        <f>IF(GI7&gt;0,GI7,"")</f>
        <v/>
      </c>
      <c r="GY7" s="76" t="str">
        <f>IF(SUM(GF7:GI7)-GJ7&gt;0,SUM(GF7:GI7)-GJ7,"")</f>
        <v/>
      </c>
      <c r="GZ7" s="76" t="str">
        <f>IF(GM7&gt;0,GM7,"")</f>
        <v/>
      </c>
      <c r="HA7" s="76" t="str">
        <f>IF(GN7&gt;0,GN7,"")</f>
        <v/>
      </c>
      <c r="HB7" s="76" t="str">
        <f>IF(SUM(GK7:GN7)-GO7&gt;0,SUM(GK7:GN7)-GO7,"")</f>
        <v/>
      </c>
      <c r="HC7" s="76" t="str">
        <f>IF(SUM(GV7,HB7)&gt;0,SUM(GV7,HB7),"")</f>
        <v/>
      </c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16" t="str">
        <f>IF(HF7&gt;0,HF7,"")</f>
        <v/>
      </c>
      <c r="HY7" s="16" t="str">
        <f>IF(HG7&gt;0,HG7,"")</f>
        <v/>
      </c>
      <c r="HZ7" s="16" t="str">
        <f>IF(SUM(HD7:HG7)-HH7&gt;0,SUM(HD7:HG7)-HH7,"")</f>
        <v/>
      </c>
      <c r="IA7" s="16" t="str">
        <f>IF(HK7&gt;0,HK7,"")</f>
        <v/>
      </c>
      <c r="IB7" s="16" t="str">
        <f>IF(HL7&gt;0,HL7,"")</f>
        <v/>
      </c>
      <c r="IC7" s="16" t="str">
        <f>IF(SUM(HI7:HL7)-HM7&gt;0,SUM(HI7:HL7)-HM7,"")</f>
        <v/>
      </c>
      <c r="ID7" s="16" t="str">
        <f>IF(MAX(HZ7,IC7)&gt;0,MAX(HZ7,IC7),"")</f>
        <v/>
      </c>
      <c r="IE7" s="16" t="str">
        <f>IF(HP7&gt;0,HP7,"")</f>
        <v/>
      </c>
      <c r="IF7" s="16" t="str">
        <f>IF(HQ7&gt;0,HQ7,"")</f>
        <v/>
      </c>
      <c r="IG7" s="16" t="str">
        <f>IF(SUM(HN7:HQ7)-HR7&gt;0,SUM(HN7:HQ7)-HR7,"")</f>
        <v/>
      </c>
      <c r="IH7" s="16" t="str">
        <f>IF(HU7&gt;0,HU7,"")</f>
        <v/>
      </c>
      <c r="II7" s="16" t="str">
        <f>IF(HV7&gt;0,HV7,"")</f>
        <v/>
      </c>
      <c r="IJ7" s="16" t="str">
        <f>IF(SUM(HS7:HV7)-HW7&gt;0,SUM(HS7:HV7)-HW7,"")</f>
        <v/>
      </c>
      <c r="IK7" s="16" t="str">
        <f>IF(SUM(ID7,IJ7)&gt;0,SUM(ID7,IJ7),"")</f>
        <v/>
      </c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76" t="str">
        <f>IF(IN7&gt;0,IN7,"")</f>
        <v/>
      </c>
      <c r="JG7" s="76" t="str">
        <f>IF(IO7&gt;0,IO7,"")</f>
        <v/>
      </c>
      <c r="JH7" s="76" t="str">
        <f>IF(SUM(IL7:IO7)-IP7&gt;0,SUM(IL7:IO7)-IP7,"")</f>
        <v/>
      </c>
      <c r="JI7" s="76" t="str">
        <f>IF(IS7&gt;0,IS7,"")</f>
        <v/>
      </c>
      <c r="JJ7" s="76" t="str">
        <f>IF(IT7&gt;0,IT7,"")</f>
        <v/>
      </c>
      <c r="JK7" s="76" t="str">
        <f>IF(SUM(IQ7:IT7)-IU7&gt;0,SUM(IQ7:IT7)-IU7,"")</f>
        <v/>
      </c>
      <c r="JL7" s="76" t="str">
        <f>IF(MAX(JH7,JK7)&gt;0,MAX(JH7,JK7),"")</f>
        <v/>
      </c>
      <c r="JM7" s="76" t="str">
        <f>IF(IX7&gt;0,IX7,"")</f>
        <v/>
      </c>
      <c r="JN7" s="76" t="str">
        <f>IF(IY7&gt;0,IY7,"")</f>
        <v/>
      </c>
      <c r="JO7" s="76" t="str">
        <f>IF(SUM(IV7:IY7)-IZ7&gt;0,SUM(IV7:IY7)-IZ7,"")</f>
        <v/>
      </c>
      <c r="JP7" s="76" t="str">
        <f>IF(JC7&gt;0,JC7,"")</f>
        <v/>
      </c>
      <c r="JQ7" s="76" t="str">
        <f>IF(JD7&gt;0,JD7,"")</f>
        <v/>
      </c>
      <c r="JR7" s="76" t="str">
        <f>IF(SUM(JA7:JD7)-JE7&gt;0,SUM(JA7:JD7)-JE7,"")</f>
        <v/>
      </c>
      <c r="JS7" s="76" t="str">
        <f>IF(SUM(JL7,JR7)&gt;0,SUM(JL7,JR7),"")</f>
        <v/>
      </c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16" t="str">
        <f>IF(JV7&gt;0,JV7,"")</f>
        <v/>
      </c>
      <c r="KO7" s="16" t="str">
        <f>IF(JW7&gt;0,JW7,"")</f>
        <v/>
      </c>
      <c r="KP7" s="16" t="str">
        <f>IF(SUM(JT7:JW7)-JX7&gt;0,SUM(JT7:JW7)-JX7,"")</f>
        <v/>
      </c>
      <c r="KQ7" s="16" t="str">
        <f>IF(KA7&gt;0,KA7,"")</f>
        <v/>
      </c>
      <c r="KR7" s="16" t="str">
        <f>IF(KB7&gt;0,KB7,"")</f>
        <v/>
      </c>
      <c r="KS7" s="16" t="str">
        <f>IF(SUM(JY7:KB7)-KC7&gt;0,SUM(JY7:KB7)-KC7,"")</f>
        <v/>
      </c>
      <c r="KT7" s="16" t="str">
        <f>IF(MAX(KP7,KS7)&gt;0,MAX(KP7,KS7),"")</f>
        <v/>
      </c>
      <c r="KU7" s="16" t="str">
        <f>IF(KF7&gt;0,KF7,"")</f>
        <v/>
      </c>
      <c r="KV7" s="16" t="str">
        <f>IF(KG7&gt;0,KG7,"")</f>
        <v/>
      </c>
      <c r="KW7" s="16" t="str">
        <f>IF(SUM(KD7:KG7)-KH7&gt;0,SUM(KD7:KG7)-KH7,"")</f>
        <v/>
      </c>
      <c r="KX7" s="16" t="str">
        <f>IF(KK7&gt;0,KK7,"")</f>
        <v/>
      </c>
      <c r="KY7" s="16" t="str">
        <f>IF(KL7&gt;0,KL7,"")</f>
        <v/>
      </c>
      <c r="KZ7" s="16" t="str">
        <f>IF(SUM(KI7:KL7)-KM7&gt;0,SUM(KI7:KL7)-KM7,"")</f>
        <v/>
      </c>
      <c r="LA7" s="16" t="str">
        <f>IF(SUM(KT7,KZ7)&gt;0,SUM(KT7,KZ7),"")</f>
        <v/>
      </c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76" t="str">
        <f>IF(LD7&gt;0,LD7,"")</f>
        <v/>
      </c>
      <c r="LW7" s="76" t="str">
        <f>IF(LE7&gt;0,LE7,"")</f>
        <v/>
      </c>
      <c r="LX7" s="76" t="str">
        <f>IF(SUM(LB7:LE7)-LF7&gt;0,SUM(LB7:LE7)-LF7,"")</f>
        <v/>
      </c>
      <c r="LY7" s="76" t="str">
        <f>IF(LI7&gt;0,LI7,"")</f>
        <v/>
      </c>
      <c r="LZ7" s="76" t="str">
        <f>IF(LJ7&gt;0,LJ7,"")</f>
        <v/>
      </c>
      <c r="MA7" s="76" t="str">
        <f>IF(SUM(LG7:LJ7)-LK7&gt;0,SUM(LG7:LJ7)-LK7,"")</f>
        <v/>
      </c>
      <c r="MB7" s="76" t="str">
        <f>IF(MAX(LX7,MA7)&gt;0,MAX(LX7,MA7),"")</f>
        <v/>
      </c>
      <c r="MC7" s="76" t="str">
        <f>IF(LN7&gt;0,LN7,"")</f>
        <v/>
      </c>
      <c r="MD7" s="76" t="str">
        <f>IF(LO7&gt;0,LO7,"")</f>
        <v/>
      </c>
      <c r="ME7" s="76" t="str">
        <f>IF(SUM(LL7:LO7)-LP7&gt;0,SUM(LL7:LO7)-LP7,"")</f>
        <v/>
      </c>
      <c r="MF7" s="76" t="str">
        <f>IF(LS7&gt;0,LS7,"")</f>
        <v/>
      </c>
      <c r="MG7" s="76" t="str">
        <f>IF(LT7&gt;0,LT7,"")</f>
        <v/>
      </c>
      <c r="MH7" s="76" t="str">
        <f>IF(SUM(LQ7:LT7)-LU7&gt;0,SUM(LQ7:LT7)-LU7,"")</f>
        <v/>
      </c>
      <c r="MI7" s="76" t="str">
        <f>IF(SUM(MB7,MH7)&gt;0,SUM(MB7,MH7),"")</f>
        <v/>
      </c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16" t="str">
        <f>IF(ML7&gt;0,ML7,"")</f>
        <v/>
      </c>
      <c r="NE7" s="16" t="str">
        <f>IF(MM7&gt;0,MM7,"")</f>
        <v/>
      </c>
      <c r="NF7" s="16" t="str">
        <f>IF(SUM(MJ7:MM7)-MN7&gt;0,SUM(MJ7:MM7)-MN7,"")</f>
        <v/>
      </c>
      <c r="NG7" s="16" t="str">
        <f>IF(MQ7&gt;0,MQ7,"")</f>
        <v/>
      </c>
      <c r="NH7" s="16" t="str">
        <f>IF(MR7&gt;0,MR7,"")</f>
        <v/>
      </c>
      <c r="NI7" s="16" t="str">
        <f>IF(SUM(MO7:MR7)-MS7&gt;0,SUM(MO7:MR7)-MS7,"")</f>
        <v/>
      </c>
      <c r="NJ7" s="16" t="str">
        <f>IF(MAX(NF7,NI7)&gt;0,MAX(NF7,NI7),"")</f>
        <v/>
      </c>
      <c r="NK7" s="16" t="str">
        <f>IF(MV7&gt;0,MV7,"")</f>
        <v/>
      </c>
      <c r="NL7" s="16" t="str">
        <f>IF(MW7&gt;0,MW7,"")</f>
        <v/>
      </c>
      <c r="NM7" s="16" t="str">
        <f>IF(SUM(MT7:MW7)-MX7&gt;0,SUM(MT7:MW7)-MX7,"")</f>
        <v/>
      </c>
      <c r="NN7" s="16" t="str">
        <f>IF(NA7&gt;0,NA7,"")</f>
        <v/>
      </c>
      <c r="NO7" s="16" t="str">
        <f>IF(NB7&gt;0,NB7,"")</f>
        <v/>
      </c>
      <c r="NP7" s="16" t="str">
        <f>IF(SUM(MY7:NB7)-NC7&gt;0,SUM(MY7:NB7)-NC7,"")</f>
        <v/>
      </c>
      <c r="NQ7" s="16" t="str">
        <f>IF(SUM(NJ7,NP7)&gt;0,SUM(NJ7,NP7),"")</f>
        <v/>
      </c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76" t="str">
        <f>IF(NT7&gt;0,NT7,"")</f>
        <v/>
      </c>
      <c r="OM7" s="76" t="str">
        <f>IF(NU7&gt;0,NU7,"")</f>
        <v/>
      </c>
      <c r="ON7" s="76" t="str">
        <f>IF(SUM(NR7:NU7)-NV7&gt;0,SUM(NR7:NU7)-NV7,"")</f>
        <v/>
      </c>
      <c r="OO7" s="76" t="str">
        <f>IF(NY7&gt;0,NY7,"")</f>
        <v/>
      </c>
      <c r="OP7" s="76" t="str">
        <f>IF(NZ7&gt;0,NZ7,"")</f>
        <v/>
      </c>
      <c r="OQ7" s="76" t="str">
        <f>IF(SUM(NW7:NZ7)-OA7&gt;0,SUM(NW7:NZ7)-OA7,"")</f>
        <v/>
      </c>
      <c r="OR7" s="76" t="str">
        <f>IF(MAX(ON7,OQ7)&gt;0,MAX(ON7,OQ7),"")</f>
        <v/>
      </c>
      <c r="OS7" s="76" t="str">
        <f>IF(OD7&gt;0,OD7,"")</f>
        <v/>
      </c>
      <c r="OT7" s="76" t="str">
        <f>IF(OE7&gt;0,OE7,"")</f>
        <v/>
      </c>
      <c r="OU7" s="76" t="str">
        <f>IF(SUM(OB7:OE7)-OF7&gt;0,SUM(OB7:OE7)-OF7,"")</f>
        <v/>
      </c>
      <c r="OV7" s="76" t="str">
        <f>IF(OI7&gt;0,OI7,"")</f>
        <v/>
      </c>
      <c r="OW7" s="76" t="str">
        <f>IF(OJ7&gt;0,OJ7,"")</f>
        <v/>
      </c>
      <c r="OX7" s="76" t="str">
        <f>IF(SUM(OG7:OJ7)-OK7&gt;0,SUM(OG7:OJ7)-OK7,"")</f>
        <v/>
      </c>
      <c r="OY7" s="76" t="str">
        <f>IF(SUM(OR7,OX7)&gt;0,SUM(OR7,OX7),"")</f>
        <v/>
      </c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16" t="str">
        <f>IF(PB7&gt;0,PB7,"")</f>
        <v/>
      </c>
      <c r="PU7" s="16" t="str">
        <f>IF(PC7&gt;0,PC7,"")</f>
        <v/>
      </c>
      <c r="PV7" s="16" t="str">
        <f>IF(SUM(OZ7:PC7)-PD7&gt;0,SUM(OZ7:PC7)-PD7,"")</f>
        <v/>
      </c>
      <c r="PW7" s="16" t="str">
        <f>IF(PG7&gt;0,PG7,"")</f>
        <v/>
      </c>
      <c r="PX7" s="16" t="str">
        <f>IF(PH7&gt;0,PH7,"")</f>
        <v/>
      </c>
      <c r="PY7" s="16" t="str">
        <f>IF(SUM(PE7:PH7)-PI7&gt;0,SUM(PE7:PH7)-PI7,"")</f>
        <v/>
      </c>
      <c r="PZ7" s="16" t="str">
        <f>IF(MAX(PV7,PY7)&gt;0,MAX(PV7,PY7),"")</f>
        <v/>
      </c>
      <c r="QA7" s="16" t="str">
        <f>IF(PL7&gt;0,PL7,"")</f>
        <v/>
      </c>
      <c r="QB7" s="16" t="str">
        <f>IF(PM7&gt;0,PM7,"")</f>
        <v/>
      </c>
      <c r="QC7" s="16" t="str">
        <f>IF(SUM(PJ7:PM7)-PN7&gt;0,SUM(PJ7:PM7)-PN7,"")</f>
        <v/>
      </c>
      <c r="QD7" s="16" t="str">
        <f>IF(PQ7&gt;0,PQ7,"")</f>
        <v/>
      </c>
      <c r="QE7" s="16" t="str">
        <f>IF(PR7&gt;0,PR7,"")</f>
        <v/>
      </c>
      <c r="QF7" s="16" t="str">
        <f>IF(SUM(PO7:PR7)-PS7&gt;0,SUM(PO7:PR7)-PS7,"")</f>
        <v/>
      </c>
      <c r="QG7" s="16" t="str">
        <f>IF(SUM(PZ7,QF7)&gt;0,SUM(PZ7,QF7),"")</f>
        <v/>
      </c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25"/>
      <c r="RA7" s="25"/>
      <c r="RB7" s="76" t="str">
        <f>IF(QJ7&gt;0,QJ7,"")</f>
        <v/>
      </c>
      <c r="RC7" s="76" t="str">
        <f>IF(QK7&gt;0,QK7,"")</f>
        <v/>
      </c>
      <c r="RD7" s="76" t="str">
        <f>IF(SUM(QH7:QK7)-QL7&gt;0,SUM(QH7:QK7)-QL7,"")</f>
        <v/>
      </c>
      <c r="RE7" s="76" t="str">
        <f>IF(QO7&gt;0,QO7,"")</f>
        <v/>
      </c>
      <c r="RF7" s="76" t="str">
        <f>IF(QP7&gt;0,QP7,"")</f>
        <v/>
      </c>
      <c r="RG7" s="76" t="str">
        <f>IF(SUM(QM7:QP7)-QQ7&gt;0,SUM(QM7:QP7)-QQ7,"")</f>
        <v/>
      </c>
      <c r="RH7" s="76" t="str">
        <f>IF(MAX(RD7,RG7)&gt;0,MAX(RD7,RG7),"")</f>
        <v/>
      </c>
      <c r="RI7" s="76" t="str">
        <f>IF(QT7&gt;0,QT7,"")</f>
        <v/>
      </c>
      <c r="RJ7" s="76" t="str">
        <f>IF(QU7&gt;0,QU7,"")</f>
        <v/>
      </c>
      <c r="RK7" s="76" t="str">
        <f>IF(SUM(QR7:QU7)-QV7&gt;0,SUM(QR7:QU7)-QV7,"")</f>
        <v/>
      </c>
      <c r="RL7" s="76" t="str">
        <f>IF(QY7&gt;0,QY7,"")</f>
        <v/>
      </c>
      <c r="RM7" s="76" t="str">
        <f>IF(QZ7&gt;0,QZ7,"")</f>
        <v/>
      </c>
      <c r="RN7" s="76" t="str">
        <f>IF(SUM(QW7:QZ7)-RA7&gt;0,SUM(QW7:QZ7)-RA7,"")</f>
        <v/>
      </c>
      <c r="RO7" s="76" t="str">
        <f>IF(SUM(RH7,RN7)&gt;0,SUM(RH7,RN7),"")</f>
        <v/>
      </c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16" t="str">
        <f>IF(RR7&gt;0,RR7,"")</f>
        <v/>
      </c>
      <c r="SK7" s="16" t="str">
        <f>IF(RS7&gt;0,RS7,"")</f>
        <v/>
      </c>
      <c r="SL7" s="16" t="str">
        <f>IF(SUM(RP7:RS7)-RT7&gt;0,SUM(RP7:RS7)-RT7,"")</f>
        <v/>
      </c>
      <c r="SM7" s="16" t="str">
        <f>IF(RW7&gt;0,RW7,"")</f>
        <v/>
      </c>
      <c r="SN7" s="16" t="str">
        <f>IF(RX7&gt;0,RX7,"")</f>
        <v/>
      </c>
      <c r="SO7" s="16" t="str">
        <f>IF(SUM(RU7:RX7)-RY7&gt;0,SUM(RU7:RX7)-RY7,"")</f>
        <v/>
      </c>
      <c r="SP7" s="16" t="str">
        <f>IF(MAX(SL7,SO7)&gt;0,MAX(SL7,SO7),"")</f>
        <v/>
      </c>
      <c r="SQ7" s="16" t="str">
        <f>IF(SB7&gt;0,SB7,"")</f>
        <v/>
      </c>
      <c r="SR7" s="16" t="str">
        <f>IF(SC7&gt;0,SC7,"")</f>
        <v/>
      </c>
      <c r="SS7" s="16" t="str">
        <f>IF(SUM(RZ7:SC7)-SD7&gt;0,SUM(RZ7:SC7)-SD7,"")</f>
        <v/>
      </c>
      <c r="ST7" s="16" t="str">
        <f>IF(SG7&gt;0,SG7,"")</f>
        <v/>
      </c>
      <c r="SU7" s="16" t="str">
        <f>IF(SH7&gt;0,SH7,"")</f>
        <v/>
      </c>
      <c r="SV7" s="16" t="str">
        <f>IF(SUM(SE7:SH7)-SI7&gt;0,SUM(SE7:SH7)-SI7,"")</f>
        <v/>
      </c>
      <c r="SW7" s="16" t="str">
        <f>IF(SUM(SP7,SV7)&gt;0,SUM(SP7,SV7),"")</f>
        <v/>
      </c>
      <c r="SX7" s="42">
        <f>IF($CP7="P",CA7,(CA7+AZ7)/2)</f>
        <v>14.95</v>
      </c>
      <c r="SY7" s="42">
        <f>IF($CP7="P",CB7,(CB7+BA7)/2)</f>
        <v>9.35</v>
      </c>
      <c r="SZ7" s="42">
        <f>IF($CP7="P",CC7,(CC7+BB7)/2)</f>
        <v>14</v>
      </c>
      <c r="TA7" s="42">
        <f>IF($CP7="P",CD7,(CD7+BC7)/2)</f>
        <v>14.885</v>
      </c>
      <c r="TB7" s="42">
        <f>IF($CP7="P",CE7,(CE7+BD7)/2)</f>
        <v>0</v>
      </c>
      <c r="TC7" s="42">
        <f>IF($CP7="P",CF7,(CF7+BE7)/2)</f>
        <v>15.3</v>
      </c>
      <c r="TD7" s="42">
        <f>IF($CP7="P",CG7,(CG7+BF7)/2)</f>
        <v>9.5</v>
      </c>
      <c r="TE7" s="42">
        <f>IF($CP7="P",CH7,(CH7+BG7)/2)</f>
        <v>13.75</v>
      </c>
      <c r="TF7" s="42">
        <f>IF($CP7="P",CI7,(CI7+BH7)/2)</f>
        <v>14.9475</v>
      </c>
      <c r="TG7" s="42">
        <f>IF($CP7="P",CJ7,(CJ7+BI7)/2)</f>
        <v>0</v>
      </c>
      <c r="TH7" s="42">
        <f>IF($CP7="P",CK7,(CK7+BJ7)/2)</f>
        <v>14.2</v>
      </c>
      <c r="TI7" s="42">
        <f>IF($CP7="P",CL7,(CL7+BK7)/2)</f>
        <v>9.1999999999999993</v>
      </c>
      <c r="TJ7" s="42">
        <f>IF($CP7="P",CM7,(CM7+BL7)/2)</f>
        <v>14.1</v>
      </c>
      <c r="TK7" s="42">
        <f>IF($CP7="P",CN7,(CN7+BM7)/2)</f>
        <v>14.545</v>
      </c>
      <c r="TL7" s="42">
        <f>IF($CP7="P",CO7,(CO7+BN7)/2)</f>
        <v>0</v>
      </c>
      <c r="TM7" s="51" t="s">
        <v>61</v>
      </c>
      <c r="TN7" s="76">
        <f>IF(SZ7&gt;0,SZ7,"")</f>
        <v>14</v>
      </c>
      <c r="TO7" s="76">
        <f>IF(TA7&gt;0,TA7,"")</f>
        <v>14.885</v>
      </c>
      <c r="TP7" s="76">
        <f>IF(SUM(SX7:TA7)-TB7&gt;0,SUM(SX7:TA7)-TB7,"")</f>
        <v>53.184999999999995</v>
      </c>
      <c r="TQ7" s="76">
        <f>IF(TE7&gt;0,TE7,"")</f>
        <v>13.75</v>
      </c>
      <c r="TR7" s="76">
        <f>IF(TF7&gt;0,TF7,"")</f>
        <v>14.9475</v>
      </c>
      <c r="TS7" s="76">
        <f>IF(SUM(TC7:TF7)-TG7&gt;0,SUM(TC7:TF7)-TG7,"")</f>
        <v>53.497499999999995</v>
      </c>
      <c r="TT7" s="76">
        <f>IF(MAX(TP7,TS7)&gt;0,MAX(TP7,TS7),"")</f>
        <v>53.497499999999995</v>
      </c>
      <c r="TU7" s="76">
        <f>IF(TJ7&gt;0,TJ7,"")</f>
        <v>14.1</v>
      </c>
      <c r="TV7" s="76">
        <f>IF(TK7&gt;0,TK7,"")</f>
        <v>14.545</v>
      </c>
      <c r="TW7" s="76">
        <f>IF(SUM(TH7:TK7)-TL7&gt;0,SUM(TH7:TK7)-TL7,"")</f>
        <v>52.045000000000002</v>
      </c>
      <c r="TX7" s="76">
        <f>IF(SUM(TT7,TW7)&gt;0,SUM(TT7,TW7),"")</f>
        <v>105.54249999999999</v>
      </c>
    </row>
    <row r="8" spans="1:544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>SUM(J8:V8)+SUM(J8:T8)*0.0000001+SUM(J8)*0.0000000000001</f>
        <v>235.09002350900525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Z8&gt;=EM$17,DZ8&lt;&gt;"",EB8&gt;=EM$21,EB8&lt;&gt;""),AND(EC8&gt;=EM$17,EC8&lt;&gt;"",EE8&gt;=EM$21,EE8&lt;&gt;""),AND(EG8&gt;=EM$17,EG8&lt;&gt;"",EI8&gt;=EM$21,EI8&lt;&gt;""),AND(EJ8&gt;=EM$17,EJ8&lt;&gt;"",EL8&gt;=EM$21,EL8&lt;&gt;""),AND(FH8&gt;=FU$17,FH8&lt;&gt;"",FJ8&gt;=FU$21,FJ8&lt;&gt;""),AND(FK8&gt;=FU$17,FK8&lt;&gt;"",FM8&gt;=FU$21,FM8&lt;&gt;""),AND(FO8&gt;=FU$17,FO8&lt;&gt;"",FQ8&gt;=FU$21,FQ8&lt;&gt;""),AND(FR8&gt;=FU$17,FR8&lt;&gt;"",FT8&gt;=FU$21,FT8&lt;&gt;""),AND(GP8&gt;=HC$17,GP8&lt;&gt;"",GR8&gt;=HC$21,GR8&lt;&gt;""),AND(GS8&gt;=HC$17,GS8&lt;&gt;"",GU8&gt;=HC$21,GU8&lt;&gt;""),AND(GW8&gt;=HC$17,GW8&lt;&gt;"",GY8&gt;=HC$21,GY8&lt;&gt;""),AND(GZ8&gt;=HC$17,GZ8&lt;&gt;"",HB8&gt;=HC$21,HB8&lt;&gt;""),AND(HX8&gt;=IK$17,HX8&lt;&gt;"",HZ8&gt;=IK$21,HZ8&lt;&gt;""),AND(IA8&gt;=IK$17,IA8&lt;&gt;"",IC8&gt;=IK$21,IC8&lt;&gt;""),AND(IE8&gt;=IK$17,IE8&lt;&gt;"",IG8&gt;=IK$21,IG8&lt;&gt;""),AND(IH8&gt;=IK$17,IH8&lt;&gt;"",IJ8&gt;=IK$21,IJ8&lt;&gt;""),AND(JF8&gt;=JS$17,JF8&lt;&gt;"",JH8&gt;=JS$21,JH8&lt;&gt;""),AND(JI8&gt;=JS$17,JI8&lt;&gt;"",JK8&gt;=JS$21,JK8&lt;&gt;""),AND(JM8&gt;=JS$17,JM8&lt;&gt;"",JO8&gt;=JS$21,JO8&lt;&gt;""),AND(JP8&gt;=JS$17,JP8&lt;&gt;"",JR8&gt;=JS$21,JR8&lt;&gt;""),AND(KN8&gt;=LA$17,KN8&lt;&gt;"",KP8&gt;=LA$21,KP8&lt;&gt;""),AND(KQ8&gt;=LA$17,KQ8&lt;&gt;"",KS8&gt;=LA$21,KS8&lt;&gt;""),AND(KU8&gt;=LA$17,KU8&lt;&gt;"",KW8&gt;=LA$21,KW8&lt;&gt;""),AND(KX8&gt;=LA$17,KX8&lt;&gt;"",KZ8&gt;=LA$21,KZ8&lt;&gt;""),AND(LV8&gt;=MI$17,LV8&lt;&gt;"",LX8&gt;=MI$21,LX8&lt;&gt;""),AND(LY8&gt;=MI$17,LY8&lt;&gt;"",MA8&gt;=MI$21,MA8&lt;&gt;""),AND(MC8&gt;=MI$17,MC8&lt;&gt;"",ME8&gt;=MI$21,ME8&lt;&gt;""),AND(MF8&gt;=MI$17,MF8&lt;&gt;"",MH8&gt;=MI$21,MH8&lt;&gt;""),AND(ND8&gt;=NQ$17,ND8&lt;&gt;"",NF8&gt;=NQ$21,NF8&lt;&gt;""),AND(NG8&gt;=NQ$17,NG8&lt;&gt;"",NI8&gt;=NQ$21,NI8&lt;&gt;""),AND(NK8&gt;=NQ$17,NK8&lt;&gt;"",NM8&gt;=NQ$21,NM8&lt;&gt;""),AND(NN8&gt;=NQ$17,NN8&lt;&gt;"",NP8&gt;=NQ$21,NP8&lt;&gt;""),AND(OL8&gt;=OY$17,OL8&lt;&gt;"",ON8&gt;=OY$21,ON8&lt;&gt;""),AND(OO8&gt;=OY$17,OO8&lt;&gt;"",OQ8&gt;=OY$21,OQ8&lt;&gt;""),AND(OS8&gt;=OY$17,OS8&lt;&gt;"",OU8&gt;=OY$21,OU8&lt;&gt;""),AND(OV8&gt;=OY$17,OV8&lt;&gt;"",OX8&gt;=OY$21,OX8&lt;&gt;""),AND(PT8&gt;=QG$17,PT8&lt;&gt;"",PV8&gt;=QG$21,PV8&lt;&gt;""),AND(PW8&gt;=QG$17,PW8&lt;&gt;"",PY8&gt;=QG$21,PY8&lt;&gt;""),AND(QA8&gt;=QG$17,QA8&lt;&gt;"",QC8&gt;=QG$21,QC8&lt;&gt;""),AND(QD8&gt;=QG$17,QD8&lt;&gt;"",QF8&gt;=QG$21,QF8&lt;&gt;""),AND(RB8&gt;=RO$17,RB8&lt;&gt;"",RD8&gt;=RO$21,RD8&lt;&gt;""),AND(RE8&gt;=RO$17,RE8&lt;&gt;"",RG8&gt;=RO$21,RG8&lt;&gt;""),AND(RI8&gt;=RO$17,RI8&lt;&gt;"",RK8&gt;=RO$21,RK8&lt;&gt;""),AND(RL8&gt;=RO$17,RL8&lt;&gt;"",RN8&gt;=RO$21,RN8&lt;&gt;""),AND(SJ8&gt;=SW$17,SJ8&lt;&gt;"",SL8&gt;=SW$21,SL8&lt;&gt;""),AND(SM8&gt;=SW$17,SM8&lt;&gt;"",SO8&gt;=SW$21,SO8&lt;&gt;""),AND(SQ8&gt;=SW$17,SQ8&lt;&gt;"",SS8&gt;=SW$21,SS8&lt;&gt;""),AND(ST8&gt;=SW$17,ST8&lt;&gt;"",SV8&gt;=SW$21,SV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EB8&gt;=EM$21,EB8&lt;&gt;""),AND(EE8&gt;=EM$21,EE8&lt;&gt;""),AND(EI8&gt;=EM$21,EI8&lt;&gt;""),AND(EL8&gt;=EM$21,EL8&lt;&gt;""),AND(FJ8&gt;=FU$21,FJ8&lt;&gt;""),AND(FM8&gt;=FU$21,FM8&lt;&gt;""),AND(FQ8&gt;=FU$21,FQ8&lt;&gt;""),AND(FT8&gt;=FU$21,FT8&lt;&gt;""),AND(GR8&gt;=HC$21,GR8&lt;&gt;""),AND(GU8&gt;=HC$21,GU8&lt;&gt;""),AND(GY8&gt;=HC$21,GY8&lt;&gt;""),AND(HB8&gt;=HC$21,HB8&lt;&gt;""),AND(HZ8&gt;=IK$21,HZ8&lt;&gt;""),AND(IC8&gt;=IK$21,IC8&lt;&gt;""),AND(IG8&gt;=IK$21,IG8&lt;&gt;""),AND(IJ8&gt;=IK$21,IJ8&lt;&gt;""),AND(JH8&gt;=JS$21,JH8&lt;&gt;""),AND(JK8&gt;=JS$21,JK8&lt;&gt;""),AND(JO8&gt;=JS$21,JO8&lt;&gt;""),AND(JR8&gt;=JS$21,JR8&lt;&gt;""),AND(KP8&gt;=LA$21,KP8&lt;&gt;""),AND(KS8&gt;=LA$21,KS8&lt;&gt;""),AND(KW8&gt;=LA$21,KW8&lt;&gt;""),AND(KZ8&gt;=LA$21,KZ8&lt;&gt;""),AND(LX8&gt;=MI$21,LX8&lt;&gt;""),AND(MA8&gt;=MI$21,MA8&lt;&gt;""),AND(ME8&gt;=MI$21,ME8&lt;&gt;""),AND(MH8&gt;=MI$21,MH8&lt;&gt;""),AND(NF8&gt;=NQ$21,NF8&lt;&gt;""),AND(NI8&gt;=NQ$21,NI8&lt;&gt;""),AND(NM8&gt;=NQ$21,NM8&lt;&gt;""),AND(NP8&gt;=NQ$21,NP8&lt;&gt;""),AND(ON8&gt;=OY$21,ON8&lt;&gt;""),AND(OQ8&gt;=OY$21,OQ8&lt;&gt;""),AND(OU8&gt;=OY$21,OU8&lt;&gt;""),AND(OX8&gt;=OY$21,OX8&lt;&gt;""),AND(PV8&gt;=QG$21,PV8&lt;&gt;""),AND(PY8&gt;=QG$21,PY8&lt;&gt;""),AND(QC8&gt;=QG$21,QC8&lt;&gt;""),AND(QF8&gt;=QG$21,QF8&lt;&gt;""),AND(RD8&gt;=RO$21,RD8&lt;&gt;""),AND(RG8&gt;=RO$21,RG8&lt;&gt;""),AND(RK8&gt;=RO$21,RK8&lt;&gt;""),AND(RN8&gt;=RO$21,RN8&lt;&gt;""),AND(SL8&gt;=SW$21,SL8&lt;&gt;""),AND(SO8&gt;=SW$21,SO8&lt;&gt;""),AND(SS8&gt;=SW$21,SS8&lt;&gt;""),AND(SV8&gt;=SW$21,SV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Z8&gt;=EM$20,DZ8&lt;&gt;"",EB8&gt;=EM$24,EB8&lt;&gt;""),AND(EC8&gt;=EM$20,EC8&lt;&gt;"",EE8&gt;=EM$24,EE8&lt;&gt;""),AND(EG8&gt;=EM$20,EG8&lt;&gt;"",EI8&gt;=EM$24,EI8&lt;&gt;""),AND(EJ8&gt;=EM$20,EJ8&lt;&gt;"",EL8&gt;=EM$24,EL8&lt;&gt;""),AND(FH8&gt;=FU$20,FH8&lt;&gt;"",FJ8&gt;=FU$24,FJ8&lt;&gt;""),AND(FK8&gt;=FU$20,FK8&lt;&gt;"",FM8&gt;=FU$24,FM8&lt;&gt;""),AND(FO8&gt;=FU$20,FO8&lt;&gt;"",FQ8&gt;=FU$24,FQ8&lt;&gt;""),AND(FR8&gt;=FU$20,FR8&lt;&gt;"",FT8&gt;=FU$24,FT8&lt;&gt;""),AND(GP8&gt;=HC$20,GP8&lt;&gt;"",GR8&gt;=HC$24,GR8&lt;&gt;""),AND(GS8&gt;=HC$20,GS8&lt;&gt;"",GU8&gt;=HC$24,GU8&lt;&gt;""),AND(GW8&gt;=HC$20,GW8&lt;&gt;"",GY8&gt;=HC$24,GY8&lt;&gt;""),AND(GZ8&gt;=HC$20,GZ8&lt;&gt;"",HB8&gt;=HC$24,HB8&lt;&gt;""),AND(HX8&gt;=IK$20,HX8&lt;&gt;"",HZ8&gt;=IK$24,HZ8&lt;&gt;""),AND(IA8&gt;=IK$20,IA8&lt;&gt;"",IC8&gt;=IK$24,IC8&lt;&gt;""),AND(IE8&gt;=IK$20,IE8&lt;&gt;"",IG8&gt;=IK$24,IG8&lt;&gt;""),AND(IH8&gt;=IK$20,IH8&lt;&gt;"",IJ8&gt;=IK$24,IJ8&lt;&gt;""),AND(JF8&gt;=JS$20,JF8&lt;&gt;"",JH8&gt;=JS$24,JH8&lt;&gt;""),AND(JI8&gt;=JS$20,JI8&lt;&gt;"",JK8&gt;=JS$24,JK8&lt;&gt;""),AND(JM8&gt;=JS$20,JM8&lt;&gt;"",JO8&gt;=JS$24,JO8&lt;&gt;""),AND(JP8&gt;=JS$20,JP8&lt;&gt;"",JR8&gt;=JS$24,JR8&lt;&gt;""),AND(KN8&gt;=LA$20,KN8&lt;&gt;"",KP8&gt;=LA$24,KP8&lt;&gt;""),AND(KQ8&gt;=LA$20,KQ8&lt;&gt;"",KS8&gt;=LA$24,KS8&lt;&gt;""),AND(KU8&gt;=LA$20,KU8&lt;&gt;"",KW8&gt;=LA$24,KW8&lt;&gt;""),AND(KX8&gt;=LA$20,KX8&lt;&gt;"",KZ8&gt;=LA$24,KZ8&lt;&gt;""),AND(LV8&gt;=MI$20,LV8&lt;&gt;"",LX8&gt;=MI$24,LX8&lt;&gt;""),AND(LY8&gt;=MI$20,LY8&lt;&gt;"",MA8&gt;=MI$24,MA8&lt;&gt;""),AND(MC8&gt;=MI$20,MC8&lt;&gt;"",ME8&gt;=MI$24,ME8&lt;&gt;""),AND(MF8&gt;=MI$20,MF8&lt;&gt;"",MH8&gt;=MI$24,MH8&lt;&gt;""),AND(ND8&gt;=NQ$20,ND8&lt;&gt;"",NF8&gt;=NQ$24,NF8&lt;&gt;""),AND(NG8&gt;=NQ$20,NG8&lt;&gt;"",NI8&gt;=NQ$24,NI8&lt;&gt;""),AND(NK8&gt;=NQ$20,NK8&lt;&gt;"",NM8&gt;=NQ$24,NM8&lt;&gt;""),AND(NN8&gt;=NQ$20,NN8&lt;&gt;"",NP8&gt;=NQ$24,NP8&lt;&gt;""),AND(OL8&gt;=OY$20,OL8&lt;&gt;"",ON8&gt;=OY$24,ON8&lt;&gt;""),AND(OO8&gt;=OY$20,OO8&lt;&gt;"",OQ8&gt;=OY$24,OQ8&lt;&gt;""),AND(OS8&gt;=OY$20,OS8&lt;&gt;"",OU8&gt;=OY$24,OU8&lt;&gt;""),AND(OV8&gt;=OY$20,OV8&lt;&gt;"",OX8&gt;=OY$24,OX8&lt;&gt;""),AND(PT8&gt;=QG$20,PT8&lt;&gt;"",PV8&gt;=QG$24,PV8&lt;&gt;""),AND(PW8&gt;=QG$20,PW8&lt;&gt;"",PY8&gt;=QG$24,PY8&lt;&gt;""),AND(QA8&gt;=QG$20,QA8&lt;&gt;"",QC8&gt;=QG$24,QC8&lt;&gt;""),AND(QD8&gt;=QG$20,QD8&lt;&gt;"",QF8&gt;=QG$24,QF8&lt;&gt;""),AND(RB8&gt;=RO$20,RB8&lt;&gt;"",RD8&gt;=RO$24,RD8&lt;&gt;""),AND(RE8&gt;=RO$20,RE8&lt;&gt;"",RG8&gt;=RO$24,RG8&lt;&gt;""),AND(RI8&gt;=RO$20,RI8&lt;&gt;"",RK8&gt;=RO$24,RK8&lt;&gt;""),AND(RL8&gt;=RO$20,RL8&lt;&gt;"",RN8&gt;=RO$24,RN8&lt;&gt;""),AND(SJ8&gt;=SW$20,SJ8&lt;&gt;"",SL8&gt;=SW$24,SL8&lt;&gt;""),AND(SM8&gt;=SW$20,SM8&lt;&gt;"",SO8&gt;=SW$24,SO8&lt;&gt;""),AND(SQ8&gt;=SW$20,SQ8&lt;&gt;"",SS8&gt;=SW$24,SS8&lt;&gt;""),AND(ST8&gt;=SW$20,ST8&lt;&gt;"",SV8&gt;=SW$24,SV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Z8&gt;=EM$19,DZ8&lt;&gt;"",EB8&gt;=EM$23,EB8&lt;&gt;""),AND(EC8&gt;=EM$19,EC8&lt;&gt;"",EE8&gt;=EM$23,EE8&lt;&gt;""),AND(EG8&gt;=EM$19,EG8&lt;&gt;"",EI8&gt;=EM$23,EI8&lt;&gt;""),AND(EJ8&gt;=EM$19,EJ8&lt;&gt;"",EL8&gt;=EM$23,EL8&lt;&gt;""),AND(FH8&gt;=FU$19,FH8&lt;&gt;"",FJ8&gt;=FU$23,FJ8&lt;&gt;""),AND(FK8&gt;=FU$19,FK8&lt;&gt;"",FM8&gt;=FU$23,FM8&lt;&gt;""),AND(FO8&gt;=FU$19,FO8&lt;&gt;"",FQ8&gt;=FU$23,FQ8&lt;&gt;""),AND(FR8&gt;=FU$19,FR8&lt;&gt;"",FT8&gt;=FU$23,FT8&lt;&gt;""),AND(GP8&gt;=HC$19,GP8&lt;&gt;"",GR8&gt;=HC$23,GR8&lt;&gt;""),AND(GS8&gt;=HC$19,GS8&lt;&gt;"",GU8&gt;=HC$23,GU8&lt;&gt;""),AND(GW8&gt;=HC$19,GW8&lt;&gt;"",GY8&gt;=HC$23,GY8&lt;&gt;""),AND(GZ8&gt;=HC$19,GZ8&lt;&gt;"",HB8&gt;=HC$23,HB8&lt;&gt;""),AND(HX8&gt;=IK$19,HX8&lt;&gt;"",HZ8&gt;=IK$23,HZ8&lt;&gt;""),AND(IA8&gt;=IK$19,IA8&lt;&gt;"",IC8&gt;=IK$23,IC8&lt;&gt;""),AND(IE8&gt;=IK$19,IE8&lt;&gt;"",IG8&gt;=IK$23,IG8&lt;&gt;""),AND(IH8&gt;=IK$19,IH8&lt;&gt;"",IJ8&gt;=IK$23,IJ8&lt;&gt;""),AND(JF8&gt;=JS$19,JF8&lt;&gt;"",JH8&gt;=JS$23,JH8&lt;&gt;""),AND(JI8&gt;=JS$19,JI8&lt;&gt;"",JK8&gt;=JS$23,JK8&lt;&gt;""),AND(JM8&gt;=JS$19,JM8&lt;&gt;"",JO8&gt;=JS$23,JO8&lt;&gt;""),AND(JP8&gt;=JS$19,JP8&lt;&gt;"",JR8&gt;=JS$23,JR8&lt;&gt;""),AND(KN8&gt;=LA$19,KN8&lt;&gt;"",KP8&gt;=LA$23,KP8&lt;&gt;""),AND(KQ8&gt;=LA$19,KQ8&lt;&gt;"",KS8&gt;=LA$23,KS8&lt;&gt;""),AND(KU8&gt;=LA$19,KU8&lt;&gt;"",KW8&gt;=LA$23,KW8&lt;&gt;""),AND(KX8&gt;=LA$19,KX8&lt;&gt;"",KZ8&gt;=LA$23,KZ8&lt;&gt;""),AND(LV8&gt;=MI$19,LV8&lt;&gt;"",LX8&gt;=MI$23,LX8&lt;&gt;""),AND(LY8&gt;=MI$19,LY8&lt;&gt;"",MA8&gt;=MI$23,MA8&lt;&gt;""),AND(MC8&gt;=MI$19,MC8&lt;&gt;"",ME8&gt;=MI$23,ME8&lt;&gt;""),AND(MF8&gt;=MI$19,MF8&lt;&gt;"",MH8&gt;=MI$23,MH8&lt;&gt;""),AND(ND8&gt;=NQ$19,ND8&lt;&gt;"",NF8&gt;=NQ$23,NF8&lt;&gt;""),AND(NG8&gt;=NQ$19,NG8&lt;&gt;"",NI8&gt;=NQ$23,NI8&lt;&gt;""),AND(NK8&gt;=NQ$19,NK8&lt;&gt;"",NM8&gt;=NQ$23,NM8&lt;&gt;""),AND(NN8&gt;=NQ$19,NN8&lt;&gt;"",NP8&gt;=NQ$23,NP8&lt;&gt;""),AND(OL8&gt;=OY$19,OL8&lt;&gt;"",ON8&gt;=OY$23,ON8&lt;&gt;""),AND(OO8&gt;=OY$19,OO8&lt;&gt;"",OQ8&gt;=OY$23,OQ8&lt;&gt;""),AND(OS8&gt;=OY$19,OS8&lt;&gt;"",OU8&gt;=OY$23,OU8&lt;&gt;""),AND(OV8&gt;=OY$19,OV8&lt;&gt;"",OX8&gt;=OY$23,OX8&lt;&gt;""),AND(PT8&gt;=QG$19,PT8&lt;&gt;"",PV8&gt;=QG$23,PV8&lt;&gt;""),AND(PW8&gt;=QG$19,PW8&lt;&gt;"",PY8&gt;=QG$23,PY8&lt;&gt;""),AND(QA8&gt;=QG$19,QA8&lt;&gt;"",QC8&gt;=QG$23,QC8&lt;&gt;""),AND(QD8&gt;=QG$19,QD8&lt;&gt;"",QF8&gt;=QG$23,QF8&lt;&gt;""),AND(RB8&gt;=RO$19,RB8&lt;&gt;"",RD8&gt;=RO$23,RD8&lt;&gt;""),AND(RE8&gt;=RO$19,RE8&lt;&gt;"",RG8&gt;=RO$23,RG8&lt;&gt;""),AND(RI8&gt;=RO$19,RI8&lt;&gt;"",RK8&gt;=RO$23,RK8&lt;&gt;""),AND(RL8&gt;=RO$19,RL8&lt;&gt;"",RN8&gt;=RO$23,RN8&lt;&gt;""),AND(SJ8&gt;=SW$19,SJ8&lt;&gt;"",SL8&gt;=SW$23,SL8&lt;&gt;""),AND(SM8&gt;=SW$19,SM8&lt;&gt;"",SO8&gt;=SW$23,SO8&lt;&gt;""),AND(SQ8&gt;=SW$19,SQ8&lt;&gt;"",SS8&gt;=SW$23,SS8&lt;&gt;""),AND(ST8&gt;=SW$19,ST8&lt;&gt;"",SV8&gt;=SW$23,SV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Z8&gt;=EM$18,DZ8&lt;&gt;"",EB8&gt;=EM$22,EB8&lt;&gt;""),AND(EC8&gt;=EM$18,EC8&lt;&gt;"",EE8&gt;=EM$22,EE8&lt;&gt;""),AND(EG8&gt;=EM$18,EG8&lt;&gt;"",EI8&gt;=EM$22,EI8&lt;&gt;""),AND(EJ8&gt;=EM$18,EJ8&lt;&gt;"",EL8&gt;=EM$22,EL8&lt;&gt;""),AND(FH8&gt;=FU$18,FH8&lt;&gt;"",FJ8&gt;=FU$22,FJ8&lt;&gt;""),AND(FK8&gt;=FU$18,FK8&lt;&gt;"",FM8&gt;=FU$22,FM8&lt;&gt;""),AND(FO8&gt;=FU$18,FO8&lt;&gt;"",FQ8&gt;=FU$22,FQ8&lt;&gt;""),AND(FR8&gt;=FU$18,FR8&lt;&gt;"",FT8&gt;=FU$22,FT8&lt;&gt;""),AND(GP8&gt;=HC$18,GP8&lt;&gt;"",GR8&gt;=HC$22,GR8&lt;&gt;""),AND(GS8&gt;=HC$18,GS8&lt;&gt;"",GU8&gt;=HC$22,GU8&lt;&gt;""),AND(GW8&gt;=HC$18,GW8&lt;&gt;"",GY8&gt;=HC$22,GY8&lt;&gt;""),AND(GZ8&gt;=HC$18,GZ8&lt;&gt;"",HB8&gt;=HC$22,HB8&lt;&gt;""),AND(HX8&gt;=IK$18,HX8&lt;&gt;"",HZ8&gt;=IK$22,HZ8&lt;&gt;""),AND(IA8&gt;=IK$18,IA8&lt;&gt;"",IC8&gt;=IK$22,IC8&lt;&gt;""),AND(IE8&gt;=IK$18,IE8&lt;&gt;"",IG8&gt;=IK$22,IG8&lt;&gt;""),AND(IH8&gt;=IK$18,IH8&lt;&gt;"",IJ8&gt;=IK$22,IJ8&lt;&gt;""),AND(JF8&gt;=JS$18,JF8&lt;&gt;"",JH8&gt;=JS$22,JH8&lt;&gt;""),AND(JI8&gt;=JS$18,JI8&lt;&gt;"",JK8&gt;=JS$22,JK8&lt;&gt;""),AND(JM8&gt;=JS$18,JM8&lt;&gt;"",JO8&gt;=JS$22,JO8&lt;&gt;""),AND(JP8&gt;=JS$18,JP8&lt;&gt;"",JR8&gt;=JS$22,JR8&lt;&gt;""),AND(KN8&gt;=LA$18,KN8&lt;&gt;"",KP8&gt;=LA$22,KP8&lt;&gt;""),AND(KQ8&gt;=LA$18,KQ8&lt;&gt;"",KS8&gt;=LA$22,KS8&lt;&gt;""),AND(KU8&gt;=LA$18,KU8&lt;&gt;"",KW8&gt;=LA$22,KW8&lt;&gt;""),AND(KX8&gt;=LA$18,KX8&lt;&gt;"",KZ8&gt;=LA$22,KZ8&lt;&gt;""),AND(LV8&gt;=MI$18,LV8&lt;&gt;"",LX8&gt;=MI$22,LX8&lt;&gt;""),AND(LY8&gt;=MI$18,LY8&lt;&gt;"",MA8&gt;=MI$22,MA8&lt;&gt;""),AND(MC8&gt;=MI$18,MC8&lt;&gt;"",ME8&gt;=MI$22,ME8&lt;&gt;""),AND(MF8&gt;=MI$18,MF8&lt;&gt;"",MH8&gt;=MI$22,MH8&lt;&gt;""),AND(ND8&gt;=NQ$18,ND8&lt;&gt;"",NF8&gt;=NQ$22,NF8&lt;&gt;""),AND(NG8&gt;=NQ$18,NG8&lt;&gt;"",NI8&gt;=NQ$22,NI8&lt;&gt;""),AND(NK8&gt;=NQ$18,NK8&lt;&gt;"",NM8&gt;=NQ$22,NM8&lt;&gt;""),AND(NN8&gt;=NQ$18,NN8&lt;&gt;"",NP8&gt;=NQ$22,NP8&lt;&gt;""),AND(OL8&gt;=OY$18,OL8&lt;&gt;"",ON8&gt;=OY$22,ON8&lt;&gt;""),AND(OO8&gt;=OY$18,OO8&lt;&gt;"",OQ8&gt;=OY$22,OQ8&lt;&gt;""),AND(OS8&gt;=OY$18,OS8&lt;&gt;"",OU8&gt;=OY$22,OU8&lt;&gt;""),AND(OV8&gt;=OY$18,OV8&lt;&gt;"",OX8&gt;=OY$22,OX8&lt;&gt;""),AND(PT8&gt;=QG$18,PT8&lt;&gt;"",PV8&gt;=QG$22,PV8&lt;&gt;""),AND(PW8&gt;=QG$18,PW8&lt;&gt;"",PY8&gt;=QG$22,PY8&lt;&gt;""),AND(QA8&gt;=QG$18,QA8&lt;&gt;"",QC8&gt;=QG$22,QC8&lt;&gt;""),AND(QD8&gt;=QG$18,QD8&lt;&gt;"",QF8&gt;=QG$22,QF8&lt;&gt;""),AND(RB8&gt;=RO$18,RB8&lt;&gt;"",RD8&gt;=RO$22,RD8&lt;&gt;""),AND(RE8&gt;=RO$18,RE8&lt;&gt;"",RG8&gt;=RO$22,RG8&lt;&gt;""),AND(RI8&gt;=RO$18,RI8&lt;&gt;"",RK8&gt;=RO$22,RK8&lt;&gt;""),AND(RL8&gt;=RO$18,RL8&lt;&gt;"",RN8&gt;=RO$22,RN8&lt;&gt;""),AND(SJ8&gt;=SW$18,SJ8&lt;&gt;"",SL8&gt;=SW$22,SL8&lt;&gt;""),AND(SM8&gt;=SW$18,SM8&lt;&gt;"",SO8&gt;=SW$22,SO8&lt;&gt;""),AND(SQ8&gt;=SW$18,SQ8&lt;&gt;"",SS8&gt;=SW$22,SS8&lt;&gt;""),AND(ST8&gt;=SW$18,ST8&lt;&gt;"",SV8&gt;=SW$22,SV8&lt;&gt;"")),"P","")</f>
        <v/>
      </c>
      <c r="J8" s="13">
        <f>IF(COUNT(AQ8,AT8,BR8,BU8,CS8,CV8)&gt;0,LARGE((AQ8,AT8,BR8,BU8,CS8,CV8),1),0)</f>
        <v>52.75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52.534999999999997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50.684999999999995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51.984999999999999</v>
      </c>
      <c r="Q8" s="13" t="str">
        <f>IF(P8="","",IF(P8=CZ8,$CA$1,IF(P8=BY8,$AZ$1,IF(P8=AX8,$Y$1,""))))</f>
        <v>2021 Elite Canada</v>
      </c>
      <c r="R8" s="13">
        <f>IF(MAX(AO8,AR8,AV8,BP8,BS8,BW8,CQ8,CT8,CX8)&gt;0,MAX(AO8,AR8,BP8,BS8,CQ8,CT8,AV8),0)</f>
        <v>12.2</v>
      </c>
      <c r="S8" s="13" t="str">
        <f>IF(R8=0,"",IF(OR(R8=CQ8,R8=CT8,R8=CX8),$CA$1,IF(OR(R8=BP8,R8=BS8,R8=BW8),$AZ$1,IF(OR(R8=AO8,R8=AR8,R8=AV8),$Y$1,""))))</f>
        <v>2021 Canadian Championships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),0)</f>
        <v>14.935</v>
      </c>
      <c r="U8" s="13" t="str">
        <f>IF(T8=0,"",IF(OR(T8=CR8,T8=CU8,T8=CY8),$CA$1,IF(OR(T8=BQ8,T8=BT8,T8=BX8),$AZ$1,IF(OR(T8=AP8,T8=AS8,T8=AW8),$Y$1,""))))</f>
        <v>2021 Canadian Championships</v>
      </c>
      <c r="V8" s="13" t="str">
        <f>IF(MAX(DB8,DC8,DD8,DE8)&gt;0,MAX(DB8,DC8,DD8,DE8),"")</f>
        <v/>
      </c>
      <c r="W8" s="16" t="str">
        <f>IF(V8="","",IF(V8=DB8,"("&amp;DB$2&amp;")",IF(V8=DC8,"("&amp;DC$2&amp;")",IF(V8=DD8,"("&amp;DD$2&amp;")",IF(V8=DE8,"("&amp;DE$2&amp;")")))))</f>
        <v/>
      </c>
      <c r="X8" s="13" t="str">
        <f>IF(V8="","",IF(V8=DB8,IF(V8+IF(L8="",0,L8)=SP8,$RP$1,IF(V8+IF(L8="",0,L8)=RH8,$QH$1,IF(V8+IF(L8="",0,L8)=PZ8,$OZ$1,IF(V8+IF(L8="",0,L8)=OR8,$NR$1,IF(V8+IF(L8="",0,L8)=NJ8,$MJ$1,IF(V8+IF(L8="",0,L8)=MB8,$LB$1,IF(V8+IF(L8="",0,L8)=KT8,$JT$1,IF(V8+IF(L8="",0,L8)=JL8,$IL$1,IF(V8+IF(L8="",0,L8)=ID8,$HD$1,IF(V8+IF(L8="",0,L8)=GV8,$FV$1,IF(V8+IF(L8="",0,L8)=FN8,$EN$1,IF(V8+IF(L8="",0,L8)=EF8,$DF$1)))))))))))),IF(V8=DC8,IF(V8+IF(P8="",0,P8)=SV8,$RP$1,IF(V8+IF(P8="",0,P8)=RN8,$QH$1,IF(V8+IF(P8="",0,P8)=QF8,$OZ$1,IF(V8+IF(P8="",0,P8)=OX8,$NR$1,IF(V8+IF(P8="",0,P8)=NP8,$MJ$1,IF(V8+IF(P8="",0,P8)=MH8,$LB$1,IF(V8+IF(P8="",0,P8)=KZ8,$JT$1,IF(V8+IF(P8="",0,P8)=JR8,$IL$1,IF(V8+IF(P8="",0,P8)=IJ8,$HD$1,IF(V8+IF(P8="",0,P8)=HB8,$FV$1,IF(V8+IF(P8="",0,P8)=FT8,$EN$1,IF(V8+IF(P8="",0,P8)=EL8,$DF$1)))))))))))),IF(V8=DD8,IF(V8+IF(R8="",0,R8)=MAX(SJ8,SM8,SQ8,ST8),$RP$1,IF(V8+IF(R8="",0,R8)=MAX(RB8,RE8,RI8,RL8),$QH$1,IF(V8+IF(R8="",0,R8)=MAX(PT8,PW8,QA8,QD8),$OZ$1,IF(V8+IF(R8="",0,R8)=MAX(OL8,OO8,OS8,OV8),$NR$1,IF(V8+IF(R8="",0,R8)=MAX(ND8,NG8,NK8,NN8),$MJ$1,IF(V8+IF(R8="",0,R8)=MAX(LV8,LY8,MC8,MF8),$LB$1,IF(V8+IF(R8="",0,R8)=MAX(KN8,KQ8,KU8,KX8),$JT$1,IF(V8+IF(R8="",0,R8)=MAX(JF8,JI8,JM8,JP8),$IL$1,IF(V8+IF(R8="",0,R8)=MAX(HX8,IA8,IE8,IH8),$HD$1,IF(V8+IF(R8="",0,R8)=MAX(GP8,GS8,GW8,GZ8),$FV$1,IF(V8+IF(R8="",0,R8)=MAX(FH8,FK8,FO8,FR8),$EN$1,IF(V8+IF(R8="",0,R8)=MAX(DZ8,EC8,EG8,EJ8),$DF$1)))))))))))),IF(V8=DE8,IF(V8+IF(T8="",0,T8)=MAX(SK8,SN8,SR8,SU8),$RP$1,IF(V8+IF(T8="",0,T8)=MAX(RC8,RF8,RJ8,RM8),$QH$1,IF(V8+IF(T8="",0,T8)=MAX(PU8,PX8,QB8,QE8),$OZ$1,IF(V8+IF(T8="",0,T8)=MAX(OM8,OP8,OT8,OW8),$NR$1,IF(V8+IF(T8="",0,T8)=MAX(NE8,NH8,NL8,NO8),$MJ$1,IF(V8+IF(T8="",0,T8)=MAX(LW8,LZ8,MD8,MG8),$LB$1,IF(V8+IF(T8="",0,T8)=MAX(KO8,KR8,KV8,KY8),$JT$1,IF(V8+IF(T8="",0,T8)=MAX(JG8,JJ8,JN8,JQ8),$IL$1,IF(V8+IF(T8="",0,T8)=MAX(HY8,IB8,IF8,II8),$HD$1,IF(V8+IF(T8="",0,T8)=MAX(GQ8,GT8,GX8,HA8),$FV$1,IF(V8+IF(T8="",0,T8)=MAX(FI8,FL8,FP8,FS8),$EN$1,IF(V8+IF(T8="",0,T8)=MAX(EA8,ED8,EH8,EK8),$DF$1)))))))))))))))))</f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>IF(AA8&gt;0,AA8,"")</f>
        <v>11.5</v>
      </c>
      <c r="AP8" s="74">
        <f>IF(AB8&gt;0,AB8,"")</f>
        <v>14.85</v>
      </c>
      <c r="AQ8" s="76">
        <f>IF(SUM(Y8:AB8)-AC8&gt;0,SUM(Y8:AB8)-AC8,"")</f>
        <v>52.75</v>
      </c>
      <c r="AR8" s="76">
        <f>IF(AF8&gt;0,AF8,"")</f>
        <v>12.2</v>
      </c>
      <c r="AS8" s="76">
        <f>IF(AG8&gt;0,AG8,"")</f>
        <v>14.585000000000001</v>
      </c>
      <c r="AT8" s="76">
        <f>IF(SUM(AD8:AG8)-AH8&gt;0,SUM(AD8:AG8)-AH8,"")</f>
        <v>50.684999999999995</v>
      </c>
      <c r="AU8" s="76">
        <f>IF(AQ8="","",MAX(AQ8,AT8))</f>
        <v>52.75</v>
      </c>
      <c r="AV8" s="76">
        <f>IF(AK8&gt;0,AK8,"")</f>
        <v>12.2</v>
      </c>
      <c r="AW8" s="76">
        <f>IF(AL8&gt;0,AL8,"")</f>
        <v>14.585000000000001</v>
      </c>
      <c r="AX8" s="76">
        <f>IF(SUM(AI8:AL8)-AM8&gt;0,SUM(AI8:AL8)-AM8,"")</f>
        <v>51.984999999999999</v>
      </c>
      <c r="AY8" s="76">
        <f>IF(SUM(AU8,AX8)&gt;0,SUM(AU8,AX8),"")</f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>IF(BB8&gt;0,BB8,"")</f>
        <v>10.6</v>
      </c>
      <c r="BQ8" s="75">
        <f>IF(BC8&gt;0,BC8,"")</f>
        <v>14.8</v>
      </c>
      <c r="BR8" s="16">
        <f>IF(SUM(AZ8:BC8)-BD8&gt;0,SUM(AZ8:BC8)-BD8,"")</f>
        <v>49.900000000000006</v>
      </c>
      <c r="BS8" s="16">
        <f>IF(BG8&gt;0,BG8,"")</f>
        <v>12.2</v>
      </c>
      <c r="BT8" s="16">
        <f>IF(BH8&gt;0,BH8,"")</f>
        <v>14.935</v>
      </c>
      <c r="BU8" s="16">
        <f>IF(SUM(BE8:BH8)-BI8&gt;0,SUM(BE8:BH8)-BI8,"")</f>
        <v>52.534999999999997</v>
      </c>
      <c r="BV8" s="16">
        <f>IF(BR8="","",MAX(BR8,BU8))</f>
        <v>52.534999999999997</v>
      </c>
      <c r="BW8" s="16">
        <f>IF(BL8&gt;0,BL8,"")</f>
        <v>11</v>
      </c>
      <c r="BX8" s="16">
        <f>IF(BM8&gt;0,BM8,"")</f>
        <v>12.05</v>
      </c>
      <c r="BY8" s="16">
        <f>IF(SUM(BJ8:BM8)-BN8&gt;0,SUM(BJ8:BM8)-BN8,"")</f>
        <v>44.849999999999994</v>
      </c>
      <c r="BZ8" s="16">
        <f>IF(SUM(BV8,BY8)&gt;0,SUM(BV8,BY8),"")</f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IF(L8&gt;=0.001,IF(MAX(EF8,FN8,GV8,ID8,JL8,KT8,MB8,NJ8,OR8,PZ8,RH8,SP8)-IF(L8="",0,L8)&gt;0.001,MAX(EF8,FN8,GV8,ID8,JL8,KT8,MB8,NJ8,OR8,PZ8,RH8,SP8)-IF(L8="",0,L8),""),"")</f>
        <v/>
      </c>
      <c r="DC8" s="87" t="str">
        <f>IF(P8&gt;=0.001,IF(MAX(EI8,EL8,FQ8,FT8,GY8,HB8,IG8,IJ8,JO8,JR8,KW8,KZ8,ME8,MH8,NM8,NP8,OU8,OX8,QC8,QF8,RK8,RN8,SS8,SV8)-IF(P8="",0,P8)&gt;0.001,MAX(EI8,EL8,FQ8,FT8,GY8,HB8,IG8,IJ8,JO8,JR8,KW8,KZ8,ME8,MH8,NM8,NP8,OU8,OX8,QC8,QF8,RK8,RN8,SS8,SV8)-IF(P8="",0,P8),""),"")</f>
        <v/>
      </c>
      <c r="DD8" s="87" t="str">
        <f>IF(R8&gt;=0.001,IF(MAX(DZ8,EC8,EG8,EJ8,FH8,FK8,FO8,FR8,GP8,GS8,GW8,GZ8,HX8,IA8,IE8,IH8,JF8,JI8,JM8,JP8,KN8,KQ8,KU8,KX8,LV8,LY8,MC8,MF8,ND8,NG8,NK8,NN8,OL8,OO8,OS8,OV8,PT8,PW8,QA8,QD8,RB8,RE8,RI8,RL8,SJ8,SM8,SQ8,ST8)-IF(R8="",0,R8)&gt;0.001,MAX(DZ8,EC8,EG8,EJ8,FH8,FK8,FO8,FR8,GP8,GS8,GW8,GZ8,HX8,IA8,IE8,IH8,JF8,JI8,JM8,JP8,KN8,KQ8,KU8,KX8,LV8,LY8,MC8,MF8,ND8,NG8,NK8,NN8,OL8,OO8,OS8,OV8,PT8,PW8,QA8,QD8,RB8,RE8,RI8,RL8,SJ8,SM8,SQ8,ST8)-IF(R8="",0,R8),""),"")</f>
        <v/>
      </c>
      <c r="DE8" s="87" t="str">
        <f>IF(T8&gt;=0.001,IF(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&gt;0.001,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,""),"")</f>
        <v/>
      </c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76" t="str">
        <f>IF(DH8&gt;0,DH8,"")</f>
        <v/>
      </c>
      <c r="EA8" s="76" t="str">
        <f>IF(DI8&gt;0,DI8,"")</f>
        <v/>
      </c>
      <c r="EB8" s="76" t="str">
        <f>IF(SUM(DF8:DI8)-DJ8&gt;0,SUM(DF8:DI8)-DJ8,"")</f>
        <v/>
      </c>
      <c r="EC8" s="76" t="str">
        <f>IF(DM8&gt;0,DM8,"")</f>
        <v/>
      </c>
      <c r="ED8" s="76" t="str">
        <f>IF(DN8&gt;0,DN8,"")</f>
        <v/>
      </c>
      <c r="EE8" s="76" t="str">
        <f>IF(SUM(DK8:DN8)-DO8&gt;0,SUM(DK8:DN8)-DO8,"")</f>
        <v/>
      </c>
      <c r="EF8" s="76" t="str">
        <f>IF(MAX(EB8,EE8)&gt;0,MAX(EB8,EE8),"")</f>
        <v/>
      </c>
      <c r="EG8" s="76" t="str">
        <f>IF(DR8&gt;0,DR8,"")</f>
        <v/>
      </c>
      <c r="EH8" s="76" t="str">
        <f>IF(DS8&gt;0,DS8,"")</f>
        <v/>
      </c>
      <c r="EI8" s="76" t="str">
        <f>IF(SUM(DP8:DS8)-DT8&gt;0,SUM(DP8:DS8)-DT8,"")</f>
        <v/>
      </c>
      <c r="EJ8" s="76" t="str">
        <f>IF(DW8&gt;0,DW8,"")</f>
        <v/>
      </c>
      <c r="EK8" s="76" t="str">
        <f>IF(DX8&gt;0,DX8,"")</f>
        <v/>
      </c>
      <c r="EL8" s="76" t="str">
        <f>IF(SUM(DU8:DX8)-DY8&gt;0,SUM(DU8:DX8)-DY8,"")</f>
        <v/>
      </c>
      <c r="EM8" s="76" t="str">
        <f>IF(SUM(EF8,EL8)&gt;0,SUM(EF8,EL8),"")</f>
        <v/>
      </c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16" t="str">
        <f>IF(EP8&gt;0,EP8,"")</f>
        <v/>
      </c>
      <c r="FI8" s="16" t="str">
        <f>IF(EQ8&gt;0,EQ8,"")</f>
        <v/>
      </c>
      <c r="FJ8" s="16" t="str">
        <f>IF(SUM(EN8:EQ8)-ER8&gt;0,SUM(EN8:EQ8)-ER8,"")</f>
        <v/>
      </c>
      <c r="FK8" s="16" t="str">
        <f>IF(EU8&gt;0,EU8,"")</f>
        <v/>
      </c>
      <c r="FL8" s="16" t="str">
        <f>IF(EV8&gt;0,EV8,"")</f>
        <v/>
      </c>
      <c r="FM8" s="16" t="str">
        <f>IF(SUM(ES8:EV8)-EW8&gt;0,SUM(ES8:EV8)-EW8,"")</f>
        <v/>
      </c>
      <c r="FN8" s="16" t="str">
        <f>IF(MAX(FJ8,FM8)&gt;0,MAX(FJ8,FM8),"")</f>
        <v/>
      </c>
      <c r="FO8" s="16" t="str">
        <f>IF(EZ8&gt;0,EZ8,"")</f>
        <v/>
      </c>
      <c r="FP8" s="16" t="str">
        <f>IF(FA8&gt;0,FA8,"")</f>
        <v/>
      </c>
      <c r="FQ8" s="16" t="str">
        <f>IF(SUM(EX8:FA8)-FB8&gt;0,SUM(EX8:FA8)-FB8,"")</f>
        <v/>
      </c>
      <c r="FR8" s="16" t="str">
        <f>IF(FE8&gt;0,FE8,"")</f>
        <v/>
      </c>
      <c r="FS8" s="16" t="str">
        <f>IF(FF8&gt;0,FF8,"")</f>
        <v/>
      </c>
      <c r="FT8" s="16" t="str">
        <f>IF(SUM(FC8:FF8)-FG8&gt;0,SUM(FC8:FF8)-FG8,"")</f>
        <v/>
      </c>
      <c r="FU8" s="16" t="str">
        <f>IF(SUM(FN8,FT8)&gt;0,SUM(FN8,FT8),"")</f>
        <v/>
      </c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76" t="str">
        <f>IF(FX8&gt;0,FX8,"")</f>
        <v/>
      </c>
      <c r="GQ8" s="76" t="str">
        <f>IF(FY8&gt;0,FY8,"")</f>
        <v/>
      </c>
      <c r="GR8" s="76" t="str">
        <f>IF(SUM(FV8:FY8)-FZ8&gt;0,SUM(FV8:FY8)-FZ8,"")</f>
        <v/>
      </c>
      <c r="GS8" s="76" t="str">
        <f>IF(GC8&gt;0,GC8,"")</f>
        <v/>
      </c>
      <c r="GT8" s="76" t="str">
        <f>IF(GD8&gt;0,GD8,"")</f>
        <v/>
      </c>
      <c r="GU8" s="76" t="str">
        <f>IF(SUM(GA8:GD8)-GE8&gt;0,SUM(GA8:GD8)-GE8,"")</f>
        <v/>
      </c>
      <c r="GV8" s="76" t="str">
        <f>IF(MAX(GR8,GU8)&gt;0,MAX(GR8,GU8),"")</f>
        <v/>
      </c>
      <c r="GW8" s="76" t="str">
        <f>IF(GH8&gt;0,GH8,"")</f>
        <v/>
      </c>
      <c r="GX8" s="76" t="str">
        <f>IF(GI8&gt;0,GI8,"")</f>
        <v/>
      </c>
      <c r="GY8" s="76" t="str">
        <f>IF(SUM(GF8:GI8)-GJ8&gt;0,SUM(GF8:GI8)-GJ8,"")</f>
        <v/>
      </c>
      <c r="GZ8" s="76" t="str">
        <f>IF(GM8&gt;0,GM8,"")</f>
        <v/>
      </c>
      <c r="HA8" s="76" t="str">
        <f>IF(GN8&gt;0,GN8,"")</f>
        <v/>
      </c>
      <c r="HB8" s="76" t="str">
        <f>IF(SUM(GK8:GN8)-GO8&gt;0,SUM(GK8:GN8)-GO8,"")</f>
        <v/>
      </c>
      <c r="HC8" s="76" t="str">
        <f>IF(SUM(GV8,HB8)&gt;0,SUM(GV8,HB8),"")</f>
        <v/>
      </c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16" t="str">
        <f>IF(HF8&gt;0,HF8,"")</f>
        <v/>
      </c>
      <c r="HY8" s="16" t="str">
        <f>IF(HG8&gt;0,HG8,"")</f>
        <v/>
      </c>
      <c r="HZ8" s="16" t="str">
        <f>IF(SUM(HD8:HG8)-HH8&gt;0,SUM(HD8:HG8)-HH8,"")</f>
        <v/>
      </c>
      <c r="IA8" s="16" t="str">
        <f>IF(HK8&gt;0,HK8,"")</f>
        <v/>
      </c>
      <c r="IB8" s="16" t="str">
        <f>IF(HL8&gt;0,HL8,"")</f>
        <v/>
      </c>
      <c r="IC8" s="16" t="str">
        <f>IF(SUM(HI8:HL8)-HM8&gt;0,SUM(HI8:HL8)-HM8,"")</f>
        <v/>
      </c>
      <c r="ID8" s="16" t="str">
        <f>IF(MAX(HZ8,IC8)&gt;0,MAX(HZ8,IC8),"")</f>
        <v/>
      </c>
      <c r="IE8" s="16" t="str">
        <f>IF(HP8&gt;0,HP8,"")</f>
        <v/>
      </c>
      <c r="IF8" s="16" t="str">
        <f>IF(HQ8&gt;0,HQ8,"")</f>
        <v/>
      </c>
      <c r="IG8" s="16" t="str">
        <f>IF(SUM(HN8:HQ8)-HR8&gt;0,SUM(HN8:HQ8)-HR8,"")</f>
        <v/>
      </c>
      <c r="IH8" s="16" t="str">
        <f>IF(HU8&gt;0,HU8,"")</f>
        <v/>
      </c>
      <c r="II8" s="16" t="str">
        <f>IF(HV8&gt;0,HV8,"")</f>
        <v/>
      </c>
      <c r="IJ8" s="16" t="str">
        <f>IF(SUM(HS8:HV8)-HW8&gt;0,SUM(HS8:HV8)-HW8,"")</f>
        <v/>
      </c>
      <c r="IK8" s="16" t="str">
        <f>IF(SUM(ID8,IJ8)&gt;0,SUM(ID8,IJ8),"")</f>
        <v/>
      </c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76" t="str">
        <f>IF(IN8&gt;0,IN8,"")</f>
        <v/>
      </c>
      <c r="JG8" s="76" t="str">
        <f>IF(IO8&gt;0,IO8,"")</f>
        <v/>
      </c>
      <c r="JH8" s="76" t="str">
        <f>IF(SUM(IL8:IO8)-IP8&gt;0,SUM(IL8:IO8)-IP8,"")</f>
        <v/>
      </c>
      <c r="JI8" s="76" t="str">
        <f>IF(IS8&gt;0,IS8,"")</f>
        <v/>
      </c>
      <c r="JJ8" s="76" t="str">
        <f>IF(IT8&gt;0,IT8,"")</f>
        <v/>
      </c>
      <c r="JK8" s="76" t="str">
        <f>IF(SUM(IQ8:IT8)-IU8&gt;0,SUM(IQ8:IT8)-IU8,"")</f>
        <v/>
      </c>
      <c r="JL8" s="76" t="str">
        <f>IF(MAX(JH8,JK8)&gt;0,MAX(JH8,JK8),"")</f>
        <v/>
      </c>
      <c r="JM8" s="76" t="str">
        <f>IF(IX8&gt;0,IX8,"")</f>
        <v/>
      </c>
      <c r="JN8" s="76" t="str">
        <f>IF(IY8&gt;0,IY8,"")</f>
        <v/>
      </c>
      <c r="JO8" s="76" t="str">
        <f>IF(SUM(IV8:IY8)-IZ8&gt;0,SUM(IV8:IY8)-IZ8,"")</f>
        <v/>
      </c>
      <c r="JP8" s="76" t="str">
        <f>IF(JC8&gt;0,JC8,"")</f>
        <v/>
      </c>
      <c r="JQ8" s="76" t="str">
        <f>IF(JD8&gt;0,JD8,"")</f>
        <v/>
      </c>
      <c r="JR8" s="76" t="str">
        <f>IF(SUM(JA8:JD8)-JE8&gt;0,SUM(JA8:JD8)-JE8,"")</f>
        <v/>
      </c>
      <c r="JS8" s="76" t="str">
        <f>IF(SUM(JL8,JR8)&gt;0,SUM(JL8,JR8),"")</f>
        <v/>
      </c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16" t="str">
        <f>IF(JV8&gt;0,JV8,"")</f>
        <v/>
      </c>
      <c r="KO8" s="16" t="str">
        <f>IF(JW8&gt;0,JW8,"")</f>
        <v/>
      </c>
      <c r="KP8" s="16" t="str">
        <f>IF(SUM(JT8:JW8)-JX8&gt;0,SUM(JT8:JW8)-JX8,"")</f>
        <v/>
      </c>
      <c r="KQ8" s="16" t="str">
        <f>IF(KA8&gt;0,KA8,"")</f>
        <v/>
      </c>
      <c r="KR8" s="16" t="str">
        <f>IF(KB8&gt;0,KB8,"")</f>
        <v/>
      </c>
      <c r="KS8" s="16" t="str">
        <f>IF(SUM(JY8:KB8)-KC8&gt;0,SUM(JY8:KB8)-KC8,"")</f>
        <v/>
      </c>
      <c r="KT8" s="16" t="str">
        <f>IF(MAX(KP8,KS8)&gt;0,MAX(KP8,KS8),"")</f>
        <v/>
      </c>
      <c r="KU8" s="16" t="str">
        <f>IF(KF8&gt;0,KF8,"")</f>
        <v/>
      </c>
      <c r="KV8" s="16" t="str">
        <f>IF(KG8&gt;0,KG8,"")</f>
        <v/>
      </c>
      <c r="KW8" s="16" t="str">
        <f>IF(SUM(KD8:KG8)-KH8&gt;0,SUM(KD8:KG8)-KH8,"")</f>
        <v/>
      </c>
      <c r="KX8" s="16" t="str">
        <f>IF(KK8&gt;0,KK8,"")</f>
        <v/>
      </c>
      <c r="KY8" s="16" t="str">
        <f>IF(KL8&gt;0,KL8,"")</f>
        <v/>
      </c>
      <c r="KZ8" s="16" t="str">
        <f>IF(SUM(KI8:KL8)-KM8&gt;0,SUM(KI8:KL8)-KM8,"")</f>
        <v/>
      </c>
      <c r="LA8" s="16" t="str">
        <f>IF(SUM(KT8,KZ8)&gt;0,SUM(KT8,KZ8),"")</f>
        <v/>
      </c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76" t="str">
        <f>IF(LD8&gt;0,LD8,"")</f>
        <v/>
      </c>
      <c r="LW8" s="76" t="str">
        <f>IF(LE8&gt;0,LE8,"")</f>
        <v/>
      </c>
      <c r="LX8" s="76" t="str">
        <f>IF(SUM(LB8:LE8)-LF8&gt;0,SUM(LB8:LE8)-LF8,"")</f>
        <v/>
      </c>
      <c r="LY8" s="76" t="str">
        <f>IF(LI8&gt;0,LI8,"")</f>
        <v/>
      </c>
      <c r="LZ8" s="76" t="str">
        <f>IF(LJ8&gt;0,LJ8,"")</f>
        <v/>
      </c>
      <c r="MA8" s="76" t="str">
        <f>IF(SUM(LG8:LJ8)-LK8&gt;0,SUM(LG8:LJ8)-LK8,"")</f>
        <v/>
      </c>
      <c r="MB8" s="76" t="str">
        <f>IF(MAX(LX8,MA8)&gt;0,MAX(LX8,MA8),"")</f>
        <v/>
      </c>
      <c r="MC8" s="76" t="str">
        <f>IF(LN8&gt;0,LN8,"")</f>
        <v/>
      </c>
      <c r="MD8" s="76" t="str">
        <f>IF(LO8&gt;0,LO8,"")</f>
        <v/>
      </c>
      <c r="ME8" s="76" t="str">
        <f>IF(SUM(LL8:LO8)-LP8&gt;0,SUM(LL8:LO8)-LP8,"")</f>
        <v/>
      </c>
      <c r="MF8" s="76" t="str">
        <f>IF(LS8&gt;0,LS8,"")</f>
        <v/>
      </c>
      <c r="MG8" s="76" t="str">
        <f>IF(LT8&gt;0,LT8,"")</f>
        <v/>
      </c>
      <c r="MH8" s="76" t="str">
        <f>IF(SUM(LQ8:LT8)-LU8&gt;0,SUM(LQ8:LT8)-LU8,"")</f>
        <v/>
      </c>
      <c r="MI8" s="76" t="str">
        <f>IF(SUM(MB8,MH8)&gt;0,SUM(MB8,MH8),"")</f>
        <v/>
      </c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26"/>
      <c r="NC8" s="26"/>
      <c r="ND8" s="16" t="str">
        <f>IF(ML8&gt;0,ML8,"")</f>
        <v/>
      </c>
      <c r="NE8" s="16" t="str">
        <f>IF(MM8&gt;0,MM8,"")</f>
        <v/>
      </c>
      <c r="NF8" s="16" t="str">
        <f>IF(SUM(MJ8:MM8)-MN8&gt;0,SUM(MJ8:MM8)-MN8,"")</f>
        <v/>
      </c>
      <c r="NG8" s="16" t="str">
        <f>IF(MQ8&gt;0,MQ8,"")</f>
        <v/>
      </c>
      <c r="NH8" s="16" t="str">
        <f>IF(MR8&gt;0,MR8,"")</f>
        <v/>
      </c>
      <c r="NI8" s="16" t="str">
        <f>IF(SUM(MO8:MR8)-MS8&gt;0,SUM(MO8:MR8)-MS8,"")</f>
        <v/>
      </c>
      <c r="NJ8" s="16" t="str">
        <f>IF(MAX(NF8,NI8)&gt;0,MAX(NF8,NI8),"")</f>
        <v/>
      </c>
      <c r="NK8" s="16" t="str">
        <f>IF(MV8&gt;0,MV8,"")</f>
        <v/>
      </c>
      <c r="NL8" s="16" t="str">
        <f>IF(MW8&gt;0,MW8,"")</f>
        <v/>
      </c>
      <c r="NM8" s="16" t="str">
        <f>IF(SUM(MT8:MW8)-MX8&gt;0,SUM(MT8:MW8)-MX8,"")</f>
        <v/>
      </c>
      <c r="NN8" s="16" t="str">
        <f>IF(NA8&gt;0,NA8,"")</f>
        <v/>
      </c>
      <c r="NO8" s="16" t="str">
        <f>IF(NB8&gt;0,NB8,"")</f>
        <v/>
      </c>
      <c r="NP8" s="16" t="str">
        <f>IF(SUM(MY8:NB8)-NC8&gt;0,SUM(MY8:NB8)-NC8,"")</f>
        <v/>
      </c>
      <c r="NQ8" s="16" t="str">
        <f>IF(SUM(NJ8,NP8)&gt;0,SUM(NJ8,NP8),"")</f>
        <v/>
      </c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76" t="str">
        <f>IF(NT8&gt;0,NT8,"")</f>
        <v/>
      </c>
      <c r="OM8" s="76" t="str">
        <f>IF(NU8&gt;0,NU8,"")</f>
        <v/>
      </c>
      <c r="ON8" s="76" t="str">
        <f>IF(SUM(NR8:NU8)-NV8&gt;0,SUM(NR8:NU8)-NV8,"")</f>
        <v/>
      </c>
      <c r="OO8" s="76" t="str">
        <f>IF(NY8&gt;0,NY8,"")</f>
        <v/>
      </c>
      <c r="OP8" s="76" t="str">
        <f>IF(NZ8&gt;0,NZ8,"")</f>
        <v/>
      </c>
      <c r="OQ8" s="76" t="str">
        <f>IF(SUM(NW8:NZ8)-OA8&gt;0,SUM(NW8:NZ8)-OA8,"")</f>
        <v/>
      </c>
      <c r="OR8" s="76" t="str">
        <f>IF(MAX(ON8,OQ8)&gt;0,MAX(ON8,OQ8),"")</f>
        <v/>
      </c>
      <c r="OS8" s="76" t="str">
        <f>IF(OD8&gt;0,OD8,"")</f>
        <v/>
      </c>
      <c r="OT8" s="76" t="str">
        <f>IF(OE8&gt;0,OE8,"")</f>
        <v/>
      </c>
      <c r="OU8" s="76" t="str">
        <f>IF(SUM(OB8:OE8)-OF8&gt;0,SUM(OB8:OE8)-OF8,"")</f>
        <v/>
      </c>
      <c r="OV8" s="76" t="str">
        <f>IF(OI8&gt;0,OI8,"")</f>
        <v/>
      </c>
      <c r="OW8" s="76" t="str">
        <f>IF(OJ8&gt;0,OJ8,"")</f>
        <v/>
      </c>
      <c r="OX8" s="76" t="str">
        <f>IF(SUM(OG8:OJ8)-OK8&gt;0,SUM(OG8:OJ8)-OK8,"")</f>
        <v/>
      </c>
      <c r="OY8" s="76" t="str">
        <f>IF(SUM(OR8,OX8)&gt;0,SUM(OR8,OX8),"")</f>
        <v/>
      </c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16" t="str">
        <f>IF(PB8&gt;0,PB8,"")</f>
        <v/>
      </c>
      <c r="PU8" s="16" t="str">
        <f>IF(PC8&gt;0,PC8,"")</f>
        <v/>
      </c>
      <c r="PV8" s="16" t="str">
        <f>IF(SUM(OZ8:PC8)-PD8&gt;0,SUM(OZ8:PC8)-PD8,"")</f>
        <v/>
      </c>
      <c r="PW8" s="16" t="str">
        <f>IF(PG8&gt;0,PG8,"")</f>
        <v/>
      </c>
      <c r="PX8" s="16" t="str">
        <f>IF(PH8&gt;0,PH8,"")</f>
        <v/>
      </c>
      <c r="PY8" s="16" t="str">
        <f>IF(SUM(PE8:PH8)-PI8&gt;0,SUM(PE8:PH8)-PI8,"")</f>
        <v/>
      </c>
      <c r="PZ8" s="16" t="str">
        <f>IF(MAX(PV8,PY8)&gt;0,MAX(PV8,PY8),"")</f>
        <v/>
      </c>
      <c r="QA8" s="16" t="str">
        <f>IF(PL8&gt;0,PL8,"")</f>
        <v/>
      </c>
      <c r="QB8" s="16" t="str">
        <f>IF(PM8&gt;0,PM8,"")</f>
        <v/>
      </c>
      <c r="QC8" s="16" t="str">
        <f>IF(SUM(PJ8:PM8)-PN8&gt;0,SUM(PJ8:PM8)-PN8,"")</f>
        <v/>
      </c>
      <c r="QD8" s="16" t="str">
        <f>IF(PQ8&gt;0,PQ8,"")</f>
        <v/>
      </c>
      <c r="QE8" s="16" t="str">
        <f>IF(PR8&gt;0,PR8,"")</f>
        <v/>
      </c>
      <c r="QF8" s="16" t="str">
        <f>IF(SUM(PO8:PR8)-PS8&gt;0,SUM(PO8:PR8)-PS8,"")</f>
        <v/>
      </c>
      <c r="QG8" s="16" t="str">
        <f>IF(SUM(PZ8,QF8)&gt;0,SUM(PZ8,QF8),"")</f>
        <v/>
      </c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76" t="str">
        <f>IF(QJ8&gt;0,QJ8,"")</f>
        <v/>
      </c>
      <c r="RC8" s="76" t="str">
        <f>IF(QK8&gt;0,QK8,"")</f>
        <v/>
      </c>
      <c r="RD8" s="76" t="str">
        <f>IF(SUM(QH8:QK8)-QL8&gt;0,SUM(QH8:QK8)-QL8,"")</f>
        <v/>
      </c>
      <c r="RE8" s="76" t="str">
        <f>IF(QO8&gt;0,QO8,"")</f>
        <v/>
      </c>
      <c r="RF8" s="76" t="str">
        <f>IF(QP8&gt;0,QP8,"")</f>
        <v/>
      </c>
      <c r="RG8" s="76" t="str">
        <f>IF(SUM(QM8:QP8)-QQ8&gt;0,SUM(QM8:QP8)-QQ8,"")</f>
        <v/>
      </c>
      <c r="RH8" s="76" t="str">
        <f>IF(MAX(RD8,RG8)&gt;0,MAX(RD8,RG8),"")</f>
        <v/>
      </c>
      <c r="RI8" s="76" t="str">
        <f>IF(QT8&gt;0,QT8,"")</f>
        <v/>
      </c>
      <c r="RJ8" s="76" t="str">
        <f>IF(QU8&gt;0,QU8,"")</f>
        <v/>
      </c>
      <c r="RK8" s="76" t="str">
        <f>IF(SUM(QR8:QU8)-QV8&gt;0,SUM(QR8:QU8)-QV8,"")</f>
        <v/>
      </c>
      <c r="RL8" s="76" t="str">
        <f>IF(QY8&gt;0,QY8,"")</f>
        <v/>
      </c>
      <c r="RM8" s="76" t="str">
        <f>IF(QZ8&gt;0,QZ8,"")</f>
        <v/>
      </c>
      <c r="RN8" s="76" t="str">
        <f>IF(SUM(QW8:QZ8)-RA8&gt;0,SUM(QW8:QZ8)-RA8,"")</f>
        <v/>
      </c>
      <c r="RO8" s="76" t="str">
        <f>IF(SUM(RH8,RN8)&gt;0,SUM(RH8,RN8),"")</f>
        <v/>
      </c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26"/>
      <c r="SI8" s="26"/>
      <c r="SJ8" s="16" t="str">
        <f>IF(RR8&gt;0,RR8,"")</f>
        <v/>
      </c>
      <c r="SK8" s="16" t="str">
        <f>IF(RS8&gt;0,RS8,"")</f>
        <v/>
      </c>
      <c r="SL8" s="16" t="str">
        <f>IF(SUM(RP8:RS8)-RT8&gt;0,SUM(RP8:RS8)-RT8,"")</f>
        <v/>
      </c>
      <c r="SM8" s="16" t="str">
        <f>IF(RW8&gt;0,RW8,"")</f>
        <v/>
      </c>
      <c r="SN8" s="16" t="str">
        <f>IF(RX8&gt;0,RX8,"")</f>
        <v/>
      </c>
      <c r="SO8" s="16" t="str">
        <f>IF(SUM(RU8:RX8)-RY8&gt;0,SUM(RU8:RX8)-RY8,"")</f>
        <v/>
      </c>
      <c r="SP8" s="16" t="str">
        <f>IF(MAX(SL8,SO8)&gt;0,MAX(SL8,SO8),"")</f>
        <v/>
      </c>
      <c r="SQ8" s="16" t="str">
        <f>IF(SB8&gt;0,SB8,"")</f>
        <v/>
      </c>
      <c r="SR8" s="16" t="str">
        <f>IF(SC8&gt;0,SC8,"")</f>
        <v/>
      </c>
      <c r="SS8" s="16" t="str">
        <f>IF(SUM(RZ8:SC8)-SD8&gt;0,SUM(RZ8:SC8)-SD8,"")</f>
        <v/>
      </c>
      <c r="ST8" s="16" t="str">
        <f>IF(SG8&gt;0,SG8,"")</f>
        <v/>
      </c>
      <c r="SU8" s="16" t="str">
        <f>IF(SH8&gt;0,SH8,"")</f>
        <v/>
      </c>
      <c r="SV8" s="16" t="str">
        <f>IF(SUM(SE8:SH8)-SI8&gt;0,SUM(SE8:SH8)-SI8,"")</f>
        <v/>
      </c>
      <c r="SW8" s="16" t="str">
        <f>IF(SUM(SP8,SV8)&gt;0,SUM(SP8,SV8),"")</f>
        <v/>
      </c>
      <c r="SX8" s="42">
        <f>IF($CP8="P",CA8,(CA8+AZ8)/2)</f>
        <v>7.85</v>
      </c>
      <c r="SY8" s="42">
        <f>IF($CP8="P",CB8,(CB8+BA8)/2)</f>
        <v>4.4000000000000004</v>
      </c>
      <c r="SZ8" s="42">
        <f>IF($CP8="P",CC8,(CC8+BB8)/2)</f>
        <v>5.3</v>
      </c>
      <c r="TA8" s="42">
        <f>IF($CP8="P",CD8,(CD8+BC8)/2)</f>
        <v>7.4</v>
      </c>
      <c r="TB8" s="42">
        <f>IF($CP8="P",CE8,(CE8+BD8)/2)</f>
        <v>0</v>
      </c>
      <c r="TC8" s="42">
        <f>IF($CP8="P",CF8,(CF8+BE8)/2)</f>
        <v>8.1999999999999993</v>
      </c>
      <c r="TD8" s="42">
        <f>IF($CP8="P",CG8,(CG8+BF8)/2)</f>
        <v>4.5</v>
      </c>
      <c r="TE8" s="42">
        <f>IF($CP8="P",CH8,(CH8+BG8)/2)</f>
        <v>6.1</v>
      </c>
      <c r="TF8" s="42">
        <f>IF($CP8="P",CI8,(CI8+BH8)/2)</f>
        <v>7.4675000000000002</v>
      </c>
      <c r="TG8" s="42">
        <f>IF($CP8="P",CJ8,(CJ8+BI8)/2)</f>
        <v>0</v>
      </c>
      <c r="TH8" s="42">
        <f>IF($CP8="P",CK8,(CK8+BJ8)/2)</f>
        <v>6.8</v>
      </c>
      <c r="TI8" s="42">
        <f>IF($CP8="P",CL8,(CL8+BK8)/2)</f>
        <v>4.0999999999999996</v>
      </c>
      <c r="TJ8" s="42">
        <f>IF($CP8="P",CM8,(CM8+BL8)/2)</f>
        <v>5.5</v>
      </c>
      <c r="TK8" s="42">
        <f>IF($CP8="P",CN8,(CN8+BM8)/2)</f>
        <v>6.0250000000000004</v>
      </c>
      <c r="TL8" s="42">
        <f>IF($CP8="P",CO8,(CO8+BN8)/2)</f>
        <v>0</v>
      </c>
      <c r="TM8" s="51" t="s">
        <v>61</v>
      </c>
      <c r="TN8" s="76">
        <f>IF(SZ8&gt;0,SZ8,"")</f>
        <v>5.3</v>
      </c>
      <c r="TO8" s="76">
        <f>IF(TA8&gt;0,TA8,"")</f>
        <v>7.4</v>
      </c>
      <c r="TP8" s="76">
        <f>IF(SUM(SX8:TA8)-TB8&gt;0,SUM(SX8:TA8)-TB8,"")</f>
        <v>24.950000000000003</v>
      </c>
      <c r="TQ8" s="76">
        <f>IF(TE8&gt;0,TE8,"")</f>
        <v>6.1</v>
      </c>
      <c r="TR8" s="76">
        <f>IF(TF8&gt;0,TF8,"")</f>
        <v>7.4675000000000002</v>
      </c>
      <c r="TS8" s="76">
        <f>IF(SUM(TC8:TF8)-TG8&gt;0,SUM(TC8:TF8)-TG8,"")</f>
        <v>26.267499999999998</v>
      </c>
      <c r="TT8" s="76">
        <f>IF(MAX(TP8,TS8)&gt;0,MAX(TP8,TS8),"")</f>
        <v>26.267499999999998</v>
      </c>
      <c r="TU8" s="76">
        <f>IF(TJ8&gt;0,TJ8,"")</f>
        <v>5.5</v>
      </c>
      <c r="TV8" s="76">
        <f>IF(TK8&gt;0,TK8,"")</f>
        <v>6.0250000000000004</v>
      </c>
      <c r="TW8" s="76">
        <f>IF(SUM(TH8:TK8)-TL8&gt;0,SUM(TH8:TK8)-TL8,"")</f>
        <v>22.424999999999997</v>
      </c>
      <c r="TX8" s="76">
        <f>IF(SUM(TT8,TW8)&gt;0,SUM(TT8,TW8),"")</f>
        <v>48.692499999999995</v>
      </c>
    </row>
    <row r="9" spans="1:544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>SUM(J9:V9)+SUM(J9:T9)*0.0000001+SUM(J9)*0.0000000000001</f>
        <v>231.27502312750511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Z9&gt;=EM$17,DZ9&lt;&gt;"",EB9&gt;=EM$21,EB9&lt;&gt;""),AND(EC9&gt;=EM$17,EC9&lt;&gt;"",EE9&gt;=EM$21,EE9&lt;&gt;""),AND(EG9&gt;=EM$17,EG9&lt;&gt;"",EI9&gt;=EM$21,EI9&lt;&gt;""),AND(EJ9&gt;=EM$17,EJ9&lt;&gt;"",EL9&gt;=EM$21,EL9&lt;&gt;""),AND(FH9&gt;=FU$17,FH9&lt;&gt;"",FJ9&gt;=FU$21,FJ9&lt;&gt;""),AND(FK9&gt;=FU$17,FK9&lt;&gt;"",FM9&gt;=FU$21,FM9&lt;&gt;""),AND(FO9&gt;=FU$17,FO9&lt;&gt;"",FQ9&gt;=FU$21,FQ9&lt;&gt;""),AND(FR9&gt;=FU$17,FR9&lt;&gt;"",FT9&gt;=FU$21,FT9&lt;&gt;""),AND(GP9&gt;=HC$17,GP9&lt;&gt;"",GR9&gt;=HC$21,GR9&lt;&gt;""),AND(GS9&gt;=HC$17,GS9&lt;&gt;"",GU9&gt;=HC$21,GU9&lt;&gt;""),AND(GW9&gt;=HC$17,GW9&lt;&gt;"",GY9&gt;=HC$21,GY9&lt;&gt;""),AND(GZ9&gt;=HC$17,GZ9&lt;&gt;"",HB9&gt;=HC$21,HB9&lt;&gt;""),AND(HX9&gt;=IK$17,HX9&lt;&gt;"",HZ9&gt;=IK$21,HZ9&lt;&gt;""),AND(IA9&gt;=IK$17,IA9&lt;&gt;"",IC9&gt;=IK$21,IC9&lt;&gt;""),AND(IE9&gt;=IK$17,IE9&lt;&gt;"",IG9&gt;=IK$21,IG9&lt;&gt;""),AND(IH9&gt;=IK$17,IH9&lt;&gt;"",IJ9&gt;=IK$21,IJ9&lt;&gt;""),AND(JF9&gt;=JS$17,JF9&lt;&gt;"",JH9&gt;=JS$21,JH9&lt;&gt;""),AND(JI9&gt;=JS$17,JI9&lt;&gt;"",JK9&gt;=JS$21,JK9&lt;&gt;""),AND(JM9&gt;=JS$17,JM9&lt;&gt;"",JO9&gt;=JS$21,JO9&lt;&gt;""),AND(JP9&gt;=JS$17,JP9&lt;&gt;"",JR9&gt;=JS$21,JR9&lt;&gt;""),AND(KN9&gt;=LA$17,KN9&lt;&gt;"",KP9&gt;=LA$21,KP9&lt;&gt;""),AND(KQ9&gt;=LA$17,KQ9&lt;&gt;"",KS9&gt;=LA$21,KS9&lt;&gt;""),AND(KU9&gt;=LA$17,KU9&lt;&gt;"",KW9&gt;=LA$21,KW9&lt;&gt;""),AND(KX9&gt;=LA$17,KX9&lt;&gt;"",KZ9&gt;=LA$21,KZ9&lt;&gt;""),AND(LV9&gt;=MI$17,LV9&lt;&gt;"",LX9&gt;=MI$21,LX9&lt;&gt;""),AND(LY9&gt;=MI$17,LY9&lt;&gt;"",MA9&gt;=MI$21,MA9&lt;&gt;""),AND(MC9&gt;=MI$17,MC9&lt;&gt;"",ME9&gt;=MI$21,ME9&lt;&gt;""),AND(MF9&gt;=MI$17,MF9&lt;&gt;"",MH9&gt;=MI$21,MH9&lt;&gt;""),AND(ND9&gt;=NQ$17,ND9&lt;&gt;"",NF9&gt;=NQ$21,NF9&lt;&gt;""),AND(NG9&gt;=NQ$17,NG9&lt;&gt;"",NI9&gt;=NQ$21,NI9&lt;&gt;""),AND(NK9&gt;=NQ$17,NK9&lt;&gt;"",NM9&gt;=NQ$21,NM9&lt;&gt;""),AND(NN9&gt;=NQ$17,NN9&lt;&gt;"",NP9&gt;=NQ$21,NP9&lt;&gt;""),AND(OL9&gt;=OY$17,OL9&lt;&gt;"",ON9&gt;=OY$21,ON9&lt;&gt;""),AND(OO9&gt;=OY$17,OO9&lt;&gt;"",OQ9&gt;=OY$21,OQ9&lt;&gt;""),AND(OS9&gt;=OY$17,OS9&lt;&gt;"",OU9&gt;=OY$21,OU9&lt;&gt;""),AND(OV9&gt;=OY$17,OV9&lt;&gt;"",OX9&gt;=OY$21,OX9&lt;&gt;""),AND(PT9&gt;=QG$17,PT9&lt;&gt;"",PV9&gt;=QG$21,PV9&lt;&gt;""),AND(PW9&gt;=QG$17,PW9&lt;&gt;"",PY9&gt;=QG$21,PY9&lt;&gt;""),AND(QA9&gt;=QG$17,QA9&lt;&gt;"",QC9&gt;=QG$21,QC9&lt;&gt;""),AND(QD9&gt;=QG$17,QD9&lt;&gt;"",QF9&gt;=QG$21,QF9&lt;&gt;""),AND(RB9&gt;=RO$17,RB9&lt;&gt;"",RD9&gt;=RO$21,RD9&lt;&gt;""),AND(RE9&gt;=RO$17,RE9&lt;&gt;"",RG9&gt;=RO$21,RG9&lt;&gt;""),AND(RI9&gt;=RO$17,RI9&lt;&gt;"",RK9&gt;=RO$21,RK9&lt;&gt;""),AND(RL9&gt;=RO$17,RL9&lt;&gt;"",RN9&gt;=RO$21,RN9&lt;&gt;""),AND(SJ9&gt;=SW$17,SJ9&lt;&gt;"",SL9&gt;=SW$21,SL9&lt;&gt;""),AND(SM9&gt;=SW$17,SM9&lt;&gt;"",SO9&gt;=SW$21,SO9&lt;&gt;""),AND(SQ9&gt;=SW$17,SQ9&lt;&gt;"",SS9&gt;=SW$21,SS9&lt;&gt;""),AND(ST9&gt;=SW$17,ST9&lt;&gt;"",SV9&gt;=SW$21,SV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EB9&gt;=EM$21,EB9&lt;&gt;""),AND(EE9&gt;=EM$21,EE9&lt;&gt;""),AND(EI9&gt;=EM$21,EI9&lt;&gt;""),AND(EL9&gt;=EM$21,EL9&lt;&gt;""),AND(FJ9&gt;=FU$21,FJ9&lt;&gt;""),AND(FM9&gt;=FU$21,FM9&lt;&gt;""),AND(FQ9&gt;=FU$21,FQ9&lt;&gt;""),AND(FT9&gt;=FU$21,FT9&lt;&gt;""),AND(GR9&gt;=HC$21,GR9&lt;&gt;""),AND(GU9&gt;=HC$21,GU9&lt;&gt;""),AND(GY9&gt;=HC$21,GY9&lt;&gt;""),AND(HB9&gt;=HC$21,HB9&lt;&gt;""),AND(HZ9&gt;=IK$21,HZ9&lt;&gt;""),AND(IC9&gt;=IK$21,IC9&lt;&gt;""),AND(IG9&gt;=IK$21,IG9&lt;&gt;""),AND(IJ9&gt;=IK$21,IJ9&lt;&gt;""),AND(JH9&gt;=JS$21,JH9&lt;&gt;""),AND(JK9&gt;=JS$21,JK9&lt;&gt;""),AND(JO9&gt;=JS$21,JO9&lt;&gt;""),AND(JR9&gt;=JS$21,JR9&lt;&gt;""),AND(KP9&gt;=LA$21,KP9&lt;&gt;""),AND(KS9&gt;=LA$21,KS9&lt;&gt;""),AND(KW9&gt;=LA$21,KW9&lt;&gt;""),AND(KZ9&gt;=LA$21,KZ9&lt;&gt;""),AND(LX9&gt;=MI$21,LX9&lt;&gt;""),AND(MA9&gt;=MI$21,MA9&lt;&gt;""),AND(ME9&gt;=MI$21,ME9&lt;&gt;""),AND(MH9&gt;=MI$21,MH9&lt;&gt;""),AND(NF9&gt;=NQ$21,NF9&lt;&gt;""),AND(NI9&gt;=NQ$21,NI9&lt;&gt;""),AND(NM9&gt;=NQ$21,NM9&lt;&gt;""),AND(NP9&gt;=NQ$21,NP9&lt;&gt;""),AND(ON9&gt;=OY$21,ON9&lt;&gt;""),AND(OQ9&gt;=OY$21,OQ9&lt;&gt;""),AND(OU9&gt;=OY$21,OU9&lt;&gt;""),AND(OX9&gt;=OY$21,OX9&lt;&gt;""),AND(PV9&gt;=QG$21,PV9&lt;&gt;""),AND(PY9&gt;=QG$21,PY9&lt;&gt;""),AND(QC9&gt;=QG$21,QC9&lt;&gt;""),AND(QF9&gt;=QG$21,QF9&lt;&gt;""),AND(RD9&gt;=RO$21,RD9&lt;&gt;""),AND(RG9&gt;=RO$21,RG9&lt;&gt;""),AND(RK9&gt;=RO$21,RK9&lt;&gt;""),AND(RN9&gt;=RO$21,RN9&lt;&gt;""),AND(SL9&gt;=SW$21,SL9&lt;&gt;""),AND(SO9&gt;=SW$21,SO9&lt;&gt;""),AND(SS9&gt;=SW$21,SS9&lt;&gt;""),AND(SV9&gt;=SW$21,SV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Z9&gt;=EM$20,DZ9&lt;&gt;"",EB9&gt;=EM$24,EB9&lt;&gt;""),AND(EC9&gt;=EM$20,EC9&lt;&gt;"",EE9&gt;=EM$24,EE9&lt;&gt;""),AND(EG9&gt;=EM$20,EG9&lt;&gt;"",EI9&gt;=EM$24,EI9&lt;&gt;""),AND(EJ9&gt;=EM$20,EJ9&lt;&gt;"",EL9&gt;=EM$24,EL9&lt;&gt;""),AND(FH9&gt;=FU$20,FH9&lt;&gt;"",FJ9&gt;=FU$24,FJ9&lt;&gt;""),AND(FK9&gt;=FU$20,FK9&lt;&gt;"",FM9&gt;=FU$24,FM9&lt;&gt;""),AND(FO9&gt;=FU$20,FO9&lt;&gt;"",FQ9&gt;=FU$24,FQ9&lt;&gt;""),AND(FR9&gt;=FU$20,FR9&lt;&gt;"",FT9&gt;=FU$24,FT9&lt;&gt;""),AND(GP9&gt;=HC$20,GP9&lt;&gt;"",GR9&gt;=HC$24,GR9&lt;&gt;""),AND(GS9&gt;=HC$20,GS9&lt;&gt;"",GU9&gt;=HC$24,GU9&lt;&gt;""),AND(GW9&gt;=HC$20,GW9&lt;&gt;"",GY9&gt;=HC$24,GY9&lt;&gt;""),AND(GZ9&gt;=HC$20,GZ9&lt;&gt;"",HB9&gt;=HC$24,HB9&lt;&gt;""),AND(HX9&gt;=IK$20,HX9&lt;&gt;"",HZ9&gt;=IK$24,HZ9&lt;&gt;""),AND(IA9&gt;=IK$20,IA9&lt;&gt;"",IC9&gt;=IK$24,IC9&lt;&gt;""),AND(IE9&gt;=IK$20,IE9&lt;&gt;"",IG9&gt;=IK$24,IG9&lt;&gt;""),AND(IH9&gt;=IK$20,IH9&lt;&gt;"",IJ9&gt;=IK$24,IJ9&lt;&gt;""),AND(JF9&gt;=JS$20,JF9&lt;&gt;"",JH9&gt;=JS$24,JH9&lt;&gt;""),AND(JI9&gt;=JS$20,JI9&lt;&gt;"",JK9&gt;=JS$24,JK9&lt;&gt;""),AND(JM9&gt;=JS$20,JM9&lt;&gt;"",JO9&gt;=JS$24,JO9&lt;&gt;""),AND(JP9&gt;=JS$20,JP9&lt;&gt;"",JR9&gt;=JS$24,JR9&lt;&gt;""),AND(KN9&gt;=LA$20,KN9&lt;&gt;"",KP9&gt;=LA$24,KP9&lt;&gt;""),AND(KQ9&gt;=LA$20,KQ9&lt;&gt;"",KS9&gt;=LA$24,KS9&lt;&gt;""),AND(KU9&gt;=LA$20,KU9&lt;&gt;"",KW9&gt;=LA$24,KW9&lt;&gt;""),AND(KX9&gt;=LA$20,KX9&lt;&gt;"",KZ9&gt;=LA$24,KZ9&lt;&gt;""),AND(LV9&gt;=MI$20,LV9&lt;&gt;"",LX9&gt;=MI$24,LX9&lt;&gt;""),AND(LY9&gt;=MI$20,LY9&lt;&gt;"",MA9&gt;=MI$24,MA9&lt;&gt;""),AND(MC9&gt;=MI$20,MC9&lt;&gt;"",ME9&gt;=MI$24,ME9&lt;&gt;""),AND(MF9&gt;=MI$20,MF9&lt;&gt;"",MH9&gt;=MI$24,MH9&lt;&gt;""),AND(ND9&gt;=NQ$20,ND9&lt;&gt;"",NF9&gt;=NQ$24,NF9&lt;&gt;""),AND(NG9&gt;=NQ$20,NG9&lt;&gt;"",NI9&gt;=NQ$24,NI9&lt;&gt;""),AND(NK9&gt;=NQ$20,NK9&lt;&gt;"",NM9&gt;=NQ$24,NM9&lt;&gt;""),AND(NN9&gt;=NQ$20,NN9&lt;&gt;"",NP9&gt;=NQ$24,NP9&lt;&gt;""),AND(OL9&gt;=OY$20,OL9&lt;&gt;"",ON9&gt;=OY$24,ON9&lt;&gt;""),AND(OO9&gt;=OY$20,OO9&lt;&gt;"",OQ9&gt;=OY$24,OQ9&lt;&gt;""),AND(OS9&gt;=OY$20,OS9&lt;&gt;"",OU9&gt;=OY$24,OU9&lt;&gt;""),AND(OV9&gt;=OY$20,OV9&lt;&gt;"",OX9&gt;=OY$24,OX9&lt;&gt;""),AND(PT9&gt;=QG$20,PT9&lt;&gt;"",PV9&gt;=QG$24,PV9&lt;&gt;""),AND(PW9&gt;=QG$20,PW9&lt;&gt;"",PY9&gt;=QG$24,PY9&lt;&gt;""),AND(QA9&gt;=QG$20,QA9&lt;&gt;"",QC9&gt;=QG$24,QC9&lt;&gt;""),AND(QD9&gt;=QG$20,QD9&lt;&gt;"",QF9&gt;=QG$24,QF9&lt;&gt;""),AND(RB9&gt;=RO$20,RB9&lt;&gt;"",RD9&gt;=RO$24,RD9&lt;&gt;""),AND(RE9&gt;=RO$20,RE9&lt;&gt;"",RG9&gt;=RO$24,RG9&lt;&gt;""),AND(RI9&gt;=RO$20,RI9&lt;&gt;"",RK9&gt;=RO$24,RK9&lt;&gt;""),AND(RL9&gt;=RO$20,RL9&lt;&gt;"",RN9&gt;=RO$24,RN9&lt;&gt;""),AND(SJ9&gt;=SW$20,SJ9&lt;&gt;"",SL9&gt;=SW$24,SL9&lt;&gt;""),AND(SM9&gt;=SW$20,SM9&lt;&gt;"",SO9&gt;=SW$24,SO9&lt;&gt;""),AND(SQ9&gt;=SW$20,SQ9&lt;&gt;"",SS9&gt;=SW$24,SS9&lt;&gt;""),AND(ST9&gt;=SW$20,ST9&lt;&gt;"",SV9&gt;=SW$24,SV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Z9&gt;=EM$19,DZ9&lt;&gt;"",EB9&gt;=EM$23,EB9&lt;&gt;""),AND(EC9&gt;=EM$19,EC9&lt;&gt;"",EE9&gt;=EM$23,EE9&lt;&gt;""),AND(EG9&gt;=EM$19,EG9&lt;&gt;"",EI9&gt;=EM$23,EI9&lt;&gt;""),AND(EJ9&gt;=EM$19,EJ9&lt;&gt;"",EL9&gt;=EM$23,EL9&lt;&gt;""),AND(FH9&gt;=FU$19,FH9&lt;&gt;"",FJ9&gt;=FU$23,FJ9&lt;&gt;""),AND(FK9&gt;=FU$19,FK9&lt;&gt;"",FM9&gt;=FU$23,FM9&lt;&gt;""),AND(FO9&gt;=FU$19,FO9&lt;&gt;"",FQ9&gt;=FU$23,FQ9&lt;&gt;""),AND(FR9&gt;=FU$19,FR9&lt;&gt;"",FT9&gt;=FU$23,FT9&lt;&gt;""),AND(GP9&gt;=HC$19,GP9&lt;&gt;"",GR9&gt;=HC$23,GR9&lt;&gt;""),AND(GS9&gt;=HC$19,GS9&lt;&gt;"",GU9&gt;=HC$23,GU9&lt;&gt;""),AND(GW9&gt;=HC$19,GW9&lt;&gt;"",GY9&gt;=HC$23,GY9&lt;&gt;""),AND(GZ9&gt;=HC$19,GZ9&lt;&gt;"",HB9&gt;=HC$23,HB9&lt;&gt;""),AND(HX9&gt;=IK$19,HX9&lt;&gt;"",HZ9&gt;=IK$23,HZ9&lt;&gt;""),AND(IA9&gt;=IK$19,IA9&lt;&gt;"",IC9&gt;=IK$23,IC9&lt;&gt;""),AND(IE9&gt;=IK$19,IE9&lt;&gt;"",IG9&gt;=IK$23,IG9&lt;&gt;""),AND(IH9&gt;=IK$19,IH9&lt;&gt;"",IJ9&gt;=IK$23,IJ9&lt;&gt;""),AND(JF9&gt;=JS$19,JF9&lt;&gt;"",JH9&gt;=JS$23,JH9&lt;&gt;""),AND(JI9&gt;=JS$19,JI9&lt;&gt;"",JK9&gt;=JS$23,JK9&lt;&gt;""),AND(JM9&gt;=JS$19,JM9&lt;&gt;"",JO9&gt;=JS$23,JO9&lt;&gt;""),AND(JP9&gt;=JS$19,JP9&lt;&gt;"",JR9&gt;=JS$23,JR9&lt;&gt;""),AND(KN9&gt;=LA$19,KN9&lt;&gt;"",KP9&gt;=LA$23,KP9&lt;&gt;""),AND(KQ9&gt;=LA$19,KQ9&lt;&gt;"",KS9&gt;=LA$23,KS9&lt;&gt;""),AND(KU9&gt;=LA$19,KU9&lt;&gt;"",KW9&gt;=LA$23,KW9&lt;&gt;""),AND(KX9&gt;=LA$19,KX9&lt;&gt;"",KZ9&gt;=LA$23,KZ9&lt;&gt;""),AND(LV9&gt;=MI$19,LV9&lt;&gt;"",LX9&gt;=MI$23,LX9&lt;&gt;""),AND(LY9&gt;=MI$19,LY9&lt;&gt;"",MA9&gt;=MI$23,MA9&lt;&gt;""),AND(MC9&gt;=MI$19,MC9&lt;&gt;"",ME9&gt;=MI$23,ME9&lt;&gt;""),AND(MF9&gt;=MI$19,MF9&lt;&gt;"",MH9&gt;=MI$23,MH9&lt;&gt;""),AND(ND9&gt;=NQ$19,ND9&lt;&gt;"",NF9&gt;=NQ$23,NF9&lt;&gt;""),AND(NG9&gt;=NQ$19,NG9&lt;&gt;"",NI9&gt;=NQ$23,NI9&lt;&gt;""),AND(NK9&gt;=NQ$19,NK9&lt;&gt;"",NM9&gt;=NQ$23,NM9&lt;&gt;""),AND(NN9&gt;=NQ$19,NN9&lt;&gt;"",NP9&gt;=NQ$23,NP9&lt;&gt;""),AND(OL9&gt;=OY$19,OL9&lt;&gt;"",ON9&gt;=OY$23,ON9&lt;&gt;""),AND(OO9&gt;=OY$19,OO9&lt;&gt;"",OQ9&gt;=OY$23,OQ9&lt;&gt;""),AND(OS9&gt;=OY$19,OS9&lt;&gt;"",OU9&gt;=OY$23,OU9&lt;&gt;""),AND(OV9&gt;=OY$19,OV9&lt;&gt;"",OX9&gt;=OY$23,OX9&lt;&gt;""),AND(PT9&gt;=QG$19,PT9&lt;&gt;"",PV9&gt;=QG$23,PV9&lt;&gt;""),AND(PW9&gt;=QG$19,PW9&lt;&gt;"",PY9&gt;=QG$23,PY9&lt;&gt;""),AND(QA9&gt;=QG$19,QA9&lt;&gt;"",QC9&gt;=QG$23,QC9&lt;&gt;""),AND(QD9&gt;=QG$19,QD9&lt;&gt;"",QF9&gt;=QG$23,QF9&lt;&gt;""),AND(RB9&gt;=RO$19,RB9&lt;&gt;"",RD9&gt;=RO$23,RD9&lt;&gt;""),AND(RE9&gt;=RO$19,RE9&lt;&gt;"",RG9&gt;=RO$23,RG9&lt;&gt;""),AND(RI9&gt;=RO$19,RI9&lt;&gt;"",RK9&gt;=RO$23,RK9&lt;&gt;""),AND(RL9&gt;=RO$19,RL9&lt;&gt;"",RN9&gt;=RO$23,RN9&lt;&gt;""),AND(SJ9&gt;=SW$19,SJ9&lt;&gt;"",SL9&gt;=SW$23,SL9&lt;&gt;""),AND(SM9&gt;=SW$19,SM9&lt;&gt;"",SO9&gt;=SW$23,SO9&lt;&gt;""),AND(SQ9&gt;=SW$19,SQ9&lt;&gt;"",SS9&gt;=SW$23,SS9&lt;&gt;""),AND(ST9&gt;=SW$19,ST9&lt;&gt;"",SV9&gt;=SW$23,SV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Z9&gt;=EM$18,DZ9&lt;&gt;"",EB9&gt;=EM$22,EB9&lt;&gt;""),AND(EC9&gt;=EM$18,EC9&lt;&gt;"",EE9&gt;=EM$22,EE9&lt;&gt;""),AND(EG9&gt;=EM$18,EG9&lt;&gt;"",EI9&gt;=EM$22,EI9&lt;&gt;""),AND(EJ9&gt;=EM$18,EJ9&lt;&gt;"",EL9&gt;=EM$22,EL9&lt;&gt;""),AND(FH9&gt;=FU$18,FH9&lt;&gt;"",FJ9&gt;=FU$22,FJ9&lt;&gt;""),AND(FK9&gt;=FU$18,FK9&lt;&gt;"",FM9&gt;=FU$22,FM9&lt;&gt;""),AND(FO9&gt;=FU$18,FO9&lt;&gt;"",FQ9&gt;=FU$22,FQ9&lt;&gt;""),AND(FR9&gt;=FU$18,FR9&lt;&gt;"",FT9&gt;=FU$22,FT9&lt;&gt;""),AND(GP9&gt;=HC$18,GP9&lt;&gt;"",GR9&gt;=HC$22,GR9&lt;&gt;""),AND(GS9&gt;=HC$18,GS9&lt;&gt;"",GU9&gt;=HC$22,GU9&lt;&gt;""),AND(GW9&gt;=HC$18,GW9&lt;&gt;"",GY9&gt;=HC$22,GY9&lt;&gt;""),AND(GZ9&gt;=HC$18,GZ9&lt;&gt;"",HB9&gt;=HC$22,HB9&lt;&gt;""),AND(HX9&gt;=IK$18,HX9&lt;&gt;"",HZ9&gt;=IK$22,HZ9&lt;&gt;""),AND(IA9&gt;=IK$18,IA9&lt;&gt;"",IC9&gt;=IK$22,IC9&lt;&gt;""),AND(IE9&gt;=IK$18,IE9&lt;&gt;"",IG9&gt;=IK$22,IG9&lt;&gt;""),AND(IH9&gt;=IK$18,IH9&lt;&gt;"",IJ9&gt;=IK$22,IJ9&lt;&gt;""),AND(JF9&gt;=JS$18,JF9&lt;&gt;"",JH9&gt;=JS$22,JH9&lt;&gt;""),AND(JI9&gt;=JS$18,JI9&lt;&gt;"",JK9&gt;=JS$22,JK9&lt;&gt;""),AND(JM9&gt;=JS$18,JM9&lt;&gt;"",JO9&gt;=JS$22,JO9&lt;&gt;""),AND(JP9&gt;=JS$18,JP9&lt;&gt;"",JR9&gt;=JS$22,JR9&lt;&gt;""),AND(KN9&gt;=LA$18,KN9&lt;&gt;"",KP9&gt;=LA$22,KP9&lt;&gt;""),AND(KQ9&gt;=LA$18,KQ9&lt;&gt;"",KS9&gt;=LA$22,KS9&lt;&gt;""),AND(KU9&gt;=LA$18,KU9&lt;&gt;"",KW9&gt;=LA$22,KW9&lt;&gt;""),AND(KX9&gt;=LA$18,KX9&lt;&gt;"",KZ9&gt;=LA$22,KZ9&lt;&gt;""),AND(LV9&gt;=MI$18,LV9&lt;&gt;"",LX9&gt;=MI$22,LX9&lt;&gt;""),AND(LY9&gt;=MI$18,LY9&lt;&gt;"",MA9&gt;=MI$22,MA9&lt;&gt;""),AND(MC9&gt;=MI$18,MC9&lt;&gt;"",ME9&gt;=MI$22,ME9&lt;&gt;""),AND(MF9&gt;=MI$18,MF9&lt;&gt;"",MH9&gt;=MI$22,MH9&lt;&gt;""),AND(ND9&gt;=NQ$18,ND9&lt;&gt;"",NF9&gt;=NQ$22,NF9&lt;&gt;""),AND(NG9&gt;=NQ$18,NG9&lt;&gt;"",NI9&gt;=NQ$22,NI9&lt;&gt;""),AND(NK9&gt;=NQ$18,NK9&lt;&gt;"",NM9&gt;=NQ$22,NM9&lt;&gt;""),AND(NN9&gt;=NQ$18,NN9&lt;&gt;"",NP9&gt;=NQ$22,NP9&lt;&gt;""),AND(OL9&gt;=OY$18,OL9&lt;&gt;"",ON9&gt;=OY$22,ON9&lt;&gt;""),AND(OO9&gt;=OY$18,OO9&lt;&gt;"",OQ9&gt;=OY$22,OQ9&lt;&gt;""),AND(OS9&gt;=OY$18,OS9&lt;&gt;"",OU9&gt;=OY$22,OU9&lt;&gt;""),AND(OV9&gt;=OY$18,OV9&lt;&gt;"",OX9&gt;=OY$22,OX9&lt;&gt;""),AND(PT9&gt;=QG$18,PT9&lt;&gt;"",PV9&gt;=QG$22,PV9&lt;&gt;""),AND(PW9&gt;=QG$18,PW9&lt;&gt;"",PY9&gt;=QG$22,PY9&lt;&gt;""),AND(QA9&gt;=QG$18,QA9&lt;&gt;"",QC9&gt;=QG$22,QC9&lt;&gt;""),AND(QD9&gt;=QG$18,QD9&lt;&gt;"",QF9&gt;=QG$22,QF9&lt;&gt;""),AND(RB9&gt;=RO$18,RB9&lt;&gt;"",RD9&gt;=RO$22,RD9&lt;&gt;""),AND(RE9&gt;=RO$18,RE9&lt;&gt;"",RG9&gt;=RO$22,RG9&lt;&gt;""),AND(RI9&gt;=RO$18,RI9&lt;&gt;"",RK9&gt;=RO$22,RK9&lt;&gt;""),AND(RL9&gt;=RO$18,RL9&lt;&gt;"",RN9&gt;=RO$22,RN9&lt;&gt;""),AND(SJ9&gt;=SW$18,SJ9&lt;&gt;"",SL9&gt;=SW$22,SL9&lt;&gt;""),AND(SM9&gt;=SW$18,SM9&lt;&gt;"",SO9&gt;=SW$22,SO9&lt;&gt;""),AND(SQ9&gt;=SW$18,SQ9&lt;&gt;"",SS9&gt;=SW$22,SS9&lt;&gt;""),AND(ST9&gt;=SW$18,ST9&lt;&gt;"",SV9&gt;=SW$22,SV9&lt;&gt;"")),"P","")</f>
        <v/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50.730000000000004</v>
      </c>
      <c r="M9" s="13" t="str">
        <f>IF(L9="","",IF(OR(L9=CS9,L9=CV9),$CA$1,IF(OR(L9=BR9,L9=BU9),$AZ$1,IF(OR(L9=AQ9,L9=AT9),$Y$1,""))))</f>
        <v>2021 Elite Canada</v>
      </c>
      <c r="N9" s="13">
        <f>IF(COUNT(AQ9,AT9,BR9,BU9,CS9,CV9)&gt;2,LARGE((AQ9,AT9,BR9,BU9,CS9,CV9),3),0)</f>
        <v>49.865000000000002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51.56</v>
      </c>
      <c r="Q9" s="13" t="str">
        <f>IF(P9="","",IF(P9=CZ9,$CA$1,IF(P9=BY9,$AZ$1,IF(P9=AX9,$Y$1,""))))</f>
        <v>2021 Elite Canada</v>
      </c>
      <c r="R9" s="13">
        <f>IF(MAX(AO9,AR9,AV9,BP9,BS9,BW9,CQ9,CT9,CX9)&gt;0,MAX(AO9,AR9,BP9,BS9,CQ9,CT9,AV9),0)</f>
        <v>13.4</v>
      </c>
      <c r="S9" s="13" t="str">
        <f>IF(R9=0,"",IF(OR(R9=CQ9,R9=CT9,R9=CX9),$CA$1,IF(OR(R9=BP9,R9=BS9,R9=BW9),$AZ$1,IF(OR(R9=AO9,R9=AR9,R9=AV9),$Y$1,""))))</f>
        <v>2022 Elite Canada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),0)</f>
        <v>14.71</v>
      </c>
      <c r="U9" s="13" t="str">
        <f>IF(T9=0,"",IF(OR(T9=CR9,T9=CU9,T9=CY9),$CA$1,IF(OR(T9=BQ9,T9=BT9,T9=BX9),$AZ$1,IF(OR(T9=AP9,T9=AS9,T9=AW9),$Y$1,""))))</f>
        <v>2022 Elite Canada</v>
      </c>
      <c r="V9" s="13" t="str">
        <f>IF(MAX(DB9,DC9,DD9,DE9)&gt;0,MAX(DB9,DC9,DD9,DE9),"")</f>
        <v/>
      </c>
      <c r="W9" s="16" t="str">
        <f>IF(V9="","",IF(V9=DB9,"("&amp;DB$2&amp;")",IF(V9=DC9,"("&amp;DC$2&amp;")",IF(V9=DD9,"("&amp;DD$2&amp;")",IF(V9=DE9,"("&amp;DE$2&amp;")")))))</f>
        <v/>
      </c>
      <c r="X9" s="13" t="str">
        <f>IF(V9="","",IF(V9=DB9,IF(V9+IF(L9="",0,L9)=SP9,$RP$1,IF(V9+IF(L9="",0,L9)=RH9,$QH$1,IF(V9+IF(L9="",0,L9)=PZ9,$OZ$1,IF(V9+IF(L9="",0,L9)=OR9,$NR$1,IF(V9+IF(L9="",0,L9)=NJ9,$MJ$1,IF(V9+IF(L9="",0,L9)=MB9,$LB$1,IF(V9+IF(L9="",0,L9)=KT9,$JT$1,IF(V9+IF(L9="",0,L9)=JL9,$IL$1,IF(V9+IF(L9="",0,L9)=ID9,$HD$1,IF(V9+IF(L9="",0,L9)=GV9,$FV$1,IF(V9+IF(L9="",0,L9)=FN9,$EN$1,IF(V9+IF(L9="",0,L9)=EF9,$DF$1)))))))))))),IF(V9=DC9,IF(V9+IF(P9="",0,P9)=SV9,$RP$1,IF(V9+IF(P9="",0,P9)=RN9,$QH$1,IF(V9+IF(P9="",0,P9)=QF9,$OZ$1,IF(V9+IF(P9="",0,P9)=OX9,$NR$1,IF(V9+IF(P9="",0,P9)=NP9,$MJ$1,IF(V9+IF(P9="",0,P9)=MH9,$LB$1,IF(V9+IF(P9="",0,P9)=KZ9,$JT$1,IF(V9+IF(P9="",0,P9)=JR9,$IL$1,IF(V9+IF(P9="",0,P9)=IJ9,$HD$1,IF(V9+IF(P9="",0,P9)=HB9,$FV$1,IF(V9+IF(P9="",0,P9)=FT9,$EN$1,IF(V9+IF(P9="",0,P9)=EL9,$DF$1)))))))))))),IF(V9=DD9,IF(V9+IF(R9="",0,R9)=MAX(SJ9,SM9,SQ9,ST9),$RP$1,IF(V9+IF(R9="",0,R9)=MAX(RB9,RE9,RI9,RL9),$QH$1,IF(V9+IF(R9="",0,R9)=MAX(PT9,PW9,QA9,QD9),$OZ$1,IF(V9+IF(R9="",0,R9)=MAX(OL9,OO9,OS9,OV9),$NR$1,IF(V9+IF(R9="",0,R9)=MAX(ND9,NG9,NK9,NN9),$MJ$1,IF(V9+IF(R9="",0,R9)=MAX(LV9,LY9,MC9,MF9),$LB$1,IF(V9+IF(R9="",0,R9)=MAX(KN9,KQ9,KU9,KX9),$JT$1,IF(V9+IF(R9="",0,R9)=MAX(JF9,JI9,JM9,JP9),$IL$1,IF(V9+IF(R9="",0,R9)=MAX(HX9,IA9,IE9,IH9),$HD$1,IF(V9+IF(R9="",0,R9)=MAX(GP9,GS9,GW9,GZ9),$FV$1,IF(V9+IF(R9="",0,R9)=MAX(FH9,FK9,FO9,FR9),$EN$1,IF(V9+IF(R9="",0,R9)=MAX(DZ9,EC9,EG9,EJ9),$DF$1)))))))))))),IF(V9=DE9,IF(V9+IF(T9="",0,T9)=MAX(SK9,SN9,SR9,SU9),$RP$1,IF(V9+IF(T9="",0,T9)=MAX(RC9,RF9,RJ9,RM9),$QH$1,IF(V9+IF(T9="",0,T9)=MAX(PU9,PX9,QB9,QE9),$OZ$1,IF(V9+IF(T9="",0,T9)=MAX(OM9,OP9,OT9,OW9),$NR$1,IF(V9+IF(T9="",0,T9)=MAX(NE9,NH9,NL9,NO9),$MJ$1,IF(V9+IF(T9="",0,T9)=MAX(LW9,LZ9,MD9,MG9),$LB$1,IF(V9+IF(T9="",0,T9)=MAX(KO9,KR9,KV9,KY9),$JT$1,IF(V9+IF(T9="",0,T9)=MAX(JG9,JJ9,JN9,JQ9),$IL$1,IF(V9+IF(T9="",0,T9)=MAX(HY9,IB9,IF9,II9),$HD$1,IF(V9+IF(T9="",0,T9)=MAX(GQ9,GT9,GX9,HA9),$FV$1,IF(V9+IF(T9="",0,T9)=MAX(FI9,FL9,FP9,FS9),$EN$1,IF(V9+IF(T9="",0,T9)=MAX(EA9,ED9,EH9,EK9),$DF$1)))))))))))))))))</f>
        <v/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>IF(AA9&gt;0,AA9,"")</f>
        <v>13.3</v>
      </c>
      <c r="AP9" s="74">
        <f>IF(AB9&gt;0,AB9,"")</f>
        <v>14.365</v>
      </c>
      <c r="AQ9" s="76">
        <f>IF(SUM(Y9:AB9)-AC9&gt;0,SUM(Y9:AB9)-AC9,"")</f>
        <v>49.865000000000002</v>
      </c>
      <c r="AR9" s="76">
        <f>IF(AF9&gt;0,AF9,"")</f>
        <v>13.3</v>
      </c>
      <c r="AS9" s="76">
        <f>IF(AG9&gt;0,AG9,"")</f>
        <v>14.63</v>
      </c>
      <c r="AT9" s="76">
        <f>IF(SUM(AD9:AG9)-AH9&gt;0,SUM(AD9:AG9)-AH9,"")</f>
        <v>50.730000000000004</v>
      </c>
      <c r="AU9" s="76">
        <f>IF(AQ9="","",MAX(AQ9,AT9))</f>
        <v>50.730000000000004</v>
      </c>
      <c r="AV9" s="76">
        <f>IF(AK9&gt;0,AK9,"")</f>
        <v>13.3</v>
      </c>
      <c r="AW9" s="76">
        <f>IF(AL9&gt;0,AL9,"")</f>
        <v>14.66</v>
      </c>
      <c r="AX9" s="76">
        <f>IF(SUM(AI9:AL9)-AM9&gt;0,SUM(AI9:AL9)-AM9,"")</f>
        <v>51.56</v>
      </c>
      <c r="AY9" s="76">
        <f>IF(SUM(AU9,AX9)&gt;0,SUM(AU9,AX9),"")</f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>IF(BB9&gt;0,BB9,"")</f>
        <v>11.9</v>
      </c>
      <c r="BQ9" s="75">
        <f>IF(BC9&gt;0,BC9,"")</f>
        <v>14.21</v>
      </c>
      <c r="BR9" s="16">
        <f>IF(SUM(AZ9:BC9)-BD9&gt;0,SUM(AZ9:BC9)-BD9,"")</f>
        <v>46.410000000000004</v>
      </c>
      <c r="BS9" s="16">
        <f>IF(BG9&gt;0,BG9,"")</f>
        <v>7.1</v>
      </c>
      <c r="BT9" s="16">
        <f>IF(BH9&gt;0,BH9,"")</f>
        <v>7.5949999999999998</v>
      </c>
      <c r="BU9" s="16">
        <f>IF(SUM(BE9:BH9)-BI9&gt;0,SUM(BE9:BH9)-BI9,"")</f>
        <v>25.695</v>
      </c>
      <c r="BV9" s="16">
        <f>IF(BR9="","",MAX(BR9,BU9))</f>
        <v>46.410000000000004</v>
      </c>
      <c r="BW9" s="16">
        <f>IF(BL9&gt;0,BL9,"")</f>
        <v>11.7</v>
      </c>
      <c r="BX9" s="16">
        <f>IF(BM9&gt;0,BM9,"")</f>
        <v>13.29</v>
      </c>
      <c r="BY9" s="16">
        <f>IF(SUM(BJ9:BM9)-BN9&gt;0,SUM(BJ9:BM9)-BN9,"")</f>
        <v>44.19</v>
      </c>
      <c r="BZ9" s="16">
        <f>IF(SUM(BV9,BY9)&gt;0,SUM(BV9,BY9),"")</f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>IF(CC9&gt;0,CC9,"")</f>
        <v>13.3</v>
      </c>
      <c r="CR9" s="74">
        <f>IF(CD9&gt;0,CD9,"")</f>
        <v>14.71</v>
      </c>
      <c r="CS9" s="76">
        <f>IF(SUM(CA9:CD9)-CE9&gt;0,SUM(CA9:CD9)-CE9,"")</f>
        <v>51.01</v>
      </c>
      <c r="CT9" s="76">
        <f>IF(CH9&gt;0,CH9,"")</f>
        <v>13.4</v>
      </c>
      <c r="CU9" s="76">
        <f>IF(CI9&gt;0,CI9,"")</f>
        <v>14.34</v>
      </c>
      <c r="CV9" s="76">
        <f>IF(SUM(CF9:CI9)-CJ9&gt;0,SUM(CF9:CI9)-CJ9,"")</f>
        <v>49.039999999999992</v>
      </c>
      <c r="CW9" s="76">
        <f>IF(CS9="","",MAX(CS9,CV9))</f>
        <v>51.01</v>
      </c>
      <c r="CX9" s="76">
        <f>IF(CM9&gt;0,CM9,"")</f>
        <v>8.1</v>
      </c>
      <c r="CY9" s="76">
        <f>IF(CN9&gt;0,CN9,"")</f>
        <v>8.99</v>
      </c>
      <c r="CZ9" s="76">
        <f>IF(SUM(CK9:CN9)-CO9&gt;0,SUM(CK9:CN9)-CO9,"")</f>
        <v>30.490000000000002</v>
      </c>
      <c r="DA9" s="76">
        <f>IF(SUM(CW9,CZ9)&gt;0,SUM(CW9,CZ9),"")</f>
        <v>81.5</v>
      </c>
      <c r="DB9" s="87" t="str">
        <f>IF(L9&gt;=0.001,IF(MAX(EF9,FN9,GV9,ID9,JL9,KT9,MB9,NJ9,OR9,PZ9,RH9,SP9)-IF(L9="",0,L9)&gt;0.001,MAX(EF9,FN9,GV9,ID9,JL9,KT9,MB9,NJ9,OR9,PZ9,RH9,SP9)-IF(L9="",0,L9),""),"")</f>
        <v/>
      </c>
      <c r="DC9" s="87" t="str">
        <f>IF(P9&gt;=0.001,IF(MAX(EI9,EL9,FQ9,FT9,GY9,HB9,IG9,IJ9,JO9,JR9,KW9,KZ9,ME9,MH9,NM9,NP9,OU9,OX9,QC9,QF9,RK9,RN9,SS9,SV9)-IF(P9="",0,P9)&gt;0.001,MAX(EI9,EL9,FQ9,FT9,GY9,HB9,IG9,IJ9,JO9,JR9,KW9,KZ9,ME9,MH9,NM9,NP9,OU9,OX9,QC9,QF9,RK9,RN9,SS9,SV9)-IF(P9="",0,P9),""),"")</f>
        <v/>
      </c>
      <c r="DD9" s="87" t="str">
        <f>IF(R9&gt;=0.001,IF(MAX(DZ9,EC9,EG9,EJ9,FH9,FK9,FO9,FR9,GP9,GS9,GW9,GZ9,HX9,IA9,IE9,IH9,JF9,JI9,JM9,JP9,KN9,KQ9,KU9,KX9,LV9,LY9,MC9,MF9,ND9,NG9,NK9,NN9,OL9,OO9,OS9,OV9,PT9,PW9,QA9,QD9,RB9,RE9,RI9,RL9,SJ9,SM9,SQ9,ST9)-IF(R9="",0,R9)&gt;0.001,MAX(DZ9,EC9,EG9,EJ9,FH9,FK9,FO9,FR9,GP9,GS9,GW9,GZ9,HX9,IA9,IE9,IH9,JF9,JI9,JM9,JP9,KN9,KQ9,KU9,KX9,LV9,LY9,MC9,MF9,ND9,NG9,NK9,NN9,OL9,OO9,OS9,OV9,PT9,PW9,QA9,QD9,RB9,RE9,RI9,RL9,SJ9,SM9,SQ9,ST9)-IF(R9="",0,R9),""),"")</f>
        <v/>
      </c>
      <c r="DE9" s="87" t="str">
        <f>IF(T9&gt;=0.001,IF(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&gt;0.001,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,""),"")</f>
        <v/>
      </c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76" t="str">
        <f>IF(DH9&gt;0,DH9,"")</f>
        <v/>
      </c>
      <c r="EA9" s="76" t="str">
        <f>IF(DI9&gt;0,DI9,"")</f>
        <v/>
      </c>
      <c r="EB9" s="76" t="str">
        <f>IF(SUM(DF9:DI9)-DJ9&gt;0,SUM(DF9:DI9)-DJ9,"")</f>
        <v/>
      </c>
      <c r="EC9" s="76" t="str">
        <f>IF(DM9&gt;0,DM9,"")</f>
        <v/>
      </c>
      <c r="ED9" s="76" t="str">
        <f>IF(DN9&gt;0,DN9,"")</f>
        <v/>
      </c>
      <c r="EE9" s="76" t="str">
        <f>IF(SUM(DK9:DN9)-DO9&gt;0,SUM(DK9:DN9)-DO9,"")</f>
        <v/>
      </c>
      <c r="EF9" s="76" t="str">
        <f>IF(MAX(EB9,EE9)&gt;0,MAX(EB9,EE9),"")</f>
        <v/>
      </c>
      <c r="EG9" s="76" t="str">
        <f>IF(DR9&gt;0,DR9,"")</f>
        <v/>
      </c>
      <c r="EH9" s="76" t="str">
        <f>IF(DS9&gt;0,DS9,"")</f>
        <v/>
      </c>
      <c r="EI9" s="76" t="str">
        <f>IF(SUM(DP9:DS9)-DT9&gt;0,SUM(DP9:DS9)-DT9,"")</f>
        <v/>
      </c>
      <c r="EJ9" s="76" t="str">
        <f>IF(DW9&gt;0,DW9,"")</f>
        <v/>
      </c>
      <c r="EK9" s="76" t="str">
        <f>IF(DX9&gt;0,DX9,"")</f>
        <v/>
      </c>
      <c r="EL9" s="76" t="str">
        <f>IF(SUM(DU9:DX9)-DY9&gt;0,SUM(DU9:DX9)-DY9,"")</f>
        <v/>
      </c>
      <c r="EM9" s="76" t="str">
        <f>IF(SUM(EF9,EL9)&gt;0,SUM(EF9,EL9),"")</f>
        <v/>
      </c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16" t="str">
        <f>IF(EP9&gt;0,EP9,"")</f>
        <v/>
      </c>
      <c r="FI9" s="16" t="str">
        <f>IF(EQ9&gt;0,EQ9,"")</f>
        <v/>
      </c>
      <c r="FJ9" s="16" t="str">
        <f>IF(SUM(EN9:EQ9)-ER9&gt;0,SUM(EN9:EQ9)-ER9,"")</f>
        <v/>
      </c>
      <c r="FK9" s="16" t="str">
        <f>IF(EU9&gt;0,EU9,"")</f>
        <v/>
      </c>
      <c r="FL9" s="16" t="str">
        <f>IF(EV9&gt;0,EV9,"")</f>
        <v/>
      </c>
      <c r="FM9" s="16" t="str">
        <f>IF(SUM(ES9:EV9)-EW9&gt;0,SUM(ES9:EV9)-EW9,"")</f>
        <v/>
      </c>
      <c r="FN9" s="16" t="str">
        <f>IF(MAX(FJ9,FM9)&gt;0,MAX(FJ9,FM9),"")</f>
        <v/>
      </c>
      <c r="FO9" s="16" t="str">
        <f>IF(EZ9&gt;0,EZ9,"")</f>
        <v/>
      </c>
      <c r="FP9" s="16" t="str">
        <f>IF(FA9&gt;0,FA9,"")</f>
        <v/>
      </c>
      <c r="FQ9" s="16" t="str">
        <f>IF(SUM(EX9:FA9)-FB9&gt;0,SUM(EX9:FA9)-FB9,"")</f>
        <v/>
      </c>
      <c r="FR9" s="16" t="str">
        <f>IF(FE9&gt;0,FE9,"")</f>
        <v/>
      </c>
      <c r="FS9" s="16" t="str">
        <f>IF(FF9&gt;0,FF9,"")</f>
        <v/>
      </c>
      <c r="FT9" s="16" t="str">
        <f>IF(SUM(FC9:FF9)-FG9&gt;0,SUM(FC9:FF9)-FG9,"")</f>
        <v/>
      </c>
      <c r="FU9" s="16" t="str">
        <f>IF(SUM(FN9,FT9)&gt;0,SUM(FN9,FT9),"")</f>
        <v/>
      </c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76" t="str">
        <f>IF(FX9&gt;0,FX9,"")</f>
        <v/>
      </c>
      <c r="GQ9" s="76" t="str">
        <f>IF(FY9&gt;0,FY9,"")</f>
        <v/>
      </c>
      <c r="GR9" s="76" t="str">
        <f>IF(SUM(FV9:FY9)-FZ9&gt;0,SUM(FV9:FY9)-FZ9,"")</f>
        <v/>
      </c>
      <c r="GS9" s="76" t="str">
        <f>IF(GC9&gt;0,GC9,"")</f>
        <v/>
      </c>
      <c r="GT9" s="76" t="str">
        <f>IF(GD9&gt;0,GD9,"")</f>
        <v/>
      </c>
      <c r="GU9" s="76" t="str">
        <f>IF(SUM(GA9:GD9)-GE9&gt;0,SUM(GA9:GD9)-GE9,"")</f>
        <v/>
      </c>
      <c r="GV9" s="76" t="str">
        <f>IF(MAX(GR9,GU9)&gt;0,MAX(GR9,GU9),"")</f>
        <v/>
      </c>
      <c r="GW9" s="76" t="str">
        <f>IF(GH9&gt;0,GH9,"")</f>
        <v/>
      </c>
      <c r="GX9" s="76" t="str">
        <f>IF(GI9&gt;0,GI9,"")</f>
        <v/>
      </c>
      <c r="GY9" s="76" t="str">
        <f>IF(SUM(GF9:GI9)-GJ9&gt;0,SUM(GF9:GI9)-GJ9,"")</f>
        <v/>
      </c>
      <c r="GZ9" s="76" t="str">
        <f>IF(GM9&gt;0,GM9,"")</f>
        <v/>
      </c>
      <c r="HA9" s="76" t="str">
        <f>IF(GN9&gt;0,GN9,"")</f>
        <v/>
      </c>
      <c r="HB9" s="76" t="str">
        <f>IF(SUM(GK9:GN9)-GO9&gt;0,SUM(GK9:GN9)-GO9,"")</f>
        <v/>
      </c>
      <c r="HC9" s="76" t="str">
        <f>IF(SUM(GV9,HB9)&gt;0,SUM(GV9,HB9),"")</f>
        <v/>
      </c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16" t="str">
        <f>IF(HF9&gt;0,HF9,"")</f>
        <v/>
      </c>
      <c r="HY9" s="16" t="str">
        <f>IF(HG9&gt;0,HG9,"")</f>
        <v/>
      </c>
      <c r="HZ9" s="16" t="str">
        <f>IF(SUM(HD9:HG9)-HH9&gt;0,SUM(HD9:HG9)-HH9,"")</f>
        <v/>
      </c>
      <c r="IA9" s="16" t="str">
        <f>IF(HK9&gt;0,HK9,"")</f>
        <v/>
      </c>
      <c r="IB9" s="16" t="str">
        <f>IF(HL9&gt;0,HL9,"")</f>
        <v/>
      </c>
      <c r="IC9" s="16" t="str">
        <f>IF(SUM(HI9:HL9)-HM9&gt;0,SUM(HI9:HL9)-HM9,"")</f>
        <v/>
      </c>
      <c r="ID9" s="16" t="str">
        <f>IF(MAX(HZ9,IC9)&gt;0,MAX(HZ9,IC9),"")</f>
        <v/>
      </c>
      <c r="IE9" s="16" t="str">
        <f>IF(HP9&gt;0,HP9,"")</f>
        <v/>
      </c>
      <c r="IF9" s="16" t="str">
        <f>IF(HQ9&gt;0,HQ9,"")</f>
        <v/>
      </c>
      <c r="IG9" s="16" t="str">
        <f>IF(SUM(HN9:HQ9)-HR9&gt;0,SUM(HN9:HQ9)-HR9,"")</f>
        <v/>
      </c>
      <c r="IH9" s="16" t="str">
        <f>IF(HU9&gt;0,HU9,"")</f>
        <v/>
      </c>
      <c r="II9" s="16" t="str">
        <f>IF(HV9&gt;0,HV9,"")</f>
        <v/>
      </c>
      <c r="IJ9" s="16" t="str">
        <f>IF(SUM(HS9:HV9)-HW9&gt;0,SUM(HS9:HV9)-HW9,"")</f>
        <v/>
      </c>
      <c r="IK9" s="16" t="str">
        <f>IF(SUM(ID9,IJ9)&gt;0,SUM(ID9,IJ9),"")</f>
        <v/>
      </c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76" t="str">
        <f>IF(IN9&gt;0,IN9,"")</f>
        <v/>
      </c>
      <c r="JG9" s="76" t="str">
        <f>IF(IO9&gt;0,IO9,"")</f>
        <v/>
      </c>
      <c r="JH9" s="76" t="str">
        <f>IF(SUM(IL9:IO9)-IP9&gt;0,SUM(IL9:IO9)-IP9,"")</f>
        <v/>
      </c>
      <c r="JI9" s="76" t="str">
        <f>IF(IS9&gt;0,IS9,"")</f>
        <v/>
      </c>
      <c r="JJ9" s="76" t="str">
        <f>IF(IT9&gt;0,IT9,"")</f>
        <v/>
      </c>
      <c r="JK9" s="76" t="str">
        <f>IF(SUM(IQ9:IT9)-IU9&gt;0,SUM(IQ9:IT9)-IU9,"")</f>
        <v/>
      </c>
      <c r="JL9" s="76" t="str">
        <f>IF(MAX(JH9,JK9)&gt;0,MAX(JH9,JK9),"")</f>
        <v/>
      </c>
      <c r="JM9" s="76" t="str">
        <f>IF(IX9&gt;0,IX9,"")</f>
        <v/>
      </c>
      <c r="JN9" s="76" t="str">
        <f>IF(IY9&gt;0,IY9,"")</f>
        <v/>
      </c>
      <c r="JO9" s="76" t="str">
        <f>IF(SUM(IV9:IY9)-IZ9&gt;0,SUM(IV9:IY9)-IZ9,"")</f>
        <v/>
      </c>
      <c r="JP9" s="76" t="str">
        <f>IF(JC9&gt;0,JC9,"")</f>
        <v/>
      </c>
      <c r="JQ9" s="76" t="str">
        <f>IF(JD9&gt;0,JD9,"")</f>
        <v/>
      </c>
      <c r="JR9" s="76" t="str">
        <f>IF(SUM(JA9:JD9)-JE9&gt;0,SUM(JA9:JD9)-JE9,"")</f>
        <v/>
      </c>
      <c r="JS9" s="76" t="str">
        <f>IF(SUM(JL9,JR9)&gt;0,SUM(JL9,JR9),"")</f>
        <v/>
      </c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16" t="str">
        <f>IF(JV9&gt;0,JV9,"")</f>
        <v/>
      </c>
      <c r="KO9" s="16" t="str">
        <f>IF(JW9&gt;0,JW9,"")</f>
        <v/>
      </c>
      <c r="KP9" s="16" t="str">
        <f>IF(SUM(JT9:JW9)-JX9&gt;0,SUM(JT9:JW9)-JX9,"")</f>
        <v/>
      </c>
      <c r="KQ9" s="16" t="str">
        <f>IF(KA9&gt;0,KA9,"")</f>
        <v/>
      </c>
      <c r="KR9" s="16" t="str">
        <f>IF(KB9&gt;0,KB9,"")</f>
        <v/>
      </c>
      <c r="KS9" s="16" t="str">
        <f>IF(SUM(JY9:KB9)-KC9&gt;0,SUM(JY9:KB9)-KC9,"")</f>
        <v/>
      </c>
      <c r="KT9" s="16" t="str">
        <f>IF(MAX(KP9,KS9)&gt;0,MAX(KP9,KS9),"")</f>
        <v/>
      </c>
      <c r="KU9" s="16" t="str">
        <f>IF(KF9&gt;0,KF9,"")</f>
        <v/>
      </c>
      <c r="KV9" s="16" t="str">
        <f>IF(KG9&gt;0,KG9,"")</f>
        <v/>
      </c>
      <c r="KW9" s="16" t="str">
        <f>IF(SUM(KD9:KG9)-KH9&gt;0,SUM(KD9:KG9)-KH9,"")</f>
        <v/>
      </c>
      <c r="KX9" s="16" t="str">
        <f>IF(KK9&gt;0,KK9,"")</f>
        <v/>
      </c>
      <c r="KY9" s="16" t="str">
        <f>IF(KL9&gt;0,KL9,"")</f>
        <v/>
      </c>
      <c r="KZ9" s="16" t="str">
        <f>IF(SUM(KI9:KL9)-KM9&gt;0,SUM(KI9:KL9)-KM9,"")</f>
        <v/>
      </c>
      <c r="LA9" s="16" t="str">
        <f>IF(SUM(KT9,KZ9)&gt;0,SUM(KT9,KZ9),"")</f>
        <v/>
      </c>
      <c r="LB9" s="25">
        <v>12.8</v>
      </c>
      <c r="LC9" s="25">
        <v>8.6999999999999993</v>
      </c>
      <c r="LD9" s="25">
        <v>11.1</v>
      </c>
      <c r="LE9" s="25">
        <v>14.565</v>
      </c>
      <c r="LF9" s="25">
        <v>0</v>
      </c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>
        <v>3.2</v>
      </c>
      <c r="LR9" s="25">
        <v>1.8</v>
      </c>
      <c r="LS9" s="25">
        <v>2</v>
      </c>
      <c r="LT9" s="25">
        <v>3.31</v>
      </c>
      <c r="LU9" s="25">
        <v>0</v>
      </c>
      <c r="LV9" s="76">
        <f>IF(LD9&gt;0,LD9,"")</f>
        <v>11.1</v>
      </c>
      <c r="LW9" s="76">
        <f>IF(LE9&gt;0,LE9,"")</f>
        <v>14.565</v>
      </c>
      <c r="LX9" s="76">
        <f>IF(SUM(LB9:LE9)-LF9&gt;0,SUM(LB9:LE9)-LF9,"")</f>
        <v>47.164999999999999</v>
      </c>
      <c r="LY9" s="76" t="str">
        <f>IF(LI9&gt;0,LI9,"")</f>
        <v/>
      </c>
      <c r="LZ9" s="76" t="str">
        <f>IF(LJ9&gt;0,LJ9,"")</f>
        <v/>
      </c>
      <c r="MA9" s="76" t="str">
        <f>IF(SUM(LG9:LJ9)-LK9&gt;0,SUM(LG9:LJ9)-LK9,"")</f>
        <v/>
      </c>
      <c r="MB9" s="76">
        <f>IF(MAX(LX9,MA9)&gt;0,MAX(LX9,MA9),"")</f>
        <v>47.164999999999999</v>
      </c>
      <c r="MC9" s="76" t="str">
        <f>IF(LN9&gt;0,LN9,"")</f>
        <v/>
      </c>
      <c r="MD9" s="76" t="str">
        <f>IF(LO9&gt;0,LO9,"")</f>
        <v/>
      </c>
      <c r="ME9" s="76" t="str">
        <f>IF(SUM(LL9:LO9)-LP9&gt;0,SUM(LL9:LO9)-LP9,"")</f>
        <v/>
      </c>
      <c r="MF9" s="76">
        <f>IF(LS9&gt;0,LS9,"")</f>
        <v>2</v>
      </c>
      <c r="MG9" s="76">
        <f>IF(LT9&gt;0,LT9,"")</f>
        <v>3.31</v>
      </c>
      <c r="MH9" s="76">
        <f>IF(SUM(LQ9:LT9)-LU9&gt;0,SUM(LQ9:LT9)-LU9,"")</f>
        <v>10.31</v>
      </c>
      <c r="MI9" s="76">
        <f>IF(SUM(MB9,MH9)&gt;0,SUM(MB9,MH9),"")</f>
        <v>57.475000000000001</v>
      </c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16" t="str">
        <f>IF(ML9&gt;0,ML9,"")</f>
        <v/>
      </c>
      <c r="NE9" s="16" t="str">
        <f>IF(MM9&gt;0,MM9,"")</f>
        <v/>
      </c>
      <c r="NF9" s="16" t="str">
        <f>IF(SUM(MJ9:MM9)-MN9&gt;0,SUM(MJ9:MM9)-MN9,"")</f>
        <v/>
      </c>
      <c r="NG9" s="16" t="str">
        <f>IF(MQ9&gt;0,MQ9,"")</f>
        <v/>
      </c>
      <c r="NH9" s="16" t="str">
        <f>IF(MR9&gt;0,MR9,"")</f>
        <v/>
      </c>
      <c r="NI9" s="16" t="str">
        <f>IF(SUM(MO9:MR9)-MS9&gt;0,SUM(MO9:MR9)-MS9,"")</f>
        <v/>
      </c>
      <c r="NJ9" s="16" t="str">
        <f>IF(MAX(NF9,NI9)&gt;0,MAX(NF9,NI9),"")</f>
        <v/>
      </c>
      <c r="NK9" s="16" t="str">
        <f>IF(MV9&gt;0,MV9,"")</f>
        <v/>
      </c>
      <c r="NL9" s="16" t="str">
        <f>IF(MW9&gt;0,MW9,"")</f>
        <v/>
      </c>
      <c r="NM9" s="16" t="str">
        <f>IF(SUM(MT9:MW9)-MX9&gt;0,SUM(MT9:MW9)-MX9,"")</f>
        <v/>
      </c>
      <c r="NN9" s="16" t="str">
        <f>IF(NA9&gt;0,NA9,"")</f>
        <v/>
      </c>
      <c r="NO9" s="16" t="str">
        <f>IF(NB9&gt;0,NB9,"")</f>
        <v/>
      </c>
      <c r="NP9" s="16" t="str">
        <f>IF(SUM(MY9:NB9)-NC9&gt;0,SUM(MY9:NB9)-NC9,"")</f>
        <v/>
      </c>
      <c r="NQ9" s="16" t="str">
        <f>IF(SUM(NJ9,NP9)&gt;0,SUM(NJ9,NP9),"")</f>
        <v/>
      </c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76" t="str">
        <f>IF(NT9&gt;0,NT9,"")</f>
        <v/>
      </c>
      <c r="OM9" s="76" t="str">
        <f>IF(NU9&gt;0,NU9,"")</f>
        <v/>
      </c>
      <c r="ON9" s="76" t="str">
        <f>IF(SUM(NR9:NU9)-NV9&gt;0,SUM(NR9:NU9)-NV9,"")</f>
        <v/>
      </c>
      <c r="OO9" s="76" t="str">
        <f>IF(NY9&gt;0,NY9,"")</f>
        <v/>
      </c>
      <c r="OP9" s="76" t="str">
        <f>IF(NZ9&gt;0,NZ9,"")</f>
        <v/>
      </c>
      <c r="OQ9" s="76" t="str">
        <f>IF(SUM(NW9:NZ9)-OA9&gt;0,SUM(NW9:NZ9)-OA9,"")</f>
        <v/>
      </c>
      <c r="OR9" s="76" t="str">
        <f>IF(MAX(ON9,OQ9)&gt;0,MAX(ON9,OQ9),"")</f>
        <v/>
      </c>
      <c r="OS9" s="76" t="str">
        <f>IF(OD9&gt;0,OD9,"")</f>
        <v/>
      </c>
      <c r="OT9" s="76" t="str">
        <f>IF(OE9&gt;0,OE9,"")</f>
        <v/>
      </c>
      <c r="OU9" s="76" t="str">
        <f>IF(SUM(OB9:OE9)-OF9&gt;0,SUM(OB9:OE9)-OF9,"")</f>
        <v/>
      </c>
      <c r="OV9" s="76" t="str">
        <f>IF(OI9&gt;0,OI9,"")</f>
        <v/>
      </c>
      <c r="OW9" s="76" t="str">
        <f>IF(OJ9&gt;0,OJ9,"")</f>
        <v/>
      </c>
      <c r="OX9" s="76" t="str">
        <f>IF(SUM(OG9:OJ9)-OK9&gt;0,SUM(OG9:OJ9)-OK9,"")</f>
        <v/>
      </c>
      <c r="OY9" s="76" t="str">
        <f>IF(SUM(OR9,OX9)&gt;0,SUM(OR9,OX9),"")</f>
        <v/>
      </c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16" t="str">
        <f>IF(PB9&gt;0,PB9,"")</f>
        <v/>
      </c>
      <c r="PU9" s="16" t="str">
        <f>IF(PC9&gt;0,PC9,"")</f>
        <v/>
      </c>
      <c r="PV9" s="16" t="str">
        <f>IF(SUM(OZ9:PC9)-PD9&gt;0,SUM(OZ9:PC9)-PD9,"")</f>
        <v/>
      </c>
      <c r="PW9" s="16" t="str">
        <f>IF(PG9&gt;0,PG9,"")</f>
        <v/>
      </c>
      <c r="PX9" s="16" t="str">
        <f>IF(PH9&gt;0,PH9,"")</f>
        <v/>
      </c>
      <c r="PY9" s="16" t="str">
        <f>IF(SUM(PE9:PH9)-PI9&gt;0,SUM(PE9:PH9)-PI9,"")</f>
        <v/>
      </c>
      <c r="PZ9" s="16" t="str">
        <f>IF(MAX(PV9,PY9)&gt;0,MAX(PV9,PY9),"")</f>
        <v/>
      </c>
      <c r="QA9" s="16" t="str">
        <f>IF(PL9&gt;0,PL9,"")</f>
        <v/>
      </c>
      <c r="QB9" s="16" t="str">
        <f>IF(PM9&gt;0,PM9,"")</f>
        <v/>
      </c>
      <c r="QC9" s="16" t="str">
        <f>IF(SUM(PJ9:PM9)-PN9&gt;0,SUM(PJ9:PM9)-PN9,"")</f>
        <v/>
      </c>
      <c r="QD9" s="16" t="str">
        <f>IF(PQ9&gt;0,PQ9,"")</f>
        <v/>
      </c>
      <c r="QE9" s="16" t="str">
        <f>IF(PR9&gt;0,PR9,"")</f>
        <v/>
      </c>
      <c r="QF9" s="16" t="str">
        <f>IF(SUM(PO9:PR9)-PS9&gt;0,SUM(PO9:PR9)-PS9,"")</f>
        <v/>
      </c>
      <c r="QG9" s="16" t="str">
        <f>IF(SUM(PZ9,QF9)&gt;0,SUM(PZ9,QF9),"")</f>
        <v/>
      </c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76" t="str">
        <f>IF(QJ9&gt;0,QJ9,"")</f>
        <v/>
      </c>
      <c r="RC9" s="76" t="str">
        <f>IF(QK9&gt;0,QK9,"")</f>
        <v/>
      </c>
      <c r="RD9" s="76" t="str">
        <f>IF(SUM(QH9:QK9)-QL9&gt;0,SUM(QH9:QK9)-QL9,"")</f>
        <v/>
      </c>
      <c r="RE9" s="76" t="str">
        <f>IF(QO9&gt;0,QO9,"")</f>
        <v/>
      </c>
      <c r="RF9" s="76" t="str">
        <f>IF(QP9&gt;0,QP9,"")</f>
        <v/>
      </c>
      <c r="RG9" s="76" t="str">
        <f>IF(SUM(QM9:QP9)-QQ9&gt;0,SUM(QM9:QP9)-QQ9,"")</f>
        <v/>
      </c>
      <c r="RH9" s="76" t="str">
        <f>IF(MAX(RD9,RG9)&gt;0,MAX(RD9,RG9),"")</f>
        <v/>
      </c>
      <c r="RI9" s="76" t="str">
        <f>IF(QT9&gt;0,QT9,"")</f>
        <v/>
      </c>
      <c r="RJ9" s="76" t="str">
        <f>IF(QU9&gt;0,QU9,"")</f>
        <v/>
      </c>
      <c r="RK9" s="76" t="str">
        <f>IF(SUM(QR9:QU9)-QV9&gt;0,SUM(QR9:QU9)-QV9,"")</f>
        <v/>
      </c>
      <c r="RL9" s="76" t="str">
        <f>IF(QY9&gt;0,QY9,"")</f>
        <v/>
      </c>
      <c r="RM9" s="76" t="str">
        <f>IF(QZ9&gt;0,QZ9,"")</f>
        <v/>
      </c>
      <c r="RN9" s="76" t="str">
        <f>IF(SUM(QW9:QZ9)-RA9&gt;0,SUM(QW9:QZ9)-RA9,"")</f>
        <v/>
      </c>
      <c r="RO9" s="76" t="str">
        <f>IF(SUM(RH9,RN9)&gt;0,SUM(RH9,RN9),"")</f>
        <v/>
      </c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16" t="str">
        <f>IF(RR9&gt;0,RR9,"")</f>
        <v/>
      </c>
      <c r="SK9" s="16" t="str">
        <f>IF(RS9&gt;0,RS9,"")</f>
        <v/>
      </c>
      <c r="SL9" s="16" t="str">
        <f>IF(SUM(RP9:RS9)-RT9&gt;0,SUM(RP9:RS9)-RT9,"")</f>
        <v/>
      </c>
      <c r="SM9" s="16" t="str">
        <f>IF(RW9&gt;0,RW9,"")</f>
        <v/>
      </c>
      <c r="SN9" s="16" t="str">
        <f>IF(RX9&gt;0,RX9,"")</f>
        <v/>
      </c>
      <c r="SO9" s="16" t="str">
        <f>IF(SUM(RU9:RX9)-RY9&gt;0,SUM(RU9:RX9)-RY9,"")</f>
        <v/>
      </c>
      <c r="SP9" s="16" t="str">
        <f>IF(MAX(SL9,SO9)&gt;0,MAX(SL9,SO9),"")</f>
        <v/>
      </c>
      <c r="SQ9" s="16" t="str">
        <f>IF(SB9&gt;0,SB9,"")</f>
        <v/>
      </c>
      <c r="SR9" s="16" t="str">
        <f>IF(SC9&gt;0,SC9,"")</f>
        <v/>
      </c>
      <c r="SS9" s="16" t="str">
        <f>IF(SUM(RZ9:SC9)-SD9&gt;0,SUM(RZ9:SC9)-SD9,"")</f>
        <v/>
      </c>
      <c r="ST9" s="16" t="str">
        <f>IF(SG9&gt;0,SG9,"")</f>
        <v/>
      </c>
      <c r="SU9" s="16" t="str">
        <f>IF(SH9&gt;0,SH9,"")</f>
        <v/>
      </c>
      <c r="SV9" s="16" t="str">
        <f>IF(SUM(SE9:SH9)-SI9&gt;0,SUM(SE9:SH9)-SI9,"")</f>
        <v/>
      </c>
      <c r="SW9" s="16" t="str">
        <f>IF(SUM(SP9,SV9)&gt;0,SUM(SP9,SV9),"")</f>
        <v/>
      </c>
      <c r="SX9" s="42">
        <f>IF($CP9="P",CA9,(CA9+AZ9)/2)</f>
        <v>12.7</v>
      </c>
      <c r="SY9" s="42">
        <f>IF($CP9="P",CB9,(CB9+BA9)/2)</f>
        <v>8.9499999999999993</v>
      </c>
      <c r="SZ9" s="42">
        <f>IF($CP9="P",CC9,(CC9+BB9)/2)</f>
        <v>12.600000000000001</v>
      </c>
      <c r="TA9" s="42">
        <f>IF($CP9="P",CD9,(CD9+BC9)/2)</f>
        <v>14.46</v>
      </c>
      <c r="TB9" s="42">
        <f>IF($CP9="P",CE9,(CE9+BD9)/2)</f>
        <v>0</v>
      </c>
      <c r="TC9" s="42">
        <f>IF($CP9="P",CF9,(CF9+BE9)/2)</f>
        <v>9.35</v>
      </c>
      <c r="TD9" s="42">
        <f>IF($CP9="P",CG9,(CG9+BF9)/2)</f>
        <v>6.8</v>
      </c>
      <c r="TE9" s="42">
        <f>IF($CP9="P",CH9,(CH9+BG9)/2)</f>
        <v>10.25</v>
      </c>
      <c r="TF9" s="42">
        <f>IF($CP9="P",CI9,(CI9+BH9)/2)</f>
        <v>10.967499999999999</v>
      </c>
      <c r="TG9" s="42">
        <f>IF($CP9="P",CJ9,(CJ9+BI9)/2)</f>
        <v>0</v>
      </c>
      <c r="TH9" s="42">
        <f>IF($CP9="P",CK9,(CK9+BJ9)/2)</f>
        <v>9.5</v>
      </c>
      <c r="TI9" s="42">
        <f>IF($CP9="P",CL9,(CL9+BK9)/2)</f>
        <v>6.8000000000000007</v>
      </c>
      <c r="TJ9" s="42">
        <f>IF($CP9="P",CM9,(CM9+BL9)/2)</f>
        <v>9.8999999999999986</v>
      </c>
      <c r="TK9" s="42">
        <f>IF($CP9="P",CN9,(CN9+BM9)/2)</f>
        <v>11.14</v>
      </c>
      <c r="TL9" s="42">
        <f>IF($CP9="P",CO9,(CO9+BN9)/2)</f>
        <v>0</v>
      </c>
      <c r="TM9" s="51" t="s">
        <v>61</v>
      </c>
      <c r="TN9" s="76">
        <f>IF(SZ9&gt;0,SZ9,"")</f>
        <v>12.600000000000001</v>
      </c>
      <c r="TO9" s="76">
        <f>IF(TA9&gt;0,TA9,"")</f>
        <v>14.46</v>
      </c>
      <c r="TP9" s="76">
        <f>IF(SUM(SX9:TA9)-TB9&gt;0,SUM(SX9:TA9)-TB9,"")</f>
        <v>48.71</v>
      </c>
      <c r="TQ9" s="76">
        <f>IF(TE9&gt;0,TE9,"")</f>
        <v>10.25</v>
      </c>
      <c r="TR9" s="76">
        <f>IF(TF9&gt;0,TF9,"")</f>
        <v>10.967499999999999</v>
      </c>
      <c r="TS9" s="76">
        <f>IF(SUM(TC9:TF9)-TG9&gt;0,SUM(TC9:TF9)-TG9,"")</f>
        <v>37.3675</v>
      </c>
      <c r="TT9" s="76">
        <f>IF(MAX(TP9,TS9)&gt;0,MAX(TP9,TS9),"")</f>
        <v>48.71</v>
      </c>
      <c r="TU9" s="76">
        <f>IF(TJ9&gt;0,TJ9,"")</f>
        <v>9.8999999999999986</v>
      </c>
      <c r="TV9" s="76">
        <f>IF(TK9&gt;0,TK9,"")</f>
        <v>11.14</v>
      </c>
      <c r="TW9" s="76">
        <f>IF(SUM(TH9:TK9)-TL9&gt;0,SUM(TH9:TK9)-TL9,"")</f>
        <v>37.340000000000003</v>
      </c>
      <c r="TX9" s="76">
        <f>IF(SUM(TT9,TW9)&gt;0,SUM(TT9,TW9),"")</f>
        <v>86.050000000000011</v>
      </c>
    </row>
    <row r="10" spans="1:544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18">
        <v>2002</v>
      </c>
      <c r="E10" s="14">
        <f>SUM(J10:V10)+SUM(J10:T10)*0.0000001+SUM(J10)*0.0000000000001</f>
        <v>229.50502295050509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Z10&gt;=EM$17,DZ10&lt;&gt;"",EB10&gt;=EM$21,EB10&lt;&gt;""),AND(EC10&gt;=EM$17,EC10&lt;&gt;"",EE10&gt;=EM$21,EE10&lt;&gt;""),AND(EG10&gt;=EM$17,EG10&lt;&gt;"",EI10&gt;=EM$21,EI10&lt;&gt;""),AND(EJ10&gt;=EM$17,EJ10&lt;&gt;"",EL10&gt;=EM$21,EL10&lt;&gt;""),AND(FH10&gt;=FU$17,FH10&lt;&gt;"",FJ10&gt;=FU$21,FJ10&lt;&gt;""),AND(FK10&gt;=FU$17,FK10&lt;&gt;"",FM10&gt;=FU$21,FM10&lt;&gt;""),AND(FO10&gt;=FU$17,FO10&lt;&gt;"",FQ10&gt;=FU$21,FQ10&lt;&gt;""),AND(FR10&gt;=FU$17,FR10&lt;&gt;"",FT10&gt;=FU$21,FT10&lt;&gt;""),AND(GP10&gt;=HC$17,GP10&lt;&gt;"",GR10&gt;=HC$21,GR10&lt;&gt;""),AND(GS10&gt;=HC$17,GS10&lt;&gt;"",GU10&gt;=HC$21,GU10&lt;&gt;""),AND(GW10&gt;=HC$17,GW10&lt;&gt;"",GY10&gt;=HC$21,GY10&lt;&gt;""),AND(GZ10&gt;=HC$17,GZ10&lt;&gt;"",HB10&gt;=HC$21,HB10&lt;&gt;""),AND(HX10&gt;=IK$17,HX10&lt;&gt;"",HZ10&gt;=IK$21,HZ10&lt;&gt;""),AND(IA10&gt;=IK$17,IA10&lt;&gt;"",IC10&gt;=IK$21,IC10&lt;&gt;""),AND(IE10&gt;=IK$17,IE10&lt;&gt;"",IG10&gt;=IK$21,IG10&lt;&gt;""),AND(IH10&gt;=IK$17,IH10&lt;&gt;"",IJ10&gt;=IK$21,IJ10&lt;&gt;""),AND(JF10&gt;=JS$17,JF10&lt;&gt;"",JH10&gt;=JS$21,JH10&lt;&gt;""),AND(JI10&gt;=JS$17,JI10&lt;&gt;"",JK10&gt;=JS$21,JK10&lt;&gt;""),AND(JM10&gt;=JS$17,JM10&lt;&gt;"",JO10&gt;=JS$21,JO10&lt;&gt;""),AND(JP10&gt;=JS$17,JP10&lt;&gt;"",JR10&gt;=JS$21,JR10&lt;&gt;""),AND(KN10&gt;=LA$17,KN10&lt;&gt;"",KP10&gt;=LA$21,KP10&lt;&gt;""),AND(KQ10&gt;=LA$17,KQ10&lt;&gt;"",KS10&gt;=LA$21,KS10&lt;&gt;""),AND(KU10&gt;=LA$17,KU10&lt;&gt;"",KW10&gt;=LA$21,KW10&lt;&gt;""),AND(KX10&gt;=LA$17,KX10&lt;&gt;"",KZ10&gt;=LA$21,KZ10&lt;&gt;""),AND(LV10&gt;=MI$17,LV10&lt;&gt;"",LX10&gt;=MI$21,LX10&lt;&gt;""),AND(LY10&gt;=MI$17,LY10&lt;&gt;"",MA10&gt;=MI$21,MA10&lt;&gt;""),AND(MC10&gt;=MI$17,MC10&lt;&gt;"",ME10&gt;=MI$21,ME10&lt;&gt;""),AND(MF10&gt;=MI$17,MF10&lt;&gt;"",MH10&gt;=MI$21,MH10&lt;&gt;""),AND(ND10&gt;=NQ$17,ND10&lt;&gt;"",NF10&gt;=NQ$21,NF10&lt;&gt;""),AND(NG10&gt;=NQ$17,NG10&lt;&gt;"",NI10&gt;=NQ$21,NI10&lt;&gt;""),AND(NK10&gt;=NQ$17,NK10&lt;&gt;"",NM10&gt;=NQ$21,NM10&lt;&gt;""),AND(NN10&gt;=NQ$17,NN10&lt;&gt;"",NP10&gt;=NQ$21,NP10&lt;&gt;""),AND(OL10&gt;=OY$17,OL10&lt;&gt;"",ON10&gt;=OY$21,ON10&lt;&gt;""),AND(OO10&gt;=OY$17,OO10&lt;&gt;"",OQ10&gt;=OY$21,OQ10&lt;&gt;""),AND(OS10&gt;=OY$17,OS10&lt;&gt;"",OU10&gt;=OY$21,OU10&lt;&gt;""),AND(OV10&gt;=OY$17,OV10&lt;&gt;"",OX10&gt;=OY$21,OX10&lt;&gt;""),AND(PT10&gt;=QG$17,PT10&lt;&gt;"",PV10&gt;=QG$21,PV10&lt;&gt;""),AND(PW10&gt;=QG$17,PW10&lt;&gt;"",PY10&gt;=QG$21,PY10&lt;&gt;""),AND(QA10&gt;=QG$17,QA10&lt;&gt;"",QC10&gt;=QG$21,QC10&lt;&gt;""),AND(QD10&gt;=QG$17,QD10&lt;&gt;"",QF10&gt;=QG$21,QF10&lt;&gt;""),AND(RB10&gt;=RO$17,RB10&lt;&gt;"",RD10&gt;=RO$21,RD10&lt;&gt;""),AND(RE10&gt;=RO$17,RE10&lt;&gt;"",RG10&gt;=RO$21,RG10&lt;&gt;""),AND(RI10&gt;=RO$17,RI10&lt;&gt;"",RK10&gt;=RO$21,RK10&lt;&gt;""),AND(RL10&gt;=RO$17,RL10&lt;&gt;"",RN10&gt;=RO$21,RN10&lt;&gt;""),AND(SJ10&gt;=SW$17,SJ10&lt;&gt;"",SL10&gt;=SW$21,SL10&lt;&gt;""),AND(SM10&gt;=SW$17,SM10&lt;&gt;"",SO10&gt;=SW$21,SO10&lt;&gt;""),AND(SQ10&gt;=SW$17,SQ10&lt;&gt;"",SS10&gt;=SW$21,SS10&lt;&gt;""),AND(ST10&gt;=SW$17,ST10&lt;&gt;"",SV10&gt;=SW$21,SV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EB10&gt;=EM$21,EB10&lt;&gt;""),AND(EE10&gt;=EM$21,EE10&lt;&gt;""),AND(EI10&gt;=EM$21,EI10&lt;&gt;""),AND(EL10&gt;=EM$21,EL10&lt;&gt;""),AND(FJ10&gt;=FU$21,FJ10&lt;&gt;""),AND(FM10&gt;=FU$21,FM10&lt;&gt;""),AND(FQ10&gt;=FU$21,FQ10&lt;&gt;""),AND(FT10&gt;=FU$21,FT10&lt;&gt;""),AND(GR10&gt;=HC$21,GR10&lt;&gt;""),AND(GU10&gt;=HC$21,GU10&lt;&gt;""),AND(GY10&gt;=HC$21,GY10&lt;&gt;""),AND(HB10&gt;=HC$21,HB10&lt;&gt;""),AND(HZ10&gt;=IK$21,HZ10&lt;&gt;""),AND(IC10&gt;=IK$21,IC10&lt;&gt;""),AND(IG10&gt;=IK$21,IG10&lt;&gt;""),AND(IJ10&gt;=IK$21,IJ10&lt;&gt;""),AND(JH10&gt;=JS$21,JH10&lt;&gt;""),AND(JK10&gt;=JS$21,JK10&lt;&gt;""),AND(JO10&gt;=JS$21,JO10&lt;&gt;""),AND(JR10&gt;=JS$21,JR10&lt;&gt;""),AND(KP10&gt;=LA$21,KP10&lt;&gt;""),AND(KS10&gt;=LA$21,KS10&lt;&gt;""),AND(KW10&gt;=LA$21,KW10&lt;&gt;""),AND(KZ10&gt;=LA$21,KZ10&lt;&gt;""),AND(LX10&gt;=MI$21,LX10&lt;&gt;""),AND(MA10&gt;=MI$21,MA10&lt;&gt;""),AND(ME10&gt;=MI$21,ME10&lt;&gt;""),AND(MH10&gt;=MI$21,MH10&lt;&gt;""),AND(NF10&gt;=NQ$21,NF10&lt;&gt;""),AND(NI10&gt;=NQ$21,NI10&lt;&gt;""),AND(NM10&gt;=NQ$21,NM10&lt;&gt;""),AND(NP10&gt;=NQ$21,NP10&lt;&gt;""),AND(ON10&gt;=OY$21,ON10&lt;&gt;""),AND(OQ10&gt;=OY$21,OQ10&lt;&gt;""),AND(OU10&gt;=OY$21,OU10&lt;&gt;""),AND(OX10&gt;=OY$21,OX10&lt;&gt;""),AND(PV10&gt;=QG$21,PV10&lt;&gt;""),AND(PY10&gt;=QG$21,PY10&lt;&gt;""),AND(QC10&gt;=QG$21,QC10&lt;&gt;""),AND(QF10&gt;=QG$21,QF10&lt;&gt;""),AND(RD10&gt;=RO$21,RD10&lt;&gt;""),AND(RG10&gt;=RO$21,RG10&lt;&gt;""),AND(RK10&gt;=RO$21,RK10&lt;&gt;""),AND(RN10&gt;=RO$21,RN10&lt;&gt;""),AND(SL10&gt;=SW$21,SL10&lt;&gt;""),AND(SO10&gt;=SW$21,SO10&lt;&gt;""),AND(SS10&gt;=SW$21,SS10&lt;&gt;""),AND(SV10&gt;=SW$21,SV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Z10&gt;=EM$20,DZ10&lt;&gt;"",EB10&gt;=EM$24,EB10&lt;&gt;""),AND(EC10&gt;=EM$20,EC10&lt;&gt;"",EE10&gt;=EM$24,EE10&lt;&gt;""),AND(EG10&gt;=EM$20,EG10&lt;&gt;"",EI10&gt;=EM$24,EI10&lt;&gt;""),AND(EJ10&gt;=EM$20,EJ10&lt;&gt;"",EL10&gt;=EM$24,EL10&lt;&gt;""),AND(FH10&gt;=FU$20,FH10&lt;&gt;"",FJ10&gt;=FU$24,FJ10&lt;&gt;""),AND(FK10&gt;=FU$20,FK10&lt;&gt;"",FM10&gt;=FU$24,FM10&lt;&gt;""),AND(FO10&gt;=FU$20,FO10&lt;&gt;"",FQ10&gt;=FU$24,FQ10&lt;&gt;""),AND(FR10&gt;=FU$20,FR10&lt;&gt;"",FT10&gt;=FU$24,FT10&lt;&gt;""),AND(GP10&gt;=HC$20,GP10&lt;&gt;"",GR10&gt;=HC$24,GR10&lt;&gt;""),AND(GS10&gt;=HC$20,GS10&lt;&gt;"",GU10&gt;=HC$24,GU10&lt;&gt;""),AND(GW10&gt;=HC$20,GW10&lt;&gt;"",GY10&gt;=HC$24,GY10&lt;&gt;""),AND(GZ10&gt;=HC$20,GZ10&lt;&gt;"",HB10&gt;=HC$24,HB10&lt;&gt;""),AND(HX10&gt;=IK$20,HX10&lt;&gt;"",HZ10&gt;=IK$24,HZ10&lt;&gt;""),AND(IA10&gt;=IK$20,IA10&lt;&gt;"",IC10&gt;=IK$24,IC10&lt;&gt;""),AND(IE10&gt;=IK$20,IE10&lt;&gt;"",IG10&gt;=IK$24,IG10&lt;&gt;""),AND(IH10&gt;=IK$20,IH10&lt;&gt;"",IJ10&gt;=IK$24,IJ10&lt;&gt;""),AND(JF10&gt;=JS$20,JF10&lt;&gt;"",JH10&gt;=JS$24,JH10&lt;&gt;""),AND(JI10&gt;=JS$20,JI10&lt;&gt;"",JK10&gt;=JS$24,JK10&lt;&gt;""),AND(JM10&gt;=JS$20,JM10&lt;&gt;"",JO10&gt;=JS$24,JO10&lt;&gt;""),AND(JP10&gt;=JS$20,JP10&lt;&gt;"",JR10&gt;=JS$24,JR10&lt;&gt;""),AND(KN10&gt;=LA$20,KN10&lt;&gt;"",KP10&gt;=LA$24,KP10&lt;&gt;""),AND(KQ10&gt;=LA$20,KQ10&lt;&gt;"",KS10&gt;=LA$24,KS10&lt;&gt;""),AND(KU10&gt;=LA$20,KU10&lt;&gt;"",KW10&gt;=LA$24,KW10&lt;&gt;""),AND(KX10&gt;=LA$20,KX10&lt;&gt;"",KZ10&gt;=LA$24,KZ10&lt;&gt;""),AND(LV10&gt;=MI$20,LV10&lt;&gt;"",LX10&gt;=MI$24,LX10&lt;&gt;""),AND(LY10&gt;=MI$20,LY10&lt;&gt;"",MA10&gt;=MI$24,MA10&lt;&gt;""),AND(MC10&gt;=MI$20,MC10&lt;&gt;"",ME10&gt;=MI$24,ME10&lt;&gt;""),AND(MF10&gt;=MI$20,MF10&lt;&gt;"",MH10&gt;=MI$24,MH10&lt;&gt;""),AND(ND10&gt;=NQ$20,ND10&lt;&gt;"",NF10&gt;=NQ$24,NF10&lt;&gt;""),AND(NG10&gt;=NQ$20,NG10&lt;&gt;"",NI10&gt;=NQ$24,NI10&lt;&gt;""),AND(NK10&gt;=NQ$20,NK10&lt;&gt;"",NM10&gt;=NQ$24,NM10&lt;&gt;""),AND(NN10&gt;=NQ$20,NN10&lt;&gt;"",NP10&gt;=NQ$24,NP10&lt;&gt;""),AND(OL10&gt;=OY$20,OL10&lt;&gt;"",ON10&gt;=OY$24,ON10&lt;&gt;""),AND(OO10&gt;=OY$20,OO10&lt;&gt;"",OQ10&gt;=OY$24,OQ10&lt;&gt;""),AND(OS10&gt;=OY$20,OS10&lt;&gt;"",OU10&gt;=OY$24,OU10&lt;&gt;""),AND(OV10&gt;=OY$20,OV10&lt;&gt;"",OX10&gt;=OY$24,OX10&lt;&gt;""),AND(PT10&gt;=QG$20,PT10&lt;&gt;"",PV10&gt;=QG$24,PV10&lt;&gt;""),AND(PW10&gt;=QG$20,PW10&lt;&gt;"",PY10&gt;=QG$24,PY10&lt;&gt;""),AND(QA10&gt;=QG$20,QA10&lt;&gt;"",QC10&gt;=QG$24,QC10&lt;&gt;""),AND(QD10&gt;=QG$20,QD10&lt;&gt;"",QF10&gt;=QG$24,QF10&lt;&gt;""),AND(RB10&gt;=RO$20,RB10&lt;&gt;"",RD10&gt;=RO$24,RD10&lt;&gt;""),AND(RE10&gt;=RO$20,RE10&lt;&gt;"",RG10&gt;=RO$24,RG10&lt;&gt;""),AND(RI10&gt;=RO$20,RI10&lt;&gt;"",RK10&gt;=RO$24,RK10&lt;&gt;""),AND(RL10&gt;=RO$20,RL10&lt;&gt;"",RN10&gt;=RO$24,RN10&lt;&gt;""),AND(SJ10&gt;=SW$20,SJ10&lt;&gt;"",SL10&gt;=SW$24,SL10&lt;&gt;""),AND(SM10&gt;=SW$20,SM10&lt;&gt;"",SO10&gt;=SW$24,SO10&lt;&gt;""),AND(SQ10&gt;=SW$20,SQ10&lt;&gt;"",SS10&gt;=SW$24,SS10&lt;&gt;""),AND(ST10&gt;=SW$20,ST10&lt;&gt;"",SV10&gt;=SW$24,SV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Z10&gt;=EM$19,DZ10&lt;&gt;"",EB10&gt;=EM$23,EB10&lt;&gt;""),AND(EC10&gt;=EM$19,EC10&lt;&gt;"",EE10&gt;=EM$23,EE10&lt;&gt;""),AND(EG10&gt;=EM$19,EG10&lt;&gt;"",EI10&gt;=EM$23,EI10&lt;&gt;""),AND(EJ10&gt;=EM$19,EJ10&lt;&gt;"",EL10&gt;=EM$23,EL10&lt;&gt;""),AND(FH10&gt;=FU$19,FH10&lt;&gt;"",FJ10&gt;=FU$23,FJ10&lt;&gt;""),AND(FK10&gt;=FU$19,FK10&lt;&gt;"",FM10&gt;=FU$23,FM10&lt;&gt;""),AND(FO10&gt;=FU$19,FO10&lt;&gt;"",FQ10&gt;=FU$23,FQ10&lt;&gt;""),AND(FR10&gt;=FU$19,FR10&lt;&gt;"",FT10&gt;=FU$23,FT10&lt;&gt;""),AND(GP10&gt;=HC$19,GP10&lt;&gt;"",GR10&gt;=HC$23,GR10&lt;&gt;""),AND(GS10&gt;=HC$19,GS10&lt;&gt;"",GU10&gt;=HC$23,GU10&lt;&gt;""),AND(GW10&gt;=HC$19,GW10&lt;&gt;"",GY10&gt;=HC$23,GY10&lt;&gt;""),AND(GZ10&gt;=HC$19,GZ10&lt;&gt;"",HB10&gt;=HC$23,HB10&lt;&gt;""),AND(HX10&gt;=IK$19,HX10&lt;&gt;"",HZ10&gt;=IK$23,HZ10&lt;&gt;""),AND(IA10&gt;=IK$19,IA10&lt;&gt;"",IC10&gt;=IK$23,IC10&lt;&gt;""),AND(IE10&gt;=IK$19,IE10&lt;&gt;"",IG10&gt;=IK$23,IG10&lt;&gt;""),AND(IH10&gt;=IK$19,IH10&lt;&gt;"",IJ10&gt;=IK$23,IJ10&lt;&gt;""),AND(JF10&gt;=JS$19,JF10&lt;&gt;"",JH10&gt;=JS$23,JH10&lt;&gt;""),AND(JI10&gt;=JS$19,JI10&lt;&gt;"",JK10&gt;=JS$23,JK10&lt;&gt;""),AND(JM10&gt;=JS$19,JM10&lt;&gt;"",JO10&gt;=JS$23,JO10&lt;&gt;""),AND(JP10&gt;=JS$19,JP10&lt;&gt;"",JR10&gt;=JS$23,JR10&lt;&gt;""),AND(KN10&gt;=LA$19,KN10&lt;&gt;"",KP10&gt;=LA$23,KP10&lt;&gt;""),AND(KQ10&gt;=LA$19,KQ10&lt;&gt;"",KS10&gt;=LA$23,KS10&lt;&gt;""),AND(KU10&gt;=LA$19,KU10&lt;&gt;"",KW10&gt;=LA$23,KW10&lt;&gt;""),AND(KX10&gt;=LA$19,KX10&lt;&gt;"",KZ10&gt;=LA$23,KZ10&lt;&gt;""),AND(LV10&gt;=MI$19,LV10&lt;&gt;"",LX10&gt;=MI$23,LX10&lt;&gt;""),AND(LY10&gt;=MI$19,LY10&lt;&gt;"",MA10&gt;=MI$23,MA10&lt;&gt;""),AND(MC10&gt;=MI$19,MC10&lt;&gt;"",ME10&gt;=MI$23,ME10&lt;&gt;""),AND(MF10&gt;=MI$19,MF10&lt;&gt;"",MH10&gt;=MI$23,MH10&lt;&gt;""),AND(ND10&gt;=NQ$19,ND10&lt;&gt;"",NF10&gt;=NQ$23,NF10&lt;&gt;""),AND(NG10&gt;=NQ$19,NG10&lt;&gt;"",NI10&gt;=NQ$23,NI10&lt;&gt;""),AND(NK10&gt;=NQ$19,NK10&lt;&gt;"",NM10&gt;=NQ$23,NM10&lt;&gt;""),AND(NN10&gt;=NQ$19,NN10&lt;&gt;"",NP10&gt;=NQ$23,NP10&lt;&gt;""),AND(OL10&gt;=OY$19,OL10&lt;&gt;"",ON10&gt;=OY$23,ON10&lt;&gt;""),AND(OO10&gt;=OY$19,OO10&lt;&gt;"",OQ10&gt;=OY$23,OQ10&lt;&gt;""),AND(OS10&gt;=OY$19,OS10&lt;&gt;"",OU10&gt;=OY$23,OU10&lt;&gt;""),AND(OV10&gt;=OY$19,OV10&lt;&gt;"",OX10&gt;=OY$23,OX10&lt;&gt;""),AND(PT10&gt;=QG$19,PT10&lt;&gt;"",PV10&gt;=QG$23,PV10&lt;&gt;""),AND(PW10&gt;=QG$19,PW10&lt;&gt;"",PY10&gt;=QG$23,PY10&lt;&gt;""),AND(QA10&gt;=QG$19,QA10&lt;&gt;"",QC10&gt;=QG$23,QC10&lt;&gt;""),AND(QD10&gt;=QG$19,QD10&lt;&gt;"",QF10&gt;=QG$23,QF10&lt;&gt;""),AND(RB10&gt;=RO$19,RB10&lt;&gt;"",RD10&gt;=RO$23,RD10&lt;&gt;""),AND(RE10&gt;=RO$19,RE10&lt;&gt;"",RG10&gt;=RO$23,RG10&lt;&gt;""),AND(RI10&gt;=RO$19,RI10&lt;&gt;"",RK10&gt;=RO$23,RK10&lt;&gt;""),AND(RL10&gt;=RO$19,RL10&lt;&gt;"",RN10&gt;=RO$23,RN10&lt;&gt;""),AND(SJ10&gt;=SW$19,SJ10&lt;&gt;"",SL10&gt;=SW$23,SL10&lt;&gt;""),AND(SM10&gt;=SW$19,SM10&lt;&gt;"",SO10&gt;=SW$23,SO10&lt;&gt;""),AND(SQ10&gt;=SW$19,SQ10&lt;&gt;"",SS10&gt;=SW$23,SS10&lt;&gt;""),AND(ST10&gt;=SW$19,ST10&lt;&gt;"",SV10&gt;=SW$23,SV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Z10&gt;=EM$18,DZ10&lt;&gt;"",EB10&gt;=EM$22,EB10&lt;&gt;""),AND(EC10&gt;=EM$18,EC10&lt;&gt;"",EE10&gt;=EM$22,EE10&lt;&gt;""),AND(EG10&gt;=EM$18,EG10&lt;&gt;"",EI10&gt;=EM$22,EI10&lt;&gt;""),AND(EJ10&gt;=EM$18,EJ10&lt;&gt;"",EL10&gt;=EM$22,EL10&lt;&gt;""),AND(FH10&gt;=FU$18,FH10&lt;&gt;"",FJ10&gt;=FU$22,FJ10&lt;&gt;""),AND(FK10&gt;=FU$18,FK10&lt;&gt;"",FM10&gt;=FU$22,FM10&lt;&gt;""),AND(FO10&gt;=FU$18,FO10&lt;&gt;"",FQ10&gt;=FU$22,FQ10&lt;&gt;""),AND(FR10&gt;=FU$18,FR10&lt;&gt;"",FT10&gt;=FU$22,FT10&lt;&gt;""),AND(GP10&gt;=HC$18,GP10&lt;&gt;"",GR10&gt;=HC$22,GR10&lt;&gt;""),AND(GS10&gt;=HC$18,GS10&lt;&gt;"",GU10&gt;=HC$22,GU10&lt;&gt;""),AND(GW10&gt;=HC$18,GW10&lt;&gt;"",GY10&gt;=HC$22,GY10&lt;&gt;""),AND(GZ10&gt;=HC$18,GZ10&lt;&gt;"",HB10&gt;=HC$22,HB10&lt;&gt;""),AND(HX10&gt;=IK$18,HX10&lt;&gt;"",HZ10&gt;=IK$22,HZ10&lt;&gt;""),AND(IA10&gt;=IK$18,IA10&lt;&gt;"",IC10&gt;=IK$22,IC10&lt;&gt;""),AND(IE10&gt;=IK$18,IE10&lt;&gt;"",IG10&gt;=IK$22,IG10&lt;&gt;""),AND(IH10&gt;=IK$18,IH10&lt;&gt;"",IJ10&gt;=IK$22,IJ10&lt;&gt;""),AND(JF10&gt;=JS$18,JF10&lt;&gt;"",JH10&gt;=JS$22,JH10&lt;&gt;""),AND(JI10&gt;=JS$18,JI10&lt;&gt;"",JK10&gt;=JS$22,JK10&lt;&gt;""),AND(JM10&gt;=JS$18,JM10&lt;&gt;"",JO10&gt;=JS$22,JO10&lt;&gt;""),AND(JP10&gt;=JS$18,JP10&lt;&gt;"",JR10&gt;=JS$22,JR10&lt;&gt;""),AND(KN10&gt;=LA$18,KN10&lt;&gt;"",KP10&gt;=LA$22,KP10&lt;&gt;""),AND(KQ10&gt;=LA$18,KQ10&lt;&gt;"",KS10&gt;=LA$22,KS10&lt;&gt;""),AND(KU10&gt;=LA$18,KU10&lt;&gt;"",KW10&gt;=LA$22,KW10&lt;&gt;""),AND(KX10&gt;=LA$18,KX10&lt;&gt;"",KZ10&gt;=LA$22,KZ10&lt;&gt;""),AND(LV10&gt;=MI$18,LV10&lt;&gt;"",LX10&gt;=MI$22,LX10&lt;&gt;""),AND(LY10&gt;=MI$18,LY10&lt;&gt;"",MA10&gt;=MI$22,MA10&lt;&gt;""),AND(MC10&gt;=MI$18,MC10&lt;&gt;"",ME10&gt;=MI$22,ME10&lt;&gt;""),AND(MF10&gt;=MI$18,MF10&lt;&gt;"",MH10&gt;=MI$22,MH10&lt;&gt;""),AND(ND10&gt;=NQ$18,ND10&lt;&gt;"",NF10&gt;=NQ$22,NF10&lt;&gt;""),AND(NG10&gt;=NQ$18,NG10&lt;&gt;"",NI10&gt;=NQ$22,NI10&lt;&gt;""),AND(NK10&gt;=NQ$18,NK10&lt;&gt;"",NM10&gt;=NQ$22,NM10&lt;&gt;""),AND(NN10&gt;=NQ$18,NN10&lt;&gt;"",NP10&gt;=NQ$22,NP10&lt;&gt;""),AND(OL10&gt;=OY$18,OL10&lt;&gt;"",ON10&gt;=OY$22,ON10&lt;&gt;""),AND(OO10&gt;=OY$18,OO10&lt;&gt;"",OQ10&gt;=OY$22,OQ10&lt;&gt;""),AND(OS10&gt;=OY$18,OS10&lt;&gt;"",OU10&gt;=OY$22,OU10&lt;&gt;""),AND(OV10&gt;=OY$18,OV10&lt;&gt;"",OX10&gt;=OY$22,OX10&lt;&gt;""),AND(PT10&gt;=QG$18,PT10&lt;&gt;"",PV10&gt;=QG$22,PV10&lt;&gt;""),AND(PW10&gt;=QG$18,PW10&lt;&gt;"",PY10&gt;=QG$22,PY10&lt;&gt;""),AND(QA10&gt;=QG$18,QA10&lt;&gt;"",QC10&gt;=QG$22,QC10&lt;&gt;""),AND(QD10&gt;=QG$18,QD10&lt;&gt;"",QF10&gt;=QG$22,QF10&lt;&gt;""),AND(RB10&gt;=RO$18,RB10&lt;&gt;"",RD10&gt;=RO$22,RD10&lt;&gt;""),AND(RE10&gt;=RO$18,RE10&lt;&gt;"",RG10&gt;=RO$22,RG10&lt;&gt;""),AND(RI10&gt;=RO$18,RI10&lt;&gt;"",RK10&gt;=RO$22,RK10&lt;&gt;""),AND(RL10&gt;=RO$18,RL10&lt;&gt;"",RN10&gt;=RO$22,RN10&lt;&gt;""),AND(SJ10&gt;=SW$18,SJ10&lt;&gt;"",SL10&gt;=SW$22,SL10&lt;&gt;""),AND(SM10&gt;=SW$18,SM10&lt;&gt;"",SO10&gt;=SW$22,SO10&lt;&gt;""),AND(SQ10&gt;=SW$18,SQ10&lt;&gt;"",SS10&gt;=SW$22,SS10&lt;&gt;""),AND(ST10&gt;=SW$18,ST10&lt;&gt;"",SV10&gt;=SW$22,SV10&lt;&gt;"")),"P","")</f>
        <v/>
      </c>
      <c r="J10" s="13">
        <f>IF(COUNT(AQ10,AT10,BR10,BU10,CS10,CV10)&gt;0,LARGE((AQ10,AT10,BR10,BU10,CS10,CV10),1),0)</f>
        <v>50.795000000000002</v>
      </c>
      <c r="K10" s="13" t="str">
        <f>IF(J10="","",IF(OR(J10=CS10,J10=CV10),$CA$1,IF(OR(J10=BR10,J10=BU10),$AZ$1,IF(OR(J10=AQ10,J10=AT10),$Y$1,""))))</f>
        <v>2021 Elite Canada</v>
      </c>
      <c r="L10" s="13">
        <f>IF(COUNT(AQ10,AT10,BR10,BU10,CS10,CV10)&gt;1,LARGE((AQ10,AT10,BR10,BU10,CS10,CV10),2),0)</f>
        <v>50.564999999999998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49.774999999999999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51.075000000000003</v>
      </c>
      <c r="Q10" s="13" t="str">
        <f>IF(P10="","",IF(P10=CZ10,$CA$1,IF(P10=BY10,$AZ$1,IF(P10=AX10,$Y$1,""))))</f>
        <v>2022 Elite Canada</v>
      </c>
      <c r="R10" s="13">
        <f>IF(MAX(AO10,AR10,AV10,BP10,BS10,BW10,CQ10,CT10,CX10)&gt;0,MAX(AO10,AR10,BP10,BS10,CQ10,CT10,AV10),0)</f>
        <v>12.9</v>
      </c>
      <c r="S10" s="13" t="str">
        <f>IF(R10=0,"",IF(OR(R10=CQ10,R10=CT10,R10=CX10),$CA$1,IF(OR(R10=BP10,R10=BS10,R10=BW10),$AZ$1,IF(OR(R10=AO10,R10=AR10,R10=AV10),$Y$1,""))))</f>
        <v>2022 Elite Canada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),0)</f>
        <v>14.395</v>
      </c>
      <c r="U10" s="13" t="str">
        <f>IF(T10=0,"",IF(OR(T10=CR10,T10=CU10,T10=CY10),$CA$1,IF(OR(T10=BQ10,T10=BT10,T10=BX10),$AZ$1,IF(OR(T10=AP10,T10=AS10,T10=AW10),$Y$1,""))))</f>
        <v>2021 Elite Canada</v>
      </c>
      <c r="V10" s="13" t="str">
        <f>IF(MAX(DB10,DC10,DD10,DE10)&gt;0,MAX(DB10,DC10,DD10,DE10),"")</f>
        <v/>
      </c>
      <c r="W10" s="16" t="str">
        <f>IF(V10="","",IF(V10=DB10,"("&amp;DB$2&amp;")",IF(V10=DC10,"("&amp;DC$2&amp;")",IF(V10=DD10,"("&amp;DD$2&amp;")",IF(V10=DE10,"("&amp;DE$2&amp;")")))))</f>
        <v/>
      </c>
      <c r="X10" s="13" t="str">
        <f>IF(V10="","",IF(V10=DB10,IF(V10+IF(L10="",0,L10)=SP10,$RP$1,IF(V10+IF(L10="",0,L10)=RH10,$QH$1,IF(V10+IF(L10="",0,L10)=PZ10,$OZ$1,IF(V10+IF(L10="",0,L10)=OR10,$NR$1,IF(V10+IF(L10="",0,L10)=NJ10,$MJ$1,IF(V10+IF(L10="",0,L10)=MB10,$LB$1,IF(V10+IF(L10="",0,L10)=KT10,$JT$1,IF(V10+IF(L10="",0,L10)=JL10,$IL$1,IF(V10+IF(L10="",0,L10)=ID10,$HD$1,IF(V10+IF(L10="",0,L10)=GV10,$FV$1,IF(V10+IF(L10="",0,L10)=FN10,$EN$1,IF(V10+IF(L10="",0,L10)=EF10,$DF$1)))))))))))),IF(V10=DC10,IF(V10+IF(P10="",0,P10)=SV10,$RP$1,IF(V10+IF(P10="",0,P10)=RN10,$QH$1,IF(V10+IF(P10="",0,P10)=QF10,$OZ$1,IF(V10+IF(P10="",0,P10)=OX10,$NR$1,IF(V10+IF(P10="",0,P10)=NP10,$MJ$1,IF(V10+IF(P10="",0,P10)=MH10,$LB$1,IF(V10+IF(P10="",0,P10)=KZ10,$JT$1,IF(V10+IF(P10="",0,P10)=JR10,$IL$1,IF(V10+IF(P10="",0,P10)=IJ10,$HD$1,IF(V10+IF(P10="",0,P10)=HB10,$FV$1,IF(V10+IF(P10="",0,P10)=FT10,$EN$1,IF(V10+IF(P10="",0,P10)=EL10,$DF$1)))))))))))),IF(V10=DD10,IF(V10+IF(R10="",0,R10)=MAX(SJ10,SM10,SQ10,ST10),$RP$1,IF(V10+IF(R10="",0,R10)=MAX(RB10,RE10,RI10,RL10),$QH$1,IF(V10+IF(R10="",0,R10)=MAX(PT10,PW10,QA10,QD10),$OZ$1,IF(V10+IF(R10="",0,R10)=MAX(OL10,OO10,OS10,OV10),$NR$1,IF(V10+IF(R10="",0,R10)=MAX(ND10,NG10,NK10,NN10),$MJ$1,IF(V10+IF(R10="",0,R10)=MAX(LV10,LY10,MC10,MF10),$LB$1,IF(V10+IF(R10="",0,R10)=MAX(KN10,KQ10,KU10,KX10),$JT$1,IF(V10+IF(R10="",0,R10)=MAX(JF10,JI10,JM10,JP10),$IL$1,IF(V10+IF(R10="",0,R10)=MAX(HX10,IA10,IE10,IH10),$HD$1,IF(V10+IF(R10="",0,R10)=MAX(GP10,GS10,GW10,GZ10),$FV$1,IF(V10+IF(R10="",0,R10)=MAX(FH10,FK10,FO10,FR10),$EN$1,IF(V10+IF(R10="",0,R10)=MAX(DZ10,EC10,EG10,EJ10),$DF$1)))))))))))),IF(V10=DE10,IF(V10+IF(T10="",0,T10)=MAX(SK10,SN10,SR10,SU10),$RP$1,IF(V10+IF(T10="",0,T10)=MAX(RC10,RF10,RJ10,RM10),$QH$1,IF(V10+IF(T10="",0,T10)=MAX(PU10,PX10,QB10,QE10),$OZ$1,IF(V10+IF(T10="",0,T10)=MAX(OM10,OP10,OT10,OW10),$NR$1,IF(V10+IF(T10="",0,T10)=MAX(NE10,NH10,NL10,NO10),$MJ$1,IF(V10+IF(T10="",0,T10)=MAX(LW10,LZ10,MD10,MG10),$LB$1,IF(V10+IF(T10="",0,T10)=MAX(KO10,KR10,KV10,KY10),$JT$1,IF(V10+IF(T10="",0,T10)=MAX(JG10,JJ10,JN10,JQ10),$IL$1,IF(V10+IF(T10="",0,T10)=MAX(HY10,IB10,IF10,II10),$HD$1,IF(V10+IF(T10="",0,T10)=MAX(GQ10,GT10,GX10,HA10),$FV$1,IF(V10+IF(T10="",0,T10)=MAX(FI10,FL10,FP10,FS10),$EN$1,IF(V10+IF(T10="",0,T10)=MAX(EA10,ED10,EH10,EK10),$DF$1)))))))))))))))))</f>
        <v/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>IF(AA10&gt;0,AA10,"")</f>
        <v>12.7</v>
      </c>
      <c r="AP10" s="74">
        <f>IF(AB10&gt;0,AB10,"")</f>
        <v>14.395</v>
      </c>
      <c r="AQ10" s="76">
        <f>IF(SUM(Y10:AB10)-AC10&gt;0,SUM(Y10:AB10)-AC10,"")</f>
        <v>50.795000000000002</v>
      </c>
      <c r="AR10" s="76">
        <f>IF(AF10&gt;0,AF10,"")</f>
        <v>12.7</v>
      </c>
      <c r="AS10" s="76">
        <f>IF(AG10&gt;0,AG10,"")</f>
        <v>14.265000000000001</v>
      </c>
      <c r="AT10" s="76">
        <f>IF(SUM(AD10:AG10)-AH10&gt;0,SUM(AD10:AG10)-AH10,"")</f>
        <v>50.564999999999998</v>
      </c>
      <c r="AU10" s="76">
        <f>IF(AQ10="","",MAX(AQ10,AT10))</f>
        <v>50.795000000000002</v>
      </c>
      <c r="AV10" s="76">
        <f>IF(AK10&gt;0,AK10,"")</f>
        <v>11.4</v>
      </c>
      <c r="AW10" s="76">
        <f>IF(AL10&gt;0,AL10,"")</f>
        <v>13.994999999999999</v>
      </c>
      <c r="AX10" s="76">
        <f>IF(SUM(AI10:AL10)-AM10&gt;0,SUM(AI10:AL10)-AM10,"")</f>
        <v>48.294999999999995</v>
      </c>
      <c r="AY10" s="76">
        <f>IF(SUM(AU10,AX10)&gt;0,SUM(AU10,AX10),"")</f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>IF(BB10&gt;0,BB10,"")</f>
        <v>11.2</v>
      </c>
      <c r="BQ10" s="75">
        <f>IF(BC10&gt;0,BC10,"")</f>
        <v>12.154999999999999</v>
      </c>
      <c r="BR10" s="16">
        <f>IF(SUM(AZ10:BC10)-BD10&gt;0,SUM(AZ10:BC10)-BD10,"")</f>
        <v>43.454999999999998</v>
      </c>
      <c r="BS10" s="16">
        <f>IF(BG10&gt;0,BG10,"")</f>
        <v>3.4</v>
      </c>
      <c r="BT10" s="16">
        <f>IF(BH10&gt;0,BH10,"")</f>
        <v>4.4950000000000001</v>
      </c>
      <c r="BU10" s="16">
        <f>IF(SUM(BE10:BH10)-BI10&gt;0,SUM(BE10:BH10)-BI10,"")</f>
        <v>14.795000000000002</v>
      </c>
      <c r="BV10" s="16">
        <f>IF(BR10="","",MAX(BR10,BU10))</f>
        <v>43.454999999999998</v>
      </c>
      <c r="BW10" s="16">
        <f>IF(BL10&gt;0,BL10,"")</f>
        <v>11.5</v>
      </c>
      <c r="BX10" s="16">
        <f>IF(BM10&gt;0,BM10,"")</f>
        <v>12.61</v>
      </c>
      <c r="BY10" s="16">
        <f>IF(SUM(BJ10:BM10)-BN10&gt;0,SUM(BJ10:BM10)-BN10,"")</f>
        <v>44.51</v>
      </c>
      <c r="BZ10" s="16">
        <f>IF(SUM(BV10,BY10)&gt;0,SUM(BV10,BY10),"")</f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>IF(CC10&gt;0,CC10,"")</f>
        <v>12.9</v>
      </c>
      <c r="CR10" s="74">
        <f>IF(CD10&gt;0,CD10,"")</f>
        <v>13.875</v>
      </c>
      <c r="CS10" s="76">
        <f>IF(SUM(CA10:CD10)-CE10&gt;0,SUM(CA10:CD10)-CE10,"")</f>
        <v>49.774999999999999</v>
      </c>
      <c r="CT10" s="76">
        <f>IF(CH10&gt;0,CH10,"")</f>
        <v>4.4000000000000004</v>
      </c>
      <c r="CU10" s="76">
        <f>IF(CI10&gt;0,CI10,"")</f>
        <v>4.3449999999999998</v>
      </c>
      <c r="CV10" s="76">
        <f>IF(SUM(CF10:CI10)-CJ10&gt;0,SUM(CF10:CI10)-CJ10,"")</f>
        <v>15.945</v>
      </c>
      <c r="CW10" s="76">
        <f>IF(CS10="","",MAX(CS10,CV10))</f>
        <v>49.774999999999999</v>
      </c>
      <c r="CX10" s="76">
        <f>IF(CM10&gt;0,CM10,"")</f>
        <v>12.9</v>
      </c>
      <c r="CY10" s="76">
        <f>IF(CN10&gt;0,CN10,"")</f>
        <v>14.074999999999999</v>
      </c>
      <c r="CZ10" s="76">
        <f>IF(SUM(CK10:CN10)-CO10&gt;0,SUM(CK10:CN10)-CO10,"")</f>
        <v>51.075000000000003</v>
      </c>
      <c r="DA10" s="76">
        <f>IF(SUM(CW10,CZ10)&gt;0,SUM(CW10,CZ10),"")</f>
        <v>100.85</v>
      </c>
      <c r="DB10" s="87" t="str">
        <f>IF(L10&gt;=0.001,IF(MAX(EF10,FN10,GV10,ID10,JL10,KT10,MB10,NJ10,OR10,PZ10,RH10,SP10)-IF(L10="",0,L10)&gt;0.001,MAX(EF10,FN10,GV10,ID10,JL10,KT10,MB10,NJ10,OR10,PZ10,RH10,SP10)-IF(L10="",0,L10),""),"")</f>
        <v/>
      </c>
      <c r="DC10" s="87" t="str">
        <f>IF(P10&gt;=0.001,IF(MAX(EI10,EL10,FQ10,FT10,GY10,HB10,IG10,IJ10,JO10,JR10,KW10,KZ10,ME10,MH10,NM10,NP10,OU10,OX10,QC10,QF10,RK10,RN10,SS10,SV10)-IF(P10="",0,P10)&gt;0.001,MAX(EI10,EL10,FQ10,FT10,GY10,HB10,IG10,IJ10,JO10,JR10,KW10,KZ10,ME10,MH10,NM10,NP10,OU10,OX10,QC10,QF10,RK10,RN10,SS10,SV10)-IF(P10="",0,P10),""),"")</f>
        <v/>
      </c>
      <c r="DD10" s="87" t="str">
        <f>IF(R10&gt;=0.001,IF(MAX(DZ10,EC10,EG10,EJ10,FH10,FK10,FO10,FR10,GP10,GS10,GW10,GZ10,HX10,IA10,IE10,IH10,JF10,JI10,JM10,JP10,KN10,KQ10,KU10,KX10,LV10,LY10,MC10,MF10,ND10,NG10,NK10,NN10,OL10,OO10,OS10,OV10,PT10,PW10,QA10,QD10,RB10,RE10,RI10,RL10,SJ10,SM10,SQ10,ST10)-IF(R10="",0,R10)&gt;0.001,MAX(DZ10,EC10,EG10,EJ10,FH10,FK10,FO10,FR10,GP10,GS10,GW10,GZ10,HX10,IA10,IE10,IH10,JF10,JI10,JM10,JP10,KN10,KQ10,KU10,KX10,LV10,LY10,MC10,MF10,ND10,NG10,NK10,NN10,OL10,OO10,OS10,OV10,PT10,PW10,QA10,QD10,RB10,RE10,RI10,RL10,SJ10,SM10,SQ10,ST10)-IF(R10="",0,R10),""),"")</f>
        <v/>
      </c>
      <c r="DE10" s="87" t="str">
        <f>IF(T10&gt;=0.001,IF(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&gt;0.001,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,""),"")</f>
        <v/>
      </c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76" t="str">
        <f>IF(DH10&gt;0,DH10,"")</f>
        <v/>
      </c>
      <c r="EA10" s="76" t="str">
        <f>IF(DI10&gt;0,DI10,"")</f>
        <v/>
      </c>
      <c r="EB10" s="76" t="str">
        <f>IF(SUM(DF10:DI10)-DJ10&gt;0,SUM(DF10:DI10)-DJ10,"")</f>
        <v/>
      </c>
      <c r="EC10" s="76" t="str">
        <f>IF(DM10&gt;0,DM10,"")</f>
        <v/>
      </c>
      <c r="ED10" s="76" t="str">
        <f>IF(DN10&gt;0,DN10,"")</f>
        <v/>
      </c>
      <c r="EE10" s="76" t="str">
        <f>IF(SUM(DK10:DN10)-DO10&gt;0,SUM(DK10:DN10)-DO10,"")</f>
        <v/>
      </c>
      <c r="EF10" s="76" t="str">
        <f>IF(MAX(EB10,EE10)&gt;0,MAX(EB10,EE10),"")</f>
        <v/>
      </c>
      <c r="EG10" s="76" t="str">
        <f>IF(DR10&gt;0,DR10,"")</f>
        <v/>
      </c>
      <c r="EH10" s="76" t="str">
        <f>IF(DS10&gt;0,DS10,"")</f>
        <v/>
      </c>
      <c r="EI10" s="76" t="str">
        <f>IF(SUM(DP10:DS10)-DT10&gt;0,SUM(DP10:DS10)-DT10,"")</f>
        <v/>
      </c>
      <c r="EJ10" s="76" t="str">
        <f>IF(DW10&gt;0,DW10,"")</f>
        <v/>
      </c>
      <c r="EK10" s="76" t="str">
        <f>IF(DX10&gt;0,DX10,"")</f>
        <v/>
      </c>
      <c r="EL10" s="76" t="str">
        <f>IF(SUM(DU10:DX10)-DY10&gt;0,SUM(DU10:DX10)-DY10,"")</f>
        <v/>
      </c>
      <c r="EM10" s="76" t="str">
        <f>IF(SUM(EF10,EL10)&gt;0,SUM(EF10,EL10),"")</f>
        <v/>
      </c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16" t="str">
        <f>IF(EP10&gt;0,EP10,"")</f>
        <v/>
      </c>
      <c r="FI10" s="16" t="str">
        <f>IF(EQ10&gt;0,EQ10,"")</f>
        <v/>
      </c>
      <c r="FJ10" s="16" t="str">
        <f>IF(SUM(EN10:EQ10)-ER10&gt;0,SUM(EN10:EQ10)-ER10,"")</f>
        <v/>
      </c>
      <c r="FK10" s="16" t="str">
        <f>IF(EU10&gt;0,EU10,"")</f>
        <v/>
      </c>
      <c r="FL10" s="16" t="str">
        <f>IF(EV10&gt;0,EV10,"")</f>
        <v/>
      </c>
      <c r="FM10" s="16" t="str">
        <f>IF(SUM(ES10:EV10)-EW10&gt;0,SUM(ES10:EV10)-EW10,"")</f>
        <v/>
      </c>
      <c r="FN10" s="16" t="str">
        <f>IF(MAX(FJ10,FM10)&gt;0,MAX(FJ10,FM10),"")</f>
        <v/>
      </c>
      <c r="FO10" s="16" t="str">
        <f>IF(EZ10&gt;0,EZ10,"")</f>
        <v/>
      </c>
      <c r="FP10" s="16" t="str">
        <f>IF(FA10&gt;0,FA10,"")</f>
        <v/>
      </c>
      <c r="FQ10" s="16" t="str">
        <f>IF(SUM(EX10:FA10)-FB10&gt;0,SUM(EX10:FA10)-FB10,"")</f>
        <v/>
      </c>
      <c r="FR10" s="16" t="str">
        <f>IF(FE10&gt;0,FE10,"")</f>
        <v/>
      </c>
      <c r="FS10" s="16" t="str">
        <f>IF(FF10&gt;0,FF10,"")</f>
        <v/>
      </c>
      <c r="FT10" s="16" t="str">
        <f>IF(SUM(FC10:FF10)-FG10&gt;0,SUM(FC10:FF10)-FG10,"")</f>
        <v/>
      </c>
      <c r="FU10" s="16" t="str">
        <f>IF(SUM(FN10,FT10)&gt;0,SUM(FN10,FT10),"")</f>
        <v/>
      </c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76" t="str">
        <f>IF(FX10&gt;0,FX10,"")</f>
        <v/>
      </c>
      <c r="GQ10" s="76" t="str">
        <f>IF(FY10&gt;0,FY10,"")</f>
        <v/>
      </c>
      <c r="GR10" s="76" t="str">
        <f>IF(SUM(FV10:FY10)-FZ10&gt;0,SUM(FV10:FY10)-FZ10,"")</f>
        <v/>
      </c>
      <c r="GS10" s="76" t="str">
        <f>IF(GC10&gt;0,GC10,"")</f>
        <v/>
      </c>
      <c r="GT10" s="76" t="str">
        <f>IF(GD10&gt;0,GD10,"")</f>
        <v/>
      </c>
      <c r="GU10" s="76" t="str">
        <f>IF(SUM(GA10:GD10)-GE10&gt;0,SUM(GA10:GD10)-GE10,"")</f>
        <v/>
      </c>
      <c r="GV10" s="76" t="str">
        <f>IF(MAX(GR10,GU10)&gt;0,MAX(GR10,GU10),"")</f>
        <v/>
      </c>
      <c r="GW10" s="76" t="str">
        <f>IF(GH10&gt;0,GH10,"")</f>
        <v/>
      </c>
      <c r="GX10" s="76" t="str">
        <f>IF(GI10&gt;0,GI10,"")</f>
        <v/>
      </c>
      <c r="GY10" s="76" t="str">
        <f>IF(SUM(GF10:GI10)-GJ10&gt;0,SUM(GF10:GI10)-GJ10,"")</f>
        <v/>
      </c>
      <c r="GZ10" s="76" t="str">
        <f>IF(GM10&gt;0,GM10,"")</f>
        <v/>
      </c>
      <c r="HA10" s="76" t="str">
        <f>IF(GN10&gt;0,GN10,"")</f>
        <v/>
      </c>
      <c r="HB10" s="76" t="str">
        <f>IF(SUM(GK10:GN10)-GO10&gt;0,SUM(GK10:GN10)-GO10,"")</f>
        <v/>
      </c>
      <c r="HC10" s="76" t="str">
        <f>IF(SUM(GV10,HB10)&gt;0,SUM(GV10,HB10),"")</f>
        <v/>
      </c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16" t="str">
        <f>IF(HF10&gt;0,HF10,"")</f>
        <v/>
      </c>
      <c r="HY10" s="16" t="str">
        <f>IF(HG10&gt;0,HG10,"")</f>
        <v/>
      </c>
      <c r="HZ10" s="16" t="str">
        <f>IF(SUM(HD10:HG10)-HH10&gt;0,SUM(HD10:HG10)-HH10,"")</f>
        <v/>
      </c>
      <c r="IA10" s="16" t="str">
        <f>IF(HK10&gt;0,HK10,"")</f>
        <v/>
      </c>
      <c r="IB10" s="16" t="str">
        <f>IF(HL10&gt;0,HL10,"")</f>
        <v/>
      </c>
      <c r="IC10" s="16" t="str">
        <f>IF(SUM(HI10:HL10)-HM10&gt;0,SUM(HI10:HL10)-HM10,"")</f>
        <v/>
      </c>
      <c r="ID10" s="16" t="str">
        <f>IF(MAX(HZ10,IC10)&gt;0,MAX(HZ10,IC10),"")</f>
        <v/>
      </c>
      <c r="IE10" s="16" t="str">
        <f>IF(HP10&gt;0,HP10,"")</f>
        <v/>
      </c>
      <c r="IF10" s="16" t="str">
        <f>IF(HQ10&gt;0,HQ10,"")</f>
        <v/>
      </c>
      <c r="IG10" s="16" t="str">
        <f>IF(SUM(HN10:HQ10)-HR10&gt;0,SUM(HN10:HQ10)-HR10,"")</f>
        <v/>
      </c>
      <c r="IH10" s="16" t="str">
        <f>IF(HU10&gt;0,HU10,"")</f>
        <v/>
      </c>
      <c r="II10" s="16" t="str">
        <f>IF(HV10&gt;0,HV10,"")</f>
        <v/>
      </c>
      <c r="IJ10" s="16" t="str">
        <f>IF(SUM(HS10:HV10)-HW10&gt;0,SUM(HS10:HV10)-HW10,"")</f>
        <v/>
      </c>
      <c r="IK10" s="16" t="str">
        <f>IF(SUM(ID10,IJ10)&gt;0,SUM(ID10,IJ10),"")</f>
        <v/>
      </c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76" t="str">
        <f>IF(IN10&gt;0,IN10,"")</f>
        <v/>
      </c>
      <c r="JG10" s="76" t="str">
        <f>IF(IO10&gt;0,IO10,"")</f>
        <v/>
      </c>
      <c r="JH10" s="76" t="str">
        <f>IF(SUM(IL10:IO10)-IP10&gt;0,SUM(IL10:IO10)-IP10,"")</f>
        <v/>
      </c>
      <c r="JI10" s="76" t="str">
        <f>IF(IS10&gt;0,IS10,"")</f>
        <v/>
      </c>
      <c r="JJ10" s="76" t="str">
        <f>IF(IT10&gt;0,IT10,"")</f>
        <v/>
      </c>
      <c r="JK10" s="76" t="str">
        <f>IF(SUM(IQ10:IT10)-IU10&gt;0,SUM(IQ10:IT10)-IU10,"")</f>
        <v/>
      </c>
      <c r="JL10" s="76" t="str">
        <f>IF(MAX(JH10,JK10)&gt;0,MAX(JH10,JK10),"")</f>
        <v/>
      </c>
      <c r="JM10" s="76" t="str">
        <f>IF(IX10&gt;0,IX10,"")</f>
        <v/>
      </c>
      <c r="JN10" s="76" t="str">
        <f>IF(IY10&gt;0,IY10,"")</f>
        <v/>
      </c>
      <c r="JO10" s="76" t="str">
        <f>IF(SUM(IV10:IY10)-IZ10&gt;0,SUM(IV10:IY10)-IZ10,"")</f>
        <v/>
      </c>
      <c r="JP10" s="76" t="str">
        <f>IF(JC10&gt;0,JC10,"")</f>
        <v/>
      </c>
      <c r="JQ10" s="76" t="str">
        <f>IF(JD10&gt;0,JD10,"")</f>
        <v/>
      </c>
      <c r="JR10" s="76" t="str">
        <f>IF(SUM(JA10:JD10)-JE10&gt;0,SUM(JA10:JD10)-JE10,"")</f>
        <v/>
      </c>
      <c r="JS10" s="76" t="str">
        <f>IF(SUM(JL10,JR10)&gt;0,SUM(JL10,JR10),"")</f>
        <v/>
      </c>
      <c r="JT10" s="26">
        <v>14.5</v>
      </c>
      <c r="JU10" s="26">
        <v>8.9</v>
      </c>
      <c r="JV10" s="26">
        <v>10.7</v>
      </c>
      <c r="JW10" s="26">
        <v>13.74</v>
      </c>
      <c r="JX10" s="26">
        <v>0</v>
      </c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16">
        <f>IF(JV10&gt;0,JV10,"")</f>
        <v>10.7</v>
      </c>
      <c r="KO10" s="16">
        <f>IF(JW10&gt;0,JW10,"")</f>
        <v>13.74</v>
      </c>
      <c r="KP10" s="16">
        <f>IF(SUM(JT10:JW10)-JX10&gt;0,SUM(JT10:JW10)-JX10,"")</f>
        <v>47.839999999999996</v>
      </c>
      <c r="KQ10" s="16" t="str">
        <f>IF(KA10&gt;0,KA10,"")</f>
        <v/>
      </c>
      <c r="KR10" s="16" t="str">
        <f>IF(KB10&gt;0,KB10,"")</f>
        <v/>
      </c>
      <c r="KS10" s="16" t="str">
        <f>IF(SUM(JY10:KB10)-KC10&gt;0,SUM(JY10:KB10)-KC10,"")</f>
        <v/>
      </c>
      <c r="KT10" s="16">
        <f>IF(MAX(KP10,KS10)&gt;0,MAX(KP10,KS10),"")</f>
        <v>47.839999999999996</v>
      </c>
      <c r="KU10" s="16" t="str">
        <f>IF(KF10&gt;0,KF10,"")</f>
        <v/>
      </c>
      <c r="KV10" s="16" t="str">
        <f>IF(KG10&gt;0,KG10,"")</f>
        <v/>
      </c>
      <c r="KW10" s="16" t="str">
        <f>IF(SUM(KD10:KG10)-KH10&gt;0,SUM(KD10:KG10)-KH10,"")</f>
        <v/>
      </c>
      <c r="KX10" s="16" t="str">
        <f>IF(KK10&gt;0,KK10,"")</f>
        <v/>
      </c>
      <c r="KY10" s="16" t="str">
        <f>IF(KL10&gt;0,KL10,"")</f>
        <v/>
      </c>
      <c r="KZ10" s="16" t="str">
        <f>IF(SUM(KI10:KL10)-KM10&gt;0,SUM(KI10:KL10)-KM10,"")</f>
        <v/>
      </c>
      <c r="LA10" s="16">
        <f>IF(SUM(KT10,KZ10)&gt;0,SUM(KT10,KZ10),"")</f>
        <v>47.839999999999996</v>
      </c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76" t="str">
        <f>IF(LD10&gt;0,LD10,"")</f>
        <v/>
      </c>
      <c r="LW10" s="76" t="str">
        <f>IF(LE10&gt;0,LE10,"")</f>
        <v/>
      </c>
      <c r="LX10" s="76" t="str">
        <f>IF(SUM(LB10:LE10)-LF10&gt;0,SUM(LB10:LE10)-LF10,"")</f>
        <v/>
      </c>
      <c r="LY10" s="76" t="str">
        <f>IF(LI10&gt;0,LI10,"")</f>
        <v/>
      </c>
      <c r="LZ10" s="76" t="str">
        <f>IF(LJ10&gt;0,LJ10,"")</f>
        <v/>
      </c>
      <c r="MA10" s="76" t="str">
        <f>IF(SUM(LG10:LJ10)-LK10&gt;0,SUM(LG10:LJ10)-LK10,"")</f>
        <v/>
      </c>
      <c r="MB10" s="76" t="str">
        <f>IF(MAX(LX10,MA10)&gt;0,MAX(LX10,MA10),"")</f>
        <v/>
      </c>
      <c r="MC10" s="76" t="str">
        <f>IF(LN10&gt;0,LN10,"")</f>
        <v/>
      </c>
      <c r="MD10" s="76" t="str">
        <f>IF(LO10&gt;0,LO10,"")</f>
        <v/>
      </c>
      <c r="ME10" s="76" t="str">
        <f>IF(SUM(LL10:LO10)-LP10&gt;0,SUM(LL10:LO10)-LP10,"")</f>
        <v/>
      </c>
      <c r="MF10" s="76" t="str">
        <f>IF(LS10&gt;0,LS10,"")</f>
        <v/>
      </c>
      <c r="MG10" s="76" t="str">
        <f>IF(LT10&gt;0,LT10,"")</f>
        <v/>
      </c>
      <c r="MH10" s="76" t="str">
        <f>IF(SUM(LQ10:LT10)-LU10&gt;0,SUM(LQ10:LT10)-LU10,"")</f>
        <v/>
      </c>
      <c r="MI10" s="76" t="str">
        <f>IF(SUM(MB10,MH10)&gt;0,SUM(MB10,MH10),"")</f>
        <v/>
      </c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16" t="str">
        <f>IF(ML10&gt;0,ML10,"")</f>
        <v/>
      </c>
      <c r="NE10" s="16" t="str">
        <f>IF(MM10&gt;0,MM10,"")</f>
        <v/>
      </c>
      <c r="NF10" s="16" t="str">
        <f>IF(SUM(MJ10:MM10)-MN10&gt;0,SUM(MJ10:MM10)-MN10,"")</f>
        <v/>
      </c>
      <c r="NG10" s="16" t="str">
        <f>IF(MQ10&gt;0,MQ10,"")</f>
        <v/>
      </c>
      <c r="NH10" s="16" t="str">
        <f>IF(MR10&gt;0,MR10,"")</f>
        <v/>
      </c>
      <c r="NI10" s="16" t="str">
        <f>IF(SUM(MO10:MR10)-MS10&gt;0,SUM(MO10:MR10)-MS10,"")</f>
        <v/>
      </c>
      <c r="NJ10" s="16" t="str">
        <f>IF(MAX(NF10,NI10)&gt;0,MAX(NF10,NI10),"")</f>
        <v/>
      </c>
      <c r="NK10" s="16" t="str">
        <f>IF(MV10&gt;0,MV10,"")</f>
        <v/>
      </c>
      <c r="NL10" s="16" t="str">
        <f>IF(MW10&gt;0,MW10,"")</f>
        <v/>
      </c>
      <c r="NM10" s="16" t="str">
        <f>IF(SUM(MT10:MW10)-MX10&gt;0,SUM(MT10:MW10)-MX10,"")</f>
        <v/>
      </c>
      <c r="NN10" s="16" t="str">
        <f>IF(NA10&gt;0,NA10,"")</f>
        <v/>
      </c>
      <c r="NO10" s="16" t="str">
        <f>IF(NB10&gt;0,NB10,"")</f>
        <v/>
      </c>
      <c r="NP10" s="16" t="str">
        <f>IF(SUM(MY10:NB10)-NC10&gt;0,SUM(MY10:NB10)-NC10,"")</f>
        <v/>
      </c>
      <c r="NQ10" s="16" t="str">
        <f>IF(SUM(NJ10,NP10)&gt;0,SUM(NJ10,NP10),"")</f>
        <v/>
      </c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76" t="str">
        <f>IF(NT10&gt;0,NT10,"")</f>
        <v/>
      </c>
      <c r="OM10" s="76" t="str">
        <f>IF(NU10&gt;0,NU10,"")</f>
        <v/>
      </c>
      <c r="ON10" s="76" t="str">
        <f>IF(SUM(NR10:NU10)-NV10&gt;0,SUM(NR10:NU10)-NV10,"")</f>
        <v/>
      </c>
      <c r="OO10" s="76" t="str">
        <f>IF(NY10&gt;0,NY10,"")</f>
        <v/>
      </c>
      <c r="OP10" s="76" t="str">
        <f>IF(NZ10&gt;0,NZ10,"")</f>
        <v/>
      </c>
      <c r="OQ10" s="76" t="str">
        <f>IF(SUM(NW10:NZ10)-OA10&gt;0,SUM(NW10:NZ10)-OA10,"")</f>
        <v/>
      </c>
      <c r="OR10" s="76" t="str">
        <f>IF(MAX(ON10,OQ10)&gt;0,MAX(ON10,OQ10),"")</f>
        <v/>
      </c>
      <c r="OS10" s="76" t="str">
        <f>IF(OD10&gt;0,OD10,"")</f>
        <v/>
      </c>
      <c r="OT10" s="76" t="str">
        <f>IF(OE10&gt;0,OE10,"")</f>
        <v/>
      </c>
      <c r="OU10" s="76" t="str">
        <f>IF(SUM(OB10:OE10)-OF10&gt;0,SUM(OB10:OE10)-OF10,"")</f>
        <v/>
      </c>
      <c r="OV10" s="76" t="str">
        <f>IF(OI10&gt;0,OI10,"")</f>
        <v/>
      </c>
      <c r="OW10" s="76" t="str">
        <f>IF(OJ10&gt;0,OJ10,"")</f>
        <v/>
      </c>
      <c r="OX10" s="76" t="str">
        <f>IF(SUM(OG10:OJ10)-OK10&gt;0,SUM(OG10:OJ10)-OK10,"")</f>
        <v/>
      </c>
      <c r="OY10" s="76" t="str">
        <f>IF(SUM(OR10,OX10)&gt;0,SUM(OR10,OX10),"")</f>
        <v/>
      </c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16" t="str">
        <f>IF(PB10&gt;0,PB10,"")</f>
        <v/>
      </c>
      <c r="PU10" s="16" t="str">
        <f>IF(PC10&gt;0,PC10,"")</f>
        <v/>
      </c>
      <c r="PV10" s="16" t="str">
        <f>IF(SUM(OZ10:PC10)-PD10&gt;0,SUM(OZ10:PC10)-PD10,"")</f>
        <v/>
      </c>
      <c r="PW10" s="16" t="str">
        <f>IF(PG10&gt;0,PG10,"")</f>
        <v/>
      </c>
      <c r="PX10" s="16" t="str">
        <f>IF(PH10&gt;0,PH10,"")</f>
        <v/>
      </c>
      <c r="PY10" s="16" t="str">
        <f>IF(SUM(PE10:PH10)-PI10&gt;0,SUM(PE10:PH10)-PI10,"")</f>
        <v/>
      </c>
      <c r="PZ10" s="16" t="str">
        <f>IF(MAX(PV10,PY10)&gt;0,MAX(PV10,PY10),"")</f>
        <v/>
      </c>
      <c r="QA10" s="16" t="str">
        <f>IF(PL10&gt;0,PL10,"")</f>
        <v/>
      </c>
      <c r="QB10" s="16" t="str">
        <f>IF(PM10&gt;0,PM10,"")</f>
        <v/>
      </c>
      <c r="QC10" s="16" t="str">
        <f>IF(SUM(PJ10:PM10)-PN10&gt;0,SUM(PJ10:PM10)-PN10,"")</f>
        <v/>
      </c>
      <c r="QD10" s="16" t="str">
        <f>IF(PQ10&gt;0,PQ10,"")</f>
        <v/>
      </c>
      <c r="QE10" s="16" t="str">
        <f>IF(PR10&gt;0,PR10,"")</f>
        <v/>
      </c>
      <c r="QF10" s="16" t="str">
        <f>IF(SUM(PO10:PR10)-PS10&gt;0,SUM(PO10:PR10)-PS10,"")</f>
        <v/>
      </c>
      <c r="QG10" s="16" t="str">
        <f>IF(SUM(PZ10,QF10)&gt;0,SUM(PZ10,QF10),"")</f>
        <v/>
      </c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76" t="str">
        <f>IF(QJ10&gt;0,QJ10,"")</f>
        <v/>
      </c>
      <c r="RC10" s="76" t="str">
        <f>IF(QK10&gt;0,QK10,"")</f>
        <v/>
      </c>
      <c r="RD10" s="76" t="str">
        <f>IF(SUM(QH10:QK10)-QL10&gt;0,SUM(QH10:QK10)-QL10,"")</f>
        <v/>
      </c>
      <c r="RE10" s="76" t="str">
        <f>IF(QO10&gt;0,QO10,"")</f>
        <v/>
      </c>
      <c r="RF10" s="76" t="str">
        <f>IF(QP10&gt;0,QP10,"")</f>
        <v/>
      </c>
      <c r="RG10" s="76" t="str">
        <f>IF(SUM(QM10:QP10)-QQ10&gt;0,SUM(QM10:QP10)-QQ10,"")</f>
        <v/>
      </c>
      <c r="RH10" s="76" t="str">
        <f>IF(MAX(RD10,RG10)&gt;0,MAX(RD10,RG10),"")</f>
        <v/>
      </c>
      <c r="RI10" s="76" t="str">
        <f>IF(QT10&gt;0,QT10,"")</f>
        <v/>
      </c>
      <c r="RJ10" s="76" t="str">
        <f>IF(QU10&gt;0,QU10,"")</f>
        <v/>
      </c>
      <c r="RK10" s="76" t="str">
        <f>IF(SUM(QR10:QU10)-QV10&gt;0,SUM(QR10:QU10)-QV10,"")</f>
        <v/>
      </c>
      <c r="RL10" s="76" t="str">
        <f>IF(QY10&gt;0,QY10,"")</f>
        <v/>
      </c>
      <c r="RM10" s="76" t="str">
        <f>IF(QZ10&gt;0,QZ10,"")</f>
        <v/>
      </c>
      <c r="RN10" s="76" t="str">
        <f>IF(SUM(QW10:QZ10)-RA10&gt;0,SUM(QW10:QZ10)-RA10,"")</f>
        <v/>
      </c>
      <c r="RO10" s="76" t="str">
        <f>IF(SUM(RH10,RN10)&gt;0,SUM(RH10,RN10),"")</f>
        <v/>
      </c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16" t="str">
        <f>IF(RR10&gt;0,RR10,"")</f>
        <v/>
      </c>
      <c r="SK10" s="16" t="str">
        <f>IF(RS10&gt;0,RS10,"")</f>
        <v/>
      </c>
      <c r="SL10" s="16" t="str">
        <f>IF(SUM(RP10:RS10)-RT10&gt;0,SUM(RP10:RS10)-RT10,"")</f>
        <v/>
      </c>
      <c r="SM10" s="16" t="str">
        <f>IF(RW10&gt;0,RW10,"")</f>
        <v/>
      </c>
      <c r="SN10" s="16" t="str">
        <f>IF(RX10&gt;0,RX10,"")</f>
        <v/>
      </c>
      <c r="SO10" s="16" t="str">
        <f>IF(SUM(RU10:RX10)-RY10&gt;0,SUM(RU10:RX10)-RY10,"")</f>
        <v/>
      </c>
      <c r="SP10" s="16" t="str">
        <f>IF(MAX(SL10,SO10)&gt;0,MAX(SL10,SO10),"")</f>
        <v/>
      </c>
      <c r="SQ10" s="16" t="str">
        <f>IF(SB10&gt;0,SB10,"")</f>
        <v/>
      </c>
      <c r="SR10" s="16" t="str">
        <f>IF(SC10&gt;0,SC10,"")</f>
        <v/>
      </c>
      <c r="SS10" s="16" t="str">
        <f>IF(SUM(RZ10:SC10)-SD10&gt;0,SUM(RZ10:SC10)-SD10,"")</f>
        <v/>
      </c>
      <c r="ST10" s="16" t="str">
        <f>IF(SG10&gt;0,SG10,"")</f>
        <v/>
      </c>
      <c r="SU10" s="16" t="str">
        <f>IF(SH10&gt;0,SH10,"")</f>
        <v/>
      </c>
      <c r="SV10" s="16" t="str">
        <f>IF(SUM(SE10:SH10)-SI10&gt;0,SUM(SE10:SH10)-SI10,"")</f>
        <v/>
      </c>
      <c r="SW10" s="16" t="str">
        <f>IF(SUM(SP10,SV10)&gt;0,SUM(SP10,SV10),"")</f>
        <v/>
      </c>
      <c r="SX10" s="42">
        <f>IF($CP10="P",CA10,(CA10+AZ10)/2)</f>
        <v>12.95</v>
      </c>
      <c r="SY10" s="42">
        <f>IF($CP10="P",CB10,(CB10+BA10)/2)</f>
        <v>8.6000000000000014</v>
      </c>
      <c r="SZ10" s="42">
        <f>IF($CP10="P",CC10,(CC10+BB10)/2)</f>
        <v>12.05</v>
      </c>
      <c r="TA10" s="42">
        <f>IF($CP10="P",CD10,(CD10+BC10)/2)</f>
        <v>13.015000000000001</v>
      </c>
      <c r="TB10" s="42">
        <f>IF($CP10="P",CE10,(CE10+BD10)/2)</f>
        <v>0</v>
      </c>
      <c r="TC10" s="42">
        <f>IF($CP10="P",CF10,(CF10+BE10)/2)</f>
        <v>4.3000000000000007</v>
      </c>
      <c r="TD10" s="42">
        <f>IF($CP10="P",CG10,(CG10+BF10)/2)</f>
        <v>2.75</v>
      </c>
      <c r="TE10" s="42">
        <f>IF($CP10="P",CH10,(CH10+BG10)/2)</f>
        <v>3.9000000000000004</v>
      </c>
      <c r="TF10" s="42">
        <f>IF($CP10="P",CI10,(CI10+BH10)/2)</f>
        <v>4.42</v>
      </c>
      <c r="TG10" s="42">
        <f>IF($CP10="P",CJ10,(CJ10+BI10)/2)</f>
        <v>0</v>
      </c>
      <c r="TH10" s="42">
        <f>IF($CP10="P",CK10,(CK10+BJ10)/2)</f>
        <v>13.55</v>
      </c>
      <c r="TI10" s="42">
        <f>IF($CP10="P",CL10,(CL10+BK10)/2)</f>
        <v>8.6999999999999993</v>
      </c>
      <c r="TJ10" s="42">
        <f>IF($CP10="P",CM10,(CM10+BL10)/2)</f>
        <v>12.2</v>
      </c>
      <c r="TK10" s="42">
        <f>IF($CP10="P",CN10,(CN10+BM10)/2)</f>
        <v>13.342499999999999</v>
      </c>
      <c r="TL10" s="42">
        <f>IF($CP10="P",CO10,(CO10+BN10)/2)</f>
        <v>0</v>
      </c>
      <c r="TM10" s="51" t="s">
        <v>61</v>
      </c>
      <c r="TN10" s="76">
        <f>IF(SZ10&gt;0,SZ10,"")</f>
        <v>12.05</v>
      </c>
      <c r="TO10" s="76">
        <f>IF(TA10&gt;0,TA10,"")</f>
        <v>13.015000000000001</v>
      </c>
      <c r="TP10" s="76">
        <f>IF(SUM(SX10:TA10)-TB10&gt;0,SUM(SX10:TA10)-TB10,"")</f>
        <v>46.615000000000002</v>
      </c>
      <c r="TQ10" s="76">
        <f>IF(TE10&gt;0,TE10,"")</f>
        <v>3.9000000000000004</v>
      </c>
      <c r="TR10" s="76">
        <f>IF(TF10&gt;0,TF10,"")</f>
        <v>4.42</v>
      </c>
      <c r="TS10" s="76">
        <f>IF(SUM(TC10:TF10)-TG10&gt;0,SUM(TC10:TF10)-TG10,"")</f>
        <v>15.370000000000001</v>
      </c>
      <c r="TT10" s="76">
        <f>IF(MAX(TP10,TS10)&gt;0,MAX(TP10,TS10),"")</f>
        <v>46.615000000000002</v>
      </c>
      <c r="TU10" s="76">
        <f>IF(TJ10&gt;0,TJ10,"")</f>
        <v>12.2</v>
      </c>
      <c r="TV10" s="76">
        <f>IF(TK10&gt;0,TK10,"")</f>
        <v>13.342499999999999</v>
      </c>
      <c r="TW10" s="76">
        <f>IF(SUM(TH10:TK10)-TL10&gt;0,SUM(TH10:TK10)-TL10,"")</f>
        <v>47.792500000000004</v>
      </c>
      <c r="TX10" s="76">
        <f>IF(SUM(TT10,TW10)&gt;0,SUM(TT10,TW10),"")</f>
        <v>94.407499999999999</v>
      </c>
    </row>
    <row r="11" spans="1:544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7">
        <v>1988</v>
      </c>
      <c r="E11" s="14">
        <f>SUM(J11:V11)+SUM(J11:T11)*0.0000001+SUM(J11)*0.0000000000001</f>
        <v>194.45001908500544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Z11&gt;=EM$17,DZ11&lt;&gt;"",EB11&gt;=EM$21,EB11&lt;&gt;""),AND(EC11&gt;=EM$17,EC11&lt;&gt;"",EE11&gt;=EM$21,EE11&lt;&gt;""),AND(EG11&gt;=EM$17,EG11&lt;&gt;"",EI11&gt;=EM$21,EI11&lt;&gt;""),AND(EJ11&gt;=EM$17,EJ11&lt;&gt;"",EL11&gt;=EM$21,EL11&lt;&gt;""),AND(FH11&gt;=FU$17,FH11&lt;&gt;"",FJ11&gt;=FU$21,FJ11&lt;&gt;""),AND(FK11&gt;=FU$17,FK11&lt;&gt;"",FM11&gt;=FU$21,FM11&lt;&gt;""),AND(FO11&gt;=FU$17,FO11&lt;&gt;"",FQ11&gt;=FU$21,FQ11&lt;&gt;""),AND(FR11&gt;=FU$17,FR11&lt;&gt;"",FT11&gt;=FU$21,FT11&lt;&gt;""),AND(GP11&gt;=HC$17,GP11&lt;&gt;"",GR11&gt;=HC$21,GR11&lt;&gt;""),AND(GS11&gt;=HC$17,GS11&lt;&gt;"",GU11&gt;=HC$21,GU11&lt;&gt;""),AND(GW11&gt;=HC$17,GW11&lt;&gt;"",GY11&gt;=HC$21,GY11&lt;&gt;""),AND(GZ11&gt;=HC$17,GZ11&lt;&gt;"",HB11&gt;=HC$21,HB11&lt;&gt;""),AND(HX11&gt;=IK$17,HX11&lt;&gt;"",HZ11&gt;=IK$21,HZ11&lt;&gt;""),AND(IA11&gt;=IK$17,IA11&lt;&gt;"",IC11&gt;=IK$21,IC11&lt;&gt;""),AND(IE11&gt;=IK$17,IE11&lt;&gt;"",IG11&gt;=IK$21,IG11&lt;&gt;""),AND(IH11&gt;=IK$17,IH11&lt;&gt;"",IJ11&gt;=IK$21,IJ11&lt;&gt;""),AND(JF11&gt;=JS$17,JF11&lt;&gt;"",JH11&gt;=JS$21,JH11&lt;&gt;""),AND(JI11&gt;=JS$17,JI11&lt;&gt;"",JK11&gt;=JS$21,JK11&lt;&gt;""),AND(JM11&gt;=JS$17,JM11&lt;&gt;"",JO11&gt;=JS$21,JO11&lt;&gt;""),AND(JP11&gt;=JS$17,JP11&lt;&gt;"",JR11&gt;=JS$21,JR11&lt;&gt;""),AND(KN11&gt;=LA$17,KN11&lt;&gt;"",KP11&gt;=LA$21,KP11&lt;&gt;""),AND(KQ11&gt;=LA$17,KQ11&lt;&gt;"",KS11&gt;=LA$21,KS11&lt;&gt;""),AND(KU11&gt;=LA$17,KU11&lt;&gt;"",KW11&gt;=LA$21,KW11&lt;&gt;""),AND(KX11&gt;=LA$17,KX11&lt;&gt;"",KZ11&gt;=LA$21,KZ11&lt;&gt;""),AND(LV11&gt;=MI$17,LV11&lt;&gt;"",LX11&gt;=MI$21,LX11&lt;&gt;""),AND(LY11&gt;=MI$17,LY11&lt;&gt;"",MA11&gt;=MI$21,MA11&lt;&gt;""),AND(MC11&gt;=MI$17,MC11&lt;&gt;"",ME11&gt;=MI$21,ME11&lt;&gt;""),AND(MF11&gt;=MI$17,MF11&lt;&gt;"",MH11&gt;=MI$21,MH11&lt;&gt;""),AND(ND11&gt;=NQ$17,ND11&lt;&gt;"",NF11&gt;=NQ$21,NF11&lt;&gt;""),AND(NG11&gt;=NQ$17,NG11&lt;&gt;"",NI11&gt;=NQ$21,NI11&lt;&gt;""),AND(NK11&gt;=NQ$17,NK11&lt;&gt;"",NM11&gt;=NQ$21,NM11&lt;&gt;""),AND(NN11&gt;=NQ$17,NN11&lt;&gt;"",NP11&gt;=NQ$21,NP11&lt;&gt;""),AND(OL11&gt;=OY$17,OL11&lt;&gt;"",ON11&gt;=OY$21,ON11&lt;&gt;""),AND(OO11&gt;=OY$17,OO11&lt;&gt;"",OQ11&gt;=OY$21,OQ11&lt;&gt;""),AND(OS11&gt;=OY$17,OS11&lt;&gt;"",OU11&gt;=OY$21,OU11&lt;&gt;""),AND(OV11&gt;=OY$17,OV11&lt;&gt;"",OX11&gt;=OY$21,OX11&lt;&gt;""),AND(PT11&gt;=QG$17,PT11&lt;&gt;"",PV11&gt;=QG$21,PV11&lt;&gt;""),AND(PW11&gt;=QG$17,PW11&lt;&gt;"",PY11&gt;=QG$21,PY11&lt;&gt;""),AND(QA11&gt;=QG$17,QA11&lt;&gt;"",QC11&gt;=QG$21,QC11&lt;&gt;""),AND(QD11&gt;=QG$17,QD11&lt;&gt;"",QF11&gt;=QG$21,QF11&lt;&gt;""),AND(RB11&gt;=RO$17,RB11&lt;&gt;"",RD11&gt;=RO$21,RD11&lt;&gt;""),AND(RE11&gt;=RO$17,RE11&lt;&gt;"",RG11&gt;=RO$21,RG11&lt;&gt;""),AND(RI11&gt;=RO$17,RI11&lt;&gt;"",RK11&gt;=RO$21,RK11&lt;&gt;""),AND(RL11&gt;=RO$17,RL11&lt;&gt;"",RN11&gt;=RO$21,RN11&lt;&gt;""),AND(SJ11&gt;=SW$17,SJ11&lt;&gt;"",SL11&gt;=SW$21,SL11&lt;&gt;""),AND(SM11&gt;=SW$17,SM11&lt;&gt;"",SO11&gt;=SW$21,SO11&lt;&gt;""),AND(SQ11&gt;=SW$17,SQ11&lt;&gt;"",SS11&gt;=SW$21,SS11&lt;&gt;""),AND(ST11&gt;=SW$17,ST11&lt;&gt;"",SV11&gt;=SW$21,SV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EB11&gt;=EM$21,EB11&lt;&gt;""),AND(EE11&gt;=EM$21,EE11&lt;&gt;""),AND(EI11&gt;=EM$21,EI11&lt;&gt;""),AND(EL11&gt;=EM$21,EL11&lt;&gt;""),AND(FJ11&gt;=FU$21,FJ11&lt;&gt;""),AND(FM11&gt;=FU$21,FM11&lt;&gt;""),AND(FQ11&gt;=FU$21,FQ11&lt;&gt;""),AND(FT11&gt;=FU$21,FT11&lt;&gt;""),AND(GR11&gt;=HC$21,GR11&lt;&gt;""),AND(GU11&gt;=HC$21,GU11&lt;&gt;""),AND(GY11&gt;=HC$21,GY11&lt;&gt;""),AND(HB11&gt;=HC$21,HB11&lt;&gt;""),AND(HZ11&gt;=IK$21,HZ11&lt;&gt;""),AND(IC11&gt;=IK$21,IC11&lt;&gt;""),AND(IG11&gt;=IK$21,IG11&lt;&gt;""),AND(IJ11&gt;=IK$21,IJ11&lt;&gt;""),AND(JH11&gt;=JS$21,JH11&lt;&gt;""),AND(JK11&gt;=JS$21,JK11&lt;&gt;""),AND(JO11&gt;=JS$21,JO11&lt;&gt;""),AND(JR11&gt;=JS$21,JR11&lt;&gt;""),AND(KP11&gt;=LA$21,KP11&lt;&gt;""),AND(KS11&gt;=LA$21,KS11&lt;&gt;""),AND(KW11&gt;=LA$21,KW11&lt;&gt;""),AND(KZ11&gt;=LA$21,KZ11&lt;&gt;""),AND(LX11&gt;=MI$21,LX11&lt;&gt;""),AND(MA11&gt;=MI$21,MA11&lt;&gt;""),AND(ME11&gt;=MI$21,ME11&lt;&gt;""),AND(MH11&gt;=MI$21,MH11&lt;&gt;""),AND(NF11&gt;=NQ$21,NF11&lt;&gt;""),AND(NI11&gt;=NQ$21,NI11&lt;&gt;""),AND(NM11&gt;=NQ$21,NM11&lt;&gt;""),AND(NP11&gt;=NQ$21,NP11&lt;&gt;""),AND(ON11&gt;=OY$21,ON11&lt;&gt;""),AND(OQ11&gt;=OY$21,OQ11&lt;&gt;""),AND(OU11&gt;=OY$21,OU11&lt;&gt;""),AND(OX11&gt;=OY$21,OX11&lt;&gt;""),AND(PV11&gt;=QG$21,PV11&lt;&gt;""),AND(PY11&gt;=QG$21,PY11&lt;&gt;""),AND(QC11&gt;=QG$21,QC11&lt;&gt;""),AND(QF11&gt;=QG$21,QF11&lt;&gt;""),AND(RD11&gt;=RO$21,RD11&lt;&gt;""),AND(RG11&gt;=RO$21,RG11&lt;&gt;""),AND(RK11&gt;=RO$21,RK11&lt;&gt;""),AND(RN11&gt;=RO$21,RN11&lt;&gt;""),AND(SL11&gt;=SW$21,SL11&lt;&gt;""),AND(SO11&gt;=SW$21,SO11&lt;&gt;""),AND(SS11&gt;=SW$21,SS11&lt;&gt;""),AND(SV11&gt;=SW$21,SV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Z11&gt;=EM$20,DZ11&lt;&gt;"",EB11&gt;=EM$24,EB11&lt;&gt;""),AND(EC11&gt;=EM$20,EC11&lt;&gt;"",EE11&gt;=EM$24,EE11&lt;&gt;""),AND(EG11&gt;=EM$20,EG11&lt;&gt;"",EI11&gt;=EM$24,EI11&lt;&gt;""),AND(EJ11&gt;=EM$20,EJ11&lt;&gt;"",EL11&gt;=EM$24,EL11&lt;&gt;""),AND(FH11&gt;=FU$20,FH11&lt;&gt;"",FJ11&gt;=FU$24,FJ11&lt;&gt;""),AND(FK11&gt;=FU$20,FK11&lt;&gt;"",FM11&gt;=FU$24,FM11&lt;&gt;""),AND(FO11&gt;=FU$20,FO11&lt;&gt;"",FQ11&gt;=FU$24,FQ11&lt;&gt;""),AND(FR11&gt;=FU$20,FR11&lt;&gt;"",FT11&gt;=FU$24,FT11&lt;&gt;""),AND(GP11&gt;=HC$20,GP11&lt;&gt;"",GR11&gt;=HC$24,GR11&lt;&gt;""),AND(GS11&gt;=HC$20,GS11&lt;&gt;"",GU11&gt;=HC$24,GU11&lt;&gt;""),AND(GW11&gt;=HC$20,GW11&lt;&gt;"",GY11&gt;=HC$24,GY11&lt;&gt;""),AND(GZ11&gt;=HC$20,GZ11&lt;&gt;"",HB11&gt;=HC$24,HB11&lt;&gt;""),AND(HX11&gt;=IK$20,HX11&lt;&gt;"",HZ11&gt;=IK$24,HZ11&lt;&gt;""),AND(IA11&gt;=IK$20,IA11&lt;&gt;"",IC11&gt;=IK$24,IC11&lt;&gt;""),AND(IE11&gt;=IK$20,IE11&lt;&gt;"",IG11&gt;=IK$24,IG11&lt;&gt;""),AND(IH11&gt;=IK$20,IH11&lt;&gt;"",IJ11&gt;=IK$24,IJ11&lt;&gt;""),AND(JF11&gt;=JS$20,JF11&lt;&gt;"",JH11&gt;=JS$24,JH11&lt;&gt;""),AND(JI11&gt;=JS$20,JI11&lt;&gt;"",JK11&gt;=JS$24,JK11&lt;&gt;""),AND(JM11&gt;=JS$20,JM11&lt;&gt;"",JO11&gt;=JS$24,JO11&lt;&gt;""),AND(JP11&gt;=JS$20,JP11&lt;&gt;"",JR11&gt;=JS$24,JR11&lt;&gt;""),AND(KN11&gt;=LA$20,KN11&lt;&gt;"",KP11&gt;=LA$24,KP11&lt;&gt;""),AND(KQ11&gt;=LA$20,KQ11&lt;&gt;"",KS11&gt;=LA$24,KS11&lt;&gt;""),AND(KU11&gt;=LA$20,KU11&lt;&gt;"",KW11&gt;=LA$24,KW11&lt;&gt;""),AND(KX11&gt;=LA$20,KX11&lt;&gt;"",KZ11&gt;=LA$24,KZ11&lt;&gt;""),AND(LV11&gt;=MI$20,LV11&lt;&gt;"",LX11&gt;=MI$24,LX11&lt;&gt;""),AND(LY11&gt;=MI$20,LY11&lt;&gt;"",MA11&gt;=MI$24,MA11&lt;&gt;""),AND(MC11&gt;=MI$20,MC11&lt;&gt;"",ME11&gt;=MI$24,ME11&lt;&gt;""),AND(MF11&gt;=MI$20,MF11&lt;&gt;"",MH11&gt;=MI$24,MH11&lt;&gt;""),AND(ND11&gt;=NQ$20,ND11&lt;&gt;"",NF11&gt;=NQ$24,NF11&lt;&gt;""),AND(NG11&gt;=NQ$20,NG11&lt;&gt;"",NI11&gt;=NQ$24,NI11&lt;&gt;""),AND(NK11&gt;=NQ$20,NK11&lt;&gt;"",NM11&gt;=NQ$24,NM11&lt;&gt;""),AND(NN11&gt;=NQ$20,NN11&lt;&gt;"",NP11&gt;=NQ$24,NP11&lt;&gt;""),AND(OL11&gt;=OY$20,OL11&lt;&gt;"",ON11&gt;=OY$24,ON11&lt;&gt;""),AND(OO11&gt;=OY$20,OO11&lt;&gt;"",OQ11&gt;=OY$24,OQ11&lt;&gt;""),AND(OS11&gt;=OY$20,OS11&lt;&gt;"",OU11&gt;=OY$24,OU11&lt;&gt;""),AND(OV11&gt;=OY$20,OV11&lt;&gt;"",OX11&gt;=OY$24,OX11&lt;&gt;""),AND(PT11&gt;=QG$20,PT11&lt;&gt;"",PV11&gt;=QG$24,PV11&lt;&gt;""),AND(PW11&gt;=QG$20,PW11&lt;&gt;"",PY11&gt;=QG$24,PY11&lt;&gt;""),AND(QA11&gt;=QG$20,QA11&lt;&gt;"",QC11&gt;=QG$24,QC11&lt;&gt;""),AND(QD11&gt;=QG$20,QD11&lt;&gt;"",QF11&gt;=QG$24,QF11&lt;&gt;""),AND(RB11&gt;=RO$20,RB11&lt;&gt;"",RD11&gt;=RO$24,RD11&lt;&gt;""),AND(RE11&gt;=RO$20,RE11&lt;&gt;"",RG11&gt;=RO$24,RG11&lt;&gt;""),AND(RI11&gt;=RO$20,RI11&lt;&gt;"",RK11&gt;=RO$24,RK11&lt;&gt;""),AND(RL11&gt;=RO$20,RL11&lt;&gt;"",RN11&gt;=RO$24,RN11&lt;&gt;""),AND(SJ11&gt;=SW$20,SJ11&lt;&gt;"",SL11&gt;=SW$24,SL11&lt;&gt;""),AND(SM11&gt;=SW$20,SM11&lt;&gt;"",SO11&gt;=SW$24,SO11&lt;&gt;""),AND(SQ11&gt;=SW$20,SQ11&lt;&gt;"",SS11&gt;=SW$24,SS11&lt;&gt;""),AND(ST11&gt;=SW$20,ST11&lt;&gt;"",SV11&gt;=SW$24,SV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Z11&gt;=EM$19,DZ11&lt;&gt;"",EB11&gt;=EM$23,EB11&lt;&gt;""),AND(EC11&gt;=EM$19,EC11&lt;&gt;"",EE11&gt;=EM$23,EE11&lt;&gt;""),AND(EG11&gt;=EM$19,EG11&lt;&gt;"",EI11&gt;=EM$23,EI11&lt;&gt;""),AND(EJ11&gt;=EM$19,EJ11&lt;&gt;"",EL11&gt;=EM$23,EL11&lt;&gt;""),AND(FH11&gt;=FU$19,FH11&lt;&gt;"",FJ11&gt;=FU$23,FJ11&lt;&gt;""),AND(FK11&gt;=FU$19,FK11&lt;&gt;"",FM11&gt;=FU$23,FM11&lt;&gt;""),AND(FO11&gt;=FU$19,FO11&lt;&gt;"",FQ11&gt;=FU$23,FQ11&lt;&gt;""),AND(FR11&gt;=FU$19,FR11&lt;&gt;"",FT11&gt;=FU$23,FT11&lt;&gt;""),AND(GP11&gt;=HC$19,GP11&lt;&gt;"",GR11&gt;=HC$23,GR11&lt;&gt;""),AND(GS11&gt;=HC$19,GS11&lt;&gt;"",GU11&gt;=HC$23,GU11&lt;&gt;""),AND(GW11&gt;=HC$19,GW11&lt;&gt;"",GY11&gt;=HC$23,GY11&lt;&gt;""),AND(GZ11&gt;=HC$19,GZ11&lt;&gt;"",HB11&gt;=HC$23,HB11&lt;&gt;""),AND(HX11&gt;=IK$19,HX11&lt;&gt;"",HZ11&gt;=IK$23,HZ11&lt;&gt;""),AND(IA11&gt;=IK$19,IA11&lt;&gt;"",IC11&gt;=IK$23,IC11&lt;&gt;""),AND(IE11&gt;=IK$19,IE11&lt;&gt;"",IG11&gt;=IK$23,IG11&lt;&gt;""),AND(IH11&gt;=IK$19,IH11&lt;&gt;"",IJ11&gt;=IK$23,IJ11&lt;&gt;""),AND(JF11&gt;=JS$19,JF11&lt;&gt;"",JH11&gt;=JS$23,JH11&lt;&gt;""),AND(JI11&gt;=JS$19,JI11&lt;&gt;"",JK11&gt;=JS$23,JK11&lt;&gt;""),AND(JM11&gt;=JS$19,JM11&lt;&gt;"",JO11&gt;=JS$23,JO11&lt;&gt;""),AND(JP11&gt;=JS$19,JP11&lt;&gt;"",JR11&gt;=JS$23,JR11&lt;&gt;""),AND(KN11&gt;=LA$19,KN11&lt;&gt;"",KP11&gt;=LA$23,KP11&lt;&gt;""),AND(KQ11&gt;=LA$19,KQ11&lt;&gt;"",KS11&gt;=LA$23,KS11&lt;&gt;""),AND(KU11&gt;=LA$19,KU11&lt;&gt;"",KW11&gt;=LA$23,KW11&lt;&gt;""),AND(KX11&gt;=LA$19,KX11&lt;&gt;"",KZ11&gt;=LA$23,KZ11&lt;&gt;""),AND(LV11&gt;=MI$19,LV11&lt;&gt;"",LX11&gt;=MI$23,LX11&lt;&gt;""),AND(LY11&gt;=MI$19,LY11&lt;&gt;"",MA11&gt;=MI$23,MA11&lt;&gt;""),AND(MC11&gt;=MI$19,MC11&lt;&gt;"",ME11&gt;=MI$23,ME11&lt;&gt;""),AND(MF11&gt;=MI$19,MF11&lt;&gt;"",MH11&gt;=MI$23,MH11&lt;&gt;""),AND(ND11&gt;=NQ$19,ND11&lt;&gt;"",NF11&gt;=NQ$23,NF11&lt;&gt;""),AND(NG11&gt;=NQ$19,NG11&lt;&gt;"",NI11&gt;=NQ$23,NI11&lt;&gt;""),AND(NK11&gt;=NQ$19,NK11&lt;&gt;"",NM11&gt;=NQ$23,NM11&lt;&gt;""),AND(NN11&gt;=NQ$19,NN11&lt;&gt;"",NP11&gt;=NQ$23,NP11&lt;&gt;""),AND(OL11&gt;=OY$19,OL11&lt;&gt;"",ON11&gt;=OY$23,ON11&lt;&gt;""),AND(OO11&gt;=OY$19,OO11&lt;&gt;"",OQ11&gt;=OY$23,OQ11&lt;&gt;""),AND(OS11&gt;=OY$19,OS11&lt;&gt;"",OU11&gt;=OY$23,OU11&lt;&gt;""),AND(OV11&gt;=OY$19,OV11&lt;&gt;"",OX11&gt;=OY$23,OX11&lt;&gt;""),AND(PT11&gt;=QG$19,PT11&lt;&gt;"",PV11&gt;=QG$23,PV11&lt;&gt;""),AND(PW11&gt;=QG$19,PW11&lt;&gt;"",PY11&gt;=QG$23,PY11&lt;&gt;""),AND(QA11&gt;=QG$19,QA11&lt;&gt;"",QC11&gt;=QG$23,QC11&lt;&gt;""),AND(QD11&gt;=QG$19,QD11&lt;&gt;"",QF11&gt;=QG$23,QF11&lt;&gt;""),AND(RB11&gt;=RO$19,RB11&lt;&gt;"",RD11&gt;=RO$23,RD11&lt;&gt;""),AND(RE11&gt;=RO$19,RE11&lt;&gt;"",RG11&gt;=RO$23,RG11&lt;&gt;""),AND(RI11&gt;=RO$19,RI11&lt;&gt;"",RK11&gt;=RO$23,RK11&lt;&gt;""),AND(RL11&gt;=RO$19,RL11&lt;&gt;"",RN11&gt;=RO$23,RN11&lt;&gt;""),AND(SJ11&gt;=SW$19,SJ11&lt;&gt;"",SL11&gt;=SW$23,SL11&lt;&gt;""),AND(SM11&gt;=SW$19,SM11&lt;&gt;"",SO11&gt;=SW$23,SO11&lt;&gt;""),AND(SQ11&gt;=SW$19,SQ11&lt;&gt;"",SS11&gt;=SW$23,SS11&lt;&gt;""),AND(ST11&gt;=SW$19,ST11&lt;&gt;"",SV11&gt;=SW$23,SV11&lt;&gt;"")),"Excellence",IF(I11="P","Worlds Team",IF(F11="P","National Team","")))))</f>
        <v>Merit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Z11&gt;=EM$18,DZ11&lt;&gt;"",EB11&gt;=EM$22,EB11&lt;&gt;""),AND(EC11&gt;=EM$18,EC11&lt;&gt;"",EE11&gt;=EM$22,EE11&lt;&gt;""),AND(EG11&gt;=EM$18,EG11&lt;&gt;"",EI11&gt;=EM$22,EI11&lt;&gt;""),AND(EJ11&gt;=EM$18,EJ11&lt;&gt;"",EL11&gt;=EM$22,EL11&lt;&gt;""),AND(FH11&gt;=FU$18,FH11&lt;&gt;"",FJ11&gt;=FU$22,FJ11&lt;&gt;""),AND(FK11&gt;=FU$18,FK11&lt;&gt;"",FM11&gt;=FU$22,FM11&lt;&gt;""),AND(FO11&gt;=FU$18,FO11&lt;&gt;"",FQ11&gt;=FU$22,FQ11&lt;&gt;""),AND(FR11&gt;=FU$18,FR11&lt;&gt;"",FT11&gt;=FU$22,FT11&lt;&gt;""),AND(GP11&gt;=HC$18,GP11&lt;&gt;"",GR11&gt;=HC$22,GR11&lt;&gt;""),AND(GS11&gt;=HC$18,GS11&lt;&gt;"",GU11&gt;=HC$22,GU11&lt;&gt;""),AND(GW11&gt;=HC$18,GW11&lt;&gt;"",GY11&gt;=HC$22,GY11&lt;&gt;""),AND(GZ11&gt;=HC$18,GZ11&lt;&gt;"",HB11&gt;=HC$22,HB11&lt;&gt;""),AND(HX11&gt;=IK$18,HX11&lt;&gt;"",HZ11&gt;=IK$22,HZ11&lt;&gt;""),AND(IA11&gt;=IK$18,IA11&lt;&gt;"",IC11&gt;=IK$22,IC11&lt;&gt;""),AND(IE11&gt;=IK$18,IE11&lt;&gt;"",IG11&gt;=IK$22,IG11&lt;&gt;""),AND(IH11&gt;=IK$18,IH11&lt;&gt;"",IJ11&gt;=IK$22,IJ11&lt;&gt;""),AND(JF11&gt;=JS$18,JF11&lt;&gt;"",JH11&gt;=JS$22,JH11&lt;&gt;""),AND(JI11&gt;=JS$18,JI11&lt;&gt;"",JK11&gt;=JS$22,JK11&lt;&gt;""),AND(JM11&gt;=JS$18,JM11&lt;&gt;"",JO11&gt;=JS$22,JO11&lt;&gt;""),AND(JP11&gt;=JS$18,JP11&lt;&gt;"",JR11&gt;=JS$22,JR11&lt;&gt;""),AND(KN11&gt;=LA$18,KN11&lt;&gt;"",KP11&gt;=LA$22,KP11&lt;&gt;""),AND(KQ11&gt;=LA$18,KQ11&lt;&gt;"",KS11&gt;=LA$22,KS11&lt;&gt;""),AND(KU11&gt;=LA$18,KU11&lt;&gt;"",KW11&gt;=LA$22,KW11&lt;&gt;""),AND(KX11&gt;=LA$18,KX11&lt;&gt;"",KZ11&gt;=LA$22,KZ11&lt;&gt;""),AND(LV11&gt;=MI$18,LV11&lt;&gt;"",LX11&gt;=MI$22,LX11&lt;&gt;""),AND(LY11&gt;=MI$18,LY11&lt;&gt;"",MA11&gt;=MI$22,MA11&lt;&gt;""),AND(MC11&gt;=MI$18,MC11&lt;&gt;"",ME11&gt;=MI$22,ME11&lt;&gt;""),AND(MF11&gt;=MI$18,MF11&lt;&gt;"",MH11&gt;=MI$22,MH11&lt;&gt;""),AND(ND11&gt;=NQ$18,ND11&lt;&gt;"",NF11&gt;=NQ$22,NF11&lt;&gt;""),AND(NG11&gt;=NQ$18,NG11&lt;&gt;"",NI11&gt;=NQ$22,NI11&lt;&gt;""),AND(NK11&gt;=NQ$18,NK11&lt;&gt;"",NM11&gt;=NQ$22,NM11&lt;&gt;""),AND(NN11&gt;=NQ$18,NN11&lt;&gt;"",NP11&gt;=NQ$22,NP11&lt;&gt;""),AND(OL11&gt;=OY$18,OL11&lt;&gt;"",ON11&gt;=OY$22,ON11&lt;&gt;""),AND(OO11&gt;=OY$18,OO11&lt;&gt;"",OQ11&gt;=OY$22,OQ11&lt;&gt;""),AND(OS11&gt;=OY$18,OS11&lt;&gt;"",OU11&gt;=OY$22,OU11&lt;&gt;""),AND(OV11&gt;=OY$18,OV11&lt;&gt;"",OX11&gt;=OY$22,OX11&lt;&gt;""),AND(PT11&gt;=QG$18,PT11&lt;&gt;"",PV11&gt;=QG$22,PV11&lt;&gt;""),AND(PW11&gt;=QG$18,PW11&lt;&gt;"",PY11&gt;=QG$22,PY11&lt;&gt;""),AND(QA11&gt;=QG$18,QA11&lt;&gt;"",QC11&gt;=QG$22,QC11&lt;&gt;""),AND(QD11&gt;=QG$18,QD11&lt;&gt;"",QF11&gt;=QG$22,QF11&lt;&gt;""),AND(RB11&gt;=RO$18,RB11&lt;&gt;"",RD11&gt;=RO$22,RD11&lt;&gt;""),AND(RE11&gt;=RO$18,RE11&lt;&gt;"",RG11&gt;=RO$22,RG11&lt;&gt;""),AND(RI11&gt;=RO$18,RI11&lt;&gt;"",RK11&gt;=RO$22,RK11&lt;&gt;""),AND(RL11&gt;=RO$18,RL11&lt;&gt;"",RN11&gt;=RO$22,RN11&lt;&gt;""),AND(SJ11&gt;=SW$18,SJ11&lt;&gt;"",SL11&gt;=SW$22,SL11&lt;&gt;""),AND(SM11&gt;=SW$18,SM11&lt;&gt;"",SO11&gt;=SW$22,SO11&lt;&gt;""),AND(SQ11&gt;=SW$18,SQ11&lt;&gt;"",SS11&gt;=SW$22,SS11&lt;&gt;""),AND(ST11&gt;=SW$18,ST11&lt;&gt;"",SV11&gt;=SW$22,SV11&lt;&gt;"")),"P","")</f>
        <v>P</v>
      </c>
      <c r="J11" s="13">
        <f>IF(COUNT(AQ11,AT11,BR11,BU11,CS11,CV11)&gt;0,LARGE((AQ11,AT11,BR11,BU11,CS11,CV11),1),0)</f>
        <v>54.330000000000005</v>
      </c>
      <c r="K11" s="13" t="str">
        <f>IF(J11="","",IF(OR(J11=CS11,J11=CV11),$CA$1,IF(OR(J11=BR11,J11=BU11),$AZ$1,IF(OR(J11=AQ11,J11=AT11),$Y$1,""))))</f>
        <v>2021 Elite Canada</v>
      </c>
      <c r="L11" s="13">
        <f>IF(COUNT(AQ11,AT11,BR11,BU11,CS11,CV11)&gt;1,LARGE((AQ11,AT11,BR11,BU11,CS11,CV11),2),0)</f>
        <v>51.995000000000005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54.994999999999997</v>
      </c>
      <c r="Q11" s="13" t="str">
        <f>IF(P11="","",IF(P11=CZ11,$CA$1,IF(P11=BY11,$AZ$1,IF(P11=AX11,$Y$1,""))))</f>
        <v>2021 Elite Canada</v>
      </c>
      <c r="R11" s="13">
        <f>IF(MAX(AO11,AR11,AV11,BP11,BS11,BW11,CQ11,CT11,CX11)&gt;0,MAX(AO11,AR11,BP11,BS11,CQ11,CT11,AV11),0)</f>
        <v>13.6</v>
      </c>
      <c r="S11" s="13" t="str">
        <f>IF(R11=0,"",IF(OR(R11=CQ11,R11=CT11,R11=CX11),$CA$1,IF(OR(R11=BP11,R11=BS11,R11=BW11),$AZ$1,IF(OR(R11=AO11,R11=AR11,R11=AV11),$Y$1,""))))</f>
        <v>2021 Elite Canada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),0)</f>
        <v>15.93</v>
      </c>
      <c r="U11" s="13" t="str">
        <f>IF(T11=0,"",IF(OR(T11=CR11,T11=CU11,T11=CY11),$CA$1,IF(OR(T11=BQ11,T11=BT11,T11=BX11),$AZ$1,IF(OR(T11=AP11,T11=AS11,T11=AW11),$Y$1,""))))</f>
        <v>2021 Elite Canada</v>
      </c>
      <c r="V11" s="13">
        <f>IF(MAX(DB11,DC11,DD11,DE11)&gt;0,MAX(DB11,DC11,DD11,DE11),"")</f>
        <v>3.5999999999999943</v>
      </c>
      <c r="W11" s="16" t="str">
        <f>IF(V11="","",IF(V11=DB11,"("&amp;DB$2&amp;")",IF(V11=DC11,"("&amp;DC$2&amp;")",IF(V11=DD11,"("&amp;DD$2&amp;")",IF(V11=DE11,"("&amp;DE$2&amp;")")))))</f>
        <v>(Prelim)</v>
      </c>
      <c r="X11" s="13" t="str">
        <f>IF(V11="","",IF(V11=DB11,IF(V11+IF(L11="",0,L11)=SP11,$RP$1,IF(V11+IF(L11="",0,L11)=RH11,$QH$1,IF(V11+IF(L11="",0,L11)=PZ11,$OZ$1,IF(V11+IF(L11="",0,L11)=OR11,$NR$1,IF(V11+IF(L11="",0,L11)=NJ11,$MJ$1,IF(V11+IF(L11="",0,L11)=MB11,$LB$1,IF(V11+IF(L11="",0,L11)=KT11,$JT$1,IF(V11+IF(L11="",0,L11)=JL11,$IL$1,IF(V11+IF(L11="",0,L11)=ID11,$HD$1,IF(V11+IF(L11="",0,L11)=GV11,$FV$1,IF(V11+IF(L11="",0,L11)=FN11,$EN$1,IF(V11+IF(L11="",0,L11)=EF11,$DF$1)))))))))))),IF(V11=DC11,IF(V11+IF(P11="",0,P11)=SV11,$RP$1,IF(V11+IF(P11="",0,P11)=RN11,$QH$1,IF(V11+IF(P11="",0,P11)=QF11,$OZ$1,IF(V11+IF(P11="",0,P11)=OX11,$NR$1,IF(V11+IF(P11="",0,P11)=NP11,$MJ$1,IF(V11+IF(P11="",0,P11)=MH11,$LB$1,IF(V11+IF(P11="",0,P11)=KZ11,$JT$1,IF(V11+IF(P11="",0,P11)=JR11,$IL$1,IF(V11+IF(P11="",0,P11)=IJ11,$HD$1,IF(V11+IF(P11="",0,P11)=HB11,$FV$1,IF(V11+IF(P11="",0,P11)=FT11,$EN$1,IF(V11+IF(P11="",0,P11)=EL11,$DF$1)))))))))))),IF(V11=DD11,IF(V11+IF(R11="",0,R11)=MAX(SJ11,SM11,SQ11,ST11),$RP$1,IF(V11+IF(R11="",0,R11)=MAX(RB11,RE11,RI11,RL11),$QH$1,IF(V11+IF(R11="",0,R11)=MAX(PT11,PW11,QA11,QD11),$OZ$1,IF(V11+IF(R11="",0,R11)=MAX(OL11,OO11,OS11,OV11),$NR$1,IF(V11+IF(R11="",0,R11)=MAX(ND11,NG11,NK11,NN11),$MJ$1,IF(V11+IF(R11="",0,R11)=MAX(LV11,LY11,MC11,MF11),$LB$1,IF(V11+IF(R11="",0,R11)=MAX(KN11,KQ11,KU11,KX11),$JT$1,IF(V11+IF(R11="",0,R11)=MAX(JF11,JI11,JM11,JP11),$IL$1,IF(V11+IF(R11="",0,R11)=MAX(HX11,IA11,IE11,IH11),$HD$1,IF(V11+IF(R11="",0,R11)=MAX(GP11,GS11,GW11,GZ11),$FV$1,IF(V11+IF(R11="",0,R11)=MAX(FH11,FK11,FO11,FR11),$EN$1,IF(V11+IF(R11="",0,R11)=MAX(DZ11,EC11,EG11,EJ11),$DF$1)))))))))))),IF(V11=DE11,IF(V11+IF(T11="",0,T11)=MAX(SK11,SN11,SR11,SU11),$RP$1,IF(V11+IF(T11="",0,T11)=MAX(RC11,RF11,RJ11,RM11),$QH$1,IF(V11+IF(T11="",0,T11)=MAX(PU11,PX11,QB11,QE11),$OZ$1,IF(V11+IF(T11="",0,T11)=MAX(OM11,OP11,OT11,OW11),$NR$1,IF(V11+IF(T11="",0,T11)=MAX(NE11,NH11,NL11,NO11),$MJ$1,IF(V11+IF(T11="",0,T11)=MAX(LW11,LZ11,MD11,MG11),$LB$1,IF(V11+IF(T11="",0,T11)=MAX(KO11,KR11,KV11,KY11),$JT$1,IF(V11+IF(T11="",0,T11)=MAX(JG11,JJ11,JN11,JQ11),$IL$1,IF(V11+IF(T11="",0,T11)=MAX(HY11,IB11,IF11,II11),$HD$1,IF(V11+IF(T11="",0,T11)=MAX(GQ11,GT11,GX11,HA11),$FV$1,IF(V11+IF(T11="",0,T11)=MAX(FI11,FL11,FP11,FS11),$EN$1,IF(V11+IF(T11="",0,T11)=MAX(EA11,ED11,EH11,EK11),$DF$1)))))))))))))))))</f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>IF(AA11&gt;0,AA11,"")</f>
        <v>11.8</v>
      </c>
      <c r="AP11" s="74">
        <f>IF(AB11&gt;0,AB11,"")</f>
        <v>16.395</v>
      </c>
      <c r="AQ11" s="76">
        <f>IF(SUM(Y11:AB11)-AC11&gt;0,SUM(Y11:AB11)-AC11,"")</f>
        <v>51.995000000000005</v>
      </c>
      <c r="AR11" s="76">
        <f>IF(AF11&gt;0,AF11,"")</f>
        <v>13.3</v>
      </c>
      <c r="AS11" s="76">
        <f>IF(AG11&gt;0,AG11,"")</f>
        <v>15.93</v>
      </c>
      <c r="AT11" s="76">
        <f>IF(SUM(AD11:AG11)-AH11&gt;0,SUM(AD11:AG11)-AH11,"")</f>
        <v>54.330000000000005</v>
      </c>
      <c r="AU11" s="76">
        <f>IF(AQ11="","",MAX(AQ11,AT11))</f>
        <v>54.330000000000005</v>
      </c>
      <c r="AV11" s="76">
        <f>IF(AK11&gt;0,AK11,"")</f>
        <v>13.6</v>
      </c>
      <c r="AW11" s="76">
        <f>IF(AL11&gt;0,AL11,"")</f>
        <v>15.595000000000001</v>
      </c>
      <c r="AX11" s="76">
        <f>IF(SUM(AI11:AL11)-AM11&gt;0,SUM(AI11:AL11)-AM11,"")</f>
        <v>54.994999999999997</v>
      </c>
      <c r="AY11" s="76">
        <f>IF(SUM(AU11,AX11)&gt;0,SUM(AU11,AX11),"")</f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>
        <f>IF(L11&gt;=0.001,IF(MAX(EF11,FN11,GV11,ID11,JL11,KT11,MB11,NJ11,OR11,PZ11,RH11,SP11)-IF(L11="",0,L11)&gt;0.001,MAX(EF11,FN11,GV11,ID11,JL11,KT11,MB11,NJ11,OR11,PZ11,RH11,SP11)-IF(L11="",0,L11),""),"")</f>
        <v>3.5999999999999943</v>
      </c>
      <c r="DC11" s="87">
        <f>IF(P11&gt;=0.001,IF(MAX(EI11,EL11,FQ11,FT11,GY11,HB11,IG11,IJ11,JO11,JR11,KW11,KZ11,ME11,MH11,NM11,NP11,OU11,OX11,QC11,QF11,RK11,RN11,SS11,SV11)-IF(P11="",0,P11)&gt;0.001,MAX(EI11,EL11,FQ11,FT11,GY11,HB11,IG11,IJ11,JO11,JR11,KW11,KZ11,ME11,MH11,NM11,NP11,OU11,OX11,QC11,QF11,RK11,RN11,SS11,SV11)-IF(P11="",0,P11),""),"")</f>
        <v>0.46499999999999631</v>
      </c>
      <c r="DD11" s="87">
        <f>IF(R11&gt;=0.001,IF(MAX(DZ11,EC11,EG11,EJ11,FH11,FK11,FO11,FR11,GP11,GS11,GW11,GZ11,HX11,IA11,IE11,IH11,JF11,JI11,JM11,JP11,KN11,KQ11,KU11,KX11,LV11,LY11,MC11,MF11,ND11,NG11,NK11,NN11,OL11,OO11,OS11,OV11,PT11,PW11,QA11,QD11,RB11,RE11,RI11,RL11,SJ11,SM11,SQ11,ST11)-IF(R11="",0,R11)&gt;0.001,MAX(DZ11,EC11,EG11,EJ11,FH11,FK11,FO11,FR11,GP11,GS11,GW11,GZ11,HX11,IA11,IE11,IH11,JF11,JI11,JM11,JP11,KN11,KQ11,KU11,KX11,LV11,LY11,MC11,MF11,ND11,NG11,NK11,NN11,OL11,OO11,OS11,OV11,PT11,PW11,QA11,QD11,RB11,RE11,RI11,RL11,SJ11,SM11,SQ11,ST11)-IF(R11="",0,R11),""),"")</f>
        <v>1.3000000000000007</v>
      </c>
      <c r="DE11" s="87" t="str">
        <f>IF(T11&gt;=0.001,IF(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&gt;0.001,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,""),"")</f>
        <v/>
      </c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76" t="str">
        <f>IF(DH11&gt;0,DH11,"")</f>
        <v/>
      </c>
      <c r="EA11" s="76" t="str">
        <f>IF(DI11&gt;0,DI11,"")</f>
        <v/>
      </c>
      <c r="EB11" s="76" t="str">
        <f>IF(SUM(DF11:DI11)-DJ11&gt;0,SUM(DF11:DI11)-DJ11,"")</f>
        <v/>
      </c>
      <c r="EC11" s="76" t="str">
        <f>IF(DM11&gt;0,DM11,"")</f>
        <v/>
      </c>
      <c r="ED11" s="76" t="str">
        <f>IF(DN11&gt;0,DN11,"")</f>
        <v/>
      </c>
      <c r="EE11" s="76" t="str">
        <f>IF(SUM(DK11:DN11)-DO11&gt;0,SUM(DK11:DN11)-DO11,"")</f>
        <v/>
      </c>
      <c r="EF11" s="76" t="str">
        <f>IF(MAX(EB11,EE11)&gt;0,MAX(EB11,EE11),"")</f>
        <v/>
      </c>
      <c r="EG11" s="76" t="str">
        <f>IF(DR11&gt;0,DR11,"")</f>
        <v/>
      </c>
      <c r="EH11" s="76" t="str">
        <f>IF(DS11&gt;0,DS11,"")</f>
        <v/>
      </c>
      <c r="EI11" s="76" t="str">
        <f>IF(SUM(DP11:DS11)-DT11&gt;0,SUM(DP11:DS11)-DT11,"")</f>
        <v/>
      </c>
      <c r="EJ11" s="76" t="str">
        <f>IF(DW11&gt;0,DW11,"")</f>
        <v/>
      </c>
      <c r="EK11" s="76" t="str">
        <f>IF(DX11&gt;0,DX11,"")</f>
        <v/>
      </c>
      <c r="EL11" s="76" t="str">
        <f>IF(SUM(DU11:DX11)-DY11&gt;0,SUM(DU11:DX11)-DY11,"")</f>
        <v/>
      </c>
      <c r="EM11" s="76" t="str">
        <f>IF(SUM(EF11,EL11)&gt;0,SUM(EF11,EL11),"")</f>
        <v/>
      </c>
      <c r="EN11" s="26">
        <v>15.5</v>
      </c>
      <c r="EO11" s="26">
        <v>9.5</v>
      </c>
      <c r="EP11" s="26">
        <v>14.9</v>
      </c>
      <c r="EQ11" s="26">
        <v>15.695</v>
      </c>
      <c r="ER11" s="26">
        <v>0</v>
      </c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>
        <v>15.6</v>
      </c>
      <c r="FD11" s="26">
        <v>9.1999999999999993</v>
      </c>
      <c r="FE11" s="26">
        <v>14.9</v>
      </c>
      <c r="FF11" s="26">
        <v>15.76</v>
      </c>
      <c r="FG11" s="26">
        <v>0</v>
      </c>
      <c r="FH11" s="16">
        <f>IF(EP11&gt;0,EP11,"")</f>
        <v>14.9</v>
      </c>
      <c r="FI11" s="16">
        <f>IF(EQ11&gt;0,EQ11,"")</f>
        <v>15.695</v>
      </c>
      <c r="FJ11" s="16">
        <f>IF(SUM(EN11:EQ11)-ER11&gt;0,SUM(EN11:EQ11)-ER11,"")</f>
        <v>55.594999999999999</v>
      </c>
      <c r="FK11" s="16" t="str">
        <f>IF(EU11&gt;0,EU11,"")</f>
        <v/>
      </c>
      <c r="FL11" s="16" t="str">
        <f>IF(EV11&gt;0,EV11,"")</f>
        <v/>
      </c>
      <c r="FM11" s="16" t="str">
        <f>IF(SUM(ES11:EV11)-EW11&gt;0,SUM(ES11:EV11)-EW11,"")</f>
        <v/>
      </c>
      <c r="FN11" s="16">
        <f>IF(MAX(FJ11,FM11)&gt;0,MAX(FJ11,FM11),"")</f>
        <v>55.594999999999999</v>
      </c>
      <c r="FO11" s="16" t="str">
        <f>IF(EZ11&gt;0,EZ11,"")</f>
        <v/>
      </c>
      <c r="FP11" s="16" t="str">
        <f>IF(FA11&gt;0,FA11,"")</f>
        <v/>
      </c>
      <c r="FQ11" s="16" t="str">
        <f>IF(SUM(EX11:FA11)-FB11&gt;0,SUM(EX11:FA11)-FB11,"")</f>
        <v/>
      </c>
      <c r="FR11" s="16">
        <f>IF(FE11&gt;0,FE11,"")</f>
        <v>14.9</v>
      </c>
      <c r="FS11" s="16">
        <f>IF(FF11&gt;0,FF11,"")</f>
        <v>15.76</v>
      </c>
      <c r="FT11" s="16">
        <f>IF(SUM(FC11:FF11)-FG11&gt;0,SUM(FC11:FF11)-FG11,"")</f>
        <v>55.459999999999994</v>
      </c>
      <c r="FU11" s="16">
        <f>IF(SUM(FN11,FT11)&gt;0,SUM(FN11,FT11),"")</f>
        <v>111.05499999999999</v>
      </c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76" t="str">
        <f>IF(FX11&gt;0,FX11,"")</f>
        <v/>
      </c>
      <c r="GQ11" s="76" t="str">
        <f>IF(FY11&gt;0,FY11,"")</f>
        <v/>
      </c>
      <c r="GR11" s="76" t="str">
        <f>IF(SUM(FV11:FY11)-FZ11&gt;0,SUM(FV11:FY11)-FZ11,"")</f>
        <v/>
      </c>
      <c r="GS11" s="76" t="str">
        <f>IF(GC11&gt;0,GC11,"")</f>
        <v/>
      </c>
      <c r="GT11" s="76" t="str">
        <f>IF(GD11&gt;0,GD11,"")</f>
        <v/>
      </c>
      <c r="GU11" s="76" t="str">
        <f>IF(SUM(GA11:GD11)-GE11&gt;0,SUM(GA11:GD11)-GE11,"")</f>
        <v/>
      </c>
      <c r="GV11" s="76" t="str">
        <f>IF(MAX(GR11,GU11)&gt;0,MAX(GR11,GU11),"")</f>
        <v/>
      </c>
      <c r="GW11" s="76" t="str">
        <f>IF(GH11&gt;0,GH11,"")</f>
        <v/>
      </c>
      <c r="GX11" s="76" t="str">
        <f>IF(GI11&gt;0,GI11,"")</f>
        <v/>
      </c>
      <c r="GY11" s="76" t="str">
        <f>IF(SUM(GF11:GI11)-GJ11&gt;0,SUM(GF11:GI11)-GJ11,"")</f>
        <v/>
      </c>
      <c r="GZ11" s="76" t="str">
        <f>IF(GM11&gt;0,GM11,"")</f>
        <v/>
      </c>
      <c r="HA11" s="76" t="str">
        <f>IF(GN11&gt;0,GN11,"")</f>
        <v/>
      </c>
      <c r="HB11" s="76" t="str">
        <f>IF(SUM(GK11:GN11)-GO11&gt;0,SUM(GK11:GN11)-GO11,"")</f>
        <v/>
      </c>
      <c r="HC11" s="76" t="str">
        <f>IF(SUM(GV11,HB11)&gt;0,SUM(GV11,HB11),"")</f>
        <v/>
      </c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16" t="str">
        <f>IF(HF11&gt;0,HF11,"")</f>
        <v/>
      </c>
      <c r="HY11" s="16" t="str">
        <f>IF(HG11&gt;0,HG11,"")</f>
        <v/>
      </c>
      <c r="HZ11" s="16" t="str">
        <f>IF(SUM(HD11:HG11)-HH11&gt;0,SUM(HD11:HG11)-HH11,"")</f>
        <v/>
      </c>
      <c r="IA11" s="16" t="str">
        <f>IF(HK11&gt;0,HK11,"")</f>
        <v/>
      </c>
      <c r="IB11" s="16" t="str">
        <f>IF(HL11&gt;0,HL11,"")</f>
        <v/>
      </c>
      <c r="IC11" s="16" t="str">
        <f>IF(SUM(HI11:HL11)-HM11&gt;0,SUM(HI11:HL11)-HM11,"")</f>
        <v/>
      </c>
      <c r="ID11" s="16" t="str">
        <f>IF(MAX(HZ11,IC11)&gt;0,MAX(HZ11,IC11),"")</f>
        <v/>
      </c>
      <c r="IE11" s="16" t="str">
        <f>IF(HP11&gt;0,HP11,"")</f>
        <v/>
      </c>
      <c r="IF11" s="16" t="str">
        <f>IF(HQ11&gt;0,HQ11,"")</f>
        <v/>
      </c>
      <c r="IG11" s="16" t="str">
        <f>IF(SUM(HN11:HQ11)-HR11&gt;0,SUM(HN11:HQ11)-HR11,"")</f>
        <v/>
      </c>
      <c r="IH11" s="16" t="str">
        <f>IF(HU11&gt;0,HU11,"")</f>
        <v/>
      </c>
      <c r="II11" s="16" t="str">
        <f>IF(HV11&gt;0,HV11,"")</f>
        <v/>
      </c>
      <c r="IJ11" s="16" t="str">
        <f>IF(SUM(HS11:HV11)-HW11&gt;0,SUM(HS11:HV11)-HW11,"")</f>
        <v/>
      </c>
      <c r="IK11" s="16" t="str">
        <f>IF(SUM(ID11,IJ11)&gt;0,SUM(ID11,IJ11),"")</f>
        <v/>
      </c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76" t="str">
        <f>IF(IN11&gt;0,IN11,"")</f>
        <v/>
      </c>
      <c r="JG11" s="76" t="str">
        <f>IF(IO11&gt;0,IO11,"")</f>
        <v/>
      </c>
      <c r="JH11" s="76" t="str">
        <f>IF(SUM(IL11:IO11)-IP11&gt;0,SUM(IL11:IO11)-IP11,"")</f>
        <v/>
      </c>
      <c r="JI11" s="76" t="str">
        <f>IF(IS11&gt;0,IS11,"")</f>
        <v/>
      </c>
      <c r="JJ11" s="76" t="str">
        <f>IF(IT11&gt;0,IT11,"")</f>
        <v/>
      </c>
      <c r="JK11" s="76" t="str">
        <f>IF(SUM(IQ11:IT11)-IU11&gt;0,SUM(IQ11:IT11)-IU11,"")</f>
        <v/>
      </c>
      <c r="JL11" s="76" t="str">
        <f>IF(MAX(JH11,JK11)&gt;0,MAX(JH11,JK11),"")</f>
        <v/>
      </c>
      <c r="JM11" s="76" t="str">
        <f>IF(IX11&gt;0,IX11,"")</f>
        <v/>
      </c>
      <c r="JN11" s="76" t="str">
        <f>IF(IY11&gt;0,IY11,"")</f>
        <v/>
      </c>
      <c r="JO11" s="76" t="str">
        <f>IF(SUM(IV11:IY11)-IZ11&gt;0,SUM(IV11:IY11)-IZ11,"")</f>
        <v/>
      </c>
      <c r="JP11" s="76" t="str">
        <f>IF(JC11&gt;0,JC11,"")</f>
        <v/>
      </c>
      <c r="JQ11" s="76" t="str">
        <f>IF(JD11&gt;0,JD11,"")</f>
        <v/>
      </c>
      <c r="JR11" s="76" t="str">
        <f>IF(SUM(JA11:JD11)-JE11&gt;0,SUM(JA11:JD11)-JE11,"")</f>
        <v/>
      </c>
      <c r="JS11" s="76" t="str">
        <f>IF(SUM(JL11,JR11)&gt;0,SUM(JL11,JR11),"")</f>
        <v/>
      </c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16" t="str">
        <f>IF(JV11&gt;0,JV11,"")</f>
        <v/>
      </c>
      <c r="KO11" s="16" t="str">
        <f>IF(JW11&gt;0,JW11,"")</f>
        <v/>
      </c>
      <c r="KP11" s="16" t="str">
        <f>IF(SUM(JT11:JW11)-JX11&gt;0,SUM(JT11:JW11)-JX11,"")</f>
        <v/>
      </c>
      <c r="KQ11" s="16" t="str">
        <f>IF(KA11&gt;0,KA11,"")</f>
        <v/>
      </c>
      <c r="KR11" s="16" t="str">
        <f>IF(KB11&gt;0,KB11,"")</f>
        <v/>
      </c>
      <c r="KS11" s="16" t="str">
        <f>IF(SUM(JY11:KB11)-KC11&gt;0,SUM(JY11:KB11)-KC11,"")</f>
        <v/>
      </c>
      <c r="KT11" s="16" t="str">
        <f>IF(MAX(KP11,KS11)&gt;0,MAX(KP11,KS11),"")</f>
        <v/>
      </c>
      <c r="KU11" s="16" t="str">
        <f>IF(KF11&gt;0,KF11,"")</f>
        <v/>
      </c>
      <c r="KV11" s="16" t="str">
        <f>IF(KG11&gt;0,KG11,"")</f>
        <v/>
      </c>
      <c r="KW11" s="16" t="str">
        <f>IF(SUM(KD11:KG11)-KH11&gt;0,SUM(KD11:KG11)-KH11,"")</f>
        <v/>
      </c>
      <c r="KX11" s="16" t="str">
        <f>IF(KK11&gt;0,KK11,"")</f>
        <v/>
      </c>
      <c r="KY11" s="16" t="str">
        <f>IF(KL11&gt;0,KL11,"")</f>
        <v/>
      </c>
      <c r="KZ11" s="16" t="str">
        <f>IF(SUM(KI11:KL11)-KM11&gt;0,SUM(KI11:KL11)-KM11,"")</f>
        <v/>
      </c>
      <c r="LA11" s="16" t="str">
        <f>IF(SUM(KT11,KZ11)&gt;0,SUM(KT11,KZ11),"")</f>
        <v/>
      </c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76" t="str">
        <f>IF(LD11&gt;0,LD11,"")</f>
        <v/>
      </c>
      <c r="LW11" s="76" t="str">
        <f>IF(LE11&gt;0,LE11,"")</f>
        <v/>
      </c>
      <c r="LX11" s="76" t="str">
        <f>IF(SUM(LB11:LE11)-LF11&gt;0,SUM(LB11:LE11)-LF11,"")</f>
        <v/>
      </c>
      <c r="LY11" s="76" t="str">
        <f>IF(LI11&gt;0,LI11,"")</f>
        <v/>
      </c>
      <c r="LZ11" s="76" t="str">
        <f>IF(LJ11&gt;0,LJ11,"")</f>
        <v/>
      </c>
      <c r="MA11" s="76" t="str">
        <f>IF(SUM(LG11:LJ11)-LK11&gt;0,SUM(LG11:LJ11)-LK11,"")</f>
        <v/>
      </c>
      <c r="MB11" s="76" t="str">
        <f>IF(MAX(LX11,MA11)&gt;0,MAX(LX11,MA11),"")</f>
        <v/>
      </c>
      <c r="MC11" s="76" t="str">
        <f>IF(LN11&gt;0,LN11,"")</f>
        <v/>
      </c>
      <c r="MD11" s="76" t="str">
        <f>IF(LO11&gt;0,LO11,"")</f>
        <v/>
      </c>
      <c r="ME11" s="76" t="str">
        <f>IF(SUM(LL11:LO11)-LP11&gt;0,SUM(LL11:LO11)-LP11,"")</f>
        <v/>
      </c>
      <c r="MF11" s="76" t="str">
        <f>IF(LS11&gt;0,LS11,"")</f>
        <v/>
      </c>
      <c r="MG11" s="76" t="str">
        <f>IF(LT11&gt;0,LT11,"")</f>
        <v/>
      </c>
      <c r="MH11" s="76" t="str">
        <f>IF(SUM(LQ11:LT11)-LU11&gt;0,SUM(LQ11:LT11)-LU11,"")</f>
        <v/>
      </c>
      <c r="MI11" s="76" t="str">
        <f>IF(SUM(MB11,MH11)&gt;0,SUM(MB11,MH11),"")</f>
        <v/>
      </c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16" t="str">
        <f>IF(ML11&gt;0,ML11,"")</f>
        <v/>
      </c>
      <c r="NE11" s="16" t="str">
        <f>IF(MM11&gt;0,MM11,"")</f>
        <v/>
      </c>
      <c r="NF11" s="16" t="str">
        <f>IF(SUM(MJ11:MM11)-MN11&gt;0,SUM(MJ11:MM11)-MN11,"")</f>
        <v/>
      </c>
      <c r="NG11" s="16" t="str">
        <f>IF(MQ11&gt;0,MQ11,"")</f>
        <v/>
      </c>
      <c r="NH11" s="16" t="str">
        <f>IF(MR11&gt;0,MR11,"")</f>
        <v/>
      </c>
      <c r="NI11" s="16" t="str">
        <f>IF(SUM(MO11:MR11)-MS11&gt;0,SUM(MO11:MR11)-MS11,"")</f>
        <v/>
      </c>
      <c r="NJ11" s="16" t="str">
        <f>IF(MAX(NF11,NI11)&gt;0,MAX(NF11,NI11),"")</f>
        <v/>
      </c>
      <c r="NK11" s="16" t="str">
        <f>IF(MV11&gt;0,MV11,"")</f>
        <v/>
      </c>
      <c r="NL11" s="16" t="str">
        <f>IF(MW11&gt;0,MW11,"")</f>
        <v/>
      </c>
      <c r="NM11" s="16" t="str">
        <f>IF(SUM(MT11:MW11)-MX11&gt;0,SUM(MT11:MW11)-MX11,"")</f>
        <v/>
      </c>
      <c r="NN11" s="16" t="str">
        <f>IF(NA11&gt;0,NA11,"")</f>
        <v/>
      </c>
      <c r="NO11" s="16" t="str">
        <f>IF(NB11&gt;0,NB11,"")</f>
        <v/>
      </c>
      <c r="NP11" s="16" t="str">
        <f>IF(SUM(MY11:NB11)-NC11&gt;0,SUM(MY11:NB11)-NC11,"")</f>
        <v/>
      </c>
      <c r="NQ11" s="16" t="str">
        <f>IF(SUM(NJ11,NP11)&gt;0,SUM(NJ11,NP11),"")</f>
        <v/>
      </c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76" t="str">
        <f>IF(NT11&gt;0,NT11,"")</f>
        <v/>
      </c>
      <c r="OM11" s="76" t="str">
        <f>IF(NU11&gt;0,NU11,"")</f>
        <v/>
      </c>
      <c r="ON11" s="76" t="str">
        <f>IF(SUM(NR11:NU11)-NV11&gt;0,SUM(NR11:NU11)-NV11,"")</f>
        <v/>
      </c>
      <c r="OO11" s="76" t="str">
        <f>IF(NY11&gt;0,NY11,"")</f>
        <v/>
      </c>
      <c r="OP11" s="76" t="str">
        <f>IF(NZ11&gt;0,NZ11,"")</f>
        <v/>
      </c>
      <c r="OQ11" s="76" t="str">
        <f>IF(SUM(NW11:NZ11)-OA11&gt;0,SUM(NW11:NZ11)-OA11,"")</f>
        <v/>
      </c>
      <c r="OR11" s="76" t="str">
        <f>IF(MAX(ON11,OQ11)&gt;0,MAX(ON11,OQ11),"")</f>
        <v/>
      </c>
      <c r="OS11" s="76" t="str">
        <f>IF(OD11&gt;0,OD11,"")</f>
        <v/>
      </c>
      <c r="OT11" s="76" t="str">
        <f>IF(OE11&gt;0,OE11,"")</f>
        <v/>
      </c>
      <c r="OU11" s="76" t="str">
        <f>IF(SUM(OB11:OE11)-OF11&gt;0,SUM(OB11:OE11)-OF11,"")</f>
        <v/>
      </c>
      <c r="OV11" s="76" t="str">
        <f>IF(OI11&gt;0,OI11,"")</f>
        <v/>
      </c>
      <c r="OW11" s="76" t="str">
        <f>IF(OJ11&gt;0,OJ11,"")</f>
        <v/>
      </c>
      <c r="OX11" s="76" t="str">
        <f>IF(SUM(OG11:OJ11)-OK11&gt;0,SUM(OG11:OJ11)-OK11,"")</f>
        <v/>
      </c>
      <c r="OY11" s="76" t="str">
        <f>IF(SUM(OR11,OX11)&gt;0,SUM(OR11,OX11),"")</f>
        <v/>
      </c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16" t="str">
        <f>IF(PB11&gt;0,PB11,"")</f>
        <v/>
      </c>
      <c r="PU11" s="16" t="str">
        <f>IF(PC11&gt;0,PC11,"")</f>
        <v/>
      </c>
      <c r="PV11" s="16" t="str">
        <f>IF(SUM(OZ11:PC11)-PD11&gt;0,SUM(OZ11:PC11)-PD11,"")</f>
        <v/>
      </c>
      <c r="PW11" s="16" t="str">
        <f>IF(PG11&gt;0,PG11,"")</f>
        <v/>
      </c>
      <c r="PX11" s="16" t="str">
        <f>IF(PH11&gt;0,PH11,"")</f>
        <v/>
      </c>
      <c r="PY11" s="16" t="str">
        <f>IF(SUM(PE11:PH11)-PI11&gt;0,SUM(PE11:PH11)-PI11,"")</f>
        <v/>
      </c>
      <c r="PZ11" s="16" t="str">
        <f>IF(MAX(PV11,PY11)&gt;0,MAX(PV11,PY11),"")</f>
        <v/>
      </c>
      <c r="QA11" s="16" t="str">
        <f>IF(PL11&gt;0,PL11,"")</f>
        <v/>
      </c>
      <c r="QB11" s="16" t="str">
        <f>IF(PM11&gt;0,PM11,"")</f>
        <v/>
      </c>
      <c r="QC11" s="16" t="str">
        <f>IF(SUM(PJ11:PM11)-PN11&gt;0,SUM(PJ11:PM11)-PN11,"")</f>
        <v/>
      </c>
      <c r="QD11" s="16" t="str">
        <f>IF(PQ11&gt;0,PQ11,"")</f>
        <v/>
      </c>
      <c r="QE11" s="16" t="str">
        <f>IF(PR11&gt;0,PR11,"")</f>
        <v/>
      </c>
      <c r="QF11" s="16" t="str">
        <f>IF(SUM(PO11:PR11)-PS11&gt;0,SUM(PO11:PR11)-PS11,"")</f>
        <v/>
      </c>
      <c r="QG11" s="16" t="str">
        <f>IF(SUM(PZ11,QF11)&gt;0,SUM(PZ11,QF11),"")</f>
        <v/>
      </c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76" t="str">
        <f>IF(QJ11&gt;0,QJ11,"")</f>
        <v/>
      </c>
      <c r="RC11" s="76" t="str">
        <f>IF(QK11&gt;0,QK11,"")</f>
        <v/>
      </c>
      <c r="RD11" s="76" t="str">
        <f>IF(SUM(QH11:QK11)-QL11&gt;0,SUM(QH11:QK11)-QL11,"")</f>
        <v/>
      </c>
      <c r="RE11" s="76" t="str">
        <f>IF(QO11&gt;0,QO11,"")</f>
        <v/>
      </c>
      <c r="RF11" s="76" t="str">
        <f>IF(QP11&gt;0,QP11,"")</f>
        <v/>
      </c>
      <c r="RG11" s="76" t="str">
        <f>IF(SUM(QM11:QP11)-QQ11&gt;0,SUM(QM11:QP11)-QQ11,"")</f>
        <v/>
      </c>
      <c r="RH11" s="76" t="str">
        <f>IF(MAX(RD11,RG11)&gt;0,MAX(RD11,RG11),"")</f>
        <v/>
      </c>
      <c r="RI11" s="76" t="str">
        <f>IF(QT11&gt;0,QT11,"")</f>
        <v/>
      </c>
      <c r="RJ11" s="76" t="str">
        <f>IF(QU11&gt;0,QU11,"")</f>
        <v/>
      </c>
      <c r="RK11" s="76" t="str">
        <f>IF(SUM(QR11:QU11)-QV11&gt;0,SUM(QR11:QU11)-QV11,"")</f>
        <v/>
      </c>
      <c r="RL11" s="76" t="str">
        <f>IF(QY11&gt;0,QY11,"")</f>
        <v/>
      </c>
      <c r="RM11" s="76" t="str">
        <f>IF(QZ11&gt;0,QZ11,"")</f>
        <v/>
      </c>
      <c r="RN11" s="76" t="str">
        <f>IF(SUM(QW11:QZ11)-RA11&gt;0,SUM(QW11:QZ11)-RA11,"")</f>
        <v/>
      </c>
      <c r="RO11" s="76" t="str">
        <f>IF(SUM(RH11,RN11)&gt;0,SUM(RH11,RN11),"")</f>
        <v/>
      </c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16" t="str">
        <f>IF(RR11&gt;0,RR11,"")</f>
        <v/>
      </c>
      <c r="SK11" s="16" t="str">
        <f>IF(RS11&gt;0,RS11,"")</f>
        <v/>
      </c>
      <c r="SL11" s="16" t="str">
        <f>IF(SUM(RP11:RS11)-RT11&gt;0,SUM(RP11:RS11)-RT11,"")</f>
        <v/>
      </c>
      <c r="SM11" s="16" t="str">
        <f>IF(RW11&gt;0,RW11,"")</f>
        <v/>
      </c>
      <c r="SN11" s="16" t="str">
        <f>IF(RX11&gt;0,RX11,"")</f>
        <v/>
      </c>
      <c r="SO11" s="16" t="str">
        <f>IF(SUM(RU11:RX11)-RY11&gt;0,SUM(RU11:RX11)-RY11,"")</f>
        <v/>
      </c>
      <c r="SP11" s="16" t="str">
        <f>IF(MAX(SL11,SO11)&gt;0,MAX(SL11,SO11),"")</f>
        <v/>
      </c>
      <c r="SQ11" s="16" t="str">
        <f>IF(SB11&gt;0,SB11,"")</f>
        <v/>
      </c>
      <c r="SR11" s="16" t="str">
        <f>IF(SC11&gt;0,SC11,"")</f>
        <v/>
      </c>
      <c r="SS11" s="16" t="str">
        <f>IF(SUM(RZ11:SC11)-SD11&gt;0,SUM(RZ11:SC11)-SD11,"")</f>
        <v/>
      </c>
      <c r="ST11" s="16" t="str">
        <f>IF(SG11&gt;0,SG11,"")</f>
        <v/>
      </c>
      <c r="SU11" s="16" t="str">
        <f>IF(SH11&gt;0,SH11,"")</f>
        <v/>
      </c>
      <c r="SV11" s="16" t="str">
        <f>IF(SUM(SE11:SH11)-SI11&gt;0,SUM(SE11:SH11)-SI11,"")</f>
        <v/>
      </c>
      <c r="SW11" s="16" t="str">
        <f>IF(SUM(SP11,SV11)&gt;0,SUM(SP11,SV11),"")</f>
        <v/>
      </c>
      <c r="SX11" s="42">
        <f>IF($CP11="P",CA11,(CA11+AZ11)/2)</f>
        <v>0</v>
      </c>
      <c r="SY11" s="42">
        <f>IF($CP11="P",CB11,(CB11+BA11)/2)</f>
        <v>0</v>
      </c>
      <c r="SZ11" s="42">
        <f>IF($CP11="P",CC11,(CC11+BB11)/2)</f>
        <v>0</v>
      </c>
      <c r="TA11" s="42">
        <f>IF($CP11="P",CD11,(CD11+BC11)/2)</f>
        <v>0</v>
      </c>
      <c r="TB11" s="42">
        <f>IF($CP11="P",CE11,(CE11+BD11)/2)</f>
        <v>0</v>
      </c>
      <c r="TC11" s="42">
        <f>IF($CP11="P",CF11,(CF11+BE11)/2)</f>
        <v>0</v>
      </c>
      <c r="TD11" s="42">
        <f>IF($CP11="P",CG11,(CG11+BF11)/2)</f>
        <v>0</v>
      </c>
      <c r="TE11" s="42">
        <f>IF($CP11="P",CH11,(CH11+BG11)/2)</f>
        <v>0</v>
      </c>
      <c r="TF11" s="42">
        <f>IF($CP11="P",CI11,(CI11+BH11)/2)</f>
        <v>0</v>
      </c>
      <c r="TG11" s="42">
        <f>IF($CP11="P",CJ11,(CJ11+BI11)/2)</f>
        <v>0</v>
      </c>
      <c r="TH11" s="42">
        <f>IF($CP11="P",CK11,(CK11+BJ11)/2)</f>
        <v>0</v>
      </c>
      <c r="TI11" s="42">
        <f>IF($CP11="P",CL11,(CL11+BK11)/2)</f>
        <v>0</v>
      </c>
      <c r="TJ11" s="42">
        <f>IF($CP11="P",CM11,(CM11+BL11)/2)</f>
        <v>0</v>
      </c>
      <c r="TK11" s="42">
        <f>IF($CP11="P",CN11,(CN11+BM11)/2)</f>
        <v>0</v>
      </c>
      <c r="TL11" s="42">
        <f>IF($CP11="P",CO11,(CO11+BN11)/2)</f>
        <v>0</v>
      </c>
      <c r="TM11" s="51" t="s">
        <v>61</v>
      </c>
      <c r="TN11" s="76" t="str">
        <f>IF(SZ11&gt;0,SZ11,"")</f>
        <v/>
      </c>
      <c r="TO11" s="76" t="str">
        <f>IF(TA11&gt;0,TA11,"")</f>
        <v/>
      </c>
      <c r="TP11" s="76" t="str">
        <f>IF(SUM(SX11:TA11)-TB11&gt;0,SUM(SX11:TA11)-TB11,"")</f>
        <v/>
      </c>
      <c r="TQ11" s="76" t="str">
        <f>IF(TE11&gt;0,TE11,"")</f>
        <v/>
      </c>
      <c r="TR11" s="76" t="str">
        <f>IF(TF11&gt;0,TF11,"")</f>
        <v/>
      </c>
      <c r="TS11" s="76" t="str">
        <f>IF(SUM(TC11:TF11)-TG11&gt;0,SUM(TC11:TF11)-TG11,"")</f>
        <v/>
      </c>
      <c r="TT11" s="76" t="str">
        <f>IF(MAX(TP11,TS11)&gt;0,MAX(TP11,TS11),"")</f>
        <v/>
      </c>
      <c r="TU11" s="76" t="str">
        <f>IF(TJ11&gt;0,TJ11,"")</f>
        <v/>
      </c>
      <c r="TV11" s="76" t="str">
        <f>IF(TK11&gt;0,TK11,"")</f>
        <v/>
      </c>
      <c r="TW11" s="76" t="str">
        <f>IF(SUM(TH11:TK11)-TL11&gt;0,SUM(TH11:TK11)-TL11,"")</f>
        <v/>
      </c>
      <c r="TX11" s="76" t="str">
        <f>IF(SUM(TT11,TW11)&gt;0,SUM(TT11,TW11),"")</f>
        <v/>
      </c>
    </row>
    <row r="12" spans="1:544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5">
        <v>1993</v>
      </c>
      <c r="E12" s="14">
        <f>SUM(J12:V12)+SUM(J12:T12)*0.0000001+SUM(J12)*0.0000000000001</f>
        <v>218.04502180450518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Z12&gt;=EM$17,DZ12&lt;&gt;"",EB12&gt;=EM$21,EB12&lt;&gt;""),AND(EC12&gt;=EM$17,EC12&lt;&gt;"",EE12&gt;=EM$21,EE12&lt;&gt;""),AND(EG12&gt;=EM$17,EG12&lt;&gt;"",EI12&gt;=EM$21,EI12&lt;&gt;""),AND(EJ12&gt;=EM$17,EJ12&lt;&gt;"",EL12&gt;=EM$21,EL12&lt;&gt;""),AND(FH12&gt;=FU$17,FH12&lt;&gt;"",FJ12&gt;=FU$21,FJ12&lt;&gt;""),AND(FK12&gt;=FU$17,FK12&lt;&gt;"",FM12&gt;=FU$21,FM12&lt;&gt;""),AND(FO12&gt;=FU$17,FO12&lt;&gt;"",FQ12&gt;=FU$21,FQ12&lt;&gt;""),AND(FR12&gt;=FU$17,FR12&lt;&gt;"",FT12&gt;=FU$21,FT12&lt;&gt;""),AND(GP12&gt;=HC$17,GP12&lt;&gt;"",GR12&gt;=HC$21,GR12&lt;&gt;""),AND(GS12&gt;=HC$17,GS12&lt;&gt;"",GU12&gt;=HC$21,GU12&lt;&gt;""),AND(GW12&gt;=HC$17,GW12&lt;&gt;"",GY12&gt;=HC$21,GY12&lt;&gt;""),AND(GZ12&gt;=HC$17,GZ12&lt;&gt;"",HB12&gt;=HC$21,HB12&lt;&gt;""),AND(HX12&gt;=IK$17,HX12&lt;&gt;"",HZ12&gt;=IK$21,HZ12&lt;&gt;""),AND(IA12&gt;=IK$17,IA12&lt;&gt;"",IC12&gt;=IK$21,IC12&lt;&gt;""),AND(IE12&gt;=IK$17,IE12&lt;&gt;"",IG12&gt;=IK$21,IG12&lt;&gt;""),AND(IH12&gt;=IK$17,IH12&lt;&gt;"",IJ12&gt;=IK$21,IJ12&lt;&gt;""),AND(JF12&gt;=JS$17,JF12&lt;&gt;"",JH12&gt;=JS$21,JH12&lt;&gt;""),AND(JI12&gt;=JS$17,JI12&lt;&gt;"",JK12&gt;=JS$21,JK12&lt;&gt;""),AND(JM12&gt;=JS$17,JM12&lt;&gt;"",JO12&gt;=JS$21,JO12&lt;&gt;""),AND(JP12&gt;=JS$17,JP12&lt;&gt;"",JR12&gt;=JS$21,JR12&lt;&gt;""),AND(KN12&gt;=LA$17,KN12&lt;&gt;"",KP12&gt;=LA$21,KP12&lt;&gt;""),AND(KQ12&gt;=LA$17,KQ12&lt;&gt;"",KS12&gt;=LA$21,KS12&lt;&gt;""),AND(KU12&gt;=LA$17,KU12&lt;&gt;"",KW12&gt;=LA$21,KW12&lt;&gt;""),AND(KX12&gt;=LA$17,KX12&lt;&gt;"",KZ12&gt;=LA$21,KZ12&lt;&gt;""),AND(LV12&gt;=MI$17,LV12&lt;&gt;"",LX12&gt;=MI$21,LX12&lt;&gt;""),AND(LY12&gt;=MI$17,LY12&lt;&gt;"",MA12&gt;=MI$21,MA12&lt;&gt;""),AND(MC12&gt;=MI$17,MC12&lt;&gt;"",ME12&gt;=MI$21,ME12&lt;&gt;""),AND(MF12&gt;=MI$17,MF12&lt;&gt;"",MH12&gt;=MI$21,MH12&lt;&gt;""),AND(ND12&gt;=NQ$17,ND12&lt;&gt;"",NF12&gt;=NQ$21,NF12&lt;&gt;""),AND(NG12&gt;=NQ$17,NG12&lt;&gt;"",NI12&gt;=NQ$21,NI12&lt;&gt;""),AND(NK12&gt;=NQ$17,NK12&lt;&gt;"",NM12&gt;=NQ$21,NM12&lt;&gt;""),AND(NN12&gt;=NQ$17,NN12&lt;&gt;"",NP12&gt;=NQ$21,NP12&lt;&gt;""),AND(OL12&gt;=OY$17,OL12&lt;&gt;"",ON12&gt;=OY$21,ON12&lt;&gt;""),AND(OO12&gt;=OY$17,OO12&lt;&gt;"",OQ12&gt;=OY$21,OQ12&lt;&gt;""),AND(OS12&gt;=OY$17,OS12&lt;&gt;"",OU12&gt;=OY$21,OU12&lt;&gt;""),AND(OV12&gt;=OY$17,OV12&lt;&gt;"",OX12&gt;=OY$21,OX12&lt;&gt;""),AND(PT12&gt;=QG$17,PT12&lt;&gt;"",PV12&gt;=QG$21,PV12&lt;&gt;""),AND(PW12&gt;=QG$17,PW12&lt;&gt;"",PY12&gt;=QG$21,PY12&lt;&gt;""),AND(QA12&gt;=QG$17,QA12&lt;&gt;"",QC12&gt;=QG$21,QC12&lt;&gt;""),AND(QD12&gt;=QG$17,QD12&lt;&gt;"",QF12&gt;=QG$21,QF12&lt;&gt;""),AND(RB12&gt;=RO$17,RB12&lt;&gt;"",RD12&gt;=RO$21,RD12&lt;&gt;""),AND(RE12&gt;=RO$17,RE12&lt;&gt;"",RG12&gt;=RO$21,RG12&lt;&gt;""),AND(RI12&gt;=RO$17,RI12&lt;&gt;"",RK12&gt;=RO$21,RK12&lt;&gt;""),AND(RL12&gt;=RO$17,RL12&lt;&gt;"",RN12&gt;=RO$21,RN12&lt;&gt;""),AND(SJ12&gt;=SW$17,SJ12&lt;&gt;"",SL12&gt;=SW$21,SL12&lt;&gt;""),AND(SM12&gt;=SW$17,SM12&lt;&gt;"",SO12&gt;=SW$21,SO12&lt;&gt;""),AND(SQ12&gt;=SW$17,SQ12&lt;&gt;"",SS12&gt;=SW$21,SS12&lt;&gt;""),AND(ST12&gt;=SW$17,ST12&lt;&gt;"",SV12&gt;=SW$21,SV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EB12&gt;=EM$21,EB12&lt;&gt;""),AND(EE12&gt;=EM$21,EE12&lt;&gt;""),AND(EI12&gt;=EM$21,EI12&lt;&gt;""),AND(EL12&gt;=EM$21,EL12&lt;&gt;""),AND(FJ12&gt;=FU$21,FJ12&lt;&gt;""),AND(FM12&gt;=FU$21,FM12&lt;&gt;""),AND(FQ12&gt;=FU$21,FQ12&lt;&gt;""),AND(FT12&gt;=FU$21,FT12&lt;&gt;""),AND(GR12&gt;=HC$21,GR12&lt;&gt;""),AND(GU12&gt;=HC$21,GU12&lt;&gt;""),AND(GY12&gt;=HC$21,GY12&lt;&gt;""),AND(HB12&gt;=HC$21,HB12&lt;&gt;""),AND(HZ12&gt;=IK$21,HZ12&lt;&gt;""),AND(IC12&gt;=IK$21,IC12&lt;&gt;""),AND(IG12&gt;=IK$21,IG12&lt;&gt;""),AND(IJ12&gt;=IK$21,IJ12&lt;&gt;""),AND(JH12&gt;=JS$21,JH12&lt;&gt;""),AND(JK12&gt;=JS$21,JK12&lt;&gt;""),AND(JO12&gt;=JS$21,JO12&lt;&gt;""),AND(JR12&gt;=JS$21,JR12&lt;&gt;""),AND(KP12&gt;=LA$21,KP12&lt;&gt;""),AND(KS12&gt;=LA$21,KS12&lt;&gt;""),AND(KW12&gt;=LA$21,KW12&lt;&gt;""),AND(KZ12&gt;=LA$21,KZ12&lt;&gt;""),AND(LX12&gt;=MI$21,LX12&lt;&gt;""),AND(MA12&gt;=MI$21,MA12&lt;&gt;""),AND(ME12&gt;=MI$21,ME12&lt;&gt;""),AND(MH12&gt;=MI$21,MH12&lt;&gt;""),AND(NF12&gt;=NQ$21,NF12&lt;&gt;""),AND(NI12&gt;=NQ$21,NI12&lt;&gt;""),AND(NM12&gt;=NQ$21,NM12&lt;&gt;""),AND(NP12&gt;=NQ$21,NP12&lt;&gt;""),AND(ON12&gt;=OY$21,ON12&lt;&gt;""),AND(OQ12&gt;=OY$21,OQ12&lt;&gt;""),AND(OU12&gt;=OY$21,OU12&lt;&gt;""),AND(OX12&gt;=OY$21,OX12&lt;&gt;""),AND(PV12&gt;=QG$21,PV12&lt;&gt;""),AND(PY12&gt;=QG$21,PY12&lt;&gt;""),AND(QC12&gt;=QG$21,QC12&lt;&gt;""),AND(QF12&gt;=QG$21,QF12&lt;&gt;""),AND(RD12&gt;=RO$21,RD12&lt;&gt;""),AND(RG12&gt;=RO$21,RG12&lt;&gt;""),AND(RK12&gt;=RO$21,RK12&lt;&gt;""),AND(RN12&gt;=RO$21,RN12&lt;&gt;""),AND(SL12&gt;=SW$21,SL12&lt;&gt;""),AND(SO12&gt;=SW$21,SO12&lt;&gt;""),AND(SS12&gt;=SW$21,SS12&lt;&gt;""),AND(SV12&gt;=SW$21,SV12&lt;&gt;"")),"P","")</f>
        <v/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Z12&gt;=EM$20,DZ12&lt;&gt;"",EB12&gt;=EM$24,EB12&lt;&gt;""),AND(EC12&gt;=EM$20,EC12&lt;&gt;"",EE12&gt;=EM$24,EE12&lt;&gt;""),AND(EG12&gt;=EM$20,EG12&lt;&gt;"",EI12&gt;=EM$24,EI12&lt;&gt;""),AND(EJ12&gt;=EM$20,EJ12&lt;&gt;"",EL12&gt;=EM$24,EL12&lt;&gt;""),AND(FH12&gt;=FU$20,FH12&lt;&gt;"",FJ12&gt;=FU$24,FJ12&lt;&gt;""),AND(FK12&gt;=FU$20,FK12&lt;&gt;"",FM12&gt;=FU$24,FM12&lt;&gt;""),AND(FO12&gt;=FU$20,FO12&lt;&gt;"",FQ12&gt;=FU$24,FQ12&lt;&gt;""),AND(FR12&gt;=FU$20,FR12&lt;&gt;"",FT12&gt;=FU$24,FT12&lt;&gt;""),AND(GP12&gt;=HC$20,GP12&lt;&gt;"",GR12&gt;=HC$24,GR12&lt;&gt;""),AND(GS12&gt;=HC$20,GS12&lt;&gt;"",GU12&gt;=HC$24,GU12&lt;&gt;""),AND(GW12&gt;=HC$20,GW12&lt;&gt;"",GY12&gt;=HC$24,GY12&lt;&gt;""),AND(GZ12&gt;=HC$20,GZ12&lt;&gt;"",HB12&gt;=HC$24,HB12&lt;&gt;""),AND(HX12&gt;=IK$20,HX12&lt;&gt;"",HZ12&gt;=IK$24,HZ12&lt;&gt;""),AND(IA12&gt;=IK$20,IA12&lt;&gt;"",IC12&gt;=IK$24,IC12&lt;&gt;""),AND(IE12&gt;=IK$20,IE12&lt;&gt;"",IG12&gt;=IK$24,IG12&lt;&gt;""),AND(IH12&gt;=IK$20,IH12&lt;&gt;"",IJ12&gt;=IK$24,IJ12&lt;&gt;""),AND(JF12&gt;=JS$20,JF12&lt;&gt;"",JH12&gt;=JS$24,JH12&lt;&gt;""),AND(JI12&gt;=JS$20,JI12&lt;&gt;"",JK12&gt;=JS$24,JK12&lt;&gt;""),AND(JM12&gt;=JS$20,JM12&lt;&gt;"",JO12&gt;=JS$24,JO12&lt;&gt;""),AND(JP12&gt;=JS$20,JP12&lt;&gt;"",JR12&gt;=JS$24,JR12&lt;&gt;""),AND(KN12&gt;=LA$20,KN12&lt;&gt;"",KP12&gt;=LA$24,KP12&lt;&gt;""),AND(KQ12&gt;=LA$20,KQ12&lt;&gt;"",KS12&gt;=LA$24,KS12&lt;&gt;""),AND(KU12&gt;=LA$20,KU12&lt;&gt;"",KW12&gt;=LA$24,KW12&lt;&gt;""),AND(KX12&gt;=LA$20,KX12&lt;&gt;"",KZ12&gt;=LA$24,KZ12&lt;&gt;""),AND(LV12&gt;=MI$20,LV12&lt;&gt;"",LX12&gt;=MI$24,LX12&lt;&gt;""),AND(LY12&gt;=MI$20,LY12&lt;&gt;"",MA12&gt;=MI$24,MA12&lt;&gt;""),AND(MC12&gt;=MI$20,MC12&lt;&gt;"",ME12&gt;=MI$24,ME12&lt;&gt;""),AND(MF12&gt;=MI$20,MF12&lt;&gt;"",MH12&gt;=MI$24,MH12&lt;&gt;""),AND(ND12&gt;=NQ$20,ND12&lt;&gt;"",NF12&gt;=NQ$24,NF12&lt;&gt;""),AND(NG12&gt;=NQ$20,NG12&lt;&gt;"",NI12&gt;=NQ$24,NI12&lt;&gt;""),AND(NK12&gt;=NQ$20,NK12&lt;&gt;"",NM12&gt;=NQ$24,NM12&lt;&gt;""),AND(NN12&gt;=NQ$20,NN12&lt;&gt;"",NP12&gt;=NQ$24,NP12&lt;&gt;""),AND(OL12&gt;=OY$20,OL12&lt;&gt;"",ON12&gt;=OY$24,ON12&lt;&gt;""),AND(OO12&gt;=OY$20,OO12&lt;&gt;"",OQ12&gt;=OY$24,OQ12&lt;&gt;""),AND(OS12&gt;=OY$20,OS12&lt;&gt;"",OU12&gt;=OY$24,OU12&lt;&gt;""),AND(OV12&gt;=OY$20,OV12&lt;&gt;"",OX12&gt;=OY$24,OX12&lt;&gt;""),AND(PT12&gt;=QG$20,PT12&lt;&gt;"",PV12&gt;=QG$24,PV12&lt;&gt;""),AND(PW12&gt;=QG$20,PW12&lt;&gt;"",PY12&gt;=QG$24,PY12&lt;&gt;""),AND(QA12&gt;=QG$20,QA12&lt;&gt;"",QC12&gt;=QG$24,QC12&lt;&gt;""),AND(QD12&gt;=QG$20,QD12&lt;&gt;"",QF12&gt;=QG$24,QF12&lt;&gt;""),AND(RB12&gt;=RO$20,RB12&lt;&gt;"",RD12&gt;=RO$24,RD12&lt;&gt;""),AND(RE12&gt;=RO$20,RE12&lt;&gt;"",RG12&gt;=RO$24,RG12&lt;&gt;""),AND(RI12&gt;=RO$20,RI12&lt;&gt;"",RK12&gt;=RO$24,RK12&lt;&gt;""),AND(RL12&gt;=RO$20,RL12&lt;&gt;"",RN12&gt;=RO$24,RN12&lt;&gt;""),AND(SJ12&gt;=SW$20,SJ12&lt;&gt;"",SL12&gt;=SW$24,SL12&lt;&gt;""),AND(SM12&gt;=SW$20,SM12&lt;&gt;"",SO12&gt;=SW$24,SO12&lt;&gt;""),AND(SQ12&gt;=SW$20,SQ12&lt;&gt;"",SS12&gt;=SW$24,SS12&lt;&gt;""),AND(ST12&gt;=SW$20,ST12&lt;&gt;"",SV12&gt;=SW$24,SV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Z12&gt;=EM$19,DZ12&lt;&gt;"",EB12&gt;=EM$23,EB12&lt;&gt;""),AND(EC12&gt;=EM$19,EC12&lt;&gt;"",EE12&gt;=EM$23,EE12&lt;&gt;""),AND(EG12&gt;=EM$19,EG12&lt;&gt;"",EI12&gt;=EM$23,EI12&lt;&gt;""),AND(EJ12&gt;=EM$19,EJ12&lt;&gt;"",EL12&gt;=EM$23,EL12&lt;&gt;""),AND(FH12&gt;=FU$19,FH12&lt;&gt;"",FJ12&gt;=FU$23,FJ12&lt;&gt;""),AND(FK12&gt;=FU$19,FK12&lt;&gt;"",FM12&gt;=FU$23,FM12&lt;&gt;""),AND(FO12&gt;=FU$19,FO12&lt;&gt;"",FQ12&gt;=FU$23,FQ12&lt;&gt;""),AND(FR12&gt;=FU$19,FR12&lt;&gt;"",FT12&gt;=FU$23,FT12&lt;&gt;""),AND(GP12&gt;=HC$19,GP12&lt;&gt;"",GR12&gt;=HC$23,GR12&lt;&gt;""),AND(GS12&gt;=HC$19,GS12&lt;&gt;"",GU12&gt;=HC$23,GU12&lt;&gt;""),AND(GW12&gt;=HC$19,GW12&lt;&gt;"",GY12&gt;=HC$23,GY12&lt;&gt;""),AND(GZ12&gt;=HC$19,GZ12&lt;&gt;"",HB12&gt;=HC$23,HB12&lt;&gt;""),AND(HX12&gt;=IK$19,HX12&lt;&gt;"",HZ12&gt;=IK$23,HZ12&lt;&gt;""),AND(IA12&gt;=IK$19,IA12&lt;&gt;"",IC12&gt;=IK$23,IC12&lt;&gt;""),AND(IE12&gt;=IK$19,IE12&lt;&gt;"",IG12&gt;=IK$23,IG12&lt;&gt;""),AND(IH12&gt;=IK$19,IH12&lt;&gt;"",IJ12&gt;=IK$23,IJ12&lt;&gt;""),AND(JF12&gt;=JS$19,JF12&lt;&gt;"",JH12&gt;=JS$23,JH12&lt;&gt;""),AND(JI12&gt;=JS$19,JI12&lt;&gt;"",JK12&gt;=JS$23,JK12&lt;&gt;""),AND(JM12&gt;=JS$19,JM12&lt;&gt;"",JO12&gt;=JS$23,JO12&lt;&gt;""),AND(JP12&gt;=JS$19,JP12&lt;&gt;"",JR12&gt;=JS$23,JR12&lt;&gt;""),AND(KN12&gt;=LA$19,KN12&lt;&gt;"",KP12&gt;=LA$23,KP12&lt;&gt;""),AND(KQ12&gt;=LA$19,KQ12&lt;&gt;"",KS12&gt;=LA$23,KS12&lt;&gt;""),AND(KU12&gt;=LA$19,KU12&lt;&gt;"",KW12&gt;=LA$23,KW12&lt;&gt;""),AND(KX12&gt;=LA$19,KX12&lt;&gt;"",KZ12&gt;=LA$23,KZ12&lt;&gt;""),AND(LV12&gt;=MI$19,LV12&lt;&gt;"",LX12&gt;=MI$23,LX12&lt;&gt;""),AND(LY12&gt;=MI$19,LY12&lt;&gt;"",MA12&gt;=MI$23,MA12&lt;&gt;""),AND(MC12&gt;=MI$19,MC12&lt;&gt;"",ME12&gt;=MI$23,ME12&lt;&gt;""),AND(MF12&gt;=MI$19,MF12&lt;&gt;"",MH12&gt;=MI$23,MH12&lt;&gt;""),AND(ND12&gt;=NQ$19,ND12&lt;&gt;"",NF12&gt;=NQ$23,NF12&lt;&gt;""),AND(NG12&gt;=NQ$19,NG12&lt;&gt;"",NI12&gt;=NQ$23,NI12&lt;&gt;""),AND(NK12&gt;=NQ$19,NK12&lt;&gt;"",NM12&gt;=NQ$23,NM12&lt;&gt;""),AND(NN12&gt;=NQ$19,NN12&lt;&gt;"",NP12&gt;=NQ$23,NP12&lt;&gt;""),AND(OL12&gt;=OY$19,OL12&lt;&gt;"",ON12&gt;=OY$23,ON12&lt;&gt;""),AND(OO12&gt;=OY$19,OO12&lt;&gt;"",OQ12&gt;=OY$23,OQ12&lt;&gt;""),AND(OS12&gt;=OY$19,OS12&lt;&gt;"",OU12&gt;=OY$23,OU12&lt;&gt;""),AND(OV12&gt;=OY$19,OV12&lt;&gt;"",OX12&gt;=OY$23,OX12&lt;&gt;""),AND(PT12&gt;=QG$19,PT12&lt;&gt;"",PV12&gt;=QG$23,PV12&lt;&gt;""),AND(PW12&gt;=QG$19,PW12&lt;&gt;"",PY12&gt;=QG$23,PY12&lt;&gt;""),AND(QA12&gt;=QG$19,QA12&lt;&gt;"",QC12&gt;=QG$23,QC12&lt;&gt;""),AND(QD12&gt;=QG$19,QD12&lt;&gt;"",QF12&gt;=QG$23,QF12&lt;&gt;""),AND(RB12&gt;=RO$19,RB12&lt;&gt;"",RD12&gt;=RO$23,RD12&lt;&gt;""),AND(RE12&gt;=RO$19,RE12&lt;&gt;"",RG12&gt;=RO$23,RG12&lt;&gt;""),AND(RI12&gt;=RO$19,RI12&lt;&gt;"",RK12&gt;=RO$23,RK12&lt;&gt;""),AND(RL12&gt;=RO$19,RL12&lt;&gt;"",RN12&gt;=RO$23,RN12&lt;&gt;""),AND(SJ12&gt;=SW$19,SJ12&lt;&gt;"",SL12&gt;=SW$23,SL12&lt;&gt;""),AND(SM12&gt;=SW$19,SM12&lt;&gt;"",SO12&gt;=SW$23,SO12&lt;&gt;""),AND(SQ12&gt;=SW$19,SQ12&lt;&gt;"",SS12&gt;=SW$23,SS12&lt;&gt;""),AND(ST12&gt;=SW$19,ST12&lt;&gt;"",SV12&gt;=SW$23,SV12&lt;&gt;"")),"Excellence",IF(I12="P","Worlds Team",IF(F12="P","National Team","")))))</f>
        <v/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Z12&gt;=EM$18,DZ12&lt;&gt;"",EB12&gt;=EM$22,EB12&lt;&gt;""),AND(EC12&gt;=EM$18,EC12&lt;&gt;"",EE12&gt;=EM$22,EE12&lt;&gt;""),AND(EG12&gt;=EM$18,EG12&lt;&gt;"",EI12&gt;=EM$22,EI12&lt;&gt;""),AND(EJ12&gt;=EM$18,EJ12&lt;&gt;"",EL12&gt;=EM$22,EL12&lt;&gt;""),AND(FH12&gt;=FU$18,FH12&lt;&gt;"",FJ12&gt;=FU$22,FJ12&lt;&gt;""),AND(FK12&gt;=FU$18,FK12&lt;&gt;"",FM12&gt;=FU$22,FM12&lt;&gt;""),AND(FO12&gt;=FU$18,FO12&lt;&gt;"",FQ12&gt;=FU$22,FQ12&lt;&gt;""),AND(FR12&gt;=FU$18,FR12&lt;&gt;"",FT12&gt;=FU$22,FT12&lt;&gt;""),AND(GP12&gt;=HC$18,GP12&lt;&gt;"",GR12&gt;=HC$22,GR12&lt;&gt;""),AND(GS12&gt;=HC$18,GS12&lt;&gt;"",GU12&gt;=HC$22,GU12&lt;&gt;""),AND(GW12&gt;=HC$18,GW12&lt;&gt;"",GY12&gt;=HC$22,GY12&lt;&gt;""),AND(GZ12&gt;=HC$18,GZ12&lt;&gt;"",HB12&gt;=HC$22,HB12&lt;&gt;""),AND(HX12&gt;=IK$18,HX12&lt;&gt;"",HZ12&gt;=IK$22,HZ12&lt;&gt;""),AND(IA12&gt;=IK$18,IA12&lt;&gt;"",IC12&gt;=IK$22,IC12&lt;&gt;""),AND(IE12&gt;=IK$18,IE12&lt;&gt;"",IG12&gt;=IK$22,IG12&lt;&gt;""),AND(IH12&gt;=IK$18,IH12&lt;&gt;"",IJ12&gt;=IK$22,IJ12&lt;&gt;""),AND(JF12&gt;=JS$18,JF12&lt;&gt;"",JH12&gt;=JS$22,JH12&lt;&gt;""),AND(JI12&gt;=JS$18,JI12&lt;&gt;"",JK12&gt;=JS$22,JK12&lt;&gt;""),AND(JM12&gt;=JS$18,JM12&lt;&gt;"",JO12&gt;=JS$22,JO12&lt;&gt;""),AND(JP12&gt;=JS$18,JP12&lt;&gt;"",JR12&gt;=JS$22,JR12&lt;&gt;""),AND(KN12&gt;=LA$18,KN12&lt;&gt;"",KP12&gt;=LA$22,KP12&lt;&gt;""),AND(KQ12&gt;=LA$18,KQ12&lt;&gt;"",KS12&gt;=LA$22,KS12&lt;&gt;""),AND(KU12&gt;=LA$18,KU12&lt;&gt;"",KW12&gt;=LA$22,KW12&lt;&gt;""),AND(KX12&gt;=LA$18,KX12&lt;&gt;"",KZ12&gt;=LA$22,KZ12&lt;&gt;""),AND(LV12&gt;=MI$18,LV12&lt;&gt;"",LX12&gt;=MI$22,LX12&lt;&gt;""),AND(LY12&gt;=MI$18,LY12&lt;&gt;"",MA12&gt;=MI$22,MA12&lt;&gt;""),AND(MC12&gt;=MI$18,MC12&lt;&gt;"",ME12&gt;=MI$22,ME12&lt;&gt;""),AND(MF12&gt;=MI$18,MF12&lt;&gt;"",MH12&gt;=MI$22,MH12&lt;&gt;""),AND(ND12&gt;=NQ$18,ND12&lt;&gt;"",NF12&gt;=NQ$22,NF12&lt;&gt;""),AND(NG12&gt;=NQ$18,NG12&lt;&gt;"",NI12&gt;=NQ$22,NI12&lt;&gt;""),AND(NK12&gt;=NQ$18,NK12&lt;&gt;"",NM12&gt;=NQ$22,NM12&lt;&gt;""),AND(NN12&gt;=NQ$18,NN12&lt;&gt;"",NP12&gt;=NQ$22,NP12&lt;&gt;""),AND(OL12&gt;=OY$18,OL12&lt;&gt;"",ON12&gt;=OY$22,ON12&lt;&gt;""),AND(OO12&gt;=OY$18,OO12&lt;&gt;"",OQ12&gt;=OY$22,OQ12&lt;&gt;""),AND(OS12&gt;=OY$18,OS12&lt;&gt;"",OU12&gt;=OY$22,OU12&lt;&gt;""),AND(OV12&gt;=OY$18,OV12&lt;&gt;"",OX12&gt;=OY$22,OX12&lt;&gt;""),AND(PT12&gt;=QG$18,PT12&lt;&gt;"",PV12&gt;=QG$22,PV12&lt;&gt;""),AND(PW12&gt;=QG$18,PW12&lt;&gt;"",PY12&gt;=QG$22,PY12&lt;&gt;""),AND(QA12&gt;=QG$18,QA12&lt;&gt;"",QC12&gt;=QG$22,QC12&lt;&gt;""),AND(QD12&gt;=QG$18,QD12&lt;&gt;"",QF12&gt;=QG$22,QF12&lt;&gt;""),AND(RB12&gt;=RO$18,RB12&lt;&gt;"",RD12&gt;=RO$22,RD12&lt;&gt;""),AND(RE12&gt;=RO$18,RE12&lt;&gt;"",RG12&gt;=RO$22,RG12&lt;&gt;""),AND(RI12&gt;=RO$18,RI12&lt;&gt;"",RK12&gt;=RO$22,RK12&lt;&gt;""),AND(RL12&gt;=RO$18,RL12&lt;&gt;"",RN12&gt;=RO$22,RN12&lt;&gt;""),AND(SJ12&gt;=SW$18,SJ12&lt;&gt;"",SL12&gt;=SW$22,SL12&lt;&gt;""),AND(SM12&gt;=SW$18,SM12&lt;&gt;"",SO12&gt;=SW$22,SO12&lt;&gt;""),AND(SQ12&gt;=SW$18,SQ12&lt;&gt;"",SS12&gt;=SW$22,SS12&lt;&gt;""),AND(ST12&gt;=SW$18,ST12&lt;&gt;"",SV12&gt;=SW$22,SV12&lt;&gt;"")),"P","")</f>
        <v/>
      </c>
      <c r="J12" s="13">
        <f>IF(COUNT(AQ12,AT12,BR12,BU12,CS12,CV12)&gt;0,LARGE((AQ12,AT12,BR12,BU12,CS12,CV12),1),0)</f>
        <v>51.94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51.94</v>
      </c>
      <c r="M12" s="13" t="str">
        <f>IF(L12="","",IF(OR(L12=CS12,L12=CV12),$CA$1,IF(OR(L12=BR12,L12=BU12),$AZ$1,IF(OR(L12=AQ12,L12=AT12),$Y$1,""))))</f>
        <v>2021 Canadian Championships</v>
      </c>
      <c r="N12" s="13">
        <f>IF(COUNT(AQ12,AT12,BR12,BU12,CS12,CV12)&gt;2,LARGE((AQ12,AT12,BR12,BU12,CS12,CV12),3),0)</f>
        <v>51.564999999999998</v>
      </c>
      <c r="O12" s="13" t="str">
        <f>IF(N12="","",IF(OR(N12=CS12,N12=CV12),$CA$1,IF(OR(N12=BR12,N12=BU12),$AZ$1,IF(OR(N12=AQ12,N12=AT12),$Y$1,""))))</f>
        <v>2021 Canadian Championships</v>
      </c>
      <c r="P12" s="13">
        <f>IF(MAX(AX12,BY12,CZ12)&gt;0,MAX(AX12,BY12,CZ12),0)</f>
        <v>50.65</v>
      </c>
      <c r="Q12" s="13" t="str">
        <f>IF(P12="","",IF(P12=CZ12,$CA$1,IF(P12=BY12,$AZ$1,IF(P12=AX12,$Y$1,""))))</f>
        <v>2021 Canadian Championships</v>
      </c>
      <c r="R12" s="13">
        <f>IF(MAX(AO12,AR12,AV12,BP12,BS12,BW12,CQ12,CT12,CX12)&gt;0,MAX(AO12,AR12,BP12,BS12,CQ12,CT12,AV12),0)</f>
        <v>11.95</v>
      </c>
      <c r="S12" s="13" t="str">
        <f>IF(R12=0,"",IF(OR(R12=CQ12,R12=CT12,R12=CX12),$CA$1,IF(OR(R12=BP12,R12=BS12,R12=BW12),$AZ$1,IF(OR(R12=AO12,R12=AR12,R12=AV12),$Y$1,""))))</f>
        <v>2021 Canadian Championships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),0)</f>
        <v>0</v>
      </c>
      <c r="U12" s="13" t="str">
        <f>IF(T12=0,"",IF(OR(T12=CR12,T12=CU12,T12=CY12),$CA$1,IF(OR(T12=BQ12,T12=BT12,T12=BX12),$AZ$1,IF(OR(T12=AP12,T12=AS12,T12=AW12),$Y$1,""))))</f>
        <v/>
      </c>
      <c r="V12" s="13" t="str">
        <f>IF(MAX(DB12,DC12,DD12,DE12)&gt;0,MAX(DB12,DC12,DD12,DE12),"")</f>
        <v/>
      </c>
      <c r="W12" s="16" t="str">
        <f>IF(V12="","",IF(V12=DB12,"("&amp;DB$2&amp;")",IF(V12=DC12,"("&amp;DC$2&amp;")",IF(V12=DD12,"("&amp;DD$2&amp;")",IF(V12=DE12,"("&amp;DE$2&amp;")")))))</f>
        <v/>
      </c>
      <c r="X12" s="13" t="str">
        <f>IF(V12="","",IF(V12=DB12,IF(V12+IF(L12="",0,L12)=SP12,$RP$1,IF(V12+IF(L12="",0,L12)=RH12,$QH$1,IF(V12+IF(L12="",0,L12)=PZ12,$OZ$1,IF(V12+IF(L12="",0,L12)=OR12,$NR$1,IF(V12+IF(L12="",0,L12)=NJ12,$MJ$1,IF(V12+IF(L12="",0,L12)=MB12,$LB$1,IF(V12+IF(L12="",0,L12)=KT12,$JT$1,IF(V12+IF(L12="",0,L12)=JL12,$IL$1,IF(V12+IF(L12="",0,L12)=ID12,$HD$1,IF(V12+IF(L12="",0,L12)=GV12,$FV$1,IF(V12+IF(L12="",0,L12)=FN12,$EN$1,IF(V12+IF(L12="",0,L12)=EF12,$DF$1)))))))))))),IF(V12=DC12,IF(V12+IF(P12="",0,P12)=SV12,$RP$1,IF(V12+IF(P12="",0,P12)=RN12,$QH$1,IF(V12+IF(P12="",0,P12)=QF12,$OZ$1,IF(V12+IF(P12="",0,P12)=OX12,$NR$1,IF(V12+IF(P12="",0,P12)=NP12,$MJ$1,IF(V12+IF(P12="",0,P12)=MH12,$LB$1,IF(V12+IF(P12="",0,P12)=KZ12,$JT$1,IF(V12+IF(P12="",0,P12)=JR12,$IL$1,IF(V12+IF(P12="",0,P12)=IJ12,$HD$1,IF(V12+IF(P12="",0,P12)=HB12,$FV$1,IF(V12+IF(P12="",0,P12)=FT12,$EN$1,IF(V12+IF(P12="",0,P12)=EL12,$DF$1)))))))))))),IF(V12=DD12,IF(V12+IF(R12="",0,R12)=MAX(SJ12,SM12,SQ12,ST12),$RP$1,IF(V12+IF(R12="",0,R12)=MAX(RB12,RE12,RI12,RL12),$QH$1,IF(V12+IF(R12="",0,R12)=MAX(PT12,PW12,QA12,QD12),$OZ$1,IF(V12+IF(R12="",0,R12)=MAX(OL12,OO12,OS12,OV12),$NR$1,IF(V12+IF(R12="",0,R12)=MAX(ND12,NG12,NK12,NN12),$MJ$1,IF(V12+IF(R12="",0,R12)=MAX(LV12,LY12,MC12,MF12),$LB$1,IF(V12+IF(R12="",0,R12)=MAX(KN12,KQ12,KU12,KX12),$JT$1,IF(V12+IF(R12="",0,R12)=MAX(JF12,JI12,JM12,JP12),$IL$1,IF(V12+IF(R12="",0,R12)=MAX(HX12,IA12,IE12,IH12),$HD$1,IF(V12+IF(R12="",0,R12)=MAX(GP12,GS12,GW12,GZ12),$FV$1,IF(V12+IF(R12="",0,R12)=MAX(FH12,FK12,FO12,FR12),$EN$1,IF(V12+IF(R12="",0,R12)=MAX(DZ12,EC12,EG12,EJ12),$DF$1)))))))))))),IF(V12=DE12,IF(V12+IF(T12="",0,T12)=MAX(SK12,SN12,SR12,SU12),$RP$1,IF(V12+IF(T12="",0,T12)=MAX(RC12,RF12,RJ12,RM12),$QH$1,IF(V12+IF(T12="",0,T12)=MAX(PU12,PX12,QB12,QE12),$OZ$1,IF(V12+IF(T12="",0,T12)=MAX(OM12,OP12,OT12,OW12),$NR$1,IF(V12+IF(T12="",0,T12)=MAX(NE12,NH12,NL12,NO12),$MJ$1,IF(V12+IF(T12="",0,T12)=MAX(LW12,LZ12,MD12,MG12),$LB$1,IF(V12+IF(T12="",0,T12)=MAX(KO12,KR12,KV12,KY12),$JT$1,IF(V12+IF(T12="",0,T12)=MAX(JG12,JJ12,JN12,JQ12),$IL$1,IF(V12+IF(T12="",0,T12)=MAX(HY12,IB12,IF12,II12),$HD$1,IF(V12+IF(T12="",0,T12)=MAX(GQ12,GT12,GX12,HA12),$FV$1,IF(V12+IF(T12="",0,T12)=MAX(FI12,FL12,FP12,FS12),$EN$1,IF(V12+IF(T12="",0,T12)=MAX(EA12,ED12,EH12,EK12),$DF$1)))))))))))))))))</f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>IF(AA12&gt;0,AA12,"")</f>
        <v>11.95</v>
      </c>
      <c r="AP12" s="74">
        <f>IF(AB12&gt;0,AB12,"")</f>
        <v>14.715</v>
      </c>
      <c r="AQ12" s="76">
        <f>IF(SUM(Y12:AB12)-AC12&gt;0,SUM(Y12:AB12)-AC12,"")</f>
        <v>51.564999999999998</v>
      </c>
      <c r="AR12" s="76">
        <f>IF(AF12&gt;0,AF12,"")</f>
        <v>11.95</v>
      </c>
      <c r="AS12" s="76">
        <f>IF(AG12&gt;0,AG12,"")</f>
        <v>14.765000000000001</v>
      </c>
      <c r="AT12" s="76">
        <f>IF(SUM(AD12:AG12)-AH12&gt;0,SUM(AD12:AG12)-AH12,"")</f>
        <v>51.94</v>
      </c>
      <c r="AU12" s="76">
        <f>IF(AQ12="","",MAX(AQ12,AT12))</f>
        <v>51.94</v>
      </c>
      <c r="AV12" s="76">
        <f>IF(AK12&gt;0,AK12,"")</f>
        <v>11.95</v>
      </c>
      <c r="AW12" s="76">
        <f>IF(AL12&gt;0,AL12,"")</f>
        <v>14.725</v>
      </c>
      <c r="AX12" s="76">
        <f>IF(SUM(AI12:AL12)-AM12&gt;0,SUM(AI12:AL12)-AM12,"")</f>
        <v>50.65</v>
      </c>
      <c r="AY12" s="76">
        <f>IF(SUM(AU12,AX12)&gt;0,SUM(AU12,AX12),"")</f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>IF(BB12&gt;0,BB12,"")</f>
        <v>11.95</v>
      </c>
      <c r="BQ12" s="75">
        <f>IF(BC12&gt;0,BC12,"")</f>
        <v>14.715</v>
      </c>
      <c r="BR12" s="16">
        <f>IF(SUM(AZ12:BC12)-BD12&gt;0,SUM(AZ12:BC12)-BD12,"")</f>
        <v>51.564999999999998</v>
      </c>
      <c r="BS12" s="16">
        <f>IF(BG12&gt;0,BG12,"")</f>
        <v>11.95</v>
      </c>
      <c r="BT12" s="16">
        <f>IF(BH12&gt;0,BH12,"")</f>
        <v>14.765000000000001</v>
      </c>
      <c r="BU12" s="16">
        <f>IF(SUM(BE12:BH12)-BI12&gt;0,SUM(BE12:BH12)-BI12,"")</f>
        <v>51.94</v>
      </c>
      <c r="BV12" s="16">
        <f>IF(BR12="","",MAX(BR12,BU12))</f>
        <v>51.94</v>
      </c>
      <c r="BW12" s="16">
        <f>IF(BL12&gt;0,BL12,"")</f>
        <v>11.95</v>
      </c>
      <c r="BX12" s="16">
        <f>IF(BM12&gt;0,BM12,"")</f>
        <v>14.725</v>
      </c>
      <c r="BY12" s="16">
        <f>IF(SUM(BJ12:BM12)-BN12&gt;0,SUM(BJ12:BM12)-BN12,"")</f>
        <v>50.65</v>
      </c>
      <c r="BZ12" s="16">
        <f>IF(SUM(BV12,BY12)&gt;0,SUM(BV12,BY12),"")</f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IF(L12&gt;=0.001,IF(MAX(EF12,FN12,GV12,ID12,JL12,KT12,MB12,NJ12,OR12,PZ12,RH12,SP12)-IF(L12="",0,L12)&gt;0.001,MAX(EF12,FN12,GV12,ID12,JL12,KT12,MB12,NJ12,OR12,PZ12,RH12,SP12)-IF(L12="",0,L12),""),"")</f>
        <v/>
      </c>
      <c r="DC12" s="87" t="str">
        <f>IF(P12&gt;=0.001,IF(MAX(EI12,EL12,FQ12,FT12,GY12,HB12,IG12,IJ12,JO12,JR12,KW12,KZ12,ME12,MH12,NM12,NP12,OU12,OX12,QC12,QF12,RK12,RN12,SS12,SV12)-IF(P12="",0,P12)&gt;0.001,MAX(EI12,EL12,FQ12,FT12,GY12,HB12,IG12,IJ12,JO12,JR12,KW12,KZ12,ME12,MH12,NM12,NP12,OU12,OX12,QC12,QF12,RK12,RN12,SS12,SV12)-IF(P12="",0,P12),""),"")</f>
        <v/>
      </c>
      <c r="DD12" s="87" t="str">
        <f>IF(R12&gt;=0.001,IF(MAX(DZ12,EC12,EG12,EJ12,FH12,FK12,FO12,FR12,GP12,GS12,GW12,GZ12,HX12,IA12,IE12,IH12,JF12,JI12,JM12,JP12,KN12,KQ12,KU12,KX12,LV12,LY12,MC12,MF12,ND12,NG12,NK12,NN12,OL12,OO12,OS12,OV12,PT12,PW12,QA12,QD12,RB12,RE12,RI12,RL12,SJ12,SM12,SQ12,ST12)-IF(R12="",0,R12)&gt;0.001,MAX(DZ12,EC12,EG12,EJ12,FH12,FK12,FO12,FR12,GP12,GS12,GW12,GZ12,HX12,IA12,IE12,IH12,JF12,JI12,JM12,JP12,KN12,KQ12,KU12,KX12,LV12,LY12,MC12,MF12,ND12,NG12,NK12,NN12,OL12,OO12,OS12,OV12,PT12,PW12,QA12,QD12,RB12,RE12,RI12,RL12,SJ12,SM12,SQ12,ST12)-IF(R12="",0,R12),""),"")</f>
        <v/>
      </c>
      <c r="DE12" s="87" t="str">
        <f>IF(T12&gt;=0.001,IF(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&gt;0.001,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,""),"")</f>
        <v/>
      </c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76" t="str">
        <f>IF(DH12&gt;0,DH12,"")</f>
        <v/>
      </c>
      <c r="EA12" s="76" t="str">
        <f>IF(DI12&gt;0,DI12,"")</f>
        <v/>
      </c>
      <c r="EB12" s="76" t="str">
        <f>IF(SUM(DF12:DI12)-DJ12&gt;0,SUM(DF12:DI12)-DJ12,"")</f>
        <v/>
      </c>
      <c r="EC12" s="76" t="str">
        <f>IF(DM12&gt;0,DM12,"")</f>
        <v/>
      </c>
      <c r="ED12" s="76" t="str">
        <f>IF(DN12&gt;0,DN12,"")</f>
        <v/>
      </c>
      <c r="EE12" s="76" t="str">
        <f>IF(SUM(DK12:DN12)-DO12&gt;0,SUM(DK12:DN12)-DO12,"")</f>
        <v/>
      </c>
      <c r="EF12" s="76" t="str">
        <f>IF(MAX(EB12,EE12)&gt;0,MAX(EB12,EE12),"")</f>
        <v/>
      </c>
      <c r="EG12" s="76" t="str">
        <f>IF(DR12&gt;0,DR12,"")</f>
        <v/>
      </c>
      <c r="EH12" s="76" t="str">
        <f>IF(DS12&gt;0,DS12,"")</f>
        <v/>
      </c>
      <c r="EI12" s="76" t="str">
        <f>IF(SUM(DP12:DS12)-DT12&gt;0,SUM(DP12:DS12)-DT12,"")</f>
        <v/>
      </c>
      <c r="EJ12" s="76" t="str">
        <f>IF(DW12&gt;0,DW12,"")</f>
        <v/>
      </c>
      <c r="EK12" s="76" t="str">
        <f>IF(DX12&gt;0,DX12,"")</f>
        <v/>
      </c>
      <c r="EL12" s="76" t="str">
        <f>IF(SUM(DU12:DX12)-DY12&gt;0,SUM(DU12:DX12)-DY12,"")</f>
        <v/>
      </c>
      <c r="EM12" s="76" t="str">
        <f>IF(SUM(EF12,EL12)&gt;0,SUM(EF12,EL12),"")</f>
        <v/>
      </c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16" t="str">
        <f>IF(EP12&gt;0,EP12,"")</f>
        <v/>
      </c>
      <c r="FI12" s="16" t="str">
        <f>IF(EQ12&gt;0,EQ12,"")</f>
        <v/>
      </c>
      <c r="FJ12" s="16" t="str">
        <f>IF(SUM(EN12:EQ12)-ER12&gt;0,SUM(EN12:EQ12)-ER12,"")</f>
        <v/>
      </c>
      <c r="FK12" s="16" t="str">
        <f>IF(EU12&gt;0,EU12,"")</f>
        <v/>
      </c>
      <c r="FL12" s="16" t="str">
        <f>IF(EV12&gt;0,EV12,"")</f>
        <v/>
      </c>
      <c r="FM12" s="16" t="str">
        <f>IF(SUM(ES12:EV12)-EW12&gt;0,SUM(ES12:EV12)-EW12,"")</f>
        <v/>
      </c>
      <c r="FN12" s="16" t="str">
        <f>IF(MAX(FJ12,FM12)&gt;0,MAX(FJ12,FM12),"")</f>
        <v/>
      </c>
      <c r="FO12" s="16" t="str">
        <f>IF(EZ12&gt;0,EZ12,"")</f>
        <v/>
      </c>
      <c r="FP12" s="16" t="str">
        <f>IF(FA12&gt;0,FA12,"")</f>
        <v/>
      </c>
      <c r="FQ12" s="16" t="str">
        <f>IF(SUM(EX12:FA12)-FB12&gt;0,SUM(EX12:FA12)-FB12,"")</f>
        <v/>
      </c>
      <c r="FR12" s="16" t="str">
        <f>IF(FE12&gt;0,FE12,"")</f>
        <v/>
      </c>
      <c r="FS12" s="16" t="str">
        <f>IF(FF12&gt;0,FF12,"")</f>
        <v/>
      </c>
      <c r="FT12" s="16" t="str">
        <f>IF(SUM(FC12:FF12)-FG12&gt;0,SUM(FC12:FF12)-FG12,"")</f>
        <v/>
      </c>
      <c r="FU12" s="16" t="str">
        <f>IF(SUM(FN12,FT12)&gt;0,SUM(FN12,FT12),"")</f>
        <v/>
      </c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76" t="str">
        <f>IF(FX12&gt;0,FX12,"")</f>
        <v/>
      </c>
      <c r="GQ12" s="76" t="str">
        <f>IF(FY12&gt;0,FY12,"")</f>
        <v/>
      </c>
      <c r="GR12" s="76" t="str">
        <f>IF(SUM(FV12:FY12)-FZ12&gt;0,SUM(FV12:FY12)-FZ12,"")</f>
        <v/>
      </c>
      <c r="GS12" s="76" t="str">
        <f>IF(GC12&gt;0,GC12,"")</f>
        <v/>
      </c>
      <c r="GT12" s="76" t="str">
        <f>IF(GD12&gt;0,GD12,"")</f>
        <v/>
      </c>
      <c r="GU12" s="76" t="str">
        <f>IF(SUM(GA12:GD12)-GE12&gt;0,SUM(GA12:GD12)-GE12,"")</f>
        <v/>
      </c>
      <c r="GV12" s="76" t="str">
        <f>IF(MAX(GR12,GU12)&gt;0,MAX(GR12,GU12),"")</f>
        <v/>
      </c>
      <c r="GW12" s="76" t="str">
        <f>IF(GH12&gt;0,GH12,"")</f>
        <v/>
      </c>
      <c r="GX12" s="76" t="str">
        <f>IF(GI12&gt;0,GI12,"")</f>
        <v/>
      </c>
      <c r="GY12" s="76" t="str">
        <f>IF(SUM(GF12:GI12)-GJ12&gt;0,SUM(GF12:GI12)-GJ12,"")</f>
        <v/>
      </c>
      <c r="GZ12" s="76" t="str">
        <f>IF(GM12&gt;0,GM12,"")</f>
        <v/>
      </c>
      <c r="HA12" s="76" t="str">
        <f>IF(GN12&gt;0,GN12,"")</f>
        <v/>
      </c>
      <c r="HB12" s="76" t="str">
        <f>IF(SUM(GK12:GN12)-GO12&gt;0,SUM(GK12:GN12)-GO12,"")</f>
        <v/>
      </c>
      <c r="HC12" s="76" t="str">
        <f>IF(SUM(GV12,HB12)&gt;0,SUM(GV12,HB12),"")</f>
        <v/>
      </c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16" t="str">
        <f>IF(HF12&gt;0,HF12,"")</f>
        <v/>
      </c>
      <c r="HY12" s="16" t="str">
        <f>IF(HG12&gt;0,HG12,"")</f>
        <v/>
      </c>
      <c r="HZ12" s="16" t="str">
        <f>IF(SUM(HD12:HG12)-HH12&gt;0,SUM(HD12:HG12)-HH12,"")</f>
        <v/>
      </c>
      <c r="IA12" s="16" t="str">
        <f>IF(HK12&gt;0,HK12,"")</f>
        <v/>
      </c>
      <c r="IB12" s="16" t="str">
        <f>IF(HL12&gt;0,HL12,"")</f>
        <v/>
      </c>
      <c r="IC12" s="16" t="str">
        <f>IF(SUM(HI12:HL12)-HM12&gt;0,SUM(HI12:HL12)-HM12,"")</f>
        <v/>
      </c>
      <c r="ID12" s="16" t="str">
        <f>IF(MAX(HZ12,IC12)&gt;0,MAX(HZ12,IC12),"")</f>
        <v/>
      </c>
      <c r="IE12" s="16" t="str">
        <f>IF(HP12&gt;0,HP12,"")</f>
        <v/>
      </c>
      <c r="IF12" s="16" t="str">
        <f>IF(HQ12&gt;0,HQ12,"")</f>
        <v/>
      </c>
      <c r="IG12" s="16" t="str">
        <f>IF(SUM(HN12:HQ12)-HR12&gt;0,SUM(HN12:HQ12)-HR12,"")</f>
        <v/>
      </c>
      <c r="IH12" s="16" t="str">
        <f>IF(HU12&gt;0,HU12,"")</f>
        <v/>
      </c>
      <c r="II12" s="16" t="str">
        <f>IF(HV12&gt;0,HV12,"")</f>
        <v/>
      </c>
      <c r="IJ12" s="16" t="str">
        <f>IF(SUM(HS12:HV12)-HW12&gt;0,SUM(HS12:HV12)-HW12,"")</f>
        <v/>
      </c>
      <c r="IK12" s="16" t="str">
        <f>IF(SUM(ID12,IJ12)&gt;0,SUM(ID12,IJ12),"")</f>
        <v/>
      </c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76" t="str">
        <f>IF(IN12&gt;0,IN12,"")</f>
        <v/>
      </c>
      <c r="JG12" s="76" t="str">
        <f>IF(IO12&gt;0,IO12,"")</f>
        <v/>
      </c>
      <c r="JH12" s="76" t="str">
        <f>IF(SUM(IL12:IO12)-IP12&gt;0,SUM(IL12:IO12)-IP12,"")</f>
        <v/>
      </c>
      <c r="JI12" s="76" t="str">
        <f>IF(IS12&gt;0,IS12,"")</f>
        <v/>
      </c>
      <c r="JJ12" s="76" t="str">
        <f>IF(IT12&gt;0,IT12,"")</f>
        <v/>
      </c>
      <c r="JK12" s="76" t="str">
        <f>IF(SUM(IQ12:IT12)-IU12&gt;0,SUM(IQ12:IT12)-IU12,"")</f>
        <v/>
      </c>
      <c r="JL12" s="76" t="str">
        <f>IF(MAX(JH12,JK12)&gt;0,MAX(JH12,JK12),"")</f>
        <v/>
      </c>
      <c r="JM12" s="76" t="str">
        <f>IF(IX12&gt;0,IX12,"")</f>
        <v/>
      </c>
      <c r="JN12" s="76" t="str">
        <f>IF(IY12&gt;0,IY12,"")</f>
        <v/>
      </c>
      <c r="JO12" s="76" t="str">
        <f>IF(SUM(IV12:IY12)-IZ12&gt;0,SUM(IV12:IY12)-IZ12,"")</f>
        <v/>
      </c>
      <c r="JP12" s="76" t="str">
        <f>IF(JC12&gt;0,JC12,"")</f>
        <v/>
      </c>
      <c r="JQ12" s="76" t="str">
        <f>IF(JD12&gt;0,JD12,"")</f>
        <v/>
      </c>
      <c r="JR12" s="76" t="str">
        <f>IF(SUM(JA12:JD12)-JE12&gt;0,SUM(JA12:JD12)-JE12,"")</f>
        <v/>
      </c>
      <c r="JS12" s="76" t="str">
        <f>IF(SUM(JL12,JR12)&gt;0,SUM(JL12,JR12),"")</f>
        <v/>
      </c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16" t="str">
        <f>IF(JV12&gt;0,JV12,"")</f>
        <v/>
      </c>
      <c r="KO12" s="16" t="str">
        <f>IF(JW12&gt;0,JW12,"")</f>
        <v/>
      </c>
      <c r="KP12" s="16" t="str">
        <f>IF(SUM(JT12:JW12)-JX12&gt;0,SUM(JT12:JW12)-JX12,"")</f>
        <v/>
      </c>
      <c r="KQ12" s="16" t="str">
        <f>IF(KA12&gt;0,KA12,"")</f>
        <v/>
      </c>
      <c r="KR12" s="16" t="str">
        <f>IF(KB12&gt;0,KB12,"")</f>
        <v/>
      </c>
      <c r="KS12" s="16" t="str">
        <f>IF(SUM(JY12:KB12)-KC12&gt;0,SUM(JY12:KB12)-KC12,"")</f>
        <v/>
      </c>
      <c r="KT12" s="16" t="str">
        <f>IF(MAX(KP12,KS12)&gt;0,MAX(KP12,KS12),"")</f>
        <v/>
      </c>
      <c r="KU12" s="16" t="str">
        <f>IF(KF12&gt;0,KF12,"")</f>
        <v/>
      </c>
      <c r="KV12" s="16" t="str">
        <f>IF(KG12&gt;0,KG12,"")</f>
        <v/>
      </c>
      <c r="KW12" s="16" t="str">
        <f>IF(SUM(KD12:KG12)-KH12&gt;0,SUM(KD12:KG12)-KH12,"")</f>
        <v/>
      </c>
      <c r="KX12" s="16" t="str">
        <f>IF(KK12&gt;0,KK12,"")</f>
        <v/>
      </c>
      <c r="KY12" s="16" t="str">
        <f>IF(KL12&gt;0,KL12,"")</f>
        <v/>
      </c>
      <c r="KZ12" s="16" t="str">
        <f>IF(SUM(KI12:KL12)-KM12&gt;0,SUM(KI12:KL12)-KM12,"")</f>
        <v/>
      </c>
      <c r="LA12" s="16" t="str">
        <f>IF(SUM(KT12,KZ12)&gt;0,SUM(KT12,KZ12),"")</f>
        <v/>
      </c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76" t="str">
        <f>IF(LD12&gt;0,LD12,"")</f>
        <v/>
      </c>
      <c r="LW12" s="76" t="str">
        <f>IF(LE12&gt;0,LE12,"")</f>
        <v/>
      </c>
      <c r="LX12" s="76" t="str">
        <f>IF(SUM(LB12:LE12)-LF12&gt;0,SUM(LB12:LE12)-LF12,"")</f>
        <v/>
      </c>
      <c r="LY12" s="76" t="str">
        <f>IF(LI12&gt;0,LI12,"")</f>
        <v/>
      </c>
      <c r="LZ12" s="76" t="str">
        <f>IF(LJ12&gt;0,LJ12,"")</f>
        <v/>
      </c>
      <c r="MA12" s="76" t="str">
        <f>IF(SUM(LG12:LJ12)-LK12&gt;0,SUM(LG12:LJ12)-LK12,"")</f>
        <v/>
      </c>
      <c r="MB12" s="76" t="str">
        <f>IF(MAX(LX12,MA12)&gt;0,MAX(LX12,MA12),"")</f>
        <v/>
      </c>
      <c r="MC12" s="76" t="str">
        <f>IF(LN12&gt;0,LN12,"")</f>
        <v/>
      </c>
      <c r="MD12" s="76" t="str">
        <f>IF(LO12&gt;0,LO12,"")</f>
        <v/>
      </c>
      <c r="ME12" s="76" t="str">
        <f>IF(SUM(LL12:LO12)-LP12&gt;0,SUM(LL12:LO12)-LP12,"")</f>
        <v/>
      </c>
      <c r="MF12" s="76" t="str">
        <f>IF(LS12&gt;0,LS12,"")</f>
        <v/>
      </c>
      <c r="MG12" s="76" t="str">
        <f>IF(LT12&gt;0,LT12,"")</f>
        <v/>
      </c>
      <c r="MH12" s="76" t="str">
        <f>IF(SUM(LQ12:LT12)-LU12&gt;0,SUM(LQ12:LT12)-LU12,"")</f>
        <v/>
      </c>
      <c r="MI12" s="76" t="str">
        <f>IF(SUM(MB12,MH12)&gt;0,SUM(MB12,MH12),"")</f>
        <v/>
      </c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16" t="str">
        <f>IF(ML12&gt;0,ML12,"")</f>
        <v/>
      </c>
      <c r="NE12" s="16" t="str">
        <f>IF(MM12&gt;0,MM12,"")</f>
        <v/>
      </c>
      <c r="NF12" s="16" t="str">
        <f>IF(SUM(MJ12:MM12)-MN12&gt;0,SUM(MJ12:MM12)-MN12,"")</f>
        <v/>
      </c>
      <c r="NG12" s="16" t="str">
        <f>IF(MQ12&gt;0,MQ12,"")</f>
        <v/>
      </c>
      <c r="NH12" s="16" t="str">
        <f>IF(MR12&gt;0,MR12,"")</f>
        <v/>
      </c>
      <c r="NI12" s="16" t="str">
        <f>IF(SUM(MO12:MR12)-MS12&gt;0,SUM(MO12:MR12)-MS12,"")</f>
        <v/>
      </c>
      <c r="NJ12" s="16" t="str">
        <f>IF(MAX(NF12,NI12)&gt;0,MAX(NF12,NI12),"")</f>
        <v/>
      </c>
      <c r="NK12" s="16" t="str">
        <f>IF(MV12&gt;0,MV12,"")</f>
        <v/>
      </c>
      <c r="NL12" s="16" t="str">
        <f>IF(MW12&gt;0,MW12,"")</f>
        <v/>
      </c>
      <c r="NM12" s="16" t="str">
        <f>IF(SUM(MT12:MW12)-MX12&gt;0,SUM(MT12:MW12)-MX12,"")</f>
        <v/>
      </c>
      <c r="NN12" s="16" t="str">
        <f>IF(NA12&gt;0,NA12,"")</f>
        <v/>
      </c>
      <c r="NO12" s="16" t="str">
        <f>IF(NB12&gt;0,NB12,"")</f>
        <v/>
      </c>
      <c r="NP12" s="16" t="str">
        <f>IF(SUM(MY12:NB12)-NC12&gt;0,SUM(MY12:NB12)-NC12,"")</f>
        <v/>
      </c>
      <c r="NQ12" s="16" t="str">
        <f>IF(SUM(NJ12,NP12)&gt;0,SUM(NJ12,NP12),"")</f>
        <v/>
      </c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76" t="str">
        <f>IF(NT12&gt;0,NT12,"")</f>
        <v/>
      </c>
      <c r="OM12" s="76" t="str">
        <f>IF(NU12&gt;0,NU12,"")</f>
        <v/>
      </c>
      <c r="ON12" s="76" t="str">
        <f>IF(SUM(NR12:NU12)-NV12&gt;0,SUM(NR12:NU12)-NV12,"")</f>
        <v/>
      </c>
      <c r="OO12" s="76" t="str">
        <f>IF(NY12&gt;0,NY12,"")</f>
        <v/>
      </c>
      <c r="OP12" s="76" t="str">
        <f>IF(NZ12&gt;0,NZ12,"")</f>
        <v/>
      </c>
      <c r="OQ12" s="76" t="str">
        <f>IF(SUM(NW12:NZ12)-OA12&gt;0,SUM(NW12:NZ12)-OA12,"")</f>
        <v/>
      </c>
      <c r="OR12" s="76" t="str">
        <f>IF(MAX(ON12,OQ12)&gt;0,MAX(ON12,OQ12),"")</f>
        <v/>
      </c>
      <c r="OS12" s="76" t="str">
        <f>IF(OD12&gt;0,OD12,"")</f>
        <v/>
      </c>
      <c r="OT12" s="76" t="str">
        <f>IF(OE12&gt;0,OE12,"")</f>
        <v/>
      </c>
      <c r="OU12" s="76" t="str">
        <f>IF(SUM(OB12:OE12)-OF12&gt;0,SUM(OB12:OE12)-OF12,"")</f>
        <v/>
      </c>
      <c r="OV12" s="76" t="str">
        <f>IF(OI12&gt;0,OI12,"")</f>
        <v/>
      </c>
      <c r="OW12" s="76" t="str">
        <f>IF(OJ12&gt;0,OJ12,"")</f>
        <v/>
      </c>
      <c r="OX12" s="76" t="str">
        <f>IF(SUM(OG12:OJ12)-OK12&gt;0,SUM(OG12:OJ12)-OK12,"")</f>
        <v/>
      </c>
      <c r="OY12" s="76" t="str">
        <f>IF(SUM(OR12,OX12)&gt;0,SUM(OR12,OX12),"")</f>
        <v/>
      </c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16" t="str">
        <f>IF(PB12&gt;0,PB12,"")</f>
        <v/>
      </c>
      <c r="PU12" s="16" t="str">
        <f>IF(PC12&gt;0,PC12,"")</f>
        <v/>
      </c>
      <c r="PV12" s="16" t="str">
        <f>IF(SUM(OZ12:PC12)-PD12&gt;0,SUM(OZ12:PC12)-PD12,"")</f>
        <v/>
      </c>
      <c r="PW12" s="16" t="str">
        <f>IF(PG12&gt;0,PG12,"")</f>
        <v/>
      </c>
      <c r="PX12" s="16" t="str">
        <f>IF(PH12&gt;0,PH12,"")</f>
        <v/>
      </c>
      <c r="PY12" s="16" t="str">
        <f>IF(SUM(PE12:PH12)-PI12&gt;0,SUM(PE12:PH12)-PI12,"")</f>
        <v/>
      </c>
      <c r="PZ12" s="16" t="str">
        <f>IF(MAX(PV12,PY12)&gt;0,MAX(PV12,PY12),"")</f>
        <v/>
      </c>
      <c r="QA12" s="16" t="str">
        <f>IF(PL12&gt;0,PL12,"")</f>
        <v/>
      </c>
      <c r="QB12" s="16" t="str">
        <f>IF(PM12&gt;0,PM12,"")</f>
        <v/>
      </c>
      <c r="QC12" s="16" t="str">
        <f>IF(SUM(PJ12:PM12)-PN12&gt;0,SUM(PJ12:PM12)-PN12,"")</f>
        <v/>
      </c>
      <c r="QD12" s="16" t="str">
        <f>IF(PQ12&gt;0,PQ12,"")</f>
        <v/>
      </c>
      <c r="QE12" s="16" t="str">
        <f>IF(PR12&gt;0,PR12,"")</f>
        <v/>
      </c>
      <c r="QF12" s="16" t="str">
        <f>IF(SUM(PO12:PR12)-PS12&gt;0,SUM(PO12:PR12)-PS12,"")</f>
        <v/>
      </c>
      <c r="QG12" s="16" t="str">
        <f>IF(SUM(PZ12,QF12)&gt;0,SUM(PZ12,QF12),"")</f>
        <v/>
      </c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76" t="str">
        <f>IF(QJ12&gt;0,QJ12,"")</f>
        <v/>
      </c>
      <c r="RC12" s="76" t="str">
        <f>IF(QK12&gt;0,QK12,"")</f>
        <v/>
      </c>
      <c r="RD12" s="76" t="str">
        <f>IF(SUM(QH12:QK12)-QL12&gt;0,SUM(QH12:QK12)-QL12,"")</f>
        <v/>
      </c>
      <c r="RE12" s="76" t="str">
        <f>IF(QO12&gt;0,QO12,"")</f>
        <v/>
      </c>
      <c r="RF12" s="76" t="str">
        <f>IF(QP12&gt;0,QP12,"")</f>
        <v/>
      </c>
      <c r="RG12" s="76" t="str">
        <f>IF(SUM(QM12:QP12)-QQ12&gt;0,SUM(QM12:QP12)-QQ12,"")</f>
        <v/>
      </c>
      <c r="RH12" s="76" t="str">
        <f>IF(MAX(RD12,RG12)&gt;0,MAX(RD12,RG12),"")</f>
        <v/>
      </c>
      <c r="RI12" s="76" t="str">
        <f>IF(QT12&gt;0,QT12,"")</f>
        <v/>
      </c>
      <c r="RJ12" s="76" t="str">
        <f>IF(QU12&gt;0,QU12,"")</f>
        <v/>
      </c>
      <c r="RK12" s="76" t="str">
        <f>IF(SUM(QR12:QU12)-QV12&gt;0,SUM(QR12:QU12)-QV12,"")</f>
        <v/>
      </c>
      <c r="RL12" s="76" t="str">
        <f>IF(QY12&gt;0,QY12,"")</f>
        <v/>
      </c>
      <c r="RM12" s="76" t="str">
        <f>IF(QZ12&gt;0,QZ12,"")</f>
        <v/>
      </c>
      <c r="RN12" s="76" t="str">
        <f>IF(SUM(QW12:QZ12)-RA12&gt;0,SUM(QW12:QZ12)-RA12,"")</f>
        <v/>
      </c>
      <c r="RO12" s="76" t="str">
        <f>IF(SUM(RH12,RN12)&gt;0,SUM(RH12,RN12),"")</f>
        <v/>
      </c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16" t="str">
        <f>IF(RR12&gt;0,RR12,"")</f>
        <v/>
      </c>
      <c r="SK12" s="16" t="str">
        <f>IF(RS12&gt;0,RS12,"")</f>
        <v/>
      </c>
      <c r="SL12" s="16" t="str">
        <f>IF(SUM(RP12:RS12)-RT12&gt;0,SUM(RP12:RS12)-RT12,"")</f>
        <v/>
      </c>
      <c r="SM12" s="16" t="str">
        <f>IF(RW12&gt;0,RW12,"")</f>
        <v/>
      </c>
      <c r="SN12" s="16" t="str">
        <f>IF(RX12&gt;0,RX12,"")</f>
        <v/>
      </c>
      <c r="SO12" s="16" t="str">
        <f>IF(SUM(RU12:RX12)-RY12&gt;0,SUM(RU12:RX12)-RY12,"")</f>
        <v/>
      </c>
      <c r="SP12" s="16" t="str">
        <f>IF(MAX(SL12,SO12)&gt;0,MAX(SL12,SO12),"")</f>
        <v/>
      </c>
      <c r="SQ12" s="16" t="str">
        <f>IF(SB12&gt;0,SB12,"")</f>
        <v/>
      </c>
      <c r="SR12" s="16" t="str">
        <f>IF(SC12&gt;0,SC12,"")</f>
        <v/>
      </c>
      <c r="SS12" s="16" t="str">
        <f>IF(SUM(RZ12:SC12)-SD12&gt;0,SUM(RZ12:SC12)-SD12,"")</f>
        <v/>
      </c>
      <c r="ST12" s="16" t="str">
        <f>IF(SG12&gt;0,SG12,"")</f>
        <v/>
      </c>
      <c r="SU12" s="16" t="str">
        <f>IF(SH12&gt;0,SH12,"")</f>
        <v/>
      </c>
      <c r="SV12" s="16" t="str">
        <f>IF(SUM(SE12:SH12)-SI12&gt;0,SUM(SE12:SH12)-SI12,"")</f>
        <v/>
      </c>
      <c r="SW12" s="16" t="str">
        <f>IF(SUM(SP12,SV12)&gt;0,SUM(SP12,SV12),"")</f>
        <v/>
      </c>
      <c r="SX12" s="42">
        <f>IF($CP12="P",CA12,(CA12+AZ12)/2)</f>
        <v>7.7249999999999996</v>
      </c>
      <c r="SY12" s="42">
        <f>IF($CP12="P",CB12,(CB12+BA12)/2)</f>
        <v>4.7249999999999996</v>
      </c>
      <c r="SZ12" s="42">
        <f>IF($CP12="P",CC12,(CC12+BB12)/2)</f>
        <v>5.9749999999999996</v>
      </c>
      <c r="TA12" s="42">
        <f>IF($CP12="P",CD12,(CD12+BC12)/2)</f>
        <v>7.3574999999999999</v>
      </c>
      <c r="TB12" s="42">
        <f>IF($CP12="P",CE12,(CE12+BD12)/2)</f>
        <v>0</v>
      </c>
      <c r="TC12" s="42">
        <f>IF($CP12="P",CF12,(CF12+BE12)/2)</f>
        <v>8</v>
      </c>
      <c r="TD12" s="42">
        <f>IF($CP12="P",CG12,(CG12+BF12)/2)</f>
        <v>4.6125000000000007</v>
      </c>
      <c r="TE12" s="42">
        <f>IF($CP12="P",CH12,(CH12+BG12)/2)</f>
        <v>5.9749999999999996</v>
      </c>
      <c r="TF12" s="42">
        <f>IF($CP12="P",CI12,(CI12+BH12)/2)</f>
        <v>7.3825000000000003</v>
      </c>
      <c r="TG12" s="42">
        <f>IF($CP12="P",CJ12,(CJ12+BI12)/2)</f>
        <v>0</v>
      </c>
      <c r="TH12" s="42">
        <f>IF($CP12="P",CK12,(CK12+BJ12)/2)</f>
        <v>7.35</v>
      </c>
      <c r="TI12" s="42">
        <f>IF($CP12="P",CL12,(CL12+BK12)/2)</f>
        <v>4.6375000000000002</v>
      </c>
      <c r="TJ12" s="42">
        <f>IF($CP12="P",CM12,(CM12+BL12)/2)</f>
        <v>5.9749999999999996</v>
      </c>
      <c r="TK12" s="42">
        <f>IF($CP12="P",CN12,(CN12+BM12)/2)</f>
        <v>7.3624999999999998</v>
      </c>
      <c r="TL12" s="42">
        <f>IF($CP12="P",CO12,(CO12+BN12)/2)</f>
        <v>0</v>
      </c>
      <c r="TM12" s="51" t="s">
        <v>61</v>
      </c>
      <c r="TN12" s="76">
        <f>IF(SZ12&gt;0,SZ12,"")</f>
        <v>5.9749999999999996</v>
      </c>
      <c r="TO12" s="76">
        <f>IF(TA12&gt;0,TA12,"")</f>
        <v>7.3574999999999999</v>
      </c>
      <c r="TP12" s="76">
        <f>IF(SUM(SX12:TA12)-TB12&gt;0,SUM(SX12:TA12)-TB12,"")</f>
        <v>25.782499999999999</v>
      </c>
      <c r="TQ12" s="76">
        <f>IF(TE12&gt;0,TE12,"")</f>
        <v>5.9749999999999996</v>
      </c>
      <c r="TR12" s="76">
        <f>IF(TF12&gt;0,TF12,"")</f>
        <v>7.3825000000000003</v>
      </c>
      <c r="TS12" s="76">
        <f>IF(SUM(TC12:TF12)-TG12&gt;0,SUM(TC12:TF12)-TG12,"")</f>
        <v>25.97</v>
      </c>
      <c r="TT12" s="76">
        <f>IF(MAX(TP12,TS12)&gt;0,MAX(TP12,TS12),"")</f>
        <v>25.97</v>
      </c>
      <c r="TU12" s="76">
        <f>IF(TJ12&gt;0,TJ12,"")</f>
        <v>5.9749999999999996</v>
      </c>
      <c r="TV12" s="76">
        <f>IF(TK12&gt;0,TK12,"")</f>
        <v>7.3624999999999998</v>
      </c>
      <c r="TW12" s="76">
        <f>IF(SUM(TH12:TK12)-TL12&gt;0,SUM(TH12:TK12)-TL12,"")</f>
        <v>25.324999999999999</v>
      </c>
      <c r="TX12" s="76">
        <f>IF(SUM(TT12,TW12)&gt;0,SUM(TT12,TW12),"")</f>
        <v>51.295000000000002</v>
      </c>
    </row>
    <row r="13" spans="1:544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164</v>
      </c>
      <c r="C13" s="7" t="s">
        <v>3</v>
      </c>
      <c r="D13" s="18">
        <v>2001</v>
      </c>
      <c r="E13" s="14">
        <f>SUM(J13:V13)+SUM(J13:T13)*0.0000001+SUM(J13)*0.0000000000001</f>
        <v>207.06502070650501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Z13&gt;=EM$17,DZ13&lt;&gt;"",EB13&gt;=EM$21,EB13&lt;&gt;""),AND(EC13&gt;=EM$17,EC13&lt;&gt;"",EE13&gt;=EM$21,EE13&lt;&gt;""),AND(EG13&gt;=EM$17,EG13&lt;&gt;"",EI13&gt;=EM$21,EI13&lt;&gt;""),AND(EJ13&gt;=EM$17,EJ13&lt;&gt;"",EL13&gt;=EM$21,EL13&lt;&gt;""),AND(FH13&gt;=FU$17,FH13&lt;&gt;"",FJ13&gt;=FU$21,FJ13&lt;&gt;""),AND(FK13&gt;=FU$17,FK13&lt;&gt;"",FM13&gt;=FU$21,FM13&lt;&gt;""),AND(FO13&gt;=FU$17,FO13&lt;&gt;"",FQ13&gt;=FU$21,FQ13&lt;&gt;""),AND(FR13&gt;=FU$17,FR13&lt;&gt;"",FT13&gt;=FU$21,FT13&lt;&gt;""),AND(GP13&gt;=HC$17,GP13&lt;&gt;"",GR13&gt;=HC$21,GR13&lt;&gt;""),AND(GS13&gt;=HC$17,GS13&lt;&gt;"",GU13&gt;=HC$21,GU13&lt;&gt;""),AND(GW13&gt;=HC$17,GW13&lt;&gt;"",GY13&gt;=HC$21,GY13&lt;&gt;""),AND(GZ13&gt;=HC$17,GZ13&lt;&gt;"",HB13&gt;=HC$21,HB13&lt;&gt;""),AND(HX13&gt;=IK$17,HX13&lt;&gt;"",HZ13&gt;=IK$21,HZ13&lt;&gt;""),AND(IA13&gt;=IK$17,IA13&lt;&gt;"",IC13&gt;=IK$21,IC13&lt;&gt;""),AND(IE13&gt;=IK$17,IE13&lt;&gt;"",IG13&gt;=IK$21,IG13&lt;&gt;""),AND(IH13&gt;=IK$17,IH13&lt;&gt;"",IJ13&gt;=IK$21,IJ13&lt;&gt;""),AND(JF13&gt;=JS$17,JF13&lt;&gt;"",JH13&gt;=JS$21,JH13&lt;&gt;""),AND(JI13&gt;=JS$17,JI13&lt;&gt;"",JK13&gt;=JS$21,JK13&lt;&gt;""),AND(JM13&gt;=JS$17,JM13&lt;&gt;"",JO13&gt;=JS$21,JO13&lt;&gt;""),AND(JP13&gt;=JS$17,JP13&lt;&gt;"",JR13&gt;=JS$21,JR13&lt;&gt;""),AND(KN13&gt;=LA$17,KN13&lt;&gt;"",KP13&gt;=LA$21,KP13&lt;&gt;""),AND(KQ13&gt;=LA$17,KQ13&lt;&gt;"",KS13&gt;=LA$21,KS13&lt;&gt;""),AND(KU13&gt;=LA$17,KU13&lt;&gt;"",KW13&gt;=LA$21,KW13&lt;&gt;""),AND(KX13&gt;=LA$17,KX13&lt;&gt;"",KZ13&gt;=LA$21,KZ13&lt;&gt;""),AND(LV13&gt;=MI$17,LV13&lt;&gt;"",LX13&gt;=MI$21,LX13&lt;&gt;""),AND(LY13&gt;=MI$17,LY13&lt;&gt;"",MA13&gt;=MI$21,MA13&lt;&gt;""),AND(MC13&gt;=MI$17,MC13&lt;&gt;"",ME13&gt;=MI$21,ME13&lt;&gt;""),AND(MF13&gt;=MI$17,MF13&lt;&gt;"",MH13&gt;=MI$21,MH13&lt;&gt;""),AND(ND13&gt;=NQ$17,ND13&lt;&gt;"",NF13&gt;=NQ$21,NF13&lt;&gt;""),AND(NG13&gt;=NQ$17,NG13&lt;&gt;"",NI13&gt;=NQ$21,NI13&lt;&gt;""),AND(NK13&gt;=NQ$17,NK13&lt;&gt;"",NM13&gt;=NQ$21,NM13&lt;&gt;""),AND(NN13&gt;=NQ$17,NN13&lt;&gt;"",NP13&gt;=NQ$21,NP13&lt;&gt;""),AND(OL13&gt;=OY$17,OL13&lt;&gt;"",ON13&gt;=OY$21,ON13&lt;&gt;""),AND(OO13&gt;=OY$17,OO13&lt;&gt;"",OQ13&gt;=OY$21,OQ13&lt;&gt;""),AND(OS13&gt;=OY$17,OS13&lt;&gt;"",OU13&gt;=OY$21,OU13&lt;&gt;""),AND(OV13&gt;=OY$17,OV13&lt;&gt;"",OX13&gt;=OY$21,OX13&lt;&gt;""),AND(PT13&gt;=QG$17,PT13&lt;&gt;"",PV13&gt;=QG$21,PV13&lt;&gt;""),AND(PW13&gt;=QG$17,PW13&lt;&gt;"",PY13&gt;=QG$21,PY13&lt;&gt;""),AND(QA13&gt;=QG$17,QA13&lt;&gt;"",QC13&gt;=QG$21,QC13&lt;&gt;""),AND(QD13&gt;=QG$17,QD13&lt;&gt;"",QF13&gt;=QG$21,QF13&lt;&gt;""),AND(RB13&gt;=RO$17,RB13&lt;&gt;"",RD13&gt;=RO$21,RD13&lt;&gt;""),AND(RE13&gt;=RO$17,RE13&lt;&gt;"",RG13&gt;=RO$21,RG13&lt;&gt;""),AND(RI13&gt;=RO$17,RI13&lt;&gt;"",RK13&gt;=RO$21,RK13&lt;&gt;""),AND(RL13&gt;=RO$17,RL13&lt;&gt;"",RN13&gt;=RO$21,RN13&lt;&gt;""),AND(SJ13&gt;=SW$17,SJ13&lt;&gt;"",SL13&gt;=SW$21,SL13&lt;&gt;""),AND(SM13&gt;=SW$17,SM13&lt;&gt;"",SO13&gt;=SW$21,SO13&lt;&gt;""),AND(SQ13&gt;=SW$17,SQ13&lt;&gt;"",SS13&gt;=SW$21,SS13&lt;&gt;""),AND(ST13&gt;=SW$17,ST13&lt;&gt;"",SV13&gt;=SW$21,SV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EB13&gt;=EM$21,EB13&lt;&gt;""),AND(EE13&gt;=EM$21,EE13&lt;&gt;""),AND(EI13&gt;=EM$21,EI13&lt;&gt;""),AND(EL13&gt;=EM$21,EL13&lt;&gt;""),AND(FJ13&gt;=FU$21,FJ13&lt;&gt;""),AND(FM13&gt;=FU$21,FM13&lt;&gt;""),AND(FQ13&gt;=FU$21,FQ13&lt;&gt;""),AND(FT13&gt;=FU$21,FT13&lt;&gt;""),AND(GR13&gt;=HC$21,GR13&lt;&gt;""),AND(GU13&gt;=HC$21,GU13&lt;&gt;""),AND(GY13&gt;=HC$21,GY13&lt;&gt;""),AND(HB13&gt;=HC$21,HB13&lt;&gt;""),AND(HZ13&gt;=IK$21,HZ13&lt;&gt;""),AND(IC13&gt;=IK$21,IC13&lt;&gt;""),AND(IG13&gt;=IK$21,IG13&lt;&gt;""),AND(IJ13&gt;=IK$21,IJ13&lt;&gt;""),AND(JH13&gt;=JS$21,JH13&lt;&gt;""),AND(JK13&gt;=JS$21,JK13&lt;&gt;""),AND(JO13&gt;=JS$21,JO13&lt;&gt;""),AND(JR13&gt;=JS$21,JR13&lt;&gt;""),AND(KP13&gt;=LA$21,KP13&lt;&gt;""),AND(KS13&gt;=LA$21,KS13&lt;&gt;""),AND(KW13&gt;=LA$21,KW13&lt;&gt;""),AND(KZ13&gt;=LA$21,KZ13&lt;&gt;""),AND(LX13&gt;=MI$21,LX13&lt;&gt;""),AND(MA13&gt;=MI$21,MA13&lt;&gt;""),AND(ME13&gt;=MI$21,ME13&lt;&gt;""),AND(MH13&gt;=MI$21,MH13&lt;&gt;""),AND(NF13&gt;=NQ$21,NF13&lt;&gt;""),AND(NI13&gt;=NQ$21,NI13&lt;&gt;""),AND(NM13&gt;=NQ$21,NM13&lt;&gt;""),AND(NP13&gt;=NQ$21,NP13&lt;&gt;""),AND(ON13&gt;=OY$21,ON13&lt;&gt;""),AND(OQ13&gt;=OY$21,OQ13&lt;&gt;""),AND(OU13&gt;=OY$21,OU13&lt;&gt;""),AND(OX13&gt;=OY$21,OX13&lt;&gt;""),AND(PV13&gt;=QG$21,PV13&lt;&gt;""),AND(PY13&gt;=QG$21,PY13&lt;&gt;""),AND(QC13&gt;=QG$21,QC13&lt;&gt;""),AND(QF13&gt;=QG$21,QF13&lt;&gt;""),AND(RD13&gt;=RO$21,RD13&lt;&gt;""),AND(RG13&gt;=RO$21,RG13&lt;&gt;""),AND(RK13&gt;=RO$21,RK13&lt;&gt;""),AND(RN13&gt;=RO$21,RN13&lt;&gt;""),AND(SL13&gt;=SW$21,SL13&lt;&gt;""),AND(SO13&gt;=SW$21,SO13&lt;&gt;""),AND(SS13&gt;=SW$21,SS13&lt;&gt;""),AND(SV13&gt;=SW$21,SV13&lt;&gt;"")),"P","")</f>
        <v>P</v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Z13&gt;=EM$20,DZ13&lt;&gt;"",EB13&gt;=EM$24,EB13&lt;&gt;""),AND(EC13&gt;=EM$20,EC13&lt;&gt;"",EE13&gt;=EM$24,EE13&lt;&gt;""),AND(EG13&gt;=EM$20,EG13&lt;&gt;"",EI13&gt;=EM$24,EI13&lt;&gt;""),AND(EJ13&gt;=EM$20,EJ13&lt;&gt;"",EL13&gt;=EM$24,EL13&lt;&gt;""),AND(FH13&gt;=FU$20,FH13&lt;&gt;"",FJ13&gt;=FU$24,FJ13&lt;&gt;""),AND(FK13&gt;=FU$20,FK13&lt;&gt;"",FM13&gt;=FU$24,FM13&lt;&gt;""),AND(FO13&gt;=FU$20,FO13&lt;&gt;"",FQ13&gt;=FU$24,FQ13&lt;&gt;""),AND(FR13&gt;=FU$20,FR13&lt;&gt;"",FT13&gt;=FU$24,FT13&lt;&gt;""),AND(GP13&gt;=HC$20,GP13&lt;&gt;"",GR13&gt;=HC$24,GR13&lt;&gt;""),AND(GS13&gt;=HC$20,GS13&lt;&gt;"",GU13&gt;=HC$24,GU13&lt;&gt;""),AND(GW13&gt;=HC$20,GW13&lt;&gt;"",GY13&gt;=HC$24,GY13&lt;&gt;""),AND(GZ13&gt;=HC$20,GZ13&lt;&gt;"",HB13&gt;=HC$24,HB13&lt;&gt;""),AND(HX13&gt;=IK$20,HX13&lt;&gt;"",HZ13&gt;=IK$24,HZ13&lt;&gt;""),AND(IA13&gt;=IK$20,IA13&lt;&gt;"",IC13&gt;=IK$24,IC13&lt;&gt;""),AND(IE13&gt;=IK$20,IE13&lt;&gt;"",IG13&gt;=IK$24,IG13&lt;&gt;""),AND(IH13&gt;=IK$20,IH13&lt;&gt;"",IJ13&gt;=IK$24,IJ13&lt;&gt;""),AND(JF13&gt;=JS$20,JF13&lt;&gt;"",JH13&gt;=JS$24,JH13&lt;&gt;""),AND(JI13&gt;=JS$20,JI13&lt;&gt;"",JK13&gt;=JS$24,JK13&lt;&gt;""),AND(JM13&gt;=JS$20,JM13&lt;&gt;"",JO13&gt;=JS$24,JO13&lt;&gt;""),AND(JP13&gt;=JS$20,JP13&lt;&gt;"",JR13&gt;=JS$24,JR13&lt;&gt;""),AND(KN13&gt;=LA$20,KN13&lt;&gt;"",KP13&gt;=LA$24,KP13&lt;&gt;""),AND(KQ13&gt;=LA$20,KQ13&lt;&gt;"",KS13&gt;=LA$24,KS13&lt;&gt;""),AND(KU13&gt;=LA$20,KU13&lt;&gt;"",KW13&gt;=LA$24,KW13&lt;&gt;""),AND(KX13&gt;=LA$20,KX13&lt;&gt;"",KZ13&gt;=LA$24,KZ13&lt;&gt;""),AND(LV13&gt;=MI$20,LV13&lt;&gt;"",LX13&gt;=MI$24,LX13&lt;&gt;""),AND(LY13&gt;=MI$20,LY13&lt;&gt;"",MA13&gt;=MI$24,MA13&lt;&gt;""),AND(MC13&gt;=MI$20,MC13&lt;&gt;"",ME13&gt;=MI$24,ME13&lt;&gt;""),AND(MF13&gt;=MI$20,MF13&lt;&gt;"",MH13&gt;=MI$24,MH13&lt;&gt;""),AND(ND13&gt;=NQ$20,ND13&lt;&gt;"",NF13&gt;=NQ$24,NF13&lt;&gt;""),AND(NG13&gt;=NQ$20,NG13&lt;&gt;"",NI13&gt;=NQ$24,NI13&lt;&gt;""),AND(NK13&gt;=NQ$20,NK13&lt;&gt;"",NM13&gt;=NQ$24,NM13&lt;&gt;""),AND(NN13&gt;=NQ$20,NN13&lt;&gt;"",NP13&gt;=NQ$24,NP13&lt;&gt;""),AND(OL13&gt;=OY$20,OL13&lt;&gt;"",ON13&gt;=OY$24,ON13&lt;&gt;""),AND(OO13&gt;=OY$20,OO13&lt;&gt;"",OQ13&gt;=OY$24,OQ13&lt;&gt;""),AND(OS13&gt;=OY$20,OS13&lt;&gt;"",OU13&gt;=OY$24,OU13&lt;&gt;""),AND(OV13&gt;=OY$20,OV13&lt;&gt;"",OX13&gt;=OY$24,OX13&lt;&gt;""),AND(PT13&gt;=QG$20,PT13&lt;&gt;"",PV13&gt;=QG$24,PV13&lt;&gt;""),AND(PW13&gt;=QG$20,PW13&lt;&gt;"",PY13&gt;=QG$24,PY13&lt;&gt;""),AND(QA13&gt;=QG$20,QA13&lt;&gt;"",QC13&gt;=QG$24,QC13&lt;&gt;""),AND(QD13&gt;=QG$20,QD13&lt;&gt;"",QF13&gt;=QG$24,QF13&lt;&gt;""),AND(RB13&gt;=RO$20,RB13&lt;&gt;"",RD13&gt;=RO$24,RD13&lt;&gt;""),AND(RE13&gt;=RO$20,RE13&lt;&gt;"",RG13&gt;=RO$24,RG13&lt;&gt;""),AND(RI13&gt;=RO$20,RI13&lt;&gt;"",RK13&gt;=RO$24,RK13&lt;&gt;""),AND(RL13&gt;=RO$20,RL13&lt;&gt;"",RN13&gt;=RO$24,RN13&lt;&gt;""),AND(SJ13&gt;=SW$20,SJ13&lt;&gt;"",SL13&gt;=SW$24,SL13&lt;&gt;""),AND(SM13&gt;=SW$20,SM13&lt;&gt;"",SO13&gt;=SW$24,SO13&lt;&gt;""),AND(SQ13&gt;=SW$20,SQ13&lt;&gt;"",SS13&gt;=SW$24,SS13&lt;&gt;""),AND(ST13&gt;=SW$20,ST13&lt;&gt;"",SV13&gt;=SW$24,SV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Z13&gt;=EM$19,DZ13&lt;&gt;"",EB13&gt;=EM$23,EB13&lt;&gt;""),AND(EC13&gt;=EM$19,EC13&lt;&gt;"",EE13&gt;=EM$23,EE13&lt;&gt;""),AND(EG13&gt;=EM$19,EG13&lt;&gt;"",EI13&gt;=EM$23,EI13&lt;&gt;""),AND(EJ13&gt;=EM$19,EJ13&lt;&gt;"",EL13&gt;=EM$23,EL13&lt;&gt;""),AND(FH13&gt;=FU$19,FH13&lt;&gt;"",FJ13&gt;=FU$23,FJ13&lt;&gt;""),AND(FK13&gt;=FU$19,FK13&lt;&gt;"",FM13&gt;=FU$23,FM13&lt;&gt;""),AND(FO13&gt;=FU$19,FO13&lt;&gt;"",FQ13&gt;=FU$23,FQ13&lt;&gt;""),AND(FR13&gt;=FU$19,FR13&lt;&gt;"",FT13&gt;=FU$23,FT13&lt;&gt;""),AND(GP13&gt;=HC$19,GP13&lt;&gt;"",GR13&gt;=HC$23,GR13&lt;&gt;""),AND(GS13&gt;=HC$19,GS13&lt;&gt;"",GU13&gt;=HC$23,GU13&lt;&gt;""),AND(GW13&gt;=HC$19,GW13&lt;&gt;"",GY13&gt;=HC$23,GY13&lt;&gt;""),AND(GZ13&gt;=HC$19,GZ13&lt;&gt;"",HB13&gt;=HC$23,HB13&lt;&gt;""),AND(HX13&gt;=IK$19,HX13&lt;&gt;"",HZ13&gt;=IK$23,HZ13&lt;&gt;""),AND(IA13&gt;=IK$19,IA13&lt;&gt;"",IC13&gt;=IK$23,IC13&lt;&gt;""),AND(IE13&gt;=IK$19,IE13&lt;&gt;"",IG13&gt;=IK$23,IG13&lt;&gt;""),AND(IH13&gt;=IK$19,IH13&lt;&gt;"",IJ13&gt;=IK$23,IJ13&lt;&gt;""),AND(JF13&gt;=JS$19,JF13&lt;&gt;"",JH13&gt;=JS$23,JH13&lt;&gt;""),AND(JI13&gt;=JS$19,JI13&lt;&gt;"",JK13&gt;=JS$23,JK13&lt;&gt;""),AND(JM13&gt;=JS$19,JM13&lt;&gt;"",JO13&gt;=JS$23,JO13&lt;&gt;""),AND(JP13&gt;=JS$19,JP13&lt;&gt;"",JR13&gt;=JS$23,JR13&lt;&gt;""),AND(KN13&gt;=LA$19,KN13&lt;&gt;"",KP13&gt;=LA$23,KP13&lt;&gt;""),AND(KQ13&gt;=LA$19,KQ13&lt;&gt;"",KS13&gt;=LA$23,KS13&lt;&gt;""),AND(KU13&gt;=LA$19,KU13&lt;&gt;"",KW13&gt;=LA$23,KW13&lt;&gt;""),AND(KX13&gt;=LA$19,KX13&lt;&gt;"",KZ13&gt;=LA$23,KZ13&lt;&gt;""),AND(LV13&gt;=MI$19,LV13&lt;&gt;"",LX13&gt;=MI$23,LX13&lt;&gt;""),AND(LY13&gt;=MI$19,LY13&lt;&gt;"",MA13&gt;=MI$23,MA13&lt;&gt;""),AND(MC13&gt;=MI$19,MC13&lt;&gt;"",ME13&gt;=MI$23,ME13&lt;&gt;""),AND(MF13&gt;=MI$19,MF13&lt;&gt;"",MH13&gt;=MI$23,MH13&lt;&gt;""),AND(ND13&gt;=NQ$19,ND13&lt;&gt;"",NF13&gt;=NQ$23,NF13&lt;&gt;""),AND(NG13&gt;=NQ$19,NG13&lt;&gt;"",NI13&gt;=NQ$23,NI13&lt;&gt;""),AND(NK13&gt;=NQ$19,NK13&lt;&gt;"",NM13&gt;=NQ$23,NM13&lt;&gt;""),AND(NN13&gt;=NQ$19,NN13&lt;&gt;"",NP13&gt;=NQ$23,NP13&lt;&gt;""),AND(OL13&gt;=OY$19,OL13&lt;&gt;"",ON13&gt;=OY$23,ON13&lt;&gt;""),AND(OO13&gt;=OY$19,OO13&lt;&gt;"",OQ13&gt;=OY$23,OQ13&lt;&gt;""),AND(OS13&gt;=OY$19,OS13&lt;&gt;"",OU13&gt;=OY$23,OU13&lt;&gt;""),AND(OV13&gt;=OY$19,OV13&lt;&gt;"",OX13&gt;=OY$23,OX13&lt;&gt;""),AND(PT13&gt;=QG$19,PT13&lt;&gt;"",PV13&gt;=QG$23,PV13&lt;&gt;""),AND(PW13&gt;=QG$19,PW13&lt;&gt;"",PY13&gt;=QG$23,PY13&lt;&gt;""),AND(QA13&gt;=QG$19,QA13&lt;&gt;"",QC13&gt;=QG$23,QC13&lt;&gt;""),AND(QD13&gt;=QG$19,QD13&lt;&gt;"",QF13&gt;=QG$23,QF13&lt;&gt;""),AND(RB13&gt;=RO$19,RB13&lt;&gt;"",RD13&gt;=RO$23,RD13&lt;&gt;""),AND(RE13&gt;=RO$19,RE13&lt;&gt;"",RG13&gt;=RO$23,RG13&lt;&gt;""),AND(RI13&gt;=RO$19,RI13&lt;&gt;"",RK13&gt;=RO$23,RK13&lt;&gt;""),AND(RL13&gt;=RO$19,RL13&lt;&gt;"",RN13&gt;=RO$23,RN13&lt;&gt;""),AND(SJ13&gt;=SW$19,SJ13&lt;&gt;"",SL13&gt;=SW$23,SL13&lt;&gt;""),AND(SM13&gt;=SW$19,SM13&lt;&gt;"",SO13&gt;=SW$23,SO13&lt;&gt;""),AND(SQ13&gt;=SW$19,SQ13&lt;&gt;"",SS13&gt;=SW$23,SS13&lt;&gt;""),AND(ST13&gt;=SW$19,ST13&lt;&gt;"",SV13&gt;=SW$23,SV13&lt;&gt;"")),"Excellence",IF(I13="P","Worlds Team",IF(F13="P","National Team","")))))</f>
        <v>No DD</v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Z13&gt;=EM$18,DZ13&lt;&gt;"",EB13&gt;=EM$22,EB13&lt;&gt;""),AND(EC13&gt;=EM$18,EC13&lt;&gt;"",EE13&gt;=EM$22,EE13&lt;&gt;""),AND(EG13&gt;=EM$18,EG13&lt;&gt;"",EI13&gt;=EM$22,EI13&lt;&gt;""),AND(EJ13&gt;=EM$18,EJ13&lt;&gt;"",EL13&gt;=EM$22,EL13&lt;&gt;""),AND(FH13&gt;=FU$18,FH13&lt;&gt;"",FJ13&gt;=FU$22,FJ13&lt;&gt;""),AND(FK13&gt;=FU$18,FK13&lt;&gt;"",FM13&gt;=FU$22,FM13&lt;&gt;""),AND(FO13&gt;=FU$18,FO13&lt;&gt;"",FQ13&gt;=FU$22,FQ13&lt;&gt;""),AND(FR13&gt;=FU$18,FR13&lt;&gt;"",FT13&gt;=FU$22,FT13&lt;&gt;""),AND(GP13&gt;=HC$18,GP13&lt;&gt;"",GR13&gt;=HC$22,GR13&lt;&gt;""),AND(GS13&gt;=HC$18,GS13&lt;&gt;"",GU13&gt;=HC$22,GU13&lt;&gt;""),AND(GW13&gt;=HC$18,GW13&lt;&gt;"",GY13&gt;=HC$22,GY13&lt;&gt;""),AND(GZ13&gt;=HC$18,GZ13&lt;&gt;"",HB13&gt;=HC$22,HB13&lt;&gt;""),AND(HX13&gt;=IK$18,HX13&lt;&gt;"",HZ13&gt;=IK$22,HZ13&lt;&gt;""),AND(IA13&gt;=IK$18,IA13&lt;&gt;"",IC13&gt;=IK$22,IC13&lt;&gt;""),AND(IE13&gt;=IK$18,IE13&lt;&gt;"",IG13&gt;=IK$22,IG13&lt;&gt;""),AND(IH13&gt;=IK$18,IH13&lt;&gt;"",IJ13&gt;=IK$22,IJ13&lt;&gt;""),AND(JF13&gt;=JS$18,JF13&lt;&gt;"",JH13&gt;=JS$22,JH13&lt;&gt;""),AND(JI13&gt;=JS$18,JI13&lt;&gt;"",JK13&gt;=JS$22,JK13&lt;&gt;""),AND(JM13&gt;=JS$18,JM13&lt;&gt;"",JO13&gt;=JS$22,JO13&lt;&gt;""),AND(JP13&gt;=JS$18,JP13&lt;&gt;"",JR13&gt;=JS$22,JR13&lt;&gt;""),AND(KN13&gt;=LA$18,KN13&lt;&gt;"",KP13&gt;=LA$22,KP13&lt;&gt;""),AND(KQ13&gt;=LA$18,KQ13&lt;&gt;"",KS13&gt;=LA$22,KS13&lt;&gt;""),AND(KU13&gt;=LA$18,KU13&lt;&gt;"",KW13&gt;=LA$22,KW13&lt;&gt;""),AND(KX13&gt;=LA$18,KX13&lt;&gt;"",KZ13&gt;=LA$22,KZ13&lt;&gt;""),AND(LV13&gt;=MI$18,LV13&lt;&gt;"",LX13&gt;=MI$22,LX13&lt;&gt;""),AND(LY13&gt;=MI$18,LY13&lt;&gt;"",MA13&gt;=MI$22,MA13&lt;&gt;""),AND(MC13&gt;=MI$18,MC13&lt;&gt;"",ME13&gt;=MI$22,ME13&lt;&gt;""),AND(MF13&gt;=MI$18,MF13&lt;&gt;"",MH13&gt;=MI$22,MH13&lt;&gt;""),AND(ND13&gt;=NQ$18,ND13&lt;&gt;"",NF13&gt;=NQ$22,NF13&lt;&gt;""),AND(NG13&gt;=NQ$18,NG13&lt;&gt;"",NI13&gt;=NQ$22,NI13&lt;&gt;""),AND(NK13&gt;=NQ$18,NK13&lt;&gt;"",NM13&gt;=NQ$22,NM13&lt;&gt;""),AND(NN13&gt;=NQ$18,NN13&lt;&gt;"",NP13&gt;=NQ$22,NP13&lt;&gt;""),AND(OL13&gt;=OY$18,OL13&lt;&gt;"",ON13&gt;=OY$22,ON13&lt;&gt;""),AND(OO13&gt;=OY$18,OO13&lt;&gt;"",OQ13&gt;=OY$22,OQ13&lt;&gt;""),AND(OS13&gt;=OY$18,OS13&lt;&gt;"",OU13&gt;=OY$22,OU13&lt;&gt;""),AND(OV13&gt;=OY$18,OV13&lt;&gt;"",OX13&gt;=OY$22,OX13&lt;&gt;""),AND(PT13&gt;=QG$18,PT13&lt;&gt;"",PV13&gt;=QG$22,PV13&lt;&gt;""),AND(PW13&gt;=QG$18,PW13&lt;&gt;"",PY13&gt;=QG$22,PY13&lt;&gt;""),AND(QA13&gt;=QG$18,QA13&lt;&gt;"",QC13&gt;=QG$22,QC13&lt;&gt;""),AND(QD13&gt;=QG$18,QD13&lt;&gt;"",QF13&gt;=QG$22,QF13&lt;&gt;""),AND(RB13&gt;=RO$18,RB13&lt;&gt;"",RD13&gt;=RO$22,RD13&lt;&gt;""),AND(RE13&gt;=RO$18,RE13&lt;&gt;"",RG13&gt;=RO$22,RG13&lt;&gt;""),AND(RI13&gt;=RO$18,RI13&lt;&gt;"",RK13&gt;=RO$22,RK13&lt;&gt;""),AND(RL13&gt;=RO$18,RL13&lt;&gt;"",RN13&gt;=RO$22,RN13&lt;&gt;""),AND(SJ13&gt;=SW$18,SJ13&lt;&gt;"",SL13&gt;=SW$22,SL13&lt;&gt;""),AND(SM13&gt;=SW$18,SM13&lt;&gt;"",SO13&gt;=SW$22,SO13&lt;&gt;""),AND(SQ13&gt;=SW$18,SQ13&lt;&gt;"",SS13&gt;=SW$22,SS13&lt;&gt;""),AND(ST13&gt;=SW$18,ST13&lt;&gt;"",SV13&gt;=SW$22,SV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47.305000000000007</v>
      </c>
      <c r="M13" s="13" t="str">
        <f>IF(L13="","",IF(OR(L13=CS13,L13=CV13),$CA$1,IF(OR(L13=BR13,L13=BU13),$AZ$1,IF(OR(L13=AQ13,L13=AT13),$Y$1,""))))</f>
        <v>2021 Canadian Championships</v>
      </c>
      <c r="N13" s="13">
        <f>IF(COUNT(AQ13,AT13,BR13,BU13,CS13,CV13)&gt;2,LARGE((AQ13,AT13,BR13,BU13,CS13,CV13),3),0)</f>
        <v>46.370000000000005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IF(MAX(AO13,AR13,AV13,BP13,BS13,BW13,CQ13,CT13,CX13)&gt;0,MAX(AO13,AR13,BP13,BS13,CQ13,CT13,AV13),0)</f>
        <v>12.2</v>
      </c>
      <c r="S13" s="13" t="str">
        <f>IF(R13=0,"",IF(OR(R13=CQ13,R13=CT13,R13=CX13),$CA$1,IF(OR(R13=BP13,R13=BS13,R13=BW13),$AZ$1,IF(OR(R13=AO13,R13=AR13,R13=AV13),$Y$1,""))))</f>
        <v>2022 Elite Canada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),0)</f>
        <v>0</v>
      </c>
      <c r="U13" s="13" t="str">
        <f>IF(T13=0,"",IF(OR(T13=CR13,T13=CU13,T13=CY13),$CA$1,IF(OR(T13=BQ13,T13=BT13,T13=BX13),$AZ$1,IF(OR(T13=AP13,T13=AS13,T13=AW13),$Y$1,""))))</f>
        <v/>
      </c>
      <c r="V13" s="13" t="str">
        <f>IF(MAX(DB13,DC13,DD13,DE13)&gt;0,MAX(DB13,DC13,DD13,DE13),"")</f>
        <v/>
      </c>
      <c r="W13" s="16" t="str">
        <f>IF(V13="","",IF(V13=DB13,"("&amp;DB$2&amp;")",IF(V13=DC13,"("&amp;DC$2&amp;")",IF(V13=DD13,"("&amp;DD$2&amp;")",IF(V13=DE13,"("&amp;DE$2&amp;")")))))</f>
        <v/>
      </c>
      <c r="X13" s="13" t="str">
        <f>IF(V13="","",IF(V13=DB13,IF(V13+IF(L13="",0,L13)=SP13,$RP$1,IF(V13+IF(L13="",0,L13)=RH13,$QH$1,IF(V13+IF(L13="",0,L13)=PZ13,$OZ$1,IF(V13+IF(L13="",0,L13)=OR13,$NR$1,IF(V13+IF(L13="",0,L13)=NJ13,$MJ$1,IF(V13+IF(L13="",0,L13)=MB13,$LB$1,IF(V13+IF(L13="",0,L13)=KT13,$JT$1,IF(V13+IF(L13="",0,L13)=JL13,$IL$1,IF(V13+IF(L13="",0,L13)=ID13,$HD$1,IF(V13+IF(L13="",0,L13)=GV13,$FV$1,IF(V13+IF(L13="",0,L13)=FN13,$EN$1,IF(V13+IF(L13="",0,L13)=EF13,$DF$1)))))))))))),IF(V13=DC13,IF(V13+IF(P13="",0,P13)=SV13,$RP$1,IF(V13+IF(P13="",0,P13)=RN13,$QH$1,IF(V13+IF(P13="",0,P13)=QF13,$OZ$1,IF(V13+IF(P13="",0,P13)=OX13,$NR$1,IF(V13+IF(P13="",0,P13)=NP13,$MJ$1,IF(V13+IF(P13="",0,P13)=MH13,$LB$1,IF(V13+IF(P13="",0,P13)=KZ13,$JT$1,IF(V13+IF(P13="",0,P13)=JR13,$IL$1,IF(V13+IF(P13="",0,P13)=IJ13,$HD$1,IF(V13+IF(P13="",0,P13)=HB13,$FV$1,IF(V13+IF(P13="",0,P13)=FT13,$EN$1,IF(V13+IF(P13="",0,P13)=EL13,$DF$1)))))))))))),IF(V13=DD13,IF(V13+IF(R13="",0,R13)=MAX(SJ13,SM13,SQ13,ST13),$RP$1,IF(V13+IF(R13="",0,R13)=MAX(RB13,RE13,RI13,RL13),$QH$1,IF(V13+IF(R13="",0,R13)=MAX(PT13,PW13,QA13,QD13),$OZ$1,IF(V13+IF(R13="",0,R13)=MAX(OL13,OO13,OS13,OV13),$NR$1,IF(V13+IF(R13="",0,R13)=MAX(ND13,NG13,NK13,NN13),$MJ$1,IF(V13+IF(R13="",0,R13)=MAX(LV13,LY13,MC13,MF13),$LB$1,IF(V13+IF(R13="",0,R13)=MAX(KN13,KQ13,KU13,KX13),$JT$1,IF(V13+IF(R13="",0,R13)=MAX(JF13,JI13,JM13,JP13),$IL$1,IF(V13+IF(R13="",0,R13)=MAX(HX13,IA13,IE13,IH13),$HD$1,IF(V13+IF(R13="",0,R13)=MAX(GP13,GS13,GW13,GZ13),$FV$1,IF(V13+IF(R13="",0,R13)=MAX(FH13,FK13,FO13,FR13),$EN$1,IF(V13+IF(R13="",0,R13)=MAX(DZ13,EC13,EG13,EJ13),$DF$1)))))))))))),IF(V13=DE13,IF(V13+IF(T13="",0,T13)=MAX(SK13,SN13,SR13,SU13),$RP$1,IF(V13+IF(T13="",0,T13)=MAX(RC13,RF13,RJ13,RM13),$QH$1,IF(V13+IF(T13="",0,T13)=MAX(PU13,PX13,QB13,QE13),$OZ$1,IF(V13+IF(T13="",0,T13)=MAX(OM13,OP13,OT13,OW13),$NR$1,IF(V13+IF(T13="",0,T13)=MAX(NE13,NH13,NL13,NO13),$MJ$1,IF(V13+IF(T13="",0,T13)=MAX(LW13,LZ13,MD13,MG13),$LB$1,IF(V13+IF(T13="",0,T13)=MAX(KO13,KR13,KV13,KY13),$JT$1,IF(V13+IF(T13="",0,T13)=MAX(JG13,JJ13,JN13,JQ13),$IL$1,IF(V13+IF(T13="",0,T13)=MAX(HY13,IB13,IF13,II13),$HD$1,IF(V13+IF(T13="",0,T13)=MAX(GQ13,GT13,GX13,HA13),$FV$1,IF(V13+IF(T13="",0,T13)=MAX(FI13,FL13,FP13,FS13),$EN$1,IF(V13+IF(T13="",0,T13)=MAX(EA13,ED13,EH13,EK13),$DF$1)))))))))))))))))</f>
        <v/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>IF(AA13&gt;0,AA13,"")</f>
        <v/>
      </c>
      <c r="AP13" s="74" t="str">
        <f>IF(AB13&gt;0,AB13,"")</f>
        <v/>
      </c>
      <c r="AQ13" s="76" t="str">
        <f>IF(SUM(Y13:AB13)-AC13&gt;0,SUM(Y13:AB13)-AC13,"")</f>
        <v/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 t="str">
        <f>IF(AQ13="","",MAX(AQ13,AT13))</f>
        <v/>
      </c>
      <c r="AV13" s="76" t="str">
        <f>IF(AK13&gt;0,AK13,"")</f>
        <v/>
      </c>
      <c r="AW13" s="76" t="str">
        <f>IF(AL13&gt;0,AL13,"")</f>
        <v/>
      </c>
      <c r="AX13" s="76" t="str">
        <f>IF(SUM(AI13:AL13)-AM13&gt;0,SUM(AI13:AL13)-AM13,"")</f>
        <v/>
      </c>
      <c r="AY13" s="76" t="str">
        <f>IF(SUM(AU13,AX13)&gt;0,SUM(AU13,AX13),"")</f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>IF(BB13&gt;0,BB13,"")</f>
        <v>8.5</v>
      </c>
      <c r="BQ13" s="75">
        <f>IF(BC13&gt;0,BC13,"")</f>
        <v>14.505000000000001</v>
      </c>
      <c r="BR13" s="16">
        <f>IF(SUM(AZ13:BC13)-BD13&gt;0,SUM(AZ13:BC13)-BD13,"")</f>
        <v>47.305000000000007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47.305000000000007</v>
      </c>
      <c r="BW13" s="16">
        <f>IF(BL13&gt;0,BL13,"")</f>
        <v>10.4</v>
      </c>
      <c r="BX13" s="16">
        <f>IF(BM13&gt;0,BM13,"")</f>
        <v>14.64</v>
      </c>
      <c r="BY13" s="16">
        <f>IF(SUM(BJ13:BM13)-BN13&gt;0,SUM(BJ13:BM13)-BN13,"")</f>
        <v>49.64</v>
      </c>
      <c r="BZ13" s="16">
        <f>IF(SUM(BV13,BY13)&gt;0,SUM(BV13,BY13),"")</f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>IF(CC13&gt;0,CC13,"")</f>
        <v>10.8</v>
      </c>
      <c r="CR13" s="74">
        <f>IF(CD13&gt;0,CD13,"")</f>
        <v>13.17</v>
      </c>
      <c r="CS13" s="76">
        <f>IF(SUM(CA13:CD13)-CE13&gt;0,SUM(CA13:CD13)-CE13,"")</f>
        <v>46.370000000000005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50.069999999999993</v>
      </c>
      <c r="CW13" s="76">
        <f>IF(CS13="","",MAX(CS13,CV13))</f>
        <v>50.069999999999993</v>
      </c>
      <c r="CX13" s="76">
        <f>IF(CM13&gt;0,CM13,"")</f>
        <v>12.2</v>
      </c>
      <c r="CY13" s="76">
        <f>IF(CN13&gt;0,CN13,"")</f>
        <v>14.72</v>
      </c>
      <c r="CZ13" s="76">
        <f>IF(SUM(CK13:CN13)-CO13&gt;0,SUM(CK13:CN13)-CO13,"")</f>
        <v>51.120000000000005</v>
      </c>
      <c r="DA13" s="76">
        <f>IF(SUM(CW13,CZ13)&gt;0,SUM(CW13,CZ13),"")</f>
        <v>101.19</v>
      </c>
      <c r="DB13" s="87" t="str">
        <f>IF(L13&gt;=0.001,IF(MAX(EF13,FN13,GV13,ID13,JL13,KT13,MB13,NJ13,OR13,PZ13,RH13,SP13)-IF(L13="",0,L13)&gt;0.001,MAX(EF13,FN13,GV13,ID13,JL13,KT13,MB13,NJ13,OR13,PZ13,RH13,SP13)-IF(L13="",0,L13),""),"")</f>
        <v/>
      </c>
      <c r="DC13" s="87" t="str">
        <f>IF(P13&gt;=0.001,IF(MAX(EI13,EL13,FQ13,FT13,GY13,HB13,IG13,IJ13,JO13,JR13,KW13,KZ13,ME13,MH13,NM13,NP13,OU13,OX13,QC13,QF13,RK13,RN13,SS13,SV13)-IF(P13="",0,P13)&gt;0.001,MAX(EI13,EL13,FQ13,FT13,GY13,HB13,IG13,IJ13,JO13,JR13,KW13,KZ13,ME13,MH13,NM13,NP13,OU13,OX13,QC13,QF13,RK13,RN13,SS13,SV13)-IF(P13="",0,P13),""),"")</f>
        <v/>
      </c>
      <c r="DD13" s="87" t="str">
        <f>IF(R13&gt;=0.001,IF(MAX(DZ13,EC13,EG13,EJ13,FH13,FK13,FO13,FR13,GP13,GS13,GW13,GZ13,HX13,IA13,IE13,IH13,JF13,JI13,JM13,JP13,KN13,KQ13,KU13,KX13,LV13,LY13,MC13,MF13,ND13,NG13,NK13,NN13,OL13,OO13,OS13,OV13,PT13,PW13,QA13,QD13,RB13,RE13,RI13,RL13,SJ13,SM13,SQ13,ST13)-IF(R13="",0,R13)&gt;0.001,MAX(DZ13,EC13,EG13,EJ13,FH13,FK13,FO13,FR13,GP13,GS13,GW13,GZ13,HX13,IA13,IE13,IH13,JF13,JI13,JM13,JP13,KN13,KQ13,KU13,KX13,LV13,LY13,MC13,MF13,ND13,NG13,NK13,NN13,OL13,OO13,OS13,OV13,PT13,PW13,QA13,QD13,RB13,RE13,RI13,RL13,SJ13,SM13,SQ13,ST13)-IF(R13="",0,R13),""),"")</f>
        <v/>
      </c>
      <c r="DE13" s="87" t="str">
        <f>IF(T13&gt;=0.001,IF(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&gt;0.001,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,""),"")</f>
        <v/>
      </c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76" t="str">
        <f>IF(DH13&gt;0,DH13,"")</f>
        <v/>
      </c>
      <c r="EA13" s="76" t="str">
        <f>IF(DI13&gt;0,DI13,"")</f>
        <v/>
      </c>
      <c r="EB13" s="76" t="str">
        <f>IF(SUM(DF13:DI13)-DJ13&gt;0,SUM(DF13:DI13)-DJ13,"")</f>
        <v/>
      </c>
      <c r="EC13" s="76" t="str">
        <f>IF(DM13&gt;0,DM13,"")</f>
        <v/>
      </c>
      <c r="ED13" s="76" t="str">
        <f>IF(DN13&gt;0,DN13,"")</f>
        <v/>
      </c>
      <c r="EE13" s="76" t="str">
        <f>IF(SUM(DK13:DN13)-DO13&gt;0,SUM(DK13:DN13)-DO13,"")</f>
        <v/>
      </c>
      <c r="EF13" s="76" t="str">
        <f>IF(MAX(EB13,EE13)&gt;0,MAX(EB13,EE13),"")</f>
        <v/>
      </c>
      <c r="EG13" s="76" t="str">
        <f>IF(DR13&gt;0,DR13,"")</f>
        <v/>
      </c>
      <c r="EH13" s="76" t="str">
        <f>IF(DS13&gt;0,DS13,"")</f>
        <v/>
      </c>
      <c r="EI13" s="76" t="str">
        <f>IF(SUM(DP13:DS13)-DT13&gt;0,SUM(DP13:DS13)-DT13,"")</f>
        <v/>
      </c>
      <c r="EJ13" s="76" t="str">
        <f>IF(DW13&gt;0,DW13,"")</f>
        <v/>
      </c>
      <c r="EK13" s="76" t="str">
        <f>IF(DX13&gt;0,DX13,"")</f>
        <v/>
      </c>
      <c r="EL13" s="76" t="str">
        <f>IF(SUM(DU13:DX13)-DY13&gt;0,SUM(DU13:DX13)-DY13,"")</f>
        <v/>
      </c>
      <c r="EM13" s="76" t="str">
        <f>IF(SUM(EF13,EL13)&gt;0,SUM(EF13,EL13),"")</f>
        <v/>
      </c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16" t="str">
        <f>IF(EP13&gt;0,EP13,"")</f>
        <v/>
      </c>
      <c r="FI13" s="16" t="str">
        <f>IF(EQ13&gt;0,EQ13,"")</f>
        <v/>
      </c>
      <c r="FJ13" s="16" t="str">
        <f>IF(SUM(EN13:EQ13)-ER13&gt;0,SUM(EN13:EQ13)-ER13,"")</f>
        <v/>
      </c>
      <c r="FK13" s="16" t="str">
        <f>IF(EU13&gt;0,EU13,"")</f>
        <v/>
      </c>
      <c r="FL13" s="16" t="str">
        <f>IF(EV13&gt;0,EV13,"")</f>
        <v/>
      </c>
      <c r="FM13" s="16" t="str">
        <f>IF(SUM(ES13:EV13)-EW13&gt;0,SUM(ES13:EV13)-EW13,"")</f>
        <v/>
      </c>
      <c r="FN13" s="16" t="str">
        <f>IF(MAX(FJ13,FM13)&gt;0,MAX(FJ13,FM13),"")</f>
        <v/>
      </c>
      <c r="FO13" s="16" t="str">
        <f>IF(EZ13&gt;0,EZ13,"")</f>
        <v/>
      </c>
      <c r="FP13" s="16" t="str">
        <f>IF(FA13&gt;0,FA13,"")</f>
        <v/>
      </c>
      <c r="FQ13" s="16" t="str">
        <f>IF(SUM(EX13:FA13)-FB13&gt;0,SUM(EX13:FA13)-FB13,"")</f>
        <v/>
      </c>
      <c r="FR13" s="16" t="str">
        <f>IF(FE13&gt;0,FE13,"")</f>
        <v/>
      </c>
      <c r="FS13" s="16" t="str">
        <f>IF(FF13&gt;0,FF13,"")</f>
        <v/>
      </c>
      <c r="FT13" s="16" t="str">
        <f>IF(SUM(FC13:FF13)-FG13&gt;0,SUM(FC13:FF13)-FG13,"")</f>
        <v/>
      </c>
      <c r="FU13" s="16" t="str">
        <f>IF(SUM(FN13,FT13)&gt;0,SUM(FN13,FT13),"")</f>
        <v/>
      </c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76" t="str">
        <f>IF(FX13&gt;0,FX13,"")</f>
        <v/>
      </c>
      <c r="GQ13" s="76" t="str">
        <f>IF(FY13&gt;0,FY13,"")</f>
        <v/>
      </c>
      <c r="GR13" s="76" t="str">
        <f>IF(SUM(FV13:FY13)-FZ13&gt;0,SUM(FV13:FY13)-FZ13,"")</f>
        <v/>
      </c>
      <c r="GS13" s="76" t="str">
        <f>IF(GC13&gt;0,GC13,"")</f>
        <v/>
      </c>
      <c r="GT13" s="76" t="str">
        <f>IF(GD13&gt;0,GD13,"")</f>
        <v/>
      </c>
      <c r="GU13" s="76" t="str">
        <f>IF(SUM(GA13:GD13)-GE13&gt;0,SUM(GA13:GD13)-GE13,"")</f>
        <v/>
      </c>
      <c r="GV13" s="76" t="str">
        <f>IF(MAX(GR13,GU13)&gt;0,MAX(GR13,GU13),"")</f>
        <v/>
      </c>
      <c r="GW13" s="76" t="str">
        <f>IF(GH13&gt;0,GH13,"")</f>
        <v/>
      </c>
      <c r="GX13" s="76" t="str">
        <f>IF(GI13&gt;0,GI13,"")</f>
        <v/>
      </c>
      <c r="GY13" s="76" t="str">
        <f>IF(SUM(GF13:GI13)-GJ13&gt;0,SUM(GF13:GI13)-GJ13,"")</f>
        <v/>
      </c>
      <c r="GZ13" s="76" t="str">
        <f>IF(GM13&gt;0,GM13,"")</f>
        <v/>
      </c>
      <c r="HA13" s="76" t="str">
        <f>IF(GN13&gt;0,GN13,"")</f>
        <v/>
      </c>
      <c r="HB13" s="76" t="str">
        <f>IF(SUM(GK13:GN13)-GO13&gt;0,SUM(GK13:GN13)-GO13,"")</f>
        <v/>
      </c>
      <c r="HC13" s="76" t="str">
        <f>IF(SUM(GV13,HB13)&gt;0,SUM(GV13,HB13),"")</f>
        <v/>
      </c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16" t="str">
        <f>IF(HF13&gt;0,HF13,"")</f>
        <v/>
      </c>
      <c r="HY13" s="16" t="str">
        <f>IF(HG13&gt;0,HG13,"")</f>
        <v/>
      </c>
      <c r="HZ13" s="16" t="str">
        <f>IF(SUM(HD13:HG13)-HH13&gt;0,SUM(HD13:HG13)-HH13,"")</f>
        <v/>
      </c>
      <c r="IA13" s="16" t="str">
        <f>IF(HK13&gt;0,HK13,"")</f>
        <v/>
      </c>
      <c r="IB13" s="16" t="str">
        <f>IF(HL13&gt;0,HL13,"")</f>
        <v/>
      </c>
      <c r="IC13" s="16" t="str">
        <f>IF(SUM(HI13:HL13)-HM13&gt;0,SUM(HI13:HL13)-HM13,"")</f>
        <v/>
      </c>
      <c r="ID13" s="16" t="str">
        <f>IF(MAX(HZ13,IC13)&gt;0,MAX(HZ13,IC13),"")</f>
        <v/>
      </c>
      <c r="IE13" s="16" t="str">
        <f>IF(HP13&gt;0,HP13,"")</f>
        <v/>
      </c>
      <c r="IF13" s="16" t="str">
        <f>IF(HQ13&gt;0,HQ13,"")</f>
        <v/>
      </c>
      <c r="IG13" s="16" t="str">
        <f>IF(SUM(HN13:HQ13)-HR13&gt;0,SUM(HN13:HQ13)-HR13,"")</f>
        <v/>
      </c>
      <c r="IH13" s="16" t="str">
        <f>IF(HU13&gt;0,HU13,"")</f>
        <v/>
      </c>
      <c r="II13" s="16" t="str">
        <f>IF(HV13&gt;0,HV13,"")</f>
        <v/>
      </c>
      <c r="IJ13" s="16" t="str">
        <f>IF(SUM(HS13:HV13)-HW13&gt;0,SUM(HS13:HV13)-HW13,"")</f>
        <v/>
      </c>
      <c r="IK13" s="16" t="str">
        <f>IF(SUM(ID13,IJ13)&gt;0,SUM(ID13,IJ13),"")</f>
        <v/>
      </c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76" t="str">
        <f>IF(IN13&gt;0,IN13,"")</f>
        <v/>
      </c>
      <c r="JG13" s="76" t="str">
        <f>IF(IO13&gt;0,IO13,"")</f>
        <v/>
      </c>
      <c r="JH13" s="76" t="str">
        <f>IF(SUM(IL13:IO13)-IP13&gt;0,SUM(IL13:IO13)-IP13,"")</f>
        <v/>
      </c>
      <c r="JI13" s="76" t="str">
        <f>IF(IS13&gt;0,IS13,"")</f>
        <v/>
      </c>
      <c r="JJ13" s="76" t="str">
        <f>IF(IT13&gt;0,IT13,"")</f>
        <v/>
      </c>
      <c r="JK13" s="76" t="str">
        <f>IF(SUM(IQ13:IT13)-IU13&gt;0,SUM(IQ13:IT13)-IU13,"")</f>
        <v/>
      </c>
      <c r="JL13" s="76" t="str">
        <f>IF(MAX(JH13,JK13)&gt;0,MAX(JH13,JK13),"")</f>
        <v/>
      </c>
      <c r="JM13" s="76" t="str">
        <f>IF(IX13&gt;0,IX13,"")</f>
        <v/>
      </c>
      <c r="JN13" s="76" t="str">
        <f>IF(IY13&gt;0,IY13,"")</f>
        <v/>
      </c>
      <c r="JO13" s="76" t="str">
        <f>IF(SUM(IV13:IY13)-IZ13&gt;0,SUM(IV13:IY13)-IZ13,"")</f>
        <v/>
      </c>
      <c r="JP13" s="76" t="str">
        <f>IF(JC13&gt;0,JC13,"")</f>
        <v/>
      </c>
      <c r="JQ13" s="76" t="str">
        <f>IF(JD13&gt;0,JD13,"")</f>
        <v/>
      </c>
      <c r="JR13" s="76" t="str">
        <f>IF(SUM(JA13:JD13)-JE13&gt;0,SUM(JA13:JD13)-JE13,"")</f>
        <v/>
      </c>
      <c r="JS13" s="76" t="str">
        <f>IF(SUM(JL13,JR13)&gt;0,SUM(JL13,JR13),"")</f>
        <v/>
      </c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16" t="str">
        <f>IF(JV13&gt;0,JV13,"")</f>
        <v/>
      </c>
      <c r="KO13" s="16" t="str">
        <f>IF(JW13&gt;0,JW13,"")</f>
        <v/>
      </c>
      <c r="KP13" s="16" t="str">
        <f>IF(SUM(JT13:JW13)-JX13&gt;0,SUM(JT13:JW13)-JX13,"")</f>
        <v/>
      </c>
      <c r="KQ13" s="16" t="str">
        <f>IF(KA13&gt;0,KA13,"")</f>
        <v/>
      </c>
      <c r="KR13" s="16" t="str">
        <f>IF(KB13&gt;0,KB13,"")</f>
        <v/>
      </c>
      <c r="KS13" s="16" t="str">
        <f>IF(SUM(JY13:KB13)-KC13&gt;0,SUM(JY13:KB13)-KC13,"")</f>
        <v/>
      </c>
      <c r="KT13" s="16" t="str">
        <f>IF(MAX(KP13,KS13)&gt;0,MAX(KP13,KS13),"")</f>
        <v/>
      </c>
      <c r="KU13" s="16" t="str">
        <f>IF(KF13&gt;0,KF13,"")</f>
        <v/>
      </c>
      <c r="KV13" s="16" t="str">
        <f>IF(KG13&gt;0,KG13,"")</f>
        <v/>
      </c>
      <c r="KW13" s="16" t="str">
        <f>IF(SUM(KD13:KG13)-KH13&gt;0,SUM(KD13:KG13)-KH13,"")</f>
        <v/>
      </c>
      <c r="KX13" s="16" t="str">
        <f>IF(KK13&gt;0,KK13,"")</f>
        <v/>
      </c>
      <c r="KY13" s="16" t="str">
        <f>IF(KL13&gt;0,KL13,"")</f>
        <v/>
      </c>
      <c r="KZ13" s="16" t="str">
        <f>IF(SUM(KI13:KL13)-KM13&gt;0,SUM(KI13:KL13)-KM13,"")</f>
        <v/>
      </c>
      <c r="LA13" s="16" t="str">
        <f>IF(SUM(KT13,KZ13)&gt;0,SUM(KT13,KZ13),"")</f>
        <v/>
      </c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76" t="str">
        <f>IF(LD13&gt;0,LD13,"")</f>
        <v/>
      </c>
      <c r="LW13" s="76" t="str">
        <f>IF(LE13&gt;0,LE13,"")</f>
        <v/>
      </c>
      <c r="LX13" s="76" t="str">
        <f>IF(SUM(LB13:LE13)-LF13&gt;0,SUM(LB13:LE13)-LF13,"")</f>
        <v/>
      </c>
      <c r="LY13" s="76" t="str">
        <f>IF(LI13&gt;0,LI13,"")</f>
        <v/>
      </c>
      <c r="LZ13" s="76" t="str">
        <f>IF(LJ13&gt;0,LJ13,"")</f>
        <v/>
      </c>
      <c r="MA13" s="76" t="str">
        <f>IF(SUM(LG13:LJ13)-LK13&gt;0,SUM(LG13:LJ13)-LK13,"")</f>
        <v/>
      </c>
      <c r="MB13" s="76" t="str">
        <f>IF(MAX(LX13,MA13)&gt;0,MAX(LX13,MA13),"")</f>
        <v/>
      </c>
      <c r="MC13" s="76" t="str">
        <f>IF(LN13&gt;0,LN13,"")</f>
        <v/>
      </c>
      <c r="MD13" s="76" t="str">
        <f>IF(LO13&gt;0,LO13,"")</f>
        <v/>
      </c>
      <c r="ME13" s="76" t="str">
        <f>IF(SUM(LL13:LO13)-LP13&gt;0,SUM(LL13:LO13)-LP13,"")</f>
        <v/>
      </c>
      <c r="MF13" s="76" t="str">
        <f>IF(LS13&gt;0,LS13,"")</f>
        <v/>
      </c>
      <c r="MG13" s="76" t="str">
        <f>IF(LT13&gt;0,LT13,"")</f>
        <v/>
      </c>
      <c r="MH13" s="76" t="str">
        <f>IF(SUM(LQ13:LT13)-LU13&gt;0,SUM(LQ13:LT13)-LU13,"")</f>
        <v/>
      </c>
      <c r="MI13" s="76" t="str">
        <f>IF(SUM(MB13,MH13)&gt;0,SUM(MB13,MH13),"")</f>
        <v/>
      </c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16" t="str">
        <f>IF(ML13&gt;0,ML13,"")</f>
        <v/>
      </c>
      <c r="NE13" s="16" t="str">
        <f>IF(MM13&gt;0,MM13,"")</f>
        <v/>
      </c>
      <c r="NF13" s="16" t="str">
        <f>IF(SUM(MJ13:MM13)-MN13&gt;0,SUM(MJ13:MM13)-MN13,"")</f>
        <v/>
      </c>
      <c r="NG13" s="16" t="str">
        <f>IF(MQ13&gt;0,MQ13,"")</f>
        <v/>
      </c>
      <c r="NH13" s="16" t="str">
        <f>IF(MR13&gt;0,MR13,"")</f>
        <v/>
      </c>
      <c r="NI13" s="16" t="str">
        <f>IF(SUM(MO13:MR13)-MS13&gt;0,SUM(MO13:MR13)-MS13,"")</f>
        <v/>
      </c>
      <c r="NJ13" s="16" t="str">
        <f>IF(MAX(NF13,NI13)&gt;0,MAX(NF13,NI13),"")</f>
        <v/>
      </c>
      <c r="NK13" s="16" t="str">
        <f>IF(MV13&gt;0,MV13,"")</f>
        <v/>
      </c>
      <c r="NL13" s="16" t="str">
        <f>IF(MW13&gt;0,MW13,"")</f>
        <v/>
      </c>
      <c r="NM13" s="16" t="str">
        <f>IF(SUM(MT13:MW13)-MX13&gt;0,SUM(MT13:MW13)-MX13,"")</f>
        <v/>
      </c>
      <c r="NN13" s="16" t="str">
        <f>IF(NA13&gt;0,NA13,"")</f>
        <v/>
      </c>
      <c r="NO13" s="16" t="str">
        <f>IF(NB13&gt;0,NB13,"")</f>
        <v/>
      </c>
      <c r="NP13" s="16" t="str">
        <f>IF(SUM(MY13:NB13)-NC13&gt;0,SUM(MY13:NB13)-NC13,"")</f>
        <v/>
      </c>
      <c r="NQ13" s="16" t="str">
        <f>IF(SUM(NJ13,NP13)&gt;0,SUM(NJ13,NP13),"")</f>
        <v/>
      </c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76" t="str">
        <f>IF(NT13&gt;0,NT13,"")</f>
        <v/>
      </c>
      <c r="OM13" s="76" t="str">
        <f>IF(NU13&gt;0,NU13,"")</f>
        <v/>
      </c>
      <c r="ON13" s="76" t="str">
        <f>IF(SUM(NR13:NU13)-NV13&gt;0,SUM(NR13:NU13)-NV13,"")</f>
        <v/>
      </c>
      <c r="OO13" s="76" t="str">
        <f>IF(NY13&gt;0,NY13,"")</f>
        <v/>
      </c>
      <c r="OP13" s="76" t="str">
        <f>IF(NZ13&gt;0,NZ13,"")</f>
        <v/>
      </c>
      <c r="OQ13" s="76" t="str">
        <f>IF(SUM(NW13:NZ13)-OA13&gt;0,SUM(NW13:NZ13)-OA13,"")</f>
        <v/>
      </c>
      <c r="OR13" s="76" t="str">
        <f>IF(MAX(ON13,OQ13)&gt;0,MAX(ON13,OQ13),"")</f>
        <v/>
      </c>
      <c r="OS13" s="76" t="str">
        <f>IF(OD13&gt;0,OD13,"")</f>
        <v/>
      </c>
      <c r="OT13" s="76" t="str">
        <f>IF(OE13&gt;0,OE13,"")</f>
        <v/>
      </c>
      <c r="OU13" s="76" t="str">
        <f>IF(SUM(OB13:OE13)-OF13&gt;0,SUM(OB13:OE13)-OF13,"")</f>
        <v/>
      </c>
      <c r="OV13" s="76" t="str">
        <f>IF(OI13&gt;0,OI13,"")</f>
        <v/>
      </c>
      <c r="OW13" s="76" t="str">
        <f>IF(OJ13&gt;0,OJ13,"")</f>
        <v/>
      </c>
      <c r="OX13" s="76" t="str">
        <f>IF(SUM(OG13:OJ13)-OK13&gt;0,SUM(OG13:OJ13)-OK13,"")</f>
        <v/>
      </c>
      <c r="OY13" s="76" t="str">
        <f>IF(SUM(OR13,OX13)&gt;0,SUM(OR13,OX13),"")</f>
        <v/>
      </c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16" t="str">
        <f>IF(PB13&gt;0,PB13,"")</f>
        <v/>
      </c>
      <c r="PU13" s="16" t="str">
        <f>IF(PC13&gt;0,PC13,"")</f>
        <v/>
      </c>
      <c r="PV13" s="16" t="str">
        <f>IF(SUM(OZ13:PC13)-PD13&gt;0,SUM(OZ13:PC13)-PD13,"")</f>
        <v/>
      </c>
      <c r="PW13" s="16" t="str">
        <f>IF(PG13&gt;0,PG13,"")</f>
        <v/>
      </c>
      <c r="PX13" s="16" t="str">
        <f>IF(PH13&gt;0,PH13,"")</f>
        <v/>
      </c>
      <c r="PY13" s="16" t="str">
        <f>IF(SUM(PE13:PH13)-PI13&gt;0,SUM(PE13:PH13)-PI13,"")</f>
        <v/>
      </c>
      <c r="PZ13" s="16" t="str">
        <f>IF(MAX(PV13,PY13)&gt;0,MAX(PV13,PY13),"")</f>
        <v/>
      </c>
      <c r="QA13" s="16" t="str">
        <f>IF(PL13&gt;0,PL13,"")</f>
        <v/>
      </c>
      <c r="QB13" s="16" t="str">
        <f>IF(PM13&gt;0,PM13,"")</f>
        <v/>
      </c>
      <c r="QC13" s="16" t="str">
        <f>IF(SUM(PJ13:PM13)-PN13&gt;0,SUM(PJ13:PM13)-PN13,"")</f>
        <v/>
      </c>
      <c r="QD13" s="16" t="str">
        <f>IF(PQ13&gt;0,PQ13,"")</f>
        <v/>
      </c>
      <c r="QE13" s="16" t="str">
        <f>IF(PR13&gt;0,PR13,"")</f>
        <v/>
      </c>
      <c r="QF13" s="16" t="str">
        <f>IF(SUM(PO13:PR13)-PS13&gt;0,SUM(PO13:PR13)-PS13,"")</f>
        <v/>
      </c>
      <c r="QG13" s="16" t="str">
        <f>IF(SUM(PZ13,QF13)&gt;0,SUM(PZ13,QF13),"")</f>
        <v/>
      </c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76" t="str">
        <f>IF(QJ13&gt;0,QJ13,"")</f>
        <v/>
      </c>
      <c r="RC13" s="76" t="str">
        <f>IF(QK13&gt;0,QK13,"")</f>
        <v/>
      </c>
      <c r="RD13" s="76" t="str">
        <f>IF(SUM(QH13:QK13)-QL13&gt;0,SUM(QH13:QK13)-QL13,"")</f>
        <v/>
      </c>
      <c r="RE13" s="76" t="str">
        <f>IF(QO13&gt;0,QO13,"")</f>
        <v/>
      </c>
      <c r="RF13" s="76" t="str">
        <f>IF(QP13&gt;0,QP13,"")</f>
        <v/>
      </c>
      <c r="RG13" s="76" t="str">
        <f>IF(SUM(QM13:QP13)-QQ13&gt;0,SUM(QM13:QP13)-QQ13,"")</f>
        <v/>
      </c>
      <c r="RH13" s="76" t="str">
        <f>IF(MAX(RD13,RG13)&gt;0,MAX(RD13,RG13),"")</f>
        <v/>
      </c>
      <c r="RI13" s="76" t="str">
        <f>IF(QT13&gt;0,QT13,"")</f>
        <v/>
      </c>
      <c r="RJ13" s="76" t="str">
        <f>IF(QU13&gt;0,QU13,"")</f>
        <v/>
      </c>
      <c r="RK13" s="76" t="str">
        <f>IF(SUM(QR13:QU13)-QV13&gt;0,SUM(QR13:QU13)-QV13,"")</f>
        <v/>
      </c>
      <c r="RL13" s="76" t="str">
        <f>IF(QY13&gt;0,QY13,"")</f>
        <v/>
      </c>
      <c r="RM13" s="76" t="str">
        <f>IF(QZ13&gt;0,QZ13,"")</f>
        <v/>
      </c>
      <c r="RN13" s="76" t="str">
        <f>IF(SUM(QW13:QZ13)-RA13&gt;0,SUM(QW13:QZ13)-RA13,"")</f>
        <v/>
      </c>
      <c r="RO13" s="76" t="str">
        <f>IF(SUM(RH13,RN13)&gt;0,SUM(RH13,RN13),"")</f>
        <v/>
      </c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16" t="str">
        <f>IF(RR13&gt;0,RR13,"")</f>
        <v/>
      </c>
      <c r="SK13" s="16" t="str">
        <f>IF(RS13&gt;0,RS13,"")</f>
        <v/>
      </c>
      <c r="SL13" s="16" t="str">
        <f>IF(SUM(RP13:RS13)-RT13&gt;0,SUM(RP13:RS13)-RT13,"")</f>
        <v/>
      </c>
      <c r="SM13" s="16" t="str">
        <f>IF(RW13&gt;0,RW13,"")</f>
        <v/>
      </c>
      <c r="SN13" s="16" t="str">
        <f>IF(RX13&gt;0,RX13,"")</f>
        <v/>
      </c>
      <c r="SO13" s="16" t="str">
        <f>IF(SUM(RU13:RX13)-RY13&gt;0,SUM(RU13:RX13)-RY13,"")</f>
        <v/>
      </c>
      <c r="SP13" s="16" t="str">
        <f>IF(MAX(SL13,SO13)&gt;0,MAX(SL13,SO13),"")</f>
        <v/>
      </c>
      <c r="SQ13" s="16" t="str">
        <f>IF(SB13&gt;0,SB13,"")</f>
        <v/>
      </c>
      <c r="SR13" s="16" t="str">
        <f>IF(SC13&gt;0,SC13,"")</f>
        <v/>
      </c>
      <c r="SS13" s="16" t="str">
        <f>IF(SUM(RZ13:SC13)-SD13&gt;0,SUM(RZ13:SC13)-SD13,"")</f>
        <v/>
      </c>
      <c r="ST13" s="16" t="str">
        <f>IF(SG13&gt;0,SG13,"")</f>
        <v/>
      </c>
      <c r="SU13" s="16" t="str">
        <f>IF(SH13&gt;0,SH13,"")</f>
        <v/>
      </c>
      <c r="SV13" s="16" t="str">
        <f>IF(SUM(SE13:SH13)-SI13&gt;0,SUM(SE13:SH13)-SI13,"")</f>
        <v/>
      </c>
      <c r="SW13" s="16" t="str">
        <f>IF(SUM(SP13,SV13)&gt;0,SUM(SP13,SV13),"")</f>
        <v/>
      </c>
      <c r="SX13" s="42">
        <f>IF($CP13="P",CA13,(CA13+AZ13)/2)</f>
        <v>14.899999999999999</v>
      </c>
      <c r="SY13" s="42">
        <f>IF($CP13="P",CB13,(CB13+BA13)/2)</f>
        <v>8.6000000000000014</v>
      </c>
      <c r="SZ13" s="42">
        <f>IF($CP13="P",CC13,(CC13+BB13)/2)</f>
        <v>9.65</v>
      </c>
      <c r="TA13" s="42">
        <f>IF($CP13="P",CD13,(CD13+BC13)/2)</f>
        <v>13.8375</v>
      </c>
      <c r="TB13" s="42">
        <f>IF($CP13="P",CE13,(CE13+BD13)/2)</f>
        <v>0.15</v>
      </c>
      <c r="TC13" s="42">
        <f>IF($CP13="P",CF13,(CF13+BE13)/2)</f>
        <v>7.1</v>
      </c>
      <c r="TD13" s="42">
        <f>IF($CP13="P",CG13,(CG13+BF13)/2)</f>
        <v>4.7</v>
      </c>
      <c r="TE13" s="42">
        <f>IF($CP13="P",CH13,(CH13+BG13)/2)</f>
        <v>6.1</v>
      </c>
      <c r="TF13" s="42">
        <f>IF($CP13="P",CI13,(CI13+BH13)/2)</f>
        <v>7.1349999999999998</v>
      </c>
      <c r="TG13" s="42">
        <f>IF($CP13="P",CJ13,(CJ13+BI13)/2)</f>
        <v>0</v>
      </c>
      <c r="TH13" s="42">
        <f>IF($CP13="P",CK13,(CK13+BJ13)/2)</f>
        <v>15.100000000000001</v>
      </c>
      <c r="TI13" s="42">
        <f>IF($CP13="P",CL13,(CL13+BK13)/2)</f>
        <v>9.3000000000000007</v>
      </c>
      <c r="TJ13" s="42">
        <f>IF($CP13="P",CM13,(CM13+BL13)/2)</f>
        <v>11.3</v>
      </c>
      <c r="TK13" s="42">
        <f>IF($CP13="P",CN13,(CN13+BM13)/2)</f>
        <v>14.68</v>
      </c>
      <c r="TL13" s="42">
        <f>IF($CP13="P",CO13,(CO13+BN13)/2)</f>
        <v>0</v>
      </c>
      <c r="TM13" s="51" t="s">
        <v>61</v>
      </c>
      <c r="TN13" s="76">
        <f>IF(SZ13&gt;0,SZ13,"")</f>
        <v>9.65</v>
      </c>
      <c r="TO13" s="76">
        <f>IF(TA13&gt;0,TA13,"")</f>
        <v>13.8375</v>
      </c>
      <c r="TP13" s="76">
        <f>IF(SUM(SX13:TA13)-TB13&gt;0,SUM(SX13:TA13)-TB13,"")</f>
        <v>46.837499999999999</v>
      </c>
      <c r="TQ13" s="76">
        <f>IF(TE13&gt;0,TE13,"")</f>
        <v>6.1</v>
      </c>
      <c r="TR13" s="76">
        <f>IF(TF13&gt;0,TF13,"")</f>
        <v>7.1349999999999998</v>
      </c>
      <c r="TS13" s="76">
        <f>IF(SUM(TC13:TF13)-TG13&gt;0,SUM(TC13:TF13)-TG13,"")</f>
        <v>25.034999999999997</v>
      </c>
      <c r="TT13" s="76">
        <f>IF(MAX(TP13,TS13)&gt;0,MAX(TP13,TS13),"")</f>
        <v>46.837499999999999</v>
      </c>
      <c r="TU13" s="76">
        <f>IF(TJ13&gt;0,TJ13,"")</f>
        <v>11.3</v>
      </c>
      <c r="TV13" s="76">
        <f>IF(TK13&gt;0,TK13,"")</f>
        <v>14.68</v>
      </c>
      <c r="TW13" s="76">
        <f>IF(SUM(TH13:TK13)-TL13&gt;0,SUM(TH13:TK13)-TL13,"")</f>
        <v>50.38</v>
      </c>
      <c r="TX13" s="76">
        <f>IF(SUM(TT13,TW13)&gt;0,SUM(TT13,TW13),"")</f>
        <v>97.217500000000001</v>
      </c>
    </row>
    <row r="14" spans="1:544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>SUM(J14:V14)+SUM(J14:T14)*0.0000001+SUM(J14)*0.0000000000001</f>
        <v>194.38501943850471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Z14&gt;=EM$17,DZ14&lt;&gt;"",EB14&gt;=EM$21,EB14&lt;&gt;""),AND(EC14&gt;=EM$17,EC14&lt;&gt;"",EE14&gt;=EM$21,EE14&lt;&gt;""),AND(EG14&gt;=EM$17,EG14&lt;&gt;"",EI14&gt;=EM$21,EI14&lt;&gt;""),AND(EJ14&gt;=EM$17,EJ14&lt;&gt;"",EL14&gt;=EM$21,EL14&lt;&gt;""),AND(FH14&gt;=FU$17,FH14&lt;&gt;"",FJ14&gt;=FU$21,FJ14&lt;&gt;""),AND(FK14&gt;=FU$17,FK14&lt;&gt;"",FM14&gt;=FU$21,FM14&lt;&gt;""),AND(FO14&gt;=FU$17,FO14&lt;&gt;"",FQ14&gt;=FU$21,FQ14&lt;&gt;""),AND(FR14&gt;=FU$17,FR14&lt;&gt;"",FT14&gt;=FU$21,FT14&lt;&gt;""),AND(GP14&gt;=HC$17,GP14&lt;&gt;"",GR14&gt;=HC$21,GR14&lt;&gt;""),AND(GS14&gt;=HC$17,GS14&lt;&gt;"",GU14&gt;=HC$21,GU14&lt;&gt;""),AND(GW14&gt;=HC$17,GW14&lt;&gt;"",GY14&gt;=HC$21,GY14&lt;&gt;""),AND(GZ14&gt;=HC$17,GZ14&lt;&gt;"",HB14&gt;=HC$21,HB14&lt;&gt;""),AND(HX14&gt;=IK$17,HX14&lt;&gt;"",HZ14&gt;=IK$21,HZ14&lt;&gt;""),AND(IA14&gt;=IK$17,IA14&lt;&gt;"",IC14&gt;=IK$21,IC14&lt;&gt;""),AND(IE14&gt;=IK$17,IE14&lt;&gt;"",IG14&gt;=IK$21,IG14&lt;&gt;""),AND(IH14&gt;=IK$17,IH14&lt;&gt;"",IJ14&gt;=IK$21,IJ14&lt;&gt;""),AND(JF14&gt;=JS$17,JF14&lt;&gt;"",JH14&gt;=JS$21,JH14&lt;&gt;""),AND(JI14&gt;=JS$17,JI14&lt;&gt;"",JK14&gt;=JS$21,JK14&lt;&gt;""),AND(JM14&gt;=JS$17,JM14&lt;&gt;"",JO14&gt;=JS$21,JO14&lt;&gt;""),AND(JP14&gt;=JS$17,JP14&lt;&gt;"",JR14&gt;=JS$21,JR14&lt;&gt;""),AND(KN14&gt;=LA$17,KN14&lt;&gt;"",KP14&gt;=LA$21,KP14&lt;&gt;""),AND(KQ14&gt;=LA$17,KQ14&lt;&gt;"",KS14&gt;=LA$21,KS14&lt;&gt;""),AND(KU14&gt;=LA$17,KU14&lt;&gt;"",KW14&gt;=LA$21,KW14&lt;&gt;""),AND(KX14&gt;=LA$17,KX14&lt;&gt;"",KZ14&gt;=LA$21,KZ14&lt;&gt;""),AND(LV14&gt;=MI$17,LV14&lt;&gt;"",LX14&gt;=MI$21,LX14&lt;&gt;""),AND(LY14&gt;=MI$17,LY14&lt;&gt;"",MA14&gt;=MI$21,MA14&lt;&gt;""),AND(MC14&gt;=MI$17,MC14&lt;&gt;"",ME14&gt;=MI$21,ME14&lt;&gt;""),AND(MF14&gt;=MI$17,MF14&lt;&gt;"",MH14&gt;=MI$21,MH14&lt;&gt;""),AND(ND14&gt;=NQ$17,ND14&lt;&gt;"",NF14&gt;=NQ$21,NF14&lt;&gt;""),AND(NG14&gt;=NQ$17,NG14&lt;&gt;"",NI14&gt;=NQ$21,NI14&lt;&gt;""),AND(NK14&gt;=NQ$17,NK14&lt;&gt;"",NM14&gt;=NQ$21,NM14&lt;&gt;""),AND(NN14&gt;=NQ$17,NN14&lt;&gt;"",NP14&gt;=NQ$21,NP14&lt;&gt;""),AND(OL14&gt;=OY$17,OL14&lt;&gt;"",ON14&gt;=OY$21,ON14&lt;&gt;""),AND(OO14&gt;=OY$17,OO14&lt;&gt;"",OQ14&gt;=OY$21,OQ14&lt;&gt;""),AND(OS14&gt;=OY$17,OS14&lt;&gt;"",OU14&gt;=OY$21,OU14&lt;&gt;""),AND(OV14&gt;=OY$17,OV14&lt;&gt;"",OX14&gt;=OY$21,OX14&lt;&gt;""),AND(PT14&gt;=QG$17,PT14&lt;&gt;"",PV14&gt;=QG$21,PV14&lt;&gt;""),AND(PW14&gt;=QG$17,PW14&lt;&gt;"",PY14&gt;=QG$21,PY14&lt;&gt;""),AND(QA14&gt;=QG$17,QA14&lt;&gt;"",QC14&gt;=QG$21,QC14&lt;&gt;""),AND(QD14&gt;=QG$17,QD14&lt;&gt;"",QF14&gt;=QG$21,QF14&lt;&gt;""),AND(RB14&gt;=RO$17,RB14&lt;&gt;"",RD14&gt;=RO$21,RD14&lt;&gt;""),AND(RE14&gt;=RO$17,RE14&lt;&gt;"",RG14&gt;=RO$21,RG14&lt;&gt;""),AND(RI14&gt;=RO$17,RI14&lt;&gt;"",RK14&gt;=RO$21,RK14&lt;&gt;""),AND(RL14&gt;=RO$17,RL14&lt;&gt;"",RN14&gt;=RO$21,RN14&lt;&gt;""),AND(SJ14&gt;=SW$17,SJ14&lt;&gt;"",SL14&gt;=SW$21,SL14&lt;&gt;""),AND(SM14&gt;=SW$17,SM14&lt;&gt;"",SO14&gt;=SW$21,SO14&lt;&gt;""),AND(SQ14&gt;=SW$17,SQ14&lt;&gt;"",SS14&gt;=SW$21,SS14&lt;&gt;""),AND(ST14&gt;=SW$17,ST14&lt;&gt;"",SV14&gt;=SW$21,SV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EB14&gt;=EM$21,EB14&lt;&gt;""),AND(EE14&gt;=EM$21,EE14&lt;&gt;""),AND(EI14&gt;=EM$21,EI14&lt;&gt;""),AND(EL14&gt;=EM$21,EL14&lt;&gt;""),AND(FJ14&gt;=FU$21,FJ14&lt;&gt;""),AND(FM14&gt;=FU$21,FM14&lt;&gt;""),AND(FQ14&gt;=FU$21,FQ14&lt;&gt;""),AND(FT14&gt;=FU$21,FT14&lt;&gt;""),AND(GR14&gt;=HC$21,GR14&lt;&gt;""),AND(GU14&gt;=HC$21,GU14&lt;&gt;""),AND(GY14&gt;=HC$21,GY14&lt;&gt;""),AND(HB14&gt;=HC$21,HB14&lt;&gt;""),AND(HZ14&gt;=IK$21,HZ14&lt;&gt;""),AND(IC14&gt;=IK$21,IC14&lt;&gt;""),AND(IG14&gt;=IK$21,IG14&lt;&gt;""),AND(IJ14&gt;=IK$21,IJ14&lt;&gt;""),AND(JH14&gt;=JS$21,JH14&lt;&gt;""),AND(JK14&gt;=JS$21,JK14&lt;&gt;""),AND(JO14&gt;=JS$21,JO14&lt;&gt;""),AND(JR14&gt;=JS$21,JR14&lt;&gt;""),AND(KP14&gt;=LA$21,KP14&lt;&gt;""),AND(KS14&gt;=LA$21,KS14&lt;&gt;""),AND(KW14&gt;=LA$21,KW14&lt;&gt;""),AND(KZ14&gt;=LA$21,KZ14&lt;&gt;""),AND(LX14&gt;=MI$21,LX14&lt;&gt;""),AND(MA14&gt;=MI$21,MA14&lt;&gt;""),AND(ME14&gt;=MI$21,ME14&lt;&gt;""),AND(MH14&gt;=MI$21,MH14&lt;&gt;""),AND(NF14&gt;=NQ$21,NF14&lt;&gt;""),AND(NI14&gt;=NQ$21,NI14&lt;&gt;""),AND(NM14&gt;=NQ$21,NM14&lt;&gt;""),AND(NP14&gt;=NQ$21,NP14&lt;&gt;""),AND(ON14&gt;=OY$21,ON14&lt;&gt;""),AND(OQ14&gt;=OY$21,OQ14&lt;&gt;""),AND(OU14&gt;=OY$21,OU14&lt;&gt;""),AND(OX14&gt;=OY$21,OX14&lt;&gt;""),AND(PV14&gt;=QG$21,PV14&lt;&gt;""),AND(PY14&gt;=QG$21,PY14&lt;&gt;""),AND(QC14&gt;=QG$21,QC14&lt;&gt;""),AND(QF14&gt;=QG$21,QF14&lt;&gt;""),AND(RD14&gt;=RO$21,RD14&lt;&gt;""),AND(RG14&gt;=RO$21,RG14&lt;&gt;""),AND(RK14&gt;=RO$21,RK14&lt;&gt;""),AND(RN14&gt;=RO$21,RN14&lt;&gt;""),AND(SL14&gt;=SW$21,SL14&lt;&gt;""),AND(SO14&gt;=SW$21,SO14&lt;&gt;""),AND(SS14&gt;=SW$21,SS14&lt;&gt;""),AND(SV14&gt;=SW$21,SV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Z14&gt;=EM$20,DZ14&lt;&gt;"",EB14&gt;=EM$24,EB14&lt;&gt;""),AND(EC14&gt;=EM$20,EC14&lt;&gt;"",EE14&gt;=EM$24,EE14&lt;&gt;""),AND(EG14&gt;=EM$20,EG14&lt;&gt;"",EI14&gt;=EM$24,EI14&lt;&gt;""),AND(EJ14&gt;=EM$20,EJ14&lt;&gt;"",EL14&gt;=EM$24,EL14&lt;&gt;""),AND(FH14&gt;=FU$20,FH14&lt;&gt;"",FJ14&gt;=FU$24,FJ14&lt;&gt;""),AND(FK14&gt;=FU$20,FK14&lt;&gt;"",FM14&gt;=FU$24,FM14&lt;&gt;""),AND(FO14&gt;=FU$20,FO14&lt;&gt;"",FQ14&gt;=FU$24,FQ14&lt;&gt;""),AND(FR14&gt;=FU$20,FR14&lt;&gt;"",FT14&gt;=FU$24,FT14&lt;&gt;""),AND(GP14&gt;=HC$20,GP14&lt;&gt;"",GR14&gt;=HC$24,GR14&lt;&gt;""),AND(GS14&gt;=HC$20,GS14&lt;&gt;"",GU14&gt;=HC$24,GU14&lt;&gt;""),AND(GW14&gt;=HC$20,GW14&lt;&gt;"",GY14&gt;=HC$24,GY14&lt;&gt;""),AND(GZ14&gt;=HC$20,GZ14&lt;&gt;"",HB14&gt;=HC$24,HB14&lt;&gt;""),AND(HX14&gt;=IK$20,HX14&lt;&gt;"",HZ14&gt;=IK$24,HZ14&lt;&gt;""),AND(IA14&gt;=IK$20,IA14&lt;&gt;"",IC14&gt;=IK$24,IC14&lt;&gt;""),AND(IE14&gt;=IK$20,IE14&lt;&gt;"",IG14&gt;=IK$24,IG14&lt;&gt;""),AND(IH14&gt;=IK$20,IH14&lt;&gt;"",IJ14&gt;=IK$24,IJ14&lt;&gt;""),AND(JF14&gt;=JS$20,JF14&lt;&gt;"",JH14&gt;=JS$24,JH14&lt;&gt;""),AND(JI14&gt;=JS$20,JI14&lt;&gt;"",JK14&gt;=JS$24,JK14&lt;&gt;""),AND(JM14&gt;=JS$20,JM14&lt;&gt;"",JO14&gt;=JS$24,JO14&lt;&gt;""),AND(JP14&gt;=JS$20,JP14&lt;&gt;"",JR14&gt;=JS$24,JR14&lt;&gt;""),AND(KN14&gt;=LA$20,KN14&lt;&gt;"",KP14&gt;=LA$24,KP14&lt;&gt;""),AND(KQ14&gt;=LA$20,KQ14&lt;&gt;"",KS14&gt;=LA$24,KS14&lt;&gt;""),AND(KU14&gt;=LA$20,KU14&lt;&gt;"",KW14&gt;=LA$24,KW14&lt;&gt;""),AND(KX14&gt;=LA$20,KX14&lt;&gt;"",KZ14&gt;=LA$24,KZ14&lt;&gt;""),AND(LV14&gt;=MI$20,LV14&lt;&gt;"",LX14&gt;=MI$24,LX14&lt;&gt;""),AND(LY14&gt;=MI$20,LY14&lt;&gt;"",MA14&gt;=MI$24,MA14&lt;&gt;""),AND(MC14&gt;=MI$20,MC14&lt;&gt;"",ME14&gt;=MI$24,ME14&lt;&gt;""),AND(MF14&gt;=MI$20,MF14&lt;&gt;"",MH14&gt;=MI$24,MH14&lt;&gt;""),AND(ND14&gt;=NQ$20,ND14&lt;&gt;"",NF14&gt;=NQ$24,NF14&lt;&gt;""),AND(NG14&gt;=NQ$20,NG14&lt;&gt;"",NI14&gt;=NQ$24,NI14&lt;&gt;""),AND(NK14&gt;=NQ$20,NK14&lt;&gt;"",NM14&gt;=NQ$24,NM14&lt;&gt;""),AND(NN14&gt;=NQ$20,NN14&lt;&gt;"",NP14&gt;=NQ$24,NP14&lt;&gt;""),AND(OL14&gt;=OY$20,OL14&lt;&gt;"",ON14&gt;=OY$24,ON14&lt;&gt;""),AND(OO14&gt;=OY$20,OO14&lt;&gt;"",OQ14&gt;=OY$24,OQ14&lt;&gt;""),AND(OS14&gt;=OY$20,OS14&lt;&gt;"",OU14&gt;=OY$24,OU14&lt;&gt;""),AND(OV14&gt;=OY$20,OV14&lt;&gt;"",OX14&gt;=OY$24,OX14&lt;&gt;""),AND(PT14&gt;=QG$20,PT14&lt;&gt;"",PV14&gt;=QG$24,PV14&lt;&gt;""),AND(PW14&gt;=QG$20,PW14&lt;&gt;"",PY14&gt;=QG$24,PY14&lt;&gt;""),AND(QA14&gt;=QG$20,QA14&lt;&gt;"",QC14&gt;=QG$24,QC14&lt;&gt;""),AND(QD14&gt;=QG$20,QD14&lt;&gt;"",QF14&gt;=QG$24,QF14&lt;&gt;""),AND(RB14&gt;=RO$20,RB14&lt;&gt;"",RD14&gt;=RO$24,RD14&lt;&gt;""),AND(RE14&gt;=RO$20,RE14&lt;&gt;"",RG14&gt;=RO$24,RG14&lt;&gt;""),AND(RI14&gt;=RO$20,RI14&lt;&gt;"",RK14&gt;=RO$24,RK14&lt;&gt;""),AND(RL14&gt;=RO$20,RL14&lt;&gt;"",RN14&gt;=RO$24,RN14&lt;&gt;""),AND(SJ14&gt;=SW$20,SJ14&lt;&gt;"",SL14&gt;=SW$24,SL14&lt;&gt;""),AND(SM14&gt;=SW$20,SM14&lt;&gt;"",SO14&gt;=SW$24,SO14&lt;&gt;""),AND(SQ14&gt;=SW$20,SQ14&lt;&gt;"",SS14&gt;=SW$24,SS14&lt;&gt;""),AND(ST14&gt;=SW$20,ST14&lt;&gt;"",SV14&gt;=SW$24,SV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Z14&gt;=EM$19,DZ14&lt;&gt;"",EB14&gt;=EM$23,EB14&lt;&gt;""),AND(EC14&gt;=EM$19,EC14&lt;&gt;"",EE14&gt;=EM$23,EE14&lt;&gt;""),AND(EG14&gt;=EM$19,EG14&lt;&gt;"",EI14&gt;=EM$23,EI14&lt;&gt;""),AND(EJ14&gt;=EM$19,EJ14&lt;&gt;"",EL14&gt;=EM$23,EL14&lt;&gt;""),AND(FH14&gt;=FU$19,FH14&lt;&gt;"",FJ14&gt;=FU$23,FJ14&lt;&gt;""),AND(FK14&gt;=FU$19,FK14&lt;&gt;"",FM14&gt;=FU$23,FM14&lt;&gt;""),AND(FO14&gt;=FU$19,FO14&lt;&gt;"",FQ14&gt;=FU$23,FQ14&lt;&gt;""),AND(FR14&gt;=FU$19,FR14&lt;&gt;"",FT14&gt;=FU$23,FT14&lt;&gt;""),AND(GP14&gt;=HC$19,GP14&lt;&gt;"",GR14&gt;=HC$23,GR14&lt;&gt;""),AND(GS14&gt;=HC$19,GS14&lt;&gt;"",GU14&gt;=HC$23,GU14&lt;&gt;""),AND(GW14&gt;=HC$19,GW14&lt;&gt;"",GY14&gt;=HC$23,GY14&lt;&gt;""),AND(GZ14&gt;=HC$19,GZ14&lt;&gt;"",HB14&gt;=HC$23,HB14&lt;&gt;""),AND(HX14&gt;=IK$19,HX14&lt;&gt;"",HZ14&gt;=IK$23,HZ14&lt;&gt;""),AND(IA14&gt;=IK$19,IA14&lt;&gt;"",IC14&gt;=IK$23,IC14&lt;&gt;""),AND(IE14&gt;=IK$19,IE14&lt;&gt;"",IG14&gt;=IK$23,IG14&lt;&gt;""),AND(IH14&gt;=IK$19,IH14&lt;&gt;"",IJ14&gt;=IK$23,IJ14&lt;&gt;""),AND(JF14&gt;=JS$19,JF14&lt;&gt;"",JH14&gt;=JS$23,JH14&lt;&gt;""),AND(JI14&gt;=JS$19,JI14&lt;&gt;"",JK14&gt;=JS$23,JK14&lt;&gt;""),AND(JM14&gt;=JS$19,JM14&lt;&gt;"",JO14&gt;=JS$23,JO14&lt;&gt;""),AND(JP14&gt;=JS$19,JP14&lt;&gt;"",JR14&gt;=JS$23,JR14&lt;&gt;""),AND(KN14&gt;=LA$19,KN14&lt;&gt;"",KP14&gt;=LA$23,KP14&lt;&gt;""),AND(KQ14&gt;=LA$19,KQ14&lt;&gt;"",KS14&gt;=LA$23,KS14&lt;&gt;""),AND(KU14&gt;=LA$19,KU14&lt;&gt;"",KW14&gt;=LA$23,KW14&lt;&gt;""),AND(KX14&gt;=LA$19,KX14&lt;&gt;"",KZ14&gt;=LA$23,KZ14&lt;&gt;""),AND(LV14&gt;=MI$19,LV14&lt;&gt;"",LX14&gt;=MI$23,LX14&lt;&gt;""),AND(LY14&gt;=MI$19,LY14&lt;&gt;"",MA14&gt;=MI$23,MA14&lt;&gt;""),AND(MC14&gt;=MI$19,MC14&lt;&gt;"",ME14&gt;=MI$23,ME14&lt;&gt;""),AND(MF14&gt;=MI$19,MF14&lt;&gt;"",MH14&gt;=MI$23,MH14&lt;&gt;""),AND(ND14&gt;=NQ$19,ND14&lt;&gt;"",NF14&gt;=NQ$23,NF14&lt;&gt;""),AND(NG14&gt;=NQ$19,NG14&lt;&gt;"",NI14&gt;=NQ$23,NI14&lt;&gt;""),AND(NK14&gt;=NQ$19,NK14&lt;&gt;"",NM14&gt;=NQ$23,NM14&lt;&gt;""),AND(NN14&gt;=NQ$19,NN14&lt;&gt;"",NP14&gt;=NQ$23,NP14&lt;&gt;""),AND(OL14&gt;=OY$19,OL14&lt;&gt;"",ON14&gt;=OY$23,ON14&lt;&gt;""),AND(OO14&gt;=OY$19,OO14&lt;&gt;"",OQ14&gt;=OY$23,OQ14&lt;&gt;""),AND(OS14&gt;=OY$19,OS14&lt;&gt;"",OU14&gt;=OY$23,OU14&lt;&gt;""),AND(OV14&gt;=OY$19,OV14&lt;&gt;"",OX14&gt;=OY$23,OX14&lt;&gt;""),AND(PT14&gt;=QG$19,PT14&lt;&gt;"",PV14&gt;=QG$23,PV14&lt;&gt;""),AND(PW14&gt;=QG$19,PW14&lt;&gt;"",PY14&gt;=QG$23,PY14&lt;&gt;""),AND(QA14&gt;=QG$19,QA14&lt;&gt;"",QC14&gt;=QG$23,QC14&lt;&gt;""),AND(QD14&gt;=QG$19,QD14&lt;&gt;"",QF14&gt;=QG$23,QF14&lt;&gt;""),AND(RB14&gt;=RO$19,RB14&lt;&gt;"",RD14&gt;=RO$23,RD14&lt;&gt;""),AND(RE14&gt;=RO$19,RE14&lt;&gt;"",RG14&gt;=RO$23,RG14&lt;&gt;""),AND(RI14&gt;=RO$19,RI14&lt;&gt;"",RK14&gt;=RO$23,RK14&lt;&gt;""),AND(RL14&gt;=RO$19,RL14&lt;&gt;"",RN14&gt;=RO$23,RN14&lt;&gt;""),AND(SJ14&gt;=SW$19,SJ14&lt;&gt;"",SL14&gt;=SW$23,SL14&lt;&gt;""),AND(SM14&gt;=SW$19,SM14&lt;&gt;"",SO14&gt;=SW$23,SO14&lt;&gt;""),AND(SQ14&gt;=SW$19,SQ14&lt;&gt;"",SS14&gt;=SW$23,SS14&lt;&gt;""),AND(ST14&gt;=SW$19,ST14&lt;&gt;"",SV14&gt;=SW$23,SV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Z14&gt;=EM$18,DZ14&lt;&gt;"",EB14&gt;=EM$22,EB14&lt;&gt;""),AND(EC14&gt;=EM$18,EC14&lt;&gt;"",EE14&gt;=EM$22,EE14&lt;&gt;""),AND(EG14&gt;=EM$18,EG14&lt;&gt;"",EI14&gt;=EM$22,EI14&lt;&gt;""),AND(EJ14&gt;=EM$18,EJ14&lt;&gt;"",EL14&gt;=EM$22,EL14&lt;&gt;""),AND(FH14&gt;=FU$18,FH14&lt;&gt;"",FJ14&gt;=FU$22,FJ14&lt;&gt;""),AND(FK14&gt;=FU$18,FK14&lt;&gt;"",FM14&gt;=FU$22,FM14&lt;&gt;""),AND(FO14&gt;=FU$18,FO14&lt;&gt;"",FQ14&gt;=FU$22,FQ14&lt;&gt;""),AND(FR14&gt;=FU$18,FR14&lt;&gt;"",FT14&gt;=FU$22,FT14&lt;&gt;""),AND(GP14&gt;=HC$18,GP14&lt;&gt;"",GR14&gt;=HC$22,GR14&lt;&gt;""),AND(GS14&gt;=HC$18,GS14&lt;&gt;"",GU14&gt;=HC$22,GU14&lt;&gt;""),AND(GW14&gt;=HC$18,GW14&lt;&gt;"",GY14&gt;=HC$22,GY14&lt;&gt;""),AND(GZ14&gt;=HC$18,GZ14&lt;&gt;"",HB14&gt;=HC$22,HB14&lt;&gt;""),AND(HX14&gt;=IK$18,HX14&lt;&gt;"",HZ14&gt;=IK$22,HZ14&lt;&gt;""),AND(IA14&gt;=IK$18,IA14&lt;&gt;"",IC14&gt;=IK$22,IC14&lt;&gt;""),AND(IE14&gt;=IK$18,IE14&lt;&gt;"",IG14&gt;=IK$22,IG14&lt;&gt;""),AND(IH14&gt;=IK$18,IH14&lt;&gt;"",IJ14&gt;=IK$22,IJ14&lt;&gt;""),AND(JF14&gt;=JS$18,JF14&lt;&gt;"",JH14&gt;=JS$22,JH14&lt;&gt;""),AND(JI14&gt;=JS$18,JI14&lt;&gt;"",JK14&gt;=JS$22,JK14&lt;&gt;""),AND(JM14&gt;=JS$18,JM14&lt;&gt;"",JO14&gt;=JS$22,JO14&lt;&gt;""),AND(JP14&gt;=JS$18,JP14&lt;&gt;"",JR14&gt;=JS$22,JR14&lt;&gt;""),AND(KN14&gt;=LA$18,KN14&lt;&gt;"",KP14&gt;=LA$22,KP14&lt;&gt;""),AND(KQ14&gt;=LA$18,KQ14&lt;&gt;"",KS14&gt;=LA$22,KS14&lt;&gt;""),AND(KU14&gt;=LA$18,KU14&lt;&gt;"",KW14&gt;=LA$22,KW14&lt;&gt;""),AND(KX14&gt;=LA$18,KX14&lt;&gt;"",KZ14&gt;=LA$22,KZ14&lt;&gt;""),AND(LV14&gt;=MI$18,LV14&lt;&gt;"",LX14&gt;=MI$22,LX14&lt;&gt;""),AND(LY14&gt;=MI$18,LY14&lt;&gt;"",MA14&gt;=MI$22,MA14&lt;&gt;""),AND(MC14&gt;=MI$18,MC14&lt;&gt;"",ME14&gt;=MI$22,ME14&lt;&gt;""),AND(MF14&gt;=MI$18,MF14&lt;&gt;"",MH14&gt;=MI$22,MH14&lt;&gt;""),AND(ND14&gt;=NQ$18,ND14&lt;&gt;"",NF14&gt;=NQ$22,NF14&lt;&gt;""),AND(NG14&gt;=NQ$18,NG14&lt;&gt;"",NI14&gt;=NQ$22,NI14&lt;&gt;""),AND(NK14&gt;=NQ$18,NK14&lt;&gt;"",NM14&gt;=NQ$22,NM14&lt;&gt;""),AND(NN14&gt;=NQ$18,NN14&lt;&gt;"",NP14&gt;=NQ$22,NP14&lt;&gt;""),AND(OL14&gt;=OY$18,OL14&lt;&gt;"",ON14&gt;=OY$22,ON14&lt;&gt;""),AND(OO14&gt;=OY$18,OO14&lt;&gt;"",OQ14&gt;=OY$22,OQ14&lt;&gt;""),AND(OS14&gt;=OY$18,OS14&lt;&gt;"",OU14&gt;=OY$22,OU14&lt;&gt;""),AND(OV14&gt;=OY$18,OV14&lt;&gt;"",OX14&gt;=OY$22,OX14&lt;&gt;""),AND(PT14&gt;=QG$18,PT14&lt;&gt;"",PV14&gt;=QG$22,PV14&lt;&gt;""),AND(PW14&gt;=QG$18,PW14&lt;&gt;"",PY14&gt;=QG$22,PY14&lt;&gt;""),AND(QA14&gt;=QG$18,QA14&lt;&gt;"",QC14&gt;=QG$22,QC14&lt;&gt;""),AND(QD14&gt;=QG$18,QD14&lt;&gt;"",QF14&gt;=QG$22,QF14&lt;&gt;""),AND(RB14&gt;=RO$18,RB14&lt;&gt;"",RD14&gt;=RO$22,RD14&lt;&gt;""),AND(RE14&gt;=RO$18,RE14&lt;&gt;"",RG14&gt;=RO$22,RG14&lt;&gt;""),AND(RI14&gt;=RO$18,RI14&lt;&gt;"",RK14&gt;=RO$22,RK14&lt;&gt;""),AND(RL14&gt;=RO$18,RL14&lt;&gt;"",RN14&gt;=RO$22,RN14&lt;&gt;""),AND(SJ14&gt;=SW$18,SJ14&lt;&gt;"",SL14&gt;=SW$22,SL14&lt;&gt;""),AND(SM14&gt;=SW$18,SM14&lt;&gt;"",SO14&gt;=SW$22,SO14&lt;&gt;""),AND(SQ14&gt;=SW$18,SQ14&lt;&gt;"",SS14&gt;=SW$22,SS14&lt;&gt;""),AND(ST14&gt;=SW$18,ST14&lt;&gt;"",SV14&gt;=SW$22,SV14&lt;&gt;"")),"P","")</f>
        <v/>
      </c>
      <c r="J14" s="13">
        <f>IF(COUNT(AQ14,AT14,BR14,BU14,CS14,CV14)&gt;0,LARGE((AQ14,AT14,BR14,BU14,CS14,CV14),1),0)</f>
        <v>47.089999999999996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45.684999999999995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44.945000000000007</v>
      </c>
      <c r="O14" s="13" t="str">
        <f>IF(N14="","",IF(OR(N14=CS14,N14=CV14),$CA$1,IF(OR(N14=BR14,N14=BU14),$AZ$1,IF(OR(N14=AQ14,N14=AT14),$Y$1,""))))</f>
        <v>2021 Elite Canada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IF(MAX(AO14,AR14,AV14,BP14,BS14,BW14,CQ14,CT14,CX14)&gt;0,MAX(AO14,AR14,BP14,BS14,CQ14,CT14,AV14),0)</f>
        <v>10.6</v>
      </c>
      <c r="S14" s="13" t="str">
        <f>IF(R14=0,"",IF(OR(R14=CQ14,R14=CT14,R14=CX14),$CA$1,IF(OR(R14=BP14,R14=BS14,R14=BW14),$AZ$1,IF(OR(R14=AO14,R14=AR14,R14=AV14),$Y$1,""))))</f>
        <v>2022 Elite Canada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),0)</f>
        <v>0</v>
      </c>
      <c r="U14" s="13" t="str">
        <f>IF(T14=0,"",IF(OR(T14=CR14,T14=CU14,T14=CY14),$CA$1,IF(OR(T14=BQ14,T14=BT14,T14=BX14),$AZ$1,IF(OR(T14=AP14,T14=AS14,T14=AW14),$Y$1,""))))</f>
        <v/>
      </c>
      <c r="V14" s="13" t="str">
        <f>IF(MAX(DB14,DC14,DD14,DE14)&gt;0,MAX(DB14,DC14,DD14,DE14),"")</f>
        <v/>
      </c>
      <c r="W14" s="16" t="str">
        <f>IF(V14="","",IF(V14=DB14,"("&amp;DB$2&amp;")",IF(V14=DC14,"("&amp;DC$2&amp;")",IF(V14=DD14,"("&amp;DD$2&amp;")",IF(V14=DE14,"("&amp;DE$2&amp;")")))))</f>
        <v/>
      </c>
      <c r="X14" s="13" t="str">
        <f>IF(V14="","",IF(V14=DB14,IF(V14+IF(L14="",0,L14)=SP14,$RP$1,IF(V14+IF(L14="",0,L14)=RH14,$QH$1,IF(V14+IF(L14="",0,L14)=PZ14,$OZ$1,IF(V14+IF(L14="",0,L14)=OR14,$NR$1,IF(V14+IF(L14="",0,L14)=NJ14,$MJ$1,IF(V14+IF(L14="",0,L14)=MB14,$LB$1,IF(V14+IF(L14="",0,L14)=KT14,$JT$1,IF(V14+IF(L14="",0,L14)=JL14,$IL$1,IF(V14+IF(L14="",0,L14)=ID14,$HD$1,IF(V14+IF(L14="",0,L14)=GV14,$FV$1,IF(V14+IF(L14="",0,L14)=FN14,$EN$1,IF(V14+IF(L14="",0,L14)=EF14,$DF$1)))))))))))),IF(V14=DC14,IF(V14+IF(P14="",0,P14)=SV14,$RP$1,IF(V14+IF(P14="",0,P14)=RN14,$QH$1,IF(V14+IF(P14="",0,P14)=QF14,$OZ$1,IF(V14+IF(P14="",0,P14)=OX14,$NR$1,IF(V14+IF(P14="",0,P14)=NP14,$MJ$1,IF(V14+IF(P14="",0,P14)=MH14,$LB$1,IF(V14+IF(P14="",0,P14)=KZ14,$JT$1,IF(V14+IF(P14="",0,P14)=JR14,$IL$1,IF(V14+IF(P14="",0,P14)=IJ14,$HD$1,IF(V14+IF(P14="",0,P14)=HB14,$FV$1,IF(V14+IF(P14="",0,P14)=FT14,$EN$1,IF(V14+IF(P14="",0,P14)=EL14,$DF$1)))))))))))),IF(V14=DD14,IF(V14+IF(R14="",0,R14)=MAX(SJ14,SM14,SQ14,ST14),$RP$1,IF(V14+IF(R14="",0,R14)=MAX(RB14,RE14,RI14,RL14),$QH$1,IF(V14+IF(R14="",0,R14)=MAX(PT14,PW14,QA14,QD14),$OZ$1,IF(V14+IF(R14="",0,R14)=MAX(OL14,OO14,OS14,OV14),$NR$1,IF(V14+IF(R14="",0,R14)=MAX(ND14,NG14,NK14,NN14),$MJ$1,IF(V14+IF(R14="",0,R14)=MAX(LV14,LY14,MC14,MF14),$LB$1,IF(V14+IF(R14="",0,R14)=MAX(KN14,KQ14,KU14,KX14),$JT$1,IF(V14+IF(R14="",0,R14)=MAX(JF14,JI14,JM14,JP14),$IL$1,IF(V14+IF(R14="",0,R14)=MAX(HX14,IA14,IE14,IH14),$HD$1,IF(V14+IF(R14="",0,R14)=MAX(GP14,GS14,GW14,GZ14),$FV$1,IF(V14+IF(R14="",0,R14)=MAX(FH14,FK14,FO14,FR14),$EN$1,IF(V14+IF(R14="",0,R14)=MAX(DZ14,EC14,EG14,EJ14),$DF$1)))))))))))),IF(V14=DE14,IF(V14+IF(T14="",0,T14)=MAX(SK14,SN14,SR14,SU14),$RP$1,IF(V14+IF(T14="",0,T14)=MAX(RC14,RF14,RJ14,RM14),$QH$1,IF(V14+IF(T14="",0,T14)=MAX(PU14,PX14,QB14,QE14),$OZ$1,IF(V14+IF(T14="",0,T14)=MAX(OM14,OP14,OT14,OW14),$NR$1,IF(V14+IF(T14="",0,T14)=MAX(NE14,NH14,NL14,NO14),$MJ$1,IF(V14+IF(T14="",0,T14)=MAX(LW14,LZ14,MD14,MG14),$LB$1,IF(V14+IF(T14="",0,T14)=MAX(KO14,KR14,KV14,KY14),$JT$1,IF(V14+IF(T14="",0,T14)=MAX(JG14,JJ14,JN14,JQ14),$IL$1,IF(V14+IF(T14="",0,T14)=MAX(HY14,IB14,IF14,II14),$HD$1,IF(V14+IF(T14="",0,T14)=MAX(GQ14,GT14,GX14,HA14),$FV$1,IF(V14+IF(T14="",0,T14)=MAX(FI14,FL14,FP14,FS14),$EN$1,IF(V14+IF(T14="",0,T14)=MAX(EA14,ED14,EH14,EK14),$DF$1)))))))))))))))))</f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>IF(AA14&gt;0,AA14,"")</f>
        <v>8.6</v>
      </c>
      <c r="AP14" s="74">
        <f>IF(AB14&gt;0,AB14,"")</f>
        <v>14.645</v>
      </c>
      <c r="AQ14" s="76">
        <f>IF(SUM(Y14:AB14)-AC14&gt;0,SUM(Y14:AB14)-AC14,"")</f>
        <v>44.945000000000007</v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>
        <f>IF(AQ14="","",MAX(AQ14,AT14))</f>
        <v>44.945000000000007</v>
      </c>
      <c r="AV14" s="76">
        <f>IF(AK14&gt;0,AK14,"")</f>
        <v>9.1999999999999993</v>
      </c>
      <c r="AW14" s="76">
        <f>IF(AL14&gt;0,AL14,"")</f>
        <v>14.175000000000001</v>
      </c>
      <c r="AX14" s="76">
        <f>IF(SUM(AI14:AL14)-AM14&gt;0,SUM(AI14:AL14)-AM14,"")</f>
        <v>45.074999999999989</v>
      </c>
      <c r="AY14" s="76">
        <f>IF(SUM(AU14,AX14)&gt;0,SUM(AU14,AX14),"")</f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>IF(BB14&gt;0,BB14,"")</f>
        <v>2.7</v>
      </c>
      <c r="BQ14" s="75">
        <f>IF(BC14&gt;0,BC14,"")</f>
        <v>3.03</v>
      </c>
      <c r="BR14" s="16">
        <f>IF(SUM(AZ14:BC14)-BD14&gt;0,SUM(AZ14:BC14)-BD14,"")</f>
        <v>10.029999999999999</v>
      </c>
      <c r="BS14" s="16">
        <f>IF(BG14&gt;0,BG14,"")</f>
        <v>7</v>
      </c>
      <c r="BT14" s="16">
        <f>IF(BH14&gt;0,BH14,"")</f>
        <v>11.715</v>
      </c>
      <c r="BU14" s="16">
        <f>IF(SUM(BE14:BH14)-BI14&gt;0,SUM(BE14:BH14)-BI14,"")</f>
        <v>36.715000000000003</v>
      </c>
      <c r="BV14" s="16">
        <f>IF(BR14="","",MAX(BR14,BU14))</f>
        <v>36.715000000000003</v>
      </c>
      <c r="BW14" s="16">
        <f>IF(BL14&gt;0,BL14,"")</f>
        <v>10.5</v>
      </c>
      <c r="BX14" s="16">
        <f>IF(BM14&gt;0,BM14,"")</f>
        <v>13.965</v>
      </c>
      <c r="BY14" s="16">
        <f>IF(SUM(BJ14:BM14)-BN14&gt;0,SUM(BJ14:BM14)-BN14,"")</f>
        <v>46.064999999999998</v>
      </c>
      <c r="BZ14" s="16">
        <f>IF(SUM(BV14,BY14)&gt;0,SUM(BV14,BY14),"")</f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>IF(CC14&gt;0,CC14,"")</f>
        <v>10.6</v>
      </c>
      <c r="CR14" s="74">
        <f>IF(CD14&gt;0,CD14,"")</f>
        <v>13.984999999999999</v>
      </c>
      <c r="CS14" s="76">
        <f>IF(SUM(CA14:CD14)-CE14&gt;0,SUM(CA14:CD14)-CE14,"")</f>
        <v>45.684999999999995</v>
      </c>
      <c r="CT14" s="76">
        <f>IF(CH14&gt;0,CH14,"")</f>
        <v>10.6</v>
      </c>
      <c r="CU14" s="76">
        <f>IF(CI14&gt;0,CI14,"")</f>
        <v>14.59</v>
      </c>
      <c r="CV14" s="76">
        <f>IF(SUM(CF14:CI14)-CJ14&gt;0,SUM(CF14:CI14)-CJ14,"")</f>
        <v>47.089999999999996</v>
      </c>
      <c r="CW14" s="76">
        <f>IF(CS14="","",MAX(CS14,CV14))</f>
        <v>47.089999999999996</v>
      </c>
      <c r="CX14" s="76">
        <f>IF(CM14&gt;0,CM14,"")</f>
        <v>9.9</v>
      </c>
      <c r="CY14" s="76">
        <f>IF(CN14&gt;0,CN14,"")</f>
        <v>12.885</v>
      </c>
      <c r="CZ14" s="76">
        <f>IF(SUM(CK14:CN14)-CO14&gt;0,SUM(CK14:CN14)-CO14,"")</f>
        <v>43.884999999999998</v>
      </c>
      <c r="DA14" s="76">
        <f>IF(SUM(CW14,CZ14)&gt;0,SUM(CW14,CZ14),"")</f>
        <v>90.974999999999994</v>
      </c>
      <c r="DB14" s="87" t="str">
        <f>IF(L14&gt;=0.001,IF(MAX(EF14,FN14,GV14,ID14,JL14,KT14,MB14,NJ14,OR14,PZ14,RH14,SP14)-IF(L14="",0,L14)&gt;0.001,MAX(EF14,FN14,GV14,ID14,JL14,KT14,MB14,NJ14,OR14,PZ14,RH14,SP14)-IF(L14="",0,L14),""),"")</f>
        <v/>
      </c>
      <c r="DC14" s="87" t="str">
        <f>IF(P14&gt;=0.001,IF(MAX(EI14,EL14,FQ14,FT14,GY14,HB14,IG14,IJ14,JO14,JR14,KW14,KZ14,ME14,MH14,NM14,NP14,OU14,OX14,QC14,QF14,RK14,RN14,SS14,SV14)-IF(P14="",0,P14)&gt;0.001,MAX(EI14,EL14,FQ14,FT14,GY14,HB14,IG14,IJ14,JO14,JR14,KW14,KZ14,ME14,MH14,NM14,NP14,OU14,OX14,QC14,QF14,RK14,RN14,SS14,SV14)-IF(P14="",0,P14),""),"")</f>
        <v/>
      </c>
      <c r="DD14" s="87" t="str">
        <f>IF(R14&gt;=0.001,IF(MAX(DZ14,EC14,EG14,EJ14,FH14,FK14,FO14,FR14,GP14,GS14,GW14,GZ14,HX14,IA14,IE14,IH14,JF14,JI14,JM14,JP14,KN14,KQ14,KU14,KX14,LV14,LY14,MC14,MF14,ND14,NG14,NK14,NN14,OL14,OO14,OS14,OV14,PT14,PW14,QA14,QD14,RB14,RE14,RI14,RL14,SJ14,SM14,SQ14,ST14)-IF(R14="",0,R14)&gt;0.001,MAX(DZ14,EC14,EG14,EJ14,FH14,FK14,FO14,FR14,GP14,GS14,GW14,GZ14,HX14,IA14,IE14,IH14,JF14,JI14,JM14,JP14,KN14,KQ14,KU14,KX14,LV14,LY14,MC14,MF14,ND14,NG14,NK14,NN14,OL14,OO14,OS14,OV14,PT14,PW14,QA14,QD14,RB14,RE14,RI14,RL14,SJ14,SM14,SQ14,ST14)-IF(R14="",0,R14),""),"")</f>
        <v/>
      </c>
      <c r="DE14" s="87" t="str">
        <f>IF(T14&gt;=0.001,IF(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&gt;0.001,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,""),"")</f>
        <v/>
      </c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76" t="str">
        <f>IF(DH14&gt;0,DH14,"")</f>
        <v/>
      </c>
      <c r="EA14" s="76" t="str">
        <f>IF(DI14&gt;0,DI14,"")</f>
        <v/>
      </c>
      <c r="EB14" s="76" t="str">
        <f>IF(SUM(DF14:DI14)-DJ14&gt;0,SUM(DF14:DI14)-DJ14,"")</f>
        <v/>
      </c>
      <c r="EC14" s="76" t="str">
        <f>IF(DM14&gt;0,DM14,"")</f>
        <v/>
      </c>
      <c r="ED14" s="76" t="str">
        <f>IF(DN14&gt;0,DN14,"")</f>
        <v/>
      </c>
      <c r="EE14" s="76" t="str">
        <f>IF(SUM(DK14:DN14)-DO14&gt;0,SUM(DK14:DN14)-DO14,"")</f>
        <v/>
      </c>
      <c r="EF14" s="76" t="str">
        <f>IF(MAX(EB14,EE14)&gt;0,MAX(EB14,EE14),"")</f>
        <v/>
      </c>
      <c r="EG14" s="76" t="str">
        <f>IF(DR14&gt;0,DR14,"")</f>
        <v/>
      </c>
      <c r="EH14" s="76" t="str">
        <f>IF(DS14&gt;0,DS14,"")</f>
        <v/>
      </c>
      <c r="EI14" s="76" t="str">
        <f>IF(SUM(DP14:DS14)-DT14&gt;0,SUM(DP14:DS14)-DT14,"")</f>
        <v/>
      </c>
      <c r="EJ14" s="76" t="str">
        <f>IF(DW14&gt;0,DW14,"")</f>
        <v/>
      </c>
      <c r="EK14" s="76" t="str">
        <f>IF(DX14&gt;0,DX14,"")</f>
        <v/>
      </c>
      <c r="EL14" s="76" t="str">
        <f>IF(SUM(DU14:DX14)-DY14&gt;0,SUM(DU14:DX14)-DY14,"")</f>
        <v/>
      </c>
      <c r="EM14" s="76" t="str">
        <f>IF(SUM(EF14,EL14)&gt;0,SUM(EF14,EL14),"")</f>
        <v/>
      </c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16" t="str">
        <f>IF(EP14&gt;0,EP14,"")</f>
        <v/>
      </c>
      <c r="FI14" s="16" t="str">
        <f>IF(EQ14&gt;0,EQ14,"")</f>
        <v/>
      </c>
      <c r="FJ14" s="16" t="str">
        <f>IF(SUM(EN14:EQ14)-ER14&gt;0,SUM(EN14:EQ14)-ER14,"")</f>
        <v/>
      </c>
      <c r="FK14" s="16" t="str">
        <f>IF(EU14&gt;0,EU14,"")</f>
        <v/>
      </c>
      <c r="FL14" s="16" t="str">
        <f>IF(EV14&gt;0,EV14,"")</f>
        <v/>
      </c>
      <c r="FM14" s="16" t="str">
        <f>IF(SUM(ES14:EV14)-EW14&gt;0,SUM(ES14:EV14)-EW14,"")</f>
        <v/>
      </c>
      <c r="FN14" s="16" t="str">
        <f>IF(MAX(FJ14,FM14)&gt;0,MAX(FJ14,FM14),"")</f>
        <v/>
      </c>
      <c r="FO14" s="16" t="str">
        <f>IF(EZ14&gt;0,EZ14,"")</f>
        <v/>
      </c>
      <c r="FP14" s="16" t="str">
        <f>IF(FA14&gt;0,FA14,"")</f>
        <v/>
      </c>
      <c r="FQ14" s="16" t="str">
        <f>IF(SUM(EX14:FA14)-FB14&gt;0,SUM(EX14:FA14)-FB14,"")</f>
        <v/>
      </c>
      <c r="FR14" s="16" t="str">
        <f>IF(FE14&gt;0,FE14,"")</f>
        <v/>
      </c>
      <c r="FS14" s="16" t="str">
        <f>IF(FF14&gt;0,FF14,"")</f>
        <v/>
      </c>
      <c r="FT14" s="16" t="str">
        <f>IF(SUM(FC14:FF14)-FG14&gt;0,SUM(FC14:FF14)-FG14,"")</f>
        <v/>
      </c>
      <c r="FU14" s="16" t="str">
        <f>IF(SUM(FN14,FT14)&gt;0,SUM(FN14,FT14),"")</f>
        <v/>
      </c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76" t="str">
        <f>IF(FX14&gt;0,FX14,"")</f>
        <v/>
      </c>
      <c r="GQ14" s="76" t="str">
        <f>IF(FY14&gt;0,FY14,"")</f>
        <v/>
      </c>
      <c r="GR14" s="76" t="str">
        <f>IF(SUM(FV14:FY14)-FZ14&gt;0,SUM(FV14:FY14)-FZ14,"")</f>
        <v/>
      </c>
      <c r="GS14" s="76" t="str">
        <f>IF(GC14&gt;0,GC14,"")</f>
        <v/>
      </c>
      <c r="GT14" s="76" t="str">
        <f>IF(GD14&gt;0,GD14,"")</f>
        <v/>
      </c>
      <c r="GU14" s="76" t="str">
        <f>IF(SUM(GA14:GD14)-GE14&gt;0,SUM(GA14:GD14)-GE14,"")</f>
        <v/>
      </c>
      <c r="GV14" s="76" t="str">
        <f>IF(MAX(GR14,GU14)&gt;0,MAX(GR14,GU14),"")</f>
        <v/>
      </c>
      <c r="GW14" s="76" t="str">
        <f>IF(GH14&gt;0,GH14,"")</f>
        <v/>
      </c>
      <c r="GX14" s="76" t="str">
        <f>IF(GI14&gt;0,GI14,"")</f>
        <v/>
      </c>
      <c r="GY14" s="76" t="str">
        <f>IF(SUM(GF14:GI14)-GJ14&gt;0,SUM(GF14:GI14)-GJ14,"")</f>
        <v/>
      </c>
      <c r="GZ14" s="76" t="str">
        <f>IF(GM14&gt;0,GM14,"")</f>
        <v/>
      </c>
      <c r="HA14" s="76" t="str">
        <f>IF(GN14&gt;0,GN14,"")</f>
        <v/>
      </c>
      <c r="HB14" s="76" t="str">
        <f>IF(SUM(GK14:GN14)-GO14&gt;0,SUM(GK14:GN14)-GO14,"")</f>
        <v/>
      </c>
      <c r="HC14" s="76" t="str">
        <f>IF(SUM(GV14,HB14)&gt;0,SUM(GV14,HB14),"")</f>
        <v/>
      </c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16" t="str">
        <f>IF(HF14&gt;0,HF14,"")</f>
        <v/>
      </c>
      <c r="HY14" s="16" t="str">
        <f>IF(HG14&gt;0,HG14,"")</f>
        <v/>
      </c>
      <c r="HZ14" s="16" t="str">
        <f>IF(SUM(HD14:HG14)-HH14&gt;0,SUM(HD14:HG14)-HH14,"")</f>
        <v/>
      </c>
      <c r="IA14" s="16" t="str">
        <f>IF(HK14&gt;0,HK14,"")</f>
        <v/>
      </c>
      <c r="IB14" s="16" t="str">
        <f>IF(HL14&gt;0,HL14,"")</f>
        <v/>
      </c>
      <c r="IC14" s="16" t="str">
        <f>IF(SUM(HI14:HL14)-HM14&gt;0,SUM(HI14:HL14)-HM14,"")</f>
        <v/>
      </c>
      <c r="ID14" s="16" t="str">
        <f>IF(MAX(HZ14,IC14)&gt;0,MAX(HZ14,IC14),"")</f>
        <v/>
      </c>
      <c r="IE14" s="16" t="str">
        <f>IF(HP14&gt;0,HP14,"")</f>
        <v/>
      </c>
      <c r="IF14" s="16" t="str">
        <f>IF(HQ14&gt;0,HQ14,"")</f>
        <v/>
      </c>
      <c r="IG14" s="16" t="str">
        <f>IF(SUM(HN14:HQ14)-HR14&gt;0,SUM(HN14:HQ14)-HR14,"")</f>
        <v/>
      </c>
      <c r="IH14" s="16" t="str">
        <f>IF(HU14&gt;0,HU14,"")</f>
        <v/>
      </c>
      <c r="II14" s="16" t="str">
        <f>IF(HV14&gt;0,HV14,"")</f>
        <v/>
      </c>
      <c r="IJ14" s="16" t="str">
        <f>IF(SUM(HS14:HV14)-HW14&gt;0,SUM(HS14:HV14)-HW14,"")</f>
        <v/>
      </c>
      <c r="IK14" s="16" t="str">
        <f>IF(SUM(ID14,IJ14)&gt;0,SUM(ID14,IJ14),"")</f>
        <v/>
      </c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76" t="str">
        <f>IF(IN14&gt;0,IN14,"")</f>
        <v/>
      </c>
      <c r="JG14" s="76" t="str">
        <f>IF(IO14&gt;0,IO14,"")</f>
        <v/>
      </c>
      <c r="JH14" s="76" t="str">
        <f>IF(SUM(IL14:IO14)-IP14&gt;0,SUM(IL14:IO14)-IP14,"")</f>
        <v/>
      </c>
      <c r="JI14" s="76" t="str">
        <f>IF(IS14&gt;0,IS14,"")</f>
        <v/>
      </c>
      <c r="JJ14" s="76" t="str">
        <f>IF(IT14&gt;0,IT14,"")</f>
        <v/>
      </c>
      <c r="JK14" s="76" t="str">
        <f>IF(SUM(IQ14:IT14)-IU14&gt;0,SUM(IQ14:IT14)-IU14,"")</f>
        <v/>
      </c>
      <c r="JL14" s="76" t="str">
        <f>IF(MAX(JH14,JK14)&gt;0,MAX(JH14,JK14),"")</f>
        <v/>
      </c>
      <c r="JM14" s="76" t="str">
        <f>IF(IX14&gt;0,IX14,"")</f>
        <v/>
      </c>
      <c r="JN14" s="76" t="str">
        <f>IF(IY14&gt;0,IY14,"")</f>
        <v/>
      </c>
      <c r="JO14" s="76" t="str">
        <f>IF(SUM(IV14:IY14)-IZ14&gt;0,SUM(IV14:IY14)-IZ14,"")</f>
        <v/>
      </c>
      <c r="JP14" s="76" t="str">
        <f>IF(JC14&gt;0,JC14,"")</f>
        <v/>
      </c>
      <c r="JQ14" s="76" t="str">
        <f>IF(JD14&gt;0,JD14,"")</f>
        <v/>
      </c>
      <c r="JR14" s="76" t="str">
        <f>IF(SUM(JA14:JD14)-JE14&gt;0,SUM(JA14:JD14)-JE14,"")</f>
        <v/>
      </c>
      <c r="JS14" s="76" t="str">
        <f>IF(SUM(JL14,JR14)&gt;0,SUM(JL14,JR14),"")</f>
        <v/>
      </c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16" t="str">
        <f>IF(JV14&gt;0,JV14,"")</f>
        <v/>
      </c>
      <c r="KO14" s="16" t="str">
        <f>IF(JW14&gt;0,JW14,"")</f>
        <v/>
      </c>
      <c r="KP14" s="16" t="str">
        <f>IF(SUM(JT14:JW14)-JX14&gt;0,SUM(JT14:JW14)-JX14,"")</f>
        <v/>
      </c>
      <c r="KQ14" s="16" t="str">
        <f>IF(KA14&gt;0,KA14,"")</f>
        <v/>
      </c>
      <c r="KR14" s="16" t="str">
        <f>IF(KB14&gt;0,KB14,"")</f>
        <v/>
      </c>
      <c r="KS14" s="16" t="str">
        <f>IF(SUM(JY14:KB14)-KC14&gt;0,SUM(JY14:KB14)-KC14,"")</f>
        <v/>
      </c>
      <c r="KT14" s="16" t="str">
        <f>IF(MAX(KP14,KS14)&gt;0,MAX(KP14,KS14),"")</f>
        <v/>
      </c>
      <c r="KU14" s="16" t="str">
        <f>IF(KF14&gt;0,KF14,"")</f>
        <v/>
      </c>
      <c r="KV14" s="16" t="str">
        <f>IF(KG14&gt;0,KG14,"")</f>
        <v/>
      </c>
      <c r="KW14" s="16" t="str">
        <f>IF(SUM(KD14:KG14)-KH14&gt;0,SUM(KD14:KG14)-KH14,"")</f>
        <v/>
      </c>
      <c r="KX14" s="16" t="str">
        <f>IF(KK14&gt;0,KK14,"")</f>
        <v/>
      </c>
      <c r="KY14" s="16" t="str">
        <f>IF(KL14&gt;0,KL14,"")</f>
        <v/>
      </c>
      <c r="KZ14" s="16" t="str">
        <f>IF(SUM(KI14:KL14)-KM14&gt;0,SUM(KI14:KL14)-KM14,"")</f>
        <v/>
      </c>
      <c r="LA14" s="16" t="str">
        <f>IF(SUM(KT14,KZ14)&gt;0,SUM(KT14,KZ14),"")</f>
        <v/>
      </c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76" t="str">
        <f>IF(LD14&gt;0,LD14,"")</f>
        <v/>
      </c>
      <c r="LW14" s="76" t="str">
        <f>IF(LE14&gt;0,LE14,"")</f>
        <v/>
      </c>
      <c r="LX14" s="76" t="str">
        <f>IF(SUM(LB14:LE14)-LF14&gt;0,SUM(LB14:LE14)-LF14,"")</f>
        <v/>
      </c>
      <c r="LY14" s="76" t="str">
        <f>IF(LI14&gt;0,LI14,"")</f>
        <v/>
      </c>
      <c r="LZ14" s="76" t="str">
        <f>IF(LJ14&gt;0,LJ14,"")</f>
        <v/>
      </c>
      <c r="MA14" s="76" t="str">
        <f>IF(SUM(LG14:LJ14)-LK14&gt;0,SUM(LG14:LJ14)-LK14,"")</f>
        <v/>
      </c>
      <c r="MB14" s="76" t="str">
        <f>IF(MAX(LX14,MA14)&gt;0,MAX(LX14,MA14),"")</f>
        <v/>
      </c>
      <c r="MC14" s="76" t="str">
        <f>IF(LN14&gt;0,LN14,"")</f>
        <v/>
      </c>
      <c r="MD14" s="76" t="str">
        <f>IF(LO14&gt;0,LO14,"")</f>
        <v/>
      </c>
      <c r="ME14" s="76" t="str">
        <f>IF(SUM(LL14:LO14)-LP14&gt;0,SUM(LL14:LO14)-LP14,"")</f>
        <v/>
      </c>
      <c r="MF14" s="76" t="str">
        <f>IF(LS14&gt;0,LS14,"")</f>
        <v/>
      </c>
      <c r="MG14" s="76" t="str">
        <f>IF(LT14&gt;0,LT14,"")</f>
        <v/>
      </c>
      <c r="MH14" s="76" t="str">
        <f>IF(SUM(LQ14:LT14)-LU14&gt;0,SUM(LQ14:LT14)-LU14,"")</f>
        <v/>
      </c>
      <c r="MI14" s="76" t="str">
        <f>IF(SUM(MB14,MH14)&gt;0,SUM(MB14,MH14),"")</f>
        <v/>
      </c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16" t="str">
        <f>IF(ML14&gt;0,ML14,"")</f>
        <v/>
      </c>
      <c r="NE14" s="16" t="str">
        <f>IF(MM14&gt;0,MM14,"")</f>
        <v/>
      </c>
      <c r="NF14" s="16" t="str">
        <f>IF(SUM(MJ14:MM14)-MN14&gt;0,SUM(MJ14:MM14)-MN14,"")</f>
        <v/>
      </c>
      <c r="NG14" s="16" t="str">
        <f>IF(MQ14&gt;0,MQ14,"")</f>
        <v/>
      </c>
      <c r="NH14" s="16" t="str">
        <f>IF(MR14&gt;0,MR14,"")</f>
        <v/>
      </c>
      <c r="NI14" s="16" t="str">
        <f>IF(SUM(MO14:MR14)-MS14&gt;0,SUM(MO14:MR14)-MS14,"")</f>
        <v/>
      </c>
      <c r="NJ14" s="16" t="str">
        <f>IF(MAX(NF14,NI14)&gt;0,MAX(NF14,NI14),"")</f>
        <v/>
      </c>
      <c r="NK14" s="16" t="str">
        <f>IF(MV14&gt;0,MV14,"")</f>
        <v/>
      </c>
      <c r="NL14" s="16" t="str">
        <f>IF(MW14&gt;0,MW14,"")</f>
        <v/>
      </c>
      <c r="NM14" s="16" t="str">
        <f>IF(SUM(MT14:MW14)-MX14&gt;0,SUM(MT14:MW14)-MX14,"")</f>
        <v/>
      </c>
      <c r="NN14" s="16" t="str">
        <f>IF(NA14&gt;0,NA14,"")</f>
        <v/>
      </c>
      <c r="NO14" s="16" t="str">
        <f>IF(NB14&gt;0,NB14,"")</f>
        <v/>
      </c>
      <c r="NP14" s="16" t="str">
        <f>IF(SUM(MY14:NB14)-NC14&gt;0,SUM(MY14:NB14)-NC14,"")</f>
        <v/>
      </c>
      <c r="NQ14" s="16" t="str">
        <f>IF(SUM(NJ14,NP14)&gt;0,SUM(NJ14,NP14),"")</f>
        <v/>
      </c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76" t="str">
        <f>IF(NT14&gt;0,NT14,"")</f>
        <v/>
      </c>
      <c r="OM14" s="76" t="str">
        <f>IF(NU14&gt;0,NU14,"")</f>
        <v/>
      </c>
      <c r="ON14" s="76" t="str">
        <f>IF(SUM(NR14:NU14)-NV14&gt;0,SUM(NR14:NU14)-NV14,"")</f>
        <v/>
      </c>
      <c r="OO14" s="76" t="str">
        <f>IF(NY14&gt;0,NY14,"")</f>
        <v/>
      </c>
      <c r="OP14" s="76" t="str">
        <f>IF(NZ14&gt;0,NZ14,"")</f>
        <v/>
      </c>
      <c r="OQ14" s="76" t="str">
        <f>IF(SUM(NW14:NZ14)-OA14&gt;0,SUM(NW14:NZ14)-OA14,"")</f>
        <v/>
      </c>
      <c r="OR14" s="76" t="str">
        <f>IF(MAX(ON14,OQ14)&gt;0,MAX(ON14,OQ14),"")</f>
        <v/>
      </c>
      <c r="OS14" s="76" t="str">
        <f>IF(OD14&gt;0,OD14,"")</f>
        <v/>
      </c>
      <c r="OT14" s="76" t="str">
        <f>IF(OE14&gt;0,OE14,"")</f>
        <v/>
      </c>
      <c r="OU14" s="76" t="str">
        <f>IF(SUM(OB14:OE14)-OF14&gt;0,SUM(OB14:OE14)-OF14,"")</f>
        <v/>
      </c>
      <c r="OV14" s="76" t="str">
        <f>IF(OI14&gt;0,OI14,"")</f>
        <v/>
      </c>
      <c r="OW14" s="76" t="str">
        <f>IF(OJ14&gt;0,OJ14,"")</f>
        <v/>
      </c>
      <c r="OX14" s="76" t="str">
        <f>IF(SUM(OG14:OJ14)-OK14&gt;0,SUM(OG14:OJ14)-OK14,"")</f>
        <v/>
      </c>
      <c r="OY14" s="76" t="str">
        <f>IF(SUM(OR14,OX14)&gt;0,SUM(OR14,OX14),"")</f>
        <v/>
      </c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16" t="str">
        <f>IF(PB14&gt;0,PB14,"")</f>
        <v/>
      </c>
      <c r="PU14" s="16" t="str">
        <f>IF(PC14&gt;0,PC14,"")</f>
        <v/>
      </c>
      <c r="PV14" s="16" t="str">
        <f>IF(SUM(OZ14:PC14)-PD14&gt;0,SUM(OZ14:PC14)-PD14,"")</f>
        <v/>
      </c>
      <c r="PW14" s="16" t="str">
        <f>IF(PG14&gt;0,PG14,"")</f>
        <v/>
      </c>
      <c r="PX14" s="16" t="str">
        <f>IF(PH14&gt;0,PH14,"")</f>
        <v/>
      </c>
      <c r="PY14" s="16" t="str">
        <f>IF(SUM(PE14:PH14)-PI14&gt;0,SUM(PE14:PH14)-PI14,"")</f>
        <v/>
      </c>
      <c r="PZ14" s="16" t="str">
        <f>IF(MAX(PV14,PY14)&gt;0,MAX(PV14,PY14),"")</f>
        <v/>
      </c>
      <c r="QA14" s="16" t="str">
        <f>IF(PL14&gt;0,PL14,"")</f>
        <v/>
      </c>
      <c r="QB14" s="16" t="str">
        <f>IF(PM14&gt;0,PM14,"")</f>
        <v/>
      </c>
      <c r="QC14" s="16" t="str">
        <f>IF(SUM(PJ14:PM14)-PN14&gt;0,SUM(PJ14:PM14)-PN14,"")</f>
        <v/>
      </c>
      <c r="QD14" s="16" t="str">
        <f>IF(PQ14&gt;0,PQ14,"")</f>
        <v/>
      </c>
      <c r="QE14" s="16" t="str">
        <f>IF(PR14&gt;0,PR14,"")</f>
        <v/>
      </c>
      <c r="QF14" s="16" t="str">
        <f>IF(SUM(PO14:PR14)-PS14&gt;0,SUM(PO14:PR14)-PS14,"")</f>
        <v/>
      </c>
      <c r="QG14" s="16" t="str">
        <f>IF(SUM(PZ14,QF14)&gt;0,SUM(PZ14,QF14),"")</f>
        <v/>
      </c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76" t="str">
        <f>IF(QJ14&gt;0,QJ14,"")</f>
        <v/>
      </c>
      <c r="RC14" s="76" t="str">
        <f>IF(QK14&gt;0,QK14,"")</f>
        <v/>
      </c>
      <c r="RD14" s="76" t="str">
        <f>IF(SUM(QH14:QK14)-QL14&gt;0,SUM(QH14:QK14)-QL14,"")</f>
        <v/>
      </c>
      <c r="RE14" s="76" t="str">
        <f>IF(QO14&gt;0,QO14,"")</f>
        <v/>
      </c>
      <c r="RF14" s="76" t="str">
        <f>IF(QP14&gt;0,QP14,"")</f>
        <v/>
      </c>
      <c r="RG14" s="76" t="str">
        <f>IF(SUM(QM14:QP14)-QQ14&gt;0,SUM(QM14:QP14)-QQ14,"")</f>
        <v/>
      </c>
      <c r="RH14" s="76" t="str">
        <f>IF(MAX(RD14,RG14)&gt;0,MAX(RD14,RG14),"")</f>
        <v/>
      </c>
      <c r="RI14" s="76" t="str">
        <f>IF(QT14&gt;0,QT14,"")</f>
        <v/>
      </c>
      <c r="RJ14" s="76" t="str">
        <f>IF(QU14&gt;0,QU14,"")</f>
        <v/>
      </c>
      <c r="RK14" s="76" t="str">
        <f>IF(SUM(QR14:QU14)-QV14&gt;0,SUM(QR14:QU14)-QV14,"")</f>
        <v/>
      </c>
      <c r="RL14" s="76" t="str">
        <f>IF(QY14&gt;0,QY14,"")</f>
        <v/>
      </c>
      <c r="RM14" s="76" t="str">
        <f>IF(QZ14&gt;0,QZ14,"")</f>
        <v/>
      </c>
      <c r="RN14" s="76" t="str">
        <f>IF(SUM(QW14:QZ14)-RA14&gt;0,SUM(QW14:QZ14)-RA14,"")</f>
        <v/>
      </c>
      <c r="RO14" s="76" t="str">
        <f>IF(SUM(RH14,RN14)&gt;0,SUM(RH14,RN14),"")</f>
        <v/>
      </c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16" t="str">
        <f>IF(RR14&gt;0,RR14,"")</f>
        <v/>
      </c>
      <c r="SK14" s="16" t="str">
        <f>IF(RS14&gt;0,RS14,"")</f>
        <v/>
      </c>
      <c r="SL14" s="16" t="str">
        <f>IF(SUM(RP14:RS14)-RT14&gt;0,SUM(RP14:RS14)-RT14,"")</f>
        <v/>
      </c>
      <c r="SM14" s="16" t="str">
        <f>IF(RW14&gt;0,RW14,"")</f>
        <v/>
      </c>
      <c r="SN14" s="16" t="str">
        <f>IF(RX14&gt;0,RX14,"")</f>
        <v/>
      </c>
      <c r="SO14" s="16" t="str">
        <f>IF(SUM(RU14:RX14)-RY14&gt;0,SUM(RU14:RX14)-RY14,"")</f>
        <v/>
      </c>
      <c r="SP14" s="16" t="str">
        <f>IF(MAX(SL14,SO14)&gt;0,MAX(SL14,SO14),"")</f>
        <v/>
      </c>
      <c r="SQ14" s="16" t="str">
        <f>IF(SB14&gt;0,SB14,"")</f>
        <v/>
      </c>
      <c r="SR14" s="16" t="str">
        <f>IF(SC14&gt;0,SC14,"")</f>
        <v/>
      </c>
      <c r="SS14" s="16" t="str">
        <f>IF(SUM(RZ14:SC14)-SD14&gt;0,SUM(RZ14:SC14)-SD14,"")</f>
        <v/>
      </c>
      <c r="ST14" s="16" t="str">
        <f>IF(SG14&gt;0,SG14,"")</f>
        <v/>
      </c>
      <c r="SU14" s="16" t="str">
        <f>IF(SH14&gt;0,SH14,"")</f>
        <v/>
      </c>
      <c r="SV14" s="16" t="str">
        <f>IF(SUM(SE14:SH14)-SI14&gt;0,SUM(SE14:SH14)-SI14,"")</f>
        <v/>
      </c>
      <c r="SW14" s="16" t="str">
        <f>IF(SUM(SP14,SV14)&gt;0,SUM(SP14,SV14),"")</f>
        <v/>
      </c>
      <c r="SX14" s="42">
        <f>IF($CP14="P",CA14,(CA14+AZ14)/2)</f>
        <v>7.55</v>
      </c>
      <c r="SY14" s="42">
        <f>IF($CP14="P",CB14,(CB14+BA14)/2)</f>
        <v>5.4499999999999993</v>
      </c>
      <c r="SZ14" s="42">
        <f>IF($CP14="P",CC14,(CC14+BB14)/2)</f>
        <v>6.65</v>
      </c>
      <c r="TA14" s="42">
        <f>IF($CP14="P",CD14,(CD14+BC14)/2)</f>
        <v>8.5075000000000003</v>
      </c>
      <c r="TB14" s="42">
        <f>IF($CP14="P",CE14,(CE14+BD14)/2)</f>
        <v>0.3</v>
      </c>
      <c r="TC14" s="42">
        <f>IF($CP14="P",CF14,(CF14+BE14)/2)</f>
        <v>12.350000000000001</v>
      </c>
      <c r="TD14" s="42">
        <f>IF($CP14="P",CG14,(CG14+BF14)/2)</f>
        <v>7.9</v>
      </c>
      <c r="TE14" s="42">
        <f>IF($CP14="P",CH14,(CH14+BG14)/2)</f>
        <v>8.8000000000000007</v>
      </c>
      <c r="TF14" s="42">
        <f>IF($CP14="P",CI14,(CI14+BH14)/2)</f>
        <v>13.1525</v>
      </c>
      <c r="TG14" s="42">
        <f>IF($CP14="P",CJ14,(CJ14+BI14)/2)</f>
        <v>0.3</v>
      </c>
      <c r="TH14" s="42">
        <f>IF($CP14="P",CK14,(CK14+BJ14)/2)</f>
        <v>13.350000000000001</v>
      </c>
      <c r="TI14" s="42">
        <f>IF($CP14="P",CL14,(CL14+BK14)/2)</f>
        <v>8.35</v>
      </c>
      <c r="TJ14" s="42">
        <f>IF($CP14="P",CM14,(CM14+BL14)/2)</f>
        <v>10.199999999999999</v>
      </c>
      <c r="TK14" s="42">
        <f>IF($CP14="P",CN14,(CN14+BM14)/2)</f>
        <v>13.425000000000001</v>
      </c>
      <c r="TL14" s="42">
        <f>IF($CP14="P",CO14,(CO14+BN14)/2)</f>
        <v>0.35</v>
      </c>
      <c r="TM14" s="51" t="s">
        <v>61</v>
      </c>
      <c r="TN14" s="76">
        <f>IF(SZ14&gt;0,SZ14,"")</f>
        <v>6.65</v>
      </c>
      <c r="TO14" s="76">
        <f>IF(TA14&gt;0,TA14,"")</f>
        <v>8.5075000000000003</v>
      </c>
      <c r="TP14" s="76">
        <f>IF(SUM(SX14:TA14)-TB14&gt;0,SUM(SX14:TA14)-TB14,"")</f>
        <v>27.857499999999998</v>
      </c>
      <c r="TQ14" s="76">
        <f>IF(TE14&gt;0,TE14,"")</f>
        <v>8.8000000000000007</v>
      </c>
      <c r="TR14" s="76">
        <f>IF(TF14&gt;0,TF14,"")</f>
        <v>13.1525</v>
      </c>
      <c r="TS14" s="76">
        <f>IF(SUM(TC14:TF14)-TG14&gt;0,SUM(TC14:TF14)-TG14,"")</f>
        <v>41.902500000000003</v>
      </c>
      <c r="TT14" s="76">
        <f>IF(MAX(TP14,TS14)&gt;0,MAX(TP14,TS14),"")</f>
        <v>41.902500000000003</v>
      </c>
      <c r="TU14" s="76">
        <f>IF(TJ14&gt;0,TJ14,"")</f>
        <v>10.199999999999999</v>
      </c>
      <c r="TV14" s="76">
        <f>IF(TK14&gt;0,TK14,"")</f>
        <v>13.425000000000001</v>
      </c>
      <c r="TW14" s="76">
        <f>IF(SUM(TH14:TK14)-TL14&gt;0,SUM(TH14:TK14)-TL14,"")</f>
        <v>44.975000000000001</v>
      </c>
      <c r="TX14" s="76">
        <f>IF(SUM(TT14,TW14)&gt;0,SUM(TT14,TW14),"")</f>
        <v>86.877499999999998</v>
      </c>
    </row>
    <row r="15" spans="1:544" x14ac:dyDescent="0.2">
      <c r="B15" s="6"/>
      <c r="D15" s="1"/>
    </row>
    <row r="16" spans="1:544" x14ac:dyDescent="0.2">
      <c r="G16" s="69"/>
      <c r="I16" s="69"/>
    </row>
    <row r="17" spans="1:842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Z17" s="35"/>
      <c r="EA17" s="35"/>
      <c r="EJ17" s="33"/>
      <c r="EK17" s="33"/>
      <c r="EM17" s="78">
        <v>12.2</v>
      </c>
      <c r="FH17" s="35"/>
      <c r="FI17" s="35"/>
      <c r="FR17" s="33"/>
      <c r="FS17" s="33"/>
      <c r="FU17" s="78">
        <v>12.2</v>
      </c>
      <c r="GP17" s="35"/>
      <c r="GQ17" s="35"/>
      <c r="GZ17" s="33"/>
      <c r="HA17" s="33"/>
      <c r="HC17" s="78">
        <v>12.2</v>
      </c>
      <c r="HX17" s="35"/>
      <c r="HY17" s="35"/>
      <c r="IH17" s="33"/>
      <c r="II17" s="33"/>
      <c r="IK17" s="78">
        <v>12.2</v>
      </c>
      <c r="JF17" s="35"/>
      <c r="JG17" s="35"/>
      <c r="JP17" s="33"/>
      <c r="JQ17" s="33"/>
      <c r="JS17" s="78">
        <v>12.2</v>
      </c>
      <c r="KN17" s="35"/>
      <c r="KO17" s="35"/>
      <c r="KX17" s="33"/>
      <c r="KY17" s="33"/>
      <c r="LA17" s="78">
        <v>12.2</v>
      </c>
      <c r="LV17" s="35"/>
      <c r="LW17" s="35"/>
      <c r="MF17" s="33"/>
      <c r="MG17" s="33"/>
      <c r="MI17" s="78">
        <v>12.2</v>
      </c>
      <c r="ND17" s="35"/>
      <c r="NE17" s="35"/>
      <c r="NN17" s="33"/>
      <c r="NO17" s="33"/>
      <c r="NQ17" s="78">
        <v>12.7</v>
      </c>
      <c r="OL17" s="35"/>
      <c r="OM17" s="35"/>
      <c r="OV17" s="33"/>
      <c r="OW17" s="33"/>
      <c r="OY17" s="78">
        <v>12.7</v>
      </c>
      <c r="PT17" s="35"/>
      <c r="PU17" s="35"/>
      <c r="QD17" s="33"/>
      <c r="QE17" s="33"/>
      <c r="QG17" s="78">
        <v>12.7</v>
      </c>
      <c r="RB17" s="35"/>
      <c r="RC17" s="35"/>
      <c r="RL17" s="33"/>
      <c r="RM17" s="33"/>
      <c r="RO17" s="78">
        <v>12.7</v>
      </c>
      <c r="SJ17" s="35"/>
      <c r="SK17" s="35"/>
      <c r="ST17" s="33"/>
      <c r="SU17" s="33"/>
      <c r="SW17" s="78">
        <v>12.7</v>
      </c>
    </row>
    <row r="18" spans="1:842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Z18" s="35"/>
      <c r="EA18" s="35"/>
      <c r="EJ18" s="33"/>
      <c r="EK18" s="33"/>
      <c r="EM18" s="79">
        <v>13.1</v>
      </c>
      <c r="FH18" s="35"/>
      <c r="FI18" s="35"/>
      <c r="FR18" s="33"/>
      <c r="FS18" s="33"/>
      <c r="FU18" s="79">
        <v>13.1</v>
      </c>
      <c r="GP18" s="35"/>
      <c r="GQ18" s="35"/>
      <c r="GZ18" s="33"/>
      <c r="HA18" s="33"/>
      <c r="HC18" s="79">
        <v>13.1</v>
      </c>
      <c r="HX18" s="35"/>
      <c r="HY18" s="35"/>
      <c r="IH18" s="33"/>
      <c r="II18" s="33"/>
      <c r="IK18" s="79">
        <v>13.1</v>
      </c>
      <c r="JF18" s="35"/>
      <c r="JG18" s="35"/>
      <c r="JP18" s="33"/>
      <c r="JQ18" s="33"/>
      <c r="JS18" s="79">
        <v>13.1</v>
      </c>
      <c r="KN18" s="35"/>
      <c r="KO18" s="35"/>
      <c r="KX18" s="33"/>
      <c r="KY18" s="33"/>
      <c r="LA18" s="79">
        <v>13.1</v>
      </c>
      <c r="LV18" s="35"/>
      <c r="LW18" s="35"/>
      <c r="MF18" s="33"/>
      <c r="MG18" s="33"/>
      <c r="MI18" s="79">
        <v>13.1</v>
      </c>
      <c r="ND18" s="35"/>
      <c r="NE18" s="35"/>
      <c r="NN18" s="33"/>
      <c r="NO18" s="33"/>
      <c r="NQ18" s="79">
        <v>13.1</v>
      </c>
      <c r="OL18" s="35"/>
      <c r="OM18" s="35"/>
      <c r="OV18" s="33"/>
      <c r="OW18" s="33"/>
      <c r="OY18" s="79">
        <v>13.1</v>
      </c>
      <c r="PT18" s="35"/>
      <c r="PU18" s="35"/>
      <c r="QD18" s="33"/>
      <c r="QE18" s="33"/>
      <c r="QG18" s="79">
        <v>13.1</v>
      </c>
      <c r="RB18" s="35"/>
      <c r="RC18" s="35"/>
      <c r="RL18" s="33"/>
      <c r="RM18" s="33"/>
      <c r="RO18" s="79">
        <v>13.1</v>
      </c>
      <c r="SJ18" s="35"/>
      <c r="SK18" s="35"/>
      <c r="ST18" s="33"/>
      <c r="SU18" s="33"/>
      <c r="SW18" s="79">
        <v>13.1</v>
      </c>
    </row>
    <row r="19" spans="1:842" x14ac:dyDescent="0.2">
      <c r="A19" s="35"/>
      <c r="B19" s="55" t="s">
        <v>71</v>
      </c>
      <c r="C19" s="35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Z19" s="35"/>
      <c r="EA19" s="35"/>
      <c r="EJ19" s="33"/>
      <c r="EK19" s="33"/>
      <c r="EM19" s="80">
        <v>13.1</v>
      </c>
      <c r="FH19" s="35"/>
      <c r="FI19" s="35"/>
      <c r="FR19" s="33"/>
      <c r="FS19" s="33"/>
      <c r="FU19" s="80">
        <v>13.1</v>
      </c>
      <c r="GP19" s="35"/>
      <c r="GQ19" s="35"/>
      <c r="GZ19" s="33"/>
      <c r="HA19" s="33"/>
      <c r="HC19" s="80">
        <v>13.1</v>
      </c>
      <c r="HX19" s="35"/>
      <c r="HY19" s="35"/>
      <c r="IH19" s="33"/>
      <c r="II19" s="33"/>
      <c r="IK19" s="80">
        <v>13.1</v>
      </c>
      <c r="JF19" s="35"/>
      <c r="JG19" s="35"/>
      <c r="JP19" s="33"/>
      <c r="JQ19" s="33"/>
      <c r="JS19" s="80">
        <v>13.1</v>
      </c>
      <c r="KN19" s="35"/>
      <c r="KO19" s="35"/>
      <c r="KX19" s="33"/>
      <c r="KY19" s="33"/>
      <c r="LA19" s="80">
        <v>13.1</v>
      </c>
      <c r="LV19" s="35"/>
      <c r="LW19" s="35"/>
      <c r="MF19" s="33"/>
      <c r="MG19" s="33"/>
      <c r="MI19" s="80">
        <v>13.1</v>
      </c>
      <c r="ND19" s="35"/>
      <c r="NE19" s="35"/>
      <c r="NN19" s="33"/>
      <c r="NO19" s="33"/>
      <c r="NQ19" s="80">
        <v>13.5</v>
      </c>
      <c r="OL19" s="35"/>
      <c r="OM19" s="35"/>
      <c r="OV19" s="33"/>
      <c r="OW19" s="33"/>
      <c r="OY19" s="80">
        <v>13.5</v>
      </c>
      <c r="PT19" s="35"/>
      <c r="PU19" s="35"/>
      <c r="QD19" s="33"/>
      <c r="QE19" s="33"/>
      <c r="QG19" s="80">
        <v>13.5</v>
      </c>
      <c r="RB19" s="35"/>
      <c r="RC19" s="35"/>
      <c r="RL19" s="33"/>
      <c r="RM19" s="33"/>
      <c r="RO19" s="80">
        <v>13.5</v>
      </c>
      <c r="SJ19" s="35"/>
      <c r="SK19" s="35"/>
      <c r="ST19" s="33"/>
      <c r="SU19" s="33"/>
      <c r="SW19" s="80">
        <v>13.5</v>
      </c>
    </row>
    <row r="20" spans="1:842" x14ac:dyDescent="0.2">
      <c r="A20" s="35"/>
      <c r="B20" s="66" t="s">
        <v>86</v>
      </c>
      <c r="C20" s="35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Z20" s="35"/>
      <c r="EA20" s="35"/>
      <c r="EJ20" s="33"/>
      <c r="EK20" s="33"/>
      <c r="EM20" s="81">
        <v>13.1</v>
      </c>
      <c r="FH20" s="35"/>
      <c r="FI20" s="35"/>
      <c r="FR20" s="33"/>
      <c r="FS20" s="33"/>
      <c r="FU20" s="81">
        <v>13.1</v>
      </c>
      <c r="GP20" s="35"/>
      <c r="GQ20" s="35"/>
      <c r="GZ20" s="33"/>
      <c r="HA20" s="33"/>
      <c r="HC20" s="81">
        <v>13.1</v>
      </c>
      <c r="HX20" s="35"/>
      <c r="HY20" s="35"/>
      <c r="IH20" s="33"/>
      <c r="II20" s="33"/>
      <c r="IK20" s="81">
        <v>13.1</v>
      </c>
      <c r="JF20" s="35"/>
      <c r="JG20" s="35"/>
      <c r="JP20" s="33"/>
      <c r="JQ20" s="33"/>
      <c r="JS20" s="81">
        <v>13.1</v>
      </c>
      <c r="KN20" s="35"/>
      <c r="KO20" s="35"/>
      <c r="KX20" s="33"/>
      <c r="KY20" s="33"/>
      <c r="LA20" s="81">
        <v>13.1</v>
      </c>
      <c r="LV20" s="35"/>
      <c r="LW20" s="35"/>
      <c r="MF20" s="33"/>
      <c r="MG20" s="33"/>
      <c r="MI20" s="81">
        <v>13.1</v>
      </c>
      <c r="ND20" s="35"/>
      <c r="NE20" s="35"/>
      <c r="NN20" s="33"/>
      <c r="NO20" s="33"/>
      <c r="NQ20" s="81">
        <v>14</v>
      </c>
      <c r="OL20" s="35"/>
      <c r="OM20" s="35"/>
      <c r="OV20" s="33"/>
      <c r="OW20" s="33"/>
      <c r="OY20" s="81">
        <v>14</v>
      </c>
      <c r="PT20" s="35"/>
      <c r="PU20" s="35"/>
      <c r="QD20" s="33"/>
      <c r="QE20" s="33"/>
      <c r="QG20" s="81">
        <v>14</v>
      </c>
      <c r="RB20" s="35"/>
      <c r="RC20" s="35"/>
      <c r="RL20" s="33"/>
      <c r="RM20" s="33"/>
      <c r="RO20" s="81">
        <v>14</v>
      </c>
      <c r="SJ20" s="35"/>
      <c r="SK20" s="35"/>
      <c r="ST20" s="33"/>
      <c r="SU20" s="33"/>
      <c r="SW20" s="81">
        <v>14</v>
      </c>
    </row>
    <row r="21" spans="1:842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Z21" s="35"/>
      <c r="EA21" s="35"/>
      <c r="EJ21" s="33"/>
      <c r="EK21" s="33"/>
      <c r="EM21" s="82">
        <v>53</v>
      </c>
      <c r="FH21" s="35"/>
      <c r="FI21" s="35"/>
      <c r="FR21" s="33"/>
      <c r="FS21" s="33"/>
      <c r="FU21" s="82">
        <v>53</v>
      </c>
      <c r="GP21" s="35"/>
      <c r="GQ21" s="35"/>
      <c r="GZ21" s="33"/>
      <c r="HA21" s="33"/>
      <c r="HC21" s="82">
        <v>53</v>
      </c>
      <c r="HX21" s="35"/>
      <c r="HY21" s="35"/>
      <c r="IH21" s="33"/>
      <c r="II21" s="33"/>
      <c r="IK21" s="82">
        <v>53</v>
      </c>
      <c r="JF21" s="35"/>
      <c r="JG21" s="35"/>
      <c r="JP21" s="33"/>
      <c r="JQ21" s="33"/>
      <c r="JS21" s="82">
        <v>53</v>
      </c>
      <c r="KN21" s="35"/>
      <c r="KO21" s="35"/>
      <c r="KX21" s="33"/>
      <c r="KY21" s="33"/>
      <c r="LA21" s="82">
        <v>53</v>
      </c>
      <c r="LV21" s="35"/>
      <c r="LW21" s="35"/>
      <c r="MF21" s="33"/>
      <c r="MG21" s="33"/>
      <c r="MI21" s="82">
        <v>53</v>
      </c>
      <c r="ND21" s="35"/>
      <c r="NE21" s="35"/>
      <c r="NN21" s="33"/>
      <c r="NO21" s="33"/>
      <c r="NQ21" s="82">
        <v>49.5</v>
      </c>
      <c r="OL21" s="35"/>
      <c r="OM21" s="35"/>
      <c r="OV21" s="33"/>
      <c r="OW21" s="33"/>
      <c r="OY21" s="82">
        <v>49.5</v>
      </c>
      <c r="PT21" s="35"/>
      <c r="PU21" s="35"/>
      <c r="QD21" s="33"/>
      <c r="QE21" s="33"/>
      <c r="QG21" s="82">
        <v>49.5</v>
      </c>
      <c r="RB21" s="35"/>
      <c r="RC21" s="35"/>
      <c r="RL21" s="33"/>
      <c r="RM21" s="33"/>
      <c r="RO21" s="82">
        <v>49.5</v>
      </c>
      <c r="SJ21" s="35"/>
      <c r="SK21" s="35"/>
      <c r="ST21" s="33"/>
      <c r="SU21" s="33"/>
      <c r="SW21" s="82">
        <v>49.5</v>
      </c>
    </row>
    <row r="22" spans="1:842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Z22" s="35"/>
      <c r="EA22" s="35"/>
      <c r="EJ22" s="33"/>
      <c r="EK22" s="33"/>
      <c r="EM22" s="83">
        <v>53</v>
      </c>
      <c r="FH22" s="35"/>
      <c r="FI22" s="35"/>
      <c r="FR22" s="33"/>
      <c r="FS22" s="33"/>
      <c r="FU22" s="83">
        <v>53</v>
      </c>
      <c r="GP22" s="35"/>
      <c r="GQ22" s="35"/>
      <c r="GZ22" s="33"/>
      <c r="HA22" s="33"/>
      <c r="HC22" s="83">
        <v>53</v>
      </c>
      <c r="HX22" s="35"/>
      <c r="HY22" s="35"/>
      <c r="IH22" s="33"/>
      <c r="II22" s="33"/>
      <c r="IK22" s="83">
        <v>53</v>
      </c>
      <c r="JF22" s="35"/>
      <c r="JG22" s="35"/>
      <c r="JP22" s="33"/>
      <c r="JQ22" s="33"/>
      <c r="JS22" s="83">
        <v>53</v>
      </c>
      <c r="KN22" s="35"/>
      <c r="KO22" s="35"/>
      <c r="KX22" s="33"/>
      <c r="KY22" s="33"/>
      <c r="LA22" s="83">
        <v>53</v>
      </c>
      <c r="LV22" s="35"/>
      <c r="LW22" s="35"/>
      <c r="MF22" s="33"/>
      <c r="MG22" s="33"/>
      <c r="MI22" s="83">
        <v>53</v>
      </c>
      <c r="ND22" s="35"/>
      <c r="NE22" s="35"/>
      <c r="NN22" s="33"/>
      <c r="NO22" s="33"/>
      <c r="NQ22" s="83">
        <v>51.3</v>
      </c>
      <c r="OL22" s="35"/>
      <c r="OM22" s="35"/>
      <c r="OV22" s="33"/>
      <c r="OW22" s="33"/>
      <c r="OY22" s="83">
        <v>51.3</v>
      </c>
      <c r="PT22" s="35"/>
      <c r="PU22" s="35"/>
      <c r="QD22" s="33"/>
      <c r="QE22" s="33"/>
      <c r="QG22" s="83">
        <v>51.3</v>
      </c>
      <c r="RB22" s="35"/>
      <c r="RC22" s="35"/>
      <c r="RL22" s="33"/>
      <c r="RM22" s="33"/>
      <c r="RO22" s="83">
        <v>51.3</v>
      </c>
      <c r="SJ22" s="35"/>
      <c r="SK22" s="35"/>
      <c r="ST22" s="33"/>
      <c r="SU22" s="33"/>
      <c r="SW22" s="83">
        <v>51.3</v>
      </c>
    </row>
    <row r="23" spans="1:842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Z23" s="35"/>
      <c r="EA23" s="35"/>
      <c r="EJ23" s="33"/>
      <c r="EK23" s="33"/>
      <c r="EL23" s="71"/>
      <c r="EM23" s="84">
        <v>53</v>
      </c>
      <c r="FH23" s="35"/>
      <c r="FI23" s="35"/>
      <c r="FR23" s="33"/>
      <c r="FS23" s="33"/>
      <c r="FT23" s="71"/>
      <c r="FU23" s="84">
        <v>53</v>
      </c>
      <c r="GP23" s="35"/>
      <c r="GQ23" s="35"/>
      <c r="GZ23" s="33"/>
      <c r="HA23" s="33"/>
      <c r="HB23" s="71"/>
      <c r="HC23" s="84">
        <v>53</v>
      </c>
      <c r="HX23" s="35"/>
      <c r="HY23" s="35"/>
      <c r="IH23" s="33"/>
      <c r="II23" s="33"/>
      <c r="IJ23" s="71"/>
      <c r="IK23" s="84">
        <v>53</v>
      </c>
      <c r="JF23" s="35"/>
      <c r="JG23" s="35"/>
      <c r="JP23" s="33"/>
      <c r="JQ23" s="33"/>
      <c r="JR23" s="71"/>
      <c r="JS23" s="84">
        <v>53</v>
      </c>
      <c r="KN23" s="35"/>
      <c r="KO23" s="35"/>
      <c r="KX23" s="33"/>
      <c r="KY23" s="33"/>
      <c r="KZ23" s="71"/>
      <c r="LA23" s="84">
        <v>53</v>
      </c>
      <c r="LV23" s="35"/>
      <c r="LW23" s="35"/>
      <c r="MF23" s="33"/>
      <c r="MG23" s="33"/>
      <c r="MH23" s="71"/>
      <c r="MI23" s="84">
        <v>53</v>
      </c>
      <c r="ND23" s="35"/>
      <c r="NE23" s="35"/>
      <c r="NN23" s="33"/>
      <c r="NO23" s="33"/>
      <c r="NP23" s="71"/>
      <c r="NQ23" s="84">
        <v>52.2</v>
      </c>
      <c r="OL23" s="35"/>
      <c r="OM23" s="35"/>
      <c r="OV23" s="33"/>
      <c r="OW23" s="33"/>
      <c r="OX23" s="71"/>
      <c r="OY23" s="84">
        <v>52.2</v>
      </c>
      <c r="PT23" s="35"/>
      <c r="PU23" s="35"/>
      <c r="QD23" s="33"/>
      <c r="QE23" s="33"/>
      <c r="QF23" s="71"/>
      <c r="QG23" s="84">
        <v>52.2</v>
      </c>
      <c r="RB23" s="35"/>
      <c r="RC23" s="35"/>
      <c r="RL23" s="33"/>
      <c r="RM23" s="33"/>
      <c r="RN23" s="71"/>
      <c r="RO23" s="84">
        <v>52.2</v>
      </c>
      <c r="SJ23" s="35"/>
      <c r="SK23" s="35"/>
      <c r="ST23" s="33"/>
      <c r="SU23" s="33"/>
      <c r="SV23" s="71"/>
      <c r="SW23" s="84">
        <v>52.2</v>
      </c>
    </row>
    <row r="24" spans="1:842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143</v>
      </c>
      <c r="AW24" s="77"/>
      <c r="AX24" s="56"/>
      <c r="AY24" s="85">
        <v>54.5</v>
      </c>
      <c r="BS24" s="77"/>
      <c r="BT24" s="77"/>
      <c r="BU24" s="77"/>
      <c r="BW24" s="77" t="s">
        <v>143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Z24" s="35"/>
      <c r="EA24" s="35"/>
      <c r="EJ24" s="77" t="s">
        <v>143</v>
      </c>
      <c r="EK24" s="33"/>
      <c r="EM24" s="85">
        <v>54.5</v>
      </c>
      <c r="FH24" s="35"/>
      <c r="FI24" s="35"/>
      <c r="FR24" s="77" t="s">
        <v>143</v>
      </c>
      <c r="FS24" s="33"/>
      <c r="FU24" s="85">
        <v>54.5</v>
      </c>
      <c r="GP24" s="35"/>
      <c r="GQ24" s="35"/>
      <c r="GZ24" s="56" t="s">
        <v>143</v>
      </c>
      <c r="HA24" s="33"/>
      <c r="HC24" s="85">
        <v>54.5</v>
      </c>
      <c r="HX24" s="35"/>
      <c r="HY24" s="35"/>
      <c r="IH24" s="77" t="s">
        <v>143</v>
      </c>
      <c r="II24" s="33"/>
      <c r="IK24" s="85">
        <v>54.5</v>
      </c>
      <c r="JF24" s="35"/>
      <c r="JG24" s="35"/>
      <c r="JP24" s="77" t="s">
        <v>143</v>
      </c>
      <c r="JQ24" s="33"/>
      <c r="JS24" s="85">
        <v>54.5</v>
      </c>
      <c r="KN24" s="35"/>
      <c r="KO24" s="35"/>
      <c r="KX24" s="33"/>
      <c r="KY24" s="33"/>
      <c r="LA24" s="85">
        <v>54.5</v>
      </c>
      <c r="LV24" s="35"/>
      <c r="LW24" s="35"/>
      <c r="MF24" s="33"/>
      <c r="MG24" s="33"/>
      <c r="MI24" s="85">
        <v>54.5</v>
      </c>
      <c r="ND24" s="35"/>
      <c r="NE24" s="35"/>
      <c r="NN24" s="33"/>
      <c r="NO24" s="33"/>
      <c r="NQ24" s="85">
        <v>54</v>
      </c>
      <c r="OL24" s="35"/>
      <c r="OM24" s="35"/>
      <c r="OV24" s="33"/>
      <c r="OW24" s="33"/>
      <c r="OY24" s="85">
        <v>54</v>
      </c>
      <c r="PT24" s="35"/>
      <c r="PU24" s="35"/>
      <c r="QD24" s="33"/>
      <c r="QE24" s="33"/>
      <c r="QG24" s="85">
        <v>54</v>
      </c>
      <c r="RB24" s="35"/>
      <c r="RC24" s="35"/>
      <c r="RL24" s="33"/>
      <c r="RM24" s="33"/>
      <c r="RO24" s="85">
        <v>54</v>
      </c>
      <c r="SJ24" s="35"/>
      <c r="SK24" s="35"/>
      <c r="ST24" s="33"/>
      <c r="SU24" s="33"/>
      <c r="SW24" s="85">
        <v>54</v>
      </c>
    </row>
    <row r="25" spans="1:842" x14ac:dyDescent="0.2">
      <c r="B25" s="53" t="s">
        <v>62</v>
      </c>
      <c r="C25" s="2"/>
      <c r="AU25" s="56"/>
      <c r="AX25" s="56"/>
      <c r="CW25" s="56"/>
      <c r="CZ25" s="56"/>
    </row>
    <row r="26" spans="1:842" x14ac:dyDescent="0.2">
      <c r="A26" s="35"/>
      <c r="B26" s="35"/>
      <c r="C26" s="34"/>
      <c r="AQ26" s="56"/>
      <c r="AR26" s="56"/>
      <c r="AS26" s="56"/>
      <c r="AT26" s="56"/>
      <c r="AU26" s="56"/>
      <c r="AX26" s="56"/>
      <c r="CS26" s="56"/>
      <c r="CT26" s="56"/>
      <c r="CU26" s="56"/>
      <c r="CV26" s="56"/>
      <c r="CW26" s="56"/>
      <c r="CZ26" s="56"/>
    </row>
    <row r="27" spans="1:842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</row>
    <row r="28" spans="1:842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</row>
    <row r="29" spans="1:842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</row>
    <row r="30" spans="1:842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</row>
    <row r="31" spans="1:842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</row>
    <row r="32" spans="1:842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</row>
    <row r="33" spans="1:842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</row>
    <row r="34" spans="1:842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</row>
    <row r="35" spans="1:842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</row>
    <row r="36" spans="1:842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</row>
    <row r="37" spans="1:842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</row>
    <row r="38" spans="1:842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</row>
    <row r="39" spans="1:842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</row>
    <row r="40" spans="1:842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</row>
    <row r="41" spans="1:842" s="70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5"/>
      <c r="W41" s="15"/>
      <c r="X41" s="15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</row>
    <row r="42" spans="1:842" s="70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5"/>
      <c r="W42" s="15"/>
      <c r="X42" s="15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</row>
    <row r="43" spans="1:842" ht="17" x14ac:dyDescent="0.2">
      <c r="V43" s="15"/>
      <c r="W43" s="15"/>
      <c r="X43" s="15"/>
    </row>
    <row r="44" spans="1:842" ht="17" x14ac:dyDescent="0.2">
      <c r="V44" s="15"/>
      <c r="W44" s="15"/>
      <c r="X44" s="15"/>
    </row>
    <row r="45" spans="1:842" ht="17" x14ac:dyDescent="0.2">
      <c r="V45" s="15"/>
      <c r="W45" s="15"/>
      <c r="X45" s="15"/>
    </row>
    <row r="46" spans="1:842" ht="17" x14ac:dyDescent="0.2">
      <c r="V46" s="15"/>
      <c r="W46" s="15"/>
      <c r="X46" s="15"/>
    </row>
  </sheetData>
  <sheetProtection sheet="1" formatCells="0" formatColumns="0" formatRows="0"/>
  <autoFilter ref="A1:TX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sortState xmlns:xlrd2="http://schemas.microsoft.com/office/spreadsheetml/2017/richdata2" ref="A4:TX14">
      <sortCondition descending="1" ref="F1:F15"/>
    </sortState>
  </autoFilter>
  <mergeCells count="101">
    <mergeCell ref="RZ2:SD2"/>
    <mergeCell ref="SE2:SI2"/>
    <mergeCell ref="SX2:TB2"/>
    <mergeCell ref="TC2:TG2"/>
    <mergeCell ref="TH2:TL2"/>
    <mergeCell ref="RU2:RY2"/>
    <mergeCell ref="OB2:OF2"/>
    <mergeCell ref="OG2:OK2"/>
    <mergeCell ref="OZ2:PD2"/>
    <mergeCell ref="PE2:PI2"/>
    <mergeCell ref="PJ2:PN2"/>
    <mergeCell ref="PO2:PS2"/>
    <mergeCell ref="QH2:QL2"/>
    <mergeCell ref="QM2:QQ2"/>
    <mergeCell ref="QR2:QV2"/>
    <mergeCell ref="QW2:RA2"/>
    <mergeCell ref="RP2:RT2"/>
    <mergeCell ref="NW2:OA2"/>
    <mergeCell ref="KD2:KH2"/>
    <mergeCell ref="KI2:KM2"/>
    <mergeCell ref="LB2:LF2"/>
    <mergeCell ref="LG2:LK2"/>
    <mergeCell ref="LL2:LP2"/>
    <mergeCell ref="LQ2:LU2"/>
    <mergeCell ref="MJ2:MN2"/>
    <mergeCell ref="MO2:MS2"/>
    <mergeCell ref="MT2:MX2"/>
    <mergeCell ref="MY2:NC2"/>
    <mergeCell ref="NR2:NV2"/>
    <mergeCell ref="JY2:KC2"/>
    <mergeCell ref="GF2:GJ2"/>
    <mergeCell ref="GK2:GO2"/>
    <mergeCell ref="HD2:HH2"/>
    <mergeCell ref="HI2:HM2"/>
    <mergeCell ref="HN2:HR2"/>
    <mergeCell ref="HS2:HW2"/>
    <mergeCell ref="IL2:IP2"/>
    <mergeCell ref="IQ2:IU2"/>
    <mergeCell ref="IV2:IZ2"/>
    <mergeCell ref="JA2:JE2"/>
    <mergeCell ref="JT2:JX2"/>
    <mergeCell ref="QH1:RO1"/>
    <mergeCell ref="RP1:SW1"/>
    <mergeCell ref="SX1:TX1"/>
    <mergeCell ref="Y2:AC2"/>
    <mergeCell ref="AD2:AH2"/>
    <mergeCell ref="AI2:AM2"/>
    <mergeCell ref="AZ2:BD2"/>
    <mergeCell ref="BE2:BI2"/>
    <mergeCell ref="BJ2:BN2"/>
    <mergeCell ref="CA2:CE2"/>
    <mergeCell ref="IL1:JS1"/>
    <mergeCell ref="JT1:LA1"/>
    <mergeCell ref="LB1:MI1"/>
    <mergeCell ref="MJ1:NQ1"/>
    <mergeCell ref="NR1:OY1"/>
    <mergeCell ref="OZ1:QG1"/>
    <mergeCell ref="DK2:DO2"/>
    <mergeCell ref="DP2:DT2"/>
    <mergeCell ref="DU2:DY2"/>
    <mergeCell ref="EN2:ER2"/>
    <mergeCell ref="ES2:EW2"/>
    <mergeCell ref="EX2:FB2"/>
    <mergeCell ref="FC2:FG2"/>
    <mergeCell ref="FV2:FZ2"/>
    <mergeCell ref="HD1:IK1"/>
    <mergeCell ref="U1:U3"/>
    <mergeCell ref="V1:V3"/>
    <mergeCell ref="W1:W3"/>
    <mergeCell ref="X1:X3"/>
    <mergeCell ref="Y1:AY1"/>
    <mergeCell ref="AZ1:BZ1"/>
    <mergeCell ref="CA1:DA1"/>
    <mergeCell ref="DB1:DE1"/>
    <mergeCell ref="DF1:EM1"/>
    <mergeCell ref="EN1:FU1"/>
    <mergeCell ref="FV1:HC1"/>
    <mergeCell ref="GA2:GE2"/>
    <mergeCell ref="CF2:CJ2"/>
    <mergeCell ref="CK2:CO2"/>
    <mergeCell ref="DF2:DJ2"/>
    <mergeCell ref="F1:F3"/>
    <mergeCell ref="A1:A3"/>
    <mergeCell ref="B1:B3"/>
    <mergeCell ref="C1:C3"/>
    <mergeCell ref="D1:D3"/>
    <mergeCell ref="E1:E3"/>
    <mergeCell ref="T1:T3"/>
    <mergeCell ref="G1:G3"/>
    <mergeCell ref="H1:H3"/>
    <mergeCell ref="I1:I3"/>
    <mergeCell ref="J1:J3"/>
    <mergeCell ref="K1:K3"/>
    <mergeCell ref="L1:L3"/>
    <mergeCell ref="M1:M3"/>
    <mergeCell ref="P1:P3"/>
    <mergeCell ref="Q1:Q3"/>
    <mergeCell ref="R1:R3"/>
    <mergeCell ref="S1:S3"/>
    <mergeCell ref="N1:N3"/>
    <mergeCell ref="O1:O3"/>
  </mergeCells>
  <conditionalFormatting sqref="H1:H1048576">
    <cfRule type="containsText" dxfId="597" priority="183" operator="containsText" text="No DD">
      <formula>NOT(ISERROR(SEARCH("No DD",H1)))</formula>
    </cfRule>
    <cfRule type="containsText" dxfId="596" priority="184" operator="containsText" text="Merit">
      <formula>NOT(ISERROR(SEARCH("Merit",H1)))</formula>
    </cfRule>
    <cfRule type="containsText" dxfId="595" priority="185" operator="containsText" text="Excellence">
      <formula>NOT(ISERROR(SEARCH("Excellence",H1)))</formula>
    </cfRule>
    <cfRule type="containsText" dxfId="594" priority="186" operator="containsText" text="Worlds Team">
      <formula>NOT(ISERROR(SEARCH("Worlds Team",H1)))</formula>
    </cfRule>
    <cfRule type="containsText" dxfId="593" priority="187" operator="containsText" text="National Team">
      <formula>NOT(ISERROR(SEARCH("National Team",H1)))</formula>
    </cfRule>
  </conditionalFormatting>
  <conditionalFormatting sqref="A1:A1048576">
    <cfRule type="expression" dxfId="592" priority="188">
      <formula>AND(G1&lt;&gt;"",F1="")</formula>
    </cfRule>
  </conditionalFormatting>
  <conditionalFormatting sqref="Y4:AY14">
    <cfRule type="expression" dxfId="591" priority="189" stopIfTrue="1">
      <formula>IF($AN4&lt;&gt;"",1,0)</formula>
    </cfRule>
  </conditionalFormatting>
  <conditionalFormatting sqref="AZ4:BZ14">
    <cfRule type="expression" dxfId="590" priority="181" stopIfTrue="1">
      <formula>IF($BO4&lt;&gt;"",1,0)</formula>
    </cfRule>
  </conditionalFormatting>
  <conditionalFormatting sqref="CA4:DA14">
    <cfRule type="expression" dxfId="589" priority="177" stopIfTrue="1">
      <formula>IF($CP4&lt;&gt;"",1,0)</formula>
    </cfRule>
  </conditionalFormatting>
  <conditionalFormatting sqref="M1:M3 O1:O3 K1:K1048576 Q1:Q1048576 S1:S1048576 U1:U1048576 M4:O1048576">
    <cfRule type="expression" dxfId="588" priority="206">
      <formula>IF(K1=$CA$1,1,0)</formula>
    </cfRule>
    <cfRule type="expression" dxfId="587" priority="207">
      <formula>IF(K1=$AZ$1,1,0)</formula>
    </cfRule>
    <cfRule type="expression" dxfId="586" priority="208">
      <formula>IF(K1=$Y$1,1,0)</formula>
    </cfRule>
  </conditionalFormatting>
  <conditionalFormatting sqref="BW25:BW1048576 BP1:BP1048576 BS1:BS1048576 BW1:BW23">
    <cfRule type="cellIs" dxfId="585" priority="200" operator="between">
      <formula>$BZ$20</formula>
      <formula>1000</formula>
    </cfRule>
    <cfRule type="cellIs" dxfId="584" priority="201" operator="between">
      <formula>$BZ$19</formula>
      <formula>$BZ$20</formula>
    </cfRule>
    <cfRule type="cellIs" dxfId="583" priority="202" operator="between">
      <formula>$BZ$18</formula>
      <formula>$BZ$19</formula>
    </cfRule>
    <cfRule type="cellIs" dxfId="582" priority="203" operator="between">
      <formula>$BZ$17</formula>
      <formula>$BZ$18</formula>
    </cfRule>
  </conditionalFormatting>
  <conditionalFormatting sqref="CX25:CX1048576 CQ1:CQ1048576 CT1:CT1048576 CX1:CX23">
    <cfRule type="cellIs" dxfId="581" priority="191" operator="between">
      <formula>$DA$20</formula>
      <formula>1000</formula>
    </cfRule>
    <cfRule type="cellIs" dxfId="580" priority="192" operator="between">
      <formula>$DA$19</formula>
      <formula>$DA$20</formula>
    </cfRule>
    <cfRule type="cellIs" dxfId="579" priority="193" operator="between">
      <formula>$DA$18</formula>
      <formula>$DA$19</formula>
    </cfRule>
    <cfRule type="cellIs" dxfId="578" priority="194" operator="between">
      <formula>$DA$17</formula>
      <formula>$DA$18</formula>
    </cfRule>
  </conditionalFormatting>
  <conditionalFormatting sqref="EJ25:EJ1048576 DZ1:DZ1048576 EC1:EC1048576 EG1:EG1048576 EJ1:EJ23">
    <cfRule type="cellIs" dxfId="577" priority="215" operator="between">
      <formula>$EM$20</formula>
      <formula>1000</formula>
    </cfRule>
    <cfRule type="cellIs" dxfId="576" priority="216" operator="between">
      <formula>$EM$19</formula>
      <formula>$EM$20</formula>
    </cfRule>
    <cfRule type="cellIs" dxfId="575" priority="217" operator="between">
      <formula>$EM$18</formula>
      <formula>$EM$19</formula>
    </cfRule>
    <cfRule type="cellIs" dxfId="574" priority="218" operator="between">
      <formula>$EM$17</formula>
      <formula>$EM$18</formula>
    </cfRule>
  </conditionalFormatting>
  <conditionalFormatting sqref="FR25:FR1048576 FH1:FH1048576 FK1:FK1048576 FO1:FO1048576 FR1:FR23">
    <cfRule type="cellIs" dxfId="573" priority="165" operator="between">
      <formula>$FU$20</formula>
      <formula>1000</formula>
    </cfRule>
    <cfRule type="cellIs" dxfId="572" priority="166" operator="between">
      <formula>$FU$19</formula>
      <formula>$FU$20</formula>
    </cfRule>
    <cfRule type="cellIs" dxfId="571" priority="167" operator="between">
      <formula>$FU$18</formula>
      <formula>$FU$19</formula>
    </cfRule>
    <cfRule type="cellIs" dxfId="570" priority="168" operator="between">
      <formula>$FU$17</formula>
      <formula>$FU$18</formula>
    </cfRule>
  </conditionalFormatting>
  <conditionalFormatting sqref="IH25:IH1048576 HX1:HX1048576 IA1:IA1048576 IE1:IE1048576 IH1:IH23">
    <cfRule type="cellIs" dxfId="569" priority="141" operator="between">
      <formula>$IK$20</formula>
      <formula>1000</formula>
    </cfRule>
    <cfRule type="cellIs" dxfId="568" priority="142" operator="between">
      <formula>$IK$19</formula>
      <formula>$IK$20</formula>
    </cfRule>
    <cfRule type="cellIs" dxfId="567" priority="143" operator="between">
      <formula>$IK$18</formula>
      <formula>$IK$19</formula>
    </cfRule>
    <cfRule type="cellIs" dxfId="566" priority="144" operator="between">
      <formula>$IK$17</formula>
      <formula>$IK$18</formula>
    </cfRule>
  </conditionalFormatting>
  <conditionalFormatting sqref="AW24 AO1:AO1048576 AR1:AR1048576 AV1:AV1048576">
    <cfRule type="cellIs" dxfId="565" priority="37" operator="between">
      <formula>$AY$20</formula>
      <formula>1000</formula>
    </cfRule>
    <cfRule type="cellIs" dxfId="564" priority="38" operator="between">
      <formula>$AY$19</formula>
      <formula>$AY$20</formula>
    </cfRule>
    <cfRule type="cellIs" dxfId="563" priority="39" operator="between">
      <formula>$AY$18</formula>
      <formula>$AY$19</formula>
    </cfRule>
    <cfRule type="cellIs" dxfId="562" priority="40" operator="between">
      <formula>$AY$17</formula>
      <formula>$AY$18</formula>
    </cfRule>
  </conditionalFormatting>
  <conditionalFormatting sqref="BW24">
    <cfRule type="cellIs" dxfId="561" priority="33" operator="between">
      <formula>$AY$20</formula>
      <formula>1000</formula>
    </cfRule>
    <cfRule type="cellIs" dxfId="560" priority="34" operator="between">
      <formula>$AY$19</formula>
      <formula>$AY$20</formula>
    </cfRule>
    <cfRule type="cellIs" dxfId="559" priority="35" operator="between">
      <formula>$AY$18</formula>
      <formula>$AY$19</formula>
    </cfRule>
    <cfRule type="cellIs" dxfId="558" priority="36" operator="between">
      <formula>$AY$17</formula>
      <formula>$AY$18</formula>
    </cfRule>
  </conditionalFormatting>
  <conditionalFormatting sqref="CX24">
    <cfRule type="cellIs" dxfId="557" priority="29" operator="between">
      <formula>$AY$20</formula>
      <formula>1000</formula>
    </cfRule>
    <cfRule type="cellIs" dxfId="556" priority="30" operator="between">
      <formula>$AY$19</formula>
      <formula>$AY$20</formula>
    </cfRule>
    <cfRule type="cellIs" dxfId="555" priority="31" operator="between">
      <formula>$AY$18</formula>
      <formula>$AY$19</formula>
    </cfRule>
    <cfRule type="cellIs" dxfId="554" priority="32" operator="between">
      <formula>$AY$17</formula>
      <formula>$AY$18</formula>
    </cfRule>
  </conditionalFormatting>
  <conditionalFormatting sqref="CV1:CV1048576 AT1:AT1048576">
    <cfRule type="cellIs" dxfId="553" priority="60804" operator="between">
      <formula>AY$24</formula>
      <formula>1000</formula>
    </cfRule>
    <cfRule type="cellIs" dxfId="552" priority="60805" operator="between">
      <formula>AY$23</formula>
      <formula>AY$24</formula>
    </cfRule>
  </conditionalFormatting>
  <conditionalFormatting sqref="EE1:EE1048576 FM1:FM1048576 GU1:GU1048576 IC1:IC1048576 JK1:JK1048576 KS1:KS1048576 MA1:MA1048576 NI1:NI1048576 OQ1:OQ1048576 PY1:PY1048576 RG1:RG1048576 SO1:SO1048576">
    <cfRule type="cellIs" dxfId="551" priority="60816" operator="between">
      <formula>EM$24</formula>
      <formula>1000</formula>
    </cfRule>
    <cfRule type="cellIs" dxfId="550" priority="60817" operator="between">
      <formula>EM$23</formula>
      <formula>EM$24</formula>
    </cfRule>
  </conditionalFormatting>
  <conditionalFormatting sqref="EF1:EF1048576 FN1:FN1048576 GV1:GV1048576 ID1:ID1048576 JL1:JL1048576 KT1:KT1048576 MB1:MB1048576 NJ1:NJ1048576 OR1:OR1048576 PZ1:PZ1048576 RH1:RH1048576 SP1:SP1048576">
    <cfRule type="cellIs" dxfId="549" priority="60888" operator="between">
      <formula>EM$22</formula>
      <formula>1000</formula>
    </cfRule>
    <cfRule type="cellIs" dxfId="548" priority="60889" operator="between">
      <formula>EM$21</formula>
      <formula>EM$22</formula>
    </cfRule>
  </conditionalFormatting>
  <conditionalFormatting sqref="AQ1:AQ1048576 AT1:AT1048576 AX1:AX1048576">
    <cfRule type="cellIs" dxfId="547" priority="60960" operator="between">
      <formula>$AY$24</formula>
      <formula>1000</formula>
    </cfRule>
    <cfRule type="cellIs" dxfId="546" priority="60961" operator="between">
      <formula>$AY$23</formula>
      <formula>$AY$24</formula>
    </cfRule>
    <cfRule type="cellIs" dxfId="545" priority="60962" operator="between">
      <formula>$AY$22</formula>
      <formula>$AY$23</formula>
    </cfRule>
    <cfRule type="cellIs" dxfId="544" priority="60963" operator="between">
      <formula>$AY$21</formula>
      <formula>$AY$22</formula>
    </cfRule>
  </conditionalFormatting>
  <conditionalFormatting sqref="BR1:BR1048576 BU1:BU1048576 BY1:BY1048576">
    <cfRule type="cellIs" dxfId="543" priority="60996" operator="between">
      <formula>$BZ$24</formula>
      <formula>1000</formula>
    </cfRule>
    <cfRule type="cellIs" dxfId="542" priority="60997" operator="between">
      <formula>$BZ$23</formula>
      <formula>$BZ$24</formula>
    </cfRule>
    <cfRule type="cellIs" dxfId="541" priority="60998" operator="between">
      <formula>$BZ$22</formula>
      <formula>$BZ$23</formula>
    </cfRule>
    <cfRule type="cellIs" dxfId="540" priority="60999" operator="between">
      <formula>$BZ$21</formula>
      <formula>$BZ$22</formula>
    </cfRule>
  </conditionalFormatting>
  <conditionalFormatting sqref="CS1:CS1048576 CV1:CV1048576 CZ1:CZ1048576">
    <cfRule type="cellIs" dxfId="539" priority="61032" operator="between">
      <formula>$DA$24</formula>
      <formula>1000</formula>
    </cfRule>
    <cfRule type="cellIs" dxfId="538" priority="61033" operator="between">
      <formula>$DA$23</formula>
      <formula>$DA$24</formula>
    </cfRule>
    <cfRule type="cellIs" dxfId="537" priority="61034" operator="between">
      <formula>$DA$22</formula>
      <formula>$DA$23</formula>
    </cfRule>
    <cfRule type="cellIs" dxfId="536" priority="61035" operator="between">
      <formula>$DA$21</formula>
      <formula>$DA$22</formula>
    </cfRule>
  </conditionalFormatting>
  <conditionalFormatting sqref="ND1:ND1048576 NG1:NG1048576 NK1:NK1048576 NN1:NN1048576">
    <cfRule type="cellIs" dxfId="535" priority="61068" operator="between">
      <formula>$NQ$17</formula>
      <formula>$NQ$18</formula>
    </cfRule>
  </conditionalFormatting>
  <conditionalFormatting sqref="EB1:EB1048576 EE1:EE1048576 EI1:EI1048576 EL1:EL1048576">
    <cfRule type="cellIs" dxfId="534" priority="61080" operator="between">
      <formula>$EM$24</formula>
      <formula>1000</formula>
    </cfRule>
    <cfRule type="cellIs" dxfId="533" priority="61081" operator="between">
      <formula>$EM$23</formula>
      <formula>$EM$24</formula>
    </cfRule>
    <cfRule type="cellIs" dxfId="532" priority="61082" operator="between">
      <formula>$EM$22</formula>
      <formula>$EM$23</formula>
    </cfRule>
    <cfRule type="cellIs" dxfId="531" priority="61083" operator="between">
      <formula>$EM$21</formula>
      <formula>$EM$22</formula>
    </cfRule>
  </conditionalFormatting>
  <conditionalFormatting sqref="FJ1:FJ1048576 FM1:FM1048576 FQ1:FQ1048576 FT1:FT1048576">
    <cfRule type="cellIs" dxfId="530" priority="61128" operator="between">
      <formula>$FU$24</formula>
      <formula>1000</formula>
    </cfRule>
    <cfRule type="cellIs" dxfId="529" priority="61129" operator="between">
      <formula>$FU$23</formula>
      <formula>$FU$24</formula>
    </cfRule>
    <cfRule type="cellIs" dxfId="528" priority="61130" operator="between">
      <formula>$FU$22</formula>
      <formula>$FU$23</formula>
    </cfRule>
    <cfRule type="cellIs" dxfId="527" priority="61131" operator="between">
      <formula>$FU$21</formula>
      <formula>$FU$22</formula>
    </cfRule>
  </conditionalFormatting>
  <conditionalFormatting sqref="GP1:GP1048576 GS1:GS1048576 GW1:GW1048576 GZ1:GZ1048576">
    <cfRule type="cellIs" dxfId="526" priority="61176" operator="between">
      <formula>$HC$20</formula>
      <formula>1000</formula>
    </cfRule>
    <cfRule type="cellIs" dxfId="525" priority="61177" operator="between">
      <formula>$HC$19</formula>
      <formula>$HC$20</formula>
    </cfRule>
    <cfRule type="cellIs" dxfId="524" priority="61178" operator="between">
      <formula>$HC$18</formula>
      <formula>$HC$19</formula>
    </cfRule>
    <cfRule type="cellIs" dxfId="523" priority="61179" operator="between">
      <formula>$HC$17</formula>
      <formula>$HC$18</formula>
    </cfRule>
  </conditionalFormatting>
  <conditionalFormatting sqref="GR1:GR1048576 GU1:GU1048576 GY1:GY1048576 HB1:HB1048576">
    <cfRule type="cellIs" dxfId="522" priority="61224" operator="between">
      <formula>$HC$24</formula>
      <formula>1000</formula>
    </cfRule>
    <cfRule type="cellIs" dxfId="521" priority="61225" operator="between">
      <formula>$HC$23</formula>
      <formula>$HC$24</formula>
    </cfRule>
    <cfRule type="cellIs" dxfId="520" priority="61226" operator="between">
      <formula>$HC$22</formula>
      <formula>$HC$23</formula>
    </cfRule>
    <cfRule type="cellIs" dxfId="519" priority="61227" operator="between">
      <formula>$HC$21</formula>
      <formula>$HC$22</formula>
    </cfRule>
  </conditionalFormatting>
  <conditionalFormatting sqref="HZ1:HZ1048576 IC1:IC1048576 IG1:IG1048576 IJ1:IJ1048576">
    <cfRule type="cellIs" dxfId="518" priority="61272" operator="between">
      <formula>$IK$24</formula>
      <formula>1000</formula>
    </cfRule>
    <cfRule type="cellIs" dxfId="517" priority="61273" operator="between">
      <formula>$IK$23</formula>
      <formula>$IK$24</formula>
    </cfRule>
    <cfRule type="cellIs" dxfId="516" priority="61274" operator="between">
      <formula>$IK$22</formula>
      <formula>$IK$23</formula>
    </cfRule>
    <cfRule type="cellIs" dxfId="515" priority="61275" operator="between">
      <formula>$IK$21</formula>
      <formula>$IK$22</formula>
    </cfRule>
  </conditionalFormatting>
  <conditionalFormatting sqref="JF1:JF1048576 JI1:JI1048576 JM1:JM1048576 JP1:JP23 JP25:JP1048576">
    <cfRule type="cellIs" dxfId="514" priority="61320" operator="between">
      <formula>$JS$20</formula>
      <formula>1000</formula>
    </cfRule>
    <cfRule type="cellIs" dxfId="513" priority="61321" operator="between">
      <formula>$JS$19</formula>
      <formula>$JS$20</formula>
    </cfRule>
    <cfRule type="cellIs" dxfId="512" priority="61322" operator="between">
      <formula>$JS$18</formula>
      <formula>$JS$19</formula>
    </cfRule>
    <cfRule type="cellIs" dxfId="511" priority="61323" operator="between">
      <formula>$JS$17</formula>
      <formula>$JS$18</formula>
    </cfRule>
  </conditionalFormatting>
  <conditionalFormatting sqref="JH1:JH1048576 JK1:JK1048576 JO1:JO1048576 JR1:JR1048576">
    <cfRule type="cellIs" dxfId="510" priority="61368" operator="between">
      <formula>$JS$24</formula>
      <formula>1000</formula>
    </cfRule>
    <cfRule type="cellIs" dxfId="509" priority="61369" operator="between">
      <formula>$JS$23</formula>
      <formula>$JS$24</formula>
    </cfRule>
    <cfRule type="cellIs" dxfId="508" priority="61370" operator="between">
      <formula>$JS$22</formula>
      <formula>$JS$23</formula>
    </cfRule>
    <cfRule type="cellIs" dxfId="507" priority="61371" operator="between">
      <formula>$JS$21</formula>
      <formula>$JS$22</formula>
    </cfRule>
  </conditionalFormatting>
  <conditionalFormatting sqref="KN1:KN1048576 KQ1:KQ1048576 KU1:KU1048576 KX1:KX1048576">
    <cfRule type="cellIs" dxfId="506" priority="61416" operator="between">
      <formula>$LA$20</formula>
      <formula>1000</formula>
    </cfRule>
    <cfRule type="cellIs" dxfId="505" priority="61417" operator="between">
      <formula>$LA$19</formula>
      <formula>$LA$20</formula>
    </cfRule>
    <cfRule type="cellIs" dxfId="504" priority="61418" operator="between">
      <formula>$LA$18</formula>
      <formula>$LA$19</formula>
    </cfRule>
    <cfRule type="cellIs" dxfId="503" priority="61419" operator="between">
      <formula>$LA$17</formula>
      <formula>$LA$18</formula>
    </cfRule>
  </conditionalFormatting>
  <conditionalFormatting sqref="KP1:KP1048576 KS1:KS1048576 KW1:KW1048576 KZ1:KZ1048576">
    <cfRule type="cellIs" dxfId="502" priority="61464" operator="between">
      <formula>$LA$24</formula>
      <formula>1000</formula>
    </cfRule>
    <cfRule type="cellIs" dxfId="501" priority="61465" operator="between">
      <formula>$LA$23</formula>
      <formula>$LA$24</formula>
    </cfRule>
    <cfRule type="cellIs" dxfId="500" priority="61466" operator="between">
      <formula>$LA$22</formula>
      <formula>$LA$23</formula>
    </cfRule>
    <cfRule type="cellIs" dxfId="499" priority="61467" operator="between">
      <formula>$LA$21</formula>
      <formula>$LA$22</formula>
    </cfRule>
  </conditionalFormatting>
  <conditionalFormatting sqref="LV1:LV1048576 LY1:LY1048576 MC1:MC1048576 MF1:MF1048576">
    <cfRule type="cellIs" dxfId="498" priority="61512" operator="between">
      <formula>$MI$20</formula>
      <formula>1000</formula>
    </cfRule>
    <cfRule type="cellIs" dxfId="497" priority="61513" operator="between">
      <formula>$MI$19</formula>
      <formula>$MI$20</formula>
    </cfRule>
    <cfRule type="cellIs" dxfId="496" priority="61514" operator="between">
      <formula>$MI$18</formula>
      <formula>$MI$19</formula>
    </cfRule>
    <cfRule type="cellIs" dxfId="495" priority="61515" operator="between">
      <formula>$MI$17</formula>
      <formula>$MI$18</formula>
    </cfRule>
  </conditionalFormatting>
  <conditionalFormatting sqref="LX1:LX1048576 MA1:MA1048576 ME1:ME1048576 MH1:MH1048576">
    <cfRule type="cellIs" dxfId="494" priority="61560" operator="between">
      <formula>$MI$24</formula>
      <formula>1000</formula>
    </cfRule>
    <cfRule type="cellIs" dxfId="493" priority="61561" operator="between">
      <formula>$MI$23</formula>
      <formula>$MI$24</formula>
    </cfRule>
    <cfRule type="cellIs" dxfId="492" priority="61562" operator="between">
      <formula>$MI$22</formula>
      <formula>$MI$23</formula>
    </cfRule>
    <cfRule type="cellIs" dxfId="491" priority="61563" operator="between">
      <formula>$MI$21</formula>
      <formula>$MI$22</formula>
    </cfRule>
  </conditionalFormatting>
  <conditionalFormatting sqref="ND1:ND1048576 NG1:NG1048576 NK1:NK1048576">
    <cfRule type="cellIs" dxfId="490" priority="61608" operator="between">
      <formula>$NQ$20</formula>
      <formula>1000</formula>
    </cfRule>
    <cfRule type="cellIs" dxfId="489" priority="61609" operator="between">
      <formula>$NQ$19</formula>
      <formula>$NQ$20</formula>
    </cfRule>
    <cfRule type="cellIs" dxfId="488" priority="61610" operator="between">
      <formula>$NQ$18</formula>
      <formula>$NQ$19</formula>
    </cfRule>
  </conditionalFormatting>
  <conditionalFormatting sqref="NF1:NF1048576 NI1:NI1048576 NM1:NM1048576 NP1:NP1048576">
    <cfRule type="cellIs" dxfId="487" priority="61635" operator="between">
      <formula>$NQ$24</formula>
      <formula>1000</formula>
    </cfRule>
    <cfRule type="cellIs" dxfId="486" priority="61636" operator="between">
      <formula>$NQ$23</formula>
      <formula>$NQ$24</formula>
    </cfRule>
    <cfRule type="cellIs" dxfId="485" priority="61637" operator="between">
      <formula>$NQ$22</formula>
      <formula>$NQ$23</formula>
    </cfRule>
    <cfRule type="cellIs" dxfId="484" priority="61638" operator="between">
      <formula>$NQ$21</formula>
      <formula>$NQ$22</formula>
    </cfRule>
  </conditionalFormatting>
  <conditionalFormatting sqref="OL1:OL1048576 OO1:OO1048576 OS1:OS1048576 OV1:OV1048576">
    <cfRule type="cellIs" dxfId="483" priority="61683" operator="between">
      <formula>$OY$20</formula>
      <formula>1000</formula>
    </cfRule>
    <cfRule type="cellIs" dxfId="482" priority="61684" operator="between">
      <formula>$OY$19</formula>
      <formula>$OY$20</formula>
    </cfRule>
    <cfRule type="cellIs" dxfId="481" priority="61685" operator="between">
      <formula>$OY$18</formula>
      <formula>$OY$19</formula>
    </cfRule>
    <cfRule type="cellIs" dxfId="480" priority="61686" operator="between">
      <formula>$OY$17</formula>
      <formula>$OY$18</formula>
    </cfRule>
  </conditionalFormatting>
  <conditionalFormatting sqref="ON1:ON1048576 OQ1:OQ1048576 OU1:OU1048576 OX1:OX1048576">
    <cfRule type="cellIs" dxfId="479" priority="61731" operator="between">
      <formula>$OY$24</formula>
      <formula>1000</formula>
    </cfRule>
    <cfRule type="cellIs" dxfId="478" priority="61732" operator="between">
      <formula>$OY$23</formula>
      <formula>$OY$24</formula>
    </cfRule>
    <cfRule type="cellIs" dxfId="477" priority="61733" operator="between">
      <formula>$OY$22</formula>
      <formula>$OY$23</formula>
    </cfRule>
    <cfRule type="cellIs" dxfId="476" priority="61734" operator="between">
      <formula>$OY$21</formula>
      <formula>$OY$22</formula>
    </cfRule>
  </conditionalFormatting>
  <conditionalFormatting sqref="PT1:PT1048576 PW1:PW1048576 QA1:QA1048576 QD1:QD1048576">
    <cfRule type="cellIs" dxfId="475" priority="61779" operator="between">
      <formula>$QG$20</formula>
      <formula>1000</formula>
    </cfRule>
    <cfRule type="cellIs" dxfId="474" priority="61780" operator="between">
      <formula>$QG$19</formula>
      <formula>$QG$20</formula>
    </cfRule>
    <cfRule type="cellIs" dxfId="473" priority="61781" operator="between">
      <formula>$QG$18</formula>
      <formula>$QG$19</formula>
    </cfRule>
    <cfRule type="cellIs" dxfId="472" priority="61782" operator="between">
      <formula>$QG$17</formula>
      <formula>$QG$18</formula>
    </cfRule>
  </conditionalFormatting>
  <conditionalFormatting sqref="PV1:PV1048576 PY1:PY1048576 QC1:QC1048576 QF1:QF1048576">
    <cfRule type="cellIs" dxfId="471" priority="61827" operator="between">
      <formula>$QG$24</formula>
      <formula>1000</formula>
    </cfRule>
    <cfRule type="cellIs" dxfId="470" priority="61828" operator="between">
      <formula>$QG$23</formula>
      <formula>$QG$24</formula>
    </cfRule>
    <cfRule type="cellIs" dxfId="469" priority="61829" operator="between">
      <formula>$QG$22</formula>
      <formula>$QG$23</formula>
    </cfRule>
    <cfRule type="cellIs" dxfId="468" priority="61830" operator="between">
      <formula>$QG$21</formula>
      <formula>$QG$22</formula>
    </cfRule>
  </conditionalFormatting>
  <conditionalFormatting sqref="RB1:RB1048576 RE1:RE1048576 RI1:RI1048576 RL1:RL1048576">
    <cfRule type="cellIs" dxfId="467" priority="61875" operator="between">
      <formula>$RO$20</formula>
      <formula>1000</formula>
    </cfRule>
    <cfRule type="cellIs" dxfId="466" priority="61876" operator="between">
      <formula>$RO$19</formula>
      <formula>$RO$20</formula>
    </cfRule>
    <cfRule type="cellIs" dxfId="465" priority="61877" operator="between">
      <formula>$RO$18</formula>
      <formula>$RO$19</formula>
    </cfRule>
    <cfRule type="cellIs" dxfId="464" priority="61878" operator="between">
      <formula>$RO$17</formula>
      <formula>$RO$18</formula>
    </cfRule>
  </conditionalFormatting>
  <conditionalFormatting sqref="RD1:RD1048576 RG1:RG1048576 RK1:RK1048576 RN1:RN1048576">
    <cfRule type="cellIs" dxfId="463" priority="61923" operator="between">
      <formula>$RO$24</formula>
      <formula>1000</formula>
    </cfRule>
    <cfRule type="cellIs" dxfId="462" priority="61924" operator="between">
      <formula>$RO$23</formula>
      <formula>$RO$24</formula>
    </cfRule>
    <cfRule type="cellIs" dxfId="461" priority="61925" operator="between">
      <formula>$RO$22</formula>
      <formula>$RO$23</formula>
    </cfRule>
    <cfRule type="cellIs" dxfId="460" priority="61926" operator="between">
      <formula>$RO$21</formula>
      <formula>$RO$22</formula>
    </cfRule>
  </conditionalFormatting>
  <conditionalFormatting sqref="SJ1:SJ1048576 SM1:SM1048576 SQ1:SQ1048576 ST1:ST1048576">
    <cfRule type="cellIs" dxfId="459" priority="61971" operator="between">
      <formula>$SW$20</formula>
      <formula>1000</formula>
    </cfRule>
    <cfRule type="cellIs" dxfId="458" priority="61972" operator="between">
      <formula>$SW$19</formula>
      <formula>$SW$20</formula>
    </cfRule>
    <cfRule type="cellIs" dxfId="457" priority="61973" operator="between">
      <formula>$SW$18</formula>
      <formula>$SW$19</formula>
    </cfRule>
    <cfRule type="cellIs" dxfId="456" priority="61974" operator="between">
      <formula>$SW$17</formula>
      <formula>$SW$18</formula>
    </cfRule>
  </conditionalFormatting>
  <conditionalFormatting sqref="SL1:SL1048576 SO1:SO1048576 SS1:SS1048576 SV1:SV1048576">
    <cfRule type="cellIs" dxfId="455" priority="62019" operator="between">
      <formula>$SW$24</formula>
      <formula>1000</formula>
    </cfRule>
    <cfRule type="cellIs" dxfId="454" priority="62020" operator="between">
      <formula>$SW$23</formula>
      <formula>$SW$24</formula>
    </cfRule>
    <cfRule type="cellIs" dxfId="453" priority="62021" operator="between">
      <formula>$SW$22</formula>
      <formula>$SW$23</formula>
    </cfRule>
    <cfRule type="cellIs" dxfId="452" priority="62022" operator="between">
      <formula>$SW$21</formula>
      <formula>$SW$22</formula>
    </cfRule>
  </conditionalFormatting>
  <conditionalFormatting sqref="EJ24">
    <cfRule type="cellIs" dxfId="451" priority="13" operator="between">
      <formula>$AY$20</formula>
      <formula>1000</formula>
    </cfRule>
    <cfRule type="cellIs" dxfId="450" priority="14" operator="between">
      <formula>$AY$19</formula>
      <formula>$AY$20</formula>
    </cfRule>
    <cfRule type="cellIs" dxfId="449" priority="15" operator="between">
      <formula>$AY$18</formula>
      <formula>$AY$19</formula>
    </cfRule>
    <cfRule type="cellIs" dxfId="448" priority="16" operator="between">
      <formula>$AY$17</formula>
      <formula>$AY$18</formula>
    </cfRule>
  </conditionalFormatting>
  <conditionalFormatting sqref="FR24">
    <cfRule type="cellIs" dxfId="447" priority="9" operator="between">
      <formula>$AY$20</formula>
      <formula>1000</formula>
    </cfRule>
    <cfRule type="cellIs" dxfId="446" priority="10" operator="between">
      <formula>$AY$19</formula>
      <formula>$AY$20</formula>
    </cfRule>
    <cfRule type="cellIs" dxfId="445" priority="11" operator="between">
      <formula>$AY$18</formula>
      <formula>$AY$19</formula>
    </cfRule>
    <cfRule type="cellIs" dxfId="444" priority="12" operator="between">
      <formula>$AY$17</formula>
      <formula>$AY$18</formula>
    </cfRule>
  </conditionalFormatting>
  <conditionalFormatting sqref="IH24">
    <cfRule type="cellIs" dxfId="443" priority="5" operator="between">
      <formula>$AY$20</formula>
      <formula>1000</formula>
    </cfRule>
    <cfRule type="cellIs" dxfId="442" priority="6" operator="between">
      <formula>$AY$19</formula>
      <formula>$AY$20</formula>
    </cfRule>
    <cfRule type="cellIs" dxfId="441" priority="7" operator="between">
      <formula>$AY$18</formula>
      <formula>$AY$19</formula>
    </cfRule>
    <cfRule type="cellIs" dxfId="440" priority="8" operator="between">
      <formula>$AY$17</formula>
      <formula>$AY$18</formula>
    </cfRule>
  </conditionalFormatting>
  <conditionalFormatting sqref="JP24">
    <cfRule type="cellIs" dxfId="439" priority="1" operator="between">
      <formula>$AY$20</formula>
      <formula>1000</formula>
    </cfRule>
    <cfRule type="cellIs" dxfId="438" priority="2" operator="between">
      <formula>$AY$19</formula>
      <formula>$AY$20</formula>
    </cfRule>
    <cfRule type="cellIs" dxfId="437" priority="3" operator="between">
      <formula>$AY$18</formula>
      <formula>$AY$19</formula>
    </cfRule>
    <cfRule type="cellIs" dxfId="436" priority="4" operator="between">
      <formula>$AY$17</formula>
      <formula>$AY$18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0460D-4217-4D47-854C-1AABE3B544A2}">
  <sheetPr codeName="Sheet4"/>
  <dimension ref="A1:AFH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hidden="1" customWidth="1"/>
    <col min="13" max="13" width="27" hidden="1" customWidth="1"/>
    <col min="14" max="14" width="10.83203125" hidden="1" customWidth="1"/>
    <col min="15" max="15" width="27" hidden="1" customWidth="1"/>
    <col min="16" max="16" width="10.83203125" hidden="1" customWidth="1"/>
    <col min="17" max="17" width="27" hidden="1" customWidth="1"/>
    <col min="18" max="18" width="14.6640625" hidden="1" customWidth="1"/>
    <col min="19" max="19" width="27" hidden="1" customWidth="1"/>
    <col min="20" max="20" width="24.6640625" bestFit="1" customWidth="1"/>
    <col min="21" max="21" width="13" bestFit="1" customWidth="1"/>
    <col min="22" max="22" width="51.83203125" bestFit="1" customWidth="1"/>
    <col min="23" max="38" width="10.83203125" hidden="1" customWidth="1"/>
    <col min="39" max="49" width="10.83203125" style="70" customWidth="1"/>
    <col min="50" max="65" width="10.83203125" hidden="1" customWidth="1"/>
    <col min="66" max="76" width="10.83203125" style="70" customWidth="1"/>
    <col min="77" max="92" width="10.83203125" hidden="1" customWidth="1"/>
    <col min="93" max="107" width="10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208" width="10.83203125" hidden="1" customWidth="1"/>
    <col min="209" max="209" width="10.83203125" style="70" hidden="1" customWidth="1"/>
    <col min="210" max="542" width="10.83203125" hidden="1" customWidth="1"/>
  </cols>
  <sheetData>
    <row r="1" spans="1:542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2" t="s">
        <v>12</v>
      </c>
      <c r="H1" s="102" t="s">
        <v>13</v>
      </c>
      <c r="I1" s="102" t="s">
        <v>96</v>
      </c>
      <c r="J1" s="108" t="s">
        <v>145</v>
      </c>
      <c r="K1" s="104" t="s">
        <v>37</v>
      </c>
      <c r="L1" s="108" t="s">
        <v>132</v>
      </c>
      <c r="M1" s="104" t="s">
        <v>37</v>
      </c>
      <c r="N1" s="104" t="s">
        <v>14</v>
      </c>
      <c r="O1" s="104" t="s">
        <v>37</v>
      </c>
      <c r="P1" s="104" t="s">
        <v>133</v>
      </c>
      <c r="Q1" s="104" t="s">
        <v>37</v>
      </c>
      <c r="R1" s="108" t="s">
        <v>134</v>
      </c>
      <c r="S1" s="104" t="s">
        <v>37</v>
      </c>
      <c r="T1" s="107" t="s">
        <v>15</v>
      </c>
      <c r="U1" s="104" t="s">
        <v>38</v>
      </c>
      <c r="V1" s="104" t="s">
        <v>37</v>
      </c>
      <c r="W1" s="105" t="s">
        <v>104</v>
      </c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10" t="s">
        <v>111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05" t="s">
        <v>146</v>
      </c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11" t="s">
        <v>15</v>
      </c>
      <c r="DA1" s="111"/>
      <c r="DB1" s="111"/>
      <c r="DC1" s="111"/>
      <c r="DD1" s="105" t="s">
        <v>116</v>
      </c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10" t="s">
        <v>125</v>
      </c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05"/>
      <c r="FU1" s="105"/>
      <c r="FV1" s="105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05"/>
      <c r="NQ1" s="105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05"/>
      <c r="QG1" s="105"/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  <c r="RJ1" s="105"/>
      <c r="RK1" s="105"/>
      <c r="RL1" s="105"/>
      <c r="RM1" s="105"/>
      <c r="RN1" s="110"/>
      <c r="RO1" s="110"/>
      <c r="RP1" s="110"/>
      <c r="RQ1" s="110"/>
      <c r="RR1" s="110"/>
      <c r="RS1" s="110"/>
      <c r="RT1" s="110"/>
      <c r="RU1" s="110"/>
      <c r="RV1" s="110"/>
      <c r="RW1" s="110"/>
      <c r="RX1" s="110"/>
      <c r="RY1" s="110"/>
      <c r="RZ1" s="110"/>
      <c r="SA1" s="110"/>
      <c r="SB1" s="110"/>
      <c r="SC1" s="110"/>
      <c r="SD1" s="110"/>
      <c r="SE1" s="110"/>
      <c r="SF1" s="110"/>
      <c r="SG1" s="110"/>
      <c r="SH1" s="110"/>
      <c r="SI1" s="110"/>
      <c r="SJ1" s="110"/>
      <c r="SK1" s="110"/>
      <c r="SL1" s="110"/>
      <c r="SM1" s="110"/>
      <c r="SN1" s="110"/>
      <c r="SO1" s="110"/>
      <c r="SP1" s="110"/>
      <c r="SQ1" s="110"/>
      <c r="SR1" s="110"/>
      <c r="SS1" s="110"/>
      <c r="ST1" s="110"/>
      <c r="SU1" s="110"/>
      <c r="SV1" s="105" t="s">
        <v>72</v>
      </c>
      <c r="SW1" s="105"/>
      <c r="SX1" s="105"/>
      <c r="SY1" s="105"/>
      <c r="SZ1" s="105"/>
      <c r="TA1" s="105"/>
      <c r="TB1" s="105"/>
      <c r="TC1" s="105"/>
      <c r="TD1" s="105"/>
      <c r="TE1" s="105"/>
      <c r="TF1" s="105"/>
      <c r="TG1" s="105"/>
      <c r="TH1" s="105"/>
      <c r="TI1" s="105"/>
      <c r="TJ1" s="105"/>
      <c r="TK1" s="105"/>
      <c r="TL1" s="105"/>
      <c r="TM1" s="105"/>
      <c r="TN1" s="105"/>
      <c r="TO1" s="105"/>
      <c r="TP1" s="105"/>
      <c r="TQ1" s="105"/>
      <c r="TR1" s="105"/>
      <c r="TS1" s="105"/>
      <c r="TT1" s="105"/>
      <c r="TU1" s="105"/>
      <c r="TV1" s="105"/>
    </row>
    <row r="2" spans="1:542" x14ac:dyDescent="0.2">
      <c r="A2" s="102"/>
      <c r="B2" s="102"/>
      <c r="C2" s="102"/>
      <c r="D2" s="102"/>
      <c r="E2" s="102"/>
      <c r="F2" s="103"/>
      <c r="G2" s="102"/>
      <c r="H2" s="102"/>
      <c r="I2" s="102"/>
      <c r="J2" s="108"/>
      <c r="K2" s="104"/>
      <c r="L2" s="108"/>
      <c r="M2" s="104"/>
      <c r="N2" s="104"/>
      <c r="O2" s="104"/>
      <c r="P2" s="104"/>
      <c r="Q2" s="104"/>
      <c r="R2" s="108"/>
      <c r="S2" s="104"/>
      <c r="T2" s="107"/>
      <c r="U2" s="104"/>
      <c r="V2" s="104"/>
      <c r="W2" s="106" t="s">
        <v>20</v>
      </c>
      <c r="X2" s="106"/>
      <c r="Y2" s="106"/>
      <c r="Z2" s="106"/>
      <c r="AA2" s="106"/>
      <c r="AB2" s="106" t="s">
        <v>21</v>
      </c>
      <c r="AC2" s="106"/>
      <c r="AD2" s="106"/>
      <c r="AE2" s="106"/>
      <c r="AF2" s="106"/>
      <c r="AG2" s="106" t="s">
        <v>24</v>
      </c>
      <c r="AH2" s="106"/>
      <c r="AI2" s="106"/>
      <c r="AJ2" s="106"/>
      <c r="AK2" s="106"/>
      <c r="AL2" s="73"/>
      <c r="AM2" s="73" t="s">
        <v>135</v>
      </c>
      <c r="AN2" s="73" t="s">
        <v>136</v>
      </c>
      <c r="AO2" s="73" t="s">
        <v>22</v>
      </c>
      <c r="AP2" s="73" t="s">
        <v>87</v>
      </c>
      <c r="AQ2" s="73" t="s">
        <v>137</v>
      </c>
      <c r="AR2" s="73" t="s">
        <v>23</v>
      </c>
      <c r="AS2" s="73" t="s">
        <v>25</v>
      </c>
      <c r="AT2" s="73" t="s">
        <v>138</v>
      </c>
      <c r="AU2" s="73" t="s">
        <v>139</v>
      </c>
      <c r="AV2" s="73" t="s">
        <v>24</v>
      </c>
      <c r="AW2" s="73" t="s">
        <v>19</v>
      </c>
      <c r="AX2" s="109" t="s">
        <v>20</v>
      </c>
      <c r="AY2" s="109"/>
      <c r="AZ2" s="109"/>
      <c r="BA2" s="109"/>
      <c r="BB2" s="109"/>
      <c r="BC2" s="109" t="s">
        <v>21</v>
      </c>
      <c r="BD2" s="109"/>
      <c r="BE2" s="109"/>
      <c r="BF2" s="109"/>
      <c r="BG2" s="109"/>
      <c r="BH2" s="109" t="s">
        <v>24</v>
      </c>
      <c r="BI2" s="109"/>
      <c r="BJ2" s="109"/>
      <c r="BK2" s="109"/>
      <c r="BL2" s="109"/>
      <c r="BM2" s="72"/>
      <c r="BN2" s="72" t="s">
        <v>135</v>
      </c>
      <c r="BO2" s="72" t="s">
        <v>136</v>
      </c>
      <c r="BP2" s="72" t="s">
        <v>22</v>
      </c>
      <c r="BQ2" s="72" t="s">
        <v>87</v>
      </c>
      <c r="BR2" s="72" t="s">
        <v>137</v>
      </c>
      <c r="BS2" s="72" t="s">
        <v>23</v>
      </c>
      <c r="BT2" s="72" t="s">
        <v>25</v>
      </c>
      <c r="BU2" s="72" t="s">
        <v>138</v>
      </c>
      <c r="BV2" s="72" t="s">
        <v>139</v>
      </c>
      <c r="BW2" s="72" t="s">
        <v>24</v>
      </c>
      <c r="BX2" s="72" t="s">
        <v>19</v>
      </c>
      <c r="BY2" s="106" t="s">
        <v>20</v>
      </c>
      <c r="BZ2" s="106"/>
      <c r="CA2" s="106"/>
      <c r="CB2" s="106"/>
      <c r="CC2" s="106"/>
      <c r="CD2" s="106" t="s">
        <v>21</v>
      </c>
      <c r="CE2" s="106"/>
      <c r="CF2" s="106"/>
      <c r="CG2" s="106"/>
      <c r="CH2" s="106"/>
      <c r="CI2" s="106" t="s">
        <v>24</v>
      </c>
      <c r="CJ2" s="106"/>
      <c r="CK2" s="106"/>
      <c r="CL2" s="106"/>
      <c r="CM2" s="106"/>
      <c r="CN2" s="73"/>
      <c r="CO2" s="73" t="s">
        <v>135</v>
      </c>
      <c r="CP2" s="73" t="s">
        <v>136</v>
      </c>
      <c r="CQ2" s="73" t="s">
        <v>22</v>
      </c>
      <c r="CR2" s="73" t="s">
        <v>87</v>
      </c>
      <c r="CS2" s="73" t="s">
        <v>137</v>
      </c>
      <c r="CT2" s="73" t="s">
        <v>23</v>
      </c>
      <c r="CU2" s="73" t="s">
        <v>25</v>
      </c>
      <c r="CV2" s="73" t="s">
        <v>138</v>
      </c>
      <c r="CW2" s="73" t="s">
        <v>139</v>
      </c>
      <c r="CX2" s="73" t="s">
        <v>24</v>
      </c>
      <c r="CY2" s="73" t="s">
        <v>19</v>
      </c>
      <c r="CZ2" s="86" t="s">
        <v>25</v>
      </c>
      <c r="DA2" s="86" t="s">
        <v>24</v>
      </c>
      <c r="DB2" s="86" t="s">
        <v>11</v>
      </c>
      <c r="DC2" s="86" t="s">
        <v>18</v>
      </c>
      <c r="DD2" s="106" t="s">
        <v>20</v>
      </c>
      <c r="DE2" s="106"/>
      <c r="DF2" s="106"/>
      <c r="DG2" s="106"/>
      <c r="DH2" s="106"/>
      <c r="DI2" s="106" t="s">
        <v>21</v>
      </c>
      <c r="DJ2" s="106"/>
      <c r="DK2" s="106"/>
      <c r="DL2" s="106"/>
      <c r="DM2" s="106"/>
      <c r="DN2" s="106" t="s">
        <v>140</v>
      </c>
      <c r="DO2" s="106"/>
      <c r="DP2" s="106"/>
      <c r="DQ2" s="106"/>
      <c r="DR2" s="106"/>
      <c r="DS2" s="106" t="s">
        <v>24</v>
      </c>
      <c r="DT2" s="106"/>
      <c r="DU2" s="106"/>
      <c r="DV2" s="106"/>
      <c r="DW2" s="106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09" t="s">
        <v>20</v>
      </c>
      <c r="EM2" s="109"/>
      <c r="EN2" s="109"/>
      <c r="EO2" s="109"/>
      <c r="EP2" s="109"/>
      <c r="EQ2" s="109" t="s">
        <v>21</v>
      </c>
      <c r="ER2" s="109"/>
      <c r="ES2" s="109"/>
      <c r="ET2" s="109"/>
      <c r="EU2" s="109"/>
      <c r="EV2" s="109" t="s">
        <v>140</v>
      </c>
      <c r="EW2" s="109"/>
      <c r="EX2" s="109"/>
      <c r="EY2" s="109"/>
      <c r="EZ2" s="109"/>
      <c r="FA2" s="109" t="s">
        <v>24</v>
      </c>
      <c r="FB2" s="109"/>
      <c r="FC2" s="109"/>
      <c r="FD2" s="109"/>
      <c r="FE2" s="109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06" t="s">
        <v>20</v>
      </c>
      <c r="FU2" s="106"/>
      <c r="FV2" s="106"/>
      <c r="FW2" s="106"/>
      <c r="FX2" s="106"/>
      <c r="FY2" s="106" t="s">
        <v>21</v>
      </c>
      <c r="FZ2" s="106"/>
      <c r="GA2" s="106"/>
      <c r="GB2" s="106"/>
      <c r="GC2" s="106"/>
      <c r="GD2" s="106" t="s">
        <v>140</v>
      </c>
      <c r="GE2" s="106"/>
      <c r="GF2" s="106"/>
      <c r="GG2" s="106"/>
      <c r="GH2" s="106"/>
      <c r="GI2" s="106" t="s">
        <v>24</v>
      </c>
      <c r="GJ2" s="106"/>
      <c r="GK2" s="106"/>
      <c r="GL2" s="106"/>
      <c r="GM2" s="106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09" t="s">
        <v>20</v>
      </c>
      <c r="HC2" s="109"/>
      <c r="HD2" s="109"/>
      <c r="HE2" s="109"/>
      <c r="HF2" s="109"/>
      <c r="HG2" s="109" t="s">
        <v>21</v>
      </c>
      <c r="HH2" s="109"/>
      <c r="HI2" s="109"/>
      <c r="HJ2" s="109"/>
      <c r="HK2" s="109"/>
      <c r="HL2" s="109" t="s">
        <v>140</v>
      </c>
      <c r="HM2" s="109"/>
      <c r="HN2" s="109"/>
      <c r="HO2" s="109"/>
      <c r="HP2" s="109"/>
      <c r="HQ2" s="109" t="s">
        <v>24</v>
      </c>
      <c r="HR2" s="109"/>
      <c r="HS2" s="109"/>
      <c r="HT2" s="109"/>
      <c r="HU2" s="109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72" t="s">
        <v>19</v>
      </c>
      <c r="IJ2" s="106" t="s">
        <v>20</v>
      </c>
      <c r="IK2" s="106"/>
      <c r="IL2" s="106"/>
      <c r="IM2" s="106"/>
      <c r="IN2" s="106"/>
      <c r="IO2" s="106" t="s">
        <v>21</v>
      </c>
      <c r="IP2" s="106"/>
      <c r="IQ2" s="106"/>
      <c r="IR2" s="106"/>
      <c r="IS2" s="106"/>
      <c r="IT2" s="106" t="s">
        <v>140</v>
      </c>
      <c r="IU2" s="106"/>
      <c r="IV2" s="106"/>
      <c r="IW2" s="106"/>
      <c r="IX2" s="106"/>
      <c r="IY2" s="106" t="s">
        <v>24</v>
      </c>
      <c r="IZ2" s="106"/>
      <c r="JA2" s="106"/>
      <c r="JB2" s="106"/>
      <c r="JC2" s="106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73" t="s">
        <v>19</v>
      </c>
      <c r="JR2" s="109" t="s">
        <v>20</v>
      </c>
      <c r="JS2" s="109"/>
      <c r="JT2" s="109"/>
      <c r="JU2" s="109"/>
      <c r="JV2" s="109"/>
      <c r="JW2" s="109" t="s">
        <v>21</v>
      </c>
      <c r="JX2" s="109"/>
      <c r="JY2" s="109"/>
      <c r="JZ2" s="109"/>
      <c r="KA2" s="109"/>
      <c r="KB2" s="109" t="s">
        <v>140</v>
      </c>
      <c r="KC2" s="109"/>
      <c r="KD2" s="109"/>
      <c r="KE2" s="109"/>
      <c r="KF2" s="109"/>
      <c r="KG2" s="109" t="s">
        <v>24</v>
      </c>
      <c r="KH2" s="109"/>
      <c r="KI2" s="109"/>
      <c r="KJ2" s="109"/>
      <c r="KK2" s="109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06" t="s">
        <v>20</v>
      </c>
      <c r="LA2" s="106"/>
      <c r="LB2" s="106"/>
      <c r="LC2" s="106"/>
      <c r="LD2" s="106"/>
      <c r="LE2" s="106" t="s">
        <v>21</v>
      </c>
      <c r="LF2" s="106"/>
      <c r="LG2" s="106"/>
      <c r="LH2" s="106"/>
      <c r="LI2" s="106"/>
      <c r="LJ2" s="106" t="s">
        <v>140</v>
      </c>
      <c r="LK2" s="106"/>
      <c r="LL2" s="106"/>
      <c r="LM2" s="106"/>
      <c r="LN2" s="106"/>
      <c r="LO2" s="106" t="s">
        <v>24</v>
      </c>
      <c r="LP2" s="106"/>
      <c r="LQ2" s="106"/>
      <c r="LR2" s="106"/>
      <c r="LS2" s="106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09" t="s">
        <v>20</v>
      </c>
      <c r="MI2" s="109"/>
      <c r="MJ2" s="109"/>
      <c r="MK2" s="109"/>
      <c r="ML2" s="109"/>
      <c r="MM2" s="109" t="s">
        <v>21</v>
      </c>
      <c r="MN2" s="109"/>
      <c r="MO2" s="109"/>
      <c r="MP2" s="109"/>
      <c r="MQ2" s="109"/>
      <c r="MR2" s="109" t="s">
        <v>140</v>
      </c>
      <c r="MS2" s="109"/>
      <c r="MT2" s="109"/>
      <c r="MU2" s="109"/>
      <c r="MV2" s="109"/>
      <c r="MW2" s="109" t="s">
        <v>24</v>
      </c>
      <c r="MX2" s="109"/>
      <c r="MY2" s="109"/>
      <c r="MZ2" s="109"/>
      <c r="NA2" s="109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06" t="s">
        <v>20</v>
      </c>
      <c r="NQ2" s="106"/>
      <c r="NR2" s="106"/>
      <c r="NS2" s="106"/>
      <c r="NT2" s="106"/>
      <c r="NU2" s="106" t="s">
        <v>21</v>
      </c>
      <c r="NV2" s="106"/>
      <c r="NW2" s="106"/>
      <c r="NX2" s="106"/>
      <c r="NY2" s="106"/>
      <c r="NZ2" s="106" t="s">
        <v>140</v>
      </c>
      <c r="OA2" s="106"/>
      <c r="OB2" s="106"/>
      <c r="OC2" s="106"/>
      <c r="OD2" s="106"/>
      <c r="OE2" s="106" t="s">
        <v>24</v>
      </c>
      <c r="OF2" s="106"/>
      <c r="OG2" s="106"/>
      <c r="OH2" s="106"/>
      <c r="OI2" s="106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09" t="s">
        <v>20</v>
      </c>
      <c r="OY2" s="109"/>
      <c r="OZ2" s="109"/>
      <c r="PA2" s="109"/>
      <c r="PB2" s="109"/>
      <c r="PC2" s="109" t="s">
        <v>21</v>
      </c>
      <c r="PD2" s="109"/>
      <c r="PE2" s="109"/>
      <c r="PF2" s="109"/>
      <c r="PG2" s="109"/>
      <c r="PH2" s="109" t="s">
        <v>140</v>
      </c>
      <c r="PI2" s="109"/>
      <c r="PJ2" s="109"/>
      <c r="PK2" s="109"/>
      <c r="PL2" s="109"/>
      <c r="PM2" s="109" t="s">
        <v>24</v>
      </c>
      <c r="PN2" s="109"/>
      <c r="PO2" s="109"/>
      <c r="PP2" s="109"/>
      <c r="PQ2" s="109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06" t="s">
        <v>20</v>
      </c>
      <c r="QG2" s="106"/>
      <c r="QH2" s="106"/>
      <c r="QI2" s="106"/>
      <c r="QJ2" s="106"/>
      <c r="QK2" s="106" t="s">
        <v>21</v>
      </c>
      <c r="QL2" s="106"/>
      <c r="QM2" s="106"/>
      <c r="QN2" s="106"/>
      <c r="QO2" s="106"/>
      <c r="QP2" s="106" t="s">
        <v>140</v>
      </c>
      <c r="QQ2" s="106"/>
      <c r="QR2" s="106"/>
      <c r="QS2" s="106"/>
      <c r="QT2" s="106"/>
      <c r="QU2" s="106" t="s">
        <v>24</v>
      </c>
      <c r="QV2" s="106"/>
      <c r="QW2" s="106"/>
      <c r="QX2" s="106"/>
      <c r="QY2" s="106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09" t="s">
        <v>20</v>
      </c>
      <c r="RO2" s="109"/>
      <c r="RP2" s="109"/>
      <c r="RQ2" s="109"/>
      <c r="RR2" s="109"/>
      <c r="RS2" s="109" t="s">
        <v>21</v>
      </c>
      <c r="RT2" s="109"/>
      <c r="RU2" s="109"/>
      <c r="RV2" s="109"/>
      <c r="RW2" s="109"/>
      <c r="RX2" s="109" t="s">
        <v>140</v>
      </c>
      <c r="RY2" s="109"/>
      <c r="RZ2" s="109"/>
      <c r="SA2" s="109"/>
      <c r="SB2" s="109"/>
      <c r="SC2" s="109" t="s">
        <v>24</v>
      </c>
      <c r="SD2" s="109"/>
      <c r="SE2" s="109"/>
      <c r="SF2" s="109"/>
      <c r="SG2" s="109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06" t="s">
        <v>20</v>
      </c>
      <c r="SW2" s="106"/>
      <c r="SX2" s="106"/>
      <c r="SY2" s="106"/>
      <c r="SZ2" s="106"/>
      <c r="TA2" s="106" t="s">
        <v>21</v>
      </c>
      <c r="TB2" s="106"/>
      <c r="TC2" s="106"/>
      <c r="TD2" s="106"/>
      <c r="TE2" s="106"/>
      <c r="TF2" s="106" t="s">
        <v>24</v>
      </c>
      <c r="TG2" s="106"/>
      <c r="TH2" s="106"/>
      <c r="TI2" s="106"/>
      <c r="TJ2" s="106"/>
      <c r="TK2" s="73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02"/>
      <c r="B3" s="102"/>
      <c r="C3" s="102"/>
      <c r="D3" s="102"/>
      <c r="E3" s="102"/>
      <c r="F3" s="103"/>
      <c r="G3" s="102"/>
      <c r="H3" s="102"/>
      <c r="I3" s="102"/>
      <c r="J3" s="108"/>
      <c r="K3" s="104"/>
      <c r="L3" s="108"/>
      <c r="M3" s="104"/>
      <c r="N3" s="104"/>
      <c r="O3" s="104"/>
      <c r="P3" s="104"/>
      <c r="Q3" s="104"/>
      <c r="R3" s="108"/>
      <c r="S3" s="104"/>
      <c r="T3" s="107"/>
      <c r="U3" s="104"/>
      <c r="V3" s="104"/>
      <c r="W3" s="73" t="s">
        <v>16</v>
      </c>
      <c r="X3" s="73" t="s">
        <v>17</v>
      </c>
      <c r="Y3" s="73" t="s">
        <v>11</v>
      </c>
      <c r="Z3" s="73" t="s">
        <v>18</v>
      </c>
      <c r="AA3" s="73" t="s">
        <v>34</v>
      </c>
      <c r="AB3" s="73" t="s">
        <v>16</v>
      </c>
      <c r="AC3" s="73" t="s">
        <v>17</v>
      </c>
      <c r="AD3" s="73" t="s">
        <v>11</v>
      </c>
      <c r="AE3" s="73" t="s">
        <v>18</v>
      </c>
      <c r="AF3" s="73" t="s">
        <v>34</v>
      </c>
      <c r="AG3" s="73" t="s">
        <v>16</v>
      </c>
      <c r="AH3" s="73" t="s">
        <v>17</v>
      </c>
      <c r="AI3" s="73" t="s">
        <v>11</v>
      </c>
      <c r="AJ3" s="73" t="s">
        <v>18</v>
      </c>
      <c r="AK3" s="73" t="s">
        <v>34</v>
      </c>
      <c r="AL3" s="73" t="s">
        <v>60</v>
      </c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2" t="s">
        <v>16</v>
      </c>
      <c r="AY3" s="72" t="s">
        <v>17</v>
      </c>
      <c r="AZ3" s="72" t="s">
        <v>11</v>
      </c>
      <c r="BA3" s="72" t="s">
        <v>18</v>
      </c>
      <c r="BB3" s="72" t="s">
        <v>34</v>
      </c>
      <c r="BC3" s="72" t="s">
        <v>16</v>
      </c>
      <c r="BD3" s="72" t="s">
        <v>17</v>
      </c>
      <c r="BE3" s="72" t="s">
        <v>11</v>
      </c>
      <c r="BF3" s="72" t="s">
        <v>18</v>
      </c>
      <c r="BG3" s="72" t="s">
        <v>34</v>
      </c>
      <c r="BH3" s="72" t="s">
        <v>16</v>
      </c>
      <c r="BI3" s="72" t="s">
        <v>17</v>
      </c>
      <c r="BJ3" s="72" t="s">
        <v>11</v>
      </c>
      <c r="BK3" s="72" t="s">
        <v>18</v>
      </c>
      <c r="BL3" s="72" t="s">
        <v>34</v>
      </c>
      <c r="BM3" s="72" t="s">
        <v>60</v>
      </c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3" t="s">
        <v>16</v>
      </c>
      <c r="BZ3" s="73" t="s">
        <v>17</v>
      </c>
      <c r="CA3" s="73" t="s">
        <v>11</v>
      </c>
      <c r="CB3" s="73" t="s">
        <v>18</v>
      </c>
      <c r="CC3" s="73" t="s">
        <v>34</v>
      </c>
      <c r="CD3" s="73" t="s">
        <v>16</v>
      </c>
      <c r="CE3" s="73" t="s">
        <v>17</v>
      </c>
      <c r="CF3" s="73" t="s">
        <v>11</v>
      </c>
      <c r="CG3" s="73" t="s">
        <v>18</v>
      </c>
      <c r="CH3" s="73" t="s">
        <v>34</v>
      </c>
      <c r="CI3" s="73" t="s">
        <v>16</v>
      </c>
      <c r="CJ3" s="73" t="s">
        <v>17</v>
      </c>
      <c r="CK3" s="73" t="s">
        <v>11</v>
      </c>
      <c r="CL3" s="73" t="s">
        <v>18</v>
      </c>
      <c r="CM3" s="73" t="s">
        <v>34</v>
      </c>
      <c r="CN3" s="73" t="s">
        <v>60</v>
      </c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86"/>
      <c r="DA3" s="86"/>
      <c r="DB3" s="86"/>
      <c r="DC3" s="86"/>
      <c r="DD3" s="73" t="s">
        <v>16</v>
      </c>
      <c r="DE3" s="73" t="s">
        <v>17</v>
      </c>
      <c r="DF3" s="73" t="s">
        <v>11</v>
      </c>
      <c r="DG3" s="73" t="s">
        <v>18</v>
      </c>
      <c r="DH3" s="73" t="s">
        <v>34</v>
      </c>
      <c r="DI3" s="73" t="s">
        <v>16</v>
      </c>
      <c r="DJ3" s="73" t="s">
        <v>17</v>
      </c>
      <c r="DK3" s="73" t="s">
        <v>11</v>
      </c>
      <c r="DL3" s="73" t="s">
        <v>18</v>
      </c>
      <c r="DM3" s="73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73" t="s">
        <v>16</v>
      </c>
      <c r="DT3" s="73" t="s">
        <v>17</v>
      </c>
      <c r="DU3" s="73" t="s">
        <v>11</v>
      </c>
      <c r="DV3" s="73" t="s">
        <v>18</v>
      </c>
      <c r="DW3" s="73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2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73" t="s">
        <v>16</v>
      </c>
      <c r="SW3" s="73" t="s">
        <v>17</v>
      </c>
      <c r="SX3" s="73" t="s">
        <v>11</v>
      </c>
      <c r="SY3" s="73" t="s">
        <v>18</v>
      </c>
      <c r="SZ3" s="73" t="s">
        <v>34</v>
      </c>
      <c r="TA3" s="73" t="s">
        <v>16</v>
      </c>
      <c r="TB3" s="73" t="s">
        <v>17</v>
      </c>
      <c r="TC3" s="73" t="s">
        <v>11</v>
      </c>
      <c r="TD3" s="73" t="s">
        <v>18</v>
      </c>
      <c r="TE3" s="73" t="s">
        <v>34</v>
      </c>
      <c r="TF3" s="73" t="s">
        <v>16</v>
      </c>
      <c r="TG3" s="73" t="s">
        <v>17</v>
      </c>
      <c r="TH3" s="73" t="s">
        <v>11</v>
      </c>
      <c r="TI3" s="73" t="s">
        <v>18</v>
      </c>
      <c r="TJ3" s="73" t="s">
        <v>34</v>
      </c>
      <c r="TK3" s="73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t="str" cm="1">
        <f t="array" ref="A4">IF(AND(F4&lt;&gt;"",G4&lt;&gt;""),SUMPRODUCT((F$4:F$6&lt;&gt;"")*(G$4:G$6&lt;&gt;"")*(E$4:E$6&gt;E4))+1,IF(G4&lt;&gt;"",SUMPRODUCT((H$4:H$6="No DD")*(E$4:E$6&gt;E4))+1+SUMPRODUCT((F$4:F$6&lt;&gt;"")*(G$4:G$6&lt;&gt;"")),""))</f>
        <v/>
      </c>
      <c r="B4" s="6" t="s">
        <v>119</v>
      </c>
      <c r="C4" s="7" t="s">
        <v>118</v>
      </c>
      <c r="D4" s="7" t="s">
        <v>117</v>
      </c>
      <c r="E4" s="14">
        <f>SUM(J4,T4)+SUM(J4)*0.0000001</f>
        <v>15.96</v>
      </c>
      <c r="F4" s="3" t="str">
        <f>IF(OR(AND(AM4&gt;=AW$8,AM4&lt;&gt;"",AO4&gt;=AW$12,AO4&lt;&gt;"",AL4=""),AND(AP4&gt;=AW$8,AP4&lt;&gt;"",AR4&gt;=AW$12,AR4&lt;&gt;"",AL4=""),AND(AT4&gt;=AW$8,AT4&lt;&gt;"",AV4&gt;=AW$12,AV4&lt;&gt;"",AL4=""),AND(BN4&gt;=BX$8,BN4&lt;&gt;"",BP4&gt;=BX$12,BP4&lt;&gt;"",BM4=""),AND(BQ4&gt;=BX$8,BQ4&lt;&gt;"",BS4&gt;=BX$12,BS4&lt;&gt;"",BM4=""),AND(BU4&gt;=BX$8,BU4&lt;&gt;"",BW4&gt;=BX$12,BW4&lt;&gt;"",BM4=""),AND(CO4&gt;=CY$8,CO4&lt;&gt;"",CQ4&gt;=CY$12,CQ4&lt;&gt;"",CN4=""),AND(CR4&gt;=CY$8,CR4&lt;&gt;"",CT4&gt;=CY$12,CT4&lt;&gt;"",CN4=""),AND(CV4&gt;=CY$8,CV4&lt;&gt;"",CX4&gt;=CY$12,CX4&lt;&gt;"",CN4=""),AND(DX4&gt;=EK$8,DX4&lt;&gt;"",DZ4&gt;=EK$12,DZ4&lt;&gt;""),AND(EA4&gt;=EK$8,EA4&lt;&gt;"",EC4&gt;=EK$12,EC4&lt;&gt;""),AND(EE4&gt;=EK$8,EE4&lt;&gt;"",EG4&gt;=EK$12,EG4&lt;&gt;""),AND(EH4&gt;=EK$8,EH4&lt;&gt;"",EJ4&gt;=EK$12,EJ4&lt;&gt;""),AND(FF4&gt;=FS$8,FF4&lt;&gt;"",FH4&gt;=FS$12,FH4&lt;&gt;""),AND(FI4&gt;=FS$8,FI4&lt;&gt;"",FK4&gt;=FS$12,FK4&lt;&gt;""),AND(FM4&gt;=FS$8,FM4&lt;&gt;"",FO4&gt;=FS$12,FO4&lt;&gt;""),AND(FP4&gt;=FS$8,FP4&lt;&gt;"",FR4&gt;=FS$12,FR4&lt;&gt;""),AND(GN4&gt;=HA$8,GN4&lt;&gt;"",GP4&gt;=HA$12,GP4&lt;&gt;""),AND(GQ4&gt;=HA$8,GQ4&lt;&gt;"",GS4&gt;=HA$12,GS4&lt;&gt;""),AND(GU4&gt;=HA$8,GU4&lt;&gt;"",GW4&gt;=HA$12,GW4&lt;&gt;""),AND(GX4&gt;=HA$8,GX4&lt;&gt;"",GZ4&gt;=HA$12,GZ4&lt;&gt;""),AND(HV4&gt;=II$8,HV4&lt;&gt;"",HX4&gt;=II$12,HX4&lt;&gt;""),AND(HY4&gt;=II$8,HY4&lt;&gt;"",IA4&gt;=II$12,IA4&lt;&gt;""),AND(IC4&gt;=II$8,IC4&lt;&gt;"",IE4&gt;=II$12,IE4&lt;&gt;""),AND(IF4&gt;=II$8,IF4&lt;&gt;"",IH4&gt;=II$12,IH4&lt;&gt;""),AND(JD4&gt;=JQ$8,JD4&lt;&gt;"",JF4&gt;=JQ$12,JF4&lt;&gt;""),AND(JG4&gt;=JQ$8,JG4&lt;&gt;"",JI4&gt;=JQ$12,JI4&lt;&gt;""),AND(JK4&gt;=JQ$8,JK4&lt;&gt;"",JM4&gt;=JQ$12,JM4&lt;&gt;""),AND(JN4&gt;=JQ$8,JN4&lt;&gt;"",JP4&gt;=JQ$12,JP4&lt;&gt;""),AND(KL4&gt;=KY$8,KL4&lt;&gt;"",KN4&gt;=KY$12,KN4&lt;&gt;""),AND(KO4&gt;=KY$8,KO4&lt;&gt;"",KQ4&gt;=KY$12,KQ4&lt;&gt;""),AND(KS4&gt;=KY$8,KS4&lt;&gt;"",KU4&gt;=KY$12,KU4&lt;&gt;""),AND(KV4&gt;=KY$8,KV4&lt;&gt;"",KX4&gt;=KY$12,KX4&lt;&gt;""),AND(LT4&gt;=MG$8,LT4&lt;&gt;"",LV4&gt;=MG$12,LV4&lt;&gt;""),AND(LW4&gt;=MG$8,LW4&lt;&gt;"",LY4&gt;=MG$12,LY4&lt;&gt;""),AND(MA4&gt;=MG$8,MA4&lt;&gt;"",MC4&gt;=MG$12,MC4&lt;&gt;""),AND(MD4&gt;=MG$8,MD4&lt;&gt;"",MF4&gt;=MG$12,MF4&lt;&gt;""),AND(NB4&gt;=NO$8,NB4&lt;&gt;"",ND4&gt;=NO$12,ND4&lt;&gt;""),AND(NE4&gt;=NO$8,NE4&lt;&gt;"",NG4&gt;=NO$12,NG4&lt;&gt;""),AND(NI4&gt;=NO$8,NI4&lt;&gt;"",NK4&gt;=NO$12,NK4&lt;&gt;""),AND(NL4&gt;=NO$8,NL4&lt;&gt;"",NN4&gt;=NO$12,NN4&lt;&gt;""),AND(OJ4&gt;=OW$8,OJ4&lt;&gt;"",OL4&gt;=OW$12,OL4&lt;&gt;""),AND(OM4&gt;=OW$8,OM4&lt;&gt;"",OO4&gt;=OW$12,OO4&lt;&gt;""),AND(OQ4&gt;=OW$8,OQ4&lt;&gt;"",OS4&gt;=OW$12,OS4&lt;&gt;""),AND(OT4&gt;=OW$8,OT4&lt;&gt;"",OV4&gt;=OW$12,OV4&lt;&gt;""),AND(PR4&gt;=QE$8,PR4&lt;&gt;"",PT4&gt;=QE$12,PT4&lt;&gt;""),AND(PU4&gt;=QE$8,PU4&lt;&gt;"",PW4&gt;=QE$12,PW4&lt;&gt;""),AND(PY4&gt;=QE$8,PY4&lt;&gt;"",QA4&gt;=QE$12,QA4&lt;&gt;""),AND(QB4&gt;=QE$8,QB4&lt;&gt;"",QD4&gt;=QE$12,QD4&lt;&gt;""),AND(QZ4&gt;=RM$8,QZ4&lt;&gt;"",RB4&gt;=RM$12,RB4&lt;&gt;""),AND(RC4&gt;=RM$8,RC4&lt;&gt;"",RE4&gt;=RM$12,RE4&lt;&gt;""),AND(RG4&gt;=RM$8,RG4&lt;&gt;"",RI4&gt;=RM$12,RI4&lt;&gt;""),AND(RJ4&gt;=RM$8,RJ4&lt;&gt;"",RL4&gt;=RM$12,RL4&lt;&gt;""),AND(SH4&gt;=SU$8,SH4&lt;&gt;"",SJ4&gt;=SU$12,SJ4&lt;&gt;""),AND(SK4&gt;=SU$8,SK4&lt;&gt;"",SM4&gt;=SU$12,SM4&lt;&gt;""),AND(SO4&gt;=SU$8,SO4&lt;&gt;"",SQ4&gt;=SU$12,SQ4&lt;&gt;""),AND(SR4&gt;=SU$8,SR4&lt;&gt;"",ST4&gt;=SU$12,ST4&lt;&gt;"")),"P","")</f>
        <v/>
      </c>
      <c r="G4" s="3" t="str">
        <f>IF(OR(AND(AO4&gt;=AW$12,AO4&lt;&gt;"",AL4=""),AND(AR4&gt;=AW$12,AR4&lt;&gt;"",AL4=""),AND(AV4&gt;=AW$12,AV4&lt;&gt;"",AL4=""),AND(BP4&gt;=BX$12,BP4&lt;&gt;"",BM4=""),AND(BS4&gt;=BX$12,BS4&lt;&gt;"",BM4=""),AND(BW4&gt;=BX$12,BW4&lt;&gt;"",BM4=""),AND(CQ4&gt;=CY$12,CQ4&lt;&gt;"",CN4=""),AND(CT4&gt;=CY$12,CT4&lt;&gt;"",CN4=""),AND(CX4&gt;=CY$12,CX4&lt;&gt;"",CN4=""),AND(DZ4&gt;=EK$12,DZ4&lt;&gt;""),AND(EC4&gt;=EK$12,EC4&lt;&gt;""),AND(EG4&gt;=EK$12,EG4&lt;&gt;""),AND(EJ4&gt;=EK$12,EJ4&lt;&gt;""),AND(FH4&gt;=FS$12,FH4&lt;&gt;""),AND(FK4&gt;=FS$12,FK4&lt;&gt;""),AND(FO4&gt;=FS$12,FO4&lt;&gt;""),AND(FR4&gt;=FS$12,FR4&lt;&gt;""),AND(GP4&gt;=HA$12,GP4&lt;&gt;""),AND(GS4&gt;=HA$12,GS4&lt;&gt;""),AND(GW4&gt;=HA$12,GW4&lt;&gt;""),AND(GZ4&gt;=HA$12,GZ4&lt;&gt;""),AND(HX4&gt;=II$12,HX4&lt;&gt;""),AND(IA4&gt;=II$12,IA4&lt;&gt;""),AND(IE4&gt;=II$12,IE4&lt;&gt;""),AND(IH4&gt;=II$12,IH4&lt;&gt;""),AND(JF4&gt;=JQ$12,JF4&lt;&gt;""),AND(JI4&gt;=JQ$12,JI4&lt;&gt;""),AND(JM4&gt;=JQ$12,JM4&lt;&gt;""),AND(JP4&gt;=JQ$12,JP4&lt;&gt;""),AND(KN4&gt;=KY$12,KN4&lt;&gt;""),AND(KQ4&gt;=KY$12,KQ4&lt;&gt;""),AND(KU4&gt;=KY$12,KU4&lt;&gt;""),AND(KX4&gt;=KY$12,KX4&lt;&gt;""),AND(LV4&gt;=MG$12,LV4&lt;&gt;""),AND(LY4&gt;=MG$12,LY4&lt;&gt;""),AND(MC4&gt;=MG$12,MC4&lt;&gt;""),AND(MF4&gt;=MG$12,MF4&lt;&gt;""),AND(ND4&gt;=NO$12,ND4&lt;&gt;""),AND(NG4&gt;=NO$12,NG4&lt;&gt;""),AND(NK4&gt;=NO$12,NK4&lt;&gt;""),AND(NN4&gt;=NO$12,NN4&lt;&gt;""),AND(OL4&gt;=OW$12,OL4&lt;&gt;""),AND(OO4&gt;=OW$12,OO4&lt;&gt;""),AND(OS4&gt;=OW$12,OS4&lt;&gt;""),AND(OV4&gt;=OW$12,OV4&lt;&gt;""),AND(PT4&gt;=QE$12,PT4&lt;&gt;""),AND(PW4&gt;=QE$12,PW4&lt;&gt;""),AND(QA4&gt;=QE$12,QA4&lt;&gt;""),AND(QD4&gt;=QE$12,QD4&lt;&gt;""),AND(RB4&gt;=RM$12,RB4&lt;&gt;""),AND(RE4&gt;=RM$12,RE4&lt;&gt;""),AND(RI4&gt;=RM$12,RI4&lt;&gt;""),AND(RL4&gt;=RM$12,RL4&lt;&gt;""),AND(SJ4&gt;=SU$12,SJ4&lt;&gt;""),AND(SM4&gt;=SU$12,SM4&lt;&gt;""),AND(SQ4&gt;=SU$12,SQ4&lt;&gt;""),AND(ST4&gt;=SU$12,ST4&lt;&gt;"")),"P","")</f>
        <v/>
      </c>
      <c r="H4" s="70" t="str">
        <f>IF(AND(G4="P",F4=""),"No DD",IF(OR(AND(AM4&gt;=AW$11,AM4&lt;&gt;"",AO4&gt;=AW$15,AO4&lt;&gt;"",AL4=""),AND(AP4&gt;=AW$11,AP4&lt;&gt;"",AR4&gt;=AW$15,AR4&lt;&gt;"",AL4=""),AND(AT4&gt;=AW$11,AT4&lt;&gt;"",AV4&gt;=AW$15,AV4&lt;&gt;"",AL4=""),AND(BN4&gt;=BX$11,BN4&lt;&gt;"",BP4&gt;=BX$15,BP4&lt;&gt;"",BM4=""),AND(BQ4&gt;=BX$11,BQ4&lt;&gt;"",BS4&gt;=BX$15,BS4&lt;&gt;"",BM4=""),AND(BU4&gt;=BX$11,BU4&lt;&gt;"",BW4&gt;=BX$15,BW4&lt;&gt;"",BM4=""),AND(CO4&gt;=CY$11,CO4&lt;&gt;"",CQ4&gt;=CY$15,CQ4&lt;&gt;"",CN4=""),AND(CR4&gt;=CY$11,CR4&lt;&gt;"",CT4&gt;=CY$15,CT4&lt;&gt;"",CN4=""),AND(CV4&gt;=CY$11,CV4&lt;&gt;"",CX4&gt;=CY$15,CX4&lt;&gt;"",CN4=""),AND(DX4&gt;=EK$11,DX4&lt;&gt;"",DZ4&gt;=EK$15,DZ4&lt;&gt;""),AND(EA4&gt;=EK$11,EA4&lt;&gt;"",EC4&gt;=EK$15,EC4&lt;&gt;""),AND(EE4&gt;=EK$11,EE4&lt;&gt;"",EG4&gt;=EK$15,EG4&lt;&gt;""),AND(EH4&gt;=EK$11,EH4&lt;&gt;"",EJ4&gt;=EK$15,EJ4&lt;&gt;""),AND(FF4&gt;=FS$11,FF4&lt;&gt;"",FH4&gt;=FS$15,FH4&lt;&gt;""),AND(FI4&gt;=FS$11,FI4&lt;&gt;"",FK4&gt;=FS$15,FK4&lt;&gt;""),AND(FM4&gt;=FS$11,FM4&lt;&gt;"",FO4&gt;=FS$15,FO4&lt;&gt;""),AND(FP4&gt;=FS$11,FP4&lt;&gt;"",FR4&gt;=FS$15,FR4&lt;&gt;""),AND(GN4&gt;=HA$11,GN4&lt;&gt;"",GP4&gt;=HA$15,GP4&lt;&gt;""),AND(GQ4&gt;=HA$11,GQ4&lt;&gt;"",GS4&gt;=HA$15,GS4&lt;&gt;""),AND(GU4&gt;=HA$11,GU4&lt;&gt;"",GW4&gt;=HA$15,GW4&lt;&gt;""),AND(GX4&gt;=HA$11,GX4&lt;&gt;"",GZ4&gt;=HA$15,GZ4&lt;&gt;""),AND(HV4&gt;=II$11,HV4&lt;&gt;"",HX4&gt;=II$15,HX4&lt;&gt;""),AND(HY4&gt;=II$11,HY4&lt;&gt;"",IA4&gt;=II$15,IA4&lt;&gt;""),AND(IC4&gt;=II$11,IC4&lt;&gt;"",IE4&gt;=II$15,IE4&lt;&gt;""),AND(IF4&gt;=II$11,IF4&lt;&gt;"",IH4&gt;=II$15,IH4&lt;&gt;""),AND(JD4&gt;=JQ$11,JD4&lt;&gt;"",JF4&gt;=JQ$15,JF4&lt;&gt;""),AND(JG4&gt;=JQ$11,JG4&lt;&gt;"",JI4&gt;=JQ$15,JI4&lt;&gt;""),AND(JK4&gt;=JQ$11,JK4&lt;&gt;"",JM4&gt;=JQ$15,JM4&lt;&gt;""),AND(JN4&gt;=JQ$11,JN4&lt;&gt;"",JP4&gt;=JQ$15,JP4&lt;&gt;""),AND(KL4&gt;=KY$11,KL4&lt;&gt;"",KN4&gt;=KY$15,KN4&lt;&gt;""),AND(KO4&gt;=KY$11,KO4&lt;&gt;"",KQ4&gt;=KY$15,KQ4&lt;&gt;""),AND(KS4&gt;=KY$11,KS4&lt;&gt;"",KU4&gt;=KY$15,KU4&lt;&gt;""),AND(KV4&gt;=KY$11,KV4&lt;&gt;"",KX4&gt;=KY$15,KX4&lt;&gt;""),AND(LT4&gt;=MG$11,LT4&lt;&gt;"",LV4&gt;=MG$15,LV4&lt;&gt;""),AND(LW4&gt;=MG$11,LW4&lt;&gt;"",LY4&gt;=MG$15,LY4&lt;&gt;""),AND(MA4&gt;=MG$11,MA4&lt;&gt;"",MC4&gt;=MG$15,MC4&lt;&gt;""),AND(MD4&gt;=MG$11,MD4&lt;&gt;"",MF4&gt;=MG$15,MF4&lt;&gt;""),AND(NB4&gt;=NO$11,NB4&lt;&gt;"",ND4&gt;=NO$15,ND4&lt;&gt;""),AND(NE4&gt;=NO$11,NE4&lt;&gt;"",NG4&gt;=NO$15,NG4&lt;&gt;""),AND(NI4&gt;=NO$11,NI4&lt;&gt;"",NK4&gt;=NO$15,NK4&lt;&gt;""),AND(NL4&gt;=NO$11,NL4&lt;&gt;"",NN4&gt;=NO$15,NN4&lt;&gt;""),AND(OJ4&gt;=OW$11,OJ4&lt;&gt;"",OL4&gt;=OW$15,OL4&lt;&gt;""),AND(OM4&gt;=OW$11,OM4&lt;&gt;"",OO4&gt;=OW$15,OO4&lt;&gt;""),AND(OQ4&gt;=OW$11,OQ4&lt;&gt;"",OS4&gt;=OW$15,OS4&lt;&gt;""),AND(OT4&gt;=OW$11,OT4&lt;&gt;"",OV4&gt;=OW$15,OV4&lt;&gt;""),AND(PR4&gt;=QE$11,PR4&lt;&gt;"",PT4&gt;=QE$15,PT4&lt;&gt;""),AND(PU4&gt;=QE$11,PU4&lt;&gt;"",PW4&gt;=QE$15,PW4&lt;&gt;""),AND(PY4&gt;=QE$11,PY4&lt;&gt;"",QA4&gt;=QE$15,QA4&lt;&gt;""),AND(QB4&gt;=QE$11,QB4&lt;&gt;"",QD4&gt;=QE$15,QD4&lt;&gt;""),AND(QZ4&gt;=RM$11,QZ4&lt;&gt;"",RB4&gt;=RM$15,RB4&lt;&gt;""),AND(RC4&gt;=RM$11,RC4&lt;&gt;"",RE4&gt;=RM$15,RE4&lt;&gt;""),AND(RG4&gt;=RM$11,RG4&lt;&gt;"",RI4&gt;=RM$15,RI4&lt;&gt;""),AND(RJ4&gt;=RM$11,RJ4&lt;&gt;"",RL4&gt;=RM$15,RL4&lt;&gt;""),AND(SH4&gt;=SU$11,SH4&lt;&gt;"",SJ4&gt;=SU$15,SJ4&lt;&gt;""),AND(SK4&gt;=SU$11,SK4&lt;&gt;"",SM4&gt;=SU$15,SM4&lt;&gt;""),AND(SO4&gt;=SU$11,SO4&lt;&gt;"",SQ4&gt;=SU$15,SQ4&lt;&gt;""),AND(SR4&gt;=SU$11,SR4&lt;&gt;"",ST4&gt;=SU$15,ST4&lt;&gt;"")),"Merit",IF(OR(AND(AM4&gt;=AW$10,AM4&lt;&gt;"",AO4&gt;=AW$14,AO4&lt;&gt;"",AL4=""),AND(AP4&gt;=AW$10,AP4&lt;&gt;"",AR4&gt;=AW$14,AR4&lt;&gt;"",AL4=""),AND(AT4&gt;=AW$10,AT4&lt;&gt;"",AV4&gt;=AW$14,AV4&lt;&gt;"",AL4=""),AND(BN4&gt;=BX$10,BN4&lt;&gt;"",BP4&gt;=BX$14,BP4&lt;&gt;"",BM4=""),AND(BQ4&gt;=BX$10,BQ4&lt;&gt;"",BS4&gt;=BX$14,BS4&lt;&gt;"",BM4=""),AND(BU4&gt;=BX$10,BU4&lt;&gt;"",BW4&gt;=BX$14,BW4&lt;&gt;"",BM4=""),AND(CO4&gt;=CY$10,CO4&lt;&gt;"",CQ4&gt;=CY$14,CQ4&lt;&gt;"",CN4=""),AND(CR4&gt;=CY$10,CR4&lt;&gt;"",CT4&gt;=CY$14,CT4&lt;&gt;"",CN4=""),AND(CV4&gt;=CY$10,CV4&lt;&gt;"",CX4&gt;=CY$14,CX4&lt;&gt;"",CN4=""),AND(DX4&gt;=EK$10,DX4&lt;&gt;"",DZ4&gt;=EK$14,DZ4&lt;&gt;""),AND(EA4&gt;=EK$10,EA4&lt;&gt;"",EC4&gt;=EK$14,EC4&lt;&gt;""),AND(EE4&gt;=EK$10,EE4&lt;&gt;"",EG4&gt;=EK$14,EG4&lt;&gt;""),AND(EH4&gt;=EK$10,EH4&lt;&gt;"",EJ4&gt;=EK$14,EJ4&lt;&gt;""),AND(FF4&gt;=FS$10,FF4&lt;&gt;"",FH4&gt;=FS$14,FH4&lt;&gt;""),AND(FI4&gt;=FS$10,FI4&lt;&gt;"",FK4&gt;=FS$14,FK4&lt;&gt;""),AND(FM4&gt;=FS$10,FM4&lt;&gt;"",FO4&gt;=FS$14,FO4&lt;&gt;""),AND(FP4&gt;=FS$10,FP4&lt;&gt;"",FR4&gt;=FS$14,FR4&lt;&gt;""),AND(GN4&gt;=HA$10,GN4&lt;&gt;"",GP4&gt;=HA$14,GP4&lt;&gt;""),AND(GQ4&gt;=HA$10,GQ4&lt;&gt;"",GS4&gt;=HA$14,GS4&lt;&gt;""),AND(GU4&gt;=HA$10,GU4&lt;&gt;"",GW4&gt;=HA$14,GW4&lt;&gt;""),AND(GX4&gt;=HA$10,GX4&lt;&gt;"",GZ4&gt;=HA$14,GZ4&lt;&gt;""),AND(HV4&gt;=II$10,HV4&lt;&gt;"",HX4&gt;=II$14,HX4&lt;&gt;""),AND(HY4&gt;=II$10,HY4&lt;&gt;"",IA4&gt;=II$14,IA4&lt;&gt;""),AND(IC4&gt;=II$10,IC4&lt;&gt;"",IE4&gt;=II$14,IE4&lt;&gt;""),AND(IF4&gt;=II$10,IF4&lt;&gt;"",IH4&gt;=II$14,IH4&lt;&gt;""),AND(JD4&gt;=JQ$10,JD4&lt;&gt;"",JF4&gt;=JQ$14,JF4&lt;&gt;""),AND(JG4&gt;=JQ$10,JG4&lt;&gt;"",JI4&gt;=JQ$14,JI4&lt;&gt;""),AND(JK4&gt;=JQ$10,JK4&lt;&gt;"",JM4&gt;=JQ$14,JM4&lt;&gt;""),AND(JN4&gt;=JQ$10,JN4&lt;&gt;"",JP4&gt;=JQ$14,JP4&lt;&gt;""),AND(KL4&gt;=KY$10,KL4&lt;&gt;"",KN4&gt;=KY$14,KN4&lt;&gt;""),AND(KO4&gt;=KY$10,KO4&lt;&gt;"",KQ4&gt;=KY$14,KQ4&lt;&gt;""),AND(KS4&gt;=KY$10,KS4&lt;&gt;"",KU4&gt;=KY$14,KU4&lt;&gt;""),AND(KV4&gt;=KY$10,KV4&lt;&gt;"",KX4&gt;=KY$14,KX4&lt;&gt;""),AND(LT4&gt;=MG$10,LT4&lt;&gt;"",LV4&gt;=MG$14,LV4&lt;&gt;""),AND(LW4&gt;=MG$10,LW4&lt;&gt;"",LY4&gt;=MG$14,LY4&lt;&gt;""),AND(MA4&gt;=MG$10,MA4&lt;&gt;"",MC4&gt;=MG$14,MC4&lt;&gt;""),AND(MD4&gt;=MG$10,MD4&lt;&gt;"",MF4&gt;=MG$14,MF4&lt;&gt;""),AND(NB4&gt;=NO$10,NB4&lt;&gt;"",ND4&gt;=NO$14,ND4&lt;&gt;""),AND(NE4&gt;=NO$10,NE4&lt;&gt;"",NG4&gt;=NO$14,NG4&lt;&gt;""),AND(NI4&gt;=NO$10,NI4&lt;&gt;"",NK4&gt;=NO$14,NK4&lt;&gt;""),AND(NL4&gt;=NO$10,NL4&lt;&gt;"",NN4&gt;=NO$14,NN4&lt;&gt;""),AND(OJ4&gt;=OW$10,OJ4&lt;&gt;"",OL4&gt;=OW$14,OL4&lt;&gt;""),AND(OM4&gt;=OW$10,OM4&lt;&gt;"",OO4&gt;=OW$14,OO4&lt;&gt;""),AND(OQ4&gt;=OW$10,OQ4&lt;&gt;"",OS4&gt;=OW$14,OS4&lt;&gt;""),AND(OT4&gt;=OW$10,OT4&lt;&gt;"",OV4&gt;=OW$14,OV4&lt;&gt;""),AND(PR4&gt;=QE$10,PR4&lt;&gt;"",PT4&gt;=QE$14,PT4&lt;&gt;""),AND(PU4&gt;=QE$10,PU4&lt;&gt;"",PW4&gt;=QE$14,PW4&lt;&gt;""),AND(PY4&gt;=QE$10,PY4&lt;&gt;"",QA4&gt;=QE$14,QA4&lt;&gt;""),AND(QB4&gt;=QE$10,QB4&lt;&gt;"",QD4&gt;=QE$14,QD4&lt;&gt;""),AND(QZ4&gt;=RM$10,QZ4&lt;&gt;"",RB4&gt;=RM$14,RB4&lt;&gt;""),AND(RC4&gt;=RM$10,RC4&lt;&gt;"",RE4&gt;=RM$14,RE4&lt;&gt;""),AND(RG4&gt;=RM$10,RG4&lt;&gt;"",RI4&gt;=RM$14,RI4&lt;&gt;""),AND(RJ4&gt;=RM$10,RJ4&lt;&gt;"",RL4&gt;=RM$14,RL4&lt;&gt;""),AND(SH4&gt;=SU$10,SH4&lt;&gt;"",SJ4&gt;=SU$14,SJ4&lt;&gt;""),AND(SK4&gt;=SU$10,SK4&lt;&gt;"",SM4&gt;=SU$14,SM4&lt;&gt;""),AND(SO4&gt;=SU$10,SO4&lt;&gt;"",SQ4&gt;=SU$14,SQ4&lt;&gt;""),AND(SR4&gt;=SU$10,SR4&lt;&gt;"",ST4&gt;=SU$14,ST4&lt;&gt;"")),"Excellence",IF(I4="P","Worlds Team",IF(F4="P","National Team","")))))</f>
        <v/>
      </c>
      <c r="I4" s="3" t="str">
        <f>IF(OR(AND(AM4&gt;=AW$9,AM4&lt;&gt;"",AO4&gt;=AW$13,AO4&lt;&gt;"",AL4=""),AND(AP4&gt;=AW$9,AP4&lt;&gt;"",AR4&gt;=AW$13,AR4&lt;&gt;"",AL4=""),AND(AT4&gt;=AW$9,AT4&lt;&gt;"",AV4&gt;=AW$13,AV4&lt;&gt;"",AL4=""),AND(BN4&gt;=BX$9,BN4&lt;&gt;"",BP4&gt;=BX$13,BP4&lt;&gt;"",BM4=""),AND(BQ4&gt;=BX$9,BQ4&lt;&gt;"",BS4&gt;=BX$13,BS4&lt;&gt;"",BM4=""),AND(BU4&gt;=BX$9,BU4&lt;&gt;"",BW4&gt;=BX$13,BW4&lt;&gt;"",BM4=""),AND(CO4&gt;=CY$9,CO4&lt;&gt;"",CQ4&gt;=CY$13,CQ4&lt;&gt;"",CN4=""),AND(CR4&gt;=CY$9,CR4&lt;&gt;"",CT4&gt;=CY$13,CT4&lt;&gt;"",CN4=""),AND(CV4&gt;=CY$9,CV4&lt;&gt;"",CX4&gt;=CY$13,CX4&lt;&gt;"",CN4=""),AND(DX4&gt;=EK$9,DX4&lt;&gt;"",DZ4&gt;=EK$13,DZ4&lt;&gt;""),AND(EA4&gt;=EK$9,EA4&lt;&gt;"",EC4&gt;=EK$13,EC4&lt;&gt;""),AND(EE4&gt;=EK$9,EE4&lt;&gt;"",EG4&gt;=EK$13,EG4&lt;&gt;""),AND(EH4&gt;=EK$9,EH4&lt;&gt;"",EJ4&gt;=EK$13,EJ4&lt;&gt;""),AND(FF4&gt;=FS$9,FF4&lt;&gt;"",FH4&gt;=FS$13,FH4&lt;&gt;""),AND(FI4&gt;=FS$9,FI4&lt;&gt;"",FK4&gt;=FS$13,FK4&lt;&gt;""),AND(FM4&gt;=FS$9,FM4&lt;&gt;"",FO4&gt;=FS$13,FO4&lt;&gt;""),AND(FP4&gt;=FS$9,FP4&lt;&gt;"",FR4&gt;=FS$13,FR4&lt;&gt;""),AND(GN4&gt;=HA$9,GN4&lt;&gt;"",GP4&gt;=HA$13,GP4&lt;&gt;""),AND(GQ4&gt;=HA$9,GQ4&lt;&gt;"",GS4&gt;=HA$13,GS4&lt;&gt;""),AND(GU4&gt;=HA$9,GU4&lt;&gt;"",GW4&gt;=HA$13,GW4&lt;&gt;""),AND(GX4&gt;=HA$9,GX4&lt;&gt;"",GZ4&gt;=HA$13,GZ4&lt;&gt;""),AND(HV4&gt;=II$9,HV4&lt;&gt;"",HX4&gt;=II$13,HX4&lt;&gt;""),AND(HY4&gt;=II$9,HY4&lt;&gt;"",IA4&gt;=II$13,IA4&lt;&gt;""),AND(IC4&gt;=II$9,IC4&lt;&gt;"",IE4&gt;=II$13,IE4&lt;&gt;""),AND(IF4&gt;=II$9,IF4&lt;&gt;"",IH4&gt;=II$13,IH4&lt;&gt;""),AND(JD4&gt;=JQ$9,JD4&lt;&gt;"",JF4&gt;=JQ$13,JF4&lt;&gt;""),AND(JG4&gt;=JQ$9,JG4&lt;&gt;"",JI4&gt;=JQ$13,JI4&lt;&gt;""),AND(JK4&gt;=JQ$9,JK4&lt;&gt;"",JM4&gt;=JQ$13,JM4&lt;&gt;""),AND(JN4&gt;=JQ$9,JN4&lt;&gt;"",JP4&gt;=JQ$13,JP4&lt;&gt;""),AND(KL4&gt;=KY$9,KL4&lt;&gt;"",KN4&gt;=KY$13,KN4&lt;&gt;""),AND(KO4&gt;=KY$9,KO4&lt;&gt;"",KQ4&gt;=KY$13,KQ4&lt;&gt;""),AND(KS4&gt;=KY$9,KS4&lt;&gt;"",KU4&gt;=KY$13,KU4&lt;&gt;""),AND(KV4&gt;=KY$9,KV4&lt;&gt;"",KX4&gt;=KY$13,KX4&lt;&gt;""),AND(LT4&gt;=MG$9,LT4&lt;&gt;"",LV4&gt;=MG$13,LV4&lt;&gt;""),AND(LW4&gt;=MG$9,LW4&lt;&gt;"",LY4&gt;=MG$13,LY4&lt;&gt;""),AND(MA4&gt;=MG$9,MA4&lt;&gt;"",MC4&gt;=MG$13,MC4&lt;&gt;""),AND(MD4&gt;=MG$9,MD4&lt;&gt;"",MF4&gt;=MG$13,MF4&lt;&gt;""),AND(NB4&gt;=NO$9,NB4&lt;&gt;"",ND4&gt;=NO$13,ND4&lt;&gt;""),AND(NE4&gt;=NO$9,NE4&lt;&gt;"",NG4&gt;=NO$13,NG4&lt;&gt;""),AND(NI4&gt;=NO$9,NI4&lt;&gt;"",NK4&gt;=NO$13,NK4&lt;&gt;""),AND(NL4&gt;=NO$9,NL4&lt;&gt;"",NN4&gt;=NO$13,NN4&lt;&gt;""),AND(OJ4&gt;=OW$9,OJ4&lt;&gt;"",OL4&gt;=OW$13,OL4&lt;&gt;""),AND(OM4&gt;=OW$9,OM4&lt;&gt;"",OO4&gt;=OW$13,OO4&lt;&gt;""),AND(OQ4&gt;=OW$9,OQ4&lt;&gt;"",OS4&gt;=OW$13,OS4&lt;&gt;""),AND(OT4&gt;=OW$9,OT4&lt;&gt;"",OV4&gt;=OW$13,OV4&lt;&gt;""),AND(PR4&gt;=QE$9,PR4&lt;&gt;"",PT4&gt;=QE$13,PT4&lt;&gt;""),AND(PU4&gt;=QE$9,PU4&lt;&gt;"",PW4&gt;=QE$13,PW4&lt;&gt;""),AND(PY4&gt;=QE$9,PY4&lt;&gt;"",QA4&gt;=QE$13,QA4&lt;&gt;""),AND(QB4&gt;=QE$9,QB4&lt;&gt;"",QD4&gt;=QE$13,QD4&lt;&gt;""),AND(QZ4&gt;=RM$9,QZ4&lt;&gt;"",RB4&gt;=RM$13,RB4&lt;&gt;""),AND(RC4&gt;=RM$9,RC4&lt;&gt;"",RE4&gt;=RM$13,RE4&lt;&gt;""),AND(RG4&gt;=RM$9,RG4&lt;&gt;"",RI4&gt;=RM$13,RI4&lt;&gt;""),AND(RJ4&gt;=RM$9,RJ4&lt;&gt;"",RL4&gt;=RM$13,RL4&lt;&gt;""),AND(SH4&gt;=SU$9,SH4&lt;&gt;"",SJ4&gt;=SU$13,SJ4&lt;&gt;""),AND(SK4&gt;=SU$9,SK4&lt;&gt;"",SM4&gt;=SU$13,SM4&lt;&gt;""),AND(SO4&gt;=SU$9,SO4&lt;&gt;"",SQ4&gt;=SU$13,SQ4&lt;&gt;""),AND(SR4&gt;=SU$9,SR4&lt;&gt;"",ST4&gt;=SU$13,ST4&lt;&gt;"")),"P","")</f>
        <v/>
      </c>
      <c r="J4" s="13">
        <f>IF(COUNT(AO4,AR4,BP4,BS4,CQ4,CT4)&gt;0,LARGE((AO4,AR4,BP4,BS4,CQ4,CT4),1),0)</f>
        <v>0</v>
      </c>
      <c r="K4" s="13" t="str">
        <f>IF(J4="","",IF(OR(J4=CQ4,J4=CT4),$BY$1,IF(OR(J4=BP4,J4=BS4),$AX$1,IF(OR(J4=AO4,J4=AR4),$W$1,""))))</f>
        <v/>
      </c>
      <c r="L4" s="13">
        <f>IF(COUNT(AO4,AR4,BP4,BS4,CQ4,CT4)&gt;1,LARGE((AO4,AR4,BP4,BS4,CQ4,CT4),2),0)</f>
        <v>0</v>
      </c>
      <c r="M4" s="13" t="str">
        <f>IF(L4="","",IF(OR(L4=CQ4,L4=CT4),$BY$1,IF(OR(L4=BP4,L4=BS4),$AX$1,IF(OR(L4=AO4,L4=AR4),$W$1,""))))</f>
        <v/>
      </c>
      <c r="N4" s="13">
        <f>IF(MAX(AV4,BW4,CX4)&gt;0,MAX(AV4,BW4,CX4),0)</f>
        <v>0</v>
      </c>
      <c r="O4" s="13" t="str">
        <f>IF(N4="","",IF(N4=CX4,$BY$1,IF(N4=BW4,$AX$1,IF(N4=AV4,$W$1,""))))</f>
        <v/>
      </c>
      <c r="P4" s="13" t="str">
        <f>IF(MAX(AM4,AP4,AT4,BN4,BQ4,BU4,CO4,CR4,CV4)&gt;0,MAX(AM4,AP4,BN4,BQ4,CO4,CR4,AT4),"")</f>
        <v/>
      </c>
      <c r="Q4" s="13" t="str">
        <f>IF(P4="","",IF(OR(P4=CO4,P4=CR4,P4=CV4),$BY$1,IF(OR(P4=BN4,P4=BQ4,P4=BU4),$AX$1,IF(OR(P4=AM4,P4=AP4,P4=AT4),$W$1,""))))</f>
        <v/>
      </c>
      <c r="R4" s="13" t="str">
        <f>IF(MAX(IF(AM4&gt;=$AW$8,AN4,0),IF(AP4&gt;=$AW$8,AQ4,0),IF(AT4&gt;=$AW$8,AU4,0),IF(BN4&gt;=$BX$8,BO4,0),IF(BQ4&gt;=$BX$8,BR4,0),IF(BU4&gt;=$BX$8,BV4,0),IF(CO4&gt;=$CY$8,CP4,0),IF(CR4&gt;=$CY$8,CS4,0),IF(CV4&gt;=$CY$8,CW4,0))&gt;0,MAX(IF(AM4&gt;=$AW$8,AN4,0),IF(AP4&gt;=$AW$8,AQ4,0),IF(AT4&gt;=$AW$8,AU4,0),IF(BN4&gt;=$BX$8,BO4,0),IF(BQ4&gt;=$BX$8,BR4,0),IF(BU4&gt;=$BX$8,BV4,0),IF(CO4&gt;=$CY$8,CP4,0),IF(CR4&gt;=$CY$8,CS4,0),IF(CV4&gt;=$CY$8,CW4,0)),"")</f>
        <v/>
      </c>
      <c r="S4" s="13" t="str">
        <f>IF(R4="","",IF(OR(R4=CP4,R4=CS4,R4=CW4),$BY$1,IF(OR(R4=BO4,R4=BR4,R4=BV4),$AX$1,IF(OR(R4=AN4,R4=AQ4,R4=AU4),$W$1,""))))</f>
        <v/>
      </c>
      <c r="T4" s="13">
        <f>IF(MAX(CZ4,DA4,DB4,DC4)&gt;0,MAX(CZ4,DA4,DB4,DC4),"")</f>
        <v>15.96</v>
      </c>
      <c r="U4" s="16" t="str">
        <f>IF(T4="","",IF(T4=CZ4,"("&amp;CZ$2&amp;")",IF(T4=DA4,"("&amp;DA$2&amp;")",IF(T4=DB4,"("&amp;DB$2&amp;")",IF(T4=DC4,"("&amp;DC$2&amp;")")))))</f>
        <v>(TOF)</v>
      </c>
      <c r="V4" s="13" t="str">
        <f>IF(T4="","",IF(T4=CZ4,IF(T4+IF(L4="",0,L4)=SN4,$RN$1,IF(T4+IF(L4="",0,L4)=RF4,$QF$1,IF(T4+IF(L4="",0,L4)=PX4,$OX$1,IF(T4+IF(L4="",0,L4)=OP4,$NP$1,IF(T4+IF(L4="",0,L4)=NH4,$MH$1,IF(T4+IF(L4="",0,L4)=LZ4,$KZ$1,IF(T4+IF(L4="",0,L4)=KR4,$JR$1,IF(T4+IF(L4="",0,L4)=JJ4,$IJ$1,IF(T4+IF(L4="",0,L4)=IB4,$HB$1,IF(T4+IF(L4="",0,L4)=GT4,$FT$1,IF(T4+IF(L4="",0,L4)=FL4,$EL$1,IF(T4+IF(L4="",0,L4)=ED4,$DD$1)))))))))))),IF(T4=DA4,IF(T4+IF(N4="",0,N4)=ST4,$RN$1,IF(T4+IF(N4="",0,N4)=RL4,$QF$1,IF(T4+IF(N4="",0,N4)=QD4,$OX$1,IF(T4+IF(N4="",0,N4)=OV4,$NP$1,IF(T4+IF(N4="",0,N4)=NN4,$MH$1,IF(T4+IF(N4="",0,N4)=MF4,$KZ$1,IF(T4+IF(N4="",0,N4)=KX4,$JR$1,IF(T4+IF(N4="",0,N4)=JP4,$IJ$1,IF(T4+IF(N4="",0,N4)=IH4,$HB$1,IF(T4+IF(N4="",0,N4)=GZ4,$FT$1,IF(T4+IF(N4="",0,N4)=FR4,$EL$1,IF(T4+IF(N4="",0,N4)=EJ4,$DD$1)))))))))))),IF(T4=DB4,IF(T4+IF(P4="",0,P4)=MAX(SH4,SK4,SO4,SR4),$RN$1,IF(T4+IF(P4="",0,P4)=MAX(QZ4,RC4,RG4,RJ4),$QF$1,IF(T4+IF(P4="",0,P4)=MAX(PR4,PU4,PY4,QB4),$OX$1,IF(T4+IF(P4="",0,P4)=MAX(OJ4,OM4,OQ4,OT4),$NP$1,IF(T4+IF(P4="",0,P4)=MAX(NB4,NE4,NI4,NL4),$MH$1,IF(T4+IF(P4="",0,P4)=MAX(LT4,LW4,MA4,MD4),$KZ$1,IF(T4+IF(P4="",0,P4)=MAX(KL4,KO4,KS4,KV4),$JR$1,IF(T4+IF(P4="",0,P4)=MAX(JD4,JG4,JK4,JN4),$IJ$1,IF(T4+IF(P4="",0,P4)=MAX(HV4,HY4,IC4,IF4),$HB$1,IF(T4+IF(P4="",0,P4)=MAX(GN4,GQ4,GU4,GX4),$FT$1,IF(T4+IF(P4="",0,P4)=MAX(FF4,FI4,FM4,FP4),$EL$1,IF(T4+IF(P4="",0,P4)=MAX(DX4,EA4,EE4,EH4),$DD$1)))))))))))),IF(T4=DC4,IF(T4+IF(R4="",0,R4)=MAX(SI4,SL4,SP4,SS4),$RN$1,IF(T4+IF(R4="",0,R4)=MAX(RA4,RD4,RH4,RK4),$QF$1,IF(T4+IF(R4="",0,R4)=MAX(PS4,PV4,PZ4,QC4),$OX$1,IF(T4+IF(R4="",0,R4)=MAX(OK4,ON4,OR4,OU4),$NP$1,IF(T4+IF(R4="",0,R4)=MAX(NC4,NF4,NJ4,NM4),$MH$1,IF(T4+IF(R4="",0,R4)=MAX(LU4,LX4,MB4,ME4),$KZ$1,IF(T4+IF(R4="",0,R4)=MAX(KM4,KP4,KT4,KW4),$JR$1,IF(T4+IF(R4="",0,R4)=MAX(JE4,JH4,JL4,JO4),$IJ$1,IF(T4+IF(R4="",0,R4)=MAX(HW4,HZ4,ID4,IG4),$HB$1,IF(T4+IF(R4="",0,R4)=MAX(GO4,GR4,GV4,GY4),$FT$1,IF(T4+IF(R4="",0,R4)=MAX(FG4,FJ4,FN4,FQ4),$EL$1,IF(T4+IF(R4="",0,R4)=MAX(DY4,EB4,EF4,EI4),$DD$1)))))))))))))))))</f>
        <v>2021 World Championships All-Around Team Finals (Nov 21)</v>
      </c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51"/>
      <c r="AM4" s="74" t="str">
        <f>IF(Y4&gt;0,Y4,"")</f>
        <v/>
      </c>
      <c r="AN4" s="74" t="str">
        <f>IF(Z4&gt;0,Z4,"")</f>
        <v/>
      </c>
      <c r="AO4" s="76" t="str">
        <f>IF(SUM(W4:Z4)-AA4&gt;0,SUM(W4:Z4)-AA4,"")</f>
        <v/>
      </c>
      <c r="AP4" s="76" t="str">
        <f>IF(AD4&gt;0,AD4,"")</f>
        <v/>
      </c>
      <c r="AQ4" s="76" t="str">
        <f>IF(AE4&gt;0,AE4,"")</f>
        <v/>
      </c>
      <c r="AR4" s="76" t="str">
        <f>IF(SUM(AB4:AE4)-AF4&gt;0,SUM(AB4:AE4)-AF4,"")</f>
        <v/>
      </c>
      <c r="AS4" s="76" t="str">
        <f>IF(AO4="","",MAX(AO4,AR4))</f>
        <v/>
      </c>
      <c r="AT4" s="76" t="str">
        <f>IF(AI4&gt;0,AI4,"")</f>
        <v/>
      </c>
      <c r="AU4" s="76" t="str">
        <f>IF(AJ4&gt;0,AJ4,"")</f>
        <v/>
      </c>
      <c r="AV4" s="76" t="str">
        <f>IF(SUM(AG4:AJ4)-AK4&gt;0,SUM(AG4:AJ4)-AK4,"")</f>
        <v/>
      </c>
      <c r="AW4" s="76" t="str">
        <f>IF(SUM(AS4,AV4)&gt;0,SUM(AS4,AV4),"")</f>
        <v/>
      </c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52"/>
      <c r="BN4" s="75" t="str">
        <f>IF(AZ4&gt;0,AZ4,"")</f>
        <v/>
      </c>
      <c r="BO4" s="75" t="str">
        <f>IF(BA4&gt;0,BA4,"")</f>
        <v/>
      </c>
      <c r="BP4" s="16" t="str">
        <f>IF(SUM(AX4:BA4)-BB4&gt;0,SUM(AX4:BA4)-BB4,"")</f>
        <v/>
      </c>
      <c r="BQ4" s="16" t="str">
        <f>IF(BE4&gt;0,BE4,"")</f>
        <v/>
      </c>
      <c r="BR4" s="16" t="str">
        <f>IF(BF4&gt;0,BF4,"")</f>
        <v/>
      </c>
      <c r="BS4" s="16" t="str">
        <f>IF(SUM(BC4:BF4)-BG4&gt;0,SUM(BC4:BF4)-BG4,"")</f>
        <v/>
      </c>
      <c r="BT4" s="16" t="str">
        <f>IF(BP4="","",MAX(BP4,BS4))</f>
        <v/>
      </c>
      <c r="BU4" s="16" t="str">
        <f>IF(BJ4&gt;0,BJ4,"")</f>
        <v/>
      </c>
      <c r="BV4" s="16" t="str">
        <f>IF(BK4&gt;0,BK4,"")</f>
        <v/>
      </c>
      <c r="BW4" s="16" t="str">
        <f>IF(SUM(BH4:BK4)-BL4&gt;0,SUM(BH4:BK4)-BL4,"")</f>
        <v/>
      </c>
      <c r="BX4" s="16" t="str">
        <f>IF(SUM(BT4,BW4)&gt;0,SUM(BT4,BW4),"")</f>
        <v/>
      </c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51"/>
      <c r="CO4" s="74" t="str">
        <f>IF(CA4&gt;0,CA4,"")</f>
        <v/>
      </c>
      <c r="CP4" s="74" t="str">
        <f>IF(CB4&gt;0,CB4,"")</f>
        <v/>
      </c>
      <c r="CQ4" s="76" t="str">
        <f>IF(SUM(BY4:CB4)-CC4&gt;0,SUM(BY4:CB4)-CC4,"")</f>
        <v/>
      </c>
      <c r="CR4" s="76" t="str">
        <f>IF(CF4&gt;0,CF4,"")</f>
        <v/>
      </c>
      <c r="CS4" s="76" t="str">
        <f>IF(CG4&gt;0,CG4,"")</f>
        <v/>
      </c>
      <c r="CT4" s="76" t="str">
        <f>IF(SUM(CD4:CG4)-CH4&gt;0,SUM(CD4:CG4)-CH4,"")</f>
        <v/>
      </c>
      <c r="CU4" s="76" t="str">
        <f>IF(CQ4="","",MAX(CQ4,CT4))</f>
        <v/>
      </c>
      <c r="CV4" s="76" t="str">
        <f>IF(CK4&gt;0,CK4,"")</f>
        <v/>
      </c>
      <c r="CW4" s="76" t="str">
        <f>IF(CL4&gt;0,CL4,"")</f>
        <v/>
      </c>
      <c r="CX4" s="76" t="str">
        <f>IF(SUM(CI4:CL4)-CM4&gt;0,SUM(CI4:CL4)-CM4,"")</f>
        <v/>
      </c>
      <c r="CY4" s="76" t="str">
        <f>IF(SUM(CU4,CX4)&gt;0,SUM(CU4,CX4),"")</f>
        <v/>
      </c>
      <c r="CZ4" s="87" t="str">
        <f>IF(L4&gt;=0.001,IF(MAX(ED4,FL4,GT4,IB4,JJ4,KR4,LZ4,NH4,OP4,PX4,RF4,SN4)-IF(L4="",0,L4)&gt;0.001,MAX(ED4,FL4,GT4,IB4,JJ4,KR4,LZ4,NH4,OP4,PX4,RF4,SN4)-IF(L4="",0,L4),""),"")</f>
        <v/>
      </c>
      <c r="DA4" s="87" t="str">
        <f>IF(N4&gt;=0.001,IF(MAX(EG4,EJ4,FO4,FR4,GW4,GZ4,IE4,IH4,JM4,JP4,KU4,KX4,MC4,MF4,NK4,NN4,OS4,OV4,QA4,QD4,RI4,RL4,SQ4,ST4)-IF(N4="",0,N4)&gt;0.001,MAX(EG4,EJ4,FO4,FR4,GW4,GZ4,IE4,IH4,JM4,JP4,KU4,KX4,MC4,MF4,NK4,NN4,OS4,OV4,QA4,QD4,RI4,RL4,SQ4,ST4)-IF(N4="",0,N4),""),"")</f>
        <v/>
      </c>
      <c r="DB4" s="87">
        <f>IF(P4&gt;=0.001,IF(MAX(DX4,EA4,EE4,EH4,FF4,FI4,FM4,FP4,GN4,GQ4,GU4,GX4,HV4,HY4,IC4,IF4,JD4,JG4,JK4,JN4,KL4,KO4,KS4,KV4,LT4,LW4,MA4,MD4,NB4,NE4,NI4,NL4,OJ4,OM4,OQ4,OT4,PR4,PU4,PY4,QB4,QZ4,RC4,RG4,RJ4,SH4,SK4,SO4,SR4)-IF(P4="",0,P4)&gt;0.001,MAX(DX4,EA4,EE4,EH4,FF4,FI4,FM4,FP4,GN4,GQ4,GU4,GX4,HV4,HY4,IC4,IF4,JD4,JG4,JK4,JN4,KL4,KO4,KS4,KV4,LT4,LW4,MA4,MD4,NB4,NE4,NI4,NL4,OJ4,OM4,OQ4,OT4,PR4,PU4,PY4,QB4,QZ4,RC4,RG4,RJ4,SH4,SK4,SO4,SR4)-IF(P4="",0,P4),""),"")</f>
        <v>14.4</v>
      </c>
      <c r="DC4" s="87">
        <f>IF(R4&gt;=0.001,IF(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&gt;0.001,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,""),"")</f>
        <v>15.96</v>
      </c>
      <c r="DD4" s="25">
        <v>2.2999999999999998</v>
      </c>
      <c r="DE4" s="25">
        <v>2.95</v>
      </c>
      <c r="DF4" s="25">
        <v>5.0999999999999996</v>
      </c>
      <c r="DG4" s="25">
        <v>5.64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>
        <f>IF(DF4&gt;0,DF4,"")</f>
        <v>5.0999999999999996</v>
      </c>
      <c r="DY4" s="76">
        <f>IF(DG4&gt;0,DG4,"")</f>
        <v>5.64</v>
      </c>
      <c r="DZ4" s="76">
        <f>IF(SUM(DD4:DG4)-DH4&gt;0,SUM(DD4:DG4)-DH4,"")</f>
        <v>15.989999999999998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15.989999999999998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15.989999999999998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7.05</v>
      </c>
      <c r="FB4" s="26">
        <v>9.1</v>
      </c>
      <c r="FC4" s="26">
        <v>14.4</v>
      </c>
      <c r="FD4" s="26">
        <v>15.96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14.4</v>
      </c>
      <c r="FQ4" s="16">
        <f>IF(FD4&gt;0,FD4,"")</f>
        <v>15.96</v>
      </c>
      <c r="FR4" s="16">
        <f>IF(SUM(FA4:FD4)-FE4&gt;0,SUM(FA4:FD4)-FE4,"")</f>
        <v>46.51</v>
      </c>
      <c r="FS4" s="16">
        <f>IF(SUM(FL4,FR4)&gt;0,SUM(FL4,FR4),"")</f>
        <v>46.51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IF($CN4="P",BY4,(BY4+AX4)/2)</f>
        <v>0</v>
      </c>
      <c r="SW4" s="42">
        <f>IF($CN4="P",BZ4,(BZ4+AY4)/2)</f>
        <v>0</v>
      </c>
      <c r="SX4" s="42">
        <f>IF($CN4="P",CA4,(CA4+AZ4)/2)</f>
        <v>0</v>
      </c>
      <c r="SY4" s="42">
        <f>IF($CN4="P",CB4,(CB4+BA4)/2)</f>
        <v>0</v>
      </c>
      <c r="SZ4" s="42">
        <f>IF($CN4="P",CC4,(CC4+BB4)/2)</f>
        <v>0</v>
      </c>
      <c r="TA4" s="42">
        <f>IF($CN4="P",CD4,(CD4+BC4)/2)</f>
        <v>0</v>
      </c>
      <c r="TB4" s="42">
        <f>IF($CN4="P",CE4,(CE4+BD4)/2)</f>
        <v>0</v>
      </c>
      <c r="TC4" s="42">
        <f>IF($CN4="P",CF4,(CF4+BE4)/2)</f>
        <v>0</v>
      </c>
      <c r="TD4" s="42">
        <f>IF($CN4="P",CG4,(CG4+BF4)/2)</f>
        <v>0</v>
      </c>
      <c r="TE4" s="42">
        <f>IF($CN4="P",CH4,(CH4+BG4)/2)</f>
        <v>0</v>
      </c>
      <c r="TF4" s="42">
        <f>IF($CN4="P",CI4,(CI4+BH4)/2)</f>
        <v>0</v>
      </c>
      <c r="TG4" s="42">
        <f>IF($CN4="P",CJ4,(CJ4+BI4)/2)</f>
        <v>0</v>
      </c>
      <c r="TH4" s="42">
        <f>IF($CN4="P",CK4,(CK4+BJ4)/2)</f>
        <v>0</v>
      </c>
      <c r="TI4" s="42">
        <f>IF($CN4="P",CL4,(CL4+BK4)/2)</f>
        <v>0</v>
      </c>
      <c r="TJ4" s="42">
        <f>IF($CN4="P",CM4,(CM4+BL4)/2)</f>
        <v>0</v>
      </c>
      <c r="TK4" s="51" t="s">
        <v>61</v>
      </c>
      <c r="TL4" s="76" t="str">
        <f>IF(SX4&gt;0,SX4,"")</f>
        <v/>
      </c>
      <c r="TM4" s="76" t="str">
        <f>IF(SY4&gt;0,SY4,"")</f>
        <v/>
      </c>
      <c r="TN4" s="76" t="str">
        <f>IF(SUM(SV4:SY4)-SZ4&gt;0,SUM(SV4:SY4)-SZ4,"")</f>
        <v/>
      </c>
      <c r="TO4" s="76" t="str">
        <f>IF(TC4&gt;0,TC4,"")</f>
        <v/>
      </c>
      <c r="TP4" s="76" t="str">
        <f>IF(TD4&gt;0,TD4,"")</f>
        <v/>
      </c>
      <c r="TQ4" s="76" t="str">
        <f>IF(SUM(TA4:TD4)-TE4&gt;0,SUM(TA4:TD4)-TE4,"")</f>
        <v/>
      </c>
      <c r="TR4" s="76" t="str">
        <f>IF(MAX(TN4,TQ4)&gt;0,MAX(TN4,TQ4),"")</f>
        <v/>
      </c>
      <c r="TS4" s="76" t="str">
        <f>IF(TH4&gt;0,TH4,"")</f>
        <v/>
      </c>
      <c r="TT4" s="76" t="str">
        <f>IF(TI4&gt;0,TI4,"")</f>
        <v/>
      </c>
      <c r="TU4" s="76" t="str">
        <f>IF(SUM(TF4:TI4)-TJ4&gt;0,SUM(TF4:TI4)-TJ4,"")</f>
        <v/>
      </c>
      <c r="TV4" s="76" t="str">
        <f>IF(SUM(TR4,TU4)&gt;0,SUM(TR4,TU4),"")</f>
        <v/>
      </c>
    </row>
    <row r="5" spans="1:542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122</v>
      </c>
      <c r="C5" s="7" t="s">
        <v>121</v>
      </c>
      <c r="D5" s="18" t="s">
        <v>120</v>
      </c>
      <c r="E5" s="14">
        <f>SUM(J5,T5)+SUM(J5)*0.0000001</f>
        <v>2</v>
      </c>
      <c r="F5" s="3" t="str">
        <f>IF(OR(AND(AM5&gt;=AW$8,AM5&lt;&gt;"",AO5&gt;=AW$12,AO5&lt;&gt;"",AL5=""),AND(AP5&gt;=AW$8,AP5&lt;&gt;"",AR5&gt;=AW$12,AR5&lt;&gt;"",AL5=""),AND(AT5&gt;=AW$8,AT5&lt;&gt;"",AV5&gt;=AW$12,AV5&lt;&gt;"",AL5=""),AND(BN5&gt;=BX$8,BN5&lt;&gt;"",BP5&gt;=BX$12,BP5&lt;&gt;"",BM5=""),AND(BQ5&gt;=BX$8,BQ5&lt;&gt;"",BS5&gt;=BX$12,BS5&lt;&gt;"",BM5=""),AND(BU5&gt;=BX$8,BU5&lt;&gt;"",BW5&gt;=BX$12,BW5&lt;&gt;"",BM5=""),AND(CO5&gt;=CY$8,CO5&lt;&gt;"",CQ5&gt;=CY$12,CQ5&lt;&gt;"",CN5=""),AND(CR5&gt;=CY$8,CR5&lt;&gt;"",CT5&gt;=CY$12,CT5&lt;&gt;"",CN5=""),AND(CV5&gt;=CY$8,CV5&lt;&gt;"",CX5&gt;=CY$12,CX5&lt;&gt;"",CN5=""),AND(DX5&gt;=EK$8,DX5&lt;&gt;"",DZ5&gt;=EK$12,DZ5&lt;&gt;""),AND(EA5&gt;=EK$8,EA5&lt;&gt;"",EC5&gt;=EK$12,EC5&lt;&gt;""),AND(EE5&gt;=EK$8,EE5&lt;&gt;"",EG5&gt;=EK$12,EG5&lt;&gt;""),AND(EH5&gt;=EK$8,EH5&lt;&gt;"",EJ5&gt;=EK$12,EJ5&lt;&gt;""),AND(FF5&gt;=FS$8,FF5&lt;&gt;"",FH5&gt;=FS$12,FH5&lt;&gt;""),AND(FI5&gt;=FS$8,FI5&lt;&gt;"",FK5&gt;=FS$12,FK5&lt;&gt;""),AND(FM5&gt;=FS$8,FM5&lt;&gt;"",FO5&gt;=FS$12,FO5&lt;&gt;""),AND(FP5&gt;=FS$8,FP5&lt;&gt;"",FR5&gt;=FS$12,FR5&lt;&gt;""),AND(GN5&gt;=HA$8,GN5&lt;&gt;"",GP5&gt;=HA$12,GP5&lt;&gt;""),AND(GQ5&gt;=HA$8,GQ5&lt;&gt;"",GS5&gt;=HA$12,GS5&lt;&gt;""),AND(GU5&gt;=HA$8,GU5&lt;&gt;"",GW5&gt;=HA$12,GW5&lt;&gt;""),AND(GX5&gt;=HA$8,GX5&lt;&gt;"",GZ5&gt;=HA$12,GZ5&lt;&gt;""),AND(HV5&gt;=II$8,HV5&lt;&gt;"",HX5&gt;=II$12,HX5&lt;&gt;""),AND(HY5&gt;=II$8,HY5&lt;&gt;"",IA5&gt;=II$12,IA5&lt;&gt;""),AND(IC5&gt;=II$8,IC5&lt;&gt;"",IE5&gt;=II$12,IE5&lt;&gt;""),AND(IF5&gt;=II$8,IF5&lt;&gt;"",IH5&gt;=II$12,IH5&lt;&gt;""),AND(JD5&gt;=JQ$8,JD5&lt;&gt;"",JF5&gt;=JQ$12,JF5&lt;&gt;""),AND(JG5&gt;=JQ$8,JG5&lt;&gt;"",JI5&gt;=JQ$12,JI5&lt;&gt;""),AND(JK5&gt;=JQ$8,JK5&lt;&gt;"",JM5&gt;=JQ$12,JM5&lt;&gt;""),AND(JN5&gt;=JQ$8,JN5&lt;&gt;"",JP5&gt;=JQ$12,JP5&lt;&gt;""),AND(KL5&gt;=KY$8,KL5&lt;&gt;"",KN5&gt;=KY$12,KN5&lt;&gt;""),AND(KO5&gt;=KY$8,KO5&lt;&gt;"",KQ5&gt;=KY$12,KQ5&lt;&gt;""),AND(KS5&gt;=KY$8,KS5&lt;&gt;"",KU5&gt;=KY$12,KU5&lt;&gt;""),AND(KV5&gt;=KY$8,KV5&lt;&gt;"",KX5&gt;=KY$12,KX5&lt;&gt;""),AND(LT5&gt;=MG$8,LT5&lt;&gt;"",LV5&gt;=MG$12,LV5&lt;&gt;""),AND(LW5&gt;=MG$8,LW5&lt;&gt;"",LY5&gt;=MG$12,LY5&lt;&gt;""),AND(MA5&gt;=MG$8,MA5&lt;&gt;"",MC5&gt;=MG$12,MC5&lt;&gt;""),AND(MD5&gt;=MG$8,MD5&lt;&gt;"",MF5&gt;=MG$12,MF5&lt;&gt;""),AND(NB5&gt;=NO$8,NB5&lt;&gt;"",ND5&gt;=NO$12,ND5&lt;&gt;""),AND(NE5&gt;=NO$8,NE5&lt;&gt;"",NG5&gt;=NO$12,NG5&lt;&gt;""),AND(NI5&gt;=NO$8,NI5&lt;&gt;"",NK5&gt;=NO$12,NK5&lt;&gt;""),AND(NL5&gt;=NO$8,NL5&lt;&gt;"",NN5&gt;=NO$12,NN5&lt;&gt;""),AND(OJ5&gt;=OW$8,OJ5&lt;&gt;"",OL5&gt;=OW$12,OL5&lt;&gt;""),AND(OM5&gt;=OW$8,OM5&lt;&gt;"",OO5&gt;=OW$12,OO5&lt;&gt;""),AND(OQ5&gt;=OW$8,OQ5&lt;&gt;"",OS5&gt;=OW$12,OS5&lt;&gt;""),AND(OT5&gt;=OW$8,OT5&lt;&gt;"",OV5&gt;=OW$12,OV5&lt;&gt;""),AND(PR5&gt;=QE$8,PR5&lt;&gt;"",PT5&gt;=QE$12,PT5&lt;&gt;""),AND(PU5&gt;=QE$8,PU5&lt;&gt;"",PW5&gt;=QE$12,PW5&lt;&gt;""),AND(PY5&gt;=QE$8,PY5&lt;&gt;"",QA5&gt;=QE$12,QA5&lt;&gt;""),AND(QB5&gt;=QE$8,QB5&lt;&gt;"",QD5&gt;=QE$12,QD5&lt;&gt;""),AND(QZ5&gt;=RM$8,QZ5&lt;&gt;"",RB5&gt;=RM$12,RB5&lt;&gt;""),AND(RC5&gt;=RM$8,RC5&lt;&gt;"",RE5&gt;=RM$12,RE5&lt;&gt;""),AND(RG5&gt;=RM$8,RG5&lt;&gt;"",RI5&gt;=RM$12,RI5&lt;&gt;""),AND(RJ5&gt;=RM$8,RJ5&lt;&gt;"",RL5&gt;=RM$12,RL5&lt;&gt;""),AND(SH5&gt;=SU$8,SH5&lt;&gt;"",SJ5&gt;=SU$12,SJ5&lt;&gt;""),AND(SK5&gt;=SU$8,SK5&lt;&gt;"",SM5&gt;=SU$12,SM5&lt;&gt;""),AND(SO5&gt;=SU$8,SO5&lt;&gt;"",SQ5&gt;=SU$12,SQ5&lt;&gt;""),AND(SR5&gt;=SU$8,SR5&lt;&gt;"",ST5&gt;=SU$12,ST5&lt;&gt;"")),"P","")</f>
        <v/>
      </c>
      <c r="G5" s="3" t="str">
        <f>IF(OR(AND(AO5&gt;=AW$12,AO5&lt;&gt;"",AL5=""),AND(AR5&gt;=AW$12,AR5&lt;&gt;"",AL5=""),AND(AV5&gt;=AW$12,AV5&lt;&gt;"",AL5=""),AND(BP5&gt;=BX$12,BP5&lt;&gt;"",BM5=""),AND(BS5&gt;=BX$12,BS5&lt;&gt;"",BM5=""),AND(BW5&gt;=BX$12,BW5&lt;&gt;"",BM5=""),AND(CQ5&gt;=CY$12,CQ5&lt;&gt;"",CN5=""),AND(CT5&gt;=CY$12,CT5&lt;&gt;"",CN5=""),AND(CX5&gt;=CY$12,CX5&lt;&gt;"",CN5=""),AND(DZ5&gt;=EK$12,DZ5&lt;&gt;""),AND(EC5&gt;=EK$12,EC5&lt;&gt;""),AND(EG5&gt;=EK$12,EG5&lt;&gt;""),AND(EJ5&gt;=EK$12,EJ5&lt;&gt;""),AND(FH5&gt;=FS$12,FH5&lt;&gt;""),AND(FK5&gt;=FS$12,FK5&lt;&gt;""),AND(FO5&gt;=FS$12,FO5&lt;&gt;""),AND(FR5&gt;=FS$12,FR5&lt;&gt;""),AND(GP5&gt;=HA$12,GP5&lt;&gt;""),AND(GS5&gt;=HA$12,GS5&lt;&gt;""),AND(GW5&gt;=HA$12,GW5&lt;&gt;""),AND(GZ5&gt;=HA$12,GZ5&lt;&gt;""),AND(HX5&gt;=II$12,HX5&lt;&gt;""),AND(IA5&gt;=II$12,IA5&lt;&gt;""),AND(IE5&gt;=II$12,IE5&lt;&gt;""),AND(IH5&gt;=II$12,IH5&lt;&gt;""),AND(JF5&gt;=JQ$12,JF5&lt;&gt;""),AND(JI5&gt;=JQ$12,JI5&lt;&gt;""),AND(JM5&gt;=JQ$12,JM5&lt;&gt;""),AND(JP5&gt;=JQ$12,JP5&lt;&gt;""),AND(KN5&gt;=KY$12,KN5&lt;&gt;""),AND(KQ5&gt;=KY$12,KQ5&lt;&gt;""),AND(KU5&gt;=KY$12,KU5&lt;&gt;""),AND(KX5&gt;=KY$12,KX5&lt;&gt;""),AND(LV5&gt;=MG$12,LV5&lt;&gt;""),AND(LY5&gt;=MG$12,LY5&lt;&gt;""),AND(MC5&gt;=MG$12,MC5&lt;&gt;""),AND(MF5&gt;=MG$12,MF5&lt;&gt;""),AND(ND5&gt;=NO$12,ND5&lt;&gt;""),AND(NG5&gt;=NO$12,NG5&lt;&gt;""),AND(NK5&gt;=NO$12,NK5&lt;&gt;""),AND(NN5&gt;=NO$12,NN5&lt;&gt;""),AND(OL5&gt;=OW$12,OL5&lt;&gt;""),AND(OO5&gt;=OW$12,OO5&lt;&gt;""),AND(OS5&gt;=OW$12,OS5&lt;&gt;""),AND(OV5&gt;=OW$12,OV5&lt;&gt;""),AND(PT5&gt;=QE$12,PT5&lt;&gt;""),AND(PW5&gt;=QE$12,PW5&lt;&gt;""),AND(QA5&gt;=QE$12,QA5&lt;&gt;""),AND(QD5&gt;=QE$12,QD5&lt;&gt;""),AND(RB5&gt;=RM$12,RB5&lt;&gt;""),AND(RE5&gt;=RM$12,RE5&lt;&gt;""),AND(RI5&gt;=RM$12,RI5&lt;&gt;""),AND(RL5&gt;=RM$12,RL5&lt;&gt;""),AND(SJ5&gt;=SU$12,SJ5&lt;&gt;""),AND(SM5&gt;=SU$12,SM5&lt;&gt;""),AND(SQ5&gt;=SU$12,SQ5&lt;&gt;""),AND(ST5&gt;=SU$12,ST5&lt;&gt;"")),"P","")</f>
        <v/>
      </c>
      <c r="H5" s="70" t="str">
        <f>IF(AND(G5="P",F5=""),"No DD",IF(OR(AND(AM5&gt;=AW$11,AM5&lt;&gt;"",AO5&gt;=AW$15,AO5&lt;&gt;"",AL5=""),AND(AP5&gt;=AW$11,AP5&lt;&gt;"",AR5&gt;=AW$15,AR5&lt;&gt;"",AL5=""),AND(AT5&gt;=AW$11,AT5&lt;&gt;"",AV5&gt;=AW$15,AV5&lt;&gt;"",AL5=""),AND(BN5&gt;=BX$11,BN5&lt;&gt;"",BP5&gt;=BX$15,BP5&lt;&gt;"",BM5=""),AND(BQ5&gt;=BX$11,BQ5&lt;&gt;"",BS5&gt;=BX$15,BS5&lt;&gt;"",BM5=""),AND(BU5&gt;=BX$11,BU5&lt;&gt;"",BW5&gt;=BX$15,BW5&lt;&gt;"",BM5=""),AND(CO5&gt;=CY$11,CO5&lt;&gt;"",CQ5&gt;=CY$15,CQ5&lt;&gt;"",CN5=""),AND(CR5&gt;=CY$11,CR5&lt;&gt;"",CT5&gt;=CY$15,CT5&lt;&gt;"",CN5=""),AND(CV5&gt;=CY$11,CV5&lt;&gt;"",CX5&gt;=CY$15,CX5&lt;&gt;"",CN5=""),AND(DX5&gt;=EK$11,DX5&lt;&gt;"",DZ5&gt;=EK$15,DZ5&lt;&gt;""),AND(EA5&gt;=EK$11,EA5&lt;&gt;"",EC5&gt;=EK$15,EC5&lt;&gt;""),AND(EE5&gt;=EK$11,EE5&lt;&gt;"",EG5&gt;=EK$15,EG5&lt;&gt;""),AND(EH5&gt;=EK$11,EH5&lt;&gt;"",EJ5&gt;=EK$15,EJ5&lt;&gt;""),AND(FF5&gt;=FS$11,FF5&lt;&gt;"",FH5&gt;=FS$15,FH5&lt;&gt;""),AND(FI5&gt;=FS$11,FI5&lt;&gt;"",FK5&gt;=FS$15,FK5&lt;&gt;""),AND(FM5&gt;=FS$11,FM5&lt;&gt;"",FO5&gt;=FS$15,FO5&lt;&gt;""),AND(FP5&gt;=FS$11,FP5&lt;&gt;"",FR5&gt;=FS$15,FR5&lt;&gt;""),AND(GN5&gt;=HA$11,GN5&lt;&gt;"",GP5&gt;=HA$15,GP5&lt;&gt;""),AND(GQ5&gt;=HA$11,GQ5&lt;&gt;"",GS5&gt;=HA$15,GS5&lt;&gt;""),AND(GU5&gt;=HA$11,GU5&lt;&gt;"",GW5&gt;=HA$15,GW5&lt;&gt;""),AND(GX5&gt;=HA$11,GX5&lt;&gt;"",GZ5&gt;=HA$15,GZ5&lt;&gt;""),AND(HV5&gt;=II$11,HV5&lt;&gt;"",HX5&gt;=II$15,HX5&lt;&gt;""),AND(HY5&gt;=II$11,HY5&lt;&gt;"",IA5&gt;=II$15,IA5&lt;&gt;""),AND(IC5&gt;=II$11,IC5&lt;&gt;"",IE5&gt;=II$15,IE5&lt;&gt;""),AND(IF5&gt;=II$11,IF5&lt;&gt;"",IH5&gt;=II$15,IH5&lt;&gt;""),AND(JD5&gt;=JQ$11,JD5&lt;&gt;"",JF5&gt;=JQ$15,JF5&lt;&gt;""),AND(JG5&gt;=JQ$11,JG5&lt;&gt;"",JI5&gt;=JQ$15,JI5&lt;&gt;""),AND(JK5&gt;=JQ$11,JK5&lt;&gt;"",JM5&gt;=JQ$15,JM5&lt;&gt;""),AND(JN5&gt;=JQ$11,JN5&lt;&gt;"",JP5&gt;=JQ$15,JP5&lt;&gt;""),AND(KL5&gt;=KY$11,KL5&lt;&gt;"",KN5&gt;=KY$15,KN5&lt;&gt;""),AND(KO5&gt;=KY$11,KO5&lt;&gt;"",KQ5&gt;=KY$15,KQ5&lt;&gt;""),AND(KS5&gt;=KY$11,KS5&lt;&gt;"",KU5&gt;=KY$15,KU5&lt;&gt;""),AND(KV5&gt;=KY$11,KV5&lt;&gt;"",KX5&gt;=KY$15,KX5&lt;&gt;""),AND(LT5&gt;=MG$11,LT5&lt;&gt;"",LV5&gt;=MG$15,LV5&lt;&gt;""),AND(LW5&gt;=MG$11,LW5&lt;&gt;"",LY5&gt;=MG$15,LY5&lt;&gt;""),AND(MA5&gt;=MG$11,MA5&lt;&gt;"",MC5&gt;=MG$15,MC5&lt;&gt;""),AND(MD5&gt;=MG$11,MD5&lt;&gt;"",MF5&gt;=MG$15,MF5&lt;&gt;""),AND(NB5&gt;=NO$11,NB5&lt;&gt;"",ND5&gt;=NO$15,ND5&lt;&gt;""),AND(NE5&gt;=NO$11,NE5&lt;&gt;"",NG5&gt;=NO$15,NG5&lt;&gt;""),AND(NI5&gt;=NO$11,NI5&lt;&gt;"",NK5&gt;=NO$15,NK5&lt;&gt;""),AND(NL5&gt;=NO$11,NL5&lt;&gt;"",NN5&gt;=NO$15,NN5&lt;&gt;""),AND(OJ5&gt;=OW$11,OJ5&lt;&gt;"",OL5&gt;=OW$15,OL5&lt;&gt;""),AND(OM5&gt;=OW$11,OM5&lt;&gt;"",OO5&gt;=OW$15,OO5&lt;&gt;""),AND(OQ5&gt;=OW$11,OQ5&lt;&gt;"",OS5&gt;=OW$15,OS5&lt;&gt;""),AND(OT5&gt;=OW$11,OT5&lt;&gt;"",OV5&gt;=OW$15,OV5&lt;&gt;""),AND(PR5&gt;=QE$11,PR5&lt;&gt;"",PT5&gt;=QE$15,PT5&lt;&gt;""),AND(PU5&gt;=QE$11,PU5&lt;&gt;"",PW5&gt;=QE$15,PW5&lt;&gt;""),AND(PY5&gt;=QE$11,PY5&lt;&gt;"",QA5&gt;=QE$15,QA5&lt;&gt;""),AND(QB5&gt;=QE$11,QB5&lt;&gt;"",QD5&gt;=QE$15,QD5&lt;&gt;""),AND(QZ5&gt;=RM$11,QZ5&lt;&gt;"",RB5&gt;=RM$15,RB5&lt;&gt;""),AND(RC5&gt;=RM$11,RC5&lt;&gt;"",RE5&gt;=RM$15,RE5&lt;&gt;""),AND(RG5&gt;=RM$11,RG5&lt;&gt;"",RI5&gt;=RM$15,RI5&lt;&gt;""),AND(RJ5&gt;=RM$11,RJ5&lt;&gt;"",RL5&gt;=RM$15,RL5&lt;&gt;""),AND(SH5&gt;=SU$11,SH5&lt;&gt;"",SJ5&gt;=SU$15,SJ5&lt;&gt;""),AND(SK5&gt;=SU$11,SK5&lt;&gt;"",SM5&gt;=SU$15,SM5&lt;&gt;""),AND(SO5&gt;=SU$11,SO5&lt;&gt;"",SQ5&gt;=SU$15,SQ5&lt;&gt;""),AND(SR5&gt;=SU$11,SR5&lt;&gt;"",ST5&gt;=SU$15,ST5&lt;&gt;"")),"Merit",IF(OR(AND(AM5&gt;=AW$10,AM5&lt;&gt;"",AO5&gt;=AW$14,AO5&lt;&gt;"",AL5=""),AND(AP5&gt;=AW$10,AP5&lt;&gt;"",AR5&gt;=AW$14,AR5&lt;&gt;"",AL5=""),AND(AT5&gt;=AW$10,AT5&lt;&gt;"",AV5&gt;=AW$14,AV5&lt;&gt;"",AL5=""),AND(BN5&gt;=BX$10,BN5&lt;&gt;"",BP5&gt;=BX$14,BP5&lt;&gt;"",BM5=""),AND(BQ5&gt;=BX$10,BQ5&lt;&gt;"",BS5&gt;=BX$14,BS5&lt;&gt;"",BM5=""),AND(BU5&gt;=BX$10,BU5&lt;&gt;"",BW5&gt;=BX$14,BW5&lt;&gt;"",BM5=""),AND(CO5&gt;=CY$10,CO5&lt;&gt;"",CQ5&gt;=CY$14,CQ5&lt;&gt;"",CN5=""),AND(CR5&gt;=CY$10,CR5&lt;&gt;"",CT5&gt;=CY$14,CT5&lt;&gt;"",CN5=""),AND(CV5&gt;=CY$10,CV5&lt;&gt;"",CX5&gt;=CY$14,CX5&lt;&gt;"",CN5=""),AND(DX5&gt;=EK$10,DX5&lt;&gt;"",DZ5&gt;=EK$14,DZ5&lt;&gt;""),AND(EA5&gt;=EK$10,EA5&lt;&gt;"",EC5&gt;=EK$14,EC5&lt;&gt;""),AND(EE5&gt;=EK$10,EE5&lt;&gt;"",EG5&gt;=EK$14,EG5&lt;&gt;""),AND(EH5&gt;=EK$10,EH5&lt;&gt;"",EJ5&gt;=EK$14,EJ5&lt;&gt;""),AND(FF5&gt;=FS$10,FF5&lt;&gt;"",FH5&gt;=FS$14,FH5&lt;&gt;""),AND(FI5&gt;=FS$10,FI5&lt;&gt;"",FK5&gt;=FS$14,FK5&lt;&gt;""),AND(FM5&gt;=FS$10,FM5&lt;&gt;"",FO5&gt;=FS$14,FO5&lt;&gt;""),AND(FP5&gt;=FS$10,FP5&lt;&gt;"",FR5&gt;=FS$14,FR5&lt;&gt;""),AND(GN5&gt;=HA$10,GN5&lt;&gt;"",GP5&gt;=HA$14,GP5&lt;&gt;""),AND(GQ5&gt;=HA$10,GQ5&lt;&gt;"",GS5&gt;=HA$14,GS5&lt;&gt;""),AND(GU5&gt;=HA$10,GU5&lt;&gt;"",GW5&gt;=HA$14,GW5&lt;&gt;""),AND(GX5&gt;=HA$10,GX5&lt;&gt;"",GZ5&gt;=HA$14,GZ5&lt;&gt;""),AND(HV5&gt;=II$10,HV5&lt;&gt;"",HX5&gt;=II$14,HX5&lt;&gt;""),AND(HY5&gt;=II$10,HY5&lt;&gt;"",IA5&gt;=II$14,IA5&lt;&gt;""),AND(IC5&gt;=II$10,IC5&lt;&gt;"",IE5&gt;=II$14,IE5&lt;&gt;""),AND(IF5&gt;=II$10,IF5&lt;&gt;"",IH5&gt;=II$14,IH5&lt;&gt;""),AND(JD5&gt;=JQ$10,JD5&lt;&gt;"",JF5&gt;=JQ$14,JF5&lt;&gt;""),AND(JG5&gt;=JQ$10,JG5&lt;&gt;"",JI5&gt;=JQ$14,JI5&lt;&gt;""),AND(JK5&gt;=JQ$10,JK5&lt;&gt;"",JM5&gt;=JQ$14,JM5&lt;&gt;""),AND(JN5&gt;=JQ$10,JN5&lt;&gt;"",JP5&gt;=JQ$14,JP5&lt;&gt;""),AND(KL5&gt;=KY$10,KL5&lt;&gt;"",KN5&gt;=KY$14,KN5&lt;&gt;""),AND(KO5&gt;=KY$10,KO5&lt;&gt;"",KQ5&gt;=KY$14,KQ5&lt;&gt;""),AND(KS5&gt;=KY$10,KS5&lt;&gt;"",KU5&gt;=KY$14,KU5&lt;&gt;""),AND(KV5&gt;=KY$10,KV5&lt;&gt;"",KX5&gt;=KY$14,KX5&lt;&gt;""),AND(LT5&gt;=MG$10,LT5&lt;&gt;"",LV5&gt;=MG$14,LV5&lt;&gt;""),AND(LW5&gt;=MG$10,LW5&lt;&gt;"",LY5&gt;=MG$14,LY5&lt;&gt;""),AND(MA5&gt;=MG$10,MA5&lt;&gt;"",MC5&gt;=MG$14,MC5&lt;&gt;""),AND(MD5&gt;=MG$10,MD5&lt;&gt;"",MF5&gt;=MG$14,MF5&lt;&gt;""),AND(NB5&gt;=NO$10,NB5&lt;&gt;"",ND5&gt;=NO$14,ND5&lt;&gt;""),AND(NE5&gt;=NO$10,NE5&lt;&gt;"",NG5&gt;=NO$14,NG5&lt;&gt;""),AND(NI5&gt;=NO$10,NI5&lt;&gt;"",NK5&gt;=NO$14,NK5&lt;&gt;""),AND(NL5&gt;=NO$10,NL5&lt;&gt;"",NN5&gt;=NO$14,NN5&lt;&gt;""),AND(OJ5&gt;=OW$10,OJ5&lt;&gt;"",OL5&gt;=OW$14,OL5&lt;&gt;""),AND(OM5&gt;=OW$10,OM5&lt;&gt;"",OO5&gt;=OW$14,OO5&lt;&gt;""),AND(OQ5&gt;=OW$10,OQ5&lt;&gt;"",OS5&gt;=OW$14,OS5&lt;&gt;""),AND(OT5&gt;=OW$10,OT5&lt;&gt;"",OV5&gt;=OW$14,OV5&lt;&gt;""),AND(PR5&gt;=QE$10,PR5&lt;&gt;"",PT5&gt;=QE$14,PT5&lt;&gt;""),AND(PU5&gt;=QE$10,PU5&lt;&gt;"",PW5&gt;=QE$14,PW5&lt;&gt;""),AND(PY5&gt;=QE$10,PY5&lt;&gt;"",QA5&gt;=QE$14,QA5&lt;&gt;""),AND(QB5&gt;=QE$10,QB5&lt;&gt;"",QD5&gt;=QE$14,QD5&lt;&gt;""),AND(QZ5&gt;=RM$10,QZ5&lt;&gt;"",RB5&gt;=RM$14,RB5&lt;&gt;""),AND(RC5&gt;=RM$10,RC5&lt;&gt;"",RE5&gt;=RM$14,RE5&lt;&gt;""),AND(RG5&gt;=RM$10,RG5&lt;&gt;"",RI5&gt;=RM$14,RI5&lt;&gt;""),AND(RJ5&gt;=RM$10,RJ5&lt;&gt;"",RL5&gt;=RM$14,RL5&lt;&gt;""),AND(SH5&gt;=SU$10,SH5&lt;&gt;"",SJ5&gt;=SU$14,SJ5&lt;&gt;""),AND(SK5&gt;=SU$10,SK5&lt;&gt;"",SM5&gt;=SU$14,SM5&lt;&gt;""),AND(SO5&gt;=SU$10,SO5&lt;&gt;"",SQ5&gt;=SU$14,SQ5&lt;&gt;""),AND(SR5&gt;=SU$10,SR5&lt;&gt;"",ST5&gt;=SU$14,ST5&lt;&gt;"")),"Excellence",IF(I5="P","Worlds Team",IF(F5="P","National Team","")))))</f>
        <v/>
      </c>
      <c r="I5" s="3" t="str">
        <f>IF(OR(AND(AM5&gt;=AW$9,AM5&lt;&gt;"",AO5&gt;=AW$13,AO5&lt;&gt;"",AL5=""),AND(AP5&gt;=AW$9,AP5&lt;&gt;"",AR5&gt;=AW$13,AR5&lt;&gt;"",AL5=""),AND(AT5&gt;=AW$9,AT5&lt;&gt;"",AV5&gt;=AW$13,AV5&lt;&gt;"",AL5=""),AND(BN5&gt;=BX$9,BN5&lt;&gt;"",BP5&gt;=BX$13,BP5&lt;&gt;"",BM5=""),AND(BQ5&gt;=BX$9,BQ5&lt;&gt;"",BS5&gt;=BX$13,BS5&lt;&gt;"",BM5=""),AND(BU5&gt;=BX$9,BU5&lt;&gt;"",BW5&gt;=BX$13,BW5&lt;&gt;"",BM5=""),AND(CO5&gt;=CY$9,CO5&lt;&gt;"",CQ5&gt;=CY$13,CQ5&lt;&gt;"",CN5=""),AND(CR5&gt;=CY$9,CR5&lt;&gt;"",CT5&gt;=CY$13,CT5&lt;&gt;"",CN5=""),AND(CV5&gt;=CY$9,CV5&lt;&gt;"",CX5&gt;=CY$13,CX5&lt;&gt;"",CN5=""),AND(DX5&gt;=EK$9,DX5&lt;&gt;"",DZ5&gt;=EK$13,DZ5&lt;&gt;""),AND(EA5&gt;=EK$9,EA5&lt;&gt;"",EC5&gt;=EK$13,EC5&lt;&gt;""),AND(EE5&gt;=EK$9,EE5&lt;&gt;"",EG5&gt;=EK$13,EG5&lt;&gt;""),AND(EH5&gt;=EK$9,EH5&lt;&gt;"",EJ5&gt;=EK$13,EJ5&lt;&gt;""),AND(FF5&gt;=FS$9,FF5&lt;&gt;"",FH5&gt;=FS$13,FH5&lt;&gt;""),AND(FI5&gt;=FS$9,FI5&lt;&gt;"",FK5&gt;=FS$13,FK5&lt;&gt;""),AND(FM5&gt;=FS$9,FM5&lt;&gt;"",FO5&gt;=FS$13,FO5&lt;&gt;""),AND(FP5&gt;=FS$9,FP5&lt;&gt;"",FR5&gt;=FS$13,FR5&lt;&gt;""),AND(GN5&gt;=HA$9,GN5&lt;&gt;"",GP5&gt;=HA$13,GP5&lt;&gt;""),AND(GQ5&gt;=HA$9,GQ5&lt;&gt;"",GS5&gt;=HA$13,GS5&lt;&gt;""),AND(GU5&gt;=HA$9,GU5&lt;&gt;"",GW5&gt;=HA$13,GW5&lt;&gt;""),AND(GX5&gt;=HA$9,GX5&lt;&gt;"",GZ5&gt;=HA$13,GZ5&lt;&gt;""),AND(HV5&gt;=II$9,HV5&lt;&gt;"",HX5&gt;=II$13,HX5&lt;&gt;""),AND(HY5&gt;=II$9,HY5&lt;&gt;"",IA5&gt;=II$13,IA5&lt;&gt;""),AND(IC5&gt;=II$9,IC5&lt;&gt;"",IE5&gt;=II$13,IE5&lt;&gt;""),AND(IF5&gt;=II$9,IF5&lt;&gt;"",IH5&gt;=II$13,IH5&lt;&gt;""),AND(JD5&gt;=JQ$9,JD5&lt;&gt;"",JF5&gt;=JQ$13,JF5&lt;&gt;""),AND(JG5&gt;=JQ$9,JG5&lt;&gt;"",JI5&gt;=JQ$13,JI5&lt;&gt;""),AND(JK5&gt;=JQ$9,JK5&lt;&gt;"",JM5&gt;=JQ$13,JM5&lt;&gt;""),AND(JN5&gt;=JQ$9,JN5&lt;&gt;"",JP5&gt;=JQ$13,JP5&lt;&gt;""),AND(KL5&gt;=KY$9,KL5&lt;&gt;"",KN5&gt;=KY$13,KN5&lt;&gt;""),AND(KO5&gt;=KY$9,KO5&lt;&gt;"",KQ5&gt;=KY$13,KQ5&lt;&gt;""),AND(KS5&gt;=KY$9,KS5&lt;&gt;"",KU5&gt;=KY$13,KU5&lt;&gt;""),AND(KV5&gt;=KY$9,KV5&lt;&gt;"",KX5&gt;=KY$13,KX5&lt;&gt;""),AND(LT5&gt;=MG$9,LT5&lt;&gt;"",LV5&gt;=MG$13,LV5&lt;&gt;""),AND(LW5&gt;=MG$9,LW5&lt;&gt;"",LY5&gt;=MG$13,LY5&lt;&gt;""),AND(MA5&gt;=MG$9,MA5&lt;&gt;"",MC5&gt;=MG$13,MC5&lt;&gt;""),AND(MD5&gt;=MG$9,MD5&lt;&gt;"",MF5&gt;=MG$13,MF5&lt;&gt;""),AND(NB5&gt;=NO$9,NB5&lt;&gt;"",ND5&gt;=NO$13,ND5&lt;&gt;""),AND(NE5&gt;=NO$9,NE5&lt;&gt;"",NG5&gt;=NO$13,NG5&lt;&gt;""),AND(NI5&gt;=NO$9,NI5&lt;&gt;"",NK5&gt;=NO$13,NK5&lt;&gt;""),AND(NL5&gt;=NO$9,NL5&lt;&gt;"",NN5&gt;=NO$13,NN5&lt;&gt;""),AND(OJ5&gt;=OW$9,OJ5&lt;&gt;"",OL5&gt;=OW$13,OL5&lt;&gt;""),AND(OM5&gt;=OW$9,OM5&lt;&gt;"",OO5&gt;=OW$13,OO5&lt;&gt;""),AND(OQ5&gt;=OW$9,OQ5&lt;&gt;"",OS5&gt;=OW$13,OS5&lt;&gt;""),AND(OT5&gt;=OW$9,OT5&lt;&gt;"",OV5&gt;=OW$13,OV5&lt;&gt;""),AND(PR5&gt;=QE$9,PR5&lt;&gt;"",PT5&gt;=QE$13,PT5&lt;&gt;""),AND(PU5&gt;=QE$9,PU5&lt;&gt;"",PW5&gt;=QE$13,PW5&lt;&gt;""),AND(PY5&gt;=QE$9,PY5&lt;&gt;"",QA5&gt;=QE$13,QA5&lt;&gt;""),AND(QB5&gt;=QE$9,QB5&lt;&gt;"",QD5&gt;=QE$13,QD5&lt;&gt;""),AND(QZ5&gt;=RM$9,QZ5&lt;&gt;"",RB5&gt;=RM$13,RB5&lt;&gt;""),AND(RC5&gt;=RM$9,RC5&lt;&gt;"",RE5&gt;=RM$13,RE5&lt;&gt;""),AND(RG5&gt;=RM$9,RG5&lt;&gt;"",RI5&gt;=RM$13,RI5&lt;&gt;""),AND(RJ5&gt;=RM$9,RJ5&lt;&gt;"",RL5&gt;=RM$13,RL5&lt;&gt;""),AND(SH5&gt;=SU$9,SH5&lt;&gt;"",SJ5&gt;=SU$13,SJ5&lt;&gt;""),AND(SK5&gt;=SU$9,SK5&lt;&gt;"",SM5&gt;=SU$13,SM5&lt;&gt;""),AND(SO5&gt;=SU$9,SO5&lt;&gt;"",SQ5&gt;=SU$13,SQ5&lt;&gt;""),AND(SR5&gt;=SU$9,SR5&lt;&gt;"",ST5&gt;=SU$13,ST5&lt;&gt;"")),"P","")</f>
        <v/>
      </c>
      <c r="J5" s="13">
        <f>IF(COUNT(AO5,AR5,BP5,BS5,CQ5,CT5)&gt;0,LARGE((AO5,AR5,BP5,BS5,CQ5,CT5),1),0)</f>
        <v>0</v>
      </c>
      <c r="K5" s="13" t="str">
        <f>IF(J5="","",IF(OR(J5=CQ5,J5=CT5),$BY$1,IF(OR(J5=BP5,J5=BS5),$AX$1,IF(OR(J5=AO5,J5=AR5),$W$1,""))))</f>
        <v/>
      </c>
      <c r="L5" s="13">
        <f>IF(COUNT(AO5,AR5,BP5,BS5,CQ5,CT5)&gt;1,LARGE((AO5,AR5,BP5,BS5,CQ5,CT5),2),0)</f>
        <v>0</v>
      </c>
      <c r="M5" s="13" t="str">
        <f>IF(L5="","",IF(OR(L5=CQ5,L5=CT5),$BY$1,IF(OR(L5=BP5,L5=BS5),$AX$1,IF(OR(L5=AO5,L5=AR5),$W$1,""))))</f>
        <v/>
      </c>
      <c r="N5" s="13">
        <f>IF(MAX(AV5,BW5,CX5)&gt;0,MAX(AV5,BW5,CX5),0)</f>
        <v>0</v>
      </c>
      <c r="O5" s="13" t="str">
        <f>IF(N5="","",IF(N5=CX5,$BY$1,IF(N5=BW5,$AX$1,IF(N5=AV5,$W$1,""))))</f>
        <v/>
      </c>
      <c r="P5" s="13" t="str">
        <f>IF(MAX(AM5,AP5,AT5,BN5,BQ5,BU5,CO5,CR5,CV5)&gt;0,MAX(AM5,AP5,BN5,BQ5,CO5,CR5,AT5),"")</f>
        <v/>
      </c>
      <c r="Q5" s="13" t="str">
        <f>IF(P5="","",IF(OR(P5=CO5,P5=CR5,P5=CV5),$BY$1,IF(OR(P5=BN5,P5=BQ5,P5=BU5),$AX$1,IF(OR(P5=AM5,P5=AP5,P5=AT5),$W$1,""))))</f>
        <v/>
      </c>
      <c r="R5" s="13" t="str">
        <f>IF(MAX(IF(AM5&gt;=$AW$8,AN5,0),IF(AP5&gt;=$AW$8,AQ5,0),IF(AT5&gt;=$AW$8,AU5,0),IF(BN5&gt;=$BX$8,BO5,0),IF(BQ5&gt;=$BX$8,BR5,0),IF(BU5&gt;=$BX$8,BV5,0),IF(CO5&gt;=$CY$8,CP5,0),IF(CR5&gt;=$CY$8,CS5,0),IF(CV5&gt;=$CY$8,CW5,0))&gt;0,MAX(IF(AM5&gt;=$AW$8,AN5,0),IF(AP5&gt;=$AW$8,AQ5,0),IF(AT5&gt;=$AW$8,AU5,0),IF(BN5&gt;=$BX$8,BO5,0),IF(BQ5&gt;=$BX$8,BR5,0),IF(BU5&gt;=$BX$8,BV5,0),IF(CO5&gt;=$CY$8,CP5,0),IF(CR5&gt;=$CY$8,CS5,0),IF(CV5&gt;=$CY$8,CW5,0)),"")</f>
        <v/>
      </c>
      <c r="S5" s="13" t="str">
        <f>IF(R5="","",IF(OR(R5=CP5,R5=CS5,R5=CW5),$BY$1,IF(OR(R5=BO5,R5=BR5,R5=BV5),$AX$1,IF(OR(R5=AN5,R5=AQ5,R5=AU5),$W$1,""))))</f>
        <v/>
      </c>
      <c r="T5" s="13">
        <f>IF(MAX(CZ5,DA5,DB5,DC5)&gt;0,MAX(CZ5,DA5,DB5,DC5),"")</f>
        <v>2</v>
      </c>
      <c r="U5" s="16" t="str">
        <f>IF(T5="","",IF(T5=CZ5,"("&amp;CZ$2&amp;")",IF(T5=DA5,"("&amp;DA$2&amp;")",IF(T5=DB5,"("&amp;DB$2&amp;")",IF(T5=DC5,"("&amp;DC$2&amp;")")))))</f>
        <v>(DD)</v>
      </c>
      <c r="V5" s="13" t="str">
        <f>IF(T5="","",IF(T5=CZ5,IF(T5+IF(L5="",0,L5)=SN5,$RN$1,IF(T5+IF(L5="",0,L5)=RF5,$QF$1,IF(T5+IF(L5="",0,L5)=PX5,$OX$1,IF(T5+IF(L5="",0,L5)=OP5,$NP$1,IF(T5+IF(L5="",0,L5)=NH5,$MH$1,IF(T5+IF(L5="",0,L5)=LZ5,$KZ$1,IF(T5+IF(L5="",0,L5)=KR5,$JR$1,IF(T5+IF(L5="",0,L5)=JJ5,$IJ$1,IF(T5+IF(L5="",0,L5)=IB5,$HB$1,IF(T5+IF(L5="",0,L5)=GT5,$FT$1,IF(T5+IF(L5="",0,L5)=FL5,$EL$1,IF(T5+IF(L5="",0,L5)=ED5,$DD$1)))))))))))),IF(T5=DA5,IF(T5+IF(N5="",0,N5)=ST5,$RN$1,IF(T5+IF(N5="",0,N5)=RL5,$QF$1,IF(T5+IF(N5="",0,N5)=QD5,$OX$1,IF(T5+IF(N5="",0,N5)=OV5,$NP$1,IF(T5+IF(N5="",0,N5)=NN5,$MH$1,IF(T5+IF(N5="",0,N5)=MF5,$KZ$1,IF(T5+IF(N5="",0,N5)=KX5,$JR$1,IF(T5+IF(N5="",0,N5)=JP5,$IJ$1,IF(T5+IF(N5="",0,N5)=IH5,$HB$1,IF(T5+IF(N5="",0,N5)=GZ5,$FT$1,IF(T5+IF(N5="",0,N5)=FR5,$EL$1,IF(T5+IF(N5="",0,N5)=EJ5,$DD$1)))))))))))),IF(T5=DB5,IF(T5+IF(P5="",0,P5)=MAX(SH5,SK5,SO5,SR5),$RN$1,IF(T5+IF(P5="",0,P5)=MAX(QZ5,RC5,RG5,RJ5),$QF$1,IF(T5+IF(P5="",0,P5)=MAX(PR5,PU5,PY5,QB5),$OX$1,IF(T5+IF(P5="",0,P5)=MAX(OJ5,OM5,OQ5,OT5),$NP$1,IF(T5+IF(P5="",0,P5)=MAX(NB5,NE5,NI5,NL5),$MH$1,IF(T5+IF(P5="",0,P5)=MAX(LT5,LW5,MA5,MD5),$KZ$1,IF(T5+IF(P5="",0,P5)=MAX(KL5,KO5,KS5,KV5),$JR$1,IF(T5+IF(P5="",0,P5)=MAX(JD5,JG5,JK5,JN5),$IJ$1,IF(T5+IF(P5="",0,P5)=MAX(HV5,HY5,IC5,IF5),$HB$1,IF(T5+IF(P5="",0,P5)=MAX(GN5,GQ5,GU5,GX5),$FT$1,IF(T5+IF(P5="",0,P5)=MAX(FF5,FI5,FM5,FP5),$EL$1,IF(T5+IF(P5="",0,P5)=MAX(DX5,EA5,EE5,EH5),$DD$1)))))))))))),IF(T5=DC5,IF(T5+IF(R5="",0,R5)=MAX(SI5,SL5,SP5,SS5),$RN$1,IF(T5+IF(R5="",0,R5)=MAX(RA5,RD5,RH5,RK5),$QF$1,IF(T5+IF(R5="",0,R5)=MAX(PS5,PV5,PZ5,QC5),$OX$1,IF(T5+IF(R5="",0,R5)=MAX(OK5,ON5,OR5,OU5),$NP$1,IF(T5+IF(R5="",0,R5)=MAX(NC5,NF5,NJ5,NM5),$MH$1,IF(T5+IF(R5="",0,R5)=MAX(LU5,LX5,MB5,ME5),$KZ$1,IF(T5+IF(R5="",0,R5)=MAX(KM5,KP5,KT5,KW5),$JR$1,IF(T5+IF(R5="",0,R5)=MAX(JE5,JH5,JL5,JO5),$IJ$1,IF(T5+IF(R5="",0,R5)=MAX(HW5,HZ5,ID5,IG5),$HB$1,IF(T5+IF(R5="",0,R5)=MAX(GO5,GR5,GV5,GY5),$FT$1,IF(T5+IF(R5="",0,R5)=MAX(FG5,FJ5,FN5,FQ5),$EL$1,IF(T5+IF(R5="",0,R5)=MAX(DY5,EB5,EF5,EI5),$DD$1)))))))))))))))))</f>
        <v>2021 World Championships (Nov 19)</v>
      </c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51"/>
      <c r="AM5" s="74" t="str">
        <f>IF(Y5&gt;0,Y5,"")</f>
        <v/>
      </c>
      <c r="AN5" s="74" t="str">
        <f>IF(Z5&gt;0,Z5,"")</f>
        <v/>
      </c>
      <c r="AO5" s="76" t="str">
        <f>IF(SUM(W5:Z5)-AA5&gt;0,SUM(W5:Z5)-AA5,"")</f>
        <v/>
      </c>
      <c r="AP5" s="76" t="str">
        <f>IF(AD5&gt;0,AD5,"")</f>
        <v/>
      </c>
      <c r="AQ5" s="76" t="str">
        <f>IF(AE5&gt;0,AE5,"")</f>
        <v/>
      </c>
      <c r="AR5" s="76" t="str">
        <f>IF(SUM(AB5:AE5)-AF5&gt;0,SUM(AB5:AE5)-AF5,"")</f>
        <v/>
      </c>
      <c r="AS5" s="76" t="str">
        <f>IF(AO5="","",MAX(AO5,AR5))</f>
        <v/>
      </c>
      <c r="AT5" s="76" t="str">
        <f>IF(AI5&gt;0,AI5,"")</f>
        <v/>
      </c>
      <c r="AU5" s="76" t="str">
        <f>IF(AJ5&gt;0,AJ5,"")</f>
        <v/>
      </c>
      <c r="AV5" s="76" t="str">
        <f>IF(SUM(AG5:AJ5)-AK5&gt;0,SUM(AG5:AJ5)-AK5,"")</f>
        <v/>
      </c>
      <c r="AW5" s="76" t="str">
        <f>IF(SUM(AS5,AV5)&gt;0,SUM(AS5,AV5),"")</f>
        <v/>
      </c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52"/>
      <c r="BN5" s="75" t="str">
        <f>IF(AZ5&gt;0,AZ5,"")</f>
        <v/>
      </c>
      <c r="BO5" s="75" t="str">
        <f>IF(BA5&gt;0,BA5,"")</f>
        <v/>
      </c>
      <c r="BP5" s="16" t="str">
        <f>IF(SUM(AX5:BA5)-BB5&gt;0,SUM(AX5:BA5)-BB5,"")</f>
        <v/>
      </c>
      <c r="BQ5" s="16" t="str">
        <f>IF(BE5&gt;0,BE5,"")</f>
        <v/>
      </c>
      <c r="BR5" s="16" t="str">
        <f>IF(BF5&gt;0,BF5,"")</f>
        <v/>
      </c>
      <c r="BS5" s="16" t="str">
        <f>IF(SUM(BC5:BF5)-BG5&gt;0,SUM(BC5:BF5)-BG5,"")</f>
        <v/>
      </c>
      <c r="BT5" s="16" t="str">
        <f>IF(BP5="","",MAX(BP5,BS5))</f>
        <v/>
      </c>
      <c r="BU5" s="16" t="str">
        <f>IF(BJ5&gt;0,BJ5,"")</f>
        <v/>
      </c>
      <c r="BV5" s="16" t="str">
        <f>IF(BK5&gt;0,BK5,"")</f>
        <v/>
      </c>
      <c r="BW5" s="16" t="str">
        <f>IF(SUM(BH5:BK5)-BL5&gt;0,SUM(BH5:BK5)-BL5,"")</f>
        <v/>
      </c>
      <c r="BX5" s="16" t="str">
        <f>IF(SUM(BT5,BW5)&gt;0,SUM(BT5,BW5),"")</f>
        <v/>
      </c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51"/>
      <c r="CO5" s="74" t="str">
        <f>IF(CA5&gt;0,CA5,"")</f>
        <v/>
      </c>
      <c r="CP5" s="74" t="str">
        <f>IF(CB5&gt;0,CB5,"")</f>
        <v/>
      </c>
      <c r="CQ5" s="76" t="str">
        <f>IF(SUM(BY5:CB5)-CC5&gt;0,SUM(BY5:CB5)-CC5,"")</f>
        <v/>
      </c>
      <c r="CR5" s="76" t="str">
        <f>IF(CF5&gt;0,CF5,"")</f>
        <v/>
      </c>
      <c r="CS5" s="76" t="str">
        <f>IF(CG5&gt;0,CG5,"")</f>
        <v/>
      </c>
      <c r="CT5" s="76" t="str">
        <f>IF(SUM(CD5:CG5)-CH5&gt;0,SUM(CD5:CG5)-CH5,"")</f>
        <v/>
      </c>
      <c r="CU5" s="76" t="str">
        <f>IF(CQ5="","",MAX(CQ5,CT5))</f>
        <v/>
      </c>
      <c r="CV5" s="76" t="str">
        <f>IF(CK5&gt;0,CK5,"")</f>
        <v/>
      </c>
      <c r="CW5" s="76" t="str">
        <f>IF(CL5&gt;0,CL5,"")</f>
        <v/>
      </c>
      <c r="CX5" s="76" t="str">
        <f>IF(SUM(CI5:CL5)-CM5&gt;0,SUM(CI5:CL5)-CM5,"")</f>
        <v/>
      </c>
      <c r="CY5" s="76" t="str">
        <f>IF(SUM(CU5,CX5)&gt;0,SUM(CU5,CX5),"")</f>
        <v/>
      </c>
      <c r="CZ5" s="87" t="str">
        <f>IF(L5&gt;=0.001,IF(MAX(ED5,FL5,GT5,IB5,JJ5,KR5,LZ5,NH5,OP5,PX5,RF5,SN5)-IF(L5="",0,L5)&gt;0.001,MAX(ED5,FL5,GT5,IB5,JJ5,KR5,LZ5,NH5,OP5,PX5,RF5,SN5)-IF(L5="",0,L5),""),"")</f>
        <v/>
      </c>
      <c r="DA5" s="87" t="str">
        <f>IF(N5&gt;=0.001,IF(MAX(EG5,EJ5,FO5,FR5,GW5,GZ5,IE5,IH5,JM5,JP5,KU5,KX5,MC5,MF5,NK5,NN5,OS5,OV5,QA5,QD5,RI5,RL5,SQ5,ST5)-IF(N5="",0,N5)&gt;0.001,MAX(EG5,EJ5,FO5,FR5,GW5,GZ5,IE5,IH5,JM5,JP5,KU5,KX5,MC5,MF5,NK5,NN5,OS5,OV5,QA5,QD5,RI5,RL5,SQ5,ST5)-IF(N5="",0,N5),""),"")</f>
        <v/>
      </c>
      <c r="DB5" s="87">
        <f>IF(P5&gt;=0.001,IF(MAX(DX5,EA5,EE5,EH5,FF5,FI5,FM5,FP5,GN5,GQ5,GU5,GX5,HV5,HY5,IC5,IF5,JD5,JG5,JK5,JN5,KL5,KO5,KS5,KV5,LT5,LW5,MA5,MD5,NB5,NE5,NI5,NL5,OJ5,OM5,OQ5,OT5,PR5,PU5,PY5,QB5,QZ5,RC5,RG5,RJ5,SH5,SK5,SO5,SR5)-IF(P5="",0,P5)&gt;0.001,MAX(DX5,EA5,EE5,EH5,FF5,FI5,FM5,FP5,GN5,GQ5,GU5,GX5,HV5,HY5,IC5,IF5,JD5,JG5,JK5,JN5,KL5,KO5,KS5,KV5,LT5,LW5,MA5,MD5,NB5,NE5,NI5,NL5,OJ5,OM5,OQ5,OT5,PR5,PU5,PY5,QB5,QZ5,RC5,RG5,RJ5,SH5,SK5,SO5,SR5)-IF(P5="",0,P5),""),"")</f>
        <v>2</v>
      </c>
      <c r="DC5" s="87" t="str">
        <f>IF(R5&gt;=0.001,IF(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&gt;0.001,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,""),"")</f>
        <v/>
      </c>
      <c r="DD5" s="25">
        <v>0.75</v>
      </c>
      <c r="DE5" s="25">
        <v>1</v>
      </c>
      <c r="DF5" s="25">
        <v>2</v>
      </c>
      <c r="DG5" s="25">
        <v>1.36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2</v>
      </c>
      <c r="DY5" s="76">
        <f>IF(DG5&gt;0,DG5,"")</f>
        <v>1.36</v>
      </c>
      <c r="DZ5" s="76">
        <f>IF(SUM(DD5:DG5)-DH5&gt;0,SUM(DD5:DG5)-DH5,"")</f>
        <v>5.1100000000000003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5.1100000000000003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5.1100000000000003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IF($CN5="P",BY5,(BY5+AX5)/2)</f>
        <v>0</v>
      </c>
      <c r="SW5" s="42">
        <f>IF($CN5="P",BZ5,(BZ5+AY5)/2)</f>
        <v>0</v>
      </c>
      <c r="SX5" s="42">
        <f>IF($CN5="P",CA5,(CA5+AZ5)/2)</f>
        <v>0</v>
      </c>
      <c r="SY5" s="42">
        <f>IF($CN5="P",CB5,(CB5+BA5)/2)</f>
        <v>0</v>
      </c>
      <c r="SZ5" s="42">
        <f>IF($CN5="P",CC5,(CC5+BB5)/2)</f>
        <v>0</v>
      </c>
      <c r="TA5" s="42">
        <f>IF($CN5="P",CD5,(CD5+BC5)/2)</f>
        <v>0</v>
      </c>
      <c r="TB5" s="42">
        <f>IF($CN5="P",CE5,(CE5+BD5)/2)</f>
        <v>0</v>
      </c>
      <c r="TC5" s="42">
        <f>IF($CN5="P",CF5,(CF5+BE5)/2)</f>
        <v>0</v>
      </c>
      <c r="TD5" s="42">
        <f>IF($CN5="P",CG5,(CG5+BF5)/2)</f>
        <v>0</v>
      </c>
      <c r="TE5" s="42">
        <f>IF($CN5="P",CH5,(CH5+BG5)/2)</f>
        <v>0</v>
      </c>
      <c r="TF5" s="42">
        <f>IF($CN5="P",CI5,(CI5+BH5)/2)</f>
        <v>0</v>
      </c>
      <c r="TG5" s="42">
        <f>IF($CN5="P",CJ5,(CJ5+BI5)/2)</f>
        <v>0</v>
      </c>
      <c r="TH5" s="42">
        <f>IF($CN5="P",CK5,(CK5+BJ5)/2)</f>
        <v>0</v>
      </c>
      <c r="TI5" s="42">
        <f>IF($CN5="P",CL5,(CL5+BK5)/2)</f>
        <v>0</v>
      </c>
      <c r="TJ5" s="42">
        <f>IF($CN5="P",CM5,(CM5+BL5)/2)</f>
        <v>0</v>
      </c>
      <c r="TK5" s="51" t="s">
        <v>61</v>
      </c>
      <c r="TL5" s="76" t="str">
        <f>IF(SX5&gt;0,SX5,"")</f>
        <v/>
      </c>
      <c r="TM5" s="76" t="str">
        <f>IF(SY5&gt;0,SY5,"")</f>
        <v/>
      </c>
      <c r="TN5" s="76" t="str">
        <f>IF(SUM(SV5:SY5)-SZ5&gt;0,SUM(SV5:SY5)-SZ5,"")</f>
        <v/>
      </c>
      <c r="TO5" s="76" t="str">
        <f>IF(TC5&gt;0,TC5,"")</f>
        <v/>
      </c>
      <c r="TP5" s="76" t="str">
        <f>IF(TD5&gt;0,TD5,"")</f>
        <v/>
      </c>
      <c r="TQ5" s="76" t="str">
        <f>IF(SUM(TA5:TD5)-TE5&gt;0,SUM(TA5:TD5)-TE5,"")</f>
        <v/>
      </c>
      <c r="TR5" s="76" t="str">
        <f>IF(MAX(TN5,TQ5)&gt;0,MAX(TN5,TQ5),"")</f>
        <v/>
      </c>
      <c r="TS5" s="76" t="str">
        <f>IF(TH5&gt;0,TH5,"")</f>
        <v/>
      </c>
      <c r="TT5" s="76" t="str">
        <f>IF(TI5&gt;0,TI5,"")</f>
        <v/>
      </c>
      <c r="TU5" s="76" t="str">
        <f>IF(SUM(TF5:TI5)-TJ5&gt;0,SUM(TF5:TI5)-TJ5,"")</f>
        <v/>
      </c>
      <c r="TV5" s="76" t="str">
        <f>IF(SUM(TR5,TU5)&gt;0,SUM(TR5,TU5),"")</f>
        <v/>
      </c>
    </row>
    <row r="6" spans="1:542" x14ac:dyDescent="0.2">
      <c r="B6" s="6"/>
      <c r="D6" s="1"/>
    </row>
    <row r="7" spans="1:542" x14ac:dyDescent="0.2">
      <c r="G7" s="69"/>
      <c r="I7" s="69"/>
    </row>
    <row r="8" spans="1:542" x14ac:dyDescent="0.2">
      <c r="B8" s="43" t="s">
        <v>58</v>
      </c>
      <c r="C8" s="35"/>
      <c r="G8" s="3"/>
      <c r="AP8" s="77"/>
      <c r="AQ8" s="77"/>
      <c r="AR8" s="77"/>
      <c r="AT8" s="56"/>
      <c r="AU8" s="56"/>
      <c r="AW8" s="78">
        <v>14.2</v>
      </c>
      <c r="BQ8" s="77"/>
      <c r="BR8" s="77"/>
      <c r="BS8" s="77"/>
      <c r="BU8" s="56"/>
      <c r="BV8" s="56"/>
      <c r="BX8" s="78">
        <v>14.2</v>
      </c>
      <c r="CR8" s="77"/>
      <c r="CS8" s="77"/>
      <c r="CT8" s="77"/>
      <c r="CV8" s="56"/>
      <c r="CW8" s="56"/>
      <c r="CY8" s="78">
        <v>14.2</v>
      </c>
      <c r="DX8" s="35"/>
      <c r="DY8" s="35"/>
      <c r="EH8" s="33"/>
      <c r="EI8" s="33"/>
      <c r="EK8" s="78">
        <v>13.5</v>
      </c>
      <c r="FF8" s="35"/>
      <c r="FG8" s="35"/>
      <c r="FP8" s="33"/>
      <c r="FQ8" s="33"/>
      <c r="FS8" s="78">
        <v>13.5</v>
      </c>
      <c r="GN8" s="35"/>
      <c r="GO8" s="35"/>
      <c r="GX8" s="33"/>
      <c r="GY8" s="33"/>
      <c r="HA8" s="78">
        <v>14.2</v>
      </c>
      <c r="HV8" s="35"/>
      <c r="HW8" s="35"/>
      <c r="IF8" s="33"/>
      <c r="IG8" s="33"/>
      <c r="II8" s="78">
        <v>14.2</v>
      </c>
      <c r="JD8" s="35"/>
      <c r="JE8" s="35"/>
      <c r="JN8" s="33"/>
      <c r="JO8" s="33"/>
      <c r="JQ8" s="78">
        <v>14.2</v>
      </c>
      <c r="KL8" s="35"/>
      <c r="KM8" s="35"/>
      <c r="KV8" s="33"/>
      <c r="KW8" s="33"/>
      <c r="KY8" s="78">
        <v>14.2</v>
      </c>
      <c r="LT8" s="35"/>
      <c r="LU8" s="35"/>
      <c r="MD8" s="33"/>
      <c r="ME8" s="33"/>
      <c r="MG8" s="78">
        <v>14.2</v>
      </c>
      <c r="NB8" s="35"/>
      <c r="NC8" s="35"/>
      <c r="NL8" s="33"/>
      <c r="NM8" s="33"/>
      <c r="NO8" s="78">
        <v>14.2</v>
      </c>
      <c r="OJ8" s="35"/>
      <c r="OK8" s="35"/>
      <c r="OT8" s="33"/>
      <c r="OU8" s="33"/>
      <c r="OW8" s="78">
        <v>14.2</v>
      </c>
      <c r="PR8" s="35"/>
      <c r="PS8" s="35"/>
      <c r="QB8" s="33"/>
      <c r="QC8" s="33"/>
      <c r="QE8" s="78">
        <v>14.2</v>
      </c>
      <c r="QZ8" s="35"/>
      <c r="RA8" s="35"/>
      <c r="RJ8" s="33"/>
      <c r="RK8" s="33"/>
      <c r="RM8" s="78">
        <v>14.2</v>
      </c>
      <c r="SH8" s="35"/>
      <c r="SI8" s="35"/>
      <c r="SR8" s="33"/>
      <c r="SS8" s="33"/>
      <c r="SU8" s="78">
        <v>14.2</v>
      </c>
    </row>
    <row r="9" spans="1:542" x14ac:dyDescent="0.2">
      <c r="B9" s="54" t="s">
        <v>57</v>
      </c>
      <c r="C9" s="35"/>
      <c r="V9" s="2"/>
      <c r="AP9" s="77"/>
      <c r="AQ9" s="77"/>
      <c r="AR9" s="77"/>
      <c r="AT9" s="56"/>
      <c r="AU9" s="56"/>
      <c r="AW9" s="79">
        <v>14.6</v>
      </c>
      <c r="BQ9" s="77"/>
      <c r="BR9" s="77"/>
      <c r="BS9" s="77"/>
      <c r="BU9" s="56"/>
      <c r="BV9" s="56"/>
      <c r="BX9" s="79">
        <v>14.6</v>
      </c>
      <c r="CR9" s="77"/>
      <c r="CS9" s="77"/>
      <c r="CT9" s="77"/>
      <c r="CV9" s="56"/>
      <c r="CW9" s="56"/>
      <c r="CY9" s="79">
        <v>14.6</v>
      </c>
      <c r="DX9" s="35"/>
      <c r="DY9" s="35"/>
      <c r="EH9" s="33"/>
      <c r="EI9" s="33"/>
      <c r="EK9" s="79">
        <v>14.4</v>
      </c>
      <c r="FF9" s="35"/>
      <c r="FG9" s="35"/>
      <c r="FP9" s="33"/>
      <c r="FQ9" s="33"/>
      <c r="FS9" s="79">
        <v>14.4</v>
      </c>
      <c r="GN9" s="35"/>
      <c r="GO9" s="35"/>
      <c r="GX9" s="33"/>
      <c r="GY9" s="33"/>
      <c r="HA9" s="79">
        <v>14.6</v>
      </c>
      <c r="HV9" s="35"/>
      <c r="HW9" s="35"/>
      <c r="IF9" s="33"/>
      <c r="IG9" s="33"/>
      <c r="II9" s="79">
        <v>14.6</v>
      </c>
      <c r="JD9" s="35"/>
      <c r="JE9" s="35"/>
      <c r="JN9" s="33"/>
      <c r="JO9" s="33"/>
      <c r="JQ9" s="79">
        <v>14.6</v>
      </c>
      <c r="KL9" s="35"/>
      <c r="KM9" s="35"/>
      <c r="KV9" s="33"/>
      <c r="KW9" s="33"/>
      <c r="KY9" s="79">
        <v>14.6</v>
      </c>
      <c r="LT9" s="35"/>
      <c r="LU9" s="35"/>
      <c r="MD9" s="33"/>
      <c r="ME9" s="33"/>
      <c r="MG9" s="79">
        <v>14.6</v>
      </c>
      <c r="NB9" s="35"/>
      <c r="NC9" s="35"/>
      <c r="NL9" s="33"/>
      <c r="NM9" s="33"/>
      <c r="NO9" s="79">
        <v>14.6</v>
      </c>
      <c r="OJ9" s="35"/>
      <c r="OK9" s="35"/>
      <c r="OT9" s="33"/>
      <c r="OU9" s="33"/>
      <c r="OW9" s="79">
        <v>14.6</v>
      </c>
      <c r="PR9" s="35"/>
      <c r="PS9" s="35"/>
      <c r="QB9" s="33"/>
      <c r="QC9" s="33"/>
      <c r="QE9" s="79">
        <v>14.6</v>
      </c>
      <c r="QZ9" s="35"/>
      <c r="RA9" s="35"/>
      <c r="RJ9" s="33"/>
      <c r="RK9" s="33"/>
      <c r="RM9" s="79">
        <v>14.6</v>
      </c>
      <c r="SH9" s="35"/>
      <c r="SI9" s="35"/>
      <c r="SR9" s="33"/>
      <c r="SS9" s="33"/>
      <c r="SU9" s="79">
        <v>14.6</v>
      </c>
    </row>
    <row r="10" spans="1:542" x14ac:dyDescent="0.2">
      <c r="A10" s="35"/>
      <c r="B10" s="55" t="s">
        <v>71</v>
      </c>
      <c r="C10" s="35"/>
      <c r="AP10" s="77"/>
      <c r="AQ10" s="77"/>
      <c r="AR10" s="77"/>
      <c r="AS10" s="56"/>
      <c r="AT10" s="56"/>
      <c r="AU10" s="56"/>
      <c r="AV10" s="56"/>
      <c r="AW10" s="80">
        <v>15.2</v>
      </c>
      <c r="BQ10" s="77"/>
      <c r="BR10" s="77"/>
      <c r="BS10" s="77"/>
      <c r="BU10" s="56"/>
      <c r="BV10" s="56"/>
      <c r="BX10" s="80">
        <v>15.2</v>
      </c>
      <c r="CR10" s="77"/>
      <c r="CS10" s="77"/>
      <c r="CT10" s="77"/>
      <c r="CU10" s="56"/>
      <c r="CV10" s="56"/>
      <c r="CW10" s="56"/>
      <c r="CX10" s="56"/>
      <c r="CY10" s="80">
        <v>15.2</v>
      </c>
      <c r="DX10" s="35"/>
      <c r="DY10" s="35"/>
      <c r="EH10" s="33"/>
      <c r="EI10" s="33"/>
      <c r="EK10" s="80">
        <v>15.4</v>
      </c>
      <c r="FF10" s="35"/>
      <c r="FG10" s="35"/>
      <c r="FP10" s="33"/>
      <c r="FQ10" s="33"/>
      <c r="FS10" s="80">
        <v>15.4</v>
      </c>
      <c r="GN10" s="35"/>
      <c r="GO10" s="35"/>
      <c r="GX10" s="33"/>
      <c r="GY10" s="33"/>
      <c r="HA10" s="80">
        <v>15.2</v>
      </c>
      <c r="HV10" s="35"/>
      <c r="HW10" s="35"/>
      <c r="IF10" s="33"/>
      <c r="IG10" s="33"/>
      <c r="II10" s="80">
        <v>15.2</v>
      </c>
      <c r="JD10" s="35"/>
      <c r="JE10" s="35"/>
      <c r="JN10" s="33"/>
      <c r="JO10" s="33"/>
      <c r="JQ10" s="80">
        <v>15.2</v>
      </c>
      <c r="KL10" s="35"/>
      <c r="KM10" s="35"/>
      <c r="KV10" s="33"/>
      <c r="KW10" s="33"/>
      <c r="KY10" s="80">
        <v>15.2</v>
      </c>
      <c r="LT10" s="35"/>
      <c r="LU10" s="35"/>
      <c r="MD10" s="33"/>
      <c r="ME10" s="33"/>
      <c r="MG10" s="80">
        <v>15.2</v>
      </c>
      <c r="NB10" s="35"/>
      <c r="NC10" s="35"/>
      <c r="NL10" s="33"/>
      <c r="NM10" s="33"/>
      <c r="NO10" s="80">
        <v>15.2</v>
      </c>
      <c r="OJ10" s="35"/>
      <c r="OK10" s="35"/>
      <c r="OT10" s="33"/>
      <c r="OU10" s="33"/>
      <c r="OW10" s="80">
        <v>15.2</v>
      </c>
      <c r="PR10" s="35"/>
      <c r="PS10" s="35"/>
      <c r="QB10" s="33"/>
      <c r="QC10" s="33"/>
      <c r="QE10" s="80">
        <v>15.2</v>
      </c>
      <c r="QZ10" s="35"/>
      <c r="RA10" s="35"/>
      <c r="RJ10" s="33"/>
      <c r="RK10" s="33"/>
      <c r="RM10" s="80">
        <v>15.2</v>
      </c>
      <c r="SH10" s="35"/>
      <c r="SI10" s="35"/>
      <c r="SR10" s="33"/>
      <c r="SS10" s="33"/>
      <c r="SU10" s="80">
        <v>15.2</v>
      </c>
    </row>
    <row r="11" spans="1:542" x14ac:dyDescent="0.2">
      <c r="A11" s="35"/>
      <c r="B11" s="66" t="s">
        <v>86</v>
      </c>
      <c r="C11" s="35"/>
      <c r="AP11" s="77"/>
      <c r="AQ11" s="77"/>
      <c r="AR11" s="77"/>
      <c r="AS11" s="56"/>
      <c r="AT11" s="56"/>
      <c r="AU11" s="56"/>
      <c r="AV11" s="56"/>
      <c r="AW11" s="81">
        <v>16</v>
      </c>
      <c r="BQ11" s="77"/>
      <c r="BR11" s="77"/>
      <c r="BS11" s="77"/>
      <c r="BU11" s="56"/>
      <c r="BV11" s="56"/>
      <c r="BX11" s="81">
        <v>16</v>
      </c>
      <c r="CR11" s="77"/>
      <c r="CS11" s="77"/>
      <c r="CT11" s="77"/>
      <c r="CU11" s="56"/>
      <c r="CV11" s="56"/>
      <c r="CW11" s="56"/>
      <c r="CX11" s="56"/>
      <c r="CY11" s="81">
        <v>16</v>
      </c>
      <c r="DX11" s="35"/>
      <c r="DY11" s="35"/>
      <c r="EH11" s="33"/>
      <c r="EI11" s="33"/>
      <c r="EK11" s="81">
        <v>15.4</v>
      </c>
      <c r="FF11" s="35"/>
      <c r="FG11" s="35"/>
      <c r="FP11" s="33"/>
      <c r="FQ11" s="33"/>
      <c r="FS11" s="81">
        <v>15.4</v>
      </c>
      <c r="GN11" s="35"/>
      <c r="GO11" s="35"/>
      <c r="GX11" s="33"/>
      <c r="GY11" s="33"/>
      <c r="HA11" s="81">
        <v>16</v>
      </c>
      <c r="HV11" s="35"/>
      <c r="HW11" s="35"/>
      <c r="IF11" s="33"/>
      <c r="IG11" s="33"/>
      <c r="II11" s="81">
        <v>16</v>
      </c>
      <c r="JD11" s="35"/>
      <c r="JE11" s="35"/>
      <c r="JN11" s="33"/>
      <c r="JO11" s="33"/>
      <c r="JQ11" s="81">
        <v>16</v>
      </c>
      <c r="KL11" s="35"/>
      <c r="KM11" s="35"/>
      <c r="KV11" s="33"/>
      <c r="KW11" s="33"/>
      <c r="KY11" s="81">
        <v>16</v>
      </c>
      <c r="LT11" s="35"/>
      <c r="LU11" s="35"/>
      <c r="MD11" s="33"/>
      <c r="ME11" s="33"/>
      <c r="MG11" s="81">
        <v>16</v>
      </c>
      <c r="NB11" s="35"/>
      <c r="NC11" s="35"/>
      <c r="NL11" s="33"/>
      <c r="NM11" s="33"/>
      <c r="NO11" s="81">
        <v>16</v>
      </c>
      <c r="OJ11" s="35"/>
      <c r="OK11" s="35"/>
      <c r="OT11" s="33"/>
      <c r="OU11" s="33"/>
      <c r="OW11" s="81">
        <v>16</v>
      </c>
      <c r="PR11" s="35"/>
      <c r="PS11" s="35"/>
      <c r="QB11" s="33"/>
      <c r="QC11" s="33"/>
      <c r="QE11" s="81">
        <v>16</v>
      </c>
      <c r="QZ11" s="35"/>
      <c r="RA11" s="35"/>
      <c r="RJ11" s="33"/>
      <c r="RK11" s="33"/>
      <c r="RM11" s="81">
        <v>16</v>
      </c>
      <c r="SH11" s="35"/>
      <c r="SI11" s="35"/>
      <c r="SR11" s="33"/>
      <c r="SS11" s="33"/>
      <c r="SU11" s="81">
        <v>16</v>
      </c>
    </row>
    <row r="12" spans="1:542" x14ac:dyDescent="0.2">
      <c r="A12" s="35"/>
      <c r="B12" s="65" t="s">
        <v>55</v>
      </c>
      <c r="C12" s="35"/>
      <c r="N12" s="2"/>
      <c r="AP12" s="77"/>
      <c r="AQ12" s="77"/>
      <c r="AR12" s="77"/>
      <c r="AS12" s="56"/>
      <c r="AT12" s="56"/>
      <c r="AU12" s="56"/>
      <c r="AV12" s="56"/>
      <c r="AW12" s="82">
        <v>47.2</v>
      </c>
      <c r="BQ12" s="77"/>
      <c r="BR12" s="77"/>
      <c r="BS12" s="77"/>
      <c r="BU12" s="56"/>
      <c r="BV12" s="56"/>
      <c r="BX12" s="82">
        <v>47.2</v>
      </c>
      <c r="CR12" s="77"/>
      <c r="CS12" s="77"/>
      <c r="CT12" s="77"/>
      <c r="CU12" s="56"/>
      <c r="CV12" s="56"/>
      <c r="CW12" s="56"/>
      <c r="CX12" s="56"/>
      <c r="CY12" s="82">
        <v>47.2</v>
      </c>
      <c r="DX12" s="35"/>
      <c r="DY12" s="35"/>
      <c r="EH12" s="33"/>
      <c r="EI12" s="33"/>
      <c r="EK12" s="82">
        <v>49</v>
      </c>
      <c r="FF12" s="35"/>
      <c r="FG12" s="35"/>
      <c r="FP12" s="33"/>
      <c r="FQ12" s="33"/>
      <c r="FS12" s="82">
        <v>49</v>
      </c>
      <c r="GN12" s="35"/>
      <c r="GO12" s="35"/>
      <c r="GX12" s="33"/>
      <c r="GY12" s="33"/>
      <c r="HA12" s="82">
        <v>47.2</v>
      </c>
      <c r="HV12" s="35"/>
      <c r="HW12" s="35"/>
      <c r="IF12" s="33"/>
      <c r="IG12" s="33"/>
      <c r="II12" s="82">
        <v>47.2</v>
      </c>
      <c r="JD12" s="35"/>
      <c r="JE12" s="35"/>
      <c r="JN12" s="33"/>
      <c r="JO12" s="33"/>
      <c r="JQ12" s="82">
        <v>47.2</v>
      </c>
      <c r="KL12" s="35"/>
      <c r="KM12" s="35"/>
      <c r="KV12" s="33"/>
      <c r="KW12" s="33"/>
      <c r="KY12" s="82">
        <v>47.2</v>
      </c>
      <c r="LT12" s="35"/>
      <c r="LU12" s="35"/>
      <c r="MD12" s="33"/>
      <c r="ME12" s="33"/>
      <c r="MG12" s="82">
        <v>47.2</v>
      </c>
      <c r="NB12" s="35"/>
      <c r="NC12" s="35"/>
      <c r="NL12" s="33"/>
      <c r="NM12" s="33"/>
      <c r="NO12" s="82">
        <v>47.2</v>
      </c>
      <c r="OJ12" s="35"/>
      <c r="OK12" s="35"/>
      <c r="OT12" s="33"/>
      <c r="OU12" s="33"/>
      <c r="OW12" s="82">
        <v>47.2</v>
      </c>
      <c r="PR12" s="35"/>
      <c r="PS12" s="35"/>
      <c r="QB12" s="33"/>
      <c r="QC12" s="33"/>
      <c r="QE12" s="82">
        <v>47.2</v>
      </c>
      <c r="QZ12" s="35"/>
      <c r="RA12" s="35"/>
      <c r="RJ12" s="33"/>
      <c r="RK12" s="33"/>
      <c r="RM12" s="82">
        <v>47.2</v>
      </c>
      <c r="SH12" s="35"/>
      <c r="SI12" s="35"/>
      <c r="SR12" s="33"/>
      <c r="SS12" s="33"/>
      <c r="SU12" s="82">
        <v>47.2</v>
      </c>
    </row>
    <row r="13" spans="1:542" x14ac:dyDescent="0.2">
      <c r="A13" s="35"/>
      <c r="B13" s="44" t="s">
        <v>56</v>
      </c>
      <c r="C13" s="35"/>
      <c r="N13" s="2"/>
      <c r="AP13" s="77"/>
      <c r="AQ13" s="77"/>
      <c r="AR13" s="77"/>
      <c r="AS13" s="56"/>
      <c r="AT13" s="56"/>
      <c r="AU13" s="56"/>
      <c r="AV13" s="56"/>
      <c r="AW13" s="83">
        <v>48.5</v>
      </c>
      <c r="BQ13" s="77"/>
      <c r="BR13" s="77"/>
      <c r="BS13" s="77"/>
      <c r="BU13" s="56"/>
      <c r="BV13" s="56"/>
      <c r="BX13" s="83">
        <v>48.5</v>
      </c>
      <c r="CR13" s="77"/>
      <c r="CS13" s="77"/>
      <c r="CT13" s="77"/>
      <c r="CU13" s="56"/>
      <c r="CV13" s="56"/>
      <c r="CW13" s="56"/>
      <c r="CX13" s="56"/>
      <c r="CY13" s="83">
        <v>48.5</v>
      </c>
      <c r="DX13" s="35"/>
      <c r="DY13" s="35"/>
      <c r="EH13" s="33"/>
      <c r="EI13" s="33"/>
      <c r="EK13" s="83">
        <v>49</v>
      </c>
      <c r="FF13" s="35"/>
      <c r="FG13" s="35"/>
      <c r="FP13" s="33"/>
      <c r="FQ13" s="33"/>
      <c r="FS13" s="83">
        <v>49</v>
      </c>
      <c r="GN13" s="35"/>
      <c r="GO13" s="35"/>
      <c r="GX13" s="33"/>
      <c r="GY13" s="33"/>
      <c r="HA13" s="83">
        <v>48.5</v>
      </c>
      <c r="HV13" s="35"/>
      <c r="HW13" s="35"/>
      <c r="IF13" s="33"/>
      <c r="IG13" s="33"/>
      <c r="II13" s="83">
        <v>48.5</v>
      </c>
      <c r="JD13" s="35"/>
      <c r="JE13" s="35"/>
      <c r="JN13" s="33"/>
      <c r="JO13" s="33"/>
      <c r="JQ13" s="83">
        <v>48.5</v>
      </c>
      <c r="KL13" s="35"/>
      <c r="KM13" s="35"/>
      <c r="KV13" s="33"/>
      <c r="KW13" s="33"/>
      <c r="KY13" s="83">
        <v>48.5</v>
      </c>
      <c r="LT13" s="35"/>
      <c r="LU13" s="35"/>
      <c r="MD13" s="33"/>
      <c r="ME13" s="33"/>
      <c r="MG13" s="83">
        <v>48.5</v>
      </c>
      <c r="NB13" s="35"/>
      <c r="NC13" s="35"/>
      <c r="NL13" s="33"/>
      <c r="NM13" s="33"/>
      <c r="NO13" s="83">
        <v>48.5</v>
      </c>
      <c r="OJ13" s="35"/>
      <c r="OK13" s="35"/>
      <c r="OT13" s="33"/>
      <c r="OU13" s="33"/>
      <c r="OW13" s="83">
        <v>48.5</v>
      </c>
      <c r="PR13" s="35"/>
      <c r="PS13" s="35"/>
      <c r="QB13" s="33"/>
      <c r="QC13" s="33"/>
      <c r="QE13" s="83">
        <v>48.5</v>
      </c>
      <c r="QZ13" s="35"/>
      <c r="RA13" s="35"/>
      <c r="RJ13" s="33"/>
      <c r="RK13" s="33"/>
      <c r="RM13" s="83">
        <v>48.5</v>
      </c>
      <c r="SH13" s="35"/>
      <c r="SI13" s="35"/>
      <c r="SR13" s="33"/>
      <c r="SS13" s="33"/>
      <c r="SU13" s="83">
        <v>48.5</v>
      </c>
    </row>
    <row r="14" spans="1:542" x14ac:dyDescent="0.2">
      <c r="A14" s="35"/>
      <c r="B14" s="64" t="s">
        <v>70</v>
      </c>
      <c r="C14" s="35"/>
      <c r="AP14" s="77"/>
      <c r="AQ14" s="77"/>
      <c r="AR14" s="77"/>
      <c r="AS14" s="56"/>
      <c r="AT14" s="56"/>
      <c r="AU14" s="56"/>
      <c r="AV14" s="56"/>
      <c r="AW14" s="84">
        <v>49.2</v>
      </c>
      <c r="BQ14" s="77"/>
      <c r="BR14" s="77"/>
      <c r="BS14" s="77"/>
      <c r="BU14" s="56"/>
      <c r="BV14" s="56"/>
      <c r="BX14" s="84">
        <v>49.2</v>
      </c>
      <c r="CR14" s="77"/>
      <c r="CS14" s="77"/>
      <c r="CT14" s="77"/>
      <c r="CU14" s="56"/>
      <c r="CV14" s="56"/>
      <c r="CW14" s="56"/>
      <c r="CX14" s="56"/>
      <c r="CY14" s="84">
        <v>49.2</v>
      </c>
      <c r="DX14" s="35"/>
      <c r="DY14" s="35"/>
      <c r="EH14" s="33"/>
      <c r="EI14" s="33"/>
      <c r="EJ14" s="71"/>
      <c r="EK14" s="84">
        <v>49</v>
      </c>
      <c r="FF14" s="35"/>
      <c r="FG14" s="35"/>
      <c r="FP14" s="33"/>
      <c r="FQ14" s="33"/>
      <c r="FR14" s="71"/>
      <c r="FS14" s="84">
        <v>49</v>
      </c>
      <c r="GN14" s="35"/>
      <c r="GO14" s="35"/>
      <c r="GX14" s="33"/>
      <c r="GY14" s="33"/>
      <c r="GZ14" s="71"/>
      <c r="HA14" s="84">
        <v>49.2</v>
      </c>
      <c r="HV14" s="35"/>
      <c r="HW14" s="35"/>
      <c r="IF14" s="33"/>
      <c r="IG14" s="33"/>
      <c r="IH14" s="71"/>
      <c r="II14" s="84">
        <v>49.2</v>
      </c>
      <c r="JD14" s="35"/>
      <c r="JE14" s="35"/>
      <c r="JN14" s="33"/>
      <c r="JO14" s="33"/>
      <c r="JP14" s="71"/>
      <c r="JQ14" s="84">
        <v>49.2</v>
      </c>
      <c r="KL14" s="35"/>
      <c r="KM14" s="35"/>
      <c r="KV14" s="33"/>
      <c r="KW14" s="33"/>
      <c r="KX14" s="71"/>
      <c r="KY14" s="84">
        <v>49.2</v>
      </c>
      <c r="LT14" s="35"/>
      <c r="LU14" s="35"/>
      <c r="MD14" s="33"/>
      <c r="ME14" s="33"/>
      <c r="MF14" s="71"/>
      <c r="MG14" s="84">
        <v>49.2</v>
      </c>
      <c r="NB14" s="35"/>
      <c r="NC14" s="35"/>
      <c r="NL14" s="33"/>
      <c r="NM14" s="33"/>
      <c r="NN14" s="71"/>
      <c r="NO14" s="84">
        <v>49.2</v>
      </c>
      <c r="OJ14" s="35"/>
      <c r="OK14" s="35"/>
      <c r="OT14" s="33"/>
      <c r="OU14" s="33"/>
      <c r="OV14" s="71"/>
      <c r="OW14" s="84">
        <v>49.2</v>
      </c>
      <c r="PR14" s="35"/>
      <c r="PS14" s="35"/>
      <c r="QB14" s="33"/>
      <c r="QC14" s="33"/>
      <c r="QD14" s="71"/>
      <c r="QE14" s="84">
        <v>49.2</v>
      </c>
      <c r="QZ14" s="35"/>
      <c r="RA14" s="35"/>
      <c r="RJ14" s="33"/>
      <c r="RK14" s="33"/>
      <c r="RL14" s="71"/>
      <c r="RM14" s="84">
        <v>49.2</v>
      </c>
      <c r="SH14" s="35"/>
      <c r="SI14" s="35"/>
      <c r="SR14" s="33"/>
      <c r="SS14" s="33"/>
      <c r="ST14" s="71"/>
      <c r="SU14" s="84">
        <v>49.2</v>
      </c>
    </row>
    <row r="15" spans="1:542" x14ac:dyDescent="0.2">
      <c r="A15" s="35"/>
      <c r="B15" s="45" t="s">
        <v>39</v>
      </c>
      <c r="C15" s="35"/>
      <c r="N15" s="2"/>
      <c r="AP15" s="77"/>
      <c r="AQ15" s="77"/>
      <c r="AR15" s="77"/>
      <c r="AS15" s="56"/>
      <c r="AT15" s="77"/>
      <c r="AU15" s="77"/>
      <c r="AV15" s="56"/>
      <c r="AW15" s="85">
        <v>50</v>
      </c>
      <c r="BQ15" s="77"/>
      <c r="BR15" s="77"/>
      <c r="BS15" s="77"/>
      <c r="BU15" s="77"/>
      <c r="BV15" s="56"/>
      <c r="BX15" s="85">
        <v>50</v>
      </c>
      <c r="CR15" s="77"/>
      <c r="CS15" s="77"/>
      <c r="CT15" s="77"/>
      <c r="CU15" s="56"/>
      <c r="CV15" s="77"/>
      <c r="CW15" s="56"/>
      <c r="CX15" s="56"/>
      <c r="CY15" s="85">
        <v>50</v>
      </c>
      <c r="DX15" s="35"/>
      <c r="DY15" s="35"/>
      <c r="EH15" s="77" t="s">
        <v>143</v>
      </c>
      <c r="EI15" s="33"/>
      <c r="EK15" s="85">
        <v>50.2</v>
      </c>
      <c r="FF15" s="35"/>
      <c r="FG15" s="35"/>
      <c r="FP15" s="77"/>
      <c r="FQ15" s="33"/>
      <c r="FS15" s="85">
        <v>50.2</v>
      </c>
      <c r="GN15" s="35"/>
      <c r="GO15" s="35"/>
      <c r="GX15" s="33"/>
      <c r="GY15" s="33"/>
      <c r="HA15" s="85">
        <v>50</v>
      </c>
      <c r="HV15" s="35"/>
      <c r="HW15" s="35"/>
      <c r="IF15" s="77"/>
      <c r="IG15" s="33"/>
      <c r="II15" s="85">
        <v>50</v>
      </c>
      <c r="JD15" s="35"/>
      <c r="JE15" s="35"/>
      <c r="JN15" s="33"/>
      <c r="JO15" s="33"/>
      <c r="JQ15" s="85">
        <v>50</v>
      </c>
      <c r="KL15" s="35"/>
      <c r="KM15" s="35"/>
      <c r="KV15" s="33"/>
      <c r="KW15" s="33"/>
      <c r="KY15" s="85">
        <v>50</v>
      </c>
      <c r="LT15" s="35"/>
      <c r="LU15" s="35"/>
      <c r="MD15" s="33"/>
      <c r="ME15" s="33"/>
      <c r="MG15" s="85">
        <v>50</v>
      </c>
      <c r="NB15" s="35"/>
      <c r="NC15" s="35"/>
      <c r="NL15" s="33"/>
      <c r="NM15" s="33"/>
      <c r="NO15" s="85">
        <v>50</v>
      </c>
      <c r="OJ15" s="35"/>
      <c r="OK15" s="35"/>
      <c r="OT15" s="33"/>
      <c r="OU15" s="33"/>
      <c r="OW15" s="85">
        <v>50</v>
      </c>
      <c r="PR15" s="35"/>
      <c r="PS15" s="35"/>
      <c r="QB15" s="33"/>
      <c r="QC15" s="33"/>
      <c r="QE15" s="85">
        <v>50</v>
      </c>
      <c r="QZ15" s="35"/>
      <c r="RA15" s="35"/>
      <c r="RJ15" s="33"/>
      <c r="RK15" s="33"/>
      <c r="RM15" s="85">
        <v>50</v>
      </c>
      <c r="SH15" s="35"/>
      <c r="SI15" s="35"/>
      <c r="SR15" s="33"/>
      <c r="SS15" s="33"/>
      <c r="SU15" s="85">
        <v>50</v>
      </c>
    </row>
    <row r="16" spans="1:542" x14ac:dyDescent="0.2">
      <c r="B16" s="53" t="s">
        <v>62</v>
      </c>
      <c r="C16" s="2"/>
      <c r="AS16" s="56"/>
      <c r="AV16" s="56"/>
      <c r="CU16" s="56"/>
      <c r="CX16" s="56"/>
    </row>
    <row r="17" spans="1:840" x14ac:dyDescent="0.2">
      <c r="A17" s="35"/>
      <c r="B17" s="35"/>
      <c r="C17" s="34"/>
      <c r="AO17" s="56"/>
      <c r="AP17" s="56"/>
      <c r="AQ17" s="56"/>
      <c r="AR17" s="56"/>
      <c r="AS17" s="56"/>
      <c r="AV17" s="56"/>
      <c r="CQ17" s="56"/>
      <c r="CR17" s="56"/>
      <c r="CS17" s="56"/>
      <c r="CT17" s="56"/>
      <c r="CU17" s="56"/>
      <c r="CX17" s="56"/>
    </row>
    <row r="18" spans="1:840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5"/>
      <c r="U18" s="15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O18" s="56"/>
      <c r="AP18" s="56"/>
      <c r="AQ18" s="56"/>
      <c r="AR18" s="56"/>
      <c r="AS18" s="56"/>
      <c r="AV18" s="5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Q18" s="56"/>
      <c r="CR18" s="56"/>
      <c r="CS18" s="56"/>
      <c r="CT18" s="56"/>
      <c r="CU18" s="56"/>
      <c r="CX18" s="56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</row>
    <row r="19" spans="1:840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5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O19" s="56"/>
      <c r="AP19" s="56"/>
      <c r="AQ19" s="56"/>
      <c r="AR19" s="56"/>
      <c r="AS19" s="56"/>
      <c r="AV19" s="56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Q19" s="56"/>
      <c r="CR19" s="56"/>
      <c r="CS19" s="56"/>
      <c r="CT19" s="56"/>
      <c r="CU19" s="56"/>
      <c r="CX19" s="56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</row>
    <row r="20" spans="1:840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5"/>
      <c r="U20" s="15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O20" s="56"/>
      <c r="AP20" s="56"/>
      <c r="AQ20" s="56"/>
      <c r="AR20" s="56"/>
      <c r="AS20" s="56"/>
      <c r="AV20" s="5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Q20" s="56"/>
      <c r="CR20" s="56"/>
      <c r="CS20" s="56"/>
      <c r="CT20" s="56"/>
      <c r="CU20" s="56"/>
      <c r="CX20" s="56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</row>
    <row r="21" spans="1:840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5"/>
      <c r="U21" s="15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O21" s="56"/>
      <c r="AP21" s="56"/>
      <c r="AQ21" s="56"/>
      <c r="AR21" s="56"/>
      <c r="AS21" s="56"/>
      <c r="AV21" s="5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Q21" s="56"/>
      <c r="CR21" s="56"/>
      <c r="CS21" s="56"/>
      <c r="CT21" s="56"/>
      <c r="CU21" s="56"/>
      <c r="CX21" s="56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</row>
    <row r="22" spans="1:840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5"/>
      <c r="U22" s="15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O22" s="56"/>
      <c r="AP22" s="56"/>
      <c r="AQ22" s="56"/>
      <c r="AR22" s="56"/>
      <c r="AS22" s="56"/>
      <c r="AV22" s="56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Q22" s="56"/>
      <c r="CR22" s="56"/>
      <c r="CS22" s="56"/>
      <c r="CT22" s="56"/>
      <c r="CU22" s="56"/>
      <c r="CX22" s="56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</row>
    <row r="23" spans="1:840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5"/>
      <c r="U23" s="15"/>
      <c r="V23" s="15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</row>
    <row r="24" spans="1:840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5"/>
      <c r="U24" s="15"/>
      <c r="V24" s="1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</row>
    <row r="25" spans="1:840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5"/>
      <c r="U25" s="15"/>
      <c r="V25" s="1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</row>
    <row r="26" spans="1:840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5"/>
      <c r="U26" s="15"/>
      <c r="V26" s="15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</row>
    <row r="27" spans="1:840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5"/>
      <c r="U27" s="15"/>
      <c r="V27" s="15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</row>
    <row r="28" spans="1:840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5"/>
      <c r="U28" s="15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</row>
    <row r="29" spans="1:840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5"/>
      <c r="U29" s="15"/>
      <c r="V29" s="15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</row>
    <row r="30" spans="1:840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5"/>
      <c r="U30" s="15"/>
      <c r="V30" s="15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</row>
    <row r="31" spans="1:840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5"/>
      <c r="U31" s="15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</row>
    <row r="32" spans="1:840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5"/>
      <c r="U32" s="15"/>
      <c r="V32" s="15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</row>
    <row r="33" spans="1:840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5"/>
      <c r="U33" s="15"/>
      <c r="V33" s="15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</row>
    <row r="34" spans="1:840" ht="17" x14ac:dyDescent="0.2">
      <c r="T34" s="15"/>
      <c r="U34" s="15"/>
      <c r="V34" s="15"/>
    </row>
    <row r="35" spans="1:840" ht="17" x14ac:dyDescent="0.2">
      <c r="T35" s="15"/>
      <c r="U35" s="15"/>
      <c r="V35" s="15"/>
    </row>
    <row r="36" spans="1:840" ht="17" x14ac:dyDescent="0.2">
      <c r="T36" s="15"/>
      <c r="U36" s="15"/>
      <c r="V36" s="15"/>
    </row>
    <row r="37" spans="1:840" ht="17" x14ac:dyDescent="0.2">
      <c r="T37" s="15"/>
      <c r="U37" s="15"/>
      <c r="V37" s="15"/>
    </row>
  </sheetData>
  <sheetProtection sheet="1" formatCells="0" formatColumns="0" formatRows="0"/>
  <autoFilter ref="A1:TV5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5">
      <sortCondition descending="1" ref="F1:F6"/>
    </sortState>
  </autoFilter>
  <mergeCells count="99">
    <mergeCell ref="RX2:SB2"/>
    <mergeCell ref="SC2:SG2"/>
    <mergeCell ref="SV2:SZ2"/>
    <mergeCell ref="TA2:TE2"/>
    <mergeCell ref="TF2:TJ2"/>
    <mergeCell ref="RS2:RW2"/>
    <mergeCell ref="NZ2:OD2"/>
    <mergeCell ref="OE2:OI2"/>
    <mergeCell ref="OX2:PB2"/>
    <mergeCell ref="PC2:PG2"/>
    <mergeCell ref="PH2:PL2"/>
    <mergeCell ref="PM2:PQ2"/>
    <mergeCell ref="QF2:QJ2"/>
    <mergeCell ref="QK2:QO2"/>
    <mergeCell ref="QP2:QT2"/>
    <mergeCell ref="QU2:QY2"/>
    <mergeCell ref="RN2:RR2"/>
    <mergeCell ref="NU2:NY2"/>
    <mergeCell ref="KB2:KF2"/>
    <mergeCell ref="KG2:KK2"/>
    <mergeCell ref="KZ2:LD2"/>
    <mergeCell ref="LE2:LI2"/>
    <mergeCell ref="LJ2:LN2"/>
    <mergeCell ref="LO2:LS2"/>
    <mergeCell ref="MH2:ML2"/>
    <mergeCell ref="MM2:MQ2"/>
    <mergeCell ref="MR2:MV2"/>
    <mergeCell ref="MW2:NA2"/>
    <mergeCell ref="NP2:NT2"/>
    <mergeCell ref="EV2:EZ2"/>
    <mergeCell ref="FA2:FE2"/>
    <mergeCell ref="FT2:FX2"/>
    <mergeCell ref="JW2:KA2"/>
    <mergeCell ref="GD2:GH2"/>
    <mergeCell ref="GI2:GM2"/>
    <mergeCell ref="HB2:HF2"/>
    <mergeCell ref="HG2:HK2"/>
    <mergeCell ref="HL2:HP2"/>
    <mergeCell ref="HQ2:HU2"/>
    <mergeCell ref="IJ2:IN2"/>
    <mergeCell ref="IO2:IS2"/>
    <mergeCell ref="IT2:IX2"/>
    <mergeCell ref="IY2:JC2"/>
    <mergeCell ref="JR2:JV2"/>
    <mergeCell ref="DI2:DM2"/>
    <mergeCell ref="DN2:DR2"/>
    <mergeCell ref="DS2:DW2"/>
    <mergeCell ref="EL2:EP2"/>
    <mergeCell ref="EQ2:EU2"/>
    <mergeCell ref="QF1:RM1"/>
    <mergeCell ref="RN1:SU1"/>
    <mergeCell ref="SV1:TV1"/>
    <mergeCell ref="W2:AA2"/>
    <mergeCell ref="AB2:AF2"/>
    <mergeCell ref="AG2:AK2"/>
    <mergeCell ref="AX2:BB2"/>
    <mergeCell ref="BC2:BG2"/>
    <mergeCell ref="BH2:BL2"/>
    <mergeCell ref="BY2:CC2"/>
    <mergeCell ref="IJ1:JQ1"/>
    <mergeCell ref="JR1:KY1"/>
    <mergeCell ref="KZ1:MG1"/>
    <mergeCell ref="MH1:NO1"/>
    <mergeCell ref="NP1:OW1"/>
    <mergeCell ref="OX1:QE1"/>
    <mergeCell ref="HB1:II1"/>
    <mergeCell ref="S1:S3"/>
    <mergeCell ref="T1:T3"/>
    <mergeCell ref="U1:U3"/>
    <mergeCell ref="V1:V3"/>
    <mergeCell ref="W1:AW1"/>
    <mergeCell ref="AX1:BX1"/>
    <mergeCell ref="BY1:CY1"/>
    <mergeCell ref="CZ1:DC1"/>
    <mergeCell ref="DD1:EK1"/>
    <mergeCell ref="EL1:FS1"/>
    <mergeCell ref="FT1:HA1"/>
    <mergeCell ref="FY2:GC2"/>
    <mergeCell ref="CD2:CH2"/>
    <mergeCell ref="CI2:CM2"/>
    <mergeCell ref="DD2:DH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H1:H1048576">
    <cfRule type="containsText" dxfId="435" priority="171" operator="containsText" text="No DD">
      <formula>NOT(ISERROR(SEARCH("No DD",H1)))</formula>
    </cfRule>
    <cfRule type="containsText" dxfId="434" priority="172" operator="containsText" text="Merit">
      <formula>NOT(ISERROR(SEARCH("Merit",H1)))</formula>
    </cfRule>
    <cfRule type="containsText" dxfId="433" priority="173" operator="containsText" text="Excellence">
      <formula>NOT(ISERROR(SEARCH("Excellence",H1)))</formula>
    </cfRule>
    <cfRule type="containsText" dxfId="432" priority="174" operator="containsText" text="Worlds Team">
      <formula>NOT(ISERROR(SEARCH("Worlds Team",H1)))</formula>
    </cfRule>
    <cfRule type="containsText" dxfId="431" priority="175" operator="containsText" text="National Team">
      <formula>NOT(ISERROR(SEARCH("National Team",H1)))</formula>
    </cfRule>
  </conditionalFormatting>
  <conditionalFormatting sqref="A1:A1048576">
    <cfRule type="expression" dxfId="430" priority="176">
      <formula>AND(G1&lt;&gt;"",F1="")</formula>
    </cfRule>
  </conditionalFormatting>
  <conditionalFormatting sqref="W4:AW5">
    <cfRule type="expression" dxfId="429" priority="177" stopIfTrue="1">
      <formula>IF($AL4&lt;&gt;"",1,0)</formula>
    </cfRule>
  </conditionalFormatting>
  <conditionalFormatting sqref="AX4:BX5">
    <cfRule type="expression" dxfId="428" priority="169" stopIfTrue="1">
      <formula>IF($BM4&lt;&gt;"",1,0)</formula>
    </cfRule>
  </conditionalFormatting>
  <conditionalFormatting sqref="BY4:CY5">
    <cfRule type="expression" dxfId="427" priority="165" stopIfTrue="1">
      <formula>IF($CN4&lt;&gt;"",1,0)</formula>
    </cfRule>
  </conditionalFormatting>
  <conditionalFormatting sqref="K1:K1048576 M1:M1048576 O1:O1048576 Q1:Q1048576 S1:S1048576">
    <cfRule type="expression" dxfId="426" priority="194">
      <formula>IF(K1=$BY$1,1,0)</formula>
    </cfRule>
    <cfRule type="expression" dxfId="425" priority="195">
      <formula>IF(K1=$AX$1,1,0)</formula>
    </cfRule>
    <cfRule type="expression" dxfId="424" priority="196">
      <formula>IF(K1=$W$1,1,0)</formula>
    </cfRule>
  </conditionalFormatting>
  <conditionalFormatting sqref="BU16:BU1048576 BN1:BN1048576 BQ1:BQ1048576 BU1:BU14">
    <cfRule type="cellIs" dxfId="423" priority="188" operator="between">
      <formula>$BX$11</formula>
      <formula>1000</formula>
    </cfRule>
    <cfRule type="cellIs" dxfId="422" priority="189" operator="between">
      <formula>$BX$10</formula>
      <formula>$BX$11</formula>
    </cfRule>
    <cfRule type="cellIs" dxfId="421" priority="190" operator="between">
      <formula>$BX$9</formula>
      <formula>$BX$10</formula>
    </cfRule>
    <cfRule type="cellIs" dxfId="420" priority="191" operator="between">
      <formula>$BX$8</formula>
      <formula>$BX$9</formula>
    </cfRule>
  </conditionalFormatting>
  <conditionalFormatting sqref="CV16:CV1048576 CO1:CO1048576 CR1:CR1048576 CV1:CV14">
    <cfRule type="cellIs" dxfId="419" priority="179" operator="between">
      <formula>$CY$11</formula>
      <formula>1000</formula>
    </cfRule>
    <cfRule type="cellIs" dxfId="418" priority="180" operator="between">
      <formula>$CY$10</formula>
      <formula>$CY$11</formula>
    </cfRule>
    <cfRule type="cellIs" dxfId="417" priority="181" operator="between">
      <formula>$CY$9</formula>
      <formula>$CY$10</formula>
    </cfRule>
    <cfRule type="cellIs" dxfId="416" priority="182" operator="between">
      <formula>$CY$8</formula>
      <formula>$CY$9</formula>
    </cfRule>
  </conditionalFormatting>
  <conditionalFormatting sqref="EH16:EH1048576 DX1:DX1048576 EA1:EA1048576 EE1:EE1048576 EH1:EH14">
    <cfRule type="cellIs" dxfId="415" priority="203" operator="between">
      <formula>$EK$11</formula>
      <formula>1000</formula>
    </cfRule>
    <cfRule type="cellIs" dxfId="414" priority="204" operator="between">
      <formula>$EK$10</formula>
      <formula>$EK$11</formula>
    </cfRule>
    <cfRule type="cellIs" dxfId="413" priority="205" operator="between">
      <formula>$EK$9</formula>
      <formula>$EK$10</formula>
    </cfRule>
    <cfRule type="cellIs" dxfId="412" priority="206" operator="between">
      <formula>$EK$8</formula>
      <formula>$EK$9</formula>
    </cfRule>
  </conditionalFormatting>
  <conditionalFormatting sqref="FP16:FP1048576 FF1:FF1048576 FI1:FI1048576 FM1:FM1048576 FP1:FP14">
    <cfRule type="cellIs" dxfId="411" priority="153" operator="between">
      <formula>$FS$11</formula>
      <formula>1000</formula>
    </cfRule>
    <cfRule type="cellIs" dxfId="410" priority="154" operator="between">
      <formula>$FS$10</formula>
      <formula>$FS$11</formula>
    </cfRule>
    <cfRule type="cellIs" dxfId="409" priority="155" operator="between">
      <formula>$FS$9</formula>
      <formula>$FS$10</formula>
    </cfRule>
    <cfRule type="cellIs" dxfId="408" priority="156" operator="between">
      <formula>$FS$8</formula>
      <formula>$FS$9</formula>
    </cfRule>
  </conditionalFormatting>
  <conditionalFormatting sqref="IF16:IF1048576 HV1:HV1048576 HY1:HY1048576 IC1:IC1048576 IF1:IF14">
    <cfRule type="cellIs" dxfId="407" priority="129" operator="between">
      <formula>$II$11</formula>
      <formula>1000</formula>
    </cfRule>
    <cfRule type="cellIs" dxfId="406" priority="130" operator="between">
      <formula>$II$10</formula>
      <formula>$II$11</formula>
    </cfRule>
    <cfRule type="cellIs" dxfId="405" priority="131" operator="between">
      <formula>$II$9</formula>
      <formula>$II$10</formula>
    </cfRule>
    <cfRule type="cellIs" dxfId="404" priority="132" operator="between">
      <formula>$II$8</formula>
      <formula>$II$9</formula>
    </cfRule>
  </conditionalFormatting>
  <conditionalFormatting sqref="AU15 AM1:AM1048576 AP1:AP1048576 AT1:AT1048576">
    <cfRule type="cellIs" dxfId="403" priority="25" operator="between">
      <formula>$AW$11</formula>
      <formula>1000</formula>
    </cfRule>
    <cfRule type="cellIs" dxfId="402" priority="26" operator="between">
      <formula>$AW$10</formula>
      <formula>$AW$11</formula>
    </cfRule>
    <cfRule type="cellIs" dxfId="401" priority="27" operator="between">
      <formula>$AW$9</formula>
      <formula>$AW$10</formula>
    </cfRule>
    <cfRule type="cellIs" dxfId="400" priority="28" operator="between">
      <formula>$AW$8</formula>
      <formula>$AW$9</formula>
    </cfRule>
  </conditionalFormatting>
  <conditionalFormatting sqref="BU15">
    <cfRule type="cellIs" dxfId="399" priority="21" operator="between">
      <formula>$AW$11</formula>
      <formula>1000</formula>
    </cfRule>
    <cfRule type="cellIs" dxfId="398" priority="22" operator="between">
      <formula>$AW$10</formula>
      <formula>$AW$11</formula>
    </cfRule>
    <cfRule type="cellIs" dxfId="397" priority="23" operator="between">
      <formula>$AW$9</formula>
      <formula>$AW$10</formula>
    </cfRule>
    <cfRule type="cellIs" dxfId="396" priority="24" operator="between">
      <formula>$AW$8</formula>
      <formula>$AW$9</formula>
    </cfRule>
  </conditionalFormatting>
  <conditionalFormatting sqref="CV15">
    <cfRule type="cellIs" dxfId="395" priority="17" operator="between">
      <formula>$AW$11</formula>
      <formula>1000</formula>
    </cfRule>
    <cfRule type="cellIs" dxfId="394" priority="18" operator="between">
      <formula>$AW$10</formula>
      <formula>$AW$11</formula>
    </cfRule>
    <cfRule type="cellIs" dxfId="393" priority="19" operator="between">
      <formula>$AW$9</formula>
      <formula>$AW$10</formula>
    </cfRule>
    <cfRule type="cellIs" dxfId="392" priority="20" operator="between">
      <formula>$AW$8</formula>
      <formula>$AW$9</formula>
    </cfRule>
  </conditionalFormatting>
  <conditionalFormatting sqref="FP15">
    <cfRule type="cellIs" dxfId="391" priority="9" operator="between">
      <formula>$AW$11</formula>
      <formula>1000</formula>
    </cfRule>
    <cfRule type="cellIs" dxfId="390" priority="10" operator="between">
      <formula>$AW$10</formula>
      <formula>$AW$11</formula>
    </cfRule>
    <cfRule type="cellIs" dxfId="389" priority="11" operator="between">
      <formula>$AW$9</formula>
      <formula>$AW$10</formula>
    </cfRule>
    <cfRule type="cellIs" dxfId="388" priority="12" operator="between">
      <formula>$AW$8</formula>
      <formula>$AW$9</formula>
    </cfRule>
  </conditionalFormatting>
  <conditionalFormatting sqref="IF15">
    <cfRule type="cellIs" dxfId="387" priority="5" operator="between">
      <formula>$AW$11</formula>
      <formula>1000</formula>
    </cfRule>
    <cfRule type="cellIs" dxfId="386" priority="6" operator="between">
      <formula>$AW$10</formula>
      <formula>$AW$11</formula>
    </cfRule>
    <cfRule type="cellIs" dxfId="385" priority="7" operator="between">
      <formula>$AW$9</formula>
      <formula>$AW$10</formula>
    </cfRule>
    <cfRule type="cellIs" dxfId="384" priority="8" operator="between">
      <formula>$AW$8</formula>
      <formula>$AW$9</formula>
    </cfRule>
  </conditionalFormatting>
  <conditionalFormatting sqref="CT1:CT1048576 AR1:AR1048576">
    <cfRule type="cellIs" dxfId="383" priority="54216" operator="between">
      <formula>AW$15</formula>
      <formula>1000</formula>
    </cfRule>
    <cfRule type="cellIs" dxfId="382" priority="54217" operator="between">
      <formula>AW$14</formula>
      <formula>AW$15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54276" operator="between">
      <formula>EK$15</formula>
      <formula>1000</formula>
    </cfRule>
    <cfRule type="cellIs" dxfId="380" priority="54277" operator="between">
      <formula>EK$14</formula>
      <formula>EK$15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379" priority="54282" operator="between">
      <formula>EK$13</formula>
      <formula>1000</formula>
    </cfRule>
    <cfRule type="cellIs" dxfId="378" priority="54283" operator="between">
      <formula>EK$12</formula>
      <formula>EK$13</formula>
    </cfRule>
  </conditionalFormatting>
  <conditionalFormatting sqref="AO1:AO1048576 AR1:AR1048576 AV1:AV1048576">
    <cfRule type="cellIs" dxfId="377" priority="54388" operator="between">
      <formula>$AW$15</formula>
      <formula>1000</formula>
    </cfRule>
    <cfRule type="cellIs" dxfId="376" priority="54389" operator="between">
      <formula>$AW$14</formula>
      <formula>$AW$15</formula>
    </cfRule>
    <cfRule type="cellIs" dxfId="375" priority="54390" operator="between">
      <formula>$AW$13</formula>
      <formula>$AW$14</formula>
    </cfRule>
    <cfRule type="cellIs" dxfId="374" priority="54391" operator="between">
      <formula>$AW$12</formula>
      <formula>$AW$13</formula>
    </cfRule>
  </conditionalFormatting>
  <conditionalFormatting sqref="BP1:BP1048576 BS1:BS1048576 BW1:BW1048576">
    <cfRule type="cellIs" dxfId="373" priority="54424" operator="between">
      <formula>$BX$15</formula>
      <formula>1000</formula>
    </cfRule>
    <cfRule type="cellIs" dxfId="372" priority="54425" operator="between">
      <formula>$BX$14</formula>
      <formula>$BX$15</formula>
    </cfRule>
    <cfRule type="cellIs" dxfId="371" priority="54426" operator="between">
      <formula>$BX$13</formula>
      <formula>$BX$14</formula>
    </cfRule>
    <cfRule type="cellIs" dxfId="370" priority="54427" operator="between">
      <formula>$BX$12</formula>
      <formula>$BX$13</formula>
    </cfRule>
  </conditionalFormatting>
  <conditionalFormatting sqref="CQ1:CQ1048576 CT1:CT1048576 CX1:CX1048576">
    <cfRule type="cellIs" dxfId="369" priority="54460" operator="between">
      <formula>$CY$15</formula>
      <formula>1000</formula>
    </cfRule>
    <cfRule type="cellIs" dxfId="368" priority="54461" operator="between">
      <formula>$CY$14</formula>
      <formula>$CY$15</formula>
    </cfRule>
    <cfRule type="cellIs" dxfId="367" priority="54462" operator="between">
      <formula>$CY$13</formula>
      <formula>$CY$14</formula>
    </cfRule>
    <cfRule type="cellIs" dxfId="366" priority="54463" operator="between">
      <formula>$CY$12</formula>
      <formula>$CY$13</formula>
    </cfRule>
  </conditionalFormatting>
  <conditionalFormatting sqref="NB1:NB1048576 NE1:NE1048576 NI1:NI1048576 NL1:NL1048576">
    <cfRule type="cellIs" dxfId="365" priority="54580" operator="between">
      <formula>$NO$8</formula>
      <formula>$NO$9</formula>
    </cfRule>
  </conditionalFormatting>
  <conditionalFormatting sqref="DZ1:DZ1048576 EC1:EC1048576 EG1:EG1048576 EJ1:EJ1048576">
    <cfRule type="cellIs" dxfId="364" priority="54684" operator="between">
      <formula>$EK$15</formula>
      <formula>1000</formula>
    </cfRule>
    <cfRule type="cellIs" dxfId="363" priority="54685" operator="between">
      <formula>$EK$14</formula>
      <formula>$EK$15</formula>
    </cfRule>
    <cfRule type="cellIs" dxfId="362" priority="54686" operator="between">
      <formula>$EK$13</formula>
      <formula>$EK$14</formula>
    </cfRule>
    <cfRule type="cellIs" dxfId="361" priority="54687" operator="between">
      <formula>$EK$12</formula>
      <formula>$EK$13</formula>
    </cfRule>
  </conditionalFormatting>
  <conditionalFormatting sqref="FH1:FH1048576 FK1:FK1048576 FO1:FO1048576 FR1:FR1048576">
    <cfRule type="cellIs" dxfId="360" priority="54776" operator="between">
      <formula>$FS$15</formula>
      <formula>1000</formula>
    </cfRule>
    <cfRule type="cellIs" dxfId="359" priority="54777" operator="between">
      <formula>$FS$14</formula>
      <formula>$FS$15</formula>
    </cfRule>
    <cfRule type="cellIs" dxfId="358" priority="54778" operator="between">
      <formula>$FS$13</formula>
      <formula>$FS$14</formula>
    </cfRule>
    <cfRule type="cellIs" dxfId="357" priority="54779" operator="between">
      <formula>$FS$12</formula>
      <formula>$FS$13</formula>
    </cfRule>
  </conditionalFormatting>
  <conditionalFormatting sqref="GN1:GN1048576 GQ1:GQ1048576 GU1:GU1048576 GX1:GX1048576">
    <cfRule type="cellIs" dxfId="356" priority="54824" operator="between">
      <formula>$HA$11</formula>
      <formula>1000</formula>
    </cfRule>
    <cfRule type="cellIs" dxfId="355" priority="54825" operator="between">
      <formula>$HA$10</formula>
      <formula>$HA$11</formula>
    </cfRule>
    <cfRule type="cellIs" dxfId="354" priority="54826" operator="between">
      <formula>$HA$9</formula>
      <formula>$HA$10</formula>
    </cfRule>
    <cfRule type="cellIs" dxfId="353" priority="54827" operator="between">
      <formula>$HA$8</formula>
      <formula>$HA$9</formula>
    </cfRule>
  </conditionalFormatting>
  <conditionalFormatting sqref="GP1:GP1048576 GS1:GS1048576 GW1:GW1048576 GZ1:GZ1048576">
    <cfRule type="cellIs" dxfId="352" priority="54872" operator="between">
      <formula>$HA$15</formula>
      <formula>1000</formula>
    </cfRule>
    <cfRule type="cellIs" dxfId="351" priority="54873" operator="between">
      <formula>$HA$14</formula>
      <formula>$HA$15</formula>
    </cfRule>
    <cfRule type="cellIs" dxfId="350" priority="54874" operator="between">
      <formula>$HA$13</formula>
      <formula>$HA$14</formula>
    </cfRule>
    <cfRule type="cellIs" dxfId="349" priority="54875" operator="between">
      <formula>$HA$12</formula>
      <formula>$HA$13</formula>
    </cfRule>
  </conditionalFormatting>
  <conditionalFormatting sqref="HX1:HX1048576 IA1:IA1048576 IE1:IE1048576 IH1:IH1048576">
    <cfRule type="cellIs" dxfId="348" priority="54964" operator="between">
      <formula>$II$15</formula>
      <formula>1000</formula>
    </cfRule>
    <cfRule type="cellIs" dxfId="347" priority="54965" operator="between">
      <formula>$II$14</formula>
      <formula>$II$15</formula>
    </cfRule>
    <cfRule type="cellIs" dxfId="346" priority="54966" operator="between">
      <formula>$II$13</formula>
      <formula>$II$14</formula>
    </cfRule>
    <cfRule type="cellIs" dxfId="345" priority="54967" operator="between">
      <formula>$II$12</formula>
      <formula>$II$13</formula>
    </cfRule>
  </conditionalFormatting>
  <conditionalFormatting sqref="JD1:JD1048576 JG1:JG1048576 JK1:JK1048576 JN1:JN1048576">
    <cfRule type="cellIs" dxfId="344" priority="55012" operator="between">
      <formula>$JQ$11</formula>
      <formula>1000</formula>
    </cfRule>
    <cfRule type="cellIs" dxfId="343" priority="55013" operator="between">
      <formula>$JQ$10</formula>
      <formula>$JQ$11</formula>
    </cfRule>
    <cfRule type="cellIs" dxfId="342" priority="55014" operator="between">
      <formula>$JQ$9</formula>
      <formula>$JQ$10</formula>
    </cfRule>
    <cfRule type="cellIs" dxfId="341" priority="55015" operator="between">
      <formula>$JQ$8</formula>
      <formula>$JQ$9</formula>
    </cfRule>
  </conditionalFormatting>
  <conditionalFormatting sqref="JF1:JF1048576 JI1:JI1048576 JM1:JM1048576 JP1:JP1048576">
    <cfRule type="cellIs" dxfId="340" priority="55060" operator="between">
      <formula>$JQ$15</formula>
      <formula>1000</formula>
    </cfRule>
    <cfRule type="cellIs" dxfId="339" priority="55061" operator="between">
      <formula>$JQ$14</formula>
      <formula>$JQ$15</formula>
    </cfRule>
    <cfRule type="cellIs" dxfId="338" priority="55062" operator="between">
      <formula>$JQ$13</formula>
      <formula>$JQ$14</formula>
    </cfRule>
    <cfRule type="cellIs" dxfId="337" priority="55063" operator="between">
      <formula>$JQ$12</formula>
      <formula>$JQ$13</formula>
    </cfRule>
  </conditionalFormatting>
  <conditionalFormatting sqref="KL1:KL1048576 KO1:KO1048576 KS1:KS1048576 KV1:KV1048576">
    <cfRule type="cellIs" dxfId="336" priority="55108" operator="between">
      <formula>$KY$11</formula>
      <formula>1000</formula>
    </cfRule>
    <cfRule type="cellIs" dxfId="335" priority="55109" operator="between">
      <formula>$KY$10</formula>
      <formula>$KY$11</formula>
    </cfRule>
    <cfRule type="cellIs" dxfId="334" priority="55110" operator="between">
      <formula>$KY$9</formula>
      <formula>$KY$10</formula>
    </cfRule>
    <cfRule type="cellIs" dxfId="333" priority="55111" operator="between">
      <formula>$KY$8</formula>
      <formula>$KY$9</formula>
    </cfRule>
  </conditionalFormatting>
  <conditionalFormatting sqref="KN1:KN1048576 KQ1:KQ1048576 KU1:KU1048576 KX1:KX1048576">
    <cfRule type="cellIs" dxfId="332" priority="55156" operator="between">
      <formula>$KY$15</formula>
      <formula>1000</formula>
    </cfRule>
    <cfRule type="cellIs" dxfId="331" priority="55157" operator="between">
      <formula>$KY$14</formula>
      <formula>$KY$15</formula>
    </cfRule>
    <cfRule type="cellIs" dxfId="330" priority="55158" operator="between">
      <formula>$KY$13</formula>
      <formula>$KY$14</formula>
    </cfRule>
    <cfRule type="cellIs" dxfId="329" priority="55159" operator="between">
      <formula>$KY$12</formula>
      <formula>$KY$13</formula>
    </cfRule>
  </conditionalFormatting>
  <conditionalFormatting sqref="LT1:LT1048576 LW1:LW1048576 MA1:MA1048576 MD1:MD1048576">
    <cfRule type="cellIs" dxfId="328" priority="55204" operator="between">
      <formula>$MG$11</formula>
      <formula>1000</formula>
    </cfRule>
    <cfRule type="cellIs" dxfId="327" priority="55205" operator="between">
      <formula>$MG$10</formula>
      <formula>$MG$11</formula>
    </cfRule>
    <cfRule type="cellIs" dxfId="326" priority="55206" operator="between">
      <formula>$MG$9</formula>
      <formula>$MG$10</formula>
    </cfRule>
    <cfRule type="cellIs" dxfId="325" priority="55207" operator="between">
      <formula>$MG$8</formula>
      <formula>$MG$9</formula>
    </cfRule>
  </conditionalFormatting>
  <conditionalFormatting sqref="LV1:LV1048576 LY1:LY1048576 MC1:MC1048576 MF1:MF1048576">
    <cfRule type="cellIs" dxfId="324" priority="55252" operator="between">
      <formula>$MG$15</formula>
      <formula>1000</formula>
    </cfRule>
    <cfRule type="cellIs" dxfId="323" priority="55253" operator="between">
      <formula>$MG$14</formula>
      <formula>$MG$15</formula>
    </cfRule>
    <cfRule type="cellIs" dxfId="322" priority="55254" operator="between">
      <formula>$MG$13</formula>
      <formula>$MG$14</formula>
    </cfRule>
    <cfRule type="cellIs" dxfId="321" priority="55255" operator="between">
      <formula>$MG$12</formula>
      <formula>$MG$13</formula>
    </cfRule>
  </conditionalFormatting>
  <conditionalFormatting sqref="NB1:NB1048576 NE1:NE1048576 NI1:NI1048576">
    <cfRule type="cellIs" dxfId="320" priority="55300" operator="between">
      <formula>$NO$11</formula>
      <formula>1000</formula>
    </cfRule>
    <cfRule type="cellIs" dxfId="319" priority="55301" operator="between">
      <formula>$NO$10</formula>
      <formula>$NO$11</formula>
    </cfRule>
    <cfRule type="cellIs" dxfId="318" priority="55302" operator="between">
      <formula>$NO$9</formula>
      <formula>$NO$10</formula>
    </cfRule>
  </conditionalFormatting>
  <conditionalFormatting sqref="ND1:ND1048576 NG1:NG1048576 NK1:NK1048576 NN1:NN1048576">
    <cfRule type="cellIs" dxfId="317" priority="55327" operator="between">
      <formula>$NO$15</formula>
      <formula>1000</formula>
    </cfRule>
    <cfRule type="cellIs" dxfId="316" priority="55328" operator="between">
      <formula>$NO$14</formula>
      <formula>$NO$15</formula>
    </cfRule>
    <cfRule type="cellIs" dxfId="315" priority="55329" operator="between">
      <formula>$NO$13</formula>
      <formula>$NO$14</formula>
    </cfRule>
    <cfRule type="cellIs" dxfId="314" priority="55330" operator="between">
      <formula>$NO$12</formula>
      <formula>$NO$13</formula>
    </cfRule>
  </conditionalFormatting>
  <conditionalFormatting sqref="OJ1:OJ1048576 OM1:OM1048576 OQ1:OQ1048576 OT1:OT1048576">
    <cfRule type="cellIs" dxfId="313" priority="55375" operator="between">
      <formula>$OW$11</formula>
      <formula>1000</formula>
    </cfRule>
    <cfRule type="cellIs" dxfId="312" priority="55376" operator="between">
      <formula>$OW$10</formula>
      <formula>$OW$11</formula>
    </cfRule>
    <cfRule type="cellIs" dxfId="311" priority="55377" operator="between">
      <formula>$OW$9</formula>
      <formula>$OW$10</formula>
    </cfRule>
    <cfRule type="cellIs" dxfId="310" priority="55378" operator="between">
      <formula>$OW$8</formula>
      <formula>$OW$9</formula>
    </cfRule>
  </conditionalFormatting>
  <conditionalFormatting sqref="OL1:OL1048576 OO1:OO1048576 OS1:OS1048576 OV1:OV1048576">
    <cfRule type="cellIs" dxfId="309" priority="55423" operator="between">
      <formula>$OW$15</formula>
      <formula>1000</formula>
    </cfRule>
    <cfRule type="cellIs" dxfId="308" priority="55424" operator="between">
      <formula>$OW$14</formula>
      <formula>$OW$15</formula>
    </cfRule>
    <cfRule type="cellIs" dxfId="307" priority="55425" operator="between">
      <formula>$OW$13</formula>
      <formula>$OW$14</formula>
    </cfRule>
    <cfRule type="cellIs" dxfId="306" priority="55426" operator="between">
      <formula>$OW$12</formula>
      <formula>$OW$13</formula>
    </cfRule>
  </conditionalFormatting>
  <conditionalFormatting sqref="PR1:PR1048576 PU1:PU1048576 PY1:PY1048576 QB1:QB1048576">
    <cfRule type="cellIs" dxfId="305" priority="55471" operator="between">
      <formula>$QE$11</formula>
      <formula>1000</formula>
    </cfRule>
    <cfRule type="cellIs" dxfId="304" priority="55472" operator="between">
      <formula>$QE$10</formula>
      <formula>$QE$11</formula>
    </cfRule>
    <cfRule type="cellIs" dxfId="303" priority="55473" operator="between">
      <formula>$QE$9</formula>
      <formula>$QE$10</formula>
    </cfRule>
    <cfRule type="cellIs" dxfId="302" priority="55474" operator="between">
      <formula>$QE$8</formula>
      <formula>$QE$9</formula>
    </cfRule>
  </conditionalFormatting>
  <conditionalFormatting sqref="PT1:PT1048576 PW1:PW1048576 QA1:QA1048576 QD1:QD1048576">
    <cfRule type="cellIs" dxfId="301" priority="55519" operator="between">
      <formula>$QE$15</formula>
      <formula>1000</formula>
    </cfRule>
    <cfRule type="cellIs" dxfId="300" priority="55520" operator="between">
      <formula>$QE$14</formula>
      <formula>$QE$15</formula>
    </cfRule>
    <cfRule type="cellIs" dxfId="299" priority="55521" operator="between">
      <formula>$QE$13</formula>
      <formula>$QE$14</formula>
    </cfRule>
    <cfRule type="cellIs" dxfId="298" priority="55522" operator="between">
      <formula>$QE$12</formula>
      <formula>$QE$13</formula>
    </cfRule>
  </conditionalFormatting>
  <conditionalFormatting sqref="QZ1:QZ1048576 RC1:RC1048576 RG1:RG1048576 RJ1:RJ1048576">
    <cfRule type="cellIs" dxfId="297" priority="55567" operator="between">
      <formula>$RM$11</formula>
      <formula>1000</formula>
    </cfRule>
    <cfRule type="cellIs" dxfId="296" priority="55568" operator="between">
      <formula>$RM$10</formula>
      <formula>$RM$11</formula>
    </cfRule>
    <cfRule type="cellIs" dxfId="295" priority="55569" operator="between">
      <formula>$RM$9</formula>
      <formula>$RM$10</formula>
    </cfRule>
    <cfRule type="cellIs" dxfId="294" priority="55570" operator="between">
      <formula>$RM$8</formula>
      <formula>$RM$9</formula>
    </cfRule>
  </conditionalFormatting>
  <conditionalFormatting sqref="RB1:RB1048576 RE1:RE1048576 RI1:RI1048576 RL1:RL1048576">
    <cfRule type="cellIs" dxfId="293" priority="55615" operator="between">
      <formula>$RM$15</formula>
      <formula>1000</formula>
    </cfRule>
    <cfRule type="cellIs" dxfId="292" priority="55616" operator="between">
      <formula>$RM$14</formula>
      <formula>$RM$15</formula>
    </cfRule>
    <cfRule type="cellIs" dxfId="291" priority="55617" operator="between">
      <formula>$RM$13</formula>
      <formula>$RM$14</formula>
    </cfRule>
    <cfRule type="cellIs" dxfId="290" priority="55618" operator="between">
      <formula>$RM$12</formula>
      <formula>$RM$13</formula>
    </cfRule>
  </conditionalFormatting>
  <conditionalFormatting sqref="SH1:SH1048576 SK1:SK1048576 SO1:SO1048576 SR1:SR1048576">
    <cfRule type="cellIs" dxfId="289" priority="55663" operator="between">
      <formula>$SU$11</formula>
      <formula>1000</formula>
    </cfRule>
    <cfRule type="cellIs" dxfId="288" priority="55664" operator="between">
      <formula>$SU$10</formula>
      <formula>$SU$11</formula>
    </cfRule>
    <cfRule type="cellIs" dxfId="287" priority="55665" operator="between">
      <formula>$SU$9</formula>
      <formula>$SU$10</formula>
    </cfRule>
    <cfRule type="cellIs" dxfId="286" priority="55666" operator="between">
      <formula>$SU$8</formula>
      <formula>$SU$9</formula>
    </cfRule>
  </conditionalFormatting>
  <conditionalFormatting sqref="SJ1:SJ1048576 SM1:SM1048576 SQ1:SQ1048576 ST1:ST1048576">
    <cfRule type="cellIs" dxfId="285" priority="55711" operator="between">
      <formula>$SU$15</formula>
      <formula>1000</formula>
    </cfRule>
    <cfRule type="cellIs" dxfId="284" priority="55712" operator="between">
      <formula>$SU$14</formula>
      <formula>$SU$15</formula>
    </cfRule>
    <cfRule type="cellIs" dxfId="283" priority="55713" operator="between">
      <formula>$SU$13</formula>
      <formula>$SU$14</formula>
    </cfRule>
    <cfRule type="cellIs" dxfId="282" priority="55714" operator="between">
      <formula>$SU$12</formula>
      <formula>$SU$13</formula>
    </cfRule>
  </conditionalFormatting>
  <conditionalFormatting sqref="EH15">
    <cfRule type="cellIs" dxfId="281" priority="1" operator="between">
      <formula>$AY$20</formula>
      <formula>1000</formula>
    </cfRule>
    <cfRule type="cellIs" dxfId="280" priority="2" operator="between">
      <formula>$AY$19</formula>
      <formula>$AY$20</formula>
    </cfRule>
    <cfRule type="cellIs" dxfId="279" priority="3" operator="between">
      <formula>$AY$18</formula>
      <formula>$AY$19</formula>
    </cfRule>
    <cfRule type="cellIs" dxfId="278" priority="4" operator="between">
      <formula>$AY$17</formula>
      <formula>$AY$18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C2DEE-0C9E-9E44-9EC3-9BA66BA20DA2}">
  <sheetPr codeName="Sheet8"/>
  <dimension ref="A1:AFH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hidden="1" customWidth="1"/>
    <col min="13" max="13" width="27" hidden="1" customWidth="1"/>
    <col min="14" max="14" width="10.83203125" hidden="1" customWidth="1"/>
    <col min="15" max="15" width="27" hidden="1" customWidth="1"/>
    <col min="16" max="16" width="10.83203125" hidden="1" customWidth="1"/>
    <col min="17" max="17" width="27" hidden="1" customWidth="1"/>
    <col min="18" max="18" width="14.6640625" hidden="1" customWidth="1"/>
    <col min="19" max="19" width="27" hidden="1" customWidth="1"/>
    <col min="20" max="20" width="24.6640625" bestFit="1" customWidth="1"/>
    <col min="21" max="21" width="13" bestFit="1" customWidth="1"/>
    <col min="22" max="22" width="51.83203125" bestFit="1" customWidth="1"/>
    <col min="23" max="38" width="10.83203125" hidden="1" customWidth="1"/>
    <col min="39" max="49" width="10.83203125" style="70" customWidth="1"/>
    <col min="50" max="65" width="10.83203125" hidden="1" customWidth="1"/>
    <col min="66" max="76" width="10.83203125" style="70" customWidth="1"/>
    <col min="77" max="92" width="10.83203125" hidden="1" customWidth="1"/>
    <col min="93" max="107" width="10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542" width="10.83203125" hidden="1" customWidth="1"/>
  </cols>
  <sheetData>
    <row r="1" spans="1:542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2" t="s">
        <v>12</v>
      </c>
      <c r="H1" s="102" t="s">
        <v>13</v>
      </c>
      <c r="I1" s="102" t="s">
        <v>96</v>
      </c>
      <c r="J1" s="108" t="s">
        <v>145</v>
      </c>
      <c r="K1" s="104" t="s">
        <v>37</v>
      </c>
      <c r="L1" s="108" t="s">
        <v>132</v>
      </c>
      <c r="M1" s="104" t="s">
        <v>37</v>
      </c>
      <c r="N1" s="104" t="s">
        <v>14</v>
      </c>
      <c r="O1" s="104" t="s">
        <v>37</v>
      </c>
      <c r="P1" s="104" t="s">
        <v>133</v>
      </c>
      <c r="Q1" s="104" t="s">
        <v>37</v>
      </c>
      <c r="R1" s="108" t="s">
        <v>134</v>
      </c>
      <c r="S1" s="104" t="s">
        <v>37</v>
      </c>
      <c r="T1" s="107" t="s">
        <v>15</v>
      </c>
      <c r="U1" s="104" t="s">
        <v>38</v>
      </c>
      <c r="V1" s="104" t="s">
        <v>37</v>
      </c>
      <c r="W1" s="105" t="s">
        <v>104</v>
      </c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10" t="s">
        <v>111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05" t="s">
        <v>146</v>
      </c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11" t="s">
        <v>15</v>
      </c>
      <c r="DA1" s="111"/>
      <c r="DB1" s="111"/>
      <c r="DC1" s="111"/>
      <c r="DD1" s="105" t="s">
        <v>116</v>
      </c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10" t="s">
        <v>125</v>
      </c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05" t="s">
        <v>129</v>
      </c>
      <c r="FU1" s="105"/>
      <c r="FV1" s="105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05"/>
      <c r="NQ1" s="105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10"/>
      <c r="OY1" s="110"/>
      <c r="OZ1" s="110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05"/>
      <c r="QG1" s="105"/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  <c r="RJ1" s="105"/>
      <c r="RK1" s="105"/>
      <c r="RL1" s="105"/>
      <c r="RM1" s="105"/>
      <c r="RN1" s="110"/>
      <c r="RO1" s="110"/>
      <c r="RP1" s="110"/>
      <c r="RQ1" s="110"/>
      <c r="RR1" s="110"/>
      <c r="RS1" s="110"/>
      <c r="RT1" s="110"/>
      <c r="RU1" s="110"/>
      <c r="RV1" s="110"/>
      <c r="RW1" s="110"/>
      <c r="RX1" s="110"/>
      <c r="RY1" s="110"/>
      <c r="RZ1" s="110"/>
      <c r="SA1" s="110"/>
      <c r="SB1" s="110"/>
      <c r="SC1" s="110"/>
      <c r="SD1" s="110"/>
      <c r="SE1" s="110"/>
      <c r="SF1" s="110"/>
      <c r="SG1" s="110"/>
      <c r="SH1" s="110"/>
      <c r="SI1" s="110"/>
      <c r="SJ1" s="110"/>
      <c r="SK1" s="110"/>
      <c r="SL1" s="110"/>
      <c r="SM1" s="110"/>
      <c r="SN1" s="110"/>
      <c r="SO1" s="110"/>
      <c r="SP1" s="110"/>
      <c r="SQ1" s="110"/>
      <c r="SR1" s="110"/>
      <c r="SS1" s="110"/>
      <c r="ST1" s="110"/>
      <c r="SU1" s="110"/>
      <c r="SV1" s="105" t="s">
        <v>72</v>
      </c>
      <c r="SW1" s="105"/>
      <c r="SX1" s="105"/>
      <c r="SY1" s="105"/>
      <c r="SZ1" s="105"/>
      <c r="TA1" s="105"/>
      <c r="TB1" s="105"/>
      <c r="TC1" s="105"/>
      <c r="TD1" s="105"/>
      <c r="TE1" s="105"/>
      <c r="TF1" s="105"/>
      <c r="TG1" s="105"/>
      <c r="TH1" s="105"/>
      <c r="TI1" s="105"/>
      <c r="TJ1" s="105"/>
      <c r="TK1" s="105"/>
      <c r="TL1" s="105"/>
      <c r="TM1" s="105"/>
      <c r="TN1" s="105"/>
      <c r="TO1" s="105"/>
      <c r="TP1" s="105"/>
      <c r="TQ1" s="105"/>
      <c r="TR1" s="105"/>
      <c r="TS1" s="105"/>
      <c r="TT1" s="105"/>
      <c r="TU1" s="105"/>
      <c r="TV1" s="105"/>
    </row>
    <row r="2" spans="1:542" x14ac:dyDescent="0.2">
      <c r="A2" s="102"/>
      <c r="B2" s="102"/>
      <c r="C2" s="102"/>
      <c r="D2" s="102"/>
      <c r="E2" s="102"/>
      <c r="F2" s="103"/>
      <c r="G2" s="102"/>
      <c r="H2" s="102"/>
      <c r="I2" s="102"/>
      <c r="J2" s="108"/>
      <c r="K2" s="104"/>
      <c r="L2" s="108"/>
      <c r="M2" s="104"/>
      <c r="N2" s="104"/>
      <c r="O2" s="104"/>
      <c r="P2" s="104"/>
      <c r="Q2" s="104"/>
      <c r="R2" s="108"/>
      <c r="S2" s="104"/>
      <c r="T2" s="107"/>
      <c r="U2" s="104"/>
      <c r="V2" s="104"/>
      <c r="W2" s="106" t="s">
        <v>20</v>
      </c>
      <c r="X2" s="106"/>
      <c r="Y2" s="106"/>
      <c r="Z2" s="106"/>
      <c r="AA2" s="106"/>
      <c r="AB2" s="106" t="s">
        <v>21</v>
      </c>
      <c r="AC2" s="106"/>
      <c r="AD2" s="106"/>
      <c r="AE2" s="106"/>
      <c r="AF2" s="106"/>
      <c r="AG2" s="106" t="s">
        <v>24</v>
      </c>
      <c r="AH2" s="106"/>
      <c r="AI2" s="106"/>
      <c r="AJ2" s="106"/>
      <c r="AK2" s="106"/>
      <c r="AL2" s="73"/>
      <c r="AM2" s="73" t="s">
        <v>135</v>
      </c>
      <c r="AN2" s="73" t="s">
        <v>136</v>
      </c>
      <c r="AO2" s="73" t="s">
        <v>22</v>
      </c>
      <c r="AP2" s="73" t="s">
        <v>87</v>
      </c>
      <c r="AQ2" s="73" t="s">
        <v>137</v>
      </c>
      <c r="AR2" s="73" t="s">
        <v>23</v>
      </c>
      <c r="AS2" s="73" t="s">
        <v>25</v>
      </c>
      <c r="AT2" s="73" t="s">
        <v>138</v>
      </c>
      <c r="AU2" s="73" t="s">
        <v>139</v>
      </c>
      <c r="AV2" s="73" t="s">
        <v>24</v>
      </c>
      <c r="AW2" s="73" t="s">
        <v>19</v>
      </c>
      <c r="AX2" s="109" t="s">
        <v>20</v>
      </c>
      <c r="AY2" s="109"/>
      <c r="AZ2" s="109"/>
      <c r="BA2" s="109"/>
      <c r="BB2" s="109"/>
      <c r="BC2" s="109" t="s">
        <v>21</v>
      </c>
      <c r="BD2" s="109"/>
      <c r="BE2" s="109"/>
      <c r="BF2" s="109"/>
      <c r="BG2" s="109"/>
      <c r="BH2" s="109" t="s">
        <v>24</v>
      </c>
      <c r="BI2" s="109"/>
      <c r="BJ2" s="109"/>
      <c r="BK2" s="109"/>
      <c r="BL2" s="109"/>
      <c r="BM2" s="72"/>
      <c r="BN2" s="72" t="s">
        <v>135</v>
      </c>
      <c r="BO2" s="72" t="s">
        <v>136</v>
      </c>
      <c r="BP2" s="72" t="s">
        <v>22</v>
      </c>
      <c r="BQ2" s="72" t="s">
        <v>87</v>
      </c>
      <c r="BR2" s="72" t="s">
        <v>137</v>
      </c>
      <c r="BS2" s="72" t="s">
        <v>23</v>
      </c>
      <c r="BT2" s="72" t="s">
        <v>25</v>
      </c>
      <c r="BU2" s="72" t="s">
        <v>138</v>
      </c>
      <c r="BV2" s="72" t="s">
        <v>139</v>
      </c>
      <c r="BW2" s="72" t="s">
        <v>24</v>
      </c>
      <c r="BX2" s="72" t="s">
        <v>19</v>
      </c>
      <c r="BY2" s="106" t="s">
        <v>20</v>
      </c>
      <c r="BZ2" s="106"/>
      <c r="CA2" s="106"/>
      <c r="CB2" s="106"/>
      <c r="CC2" s="106"/>
      <c r="CD2" s="106" t="s">
        <v>21</v>
      </c>
      <c r="CE2" s="106"/>
      <c r="CF2" s="106"/>
      <c r="CG2" s="106"/>
      <c r="CH2" s="106"/>
      <c r="CI2" s="106" t="s">
        <v>24</v>
      </c>
      <c r="CJ2" s="106"/>
      <c r="CK2" s="106"/>
      <c r="CL2" s="106"/>
      <c r="CM2" s="106"/>
      <c r="CN2" s="73"/>
      <c r="CO2" s="73" t="s">
        <v>135</v>
      </c>
      <c r="CP2" s="73" t="s">
        <v>136</v>
      </c>
      <c r="CQ2" s="73" t="s">
        <v>22</v>
      </c>
      <c r="CR2" s="73" t="s">
        <v>87</v>
      </c>
      <c r="CS2" s="73" t="s">
        <v>137</v>
      </c>
      <c r="CT2" s="73" t="s">
        <v>23</v>
      </c>
      <c r="CU2" s="73" t="s">
        <v>25</v>
      </c>
      <c r="CV2" s="73" t="s">
        <v>138</v>
      </c>
      <c r="CW2" s="73" t="s">
        <v>139</v>
      </c>
      <c r="CX2" s="73" t="s">
        <v>24</v>
      </c>
      <c r="CY2" s="73" t="s">
        <v>19</v>
      </c>
      <c r="CZ2" s="86" t="s">
        <v>25</v>
      </c>
      <c r="DA2" s="86" t="s">
        <v>24</v>
      </c>
      <c r="DB2" s="86" t="s">
        <v>11</v>
      </c>
      <c r="DC2" s="86" t="s">
        <v>18</v>
      </c>
      <c r="DD2" s="106" t="s">
        <v>20</v>
      </c>
      <c r="DE2" s="106"/>
      <c r="DF2" s="106"/>
      <c r="DG2" s="106"/>
      <c r="DH2" s="106"/>
      <c r="DI2" s="106" t="s">
        <v>21</v>
      </c>
      <c r="DJ2" s="106"/>
      <c r="DK2" s="106"/>
      <c r="DL2" s="106"/>
      <c r="DM2" s="106"/>
      <c r="DN2" s="106" t="s">
        <v>140</v>
      </c>
      <c r="DO2" s="106"/>
      <c r="DP2" s="106"/>
      <c r="DQ2" s="106"/>
      <c r="DR2" s="106"/>
      <c r="DS2" s="106" t="s">
        <v>24</v>
      </c>
      <c r="DT2" s="106"/>
      <c r="DU2" s="106"/>
      <c r="DV2" s="106"/>
      <c r="DW2" s="106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09" t="s">
        <v>20</v>
      </c>
      <c r="EM2" s="109"/>
      <c r="EN2" s="109"/>
      <c r="EO2" s="109"/>
      <c r="EP2" s="109"/>
      <c r="EQ2" s="109" t="s">
        <v>21</v>
      </c>
      <c r="ER2" s="109"/>
      <c r="ES2" s="109"/>
      <c r="ET2" s="109"/>
      <c r="EU2" s="109"/>
      <c r="EV2" s="109" t="s">
        <v>140</v>
      </c>
      <c r="EW2" s="109"/>
      <c r="EX2" s="109"/>
      <c r="EY2" s="109"/>
      <c r="EZ2" s="109"/>
      <c r="FA2" s="109" t="s">
        <v>24</v>
      </c>
      <c r="FB2" s="109"/>
      <c r="FC2" s="109"/>
      <c r="FD2" s="109"/>
      <c r="FE2" s="109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06" t="s">
        <v>20</v>
      </c>
      <c r="FU2" s="106"/>
      <c r="FV2" s="106"/>
      <c r="FW2" s="106"/>
      <c r="FX2" s="106"/>
      <c r="FY2" s="106" t="s">
        <v>21</v>
      </c>
      <c r="FZ2" s="106"/>
      <c r="GA2" s="106"/>
      <c r="GB2" s="106"/>
      <c r="GC2" s="106"/>
      <c r="GD2" s="106" t="s">
        <v>140</v>
      </c>
      <c r="GE2" s="106"/>
      <c r="GF2" s="106"/>
      <c r="GG2" s="106"/>
      <c r="GH2" s="106"/>
      <c r="GI2" s="106" t="s">
        <v>24</v>
      </c>
      <c r="GJ2" s="106"/>
      <c r="GK2" s="106"/>
      <c r="GL2" s="106"/>
      <c r="GM2" s="106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09" t="s">
        <v>20</v>
      </c>
      <c r="HC2" s="109"/>
      <c r="HD2" s="109"/>
      <c r="HE2" s="109"/>
      <c r="HF2" s="109"/>
      <c r="HG2" s="109" t="s">
        <v>21</v>
      </c>
      <c r="HH2" s="109"/>
      <c r="HI2" s="109"/>
      <c r="HJ2" s="109"/>
      <c r="HK2" s="109"/>
      <c r="HL2" s="109" t="s">
        <v>140</v>
      </c>
      <c r="HM2" s="109"/>
      <c r="HN2" s="109"/>
      <c r="HO2" s="109"/>
      <c r="HP2" s="109"/>
      <c r="HQ2" s="109" t="s">
        <v>24</v>
      </c>
      <c r="HR2" s="109"/>
      <c r="HS2" s="109"/>
      <c r="HT2" s="109"/>
      <c r="HU2" s="109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72" t="s">
        <v>19</v>
      </c>
      <c r="IJ2" s="106" t="s">
        <v>20</v>
      </c>
      <c r="IK2" s="106"/>
      <c r="IL2" s="106"/>
      <c r="IM2" s="106"/>
      <c r="IN2" s="106"/>
      <c r="IO2" s="106" t="s">
        <v>21</v>
      </c>
      <c r="IP2" s="106"/>
      <c r="IQ2" s="106"/>
      <c r="IR2" s="106"/>
      <c r="IS2" s="106"/>
      <c r="IT2" s="106" t="s">
        <v>140</v>
      </c>
      <c r="IU2" s="106"/>
      <c r="IV2" s="106"/>
      <c r="IW2" s="106"/>
      <c r="IX2" s="106"/>
      <c r="IY2" s="106" t="s">
        <v>24</v>
      </c>
      <c r="IZ2" s="106"/>
      <c r="JA2" s="106"/>
      <c r="JB2" s="106"/>
      <c r="JC2" s="106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73" t="s">
        <v>19</v>
      </c>
      <c r="JR2" s="109" t="s">
        <v>20</v>
      </c>
      <c r="JS2" s="109"/>
      <c r="JT2" s="109"/>
      <c r="JU2" s="109"/>
      <c r="JV2" s="109"/>
      <c r="JW2" s="109" t="s">
        <v>21</v>
      </c>
      <c r="JX2" s="109"/>
      <c r="JY2" s="109"/>
      <c r="JZ2" s="109"/>
      <c r="KA2" s="109"/>
      <c r="KB2" s="109" t="s">
        <v>140</v>
      </c>
      <c r="KC2" s="109"/>
      <c r="KD2" s="109"/>
      <c r="KE2" s="109"/>
      <c r="KF2" s="109"/>
      <c r="KG2" s="109" t="s">
        <v>24</v>
      </c>
      <c r="KH2" s="109"/>
      <c r="KI2" s="109"/>
      <c r="KJ2" s="109"/>
      <c r="KK2" s="109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06" t="s">
        <v>20</v>
      </c>
      <c r="LA2" s="106"/>
      <c r="LB2" s="106"/>
      <c r="LC2" s="106"/>
      <c r="LD2" s="106"/>
      <c r="LE2" s="106" t="s">
        <v>21</v>
      </c>
      <c r="LF2" s="106"/>
      <c r="LG2" s="106"/>
      <c r="LH2" s="106"/>
      <c r="LI2" s="106"/>
      <c r="LJ2" s="106" t="s">
        <v>140</v>
      </c>
      <c r="LK2" s="106"/>
      <c r="LL2" s="106"/>
      <c r="LM2" s="106"/>
      <c r="LN2" s="106"/>
      <c r="LO2" s="106" t="s">
        <v>24</v>
      </c>
      <c r="LP2" s="106"/>
      <c r="LQ2" s="106"/>
      <c r="LR2" s="106"/>
      <c r="LS2" s="106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09" t="s">
        <v>20</v>
      </c>
      <c r="MI2" s="109"/>
      <c r="MJ2" s="109"/>
      <c r="MK2" s="109"/>
      <c r="ML2" s="109"/>
      <c r="MM2" s="109" t="s">
        <v>21</v>
      </c>
      <c r="MN2" s="109"/>
      <c r="MO2" s="109"/>
      <c r="MP2" s="109"/>
      <c r="MQ2" s="109"/>
      <c r="MR2" s="109" t="s">
        <v>140</v>
      </c>
      <c r="MS2" s="109"/>
      <c r="MT2" s="109"/>
      <c r="MU2" s="109"/>
      <c r="MV2" s="109"/>
      <c r="MW2" s="109" t="s">
        <v>24</v>
      </c>
      <c r="MX2" s="109"/>
      <c r="MY2" s="109"/>
      <c r="MZ2" s="109"/>
      <c r="NA2" s="109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06" t="s">
        <v>20</v>
      </c>
      <c r="NQ2" s="106"/>
      <c r="NR2" s="106"/>
      <c r="NS2" s="106"/>
      <c r="NT2" s="106"/>
      <c r="NU2" s="106" t="s">
        <v>21</v>
      </c>
      <c r="NV2" s="106"/>
      <c r="NW2" s="106"/>
      <c r="NX2" s="106"/>
      <c r="NY2" s="106"/>
      <c r="NZ2" s="106" t="s">
        <v>140</v>
      </c>
      <c r="OA2" s="106"/>
      <c r="OB2" s="106"/>
      <c r="OC2" s="106"/>
      <c r="OD2" s="106"/>
      <c r="OE2" s="106" t="s">
        <v>24</v>
      </c>
      <c r="OF2" s="106"/>
      <c r="OG2" s="106"/>
      <c r="OH2" s="106"/>
      <c r="OI2" s="106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09" t="s">
        <v>20</v>
      </c>
      <c r="OY2" s="109"/>
      <c r="OZ2" s="109"/>
      <c r="PA2" s="109"/>
      <c r="PB2" s="109"/>
      <c r="PC2" s="109" t="s">
        <v>21</v>
      </c>
      <c r="PD2" s="109"/>
      <c r="PE2" s="109"/>
      <c r="PF2" s="109"/>
      <c r="PG2" s="109"/>
      <c r="PH2" s="109" t="s">
        <v>140</v>
      </c>
      <c r="PI2" s="109"/>
      <c r="PJ2" s="109"/>
      <c r="PK2" s="109"/>
      <c r="PL2" s="109"/>
      <c r="PM2" s="109" t="s">
        <v>24</v>
      </c>
      <c r="PN2" s="109"/>
      <c r="PO2" s="109"/>
      <c r="PP2" s="109"/>
      <c r="PQ2" s="109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06" t="s">
        <v>20</v>
      </c>
      <c r="QG2" s="106"/>
      <c r="QH2" s="106"/>
      <c r="QI2" s="106"/>
      <c r="QJ2" s="106"/>
      <c r="QK2" s="106" t="s">
        <v>21</v>
      </c>
      <c r="QL2" s="106"/>
      <c r="QM2" s="106"/>
      <c r="QN2" s="106"/>
      <c r="QO2" s="106"/>
      <c r="QP2" s="106" t="s">
        <v>140</v>
      </c>
      <c r="QQ2" s="106"/>
      <c r="QR2" s="106"/>
      <c r="QS2" s="106"/>
      <c r="QT2" s="106"/>
      <c r="QU2" s="106" t="s">
        <v>24</v>
      </c>
      <c r="QV2" s="106"/>
      <c r="QW2" s="106"/>
      <c r="QX2" s="106"/>
      <c r="QY2" s="106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09" t="s">
        <v>20</v>
      </c>
      <c r="RO2" s="109"/>
      <c r="RP2" s="109"/>
      <c r="RQ2" s="109"/>
      <c r="RR2" s="109"/>
      <c r="RS2" s="109" t="s">
        <v>21</v>
      </c>
      <c r="RT2" s="109"/>
      <c r="RU2" s="109"/>
      <c r="RV2" s="109"/>
      <c r="RW2" s="109"/>
      <c r="RX2" s="109" t="s">
        <v>140</v>
      </c>
      <c r="RY2" s="109"/>
      <c r="RZ2" s="109"/>
      <c r="SA2" s="109"/>
      <c r="SB2" s="109"/>
      <c r="SC2" s="109" t="s">
        <v>24</v>
      </c>
      <c r="SD2" s="109"/>
      <c r="SE2" s="109"/>
      <c r="SF2" s="109"/>
      <c r="SG2" s="109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06" t="s">
        <v>20</v>
      </c>
      <c r="SW2" s="106"/>
      <c r="SX2" s="106"/>
      <c r="SY2" s="106"/>
      <c r="SZ2" s="106"/>
      <c r="TA2" s="106" t="s">
        <v>21</v>
      </c>
      <c r="TB2" s="106"/>
      <c r="TC2" s="106"/>
      <c r="TD2" s="106"/>
      <c r="TE2" s="106"/>
      <c r="TF2" s="106" t="s">
        <v>24</v>
      </c>
      <c r="TG2" s="106"/>
      <c r="TH2" s="106"/>
      <c r="TI2" s="106"/>
      <c r="TJ2" s="106"/>
      <c r="TK2" s="73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02"/>
      <c r="B3" s="102"/>
      <c r="C3" s="102"/>
      <c r="D3" s="102"/>
      <c r="E3" s="102"/>
      <c r="F3" s="103"/>
      <c r="G3" s="102"/>
      <c r="H3" s="102"/>
      <c r="I3" s="102"/>
      <c r="J3" s="108"/>
      <c r="K3" s="104"/>
      <c r="L3" s="108"/>
      <c r="M3" s="104"/>
      <c r="N3" s="104"/>
      <c r="O3" s="104"/>
      <c r="P3" s="104"/>
      <c r="Q3" s="104"/>
      <c r="R3" s="108"/>
      <c r="S3" s="104"/>
      <c r="T3" s="107"/>
      <c r="U3" s="104"/>
      <c r="V3" s="104"/>
      <c r="W3" s="73" t="s">
        <v>16</v>
      </c>
      <c r="X3" s="73" t="s">
        <v>17</v>
      </c>
      <c r="Y3" s="73" t="s">
        <v>11</v>
      </c>
      <c r="Z3" s="73" t="s">
        <v>18</v>
      </c>
      <c r="AA3" s="73" t="s">
        <v>34</v>
      </c>
      <c r="AB3" s="73" t="s">
        <v>16</v>
      </c>
      <c r="AC3" s="73" t="s">
        <v>17</v>
      </c>
      <c r="AD3" s="73" t="s">
        <v>11</v>
      </c>
      <c r="AE3" s="73" t="s">
        <v>18</v>
      </c>
      <c r="AF3" s="73" t="s">
        <v>34</v>
      </c>
      <c r="AG3" s="73" t="s">
        <v>16</v>
      </c>
      <c r="AH3" s="73" t="s">
        <v>17</v>
      </c>
      <c r="AI3" s="73" t="s">
        <v>11</v>
      </c>
      <c r="AJ3" s="73" t="s">
        <v>18</v>
      </c>
      <c r="AK3" s="73" t="s">
        <v>34</v>
      </c>
      <c r="AL3" s="73" t="s">
        <v>60</v>
      </c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2" t="s">
        <v>16</v>
      </c>
      <c r="AY3" s="72" t="s">
        <v>17</v>
      </c>
      <c r="AZ3" s="72" t="s">
        <v>11</v>
      </c>
      <c r="BA3" s="72" t="s">
        <v>18</v>
      </c>
      <c r="BB3" s="72" t="s">
        <v>34</v>
      </c>
      <c r="BC3" s="72" t="s">
        <v>16</v>
      </c>
      <c r="BD3" s="72" t="s">
        <v>17</v>
      </c>
      <c r="BE3" s="72" t="s">
        <v>11</v>
      </c>
      <c r="BF3" s="72" t="s">
        <v>18</v>
      </c>
      <c r="BG3" s="72" t="s">
        <v>34</v>
      </c>
      <c r="BH3" s="72" t="s">
        <v>16</v>
      </c>
      <c r="BI3" s="72" t="s">
        <v>17</v>
      </c>
      <c r="BJ3" s="72" t="s">
        <v>11</v>
      </c>
      <c r="BK3" s="72" t="s">
        <v>18</v>
      </c>
      <c r="BL3" s="72" t="s">
        <v>34</v>
      </c>
      <c r="BM3" s="72" t="s">
        <v>60</v>
      </c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3" t="s">
        <v>16</v>
      </c>
      <c r="BZ3" s="73" t="s">
        <v>17</v>
      </c>
      <c r="CA3" s="73" t="s">
        <v>11</v>
      </c>
      <c r="CB3" s="73" t="s">
        <v>18</v>
      </c>
      <c r="CC3" s="73" t="s">
        <v>34</v>
      </c>
      <c r="CD3" s="73" t="s">
        <v>16</v>
      </c>
      <c r="CE3" s="73" t="s">
        <v>17</v>
      </c>
      <c r="CF3" s="73" t="s">
        <v>11</v>
      </c>
      <c r="CG3" s="73" t="s">
        <v>18</v>
      </c>
      <c r="CH3" s="73" t="s">
        <v>34</v>
      </c>
      <c r="CI3" s="73" t="s">
        <v>16</v>
      </c>
      <c r="CJ3" s="73" t="s">
        <v>17</v>
      </c>
      <c r="CK3" s="73" t="s">
        <v>11</v>
      </c>
      <c r="CL3" s="73" t="s">
        <v>18</v>
      </c>
      <c r="CM3" s="73" t="s">
        <v>34</v>
      </c>
      <c r="CN3" s="73" t="s">
        <v>60</v>
      </c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86"/>
      <c r="DA3" s="86"/>
      <c r="DB3" s="86"/>
      <c r="DC3" s="86"/>
      <c r="DD3" s="73" t="s">
        <v>16</v>
      </c>
      <c r="DE3" s="73" t="s">
        <v>17</v>
      </c>
      <c r="DF3" s="73" t="s">
        <v>11</v>
      </c>
      <c r="DG3" s="73" t="s">
        <v>18</v>
      </c>
      <c r="DH3" s="73" t="s">
        <v>34</v>
      </c>
      <c r="DI3" s="73" t="s">
        <v>16</v>
      </c>
      <c r="DJ3" s="73" t="s">
        <v>17</v>
      </c>
      <c r="DK3" s="73" t="s">
        <v>11</v>
      </c>
      <c r="DL3" s="73" t="s">
        <v>18</v>
      </c>
      <c r="DM3" s="73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73" t="s">
        <v>16</v>
      </c>
      <c r="DT3" s="73" t="s">
        <v>17</v>
      </c>
      <c r="DU3" s="73" t="s">
        <v>11</v>
      </c>
      <c r="DV3" s="73" t="s">
        <v>18</v>
      </c>
      <c r="DW3" s="73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2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73" t="s">
        <v>16</v>
      </c>
      <c r="SW3" s="73" t="s">
        <v>17</v>
      </c>
      <c r="SX3" s="73" t="s">
        <v>11</v>
      </c>
      <c r="SY3" s="73" t="s">
        <v>18</v>
      </c>
      <c r="SZ3" s="73" t="s">
        <v>34</v>
      </c>
      <c r="TA3" s="73" t="s">
        <v>16</v>
      </c>
      <c r="TB3" s="73" t="s">
        <v>17</v>
      </c>
      <c r="TC3" s="73" t="s">
        <v>11</v>
      </c>
      <c r="TD3" s="73" t="s">
        <v>18</v>
      </c>
      <c r="TE3" s="73" t="s">
        <v>34</v>
      </c>
      <c r="TF3" s="73" t="s">
        <v>16</v>
      </c>
      <c r="TG3" s="73" t="s">
        <v>17</v>
      </c>
      <c r="TH3" s="73" t="s">
        <v>11</v>
      </c>
      <c r="TI3" s="73" t="s">
        <v>18</v>
      </c>
      <c r="TJ3" s="73" t="s">
        <v>34</v>
      </c>
      <c r="TK3" s="73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IF(AND(F4&lt;&gt;"",G4&lt;&gt;""),SUMPRODUCT((F$4:F$6&lt;&gt;"")*(G$4:G$6&lt;&gt;"")*(E$4:E$6&gt;E4))+1,IF(G4&lt;&gt;"",SUMPRODUCT((H$4:H$6="No DD")*(E$4:E$6&gt;E4))+1+SUMPRODUCT((F$4:F$6&lt;&gt;"")*(G$4:G$6&lt;&gt;"")),""))</f>
        <v>1</v>
      </c>
      <c r="B4" s="6" t="s">
        <v>124</v>
      </c>
      <c r="C4" s="7" t="s">
        <v>9</v>
      </c>
      <c r="D4" s="7" t="s">
        <v>123</v>
      </c>
      <c r="E4" s="14">
        <f>SUM(J4,T4)+SUM(J4)*0.0000000000001</f>
        <v>17.36</v>
      </c>
      <c r="F4" s="3" t="str">
        <f>IF(OR(AND(AM4&gt;=AW$8,AM4&lt;&gt;"",AO4&gt;=AW$12,AO4&lt;&gt;"",AL4=""),AND(AP4&gt;=AW$8,AP4&lt;&gt;"",AR4&gt;=AW$12,AR4&lt;&gt;"",AL4=""),AND(AT4&gt;=AW$8,AT4&lt;&gt;"",AV4&gt;=AW$12,AV4&lt;&gt;"",AL4=""),AND(BN4&gt;=BX$8,BN4&lt;&gt;"",BP4&gt;=BX$12,BP4&lt;&gt;"",BM4=""),AND(BQ4&gt;=BX$8,BQ4&lt;&gt;"",BS4&gt;=BX$12,BS4&lt;&gt;"",BM4=""),AND(BU4&gt;=BX$8,BU4&lt;&gt;"",BW4&gt;=BX$12,BW4&lt;&gt;"",BM4=""),AND(CO4&gt;=CY$8,CO4&lt;&gt;"",CQ4&gt;=CY$12,CQ4&lt;&gt;"",CN4=""),AND(CR4&gt;=CY$8,CR4&lt;&gt;"",CT4&gt;=CY$12,CT4&lt;&gt;"",CN4=""),AND(CV4&gt;=CY$8,CV4&lt;&gt;"",CX4&gt;=CY$12,CX4&lt;&gt;"",CN4=""),AND(DX4&gt;=EK$8,DX4&lt;&gt;"",DZ4&gt;=EK$12,DZ4&lt;&gt;""),AND(EA4&gt;=EK$8,EA4&lt;&gt;"",EC4&gt;=EK$12,EC4&lt;&gt;""),AND(EE4&gt;=EK$8,EE4&lt;&gt;"",EG4&gt;=EK$12,EG4&lt;&gt;""),AND(EH4&gt;=EK$8,EH4&lt;&gt;"",EJ4&gt;=EK$12,EJ4&lt;&gt;""),AND(FF4&gt;=FS$8,FF4&lt;&gt;"",FH4&gt;=FS$12,FH4&lt;&gt;""),AND(FI4&gt;=FS$8,FI4&lt;&gt;"",FK4&gt;=FS$12,FK4&lt;&gt;""),AND(FM4&gt;=FS$8,FM4&lt;&gt;"",FO4&gt;=FS$12,FO4&lt;&gt;""),AND(FP4&gt;=FS$8,FP4&lt;&gt;"",FR4&gt;=FS$12,FR4&lt;&gt;""),AND(GN4&gt;=HA$8,GN4&lt;&gt;"",GP4&gt;=HA$12,GP4&lt;&gt;""),AND(GQ4&gt;=HA$8,GQ4&lt;&gt;"",GS4&gt;=HA$12,GS4&lt;&gt;""),AND(GU4&gt;=HA$8,GU4&lt;&gt;"",GW4&gt;=HA$12,GW4&lt;&gt;""),AND(GX4&gt;=HA$8,GX4&lt;&gt;"",GZ4&gt;=HA$12,GZ4&lt;&gt;""),AND(HV4&gt;=II$8,HV4&lt;&gt;"",HX4&gt;=II$12,HX4&lt;&gt;""),AND(HY4&gt;=II$8,HY4&lt;&gt;"",IA4&gt;=II$12,IA4&lt;&gt;""),AND(IC4&gt;=II$8,IC4&lt;&gt;"",IE4&gt;=II$12,IE4&lt;&gt;""),AND(IF4&gt;=II$8,IF4&lt;&gt;"",IH4&gt;=II$12,IH4&lt;&gt;""),AND(JD4&gt;=JQ$8,JD4&lt;&gt;"",JF4&gt;=JQ$12,JF4&lt;&gt;""),AND(JG4&gt;=JQ$8,JG4&lt;&gt;"",JI4&gt;=JQ$12,JI4&lt;&gt;""),AND(JK4&gt;=JQ$8,JK4&lt;&gt;"",JM4&gt;=JQ$12,JM4&lt;&gt;""),AND(JN4&gt;=JQ$8,JN4&lt;&gt;"",JP4&gt;=JQ$12,JP4&lt;&gt;""),AND(KL4&gt;=KY$8,KL4&lt;&gt;"",KN4&gt;=KY$12,KN4&lt;&gt;""),AND(KO4&gt;=KY$8,KO4&lt;&gt;"",KQ4&gt;=KY$12,KQ4&lt;&gt;""),AND(KS4&gt;=KY$8,KS4&lt;&gt;"",KU4&gt;=KY$12,KU4&lt;&gt;""),AND(KV4&gt;=KY$8,KV4&lt;&gt;"",KX4&gt;=KY$12,KX4&lt;&gt;""),AND(LT4&gt;=MG$8,LT4&lt;&gt;"",LV4&gt;=MG$12,LV4&lt;&gt;""),AND(LW4&gt;=MG$8,LW4&lt;&gt;"",LY4&gt;=MG$12,LY4&lt;&gt;""),AND(MA4&gt;=MG$8,MA4&lt;&gt;"",MC4&gt;=MG$12,MC4&lt;&gt;""),AND(MD4&gt;=MG$8,MD4&lt;&gt;"",MF4&gt;=MG$12,MF4&lt;&gt;""),AND(NB4&gt;=NO$8,NB4&lt;&gt;"",ND4&gt;=NO$12,ND4&lt;&gt;""),AND(NE4&gt;=NO$8,NE4&lt;&gt;"",NG4&gt;=NO$12,NG4&lt;&gt;""),AND(NI4&gt;=NO$8,NI4&lt;&gt;"",NK4&gt;=NO$12,NK4&lt;&gt;""),AND(NL4&gt;=NO$8,NL4&lt;&gt;"",NN4&gt;=NO$12,NN4&lt;&gt;""),AND(OJ4&gt;=OW$8,OJ4&lt;&gt;"",OL4&gt;=OW$12,OL4&lt;&gt;""),AND(OM4&gt;=OW$8,OM4&lt;&gt;"",OO4&gt;=OW$12,OO4&lt;&gt;""),AND(OQ4&gt;=OW$8,OQ4&lt;&gt;"",OS4&gt;=OW$12,OS4&lt;&gt;""),AND(OT4&gt;=OW$8,OT4&lt;&gt;"",OV4&gt;=OW$12,OV4&lt;&gt;""),AND(PR4&gt;=QE$8,PR4&lt;&gt;"",PT4&gt;=QE$12,PT4&lt;&gt;""),AND(PU4&gt;=QE$8,PU4&lt;&gt;"",PW4&gt;=QE$12,PW4&lt;&gt;""),AND(PY4&gt;=QE$8,PY4&lt;&gt;"",QA4&gt;=QE$12,QA4&lt;&gt;""),AND(QB4&gt;=QE$8,QB4&lt;&gt;"",QD4&gt;=QE$12,QD4&lt;&gt;""),AND(QZ4&gt;=RM$8,QZ4&lt;&gt;"",RB4&gt;=RM$12,RB4&lt;&gt;""),AND(RC4&gt;=RM$8,RC4&lt;&gt;"",RE4&gt;=RM$12,RE4&lt;&gt;""),AND(RG4&gt;=RM$8,RG4&lt;&gt;"",RI4&gt;=RM$12,RI4&lt;&gt;""),AND(RJ4&gt;=RM$8,RJ4&lt;&gt;"",RL4&gt;=RM$12,RL4&lt;&gt;""),AND(SH4&gt;=SU$8,SH4&lt;&gt;"",SJ4&gt;=SU$12,SJ4&lt;&gt;""),AND(SK4&gt;=SU$8,SK4&lt;&gt;"",SM4&gt;=SU$12,SM4&lt;&gt;""),AND(SO4&gt;=SU$8,SO4&lt;&gt;"",SQ4&gt;=SU$12,SQ4&lt;&gt;""),AND(SR4&gt;=SU$8,SR4&lt;&gt;"",ST4&gt;=SU$12,ST4&lt;&gt;"")),"P","")</f>
        <v>P</v>
      </c>
      <c r="G4" s="3" t="str">
        <f>IF(OR(AND(AO4&gt;=AW$12,AO4&lt;&gt;"",AL4=""),AND(AR4&gt;=AW$12,AR4&lt;&gt;"",AL4=""),AND(AV4&gt;=AW$12,AV4&lt;&gt;"",AL4=""),AND(BP4&gt;=BX$12,BP4&lt;&gt;"",BM4=""),AND(BS4&gt;=BX$12,BS4&lt;&gt;"",BM4=""),AND(BW4&gt;=BX$12,BW4&lt;&gt;"",BM4=""),AND(CQ4&gt;=CY$12,CQ4&lt;&gt;"",CN4=""),AND(CT4&gt;=CY$12,CT4&lt;&gt;"",CN4=""),AND(CX4&gt;=CY$12,CX4&lt;&gt;"",CN4=""),AND(DZ4&gt;=EK$12,DZ4&lt;&gt;""),AND(EC4&gt;=EK$12,EC4&lt;&gt;""),AND(EG4&gt;=EK$12,EG4&lt;&gt;""),AND(EJ4&gt;=EK$12,EJ4&lt;&gt;""),AND(FH4&gt;=FS$12,FH4&lt;&gt;""),AND(FK4&gt;=FS$12,FK4&lt;&gt;""),AND(FO4&gt;=FS$12,FO4&lt;&gt;""),AND(FR4&gt;=FS$12,FR4&lt;&gt;""),AND(GP4&gt;=HA$12,GP4&lt;&gt;""),AND(GS4&gt;=HA$12,GS4&lt;&gt;""),AND(GW4&gt;=HA$12,GW4&lt;&gt;""),AND(GZ4&gt;=HA$12,GZ4&lt;&gt;""),AND(HX4&gt;=II$12,HX4&lt;&gt;""),AND(IA4&gt;=II$12,IA4&lt;&gt;""),AND(IE4&gt;=II$12,IE4&lt;&gt;""),AND(IH4&gt;=II$12,IH4&lt;&gt;""),AND(JF4&gt;=JQ$12,JF4&lt;&gt;""),AND(JI4&gt;=JQ$12,JI4&lt;&gt;""),AND(JM4&gt;=JQ$12,JM4&lt;&gt;""),AND(JP4&gt;=JQ$12,JP4&lt;&gt;""),AND(KN4&gt;=KY$12,KN4&lt;&gt;""),AND(KQ4&gt;=KY$12,KQ4&lt;&gt;""),AND(KU4&gt;=KY$12,KU4&lt;&gt;""),AND(KX4&gt;=KY$12,KX4&lt;&gt;""),AND(LV4&gt;=MG$12,LV4&lt;&gt;""),AND(LY4&gt;=MG$12,LY4&lt;&gt;""),AND(MC4&gt;=MG$12,MC4&lt;&gt;""),AND(MF4&gt;=MG$12,MF4&lt;&gt;""),AND(ND4&gt;=NO$12,ND4&lt;&gt;""),AND(NG4&gt;=NO$12,NG4&lt;&gt;""),AND(NK4&gt;=NO$12,NK4&lt;&gt;""),AND(NN4&gt;=NO$12,NN4&lt;&gt;""),AND(OL4&gt;=OW$12,OL4&lt;&gt;""),AND(OO4&gt;=OW$12,OO4&lt;&gt;""),AND(OS4&gt;=OW$12,OS4&lt;&gt;""),AND(OV4&gt;=OW$12,OV4&lt;&gt;""),AND(PT4&gt;=QE$12,PT4&lt;&gt;""),AND(PW4&gt;=QE$12,PW4&lt;&gt;""),AND(QA4&gt;=QE$12,QA4&lt;&gt;""),AND(QD4&gt;=QE$12,QD4&lt;&gt;""),AND(RB4&gt;=RM$12,RB4&lt;&gt;""),AND(RE4&gt;=RM$12,RE4&lt;&gt;""),AND(RI4&gt;=RM$12,RI4&lt;&gt;""),AND(RL4&gt;=RM$12,RL4&lt;&gt;""),AND(SJ4&gt;=SU$12,SJ4&lt;&gt;""),AND(SM4&gt;=SU$12,SM4&lt;&gt;""),AND(SQ4&gt;=SU$12,SQ4&lt;&gt;""),AND(ST4&gt;=SU$12,ST4&lt;&gt;"")),"P","")</f>
        <v>P</v>
      </c>
      <c r="H4" s="70" t="str">
        <f>IF(AND(G4="P",F4=""),"No DD",IF(OR(AND(AM4&gt;=AW$11,AM4&lt;&gt;"",AO4&gt;=AW$15,AO4&lt;&gt;"",AL4=""),AND(AP4&gt;=AW$11,AP4&lt;&gt;"",AR4&gt;=AW$15,AR4&lt;&gt;"",AL4=""),AND(AT4&gt;=AW$11,AT4&lt;&gt;"",AV4&gt;=AW$15,AV4&lt;&gt;"",AL4=""),AND(BN4&gt;=BX$11,BN4&lt;&gt;"",BP4&gt;=BX$15,BP4&lt;&gt;"",BM4=""),AND(BQ4&gt;=BX$11,BQ4&lt;&gt;"",BS4&gt;=BX$15,BS4&lt;&gt;"",BM4=""),AND(BU4&gt;=BX$11,BU4&lt;&gt;"",BW4&gt;=BX$15,BW4&lt;&gt;"",BM4=""),AND(CO4&gt;=CY$11,CO4&lt;&gt;"",CQ4&gt;=CY$15,CQ4&lt;&gt;"",CN4=""),AND(CR4&gt;=CY$11,CR4&lt;&gt;"",CT4&gt;=CY$15,CT4&lt;&gt;"",CN4=""),AND(CV4&gt;=CY$11,CV4&lt;&gt;"",CX4&gt;=CY$15,CX4&lt;&gt;"",CN4=""),AND(DX4&gt;=EK$11,DX4&lt;&gt;"",DZ4&gt;=EK$15,DZ4&lt;&gt;""),AND(EA4&gt;=EK$11,EA4&lt;&gt;"",EC4&gt;=EK$15,EC4&lt;&gt;""),AND(EE4&gt;=EK$11,EE4&lt;&gt;"",EG4&gt;=EK$15,EG4&lt;&gt;""),AND(EH4&gt;=EK$11,EH4&lt;&gt;"",EJ4&gt;=EK$15,EJ4&lt;&gt;""),AND(FF4&gt;=FS$11,FF4&lt;&gt;"",FH4&gt;=FS$15,FH4&lt;&gt;""),AND(FI4&gt;=FS$11,FI4&lt;&gt;"",FK4&gt;=FS$15,FK4&lt;&gt;""),AND(FM4&gt;=FS$11,FM4&lt;&gt;"",FO4&gt;=FS$15,FO4&lt;&gt;""),AND(FP4&gt;=FS$11,FP4&lt;&gt;"",FR4&gt;=FS$15,FR4&lt;&gt;""),AND(GN4&gt;=HA$11,GN4&lt;&gt;"",GP4&gt;=HA$15,GP4&lt;&gt;""),AND(GQ4&gt;=HA$11,GQ4&lt;&gt;"",GS4&gt;=HA$15,GS4&lt;&gt;""),AND(GU4&gt;=HA$11,GU4&lt;&gt;"",GW4&gt;=HA$15,GW4&lt;&gt;""),AND(GX4&gt;=HA$11,GX4&lt;&gt;"",GZ4&gt;=HA$15,GZ4&lt;&gt;""),AND(HV4&gt;=II$11,HV4&lt;&gt;"",HX4&gt;=II$15,HX4&lt;&gt;""),AND(HY4&gt;=II$11,HY4&lt;&gt;"",IA4&gt;=II$15,IA4&lt;&gt;""),AND(IC4&gt;=II$11,IC4&lt;&gt;"",IE4&gt;=II$15,IE4&lt;&gt;""),AND(IF4&gt;=II$11,IF4&lt;&gt;"",IH4&gt;=II$15,IH4&lt;&gt;""),AND(JD4&gt;=JQ$11,JD4&lt;&gt;"",JF4&gt;=JQ$15,JF4&lt;&gt;""),AND(JG4&gt;=JQ$11,JG4&lt;&gt;"",JI4&gt;=JQ$15,JI4&lt;&gt;""),AND(JK4&gt;=JQ$11,JK4&lt;&gt;"",JM4&gt;=JQ$15,JM4&lt;&gt;""),AND(JN4&gt;=JQ$11,JN4&lt;&gt;"",JP4&gt;=JQ$15,JP4&lt;&gt;""),AND(KL4&gt;=KY$11,KL4&lt;&gt;"",KN4&gt;=KY$15,KN4&lt;&gt;""),AND(KO4&gt;=KY$11,KO4&lt;&gt;"",KQ4&gt;=KY$15,KQ4&lt;&gt;""),AND(KS4&gt;=KY$11,KS4&lt;&gt;"",KU4&gt;=KY$15,KU4&lt;&gt;""),AND(KV4&gt;=KY$11,KV4&lt;&gt;"",KX4&gt;=KY$15,KX4&lt;&gt;""),AND(LT4&gt;=MG$11,LT4&lt;&gt;"",LV4&gt;=MG$15,LV4&lt;&gt;""),AND(LW4&gt;=MG$11,LW4&lt;&gt;"",LY4&gt;=MG$15,LY4&lt;&gt;""),AND(MA4&gt;=MG$11,MA4&lt;&gt;"",MC4&gt;=MG$15,MC4&lt;&gt;""),AND(MD4&gt;=MG$11,MD4&lt;&gt;"",MF4&gt;=MG$15,MF4&lt;&gt;""),AND(NB4&gt;=NO$11,NB4&lt;&gt;"",ND4&gt;=NO$15,ND4&lt;&gt;""),AND(NE4&gt;=NO$11,NE4&lt;&gt;"",NG4&gt;=NO$15,NG4&lt;&gt;""),AND(NI4&gt;=NO$11,NI4&lt;&gt;"",NK4&gt;=NO$15,NK4&lt;&gt;""),AND(NL4&gt;=NO$11,NL4&lt;&gt;"",NN4&gt;=NO$15,NN4&lt;&gt;""),AND(OJ4&gt;=OW$11,OJ4&lt;&gt;"",OL4&gt;=OW$15,OL4&lt;&gt;""),AND(OM4&gt;=OW$11,OM4&lt;&gt;"",OO4&gt;=OW$15,OO4&lt;&gt;""),AND(OQ4&gt;=OW$11,OQ4&lt;&gt;"",OS4&gt;=OW$15,OS4&lt;&gt;""),AND(OT4&gt;=OW$11,OT4&lt;&gt;"",OV4&gt;=OW$15,OV4&lt;&gt;""),AND(PR4&gt;=QE$11,PR4&lt;&gt;"",PT4&gt;=QE$15,PT4&lt;&gt;""),AND(PU4&gt;=QE$11,PU4&lt;&gt;"",PW4&gt;=QE$15,PW4&lt;&gt;""),AND(PY4&gt;=QE$11,PY4&lt;&gt;"",QA4&gt;=QE$15,QA4&lt;&gt;""),AND(QB4&gt;=QE$11,QB4&lt;&gt;"",QD4&gt;=QE$15,QD4&lt;&gt;""),AND(QZ4&gt;=RM$11,QZ4&lt;&gt;"",RB4&gt;=RM$15,RB4&lt;&gt;""),AND(RC4&gt;=RM$11,RC4&lt;&gt;"",RE4&gt;=RM$15,RE4&lt;&gt;""),AND(RG4&gt;=RM$11,RG4&lt;&gt;"",RI4&gt;=RM$15,RI4&lt;&gt;""),AND(RJ4&gt;=RM$11,RJ4&lt;&gt;"",RL4&gt;=RM$15,RL4&lt;&gt;""),AND(SH4&gt;=SU$11,SH4&lt;&gt;"",SJ4&gt;=SU$15,SJ4&lt;&gt;""),AND(SK4&gt;=SU$11,SK4&lt;&gt;"",SM4&gt;=SU$15,SM4&lt;&gt;""),AND(SO4&gt;=SU$11,SO4&lt;&gt;"",SQ4&gt;=SU$15,SQ4&lt;&gt;""),AND(SR4&gt;=SU$11,SR4&lt;&gt;"",ST4&gt;=SU$15,ST4&lt;&gt;"")),"Merit",IF(OR(AND(AM4&gt;=AW$10,AM4&lt;&gt;"",AO4&gt;=AW$14,AO4&lt;&gt;"",AL4=""),AND(AP4&gt;=AW$10,AP4&lt;&gt;"",AR4&gt;=AW$14,AR4&lt;&gt;"",AL4=""),AND(AT4&gt;=AW$10,AT4&lt;&gt;"",AV4&gt;=AW$14,AV4&lt;&gt;"",AL4=""),AND(BN4&gt;=BX$10,BN4&lt;&gt;"",BP4&gt;=BX$14,BP4&lt;&gt;"",BM4=""),AND(BQ4&gt;=BX$10,BQ4&lt;&gt;"",BS4&gt;=BX$14,BS4&lt;&gt;"",BM4=""),AND(BU4&gt;=BX$10,BU4&lt;&gt;"",BW4&gt;=BX$14,BW4&lt;&gt;"",BM4=""),AND(CO4&gt;=CY$10,CO4&lt;&gt;"",CQ4&gt;=CY$14,CQ4&lt;&gt;"",CN4=""),AND(CR4&gt;=CY$10,CR4&lt;&gt;"",CT4&gt;=CY$14,CT4&lt;&gt;"",CN4=""),AND(CV4&gt;=CY$10,CV4&lt;&gt;"",CX4&gt;=CY$14,CX4&lt;&gt;"",CN4=""),AND(DX4&gt;=EK$10,DX4&lt;&gt;"",DZ4&gt;=EK$14,DZ4&lt;&gt;""),AND(EA4&gt;=EK$10,EA4&lt;&gt;"",EC4&gt;=EK$14,EC4&lt;&gt;""),AND(EE4&gt;=EK$10,EE4&lt;&gt;"",EG4&gt;=EK$14,EG4&lt;&gt;""),AND(EH4&gt;=EK$10,EH4&lt;&gt;"",EJ4&gt;=EK$14,EJ4&lt;&gt;""),AND(FF4&gt;=FS$10,FF4&lt;&gt;"",FH4&gt;=FS$14,FH4&lt;&gt;""),AND(FI4&gt;=FS$10,FI4&lt;&gt;"",FK4&gt;=FS$14,FK4&lt;&gt;""),AND(FM4&gt;=FS$10,FM4&lt;&gt;"",FO4&gt;=FS$14,FO4&lt;&gt;""),AND(FP4&gt;=FS$10,FP4&lt;&gt;"",FR4&gt;=FS$14,FR4&lt;&gt;""),AND(GN4&gt;=HA$10,GN4&lt;&gt;"",GP4&gt;=HA$14,GP4&lt;&gt;""),AND(GQ4&gt;=HA$10,GQ4&lt;&gt;"",GS4&gt;=HA$14,GS4&lt;&gt;""),AND(GU4&gt;=HA$10,GU4&lt;&gt;"",GW4&gt;=HA$14,GW4&lt;&gt;""),AND(GX4&gt;=HA$10,GX4&lt;&gt;"",GZ4&gt;=HA$14,GZ4&lt;&gt;""),AND(HV4&gt;=II$10,HV4&lt;&gt;"",HX4&gt;=II$14,HX4&lt;&gt;""),AND(HY4&gt;=II$10,HY4&lt;&gt;"",IA4&gt;=II$14,IA4&lt;&gt;""),AND(IC4&gt;=II$10,IC4&lt;&gt;"",IE4&gt;=II$14,IE4&lt;&gt;""),AND(IF4&gt;=II$10,IF4&lt;&gt;"",IH4&gt;=II$14,IH4&lt;&gt;""),AND(JD4&gt;=JQ$10,JD4&lt;&gt;"",JF4&gt;=JQ$14,JF4&lt;&gt;""),AND(JG4&gt;=JQ$10,JG4&lt;&gt;"",JI4&gt;=JQ$14,JI4&lt;&gt;""),AND(JK4&gt;=JQ$10,JK4&lt;&gt;"",JM4&gt;=JQ$14,JM4&lt;&gt;""),AND(JN4&gt;=JQ$10,JN4&lt;&gt;"",JP4&gt;=JQ$14,JP4&lt;&gt;""),AND(KL4&gt;=KY$10,KL4&lt;&gt;"",KN4&gt;=KY$14,KN4&lt;&gt;""),AND(KO4&gt;=KY$10,KO4&lt;&gt;"",KQ4&gt;=KY$14,KQ4&lt;&gt;""),AND(KS4&gt;=KY$10,KS4&lt;&gt;"",KU4&gt;=KY$14,KU4&lt;&gt;""),AND(KV4&gt;=KY$10,KV4&lt;&gt;"",KX4&gt;=KY$14,KX4&lt;&gt;""),AND(LT4&gt;=MG$10,LT4&lt;&gt;"",LV4&gt;=MG$14,LV4&lt;&gt;""),AND(LW4&gt;=MG$10,LW4&lt;&gt;"",LY4&gt;=MG$14,LY4&lt;&gt;""),AND(MA4&gt;=MG$10,MA4&lt;&gt;"",MC4&gt;=MG$14,MC4&lt;&gt;""),AND(MD4&gt;=MG$10,MD4&lt;&gt;"",MF4&gt;=MG$14,MF4&lt;&gt;""),AND(NB4&gt;=NO$10,NB4&lt;&gt;"",ND4&gt;=NO$14,ND4&lt;&gt;""),AND(NE4&gt;=NO$10,NE4&lt;&gt;"",NG4&gt;=NO$14,NG4&lt;&gt;""),AND(NI4&gt;=NO$10,NI4&lt;&gt;"",NK4&gt;=NO$14,NK4&lt;&gt;""),AND(NL4&gt;=NO$10,NL4&lt;&gt;"",NN4&gt;=NO$14,NN4&lt;&gt;""),AND(OJ4&gt;=OW$10,OJ4&lt;&gt;"",OL4&gt;=OW$14,OL4&lt;&gt;""),AND(OM4&gt;=OW$10,OM4&lt;&gt;"",OO4&gt;=OW$14,OO4&lt;&gt;""),AND(OQ4&gt;=OW$10,OQ4&lt;&gt;"",OS4&gt;=OW$14,OS4&lt;&gt;""),AND(OT4&gt;=OW$10,OT4&lt;&gt;"",OV4&gt;=OW$14,OV4&lt;&gt;""),AND(PR4&gt;=QE$10,PR4&lt;&gt;"",PT4&gt;=QE$14,PT4&lt;&gt;""),AND(PU4&gt;=QE$10,PU4&lt;&gt;"",PW4&gt;=QE$14,PW4&lt;&gt;""),AND(PY4&gt;=QE$10,PY4&lt;&gt;"",QA4&gt;=QE$14,QA4&lt;&gt;""),AND(QB4&gt;=QE$10,QB4&lt;&gt;"",QD4&gt;=QE$14,QD4&lt;&gt;""),AND(QZ4&gt;=RM$10,QZ4&lt;&gt;"",RB4&gt;=RM$14,RB4&lt;&gt;""),AND(RC4&gt;=RM$10,RC4&lt;&gt;"",RE4&gt;=RM$14,RE4&lt;&gt;""),AND(RG4&gt;=RM$10,RG4&lt;&gt;"",RI4&gt;=RM$14,RI4&lt;&gt;""),AND(RJ4&gt;=RM$10,RJ4&lt;&gt;"",RL4&gt;=RM$14,RL4&lt;&gt;""),AND(SH4&gt;=SU$10,SH4&lt;&gt;"",SJ4&gt;=SU$14,SJ4&lt;&gt;""),AND(SK4&gt;=SU$10,SK4&lt;&gt;"",SM4&gt;=SU$14,SM4&lt;&gt;""),AND(SO4&gt;=SU$10,SO4&lt;&gt;"",SQ4&gt;=SU$14,SQ4&lt;&gt;""),AND(SR4&gt;=SU$10,SR4&lt;&gt;"",ST4&gt;=SU$14,ST4&lt;&gt;"")),"Excellence",IF(I4="P","Worlds Team",IF(F4="P","National Team","")))))</f>
        <v>National Team</v>
      </c>
      <c r="I4" s="3" t="str">
        <f>IF(OR(AND(AM4&gt;=AW$9,AM4&lt;&gt;"",AO4&gt;=AW$13,AO4&lt;&gt;"",AL4=""),AND(AP4&gt;=AW$9,AP4&lt;&gt;"",AR4&gt;=AW$13,AR4&lt;&gt;"",AL4=""),AND(AT4&gt;=AW$9,AT4&lt;&gt;"",AV4&gt;=AW$13,AV4&lt;&gt;"",AL4=""),AND(BN4&gt;=BX$9,BN4&lt;&gt;"",BP4&gt;=BX$13,BP4&lt;&gt;"",BM4=""),AND(BQ4&gt;=BX$9,BQ4&lt;&gt;"",BS4&gt;=BX$13,BS4&lt;&gt;"",BM4=""),AND(BU4&gt;=BX$9,BU4&lt;&gt;"",BW4&gt;=BX$13,BW4&lt;&gt;"",BM4=""),AND(CO4&gt;=CY$9,CO4&lt;&gt;"",CQ4&gt;=CY$13,CQ4&lt;&gt;"",CN4=""),AND(CR4&gt;=CY$9,CR4&lt;&gt;"",CT4&gt;=CY$13,CT4&lt;&gt;"",CN4=""),AND(CV4&gt;=CY$9,CV4&lt;&gt;"",CX4&gt;=CY$13,CX4&lt;&gt;"",CN4=""),AND(DX4&gt;=EK$9,DX4&lt;&gt;"",DZ4&gt;=EK$13,DZ4&lt;&gt;""),AND(EA4&gt;=EK$9,EA4&lt;&gt;"",EC4&gt;=EK$13,EC4&lt;&gt;""),AND(EE4&gt;=EK$9,EE4&lt;&gt;"",EG4&gt;=EK$13,EG4&lt;&gt;""),AND(EH4&gt;=EK$9,EH4&lt;&gt;"",EJ4&gt;=EK$13,EJ4&lt;&gt;""),AND(FF4&gt;=FS$9,FF4&lt;&gt;"",FH4&gt;=FS$13,FH4&lt;&gt;""),AND(FI4&gt;=FS$9,FI4&lt;&gt;"",FK4&gt;=FS$13,FK4&lt;&gt;""),AND(FM4&gt;=FS$9,FM4&lt;&gt;"",FO4&gt;=FS$13,FO4&lt;&gt;""),AND(FP4&gt;=FS$9,FP4&lt;&gt;"",FR4&gt;=FS$13,FR4&lt;&gt;""),AND(GN4&gt;=HA$9,GN4&lt;&gt;"",GP4&gt;=HA$13,GP4&lt;&gt;""),AND(GQ4&gt;=HA$9,GQ4&lt;&gt;"",GS4&gt;=HA$13,GS4&lt;&gt;""),AND(GU4&gt;=HA$9,GU4&lt;&gt;"",GW4&gt;=HA$13,GW4&lt;&gt;""),AND(GX4&gt;=HA$9,GX4&lt;&gt;"",GZ4&gt;=HA$13,GZ4&lt;&gt;""),AND(HV4&gt;=II$9,HV4&lt;&gt;"",HX4&gt;=II$13,HX4&lt;&gt;""),AND(HY4&gt;=II$9,HY4&lt;&gt;"",IA4&gt;=II$13,IA4&lt;&gt;""),AND(IC4&gt;=II$9,IC4&lt;&gt;"",IE4&gt;=II$13,IE4&lt;&gt;""),AND(IF4&gt;=II$9,IF4&lt;&gt;"",IH4&gt;=II$13,IH4&lt;&gt;""),AND(JD4&gt;=JQ$9,JD4&lt;&gt;"",JF4&gt;=JQ$13,JF4&lt;&gt;""),AND(JG4&gt;=JQ$9,JG4&lt;&gt;"",JI4&gt;=JQ$13,JI4&lt;&gt;""),AND(JK4&gt;=JQ$9,JK4&lt;&gt;"",JM4&gt;=JQ$13,JM4&lt;&gt;""),AND(JN4&gt;=JQ$9,JN4&lt;&gt;"",JP4&gt;=JQ$13,JP4&lt;&gt;""),AND(KL4&gt;=KY$9,KL4&lt;&gt;"",KN4&gt;=KY$13,KN4&lt;&gt;""),AND(KO4&gt;=KY$9,KO4&lt;&gt;"",KQ4&gt;=KY$13,KQ4&lt;&gt;""),AND(KS4&gt;=KY$9,KS4&lt;&gt;"",KU4&gt;=KY$13,KU4&lt;&gt;""),AND(KV4&gt;=KY$9,KV4&lt;&gt;"",KX4&gt;=KY$13,KX4&lt;&gt;""),AND(LT4&gt;=MG$9,LT4&lt;&gt;"",LV4&gt;=MG$13,LV4&lt;&gt;""),AND(LW4&gt;=MG$9,LW4&lt;&gt;"",LY4&gt;=MG$13,LY4&lt;&gt;""),AND(MA4&gt;=MG$9,MA4&lt;&gt;"",MC4&gt;=MG$13,MC4&lt;&gt;""),AND(MD4&gt;=MG$9,MD4&lt;&gt;"",MF4&gt;=MG$13,MF4&lt;&gt;""),AND(NB4&gt;=NO$9,NB4&lt;&gt;"",ND4&gt;=NO$13,ND4&lt;&gt;""),AND(NE4&gt;=NO$9,NE4&lt;&gt;"",NG4&gt;=NO$13,NG4&lt;&gt;""),AND(NI4&gt;=NO$9,NI4&lt;&gt;"",NK4&gt;=NO$13,NK4&lt;&gt;""),AND(NL4&gt;=NO$9,NL4&lt;&gt;"",NN4&gt;=NO$13,NN4&lt;&gt;""),AND(OJ4&gt;=OW$9,OJ4&lt;&gt;"",OL4&gt;=OW$13,OL4&lt;&gt;""),AND(OM4&gt;=OW$9,OM4&lt;&gt;"",OO4&gt;=OW$13,OO4&lt;&gt;""),AND(OQ4&gt;=OW$9,OQ4&lt;&gt;"",OS4&gt;=OW$13,OS4&lt;&gt;""),AND(OT4&gt;=OW$9,OT4&lt;&gt;"",OV4&gt;=OW$13,OV4&lt;&gt;""),AND(PR4&gt;=QE$9,PR4&lt;&gt;"",PT4&gt;=QE$13,PT4&lt;&gt;""),AND(PU4&gt;=QE$9,PU4&lt;&gt;"",PW4&gt;=QE$13,PW4&lt;&gt;""),AND(PY4&gt;=QE$9,PY4&lt;&gt;"",QA4&gt;=QE$13,QA4&lt;&gt;""),AND(QB4&gt;=QE$9,QB4&lt;&gt;"",QD4&gt;=QE$13,QD4&lt;&gt;""),AND(QZ4&gt;=RM$9,QZ4&lt;&gt;"",RB4&gt;=RM$13,RB4&lt;&gt;""),AND(RC4&gt;=RM$9,RC4&lt;&gt;"",RE4&gt;=RM$13,RE4&lt;&gt;""),AND(RG4&gt;=RM$9,RG4&lt;&gt;"",RI4&gt;=RM$13,RI4&lt;&gt;""),AND(RJ4&gt;=RM$9,RJ4&lt;&gt;"",RL4&gt;=RM$13,RL4&lt;&gt;""),AND(SH4&gt;=SU$9,SH4&lt;&gt;"",SJ4&gt;=SU$13,SJ4&lt;&gt;""),AND(SK4&gt;=SU$9,SK4&lt;&gt;"",SM4&gt;=SU$13,SM4&lt;&gt;""),AND(SO4&gt;=SU$9,SO4&lt;&gt;"",SQ4&gt;=SU$13,SQ4&lt;&gt;""),AND(SR4&gt;=SU$9,SR4&lt;&gt;"",ST4&gt;=SU$13,ST4&lt;&gt;"")),"P","")</f>
        <v/>
      </c>
      <c r="J4" s="13">
        <f>IF(COUNT(AO4,AR4,BP4,BS4,CQ4,CT4)&gt;0,LARGE((AO4,AR4,BP4,BS4,CQ4,CT4),1),0)</f>
        <v>0</v>
      </c>
      <c r="K4" s="13" t="str">
        <f>IF(J4="","",IF(OR(J4=CQ4,J4=CT4),$BY$1,IF(OR(J4=BP4,J4=BS4),$AX$1,IF(OR(J4=AO4,J4=AR4),$W$1,""))))</f>
        <v/>
      </c>
      <c r="L4" s="13">
        <f>IF(COUNT(AO4,AR4,BP4,BS4,CQ4,CT4)&gt;1,LARGE((AO4,AR4,BP4,BS4,CQ4,CT4),2),0)</f>
        <v>0</v>
      </c>
      <c r="M4" s="13" t="str">
        <f>IF(L4="","",IF(OR(L4=CQ4,L4=CT4),$BY$1,IF(OR(L4=BP4,L4=BS4),$AX$1,IF(OR(L4=AO4,L4=AR4),$W$1,""))))</f>
        <v/>
      </c>
      <c r="N4" s="13">
        <f>IF(MAX(AV4,BW4,CX4)&gt;0,MAX(AV4,BW4,CX4),0)</f>
        <v>0</v>
      </c>
      <c r="O4" s="13" t="str">
        <f>IF(N4="","",IF(N4=CX4,$BY$1,IF(N4=BW4,$AX$1,IF(N4=AV4,$W$1,""))))</f>
        <v/>
      </c>
      <c r="P4" s="13" t="str">
        <f>IF(MAX(AM4,AP4,AT4,BN4,BQ4,BU4,CO4,CR4,CV4)&gt;0,MAX(AM4,AP4,BN4,BQ4,CO4,CR4,AT4),"")</f>
        <v/>
      </c>
      <c r="Q4" s="13" t="str">
        <f>IF(P4="","",IF(OR(P4=CO4,P4=CR4,P4=CV4),$BY$1,IF(OR(P4=BN4,P4=BQ4,P4=BU4),$AX$1,IF(OR(P4=AM4,P4=AP4,P4=AT4),$W$1,""))))</f>
        <v/>
      </c>
      <c r="R4" s="13" t="str">
        <f>IF(MAX(IF(AM4&gt;=$AW$8,AN4,0),IF(AP4&gt;=$AW$8,AQ4,0),IF(AT4&gt;=$AW$8,AU4,0),IF(BN4&gt;=$BX$8,BO4,0),IF(BQ4&gt;=$BX$8,BR4,0),IF(BU4&gt;=$BX$8,BV4,0),IF(CO4&gt;=$CY$8,CP4,0),IF(CR4&gt;=$CY$8,CS4,0),IF(CV4&gt;=$CY$8,CW4,0))&gt;0,MAX(IF(AM4&gt;=$AW$8,AN4,0),IF(AP4&gt;=$AW$8,AQ4,0),IF(AT4&gt;=$AW$8,AU4,0),IF(BN4&gt;=$BX$8,BO4,0),IF(BQ4&gt;=$BX$8,BR4,0),IF(BU4&gt;=$BX$8,BV4,0),IF(CO4&gt;=$CY$8,CP4,0),IF(CR4&gt;=$CY$8,CS4,0),IF(CV4&gt;=$CY$8,CW4,0)),"")</f>
        <v/>
      </c>
      <c r="S4" s="13" t="str">
        <f>IF(R4="","",IF(OR(R4=CP4,R4=CS4,R4=CW4),$BY$1,IF(OR(R4=BO4,R4=BR4,R4=BV4),$AX$1,IF(OR(R4=AN4,R4=AQ4,R4=AU4),$W$1,""))))</f>
        <v/>
      </c>
      <c r="T4" s="13">
        <f>IF(MAX(CZ4,DA4,DB4,DC4)&gt;0,MAX(CZ4,DA4,DB4,DC4),"")</f>
        <v>17.36</v>
      </c>
      <c r="U4" s="16" t="str">
        <f>IF(T4="","",IF(T4=CZ4,"("&amp;CZ$2&amp;")",IF(T4=DA4,"("&amp;DA$2&amp;")",IF(T4=DB4,"("&amp;DB$2&amp;")",IF(T4=DC4,"("&amp;DC$2&amp;")")))))</f>
        <v>(TOF)</v>
      </c>
      <c r="V4" s="13" t="str">
        <f>IF(T4="","",IF(T4=CZ4,IF(T4+IF(L4="",0,L4)=SN4,$RN$1,IF(T4+IF(L4="",0,L4)=RF4,$QF$1,IF(T4+IF(L4="",0,L4)=PX4,$OX$1,IF(T4+IF(L4="",0,L4)=OP4,$NP$1,IF(T4+IF(L4="",0,L4)=NH4,$MH$1,IF(T4+IF(L4="",0,L4)=LZ4,$KZ$1,IF(T4+IF(L4="",0,L4)=KR4,$JR$1,IF(T4+IF(L4="",0,L4)=JJ4,$IJ$1,IF(T4+IF(L4="",0,L4)=IB4,$HB$1,IF(T4+IF(L4="",0,L4)=GT4,$FT$1,IF(T4+IF(L4="",0,L4)=FL4,$EL$1,IF(T4+IF(L4="",0,L4)=ED4,$DD$1)))))))))))),IF(T4=DA4,IF(T4+IF(N4="",0,N4)=ST4,$RN$1,IF(T4+IF(N4="",0,N4)=RL4,$QF$1,IF(T4+IF(N4="",0,N4)=QD4,$OX$1,IF(T4+IF(N4="",0,N4)=OV4,$NP$1,IF(T4+IF(N4="",0,N4)=NN4,$MH$1,IF(T4+IF(N4="",0,N4)=MF4,$KZ$1,IF(T4+IF(N4="",0,N4)=KX4,$JR$1,IF(T4+IF(N4="",0,N4)=JP4,$IJ$1,IF(T4+IF(N4="",0,N4)=IH4,$HB$1,IF(T4+IF(N4="",0,N4)=GZ4,$FT$1,IF(T4+IF(N4="",0,N4)=FR4,$EL$1,IF(T4+IF(N4="",0,N4)=EJ4,$DD$1)))))))))))),IF(T4=DB4,IF(T4+IF(P4="",0,P4)=MAX(SH4,SK4,SO4,SR4),$RN$1,IF(T4+IF(P4="",0,P4)=MAX(QZ4,RC4,RG4,RJ4),$QF$1,IF(T4+IF(P4="",0,P4)=MAX(PR4,PU4,PY4,QB4),$OX$1,IF(T4+IF(P4="",0,P4)=MAX(OJ4,OM4,OQ4,OT4),$NP$1,IF(T4+IF(P4="",0,P4)=MAX(NB4,NE4,NI4,NL4),$MH$1,IF(T4+IF(P4="",0,P4)=MAX(LT4,LW4,MA4,MD4),$KZ$1,IF(T4+IF(P4="",0,P4)=MAX(KL4,KO4,KS4,KV4),$JR$1,IF(T4+IF(P4="",0,P4)=MAX(JD4,JG4,JK4,JN4),$IJ$1,IF(T4+IF(P4="",0,P4)=MAX(HV4,HY4,IC4,IF4),$HB$1,IF(T4+IF(P4="",0,P4)=MAX(GN4,GQ4,GU4,GX4),$FT$1,IF(T4+IF(P4="",0,P4)=MAX(FF4,FI4,FM4,FP4),$EL$1,IF(T4+IF(P4="",0,P4)=MAX(DX4,EA4,EE4,EH4),$DD$1)))))))))))),IF(T4=DC4,IF(T4+IF(R4="",0,R4)=MAX(SI4,SL4,SP4,SS4),$RN$1,IF(T4+IF(R4="",0,R4)=MAX(RA4,RD4,RH4,RK4),$QF$1,IF(T4+IF(R4="",0,R4)=MAX(PS4,PV4,PZ4,QC4),$OX$1,IF(T4+IF(R4="",0,R4)=MAX(OK4,ON4,OR4,OU4),$NP$1,IF(T4+IF(R4="",0,R4)=MAX(NC4,NF4,NJ4,NM4),$MH$1,IF(T4+IF(R4="",0,R4)=MAX(LU4,LX4,MB4,ME4),$KZ$1,IF(T4+IF(R4="",0,R4)=MAX(KM4,KP4,KT4,KW4),$JR$1,IF(T4+IF(R4="",0,R4)=MAX(JE4,JH4,JL4,JO4),$IJ$1,IF(T4+IF(R4="",0,R4)=MAX(HW4,HZ4,ID4,IG4),$HB$1,IF(T4+IF(R4="",0,R4)=MAX(GO4,GR4,GV4,GY4),$FT$1,IF(T4+IF(R4="",0,R4)=MAX(FG4,FJ4,FN4,FQ4),$EL$1,IF(T4+IF(R4="",0,R4)=MAX(DY4,EB4,EF4,EI4),$DD$1)))))))))))))))))</f>
        <v>2021 World Championships (Nov 19)</v>
      </c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51"/>
      <c r="AM4" s="74" t="str">
        <f>IF(Y4&gt;0,Y4,"")</f>
        <v/>
      </c>
      <c r="AN4" s="74" t="str">
        <f>IF(Z4&gt;0,Z4,"")</f>
        <v/>
      </c>
      <c r="AO4" s="76" t="str">
        <f>IF(SUM(W4:Z4)-AA4&gt;0,SUM(W4:Z4)-AA4,"")</f>
        <v/>
      </c>
      <c r="AP4" s="76" t="str">
        <f>IF(AD4&gt;0,AD4,"")</f>
        <v/>
      </c>
      <c r="AQ4" s="76" t="str">
        <f>IF(AE4&gt;0,AE4,"")</f>
        <v/>
      </c>
      <c r="AR4" s="76" t="str">
        <f>IF(SUM(AB4:AE4)-AF4&gt;0,SUM(AB4:AE4)-AF4,"")</f>
        <v/>
      </c>
      <c r="AS4" s="76" t="str">
        <f>IF(AO4="","",MAX(AO4,AR4))</f>
        <v/>
      </c>
      <c r="AT4" s="76" t="str">
        <f>IF(AI4&gt;0,AI4,"")</f>
        <v/>
      </c>
      <c r="AU4" s="76" t="str">
        <f>IF(AJ4&gt;0,AJ4,"")</f>
        <v/>
      </c>
      <c r="AV4" s="76" t="str">
        <f>IF(SUM(AG4:AJ4)-AK4&gt;0,SUM(AG4:AJ4)-AK4,"")</f>
        <v/>
      </c>
      <c r="AW4" s="76" t="str">
        <f>IF(SUM(AS4,AV4)&gt;0,SUM(AS4,AV4),"")</f>
        <v/>
      </c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52"/>
      <c r="BN4" s="75" t="str">
        <f>IF(AZ4&gt;0,AZ4,"")</f>
        <v/>
      </c>
      <c r="BO4" s="75" t="str">
        <f>IF(BA4&gt;0,BA4,"")</f>
        <v/>
      </c>
      <c r="BP4" s="16" t="str">
        <f>IF(SUM(AX4:BA4)-BB4&gt;0,SUM(AX4:BA4)-BB4,"")</f>
        <v/>
      </c>
      <c r="BQ4" s="16" t="str">
        <f>IF(BE4&gt;0,BE4,"")</f>
        <v/>
      </c>
      <c r="BR4" s="16" t="str">
        <f>IF(BF4&gt;0,BF4,"")</f>
        <v/>
      </c>
      <c r="BS4" s="16" t="str">
        <f>IF(SUM(BC4:BF4)-BG4&gt;0,SUM(BC4:BF4)-BG4,"")</f>
        <v/>
      </c>
      <c r="BT4" s="16" t="str">
        <f>IF(BP4="","",MAX(BP4,BS4))</f>
        <v/>
      </c>
      <c r="BU4" s="16" t="str">
        <f>IF(BJ4&gt;0,BJ4,"")</f>
        <v/>
      </c>
      <c r="BV4" s="16" t="str">
        <f>IF(BK4&gt;0,BK4,"")</f>
        <v/>
      </c>
      <c r="BW4" s="16" t="str">
        <f>IF(SUM(BH4:BK4)-BL4&gt;0,SUM(BH4:BK4)-BL4,"")</f>
        <v/>
      </c>
      <c r="BX4" s="16" t="str">
        <f>IF(SUM(BT4,BW4)&gt;0,SUM(BT4,BW4),"")</f>
        <v/>
      </c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51"/>
      <c r="CO4" s="74" t="str">
        <f>IF(CA4&gt;0,CA4,"")</f>
        <v/>
      </c>
      <c r="CP4" s="74" t="str">
        <f>IF(CB4&gt;0,CB4,"")</f>
        <v/>
      </c>
      <c r="CQ4" s="76" t="str">
        <f>IF(SUM(BY4:CB4)-CC4&gt;0,SUM(BY4:CB4)-CC4,"")</f>
        <v/>
      </c>
      <c r="CR4" s="76" t="str">
        <f>IF(CF4&gt;0,CF4,"")</f>
        <v/>
      </c>
      <c r="CS4" s="76" t="str">
        <f>IF(CG4&gt;0,CG4,"")</f>
        <v/>
      </c>
      <c r="CT4" s="76" t="str">
        <f>IF(SUM(CD4:CG4)-CH4&gt;0,SUM(CD4:CG4)-CH4,"")</f>
        <v/>
      </c>
      <c r="CU4" s="76" t="str">
        <f>IF(CQ4="","",MAX(CQ4,CT4))</f>
        <v/>
      </c>
      <c r="CV4" s="76" t="str">
        <f>IF(CK4&gt;0,CK4,"")</f>
        <v/>
      </c>
      <c r="CW4" s="76" t="str">
        <f>IF(CL4&gt;0,CL4,"")</f>
        <v/>
      </c>
      <c r="CX4" s="76" t="str">
        <f>IF(SUM(CI4:CL4)-CM4&gt;0,SUM(CI4:CL4)-CM4,"")</f>
        <v/>
      </c>
      <c r="CY4" s="76" t="str">
        <f>IF(SUM(CU4,CX4)&gt;0,SUM(CU4,CX4),"")</f>
        <v/>
      </c>
      <c r="CZ4" s="87" t="str">
        <f>IF(L4&gt;=0.001,IF(MAX(ED4,FL4,GT4,IB4,JJ4,KR4,LZ4,NH4,OP4,PX4,RF4,SN4)-IF(L4="",0,L4)&gt;0.001,MAX(ED4,FL4,GT4,IB4,JJ4,KR4,LZ4,NH4,OP4,PX4,RF4,SN4)-IF(L4="",0,L4),""),"")</f>
        <v/>
      </c>
      <c r="DA4" s="87" t="str">
        <f>IF(N4&gt;=0.001,IF(MAX(EG4,EJ4,FO4,FR4,GW4,GZ4,IE4,IH4,JM4,JP4,KU4,KX4,MC4,MF4,NK4,NN4,OS4,OV4,QA4,QD4,RI4,RL4,SQ4,ST4)-IF(N4="",0,N4)&gt;0.001,MAX(EG4,EJ4,FO4,FR4,GW4,GZ4,IE4,IH4,JM4,JP4,KU4,KX4,MC4,MF4,NK4,NN4,OS4,OV4,QA4,QD4,RI4,RL4,SQ4,ST4)-IF(N4="",0,N4),""),"")</f>
        <v/>
      </c>
      <c r="DB4" s="87">
        <f>IF(P4&gt;=0.001,IF(MAX(DX4,EA4,EE4,EH4,FF4,FI4,FM4,FP4,GN4,GQ4,GU4,GX4,HV4,HY4,IC4,IF4,JD4,JG4,JK4,JN4,KL4,KO4,KS4,KV4,LT4,LW4,MA4,MD4,NB4,NE4,NI4,NL4,OJ4,OM4,OQ4,OT4,PR4,PU4,PY4,QB4,QZ4,RC4,RG4,RJ4,SH4,SK4,SO4,SR4)-IF(P4="",0,P4)&gt;0.001,MAX(DX4,EA4,EE4,EH4,FF4,FI4,FM4,FP4,GN4,GQ4,GU4,GX4,HV4,HY4,IC4,IF4,JD4,JG4,JK4,JN4,KL4,KO4,KS4,KV4,LT4,LW4,MA4,MD4,NB4,NE4,NI4,NL4,OJ4,OM4,OQ4,OT4,PR4,PU4,PY4,QB4,QZ4,RC4,RG4,RJ4,SH4,SK4,SO4,SR4)-IF(P4="",0,P4),""),"")</f>
        <v>11.6</v>
      </c>
      <c r="DC4" s="87">
        <f>IF(R4&gt;=0.001,IF(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&gt;0.001,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,""),"")</f>
        <v>17.36</v>
      </c>
      <c r="DD4" s="25">
        <v>8.15</v>
      </c>
      <c r="DE4" s="25">
        <v>9.6</v>
      </c>
      <c r="DF4" s="25">
        <v>11.6</v>
      </c>
      <c r="DG4" s="25">
        <v>16.96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8.25</v>
      </c>
      <c r="DT4" s="25">
        <v>9.4</v>
      </c>
      <c r="DU4" s="25">
        <v>11.6</v>
      </c>
      <c r="DV4" s="25">
        <v>17.36</v>
      </c>
      <c r="DW4" s="25">
        <v>0</v>
      </c>
      <c r="DX4" s="76">
        <f>IF(DF4&gt;0,DF4,"")</f>
        <v>11.6</v>
      </c>
      <c r="DY4" s="76">
        <f>IF(DG4&gt;0,DG4,"")</f>
        <v>16.96</v>
      </c>
      <c r="DZ4" s="76">
        <f>IF(SUM(DD4:DG4)-DH4&gt;0,SUM(DD4:DG4)-DH4,"")</f>
        <v>46.31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46.31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11.6</v>
      </c>
      <c r="EI4" s="76">
        <f>IF(DV4&gt;0,DV4,"")</f>
        <v>17.36</v>
      </c>
      <c r="EJ4" s="76">
        <f>IF(SUM(DS4:DV4)-DW4&gt;0,SUM(DS4:DV4)-DW4,"")</f>
        <v>46.61</v>
      </c>
      <c r="EK4" s="76">
        <f>IF(SUM(ED4,EJ4)&gt;0,SUM(ED4,EJ4),"")</f>
        <v>92.92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8.5500000000000007</v>
      </c>
      <c r="FB4" s="26">
        <v>9.4499999999999993</v>
      </c>
      <c r="FC4" s="26">
        <v>9.8000000000000007</v>
      </c>
      <c r="FD4" s="26">
        <v>16.2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9.8000000000000007</v>
      </c>
      <c r="FQ4" s="16">
        <f>IF(FD4&gt;0,FD4,"")</f>
        <v>16.2</v>
      </c>
      <c r="FR4" s="16">
        <f>IF(SUM(FA4:FD4)-FE4&gt;0,SUM(FA4:FD4)-FE4,"")</f>
        <v>44</v>
      </c>
      <c r="FS4" s="16">
        <f>IF(SUM(FL4,FR4)&gt;0,SUM(FL4,FR4),"")</f>
        <v>44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IF($CN4="P",BY4,(BY4+AX4)/2)</f>
        <v>0</v>
      </c>
      <c r="SW4" s="42">
        <f>IF($CN4="P",BZ4,(BZ4+AY4)/2)</f>
        <v>0</v>
      </c>
      <c r="SX4" s="42">
        <f>IF($CN4="P",CA4,(CA4+AZ4)/2)</f>
        <v>0</v>
      </c>
      <c r="SY4" s="42">
        <f>IF($CN4="P",CB4,(CB4+BA4)/2)</f>
        <v>0</v>
      </c>
      <c r="SZ4" s="42">
        <f>IF($CN4="P",CC4,(CC4+BB4)/2)</f>
        <v>0</v>
      </c>
      <c r="TA4" s="42">
        <f>IF($CN4="P",CD4,(CD4+BC4)/2)</f>
        <v>0</v>
      </c>
      <c r="TB4" s="42">
        <f>IF($CN4="P",CE4,(CE4+BD4)/2)</f>
        <v>0</v>
      </c>
      <c r="TC4" s="42">
        <f>IF($CN4="P",CF4,(CF4+BE4)/2)</f>
        <v>0</v>
      </c>
      <c r="TD4" s="42">
        <f>IF($CN4="P",CG4,(CG4+BF4)/2)</f>
        <v>0</v>
      </c>
      <c r="TE4" s="42">
        <f>IF($CN4="P",CH4,(CH4+BG4)/2)</f>
        <v>0</v>
      </c>
      <c r="TF4" s="42">
        <f>IF($CN4="P",CI4,(CI4+BH4)/2)</f>
        <v>0</v>
      </c>
      <c r="TG4" s="42">
        <f>IF($CN4="P",CJ4,(CJ4+BI4)/2)</f>
        <v>0</v>
      </c>
      <c r="TH4" s="42">
        <f>IF($CN4="P",CK4,(CK4+BJ4)/2)</f>
        <v>0</v>
      </c>
      <c r="TI4" s="42">
        <f>IF($CN4="P",CL4,(CL4+BK4)/2)</f>
        <v>0</v>
      </c>
      <c r="TJ4" s="42">
        <f>IF($CN4="P",CM4,(CM4+BL4)/2)</f>
        <v>0</v>
      </c>
      <c r="TK4" s="51" t="s">
        <v>61</v>
      </c>
      <c r="TL4" s="76" t="str">
        <f>IF(SX4&gt;0,SX4,"")</f>
        <v/>
      </c>
      <c r="TM4" s="76" t="str">
        <f>IF(SY4&gt;0,SY4,"")</f>
        <v/>
      </c>
      <c r="TN4" s="76" t="str">
        <f>IF(SUM(SV4:SY4)-SZ4&gt;0,SUM(SV4:SY4)-SZ4,"")</f>
        <v/>
      </c>
      <c r="TO4" s="76" t="str">
        <f>IF(TC4&gt;0,TC4,"")</f>
        <v/>
      </c>
      <c r="TP4" s="76" t="str">
        <f>IF(TD4&gt;0,TD4,"")</f>
        <v/>
      </c>
      <c r="TQ4" s="76" t="str">
        <f>IF(SUM(TA4:TD4)-TE4&gt;0,SUM(TA4:TD4)-TE4,"")</f>
        <v/>
      </c>
      <c r="TR4" s="76" t="str">
        <f>IF(MAX(TN4,TQ4)&gt;0,MAX(TN4,TQ4),"")</f>
        <v/>
      </c>
      <c r="TS4" s="76" t="str">
        <f>IF(TH4&gt;0,TH4,"")</f>
        <v/>
      </c>
      <c r="TT4" s="76" t="str">
        <f>IF(TI4&gt;0,TI4,"")</f>
        <v/>
      </c>
      <c r="TU4" s="76" t="str">
        <f>IF(SUM(TF4:TI4)-TJ4&gt;0,SUM(TF4:TI4)-TJ4,"")</f>
        <v/>
      </c>
      <c r="TV4" s="76" t="str">
        <f>IF(SUM(TR4,TU4)&gt;0,SUM(TR4,TU4),"")</f>
        <v/>
      </c>
    </row>
    <row r="5" spans="1:542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127</v>
      </c>
      <c r="C5" s="7" t="s">
        <v>6</v>
      </c>
      <c r="D5" s="18" t="s">
        <v>128</v>
      </c>
      <c r="E5" s="14">
        <f>SUM(J5,T5)+SUM(J5)*0.0000000000001</f>
        <v>8.9</v>
      </c>
      <c r="F5" s="3" t="str">
        <f>IF(OR(AND(AM5&gt;=AW$8,AM5&lt;&gt;"",AO5&gt;=AW$12,AO5&lt;&gt;"",AL5=""),AND(AP5&gt;=AW$8,AP5&lt;&gt;"",AR5&gt;=AW$12,AR5&lt;&gt;"",AL5=""),AND(AT5&gt;=AW$8,AT5&lt;&gt;"",AV5&gt;=AW$12,AV5&lt;&gt;"",AL5=""),AND(BN5&gt;=BX$8,BN5&lt;&gt;"",BP5&gt;=BX$12,BP5&lt;&gt;"",BM5=""),AND(BQ5&gt;=BX$8,BQ5&lt;&gt;"",BS5&gt;=BX$12,BS5&lt;&gt;"",BM5=""),AND(BU5&gt;=BX$8,BU5&lt;&gt;"",BW5&gt;=BX$12,BW5&lt;&gt;"",BM5=""),AND(CO5&gt;=CY$8,CO5&lt;&gt;"",CQ5&gt;=CY$12,CQ5&lt;&gt;"",CN5=""),AND(CR5&gt;=CY$8,CR5&lt;&gt;"",CT5&gt;=CY$12,CT5&lt;&gt;"",CN5=""),AND(CV5&gt;=CY$8,CV5&lt;&gt;"",CX5&gt;=CY$12,CX5&lt;&gt;"",CN5=""),AND(DX5&gt;=EK$8,DX5&lt;&gt;"",DZ5&gt;=EK$12,DZ5&lt;&gt;""),AND(EA5&gt;=EK$8,EA5&lt;&gt;"",EC5&gt;=EK$12,EC5&lt;&gt;""),AND(EE5&gt;=EK$8,EE5&lt;&gt;"",EG5&gt;=EK$12,EG5&lt;&gt;""),AND(EH5&gt;=EK$8,EH5&lt;&gt;"",EJ5&gt;=EK$12,EJ5&lt;&gt;""),AND(FF5&gt;=FS$8,FF5&lt;&gt;"",FH5&gt;=FS$12,FH5&lt;&gt;""),AND(FI5&gt;=FS$8,FI5&lt;&gt;"",FK5&gt;=FS$12,FK5&lt;&gt;""),AND(FM5&gt;=FS$8,FM5&lt;&gt;"",FO5&gt;=FS$12,FO5&lt;&gt;""),AND(FP5&gt;=FS$8,FP5&lt;&gt;"",FR5&gt;=FS$12,FR5&lt;&gt;""),AND(GN5&gt;=HA$8,GN5&lt;&gt;"",GP5&gt;=HA$12,GP5&lt;&gt;""),AND(GQ5&gt;=HA$8,GQ5&lt;&gt;"",GS5&gt;=HA$12,GS5&lt;&gt;""),AND(GU5&gt;=HA$8,GU5&lt;&gt;"",GW5&gt;=HA$12,GW5&lt;&gt;""),AND(GX5&gt;=HA$8,GX5&lt;&gt;"",GZ5&gt;=HA$12,GZ5&lt;&gt;""),AND(HV5&gt;=II$8,HV5&lt;&gt;"",HX5&gt;=II$12,HX5&lt;&gt;""),AND(HY5&gt;=II$8,HY5&lt;&gt;"",IA5&gt;=II$12,IA5&lt;&gt;""),AND(IC5&gt;=II$8,IC5&lt;&gt;"",IE5&gt;=II$12,IE5&lt;&gt;""),AND(IF5&gt;=II$8,IF5&lt;&gt;"",IH5&gt;=II$12,IH5&lt;&gt;""),AND(JD5&gt;=JQ$8,JD5&lt;&gt;"",JF5&gt;=JQ$12,JF5&lt;&gt;""),AND(JG5&gt;=JQ$8,JG5&lt;&gt;"",JI5&gt;=JQ$12,JI5&lt;&gt;""),AND(JK5&gt;=JQ$8,JK5&lt;&gt;"",JM5&gt;=JQ$12,JM5&lt;&gt;""),AND(JN5&gt;=JQ$8,JN5&lt;&gt;"",JP5&gt;=JQ$12,JP5&lt;&gt;""),AND(KL5&gt;=KY$8,KL5&lt;&gt;"",KN5&gt;=KY$12,KN5&lt;&gt;""),AND(KO5&gt;=KY$8,KO5&lt;&gt;"",KQ5&gt;=KY$12,KQ5&lt;&gt;""),AND(KS5&gt;=KY$8,KS5&lt;&gt;"",KU5&gt;=KY$12,KU5&lt;&gt;""),AND(KV5&gt;=KY$8,KV5&lt;&gt;"",KX5&gt;=KY$12,KX5&lt;&gt;""),AND(LT5&gt;=MG$8,LT5&lt;&gt;"",LV5&gt;=MG$12,LV5&lt;&gt;""),AND(LW5&gt;=MG$8,LW5&lt;&gt;"",LY5&gt;=MG$12,LY5&lt;&gt;""),AND(MA5&gt;=MG$8,MA5&lt;&gt;"",MC5&gt;=MG$12,MC5&lt;&gt;""),AND(MD5&gt;=MG$8,MD5&lt;&gt;"",MF5&gt;=MG$12,MF5&lt;&gt;""),AND(NB5&gt;=NO$8,NB5&lt;&gt;"",ND5&gt;=NO$12,ND5&lt;&gt;""),AND(NE5&gt;=NO$8,NE5&lt;&gt;"",NG5&gt;=NO$12,NG5&lt;&gt;""),AND(NI5&gt;=NO$8,NI5&lt;&gt;"",NK5&gt;=NO$12,NK5&lt;&gt;""),AND(NL5&gt;=NO$8,NL5&lt;&gt;"",NN5&gt;=NO$12,NN5&lt;&gt;""),AND(OJ5&gt;=OW$8,OJ5&lt;&gt;"",OL5&gt;=OW$12,OL5&lt;&gt;""),AND(OM5&gt;=OW$8,OM5&lt;&gt;"",OO5&gt;=OW$12,OO5&lt;&gt;""),AND(OQ5&gt;=OW$8,OQ5&lt;&gt;"",OS5&gt;=OW$12,OS5&lt;&gt;""),AND(OT5&gt;=OW$8,OT5&lt;&gt;"",OV5&gt;=OW$12,OV5&lt;&gt;""),AND(PR5&gt;=QE$8,PR5&lt;&gt;"",PT5&gt;=QE$12,PT5&lt;&gt;""),AND(PU5&gt;=QE$8,PU5&lt;&gt;"",PW5&gt;=QE$12,PW5&lt;&gt;""),AND(PY5&gt;=QE$8,PY5&lt;&gt;"",QA5&gt;=QE$12,QA5&lt;&gt;""),AND(QB5&gt;=QE$8,QB5&lt;&gt;"",QD5&gt;=QE$12,QD5&lt;&gt;""),AND(QZ5&gt;=RM$8,QZ5&lt;&gt;"",RB5&gt;=RM$12,RB5&lt;&gt;""),AND(RC5&gt;=RM$8,RC5&lt;&gt;"",RE5&gt;=RM$12,RE5&lt;&gt;""),AND(RG5&gt;=RM$8,RG5&lt;&gt;"",RI5&gt;=RM$12,RI5&lt;&gt;""),AND(RJ5&gt;=RM$8,RJ5&lt;&gt;"",RL5&gt;=RM$12,RL5&lt;&gt;""),AND(SH5&gt;=SU$8,SH5&lt;&gt;"",SJ5&gt;=SU$12,SJ5&lt;&gt;""),AND(SK5&gt;=SU$8,SK5&lt;&gt;"",SM5&gt;=SU$12,SM5&lt;&gt;""),AND(SO5&gt;=SU$8,SO5&lt;&gt;"",SQ5&gt;=SU$12,SQ5&lt;&gt;""),AND(SR5&gt;=SU$8,SR5&lt;&gt;"",ST5&gt;=SU$12,ST5&lt;&gt;"")),"P","")</f>
        <v/>
      </c>
      <c r="G5" s="3" t="str">
        <f>IF(OR(AND(AO5&gt;=AW$12,AO5&lt;&gt;"",AL5=""),AND(AR5&gt;=AW$12,AR5&lt;&gt;"",AL5=""),AND(AV5&gt;=AW$12,AV5&lt;&gt;"",AL5=""),AND(BP5&gt;=BX$12,BP5&lt;&gt;"",BM5=""),AND(BS5&gt;=BX$12,BS5&lt;&gt;"",BM5=""),AND(BW5&gt;=BX$12,BW5&lt;&gt;"",BM5=""),AND(CQ5&gt;=CY$12,CQ5&lt;&gt;"",CN5=""),AND(CT5&gt;=CY$12,CT5&lt;&gt;"",CN5=""),AND(CX5&gt;=CY$12,CX5&lt;&gt;"",CN5=""),AND(DZ5&gt;=EK$12,DZ5&lt;&gt;""),AND(EC5&gt;=EK$12,EC5&lt;&gt;""),AND(EG5&gt;=EK$12,EG5&lt;&gt;""),AND(EJ5&gt;=EK$12,EJ5&lt;&gt;""),AND(FH5&gt;=FS$12,FH5&lt;&gt;""),AND(FK5&gt;=FS$12,FK5&lt;&gt;""),AND(FO5&gt;=FS$12,FO5&lt;&gt;""),AND(FR5&gt;=FS$12,FR5&lt;&gt;""),AND(GP5&gt;=HA$12,GP5&lt;&gt;""),AND(GS5&gt;=HA$12,GS5&lt;&gt;""),AND(GW5&gt;=HA$12,GW5&lt;&gt;""),AND(GZ5&gt;=HA$12,GZ5&lt;&gt;""),AND(HX5&gt;=II$12,HX5&lt;&gt;""),AND(IA5&gt;=II$12,IA5&lt;&gt;""),AND(IE5&gt;=II$12,IE5&lt;&gt;""),AND(IH5&gt;=II$12,IH5&lt;&gt;""),AND(JF5&gt;=JQ$12,JF5&lt;&gt;""),AND(JI5&gt;=JQ$12,JI5&lt;&gt;""),AND(JM5&gt;=JQ$12,JM5&lt;&gt;""),AND(JP5&gt;=JQ$12,JP5&lt;&gt;""),AND(KN5&gt;=KY$12,KN5&lt;&gt;""),AND(KQ5&gt;=KY$12,KQ5&lt;&gt;""),AND(KU5&gt;=KY$12,KU5&lt;&gt;""),AND(KX5&gt;=KY$12,KX5&lt;&gt;""),AND(LV5&gt;=MG$12,LV5&lt;&gt;""),AND(LY5&gt;=MG$12,LY5&lt;&gt;""),AND(MC5&gt;=MG$12,MC5&lt;&gt;""),AND(MF5&gt;=MG$12,MF5&lt;&gt;""),AND(ND5&gt;=NO$12,ND5&lt;&gt;""),AND(NG5&gt;=NO$12,NG5&lt;&gt;""),AND(NK5&gt;=NO$12,NK5&lt;&gt;""),AND(NN5&gt;=NO$12,NN5&lt;&gt;""),AND(OL5&gt;=OW$12,OL5&lt;&gt;""),AND(OO5&gt;=OW$12,OO5&lt;&gt;""),AND(OS5&gt;=OW$12,OS5&lt;&gt;""),AND(OV5&gt;=OW$12,OV5&lt;&gt;""),AND(PT5&gt;=QE$12,PT5&lt;&gt;""),AND(PW5&gt;=QE$12,PW5&lt;&gt;""),AND(QA5&gt;=QE$12,QA5&lt;&gt;""),AND(QD5&gt;=QE$12,QD5&lt;&gt;""),AND(RB5&gt;=RM$12,RB5&lt;&gt;""),AND(RE5&gt;=RM$12,RE5&lt;&gt;""),AND(RI5&gt;=RM$12,RI5&lt;&gt;""),AND(RL5&gt;=RM$12,RL5&lt;&gt;""),AND(SJ5&gt;=SU$12,SJ5&lt;&gt;""),AND(SM5&gt;=SU$12,SM5&lt;&gt;""),AND(SQ5&gt;=SU$12,SQ5&lt;&gt;""),AND(ST5&gt;=SU$12,ST5&lt;&gt;"")),"P","")</f>
        <v/>
      </c>
      <c r="H5" s="70" t="str">
        <f>IF(AND(G5="P",F5=""),"No DD",IF(OR(AND(AM5&gt;=AW$11,AM5&lt;&gt;"",AO5&gt;=AW$15,AO5&lt;&gt;"",AL5=""),AND(AP5&gt;=AW$11,AP5&lt;&gt;"",AR5&gt;=AW$15,AR5&lt;&gt;"",AL5=""),AND(AT5&gt;=AW$11,AT5&lt;&gt;"",AV5&gt;=AW$15,AV5&lt;&gt;"",AL5=""),AND(BN5&gt;=BX$11,BN5&lt;&gt;"",BP5&gt;=BX$15,BP5&lt;&gt;"",BM5=""),AND(BQ5&gt;=BX$11,BQ5&lt;&gt;"",BS5&gt;=BX$15,BS5&lt;&gt;"",BM5=""),AND(BU5&gt;=BX$11,BU5&lt;&gt;"",BW5&gt;=BX$15,BW5&lt;&gt;"",BM5=""),AND(CO5&gt;=CY$11,CO5&lt;&gt;"",CQ5&gt;=CY$15,CQ5&lt;&gt;"",CN5=""),AND(CR5&gt;=CY$11,CR5&lt;&gt;"",CT5&gt;=CY$15,CT5&lt;&gt;"",CN5=""),AND(CV5&gt;=CY$11,CV5&lt;&gt;"",CX5&gt;=CY$15,CX5&lt;&gt;"",CN5=""),AND(DX5&gt;=EK$11,DX5&lt;&gt;"",DZ5&gt;=EK$15,DZ5&lt;&gt;""),AND(EA5&gt;=EK$11,EA5&lt;&gt;"",EC5&gt;=EK$15,EC5&lt;&gt;""),AND(EE5&gt;=EK$11,EE5&lt;&gt;"",EG5&gt;=EK$15,EG5&lt;&gt;""),AND(EH5&gt;=EK$11,EH5&lt;&gt;"",EJ5&gt;=EK$15,EJ5&lt;&gt;""),AND(FF5&gt;=FS$11,FF5&lt;&gt;"",FH5&gt;=FS$15,FH5&lt;&gt;""),AND(FI5&gt;=FS$11,FI5&lt;&gt;"",FK5&gt;=FS$15,FK5&lt;&gt;""),AND(FM5&gt;=FS$11,FM5&lt;&gt;"",FO5&gt;=FS$15,FO5&lt;&gt;""),AND(FP5&gt;=FS$11,FP5&lt;&gt;"",FR5&gt;=FS$15,FR5&lt;&gt;""),AND(GN5&gt;=HA$11,GN5&lt;&gt;"",GP5&gt;=HA$15,GP5&lt;&gt;""),AND(GQ5&gt;=HA$11,GQ5&lt;&gt;"",GS5&gt;=HA$15,GS5&lt;&gt;""),AND(GU5&gt;=HA$11,GU5&lt;&gt;"",GW5&gt;=HA$15,GW5&lt;&gt;""),AND(GX5&gt;=HA$11,GX5&lt;&gt;"",GZ5&gt;=HA$15,GZ5&lt;&gt;""),AND(HV5&gt;=II$11,HV5&lt;&gt;"",HX5&gt;=II$15,HX5&lt;&gt;""),AND(HY5&gt;=II$11,HY5&lt;&gt;"",IA5&gt;=II$15,IA5&lt;&gt;""),AND(IC5&gt;=II$11,IC5&lt;&gt;"",IE5&gt;=II$15,IE5&lt;&gt;""),AND(IF5&gt;=II$11,IF5&lt;&gt;"",IH5&gt;=II$15,IH5&lt;&gt;""),AND(JD5&gt;=JQ$11,JD5&lt;&gt;"",JF5&gt;=JQ$15,JF5&lt;&gt;""),AND(JG5&gt;=JQ$11,JG5&lt;&gt;"",JI5&gt;=JQ$15,JI5&lt;&gt;""),AND(JK5&gt;=JQ$11,JK5&lt;&gt;"",JM5&gt;=JQ$15,JM5&lt;&gt;""),AND(JN5&gt;=JQ$11,JN5&lt;&gt;"",JP5&gt;=JQ$15,JP5&lt;&gt;""),AND(KL5&gt;=KY$11,KL5&lt;&gt;"",KN5&gt;=KY$15,KN5&lt;&gt;""),AND(KO5&gt;=KY$11,KO5&lt;&gt;"",KQ5&gt;=KY$15,KQ5&lt;&gt;""),AND(KS5&gt;=KY$11,KS5&lt;&gt;"",KU5&gt;=KY$15,KU5&lt;&gt;""),AND(KV5&gt;=KY$11,KV5&lt;&gt;"",KX5&gt;=KY$15,KX5&lt;&gt;""),AND(LT5&gt;=MG$11,LT5&lt;&gt;"",LV5&gt;=MG$15,LV5&lt;&gt;""),AND(LW5&gt;=MG$11,LW5&lt;&gt;"",LY5&gt;=MG$15,LY5&lt;&gt;""),AND(MA5&gt;=MG$11,MA5&lt;&gt;"",MC5&gt;=MG$15,MC5&lt;&gt;""),AND(MD5&gt;=MG$11,MD5&lt;&gt;"",MF5&gt;=MG$15,MF5&lt;&gt;""),AND(NB5&gt;=NO$11,NB5&lt;&gt;"",ND5&gt;=NO$15,ND5&lt;&gt;""),AND(NE5&gt;=NO$11,NE5&lt;&gt;"",NG5&gt;=NO$15,NG5&lt;&gt;""),AND(NI5&gt;=NO$11,NI5&lt;&gt;"",NK5&gt;=NO$15,NK5&lt;&gt;""),AND(NL5&gt;=NO$11,NL5&lt;&gt;"",NN5&gt;=NO$15,NN5&lt;&gt;""),AND(OJ5&gt;=OW$11,OJ5&lt;&gt;"",OL5&gt;=OW$15,OL5&lt;&gt;""),AND(OM5&gt;=OW$11,OM5&lt;&gt;"",OO5&gt;=OW$15,OO5&lt;&gt;""),AND(OQ5&gt;=OW$11,OQ5&lt;&gt;"",OS5&gt;=OW$15,OS5&lt;&gt;""),AND(OT5&gt;=OW$11,OT5&lt;&gt;"",OV5&gt;=OW$15,OV5&lt;&gt;""),AND(PR5&gt;=QE$11,PR5&lt;&gt;"",PT5&gt;=QE$15,PT5&lt;&gt;""),AND(PU5&gt;=QE$11,PU5&lt;&gt;"",PW5&gt;=QE$15,PW5&lt;&gt;""),AND(PY5&gt;=QE$11,PY5&lt;&gt;"",QA5&gt;=QE$15,QA5&lt;&gt;""),AND(QB5&gt;=QE$11,QB5&lt;&gt;"",QD5&gt;=QE$15,QD5&lt;&gt;""),AND(QZ5&gt;=RM$11,QZ5&lt;&gt;"",RB5&gt;=RM$15,RB5&lt;&gt;""),AND(RC5&gt;=RM$11,RC5&lt;&gt;"",RE5&gt;=RM$15,RE5&lt;&gt;""),AND(RG5&gt;=RM$11,RG5&lt;&gt;"",RI5&gt;=RM$15,RI5&lt;&gt;""),AND(RJ5&gt;=RM$11,RJ5&lt;&gt;"",RL5&gt;=RM$15,RL5&lt;&gt;""),AND(SH5&gt;=SU$11,SH5&lt;&gt;"",SJ5&gt;=SU$15,SJ5&lt;&gt;""),AND(SK5&gt;=SU$11,SK5&lt;&gt;"",SM5&gt;=SU$15,SM5&lt;&gt;""),AND(SO5&gt;=SU$11,SO5&lt;&gt;"",SQ5&gt;=SU$15,SQ5&lt;&gt;""),AND(SR5&gt;=SU$11,SR5&lt;&gt;"",ST5&gt;=SU$15,ST5&lt;&gt;"")),"Merit",IF(OR(AND(AM5&gt;=AW$10,AM5&lt;&gt;"",AO5&gt;=AW$14,AO5&lt;&gt;"",AL5=""),AND(AP5&gt;=AW$10,AP5&lt;&gt;"",AR5&gt;=AW$14,AR5&lt;&gt;"",AL5=""),AND(AT5&gt;=AW$10,AT5&lt;&gt;"",AV5&gt;=AW$14,AV5&lt;&gt;"",AL5=""),AND(BN5&gt;=BX$10,BN5&lt;&gt;"",BP5&gt;=BX$14,BP5&lt;&gt;"",BM5=""),AND(BQ5&gt;=BX$10,BQ5&lt;&gt;"",BS5&gt;=BX$14,BS5&lt;&gt;"",BM5=""),AND(BU5&gt;=BX$10,BU5&lt;&gt;"",BW5&gt;=BX$14,BW5&lt;&gt;"",BM5=""),AND(CO5&gt;=CY$10,CO5&lt;&gt;"",CQ5&gt;=CY$14,CQ5&lt;&gt;"",CN5=""),AND(CR5&gt;=CY$10,CR5&lt;&gt;"",CT5&gt;=CY$14,CT5&lt;&gt;"",CN5=""),AND(CV5&gt;=CY$10,CV5&lt;&gt;"",CX5&gt;=CY$14,CX5&lt;&gt;"",CN5=""),AND(DX5&gt;=EK$10,DX5&lt;&gt;"",DZ5&gt;=EK$14,DZ5&lt;&gt;""),AND(EA5&gt;=EK$10,EA5&lt;&gt;"",EC5&gt;=EK$14,EC5&lt;&gt;""),AND(EE5&gt;=EK$10,EE5&lt;&gt;"",EG5&gt;=EK$14,EG5&lt;&gt;""),AND(EH5&gt;=EK$10,EH5&lt;&gt;"",EJ5&gt;=EK$14,EJ5&lt;&gt;""),AND(FF5&gt;=FS$10,FF5&lt;&gt;"",FH5&gt;=FS$14,FH5&lt;&gt;""),AND(FI5&gt;=FS$10,FI5&lt;&gt;"",FK5&gt;=FS$14,FK5&lt;&gt;""),AND(FM5&gt;=FS$10,FM5&lt;&gt;"",FO5&gt;=FS$14,FO5&lt;&gt;""),AND(FP5&gt;=FS$10,FP5&lt;&gt;"",FR5&gt;=FS$14,FR5&lt;&gt;""),AND(GN5&gt;=HA$10,GN5&lt;&gt;"",GP5&gt;=HA$14,GP5&lt;&gt;""),AND(GQ5&gt;=HA$10,GQ5&lt;&gt;"",GS5&gt;=HA$14,GS5&lt;&gt;""),AND(GU5&gt;=HA$10,GU5&lt;&gt;"",GW5&gt;=HA$14,GW5&lt;&gt;""),AND(GX5&gt;=HA$10,GX5&lt;&gt;"",GZ5&gt;=HA$14,GZ5&lt;&gt;""),AND(HV5&gt;=II$10,HV5&lt;&gt;"",HX5&gt;=II$14,HX5&lt;&gt;""),AND(HY5&gt;=II$10,HY5&lt;&gt;"",IA5&gt;=II$14,IA5&lt;&gt;""),AND(IC5&gt;=II$10,IC5&lt;&gt;"",IE5&gt;=II$14,IE5&lt;&gt;""),AND(IF5&gt;=II$10,IF5&lt;&gt;"",IH5&gt;=II$14,IH5&lt;&gt;""),AND(JD5&gt;=JQ$10,JD5&lt;&gt;"",JF5&gt;=JQ$14,JF5&lt;&gt;""),AND(JG5&gt;=JQ$10,JG5&lt;&gt;"",JI5&gt;=JQ$14,JI5&lt;&gt;""),AND(JK5&gt;=JQ$10,JK5&lt;&gt;"",JM5&gt;=JQ$14,JM5&lt;&gt;""),AND(JN5&gt;=JQ$10,JN5&lt;&gt;"",JP5&gt;=JQ$14,JP5&lt;&gt;""),AND(KL5&gt;=KY$10,KL5&lt;&gt;"",KN5&gt;=KY$14,KN5&lt;&gt;""),AND(KO5&gt;=KY$10,KO5&lt;&gt;"",KQ5&gt;=KY$14,KQ5&lt;&gt;""),AND(KS5&gt;=KY$10,KS5&lt;&gt;"",KU5&gt;=KY$14,KU5&lt;&gt;""),AND(KV5&gt;=KY$10,KV5&lt;&gt;"",KX5&gt;=KY$14,KX5&lt;&gt;""),AND(LT5&gt;=MG$10,LT5&lt;&gt;"",LV5&gt;=MG$14,LV5&lt;&gt;""),AND(LW5&gt;=MG$10,LW5&lt;&gt;"",LY5&gt;=MG$14,LY5&lt;&gt;""),AND(MA5&gt;=MG$10,MA5&lt;&gt;"",MC5&gt;=MG$14,MC5&lt;&gt;""),AND(MD5&gt;=MG$10,MD5&lt;&gt;"",MF5&gt;=MG$14,MF5&lt;&gt;""),AND(NB5&gt;=NO$10,NB5&lt;&gt;"",ND5&gt;=NO$14,ND5&lt;&gt;""),AND(NE5&gt;=NO$10,NE5&lt;&gt;"",NG5&gt;=NO$14,NG5&lt;&gt;""),AND(NI5&gt;=NO$10,NI5&lt;&gt;"",NK5&gt;=NO$14,NK5&lt;&gt;""),AND(NL5&gt;=NO$10,NL5&lt;&gt;"",NN5&gt;=NO$14,NN5&lt;&gt;""),AND(OJ5&gt;=OW$10,OJ5&lt;&gt;"",OL5&gt;=OW$14,OL5&lt;&gt;""),AND(OM5&gt;=OW$10,OM5&lt;&gt;"",OO5&gt;=OW$14,OO5&lt;&gt;""),AND(OQ5&gt;=OW$10,OQ5&lt;&gt;"",OS5&gt;=OW$14,OS5&lt;&gt;""),AND(OT5&gt;=OW$10,OT5&lt;&gt;"",OV5&gt;=OW$14,OV5&lt;&gt;""),AND(PR5&gt;=QE$10,PR5&lt;&gt;"",PT5&gt;=QE$14,PT5&lt;&gt;""),AND(PU5&gt;=QE$10,PU5&lt;&gt;"",PW5&gt;=QE$14,PW5&lt;&gt;""),AND(PY5&gt;=QE$10,PY5&lt;&gt;"",QA5&gt;=QE$14,QA5&lt;&gt;""),AND(QB5&gt;=QE$10,QB5&lt;&gt;"",QD5&gt;=QE$14,QD5&lt;&gt;""),AND(QZ5&gt;=RM$10,QZ5&lt;&gt;"",RB5&gt;=RM$14,RB5&lt;&gt;""),AND(RC5&gt;=RM$10,RC5&lt;&gt;"",RE5&gt;=RM$14,RE5&lt;&gt;""),AND(RG5&gt;=RM$10,RG5&lt;&gt;"",RI5&gt;=RM$14,RI5&lt;&gt;""),AND(RJ5&gt;=RM$10,RJ5&lt;&gt;"",RL5&gt;=RM$14,RL5&lt;&gt;""),AND(SH5&gt;=SU$10,SH5&lt;&gt;"",SJ5&gt;=SU$14,SJ5&lt;&gt;""),AND(SK5&gt;=SU$10,SK5&lt;&gt;"",SM5&gt;=SU$14,SM5&lt;&gt;""),AND(SO5&gt;=SU$10,SO5&lt;&gt;"",SQ5&gt;=SU$14,SQ5&lt;&gt;""),AND(SR5&gt;=SU$10,SR5&lt;&gt;"",ST5&gt;=SU$14,ST5&lt;&gt;"")),"Excellence",IF(I5="P","Worlds Team",IF(F5="P","National Team","")))))</f>
        <v/>
      </c>
      <c r="I5" s="3" t="str">
        <f>IF(OR(AND(AM5&gt;=AW$9,AM5&lt;&gt;"",AO5&gt;=AW$13,AO5&lt;&gt;"",AL5=""),AND(AP5&gt;=AW$9,AP5&lt;&gt;"",AR5&gt;=AW$13,AR5&lt;&gt;"",AL5=""),AND(AT5&gt;=AW$9,AT5&lt;&gt;"",AV5&gt;=AW$13,AV5&lt;&gt;"",AL5=""),AND(BN5&gt;=BX$9,BN5&lt;&gt;"",BP5&gt;=BX$13,BP5&lt;&gt;"",BM5=""),AND(BQ5&gt;=BX$9,BQ5&lt;&gt;"",BS5&gt;=BX$13,BS5&lt;&gt;"",BM5=""),AND(BU5&gt;=BX$9,BU5&lt;&gt;"",BW5&gt;=BX$13,BW5&lt;&gt;"",BM5=""),AND(CO5&gt;=CY$9,CO5&lt;&gt;"",CQ5&gt;=CY$13,CQ5&lt;&gt;"",CN5=""),AND(CR5&gt;=CY$9,CR5&lt;&gt;"",CT5&gt;=CY$13,CT5&lt;&gt;"",CN5=""),AND(CV5&gt;=CY$9,CV5&lt;&gt;"",CX5&gt;=CY$13,CX5&lt;&gt;"",CN5=""),AND(DX5&gt;=EK$9,DX5&lt;&gt;"",DZ5&gt;=EK$13,DZ5&lt;&gt;""),AND(EA5&gt;=EK$9,EA5&lt;&gt;"",EC5&gt;=EK$13,EC5&lt;&gt;""),AND(EE5&gt;=EK$9,EE5&lt;&gt;"",EG5&gt;=EK$13,EG5&lt;&gt;""),AND(EH5&gt;=EK$9,EH5&lt;&gt;"",EJ5&gt;=EK$13,EJ5&lt;&gt;""),AND(FF5&gt;=FS$9,FF5&lt;&gt;"",FH5&gt;=FS$13,FH5&lt;&gt;""),AND(FI5&gt;=FS$9,FI5&lt;&gt;"",FK5&gt;=FS$13,FK5&lt;&gt;""),AND(FM5&gt;=FS$9,FM5&lt;&gt;"",FO5&gt;=FS$13,FO5&lt;&gt;""),AND(FP5&gt;=FS$9,FP5&lt;&gt;"",FR5&gt;=FS$13,FR5&lt;&gt;""),AND(GN5&gt;=HA$9,GN5&lt;&gt;"",GP5&gt;=HA$13,GP5&lt;&gt;""),AND(GQ5&gt;=HA$9,GQ5&lt;&gt;"",GS5&gt;=HA$13,GS5&lt;&gt;""),AND(GU5&gt;=HA$9,GU5&lt;&gt;"",GW5&gt;=HA$13,GW5&lt;&gt;""),AND(GX5&gt;=HA$9,GX5&lt;&gt;"",GZ5&gt;=HA$13,GZ5&lt;&gt;""),AND(HV5&gt;=II$9,HV5&lt;&gt;"",HX5&gt;=II$13,HX5&lt;&gt;""),AND(HY5&gt;=II$9,HY5&lt;&gt;"",IA5&gt;=II$13,IA5&lt;&gt;""),AND(IC5&gt;=II$9,IC5&lt;&gt;"",IE5&gt;=II$13,IE5&lt;&gt;""),AND(IF5&gt;=II$9,IF5&lt;&gt;"",IH5&gt;=II$13,IH5&lt;&gt;""),AND(JD5&gt;=JQ$9,JD5&lt;&gt;"",JF5&gt;=JQ$13,JF5&lt;&gt;""),AND(JG5&gt;=JQ$9,JG5&lt;&gt;"",JI5&gt;=JQ$13,JI5&lt;&gt;""),AND(JK5&gt;=JQ$9,JK5&lt;&gt;"",JM5&gt;=JQ$13,JM5&lt;&gt;""),AND(JN5&gt;=JQ$9,JN5&lt;&gt;"",JP5&gt;=JQ$13,JP5&lt;&gt;""),AND(KL5&gt;=KY$9,KL5&lt;&gt;"",KN5&gt;=KY$13,KN5&lt;&gt;""),AND(KO5&gt;=KY$9,KO5&lt;&gt;"",KQ5&gt;=KY$13,KQ5&lt;&gt;""),AND(KS5&gt;=KY$9,KS5&lt;&gt;"",KU5&gt;=KY$13,KU5&lt;&gt;""),AND(KV5&gt;=KY$9,KV5&lt;&gt;"",KX5&gt;=KY$13,KX5&lt;&gt;""),AND(LT5&gt;=MG$9,LT5&lt;&gt;"",LV5&gt;=MG$13,LV5&lt;&gt;""),AND(LW5&gt;=MG$9,LW5&lt;&gt;"",LY5&gt;=MG$13,LY5&lt;&gt;""),AND(MA5&gt;=MG$9,MA5&lt;&gt;"",MC5&gt;=MG$13,MC5&lt;&gt;""),AND(MD5&gt;=MG$9,MD5&lt;&gt;"",MF5&gt;=MG$13,MF5&lt;&gt;""),AND(NB5&gt;=NO$9,NB5&lt;&gt;"",ND5&gt;=NO$13,ND5&lt;&gt;""),AND(NE5&gt;=NO$9,NE5&lt;&gt;"",NG5&gt;=NO$13,NG5&lt;&gt;""),AND(NI5&gt;=NO$9,NI5&lt;&gt;"",NK5&gt;=NO$13,NK5&lt;&gt;""),AND(NL5&gt;=NO$9,NL5&lt;&gt;"",NN5&gt;=NO$13,NN5&lt;&gt;""),AND(OJ5&gt;=OW$9,OJ5&lt;&gt;"",OL5&gt;=OW$13,OL5&lt;&gt;""),AND(OM5&gt;=OW$9,OM5&lt;&gt;"",OO5&gt;=OW$13,OO5&lt;&gt;""),AND(OQ5&gt;=OW$9,OQ5&lt;&gt;"",OS5&gt;=OW$13,OS5&lt;&gt;""),AND(OT5&gt;=OW$9,OT5&lt;&gt;"",OV5&gt;=OW$13,OV5&lt;&gt;""),AND(PR5&gt;=QE$9,PR5&lt;&gt;"",PT5&gt;=QE$13,PT5&lt;&gt;""),AND(PU5&gt;=QE$9,PU5&lt;&gt;"",PW5&gt;=QE$13,PW5&lt;&gt;""),AND(PY5&gt;=QE$9,PY5&lt;&gt;"",QA5&gt;=QE$13,QA5&lt;&gt;""),AND(QB5&gt;=QE$9,QB5&lt;&gt;"",QD5&gt;=QE$13,QD5&lt;&gt;""),AND(QZ5&gt;=RM$9,QZ5&lt;&gt;"",RB5&gt;=RM$13,RB5&lt;&gt;""),AND(RC5&gt;=RM$9,RC5&lt;&gt;"",RE5&gt;=RM$13,RE5&lt;&gt;""),AND(RG5&gt;=RM$9,RG5&lt;&gt;"",RI5&gt;=RM$13,RI5&lt;&gt;""),AND(RJ5&gt;=RM$9,RJ5&lt;&gt;"",RL5&gt;=RM$13,RL5&lt;&gt;""),AND(SH5&gt;=SU$9,SH5&lt;&gt;"",SJ5&gt;=SU$13,SJ5&lt;&gt;""),AND(SK5&gt;=SU$9,SK5&lt;&gt;"",SM5&gt;=SU$13,SM5&lt;&gt;""),AND(SO5&gt;=SU$9,SO5&lt;&gt;"",SQ5&gt;=SU$13,SQ5&lt;&gt;""),AND(SR5&gt;=SU$9,SR5&lt;&gt;"",ST5&gt;=SU$13,ST5&lt;&gt;"")),"P","")</f>
        <v/>
      </c>
      <c r="J5" s="13">
        <f>IF(COUNT(AO5,AR5,BP5,BS5,CQ5,CT5)&gt;0,LARGE((AO5,AR5,BP5,BS5,CQ5,CT5),1),0)</f>
        <v>0</v>
      </c>
      <c r="K5" s="13" t="str">
        <f>IF(J5="","",IF(OR(J5=CQ5,J5=CT5),$BY$1,IF(OR(J5=BP5,J5=BS5),$AX$1,IF(OR(J5=AO5,J5=AR5),$W$1,""))))</f>
        <v/>
      </c>
      <c r="L5" s="13">
        <f>IF(COUNT(AO5,AR5,BP5,BS5,CQ5,CT5)&gt;1,LARGE((AO5,AR5,BP5,BS5,CQ5,CT5),2),0)</f>
        <v>0</v>
      </c>
      <c r="M5" s="13" t="str">
        <f>IF(L5="","",IF(OR(L5=CQ5,L5=CT5),$BY$1,IF(OR(L5=BP5,L5=BS5),$AX$1,IF(OR(L5=AO5,L5=AR5),$W$1,""))))</f>
        <v/>
      </c>
      <c r="N5" s="13">
        <f>IF(MAX(AV5,BW5,CX5)&gt;0,MAX(AV5,BW5,CX5),0)</f>
        <v>0</v>
      </c>
      <c r="O5" s="13" t="str">
        <f>IF(N5="","",IF(N5=CX5,$BY$1,IF(N5=BW5,$AX$1,IF(N5=AV5,$W$1,""))))</f>
        <v/>
      </c>
      <c r="P5" s="13" t="str">
        <f>IF(MAX(AM5,AP5,AT5,BN5,BQ5,BU5,CO5,CR5,CV5)&gt;0,MAX(AM5,AP5,BN5,BQ5,CO5,CR5,AT5),"")</f>
        <v/>
      </c>
      <c r="Q5" s="13" t="str">
        <f>IF(P5="","",IF(OR(P5=CO5,P5=CR5,P5=CV5),$BY$1,IF(OR(P5=BN5,P5=BQ5,P5=BU5),$AX$1,IF(OR(P5=AM5,P5=AP5,P5=AT5),$W$1,""))))</f>
        <v/>
      </c>
      <c r="R5" s="13" t="str">
        <f>IF(MAX(IF(AM5&gt;=$AW$8,AN5,0),IF(AP5&gt;=$AW$8,AQ5,0),IF(AT5&gt;=$AW$8,AU5,0),IF(BN5&gt;=$BX$8,BO5,0),IF(BQ5&gt;=$BX$8,BR5,0),IF(BU5&gt;=$BX$8,BV5,0),IF(CO5&gt;=$CY$8,CP5,0),IF(CR5&gt;=$CY$8,CS5,0),IF(CV5&gt;=$CY$8,CW5,0))&gt;0,MAX(IF(AM5&gt;=$AW$8,AN5,0),IF(AP5&gt;=$AW$8,AQ5,0),IF(AT5&gt;=$AW$8,AU5,0),IF(BN5&gt;=$BX$8,BO5,0),IF(BQ5&gt;=$BX$8,BR5,0),IF(BU5&gt;=$BX$8,BV5,0),IF(CO5&gt;=$CY$8,CP5,0),IF(CR5&gt;=$CY$8,CS5,0),IF(CV5&gt;=$CY$8,CW5,0)),"")</f>
        <v/>
      </c>
      <c r="S5" s="13" t="str">
        <f>IF(R5="","",IF(OR(R5=CP5,R5=CS5,R5=CW5),$BY$1,IF(OR(R5=BO5,R5=BR5,R5=BV5),$AX$1,IF(OR(R5=AN5,R5=AQ5,R5=AU5),$W$1,""))))</f>
        <v/>
      </c>
      <c r="T5" s="13">
        <f>IF(MAX(CZ5,DA5,DB5,DC5)&gt;0,MAX(CZ5,DA5,DB5,DC5),"")</f>
        <v>8.9</v>
      </c>
      <c r="U5" s="16" t="str">
        <f>IF(T5="","",IF(T5=CZ5,"("&amp;CZ$2&amp;")",IF(T5=DA5,"("&amp;DA$2&amp;")",IF(T5=DB5,"("&amp;DB$2&amp;")",IF(T5=DC5,"("&amp;DC$2&amp;")")))))</f>
        <v>(DD)</v>
      </c>
      <c r="V5" s="13" t="str">
        <f>IF(T5="","",IF(T5=CZ5,IF(T5+IF(L5="",0,L5)=SN5,$RN$1,IF(T5+IF(L5="",0,L5)=RF5,$QF$1,IF(T5+IF(L5="",0,L5)=PX5,$OX$1,IF(T5+IF(L5="",0,L5)=OP5,$NP$1,IF(T5+IF(L5="",0,L5)=NH5,$MH$1,IF(T5+IF(L5="",0,L5)=LZ5,$KZ$1,IF(T5+IF(L5="",0,L5)=KR5,$JR$1,IF(T5+IF(L5="",0,L5)=JJ5,$IJ$1,IF(T5+IF(L5="",0,L5)=IB5,$HB$1,IF(T5+IF(L5="",0,L5)=GT5,$FT$1,IF(T5+IF(L5="",0,L5)=FL5,$EL$1,IF(T5+IF(L5="",0,L5)=ED5,$DD$1)))))))))))),IF(T5=DA5,IF(T5+IF(N5="",0,N5)=ST5,$RN$1,IF(T5+IF(N5="",0,N5)=RL5,$QF$1,IF(T5+IF(N5="",0,N5)=QD5,$OX$1,IF(T5+IF(N5="",0,N5)=OV5,$NP$1,IF(T5+IF(N5="",0,N5)=NN5,$MH$1,IF(T5+IF(N5="",0,N5)=MF5,$KZ$1,IF(T5+IF(N5="",0,N5)=KX5,$JR$1,IF(T5+IF(N5="",0,N5)=JP5,$IJ$1,IF(T5+IF(N5="",0,N5)=IH5,$HB$1,IF(T5+IF(N5="",0,N5)=GZ5,$FT$1,IF(T5+IF(N5="",0,N5)=FR5,$EL$1,IF(T5+IF(N5="",0,N5)=EJ5,$DD$1)))))))))))),IF(T5=DB5,IF(T5+IF(P5="",0,P5)=MAX(SH5,SK5,SO5,SR5),$RN$1,IF(T5+IF(P5="",0,P5)=MAX(QZ5,RC5,RG5,RJ5),$QF$1,IF(T5+IF(P5="",0,P5)=MAX(PR5,PU5,PY5,QB5),$OX$1,IF(T5+IF(P5="",0,P5)=MAX(OJ5,OM5,OQ5,OT5),$NP$1,IF(T5+IF(P5="",0,P5)=MAX(NB5,NE5,NI5,NL5),$MH$1,IF(T5+IF(P5="",0,P5)=MAX(LT5,LW5,MA5,MD5),$KZ$1,IF(T5+IF(P5="",0,P5)=MAX(KL5,KO5,KS5,KV5),$JR$1,IF(T5+IF(P5="",0,P5)=MAX(JD5,JG5,JK5,JN5),$IJ$1,IF(T5+IF(P5="",0,P5)=MAX(HV5,HY5,IC5,IF5),$HB$1,IF(T5+IF(P5="",0,P5)=MAX(GN5,GQ5,GU5,GX5),$FT$1,IF(T5+IF(P5="",0,P5)=MAX(FF5,FI5,FM5,FP5),$EL$1,IF(T5+IF(P5="",0,P5)=MAX(DX5,EA5,EE5,EH5),$DD$1)))))))))))),IF(T5=DC5,IF(T5+IF(R5="",0,R5)=MAX(SI5,SL5,SP5,SS5),$RN$1,IF(T5+IF(R5="",0,R5)=MAX(RA5,RD5,RH5,RK5),$QF$1,IF(T5+IF(R5="",0,R5)=MAX(PS5,PV5,PZ5,QC5),$OX$1,IF(T5+IF(R5="",0,R5)=MAX(OK5,ON5,OR5,OU5),$NP$1,IF(T5+IF(R5="",0,R5)=MAX(NC5,NF5,NJ5,NM5),$MH$1,IF(T5+IF(R5="",0,R5)=MAX(LU5,LX5,MB5,ME5),$KZ$1,IF(T5+IF(R5="",0,R5)=MAX(KM5,KP5,KT5,KW5),$JR$1,IF(T5+IF(R5="",0,R5)=MAX(JE5,JH5,JL5,JO5),$IJ$1,IF(T5+IF(R5="",0,R5)=MAX(HW5,HZ5,ID5,IG5),$HB$1,IF(T5+IF(R5="",0,R5)=MAX(GO5,GR5,GV5,GY5),$FT$1,IF(T5+IF(R5="",0,R5)=MAX(FG5,FJ5,FN5,FQ5),$EL$1,IF(T5+IF(R5="",0,R5)=MAX(DY5,EB5,EF5,EI5),$DD$1)))))))))))))))))</f>
        <v>2021 WAGC (Nov 28)</v>
      </c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51"/>
      <c r="AM5" s="74" t="str">
        <f>IF(Y5&gt;0,Y5,"")</f>
        <v/>
      </c>
      <c r="AN5" s="74" t="str">
        <f>IF(Z5&gt;0,Z5,"")</f>
        <v/>
      </c>
      <c r="AO5" s="76" t="str">
        <f>IF(SUM(W5:Z5)-AA5&gt;0,SUM(W5:Z5)-AA5,"")</f>
        <v/>
      </c>
      <c r="AP5" s="76" t="str">
        <f>IF(AD5&gt;0,AD5,"")</f>
        <v/>
      </c>
      <c r="AQ5" s="76" t="str">
        <f>IF(AE5&gt;0,AE5,"")</f>
        <v/>
      </c>
      <c r="AR5" s="76" t="str">
        <f>IF(SUM(AB5:AE5)-AF5&gt;0,SUM(AB5:AE5)-AF5,"")</f>
        <v/>
      </c>
      <c r="AS5" s="76" t="str">
        <f>IF(AO5="","",MAX(AO5,AR5))</f>
        <v/>
      </c>
      <c r="AT5" s="76" t="str">
        <f>IF(AI5&gt;0,AI5,"")</f>
        <v/>
      </c>
      <c r="AU5" s="76" t="str">
        <f>IF(AJ5&gt;0,AJ5,"")</f>
        <v/>
      </c>
      <c r="AV5" s="76" t="str">
        <f>IF(SUM(AG5:AJ5)-AK5&gt;0,SUM(AG5:AJ5)-AK5,"")</f>
        <v/>
      </c>
      <c r="AW5" s="76" t="str">
        <f>IF(SUM(AS5,AV5)&gt;0,SUM(AS5,AV5),"")</f>
        <v/>
      </c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52"/>
      <c r="BN5" s="75" t="str">
        <f>IF(AZ5&gt;0,AZ5,"")</f>
        <v/>
      </c>
      <c r="BO5" s="75" t="str">
        <f>IF(BA5&gt;0,BA5,"")</f>
        <v/>
      </c>
      <c r="BP5" s="16" t="str">
        <f>IF(SUM(AX5:BA5)-BB5&gt;0,SUM(AX5:BA5)-BB5,"")</f>
        <v/>
      </c>
      <c r="BQ5" s="16" t="str">
        <f>IF(BE5&gt;0,BE5,"")</f>
        <v/>
      </c>
      <c r="BR5" s="16" t="str">
        <f>IF(BF5&gt;0,BF5,"")</f>
        <v/>
      </c>
      <c r="BS5" s="16" t="str">
        <f>IF(SUM(BC5:BF5)-BG5&gt;0,SUM(BC5:BF5)-BG5,"")</f>
        <v/>
      </c>
      <c r="BT5" s="16" t="str">
        <f>IF(BP5="","",MAX(BP5,BS5))</f>
        <v/>
      </c>
      <c r="BU5" s="16" t="str">
        <f>IF(BJ5&gt;0,BJ5,"")</f>
        <v/>
      </c>
      <c r="BV5" s="16" t="str">
        <f>IF(BK5&gt;0,BK5,"")</f>
        <v/>
      </c>
      <c r="BW5" s="16" t="str">
        <f>IF(SUM(BH5:BK5)-BL5&gt;0,SUM(BH5:BK5)-BL5,"")</f>
        <v/>
      </c>
      <c r="BX5" s="16" t="str">
        <f>IF(SUM(BT5,BW5)&gt;0,SUM(BT5,BW5),"")</f>
        <v/>
      </c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51"/>
      <c r="CO5" s="74" t="str">
        <f>IF(CA5&gt;0,CA5,"")</f>
        <v/>
      </c>
      <c r="CP5" s="74" t="str">
        <f>IF(CB5&gt;0,CB5,"")</f>
        <v/>
      </c>
      <c r="CQ5" s="76" t="str">
        <f>IF(SUM(BY5:CB5)-CC5&gt;0,SUM(BY5:CB5)-CC5,"")</f>
        <v/>
      </c>
      <c r="CR5" s="76" t="str">
        <f>IF(CF5&gt;0,CF5,"")</f>
        <v/>
      </c>
      <c r="CS5" s="76" t="str">
        <f>IF(CG5&gt;0,CG5,"")</f>
        <v/>
      </c>
      <c r="CT5" s="76" t="str">
        <f>IF(SUM(CD5:CG5)-CH5&gt;0,SUM(CD5:CG5)-CH5,"")</f>
        <v/>
      </c>
      <c r="CU5" s="76" t="str">
        <f>IF(CQ5="","",MAX(CQ5,CT5))</f>
        <v/>
      </c>
      <c r="CV5" s="76" t="str">
        <f>IF(CK5&gt;0,CK5,"")</f>
        <v/>
      </c>
      <c r="CW5" s="76" t="str">
        <f>IF(CL5&gt;0,CL5,"")</f>
        <v/>
      </c>
      <c r="CX5" s="76" t="str">
        <f>IF(SUM(CI5:CL5)-CM5&gt;0,SUM(CI5:CL5)-CM5,"")</f>
        <v/>
      </c>
      <c r="CY5" s="76" t="str">
        <f>IF(SUM(CU5,CX5)&gt;0,SUM(CU5,CX5),"")</f>
        <v/>
      </c>
      <c r="CZ5" s="87" t="str">
        <f>IF(L5&gt;=0.001,IF(MAX(ED5,FL5,GT5,IB5,JJ5,KR5,LZ5,NH5,OP5,PX5,RF5,SN5)-IF(L5="",0,L5)&gt;0.001,MAX(ED5,FL5,GT5,IB5,JJ5,KR5,LZ5,NH5,OP5,PX5,RF5,SN5)-IF(L5="",0,L5),""),"")</f>
        <v/>
      </c>
      <c r="DA5" s="87" t="str">
        <f>IF(N5&gt;=0.001,IF(MAX(EG5,EJ5,FO5,FR5,GW5,GZ5,IE5,IH5,JM5,JP5,KU5,KX5,MC5,MF5,NK5,NN5,OS5,OV5,QA5,QD5,RI5,RL5,SQ5,ST5)-IF(N5="",0,N5)&gt;0.001,MAX(EG5,EJ5,FO5,FR5,GW5,GZ5,IE5,IH5,JM5,JP5,KU5,KX5,MC5,MF5,NK5,NN5,OS5,OV5,QA5,QD5,RI5,RL5,SQ5,ST5)-IF(N5="",0,N5),""),"")</f>
        <v/>
      </c>
      <c r="DB5" s="87">
        <f>IF(P5&gt;=0.001,IF(MAX(DX5,EA5,EE5,EH5,FF5,FI5,FM5,FP5,GN5,GQ5,GU5,GX5,HV5,HY5,IC5,IF5,JD5,JG5,JK5,JN5,KL5,KO5,KS5,KV5,LT5,LW5,MA5,MD5,NB5,NE5,NI5,NL5,OJ5,OM5,OQ5,OT5,PR5,PU5,PY5,QB5,QZ5,RC5,RG5,RJ5,SH5,SK5,SO5,SR5)-IF(P5="",0,P5)&gt;0.001,MAX(DX5,EA5,EE5,EH5,FF5,FI5,FM5,FP5,GN5,GQ5,GU5,GX5,HV5,HY5,IC5,IF5,JD5,JG5,JK5,JN5,KL5,KO5,KS5,KV5,LT5,LW5,MA5,MD5,NB5,NE5,NI5,NL5,OJ5,OM5,OQ5,OT5,PR5,PU5,PY5,QB5,QZ5,RC5,RG5,RJ5,SH5,SK5,SO5,SR5)-IF(P5="",0,P5),""),"")</f>
        <v>8.9</v>
      </c>
      <c r="DC5" s="87" t="str">
        <f>IF(R5&gt;=0.001,IF(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&gt;0.001,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>IF(DF5&gt;0,DF5,"")</f>
        <v/>
      </c>
      <c r="DY5" s="76" t="str">
        <f>IF(DG5&gt;0,DG5,"")</f>
        <v/>
      </c>
      <c r="DZ5" s="76" t="str">
        <f>IF(SUM(DD5:DG5)-DH5&gt;0,SUM(DD5:DG5)-DH5,"")</f>
        <v/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 t="str">
        <f>IF(MAX(DZ5,EC5)&gt;0,MAX(DZ5,EC5),"")</f>
        <v/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 t="str">
        <f>IF(SUM(ED5,EJ5)&gt;0,SUM(ED5,EJ5),"")</f>
        <v/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>
        <v>8</v>
      </c>
      <c r="FU5" s="25">
        <v>9.4</v>
      </c>
      <c r="FV5" s="25">
        <v>8.9</v>
      </c>
      <c r="FW5" s="25">
        <v>16.48</v>
      </c>
      <c r="FX5" s="25">
        <v>0</v>
      </c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>
        <f>IF(FV5&gt;0,FV5,"")</f>
        <v>8.9</v>
      </c>
      <c r="GO5" s="76">
        <f>IF(FW5&gt;0,FW5,"")</f>
        <v>16.48</v>
      </c>
      <c r="GP5" s="76">
        <f>IF(SUM(FT5:FW5)-FX5&gt;0,SUM(FT5:FW5)-FX5,"")</f>
        <v>42.78</v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>
        <f>IF(MAX(GP5,GS5)&gt;0,MAX(GP5,GS5),"")</f>
        <v>42.78</v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>
        <f>IF(SUM(GT5,GZ5)&gt;0,SUM(GT5,GZ5),"")</f>
        <v>42.78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IF($CN5="P",BY5,(BY5+AX5)/2)</f>
        <v>0</v>
      </c>
      <c r="SW5" s="42">
        <f>IF($CN5="P",BZ5,(BZ5+AY5)/2)</f>
        <v>0</v>
      </c>
      <c r="SX5" s="42">
        <f>IF($CN5="P",CA5,(CA5+AZ5)/2)</f>
        <v>0</v>
      </c>
      <c r="SY5" s="42">
        <f>IF($CN5="P",CB5,(CB5+BA5)/2)</f>
        <v>0</v>
      </c>
      <c r="SZ5" s="42">
        <f>IF($CN5="P",CC5,(CC5+BB5)/2)</f>
        <v>0</v>
      </c>
      <c r="TA5" s="42">
        <f>IF($CN5="P",CD5,(CD5+BC5)/2)</f>
        <v>0</v>
      </c>
      <c r="TB5" s="42">
        <f>IF($CN5="P",CE5,(CE5+BD5)/2)</f>
        <v>0</v>
      </c>
      <c r="TC5" s="42">
        <f>IF($CN5="P",CF5,(CF5+BE5)/2)</f>
        <v>0</v>
      </c>
      <c r="TD5" s="42">
        <f>IF($CN5="P",CG5,(CG5+BF5)/2)</f>
        <v>0</v>
      </c>
      <c r="TE5" s="42">
        <f>IF($CN5="P",CH5,(CH5+BG5)/2)</f>
        <v>0</v>
      </c>
      <c r="TF5" s="42">
        <f>IF($CN5="P",CI5,(CI5+BH5)/2)</f>
        <v>0</v>
      </c>
      <c r="TG5" s="42">
        <f>IF($CN5="P",CJ5,(CJ5+BI5)/2)</f>
        <v>0</v>
      </c>
      <c r="TH5" s="42">
        <f>IF($CN5="P",CK5,(CK5+BJ5)/2)</f>
        <v>0</v>
      </c>
      <c r="TI5" s="42">
        <f>IF($CN5="P",CL5,(CL5+BK5)/2)</f>
        <v>0</v>
      </c>
      <c r="TJ5" s="42">
        <f>IF($CN5="P",CM5,(CM5+BL5)/2)</f>
        <v>0</v>
      </c>
      <c r="TK5" s="51" t="s">
        <v>61</v>
      </c>
      <c r="TL5" s="76" t="str">
        <f>IF(SX5&gt;0,SX5,"")</f>
        <v/>
      </c>
      <c r="TM5" s="76" t="str">
        <f>IF(SY5&gt;0,SY5,"")</f>
        <v/>
      </c>
      <c r="TN5" s="76" t="str">
        <f>IF(SUM(SV5:SY5)-SZ5&gt;0,SUM(SV5:SY5)-SZ5,"")</f>
        <v/>
      </c>
      <c r="TO5" s="76" t="str">
        <f>IF(TC5&gt;0,TC5,"")</f>
        <v/>
      </c>
      <c r="TP5" s="76" t="str">
        <f>IF(TD5&gt;0,TD5,"")</f>
        <v/>
      </c>
      <c r="TQ5" s="76" t="str">
        <f>IF(SUM(TA5:TD5)-TE5&gt;0,SUM(TA5:TD5)-TE5,"")</f>
        <v/>
      </c>
      <c r="TR5" s="76" t="str">
        <f>IF(MAX(TN5,TQ5)&gt;0,MAX(TN5,TQ5),"")</f>
        <v/>
      </c>
      <c r="TS5" s="76" t="str">
        <f>IF(TH5&gt;0,TH5,"")</f>
        <v/>
      </c>
      <c r="TT5" s="76" t="str">
        <f>IF(TI5&gt;0,TI5,"")</f>
        <v/>
      </c>
      <c r="TU5" s="76" t="str">
        <f>IF(SUM(TF5:TI5)-TJ5&gt;0,SUM(TF5:TI5)-TJ5,"")</f>
        <v/>
      </c>
      <c r="TV5" s="76" t="str">
        <f>IF(SUM(TR5,TU5)&gt;0,SUM(TR5,TU5),"")</f>
        <v/>
      </c>
    </row>
    <row r="6" spans="1:542" x14ac:dyDescent="0.2">
      <c r="B6" s="6"/>
      <c r="D6" s="1"/>
    </row>
    <row r="7" spans="1:542" x14ac:dyDescent="0.2">
      <c r="G7" s="69"/>
      <c r="I7" s="69"/>
    </row>
    <row r="8" spans="1:542" x14ac:dyDescent="0.2">
      <c r="B8" s="43" t="s">
        <v>58</v>
      </c>
      <c r="C8" s="35"/>
      <c r="G8" s="3"/>
      <c r="AP8" s="77"/>
      <c r="AQ8" s="77"/>
      <c r="AR8" s="77"/>
      <c r="AT8" s="56"/>
      <c r="AU8" s="56"/>
      <c r="AW8" s="78">
        <v>10.4</v>
      </c>
      <c r="BQ8" s="77"/>
      <c r="BR8" s="77"/>
      <c r="BS8" s="77"/>
      <c r="BU8" s="56"/>
      <c r="BV8" s="56"/>
      <c r="BX8" s="78">
        <v>10.4</v>
      </c>
      <c r="CR8" s="77"/>
      <c r="CS8" s="77"/>
      <c r="CT8" s="77"/>
      <c r="CV8" s="56"/>
      <c r="CW8" s="56"/>
      <c r="CY8" s="78">
        <v>10.4</v>
      </c>
      <c r="DX8" s="35"/>
      <c r="DY8" s="35"/>
      <c r="EH8" s="33"/>
      <c r="EI8" s="33"/>
      <c r="EK8" s="78">
        <v>11.2</v>
      </c>
      <c r="FF8" s="35"/>
      <c r="FG8" s="35"/>
      <c r="FP8" s="33"/>
      <c r="FQ8" s="33"/>
      <c r="FS8" s="78">
        <v>11.2</v>
      </c>
      <c r="GN8" s="35"/>
      <c r="GO8" s="35"/>
      <c r="GX8" s="33"/>
      <c r="GY8" s="33"/>
      <c r="HA8" s="78">
        <v>11.2</v>
      </c>
      <c r="HV8" s="35"/>
      <c r="HW8" s="35"/>
      <c r="IF8" s="33"/>
      <c r="IG8" s="33"/>
      <c r="II8" s="78">
        <v>10.4</v>
      </c>
      <c r="JD8" s="35"/>
      <c r="JE8" s="35"/>
      <c r="JN8" s="33"/>
      <c r="JO8" s="33"/>
      <c r="JQ8" s="78">
        <v>10.4</v>
      </c>
      <c r="KL8" s="35"/>
      <c r="KM8" s="35"/>
      <c r="KV8" s="33"/>
      <c r="KW8" s="33"/>
      <c r="KY8" s="78">
        <v>10.4</v>
      </c>
      <c r="LT8" s="35"/>
      <c r="LU8" s="35"/>
      <c r="MD8" s="33"/>
      <c r="ME8" s="33"/>
      <c r="MG8" s="78">
        <v>10.4</v>
      </c>
      <c r="NB8" s="35"/>
      <c r="NC8" s="35"/>
      <c r="NL8" s="33"/>
      <c r="NM8" s="33"/>
      <c r="NO8" s="78">
        <v>10.4</v>
      </c>
      <c r="OJ8" s="35"/>
      <c r="OK8" s="35"/>
      <c r="OT8" s="33"/>
      <c r="OU8" s="33"/>
      <c r="OW8" s="78">
        <v>10.4</v>
      </c>
      <c r="PR8" s="35"/>
      <c r="PS8" s="35"/>
      <c r="QB8" s="33"/>
      <c r="QC8" s="33"/>
      <c r="QE8" s="78">
        <v>10.4</v>
      </c>
      <c r="QZ8" s="35"/>
      <c r="RA8" s="35"/>
      <c r="RJ8" s="33"/>
      <c r="RK8" s="33"/>
      <c r="RM8" s="78">
        <v>10.4</v>
      </c>
      <c r="SH8" s="35"/>
      <c r="SI8" s="35"/>
      <c r="SR8" s="33"/>
      <c r="SS8" s="33"/>
      <c r="SU8" s="78">
        <v>10.4</v>
      </c>
    </row>
    <row r="9" spans="1:542" x14ac:dyDescent="0.2">
      <c r="B9" s="54" t="s">
        <v>57</v>
      </c>
      <c r="C9" s="35"/>
      <c r="V9" s="2"/>
      <c r="AP9" s="77"/>
      <c r="AQ9" s="77"/>
      <c r="AR9" s="77"/>
      <c r="AT9" s="56"/>
      <c r="AU9" s="56"/>
      <c r="AW9" s="79">
        <v>11.2</v>
      </c>
      <c r="BQ9" s="77"/>
      <c r="BR9" s="77"/>
      <c r="BS9" s="77"/>
      <c r="BU9" s="56"/>
      <c r="BV9" s="56"/>
      <c r="BX9" s="79">
        <v>11.2</v>
      </c>
      <c r="CR9" s="77"/>
      <c r="CS9" s="77"/>
      <c r="CT9" s="77"/>
      <c r="CV9" s="56"/>
      <c r="CW9" s="56"/>
      <c r="CY9" s="79">
        <v>11.2</v>
      </c>
      <c r="DX9" s="35"/>
      <c r="DY9" s="35"/>
      <c r="EH9" s="33"/>
      <c r="EI9" s="33"/>
      <c r="EK9" s="79">
        <v>12</v>
      </c>
      <c r="FF9" s="35"/>
      <c r="FG9" s="35"/>
      <c r="FP9" s="33"/>
      <c r="FQ9" s="33"/>
      <c r="FS9" s="79">
        <v>12</v>
      </c>
      <c r="GN9" s="35"/>
      <c r="GO9" s="35"/>
      <c r="GX9" s="33"/>
      <c r="GY9" s="33"/>
      <c r="HA9" s="79">
        <v>12</v>
      </c>
      <c r="HV9" s="35"/>
      <c r="HW9" s="35"/>
      <c r="IF9" s="33"/>
      <c r="IG9" s="33"/>
      <c r="II9" s="79">
        <v>11.2</v>
      </c>
      <c r="JD9" s="35"/>
      <c r="JE9" s="35"/>
      <c r="JN9" s="33"/>
      <c r="JO9" s="33"/>
      <c r="JQ9" s="79">
        <v>11.2</v>
      </c>
      <c r="KL9" s="35"/>
      <c r="KM9" s="35"/>
      <c r="KV9" s="33"/>
      <c r="KW9" s="33"/>
      <c r="KY9" s="79">
        <v>11.2</v>
      </c>
      <c r="LT9" s="35"/>
      <c r="LU9" s="35"/>
      <c r="MD9" s="33"/>
      <c r="ME9" s="33"/>
      <c r="MG9" s="79">
        <v>11.2</v>
      </c>
      <c r="NB9" s="35"/>
      <c r="NC9" s="35"/>
      <c r="NL9" s="33"/>
      <c r="NM9" s="33"/>
      <c r="NO9" s="79">
        <v>11.2</v>
      </c>
      <c r="OJ9" s="35"/>
      <c r="OK9" s="35"/>
      <c r="OT9" s="33"/>
      <c r="OU9" s="33"/>
      <c r="OW9" s="79">
        <v>11.2</v>
      </c>
      <c r="PR9" s="35"/>
      <c r="PS9" s="35"/>
      <c r="QB9" s="33"/>
      <c r="QC9" s="33"/>
      <c r="QE9" s="79">
        <v>11.2</v>
      </c>
      <c r="QZ9" s="35"/>
      <c r="RA9" s="35"/>
      <c r="RJ9" s="33"/>
      <c r="RK9" s="33"/>
      <c r="RM9" s="79">
        <v>11.2</v>
      </c>
      <c r="SH9" s="35"/>
      <c r="SI9" s="35"/>
      <c r="SR9" s="33"/>
      <c r="SS9" s="33"/>
      <c r="SU9" s="79">
        <v>11.2</v>
      </c>
    </row>
    <row r="10" spans="1:542" x14ac:dyDescent="0.2">
      <c r="A10" s="35"/>
      <c r="B10" s="55" t="s">
        <v>71</v>
      </c>
      <c r="C10" s="35"/>
      <c r="AP10" s="77"/>
      <c r="AQ10" s="77"/>
      <c r="AR10" s="77"/>
      <c r="AS10" s="56"/>
      <c r="AT10" s="56"/>
      <c r="AU10" s="56"/>
      <c r="AV10" s="56"/>
      <c r="AW10" s="80">
        <v>12</v>
      </c>
      <c r="BQ10" s="77"/>
      <c r="BR10" s="77"/>
      <c r="BS10" s="77"/>
      <c r="BU10" s="56"/>
      <c r="BV10" s="56"/>
      <c r="BX10" s="80">
        <v>12</v>
      </c>
      <c r="CR10" s="77"/>
      <c r="CS10" s="77"/>
      <c r="CT10" s="77"/>
      <c r="CU10" s="56"/>
      <c r="CV10" s="56"/>
      <c r="CW10" s="56"/>
      <c r="CX10" s="56"/>
      <c r="CY10" s="80">
        <v>12</v>
      </c>
      <c r="DX10" s="35"/>
      <c r="DY10" s="35"/>
      <c r="EH10" s="33"/>
      <c r="EI10" s="33"/>
      <c r="EK10" s="80">
        <v>12</v>
      </c>
      <c r="FF10" s="35"/>
      <c r="FG10" s="35"/>
      <c r="FP10" s="33"/>
      <c r="FQ10" s="33"/>
      <c r="FS10" s="80">
        <v>12</v>
      </c>
      <c r="GN10" s="35"/>
      <c r="GO10" s="35"/>
      <c r="GX10" s="33"/>
      <c r="GY10" s="33"/>
      <c r="HA10" s="80">
        <v>12</v>
      </c>
      <c r="HV10" s="35"/>
      <c r="HW10" s="35"/>
      <c r="IF10" s="33"/>
      <c r="IG10" s="33"/>
      <c r="II10" s="80">
        <v>12</v>
      </c>
      <c r="JD10" s="35"/>
      <c r="JE10" s="35"/>
      <c r="JN10" s="33"/>
      <c r="JO10" s="33"/>
      <c r="JQ10" s="80">
        <v>12</v>
      </c>
      <c r="KL10" s="35"/>
      <c r="KM10" s="35"/>
      <c r="KV10" s="33"/>
      <c r="KW10" s="33"/>
      <c r="KY10" s="80">
        <v>12</v>
      </c>
      <c r="LT10" s="35"/>
      <c r="LU10" s="35"/>
      <c r="MD10" s="33"/>
      <c r="ME10" s="33"/>
      <c r="MG10" s="80">
        <v>12</v>
      </c>
      <c r="NB10" s="35"/>
      <c r="NC10" s="35"/>
      <c r="NL10" s="33"/>
      <c r="NM10" s="33"/>
      <c r="NO10" s="80">
        <v>12</v>
      </c>
      <c r="OJ10" s="35"/>
      <c r="OK10" s="35"/>
      <c r="OT10" s="33"/>
      <c r="OU10" s="33"/>
      <c r="OW10" s="80">
        <v>12</v>
      </c>
      <c r="PR10" s="35"/>
      <c r="PS10" s="35"/>
      <c r="QB10" s="33"/>
      <c r="QC10" s="33"/>
      <c r="QE10" s="80">
        <v>12</v>
      </c>
      <c r="QZ10" s="35"/>
      <c r="RA10" s="35"/>
      <c r="RJ10" s="33"/>
      <c r="RK10" s="33"/>
      <c r="RM10" s="80">
        <v>12</v>
      </c>
      <c r="SH10" s="35"/>
      <c r="SI10" s="35"/>
      <c r="SR10" s="33"/>
      <c r="SS10" s="33"/>
      <c r="SU10" s="80">
        <v>12</v>
      </c>
    </row>
    <row r="11" spans="1:542" x14ac:dyDescent="0.2">
      <c r="A11" s="35"/>
      <c r="B11" s="66" t="s">
        <v>86</v>
      </c>
      <c r="C11" s="35"/>
      <c r="AP11" s="77"/>
      <c r="AQ11" s="77"/>
      <c r="AR11" s="77"/>
      <c r="AS11" s="56"/>
      <c r="AT11" s="56"/>
      <c r="AU11" s="56"/>
      <c r="AV11" s="56"/>
      <c r="AW11" s="81">
        <v>12.4</v>
      </c>
      <c r="BQ11" s="77"/>
      <c r="BR11" s="77"/>
      <c r="BS11" s="77"/>
      <c r="BU11" s="56"/>
      <c r="BV11" s="56"/>
      <c r="BX11" s="81">
        <v>12.4</v>
      </c>
      <c r="CR11" s="77"/>
      <c r="CS11" s="77"/>
      <c r="CT11" s="77"/>
      <c r="CU11" s="56"/>
      <c r="CV11" s="56"/>
      <c r="CW11" s="56"/>
      <c r="CX11" s="56"/>
      <c r="CY11" s="81">
        <v>12.4</v>
      </c>
      <c r="DX11" s="35"/>
      <c r="DY11" s="35"/>
      <c r="EH11" s="33"/>
      <c r="EI11" s="33"/>
      <c r="EK11" s="81">
        <v>12</v>
      </c>
      <c r="FF11" s="35"/>
      <c r="FG11" s="35"/>
      <c r="FP11" s="33"/>
      <c r="FQ11" s="33"/>
      <c r="FS11" s="81">
        <v>12</v>
      </c>
      <c r="GN11" s="35"/>
      <c r="GO11" s="35"/>
      <c r="GX11" s="33"/>
      <c r="GY11" s="33"/>
      <c r="HA11" s="81">
        <v>12</v>
      </c>
      <c r="HV11" s="35"/>
      <c r="HW11" s="35"/>
      <c r="IF11" s="33"/>
      <c r="IG11" s="33"/>
      <c r="II11" s="81">
        <v>12.4</v>
      </c>
      <c r="JD11" s="35"/>
      <c r="JE11" s="35"/>
      <c r="JN11" s="33"/>
      <c r="JO11" s="33"/>
      <c r="JQ11" s="81">
        <v>12.4</v>
      </c>
      <c r="KL11" s="35"/>
      <c r="KM11" s="35"/>
      <c r="KV11" s="33"/>
      <c r="KW11" s="33"/>
      <c r="KY11" s="81">
        <v>12.4</v>
      </c>
      <c r="LT11" s="35"/>
      <c r="LU11" s="35"/>
      <c r="MD11" s="33"/>
      <c r="ME11" s="33"/>
      <c r="MG11" s="81">
        <v>12.4</v>
      </c>
      <c r="NB11" s="35"/>
      <c r="NC11" s="35"/>
      <c r="NL11" s="33"/>
      <c r="NM11" s="33"/>
      <c r="NO11" s="81">
        <v>12.4</v>
      </c>
      <c r="OJ11" s="35"/>
      <c r="OK11" s="35"/>
      <c r="OT11" s="33"/>
      <c r="OU11" s="33"/>
      <c r="OW11" s="81">
        <v>12.4</v>
      </c>
      <c r="PR11" s="35"/>
      <c r="PS11" s="35"/>
      <c r="QB11" s="33"/>
      <c r="QC11" s="33"/>
      <c r="QE11" s="81">
        <v>12.4</v>
      </c>
      <c r="QZ11" s="35"/>
      <c r="RA11" s="35"/>
      <c r="RJ11" s="33"/>
      <c r="RK11" s="33"/>
      <c r="RM11" s="81">
        <v>12.4</v>
      </c>
      <c r="SH11" s="35"/>
      <c r="SI11" s="35"/>
      <c r="SR11" s="33"/>
      <c r="SS11" s="33"/>
      <c r="SU11" s="81">
        <v>12.4</v>
      </c>
    </row>
    <row r="12" spans="1:542" x14ac:dyDescent="0.2">
      <c r="A12" s="35"/>
      <c r="B12" s="65" t="s">
        <v>55</v>
      </c>
      <c r="C12" s="35"/>
      <c r="N12" s="2"/>
      <c r="AP12" s="77"/>
      <c r="AQ12" s="77"/>
      <c r="AR12" s="77"/>
      <c r="AS12" s="56"/>
      <c r="AT12" s="56"/>
      <c r="AU12" s="56"/>
      <c r="AV12" s="56"/>
      <c r="AW12" s="82">
        <v>44</v>
      </c>
      <c r="BQ12" s="77"/>
      <c r="BR12" s="77"/>
      <c r="BS12" s="77"/>
      <c r="BU12" s="56"/>
      <c r="BV12" s="56"/>
      <c r="BX12" s="82">
        <v>44</v>
      </c>
      <c r="CR12" s="77"/>
      <c r="CS12" s="77"/>
      <c r="CT12" s="77"/>
      <c r="CU12" s="56"/>
      <c r="CV12" s="56"/>
      <c r="CW12" s="56"/>
      <c r="CX12" s="56"/>
      <c r="CY12" s="82">
        <v>44</v>
      </c>
      <c r="DX12" s="35"/>
      <c r="DY12" s="35"/>
      <c r="EH12" s="33"/>
      <c r="EI12" s="33"/>
      <c r="EK12" s="82">
        <v>45</v>
      </c>
      <c r="FF12" s="35"/>
      <c r="FG12" s="35"/>
      <c r="FP12" s="33"/>
      <c r="FQ12" s="33"/>
      <c r="FS12" s="82">
        <v>45.7</v>
      </c>
      <c r="GN12" s="35"/>
      <c r="GO12" s="35"/>
      <c r="GX12" s="33"/>
      <c r="GY12" s="33"/>
      <c r="HA12" s="82">
        <v>45.7</v>
      </c>
      <c r="HV12" s="35"/>
      <c r="HW12" s="35"/>
      <c r="IF12" s="33"/>
      <c r="IG12" s="33"/>
      <c r="II12" s="82">
        <v>44</v>
      </c>
      <c r="JD12" s="35"/>
      <c r="JE12" s="35"/>
      <c r="JN12" s="33"/>
      <c r="JO12" s="33"/>
      <c r="JQ12" s="82">
        <v>44</v>
      </c>
      <c r="KL12" s="35"/>
      <c r="KM12" s="35"/>
      <c r="KV12" s="33"/>
      <c r="KW12" s="33"/>
      <c r="KY12" s="82">
        <v>44</v>
      </c>
      <c r="LT12" s="35"/>
      <c r="LU12" s="35"/>
      <c r="MD12" s="33"/>
      <c r="ME12" s="33"/>
      <c r="MG12" s="82">
        <v>44</v>
      </c>
      <c r="NB12" s="35"/>
      <c r="NC12" s="35"/>
      <c r="NL12" s="33"/>
      <c r="NM12" s="33"/>
      <c r="NO12" s="82">
        <v>44</v>
      </c>
      <c r="OJ12" s="35"/>
      <c r="OK12" s="35"/>
      <c r="OT12" s="33"/>
      <c r="OU12" s="33"/>
      <c r="OW12" s="82">
        <v>44</v>
      </c>
      <c r="PR12" s="35"/>
      <c r="PS12" s="35"/>
      <c r="QB12" s="33"/>
      <c r="QC12" s="33"/>
      <c r="QE12" s="82">
        <v>44</v>
      </c>
      <c r="QZ12" s="35"/>
      <c r="RA12" s="35"/>
      <c r="RJ12" s="33"/>
      <c r="RK12" s="33"/>
      <c r="RM12" s="82">
        <v>44</v>
      </c>
      <c r="SH12" s="35"/>
      <c r="SI12" s="35"/>
      <c r="SR12" s="33"/>
      <c r="SS12" s="33"/>
      <c r="SU12" s="82">
        <v>44</v>
      </c>
    </row>
    <row r="13" spans="1:542" x14ac:dyDescent="0.2">
      <c r="A13" s="35"/>
      <c r="B13" s="44" t="s">
        <v>56</v>
      </c>
      <c r="C13" s="35"/>
      <c r="N13" s="2"/>
      <c r="AP13" s="77"/>
      <c r="AQ13" s="77"/>
      <c r="AR13" s="77"/>
      <c r="AS13" s="56"/>
      <c r="AT13" s="56"/>
      <c r="AU13" s="56"/>
      <c r="AV13" s="56"/>
      <c r="AW13" s="83">
        <v>45.3</v>
      </c>
      <c r="BQ13" s="77"/>
      <c r="BR13" s="77"/>
      <c r="BS13" s="77"/>
      <c r="BU13" s="56"/>
      <c r="BV13" s="56"/>
      <c r="BX13" s="83">
        <v>45.3</v>
      </c>
      <c r="CR13" s="77"/>
      <c r="CS13" s="77"/>
      <c r="CT13" s="77"/>
      <c r="CU13" s="56"/>
      <c r="CV13" s="56"/>
      <c r="CW13" s="56"/>
      <c r="CX13" s="56"/>
      <c r="CY13" s="83">
        <v>45.3</v>
      </c>
      <c r="DX13" s="35"/>
      <c r="DY13" s="35"/>
      <c r="EH13" s="33"/>
      <c r="EI13" s="33"/>
      <c r="EK13" s="83">
        <v>45</v>
      </c>
      <c r="FF13" s="35"/>
      <c r="FG13" s="35"/>
      <c r="FP13" s="33"/>
      <c r="FQ13" s="33"/>
      <c r="FS13" s="83">
        <v>45.7</v>
      </c>
      <c r="GN13" s="35"/>
      <c r="GO13" s="35"/>
      <c r="GX13" s="33"/>
      <c r="GY13" s="33"/>
      <c r="HA13" s="83">
        <v>45.7</v>
      </c>
      <c r="HV13" s="35"/>
      <c r="HW13" s="35"/>
      <c r="IF13" s="33"/>
      <c r="IG13" s="33"/>
      <c r="II13" s="83">
        <v>45.3</v>
      </c>
      <c r="JD13" s="35"/>
      <c r="JE13" s="35"/>
      <c r="JN13" s="33"/>
      <c r="JO13" s="33"/>
      <c r="JQ13" s="83">
        <v>45.3</v>
      </c>
      <c r="KL13" s="35"/>
      <c r="KM13" s="35"/>
      <c r="KV13" s="33"/>
      <c r="KW13" s="33"/>
      <c r="KY13" s="83">
        <v>45.3</v>
      </c>
      <c r="LT13" s="35"/>
      <c r="LU13" s="35"/>
      <c r="MD13" s="33"/>
      <c r="ME13" s="33"/>
      <c r="MG13" s="83">
        <v>45.3</v>
      </c>
      <c r="NB13" s="35"/>
      <c r="NC13" s="35"/>
      <c r="NL13" s="33"/>
      <c r="NM13" s="33"/>
      <c r="NO13" s="83">
        <v>45.3</v>
      </c>
      <c r="OJ13" s="35"/>
      <c r="OK13" s="35"/>
      <c r="OT13" s="33"/>
      <c r="OU13" s="33"/>
      <c r="OW13" s="83">
        <v>45.3</v>
      </c>
      <c r="PR13" s="35"/>
      <c r="PS13" s="35"/>
      <c r="QB13" s="33"/>
      <c r="QC13" s="33"/>
      <c r="QE13" s="83">
        <v>45.3</v>
      </c>
      <c r="QZ13" s="35"/>
      <c r="RA13" s="35"/>
      <c r="RJ13" s="33"/>
      <c r="RK13" s="33"/>
      <c r="RM13" s="83">
        <v>45.3</v>
      </c>
      <c r="SH13" s="35"/>
      <c r="SI13" s="35"/>
      <c r="SR13" s="33"/>
      <c r="SS13" s="33"/>
      <c r="SU13" s="83">
        <v>45.3</v>
      </c>
    </row>
    <row r="14" spans="1:542" x14ac:dyDescent="0.2">
      <c r="A14" s="35"/>
      <c r="B14" s="64" t="s">
        <v>70</v>
      </c>
      <c r="C14" s="35"/>
      <c r="AP14" s="77"/>
      <c r="AQ14" s="77"/>
      <c r="AR14" s="77"/>
      <c r="AS14" s="56"/>
      <c r="AT14" s="56"/>
      <c r="AU14" s="56"/>
      <c r="AV14" s="56"/>
      <c r="AW14" s="84">
        <v>46</v>
      </c>
      <c r="BQ14" s="77"/>
      <c r="BR14" s="77"/>
      <c r="BS14" s="77"/>
      <c r="BU14" s="56"/>
      <c r="BV14" s="56"/>
      <c r="BX14" s="84">
        <v>46</v>
      </c>
      <c r="CR14" s="77"/>
      <c r="CS14" s="77"/>
      <c r="CT14" s="77"/>
      <c r="CU14" s="56"/>
      <c r="CV14" s="56"/>
      <c r="CW14" s="56"/>
      <c r="CX14" s="56"/>
      <c r="CY14" s="84">
        <v>46</v>
      </c>
      <c r="DX14" s="35"/>
      <c r="DY14" s="35"/>
      <c r="EH14" s="33"/>
      <c r="EI14" s="33"/>
      <c r="EJ14" s="71"/>
      <c r="EK14" s="84">
        <v>45.7</v>
      </c>
      <c r="FF14" s="35"/>
      <c r="FG14" s="35"/>
      <c r="FP14" s="33"/>
      <c r="FQ14" s="33"/>
      <c r="FR14" s="71"/>
      <c r="FS14" s="84">
        <v>45.7</v>
      </c>
      <c r="GN14" s="35"/>
      <c r="GO14" s="35"/>
      <c r="GX14" s="33"/>
      <c r="GY14" s="33"/>
      <c r="GZ14" s="71"/>
      <c r="HA14" s="84">
        <v>45.7</v>
      </c>
      <c r="HV14" s="35"/>
      <c r="HW14" s="35"/>
      <c r="IF14" s="33"/>
      <c r="IG14" s="33"/>
      <c r="IH14" s="71"/>
      <c r="II14" s="84">
        <v>46</v>
      </c>
      <c r="JD14" s="35"/>
      <c r="JE14" s="35"/>
      <c r="JN14" s="33"/>
      <c r="JO14" s="33"/>
      <c r="JP14" s="71"/>
      <c r="JQ14" s="84">
        <v>46</v>
      </c>
      <c r="KL14" s="35"/>
      <c r="KM14" s="35"/>
      <c r="KV14" s="33"/>
      <c r="KW14" s="33"/>
      <c r="KX14" s="71"/>
      <c r="KY14" s="84">
        <v>46</v>
      </c>
      <c r="LT14" s="35"/>
      <c r="LU14" s="35"/>
      <c r="MD14" s="33"/>
      <c r="ME14" s="33"/>
      <c r="MF14" s="71"/>
      <c r="MG14" s="84">
        <v>46</v>
      </c>
      <c r="NB14" s="35"/>
      <c r="NC14" s="35"/>
      <c r="NL14" s="33"/>
      <c r="NM14" s="33"/>
      <c r="NN14" s="71"/>
      <c r="NO14" s="84">
        <v>46</v>
      </c>
      <c r="OJ14" s="35"/>
      <c r="OK14" s="35"/>
      <c r="OT14" s="33"/>
      <c r="OU14" s="33"/>
      <c r="OV14" s="71"/>
      <c r="OW14" s="84">
        <v>46</v>
      </c>
      <c r="PR14" s="35"/>
      <c r="PS14" s="35"/>
      <c r="QB14" s="33"/>
      <c r="QC14" s="33"/>
      <c r="QD14" s="71"/>
      <c r="QE14" s="84">
        <v>46</v>
      </c>
      <c r="QZ14" s="35"/>
      <c r="RA14" s="35"/>
      <c r="RJ14" s="33"/>
      <c r="RK14" s="33"/>
      <c r="RL14" s="71"/>
      <c r="RM14" s="84">
        <v>46</v>
      </c>
      <c r="SH14" s="35"/>
      <c r="SI14" s="35"/>
      <c r="SR14" s="33"/>
      <c r="SS14" s="33"/>
      <c r="ST14" s="71"/>
      <c r="SU14" s="84">
        <v>46</v>
      </c>
    </row>
    <row r="15" spans="1:542" x14ac:dyDescent="0.2">
      <c r="A15" s="35"/>
      <c r="B15" s="45" t="s">
        <v>39</v>
      </c>
      <c r="C15" s="35"/>
      <c r="N15" s="2"/>
      <c r="AP15" s="77"/>
      <c r="AQ15" s="77"/>
      <c r="AR15" s="77"/>
      <c r="AS15" s="56"/>
      <c r="AT15" s="77"/>
      <c r="AU15" s="77"/>
      <c r="AV15" s="56"/>
      <c r="AW15" s="85">
        <v>46.6</v>
      </c>
      <c r="BQ15" s="77"/>
      <c r="BR15" s="77"/>
      <c r="BS15" s="77"/>
      <c r="BU15" s="77"/>
      <c r="BV15" s="56"/>
      <c r="BX15" s="85">
        <v>46.6</v>
      </c>
      <c r="CR15" s="77"/>
      <c r="CS15" s="77"/>
      <c r="CT15" s="77"/>
      <c r="CU15" s="56"/>
      <c r="CV15" s="77"/>
      <c r="CW15" s="56"/>
      <c r="CX15" s="56"/>
      <c r="CY15" s="85">
        <v>46.6</v>
      </c>
      <c r="DX15" s="35"/>
      <c r="DY15" s="35"/>
      <c r="EH15" s="77"/>
      <c r="EI15" s="56" t="s">
        <v>143</v>
      </c>
      <c r="EK15" s="85">
        <v>46.8</v>
      </c>
      <c r="FF15" s="35"/>
      <c r="FG15" s="35"/>
      <c r="FP15" s="77"/>
      <c r="FQ15" s="33"/>
      <c r="FS15" s="85">
        <v>46.8</v>
      </c>
      <c r="GN15" s="35"/>
      <c r="GO15" s="35"/>
      <c r="GX15" s="33"/>
      <c r="GY15" s="33"/>
      <c r="HA15" s="85">
        <v>46.8</v>
      </c>
      <c r="HV15" s="35"/>
      <c r="HW15" s="35"/>
      <c r="IF15" s="77"/>
      <c r="IG15" s="33"/>
      <c r="II15" s="85">
        <v>46.6</v>
      </c>
      <c r="JD15" s="35"/>
      <c r="JE15" s="35"/>
      <c r="JN15" s="33"/>
      <c r="JO15" s="33"/>
      <c r="JQ15" s="85">
        <v>46.6</v>
      </c>
      <c r="KL15" s="35"/>
      <c r="KM15" s="35"/>
      <c r="KV15" s="33"/>
      <c r="KW15" s="33"/>
      <c r="KY15" s="85">
        <v>46.6</v>
      </c>
      <c r="LT15" s="35"/>
      <c r="LU15" s="35"/>
      <c r="MD15" s="33"/>
      <c r="ME15" s="33"/>
      <c r="MG15" s="85">
        <v>46.6</v>
      </c>
      <c r="NB15" s="35"/>
      <c r="NC15" s="35"/>
      <c r="NL15" s="33"/>
      <c r="NM15" s="33"/>
      <c r="NO15" s="85">
        <v>46.6</v>
      </c>
      <c r="OJ15" s="35"/>
      <c r="OK15" s="35"/>
      <c r="OT15" s="33"/>
      <c r="OU15" s="33"/>
      <c r="OW15" s="85">
        <v>46.6</v>
      </c>
      <c r="PR15" s="35"/>
      <c r="PS15" s="35"/>
      <c r="QB15" s="33"/>
      <c r="QC15" s="33"/>
      <c r="QE15" s="85">
        <v>46.6</v>
      </c>
      <c r="QZ15" s="35"/>
      <c r="RA15" s="35"/>
      <c r="RJ15" s="33"/>
      <c r="RK15" s="33"/>
      <c r="RM15" s="85">
        <v>46.6</v>
      </c>
      <c r="SH15" s="35"/>
      <c r="SI15" s="35"/>
      <c r="SR15" s="33"/>
      <c r="SS15" s="33"/>
      <c r="SU15" s="85">
        <v>46.6</v>
      </c>
    </row>
    <row r="16" spans="1:542" x14ac:dyDescent="0.2">
      <c r="B16" s="53" t="s">
        <v>62</v>
      </c>
      <c r="C16" s="2"/>
      <c r="AS16" s="56"/>
      <c r="AV16" s="56"/>
      <c r="CU16" s="56"/>
      <c r="CX16" s="56"/>
    </row>
    <row r="17" spans="1:840" x14ac:dyDescent="0.2">
      <c r="A17" s="35"/>
      <c r="B17" s="35"/>
      <c r="C17" s="34"/>
      <c r="AO17" s="56"/>
      <c r="AP17" s="56"/>
      <c r="AQ17" s="56"/>
      <c r="AR17" s="56"/>
      <c r="AS17" s="56"/>
      <c r="AV17" s="56"/>
      <c r="CQ17" s="56"/>
      <c r="CR17" s="56"/>
      <c r="CS17" s="56"/>
      <c r="CT17" s="56"/>
      <c r="CU17" s="56"/>
      <c r="CX17" s="56"/>
    </row>
    <row r="18" spans="1:840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5"/>
      <c r="U18" s="15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O18" s="56"/>
      <c r="AP18" s="56"/>
      <c r="AQ18" s="56"/>
      <c r="AR18" s="56"/>
      <c r="AS18" s="56"/>
      <c r="AV18" s="5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Q18" s="56"/>
      <c r="CR18" s="56"/>
      <c r="CS18" s="56"/>
      <c r="CT18" s="56"/>
      <c r="CU18" s="56"/>
      <c r="CX18" s="56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</row>
    <row r="19" spans="1:840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5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O19" s="56"/>
      <c r="AP19" s="56"/>
      <c r="AQ19" s="56"/>
      <c r="AR19" s="56"/>
      <c r="AS19" s="56"/>
      <c r="AV19" s="56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Q19" s="56"/>
      <c r="CR19" s="56"/>
      <c r="CS19" s="56"/>
      <c r="CT19" s="56"/>
      <c r="CU19" s="56"/>
      <c r="CX19" s="56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</row>
    <row r="20" spans="1:840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5"/>
      <c r="U20" s="15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O20" s="56"/>
      <c r="AP20" s="56"/>
      <c r="AQ20" s="56"/>
      <c r="AR20" s="56"/>
      <c r="AS20" s="56"/>
      <c r="AV20" s="5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Q20" s="56"/>
      <c r="CR20" s="56"/>
      <c r="CS20" s="56"/>
      <c r="CT20" s="56"/>
      <c r="CU20" s="56"/>
      <c r="CX20" s="56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</row>
    <row r="21" spans="1:840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5"/>
      <c r="U21" s="15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O21" s="56"/>
      <c r="AP21" s="56"/>
      <c r="AQ21" s="56"/>
      <c r="AR21" s="56"/>
      <c r="AS21" s="56"/>
      <c r="AV21" s="5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Q21" s="56"/>
      <c r="CR21" s="56"/>
      <c r="CS21" s="56"/>
      <c r="CT21" s="56"/>
      <c r="CU21" s="56"/>
      <c r="CX21" s="56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</row>
    <row r="22" spans="1:840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5"/>
      <c r="U22" s="15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O22" s="56"/>
      <c r="AP22" s="56"/>
      <c r="AQ22" s="56"/>
      <c r="AR22" s="56"/>
      <c r="AS22" s="56"/>
      <c r="AV22" s="56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Q22" s="56"/>
      <c r="CR22" s="56"/>
      <c r="CS22" s="56"/>
      <c r="CT22" s="56"/>
      <c r="CU22" s="56"/>
      <c r="CX22" s="56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</row>
    <row r="23" spans="1:840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5"/>
      <c r="U23" s="15"/>
      <c r="V23" s="15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</row>
    <row r="24" spans="1:840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5"/>
      <c r="U24" s="15"/>
      <c r="V24" s="1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</row>
    <row r="25" spans="1:840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5"/>
      <c r="U25" s="15"/>
      <c r="V25" s="1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</row>
    <row r="26" spans="1:840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5"/>
      <c r="U26" s="15"/>
      <c r="V26" s="15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</row>
    <row r="27" spans="1:840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5"/>
      <c r="U27" s="15"/>
      <c r="V27" s="15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</row>
    <row r="28" spans="1:840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5"/>
      <c r="U28" s="15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</row>
    <row r="29" spans="1:840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5"/>
      <c r="U29" s="15"/>
      <c r="V29" s="15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</row>
    <row r="30" spans="1:840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5"/>
      <c r="U30" s="15"/>
      <c r="V30" s="15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</row>
    <row r="31" spans="1:840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5"/>
      <c r="U31" s="15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</row>
    <row r="32" spans="1:840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5"/>
      <c r="U32" s="15"/>
      <c r="V32" s="15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</row>
    <row r="33" spans="1:840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5"/>
      <c r="U33" s="15"/>
      <c r="V33" s="15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</row>
    <row r="34" spans="1:840" ht="17" x14ac:dyDescent="0.2">
      <c r="T34" s="15"/>
      <c r="U34" s="15"/>
      <c r="V34" s="15"/>
    </row>
    <row r="35" spans="1:840" ht="17" x14ac:dyDescent="0.2">
      <c r="T35" s="15"/>
      <c r="U35" s="15"/>
      <c r="V35" s="15"/>
    </row>
    <row r="36" spans="1:840" ht="17" x14ac:dyDescent="0.2">
      <c r="T36" s="15"/>
      <c r="U36" s="15"/>
      <c r="V36" s="15"/>
    </row>
    <row r="37" spans="1:840" ht="17" x14ac:dyDescent="0.2">
      <c r="T37" s="15"/>
      <c r="U37" s="15"/>
      <c r="V37" s="15"/>
    </row>
  </sheetData>
  <sheetProtection sheet="1" formatCells="0" formatColumns="0" formatRows="0"/>
  <autoFilter ref="A1:TV5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5">
      <sortCondition descending="1" ref="F1:F6"/>
    </sortState>
  </autoFilter>
  <mergeCells count="99">
    <mergeCell ref="RX2:SB2"/>
    <mergeCell ref="SC2:SG2"/>
    <mergeCell ref="SV2:SZ2"/>
    <mergeCell ref="TA2:TE2"/>
    <mergeCell ref="TF2:TJ2"/>
    <mergeCell ref="RS2:RW2"/>
    <mergeCell ref="NZ2:OD2"/>
    <mergeCell ref="OE2:OI2"/>
    <mergeCell ref="OX2:PB2"/>
    <mergeCell ref="PC2:PG2"/>
    <mergeCell ref="PH2:PL2"/>
    <mergeCell ref="PM2:PQ2"/>
    <mergeCell ref="QF2:QJ2"/>
    <mergeCell ref="QK2:QO2"/>
    <mergeCell ref="QP2:QT2"/>
    <mergeCell ref="QU2:QY2"/>
    <mergeCell ref="RN2:RR2"/>
    <mergeCell ref="NU2:NY2"/>
    <mergeCell ref="KB2:KF2"/>
    <mergeCell ref="KG2:KK2"/>
    <mergeCell ref="KZ2:LD2"/>
    <mergeCell ref="LE2:LI2"/>
    <mergeCell ref="LJ2:LN2"/>
    <mergeCell ref="LO2:LS2"/>
    <mergeCell ref="MH2:ML2"/>
    <mergeCell ref="MM2:MQ2"/>
    <mergeCell ref="MR2:MV2"/>
    <mergeCell ref="MW2:NA2"/>
    <mergeCell ref="NP2:NT2"/>
    <mergeCell ref="EV2:EZ2"/>
    <mergeCell ref="FA2:FE2"/>
    <mergeCell ref="FT2:FX2"/>
    <mergeCell ref="JW2:KA2"/>
    <mergeCell ref="GD2:GH2"/>
    <mergeCell ref="GI2:GM2"/>
    <mergeCell ref="HB2:HF2"/>
    <mergeCell ref="HG2:HK2"/>
    <mergeCell ref="HL2:HP2"/>
    <mergeCell ref="HQ2:HU2"/>
    <mergeCell ref="IJ2:IN2"/>
    <mergeCell ref="IO2:IS2"/>
    <mergeCell ref="IT2:IX2"/>
    <mergeCell ref="IY2:JC2"/>
    <mergeCell ref="JR2:JV2"/>
    <mergeCell ref="DI2:DM2"/>
    <mergeCell ref="DN2:DR2"/>
    <mergeCell ref="DS2:DW2"/>
    <mergeCell ref="EL2:EP2"/>
    <mergeCell ref="EQ2:EU2"/>
    <mergeCell ref="QF1:RM1"/>
    <mergeCell ref="RN1:SU1"/>
    <mergeCell ref="SV1:TV1"/>
    <mergeCell ref="W2:AA2"/>
    <mergeCell ref="AB2:AF2"/>
    <mergeCell ref="AG2:AK2"/>
    <mergeCell ref="AX2:BB2"/>
    <mergeCell ref="BC2:BG2"/>
    <mergeCell ref="BH2:BL2"/>
    <mergeCell ref="BY2:CC2"/>
    <mergeCell ref="IJ1:JQ1"/>
    <mergeCell ref="JR1:KY1"/>
    <mergeCell ref="KZ1:MG1"/>
    <mergeCell ref="MH1:NO1"/>
    <mergeCell ref="NP1:OW1"/>
    <mergeCell ref="OX1:QE1"/>
    <mergeCell ref="HB1:II1"/>
    <mergeCell ref="S1:S3"/>
    <mergeCell ref="T1:T3"/>
    <mergeCell ref="U1:U3"/>
    <mergeCell ref="V1:V3"/>
    <mergeCell ref="W1:AW1"/>
    <mergeCell ref="AX1:BX1"/>
    <mergeCell ref="BY1:CY1"/>
    <mergeCell ref="CZ1:DC1"/>
    <mergeCell ref="DD1:EK1"/>
    <mergeCell ref="EL1:FS1"/>
    <mergeCell ref="FT1:HA1"/>
    <mergeCell ref="FY2:GC2"/>
    <mergeCell ref="CD2:CH2"/>
    <mergeCell ref="CI2:CM2"/>
    <mergeCell ref="DD2:DH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H1:H1048576">
    <cfRule type="containsText" dxfId="277" priority="35" operator="containsText" text="No DD">
      <formula>NOT(ISERROR(SEARCH("No DD",H1)))</formula>
    </cfRule>
    <cfRule type="containsText" dxfId="276" priority="36" operator="containsText" text="Merit">
      <formula>NOT(ISERROR(SEARCH("Merit",H1)))</formula>
    </cfRule>
    <cfRule type="containsText" dxfId="275" priority="37" operator="containsText" text="Excellence">
      <formula>NOT(ISERROR(SEARCH("Excellence",H1)))</formula>
    </cfRule>
    <cfRule type="containsText" dxfId="274" priority="38" operator="containsText" text="Worlds Team">
      <formula>NOT(ISERROR(SEARCH("Worlds Team",H1)))</formula>
    </cfRule>
    <cfRule type="containsText" dxfId="273" priority="39" operator="containsText" text="National Team">
      <formula>NOT(ISERROR(SEARCH("National Team",H1)))</formula>
    </cfRule>
  </conditionalFormatting>
  <conditionalFormatting sqref="A1:A1048576">
    <cfRule type="expression" dxfId="272" priority="40">
      <formula>AND(G1&lt;&gt;"",F1="")</formula>
    </cfRule>
  </conditionalFormatting>
  <conditionalFormatting sqref="W4:AW5">
    <cfRule type="expression" dxfId="271" priority="41" stopIfTrue="1">
      <formula>IF($AL4&lt;&gt;"",1,0)</formula>
    </cfRule>
  </conditionalFormatting>
  <conditionalFormatting sqref="AX4:BX5">
    <cfRule type="expression" dxfId="270" priority="34" stopIfTrue="1">
      <formula>IF($BM4&lt;&gt;"",1,0)</formula>
    </cfRule>
  </conditionalFormatting>
  <conditionalFormatting sqref="BY4:CY5">
    <cfRule type="expression" dxfId="269" priority="33" stopIfTrue="1">
      <formula>IF($CN4&lt;&gt;"",1,0)</formula>
    </cfRule>
  </conditionalFormatting>
  <conditionalFormatting sqref="K1:K1048576 M1:M1048576 O1:O1048576 Q1:Q1048576 S1:S1048576">
    <cfRule type="expression" dxfId="268" priority="50">
      <formula>IF(K1=$BY$1,1,0)</formula>
    </cfRule>
    <cfRule type="expression" dxfId="267" priority="51">
      <formula>IF(K1=$AX$1,1,0)</formula>
    </cfRule>
    <cfRule type="expression" dxfId="266" priority="52">
      <formula>IF(K1=$W$1,1,0)</formula>
    </cfRule>
  </conditionalFormatting>
  <conditionalFormatting sqref="BU16:BU1048576 BN1:BN1048576 BQ1:BQ1048576 BU1:BU14">
    <cfRule type="cellIs" dxfId="265" priority="46" operator="between">
      <formula>$BX$11</formula>
      <formula>1000</formula>
    </cfRule>
    <cfRule type="cellIs" dxfId="264" priority="47" operator="between">
      <formula>$BX$10</formula>
      <formula>$BX$11</formula>
    </cfRule>
    <cfRule type="cellIs" dxfId="263" priority="48" operator="between">
      <formula>$BX$9</formula>
      <formula>$BX$10</formula>
    </cfRule>
    <cfRule type="cellIs" dxfId="262" priority="49" operator="between">
      <formula>$BX$8</formula>
      <formula>$BX$9</formula>
    </cfRule>
  </conditionalFormatting>
  <conditionalFormatting sqref="CV16:CV1048576 CO1:CO1048576 CR1:CR1048576 CV1:CV14">
    <cfRule type="cellIs" dxfId="261" priority="42" operator="between">
      <formula>$CY$11</formula>
      <formula>1000</formula>
    </cfRule>
    <cfRule type="cellIs" dxfId="260" priority="43" operator="between">
      <formula>$CY$10</formula>
      <formula>$CY$11</formula>
    </cfRule>
    <cfRule type="cellIs" dxfId="259" priority="44" operator="between">
      <formula>$CY$9</formula>
      <formula>$CY$10</formula>
    </cfRule>
    <cfRule type="cellIs" dxfId="258" priority="45" operator="between">
      <formula>$CY$8</formula>
      <formula>$CY$9</formula>
    </cfRule>
  </conditionalFormatting>
  <conditionalFormatting sqref="EH16:EH1048576 DX1:DX1048576 EA1:EA1048576 EE1:EE1048576 EH1:EH14">
    <cfRule type="cellIs" dxfId="257" priority="53" operator="between">
      <formula>$EK$11</formula>
      <formula>1000</formula>
    </cfRule>
    <cfRule type="cellIs" dxfId="256" priority="54" operator="between">
      <formula>$EK$10</formula>
      <formula>$EK$11</formula>
    </cfRule>
    <cfRule type="cellIs" dxfId="255" priority="55" operator="between">
      <formula>$EK$9</formula>
      <formula>$EK$10</formula>
    </cfRule>
    <cfRule type="cellIs" dxfId="254" priority="56" operator="between">
      <formula>$EK$8</formula>
      <formula>$EK$9</formula>
    </cfRule>
  </conditionalFormatting>
  <conditionalFormatting sqref="FP16:FP1048576 FF1:FF1048576 FI1:FI1048576 FM1:FM1048576 FP1:FP14">
    <cfRule type="cellIs" dxfId="253" priority="29" operator="between">
      <formula>$FS$11</formula>
      <formula>1000</formula>
    </cfRule>
    <cfRule type="cellIs" dxfId="252" priority="30" operator="between">
      <formula>$FS$10</formula>
      <formula>$FS$11</formula>
    </cfRule>
    <cfRule type="cellIs" dxfId="251" priority="31" operator="between">
      <formula>$FS$9</formula>
      <formula>$FS$10</formula>
    </cfRule>
    <cfRule type="cellIs" dxfId="250" priority="32" operator="between">
      <formula>$FS$8</formula>
      <formula>$FS$9</formula>
    </cfRule>
  </conditionalFormatting>
  <conditionalFormatting sqref="IF16:IF1048576 HV1:HV1048576 HY1:HY1048576 IC1:IC1048576 IF1:IF14">
    <cfRule type="cellIs" dxfId="249" priority="25" operator="between">
      <formula>$II$11</formula>
      <formula>1000</formula>
    </cfRule>
    <cfRule type="cellIs" dxfId="248" priority="26" operator="between">
      <formula>$II$10</formula>
      <formula>$II$11</formula>
    </cfRule>
    <cfRule type="cellIs" dxfId="247" priority="27" operator="between">
      <formula>$II$9</formula>
      <formula>$II$10</formula>
    </cfRule>
    <cfRule type="cellIs" dxfId="246" priority="28" operator="between">
      <formula>$II$8</formula>
      <formula>$II$9</formula>
    </cfRule>
  </conditionalFormatting>
  <conditionalFormatting sqref="AU15 AM1:AM1048576 AP1:AP1048576 AT1:AT1048576">
    <cfRule type="cellIs" dxfId="245" priority="21" operator="between">
      <formula>$AW$11</formula>
      <formula>1000</formula>
    </cfRule>
    <cfRule type="cellIs" dxfId="244" priority="22" operator="between">
      <formula>$AW$10</formula>
      <formula>$AW$11</formula>
    </cfRule>
    <cfRule type="cellIs" dxfId="243" priority="23" operator="between">
      <formula>$AW$9</formula>
      <formula>$AW$10</formula>
    </cfRule>
    <cfRule type="cellIs" dxfId="242" priority="24" operator="between">
      <formula>$AW$8</formula>
      <formula>$AW$9</formula>
    </cfRule>
  </conditionalFormatting>
  <conditionalFormatting sqref="BU15">
    <cfRule type="cellIs" dxfId="241" priority="17" operator="between">
      <formula>$AW$11</formula>
      <formula>1000</formula>
    </cfRule>
    <cfRule type="cellIs" dxfId="240" priority="18" operator="between">
      <formula>$AW$10</formula>
      <formula>$AW$11</formula>
    </cfRule>
    <cfRule type="cellIs" dxfId="239" priority="19" operator="between">
      <formula>$AW$9</formula>
      <formula>$AW$10</formula>
    </cfRule>
    <cfRule type="cellIs" dxfId="238" priority="20" operator="between">
      <formula>$AW$8</formula>
      <formula>$AW$9</formula>
    </cfRule>
  </conditionalFormatting>
  <conditionalFormatting sqref="CV15">
    <cfRule type="cellIs" dxfId="237" priority="13" operator="between">
      <formula>$AW$11</formula>
      <formula>1000</formula>
    </cfRule>
    <cfRule type="cellIs" dxfId="236" priority="14" operator="between">
      <formula>$AW$10</formula>
      <formula>$AW$11</formula>
    </cfRule>
    <cfRule type="cellIs" dxfId="235" priority="15" operator="between">
      <formula>$AW$9</formula>
      <formula>$AW$10</formula>
    </cfRule>
    <cfRule type="cellIs" dxfId="234" priority="16" operator="between">
      <formula>$AW$8</formula>
      <formula>$AW$9</formula>
    </cfRule>
  </conditionalFormatting>
  <conditionalFormatting sqref="EH15">
    <cfRule type="cellIs" dxfId="233" priority="9" operator="between">
      <formula>$AW$11</formula>
      <formula>1000</formula>
    </cfRule>
    <cfRule type="cellIs" dxfId="232" priority="10" operator="between">
      <formula>$AW$10</formula>
      <formula>$AW$11</formula>
    </cfRule>
    <cfRule type="cellIs" dxfId="231" priority="11" operator="between">
      <formula>$AW$9</formula>
      <formula>$AW$10</formula>
    </cfRule>
    <cfRule type="cellIs" dxfId="230" priority="12" operator="between">
      <formula>$AW$8</formula>
      <formula>$AW$9</formula>
    </cfRule>
  </conditionalFormatting>
  <conditionalFormatting sqref="FP15">
    <cfRule type="cellIs" dxfId="229" priority="5" operator="between">
      <formula>$AW$11</formula>
      <formula>1000</formula>
    </cfRule>
    <cfRule type="cellIs" dxfId="228" priority="6" operator="between">
      <formula>$AW$10</formula>
      <formula>$AW$11</formula>
    </cfRule>
    <cfRule type="cellIs" dxfId="227" priority="7" operator="between">
      <formula>$AW$9</formula>
      <formula>$AW$10</formula>
    </cfRule>
    <cfRule type="cellIs" dxfId="226" priority="8" operator="between">
      <formula>$AW$8</formula>
      <formula>$AW$9</formula>
    </cfRule>
  </conditionalFormatting>
  <conditionalFormatting sqref="IF15">
    <cfRule type="cellIs" dxfId="225" priority="1" operator="between">
      <formula>$AW$11</formula>
      <formula>1000</formula>
    </cfRule>
    <cfRule type="cellIs" dxfId="224" priority="2" operator="between">
      <formula>$AW$10</formula>
      <formula>$AW$11</formula>
    </cfRule>
    <cfRule type="cellIs" dxfId="223" priority="3" operator="between">
      <formula>$AW$9</formula>
      <formula>$AW$10</formula>
    </cfRule>
    <cfRule type="cellIs" dxfId="222" priority="4" operator="between">
      <formula>$AW$8</formula>
      <formula>$AW$9</formula>
    </cfRule>
  </conditionalFormatting>
  <conditionalFormatting sqref="CT1:CT1048576 AR1:AR1048576">
    <cfRule type="cellIs" dxfId="221" priority="57" operator="between">
      <formula>AW$15</formula>
      <formula>1000</formula>
    </cfRule>
    <cfRule type="cellIs" dxfId="220" priority="58" operator="between">
      <formula>AW$14</formula>
      <formula>AW$15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9" priority="59" operator="between">
      <formula>EK$15</formula>
      <formula>1000</formula>
    </cfRule>
    <cfRule type="cellIs" dxfId="218" priority="60" operator="between">
      <formula>EK$14</formula>
      <formula>EK$15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217" priority="61" operator="between">
      <formula>EK$13</formula>
      <formula>1000</formula>
    </cfRule>
    <cfRule type="cellIs" dxfId="216" priority="62" operator="between">
      <formula>EK$12</formula>
      <formula>EK$13</formula>
    </cfRule>
  </conditionalFormatting>
  <conditionalFormatting sqref="AO1:AO1048576 AR1:AR1048576 AV1:AV1048576">
    <cfRule type="cellIs" dxfId="215" priority="63" operator="between">
      <formula>$AW$15</formula>
      <formula>1000</formula>
    </cfRule>
    <cfRule type="cellIs" dxfId="214" priority="64" operator="between">
      <formula>$AW$14</formula>
      <formula>$AW$15</formula>
    </cfRule>
    <cfRule type="cellIs" dxfId="213" priority="65" operator="between">
      <formula>$AW$13</formula>
      <formula>$AW$14</formula>
    </cfRule>
    <cfRule type="cellIs" dxfId="212" priority="66" operator="between">
      <formula>$AW$12</formula>
      <formula>$AW$13</formula>
    </cfRule>
  </conditionalFormatting>
  <conditionalFormatting sqref="BP1:BP1048576 BS1:BS1048576 BW1:BW1048576">
    <cfRule type="cellIs" dxfId="211" priority="67" operator="between">
      <formula>$BX$15</formula>
      <formula>1000</formula>
    </cfRule>
    <cfRule type="cellIs" dxfId="210" priority="68" operator="between">
      <formula>$BX$14</formula>
      <formula>$BX$15</formula>
    </cfRule>
    <cfRule type="cellIs" dxfId="209" priority="69" operator="between">
      <formula>$BX$13</formula>
      <formula>$BX$14</formula>
    </cfRule>
    <cfRule type="cellIs" dxfId="208" priority="70" operator="between">
      <formula>$BX$12</formula>
      <formula>$BX$13</formula>
    </cfRule>
  </conditionalFormatting>
  <conditionalFormatting sqref="CQ1:CQ1048576 CT1:CT1048576 CX1:CX1048576">
    <cfRule type="cellIs" dxfId="207" priority="71" operator="between">
      <formula>$CY$15</formula>
      <formula>1000</formula>
    </cfRule>
    <cfRule type="cellIs" dxfId="206" priority="72" operator="between">
      <formula>$CY$14</formula>
      <formula>$CY$15</formula>
    </cfRule>
    <cfRule type="cellIs" dxfId="205" priority="73" operator="between">
      <formula>$CY$13</formula>
      <formula>$CY$14</formula>
    </cfRule>
    <cfRule type="cellIs" dxfId="204" priority="74" operator="between">
      <formula>$CY$12</formula>
      <formula>$CY$13</formula>
    </cfRule>
  </conditionalFormatting>
  <conditionalFormatting sqref="NB1:NB1048576 NE1:NE1048576 NI1:NI1048576 NL1:NL1048576">
    <cfRule type="cellIs" dxfId="203" priority="75" operator="between">
      <formula>$NO$8</formula>
      <formula>$NO$9</formula>
    </cfRule>
  </conditionalFormatting>
  <conditionalFormatting sqref="DZ1:DZ1048576 EC1:EC1048576 EG1:EG1048576 EJ1:EJ1048576">
    <cfRule type="cellIs" dxfId="202" priority="76" operator="between">
      <formula>$EK$15</formula>
      <formula>1000</formula>
    </cfRule>
    <cfRule type="cellIs" dxfId="201" priority="77" operator="between">
      <formula>$EK$14</formula>
      <formula>$EK$15</formula>
    </cfRule>
    <cfRule type="cellIs" dxfId="200" priority="78" operator="between">
      <formula>$EK$13</formula>
      <formula>$EK$14</formula>
    </cfRule>
    <cfRule type="cellIs" dxfId="199" priority="79" operator="between">
      <formula>$EK$12</formula>
      <formula>$EK$13</formula>
    </cfRule>
  </conditionalFormatting>
  <conditionalFormatting sqref="FH1:FH1048576 FK1:FK1048576 FO1:FO1048576 FR1:FR1048576">
    <cfRule type="cellIs" dxfId="198" priority="80" operator="between">
      <formula>$FS$15</formula>
      <formula>1000</formula>
    </cfRule>
    <cfRule type="cellIs" dxfId="197" priority="81" operator="between">
      <formula>$FS$14</formula>
      <formula>$FS$15</formula>
    </cfRule>
    <cfRule type="cellIs" dxfId="196" priority="82" operator="between">
      <formula>$FS$13</formula>
      <formula>$FS$14</formula>
    </cfRule>
    <cfRule type="cellIs" dxfId="195" priority="83" operator="between">
      <formula>$FS$12</formula>
      <formula>$FS$13</formula>
    </cfRule>
  </conditionalFormatting>
  <conditionalFormatting sqref="GN1:GN1048576 GQ1:GQ1048576 GU1:GU1048576 GX1:GX1048576">
    <cfRule type="cellIs" dxfId="194" priority="84" operator="between">
      <formula>$HA$11</formula>
      <formula>1000</formula>
    </cfRule>
    <cfRule type="cellIs" dxfId="193" priority="85" operator="between">
      <formula>$HA$10</formula>
      <formula>$HA$11</formula>
    </cfRule>
    <cfRule type="cellIs" dxfId="192" priority="86" operator="between">
      <formula>$HA$9</formula>
      <formula>$HA$10</formula>
    </cfRule>
    <cfRule type="cellIs" dxfId="191" priority="87" operator="between">
      <formula>$HA$8</formula>
      <formula>$HA$9</formula>
    </cfRule>
  </conditionalFormatting>
  <conditionalFormatting sqref="GP1:GP1048576 GS1:GS1048576 GW1:GW1048576 GZ1:GZ1048576">
    <cfRule type="cellIs" dxfId="190" priority="88" operator="between">
      <formula>$HA$15</formula>
      <formula>1000</formula>
    </cfRule>
    <cfRule type="cellIs" dxfId="189" priority="89" operator="between">
      <formula>$HA$14</formula>
      <formula>$HA$15</formula>
    </cfRule>
    <cfRule type="cellIs" dxfId="188" priority="90" operator="between">
      <formula>$HA$13</formula>
      <formula>$HA$14</formula>
    </cfRule>
    <cfRule type="cellIs" dxfId="187" priority="91" operator="between">
      <formula>$HA$12</formula>
      <formula>$HA$13</formula>
    </cfRule>
  </conditionalFormatting>
  <conditionalFormatting sqref="HX1:HX1048576 IA1:IA1048576 IE1:IE1048576 IH1:IH1048576">
    <cfRule type="cellIs" dxfId="186" priority="92" operator="between">
      <formula>$II$15</formula>
      <formula>1000</formula>
    </cfRule>
    <cfRule type="cellIs" dxfId="185" priority="93" operator="between">
      <formula>$II$14</formula>
      <formula>$II$15</formula>
    </cfRule>
    <cfRule type="cellIs" dxfId="184" priority="94" operator="between">
      <formula>$II$13</formula>
      <formula>$II$14</formula>
    </cfRule>
    <cfRule type="cellIs" dxfId="183" priority="95" operator="between">
      <formula>$II$12</formula>
      <formula>$II$13</formula>
    </cfRule>
  </conditionalFormatting>
  <conditionalFormatting sqref="JD1:JD1048576 JG1:JG1048576 JK1:JK1048576 JN1:JN1048576">
    <cfRule type="cellIs" dxfId="182" priority="96" operator="between">
      <formula>$JQ$11</formula>
      <formula>1000</formula>
    </cfRule>
    <cfRule type="cellIs" dxfId="181" priority="97" operator="between">
      <formula>$JQ$10</formula>
      <formula>$JQ$11</formula>
    </cfRule>
    <cfRule type="cellIs" dxfId="180" priority="98" operator="between">
      <formula>$JQ$9</formula>
      <formula>$JQ$10</formula>
    </cfRule>
    <cfRule type="cellIs" dxfId="179" priority="99" operator="between">
      <formula>$JQ$8</formula>
      <formula>$JQ$9</formula>
    </cfRule>
  </conditionalFormatting>
  <conditionalFormatting sqref="JF1:JF1048576 JI1:JI1048576 JM1:JM1048576 JP1:JP1048576">
    <cfRule type="cellIs" dxfId="178" priority="100" operator="between">
      <formula>$JQ$15</formula>
      <formula>1000</formula>
    </cfRule>
    <cfRule type="cellIs" dxfId="177" priority="101" operator="between">
      <formula>$JQ$14</formula>
      <formula>$JQ$15</formula>
    </cfRule>
    <cfRule type="cellIs" dxfId="176" priority="102" operator="between">
      <formula>$JQ$13</formula>
      <formula>$JQ$14</formula>
    </cfRule>
    <cfRule type="cellIs" dxfId="175" priority="103" operator="between">
      <formula>$JQ$12</formula>
      <formula>$JQ$13</formula>
    </cfRule>
  </conditionalFormatting>
  <conditionalFormatting sqref="KL1:KL1048576 KO1:KO1048576 KS1:KS1048576 KV1:KV1048576">
    <cfRule type="cellIs" dxfId="174" priority="104" operator="between">
      <formula>$KY$11</formula>
      <formula>1000</formula>
    </cfRule>
    <cfRule type="cellIs" dxfId="173" priority="105" operator="between">
      <formula>$KY$10</formula>
      <formula>$KY$11</formula>
    </cfRule>
    <cfRule type="cellIs" dxfId="172" priority="106" operator="between">
      <formula>$KY$9</formula>
      <formula>$KY$10</formula>
    </cfRule>
    <cfRule type="cellIs" dxfId="171" priority="107" operator="between">
      <formula>$KY$8</formula>
      <formula>$KY$9</formula>
    </cfRule>
  </conditionalFormatting>
  <conditionalFormatting sqref="KN1:KN1048576 KQ1:KQ1048576 KU1:KU1048576 KX1:KX1048576">
    <cfRule type="cellIs" dxfId="170" priority="108" operator="between">
      <formula>$KY$15</formula>
      <formula>1000</formula>
    </cfRule>
    <cfRule type="cellIs" dxfId="169" priority="109" operator="between">
      <formula>$KY$14</formula>
      <formula>$KY$15</formula>
    </cfRule>
    <cfRule type="cellIs" dxfId="168" priority="110" operator="between">
      <formula>$KY$13</formula>
      <formula>$KY$14</formula>
    </cfRule>
    <cfRule type="cellIs" dxfId="167" priority="111" operator="between">
      <formula>$KY$12</formula>
      <formula>$KY$13</formula>
    </cfRule>
  </conditionalFormatting>
  <conditionalFormatting sqref="LT1:LT1048576 LW1:LW1048576 MA1:MA1048576 MD1:MD1048576">
    <cfRule type="cellIs" dxfId="166" priority="112" operator="between">
      <formula>$MG$11</formula>
      <formula>1000</formula>
    </cfRule>
    <cfRule type="cellIs" dxfId="165" priority="113" operator="between">
      <formula>$MG$10</formula>
      <formula>$MG$11</formula>
    </cfRule>
    <cfRule type="cellIs" dxfId="164" priority="114" operator="between">
      <formula>$MG$9</formula>
      <formula>$MG$10</formula>
    </cfRule>
    <cfRule type="cellIs" dxfId="163" priority="115" operator="between">
      <formula>$MG$8</formula>
      <formula>$MG$9</formula>
    </cfRule>
  </conditionalFormatting>
  <conditionalFormatting sqref="LV1:LV1048576 LY1:LY1048576 MC1:MC1048576 MF1:MF1048576">
    <cfRule type="cellIs" dxfId="162" priority="116" operator="between">
      <formula>$MG$15</formula>
      <formula>1000</formula>
    </cfRule>
    <cfRule type="cellIs" dxfId="161" priority="117" operator="between">
      <formula>$MG$14</formula>
      <formula>$MG$15</formula>
    </cfRule>
    <cfRule type="cellIs" dxfId="160" priority="118" operator="between">
      <formula>$MG$13</formula>
      <formula>$MG$14</formula>
    </cfRule>
    <cfRule type="cellIs" dxfId="159" priority="119" operator="between">
      <formula>$MG$12</formula>
      <formula>$MG$13</formula>
    </cfRule>
  </conditionalFormatting>
  <conditionalFormatting sqref="NB1:NB1048576 NE1:NE1048576 NI1:NI1048576">
    <cfRule type="cellIs" dxfId="158" priority="120" operator="between">
      <formula>$NO$11</formula>
      <formula>1000</formula>
    </cfRule>
    <cfRule type="cellIs" dxfId="157" priority="121" operator="between">
      <formula>$NO$10</formula>
      <formula>$NO$11</formula>
    </cfRule>
    <cfRule type="cellIs" dxfId="156" priority="122" operator="between">
      <formula>$NO$9</formula>
      <formula>$NO$10</formula>
    </cfRule>
  </conditionalFormatting>
  <conditionalFormatting sqref="ND1:ND1048576 NG1:NG1048576 NK1:NK1048576 NN1:NN1048576">
    <cfRule type="cellIs" dxfId="155" priority="123" operator="between">
      <formula>$NO$15</formula>
      <formula>1000</formula>
    </cfRule>
    <cfRule type="cellIs" dxfId="154" priority="124" operator="between">
      <formula>$NO$14</formula>
      <formula>$NO$15</formula>
    </cfRule>
    <cfRule type="cellIs" dxfId="153" priority="125" operator="between">
      <formula>$NO$13</formula>
      <formula>$NO$14</formula>
    </cfRule>
    <cfRule type="cellIs" dxfId="152" priority="126" operator="between">
      <formula>$NO$12</formula>
      <formula>$NO$13</formula>
    </cfRule>
  </conditionalFormatting>
  <conditionalFormatting sqref="OJ1:OJ1048576 OM1:OM1048576 OQ1:OQ1048576 OT1:OT1048576">
    <cfRule type="cellIs" dxfId="151" priority="127" operator="between">
      <formula>$OW$11</formula>
      <formula>1000</formula>
    </cfRule>
    <cfRule type="cellIs" dxfId="150" priority="128" operator="between">
      <formula>$OW$10</formula>
      <formula>$OW$11</formula>
    </cfRule>
    <cfRule type="cellIs" dxfId="149" priority="129" operator="between">
      <formula>$OW$9</formula>
      <formula>$OW$10</formula>
    </cfRule>
    <cfRule type="cellIs" dxfId="148" priority="130" operator="between">
      <formula>$OW$8</formula>
      <formula>$OW$9</formula>
    </cfRule>
  </conditionalFormatting>
  <conditionalFormatting sqref="OL1:OL1048576 OO1:OO1048576 OS1:OS1048576 OV1:OV1048576">
    <cfRule type="cellIs" dxfId="147" priority="131" operator="between">
      <formula>$OW$15</formula>
      <formula>1000</formula>
    </cfRule>
    <cfRule type="cellIs" dxfId="146" priority="132" operator="between">
      <formula>$OW$14</formula>
      <formula>$OW$15</formula>
    </cfRule>
    <cfRule type="cellIs" dxfId="145" priority="133" operator="between">
      <formula>$OW$13</formula>
      <formula>$OW$14</formula>
    </cfRule>
    <cfRule type="cellIs" dxfId="144" priority="134" operator="between">
      <formula>$OW$12</formula>
      <formula>$OW$13</formula>
    </cfRule>
  </conditionalFormatting>
  <conditionalFormatting sqref="PR1:PR1048576 PU1:PU1048576 PY1:PY1048576 QB1:QB1048576">
    <cfRule type="cellIs" dxfId="143" priority="135" operator="between">
      <formula>$QE$11</formula>
      <formula>1000</formula>
    </cfRule>
    <cfRule type="cellIs" dxfId="142" priority="136" operator="between">
      <formula>$QE$10</formula>
      <formula>$QE$11</formula>
    </cfRule>
    <cfRule type="cellIs" dxfId="141" priority="137" operator="between">
      <formula>$QE$9</formula>
      <formula>$QE$10</formula>
    </cfRule>
    <cfRule type="cellIs" dxfId="140" priority="138" operator="between">
      <formula>$QE$8</formula>
      <formula>$QE$9</formula>
    </cfRule>
  </conditionalFormatting>
  <conditionalFormatting sqref="PT1:PT1048576 PW1:PW1048576 QA1:QA1048576 QD1:QD1048576">
    <cfRule type="cellIs" dxfId="139" priority="139" operator="between">
      <formula>$QE$15</formula>
      <formula>1000</formula>
    </cfRule>
    <cfRule type="cellIs" dxfId="138" priority="140" operator="between">
      <formula>$QE$14</formula>
      <formula>$QE$15</formula>
    </cfRule>
    <cfRule type="cellIs" dxfId="137" priority="141" operator="between">
      <formula>$QE$13</formula>
      <formula>$QE$14</formula>
    </cfRule>
    <cfRule type="cellIs" dxfId="136" priority="142" operator="between">
      <formula>$QE$12</formula>
      <formula>$QE$13</formula>
    </cfRule>
  </conditionalFormatting>
  <conditionalFormatting sqref="QZ1:QZ1048576 RC1:RC1048576 RG1:RG1048576 RJ1:RJ1048576">
    <cfRule type="cellIs" dxfId="135" priority="143" operator="between">
      <formula>$RM$11</formula>
      <formula>1000</formula>
    </cfRule>
    <cfRule type="cellIs" dxfId="134" priority="144" operator="between">
      <formula>$RM$10</formula>
      <formula>$RM$11</formula>
    </cfRule>
    <cfRule type="cellIs" dxfId="133" priority="145" operator="between">
      <formula>$RM$9</formula>
      <formula>$RM$10</formula>
    </cfRule>
    <cfRule type="cellIs" dxfId="132" priority="146" operator="between">
      <formula>$RM$8</formula>
      <formula>$RM$9</formula>
    </cfRule>
  </conditionalFormatting>
  <conditionalFormatting sqref="RB1:RB1048576 RE1:RE1048576 RI1:RI1048576 RL1:RL1048576">
    <cfRule type="cellIs" dxfId="131" priority="147" operator="between">
      <formula>$RM$15</formula>
      <formula>1000</formula>
    </cfRule>
    <cfRule type="cellIs" dxfId="130" priority="148" operator="between">
      <formula>$RM$14</formula>
      <formula>$RM$15</formula>
    </cfRule>
    <cfRule type="cellIs" dxfId="129" priority="149" operator="between">
      <formula>$RM$13</formula>
      <formula>$RM$14</formula>
    </cfRule>
    <cfRule type="cellIs" dxfId="128" priority="150" operator="between">
      <formula>$RM$12</formula>
      <formula>$RM$13</formula>
    </cfRule>
  </conditionalFormatting>
  <conditionalFormatting sqref="SH1:SH1048576 SK1:SK1048576 SO1:SO1048576 SR1:SR1048576">
    <cfRule type="cellIs" dxfId="127" priority="151" operator="between">
      <formula>$SU$11</formula>
      <formula>1000</formula>
    </cfRule>
    <cfRule type="cellIs" dxfId="126" priority="152" operator="between">
      <formula>$SU$10</formula>
      <formula>$SU$11</formula>
    </cfRule>
    <cfRule type="cellIs" dxfId="125" priority="153" operator="between">
      <formula>$SU$9</formula>
      <formula>$SU$10</formula>
    </cfRule>
    <cfRule type="cellIs" dxfId="124" priority="154" operator="between">
      <formula>$SU$8</formula>
      <formula>$SU$9</formula>
    </cfRule>
  </conditionalFormatting>
  <conditionalFormatting sqref="SJ1:SJ1048576 SM1:SM1048576 SQ1:SQ1048576 ST1:ST1048576">
    <cfRule type="cellIs" dxfId="123" priority="155" operator="between">
      <formula>$SU$15</formula>
      <formula>1000</formula>
    </cfRule>
    <cfRule type="cellIs" dxfId="122" priority="156" operator="between">
      <formula>$SU$14</formula>
      <formula>$SU$15</formula>
    </cfRule>
    <cfRule type="cellIs" dxfId="121" priority="157" operator="between">
      <formula>$SU$13</formula>
      <formula>$SU$14</formula>
    </cfRule>
    <cfRule type="cellIs" dxfId="120" priority="158" operator="between">
      <formula>$SU$12</formula>
      <formula>$SU$13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31.5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hidden="1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3" t="s">
        <v>12</v>
      </c>
      <c r="H1" s="102" t="s">
        <v>13</v>
      </c>
      <c r="I1" s="103" t="s">
        <v>96</v>
      </c>
      <c r="J1" s="108" t="s">
        <v>156</v>
      </c>
      <c r="K1" s="104" t="s">
        <v>37</v>
      </c>
      <c r="L1" s="108" t="s">
        <v>157</v>
      </c>
      <c r="M1" s="104" t="s">
        <v>37</v>
      </c>
      <c r="N1" s="104" t="s">
        <v>14</v>
      </c>
      <c r="O1" s="104" t="s">
        <v>37</v>
      </c>
      <c r="P1" s="107" t="s">
        <v>15</v>
      </c>
      <c r="Q1" s="104" t="s">
        <v>38</v>
      </c>
      <c r="R1" s="104" t="s">
        <v>37</v>
      </c>
      <c r="S1" s="105" t="s">
        <v>104</v>
      </c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10" t="s">
        <v>111</v>
      </c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05" t="s">
        <v>146</v>
      </c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11" t="s">
        <v>68</v>
      </c>
      <c r="CW1" s="111"/>
      <c r="CX1" s="105" t="s">
        <v>114</v>
      </c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10" t="s">
        <v>175</v>
      </c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5"/>
      <c r="FU1" s="105"/>
      <c r="FV1" s="105"/>
      <c r="FW1" s="105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05"/>
      <c r="GY1" s="105"/>
      <c r="GZ1" s="105"/>
      <c r="HA1" s="105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05"/>
      <c r="KY1" s="105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5"/>
      <c r="NS1" s="105"/>
      <c r="NT1" s="105"/>
      <c r="NU1" s="105"/>
      <c r="NV1" s="105"/>
      <c r="NW1" s="105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05" t="s">
        <v>72</v>
      </c>
      <c r="OY1" s="105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</row>
    <row r="2" spans="1:440" x14ac:dyDescent="0.2">
      <c r="A2" s="102"/>
      <c r="B2" s="102"/>
      <c r="C2" s="102"/>
      <c r="D2" s="102"/>
      <c r="E2" s="102"/>
      <c r="F2" s="103"/>
      <c r="G2" s="103"/>
      <c r="H2" s="102"/>
      <c r="I2" s="103"/>
      <c r="J2" s="108"/>
      <c r="K2" s="104"/>
      <c r="L2" s="108"/>
      <c r="M2" s="104"/>
      <c r="N2" s="104"/>
      <c r="O2" s="104"/>
      <c r="P2" s="107"/>
      <c r="Q2" s="104"/>
      <c r="R2" s="104"/>
      <c r="S2" s="106" t="s">
        <v>148</v>
      </c>
      <c r="T2" s="106"/>
      <c r="U2" s="106"/>
      <c r="V2" s="106"/>
      <c r="W2" s="106" t="s">
        <v>149</v>
      </c>
      <c r="X2" s="106"/>
      <c r="Y2" s="106"/>
      <c r="Z2" s="106"/>
      <c r="AA2" s="106" t="s">
        <v>150</v>
      </c>
      <c r="AB2" s="106"/>
      <c r="AC2" s="106"/>
      <c r="AD2" s="106"/>
      <c r="AE2" s="106" t="s">
        <v>151</v>
      </c>
      <c r="AF2" s="106"/>
      <c r="AG2" s="106"/>
      <c r="AH2" s="106"/>
      <c r="AI2" s="112" t="s">
        <v>152</v>
      </c>
      <c r="AJ2" s="112"/>
      <c r="AK2" s="112"/>
      <c r="AL2" s="112"/>
      <c r="AM2" s="88"/>
      <c r="AN2" s="88" t="s">
        <v>153</v>
      </c>
      <c r="AO2" s="88" t="s">
        <v>154</v>
      </c>
      <c r="AP2" s="88" t="s">
        <v>150</v>
      </c>
      <c r="AQ2" s="88" t="s">
        <v>76</v>
      </c>
      <c r="AR2" s="88" t="s">
        <v>155</v>
      </c>
      <c r="AS2" s="88" t="s">
        <v>19</v>
      </c>
      <c r="AT2" s="109" t="s">
        <v>148</v>
      </c>
      <c r="AU2" s="109"/>
      <c r="AV2" s="109"/>
      <c r="AW2" s="109"/>
      <c r="AX2" s="109" t="s">
        <v>149</v>
      </c>
      <c r="AY2" s="109"/>
      <c r="AZ2" s="109"/>
      <c r="BA2" s="109"/>
      <c r="BB2" s="109" t="s">
        <v>150</v>
      </c>
      <c r="BC2" s="109"/>
      <c r="BD2" s="109"/>
      <c r="BE2" s="109"/>
      <c r="BF2" s="109" t="s">
        <v>151</v>
      </c>
      <c r="BG2" s="109"/>
      <c r="BH2" s="109"/>
      <c r="BI2" s="109"/>
      <c r="BJ2" s="113" t="s">
        <v>152</v>
      </c>
      <c r="BK2" s="113"/>
      <c r="BL2" s="113"/>
      <c r="BM2" s="113"/>
      <c r="BN2" s="89"/>
      <c r="BO2" s="89" t="s">
        <v>153</v>
      </c>
      <c r="BP2" s="89" t="s">
        <v>154</v>
      </c>
      <c r="BQ2" s="89" t="s">
        <v>150</v>
      </c>
      <c r="BR2" s="89" t="s">
        <v>76</v>
      </c>
      <c r="BS2" s="89" t="s">
        <v>155</v>
      </c>
      <c r="BT2" s="89" t="s">
        <v>19</v>
      </c>
      <c r="BU2" s="106" t="s">
        <v>148</v>
      </c>
      <c r="BV2" s="106"/>
      <c r="BW2" s="106"/>
      <c r="BX2" s="106"/>
      <c r="BY2" s="106" t="s">
        <v>149</v>
      </c>
      <c r="BZ2" s="106"/>
      <c r="CA2" s="106"/>
      <c r="CB2" s="106"/>
      <c r="CC2" s="106" t="s">
        <v>150</v>
      </c>
      <c r="CD2" s="106"/>
      <c r="CE2" s="106"/>
      <c r="CF2" s="106"/>
      <c r="CG2" s="106" t="s">
        <v>151</v>
      </c>
      <c r="CH2" s="106"/>
      <c r="CI2" s="106"/>
      <c r="CJ2" s="106"/>
      <c r="CK2" s="112" t="s">
        <v>152</v>
      </c>
      <c r="CL2" s="112"/>
      <c r="CM2" s="112"/>
      <c r="CN2" s="112"/>
      <c r="CO2" s="88"/>
      <c r="CP2" s="88" t="s">
        <v>153</v>
      </c>
      <c r="CQ2" s="88" t="s">
        <v>154</v>
      </c>
      <c r="CR2" s="88" t="s">
        <v>150</v>
      </c>
      <c r="CS2" s="88" t="s">
        <v>76</v>
      </c>
      <c r="CT2" s="88" t="s">
        <v>155</v>
      </c>
      <c r="CU2" s="88" t="s">
        <v>19</v>
      </c>
      <c r="CV2" s="86" t="s">
        <v>154</v>
      </c>
      <c r="CW2" s="86" t="s">
        <v>24</v>
      </c>
      <c r="CX2" s="106" t="s">
        <v>148</v>
      </c>
      <c r="CY2" s="106"/>
      <c r="CZ2" s="106"/>
      <c r="DA2" s="106"/>
      <c r="DB2" s="106" t="s">
        <v>149</v>
      </c>
      <c r="DC2" s="106"/>
      <c r="DD2" s="106"/>
      <c r="DE2" s="106"/>
      <c r="DF2" s="106" t="s">
        <v>150</v>
      </c>
      <c r="DG2" s="106"/>
      <c r="DH2" s="106"/>
      <c r="DI2" s="106"/>
      <c r="DJ2" s="106" t="s">
        <v>151</v>
      </c>
      <c r="DK2" s="106"/>
      <c r="DL2" s="106"/>
      <c r="DM2" s="106"/>
      <c r="DN2" s="114" t="s">
        <v>152</v>
      </c>
      <c r="DO2" s="114"/>
      <c r="DP2" s="114"/>
      <c r="DQ2" s="114"/>
      <c r="DR2" s="88" t="s">
        <v>153</v>
      </c>
      <c r="DS2" s="88" t="s">
        <v>154</v>
      </c>
      <c r="DT2" s="88" t="s">
        <v>150</v>
      </c>
      <c r="DU2" s="88" t="s">
        <v>76</v>
      </c>
      <c r="DV2" s="88" t="s">
        <v>155</v>
      </c>
      <c r="DW2" s="88" t="s">
        <v>19</v>
      </c>
      <c r="DX2" s="109" t="s">
        <v>148</v>
      </c>
      <c r="DY2" s="109"/>
      <c r="DZ2" s="109"/>
      <c r="EA2" s="109"/>
      <c r="EB2" s="109" t="s">
        <v>149</v>
      </c>
      <c r="EC2" s="109"/>
      <c r="ED2" s="109"/>
      <c r="EE2" s="109"/>
      <c r="EF2" s="109" t="s">
        <v>150</v>
      </c>
      <c r="EG2" s="109"/>
      <c r="EH2" s="109"/>
      <c r="EI2" s="109"/>
      <c r="EJ2" s="109" t="s">
        <v>151</v>
      </c>
      <c r="EK2" s="109"/>
      <c r="EL2" s="109"/>
      <c r="EM2" s="109"/>
      <c r="EN2" s="113" t="s">
        <v>152</v>
      </c>
      <c r="EO2" s="113"/>
      <c r="EP2" s="113"/>
      <c r="EQ2" s="113"/>
      <c r="ER2" s="89" t="s">
        <v>153</v>
      </c>
      <c r="ES2" s="89" t="s">
        <v>154</v>
      </c>
      <c r="ET2" s="89" t="s">
        <v>150</v>
      </c>
      <c r="EU2" s="89" t="s">
        <v>76</v>
      </c>
      <c r="EV2" s="89" t="s">
        <v>155</v>
      </c>
      <c r="EW2" s="89" t="s">
        <v>19</v>
      </c>
      <c r="EX2" s="106" t="s">
        <v>148</v>
      </c>
      <c r="EY2" s="106"/>
      <c r="EZ2" s="106"/>
      <c r="FA2" s="106"/>
      <c r="FB2" s="106" t="s">
        <v>149</v>
      </c>
      <c r="FC2" s="106"/>
      <c r="FD2" s="106"/>
      <c r="FE2" s="106"/>
      <c r="FF2" s="106" t="s">
        <v>150</v>
      </c>
      <c r="FG2" s="106"/>
      <c r="FH2" s="106"/>
      <c r="FI2" s="106"/>
      <c r="FJ2" s="106" t="s">
        <v>151</v>
      </c>
      <c r="FK2" s="106"/>
      <c r="FL2" s="106"/>
      <c r="FM2" s="106"/>
      <c r="FN2" s="114" t="s">
        <v>152</v>
      </c>
      <c r="FO2" s="114"/>
      <c r="FP2" s="114"/>
      <c r="FQ2" s="114"/>
      <c r="FR2" s="88" t="s">
        <v>153</v>
      </c>
      <c r="FS2" s="88" t="s">
        <v>154</v>
      </c>
      <c r="FT2" s="88" t="s">
        <v>150</v>
      </c>
      <c r="FU2" s="88" t="s">
        <v>76</v>
      </c>
      <c r="FV2" s="88" t="s">
        <v>155</v>
      </c>
      <c r="FW2" s="88" t="s">
        <v>19</v>
      </c>
      <c r="FX2" s="109" t="s">
        <v>148</v>
      </c>
      <c r="FY2" s="109"/>
      <c r="FZ2" s="109"/>
      <c r="GA2" s="109"/>
      <c r="GB2" s="109" t="s">
        <v>149</v>
      </c>
      <c r="GC2" s="109"/>
      <c r="GD2" s="109"/>
      <c r="GE2" s="109"/>
      <c r="GF2" s="109" t="s">
        <v>150</v>
      </c>
      <c r="GG2" s="109"/>
      <c r="GH2" s="109"/>
      <c r="GI2" s="109"/>
      <c r="GJ2" s="109" t="s">
        <v>151</v>
      </c>
      <c r="GK2" s="109"/>
      <c r="GL2" s="109"/>
      <c r="GM2" s="109"/>
      <c r="GN2" s="113" t="s">
        <v>152</v>
      </c>
      <c r="GO2" s="113"/>
      <c r="GP2" s="113"/>
      <c r="GQ2" s="113"/>
      <c r="GR2" s="89" t="s">
        <v>153</v>
      </c>
      <c r="GS2" s="89" t="s">
        <v>154</v>
      </c>
      <c r="GT2" s="89" t="s">
        <v>150</v>
      </c>
      <c r="GU2" s="89" t="s">
        <v>76</v>
      </c>
      <c r="GV2" s="89" t="s">
        <v>155</v>
      </c>
      <c r="GW2" s="89" t="s">
        <v>19</v>
      </c>
      <c r="GX2" s="106" t="s">
        <v>148</v>
      </c>
      <c r="GY2" s="106"/>
      <c r="GZ2" s="106"/>
      <c r="HA2" s="106"/>
      <c r="HB2" s="106" t="s">
        <v>149</v>
      </c>
      <c r="HC2" s="106"/>
      <c r="HD2" s="106"/>
      <c r="HE2" s="106"/>
      <c r="HF2" s="106" t="s">
        <v>150</v>
      </c>
      <c r="HG2" s="106"/>
      <c r="HH2" s="106"/>
      <c r="HI2" s="106"/>
      <c r="HJ2" s="106" t="s">
        <v>151</v>
      </c>
      <c r="HK2" s="106"/>
      <c r="HL2" s="106"/>
      <c r="HM2" s="106"/>
      <c r="HN2" s="114" t="s">
        <v>152</v>
      </c>
      <c r="HO2" s="114"/>
      <c r="HP2" s="114"/>
      <c r="HQ2" s="114"/>
      <c r="HR2" s="88" t="s">
        <v>153</v>
      </c>
      <c r="HS2" s="88" t="s">
        <v>154</v>
      </c>
      <c r="HT2" s="88" t="s">
        <v>150</v>
      </c>
      <c r="HU2" s="88" t="s">
        <v>76</v>
      </c>
      <c r="HV2" s="88" t="s">
        <v>155</v>
      </c>
      <c r="HW2" s="88" t="s">
        <v>19</v>
      </c>
      <c r="HX2" s="109" t="s">
        <v>148</v>
      </c>
      <c r="HY2" s="109"/>
      <c r="HZ2" s="109"/>
      <c r="IA2" s="109"/>
      <c r="IB2" s="109" t="s">
        <v>149</v>
      </c>
      <c r="IC2" s="109"/>
      <c r="ID2" s="109"/>
      <c r="IE2" s="109"/>
      <c r="IF2" s="109" t="s">
        <v>150</v>
      </c>
      <c r="IG2" s="109"/>
      <c r="IH2" s="109"/>
      <c r="II2" s="109"/>
      <c r="IJ2" s="109" t="s">
        <v>151</v>
      </c>
      <c r="IK2" s="109"/>
      <c r="IL2" s="109"/>
      <c r="IM2" s="109"/>
      <c r="IN2" s="113" t="s">
        <v>152</v>
      </c>
      <c r="IO2" s="113"/>
      <c r="IP2" s="113"/>
      <c r="IQ2" s="113"/>
      <c r="IR2" s="89" t="s">
        <v>153</v>
      </c>
      <c r="IS2" s="89" t="s">
        <v>154</v>
      </c>
      <c r="IT2" s="89" t="s">
        <v>150</v>
      </c>
      <c r="IU2" s="89" t="s">
        <v>76</v>
      </c>
      <c r="IV2" s="89" t="s">
        <v>155</v>
      </c>
      <c r="IW2" s="89" t="s">
        <v>19</v>
      </c>
      <c r="IX2" s="106" t="s">
        <v>148</v>
      </c>
      <c r="IY2" s="106"/>
      <c r="IZ2" s="106"/>
      <c r="JA2" s="106"/>
      <c r="JB2" s="106" t="s">
        <v>149</v>
      </c>
      <c r="JC2" s="106"/>
      <c r="JD2" s="106"/>
      <c r="JE2" s="106"/>
      <c r="JF2" s="106" t="s">
        <v>150</v>
      </c>
      <c r="JG2" s="106"/>
      <c r="JH2" s="106"/>
      <c r="JI2" s="106"/>
      <c r="JJ2" s="106" t="s">
        <v>151</v>
      </c>
      <c r="JK2" s="106"/>
      <c r="JL2" s="106"/>
      <c r="JM2" s="106"/>
      <c r="JN2" s="114" t="s">
        <v>152</v>
      </c>
      <c r="JO2" s="114"/>
      <c r="JP2" s="114"/>
      <c r="JQ2" s="114"/>
      <c r="JR2" s="88" t="s">
        <v>153</v>
      </c>
      <c r="JS2" s="88" t="s">
        <v>154</v>
      </c>
      <c r="JT2" s="88" t="s">
        <v>150</v>
      </c>
      <c r="JU2" s="88" t="s">
        <v>76</v>
      </c>
      <c r="JV2" s="88" t="s">
        <v>155</v>
      </c>
      <c r="JW2" s="88" t="s">
        <v>19</v>
      </c>
      <c r="JX2" s="109" t="s">
        <v>148</v>
      </c>
      <c r="JY2" s="109"/>
      <c r="JZ2" s="109"/>
      <c r="KA2" s="109"/>
      <c r="KB2" s="109" t="s">
        <v>149</v>
      </c>
      <c r="KC2" s="109"/>
      <c r="KD2" s="109"/>
      <c r="KE2" s="109"/>
      <c r="KF2" s="109" t="s">
        <v>150</v>
      </c>
      <c r="KG2" s="109"/>
      <c r="KH2" s="109"/>
      <c r="KI2" s="109"/>
      <c r="KJ2" s="109" t="s">
        <v>151</v>
      </c>
      <c r="KK2" s="109"/>
      <c r="KL2" s="109"/>
      <c r="KM2" s="109"/>
      <c r="KN2" s="113" t="s">
        <v>152</v>
      </c>
      <c r="KO2" s="113"/>
      <c r="KP2" s="113"/>
      <c r="KQ2" s="113"/>
      <c r="KR2" s="89" t="s">
        <v>153</v>
      </c>
      <c r="KS2" s="89" t="s">
        <v>154</v>
      </c>
      <c r="KT2" s="89" t="s">
        <v>150</v>
      </c>
      <c r="KU2" s="89" t="s">
        <v>76</v>
      </c>
      <c r="KV2" s="89" t="s">
        <v>155</v>
      </c>
      <c r="KW2" s="89" t="s">
        <v>19</v>
      </c>
      <c r="KX2" s="106" t="s">
        <v>148</v>
      </c>
      <c r="KY2" s="106"/>
      <c r="KZ2" s="106"/>
      <c r="LA2" s="106"/>
      <c r="LB2" s="106" t="s">
        <v>149</v>
      </c>
      <c r="LC2" s="106"/>
      <c r="LD2" s="106"/>
      <c r="LE2" s="106"/>
      <c r="LF2" s="106" t="s">
        <v>150</v>
      </c>
      <c r="LG2" s="106"/>
      <c r="LH2" s="106"/>
      <c r="LI2" s="106"/>
      <c r="LJ2" s="106" t="s">
        <v>151</v>
      </c>
      <c r="LK2" s="106"/>
      <c r="LL2" s="106"/>
      <c r="LM2" s="106"/>
      <c r="LN2" s="114" t="s">
        <v>152</v>
      </c>
      <c r="LO2" s="114"/>
      <c r="LP2" s="114"/>
      <c r="LQ2" s="114"/>
      <c r="LR2" s="88" t="s">
        <v>153</v>
      </c>
      <c r="LS2" s="88" t="s">
        <v>154</v>
      </c>
      <c r="LT2" s="88" t="s">
        <v>150</v>
      </c>
      <c r="LU2" s="88" t="s">
        <v>76</v>
      </c>
      <c r="LV2" s="88" t="s">
        <v>155</v>
      </c>
      <c r="LW2" s="88" t="s">
        <v>19</v>
      </c>
      <c r="LX2" s="109" t="s">
        <v>148</v>
      </c>
      <c r="LY2" s="109"/>
      <c r="LZ2" s="109"/>
      <c r="MA2" s="109"/>
      <c r="MB2" s="109" t="s">
        <v>149</v>
      </c>
      <c r="MC2" s="109"/>
      <c r="MD2" s="109"/>
      <c r="ME2" s="109"/>
      <c r="MF2" s="109" t="s">
        <v>150</v>
      </c>
      <c r="MG2" s="109"/>
      <c r="MH2" s="109"/>
      <c r="MI2" s="109"/>
      <c r="MJ2" s="109" t="s">
        <v>151</v>
      </c>
      <c r="MK2" s="109"/>
      <c r="ML2" s="109"/>
      <c r="MM2" s="109"/>
      <c r="MN2" s="113" t="s">
        <v>152</v>
      </c>
      <c r="MO2" s="113"/>
      <c r="MP2" s="113"/>
      <c r="MQ2" s="113"/>
      <c r="MR2" s="89" t="s">
        <v>153</v>
      </c>
      <c r="MS2" s="89" t="s">
        <v>154</v>
      </c>
      <c r="MT2" s="89" t="s">
        <v>150</v>
      </c>
      <c r="MU2" s="89" t="s">
        <v>76</v>
      </c>
      <c r="MV2" s="89" t="s">
        <v>155</v>
      </c>
      <c r="MW2" s="89" t="s">
        <v>19</v>
      </c>
      <c r="MX2" s="106" t="s">
        <v>148</v>
      </c>
      <c r="MY2" s="106"/>
      <c r="MZ2" s="106"/>
      <c r="NA2" s="106"/>
      <c r="NB2" s="106" t="s">
        <v>149</v>
      </c>
      <c r="NC2" s="106"/>
      <c r="ND2" s="106"/>
      <c r="NE2" s="106"/>
      <c r="NF2" s="106" t="s">
        <v>150</v>
      </c>
      <c r="NG2" s="106"/>
      <c r="NH2" s="106"/>
      <c r="NI2" s="106"/>
      <c r="NJ2" s="106" t="s">
        <v>151</v>
      </c>
      <c r="NK2" s="106"/>
      <c r="NL2" s="106"/>
      <c r="NM2" s="106"/>
      <c r="NN2" s="114" t="s">
        <v>152</v>
      </c>
      <c r="NO2" s="114"/>
      <c r="NP2" s="114"/>
      <c r="NQ2" s="114"/>
      <c r="NR2" s="88" t="s">
        <v>153</v>
      </c>
      <c r="NS2" s="88" t="s">
        <v>154</v>
      </c>
      <c r="NT2" s="88" t="s">
        <v>150</v>
      </c>
      <c r="NU2" s="88" t="s">
        <v>76</v>
      </c>
      <c r="NV2" s="88" t="s">
        <v>155</v>
      </c>
      <c r="NW2" s="88" t="s">
        <v>19</v>
      </c>
      <c r="NX2" s="109" t="s">
        <v>148</v>
      </c>
      <c r="NY2" s="109"/>
      <c r="NZ2" s="109"/>
      <c r="OA2" s="109"/>
      <c r="OB2" s="109" t="s">
        <v>149</v>
      </c>
      <c r="OC2" s="109"/>
      <c r="OD2" s="109"/>
      <c r="OE2" s="109"/>
      <c r="OF2" s="109" t="s">
        <v>150</v>
      </c>
      <c r="OG2" s="109"/>
      <c r="OH2" s="109"/>
      <c r="OI2" s="109"/>
      <c r="OJ2" s="109" t="s">
        <v>151</v>
      </c>
      <c r="OK2" s="109"/>
      <c r="OL2" s="109"/>
      <c r="OM2" s="109"/>
      <c r="ON2" s="113" t="s">
        <v>152</v>
      </c>
      <c r="OO2" s="113"/>
      <c r="OP2" s="113"/>
      <c r="OQ2" s="113"/>
      <c r="OR2" s="89" t="s">
        <v>153</v>
      </c>
      <c r="OS2" s="89" t="s">
        <v>154</v>
      </c>
      <c r="OT2" s="89" t="s">
        <v>150</v>
      </c>
      <c r="OU2" s="89" t="s">
        <v>76</v>
      </c>
      <c r="OV2" s="89" t="s">
        <v>155</v>
      </c>
      <c r="OW2" s="89" t="s">
        <v>19</v>
      </c>
      <c r="OX2" s="106" t="s">
        <v>148</v>
      </c>
      <c r="OY2" s="106"/>
      <c r="OZ2" s="106"/>
      <c r="PA2" s="106"/>
      <c r="PB2" s="106" t="s">
        <v>149</v>
      </c>
      <c r="PC2" s="106"/>
      <c r="PD2" s="106"/>
      <c r="PE2" s="106"/>
      <c r="PF2" s="106" t="s">
        <v>150</v>
      </c>
      <c r="PG2" s="106"/>
      <c r="PH2" s="106"/>
      <c r="PI2" s="106"/>
      <c r="PJ2" s="106" t="s">
        <v>151</v>
      </c>
      <c r="PK2" s="106"/>
      <c r="PL2" s="106"/>
      <c r="PM2" s="106"/>
      <c r="PN2" s="112" t="s">
        <v>152</v>
      </c>
      <c r="PO2" s="112"/>
      <c r="PP2" s="112"/>
      <c r="PQ2" s="112"/>
      <c r="PR2" s="88"/>
      <c r="PS2" s="88" t="s">
        <v>153</v>
      </c>
      <c r="PT2" s="88" t="s">
        <v>154</v>
      </c>
      <c r="PU2" s="88" t="s">
        <v>150</v>
      </c>
      <c r="PV2" s="88" t="s">
        <v>76</v>
      </c>
      <c r="PW2" s="88" t="s">
        <v>155</v>
      </c>
      <c r="PX2" s="88" t="s">
        <v>19</v>
      </c>
    </row>
    <row r="3" spans="1:440" x14ac:dyDescent="0.2">
      <c r="A3" s="102"/>
      <c r="B3" s="102"/>
      <c r="C3" s="102"/>
      <c r="D3" s="102"/>
      <c r="E3" s="102"/>
      <c r="F3" s="103"/>
      <c r="G3" s="103"/>
      <c r="H3" s="102"/>
      <c r="I3" s="103"/>
      <c r="J3" s="108"/>
      <c r="K3" s="104"/>
      <c r="L3" s="108"/>
      <c r="M3" s="104"/>
      <c r="N3" s="104"/>
      <c r="O3" s="104"/>
      <c r="P3" s="107"/>
      <c r="Q3" s="104"/>
      <c r="R3" s="104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166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$8,AO4&gt;=AS$12,AN4&lt;&gt;"",AM4=""),AND(AQ4&gt;=AS$8,AR4&gt;=AS$12,AQ4&lt;&gt;"",AM4=""),AND(BO4&gt;=BT$8,BP4&gt;=BT$12,BO4&lt;&gt;"",BN4=""),AND(BR4&gt;=BT$8,BS4&gt;=BT$12,BR4&lt;&gt;"",BN4=""),AND(CP4&gt;=CU$8,CQ4&gt;=CU$12,CP4&lt;&gt;"",CO4=""),AND(CS4&gt;=CU$8,CT4&gt;=CU$12,CS4&lt;&gt;""),AND(DR4&gt;=DW$8,DS4&gt;=DW$12,DR4&lt;&gt;""),AND(DU4&gt;=DW$8,DV4&gt;=DW$12,DU4&lt;&gt;""),AND(ER4&gt;=EW$8,ES4&gt;=EW$12,ER4&lt;&gt;""),AND(EU4&gt;=EW$8,EV4&gt;=EW$12,EU4&lt;&gt;""),AND(FR4&gt;=FW$8,FS4&gt;=FW$12,FR4&lt;&gt;""),AND(FU4&gt;=FW$8,FV4&gt;=FW$12,FU4&lt;&gt;""),AND(GR4&gt;=GW$8,GS4&gt;=GW$12,GR4&lt;&gt;""),AND(GU4&gt;=GW$8,GV4&gt;=GW$12,GU4&lt;&gt;""),AND(HR4&gt;=HW$8,HS4&gt;=HW$12,HR4&lt;&gt;""),AND(HU4&gt;=HW$8,HV4&gt;=HW$12,HU4&lt;&gt;""),AND(IR4&gt;=IW$8,IS4&gt;=IW$12,IR4&lt;&gt;""),AND(IU4&gt;=IW$8,IV4&gt;=IW$12,IU4&lt;&gt;""),AND(JR4&gt;=JW$8,JS4&gt;=JW$12,JR4&lt;&gt;""),AND(JU4&gt;=JW$8,JV4&gt;=JW$12,JU4&lt;&gt;""),AND(KR4&gt;=KW$8,KS4&gt;=KW$12,KR4&lt;&gt;""),AND(KU4&gt;=KW$8,KV4&gt;=KW$12,KU4&lt;&gt;""),AND(LR4&gt;=LW$8,LS4&gt;=LW$12,LR4&lt;&gt;""),AND(LU4&gt;=LW$8,LV4&gt;=LW$12,LU4&lt;&gt;""),AND(MR4&gt;=MW$8,MS4&gt;=MW$12,MR4&lt;&gt;""),AND(MU4&gt;=MW$8,MV4&gt;=MW$12,MU4&lt;&gt;""),AND(NR4&gt;=NW$8,NS4&gt;=NW$12,NR4&lt;&gt;""),AND(NU4&gt;=NW$8,NV4&gt;=NW$12,NU4&lt;&gt;""),AND(OR4&gt;=OW$8,OS4&gt;=OW$12,OR4&lt;&gt;""),AND(OU4&gt;=OW$8,OV4&gt;=OW$12,OU4&lt;&gt;"")),"P","")</f>
        <v>P</v>
      </c>
      <c r="G4" s="3" t="str">
        <f>IF(OR(AND(AO4&gt;=AS$12,AO4&lt;&gt;"",AM4=""),AND(AR4&gt;=AS$12,AR4&lt;&gt;"",AM4=""),AND(BP4&gt;=BT$12,BP4&lt;&gt;"",BN4=""),AND(BS4&gt;=BT$12,BS4&lt;&gt;"",BN4=""),AND(CQ4&gt;=CU$12,CQ4&lt;&gt;"",CO4=""),AND(CT4&gt;=CU$12,CT4&lt;&gt;"",CO4=""),AND(DS4&gt;=DW$12,DS4&lt;&gt;""),AND(DV4&gt;=DW$12,DV4&lt;&gt;""),AND(ES4&gt;=EW$12,ES4&lt;&gt;""),AND(EV4&gt;=EW$12,EV4&lt;&gt;""),AND(FS4&gt;=FW$12,FS4&lt;&gt;""),AND(FV4&gt;=FW$12,FV4&lt;&gt;""),AND(GS4&gt;=GW$12,GS4&lt;&gt;""),AND(GV4&gt;=GW$12,GV4&lt;&gt;""),AND(HS4&gt;=HW$12,HS4&lt;&gt;""),AND(HV4&gt;=HW$12,HV4&lt;&gt;""),AND(IS4&gt;=IW$12,IS4&lt;&gt;""),AND(IV4&gt;=IW$12,IV4&lt;&gt;""),AND(JS4&gt;=JW$12,JS4&lt;&gt;""),AND(JV4&gt;=JW$12,JV4&lt;&gt;""),AND(KS4&gt;=KW$12,KS4&lt;&gt;""),AND(KV4&gt;=KW$12,KV4&lt;&gt;""),AND(LS4&gt;=LW$12,LS4&lt;&gt;""),AND(LV4&gt;=LW$12,LV4&lt;&gt;""),AND(MS4&gt;=MW$12,MS4&lt;&gt;""),AND(MV4&gt;=MW$12,MV4&lt;&gt;""),AND(NS4&gt;=NW$12,NS4&lt;&gt;""),AND(NV4&gt;=NW$12,NV4&lt;&gt;""),AND(OS4&gt;=OW$12,OS4&lt;&gt;""),AND(OV4&gt;=OW$12,OV4&lt;&gt;"")),"P","")</f>
        <v>P</v>
      </c>
      <c r="H4" s="70" t="str">
        <f>IF(AND(G4="P",F4=""),"No DD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Merit",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Excellence",IF(I4="P","Worlds Team",IF(F4="P","National Team","")))))</f>
        <v>Excellence</v>
      </c>
      <c r="I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86.200206476690795</v>
      </c>
      <c r="F5" s="3" t="str">
        <f>IF(OR(AND(AN5&gt;=AS$8,AO5&gt;=AS$12,AN5&lt;&gt;"",AM5=""),AND(AQ5&gt;=AS$8,AR5&gt;=AS$12,AQ5&lt;&gt;"",AM5=""),AND(BO5&gt;=BT$8,BP5&gt;=BT$12,BO5&lt;&gt;"",BN5=""),AND(BR5&gt;=BT$8,BS5&gt;=BT$12,BR5&lt;&gt;"",BN5=""),AND(CP5&gt;=CU$8,CQ5&gt;=CU$12,CP5&lt;&gt;"",CO5=""),AND(CS5&gt;=CU$8,CT5&gt;=CU$12,CS5&lt;&gt;""),AND(DR5&gt;=DW$8,DS5&gt;=DW$12,DR5&lt;&gt;""),AND(DU5&gt;=DW$8,DV5&gt;=DW$12,DU5&lt;&gt;""),AND(ER5&gt;=EW$8,ES5&gt;=EW$12,ER5&lt;&gt;""),AND(EU5&gt;=EW$8,EV5&gt;=EW$12,EU5&lt;&gt;""),AND(FR5&gt;=FW$8,FS5&gt;=FW$12,FR5&lt;&gt;""),AND(FU5&gt;=FW$8,FV5&gt;=FW$12,FU5&lt;&gt;""),AND(GR5&gt;=GW$8,GS5&gt;=GW$12,GR5&lt;&gt;""),AND(GU5&gt;=GW$8,GV5&gt;=GW$12,GU5&lt;&gt;""),AND(HR5&gt;=HW$8,HS5&gt;=HW$12,HR5&lt;&gt;""),AND(HU5&gt;=HW$8,HV5&gt;=HW$12,HU5&lt;&gt;""),AND(IR5&gt;=IW$8,IS5&gt;=IW$12,IR5&lt;&gt;""),AND(IU5&gt;=IW$8,IV5&gt;=IW$12,IU5&lt;&gt;""),AND(JR5&gt;=JW$8,JS5&gt;=JW$12,JR5&lt;&gt;""),AND(JU5&gt;=JW$8,JV5&gt;=JW$12,JU5&lt;&gt;""),AND(KR5&gt;=KW$8,KS5&gt;=KW$12,KR5&lt;&gt;""),AND(KU5&gt;=KW$8,KV5&gt;=KW$12,KU5&lt;&gt;""),AND(LR5&gt;=LW$8,LS5&gt;=LW$12,LR5&lt;&gt;""),AND(LU5&gt;=LW$8,LV5&gt;=LW$12,LU5&lt;&gt;""),AND(MR5&gt;=MW$8,MS5&gt;=MW$12,MR5&lt;&gt;""),AND(MU5&gt;=MW$8,MV5&gt;=MW$12,MU5&lt;&gt;""),AND(NR5&gt;=NW$8,NS5&gt;=NW$12,NR5&lt;&gt;""),AND(NU5&gt;=NW$8,NV5&gt;=NW$12,NU5&lt;&gt;""),AND(OR5&gt;=OW$8,OS5&gt;=OW$12,OR5&lt;&gt;""),AND(OU5&gt;=OW$8,OV5&gt;=OW$12,OU5&lt;&gt;"")),"P","")</f>
        <v>P</v>
      </c>
      <c r="G5" s="3" t="str">
        <f>IF(OR(AND(AO5&gt;=AS$12,AO5&lt;&gt;"",AM5=""),AND(AR5&gt;=AS$12,AR5&lt;&gt;"",AM5=""),AND(BP5&gt;=BT$12,BP5&lt;&gt;"",BN5=""),AND(BS5&gt;=BT$12,BS5&lt;&gt;"",BN5=""),AND(CQ5&gt;=CU$12,CQ5&lt;&gt;"",CO5=""),AND(CT5&gt;=CU$12,CT5&lt;&gt;"",CO5=""),AND(DS5&gt;=DW$12,DS5&lt;&gt;""),AND(DV5&gt;=DW$12,DV5&lt;&gt;""),AND(ES5&gt;=EW$12,ES5&lt;&gt;""),AND(EV5&gt;=EW$12,EV5&lt;&gt;""),AND(FS5&gt;=FW$12,FS5&lt;&gt;""),AND(FV5&gt;=FW$12,FV5&lt;&gt;""),AND(GS5&gt;=GW$12,GS5&lt;&gt;""),AND(GV5&gt;=GW$12,GV5&lt;&gt;""),AND(HS5&gt;=HW$12,HS5&lt;&gt;""),AND(HV5&gt;=HW$12,HV5&lt;&gt;""),AND(IS5&gt;=IW$12,IS5&lt;&gt;""),AND(IV5&gt;=IW$12,IV5&lt;&gt;""),AND(JS5&gt;=JW$12,JS5&lt;&gt;""),AND(JV5&gt;=JW$12,JV5&lt;&gt;""),AND(KS5&gt;=KW$12,KS5&lt;&gt;""),AND(KV5&gt;=KW$12,KV5&lt;&gt;""),AND(LS5&gt;=LW$12,LS5&lt;&gt;""),AND(LV5&gt;=LW$12,LV5&lt;&gt;""),AND(MS5&gt;=MW$12,MS5&lt;&gt;""),AND(MV5&gt;=MW$12,MV5&lt;&gt;""),AND(NS5&gt;=NW$12,NS5&lt;&gt;""),AND(NV5&gt;=NW$12,NV5&lt;&gt;""),AND(OS5&gt;=OW$12,OS5&lt;&gt;""),AND(OV5&gt;=OW$12,OV5&lt;&gt;"")),"P","")</f>
        <v>P</v>
      </c>
      <c r="H5" s="70" t="str">
        <f>IF(AND(G5="P",F5=""),"No DD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Merit",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Excellence",IF(I5="P","Worlds Team",IF(F5="P","National Team","")))))</f>
        <v>National Team</v>
      </c>
      <c r="I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/>
      </c>
      <c r="J5" s="13">
        <f>IF(COUNT(AO5,BP5,CQ5)&gt;0,LARGE((AO5,BP5,CQ5),1),0)</f>
        <v>41.300000000000004</v>
      </c>
      <c r="K5" s="13" t="str">
        <f>IF(J5=0,"",IF(J5=CQ5,$BU$1,IF(J5=BP5,$AT$1,IF(J5=AO5,$S$1,""))))</f>
        <v>2022 Elite Canada</v>
      </c>
      <c r="L5" s="13">
        <f>IF(COUNT(AO5,BP5,CQ5)&gt;1,LARGE((AO5,BP5,CQ5),2),0)</f>
        <v>2.0000000000000001E-4</v>
      </c>
      <c r="M5" s="13" t="str">
        <f>IF(L5=0,"",IF(L5=CQ5,$BU$1,IF(L5=BP5,$AT$1,IF(L5=AO5,$S$1,""))))</f>
        <v>2021 Elite Canada</v>
      </c>
      <c r="N5" s="13">
        <f>IF(MAX(AR5,BS5,CT5)&gt;0,MAX(AR5,BS5,CT5),0)</f>
        <v>23.466666666666669</v>
      </c>
      <c r="O5" s="13" t="str">
        <f>IF(N5=0,"",IF(N5=CT5,$BU$1,IF(N5=BS5,$AT$1,IF(N5=AR5,$S$1,""))))</f>
        <v>2022 Elite Canada</v>
      </c>
      <c r="P5" s="13">
        <f>IF(MAX(CV5:CW5)&gt;0,MAX(CV5:CW5),"")</f>
        <v>21.433333333333323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>
        <v>16.666666666666668</v>
      </c>
      <c r="BV5" s="27">
        <v>4.4000000000000004</v>
      </c>
      <c r="BW5" s="27">
        <v>0</v>
      </c>
      <c r="BX5" s="27">
        <v>0</v>
      </c>
      <c r="BY5" s="27">
        <v>15.333333333333332</v>
      </c>
      <c r="BZ5" s="27">
        <v>4.9000000000000004</v>
      </c>
      <c r="CA5" s="27">
        <v>0</v>
      </c>
      <c r="CB5" s="27">
        <v>0</v>
      </c>
      <c r="CC5" s="27"/>
      <c r="CD5" s="27"/>
      <c r="CE5" s="27"/>
      <c r="CF5" s="27"/>
      <c r="CG5" s="27">
        <v>8.7999999999999989</v>
      </c>
      <c r="CH5" s="27">
        <v>3.45</v>
      </c>
      <c r="CI5" s="27">
        <v>0</v>
      </c>
      <c r="CJ5" s="27">
        <v>0</v>
      </c>
      <c r="CK5" s="27">
        <v>8.3666666666666671</v>
      </c>
      <c r="CL5" s="27">
        <v>2.85</v>
      </c>
      <c r="CM5" s="27">
        <v>0</v>
      </c>
      <c r="CN5" s="27">
        <v>0</v>
      </c>
      <c r="CO5" s="51" t="s">
        <v>61</v>
      </c>
      <c r="CP5" s="76">
        <f>IF(SUM(BV5,BZ5)&gt;0,SUM(BV5,BZ5),"")</f>
        <v>9.3000000000000007</v>
      </c>
      <c r="CQ5" s="76">
        <f>IF(SUM(BU5:BV5,BX5:BZ5,CB5)-BW5-CA5&gt;0,SUM(BU5:BV5,BX5:BZ5,CB5)-BW5-CA5,"")</f>
        <v>41.300000000000004</v>
      </c>
      <c r="CR5" s="76" t="str">
        <f>IF(SUM(CC5:CD5,CF5)-CE5&gt;0,SUM(CC5:CD5,CF5)-CE5,"")</f>
        <v/>
      </c>
      <c r="CS5" s="76">
        <f>IF(SUM(CH5,CL5)&gt;0,SUM(CH5,CL5),"")</f>
        <v>6.3000000000000007</v>
      </c>
      <c r="CT5" s="76">
        <f>IF(SUM(CG5:CH5,CJ5:CL5,CN5)-SUM(CI5,CM5)&gt;0,SUM(CG5:CH5,CJ5:CL5,CN5)-SUM(CI5,CM5),"")</f>
        <v>23.466666666666669</v>
      </c>
      <c r="CU5" s="76">
        <f>IF(SUM(CQ5,CT5)&gt;0,SUM(CQ5,CT5),"")</f>
        <v>64.76666666666668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21.433333333333323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76" t="str">
        <f>IF(SUM(EY5,FC5)&gt;0,SUM(EY5,FC5),"")</f>
        <v/>
      </c>
      <c r="FS5" s="76" t="str">
        <f>IF(SUM(EX5:EY5,FA5:FC5,FE5)-EZ5-FD5&gt;0,SUM(EX5:EY5,FA5:FC5,FE5)-EZ5-FD5,"")</f>
        <v/>
      </c>
      <c r="FT5" s="76" t="str">
        <f>IF(SUM(FF5:FG5,FI5)-FH5&gt;0,SUM(FF5:FG5,FI5)-FH5,"")</f>
        <v/>
      </c>
      <c r="FU5" s="76" t="str">
        <f>IF(SUM(FK5,FO5)&gt;0,SUM(FK5,FO5),"")</f>
        <v/>
      </c>
      <c r="FV5" s="76" t="str">
        <f>IF(SUM(FJ5:FK5,FM5:FO5,FQ5)-SUM(FL5,FP5)&gt;0,SUM(FJ5:FK5,FM5:FO5,FQ5)-SUM(FL5,FP5),"")</f>
        <v/>
      </c>
      <c r="FW5" s="76" t="str">
        <f>IF(SUM(FS5,FV5)&gt;0,SUM(FS5,FV5),"")</f>
        <v/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16.666666666666668</v>
      </c>
      <c r="OY5" s="42">
        <f>IF($CO5="P",BV5,(BV5+AU5)/2)</f>
        <v>4.4000000000000004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15.333333333333332</v>
      </c>
      <c r="PC5" s="42">
        <f>IF($CO5="P",BZ5,(BZ5+AY5)/2)</f>
        <v>4.9000000000000004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8.7999999999999989</v>
      </c>
      <c r="PK5" s="42">
        <f>IF($CO5="P",CH5,(CH5+BG5)/2)</f>
        <v>3.45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8.3666666666666671</v>
      </c>
      <c r="PO5" s="42">
        <f>IF($CO5="P",CL5,(CL5+BK5)/2)</f>
        <v>2.85</v>
      </c>
      <c r="PP5" s="42">
        <f>IF($CO5="P",CM5,(CM5+BL5)/2)</f>
        <v>0</v>
      </c>
      <c r="PQ5" s="42">
        <f>IF($CO5="P",CN5,(CN5+BM5)/2)</f>
        <v>0</v>
      </c>
      <c r="PR5" s="51" t="s">
        <v>61</v>
      </c>
      <c r="PS5" s="76">
        <f>IF(SUM(OY5,PC5)&gt;0,SUM(OY5,PC5),"")</f>
        <v>9.3000000000000007</v>
      </c>
      <c r="PT5" s="76">
        <f>IF(SUM(OX5:OY5,PA5:PC5,PE5)-OZ5-PD5&gt;0,SUM(OX5:OY5,PA5:PC5,PE5)-OZ5-PD5,"")</f>
        <v>41.300000000000004</v>
      </c>
      <c r="PU5" s="76" t="str">
        <f>IF(SUM(PF5:PG5,PI5)-PH5&gt;0,SUM(PF5:PG5,PI5)-PH5,"")</f>
        <v/>
      </c>
      <c r="PV5" s="76">
        <f>IF(SUM(PK5,PO5)&gt;0,SUM(PK5,PO5),"")</f>
        <v>6.3000000000000007</v>
      </c>
      <c r="PW5" s="76">
        <f>IF(SUM(PJ5:PK5,PM5:PO5,PQ5)-SUM(PL5,PP5)&gt;0,SUM(PJ5:PK5,PM5:PO5,PQ5)-SUM(PL5,PP5),"")</f>
        <v>23.466666666666669</v>
      </c>
      <c r="PX5" s="76">
        <f>IF(SUM(PT5,PW5)&gt;0,SUM(PT5,PW5),"")</f>
        <v>64.76666666666668</v>
      </c>
    </row>
    <row r="6" spans="1:440" ht="17" x14ac:dyDescent="0.2">
      <c r="P6" s="15"/>
      <c r="Q6" s="15"/>
      <c r="R6" s="15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</row>
    <row r="7" spans="1:440" ht="17" x14ac:dyDescent="0.2">
      <c r="P7" s="15"/>
      <c r="Q7" s="15"/>
      <c r="R7" s="15"/>
    </row>
    <row r="8" spans="1:440" ht="17" x14ac:dyDescent="0.2">
      <c r="B8" s="43" t="s">
        <v>58</v>
      </c>
      <c r="P8" s="15"/>
      <c r="Q8" s="15"/>
      <c r="R8" s="15"/>
      <c r="AN8" s="7"/>
      <c r="AS8" s="78">
        <v>1E-4</v>
      </c>
      <c r="BO8" s="7"/>
      <c r="BT8" s="78">
        <v>2.0000000000000001E-4</v>
      </c>
      <c r="CP8" s="7"/>
      <c r="CU8" s="78">
        <v>11</v>
      </c>
      <c r="DR8" s="7"/>
      <c r="DW8" s="78">
        <v>1E-4</v>
      </c>
      <c r="ER8" s="7"/>
      <c r="EW8" s="78">
        <v>11</v>
      </c>
      <c r="FR8" s="7"/>
      <c r="FW8" s="78">
        <v>11</v>
      </c>
      <c r="GR8" s="7"/>
      <c r="GW8" s="78">
        <v>11</v>
      </c>
      <c r="HR8" s="7"/>
      <c r="HW8" s="78">
        <v>11</v>
      </c>
      <c r="IR8" s="7"/>
      <c r="IW8" s="78">
        <v>11</v>
      </c>
      <c r="JR8" s="7"/>
      <c r="JW8" s="78">
        <v>11</v>
      </c>
      <c r="KR8" s="7"/>
      <c r="KW8" s="78">
        <v>11</v>
      </c>
      <c r="LR8" s="7"/>
      <c r="LW8" s="78">
        <v>11</v>
      </c>
      <c r="MR8" s="7"/>
      <c r="MW8" s="78">
        <v>11</v>
      </c>
      <c r="NR8" s="7"/>
      <c r="NW8" s="78">
        <v>11</v>
      </c>
      <c r="OR8" s="7"/>
      <c r="OW8" s="78">
        <v>11</v>
      </c>
    </row>
    <row r="9" spans="1:440" ht="17" x14ac:dyDescent="0.2">
      <c r="B9" s="54" t="s">
        <v>57</v>
      </c>
      <c r="P9" s="15"/>
      <c r="Q9" s="15"/>
      <c r="R9" s="15"/>
      <c r="AN9" s="7"/>
      <c r="AS9" s="93">
        <v>1E-4</v>
      </c>
      <c r="BO9" s="7"/>
      <c r="BT9" s="93">
        <v>2.0000000000000001E-4</v>
      </c>
      <c r="CP9" s="7"/>
      <c r="CU9" s="93">
        <v>11</v>
      </c>
      <c r="DR9" s="7"/>
      <c r="DW9" s="93">
        <v>2.0000000000000001E-4</v>
      </c>
      <c r="ER9" s="7"/>
      <c r="EW9" s="93">
        <v>11</v>
      </c>
      <c r="FR9" s="7"/>
      <c r="FW9" s="93">
        <v>11</v>
      </c>
      <c r="GR9" s="7"/>
      <c r="GW9" s="93">
        <v>11</v>
      </c>
      <c r="HR9" s="7"/>
      <c r="HW9" s="93">
        <v>11</v>
      </c>
      <c r="IR9" s="7"/>
      <c r="IW9" s="93">
        <v>11</v>
      </c>
      <c r="JR9" s="7"/>
      <c r="JW9" s="93">
        <v>11</v>
      </c>
      <c r="KR9" s="7"/>
      <c r="KW9" s="93">
        <v>11</v>
      </c>
      <c r="LR9" s="7"/>
      <c r="LW9" s="93">
        <v>11</v>
      </c>
      <c r="MR9" s="7"/>
      <c r="MW9" s="93">
        <v>11</v>
      </c>
      <c r="NR9" s="7"/>
      <c r="NW9" s="93">
        <v>11</v>
      </c>
      <c r="OR9" s="7"/>
      <c r="OW9" s="93">
        <v>11</v>
      </c>
    </row>
    <row r="10" spans="1:440" ht="17" x14ac:dyDescent="0.2">
      <c r="A10" s="35"/>
      <c r="B10" s="55" t="s">
        <v>71</v>
      </c>
      <c r="C10" s="34"/>
      <c r="P10" s="15"/>
      <c r="Q10" s="15"/>
      <c r="R10" s="15"/>
      <c r="AN10" s="7"/>
      <c r="AS10" s="80">
        <v>2.0000000000000001E-4</v>
      </c>
      <c r="BO10" s="7"/>
      <c r="BT10" s="80">
        <v>2.9999999999999997E-4</v>
      </c>
      <c r="CP10" s="7"/>
      <c r="CU10" s="80">
        <v>11</v>
      </c>
      <c r="DR10" s="7"/>
      <c r="DW10" s="80">
        <v>2.9999999999999997E-4</v>
      </c>
      <c r="ER10" s="7"/>
      <c r="EW10" s="80">
        <v>11</v>
      </c>
      <c r="FR10" s="7"/>
      <c r="FW10" s="80">
        <v>11</v>
      </c>
      <c r="GR10" s="7"/>
      <c r="GW10" s="80">
        <v>11</v>
      </c>
      <c r="HR10" s="7"/>
      <c r="HW10" s="80">
        <v>11</v>
      </c>
      <c r="IR10" s="7"/>
      <c r="IW10" s="80">
        <v>11</v>
      </c>
      <c r="JR10" s="7"/>
      <c r="JW10" s="80">
        <v>11</v>
      </c>
      <c r="KR10" s="7"/>
      <c r="KW10" s="80">
        <v>11</v>
      </c>
      <c r="LR10" s="7"/>
      <c r="LW10" s="80">
        <v>11</v>
      </c>
      <c r="MR10" s="7"/>
      <c r="MW10" s="80">
        <v>11</v>
      </c>
      <c r="NR10" s="7"/>
      <c r="NW10" s="80">
        <v>11</v>
      </c>
      <c r="OR10" s="7"/>
      <c r="OW10" s="80">
        <v>11</v>
      </c>
    </row>
    <row r="11" spans="1:440" ht="17" x14ac:dyDescent="0.2">
      <c r="A11" s="35"/>
      <c r="B11" s="66" t="s">
        <v>86</v>
      </c>
      <c r="C11" s="34"/>
      <c r="P11" s="15"/>
      <c r="Q11" s="15"/>
      <c r="R11" s="15"/>
      <c r="AN11" s="7"/>
      <c r="AS11" s="81">
        <v>2.0000000000000001E-4</v>
      </c>
      <c r="BO11" s="7"/>
      <c r="BT11" s="81">
        <v>2.9999999999999997E-4</v>
      </c>
      <c r="CP11" s="7"/>
      <c r="CU11" s="81">
        <v>14.6</v>
      </c>
      <c r="DR11" s="7"/>
      <c r="DW11" s="81">
        <v>2.9999999999999997E-4</v>
      </c>
      <c r="ER11" s="7"/>
      <c r="EW11" s="81">
        <v>14.6</v>
      </c>
      <c r="FR11" s="7"/>
      <c r="FW11" s="81">
        <v>14.6</v>
      </c>
      <c r="GR11" s="7"/>
      <c r="GW11" s="81">
        <v>14.6</v>
      </c>
      <c r="HR11" s="7"/>
      <c r="HW11" s="81">
        <v>14.6</v>
      </c>
      <c r="IR11" s="7"/>
      <c r="IW11" s="81">
        <v>14.6</v>
      </c>
      <c r="JR11" s="7"/>
      <c r="JW11" s="81">
        <v>14.6</v>
      </c>
      <c r="KR11" s="7"/>
      <c r="KW11" s="81">
        <v>14.6</v>
      </c>
      <c r="LR11" s="7"/>
      <c r="LW11" s="81">
        <v>14.6</v>
      </c>
      <c r="MR11" s="7"/>
      <c r="MW11" s="81">
        <v>14.6</v>
      </c>
      <c r="NR11" s="7"/>
      <c r="NW11" s="81">
        <v>14.6</v>
      </c>
      <c r="OR11" s="7"/>
      <c r="OW11" s="81">
        <v>14.6</v>
      </c>
    </row>
    <row r="12" spans="1:440" ht="17" x14ac:dyDescent="0.2">
      <c r="A12" s="35"/>
      <c r="B12" s="65" t="s">
        <v>55</v>
      </c>
      <c r="C12" s="34"/>
      <c r="P12" s="15"/>
      <c r="Q12" s="15"/>
      <c r="R12" s="15"/>
      <c r="AN12" s="7"/>
      <c r="AS12" s="82">
        <v>2.0000000000000001E-4</v>
      </c>
      <c r="BO12" s="7"/>
      <c r="BT12" s="82">
        <v>4.0000000000000002E-4</v>
      </c>
      <c r="CP12" s="7"/>
      <c r="CU12" s="82">
        <v>45</v>
      </c>
      <c r="DR12" s="7"/>
      <c r="DW12" s="82">
        <v>4.0000000000000002E-4</v>
      </c>
      <c r="ER12" s="7"/>
      <c r="EW12" s="82">
        <v>45</v>
      </c>
      <c r="FR12" s="7"/>
      <c r="FW12" s="82">
        <v>45</v>
      </c>
      <c r="GR12" s="7"/>
      <c r="GW12" s="82">
        <v>45</v>
      </c>
      <c r="HR12" s="7"/>
      <c r="HW12" s="82">
        <v>45</v>
      </c>
      <c r="IR12" s="7"/>
      <c r="IW12" s="82">
        <v>45</v>
      </c>
      <c r="JR12" s="7"/>
      <c r="JW12" s="82">
        <v>45</v>
      </c>
      <c r="KR12" s="7"/>
      <c r="KW12" s="82">
        <v>45</v>
      </c>
      <c r="LR12" s="7"/>
      <c r="LW12" s="82">
        <v>45</v>
      </c>
      <c r="MR12" s="7"/>
      <c r="MW12" s="82">
        <v>45</v>
      </c>
      <c r="NR12" s="7"/>
      <c r="NW12" s="82">
        <v>45</v>
      </c>
      <c r="OR12" s="7"/>
      <c r="OW12" s="82">
        <v>45</v>
      </c>
    </row>
    <row r="13" spans="1:440" ht="17" x14ac:dyDescent="0.2">
      <c r="A13" s="35"/>
      <c r="B13" s="44" t="s">
        <v>56</v>
      </c>
      <c r="C13" s="34"/>
      <c r="P13" s="15"/>
      <c r="Q13" s="15"/>
      <c r="R13" s="15"/>
      <c r="AN13" s="7"/>
      <c r="AS13" s="83">
        <v>2.9999999999999997E-4</v>
      </c>
      <c r="BO13" s="7"/>
      <c r="BT13" s="83">
        <v>4.0000000000000002E-4</v>
      </c>
      <c r="CP13" s="7"/>
      <c r="CU13" s="83">
        <v>46.2</v>
      </c>
      <c r="DR13" s="7"/>
      <c r="DW13" s="83">
        <v>4.0000000000000002E-4</v>
      </c>
      <c r="ER13" s="7"/>
      <c r="EW13" s="83">
        <v>46.2</v>
      </c>
      <c r="FR13" s="7"/>
      <c r="FW13" s="83">
        <v>46.2</v>
      </c>
      <c r="GR13" s="7"/>
      <c r="GW13" s="83">
        <v>46.2</v>
      </c>
      <c r="HR13" s="7"/>
      <c r="HW13" s="83">
        <v>46.2</v>
      </c>
      <c r="IR13" s="7"/>
      <c r="IW13" s="83">
        <v>46.2</v>
      </c>
      <c r="JR13" s="7"/>
      <c r="JW13" s="83">
        <v>46.2</v>
      </c>
      <c r="KR13" s="7"/>
      <c r="KW13" s="83">
        <v>46.2</v>
      </c>
      <c r="LR13" s="7"/>
      <c r="LW13" s="83">
        <v>46.2</v>
      </c>
      <c r="MR13" s="7"/>
      <c r="MW13" s="83">
        <v>46.2</v>
      </c>
      <c r="NR13" s="7"/>
      <c r="NW13" s="83">
        <v>46.2</v>
      </c>
      <c r="OR13" s="7"/>
      <c r="OW13" s="83">
        <v>46.2</v>
      </c>
    </row>
    <row r="14" spans="1:440" ht="17" x14ac:dyDescent="0.2">
      <c r="A14" s="35"/>
      <c r="B14" s="64" t="s">
        <v>70</v>
      </c>
      <c r="C14" s="34"/>
      <c r="P14" s="15"/>
      <c r="Q14" s="15"/>
      <c r="R14" s="15"/>
      <c r="AN14" s="7"/>
      <c r="AS14" s="84">
        <v>2.9999999999999997E-4</v>
      </c>
      <c r="BO14" s="7"/>
      <c r="BT14" s="84">
        <v>4.0000000000000002E-4</v>
      </c>
      <c r="CP14" s="7"/>
      <c r="CU14" s="84">
        <v>47.4</v>
      </c>
      <c r="DR14" s="7"/>
      <c r="DW14" s="84">
        <v>4.0000000000000002E-4</v>
      </c>
      <c r="ER14" s="7"/>
      <c r="EW14" s="84">
        <v>47.4</v>
      </c>
      <c r="FR14" s="7"/>
      <c r="FW14" s="84">
        <v>47.4</v>
      </c>
      <c r="GR14" s="7"/>
      <c r="GW14" s="84">
        <v>47.4</v>
      </c>
      <c r="HR14" s="7"/>
      <c r="HW14" s="84">
        <v>47.4</v>
      </c>
      <c r="IR14" s="7"/>
      <c r="IW14" s="84">
        <v>47.4</v>
      </c>
      <c r="JR14" s="7"/>
      <c r="JW14" s="84">
        <v>47.4</v>
      </c>
      <c r="KR14" s="7"/>
      <c r="KW14" s="84">
        <v>47.4</v>
      </c>
      <c r="LR14" s="7"/>
      <c r="LW14" s="84">
        <v>47.4</v>
      </c>
      <c r="MR14" s="7"/>
      <c r="MW14" s="84">
        <v>47.4</v>
      </c>
      <c r="NR14" s="7"/>
      <c r="NW14" s="84">
        <v>47.4</v>
      </c>
      <c r="OR14" s="7"/>
      <c r="OW14" s="84">
        <v>47.4</v>
      </c>
    </row>
    <row r="15" spans="1:440" ht="17" x14ac:dyDescent="0.2">
      <c r="A15" s="35"/>
      <c r="B15" s="45" t="s">
        <v>39</v>
      </c>
      <c r="C15" s="34"/>
      <c r="P15" s="15"/>
      <c r="Q15" s="15"/>
      <c r="R15" s="15"/>
      <c r="AN15" s="7"/>
      <c r="AP15" s="70" t="s">
        <v>177</v>
      </c>
      <c r="AS15" s="85">
        <v>2.9999999999999997E-4</v>
      </c>
      <c r="BO15" s="7"/>
      <c r="BQ15" s="70" t="s">
        <v>177</v>
      </c>
      <c r="BT15" s="85">
        <v>4.0000000000000002E-4</v>
      </c>
      <c r="CP15" s="7"/>
      <c r="CU15" s="85">
        <v>51</v>
      </c>
      <c r="DR15" s="7"/>
      <c r="DT15" s="70" t="s">
        <v>177</v>
      </c>
      <c r="DW15" s="85">
        <v>4.0000000000000002E-4</v>
      </c>
      <c r="ER15" s="7"/>
      <c r="EW15" s="85">
        <v>51</v>
      </c>
      <c r="FR15" s="7"/>
      <c r="FW15" s="85">
        <v>51</v>
      </c>
      <c r="GR15" s="7"/>
      <c r="GW15" s="85">
        <v>51</v>
      </c>
      <c r="HR15" s="7"/>
      <c r="HW15" s="85">
        <v>51</v>
      </c>
      <c r="IR15" s="7"/>
      <c r="IW15" s="85">
        <v>51</v>
      </c>
      <c r="JR15" s="7"/>
      <c r="JW15" s="85">
        <v>51</v>
      </c>
      <c r="KR15" s="7"/>
      <c r="KW15" s="85">
        <v>51</v>
      </c>
      <c r="LR15" s="7"/>
      <c r="LW15" s="85">
        <v>51</v>
      </c>
      <c r="MR15" s="7"/>
      <c r="MW15" s="85">
        <v>51</v>
      </c>
      <c r="NR15" s="7"/>
      <c r="NW15" s="85">
        <v>51</v>
      </c>
      <c r="OR15" s="7"/>
      <c r="OW15" s="85">
        <v>51</v>
      </c>
    </row>
    <row r="16" spans="1:440" x14ac:dyDescent="0.2">
      <c r="B16" s="53" t="s">
        <v>62</v>
      </c>
      <c r="C16" s="2"/>
    </row>
    <row r="17" spans="1:3" x14ac:dyDescent="0.2">
      <c r="A17" s="35"/>
      <c r="B17" s="35"/>
      <c r="C17" s="34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6"/>
      <c r="B20" s="6"/>
      <c r="C20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5">
      <sortCondition descending="1" ref="F1:F6"/>
    </sortState>
  </autoFilter>
  <mergeCells count="11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</mergeCells>
  <conditionalFormatting sqref="S4:AS5">
    <cfRule type="expression" dxfId="119" priority="5" stopIfTrue="1">
      <formula>IF($AM4&lt;&gt;"",1,0)</formula>
    </cfRule>
  </conditionalFormatting>
  <conditionalFormatting sqref="AT4:BT5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5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AS$11</formula>
      <formula>1000</formula>
    </cfRule>
    <cfRule type="cellIs" dxfId="106" priority="57299" operator="between">
      <formula>AS$10</formula>
      <formula>AS$11</formula>
    </cfRule>
    <cfRule type="cellIs" dxfId="105" priority="57300" operator="between">
      <formula>AS$9</formula>
      <formula>AS$10</formula>
    </cfRule>
    <cfRule type="cellIs" dxfId="104" priority="57301" operator="between">
      <formula>AS$8</formula>
      <formula>AS$9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AS$15</formula>
      <formula>1000</formula>
    </cfRule>
    <cfRule type="cellIs" dxfId="102" priority="57479" operator="between">
      <formula>AS$14</formula>
      <formula>AS$15</formula>
    </cfRule>
    <cfRule type="cellIs" dxfId="101" priority="57480" operator="between">
      <formula>AS$13</formula>
      <formula>AS$14</formula>
    </cfRule>
    <cfRule type="cellIs" dxfId="100" priority="57481" operator="between">
      <formula>AS$12</formula>
      <formula>AS$13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AS$8</formula>
      <formula>AS$9</formula>
    </cfRule>
    <cfRule type="cellIs" dxfId="98" priority="57659" operator="between">
      <formula>AS$9</formula>
      <formula>AS$10</formula>
    </cfRule>
    <cfRule type="cellIs" dxfId="97" priority="57660" operator="between">
      <formula>AS$10</formula>
      <formula>AS$11</formula>
    </cfRule>
    <cfRule type="cellIs" dxfId="96" priority="57661" operator="between">
      <formula>AS$11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AS$12</formula>
      <formula>AS$13</formula>
    </cfRule>
    <cfRule type="cellIs" dxfId="94" priority="57839" operator="between">
      <formula>AS$13</formula>
      <formula>AS$14</formula>
    </cfRule>
    <cfRule type="cellIs" dxfId="93" priority="57840" operator="between">
      <formula>AS$14</formula>
      <formula>AS$15</formula>
    </cfRule>
    <cfRule type="cellIs" dxfId="92" priority="57841" operator="between">
      <formula>AS$15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hidden="1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3" t="s">
        <v>12</v>
      </c>
      <c r="H1" s="102" t="s">
        <v>13</v>
      </c>
      <c r="I1" s="103" t="s">
        <v>96</v>
      </c>
      <c r="J1" s="108" t="s">
        <v>156</v>
      </c>
      <c r="K1" s="104" t="s">
        <v>37</v>
      </c>
      <c r="L1" s="108" t="s">
        <v>157</v>
      </c>
      <c r="M1" s="104" t="s">
        <v>37</v>
      </c>
      <c r="N1" s="104" t="s">
        <v>14</v>
      </c>
      <c r="O1" s="104" t="s">
        <v>37</v>
      </c>
      <c r="P1" s="107" t="s">
        <v>15</v>
      </c>
      <c r="Q1" s="104" t="s">
        <v>38</v>
      </c>
      <c r="R1" s="104" t="s">
        <v>37</v>
      </c>
      <c r="S1" s="105" t="s">
        <v>104</v>
      </c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10" t="s">
        <v>111</v>
      </c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05" t="s">
        <v>146</v>
      </c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11" t="s">
        <v>68</v>
      </c>
      <c r="CW1" s="111"/>
      <c r="CX1" s="105" t="s">
        <v>114</v>
      </c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10" t="s">
        <v>175</v>
      </c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5"/>
      <c r="FU1" s="105"/>
      <c r="FV1" s="105"/>
      <c r="FW1" s="105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05"/>
      <c r="GY1" s="105"/>
      <c r="GZ1" s="105"/>
      <c r="HA1" s="105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05"/>
      <c r="KY1" s="105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  <c r="MT1" s="110"/>
      <c r="MU1" s="110"/>
      <c r="MV1" s="110"/>
      <c r="MW1" s="110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5"/>
      <c r="NS1" s="105"/>
      <c r="NT1" s="105"/>
      <c r="NU1" s="105"/>
      <c r="NV1" s="105"/>
      <c r="NW1" s="105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05" t="s">
        <v>72</v>
      </c>
      <c r="OY1" s="105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</row>
    <row r="2" spans="1:440" x14ac:dyDescent="0.2">
      <c r="A2" s="102"/>
      <c r="B2" s="102"/>
      <c r="C2" s="102"/>
      <c r="D2" s="102"/>
      <c r="E2" s="102"/>
      <c r="F2" s="103"/>
      <c r="G2" s="103"/>
      <c r="H2" s="102"/>
      <c r="I2" s="103"/>
      <c r="J2" s="108"/>
      <c r="K2" s="104"/>
      <c r="L2" s="108"/>
      <c r="M2" s="104"/>
      <c r="N2" s="104"/>
      <c r="O2" s="104"/>
      <c r="P2" s="107"/>
      <c r="Q2" s="104"/>
      <c r="R2" s="104"/>
      <c r="S2" s="106" t="s">
        <v>148</v>
      </c>
      <c r="T2" s="106"/>
      <c r="U2" s="106"/>
      <c r="V2" s="106"/>
      <c r="W2" s="106" t="s">
        <v>149</v>
      </c>
      <c r="X2" s="106"/>
      <c r="Y2" s="106"/>
      <c r="Z2" s="106"/>
      <c r="AA2" s="106" t="s">
        <v>150</v>
      </c>
      <c r="AB2" s="106"/>
      <c r="AC2" s="106"/>
      <c r="AD2" s="106"/>
      <c r="AE2" s="106" t="s">
        <v>151</v>
      </c>
      <c r="AF2" s="106"/>
      <c r="AG2" s="106"/>
      <c r="AH2" s="106"/>
      <c r="AI2" s="112" t="s">
        <v>152</v>
      </c>
      <c r="AJ2" s="112"/>
      <c r="AK2" s="112"/>
      <c r="AL2" s="112"/>
      <c r="AM2" s="49"/>
      <c r="AN2" s="88" t="s">
        <v>153</v>
      </c>
      <c r="AO2" s="88" t="s">
        <v>154</v>
      </c>
      <c r="AP2" s="88" t="s">
        <v>150</v>
      </c>
      <c r="AQ2" s="88" t="s">
        <v>76</v>
      </c>
      <c r="AR2" s="88" t="s">
        <v>155</v>
      </c>
      <c r="AS2" s="88" t="s">
        <v>19</v>
      </c>
      <c r="AT2" s="109" t="s">
        <v>148</v>
      </c>
      <c r="AU2" s="109"/>
      <c r="AV2" s="109"/>
      <c r="AW2" s="109"/>
      <c r="AX2" s="109" t="s">
        <v>149</v>
      </c>
      <c r="AY2" s="109"/>
      <c r="AZ2" s="109"/>
      <c r="BA2" s="109"/>
      <c r="BB2" s="109" t="s">
        <v>150</v>
      </c>
      <c r="BC2" s="109"/>
      <c r="BD2" s="109"/>
      <c r="BE2" s="109"/>
      <c r="BF2" s="109" t="s">
        <v>151</v>
      </c>
      <c r="BG2" s="109"/>
      <c r="BH2" s="109"/>
      <c r="BI2" s="109"/>
      <c r="BJ2" s="113" t="s">
        <v>152</v>
      </c>
      <c r="BK2" s="113"/>
      <c r="BL2" s="113"/>
      <c r="BM2" s="113"/>
      <c r="BN2" s="50"/>
      <c r="BO2" s="89" t="s">
        <v>153</v>
      </c>
      <c r="BP2" s="89" t="s">
        <v>154</v>
      </c>
      <c r="BQ2" s="89" t="s">
        <v>150</v>
      </c>
      <c r="BR2" s="89" t="s">
        <v>76</v>
      </c>
      <c r="BS2" s="89" t="s">
        <v>155</v>
      </c>
      <c r="BT2" s="89" t="s">
        <v>19</v>
      </c>
      <c r="BU2" s="106" t="s">
        <v>148</v>
      </c>
      <c r="BV2" s="106"/>
      <c r="BW2" s="106"/>
      <c r="BX2" s="106"/>
      <c r="BY2" s="106" t="s">
        <v>149</v>
      </c>
      <c r="BZ2" s="106"/>
      <c r="CA2" s="106"/>
      <c r="CB2" s="106"/>
      <c r="CC2" s="106" t="s">
        <v>150</v>
      </c>
      <c r="CD2" s="106"/>
      <c r="CE2" s="106"/>
      <c r="CF2" s="106"/>
      <c r="CG2" s="106" t="s">
        <v>151</v>
      </c>
      <c r="CH2" s="106"/>
      <c r="CI2" s="106"/>
      <c r="CJ2" s="106"/>
      <c r="CK2" s="112" t="s">
        <v>152</v>
      </c>
      <c r="CL2" s="112"/>
      <c r="CM2" s="112"/>
      <c r="CN2" s="112"/>
      <c r="CO2" s="60"/>
      <c r="CP2" s="88" t="s">
        <v>153</v>
      </c>
      <c r="CQ2" s="88" t="s">
        <v>154</v>
      </c>
      <c r="CR2" s="88" t="s">
        <v>150</v>
      </c>
      <c r="CS2" s="88" t="s">
        <v>76</v>
      </c>
      <c r="CT2" s="88" t="s">
        <v>155</v>
      </c>
      <c r="CU2" s="88" t="s">
        <v>19</v>
      </c>
      <c r="CV2" s="86" t="s">
        <v>154</v>
      </c>
      <c r="CW2" s="86" t="s">
        <v>24</v>
      </c>
      <c r="CX2" s="106" t="s">
        <v>148</v>
      </c>
      <c r="CY2" s="106"/>
      <c r="CZ2" s="106"/>
      <c r="DA2" s="106"/>
      <c r="DB2" s="106" t="s">
        <v>149</v>
      </c>
      <c r="DC2" s="106"/>
      <c r="DD2" s="106"/>
      <c r="DE2" s="106"/>
      <c r="DF2" s="106" t="s">
        <v>150</v>
      </c>
      <c r="DG2" s="106"/>
      <c r="DH2" s="106"/>
      <c r="DI2" s="106"/>
      <c r="DJ2" s="106" t="s">
        <v>151</v>
      </c>
      <c r="DK2" s="106"/>
      <c r="DL2" s="106"/>
      <c r="DM2" s="106"/>
      <c r="DN2" s="114" t="s">
        <v>152</v>
      </c>
      <c r="DO2" s="114"/>
      <c r="DP2" s="114"/>
      <c r="DQ2" s="114"/>
      <c r="DR2" s="88" t="s">
        <v>153</v>
      </c>
      <c r="DS2" s="88" t="s">
        <v>154</v>
      </c>
      <c r="DT2" s="88" t="s">
        <v>150</v>
      </c>
      <c r="DU2" s="88" t="s">
        <v>76</v>
      </c>
      <c r="DV2" s="88" t="s">
        <v>155</v>
      </c>
      <c r="DW2" s="88" t="s">
        <v>19</v>
      </c>
      <c r="DX2" s="109" t="s">
        <v>148</v>
      </c>
      <c r="DY2" s="109"/>
      <c r="DZ2" s="109"/>
      <c r="EA2" s="109"/>
      <c r="EB2" s="109" t="s">
        <v>149</v>
      </c>
      <c r="EC2" s="109"/>
      <c r="ED2" s="109"/>
      <c r="EE2" s="109"/>
      <c r="EF2" s="109" t="s">
        <v>150</v>
      </c>
      <c r="EG2" s="109"/>
      <c r="EH2" s="109"/>
      <c r="EI2" s="109"/>
      <c r="EJ2" s="109" t="s">
        <v>151</v>
      </c>
      <c r="EK2" s="109"/>
      <c r="EL2" s="109"/>
      <c r="EM2" s="109"/>
      <c r="EN2" s="113" t="s">
        <v>152</v>
      </c>
      <c r="EO2" s="113"/>
      <c r="EP2" s="113"/>
      <c r="EQ2" s="113"/>
      <c r="ER2" s="89" t="s">
        <v>153</v>
      </c>
      <c r="ES2" s="89" t="s">
        <v>154</v>
      </c>
      <c r="ET2" s="89" t="s">
        <v>150</v>
      </c>
      <c r="EU2" s="89" t="s">
        <v>76</v>
      </c>
      <c r="EV2" s="89" t="s">
        <v>155</v>
      </c>
      <c r="EW2" s="89" t="s">
        <v>19</v>
      </c>
      <c r="EX2" s="106" t="s">
        <v>148</v>
      </c>
      <c r="EY2" s="106"/>
      <c r="EZ2" s="106"/>
      <c r="FA2" s="106"/>
      <c r="FB2" s="106" t="s">
        <v>149</v>
      </c>
      <c r="FC2" s="106"/>
      <c r="FD2" s="106"/>
      <c r="FE2" s="106"/>
      <c r="FF2" s="106" t="s">
        <v>150</v>
      </c>
      <c r="FG2" s="106"/>
      <c r="FH2" s="106"/>
      <c r="FI2" s="106"/>
      <c r="FJ2" s="106" t="s">
        <v>151</v>
      </c>
      <c r="FK2" s="106"/>
      <c r="FL2" s="106"/>
      <c r="FM2" s="106"/>
      <c r="FN2" s="114" t="s">
        <v>152</v>
      </c>
      <c r="FO2" s="114"/>
      <c r="FP2" s="114"/>
      <c r="FQ2" s="114"/>
      <c r="FR2" s="88" t="s">
        <v>153</v>
      </c>
      <c r="FS2" s="88" t="s">
        <v>154</v>
      </c>
      <c r="FT2" s="88" t="s">
        <v>150</v>
      </c>
      <c r="FU2" s="88" t="s">
        <v>76</v>
      </c>
      <c r="FV2" s="88" t="s">
        <v>155</v>
      </c>
      <c r="FW2" s="88" t="s">
        <v>19</v>
      </c>
      <c r="FX2" s="109" t="s">
        <v>148</v>
      </c>
      <c r="FY2" s="109"/>
      <c r="FZ2" s="109"/>
      <c r="GA2" s="109"/>
      <c r="GB2" s="109" t="s">
        <v>149</v>
      </c>
      <c r="GC2" s="109"/>
      <c r="GD2" s="109"/>
      <c r="GE2" s="109"/>
      <c r="GF2" s="109" t="s">
        <v>150</v>
      </c>
      <c r="GG2" s="109"/>
      <c r="GH2" s="109"/>
      <c r="GI2" s="109"/>
      <c r="GJ2" s="109" t="s">
        <v>151</v>
      </c>
      <c r="GK2" s="109"/>
      <c r="GL2" s="109"/>
      <c r="GM2" s="109"/>
      <c r="GN2" s="113" t="s">
        <v>152</v>
      </c>
      <c r="GO2" s="113"/>
      <c r="GP2" s="113"/>
      <c r="GQ2" s="113"/>
      <c r="GR2" s="89" t="s">
        <v>153</v>
      </c>
      <c r="GS2" s="89" t="s">
        <v>154</v>
      </c>
      <c r="GT2" s="89" t="s">
        <v>150</v>
      </c>
      <c r="GU2" s="89" t="s">
        <v>76</v>
      </c>
      <c r="GV2" s="89" t="s">
        <v>155</v>
      </c>
      <c r="GW2" s="89" t="s">
        <v>19</v>
      </c>
      <c r="GX2" s="106" t="s">
        <v>148</v>
      </c>
      <c r="GY2" s="106"/>
      <c r="GZ2" s="106"/>
      <c r="HA2" s="106"/>
      <c r="HB2" s="106" t="s">
        <v>149</v>
      </c>
      <c r="HC2" s="106"/>
      <c r="HD2" s="106"/>
      <c r="HE2" s="106"/>
      <c r="HF2" s="106" t="s">
        <v>150</v>
      </c>
      <c r="HG2" s="106"/>
      <c r="HH2" s="106"/>
      <c r="HI2" s="106"/>
      <c r="HJ2" s="106" t="s">
        <v>151</v>
      </c>
      <c r="HK2" s="106"/>
      <c r="HL2" s="106"/>
      <c r="HM2" s="106"/>
      <c r="HN2" s="114" t="s">
        <v>152</v>
      </c>
      <c r="HO2" s="114"/>
      <c r="HP2" s="114"/>
      <c r="HQ2" s="114"/>
      <c r="HR2" s="88" t="s">
        <v>153</v>
      </c>
      <c r="HS2" s="88" t="s">
        <v>154</v>
      </c>
      <c r="HT2" s="88" t="s">
        <v>150</v>
      </c>
      <c r="HU2" s="88" t="s">
        <v>76</v>
      </c>
      <c r="HV2" s="88" t="s">
        <v>155</v>
      </c>
      <c r="HW2" s="88" t="s">
        <v>19</v>
      </c>
      <c r="HX2" s="109" t="s">
        <v>148</v>
      </c>
      <c r="HY2" s="109"/>
      <c r="HZ2" s="109"/>
      <c r="IA2" s="109"/>
      <c r="IB2" s="109" t="s">
        <v>149</v>
      </c>
      <c r="IC2" s="109"/>
      <c r="ID2" s="109"/>
      <c r="IE2" s="109"/>
      <c r="IF2" s="109" t="s">
        <v>150</v>
      </c>
      <c r="IG2" s="109"/>
      <c r="IH2" s="109"/>
      <c r="II2" s="109"/>
      <c r="IJ2" s="109" t="s">
        <v>151</v>
      </c>
      <c r="IK2" s="109"/>
      <c r="IL2" s="109"/>
      <c r="IM2" s="109"/>
      <c r="IN2" s="113" t="s">
        <v>152</v>
      </c>
      <c r="IO2" s="113"/>
      <c r="IP2" s="113"/>
      <c r="IQ2" s="113"/>
      <c r="IR2" s="89" t="s">
        <v>153</v>
      </c>
      <c r="IS2" s="89" t="s">
        <v>154</v>
      </c>
      <c r="IT2" s="89" t="s">
        <v>150</v>
      </c>
      <c r="IU2" s="89" t="s">
        <v>76</v>
      </c>
      <c r="IV2" s="89" t="s">
        <v>155</v>
      </c>
      <c r="IW2" s="89" t="s">
        <v>19</v>
      </c>
      <c r="IX2" s="106" t="s">
        <v>148</v>
      </c>
      <c r="IY2" s="106"/>
      <c r="IZ2" s="106"/>
      <c r="JA2" s="106"/>
      <c r="JB2" s="106" t="s">
        <v>149</v>
      </c>
      <c r="JC2" s="106"/>
      <c r="JD2" s="106"/>
      <c r="JE2" s="106"/>
      <c r="JF2" s="106" t="s">
        <v>150</v>
      </c>
      <c r="JG2" s="106"/>
      <c r="JH2" s="106"/>
      <c r="JI2" s="106"/>
      <c r="JJ2" s="106" t="s">
        <v>151</v>
      </c>
      <c r="JK2" s="106"/>
      <c r="JL2" s="106"/>
      <c r="JM2" s="106"/>
      <c r="JN2" s="114" t="s">
        <v>152</v>
      </c>
      <c r="JO2" s="114"/>
      <c r="JP2" s="114"/>
      <c r="JQ2" s="114"/>
      <c r="JR2" s="88" t="s">
        <v>153</v>
      </c>
      <c r="JS2" s="88" t="s">
        <v>154</v>
      </c>
      <c r="JT2" s="88" t="s">
        <v>150</v>
      </c>
      <c r="JU2" s="88" t="s">
        <v>76</v>
      </c>
      <c r="JV2" s="88" t="s">
        <v>155</v>
      </c>
      <c r="JW2" s="88" t="s">
        <v>19</v>
      </c>
      <c r="JX2" s="109" t="s">
        <v>148</v>
      </c>
      <c r="JY2" s="109"/>
      <c r="JZ2" s="109"/>
      <c r="KA2" s="109"/>
      <c r="KB2" s="109" t="s">
        <v>149</v>
      </c>
      <c r="KC2" s="109"/>
      <c r="KD2" s="109"/>
      <c r="KE2" s="109"/>
      <c r="KF2" s="109" t="s">
        <v>150</v>
      </c>
      <c r="KG2" s="109"/>
      <c r="KH2" s="109"/>
      <c r="KI2" s="109"/>
      <c r="KJ2" s="109" t="s">
        <v>151</v>
      </c>
      <c r="KK2" s="109"/>
      <c r="KL2" s="109"/>
      <c r="KM2" s="109"/>
      <c r="KN2" s="113" t="s">
        <v>152</v>
      </c>
      <c r="KO2" s="113"/>
      <c r="KP2" s="113"/>
      <c r="KQ2" s="113"/>
      <c r="KR2" s="89" t="s">
        <v>153</v>
      </c>
      <c r="KS2" s="89" t="s">
        <v>154</v>
      </c>
      <c r="KT2" s="89" t="s">
        <v>150</v>
      </c>
      <c r="KU2" s="89" t="s">
        <v>76</v>
      </c>
      <c r="KV2" s="89" t="s">
        <v>155</v>
      </c>
      <c r="KW2" s="89" t="s">
        <v>19</v>
      </c>
      <c r="KX2" s="106" t="s">
        <v>148</v>
      </c>
      <c r="KY2" s="106"/>
      <c r="KZ2" s="106"/>
      <c r="LA2" s="106"/>
      <c r="LB2" s="106" t="s">
        <v>149</v>
      </c>
      <c r="LC2" s="106"/>
      <c r="LD2" s="106"/>
      <c r="LE2" s="106"/>
      <c r="LF2" s="106" t="s">
        <v>150</v>
      </c>
      <c r="LG2" s="106"/>
      <c r="LH2" s="106"/>
      <c r="LI2" s="106"/>
      <c r="LJ2" s="106" t="s">
        <v>151</v>
      </c>
      <c r="LK2" s="106"/>
      <c r="LL2" s="106"/>
      <c r="LM2" s="106"/>
      <c r="LN2" s="114" t="s">
        <v>152</v>
      </c>
      <c r="LO2" s="114"/>
      <c r="LP2" s="114"/>
      <c r="LQ2" s="114"/>
      <c r="LR2" s="88" t="s">
        <v>153</v>
      </c>
      <c r="LS2" s="88" t="s">
        <v>154</v>
      </c>
      <c r="LT2" s="88" t="s">
        <v>150</v>
      </c>
      <c r="LU2" s="88" t="s">
        <v>76</v>
      </c>
      <c r="LV2" s="88" t="s">
        <v>155</v>
      </c>
      <c r="LW2" s="88" t="s">
        <v>19</v>
      </c>
      <c r="LX2" s="109" t="s">
        <v>148</v>
      </c>
      <c r="LY2" s="109"/>
      <c r="LZ2" s="109"/>
      <c r="MA2" s="109"/>
      <c r="MB2" s="109" t="s">
        <v>149</v>
      </c>
      <c r="MC2" s="109"/>
      <c r="MD2" s="109"/>
      <c r="ME2" s="109"/>
      <c r="MF2" s="109" t="s">
        <v>150</v>
      </c>
      <c r="MG2" s="109"/>
      <c r="MH2" s="109"/>
      <c r="MI2" s="109"/>
      <c r="MJ2" s="109" t="s">
        <v>151</v>
      </c>
      <c r="MK2" s="109"/>
      <c r="ML2" s="109"/>
      <c r="MM2" s="109"/>
      <c r="MN2" s="113" t="s">
        <v>152</v>
      </c>
      <c r="MO2" s="113"/>
      <c r="MP2" s="113"/>
      <c r="MQ2" s="113"/>
      <c r="MR2" s="89" t="s">
        <v>153</v>
      </c>
      <c r="MS2" s="89" t="s">
        <v>154</v>
      </c>
      <c r="MT2" s="89" t="s">
        <v>150</v>
      </c>
      <c r="MU2" s="89" t="s">
        <v>76</v>
      </c>
      <c r="MV2" s="89" t="s">
        <v>155</v>
      </c>
      <c r="MW2" s="89" t="s">
        <v>19</v>
      </c>
      <c r="MX2" s="106" t="s">
        <v>148</v>
      </c>
      <c r="MY2" s="106"/>
      <c r="MZ2" s="106"/>
      <c r="NA2" s="106"/>
      <c r="NB2" s="106" t="s">
        <v>149</v>
      </c>
      <c r="NC2" s="106"/>
      <c r="ND2" s="106"/>
      <c r="NE2" s="106"/>
      <c r="NF2" s="106" t="s">
        <v>150</v>
      </c>
      <c r="NG2" s="106"/>
      <c r="NH2" s="106"/>
      <c r="NI2" s="106"/>
      <c r="NJ2" s="106" t="s">
        <v>151</v>
      </c>
      <c r="NK2" s="106"/>
      <c r="NL2" s="106"/>
      <c r="NM2" s="106"/>
      <c r="NN2" s="114" t="s">
        <v>152</v>
      </c>
      <c r="NO2" s="114"/>
      <c r="NP2" s="114"/>
      <c r="NQ2" s="114"/>
      <c r="NR2" s="88" t="s">
        <v>153</v>
      </c>
      <c r="NS2" s="88" t="s">
        <v>154</v>
      </c>
      <c r="NT2" s="88" t="s">
        <v>150</v>
      </c>
      <c r="NU2" s="88" t="s">
        <v>76</v>
      </c>
      <c r="NV2" s="88" t="s">
        <v>155</v>
      </c>
      <c r="NW2" s="88" t="s">
        <v>19</v>
      </c>
      <c r="NX2" s="109" t="s">
        <v>148</v>
      </c>
      <c r="NY2" s="109"/>
      <c r="NZ2" s="109"/>
      <c r="OA2" s="109"/>
      <c r="OB2" s="109" t="s">
        <v>149</v>
      </c>
      <c r="OC2" s="109"/>
      <c r="OD2" s="109"/>
      <c r="OE2" s="109"/>
      <c r="OF2" s="109" t="s">
        <v>150</v>
      </c>
      <c r="OG2" s="109"/>
      <c r="OH2" s="109"/>
      <c r="OI2" s="109"/>
      <c r="OJ2" s="109" t="s">
        <v>151</v>
      </c>
      <c r="OK2" s="109"/>
      <c r="OL2" s="109"/>
      <c r="OM2" s="109"/>
      <c r="ON2" s="113" t="s">
        <v>152</v>
      </c>
      <c r="OO2" s="113"/>
      <c r="OP2" s="113"/>
      <c r="OQ2" s="113"/>
      <c r="OR2" s="89" t="s">
        <v>153</v>
      </c>
      <c r="OS2" s="89" t="s">
        <v>154</v>
      </c>
      <c r="OT2" s="89" t="s">
        <v>150</v>
      </c>
      <c r="OU2" s="89" t="s">
        <v>76</v>
      </c>
      <c r="OV2" s="89" t="s">
        <v>155</v>
      </c>
      <c r="OW2" s="89" t="s">
        <v>19</v>
      </c>
      <c r="OX2" s="106" t="s">
        <v>148</v>
      </c>
      <c r="OY2" s="106"/>
      <c r="OZ2" s="106"/>
      <c r="PA2" s="106"/>
      <c r="PB2" s="106" t="s">
        <v>149</v>
      </c>
      <c r="PC2" s="106"/>
      <c r="PD2" s="106"/>
      <c r="PE2" s="106"/>
      <c r="PF2" s="106" t="s">
        <v>150</v>
      </c>
      <c r="PG2" s="106"/>
      <c r="PH2" s="106"/>
      <c r="PI2" s="106"/>
      <c r="PJ2" s="106" t="s">
        <v>151</v>
      </c>
      <c r="PK2" s="106"/>
      <c r="PL2" s="106"/>
      <c r="PM2" s="106"/>
      <c r="PN2" s="112" t="s">
        <v>152</v>
      </c>
      <c r="PO2" s="112"/>
      <c r="PP2" s="112"/>
      <c r="PQ2" s="112"/>
      <c r="PR2" s="57"/>
      <c r="PS2" s="88" t="s">
        <v>153</v>
      </c>
      <c r="PT2" s="88" t="s">
        <v>154</v>
      </c>
      <c r="PU2" s="88" t="s">
        <v>150</v>
      </c>
      <c r="PV2" s="88" t="s">
        <v>76</v>
      </c>
      <c r="PW2" s="88" t="s">
        <v>155</v>
      </c>
      <c r="PX2" s="88" t="s">
        <v>19</v>
      </c>
    </row>
    <row r="3" spans="1:440" x14ac:dyDescent="0.2">
      <c r="A3" s="102"/>
      <c r="B3" s="102"/>
      <c r="C3" s="102"/>
      <c r="D3" s="102"/>
      <c r="E3" s="102"/>
      <c r="F3" s="103"/>
      <c r="G3" s="103"/>
      <c r="H3" s="102"/>
      <c r="I3" s="103"/>
      <c r="J3" s="108"/>
      <c r="K3" s="104"/>
      <c r="L3" s="108"/>
      <c r="M3" s="104"/>
      <c r="N3" s="104"/>
      <c r="O3" s="104"/>
      <c r="P3" s="107"/>
      <c r="Q3" s="104"/>
      <c r="R3" s="104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167</v>
      </c>
      <c r="C4" s="7" t="s">
        <v>3</v>
      </c>
      <c r="D4" s="18">
        <v>1991</v>
      </c>
      <c r="E4" s="14">
        <f>SUM(J4:P4)+SUM(J4:N4)*0.0000001+SUM(J4)*0.0000000000001</f>
        <v>91.260009126004519</v>
      </c>
      <c r="F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G4" s="3" t="str">
        <f>IF(OR(AND(AO4&gt;=AS$14,AO4&lt;&gt;"",AM4=""),AND(AR4&gt;=AS$14,AR4&lt;&gt;"",AM4=""),AND(BP4&gt;=BT$14,BP4&lt;&gt;"",BN4=""),AND(BS4&gt;=BT$14,BS4&lt;&gt;"",BN4=""),AND(CQ4&gt;=CU$14,CQ4&lt;&gt;"",CO4=""),AND(CT4&gt;=CU$14,CT4&lt;&gt;"",CO4=""),AND(DS4&gt;=DW$14,DS4&lt;&gt;""),AND(DV4&gt;=DW$14,DV4&lt;&gt;""),AND(ES4&gt;=EW$14,ES4&lt;&gt;""),AND(EV4&gt;=EW$14,EV4&lt;&gt;""),AND(FS4&gt;=FW$14,FS4&lt;&gt;""),AND(FV4&gt;=FW$14,FV4&lt;&gt;""),AND(GS4&gt;=GW$14,GS4&lt;&gt;""),AND(GV4&gt;=GW$14,GV4&lt;&gt;""),AND(HS4&gt;=HW$14,HS4&lt;&gt;""),AND(HV4&gt;=HW$14,HV4&lt;&gt;""),AND(IS4&gt;=IW$14,IS4&lt;&gt;""),AND(IV4&gt;=IW$14,IV4&lt;&gt;""),AND(JS4&gt;=JW$14,JS4&lt;&gt;""),AND(JV4&gt;=JW$14,JV4&lt;&gt;""),AND(KS4&gt;=KW$14,KS4&lt;&gt;""),AND(KV4&gt;=KW$14,KV4&lt;&gt;""),AND(LS4&gt;=LW$14,LS4&lt;&gt;""),AND(LV4&gt;=LW$14,LV4&lt;&gt;""),AND(MS4&gt;=MW$14,MS4&lt;&gt;""),AND(MV4&gt;=MW$14,MV4&lt;&gt;""),AND(NS4&gt;=NW$14,NS4&lt;&gt;""),AND(NV4&gt;=NW$14,NV4&lt;&gt;""),AND(OS4&gt;=OW$14,OS4&lt;&gt;""),AND(OV4&gt;=OW$14,OV4&lt;&gt;"")),"P","")</f>
        <v>P</v>
      </c>
      <c r="H4" s="70" t="str">
        <f>IF(AND(G4="P",F4=""),"No DD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Merit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Excellence",IF(I4="P","Worlds Team",IF(F4="P","National Team","")))))</f>
        <v>Excellence</v>
      </c>
      <c r="I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8.85</v>
      </c>
      <c r="OY4" s="42">
        <f>IF($CO4="P",BV4,(BV4+AU4)/2)</f>
        <v>2.35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8.85</v>
      </c>
      <c r="PC4" s="42">
        <f>IF($CO4="P",BZ4,(BZ4+AY4)/2)</f>
        <v>2.35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9.0299999999999994</v>
      </c>
      <c r="PK4" s="42">
        <f>IF($CO4="P",CH4,(CH4+BG4)/2)</f>
        <v>2.35</v>
      </c>
      <c r="PL4" s="42">
        <f>IF($CO4="P",CI4,(CI4+BH4)/2)</f>
        <v>0</v>
      </c>
      <c r="PM4" s="42">
        <f>IF($CO4="P",CJ4,(CJ4+BI4)/2)</f>
        <v>0.15</v>
      </c>
      <c r="PN4" s="42">
        <f>IF($CO4="P",CK4,(CK4+BJ4)/2)</f>
        <v>8.9</v>
      </c>
      <c r="PO4" s="42">
        <f>IF($CO4="P",CL4,(CL4+BK4)/2)</f>
        <v>2.35</v>
      </c>
      <c r="PP4" s="42">
        <f>IF($CO4="P",CM4,(CM4+BL4)/2)</f>
        <v>0</v>
      </c>
      <c r="PQ4" s="42">
        <f>IF($CO4="P",CN4,(CN4+BM4)/2)</f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168</v>
      </c>
      <c r="C5" s="7" t="s">
        <v>3</v>
      </c>
      <c r="D5" s="18">
        <v>2004</v>
      </c>
      <c r="E5" s="14">
        <f>SUM(J5:P5)+SUM(J5:N5)*0.0000001+SUM(J5)*0.0000000000001</f>
        <v>88.100308794034419</v>
      </c>
      <c r="F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G5" s="3" t="str">
        <f>IF(OR(AND(AO5&gt;=AS$14,AO5&lt;&gt;"",AM5=""),AND(AR5&gt;=AS$14,AR5&lt;&gt;"",AM5=""),AND(BP5&gt;=BT$14,BP5&lt;&gt;"",BN5=""),AND(BS5&gt;=BT$14,BS5&lt;&gt;"",BN5=""),AND(CQ5&gt;=CU$14,CQ5&lt;&gt;"",CO5=""),AND(CT5&gt;=CU$14,CT5&lt;&gt;"",CO5=""),AND(DS5&gt;=DW$14,DS5&lt;&gt;""),AND(DV5&gt;=DW$14,DV5&lt;&gt;""),AND(ES5&gt;=EW$14,ES5&lt;&gt;""),AND(EV5&gt;=EW$14,EV5&lt;&gt;""),AND(FS5&gt;=FW$14,FS5&lt;&gt;""),AND(FV5&gt;=FW$14,FV5&lt;&gt;""),AND(GS5&gt;=GW$14,GS5&lt;&gt;""),AND(GV5&gt;=GW$14,GV5&lt;&gt;""),AND(HS5&gt;=HW$14,HS5&lt;&gt;""),AND(HV5&gt;=HW$14,HV5&lt;&gt;""),AND(IS5&gt;=IW$14,IS5&lt;&gt;""),AND(IV5&gt;=IW$14,IV5&lt;&gt;""),AND(JS5&gt;=JW$14,JS5&lt;&gt;""),AND(JV5&gt;=JW$14,JV5&lt;&gt;""),AND(KS5&gt;=KW$14,KS5&lt;&gt;""),AND(KV5&gt;=KW$14,KV5&lt;&gt;""),AND(LS5&gt;=LW$14,LS5&lt;&gt;""),AND(LV5&gt;=LW$14,LV5&lt;&gt;""),AND(MS5&gt;=MW$14,MS5&lt;&gt;""),AND(MV5&gt;=MW$14,MV5&lt;&gt;""),AND(NS5&gt;=NW$14,NS5&lt;&gt;""),AND(NV5&gt;=NW$14,NV5&lt;&gt;""),AND(OS5&gt;=OW$14,OS5&lt;&gt;""),AND(OV5&gt;=OW$14,OV5&lt;&gt;"")),"P","")</f>
        <v>P</v>
      </c>
      <c r="H5" s="70" t="str">
        <f>IF(AND(G5="P",F5=""),"No DD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Merit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Excellence",IF(I5="P","Worlds Team",IF(F5="P","National Team","")))))</f>
        <v>National Team</v>
      </c>
      <c r="I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0.16000000000000369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76" t="str">
        <f>IF(SUM(EY5,FC5)&gt;0,SUM(EY5,FC5),"")</f>
        <v/>
      </c>
      <c r="FS5" s="76" t="str">
        <f>IF(SUM(EX5:EY5,FA5:FC5,FE5)-EZ5-FD5&gt;0,SUM(EX5:EY5,FA5:FC5,FE5)-EZ5-FD5,"")</f>
        <v/>
      </c>
      <c r="FT5" s="76" t="str">
        <f>IF(SUM(FF5:FG5,FI5)-FH5&gt;0,SUM(FF5:FG5,FI5)-FH5,"")</f>
        <v/>
      </c>
      <c r="FU5" s="76" t="str">
        <f>IF(SUM(FK5,FO5)&gt;0,SUM(FK5,FO5),"")</f>
        <v/>
      </c>
      <c r="FV5" s="76" t="str">
        <f>IF(SUM(FJ5:FK5,FM5:FO5,FQ5)-SUM(FL5,FP5)&gt;0,SUM(FJ5:FK5,FM5:FO5,FQ5)-SUM(FL5,FP5),"")</f>
        <v/>
      </c>
      <c r="FW5" s="76" t="str">
        <f>IF(SUM(FS5,FV5)&gt;0,SUM(FS5,FV5),"")</f>
        <v/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9.1000499999999995</v>
      </c>
      <c r="OY5" s="42">
        <f>IF($CO5="P",BV5,(BV5+AU5)/2)</f>
        <v>1.8001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8.8000000000000007</v>
      </c>
      <c r="PC5" s="42">
        <f>IF($CO5="P",BZ5,(BZ5+AY5)/2)</f>
        <v>2.25</v>
      </c>
      <c r="PD5" s="42">
        <f>IF($CO5="P",CA5,(CA5+AZ5)/2)</f>
        <v>0</v>
      </c>
      <c r="PE5" s="42">
        <f>IF($CO5="P",CB5,(CB5+BA5)/2)</f>
        <v>0.15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8.9700000000000006</v>
      </c>
      <c r="PK5" s="42">
        <f>IF($CO5="P",CH5,(CH5+BG5)/2)</f>
        <v>1.8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8.6999999999999993</v>
      </c>
      <c r="PO5" s="42">
        <f>IF($CO5="P",CL5,(CL5+BK5)/2)</f>
        <v>2.25</v>
      </c>
      <c r="PP5" s="42">
        <f>IF($CO5="P",CM5,(CM5+BL5)/2)</f>
        <v>0</v>
      </c>
      <c r="PQ5" s="42">
        <f>IF($CO5="P",CN5,(CN5+BM5)/2)</f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84</v>
      </c>
      <c r="C6" s="7" t="s">
        <v>3</v>
      </c>
      <c r="D6" s="18">
        <v>2003</v>
      </c>
      <c r="E6" s="14">
        <f>SUM(J6:P6)+SUM(J6:N6)*0.0000001+SUM(J6)*0.0000000000001</f>
        <v>79.460207946023885</v>
      </c>
      <c r="F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G6" s="3" t="str">
        <f>IF(OR(AND(AO6&gt;=AS$14,AO6&lt;&gt;"",AM6=""),AND(AR6&gt;=AS$14,AR6&lt;&gt;"",AM6=""),AND(BP6&gt;=BT$14,BP6&lt;&gt;"",BN6=""),AND(BS6&gt;=BT$14,BS6&lt;&gt;"",BN6=""),AND(CQ6&gt;=CU$14,CQ6&lt;&gt;"",CO6=""),AND(CT6&gt;=CU$14,CT6&lt;&gt;"",CO6=""),AND(DS6&gt;=DW$14,DS6&lt;&gt;""),AND(DV6&gt;=DW$14,DV6&lt;&gt;""),AND(ES6&gt;=EW$14,ES6&lt;&gt;""),AND(EV6&gt;=EW$14,EV6&lt;&gt;""),AND(FS6&gt;=FW$14,FS6&lt;&gt;""),AND(FV6&gt;=FW$14,FV6&lt;&gt;""),AND(GS6&gt;=GW$14,GS6&lt;&gt;""),AND(GV6&gt;=GW$14,GV6&lt;&gt;""),AND(HS6&gt;=HW$14,HS6&lt;&gt;""),AND(HV6&gt;=HW$14,HV6&lt;&gt;""),AND(IS6&gt;=IW$14,IS6&lt;&gt;""),AND(IV6&gt;=IW$14,IV6&lt;&gt;""),AND(JS6&gt;=JW$14,JS6&lt;&gt;""),AND(JV6&gt;=JW$14,JV6&lt;&gt;""),AND(KS6&gt;=KW$14,KS6&lt;&gt;""),AND(KV6&gt;=KW$14,KV6&lt;&gt;""),AND(LS6&gt;=LW$14,LS6&lt;&gt;""),AND(LV6&gt;=LW$14,LV6&lt;&gt;""),AND(MS6&gt;=MW$14,MS6&lt;&gt;""),AND(MV6&gt;=MW$14,MV6&lt;&gt;""),AND(NS6&gt;=NW$14,NS6&lt;&gt;""),AND(NV6&gt;=NW$14,NV6&lt;&gt;""),AND(OS6&gt;=OW$14,OS6&lt;&gt;""),AND(OV6&gt;=OW$14,OV6&lt;&gt;"")),"P","")</f>
        <v/>
      </c>
      <c r="H6" s="70" t="str">
        <f>IF(AND(G6="P",F6=""),"No DD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Merit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Excellence",IF(I6="P","Worlds Team",IF(F6="P","National Team","")))))</f>
        <v/>
      </c>
      <c r="I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/>
      </c>
      <c r="J6" s="13">
        <f>IF(COUNT(AO6,BP6,CQ6)&gt;0,LARGE((AO6,BP6,CQ6),1),0)</f>
        <v>38.9</v>
      </c>
      <c r="K6" s="13" t="str">
        <f>IF(J6=0,"",IF(J6=CQ6,$BU$1,IF(J6=BP6,$AT$1,IF(J6=AO6,$S$1,""))))</f>
        <v>2022 Elite Canada</v>
      </c>
      <c r="L6" s="13">
        <f>IF(COUNT(AO6,BP6,CQ6)&gt;1,LARGE((AO6,BP6,CQ6),2),0)</f>
        <v>2.0000000000000001E-4</v>
      </c>
      <c r="M6" s="13" t="str">
        <f>IF(L6=0,"",IF(L6=CQ6,$BU$1,IF(L6=BP6,$AT$1,IF(L6=AO6,$S$1,""))))</f>
        <v>2021 Canadian Championships</v>
      </c>
      <c r="N6" s="13">
        <f>IF(MAX(AR6,BS6,CT6)&gt;0,MAX(AR6,BS6,CT6),0)</f>
        <v>40.559999999999995</v>
      </c>
      <c r="O6" s="13" t="str">
        <f>IF(N6=0,"",IF(N6=CT6,$BU$1,IF(N6=BS6,$AT$1,IF(N6=AR6,$S$1,""))))</f>
        <v>2022 Elite Canada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>
        <v>2.0000000000000001E-4</v>
      </c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>
        <f>IF(SUM(AU6,AY6)&gt;0,SUM(AU6,AY6),"")</f>
        <v>2.0000000000000001E-4</v>
      </c>
      <c r="BP6" s="16">
        <f>IF(SUM(AT6:AU6,AW6:AY6,BA6)-AV6-AZ6&gt;0,SUM(AT6:AU6,AW6:AY6,BA6)-AV6-AZ6,"")</f>
        <v>2.0000000000000001E-4</v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>
        <f>IF(SUM(BP6,BS6)&gt;0,SUM(BP6,BS6),"")</f>
        <v>2.0000000000000001E-4</v>
      </c>
      <c r="BU6" s="27">
        <v>16.600000000000001</v>
      </c>
      <c r="BV6" s="27">
        <v>3.9</v>
      </c>
      <c r="BW6" s="27">
        <v>0</v>
      </c>
      <c r="BX6" s="27">
        <v>0.3</v>
      </c>
      <c r="BY6" s="27">
        <v>15.9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15.1</v>
      </c>
      <c r="CH6" s="27">
        <v>4.0999999999999996</v>
      </c>
      <c r="CI6" s="27">
        <v>0.2</v>
      </c>
      <c r="CJ6" s="27">
        <v>0.3</v>
      </c>
      <c r="CK6" s="27">
        <v>16.46</v>
      </c>
      <c r="CL6" s="27">
        <v>4.5</v>
      </c>
      <c r="CM6" s="27">
        <v>0</v>
      </c>
      <c r="CN6" s="27">
        <v>0.3</v>
      </c>
      <c r="CO6" s="51"/>
      <c r="CP6" s="76">
        <f>IF(SUM(BV6,BZ6)&gt;0,SUM(BV6,BZ6),"")</f>
        <v>5.8</v>
      </c>
      <c r="CQ6" s="76">
        <f>IF(SUM(BU6:BV6,BX6:BZ6,CB6)-BW6-CA6&gt;0,SUM(BU6:BV6,BX6:BZ6,CB6)-BW6-CA6,"")</f>
        <v>38.9</v>
      </c>
      <c r="CR6" s="76" t="str">
        <f>IF(SUM(CC6:CD6,CF6)-CE6&gt;0,SUM(CC6:CD6,CF6)-CE6,"")</f>
        <v/>
      </c>
      <c r="CS6" s="76">
        <f>IF(SUM(CH6,CL6)&gt;0,SUM(CH6,CL6),"")</f>
        <v>8.6</v>
      </c>
      <c r="CT6" s="76">
        <f>IF(SUM(CG6:CH6,CJ6:CL6,CN6)-SUM(CI6,CM6)&gt;0,SUM(CG6:CH6,CJ6:CL6,CN6)-SUM(CI6,CM6),"")</f>
        <v>40.559999999999995</v>
      </c>
      <c r="CU6" s="76">
        <f>IF(SUM(CQ6,CT6)&gt;0,SUM(CQ6,CT6),"")</f>
        <v>79.459999999999994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>IF(SUM(DY6,EC6)&gt;0,SUM(DY6,EC6),"")</f>
        <v>3.3</v>
      </c>
      <c r="ES6" s="16">
        <f>IF(SUM(DX6:DY6,EA6:EC6,EE6)-DZ6-ED6&gt;0,SUM(DX6:DY6,EA6:EC6,EE6)-DZ6-ED6,"")</f>
        <v>29.1</v>
      </c>
      <c r="ET6" s="16" t="str">
        <f>IF(SUM(EF6:EG6,EI6)-EH6&gt;0,SUM(EF6:EG6,EI6)-EH6,"")</f>
        <v/>
      </c>
      <c r="EU6" s="16">
        <f>IF(SUM(EK6,EO6)&gt;0,SUM(EK6,EO6),"")</f>
        <v>1.7</v>
      </c>
      <c r="EV6" s="16">
        <f>IF(SUM(EJ6:EK6,EM6:EO6,EQ6)-SUM(EL6,EP6)&gt;0,SUM(EJ6:EK6,EM6:EO6,EQ6)-SUM(EL6,EP6),"")</f>
        <v>15.999999999999998</v>
      </c>
      <c r="EW6" s="16">
        <f>IF(SUM(ES6,EV6)&gt;0,SUM(ES6,EV6),"")</f>
        <v>45.1</v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8.3000000000000007</v>
      </c>
      <c r="OY6" s="42">
        <f>IF($CO6="P",BV6,(BV6+AU6)/2)</f>
        <v>1.9500999999999999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7.95</v>
      </c>
      <c r="PC6" s="42">
        <f>IF($CO6="P",BZ6,(BZ6+AY6)/2)</f>
        <v>0.95</v>
      </c>
      <c r="PD6" s="42">
        <f>IF($CO6="P",CA6,(CA6+AZ6)/2)</f>
        <v>0</v>
      </c>
      <c r="PE6" s="42">
        <f>IF($CO6="P",CB6,(CB6+BA6)/2)</f>
        <v>0.15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7.55</v>
      </c>
      <c r="PK6" s="42">
        <f>IF($CO6="P",CH6,(CH6+BG6)/2)</f>
        <v>2.0499999999999998</v>
      </c>
      <c r="PL6" s="42">
        <f>IF($CO6="P",CI6,(CI6+BH6)/2)</f>
        <v>0.1</v>
      </c>
      <c r="PM6" s="42">
        <f>IF($CO6="P",CJ6,(CJ6+BI6)/2)</f>
        <v>0.15</v>
      </c>
      <c r="PN6" s="42">
        <f>IF($CO6="P",CK6,(CK6+BJ6)/2)</f>
        <v>8.23</v>
      </c>
      <c r="PO6" s="42">
        <f>IF($CO6="P",CL6,(CL6+BK6)/2)</f>
        <v>2.25</v>
      </c>
      <c r="PP6" s="42">
        <f>IF($CO6="P",CM6,(CM6+BL6)/2)</f>
        <v>0</v>
      </c>
      <c r="PQ6" s="42">
        <f>IF($CO6="P",CN6,(CN6+BM6)/2)</f>
        <v>0.15</v>
      </c>
      <c r="PR6" s="51" t="s">
        <v>61</v>
      </c>
      <c r="PS6" s="76">
        <f>IF(SUM(OY6,PC6)&gt;0,SUM(OY6,PC6),"")</f>
        <v>2.9001000000000001</v>
      </c>
      <c r="PT6" s="76">
        <f>IF(SUM(OX6:OY6,PA6:PC6,PE6)-OZ6-PD6&gt;0,SUM(OX6:OY6,PA6:PC6,PE6)-OZ6-PD6,"")</f>
        <v>19.450099999999999</v>
      </c>
      <c r="PU6" s="76" t="str">
        <f>IF(SUM(PF6:PG6,PI6)-PH6&gt;0,SUM(PF6:PG6,PI6)-PH6,"")</f>
        <v/>
      </c>
      <c r="PV6" s="76">
        <f>IF(SUM(PK6,PO6)&gt;0,SUM(PK6,PO6),"")</f>
        <v>4.3</v>
      </c>
      <c r="PW6" s="76">
        <f>IF(SUM(PJ6:PK6,PM6:PO6,PQ6)-SUM(PL6,PP6)&gt;0,SUM(PJ6:PK6,PM6:PO6,PQ6)-SUM(PL6,PP6),"")</f>
        <v>20.279999999999998</v>
      </c>
      <c r="PX6" s="76">
        <f>IF(SUM(PT6,PW6)&gt;0,SUM(PT6,PW6),"")</f>
        <v>39.730099999999993</v>
      </c>
    </row>
    <row r="7" spans="1:440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112</v>
      </c>
      <c r="C7" s="7" t="s">
        <v>3</v>
      </c>
      <c r="D7" s="18">
        <v>2003</v>
      </c>
      <c r="E7" s="14">
        <f>SUM(J7:P7)+SUM(J7:N7)*0.0000001+SUM(J7)*0.0000000000001</f>
        <v>4.0000004000002003E-4</v>
      </c>
      <c r="F7" s="3" t="str">
        <f>IF(OR(AND(AN7&gt;=AS$10,AO7&gt;=AS$14,AN7&lt;&gt;"",AM7=""),AND(AQ7&gt;=AS$10,AR7&gt;=AS$14,AQ7&lt;&gt;"",AM7=""),AND(BO7&gt;=BT$10,BP7&gt;=BT$14,BO7&lt;&gt;"",BN7=""),AND(BR7&gt;=BT$10,BS7&gt;=BT$14,BR7&lt;&gt;"",BN7=""),AND(CP7&gt;=CU$10,CQ7&gt;=CU$14,CP7&lt;&gt;"",CO7=""),AND(CS7&gt;=CU$10,CT7&gt;=CU$14,CS7&lt;&gt;""),AND(DR7&gt;=DW$10,DS7&gt;=DW$14,DR7&lt;&gt;""),AND(DU7&gt;=DW$10,DV7&gt;=DW$14,DU7&lt;&gt;""),AND(ER7&gt;=EW$10,ES7&gt;=EW$14,ER7&lt;&gt;""),AND(EU7&gt;=EW$10,EV7&gt;=EW$14,EU7&lt;&gt;""),AND(FR7&gt;=FW$10,FS7&gt;=FW$14,FR7&lt;&gt;""),AND(FU7&gt;=FW$10,FV7&gt;=FW$14,FU7&lt;&gt;""),AND(GR7&gt;=GW$10,GS7&gt;=GW$14,GR7&lt;&gt;""),AND(GU7&gt;=GW$10,GV7&gt;=GW$14,GU7&lt;&gt;""),AND(HR7&gt;=HW$10,HS7&gt;=HW$14,HR7&lt;&gt;""),AND(HU7&gt;=HW$10,HV7&gt;=HW$14,HU7&lt;&gt;""),AND(IR7&gt;=IW$10,IS7&gt;=IW$14,IR7&lt;&gt;""),AND(IU7&gt;=IW$10,IV7&gt;=IW$14,IU7&lt;&gt;""),AND(JR7&gt;=JW$10,JS7&gt;=JW$14,JR7&lt;&gt;""),AND(JU7&gt;=JW$10,JV7&gt;=JW$14,JU7&lt;&gt;""),AND(KR7&gt;=KW$10,KS7&gt;=KW$14,KR7&lt;&gt;""),AND(KU7&gt;=KW$10,KV7&gt;=KW$14,KU7&lt;&gt;""),AND(LR7&gt;=LW$10,LS7&gt;=LW$14,LR7&lt;&gt;""),AND(LU7&gt;=LW$10,LV7&gt;=LW$14,LU7&lt;&gt;""),AND(MR7&gt;=MW$10,MS7&gt;=MW$14,MR7&lt;&gt;""),AND(MU7&gt;=MW$10,MV7&gt;=MW$14,MU7&lt;&gt;""),AND(NR7&gt;=NW$10,NS7&gt;=NW$14,NR7&lt;&gt;""),AND(NU7&gt;=NW$10,NV7&gt;=NW$14,NU7&lt;&gt;""),AND(OR7&gt;=OW$10,OS7&gt;=OW$14,OR7&lt;&gt;""),AND(OU7&gt;=OW$10,OV7&gt;=OW$14,OU7&lt;&gt;"")),"P","")</f>
        <v/>
      </c>
      <c r="G7" s="3" t="str">
        <f>IF(OR(AND(AO7&gt;=AS$14,AO7&lt;&gt;"",AM7=""),AND(AR7&gt;=AS$14,AR7&lt;&gt;"",AM7=""),AND(BP7&gt;=BT$14,BP7&lt;&gt;"",BN7=""),AND(BS7&gt;=BT$14,BS7&lt;&gt;"",BN7=""),AND(CQ7&gt;=CU$14,CQ7&lt;&gt;"",CO7=""),AND(CT7&gt;=CU$14,CT7&lt;&gt;"",CO7=""),AND(DS7&gt;=DW$14,DS7&lt;&gt;""),AND(DV7&gt;=DW$14,DV7&lt;&gt;""),AND(ES7&gt;=EW$14,ES7&lt;&gt;""),AND(EV7&gt;=EW$14,EV7&lt;&gt;""),AND(FS7&gt;=FW$14,FS7&lt;&gt;""),AND(FV7&gt;=FW$14,FV7&lt;&gt;""),AND(GS7&gt;=GW$14,GS7&lt;&gt;""),AND(GV7&gt;=GW$14,GV7&lt;&gt;""),AND(HS7&gt;=HW$14,HS7&lt;&gt;""),AND(HV7&gt;=HW$14,HV7&lt;&gt;""),AND(IS7&gt;=IW$14,IS7&lt;&gt;""),AND(IV7&gt;=IW$14,IV7&lt;&gt;""),AND(JS7&gt;=JW$14,JS7&lt;&gt;""),AND(JV7&gt;=JW$14,JV7&lt;&gt;""),AND(KS7&gt;=KW$14,KS7&lt;&gt;""),AND(KV7&gt;=KW$14,KV7&lt;&gt;""),AND(LS7&gt;=LW$14,LS7&lt;&gt;""),AND(LV7&gt;=LW$14,LV7&lt;&gt;""),AND(MS7&gt;=MW$14,MS7&lt;&gt;""),AND(MV7&gt;=MW$14,MV7&lt;&gt;""),AND(NS7&gt;=NW$14,NS7&lt;&gt;""),AND(NV7&gt;=NW$14,NV7&lt;&gt;""),AND(OS7&gt;=OW$14,OS7&lt;&gt;""),AND(OV7&gt;=OW$14,OV7&lt;&gt;"")),"P","")</f>
        <v/>
      </c>
      <c r="H7" s="70" t="str">
        <f>IF(AND(G7="P",F7=""),"No DD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Merit",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Excellence",IF(I7="P","Worlds Team",IF(F7="P","National Team","")))))</f>
        <v/>
      </c>
      <c r="I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J7" s="13">
        <f>IF(COUNT(AO7,BP7,CQ7)&gt;0,LARGE((AO7,BP7,CQ7),1),0)</f>
        <v>2.0000000000000001E-4</v>
      </c>
      <c r="K7" s="13" t="str">
        <f>IF(J7=0,"",IF(J7=CQ7,$BU$1,IF(J7=BP7,$AT$1,IF(J7=AO7,$S$1,""))))</f>
        <v>2021 Canadian Championships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0</v>
      </c>
      <c r="O7" s="13" t="str">
        <f>IF(N7=0,"",IF(N7=CT7,$BU$1,IF(N7=BS7,$AT$1,IF(N7=AR7,$S$1,""))))</f>
        <v/>
      </c>
      <c r="P7" s="13" t="str">
        <f>IF(MAX(CV7:CW7)&gt;0,MAX(CV7:CW7),"")</f>
        <v/>
      </c>
      <c r="Q7" s="16" t="str">
        <f>IF(P7="","",IF(P7=CV7,"("&amp;CV$2&amp;")",IF(P7=CW7,"("&amp;CW$2&amp;")")))</f>
        <v/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/>
      </c>
      <c r="S7" s="27"/>
      <c r="T7" s="27">
        <v>2.0000000000000001E-4</v>
      </c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>
        <f>IF(SUM(T7,X7)&gt;0,SUM(T7,X7),"")</f>
        <v>2.0000000000000001E-4</v>
      </c>
      <c r="AO7" s="76">
        <f>IF(SUM(S7:T7,V7:X7,Z7)-U7-Y7&gt;0,SUM(S7:T7,V7:X7,Z7)-U7-Y7,"")</f>
        <v>2.0000000000000001E-4</v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>
        <f>IF(SUM(AO7,AR7)&gt;0,SUM(AO7,AR7),"")</f>
        <v>2.0000000000000001E-4</v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>IF(SUM(BV7,BZ7)&gt;0,SUM(BV7,BZ7),"")</f>
        <v/>
      </c>
      <c r="CQ7" s="76" t="str">
        <f>IF(SUM(BU7:BV7,BX7:BZ7,CB7)-BW7-CA7&gt;0,SUM(BU7:BV7,BX7:BZ7,CB7)-BW7-CA7,"")</f>
        <v/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 t="str">
        <f>IF(SUM(CQ7,CT7)&gt;0,SUM(CQ7,CT7),"")</f>
        <v/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>
        <v>2.0000000000000001E-4</v>
      </c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>
        <f>IF(SUM(CY7,DC7)&gt;0,SUM(CY7,DC7),"")</f>
        <v>2.0000000000000001E-4</v>
      </c>
      <c r="DS7" s="76">
        <f>IF(SUM(CX7:CY7,DA7:DC7,DE7)-CZ7-DD7&gt;0,SUM(CX7:CY7,DA7:DC7,DE7)-CZ7-DD7,"")</f>
        <v>2.0000000000000001E-4</v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>
        <f>IF(SUM(DS7,DV7)&gt;0,SUM(DS7,DV7),"")</f>
        <v>2.0000000000000001E-4</v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0</v>
      </c>
      <c r="OY7" s="42">
        <f>IF($CO7="P",BV7,(BV7+AU7)/2)</f>
        <v>1E-4</v>
      </c>
      <c r="OZ7" s="42">
        <f>IF($CO7="P",BW7,(BW7+AV7)/2)</f>
        <v>0</v>
      </c>
      <c r="PA7" s="42">
        <f>IF($CO7="P",BX7,(BX7+AW7)/2)</f>
        <v>0</v>
      </c>
      <c r="PB7" s="42">
        <f>IF($CO7="P",BY7,(BY7+AX7)/2)</f>
        <v>0</v>
      </c>
      <c r="PC7" s="42">
        <f>IF($CO7="P",BZ7,(BZ7+AY7)/2)</f>
        <v>0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0</v>
      </c>
      <c r="PK7" s="42">
        <f>IF($CO7="P",CH7,(CH7+BG7)/2)</f>
        <v>0</v>
      </c>
      <c r="PL7" s="42">
        <f>IF($CO7="P",CI7,(CI7+BH7)/2)</f>
        <v>0</v>
      </c>
      <c r="PM7" s="42">
        <f>IF($CO7="P",CJ7,(CJ7+BI7)/2)</f>
        <v>0</v>
      </c>
      <c r="PN7" s="42">
        <f>IF($CO7="P",CK7,(CK7+BJ7)/2)</f>
        <v>0</v>
      </c>
      <c r="PO7" s="42">
        <f>IF($CO7="P",CL7,(CL7+BK7)/2)</f>
        <v>0</v>
      </c>
      <c r="PP7" s="42">
        <f>IF($CO7="P",CM7,(CM7+BL7)/2)</f>
        <v>0</v>
      </c>
      <c r="PQ7" s="42">
        <f>IF($CO7="P",CN7,(CN7+BM7)/2)</f>
        <v>0</v>
      </c>
      <c r="PR7" s="51" t="s">
        <v>61</v>
      </c>
      <c r="PS7" s="76">
        <f>IF(SUM(OY7,PC7)&gt;0,SUM(OY7,PC7),"")</f>
        <v>1E-4</v>
      </c>
      <c r="PT7" s="76">
        <f>IF(SUM(OX7:OY7,PA7:PC7,PE7)-OZ7-PD7&gt;0,SUM(OX7:OY7,PA7:PC7,PE7)-OZ7-PD7,"")</f>
        <v>1E-4</v>
      </c>
      <c r="PU7" s="76" t="str">
        <f>IF(SUM(PF7:PG7,PI7)-PH7&gt;0,SUM(PF7:PG7,PI7)-PH7,"")</f>
        <v/>
      </c>
      <c r="PV7" s="76" t="str">
        <f>IF(SUM(PK7,PO7)&gt;0,SUM(PK7,PO7),"")</f>
        <v/>
      </c>
      <c r="PW7" s="76" t="str">
        <f>IF(SUM(PJ7:PK7,PM7:PO7,PQ7)-SUM(PL7,PP7)&gt;0,SUM(PJ7:PK7,PM7:PO7,PQ7)-SUM(PL7,PP7),"")</f>
        <v/>
      </c>
      <c r="PX7" s="76">
        <f>IF(SUM(PT7,PW7)&gt;0,SUM(PT7,PW7),"")</f>
        <v>1E-4</v>
      </c>
    </row>
    <row r="8" spans="1:440" ht="17" x14ac:dyDescent="0.2">
      <c r="P8" s="15"/>
      <c r="Q8" s="15"/>
      <c r="R8" s="15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</row>
    <row r="9" spans="1:440" ht="17" x14ac:dyDescent="0.2">
      <c r="P9" s="15"/>
      <c r="Q9" s="15"/>
      <c r="R9" s="15"/>
    </row>
    <row r="10" spans="1:440" ht="17" x14ac:dyDescent="0.2">
      <c r="B10" s="43" t="s">
        <v>58</v>
      </c>
      <c r="P10" s="15"/>
      <c r="Q10" s="15"/>
      <c r="R10" s="15"/>
      <c r="AN10" s="7"/>
      <c r="AS10" s="78">
        <v>2.0000000000000001E-4</v>
      </c>
      <c r="BO10" s="7"/>
      <c r="BT10" s="78">
        <v>2.0000000000000001E-4</v>
      </c>
      <c r="CP10" s="7"/>
      <c r="CU10" s="78">
        <v>8.6</v>
      </c>
      <c r="DR10" s="7"/>
      <c r="DW10" s="78">
        <v>1E-4</v>
      </c>
      <c r="ER10" s="7"/>
      <c r="EW10" s="78">
        <v>8.6</v>
      </c>
      <c r="FR10" s="7"/>
      <c r="FW10" s="78">
        <v>8.6</v>
      </c>
      <c r="GR10" s="7"/>
      <c r="GW10" s="78">
        <v>8.6</v>
      </c>
      <c r="HR10" s="7"/>
      <c r="HW10" s="78">
        <v>8.6</v>
      </c>
      <c r="IR10" s="7"/>
      <c r="IW10" s="78">
        <v>8.6</v>
      </c>
      <c r="JR10" s="7"/>
      <c r="JW10" s="78">
        <v>8.6</v>
      </c>
      <c r="KR10" s="7"/>
      <c r="KW10" s="78">
        <v>8.6</v>
      </c>
      <c r="LR10" s="7"/>
      <c r="LW10" s="78">
        <v>8.6</v>
      </c>
      <c r="MR10" s="7"/>
      <c r="MW10" s="78">
        <v>8.6</v>
      </c>
      <c r="NR10" s="7"/>
      <c r="NW10" s="78">
        <v>8.6</v>
      </c>
      <c r="OR10" s="7"/>
      <c r="OW10" s="78">
        <v>8.6</v>
      </c>
    </row>
    <row r="11" spans="1:440" ht="17" x14ac:dyDescent="0.2">
      <c r="B11" s="54" t="s">
        <v>57</v>
      </c>
      <c r="P11" s="15"/>
      <c r="Q11" s="15"/>
      <c r="R11" s="15"/>
      <c r="AN11" s="7"/>
      <c r="AS11" s="93">
        <v>2.0000000000000001E-4</v>
      </c>
      <c r="BO11" s="7"/>
      <c r="BT11" s="93">
        <v>2.0000000000000001E-4</v>
      </c>
      <c r="CP11" s="7"/>
      <c r="CU11" s="93">
        <v>8.6</v>
      </c>
      <c r="DR11" s="7"/>
      <c r="DW11" s="93">
        <v>2.0000000000000001E-4</v>
      </c>
      <c r="ER11" s="7"/>
      <c r="EW11" s="93">
        <v>8.6</v>
      </c>
      <c r="FR11" s="7"/>
      <c r="FW11" s="93">
        <v>8.6</v>
      </c>
      <c r="GR11" s="7"/>
      <c r="GW11" s="93">
        <v>8.6</v>
      </c>
      <c r="HR11" s="7"/>
      <c r="HW11" s="93">
        <v>8.6</v>
      </c>
      <c r="IR11" s="7"/>
      <c r="IW11" s="93">
        <v>8.6</v>
      </c>
      <c r="JR11" s="7"/>
      <c r="JW11" s="93">
        <v>8.6</v>
      </c>
      <c r="KR11" s="7"/>
      <c r="KW11" s="93">
        <v>8.6</v>
      </c>
      <c r="LR11" s="7"/>
      <c r="LW11" s="93">
        <v>8.6</v>
      </c>
      <c r="MR11" s="7"/>
      <c r="MW11" s="93">
        <v>8.6</v>
      </c>
      <c r="NR11" s="7"/>
      <c r="NW11" s="93">
        <v>8.6</v>
      </c>
      <c r="OR11" s="7"/>
      <c r="OW11" s="93">
        <v>8.6</v>
      </c>
    </row>
    <row r="12" spans="1:440" ht="17" x14ac:dyDescent="0.2">
      <c r="A12" s="35"/>
      <c r="B12" s="55" t="s">
        <v>71</v>
      </c>
      <c r="C12" s="34"/>
      <c r="P12" s="15"/>
      <c r="Q12" s="15"/>
      <c r="R12" s="15"/>
      <c r="AN12" s="7"/>
      <c r="AS12" s="80">
        <v>2.9999999999999997E-4</v>
      </c>
      <c r="BO12" s="7"/>
      <c r="BT12" s="80">
        <v>2.9999999999999997E-4</v>
      </c>
      <c r="CP12" s="7"/>
      <c r="CU12" s="80">
        <v>8.6</v>
      </c>
      <c r="DR12" s="7"/>
      <c r="DW12" s="80">
        <v>2.9999999999999997E-4</v>
      </c>
      <c r="ER12" s="7"/>
      <c r="EW12" s="80">
        <v>8.6</v>
      </c>
      <c r="FR12" s="7"/>
      <c r="FW12" s="80">
        <v>8.6</v>
      </c>
      <c r="GR12" s="7"/>
      <c r="GW12" s="80">
        <v>8.6</v>
      </c>
      <c r="HR12" s="7"/>
      <c r="HW12" s="80">
        <v>8.6</v>
      </c>
      <c r="IR12" s="7"/>
      <c r="IW12" s="80">
        <v>8.6</v>
      </c>
      <c r="JR12" s="7"/>
      <c r="JW12" s="80">
        <v>8.6</v>
      </c>
      <c r="KR12" s="7"/>
      <c r="KW12" s="80">
        <v>8.6</v>
      </c>
      <c r="LR12" s="7"/>
      <c r="LW12" s="80">
        <v>8.6</v>
      </c>
      <c r="MR12" s="7"/>
      <c r="MW12" s="80">
        <v>8.6</v>
      </c>
      <c r="NR12" s="7"/>
      <c r="NW12" s="80">
        <v>8.6</v>
      </c>
      <c r="OR12" s="7"/>
      <c r="OW12" s="80">
        <v>8.6</v>
      </c>
    </row>
    <row r="13" spans="1:440" ht="17" x14ac:dyDescent="0.2">
      <c r="A13" s="35"/>
      <c r="B13" s="66" t="s">
        <v>86</v>
      </c>
      <c r="C13" s="34"/>
      <c r="P13" s="15"/>
      <c r="Q13" s="15"/>
      <c r="R13" s="15"/>
      <c r="AN13" s="7"/>
      <c r="AS13" s="81">
        <v>2.9999999999999997E-4</v>
      </c>
      <c r="BO13" s="7"/>
      <c r="BT13" s="81">
        <v>2.9999999999999997E-4</v>
      </c>
      <c r="CP13" s="7"/>
      <c r="CU13" s="81">
        <v>10.6</v>
      </c>
      <c r="DR13" s="7"/>
      <c r="DW13" s="81">
        <v>2.9999999999999997E-4</v>
      </c>
      <c r="ER13" s="7"/>
      <c r="EW13" s="81">
        <v>10.6</v>
      </c>
      <c r="FR13" s="7"/>
      <c r="FW13" s="81">
        <v>10.6</v>
      </c>
      <c r="GR13" s="7"/>
      <c r="GW13" s="81">
        <v>10.6</v>
      </c>
      <c r="HR13" s="7"/>
      <c r="HW13" s="81">
        <v>10.6</v>
      </c>
      <c r="IR13" s="7"/>
      <c r="IW13" s="81">
        <v>10.6</v>
      </c>
      <c r="JR13" s="7"/>
      <c r="JW13" s="81">
        <v>10.6</v>
      </c>
      <c r="KR13" s="7"/>
      <c r="KW13" s="81">
        <v>10.6</v>
      </c>
      <c r="LR13" s="7"/>
      <c r="LW13" s="81">
        <v>10.6</v>
      </c>
      <c r="MR13" s="7"/>
      <c r="MW13" s="81">
        <v>10.6</v>
      </c>
      <c r="NR13" s="7"/>
      <c r="NW13" s="81">
        <v>10.6</v>
      </c>
      <c r="OR13" s="7"/>
      <c r="OW13" s="81">
        <v>10.6</v>
      </c>
    </row>
    <row r="14" spans="1:440" ht="17" x14ac:dyDescent="0.2">
      <c r="A14" s="35"/>
      <c r="B14" s="65" t="s">
        <v>55</v>
      </c>
      <c r="C14" s="34"/>
      <c r="P14" s="15"/>
      <c r="Q14" s="15"/>
      <c r="R14" s="15"/>
      <c r="AN14" s="7"/>
      <c r="AS14" s="82">
        <v>4.0000000000000002E-4</v>
      </c>
      <c r="BO14" s="7"/>
      <c r="BT14" s="82">
        <v>2.9999999999999997E-4</v>
      </c>
      <c r="CP14" s="7"/>
      <c r="CU14" s="82">
        <v>42.6</v>
      </c>
      <c r="DR14" s="7"/>
      <c r="DW14" s="82">
        <v>4.0000000000000002E-4</v>
      </c>
      <c r="ER14" s="7"/>
      <c r="EW14" s="82">
        <v>42.6</v>
      </c>
      <c r="FR14" s="7"/>
      <c r="FW14" s="82">
        <v>42.6</v>
      </c>
      <c r="GR14" s="7"/>
      <c r="GW14" s="82">
        <v>42.6</v>
      </c>
      <c r="HR14" s="7"/>
      <c r="HW14" s="82">
        <v>42.6</v>
      </c>
      <c r="IR14" s="7"/>
      <c r="IW14" s="82">
        <v>42.6</v>
      </c>
      <c r="JR14" s="7"/>
      <c r="JW14" s="82">
        <v>42.6</v>
      </c>
      <c r="KR14" s="7"/>
      <c r="KW14" s="82">
        <v>42.6</v>
      </c>
      <c r="LR14" s="7"/>
      <c r="LW14" s="82">
        <v>42.6</v>
      </c>
      <c r="MR14" s="7"/>
      <c r="MW14" s="82">
        <v>42.6</v>
      </c>
      <c r="NR14" s="7"/>
      <c r="NW14" s="82">
        <v>42.6</v>
      </c>
      <c r="OR14" s="7"/>
      <c r="OW14" s="82">
        <v>42.6</v>
      </c>
    </row>
    <row r="15" spans="1:440" ht="17" x14ac:dyDescent="0.2">
      <c r="A15" s="35"/>
      <c r="B15" s="44" t="s">
        <v>56</v>
      </c>
      <c r="C15" s="34"/>
      <c r="P15" s="15"/>
      <c r="Q15" s="15"/>
      <c r="R15" s="15"/>
      <c r="AN15" s="7"/>
      <c r="AS15" s="83">
        <v>4.0000000000000002E-4</v>
      </c>
      <c r="BO15" s="7"/>
      <c r="BT15" s="83">
        <v>4.0000000000000002E-4</v>
      </c>
      <c r="CP15" s="7"/>
      <c r="CU15" s="83">
        <v>43.4</v>
      </c>
      <c r="DR15" s="7"/>
      <c r="DW15" s="83">
        <v>4.0000000000000002E-4</v>
      </c>
      <c r="ER15" s="7"/>
      <c r="EW15" s="83">
        <v>43.4</v>
      </c>
      <c r="FR15" s="7"/>
      <c r="FW15" s="83">
        <v>43.4</v>
      </c>
      <c r="GR15" s="7"/>
      <c r="GW15" s="83">
        <v>43.4</v>
      </c>
      <c r="HR15" s="7"/>
      <c r="HW15" s="83">
        <v>43.4</v>
      </c>
      <c r="IR15" s="7"/>
      <c r="IW15" s="83">
        <v>43.4</v>
      </c>
      <c r="JR15" s="7"/>
      <c r="JW15" s="83">
        <v>43.4</v>
      </c>
      <c r="KR15" s="7"/>
      <c r="KW15" s="83">
        <v>43.4</v>
      </c>
      <c r="LR15" s="7"/>
      <c r="LW15" s="83">
        <v>43.4</v>
      </c>
      <c r="MR15" s="7"/>
      <c r="MW15" s="83">
        <v>43.4</v>
      </c>
      <c r="NR15" s="7"/>
      <c r="NW15" s="83">
        <v>43.4</v>
      </c>
      <c r="OR15" s="7"/>
      <c r="OW15" s="83">
        <v>43.4</v>
      </c>
    </row>
    <row r="16" spans="1:440" ht="17" x14ac:dyDescent="0.2">
      <c r="A16" s="35"/>
      <c r="B16" s="64" t="s">
        <v>70</v>
      </c>
      <c r="C16" s="34"/>
      <c r="P16" s="15"/>
      <c r="Q16" s="15"/>
      <c r="R16" s="15"/>
      <c r="AN16" s="7"/>
      <c r="AS16" s="84">
        <v>4.0000000000000002E-4</v>
      </c>
      <c r="BO16" s="7"/>
      <c r="BT16" s="84">
        <v>4.0000000000000002E-4</v>
      </c>
      <c r="CP16" s="7"/>
      <c r="CU16" s="84">
        <v>44.6</v>
      </c>
      <c r="DR16" s="7"/>
      <c r="DW16" s="84">
        <v>4.0000000000000002E-4</v>
      </c>
      <c r="ER16" s="7"/>
      <c r="EW16" s="84">
        <v>44.6</v>
      </c>
      <c r="FR16" s="7"/>
      <c r="FW16" s="84">
        <v>44.6</v>
      </c>
      <c r="GR16" s="7"/>
      <c r="GW16" s="84">
        <v>44.6</v>
      </c>
      <c r="HR16" s="7"/>
      <c r="HW16" s="84">
        <v>44.6</v>
      </c>
      <c r="IR16" s="7"/>
      <c r="IW16" s="84">
        <v>44.6</v>
      </c>
      <c r="JR16" s="7"/>
      <c r="JW16" s="84">
        <v>44.6</v>
      </c>
      <c r="KR16" s="7"/>
      <c r="KW16" s="84">
        <v>44.6</v>
      </c>
      <c r="LR16" s="7"/>
      <c r="LW16" s="84">
        <v>44.6</v>
      </c>
      <c r="MR16" s="7"/>
      <c r="MW16" s="84">
        <v>44.6</v>
      </c>
      <c r="NR16" s="7"/>
      <c r="NW16" s="84">
        <v>44.6</v>
      </c>
      <c r="OR16" s="7"/>
      <c r="OW16" s="84">
        <v>44.6</v>
      </c>
    </row>
    <row r="17" spans="1:413" ht="17" x14ac:dyDescent="0.2">
      <c r="A17" s="35"/>
      <c r="B17" s="45" t="s">
        <v>39</v>
      </c>
      <c r="C17" s="34"/>
      <c r="P17" s="15"/>
      <c r="Q17" s="15"/>
      <c r="R17" s="15"/>
      <c r="AN17" s="7"/>
      <c r="AP17" s="70" t="s">
        <v>177</v>
      </c>
      <c r="AS17" s="85">
        <v>4.0000000000000002E-4</v>
      </c>
      <c r="BO17" s="7"/>
      <c r="BQ17" s="70" t="s">
        <v>177</v>
      </c>
      <c r="BT17" s="85">
        <v>4.0000000000000002E-4</v>
      </c>
      <c r="CP17" s="7"/>
      <c r="CU17" s="85">
        <v>46</v>
      </c>
      <c r="DR17" s="7"/>
      <c r="DT17" s="70" t="s">
        <v>177</v>
      </c>
      <c r="DW17" s="85">
        <v>4.0000000000000002E-4</v>
      </c>
      <c r="ER17" s="7"/>
      <c r="EW17" s="85">
        <v>46</v>
      </c>
      <c r="FR17" s="7"/>
      <c r="FW17" s="85">
        <v>46</v>
      </c>
      <c r="GR17" s="7"/>
      <c r="GW17" s="85">
        <v>46</v>
      </c>
      <c r="HR17" s="7"/>
      <c r="HW17" s="85">
        <v>46</v>
      </c>
      <c r="IR17" s="7"/>
      <c r="IW17" s="85">
        <v>46</v>
      </c>
      <c r="JR17" s="7"/>
      <c r="JW17" s="85">
        <v>46</v>
      </c>
      <c r="KR17" s="7"/>
      <c r="KW17" s="85">
        <v>46</v>
      </c>
      <c r="LR17" s="7"/>
      <c r="LW17" s="85">
        <v>46</v>
      </c>
      <c r="MR17" s="7"/>
      <c r="MW17" s="85">
        <v>46</v>
      </c>
      <c r="NR17" s="7"/>
      <c r="NW17" s="85">
        <v>46</v>
      </c>
      <c r="OR17" s="7"/>
      <c r="OW17" s="85">
        <v>46</v>
      </c>
    </row>
    <row r="18" spans="1:413" x14ac:dyDescent="0.2">
      <c r="B18" s="53" t="s">
        <v>62</v>
      </c>
      <c r="C18" s="2"/>
    </row>
    <row r="19" spans="1:413" x14ac:dyDescent="0.2">
      <c r="A19" s="35"/>
      <c r="B19" s="35"/>
      <c r="C19" s="34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6"/>
      <c r="B22" s="6"/>
      <c r="C22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7">
      <sortCondition descending="1" ref="F1:F8"/>
    </sortState>
  </autoFilter>
  <mergeCells count="115"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</mergeCells>
  <conditionalFormatting sqref="S4:AS7">
    <cfRule type="expression" dxfId="91" priority="5" stopIfTrue="1">
      <formula>IF($AM4&lt;&gt;"",1,0)</formula>
    </cfRule>
  </conditionalFormatting>
  <conditionalFormatting sqref="AT4:BT7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7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">
    <cfRule type="cellIs" dxfId="79" priority="49846" operator="between">
      <formula>OW$13</formula>
      <formula>1000</formula>
    </cfRule>
    <cfRule type="cellIs" dxfId="78" priority="49847" operator="between">
      <formula>OW$12</formula>
      <formula>OW$13</formula>
    </cfRule>
    <cfRule type="cellIs" dxfId="77" priority="49848" operator="between">
      <formula>OW$11</formula>
      <formula>OW$12</formula>
    </cfRule>
    <cfRule type="cellIs" dxfId="76" priority="49849" operator="between">
      <formula>OW$10</formula>
      <formula>OW$11</formula>
    </cfRule>
  </conditionalFormatting>
  <conditionalFormatting sqref="AN1:AN1048576 BO1:BO1048576 CP1:CP1048576 DR1:DR1048576 ER1:ER1048576 FR1:FR1048576 GR1:GR1048576 HR1:HR1048576 IR1:IR1048576 JR1:JR1048576 KR1:KR1048576 LR1:LR1048576 MR1:MR1048576 NR1:NR1048576">
    <cfRule type="cellIs" dxfId="75" priority="57242" operator="between">
      <formula>AS$13</formula>
      <formula>1000</formula>
    </cfRule>
    <cfRule type="cellIs" dxfId="74" priority="57243" operator="between">
      <formula>AS$12</formula>
      <formula>AS$13</formula>
    </cfRule>
    <cfRule type="cellIs" dxfId="73" priority="57244" operator="between">
      <formula>AS$11</formula>
      <formula>AS$12</formula>
    </cfRule>
    <cfRule type="cellIs" dxfId="72" priority="57245" operator="between">
      <formula>AS$10</formula>
      <formula>AS$11</formula>
    </cfRule>
  </conditionalFormatting>
  <conditionalFormatting sqref="OS1:OS1048576">
    <cfRule type="cellIs" dxfId="71" priority="50026" operator="between">
      <formula>OW$17</formula>
      <formula>1000</formula>
    </cfRule>
    <cfRule type="cellIs" dxfId="70" priority="50027" operator="between">
      <formula>OW$16</formula>
      <formula>OW$17</formula>
    </cfRule>
    <cfRule type="cellIs" dxfId="69" priority="50028" operator="between">
      <formula>OW$15</formula>
      <formula>OW$16</formula>
    </cfRule>
    <cfRule type="cellIs" dxfId="68" priority="50029" operator="between">
      <formula>OW$14</formula>
      <formula>OW$15</formula>
    </cfRule>
  </conditionalFormatting>
  <conditionalFormatting sqref="AO1:AO1048576 BP1:BP1048576 CQ1:CQ1048576 DS1:DS1048576 ES1:ES1048576 FS1:FS1048576 GS1:GS1048576 HS1:HS1048576 IS1:IS1048576 JS1:JS1048576 KS1:KS1048576 LS1:LS1048576 MS1:MS1048576 NS1:NS1048576">
    <cfRule type="cellIs" dxfId="67" priority="57246" operator="between">
      <formula>AS$17</formula>
      <formula>1000</formula>
    </cfRule>
    <cfRule type="cellIs" dxfId="66" priority="57247" operator="between">
      <formula>AS$16</formula>
      <formula>AS$17</formula>
    </cfRule>
    <cfRule type="cellIs" dxfId="65" priority="57248" operator="between">
      <formula>AS$15</formula>
      <formula>AS$16</formula>
    </cfRule>
    <cfRule type="cellIs" dxfId="64" priority="57249" operator="between">
      <formula>AS$14</formula>
      <formula>AS$15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AS$10</formula>
      <formula>AS$11</formula>
    </cfRule>
    <cfRule type="cellIs" dxfId="62" priority="7" operator="between">
      <formula>AS$11</formula>
      <formula>AS$12</formula>
    </cfRule>
    <cfRule type="cellIs" dxfId="61" priority="8" operator="between">
      <formula>AS$12</formula>
      <formula>AS$13</formula>
    </cfRule>
    <cfRule type="cellIs" dxfId="60" priority="9" operator="between">
      <formula>AS$13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AS$14</formula>
      <formula>AS$15</formula>
    </cfRule>
    <cfRule type="cellIs" dxfId="58" priority="2" operator="between">
      <formula>AS$15</formula>
      <formula>AS$16</formula>
    </cfRule>
    <cfRule type="cellIs" dxfId="57" priority="3" operator="between">
      <formula>AS$16</formula>
      <formula>AS$17</formula>
    </cfRule>
    <cfRule type="cellIs" dxfId="56" priority="4" operator="between">
      <formula>AS$17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hidden="1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3" t="s">
        <v>12</v>
      </c>
      <c r="H1" s="102" t="s">
        <v>13</v>
      </c>
      <c r="I1" s="103" t="s">
        <v>96</v>
      </c>
      <c r="J1" s="108" t="s">
        <v>156</v>
      </c>
      <c r="K1" s="104" t="s">
        <v>37</v>
      </c>
      <c r="L1" s="108" t="s">
        <v>157</v>
      </c>
      <c r="M1" s="104" t="s">
        <v>37</v>
      </c>
      <c r="N1" s="108" t="s">
        <v>158</v>
      </c>
      <c r="O1" s="104" t="s">
        <v>37</v>
      </c>
      <c r="P1" s="108" t="s">
        <v>159</v>
      </c>
      <c r="Q1" s="104" t="s">
        <v>37</v>
      </c>
      <c r="R1" s="104" t="s">
        <v>14</v>
      </c>
      <c r="S1" s="104" t="s">
        <v>37</v>
      </c>
      <c r="T1" s="107" t="s">
        <v>15</v>
      </c>
      <c r="U1" s="104" t="s">
        <v>38</v>
      </c>
      <c r="V1" s="104" t="s">
        <v>37</v>
      </c>
      <c r="W1" s="105" t="s">
        <v>104</v>
      </c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10" t="s">
        <v>111</v>
      </c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05" t="s">
        <v>146</v>
      </c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11" t="s">
        <v>68</v>
      </c>
      <c r="DG1" s="111"/>
      <c r="DH1" s="111"/>
      <c r="DI1" s="105" t="s">
        <v>114</v>
      </c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10" t="s">
        <v>175</v>
      </c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05"/>
      <c r="FN1" s="105"/>
      <c r="FO1" s="105"/>
      <c r="FP1" s="105"/>
      <c r="FQ1" s="105"/>
      <c r="FR1" s="105"/>
      <c r="FS1" s="105"/>
      <c r="FT1" s="105"/>
      <c r="FU1" s="105"/>
      <c r="FV1" s="105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0"/>
      <c r="NU1" s="110"/>
      <c r="NV1" s="110"/>
      <c r="NW1" s="110"/>
      <c r="NX1" s="110"/>
      <c r="NY1" s="110"/>
      <c r="NZ1" s="110"/>
      <c r="OA1" s="110"/>
      <c r="OB1" s="110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5"/>
      <c r="OY1" s="105"/>
      <c r="OZ1" s="105"/>
      <c r="PA1" s="105"/>
      <c r="PB1" s="105"/>
      <c r="PC1" s="105"/>
      <c r="PD1" s="105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10"/>
      <c r="QG1" s="105" t="s">
        <v>72</v>
      </c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</row>
    <row r="2" spans="1:477" x14ac:dyDescent="0.2">
      <c r="A2" s="102"/>
      <c r="B2" s="102"/>
      <c r="C2" s="102"/>
      <c r="D2" s="102"/>
      <c r="E2" s="102"/>
      <c r="F2" s="103"/>
      <c r="G2" s="103"/>
      <c r="H2" s="102"/>
      <c r="I2" s="103"/>
      <c r="J2" s="108"/>
      <c r="K2" s="104"/>
      <c r="L2" s="108"/>
      <c r="M2" s="104"/>
      <c r="N2" s="108"/>
      <c r="O2" s="104"/>
      <c r="P2" s="108"/>
      <c r="Q2" s="104"/>
      <c r="R2" s="104"/>
      <c r="S2" s="104"/>
      <c r="T2" s="107"/>
      <c r="U2" s="104"/>
      <c r="V2" s="104"/>
      <c r="W2" s="106" t="s">
        <v>148</v>
      </c>
      <c r="X2" s="106"/>
      <c r="Y2" s="106"/>
      <c r="Z2" s="106"/>
      <c r="AA2" s="106" t="s">
        <v>149</v>
      </c>
      <c r="AB2" s="106"/>
      <c r="AC2" s="106"/>
      <c r="AD2" s="106"/>
      <c r="AE2" s="106" t="s">
        <v>150</v>
      </c>
      <c r="AF2" s="106"/>
      <c r="AG2" s="106"/>
      <c r="AH2" s="106"/>
      <c r="AI2" s="106" t="s">
        <v>151</v>
      </c>
      <c r="AJ2" s="106"/>
      <c r="AK2" s="106"/>
      <c r="AL2" s="106"/>
      <c r="AM2" s="112" t="s">
        <v>152</v>
      </c>
      <c r="AN2" s="112"/>
      <c r="AO2" s="112"/>
      <c r="AP2" s="112"/>
      <c r="AQ2" s="88"/>
      <c r="AR2" s="88" t="s">
        <v>153</v>
      </c>
      <c r="AS2" s="88" t="s">
        <v>154</v>
      </c>
      <c r="AT2" s="88" t="s">
        <v>150</v>
      </c>
      <c r="AU2" s="94" t="s">
        <v>160</v>
      </c>
      <c r="AV2" s="94" t="s">
        <v>25</v>
      </c>
      <c r="AW2" s="88" t="s">
        <v>76</v>
      </c>
      <c r="AX2" s="88" t="s">
        <v>155</v>
      </c>
      <c r="AY2" s="88" t="s">
        <v>19</v>
      </c>
      <c r="AZ2" s="109" t="s">
        <v>148</v>
      </c>
      <c r="BA2" s="109"/>
      <c r="BB2" s="109"/>
      <c r="BC2" s="109"/>
      <c r="BD2" s="109" t="s">
        <v>149</v>
      </c>
      <c r="BE2" s="109"/>
      <c r="BF2" s="109"/>
      <c r="BG2" s="109"/>
      <c r="BH2" s="109" t="s">
        <v>150</v>
      </c>
      <c r="BI2" s="109"/>
      <c r="BJ2" s="109"/>
      <c r="BK2" s="109"/>
      <c r="BL2" s="109" t="s">
        <v>151</v>
      </c>
      <c r="BM2" s="109"/>
      <c r="BN2" s="109"/>
      <c r="BO2" s="109"/>
      <c r="BP2" s="113" t="s">
        <v>152</v>
      </c>
      <c r="BQ2" s="113"/>
      <c r="BR2" s="113"/>
      <c r="BS2" s="113"/>
      <c r="BT2" s="89"/>
      <c r="BU2" s="89" t="s">
        <v>153</v>
      </c>
      <c r="BV2" s="89" t="s">
        <v>154</v>
      </c>
      <c r="BW2" s="89" t="s">
        <v>150</v>
      </c>
      <c r="BX2" s="95" t="s">
        <v>160</v>
      </c>
      <c r="BY2" s="95" t="s">
        <v>25</v>
      </c>
      <c r="BZ2" s="89" t="s">
        <v>76</v>
      </c>
      <c r="CA2" s="89" t="s">
        <v>155</v>
      </c>
      <c r="CB2" s="89" t="s">
        <v>19</v>
      </c>
      <c r="CC2" s="106" t="s">
        <v>148</v>
      </c>
      <c r="CD2" s="106"/>
      <c r="CE2" s="106"/>
      <c r="CF2" s="106"/>
      <c r="CG2" s="106" t="s">
        <v>149</v>
      </c>
      <c r="CH2" s="106"/>
      <c r="CI2" s="106"/>
      <c r="CJ2" s="106"/>
      <c r="CK2" s="106" t="s">
        <v>150</v>
      </c>
      <c r="CL2" s="106"/>
      <c r="CM2" s="106"/>
      <c r="CN2" s="106"/>
      <c r="CO2" s="106" t="s">
        <v>151</v>
      </c>
      <c r="CP2" s="106"/>
      <c r="CQ2" s="106"/>
      <c r="CR2" s="106"/>
      <c r="CS2" s="112" t="s">
        <v>152</v>
      </c>
      <c r="CT2" s="112"/>
      <c r="CU2" s="112"/>
      <c r="CV2" s="112"/>
      <c r="CW2" s="88"/>
      <c r="CX2" s="88" t="s">
        <v>153</v>
      </c>
      <c r="CY2" s="88" t="s">
        <v>154</v>
      </c>
      <c r="CZ2" s="88" t="s">
        <v>150</v>
      </c>
      <c r="DA2" s="94" t="s">
        <v>160</v>
      </c>
      <c r="DB2" s="94" t="s">
        <v>25</v>
      </c>
      <c r="DC2" s="88" t="s">
        <v>76</v>
      </c>
      <c r="DD2" s="88" t="s">
        <v>155</v>
      </c>
      <c r="DE2" s="88" t="s">
        <v>19</v>
      </c>
      <c r="DF2" s="86" t="s">
        <v>154</v>
      </c>
      <c r="DG2" s="86" t="s">
        <v>150</v>
      </c>
      <c r="DH2" s="86" t="s">
        <v>24</v>
      </c>
      <c r="DI2" s="106" t="s">
        <v>148</v>
      </c>
      <c r="DJ2" s="106"/>
      <c r="DK2" s="106"/>
      <c r="DL2" s="106"/>
      <c r="DM2" s="106" t="s">
        <v>149</v>
      </c>
      <c r="DN2" s="106"/>
      <c r="DO2" s="106"/>
      <c r="DP2" s="106"/>
      <c r="DQ2" s="106" t="s">
        <v>150</v>
      </c>
      <c r="DR2" s="106"/>
      <c r="DS2" s="106"/>
      <c r="DT2" s="106"/>
      <c r="DU2" s="106" t="s">
        <v>151</v>
      </c>
      <c r="DV2" s="106"/>
      <c r="DW2" s="106"/>
      <c r="DX2" s="106"/>
      <c r="DY2" s="114" t="s">
        <v>152</v>
      </c>
      <c r="DZ2" s="114"/>
      <c r="EA2" s="114"/>
      <c r="EB2" s="114"/>
      <c r="EC2" s="88" t="s">
        <v>153</v>
      </c>
      <c r="ED2" s="88" t="s">
        <v>154</v>
      </c>
      <c r="EE2" s="88" t="s">
        <v>150</v>
      </c>
      <c r="EF2" s="94" t="s">
        <v>160</v>
      </c>
      <c r="EG2" s="94" t="s">
        <v>25</v>
      </c>
      <c r="EH2" s="88" t="s">
        <v>76</v>
      </c>
      <c r="EI2" s="88" t="s">
        <v>155</v>
      </c>
      <c r="EJ2" s="88" t="s">
        <v>19</v>
      </c>
      <c r="EK2" s="109" t="s">
        <v>148</v>
      </c>
      <c r="EL2" s="109"/>
      <c r="EM2" s="109"/>
      <c r="EN2" s="109"/>
      <c r="EO2" s="109" t="s">
        <v>149</v>
      </c>
      <c r="EP2" s="109"/>
      <c r="EQ2" s="109"/>
      <c r="ER2" s="109"/>
      <c r="ES2" s="109" t="s">
        <v>150</v>
      </c>
      <c r="ET2" s="109"/>
      <c r="EU2" s="109"/>
      <c r="EV2" s="109"/>
      <c r="EW2" s="109" t="s">
        <v>151</v>
      </c>
      <c r="EX2" s="109"/>
      <c r="EY2" s="109"/>
      <c r="EZ2" s="109"/>
      <c r="FA2" s="113" t="s">
        <v>152</v>
      </c>
      <c r="FB2" s="113"/>
      <c r="FC2" s="113"/>
      <c r="FD2" s="113"/>
      <c r="FE2" s="89" t="s">
        <v>153</v>
      </c>
      <c r="FF2" s="89" t="s">
        <v>154</v>
      </c>
      <c r="FG2" s="89" t="s">
        <v>150</v>
      </c>
      <c r="FH2" s="95" t="s">
        <v>160</v>
      </c>
      <c r="FI2" s="95" t="s">
        <v>25</v>
      </c>
      <c r="FJ2" s="89" t="s">
        <v>76</v>
      </c>
      <c r="FK2" s="89" t="s">
        <v>155</v>
      </c>
      <c r="FL2" s="89" t="s">
        <v>19</v>
      </c>
      <c r="FM2" s="106" t="s">
        <v>148</v>
      </c>
      <c r="FN2" s="106"/>
      <c r="FO2" s="106"/>
      <c r="FP2" s="106"/>
      <c r="FQ2" s="106" t="s">
        <v>149</v>
      </c>
      <c r="FR2" s="106"/>
      <c r="FS2" s="106"/>
      <c r="FT2" s="106"/>
      <c r="FU2" s="106" t="s">
        <v>150</v>
      </c>
      <c r="FV2" s="106"/>
      <c r="FW2" s="106"/>
      <c r="FX2" s="106"/>
      <c r="FY2" s="106" t="s">
        <v>151</v>
      </c>
      <c r="FZ2" s="106"/>
      <c r="GA2" s="106"/>
      <c r="GB2" s="106"/>
      <c r="GC2" s="114" t="s">
        <v>152</v>
      </c>
      <c r="GD2" s="114"/>
      <c r="GE2" s="114"/>
      <c r="GF2" s="114"/>
      <c r="GG2" s="88" t="s">
        <v>153</v>
      </c>
      <c r="GH2" s="88" t="s">
        <v>154</v>
      </c>
      <c r="GI2" s="88" t="s">
        <v>150</v>
      </c>
      <c r="GJ2" s="94" t="s">
        <v>160</v>
      </c>
      <c r="GK2" s="94" t="s">
        <v>25</v>
      </c>
      <c r="GL2" s="88" t="s">
        <v>76</v>
      </c>
      <c r="GM2" s="88" t="s">
        <v>155</v>
      </c>
      <c r="GN2" s="88" t="s">
        <v>19</v>
      </c>
      <c r="GO2" s="109" t="s">
        <v>148</v>
      </c>
      <c r="GP2" s="109"/>
      <c r="GQ2" s="109"/>
      <c r="GR2" s="109"/>
      <c r="GS2" s="109" t="s">
        <v>149</v>
      </c>
      <c r="GT2" s="109"/>
      <c r="GU2" s="109"/>
      <c r="GV2" s="109"/>
      <c r="GW2" s="109" t="s">
        <v>150</v>
      </c>
      <c r="GX2" s="109"/>
      <c r="GY2" s="109"/>
      <c r="GZ2" s="109"/>
      <c r="HA2" s="109" t="s">
        <v>151</v>
      </c>
      <c r="HB2" s="109"/>
      <c r="HC2" s="109"/>
      <c r="HD2" s="109"/>
      <c r="HE2" s="113" t="s">
        <v>152</v>
      </c>
      <c r="HF2" s="113"/>
      <c r="HG2" s="113"/>
      <c r="HH2" s="113"/>
      <c r="HI2" s="89" t="s">
        <v>153</v>
      </c>
      <c r="HJ2" s="89" t="s">
        <v>154</v>
      </c>
      <c r="HK2" s="89" t="s">
        <v>150</v>
      </c>
      <c r="HL2" s="95" t="s">
        <v>160</v>
      </c>
      <c r="HM2" s="95" t="s">
        <v>25</v>
      </c>
      <c r="HN2" s="89" t="s">
        <v>76</v>
      </c>
      <c r="HO2" s="89" t="s">
        <v>155</v>
      </c>
      <c r="HP2" s="89" t="s">
        <v>19</v>
      </c>
      <c r="HQ2" s="106" t="s">
        <v>148</v>
      </c>
      <c r="HR2" s="106"/>
      <c r="HS2" s="106"/>
      <c r="HT2" s="106"/>
      <c r="HU2" s="106" t="s">
        <v>149</v>
      </c>
      <c r="HV2" s="106"/>
      <c r="HW2" s="106"/>
      <c r="HX2" s="106"/>
      <c r="HY2" s="106" t="s">
        <v>150</v>
      </c>
      <c r="HZ2" s="106"/>
      <c r="IA2" s="106"/>
      <c r="IB2" s="106"/>
      <c r="IC2" s="106" t="s">
        <v>151</v>
      </c>
      <c r="ID2" s="106"/>
      <c r="IE2" s="106"/>
      <c r="IF2" s="106"/>
      <c r="IG2" s="114" t="s">
        <v>152</v>
      </c>
      <c r="IH2" s="114"/>
      <c r="II2" s="114"/>
      <c r="IJ2" s="114"/>
      <c r="IK2" s="88" t="s">
        <v>153</v>
      </c>
      <c r="IL2" s="88" t="s">
        <v>154</v>
      </c>
      <c r="IM2" s="88" t="s">
        <v>150</v>
      </c>
      <c r="IN2" s="94" t="s">
        <v>160</v>
      </c>
      <c r="IO2" s="94" t="s">
        <v>25</v>
      </c>
      <c r="IP2" s="88" t="s">
        <v>76</v>
      </c>
      <c r="IQ2" s="88" t="s">
        <v>155</v>
      </c>
      <c r="IR2" s="88" t="s">
        <v>19</v>
      </c>
      <c r="IS2" s="109" t="s">
        <v>148</v>
      </c>
      <c r="IT2" s="109"/>
      <c r="IU2" s="109"/>
      <c r="IV2" s="109"/>
      <c r="IW2" s="109" t="s">
        <v>149</v>
      </c>
      <c r="IX2" s="109"/>
      <c r="IY2" s="109"/>
      <c r="IZ2" s="109"/>
      <c r="JA2" s="109" t="s">
        <v>150</v>
      </c>
      <c r="JB2" s="109"/>
      <c r="JC2" s="109"/>
      <c r="JD2" s="109"/>
      <c r="JE2" s="109" t="s">
        <v>151</v>
      </c>
      <c r="JF2" s="109"/>
      <c r="JG2" s="109"/>
      <c r="JH2" s="109"/>
      <c r="JI2" s="113" t="s">
        <v>152</v>
      </c>
      <c r="JJ2" s="113"/>
      <c r="JK2" s="113"/>
      <c r="JL2" s="113"/>
      <c r="JM2" s="89" t="s">
        <v>153</v>
      </c>
      <c r="JN2" s="89" t="s">
        <v>154</v>
      </c>
      <c r="JO2" s="89" t="s">
        <v>150</v>
      </c>
      <c r="JP2" s="95" t="s">
        <v>160</v>
      </c>
      <c r="JQ2" s="95" t="s">
        <v>25</v>
      </c>
      <c r="JR2" s="89" t="s">
        <v>76</v>
      </c>
      <c r="JS2" s="89" t="s">
        <v>155</v>
      </c>
      <c r="JT2" s="89" t="s">
        <v>19</v>
      </c>
      <c r="JU2" s="106" t="s">
        <v>148</v>
      </c>
      <c r="JV2" s="106"/>
      <c r="JW2" s="106"/>
      <c r="JX2" s="106"/>
      <c r="JY2" s="106" t="s">
        <v>149</v>
      </c>
      <c r="JZ2" s="106"/>
      <c r="KA2" s="106"/>
      <c r="KB2" s="106"/>
      <c r="KC2" s="106" t="s">
        <v>150</v>
      </c>
      <c r="KD2" s="106"/>
      <c r="KE2" s="106"/>
      <c r="KF2" s="106"/>
      <c r="KG2" s="106" t="s">
        <v>151</v>
      </c>
      <c r="KH2" s="106"/>
      <c r="KI2" s="106"/>
      <c r="KJ2" s="106"/>
      <c r="KK2" s="114" t="s">
        <v>152</v>
      </c>
      <c r="KL2" s="114"/>
      <c r="KM2" s="114"/>
      <c r="KN2" s="114"/>
      <c r="KO2" s="88" t="s">
        <v>153</v>
      </c>
      <c r="KP2" s="88" t="s">
        <v>154</v>
      </c>
      <c r="KQ2" s="88" t="s">
        <v>150</v>
      </c>
      <c r="KR2" s="94" t="s">
        <v>160</v>
      </c>
      <c r="KS2" s="94" t="s">
        <v>25</v>
      </c>
      <c r="KT2" s="88" t="s">
        <v>76</v>
      </c>
      <c r="KU2" s="88" t="s">
        <v>155</v>
      </c>
      <c r="KV2" s="88" t="s">
        <v>19</v>
      </c>
      <c r="KW2" s="109" t="s">
        <v>148</v>
      </c>
      <c r="KX2" s="109"/>
      <c r="KY2" s="109"/>
      <c r="KZ2" s="109"/>
      <c r="LA2" s="109" t="s">
        <v>149</v>
      </c>
      <c r="LB2" s="109"/>
      <c r="LC2" s="109"/>
      <c r="LD2" s="109"/>
      <c r="LE2" s="109" t="s">
        <v>150</v>
      </c>
      <c r="LF2" s="109"/>
      <c r="LG2" s="109"/>
      <c r="LH2" s="109"/>
      <c r="LI2" s="109" t="s">
        <v>151</v>
      </c>
      <c r="LJ2" s="109"/>
      <c r="LK2" s="109"/>
      <c r="LL2" s="109"/>
      <c r="LM2" s="113" t="s">
        <v>152</v>
      </c>
      <c r="LN2" s="113"/>
      <c r="LO2" s="113"/>
      <c r="LP2" s="113"/>
      <c r="LQ2" s="89" t="s">
        <v>153</v>
      </c>
      <c r="LR2" s="89" t="s">
        <v>154</v>
      </c>
      <c r="LS2" s="89" t="s">
        <v>150</v>
      </c>
      <c r="LT2" s="95" t="s">
        <v>160</v>
      </c>
      <c r="LU2" s="95" t="s">
        <v>25</v>
      </c>
      <c r="LV2" s="89" t="s">
        <v>76</v>
      </c>
      <c r="LW2" s="89" t="s">
        <v>155</v>
      </c>
      <c r="LX2" s="89" t="s">
        <v>19</v>
      </c>
      <c r="LY2" s="106" t="s">
        <v>148</v>
      </c>
      <c r="LZ2" s="106"/>
      <c r="MA2" s="106"/>
      <c r="MB2" s="106"/>
      <c r="MC2" s="106" t="s">
        <v>149</v>
      </c>
      <c r="MD2" s="106"/>
      <c r="ME2" s="106"/>
      <c r="MF2" s="106"/>
      <c r="MG2" s="106" t="s">
        <v>150</v>
      </c>
      <c r="MH2" s="106"/>
      <c r="MI2" s="106"/>
      <c r="MJ2" s="106"/>
      <c r="MK2" s="106" t="s">
        <v>151</v>
      </c>
      <c r="ML2" s="106"/>
      <c r="MM2" s="106"/>
      <c r="MN2" s="106"/>
      <c r="MO2" s="114" t="s">
        <v>152</v>
      </c>
      <c r="MP2" s="114"/>
      <c r="MQ2" s="114"/>
      <c r="MR2" s="114"/>
      <c r="MS2" s="88" t="s">
        <v>153</v>
      </c>
      <c r="MT2" s="88" t="s">
        <v>154</v>
      </c>
      <c r="MU2" s="88" t="s">
        <v>150</v>
      </c>
      <c r="MV2" s="94" t="s">
        <v>160</v>
      </c>
      <c r="MW2" s="94" t="s">
        <v>25</v>
      </c>
      <c r="MX2" s="88" t="s">
        <v>76</v>
      </c>
      <c r="MY2" s="88" t="s">
        <v>155</v>
      </c>
      <c r="MZ2" s="88" t="s">
        <v>19</v>
      </c>
      <c r="NA2" s="109" t="s">
        <v>148</v>
      </c>
      <c r="NB2" s="109"/>
      <c r="NC2" s="109"/>
      <c r="ND2" s="109"/>
      <c r="NE2" s="109" t="s">
        <v>149</v>
      </c>
      <c r="NF2" s="109"/>
      <c r="NG2" s="109"/>
      <c r="NH2" s="109"/>
      <c r="NI2" s="109" t="s">
        <v>150</v>
      </c>
      <c r="NJ2" s="109"/>
      <c r="NK2" s="109"/>
      <c r="NL2" s="109"/>
      <c r="NM2" s="109" t="s">
        <v>151</v>
      </c>
      <c r="NN2" s="109"/>
      <c r="NO2" s="109"/>
      <c r="NP2" s="109"/>
      <c r="NQ2" s="113" t="s">
        <v>152</v>
      </c>
      <c r="NR2" s="113"/>
      <c r="NS2" s="113"/>
      <c r="NT2" s="113"/>
      <c r="NU2" s="89" t="s">
        <v>153</v>
      </c>
      <c r="NV2" s="89" t="s">
        <v>154</v>
      </c>
      <c r="NW2" s="89" t="s">
        <v>150</v>
      </c>
      <c r="NX2" s="95" t="s">
        <v>160</v>
      </c>
      <c r="NY2" s="95" t="s">
        <v>25</v>
      </c>
      <c r="NZ2" s="89" t="s">
        <v>76</v>
      </c>
      <c r="OA2" s="89" t="s">
        <v>155</v>
      </c>
      <c r="OB2" s="89" t="s">
        <v>19</v>
      </c>
      <c r="OC2" s="106" t="s">
        <v>148</v>
      </c>
      <c r="OD2" s="106"/>
      <c r="OE2" s="106"/>
      <c r="OF2" s="106"/>
      <c r="OG2" s="106" t="s">
        <v>149</v>
      </c>
      <c r="OH2" s="106"/>
      <c r="OI2" s="106"/>
      <c r="OJ2" s="106"/>
      <c r="OK2" s="106" t="s">
        <v>150</v>
      </c>
      <c r="OL2" s="106"/>
      <c r="OM2" s="106"/>
      <c r="ON2" s="106"/>
      <c r="OO2" s="106" t="s">
        <v>151</v>
      </c>
      <c r="OP2" s="106"/>
      <c r="OQ2" s="106"/>
      <c r="OR2" s="106"/>
      <c r="OS2" s="114" t="s">
        <v>152</v>
      </c>
      <c r="OT2" s="114"/>
      <c r="OU2" s="114"/>
      <c r="OV2" s="114"/>
      <c r="OW2" s="88" t="s">
        <v>153</v>
      </c>
      <c r="OX2" s="88" t="s">
        <v>154</v>
      </c>
      <c r="OY2" s="88" t="s">
        <v>150</v>
      </c>
      <c r="OZ2" s="94" t="s">
        <v>160</v>
      </c>
      <c r="PA2" s="94" t="s">
        <v>25</v>
      </c>
      <c r="PB2" s="88" t="s">
        <v>76</v>
      </c>
      <c r="PC2" s="88" t="s">
        <v>155</v>
      </c>
      <c r="PD2" s="88" t="s">
        <v>19</v>
      </c>
      <c r="PE2" s="109" t="s">
        <v>148</v>
      </c>
      <c r="PF2" s="109"/>
      <c r="PG2" s="109"/>
      <c r="PH2" s="109"/>
      <c r="PI2" s="109" t="s">
        <v>149</v>
      </c>
      <c r="PJ2" s="109"/>
      <c r="PK2" s="109"/>
      <c r="PL2" s="109"/>
      <c r="PM2" s="109" t="s">
        <v>150</v>
      </c>
      <c r="PN2" s="109"/>
      <c r="PO2" s="109"/>
      <c r="PP2" s="109"/>
      <c r="PQ2" s="109" t="s">
        <v>151</v>
      </c>
      <c r="PR2" s="109"/>
      <c r="PS2" s="109"/>
      <c r="PT2" s="109"/>
      <c r="PU2" s="113" t="s">
        <v>152</v>
      </c>
      <c r="PV2" s="113"/>
      <c r="PW2" s="113"/>
      <c r="PX2" s="113"/>
      <c r="PY2" s="89" t="s">
        <v>153</v>
      </c>
      <c r="PZ2" s="89" t="s">
        <v>154</v>
      </c>
      <c r="QA2" s="89" t="s">
        <v>150</v>
      </c>
      <c r="QB2" s="95" t="s">
        <v>160</v>
      </c>
      <c r="QC2" s="95" t="s">
        <v>25</v>
      </c>
      <c r="QD2" s="89" t="s">
        <v>76</v>
      </c>
      <c r="QE2" s="89" t="s">
        <v>155</v>
      </c>
      <c r="QF2" s="89" t="s">
        <v>19</v>
      </c>
      <c r="QG2" s="106" t="s">
        <v>148</v>
      </c>
      <c r="QH2" s="106"/>
      <c r="QI2" s="106"/>
      <c r="QJ2" s="106"/>
      <c r="QK2" s="106" t="s">
        <v>149</v>
      </c>
      <c r="QL2" s="106"/>
      <c r="QM2" s="106"/>
      <c r="QN2" s="106"/>
      <c r="QO2" s="106" t="s">
        <v>150</v>
      </c>
      <c r="QP2" s="106"/>
      <c r="QQ2" s="106"/>
      <c r="QR2" s="106"/>
      <c r="QS2" s="106" t="s">
        <v>151</v>
      </c>
      <c r="QT2" s="106"/>
      <c r="QU2" s="106"/>
      <c r="QV2" s="106"/>
      <c r="QW2" s="112" t="s">
        <v>152</v>
      </c>
      <c r="QX2" s="112"/>
      <c r="QY2" s="112"/>
      <c r="QZ2" s="112"/>
      <c r="RA2" s="88"/>
      <c r="RB2" s="88" t="s">
        <v>153</v>
      </c>
      <c r="RC2" s="88" t="s">
        <v>154</v>
      </c>
      <c r="RD2" s="88" t="s">
        <v>150</v>
      </c>
      <c r="RE2" s="94" t="s">
        <v>160</v>
      </c>
      <c r="RF2" s="94" t="s">
        <v>25</v>
      </c>
      <c r="RG2" s="88" t="s">
        <v>76</v>
      </c>
      <c r="RH2" s="88" t="s">
        <v>155</v>
      </c>
      <c r="RI2" s="88" t="s">
        <v>19</v>
      </c>
    </row>
    <row r="3" spans="1:477" x14ac:dyDescent="0.2">
      <c r="A3" s="102"/>
      <c r="B3" s="102"/>
      <c r="C3" s="102"/>
      <c r="D3" s="102"/>
      <c r="E3" s="102"/>
      <c r="F3" s="103"/>
      <c r="G3" s="103"/>
      <c r="H3" s="102"/>
      <c r="I3" s="103"/>
      <c r="J3" s="108"/>
      <c r="K3" s="104"/>
      <c r="L3" s="108"/>
      <c r="M3" s="104"/>
      <c r="N3" s="108"/>
      <c r="O3" s="104"/>
      <c r="P3" s="108"/>
      <c r="Q3" s="104"/>
      <c r="R3" s="104"/>
      <c r="S3" s="104"/>
      <c r="T3" s="107"/>
      <c r="U3" s="104"/>
      <c r="V3" s="104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IF(AND(F4="P",G4="P"),SUMPRODUCT((F$4:F$18="P")*(G$4:G$18="P")*(E$4:E$18&gt;E4))+1,IF(G4="P",SUMPRODUCT((F$4:F$18="")*(G$4:G$18="P")*(E$4:E$18&gt;E4))+1+SUMPRODUCT((F$4:F$18="P")*(G$4:G$18="P")),""))</f>
        <v>1</v>
      </c>
      <c r="B4" s="6" t="s">
        <v>98</v>
      </c>
      <c r="C4" s="7" t="s">
        <v>6</v>
      </c>
      <c r="D4" s="18">
        <v>2003</v>
      </c>
      <c r="E4" s="14">
        <f>SUM(J4:T4)+SUM(J4:P4)*0.0000001+SUM(J4)*0.0000000000001</f>
        <v>134.04008790401329</v>
      </c>
      <c r="F4" s="3" t="str">
        <f>IF(OR(AND(AR4&gt;=AY$20,AS4&gt;=AY$24,AR4&lt;&gt;"",AQ4=""),AND(AW4&gt;=AY$20,AX4&gt;=AY$24,AW4&lt;&gt;"",AQ4=""),AND(BU4&gt;=CB$20,BV4&gt;=CB$24,BU4&lt;&gt;"",BT4=""),AND(BZ4&gt;=CB$20,CA4&gt;=CB$24,BZ4&lt;&gt;"",BT4=""),AND(CX4&gt;=DE$20,CY4&gt;=DE$24,CX4&lt;&gt;"",CW4=""),AND(DC4&gt;=DE$20,DD4&gt;=DE$24,DC4&lt;&gt;""),AND(EC4&gt;=EJ$20,ED4&gt;=EJ$24,EC4&lt;&gt;""),AND(EH4&gt;=EJ$20,EI4&gt;=EJ$24,EH4&lt;&gt;""),AND(FE4&gt;=FL$20,FF4&gt;=FL$24,FE4&lt;&gt;""),AND(FJ4&gt;=FL$20,FK4&gt;=FL$24,FJ4&lt;&gt;""),AND(GG4&gt;=GN$20,GH4&gt;=GN$24,GG4&lt;&gt;""),AND(GL4&gt;=GN$20,GM4&gt;=GN$24,GL4&lt;&gt;""),AND(HI4&gt;=HP$20,HJ4&gt;=HP$24,HI4&lt;&gt;""),AND(HN4&gt;=HP$20,HO4&gt;=HP$24,HN4&lt;&gt;""),AND(IK4&gt;=IR$20,IL4&gt;=IR$24,IK4&lt;&gt;""),AND(IP4&gt;=IR$20,IQ4&gt;=IR$24,IP4&lt;&gt;""),AND(JM4&gt;=JT$20,JN4&gt;=JT$24,JM4&lt;&gt;""),AND(JR4&gt;=JT$20,JS4&gt;=JT$24,JR4&lt;&gt;""),AND(KO4&gt;=KV$20,KP4&gt;=KV$24,KO4&lt;&gt;""),AND(KT4&gt;=KV$20,KU4&gt;=KV$24,KT4&lt;&gt;""),AND(LQ4&gt;=LX$20,LR4&gt;=LX$24,LQ4&lt;&gt;""),AND(LV4&gt;=LX$20,LW4&gt;=LX$24,LV4&lt;&gt;""),AND(MS4&gt;=MZ$20,MT4&gt;=MZ$24,MS4&lt;&gt;""),AND(MX4&gt;=MZ$20,MY4&gt;=MZ$24,MX4&lt;&gt;""),AND(NU4&gt;=OB$20,NV4&gt;=OB$24,NU4&lt;&gt;""),AND(NZ4&gt;=OB$20,OA4&gt;=OB$24,NZ4&lt;&gt;""),AND(OW4&gt;=PD$20,OX4&gt;=PD$24,OW4&lt;&gt;""),AND(PB4&gt;=PD$20,PC4&gt;=PD$24,PB4&lt;&gt;""),AND(PY4&gt;=QF$20,PZ4&gt;=QF$24,PY4&lt;&gt;""),AND(QD4&gt;=QF$20,QE4&gt;=QF$24,QD4&lt;&gt;"")),"P","")</f>
        <v>P</v>
      </c>
      <c r="G4" s="3" t="str">
        <f>IF(OR(AND(AS4&gt;=AY$24,AS4&lt;&gt;"",AQ4=""),AND(AX4&gt;=AY$24,AX4&lt;&gt;"",AQ4=""),AND(BV4&gt;=CB$24,BV4&lt;&gt;"",BT4=""),AND(CA4&gt;=CB$24,CA4&lt;&gt;"",BT4=""),AND(CY4&gt;=DE$24,CY4&lt;&gt;"",CW4=""),AND(DD4&gt;=DE$24,DD4&lt;&gt;"",CW4=""),AND(ED4&gt;=EJ$24,ED4&lt;&gt;""),AND(EI4&gt;=EJ$24,EI4&lt;&gt;""),AND(FF4&gt;=FL$24,FF4&lt;&gt;""),AND(FK4&gt;=FL$24,FK4&lt;&gt;""),AND(GH4&gt;=GN$24,GH4&lt;&gt;""),AND(GM4&gt;=GN$24,GM4&lt;&gt;""),AND(HJ4&gt;=HP$24,HJ4&lt;&gt;""),AND(HO4&gt;=HP$24,HO4&lt;&gt;""),AND(IL4&gt;=IR$24,IL4&lt;&gt;""),AND(IQ4&gt;=IR$24,IQ4&lt;&gt;""),AND(JN4&gt;=JT$24,JN4&lt;&gt;""),AND(JS4&gt;=JT$24,JS4&lt;&gt;""),AND(KP4&gt;=KV$24,KP4&lt;&gt;""),AND(KU4&gt;=KV$24,KU4&lt;&gt;""),AND(LR4&gt;=LX$24,LR4&lt;&gt;""),AND(LW4&gt;=LX$24,LW4&lt;&gt;""),AND(MT4&gt;=MZ$24,MT4&lt;&gt;""),AND(MY4&gt;=MZ$24,MY4&lt;&gt;""),AND(NV4&gt;=OB$24,NV4&lt;&gt;""),AND(OA4&gt;=OB$24,OA4&lt;&gt;""),AND(OX4&gt;=PD$24,OX4&lt;&gt;""),AND(PC4&gt;=PD$24,PC4&lt;&gt;""),AND(PZ4&gt;=QF$24,PZ4&lt;&gt;""),AND(QE4&gt;=QF$24,QE4&lt;&gt;"")),"P","")</f>
        <v>P</v>
      </c>
      <c r="H4" s="70" t="str">
        <f>IF(AND(G4="P",F4=""),"No DD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Merit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Excellence",IF(I4="P","Worlds Team",IF(F4="P","National Team","")))))</f>
        <v>Excellence</v>
      </c>
      <c r="I4" s="3" t="str">
        <f>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P","")</f>
        <v>P</v>
      </c>
      <c r="J4" s="13">
        <f>IF(COUNT(AS4,BV4,CY4)&gt;0,LARGE((AS4,BV4,CY4),1),0)</f>
        <v>53.239999999999995</v>
      </c>
      <c r="K4" s="13" t="str">
        <f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>IF(L4=0,"",IF(L4=CY4,$CC$1,IF(L4=BV4,$AZ$1,IF(L4=AS4,$W$1,""))))</f>
        <v>2021 Elite Canada</v>
      </c>
      <c r="N4" s="13">
        <f>IF(COUNT(AT4,BW4,CZ4)&gt;0,LARGE((AT4,BW4,CZ4),1),0)</f>
        <v>25.8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51.999999999999993</v>
      </c>
      <c r="S4" s="13" t="str">
        <f>IF(R4=0,"",IF(R4=DD4,$CC$1,IF(R4=CA4,$AZ$1,IF(R4=AX4,$W$1,""))))</f>
        <v>2022 Elite Canada</v>
      </c>
      <c r="T4" s="13">
        <f>IF(MAX(DF4:DH4)&gt;0,MAX(DF4:DH4),"")</f>
        <v>3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5.0000000000000002E-5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3.0000000000000001E-5</v>
      </c>
      <c r="AS4" s="76">
        <f>IF(SUM(W4:X4,Z4:AB4,AD4)-Y4-AC4&gt;0,SUM(W4:X4,Z4:AB4,AD4)-Y4-AC4,"")</f>
        <v>8.0000000000000007E-5</v>
      </c>
      <c r="AT4" s="76" t="str">
        <f>IF(SUM(AE4:AF4,AH4)-AG4&gt;0,SUM(AE4:AF4,AH4)-AG4,"")</f>
        <v/>
      </c>
      <c r="AU4" s="76">
        <f>IF(SUM(X4,AB4,AF4)&gt;0,SUM(X4,AB4,AF4),"")</f>
        <v>3.0000000000000001E-5</v>
      </c>
      <c r="AV4" s="76">
        <f>IF(SUM(AS4,AT4)&gt;0,SUM(AS4,AT4),"")</f>
        <v>8.0000000000000007E-5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8.0000000000000007E-5</v>
      </c>
      <c r="AZ4" s="26">
        <v>3.0000000000000001E-5</v>
      </c>
      <c r="BA4" s="26">
        <v>3.0000000000000001E-5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3.0000000000000001E-5</v>
      </c>
      <c r="BV4" s="16">
        <f>IF(SUM(AZ4:BA4,BC4:BE4,BG4)-BB4-BF4&gt;0,SUM(AZ4:BA4,BC4:BE4,BG4)-BB4-BF4,"")</f>
        <v>6.0000000000000002E-5</v>
      </c>
      <c r="BW4" s="16" t="str">
        <f>IF(SUM(BH4:BI4,BK4)-BJ4&gt;0,SUM(BH4:BI4,BK4)-BJ4,"")</f>
        <v/>
      </c>
      <c r="BX4" s="16">
        <f>IF(SUM(BA4,BE4,BI4)&gt;0,SUM(BA4,BE4,BI4),"")</f>
        <v>3.0000000000000001E-5</v>
      </c>
      <c r="BY4" s="16">
        <f>IF(SUM(BV4,BW4)&gt;0,SUM(BV4,BW4),"")</f>
        <v>6.0000000000000002E-5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6.0000000000000002E-5</v>
      </c>
      <c r="CC4" s="27">
        <v>18.34</v>
      </c>
      <c r="CD4" s="27">
        <v>7.2</v>
      </c>
      <c r="CE4" s="27">
        <v>0</v>
      </c>
      <c r="CF4" s="27">
        <v>0</v>
      </c>
      <c r="CG4" s="27">
        <v>18.600000000000001</v>
      </c>
      <c r="CH4" s="27">
        <v>8.8000000000000007</v>
      </c>
      <c r="CI4" s="27">
        <v>0</v>
      </c>
      <c r="CJ4" s="27">
        <v>0.3</v>
      </c>
      <c r="CK4" s="27">
        <v>18.399999999999999</v>
      </c>
      <c r="CL4" s="27">
        <v>7.1</v>
      </c>
      <c r="CM4" s="27">
        <v>0</v>
      </c>
      <c r="CN4" s="27">
        <v>0.3</v>
      </c>
      <c r="CO4" s="27">
        <v>18.3</v>
      </c>
      <c r="CP4" s="27">
        <v>6.4</v>
      </c>
      <c r="CQ4" s="27">
        <v>0.6</v>
      </c>
      <c r="CR4" s="27">
        <v>0</v>
      </c>
      <c r="CS4" s="27">
        <v>18.8</v>
      </c>
      <c r="CT4" s="27">
        <v>8.8000000000000007</v>
      </c>
      <c r="CU4" s="27">
        <v>0</v>
      </c>
      <c r="CV4" s="27">
        <v>0.3</v>
      </c>
      <c r="CW4" s="51"/>
      <c r="CX4" s="76">
        <f>IF(SUM(CD4,CH4)&gt;0,SUM(CD4,CH4),"")</f>
        <v>16</v>
      </c>
      <c r="CY4" s="76">
        <f>IF(SUM(CC4:CD4,CF4:CH4,CJ4)-CE4-CI4&gt;0,SUM(CC4:CD4,CF4:CH4,CJ4)-CE4-CI4,"")</f>
        <v>53.239999999999995</v>
      </c>
      <c r="CZ4" s="76">
        <f>IF(SUM(CK4:CL4,CN4)-CM4&gt;0,SUM(CK4:CL4,CN4)-CM4,"")</f>
        <v>25.8</v>
      </c>
      <c r="DA4" s="76">
        <f>IF(SUM(CD4,CH4,CL4)&gt;0,SUM(CD4,CH4,CL4),"")</f>
        <v>23.1</v>
      </c>
      <c r="DB4" s="76">
        <f>IF(SUM(CY4,CZ4)&gt;0,SUM(CY4,CZ4),"")</f>
        <v>79.039999999999992</v>
      </c>
      <c r="DC4" s="76">
        <f>IF(SUM(CP4,CT4)&gt;0,SUM(CP4,CT4),"")</f>
        <v>15.200000000000001</v>
      </c>
      <c r="DD4" s="76">
        <f>IF(SUM(CO4:CP4,CR4:CT4,CV4)-SUM(CQ4,CU4)&gt;0,SUM(CO4:CP4,CR4:CT4,CV4)-SUM(CQ4,CU4),"")</f>
        <v>51.999999999999993</v>
      </c>
      <c r="DE4" s="76">
        <f>IF(SUM(CY4,DD4)&gt;0,SUM(CY4,DD4),"")</f>
        <v>105.23999999999998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3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76" t="str">
        <f>IF(SUM(FN4,FR4)&gt;0,SUM(FN4,FR4),"")</f>
        <v/>
      </c>
      <c r="GH4" s="76" t="str">
        <f>IF(SUM(FM4:FN4,FP4:FR4,FT4)-FO4-FS4&gt;0,SUM(FM4:FN4,FP4:FR4,FT4)-FO4-FS4,"")</f>
        <v/>
      </c>
      <c r="GI4" s="76" t="str">
        <f>IF(SUM(FU4:FV4,FX4)-FW4&gt;0,SUM(FU4:FV4,FX4)-FW4,"")</f>
        <v/>
      </c>
      <c r="GJ4" s="76" t="str">
        <f>IF(SUM(FN4,FR4,FV4)&gt;0,SUM(FN4,FR4,FV4),"")</f>
        <v/>
      </c>
      <c r="GK4" s="76" t="str">
        <f>IF(SUM(GH4,GI4)&gt;0,SUM(GH4,GI4),"")</f>
        <v/>
      </c>
      <c r="GL4" s="76" t="str">
        <f>IF(SUM(FZ4,GD4)&gt;0,SUM(FZ4,GD4),"")</f>
        <v/>
      </c>
      <c r="GM4" s="76" t="str">
        <f>IF(SUM(FY4:FZ4,GB4:GD4,GF4)-SUM(GA4,GE4)&gt;0,SUM(FY4:FZ4,GB4:GD4,GF4)-SUM(GA4,GE4),"")</f>
        <v/>
      </c>
      <c r="GN4" s="76" t="str">
        <f>IF(SUM(GH4,GM4)&gt;0,SUM(GH4,GM4),"")</f>
        <v/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9.1700149999999994</v>
      </c>
      <c r="QH4" s="42">
        <f>IF($CW4="P",CD4,(CD4+BA4)/2)</f>
        <v>3.600015</v>
      </c>
      <c r="QI4" s="42">
        <f>IF($CW4="P",CE4,(CE4+BB4)/2)</f>
        <v>0</v>
      </c>
      <c r="QJ4" s="42">
        <f>IF($CW4="P",CF4,(CF4+BC4)/2)</f>
        <v>0</v>
      </c>
      <c r="QK4" s="42">
        <f>IF($CW4="P",CG4,(CG4+BD4)/2)</f>
        <v>9.3000000000000007</v>
      </c>
      <c r="QL4" s="42">
        <f>IF($CW4="P",CH4,(CH4+BE4)/2)</f>
        <v>4.4000000000000004</v>
      </c>
      <c r="QM4" s="42">
        <f>IF($CW4="P",CI4,(CI4+BF4)/2)</f>
        <v>0</v>
      </c>
      <c r="QN4" s="42">
        <f>IF($CW4="P",CJ4,(CJ4+BG4)/2)</f>
        <v>0.15</v>
      </c>
      <c r="QO4" s="42">
        <f>IF($CW4="P",CK4,(CK4+BH4)/2)</f>
        <v>9.1999999999999993</v>
      </c>
      <c r="QP4" s="42">
        <f>IF($CW4="P",CL4,(CL4+BI4)/2)</f>
        <v>3.55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9.15</v>
      </c>
      <c r="QT4" s="42">
        <f>IF($CW4="P",CP4,(CP4+BM4)/2)</f>
        <v>3.2</v>
      </c>
      <c r="QU4" s="42">
        <f>IF($CW4="P",CQ4,(CQ4+BN4)/2)</f>
        <v>0.3</v>
      </c>
      <c r="QV4" s="42">
        <f>IF($CW4="P",CR4,(CR4+BO4)/2)</f>
        <v>0</v>
      </c>
      <c r="QW4" s="42">
        <f>IF($CW4="P",CS4,(CS4+BP4)/2)</f>
        <v>9.4</v>
      </c>
      <c r="QX4" s="42">
        <f>IF($CW4="P",CT4,(CT4+BQ4)/2)</f>
        <v>4.4000000000000004</v>
      </c>
      <c r="QY4" s="42">
        <f>IF($CW4="P",CU4,(CU4+BR4)/2)</f>
        <v>0</v>
      </c>
      <c r="QZ4" s="42">
        <f>IF($CW4="P",CV4,(CV4+BS4)/2)</f>
        <v>0.15</v>
      </c>
      <c r="RA4" s="51" t="s">
        <v>61</v>
      </c>
      <c r="RB4" s="76">
        <f>IF(SUM(QH4,QL4)&gt;0,SUM(QH4,QL4),"")</f>
        <v>8.0000150000000012</v>
      </c>
      <c r="RC4" s="76">
        <f>IF(SUM(QG4:QH4,QJ4:QL4,QN4)-QI4-QM4&gt;0,SUM(QG4:QH4,QJ4:QL4,QN4)-QI4-QM4,"")</f>
        <v>26.62003</v>
      </c>
      <c r="RD4" s="76">
        <f>IF(SUM(QO4:QP4,QR4)-QQ4&gt;0,SUM(QO4:QP4,QR4)-QQ4,"")</f>
        <v>12.9</v>
      </c>
      <c r="RE4" s="76">
        <f>IF(SUM(QH4,QL4,QP4)&gt;0,SUM(QH4,QL4,QP4),"")</f>
        <v>11.550015000000002</v>
      </c>
      <c r="RF4" s="76">
        <f>IF(SUM(RC4,RD4)&gt;0,SUM(RC4,RD4),"")</f>
        <v>39.520029999999998</v>
      </c>
      <c r="RG4" s="76">
        <f>IF(SUM(QT4,QX4)&gt;0,SUM(QT4,QX4),"")</f>
        <v>7.6000000000000005</v>
      </c>
      <c r="RH4" s="76">
        <f>IF(SUM(QS4:QT4,QV4:QX4,QZ4)-SUM(QU4,QY4)&gt;0,SUM(QS4:QT4,QV4:QX4,QZ4)-SUM(QU4,QY4),"")</f>
        <v>25.999999999999996</v>
      </c>
      <c r="RI4" s="76">
        <f>IF(SUM(RC4,RH4)&gt;0,SUM(RC4,RH4),"")</f>
        <v>52.62003</v>
      </c>
    </row>
    <row r="5" spans="1:477" x14ac:dyDescent="0.2">
      <c r="A5" s="5" cm="1">
        <f t="array" ref="A5">IF(AND(F5="P",G5="P"),SUMPRODUCT((F$4:F$18="P")*(G$4:G$18="P")*(E$4:E$18&gt;E5))+1,IF(G5="P",SUMPRODUCT((F$4:F$18="")*(G$4:G$18="P")*(E$4:E$18&gt;E5))+1+SUMPRODUCT((F$4:F$18="P")*(G$4:G$18="P")),""))</f>
        <v>2</v>
      </c>
      <c r="B5" s="6" t="s">
        <v>85</v>
      </c>
      <c r="C5" s="7" t="s">
        <v>3</v>
      </c>
      <c r="D5" s="18">
        <v>2003</v>
      </c>
      <c r="E5" s="14">
        <f>SUM(J5:T5)+SUM(J5:P5)*0.0000001+SUM(J5)*0.0000000000001</f>
        <v>133.20008766001359</v>
      </c>
      <c r="F5" s="3" t="str">
        <f>IF(OR(AND(AR5&gt;=AY$20,AS5&gt;=AY$24,AR5&lt;&gt;"",AQ5=""),AND(AW5&gt;=AY$20,AX5&gt;=AY$24,AW5&lt;&gt;"",AQ5=""),AND(BU5&gt;=CB$20,BV5&gt;=CB$24,BU5&lt;&gt;"",BT5=""),AND(BZ5&gt;=CB$20,CA5&gt;=CB$24,BZ5&lt;&gt;"",BT5=""),AND(CX5&gt;=DE$20,CY5&gt;=DE$24,CX5&lt;&gt;"",CW5=""),AND(DC5&gt;=DE$20,DD5&gt;=DE$24,DC5&lt;&gt;""),AND(EC5&gt;=EJ$20,ED5&gt;=EJ$24,EC5&lt;&gt;""),AND(EH5&gt;=EJ$20,EI5&gt;=EJ$24,EH5&lt;&gt;""),AND(FE5&gt;=FL$20,FF5&gt;=FL$24,FE5&lt;&gt;""),AND(FJ5&gt;=FL$20,FK5&gt;=FL$24,FJ5&lt;&gt;""),AND(GG5&gt;=GN$20,GH5&gt;=GN$24,GG5&lt;&gt;""),AND(GL5&gt;=GN$20,GM5&gt;=GN$24,GL5&lt;&gt;""),AND(HI5&gt;=HP$20,HJ5&gt;=HP$24,HI5&lt;&gt;""),AND(HN5&gt;=HP$20,HO5&gt;=HP$24,HN5&lt;&gt;""),AND(IK5&gt;=IR$20,IL5&gt;=IR$24,IK5&lt;&gt;""),AND(IP5&gt;=IR$20,IQ5&gt;=IR$24,IP5&lt;&gt;""),AND(JM5&gt;=JT$20,JN5&gt;=JT$24,JM5&lt;&gt;""),AND(JR5&gt;=JT$20,JS5&gt;=JT$24,JR5&lt;&gt;""),AND(KO5&gt;=KV$20,KP5&gt;=KV$24,KO5&lt;&gt;""),AND(KT5&gt;=KV$20,KU5&gt;=KV$24,KT5&lt;&gt;""),AND(LQ5&gt;=LX$20,LR5&gt;=LX$24,LQ5&lt;&gt;""),AND(LV5&gt;=LX$20,LW5&gt;=LX$24,LV5&lt;&gt;""),AND(MS5&gt;=MZ$20,MT5&gt;=MZ$24,MS5&lt;&gt;""),AND(MX5&gt;=MZ$20,MY5&gt;=MZ$24,MX5&lt;&gt;""),AND(NU5&gt;=OB$20,NV5&gt;=OB$24,NU5&lt;&gt;""),AND(NZ5&gt;=OB$20,OA5&gt;=OB$24,NZ5&lt;&gt;""),AND(OW5&gt;=PD$20,OX5&gt;=PD$24,OW5&lt;&gt;""),AND(PB5&gt;=PD$20,PC5&gt;=PD$24,PB5&lt;&gt;""),AND(PY5&gt;=QF$20,PZ5&gt;=QF$24,PY5&lt;&gt;""),AND(QD5&gt;=QF$20,QE5&gt;=QF$24,QD5&lt;&gt;"")),"P","")</f>
        <v>P</v>
      </c>
      <c r="G5" s="3" t="str">
        <f>IF(OR(AND(AS5&gt;=AY$24,AS5&lt;&gt;"",AQ5=""),AND(AX5&gt;=AY$24,AX5&lt;&gt;"",AQ5=""),AND(BV5&gt;=CB$24,BV5&lt;&gt;"",BT5=""),AND(CA5&gt;=CB$24,CA5&lt;&gt;"",BT5=""),AND(CY5&gt;=DE$24,CY5&lt;&gt;"",CW5=""),AND(DD5&gt;=DE$24,DD5&lt;&gt;"",CW5=""),AND(ED5&gt;=EJ$24,ED5&lt;&gt;""),AND(EI5&gt;=EJ$24,EI5&lt;&gt;""),AND(FF5&gt;=FL$24,FF5&lt;&gt;""),AND(FK5&gt;=FL$24,FK5&lt;&gt;""),AND(GH5&gt;=GN$24,GH5&lt;&gt;""),AND(GM5&gt;=GN$24,GM5&lt;&gt;""),AND(HJ5&gt;=HP$24,HJ5&lt;&gt;""),AND(HO5&gt;=HP$24,HO5&lt;&gt;""),AND(IL5&gt;=IR$24,IL5&lt;&gt;""),AND(IQ5&gt;=IR$24,IQ5&lt;&gt;""),AND(JN5&gt;=JT$24,JN5&lt;&gt;""),AND(JS5&gt;=JT$24,JS5&lt;&gt;""),AND(KP5&gt;=KV$24,KP5&lt;&gt;""),AND(KU5&gt;=KV$24,KU5&lt;&gt;""),AND(LR5&gt;=LX$24,LR5&lt;&gt;""),AND(LW5&gt;=LX$24,LW5&lt;&gt;""),AND(MT5&gt;=MZ$24,MT5&lt;&gt;""),AND(MY5&gt;=MZ$24,MY5&lt;&gt;""),AND(NV5&gt;=OB$24,NV5&lt;&gt;""),AND(OA5&gt;=OB$24,OA5&lt;&gt;""),AND(OX5&gt;=PD$24,OX5&lt;&gt;""),AND(PC5&gt;=PD$24,PC5&lt;&gt;""),AND(PZ5&gt;=QF$24,PZ5&lt;&gt;""),AND(QE5&gt;=QF$24,QE5&lt;&gt;"")),"P","")</f>
        <v>P</v>
      </c>
      <c r="H5" s="70" t="str">
        <f>IF(AND(G5="P",F5=""),"No DD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Merit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Excellence",IF(I5="P","Worlds Team",IF(F5="P","National Team","")))))</f>
        <v>Merit</v>
      </c>
      <c r="I5" s="3" t="str">
        <f>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8.0000000000000007E-5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20.6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54.599999999999994</v>
      </c>
      <c r="S5" s="13" t="str">
        <f>IF(R5=0,"",IF(R5=DD5,$CC$1,IF(R5=CA5,$AZ$1,IF(R5=AX5,$W$1,""))))</f>
        <v>2022 Elite Canada</v>
      </c>
      <c r="T5" s="13">
        <f>IF(MAX(DF5:DH5)&gt;0,MAX(DF5:DH5),"")</f>
        <v>2.0000000000000071</v>
      </c>
      <c r="U5" s="16" t="str">
        <f>IF(T5="","",IF(T5=DF5,"("&amp;DF$2&amp;")",IF(T5=DH5,"("&amp;DH$2&amp;")")))</f>
        <v>(Final)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4.0000000000000003E-5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4.0000000000000003E-5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4.0000000000000003E-5</v>
      </c>
      <c r="BA5" s="26">
        <v>4.0000000000000003E-5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4.0000000000000003E-5</v>
      </c>
      <c r="BV5" s="16">
        <f>IF(SUM(AZ5:BA5,BC5:BE5,BG5)-BB5-BF5&gt;0,SUM(AZ5:BA5,BC5:BE5,BG5)-BB5-BF5,"")</f>
        <v>8.0000000000000007E-5</v>
      </c>
      <c r="BW5" s="16" t="str">
        <f>IF(SUM(BH5:BI5,BK5)-BJ5&gt;0,SUM(BH5:BI5,BK5)-BJ5,"")</f>
        <v/>
      </c>
      <c r="BX5" s="16">
        <f>IF(SUM(BA5,BE5,BI5)&gt;0,SUM(BA5,BE5,BI5),"")</f>
        <v>4.0000000000000003E-5</v>
      </c>
      <c r="BY5" s="16">
        <f>IF(SUM(BV5,BW5)&gt;0,SUM(BV5,BW5),"")</f>
        <v>8.0000000000000007E-5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8.0000000000000007E-5</v>
      </c>
      <c r="CC5" s="27">
        <v>18.8</v>
      </c>
      <c r="CD5" s="27">
        <v>9.1999999999999993</v>
      </c>
      <c r="CE5" s="27">
        <v>0.6</v>
      </c>
      <c r="CF5" s="27">
        <v>0.3</v>
      </c>
      <c r="CG5" s="27">
        <v>19</v>
      </c>
      <c r="CH5" s="27">
        <v>9.1999999999999993</v>
      </c>
      <c r="CI5" s="27">
        <v>0.2</v>
      </c>
      <c r="CJ5" s="27">
        <v>0.3</v>
      </c>
      <c r="CK5" s="27">
        <v>17.8</v>
      </c>
      <c r="CL5" s="27">
        <v>2.8</v>
      </c>
      <c r="CM5" s="27">
        <v>0</v>
      </c>
      <c r="CN5" s="27">
        <v>0</v>
      </c>
      <c r="CO5" s="27">
        <v>19</v>
      </c>
      <c r="CP5" s="27">
        <v>8.5</v>
      </c>
      <c r="CQ5" s="27">
        <v>0</v>
      </c>
      <c r="CR5" s="27">
        <v>0.3</v>
      </c>
      <c r="CS5" s="27">
        <v>18.7</v>
      </c>
      <c r="CT5" s="27">
        <v>8.4</v>
      </c>
      <c r="CU5" s="27">
        <v>0.6</v>
      </c>
      <c r="CV5" s="27">
        <v>0.3</v>
      </c>
      <c r="CW5" s="51"/>
      <c r="CX5" s="76">
        <f>IF(SUM(CD5,CH5)&gt;0,SUM(CD5,CH5),"")</f>
        <v>18.399999999999999</v>
      </c>
      <c r="CY5" s="76">
        <f>IF(SUM(CC5:CD5,CF5:CH5,CJ5)-CE5-CI5&gt;0,SUM(CC5:CD5,CF5:CH5,CJ5)-CE5-CI5,"")</f>
        <v>55.999999999999993</v>
      </c>
      <c r="CZ5" s="76">
        <f>IF(SUM(CK5:CL5,CN5)-CM5&gt;0,SUM(CK5:CL5,CN5)-CM5,"")</f>
        <v>20.6</v>
      </c>
      <c r="DA5" s="76">
        <f>IF(SUM(CD5,CH5,CL5)&gt;0,SUM(CD5,CH5,CL5),"")</f>
        <v>21.2</v>
      </c>
      <c r="DB5" s="76">
        <f>IF(SUM(CY5,CZ5)&gt;0,SUM(CY5,CZ5),"")</f>
        <v>76.599999999999994</v>
      </c>
      <c r="DC5" s="76">
        <f>IF(SUM(CP5,CT5)&gt;0,SUM(CP5,CT5),"")</f>
        <v>16.899999999999999</v>
      </c>
      <c r="DD5" s="76">
        <f>IF(SUM(CO5:CP5,CR5:CT5,CV5)-SUM(CQ5,CU5)&gt;0,SUM(CO5:CP5,CR5:CT5,CV5)-SUM(CQ5,CU5),"")</f>
        <v>54.599999999999994</v>
      </c>
      <c r="DE5" s="76">
        <f>IF(SUM(CY5,DD5)&gt;0,SUM(CY5,DD5),"")</f>
        <v>110.6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>
        <f>IF(R5&gt;=0.001,IF(MAX(EI5,FK5,GM5,HO5,IQ5,JS5,KU5,LW5,MY5,OA5,PC5,QE5)-IF(R5="",0,R5)&gt;0.001,MAX(EI5,FK5,GM5,HO5,IQ5,JS5,KU5,LW5,MY5,OA5,PC5,QE5)-IF(R5="",0,R5),""),"")</f>
        <v>2.0000000000000071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 t="str">
        <f>IF(SUM(FN5,FR5)&gt;0,SUM(FN5,FR5),"")</f>
        <v/>
      </c>
      <c r="GH5" s="76" t="str">
        <f>IF(SUM(FM5:FN5,FP5:FR5,FT5)-FO5-FS5&gt;0,SUM(FM5:FN5,FP5:FR5,FT5)-FO5-FS5,"")</f>
        <v/>
      </c>
      <c r="GI5" s="76" t="str">
        <f>IF(SUM(FU5:FV5,FX5)-FW5&gt;0,SUM(FU5:FV5,FX5)-FW5,"")</f>
        <v/>
      </c>
      <c r="GJ5" s="76" t="str">
        <f>IF(SUM(FN5,FR5,FV5)&gt;0,SUM(FN5,FR5,FV5),"")</f>
        <v/>
      </c>
      <c r="GK5" s="76" t="str">
        <f>IF(SUM(GH5,GI5)&gt;0,SUM(GH5,GI5),"")</f>
        <v/>
      </c>
      <c r="GL5" s="76" t="str">
        <f>IF(SUM(FZ5,GD5)&gt;0,SUM(FZ5,GD5),"")</f>
        <v/>
      </c>
      <c r="GM5" s="76" t="str">
        <f>IF(SUM(FY5:FZ5,GB5:GD5,GF5)-SUM(GA5,GE5)&gt;0,SUM(FY5:FZ5,GB5:GD5,GF5)-SUM(GA5,GE5),"")</f>
        <v/>
      </c>
      <c r="GN5" s="76" t="str">
        <f>IF(SUM(GH5,GM5)&gt;0,SUM(GH5,GM5),"")</f>
        <v/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9.4000199999999996</v>
      </c>
      <c r="QH5" s="42">
        <f>IF($CW5="P",CD5,(CD5+BA5)/2)</f>
        <v>4.6000199999999998</v>
      </c>
      <c r="QI5" s="42">
        <f>IF($CW5="P",CE5,(CE5+BB5)/2)</f>
        <v>0.3</v>
      </c>
      <c r="QJ5" s="42">
        <f>IF($CW5="P",CF5,(CF5+BC5)/2)</f>
        <v>0.15</v>
      </c>
      <c r="QK5" s="42">
        <f>IF($CW5="P",CG5,(CG5+BD5)/2)</f>
        <v>9.5</v>
      </c>
      <c r="QL5" s="42">
        <f>IF($CW5="P",CH5,(CH5+BE5)/2)</f>
        <v>4.5999999999999996</v>
      </c>
      <c r="QM5" s="42">
        <f>IF($CW5="P",CI5,(CI5+BF5)/2)</f>
        <v>0.1</v>
      </c>
      <c r="QN5" s="42">
        <f>IF($CW5="P",CJ5,(CJ5+BG5)/2)</f>
        <v>0.15</v>
      </c>
      <c r="QO5" s="42">
        <f>IF($CW5="P",CK5,(CK5+BH5)/2)</f>
        <v>8.9</v>
      </c>
      <c r="QP5" s="42">
        <f>IF($CW5="P",CL5,(CL5+BI5)/2)</f>
        <v>1.4</v>
      </c>
      <c r="QQ5" s="42">
        <f>IF($CW5="P",CM5,(CM5+BJ5)/2)</f>
        <v>0</v>
      </c>
      <c r="QR5" s="42">
        <f>IF($CW5="P",CN5,(CN5+BK5)/2)</f>
        <v>0</v>
      </c>
      <c r="QS5" s="42">
        <f>IF($CW5="P",CO5,(CO5+BL5)/2)</f>
        <v>9.5</v>
      </c>
      <c r="QT5" s="42">
        <f>IF($CW5="P",CP5,(CP5+BM5)/2)</f>
        <v>4.25</v>
      </c>
      <c r="QU5" s="42">
        <f>IF($CW5="P",CQ5,(CQ5+BN5)/2)</f>
        <v>0</v>
      </c>
      <c r="QV5" s="42">
        <f>IF($CW5="P",CR5,(CR5+BO5)/2)</f>
        <v>0.15</v>
      </c>
      <c r="QW5" s="42">
        <f>IF($CW5="P",CS5,(CS5+BP5)/2)</f>
        <v>9.35</v>
      </c>
      <c r="QX5" s="42">
        <f>IF($CW5="P",CT5,(CT5+BQ5)/2)</f>
        <v>4.2</v>
      </c>
      <c r="QY5" s="42">
        <f>IF($CW5="P",CU5,(CU5+BR5)/2)</f>
        <v>0.3</v>
      </c>
      <c r="QZ5" s="42">
        <f>IF($CW5="P",CV5,(CV5+BS5)/2)</f>
        <v>0.15</v>
      </c>
      <c r="RA5" s="51" t="s">
        <v>61</v>
      </c>
      <c r="RB5" s="76">
        <f>IF(SUM(QH5,QL5)&gt;0,SUM(QH5,QL5),"")</f>
        <v>9.2000199999999985</v>
      </c>
      <c r="RC5" s="76">
        <f>IF(SUM(QG5:QH5,QJ5:QL5,QN5)-QI5-QM5&gt;0,SUM(QG5:QH5,QJ5:QL5,QN5)-QI5-QM5,"")</f>
        <v>28.000039999999995</v>
      </c>
      <c r="RD5" s="76">
        <f>IF(SUM(QO5:QP5,QR5)-QQ5&gt;0,SUM(QO5:QP5,QR5)-QQ5,"")</f>
        <v>10.3</v>
      </c>
      <c r="RE5" s="76">
        <f>IF(SUM(QH5,QL5,QP5)&gt;0,SUM(QH5,QL5,QP5),"")</f>
        <v>10.600019999999999</v>
      </c>
      <c r="RF5" s="76">
        <f>IF(SUM(RC5,RD5)&gt;0,SUM(RC5,RD5),"")</f>
        <v>38.300039999999996</v>
      </c>
      <c r="RG5" s="76">
        <f>IF(SUM(QT5,QX5)&gt;0,SUM(QT5,QX5),"")</f>
        <v>8.4499999999999993</v>
      </c>
      <c r="RH5" s="76">
        <f>IF(SUM(QS5:QT5,QV5:QX5,QZ5)-SUM(QU5,QY5)&gt;0,SUM(QS5:QT5,QV5:QX5,QZ5)-SUM(QU5,QY5),"")</f>
        <v>27.299999999999997</v>
      </c>
      <c r="RI5" s="76">
        <f>IF(SUM(RC5,RH5)&gt;0,SUM(RC5,RH5),"")</f>
        <v>55.300039999999996</v>
      </c>
    </row>
    <row r="6" spans="1:477" x14ac:dyDescent="0.2">
      <c r="A6" s="5">
        <f>IF(AND(F6="P",G6="P"),SUMPRODUCT((F$4:F$18="P")*(G$4:G$18="P")*(E$4:E$18&gt;E6))+1,IF(G6="P",SUMPRODUCT((F$4:F$18="")*(G$4:G$18="P")*(E$4:E$18&gt;E6))+1+SUMPRODUCT((F$4:F$18="P")*(G$4:G$18="P")),""))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131.30000785000527</v>
      </c>
      <c r="F6" s="3" t="str">
        <f>IF(OR(AND(AR6&gt;=AY$20,AS6&gt;=AY$24,AR6&lt;&gt;"",AQ6=""),AND(AW6&gt;=AY$20,AX6&gt;=AY$24,AW6&lt;&gt;"",AQ6=""),AND(BU6&gt;=CB$20,BV6&gt;=CB$24,BU6&lt;&gt;"",BT6=""),AND(BZ6&gt;=CB$20,CA6&gt;=CB$24,BZ6&lt;&gt;"",BT6=""),AND(CX6&gt;=DE$20,CY6&gt;=DE$24,CX6&lt;&gt;"",CW6=""),AND(DC6&gt;=DE$20,DD6&gt;=DE$24,DC6&lt;&gt;""),AND(EC6&gt;=EJ$20,ED6&gt;=EJ$24,EC6&lt;&gt;""),AND(EH6&gt;=EJ$20,EI6&gt;=EJ$24,EH6&lt;&gt;""),AND(FE6&gt;=FL$20,FF6&gt;=FL$24,FE6&lt;&gt;""),AND(FJ6&gt;=FL$20,FK6&gt;=FL$24,FJ6&lt;&gt;""),AND(GG6&gt;=GN$20,GH6&gt;=GN$24,GG6&lt;&gt;""),AND(GL6&gt;=GN$20,GM6&gt;=GN$24,GL6&lt;&gt;""),AND(HI6&gt;=HP$20,HJ6&gt;=HP$24,HI6&lt;&gt;""),AND(HN6&gt;=HP$20,HO6&gt;=HP$24,HN6&lt;&gt;""),AND(IK6&gt;=IR$20,IL6&gt;=IR$24,IK6&lt;&gt;""),AND(IP6&gt;=IR$20,IQ6&gt;=IR$24,IP6&lt;&gt;""),AND(JM6&gt;=JT$20,JN6&gt;=JT$24,JM6&lt;&gt;""),AND(JR6&gt;=JT$20,JS6&gt;=JT$24,JR6&lt;&gt;""),AND(KO6&gt;=KV$20,KP6&gt;=KV$24,KO6&lt;&gt;""),AND(KT6&gt;=KV$20,KU6&gt;=KV$24,KT6&lt;&gt;""),AND(LQ6&gt;=LX$20,LR6&gt;=LX$24,LQ6&lt;&gt;""),AND(LV6&gt;=LX$20,LW6&gt;=LX$24,LV6&lt;&gt;""),AND(MS6&gt;=MZ$20,MT6&gt;=MZ$24,MS6&lt;&gt;""),AND(MX6&gt;=MZ$20,MY6&gt;=MZ$24,MX6&lt;&gt;""),AND(NU6&gt;=OB$20,NV6&gt;=OB$24,NU6&lt;&gt;""),AND(NZ6&gt;=OB$20,OA6&gt;=OB$24,NZ6&lt;&gt;""),AND(OW6&gt;=PD$20,OX6&gt;=PD$24,OW6&lt;&gt;""),AND(PB6&gt;=PD$20,PC6&gt;=PD$24,PB6&lt;&gt;""),AND(PY6&gt;=QF$20,PZ6&gt;=QF$24,PY6&lt;&gt;""),AND(QD6&gt;=QF$20,QE6&gt;=QF$24,QD6&lt;&gt;"")),"P","")</f>
        <v>P</v>
      </c>
      <c r="G6" s="3" t="str">
        <f>IF(OR(AND(AS6&gt;=AY$24,AS6&lt;&gt;"",AQ6=""),AND(AX6&gt;=AY$24,AX6&lt;&gt;"",AQ6=""),AND(BV6&gt;=CB$24,BV6&lt;&gt;"",BT6=""),AND(CA6&gt;=CB$24,CA6&lt;&gt;"",BT6=""),AND(CY6&gt;=DE$24,CY6&lt;&gt;"",CW6=""),AND(DD6&gt;=DE$24,DD6&lt;&gt;"",CW6=""),AND(ED6&gt;=EJ$24,ED6&lt;&gt;""),AND(EI6&gt;=EJ$24,EI6&lt;&gt;""),AND(FF6&gt;=FL$24,FF6&lt;&gt;""),AND(FK6&gt;=FL$24,FK6&lt;&gt;""),AND(GH6&gt;=GN$24,GH6&lt;&gt;""),AND(GM6&gt;=GN$24,GM6&lt;&gt;""),AND(HJ6&gt;=HP$24,HJ6&lt;&gt;""),AND(HO6&gt;=HP$24,HO6&lt;&gt;""),AND(IL6&gt;=IR$24,IL6&lt;&gt;""),AND(IQ6&gt;=IR$24,IQ6&lt;&gt;""),AND(JN6&gt;=JT$24,JN6&lt;&gt;""),AND(JS6&gt;=JT$24,JS6&lt;&gt;""),AND(KP6&gt;=KV$24,KP6&lt;&gt;""),AND(KU6&gt;=KV$24,KU6&lt;&gt;""),AND(LR6&gt;=LX$24,LR6&lt;&gt;""),AND(LW6&gt;=LX$24,LW6&lt;&gt;""),AND(MT6&gt;=MZ$24,MT6&lt;&gt;""),AND(MY6&gt;=MZ$24,MY6&lt;&gt;""),AND(NV6&gt;=OB$24,NV6&lt;&gt;""),AND(OA6&gt;=OB$24,OA6&lt;&gt;""),AND(OX6&gt;=PD$24,OX6&lt;&gt;""),AND(PC6&gt;=PD$24,PC6&lt;&gt;""),AND(PZ6&gt;=QF$24,PZ6&lt;&gt;""),AND(QE6&gt;=QF$24,QE6&lt;&gt;"")),"P","")</f>
        <v>P</v>
      </c>
      <c r="H6" s="70" t="str">
        <f>IF(AND(G6="P",F6=""),"No DD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Merit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Excellence",IF(I6="P","Worlds Team",IF(F6="P","National Team","")))))</f>
        <v>Worlds Team</v>
      </c>
      <c r="I6" s="3" t="str">
        <f>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0</v>
      </c>
      <c r="M6" s="13" t="str">
        <f>IF(L6=0,"",IF(L6=CY6,$CC$1,IF(L6=BV6,$AZ$1,IF(L6=AS6,$W$1,""))))</f>
        <v/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26.199999999999996</v>
      </c>
      <c r="S6" s="13" t="str">
        <f>IF(R6=0,"",IF(R6=DD6,$CC$1,IF(R6=CA6,$AZ$1,IF(R6=AX6,$W$1,""))))</f>
        <v>2022 Elite Canada</v>
      </c>
      <c r="T6" s="13">
        <f>IF(MAX(DF6:DH6)&gt;0,MAX(DF6:DH6),"")</f>
        <v>26.6</v>
      </c>
      <c r="U6" s="16" t="str">
        <f>IF(T6="","",IF(T6=DF6,"("&amp;DF$2&amp;")",IF(T6=DH6,"("&amp;DH$2&amp;")")))</f>
        <v>(Final)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>IF(SUM(BA6,BE6)&gt;0,SUM(BA6,BE6),"")</f>
        <v/>
      </c>
      <c r="BV6" s="16" t="str">
        <f>IF(SUM(AZ6:BA6,BC6:BE6,BG6)-BB6-BF6&gt;0,SUM(AZ6:BA6,BC6:BE6,BG6)-BB6-BF6,"")</f>
        <v/>
      </c>
      <c r="BW6" s="16" t="str">
        <f>IF(SUM(BH6:BI6,BK6)-BJ6&gt;0,SUM(BH6:BI6,BK6)-BJ6,"")</f>
        <v/>
      </c>
      <c r="BX6" s="16" t="str">
        <f>IF(SUM(BA6,BE6,BI6)&gt;0,SUM(BA6,BE6,BI6),"")</f>
        <v/>
      </c>
      <c r="BY6" s="16" t="str">
        <f>IF(SUM(BV6,BW6)&gt;0,SUM(BV6,BW6),"")</f>
        <v/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 t="str">
        <f>IF(SUM(BV6,CA6)&gt;0,SUM(BV6,CA6),"")</f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>IF(SUM(CD6,CH6)&gt;0,SUM(CD6,CH6),"")</f>
        <v>15.7</v>
      </c>
      <c r="CY6" s="76">
        <f>IF(SUM(CC6:CD6,CF6:CH6,CJ6)-CE6-CI6&gt;0,SUM(CC6:CD6,CF6:CH6,CJ6)-CE6-CI6,"")</f>
        <v>53</v>
      </c>
      <c r="CZ6" s="76">
        <f>IF(SUM(CK6:CL6,CN6)-CM6&gt;0,SUM(CK6:CL6,CN6)-CM6,"")</f>
        <v>25.5</v>
      </c>
      <c r="DA6" s="76">
        <f>IF(SUM(CD6,CH6,CL6)&gt;0,SUM(CD6,CH6,CL6),"")</f>
        <v>22.9</v>
      </c>
      <c r="DB6" s="76">
        <f>IF(SUM(CY6,CZ6)&gt;0,SUM(CY6,CZ6),"")</f>
        <v>78.5</v>
      </c>
      <c r="DC6" s="76">
        <f>IF(SUM(CP6,CT6)&gt;0,SUM(CP6,CT6),"")</f>
        <v>8.4</v>
      </c>
      <c r="DD6" s="76">
        <f>IF(SUM(CO6:CP6,CR6:CT6,CV6)-SUM(CQ6,CU6)&gt;0,SUM(CO6:CP6,CR6:CT6,CV6)-SUM(CQ6,CU6),"")</f>
        <v>26.199999999999996</v>
      </c>
      <c r="DE6" s="76">
        <f>IF(SUM(CY6,DD6)&gt;0,SUM(CY6,DD6),"")</f>
        <v>79.199999999999989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9.3000000000000007</v>
      </c>
      <c r="QH6" s="42">
        <f>IF($CW6="P",CD6,(CD6+BA6)/2)</f>
        <v>4.2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9.35</v>
      </c>
      <c r="QL6" s="42">
        <f>IF($CW6="P",CH6,(CH6+BE6)/2)</f>
        <v>3.65</v>
      </c>
      <c r="QM6" s="42">
        <f>IF($CW6="P",CI6,(CI6+BF6)/2)</f>
        <v>0</v>
      </c>
      <c r="QN6" s="42">
        <f>IF($CW6="P",CJ6,(CJ6+BG6)/2)</f>
        <v>0</v>
      </c>
      <c r="QO6" s="42">
        <f>IF($CW6="P",CK6,(CK6+BH6)/2)</f>
        <v>9.15</v>
      </c>
      <c r="QP6" s="42">
        <f>IF($CW6="P",CL6,(CL6+BI6)/2)</f>
        <v>3.6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9.1999999999999993</v>
      </c>
      <c r="QT6" s="42">
        <f>IF($CW6="P",CP6,(CP6+BM6)/2)</f>
        <v>4.2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0</v>
      </c>
      <c r="QX6" s="42">
        <f>IF($CW6="P",CT6,(CT6+BQ6)/2)</f>
        <v>0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7.85</v>
      </c>
      <c r="RC6" s="76">
        <f>IF(SUM(QG6:QH6,QJ6:QL6,QN6)-QI6-QM6&gt;0,SUM(QG6:QH6,QJ6:QL6,QN6)-QI6-QM6,"")</f>
        <v>26.5</v>
      </c>
      <c r="RD6" s="76">
        <f>IF(SUM(QO6:QP6,QR6)-QQ6&gt;0,SUM(QO6:QP6,QR6)-QQ6,"")</f>
        <v>12.75</v>
      </c>
      <c r="RE6" s="76">
        <f>IF(SUM(QH6,QL6,QP6)&gt;0,SUM(QH6,QL6,QP6),"")</f>
        <v>11.45</v>
      </c>
      <c r="RF6" s="76">
        <f>IF(SUM(RC6,RD6)&gt;0,SUM(RC6,RD6),"")</f>
        <v>39.25</v>
      </c>
      <c r="RG6" s="76">
        <f>IF(SUM(QT6,QX6)&gt;0,SUM(QT6,QX6),"")</f>
        <v>4.2</v>
      </c>
      <c r="RH6" s="76">
        <f>IF(SUM(QS6:QT6,QV6:QX6,QZ6)-SUM(QU6,QY6)&gt;0,SUM(QS6:QT6,QV6:QX6,QZ6)-SUM(QU6,QY6),"")</f>
        <v>13.099999999999998</v>
      </c>
      <c r="RI6" s="76">
        <f>IF(SUM(RC6,RH6)&gt;0,SUM(RC6,RH6),"")</f>
        <v>39.599999999999994</v>
      </c>
    </row>
    <row r="7" spans="1:477" x14ac:dyDescent="0.2">
      <c r="A7" s="5">
        <f>IF(AND(F7="P",G7="P"),SUMPRODUCT((F$4:F$18="P")*(G$4:G$18="P")*(E$4:E$18&gt;E7))+1,IF(G7="P",SUMPRODUCT((F$4:F$18="")*(G$4:G$18="P")*(E$4:E$18&gt;E7))+1+SUMPRODUCT((F$4:F$18="P")*(G$4:G$18="P")),""))</f>
        <v>4</v>
      </c>
      <c r="B7" s="6" t="s">
        <v>91</v>
      </c>
      <c r="C7" s="7" t="s">
        <v>5</v>
      </c>
      <c r="D7" s="18">
        <v>2002</v>
      </c>
      <c r="E7" s="14">
        <f>SUM(J7:T7)+SUM(J7:P7)*0.0000001+SUM(J7)*0.0000000000001</f>
        <v>120.60005743000985</v>
      </c>
      <c r="F7" s="3" t="str">
        <f>IF(OR(AND(AR7&gt;=AY$20,AS7&gt;=AY$24,AR7&lt;&gt;"",AQ7=""),AND(AW7&gt;=AY$20,AX7&gt;=AY$24,AW7&lt;&gt;"",AQ7=""),AND(BU7&gt;=CB$20,BV7&gt;=CB$24,BU7&lt;&gt;"",BT7=""),AND(BZ7&gt;=CB$20,CA7&gt;=CB$24,BZ7&lt;&gt;"",BT7=""),AND(CX7&gt;=DE$20,CY7&gt;=DE$24,CX7&lt;&gt;"",CW7=""),AND(DC7&gt;=DE$20,DD7&gt;=DE$24,DC7&lt;&gt;""),AND(EC7&gt;=EJ$20,ED7&gt;=EJ$24,EC7&lt;&gt;""),AND(EH7&gt;=EJ$20,EI7&gt;=EJ$24,EH7&lt;&gt;""),AND(FE7&gt;=FL$20,FF7&gt;=FL$24,FE7&lt;&gt;""),AND(FJ7&gt;=FL$20,FK7&gt;=FL$24,FJ7&lt;&gt;""),AND(GG7&gt;=GN$20,GH7&gt;=GN$24,GG7&lt;&gt;""),AND(GL7&gt;=GN$20,GM7&gt;=GN$24,GL7&lt;&gt;""),AND(HI7&gt;=HP$20,HJ7&gt;=HP$24,HI7&lt;&gt;""),AND(HN7&gt;=HP$20,HO7&gt;=HP$24,HN7&lt;&gt;""),AND(IK7&gt;=IR$20,IL7&gt;=IR$24,IK7&lt;&gt;""),AND(IP7&gt;=IR$20,IQ7&gt;=IR$24,IP7&lt;&gt;""),AND(JM7&gt;=JT$20,JN7&gt;=JT$24,JM7&lt;&gt;""),AND(JR7&gt;=JT$20,JS7&gt;=JT$24,JR7&lt;&gt;""),AND(KO7&gt;=KV$20,KP7&gt;=KV$24,KO7&lt;&gt;""),AND(KT7&gt;=KV$20,KU7&gt;=KV$24,KT7&lt;&gt;""),AND(LQ7&gt;=LX$20,LR7&gt;=LX$24,LQ7&lt;&gt;""),AND(LV7&gt;=LX$20,LW7&gt;=LX$24,LV7&lt;&gt;""),AND(MS7&gt;=MZ$20,MT7&gt;=MZ$24,MS7&lt;&gt;""),AND(MX7&gt;=MZ$20,MY7&gt;=MZ$24,MX7&lt;&gt;""),AND(NU7&gt;=OB$20,NV7&gt;=OB$24,NU7&lt;&gt;""),AND(NZ7&gt;=OB$20,OA7&gt;=OB$24,NZ7&lt;&gt;""),AND(OW7&gt;=PD$20,OX7&gt;=PD$24,OW7&lt;&gt;""),AND(PB7&gt;=PD$20,PC7&gt;=PD$24,PB7&lt;&gt;""),AND(PY7&gt;=QF$20,PZ7&gt;=QF$24,PY7&lt;&gt;""),AND(QD7&gt;=QF$20,QE7&gt;=QF$24,QD7&lt;&gt;"")),"P","")</f>
        <v>P</v>
      </c>
      <c r="G7" s="3" t="str">
        <f>IF(OR(AND(AS7&gt;=AY$24,AS7&lt;&gt;"",AQ7=""),AND(AX7&gt;=AY$24,AX7&lt;&gt;"",AQ7=""),AND(BV7&gt;=CB$24,BV7&lt;&gt;"",BT7=""),AND(CA7&gt;=CB$24,CA7&lt;&gt;"",BT7=""),AND(CY7&gt;=DE$24,CY7&lt;&gt;"",CW7=""),AND(DD7&gt;=DE$24,DD7&lt;&gt;"",CW7=""),AND(ED7&gt;=EJ$24,ED7&lt;&gt;""),AND(EI7&gt;=EJ$24,EI7&lt;&gt;""),AND(FF7&gt;=FL$24,FF7&lt;&gt;""),AND(FK7&gt;=FL$24,FK7&lt;&gt;""),AND(GH7&gt;=GN$24,GH7&lt;&gt;""),AND(GM7&gt;=GN$24,GM7&lt;&gt;""),AND(HJ7&gt;=HP$24,HJ7&lt;&gt;""),AND(HO7&gt;=HP$24,HO7&lt;&gt;""),AND(IL7&gt;=IR$24,IL7&lt;&gt;""),AND(IQ7&gt;=IR$24,IQ7&lt;&gt;""),AND(JN7&gt;=JT$24,JN7&lt;&gt;""),AND(JS7&gt;=JT$24,JS7&lt;&gt;""),AND(KP7&gt;=KV$24,KP7&lt;&gt;""),AND(KU7&gt;=KV$24,KU7&lt;&gt;""),AND(LR7&gt;=LX$24,LR7&lt;&gt;""),AND(LW7&gt;=LX$24,LW7&lt;&gt;""),AND(MT7&gt;=MZ$24,MT7&lt;&gt;""),AND(MY7&gt;=MZ$24,MY7&lt;&gt;""),AND(NV7&gt;=OB$24,NV7&lt;&gt;""),AND(OA7&gt;=OB$24,OA7&lt;&gt;""),AND(OX7&gt;=PD$24,OX7&lt;&gt;""),AND(PC7&gt;=PD$24,PC7&lt;&gt;""),AND(PZ7&gt;=QF$24,PZ7&lt;&gt;""),AND(QE7&gt;=QF$24,QE7&lt;&gt;"")),"P","")</f>
        <v>P</v>
      </c>
      <c r="H7" s="70" t="str">
        <f>IF(AND(G7="P",F7=""),"No DD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Merit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Excellence",IF(I7="P","Worlds Team",IF(F7="P","National Team","")))))</f>
        <v>National Team</v>
      </c>
      <c r="I7" s="3" t="str">
        <f>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P","")</f>
        <v/>
      </c>
      <c r="J7" s="13">
        <f>IF(COUNT(AS7,BV7,CY7)&gt;0,LARGE((AS7,BV7,CY7),1),0)</f>
        <v>48.8</v>
      </c>
      <c r="K7" s="13" t="str">
        <f>IF(J7=0,"",IF(J7=CY7,$CC$1,IF(J7=BV7,$AZ$1,IF(J7=AS7,$W$1,""))))</f>
        <v>2022 Elite Canada</v>
      </c>
      <c r="L7" s="13">
        <f>IF(COUNT(AS7,BV7,CY7)&gt;1,LARGE((AS7,BV7,CY7),2),0)</f>
        <v>5.0000000000000002E-5</v>
      </c>
      <c r="M7" s="13" t="str">
        <f>IF(L7=0,"",IF(L7=CY7,$CC$1,IF(L7=BV7,$AZ$1,IF(L7=AS7,$W$1,""))))</f>
        <v>2021 Elite Canada</v>
      </c>
      <c r="N7" s="13">
        <f>IF(COUNT(AT7,BW7,CZ7)&gt;0,LARGE((AT7,BW7,CZ7),1),0)</f>
        <v>25.5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26.700000000000003</v>
      </c>
      <c r="S7" s="13" t="str">
        <f>IF(R7=0,"",IF(R7=DD7,$CC$1,IF(R7=CA7,$AZ$1,IF(R7=AX7,$W$1,""))))</f>
        <v>2022 Elite Canada</v>
      </c>
      <c r="T7" s="13">
        <f>IF(MAX(DF7:DH7)&gt;0,MAX(DF7:DH7),"")</f>
        <v>19.599999999999987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5.0000000000000002E-5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5.0000000000000002E-5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>IF(SUM(CD7,CH7)&gt;0,SUM(CD7,CH7),"")</f>
        <v>13.7</v>
      </c>
      <c r="CY7" s="76">
        <f>IF(SUM(CC7:CD7,CF7:CH7,CJ7)-CE7-CI7&gt;0,SUM(CC7:CD7,CF7:CH7,CJ7)-CE7-CI7,"")</f>
        <v>48.8</v>
      </c>
      <c r="CZ7" s="76">
        <f>IF(SUM(CK7:CL7,CN7)-CM7&gt;0,SUM(CK7:CL7,CN7)-CM7,"")</f>
        <v>25.5</v>
      </c>
      <c r="DA7" s="76">
        <f>IF(SUM(CD7,CH7,CL7)&gt;0,SUM(CD7,CH7,CL7),"")</f>
        <v>21.299999999999997</v>
      </c>
      <c r="DB7" s="76">
        <f>IF(SUM(CY7,CZ7)&gt;0,SUM(CY7,CZ7),"")</f>
        <v>74.3</v>
      </c>
      <c r="DC7" s="76">
        <f>IF(SUM(CP7,CT7)&gt;0,SUM(CP7,CT7),"")</f>
        <v>8.1</v>
      </c>
      <c r="DD7" s="76">
        <f>IF(SUM(CO7:CP7,CR7:CT7,CV7)-SUM(CQ7,CU7)&gt;0,SUM(CO7:CP7,CR7:CT7,CV7)-SUM(CQ7,CU7),"")</f>
        <v>26.700000000000003</v>
      </c>
      <c r="DE7" s="76">
        <f>IF(SUM(CY7,DD7)&gt;0,SUM(CY7,DD7),"")</f>
        <v>75.5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19.599999999999987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>IF(SUM(EL7,EP7)&gt;0,SUM(EL7,EP7),"")</f>
        <v>14.899999999999999</v>
      </c>
      <c r="FF7" s="16">
        <f>IF(SUM(EK7:EL7,EN7:EP7,ER7)-EM7-EQ7&gt;0,SUM(EK7:EL7,EN7:EP7,ER7)-EM7-EQ7,"")</f>
        <v>51.800000000000004</v>
      </c>
      <c r="FG7" s="16" t="str">
        <f>IF(SUM(ES7:ET7,EV7)-EU7&gt;0,SUM(ES7:ET7,EV7)-EU7,"")</f>
        <v/>
      </c>
      <c r="FH7" s="16">
        <f>IF(SUM(EL7,EP7,ET7)&gt;0,SUM(EL7,EP7,ET7),"")</f>
        <v>14.899999999999999</v>
      </c>
      <c r="FI7" s="16">
        <f>IF(SUM(FF7,FG7)&gt;0,SUM(FF7,FG7),"")</f>
        <v>51.800000000000004</v>
      </c>
      <c r="FJ7" s="16">
        <f>IF(SUM(EX7,FB7)&gt;0,SUM(EX7,FB7),"")</f>
        <v>11.3</v>
      </c>
      <c r="FK7" s="16">
        <f>IF(SUM(EW7:EX7,EZ7:FB7,FD7)-SUM(EY7,FC7)&gt;0,SUM(EW7:EX7,EZ7:FB7,FD7)-SUM(EY7,FC7),"")</f>
        <v>46.29999999999999</v>
      </c>
      <c r="FL7" s="16">
        <f>IF(SUM(FF7,FK7)&gt;0,SUM(FF7,FK7),"")</f>
        <v>98.1</v>
      </c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76" t="str">
        <f>IF(SUM(FN7,FR7)&gt;0,SUM(FN7,FR7),"")</f>
        <v/>
      </c>
      <c r="GH7" s="76" t="str">
        <f>IF(SUM(FM7:FN7,FP7:FR7,FT7)-FO7-FS7&gt;0,SUM(FM7:FN7,FP7:FR7,FT7)-FO7-FS7,"")</f>
        <v/>
      </c>
      <c r="GI7" s="76" t="str">
        <f>IF(SUM(FU7:FV7,FX7)-FW7&gt;0,SUM(FU7:FV7,FX7)-FW7,"")</f>
        <v/>
      </c>
      <c r="GJ7" s="76" t="str">
        <f>IF(SUM(FN7,FR7,FV7)&gt;0,SUM(FN7,FR7,FV7),"")</f>
        <v/>
      </c>
      <c r="GK7" s="76" t="str">
        <f>IF(SUM(GH7,GI7)&gt;0,SUM(GH7,GI7),"")</f>
        <v/>
      </c>
      <c r="GL7" s="76" t="str">
        <f>IF(SUM(FZ7,GD7)&gt;0,SUM(FZ7,GD7),"")</f>
        <v/>
      </c>
      <c r="GM7" s="76" t="str">
        <f>IF(SUM(FY7:FZ7,GB7:GD7,GF7)-SUM(GA7,GE7)&gt;0,SUM(FY7:FZ7,GB7:GD7,GF7)-SUM(GA7,GE7),"")</f>
        <v/>
      </c>
      <c r="GN7" s="76" t="str">
        <f>IF(SUM(GH7,GM7)&gt;0,SUM(GH7,GM7),"")</f>
        <v/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9.35</v>
      </c>
      <c r="QH7" s="42">
        <f>IF($CW7="P",CD7,(CD7+BA7)/2)</f>
        <v>3.65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8.9</v>
      </c>
      <c r="QL7" s="42">
        <f>IF($CW7="P",CH7,(CH7+BE7)/2)</f>
        <v>3.2</v>
      </c>
      <c r="QM7" s="42">
        <f>IF($CW7="P",CI7,(CI7+BF7)/2)</f>
        <v>0.4</v>
      </c>
      <c r="QN7" s="42">
        <f>IF($CW7="P",CJ7,(CJ7+BG7)/2)</f>
        <v>0</v>
      </c>
      <c r="QO7" s="42">
        <f>IF($CW7="P",CK7,(CK7+BH7)/2)</f>
        <v>9.25</v>
      </c>
      <c r="QP7" s="42">
        <f>IF($CW7="P",CL7,(CL7+BI7)/2)</f>
        <v>3.8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9.25</v>
      </c>
      <c r="QT7" s="42">
        <f>IF($CW7="P",CP7,(CP7+BM7)/2)</f>
        <v>4.05</v>
      </c>
      <c r="QU7" s="42">
        <f>IF($CW7="P",CQ7,(CQ7+BN7)/2)</f>
        <v>0.1</v>
      </c>
      <c r="QV7" s="42">
        <f>IF($CW7="P",CR7,(CR7+BO7)/2)</f>
        <v>0.15</v>
      </c>
      <c r="QW7" s="42">
        <f>IF($CW7="P",CS7,(CS7+BP7)/2)</f>
        <v>0</v>
      </c>
      <c r="QX7" s="42">
        <f>IF($CW7="P",CT7,(CT7+BQ7)/2)</f>
        <v>0</v>
      </c>
      <c r="QY7" s="42">
        <f>IF($CW7="P",CU7,(CU7+BR7)/2)</f>
        <v>0</v>
      </c>
      <c r="QZ7" s="42">
        <f>IF($CW7="P",CV7,(CV7+BS7)/2)</f>
        <v>0</v>
      </c>
      <c r="RA7" s="51" t="s">
        <v>61</v>
      </c>
      <c r="RB7" s="76">
        <f>IF(SUM(QH7,QL7)&gt;0,SUM(QH7,QL7),"")</f>
        <v>6.85</v>
      </c>
      <c r="RC7" s="76">
        <f>IF(SUM(QG7:QH7,QJ7:QL7,QN7)-QI7-QM7&gt;0,SUM(QG7:QH7,QJ7:QL7,QN7)-QI7-QM7,"")</f>
        <v>24.4</v>
      </c>
      <c r="RD7" s="76">
        <f>IF(SUM(QO7:QP7,QR7)-QQ7&gt;0,SUM(QO7:QP7,QR7)-QQ7,"")</f>
        <v>12.75</v>
      </c>
      <c r="RE7" s="76">
        <f>IF(SUM(QH7,QL7,QP7)&gt;0,SUM(QH7,QL7,QP7),"")</f>
        <v>10.649999999999999</v>
      </c>
      <c r="RF7" s="76">
        <f>IF(SUM(RC7,RD7)&gt;0,SUM(RC7,RD7),"")</f>
        <v>37.15</v>
      </c>
      <c r="RG7" s="76">
        <f>IF(SUM(QT7,QX7)&gt;0,SUM(QT7,QX7),"")</f>
        <v>4.05</v>
      </c>
      <c r="RH7" s="76">
        <f>IF(SUM(QS7:QT7,QV7:QX7,QZ7)-SUM(QU7,QY7)&gt;0,SUM(QS7:QT7,QV7:QX7,QZ7)-SUM(QU7,QY7),"")</f>
        <v>13.350000000000001</v>
      </c>
      <c r="RI7" s="76">
        <f>IF(SUM(RC7,RH7)&gt;0,SUM(RC7,RH7),"")</f>
        <v>37.75</v>
      </c>
    </row>
    <row r="8" spans="1:477" x14ac:dyDescent="0.2">
      <c r="A8" s="5">
        <f>IF(AND(F8="P",G8="P"),SUMPRODUCT((F$4:F$18="P")*(G$4:G$18="P")*(E$4:E$18&gt;E8))+1,IF(G8="P",SUMPRODUCT((F$4:F$18="")*(G$4:G$18="P")*(E$4:E$18&gt;E8))+1+SUMPRODUCT((F$4:F$18="P")*(G$4:G$18="P")),""))</f>
        <v>5</v>
      </c>
      <c r="B8" s="6" t="s">
        <v>176</v>
      </c>
      <c r="C8" s="7" t="s">
        <v>6</v>
      </c>
      <c r="D8" s="18">
        <v>2001</v>
      </c>
      <c r="E8" s="14">
        <f>SUM(J8:T8)+SUM(J8:P8)*0.0000001+SUM(J8)*0.0000000000001</f>
        <v>20.000002000001999</v>
      </c>
      <c r="F8" s="3" t="str">
        <f>IF(OR(AND(AR8&gt;=AY$20,AS8&gt;=AY$24,AR8&lt;&gt;"",AQ8=""),AND(AW8&gt;=AY$20,AX8&gt;=AY$24,AW8&lt;&gt;"",AQ8=""),AND(BU8&gt;=CB$20,BV8&gt;=CB$24,BU8&lt;&gt;"",BT8=""),AND(BZ8&gt;=CB$20,CA8&gt;=CB$24,BZ8&lt;&gt;"",BT8=""),AND(CX8&gt;=DE$20,CY8&gt;=DE$24,CX8&lt;&gt;"",CW8=""),AND(DC8&gt;=DE$20,DD8&gt;=DE$24,DC8&lt;&gt;""),AND(EC8&gt;=EJ$20,ED8&gt;=EJ$24,EC8&lt;&gt;""),AND(EH8&gt;=EJ$20,EI8&gt;=EJ$24,EH8&lt;&gt;""),AND(FE8&gt;=FL$20,FF8&gt;=FL$24,FE8&lt;&gt;""),AND(FJ8&gt;=FL$20,FK8&gt;=FL$24,FJ8&lt;&gt;""),AND(GG8&gt;=GN$20,GH8&gt;=GN$24,GG8&lt;&gt;""),AND(GL8&gt;=GN$20,GM8&gt;=GN$24,GL8&lt;&gt;""),AND(HI8&gt;=HP$20,HJ8&gt;=HP$24,HI8&lt;&gt;""),AND(HN8&gt;=HP$20,HO8&gt;=HP$24,HN8&lt;&gt;""),AND(IK8&gt;=IR$20,IL8&gt;=IR$24,IK8&lt;&gt;""),AND(IP8&gt;=IR$20,IQ8&gt;=IR$24,IP8&lt;&gt;""),AND(JM8&gt;=JT$20,JN8&gt;=JT$24,JM8&lt;&gt;""),AND(JR8&gt;=JT$20,JS8&gt;=JT$24,JR8&lt;&gt;""),AND(KO8&gt;=KV$20,KP8&gt;=KV$24,KO8&lt;&gt;""),AND(KT8&gt;=KV$20,KU8&gt;=KV$24,KT8&lt;&gt;""),AND(LQ8&gt;=LX$20,LR8&gt;=LX$24,LQ8&lt;&gt;""),AND(LV8&gt;=LX$20,LW8&gt;=LX$24,LV8&lt;&gt;""),AND(MS8&gt;=MZ$20,MT8&gt;=MZ$24,MS8&lt;&gt;""),AND(MX8&gt;=MZ$20,MY8&gt;=MZ$24,MX8&lt;&gt;""),AND(NU8&gt;=OB$20,NV8&gt;=OB$24,NU8&lt;&gt;""),AND(NZ8&gt;=OB$20,OA8&gt;=OB$24,NZ8&lt;&gt;""),AND(OW8&gt;=PD$20,OX8&gt;=PD$24,OW8&lt;&gt;""),AND(PB8&gt;=PD$20,PC8&gt;=PD$24,PB8&lt;&gt;""),AND(PY8&gt;=QF$20,PZ8&gt;=QF$24,PY8&lt;&gt;""),AND(QD8&gt;=QF$20,QE8&gt;=QF$24,QD8&lt;&gt;"")),"P","")</f>
        <v>P</v>
      </c>
      <c r="G8" s="3" t="str">
        <f>IF(OR(AND(AS8&gt;=AY$24,AS8&lt;&gt;"",AQ8=""),AND(AX8&gt;=AY$24,AX8&lt;&gt;"",AQ8=""),AND(BV8&gt;=CB$24,BV8&lt;&gt;"",BT8=""),AND(CA8&gt;=CB$24,CA8&lt;&gt;"",BT8=""),AND(CY8&gt;=DE$24,CY8&lt;&gt;"",CW8=""),AND(DD8&gt;=DE$24,DD8&lt;&gt;"",CW8=""),AND(ED8&gt;=EJ$24,ED8&lt;&gt;""),AND(EI8&gt;=EJ$24,EI8&lt;&gt;""),AND(FF8&gt;=FL$24,FF8&lt;&gt;""),AND(FK8&gt;=FL$24,FK8&lt;&gt;""),AND(GH8&gt;=GN$24,GH8&lt;&gt;""),AND(GM8&gt;=GN$24,GM8&lt;&gt;""),AND(HJ8&gt;=HP$24,HJ8&lt;&gt;""),AND(HO8&gt;=HP$24,HO8&lt;&gt;""),AND(IL8&gt;=IR$24,IL8&lt;&gt;""),AND(IQ8&gt;=IR$24,IQ8&lt;&gt;""),AND(JN8&gt;=JT$24,JN8&lt;&gt;""),AND(JS8&gt;=JT$24,JS8&lt;&gt;""),AND(KP8&gt;=KV$24,KP8&lt;&gt;""),AND(KU8&gt;=KV$24,KU8&lt;&gt;""),AND(LR8&gt;=LX$24,LR8&lt;&gt;""),AND(LW8&gt;=LX$24,LW8&lt;&gt;""),AND(MT8&gt;=MZ$24,MT8&lt;&gt;""),AND(MY8&gt;=MZ$24,MY8&lt;&gt;""),AND(NV8&gt;=OB$24,NV8&lt;&gt;""),AND(OA8&gt;=OB$24,OA8&lt;&gt;""),AND(OX8&gt;=PD$24,OX8&lt;&gt;""),AND(PC8&gt;=PD$24,PC8&lt;&gt;""),AND(PZ8&gt;=QF$24,PZ8&lt;&gt;""),AND(QE8&gt;=QF$24,QE8&lt;&gt;"")),"P","")</f>
        <v>P</v>
      </c>
      <c r="H8" s="70" t="str">
        <f>IF(AND(G8="P",F8=""),"No DD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Merit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Excellence",IF(I8="P","Worlds Team",IF(F8="P","National Team","")))))</f>
        <v>National Team</v>
      </c>
      <c r="I8" s="3" t="str">
        <f>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P","")</f>
        <v/>
      </c>
      <c r="J8" s="13">
        <f>IF(COUNT(AS8,BV8,CY8)&gt;0,LARGE((AS8,BV8,CY8),1),0)</f>
        <v>20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0</v>
      </c>
      <c r="O8" s="13" t="str">
        <f>IF(N8=0,"",IF(N8=CZ8,$CC$1,IF(N8=BW8,$AZ$1,IF(N8=AT8,$W$1,""))))</f>
        <v/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0</v>
      </c>
      <c r="S8" s="13" t="str">
        <f>IF(R8=0,"",IF(R8=DD8,$CC$1,IF(R8=CA8,$AZ$1,IF(R8=AX8,$W$1,""))))</f>
        <v/>
      </c>
      <c r="T8" s="13" t="str">
        <f>IF(MAX(DF8:DH8)&gt;0,MAX(DF8:DH8),"")</f>
        <v/>
      </c>
      <c r="U8" s="16" t="str">
        <f>IF(T8="","",IF(T8=DF8,"("&amp;DF$2&amp;")",IF(T8=DH8,"("&amp;DH$2&amp;")")))</f>
        <v/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/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>IF(SUM(CD8,CH8)&gt;0,SUM(CD8,CH8),"")</f>
        <v>2.4</v>
      </c>
      <c r="CY8" s="76">
        <f>IF(SUM(CC8:CD8,CF8:CH8,CJ8)-CE8-CI8&gt;0,SUM(CC8:CD8,CF8:CH8,CJ8)-CE8-CI8,"")</f>
        <v>20</v>
      </c>
      <c r="CZ8" s="76" t="str">
        <f>IF(SUM(CK8:CL8,CN8)-CM8&gt;0,SUM(CK8:CL8,CN8)-CM8,"")</f>
        <v/>
      </c>
      <c r="DA8" s="76">
        <f>IF(SUM(CD8,CH8,CL8)&gt;0,SUM(CD8,CH8,CL8),"")</f>
        <v>2.4</v>
      </c>
      <c r="DB8" s="76">
        <f>IF(SUM(CY8,CZ8)&gt;0,SUM(CY8,CZ8),"")</f>
        <v>20</v>
      </c>
      <c r="DC8" s="76" t="str">
        <f>IF(SUM(CP8,CT8)&gt;0,SUM(CP8,CT8),"")</f>
        <v/>
      </c>
      <c r="DD8" s="76" t="str">
        <f>IF(SUM(CO8:CP8,CR8:CT8,CV8)-SUM(CQ8,CU8)&gt;0,SUM(CO8:CP8,CR8:CT8,CV8)-SUM(CQ8,CU8),"")</f>
        <v/>
      </c>
      <c r="DE8" s="76">
        <f>IF(SUM(CY8,DD8)&gt;0,SUM(CY8,DD8),"")</f>
        <v>20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>IF(SUM(EL8,EP8)&gt;0,SUM(EL8,EP8),"")</f>
        <v>15.3</v>
      </c>
      <c r="FF8" s="16">
        <f>IF(SUM(EK8:EL8,EN8:EP8,ER8)-EM8-EQ8&gt;0,SUM(EK8:EL8,EN8:EP8,ER8)-EM8-EQ8,"")</f>
        <v>51.9</v>
      </c>
      <c r="FG8" s="16" t="str">
        <f>IF(SUM(ES8:ET8,EV8)-EU8&gt;0,SUM(ES8:ET8,EV8)-EU8,"")</f>
        <v/>
      </c>
      <c r="FH8" s="16">
        <f>IF(SUM(EL8,EP8,ET8)&gt;0,SUM(EL8,EP8,ET8),"")</f>
        <v>15.3</v>
      </c>
      <c r="FI8" s="16">
        <f>IF(SUM(FF8,FG8)&gt;0,SUM(FF8,FG8),"")</f>
        <v>51.9</v>
      </c>
      <c r="FJ8" s="16">
        <f>IF(SUM(EX8,FB8)&gt;0,SUM(EX8,FB8),"")</f>
        <v>10.5</v>
      </c>
      <c r="FK8" s="16">
        <f>IF(SUM(EW8:EX8,EZ8:FB8,FD8)-SUM(EY8,FC8)&gt;0,SUM(EW8:EX8,EZ8:FB8,FD8)-SUM(EY8,FC8),"")</f>
        <v>45.500000000000007</v>
      </c>
      <c r="FL8" s="16">
        <f>IF(SUM(FF8,FK8)&gt;0,SUM(FF8,FK8),"")</f>
        <v>97.4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>IF(SUM(FN8,FR8)&gt;0,SUM(FN8,FR8),"")</f>
        <v/>
      </c>
      <c r="GH8" s="76" t="str">
        <f>IF(SUM(FM8:FN8,FP8:FR8,FT8)-FO8-FS8&gt;0,SUM(FM8:FN8,FP8:FR8,FT8)-FO8-FS8,"")</f>
        <v/>
      </c>
      <c r="GI8" s="76" t="str">
        <f>IF(SUM(FU8:FV8,FX8)-FW8&gt;0,SUM(FU8:FV8,FX8)-FW8,"")</f>
        <v/>
      </c>
      <c r="GJ8" s="76" t="str">
        <f>IF(SUM(FN8,FR8,FV8)&gt;0,SUM(FN8,FR8,FV8),"")</f>
        <v/>
      </c>
      <c r="GK8" s="76" t="str">
        <f>IF(SUM(GH8,GI8)&gt;0,SUM(GH8,GI8),"")</f>
        <v/>
      </c>
      <c r="GL8" s="76" t="str">
        <f>IF(SUM(FZ8,GD8)&gt;0,SUM(FZ8,GD8),"")</f>
        <v/>
      </c>
      <c r="GM8" s="76" t="str">
        <f>IF(SUM(FY8:FZ8,GB8:GD8,GF8)-SUM(GA8,GE8)&gt;0,SUM(FY8:FZ8,GB8:GD8,GF8)-SUM(GA8,GE8),"")</f>
        <v/>
      </c>
      <c r="GN8" s="76" t="str">
        <f>IF(SUM(GH8,GM8)&gt;0,SUM(GH8,GM8),"")</f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8.8000000000000007</v>
      </c>
      <c r="QH8" s="42">
        <f>IF($CW8="P",CD8,(CD8+BA8)/2)</f>
        <v>1.2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0</v>
      </c>
      <c r="QL8" s="42">
        <f>IF($CW8="P",CH8,(CH8+BE8)/2)</f>
        <v>0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0</v>
      </c>
      <c r="QP8" s="42">
        <f>IF($CW8="P",CL8,(CL8+BI8)/2)</f>
        <v>0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0</v>
      </c>
      <c r="QT8" s="42">
        <f>IF($CW8="P",CP8,(CP8+BM8)/2)</f>
        <v>0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0</v>
      </c>
      <c r="QX8" s="42">
        <f>IF($CW8="P",CT8,(CT8+BQ8)/2)</f>
        <v>0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1.2</v>
      </c>
      <c r="RC8" s="76">
        <f>IF(SUM(QG8:QH8,QJ8:QL8,QN8)-QI8-QM8&gt;0,SUM(QG8:QH8,QJ8:QL8,QN8)-QI8-QM8,"")</f>
        <v>10</v>
      </c>
      <c r="RD8" s="76" t="str">
        <f>IF(SUM(QO8:QP8,QR8)-QQ8&gt;0,SUM(QO8:QP8,QR8)-QQ8,"")</f>
        <v/>
      </c>
      <c r="RE8" s="76">
        <f>IF(SUM(QH8,QL8,QP8)&gt;0,SUM(QH8,QL8,QP8),"")</f>
        <v>1.2</v>
      </c>
      <c r="RF8" s="76">
        <f>IF(SUM(RC8,RD8)&gt;0,SUM(RC8,RD8),"")</f>
        <v>10</v>
      </c>
      <c r="RG8" s="76" t="str">
        <f>IF(SUM(QT8,QX8)&gt;0,SUM(QT8,QX8),"")</f>
        <v/>
      </c>
      <c r="RH8" s="76" t="str">
        <f>IF(SUM(QS8:QT8,QV8:QX8,QZ8)-SUM(QU8,QY8)&gt;0,SUM(QS8:QT8,QV8:QX8,QZ8)-SUM(QU8,QY8),"")</f>
        <v/>
      </c>
      <c r="RI8" s="76">
        <f>IF(SUM(RC8,RH8)&gt;0,SUM(RC8,RH8),"")</f>
        <v>10</v>
      </c>
    </row>
    <row r="9" spans="1:477" x14ac:dyDescent="0.2">
      <c r="A9" s="5" t="str">
        <f>IF(AND(F9="P",G9="P"),SUMPRODUCT((F$4:F$18="P")*(G$4:G$18="P")*(E$4:E$18&gt;E9))+1,IF(G9="P",SUMPRODUCT((F$4:F$18="")*(G$4:G$18="P")*(E$4:E$18&gt;E9))+1+SUMPRODUCT((F$4:F$18="P")*(G$4:G$18="P")),""))</f>
        <v/>
      </c>
      <c r="B9" s="6" t="s">
        <v>170</v>
      </c>
      <c r="C9" s="7" t="s">
        <v>5</v>
      </c>
      <c r="D9" s="18">
        <v>1999</v>
      </c>
      <c r="E9" s="14">
        <f>SUM(J9:T9)+SUM(J9:P9)*0.0000001+SUM(J9)*0.0000000000001</f>
        <v>126.20000756000505</v>
      </c>
      <c r="F9" s="3" t="str">
        <f>IF(OR(AND(AR9&gt;=AY$20,AS9&gt;=AY$24,AR9&lt;&gt;"",AQ9=""),AND(AW9&gt;=AY$20,AX9&gt;=AY$24,AW9&lt;&gt;"",AQ9=""),AND(BU9&gt;=CB$20,BV9&gt;=CB$24,BU9&lt;&gt;"",BT9=""),AND(BZ9&gt;=CB$20,CA9&gt;=CB$24,BZ9&lt;&gt;"",BT9=""),AND(CX9&gt;=DE$20,CY9&gt;=DE$24,CX9&lt;&gt;"",CW9=""),AND(DC9&gt;=DE$20,DD9&gt;=DE$24,DC9&lt;&gt;""),AND(EC9&gt;=EJ$20,ED9&gt;=EJ$24,EC9&lt;&gt;""),AND(EH9&gt;=EJ$20,EI9&gt;=EJ$24,EH9&lt;&gt;""),AND(FE9&gt;=FL$20,FF9&gt;=FL$24,FE9&lt;&gt;""),AND(FJ9&gt;=FL$20,FK9&gt;=FL$24,FJ9&lt;&gt;""),AND(GG9&gt;=GN$20,GH9&gt;=GN$24,GG9&lt;&gt;""),AND(GL9&gt;=GN$20,GM9&gt;=GN$24,GL9&lt;&gt;""),AND(HI9&gt;=HP$20,HJ9&gt;=HP$24,HI9&lt;&gt;""),AND(HN9&gt;=HP$20,HO9&gt;=HP$24,HN9&lt;&gt;""),AND(IK9&gt;=IR$20,IL9&gt;=IR$24,IK9&lt;&gt;""),AND(IP9&gt;=IR$20,IQ9&gt;=IR$24,IP9&lt;&gt;""),AND(JM9&gt;=JT$20,JN9&gt;=JT$24,JM9&lt;&gt;""),AND(JR9&gt;=JT$20,JS9&gt;=JT$24,JR9&lt;&gt;""),AND(KO9&gt;=KV$20,KP9&gt;=KV$24,KO9&lt;&gt;""),AND(KT9&gt;=KV$20,KU9&gt;=KV$24,KT9&lt;&gt;""),AND(LQ9&gt;=LX$20,LR9&gt;=LX$24,LQ9&lt;&gt;""),AND(LV9&gt;=LX$20,LW9&gt;=LX$24,LV9&lt;&gt;""),AND(MS9&gt;=MZ$20,MT9&gt;=MZ$24,MS9&lt;&gt;""),AND(MX9&gt;=MZ$20,MY9&gt;=MZ$24,MX9&lt;&gt;""),AND(NU9&gt;=OB$20,NV9&gt;=OB$24,NU9&lt;&gt;""),AND(NZ9&gt;=OB$20,OA9&gt;=OB$24,NZ9&lt;&gt;""),AND(OW9&gt;=PD$20,OX9&gt;=PD$24,OW9&lt;&gt;""),AND(PB9&gt;=PD$20,PC9&gt;=PD$24,PB9&lt;&gt;""),AND(PY9&gt;=QF$20,PZ9&gt;=QF$24,PY9&lt;&gt;""),AND(QD9&gt;=QF$20,QE9&gt;=QF$24,QD9&lt;&gt;"")),"P","")</f>
        <v/>
      </c>
      <c r="G9" s="3" t="str">
        <f>IF(OR(AND(AS9&gt;=AY$24,AS9&lt;&gt;"",AQ9=""),AND(AX9&gt;=AY$24,AX9&lt;&gt;"",AQ9=""),AND(BV9&gt;=CB$24,BV9&lt;&gt;"",BT9=""),AND(CA9&gt;=CB$24,CA9&lt;&gt;"",BT9=""),AND(CY9&gt;=DE$24,CY9&lt;&gt;"",CW9=""),AND(DD9&gt;=DE$24,DD9&lt;&gt;"",CW9=""),AND(ED9&gt;=EJ$24,ED9&lt;&gt;""),AND(EI9&gt;=EJ$24,EI9&lt;&gt;""),AND(FF9&gt;=FL$24,FF9&lt;&gt;""),AND(FK9&gt;=FL$24,FK9&lt;&gt;""),AND(GH9&gt;=GN$24,GH9&lt;&gt;""),AND(GM9&gt;=GN$24,GM9&lt;&gt;""),AND(HJ9&gt;=HP$24,HJ9&lt;&gt;""),AND(HO9&gt;=HP$24,HO9&lt;&gt;""),AND(IL9&gt;=IR$24,IL9&lt;&gt;""),AND(IQ9&gt;=IR$24,IQ9&lt;&gt;""),AND(JN9&gt;=JT$24,JN9&lt;&gt;""),AND(JS9&gt;=JT$24,JS9&lt;&gt;""),AND(KP9&gt;=KV$24,KP9&lt;&gt;""),AND(KU9&gt;=KV$24,KU9&lt;&gt;""),AND(LR9&gt;=LX$24,LR9&lt;&gt;""),AND(LW9&gt;=LX$24,LW9&lt;&gt;""),AND(MT9&gt;=MZ$24,MT9&lt;&gt;""),AND(MY9&gt;=MZ$24,MY9&lt;&gt;""),AND(NV9&gt;=OB$24,NV9&lt;&gt;""),AND(OA9&gt;=OB$24,OA9&lt;&gt;""),AND(OX9&gt;=PD$24,OX9&lt;&gt;""),AND(PC9&gt;=PD$24,PC9&lt;&gt;""),AND(PZ9&gt;=QF$24,PZ9&lt;&gt;""),AND(QE9&gt;=QF$24,QE9&lt;&gt;"")),"P","")</f>
        <v/>
      </c>
      <c r="H9" s="70" t="str">
        <f>IF(AND(G9="P",F9=""),"No DD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Merit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Excellence",IF(I9="P","Worlds Team",IF(F9="P","National Team","")))))</f>
        <v/>
      </c>
      <c r="I9" s="3" t="str">
        <f>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P","")</f>
        <v/>
      </c>
      <c r="J9" s="13">
        <f>IF(COUNT(AS9,BV9,CY9)&gt;0,LARGE((AS9,BV9,CY9),1),0)</f>
        <v>50.599999999999994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25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50.400000000000006</v>
      </c>
      <c r="S9" s="13" t="str">
        <f>IF(R9=0,"",IF(R9=DD9,$CC$1,IF(R9=CA9,$AZ$1,IF(R9=AX9,$W$1,""))))</f>
        <v>2022 Elite Canada</v>
      </c>
      <c r="T9" s="13">
        <f>IF(MAX(DF9:DH9)&gt;0,MAX(DF9:DH9),"")</f>
        <v>0.19999999999998863</v>
      </c>
      <c r="U9" s="16" t="str">
        <f>IF(T9="","",IF(T9=DF9,"("&amp;DF$2&amp;")",IF(T9=DH9,"("&amp;DH$2&amp;")")))</f>
        <v>(Final)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>IF(SUM(CD9,CH9)&gt;0,SUM(CD9,CH9),"")</f>
        <v>13.2</v>
      </c>
      <c r="CY9" s="76">
        <f>IF(SUM(CC9:CD9,CF9:CH9,CJ9)-CE9-CI9&gt;0,SUM(CC9:CD9,CF9:CH9,CJ9)-CE9-CI9,"")</f>
        <v>50.599999999999994</v>
      </c>
      <c r="CZ9" s="76">
        <f>IF(SUM(CK9:CL9,CN9)-CM9&gt;0,SUM(CK9:CL9,CN9)-CM9,"")</f>
        <v>25</v>
      </c>
      <c r="DA9" s="76">
        <f>IF(SUM(CD9,CH9,CL9)&gt;0,SUM(CD9,CH9,CL9),"")</f>
        <v>19.2</v>
      </c>
      <c r="DB9" s="76">
        <f>IF(SUM(CY9,CZ9)&gt;0,SUM(CY9,CZ9),"")</f>
        <v>75.599999999999994</v>
      </c>
      <c r="DC9" s="76">
        <f>IF(SUM(CP9,CT9)&gt;0,SUM(CP9,CT9),"")</f>
        <v>13.2</v>
      </c>
      <c r="DD9" s="76">
        <f>IF(SUM(CO9:CP9,CR9:CT9,CV9)-SUM(CQ9,CU9)&gt;0,SUM(CO9:CP9,CR9:CT9,CV9)-SUM(CQ9,CU9),"")</f>
        <v>50.400000000000006</v>
      </c>
      <c r="DE9" s="76">
        <f>IF(SUM(CY9,DD9)&gt;0,SUM(CY9,DD9),"")</f>
        <v>101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>IF(SUM(EL9,EP9)&gt;0,SUM(EL9,EP9),"")</f>
        <v>13.2</v>
      </c>
      <c r="FF9" s="16">
        <f>IF(SUM(EK9:EL9,EN9:EP9,ER9)-EM9-EQ9&gt;0,SUM(EK9:EL9,EN9:EP9,ER9)-EM9-EQ9,"")</f>
        <v>50.3</v>
      </c>
      <c r="FG9" s="16" t="str">
        <f>IF(SUM(ES9:ET9,EV9)-EU9&gt;0,SUM(ES9:ET9,EV9)-EU9,"")</f>
        <v/>
      </c>
      <c r="FH9" s="16">
        <f>IF(SUM(EL9,EP9,ET9)&gt;0,SUM(EL9,EP9,ET9),"")</f>
        <v>13.2</v>
      </c>
      <c r="FI9" s="16">
        <f>IF(SUM(FF9,FG9)&gt;0,SUM(FF9,FG9),"")</f>
        <v>50.3</v>
      </c>
      <c r="FJ9" s="16">
        <f>IF(SUM(EX9,FB9)&gt;0,SUM(EX9,FB9),"")</f>
        <v>14</v>
      </c>
      <c r="FK9" s="16">
        <f>IF(SUM(EW9:EX9,EZ9:FB9,FD9)-SUM(EY9,FC9)&gt;0,SUM(EW9:EX9,EZ9:FB9,FD9)-SUM(EY9,FC9),"")</f>
        <v>50.599999999999994</v>
      </c>
      <c r="FL9" s="16">
        <f>IF(SUM(FF9,FK9)&gt;0,SUM(FF9,FK9),"")</f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9.5</v>
      </c>
      <c r="QH9" s="42">
        <f>IF($CW9="P",CD9,(CD9+BA9)/2)</f>
        <v>3.6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9.1999999999999993</v>
      </c>
      <c r="QL9" s="42">
        <f>IF($CW9="P",CH9,(CH9+BE9)/2)</f>
        <v>3</v>
      </c>
      <c r="QM9" s="42">
        <f>IF($CW9="P",CI9,(CI9+BF9)/2)</f>
        <v>0</v>
      </c>
      <c r="QN9" s="42">
        <f>IF($CW9="P",CJ9,(CJ9+BG9)/2)</f>
        <v>0</v>
      </c>
      <c r="QO9" s="42">
        <f>IF($CW9="P",CK9,(CK9+BH9)/2)</f>
        <v>9.5</v>
      </c>
      <c r="QP9" s="42">
        <f>IF($CW9="P",CL9,(CL9+BI9)/2)</f>
        <v>3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9.4</v>
      </c>
      <c r="QT9" s="42">
        <f>IF($CW9="P",CP9,(CP9+BM9)/2)</f>
        <v>3.2</v>
      </c>
      <c r="QU9" s="42">
        <f>IF($CW9="P",CQ9,(CQ9+BN9)/2)</f>
        <v>0.4</v>
      </c>
      <c r="QV9" s="42">
        <f>IF($CW9="P",CR9,(CR9+BO9)/2)</f>
        <v>0</v>
      </c>
      <c r="QW9" s="42">
        <f>IF($CW9="P",CS9,(CS9+BP9)/2)</f>
        <v>9.6</v>
      </c>
      <c r="QX9" s="42">
        <f>IF($CW9="P",CT9,(CT9+BQ9)/2)</f>
        <v>3.4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6.6</v>
      </c>
      <c r="RC9" s="76">
        <f>IF(SUM(QG9:QH9,QJ9:QL9,QN9)-QI9-QM9&gt;0,SUM(QG9:QH9,QJ9:QL9,QN9)-QI9-QM9,"")</f>
        <v>25.299999999999997</v>
      </c>
      <c r="RD9" s="76">
        <f>IF(SUM(QO9:QP9,QR9)-QQ9&gt;0,SUM(QO9:QP9,QR9)-QQ9,"")</f>
        <v>12.5</v>
      </c>
      <c r="RE9" s="76">
        <f>IF(SUM(QH9,QL9,QP9)&gt;0,SUM(QH9,QL9,QP9),"")</f>
        <v>9.6</v>
      </c>
      <c r="RF9" s="76">
        <f>IF(SUM(RC9,RD9)&gt;0,SUM(RC9,RD9),"")</f>
        <v>37.799999999999997</v>
      </c>
      <c r="RG9" s="76">
        <f>IF(SUM(QT9,QX9)&gt;0,SUM(QT9,QX9),"")</f>
        <v>6.6</v>
      </c>
      <c r="RH9" s="76">
        <f>IF(SUM(QS9:QT9,QV9:QX9,QZ9)-SUM(QU9,QY9)&gt;0,SUM(QS9:QT9,QV9:QX9,QZ9)-SUM(QU9,QY9),"")</f>
        <v>25.200000000000003</v>
      </c>
      <c r="RI9" s="76">
        <f>IF(SUM(RC9,RH9)&gt;0,SUM(RC9,RH9),"")</f>
        <v>50.5</v>
      </c>
    </row>
    <row r="10" spans="1:477" x14ac:dyDescent="0.2">
      <c r="A10" s="5" t="str">
        <f>IF(AND(F10="P",G10="P"),SUMPRODUCT((F$4:F$18="P")*(G$4:G$18="P")*(E$4:E$18&gt;E10))+1,IF(G10="P",SUMPRODUCT((F$4:F$18="")*(G$4:G$18="P")*(E$4:E$18&gt;E10))+1+SUMPRODUCT((F$4:F$18="P")*(G$4:G$18="P")),""))</f>
        <v/>
      </c>
      <c r="B10" s="6" t="s">
        <v>169</v>
      </c>
      <c r="C10" s="7" t="s">
        <v>6</v>
      </c>
      <c r="D10" s="18">
        <v>2003</v>
      </c>
      <c r="E10" s="14">
        <f>SUM(J10:T10)+SUM(J10:P10)*0.0000001+SUM(J10)*0.0000000000001</f>
        <v>121.80000714000495</v>
      </c>
      <c r="F10" s="3" t="str">
        <f>IF(OR(AND(AR10&gt;=AY$20,AS10&gt;=AY$24,AR10&lt;&gt;"",AQ10=""),AND(AW10&gt;=AY$20,AX10&gt;=AY$24,AW10&lt;&gt;"",AQ10=""),AND(BU10&gt;=CB$20,BV10&gt;=CB$24,BU10&lt;&gt;"",BT10=""),AND(BZ10&gt;=CB$20,CA10&gt;=CB$24,BZ10&lt;&gt;"",BT10=""),AND(CX10&gt;=DE$20,CY10&gt;=DE$24,CX10&lt;&gt;"",CW10=""),AND(DC10&gt;=DE$20,DD10&gt;=DE$24,DC10&lt;&gt;""),AND(EC10&gt;=EJ$20,ED10&gt;=EJ$24,EC10&lt;&gt;""),AND(EH10&gt;=EJ$20,EI10&gt;=EJ$24,EH10&lt;&gt;""),AND(FE10&gt;=FL$20,FF10&gt;=FL$24,FE10&lt;&gt;""),AND(FJ10&gt;=FL$20,FK10&gt;=FL$24,FJ10&lt;&gt;""),AND(GG10&gt;=GN$20,GH10&gt;=GN$24,GG10&lt;&gt;""),AND(GL10&gt;=GN$20,GM10&gt;=GN$24,GL10&lt;&gt;""),AND(HI10&gt;=HP$20,HJ10&gt;=HP$24,HI10&lt;&gt;""),AND(HN10&gt;=HP$20,HO10&gt;=HP$24,HN10&lt;&gt;""),AND(IK10&gt;=IR$20,IL10&gt;=IR$24,IK10&lt;&gt;""),AND(IP10&gt;=IR$20,IQ10&gt;=IR$24,IP10&lt;&gt;""),AND(JM10&gt;=JT$20,JN10&gt;=JT$24,JM10&lt;&gt;""),AND(JR10&gt;=JT$20,JS10&gt;=JT$24,JR10&lt;&gt;""),AND(KO10&gt;=KV$20,KP10&gt;=KV$24,KO10&lt;&gt;""),AND(KT10&gt;=KV$20,KU10&gt;=KV$24,KT10&lt;&gt;""),AND(LQ10&gt;=LX$20,LR10&gt;=LX$24,LQ10&lt;&gt;""),AND(LV10&gt;=LX$20,LW10&gt;=LX$24,LV10&lt;&gt;""),AND(MS10&gt;=MZ$20,MT10&gt;=MZ$24,MS10&lt;&gt;""),AND(MX10&gt;=MZ$20,MY10&gt;=MZ$24,MX10&lt;&gt;""),AND(NU10&gt;=OB$20,NV10&gt;=OB$24,NU10&lt;&gt;""),AND(NZ10&gt;=OB$20,OA10&gt;=OB$24,NZ10&lt;&gt;""),AND(OW10&gt;=PD$20,OX10&gt;=PD$24,OW10&lt;&gt;""),AND(PB10&gt;=PD$20,PC10&gt;=PD$24,PB10&lt;&gt;""),AND(PY10&gt;=QF$20,PZ10&gt;=QF$24,PY10&lt;&gt;""),AND(QD10&gt;=QF$20,QE10&gt;=QF$24,QD10&lt;&gt;"")),"P","")</f>
        <v/>
      </c>
      <c r="G10" s="3" t="str">
        <f>IF(OR(AND(AS10&gt;=AY$24,AS10&lt;&gt;"",AQ10=""),AND(AX10&gt;=AY$24,AX10&lt;&gt;"",AQ10=""),AND(BV10&gt;=CB$24,BV10&lt;&gt;"",BT10=""),AND(CA10&gt;=CB$24,CA10&lt;&gt;"",BT10=""),AND(CY10&gt;=DE$24,CY10&lt;&gt;"",CW10=""),AND(DD10&gt;=DE$24,DD10&lt;&gt;"",CW10=""),AND(ED10&gt;=EJ$24,ED10&lt;&gt;""),AND(EI10&gt;=EJ$24,EI10&lt;&gt;""),AND(FF10&gt;=FL$24,FF10&lt;&gt;""),AND(FK10&gt;=FL$24,FK10&lt;&gt;""),AND(GH10&gt;=GN$24,GH10&lt;&gt;""),AND(GM10&gt;=GN$24,GM10&lt;&gt;""),AND(HJ10&gt;=HP$24,HJ10&lt;&gt;""),AND(HO10&gt;=HP$24,HO10&lt;&gt;""),AND(IL10&gt;=IR$24,IL10&lt;&gt;""),AND(IQ10&gt;=IR$24,IQ10&lt;&gt;""),AND(JN10&gt;=JT$24,JN10&lt;&gt;""),AND(JS10&gt;=JT$24,JS10&lt;&gt;""),AND(KP10&gt;=KV$24,KP10&lt;&gt;""),AND(KU10&gt;=KV$24,KU10&lt;&gt;""),AND(LR10&gt;=LX$24,LR10&lt;&gt;""),AND(LW10&gt;=LX$24,LW10&lt;&gt;""),AND(MT10&gt;=MZ$24,MT10&lt;&gt;""),AND(MY10&gt;=MZ$24,MY10&lt;&gt;""),AND(NV10&gt;=OB$24,NV10&lt;&gt;""),AND(OA10&gt;=OB$24,OA10&lt;&gt;""),AND(OX10&gt;=PD$24,OX10&lt;&gt;""),AND(PC10&gt;=PD$24,PC10&lt;&gt;""),AND(PZ10&gt;=QF$24,PZ10&lt;&gt;""),AND(QE10&gt;=QF$24,QE10&lt;&gt;"")),"P","")</f>
        <v/>
      </c>
      <c r="H10" s="70" t="str">
        <f>IF(AND(G10="P",F10=""),"No DD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Merit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Excellence",IF(I10="P","Worlds Team",IF(F10="P","National Team","")))))</f>
        <v/>
      </c>
      <c r="I10" s="3" t="str">
        <f>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P","")</f>
        <v/>
      </c>
      <c r="J10" s="13">
        <f>IF(COUNT(AS10,BV10,CY10)&gt;0,LARGE((AS10,BV10,CY10),1),0)</f>
        <v>49.5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21.9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45.100000000000009</v>
      </c>
      <c r="S10" s="13" t="str">
        <f>IF(R10=0,"",IF(R10=DD10,$CC$1,IF(R10=CA10,$AZ$1,IF(R10=AX10,$W$1,""))))</f>
        <v>2022 Elite Canada</v>
      </c>
      <c r="T10" s="13">
        <f>IF(MAX(DF10:DH10)&gt;0,MAX(DF10:DH10),"")</f>
        <v>5.2999999999999972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18.899999999999999</v>
      </c>
      <c r="CD10" s="27">
        <v>6.4</v>
      </c>
      <c r="CE10" s="27">
        <v>0.8</v>
      </c>
      <c r="CF10" s="27">
        <v>0</v>
      </c>
      <c r="CG10" s="27">
        <v>18.3</v>
      </c>
      <c r="CH10" s="27">
        <v>7.7</v>
      </c>
      <c r="CI10" s="27">
        <v>1</v>
      </c>
      <c r="CJ10" s="27">
        <v>0</v>
      </c>
      <c r="CK10" s="27">
        <v>18.3</v>
      </c>
      <c r="CL10" s="27">
        <v>5.2</v>
      </c>
      <c r="CM10" s="27">
        <v>1.6</v>
      </c>
      <c r="CN10" s="27">
        <v>0</v>
      </c>
      <c r="CO10" s="27">
        <v>19</v>
      </c>
      <c r="CP10" s="27">
        <v>6.4</v>
      </c>
      <c r="CQ10" s="27">
        <v>0.8</v>
      </c>
      <c r="CR10" s="27">
        <v>0</v>
      </c>
      <c r="CS10" s="27">
        <v>17.3</v>
      </c>
      <c r="CT10" s="27">
        <v>3.2</v>
      </c>
      <c r="CU10" s="27">
        <v>0</v>
      </c>
      <c r="CV10" s="27">
        <v>0</v>
      </c>
      <c r="CW10" s="51"/>
      <c r="CX10" s="76">
        <f>IF(SUM(CD10,CH10)&gt;0,SUM(CD10,CH10),"")</f>
        <v>14.100000000000001</v>
      </c>
      <c r="CY10" s="76">
        <f>IF(SUM(CC10:CD10,CF10:CH10,CJ10)-CE10-CI10&gt;0,SUM(CC10:CD10,CF10:CH10,CJ10)-CE10-CI10,"")</f>
        <v>49.5</v>
      </c>
      <c r="CZ10" s="76">
        <f>IF(SUM(CK10:CL10,CN10)-CM10&gt;0,SUM(CK10:CL10,CN10)-CM10,"")</f>
        <v>21.9</v>
      </c>
      <c r="DA10" s="76">
        <f>IF(SUM(CD10,CH10,CL10)&gt;0,SUM(CD10,CH10,CL10),"")</f>
        <v>19.3</v>
      </c>
      <c r="DB10" s="76">
        <f>IF(SUM(CY10,CZ10)&gt;0,SUM(CY10,CZ10),"")</f>
        <v>71.400000000000006</v>
      </c>
      <c r="DC10" s="76">
        <f>IF(SUM(CP10,CT10)&gt;0,SUM(CP10,CT10),"")</f>
        <v>9.6000000000000014</v>
      </c>
      <c r="DD10" s="76">
        <f>IF(SUM(CO10:CP10,CR10:CT10,CV10)-SUM(CQ10,CU10)&gt;0,SUM(CO10:CP10,CR10:CT10,CV10)-SUM(CQ10,CU10),"")</f>
        <v>45.100000000000009</v>
      </c>
      <c r="DE10" s="76">
        <f>IF(SUM(CY10,DD10)&gt;0,SUM(CY10,DD10),"")</f>
        <v>94.600000000000009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5.2999999999999972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19.2</v>
      </c>
      <c r="EL10" s="26">
        <v>6.4</v>
      </c>
      <c r="EM10" s="26">
        <v>0</v>
      </c>
      <c r="EN10" s="26">
        <v>0</v>
      </c>
      <c r="EO10" s="26">
        <v>18</v>
      </c>
      <c r="EP10" s="26">
        <v>7.7</v>
      </c>
      <c r="EQ10" s="26">
        <v>0.6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7.2</v>
      </c>
      <c r="EY10" s="26">
        <v>0.6</v>
      </c>
      <c r="EZ10" s="26">
        <v>0</v>
      </c>
      <c r="FA10" s="26">
        <v>18.3</v>
      </c>
      <c r="FB10" s="26">
        <v>7.7</v>
      </c>
      <c r="FC10" s="26">
        <v>0.8</v>
      </c>
      <c r="FD10" s="26">
        <v>0</v>
      </c>
      <c r="FE10" s="16">
        <f>IF(SUM(EL10,EP10)&gt;0,SUM(EL10,EP10),"")</f>
        <v>14.100000000000001</v>
      </c>
      <c r="FF10" s="16">
        <f>IF(SUM(EK10:EL10,EN10:EP10,ER10)-EM10-EQ10&gt;0,SUM(EK10:EL10,EN10:EP10,ER10)-EM10-EQ10,"")</f>
        <v>50.7</v>
      </c>
      <c r="FG10" s="16" t="str">
        <f>IF(SUM(ES10:ET10,EV10)-EU10&gt;0,SUM(ES10:ET10,EV10)-EU10,"")</f>
        <v/>
      </c>
      <c r="FH10" s="16">
        <f>IF(SUM(EL10,EP10,ET10)&gt;0,SUM(EL10,EP10,ET10),"")</f>
        <v>14.100000000000001</v>
      </c>
      <c r="FI10" s="16">
        <f>IF(SUM(FF10,FG10)&gt;0,SUM(FF10,FG10),"")</f>
        <v>50.7</v>
      </c>
      <c r="FJ10" s="16">
        <f>IF(SUM(EX10,FB10)&gt;0,SUM(EX10,FB10),"")</f>
        <v>14.9</v>
      </c>
      <c r="FK10" s="16">
        <f>IF(SUM(EW10:EX10,EZ10:FB10,FD10)-SUM(EY10,FC10)&gt;0,SUM(EW10:EX10,EZ10:FB10,FD10)-SUM(EY10,FC10),"")</f>
        <v>50.400000000000006</v>
      </c>
      <c r="FL10" s="16">
        <f>IF(SUM(FF10,FK10)&gt;0,SUM(FF10,FK10),"")</f>
        <v>101.10000000000001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9.4499999999999993</v>
      </c>
      <c r="QH10" s="42">
        <f>IF($CW10="P",CD10,(CD10+BA10)/2)</f>
        <v>3.2</v>
      </c>
      <c r="QI10" s="42">
        <f>IF($CW10="P",CE10,(CE10+BB10)/2)</f>
        <v>0.4</v>
      </c>
      <c r="QJ10" s="42">
        <f>IF($CW10="P",CF10,(CF10+BC10)/2)</f>
        <v>0</v>
      </c>
      <c r="QK10" s="42">
        <f>IF($CW10="P",CG10,(CG10+BD10)/2)</f>
        <v>9.15</v>
      </c>
      <c r="QL10" s="42">
        <f>IF($CW10="P",CH10,(CH10+BE10)/2)</f>
        <v>3.85</v>
      </c>
      <c r="QM10" s="42">
        <f>IF($CW10="P",CI10,(CI10+BF10)/2)</f>
        <v>0.5</v>
      </c>
      <c r="QN10" s="42">
        <f>IF($CW10="P",CJ10,(CJ10+BG10)/2)</f>
        <v>0</v>
      </c>
      <c r="QO10" s="42">
        <f>IF($CW10="P",CK10,(CK10+BH10)/2)</f>
        <v>9.15</v>
      </c>
      <c r="QP10" s="42">
        <f>IF($CW10="P",CL10,(CL10+BI10)/2)</f>
        <v>2.6</v>
      </c>
      <c r="QQ10" s="42">
        <f>IF($CW10="P",CM10,(CM10+BJ10)/2)</f>
        <v>0.8</v>
      </c>
      <c r="QR10" s="42">
        <f>IF($CW10="P",CN10,(CN10+BK10)/2)</f>
        <v>0</v>
      </c>
      <c r="QS10" s="42">
        <f>IF($CW10="P",CO10,(CO10+BL10)/2)</f>
        <v>9.5</v>
      </c>
      <c r="QT10" s="42">
        <f>IF($CW10="P",CP10,(CP10+BM10)/2)</f>
        <v>3.2</v>
      </c>
      <c r="QU10" s="42">
        <f>IF($CW10="P",CQ10,(CQ10+BN10)/2)</f>
        <v>0.4</v>
      </c>
      <c r="QV10" s="42">
        <f>IF($CW10="P",CR10,(CR10+BO10)/2)</f>
        <v>0</v>
      </c>
      <c r="QW10" s="42">
        <f>IF($CW10="P",CS10,(CS10+BP10)/2)</f>
        <v>8.65</v>
      </c>
      <c r="QX10" s="42">
        <f>IF($CW10="P",CT10,(CT10+BQ10)/2)</f>
        <v>1.6</v>
      </c>
      <c r="QY10" s="42">
        <f>IF($CW10="P",CU10,(CU10+BR10)/2)</f>
        <v>0</v>
      </c>
      <c r="QZ10" s="42">
        <f>IF($CW10="P",CV10,(CV10+BS10)/2)</f>
        <v>0</v>
      </c>
      <c r="RA10" s="51" t="s">
        <v>61</v>
      </c>
      <c r="RB10" s="76">
        <f>IF(SUM(QH10,QL10)&gt;0,SUM(QH10,QL10),"")</f>
        <v>7.0500000000000007</v>
      </c>
      <c r="RC10" s="76">
        <f>IF(SUM(QG10:QH10,QJ10:QL10,QN10)-QI10-QM10&gt;0,SUM(QG10:QH10,QJ10:QL10,QN10)-QI10-QM10,"")</f>
        <v>24.75</v>
      </c>
      <c r="RD10" s="76">
        <f>IF(SUM(QO10:QP10,QR10)-QQ10&gt;0,SUM(QO10:QP10,QR10)-QQ10,"")</f>
        <v>10.95</v>
      </c>
      <c r="RE10" s="76">
        <f>IF(SUM(QH10,QL10,QP10)&gt;0,SUM(QH10,QL10,QP10),"")</f>
        <v>9.65</v>
      </c>
      <c r="RF10" s="76">
        <f>IF(SUM(RC10,RD10)&gt;0,SUM(RC10,RD10),"")</f>
        <v>35.700000000000003</v>
      </c>
      <c r="RG10" s="76">
        <f>IF(SUM(QT10,QX10)&gt;0,SUM(QT10,QX10),"")</f>
        <v>4.8000000000000007</v>
      </c>
      <c r="RH10" s="76">
        <f>IF(SUM(QS10:QT10,QV10:QX10,QZ10)-SUM(QU10,QY10)&gt;0,SUM(QS10:QT10,QV10:QX10,QZ10)-SUM(QU10,QY10),"")</f>
        <v>22.550000000000004</v>
      </c>
      <c r="RI10" s="76">
        <f>IF(SUM(RC10,RH10)&gt;0,SUM(RC10,RH10),"")</f>
        <v>47.300000000000004</v>
      </c>
    </row>
    <row r="11" spans="1:477" x14ac:dyDescent="0.2">
      <c r="A11" s="5" t="str">
        <f>IF(AND(F11="P",G11="P"),SUMPRODUCT((F$4:F$18="P")*(G$4:G$18="P")*(E$4:E$18&gt;E11))+1,IF(G11="P",SUMPRODUCT((F$4:F$18="")*(G$4:G$18="P")*(E$4:E$18&gt;E11))+1+SUMPRODUCT((F$4:F$18="P")*(G$4:G$18="P")),""))</f>
        <v/>
      </c>
      <c r="B11" s="6" t="s">
        <v>99</v>
      </c>
      <c r="C11" s="7" t="s">
        <v>9</v>
      </c>
      <c r="D11" s="18">
        <v>2000</v>
      </c>
      <c r="E11" s="14">
        <f>SUM(J11:T11)+SUM(J11:P11)*0.0000001+SUM(J11)*0.0000000000001</f>
        <v>115.10000727000484</v>
      </c>
      <c r="F11" s="3" t="str">
        <f>IF(OR(AND(AR11&gt;=AY$20,AS11&gt;=AY$24,AR11&lt;&gt;"",AQ11=""),AND(AW11&gt;=AY$20,AX11&gt;=AY$24,AW11&lt;&gt;"",AQ11=""),AND(BU11&gt;=CB$20,BV11&gt;=CB$24,BU11&lt;&gt;"",BT11=""),AND(BZ11&gt;=CB$20,CA11&gt;=CB$24,BZ11&lt;&gt;"",BT11=""),AND(CX11&gt;=DE$20,CY11&gt;=DE$24,CX11&lt;&gt;"",CW11=""),AND(DC11&gt;=DE$20,DD11&gt;=DE$24,DC11&lt;&gt;""),AND(EC11&gt;=EJ$20,ED11&gt;=EJ$24,EC11&lt;&gt;""),AND(EH11&gt;=EJ$20,EI11&gt;=EJ$24,EH11&lt;&gt;""),AND(FE11&gt;=FL$20,FF11&gt;=FL$24,FE11&lt;&gt;""),AND(FJ11&gt;=FL$20,FK11&gt;=FL$24,FJ11&lt;&gt;""),AND(GG11&gt;=GN$20,GH11&gt;=GN$24,GG11&lt;&gt;""),AND(GL11&gt;=GN$20,GM11&gt;=GN$24,GL11&lt;&gt;""),AND(HI11&gt;=HP$20,HJ11&gt;=HP$24,HI11&lt;&gt;""),AND(HN11&gt;=HP$20,HO11&gt;=HP$24,HN11&lt;&gt;""),AND(IK11&gt;=IR$20,IL11&gt;=IR$24,IK11&lt;&gt;""),AND(IP11&gt;=IR$20,IQ11&gt;=IR$24,IP11&lt;&gt;""),AND(JM11&gt;=JT$20,JN11&gt;=JT$24,JM11&lt;&gt;""),AND(JR11&gt;=JT$20,JS11&gt;=JT$24,JR11&lt;&gt;""),AND(KO11&gt;=KV$20,KP11&gt;=KV$24,KO11&lt;&gt;""),AND(KT11&gt;=KV$20,KU11&gt;=KV$24,KT11&lt;&gt;""),AND(LQ11&gt;=LX$20,LR11&gt;=LX$24,LQ11&lt;&gt;""),AND(LV11&gt;=LX$20,LW11&gt;=LX$24,LV11&lt;&gt;""),AND(MS11&gt;=MZ$20,MT11&gt;=MZ$24,MS11&lt;&gt;""),AND(MX11&gt;=MZ$20,MY11&gt;=MZ$24,MX11&lt;&gt;""),AND(NU11&gt;=OB$20,NV11&gt;=OB$24,NU11&lt;&gt;""),AND(NZ11&gt;=OB$20,OA11&gt;=OB$24,NZ11&lt;&gt;""),AND(OW11&gt;=PD$20,OX11&gt;=PD$24,OW11&lt;&gt;""),AND(PB11&gt;=PD$20,PC11&gt;=PD$24,PB11&lt;&gt;""),AND(PY11&gt;=QF$20,PZ11&gt;=QF$24,PY11&lt;&gt;""),AND(QD11&gt;=QF$20,QE11&gt;=QF$24,QD11&lt;&gt;"")),"P","")</f>
        <v/>
      </c>
      <c r="G11" s="3" t="str">
        <f>IF(OR(AND(AS11&gt;=AY$24,AS11&lt;&gt;"",AQ11=""),AND(AX11&gt;=AY$24,AX11&lt;&gt;"",AQ11=""),AND(BV11&gt;=CB$24,BV11&lt;&gt;"",BT11=""),AND(CA11&gt;=CB$24,CA11&lt;&gt;"",BT11=""),AND(CY11&gt;=DE$24,CY11&lt;&gt;"",CW11=""),AND(DD11&gt;=DE$24,DD11&lt;&gt;"",CW11=""),AND(ED11&gt;=EJ$24,ED11&lt;&gt;""),AND(EI11&gt;=EJ$24,EI11&lt;&gt;""),AND(FF11&gt;=FL$24,FF11&lt;&gt;""),AND(FK11&gt;=FL$24,FK11&lt;&gt;""),AND(GH11&gt;=GN$24,GH11&lt;&gt;""),AND(GM11&gt;=GN$24,GM11&lt;&gt;""),AND(HJ11&gt;=HP$24,HJ11&lt;&gt;""),AND(HO11&gt;=HP$24,HO11&lt;&gt;""),AND(IL11&gt;=IR$24,IL11&lt;&gt;""),AND(IQ11&gt;=IR$24,IQ11&lt;&gt;""),AND(JN11&gt;=JT$24,JN11&lt;&gt;""),AND(JS11&gt;=JT$24,JS11&lt;&gt;""),AND(KP11&gt;=KV$24,KP11&lt;&gt;""),AND(KU11&gt;=KV$24,KU11&lt;&gt;""),AND(LR11&gt;=LX$24,LR11&lt;&gt;""),AND(LW11&gt;=LX$24,LW11&lt;&gt;""),AND(MT11&gt;=MZ$24,MT11&lt;&gt;""),AND(MY11&gt;=MZ$24,MY11&lt;&gt;""),AND(NV11&gt;=OB$24,NV11&lt;&gt;""),AND(OA11&gt;=OB$24,OA11&lt;&gt;""),AND(OX11&gt;=PD$24,OX11&lt;&gt;""),AND(PC11&gt;=PD$24,PC11&lt;&gt;""),AND(PZ11&gt;=QF$24,PZ11&lt;&gt;""),AND(QE11&gt;=QF$24,QE11&lt;&gt;"")),"P","")</f>
        <v/>
      </c>
      <c r="H11" s="70" t="str">
        <f>IF(AND(G11="P",F11=""),"No DD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Merit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Excellence",IF(I11="P","Worlds Team",IF(F11="P","National Team","")))))</f>
        <v/>
      </c>
      <c r="I11" s="3" t="str">
        <f>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P","")</f>
        <v/>
      </c>
      <c r="J11" s="13">
        <f>IF(COUNT(AS11,BV11,CY11)&gt;0,LARGE((AS11,BV11,CY11),1),0)</f>
        <v>48.499999999999993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24.200000000000003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42.4</v>
      </c>
      <c r="S11" s="13" t="str">
        <f>IF(R11=0,"",IF(R11=DD11,$CC$1,IF(R11=CA11,$AZ$1,IF(R11=AX11,$W$1,""))))</f>
        <v>2022 Elite Canada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18.2</v>
      </c>
      <c r="CD11" s="27">
        <v>6</v>
      </c>
      <c r="CE11" s="27">
        <v>0.2</v>
      </c>
      <c r="CF11" s="27">
        <v>0</v>
      </c>
      <c r="CG11" s="27">
        <v>18.3</v>
      </c>
      <c r="CH11" s="27">
        <v>6.4</v>
      </c>
      <c r="CI11" s="27">
        <v>0.2</v>
      </c>
      <c r="CJ11" s="27">
        <v>0</v>
      </c>
      <c r="CK11" s="27">
        <v>18.8</v>
      </c>
      <c r="CL11" s="27">
        <v>6.4</v>
      </c>
      <c r="CM11" s="27">
        <v>1</v>
      </c>
      <c r="CN11" s="27">
        <v>0</v>
      </c>
      <c r="CO11" s="27">
        <v>18.3</v>
      </c>
      <c r="CP11" s="27">
        <v>5.6</v>
      </c>
      <c r="CQ11" s="27">
        <v>0.6</v>
      </c>
      <c r="CR11" s="27">
        <v>0</v>
      </c>
      <c r="CS11" s="27">
        <v>17.899999999999999</v>
      </c>
      <c r="CT11" s="27">
        <v>3.7</v>
      </c>
      <c r="CU11" s="27">
        <v>2.5</v>
      </c>
      <c r="CV11" s="27">
        <v>0</v>
      </c>
      <c r="CW11" s="51"/>
      <c r="CX11" s="76">
        <f>IF(SUM(CD11,CH11)&gt;0,SUM(CD11,CH11),"")</f>
        <v>12.4</v>
      </c>
      <c r="CY11" s="76">
        <f>IF(SUM(CC11:CD11,CF11:CH11,CJ11)-CE11-CI11&gt;0,SUM(CC11:CD11,CF11:CH11,CJ11)-CE11-CI11,"")</f>
        <v>48.499999999999993</v>
      </c>
      <c r="CZ11" s="76">
        <f>IF(SUM(CK11:CL11,CN11)-CM11&gt;0,SUM(CK11:CL11,CN11)-CM11,"")</f>
        <v>24.200000000000003</v>
      </c>
      <c r="DA11" s="76">
        <f>IF(SUM(CD11,CH11,CL11)&gt;0,SUM(CD11,CH11,CL11),"")</f>
        <v>18.8</v>
      </c>
      <c r="DB11" s="76">
        <f>IF(SUM(CY11,CZ11)&gt;0,SUM(CY11,CZ11),"")</f>
        <v>72.699999999999989</v>
      </c>
      <c r="DC11" s="76">
        <f>IF(SUM(CP11,CT11)&gt;0,SUM(CP11,CT11),"")</f>
        <v>9.3000000000000007</v>
      </c>
      <c r="DD11" s="76">
        <f>IF(SUM(CO11:CP11,CR11:CT11,CV11)-SUM(CQ11,CU11)&gt;0,SUM(CO11:CP11,CR11:CT11,CV11)-SUM(CQ11,CU11),"")</f>
        <v>42.4</v>
      </c>
      <c r="DE11" s="76">
        <f>IF(SUM(CY11,DD11)&gt;0,SUM(CY11,DD11),"")</f>
        <v>90.899999999999991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9.1</v>
      </c>
      <c r="QH11" s="42">
        <f>IF($CW11="P",CD11,(CD11+BA11)/2)</f>
        <v>3</v>
      </c>
      <c r="QI11" s="42">
        <f>IF($CW11="P",CE11,(CE11+BB11)/2)</f>
        <v>0.1</v>
      </c>
      <c r="QJ11" s="42">
        <f>IF($CW11="P",CF11,(CF11+BC11)/2)</f>
        <v>0</v>
      </c>
      <c r="QK11" s="42">
        <f>IF($CW11="P",CG11,(CG11+BD11)/2)</f>
        <v>9.15</v>
      </c>
      <c r="QL11" s="42">
        <f>IF($CW11="P",CH11,(CH11+BE11)/2)</f>
        <v>3.2</v>
      </c>
      <c r="QM11" s="42">
        <f>IF($CW11="P",CI11,(CI11+BF11)/2)</f>
        <v>0.1</v>
      </c>
      <c r="QN11" s="42">
        <f>IF($CW11="P",CJ11,(CJ11+BG11)/2)</f>
        <v>0</v>
      </c>
      <c r="QO11" s="42">
        <f>IF($CW11="P",CK11,(CK11+BH11)/2)</f>
        <v>9.4</v>
      </c>
      <c r="QP11" s="42">
        <f>IF($CW11="P",CL11,(CL11+BI11)/2)</f>
        <v>3.2</v>
      </c>
      <c r="QQ11" s="42">
        <f>IF($CW11="P",CM11,(CM11+BJ11)/2)</f>
        <v>0.5</v>
      </c>
      <c r="QR11" s="42">
        <f>IF($CW11="P",CN11,(CN11+BK11)/2)</f>
        <v>0</v>
      </c>
      <c r="QS11" s="42">
        <f>IF($CW11="P",CO11,(CO11+BL11)/2)</f>
        <v>9.15</v>
      </c>
      <c r="QT11" s="42">
        <f>IF($CW11="P",CP11,(CP11+BM11)/2)</f>
        <v>2.8</v>
      </c>
      <c r="QU11" s="42">
        <f>IF($CW11="P",CQ11,(CQ11+BN11)/2)</f>
        <v>0.3</v>
      </c>
      <c r="QV11" s="42">
        <f>IF($CW11="P",CR11,(CR11+BO11)/2)</f>
        <v>0</v>
      </c>
      <c r="QW11" s="42">
        <f>IF($CW11="P",CS11,(CS11+BP11)/2)</f>
        <v>8.9499999999999993</v>
      </c>
      <c r="QX11" s="42">
        <f>IF($CW11="P",CT11,(CT11+BQ11)/2)</f>
        <v>1.85</v>
      </c>
      <c r="QY11" s="42">
        <f>IF($CW11="P",CU11,(CU11+BR11)/2)</f>
        <v>1.25</v>
      </c>
      <c r="QZ11" s="42">
        <f>IF($CW11="P",CV11,(CV11+BS11)/2)</f>
        <v>0</v>
      </c>
      <c r="RA11" s="51" t="s">
        <v>61</v>
      </c>
      <c r="RB11" s="76">
        <f>IF(SUM(QH11,QL11)&gt;0,SUM(QH11,QL11),"")</f>
        <v>6.2</v>
      </c>
      <c r="RC11" s="76">
        <f>IF(SUM(QG11:QH11,QJ11:QL11,QN11)-QI11-QM11&gt;0,SUM(QG11:QH11,QJ11:QL11,QN11)-QI11-QM11,"")</f>
        <v>24.249999999999996</v>
      </c>
      <c r="RD11" s="76">
        <f>IF(SUM(QO11:QP11,QR11)-QQ11&gt;0,SUM(QO11:QP11,QR11)-QQ11,"")</f>
        <v>12.100000000000001</v>
      </c>
      <c r="RE11" s="76">
        <f>IF(SUM(QH11,QL11,QP11)&gt;0,SUM(QH11,QL11,QP11),"")</f>
        <v>9.4</v>
      </c>
      <c r="RF11" s="76">
        <f>IF(SUM(RC11,RD11)&gt;0,SUM(RC11,RD11),"")</f>
        <v>36.349999999999994</v>
      </c>
      <c r="RG11" s="76">
        <f>IF(SUM(QT11,QX11)&gt;0,SUM(QT11,QX11),"")</f>
        <v>4.6500000000000004</v>
      </c>
      <c r="RH11" s="76">
        <f>IF(SUM(QS11:QT11,QV11:QX11,QZ11)-SUM(QU11,QY11)&gt;0,SUM(QS11:QT11,QV11:QX11,QZ11)-SUM(QU11,QY11),"")</f>
        <v>21.2</v>
      </c>
      <c r="RI11" s="76">
        <f>IF(SUM(RC11,RH11)&gt;0,SUM(RC11,RH11),"")</f>
        <v>45.449999999999996</v>
      </c>
    </row>
    <row r="12" spans="1:477" x14ac:dyDescent="0.2">
      <c r="A12" s="5" t="str">
        <f>IF(AND(F12="P",G12="P"),SUMPRODUCT((F$4:F$18="P")*(G$4:G$18="P")*(E$4:E$18&gt;E12))+1,IF(G12="P",SUMPRODUCT((F$4:F$18="")*(G$4:G$18="P")*(E$4:E$18&gt;E12))+1+SUMPRODUCT((F$4:F$18="P")*(G$4:G$18="P")),""))</f>
        <v/>
      </c>
      <c r="B12" s="6" t="s">
        <v>94</v>
      </c>
      <c r="C12" s="7" t="s">
        <v>5</v>
      </c>
      <c r="D12" s="18">
        <v>2003</v>
      </c>
      <c r="E12" s="14">
        <f>SUM(J12:T12)+SUM(J12:P12)*0.0000001+SUM(J12)*0.0000000000001</f>
        <v>112.60002696000699</v>
      </c>
      <c r="F12" s="3" t="str">
        <f>IF(OR(AND(AR12&gt;=AY$20,AS12&gt;=AY$24,AR12&lt;&gt;"",AQ12=""),AND(AW12&gt;=AY$20,AX12&gt;=AY$24,AW12&lt;&gt;"",AQ12=""),AND(BU12&gt;=CB$20,BV12&gt;=CB$24,BU12&lt;&gt;"",BT12=""),AND(BZ12&gt;=CB$20,CA12&gt;=CB$24,BZ12&lt;&gt;"",BT12=""),AND(CX12&gt;=DE$20,CY12&gt;=DE$24,CX12&lt;&gt;"",CW12=""),AND(DC12&gt;=DE$20,DD12&gt;=DE$24,DC12&lt;&gt;""),AND(EC12&gt;=EJ$20,ED12&gt;=EJ$24,EC12&lt;&gt;""),AND(EH12&gt;=EJ$20,EI12&gt;=EJ$24,EH12&lt;&gt;""),AND(FE12&gt;=FL$20,FF12&gt;=FL$24,FE12&lt;&gt;""),AND(FJ12&gt;=FL$20,FK12&gt;=FL$24,FJ12&lt;&gt;""),AND(GG12&gt;=GN$20,GH12&gt;=GN$24,GG12&lt;&gt;""),AND(GL12&gt;=GN$20,GM12&gt;=GN$24,GL12&lt;&gt;""),AND(HI12&gt;=HP$20,HJ12&gt;=HP$24,HI12&lt;&gt;""),AND(HN12&gt;=HP$20,HO12&gt;=HP$24,HN12&lt;&gt;""),AND(IK12&gt;=IR$20,IL12&gt;=IR$24,IK12&lt;&gt;""),AND(IP12&gt;=IR$20,IQ12&gt;=IR$24,IP12&lt;&gt;""),AND(JM12&gt;=JT$20,JN12&gt;=JT$24,JM12&lt;&gt;""),AND(JR12&gt;=JT$20,JS12&gt;=JT$24,JR12&lt;&gt;""),AND(KO12&gt;=KV$20,KP12&gt;=KV$24,KO12&lt;&gt;""),AND(KT12&gt;=KV$20,KU12&gt;=KV$24,KT12&lt;&gt;""),AND(LQ12&gt;=LX$20,LR12&gt;=LX$24,LQ12&lt;&gt;""),AND(LV12&gt;=LX$20,LW12&gt;=LX$24,LV12&lt;&gt;""),AND(MS12&gt;=MZ$20,MT12&gt;=MZ$24,MS12&lt;&gt;""),AND(MX12&gt;=MZ$20,MY12&gt;=MZ$24,MX12&lt;&gt;""),AND(NU12&gt;=OB$20,NV12&gt;=OB$24,NU12&lt;&gt;""),AND(NZ12&gt;=OB$20,OA12&gt;=OB$24,NZ12&lt;&gt;""),AND(OW12&gt;=PD$20,OX12&gt;=PD$24,OW12&lt;&gt;""),AND(PB12&gt;=PD$20,PC12&gt;=PD$24,PB12&lt;&gt;""),AND(PY12&gt;=QF$20,PZ12&gt;=QF$24,PY12&lt;&gt;""),AND(QD12&gt;=QF$20,QE12&gt;=QF$24,QD12&lt;&gt;"")),"P","")</f>
        <v/>
      </c>
      <c r="G12" s="3" t="str">
        <f>IF(OR(AND(AS12&gt;=AY$24,AS12&lt;&gt;"",AQ12=""),AND(AX12&gt;=AY$24,AX12&lt;&gt;"",AQ12=""),AND(BV12&gt;=CB$24,BV12&lt;&gt;"",BT12=""),AND(CA12&gt;=CB$24,CA12&lt;&gt;"",BT12=""),AND(CY12&gt;=DE$24,CY12&lt;&gt;"",CW12=""),AND(DD12&gt;=DE$24,DD12&lt;&gt;"",CW12=""),AND(ED12&gt;=EJ$24,ED12&lt;&gt;""),AND(EI12&gt;=EJ$24,EI12&lt;&gt;""),AND(FF12&gt;=FL$24,FF12&lt;&gt;""),AND(FK12&gt;=FL$24,FK12&lt;&gt;""),AND(GH12&gt;=GN$24,GH12&lt;&gt;""),AND(GM12&gt;=GN$24,GM12&lt;&gt;""),AND(HJ12&gt;=HP$24,HJ12&lt;&gt;""),AND(HO12&gt;=HP$24,HO12&lt;&gt;""),AND(IL12&gt;=IR$24,IL12&lt;&gt;""),AND(IQ12&gt;=IR$24,IQ12&lt;&gt;""),AND(JN12&gt;=JT$24,JN12&lt;&gt;""),AND(JS12&gt;=JT$24,JS12&lt;&gt;""),AND(KP12&gt;=KV$24,KP12&lt;&gt;""),AND(KU12&gt;=KV$24,KU12&lt;&gt;""),AND(LR12&gt;=LX$24,LR12&lt;&gt;""),AND(LW12&gt;=LX$24,LW12&lt;&gt;""),AND(MT12&gt;=MZ$24,MT12&lt;&gt;""),AND(MY12&gt;=MZ$24,MY12&lt;&gt;""),AND(NV12&gt;=OB$24,NV12&lt;&gt;""),AND(OA12&gt;=OB$24,OA12&lt;&gt;""),AND(OX12&gt;=PD$24,OX12&lt;&gt;""),AND(PC12&gt;=PD$24,PC12&lt;&gt;""),AND(PZ12&gt;=QF$24,PZ12&lt;&gt;""),AND(QE12&gt;=QF$24,QE12&lt;&gt;"")),"P","")</f>
        <v/>
      </c>
      <c r="H12" s="70" t="str">
        <f>IF(AND(G12="P",F12=""),"No DD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Merit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Excellence",IF(I12="P","Worlds Team",IF(F12="P","National Team","")))))</f>
        <v/>
      </c>
      <c r="I12" s="3" t="str">
        <f>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P","")</f>
        <v/>
      </c>
      <c r="J12" s="13">
        <f>IF(COUNT(AS12,BV12,CY12)&gt;0,LARGE((AS12,BV12,CY12),1),0)</f>
        <v>49.900000000000013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2.0000000000000002E-5</v>
      </c>
      <c r="M12" s="13" t="str">
        <f>IF(L12=0,"",IF(L12=CY12,$CC$1,IF(L12=BV12,$AZ$1,IF(L12=AS12,$W$1,""))))</f>
        <v>2021 Elite Canada</v>
      </c>
      <c r="N12" s="13">
        <f>IF(COUNT(AT12,BW12,CZ12)&gt;0,LARGE((AT12,BW12,CZ12),1),0)</f>
        <v>19.7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42.999999999999993</v>
      </c>
      <c r="S12" s="13" t="str">
        <f>IF(R12=0,"",IF(R12=DD12,$CC$1,IF(R12=CA12,$AZ$1,IF(R12=AX12,$W$1,""))))</f>
        <v>2022 Elite Canada</v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/>
      <c r="X12" s="27">
        <v>2.0000000000000002E-5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2.0000000000000002E-5</v>
      </c>
      <c r="AS12" s="76">
        <f>IF(SUM(W12:X12,Z12:AB12,AD12)-Y12-AC12&gt;0,SUM(W12:X12,Z12:AB12,AD12)-Y12-AC12,"")</f>
        <v>2.0000000000000002E-5</v>
      </c>
      <c r="AT12" s="76" t="str">
        <f>IF(SUM(AE12:AF12,AH12)-AG12&gt;0,SUM(AE12:AF12,AH12)-AG12,"")</f>
        <v/>
      </c>
      <c r="AU12" s="76">
        <f>IF(SUM(X12,AB12,AF12)&gt;0,SUM(X12,AB12,AF12),"")</f>
        <v>2.0000000000000002E-5</v>
      </c>
      <c r="AV12" s="76">
        <f>IF(SUM(AS12,AT12)&gt;0,SUM(AS12,AT12),"")</f>
        <v>2.0000000000000002E-5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2.0000000000000002E-5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>
        <v>18.600000000000001</v>
      </c>
      <c r="CD12" s="27">
        <v>7.6</v>
      </c>
      <c r="CE12" s="27">
        <v>0.8</v>
      </c>
      <c r="CF12" s="27">
        <v>0</v>
      </c>
      <c r="CG12" s="27">
        <v>18.100000000000001</v>
      </c>
      <c r="CH12" s="27">
        <v>7.2</v>
      </c>
      <c r="CI12" s="27">
        <v>0.8</v>
      </c>
      <c r="CJ12" s="27">
        <v>0</v>
      </c>
      <c r="CK12" s="27">
        <v>17.3</v>
      </c>
      <c r="CL12" s="27">
        <v>2.4</v>
      </c>
      <c r="CM12" s="27">
        <v>0</v>
      </c>
      <c r="CN12" s="27">
        <v>0</v>
      </c>
      <c r="CO12" s="27">
        <v>18.5</v>
      </c>
      <c r="CP12" s="27">
        <v>6.8</v>
      </c>
      <c r="CQ12" s="27">
        <v>0.2</v>
      </c>
      <c r="CR12" s="27">
        <v>0</v>
      </c>
      <c r="CS12" s="27">
        <v>18.5</v>
      </c>
      <c r="CT12" s="27">
        <v>2.8</v>
      </c>
      <c r="CU12" s="27">
        <v>3.4</v>
      </c>
      <c r="CV12" s="27">
        <v>0</v>
      </c>
      <c r="CW12" s="51"/>
      <c r="CX12" s="76">
        <f>IF(SUM(CD12,CH12)&gt;0,SUM(CD12,CH12),"")</f>
        <v>14.8</v>
      </c>
      <c r="CY12" s="76">
        <f>IF(SUM(CC12:CD12,CF12:CH12,CJ12)-CE12-CI12&gt;0,SUM(CC12:CD12,CF12:CH12,CJ12)-CE12-CI12,"")</f>
        <v>49.900000000000013</v>
      </c>
      <c r="CZ12" s="76">
        <f>IF(SUM(CK12:CL12,CN12)-CM12&gt;0,SUM(CK12:CL12,CN12)-CM12,"")</f>
        <v>19.7</v>
      </c>
      <c r="DA12" s="76">
        <f>IF(SUM(CD12,CH12,CL12)&gt;0,SUM(CD12,CH12,CL12),"")</f>
        <v>17.2</v>
      </c>
      <c r="DB12" s="76">
        <f>IF(SUM(CY12,CZ12)&gt;0,SUM(CY12,CZ12),"")</f>
        <v>69.600000000000009</v>
      </c>
      <c r="DC12" s="76">
        <f>IF(SUM(CP12,CT12)&gt;0,SUM(CP12,CT12),"")</f>
        <v>9.6</v>
      </c>
      <c r="DD12" s="76">
        <f>IF(SUM(CO12:CP12,CR12:CT12,CV12)-SUM(CQ12,CU12)&gt;0,SUM(CO12:CP12,CR12:CT12,CV12)-SUM(CQ12,CU12),"")</f>
        <v>42.999999999999993</v>
      </c>
      <c r="DE12" s="76">
        <f>IF(SUM(CY12,DD12)&gt;0,SUM(CY12,DD12),"")</f>
        <v>92.9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>
        <v>2.0000000000000002E-5</v>
      </c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>
        <f>IF(SUM(DJ12,DN12)&gt;0,SUM(DJ12,DN12),"")</f>
        <v>2.0000000000000002E-5</v>
      </c>
      <c r="ED12" s="76">
        <f>IF(SUM(DI12:DJ12,DL12:DN12,DP12)-DK12-DO12&gt;0,SUM(DI12:DJ12,DL12:DN12,DP12)-DK12-DO12,"")</f>
        <v>2.0000000000000002E-5</v>
      </c>
      <c r="EE12" s="76" t="str">
        <f>IF(SUM(DQ12:DR12,DT12)-DS12&gt;0,SUM(DQ12:DR12,DT12)-DS12,"")</f>
        <v/>
      </c>
      <c r="EF12" s="76">
        <f>IF(SUM(DJ12,DN12,DR12)&gt;0,SUM(DJ12,DN12,DR12),"")</f>
        <v>2.0000000000000002E-5</v>
      </c>
      <c r="EG12" s="76">
        <f>IF(SUM(ED12,EE12)&gt;0,SUM(ED12,EE12),"")</f>
        <v>2.0000000000000002E-5</v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>
        <f>IF(SUM(ED12,EI12)&gt;0,SUM(ED12,EI12),"")</f>
        <v>2.0000000000000002E-5</v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9.3000000000000007</v>
      </c>
      <c r="QH12" s="42">
        <f>IF($CW12="P",CD12,(CD12+BA12)/2)</f>
        <v>3.8</v>
      </c>
      <c r="QI12" s="42">
        <f>IF($CW12="P",CE12,(CE12+BB12)/2)</f>
        <v>0.4</v>
      </c>
      <c r="QJ12" s="42">
        <f>IF($CW12="P",CF12,(CF12+BC12)/2)</f>
        <v>0</v>
      </c>
      <c r="QK12" s="42">
        <f>IF($CW12="P",CG12,(CG12+BD12)/2)</f>
        <v>9.0500000000000007</v>
      </c>
      <c r="QL12" s="42">
        <f>IF($CW12="P",CH12,(CH12+BE12)/2)</f>
        <v>3.6</v>
      </c>
      <c r="QM12" s="42">
        <f>IF($CW12="P",CI12,(CI12+BF12)/2)</f>
        <v>0.4</v>
      </c>
      <c r="QN12" s="42">
        <f>IF($CW12="P",CJ12,(CJ12+BG12)/2)</f>
        <v>0</v>
      </c>
      <c r="QO12" s="42">
        <f>IF($CW12="P",CK12,(CK12+BH12)/2)</f>
        <v>8.65</v>
      </c>
      <c r="QP12" s="42">
        <f>IF($CW12="P",CL12,(CL12+BI12)/2)</f>
        <v>1.2</v>
      </c>
      <c r="QQ12" s="42">
        <f>IF($CW12="P",CM12,(CM12+BJ12)/2)</f>
        <v>0</v>
      </c>
      <c r="QR12" s="42">
        <f>IF($CW12="P",CN12,(CN12+BK12)/2)</f>
        <v>0</v>
      </c>
      <c r="QS12" s="42">
        <f>IF($CW12="P",CO12,(CO12+BL12)/2)</f>
        <v>9.25</v>
      </c>
      <c r="QT12" s="42">
        <f>IF($CW12="P",CP12,(CP12+BM12)/2)</f>
        <v>3.4</v>
      </c>
      <c r="QU12" s="42">
        <f>IF($CW12="P",CQ12,(CQ12+BN12)/2)</f>
        <v>0.1</v>
      </c>
      <c r="QV12" s="42">
        <f>IF($CW12="P",CR12,(CR12+BO12)/2)</f>
        <v>0</v>
      </c>
      <c r="QW12" s="42">
        <f>IF($CW12="P",CS12,(CS12+BP12)/2)</f>
        <v>9.25</v>
      </c>
      <c r="QX12" s="42">
        <f>IF($CW12="P",CT12,(CT12+BQ12)/2)</f>
        <v>1.4</v>
      </c>
      <c r="QY12" s="42">
        <f>IF($CW12="P",CU12,(CU12+BR12)/2)</f>
        <v>1.7</v>
      </c>
      <c r="QZ12" s="42">
        <f>IF($CW12="P",CV12,(CV12+BS12)/2)</f>
        <v>0</v>
      </c>
      <c r="RA12" s="51" t="s">
        <v>61</v>
      </c>
      <c r="RB12" s="76">
        <f>IF(SUM(QH12,QL12)&gt;0,SUM(QH12,QL12),"")</f>
        <v>7.4</v>
      </c>
      <c r="RC12" s="76">
        <f>IF(SUM(QG12:QH12,QJ12:QL12,QN12)-QI12-QM12&gt;0,SUM(QG12:QH12,QJ12:QL12,QN12)-QI12-QM12,"")</f>
        <v>24.950000000000006</v>
      </c>
      <c r="RD12" s="76">
        <f>IF(SUM(QO12:QP12,QR12)-QQ12&gt;0,SUM(QO12:QP12,QR12)-QQ12,"")</f>
        <v>9.85</v>
      </c>
      <c r="RE12" s="76">
        <f>IF(SUM(QH12,QL12,QP12)&gt;0,SUM(QH12,QL12,QP12),"")</f>
        <v>8.6</v>
      </c>
      <c r="RF12" s="76">
        <f>IF(SUM(RC12,RD12)&gt;0,SUM(RC12,RD12),"")</f>
        <v>34.800000000000004</v>
      </c>
      <c r="RG12" s="76">
        <f>IF(SUM(QT12,QX12)&gt;0,SUM(QT12,QX12),"")</f>
        <v>4.8</v>
      </c>
      <c r="RH12" s="76">
        <f>IF(SUM(QS12:QT12,QV12:QX12,QZ12)-SUM(QU12,QY12)&gt;0,SUM(QS12:QT12,QV12:QX12,QZ12)-SUM(QU12,QY12),"")</f>
        <v>21.499999999999996</v>
      </c>
      <c r="RI12" s="76">
        <f>IF(SUM(RC12,RH12)&gt;0,SUM(RC12,RH12),"")</f>
        <v>46.45</v>
      </c>
    </row>
    <row r="13" spans="1:477" x14ac:dyDescent="0.2">
      <c r="A13" s="5" t="str">
        <f>IF(AND(F13="P",G13="P"),SUMPRODUCT((F$4:F$18="P")*(G$4:G$18="P")*(E$4:E$18&gt;E13))+1,IF(G13="P",SUMPRODUCT((F$4:F$18="")*(G$4:G$18="P")*(E$4:E$18&gt;E13))+1+SUMPRODUCT((F$4:F$18="P")*(G$4:G$18="P")),""))</f>
        <v/>
      </c>
      <c r="B13" s="6" t="s">
        <v>171</v>
      </c>
      <c r="C13" s="7" t="s">
        <v>6</v>
      </c>
      <c r="D13" s="18">
        <v>2005</v>
      </c>
      <c r="E13" s="14">
        <f>SUM(J13:T13)+SUM(J13:P13)*0.0000001+SUM(J13)*0.0000000000001</f>
        <v>112.0000072000047</v>
      </c>
      <c r="F13" s="3" t="str">
        <f>IF(OR(AND(AR13&gt;=AY$20,AS13&gt;=AY$24,AR13&lt;&gt;"",AQ13=""),AND(AW13&gt;=AY$20,AX13&gt;=AY$24,AW13&lt;&gt;"",AQ13=""),AND(BU13&gt;=CB$20,BV13&gt;=CB$24,BU13&lt;&gt;"",BT13=""),AND(BZ13&gt;=CB$20,CA13&gt;=CB$24,BZ13&lt;&gt;"",BT13=""),AND(CX13&gt;=DE$20,CY13&gt;=DE$24,CX13&lt;&gt;"",CW13=""),AND(DC13&gt;=DE$20,DD13&gt;=DE$24,DC13&lt;&gt;""),AND(EC13&gt;=EJ$20,ED13&gt;=EJ$24,EC13&lt;&gt;""),AND(EH13&gt;=EJ$20,EI13&gt;=EJ$24,EH13&lt;&gt;""),AND(FE13&gt;=FL$20,FF13&gt;=FL$24,FE13&lt;&gt;""),AND(FJ13&gt;=FL$20,FK13&gt;=FL$24,FJ13&lt;&gt;""),AND(GG13&gt;=GN$20,GH13&gt;=GN$24,GG13&lt;&gt;""),AND(GL13&gt;=GN$20,GM13&gt;=GN$24,GL13&lt;&gt;""),AND(HI13&gt;=HP$20,HJ13&gt;=HP$24,HI13&lt;&gt;""),AND(HN13&gt;=HP$20,HO13&gt;=HP$24,HN13&lt;&gt;""),AND(IK13&gt;=IR$20,IL13&gt;=IR$24,IK13&lt;&gt;""),AND(IP13&gt;=IR$20,IQ13&gt;=IR$24,IP13&lt;&gt;""),AND(JM13&gt;=JT$20,JN13&gt;=JT$24,JM13&lt;&gt;""),AND(JR13&gt;=JT$20,JS13&gt;=JT$24,JR13&lt;&gt;""),AND(KO13&gt;=KV$20,KP13&gt;=KV$24,KO13&lt;&gt;""),AND(KT13&gt;=KV$20,KU13&gt;=KV$24,KT13&lt;&gt;""),AND(LQ13&gt;=LX$20,LR13&gt;=LX$24,LQ13&lt;&gt;""),AND(LV13&gt;=LX$20,LW13&gt;=LX$24,LV13&lt;&gt;""),AND(MS13&gt;=MZ$20,MT13&gt;=MZ$24,MS13&lt;&gt;""),AND(MX13&gt;=MZ$20,MY13&gt;=MZ$24,MX13&lt;&gt;""),AND(NU13&gt;=OB$20,NV13&gt;=OB$24,NU13&lt;&gt;""),AND(NZ13&gt;=OB$20,OA13&gt;=OB$24,NZ13&lt;&gt;""),AND(OW13&gt;=PD$20,OX13&gt;=PD$24,OW13&lt;&gt;""),AND(PB13&gt;=PD$20,PC13&gt;=PD$24,PB13&lt;&gt;""),AND(PY13&gt;=QF$20,PZ13&gt;=QF$24,PY13&lt;&gt;""),AND(QD13&gt;=QF$20,QE13&gt;=QF$24,QD13&lt;&gt;"")),"P","")</f>
        <v/>
      </c>
      <c r="G13" s="3" t="str">
        <f>IF(OR(AND(AS13&gt;=AY$24,AS13&lt;&gt;"",AQ13=""),AND(AX13&gt;=AY$24,AX13&lt;&gt;"",AQ13=""),AND(BV13&gt;=CB$24,BV13&lt;&gt;"",BT13=""),AND(CA13&gt;=CB$24,CA13&lt;&gt;"",BT13=""),AND(CY13&gt;=DE$24,CY13&lt;&gt;"",CW13=""),AND(DD13&gt;=DE$24,DD13&lt;&gt;"",CW13=""),AND(ED13&gt;=EJ$24,ED13&lt;&gt;""),AND(EI13&gt;=EJ$24,EI13&lt;&gt;""),AND(FF13&gt;=FL$24,FF13&lt;&gt;""),AND(FK13&gt;=FL$24,FK13&lt;&gt;""),AND(GH13&gt;=GN$24,GH13&lt;&gt;""),AND(GM13&gt;=GN$24,GM13&lt;&gt;""),AND(HJ13&gt;=HP$24,HJ13&lt;&gt;""),AND(HO13&gt;=HP$24,HO13&lt;&gt;""),AND(IL13&gt;=IR$24,IL13&lt;&gt;""),AND(IQ13&gt;=IR$24,IQ13&lt;&gt;""),AND(JN13&gt;=JT$24,JN13&lt;&gt;""),AND(JS13&gt;=JT$24,JS13&lt;&gt;""),AND(KP13&gt;=KV$24,KP13&lt;&gt;""),AND(KU13&gt;=KV$24,KU13&lt;&gt;""),AND(LR13&gt;=LX$24,LR13&lt;&gt;""),AND(LW13&gt;=LX$24,LW13&lt;&gt;""),AND(MT13&gt;=MZ$24,MT13&lt;&gt;""),AND(MY13&gt;=MZ$24,MY13&lt;&gt;""),AND(NV13&gt;=OB$24,NV13&lt;&gt;""),AND(OA13&gt;=OB$24,OA13&lt;&gt;""),AND(OX13&gt;=PD$24,OX13&lt;&gt;""),AND(PC13&gt;=PD$24,PC13&lt;&gt;""),AND(PZ13&gt;=QF$24,PZ13&lt;&gt;""),AND(QE13&gt;=QF$24,QE13&lt;&gt;"")),"P","")</f>
        <v/>
      </c>
      <c r="H13" s="70" t="str">
        <f>IF(AND(G13="P",F13=""),"No DD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Merit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Excellence",IF(I13="P","Worlds Team",IF(F13="P","National Team","")))))</f>
        <v/>
      </c>
      <c r="I13" s="3" t="str">
        <f>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P","")</f>
        <v/>
      </c>
      <c r="J13" s="13">
        <f>IF(COUNT(AS13,BV13,CY13)&gt;0,LARGE((AS13,BV13,CY13),1),0)</f>
        <v>47.1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24.9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39.999999999999993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18.899999999999999</v>
      </c>
      <c r="CD13" s="27">
        <v>7.2</v>
      </c>
      <c r="CE13" s="27">
        <v>0</v>
      </c>
      <c r="CF13" s="27">
        <v>0</v>
      </c>
      <c r="CG13" s="27">
        <v>17.399999999999999</v>
      </c>
      <c r="CH13" s="27">
        <v>3.6</v>
      </c>
      <c r="CI13" s="27">
        <v>0</v>
      </c>
      <c r="CJ13" s="27">
        <v>0</v>
      </c>
      <c r="CK13" s="27">
        <v>18.899999999999999</v>
      </c>
      <c r="CL13" s="27">
        <v>6</v>
      </c>
      <c r="CM13" s="27">
        <v>0</v>
      </c>
      <c r="CN13" s="27">
        <v>0</v>
      </c>
      <c r="CO13" s="27">
        <v>17.399999999999999</v>
      </c>
      <c r="CP13" s="27">
        <v>2.8</v>
      </c>
      <c r="CQ13" s="27">
        <v>0</v>
      </c>
      <c r="CR13" s="27">
        <v>0</v>
      </c>
      <c r="CS13" s="27">
        <v>17.399999999999999</v>
      </c>
      <c r="CT13" s="27">
        <v>2.4</v>
      </c>
      <c r="CU13" s="27">
        <v>0</v>
      </c>
      <c r="CV13" s="27">
        <v>0</v>
      </c>
      <c r="CW13" s="51"/>
      <c r="CX13" s="76">
        <f>IF(SUM(CD13,CH13)&gt;0,SUM(CD13,CH13),"")</f>
        <v>10.8</v>
      </c>
      <c r="CY13" s="76">
        <f>IF(SUM(CC13:CD13,CF13:CH13,CJ13)-CE13-CI13&gt;0,SUM(CC13:CD13,CF13:CH13,CJ13)-CE13-CI13,"")</f>
        <v>47.1</v>
      </c>
      <c r="CZ13" s="76">
        <f>IF(SUM(CK13:CL13,CN13)-CM13&gt;0,SUM(CK13:CL13,CN13)-CM13,"")</f>
        <v>24.9</v>
      </c>
      <c r="DA13" s="76">
        <f>IF(SUM(CD13,CH13,CL13)&gt;0,SUM(CD13,CH13,CL13),"")</f>
        <v>16.8</v>
      </c>
      <c r="DB13" s="76">
        <f>IF(SUM(CY13,CZ13)&gt;0,SUM(CY13,CZ13),"")</f>
        <v>72</v>
      </c>
      <c r="DC13" s="76">
        <f>IF(SUM(CP13,CT13)&gt;0,SUM(CP13,CT13),"")</f>
        <v>5.1999999999999993</v>
      </c>
      <c r="DD13" s="76">
        <f>IF(SUM(CO13:CP13,CR13:CT13,CV13)-SUM(CQ13,CU13)&gt;0,SUM(CO13:CP13,CR13:CT13,CV13)-SUM(CQ13,CU13),"")</f>
        <v>39.999999999999993</v>
      </c>
      <c r="DE13" s="76">
        <f>IF(SUM(CY13,DD13)&gt;0,SUM(CY13,DD13),"")</f>
        <v>87.1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18.600000000000001</v>
      </c>
      <c r="EL13" s="26">
        <v>7.2</v>
      </c>
      <c r="EM13" s="26">
        <v>0.6</v>
      </c>
      <c r="EN13" s="26">
        <v>0</v>
      </c>
      <c r="EO13" s="26">
        <v>17.8</v>
      </c>
      <c r="EP13" s="26">
        <v>6.8</v>
      </c>
      <c r="EQ13" s="26">
        <v>0.2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7.2</v>
      </c>
      <c r="EY13" s="26">
        <v>0.2</v>
      </c>
      <c r="EZ13" s="26">
        <v>0</v>
      </c>
      <c r="FA13" s="26">
        <v>0</v>
      </c>
      <c r="FB13" s="26">
        <v>0</v>
      </c>
      <c r="FC13" s="26">
        <v>0</v>
      </c>
      <c r="FD13" s="26">
        <v>0</v>
      </c>
      <c r="FE13" s="16">
        <f>IF(SUM(EL13,EP13)&gt;0,SUM(EL13,EP13),"")</f>
        <v>14</v>
      </c>
      <c r="FF13" s="16">
        <f>IF(SUM(EK13:EL13,EN13:EP13,ER13)-EM13-EQ13&gt;0,SUM(EK13:EL13,EN13:EP13,ER13)-EM13-EQ13,"")</f>
        <v>49.599999999999994</v>
      </c>
      <c r="FG13" s="16" t="str">
        <f>IF(SUM(ES13:ET13,EV13)-EU13&gt;0,SUM(ES13:ET13,EV13)-EU13,"")</f>
        <v/>
      </c>
      <c r="FH13" s="16">
        <f>IF(SUM(EL13,EP13,ET13)&gt;0,SUM(EL13,EP13,ET13),"")</f>
        <v>14</v>
      </c>
      <c r="FI13" s="16">
        <f>IF(SUM(FF13,FG13)&gt;0,SUM(FF13,FG13),"")</f>
        <v>49.599999999999994</v>
      </c>
      <c r="FJ13" s="16">
        <f>IF(SUM(EX13,FB13)&gt;0,SUM(EX13,FB13),"")</f>
        <v>7.2</v>
      </c>
      <c r="FK13" s="16">
        <f>IF(SUM(EW13:EX13,EZ13:FB13,FD13)-SUM(EY13,FC13)&gt;0,SUM(EW13:EX13,EZ13:FB13,FD13)-SUM(EY13,FC13),"")</f>
        <v>25.6</v>
      </c>
      <c r="FL13" s="16">
        <f>IF(SUM(FF13,FK13)&gt;0,SUM(FF13,FK13),"")</f>
        <v>75.199999999999989</v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9.4499999999999993</v>
      </c>
      <c r="QH13" s="42">
        <f>IF($CW13="P",CD13,(CD13+BA13)/2)</f>
        <v>3.6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8.6999999999999993</v>
      </c>
      <c r="QL13" s="42">
        <f>IF($CW13="P",CH13,(CH13+BE13)/2)</f>
        <v>1.8</v>
      </c>
      <c r="QM13" s="42">
        <f>IF($CW13="P",CI13,(CI13+BF13)/2)</f>
        <v>0</v>
      </c>
      <c r="QN13" s="42">
        <f>IF($CW13="P",CJ13,(CJ13+BG13)/2)</f>
        <v>0</v>
      </c>
      <c r="QO13" s="42">
        <f>IF($CW13="P",CK13,(CK13+BH13)/2)</f>
        <v>9.4499999999999993</v>
      </c>
      <c r="QP13" s="42">
        <f>IF($CW13="P",CL13,(CL13+BI13)/2)</f>
        <v>3</v>
      </c>
      <c r="QQ13" s="42">
        <f>IF($CW13="P",CM13,(CM13+BJ13)/2)</f>
        <v>0</v>
      </c>
      <c r="QR13" s="42">
        <f>IF($CW13="P",CN13,(CN13+BK13)/2)</f>
        <v>0</v>
      </c>
      <c r="QS13" s="42">
        <f>IF($CW13="P",CO13,(CO13+BL13)/2)</f>
        <v>8.6999999999999993</v>
      </c>
      <c r="QT13" s="42">
        <f>IF($CW13="P",CP13,(CP13+BM13)/2)</f>
        <v>1.4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8.6999999999999993</v>
      </c>
      <c r="QX13" s="42">
        <f>IF($CW13="P",CT13,(CT13+BQ13)/2)</f>
        <v>1.2</v>
      </c>
      <c r="QY13" s="42">
        <f>IF($CW13="P",CU13,(CU13+BR13)/2)</f>
        <v>0</v>
      </c>
      <c r="QZ13" s="42">
        <f>IF($CW13="P",CV13,(CV13+BS13)/2)</f>
        <v>0</v>
      </c>
      <c r="RA13" s="51" t="s">
        <v>61</v>
      </c>
      <c r="RB13" s="76">
        <f>IF(SUM(QH13,QL13)&gt;0,SUM(QH13,QL13),"")</f>
        <v>5.4</v>
      </c>
      <c r="RC13" s="76">
        <f>IF(SUM(QG13:QH13,QJ13:QL13,QN13)-QI13-QM13&gt;0,SUM(QG13:QH13,QJ13:QL13,QN13)-QI13-QM13,"")</f>
        <v>23.55</v>
      </c>
      <c r="RD13" s="76">
        <f>IF(SUM(QO13:QP13,QR13)-QQ13&gt;0,SUM(QO13:QP13,QR13)-QQ13,"")</f>
        <v>12.45</v>
      </c>
      <c r="RE13" s="76">
        <f>IF(SUM(QH13,QL13,QP13)&gt;0,SUM(QH13,QL13,QP13),"")</f>
        <v>8.4</v>
      </c>
      <c r="RF13" s="76">
        <f>IF(SUM(RC13,RD13)&gt;0,SUM(RC13,RD13),"")</f>
        <v>36</v>
      </c>
      <c r="RG13" s="76">
        <f>IF(SUM(QT13,QX13)&gt;0,SUM(QT13,QX13),"")</f>
        <v>2.5999999999999996</v>
      </c>
      <c r="RH13" s="76">
        <f>IF(SUM(QS13:QT13,QV13:QX13,QZ13)-SUM(QU13,QY13)&gt;0,SUM(QS13:QT13,QV13:QX13,QZ13)-SUM(QU13,QY13),"")</f>
        <v>19.999999999999996</v>
      </c>
      <c r="RI13" s="76">
        <f>IF(SUM(RC13,RH13)&gt;0,SUM(RC13,RH13),"")</f>
        <v>43.55</v>
      </c>
    </row>
    <row r="14" spans="1:477" x14ac:dyDescent="0.2">
      <c r="A14" s="5" t="str">
        <f>IF(AND(F14="P",G14="P"),SUMPRODUCT((F$4:F$18="P")*(G$4:G$18="P")*(E$4:E$18&gt;E14))+1,IF(G14="P",SUMPRODUCT((F$4:F$18="")*(G$4:G$18="P")*(E$4:E$18&gt;E14))+1+SUMPRODUCT((F$4:F$18="P")*(G$4:G$18="P")),""))</f>
        <v/>
      </c>
      <c r="B14" s="6" t="s">
        <v>172</v>
      </c>
      <c r="C14" s="7" t="s">
        <v>5</v>
      </c>
      <c r="D14" s="18">
        <v>2004</v>
      </c>
      <c r="E14" s="14">
        <f>SUM(J14:T14)+SUM(J14:P14)*0.0000001+SUM(J14)*0.0000000000001</f>
        <v>100.6000075600051</v>
      </c>
      <c r="F14" s="3" t="str">
        <f>IF(OR(AND(AR14&gt;=AY$20,AS14&gt;=AY$24,AR14&lt;&gt;"",AQ14=""),AND(AW14&gt;=AY$20,AX14&gt;=AY$24,AW14&lt;&gt;"",AQ14=""),AND(BU14&gt;=CB$20,BV14&gt;=CB$24,BU14&lt;&gt;"",BT14=""),AND(BZ14&gt;=CB$20,CA14&gt;=CB$24,BZ14&lt;&gt;"",BT14=""),AND(CX14&gt;=DE$20,CY14&gt;=DE$24,CX14&lt;&gt;"",CW14=""),AND(DC14&gt;=DE$20,DD14&gt;=DE$24,DC14&lt;&gt;""),AND(EC14&gt;=EJ$20,ED14&gt;=EJ$24,EC14&lt;&gt;""),AND(EH14&gt;=EJ$20,EI14&gt;=EJ$24,EH14&lt;&gt;""),AND(FE14&gt;=FL$20,FF14&gt;=FL$24,FE14&lt;&gt;""),AND(FJ14&gt;=FL$20,FK14&gt;=FL$24,FJ14&lt;&gt;""),AND(GG14&gt;=GN$20,GH14&gt;=GN$24,GG14&lt;&gt;""),AND(GL14&gt;=GN$20,GM14&gt;=GN$24,GL14&lt;&gt;""),AND(HI14&gt;=HP$20,HJ14&gt;=HP$24,HI14&lt;&gt;""),AND(HN14&gt;=HP$20,HO14&gt;=HP$24,HN14&lt;&gt;""),AND(IK14&gt;=IR$20,IL14&gt;=IR$24,IK14&lt;&gt;""),AND(IP14&gt;=IR$20,IQ14&gt;=IR$24,IP14&lt;&gt;""),AND(JM14&gt;=JT$20,JN14&gt;=JT$24,JM14&lt;&gt;""),AND(JR14&gt;=JT$20,JS14&gt;=JT$24,JR14&lt;&gt;""),AND(KO14&gt;=KV$20,KP14&gt;=KV$24,KO14&lt;&gt;""),AND(KT14&gt;=KV$20,KU14&gt;=KV$24,KT14&lt;&gt;""),AND(LQ14&gt;=LX$20,LR14&gt;=LX$24,LQ14&lt;&gt;""),AND(LV14&gt;=LX$20,LW14&gt;=LX$24,LV14&lt;&gt;""),AND(MS14&gt;=MZ$20,MT14&gt;=MZ$24,MS14&lt;&gt;""),AND(MX14&gt;=MZ$20,MY14&gt;=MZ$24,MX14&lt;&gt;""),AND(NU14&gt;=OB$20,NV14&gt;=OB$24,NU14&lt;&gt;""),AND(NZ14&gt;=OB$20,OA14&gt;=OB$24,NZ14&lt;&gt;""),AND(OW14&gt;=PD$20,OX14&gt;=PD$24,OW14&lt;&gt;""),AND(PB14&gt;=PD$20,PC14&gt;=PD$24,PB14&lt;&gt;""),AND(PY14&gt;=QF$20,PZ14&gt;=QF$24,PY14&lt;&gt;""),AND(QD14&gt;=QF$20,QE14&gt;=QF$24,QD14&lt;&gt;"")),"P","")</f>
        <v/>
      </c>
      <c r="G14" s="3" t="str">
        <f>IF(OR(AND(AS14&gt;=AY$24,AS14&lt;&gt;"",AQ14=""),AND(AX14&gt;=AY$24,AX14&lt;&gt;"",AQ14=""),AND(BV14&gt;=CB$24,BV14&lt;&gt;"",BT14=""),AND(CA14&gt;=CB$24,CA14&lt;&gt;"",BT14=""),AND(CY14&gt;=DE$24,CY14&lt;&gt;"",CW14=""),AND(DD14&gt;=DE$24,DD14&lt;&gt;"",CW14=""),AND(ED14&gt;=EJ$24,ED14&lt;&gt;""),AND(EI14&gt;=EJ$24,EI14&lt;&gt;""),AND(FF14&gt;=FL$24,FF14&lt;&gt;""),AND(FK14&gt;=FL$24,FK14&lt;&gt;""),AND(GH14&gt;=GN$24,GH14&lt;&gt;""),AND(GM14&gt;=GN$24,GM14&lt;&gt;""),AND(HJ14&gt;=HP$24,HJ14&lt;&gt;""),AND(HO14&gt;=HP$24,HO14&lt;&gt;""),AND(IL14&gt;=IR$24,IL14&lt;&gt;""),AND(IQ14&gt;=IR$24,IQ14&lt;&gt;""),AND(JN14&gt;=JT$24,JN14&lt;&gt;""),AND(JS14&gt;=JT$24,JS14&lt;&gt;""),AND(KP14&gt;=KV$24,KP14&lt;&gt;""),AND(KU14&gt;=KV$24,KU14&lt;&gt;""),AND(LR14&gt;=LX$24,LR14&lt;&gt;""),AND(LW14&gt;=LX$24,LW14&lt;&gt;""),AND(MT14&gt;=MZ$24,MT14&lt;&gt;""),AND(MY14&gt;=MZ$24,MY14&lt;&gt;""),AND(NV14&gt;=OB$24,NV14&lt;&gt;""),AND(OA14&gt;=OB$24,OA14&lt;&gt;""),AND(OX14&gt;=PD$24,OX14&lt;&gt;""),AND(PC14&gt;=PD$24,PC14&lt;&gt;""),AND(PZ14&gt;=QF$24,PZ14&lt;&gt;""),AND(QE14&gt;=QF$24,QE14&lt;&gt;"")),"P","")</f>
        <v/>
      </c>
      <c r="H14" s="70" t="str">
        <f>IF(AND(G14="P",F14=""),"No DD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Merit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Excellence",IF(I14="P","Worlds Team",IF(F14="P","National Team","")))))</f>
        <v/>
      </c>
      <c r="I14" s="3" t="str">
        <f>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P","")</f>
        <v/>
      </c>
      <c r="J14" s="13">
        <f>IF(COUNT(AS14,BV14,CY14)&gt;0,LARGE((AS14,BV14,CY14),1),0)</f>
        <v>50.900000000000006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24.7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25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19</v>
      </c>
      <c r="CD14" s="27">
        <v>6.8</v>
      </c>
      <c r="CE14" s="27">
        <v>0.6</v>
      </c>
      <c r="CF14" s="27">
        <v>0</v>
      </c>
      <c r="CG14" s="27">
        <v>19.100000000000001</v>
      </c>
      <c r="CH14" s="27">
        <v>7.2</v>
      </c>
      <c r="CI14" s="27">
        <v>0.6</v>
      </c>
      <c r="CJ14" s="27">
        <v>0</v>
      </c>
      <c r="CK14" s="27">
        <v>18.399999999999999</v>
      </c>
      <c r="CL14" s="27">
        <v>7.3</v>
      </c>
      <c r="CM14" s="27">
        <v>1</v>
      </c>
      <c r="CN14" s="27">
        <v>0</v>
      </c>
      <c r="CO14" s="27">
        <v>18.8</v>
      </c>
      <c r="CP14" s="27">
        <v>6.8</v>
      </c>
      <c r="CQ14" s="27">
        <v>0.6</v>
      </c>
      <c r="CR14" s="27">
        <v>0</v>
      </c>
      <c r="CS14" s="27">
        <v>0</v>
      </c>
      <c r="CT14" s="27">
        <v>0</v>
      </c>
      <c r="CU14" s="27">
        <v>0</v>
      </c>
      <c r="CV14" s="27">
        <v>0</v>
      </c>
      <c r="CW14" s="51"/>
      <c r="CX14" s="76">
        <f>IF(SUM(CD14,CH14)&gt;0,SUM(CD14,CH14),"")</f>
        <v>14</v>
      </c>
      <c r="CY14" s="76">
        <f>IF(SUM(CC14:CD14,CF14:CH14,CJ14)-CE14-CI14&gt;0,SUM(CC14:CD14,CF14:CH14,CJ14)-CE14-CI14,"")</f>
        <v>50.900000000000006</v>
      </c>
      <c r="CZ14" s="76">
        <f>IF(SUM(CK14:CL14,CN14)-CM14&gt;0,SUM(CK14:CL14,CN14)-CM14,"")</f>
        <v>24.7</v>
      </c>
      <c r="DA14" s="76">
        <f>IF(SUM(CD14,CH14,CL14)&gt;0,SUM(CD14,CH14,CL14),"")</f>
        <v>21.3</v>
      </c>
      <c r="DB14" s="76">
        <f>IF(SUM(CY14,CZ14)&gt;0,SUM(CY14,CZ14),"")</f>
        <v>75.600000000000009</v>
      </c>
      <c r="DC14" s="76">
        <f>IF(SUM(CP14,CT14)&gt;0,SUM(CP14,CT14),"")</f>
        <v>6.8</v>
      </c>
      <c r="DD14" s="76">
        <f>IF(SUM(CO14:CP14,CR14:CT14,CV14)-SUM(CQ14,CU14)&gt;0,SUM(CO14:CP14,CR14:CT14,CV14)-SUM(CQ14,CU14),"")</f>
        <v>25</v>
      </c>
      <c r="DE14" s="76">
        <f>IF(SUM(CY14,DD14)&gt;0,SUM(CY14,DD14),"")</f>
        <v>75.900000000000006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9.5</v>
      </c>
      <c r="QH14" s="42">
        <f>IF($CW14="P",CD14,(CD14+BA14)/2)</f>
        <v>3.4</v>
      </c>
      <c r="QI14" s="42">
        <f>IF($CW14="P",CE14,(CE14+BB14)/2)</f>
        <v>0.3</v>
      </c>
      <c r="QJ14" s="42">
        <f>IF($CW14="P",CF14,(CF14+BC14)/2)</f>
        <v>0</v>
      </c>
      <c r="QK14" s="42">
        <f>IF($CW14="P",CG14,(CG14+BD14)/2)</f>
        <v>9.5500000000000007</v>
      </c>
      <c r="QL14" s="42">
        <f>IF($CW14="P",CH14,(CH14+BE14)/2)</f>
        <v>3.6</v>
      </c>
      <c r="QM14" s="42">
        <f>IF($CW14="P",CI14,(CI14+BF14)/2)</f>
        <v>0.3</v>
      </c>
      <c r="QN14" s="42">
        <f>IF($CW14="P",CJ14,(CJ14+BG14)/2)</f>
        <v>0</v>
      </c>
      <c r="QO14" s="42">
        <f>IF($CW14="P",CK14,(CK14+BH14)/2)</f>
        <v>9.1999999999999993</v>
      </c>
      <c r="QP14" s="42">
        <f>IF($CW14="P",CL14,(CL14+BI14)/2)</f>
        <v>3.65</v>
      </c>
      <c r="QQ14" s="42">
        <f>IF($CW14="P",CM14,(CM14+BJ14)/2)</f>
        <v>0.5</v>
      </c>
      <c r="QR14" s="42">
        <f>IF($CW14="P",CN14,(CN14+BK14)/2)</f>
        <v>0</v>
      </c>
      <c r="QS14" s="42">
        <f>IF($CW14="P",CO14,(CO14+BL14)/2)</f>
        <v>9.4</v>
      </c>
      <c r="QT14" s="42">
        <f>IF($CW14="P",CP14,(CP14+BM14)/2)</f>
        <v>3.4</v>
      </c>
      <c r="QU14" s="42">
        <f>IF($CW14="P",CQ14,(CQ14+BN14)/2)</f>
        <v>0.3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7</v>
      </c>
      <c r="RC14" s="76">
        <f>IF(SUM(QG14:QH14,QJ14:QL14,QN14)-QI14-QM14&gt;0,SUM(QG14:QH14,QJ14:QL14,QN14)-QI14-QM14,"")</f>
        <v>25.450000000000003</v>
      </c>
      <c r="RD14" s="76">
        <f>IF(SUM(QO14:QP14,QR14)-QQ14&gt;0,SUM(QO14:QP14,QR14)-QQ14,"")</f>
        <v>12.35</v>
      </c>
      <c r="RE14" s="76">
        <f>IF(SUM(QH14,QL14,QP14)&gt;0,SUM(QH14,QL14,QP14),"")</f>
        <v>10.65</v>
      </c>
      <c r="RF14" s="76">
        <f>IF(SUM(RC14,RD14)&gt;0,SUM(RC14,RD14),"")</f>
        <v>37.800000000000004</v>
      </c>
      <c r="RG14" s="76">
        <f>IF(SUM(QT14,QX14)&gt;0,SUM(QT14,QX14),"")</f>
        <v>3.4</v>
      </c>
      <c r="RH14" s="76">
        <f>IF(SUM(QS14:QT14,QV14:QX14,QZ14)-SUM(QU14,QY14)&gt;0,SUM(QS14:QT14,QV14:QX14,QZ14)-SUM(QU14,QY14),"")</f>
        <v>12.5</v>
      </c>
      <c r="RI14" s="76">
        <f>IF(SUM(RC14,RH14)&gt;0,SUM(RC14,RH14),"")</f>
        <v>37.950000000000003</v>
      </c>
    </row>
    <row r="15" spans="1:477" x14ac:dyDescent="0.2">
      <c r="A15" s="5" t="str">
        <f>IF(AND(F15="P",G15="P"),SUMPRODUCT((F$4:F$18="P")*(G$4:G$18="P")*(E$4:E$18&gt;E15))+1,IF(G15="P",SUMPRODUCT((F$4:F$18="")*(G$4:G$18="P")*(E$4:E$18&gt;E15))+1+SUMPRODUCT((F$4:F$18="P")*(G$4:G$18="P")),""))</f>
        <v/>
      </c>
      <c r="B15" s="6" t="s">
        <v>95</v>
      </c>
      <c r="C15" s="7" t="s">
        <v>6</v>
      </c>
      <c r="D15" s="18">
        <v>2002</v>
      </c>
      <c r="E15" s="14">
        <f>SUM(J15:T15)+SUM(J15:P15)*0.0000001+SUM(J15)*0.0000000000001</f>
        <v>67.500006750004815</v>
      </c>
      <c r="F15" s="3" t="str">
        <f>IF(OR(AND(AR15&gt;=AY$20,AS15&gt;=AY$24,AR15&lt;&gt;"",AQ15=""),AND(AW15&gt;=AY$20,AX15&gt;=AY$24,AW15&lt;&gt;"",AQ15=""),AND(BU15&gt;=CB$20,BV15&gt;=CB$24,BU15&lt;&gt;"",BT15=""),AND(BZ15&gt;=CB$20,CA15&gt;=CB$24,BZ15&lt;&gt;"",BT15=""),AND(CX15&gt;=DE$20,CY15&gt;=DE$24,CX15&lt;&gt;"",CW15=""),AND(DC15&gt;=DE$20,DD15&gt;=DE$24,DC15&lt;&gt;""),AND(EC15&gt;=EJ$20,ED15&gt;=EJ$24,EC15&lt;&gt;""),AND(EH15&gt;=EJ$20,EI15&gt;=EJ$24,EH15&lt;&gt;""),AND(FE15&gt;=FL$20,FF15&gt;=FL$24,FE15&lt;&gt;""),AND(FJ15&gt;=FL$20,FK15&gt;=FL$24,FJ15&lt;&gt;""),AND(GG15&gt;=GN$20,GH15&gt;=GN$24,GG15&lt;&gt;""),AND(GL15&gt;=GN$20,GM15&gt;=GN$24,GL15&lt;&gt;""),AND(HI15&gt;=HP$20,HJ15&gt;=HP$24,HI15&lt;&gt;""),AND(HN15&gt;=HP$20,HO15&gt;=HP$24,HN15&lt;&gt;""),AND(IK15&gt;=IR$20,IL15&gt;=IR$24,IK15&lt;&gt;""),AND(IP15&gt;=IR$20,IQ15&gt;=IR$24,IP15&lt;&gt;""),AND(JM15&gt;=JT$20,JN15&gt;=JT$24,JM15&lt;&gt;""),AND(JR15&gt;=JT$20,JS15&gt;=JT$24,JR15&lt;&gt;""),AND(KO15&gt;=KV$20,KP15&gt;=KV$24,KO15&lt;&gt;""),AND(KT15&gt;=KV$20,KU15&gt;=KV$24,KT15&lt;&gt;""),AND(LQ15&gt;=LX$20,LR15&gt;=LX$24,LQ15&lt;&gt;""),AND(LV15&gt;=LX$20,LW15&gt;=LX$24,LV15&lt;&gt;""),AND(MS15&gt;=MZ$20,MT15&gt;=MZ$24,MS15&lt;&gt;""),AND(MX15&gt;=MZ$20,MY15&gt;=MZ$24,MX15&lt;&gt;""),AND(NU15&gt;=OB$20,NV15&gt;=OB$24,NU15&lt;&gt;""),AND(NZ15&gt;=OB$20,OA15&gt;=OB$24,NZ15&lt;&gt;""),AND(OW15&gt;=PD$20,OX15&gt;=PD$24,OW15&lt;&gt;""),AND(PB15&gt;=PD$20,PC15&gt;=PD$24,PB15&lt;&gt;""),AND(PY15&gt;=QF$20,PZ15&gt;=QF$24,PY15&lt;&gt;""),AND(QD15&gt;=QF$20,QE15&gt;=QF$24,QD15&lt;&gt;"")),"P","")</f>
        <v/>
      </c>
      <c r="G15" s="3" t="str">
        <f>IF(OR(AND(AS15&gt;=AY$24,AS15&lt;&gt;"",AQ15=""),AND(AX15&gt;=AY$24,AX15&lt;&gt;"",AQ15=""),AND(BV15&gt;=CB$24,BV15&lt;&gt;"",BT15=""),AND(CA15&gt;=CB$24,CA15&lt;&gt;"",BT15=""),AND(CY15&gt;=DE$24,CY15&lt;&gt;"",CW15=""),AND(DD15&gt;=DE$24,DD15&lt;&gt;"",CW15=""),AND(ED15&gt;=EJ$24,ED15&lt;&gt;""),AND(EI15&gt;=EJ$24,EI15&lt;&gt;""),AND(FF15&gt;=FL$24,FF15&lt;&gt;""),AND(FK15&gt;=FL$24,FK15&lt;&gt;""),AND(GH15&gt;=GN$24,GH15&lt;&gt;""),AND(GM15&gt;=GN$24,GM15&lt;&gt;""),AND(HJ15&gt;=HP$24,HJ15&lt;&gt;""),AND(HO15&gt;=HP$24,HO15&lt;&gt;""),AND(IL15&gt;=IR$24,IL15&lt;&gt;""),AND(IQ15&gt;=IR$24,IQ15&lt;&gt;""),AND(JN15&gt;=JT$24,JN15&lt;&gt;""),AND(JS15&gt;=JT$24,JS15&lt;&gt;""),AND(KP15&gt;=KV$24,KP15&lt;&gt;""),AND(KU15&gt;=KV$24,KU15&lt;&gt;""),AND(LR15&gt;=LX$24,LR15&lt;&gt;""),AND(LW15&gt;=LX$24,LW15&lt;&gt;""),AND(MT15&gt;=MZ$24,MT15&lt;&gt;""),AND(MY15&gt;=MZ$24,MY15&lt;&gt;""),AND(NV15&gt;=OB$24,NV15&lt;&gt;""),AND(OA15&gt;=OB$24,OA15&lt;&gt;""),AND(OX15&gt;=PD$24,OX15&lt;&gt;""),AND(PC15&gt;=PD$24,PC15&lt;&gt;""),AND(PZ15&gt;=QF$24,PZ15&lt;&gt;""),AND(QE15&gt;=QF$24,QE15&lt;&gt;"")),"P","")</f>
        <v/>
      </c>
      <c r="H15" s="70" t="str">
        <f>IF(AND(G15="P",F15=""),"No DD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Merit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Excellence",IF(I15="P","Worlds Team",IF(F15="P","National Team","")))))</f>
        <v/>
      </c>
      <c r="I15" s="3" t="str">
        <f>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P","")</f>
        <v/>
      </c>
      <c r="J15" s="13">
        <f>IF(COUNT(AS15,BV15,CY15)&gt;0,LARGE((AS15,BV15,CY15),1),0)</f>
        <v>48.2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19.300000000000004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0</v>
      </c>
      <c r="S15" s="13" t="str">
        <f>IF(R15=0,"",IF(R15=DD15,$CC$1,IF(R15=CA15,$AZ$1,IF(R15=AX15,$W$1,""))))</f>
        <v/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18.2</v>
      </c>
      <c r="CD15" s="27">
        <v>6</v>
      </c>
      <c r="CE15" s="27">
        <v>0.8</v>
      </c>
      <c r="CF15" s="27">
        <v>0</v>
      </c>
      <c r="CG15" s="27">
        <v>19</v>
      </c>
      <c r="CH15" s="27">
        <v>6.4</v>
      </c>
      <c r="CI15" s="27">
        <v>0.6</v>
      </c>
      <c r="CJ15" s="27">
        <v>0</v>
      </c>
      <c r="CK15" s="27">
        <v>18.100000000000001</v>
      </c>
      <c r="CL15" s="27">
        <v>4.0999999999999996</v>
      </c>
      <c r="CM15" s="27">
        <v>2.9</v>
      </c>
      <c r="CN15" s="27">
        <v>0</v>
      </c>
      <c r="CO15" s="27"/>
      <c r="CP15" s="27"/>
      <c r="CQ15" s="27"/>
      <c r="CR15" s="27"/>
      <c r="CS15" s="27"/>
      <c r="CT15" s="27"/>
      <c r="CU15" s="27"/>
      <c r="CV15" s="27"/>
      <c r="CW15" s="51"/>
      <c r="CX15" s="76">
        <f>IF(SUM(CD15,CH15)&gt;0,SUM(CD15,CH15),"")</f>
        <v>12.4</v>
      </c>
      <c r="CY15" s="76">
        <f>IF(SUM(CC15:CD15,CF15:CH15,CJ15)-CE15-CI15&gt;0,SUM(CC15:CD15,CF15:CH15,CJ15)-CE15-CI15,"")</f>
        <v>48.2</v>
      </c>
      <c r="CZ15" s="76">
        <f>IF(SUM(CK15:CL15,CN15)-CM15&gt;0,SUM(CK15:CL15,CN15)-CM15,"")</f>
        <v>19.300000000000004</v>
      </c>
      <c r="DA15" s="76">
        <f>IF(SUM(CD15,CH15,CL15)&gt;0,SUM(CD15,CH15,CL15),"")</f>
        <v>16.5</v>
      </c>
      <c r="DB15" s="76">
        <f>IF(SUM(CY15,CZ15)&gt;0,SUM(CY15,CZ15),"")</f>
        <v>67.5</v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>
        <f>IF(SUM(CY15,DD15)&gt;0,SUM(CY15,DD15),"")</f>
        <v>48.2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>
        <v>18</v>
      </c>
      <c r="EL15" s="26">
        <v>3.2</v>
      </c>
      <c r="EM15" s="26">
        <v>0</v>
      </c>
      <c r="EN15" s="26">
        <v>0</v>
      </c>
      <c r="EO15" s="26">
        <v>18.399999999999999</v>
      </c>
      <c r="EP15" s="26">
        <v>6.4</v>
      </c>
      <c r="EQ15" s="26">
        <v>0.2</v>
      </c>
      <c r="ER15" s="26">
        <v>0</v>
      </c>
      <c r="ES15" s="26"/>
      <c r="ET15" s="26"/>
      <c r="EU15" s="26"/>
      <c r="EV15" s="26"/>
      <c r="EW15" s="26">
        <v>0</v>
      </c>
      <c r="EX15" s="26">
        <v>0</v>
      </c>
      <c r="EY15" s="26">
        <v>0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16">
        <f>IF(SUM(EL15,EP15)&gt;0,SUM(EL15,EP15),"")</f>
        <v>9.6000000000000014</v>
      </c>
      <c r="FF15" s="16">
        <f>IF(SUM(EK15:EL15,EN15:EP15,ER15)-EM15-EQ15&gt;0,SUM(EK15:EL15,EN15:EP15,ER15)-EM15-EQ15,"")</f>
        <v>45.79999999999999</v>
      </c>
      <c r="FG15" s="16" t="str">
        <f>IF(SUM(ES15:ET15,EV15)-EU15&gt;0,SUM(ES15:ET15,EV15)-EU15,"")</f>
        <v/>
      </c>
      <c r="FH15" s="16">
        <f>IF(SUM(EL15,EP15,ET15)&gt;0,SUM(EL15,EP15,ET15),"")</f>
        <v>9.6000000000000014</v>
      </c>
      <c r="FI15" s="16">
        <f>IF(SUM(FF15,FG15)&gt;0,SUM(FF15,FG15),"")</f>
        <v>45.79999999999999</v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>
        <f>IF(SUM(FF15,FK15)&gt;0,SUM(FF15,FK15),"")</f>
        <v>45.79999999999999</v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9.1</v>
      </c>
      <c r="QH15" s="42">
        <f>IF($CW15="P",CD15,(CD15+BA15)/2)</f>
        <v>3</v>
      </c>
      <c r="QI15" s="42">
        <f>IF($CW15="P",CE15,(CE15+BB15)/2)</f>
        <v>0.4</v>
      </c>
      <c r="QJ15" s="42">
        <f>IF($CW15="P",CF15,(CF15+BC15)/2)</f>
        <v>0</v>
      </c>
      <c r="QK15" s="42">
        <f>IF($CW15="P",CG15,(CG15+BD15)/2)</f>
        <v>9.5</v>
      </c>
      <c r="QL15" s="42">
        <f>IF($CW15="P",CH15,(CH15+BE15)/2)</f>
        <v>3.2</v>
      </c>
      <c r="QM15" s="42">
        <f>IF($CW15="P",CI15,(CI15+BF15)/2)</f>
        <v>0.3</v>
      </c>
      <c r="QN15" s="42">
        <f>IF($CW15="P",CJ15,(CJ15+BG15)/2)</f>
        <v>0</v>
      </c>
      <c r="QO15" s="42">
        <f>IF($CW15="P",CK15,(CK15+BH15)/2)</f>
        <v>9.0500000000000007</v>
      </c>
      <c r="QP15" s="42">
        <f>IF($CW15="P",CL15,(CL15+BI15)/2)</f>
        <v>2.0499999999999998</v>
      </c>
      <c r="QQ15" s="42">
        <f>IF($CW15="P",CM15,(CM15+BJ15)/2)</f>
        <v>1.45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61</v>
      </c>
      <c r="RB15" s="76">
        <f>IF(SUM(QH15,QL15)&gt;0,SUM(QH15,QL15),"")</f>
        <v>6.2</v>
      </c>
      <c r="RC15" s="76">
        <f>IF(SUM(QG15:QH15,QJ15:QL15,QN15)-QI15-QM15&gt;0,SUM(QG15:QH15,QJ15:QL15,QN15)-QI15-QM15,"")</f>
        <v>24.1</v>
      </c>
      <c r="RD15" s="76">
        <f>IF(SUM(QO15:QP15,QR15)-QQ15&gt;0,SUM(QO15:QP15,QR15)-QQ15,"")</f>
        <v>9.6500000000000021</v>
      </c>
      <c r="RE15" s="76">
        <f>IF(SUM(QH15,QL15,QP15)&gt;0,SUM(QH15,QL15,QP15),"")</f>
        <v>8.25</v>
      </c>
      <c r="RF15" s="76">
        <f>IF(SUM(RC15,RD15)&gt;0,SUM(RC15,RD15),"")</f>
        <v>33.75</v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>
        <f>IF(SUM(RC15,RH15)&gt;0,SUM(RC15,RH15),"")</f>
        <v>24.1</v>
      </c>
    </row>
    <row r="16" spans="1:477" x14ac:dyDescent="0.2">
      <c r="A16" s="5" t="str">
        <f>IF(AND(F16="P",G16="P"),SUMPRODUCT((F$4:F$18="P")*(G$4:G$18="P")*(E$4:E$18&gt;E16))+1,IF(G16="P",SUMPRODUCT((F$4:F$18="")*(G$4:G$18="P")*(E$4:E$18&gt;E16))+1+SUMPRODUCT((F$4:F$18="P")*(G$4:G$18="P")),""))</f>
        <v/>
      </c>
      <c r="B16" s="6" t="s">
        <v>36</v>
      </c>
      <c r="C16" s="7" t="s">
        <v>9</v>
      </c>
      <c r="D16" s="18">
        <v>1998</v>
      </c>
      <c r="E16" s="14">
        <f>SUM(J16:T16)+SUM(J16:P16)*0.0000001+SUM(J16)*0.0000000000001</f>
        <v>50.300005030005025</v>
      </c>
      <c r="F16" s="3" t="str">
        <f>IF(OR(AND(AR16&gt;=AY$20,AS16&gt;=AY$24,AR16&lt;&gt;"",AQ16=""),AND(AW16&gt;=AY$20,AX16&gt;=AY$24,AW16&lt;&gt;"",AQ16=""),AND(BU16&gt;=CB$20,BV16&gt;=CB$24,BU16&lt;&gt;"",BT16=""),AND(BZ16&gt;=CB$20,CA16&gt;=CB$24,BZ16&lt;&gt;"",BT16=""),AND(CX16&gt;=DE$20,CY16&gt;=DE$24,CX16&lt;&gt;"",CW16=""),AND(DC16&gt;=DE$20,DD16&gt;=DE$24,DC16&lt;&gt;""),AND(EC16&gt;=EJ$20,ED16&gt;=EJ$24,EC16&lt;&gt;""),AND(EH16&gt;=EJ$20,EI16&gt;=EJ$24,EH16&lt;&gt;""),AND(FE16&gt;=FL$20,FF16&gt;=FL$24,FE16&lt;&gt;""),AND(FJ16&gt;=FL$20,FK16&gt;=FL$24,FJ16&lt;&gt;""),AND(GG16&gt;=GN$20,GH16&gt;=GN$24,GG16&lt;&gt;""),AND(GL16&gt;=GN$20,GM16&gt;=GN$24,GL16&lt;&gt;""),AND(HI16&gt;=HP$20,HJ16&gt;=HP$24,HI16&lt;&gt;""),AND(HN16&gt;=HP$20,HO16&gt;=HP$24,HN16&lt;&gt;""),AND(IK16&gt;=IR$20,IL16&gt;=IR$24,IK16&lt;&gt;""),AND(IP16&gt;=IR$20,IQ16&gt;=IR$24,IP16&lt;&gt;""),AND(JM16&gt;=JT$20,JN16&gt;=JT$24,JM16&lt;&gt;""),AND(JR16&gt;=JT$20,JS16&gt;=JT$24,JR16&lt;&gt;""),AND(KO16&gt;=KV$20,KP16&gt;=KV$24,KO16&lt;&gt;""),AND(KT16&gt;=KV$20,KU16&gt;=KV$24,KT16&lt;&gt;""),AND(LQ16&gt;=LX$20,LR16&gt;=LX$24,LQ16&lt;&gt;""),AND(LV16&gt;=LX$20,LW16&gt;=LX$24,LV16&lt;&gt;""),AND(MS16&gt;=MZ$20,MT16&gt;=MZ$24,MS16&lt;&gt;""),AND(MX16&gt;=MZ$20,MY16&gt;=MZ$24,MX16&lt;&gt;""),AND(NU16&gt;=OB$20,NV16&gt;=OB$24,NU16&lt;&gt;""),AND(NZ16&gt;=OB$20,OA16&gt;=OB$24,NZ16&lt;&gt;""),AND(OW16&gt;=PD$20,OX16&gt;=PD$24,OW16&lt;&gt;""),AND(PB16&gt;=PD$20,PC16&gt;=PD$24,PB16&lt;&gt;""),AND(PY16&gt;=QF$20,PZ16&gt;=QF$24,PY16&lt;&gt;""),AND(QD16&gt;=QF$20,QE16&gt;=QF$24,QD16&lt;&gt;"")),"P","")</f>
        <v/>
      </c>
      <c r="G16" s="3" t="str">
        <f>IF(OR(AND(AS16&gt;=AY$24,AS16&lt;&gt;"",AQ16=""),AND(AX16&gt;=AY$24,AX16&lt;&gt;"",AQ16=""),AND(BV16&gt;=CB$24,BV16&lt;&gt;"",BT16=""),AND(CA16&gt;=CB$24,CA16&lt;&gt;"",BT16=""),AND(CY16&gt;=DE$24,CY16&lt;&gt;"",CW16=""),AND(DD16&gt;=DE$24,DD16&lt;&gt;"",CW16=""),AND(ED16&gt;=EJ$24,ED16&lt;&gt;""),AND(EI16&gt;=EJ$24,EI16&lt;&gt;""),AND(FF16&gt;=FL$24,FF16&lt;&gt;""),AND(FK16&gt;=FL$24,FK16&lt;&gt;""),AND(GH16&gt;=GN$24,GH16&lt;&gt;""),AND(GM16&gt;=GN$24,GM16&lt;&gt;""),AND(HJ16&gt;=HP$24,HJ16&lt;&gt;""),AND(HO16&gt;=HP$24,HO16&lt;&gt;""),AND(IL16&gt;=IR$24,IL16&lt;&gt;""),AND(IQ16&gt;=IR$24,IQ16&lt;&gt;""),AND(JN16&gt;=JT$24,JN16&lt;&gt;""),AND(JS16&gt;=JT$24,JS16&lt;&gt;""),AND(KP16&gt;=KV$24,KP16&lt;&gt;""),AND(KU16&gt;=KV$24,KU16&lt;&gt;""),AND(LR16&gt;=LX$24,LR16&lt;&gt;""),AND(LW16&gt;=LX$24,LW16&lt;&gt;""),AND(MT16&gt;=MZ$24,MT16&lt;&gt;""),AND(MY16&gt;=MZ$24,MY16&lt;&gt;""),AND(NV16&gt;=OB$24,NV16&lt;&gt;""),AND(OA16&gt;=OB$24,OA16&lt;&gt;""),AND(OX16&gt;=PD$24,OX16&lt;&gt;""),AND(PC16&gt;=PD$24,PC16&lt;&gt;""),AND(PZ16&gt;=QF$24,PZ16&lt;&gt;""),AND(QE16&gt;=QF$24,QE16&lt;&gt;"")),"P","")</f>
        <v/>
      </c>
      <c r="H16" s="70" t="str">
        <f>IF(AND(G16="P",F16=""),"No DD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Merit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Excellence",IF(I16="P","Worlds Team",IF(F16="P","National Team","")))))</f>
        <v/>
      </c>
      <c r="I16" s="3" t="str">
        <f>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P","")</f>
        <v/>
      </c>
      <c r="J16" s="13">
        <f>IF(COUNT(AS16,BV16,CY16)&gt;0,LARGE((AS16,BV16,CY16),1),0)</f>
        <v>50.3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0</v>
      </c>
      <c r="O16" s="13" t="str">
        <f>IF(N16=0,"",IF(N16=CZ16,$CC$1,IF(N16=BW16,$AZ$1,IF(N16=AT16,$W$1,""))))</f>
        <v/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18.2</v>
      </c>
      <c r="CD16" s="27">
        <v>7.2</v>
      </c>
      <c r="CE16" s="27">
        <v>0.6</v>
      </c>
      <c r="CF16" s="27">
        <v>0</v>
      </c>
      <c r="CG16" s="27">
        <v>18.5</v>
      </c>
      <c r="CH16" s="27">
        <v>7.2</v>
      </c>
      <c r="CI16" s="27">
        <v>0.2</v>
      </c>
      <c r="CJ16" s="27">
        <v>0</v>
      </c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>IF(SUM(CD16,CH16)&gt;0,SUM(CD16,CH16),"")</f>
        <v>14.4</v>
      </c>
      <c r="CY16" s="76">
        <f>IF(SUM(CC16:CD16,CF16:CH16,CJ16)-CE16-CI16&gt;0,SUM(CC16:CD16,CF16:CH16,CJ16)-CE16-CI16,"")</f>
        <v>50.3</v>
      </c>
      <c r="CZ16" s="76" t="str">
        <f>IF(SUM(CK16:CL16,CN16)-CM16&gt;0,SUM(CK16:CL16,CN16)-CM16,"")</f>
        <v/>
      </c>
      <c r="DA16" s="76">
        <f>IF(SUM(CD16,CH16,CL16)&gt;0,SUM(CD16,CH16,CL16),"")</f>
        <v>14.4</v>
      </c>
      <c r="DB16" s="76">
        <f>IF(SUM(CY16,CZ16)&gt;0,SUM(CY16,CZ16),"")</f>
        <v>50.3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50.3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</v>
      </c>
      <c r="QH16" s="42">
        <f>IF($CW16="P",CD16,(CD16+BA16)/2)</f>
        <v>3.6</v>
      </c>
      <c r="QI16" s="42">
        <f>IF($CW16="P",CE16,(CE16+BB16)/2)</f>
        <v>0.3</v>
      </c>
      <c r="QJ16" s="42">
        <f>IF($CW16="P",CF16,(CF16+BC16)/2)</f>
        <v>0</v>
      </c>
      <c r="QK16" s="42">
        <f>IF($CW16="P",CG16,(CG16+BD16)/2)</f>
        <v>9.25</v>
      </c>
      <c r="QL16" s="42">
        <f>IF($CW16="P",CH16,(CH16+BE16)/2)</f>
        <v>3.6</v>
      </c>
      <c r="QM16" s="42">
        <f>IF($CW16="P",CI16,(CI16+BF16)/2)</f>
        <v>0.1</v>
      </c>
      <c r="QN16" s="42">
        <f>IF($CW16="P",CJ16,(CJ16+BG16)/2)</f>
        <v>0</v>
      </c>
      <c r="QO16" s="42">
        <f>IF($CW16="P",CK16,(CK16+BH16)/2)</f>
        <v>0</v>
      </c>
      <c r="QP16" s="42">
        <f>IF($CW16="P",CL16,(CL16+BI16)/2)</f>
        <v>0</v>
      </c>
      <c r="QQ16" s="42">
        <f>IF($CW16="P",CM16,(CM16+BJ16)/2)</f>
        <v>0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7.2</v>
      </c>
      <c r="RC16" s="76">
        <f>IF(SUM(QG16:QH16,QJ16:QL16,QN16)-QI16-QM16&gt;0,SUM(QG16:QH16,QJ16:QL16,QN16)-QI16-QM16,"")</f>
        <v>25.15</v>
      </c>
      <c r="RD16" s="76" t="str">
        <f>IF(SUM(QO16:QP16,QR16)-QQ16&gt;0,SUM(QO16:QP16,QR16)-QQ16,"")</f>
        <v/>
      </c>
      <c r="RE16" s="76">
        <f>IF(SUM(QH16,QL16,QP16)&gt;0,SUM(QH16,QL16,QP16),"")</f>
        <v>7.2</v>
      </c>
      <c r="RF16" s="76">
        <f>IF(SUM(RC16,RD16)&gt;0,SUM(RC16,RD16),"")</f>
        <v>25.15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25.15</v>
      </c>
    </row>
    <row r="17" spans="1:477" x14ac:dyDescent="0.2">
      <c r="A17" s="5" t="str">
        <f>IF(AND(F17="P",G17="P"),SUMPRODUCT((F$4:F$18="P")*(G$4:G$18="P")*(E$4:E$18&gt;E17))+1,IF(G17="P",SUMPRODUCT((F$4:F$18="")*(G$4:G$18="P")*(E$4:E$18&gt;E17))+1+SUMPRODUCT((F$4:F$18="P")*(G$4:G$18="P")),""))</f>
        <v/>
      </c>
      <c r="B17" s="6" t="s">
        <v>173</v>
      </c>
      <c r="C17" s="7" t="s">
        <v>9</v>
      </c>
      <c r="D17" s="18">
        <v>2005</v>
      </c>
      <c r="E17" s="14">
        <f>SUM(J17:T17)+SUM(J17:P17)*0.0000001+SUM(J17)*0.0000000000001</f>
        <v>20.000002000001999</v>
      </c>
      <c r="F17" s="3" t="str">
        <f>IF(OR(AND(AR17&gt;=AY$20,AS17&gt;=AY$24,AR17&lt;&gt;"",AQ17=""),AND(AW17&gt;=AY$20,AX17&gt;=AY$24,AW17&lt;&gt;"",AQ17=""),AND(BU17&gt;=CB$20,BV17&gt;=CB$24,BU17&lt;&gt;"",BT17=""),AND(BZ17&gt;=CB$20,CA17&gt;=CB$24,BZ17&lt;&gt;"",BT17=""),AND(CX17&gt;=DE$20,CY17&gt;=DE$24,CX17&lt;&gt;"",CW17=""),AND(DC17&gt;=DE$20,DD17&gt;=DE$24,DC17&lt;&gt;""),AND(EC17&gt;=EJ$20,ED17&gt;=EJ$24,EC17&lt;&gt;""),AND(EH17&gt;=EJ$20,EI17&gt;=EJ$24,EH17&lt;&gt;""),AND(FE17&gt;=FL$20,FF17&gt;=FL$24,FE17&lt;&gt;""),AND(FJ17&gt;=FL$20,FK17&gt;=FL$24,FJ17&lt;&gt;""),AND(GG17&gt;=GN$20,GH17&gt;=GN$24,GG17&lt;&gt;""),AND(GL17&gt;=GN$20,GM17&gt;=GN$24,GL17&lt;&gt;""),AND(HI17&gt;=HP$20,HJ17&gt;=HP$24,HI17&lt;&gt;""),AND(HN17&gt;=HP$20,HO17&gt;=HP$24,HN17&lt;&gt;""),AND(IK17&gt;=IR$20,IL17&gt;=IR$24,IK17&lt;&gt;""),AND(IP17&gt;=IR$20,IQ17&gt;=IR$24,IP17&lt;&gt;""),AND(JM17&gt;=JT$20,JN17&gt;=JT$24,JM17&lt;&gt;""),AND(JR17&gt;=JT$20,JS17&gt;=JT$24,JR17&lt;&gt;""),AND(KO17&gt;=KV$20,KP17&gt;=KV$24,KO17&lt;&gt;""),AND(KT17&gt;=KV$20,KU17&gt;=KV$24,KT17&lt;&gt;""),AND(LQ17&gt;=LX$20,LR17&gt;=LX$24,LQ17&lt;&gt;""),AND(LV17&gt;=LX$20,LW17&gt;=LX$24,LV17&lt;&gt;""),AND(MS17&gt;=MZ$20,MT17&gt;=MZ$24,MS17&lt;&gt;""),AND(MX17&gt;=MZ$20,MY17&gt;=MZ$24,MX17&lt;&gt;""),AND(NU17&gt;=OB$20,NV17&gt;=OB$24,NU17&lt;&gt;""),AND(NZ17&gt;=OB$20,OA17&gt;=OB$24,NZ17&lt;&gt;""),AND(OW17&gt;=PD$20,OX17&gt;=PD$24,OW17&lt;&gt;""),AND(PB17&gt;=PD$20,PC17&gt;=PD$24,PB17&lt;&gt;""),AND(PY17&gt;=QF$20,PZ17&gt;=QF$24,PY17&lt;&gt;""),AND(QD17&gt;=QF$20,QE17&gt;=QF$24,QD17&lt;&gt;"")),"P","")</f>
        <v/>
      </c>
      <c r="G17" s="3" t="str">
        <f>IF(OR(AND(AS17&gt;=AY$24,AS17&lt;&gt;"",AQ17=""),AND(AX17&gt;=AY$24,AX17&lt;&gt;"",AQ17=""),AND(BV17&gt;=CB$24,BV17&lt;&gt;"",BT17=""),AND(CA17&gt;=CB$24,CA17&lt;&gt;"",BT17=""),AND(CY17&gt;=DE$24,CY17&lt;&gt;"",CW17=""),AND(DD17&gt;=DE$24,DD17&lt;&gt;"",CW17=""),AND(ED17&gt;=EJ$24,ED17&lt;&gt;""),AND(EI17&gt;=EJ$24,EI17&lt;&gt;""),AND(FF17&gt;=FL$24,FF17&lt;&gt;""),AND(FK17&gt;=FL$24,FK17&lt;&gt;""),AND(GH17&gt;=GN$24,GH17&lt;&gt;""),AND(GM17&gt;=GN$24,GM17&lt;&gt;""),AND(HJ17&gt;=HP$24,HJ17&lt;&gt;""),AND(HO17&gt;=HP$24,HO17&lt;&gt;""),AND(IL17&gt;=IR$24,IL17&lt;&gt;""),AND(IQ17&gt;=IR$24,IQ17&lt;&gt;""),AND(JN17&gt;=JT$24,JN17&lt;&gt;""),AND(JS17&gt;=JT$24,JS17&lt;&gt;""),AND(KP17&gt;=KV$24,KP17&lt;&gt;""),AND(KU17&gt;=KV$24,KU17&lt;&gt;""),AND(LR17&gt;=LX$24,LR17&lt;&gt;""),AND(LW17&gt;=LX$24,LW17&lt;&gt;""),AND(MT17&gt;=MZ$24,MT17&lt;&gt;""),AND(MY17&gt;=MZ$24,MY17&lt;&gt;""),AND(NV17&gt;=OB$24,NV17&lt;&gt;""),AND(OA17&gt;=OB$24,OA17&lt;&gt;""),AND(OX17&gt;=PD$24,OX17&lt;&gt;""),AND(PC17&gt;=PD$24,PC17&lt;&gt;""),AND(PZ17&gt;=QF$24,PZ17&lt;&gt;""),AND(QE17&gt;=QF$24,QE17&lt;&gt;"")),"P","")</f>
        <v/>
      </c>
      <c r="H17" s="70" t="str">
        <f>IF(AND(G17="P",F17=""),"No DD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Merit",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Excellence",IF(I17="P","Worlds Team",IF(F17="P","National Team","")))))</f>
        <v/>
      </c>
      <c r="I17" s="3" t="str">
        <f>IF(OR(AND(AU17&gt;=AY$21,AV17&gt;=AY$25,AU17&lt;&gt;"",AQ17=""),AND(BX17&gt;=CB$21,BY17&gt;=CB$25,BX17&lt;&gt;"",BT17=""),AND(DA17&gt;=DE$21,DB17&gt;=DE$25,DA17&lt;&gt;"",CW17=""),AND(EF17&gt;=EJ$21,EG17&gt;=EJ$25,EF17&lt;&gt;""),AND(FH17&gt;=FL$21,FI17&gt;=FL$25,FH17&lt;&gt;""),AND(GJ17&gt;=GN$21,GK17&gt;=GN$25,GJ17&lt;&gt;""),AND(HL17&gt;=HP$21,HM17&gt;=HP$25,HL17&lt;&gt;""),AND(IN17&gt;=IR$21,IO17&gt;=IR$25,IN17&lt;&gt;""),AND(JP17&gt;=JT$21,JQ17&gt;=JT$25,JP17&lt;&gt;""),AND(KR17&gt;=KV$21,KS17&gt;=KV$25,KR17&lt;&gt;""),AND(LT17&gt;=LX$21,LU17&gt;=LX$25,LT17&lt;&gt;""),AND(MV17&gt;=MZ$21,MW17&gt;=MZ$25,MV17&lt;&gt;""),AND(NX17&gt;=OB$21,NY17&gt;=OB$25,NX17&lt;&gt;""),AND(OZ17&gt;=PD$21,PA17&gt;=PD$25,OZ17&lt;&gt;""),AND(QB17&gt;=QF$21,QC17&gt;=QF$25,QB17&lt;&gt;"")),"P","")</f>
        <v/>
      </c>
      <c r="J17" s="13">
        <f>IF(COUNT(AS17,BV17,CY17)&gt;0,LARGE((AS17,BV17,CY17),1),0)</f>
        <v>20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0</v>
      </c>
      <c r="M17" s="13" t="str">
        <f>IF(L17=0,"",IF(L17=CY17,$CC$1,IF(L17=BV17,$AZ$1,IF(L17=AS17,$W$1,""))))</f>
        <v/>
      </c>
      <c r="N17" s="13">
        <f>IF(COUNT(AT17,BW17,CZ17)&gt;0,LARGE((AT17,BW17,CZ17),1),0)</f>
        <v>0</v>
      </c>
      <c r="O17" s="13" t="str">
        <f>IF(N17=0,"",IF(N17=CZ17,$CC$1,IF(N17=BW17,$AZ$1,IF(N17=AT17,$W$1,""))))</f>
        <v/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0</v>
      </c>
      <c r="S17" s="13" t="str">
        <f>IF(R17=0,"",IF(R17=DD17,$CC$1,IF(R17=CA17,$AZ$1,IF(R17=AX17,$W$1,""))))</f>
        <v/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>IF(SUM(BA17,BE17)&gt;0,SUM(BA17,BE17),"")</f>
        <v/>
      </c>
      <c r="BV17" s="16" t="str">
        <f>IF(SUM(AZ17:BA17,BC17:BE17,BG17)-BB17-BF17&gt;0,SUM(AZ17:BA17,BC17:BE17,BG17)-BB17-BF17,"")</f>
        <v/>
      </c>
      <c r="BW17" s="16" t="str">
        <f>IF(SUM(BH17:BI17,BK17)-BJ17&gt;0,SUM(BH17:BI17,BK17)-BJ17,"")</f>
        <v/>
      </c>
      <c r="BX17" s="16" t="str">
        <f>IF(SUM(BA17,BE17,BI17)&gt;0,SUM(BA17,BE17,BI17),"")</f>
        <v/>
      </c>
      <c r="BY17" s="16" t="str">
        <f>IF(SUM(BV17,BW17)&gt;0,SUM(BV17,BW17),"")</f>
        <v/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 t="str">
        <f>IF(SUM(BV17,CA17)&gt;0,SUM(BV17,CA17),"")</f>
        <v/>
      </c>
      <c r="CC17" s="27">
        <v>17.600000000000001</v>
      </c>
      <c r="CD17" s="27">
        <v>2.4</v>
      </c>
      <c r="CE17" s="27">
        <v>0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2.4</v>
      </c>
      <c r="CY17" s="76">
        <f>IF(SUM(CC17:CD17,CF17:CH17,CJ17)-CE17-CI17&gt;0,SUM(CC17:CD17,CF17:CH17,CJ17)-CE17-CI17,"")</f>
        <v>20</v>
      </c>
      <c r="CZ17" s="76" t="str">
        <f>IF(SUM(CK17:CL17,CN17)-CM17&gt;0,SUM(CK17:CL17,CN17)-CM17,"")</f>
        <v/>
      </c>
      <c r="DA17" s="76">
        <f>IF(SUM(CD17,CH17,CL17)&gt;0,SUM(CD17,CH17,CL17),"")</f>
        <v>2.4</v>
      </c>
      <c r="DB17" s="76">
        <f>IF(SUM(CY17,CZ17)&gt;0,SUM(CY17,CZ17),"")</f>
        <v>20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20</v>
      </c>
      <c r="DF17" s="87" t="str">
        <f>IF(L17&gt;=0.001,IF(MAX(ED17,FF17,GH17,HJ17,IL17,JN17,KP17,LR17,MT17,NV17,OX17,PZ17)-IF(L17="",0,L17)&gt;0.001,MAX(ED17,FF17,GH17,HJ17,IL17,JN17,KP17,LR17,MT17,NV17,OX17,PZ17)-IF(L17="",0,L17),""),"")</f>
        <v/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8.8000000000000007</v>
      </c>
      <c r="QH17" s="42">
        <f>IF($CW17="P",CD17,(CD17+BA17)/2)</f>
        <v>1.2</v>
      </c>
      <c r="QI17" s="42">
        <f>IF($CW17="P",CE17,(CE17+BB17)/2)</f>
        <v>0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0</v>
      </c>
      <c r="QP17" s="42">
        <f>IF($CW17="P",CL17,(CL17+BI17)/2)</f>
        <v>0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61</v>
      </c>
      <c r="RB17" s="76">
        <f>IF(SUM(QH17,QL17)&gt;0,SUM(QH17,QL17),"")</f>
        <v>1.2</v>
      </c>
      <c r="RC17" s="76">
        <f>IF(SUM(QG17:QH17,QJ17:QL17,QN17)-QI17-QM17&gt;0,SUM(QG17:QH17,QJ17:QL17,QN17)-QI17-QM17,"")</f>
        <v>10</v>
      </c>
      <c r="RD17" s="76" t="str">
        <f>IF(SUM(QO17:QP17,QR17)-QQ17&gt;0,SUM(QO17:QP17,QR17)-QQ17,"")</f>
        <v/>
      </c>
      <c r="RE17" s="76">
        <f>IF(SUM(QH17,QL17,QP17)&gt;0,SUM(QH17,QL17,QP17),"")</f>
        <v>1.2</v>
      </c>
      <c r="RF17" s="76">
        <f>IF(SUM(RC17,RD17)&gt;0,SUM(RC17,RD17),"")</f>
        <v>10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10</v>
      </c>
    </row>
    <row r="18" spans="1:477" ht="17" x14ac:dyDescent="0.2">
      <c r="T18" s="15"/>
      <c r="U18" s="15"/>
      <c r="V18" s="15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</row>
    <row r="19" spans="1:477" ht="17" x14ac:dyDescent="0.2">
      <c r="T19" s="15"/>
      <c r="U19" s="15"/>
      <c r="V19" s="15"/>
    </row>
    <row r="20" spans="1:477" ht="17" x14ac:dyDescent="0.2">
      <c r="B20" s="43" t="s">
        <v>58</v>
      </c>
      <c r="T20" s="15"/>
      <c r="U20" s="15"/>
      <c r="V20" s="15"/>
      <c r="AR20" s="7"/>
      <c r="AY20" s="78">
        <v>1.0000000000000001E-5</v>
      </c>
      <c r="BU20" s="7"/>
      <c r="CB20" s="78">
        <v>1.0000000000000001E-5</v>
      </c>
      <c r="CX20" s="7"/>
      <c r="DE20" s="78">
        <v>14.4</v>
      </c>
      <c r="EC20" s="7"/>
      <c r="EJ20" s="78">
        <v>1.0000000000000001E-5</v>
      </c>
      <c r="FE20" s="7"/>
      <c r="FL20" s="78">
        <v>14.4</v>
      </c>
      <c r="GG20" s="7"/>
      <c r="GN20" s="78">
        <v>14.4</v>
      </c>
      <c r="HI20" s="7"/>
      <c r="HP20" s="78">
        <v>14.4</v>
      </c>
      <c r="IK20" s="7"/>
      <c r="IR20" s="78">
        <v>14.4</v>
      </c>
      <c r="JM20" s="7"/>
      <c r="JT20" s="78">
        <v>14.4</v>
      </c>
      <c r="KO20" s="7"/>
      <c r="KV20" s="78">
        <v>14.4</v>
      </c>
      <c r="LQ20" s="7"/>
      <c r="LX20" s="78">
        <v>14.4</v>
      </c>
      <c r="MS20" s="7"/>
      <c r="MZ20" s="78">
        <v>14.4</v>
      </c>
      <c r="NU20" s="7"/>
      <c r="OB20" s="78">
        <v>14.4</v>
      </c>
      <c r="OW20" s="7"/>
      <c r="PD20" s="78">
        <v>14.4</v>
      </c>
      <c r="PY20" s="7"/>
      <c r="QF20" s="78">
        <v>14.4</v>
      </c>
    </row>
    <row r="21" spans="1:477" ht="17" x14ac:dyDescent="0.2">
      <c r="B21" s="54" t="s">
        <v>57</v>
      </c>
      <c r="T21" s="15"/>
      <c r="U21" s="15"/>
      <c r="V21" s="15"/>
      <c r="AR21" s="7"/>
      <c r="AY21" s="93">
        <v>2.0000000000000002E-5</v>
      </c>
      <c r="BU21" s="7"/>
      <c r="CB21" s="93">
        <v>2.0000000000000002E-5</v>
      </c>
      <c r="CX21" s="7"/>
      <c r="DE21" s="93">
        <v>21.6</v>
      </c>
      <c r="EC21" s="7"/>
      <c r="EJ21" s="93">
        <v>2.0000000000000002E-5</v>
      </c>
      <c r="FE21" s="7"/>
      <c r="FL21" s="93">
        <v>21.6</v>
      </c>
      <c r="GG21" s="7"/>
      <c r="GN21" s="93">
        <v>21.6</v>
      </c>
      <c r="HI21" s="7"/>
      <c r="HP21" s="93">
        <v>21.6</v>
      </c>
      <c r="IK21" s="7"/>
      <c r="IR21" s="93">
        <v>21.6</v>
      </c>
      <c r="JM21" s="7"/>
      <c r="JT21" s="93">
        <v>21.6</v>
      </c>
      <c r="KO21" s="7"/>
      <c r="KV21" s="93">
        <v>21.6</v>
      </c>
      <c r="LQ21" s="7"/>
      <c r="LX21" s="93">
        <v>21.6</v>
      </c>
      <c r="MS21" s="7"/>
      <c r="MZ21" s="93">
        <v>21.6</v>
      </c>
      <c r="NU21" s="7"/>
      <c r="OB21" s="93">
        <v>21.6</v>
      </c>
      <c r="OW21" s="7"/>
      <c r="PD21" s="93">
        <v>21.6</v>
      </c>
      <c r="PY21" s="7"/>
      <c r="QF21" s="93">
        <v>21.6</v>
      </c>
    </row>
    <row r="22" spans="1:477" ht="17" x14ac:dyDescent="0.2">
      <c r="A22" s="35"/>
      <c r="B22" s="55" t="s">
        <v>71</v>
      </c>
      <c r="C22" s="34"/>
      <c r="T22" s="15"/>
      <c r="U22" s="15"/>
      <c r="V22" s="15"/>
      <c r="AR22" s="7"/>
      <c r="AY22" s="80">
        <v>3.0000000000000001E-5</v>
      </c>
      <c r="BU22" s="7"/>
      <c r="CB22" s="80">
        <v>3.0000000000000001E-5</v>
      </c>
      <c r="CX22" s="7"/>
      <c r="DE22" s="80">
        <v>23.2</v>
      </c>
      <c r="EC22" s="7"/>
      <c r="EJ22" s="80">
        <v>3.0000000000000001E-5</v>
      </c>
      <c r="FE22" s="7"/>
      <c r="FL22" s="80">
        <v>23.2</v>
      </c>
      <c r="GG22" s="7"/>
      <c r="GN22" s="80">
        <v>23.2</v>
      </c>
      <c r="HI22" s="7"/>
      <c r="HP22" s="80">
        <v>23.2</v>
      </c>
      <c r="IK22" s="7"/>
      <c r="IR22" s="80">
        <v>23.2</v>
      </c>
      <c r="JM22" s="7"/>
      <c r="JT22" s="80">
        <v>23.2</v>
      </c>
      <c r="KO22" s="7"/>
      <c r="KV22" s="80">
        <v>23.2</v>
      </c>
      <c r="LQ22" s="7"/>
      <c r="LX22" s="80">
        <v>23.2</v>
      </c>
      <c r="MS22" s="7"/>
      <c r="MZ22" s="80">
        <v>23.2</v>
      </c>
      <c r="NU22" s="7"/>
      <c r="OB22" s="80">
        <v>23.2</v>
      </c>
      <c r="OW22" s="7"/>
      <c r="PD22" s="80">
        <v>23.2</v>
      </c>
      <c r="PY22" s="7"/>
      <c r="QF22" s="80">
        <v>23.2</v>
      </c>
    </row>
    <row r="23" spans="1:477" ht="17" x14ac:dyDescent="0.2">
      <c r="A23" s="35"/>
      <c r="B23" s="66" t="s">
        <v>86</v>
      </c>
      <c r="C23" s="34"/>
      <c r="T23" s="15"/>
      <c r="U23" s="15"/>
      <c r="V23" s="15"/>
      <c r="AR23" s="7"/>
      <c r="AY23" s="81">
        <v>4.0000000000000003E-5</v>
      </c>
      <c r="BU23" s="7"/>
      <c r="CB23" s="81">
        <v>4.0000000000000003E-5</v>
      </c>
      <c r="CX23" s="7"/>
      <c r="DE23" s="81">
        <v>25.6</v>
      </c>
      <c r="EC23" s="7"/>
      <c r="EJ23" s="81">
        <v>4.0000000000000003E-5</v>
      </c>
      <c r="FE23" s="7"/>
      <c r="FL23" s="81">
        <v>25.6</v>
      </c>
      <c r="GG23" s="7"/>
      <c r="GN23" s="81">
        <v>25.6</v>
      </c>
      <c r="HI23" s="7"/>
      <c r="HP23" s="81">
        <v>25.6</v>
      </c>
      <c r="IK23" s="7"/>
      <c r="IR23" s="81">
        <v>25.6</v>
      </c>
      <c r="JM23" s="7"/>
      <c r="JT23" s="81">
        <v>25.6</v>
      </c>
      <c r="KO23" s="7"/>
      <c r="KV23" s="81">
        <v>25.6</v>
      </c>
      <c r="LQ23" s="7"/>
      <c r="LX23" s="81">
        <v>25.6</v>
      </c>
      <c r="MS23" s="7"/>
      <c r="MZ23" s="81">
        <v>25.6</v>
      </c>
      <c r="NU23" s="7"/>
      <c r="OB23" s="81">
        <v>25.6</v>
      </c>
      <c r="OW23" s="7"/>
      <c r="PD23" s="81">
        <v>25.6</v>
      </c>
      <c r="PY23" s="7"/>
      <c r="QF23" s="81">
        <v>25.6</v>
      </c>
    </row>
    <row r="24" spans="1:477" ht="17" x14ac:dyDescent="0.2">
      <c r="A24" s="35"/>
      <c r="B24" s="65" t="s">
        <v>55</v>
      </c>
      <c r="C24" s="34"/>
      <c r="T24" s="15"/>
      <c r="U24" s="15"/>
      <c r="V24" s="15"/>
      <c r="AR24" s="7"/>
      <c r="AY24" s="82">
        <v>5.0000000000000002E-5</v>
      </c>
      <c r="BU24" s="7"/>
      <c r="CB24" s="82">
        <v>5.0000000000000002E-5</v>
      </c>
      <c r="CX24" s="7"/>
      <c r="DE24" s="82">
        <v>51.2</v>
      </c>
      <c r="EC24" s="7"/>
      <c r="EJ24" s="82">
        <v>5.0000000000000002E-5</v>
      </c>
      <c r="FE24" s="7"/>
      <c r="FL24" s="82">
        <v>51.2</v>
      </c>
      <c r="GG24" s="7"/>
      <c r="GN24" s="82">
        <v>51.2</v>
      </c>
      <c r="HI24" s="7"/>
      <c r="HP24" s="82">
        <v>51.2</v>
      </c>
      <c r="IK24" s="7"/>
      <c r="IR24" s="82">
        <v>51.2</v>
      </c>
      <c r="JM24" s="7"/>
      <c r="JT24" s="82">
        <v>51.2</v>
      </c>
      <c r="KO24" s="7"/>
      <c r="KV24" s="82">
        <v>51.2</v>
      </c>
      <c r="LQ24" s="7"/>
      <c r="LX24" s="82">
        <v>51.2</v>
      </c>
      <c r="MS24" s="7"/>
      <c r="MZ24" s="82">
        <v>51.2</v>
      </c>
      <c r="NU24" s="7"/>
      <c r="OB24" s="82">
        <v>51.2</v>
      </c>
      <c r="OW24" s="7"/>
      <c r="PD24" s="82">
        <v>51.2</v>
      </c>
      <c r="PY24" s="7"/>
      <c r="QF24" s="82">
        <v>51.2</v>
      </c>
    </row>
    <row r="25" spans="1:477" ht="17" x14ac:dyDescent="0.2">
      <c r="A25" s="35"/>
      <c r="B25" s="44" t="s">
        <v>56</v>
      </c>
      <c r="C25" s="34"/>
      <c r="T25" s="15"/>
      <c r="U25" s="15"/>
      <c r="V25" s="15"/>
      <c r="AR25" s="7"/>
      <c r="AY25" s="83">
        <v>6.0000000000000002E-5</v>
      </c>
      <c r="BU25" s="7"/>
      <c r="CB25" s="83">
        <v>6.0000000000000002E-5</v>
      </c>
      <c r="CX25" s="7"/>
      <c r="DE25" s="83">
        <v>77.2</v>
      </c>
      <c r="EC25" s="7"/>
      <c r="EJ25" s="83">
        <v>6.0000000000000002E-5</v>
      </c>
      <c r="FE25" s="7"/>
      <c r="FL25" s="83">
        <v>77.2</v>
      </c>
      <c r="GG25" s="7"/>
      <c r="GN25" s="83">
        <v>77.2</v>
      </c>
      <c r="HI25" s="7"/>
      <c r="HP25" s="83">
        <v>77.2</v>
      </c>
      <c r="IK25" s="7"/>
      <c r="IR25" s="83">
        <v>77.2</v>
      </c>
      <c r="JM25" s="7"/>
      <c r="JT25" s="83">
        <v>77.2</v>
      </c>
      <c r="KO25" s="7"/>
      <c r="KV25" s="83">
        <v>77.2</v>
      </c>
      <c r="LQ25" s="7"/>
      <c r="LX25" s="83">
        <v>77.2</v>
      </c>
      <c r="MS25" s="7"/>
      <c r="MZ25" s="83">
        <v>77.2</v>
      </c>
      <c r="NU25" s="7"/>
      <c r="OB25" s="83">
        <v>77.2</v>
      </c>
      <c r="OW25" s="7"/>
      <c r="PD25" s="83">
        <v>77.2</v>
      </c>
      <c r="PY25" s="7"/>
      <c r="QF25" s="83">
        <v>77.2</v>
      </c>
    </row>
    <row r="26" spans="1:477" ht="17" x14ac:dyDescent="0.2">
      <c r="A26" s="35"/>
      <c r="B26" s="64" t="s">
        <v>70</v>
      </c>
      <c r="C26" s="34"/>
      <c r="T26" s="15"/>
      <c r="U26" s="15"/>
      <c r="V26" s="15"/>
      <c r="AR26" s="7"/>
      <c r="AY26" s="84">
        <v>6.9999999999999994E-5</v>
      </c>
      <c r="BU26" s="7"/>
      <c r="CB26" s="84">
        <v>6.9999999999999994E-5</v>
      </c>
      <c r="CX26" s="7"/>
      <c r="DE26" s="84">
        <v>79.8</v>
      </c>
      <c r="EC26" s="7"/>
      <c r="EJ26" s="84">
        <v>6.9999999999999994E-5</v>
      </c>
      <c r="FE26" s="7"/>
      <c r="FL26" s="84">
        <v>79.8</v>
      </c>
      <c r="GG26" s="7"/>
      <c r="GN26" s="84">
        <v>79.8</v>
      </c>
      <c r="HI26" s="7"/>
      <c r="HP26" s="84">
        <v>79.8</v>
      </c>
      <c r="IK26" s="7"/>
      <c r="IR26" s="84">
        <v>79.8</v>
      </c>
      <c r="JM26" s="7"/>
      <c r="JT26" s="84">
        <v>79.8</v>
      </c>
      <c r="KO26" s="7"/>
      <c r="KV26" s="84">
        <v>79.8</v>
      </c>
      <c r="LQ26" s="7"/>
      <c r="LX26" s="84">
        <v>79.8</v>
      </c>
      <c r="MS26" s="7"/>
      <c r="MZ26" s="84">
        <v>79.8</v>
      </c>
      <c r="NU26" s="7"/>
      <c r="OB26" s="84">
        <v>79.8</v>
      </c>
      <c r="OW26" s="7"/>
      <c r="PD26" s="84">
        <v>79.8</v>
      </c>
      <c r="PY26" s="7"/>
      <c r="QF26" s="84">
        <v>79.8</v>
      </c>
    </row>
    <row r="27" spans="1:477" ht="17" x14ac:dyDescent="0.2">
      <c r="A27" s="35"/>
      <c r="B27" s="45" t="s">
        <v>39</v>
      </c>
      <c r="C27" s="34"/>
      <c r="T27" s="15"/>
      <c r="U27" s="15"/>
      <c r="V27" s="15"/>
      <c r="AR27" s="7"/>
      <c r="AV27" s="70" t="s">
        <v>177</v>
      </c>
      <c r="AY27" s="85">
        <v>8.0000000000000007E-5</v>
      </c>
      <c r="BU27" s="7"/>
      <c r="BY27" s="70" t="s">
        <v>177</v>
      </c>
      <c r="CB27" s="85">
        <v>8.0000000000000007E-5</v>
      </c>
      <c r="CX27" s="7"/>
      <c r="DE27" s="85">
        <v>82.2</v>
      </c>
      <c r="EC27" s="7"/>
      <c r="EG27" s="70" t="s">
        <v>177</v>
      </c>
      <c r="EJ27" s="85">
        <v>8.0000000000000007E-5</v>
      </c>
      <c r="FE27" s="7"/>
      <c r="FL27" s="85">
        <v>82.2</v>
      </c>
      <c r="GG27" s="7"/>
      <c r="GN27" s="85">
        <v>82.2</v>
      </c>
      <c r="HI27" s="7"/>
      <c r="HP27" s="85">
        <v>82.2</v>
      </c>
      <c r="IK27" s="7"/>
      <c r="IR27" s="85">
        <v>82.2</v>
      </c>
      <c r="JM27" s="7"/>
      <c r="JT27" s="85">
        <v>82.2</v>
      </c>
      <c r="KO27" s="7"/>
      <c r="KV27" s="85">
        <v>82.2</v>
      </c>
      <c r="LQ27" s="7"/>
      <c r="LX27" s="85">
        <v>82.2</v>
      </c>
      <c r="MS27" s="7"/>
      <c r="MZ27" s="85">
        <v>82.2</v>
      </c>
      <c r="NU27" s="7"/>
      <c r="OB27" s="85">
        <v>82.2</v>
      </c>
      <c r="OW27" s="7"/>
      <c r="PD27" s="85">
        <v>82.2</v>
      </c>
      <c r="PY27" s="7"/>
      <c r="QF27" s="85">
        <v>82.2</v>
      </c>
    </row>
    <row r="28" spans="1:477" x14ac:dyDescent="0.2">
      <c r="B28" s="53" t="s">
        <v>62</v>
      </c>
      <c r="C28" s="2"/>
    </row>
    <row r="29" spans="1:477" x14ac:dyDescent="0.2">
      <c r="A29" s="35"/>
      <c r="B29" s="35"/>
      <c r="C29" s="34"/>
      <c r="QH29" s="2"/>
      <c r="QI29" s="2"/>
      <c r="QJ29" s="2"/>
      <c r="QK29" s="2"/>
      <c r="QL29" s="2"/>
      <c r="QM29" s="2"/>
      <c r="QN29" s="2"/>
      <c r="QO29" s="2"/>
      <c r="QP29" s="2"/>
    </row>
    <row r="30" spans="1:477" x14ac:dyDescent="0.2">
      <c r="A30" s="35"/>
      <c r="B30" s="35"/>
      <c r="C30" s="34"/>
    </row>
    <row r="31" spans="1:477" x14ac:dyDescent="0.2">
      <c r="A31" s="35"/>
      <c r="B31" s="35"/>
      <c r="C31" s="34"/>
    </row>
    <row r="32" spans="1:477" x14ac:dyDescent="0.2">
      <c r="A32" s="6"/>
      <c r="B32" s="6"/>
      <c r="C32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7">
      <sortCondition descending="1" ref="F1:F18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R1:R3"/>
    <mergeCell ref="S1:S3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</mergeCells>
  <conditionalFormatting sqref="W4:AY17">
    <cfRule type="expression" dxfId="55" priority="5" stopIfTrue="1">
      <formula>IF($AQ4&lt;&gt;"",1,0)</formula>
    </cfRule>
  </conditionalFormatting>
  <conditionalFormatting sqref="AZ4:CB17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17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AY$24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AY$20</formula>
      <formula>AY$21</formula>
    </cfRule>
    <cfRule type="cellIs" dxfId="40" priority="58727" operator="between">
      <formula>AY$21</formula>
      <formula>AY$22</formula>
    </cfRule>
    <cfRule type="cellIs" dxfId="39" priority="58728" operator="between">
      <formula>AY$22</formula>
      <formula>AY$23</formula>
    </cfRule>
    <cfRule type="cellIs" dxfId="38" priority="58729" operator="between">
      <formula>AY$23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AY$24</formula>
      <formula>AY$25</formula>
    </cfRule>
    <cfRule type="cellIs" dxfId="36" priority="58907" operator="between">
      <formula>AY$25</formula>
      <formula>AY$26</formula>
    </cfRule>
    <cfRule type="cellIs" dxfId="35" priority="58908" operator="between">
      <formula>AY$26</formula>
      <formula>AY$27</formula>
    </cfRule>
    <cfRule type="cellIs" dxfId="34" priority="58909" operator="between">
      <formula>AY$27</formula>
      <formula>1000</formula>
    </cfRule>
  </conditionalFormatting>
  <conditionalFormatting sqref="BY1:BY26 DB1:DB1048576 EG1:EG26 FI1:FI26 GK1:GK1048576 HM1:HM1048576 IO1:IO1048576 JQ1:JQ1048576 KS1:KS1048576 LU1:LU1048576 MW1:MW1048576 NY1:NY1048576 PA1:PA1048576 QC1:QC1048576 AV1:AV26 AV28:AV1048576 BY28:BY1048576 EG28:EG1048576 FI28:FI1048576">
    <cfRule type="cellIs" dxfId="33" priority="59086" operator="between">
      <formula>AY$27</formula>
      <formula>1000</formula>
    </cfRule>
    <cfRule type="cellIs" dxfId="32" priority="59087" operator="between">
      <formula>AY$26</formula>
      <formula>AY$27</formula>
    </cfRule>
    <cfRule type="cellIs" dxfId="31" priority="59088" operator="between">
      <formula>AY$25</formula>
      <formula>AY$26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AY$23</formula>
      <formula>1000</formula>
    </cfRule>
    <cfRule type="cellIs" dxfId="29" priority="59222" operator="between">
      <formula>AY$22</formula>
      <formula>AY$23</formula>
    </cfRule>
    <cfRule type="cellIs" dxfId="28" priority="59223" operator="between">
      <formula>AY$21</formula>
      <formula>AY$22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hidden="1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02" t="s">
        <v>1</v>
      </c>
      <c r="B1" s="102" t="s">
        <v>32</v>
      </c>
      <c r="C1" s="102" t="s">
        <v>0</v>
      </c>
      <c r="D1" s="102" t="s">
        <v>63</v>
      </c>
      <c r="E1" s="102" t="s">
        <v>2</v>
      </c>
      <c r="F1" s="103" t="s">
        <v>69</v>
      </c>
      <c r="G1" s="103" t="s">
        <v>12</v>
      </c>
      <c r="H1" s="102" t="s">
        <v>13</v>
      </c>
      <c r="I1" s="103" t="s">
        <v>96</v>
      </c>
      <c r="J1" s="108" t="s">
        <v>156</v>
      </c>
      <c r="K1" s="104" t="s">
        <v>37</v>
      </c>
      <c r="L1" s="108" t="s">
        <v>157</v>
      </c>
      <c r="M1" s="104" t="s">
        <v>37</v>
      </c>
      <c r="N1" s="108" t="s">
        <v>158</v>
      </c>
      <c r="O1" s="104" t="s">
        <v>37</v>
      </c>
      <c r="P1" s="108" t="s">
        <v>159</v>
      </c>
      <c r="Q1" s="104" t="s">
        <v>37</v>
      </c>
      <c r="R1" s="104" t="s">
        <v>14</v>
      </c>
      <c r="S1" s="104" t="s">
        <v>37</v>
      </c>
      <c r="T1" s="107" t="s">
        <v>15</v>
      </c>
      <c r="U1" s="104" t="s">
        <v>38</v>
      </c>
      <c r="V1" s="104" t="s">
        <v>37</v>
      </c>
      <c r="W1" s="105" t="s">
        <v>104</v>
      </c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10" t="s">
        <v>111</v>
      </c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05" t="s">
        <v>146</v>
      </c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11" t="s">
        <v>68</v>
      </c>
      <c r="DG1" s="111"/>
      <c r="DH1" s="111"/>
      <c r="DI1" s="105" t="s">
        <v>114</v>
      </c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10" t="s">
        <v>175</v>
      </c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05"/>
      <c r="FN1" s="105"/>
      <c r="FO1" s="105"/>
      <c r="FP1" s="105"/>
      <c r="FQ1" s="105"/>
      <c r="FR1" s="105"/>
      <c r="FS1" s="105"/>
      <c r="FT1" s="105"/>
      <c r="FU1" s="105"/>
      <c r="FV1" s="105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0"/>
      <c r="NU1" s="110"/>
      <c r="NV1" s="110"/>
      <c r="NW1" s="110"/>
      <c r="NX1" s="110"/>
      <c r="NY1" s="110"/>
      <c r="NZ1" s="110"/>
      <c r="OA1" s="110"/>
      <c r="OB1" s="110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5"/>
      <c r="OY1" s="105"/>
      <c r="OZ1" s="105"/>
      <c r="PA1" s="105"/>
      <c r="PB1" s="105"/>
      <c r="PC1" s="105"/>
      <c r="PD1" s="105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0"/>
      <c r="QF1" s="110"/>
      <c r="QG1" s="105" t="s">
        <v>72</v>
      </c>
      <c r="QH1" s="105"/>
      <c r="QI1" s="105"/>
      <c r="QJ1" s="105"/>
      <c r="QK1" s="105"/>
      <c r="QL1" s="105"/>
      <c r="QM1" s="105"/>
      <c r="QN1" s="105"/>
      <c r="QO1" s="105"/>
      <c r="QP1" s="105"/>
      <c r="QQ1" s="105"/>
      <c r="QR1" s="105"/>
      <c r="QS1" s="105"/>
      <c r="QT1" s="105"/>
      <c r="QU1" s="105"/>
      <c r="QV1" s="105"/>
      <c r="QW1" s="105"/>
      <c r="QX1" s="105"/>
      <c r="QY1" s="105"/>
      <c r="QZ1" s="105"/>
      <c r="RA1" s="105"/>
      <c r="RB1" s="105"/>
      <c r="RC1" s="105"/>
      <c r="RD1" s="105"/>
      <c r="RE1" s="105"/>
      <c r="RF1" s="105"/>
      <c r="RG1" s="105"/>
      <c r="RH1" s="105"/>
      <c r="RI1" s="105"/>
    </row>
    <row r="2" spans="1:477" x14ac:dyDescent="0.2">
      <c r="A2" s="102"/>
      <c r="B2" s="102"/>
      <c r="C2" s="102"/>
      <c r="D2" s="102"/>
      <c r="E2" s="102"/>
      <c r="F2" s="103"/>
      <c r="G2" s="103"/>
      <c r="H2" s="102"/>
      <c r="I2" s="103"/>
      <c r="J2" s="108"/>
      <c r="K2" s="104"/>
      <c r="L2" s="108"/>
      <c r="M2" s="104"/>
      <c r="N2" s="108"/>
      <c r="O2" s="104"/>
      <c r="P2" s="108"/>
      <c r="Q2" s="104"/>
      <c r="R2" s="104"/>
      <c r="S2" s="104"/>
      <c r="T2" s="107"/>
      <c r="U2" s="104"/>
      <c r="V2" s="104"/>
      <c r="W2" s="106" t="s">
        <v>148</v>
      </c>
      <c r="X2" s="106"/>
      <c r="Y2" s="106"/>
      <c r="Z2" s="106"/>
      <c r="AA2" s="106" t="s">
        <v>149</v>
      </c>
      <c r="AB2" s="106"/>
      <c r="AC2" s="106"/>
      <c r="AD2" s="106"/>
      <c r="AE2" s="106" t="s">
        <v>150</v>
      </c>
      <c r="AF2" s="106"/>
      <c r="AG2" s="106"/>
      <c r="AH2" s="106"/>
      <c r="AI2" s="106" t="s">
        <v>151</v>
      </c>
      <c r="AJ2" s="106"/>
      <c r="AK2" s="106"/>
      <c r="AL2" s="106"/>
      <c r="AM2" s="112" t="s">
        <v>152</v>
      </c>
      <c r="AN2" s="112"/>
      <c r="AO2" s="112"/>
      <c r="AP2" s="112"/>
      <c r="AQ2" s="94"/>
      <c r="AR2" s="94" t="s">
        <v>153</v>
      </c>
      <c r="AS2" s="94" t="s">
        <v>154</v>
      </c>
      <c r="AT2" s="94" t="s">
        <v>150</v>
      </c>
      <c r="AU2" s="94" t="s">
        <v>160</v>
      </c>
      <c r="AV2" s="94" t="s">
        <v>25</v>
      </c>
      <c r="AW2" s="94" t="s">
        <v>76</v>
      </c>
      <c r="AX2" s="94" t="s">
        <v>155</v>
      </c>
      <c r="AY2" s="94" t="s">
        <v>19</v>
      </c>
      <c r="AZ2" s="109" t="s">
        <v>148</v>
      </c>
      <c r="BA2" s="109"/>
      <c r="BB2" s="109"/>
      <c r="BC2" s="109"/>
      <c r="BD2" s="109" t="s">
        <v>149</v>
      </c>
      <c r="BE2" s="109"/>
      <c r="BF2" s="109"/>
      <c r="BG2" s="109"/>
      <c r="BH2" s="109" t="s">
        <v>150</v>
      </c>
      <c r="BI2" s="109"/>
      <c r="BJ2" s="109"/>
      <c r="BK2" s="109"/>
      <c r="BL2" s="109" t="s">
        <v>151</v>
      </c>
      <c r="BM2" s="109"/>
      <c r="BN2" s="109"/>
      <c r="BO2" s="109"/>
      <c r="BP2" s="113" t="s">
        <v>152</v>
      </c>
      <c r="BQ2" s="113"/>
      <c r="BR2" s="113"/>
      <c r="BS2" s="113"/>
      <c r="BT2" s="95"/>
      <c r="BU2" s="95" t="s">
        <v>153</v>
      </c>
      <c r="BV2" s="95" t="s">
        <v>154</v>
      </c>
      <c r="BW2" s="95" t="s">
        <v>150</v>
      </c>
      <c r="BX2" s="95" t="s">
        <v>160</v>
      </c>
      <c r="BY2" s="95" t="s">
        <v>25</v>
      </c>
      <c r="BZ2" s="95" t="s">
        <v>76</v>
      </c>
      <c r="CA2" s="95" t="s">
        <v>155</v>
      </c>
      <c r="CB2" s="95" t="s">
        <v>19</v>
      </c>
      <c r="CC2" s="106" t="s">
        <v>148</v>
      </c>
      <c r="CD2" s="106"/>
      <c r="CE2" s="106"/>
      <c r="CF2" s="106"/>
      <c r="CG2" s="106" t="s">
        <v>149</v>
      </c>
      <c r="CH2" s="106"/>
      <c r="CI2" s="106"/>
      <c r="CJ2" s="106"/>
      <c r="CK2" s="106" t="s">
        <v>150</v>
      </c>
      <c r="CL2" s="106"/>
      <c r="CM2" s="106"/>
      <c r="CN2" s="106"/>
      <c r="CO2" s="106" t="s">
        <v>151</v>
      </c>
      <c r="CP2" s="106"/>
      <c r="CQ2" s="106"/>
      <c r="CR2" s="106"/>
      <c r="CS2" s="112" t="s">
        <v>152</v>
      </c>
      <c r="CT2" s="112"/>
      <c r="CU2" s="112"/>
      <c r="CV2" s="112"/>
      <c r="CW2" s="94"/>
      <c r="CX2" s="94" t="s">
        <v>153</v>
      </c>
      <c r="CY2" s="94" t="s">
        <v>154</v>
      </c>
      <c r="CZ2" s="94" t="s">
        <v>150</v>
      </c>
      <c r="DA2" s="94" t="s">
        <v>160</v>
      </c>
      <c r="DB2" s="94" t="s">
        <v>25</v>
      </c>
      <c r="DC2" s="94" t="s">
        <v>76</v>
      </c>
      <c r="DD2" s="94" t="s">
        <v>155</v>
      </c>
      <c r="DE2" s="94" t="s">
        <v>19</v>
      </c>
      <c r="DF2" s="86" t="s">
        <v>154</v>
      </c>
      <c r="DG2" s="86" t="s">
        <v>150</v>
      </c>
      <c r="DH2" s="86" t="s">
        <v>24</v>
      </c>
      <c r="DI2" s="106" t="s">
        <v>148</v>
      </c>
      <c r="DJ2" s="106"/>
      <c r="DK2" s="106"/>
      <c r="DL2" s="106"/>
      <c r="DM2" s="106" t="s">
        <v>149</v>
      </c>
      <c r="DN2" s="106"/>
      <c r="DO2" s="106"/>
      <c r="DP2" s="106"/>
      <c r="DQ2" s="106" t="s">
        <v>150</v>
      </c>
      <c r="DR2" s="106"/>
      <c r="DS2" s="106"/>
      <c r="DT2" s="106"/>
      <c r="DU2" s="106" t="s">
        <v>151</v>
      </c>
      <c r="DV2" s="106"/>
      <c r="DW2" s="106"/>
      <c r="DX2" s="106"/>
      <c r="DY2" s="114" t="s">
        <v>152</v>
      </c>
      <c r="DZ2" s="114"/>
      <c r="EA2" s="114"/>
      <c r="EB2" s="114"/>
      <c r="EC2" s="94" t="s">
        <v>153</v>
      </c>
      <c r="ED2" s="94" t="s">
        <v>154</v>
      </c>
      <c r="EE2" s="94" t="s">
        <v>150</v>
      </c>
      <c r="EF2" s="94" t="s">
        <v>160</v>
      </c>
      <c r="EG2" s="94" t="s">
        <v>25</v>
      </c>
      <c r="EH2" s="94" t="s">
        <v>76</v>
      </c>
      <c r="EI2" s="94" t="s">
        <v>155</v>
      </c>
      <c r="EJ2" s="94" t="s">
        <v>19</v>
      </c>
      <c r="EK2" s="109" t="s">
        <v>148</v>
      </c>
      <c r="EL2" s="109"/>
      <c r="EM2" s="109"/>
      <c r="EN2" s="109"/>
      <c r="EO2" s="109" t="s">
        <v>149</v>
      </c>
      <c r="EP2" s="109"/>
      <c r="EQ2" s="109"/>
      <c r="ER2" s="109"/>
      <c r="ES2" s="109" t="s">
        <v>150</v>
      </c>
      <c r="ET2" s="109"/>
      <c r="EU2" s="109"/>
      <c r="EV2" s="109"/>
      <c r="EW2" s="109" t="s">
        <v>151</v>
      </c>
      <c r="EX2" s="109"/>
      <c r="EY2" s="109"/>
      <c r="EZ2" s="109"/>
      <c r="FA2" s="113" t="s">
        <v>152</v>
      </c>
      <c r="FB2" s="113"/>
      <c r="FC2" s="113"/>
      <c r="FD2" s="113"/>
      <c r="FE2" s="95" t="s">
        <v>153</v>
      </c>
      <c r="FF2" s="95" t="s">
        <v>154</v>
      </c>
      <c r="FG2" s="95" t="s">
        <v>150</v>
      </c>
      <c r="FH2" s="95" t="s">
        <v>160</v>
      </c>
      <c r="FI2" s="95" t="s">
        <v>25</v>
      </c>
      <c r="FJ2" s="95" t="s">
        <v>76</v>
      </c>
      <c r="FK2" s="95" t="s">
        <v>155</v>
      </c>
      <c r="FL2" s="95" t="s">
        <v>19</v>
      </c>
      <c r="FM2" s="106" t="s">
        <v>148</v>
      </c>
      <c r="FN2" s="106"/>
      <c r="FO2" s="106"/>
      <c r="FP2" s="106"/>
      <c r="FQ2" s="106" t="s">
        <v>149</v>
      </c>
      <c r="FR2" s="106"/>
      <c r="FS2" s="106"/>
      <c r="FT2" s="106"/>
      <c r="FU2" s="106" t="s">
        <v>150</v>
      </c>
      <c r="FV2" s="106"/>
      <c r="FW2" s="106"/>
      <c r="FX2" s="106"/>
      <c r="FY2" s="106" t="s">
        <v>151</v>
      </c>
      <c r="FZ2" s="106"/>
      <c r="GA2" s="106"/>
      <c r="GB2" s="106"/>
      <c r="GC2" s="114" t="s">
        <v>152</v>
      </c>
      <c r="GD2" s="114"/>
      <c r="GE2" s="114"/>
      <c r="GF2" s="114"/>
      <c r="GG2" s="94" t="s">
        <v>153</v>
      </c>
      <c r="GH2" s="94" t="s">
        <v>154</v>
      </c>
      <c r="GI2" s="94" t="s">
        <v>150</v>
      </c>
      <c r="GJ2" s="94" t="s">
        <v>160</v>
      </c>
      <c r="GK2" s="94" t="s">
        <v>25</v>
      </c>
      <c r="GL2" s="94" t="s">
        <v>76</v>
      </c>
      <c r="GM2" s="94" t="s">
        <v>155</v>
      </c>
      <c r="GN2" s="94" t="s">
        <v>19</v>
      </c>
      <c r="GO2" s="109" t="s">
        <v>148</v>
      </c>
      <c r="GP2" s="109"/>
      <c r="GQ2" s="109"/>
      <c r="GR2" s="109"/>
      <c r="GS2" s="109" t="s">
        <v>149</v>
      </c>
      <c r="GT2" s="109"/>
      <c r="GU2" s="109"/>
      <c r="GV2" s="109"/>
      <c r="GW2" s="109" t="s">
        <v>150</v>
      </c>
      <c r="GX2" s="109"/>
      <c r="GY2" s="109"/>
      <c r="GZ2" s="109"/>
      <c r="HA2" s="109" t="s">
        <v>151</v>
      </c>
      <c r="HB2" s="109"/>
      <c r="HC2" s="109"/>
      <c r="HD2" s="109"/>
      <c r="HE2" s="113" t="s">
        <v>152</v>
      </c>
      <c r="HF2" s="113"/>
      <c r="HG2" s="113"/>
      <c r="HH2" s="113"/>
      <c r="HI2" s="95" t="s">
        <v>153</v>
      </c>
      <c r="HJ2" s="95" t="s">
        <v>154</v>
      </c>
      <c r="HK2" s="95" t="s">
        <v>150</v>
      </c>
      <c r="HL2" s="95" t="s">
        <v>160</v>
      </c>
      <c r="HM2" s="95" t="s">
        <v>25</v>
      </c>
      <c r="HN2" s="95" t="s">
        <v>76</v>
      </c>
      <c r="HO2" s="95" t="s">
        <v>155</v>
      </c>
      <c r="HP2" s="95" t="s">
        <v>19</v>
      </c>
      <c r="HQ2" s="106" t="s">
        <v>148</v>
      </c>
      <c r="HR2" s="106"/>
      <c r="HS2" s="106"/>
      <c r="HT2" s="106"/>
      <c r="HU2" s="106" t="s">
        <v>149</v>
      </c>
      <c r="HV2" s="106"/>
      <c r="HW2" s="106"/>
      <c r="HX2" s="106"/>
      <c r="HY2" s="106" t="s">
        <v>150</v>
      </c>
      <c r="HZ2" s="106"/>
      <c r="IA2" s="106"/>
      <c r="IB2" s="106"/>
      <c r="IC2" s="106" t="s">
        <v>151</v>
      </c>
      <c r="ID2" s="106"/>
      <c r="IE2" s="106"/>
      <c r="IF2" s="106"/>
      <c r="IG2" s="114" t="s">
        <v>152</v>
      </c>
      <c r="IH2" s="114"/>
      <c r="II2" s="114"/>
      <c r="IJ2" s="114"/>
      <c r="IK2" s="94" t="s">
        <v>153</v>
      </c>
      <c r="IL2" s="94" t="s">
        <v>154</v>
      </c>
      <c r="IM2" s="94" t="s">
        <v>150</v>
      </c>
      <c r="IN2" s="94" t="s">
        <v>160</v>
      </c>
      <c r="IO2" s="94" t="s">
        <v>25</v>
      </c>
      <c r="IP2" s="94" t="s">
        <v>76</v>
      </c>
      <c r="IQ2" s="94" t="s">
        <v>155</v>
      </c>
      <c r="IR2" s="94" t="s">
        <v>19</v>
      </c>
      <c r="IS2" s="109" t="s">
        <v>148</v>
      </c>
      <c r="IT2" s="109"/>
      <c r="IU2" s="109"/>
      <c r="IV2" s="109"/>
      <c r="IW2" s="109" t="s">
        <v>149</v>
      </c>
      <c r="IX2" s="109"/>
      <c r="IY2" s="109"/>
      <c r="IZ2" s="109"/>
      <c r="JA2" s="109" t="s">
        <v>150</v>
      </c>
      <c r="JB2" s="109"/>
      <c r="JC2" s="109"/>
      <c r="JD2" s="109"/>
      <c r="JE2" s="109" t="s">
        <v>151</v>
      </c>
      <c r="JF2" s="109"/>
      <c r="JG2" s="109"/>
      <c r="JH2" s="109"/>
      <c r="JI2" s="113" t="s">
        <v>152</v>
      </c>
      <c r="JJ2" s="113"/>
      <c r="JK2" s="113"/>
      <c r="JL2" s="113"/>
      <c r="JM2" s="95" t="s">
        <v>153</v>
      </c>
      <c r="JN2" s="95" t="s">
        <v>154</v>
      </c>
      <c r="JO2" s="95" t="s">
        <v>150</v>
      </c>
      <c r="JP2" s="95" t="s">
        <v>160</v>
      </c>
      <c r="JQ2" s="95" t="s">
        <v>25</v>
      </c>
      <c r="JR2" s="95" t="s">
        <v>76</v>
      </c>
      <c r="JS2" s="95" t="s">
        <v>155</v>
      </c>
      <c r="JT2" s="95" t="s">
        <v>19</v>
      </c>
      <c r="JU2" s="106" t="s">
        <v>148</v>
      </c>
      <c r="JV2" s="106"/>
      <c r="JW2" s="106"/>
      <c r="JX2" s="106"/>
      <c r="JY2" s="106" t="s">
        <v>149</v>
      </c>
      <c r="JZ2" s="106"/>
      <c r="KA2" s="106"/>
      <c r="KB2" s="106"/>
      <c r="KC2" s="106" t="s">
        <v>150</v>
      </c>
      <c r="KD2" s="106"/>
      <c r="KE2" s="106"/>
      <c r="KF2" s="106"/>
      <c r="KG2" s="106" t="s">
        <v>151</v>
      </c>
      <c r="KH2" s="106"/>
      <c r="KI2" s="106"/>
      <c r="KJ2" s="106"/>
      <c r="KK2" s="114" t="s">
        <v>152</v>
      </c>
      <c r="KL2" s="114"/>
      <c r="KM2" s="114"/>
      <c r="KN2" s="114"/>
      <c r="KO2" s="94" t="s">
        <v>153</v>
      </c>
      <c r="KP2" s="94" t="s">
        <v>154</v>
      </c>
      <c r="KQ2" s="94" t="s">
        <v>150</v>
      </c>
      <c r="KR2" s="94" t="s">
        <v>160</v>
      </c>
      <c r="KS2" s="94" t="s">
        <v>25</v>
      </c>
      <c r="KT2" s="94" t="s">
        <v>76</v>
      </c>
      <c r="KU2" s="94" t="s">
        <v>155</v>
      </c>
      <c r="KV2" s="94" t="s">
        <v>19</v>
      </c>
      <c r="KW2" s="109" t="s">
        <v>148</v>
      </c>
      <c r="KX2" s="109"/>
      <c r="KY2" s="109"/>
      <c r="KZ2" s="109"/>
      <c r="LA2" s="109" t="s">
        <v>149</v>
      </c>
      <c r="LB2" s="109"/>
      <c r="LC2" s="109"/>
      <c r="LD2" s="109"/>
      <c r="LE2" s="109" t="s">
        <v>150</v>
      </c>
      <c r="LF2" s="109"/>
      <c r="LG2" s="109"/>
      <c r="LH2" s="109"/>
      <c r="LI2" s="109" t="s">
        <v>151</v>
      </c>
      <c r="LJ2" s="109"/>
      <c r="LK2" s="109"/>
      <c r="LL2" s="109"/>
      <c r="LM2" s="113" t="s">
        <v>152</v>
      </c>
      <c r="LN2" s="113"/>
      <c r="LO2" s="113"/>
      <c r="LP2" s="113"/>
      <c r="LQ2" s="95" t="s">
        <v>153</v>
      </c>
      <c r="LR2" s="95" t="s">
        <v>154</v>
      </c>
      <c r="LS2" s="95" t="s">
        <v>150</v>
      </c>
      <c r="LT2" s="95" t="s">
        <v>160</v>
      </c>
      <c r="LU2" s="95" t="s">
        <v>25</v>
      </c>
      <c r="LV2" s="95" t="s">
        <v>76</v>
      </c>
      <c r="LW2" s="95" t="s">
        <v>155</v>
      </c>
      <c r="LX2" s="95" t="s">
        <v>19</v>
      </c>
      <c r="LY2" s="106" t="s">
        <v>148</v>
      </c>
      <c r="LZ2" s="106"/>
      <c r="MA2" s="106"/>
      <c r="MB2" s="106"/>
      <c r="MC2" s="106" t="s">
        <v>149</v>
      </c>
      <c r="MD2" s="106"/>
      <c r="ME2" s="106"/>
      <c r="MF2" s="106"/>
      <c r="MG2" s="106" t="s">
        <v>150</v>
      </c>
      <c r="MH2" s="106"/>
      <c r="MI2" s="106"/>
      <c r="MJ2" s="106"/>
      <c r="MK2" s="106" t="s">
        <v>151</v>
      </c>
      <c r="ML2" s="106"/>
      <c r="MM2" s="106"/>
      <c r="MN2" s="106"/>
      <c r="MO2" s="114" t="s">
        <v>152</v>
      </c>
      <c r="MP2" s="114"/>
      <c r="MQ2" s="114"/>
      <c r="MR2" s="114"/>
      <c r="MS2" s="94" t="s">
        <v>153</v>
      </c>
      <c r="MT2" s="94" t="s">
        <v>154</v>
      </c>
      <c r="MU2" s="94" t="s">
        <v>150</v>
      </c>
      <c r="MV2" s="94" t="s">
        <v>160</v>
      </c>
      <c r="MW2" s="94" t="s">
        <v>25</v>
      </c>
      <c r="MX2" s="94" t="s">
        <v>76</v>
      </c>
      <c r="MY2" s="94" t="s">
        <v>155</v>
      </c>
      <c r="MZ2" s="94" t="s">
        <v>19</v>
      </c>
      <c r="NA2" s="109" t="s">
        <v>148</v>
      </c>
      <c r="NB2" s="109"/>
      <c r="NC2" s="109"/>
      <c r="ND2" s="109"/>
      <c r="NE2" s="109" t="s">
        <v>149</v>
      </c>
      <c r="NF2" s="109"/>
      <c r="NG2" s="109"/>
      <c r="NH2" s="109"/>
      <c r="NI2" s="109" t="s">
        <v>150</v>
      </c>
      <c r="NJ2" s="109"/>
      <c r="NK2" s="109"/>
      <c r="NL2" s="109"/>
      <c r="NM2" s="109" t="s">
        <v>151</v>
      </c>
      <c r="NN2" s="109"/>
      <c r="NO2" s="109"/>
      <c r="NP2" s="109"/>
      <c r="NQ2" s="113" t="s">
        <v>152</v>
      </c>
      <c r="NR2" s="113"/>
      <c r="NS2" s="113"/>
      <c r="NT2" s="113"/>
      <c r="NU2" s="95" t="s">
        <v>153</v>
      </c>
      <c r="NV2" s="95" t="s">
        <v>154</v>
      </c>
      <c r="NW2" s="95" t="s">
        <v>150</v>
      </c>
      <c r="NX2" s="95" t="s">
        <v>160</v>
      </c>
      <c r="NY2" s="95" t="s">
        <v>25</v>
      </c>
      <c r="NZ2" s="95" t="s">
        <v>76</v>
      </c>
      <c r="OA2" s="95" t="s">
        <v>155</v>
      </c>
      <c r="OB2" s="95" t="s">
        <v>19</v>
      </c>
      <c r="OC2" s="106" t="s">
        <v>148</v>
      </c>
      <c r="OD2" s="106"/>
      <c r="OE2" s="106"/>
      <c r="OF2" s="106"/>
      <c r="OG2" s="106" t="s">
        <v>149</v>
      </c>
      <c r="OH2" s="106"/>
      <c r="OI2" s="106"/>
      <c r="OJ2" s="106"/>
      <c r="OK2" s="106" t="s">
        <v>150</v>
      </c>
      <c r="OL2" s="106"/>
      <c r="OM2" s="106"/>
      <c r="ON2" s="106"/>
      <c r="OO2" s="106" t="s">
        <v>151</v>
      </c>
      <c r="OP2" s="106"/>
      <c r="OQ2" s="106"/>
      <c r="OR2" s="106"/>
      <c r="OS2" s="114" t="s">
        <v>152</v>
      </c>
      <c r="OT2" s="114"/>
      <c r="OU2" s="114"/>
      <c r="OV2" s="114"/>
      <c r="OW2" s="94" t="s">
        <v>153</v>
      </c>
      <c r="OX2" s="94" t="s">
        <v>154</v>
      </c>
      <c r="OY2" s="94" t="s">
        <v>150</v>
      </c>
      <c r="OZ2" s="94" t="s">
        <v>160</v>
      </c>
      <c r="PA2" s="94" t="s">
        <v>25</v>
      </c>
      <c r="PB2" s="94" t="s">
        <v>76</v>
      </c>
      <c r="PC2" s="94" t="s">
        <v>155</v>
      </c>
      <c r="PD2" s="94" t="s">
        <v>19</v>
      </c>
      <c r="PE2" s="109" t="s">
        <v>148</v>
      </c>
      <c r="PF2" s="109"/>
      <c r="PG2" s="109"/>
      <c r="PH2" s="109"/>
      <c r="PI2" s="109" t="s">
        <v>149</v>
      </c>
      <c r="PJ2" s="109"/>
      <c r="PK2" s="109"/>
      <c r="PL2" s="109"/>
      <c r="PM2" s="109" t="s">
        <v>150</v>
      </c>
      <c r="PN2" s="109"/>
      <c r="PO2" s="109"/>
      <c r="PP2" s="109"/>
      <c r="PQ2" s="109" t="s">
        <v>151</v>
      </c>
      <c r="PR2" s="109"/>
      <c r="PS2" s="109"/>
      <c r="PT2" s="109"/>
      <c r="PU2" s="113" t="s">
        <v>152</v>
      </c>
      <c r="PV2" s="113"/>
      <c r="PW2" s="113"/>
      <c r="PX2" s="113"/>
      <c r="PY2" s="95" t="s">
        <v>153</v>
      </c>
      <c r="PZ2" s="95" t="s">
        <v>154</v>
      </c>
      <c r="QA2" s="95" t="s">
        <v>150</v>
      </c>
      <c r="QB2" s="95" t="s">
        <v>160</v>
      </c>
      <c r="QC2" s="95" t="s">
        <v>25</v>
      </c>
      <c r="QD2" s="95" t="s">
        <v>76</v>
      </c>
      <c r="QE2" s="95" t="s">
        <v>155</v>
      </c>
      <c r="QF2" s="95" t="s">
        <v>19</v>
      </c>
      <c r="QG2" s="106" t="s">
        <v>148</v>
      </c>
      <c r="QH2" s="106"/>
      <c r="QI2" s="106"/>
      <c r="QJ2" s="106"/>
      <c r="QK2" s="106" t="s">
        <v>149</v>
      </c>
      <c r="QL2" s="106"/>
      <c r="QM2" s="106"/>
      <c r="QN2" s="106"/>
      <c r="QO2" s="106" t="s">
        <v>150</v>
      </c>
      <c r="QP2" s="106"/>
      <c r="QQ2" s="106"/>
      <c r="QR2" s="106"/>
      <c r="QS2" s="106" t="s">
        <v>151</v>
      </c>
      <c r="QT2" s="106"/>
      <c r="QU2" s="106"/>
      <c r="QV2" s="106"/>
      <c r="QW2" s="112" t="s">
        <v>152</v>
      </c>
      <c r="QX2" s="112"/>
      <c r="QY2" s="112"/>
      <c r="QZ2" s="112"/>
      <c r="RA2" s="94"/>
      <c r="RB2" s="94" t="s">
        <v>153</v>
      </c>
      <c r="RC2" s="94" t="s">
        <v>154</v>
      </c>
      <c r="RD2" s="94" t="s">
        <v>150</v>
      </c>
      <c r="RE2" s="94" t="s">
        <v>160</v>
      </c>
      <c r="RF2" s="94" t="s">
        <v>25</v>
      </c>
      <c r="RG2" s="94" t="s">
        <v>76</v>
      </c>
      <c r="RH2" s="94" t="s">
        <v>155</v>
      </c>
      <c r="RI2" s="94" t="s">
        <v>19</v>
      </c>
    </row>
    <row r="3" spans="1:477" x14ac:dyDescent="0.2">
      <c r="A3" s="102"/>
      <c r="B3" s="102"/>
      <c r="C3" s="102"/>
      <c r="D3" s="102"/>
      <c r="E3" s="102"/>
      <c r="F3" s="103"/>
      <c r="G3" s="103"/>
      <c r="H3" s="102"/>
      <c r="I3" s="103"/>
      <c r="J3" s="108"/>
      <c r="K3" s="104"/>
      <c r="L3" s="108"/>
      <c r="M3" s="104"/>
      <c r="N3" s="108"/>
      <c r="O3" s="104"/>
      <c r="P3" s="108"/>
      <c r="Q3" s="104"/>
      <c r="R3" s="104"/>
      <c r="S3" s="104"/>
      <c r="T3" s="107"/>
      <c r="U3" s="104"/>
      <c r="V3" s="104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80</v>
      </c>
      <c r="C4" s="7" t="s">
        <v>6</v>
      </c>
      <c r="D4" s="18">
        <v>2001</v>
      </c>
      <c r="E4" s="14">
        <f>SUM(J4:T4)+SUM(J4:P4)*0.0000001+SUM(J4)*0.0000000000001</f>
        <v>124.80006743001107</v>
      </c>
      <c r="F4" s="3" t="str">
        <f>IF(OR(AND(AR4&gt;=AY$17,AS4&gt;=AY$21,AR4&lt;&gt;"",AQ4=""),AND(AW4&gt;=AY$17,AX4&gt;=AY$21,AW4&lt;&gt;"",AQ4=""),AND(BU4&gt;=CB$17,BV4&gt;=CB$21,BU4&lt;&gt;"",BT4=""),AND(BZ4&gt;=CB$17,CA4&gt;=CB$21,BZ4&lt;&gt;"",BT4=""),AND(CX4&gt;=DE$17,CY4&gt;=DE$21,CX4&lt;&gt;"",CW4=""),AND(DC4&gt;=DE$17,DD4&gt;=DE$21,DC4&lt;&gt;""),AND(EC4&gt;=EJ$17,ED4&gt;=EJ$21,EC4&lt;&gt;""),AND(EH4&gt;=EJ$17,EI4&gt;=EJ$21,EH4&lt;&gt;""),AND(FE4&gt;=FL$17,FF4&gt;=FL$21,FE4&lt;&gt;""),AND(FJ4&gt;=FL$17,FK4&gt;=FL$21,FJ4&lt;&gt;""),AND(GG4&gt;=GN$17,GH4&gt;=GN$21,GG4&lt;&gt;""),AND(GL4&gt;=GN$17,GM4&gt;=GN$21,GL4&lt;&gt;""),AND(HI4&gt;=HP$17,HJ4&gt;=HP$21,HI4&lt;&gt;""),AND(HN4&gt;=HP$17,HO4&gt;=HP$21,HN4&lt;&gt;""),AND(IK4&gt;=IR$17,IL4&gt;=IR$21,IK4&lt;&gt;""),AND(IP4&gt;=IR$17,IQ4&gt;=IR$21,IP4&lt;&gt;""),AND(JM4&gt;=JT$17,JN4&gt;=JT$21,JM4&lt;&gt;""),AND(JR4&gt;=JT$17,JS4&gt;=JT$21,JR4&lt;&gt;""),AND(KO4&gt;=KV$17,KP4&gt;=KV$21,KO4&lt;&gt;""),AND(KT4&gt;=KV$17,KU4&gt;=KV$21,KT4&lt;&gt;""),AND(LQ4&gt;=LX$17,LR4&gt;=LX$21,LQ4&lt;&gt;""),AND(LV4&gt;=LX$17,LW4&gt;=LX$21,LV4&lt;&gt;""),AND(MS4&gt;=MZ$17,MT4&gt;=MZ$21,MS4&lt;&gt;""),AND(MX4&gt;=MZ$17,MY4&gt;=MZ$21,MX4&lt;&gt;""),AND(NU4&gt;=OB$17,NV4&gt;=OB$21,NU4&lt;&gt;""),AND(NZ4&gt;=OB$17,OA4&gt;=OB$21,NZ4&lt;&gt;""),AND(OW4&gt;=PD$17,OX4&gt;=PD$21,OW4&lt;&gt;""),AND(PB4&gt;=PD$17,PC4&gt;=PD$21,PB4&lt;&gt;""),AND(PY4&gt;=QF$17,PZ4&gt;=QF$21,PY4&lt;&gt;""),AND(QD4&gt;=QF$17,QE4&gt;=QF$21,QD4&lt;&gt;"")),"P","")</f>
        <v>P</v>
      </c>
      <c r="G4" s="3" t="str">
        <f>IF(OR(AND(AS4&gt;=AY$21,AS4&lt;&gt;"",AQ4=""),AND(AX4&gt;=AY$21,AX4&lt;&gt;"",AQ4=""),AND(BV4&gt;=CB$21,BV4&lt;&gt;"",BT4=""),AND(CA4&gt;=CB$21,CA4&lt;&gt;"",BT4=""),AND(CY4&gt;=DE$21,CY4&lt;&gt;"",CW4=""),AND(DD4&gt;=DE$21,DD4&lt;&gt;"",CW4=""),AND(ED4&gt;=EJ$21,ED4&lt;&gt;""),AND(EI4&gt;=EJ$21,EI4&lt;&gt;""),AND(FF4&gt;=FL$21,FF4&lt;&gt;""),AND(FK4&gt;=FL$21,FK4&lt;&gt;""),AND(GH4&gt;=GN$21,GH4&lt;&gt;""),AND(GM4&gt;=GN$21,GM4&lt;&gt;""),AND(HJ4&gt;=HP$21,HJ4&lt;&gt;""),AND(HO4&gt;=HP$21,HO4&lt;&gt;""),AND(IL4&gt;=IR$21,IL4&lt;&gt;""),AND(IQ4&gt;=IR$21,IQ4&lt;&gt;""),AND(JN4&gt;=JT$21,JN4&lt;&gt;""),AND(JS4&gt;=JT$21,JS4&lt;&gt;""),AND(KP4&gt;=KV$21,KP4&lt;&gt;""),AND(KU4&gt;=KV$21,KU4&lt;&gt;""),AND(LR4&gt;=LX$21,LR4&lt;&gt;""),AND(LW4&gt;=LX$21,LW4&lt;&gt;""),AND(MT4&gt;=MZ$21,MT4&lt;&gt;""),AND(MY4&gt;=MZ$21,MY4&lt;&gt;""),AND(NV4&gt;=OB$21,NV4&lt;&gt;""),AND(OA4&gt;=OB$21,OA4&lt;&gt;""),AND(OX4&gt;=PD$21,OX4&lt;&gt;""),AND(PC4&gt;=PD$21,PC4&lt;&gt;""),AND(PZ4&gt;=QF$21,PZ4&lt;&gt;""),AND(QE4&gt;=QF$21,QE4&lt;&gt;"")),"P","")</f>
        <v>P</v>
      </c>
      <c r="H4" s="70" t="str">
        <f>IF(AND(G4="P",F4=""),"No DD",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Merit",IF(OR(AND(AU4&gt;=AY$19,AV4&gt;=AY$23,AU4&lt;&gt;"",AQ4=""),AND(BX4&gt;=CB$19,BY4&gt;=CB$23,BX4&lt;&gt;"",BT4=""),AND(DA4&gt;=DE$19,DB4&gt;=DE$23,DA4&lt;&gt;"",CW4=""),AND(EF4&gt;=EJ$19,EG4&gt;=EJ$23,EF4&lt;&gt;""),AND(FH4&gt;=FL$19,FI4&gt;=FL$23,FH4&lt;&gt;""),AND(GJ4&gt;=GN$19,GK4&gt;=GN$23,GJ4&lt;&gt;""),AND(HL4&gt;=HP$19,HM4&gt;=HP$23,HL4&lt;&gt;""),AND(IN4&gt;=IR$19,IO4&gt;=IR$23,IN4&lt;&gt;""),AND(JP4&gt;=JT$19,JQ4&gt;=JT$23,JP4&lt;&gt;""),AND(KR4&gt;=KV$19,KS4&gt;=KV$23,KR4&lt;&gt;""),AND(LT4&gt;=LX$19,LU4&gt;=LX$23,LT4&lt;&gt;""),AND(MV4&gt;=MZ$19,MW4&gt;=MZ$23,MV4&lt;&gt;""),AND(NX4&gt;=OB$19,NY4&gt;=OB$23,NX4&lt;&gt;""),AND(OZ4&gt;=PD$19,PA4&gt;=PD$23,OZ4&lt;&gt;""),AND(QB4&gt;=QF$19,QC4&gt;=QF$23,QB4&lt;&gt;"")),"Excellence",IF(I4="P","Worlds Team",IF(F4="P","National Team","")))))</f>
        <v>Excellence</v>
      </c>
      <c r="I4" s="3" t="str">
        <f>IF(OR(AND(AU4&gt;=AY$18,AV4&gt;=AY$22,AU4&lt;&gt;"",AQ4=""),AND(BX4&gt;=CB$18,BY4&gt;=CB$22,BX4&lt;&gt;"",BT4=""),AND(DA4&gt;=DE$18,DB4&gt;=DE$22,DA4&lt;&gt;"",CW4=""),AND(EF4&gt;=EJ$18,EG4&gt;=EJ$22,EF4&lt;&gt;""),AND(FH4&gt;=FL$18,FI4&gt;=FL$22,FH4&lt;&gt;""),AND(GJ4&gt;=GN$18,GK4&gt;=GN$22,GJ4&lt;&gt;""),AND(HL4&gt;=HP$18,HM4&gt;=HP$22,HL4&lt;&gt;""),AND(IN4&gt;=IR$18,IO4&gt;=IR$22,IN4&lt;&gt;""),AND(JP4&gt;=JT$18,JQ4&gt;=JT$22,JP4&lt;&gt;""),AND(KR4&gt;=KV$18,KS4&gt;=KV$22,KR4&lt;&gt;""),AND(LT4&gt;=LX$18,LU4&gt;=LX$22,LT4&lt;&gt;""),AND(MV4&gt;=MZ$18,MW4&gt;=MZ$22,MV4&lt;&gt;""),AND(NX4&gt;=OB$18,NY4&gt;=OB$22,NX4&lt;&gt;""),AND(OZ4&gt;=PD$18,PA4&gt;=PD$22,OZ4&lt;&gt;""),AND(QB4&gt;=QF$18,QC4&gt;=QF$22,QB4&lt;&gt;"")),"P","")</f>
        <v>P</v>
      </c>
      <c r="J4" s="13">
        <f>IF(COUNT(AS4,BV4,CY4)&gt;0,LARGE((AS4,BV4,CY4),1),0)</f>
        <v>50.8</v>
      </c>
      <c r="K4" s="13" t="str">
        <f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 t="str">
        <f>IF(MAX(DF4:DH4)&gt;0,MAX(DF4:DH4),"")</f>
        <v/>
      </c>
      <c r="U4" s="16" t="str">
        <f>IF(T4="","",IF(T4=DF4,"("&amp;DF$2&amp;")",IF(T4=DH4,"("&amp;DH$2&amp;")")))</f>
        <v/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/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>IF(SUM(X4,AB4)&gt;0,SUM(X4,AB4),"")</f>
        <v/>
      </c>
      <c r="AS4" s="76" t="str">
        <f>IF(SUM(W4:X4,Z4:AB4,AD4)-Y4-AC4&gt;0,SUM(W4:X4,Z4:AB4,AD4)-Y4-AC4,"")</f>
        <v/>
      </c>
      <c r="AT4" s="76" t="str">
        <f>IF(SUM(AE4:AF4,AH4)-AG4&gt;0,SUM(AE4:AF4,AH4)-AG4,"")</f>
        <v/>
      </c>
      <c r="AU4" s="76" t="str">
        <f>IF(SUM(X4,AB4,AF4)&gt;0,SUM(X4,AB4,AF4),"")</f>
        <v/>
      </c>
      <c r="AV4" s="76" t="str">
        <f>IF(SUM(AS4,AT4)&gt;0,SUM(AS4,AT4),"")</f>
        <v/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 t="str">
        <f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6.0000000000000008E-5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6.0000000000000008E-5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50.8</v>
      </c>
      <c r="CZ4" s="76">
        <f>IF(SUM(CK4:CL4,CN4)-CM4&gt;0,SUM(CK4:CL4,CN4)-CM4,"")</f>
        <v>23.5</v>
      </c>
      <c r="DA4" s="76">
        <f>IF(SUM(CD4,CH4,CL4)&gt;0,SUM(CD4,CH4,CL4),"")</f>
        <v>19.2</v>
      </c>
      <c r="DB4" s="76">
        <f>IF(SUM(CY4,CZ4)&gt;0,SUM(CY4,CZ4),"")</f>
        <v>74.3</v>
      </c>
      <c r="DC4" s="76">
        <f>IF(SUM(CP4,CT4)&gt;0,SUM(CP4,CT4),"")</f>
        <v>13.2</v>
      </c>
      <c r="DD4" s="76">
        <f>IF(SUM(CO4:CP4,CR4:CT4,CV4)-SUM(CQ4,CU4)&gt;0,SUM(CO4:CP4,CR4:CT4,CV4)-SUM(CQ4,CU4),"")</f>
        <v>50.5</v>
      </c>
      <c r="DE4" s="76">
        <f>IF(SUM(CY4,DD4)&gt;0,SUM(CY4,DD4),"")</f>
        <v>101.3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76" t="str">
        <f>IF(SUM(FN4,FR4)&gt;0,SUM(FN4,FR4),"")</f>
        <v/>
      </c>
      <c r="GH4" s="76" t="str">
        <f>IF(SUM(FM4:FN4,FP4:FR4,FT4)-FO4-FS4&gt;0,SUM(FM4:FN4,FP4:FR4,FT4)-FO4-FS4,"")</f>
        <v/>
      </c>
      <c r="GI4" s="76" t="str">
        <f>IF(SUM(FU4:FV4,FX4)-FW4&gt;0,SUM(FU4:FV4,FX4)-FW4,"")</f>
        <v/>
      </c>
      <c r="GJ4" s="76" t="str">
        <f>IF(SUM(FN4,FR4,FV4)&gt;0,SUM(FN4,FR4,FV4),"")</f>
        <v/>
      </c>
      <c r="GK4" s="76" t="str">
        <f>IF(SUM(GH4,GI4)&gt;0,SUM(GH4,GI4),"")</f>
        <v/>
      </c>
      <c r="GL4" s="76" t="str">
        <f>IF(SUM(FZ4,GD4)&gt;0,SUM(FZ4,GD4),"")</f>
        <v/>
      </c>
      <c r="GM4" s="76" t="str">
        <f>IF(SUM(FY4:FZ4,GB4:GD4,GF4)-SUM(GA4,GE4)&gt;0,SUM(FY4:FZ4,GB4:GD4,GF4)-SUM(GA4,GE4),"")</f>
        <v/>
      </c>
      <c r="GN4" s="76" t="str">
        <f>IF(SUM(GH4,GM4)&gt;0,SUM(GH4,GM4),"")</f>
        <v/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</v>
      </c>
      <c r="QH4" s="42">
        <f>IF($CW4="P",CD4,(CD4+BA4)/2)</f>
        <v>3.40002</v>
      </c>
      <c r="QI4" s="42">
        <f>IF($CW4="P",CE4,(CE4+BB4)/2)</f>
        <v>0</v>
      </c>
      <c r="QJ4" s="42">
        <f>IF($CW4="P",CF4,(CF4+BC4)/2)</f>
        <v>0.15</v>
      </c>
      <c r="QK4" s="42">
        <f>IF($CW4="P",CG4,(CG4+BD4)/2)</f>
        <v>9.3000000000000007</v>
      </c>
      <c r="QL4" s="42">
        <f>IF($CW4="P",CH4,(CH4+BE4)/2)</f>
        <v>3.4</v>
      </c>
      <c r="QM4" s="42">
        <f>IF($CW4="P",CI4,(CI4+BF4)/2)</f>
        <v>0.4</v>
      </c>
      <c r="QN4" s="42">
        <f>IF($CW4="P",CJ4,(CJ4+BG4)/2)</f>
        <v>0.15</v>
      </c>
      <c r="QO4" s="42">
        <f>IF($CW4="P",CK4,(CK4+BH4)/2)</f>
        <v>9.25</v>
      </c>
      <c r="QP4" s="42">
        <f>IF($CW4="P",CL4,(CL4+BI4)/2)</f>
        <v>2.8</v>
      </c>
      <c r="QQ4" s="42">
        <f>IF($CW4="P",CM4,(CM4+BJ4)/2)</f>
        <v>0.3</v>
      </c>
      <c r="QR4" s="42">
        <f>IF($CW4="P",CN4,(CN4+BK4)/2)</f>
        <v>0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9.4</v>
      </c>
      <c r="QX4" s="42">
        <f>IF($CW4="P",CT4,(CT4+BQ4)/2)</f>
        <v>3.2</v>
      </c>
      <c r="QY4" s="42">
        <f>IF($CW4="P",CU4,(CU4+BR4)/2)</f>
        <v>0</v>
      </c>
      <c r="QZ4" s="42">
        <f>IF($CW4="P",CV4,(CV4+BS4)/2)</f>
        <v>0</v>
      </c>
      <c r="RA4" s="51" t="s">
        <v>61</v>
      </c>
      <c r="RB4" s="76">
        <f>IF(SUM(QH4,QL4)&gt;0,SUM(QH4,QL4),"")</f>
        <v>6.80002</v>
      </c>
      <c r="RC4" s="76">
        <f>IF(SUM(QG4:QH4,QJ4:QL4,QN4)-QI4-QM4&gt;0,SUM(QG4:QH4,QJ4:QL4,QN4)-QI4-QM4,"")</f>
        <v>25.400030000000001</v>
      </c>
      <c r="RD4" s="76">
        <f>IF(SUM(QO4:QP4,QR4)-QQ4&gt;0,SUM(QO4:QP4,QR4)-QQ4,"")</f>
        <v>11.75</v>
      </c>
      <c r="RE4" s="76">
        <f>IF(SUM(QH4,QL4,QP4)&gt;0,SUM(QH4,QL4,QP4),"")</f>
        <v>9.6000200000000007</v>
      </c>
      <c r="RF4" s="76">
        <f>IF(SUM(RC4,RD4)&gt;0,SUM(RC4,RD4),"")</f>
        <v>37.150030000000001</v>
      </c>
      <c r="RG4" s="76">
        <f>IF(SUM(QT4,QX4)&gt;0,SUM(QT4,QX4),"")</f>
        <v>6.6</v>
      </c>
      <c r="RH4" s="76">
        <f>IF(SUM(QS4:QT4,QV4:QX4,QZ4)-SUM(QU4,QY4)&gt;0,SUM(QS4:QT4,QV4:QX4,QZ4)-SUM(QU4,QY4),"")</f>
        <v>25.25</v>
      </c>
      <c r="RI4" s="76">
        <f>IF(SUM(RC4,RH4)&gt;0,SUM(RC4,RH4),"")</f>
        <v>50.650030000000001</v>
      </c>
    </row>
    <row r="5" spans="1:477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108</v>
      </c>
      <c r="C5" s="7" t="s">
        <v>43</v>
      </c>
      <c r="D5" s="18">
        <v>2002</v>
      </c>
      <c r="E5" s="14">
        <f>SUM(J5:T5)+SUM(J5:P5)*0.0000001+SUM(J5)*0.0000000000001</f>
        <v>122.60005728000984</v>
      </c>
      <c r="F5" s="3" t="str">
        <f>IF(OR(AND(AR5&gt;=AY$17,AS5&gt;=AY$21,AR5&lt;&gt;"",AQ5=""),AND(AW5&gt;=AY$17,AX5&gt;=AY$21,AW5&lt;&gt;"",AQ5=""),AND(BU5&gt;=CB$17,BV5&gt;=CB$21,BU5&lt;&gt;"",BT5=""),AND(BZ5&gt;=CB$17,CA5&gt;=CB$21,BZ5&lt;&gt;"",BT5=""),AND(CX5&gt;=DE$17,CY5&gt;=DE$21,CX5&lt;&gt;"",CW5=""),AND(DC5&gt;=DE$17,DD5&gt;=DE$21,DC5&lt;&gt;""),AND(EC5&gt;=EJ$17,ED5&gt;=EJ$21,EC5&lt;&gt;""),AND(EH5&gt;=EJ$17,EI5&gt;=EJ$21,EH5&lt;&gt;""),AND(FE5&gt;=FL$17,FF5&gt;=FL$21,FE5&lt;&gt;""),AND(FJ5&gt;=FL$17,FK5&gt;=FL$21,FJ5&lt;&gt;""),AND(GG5&gt;=GN$17,GH5&gt;=GN$21,GG5&lt;&gt;""),AND(GL5&gt;=GN$17,GM5&gt;=GN$21,GL5&lt;&gt;""),AND(HI5&gt;=HP$17,HJ5&gt;=HP$21,HI5&lt;&gt;""),AND(HN5&gt;=HP$17,HO5&gt;=HP$21,HN5&lt;&gt;""),AND(IK5&gt;=IR$17,IL5&gt;=IR$21,IK5&lt;&gt;""),AND(IP5&gt;=IR$17,IQ5&gt;=IR$21,IP5&lt;&gt;""),AND(JM5&gt;=JT$17,JN5&gt;=JT$21,JM5&lt;&gt;""),AND(JR5&gt;=JT$17,JS5&gt;=JT$21,JR5&lt;&gt;""),AND(KO5&gt;=KV$17,KP5&gt;=KV$21,KO5&lt;&gt;""),AND(KT5&gt;=KV$17,KU5&gt;=KV$21,KT5&lt;&gt;""),AND(LQ5&gt;=LX$17,LR5&gt;=LX$21,LQ5&lt;&gt;""),AND(LV5&gt;=LX$17,LW5&gt;=LX$21,LV5&lt;&gt;""),AND(MS5&gt;=MZ$17,MT5&gt;=MZ$21,MS5&lt;&gt;""),AND(MX5&gt;=MZ$17,MY5&gt;=MZ$21,MX5&lt;&gt;""),AND(NU5&gt;=OB$17,NV5&gt;=OB$21,NU5&lt;&gt;""),AND(NZ5&gt;=OB$17,OA5&gt;=OB$21,NZ5&lt;&gt;""),AND(OW5&gt;=PD$17,OX5&gt;=PD$21,OW5&lt;&gt;""),AND(PB5&gt;=PD$17,PC5&gt;=PD$21,PB5&lt;&gt;""),AND(PY5&gt;=QF$17,PZ5&gt;=QF$21,PY5&lt;&gt;""),AND(QD5&gt;=QF$17,QE5&gt;=QF$21,QD5&lt;&gt;"")),"P","")</f>
        <v>P</v>
      </c>
      <c r="G5" s="3" t="str">
        <f>IF(OR(AND(AS5&gt;=AY$21,AS5&lt;&gt;"",AQ5=""),AND(AX5&gt;=AY$21,AX5&lt;&gt;"",AQ5=""),AND(BV5&gt;=CB$21,BV5&lt;&gt;"",BT5=""),AND(CA5&gt;=CB$21,CA5&lt;&gt;"",BT5=""),AND(CY5&gt;=DE$21,CY5&lt;&gt;"",CW5=""),AND(DD5&gt;=DE$21,DD5&lt;&gt;"",CW5=""),AND(ED5&gt;=EJ$21,ED5&lt;&gt;""),AND(EI5&gt;=EJ$21,EI5&lt;&gt;""),AND(FF5&gt;=FL$21,FF5&lt;&gt;""),AND(FK5&gt;=FL$21,FK5&lt;&gt;""),AND(GH5&gt;=GN$21,GH5&lt;&gt;""),AND(GM5&gt;=GN$21,GM5&lt;&gt;""),AND(HJ5&gt;=HP$21,HJ5&lt;&gt;""),AND(HO5&gt;=HP$21,HO5&lt;&gt;""),AND(IL5&gt;=IR$21,IL5&lt;&gt;""),AND(IQ5&gt;=IR$21,IQ5&lt;&gt;""),AND(JN5&gt;=JT$21,JN5&lt;&gt;""),AND(JS5&gt;=JT$21,JS5&lt;&gt;""),AND(KP5&gt;=KV$21,KP5&lt;&gt;""),AND(KU5&gt;=KV$21,KU5&lt;&gt;""),AND(LR5&gt;=LX$21,LR5&lt;&gt;""),AND(LW5&gt;=LX$21,LW5&lt;&gt;""),AND(MT5&gt;=MZ$21,MT5&lt;&gt;""),AND(MY5&gt;=MZ$21,MY5&lt;&gt;""),AND(NV5&gt;=OB$21,NV5&lt;&gt;""),AND(OA5&gt;=OB$21,OA5&lt;&gt;""),AND(OX5&gt;=PD$21,OX5&lt;&gt;""),AND(PC5&gt;=PD$21,PC5&lt;&gt;""),AND(PZ5&gt;=QF$21,PZ5&lt;&gt;""),AND(QE5&gt;=QF$21,QE5&lt;&gt;"")),"P","")</f>
        <v>P</v>
      </c>
      <c r="H5" s="70" t="str">
        <f>IF(AND(G5="P",F5=""),"No DD",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Merit",IF(OR(AND(AU5&gt;=AY$19,AV5&gt;=AY$23,AU5&lt;&gt;"",AQ5=""),AND(BX5&gt;=CB$19,BY5&gt;=CB$23,BX5&lt;&gt;"",BT5=""),AND(DA5&gt;=DE$19,DB5&gt;=DE$23,DA5&lt;&gt;"",CW5=""),AND(EF5&gt;=EJ$19,EG5&gt;=EJ$23,EF5&lt;&gt;""),AND(FH5&gt;=FL$19,FI5&gt;=FL$23,FH5&lt;&gt;""),AND(GJ5&gt;=GN$19,GK5&gt;=GN$23,GJ5&lt;&gt;""),AND(HL5&gt;=HP$19,HM5&gt;=HP$23,HL5&lt;&gt;""),AND(IN5&gt;=IR$19,IO5&gt;=IR$23,IN5&lt;&gt;""),AND(JP5&gt;=JT$19,JQ5&gt;=JT$23,JP5&lt;&gt;""),AND(KR5&gt;=KV$19,KS5&gt;=KV$23,KR5&lt;&gt;""),AND(LT5&gt;=LX$19,LU5&gt;=LX$23,LT5&lt;&gt;""),AND(MV5&gt;=MZ$19,MW5&gt;=MZ$23,MV5&lt;&gt;""),AND(NX5&gt;=OB$19,NY5&gt;=OB$23,NX5&lt;&gt;""),AND(OZ5&gt;=PD$19,PA5&gt;=PD$23,OZ5&lt;&gt;""),AND(QB5&gt;=QF$19,QC5&gt;=QF$23,QB5&lt;&gt;"")),"Excellence",IF(I5="P","Worlds Team",IF(F5="P","National Team","")))))</f>
        <v>Worlds Team</v>
      </c>
      <c r="I5" s="3" t="str">
        <f>IF(OR(AND(AU5&gt;=AY$18,AV5&gt;=AY$22,AU5&lt;&gt;"",AQ5=""),AND(BX5&gt;=CB$18,BY5&gt;=CB$22,BX5&lt;&gt;"",BT5=""),AND(DA5&gt;=DE$18,DB5&gt;=DE$22,DA5&lt;&gt;"",CW5=""),AND(EF5&gt;=EJ$18,EG5&gt;=EJ$22,EF5&lt;&gt;""),AND(FH5&gt;=FL$18,FI5&gt;=FL$22,FH5&lt;&gt;""),AND(GJ5&gt;=GN$18,GK5&gt;=GN$22,GJ5&lt;&gt;""),AND(HL5&gt;=HP$18,HM5&gt;=HP$22,HL5&lt;&gt;""),AND(IN5&gt;=IR$18,IO5&gt;=IR$22,IN5&lt;&gt;""),AND(JP5&gt;=JT$18,JQ5&gt;=JT$22,JP5&lt;&gt;""),AND(KR5&gt;=KV$18,KS5&gt;=KV$22,KR5&lt;&gt;""),AND(LT5&gt;=LX$18,LU5&gt;=LX$22,LT5&lt;&gt;""),AND(MV5&gt;=MZ$18,MW5&gt;=MZ$22,MV5&lt;&gt;""),AND(NX5&gt;=OB$18,NY5&gt;=OB$22,NX5&lt;&gt;""),AND(OZ5&gt;=PD$18,PA5&gt;=PD$22,OZ5&lt;&gt;""),AND(QB5&gt;=QF$18,QC5&gt;=QF$22,QB5&lt;&gt;"")),"P","")</f>
        <v>P</v>
      </c>
      <c r="J5" s="13">
        <f>IF(COUNT(AS5,BV5,CY5)&gt;0,LARGE((AS5,BV5,CY5),1),0)</f>
        <v>48.5</v>
      </c>
      <c r="K5" s="13" t="str">
        <f>IF(J5=0,"",IF(J5=CY5,$CC$1,IF(J5=BV5,$AZ$1,IF(J5=AS5,$W$1,""))))</f>
        <v>2022 Elite Canada</v>
      </c>
      <c r="L5" s="13">
        <f>IF(COUNT(AS5,BV5,CY5)&gt;1,LARGE((AS5,BV5,CY5),2),0)</f>
        <v>5.0000000000000002E-5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24.3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49.8</v>
      </c>
      <c r="S5" s="13" t="str">
        <f>IF(R5=0,"",IF(R5=DD5,$CC$1,IF(R5=CA5,$AZ$1,IF(R5=AX5,$W$1,""))))</f>
        <v>2022 Elite Canada</v>
      </c>
      <c r="T5" s="13" t="str">
        <f>IF(MAX(DF5:DH5)&gt;0,MAX(DF5:DH5),"")</f>
        <v/>
      </c>
      <c r="U5" s="16" t="str">
        <f>IF(T5="","",IF(T5=DF5,"("&amp;DF$2&amp;")",IF(T5=DH5,"("&amp;DH$2&amp;")")))</f>
        <v/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/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2.0000000000000002E-5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2.0000000000000002E-5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2.0000000000000002E-5</v>
      </c>
      <c r="BV5" s="16">
        <f>IF(SUM(AZ5:BA5,BC5:BE5,BG5)-BB5-BF5&gt;0,SUM(AZ5:BA5,BC5:BE5,BG5)-BB5-BF5,"")</f>
        <v>5.0000000000000002E-5</v>
      </c>
      <c r="BW5" s="16" t="str">
        <f>IF(SUM(BH5:BI5,BK5)-BJ5&gt;0,SUM(BH5:BI5,BK5)-BJ5,"")</f>
        <v/>
      </c>
      <c r="BX5" s="16">
        <f>IF(SUM(BA5,BE5,BI5)&gt;0,SUM(BA5,BE5,BI5),"")</f>
        <v>2.0000000000000002E-5</v>
      </c>
      <c r="BY5" s="16">
        <f>IF(SUM(BV5,BW5)&gt;0,SUM(BV5,BW5),"")</f>
        <v>5.0000000000000002E-5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48.5</v>
      </c>
      <c r="CZ5" s="76">
        <f>IF(SUM(CK5:CL5,CN5)-CM5&gt;0,SUM(CK5:CL5,CN5)-CM5,"")</f>
        <v>24.3</v>
      </c>
      <c r="DA5" s="76">
        <f>IF(SUM(CD5,CH5,CL5)&gt;0,SUM(CD5,CH5,CL5),"")</f>
        <v>17.600000000000001</v>
      </c>
      <c r="DB5" s="76">
        <f>IF(SUM(CY5,CZ5)&gt;0,SUM(CY5,CZ5),"")</f>
        <v>72.8</v>
      </c>
      <c r="DC5" s="76">
        <f>IF(SUM(CP5,CT5)&gt;0,SUM(CP5,CT5),"")</f>
        <v>11.600000000000001</v>
      </c>
      <c r="DD5" s="76">
        <f>IF(SUM(CO5:CP5,CR5:CT5,CV5)-SUM(CQ5,CU5)&gt;0,SUM(CO5:CP5,CR5:CT5,CV5)-SUM(CQ5,CU5),"")</f>
        <v>49.8</v>
      </c>
      <c r="DE5" s="76">
        <f>IF(SUM(CY5,DD5)&gt;0,SUM(CY5,DD5),"")</f>
        <v>98.3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 t="str">
        <f>IF(SUM(FN5,FR5)&gt;0,SUM(FN5,FR5),"")</f>
        <v/>
      </c>
      <c r="GH5" s="76" t="str">
        <f>IF(SUM(FM5:FN5,FP5:FR5,FT5)-FO5-FS5&gt;0,SUM(FM5:FN5,FP5:FR5,FT5)-FO5-FS5,"")</f>
        <v/>
      </c>
      <c r="GI5" s="76" t="str">
        <f>IF(SUM(FU5:FV5,FX5)-FW5&gt;0,SUM(FU5:FV5,FX5)-FW5,"")</f>
        <v/>
      </c>
      <c r="GJ5" s="76" t="str">
        <f>IF(SUM(FN5,FR5,FV5)&gt;0,SUM(FN5,FR5,FV5),"")</f>
        <v/>
      </c>
      <c r="GK5" s="76" t="str">
        <f>IF(SUM(GH5,GI5)&gt;0,SUM(GH5,GI5),"")</f>
        <v/>
      </c>
      <c r="GL5" s="76" t="str">
        <f>IF(SUM(FZ5,GD5)&gt;0,SUM(FZ5,GD5),"")</f>
        <v/>
      </c>
      <c r="GM5" s="76" t="str">
        <f>IF(SUM(FY5:FZ5,GB5:GD5,GF5)-SUM(GA5,GE5)&gt;0,SUM(FY5:FZ5,GB5:GD5,GF5)-SUM(GA5,GE5),"")</f>
        <v/>
      </c>
      <c r="GN5" s="76" t="str">
        <f>IF(SUM(GH5,GM5)&gt;0,SUM(GH5,GM5),"")</f>
        <v/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9.3000150000000001</v>
      </c>
      <c r="QH5" s="42">
        <f>IF($CW5="P",CD5,(CD5+BA5)/2)</f>
        <v>2.8000099999999999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9.4499999999999993</v>
      </c>
      <c r="QL5" s="42">
        <f>IF($CW5="P",CH5,(CH5+BE5)/2)</f>
        <v>3</v>
      </c>
      <c r="QM5" s="42">
        <f>IF($CW5="P",CI5,(CI5+BF5)/2)</f>
        <v>0</v>
      </c>
      <c r="QN5" s="42">
        <f>IF($CW5="P",CJ5,(CJ5+BG5)/2)</f>
        <v>0</v>
      </c>
      <c r="QO5" s="42">
        <f>IF($CW5="P",CK5,(CK5+BH5)/2)</f>
        <v>9.3000000000000007</v>
      </c>
      <c r="QP5" s="42">
        <f>IF($CW5="P",CL5,(CL5+BI5)/2)</f>
        <v>3</v>
      </c>
      <c r="QQ5" s="42">
        <f>IF($CW5="P",CM5,(CM5+BJ5)/2)</f>
        <v>0.3</v>
      </c>
      <c r="QR5" s="42">
        <f>IF($CW5="P",CN5,(CN5+BK5)/2)</f>
        <v>0.15</v>
      </c>
      <c r="QS5" s="42">
        <f>IF($CW5="P",CO5,(CO5+BL5)/2)</f>
        <v>9.5</v>
      </c>
      <c r="QT5" s="42">
        <f>IF($CW5="P",CP5,(CP5+BM5)/2)</f>
        <v>3.2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9.6</v>
      </c>
      <c r="QX5" s="42">
        <f>IF($CW5="P",CT5,(CT5+BQ5)/2)</f>
        <v>2.6</v>
      </c>
      <c r="QY5" s="42">
        <f>IF($CW5="P",CU5,(CU5+BR5)/2)</f>
        <v>0</v>
      </c>
      <c r="QZ5" s="42">
        <f>IF($CW5="P",CV5,(CV5+BS5)/2)</f>
        <v>0</v>
      </c>
      <c r="RA5" s="51" t="s">
        <v>61</v>
      </c>
      <c r="RB5" s="76">
        <f>IF(SUM(QH5,QL5)&gt;0,SUM(QH5,QL5),"")</f>
        <v>5.8000100000000003</v>
      </c>
      <c r="RC5" s="76">
        <f>IF(SUM(QG5:QH5,QJ5:QL5,QN5)-QI5-QM5&gt;0,SUM(QG5:QH5,QJ5:QL5,QN5)-QI5-QM5,"")</f>
        <v>24.250024999999997</v>
      </c>
      <c r="RD5" s="76">
        <f>IF(SUM(QO5:QP5,QR5)-QQ5&gt;0,SUM(QO5:QP5,QR5)-QQ5,"")</f>
        <v>12.15</v>
      </c>
      <c r="RE5" s="76">
        <f>IF(SUM(QH5,QL5,QP5)&gt;0,SUM(QH5,QL5,QP5),"")</f>
        <v>8.8000100000000003</v>
      </c>
      <c r="RF5" s="76">
        <f>IF(SUM(RC5,RD5)&gt;0,SUM(RC5,RD5),"")</f>
        <v>36.400024999999999</v>
      </c>
      <c r="RG5" s="76">
        <f>IF(SUM(QT5,QX5)&gt;0,SUM(QT5,QX5),"")</f>
        <v>5.8000000000000007</v>
      </c>
      <c r="RH5" s="76">
        <f>IF(SUM(QS5:QT5,QV5:QX5,QZ5)-SUM(QU5,QY5)&gt;0,SUM(QS5:QT5,QV5:QX5,QZ5)-SUM(QU5,QY5),"")</f>
        <v>24.9</v>
      </c>
      <c r="RI5" s="76">
        <f>IF(SUM(RC5,RH5)&gt;0,SUM(RC5,RH5),"")</f>
        <v>49.150024999999999</v>
      </c>
    </row>
    <row r="6" spans="1:477" x14ac:dyDescent="0.2">
      <c r="A6" s="5" cm="1">
        <f t="array" ref="A6">IF(AND(F6="P",G6="P"),SUMPRODUCT((F$4:F$15="P")*(G$4:G$15="P")*(E$4:E$15&gt;E6))+1,IF(G6="P",SUMPRODUCT((F$4:F$15="")*(G$4:G$15="P")*(E$4:E$15&gt;E6))+1+SUMPRODUCT((F$4:F$15="P")*(G$4:G$15="P")),""))</f>
        <v>3</v>
      </c>
      <c r="B6" s="6" t="s">
        <v>93</v>
      </c>
      <c r="C6" s="7" t="s">
        <v>6</v>
      </c>
      <c r="D6" s="18">
        <v>1996</v>
      </c>
      <c r="E6" s="14">
        <f>SUM(J6:T6)+SUM(J6:P6)*0.0000001+SUM(J6)*0.0000000000001</f>
        <v>121.7000672600109</v>
      </c>
      <c r="F6" s="3" t="str">
        <f>IF(OR(AND(AR6&gt;=AY$17,AS6&gt;=AY$21,AR6&lt;&gt;"",AQ6=""),AND(AW6&gt;=AY$17,AX6&gt;=AY$21,AW6&lt;&gt;"",AQ6=""),AND(BU6&gt;=CB$17,BV6&gt;=CB$21,BU6&lt;&gt;"",BT6=""),AND(BZ6&gt;=CB$17,CA6&gt;=CB$21,BZ6&lt;&gt;"",BT6=""),AND(CX6&gt;=DE$17,CY6&gt;=DE$21,CX6&lt;&gt;"",CW6=""),AND(DC6&gt;=DE$17,DD6&gt;=DE$21,DC6&lt;&gt;""),AND(EC6&gt;=EJ$17,ED6&gt;=EJ$21,EC6&lt;&gt;""),AND(EH6&gt;=EJ$17,EI6&gt;=EJ$21,EH6&lt;&gt;""),AND(FE6&gt;=FL$17,FF6&gt;=FL$21,FE6&lt;&gt;""),AND(FJ6&gt;=FL$17,FK6&gt;=FL$21,FJ6&lt;&gt;""),AND(GG6&gt;=GN$17,GH6&gt;=GN$21,GG6&lt;&gt;""),AND(GL6&gt;=GN$17,GM6&gt;=GN$21,GL6&lt;&gt;""),AND(HI6&gt;=HP$17,HJ6&gt;=HP$21,HI6&lt;&gt;""),AND(HN6&gt;=HP$17,HO6&gt;=HP$21,HN6&lt;&gt;""),AND(IK6&gt;=IR$17,IL6&gt;=IR$21,IK6&lt;&gt;""),AND(IP6&gt;=IR$17,IQ6&gt;=IR$21,IP6&lt;&gt;""),AND(JM6&gt;=JT$17,JN6&gt;=JT$21,JM6&lt;&gt;""),AND(JR6&gt;=JT$17,JS6&gt;=JT$21,JR6&lt;&gt;""),AND(KO6&gt;=KV$17,KP6&gt;=KV$21,KO6&lt;&gt;""),AND(KT6&gt;=KV$17,KU6&gt;=KV$21,KT6&lt;&gt;""),AND(LQ6&gt;=LX$17,LR6&gt;=LX$21,LQ6&lt;&gt;""),AND(LV6&gt;=LX$17,LW6&gt;=LX$21,LV6&lt;&gt;""),AND(MS6&gt;=MZ$17,MT6&gt;=MZ$21,MS6&lt;&gt;""),AND(MX6&gt;=MZ$17,MY6&gt;=MZ$21,MX6&lt;&gt;""),AND(NU6&gt;=OB$17,NV6&gt;=OB$21,NU6&lt;&gt;""),AND(NZ6&gt;=OB$17,OA6&gt;=OB$21,NZ6&lt;&gt;""),AND(OW6&gt;=PD$17,OX6&gt;=PD$21,OW6&lt;&gt;""),AND(PB6&gt;=PD$17,PC6&gt;=PD$21,PB6&lt;&gt;""),AND(PY6&gt;=QF$17,PZ6&gt;=QF$21,PY6&lt;&gt;""),AND(QD6&gt;=QF$17,QE6&gt;=QF$21,QD6&lt;&gt;"")),"P","")</f>
        <v>P</v>
      </c>
      <c r="G6" s="3" t="str">
        <f>IF(OR(AND(AS6&gt;=AY$21,AS6&lt;&gt;"",AQ6=""),AND(AX6&gt;=AY$21,AX6&lt;&gt;"",AQ6=""),AND(BV6&gt;=CB$21,BV6&lt;&gt;"",BT6=""),AND(CA6&gt;=CB$21,CA6&lt;&gt;"",BT6=""),AND(CY6&gt;=DE$21,CY6&lt;&gt;"",CW6=""),AND(DD6&gt;=DE$21,DD6&lt;&gt;"",CW6=""),AND(ED6&gt;=EJ$21,ED6&lt;&gt;""),AND(EI6&gt;=EJ$21,EI6&lt;&gt;""),AND(FF6&gt;=FL$21,FF6&lt;&gt;""),AND(FK6&gt;=FL$21,FK6&lt;&gt;""),AND(GH6&gt;=GN$21,GH6&lt;&gt;""),AND(GM6&gt;=GN$21,GM6&lt;&gt;""),AND(HJ6&gt;=HP$21,HJ6&lt;&gt;""),AND(HO6&gt;=HP$21,HO6&lt;&gt;""),AND(IL6&gt;=IR$21,IL6&lt;&gt;""),AND(IQ6&gt;=IR$21,IQ6&lt;&gt;""),AND(JN6&gt;=JT$21,JN6&lt;&gt;""),AND(JS6&gt;=JT$21,JS6&lt;&gt;""),AND(KP6&gt;=KV$21,KP6&lt;&gt;""),AND(KU6&gt;=KV$21,KU6&lt;&gt;""),AND(LR6&gt;=LX$21,LR6&lt;&gt;""),AND(LW6&gt;=LX$21,LW6&lt;&gt;""),AND(MT6&gt;=MZ$21,MT6&lt;&gt;""),AND(MY6&gt;=MZ$21,MY6&lt;&gt;""),AND(NV6&gt;=OB$21,NV6&lt;&gt;""),AND(OA6&gt;=OB$21,OA6&lt;&gt;""),AND(OX6&gt;=PD$21,OX6&lt;&gt;""),AND(PC6&gt;=PD$21,PC6&lt;&gt;""),AND(PZ6&gt;=QF$21,PZ6&lt;&gt;""),AND(QE6&gt;=QF$21,QE6&lt;&gt;"")),"P","")</f>
        <v>P</v>
      </c>
      <c r="H6" s="70" t="str">
        <f>IF(AND(G6="P",F6=""),"No DD",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Merit",IF(OR(AND(AU6&gt;=AY$19,AV6&gt;=AY$23,AU6&lt;&gt;"",AQ6=""),AND(BX6&gt;=CB$19,BY6&gt;=CB$23,BX6&lt;&gt;"",BT6=""),AND(DA6&gt;=DE$19,DB6&gt;=DE$23,DA6&lt;&gt;"",CW6=""),AND(EF6&gt;=EJ$19,EG6&gt;=EJ$23,EF6&lt;&gt;""),AND(FH6&gt;=FL$19,FI6&gt;=FL$23,FH6&lt;&gt;""),AND(GJ6&gt;=GN$19,GK6&gt;=GN$23,GJ6&lt;&gt;""),AND(HL6&gt;=HP$19,HM6&gt;=HP$23,HL6&lt;&gt;""),AND(IN6&gt;=IR$19,IO6&gt;=IR$23,IN6&lt;&gt;""),AND(JP6&gt;=JT$19,JQ6&gt;=JT$23,JP6&lt;&gt;""),AND(KR6&gt;=KV$19,KS6&gt;=KV$23,KR6&lt;&gt;""),AND(LT6&gt;=LX$19,LU6&gt;=LX$23,LT6&lt;&gt;""),AND(MV6&gt;=MZ$19,MW6&gt;=MZ$23,MV6&lt;&gt;""),AND(NX6&gt;=OB$19,NY6&gt;=OB$23,NX6&lt;&gt;""),AND(OZ6&gt;=PD$19,PA6&gt;=PD$23,OZ6&lt;&gt;""),AND(QB6&gt;=QF$19,QC6&gt;=QF$23,QB6&lt;&gt;"")),"Excellence",IF(I6="P","Worlds Team",IF(F6="P","National Team","")))))</f>
        <v>Worlds Team</v>
      </c>
      <c r="I6" s="3" t="str">
        <f>IF(OR(AND(AU6&gt;=AY$18,AV6&gt;=AY$22,AU6&lt;&gt;"",AQ6=""),AND(BX6&gt;=CB$18,BY6&gt;=CB$22,BX6&lt;&gt;"",BT6=""),AND(DA6&gt;=DE$18,DB6&gt;=DE$22,DA6&lt;&gt;"",CW6=""),AND(EF6&gt;=EJ$18,EG6&gt;=EJ$22,EF6&lt;&gt;""),AND(FH6&gt;=FL$18,FI6&gt;=FL$22,FH6&lt;&gt;""),AND(GJ6&gt;=GN$18,GK6&gt;=GN$22,GJ6&lt;&gt;""),AND(HL6&gt;=HP$18,HM6&gt;=HP$22,HL6&lt;&gt;""),AND(IN6&gt;=IR$18,IO6&gt;=IR$22,IN6&lt;&gt;""),AND(JP6&gt;=JT$18,JQ6&gt;=JT$22,JP6&lt;&gt;""),AND(KR6&gt;=KV$18,KS6&gt;=KV$22,KR6&lt;&gt;""),AND(LT6&gt;=LX$18,LU6&gt;=LX$22,LT6&lt;&gt;""),AND(MV6&gt;=MZ$18,MW6&gt;=MZ$22,MV6&lt;&gt;""),AND(NX6&gt;=OB$18,NY6&gt;=OB$22,NX6&lt;&gt;""),AND(OZ6&gt;=PD$18,PA6&gt;=PD$22,OZ6&lt;&gt;""),AND(QB6&gt;=QF$18,QC6&gt;=QF$22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6.0000000000000002E-5</v>
      </c>
      <c r="M6" s="13" t="str">
        <f>IF(L6=0,"",IF(L6=CY6,$CC$1,IF(L6=BV6,$AZ$1,IF(L6=AS6,$W$1,""))))</f>
        <v>2021 Elite Canada</v>
      </c>
      <c r="N6" s="13">
        <f>IF(COUNT(AT6,BW6,CZ6)&gt;0,LARGE((AT6,BW6,CZ6),1),0)</f>
        <v>23.6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>IF(SUM(X6,AB6)&gt;0,SUM(X6,AB6),"")</f>
        <v>3.0000000000000001E-5</v>
      </c>
      <c r="AS6" s="76">
        <f>IF(SUM(W6:X6,Z6:AB6,AD6)-Y6-AC6&gt;0,SUM(W6:X6,Z6:AB6,AD6)-Y6-AC6,"")</f>
        <v>6.0000000000000002E-5</v>
      </c>
      <c r="AT6" s="76" t="str">
        <f>IF(SUM(AE6:AF6,AH6)-AG6&gt;0,SUM(AE6:AF6,AH6)-AG6,"")</f>
        <v/>
      </c>
      <c r="AU6" s="76">
        <f>IF(SUM(X6,AB6,AF6)&gt;0,SUM(X6,AB6,AF6),"")</f>
        <v>3.0000000000000001E-5</v>
      </c>
      <c r="AV6" s="76">
        <f>IF(SUM(AS6,AT6)&gt;0,SUM(AS6,AT6),"")</f>
        <v>6.0000000000000002E-5</v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>
        <f>IF(SUM(AS6,AX6)&gt;0,SUM(AS6,AX6),"")</f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>IF(SUM(BA6,BE6)&gt;0,SUM(BA6,BE6),"")</f>
        <v>1.0000000000000001E-5</v>
      </c>
      <c r="BV6" s="16">
        <f>IF(SUM(AZ6:BA6,BC6:BE6,BG6)-BB6-BF6&gt;0,SUM(AZ6:BA6,BC6:BE6,BG6)-BB6-BF6,"")</f>
        <v>1.0000000000000001E-5</v>
      </c>
      <c r="BW6" s="16" t="str">
        <f>IF(SUM(BH6:BI6,BK6)-BJ6&gt;0,SUM(BH6:BI6,BK6)-BJ6,"")</f>
        <v/>
      </c>
      <c r="BX6" s="16">
        <f>IF(SUM(BA6,BE6,BI6)&gt;0,SUM(BA6,BE6,BI6),"")</f>
        <v>1.0000000000000001E-5</v>
      </c>
      <c r="BY6" s="16">
        <f>IF(SUM(BV6,BW6)&gt;0,SUM(BV6,BW6),"")</f>
        <v>1.0000000000000001E-5</v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>
        <f>IF(SUM(BV6,CA6)&gt;0,SUM(BV6,CA6),"")</f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>IF(SUM(CD6,CH6)&gt;0,SUM(CD6,CH6),"")</f>
        <v>11.600000000000001</v>
      </c>
      <c r="CY6" s="76">
        <f>IF(SUM(CC6:CD6,CF6:CH6,CJ6)-CE6-CI6&gt;0,SUM(CC6:CD6,CF6:CH6,CJ6)-CE6-CI6,"")</f>
        <v>48.999999999999993</v>
      </c>
      <c r="CZ6" s="76">
        <f>IF(SUM(CK6:CL6,CN6)-CM6&gt;0,SUM(CK6:CL6,CN6)-CM6,"")</f>
        <v>23.6</v>
      </c>
      <c r="DA6" s="76">
        <f>IF(SUM(CD6,CH6,CL6)&gt;0,SUM(CD6,CH6,CL6),"")</f>
        <v>16.400000000000002</v>
      </c>
      <c r="DB6" s="76">
        <f>IF(SUM(CY6,CZ6)&gt;0,SUM(CY6,CZ6),"")</f>
        <v>72.599999999999994</v>
      </c>
      <c r="DC6" s="76">
        <f>IF(SUM(CP6,CT6)&gt;0,SUM(CP6,CT6),"")</f>
        <v>11.600000000000001</v>
      </c>
      <c r="DD6" s="76">
        <f>IF(SUM(CO6:CP6,CR6:CT6,CV6)-SUM(CQ6,CU6)&gt;0,SUM(CO6:CP6,CR6:CT6,CV6)-SUM(CQ6,CU6),"")</f>
        <v>49.100000000000009</v>
      </c>
      <c r="DE6" s="76">
        <f>IF(SUM(CY6,DD6)&gt;0,SUM(CY6,DD6),"")</f>
        <v>98.1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9.4499999999999993</v>
      </c>
      <c r="QH6" s="42">
        <f>IF($CW6="P",CD6,(CD6+BA6)/2)</f>
        <v>3.200005</v>
      </c>
      <c r="QI6" s="42">
        <f>IF($CW6="P",CE6,(CE6+BB6)/2)</f>
        <v>0.1</v>
      </c>
      <c r="QJ6" s="42">
        <f>IF($CW6="P",CF6,(CF6+BC6)/2)</f>
        <v>0</v>
      </c>
      <c r="QK6" s="42">
        <f>IF($CW6="P",CG6,(CG6+BD6)/2)</f>
        <v>9.4499999999999993</v>
      </c>
      <c r="QL6" s="42">
        <f>IF($CW6="P",CH6,(CH6+BE6)/2)</f>
        <v>2.6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9.4</v>
      </c>
      <c r="QP6" s="42">
        <f>IF($CW6="P",CL6,(CL6+BI6)/2)</f>
        <v>2.4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9.35</v>
      </c>
      <c r="QT6" s="42">
        <f>IF($CW6="P",CP6,(CP6+BM6)/2)</f>
        <v>3.2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9.4</v>
      </c>
      <c r="QX6" s="42">
        <f>IF($CW6="P",CT6,(CT6+BQ6)/2)</f>
        <v>2.6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5.8000050000000005</v>
      </c>
      <c r="RC6" s="76">
        <f>IF(SUM(QG6:QH6,QJ6:QL6,QN6)-QI6-QM6&gt;0,SUM(QG6:QH6,QJ6:QL6,QN6)-QI6-QM6,"")</f>
        <v>24.500004999999998</v>
      </c>
      <c r="RD6" s="76">
        <f>IF(SUM(QO6:QP6,QR6)-QQ6&gt;0,SUM(QO6:QP6,QR6)-QQ6,"")</f>
        <v>11.8</v>
      </c>
      <c r="RE6" s="76">
        <f>IF(SUM(QH6,QL6,QP6)&gt;0,SUM(QH6,QL6,QP6),"")</f>
        <v>8.2000050000000009</v>
      </c>
      <c r="RF6" s="76">
        <f>IF(SUM(RC6,RD6)&gt;0,SUM(RC6,RD6),"")</f>
        <v>36.300004999999999</v>
      </c>
      <c r="RG6" s="76">
        <f>IF(SUM(QT6,QX6)&gt;0,SUM(QT6,QX6),"")</f>
        <v>5.8000000000000007</v>
      </c>
      <c r="RH6" s="76">
        <f>IF(SUM(QS6:QT6,QV6:QX6,QZ6)-SUM(QU6,QY6)&gt;0,SUM(QS6:QT6,QV6:QX6,QZ6)-SUM(QU6,QY6),"")</f>
        <v>24.550000000000004</v>
      </c>
      <c r="RI6" s="76">
        <f>IF(SUM(RC6,RH6)&gt;0,SUM(RC6,RH6),"")</f>
        <v>49.050004999999999</v>
      </c>
    </row>
    <row r="7" spans="1:477" x14ac:dyDescent="0.2">
      <c r="A7" s="5">
        <f>IF(AND(F7="P",G7="P"),SUMPRODUCT((F$4:F$15="P")*(G$4:G$15="P")*(E$4:E$15&gt;E7))+1,IF(G7="P",SUMPRODUCT((F$4:F$15="")*(G$4:G$15="P")*(E$4:E$15&gt;E7))+1+SUMPRODUCT((F$4:F$15="P")*(G$4:G$15="P")),""))</f>
        <v>4</v>
      </c>
      <c r="B7" s="6" t="s">
        <v>92</v>
      </c>
      <c r="C7" s="7" t="s">
        <v>5</v>
      </c>
      <c r="D7" s="18">
        <v>2003</v>
      </c>
      <c r="E7" s="14">
        <f>SUM(J7:T7)+SUM(J7:P7)*0.0000001+SUM(J7)*0.0000000000001</f>
        <v>120.30000722000493</v>
      </c>
      <c r="F7" s="3" t="str">
        <f>IF(OR(AND(AR7&gt;=AY$17,AS7&gt;=AY$21,AR7&lt;&gt;"",AQ7=""),AND(AW7&gt;=AY$17,AX7&gt;=AY$21,AW7&lt;&gt;"",AQ7=""),AND(BU7&gt;=CB$17,BV7&gt;=CB$21,BU7&lt;&gt;"",BT7=""),AND(BZ7&gt;=CB$17,CA7&gt;=CB$21,BZ7&lt;&gt;"",BT7=""),AND(CX7&gt;=DE$17,CY7&gt;=DE$21,CX7&lt;&gt;"",CW7=""),AND(DC7&gt;=DE$17,DD7&gt;=DE$21,DC7&lt;&gt;""),AND(EC7&gt;=EJ$17,ED7&gt;=EJ$21,EC7&lt;&gt;""),AND(EH7&gt;=EJ$17,EI7&gt;=EJ$21,EH7&lt;&gt;""),AND(FE7&gt;=FL$17,FF7&gt;=FL$21,FE7&lt;&gt;""),AND(FJ7&gt;=FL$17,FK7&gt;=FL$21,FJ7&lt;&gt;""),AND(GG7&gt;=GN$17,GH7&gt;=GN$21,GG7&lt;&gt;""),AND(GL7&gt;=GN$17,GM7&gt;=GN$21,GL7&lt;&gt;""),AND(HI7&gt;=HP$17,HJ7&gt;=HP$21,HI7&lt;&gt;""),AND(HN7&gt;=HP$17,HO7&gt;=HP$21,HN7&lt;&gt;""),AND(IK7&gt;=IR$17,IL7&gt;=IR$21,IK7&lt;&gt;""),AND(IP7&gt;=IR$17,IQ7&gt;=IR$21,IP7&lt;&gt;""),AND(JM7&gt;=JT$17,JN7&gt;=JT$21,JM7&lt;&gt;""),AND(JR7&gt;=JT$17,JS7&gt;=JT$21,JR7&lt;&gt;""),AND(KO7&gt;=KV$17,KP7&gt;=KV$21,KO7&lt;&gt;""),AND(KT7&gt;=KV$17,KU7&gt;=KV$21,KT7&lt;&gt;""),AND(LQ7&gt;=LX$17,LR7&gt;=LX$21,LQ7&lt;&gt;""),AND(LV7&gt;=LX$17,LW7&gt;=LX$21,LV7&lt;&gt;""),AND(MS7&gt;=MZ$17,MT7&gt;=MZ$21,MS7&lt;&gt;""),AND(MX7&gt;=MZ$17,MY7&gt;=MZ$21,MX7&lt;&gt;""),AND(NU7&gt;=OB$17,NV7&gt;=OB$21,NU7&lt;&gt;""),AND(NZ7&gt;=OB$17,OA7&gt;=OB$21,NZ7&lt;&gt;""),AND(OW7&gt;=PD$17,OX7&gt;=PD$21,OW7&lt;&gt;""),AND(PB7&gt;=PD$17,PC7&gt;=PD$21,PB7&lt;&gt;""),AND(PY7&gt;=QF$17,PZ7&gt;=QF$21,PY7&lt;&gt;""),AND(QD7&gt;=QF$17,QE7&gt;=QF$21,QD7&lt;&gt;"")),"P","")</f>
        <v>P</v>
      </c>
      <c r="G7" s="3" t="str">
        <f>IF(OR(AND(AS7&gt;=AY$21,AS7&lt;&gt;"",AQ7=""),AND(AX7&gt;=AY$21,AX7&lt;&gt;"",AQ7=""),AND(BV7&gt;=CB$21,BV7&lt;&gt;"",BT7=""),AND(CA7&gt;=CB$21,CA7&lt;&gt;"",BT7=""),AND(CY7&gt;=DE$21,CY7&lt;&gt;"",CW7=""),AND(DD7&gt;=DE$21,DD7&lt;&gt;"",CW7=""),AND(ED7&gt;=EJ$21,ED7&lt;&gt;""),AND(EI7&gt;=EJ$21,EI7&lt;&gt;""),AND(FF7&gt;=FL$21,FF7&lt;&gt;""),AND(FK7&gt;=FL$21,FK7&lt;&gt;""),AND(GH7&gt;=GN$21,GH7&lt;&gt;""),AND(GM7&gt;=GN$21,GM7&lt;&gt;""),AND(HJ7&gt;=HP$21,HJ7&lt;&gt;""),AND(HO7&gt;=HP$21,HO7&lt;&gt;""),AND(IL7&gt;=IR$21,IL7&lt;&gt;""),AND(IQ7&gt;=IR$21,IQ7&lt;&gt;""),AND(JN7&gt;=JT$21,JN7&lt;&gt;""),AND(JS7&gt;=JT$21,JS7&lt;&gt;""),AND(KP7&gt;=KV$21,KP7&lt;&gt;""),AND(KU7&gt;=KV$21,KU7&lt;&gt;""),AND(LR7&gt;=LX$21,LR7&lt;&gt;""),AND(LW7&gt;=LX$21,LW7&lt;&gt;""),AND(MT7&gt;=MZ$21,MT7&lt;&gt;""),AND(MY7&gt;=MZ$21,MY7&lt;&gt;""),AND(NV7&gt;=OB$21,NV7&lt;&gt;""),AND(OA7&gt;=OB$21,OA7&lt;&gt;""),AND(OX7&gt;=PD$21,OX7&lt;&gt;""),AND(PC7&gt;=PD$21,PC7&lt;&gt;""),AND(PZ7&gt;=QF$21,PZ7&lt;&gt;""),AND(QE7&gt;=QF$21,QE7&lt;&gt;"")),"P","")</f>
        <v>P</v>
      </c>
      <c r="H7" s="70" t="str">
        <f>IF(AND(G7="P",F7=""),"No DD",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Merit",IF(OR(AND(AU7&gt;=AY$19,AV7&gt;=AY$23,AU7&lt;&gt;"",AQ7=""),AND(BX7&gt;=CB$19,BY7&gt;=CB$23,BX7&lt;&gt;"",BT7=""),AND(DA7&gt;=DE$19,DB7&gt;=DE$23,DA7&lt;&gt;"",CW7=""),AND(EF7&gt;=EJ$19,EG7&gt;=EJ$23,EF7&lt;&gt;""),AND(FH7&gt;=FL$19,FI7&gt;=FL$23,FH7&lt;&gt;""),AND(GJ7&gt;=GN$19,GK7&gt;=GN$23,GJ7&lt;&gt;""),AND(HL7&gt;=HP$19,HM7&gt;=HP$23,HL7&lt;&gt;""),AND(IN7&gt;=IR$19,IO7&gt;=IR$23,IN7&lt;&gt;""),AND(JP7&gt;=JT$19,JQ7&gt;=JT$23,JP7&lt;&gt;""),AND(KR7&gt;=KV$19,KS7&gt;=KV$23,KR7&lt;&gt;""),AND(LT7&gt;=LX$19,LU7&gt;=LX$23,LT7&lt;&gt;""),AND(MV7&gt;=MZ$19,MW7&gt;=MZ$23,MV7&lt;&gt;""),AND(NX7&gt;=OB$19,NY7&gt;=OB$23,NX7&lt;&gt;""),AND(OZ7&gt;=PD$19,PA7&gt;=PD$23,OZ7&lt;&gt;""),AND(QB7&gt;=QF$19,QC7&gt;=QF$23,QB7&lt;&gt;"")),"Excellence",IF(I7="P","Worlds Team",IF(F7="P","National Team","")))))</f>
        <v>Worlds Team</v>
      </c>
      <c r="I7" s="3" t="str">
        <f>IF(OR(AND(AU7&gt;=AY$18,AV7&gt;=AY$22,AU7&lt;&gt;"",AQ7=""),AND(BX7&gt;=CB$18,BY7&gt;=CB$22,BX7&lt;&gt;"",BT7=""),AND(DA7&gt;=DE$18,DB7&gt;=DE$22,DA7&lt;&gt;"",CW7=""),AND(EF7&gt;=EJ$18,EG7&gt;=EJ$22,EF7&lt;&gt;""),AND(FH7&gt;=FL$18,FI7&gt;=FL$22,FH7&lt;&gt;""),AND(GJ7&gt;=GN$18,GK7&gt;=GN$22,GJ7&lt;&gt;""),AND(HL7&gt;=HP$18,HM7&gt;=HP$22,HL7&lt;&gt;""),AND(IN7&gt;=IR$18,IO7&gt;=IR$22,IN7&lt;&gt;""),AND(JP7&gt;=JT$18,JQ7&gt;=JT$22,JP7&lt;&gt;""),AND(KR7&gt;=KV$18,KS7&gt;=KV$22,KR7&lt;&gt;""),AND(LT7&gt;=LX$18,LU7&gt;=LX$22,LT7&lt;&gt;""),AND(MV7&gt;=MZ$18,MW7&gt;=MZ$22,MV7&lt;&gt;""),AND(NX7&gt;=OB$18,NY7&gt;=OB$22,NX7&lt;&gt;""),AND(OZ7&gt;=PD$18,PA7&gt;=PD$22,OZ7&lt;&gt;""),AND(QB7&gt;=QF$18,QC7&gt;=QF$22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0</v>
      </c>
      <c r="M7" s="13" t="str">
        <f>IF(L7=0,"",IF(L7=CY7,$CC$1,IF(L7=BV7,$AZ$1,IF(L7=AS7,$W$1,""))))</f>
        <v/>
      </c>
      <c r="N7" s="13">
        <f>IF(COUNT(AT7,BW7,CZ7)&gt;0,LARGE((AT7,BW7,CZ7),1),0)</f>
        <v>22.999999999999996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48.000000000000007</v>
      </c>
      <c r="S7" s="13" t="str">
        <f>IF(R7=0,"",IF(R7=DD7,$CC$1,IF(R7=CA7,$AZ$1,IF(R7=AX7,$W$1,""))))</f>
        <v>2022 Elite Canada</v>
      </c>
      <c r="T7" s="13">
        <f>IF(MAX(DF7:DH7)&gt;0,MAX(DF7:DH7),"")</f>
        <v>9.9999999999994316E-2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>IF(SUM(X7,AB7)&gt;0,SUM(X7,AB7),"")</f>
        <v/>
      </c>
      <c r="AS7" s="76" t="str">
        <f>IF(SUM(W7:X7,Z7:AB7,AD7)-Y7-AC7&gt;0,SUM(W7:X7,Z7:AB7,AD7)-Y7-AC7,"")</f>
        <v/>
      </c>
      <c r="AT7" s="76" t="str">
        <f>IF(SUM(AE7:AF7,AH7)-AG7&gt;0,SUM(AE7:AF7,AH7)-AG7,"")</f>
        <v/>
      </c>
      <c r="AU7" s="76" t="str">
        <f>IF(SUM(X7,AB7,AF7)&gt;0,SUM(X7,AB7,AF7),"")</f>
        <v/>
      </c>
      <c r="AV7" s="76" t="str">
        <f>IF(SUM(AS7,AT7)&gt;0,SUM(AS7,AT7),"")</f>
        <v/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 t="str">
        <f>IF(SUM(AS7,AX7)&gt;0,SUM(AS7,AX7),"")</f>
        <v/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19</v>
      </c>
      <c r="CD7" s="27">
        <v>5.6</v>
      </c>
      <c r="CE7" s="27">
        <v>0</v>
      </c>
      <c r="CF7" s="27">
        <v>0</v>
      </c>
      <c r="CG7" s="27">
        <v>18.600000000000001</v>
      </c>
      <c r="CH7" s="27">
        <v>6</v>
      </c>
      <c r="CI7" s="27">
        <v>0</v>
      </c>
      <c r="CJ7" s="27">
        <v>0</v>
      </c>
      <c r="CK7" s="27">
        <v>18.399999999999999</v>
      </c>
      <c r="CL7" s="27">
        <v>5.2</v>
      </c>
      <c r="CM7" s="27">
        <v>0.6</v>
      </c>
      <c r="CN7" s="27">
        <v>0</v>
      </c>
      <c r="CO7" s="27">
        <v>18.600000000000001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>IF(SUM(CD7,CH7)&gt;0,SUM(CD7,CH7),"")</f>
        <v>11.6</v>
      </c>
      <c r="CY7" s="76">
        <f>IF(SUM(CC7:CD7,CF7:CH7,CJ7)-CE7-CI7&gt;0,SUM(CC7:CD7,CF7:CH7,CJ7)-CE7-CI7,"")</f>
        <v>49.2</v>
      </c>
      <c r="CZ7" s="76">
        <f>IF(SUM(CK7:CL7,CN7)-CM7&gt;0,SUM(CK7:CL7,CN7)-CM7,"")</f>
        <v>22.999999999999996</v>
      </c>
      <c r="DA7" s="76">
        <f>IF(SUM(CD7,CH7,CL7)&gt;0,SUM(CD7,CH7,CL7),"")</f>
        <v>16.8</v>
      </c>
      <c r="DB7" s="76">
        <f>IF(SUM(CY7,CZ7)&gt;0,SUM(CY7,CZ7),"")</f>
        <v>72.2</v>
      </c>
      <c r="DC7" s="76">
        <f>IF(SUM(CP7,CT7)&gt;0,SUM(CP7,CT7),"")</f>
        <v>11.6</v>
      </c>
      <c r="DD7" s="76">
        <f>IF(SUM(CO7:CP7,CR7:CT7,CV7)-SUM(CQ7,CU7)&gt;0,SUM(CO7:CP7,CR7:CT7,CV7)-SUM(CQ7,CU7),"")</f>
        <v>48.000000000000007</v>
      </c>
      <c r="DE7" s="76">
        <f>IF(SUM(CY7,DD7)&gt;0,SUM(CY7,DD7),"")</f>
        <v>97.200000000000017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9.9999999999994316E-2</v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76" t="str">
        <f>IF(SUM(FN7,FR7)&gt;0,SUM(FN7,FR7),"")</f>
        <v/>
      </c>
      <c r="GH7" s="76" t="str">
        <f>IF(SUM(FM7:FN7,FP7:FR7,FT7)-FO7-FS7&gt;0,SUM(FM7:FN7,FP7:FR7,FT7)-FO7-FS7,"")</f>
        <v/>
      </c>
      <c r="GI7" s="76" t="str">
        <f>IF(SUM(FU7:FV7,FX7)-FW7&gt;0,SUM(FU7:FV7,FX7)-FW7,"")</f>
        <v/>
      </c>
      <c r="GJ7" s="76" t="str">
        <f>IF(SUM(FN7,FR7,FV7)&gt;0,SUM(FN7,FR7,FV7),"")</f>
        <v/>
      </c>
      <c r="GK7" s="76" t="str">
        <f>IF(SUM(GH7,GI7)&gt;0,SUM(GH7,GI7),"")</f>
        <v/>
      </c>
      <c r="GL7" s="76" t="str">
        <f>IF(SUM(FZ7,GD7)&gt;0,SUM(FZ7,GD7),"")</f>
        <v/>
      </c>
      <c r="GM7" s="76" t="str">
        <f>IF(SUM(FY7:FZ7,GB7:GD7,GF7)-SUM(GA7,GE7)&gt;0,SUM(FY7:FZ7,GB7:GD7,GF7)-SUM(GA7,GE7),"")</f>
        <v/>
      </c>
      <c r="GN7" s="76" t="str">
        <f>IF(SUM(GH7,GM7)&gt;0,SUM(GH7,GM7),"")</f>
        <v/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9.5</v>
      </c>
      <c r="QH7" s="42">
        <f>IF($CW7="P",CD7,(CD7+BA7)/2)</f>
        <v>2.8</v>
      </c>
      <c r="QI7" s="42">
        <f>IF($CW7="P",CE7,(CE7+BB7)/2)</f>
        <v>0</v>
      </c>
      <c r="QJ7" s="42">
        <f>IF($CW7="P",CF7,(CF7+BC7)/2)</f>
        <v>0</v>
      </c>
      <c r="QK7" s="42">
        <f>IF($CW7="P",CG7,(CG7+BD7)/2)</f>
        <v>9.3000000000000007</v>
      </c>
      <c r="QL7" s="42">
        <f>IF($CW7="P",CH7,(CH7+BE7)/2)</f>
        <v>3</v>
      </c>
      <c r="QM7" s="42">
        <f>IF($CW7="P",CI7,(CI7+BF7)/2)</f>
        <v>0</v>
      </c>
      <c r="QN7" s="42">
        <f>IF($CW7="P",CJ7,(CJ7+BG7)/2)</f>
        <v>0</v>
      </c>
      <c r="QO7" s="42">
        <f>IF($CW7="P",CK7,(CK7+BH7)/2)</f>
        <v>9.1999999999999993</v>
      </c>
      <c r="QP7" s="42">
        <f>IF($CW7="P",CL7,(CL7+BI7)/2)</f>
        <v>2.6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9.3000000000000007</v>
      </c>
      <c r="QT7" s="42">
        <f>IF($CW7="P",CP7,(CP7+BM7)/2)</f>
        <v>2.8</v>
      </c>
      <c r="QU7" s="42">
        <f>IF($CW7="P",CQ7,(CQ7+BN7)/2)</f>
        <v>0</v>
      </c>
      <c r="QV7" s="42">
        <f>IF($CW7="P",CR7,(CR7+BO7)/2)</f>
        <v>0</v>
      </c>
      <c r="QW7" s="42">
        <f>IF($CW7="P",CS7,(CS7+BP7)/2)</f>
        <v>9.3000000000000007</v>
      </c>
      <c r="QX7" s="42">
        <f>IF($CW7="P",CT7,(CT7+BQ7)/2)</f>
        <v>3</v>
      </c>
      <c r="QY7" s="42">
        <f>IF($CW7="P",CU7,(CU7+BR7)/2)</f>
        <v>0.4</v>
      </c>
      <c r="QZ7" s="42">
        <f>IF($CW7="P",CV7,(CV7+BS7)/2)</f>
        <v>0</v>
      </c>
      <c r="RA7" s="51" t="s">
        <v>61</v>
      </c>
      <c r="RB7" s="76">
        <f>IF(SUM(QH7,QL7)&gt;0,SUM(QH7,QL7),"")</f>
        <v>5.8</v>
      </c>
      <c r="RC7" s="76">
        <f>IF(SUM(QG7:QH7,QJ7:QL7,QN7)-QI7-QM7&gt;0,SUM(QG7:QH7,QJ7:QL7,QN7)-QI7-QM7,"")</f>
        <v>24.6</v>
      </c>
      <c r="RD7" s="76">
        <f>IF(SUM(QO7:QP7,QR7)-QQ7&gt;0,SUM(QO7:QP7,QR7)-QQ7,"")</f>
        <v>11.499999999999998</v>
      </c>
      <c r="RE7" s="76">
        <f>IF(SUM(QH7,QL7,QP7)&gt;0,SUM(QH7,QL7,QP7),"")</f>
        <v>8.4</v>
      </c>
      <c r="RF7" s="76">
        <f>IF(SUM(RC7,RD7)&gt;0,SUM(RC7,RD7),"")</f>
        <v>36.1</v>
      </c>
      <c r="RG7" s="76">
        <f>IF(SUM(QT7,QX7)&gt;0,SUM(QT7,QX7),"")</f>
        <v>5.8</v>
      </c>
      <c r="RH7" s="76">
        <f>IF(SUM(QS7:QT7,QV7:QX7,QZ7)-SUM(QU7,QY7)&gt;0,SUM(QS7:QT7,QV7:QX7,QZ7)-SUM(QU7,QY7),"")</f>
        <v>24.000000000000004</v>
      </c>
      <c r="RI7" s="76">
        <f>IF(SUM(RC7,RH7)&gt;0,SUM(RC7,RH7),"")</f>
        <v>48.600000000000009</v>
      </c>
    </row>
    <row r="8" spans="1:477" x14ac:dyDescent="0.2">
      <c r="A8" s="5">
        <f>IF(AND(F8="P",G8="P"),SUMPRODUCT((F$4:F$15="P")*(G$4:G$15="P")*(E$4:E$15&gt;E8))+1,IF(G8="P",SUMPRODUCT((F$4:F$15="")*(G$4:G$15="P")*(E$4:E$15&gt;E8))+1+SUMPRODUCT((F$4:F$15="P")*(G$4:G$15="P")),""))</f>
        <v>5</v>
      </c>
      <c r="B8" s="6" t="s">
        <v>81</v>
      </c>
      <c r="C8" s="7" t="s">
        <v>6</v>
      </c>
      <c r="D8" s="18">
        <v>2001</v>
      </c>
      <c r="E8" s="14">
        <f>SUM(J8:T8)+SUM(J8:P8)*0.0000001+SUM(J8)*0.0000000000001</f>
        <v>119.90002723000684</v>
      </c>
      <c r="F8" s="3" t="str">
        <f>IF(OR(AND(AR8&gt;=AY$17,AS8&gt;=AY$21,AR8&lt;&gt;"",AQ8=""),AND(AW8&gt;=AY$17,AX8&gt;=AY$21,AW8&lt;&gt;"",AQ8=""),AND(BU8&gt;=CB$17,BV8&gt;=CB$21,BU8&lt;&gt;"",BT8=""),AND(BZ8&gt;=CB$17,CA8&gt;=CB$21,BZ8&lt;&gt;"",BT8=""),AND(CX8&gt;=DE$17,CY8&gt;=DE$21,CX8&lt;&gt;"",CW8=""),AND(DC8&gt;=DE$17,DD8&gt;=DE$21,DC8&lt;&gt;""),AND(EC8&gt;=EJ$17,ED8&gt;=EJ$21,EC8&lt;&gt;""),AND(EH8&gt;=EJ$17,EI8&gt;=EJ$21,EH8&lt;&gt;""),AND(FE8&gt;=FL$17,FF8&gt;=FL$21,FE8&lt;&gt;""),AND(FJ8&gt;=FL$17,FK8&gt;=FL$21,FJ8&lt;&gt;""),AND(GG8&gt;=GN$17,GH8&gt;=GN$21,GG8&lt;&gt;""),AND(GL8&gt;=GN$17,GM8&gt;=GN$21,GL8&lt;&gt;""),AND(HI8&gt;=HP$17,HJ8&gt;=HP$21,HI8&lt;&gt;""),AND(HN8&gt;=HP$17,HO8&gt;=HP$21,HN8&lt;&gt;""),AND(IK8&gt;=IR$17,IL8&gt;=IR$21,IK8&lt;&gt;""),AND(IP8&gt;=IR$17,IQ8&gt;=IR$21,IP8&lt;&gt;""),AND(JM8&gt;=JT$17,JN8&gt;=JT$21,JM8&lt;&gt;""),AND(JR8&gt;=JT$17,JS8&gt;=JT$21,JR8&lt;&gt;""),AND(KO8&gt;=KV$17,KP8&gt;=KV$21,KO8&lt;&gt;""),AND(KT8&gt;=KV$17,KU8&gt;=KV$21,KT8&lt;&gt;""),AND(LQ8&gt;=LX$17,LR8&gt;=LX$21,LQ8&lt;&gt;""),AND(LV8&gt;=LX$17,LW8&gt;=LX$21,LV8&lt;&gt;""),AND(MS8&gt;=MZ$17,MT8&gt;=MZ$21,MS8&lt;&gt;""),AND(MX8&gt;=MZ$17,MY8&gt;=MZ$21,MX8&lt;&gt;""),AND(NU8&gt;=OB$17,NV8&gt;=OB$21,NU8&lt;&gt;""),AND(NZ8&gt;=OB$17,OA8&gt;=OB$21,NZ8&lt;&gt;""),AND(OW8&gt;=PD$17,OX8&gt;=PD$21,OW8&lt;&gt;""),AND(PB8&gt;=PD$17,PC8&gt;=PD$21,PB8&lt;&gt;""),AND(PY8&gt;=QF$17,PZ8&gt;=QF$21,PY8&lt;&gt;""),AND(QD8&gt;=QF$17,QE8&gt;=QF$21,QD8&lt;&gt;"")),"P","")</f>
        <v>P</v>
      </c>
      <c r="G8" s="3" t="str">
        <f>IF(OR(AND(AS8&gt;=AY$21,AS8&lt;&gt;"",AQ8=""),AND(AX8&gt;=AY$21,AX8&lt;&gt;"",AQ8=""),AND(BV8&gt;=CB$21,BV8&lt;&gt;"",BT8=""),AND(CA8&gt;=CB$21,CA8&lt;&gt;"",BT8=""),AND(CY8&gt;=DE$21,CY8&lt;&gt;"",CW8=""),AND(DD8&gt;=DE$21,DD8&lt;&gt;"",CW8=""),AND(ED8&gt;=EJ$21,ED8&lt;&gt;""),AND(EI8&gt;=EJ$21,EI8&lt;&gt;""),AND(FF8&gt;=FL$21,FF8&lt;&gt;""),AND(FK8&gt;=FL$21,FK8&lt;&gt;""),AND(GH8&gt;=GN$21,GH8&lt;&gt;""),AND(GM8&gt;=GN$21,GM8&lt;&gt;""),AND(HJ8&gt;=HP$21,HJ8&lt;&gt;""),AND(HO8&gt;=HP$21,HO8&lt;&gt;""),AND(IL8&gt;=IR$21,IL8&lt;&gt;""),AND(IQ8&gt;=IR$21,IQ8&lt;&gt;""),AND(JN8&gt;=JT$21,JN8&lt;&gt;""),AND(JS8&gt;=JT$21,JS8&lt;&gt;""),AND(KP8&gt;=KV$21,KP8&lt;&gt;""),AND(KU8&gt;=KV$21,KU8&lt;&gt;""),AND(LR8&gt;=LX$21,LR8&lt;&gt;""),AND(LW8&gt;=LX$21,LW8&lt;&gt;""),AND(MT8&gt;=MZ$21,MT8&lt;&gt;""),AND(MY8&gt;=MZ$21,MY8&lt;&gt;""),AND(NV8&gt;=OB$21,NV8&lt;&gt;""),AND(OA8&gt;=OB$21,OA8&lt;&gt;""),AND(OX8&gt;=PD$21,OX8&lt;&gt;""),AND(PC8&gt;=PD$21,PC8&lt;&gt;""),AND(PZ8&gt;=QF$21,PZ8&lt;&gt;""),AND(QE8&gt;=QF$21,QE8&lt;&gt;"")),"P","")</f>
        <v>P</v>
      </c>
      <c r="H8" s="70" t="str">
        <f>IF(AND(G8="P",F8=""),"No DD",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Merit",IF(OR(AND(AU8&gt;=AY$19,AV8&gt;=AY$23,AU8&lt;&gt;"",AQ8=""),AND(BX8&gt;=CB$19,BY8&gt;=CB$23,BX8&lt;&gt;"",BT8=""),AND(DA8&gt;=DE$19,DB8&gt;=DE$23,DA8&lt;&gt;"",CW8=""),AND(EF8&gt;=EJ$19,EG8&gt;=EJ$23,EF8&lt;&gt;""),AND(FH8&gt;=FL$19,FI8&gt;=FL$23,FH8&lt;&gt;""),AND(GJ8&gt;=GN$19,GK8&gt;=GN$23,GJ8&lt;&gt;""),AND(HL8&gt;=HP$19,HM8&gt;=HP$23,HL8&lt;&gt;""),AND(IN8&gt;=IR$19,IO8&gt;=IR$23,IN8&lt;&gt;""),AND(JP8&gt;=JT$19,JQ8&gt;=JT$23,JP8&lt;&gt;""),AND(KR8&gt;=KV$19,KS8&gt;=KV$23,KR8&lt;&gt;""),AND(LT8&gt;=LX$19,LU8&gt;=LX$23,LT8&lt;&gt;""),AND(MV8&gt;=MZ$19,MW8&gt;=MZ$23,MV8&lt;&gt;""),AND(NX8&gt;=OB$19,NY8&gt;=OB$23,NX8&lt;&gt;""),AND(OZ8&gt;=PD$19,PA8&gt;=PD$23,OZ8&lt;&gt;""),AND(QB8&gt;=QF$19,QC8&gt;=QF$23,QB8&lt;&gt;"")),"Excellence",IF(I8="P","Worlds Team",IF(F8="P","National Team","")))))</f>
        <v>Worlds Team</v>
      </c>
      <c r="I8" s="3" t="str">
        <f>IF(OR(AND(AU8&gt;=AY$18,AV8&gt;=AY$22,AU8&lt;&gt;"",AQ8=""),AND(BX8&gt;=CB$18,BY8&gt;=CB$22,BX8&lt;&gt;"",BT8=""),AND(DA8&gt;=DE$18,DB8&gt;=DE$22,DA8&lt;&gt;"",CW8=""),AND(EF8&gt;=EJ$18,EG8&gt;=EJ$22,EF8&lt;&gt;""),AND(FH8&gt;=FL$18,FI8&gt;=FL$22,FH8&lt;&gt;""),AND(GJ8&gt;=GN$18,GK8&gt;=GN$22,GJ8&lt;&gt;""),AND(HL8&gt;=HP$18,HM8&gt;=HP$22,HL8&lt;&gt;""),AND(IN8&gt;=IR$18,IO8&gt;=IR$22,IN8&lt;&gt;""),AND(JP8&gt;=JT$18,JQ8&gt;=JT$22,JP8&lt;&gt;""),AND(KR8&gt;=KV$18,KS8&gt;=KV$22,KR8&lt;&gt;""),AND(LT8&gt;=LX$18,LU8&gt;=LX$22,LT8&lt;&gt;""),AND(MV8&gt;=MZ$18,MW8&gt;=MZ$22,MV8&lt;&gt;""),AND(NX8&gt;=OB$18,NY8&gt;=OB$22,NX8&lt;&gt;""),AND(OZ8&gt;=PD$18,PA8&gt;=PD$22,OZ8&lt;&gt;""),AND(QB8&gt;=QF$18,QC8&gt;=QF$22,QB8&lt;&gt;"")),"P","")</f>
        <v>P</v>
      </c>
      <c r="J8" s="13">
        <f>IF(COUNT(AS8,BV8,CY8)&gt;0,LARGE((AS8,BV8,CY8),1),0)</f>
        <v>48.5</v>
      </c>
      <c r="K8" s="13" t="str">
        <f>IF(J8=0,"",IF(J8=CY8,$CC$1,IF(J8=BV8,$AZ$1,IF(J8=AS8,$W$1,""))))</f>
        <v>2022 Elite Canada</v>
      </c>
      <c r="L8" s="13">
        <f>IF(COUNT(AS8,BV8,CY8)&gt;1,LARGE((AS8,BV8,CY8),2),0)</f>
        <v>2.0000000000000002E-5</v>
      </c>
      <c r="M8" s="13" t="str">
        <f>IF(L8=0,"",IF(L8=CY8,$CC$1,IF(L8=BV8,$AZ$1,IF(L8=AS8,$W$1,""))))</f>
        <v>2021 Canadian Championships</v>
      </c>
      <c r="N8" s="13">
        <f>IF(COUNT(AT8,BW8,CZ8)&gt;0,LARGE((AT8,BW8,CZ8),1),0)</f>
        <v>23.8</v>
      </c>
      <c r="O8" s="13" t="str">
        <f>IF(N8=0,"",IF(N8=CZ8,$CC$1,IF(N8=BW8,$AZ$1,IF(N8=AT8,$W$1,""))))</f>
        <v>2022 Elite Canada</v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47.5</v>
      </c>
      <c r="S8" s="13" t="str">
        <f>IF(R8=0,"",IF(R8=DD8,$CC$1,IF(R8=CA8,$AZ$1,IF(R8=AX8,$W$1,""))))</f>
        <v>2022 Elite Canada</v>
      </c>
      <c r="T8" s="13">
        <f>IF(MAX(DF8:DH8)&gt;0,MAX(DF8:DH8),"")</f>
        <v>9.9999999999994316E-2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>
        <v>1.0000000000000001E-5</v>
      </c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>
        <f>IF(SUM(X8,AB8)&gt;0,SUM(X8,AB8),"")</f>
        <v>1.0000000000000001E-5</v>
      </c>
      <c r="AS8" s="76">
        <f>IF(SUM(W8:X8,Z8:AB8,AD8)-Y8-AC8&gt;0,SUM(W8:X8,Z8:AB8,AD8)-Y8-AC8,"")</f>
        <v>1.0000000000000001E-5</v>
      </c>
      <c r="AT8" s="76" t="str">
        <f>IF(SUM(AE8:AF8,AH8)-AG8&gt;0,SUM(AE8:AF8,AH8)-AG8,"")</f>
        <v/>
      </c>
      <c r="AU8" s="76">
        <f>IF(SUM(X8,AB8,AF8)&gt;0,SUM(X8,AB8,AF8),"")</f>
        <v>1.0000000000000001E-5</v>
      </c>
      <c r="AV8" s="76">
        <f>IF(SUM(AS8,AT8)&gt;0,SUM(AS8,AT8),"")</f>
        <v>1.0000000000000001E-5</v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>
        <f>IF(SUM(AS8,AX8)&gt;0,SUM(AS8,AX8),"")</f>
        <v>1.0000000000000001E-5</v>
      </c>
      <c r="AZ8" s="26"/>
      <c r="BA8" s="26">
        <v>2.0000000000000002E-5</v>
      </c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>
        <f>IF(SUM(BA8,BE8)&gt;0,SUM(BA8,BE8),"")</f>
        <v>2.0000000000000002E-5</v>
      </c>
      <c r="BV8" s="16">
        <f>IF(SUM(AZ8:BA8,BC8:BE8,BG8)-BB8-BF8&gt;0,SUM(AZ8:BA8,BC8:BE8,BG8)-BB8-BF8,"")</f>
        <v>2.0000000000000002E-5</v>
      </c>
      <c r="BW8" s="16" t="str">
        <f>IF(SUM(BH8:BI8,BK8)-BJ8&gt;0,SUM(BH8:BI8,BK8)-BJ8,"")</f>
        <v/>
      </c>
      <c r="BX8" s="16">
        <f>IF(SUM(BA8,BE8,BI8)&gt;0,SUM(BA8,BE8,BI8),"")</f>
        <v>2.0000000000000002E-5</v>
      </c>
      <c r="BY8" s="16">
        <f>IF(SUM(BV8,BW8)&gt;0,SUM(BV8,BW8),"")</f>
        <v>2.0000000000000002E-5</v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>
        <f>IF(SUM(BV8,CA8)&gt;0,SUM(BV8,CA8),"")</f>
        <v>2.0000000000000002E-5</v>
      </c>
      <c r="CC8" s="27">
        <v>18.600000000000001</v>
      </c>
      <c r="CD8" s="27">
        <v>5.6</v>
      </c>
      <c r="CE8" s="27">
        <v>0.2</v>
      </c>
      <c r="CF8" s="27">
        <v>0</v>
      </c>
      <c r="CG8" s="27">
        <v>18.5</v>
      </c>
      <c r="CH8" s="27">
        <v>6</v>
      </c>
      <c r="CI8" s="27">
        <v>0</v>
      </c>
      <c r="CJ8" s="27">
        <v>0</v>
      </c>
      <c r="CK8" s="27">
        <v>19</v>
      </c>
      <c r="CL8" s="27">
        <v>4.8</v>
      </c>
      <c r="CM8" s="27">
        <v>0</v>
      </c>
      <c r="CN8" s="27">
        <v>0</v>
      </c>
      <c r="CO8" s="27">
        <v>18.3</v>
      </c>
      <c r="CP8" s="27">
        <v>5.6</v>
      </c>
      <c r="CQ8" s="27">
        <v>0.2</v>
      </c>
      <c r="CR8" s="27">
        <v>0</v>
      </c>
      <c r="CS8" s="27">
        <v>18</v>
      </c>
      <c r="CT8" s="27">
        <v>6</v>
      </c>
      <c r="CU8" s="27">
        <v>0.2</v>
      </c>
      <c r="CV8" s="27">
        <v>0</v>
      </c>
      <c r="CW8" s="51"/>
      <c r="CX8" s="76">
        <f>IF(SUM(CD8,CH8)&gt;0,SUM(CD8,CH8),"")</f>
        <v>11.6</v>
      </c>
      <c r="CY8" s="76">
        <f>IF(SUM(CC8:CD8,CF8:CH8,CJ8)-CE8-CI8&gt;0,SUM(CC8:CD8,CF8:CH8,CJ8)-CE8-CI8,"")</f>
        <v>48.5</v>
      </c>
      <c r="CZ8" s="76">
        <f>IF(SUM(CK8:CL8,CN8)-CM8&gt;0,SUM(CK8:CL8,CN8)-CM8,"")</f>
        <v>23.8</v>
      </c>
      <c r="DA8" s="76">
        <f>IF(SUM(CD8,CH8,CL8)&gt;0,SUM(CD8,CH8,CL8),"")</f>
        <v>16.399999999999999</v>
      </c>
      <c r="DB8" s="76">
        <f>IF(SUM(CY8,CZ8)&gt;0,SUM(CY8,CZ8),"")</f>
        <v>72.3</v>
      </c>
      <c r="DC8" s="76">
        <f>IF(SUM(CP8,CT8)&gt;0,SUM(CP8,CT8),"")</f>
        <v>11.6</v>
      </c>
      <c r="DD8" s="76">
        <f>IF(SUM(CO8:CP8,CR8:CT8,CV8)-SUM(CQ8,CU8)&gt;0,SUM(CO8:CP8,CR8:CT8,CV8)-SUM(CQ8,CU8),"")</f>
        <v>47.5</v>
      </c>
      <c r="DE8" s="76">
        <f>IF(SUM(CY8,DD8)&gt;0,SUM(CY8,DD8),"")</f>
        <v>96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9.9999999999994316E-2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5.6</v>
      </c>
      <c r="EM8" s="26">
        <v>0</v>
      </c>
      <c r="EN8" s="26">
        <v>0</v>
      </c>
      <c r="EO8" s="26">
        <v>18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</v>
      </c>
      <c r="EX8" s="26">
        <v>5.6</v>
      </c>
      <c r="EY8" s="26">
        <v>0.2</v>
      </c>
      <c r="EZ8" s="26">
        <v>0</v>
      </c>
      <c r="FA8" s="26">
        <v>18.2</v>
      </c>
      <c r="FB8" s="26">
        <v>6</v>
      </c>
      <c r="FC8" s="26">
        <v>0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47.6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47.6</v>
      </c>
      <c r="FJ8" s="16">
        <f>IF(SUM(EX8,FB8)&gt;0,SUM(EX8,FB8),"")</f>
        <v>11.6</v>
      </c>
      <c r="FK8" s="16">
        <f>IF(SUM(EW8:EX8,EZ8:FB8,FD8)-SUM(EY8,FC8)&gt;0,SUM(EW8:EX8,EZ8:FB8,FD8)-SUM(EY8,FC8),"")</f>
        <v>47.599999999999994</v>
      </c>
      <c r="FL8" s="16">
        <f>IF(SUM(FF8,FK8)&gt;0,SUM(FF8,FK8),"")</f>
        <v>95.199999999999989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>IF(SUM(FN8,FR8)&gt;0,SUM(FN8,FR8),"")</f>
        <v/>
      </c>
      <c r="GH8" s="76" t="str">
        <f>IF(SUM(FM8:FN8,FP8:FR8,FT8)-FO8-FS8&gt;0,SUM(FM8:FN8,FP8:FR8,FT8)-FO8-FS8,"")</f>
        <v/>
      </c>
      <c r="GI8" s="76" t="str">
        <f>IF(SUM(FU8:FV8,FX8)-FW8&gt;0,SUM(FU8:FV8,FX8)-FW8,"")</f>
        <v/>
      </c>
      <c r="GJ8" s="76" t="str">
        <f>IF(SUM(FN8,FR8,FV8)&gt;0,SUM(FN8,FR8,FV8),"")</f>
        <v/>
      </c>
      <c r="GK8" s="76" t="str">
        <f>IF(SUM(GH8,GI8)&gt;0,SUM(GH8,GI8),"")</f>
        <v/>
      </c>
      <c r="GL8" s="76" t="str">
        <f>IF(SUM(FZ8,GD8)&gt;0,SUM(FZ8,GD8),"")</f>
        <v/>
      </c>
      <c r="GM8" s="76" t="str">
        <f>IF(SUM(FY8:FZ8,GB8:GD8,GF8)-SUM(GA8,GE8)&gt;0,SUM(FY8:FZ8,GB8:GD8,GF8)-SUM(GA8,GE8),"")</f>
        <v/>
      </c>
      <c r="GN8" s="76" t="str">
        <f>IF(SUM(GH8,GM8)&gt;0,SUM(GH8,GM8),"")</f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9.3000000000000007</v>
      </c>
      <c r="QH8" s="42">
        <f>IF($CW8="P",CD8,(CD8+BA8)/2)</f>
        <v>2.8000099999999999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9.25</v>
      </c>
      <c r="QL8" s="42">
        <f>IF($CW8="P",CH8,(CH8+BE8)/2)</f>
        <v>3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9.5</v>
      </c>
      <c r="QP8" s="42">
        <f>IF($CW8="P",CL8,(CL8+BI8)/2)</f>
        <v>2.4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9.15</v>
      </c>
      <c r="QT8" s="42">
        <f>IF($CW8="P",CP8,(CP8+BM8)/2)</f>
        <v>2.8</v>
      </c>
      <c r="QU8" s="42">
        <f>IF($CW8="P",CQ8,(CQ8+BN8)/2)</f>
        <v>0.1</v>
      </c>
      <c r="QV8" s="42">
        <f>IF($CW8="P",CR8,(CR8+BO8)/2)</f>
        <v>0</v>
      </c>
      <c r="QW8" s="42">
        <f>IF($CW8="P",CS8,(CS8+BP8)/2)</f>
        <v>9</v>
      </c>
      <c r="QX8" s="42">
        <f>IF($CW8="P",CT8,(CT8+BQ8)/2)</f>
        <v>3</v>
      </c>
      <c r="QY8" s="42">
        <f>IF($CW8="P",CU8,(CU8+BR8)/2)</f>
        <v>0.1</v>
      </c>
      <c r="QZ8" s="42">
        <f>IF($CW8="P",CV8,(CV8+BS8)/2)</f>
        <v>0</v>
      </c>
      <c r="RA8" s="51" t="s">
        <v>61</v>
      </c>
      <c r="RB8" s="76">
        <f>IF(SUM(QH8,QL8)&gt;0,SUM(QH8,QL8),"")</f>
        <v>5.8000100000000003</v>
      </c>
      <c r="RC8" s="76">
        <f>IF(SUM(QG8:QH8,QJ8:QL8,QN8)-QI8-QM8&gt;0,SUM(QG8:QH8,QJ8:QL8,QN8)-QI8-QM8,"")</f>
        <v>24.25001</v>
      </c>
      <c r="RD8" s="76">
        <f>IF(SUM(QO8:QP8,QR8)-QQ8&gt;0,SUM(QO8:QP8,QR8)-QQ8,"")</f>
        <v>11.9</v>
      </c>
      <c r="RE8" s="76">
        <f>IF(SUM(QH8,QL8,QP8)&gt;0,SUM(QH8,QL8,QP8),"")</f>
        <v>8.2000100000000007</v>
      </c>
      <c r="RF8" s="76">
        <f>IF(SUM(RC8,RD8)&gt;0,SUM(RC8,RD8),"")</f>
        <v>36.150010000000002</v>
      </c>
      <c r="RG8" s="76">
        <f>IF(SUM(QT8,QX8)&gt;0,SUM(QT8,QX8),"")</f>
        <v>5.8</v>
      </c>
      <c r="RH8" s="76">
        <f>IF(SUM(QS8:QT8,QV8:QX8,QZ8)-SUM(QU8,QY8)&gt;0,SUM(QS8:QT8,QV8:QX8,QZ8)-SUM(QU8,QY8),"")</f>
        <v>23.75</v>
      </c>
      <c r="RI8" s="76">
        <f>IF(SUM(RC8,RH8)&gt;0,SUM(RC8,RH8),"")</f>
        <v>48.000010000000003</v>
      </c>
    </row>
    <row r="9" spans="1:477" x14ac:dyDescent="0.2">
      <c r="A9" s="5">
        <f>IF(AND(F9="P",G9="P"),SUMPRODUCT((F$4:F$15="P")*(G$4:G$15="P")*(E$4:E$15&gt;E9))+1,IF(G9="P",SUMPRODUCT((F$4:F$15="")*(G$4:G$15="P")*(E$4:E$15&gt;E9))+1+SUMPRODUCT((F$4:F$15="P")*(G$4:G$15="P")),""))</f>
        <v>6</v>
      </c>
      <c r="B9" s="6" t="s">
        <v>113</v>
      </c>
      <c r="C9" s="7" t="s">
        <v>5</v>
      </c>
      <c r="D9" s="18">
        <v>1999</v>
      </c>
      <c r="E9" s="14">
        <f>SUM(J9:T9)+SUM(J9:P9)*0.0000001+SUM(J9)*0.0000000000001</f>
        <v>117.6000068800045</v>
      </c>
      <c r="F9" s="3" t="str">
        <f>IF(OR(AND(AR9&gt;=AY$17,AS9&gt;=AY$21,AR9&lt;&gt;"",AQ9=""),AND(AW9&gt;=AY$17,AX9&gt;=AY$21,AW9&lt;&gt;"",AQ9=""),AND(BU9&gt;=CB$17,BV9&gt;=CB$21,BU9&lt;&gt;"",BT9=""),AND(BZ9&gt;=CB$17,CA9&gt;=CB$21,BZ9&lt;&gt;"",BT9=""),AND(CX9&gt;=DE$17,CY9&gt;=DE$21,CX9&lt;&gt;"",CW9=""),AND(DC9&gt;=DE$17,DD9&gt;=DE$21,DC9&lt;&gt;""),AND(EC9&gt;=EJ$17,ED9&gt;=EJ$21,EC9&lt;&gt;""),AND(EH9&gt;=EJ$17,EI9&gt;=EJ$21,EH9&lt;&gt;""),AND(FE9&gt;=FL$17,FF9&gt;=FL$21,FE9&lt;&gt;""),AND(FJ9&gt;=FL$17,FK9&gt;=FL$21,FJ9&lt;&gt;""),AND(GG9&gt;=GN$17,GH9&gt;=GN$21,GG9&lt;&gt;""),AND(GL9&gt;=GN$17,GM9&gt;=GN$21,GL9&lt;&gt;""),AND(HI9&gt;=HP$17,HJ9&gt;=HP$21,HI9&lt;&gt;""),AND(HN9&gt;=HP$17,HO9&gt;=HP$21,HN9&lt;&gt;""),AND(IK9&gt;=IR$17,IL9&gt;=IR$21,IK9&lt;&gt;""),AND(IP9&gt;=IR$17,IQ9&gt;=IR$21,IP9&lt;&gt;""),AND(JM9&gt;=JT$17,JN9&gt;=JT$21,JM9&lt;&gt;""),AND(JR9&gt;=JT$17,JS9&gt;=JT$21,JR9&lt;&gt;""),AND(KO9&gt;=KV$17,KP9&gt;=KV$21,KO9&lt;&gt;""),AND(KT9&gt;=KV$17,KU9&gt;=KV$21,KT9&lt;&gt;""),AND(LQ9&gt;=LX$17,LR9&gt;=LX$21,LQ9&lt;&gt;""),AND(LV9&gt;=LX$17,LW9&gt;=LX$21,LV9&lt;&gt;""),AND(MS9&gt;=MZ$17,MT9&gt;=MZ$21,MS9&lt;&gt;""),AND(MX9&gt;=MZ$17,MY9&gt;=MZ$21,MX9&lt;&gt;""),AND(NU9&gt;=OB$17,NV9&gt;=OB$21,NU9&lt;&gt;""),AND(NZ9&gt;=OB$17,OA9&gt;=OB$21,NZ9&lt;&gt;""),AND(OW9&gt;=PD$17,OX9&gt;=PD$21,OW9&lt;&gt;""),AND(PB9&gt;=PD$17,PC9&gt;=PD$21,PB9&lt;&gt;""),AND(PY9&gt;=QF$17,PZ9&gt;=QF$21,PY9&lt;&gt;""),AND(QD9&gt;=QF$17,QE9&gt;=QF$21,QD9&lt;&gt;"")),"P","")</f>
        <v>P</v>
      </c>
      <c r="G9" s="3" t="str">
        <f>IF(OR(AND(AS9&gt;=AY$21,AS9&lt;&gt;"",AQ9=""),AND(AX9&gt;=AY$21,AX9&lt;&gt;"",AQ9=""),AND(BV9&gt;=CB$21,BV9&lt;&gt;"",BT9=""),AND(CA9&gt;=CB$21,CA9&lt;&gt;"",BT9=""),AND(CY9&gt;=DE$21,CY9&lt;&gt;"",CW9=""),AND(DD9&gt;=DE$21,DD9&lt;&gt;"",CW9=""),AND(ED9&gt;=EJ$21,ED9&lt;&gt;""),AND(EI9&gt;=EJ$21,EI9&lt;&gt;""),AND(FF9&gt;=FL$21,FF9&lt;&gt;""),AND(FK9&gt;=FL$21,FK9&lt;&gt;""),AND(GH9&gt;=GN$21,GH9&lt;&gt;""),AND(GM9&gt;=GN$21,GM9&lt;&gt;""),AND(HJ9&gt;=HP$21,HJ9&lt;&gt;""),AND(HO9&gt;=HP$21,HO9&lt;&gt;""),AND(IL9&gt;=IR$21,IL9&lt;&gt;""),AND(IQ9&gt;=IR$21,IQ9&lt;&gt;""),AND(JN9&gt;=JT$21,JN9&lt;&gt;""),AND(JS9&gt;=JT$21,JS9&lt;&gt;""),AND(KP9&gt;=KV$21,KP9&lt;&gt;""),AND(KU9&gt;=KV$21,KU9&lt;&gt;""),AND(LR9&gt;=LX$21,LR9&lt;&gt;""),AND(LW9&gt;=LX$21,LW9&lt;&gt;""),AND(MT9&gt;=MZ$21,MT9&lt;&gt;""),AND(MY9&gt;=MZ$21,MY9&lt;&gt;""),AND(NV9&gt;=OB$21,NV9&lt;&gt;""),AND(OA9&gt;=OB$21,OA9&lt;&gt;""),AND(OX9&gt;=PD$21,OX9&lt;&gt;""),AND(PC9&gt;=PD$21,PC9&lt;&gt;""),AND(PZ9&gt;=QF$21,PZ9&lt;&gt;""),AND(QE9&gt;=QF$21,QE9&lt;&gt;"")),"P","")</f>
        <v>P</v>
      </c>
      <c r="H9" s="70" t="str">
        <f>IF(AND(G9="P",F9=""),"No DD",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Merit",IF(OR(AND(AU9&gt;=AY$19,AV9&gt;=AY$23,AU9&lt;&gt;"",AQ9=""),AND(BX9&gt;=CB$19,BY9&gt;=CB$23,BX9&lt;&gt;"",BT9=""),AND(DA9&gt;=DE$19,DB9&gt;=DE$23,DA9&lt;&gt;"",CW9=""),AND(EF9&gt;=EJ$19,EG9&gt;=EJ$23,EF9&lt;&gt;""),AND(FH9&gt;=FL$19,FI9&gt;=FL$23,FH9&lt;&gt;""),AND(GJ9&gt;=GN$19,GK9&gt;=GN$23,GJ9&lt;&gt;""),AND(HL9&gt;=HP$19,HM9&gt;=HP$23,HL9&lt;&gt;""),AND(IN9&gt;=IR$19,IO9&gt;=IR$23,IN9&lt;&gt;""),AND(JP9&gt;=JT$19,JQ9&gt;=JT$23,JP9&lt;&gt;""),AND(KR9&gt;=KV$19,KS9&gt;=KV$23,KR9&lt;&gt;""),AND(LT9&gt;=LX$19,LU9&gt;=LX$23,LT9&lt;&gt;""),AND(MV9&gt;=MZ$19,MW9&gt;=MZ$23,MV9&lt;&gt;""),AND(NX9&gt;=OB$19,NY9&gt;=OB$23,NX9&lt;&gt;""),AND(OZ9&gt;=PD$19,PA9&gt;=PD$23,OZ9&lt;&gt;""),AND(QB9&gt;=QF$19,QC9&gt;=QF$23,QB9&lt;&gt;"")),"Excellence",IF(I9="P","Worlds Team",IF(F9="P","National Team","")))))</f>
        <v>National Team</v>
      </c>
      <c r="I9" s="3" t="str">
        <f>IF(OR(AND(AU9&gt;=AY$18,AV9&gt;=AY$22,AU9&lt;&gt;"",AQ9=""),AND(BX9&gt;=CB$18,BY9&gt;=CB$22,BX9&lt;&gt;"",BT9=""),AND(DA9&gt;=DE$18,DB9&gt;=DE$22,DA9&lt;&gt;"",CW9=""),AND(EF9&gt;=EJ$18,EG9&gt;=EJ$22,EF9&lt;&gt;""),AND(FH9&gt;=FL$18,FI9&gt;=FL$22,FH9&lt;&gt;""),AND(GJ9&gt;=GN$18,GK9&gt;=GN$22,GJ9&lt;&gt;""),AND(HL9&gt;=HP$18,HM9&gt;=HP$22,HL9&lt;&gt;""),AND(IN9&gt;=IR$18,IO9&gt;=IR$22,IN9&lt;&gt;""),AND(JP9&gt;=JT$18,JQ9&gt;=JT$22,JP9&lt;&gt;""),AND(KR9&gt;=KV$18,KS9&gt;=KV$22,KR9&lt;&gt;""),AND(LT9&gt;=LX$18,LU9&gt;=LX$22,LT9&lt;&gt;""),AND(MV9&gt;=MZ$18,MW9&gt;=MZ$22,MV9&lt;&gt;""),AND(NX9&gt;=OB$18,NY9&gt;=OB$22,NX9&lt;&gt;""),AND(OZ9&gt;=PD$18,PA9&gt;=PD$22,OZ9&lt;&gt;""),AND(QB9&gt;=QF$18,QC9&gt;=QF$22,QB9&lt;&gt;"")),"P","")</f>
        <v/>
      </c>
      <c r="J9" s="13">
        <f>IF(COUNT(AS9,BV9,CY9)&gt;0,LARGE((AS9,BV9,CY9),1),0)</f>
        <v>45.099999999999994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23.7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48.8</v>
      </c>
      <c r="S9" s="13" t="str">
        <f>IF(R9=0,"",IF(R9=DD9,$CC$1,IF(R9=CA9,$AZ$1,IF(R9=AX9,$W$1,""))))</f>
        <v>2022 Elite Canada</v>
      </c>
      <c r="T9" s="13" t="str">
        <f>IF(MAX(DF9:DH9)&gt;0,MAX(DF9:DH9),"")</f>
        <v/>
      </c>
      <c r="U9" s="16" t="str">
        <f>IF(T9="","",IF(T9=DF9,"("&amp;DF$2&amp;")",IF(T9=DH9,"("&amp;DH$2&amp;")")))</f>
        <v/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/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18.7</v>
      </c>
      <c r="CD9" s="27">
        <v>5.6</v>
      </c>
      <c r="CE9" s="27">
        <v>0</v>
      </c>
      <c r="CF9" s="27">
        <v>0</v>
      </c>
      <c r="CG9" s="27">
        <v>18.600000000000001</v>
      </c>
      <c r="CH9" s="27">
        <v>3.3</v>
      </c>
      <c r="CI9" s="27">
        <v>1.1000000000000001</v>
      </c>
      <c r="CJ9" s="27">
        <v>0</v>
      </c>
      <c r="CK9" s="27">
        <v>19.100000000000001</v>
      </c>
      <c r="CL9" s="27">
        <v>5.2</v>
      </c>
      <c r="CM9" s="27">
        <v>0.6</v>
      </c>
      <c r="CN9" s="27">
        <v>0</v>
      </c>
      <c r="CO9" s="27">
        <v>18.7</v>
      </c>
      <c r="CP9" s="27">
        <v>5.6</v>
      </c>
      <c r="CQ9" s="27">
        <v>0</v>
      </c>
      <c r="CR9" s="27">
        <v>0</v>
      </c>
      <c r="CS9" s="27">
        <v>18.899999999999999</v>
      </c>
      <c r="CT9" s="27">
        <v>5.6</v>
      </c>
      <c r="CU9" s="27">
        <v>0</v>
      </c>
      <c r="CV9" s="27">
        <v>0</v>
      </c>
      <c r="CW9" s="51"/>
      <c r="CX9" s="76">
        <f>IF(SUM(CD9,CH9)&gt;0,SUM(CD9,CH9),"")</f>
        <v>8.8999999999999986</v>
      </c>
      <c r="CY9" s="76">
        <f>IF(SUM(CC9:CD9,CF9:CH9,CJ9)-CE9-CI9&gt;0,SUM(CC9:CD9,CF9:CH9,CJ9)-CE9-CI9,"")</f>
        <v>45.099999999999994</v>
      </c>
      <c r="CZ9" s="76">
        <f>IF(SUM(CK9:CL9,CN9)-CM9&gt;0,SUM(CK9:CL9,CN9)-CM9,"")</f>
        <v>23.7</v>
      </c>
      <c r="DA9" s="76">
        <f>IF(SUM(CD9,CH9,CL9)&gt;0,SUM(CD9,CH9,CL9),"")</f>
        <v>14.099999999999998</v>
      </c>
      <c r="DB9" s="76">
        <f>IF(SUM(CY9,CZ9)&gt;0,SUM(CY9,CZ9),"")</f>
        <v>68.8</v>
      </c>
      <c r="DC9" s="76">
        <f>IF(SUM(CP9,CT9)&gt;0,SUM(CP9,CT9),"")</f>
        <v>11.2</v>
      </c>
      <c r="DD9" s="76">
        <f>IF(SUM(CO9:CP9,CR9:CT9,CV9)-SUM(CQ9,CU9)&gt;0,SUM(CO9:CP9,CR9:CT9,CV9)-SUM(CQ9,CU9),"")</f>
        <v>48.8</v>
      </c>
      <c r="DE9" s="76">
        <f>IF(SUM(CY9,DD9)&gt;0,SUM(CY9,DD9),"")</f>
        <v>93.899999999999991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9.35</v>
      </c>
      <c r="QH9" s="42">
        <f>IF($CW9="P",CD9,(CD9+BA9)/2)</f>
        <v>2.8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9.3000000000000007</v>
      </c>
      <c r="QL9" s="42">
        <f>IF($CW9="P",CH9,(CH9+BE9)/2)</f>
        <v>1.65</v>
      </c>
      <c r="QM9" s="42">
        <f>IF($CW9="P",CI9,(CI9+BF9)/2)</f>
        <v>0.55000000000000004</v>
      </c>
      <c r="QN9" s="42">
        <f>IF($CW9="P",CJ9,(CJ9+BG9)/2)</f>
        <v>0</v>
      </c>
      <c r="QO9" s="42">
        <f>IF($CW9="P",CK9,(CK9+BH9)/2)</f>
        <v>9.5500000000000007</v>
      </c>
      <c r="QP9" s="42">
        <f>IF($CW9="P",CL9,(CL9+BI9)/2)</f>
        <v>2.6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9.35</v>
      </c>
      <c r="QT9" s="42">
        <f>IF($CW9="P",CP9,(CP9+BM9)/2)</f>
        <v>2.8</v>
      </c>
      <c r="QU9" s="42">
        <f>IF($CW9="P",CQ9,(CQ9+BN9)/2)</f>
        <v>0</v>
      </c>
      <c r="QV9" s="42">
        <f>IF($CW9="P",CR9,(CR9+BO9)/2)</f>
        <v>0</v>
      </c>
      <c r="QW9" s="42">
        <f>IF($CW9="P",CS9,(CS9+BP9)/2)</f>
        <v>9.4499999999999993</v>
      </c>
      <c r="QX9" s="42">
        <f>IF($CW9="P",CT9,(CT9+BQ9)/2)</f>
        <v>2.8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4.4499999999999993</v>
      </c>
      <c r="RC9" s="76">
        <f>IF(SUM(QG9:QH9,QJ9:QL9,QN9)-QI9-QM9&gt;0,SUM(QG9:QH9,QJ9:QL9,QN9)-QI9-QM9,"")</f>
        <v>22.549999999999997</v>
      </c>
      <c r="RD9" s="76">
        <f>IF(SUM(QO9:QP9,QR9)-QQ9&gt;0,SUM(QO9:QP9,QR9)-QQ9,"")</f>
        <v>11.85</v>
      </c>
      <c r="RE9" s="76">
        <f>IF(SUM(QH9,QL9,QP9)&gt;0,SUM(QH9,QL9,QP9),"")</f>
        <v>7.0499999999999989</v>
      </c>
      <c r="RF9" s="76">
        <f>IF(SUM(RC9,RD9)&gt;0,SUM(RC9,RD9),"")</f>
        <v>34.4</v>
      </c>
      <c r="RG9" s="76">
        <f>IF(SUM(QT9,QX9)&gt;0,SUM(QT9,QX9),"")</f>
        <v>5.6</v>
      </c>
      <c r="RH9" s="76">
        <f>IF(SUM(QS9:QT9,QV9:QX9,QZ9)-SUM(QU9,QY9)&gt;0,SUM(QS9:QT9,QV9:QX9,QZ9)-SUM(QU9,QY9),"")</f>
        <v>24.4</v>
      </c>
      <c r="RI9" s="76">
        <f>IF(SUM(RC9,RH9)&gt;0,SUM(RC9,RH9),"")</f>
        <v>46.949999999999996</v>
      </c>
    </row>
    <row r="10" spans="1:477" x14ac:dyDescent="0.2">
      <c r="A10" s="5">
        <f>IF(AND(F10="P",G10="P"),SUMPRODUCT((F$4:F$15="P")*(G$4:G$15="P")*(E$4:E$15&gt;E10))+1,IF(G10="P",SUMPRODUCT((F$4:F$15="")*(G$4:G$15="P")*(E$4:E$15&gt;E10))+1+SUMPRODUCT((F$4:F$15="P")*(G$4:G$15="P")),""))</f>
        <v>7</v>
      </c>
      <c r="B10" s="6" t="s">
        <v>100</v>
      </c>
      <c r="C10" s="7" t="s">
        <v>6</v>
      </c>
      <c r="D10" s="18">
        <v>2003</v>
      </c>
      <c r="E10" s="14">
        <f>SUM(J10:T10)+SUM(J10:P10)*0.0000001+SUM(J10)*0.0000000000001</f>
        <v>117.54000688400487</v>
      </c>
      <c r="F10" s="3" t="str">
        <f>IF(OR(AND(AR10&gt;=AY$17,AS10&gt;=AY$21,AR10&lt;&gt;"",AQ10=""),AND(AW10&gt;=AY$17,AX10&gt;=AY$21,AW10&lt;&gt;"",AQ10=""),AND(BU10&gt;=CB$17,BV10&gt;=CB$21,BU10&lt;&gt;"",BT10=""),AND(BZ10&gt;=CB$17,CA10&gt;=CB$21,BZ10&lt;&gt;"",BT10=""),AND(CX10&gt;=DE$17,CY10&gt;=DE$21,CX10&lt;&gt;"",CW10=""),AND(DC10&gt;=DE$17,DD10&gt;=DE$21,DC10&lt;&gt;""),AND(EC10&gt;=EJ$17,ED10&gt;=EJ$21,EC10&lt;&gt;""),AND(EH10&gt;=EJ$17,EI10&gt;=EJ$21,EH10&lt;&gt;""),AND(FE10&gt;=FL$17,FF10&gt;=FL$21,FE10&lt;&gt;""),AND(FJ10&gt;=FL$17,FK10&gt;=FL$21,FJ10&lt;&gt;""),AND(GG10&gt;=GN$17,GH10&gt;=GN$21,GG10&lt;&gt;""),AND(GL10&gt;=GN$17,GM10&gt;=GN$21,GL10&lt;&gt;""),AND(HI10&gt;=HP$17,HJ10&gt;=HP$21,HI10&lt;&gt;""),AND(HN10&gt;=HP$17,HO10&gt;=HP$21,HN10&lt;&gt;""),AND(IK10&gt;=IR$17,IL10&gt;=IR$21,IK10&lt;&gt;""),AND(IP10&gt;=IR$17,IQ10&gt;=IR$21,IP10&lt;&gt;""),AND(JM10&gt;=JT$17,JN10&gt;=JT$21,JM10&lt;&gt;""),AND(JR10&gt;=JT$17,JS10&gt;=JT$21,JR10&lt;&gt;""),AND(KO10&gt;=KV$17,KP10&gt;=KV$21,KO10&lt;&gt;""),AND(KT10&gt;=KV$17,KU10&gt;=KV$21,KT10&lt;&gt;""),AND(LQ10&gt;=LX$17,LR10&gt;=LX$21,LQ10&lt;&gt;""),AND(LV10&gt;=LX$17,LW10&gt;=LX$21,LV10&lt;&gt;""),AND(MS10&gt;=MZ$17,MT10&gt;=MZ$21,MS10&lt;&gt;""),AND(MX10&gt;=MZ$17,MY10&gt;=MZ$21,MX10&lt;&gt;""),AND(NU10&gt;=OB$17,NV10&gt;=OB$21,NU10&lt;&gt;""),AND(NZ10&gt;=OB$17,OA10&gt;=OB$21,NZ10&lt;&gt;""),AND(OW10&gt;=PD$17,OX10&gt;=PD$21,OW10&lt;&gt;""),AND(PB10&gt;=PD$17,PC10&gt;=PD$21,PB10&lt;&gt;""),AND(PY10&gt;=QF$17,PZ10&gt;=QF$21,PY10&lt;&gt;""),AND(QD10&gt;=QF$17,QE10&gt;=QF$21,QD10&lt;&gt;"")),"P","")</f>
        <v>P</v>
      </c>
      <c r="G10" s="3" t="str">
        <f>IF(OR(AND(AS10&gt;=AY$21,AS10&lt;&gt;"",AQ10=""),AND(AX10&gt;=AY$21,AX10&lt;&gt;"",AQ10=""),AND(BV10&gt;=CB$21,BV10&lt;&gt;"",BT10=""),AND(CA10&gt;=CB$21,CA10&lt;&gt;"",BT10=""),AND(CY10&gt;=DE$21,CY10&lt;&gt;"",CW10=""),AND(DD10&gt;=DE$21,DD10&lt;&gt;"",CW10=""),AND(ED10&gt;=EJ$21,ED10&lt;&gt;""),AND(EI10&gt;=EJ$21,EI10&lt;&gt;""),AND(FF10&gt;=FL$21,FF10&lt;&gt;""),AND(FK10&gt;=FL$21,FK10&lt;&gt;""),AND(GH10&gt;=GN$21,GH10&lt;&gt;""),AND(GM10&gt;=GN$21,GM10&lt;&gt;""),AND(HJ10&gt;=HP$21,HJ10&lt;&gt;""),AND(HO10&gt;=HP$21,HO10&lt;&gt;""),AND(IL10&gt;=IR$21,IL10&lt;&gt;""),AND(IQ10&gt;=IR$21,IQ10&lt;&gt;""),AND(JN10&gt;=JT$21,JN10&lt;&gt;""),AND(JS10&gt;=JT$21,JS10&lt;&gt;""),AND(KP10&gt;=KV$21,KP10&lt;&gt;""),AND(KU10&gt;=KV$21,KU10&lt;&gt;""),AND(LR10&gt;=LX$21,LR10&lt;&gt;""),AND(LW10&gt;=LX$21,LW10&lt;&gt;""),AND(MT10&gt;=MZ$21,MT10&lt;&gt;""),AND(MY10&gt;=MZ$21,MY10&lt;&gt;""),AND(NV10&gt;=OB$21,NV10&lt;&gt;""),AND(OA10&gt;=OB$21,OA10&lt;&gt;""),AND(OX10&gt;=PD$21,OX10&lt;&gt;""),AND(PC10&gt;=PD$21,PC10&lt;&gt;""),AND(PZ10&gt;=QF$21,PZ10&lt;&gt;""),AND(QE10&gt;=QF$21,QE10&lt;&gt;"")),"P","")</f>
        <v>P</v>
      </c>
      <c r="H10" s="70" t="str">
        <f>IF(AND(G10="P",F10=""),"No DD",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Merit",IF(OR(AND(AU10&gt;=AY$19,AV10&gt;=AY$23,AU10&lt;&gt;"",AQ10=""),AND(BX10&gt;=CB$19,BY10&gt;=CB$23,BX10&lt;&gt;"",BT10=""),AND(DA10&gt;=DE$19,DB10&gt;=DE$23,DA10&lt;&gt;"",CW10=""),AND(EF10&gt;=EJ$19,EG10&gt;=EJ$23,EF10&lt;&gt;""),AND(FH10&gt;=FL$19,FI10&gt;=FL$23,FH10&lt;&gt;""),AND(GJ10&gt;=GN$19,GK10&gt;=GN$23,GJ10&lt;&gt;""),AND(HL10&gt;=HP$19,HM10&gt;=HP$23,HL10&lt;&gt;""),AND(IN10&gt;=IR$19,IO10&gt;=IR$23,IN10&lt;&gt;""),AND(JP10&gt;=JT$19,JQ10&gt;=JT$23,JP10&lt;&gt;""),AND(KR10&gt;=KV$19,KS10&gt;=KV$23,KR10&lt;&gt;""),AND(LT10&gt;=LX$19,LU10&gt;=LX$23,LT10&lt;&gt;""),AND(MV10&gt;=MZ$19,MW10&gt;=MZ$23,MV10&lt;&gt;""),AND(NX10&gt;=OB$19,NY10&gt;=OB$23,NX10&lt;&gt;""),AND(OZ10&gt;=PD$19,PA10&gt;=PD$23,OZ10&lt;&gt;""),AND(QB10&gt;=QF$19,QC10&gt;=QF$23,QB10&lt;&gt;"")),"Excellence",IF(I10="P","Worlds Team",IF(F10="P","National Team","")))))</f>
        <v>National Team</v>
      </c>
      <c r="I10" s="3" t="str">
        <f>IF(OR(AND(AU10&gt;=AY$18,AV10&gt;=AY$22,AU10&lt;&gt;"",AQ10=""),AND(BX10&gt;=CB$18,BY10&gt;=CB$22,BX10&lt;&gt;"",BT10=""),AND(DA10&gt;=DE$18,DB10&gt;=DE$22,DA10&lt;&gt;"",CW10=""),AND(EF10&gt;=EJ$18,EG10&gt;=EJ$22,EF10&lt;&gt;""),AND(FH10&gt;=FL$18,FI10&gt;=FL$22,FH10&lt;&gt;""),AND(GJ10&gt;=GN$18,GK10&gt;=GN$22,GJ10&lt;&gt;""),AND(HL10&gt;=HP$18,HM10&gt;=HP$22,HL10&lt;&gt;""),AND(IN10&gt;=IR$18,IO10&gt;=IR$22,IN10&lt;&gt;""),AND(JP10&gt;=JT$18,JQ10&gt;=JT$22,JP10&lt;&gt;""),AND(KR10&gt;=KV$18,KS10&gt;=KV$22,KR10&lt;&gt;""),AND(LT10&gt;=LX$18,LU10&gt;=LX$22,LT10&lt;&gt;""),AND(MV10&gt;=MZ$18,MW10&gt;=MZ$22,MV10&lt;&gt;""),AND(NX10&gt;=OB$18,NY10&gt;=OB$22,NX10&lt;&gt;""),AND(OZ10&gt;=PD$18,PA10&gt;=PD$22,OZ10&lt;&gt;""),AND(QB10&gt;=QF$18,QC10&gt;=QF$22,QB10&lt;&gt;"")),"P","")</f>
        <v/>
      </c>
      <c r="J10" s="13">
        <f>IF(COUNT(AS10,BV10,CY10)&gt;0,LARGE((AS10,BV10,CY10),1),0)</f>
        <v>48.64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20.2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42.499999999999993</v>
      </c>
      <c r="S10" s="13" t="str">
        <f>IF(R10=0,"",IF(R10=DD10,$CC$1,IF(R10=CA10,$AZ$1,IF(R10=AX10,$W$1,""))))</f>
        <v>2022 Elite Canada</v>
      </c>
      <c r="T10" s="13">
        <f>IF(MAX(DF10:DH10)&gt;0,MAX(DF10:DH10),"")</f>
        <v>6.2000000000000028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18.64</v>
      </c>
      <c r="CD10" s="27">
        <v>6</v>
      </c>
      <c r="CE10" s="27">
        <v>0</v>
      </c>
      <c r="CF10" s="27">
        <v>0</v>
      </c>
      <c r="CG10" s="27">
        <v>19</v>
      </c>
      <c r="CH10" s="27">
        <v>5.6</v>
      </c>
      <c r="CI10" s="27">
        <v>0.6</v>
      </c>
      <c r="CJ10" s="27">
        <v>0</v>
      </c>
      <c r="CK10" s="27">
        <v>17.399999999999999</v>
      </c>
      <c r="CL10" s="27">
        <v>2.8</v>
      </c>
      <c r="CM10" s="27">
        <v>0</v>
      </c>
      <c r="CN10" s="27">
        <v>0</v>
      </c>
      <c r="CO10" s="27">
        <v>17.399999999999999</v>
      </c>
      <c r="CP10" s="27">
        <v>2.4</v>
      </c>
      <c r="CQ10" s="27">
        <v>0</v>
      </c>
      <c r="CR10" s="27">
        <v>0</v>
      </c>
      <c r="CS10" s="27">
        <v>16.899999999999999</v>
      </c>
      <c r="CT10" s="27">
        <v>6.4</v>
      </c>
      <c r="CU10" s="27">
        <v>0.6</v>
      </c>
      <c r="CV10" s="27">
        <v>0</v>
      </c>
      <c r="CW10" s="51"/>
      <c r="CX10" s="76">
        <f>IF(SUM(CD10,CH10)&gt;0,SUM(CD10,CH10),"")</f>
        <v>11.6</v>
      </c>
      <c r="CY10" s="76">
        <f>IF(SUM(CC10:CD10,CF10:CH10,CJ10)-CE10-CI10&gt;0,SUM(CC10:CD10,CF10:CH10,CJ10)-CE10-CI10,"")</f>
        <v>48.64</v>
      </c>
      <c r="CZ10" s="76">
        <f>IF(SUM(CK10:CL10,CN10)-CM10&gt;0,SUM(CK10:CL10,CN10)-CM10,"")</f>
        <v>20.2</v>
      </c>
      <c r="DA10" s="76">
        <f>IF(SUM(CD10,CH10,CL10)&gt;0,SUM(CD10,CH10,CL10),"")</f>
        <v>14.399999999999999</v>
      </c>
      <c r="DB10" s="76">
        <f>IF(SUM(CY10,CZ10)&gt;0,SUM(CY10,CZ10),"")</f>
        <v>68.84</v>
      </c>
      <c r="DC10" s="76">
        <f>IF(SUM(CP10,CT10)&gt;0,SUM(CP10,CT10),"")</f>
        <v>8.8000000000000007</v>
      </c>
      <c r="DD10" s="76">
        <f>IF(SUM(CO10:CP10,CR10:CT10,CV10)-SUM(CQ10,CU10)&gt;0,SUM(CO10:CP10,CR10:CT10,CV10)-SUM(CQ10,CU10),"")</f>
        <v>42.499999999999993</v>
      </c>
      <c r="DE10" s="76">
        <f>IF(SUM(CY10,DD10)&gt;0,SUM(CY10,DD10),"")</f>
        <v>91.139999999999986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6.2000000000000028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6</v>
      </c>
      <c r="EM10" s="26">
        <v>0.2</v>
      </c>
      <c r="EN10" s="26">
        <v>0</v>
      </c>
      <c r="EO10" s="26">
        <v>18.600000000000001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6</v>
      </c>
      <c r="EY10" s="26">
        <v>0.2</v>
      </c>
      <c r="EZ10" s="26">
        <v>0</v>
      </c>
      <c r="FA10" s="26">
        <v>18.7</v>
      </c>
      <c r="FB10" s="26">
        <v>5.6</v>
      </c>
      <c r="FC10" s="26">
        <v>0</v>
      </c>
      <c r="FD10" s="26">
        <v>0</v>
      </c>
      <c r="FE10" s="16">
        <f>IF(SUM(EL10,EP10)&gt;0,SUM(EL10,EP10),"")</f>
        <v>11.6</v>
      </c>
      <c r="FF10" s="16">
        <f>IF(SUM(EK10:EL10,EN10:EP10,ER10)-EM10-EQ10&gt;0,SUM(EK10:EL10,EN10:EP10,ER10)-EM10-EQ10,"")</f>
        <v>48.4</v>
      </c>
      <c r="FG10" s="16" t="str">
        <f>IF(SUM(ES10:ET10,EV10)-EU10&gt;0,SUM(ES10:ET10,EV10)-EU10,"")</f>
        <v/>
      </c>
      <c r="FH10" s="16">
        <f>IF(SUM(EL10,EP10,ET10)&gt;0,SUM(EL10,EP10,ET10),"")</f>
        <v>11.6</v>
      </c>
      <c r="FI10" s="16">
        <f>IF(SUM(FF10,FG10)&gt;0,SUM(FF10,FG10),"")</f>
        <v>48.4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48.699999999999996</v>
      </c>
      <c r="FL10" s="16">
        <f>IF(SUM(FF10,FK10)&gt;0,SUM(FF10,FK10),"")</f>
        <v>97.1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9.32</v>
      </c>
      <c r="QH10" s="42">
        <f>IF($CW10="P",CD10,(CD10+BA10)/2)</f>
        <v>3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9.5</v>
      </c>
      <c r="QL10" s="42">
        <f>IF($CW10="P",CH10,(CH10+BE10)/2)</f>
        <v>2.8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8.6999999999999993</v>
      </c>
      <c r="QP10" s="42">
        <f>IF($CW10="P",CL10,(CL10+BI10)/2)</f>
        <v>1.4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8.6999999999999993</v>
      </c>
      <c r="QT10" s="42">
        <f>IF($CW10="P",CP10,(CP10+BM10)/2)</f>
        <v>1.2</v>
      </c>
      <c r="QU10" s="42">
        <f>IF($CW10="P",CQ10,(CQ10+BN10)/2)</f>
        <v>0</v>
      </c>
      <c r="QV10" s="42">
        <f>IF($CW10="P",CR10,(CR10+BO10)/2)</f>
        <v>0</v>
      </c>
      <c r="QW10" s="42">
        <f>IF($CW10="P",CS10,(CS10+BP10)/2)</f>
        <v>8.4499999999999993</v>
      </c>
      <c r="QX10" s="42">
        <f>IF($CW10="P",CT10,(CT10+BQ10)/2)</f>
        <v>3.2</v>
      </c>
      <c r="QY10" s="42">
        <f>IF($CW10="P",CU10,(CU10+BR10)/2)</f>
        <v>0.3</v>
      </c>
      <c r="QZ10" s="42">
        <f>IF($CW10="P",CV10,(CV10+BS10)/2)</f>
        <v>0</v>
      </c>
      <c r="RA10" s="51" t="s">
        <v>61</v>
      </c>
      <c r="RB10" s="76">
        <f>IF(SUM(QH10,QL10)&gt;0,SUM(QH10,QL10),"")</f>
        <v>5.8</v>
      </c>
      <c r="RC10" s="76">
        <f>IF(SUM(QG10:QH10,QJ10:QL10,QN10)-QI10-QM10&gt;0,SUM(QG10:QH10,QJ10:QL10,QN10)-QI10-QM10,"")</f>
        <v>24.32</v>
      </c>
      <c r="RD10" s="76">
        <f>IF(SUM(QO10:QP10,QR10)-QQ10&gt;0,SUM(QO10:QP10,QR10)-QQ10,"")</f>
        <v>10.1</v>
      </c>
      <c r="RE10" s="76">
        <f>IF(SUM(QH10,QL10,QP10)&gt;0,SUM(QH10,QL10,QP10),"")</f>
        <v>7.1999999999999993</v>
      </c>
      <c r="RF10" s="76">
        <f>IF(SUM(RC10,RD10)&gt;0,SUM(RC10,RD10),"")</f>
        <v>34.42</v>
      </c>
      <c r="RG10" s="76">
        <f>IF(SUM(QT10,QX10)&gt;0,SUM(QT10,QX10),"")</f>
        <v>4.4000000000000004</v>
      </c>
      <c r="RH10" s="76">
        <f>IF(SUM(QS10:QT10,QV10:QX10,QZ10)-SUM(QU10,QY10)&gt;0,SUM(QS10:QT10,QV10:QX10,QZ10)-SUM(QU10,QY10),"")</f>
        <v>21.249999999999996</v>
      </c>
      <c r="RI10" s="76">
        <f>IF(SUM(RC10,RH10)&gt;0,SUM(RC10,RH10),"")</f>
        <v>45.569999999999993</v>
      </c>
    </row>
    <row r="11" spans="1:477" x14ac:dyDescent="0.2">
      <c r="A11" s="5">
        <f>IF(AND(F11="P",G11="P"),SUMPRODUCT((F$4:F$15="P")*(G$4:G$15="P")*(E$4:E$15&gt;E11))+1,IF(G11="P",SUMPRODUCT((F$4:F$15="")*(G$4:G$15="P")*(E$4:E$15&gt;E11))+1+SUMPRODUCT((F$4:F$15="P")*(G$4:G$15="P")),""))</f>
        <v>8</v>
      </c>
      <c r="B11" s="6" t="s">
        <v>109</v>
      </c>
      <c r="C11" s="7" t="s">
        <v>6</v>
      </c>
      <c r="D11" s="18">
        <v>2004</v>
      </c>
      <c r="E11" s="14">
        <f>SUM(J11:T11)+SUM(J11:P11)*0.0000001+SUM(J11)*0.0000000000001</f>
        <v>117.30005692000971</v>
      </c>
      <c r="F11" s="3" t="str">
        <f>IF(OR(AND(AR11&gt;=AY$17,AS11&gt;=AY$21,AR11&lt;&gt;"",AQ11=""),AND(AW11&gt;=AY$17,AX11&gt;=AY$21,AW11&lt;&gt;"",AQ11=""),AND(BU11&gt;=CB$17,BV11&gt;=CB$21,BU11&lt;&gt;"",BT11=""),AND(BZ11&gt;=CB$17,CA11&gt;=CB$21,BZ11&lt;&gt;"",BT11=""),AND(CX11&gt;=DE$17,CY11&gt;=DE$21,CX11&lt;&gt;"",CW11=""),AND(DC11&gt;=DE$17,DD11&gt;=DE$21,DC11&lt;&gt;""),AND(EC11&gt;=EJ$17,ED11&gt;=EJ$21,EC11&lt;&gt;""),AND(EH11&gt;=EJ$17,EI11&gt;=EJ$21,EH11&lt;&gt;""),AND(FE11&gt;=FL$17,FF11&gt;=FL$21,FE11&lt;&gt;""),AND(FJ11&gt;=FL$17,FK11&gt;=FL$21,FJ11&lt;&gt;""),AND(GG11&gt;=GN$17,GH11&gt;=GN$21,GG11&lt;&gt;""),AND(GL11&gt;=GN$17,GM11&gt;=GN$21,GL11&lt;&gt;""),AND(HI11&gt;=HP$17,HJ11&gt;=HP$21,HI11&lt;&gt;""),AND(HN11&gt;=HP$17,HO11&gt;=HP$21,HN11&lt;&gt;""),AND(IK11&gt;=IR$17,IL11&gt;=IR$21,IK11&lt;&gt;""),AND(IP11&gt;=IR$17,IQ11&gt;=IR$21,IP11&lt;&gt;""),AND(JM11&gt;=JT$17,JN11&gt;=JT$21,JM11&lt;&gt;""),AND(JR11&gt;=JT$17,JS11&gt;=JT$21,JR11&lt;&gt;""),AND(KO11&gt;=KV$17,KP11&gt;=KV$21,KO11&lt;&gt;""),AND(KT11&gt;=KV$17,KU11&gt;=KV$21,KT11&lt;&gt;""),AND(LQ11&gt;=LX$17,LR11&gt;=LX$21,LQ11&lt;&gt;""),AND(LV11&gt;=LX$17,LW11&gt;=LX$21,LV11&lt;&gt;""),AND(MS11&gt;=MZ$17,MT11&gt;=MZ$21,MS11&lt;&gt;""),AND(MX11&gt;=MZ$17,MY11&gt;=MZ$21,MX11&lt;&gt;""),AND(NU11&gt;=OB$17,NV11&gt;=OB$21,NU11&lt;&gt;""),AND(NZ11&gt;=OB$17,OA11&gt;=OB$21,NZ11&lt;&gt;""),AND(OW11&gt;=PD$17,OX11&gt;=PD$21,OW11&lt;&gt;""),AND(PB11&gt;=PD$17,PC11&gt;=PD$21,PB11&lt;&gt;""),AND(PY11&gt;=QF$17,PZ11&gt;=QF$21,PY11&lt;&gt;""),AND(QD11&gt;=QF$17,QE11&gt;=QF$21,QD11&lt;&gt;"")),"P","")</f>
        <v>P</v>
      </c>
      <c r="G11" s="3" t="str">
        <f>IF(OR(AND(AS11&gt;=AY$21,AS11&lt;&gt;"",AQ11=""),AND(AX11&gt;=AY$21,AX11&lt;&gt;"",AQ11=""),AND(BV11&gt;=CB$21,BV11&lt;&gt;"",BT11=""),AND(CA11&gt;=CB$21,CA11&lt;&gt;"",BT11=""),AND(CY11&gt;=DE$21,CY11&lt;&gt;"",CW11=""),AND(DD11&gt;=DE$21,DD11&lt;&gt;"",CW11=""),AND(ED11&gt;=EJ$21,ED11&lt;&gt;""),AND(EI11&gt;=EJ$21,EI11&lt;&gt;""),AND(FF11&gt;=FL$21,FF11&lt;&gt;""),AND(FK11&gt;=FL$21,FK11&lt;&gt;""),AND(GH11&gt;=GN$21,GH11&lt;&gt;""),AND(GM11&gt;=GN$21,GM11&lt;&gt;""),AND(HJ11&gt;=HP$21,HJ11&lt;&gt;""),AND(HO11&gt;=HP$21,HO11&lt;&gt;""),AND(IL11&gt;=IR$21,IL11&lt;&gt;""),AND(IQ11&gt;=IR$21,IQ11&lt;&gt;""),AND(JN11&gt;=JT$21,JN11&lt;&gt;""),AND(JS11&gt;=JT$21,JS11&lt;&gt;""),AND(KP11&gt;=KV$21,KP11&lt;&gt;""),AND(KU11&gt;=KV$21,KU11&lt;&gt;""),AND(LR11&gt;=LX$21,LR11&lt;&gt;""),AND(LW11&gt;=LX$21,LW11&lt;&gt;""),AND(MT11&gt;=MZ$21,MT11&lt;&gt;""),AND(MY11&gt;=MZ$21,MY11&lt;&gt;""),AND(NV11&gt;=OB$21,NV11&lt;&gt;""),AND(OA11&gt;=OB$21,OA11&lt;&gt;""),AND(OX11&gt;=PD$21,OX11&lt;&gt;""),AND(PC11&gt;=PD$21,PC11&lt;&gt;""),AND(PZ11&gt;=QF$21,PZ11&lt;&gt;""),AND(QE11&gt;=QF$21,QE11&lt;&gt;"")),"P","")</f>
        <v>P</v>
      </c>
      <c r="H11" s="70" t="str">
        <f>IF(AND(G11="P",F11=""),"No DD",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Merit",IF(OR(AND(AU11&gt;=AY$19,AV11&gt;=AY$23,AU11&lt;&gt;"",AQ11=""),AND(BX11&gt;=CB$19,BY11&gt;=CB$23,BX11&lt;&gt;"",BT11=""),AND(DA11&gt;=DE$19,DB11&gt;=DE$23,DA11&lt;&gt;"",CW11=""),AND(EF11&gt;=EJ$19,EG11&gt;=EJ$23,EF11&lt;&gt;""),AND(FH11&gt;=FL$19,FI11&gt;=FL$23,FH11&lt;&gt;""),AND(GJ11&gt;=GN$19,GK11&gt;=GN$23,GJ11&lt;&gt;""),AND(HL11&gt;=HP$19,HM11&gt;=HP$23,HL11&lt;&gt;""),AND(IN11&gt;=IR$19,IO11&gt;=IR$23,IN11&lt;&gt;""),AND(JP11&gt;=JT$19,JQ11&gt;=JT$23,JP11&lt;&gt;""),AND(KR11&gt;=KV$19,KS11&gt;=KV$23,KR11&lt;&gt;""),AND(LT11&gt;=LX$19,LU11&gt;=LX$23,LT11&lt;&gt;""),AND(MV11&gt;=MZ$19,MW11&gt;=MZ$23,MV11&lt;&gt;""),AND(NX11&gt;=OB$19,NY11&gt;=OB$23,NX11&lt;&gt;""),AND(OZ11&gt;=PD$19,PA11&gt;=PD$23,OZ11&lt;&gt;""),AND(QB11&gt;=QF$19,QC11&gt;=QF$23,QB11&lt;&gt;"")),"Excellence",IF(I11="P","Worlds Team",IF(F11="P","National Team","")))))</f>
        <v>National Team</v>
      </c>
      <c r="I11" s="3" t="str">
        <f>IF(OR(AND(AU11&gt;=AY$18,AV11&gt;=AY$22,AU11&lt;&gt;"",AQ11=""),AND(BX11&gt;=CB$18,BY11&gt;=CB$22,BX11&lt;&gt;"",BT11=""),AND(DA11&gt;=DE$18,DB11&gt;=DE$22,DA11&lt;&gt;"",CW11=""),AND(EF11&gt;=EJ$18,EG11&gt;=EJ$22,EF11&lt;&gt;""),AND(FH11&gt;=FL$18,FI11&gt;=FL$22,FH11&lt;&gt;""),AND(GJ11&gt;=GN$18,GK11&gt;=GN$22,GJ11&lt;&gt;""),AND(HL11&gt;=HP$18,HM11&gt;=HP$22,HL11&lt;&gt;""),AND(IN11&gt;=IR$18,IO11&gt;=IR$22,IN11&lt;&gt;""),AND(JP11&gt;=JT$18,JQ11&gt;=JT$22,JP11&lt;&gt;""),AND(KR11&gt;=KV$18,KS11&gt;=KV$22,KR11&lt;&gt;""),AND(LT11&gt;=LX$18,LU11&gt;=LX$22,LT11&lt;&gt;""),AND(MV11&gt;=MZ$18,MW11&gt;=MZ$22,MV11&lt;&gt;""),AND(NX11&gt;=OB$18,NY11&gt;=OB$22,NX11&lt;&gt;""),AND(OZ11&gt;=PD$18,PA11&gt;=PD$22,OZ11&lt;&gt;""),AND(QB11&gt;=QF$18,QC11&gt;=QF$22,QB11&lt;&gt;"")),"P","")</f>
        <v/>
      </c>
      <c r="J11" s="13">
        <f>IF(COUNT(AS11,BV11,CY11)&gt;0,LARGE((AS11,BV11,CY11),1),0)</f>
        <v>47.000000000000007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5.0000000000000002E-5</v>
      </c>
      <c r="M11" s="13" t="str">
        <f>IF(L11=0,"",IF(L11=CY11,$CC$1,IF(L11=BV11,$AZ$1,IF(L11=AS11,$W$1,""))))</f>
        <v>2021 Canadian Championships</v>
      </c>
      <c r="N11" s="13">
        <f>IF(COUNT(AT11,BW11,CZ11)&gt;0,LARGE((AT11,BW11,CZ11),1),0)</f>
        <v>22.2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48.1</v>
      </c>
      <c r="S11" s="13" t="str">
        <f>IF(R11=0,"",IF(R11=DD11,$CC$1,IF(R11=CA11,$AZ$1,IF(R11=AX11,$W$1,""))))</f>
        <v>2022 Elite Canada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/>
      <c r="X11" s="27">
        <v>1.0000000000000001E-5</v>
      </c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>
        <f>IF(SUM(X11,AB11)&gt;0,SUM(X11,AB11),"")</f>
        <v>1.0000000000000001E-5</v>
      </c>
      <c r="AS11" s="76">
        <f>IF(SUM(W11:X11,Z11:AB11,AD11)-Y11-AC11&gt;0,SUM(W11:X11,Z11:AB11,AD11)-Y11-AC11,"")</f>
        <v>1.0000000000000001E-5</v>
      </c>
      <c r="AT11" s="76" t="str">
        <f>IF(SUM(AE11:AF11,AH11)-AG11&gt;0,SUM(AE11:AF11,AH11)-AG11,"")</f>
        <v/>
      </c>
      <c r="AU11" s="76">
        <f>IF(SUM(X11,AB11,AF11)&gt;0,SUM(X11,AB11,AF11),"")</f>
        <v>1.0000000000000001E-5</v>
      </c>
      <c r="AV11" s="76">
        <f>IF(SUM(AS11,AT11)&gt;0,SUM(AS11,AT11),"")</f>
        <v>1.0000000000000001E-5</v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>
        <f>IF(SUM(AS11,AX11)&gt;0,SUM(AS11,AX11),"")</f>
        <v>1.0000000000000001E-5</v>
      </c>
      <c r="AZ11" s="26">
        <v>5.0000000000000002E-5</v>
      </c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>
        <f>IF(SUM(AZ11:BA11,BC11:BE11,BG11)-BB11-BF11&gt;0,SUM(AZ11:BA11,BC11:BE11,BG11)-BB11-BF11,"")</f>
        <v>5.0000000000000002E-5</v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>
        <f>IF(SUM(BV11,BW11)&gt;0,SUM(BV11,BW11),"")</f>
        <v>5.0000000000000002E-5</v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>
        <f>IF(SUM(BV11,CA11)&gt;0,SUM(BV11,CA11),"")</f>
        <v>5.0000000000000002E-5</v>
      </c>
      <c r="CC11" s="27">
        <v>18.600000000000001</v>
      </c>
      <c r="CD11" s="27">
        <v>5.2</v>
      </c>
      <c r="CE11" s="27">
        <v>0.8</v>
      </c>
      <c r="CF11" s="27">
        <v>0</v>
      </c>
      <c r="CG11" s="27">
        <v>18.600000000000001</v>
      </c>
      <c r="CH11" s="27">
        <v>5.6</v>
      </c>
      <c r="CI11" s="27">
        <v>0.2</v>
      </c>
      <c r="CJ11" s="27">
        <v>0</v>
      </c>
      <c r="CK11" s="27">
        <v>18</v>
      </c>
      <c r="CL11" s="27">
        <v>4.8</v>
      </c>
      <c r="CM11" s="27">
        <v>0.6</v>
      </c>
      <c r="CN11" s="27">
        <v>0</v>
      </c>
      <c r="CO11" s="27">
        <v>18.5</v>
      </c>
      <c r="CP11" s="27">
        <v>5.2</v>
      </c>
      <c r="CQ11" s="27">
        <v>0.2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10.8</v>
      </c>
      <c r="CY11" s="76">
        <f>IF(SUM(CC11:CD11,CF11:CH11,CJ11)-CE11-CI11&gt;0,SUM(CC11:CD11,CF11:CH11,CJ11)-CE11-CI11,"")</f>
        <v>47.000000000000007</v>
      </c>
      <c r="CZ11" s="76">
        <f>IF(SUM(CK11:CL11,CN11)-CM11&gt;0,SUM(CK11:CL11,CN11)-CM11,"")</f>
        <v>22.2</v>
      </c>
      <c r="DA11" s="76">
        <f>IF(SUM(CD11,CH11,CL11)&gt;0,SUM(CD11,CH11,CL11),"")</f>
        <v>15.600000000000001</v>
      </c>
      <c r="DB11" s="76">
        <f>IF(SUM(CY11,CZ11)&gt;0,SUM(CY11,CZ11),"")</f>
        <v>69.2</v>
      </c>
      <c r="DC11" s="76">
        <f>IF(SUM(CP11,CT11)&gt;0,SUM(CP11,CT11),"")</f>
        <v>10.8</v>
      </c>
      <c r="DD11" s="76">
        <f>IF(SUM(CO11:CP11,CR11:CT11,CV11)-SUM(CQ11,CU11)&gt;0,SUM(CO11:CP11,CR11:CT11,CV11)-SUM(CQ11,CU11),"")</f>
        <v>48.1</v>
      </c>
      <c r="DE11" s="76">
        <f>IF(SUM(CY11,DD11)&gt;0,SUM(CY11,DD11),"")</f>
        <v>95.100000000000009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5.2</v>
      </c>
      <c r="EM11" s="26">
        <v>0.6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18.399999999999999</v>
      </c>
      <c r="EX11" s="26">
        <v>5.2</v>
      </c>
      <c r="EY11" s="26">
        <v>0</v>
      </c>
      <c r="EZ11" s="26">
        <v>0</v>
      </c>
      <c r="FA11" s="26">
        <v>18.8</v>
      </c>
      <c r="FB11" s="26">
        <v>5.6</v>
      </c>
      <c r="FC11" s="26">
        <v>0.2</v>
      </c>
      <c r="FD11" s="26">
        <v>0</v>
      </c>
      <c r="FE11" s="16">
        <f>IF(SUM(EL11,EP11)&gt;0,SUM(EL11,EP11),"")</f>
        <v>10.8</v>
      </c>
      <c r="FF11" s="16">
        <f>IF(SUM(EK11:EL11,EN11:EP11,ER11)-EM11-EQ11&gt;0,SUM(EK11:EL11,EN11:EP11,ER11)-EM11-EQ11,"")</f>
        <v>47.2</v>
      </c>
      <c r="FG11" s="16" t="str">
        <f>IF(SUM(ES11:ET11,EV11)-EU11&gt;0,SUM(ES11:ET11,EV11)-EU11,"")</f>
        <v/>
      </c>
      <c r="FH11" s="16">
        <f>IF(SUM(EL11,EP11,ET11)&gt;0,SUM(EL11,EP11,ET11),"")</f>
        <v>10.8</v>
      </c>
      <c r="FI11" s="16">
        <f>IF(SUM(FF11,FG11)&gt;0,SUM(FF11,FG11),"")</f>
        <v>47.2</v>
      </c>
      <c r="FJ11" s="16">
        <f>IF(SUM(EX11,FB11)&gt;0,SUM(EX11,FB11),"")</f>
        <v>10.8</v>
      </c>
      <c r="FK11" s="16">
        <f>IF(SUM(EW11:EX11,EZ11:FB11,FD11)-SUM(EY11,FC11)&gt;0,SUM(EW11:EX11,EZ11:FB11,FD11)-SUM(EY11,FC11),"")</f>
        <v>47.8</v>
      </c>
      <c r="FL11" s="16">
        <f>IF(SUM(FF11,FK11)&gt;0,SUM(FF11,FK11),"")</f>
        <v>95</v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9.3000250000000015</v>
      </c>
      <c r="QH11" s="42">
        <f>IF($CW11="P",CD11,(CD11+BA11)/2)</f>
        <v>2.6</v>
      </c>
      <c r="QI11" s="42">
        <f>IF($CW11="P",CE11,(CE11+BB11)/2)</f>
        <v>0.4</v>
      </c>
      <c r="QJ11" s="42">
        <f>IF($CW11="P",CF11,(CF11+BC11)/2)</f>
        <v>0</v>
      </c>
      <c r="QK11" s="42">
        <f>IF($CW11="P",CG11,(CG11+BD11)/2)</f>
        <v>9.3000000000000007</v>
      </c>
      <c r="QL11" s="42">
        <f>IF($CW11="P",CH11,(CH11+BE11)/2)</f>
        <v>2.8</v>
      </c>
      <c r="QM11" s="42">
        <f>IF($CW11="P",CI11,(CI11+BF11)/2)</f>
        <v>0.1</v>
      </c>
      <c r="QN11" s="42">
        <f>IF($CW11="P",CJ11,(CJ11+BG11)/2)</f>
        <v>0</v>
      </c>
      <c r="QO11" s="42">
        <f>IF($CW11="P",CK11,(CK11+BH11)/2)</f>
        <v>9</v>
      </c>
      <c r="QP11" s="42">
        <f>IF($CW11="P",CL11,(CL11+BI11)/2)</f>
        <v>2.4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9.25</v>
      </c>
      <c r="QT11" s="42">
        <f>IF($CW11="P",CP11,(CP11+BM11)/2)</f>
        <v>2.6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9.5</v>
      </c>
      <c r="QX11" s="42">
        <f>IF($CW11="P",CT11,(CT11+BQ11)/2)</f>
        <v>2.8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5.4</v>
      </c>
      <c r="RC11" s="76">
        <f>IF(SUM(QG11:QH11,QJ11:QL11,QN11)-QI11-QM11&gt;0,SUM(QG11:QH11,QJ11:QL11,QN11)-QI11-QM11,"")</f>
        <v>23.500025000000004</v>
      </c>
      <c r="RD11" s="76">
        <f>IF(SUM(QO11:QP11,QR11)-QQ11&gt;0,SUM(QO11:QP11,QR11)-QQ11,"")</f>
        <v>11.1</v>
      </c>
      <c r="RE11" s="76">
        <f>IF(SUM(QH11,QL11,QP11)&gt;0,SUM(QH11,QL11,QP11),"")</f>
        <v>7.8000000000000007</v>
      </c>
      <c r="RF11" s="76">
        <f>IF(SUM(RC11,RD11)&gt;0,SUM(RC11,RD11),"")</f>
        <v>34.600025000000002</v>
      </c>
      <c r="RG11" s="76">
        <f>IF(SUM(QT11,QX11)&gt;0,SUM(QT11,QX11),"")</f>
        <v>5.4</v>
      </c>
      <c r="RH11" s="76">
        <f>IF(SUM(QS11:QT11,QV11:QX11,QZ11)-SUM(QU11,QY11)&gt;0,SUM(QS11:QT11,QV11:QX11,QZ11)-SUM(QU11,QY11),"")</f>
        <v>24.05</v>
      </c>
      <c r="RI11" s="76">
        <f>IF(SUM(RC11,RH11)&gt;0,SUM(RC11,RH11),"")</f>
        <v>47.550025000000005</v>
      </c>
    </row>
    <row r="12" spans="1:477" x14ac:dyDescent="0.2">
      <c r="A12" s="5">
        <f>IF(AND(F12="P",G12="P"),SUMPRODUCT((F$4:F$15="P")*(G$4:G$15="P")*(E$4:E$15&gt;E12))+1,IF(G12="P",SUMPRODUCT((F$4:F$15="")*(G$4:G$15="P")*(E$4:E$15&gt;E12))+1+SUMPRODUCT((F$4:F$15="P")*(G$4:G$15="P")),""))</f>
        <v>9</v>
      </c>
      <c r="B12" s="6" t="s">
        <v>31</v>
      </c>
      <c r="C12" s="7" t="s">
        <v>9</v>
      </c>
      <c r="D12" s="18">
        <v>1998</v>
      </c>
      <c r="E12" s="14">
        <f>SUM(J12:T12)+SUM(J12:P12)*0.0000001+SUM(J12)*0.0000000000001</f>
        <v>5.0000005000005004E-5</v>
      </c>
      <c r="F12" s="3" t="str">
        <f>IF(OR(AND(AR12&gt;=AY$17,AS12&gt;=AY$21,AR12&lt;&gt;"",AQ12=""),AND(AW12&gt;=AY$17,AX12&gt;=AY$21,AW12&lt;&gt;"",AQ12=""),AND(BU12&gt;=CB$17,BV12&gt;=CB$21,BU12&lt;&gt;"",BT12=""),AND(BZ12&gt;=CB$17,CA12&gt;=CB$21,BZ12&lt;&gt;"",BT12=""),AND(CX12&gt;=DE$17,CY12&gt;=DE$21,CX12&lt;&gt;"",CW12=""),AND(DC12&gt;=DE$17,DD12&gt;=DE$21,DC12&lt;&gt;""),AND(EC12&gt;=EJ$17,ED12&gt;=EJ$21,EC12&lt;&gt;""),AND(EH12&gt;=EJ$17,EI12&gt;=EJ$21,EH12&lt;&gt;""),AND(FE12&gt;=FL$17,FF12&gt;=FL$21,FE12&lt;&gt;""),AND(FJ12&gt;=FL$17,FK12&gt;=FL$21,FJ12&lt;&gt;""),AND(GG12&gt;=GN$17,GH12&gt;=GN$21,GG12&lt;&gt;""),AND(GL12&gt;=GN$17,GM12&gt;=GN$21,GL12&lt;&gt;""),AND(HI12&gt;=HP$17,HJ12&gt;=HP$21,HI12&lt;&gt;""),AND(HN12&gt;=HP$17,HO12&gt;=HP$21,HN12&lt;&gt;""),AND(IK12&gt;=IR$17,IL12&gt;=IR$21,IK12&lt;&gt;""),AND(IP12&gt;=IR$17,IQ12&gt;=IR$21,IP12&lt;&gt;""),AND(JM12&gt;=JT$17,JN12&gt;=JT$21,JM12&lt;&gt;""),AND(JR12&gt;=JT$17,JS12&gt;=JT$21,JR12&lt;&gt;""),AND(KO12&gt;=KV$17,KP12&gt;=KV$21,KO12&lt;&gt;""),AND(KT12&gt;=KV$17,KU12&gt;=KV$21,KT12&lt;&gt;""),AND(LQ12&gt;=LX$17,LR12&gt;=LX$21,LQ12&lt;&gt;""),AND(LV12&gt;=LX$17,LW12&gt;=LX$21,LV12&lt;&gt;""),AND(MS12&gt;=MZ$17,MT12&gt;=MZ$21,MS12&lt;&gt;""),AND(MX12&gt;=MZ$17,MY12&gt;=MZ$21,MX12&lt;&gt;""),AND(NU12&gt;=OB$17,NV12&gt;=OB$21,NU12&lt;&gt;""),AND(NZ12&gt;=OB$17,OA12&gt;=OB$21,NZ12&lt;&gt;""),AND(OW12&gt;=PD$17,OX12&gt;=PD$21,OW12&lt;&gt;""),AND(PB12&gt;=PD$17,PC12&gt;=PD$21,PB12&lt;&gt;""),AND(PY12&gt;=QF$17,PZ12&gt;=QF$21,PY12&lt;&gt;""),AND(QD12&gt;=QF$17,QE12&gt;=QF$21,QD12&lt;&gt;"")),"P","")</f>
        <v>P</v>
      </c>
      <c r="G12" s="3" t="str">
        <f>IF(OR(AND(AS12&gt;=AY$21,AS12&lt;&gt;"",AQ12=""),AND(AX12&gt;=AY$21,AX12&lt;&gt;"",AQ12=""),AND(BV12&gt;=CB$21,BV12&lt;&gt;"",BT12=""),AND(CA12&gt;=CB$21,CA12&lt;&gt;"",BT12=""),AND(CY12&gt;=DE$21,CY12&lt;&gt;"",CW12=""),AND(DD12&gt;=DE$21,DD12&lt;&gt;"",CW12=""),AND(ED12&gt;=EJ$21,ED12&lt;&gt;""),AND(EI12&gt;=EJ$21,EI12&lt;&gt;""),AND(FF12&gt;=FL$21,FF12&lt;&gt;""),AND(FK12&gt;=FL$21,FK12&lt;&gt;""),AND(GH12&gt;=GN$21,GH12&lt;&gt;""),AND(GM12&gt;=GN$21,GM12&lt;&gt;""),AND(HJ12&gt;=HP$21,HJ12&lt;&gt;""),AND(HO12&gt;=HP$21,HO12&lt;&gt;""),AND(IL12&gt;=IR$21,IL12&lt;&gt;""),AND(IQ12&gt;=IR$21,IQ12&lt;&gt;""),AND(JN12&gt;=JT$21,JN12&lt;&gt;""),AND(JS12&gt;=JT$21,JS12&lt;&gt;""),AND(KP12&gt;=KV$21,KP12&lt;&gt;""),AND(KU12&gt;=KV$21,KU12&lt;&gt;""),AND(LR12&gt;=LX$21,LR12&lt;&gt;""),AND(LW12&gt;=LX$21,LW12&lt;&gt;""),AND(MT12&gt;=MZ$21,MT12&lt;&gt;""),AND(MY12&gt;=MZ$21,MY12&lt;&gt;""),AND(NV12&gt;=OB$21,NV12&lt;&gt;""),AND(OA12&gt;=OB$21,OA12&lt;&gt;""),AND(OX12&gt;=PD$21,OX12&lt;&gt;""),AND(PC12&gt;=PD$21,PC12&lt;&gt;""),AND(PZ12&gt;=QF$21,PZ12&lt;&gt;""),AND(QE12&gt;=QF$21,QE12&lt;&gt;"")),"P","")</f>
        <v>P</v>
      </c>
      <c r="H12" s="70" t="str">
        <f>IF(AND(G12="P",F12=""),"No DD",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Merit",IF(OR(AND(AU12&gt;=AY$19,AV12&gt;=AY$23,AU12&lt;&gt;"",AQ12=""),AND(BX12&gt;=CB$19,BY12&gt;=CB$23,BX12&lt;&gt;"",BT12=""),AND(DA12&gt;=DE$19,DB12&gt;=DE$23,DA12&lt;&gt;"",CW12=""),AND(EF12&gt;=EJ$19,EG12&gt;=EJ$23,EF12&lt;&gt;""),AND(FH12&gt;=FL$19,FI12&gt;=FL$23,FH12&lt;&gt;""),AND(GJ12&gt;=GN$19,GK12&gt;=GN$23,GJ12&lt;&gt;""),AND(HL12&gt;=HP$19,HM12&gt;=HP$23,HL12&lt;&gt;""),AND(IN12&gt;=IR$19,IO12&gt;=IR$23,IN12&lt;&gt;""),AND(JP12&gt;=JT$19,JQ12&gt;=JT$23,JP12&lt;&gt;""),AND(KR12&gt;=KV$19,KS12&gt;=KV$23,KR12&lt;&gt;""),AND(LT12&gt;=LX$19,LU12&gt;=LX$23,LT12&lt;&gt;""),AND(MV12&gt;=MZ$19,MW12&gt;=MZ$23,MV12&lt;&gt;""),AND(NX12&gt;=OB$19,NY12&gt;=OB$23,NX12&lt;&gt;""),AND(OZ12&gt;=PD$19,PA12&gt;=PD$23,OZ12&lt;&gt;""),AND(QB12&gt;=QF$19,QC12&gt;=QF$23,QB12&lt;&gt;"")),"Excellence",IF(I12="P","Worlds Team",IF(F12="P","National Team","")))))</f>
        <v>National Team</v>
      </c>
      <c r="I12" s="3" t="str">
        <f>IF(OR(AND(AU12&gt;=AY$18,AV12&gt;=AY$22,AU12&lt;&gt;"",AQ12=""),AND(BX12&gt;=CB$18,BY12&gt;=CB$22,BX12&lt;&gt;"",BT12=""),AND(DA12&gt;=DE$18,DB12&gt;=DE$22,DA12&lt;&gt;"",CW12=""),AND(EF12&gt;=EJ$18,EG12&gt;=EJ$22,EF12&lt;&gt;""),AND(FH12&gt;=FL$18,FI12&gt;=FL$22,FH12&lt;&gt;""),AND(GJ12&gt;=GN$18,GK12&gt;=GN$22,GJ12&lt;&gt;""),AND(HL12&gt;=HP$18,HM12&gt;=HP$22,HL12&lt;&gt;""),AND(IN12&gt;=IR$18,IO12&gt;=IR$22,IN12&lt;&gt;""),AND(JP12&gt;=JT$18,JQ12&gt;=JT$22,JP12&lt;&gt;""),AND(KR12&gt;=KV$18,KS12&gt;=KV$22,KR12&lt;&gt;""),AND(LT12&gt;=LX$18,LU12&gt;=LX$22,LT12&lt;&gt;""),AND(MV12&gt;=MZ$18,MW12&gt;=MZ$22,MV12&lt;&gt;""),AND(NX12&gt;=OB$18,NY12&gt;=OB$22,NX12&lt;&gt;""),AND(OZ12&gt;=PD$18,PA12&gt;=PD$22,OZ12&lt;&gt;""),AND(QB12&gt;=QF$18,QC12&gt;=QF$22,QB12&lt;&gt;"")),"P","")</f>
        <v/>
      </c>
      <c r="J12" s="13">
        <f>IF(COUNT(AS12,BV12,CY12)&gt;0,LARGE((AS12,BV12,CY12),1),0)</f>
        <v>5.0000000000000002E-5</v>
      </c>
      <c r="K12" s="13" t="str">
        <f>IF(J12=0,"",IF(J12=CY12,$CC$1,IF(J12=BV12,$AZ$1,IF(J12=AS12,$W$1,""))))</f>
        <v>2021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0</v>
      </c>
      <c r="O12" s="13" t="str">
        <f>IF(N12=0,"",IF(N12=CZ12,$CC$1,IF(N12=BW12,$AZ$1,IF(N12=AT12,$W$1,""))))</f>
        <v/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0</v>
      </c>
      <c r="S12" s="13" t="str">
        <f>IF(R12=0,"",IF(R12=DD12,$CC$1,IF(R12=CA12,$AZ$1,IF(R12=AX12,$W$1,""))))</f>
        <v/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>
        <v>3.0000000000000001E-5</v>
      </c>
      <c r="X12" s="27">
        <v>2.0000000000000002E-5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2.0000000000000002E-5</v>
      </c>
      <c r="AS12" s="76">
        <f>IF(SUM(W12:X12,Z12:AB12,AD12)-Y12-AC12&gt;0,SUM(W12:X12,Z12:AB12,AD12)-Y12-AC12,"")</f>
        <v>5.0000000000000002E-5</v>
      </c>
      <c r="AT12" s="76" t="str">
        <f>IF(SUM(AE12:AF12,AH12)-AG12&gt;0,SUM(AE12:AF12,AH12)-AG12,"")</f>
        <v/>
      </c>
      <c r="AU12" s="76">
        <f>IF(SUM(X12,AB12,AF12)&gt;0,SUM(X12,AB12,AF12),"")</f>
        <v>2.0000000000000002E-5</v>
      </c>
      <c r="AV12" s="76">
        <f>IF(SUM(AS12,AT12)&gt;0,SUM(AS12,AT12),"")</f>
        <v>5.0000000000000002E-5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5.0000000000000002E-5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51"/>
      <c r="CX12" s="76" t="str">
        <f>IF(SUM(CD12,CH12)&gt;0,SUM(CD12,CH12),"")</f>
        <v/>
      </c>
      <c r="CY12" s="76" t="str">
        <f>IF(SUM(CC12:CD12,CF12:CH12,CJ12)-CE12-CI12&gt;0,SUM(CC12:CD12,CF12:CH12,CJ12)-CE12-CI12,"")</f>
        <v/>
      </c>
      <c r="CZ12" s="76" t="str">
        <f>IF(SUM(CK12:CL12,CN12)-CM12&gt;0,SUM(CK12:CL12,CN12)-CM12,"")</f>
        <v/>
      </c>
      <c r="DA12" s="76" t="str">
        <f>IF(SUM(CD12,CH12,CL12)&gt;0,SUM(CD12,CH12,CL12),"")</f>
        <v/>
      </c>
      <c r="DB12" s="76" t="str">
        <f>IF(SUM(CY12,CZ12)&gt;0,SUM(CY12,CZ12),"")</f>
        <v/>
      </c>
      <c r="DC12" s="76" t="str">
        <f>IF(SUM(CP12,CT12)&gt;0,SUM(CP12,CT12),"")</f>
        <v/>
      </c>
      <c r="DD12" s="76" t="str">
        <f>IF(SUM(CO12:CP12,CR12:CT12,CV12)-SUM(CQ12,CU12)&gt;0,SUM(CO12:CP12,CR12:CT12,CV12)-SUM(CQ12,CU12),"")</f>
        <v/>
      </c>
      <c r="DE12" s="76" t="str">
        <f>IF(SUM(CY12,DD12)&gt;0,SUM(CY12,DD12),"")</f>
        <v/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0</v>
      </c>
      <c r="QH12" s="42">
        <f>IF($CW12="P",CD12,(CD12+BA12)/2)</f>
        <v>0</v>
      </c>
      <c r="QI12" s="42">
        <f>IF($CW12="P",CE12,(CE12+BB12)/2)</f>
        <v>0</v>
      </c>
      <c r="QJ12" s="42">
        <f>IF($CW12="P",CF12,(CF12+BC12)/2)</f>
        <v>0</v>
      </c>
      <c r="QK12" s="42">
        <f>IF($CW12="P",CG12,(CG12+BD12)/2)</f>
        <v>0</v>
      </c>
      <c r="QL12" s="42">
        <f>IF($CW12="P",CH12,(CH12+BE12)/2)</f>
        <v>0</v>
      </c>
      <c r="QM12" s="42">
        <f>IF($CW12="P",CI12,(CI12+BF12)/2)</f>
        <v>0</v>
      </c>
      <c r="QN12" s="42">
        <f>IF($CW12="P",CJ12,(CJ12+BG12)/2)</f>
        <v>0</v>
      </c>
      <c r="QO12" s="42">
        <f>IF($CW12="P",CK12,(CK12+BH12)/2)</f>
        <v>0</v>
      </c>
      <c r="QP12" s="42">
        <f>IF($CW12="P",CL12,(CL12+BI12)/2)</f>
        <v>0</v>
      </c>
      <c r="QQ12" s="42">
        <f>IF($CW12="P",CM12,(CM12+BJ12)/2)</f>
        <v>0</v>
      </c>
      <c r="QR12" s="42">
        <f>IF($CW12="P",CN12,(CN12+BK12)/2)</f>
        <v>0</v>
      </c>
      <c r="QS12" s="42">
        <f>IF($CW12="P",CO12,(CO12+BL12)/2)</f>
        <v>0</v>
      </c>
      <c r="QT12" s="42">
        <f>IF($CW12="P",CP12,(CP12+BM12)/2)</f>
        <v>0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0</v>
      </c>
      <c r="QX12" s="42">
        <f>IF($CW12="P",CT12,(CT12+BQ12)/2)</f>
        <v>0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 t="str">
        <f>IF(SUM(QH12,QL12)&gt;0,SUM(QH12,QL12),"")</f>
        <v/>
      </c>
      <c r="RC12" s="76" t="str">
        <f>IF(SUM(QG12:QH12,QJ12:QL12,QN12)-QI12-QM12&gt;0,SUM(QG12:QH12,QJ12:QL12,QN12)-QI12-QM12,"")</f>
        <v/>
      </c>
      <c r="RD12" s="76" t="str">
        <f>IF(SUM(QO12:QP12,QR12)-QQ12&gt;0,SUM(QO12:QP12,QR12)-QQ12,"")</f>
        <v/>
      </c>
      <c r="RE12" s="76" t="str">
        <f>IF(SUM(QH12,QL12,QP12)&gt;0,SUM(QH12,QL12,QP12),"")</f>
        <v/>
      </c>
      <c r="RF12" s="76" t="str">
        <f>IF(SUM(RC12,RD12)&gt;0,SUM(RC12,RD12),"")</f>
        <v/>
      </c>
      <c r="RG12" s="76" t="str">
        <f>IF(SUM(QT12,QX12)&gt;0,SUM(QT12,QX12),"")</f>
        <v/>
      </c>
      <c r="RH12" s="76" t="str">
        <f>IF(SUM(QS12:QT12,QV12:QX12,QZ12)-SUM(QU12,QY12)&gt;0,SUM(QS12:QT12,QV12:QX12,QZ12)-SUM(QU12,QY12),"")</f>
        <v/>
      </c>
      <c r="RI12" s="76" t="str">
        <f>IF(SUM(RC12,RH12)&gt;0,SUM(RC12,RH12),"")</f>
        <v/>
      </c>
    </row>
    <row r="13" spans="1:477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174</v>
      </c>
      <c r="C13" s="7" t="s">
        <v>43</v>
      </c>
      <c r="D13" s="18">
        <v>2000</v>
      </c>
      <c r="E13" s="14">
        <f>SUM(J13:T13)+SUM(J13:P13)*0.0000001+SUM(J13)*0.0000000000001</f>
        <v>118.20000708000472</v>
      </c>
      <c r="F13" s="3" t="str">
        <f>IF(OR(AND(AR13&gt;=AY$17,AS13&gt;=AY$21,AR13&lt;&gt;"",AQ13=""),AND(AW13&gt;=AY$17,AX13&gt;=AY$21,AW13&lt;&gt;"",AQ13=""),AND(BU13&gt;=CB$17,BV13&gt;=CB$21,BU13&lt;&gt;"",BT13=""),AND(BZ13&gt;=CB$17,CA13&gt;=CB$21,BZ13&lt;&gt;"",BT13=""),AND(CX13&gt;=DE$17,CY13&gt;=DE$21,CX13&lt;&gt;"",CW13=""),AND(DC13&gt;=DE$17,DD13&gt;=DE$21,DC13&lt;&gt;""),AND(EC13&gt;=EJ$17,ED13&gt;=EJ$21,EC13&lt;&gt;""),AND(EH13&gt;=EJ$17,EI13&gt;=EJ$21,EH13&lt;&gt;""),AND(FE13&gt;=FL$17,FF13&gt;=FL$21,FE13&lt;&gt;""),AND(FJ13&gt;=FL$17,FK13&gt;=FL$21,FJ13&lt;&gt;""),AND(GG13&gt;=GN$17,GH13&gt;=GN$21,GG13&lt;&gt;""),AND(GL13&gt;=GN$17,GM13&gt;=GN$21,GL13&lt;&gt;""),AND(HI13&gt;=HP$17,HJ13&gt;=HP$21,HI13&lt;&gt;""),AND(HN13&gt;=HP$17,HO13&gt;=HP$21,HN13&lt;&gt;""),AND(IK13&gt;=IR$17,IL13&gt;=IR$21,IK13&lt;&gt;""),AND(IP13&gt;=IR$17,IQ13&gt;=IR$21,IP13&lt;&gt;""),AND(JM13&gt;=JT$17,JN13&gt;=JT$21,JM13&lt;&gt;""),AND(JR13&gt;=JT$17,JS13&gt;=JT$21,JR13&lt;&gt;""),AND(KO13&gt;=KV$17,KP13&gt;=KV$21,KO13&lt;&gt;""),AND(KT13&gt;=KV$17,KU13&gt;=KV$21,KT13&lt;&gt;""),AND(LQ13&gt;=LX$17,LR13&gt;=LX$21,LQ13&lt;&gt;""),AND(LV13&gt;=LX$17,LW13&gt;=LX$21,LV13&lt;&gt;""),AND(MS13&gt;=MZ$17,MT13&gt;=MZ$21,MS13&lt;&gt;""),AND(MX13&gt;=MZ$17,MY13&gt;=MZ$21,MX13&lt;&gt;""),AND(NU13&gt;=OB$17,NV13&gt;=OB$21,NU13&lt;&gt;""),AND(NZ13&gt;=OB$17,OA13&gt;=OB$21,NZ13&lt;&gt;""),AND(OW13&gt;=PD$17,OX13&gt;=PD$21,OW13&lt;&gt;""),AND(PB13&gt;=PD$17,PC13&gt;=PD$21,PB13&lt;&gt;""),AND(PY13&gt;=QF$17,PZ13&gt;=QF$21,PY13&lt;&gt;""),AND(QD13&gt;=QF$17,QE13&gt;=QF$21,QD13&lt;&gt;"")),"P","")</f>
        <v/>
      </c>
      <c r="G13" s="3" t="str">
        <f>IF(OR(AND(AS13&gt;=AY$21,AS13&lt;&gt;"",AQ13=""),AND(AX13&gt;=AY$21,AX13&lt;&gt;"",AQ13=""),AND(BV13&gt;=CB$21,BV13&lt;&gt;"",BT13=""),AND(CA13&gt;=CB$21,CA13&lt;&gt;"",BT13=""),AND(CY13&gt;=DE$21,CY13&lt;&gt;"",CW13=""),AND(DD13&gt;=DE$21,DD13&lt;&gt;"",CW13=""),AND(ED13&gt;=EJ$21,ED13&lt;&gt;""),AND(EI13&gt;=EJ$21,EI13&lt;&gt;""),AND(FF13&gt;=FL$21,FF13&lt;&gt;""),AND(FK13&gt;=FL$21,FK13&lt;&gt;""),AND(GH13&gt;=GN$21,GH13&lt;&gt;""),AND(GM13&gt;=GN$21,GM13&lt;&gt;""),AND(HJ13&gt;=HP$21,HJ13&lt;&gt;""),AND(HO13&gt;=HP$21,HO13&lt;&gt;""),AND(IL13&gt;=IR$21,IL13&lt;&gt;""),AND(IQ13&gt;=IR$21,IQ13&lt;&gt;""),AND(JN13&gt;=JT$21,JN13&lt;&gt;""),AND(JS13&gt;=JT$21,JS13&lt;&gt;""),AND(KP13&gt;=KV$21,KP13&lt;&gt;""),AND(KU13&gt;=KV$21,KU13&lt;&gt;""),AND(LR13&gt;=LX$21,LR13&lt;&gt;""),AND(LW13&gt;=LX$21,LW13&lt;&gt;""),AND(MT13&gt;=MZ$21,MT13&lt;&gt;""),AND(MY13&gt;=MZ$21,MY13&lt;&gt;""),AND(NV13&gt;=OB$21,NV13&lt;&gt;""),AND(OA13&gt;=OB$21,OA13&lt;&gt;""),AND(OX13&gt;=PD$21,OX13&lt;&gt;""),AND(PC13&gt;=PD$21,PC13&lt;&gt;""),AND(PZ13&gt;=QF$21,PZ13&lt;&gt;""),AND(QE13&gt;=QF$21,QE13&lt;&gt;"")),"P","")</f>
        <v/>
      </c>
      <c r="H13" s="70" t="str">
        <f>IF(AND(G13="P",F13=""),"No DD",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Merit",IF(OR(AND(AU13&gt;=AY$19,AV13&gt;=AY$23,AU13&lt;&gt;"",AQ13=""),AND(BX13&gt;=CB$19,BY13&gt;=CB$23,BX13&lt;&gt;"",BT13=""),AND(DA13&gt;=DE$19,DB13&gt;=DE$23,DA13&lt;&gt;"",CW13=""),AND(EF13&gt;=EJ$19,EG13&gt;=EJ$23,EF13&lt;&gt;""),AND(FH13&gt;=FL$19,FI13&gt;=FL$23,FH13&lt;&gt;""),AND(GJ13&gt;=GN$19,GK13&gt;=GN$23,GJ13&lt;&gt;""),AND(HL13&gt;=HP$19,HM13&gt;=HP$23,HL13&lt;&gt;""),AND(IN13&gt;=IR$19,IO13&gt;=IR$23,IN13&lt;&gt;""),AND(JP13&gt;=JT$19,JQ13&gt;=JT$23,JP13&lt;&gt;""),AND(KR13&gt;=KV$19,KS13&gt;=KV$23,KR13&lt;&gt;""),AND(LT13&gt;=LX$19,LU13&gt;=LX$23,LT13&lt;&gt;""),AND(MV13&gt;=MZ$19,MW13&gt;=MZ$23,MV13&lt;&gt;""),AND(NX13&gt;=OB$19,NY13&gt;=OB$23,NX13&lt;&gt;""),AND(OZ13&gt;=PD$19,PA13&gt;=PD$23,OZ13&lt;&gt;""),AND(QB13&gt;=QF$19,QC13&gt;=QF$23,QB13&lt;&gt;"")),"Excellence",IF(I13="P","Worlds Team",IF(F13="P","National Team","")))))</f>
        <v/>
      </c>
      <c r="I13" s="3" t="str">
        <f>IF(OR(AND(AU13&gt;=AY$18,AV13&gt;=AY$22,AU13&lt;&gt;"",AQ13=""),AND(BX13&gt;=CB$18,BY13&gt;=CB$22,BX13&lt;&gt;"",BT13=""),AND(DA13&gt;=DE$18,DB13&gt;=DE$22,DA13&lt;&gt;"",CW13=""),AND(EF13&gt;=EJ$18,EG13&gt;=EJ$22,EF13&lt;&gt;""),AND(FH13&gt;=FL$18,FI13&gt;=FL$22,FH13&lt;&gt;""),AND(GJ13&gt;=GN$18,GK13&gt;=GN$22,GJ13&lt;&gt;""),AND(HL13&gt;=HP$18,HM13&gt;=HP$22,HL13&lt;&gt;""),AND(IN13&gt;=IR$18,IO13&gt;=IR$22,IN13&lt;&gt;""),AND(JP13&gt;=JT$18,JQ13&gt;=JT$22,JP13&lt;&gt;""),AND(KR13&gt;=KV$18,KS13&gt;=KV$22,KR13&lt;&gt;""),AND(LT13&gt;=LX$18,LU13&gt;=LX$22,LT13&lt;&gt;""),AND(MV13&gt;=MZ$18,MW13&gt;=MZ$22,MV13&lt;&gt;""),AND(NX13&gt;=OB$18,NY13&gt;=OB$22,NX13&lt;&gt;""),AND(OZ13&gt;=PD$18,PA13&gt;=PD$22,OZ13&lt;&gt;""),AND(QB13&gt;=QF$18,QC13&gt;=QF$22,QB13&lt;&gt;"")),"P","")</f>
        <v/>
      </c>
      <c r="J13" s="13">
        <f>IF(COUNT(AS13,BV13,CY13)&gt;0,LARGE((AS13,BV13,CY13),1),0)</f>
        <v>47.3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23.5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47.4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18.5</v>
      </c>
      <c r="CD13" s="27">
        <v>5.2</v>
      </c>
      <c r="CE13" s="27">
        <v>0</v>
      </c>
      <c r="CF13" s="27">
        <v>0</v>
      </c>
      <c r="CG13" s="27">
        <v>18.600000000000001</v>
      </c>
      <c r="CH13" s="27">
        <v>5.6</v>
      </c>
      <c r="CI13" s="27">
        <v>0.6</v>
      </c>
      <c r="CJ13" s="27">
        <v>0</v>
      </c>
      <c r="CK13" s="27">
        <v>18.2</v>
      </c>
      <c r="CL13" s="27">
        <v>5.2</v>
      </c>
      <c r="CM13" s="27">
        <v>0.2</v>
      </c>
      <c r="CN13" s="27">
        <v>0.3</v>
      </c>
      <c r="CO13" s="27">
        <v>18.399999999999999</v>
      </c>
      <c r="CP13" s="27">
        <v>5.2</v>
      </c>
      <c r="CQ13" s="27">
        <v>0.6</v>
      </c>
      <c r="CR13" s="27">
        <v>0</v>
      </c>
      <c r="CS13" s="27">
        <v>19</v>
      </c>
      <c r="CT13" s="27">
        <v>5.6</v>
      </c>
      <c r="CU13" s="27">
        <v>0.2</v>
      </c>
      <c r="CV13" s="27">
        <v>0</v>
      </c>
      <c r="CW13" s="51"/>
      <c r="CX13" s="76">
        <f>IF(SUM(CD13,CH13)&gt;0,SUM(CD13,CH13),"")</f>
        <v>10.8</v>
      </c>
      <c r="CY13" s="76">
        <f>IF(SUM(CC13:CD13,CF13:CH13,CJ13)-CE13-CI13&gt;0,SUM(CC13:CD13,CF13:CH13,CJ13)-CE13-CI13,"")</f>
        <v>47.3</v>
      </c>
      <c r="CZ13" s="76">
        <f>IF(SUM(CK13:CL13,CN13)-CM13&gt;0,SUM(CK13:CL13,CN13)-CM13,"")</f>
        <v>23.5</v>
      </c>
      <c r="DA13" s="76">
        <f>IF(SUM(CD13,CH13,CL13)&gt;0,SUM(CD13,CH13,CL13),"")</f>
        <v>16</v>
      </c>
      <c r="DB13" s="76">
        <f>IF(SUM(CY13,CZ13)&gt;0,SUM(CY13,CZ13),"")</f>
        <v>70.8</v>
      </c>
      <c r="DC13" s="76">
        <f>IF(SUM(CP13,CT13)&gt;0,SUM(CP13,CT13),"")</f>
        <v>10.8</v>
      </c>
      <c r="DD13" s="76">
        <f>IF(SUM(CO13:CP13,CR13:CT13,CV13)-SUM(CQ13,CU13)&gt;0,SUM(CO13:CP13,CR13:CT13,CV13)-SUM(CQ13,CU13),"")</f>
        <v>47.4</v>
      </c>
      <c r="DE13" s="76">
        <f>IF(SUM(CY13,DD13)&gt;0,SUM(CY13,DD13),"")</f>
        <v>94.699999999999989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9.25</v>
      </c>
      <c r="QH13" s="42">
        <f>IF($CW13="P",CD13,(CD13+BA13)/2)</f>
        <v>2.6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9.3000000000000007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9.1</v>
      </c>
      <c r="QP13" s="42">
        <f>IF($CW13="P",CL13,(CL13+BI13)/2)</f>
        <v>2.6</v>
      </c>
      <c r="QQ13" s="42">
        <f>IF($CW13="P",CM13,(CM13+BJ13)/2)</f>
        <v>0.1</v>
      </c>
      <c r="QR13" s="42">
        <f>IF($CW13="P",CN13,(CN13+BK13)/2)</f>
        <v>0.15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9.5</v>
      </c>
      <c r="QX13" s="42">
        <f>IF($CW13="P",CT13,(CT13+BQ13)/2)</f>
        <v>2.8</v>
      </c>
      <c r="QY13" s="42">
        <f>IF($CW13="P",CU13,(CU13+BR13)/2)</f>
        <v>0.1</v>
      </c>
      <c r="QZ13" s="42">
        <f>IF($CW13="P",CV13,(CV13+BS13)/2)</f>
        <v>0</v>
      </c>
      <c r="RA13" s="51" t="s">
        <v>61</v>
      </c>
      <c r="RB13" s="76">
        <f>IF(SUM(QH13,QL13)&gt;0,SUM(QH13,QL13),"")</f>
        <v>5.4</v>
      </c>
      <c r="RC13" s="76">
        <f>IF(SUM(QG13:QH13,QJ13:QL13,QN13)-QI13-QM13&gt;0,SUM(QG13:QH13,QJ13:QL13,QN13)-QI13-QM13,"")</f>
        <v>23.65</v>
      </c>
      <c r="RD13" s="76">
        <f>IF(SUM(QO13:QP13,QR13)-QQ13&gt;0,SUM(QO13:QP13,QR13)-QQ13,"")</f>
        <v>11.75</v>
      </c>
      <c r="RE13" s="76">
        <f>IF(SUM(QH13,QL13,QP13)&gt;0,SUM(QH13,QL13,QP13),"")</f>
        <v>8</v>
      </c>
      <c r="RF13" s="76">
        <f>IF(SUM(RC13,RD13)&gt;0,SUM(RC13,RD13),"")</f>
        <v>35.4</v>
      </c>
      <c r="RG13" s="76">
        <f>IF(SUM(QT13,QX13)&gt;0,SUM(QT13,QX13),"")</f>
        <v>5.4</v>
      </c>
      <c r="RH13" s="76">
        <f>IF(SUM(QS13:QT13,QV13:QX13,QZ13)-SUM(QU13,QY13)&gt;0,SUM(QS13:QT13,QV13:QX13,QZ13)-SUM(QU13,QY13),"")</f>
        <v>23.7</v>
      </c>
      <c r="RI13" s="76">
        <f>IF(SUM(RC13,RH13)&gt;0,SUM(RC13,RH13),"")</f>
        <v>47.349999999999994</v>
      </c>
    </row>
    <row r="14" spans="1:477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101</v>
      </c>
      <c r="C14" s="7" t="s">
        <v>6</v>
      </c>
      <c r="D14" s="18">
        <v>2003</v>
      </c>
      <c r="E14" s="14">
        <f>SUM(J14:T14)+SUM(J14:P14)*0.0000001+SUM(J14)*0.0000000000001</f>
        <v>40.500004050004051</v>
      </c>
      <c r="F14" s="3" t="str">
        <f>IF(OR(AND(AR14&gt;=AY$17,AS14&gt;=AY$21,AR14&lt;&gt;"",AQ14=""),AND(AW14&gt;=AY$17,AX14&gt;=AY$21,AW14&lt;&gt;"",AQ14=""),AND(BU14&gt;=CB$17,BV14&gt;=CB$21,BU14&lt;&gt;"",BT14=""),AND(BZ14&gt;=CB$17,CA14&gt;=CB$21,BZ14&lt;&gt;"",BT14=""),AND(CX14&gt;=DE$17,CY14&gt;=DE$21,CX14&lt;&gt;"",CW14=""),AND(DC14&gt;=DE$17,DD14&gt;=DE$21,DC14&lt;&gt;""),AND(EC14&gt;=EJ$17,ED14&gt;=EJ$21,EC14&lt;&gt;""),AND(EH14&gt;=EJ$17,EI14&gt;=EJ$21,EH14&lt;&gt;""),AND(FE14&gt;=FL$17,FF14&gt;=FL$21,FE14&lt;&gt;""),AND(FJ14&gt;=FL$17,FK14&gt;=FL$21,FJ14&lt;&gt;""),AND(GG14&gt;=GN$17,GH14&gt;=GN$21,GG14&lt;&gt;""),AND(GL14&gt;=GN$17,GM14&gt;=GN$21,GL14&lt;&gt;""),AND(HI14&gt;=HP$17,HJ14&gt;=HP$21,HI14&lt;&gt;""),AND(HN14&gt;=HP$17,HO14&gt;=HP$21,HN14&lt;&gt;""),AND(IK14&gt;=IR$17,IL14&gt;=IR$21,IK14&lt;&gt;""),AND(IP14&gt;=IR$17,IQ14&gt;=IR$21,IP14&lt;&gt;""),AND(JM14&gt;=JT$17,JN14&gt;=JT$21,JM14&lt;&gt;""),AND(JR14&gt;=JT$17,JS14&gt;=JT$21,JR14&lt;&gt;""),AND(KO14&gt;=KV$17,KP14&gt;=KV$21,KO14&lt;&gt;""),AND(KT14&gt;=KV$17,KU14&gt;=KV$21,KT14&lt;&gt;""),AND(LQ14&gt;=LX$17,LR14&gt;=LX$21,LQ14&lt;&gt;""),AND(LV14&gt;=LX$17,LW14&gt;=LX$21,LV14&lt;&gt;""),AND(MS14&gt;=MZ$17,MT14&gt;=MZ$21,MS14&lt;&gt;""),AND(MX14&gt;=MZ$17,MY14&gt;=MZ$21,MX14&lt;&gt;""),AND(NU14&gt;=OB$17,NV14&gt;=OB$21,NU14&lt;&gt;""),AND(NZ14&gt;=OB$17,OA14&gt;=OB$21,NZ14&lt;&gt;""),AND(OW14&gt;=PD$17,OX14&gt;=PD$21,OW14&lt;&gt;""),AND(PB14&gt;=PD$17,PC14&gt;=PD$21,PB14&lt;&gt;""),AND(PY14&gt;=QF$17,PZ14&gt;=QF$21,PY14&lt;&gt;""),AND(QD14&gt;=QF$17,QE14&gt;=QF$21,QD14&lt;&gt;"")),"P","")</f>
        <v/>
      </c>
      <c r="G14" s="3" t="str">
        <f>IF(OR(AND(AS14&gt;=AY$21,AS14&lt;&gt;"",AQ14=""),AND(AX14&gt;=AY$21,AX14&lt;&gt;"",AQ14=""),AND(BV14&gt;=CB$21,BV14&lt;&gt;"",BT14=""),AND(CA14&gt;=CB$21,CA14&lt;&gt;"",BT14=""),AND(CY14&gt;=DE$21,CY14&lt;&gt;"",CW14=""),AND(DD14&gt;=DE$21,DD14&lt;&gt;"",CW14=""),AND(ED14&gt;=EJ$21,ED14&lt;&gt;""),AND(EI14&gt;=EJ$21,EI14&lt;&gt;""),AND(FF14&gt;=FL$21,FF14&lt;&gt;""),AND(FK14&gt;=FL$21,FK14&lt;&gt;""),AND(GH14&gt;=GN$21,GH14&lt;&gt;""),AND(GM14&gt;=GN$21,GM14&lt;&gt;""),AND(HJ14&gt;=HP$21,HJ14&lt;&gt;""),AND(HO14&gt;=HP$21,HO14&lt;&gt;""),AND(IL14&gt;=IR$21,IL14&lt;&gt;""),AND(IQ14&gt;=IR$21,IQ14&lt;&gt;""),AND(JN14&gt;=JT$21,JN14&lt;&gt;""),AND(JS14&gt;=JT$21,JS14&lt;&gt;""),AND(KP14&gt;=KV$21,KP14&lt;&gt;""),AND(KU14&gt;=KV$21,KU14&lt;&gt;""),AND(LR14&gt;=LX$21,LR14&lt;&gt;""),AND(LW14&gt;=LX$21,LW14&lt;&gt;""),AND(MT14&gt;=MZ$21,MT14&lt;&gt;""),AND(MY14&gt;=MZ$21,MY14&lt;&gt;""),AND(NV14&gt;=OB$21,NV14&lt;&gt;""),AND(OA14&gt;=OB$21,OA14&lt;&gt;""),AND(OX14&gt;=PD$21,OX14&lt;&gt;""),AND(PC14&gt;=PD$21,PC14&lt;&gt;""),AND(PZ14&gt;=QF$21,PZ14&lt;&gt;""),AND(QE14&gt;=QF$21,QE14&lt;&gt;"")),"P","")</f>
        <v/>
      </c>
      <c r="H14" s="70" t="str">
        <f>IF(AND(G14="P",F14=""),"No DD",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Merit",IF(OR(AND(AU14&gt;=AY$19,AV14&gt;=AY$23,AU14&lt;&gt;"",AQ14=""),AND(BX14&gt;=CB$19,BY14&gt;=CB$23,BX14&lt;&gt;"",BT14=""),AND(DA14&gt;=DE$19,DB14&gt;=DE$23,DA14&lt;&gt;"",CW14=""),AND(EF14&gt;=EJ$19,EG14&gt;=EJ$23,EF14&lt;&gt;""),AND(FH14&gt;=FL$19,FI14&gt;=FL$23,FH14&lt;&gt;""),AND(GJ14&gt;=GN$19,GK14&gt;=GN$23,GJ14&lt;&gt;""),AND(HL14&gt;=HP$19,HM14&gt;=HP$23,HL14&lt;&gt;""),AND(IN14&gt;=IR$19,IO14&gt;=IR$23,IN14&lt;&gt;""),AND(JP14&gt;=JT$19,JQ14&gt;=JT$23,JP14&lt;&gt;""),AND(KR14&gt;=KV$19,KS14&gt;=KV$23,KR14&lt;&gt;""),AND(LT14&gt;=LX$19,LU14&gt;=LX$23,LT14&lt;&gt;""),AND(MV14&gt;=MZ$19,MW14&gt;=MZ$23,MV14&lt;&gt;""),AND(NX14&gt;=OB$19,NY14&gt;=OB$23,NX14&lt;&gt;""),AND(OZ14&gt;=PD$19,PA14&gt;=PD$23,OZ14&lt;&gt;""),AND(QB14&gt;=QF$19,QC14&gt;=QF$23,QB14&lt;&gt;"")),"Excellence",IF(I14="P","Worlds Team",IF(F14="P","National Team","")))))</f>
        <v/>
      </c>
      <c r="I14" s="3" t="str">
        <f>IF(OR(AND(AU14&gt;=AY$18,AV14&gt;=AY$22,AU14&lt;&gt;"",AQ14=""),AND(BX14&gt;=CB$18,BY14&gt;=CB$22,BX14&lt;&gt;"",BT14=""),AND(DA14&gt;=DE$18,DB14&gt;=DE$22,DA14&lt;&gt;"",CW14=""),AND(EF14&gt;=EJ$18,EG14&gt;=EJ$22,EF14&lt;&gt;""),AND(FH14&gt;=FL$18,FI14&gt;=FL$22,FH14&lt;&gt;""),AND(GJ14&gt;=GN$18,GK14&gt;=GN$22,GJ14&lt;&gt;""),AND(HL14&gt;=HP$18,HM14&gt;=HP$22,HL14&lt;&gt;""),AND(IN14&gt;=IR$18,IO14&gt;=IR$22,IN14&lt;&gt;""),AND(JP14&gt;=JT$18,JQ14&gt;=JT$22,JP14&lt;&gt;""),AND(KR14&gt;=KV$18,KS14&gt;=KV$22,KR14&lt;&gt;""),AND(LT14&gt;=LX$18,LU14&gt;=LX$22,LT14&lt;&gt;""),AND(MV14&gt;=MZ$18,MW14&gt;=MZ$22,MV14&lt;&gt;""),AND(NX14&gt;=OB$18,NY14&gt;=OB$22,NX14&lt;&gt;""),AND(OZ14&gt;=PD$18,PA14&gt;=PD$22,OZ14&lt;&gt;""),AND(QB14&gt;=QF$18,QC14&gt;=QF$22,QB14&lt;&gt;"")),"P","")</f>
        <v/>
      </c>
      <c r="J14" s="13">
        <f>IF(COUNT(AS14,BV14,CY14)&gt;0,LARGE((AS14,BV14,CY14),1),0)</f>
        <v>40.5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0</v>
      </c>
      <c r="O14" s="13" t="str">
        <f>IF(N14=0,"",IF(N14=CZ14,$CC$1,IF(N14=BW14,$AZ$1,IF(N14=AT14,$W$1,""))))</f>
        <v/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18.399999999999999</v>
      </c>
      <c r="CD14" s="27">
        <v>5.2</v>
      </c>
      <c r="CE14" s="27">
        <v>0.2</v>
      </c>
      <c r="CF14" s="27">
        <v>0</v>
      </c>
      <c r="CG14" s="27">
        <v>17.100000000000001</v>
      </c>
      <c r="CH14" s="27">
        <v>0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0</v>
      </c>
      <c r="CS14" s="27">
        <v>0</v>
      </c>
      <c r="CT14" s="27">
        <v>0</v>
      </c>
      <c r="CU14" s="27">
        <v>0</v>
      </c>
      <c r="CV14" s="27">
        <v>0</v>
      </c>
      <c r="CW14" s="51"/>
      <c r="CX14" s="76">
        <f>IF(SUM(CD14,CH14)&gt;0,SUM(CD14,CH14),"")</f>
        <v>5.2</v>
      </c>
      <c r="CY14" s="76">
        <f>IF(SUM(CC14:CD14,CF14:CH14,CJ14)-CE14-CI14&gt;0,SUM(CC14:CD14,CF14:CH14,CJ14)-CE14-CI14,"")</f>
        <v>40.5</v>
      </c>
      <c r="CZ14" s="76" t="str">
        <f>IF(SUM(CK14:CL14,CN14)-CM14&gt;0,SUM(CK14:CL14,CN14)-CM14,"")</f>
        <v/>
      </c>
      <c r="DA14" s="76">
        <f>IF(SUM(CD14,CH14,CL14)&gt;0,SUM(CD14,CH14,CL14),"")</f>
        <v>5.2</v>
      </c>
      <c r="DB14" s="76">
        <f>IF(SUM(CY14,CZ14)&gt;0,SUM(CY14,CZ14),"")</f>
        <v>40.5</v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>
        <f>IF(SUM(CY14,DD14)&gt;0,SUM(CY14,DD14),"")</f>
        <v>40.5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0.1</v>
      </c>
      <c r="QJ14" s="42">
        <f>IF($CW14="P",CF14,(CF14+BC14)/2)</f>
        <v>0</v>
      </c>
      <c r="QK14" s="42">
        <f>IF($CW14="P",CG14,(CG14+BD14)/2)</f>
        <v>8.5500000000000007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0</v>
      </c>
      <c r="QP14" s="42">
        <f>IF($CW14="P",CL14,(CL14+BI14)/2)</f>
        <v>0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2.6</v>
      </c>
      <c r="RC14" s="76">
        <f>IF(SUM(QG14:QH14,QJ14:QL14,QN14)-QI14-QM14&gt;0,SUM(QG14:QH14,QJ14:QL14,QN14)-QI14-QM14,"")</f>
        <v>20.25</v>
      </c>
      <c r="RD14" s="76" t="str">
        <f>IF(SUM(QO14:QP14,QR14)-QQ14&gt;0,SUM(QO14:QP14,QR14)-QQ14,"")</f>
        <v/>
      </c>
      <c r="RE14" s="76">
        <f>IF(SUM(QH14,QL14,QP14)&gt;0,SUM(QH14,QL14,QP14),"")</f>
        <v>2.6</v>
      </c>
      <c r="RF14" s="76">
        <f>IF(SUM(RC14,RD14)&gt;0,SUM(RC14,RD14),"")</f>
        <v>20.25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20.25</v>
      </c>
    </row>
    <row r="15" spans="1:477" ht="17" x14ac:dyDescent="0.2">
      <c r="T15" s="15"/>
      <c r="U15" s="15"/>
      <c r="V15" s="15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</row>
    <row r="16" spans="1:477" ht="17" x14ac:dyDescent="0.2">
      <c r="T16" s="15"/>
      <c r="U16" s="15"/>
      <c r="V16" s="15"/>
    </row>
    <row r="17" spans="1:458" ht="17" x14ac:dyDescent="0.2">
      <c r="B17" s="43" t="s">
        <v>58</v>
      </c>
      <c r="T17" s="15"/>
      <c r="U17" s="15"/>
      <c r="V17" s="15"/>
      <c r="AR17" s="7"/>
      <c r="AY17" s="78">
        <v>1.0000000000000001E-5</v>
      </c>
      <c r="BU17" s="7"/>
      <c r="CB17" s="78">
        <v>1.0000000000000001E-5</v>
      </c>
      <c r="CX17" s="7"/>
      <c r="DE17" s="78">
        <v>10.8</v>
      </c>
      <c r="EC17" s="7"/>
      <c r="EJ17" s="78">
        <v>1.0000000000000001E-5</v>
      </c>
      <c r="FE17" s="7"/>
      <c r="FL17" s="78">
        <v>10.8</v>
      </c>
      <c r="GG17" s="7"/>
      <c r="GN17" s="78">
        <v>10.8</v>
      </c>
      <c r="HI17" s="7"/>
      <c r="HP17" s="78">
        <v>10.8</v>
      </c>
      <c r="IK17" s="7"/>
      <c r="IR17" s="78">
        <v>10.8</v>
      </c>
      <c r="JM17" s="7"/>
      <c r="JT17" s="78">
        <v>10.8</v>
      </c>
      <c r="KO17" s="7"/>
      <c r="KV17" s="78">
        <v>10.8</v>
      </c>
      <c r="LQ17" s="7"/>
      <c r="LX17" s="78">
        <v>10.8</v>
      </c>
      <c r="MS17" s="7"/>
      <c r="MZ17" s="78">
        <v>10.8</v>
      </c>
      <c r="NU17" s="7"/>
      <c r="OB17" s="78">
        <v>10.8</v>
      </c>
      <c r="OW17" s="7"/>
      <c r="PD17" s="78">
        <v>10.8</v>
      </c>
      <c r="PY17" s="7"/>
      <c r="QF17" s="78">
        <v>10.8</v>
      </c>
    </row>
    <row r="18" spans="1:458" ht="17" x14ac:dyDescent="0.2">
      <c r="B18" s="54" t="s">
        <v>57</v>
      </c>
      <c r="T18" s="15"/>
      <c r="U18" s="15"/>
      <c r="V18" s="15"/>
      <c r="AR18" s="7"/>
      <c r="AY18" s="93">
        <v>2.0000000000000002E-5</v>
      </c>
      <c r="BU18" s="7"/>
      <c r="CB18" s="93">
        <v>2.0000000000000002E-5</v>
      </c>
      <c r="CX18" s="7"/>
      <c r="DE18" s="93">
        <v>16</v>
      </c>
      <c r="EC18" s="7"/>
      <c r="EJ18" s="93">
        <v>2.0000000000000002E-5</v>
      </c>
      <c r="FE18" s="7"/>
      <c r="FL18" s="93">
        <v>16</v>
      </c>
      <c r="GG18" s="7"/>
      <c r="GN18" s="93">
        <v>16</v>
      </c>
      <c r="HI18" s="7"/>
      <c r="HP18" s="93">
        <v>16</v>
      </c>
      <c r="IK18" s="7"/>
      <c r="IR18" s="93">
        <v>16</v>
      </c>
      <c r="JM18" s="7"/>
      <c r="JT18" s="93">
        <v>16</v>
      </c>
      <c r="KO18" s="7"/>
      <c r="KV18" s="93">
        <v>16</v>
      </c>
      <c r="LQ18" s="7"/>
      <c r="LX18" s="93">
        <v>16</v>
      </c>
      <c r="MS18" s="7"/>
      <c r="MZ18" s="93">
        <v>16</v>
      </c>
      <c r="NU18" s="7"/>
      <c r="OB18" s="93">
        <v>16</v>
      </c>
      <c r="OW18" s="7"/>
      <c r="PD18" s="93">
        <v>16</v>
      </c>
      <c r="PY18" s="7"/>
      <c r="QF18" s="93">
        <v>16</v>
      </c>
    </row>
    <row r="19" spans="1:458" ht="17" x14ac:dyDescent="0.2">
      <c r="A19" s="35"/>
      <c r="B19" s="55" t="s">
        <v>71</v>
      </c>
      <c r="C19" s="34"/>
      <c r="T19" s="15"/>
      <c r="U19" s="15"/>
      <c r="V19" s="15"/>
      <c r="AR19" s="7"/>
      <c r="AY19" s="80">
        <v>3.0000000000000001E-5</v>
      </c>
      <c r="BU19" s="7"/>
      <c r="CB19" s="80">
        <v>3.0000000000000001E-5</v>
      </c>
      <c r="CX19" s="7"/>
      <c r="DE19" s="80">
        <v>16.8</v>
      </c>
      <c r="EC19" s="7"/>
      <c r="EJ19" s="80">
        <v>3.0000000000000001E-5</v>
      </c>
      <c r="FE19" s="7"/>
      <c r="FL19" s="80">
        <v>16.8</v>
      </c>
      <c r="GG19" s="7"/>
      <c r="GN19" s="80">
        <v>16.8</v>
      </c>
      <c r="HI19" s="7"/>
      <c r="HP19" s="80">
        <v>16.8</v>
      </c>
      <c r="IK19" s="7"/>
      <c r="IR19" s="80">
        <v>16.8</v>
      </c>
      <c r="JM19" s="7"/>
      <c r="JT19" s="80">
        <v>16.8</v>
      </c>
      <c r="KO19" s="7"/>
      <c r="KV19" s="80">
        <v>16.8</v>
      </c>
      <c r="LQ19" s="7"/>
      <c r="LX19" s="80">
        <v>16.8</v>
      </c>
      <c r="MS19" s="7"/>
      <c r="MZ19" s="80">
        <v>16.8</v>
      </c>
      <c r="NU19" s="7"/>
      <c r="OB19" s="80">
        <v>16.8</v>
      </c>
      <c r="OW19" s="7"/>
      <c r="PD19" s="80">
        <v>16.8</v>
      </c>
      <c r="PY19" s="7"/>
      <c r="QF19" s="80">
        <v>16.8</v>
      </c>
    </row>
    <row r="20" spans="1:458" ht="17" x14ac:dyDescent="0.2">
      <c r="A20" s="35"/>
      <c r="B20" s="66" t="s">
        <v>86</v>
      </c>
      <c r="C20" s="34"/>
      <c r="T20" s="15"/>
      <c r="U20" s="15"/>
      <c r="V20" s="15"/>
      <c r="AR20" s="7"/>
      <c r="AY20" s="81">
        <v>4.0000000000000003E-5</v>
      </c>
      <c r="BU20" s="7"/>
      <c r="CB20" s="81">
        <v>4.0000000000000003E-5</v>
      </c>
      <c r="CX20" s="7"/>
      <c r="DE20" s="81">
        <v>17.600000000000001</v>
      </c>
      <c r="EC20" s="7"/>
      <c r="EJ20" s="81">
        <v>4.0000000000000003E-5</v>
      </c>
      <c r="FE20" s="7"/>
      <c r="FL20" s="81">
        <v>17.600000000000001</v>
      </c>
      <c r="GG20" s="7"/>
      <c r="GN20" s="81">
        <v>17.600000000000001</v>
      </c>
      <c r="HI20" s="7"/>
      <c r="HP20" s="81">
        <v>17.600000000000001</v>
      </c>
      <c r="IK20" s="7"/>
      <c r="IR20" s="81">
        <v>17.600000000000001</v>
      </c>
      <c r="JM20" s="7"/>
      <c r="JT20" s="81">
        <v>17.600000000000001</v>
      </c>
      <c r="KO20" s="7"/>
      <c r="KV20" s="81">
        <v>17.600000000000001</v>
      </c>
      <c r="LQ20" s="7"/>
      <c r="LX20" s="81">
        <v>17.600000000000001</v>
      </c>
      <c r="MS20" s="7"/>
      <c r="MZ20" s="81">
        <v>17.600000000000001</v>
      </c>
      <c r="NU20" s="7"/>
      <c r="OB20" s="81">
        <v>17.600000000000001</v>
      </c>
      <c r="OW20" s="7"/>
      <c r="PD20" s="81">
        <v>17.600000000000001</v>
      </c>
      <c r="PY20" s="7"/>
      <c r="QF20" s="81">
        <v>17.600000000000001</v>
      </c>
    </row>
    <row r="21" spans="1:458" ht="17" x14ac:dyDescent="0.2">
      <c r="A21" s="35"/>
      <c r="B21" s="65" t="s">
        <v>55</v>
      </c>
      <c r="C21" s="34"/>
      <c r="T21" s="15"/>
      <c r="U21" s="15"/>
      <c r="V21" s="15"/>
      <c r="AR21" s="7"/>
      <c r="AY21" s="82">
        <v>5.0000000000000002E-5</v>
      </c>
      <c r="BU21" s="7"/>
      <c r="CB21" s="82">
        <v>5.0000000000000002E-5</v>
      </c>
      <c r="CX21" s="7"/>
      <c r="DE21" s="82">
        <v>48</v>
      </c>
      <c r="EC21" s="7"/>
      <c r="EJ21" s="82">
        <v>5.0000000000000002E-5</v>
      </c>
      <c r="FE21" s="7"/>
      <c r="FL21" s="82">
        <v>48</v>
      </c>
      <c r="GG21" s="7"/>
      <c r="GN21" s="82">
        <v>48</v>
      </c>
      <c r="HI21" s="7"/>
      <c r="HP21" s="82">
        <v>48</v>
      </c>
      <c r="IK21" s="7"/>
      <c r="IR21" s="82">
        <v>48</v>
      </c>
      <c r="JM21" s="7"/>
      <c r="JT21" s="82">
        <v>48</v>
      </c>
      <c r="KO21" s="7"/>
      <c r="KV21" s="82">
        <v>48</v>
      </c>
      <c r="LQ21" s="7"/>
      <c r="LX21" s="82">
        <v>48</v>
      </c>
      <c r="MS21" s="7"/>
      <c r="MZ21" s="82">
        <v>48</v>
      </c>
      <c r="NU21" s="7"/>
      <c r="OB21" s="82">
        <v>48</v>
      </c>
      <c r="OW21" s="7"/>
      <c r="PD21" s="82">
        <v>48</v>
      </c>
      <c r="PY21" s="7"/>
      <c r="QF21" s="82">
        <v>48</v>
      </c>
    </row>
    <row r="22" spans="1:458" ht="17" x14ac:dyDescent="0.2">
      <c r="A22" s="35"/>
      <c r="B22" s="44" t="s">
        <v>56</v>
      </c>
      <c r="C22" s="34"/>
      <c r="T22" s="15"/>
      <c r="U22" s="15"/>
      <c r="V22" s="15"/>
      <c r="AR22" s="7"/>
      <c r="AY22" s="83">
        <v>6.0000000000000002E-5</v>
      </c>
      <c r="BU22" s="7"/>
      <c r="CB22" s="83">
        <v>6.0000000000000002E-5</v>
      </c>
      <c r="CX22" s="7"/>
      <c r="DE22" s="83">
        <v>72</v>
      </c>
      <c r="EC22" s="7"/>
      <c r="EJ22" s="83">
        <v>6.0000000000000002E-5</v>
      </c>
      <c r="FE22" s="7"/>
      <c r="FL22" s="83">
        <v>72</v>
      </c>
      <c r="GG22" s="7"/>
      <c r="GN22" s="83">
        <v>72</v>
      </c>
      <c r="HI22" s="7"/>
      <c r="HP22" s="83">
        <v>72</v>
      </c>
      <c r="IK22" s="7"/>
      <c r="IR22" s="83">
        <v>72</v>
      </c>
      <c r="JM22" s="7"/>
      <c r="JT22" s="83">
        <v>72</v>
      </c>
      <c r="KO22" s="7"/>
      <c r="KV22" s="83">
        <v>72</v>
      </c>
      <c r="LQ22" s="7"/>
      <c r="LX22" s="83">
        <v>72</v>
      </c>
      <c r="MS22" s="7"/>
      <c r="MZ22" s="83">
        <v>72</v>
      </c>
      <c r="NU22" s="7"/>
      <c r="OB22" s="83">
        <v>72</v>
      </c>
      <c r="OW22" s="7"/>
      <c r="PD22" s="83">
        <v>72</v>
      </c>
      <c r="PY22" s="7"/>
      <c r="QF22" s="83">
        <v>72</v>
      </c>
    </row>
    <row r="23" spans="1:458" ht="17" x14ac:dyDescent="0.2">
      <c r="A23" s="35"/>
      <c r="B23" s="64" t="s">
        <v>70</v>
      </c>
      <c r="C23" s="34"/>
      <c r="T23" s="15"/>
      <c r="U23" s="15"/>
      <c r="V23" s="15"/>
      <c r="AR23" s="7"/>
      <c r="AY23" s="84">
        <v>6.9999999999999994E-5</v>
      </c>
      <c r="BU23" s="7"/>
      <c r="CB23" s="84">
        <v>6.9999999999999994E-5</v>
      </c>
      <c r="CX23" s="7"/>
      <c r="DE23" s="84">
        <v>73.400000000000006</v>
      </c>
      <c r="EC23" s="7"/>
      <c r="EJ23" s="84">
        <v>6.9999999999999994E-5</v>
      </c>
      <c r="FE23" s="7"/>
      <c r="FL23" s="84">
        <v>73.400000000000006</v>
      </c>
      <c r="GG23" s="7"/>
      <c r="GN23" s="84">
        <v>73.400000000000006</v>
      </c>
      <c r="HI23" s="7"/>
      <c r="HP23" s="84">
        <v>73.400000000000006</v>
      </c>
      <c r="IK23" s="7"/>
      <c r="IR23" s="84">
        <v>73.400000000000006</v>
      </c>
      <c r="JM23" s="7"/>
      <c r="JT23" s="84">
        <v>73.400000000000006</v>
      </c>
      <c r="KO23" s="7"/>
      <c r="KV23" s="84">
        <v>73.400000000000006</v>
      </c>
      <c r="LQ23" s="7"/>
      <c r="LX23" s="84">
        <v>73.400000000000006</v>
      </c>
      <c r="MS23" s="7"/>
      <c r="MZ23" s="84">
        <v>73.400000000000006</v>
      </c>
      <c r="NU23" s="7"/>
      <c r="OB23" s="84">
        <v>73.400000000000006</v>
      </c>
      <c r="OW23" s="7"/>
      <c r="PD23" s="84">
        <v>73.400000000000006</v>
      </c>
      <c r="PY23" s="7"/>
      <c r="QF23" s="84">
        <v>73.400000000000006</v>
      </c>
    </row>
    <row r="24" spans="1:458" ht="17" x14ac:dyDescent="0.2">
      <c r="A24" s="35"/>
      <c r="B24" s="45" t="s">
        <v>39</v>
      </c>
      <c r="C24" s="34"/>
      <c r="T24" s="15"/>
      <c r="U24" s="15"/>
      <c r="V24" s="15"/>
      <c r="AR24" s="7"/>
      <c r="AV24" s="70" t="s">
        <v>177</v>
      </c>
      <c r="AY24" s="85">
        <v>8.0000000000000007E-5</v>
      </c>
      <c r="BU24" s="7"/>
      <c r="BY24" s="70" t="s">
        <v>177</v>
      </c>
      <c r="CB24" s="85">
        <v>8.0000000000000007E-5</v>
      </c>
      <c r="CX24" s="7"/>
      <c r="DE24" s="85">
        <v>74.8</v>
      </c>
      <c r="EC24" s="7"/>
      <c r="EG24" s="70" t="s">
        <v>177</v>
      </c>
      <c r="EJ24" s="85">
        <v>8.0000000000000007E-5</v>
      </c>
      <c r="FE24" s="7"/>
      <c r="FL24" s="85">
        <v>74.8</v>
      </c>
      <c r="GG24" s="7"/>
      <c r="GN24" s="85">
        <v>74.8</v>
      </c>
      <c r="HI24" s="7"/>
      <c r="HP24" s="85">
        <v>74.8</v>
      </c>
      <c r="IK24" s="7"/>
      <c r="IR24" s="85">
        <v>74.8</v>
      </c>
      <c r="JM24" s="7"/>
      <c r="JT24" s="85">
        <v>74.8</v>
      </c>
      <c r="KO24" s="7"/>
      <c r="KV24" s="85">
        <v>74.8</v>
      </c>
      <c r="LQ24" s="7"/>
      <c r="LX24" s="85">
        <v>74.8</v>
      </c>
      <c r="MS24" s="7"/>
      <c r="MZ24" s="85">
        <v>74.8</v>
      </c>
      <c r="NU24" s="7"/>
      <c r="OB24" s="85">
        <v>74.8</v>
      </c>
      <c r="OW24" s="7"/>
      <c r="PD24" s="85">
        <v>74.8</v>
      </c>
      <c r="PY24" s="7"/>
      <c r="QF24" s="85">
        <v>74.8</v>
      </c>
    </row>
    <row r="25" spans="1:458" x14ac:dyDescent="0.2">
      <c r="B25" s="53" t="s">
        <v>62</v>
      </c>
      <c r="C25" s="2"/>
    </row>
    <row r="26" spans="1:458" x14ac:dyDescent="0.2">
      <c r="A26" s="35"/>
      <c r="B26" s="35"/>
      <c r="C26" s="34"/>
      <c r="QH26" s="2"/>
      <c r="QI26" s="2"/>
      <c r="QJ26" s="2"/>
      <c r="QK26" s="2"/>
      <c r="QL26" s="2"/>
      <c r="QM26" s="2"/>
      <c r="QN26" s="2"/>
      <c r="QO26" s="2"/>
      <c r="QP26" s="2"/>
    </row>
    <row r="27" spans="1:458" x14ac:dyDescent="0.2">
      <c r="A27" s="35"/>
      <c r="B27" s="35"/>
      <c r="C27" s="34"/>
    </row>
    <row r="28" spans="1:458" x14ac:dyDescent="0.2">
      <c r="A28" s="35"/>
      <c r="B28" s="35"/>
      <c r="C28" s="34"/>
    </row>
    <row r="29" spans="1:458" x14ac:dyDescent="0.2">
      <c r="A29" s="6"/>
      <c r="B29" s="6"/>
      <c r="C29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4">
      <sortCondition descending="1" ref="F1:F15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14">
    <cfRule type="expression" dxfId="27" priority="5" stopIfTrue="1">
      <formula>IF($AQ4&lt;&gt;"",1,0)</formula>
    </cfRule>
  </conditionalFormatting>
  <conditionalFormatting sqref="AZ4:CB14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4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5" priority="59902" operator="between">
      <formula>AY$17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4" priority="59947" operator="between">
      <formula>AY$21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3" priority="59992" operator="between">
      <formula>AY$17</formula>
      <formula>AY$18</formula>
    </cfRule>
    <cfRule type="cellIs" dxfId="12" priority="59993" operator="between">
      <formula>AY$18</formula>
      <formula>AY$19</formula>
    </cfRule>
    <cfRule type="cellIs" dxfId="11" priority="59994" operator="between">
      <formula>AY$19</formula>
      <formula>AY$20</formula>
    </cfRule>
    <cfRule type="cellIs" dxfId="10" priority="59995" operator="between">
      <formula>AY$20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" priority="60172" operator="between">
      <formula>AY$21</formula>
      <formula>AY$22</formula>
    </cfRule>
    <cfRule type="cellIs" dxfId="8" priority="60173" operator="between">
      <formula>AY$22</formula>
      <formula>AY$23</formula>
    </cfRule>
    <cfRule type="cellIs" dxfId="7" priority="60174" operator="between">
      <formula>AY$23</formula>
      <formula>AY$24</formula>
    </cfRule>
    <cfRule type="cellIs" dxfId="6" priority="60175" operator="between">
      <formula>AY$24</formula>
      <formula>1000</formula>
    </cfRule>
  </conditionalFormatting>
  <conditionalFormatting sqref="BY1:BY23 DB1:DB1048576 EG1:EG23 FI1:FI1048576 GK1:GK1048576 HM1:HM1048576 IO1:IO1048576 JQ1:JQ1048576 KS1:KS1048576 LU1:LU1048576 MW1:MW1048576 NY1:NY1048576 PA1:PA1048576 QC1:QC1048576 AV1:AV23 AV25:AV1048576 BY25:BY1048576 EG25:EG1048576">
    <cfRule type="cellIs" dxfId="5" priority="60352" operator="between">
      <formula>AY$24</formula>
      <formula>1000</formula>
    </cfRule>
    <cfRule type="cellIs" dxfId="4" priority="60353" operator="between">
      <formula>AY$23</formula>
      <formula>AY$24</formula>
    </cfRule>
    <cfRule type="cellIs" dxfId="3" priority="60354" operator="between">
      <formula>AY$22</formula>
      <formula>AY$23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0487" operator="between">
      <formula>AY$20</formula>
      <formula>1000</formula>
    </cfRule>
    <cfRule type="cellIs" dxfId="1" priority="60488" operator="between">
      <formula>AY$19</formula>
      <formula>AY$20</formula>
    </cfRule>
    <cfRule type="cellIs" dxfId="0" priority="60489" operator="between">
      <formula>AY$18</formula>
      <formula>AY$19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2022-04-08T17:11:09Z</dcterms:modified>
</cp:coreProperties>
</file>