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2D5AFEBF-22DE-4D47-A008-1A9BD7261BDE}" xr6:coauthVersionLast="47" xr6:coauthVersionMax="47" xr10:uidLastSave="{00000000-0000-0000-0000-000000000000}"/>
  <bookViews>
    <workbookView xWindow="0" yWindow="760" windowWidth="30240" windowHeight="18880" tabRatio="500" xr2:uid="{00000000-000D-0000-FFFF-FFFF00000000}"/>
  </bookViews>
  <sheets>
    <sheet name="Info" sheetId="11" r:id="rId1"/>
    <sheet name="TRA-M" sheetId="4" r:id="rId2"/>
    <sheet name="TRA-W" sheetId="22" r:id="rId3"/>
    <sheet name="SYN-M" sheetId="23" r:id="rId4"/>
    <sheet name="SYN-W" sheetId="24" r:id="rId5"/>
    <sheet name="TUM-M" sheetId="26" r:id="rId6"/>
    <sheet name="TUM-W" sheetId="27" r:id="rId7"/>
    <sheet name="DMT-M" sheetId="19" r:id="rId8"/>
    <sheet name="DMT-W" sheetId="21" r:id="rId9"/>
  </sheets>
  <definedNames>
    <definedName name="_xlnm._FilterDatabase" localSheetId="7" hidden="1">'DMT-M'!$A$1:$UM$1</definedName>
    <definedName name="_xlnm._FilterDatabase" localSheetId="8" hidden="1">'DMT-W'!$A$1:$UM$1</definedName>
    <definedName name="_xlnm._FilterDatabase" localSheetId="3" hidden="1">'SYN-M'!$A$1:$XL$1</definedName>
    <definedName name="_xlnm._FilterDatabase" localSheetId="4" hidden="1">'SYN-W'!$A$1:$XL$1</definedName>
    <definedName name="_xlnm._FilterDatabase" localSheetId="1" hidden="1">'TRA-M'!$A$1:$XT$1</definedName>
    <definedName name="_xlnm._FilterDatabase" localSheetId="2" hidden="1">'TRA-W'!$A$1:$XT$1</definedName>
    <definedName name="_xlnm._FilterDatabase" localSheetId="5" hidden="1">'TUM-M'!$A$1:$UM$1</definedName>
    <definedName name="_xlnm._FilterDatabase" localSheetId="6" hidden="1">'TUM-W'!$A$1:$UM$1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G17" i="21" l="1"/>
  <c r="SF17" i="21"/>
  <c r="SD17" i="21"/>
  <c r="SC17" i="21"/>
  <c r="SB17" i="21"/>
  <c r="SA17" i="21"/>
  <c r="SG22" i="21"/>
  <c r="SF22" i="21"/>
  <c r="SD22" i="21"/>
  <c r="SC22" i="21"/>
  <c r="SB22" i="21"/>
  <c r="SA22" i="21"/>
  <c r="SG14" i="21"/>
  <c r="SF14" i="21"/>
  <c r="SD14" i="21"/>
  <c r="SC14" i="21"/>
  <c r="SB14" i="21"/>
  <c r="SA14" i="21"/>
  <c r="SG18" i="21"/>
  <c r="SF18" i="21"/>
  <c r="SD18" i="21"/>
  <c r="SC18" i="21"/>
  <c r="SB18" i="21"/>
  <c r="SA18" i="21"/>
  <c r="SG12" i="21"/>
  <c r="SF12" i="21"/>
  <c r="SD12" i="21"/>
  <c r="SC12" i="21"/>
  <c r="SB12" i="21"/>
  <c r="SA12" i="21"/>
  <c r="SG19" i="21"/>
  <c r="SF19" i="21"/>
  <c r="SD19" i="21"/>
  <c r="SC19" i="21"/>
  <c r="SB19" i="21"/>
  <c r="SA19" i="21"/>
  <c r="SG15" i="21"/>
  <c r="SF15" i="21"/>
  <c r="SD15" i="21"/>
  <c r="SC15" i="21"/>
  <c r="SB15" i="21"/>
  <c r="SA15" i="21"/>
  <c r="SG20" i="21"/>
  <c r="SF20" i="21"/>
  <c r="SD20" i="21"/>
  <c r="SC20" i="21"/>
  <c r="SB20" i="21"/>
  <c r="SA20" i="21"/>
  <c r="SG21" i="21"/>
  <c r="SF21" i="21"/>
  <c r="SD21" i="21"/>
  <c r="SC21" i="21"/>
  <c r="SB21" i="21"/>
  <c r="SA21" i="21"/>
  <c r="SG11" i="21"/>
  <c r="SF11" i="21"/>
  <c r="SD11" i="21"/>
  <c r="SC11" i="21"/>
  <c r="SB11" i="21"/>
  <c r="SA11" i="21"/>
  <c r="SG10" i="21"/>
  <c r="SF10" i="21"/>
  <c r="SD10" i="21"/>
  <c r="SC10" i="21"/>
  <c r="SB10" i="21"/>
  <c r="SA10" i="21"/>
  <c r="SG16" i="21"/>
  <c r="SF16" i="21"/>
  <c r="SD16" i="21"/>
  <c r="SC16" i="21"/>
  <c r="SB16" i="21"/>
  <c r="SA16" i="21"/>
  <c r="SG13" i="21"/>
  <c r="SF13" i="21"/>
  <c r="SD13" i="21"/>
  <c r="SC13" i="21"/>
  <c r="SB13" i="21"/>
  <c r="SA13" i="21"/>
  <c r="SG8" i="21"/>
  <c r="SF8" i="21"/>
  <c r="SD8" i="21"/>
  <c r="SC8" i="21"/>
  <c r="SB8" i="21"/>
  <c r="SA8" i="21"/>
  <c r="SG7" i="21"/>
  <c r="SF7" i="21"/>
  <c r="SD7" i="21"/>
  <c r="SC7" i="21"/>
  <c r="SB7" i="21"/>
  <c r="SA7" i="21"/>
  <c r="SG9" i="21"/>
  <c r="SF9" i="21"/>
  <c r="SD9" i="21"/>
  <c r="SC9" i="21"/>
  <c r="SB9" i="21"/>
  <c r="SA9" i="21"/>
  <c r="SG6" i="21"/>
  <c r="SF6" i="21"/>
  <c r="SD6" i="21"/>
  <c r="SC6" i="21"/>
  <c r="SB6" i="21"/>
  <c r="SA6" i="21"/>
  <c r="SG5" i="21"/>
  <c r="SF5" i="21"/>
  <c r="SD5" i="21"/>
  <c r="SC5" i="21"/>
  <c r="SB5" i="21"/>
  <c r="SA5" i="21"/>
  <c r="SG4" i="21"/>
  <c r="SF4" i="21"/>
  <c r="SD4" i="21"/>
  <c r="SC4" i="21"/>
  <c r="SB4" i="21"/>
  <c r="SA4" i="21"/>
  <c r="RE17" i="21"/>
  <c r="RD17" i="21"/>
  <c r="RB17" i="21"/>
  <c r="RA17" i="21"/>
  <c r="QZ17" i="21"/>
  <c r="QY17" i="21"/>
  <c r="RE22" i="21"/>
  <c r="RD22" i="21"/>
  <c r="RB22" i="21"/>
  <c r="RA22" i="21"/>
  <c r="QZ22" i="21"/>
  <c r="QY22" i="21"/>
  <c r="RE14" i="21"/>
  <c r="RD14" i="21"/>
  <c r="RB14" i="21"/>
  <c r="RA14" i="21"/>
  <c r="QZ14" i="21"/>
  <c r="QY14" i="21"/>
  <c r="RE18" i="21"/>
  <c r="RD18" i="21"/>
  <c r="RB18" i="21"/>
  <c r="RA18" i="21"/>
  <c r="QZ18" i="21"/>
  <c r="QY18" i="21"/>
  <c r="RE12" i="21"/>
  <c r="RD12" i="21"/>
  <c r="RB12" i="21"/>
  <c r="RA12" i="21"/>
  <c r="QZ12" i="21"/>
  <c r="QY12" i="21"/>
  <c r="RE19" i="21"/>
  <c r="RD19" i="21"/>
  <c r="RB19" i="21"/>
  <c r="RA19" i="21"/>
  <c r="QZ19" i="21"/>
  <c r="QY19" i="21"/>
  <c r="RE15" i="21"/>
  <c r="RD15" i="21"/>
  <c r="RB15" i="21"/>
  <c r="RA15" i="21"/>
  <c r="QZ15" i="21"/>
  <c r="QY15" i="21"/>
  <c r="RE20" i="21"/>
  <c r="RD20" i="21"/>
  <c r="RB20" i="21"/>
  <c r="RA20" i="21"/>
  <c r="QZ20" i="21"/>
  <c r="QY20" i="21"/>
  <c r="RE21" i="21"/>
  <c r="RD21" i="21"/>
  <c r="RB21" i="21"/>
  <c r="RA21" i="21"/>
  <c r="QZ21" i="21"/>
  <c r="QY21" i="21"/>
  <c r="RE11" i="21"/>
  <c r="RD11" i="21"/>
  <c r="RB11" i="21"/>
  <c r="RA11" i="21"/>
  <c r="QZ11" i="21"/>
  <c r="QY11" i="21"/>
  <c r="RE10" i="21"/>
  <c r="RD10" i="21"/>
  <c r="RB10" i="21"/>
  <c r="RA10" i="21"/>
  <c r="QZ10" i="21"/>
  <c r="QY10" i="21"/>
  <c r="RE16" i="21"/>
  <c r="RD16" i="21"/>
  <c r="RB16" i="21"/>
  <c r="RA16" i="21"/>
  <c r="QZ16" i="21"/>
  <c r="QY16" i="21"/>
  <c r="RE13" i="21"/>
  <c r="RD13" i="21"/>
  <c r="RB13" i="21"/>
  <c r="RA13" i="21"/>
  <c r="QZ13" i="21"/>
  <c r="QY13" i="21"/>
  <c r="RE8" i="21"/>
  <c r="RD8" i="21"/>
  <c r="RB8" i="21"/>
  <c r="RA8" i="21"/>
  <c r="QZ8" i="21"/>
  <c r="QY8" i="21"/>
  <c r="RE7" i="21"/>
  <c r="RD7" i="21"/>
  <c r="RB7" i="21"/>
  <c r="RA7" i="21"/>
  <c r="QZ7" i="21"/>
  <c r="QY7" i="21"/>
  <c r="RE9" i="21"/>
  <c r="RD9" i="21"/>
  <c r="RB9" i="21"/>
  <c r="RA9" i="21"/>
  <c r="QZ9" i="21"/>
  <c r="QY9" i="21"/>
  <c r="RE6" i="21"/>
  <c r="RD6" i="21"/>
  <c r="RB6" i="21"/>
  <c r="RA6" i="21"/>
  <c r="QZ6" i="21"/>
  <c r="QY6" i="21"/>
  <c r="RE5" i="21"/>
  <c r="RD5" i="21"/>
  <c r="RB5" i="21"/>
  <c r="RA5" i="21"/>
  <c r="QZ5" i="21"/>
  <c r="QY5" i="21"/>
  <c r="RE4" i="21"/>
  <c r="RD4" i="21"/>
  <c r="RB4" i="21"/>
  <c r="RA4" i="21"/>
  <c r="QZ4" i="21"/>
  <c r="QY4" i="21"/>
  <c r="QC17" i="21"/>
  <c r="QB17" i="21"/>
  <c r="PZ17" i="21"/>
  <c r="PY17" i="21"/>
  <c r="PX17" i="21"/>
  <c r="PW17" i="21"/>
  <c r="QC22" i="21"/>
  <c r="QB22" i="21"/>
  <c r="PZ22" i="21"/>
  <c r="PY22" i="21"/>
  <c r="PX22" i="21"/>
  <c r="PW22" i="21"/>
  <c r="QC14" i="21"/>
  <c r="QB14" i="21"/>
  <c r="PZ14" i="21"/>
  <c r="PY14" i="21"/>
  <c r="PX14" i="21"/>
  <c r="PW14" i="21"/>
  <c r="QC18" i="21"/>
  <c r="QB18" i="21"/>
  <c r="PZ18" i="21"/>
  <c r="PY18" i="21"/>
  <c r="PX18" i="21"/>
  <c r="PW18" i="21"/>
  <c r="QC12" i="21"/>
  <c r="QB12" i="21"/>
  <c r="PZ12" i="21"/>
  <c r="PY12" i="21"/>
  <c r="PX12" i="21"/>
  <c r="PW12" i="21"/>
  <c r="QC19" i="21"/>
  <c r="QB19" i="21"/>
  <c r="PZ19" i="21"/>
  <c r="PY19" i="21"/>
  <c r="PX19" i="21"/>
  <c r="PW19" i="21"/>
  <c r="QC15" i="21"/>
  <c r="QB15" i="21"/>
  <c r="PZ15" i="21"/>
  <c r="PY15" i="21"/>
  <c r="PX15" i="21"/>
  <c r="PW15" i="21"/>
  <c r="QC20" i="21"/>
  <c r="QB20" i="21"/>
  <c r="PZ20" i="21"/>
  <c r="PY20" i="21"/>
  <c r="PX20" i="21"/>
  <c r="PW20" i="21"/>
  <c r="QC21" i="21"/>
  <c r="QB21" i="21"/>
  <c r="PZ21" i="21"/>
  <c r="PY21" i="21"/>
  <c r="PX21" i="21"/>
  <c r="PW21" i="21"/>
  <c r="QC11" i="21"/>
  <c r="QB11" i="21"/>
  <c r="PZ11" i="21"/>
  <c r="PY11" i="21"/>
  <c r="PX11" i="21"/>
  <c r="PW11" i="21"/>
  <c r="QC10" i="21"/>
  <c r="QB10" i="21"/>
  <c r="PZ10" i="21"/>
  <c r="PY10" i="21"/>
  <c r="PX10" i="21"/>
  <c r="PW10" i="21"/>
  <c r="QC16" i="21"/>
  <c r="QB16" i="21"/>
  <c r="PZ16" i="21"/>
  <c r="PY16" i="21"/>
  <c r="PX16" i="21"/>
  <c r="PW16" i="21"/>
  <c r="QC13" i="21"/>
  <c r="QB13" i="21"/>
  <c r="PZ13" i="21"/>
  <c r="PY13" i="21"/>
  <c r="PX13" i="21"/>
  <c r="PW13" i="21"/>
  <c r="QC8" i="21"/>
  <c r="QB8" i="21"/>
  <c r="PZ8" i="21"/>
  <c r="PY8" i="21"/>
  <c r="PX8" i="21"/>
  <c r="PW8" i="21"/>
  <c r="QC7" i="21"/>
  <c r="QB7" i="21"/>
  <c r="PZ7" i="21"/>
  <c r="PY7" i="21"/>
  <c r="PX7" i="21"/>
  <c r="PW7" i="21"/>
  <c r="QC9" i="21"/>
  <c r="QB9" i="21"/>
  <c r="PZ9" i="21"/>
  <c r="PY9" i="21"/>
  <c r="PX9" i="21"/>
  <c r="PW9" i="21"/>
  <c r="QC6" i="21"/>
  <c r="QB6" i="21"/>
  <c r="PZ6" i="21"/>
  <c r="PY6" i="21"/>
  <c r="PX6" i="21"/>
  <c r="PW6" i="21"/>
  <c r="QC5" i="21"/>
  <c r="QB5" i="21"/>
  <c r="PZ5" i="21"/>
  <c r="PY5" i="21"/>
  <c r="PX5" i="21"/>
  <c r="PW5" i="21"/>
  <c r="QC4" i="21"/>
  <c r="QB4" i="21"/>
  <c r="PZ4" i="21"/>
  <c r="PY4" i="21"/>
  <c r="PX4" i="21"/>
  <c r="PW4" i="21"/>
  <c r="PA17" i="21"/>
  <c r="OZ17" i="21"/>
  <c r="OX17" i="21"/>
  <c r="OW17" i="21"/>
  <c r="OV17" i="21"/>
  <c r="OU17" i="21"/>
  <c r="PA22" i="21"/>
  <c r="OZ22" i="21"/>
  <c r="OX22" i="21"/>
  <c r="OW22" i="21"/>
  <c r="OV22" i="21"/>
  <c r="OU22" i="21"/>
  <c r="PA14" i="21"/>
  <c r="OZ14" i="21"/>
  <c r="OX14" i="21"/>
  <c r="OW14" i="21"/>
  <c r="OV14" i="21"/>
  <c r="OU14" i="21"/>
  <c r="PA18" i="21"/>
  <c r="OZ18" i="21"/>
  <c r="OX18" i="21"/>
  <c r="OW18" i="21"/>
  <c r="OV18" i="21"/>
  <c r="OU18" i="21"/>
  <c r="PA12" i="21"/>
  <c r="OZ12" i="21"/>
  <c r="OX12" i="21"/>
  <c r="OW12" i="21"/>
  <c r="OV12" i="21"/>
  <c r="OU12" i="21"/>
  <c r="PA19" i="21"/>
  <c r="OZ19" i="21"/>
  <c r="OX19" i="21"/>
  <c r="OW19" i="21"/>
  <c r="OV19" i="21"/>
  <c r="OU19" i="21"/>
  <c r="PA15" i="21"/>
  <c r="OZ15" i="21"/>
  <c r="OX15" i="21"/>
  <c r="OW15" i="21"/>
  <c r="OV15" i="21"/>
  <c r="OU15" i="21"/>
  <c r="PA20" i="21"/>
  <c r="OZ20" i="21"/>
  <c r="OX20" i="21"/>
  <c r="OW20" i="21"/>
  <c r="OV20" i="21"/>
  <c r="OU20" i="21"/>
  <c r="PA21" i="21"/>
  <c r="OZ21" i="21"/>
  <c r="OX21" i="21"/>
  <c r="OW21" i="21"/>
  <c r="OV21" i="21"/>
  <c r="OU21" i="21"/>
  <c r="PA11" i="21"/>
  <c r="OZ11" i="21"/>
  <c r="OX11" i="21"/>
  <c r="OW11" i="21"/>
  <c r="OV11" i="21"/>
  <c r="OU11" i="21"/>
  <c r="PA10" i="21"/>
  <c r="OZ10" i="21"/>
  <c r="OX10" i="21"/>
  <c r="OW10" i="21"/>
  <c r="OV10" i="21"/>
  <c r="OU10" i="21"/>
  <c r="PA16" i="21"/>
  <c r="OZ16" i="21"/>
  <c r="OX16" i="21"/>
  <c r="OW16" i="21"/>
  <c r="OV16" i="21"/>
  <c r="OU16" i="21"/>
  <c r="PA13" i="21"/>
  <c r="OZ13" i="21"/>
  <c r="OX13" i="21"/>
  <c r="OW13" i="21"/>
  <c r="OV13" i="21"/>
  <c r="OU13" i="21"/>
  <c r="PA8" i="21"/>
  <c r="OZ8" i="21"/>
  <c r="OX8" i="21"/>
  <c r="OW8" i="21"/>
  <c r="OV8" i="21"/>
  <c r="OU8" i="21"/>
  <c r="PA7" i="21"/>
  <c r="OZ7" i="21"/>
  <c r="OX7" i="21"/>
  <c r="OW7" i="21"/>
  <c r="OV7" i="21"/>
  <c r="OU7" i="21"/>
  <c r="PA9" i="21"/>
  <c r="OZ9" i="21"/>
  <c r="OX9" i="21"/>
  <c r="OW9" i="21"/>
  <c r="OV9" i="21"/>
  <c r="OU9" i="21"/>
  <c r="PA6" i="21"/>
  <c r="OZ6" i="21"/>
  <c r="OX6" i="21"/>
  <c r="OW6" i="21"/>
  <c r="OV6" i="21"/>
  <c r="OU6" i="21"/>
  <c r="PA5" i="21"/>
  <c r="OZ5" i="21"/>
  <c r="OX5" i="21"/>
  <c r="OW5" i="21"/>
  <c r="OV5" i="21"/>
  <c r="OU5" i="21"/>
  <c r="PA4" i="21"/>
  <c r="OZ4" i="21"/>
  <c r="OX4" i="21"/>
  <c r="OW4" i="21"/>
  <c r="OV4" i="21"/>
  <c r="OU4" i="21"/>
  <c r="NY17" i="21"/>
  <c r="NX17" i="21"/>
  <c r="NV17" i="21"/>
  <c r="NU17" i="21"/>
  <c r="NT17" i="21"/>
  <c r="NS17" i="21"/>
  <c r="NY22" i="21"/>
  <c r="NX22" i="21"/>
  <c r="NV22" i="21"/>
  <c r="NU22" i="21"/>
  <c r="NT22" i="21"/>
  <c r="NS22" i="21"/>
  <c r="NY14" i="21"/>
  <c r="NX14" i="21"/>
  <c r="NV14" i="21"/>
  <c r="NU14" i="21"/>
  <c r="NT14" i="21"/>
  <c r="NS14" i="21"/>
  <c r="NY18" i="21"/>
  <c r="NX18" i="21"/>
  <c r="NV18" i="21"/>
  <c r="NU18" i="21"/>
  <c r="NT18" i="21"/>
  <c r="NS18" i="21"/>
  <c r="NY12" i="21"/>
  <c r="NX12" i="21"/>
  <c r="NV12" i="21"/>
  <c r="NU12" i="21"/>
  <c r="NT12" i="21"/>
  <c r="NS12" i="21"/>
  <c r="NY19" i="21"/>
  <c r="NX19" i="21"/>
  <c r="NV19" i="21"/>
  <c r="NU19" i="21"/>
  <c r="NT19" i="21"/>
  <c r="NS19" i="21"/>
  <c r="NY15" i="21"/>
  <c r="NX15" i="21"/>
  <c r="NV15" i="21"/>
  <c r="NU15" i="21"/>
  <c r="NT15" i="21"/>
  <c r="NS15" i="21"/>
  <c r="NY20" i="21"/>
  <c r="NX20" i="21"/>
  <c r="NV20" i="21"/>
  <c r="NU20" i="21"/>
  <c r="NT20" i="21"/>
  <c r="NS20" i="21"/>
  <c r="NY21" i="21"/>
  <c r="NX21" i="21"/>
  <c r="NV21" i="21"/>
  <c r="NU21" i="21"/>
  <c r="NT21" i="21"/>
  <c r="NS21" i="21"/>
  <c r="NY11" i="21"/>
  <c r="NX11" i="21"/>
  <c r="NV11" i="21"/>
  <c r="NU11" i="21"/>
  <c r="NT11" i="21"/>
  <c r="NS11" i="21"/>
  <c r="NY10" i="21"/>
  <c r="NX10" i="21"/>
  <c r="NV10" i="21"/>
  <c r="NU10" i="21"/>
  <c r="NT10" i="21"/>
  <c r="NS10" i="21"/>
  <c r="NY16" i="21"/>
  <c r="NX16" i="21"/>
  <c r="NV16" i="21"/>
  <c r="NU16" i="21"/>
  <c r="NT16" i="21"/>
  <c r="NS16" i="21"/>
  <c r="NY13" i="21"/>
  <c r="NX13" i="21"/>
  <c r="NV13" i="21"/>
  <c r="NU13" i="21"/>
  <c r="NT13" i="21"/>
  <c r="NS13" i="21"/>
  <c r="NY8" i="21"/>
  <c r="NX8" i="21"/>
  <c r="NV8" i="21"/>
  <c r="NU8" i="21"/>
  <c r="NT8" i="21"/>
  <c r="NS8" i="21"/>
  <c r="NY7" i="21"/>
  <c r="NX7" i="21"/>
  <c r="NV7" i="21"/>
  <c r="NU7" i="21"/>
  <c r="NT7" i="21"/>
  <c r="NS7" i="21"/>
  <c r="NY9" i="21"/>
  <c r="NX9" i="21"/>
  <c r="NV9" i="21"/>
  <c r="NU9" i="21"/>
  <c r="NT9" i="21"/>
  <c r="NS9" i="21"/>
  <c r="NY6" i="21"/>
  <c r="NX6" i="21"/>
  <c r="NV6" i="21"/>
  <c r="NU6" i="21"/>
  <c r="NT6" i="21"/>
  <c r="NS6" i="21"/>
  <c r="NY5" i="21"/>
  <c r="NX5" i="21"/>
  <c r="NV5" i="21"/>
  <c r="NU5" i="21"/>
  <c r="NT5" i="21"/>
  <c r="NS5" i="21"/>
  <c r="NY4" i="21"/>
  <c r="NX4" i="21"/>
  <c r="NV4" i="21"/>
  <c r="NU4" i="21"/>
  <c r="NT4" i="21"/>
  <c r="NS4" i="21"/>
  <c r="MW17" i="21"/>
  <c r="MV17" i="21"/>
  <c r="MT17" i="21"/>
  <c r="MS17" i="21"/>
  <c r="MR17" i="21"/>
  <c r="MQ17" i="21"/>
  <c r="MW22" i="21"/>
  <c r="MV22" i="21"/>
  <c r="MT22" i="21"/>
  <c r="MS22" i="21"/>
  <c r="MR22" i="21"/>
  <c r="MQ22" i="21"/>
  <c r="MW14" i="21"/>
  <c r="MV14" i="21"/>
  <c r="MT14" i="21"/>
  <c r="MS14" i="21"/>
  <c r="MR14" i="21"/>
  <c r="MQ14" i="21"/>
  <c r="MW18" i="21"/>
  <c r="MV18" i="21"/>
  <c r="MT18" i="21"/>
  <c r="MS18" i="21"/>
  <c r="MR18" i="21"/>
  <c r="MQ18" i="21"/>
  <c r="MW12" i="21"/>
  <c r="MV12" i="21"/>
  <c r="MT12" i="21"/>
  <c r="MS12" i="21"/>
  <c r="MR12" i="21"/>
  <c r="MQ12" i="21"/>
  <c r="MW19" i="21"/>
  <c r="MV19" i="21"/>
  <c r="MT19" i="21"/>
  <c r="MS19" i="21"/>
  <c r="MR19" i="21"/>
  <c r="MQ19" i="21"/>
  <c r="MW15" i="21"/>
  <c r="MV15" i="21"/>
  <c r="MT15" i="21"/>
  <c r="MS15" i="21"/>
  <c r="MR15" i="21"/>
  <c r="MQ15" i="21"/>
  <c r="MW20" i="21"/>
  <c r="MV20" i="21"/>
  <c r="MT20" i="21"/>
  <c r="MS20" i="21"/>
  <c r="MR20" i="21"/>
  <c r="MQ20" i="21"/>
  <c r="MW21" i="21"/>
  <c r="MV21" i="21"/>
  <c r="MT21" i="21"/>
  <c r="MS21" i="21"/>
  <c r="MR21" i="21"/>
  <c r="MQ21" i="21"/>
  <c r="MW11" i="21"/>
  <c r="MV11" i="21"/>
  <c r="MT11" i="21"/>
  <c r="MS11" i="21"/>
  <c r="MR11" i="21"/>
  <c r="MQ11" i="21"/>
  <c r="MW10" i="21"/>
  <c r="MV10" i="21"/>
  <c r="MT10" i="21"/>
  <c r="MS10" i="21"/>
  <c r="MR10" i="21"/>
  <c r="MQ10" i="21"/>
  <c r="MW16" i="21"/>
  <c r="MV16" i="21"/>
  <c r="MT16" i="21"/>
  <c r="MS16" i="21"/>
  <c r="MR16" i="21"/>
  <c r="MQ16" i="21"/>
  <c r="MW13" i="21"/>
  <c r="MV13" i="21"/>
  <c r="MT13" i="21"/>
  <c r="MS13" i="21"/>
  <c r="MR13" i="21"/>
  <c r="MQ13" i="21"/>
  <c r="MW8" i="21"/>
  <c r="MV8" i="21"/>
  <c r="MT8" i="21"/>
  <c r="MS8" i="21"/>
  <c r="MR8" i="21"/>
  <c r="MQ8" i="21"/>
  <c r="MW7" i="21"/>
  <c r="MV7" i="21"/>
  <c r="MT7" i="21"/>
  <c r="MS7" i="21"/>
  <c r="MR7" i="21"/>
  <c r="MQ7" i="21"/>
  <c r="MW9" i="21"/>
  <c r="MV9" i="21"/>
  <c r="MT9" i="21"/>
  <c r="MS9" i="21"/>
  <c r="MR9" i="21"/>
  <c r="MQ9" i="21"/>
  <c r="MW6" i="21"/>
  <c r="MV6" i="21"/>
  <c r="MT6" i="21"/>
  <c r="MS6" i="21"/>
  <c r="MR6" i="21"/>
  <c r="MQ6" i="21"/>
  <c r="MW5" i="21"/>
  <c r="MV5" i="21"/>
  <c r="MT5" i="21"/>
  <c r="MS5" i="21"/>
  <c r="MR5" i="21"/>
  <c r="MQ5" i="21"/>
  <c r="MW4" i="21"/>
  <c r="MV4" i="21"/>
  <c r="MT4" i="21"/>
  <c r="MS4" i="21"/>
  <c r="MR4" i="21"/>
  <c r="MQ4" i="21"/>
  <c r="LU17" i="21"/>
  <c r="LT17" i="21"/>
  <c r="LR17" i="21"/>
  <c r="LQ17" i="21"/>
  <c r="LP17" i="21"/>
  <c r="LO17" i="21"/>
  <c r="LU22" i="21"/>
  <c r="LT22" i="21"/>
  <c r="LR22" i="21"/>
  <c r="LQ22" i="21"/>
  <c r="LP22" i="21"/>
  <c r="LO22" i="21"/>
  <c r="LU14" i="21"/>
  <c r="LT14" i="21"/>
  <c r="LR14" i="21"/>
  <c r="LQ14" i="21"/>
  <c r="LP14" i="21"/>
  <c r="LO14" i="21"/>
  <c r="LU18" i="21"/>
  <c r="LT18" i="21"/>
  <c r="LR18" i="21"/>
  <c r="LQ18" i="21"/>
  <c r="LP18" i="21"/>
  <c r="LO18" i="21"/>
  <c r="LU12" i="21"/>
  <c r="LT12" i="21"/>
  <c r="LR12" i="21"/>
  <c r="LQ12" i="21"/>
  <c r="LP12" i="21"/>
  <c r="LO12" i="21"/>
  <c r="LU19" i="21"/>
  <c r="LT19" i="21"/>
  <c r="LR19" i="21"/>
  <c r="LQ19" i="21"/>
  <c r="LP19" i="21"/>
  <c r="LO19" i="21"/>
  <c r="LU15" i="21"/>
  <c r="LT15" i="21"/>
  <c r="LR15" i="21"/>
  <c r="LQ15" i="21"/>
  <c r="LP15" i="21"/>
  <c r="LO15" i="21"/>
  <c r="LU20" i="21"/>
  <c r="LT20" i="21"/>
  <c r="LR20" i="21"/>
  <c r="LQ20" i="21"/>
  <c r="LP20" i="21"/>
  <c r="LO20" i="21"/>
  <c r="LU21" i="21"/>
  <c r="LT21" i="21"/>
  <c r="LR21" i="21"/>
  <c r="LQ21" i="21"/>
  <c r="LP21" i="21"/>
  <c r="LO21" i="21"/>
  <c r="LU11" i="21"/>
  <c r="LT11" i="21"/>
  <c r="LR11" i="21"/>
  <c r="LQ11" i="21"/>
  <c r="LP11" i="21"/>
  <c r="LO11" i="21"/>
  <c r="LU10" i="21"/>
  <c r="LT10" i="21"/>
  <c r="LR10" i="21"/>
  <c r="LQ10" i="21"/>
  <c r="LP10" i="21"/>
  <c r="LO10" i="21"/>
  <c r="LU16" i="21"/>
  <c r="LT16" i="21"/>
  <c r="LR16" i="21"/>
  <c r="LQ16" i="21"/>
  <c r="LP16" i="21"/>
  <c r="LO16" i="21"/>
  <c r="LU13" i="21"/>
  <c r="LT13" i="21"/>
  <c r="LR13" i="21"/>
  <c r="LQ13" i="21"/>
  <c r="LP13" i="21"/>
  <c r="LO13" i="21"/>
  <c r="LU8" i="21"/>
  <c r="LT8" i="21"/>
  <c r="LR8" i="21"/>
  <c r="LQ8" i="21"/>
  <c r="LP8" i="21"/>
  <c r="LO8" i="21"/>
  <c r="LU7" i="21"/>
  <c r="LT7" i="21"/>
  <c r="LR7" i="21"/>
  <c r="LQ7" i="21"/>
  <c r="LP7" i="21"/>
  <c r="LO7" i="21"/>
  <c r="LU9" i="21"/>
  <c r="LT9" i="21"/>
  <c r="LR9" i="21"/>
  <c r="LQ9" i="21"/>
  <c r="LP9" i="21"/>
  <c r="LO9" i="21"/>
  <c r="LU6" i="21"/>
  <c r="LT6" i="21"/>
  <c r="LR6" i="21"/>
  <c r="LQ6" i="21"/>
  <c r="LP6" i="21"/>
  <c r="LO6" i="21"/>
  <c r="LU5" i="21"/>
  <c r="LT5" i="21"/>
  <c r="LR5" i="21"/>
  <c r="LQ5" i="21"/>
  <c r="LP5" i="21"/>
  <c r="LO5" i="21"/>
  <c r="LU4" i="21"/>
  <c r="LT4" i="21"/>
  <c r="LR4" i="21"/>
  <c r="LQ4" i="21"/>
  <c r="LP4" i="21"/>
  <c r="LO4" i="21"/>
  <c r="KS17" i="21"/>
  <c r="KR17" i="21"/>
  <c r="KP17" i="21"/>
  <c r="KO17" i="21"/>
  <c r="KN17" i="21"/>
  <c r="KM17" i="21"/>
  <c r="KS22" i="21"/>
  <c r="KR22" i="21"/>
  <c r="KP22" i="21"/>
  <c r="KO22" i="21"/>
  <c r="KN22" i="21"/>
  <c r="KM22" i="21"/>
  <c r="KS14" i="21"/>
  <c r="KR14" i="21"/>
  <c r="KP14" i="21"/>
  <c r="KO14" i="21"/>
  <c r="KN14" i="21"/>
  <c r="KM14" i="21"/>
  <c r="KS18" i="21"/>
  <c r="KR18" i="21"/>
  <c r="KP18" i="21"/>
  <c r="KO18" i="21"/>
  <c r="KN18" i="21"/>
  <c r="KM18" i="21"/>
  <c r="KS12" i="21"/>
  <c r="KR12" i="21"/>
  <c r="KP12" i="21"/>
  <c r="KO12" i="21"/>
  <c r="KN12" i="21"/>
  <c r="KM12" i="21"/>
  <c r="KS19" i="21"/>
  <c r="KR19" i="21"/>
  <c r="KP19" i="21"/>
  <c r="KO19" i="21"/>
  <c r="KN19" i="21"/>
  <c r="KM19" i="21"/>
  <c r="KS15" i="21"/>
  <c r="KR15" i="21"/>
  <c r="KP15" i="21"/>
  <c r="KO15" i="21"/>
  <c r="KN15" i="21"/>
  <c r="KM15" i="21"/>
  <c r="KS20" i="21"/>
  <c r="KR20" i="21"/>
  <c r="KP20" i="21"/>
  <c r="KO20" i="21"/>
  <c r="KN20" i="21"/>
  <c r="KM20" i="21"/>
  <c r="KS21" i="21"/>
  <c r="KR21" i="21"/>
  <c r="KP21" i="21"/>
  <c r="KO21" i="21"/>
  <c r="KN21" i="21"/>
  <c r="KM21" i="21"/>
  <c r="KS11" i="21"/>
  <c r="KR11" i="21"/>
  <c r="KP11" i="21"/>
  <c r="KO11" i="21"/>
  <c r="KN11" i="21"/>
  <c r="KM11" i="21"/>
  <c r="KS10" i="21"/>
  <c r="KR10" i="21"/>
  <c r="KP10" i="21"/>
  <c r="KO10" i="21"/>
  <c r="KN10" i="21"/>
  <c r="KM10" i="21"/>
  <c r="KS16" i="21"/>
  <c r="KR16" i="21"/>
  <c r="KP16" i="21"/>
  <c r="KO16" i="21"/>
  <c r="KN16" i="21"/>
  <c r="KM16" i="21"/>
  <c r="KS13" i="21"/>
  <c r="KR13" i="21"/>
  <c r="KP13" i="21"/>
  <c r="KO13" i="21"/>
  <c r="KN13" i="21"/>
  <c r="KM13" i="21"/>
  <c r="KS8" i="21"/>
  <c r="KR8" i="21"/>
  <c r="KP8" i="21"/>
  <c r="KO8" i="21"/>
  <c r="KN8" i="21"/>
  <c r="KM8" i="21"/>
  <c r="KS7" i="21"/>
  <c r="KR7" i="21"/>
  <c r="KP7" i="21"/>
  <c r="KO7" i="21"/>
  <c r="KN7" i="21"/>
  <c r="KM7" i="21"/>
  <c r="KS9" i="21"/>
  <c r="KR9" i="21"/>
  <c r="KP9" i="21"/>
  <c r="KO9" i="21"/>
  <c r="KN9" i="21"/>
  <c r="KM9" i="21"/>
  <c r="KS6" i="21"/>
  <c r="KR6" i="21"/>
  <c r="KP6" i="21"/>
  <c r="KO6" i="21"/>
  <c r="KN6" i="21"/>
  <c r="KM6" i="21"/>
  <c r="KS5" i="21"/>
  <c r="KR5" i="21"/>
  <c r="KP5" i="21"/>
  <c r="KO5" i="21"/>
  <c r="KN5" i="21"/>
  <c r="KM5" i="21"/>
  <c r="KS4" i="21"/>
  <c r="KR4" i="21"/>
  <c r="KP4" i="21"/>
  <c r="KO4" i="21"/>
  <c r="KN4" i="21"/>
  <c r="KM4" i="21"/>
  <c r="JQ17" i="21"/>
  <c r="JP17" i="21"/>
  <c r="JN17" i="21"/>
  <c r="JM17" i="21"/>
  <c r="JL17" i="21"/>
  <c r="JK17" i="21"/>
  <c r="JQ22" i="21"/>
  <c r="JP22" i="21"/>
  <c r="JN22" i="21"/>
  <c r="JM22" i="21"/>
  <c r="JL22" i="21"/>
  <c r="JK22" i="21"/>
  <c r="JQ14" i="21"/>
  <c r="JP14" i="21"/>
  <c r="JN14" i="21"/>
  <c r="JM14" i="21"/>
  <c r="JL14" i="21"/>
  <c r="JK14" i="21"/>
  <c r="JQ18" i="21"/>
  <c r="JP18" i="21"/>
  <c r="JN18" i="21"/>
  <c r="JM18" i="21"/>
  <c r="JL18" i="21"/>
  <c r="JK18" i="21"/>
  <c r="JQ12" i="21"/>
  <c r="JP12" i="21"/>
  <c r="JN12" i="21"/>
  <c r="JM12" i="21"/>
  <c r="JL12" i="21"/>
  <c r="JK12" i="21"/>
  <c r="JQ19" i="21"/>
  <c r="JP19" i="21"/>
  <c r="JN19" i="21"/>
  <c r="JM19" i="21"/>
  <c r="JL19" i="21"/>
  <c r="JK19" i="21"/>
  <c r="JQ15" i="21"/>
  <c r="JP15" i="21"/>
  <c r="JN15" i="21"/>
  <c r="JM15" i="21"/>
  <c r="JL15" i="21"/>
  <c r="JK15" i="21"/>
  <c r="JQ20" i="21"/>
  <c r="JP20" i="21"/>
  <c r="JN20" i="21"/>
  <c r="JM20" i="21"/>
  <c r="JL20" i="21"/>
  <c r="JK20" i="21"/>
  <c r="JQ21" i="21"/>
  <c r="JP21" i="21"/>
  <c r="JN21" i="21"/>
  <c r="JM21" i="21"/>
  <c r="JL21" i="21"/>
  <c r="JK21" i="21"/>
  <c r="JQ11" i="21"/>
  <c r="JP11" i="21"/>
  <c r="JN11" i="21"/>
  <c r="JM11" i="21"/>
  <c r="JL11" i="21"/>
  <c r="JK11" i="21"/>
  <c r="JQ10" i="21"/>
  <c r="JP10" i="21"/>
  <c r="JN10" i="21"/>
  <c r="JM10" i="21"/>
  <c r="JL10" i="21"/>
  <c r="JK10" i="21"/>
  <c r="JQ16" i="21"/>
  <c r="JP16" i="21"/>
  <c r="JN16" i="21"/>
  <c r="JM16" i="21"/>
  <c r="JL16" i="21"/>
  <c r="JK16" i="21"/>
  <c r="JQ13" i="21"/>
  <c r="JP13" i="21"/>
  <c r="JN13" i="21"/>
  <c r="JM13" i="21"/>
  <c r="JL13" i="21"/>
  <c r="JK13" i="21"/>
  <c r="JQ8" i="21"/>
  <c r="JP8" i="21"/>
  <c r="JN8" i="21"/>
  <c r="JM8" i="21"/>
  <c r="JL8" i="21"/>
  <c r="JK8" i="21"/>
  <c r="JQ7" i="21"/>
  <c r="JP7" i="21"/>
  <c r="JN7" i="21"/>
  <c r="JM7" i="21"/>
  <c r="JL7" i="21"/>
  <c r="JK7" i="21"/>
  <c r="JQ9" i="21"/>
  <c r="JP9" i="21"/>
  <c r="JN9" i="21"/>
  <c r="JM9" i="21"/>
  <c r="JL9" i="21"/>
  <c r="JK9" i="21"/>
  <c r="JQ6" i="21"/>
  <c r="JP6" i="21"/>
  <c r="JN6" i="21"/>
  <c r="JM6" i="21"/>
  <c r="JL6" i="21"/>
  <c r="JK6" i="21"/>
  <c r="JQ5" i="21"/>
  <c r="JP5" i="21"/>
  <c r="JN5" i="21"/>
  <c r="JM5" i="21"/>
  <c r="JL5" i="21"/>
  <c r="JK5" i="21"/>
  <c r="JQ4" i="21"/>
  <c r="JP4" i="21"/>
  <c r="JN4" i="21"/>
  <c r="JM4" i="21"/>
  <c r="JL4" i="21"/>
  <c r="JK4" i="21"/>
  <c r="IO17" i="21"/>
  <c r="IN17" i="21"/>
  <c r="IL17" i="21"/>
  <c r="IK17" i="21"/>
  <c r="IJ17" i="21"/>
  <c r="II17" i="21"/>
  <c r="IO22" i="21"/>
  <c r="IN22" i="21"/>
  <c r="IL22" i="21"/>
  <c r="IK22" i="21"/>
  <c r="IJ22" i="21"/>
  <c r="II22" i="21"/>
  <c r="IO14" i="21"/>
  <c r="IN14" i="21"/>
  <c r="IL14" i="21"/>
  <c r="IK14" i="21"/>
  <c r="IJ14" i="21"/>
  <c r="II14" i="21"/>
  <c r="IO18" i="21"/>
  <c r="IN18" i="21"/>
  <c r="IL18" i="21"/>
  <c r="IK18" i="21"/>
  <c r="IJ18" i="21"/>
  <c r="II18" i="21"/>
  <c r="IO12" i="21"/>
  <c r="IN12" i="21"/>
  <c r="IL12" i="21"/>
  <c r="IK12" i="21"/>
  <c r="IJ12" i="21"/>
  <c r="II12" i="21"/>
  <c r="IO19" i="21"/>
  <c r="IN19" i="21"/>
  <c r="IL19" i="21"/>
  <c r="IK19" i="21"/>
  <c r="IJ19" i="21"/>
  <c r="II19" i="21"/>
  <c r="IO15" i="21"/>
  <c r="IN15" i="21"/>
  <c r="IL15" i="21"/>
  <c r="IK15" i="21"/>
  <c r="IJ15" i="21"/>
  <c r="II15" i="21"/>
  <c r="IO20" i="21"/>
  <c r="IN20" i="21"/>
  <c r="IL20" i="21"/>
  <c r="IK20" i="21"/>
  <c r="IJ20" i="21"/>
  <c r="II20" i="21"/>
  <c r="IO21" i="21"/>
  <c r="IN21" i="21"/>
  <c r="IL21" i="21"/>
  <c r="IK21" i="21"/>
  <c r="IJ21" i="21"/>
  <c r="II21" i="21"/>
  <c r="IO11" i="21"/>
  <c r="IN11" i="21"/>
  <c r="IL11" i="21"/>
  <c r="IK11" i="21"/>
  <c r="IJ11" i="21"/>
  <c r="II11" i="21"/>
  <c r="IO10" i="21"/>
  <c r="IN10" i="21"/>
  <c r="IL10" i="21"/>
  <c r="IK10" i="21"/>
  <c r="IJ10" i="21"/>
  <c r="II10" i="21"/>
  <c r="IO16" i="21"/>
  <c r="IN16" i="21"/>
  <c r="IL16" i="21"/>
  <c r="IK16" i="21"/>
  <c r="IJ16" i="21"/>
  <c r="II16" i="21"/>
  <c r="IO13" i="21"/>
  <c r="IN13" i="21"/>
  <c r="IL13" i="21"/>
  <c r="IK13" i="21"/>
  <c r="IJ13" i="21"/>
  <c r="II13" i="21"/>
  <c r="IO8" i="21"/>
  <c r="IN8" i="21"/>
  <c r="IL8" i="21"/>
  <c r="IK8" i="21"/>
  <c r="IJ8" i="21"/>
  <c r="II8" i="21"/>
  <c r="IO7" i="21"/>
  <c r="IN7" i="21"/>
  <c r="IL7" i="21"/>
  <c r="IK7" i="21"/>
  <c r="IJ7" i="21"/>
  <c r="II7" i="21"/>
  <c r="IO9" i="21"/>
  <c r="IN9" i="21"/>
  <c r="IL9" i="21"/>
  <c r="IK9" i="21"/>
  <c r="IJ9" i="21"/>
  <c r="II9" i="21"/>
  <c r="IO6" i="21"/>
  <c r="IN6" i="21"/>
  <c r="IL6" i="21"/>
  <c r="IK6" i="21"/>
  <c r="IJ6" i="21"/>
  <c r="II6" i="21"/>
  <c r="IO5" i="21"/>
  <c r="IN5" i="21"/>
  <c r="IL5" i="21"/>
  <c r="IK5" i="21"/>
  <c r="IJ5" i="21"/>
  <c r="II5" i="21"/>
  <c r="IO4" i="21"/>
  <c r="IN4" i="21"/>
  <c r="IL4" i="21"/>
  <c r="IK4" i="21"/>
  <c r="IJ4" i="21"/>
  <c r="II4" i="21"/>
  <c r="HM17" i="21"/>
  <c r="HL17" i="21"/>
  <c r="HJ17" i="21"/>
  <c r="HI17" i="21"/>
  <c r="HH17" i="21"/>
  <c r="HG17" i="21"/>
  <c r="HM22" i="21"/>
  <c r="HL22" i="21"/>
  <c r="HJ22" i="21"/>
  <c r="HI22" i="21"/>
  <c r="HH22" i="21"/>
  <c r="HG22" i="21"/>
  <c r="HM14" i="21"/>
  <c r="HL14" i="21"/>
  <c r="HJ14" i="21"/>
  <c r="HI14" i="21"/>
  <c r="HH14" i="21"/>
  <c r="HG14" i="21"/>
  <c r="HM18" i="21"/>
  <c r="HL18" i="21"/>
  <c r="HJ18" i="21"/>
  <c r="HI18" i="21"/>
  <c r="HH18" i="21"/>
  <c r="HG18" i="21"/>
  <c r="HM12" i="21"/>
  <c r="HL12" i="21"/>
  <c r="HJ12" i="21"/>
  <c r="HI12" i="21"/>
  <c r="HH12" i="21"/>
  <c r="HG12" i="21"/>
  <c r="HM19" i="21"/>
  <c r="HL19" i="21"/>
  <c r="HJ19" i="21"/>
  <c r="HI19" i="21"/>
  <c r="HH19" i="21"/>
  <c r="HG19" i="21"/>
  <c r="HM15" i="21"/>
  <c r="HL15" i="21"/>
  <c r="HJ15" i="21"/>
  <c r="HI15" i="21"/>
  <c r="HH15" i="21"/>
  <c r="HG15" i="21"/>
  <c r="HM20" i="21"/>
  <c r="HL20" i="21"/>
  <c r="HJ20" i="21"/>
  <c r="HI20" i="21"/>
  <c r="HH20" i="21"/>
  <c r="HG20" i="21"/>
  <c r="HM21" i="21"/>
  <c r="HL21" i="21"/>
  <c r="HJ21" i="21"/>
  <c r="HI21" i="21"/>
  <c r="HH21" i="21"/>
  <c r="HG21" i="21"/>
  <c r="HM11" i="21"/>
  <c r="HL11" i="21"/>
  <c r="HJ11" i="21"/>
  <c r="HI11" i="21"/>
  <c r="HH11" i="21"/>
  <c r="HG11" i="21"/>
  <c r="HM10" i="21"/>
  <c r="HL10" i="21"/>
  <c r="HJ10" i="21"/>
  <c r="HI10" i="21"/>
  <c r="HH10" i="21"/>
  <c r="HG10" i="21"/>
  <c r="HM16" i="21"/>
  <c r="HL16" i="21"/>
  <c r="HJ16" i="21"/>
  <c r="HI16" i="21"/>
  <c r="HH16" i="21"/>
  <c r="HG16" i="21"/>
  <c r="HM13" i="21"/>
  <c r="HL13" i="21"/>
  <c r="HJ13" i="21"/>
  <c r="HI13" i="21"/>
  <c r="HH13" i="21"/>
  <c r="HG13" i="21"/>
  <c r="HM8" i="21"/>
  <c r="HL8" i="21"/>
  <c r="HJ8" i="21"/>
  <c r="HI8" i="21"/>
  <c r="HH8" i="21"/>
  <c r="HG8" i="21"/>
  <c r="HM7" i="21"/>
  <c r="HL7" i="21"/>
  <c r="HJ7" i="21"/>
  <c r="HI7" i="21"/>
  <c r="HH7" i="21"/>
  <c r="HG7" i="21"/>
  <c r="HM9" i="21"/>
  <c r="HL9" i="21"/>
  <c r="HJ9" i="21"/>
  <c r="HI9" i="21"/>
  <c r="HH9" i="21"/>
  <c r="HG9" i="21"/>
  <c r="HM6" i="21"/>
  <c r="HL6" i="21"/>
  <c r="HJ6" i="21"/>
  <c r="HI6" i="21"/>
  <c r="HH6" i="21"/>
  <c r="HG6" i="21"/>
  <c r="HM5" i="21"/>
  <c r="HL5" i="21"/>
  <c r="HJ5" i="21"/>
  <c r="HI5" i="21"/>
  <c r="HH5" i="21"/>
  <c r="HG5" i="21"/>
  <c r="HM4" i="21"/>
  <c r="HL4" i="21"/>
  <c r="HJ4" i="21"/>
  <c r="HI4" i="21"/>
  <c r="HH4" i="21"/>
  <c r="HG4" i="21"/>
  <c r="GK17" i="21"/>
  <c r="GJ17" i="21"/>
  <c r="GH17" i="21"/>
  <c r="GG17" i="21"/>
  <c r="GF17" i="21"/>
  <c r="GE17" i="21"/>
  <c r="GK22" i="21"/>
  <c r="GJ22" i="21"/>
  <c r="GH22" i="21"/>
  <c r="GG22" i="21"/>
  <c r="GF22" i="21"/>
  <c r="GE22" i="21"/>
  <c r="GK14" i="21"/>
  <c r="GJ14" i="21"/>
  <c r="GH14" i="21"/>
  <c r="GG14" i="21"/>
  <c r="GF14" i="21"/>
  <c r="GE14" i="21"/>
  <c r="GK18" i="21"/>
  <c r="GJ18" i="21"/>
  <c r="GH18" i="21"/>
  <c r="GG18" i="21"/>
  <c r="GF18" i="21"/>
  <c r="GE18" i="21"/>
  <c r="GK12" i="21"/>
  <c r="GJ12" i="21"/>
  <c r="GH12" i="21"/>
  <c r="GG12" i="21"/>
  <c r="GF12" i="21"/>
  <c r="GE12" i="21"/>
  <c r="GK19" i="21"/>
  <c r="GJ19" i="21"/>
  <c r="GH19" i="21"/>
  <c r="GG19" i="21"/>
  <c r="GF19" i="21"/>
  <c r="GE19" i="21"/>
  <c r="GK15" i="21"/>
  <c r="GJ15" i="21"/>
  <c r="GH15" i="21"/>
  <c r="GG15" i="21"/>
  <c r="GF15" i="21"/>
  <c r="GE15" i="21"/>
  <c r="GK20" i="21"/>
  <c r="GJ20" i="21"/>
  <c r="GH20" i="21"/>
  <c r="GG20" i="21"/>
  <c r="GF20" i="21"/>
  <c r="GE20" i="21"/>
  <c r="GK21" i="21"/>
  <c r="GJ21" i="21"/>
  <c r="GH21" i="21"/>
  <c r="GG21" i="21"/>
  <c r="GF21" i="21"/>
  <c r="GE21" i="21"/>
  <c r="GK11" i="21"/>
  <c r="GJ11" i="21"/>
  <c r="GH11" i="21"/>
  <c r="GG11" i="21"/>
  <c r="GF11" i="21"/>
  <c r="GE11" i="21"/>
  <c r="GK10" i="21"/>
  <c r="GJ10" i="21"/>
  <c r="GH10" i="21"/>
  <c r="GG10" i="21"/>
  <c r="GF10" i="21"/>
  <c r="GE10" i="21"/>
  <c r="GK16" i="21"/>
  <c r="GJ16" i="21"/>
  <c r="GH16" i="21"/>
  <c r="GG16" i="21"/>
  <c r="GF16" i="21"/>
  <c r="GE16" i="21"/>
  <c r="GK13" i="21"/>
  <c r="GJ13" i="21"/>
  <c r="GH13" i="21"/>
  <c r="GG13" i="21"/>
  <c r="GF13" i="21"/>
  <c r="GE13" i="21"/>
  <c r="GK8" i="21"/>
  <c r="GJ8" i="21"/>
  <c r="GH8" i="21"/>
  <c r="GG8" i="21"/>
  <c r="GF8" i="21"/>
  <c r="GE8" i="21"/>
  <c r="GK7" i="21"/>
  <c r="GJ7" i="21"/>
  <c r="GH7" i="21"/>
  <c r="GG7" i="21"/>
  <c r="GF7" i="21"/>
  <c r="GE7" i="21"/>
  <c r="GK9" i="21"/>
  <c r="GJ9" i="21"/>
  <c r="GH9" i="21"/>
  <c r="GG9" i="21"/>
  <c r="GF9" i="21"/>
  <c r="GE9" i="21"/>
  <c r="GK6" i="21"/>
  <c r="GJ6" i="21"/>
  <c r="GH6" i="21"/>
  <c r="GG6" i="21"/>
  <c r="GF6" i="21"/>
  <c r="GE6" i="21"/>
  <c r="GK5" i="21"/>
  <c r="GJ5" i="21"/>
  <c r="GH5" i="21"/>
  <c r="GG5" i="21"/>
  <c r="GF5" i="21"/>
  <c r="GE5" i="21"/>
  <c r="GK4" i="21"/>
  <c r="GJ4" i="21"/>
  <c r="GH4" i="21"/>
  <c r="GG4" i="21"/>
  <c r="GF4" i="21"/>
  <c r="GE4" i="21"/>
  <c r="FI17" i="21"/>
  <c r="FH17" i="21"/>
  <c r="FF17" i="21"/>
  <c r="FE17" i="21"/>
  <c r="FD17" i="21"/>
  <c r="FC17" i="21"/>
  <c r="FI22" i="21"/>
  <c r="FH22" i="21"/>
  <c r="FF22" i="21"/>
  <c r="FE22" i="21"/>
  <c r="FD22" i="21"/>
  <c r="FC22" i="21"/>
  <c r="FI14" i="21"/>
  <c r="FH14" i="21"/>
  <c r="FF14" i="21"/>
  <c r="FE14" i="21"/>
  <c r="FD14" i="21"/>
  <c r="FC14" i="21"/>
  <c r="FI18" i="21"/>
  <c r="FH18" i="21"/>
  <c r="FF18" i="21"/>
  <c r="FE18" i="21"/>
  <c r="FD18" i="21"/>
  <c r="FC18" i="21"/>
  <c r="FI12" i="21"/>
  <c r="FH12" i="21"/>
  <c r="FF12" i="21"/>
  <c r="FE12" i="21"/>
  <c r="FD12" i="21"/>
  <c r="FC12" i="21"/>
  <c r="FI19" i="21"/>
  <c r="FH19" i="21"/>
  <c r="FF19" i="21"/>
  <c r="FE19" i="21"/>
  <c r="FD19" i="21"/>
  <c r="FC19" i="21"/>
  <c r="FI15" i="21"/>
  <c r="FH15" i="21"/>
  <c r="FF15" i="21"/>
  <c r="FE15" i="21"/>
  <c r="FD15" i="21"/>
  <c r="FC15" i="21"/>
  <c r="FI20" i="21"/>
  <c r="FH20" i="21"/>
  <c r="FF20" i="21"/>
  <c r="FE20" i="21"/>
  <c r="FD20" i="21"/>
  <c r="FC20" i="21"/>
  <c r="FI21" i="21"/>
  <c r="FH21" i="21"/>
  <c r="FF21" i="21"/>
  <c r="FE21" i="21"/>
  <c r="FD21" i="21"/>
  <c r="FC21" i="21"/>
  <c r="FI11" i="21"/>
  <c r="FH11" i="21"/>
  <c r="FF11" i="21"/>
  <c r="FE11" i="21"/>
  <c r="FD11" i="21"/>
  <c r="FC11" i="21"/>
  <c r="FI10" i="21"/>
  <c r="FH10" i="21"/>
  <c r="FF10" i="21"/>
  <c r="FE10" i="21"/>
  <c r="FD10" i="21"/>
  <c r="FC10" i="21"/>
  <c r="FI16" i="21"/>
  <c r="FH16" i="21"/>
  <c r="FF16" i="21"/>
  <c r="FE16" i="21"/>
  <c r="FD16" i="21"/>
  <c r="FC16" i="21"/>
  <c r="FI13" i="21"/>
  <c r="FH13" i="21"/>
  <c r="FF13" i="21"/>
  <c r="FE13" i="21"/>
  <c r="FD13" i="21"/>
  <c r="FC13" i="21"/>
  <c r="FI8" i="21"/>
  <c r="FH8" i="21"/>
  <c r="FF8" i="21"/>
  <c r="FE8" i="21"/>
  <c r="FD8" i="21"/>
  <c r="FC8" i="21"/>
  <c r="FI7" i="21"/>
  <c r="FH7" i="21"/>
  <c r="FF7" i="21"/>
  <c r="FE7" i="21"/>
  <c r="FD7" i="21"/>
  <c r="FC7" i="21"/>
  <c r="FI9" i="21"/>
  <c r="FH9" i="21"/>
  <c r="FF9" i="21"/>
  <c r="FE9" i="21"/>
  <c r="FD9" i="21"/>
  <c r="FC9" i="21"/>
  <c r="FI6" i="21"/>
  <c r="FH6" i="21"/>
  <c r="FF6" i="21"/>
  <c r="FE6" i="21"/>
  <c r="FD6" i="21"/>
  <c r="FC6" i="21"/>
  <c r="FI5" i="21"/>
  <c r="FH5" i="21"/>
  <c r="FF5" i="21"/>
  <c r="FE5" i="21"/>
  <c r="FD5" i="21"/>
  <c r="FC5" i="21"/>
  <c r="FI4" i="21"/>
  <c r="FH4" i="21"/>
  <c r="FF4" i="21"/>
  <c r="FE4" i="21"/>
  <c r="FD4" i="21"/>
  <c r="FC4" i="21"/>
  <c r="EG17" i="21"/>
  <c r="EF17" i="21"/>
  <c r="ED17" i="21"/>
  <c r="EC17" i="21"/>
  <c r="EB17" i="21"/>
  <c r="EA17" i="21"/>
  <c r="EG22" i="21"/>
  <c r="EF22" i="21"/>
  <c r="ED22" i="21"/>
  <c r="EC22" i="21"/>
  <c r="EB22" i="21"/>
  <c r="EA22" i="21"/>
  <c r="EG14" i="21"/>
  <c r="EF14" i="21"/>
  <c r="ED14" i="21"/>
  <c r="EC14" i="21"/>
  <c r="EB14" i="21"/>
  <c r="EA14" i="21"/>
  <c r="EG18" i="21"/>
  <c r="EF18" i="21"/>
  <c r="ED18" i="21"/>
  <c r="EC18" i="21"/>
  <c r="EB18" i="21"/>
  <c r="EA18" i="21"/>
  <c r="EG12" i="21"/>
  <c r="EF12" i="21"/>
  <c r="ED12" i="21"/>
  <c r="EC12" i="21"/>
  <c r="EB12" i="21"/>
  <c r="EA12" i="21"/>
  <c r="EG19" i="21"/>
  <c r="EF19" i="21"/>
  <c r="ED19" i="21"/>
  <c r="EC19" i="21"/>
  <c r="EB19" i="21"/>
  <c r="EA19" i="21"/>
  <c r="EG15" i="21"/>
  <c r="EF15" i="21"/>
  <c r="ED15" i="21"/>
  <c r="EC15" i="21"/>
  <c r="EB15" i="21"/>
  <c r="EA15" i="21"/>
  <c r="EG20" i="21"/>
  <c r="EF20" i="21"/>
  <c r="ED20" i="21"/>
  <c r="EC20" i="21"/>
  <c r="EB20" i="21"/>
  <c r="EA20" i="21"/>
  <c r="EG21" i="21"/>
  <c r="EF21" i="21"/>
  <c r="ED21" i="21"/>
  <c r="EC21" i="21"/>
  <c r="EB21" i="21"/>
  <c r="EA21" i="21"/>
  <c r="EG11" i="21"/>
  <c r="EF11" i="21"/>
  <c r="ED11" i="21"/>
  <c r="EC11" i="21"/>
  <c r="EB11" i="21"/>
  <c r="EA11" i="21"/>
  <c r="EG10" i="21"/>
  <c r="EF10" i="21"/>
  <c r="ED10" i="21"/>
  <c r="EC10" i="21"/>
  <c r="EB10" i="21"/>
  <c r="EA10" i="21"/>
  <c r="EG16" i="21"/>
  <c r="EF16" i="21"/>
  <c r="ED16" i="21"/>
  <c r="EC16" i="21"/>
  <c r="EB16" i="21"/>
  <c r="EA16" i="21"/>
  <c r="EG13" i="21"/>
  <c r="EF13" i="21"/>
  <c r="ED13" i="21"/>
  <c r="EC13" i="21"/>
  <c r="EB13" i="21"/>
  <c r="EA13" i="21"/>
  <c r="EG8" i="21"/>
  <c r="EF8" i="21"/>
  <c r="ED8" i="21"/>
  <c r="EC8" i="21"/>
  <c r="EB8" i="21"/>
  <c r="EA8" i="21"/>
  <c r="EG7" i="21"/>
  <c r="EF7" i="21"/>
  <c r="ED7" i="21"/>
  <c r="EC7" i="21"/>
  <c r="EB7" i="21"/>
  <c r="EA7" i="21"/>
  <c r="EG9" i="21"/>
  <c r="EF9" i="21"/>
  <c r="ED9" i="21"/>
  <c r="EC9" i="21"/>
  <c r="EB9" i="21"/>
  <c r="EA9" i="21"/>
  <c r="EG6" i="21"/>
  <c r="EF6" i="21"/>
  <c r="ED6" i="21"/>
  <c r="EC6" i="21"/>
  <c r="EB6" i="21"/>
  <c r="EA6" i="21"/>
  <c r="EG5" i="21"/>
  <c r="EF5" i="21"/>
  <c r="ED5" i="21"/>
  <c r="EC5" i="21"/>
  <c r="EB5" i="21"/>
  <c r="EA5" i="21"/>
  <c r="EG4" i="21"/>
  <c r="EF4" i="21"/>
  <c r="ED4" i="21"/>
  <c r="EC4" i="21"/>
  <c r="EB4" i="21"/>
  <c r="EA4" i="21"/>
  <c r="SG24" i="19"/>
  <c r="SF24" i="19"/>
  <c r="SD24" i="19"/>
  <c r="SC24" i="19"/>
  <c r="SB24" i="19"/>
  <c r="SA24" i="19"/>
  <c r="SG26" i="19"/>
  <c r="SF26" i="19"/>
  <c r="SD26" i="19"/>
  <c r="SC26" i="19"/>
  <c r="SB26" i="19"/>
  <c r="SA26" i="19"/>
  <c r="SG19" i="19"/>
  <c r="SF19" i="19"/>
  <c r="SD19" i="19"/>
  <c r="SC19" i="19"/>
  <c r="SB19" i="19"/>
  <c r="SA19" i="19"/>
  <c r="SG25" i="19"/>
  <c r="SF25" i="19"/>
  <c r="SD25" i="19"/>
  <c r="SC25" i="19"/>
  <c r="SB25" i="19"/>
  <c r="SA25" i="19"/>
  <c r="SG18" i="19"/>
  <c r="SF18" i="19"/>
  <c r="SD18" i="19"/>
  <c r="SC18" i="19"/>
  <c r="SB18" i="19"/>
  <c r="SA18" i="19"/>
  <c r="SG21" i="19"/>
  <c r="SF21" i="19"/>
  <c r="SD21" i="19"/>
  <c r="SC21" i="19"/>
  <c r="SB21" i="19"/>
  <c r="SA21" i="19"/>
  <c r="SG27" i="19"/>
  <c r="SF27" i="19"/>
  <c r="SD27" i="19"/>
  <c r="SC27" i="19"/>
  <c r="SB27" i="19"/>
  <c r="SA27" i="19"/>
  <c r="SG23" i="19"/>
  <c r="SF23" i="19"/>
  <c r="SD23" i="19"/>
  <c r="SC23" i="19"/>
  <c r="SB23" i="19"/>
  <c r="SA23" i="19"/>
  <c r="SG20" i="19"/>
  <c r="SF20" i="19"/>
  <c r="SD20" i="19"/>
  <c r="SC20" i="19"/>
  <c r="SB20" i="19"/>
  <c r="SA20" i="19"/>
  <c r="SG17" i="19"/>
  <c r="SF17" i="19"/>
  <c r="SD17" i="19"/>
  <c r="SC17" i="19"/>
  <c r="SB17" i="19"/>
  <c r="SA17" i="19"/>
  <c r="SG9" i="19"/>
  <c r="SF9" i="19"/>
  <c r="SD9" i="19"/>
  <c r="SC9" i="19"/>
  <c r="SB9" i="19"/>
  <c r="SA9" i="19"/>
  <c r="SG14" i="19"/>
  <c r="SF14" i="19"/>
  <c r="SD14" i="19"/>
  <c r="SC14" i="19"/>
  <c r="SB14" i="19"/>
  <c r="SA14" i="19"/>
  <c r="SG22" i="19"/>
  <c r="SF22" i="19"/>
  <c r="SD22" i="19"/>
  <c r="SC22" i="19"/>
  <c r="SB22" i="19"/>
  <c r="SA22" i="19"/>
  <c r="SG15" i="19"/>
  <c r="SF15" i="19"/>
  <c r="SD15" i="19"/>
  <c r="SC15" i="19"/>
  <c r="SB15" i="19"/>
  <c r="SA15" i="19"/>
  <c r="SG13" i="19"/>
  <c r="SF13" i="19"/>
  <c r="SD13" i="19"/>
  <c r="SC13" i="19"/>
  <c r="SB13" i="19"/>
  <c r="SA13" i="19"/>
  <c r="SG16" i="19"/>
  <c r="SF16" i="19"/>
  <c r="SD16" i="19"/>
  <c r="SC16" i="19"/>
  <c r="SB16" i="19"/>
  <c r="SA16" i="19"/>
  <c r="SG12" i="19"/>
  <c r="SF12" i="19"/>
  <c r="SD12" i="19"/>
  <c r="SC12" i="19"/>
  <c r="SB12" i="19"/>
  <c r="SA12" i="19"/>
  <c r="SG11" i="19"/>
  <c r="SF11" i="19"/>
  <c r="SD11" i="19"/>
  <c r="SC11" i="19"/>
  <c r="SB11" i="19"/>
  <c r="SA11" i="19"/>
  <c r="SG6" i="19"/>
  <c r="SF6" i="19"/>
  <c r="SD6" i="19"/>
  <c r="SC6" i="19"/>
  <c r="SB6" i="19"/>
  <c r="SA6" i="19"/>
  <c r="SG10" i="19"/>
  <c r="SF10" i="19"/>
  <c r="SD10" i="19"/>
  <c r="SC10" i="19"/>
  <c r="SB10" i="19"/>
  <c r="SA10" i="19"/>
  <c r="SG8" i="19"/>
  <c r="SF8" i="19"/>
  <c r="SD8" i="19"/>
  <c r="SC8" i="19"/>
  <c r="SB8" i="19"/>
  <c r="SA8" i="19"/>
  <c r="SG7" i="19"/>
  <c r="SF7" i="19"/>
  <c r="SD7" i="19"/>
  <c r="SC7" i="19"/>
  <c r="SB7" i="19"/>
  <c r="SA7" i="19"/>
  <c r="SG5" i="19"/>
  <c r="SF5" i="19"/>
  <c r="SD5" i="19"/>
  <c r="SC5" i="19"/>
  <c r="SB5" i="19"/>
  <c r="SA5" i="19"/>
  <c r="SG4" i="19"/>
  <c r="SF4" i="19"/>
  <c r="SD4" i="19"/>
  <c r="SC4" i="19"/>
  <c r="SB4" i="19"/>
  <c r="SA4" i="19"/>
  <c r="RE24" i="19"/>
  <c r="RD24" i="19"/>
  <c r="RB24" i="19"/>
  <c r="RA24" i="19"/>
  <c r="QZ24" i="19"/>
  <c r="QY24" i="19"/>
  <c r="RE26" i="19"/>
  <c r="RD26" i="19"/>
  <c r="RB26" i="19"/>
  <c r="RA26" i="19"/>
  <c r="QZ26" i="19"/>
  <c r="QY26" i="19"/>
  <c r="RE19" i="19"/>
  <c r="RD19" i="19"/>
  <c r="RB19" i="19"/>
  <c r="RA19" i="19"/>
  <c r="QZ19" i="19"/>
  <c r="QY19" i="19"/>
  <c r="RE25" i="19"/>
  <c r="RD25" i="19"/>
  <c r="RB25" i="19"/>
  <c r="RA25" i="19"/>
  <c r="QZ25" i="19"/>
  <c r="QY25" i="19"/>
  <c r="RE18" i="19"/>
  <c r="RD18" i="19"/>
  <c r="RB18" i="19"/>
  <c r="RA18" i="19"/>
  <c r="QZ18" i="19"/>
  <c r="QY18" i="19"/>
  <c r="RE21" i="19"/>
  <c r="RD21" i="19"/>
  <c r="RB21" i="19"/>
  <c r="RA21" i="19"/>
  <c r="QZ21" i="19"/>
  <c r="QY21" i="19"/>
  <c r="RE27" i="19"/>
  <c r="RD27" i="19"/>
  <c r="RB27" i="19"/>
  <c r="RA27" i="19"/>
  <c r="QZ27" i="19"/>
  <c r="QY27" i="19"/>
  <c r="RE23" i="19"/>
  <c r="RD23" i="19"/>
  <c r="RB23" i="19"/>
  <c r="RA23" i="19"/>
  <c r="QZ23" i="19"/>
  <c r="QY23" i="19"/>
  <c r="RE20" i="19"/>
  <c r="RD20" i="19"/>
  <c r="RB20" i="19"/>
  <c r="RA20" i="19"/>
  <c r="QZ20" i="19"/>
  <c r="QY20" i="19"/>
  <c r="RE17" i="19"/>
  <c r="RD17" i="19"/>
  <c r="RB17" i="19"/>
  <c r="RA17" i="19"/>
  <c r="QZ17" i="19"/>
  <c r="QY17" i="19"/>
  <c r="RE9" i="19"/>
  <c r="RD9" i="19"/>
  <c r="RB9" i="19"/>
  <c r="RA9" i="19"/>
  <c r="QZ9" i="19"/>
  <c r="QY9" i="19"/>
  <c r="RE14" i="19"/>
  <c r="RD14" i="19"/>
  <c r="RB14" i="19"/>
  <c r="RA14" i="19"/>
  <c r="QZ14" i="19"/>
  <c r="QY14" i="19"/>
  <c r="RE22" i="19"/>
  <c r="RD22" i="19"/>
  <c r="RB22" i="19"/>
  <c r="RA22" i="19"/>
  <c r="QZ22" i="19"/>
  <c r="QY22" i="19"/>
  <c r="RE15" i="19"/>
  <c r="RD15" i="19"/>
  <c r="RB15" i="19"/>
  <c r="RA15" i="19"/>
  <c r="QZ15" i="19"/>
  <c r="QY15" i="19"/>
  <c r="RE13" i="19"/>
  <c r="RD13" i="19"/>
  <c r="RB13" i="19"/>
  <c r="RA13" i="19"/>
  <c r="QZ13" i="19"/>
  <c r="QY13" i="19"/>
  <c r="RE16" i="19"/>
  <c r="RD16" i="19"/>
  <c r="RB16" i="19"/>
  <c r="RA16" i="19"/>
  <c r="QZ16" i="19"/>
  <c r="QY16" i="19"/>
  <c r="RE12" i="19"/>
  <c r="RD12" i="19"/>
  <c r="RB12" i="19"/>
  <c r="RA12" i="19"/>
  <c r="QZ12" i="19"/>
  <c r="QY12" i="19"/>
  <c r="RE11" i="19"/>
  <c r="RD11" i="19"/>
  <c r="RB11" i="19"/>
  <c r="RA11" i="19"/>
  <c r="QZ11" i="19"/>
  <c r="QY11" i="19"/>
  <c r="RE6" i="19"/>
  <c r="RD6" i="19"/>
  <c r="RB6" i="19"/>
  <c r="RA6" i="19"/>
  <c r="QZ6" i="19"/>
  <c r="QY6" i="19"/>
  <c r="RE10" i="19"/>
  <c r="RD10" i="19"/>
  <c r="RB10" i="19"/>
  <c r="RA10" i="19"/>
  <c r="QZ10" i="19"/>
  <c r="QY10" i="19"/>
  <c r="RE8" i="19"/>
  <c r="RD8" i="19"/>
  <c r="RB8" i="19"/>
  <c r="RA8" i="19"/>
  <c r="QZ8" i="19"/>
  <c r="QY8" i="19"/>
  <c r="RE7" i="19"/>
  <c r="RD7" i="19"/>
  <c r="RB7" i="19"/>
  <c r="RA7" i="19"/>
  <c r="QZ7" i="19"/>
  <c r="QY7" i="19"/>
  <c r="RE5" i="19"/>
  <c r="RD5" i="19"/>
  <c r="RB5" i="19"/>
  <c r="RA5" i="19"/>
  <c r="QZ5" i="19"/>
  <c r="QY5" i="19"/>
  <c r="RE4" i="19"/>
  <c r="RD4" i="19"/>
  <c r="RB4" i="19"/>
  <c r="RA4" i="19"/>
  <c r="QZ4" i="19"/>
  <c r="QY4" i="19"/>
  <c r="QC24" i="19"/>
  <c r="QB24" i="19"/>
  <c r="PZ24" i="19"/>
  <c r="PY24" i="19"/>
  <c r="PX24" i="19"/>
  <c r="PW24" i="19"/>
  <c r="QC26" i="19"/>
  <c r="QB26" i="19"/>
  <c r="PZ26" i="19"/>
  <c r="PY26" i="19"/>
  <c r="PX26" i="19"/>
  <c r="PW26" i="19"/>
  <c r="QC19" i="19"/>
  <c r="QB19" i="19"/>
  <c r="PZ19" i="19"/>
  <c r="PY19" i="19"/>
  <c r="PX19" i="19"/>
  <c r="PW19" i="19"/>
  <c r="QC25" i="19"/>
  <c r="QB25" i="19"/>
  <c r="PZ25" i="19"/>
  <c r="PY25" i="19"/>
  <c r="PX25" i="19"/>
  <c r="PW25" i="19"/>
  <c r="QC18" i="19"/>
  <c r="QB18" i="19"/>
  <c r="PZ18" i="19"/>
  <c r="PY18" i="19"/>
  <c r="PX18" i="19"/>
  <c r="PW18" i="19"/>
  <c r="QC21" i="19"/>
  <c r="QB21" i="19"/>
  <c r="PZ21" i="19"/>
  <c r="PY21" i="19"/>
  <c r="PX21" i="19"/>
  <c r="PW21" i="19"/>
  <c r="QC27" i="19"/>
  <c r="QB27" i="19"/>
  <c r="PZ27" i="19"/>
  <c r="PY27" i="19"/>
  <c r="PX27" i="19"/>
  <c r="PW27" i="19"/>
  <c r="QC23" i="19"/>
  <c r="QB23" i="19"/>
  <c r="PZ23" i="19"/>
  <c r="PY23" i="19"/>
  <c r="PX23" i="19"/>
  <c r="PW23" i="19"/>
  <c r="QC20" i="19"/>
  <c r="QB20" i="19"/>
  <c r="PZ20" i="19"/>
  <c r="PY20" i="19"/>
  <c r="PX20" i="19"/>
  <c r="PW20" i="19"/>
  <c r="QC17" i="19"/>
  <c r="QB17" i="19"/>
  <c r="PZ17" i="19"/>
  <c r="PY17" i="19"/>
  <c r="PX17" i="19"/>
  <c r="PW17" i="19"/>
  <c r="QC9" i="19"/>
  <c r="QB9" i="19"/>
  <c r="PZ9" i="19"/>
  <c r="PY9" i="19"/>
  <c r="PX9" i="19"/>
  <c r="PW9" i="19"/>
  <c r="QC14" i="19"/>
  <c r="QB14" i="19"/>
  <c r="PZ14" i="19"/>
  <c r="PY14" i="19"/>
  <c r="PX14" i="19"/>
  <c r="PW14" i="19"/>
  <c r="QC22" i="19"/>
  <c r="QB22" i="19"/>
  <c r="PZ22" i="19"/>
  <c r="PY22" i="19"/>
  <c r="PX22" i="19"/>
  <c r="PW22" i="19"/>
  <c r="QC15" i="19"/>
  <c r="QB15" i="19"/>
  <c r="PZ15" i="19"/>
  <c r="PY15" i="19"/>
  <c r="PX15" i="19"/>
  <c r="PW15" i="19"/>
  <c r="QC13" i="19"/>
  <c r="QB13" i="19"/>
  <c r="PZ13" i="19"/>
  <c r="PY13" i="19"/>
  <c r="PX13" i="19"/>
  <c r="PW13" i="19"/>
  <c r="QC16" i="19"/>
  <c r="QB16" i="19"/>
  <c r="PZ16" i="19"/>
  <c r="PY16" i="19"/>
  <c r="PX16" i="19"/>
  <c r="PW16" i="19"/>
  <c r="QC12" i="19"/>
  <c r="QB12" i="19"/>
  <c r="PZ12" i="19"/>
  <c r="PY12" i="19"/>
  <c r="PX12" i="19"/>
  <c r="PW12" i="19"/>
  <c r="QC11" i="19"/>
  <c r="QB11" i="19"/>
  <c r="PZ11" i="19"/>
  <c r="PY11" i="19"/>
  <c r="PX11" i="19"/>
  <c r="PW11" i="19"/>
  <c r="QC6" i="19"/>
  <c r="QB6" i="19"/>
  <c r="PZ6" i="19"/>
  <c r="PY6" i="19"/>
  <c r="PX6" i="19"/>
  <c r="PW6" i="19"/>
  <c r="QC10" i="19"/>
  <c r="QB10" i="19"/>
  <c r="PZ10" i="19"/>
  <c r="PY10" i="19"/>
  <c r="PX10" i="19"/>
  <c r="PW10" i="19"/>
  <c r="QC8" i="19"/>
  <c r="QB8" i="19"/>
  <c r="PZ8" i="19"/>
  <c r="PY8" i="19"/>
  <c r="PX8" i="19"/>
  <c r="PW8" i="19"/>
  <c r="QC7" i="19"/>
  <c r="QB7" i="19"/>
  <c r="PZ7" i="19"/>
  <c r="PY7" i="19"/>
  <c r="PX7" i="19"/>
  <c r="PW7" i="19"/>
  <c r="QC5" i="19"/>
  <c r="QB5" i="19"/>
  <c r="PZ5" i="19"/>
  <c r="PY5" i="19"/>
  <c r="PX5" i="19"/>
  <c r="PW5" i="19"/>
  <c r="QC4" i="19"/>
  <c r="QB4" i="19"/>
  <c r="PZ4" i="19"/>
  <c r="PY4" i="19"/>
  <c r="PX4" i="19"/>
  <c r="PW4" i="19"/>
  <c r="PA24" i="19"/>
  <c r="OZ24" i="19"/>
  <c r="OX24" i="19"/>
  <c r="OW24" i="19"/>
  <c r="OV24" i="19"/>
  <c r="OU24" i="19"/>
  <c r="PA26" i="19"/>
  <c r="OZ26" i="19"/>
  <c r="OX26" i="19"/>
  <c r="OW26" i="19"/>
  <c r="OV26" i="19"/>
  <c r="OU26" i="19"/>
  <c r="PA19" i="19"/>
  <c r="OZ19" i="19"/>
  <c r="OX19" i="19"/>
  <c r="OW19" i="19"/>
  <c r="OV19" i="19"/>
  <c r="OU19" i="19"/>
  <c r="PA25" i="19"/>
  <c r="OZ25" i="19"/>
  <c r="OX25" i="19"/>
  <c r="OW25" i="19"/>
  <c r="OV25" i="19"/>
  <c r="OU25" i="19"/>
  <c r="PA18" i="19"/>
  <c r="OZ18" i="19"/>
  <c r="OX18" i="19"/>
  <c r="OW18" i="19"/>
  <c r="OV18" i="19"/>
  <c r="OU18" i="19"/>
  <c r="PA21" i="19"/>
  <c r="OZ21" i="19"/>
  <c r="OX21" i="19"/>
  <c r="OW21" i="19"/>
  <c r="OV21" i="19"/>
  <c r="OU21" i="19"/>
  <c r="PA27" i="19"/>
  <c r="OZ27" i="19"/>
  <c r="OX27" i="19"/>
  <c r="OW27" i="19"/>
  <c r="OV27" i="19"/>
  <c r="OU27" i="19"/>
  <c r="PA23" i="19"/>
  <c r="OZ23" i="19"/>
  <c r="OX23" i="19"/>
  <c r="OW23" i="19"/>
  <c r="OV23" i="19"/>
  <c r="OU23" i="19"/>
  <c r="PA20" i="19"/>
  <c r="OZ20" i="19"/>
  <c r="OX20" i="19"/>
  <c r="OW20" i="19"/>
  <c r="OV20" i="19"/>
  <c r="OU20" i="19"/>
  <c r="PA17" i="19"/>
  <c r="OZ17" i="19"/>
  <c r="OX17" i="19"/>
  <c r="OW17" i="19"/>
  <c r="OV17" i="19"/>
  <c r="OU17" i="19"/>
  <c r="PA9" i="19"/>
  <c r="OZ9" i="19"/>
  <c r="OX9" i="19"/>
  <c r="OW9" i="19"/>
  <c r="OV9" i="19"/>
  <c r="OU9" i="19"/>
  <c r="PA14" i="19"/>
  <c r="OZ14" i="19"/>
  <c r="OX14" i="19"/>
  <c r="OW14" i="19"/>
  <c r="OV14" i="19"/>
  <c r="OU14" i="19"/>
  <c r="PA22" i="19"/>
  <c r="OZ22" i="19"/>
  <c r="OX22" i="19"/>
  <c r="OW22" i="19"/>
  <c r="OV22" i="19"/>
  <c r="OU22" i="19"/>
  <c r="PA15" i="19"/>
  <c r="OZ15" i="19"/>
  <c r="OX15" i="19"/>
  <c r="OW15" i="19"/>
  <c r="OV15" i="19"/>
  <c r="OU15" i="19"/>
  <c r="PA13" i="19"/>
  <c r="OZ13" i="19"/>
  <c r="OX13" i="19"/>
  <c r="OW13" i="19"/>
  <c r="OV13" i="19"/>
  <c r="OU13" i="19"/>
  <c r="PA16" i="19"/>
  <c r="OZ16" i="19"/>
  <c r="OX16" i="19"/>
  <c r="OW16" i="19"/>
  <c r="OV16" i="19"/>
  <c r="OU16" i="19"/>
  <c r="PA12" i="19"/>
  <c r="OZ12" i="19"/>
  <c r="OX12" i="19"/>
  <c r="OW12" i="19"/>
  <c r="OV12" i="19"/>
  <c r="OU12" i="19"/>
  <c r="PA11" i="19"/>
  <c r="OZ11" i="19"/>
  <c r="OX11" i="19"/>
  <c r="OW11" i="19"/>
  <c r="OV11" i="19"/>
  <c r="OU11" i="19"/>
  <c r="PA6" i="19"/>
  <c r="OZ6" i="19"/>
  <c r="OX6" i="19"/>
  <c r="OW6" i="19"/>
  <c r="OV6" i="19"/>
  <c r="OU6" i="19"/>
  <c r="PA10" i="19"/>
  <c r="OZ10" i="19"/>
  <c r="OX10" i="19"/>
  <c r="OW10" i="19"/>
  <c r="OV10" i="19"/>
  <c r="OU10" i="19"/>
  <c r="PA8" i="19"/>
  <c r="OZ8" i="19"/>
  <c r="OX8" i="19"/>
  <c r="OW8" i="19"/>
  <c r="OV8" i="19"/>
  <c r="OU8" i="19"/>
  <c r="PA7" i="19"/>
  <c r="OZ7" i="19"/>
  <c r="OX7" i="19"/>
  <c r="OW7" i="19"/>
  <c r="OV7" i="19"/>
  <c r="OU7" i="19"/>
  <c r="PA5" i="19"/>
  <c r="OZ5" i="19"/>
  <c r="OX5" i="19"/>
  <c r="OW5" i="19"/>
  <c r="OV5" i="19"/>
  <c r="OU5" i="19"/>
  <c r="PA4" i="19"/>
  <c r="OZ4" i="19"/>
  <c r="OX4" i="19"/>
  <c r="OW4" i="19"/>
  <c r="OV4" i="19"/>
  <c r="OU4" i="19"/>
  <c r="NY24" i="19"/>
  <c r="NX24" i="19"/>
  <c r="NV24" i="19"/>
  <c r="NU24" i="19"/>
  <c r="NT24" i="19"/>
  <c r="NS24" i="19"/>
  <c r="NY26" i="19"/>
  <c r="NX26" i="19"/>
  <c r="NV26" i="19"/>
  <c r="NU26" i="19"/>
  <c r="NT26" i="19"/>
  <c r="NS26" i="19"/>
  <c r="NY19" i="19"/>
  <c r="NX19" i="19"/>
  <c r="NV19" i="19"/>
  <c r="NU19" i="19"/>
  <c r="NT19" i="19"/>
  <c r="NS19" i="19"/>
  <c r="NY25" i="19"/>
  <c r="NX25" i="19"/>
  <c r="NV25" i="19"/>
  <c r="NU25" i="19"/>
  <c r="NT25" i="19"/>
  <c r="NS25" i="19"/>
  <c r="NY18" i="19"/>
  <c r="NX18" i="19"/>
  <c r="NV18" i="19"/>
  <c r="NU18" i="19"/>
  <c r="NT18" i="19"/>
  <c r="NS18" i="19"/>
  <c r="NY21" i="19"/>
  <c r="NX21" i="19"/>
  <c r="NV21" i="19"/>
  <c r="NU21" i="19"/>
  <c r="NT21" i="19"/>
  <c r="NS21" i="19"/>
  <c r="NY27" i="19"/>
  <c r="NX27" i="19"/>
  <c r="NV27" i="19"/>
  <c r="NU27" i="19"/>
  <c r="NT27" i="19"/>
  <c r="NS27" i="19"/>
  <c r="NY23" i="19"/>
  <c r="NX23" i="19"/>
  <c r="NV23" i="19"/>
  <c r="NU23" i="19"/>
  <c r="NT23" i="19"/>
  <c r="NS23" i="19"/>
  <c r="NY20" i="19"/>
  <c r="NX20" i="19"/>
  <c r="NV20" i="19"/>
  <c r="NU20" i="19"/>
  <c r="NT20" i="19"/>
  <c r="NS20" i="19"/>
  <c r="NY17" i="19"/>
  <c r="NX17" i="19"/>
  <c r="NV17" i="19"/>
  <c r="NU17" i="19"/>
  <c r="NT17" i="19"/>
  <c r="NS17" i="19"/>
  <c r="NY9" i="19"/>
  <c r="NX9" i="19"/>
  <c r="NV9" i="19"/>
  <c r="NU9" i="19"/>
  <c r="NT9" i="19"/>
  <c r="NS9" i="19"/>
  <c r="NY14" i="19"/>
  <c r="NX14" i="19"/>
  <c r="NV14" i="19"/>
  <c r="NU14" i="19"/>
  <c r="NT14" i="19"/>
  <c r="NS14" i="19"/>
  <c r="NY22" i="19"/>
  <c r="NX22" i="19"/>
  <c r="NV22" i="19"/>
  <c r="NU22" i="19"/>
  <c r="NT22" i="19"/>
  <c r="NS22" i="19"/>
  <c r="NY15" i="19"/>
  <c r="NX15" i="19"/>
  <c r="NV15" i="19"/>
  <c r="NU15" i="19"/>
  <c r="NT15" i="19"/>
  <c r="NS15" i="19"/>
  <c r="NY13" i="19"/>
  <c r="NX13" i="19"/>
  <c r="NV13" i="19"/>
  <c r="NU13" i="19"/>
  <c r="NT13" i="19"/>
  <c r="NS13" i="19"/>
  <c r="NY16" i="19"/>
  <c r="NX16" i="19"/>
  <c r="NV16" i="19"/>
  <c r="NU16" i="19"/>
  <c r="NT16" i="19"/>
  <c r="NS16" i="19"/>
  <c r="NY12" i="19"/>
  <c r="NX12" i="19"/>
  <c r="NV12" i="19"/>
  <c r="NU12" i="19"/>
  <c r="NT12" i="19"/>
  <c r="NS12" i="19"/>
  <c r="NY11" i="19"/>
  <c r="NX11" i="19"/>
  <c r="NV11" i="19"/>
  <c r="NU11" i="19"/>
  <c r="NT11" i="19"/>
  <c r="NS11" i="19"/>
  <c r="NY6" i="19"/>
  <c r="NX6" i="19"/>
  <c r="NV6" i="19"/>
  <c r="NU6" i="19"/>
  <c r="NT6" i="19"/>
  <c r="NS6" i="19"/>
  <c r="NY10" i="19"/>
  <c r="NX10" i="19"/>
  <c r="NV10" i="19"/>
  <c r="NU10" i="19"/>
  <c r="NT10" i="19"/>
  <c r="NS10" i="19"/>
  <c r="NY8" i="19"/>
  <c r="NX8" i="19"/>
  <c r="NV8" i="19"/>
  <c r="NU8" i="19"/>
  <c r="NT8" i="19"/>
  <c r="NS8" i="19"/>
  <c r="NY7" i="19"/>
  <c r="NX7" i="19"/>
  <c r="NV7" i="19"/>
  <c r="NU7" i="19"/>
  <c r="NT7" i="19"/>
  <c r="NS7" i="19"/>
  <c r="NY5" i="19"/>
  <c r="NX5" i="19"/>
  <c r="NV5" i="19"/>
  <c r="NU5" i="19"/>
  <c r="NT5" i="19"/>
  <c r="NS5" i="19"/>
  <c r="NY4" i="19"/>
  <c r="NX4" i="19"/>
  <c r="NV4" i="19"/>
  <c r="NU4" i="19"/>
  <c r="NT4" i="19"/>
  <c r="NS4" i="19"/>
  <c r="MW24" i="19"/>
  <c r="MV24" i="19"/>
  <c r="MT24" i="19"/>
  <c r="MS24" i="19"/>
  <c r="MR24" i="19"/>
  <c r="MQ24" i="19"/>
  <c r="MW26" i="19"/>
  <c r="MV26" i="19"/>
  <c r="MT26" i="19"/>
  <c r="MS26" i="19"/>
  <c r="MR26" i="19"/>
  <c r="MQ26" i="19"/>
  <c r="MW19" i="19"/>
  <c r="MV19" i="19"/>
  <c r="MT19" i="19"/>
  <c r="MS19" i="19"/>
  <c r="MR19" i="19"/>
  <c r="MQ19" i="19"/>
  <c r="MW25" i="19"/>
  <c r="MV25" i="19"/>
  <c r="MT25" i="19"/>
  <c r="MS25" i="19"/>
  <c r="MR25" i="19"/>
  <c r="MQ25" i="19"/>
  <c r="MW18" i="19"/>
  <c r="MV18" i="19"/>
  <c r="MT18" i="19"/>
  <c r="MS18" i="19"/>
  <c r="MR18" i="19"/>
  <c r="MQ18" i="19"/>
  <c r="MW21" i="19"/>
  <c r="MV21" i="19"/>
  <c r="MT21" i="19"/>
  <c r="MS21" i="19"/>
  <c r="MR21" i="19"/>
  <c r="MQ21" i="19"/>
  <c r="MW27" i="19"/>
  <c r="MV27" i="19"/>
  <c r="MT27" i="19"/>
  <c r="MS27" i="19"/>
  <c r="MR27" i="19"/>
  <c r="MQ27" i="19"/>
  <c r="MW23" i="19"/>
  <c r="MV23" i="19"/>
  <c r="MT23" i="19"/>
  <c r="MS23" i="19"/>
  <c r="MR23" i="19"/>
  <c r="MQ23" i="19"/>
  <c r="MW20" i="19"/>
  <c r="MV20" i="19"/>
  <c r="MT20" i="19"/>
  <c r="MS20" i="19"/>
  <c r="MR20" i="19"/>
  <c r="MQ20" i="19"/>
  <c r="MW17" i="19"/>
  <c r="MV17" i="19"/>
  <c r="MT17" i="19"/>
  <c r="MS17" i="19"/>
  <c r="MR17" i="19"/>
  <c r="MQ17" i="19"/>
  <c r="MW9" i="19"/>
  <c r="MV9" i="19"/>
  <c r="MT9" i="19"/>
  <c r="MS9" i="19"/>
  <c r="MR9" i="19"/>
  <c r="MQ9" i="19"/>
  <c r="MW14" i="19"/>
  <c r="MV14" i="19"/>
  <c r="MT14" i="19"/>
  <c r="MS14" i="19"/>
  <c r="MR14" i="19"/>
  <c r="MQ14" i="19"/>
  <c r="MW22" i="19"/>
  <c r="MV22" i="19"/>
  <c r="MT22" i="19"/>
  <c r="MS22" i="19"/>
  <c r="MR22" i="19"/>
  <c r="MQ22" i="19"/>
  <c r="MW15" i="19"/>
  <c r="MV15" i="19"/>
  <c r="MT15" i="19"/>
  <c r="MS15" i="19"/>
  <c r="MR15" i="19"/>
  <c r="MQ15" i="19"/>
  <c r="MW13" i="19"/>
  <c r="MV13" i="19"/>
  <c r="MT13" i="19"/>
  <c r="MS13" i="19"/>
  <c r="MR13" i="19"/>
  <c r="MQ13" i="19"/>
  <c r="MW16" i="19"/>
  <c r="MV16" i="19"/>
  <c r="MT16" i="19"/>
  <c r="MS16" i="19"/>
  <c r="MR16" i="19"/>
  <c r="MQ16" i="19"/>
  <c r="MW12" i="19"/>
  <c r="MV12" i="19"/>
  <c r="MT12" i="19"/>
  <c r="MS12" i="19"/>
  <c r="MR12" i="19"/>
  <c r="MQ12" i="19"/>
  <c r="MW11" i="19"/>
  <c r="MV11" i="19"/>
  <c r="MT11" i="19"/>
  <c r="MS11" i="19"/>
  <c r="MR11" i="19"/>
  <c r="MQ11" i="19"/>
  <c r="MW6" i="19"/>
  <c r="MV6" i="19"/>
  <c r="MT6" i="19"/>
  <c r="MS6" i="19"/>
  <c r="MR6" i="19"/>
  <c r="MQ6" i="19"/>
  <c r="MW10" i="19"/>
  <c r="MV10" i="19"/>
  <c r="MT10" i="19"/>
  <c r="MS10" i="19"/>
  <c r="MR10" i="19"/>
  <c r="MQ10" i="19"/>
  <c r="MW8" i="19"/>
  <c r="MV8" i="19"/>
  <c r="MT8" i="19"/>
  <c r="MS8" i="19"/>
  <c r="MR8" i="19"/>
  <c r="MQ8" i="19"/>
  <c r="MW7" i="19"/>
  <c r="MV7" i="19"/>
  <c r="MT7" i="19"/>
  <c r="MS7" i="19"/>
  <c r="MR7" i="19"/>
  <c r="MQ7" i="19"/>
  <c r="MW5" i="19"/>
  <c r="MV5" i="19"/>
  <c r="MT5" i="19"/>
  <c r="MS5" i="19"/>
  <c r="MR5" i="19"/>
  <c r="MQ5" i="19"/>
  <c r="MW4" i="19"/>
  <c r="MV4" i="19"/>
  <c r="MT4" i="19"/>
  <c r="MS4" i="19"/>
  <c r="MR4" i="19"/>
  <c r="MQ4" i="19"/>
  <c r="LU24" i="19"/>
  <c r="LT24" i="19"/>
  <c r="LR24" i="19"/>
  <c r="LQ24" i="19"/>
  <c r="LP24" i="19"/>
  <c r="LO24" i="19"/>
  <c r="LU26" i="19"/>
  <c r="LT26" i="19"/>
  <c r="LR26" i="19"/>
  <c r="LQ26" i="19"/>
  <c r="LP26" i="19"/>
  <c r="LO26" i="19"/>
  <c r="LU19" i="19"/>
  <c r="LT19" i="19"/>
  <c r="LR19" i="19"/>
  <c r="LQ19" i="19"/>
  <c r="LP19" i="19"/>
  <c r="LO19" i="19"/>
  <c r="LU25" i="19"/>
  <c r="LT25" i="19"/>
  <c r="LR25" i="19"/>
  <c r="LQ25" i="19"/>
  <c r="LP25" i="19"/>
  <c r="LO25" i="19"/>
  <c r="LU18" i="19"/>
  <c r="LT18" i="19"/>
  <c r="LR18" i="19"/>
  <c r="LQ18" i="19"/>
  <c r="LP18" i="19"/>
  <c r="LO18" i="19"/>
  <c r="LU21" i="19"/>
  <c r="LT21" i="19"/>
  <c r="LR21" i="19"/>
  <c r="LQ21" i="19"/>
  <c r="LP21" i="19"/>
  <c r="LO21" i="19"/>
  <c r="LU27" i="19"/>
  <c r="LT27" i="19"/>
  <c r="LR27" i="19"/>
  <c r="LQ27" i="19"/>
  <c r="LP27" i="19"/>
  <c r="LO27" i="19"/>
  <c r="LU23" i="19"/>
  <c r="LT23" i="19"/>
  <c r="LR23" i="19"/>
  <c r="LQ23" i="19"/>
  <c r="LP23" i="19"/>
  <c r="LO23" i="19"/>
  <c r="LU20" i="19"/>
  <c r="LT20" i="19"/>
  <c r="LR20" i="19"/>
  <c r="LQ20" i="19"/>
  <c r="LP20" i="19"/>
  <c r="LO20" i="19"/>
  <c r="LU17" i="19"/>
  <c r="LT17" i="19"/>
  <c r="LR17" i="19"/>
  <c r="LQ17" i="19"/>
  <c r="LP17" i="19"/>
  <c r="LO17" i="19"/>
  <c r="LU9" i="19"/>
  <c r="LT9" i="19"/>
  <c r="LR9" i="19"/>
  <c r="LQ9" i="19"/>
  <c r="LP9" i="19"/>
  <c r="LO9" i="19"/>
  <c r="LU14" i="19"/>
  <c r="LT14" i="19"/>
  <c r="LR14" i="19"/>
  <c r="LQ14" i="19"/>
  <c r="LP14" i="19"/>
  <c r="LO14" i="19"/>
  <c r="LU22" i="19"/>
  <c r="LT22" i="19"/>
  <c r="LR22" i="19"/>
  <c r="LQ22" i="19"/>
  <c r="LP22" i="19"/>
  <c r="LO22" i="19"/>
  <c r="LU15" i="19"/>
  <c r="LT15" i="19"/>
  <c r="LR15" i="19"/>
  <c r="LQ15" i="19"/>
  <c r="LP15" i="19"/>
  <c r="LO15" i="19"/>
  <c r="LU13" i="19"/>
  <c r="LT13" i="19"/>
  <c r="LR13" i="19"/>
  <c r="LQ13" i="19"/>
  <c r="LP13" i="19"/>
  <c r="LO13" i="19"/>
  <c r="LU16" i="19"/>
  <c r="LT16" i="19"/>
  <c r="LR16" i="19"/>
  <c r="LQ16" i="19"/>
  <c r="LP16" i="19"/>
  <c r="LO16" i="19"/>
  <c r="LU12" i="19"/>
  <c r="LT12" i="19"/>
  <c r="LR12" i="19"/>
  <c r="LQ12" i="19"/>
  <c r="LP12" i="19"/>
  <c r="LO12" i="19"/>
  <c r="LU11" i="19"/>
  <c r="LT11" i="19"/>
  <c r="LR11" i="19"/>
  <c r="LQ11" i="19"/>
  <c r="LP11" i="19"/>
  <c r="LO11" i="19"/>
  <c r="LU6" i="19"/>
  <c r="LT6" i="19"/>
  <c r="LR6" i="19"/>
  <c r="LQ6" i="19"/>
  <c r="LP6" i="19"/>
  <c r="LO6" i="19"/>
  <c r="LU10" i="19"/>
  <c r="LT10" i="19"/>
  <c r="LR10" i="19"/>
  <c r="LQ10" i="19"/>
  <c r="LP10" i="19"/>
  <c r="LO10" i="19"/>
  <c r="LU8" i="19"/>
  <c r="LT8" i="19"/>
  <c r="LR8" i="19"/>
  <c r="LQ8" i="19"/>
  <c r="LP8" i="19"/>
  <c r="LO8" i="19"/>
  <c r="LU7" i="19"/>
  <c r="LT7" i="19"/>
  <c r="LR7" i="19"/>
  <c r="LQ7" i="19"/>
  <c r="LP7" i="19"/>
  <c r="LO7" i="19"/>
  <c r="LU5" i="19"/>
  <c r="LT5" i="19"/>
  <c r="LR5" i="19"/>
  <c r="LQ5" i="19"/>
  <c r="LP5" i="19"/>
  <c r="LO5" i="19"/>
  <c r="LU4" i="19"/>
  <c r="LT4" i="19"/>
  <c r="LR4" i="19"/>
  <c r="LQ4" i="19"/>
  <c r="LP4" i="19"/>
  <c r="LO4" i="19"/>
  <c r="KS24" i="19"/>
  <c r="KR24" i="19"/>
  <c r="KP24" i="19"/>
  <c r="KO24" i="19"/>
  <c r="KN24" i="19"/>
  <c r="KM24" i="19"/>
  <c r="KS26" i="19"/>
  <c r="KR26" i="19"/>
  <c r="KP26" i="19"/>
  <c r="KO26" i="19"/>
  <c r="KN26" i="19"/>
  <c r="KM26" i="19"/>
  <c r="KS19" i="19"/>
  <c r="KR19" i="19"/>
  <c r="KP19" i="19"/>
  <c r="KO19" i="19"/>
  <c r="KN19" i="19"/>
  <c r="KM19" i="19"/>
  <c r="KS25" i="19"/>
  <c r="KR25" i="19"/>
  <c r="KP25" i="19"/>
  <c r="KO25" i="19"/>
  <c r="KN25" i="19"/>
  <c r="KM25" i="19"/>
  <c r="KS18" i="19"/>
  <c r="KR18" i="19"/>
  <c r="KP18" i="19"/>
  <c r="KO18" i="19"/>
  <c r="KN18" i="19"/>
  <c r="KM18" i="19"/>
  <c r="KS21" i="19"/>
  <c r="KR21" i="19"/>
  <c r="KP21" i="19"/>
  <c r="KO21" i="19"/>
  <c r="KN21" i="19"/>
  <c r="KM21" i="19"/>
  <c r="KS27" i="19"/>
  <c r="KR27" i="19"/>
  <c r="KP27" i="19"/>
  <c r="KO27" i="19"/>
  <c r="KN27" i="19"/>
  <c r="KM27" i="19"/>
  <c r="KS23" i="19"/>
  <c r="KR23" i="19"/>
  <c r="KP23" i="19"/>
  <c r="KO23" i="19"/>
  <c r="KN23" i="19"/>
  <c r="KM23" i="19"/>
  <c r="KS20" i="19"/>
  <c r="KR20" i="19"/>
  <c r="KP20" i="19"/>
  <c r="KO20" i="19"/>
  <c r="KN20" i="19"/>
  <c r="KM20" i="19"/>
  <c r="KS17" i="19"/>
  <c r="KR17" i="19"/>
  <c r="KP17" i="19"/>
  <c r="KO17" i="19"/>
  <c r="KN17" i="19"/>
  <c r="KM17" i="19"/>
  <c r="KS9" i="19"/>
  <c r="KR9" i="19"/>
  <c r="KP9" i="19"/>
  <c r="KO9" i="19"/>
  <c r="KN9" i="19"/>
  <c r="KM9" i="19"/>
  <c r="KS14" i="19"/>
  <c r="KR14" i="19"/>
  <c r="KP14" i="19"/>
  <c r="KO14" i="19"/>
  <c r="KN14" i="19"/>
  <c r="KM14" i="19"/>
  <c r="KS22" i="19"/>
  <c r="KR22" i="19"/>
  <c r="KP22" i="19"/>
  <c r="KO22" i="19"/>
  <c r="KN22" i="19"/>
  <c r="KM22" i="19"/>
  <c r="KS15" i="19"/>
  <c r="KR15" i="19"/>
  <c r="KP15" i="19"/>
  <c r="KO15" i="19"/>
  <c r="KN15" i="19"/>
  <c r="KM15" i="19"/>
  <c r="KS13" i="19"/>
  <c r="KR13" i="19"/>
  <c r="KP13" i="19"/>
  <c r="KO13" i="19"/>
  <c r="KN13" i="19"/>
  <c r="KM13" i="19"/>
  <c r="KS16" i="19"/>
  <c r="KR16" i="19"/>
  <c r="KP16" i="19"/>
  <c r="KO16" i="19"/>
  <c r="KN16" i="19"/>
  <c r="KM16" i="19"/>
  <c r="KS12" i="19"/>
  <c r="KR12" i="19"/>
  <c r="KP12" i="19"/>
  <c r="KO12" i="19"/>
  <c r="KN12" i="19"/>
  <c r="KM12" i="19"/>
  <c r="KS11" i="19"/>
  <c r="KR11" i="19"/>
  <c r="KP11" i="19"/>
  <c r="KO11" i="19"/>
  <c r="KN11" i="19"/>
  <c r="KM11" i="19"/>
  <c r="KS6" i="19"/>
  <c r="KR6" i="19"/>
  <c r="KP6" i="19"/>
  <c r="KO6" i="19"/>
  <c r="KN6" i="19"/>
  <c r="KM6" i="19"/>
  <c r="KS10" i="19"/>
  <c r="KR10" i="19"/>
  <c r="KP10" i="19"/>
  <c r="KO10" i="19"/>
  <c r="KN10" i="19"/>
  <c r="KM10" i="19"/>
  <c r="KS8" i="19"/>
  <c r="KR8" i="19"/>
  <c r="KP8" i="19"/>
  <c r="KO8" i="19"/>
  <c r="KN8" i="19"/>
  <c r="KM8" i="19"/>
  <c r="KS7" i="19"/>
  <c r="KR7" i="19"/>
  <c r="KP7" i="19"/>
  <c r="KO7" i="19"/>
  <c r="KN7" i="19"/>
  <c r="KM7" i="19"/>
  <c r="KS5" i="19"/>
  <c r="KR5" i="19"/>
  <c r="KP5" i="19"/>
  <c r="KO5" i="19"/>
  <c r="KN5" i="19"/>
  <c r="KM5" i="19"/>
  <c r="KS4" i="19"/>
  <c r="KR4" i="19"/>
  <c r="KP4" i="19"/>
  <c r="KO4" i="19"/>
  <c r="KN4" i="19"/>
  <c r="KM4" i="19"/>
  <c r="JQ24" i="19"/>
  <c r="JP24" i="19"/>
  <c r="JN24" i="19"/>
  <c r="JM24" i="19"/>
  <c r="JL24" i="19"/>
  <c r="JK24" i="19"/>
  <c r="JQ26" i="19"/>
  <c r="JP26" i="19"/>
  <c r="JN26" i="19"/>
  <c r="JM26" i="19"/>
  <c r="JL26" i="19"/>
  <c r="JK26" i="19"/>
  <c r="JQ19" i="19"/>
  <c r="JP19" i="19"/>
  <c r="JN19" i="19"/>
  <c r="JM19" i="19"/>
  <c r="JL19" i="19"/>
  <c r="JK19" i="19"/>
  <c r="JQ25" i="19"/>
  <c r="JP25" i="19"/>
  <c r="JN25" i="19"/>
  <c r="JM25" i="19"/>
  <c r="JL25" i="19"/>
  <c r="JK25" i="19"/>
  <c r="JQ18" i="19"/>
  <c r="JP18" i="19"/>
  <c r="JN18" i="19"/>
  <c r="JM18" i="19"/>
  <c r="JL18" i="19"/>
  <c r="JK18" i="19"/>
  <c r="JQ21" i="19"/>
  <c r="JP21" i="19"/>
  <c r="JN21" i="19"/>
  <c r="JM21" i="19"/>
  <c r="JL21" i="19"/>
  <c r="JK21" i="19"/>
  <c r="JQ27" i="19"/>
  <c r="JP27" i="19"/>
  <c r="JN27" i="19"/>
  <c r="JM27" i="19"/>
  <c r="JL27" i="19"/>
  <c r="JK27" i="19"/>
  <c r="JQ23" i="19"/>
  <c r="JP23" i="19"/>
  <c r="JN23" i="19"/>
  <c r="JM23" i="19"/>
  <c r="JL23" i="19"/>
  <c r="JK23" i="19"/>
  <c r="JQ20" i="19"/>
  <c r="JP20" i="19"/>
  <c r="JN20" i="19"/>
  <c r="JM20" i="19"/>
  <c r="JL20" i="19"/>
  <c r="JK20" i="19"/>
  <c r="JQ17" i="19"/>
  <c r="JP17" i="19"/>
  <c r="JN17" i="19"/>
  <c r="JM17" i="19"/>
  <c r="JL17" i="19"/>
  <c r="JK17" i="19"/>
  <c r="JQ9" i="19"/>
  <c r="JP9" i="19"/>
  <c r="JN9" i="19"/>
  <c r="JM9" i="19"/>
  <c r="JL9" i="19"/>
  <c r="JK9" i="19"/>
  <c r="JQ14" i="19"/>
  <c r="JP14" i="19"/>
  <c r="JN14" i="19"/>
  <c r="JM14" i="19"/>
  <c r="JL14" i="19"/>
  <c r="JK14" i="19"/>
  <c r="JQ22" i="19"/>
  <c r="JP22" i="19"/>
  <c r="JN22" i="19"/>
  <c r="JM22" i="19"/>
  <c r="JL22" i="19"/>
  <c r="JK22" i="19"/>
  <c r="JQ15" i="19"/>
  <c r="JP15" i="19"/>
  <c r="JN15" i="19"/>
  <c r="JM15" i="19"/>
  <c r="JL15" i="19"/>
  <c r="JK15" i="19"/>
  <c r="JQ13" i="19"/>
  <c r="JP13" i="19"/>
  <c r="JN13" i="19"/>
  <c r="JM13" i="19"/>
  <c r="JL13" i="19"/>
  <c r="JK13" i="19"/>
  <c r="JQ16" i="19"/>
  <c r="JP16" i="19"/>
  <c r="JN16" i="19"/>
  <c r="JM16" i="19"/>
  <c r="JL16" i="19"/>
  <c r="JK16" i="19"/>
  <c r="JQ12" i="19"/>
  <c r="JP12" i="19"/>
  <c r="JN12" i="19"/>
  <c r="JM12" i="19"/>
  <c r="JL12" i="19"/>
  <c r="JK12" i="19"/>
  <c r="JQ11" i="19"/>
  <c r="JP11" i="19"/>
  <c r="JN11" i="19"/>
  <c r="JM11" i="19"/>
  <c r="JL11" i="19"/>
  <c r="JK11" i="19"/>
  <c r="JQ6" i="19"/>
  <c r="JP6" i="19"/>
  <c r="JN6" i="19"/>
  <c r="JM6" i="19"/>
  <c r="JL6" i="19"/>
  <c r="JK6" i="19"/>
  <c r="JQ10" i="19"/>
  <c r="JP10" i="19"/>
  <c r="JN10" i="19"/>
  <c r="JM10" i="19"/>
  <c r="JL10" i="19"/>
  <c r="JK10" i="19"/>
  <c r="JQ8" i="19"/>
  <c r="JP8" i="19"/>
  <c r="JN8" i="19"/>
  <c r="JM8" i="19"/>
  <c r="JL8" i="19"/>
  <c r="JK8" i="19"/>
  <c r="JQ7" i="19"/>
  <c r="JP7" i="19"/>
  <c r="JN7" i="19"/>
  <c r="JM7" i="19"/>
  <c r="JL7" i="19"/>
  <c r="JK7" i="19"/>
  <c r="JQ5" i="19"/>
  <c r="JP5" i="19"/>
  <c r="JN5" i="19"/>
  <c r="JM5" i="19"/>
  <c r="JL5" i="19"/>
  <c r="JK5" i="19"/>
  <c r="JQ4" i="19"/>
  <c r="JP4" i="19"/>
  <c r="JN4" i="19"/>
  <c r="JM4" i="19"/>
  <c r="JL4" i="19"/>
  <c r="JK4" i="19"/>
  <c r="IO24" i="19"/>
  <c r="IN24" i="19"/>
  <c r="IL24" i="19"/>
  <c r="IK24" i="19"/>
  <c r="IJ24" i="19"/>
  <c r="II24" i="19"/>
  <c r="IO26" i="19"/>
  <c r="IN26" i="19"/>
  <c r="IL26" i="19"/>
  <c r="IK26" i="19"/>
  <c r="IJ26" i="19"/>
  <c r="II26" i="19"/>
  <c r="IO19" i="19"/>
  <c r="IN19" i="19"/>
  <c r="IL19" i="19"/>
  <c r="IK19" i="19"/>
  <c r="IJ19" i="19"/>
  <c r="II19" i="19"/>
  <c r="IO25" i="19"/>
  <c r="IN25" i="19"/>
  <c r="IL25" i="19"/>
  <c r="IK25" i="19"/>
  <c r="IJ25" i="19"/>
  <c r="II25" i="19"/>
  <c r="IO18" i="19"/>
  <c r="IN18" i="19"/>
  <c r="IL18" i="19"/>
  <c r="IK18" i="19"/>
  <c r="IJ18" i="19"/>
  <c r="II18" i="19"/>
  <c r="IO21" i="19"/>
  <c r="IN21" i="19"/>
  <c r="IL21" i="19"/>
  <c r="IK21" i="19"/>
  <c r="IJ21" i="19"/>
  <c r="II21" i="19"/>
  <c r="IO27" i="19"/>
  <c r="IN27" i="19"/>
  <c r="IL27" i="19"/>
  <c r="IK27" i="19"/>
  <c r="IJ27" i="19"/>
  <c r="II27" i="19"/>
  <c r="IO23" i="19"/>
  <c r="IN23" i="19"/>
  <c r="IL23" i="19"/>
  <c r="IK23" i="19"/>
  <c r="IJ23" i="19"/>
  <c r="II23" i="19"/>
  <c r="IO20" i="19"/>
  <c r="IN20" i="19"/>
  <c r="IL20" i="19"/>
  <c r="IK20" i="19"/>
  <c r="IJ20" i="19"/>
  <c r="II20" i="19"/>
  <c r="IO17" i="19"/>
  <c r="IN17" i="19"/>
  <c r="IL17" i="19"/>
  <c r="IK17" i="19"/>
  <c r="IJ17" i="19"/>
  <c r="II17" i="19"/>
  <c r="IO9" i="19"/>
  <c r="IN9" i="19"/>
  <c r="IL9" i="19"/>
  <c r="IK9" i="19"/>
  <c r="IJ9" i="19"/>
  <c r="II9" i="19"/>
  <c r="IO14" i="19"/>
  <c r="IN14" i="19"/>
  <c r="IL14" i="19"/>
  <c r="IK14" i="19"/>
  <c r="IJ14" i="19"/>
  <c r="II14" i="19"/>
  <c r="IO22" i="19"/>
  <c r="IN22" i="19"/>
  <c r="IL22" i="19"/>
  <c r="IK22" i="19"/>
  <c r="IJ22" i="19"/>
  <c r="II22" i="19"/>
  <c r="IO15" i="19"/>
  <c r="IN15" i="19"/>
  <c r="IL15" i="19"/>
  <c r="IK15" i="19"/>
  <c r="IJ15" i="19"/>
  <c r="II15" i="19"/>
  <c r="IO13" i="19"/>
  <c r="IN13" i="19"/>
  <c r="IL13" i="19"/>
  <c r="IK13" i="19"/>
  <c r="IJ13" i="19"/>
  <c r="II13" i="19"/>
  <c r="IO16" i="19"/>
  <c r="IN16" i="19"/>
  <c r="IL16" i="19"/>
  <c r="IK16" i="19"/>
  <c r="IJ16" i="19"/>
  <c r="II16" i="19"/>
  <c r="IO12" i="19"/>
  <c r="IN12" i="19"/>
  <c r="IL12" i="19"/>
  <c r="IK12" i="19"/>
  <c r="IJ12" i="19"/>
  <c r="II12" i="19"/>
  <c r="IO11" i="19"/>
  <c r="IN11" i="19"/>
  <c r="IL11" i="19"/>
  <c r="IK11" i="19"/>
  <c r="IJ11" i="19"/>
  <c r="II11" i="19"/>
  <c r="IO6" i="19"/>
  <c r="IN6" i="19"/>
  <c r="IL6" i="19"/>
  <c r="IK6" i="19"/>
  <c r="IJ6" i="19"/>
  <c r="II6" i="19"/>
  <c r="IO10" i="19"/>
  <c r="IN10" i="19"/>
  <c r="IL10" i="19"/>
  <c r="IK10" i="19"/>
  <c r="IJ10" i="19"/>
  <c r="II10" i="19"/>
  <c r="IO8" i="19"/>
  <c r="IN8" i="19"/>
  <c r="IL8" i="19"/>
  <c r="IK8" i="19"/>
  <c r="IJ8" i="19"/>
  <c r="II8" i="19"/>
  <c r="IO7" i="19"/>
  <c r="IN7" i="19"/>
  <c r="IL7" i="19"/>
  <c r="IK7" i="19"/>
  <c r="IJ7" i="19"/>
  <c r="II7" i="19"/>
  <c r="IO5" i="19"/>
  <c r="IN5" i="19"/>
  <c r="IL5" i="19"/>
  <c r="IK5" i="19"/>
  <c r="IJ5" i="19"/>
  <c r="II5" i="19"/>
  <c r="IO4" i="19"/>
  <c r="IN4" i="19"/>
  <c r="IL4" i="19"/>
  <c r="IK4" i="19"/>
  <c r="IJ4" i="19"/>
  <c r="II4" i="19"/>
  <c r="HM24" i="19"/>
  <c r="HL24" i="19"/>
  <c r="HJ24" i="19"/>
  <c r="HI24" i="19"/>
  <c r="HH24" i="19"/>
  <c r="HG24" i="19"/>
  <c r="HM26" i="19"/>
  <c r="HL26" i="19"/>
  <c r="HJ26" i="19"/>
  <c r="HI26" i="19"/>
  <c r="HH26" i="19"/>
  <c r="HG26" i="19"/>
  <c r="HM19" i="19"/>
  <c r="HL19" i="19"/>
  <c r="HJ19" i="19"/>
  <c r="HI19" i="19"/>
  <c r="HH19" i="19"/>
  <c r="HG19" i="19"/>
  <c r="HM25" i="19"/>
  <c r="HL25" i="19"/>
  <c r="HJ25" i="19"/>
  <c r="HI25" i="19"/>
  <c r="HH25" i="19"/>
  <c r="HG25" i="19"/>
  <c r="HM18" i="19"/>
  <c r="HL18" i="19"/>
  <c r="HJ18" i="19"/>
  <c r="HI18" i="19"/>
  <c r="HH18" i="19"/>
  <c r="HG18" i="19"/>
  <c r="HM21" i="19"/>
  <c r="HL21" i="19"/>
  <c r="HJ21" i="19"/>
  <c r="HI21" i="19"/>
  <c r="HH21" i="19"/>
  <c r="HG21" i="19"/>
  <c r="HM27" i="19"/>
  <c r="HL27" i="19"/>
  <c r="HJ27" i="19"/>
  <c r="HI27" i="19"/>
  <c r="HH27" i="19"/>
  <c r="HG27" i="19"/>
  <c r="HM23" i="19"/>
  <c r="HL23" i="19"/>
  <c r="HJ23" i="19"/>
  <c r="HI23" i="19"/>
  <c r="HH23" i="19"/>
  <c r="HG23" i="19"/>
  <c r="HM20" i="19"/>
  <c r="HL20" i="19"/>
  <c r="HJ20" i="19"/>
  <c r="HI20" i="19"/>
  <c r="HH20" i="19"/>
  <c r="HG20" i="19"/>
  <c r="HM17" i="19"/>
  <c r="HL17" i="19"/>
  <c r="HJ17" i="19"/>
  <c r="HI17" i="19"/>
  <c r="HH17" i="19"/>
  <c r="HG17" i="19"/>
  <c r="HM9" i="19"/>
  <c r="HL9" i="19"/>
  <c r="HJ9" i="19"/>
  <c r="HI9" i="19"/>
  <c r="HH9" i="19"/>
  <c r="HG9" i="19"/>
  <c r="HM14" i="19"/>
  <c r="HL14" i="19"/>
  <c r="HJ14" i="19"/>
  <c r="HI14" i="19"/>
  <c r="HH14" i="19"/>
  <c r="HG14" i="19"/>
  <c r="HM22" i="19"/>
  <c r="HL22" i="19"/>
  <c r="HJ22" i="19"/>
  <c r="HI22" i="19"/>
  <c r="HH22" i="19"/>
  <c r="HG22" i="19"/>
  <c r="HM15" i="19"/>
  <c r="HL15" i="19"/>
  <c r="HJ15" i="19"/>
  <c r="HI15" i="19"/>
  <c r="HH15" i="19"/>
  <c r="HG15" i="19"/>
  <c r="HM13" i="19"/>
  <c r="HL13" i="19"/>
  <c r="HJ13" i="19"/>
  <c r="HI13" i="19"/>
  <c r="HH13" i="19"/>
  <c r="HG13" i="19"/>
  <c r="HM16" i="19"/>
  <c r="HL16" i="19"/>
  <c r="HJ16" i="19"/>
  <c r="HI16" i="19"/>
  <c r="HH16" i="19"/>
  <c r="HG16" i="19"/>
  <c r="HM12" i="19"/>
  <c r="HL12" i="19"/>
  <c r="HJ12" i="19"/>
  <c r="HI12" i="19"/>
  <c r="HH12" i="19"/>
  <c r="HG12" i="19"/>
  <c r="HM11" i="19"/>
  <c r="HL11" i="19"/>
  <c r="HJ11" i="19"/>
  <c r="HI11" i="19"/>
  <c r="HH11" i="19"/>
  <c r="HG11" i="19"/>
  <c r="HM6" i="19"/>
  <c r="HL6" i="19"/>
  <c r="HJ6" i="19"/>
  <c r="HI6" i="19"/>
  <c r="HH6" i="19"/>
  <c r="HG6" i="19"/>
  <c r="HM10" i="19"/>
  <c r="HL10" i="19"/>
  <c r="HJ10" i="19"/>
  <c r="HI10" i="19"/>
  <c r="HH10" i="19"/>
  <c r="HG10" i="19"/>
  <c r="HM8" i="19"/>
  <c r="HL8" i="19"/>
  <c r="HJ8" i="19"/>
  <c r="HI8" i="19"/>
  <c r="HH8" i="19"/>
  <c r="HG8" i="19"/>
  <c r="HM7" i="19"/>
  <c r="HL7" i="19"/>
  <c r="HJ7" i="19"/>
  <c r="HI7" i="19"/>
  <c r="HH7" i="19"/>
  <c r="HG7" i="19"/>
  <c r="HM5" i="19"/>
  <c r="HL5" i="19"/>
  <c r="HJ5" i="19"/>
  <c r="HI5" i="19"/>
  <c r="HH5" i="19"/>
  <c r="HG5" i="19"/>
  <c r="HM4" i="19"/>
  <c r="HL4" i="19"/>
  <c r="HJ4" i="19"/>
  <c r="HI4" i="19"/>
  <c r="HH4" i="19"/>
  <c r="HG4" i="19"/>
  <c r="GK24" i="19"/>
  <c r="GJ24" i="19"/>
  <c r="GH24" i="19"/>
  <c r="GG24" i="19"/>
  <c r="GF24" i="19"/>
  <c r="GE24" i="19"/>
  <c r="GK26" i="19"/>
  <c r="GJ26" i="19"/>
  <c r="GH26" i="19"/>
  <c r="GG26" i="19"/>
  <c r="GF26" i="19"/>
  <c r="GE26" i="19"/>
  <c r="GK19" i="19"/>
  <c r="GJ19" i="19"/>
  <c r="GH19" i="19"/>
  <c r="GG19" i="19"/>
  <c r="GF19" i="19"/>
  <c r="GE19" i="19"/>
  <c r="GK25" i="19"/>
  <c r="GJ25" i="19"/>
  <c r="GH25" i="19"/>
  <c r="GG25" i="19"/>
  <c r="GF25" i="19"/>
  <c r="GE25" i="19"/>
  <c r="GK18" i="19"/>
  <c r="GJ18" i="19"/>
  <c r="GH18" i="19"/>
  <c r="GG18" i="19"/>
  <c r="GF18" i="19"/>
  <c r="GE18" i="19"/>
  <c r="GK21" i="19"/>
  <c r="GJ21" i="19"/>
  <c r="GH21" i="19"/>
  <c r="GG21" i="19"/>
  <c r="GF21" i="19"/>
  <c r="GE21" i="19"/>
  <c r="GK27" i="19"/>
  <c r="GJ27" i="19"/>
  <c r="GH27" i="19"/>
  <c r="GG27" i="19"/>
  <c r="GF27" i="19"/>
  <c r="GE27" i="19"/>
  <c r="GK23" i="19"/>
  <c r="GJ23" i="19"/>
  <c r="GH23" i="19"/>
  <c r="GG23" i="19"/>
  <c r="GF23" i="19"/>
  <c r="GE23" i="19"/>
  <c r="GK20" i="19"/>
  <c r="GJ20" i="19"/>
  <c r="GH20" i="19"/>
  <c r="GG20" i="19"/>
  <c r="GF20" i="19"/>
  <c r="GE20" i="19"/>
  <c r="GK17" i="19"/>
  <c r="GJ17" i="19"/>
  <c r="GH17" i="19"/>
  <c r="GG17" i="19"/>
  <c r="GF17" i="19"/>
  <c r="GE17" i="19"/>
  <c r="GK9" i="19"/>
  <c r="GJ9" i="19"/>
  <c r="GH9" i="19"/>
  <c r="GG9" i="19"/>
  <c r="GF9" i="19"/>
  <c r="GE9" i="19"/>
  <c r="GK14" i="19"/>
  <c r="GJ14" i="19"/>
  <c r="GH14" i="19"/>
  <c r="GG14" i="19"/>
  <c r="GF14" i="19"/>
  <c r="GE14" i="19"/>
  <c r="GK22" i="19"/>
  <c r="GJ22" i="19"/>
  <c r="GH22" i="19"/>
  <c r="GG22" i="19"/>
  <c r="GF22" i="19"/>
  <c r="GE22" i="19"/>
  <c r="GK15" i="19"/>
  <c r="GJ15" i="19"/>
  <c r="GH15" i="19"/>
  <c r="GG15" i="19"/>
  <c r="GF15" i="19"/>
  <c r="GE15" i="19"/>
  <c r="GK13" i="19"/>
  <c r="GJ13" i="19"/>
  <c r="GH13" i="19"/>
  <c r="GG13" i="19"/>
  <c r="GF13" i="19"/>
  <c r="GE13" i="19"/>
  <c r="GK16" i="19"/>
  <c r="GJ16" i="19"/>
  <c r="GH16" i="19"/>
  <c r="GG16" i="19"/>
  <c r="GF16" i="19"/>
  <c r="GE16" i="19"/>
  <c r="GK12" i="19"/>
  <c r="GJ12" i="19"/>
  <c r="GH12" i="19"/>
  <c r="GG12" i="19"/>
  <c r="GF12" i="19"/>
  <c r="GE12" i="19"/>
  <c r="GK11" i="19"/>
  <c r="GJ11" i="19"/>
  <c r="GH11" i="19"/>
  <c r="GG11" i="19"/>
  <c r="GF11" i="19"/>
  <c r="GE11" i="19"/>
  <c r="GK6" i="19"/>
  <c r="GJ6" i="19"/>
  <c r="GH6" i="19"/>
  <c r="GG6" i="19"/>
  <c r="GF6" i="19"/>
  <c r="GE6" i="19"/>
  <c r="GK10" i="19"/>
  <c r="GJ10" i="19"/>
  <c r="GH10" i="19"/>
  <c r="GG10" i="19"/>
  <c r="GF10" i="19"/>
  <c r="GE10" i="19"/>
  <c r="GK8" i="19"/>
  <c r="GJ8" i="19"/>
  <c r="GH8" i="19"/>
  <c r="GG8" i="19"/>
  <c r="GF8" i="19"/>
  <c r="GE8" i="19"/>
  <c r="GK7" i="19"/>
  <c r="GJ7" i="19"/>
  <c r="GH7" i="19"/>
  <c r="GG7" i="19"/>
  <c r="GF7" i="19"/>
  <c r="GE7" i="19"/>
  <c r="GK5" i="19"/>
  <c r="GJ5" i="19"/>
  <c r="GH5" i="19"/>
  <c r="GG5" i="19"/>
  <c r="GF5" i="19"/>
  <c r="GE5" i="19"/>
  <c r="GK4" i="19"/>
  <c r="GJ4" i="19"/>
  <c r="GH4" i="19"/>
  <c r="GG4" i="19"/>
  <c r="GF4" i="19"/>
  <c r="GE4" i="19"/>
  <c r="FI24" i="19"/>
  <c r="FH24" i="19"/>
  <c r="FF24" i="19"/>
  <c r="FE24" i="19"/>
  <c r="FD24" i="19"/>
  <c r="FC24" i="19"/>
  <c r="FI26" i="19"/>
  <c r="FH26" i="19"/>
  <c r="FF26" i="19"/>
  <c r="FE26" i="19"/>
  <c r="FD26" i="19"/>
  <c r="FC26" i="19"/>
  <c r="FI19" i="19"/>
  <c r="FH19" i="19"/>
  <c r="FF19" i="19"/>
  <c r="FE19" i="19"/>
  <c r="FD19" i="19"/>
  <c r="FC19" i="19"/>
  <c r="FI25" i="19"/>
  <c r="FH25" i="19"/>
  <c r="FF25" i="19"/>
  <c r="FE25" i="19"/>
  <c r="FD25" i="19"/>
  <c r="FC25" i="19"/>
  <c r="FI18" i="19"/>
  <c r="FH18" i="19"/>
  <c r="FF18" i="19"/>
  <c r="FE18" i="19"/>
  <c r="FD18" i="19"/>
  <c r="FC18" i="19"/>
  <c r="FI21" i="19"/>
  <c r="FH21" i="19"/>
  <c r="FF21" i="19"/>
  <c r="FE21" i="19"/>
  <c r="FD21" i="19"/>
  <c r="FC21" i="19"/>
  <c r="FI27" i="19"/>
  <c r="FH27" i="19"/>
  <c r="FF27" i="19"/>
  <c r="FE27" i="19"/>
  <c r="FD27" i="19"/>
  <c r="FC27" i="19"/>
  <c r="FI23" i="19"/>
  <c r="FH23" i="19"/>
  <c r="FF23" i="19"/>
  <c r="FE23" i="19"/>
  <c r="FD23" i="19"/>
  <c r="FC23" i="19"/>
  <c r="FI20" i="19"/>
  <c r="FH20" i="19"/>
  <c r="FF20" i="19"/>
  <c r="FE20" i="19"/>
  <c r="FD20" i="19"/>
  <c r="FC20" i="19"/>
  <c r="FI17" i="19"/>
  <c r="FH17" i="19"/>
  <c r="FF17" i="19"/>
  <c r="FE17" i="19"/>
  <c r="FD17" i="19"/>
  <c r="FC17" i="19"/>
  <c r="FI9" i="19"/>
  <c r="FH9" i="19"/>
  <c r="FF9" i="19"/>
  <c r="FE9" i="19"/>
  <c r="FD9" i="19"/>
  <c r="FC9" i="19"/>
  <c r="FI14" i="19"/>
  <c r="FH14" i="19"/>
  <c r="FF14" i="19"/>
  <c r="FE14" i="19"/>
  <c r="FD14" i="19"/>
  <c r="FC14" i="19"/>
  <c r="FI22" i="19"/>
  <c r="FH22" i="19"/>
  <c r="FF22" i="19"/>
  <c r="FE22" i="19"/>
  <c r="FD22" i="19"/>
  <c r="FC22" i="19"/>
  <c r="FI15" i="19"/>
  <c r="FH15" i="19"/>
  <c r="FF15" i="19"/>
  <c r="FE15" i="19"/>
  <c r="FD15" i="19"/>
  <c r="FC15" i="19"/>
  <c r="FI13" i="19"/>
  <c r="FH13" i="19"/>
  <c r="FF13" i="19"/>
  <c r="FE13" i="19"/>
  <c r="FD13" i="19"/>
  <c r="FC13" i="19"/>
  <c r="FI16" i="19"/>
  <c r="FH16" i="19"/>
  <c r="FF16" i="19"/>
  <c r="FE16" i="19"/>
  <c r="FD16" i="19"/>
  <c r="FC16" i="19"/>
  <c r="FI12" i="19"/>
  <c r="FH12" i="19"/>
  <c r="FF12" i="19"/>
  <c r="FE12" i="19"/>
  <c r="FD12" i="19"/>
  <c r="FC12" i="19"/>
  <c r="FI11" i="19"/>
  <c r="FH11" i="19"/>
  <c r="FF11" i="19"/>
  <c r="FE11" i="19"/>
  <c r="FD11" i="19"/>
  <c r="FC11" i="19"/>
  <c r="FI6" i="19"/>
  <c r="FH6" i="19"/>
  <c r="FF6" i="19"/>
  <c r="FE6" i="19"/>
  <c r="FD6" i="19"/>
  <c r="FC6" i="19"/>
  <c r="FI10" i="19"/>
  <c r="FH10" i="19"/>
  <c r="FF10" i="19"/>
  <c r="FE10" i="19"/>
  <c r="FD10" i="19"/>
  <c r="FC10" i="19"/>
  <c r="FI8" i="19"/>
  <c r="FH8" i="19"/>
  <c r="FF8" i="19"/>
  <c r="FE8" i="19"/>
  <c r="FD8" i="19"/>
  <c r="FC8" i="19"/>
  <c r="FI7" i="19"/>
  <c r="FH7" i="19"/>
  <c r="FF7" i="19"/>
  <c r="FE7" i="19"/>
  <c r="FD7" i="19"/>
  <c r="FC7" i="19"/>
  <c r="FI5" i="19"/>
  <c r="FH5" i="19"/>
  <c r="FF5" i="19"/>
  <c r="FE5" i="19"/>
  <c r="FD5" i="19"/>
  <c r="FC5" i="19"/>
  <c r="FI4" i="19"/>
  <c r="FH4" i="19"/>
  <c r="FF4" i="19"/>
  <c r="FE4" i="19"/>
  <c r="FD4" i="19"/>
  <c r="FC4" i="19"/>
  <c r="EG24" i="19"/>
  <c r="EF24" i="19"/>
  <c r="ED24" i="19"/>
  <c r="EC24" i="19"/>
  <c r="EB24" i="19"/>
  <c r="EA24" i="19"/>
  <c r="EG26" i="19"/>
  <c r="EF26" i="19"/>
  <c r="ED26" i="19"/>
  <c r="EC26" i="19"/>
  <c r="EB26" i="19"/>
  <c r="EA26" i="19"/>
  <c r="EG19" i="19"/>
  <c r="EF19" i="19"/>
  <c r="ED19" i="19"/>
  <c r="EC19" i="19"/>
  <c r="EB19" i="19"/>
  <c r="EA19" i="19"/>
  <c r="EG25" i="19"/>
  <c r="EF25" i="19"/>
  <c r="ED25" i="19"/>
  <c r="EC25" i="19"/>
  <c r="EB25" i="19"/>
  <c r="EA25" i="19"/>
  <c r="EG18" i="19"/>
  <c r="EF18" i="19"/>
  <c r="ED18" i="19"/>
  <c r="EC18" i="19"/>
  <c r="EB18" i="19"/>
  <c r="EA18" i="19"/>
  <c r="EG21" i="19"/>
  <c r="EF21" i="19"/>
  <c r="ED21" i="19"/>
  <c r="EC21" i="19"/>
  <c r="EB21" i="19"/>
  <c r="EA21" i="19"/>
  <c r="EG27" i="19"/>
  <c r="EF27" i="19"/>
  <c r="ED27" i="19"/>
  <c r="EC27" i="19"/>
  <c r="EB27" i="19"/>
  <c r="EA27" i="19"/>
  <c r="EG23" i="19"/>
  <c r="EF23" i="19"/>
  <c r="ED23" i="19"/>
  <c r="EC23" i="19"/>
  <c r="EB23" i="19"/>
  <c r="EA23" i="19"/>
  <c r="EG20" i="19"/>
  <c r="EF20" i="19"/>
  <c r="ED20" i="19"/>
  <c r="EC20" i="19"/>
  <c r="EB20" i="19"/>
  <c r="EA20" i="19"/>
  <c r="EG17" i="19"/>
  <c r="EF17" i="19"/>
  <c r="ED17" i="19"/>
  <c r="EC17" i="19"/>
  <c r="EB17" i="19"/>
  <c r="EA17" i="19"/>
  <c r="EG9" i="19"/>
  <c r="EF9" i="19"/>
  <c r="ED9" i="19"/>
  <c r="EC9" i="19"/>
  <c r="EB9" i="19"/>
  <c r="EA9" i="19"/>
  <c r="EG14" i="19"/>
  <c r="EF14" i="19"/>
  <c r="ED14" i="19"/>
  <c r="EC14" i="19"/>
  <c r="EB14" i="19"/>
  <c r="EA14" i="19"/>
  <c r="EG22" i="19"/>
  <c r="EF22" i="19"/>
  <c r="ED22" i="19"/>
  <c r="EC22" i="19"/>
  <c r="EB22" i="19"/>
  <c r="EA22" i="19"/>
  <c r="EG15" i="19"/>
  <c r="EF15" i="19"/>
  <c r="ED15" i="19"/>
  <c r="EC15" i="19"/>
  <c r="EB15" i="19"/>
  <c r="EA15" i="19"/>
  <c r="EG13" i="19"/>
  <c r="EF13" i="19"/>
  <c r="ED13" i="19"/>
  <c r="EC13" i="19"/>
  <c r="EB13" i="19"/>
  <c r="EA13" i="19"/>
  <c r="EG16" i="19"/>
  <c r="EF16" i="19"/>
  <c r="ED16" i="19"/>
  <c r="EC16" i="19"/>
  <c r="EB16" i="19"/>
  <c r="EA16" i="19"/>
  <c r="EG12" i="19"/>
  <c r="EF12" i="19"/>
  <c r="ED12" i="19"/>
  <c r="EC12" i="19"/>
  <c r="EB12" i="19"/>
  <c r="EA12" i="19"/>
  <c r="EG11" i="19"/>
  <c r="EF11" i="19"/>
  <c r="ED11" i="19"/>
  <c r="EC11" i="19"/>
  <c r="EB11" i="19"/>
  <c r="EA11" i="19"/>
  <c r="EG6" i="19"/>
  <c r="EF6" i="19"/>
  <c r="ED6" i="19"/>
  <c r="EC6" i="19"/>
  <c r="EB6" i="19"/>
  <c r="EA6" i="19"/>
  <c r="EG10" i="19"/>
  <c r="EF10" i="19"/>
  <c r="ED10" i="19"/>
  <c r="EC10" i="19"/>
  <c r="EB10" i="19"/>
  <c r="EA10" i="19"/>
  <c r="EG8" i="19"/>
  <c r="EF8" i="19"/>
  <c r="ED8" i="19"/>
  <c r="EC8" i="19"/>
  <c r="EB8" i="19"/>
  <c r="EA8" i="19"/>
  <c r="EG7" i="19"/>
  <c r="EF7" i="19"/>
  <c r="ED7" i="19"/>
  <c r="EC7" i="19"/>
  <c r="EB7" i="19"/>
  <c r="EA7" i="19"/>
  <c r="EG5" i="19"/>
  <c r="EF5" i="19"/>
  <c r="ED5" i="19"/>
  <c r="EC5" i="19"/>
  <c r="EB5" i="19"/>
  <c r="EA5" i="19"/>
  <c r="EG4" i="19"/>
  <c r="EF4" i="19"/>
  <c r="ED4" i="19"/>
  <c r="EC4" i="19"/>
  <c r="EB4" i="19"/>
  <c r="EA4" i="19"/>
  <c r="SG8" i="27"/>
  <c r="SF8" i="27"/>
  <c r="SD8" i="27"/>
  <c r="SC8" i="27"/>
  <c r="SB8" i="27"/>
  <c r="SA8" i="27"/>
  <c r="SG16" i="27"/>
  <c r="SF16" i="27"/>
  <c r="SD16" i="27"/>
  <c r="SC16" i="27"/>
  <c r="SB16" i="27"/>
  <c r="SA16" i="27"/>
  <c r="SG14" i="27"/>
  <c r="SF14" i="27"/>
  <c r="SD14" i="27"/>
  <c r="SC14" i="27"/>
  <c r="SB14" i="27"/>
  <c r="SA14" i="27"/>
  <c r="SG11" i="27"/>
  <c r="SF11" i="27"/>
  <c r="SD11" i="27"/>
  <c r="SC11" i="27"/>
  <c r="SB11" i="27"/>
  <c r="SA11" i="27"/>
  <c r="SG15" i="27"/>
  <c r="SF15" i="27"/>
  <c r="SD15" i="27"/>
  <c r="SC15" i="27"/>
  <c r="SB15" i="27"/>
  <c r="SA15" i="27"/>
  <c r="SG10" i="27"/>
  <c r="SF10" i="27"/>
  <c r="SD10" i="27"/>
  <c r="SC10" i="27"/>
  <c r="SB10" i="27"/>
  <c r="SA10" i="27"/>
  <c r="SG12" i="27"/>
  <c r="SF12" i="27"/>
  <c r="SD12" i="27"/>
  <c r="SC12" i="27"/>
  <c r="SB12" i="27"/>
  <c r="SA12" i="27"/>
  <c r="SG13" i="27"/>
  <c r="SF13" i="27"/>
  <c r="SD13" i="27"/>
  <c r="SC13" i="27"/>
  <c r="SB13" i="27"/>
  <c r="SA13" i="27"/>
  <c r="SG7" i="27"/>
  <c r="SF7" i="27"/>
  <c r="SD7" i="27"/>
  <c r="SC7" i="27"/>
  <c r="SB7" i="27"/>
  <c r="SA7" i="27"/>
  <c r="SG9" i="27"/>
  <c r="SF9" i="27"/>
  <c r="SD9" i="27"/>
  <c r="SC9" i="27"/>
  <c r="SB9" i="27"/>
  <c r="SA9" i="27"/>
  <c r="SG4" i="27"/>
  <c r="SF4" i="27"/>
  <c r="SD4" i="27"/>
  <c r="SC4" i="27"/>
  <c r="SB4" i="27"/>
  <c r="SA4" i="27"/>
  <c r="SG5" i="27"/>
  <c r="SF5" i="27"/>
  <c r="SD5" i="27"/>
  <c r="SC5" i="27"/>
  <c r="SB5" i="27"/>
  <c r="SA5" i="27"/>
  <c r="SG6" i="27"/>
  <c r="SF6" i="27"/>
  <c r="SD6" i="27"/>
  <c r="SC6" i="27"/>
  <c r="SB6" i="27"/>
  <c r="SA6" i="27"/>
  <c r="RE8" i="27"/>
  <c r="RD8" i="27"/>
  <c r="RB8" i="27"/>
  <c r="RA8" i="27"/>
  <c r="QZ8" i="27"/>
  <c r="QY8" i="27"/>
  <c r="RE16" i="27"/>
  <c r="RD16" i="27"/>
  <c r="RB16" i="27"/>
  <c r="RA16" i="27"/>
  <c r="QZ16" i="27"/>
  <c r="QY16" i="27"/>
  <c r="RE14" i="27"/>
  <c r="RD14" i="27"/>
  <c r="RB14" i="27"/>
  <c r="RA14" i="27"/>
  <c r="QZ14" i="27"/>
  <c r="QY14" i="27"/>
  <c r="RE11" i="27"/>
  <c r="RD11" i="27"/>
  <c r="RB11" i="27"/>
  <c r="RA11" i="27"/>
  <c r="QZ11" i="27"/>
  <c r="QY11" i="27"/>
  <c r="RE15" i="27"/>
  <c r="RD15" i="27"/>
  <c r="RB15" i="27"/>
  <c r="RA15" i="27"/>
  <c r="QZ15" i="27"/>
  <c r="QY15" i="27"/>
  <c r="RE10" i="27"/>
  <c r="RD10" i="27"/>
  <c r="RB10" i="27"/>
  <c r="RA10" i="27"/>
  <c r="QZ10" i="27"/>
  <c r="QY10" i="27"/>
  <c r="RE12" i="27"/>
  <c r="RD12" i="27"/>
  <c r="RB12" i="27"/>
  <c r="RA12" i="27"/>
  <c r="QZ12" i="27"/>
  <c r="QY12" i="27"/>
  <c r="RE13" i="27"/>
  <c r="RD13" i="27"/>
  <c r="RB13" i="27"/>
  <c r="RA13" i="27"/>
  <c r="QZ13" i="27"/>
  <c r="QY13" i="27"/>
  <c r="RE7" i="27"/>
  <c r="RD7" i="27"/>
  <c r="RB7" i="27"/>
  <c r="RA7" i="27"/>
  <c r="QZ7" i="27"/>
  <c r="QY7" i="27"/>
  <c r="RE9" i="27"/>
  <c r="RD9" i="27"/>
  <c r="RB9" i="27"/>
  <c r="RA9" i="27"/>
  <c r="QZ9" i="27"/>
  <c r="QY9" i="27"/>
  <c r="RE4" i="27"/>
  <c r="RD4" i="27"/>
  <c r="RB4" i="27"/>
  <c r="RA4" i="27"/>
  <c r="QZ4" i="27"/>
  <c r="QY4" i="27"/>
  <c r="RE5" i="27"/>
  <c r="RD5" i="27"/>
  <c r="RB5" i="27"/>
  <c r="RA5" i="27"/>
  <c r="QZ5" i="27"/>
  <c r="QY5" i="27"/>
  <c r="RE6" i="27"/>
  <c r="RD6" i="27"/>
  <c r="RB6" i="27"/>
  <c r="RA6" i="27"/>
  <c r="QZ6" i="27"/>
  <c r="QY6" i="27"/>
  <c r="QC8" i="27"/>
  <c r="QB8" i="27"/>
  <c r="PZ8" i="27"/>
  <c r="PY8" i="27"/>
  <c r="PX8" i="27"/>
  <c r="PW8" i="27"/>
  <c r="QC16" i="27"/>
  <c r="QB16" i="27"/>
  <c r="PZ16" i="27"/>
  <c r="PY16" i="27"/>
  <c r="PX16" i="27"/>
  <c r="PW16" i="27"/>
  <c r="QC14" i="27"/>
  <c r="QB14" i="27"/>
  <c r="PZ14" i="27"/>
  <c r="PY14" i="27"/>
  <c r="PX14" i="27"/>
  <c r="PW14" i="27"/>
  <c r="QC11" i="27"/>
  <c r="QB11" i="27"/>
  <c r="PZ11" i="27"/>
  <c r="PY11" i="27"/>
  <c r="PX11" i="27"/>
  <c r="PW11" i="27"/>
  <c r="QC15" i="27"/>
  <c r="QB15" i="27"/>
  <c r="PZ15" i="27"/>
  <c r="PY15" i="27"/>
  <c r="PX15" i="27"/>
  <c r="PW15" i="27"/>
  <c r="QC10" i="27"/>
  <c r="QB10" i="27"/>
  <c r="PZ10" i="27"/>
  <c r="PY10" i="27"/>
  <c r="PX10" i="27"/>
  <c r="PW10" i="27"/>
  <c r="QC12" i="27"/>
  <c r="QB12" i="27"/>
  <c r="PZ12" i="27"/>
  <c r="PY12" i="27"/>
  <c r="PX12" i="27"/>
  <c r="PW12" i="27"/>
  <c r="QC13" i="27"/>
  <c r="QB13" i="27"/>
  <c r="PZ13" i="27"/>
  <c r="PY13" i="27"/>
  <c r="PX13" i="27"/>
  <c r="PW13" i="27"/>
  <c r="QC7" i="27"/>
  <c r="QB7" i="27"/>
  <c r="PZ7" i="27"/>
  <c r="PY7" i="27"/>
  <c r="PX7" i="27"/>
  <c r="PW7" i="27"/>
  <c r="QC9" i="27"/>
  <c r="QB9" i="27"/>
  <c r="PZ9" i="27"/>
  <c r="PY9" i="27"/>
  <c r="PX9" i="27"/>
  <c r="PW9" i="27"/>
  <c r="QC4" i="27"/>
  <c r="QB4" i="27"/>
  <c r="PZ4" i="27"/>
  <c r="PY4" i="27"/>
  <c r="PX4" i="27"/>
  <c r="PW4" i="27"/>
  <c r="QC5" i="27"/>
  <c r="QB5" i="27"/>
  <c r="PZ5" i="27"/>
  <c r="PY5" i="27"/>
  <c r="PX5" i="27"/>
  <c r="PW5" i="27"/>
  <c r="QC6" i="27"/>
  <c r="QB6" i="27"/>
  <c r="PZ6" i="27"/>
  <c r="PY6" i="27"/>
  <c r="PX6" i="27"/>
  <c r="PW6" i="27"/>
  <c r="PA8" i="27"/>
  <c r="OZ8" i="27"/>
  <c r="OX8" i="27"/>
  <c r="OW8" i="27"/>
  <c r="OV8" i="27"/>
  <c r="OU8" i="27"/>
  <c r="PA16" i="27"/>
  <c r="OZ16" i="27"/>
  <c r="OX16" i="27"/>
  <c r="OW16" i="27"/>
  <c r="OV16" i="27"/>
  <c r="OU16" i="27"/>
  <c r="PA14" i="27"/>
  <c r="OZ14" i="27"/>
  <c r="OX14" i="27"/>
  <c r="OW14" i="27"/>
  <c r="OV14" i="27"/>
  <c r="OU14" i="27"/>
  <c r="PA11" i="27"/>
  <c r="OZ11" i="27"/>
  <c r="OX11" i="27"/>
  <c r="OW11" i="27"/>
  <c r="OV11" i="27"/>
  <c r="OU11" i="27"/>
  <c r="PA15" i="27"/>
  <c r="OZ15" i="27"/>
  <c r="OX15" i="27"/>
  <c r="OW15" i="27"/>
  <c r="OV15" i="27"/>
  <c r="OU15" i="27"/>
  <c r="PA10" i="27"/>
  <c r="OZ10" i="27"/>
  <c r="OX10" i="27"/>
  <c r="OW10" i="27"/>
  <c r="OV10" i="27"/>
  <c r="OU10" i="27"/>
  <c r="PA12" i="27"/>
  <c r="OZ12" i="27"/>
  <c r="OX12" i="27"/>
  <c r="OW12" i="27"/>
  <c r="OV12" i="27"/>
  <c r="OU12" i="27"/>
  <c r="PA13" i="27"/>
  <c r="OZ13" i="27"/>
  <c r="OX13" i="27"/>
  <c r="OW13" i="27"/>
  <c r="OV13" i="27"/>
  <c r="OU13" i="27"/>
  <c r="PA7" i="27"/>
  <c r="OZ7" i="27"/>
  <c r="OX7" i="27"/>
  <c r="OW7" i="27"/>
  <c r="OV7" i="27"/>
  <c r="OU7" i="27"/>
  <c r="PA9" i="27"/>
  <c r="OZ9" i="27"/>
  <c r="OX9" i="27"/>
  <c r="OW9" i="27"/>
  <c r="OV9" i="27"/>
  <c r="OU9" i="27"/>
  <c r="PA4" i="27"/>
  <c r="OZ4" i="27"/>
  <c r="OX4" i="27"/>
  <c r="OW4" i="27"/>
  <c r="OV4" i="27"/>
  <c r="OU4" i="27"/>
  <c r="PA5" i="27"/>
  <c r="OZ5" i="27"/>
  <c r="OX5" i="27"/>
  <c r="OW5" i="27"/>
  <c r="OV5" i="27"/>
  <c r="OU5" i="27"/>
  <c r="PA6" i="27"/>
  <c r="OZ6" i="27"/>
  <c r="OX6" i="27"/>
  <c r="OW6" i="27"/>
  <c r="OV6" i="27"/>
  <c r="OU6" i="27"/>
  <c r="NY8" i="27"/>
  <c r="NX8" i="27"/>
  <c r="NV8" i="27"/>
  <c r="NU8" i="27"/>
  <c r="NT8" i="27"/>
  <c r="NS8" i="27"/>
  <c r="NY16" i="27"/>
  <c r="NX16" i="27"/>
  <c r="NV16" i="27"/>
  <c r="NU16" i="27"/>
  <c r="NT16" i="27"/>
  <c r="NS16" i="27"/>
  <c r="NY14" i="27"/>
  <c r="NX14" i="27"/>
  <c r="NV14" i="27"/>
  <c r="NU14" i="27"/>
  <c r="NT14" i="27"/>
  <c r="NS14" i="27"/>
  <c r="NY11" i="27"/>
  <c r="NX11" i="27"/>
  <c r="NV11" i="27"/>
  <c r="NU11" i="27"/>
  <c r="NT11" i="27"/>
  <c r="NS11" i="27"/>
  <c r="NY15" i="27"/>
  <c r="NX15" i="27"/>
  <c r="NV15" i="27"/>
  <c r="NU15" i="27"/>
  <c r="NT15" i="27"/>
  <c r="NS15" i="27"/>
  <c r="NY10" i="27"/>
  <c r="NX10" i="27"/>
  <c r="NV10" i="27"/>
  <c r="NU10" i="27"/>
  <c r="NT10" i="27"/>
  <c r="NS10" i="27"/>
  <c r="NY12" i="27"/>
  <c r="NX12" i="27"/>
  <c r="NV12" i="27"/>
  <c r="NU12" i="27"/>
  <c r="NT12" i="27"/>
  <c r="NS12" i="27"/>
  <c r="NY13" i="27"/>
  <c r="NX13" i="27"/>
  <c r="NV13" i="27"/>
  <c r="NU13" i="27"/>
  <c r="NT13" i="27"/>
  <c r="NS13" i="27"/>
  <c r="NY7" i="27"/>
  <c r="NX7" i="27"/>
  <c r="NV7" i="27"/>
  <c r="NU7" i="27"/>
  <c r="NT7" i="27"/>
  <c r="NS7" i="27"/>
  <c r="NY9" i="27"/>
  <c r="NX9" i="27"/>
  <c r="NV9" i="27"/>
  <c r="NU9" i="27"/>
  <c r="NT9" i="27"/>
  <c r="NS9" i="27"/>
  <c r="NY4" i="27"/>
  <c r="NX4" i="27"/>
  <c r="NV4" i="27"/>
  <c r="NU4" i="27"/>
  <c r="NT4" i="27"/>
  <c r="NS4" i="27"/>
  <c r="NY5" i="27"/>
  <c r="NX5" i="27"/>
  <c r="NV5" i="27"/>
  <c r="NU5" i="27"/>
  <c r="NT5" i="27"/>
  <c r="NS5" i="27"/>
  <c r="NY6" i="27"/>
  <c r="NX6" i="27"/>
  <c r="NV6" i="27"/>
  <c r="NU6" i="27"/>
  <c r="NT6" i="27"/>
  <c r="NS6" i="27"/>
  <c r="MW8" i="27"/>
  <c r="MV8" i="27"/>
  <c r="MT8" i="27"/>
  <c r="MS8" i="27"/>
  <c r="MR8" i="27"/>
  <c r="MQ8" i="27"/>
  <c r="MW16" i="27"/>
  <c r="MV16" i="27"/>
  <c r="MT16" i="27"/>
  <c r="MS16" i="27"/>
  <c r="MR16" i="27"/>
  <c r="MQ16" i="27"/>
  <c r="MW14" i="27"/>
  <c r="MV14" i="27"/>
  <c r="MT14" i="27"/>
  <c r="MS14" i="27"/>
  <c r="MR14" i="27"/>
  <c r="MQ14" i="27"/>
  <c r="MW11" i="27"/>
  <c r="MV11" i="27"/>
  <c r="MT11" i="27"/>
  <c r="MS11" i="27"/>
  <c r="MR11" i="27"/>
  <c r="MQ11" i="27"/>
  <c r="MW15" i="27"/>
  <c r="MV15" i="27"/>
  <c r="MT15" i="27"/>
  <c r="MS15" i="27"/>
  <c r="MR15" i="27"/>
  <c r="MQ15" i="27"/>
  <c r="MW10" i="27"/>
  <c r="MV10" i="27"/>
  <c r="MT10" i="27"/>
  <c r="MS10" i="27"/>
  <c r="MR10" i="27"/>
  <c r="MQ10" i="27"/>
  <c r="MW12" i="27"/>
  <c r="MV12" i="27"/>
  <c r="MT12" i="27"/>
  <c r="MS12" i="27"/>
  <c r="MR12" i="27"/>
  <c r="MQ12" i="27"/>
  <c r="MW13" i="27"/>
  <c r="MV13" i="27"/>
  <c r="MT13" i="27"/>
  <c r="MS13" i="27"/>
  <c r="MR13" i="27"/>
  <c r="MQ13" i="27"/>
  <c r="MW7" i="27"/>
  <c r="MV7" i="27"/>
  <c r="MT7" i="27"/>
  <c r="MS7" i="27"/>
  <c r="MR7" i="27"/>
  <c r="MQ7" i="27"/>
  <c r="MW9" i="27"/>
  <c r="MV9" i="27"/>
  <c r="MT9" i="27"/>
  <c r="MS9" i="27"/>
  <c r="MR9" i="27"/>
  <c r="MQ9" i="27"/>
  <c r="MW4" i="27"/>
  <c r="MV4" i="27"/>
  <c r="MT4" i="27"/>
  <c r="MS4" i="27"/>
  <c r="MR4" i="27"/>
  <c r="MQ4" i="27"/>
  <c r="MW5" i="27"/>
  <c r="MV5" i="27"/>
  <c r="MT5" i="27"/>
  <c r="MS5" i="27"/>
  <c r="MR5" i="27"/>
  <c r="MQ5" i="27"/>
  <c r="MW6" i="27"/>
  <c r="MV6" i="27"/>
  <c r="MT6" i="27"/>
  <c r="MS6" i="27"/>
  <c r="MR6" i="27"/>
  <c r="MQ6" i="27"/>
  <c r="LU8" i="27"/>
  <c r="LT8" i="27"/>
  <c r="LR8" i="27"/>
  <c r="LQ8" i="27"/>
  <c r="LP8" i="27"/>
  <c r="LO8" i="27"/>
  <c r="LU16" i="27"/>
  <c r="LT16" i="27"/>
  <c r="LR16" i="27"/>
  <c r="LQ16" i="27"/>
  <c r="LP16" i="27"/>
  <c r="LO16" i="27"/>
  <c r="LU14" i="27"/>
  <c r="LT14" i="27"/>
  <c r="LR14" i="27"/>
  <c r="LQ14" i="27"/>
  <c r="LP14" i="27"/>
  <c r="LO14" i="27"/>
  <c r="LU11" i="27"/>
  <c r="LT11" i="27"/>
  <c r="LR11" i="27"/>
  <c r="LQ11" i="27"/>
  <c r="LP11" i="27"/>
  <c r="LO11" i="27"/>
  <c r="LU15" i="27"/>
  <c r="LT15" i="27"/>
  <c r="LR15" i="27"/>
  <c r="LQ15" i="27"/>
  <c r="LP15" i="27"/>
  <c r="LO15" i="27"/>
  <c r="LU10" i="27"/>
  <c r="LT10" i="27"/>
  <c r="LR10" i="27"/>
  <c r="LQ10" i="27"/>
  <c r="LP10" i="27"/>
  <c r="LO10" i="27"/>
  <c r="LU12" i="27"/>
  <c r="LT12" i="27"/>
  <c r="LR12" i="27"/>
  <c r="LQ12" i="27"/>
  <c r="LP12" i="27"/>
  <c r="LO12" i="27"/>
  <c r="LU13" i="27"/>
  <c r="LT13" i="27"/>
  <c r="LR13" i="27"/>
  <c r="LQ13" i="27"/>
  <c r="LP13" i="27"/>
  <c r="LO13" i="27"/>
  <c r="LU7" i="27"/>
  <c r="LT7" i="27"/>
  <c r="LR7" i="27"/>
  <c r="LQ7" i="27"/>
  <c r="LP7" i="27"/>
  <c r="LO7" i="27"/>
  <c r="LU9" i="27"/>
  <c r="LT9" i="27"/>
  <c r="LR9" i="27"/>
  <c r="LQ9" i="27"/>
  <c r="LP9" i="27"/>
  <c r="LO9" i="27"/>
  <c r="LU4" i="27"/>
  <c r="LT4" i="27"/>
  <c r="LR4" i="27"/>
  <c r="LQ4" i="27"/>
  <c r="LP4" i="27"/>
  <c r="LO4" i="27"/>
  <c r="LU5" i="27"/>
  <c r="LT5" i="27"/>
  <c r="LR5" i="27"/>
  <c r="LQ5" i="27"/>
  <c r="LP5" i="27"/>
  <c r="LO5" i="27"/>
  <c r="LU6" i="27"/>
  <c r="LT6" i="27"/>
  <c r="LR6" i="27"/>
  <c r="LQ6" i="27"/>
  <c r="LP6" i="27"/>
  <c r="LO6" i="27"/>
  <c r="KS8" i="27"/>
  <c r="KR8" i="27"/>
  <c r="KP8" i="27"/>
  <c r="KO8" i="27"/>
  <c r="KN8" i="27"/>
  <c r="KM8" i="27"/>
  <c r="KS16" i="27"/>
  <c r="KR16" i="27"/>
  <c r="KP16" i="27"/>
  <c r="KO16" i="27"/>
  <c r="KN16" i="27"/>
  <c r="KM16" i="27"/>
  <c r="KS14" i="27"/>
  <c r="KR14" i="27"/>
  <c r="KP14" i="27"/>
  <c r="KO14" i="27"/>
  <c r="KN14" i="27"/>
  <c r="KM14" i="27"/>
  <c r="KS11" i="27"/>
  <c r="KR11" i="27"/>
  <c r="KP11" i="27"/>
  <c r="KO11" i="27"/>
  <c r="KN11" i="27"/>
  <c r="KM11" i="27"/>
  <c r="KS15" i="27"/>
  <c r="KR15" i="27"/>
  <c r="KP15" i="27"/>
  <c r="KO15" i="27"/>
  <c r="KN15" i="27"/>
  <c r="KM15" i="27"/>
  <c r="KS10" i="27"/>
  <c r="KR10" i="27"/>
  <c r="KP10" i="27"/>
  <c r="KO10" i="27"/>
  <c r="KN10" i="27"/>
  <c r="KM10" i="27"/>
  <c r="KS12" i="27"/>
  <c r="KR12" i="27"/>
  <c r="KP12" i="27"/>
  <c r="KO12" i="27"/>
  <c r="KN12" i="27"/>
  <c r="KM12" i="27"/>
  <c r="KS13" i="27"/>
  <c r="KR13" i="27"/>
  <c r="KP13" i="27"/>
  <c r="KO13" i="27"/>
  <c r="KN13" i="27"/>
  <c r="KM13" i="27"/>
  <c r="KS7" i="27"/>
  <c r="KR7" i="27"/>
  <c r="KP7" i="27"/>
  <c r="KO7" i="27"/>
  <c r="KN7" i="27"/>
  <c r="KM7" i="27"/>
  <c r="KS9" i="27"/>
  <c r="KR9" i="27"/>
  <c r="KP9" i="27"/>
  <c r="KO9" i="27"/>
  <c r="KN9" i="27"/>
  <c r="KM9" i="27"/>
  <c r="KS4" i="27"/>
  <c r="KR4" i="27"/>
  <c r="KP4" i="27"/>
  <c r="KO4" i="27"/>
  <c r="KN4" i="27"/>
  <c r="KM4" i="27"/>
  <c r="KS5" i="27"/>
  <c r="KR5" i="27"/>
  <c r="KP5" i="27"/>
  <c r="KO5" i="27"/>
  <c r="KN5" i="27"/>
  <c r="KM5" i="27"/>
  <c r="KS6" i="27"/>
  <c r="KR6" i="27"/>
  <c r="KP6" i="27"/>
  <c r="KO6" i="27"/>
  <c r="KN6" i="27"/>
  <c r="KM6" i="27"/>
  <c r="JQ8" i="27"/>
  <c r="JP8" i="27"/>
  <c r="JN8" i="27"/>
  <c r="JM8" i="27"/>
  <c r="JL8" i="27"/>
  <c r="JK8" i="27"/>
  <c r="JQ16" i="27"/>
  <c r="JP16" i="27"/>
  <c r="JN16" i="27"/>
  <c r="JM16" i="27"/>
  <c r="JL16" i="27"/>
  <c r="JK16" i="27"/>
  <c r="JQ14" i="27"/>
  <c r="JP14" i="27"/>
  <c r="JN14" i="27"/>
  <c r="JM14" i="27"/>
  <c r="JL14" i="27"/>
  <c r="JK14" i="27"/>
  <c r="JQ11" i="27"/>
  <c r="JP11" i="27"/>
  <c r="JN11" i="27"/>
  <c r="JM11" i="27"/>
  <c r="JL11" i="27"/>
  <c r="JK11" i="27"/>
  <c r="JQ15" i="27"/>
  <c r="JP15" i="27"/>
  <c r="JN15" i="27"/>
  <c r="JM15" i="27"/>
  <c r="JL15" i="27"/>
  <c r="JK15" i="27"/>
  <c r="JQ10" i="27"/>
  <c r="JP10" i="27"/>
  <c r="JN10" i="27"/>
  <c r="JM10" i="27"/>
  <c r="JL10" i="27"/>
  <c r="JK10" i="27"/>
  <c r="JQ12" i="27"/>
  <c r="JP12" i="27"/>
  <c r="JN12" i="27"/>
  <c r="JM12" i="27"/>
  <c r="JL12" i="27"/>
  <c r="JK12" i="27"/>
  <c r="JQ13" i="27"/>
  <c r="JP13" i="27"/>
  <c r="JN13" i="27"/>
  <c r="JM13" i="27"/>
  <c r="JL13" i="27"/>
  <c r="JK13" i="27"/>
  <c r="JQ7" i="27"/>
  <c r="JP7" i="27"/>
  <c r="JN7" i="27"/>
  <c r="JM7" i="27"/>
  <c r="JL7" i="27"/>
  <c r="JK7" i="27"/>
  <c r="JQ9" i="27"/>
  <c r="JP9" i="27"/>
  <c r="JN9" i="27"/>
  <c r="JM9" i="27"/>
  <c r="JL9" i="27"/>
  <c r="JK9" i="27"/>
  <c r="JQ4" i="27"/>
  <c r="JP4" i="27"/>
  <c r="JN4" i="27"/>
  <c r="JM4" i="27"/>
  <c r="JL4" i="27"/>
  <c r="JK4" i="27"/>
  <c r="JQ5" i="27"/>
  <c r="JP5" i="27"/>
  <c r="JN5" i="27"/>
  <c r="JM5" i="27"/>
  <c r="JL5" i="27"/>
  <c r="JK5" i="27"/>
  <c r="JQ6" i="27"/>
  <c r="JP6" i="27"/>
  <c r="JN6" i="27"/>
  <c r="JM6" i="27"/>
  <c r="JL6" i="27"/>
  <c r="JK6" i="27"/>
  <c r="IO8" i="27"/>
  <c r="IN8" i="27"/>
  <c r="IL8" i="27"/>
  <c r="IK8" i="27"/>
  <c r="IJ8" i="27"/>
  <c r="II8" i="27"/>
  <c r="IO16" i="27"/>
  <c r="IN16" i="27"/>
  <c r="IL16" i="27"/>
  <c r="IK16" i="27"/>
  <c r="IJ16" i="27"/>
  <c r="II16" i="27"/>
  <c r="IO14" i="27"/>
  <c r="IN14" i="27"/>
  <c r="IL14" i="27"/>
  <c r="IK14" i="27"/>
  <c r="IJ14" i="27"/>
  <c r="II14" i="27"/>
  <c r="IO11" i="27"/>
  <c r="IN11" i="27"/>
  <c r="IL11" i="27"/>
  <c r="IK11" i="27"/>
  <c r="IJ11" i="27"/>
  <c r="II11" i="27"/>
  <c r="IO15" i="27"/>
  <c r="IN15" i="27"/>
  <c r="IL15" i="27"/>
  <c r="IK15" i="27"/>
  <c r="IJ15" i="27"/>
  <c r="II15" i="27"/>
  <c r="IO10" i="27"/>
  <c r="IN10" i="27"/>
  <c r="IL10" i="27"/>
  <c r="IK10" i="27"/>
  <c r="IJ10" i="27"/>
  <c r="II10" i="27"/>
  <c r="IO12" i="27"/>
  <c r="IN12" i="27"/>
  <c r="IL12" i="27"/>
  <c r="IK12" i="27"/>
  <c r="IJ12" i="27"/>
  <c r="II12" i="27"/>
  <c r="IO13" i="27"/>
  <c r="IN13" i="27"/>
  <c r="IL13" i="27"/>
  <c r="IK13" i="27"/>
  <c r="IJ13" i="27"/>
  <c r="II13" i="27"/>
  <c r="IO7" i="27"/>
  <c r="IN7" i="27"/>
  <c r="IL7" i="27"/>
  <c r="IK7" i="27"/>
  <c r="IJ7" i="27"/>
  <c r="II7" i="27"/>
  <c r="IO9" i="27"/>
  <c r="IN9" i="27"/>
  <c r="IL9" i="27"/>
  <c r="IK9" i="27"/>
  <c r="IJ9" i="27"/>
  <c r="II9" i="27"/>
  <c r="IO4" i="27"/>
  <c r="IN4" i="27"/>
  <c r="IL4" i="27"/>
  <c r="IK4" i="27"/>
  <c r="IJ4" i="27"/>
  <c r="II4" i="27"/>
  <c r="IO5" i="27"/>
  <c r="IN5" i="27"/>
  <c r="IL5" i="27"/>
  <c r="IK5" i="27"/>
  <c r="IJ5" i="27"/>
  <c r="II5" i="27"/>
  <c r="IO6" i="27"/>
  <c r="IN6" i="27"/>
  <c r="IL6" i="27"/>
  <c r="IK6" i="27"/>
  <c r="IJ6" i="27"/>
  <c r="II6" i="27"/>
  <c r="HM8" i="27"/>
  <c r="HL8" i="27"/>
  <c r="HJ8" i="27"/>
  <c r="HI8" i="27"/>
  <c r="HH8" i="27"/>
  <c r="HG8" i="27"/>
  <c r="HM16" i="27"/>
  <c r="HL16" i="27"/>
  <c r="HJ16" i="27"/>
  <c r="HI16" i="27"/>
  <c r="HH16" i="27"/>
  <c r="HG16" i="27"/>
  <c r="HM14" i="27"/>
  <c r="HL14" i="27"/>
  <c r="HJ14" i="27"/>
  <c r="HI14" i="27"/>
  <c r="HH14" i="27"/>
  <c r="HG14" i="27"/>
  <c r="HM11" i="27"/>
  <c r="HL11" i="27"/>
  <c r="HJ11" i="27"/>
  <c r="HI11" i="27"/>
  <c r="HH11" i="27"/>
  <c r="HG11" i="27"/>
  <c r="HM15" i="27"/>
  <c r="HL15" i="27"/>
  <c r="HJ15" i="27"/>
  <c r="HI15" i="27"/>
  <c r="HH15" i="27"/>
  <c r="HG15" i="27"/>
  <c r="HM10" i="27"/>
  <c r="HL10" i="27"/>
  <c r="HJ10" i="27"/>
  <c r="HI10" i="27"/>
  <c r="HH10" i="27"/>
  <c r="HG10" i="27"/>
  <c r="HM12" i="27"/>
  <c r="HL12" i="27"/>
  <c r="HJ12" i="27"/>
  <c r="HI12" i="27"/>
  <c r="HH12" i="27"/>
  <c r="HG12" i="27"/>
  <c r="HM13" i="27"/>
  <c r="HL13" i="27"/>
  <c r="HJ13" i="27"/>
  <c r="HI13" i="27"/>
  <c r="HH13" i="27"/>
  <c r="HG13" i="27"/>
  <c r="HM7" i="27"/>
  <c r="HL7" i="27"/>
  <c r="HJ7" i="27"/>
  <c r="HI7" i="27"/>
  <c r="HH7" i="27"/>
  <c r="HG7" i="27"/>
  <c r="HM9" i="27"/>
  <c r="HL9" i="27"/>
  <c r="HJ9" i="27"/>
  <c r="HI9" i="27"/>
  <c r="HH9" i="27"/>
  <c r="HG9" i="27"/>
  <c r="HM4" i="27"/>
  <c r="HL4" i="27"/>
  <c r="HJ4" i="27"/>
  <c r="HI4" i="27"/>
  <c r="HH4" i="27"/>
  <c r="HG4" i="27"/>
  <c r="HM5" i="27"/>
  <c r="HL5" i="27"/>
  <c r="HJ5" i="27"/>
  <c r="HI5" i="27"/>
  <c r="HH5" i="27"/>
  <c r="HG5" i="27"/>
  <c r="HM6" i="27"/>
  <c r="HL6" i="27"/>
  <c r="HJ6" i="27"/>
  <c r="HI6" i="27"/>
  <c r="HH6" i="27"/>
  <c r="HG6" i="27"/>
  <c r="GK8" i="27"/>
  <c r="GJ8" i="27"/>
  <c r="GH8" i="27"/>
  <c r="GG8" i="27"/>
  <c r="GF8" i="27"/>
  <c r="GE8" i="27"/>
  <c r="GK16" i="27"/>
  <c r="GJ16" i="27"/>
  <c r="GH16" i="27"/>
  <c r="GG16" i="27"/>
  <c r="GF16" i="27"/>
  <c r="GE16" i="27"/>
  <c r="GK14" i="27"/>
  <c r="GJ14" i="27"/>
  <c r="GH14" i="27"/>
  <c r="GG14" i="27"/>
  <c r="GF14" i="27"/>
  <c r="GE14" i="27"/>
  <c r="GK11" i="27"/>
  <c r="GJ11" i="27"/>
  <c r="GH11" i="27"/>
  <c r="GG11" i="27"/>
  <c r="GF11" i="27"/>
  <c r="GE11" i="27"/>
  <c r="GK15" i="27"/>
  <c r="GJ15" i="27"/>
  <c r="GH15" i="27"/>
  <c r="GG15" i="27"/>
  <c r="GF15" i="27"/>
  <c r="GE15" i="27"/>
  <c r="GK10" i="27"/>
  <c r="GJ10" i="27"/>
  <c r="GH10" i="27"/>
  <c r="GG10" i="27"/>
  <c r="GF10" i="27"/>
  <c r="GE10" i="27"/>
  <c r="GK12" i="27"/>
  <c r="GJ12" i="27"/>
  <c r="GH12" i="27"/>
  <c r="GG12" i="27"/>
  <c r="GF12" i="27"/>
  <c r="GE12" i="27"/>
  <c r="GK13" i="27"/>
  <c r="GJ13" i="27"/>
  <c r="GH13" i="27"/>
  <c r="GG13" i="27"/>
  <c r="GF13" i="27"/>
  <c r="GE13" i="27"/>
  <c r="GK7" i="27"/>
  <c r="GJ7" i="27"/>
  <c r="GH7" i="27"/>
  <c r="GG7" i="27"/>
  <c r="GF7" i="27"/>
  <c r="GE7" i="27"/>
  <c r="GK9" i="27"/>
  <c r="GJ9" i="27"/>
  <c r="GH9" i="27"/>
  <c r="GG9" i="27"/>
  <c r="GF9" i="27"/>
  <c r="GE9" i="27"/>
  <c r="GK4" i="27"/>
  <c r="GJ4" i="27"/>
  <c r="GH4" i="27"/>
  <c r="GG4" i="27"/>
  <c r="GF4" i="27"/>
  <c r="GE4" i="27"/>
  <c r="GK5" i="27"/>
  <c r="GJ5" i="27"/>
  <c r="GH5" i="27"/>
  <c r="GG5" i="27"/>
  <c r="GF5" i="27"/>
  <c r="GE5" i="27"/>
  <c r="GK6" i="27"/>
  <c r="GJ6" i="27"/>
  <c r="GH6" i="27"/>
  <c r="GG6" i="27"/>
  <c r="GF6" i="27"/>
  <c r="GE6" i="27"/>
  <c r="FI8" i="27"/>
  <c r="FH8" i="27"/>
  <c r="FF8" i="27"/>
  <c r="FE8" i="27"/>
  <c r="FD8" i="27"/>
  <c r="FC8" i="27"/>
  <c r="FI16" i="27"/>
  <c r="FH16" i="27"/>
  <c r="FF16" i="27"/>
  <c r="FE16" i="27"/>
  <c r="FD16" i="27"/>
  <c r="FC16" i="27"/>
  <c r="FI14" i="27"/>
  <c r="FH14" i="27"/>
  <c r="FF14" i="27"/>
  <c r="FE14" i="27"/>
  <c r="FD14" i="27"/>
  <c r="FC14" i="27"/>
  <c r="FI11" i="27"/>
  <c r="FH11" i="27"/>
  <c r="FF11" i="27"/>
  <c r="FE11" i="27"/>
  <c r="FD11" i="27"/>
  <c r="FC11" i="27"/>
  <c r="FI15" i="27"/>
  <c r="FH15" i="27"/>
  <c r="FF15" i="27"/>
  <c r="FE15" i="27"/>
  <c r="FD15" i="27"/>
  <c r="FC15" i="27"/>
  <c r="FI10" i="27"/>
  <c r="FH10" i="27"/>
  <c r="FF10" i="27"/>
  <c r="FE10" i="27"/>
  <c r="FD10" i="27"/>
  <c r="FC10" i="27"/>
  <c r="FI12" i="27"/>
  <c r="FH12" i="27"/>
  <c r="FF12" i="27"/>
  <c r="FE12" i="27"/>
  <c r="FD12" i="27"/>
  <c r="FC12" i="27"/>
  <c r="FI13" i="27"/>
  <c r="FH13" i="27"/>
  <c r="FF13" i="27"/>
  <c r="FE13" i="27"/>
  <c r="FD13" i="27"/>
  <c r="FC13" i="27"/>
  <c r="FI7" i="27"/>
  <c r="FH7" i="27"/>
  <c r="FF7" i="27"/>
  <c r="FE7" i="27"/>
  <c r="FD7" i="27"/>
  <c r="FC7" i="27"/>
  <c r="FI9" i="27"/>
  <c r="FH9" i="27"/>
  <c r="FF9" i="27"/>
  <c r="FE9" i="27"/>
  <c r="FD9" i="27"/>
  <c r="FC9" i="27"/>
  <c r="FI4" i="27"/>
  <c r="FH4" i="27"/>
  <c r="FF4" i="27"/>
  <c r="FE4" i="27"/>
  <c r="FD4" i="27"/>
  <c r="FC4" i="27"/>
  <c r="FI5" i="27"/>
  <c r="FH5" i="27"/>
  <c r="FF5" i="27"/>
  <c r="FE5" i="27"/>
  <c r="FD5" i="27"/>
  <c r="FC5" i="27"/>
  <c r="FI6" i="27"/>
  <c r="FH6" i="27"/>
  <c r="FF6" i="27"/>
  <c r="FE6" i="27"/>
  <c r="FD6" i="27"/>
  <c r="FC6" i="27"/>
  <c r="EG8" i="27"/>
  <c r="EF8" i="27"/>
  <c r="ED8" i="27"/>
  <c r="EC8" i="27"/>
  <c r="EB8" i="27"/>
  <c r="EA8" i="27"/>
  <c r="EG16" i="27"/>
  <c r="EF16" i="27"/>
  <c r="ED16" i="27"/>
  <c r="EC16" i="27"/>
  <c r="EB16" i="27"/>
  <c r="EA16" i="27"/>
  <c r="EG14" i="27"/>
  <c r="EF14" i="27"/>
  <c r="ED14" i="27"/>
  <c r="EC14" i="27"/>
  <c r="EB14" i="27"/>
  <c r="EA14" i="27"/>
  <c r="EG11" i="27"/>
  <c r="EF11" i="27"/>
  <c r="ED11" i="27"/>
  <c r="EC11" i="27"/>
  <c r="EB11" i="27"/>
  <c r="EA11" i="27"/>
  <c r="EG15" i="27"/>
  <c r="EF15" i="27"/>
  <c r="ED15" i="27"/>
  <c r="EC15" i="27"/>
  <c r="EB15" i="27"/>
  <c r="EA15" i="27"/>
  <c r="EG10" i="27"/>
  <c r="EF10" i="27"/>
  <c r="ED10" i="27"/>
  <c r="EC10" i="27"/>
  <c r="EB10" i="27"/>
  <c r="EA10" i="27"/>
  <c r="EG12" i="27"/>
  <c r="EF12" i="27"/>
  <c r="ED12" i="27"/>
  <c r="EC12" i="27"/>
  <c r="EB12" i="27"/>
  <c r="EA12" i="27"/>
  <c r="EG13" i="27"/>
  <c r="EF13" i="27"/>
  <c r="ED13" i="27"/>
  <c r="EC13" i="27"/>
  <c r="EB13" i="27"/>
  <c r="EA13" i="27"/>
  <c r="EG7" i="27"/>
  <c r="EF7" i="27"/>
  <c r="ED7" i="27"/>
  <c r="EC7" i="27"/>
  <c r="EB7" i="27"/>
  <c r="EA7" i="27"/>
  <c r="EG9" i="27"/>
  <c r="EF9" i="27"/>
  <c r="ED9" i="27"/>
  <c r="EC9" i="27"/>
  <c r="EB9" i="27"/>
  <c r="EA9" i="27"/>
  <c r="EG4" i="27"/>
  <c r="EF4" i="27"/>
  <c r="ED4" i="27"/>
  <c r="EC4" i="27"/>
  <c r="EB4" i="27"/>
  <c r="EA4" i="27"/>
  <c r="EG5" i="27"/>
  <c r="EF5" i="27"/>
  <c r="ED5" i="27"/>
  <c r="EC5" i="27"/>
  <c r="EB5" i="27"/>
  <c r="EA5" i="27"/>
  <c r="EG6" i="27"/>
  <c r="EF6" i="27"/>
  <c r="ED6" i="27"/>
  <c r="EC6" i="27"/>
  <c r="EB6" i="27"/>
  <c r="EA6" i="27"/>
  <c r="SG10" i="26"/>
  <c r="SF10" i="26"/>
  <c r="SD10" i="26"/>
  <c r="SC10" i="26"/>
  <c r="SB10" i="26"/>
  <c r="SA10" i="26"/>
  <c r="SG11" i="26"/>
  <c r="SF11" i="26"/>
  <c r="SD11" i="26"/>
  <c r="SC11" i="26"/>
  <c r="SB11" i="26"/>
  <c r="SA11" i="26"/>
  <c r="SG8" i="26"/>
  <c r="SF8" i="26"/>
  <c r="SD8" i="26"/>
  <c r="SC8" i="26"/>
  <c r="SB8" i="26"/>
  <c r="SA8" i="26"/>
  <c r="SG9" i="26"/>
  <c r="SF9" i="26"/>
  <c r="SD9" i="26"/>
  <c r="SC9" i="26"/>
  <c r="SB9" i="26"/>
  <c r="SA9" i="26"/>
  <c r="SG6" i="26"/>
  <c r="SF6" i="26"/>
  <c r="SD6" i="26"/>
  <c r="SC6" i="26"/>
  <c r="SB6" i="26"/>
  <c r="SA6" i="26"/>
  <c r="SG5" i="26"/>
  <c r="SF5" i="26"/>
  <c r="SD5" i="26"/>
  <c r="SC5" i="26"/>
  <c r="SB5" i="26"/>
  <c r="SA5" i="26"/>
  <c r="SG7" i="26"/>
  <c r="SF7" i="26"/>
  <c r="SD7" i="26"/>
  <c r="SC7" i="26"/>
  <c r="SB7" i="26"/>
  <c r="SA7" i="26"/>
  <c r="SG4" i="26"/>
  <c r="SF4" i="26"/>
  <c r="SD4" i="26"/>
  <c r="SC4" i="26"/>
  <c r="SB4" i="26"/>
  <c r="SA4" i="26"/>
  <c r="RE10" i="26"/>
  <c r="RD10" i="26"/>
  <c r="RB10" i="26"/>
  <c r="RA10" i="26"/>
  <c r="QZ10" i="26"/>
  <c r="QY10" i="26"/>
  <c r="RE11" i="26"/>
  <c r="RD11" i="26"/>
  <c r="RB11" i="26"/>
  <c r="RA11" i="26"/>
  <c r="QZ11" i="26"/>
  <c r="QY11" i="26"/>
  <c r="RE8" i="26"/>
  <c r="RD8" i="26"/>
  <c r="RB8" i="26"/>
  <c r="RA8" i="26"/>
  <c r="QZ8" i="26"/>
  <c r="QY8" i="26"/>
  <c r="RE9" i="26"/>
  <c r="RD9" i="26"/>
  <c r="RB9" i="26"/>
  <c r="RA9" i="26"/>
  <c r="QZ9" i="26"/>
  <c r="QY9" i="26"/>
  <c r="RE6" i="26"/>
  <c r="RD6" i="26"/>
  <c r="RB6" i="26"/>
  <c r="RA6" i="26"/>
  <c r="QZ6" i="26"/>
  <c r="QY6" i="26"/>
  <c r="RE5" i="26"/>
  <c r="RD5" i="26"/>
  <c r="RB5" i="26"/>
  <c r="RA5" i="26"/>
  <c r="QZ5" i="26"/>
  <c r="QY5" i="26"/>
  <c r="RE7" i="26"/>
  <c r="RD7" i="26"/>
  <c r="RB7" i="26"/>
  <c r="RA7" i="26"/>
  <c r="QZ7" i="26"/>
  <c r="QY7" i="26"/>
  <c r="RE4" i="26"/>
  <c r="RD4" i="26"/>
  <c r="RB4" i="26"/>
  <c r="RA4" i="26"/>
  <c r="QZ4" i="26"/>
  <c r="QY4" i="26"/>
  <c r="QC10" i="26"/>
  <c r="QB10" i="26"/>
  <c r="PZ10" i="26"/>
  <c r="PY10" i="26"/>
  <c r="PX10" i="26"/>
  <c r="PW10" i="26"/>
  <c r="QC11" i="26"/>
  <c r="QB11" i="26"/>
  <c r="PZ11" i="26"/>
  <c r="PY11" i="26"/>
  <c r="PX11" i="26"/>
  <c r="PW11" i="26"/>
  <c r="QC8" i="26"/>
  <c r="QB8" i="26"/>
  <c r="PZ8" i="26"/>
  <c r="PY8" i="26"/>
  <c r="PX8" i="26"/>
  <c r="PW8" i="26"/>
  <c r="QC9" i="26"/>
  <c r="QB9" i="26"/>
  <c r="PZ9" i="26"/>
  <c r="PY9" i="26"/>
  <c r="PX9" i="26"/>
  <c r="PW9" i="26"/>
  <c r="QC6" i="26"/>
  <c r="QB6" i="26"/>
  <c r="PZ6" i="26"/>
  <c r="PY6" i="26"/>
  <c r="PX6" i="26"/>
  <c r="PW6" i="26"/>
  <c r="QC5" i="26"/>
  <c r="QB5" i="26"/>
  <c r="PZ5" i="26"/>
  <c r="PY5" i="26"/>
  <c r="PX5" i="26"/>
  <c r="PW5" i="26"/>
  <c r="QC7" i="26"/>
  <c r="QB7" i="26"/>
  <c r="PZ7" i="26"/>
  <c r="PY7" i="26"/>
  <c r="PX7" i="26"/>
  <c r="PW7" i="26"/>
  <c r="QC4" i="26"/>
  <c r="QB4" i="26"/>
  <c r="PZ4" i="26"/>
  <c r="PY4" i="26"/>
  <c r="PX4" i="26"/>
  <c r="PW4" i="26"/>
  <c r="PA10" i="26"/>
  <c r="OZ10" i="26"/>
  <c r="OX10" i="26"/>
  <c r="OW10" i="26"/>
  <c r="OV10" i="26"/>
  <c r="OU10" i="26"/>
  <c r="PA11" i="26"/>
  <c r="OZ11" i="26"/>
  <c r="OX11" i="26"/>
  <c r="OW11" i="26"/>
  <c r="OV11" i="26"/>
  <c r="OU11" i="26"/>
  <c r="PA8" i="26"/>
  <c r="OZ8" i="26"/>
  <c r="OX8" i="26"/>
  <c r="OW8" i="26"/>
  <c r="OV8" i="26"/>
  <c r="OU8" i="26"/>
  <c r="PA9" i="26"/>
  <c r="OZ9" i="26"/>
  <c r="OX9" i="26"/>
  <c r="OW9" i="26"/>
  <c r="OV9" i="26"/>
  <c r="OU9" i="26"/>
  <c r="PA6" i="26"/>
  <c r="OZ6" i="26"/>
  <c r="OX6" i="26"/>
  <c r="OW6" i="26"/>
  <c r="OV6" i="26"/>
  <c r="OU6" i="26"/>
  <c r="PA5" i="26"/>
  <c r="OZ5" i="26"/>
  <c r="OX5" i="26"/>
  <c r="OW5" i="26"/>
  <c r="OV5" i="26"/>
  <c r="OU5" i="26"/>
  <c r="PA7" i="26"/>
  <c r="OZ7" i="26"/>
  <c r="OX7" i="26"/>
  <c r="OW7" i="26"/>
  <c r="OV7" i="26"/>
  <c r="OU7" i="26"/>
  <c r="PA4" i="26"/>
  <c r="OZ4" i="26"/>
  <c r="OX4" i="26"/>
  <c r="OW4" i="26"/>
  <c r="OV4" i="26"/>
  <c r="OU4" i="26"/>
  <c r="NY10" i="26"/>
  <c r="NX10" i="26"/>
  <c r="NV10" i="26"/>
  <c r="NU10" i="26"/>
  <c r="NT10" i="26"/>
  <c r="NS10" i="26"/>
  <c r="NY11" i="26"/>
  <c r="NX11" i="26"/>
  <c r="NV11" i="26"/>
  <c r="NU11" i="26"/>
  <c r="NT11" i="26"/>
  <c r="NS11" i="26"/>
  <c r="NY8" i="26"/>
  <c r="NX8" i="26"/>
  <c r="NV8" i="26"/>
  <c r="NU8" i="26"/>
  <c r="NT8" i="26"/>
  <c r="NS8" i="26"/>
  <c r="NY9" i="26"/>
  <c r="NX9" i="26"/>
  <c r="NV9" i="26"/>
  <c r="NU9" i="26"/>
  <c r="NT9" i="26"/>
  <c r="NS9" i="26"/>
  <c r="NY6" i="26"/>
  <c r="NX6" i="26"/>
  <c r="NV6" i="26"/>
  <c r="NU6" i="26"/>
  <c r="NT6" i="26"/>
  <c r="NS6" i="26"/>
  <c r="NY5" i="26"/>
  <c r="NX5" i="26"/>
  <c r="NV5" i="26"/>
  <c r="NU5" i="26"/>
  <c r="NT5" i="26"/>
  <c r="NS5" i="26"/>
  <c r="NY7" i="26"/>
  <c r="NX7" i="26"/>
  <c r="NV7" i="26"/>
  <c r="NU7" i="26"/>
  <c r="NT7" i="26"/>
  <c r="NS7" i="26"/>
  <c r="NY4" i="26"/>
  <c r="NX4" i="26"/>
  <c r="NV4" i="26"/>
  <c r="NU4" i="26"/>
  <c r="NT4" i="26"/>
  <c r="NS4" i="26"/>
  <c r="MW10" i="26"/>
  <c r="MV10" i="26"/>
  <c r="MT10" i="26"/>
  <c r="MS10" i="26"/>
  <c r="MR10" i="26"/>
  <c r="MQ10" i="26"/>
  <c r="MW11" i="26"/>
  <c r="MV11" i="26"/>
  <c r="MT11" i="26"/>
  <c r="MS11" i="26"/>
  <c r="MR11" i="26"/>
  <c r="MQ11" i="26"/>
  <c r="MW8" i="26"/>
  <c r="MV8" i="26"/>
  <c r="MT8" i="26"/>
  <c r="MS8" i="26"/>
  <c r="MR8" i="26"/>
  <c r="MQ8" i="26"/>
  <c r="MW9" i="26"/>
  <c r="MV9" i="26"/>
  <c r="MT9" i="26"/>
  <c r="MS9" i="26"/>
  <c r="MR9" i="26"/>
  <c r="MQ9" i="26"/>
  <c r="MW6" i="26"/>
  <c r="MV6" i="26"/>
  <c r="MT6" i="26"/>
  <c r="MS6" i="26"/>
  <c r="MR6" i="26"/>
  <c r="MQ6" i="26"/>
  <c r="MW5" i="26"/>
  <c r="MV5" i="26"/>
  <c r="MT5" i="26"/>
  <c r="MS5" i="26"/>
  <c r="MR5" i="26"/>
  <c r="MQ5" i="26"/>
  <c r="MW7" i="26"/>
  <c r="MV7" i="26"/>
  <c r="MT7" i="26"/>
  <c r="MS7" i="26"/>
  <c r="MR7" i="26"/>
  <c r="MQ7" i="26"/>
  <c r="MW4" i="26"/>
  <c r="MV4" i="26"/>
  <c r="MT4" i="26"/>
  <c r="MS4" i="26"/>
  <c r="MR4" i="26"/>
  <c r="MQ4" i="26"/>
  <c r="LU10" i="26"/>
  <c r="LT10" i="26"/>
  <c r="LR10" i="26"/>
  <c r="LQ10" i="26"/>
  <c r="LP10" i="26"/>
  <c r="LO10" i="26"/>
  <c r="LU11" i="26"/>
  <c r="LT11" i="26"/>
  <c r="LR11" i="26"/>
  <c r="LQ11" i="26"/>
  <c r="LP11" i="26"/>
  <c r="LO11" i="26"/>
  <c r="LU8" i="26"/>
  <c r="LT8" i="26"/>
  <c r="LR8" i="26"/>
  <c r="LQ8" i="26"/>
  <c r="LP8" i="26"/>
  <c r="LO8" i="26"/>
  <c r="LU9" i="26"/>
  <c r="LT9" i="26"/>
  <c r="LR9" i="26"/>
  <c r="LQ9" i="26"/>
  <c r="LP9" i="26"/>
  <c r="LO9" i="26"/>
  <c r="LU6" i="26"/>
  <c r="LT6" i="26"/>
  <c r="LR6" i="26"/>
  <c r="LQ6" i="26"/>
  <c r="LP6" i="26"/>
  <c r="LO6" i="26"/>
  <c r="LU5" i="26"/>
  <c r="LT5" i="26"/>
  <c r="LR5" i="26"/>
  <c r="LQ5" i="26"/>
  <c r="LP5" i="26"/>
  <c r="LO5" i="26"/>
  <c r="LU7" i="26"/>
  <c r="LT7" i="26"/>
  <c r="LR7" i="26"/>
  <c r="LQ7" i="26"/>
  <c r="LP7" i="26"/>
  <c r="LO7" i="26"/>
  <c r="LU4" i="26"/>
  <c r="LT4" i="26"/>
  <c r="LR4" i="26"/>
  <c r="LQ4" i="26"/>
  <c r="LP4" i="26"/>
  <c r="LO4" i="26"/>
  <c r="KS10" i="26"/>
  <c r="KR10" i="26"/>
  <c r="KP10" i="26"/>
  <c r="KO10" i="26"/>
  <c r="KN10" i="26"/>
  <c r="KM10" i="26"/>
  <c r="KS11" i="26"/>
  <c r="KR11" i="26"/>
  <c r="KP11" i="26"/>
  <c r="KO11" i="26"/>
  <c r="KN11" i="26"/>
  <c r="KM11" i="26"/>
  <c r="KS8" i="26"/>
  <c r="KR8" i="26"/>
  <c r="KP8" i="26"/>
  <c r="KO8" i="26"/>
  <c r="KN8" i="26"/>
  <c r="KM8" i="26"/>
  <c r="KS9" i="26"/>
  <c r="KR9" i="26"/>
  <c r="KP9" i="26"/>
  <c r="KO9" i="26"/>
  <c r="KN9" i="26"/>
  <c r="KM9" i="26"/>
  <c r="KS6" i="26"/>
  <c r="KR6" i="26"/>
  <c r="KP6" i="26"/>
  <c r="KO6" i="26"/>
  <c r="KN6" i="26"/>
  <c r="KM6" i="26"/>
  <c r="KS5" i="26"/>
  <c r="KR5" i="26"/>
  <c r="KP5" i="26"/>
  <c r="KO5" i="26"/>
  <c r="KN5" i="26"/>
  <c r="KM5" i="26"/>
  <c r="KS7" i="26"/>
  <c r="KR7" i="26"/>
  <c r="KP7" i="26"/>
  <c r="KO7" i="26"/>
  <c r="KN7" i="26"/>
  <c r="KM7" i="26"/>
  <c r="KS4" i="26"/>
  <c r="KR4" i="26"/>
  <c r="KP4" i="26"/>
  <c r="KO4" i="26"/>
  <c r="KN4" i="26"/>
  <c r="KM4" i="26"/>
  <c r="JQ10" i="26"/>
  <c r="JP10" i="26"/>
  <c r="JN10" i="26"/>
  <c r="JM10" i="26"/>
  <c r="JL10" i="26"/>
  <c r="JK10" i="26"/>
  <c r="JQ11" i="26"/>
  <c r="JP11" i="26"/>
  <c r="JN11" i="26"/>
  <c r="JM11" i="26"/>
  <c r="JL11" i="26"/>
  <c r="JK11" i="26"/>
  <c r="JQ8" i="26"/>
  <c r="JP8" i="26"/>
  <c r="JN8" i="26"/>
  <c r="JM8" i="26"/>
  <c r="JL8" i="26"/>
  <c r="JK8" i="26"/>
  <c r="JQ9" i="26"/>
  <c r="JP9" i="26"/>
  <c r="JN9" i="26"/>
  <c r="JM9" i="26"/>
  <c r="JL9" i="26"/>
  <c r="JK9" i="26"/>
  <c r="JQ6" i="26"/>
  <c r="JP6" i="26"/>
  <c r="JN6" i="26"/>
  <c r="JM6" i="26"/>
  <c r="JL6" i="26"/>
  <c r="JK6" i="26"/>
  <c r="JQ5" i="26"/>
  <c r="JP5" i="26"/>
  <c r="JN5" i="26"/>
  <c r="JM5" i="26"/>
  <c r="JL5" i="26"/>
  <c r="JK5" i="26"/>
  <c r="JQ7" i="26"/>
  <c r="JP7" i="26"/>
  <c r="JN7" i="26"/>
  <c r="JM7" i="26"/>
  <c r="JL7" i="26"/>
  <c r="JK7" i="26"/>
  <c r="JQ4" i="26"/>
  <c r="JP4" i="26"/>
  <c r="JN4" i="26"/>
  <c r="JM4" i="26"/>
  <c r="JL4" i="26"/>
  <c r="JK4" i="26"/>
  <c r="IO10" i="26"/>
  <c r="IN10" i="26"/>
  <c r="IL10" i="26"/>
  <c r="IK10" i="26"/>
  <c r="IJ10" i="26"/>
  <c r="II10" i="26"/>
  <c r="IO11" i="26"/>
  <c r="IN11" i="26"/>
  <c r="IL11" i="26"/>
  <c r="IK11" i="26"/>
  <c r="IJ11" i="26"/>
  <c r="II11" i="26"/>
  <c r="IO8" i="26"/>
  <c r="IN8" i="26"/>
  <c r="IL8" i="26"/>
  <c r="IK8" i="26"/>
  <c r="IJ8" i="26"/>
  <c r="II8" i="26"/>
  <c r="IO9" i="26"/>
  <c r="IN9" i="26"/>
  <c r="IL9" i="26"/>
  <c r="IK9" i="26"/>
  <c r="IJ9" i="26"/>
  <c r="II9" i="26"/>
  <c r="IO6" i="26"/>
  <c r="IN6" i="26"/>
  <c r="IL6" i="26"/>
  <c r="IK6" i="26"/>
  <c r="IJ6" i="26"/>
  <c r="II6" i="26"/>
  <c r="IO5" i="26"/>
  <c r="IN5" i="26"/>
  <c r="IL5" i="26"/>
  <c r="IK5" i="26"/>
  <c r="IJ5" i="26"/>
  <c r="II5" i="26"/>
  <c r="IO7" i="26"/>
  <c r="IN7" i="26"/>
  <c r="IL7" i="26"/>
  <c r="IK7" i="26"/>
  <c r="IJ7" i="26"/>
  <c r="II7" i="26"/>
  <c r="IO4" i="26"/>
  <c r="IN4" i="26"/>
  <c r="IL4" i="26"/>
  <c r="IK4" i="26"/>
  <c r="IJ4" i="26"/>
  <c r="II4" i="26"/>
  <c r="HM10" i="26"/>
  <c r="HL10" i="26"/>
  <c r="HJ10" i="26"/>
  <c r="HI10" i="26"/>
  <c r="HH10" i="26"/>
  <c r="HG10" i="26"/>
  <c r="HM11" i="26"/>
  <c r="HL11" i="26"/>
  <c r="HJ11" i="26"/>
  <c r="HI11" i="26"/>
  <c r="HH11" i="26"/>
  <c r="HG11" i="26"/>
  <c r="HM8" i="26"/>
  <c r="HL8" i="26"/>
  <c r="HJ8" i="26"/>
  <c r="HI8" i="26"/>
  <c r="HH8" i="26"/>
  <c r="HG8" i="26"/>
  <c r="HM9" i="26"/>
  <c r="HL9" i="26"/>
  <c r="HJ9" i="26"/>
  <c r="HI9" i="26"/>
  <c r="HH9" i="26"/>
  <c r="HG9" i="26"/>
  <c r="HM6" i="26"/>
  <c r="HL6" i="26"/>
  <c r="HJ6" i="26"/>
  <c r="HI6" i="26"/>
  <c r="HH6" i="26"/>
  <c r="HG6" i="26"/>
  <c r="HM5" i="26"/>
  <c r="HL5" i="26"/>
  <c r="HJ5" i="26"/>
  <c r="HI5" i="26"/>
  <c r="HH5" i="26"/>
  <c r="HG5" i="26"/>
  <c r="HM7" i="26"/>
  <c r="HL7" i="26"/>
  <c r="HJ7" i="26"/>
  <c r="HI7" i="26"/>
  <c r="HH7" i="26"/>
  <c r="HG7" i="26"/>
  <c r="HM4" i="26"/>
  <c r="HL4" i="26"/>
  <c r="HJ4" i="26"/>
  <c r="HI4" i="26"/>
  <c r="HH4" i="26"/>
  <c r="HG4" i="26"/>
  <c r="GK10" i="26"/>
  <c r="GJ10" i="26"/>
  <c r="GH10" i="26"/>
  <c r="GG10" i="26"/>
  <c r="GF10" i="26"/>
  <c r="GE10" i="26"/>
  <c r="GK11" i="26"/>
  <c r="GJ11" i="26"/>
  <c r="GH11" i="26"/>
  <c r="GG11" i="26"/>
  <c r="GF11" i="26"/>
  <c r="GE11" i="26"/>
  <c r="GK8" i="26"/>
  <c r="GJ8" i="26"/>
  <c r="GH8" i="26"/>
  <c r="GG8" i="26"/>
  <c r="GF8" i="26"/>
  <c r="GE8" i="26"/>
  <c r="GK9" i="26"/>
  <c r="GJ9" i="26"/>
  <c r="GH9" i="26"/>
  <c r="GG9" i="26"/>
  <c r="GF9" i="26"/>
  <c r="GE9" i="26"/>
  <c r="GK6" i="26"/>
  <c r="GJ6" i="26"/>
  <c r="GH6" i="26"/>
  <c r="GG6" i="26"/>
  <c r="GF6" i="26"/>
  <c r="GE6" i="26"/>
  <c r="GK5" i="26"/>
  <c r="GJ5" i="26"/>
  <c r="GH5" i="26"/>
  <c r="GG5" i="26"/>
  <c r="GF5" i="26"/>
  <c r="GE5" i="26"/>
  <c r="GK7" i="26"/>
  <c r="GJ7" i="26"/>
  <c r="GH7" i="26"/>
  <c r="GG7" i="26"/>
  <c r="GF7" i="26"/>
  <c r="GE7" i="26"/>
  <c r="GK4" i="26"/>
  <c r="GJ4" i="26"/>
  <c r="GH4" i="26"/>
  <c r="GG4" i="26"/>
  <c r="GF4" i="26"/>
  <c r="GE4" i="26"/>
  <c r="FI10" i="26"/>
  <c r="FH10" i="26"/>
  <c r="FF10" i="26"/>
  <c r="FE10" i="26"/>
  <c r="FD10" i="26"/>
  <c r="FC10" i="26"/>
  <c r="FI11" i="26"/>
  <c r="FH11" i="26"/>
  <c r="FF11" i="26"/>
  <c r="FE11" i="26"/>
  <c r="FD11" i="26"/>
  <c r="FC11" i="26"/>
  <c r="FI8" i="26"/>
  <c r="FH8" i="26"/>
  <c r="FF8" i="26"/>
  <c r="FE8" i="26"/>
  <c r="FD8" i="26"/>
  <c r="FC8" i="26"/>
  <c r="FI9" i="26"/>
  <c r="FH9" i="26"/>
  <c r="FF9" i="26"/>
  <c r="FE9" i="26"/>
  <c r="FD9" i="26"/>
  <c r="FC9" i="26"/>
  <c r="FI6" i="26"/>
  <c r="FH6" i="26"/>
  <c r="FF6" i="26"/>
  <c r="FE6" i="26"/>
  <c r="FD6" i="26"/>
  <c r="FC6" i="26"/>
  <c r="FI5" i="26"/>
  <c r="FH5" i="26"/>
  <c r="FF5" i="26"/>
  <c r="FE5" i="26"/>
  <c r="FD5" i="26"/>
  <c r="FC5" i="26"/>
  <c r="FI7" i="26"/>
  <c r="FH7" i="26"/>
  <c r="FF7" i="26"/>
  <c r="FE7" i="26"/>
  <c r="FD7" i="26"/>
  <c r="FC7" i="26"/>
  <c r="FI4" i="26"/>
  <c r="FH4" i="26"/>
  <c r="FF4" i="26"/>
  <c r="FE4" i="26"/>
  <c r="FD4" i="26"/>
  <c r="FC4" i="26"/>
  <c r="EG10" i="26"/>
  <c r="EF10" i="26"/>
  <c r="ED10" i="26"/>
  <c r="EC10" i="26"/>
  <c r="EB10" i="26"/>
  <c r="EA10" i="26"/>
  <c r="EG11" i="26"/>
  <c r="EF11" i="26"/>
  <c r="ED11" i="26"/>
  <c r="EC11" i="26"/>
  <c r="EB11" i="26"/>
  <c r="EA11" i="26"/>
  <c r="EG8" i="26"/>
  <c r="EF8" i="26"/>
  <c r="ED8" i="26"/>
  <c r="EC8" i="26"/>
  <c r="EB8" i="26"/>
  <c r="EA8" i="26"/>
  <c r="EG9" i="26"/>
  <c r="EF9" i="26"/>
  <c r="ED9" i="26"/>
  <c r="EC9" i="26"/>
  <c r="EB9" i="26"/>
  <c r="EA9" i="26"/>
  <c r="EG6" i="26"/>
  <c r="EF6" i="26"/>
  <c r="ED6" i="26"/>
  <c r="EC6" i="26"/>
  <c r="EB6" i="26"/>
  <c r="EA6" i="26"/>
  <c r="EG5" i="26"/>
  <c r="EF5" i="26"/>
  <c r="ED5" i="26"/>
  <c r="EC5" i="26"/>
  <c r="EB5" i="26"/>
  <c r="EA5" i="26"/>
  <c r="EG7" i="26"/>
  <c r="EF7" i="26"/>
  <c r="ED7" i="26"/>
  <c r="EC7" i="26"/>
  <c r="EB7" i="26"/>
  <c r="EA7" i="26"/>
  <c r="EG4" i="26"/>
  <c r="EF4" i="26"/>
  <c r="ED4" i="26"/>
  <c r="EC4" i="26"/>
  <c r="EB4" i="26"/>
  <c r="EA4" i="26"/>
  <c r="VB15" i="24"/>
  <c r="VA15" i="24"/>
  <c r="UZ15" i="24"/>
  <c r="UY15" i="24"/>
  <c r="UX15" i="24"/>
  <c r="UW15" i="24"/>
  <c r="UU15" i="24"/>
  <c r="UT15" i="24"/>
  <c r="US15" i="24"/>
  <c r="UR15" i="24"/>
  <c r="UQ15" i="24"/>
  <c r="UP15" i="24"/>
  <c r="VB14" i="24"/>
  <c r="VA14" i="24"/>
  <c r="UZ14" i="24"/>
  <c r="UY14" i="24"/>
  <c r="UX14" i="24"/>
  <c r="UW14" i="24"/>
  <c r="UU14" i="24"/>
  <c r="UT14" i="24"/>
  <c r="US14" i="24"/>
  <c r="UR14" i="24"/>
  <c r="UQ14" i="24"/>
  <c r="UP14" i="24"/>
  <c r="VB13" i="24"/>
  <c r="VA13" i="24"/>
  <c r="UZ13" i="24"/>
  <c r="UY13" i="24"/>
  <c r="UX13" i="24"/>
  <c r="UW13" i="24"/>
  <c r="UU13" i="24"/>
  <c r="UT13" i="24"/>
  <c r="US13" i="24"/>
  <c r="UR13" i="24"/>
  <c r="UQ13" i="24"/>
  <c r="UP13" i="24"/>
  <c r="VB12" i="24"/>
  <c r="VA12" i="24"/>
  <c r="UZ12" i="24"/>
  <c r="UY12" i="24"/>
  <c r="UX12" i="24"/>
  <c r="UW12" i="24"/>
  <c r="UU12" i="24"/>
  <c r="UT12" i="24"/>
  <c r="US12" i="24"/>
  <c r="UR12" i="24"/>
  <c r="UQ12" i="24"/>
  <c r="UP12" i="24"/>
  <c r="VB11" i="24"/>
  <c r="VA11" i="24"/>
  <c r="UZ11" i="24"/>
  <c r="UY11" i="24"/>
  <c r="UX11" i="24"/>
  <c r="UW11" i="24"/>
  <c r="UU11" i="24"/>
  <c r="UT11" i="24"/>
  <c r="US11" i="24"/>
  <c r="UR11" i="24"/>
  <c r="UQ11" i="24"/>
  <c r="UP11" i="24"/>
  <c r="VB10" i="24"/>
  <c r="VA10" i="24"/>
  <c r="UZ10" i="24"/>
  <c r="UY10" i="24"/>
  <c r="UX10" i="24"/>
  <c r="UW10" i="24"/>
  <c r="UU10" i="24"/>
  <c r="UT10" i="24"/>
  <c r="US10" i="24"/>
  <c r="UR10" i="24"/>
  <c r="UQ10" i="24"/>
  <c r="UP10" i="24"/>
  <c r="VB9" i="24"/>
  <c r="VA9" i="24"/>
  <c r="UZ9" i="24"/>
  <c r="UY9" i="24"/>
  <c r="UX9" i="24"/>
  <c r="UW9" i="24"/>
  <c r="UU9" i="24"/>
  <c r="UT9" i="24"/>
  <c r="US9" i="24"/>
  <c r="UR9" i="24"/>
  <c r="UQ9" i="24"/>
  <c r="UP9" i="24"/>
  <c r="VB8" i="24"/>
  <c r="VA8" i="24"/>
  <c r="UZ8" i="24"/>
  <c r="UY8" i="24"/>
  <c r="UX8" i="24"/>
  <c r="UW8" i="24"/>
  <c r="UU8" i="24"/>
  <c r="UT8" i="24"/>
  <c r="US8" i="24"/>
  <c r="UR8" i="24"/>
  <c r="UQ8" i="24"/>
  <c r="UP8" i="24"/>
  <c r="VB7" i="24"/>
  <c r="VA7" i="24"/>
  <c r="UZ7" i="24"/>
  <c r="UY7" i="24"/>
  <c r="UX7" i="24"/>
  <c r="UW7" i="24"/>
  <c r="UU7" i="24"/>
  <c r="UT7" i="24"/>
  <c r="US7" i="24"/>
  <c r="UR7" i="24"/>
  <c r="UQ7" i="24"/>
  <c r="UP7" i="24"/>
  <c r="VB6" i="24"/>
  <c r="VA6" i="24"/>
  <c r="UZ6" i="24"/>
  <c r="UY6" i="24"/>
  <c r="UX6" i="24"/>
  <c r="UW6" i="24"/>
  <c r="UU6" i="24"/>
  <c r="UT6" i="24"/>
  <c r="US6" i="24"/>
  <c r="UR6" i="24"/>
  <c r="UQ6" i="24"/>
  <c r="UP6" i="24"/>
  <c r="VB5" i="24"/>
  <c r="VA5" i="24"/>
  <c r="UZ5" i="24"/>
  <c r="UY5" i="24"/>
  <c r="UX5" i="24"/>
  <c r="UW5" i="24"/>
  <c r="UU5" i="24"/>
  <c r="UT5" i="24"/>
  <c r="US5" i="24"/>
  <c r="UR5" i="24"/>
  <c r="UQ5" i="24"/>
  <c r="UP5" i="24"/>
  <c r="VB4" i="24"/>
  <c r="VA4" i="24"/>
  <c r="UZ4" i="24"/>
  <c r="UY4" i="24"/>
  <c r="UX4" i="24"/>
  <c r="UW4" i="24"/>
  <c r="UU4" i="24"/>
  <c r="UT4" i="24"/>
  <c r="US4" i="24"/>
  <c r="UR4" i="24"/>
  <c r="UQ4" i="24"/>
  <c r="UP4" i="24"/>
  <c r="TT15" i="24"/>
  <c r="TS15" i="24"/>
  <c r="TR15" i="24"/>
  <c r="TQ15" i="24"/>
  <c r="TP15" i="24"/>
  <c r="TO15" i="24"/>
  <c r="TM15" i="24"/>
  <c r="TL15" i="24"/>
  <c r="TK15" i="24"/>
  <c r="TJ15" i="24"/>
  <c r="TI15" i="24"/>
  <c r="TH15" i="24"/>
  <c r="TT14" i="24"/>
  <c r="TS14" i="24"/>
  <c r="TR14" i="24"/>
  <c r="TQ14" i="24"/>
  <c r="TP14" i="24"/>
  <c r="TO14" i="24"/>
  <c r="TM14" i="24"/>
  <c r="TL14" i="24"/>
  <c r="TK14" i="24"/>
  <c r="TJ14" i="24"/>
  <c r="TI14" i="24"/>
  <c r="TH14" i="24"/>
  <c r="TT13" i="24"/>
  <c r="TS13" i="24"/>
  <c r="TR13" i="24"/>
  <c r="TQ13" i="24"/>
  <c r="TP13" i="24"/>
  <c r="TO13" i="24"/>
  <c r="TM13" i="24"/>
  <c r="TL13" i="24"/>
  <c r="TK13" i="24"/>
  <c r="TJ13" i="24"/>
  <c r="TI13" i="24"/>
  <c r="TH13" i="24"/>
  <c r="TT12" i="24"/>
  <c r="TS12" i="24"/>
  <c r="TR12" i="24"/>
  <c r="TQ12" i="24"/>
  <c r="TP12" i="24"/>
  <c r="TO12" i="24"/>
  <c r="TM12" i="24"/>
  <c r="TL12" i="24"/>
  <c r="TK12" i="24"/>
  <c r="TJ12" i="24"/>
  <c r="TI12" i="24"/>
  <c r="TH12" i="24"/>
  <c r="TT11" i="24"/>
  <c r="TS11" i="24"/>
  <c r="TR11" i="24"/>
  <c r="TQ11" i="24"/>
  <c r="TP11" i="24"/>
  <c r="TO11" i="24"/>
  <c r="TM11" i="24"/>
  <c r="TL11" i="24"/>
  <c r="TK11" i="24"/>
  <c r="TJ11" i="24"/>
  <c r="TI11" i="24"/>
  <c r="TH11" i="24"/>
  <c r="TT10" i="24"/>
  <c r="TS10" i="24"/>
  <c r="TR10" i="24"/>
  <c r="TQ10" i="24"/>
  <c r="TP10" i="24"/>
  <c r="TO10" i="24"/>
  <c r="TM10" i="24"/>
  <c r="TL10" i="24"/>
  <c r="TK10" i="24"/>
  <c r="TJ10" i="24"/>
  <c r="TI10" i="24"/>
  <c r="TH10" i="24"/>
  <c r="TT9" i="24"/>
  <c r="TS9" i="24"/>
  <c r="TR9" i="24"/>
  <c r="TQ9" i="24"/>
  <c r="TP9" i="24"/>
  <c r="TO9" i="24"/>
  <c r="TM9" i="24"/>
  <c r="TL9" i="24"/>
  <c r="TK9" i="24"/>
  <c r="TJ9" i="24"/>
  <c r="TI9" i="24"/>
  <c r="TH9" i="24"/>
  <c r="TT8" i="24"/>
  <c r="TS8" i="24"/>
  <c r="TR8" i="24"/>
  <c r="TQ8" i="24"/>
  <c r="TP8" i="24"/>
  <c r="TO8" i="24"/>
  <c r="TM8" i="24"/>
  <c r="TL8" i="24"/>
  <c r="TK8" i="24"/>
  <c r="TJ8" i="24"/>
  <c r="TI8" i="24"/>
  <c r="TH8" i="24"/>
  <c r="TT7" i="24"/>
  <c r="TS7" i="24"/>
  <c r="TR7" i="24"/>
  <c r="TQ7" i="24"/>
  <c r="TP7" i="24"/>
  <c r="TO7" i="24"/>
  <c r="TM7" i="24"/>
  <c r="TL7" i="24"/>
  <c r="TK7" i="24"/>
  <c r="TJ7" i="24"/>
  <c r="TI7" i="24"/>
  <c r="TH7" i="24"/>
  <c r="TT6" i="24"/>
  <c r="TS6" i="24"/>
  <c r="TR6" i="24"/>
  <c r="TQ6" i="24"/>
  <c r="TP6" i="24"/>
  <c r="TO6" i="24"/>
  <c r="TM6" i="24"/>
  <c r="TL6" i="24"/>
  <c r="TK6" i="24"/>
  <c r="TJ6" i="24"/>
  <c r="TI6" i="24"/>
  <c r="TH6" i="24"/>
  <c r="TT5" i="24"/>
  <c r="TS5" i="24"/>
  <c r="TR5" i="24"/>
  <c r="TQ5" i="24"/>
  <c r="TP5" i="24"/>
  <c r="TO5" i="24"/>
  <c r="TM5" i="24"/>
  <c r="TL5" i="24"/>
  <c r="TK5" i="24"/>
  <c r="TJ5" i="24"/>
  <c r="TI5" i="24"/>
  <c r="TH5" i="24"/>
  <c r="TT4" i="24"/>
  <c r="TS4" i="24"/>
  <c r="TR4" i="24"/>
  <c r="TQ4" i="24"/>
  <c r="TP4" i="24"/>
  <c r="TO4" i="24"/>
  <c r="TM4" i="24"/>
  <c r="TL4" i="24"/>
  <c r="TK4" i="24"/>
  <c r="TJ4" i="24"/>
  <c r="TI4" i="24"/>
  <c r="TH4" i="24"/>
  <c r="SL15" i="24"/>
  <c r="SK15" i="24"/>
  <c r="SJ15" i="24"/>
  <c r="SI15" i="24"/>
  <c r="SH15" i="24"/>
  <c r="SG15" i="24"/>
  <c r="SE15" i="24"/>
  <c r="SD15" i="24"/>
  <c r="SC15" i="24"/>
  <c r="SB15" i="24"/>
  <c r="SA15" i="24"/>
  <c r="RZ15" i="24"/>
  <c r="SL14" i="24"/>
  <c r="SK14" i="24"/>
  <c r="SJ14" i="24"/>
  <c r="SI14" i="24"/>
  <c r="SH14" i="24"/>
  <c r="SG14" i="24"/>
  <c r="SE14" i="24"/>
  <c r="SD14" i="24"/>
  <c r="SC14" i="24"/>
  <c r="SB14" i="24"/>
  <c r="SA14" i="24"/>
  <c r="RZ14" i="24"/>
  <c r="SL13" i="24"/>
  <c r="SK13" i="24"/>
  <c r="SJ13" i="24"/>
  <c r="SI13" i="24"/>
  <c r="SH13" i="24"/>
  <c r="SG13" i="24"/>
  <c r="SE13" i="24"/>
  <c r="SD13" i="24"/>
  <c r="SC13" i="24"/>
  <c r="SB13" i="24"/>
  <c r="SA13" i="24"/>
  <c r="RZ13" i="24"/>
  <c r="SL12" i="24"/>
  <c r="SK12" i="24"/>
  <c r="SJ12" i="24"/>
  <c r="SI12" i="24"/>
  <c r="SH12" i="24"/>
  <c r="SG12" i="24"/>
  <c r="SE12" i="24"/>
  <c r="SD12" i="24"/>
  <c r="SC12" i="24"/>
  <c r="SB12" i="24"/>
  <c r="SA12" i="24"/>
  <c r="RZ12" i="24"/>
  <c r="SL11" i="24"/>
  <c r="SK11" i="24"/>
  <c r="SJ11" i="24"/>
  <c r="SI11" i="24"/>
  <c r="SH11" i="24"/>
  <c r="SG11" i="24"/>
  <c r="SE11" i="24"/>
  <c r="SD11" i="24"/>
  <c r="SC11" i="24"/>
  <c r="SB11" i="24"/>
  <c r="SA11" i="24"/>
  <c r="RZ11" i="24"/>
  <c r="SL10" i="24"/>
  <c r="SK10" i="24"/>
  <c r="SJ10" i="24"/>
  <c r="SI10" i="24"/>
  <c r="SH10" i="24"/>
  <c r="SG10" i="24"/>
  <c r="SE10" i="24"/>
  <c r="SD10" i="24"/>
  <c r="SC10" i="24"/>
  <c r="SB10" i="24"/>
  <c r="SA10" i="24"/>
  <c r="RZ10" i="24"/>
  <c r="SL9" i="24"/>
  <c r="SK9" i="24"/>
  <c r="SJ9" i="24"/>
  <c r="SI9" i="24"/>
  <c r="SH9" i="24"/>
  <c r="SG9" i="24"/>
  <c r="SE9" i="24"/>
  <c r="SD9" i="24"/>
  <c r="SC9" i="24"/>
  <c r="SB9" i="24"/>
  <c r="SA9" i="24"/>
  <c r="RZ9" i="24"/>
  <c r="SL8" i="24"/>
  <c r="SK8" i="24"/>
  <c r="SJ8" i="24"/>
  <c r="SI8" i="24"/>
  <c r="SH8" i="24"/>
  <c r="SG8" i="24"/>
  <c r="SE8" i="24"/>
  <c r="SD8" i="24"/>
  <c r="SC8" i="24"/>
  <c r="SB8" i="24"/>
  <c r="SA8" i="24"/>
  <c r="RZ8" i="24"/>
  <c r="SL7" i="24"/>
  <c r="SK7" i="24"/>
  <c r="SJ7" i="24"/>
  <c r="SI7" i="24"/>
  <c r="SH7" i="24"/>
  <c r="SG7" i="24"/>
  <c r="SE7" i="24"/>
  <c r="SD7" i="24"/>
  <c r="SC7" i="24"/>
  <c r="SB7" i="24"/>
  <c r="SA7" i="24"/>
  <c r="RZ7" i="24"/>
  <c r="SL6" i="24"/>
  <c r="SK6" i="24"/>
  <c r="SJ6" i="24"/>
  <c r="SI6" i="24"/>
  <c r="SH6" i="24"/>
  <c r="SG6" i="24"/>
  <c r="SE6" i="24"/>
  <c r="SD6" i="24"/>
  <c r="SC6" i="24"/>
  <c r="SB6" i="24"/>
  <c r="SA6" i="24"/>
  <c r="RZ6" i="24"/>
  <c r="SL5" i="24"/>
  <c r="SK5" i="24"/>
  <c r="SJ5" i="24"/>
  <c r="SI5" i="24"/>
  <c r="SH5" i="24"/>
  <c r="SG5" i="24"/>
  <c r="SE5" i="24"/>
  <c r="SD5" i="24"/>
  <c r="SC5" i="24"/>
  <c r="SB5" i="24"/>
  <c r="SA5" i="24"/>
  <c r="RZ5" i="24"/>
  <c r="SL4" i="24"/>
  <c r="SK4" i="24"/>
  <c r="SJ4" i="24"/>
  <c r="SI4" i="24"/>
  <c r="SH4" i="24"/>
  <c r="SG4" i="24"/>
  <c r="SE4" i="24"/>
  <c r="SD4" i="24"/>
  <c r="SC4" i="24"/>
  <c r="SB4" i="24"/>
  <c r="SA4" i="24"/>
  <c r="RZ4" i="24"/>
  <c r="RD15" i="24"/>
  <c r="RC15" i="24"/>
  <c r="RB15" i="24"/>
  <c r="RA15" i="24"/>
  <c r="QZ15" i="24"/>
  <c r="QY15" i="24"/>
  <c r="QW15" i="24"/>
  <c r="QV15" i="24"/>
  <c r="QU15" i="24"/>
  <c r="QT15" i="24"/>
  <c r="QS15" i="24"/>
  <c r="QR15" i="24"/>
  <c r="RD14" i="24"/>
  <c r="RC14" i="24"/>
  <c r="RB14" i="24"/>
  <c r="RA14" i="24"/>
  <c r="QZ14" i="24"/>
  <c r="QY14" i="24"/>
  <c r="QW14" i="24"/>
  <c r="QV14" i="24"/>
  <c r="QU14" i="24"/>
  <c r="QT14" i="24"/>
  <c r="QS14" i="24"/>
  <c r="QR14" i="24"/>
  <c r="RD13" i="24"/>
  <c r="RC13" i="24"/>
  <c r="RB13" i="24"/>
  <c r="RA13" i="24"/>
  <c r="QZ13" i="24"/>
  <c r="QY13" i="24"/>
  <c r="QW13" i="24"/>
  <c r="QV13" i="24"/>
  <c r="QU13" i="24"/>
  <c r="QT13" i="24"/>
  <c r="QS13" i="24"/>
  <c r="QR13" i="24"/>
  <c r="RD12" i="24"/>
  <c r="RC12" i="24"/>
  <c r="RB12" i="24"/>
  <c r="RA12" i="24"/>
  <c r="QZ12" i="24"/>
  <c r="QY12" i="24"/>
  <c r="QW12" i="24"/>
  <c r="QV12" i="24"/>
  <c r="QU12" i="24"/>
  <c r="QT12" i="24"/>
  <c r="QS12" i="24"/>
  <c r="QR12" i="24"/>
  <c r="RD11" i="24"/>
  <c r="RC11" i="24"/>
  <c r="RB11" i="24"/>
  <c r="RA11" i="24"/>
  <c r="QZ11" i="24"/>
  <c r="QY11" i="24"/>
  <c r="QW11" i="24"/>
  <c r="QV11" i="24"/>
  <c r="QU11" i="24"/>
  <c r="QT11" i="24"/>
  <c r="QS11" i="24"/>
  <c r="QR11" i="24"/>
  <c r="RD10" i="24"/>
  <c r="RC10" i="24"/>
  <c r="RB10" i="24"/>
  <c r="RA10" i="24"/>
  <c r="QZ10" i="24"/>
  <c r="QY10" i="24"/>
  <c r="QW10" i="24"/>
  <c r="QV10" i="24"/>
  <c r="QU10" i="24"/>
  <c r="QT10" i="24"/>
  <c r="QS10" i="24"/>
  <c r="QR10" i="24"/>
  <c r="RD9" i="24"/>
  <c r="RC9" i="24"/>
  <c r="RB9" i="24"/>
  <c r="RA9" i="24"/>
  <c r="QZ9" i="24"/>
  <c r="QY9" i="24"/>
  <c r="QW9" i="24"/>
  <c r="QV9" i="24"/>
  <c r="QU9" i="24"/>
  <c r="QT9" i="24"/>
  <c r="QS9" i="24"/>
  <c r="QR9" i="24"/>
  <c r="RD8" i="24"/>
  <c r="RC8" i="24"/>
  <c r="RB8" i="24"/>
  <c r="RA8" i="24"/>
  <c r="QZ8" i="24"/>
  <c r="QY8" i="24"/>
  <c r="QW8" i="24"/>
  <c r="QV8" i="24"/>
  <c r="QU8" i="24"/>
  <c r="QT8" i="24"/>
  <c r="QS8" i="24"/>
  <c r="QR8" i="24"/>
  <c r="RD7" i="24"/>
  <c r="RC7" i="24"/>
  <c r="RB7" i="24"/>
  <c r="RA7" i="24"/>
  <c r="QZ7" i="24"/>
  <c r="QY7" i="24"/>
  <c r="QW7" i="24"/>
  <c r="QV7" i="24"/>
  <c r="QU7" i="24"/>
  <c r="QT7" i="24"/>
  <c r="QS7" i="24"/>
  <c r="QR7" i="24"/>
  <c r="RD6" i="24"/>
  <c r="RC6" i="24"/>
  <c r="RB6" i="24"/>
  <c r="RA6" i="24"/>
  <c r="QZ6" i="24"/>
  <c r="QY6" i="24"/>
  <c r="QW6" i="24"/>
  <c r="QV6" i="24"/>
  <c r="QU6" i="24"/>
  <c r="QT6" i="24"/>
  <c r="QS6" i="24"/>
  <c r="QR6" i="24"/>
  <c r="RD5" i="24"/>
  <c r="RC5" i="24"/>
  <c r="RB5" i="24"/>
  <c r="RA5" i="24"/>
  <c r="QZ5" i="24"/>
  <c r="QY5" i="24"/>
  <c r="QW5" i="24"/>
  <c r="QV5" i="24"/>
  <c r="QU5" i="24"/>
  <c r="QT5" i="24"/>
  <c r="QS5" i="24"/>
  <c r="QR5" i="24"/>
  <c r="RD4" i="24"/>
  <c r="RC4" i="24"/>
  <c r="RB4" i="24"/>
  <c r="RA4" i="24"/>
  <c r="QZ4" i="24"/>
  <c r="QY4" i="24"/>
  <c r="QW4" i="24"/>
  <c r="QV4" i="24"/>
  <c r="QU4" i="24"/>
  <c r="QT4" i="24"/>
  <c r="QS4" i="24"/>
  <c r="QR4" i="24"/>
  <c r="PV15" i="24"/>
  <c r="PU15" i="24"/>
  <c r="PT15" i="24"/>
  <c r="PS15" i="24"/>
  <c r="PR15" i="24"/>
  <c r="PQ15" i="24"/>
  <c r="PO15" i="24"/>
  <c r="PN15" i="24"/>
  <c r="PM15" i="24"/>
  <c r="PL15" i="24"/>
  <c r="PK15" i="24"/>
  <c r="PJ15" i="24"/>
  <c r="PV14" i="24"/>
  <c r="PU14" i="24"/>
  <c r="PT14" i="24"/>
  <c r="PS14" i="24"/>
  <c r="PR14" i="24"/>
  <c r="PQ14" i="24"/>
  <c r="PO14" i="24"/>
  <c r="PN14" i="24"/>
  <c r="PM14" i="24"/>
  <c r="PL14" i="24"/>
  <c r="PK14" i="24"/>
  <c r="PJ14" i="24"/>
  <c r="PV13" i="24"/>
  <c r="PU13" i="24"/>
  <c r="PT13" i="24"/>
  <c r="PS13" i="24"/>
  <c r="PR13" i="24"/>
  <c r="PQ13" i="24"/>
  <c r="PO13" i="24"/>
  <c r="PN13" i="24"/>
  <c r="PM13" i="24"/>
  <c r="PL13" i="24"/>
  <c r="PK13" i="24"/>
  <c r="PJ13" i="24"/>
  <c r="PV12" i="24"/>
  <c r="PU12" i="24"/>
  <c r="PT12" i="24"/>
  <c r="PS12" i="24"/>
  <c r="PR12" i="24"/>
  <c r="PQ12" i="24"/>
  <c r="PO12" i="24"/>
  <c r="PN12" i="24"/>
  <c r="PM12" i="24"/>
  <c r="PL12" i="24"/>
  <c r="PK12" i="24"/>
  <c r="PJ12" i="24"/>
  <c r="PV11" i="24"/>
  <c r="PU11" i="24"/>
  <c r="PT11" i="24"/>
  <c r="PS11" i="24"/>
  <c r="PR11" i="24"/>
  <c r="PQ11" i="24"/>
  <c r="PO11" i="24"/>
  <c r="PN11" i="24"/>
  <c r="PM11" i="24"/>
  <c r="PL11" i="24"/>
  <c r="PK11" i="24"/>
  <c r="PJ11" i="24"/>
  <c r="PV10" i="24"/>
  <c r="PU10" i="24"/>
  <c r="PT10" i="24"/>
  <c r="PS10" i="24"/>
  <c r="PR10" i="24"/>
  <c r="PQ10" i="24"/>
  <c r="PO10" i="24"/>
  <c r="PN10" i="24"/>
  <c r="PM10" i="24"/>
  <c r="PL10" i="24"/>
  <c r="PK10" i="24"/>
  <c r="PJ10" i="24"/>
  <c r="PV9" i="24"/>
  <c r="PU9" i="24"/>
  <c r="PT9" i="24"/>
  <c r="PS9" i="24"/>
  <c r="PR9" i="24"/>
  <c r="PQ9" i="24"/>
  <c r="PO9" i="24"/>
  <c r="PN9" i="24"/>
  <c r="PM9" i="24"/>
  <c r="PL9" i="24"/>
  <c r="PK9" i="24"/>
  <c r="PJ9" i="24"/>
  <c r="PV8" i="24"/>
  <c r="PU8" i="24"/>
  <c r="PT8" i="24"/>
  <c r="PS8" i="24"/>
  <c r="PR8" i="24"/>
  <c r="PQ8" i="24"/>
  <c r="PO8" i="24"/>
  <c r="PN8" i="24"/>
  <c r="PM8" i="24"/>
  <c r="PL8" i="24"/>
  <c r="PK8" i="24"/>
  <c r="PJ8" i="24"/>
  <c r="PV7" i="24"/>
  <c r="PU7" i="24"/>
  <c r="PT7" i="24"/>
  <c r="PS7" i="24"/>
  <c r="PR7" i="24"/>
  <c r="PQ7" i="24"/>
  <c r="PO7" i="24"/>
  <c r="PN7" i="24"/>
  <c r="PM7" i="24"/>
  <c r="PL7" i="24"/>
  <c r="PK7" i="24"/>
  <c r="PJ7" i="24"/>
  <c r="PV6" i="24"/>
  <c r="PU6" i="24"/>
  <c r="PT6" i="24"/>
  <c r="PS6" i="24"/>
  <c r="PR6" i="24"/>
  <c r="PQ6" i="24"/>
  <c r="PO6" i="24"/>
  <c r="PN6" i="24"/>
  <c r="PM6" i="24"/>
  <c r="PL6" i="24"/>
  <c r="PK6" i="24"/>
  <c r="PJ6" i="24"/>
  <c r="PV5" i="24"/>
  <c r="PU5" i="24"/>
  <c r="PT5" i="24"/>
  <c r="PS5" i="24"/>
  <c r="PR5" i="24"/>
  <c r="PQ5" i="24"/>
  <c r="PO5" i="24"/>
  <c r="PN5" i="24"/>
  <c r="PM5" i="24"/>
  <c r="PL5" i="24"/>
  <c r="PK5" i="24"/>
  <c r="PJ5" i="24"/>
  <c r="PV4" i="24"/>
  <c r="PU4" i="24"/>
  <c r="PT4" i="24"/>
  <c r="PS4" i="24"/>
  <c r="PR4" i="24"/>
  <c r="PQ4" i="24"/>
  <c r="PO4" i="24"/>
  <c r="PN4" i="24"/>
  <c r="PM4" i="24"/>
  <c r="PL4" i="24"/>
  <c r="PK4" i="24"/>
  <c r="PJ4" i="24"/>
  <c r="ON15" i="24"/>
  <c r="OM15" i="24"/>
  <c r="OL15" i="24"/>
  <c r="OK15" i="24"/>
  <c r="OJ15" i="24"/>
  <c r="OI15" i="24"/>
  <c r="OG15" i="24"/>
  <c r="OF15" i="24"/>
  <c r="OE15" i="24"/>
  <c r="OD15" i="24"/>
  <c r="OC15" i="24"/>
  <c r="OB15" i="24"/>
  <c r="ON14" i="24"/>
  <c r="OM14" i="24"/>
  <c r="OL14" i="24"/>
  <c r="OK14" i="24"/>
  <c r="OJ14" i="24"/>
  <c r="OI14" i="24"/>
  <c r="OG14" i="24"/>
  <c r="OF14" i="24"/>
  <c r="OE14" i="24"/>
  <c r="OD14" i="24"/>
  <c r="OC14" i="24"/>
  <c r="OB14" i="24"/>
  <c r="ON13" i="24"/>
  <c r="OM13" i="24"/>
  <c r="OL13" i="24"/>
  <c r="OK13" i="24"/>
  <c r="OJ13" i="24"/>
  <c r="OI13" i="24"/>
  <c r="OG13" i="24"/>
  <c r="OF13" i="24"/>
  <c r="OE13" i="24"/>
  <c r="OD13" i="24"/>
  <c r="OC13" i="24"/>
  <c r="OB13" i="24"/>
  <c r="ON12" i="24"/>
  <c r="OM12" i="24"/>
  <c r="OL12" i="24"/>
  <c r="OK12" i="24"/>
  <c r="OJ12" i="24"/>
  <c r="OI12" i="24"/>
  <c r="OG12" i="24"/>
  <c r="OF12" i="24"/>
  <c r="OE12" i="24"/>
  <c r="OD12" i="24"/>
  <c r="OC12" i="24"/>
  <c r="OB12" i="24"/>
  <c r="ON11" i="24"/>
  <c r="OM11" i="24"/>
  <c r="OL11" i="24"/>
  <c r="OK11" i="24"/>
  <c r="OJ11" i="24"/>
  <c r="OI11" i="24"/>
  <c r="OG11" i="24"/>
  <c r="OF11" i="24"/>
  <c r="OE11" i="24"/>
  <c r="OD11" i="24"/>
  <c r="OC11" i="24"/>
  <c r="OB11" i="24"/>
  <c r="ON10" i="24"/>
  <c r="OM10" i="24"/>
  <c r="OL10" i="24"/>
  <c r="OK10" i="24"/>
  <c r="OJ10" i="24"/>
  <c r="OI10" i="24"/>
  <c r="OG10" i="24"/>
  <c r="OF10" i="24"/>
  <c r="OE10" i="24"/>
  <c r="OD10" i="24"/>
  <c r="OC10" i="24"/>
  <c r="OB10" i="24"/>
  <c r="ON9" i="24"/>
  <c r="OM9" i="24"/>
  <c r="OL9" i="24"/>
  <c r="OK9" i="24"/>
  <c r="OJ9" i="24"/>
  <c r="OI9" i="24"/>
  <c r="OG9" i="24"/>
  <c r="OF9" i="24"/>
  <c r="OE9" i="24"/>
  <c r="OD9" i="24"/>
  <c r="OC9" i="24"/>
  <c r="OB9" i="24"/>
  <c r="ON8" i="24"/>
  <c r="OM8" i="24"/>
  <c r="OL8" i="24"/>
  <c r="OK8" i="24"/>
  <c r="OJ8" i="24"/>
  <c r="OI8" i="24"/>
  <c r="OG8" i="24"/>
  <c r="OF8" i="24"/>
  <c r="OE8" i="24"/>
  <c r="OD8" i="24"/>
  <c r="OC8" i="24"/>
  <c r="OB8" i="24"/>
  <c r="ON7" i="24"/>
  <c r="OM7" i="24"/>
  <c r="OL7" i="24"/>
  <c r="OK7" i="24"/>
  <c r="OJ7" i="24"/>
  <c r="OI7" i="24"/>
  <c r="OG7" i="24"/>
  <c r="OF7" i="24"/>
  <c r="OE7" i="24"/>
  <c r="OD7" i="24"/>
  <c r="OC7" i="24"/>
  <c r="OB7" i="24"/>
  <c r="ON6" i="24"/>
  <c r="OM6" i="24"/>
  <c r="OL6" i="24"/>
  <c r="OK6" i="24"/>
  <c r="OJ6" i="24"/>
  <c r="OI6" i="24"/>
  <c r="OG6" i="24"/>
  <c r="OF6" i="24"/>
  <c r="OE6" i="24"/>
  <c r="OD6" i="24"/>
  <c r="OC6" i="24"/>
  <c r="OB6" i="24"/>
  <c r="ON5" i="24"/>
  <c r="OM5" i="24"/>
  <c r="OL5" i="24"/>
  <c r="OK5" i="24"/>
  <c r="OJ5" i="24"/>
  <c r="OI5" i="24"/>
  <c r="OG5" i="24"/>
  <c r="OF5" i="24"/>
  <c r="OE5" i="24"/>
  <c r="OD5" i="24"/>
  <c r="OC5" i="24"/>
  <c r="OB5" i="24"/>
  <c r="ON4" i="24"/>
  <c r="OM4" i="24"/>
  <c r="OL4" i="24"/>
  <c r="OK4" i="24"/>
  <c r="OJ4" i="24"/>
  <c r="OI4" i="24"/>
  <c r="OG4" i="24"/>
  <c r="OF4" i="24"/>
  <c r="OE4" i="24"/>
  <c r="OD4" i="24"/>
  <c r="OC4" i="24"/>
  <c r="OB4" i="24"/>
  <c r="NF15" i="24"/>
  <c r="NE15" i="24"/>
  <c r="ND15" i="24"/>
  <c r="NC15" i="24"/>
  <c r="NB15" i="24"/>
  <c r="NA15" i="24"/>
  <c r="MY15" i="24"/>
  <c r="MX15" i="24"/>
  <c r="MW15" i="24"/>
  <c r="MV15" i="24"/>
  <c r="MU15" i="24"/>
  <c r="MT15" i="24"/>
  <c r="NF14" i="24"/>
  <c r="NE14" i="24"/>
  <c r="ND14" i="24"/>
  <c r="NC14" i="24"/>
  <c r="NB14" i="24"/>
  <c r="NA14" i="24"/>
  <c r="MY14" i="24"/>
  <c r="MX14" i="24"/>
  <c r="MW14" i="24"/>
  <c r="MV14" i="24"/>
  <c r="MU14" i="24"/>
  <c r="MT14" i="24"/>
  <c r="NF13" i="24"/>
  <c r="NE13" i="24"/>
  <c r="ND13" i="24"/>
  <c r="NC13" i="24"/>
  <c r="NB13" i="24"/>
  <c r="NA13" i="24"/>
  <c r="MY13" i="24"/>
  <c r="MX13" i="24"/>
  <c r="MW13" i="24"/>
  <c r="MV13" i="24"/>
  <c r="MU13" i="24"/>
  <c r="MT13" i="24"/>
  <c r="NF12" i="24"/>
  <c r="NE12" i="24"/>
  <c r="ND12" i="24"/>
  <c r="NC12" i="24"/>
  <c r="NB12" i="24"/>
  <c r="NA12" i="24"/>
  <c r="MY12" i="24"/>
  <c r="MX12" i="24"/>
  <c r="MW12" i="24"/>
  <c r="MV12" i="24"/>
  <c r="MU12" i="24"/>
  <c r="MT12" i="24"/>
  <c r="NF11" i="24"/>
  <c r="NE11" i="24"/>
  <c r="ND11" i="24"/>
  <c r="NC11" i="24"/>
  <c r="NB11" i="24"/>
  <c r="NA11" i="24"/>
  <c r="MY11" i="24"/>
  <c r="MX11" i="24"/>
  <c r="MW11" i="24"/>
  <c r="MV11" i="24"/>
  <c r="MU11" i="24"/>
  <c r="MT11" i="24"/>
  <c r="NF10" i="24"/>
  <c r="NE10" i="24"/>
  <c r="ND10" i="24"/>
  <c r="NC10" i="24"/>
  <c r="NB10" i="24"/>
  <c r="NA10" i="24"/>
  <c r="MY10" i="24"/>
  <c r="MX10" i="24"/>
  <c r="MW10" i="24"/>
  <c r="MV10" i="24"/>
  <c r="MU10" i="24"/>
  <c r="MT10" i="24"/>
  <c r="NF9" i="24"/>
  <c r="NE9" i="24"/>
  <c r="ND9" i="24"/>
  <c r="NC9" i="24"/>
  <c r="NB9" i="24"/>
  <c r="NA9" i="24"/>
  <c r="MY9" i="24"/>
  <c r="MX9" i="24"/>
  <c r="MW9" i="24"/>
  <c r="MV9" i="24"/>
  <c r="MU9" i="24"/>
  <c r="MT9" i="24"/>
  <c r="NF8" i="24"/>
  <c r="NE8" i="24"/>
  <c r="ND8" i="24"/>
  <c r="NC8" i="24"/>
  <c r="NB8" i="24"/>
  <c r="NA8" i="24"/>
  <c r="MY8" i="24"/>
  <c r="MX8" i="24"/>
  <c r="MW8" i="24"/>
  <c r="MV8" i="24"/>
  <c r="MU8" i="24"/>
  <c r="MT8" i="24"/>
  <c r="NF7" i="24"/>
  <c r="NE7" i="24"/>
  <c r="ND7" i="24"/>
  <c r="NC7" i="24"/>
  <c r="NB7" i="24"/>
  <c r="NA7" i="24"/>
  <c r="MY7" i="24"/>
  <c r="MX7" i="24"/>
  <c r="MW7" i="24"/>
  <c r="MV7" i="24"/>
  <c r="MU7" i="24"/>
  <c r="MT7" i="24"/>
  <c r="NF6" i="24"/>
  <c r="NE6" i="24"/>
  <c r="ND6" i="24"/>
  <c r="NC6" i="24"/>
  <c r="NB6" i="24"/>
  <c r="NA6" i="24"/>
  <c r="MY6" i="24"/>
  <c r="MX6" i="24"/>
  <c r="MW6" i="24"/>
  <c r="MV6" i="24"/>
  <c r="MU6" i="24"/>
  <c r="MT6" i="24"/>
  <c r="NF5" i="24"/>
  <c r="NE5" i="24"/>
  <c r="ND5" i="24"/>
  <c r="NC5" i="24"/>
  <c r="NB5" i="24"/>
  <c r="NA5" i="24"/>
  <c r="MY5" i="24"/>
  <c r="MX5" i="24"/>
  <c r="MW5" i="24"/>
  <c r="MV5" i="24"/>
  <c r="MU5" i="24"/>
  <c r="MT5" i="24"/>
  <c r="NF4" i="24"/>
  <c r="NE4" i="24"/>
  <c r="ND4" i="24"/>
  <c r="NC4" i="24"/>
  <c r="NB4" i="24"/>
  <c r="NA4" i="24"/>
  <c r="MY4" i="24"/>
  <c r="MX4" i="24"/>
  <c r="MW4" i="24"/>
  <c r="MV4" i="24"/>
  <c r="MU4" i="24"/>
  <c r="MT4" i="24"/>
  <c r="LX15" i="24"/>
  <c r="LW15" i="24"/>
  <c r="LV15" i="24"/>
  <c r="LU15" i="24"/>
  <c r="LT15" i="24"/>
  <c r="LS15" i="24"/>
  <c r="LQ15" i="24"/>
  <c r="LP15" i="24"/>
  <c r="LO15" i="24"/>
  <c r="LN15" i="24"/>
  <c r="LM15" i="24"/>
  <c r="LL15" i="24"/>
  <c r="LX14" i="24"/>
  <c r="LW14" i="24"/>
  <c r="LV14" i="24"/>
  <c r="LU14" i="24"/>
  <c r="LT14" i="24"/>
  <c r="LS14" i="24"/>
  <c r="LQ14" i="24"/>
  <c r="LP14" i="24"/>
  <c r="LO14" i="24"/>
  <c r="LN14" i="24"/>
  <c r="LM14" i="24"/>
  <c r="LL14" i="24"/>
  <c r="LX13" i="24"/>
  <c r="LW13" i="24"/>
  <c r="LV13" i="24"/>
  <c r="LU13" i="24"/>
  <c r="LT13" i="24"/>
  <c r="LS13" i="24"/>
  <c r="LQ13" i="24"/>
  <c r="LP13" i="24"/>
  <c r="LO13" i="24"/>
  <c r="LN13" i="24"/>
  <c r="LM13" i="24"/>
  <c r="LL13" i="24"/>
  <c r="LX12" i="24"/>
  <c r="LW12" i="24"/>
  <c r="LV12" i="24"/>
  <c r="LU12" i="24"/>
  <c r="LT12" i="24"/>
  <c r="LS12" i="24"/>
  <c r="LQ12" i="24"/>
  <c r="LP12" i="24"/>
  <c r="LO12" i="24"/>
  <c r="LN12" i="24"/>
  <c r="LM12" i="24"/>
  <c r="LL12" i="24"/>
  <c r="LX11" i="24"/>
  <c r="LW11" i="24"/>
  <c r="LV11" i="24"/>
  <c r="LU11" i="24"/>
  <c r="LT11" i="24"/>
  <c r="LS11" i="24"/>
  <c r="LQ11" i="24"/>
  <c r="LP11" i="24"/>
  <c r="LO11" i="24"/>
  <c r="LN11" i="24"/>
  <c r="LM11" i="24"/>
  <c r="LL11" i="24"/>
  <c r="LX10" i="24"/>
  <c r="LW10" i="24"/>
  <c r="LV10" i="24"/>
  <c r="LU10" i="24"/>
  <c r="LT10" i="24"/>
  <c r="LS10" i="24"/>
  <c r="LQ10" i="24"/>
  <c r="LP10" i="24"/>
  <c r="LO10" i="24"/>
  <c r="LN10" i="24"/>
  <c r="LM10" i="24"/>
  <c r="LL10" i="24"/>
  <c r="LX9" i="24"/>
  <c r="LW9" i="24"/>
  <c r="LV9" i="24"/>
  <c r="LU9" i="24"/>
  <c r="LT9" i="24"/>
  <c r="LS9" i="24"/>
  <c r="LQ9" i="24"/>
  <c r="LP9" i="24"/>
  <c r="LO9" i="24"/>
  <c r="LN9" i="24"/>
  <c r="LM9" i="24"/>
  <c r="LL9" i="24"/>
  <c r="LX8" i="24"/>
  <c r="LW8" i="24"/>
  <c r="LV8" i="24"/>
  <c r="LU8" i="24"/>
  <c r="LT8" i="24"/>
  <c r="LS8" i="24"/>
  <c r="LQ8" i="24"/>
  <c r="LP8" i="24"/>
  <c r="LO8" i="24"/>
  <c r="LN8" i="24"/>
  <c r="LM8" i="24"/>
  <c r="LL8" i="24"/>
  <c r="LX7" i="24"/>
  <c r="LW7" i="24"/>
  <c r="LV7" i="24"/>
  <c r="LU7" i="24"/>
  <c r="LT7" i="24"/>
  <c r="LS7" i="24"/>
  <c r="LQ7" i="24"/>
  <c r="LP7" i="24"/>
  <c r="LO7" i="24"/>
  <c r="LN7" i="24"/>
  <c r="LM7" i="24"/>
  <c r="LL7" i="24"/>
  <c r="LX6" i="24"/>
  <c r="LW6" i="24"/>
  <c r="LV6" i="24"/>
  <c r="LU6" i="24"/>
  <c r="LT6" i="24"/>
  <c r="LS6" i="24"/>
  <c r="LQ6" i="24"/>
  <c r="LP6" i="24"/>
  <c r="LO6" i="24"/>
  <c r="LN6" i="24"/>
  <c r="LM6" i="24"/>
  <c r="LL6" i="24"/>
  <c r="LX5" i="24"/>
  <c r="LW5" i="24"/>
  <c r="LV5" i="24"/>
  <c r="LU5" i="24"/>
  <c r="LT5" i="24"/>
  <c r="LS5" i="24"/>
  <c r="LQ5" i="24"/>
  <c r="LP5" i="24"/>
  <c r="LO5" i="24"/>
  <c r="LN5" i="24"/>
  <c r="LM5" i="24"/>
  <c r="LL5" i="24"/>
  <c r="LX4" i="24"/>
  <c r="LW4" i="24"/>
  <c r="LV4" i="24"/>
  <c r="LU4" i="24"/>
  <c r="LT4" i="24"/>
  <c r="LS4" i="24"/>
  <c r="LQ4" i="24"/>
  <c r="LP4" i="24"/>
  <c r="LO4" i="24"/>
  <c r="LN4" i="24"/>
  <c r="LM4" i="24"/>
  <c r="LL4" i="24"/>
  <c r="KP15" i="24"/>
  <c r="KO15" i="24"/>
  <c r="KN15" i="24"/>
  <c r="KM15" i="24"/>
  <c r="KL15" i="24"/>
  <c r="KK15" i="24"/>
  <c r="KI15" i="24"/>
  <c r="KH15" i="24"/>
  <c r="KG15" i="24"/>
  <c r="KF15" i="24"/>
  <c r="KE15" i="24"/>
  <c r="KD15" i="24"/>
  <c r="KP14" i="24"/>
  <c r="KO14" i="24"/>
  <c r="KN14" i="24"/>
  <c r="KM14" i="24"/>
  <c r="KL14" i="24"/>
  <c r="KK14" i="24"/>
  <c r="KI14" i="24"/>
  <c r="KH14" i="24"/>
  <c r="KG14" i="24"/>
  <c r="KF14" i="24"/>
  <c r="KE14" i="24"/>
  <c r="KD14" i="24"/>
  <c r="KP13" i="24"/>
  <c r="KO13" i="24"/>
  <c r="KN13" i="24"/>
  <c r="KM13" i="24"/>
  <c r="KL13" i="24"/>
  <c r="KK13" i="24"/>
  <c r="KI13" i="24"/>
  <c r="KH13" i="24"/>
  <c r="KG13" i="24"/>
  <c r="KF13" i="24"/>
  <c r="KE13" i="24"/>
  <c r="KD13" i="24"/>
  <c r="KP12" i="24"/>
  <c r="KO12" i="24"/>
  <c r="KN12" i="24"/>
  <c r="KM12" i="24"/>
  <c r="KL12" i="24"/>
  <c r="KK12" i="24"/>
  <c r="KI12" i="24"/>
  <c r="KH12" i="24"/>
  <c r="KG12" i="24"/>
  <c r="KF12" i="24"/>
  <c r="KE12" i="24"/>
  <c r="KD12" i="24"/>
  <c r="KP11" i="24"/>
  <c r="KO11" i="24"/>
  <c r="KN11" i="24"/>
  <c r="KM11" i="24"/>
  <c r="KL11" i="24"/>
  <c r="KK11" i="24"/>
  <c r="KI11" i="24"/>
  <c r="KH11" i="24"/>
  <c r="KG11" i="24"/>
  <c r="KF11" i="24"/>
  <c r="KE11" i="24"/>
  <c r="KD11" i="24"/>
  <c r="KP10" i="24"/>
  <c r="KO10" i="24"/>
  <c r="KN10" i="24"/>
  <c r="KM10" i="24"/>
  <c r="KL10" i="24"/>
  <c r="KK10" i="24"/>
  <c r="KI10" i="24"/>
  <c r="KH10" i="24"/>
  <c r="KG10" i="24"/>
  <c r="KF10" i="24"/>
  <c r="KE10" i="24"/>
  <c r="KD10" i="24"/>
  <c r="KP9" i="24"/>
  <c r="KO9" i="24"/>
  <c r="KN9" i="24"/>
  <c r="KM9" i="24"/>
  <c r="KL9" i="24"/>
  <c r="KK9" i="24"/>
  <c r="KI9" i="24"/>
  <c r="KH9" i="24"/>
  <c r="KG9" i="24"/>
  <c r="KF9" i="24"/>
  <c r="KE9" i="24"/>
  <c r="KD9" i="24"/>
  <c r="KP8" i="24"/>
  <c r="KO8" i="24"/>
  <c r="KN8" i="24"/>
  <c r="KM8" i="24"/>
  <c r="KL8" i="24"/>
  <c r="KK8" i="24"/>
  <c r="KI8" i="24"/>
  <c r="KH8" i="24"/>
  <c r="KG8" i="24"/>
  <c r="KF8" i="24"/>
  <c r="KE8" i="24"/>
  <c r="KD8" i="24"/>
  <c r="KP7" i="24"/>
  <c r="KO7" i="24"/>
  <c r="KN7" i="24"/>
  <c r="KM7" i="24"/>
  <c r="KL7" i="24"/>
  <c r="KK7" i="24"/>
  <c r="KI7" i="24"/>
  <c r="KH7" i="24"/>
  <c r="KG7" i="24"/>
  <c r="KF7" i="24"/>
  <c r="KE7" i="24"/>
  <c r="KD7" i="24"/>
  <c r="KP6" i="24"/>
  <c r="KO6" i="24"/>
  <c r="KN6" i="24"/>
  <c r="KM6" i="24"/>
  <c r="KL6" i="24"/>
  <c r="KK6" i="24"/>
  <c r="KI6" i="24"/>
  <c r="KH6" i="24"/>
  <c r="KG6" i="24"/>
  <c r="KF6" i="24"/>
  <c r="KE6" i="24"/>
  <c r="KD6" i="24"/>
  <c r="KP5" i="24"/>
  <c r="KO5" i="24"/>
  <c r="KN5" i="24"/>
  <c r="KM5" i="24"/>
  <c r="KL5" i="24"/>
  <c r="KK5" i="24"/>
  <c r="KI5" i="24"/>
  <c r="KH5" i="24"/>
  <c r="KG5" i="24"/>
  <c r="KF5" i="24"/>
  <c r="KE5" i="24"/>
  <c r="KD5" i="24"/>
  <c r="KP4" i="24"/>
  <c r="KO4" i="24"/>
  <c r="KN4" i="24"/>
  <c r="KM4" i="24"/>
  <c r="KL4" i="24"/>
  <c r="KK4" i="24"/>
  <c r="KI4" i="24"/>
  <c r="KH4" i="24"/>
  <c r="KG4" i="24"/>
  <c r="KF4" i="24"/>
  <c r="KE4" i="24"/>
  <c r="KD4" i="24"/>
  <c r="JH15" i="24"/>
  <c r="JG15" i="24"/>
  <c r="JF15" i="24"/>
  <c r="JE15" i="24"/>
  <c r="JD15" i="24"/>
  <c r="JC15" i="24"/>
  <c r="JA15" i="24"/>
  <c r="IZ15" i="24"/>
  <c r="IY15" i="24"/>
  <c r="IX15" i="24"/>
  <c r="IW15" i="24"/>
  <c r="IV15" i="24"/>
  <c r="JH14" i="24"/>
  <c r="JG14" i="24"/>
  <c r="JF14" i="24"/>
  <c r="JE14" i="24"/>
  <c r="JD14" i="24"/>
  <c r="JC14" i="24"/>
  <c r="JA14" i="24"/>
  <c r="IZ14" i="24"/>
  <c r="IY14" i="24"/>
  <c r="IX14" i="24"/>
  <c r="IW14" i="24"/>
  <c r="IV14" i="24"/>
  <c r="JH13" i="24"/>
  <c r="JG13" i="24"/>
  <c r="JF13" i="24"/>
  <c r="JE13" i="24"/>
  <c r="JD13" i="24"/>
  <c r="JC13" i="24"/>
  <c r="JA13" i="24"/>
  <c r="IZ13" i="24"/>
  <c r="IY13" i="24"/>
  <c r="IX13" i="24"/>
  <c r="IW13" i="24"/>
  <c r="IV13" i="24"/>
  <c r="JH12" i="24"/>
  <c r="JG12" i="24"/>
  <c r="JF12" i="24"/>
  <c r="JE12" i="24"/>
  <c r="JD12" i="24"/>
  <c r="JC12" i="24"/>
  <c r="JA12" i="24"/>
  <c r="IZ12" i="24"/>
  <c r="IY12" i="24"/>
  <c r="IX12" i="24"/>
  <c r="IW12" i="24"/>
  <c r="IV12" i="24"/>
  <c r="JH11" i="24"/>
  <c r="JG11" i="24"/>
  <c r="JF11" i="24"/>
  <c r="JE11" i="24"/>
  <c r="JD11" i="24"/>
  <c r="JC11" i="24"/>
  <c r="JA11" i="24"/>
  <c r="IZ11" i="24"/>
  <c r="IY11" i="24"/>
  <c r="IX11" i="24"/>
  <c r="IW11" i="24"/>
  <c r="IV11" i="24"/>
  <c r="JH10" i="24"/>
  <c r="JG10" i="24"/>
  <c r="JF10" i="24"/>
  <c r="JE10" i="24"/>
  <c r="JD10" i="24"/>
  <c r="JC10" i="24"/>
  <c r="JA10" i="24"/>
  <c r="IZ10" i="24"/>
  <c r="IY10" i="24"/>
  <c r="IX10" i="24"/>
  <c r="IW10" i="24"/>
  <c r="IV10" i="24"/>
  <c r="JH9" i="24"/>
  <c r="JG9" i="24"/>
  <c r="JF9" i="24"/>
  <c r="JE9" i="24"/>
  <c r="JD9" i="24"/>
  <c r="JC9" i="24"/>
  <c r="JA9" i="24"/>
  <c r="IZ9" i="24"/>
  <c r="IY9" i="24"/>
  <c r="IX9" i="24"/>
  <c r="IW9" i="24"/>
  <c r="IV9" i="24"/>
  <c r="JH8" i="24"/>
  <c r="JG8" i="24"/>
  <c r="JF8" i="24"/>
  <c r="JE8" i="24"/>
  <c r="JD8" i="24"/>
  <c r="JC8" i="24"/>
  <c r="JA8" i="24"/>
  <c r="IZ8" i="24"/>
  <c r="IY8" i="24"/>
  <c r="IX8" i="24"/>
  <c r="IW8" i="24"/>
  <c r="IV8" i="24"/>
  <c r="JH7" i="24"/>
  <c r="JG7" i="24"/>
  <c r="JF7" i="24"/>
  <c r="JE7" i="24"/>
  <c r="JD7" i="24"/>
  <c r="JC7" i="24"/>
  <c r="JA7" i="24"/>
  <c r="IZ7" i="24"/>
  <c r="IY7" i="24"/>
  <c r="IX7" i="24"/>
  <c r="IW7" i="24"/>
  <c r="IV7" i="24"/>
  <c r="JH6" i="24"/>
  <c r="JG6" i="24"/>
  <c r="JF6" i="24"/>
  <c r="JE6" i="24"/>
  <c r="JD6" i="24"/>
  <c r="JC6" i="24"/>
  <c r="JA6" i="24"/>
  <c r="IZ6" i="24"/>
  <c r="IY6" i="24"/>
  <c r="IX6" i="24"/>
  <c r="IW6" i="24"/>
  <c r="IV6" i="24"/>
  <c r="JH5" i="24"/>
  <c r="JG5" i="24"/>
  <c r="JF5" i="24"/>
  <c r="JE5" i="24"/>
  <c r="JD5" i="24"/>
  <c r="JC5" i="24"/>
  <c r="JA5" i="24"/>
  <c r="IZ5" i="24"/>
  <c r="IY5" i="24"/>
  <c r="IX5" i="24"/>
  <c r="IW5" i="24"/>
  <c r="IV5" i="24"/>
  <c r="JH4" i="24"/>
  <c r="JG4" i="24"/>
  <c r="JF4" i="24"/>
  <c r="JE4" i="24"/>
  <c r="JD4" i="24"/>
  <c r="JC4" i="24"/>
  <c r="JA4" i="24"/>
  <c r="IZ4" i="24"/>
  <c r="IY4" i="24"/>
  <c r="IX4" i="24"/>
  <c r="IW4" i="24"/>
  <c r="IV4" i="24"/>
  <c r="HZ15" i="24"/>
  <c r="HY15" i="24"/>
  <c r="HX15" i="24"/>
  <c r="HW15" i="24"/>
  <c r="HV15" i="24"/>
  <c r="HU15" i="24"/>
  <c r="HS15" i="24"/>
  <c r="HR15" i="24"/>
  <c r="HQ15" i="24"/>
  <c r="HP15" i="24"/>
  <c r="HO15" i="24"/>
  <c r="HN15" i="24"/>
  <c r="HZ14" i="24"/>
  <c r="HY14" i="24"/>
  <c r="HX14" i="24"/>
  <c r="HW14" i="24"/>
  <c r="HV14" i="24"/>
  <c r="HU14" i="24"/>
  <c r="HS14" i="24"/>
  <c r="HR14" i="24"/>
  <c r="HQ14" i="24"/>
  <c r="HP14" i="24"/>
  <c r="HO14" i="24"/>
  <c r="HN14" i="24"/>
  <c r="HZ13" i="24"/>
  <c r="HY13" i="24"/>
  <c r="HX13" i="24"/>
  <c r="HW13" i="24"/>
  <c r="HV13" i="24"/>
  <c r="HU13" i="24"/>
  <c r="HS13" i="24"/>
  <c r="HR13" i="24"/>
  <c r="HQ13" i="24"/>
  <c r="HP13" i="24"/>
  <c r="HO13" i="24"/>
  <c r="HN13" i="24"/>
  <c r="HZ12" i="24"/>
  <c r="HY12" i="24"/>
  <c r="HX12" i="24"/>
  <c r="HW12" i="24"/>
  <c r="HV12" i="24"/>
  <c r="HU12" i="24"/>
  <c r="HS12" i="24"/>
  <c r="HR12" i="24"/>
  <c r="HQ12" i="24"/>
  <c r="HP12" i="24"/>
  <c r="HO12" i="24"/>
  <c r="HN12" i="24"/>
  <c r="HZ11" i="24"/>
  <c r="HY11" i="24"/>
  <c r="HX11" i="24"/>
  <c r="HW11" i="24"/>
  <c r="HV11" i="24"/>
  <c r="HU11" i="24"/>
  <c r="HS11" i="24"/>
  <c r="HR11" i="24"/>
  <c r="HQ11" i="24"/>
  <c r="HP11" i="24"/>
  <c r="HO11" i="24"/>
  <c r="HN11" i="24"/>
  <c r="HZ10" i="24"/>
  <c r="HY10" i="24"/>
  <c r="HX10" i="24"/>
  <c r="HW10" i="24"/>
  <c r="HV10" i="24"/>
  <c r="HU10" i="24"/>
  <c r="HS10" i="24"/>
  <c r="HR10" i="24"/>
  <c r="HQ10" i="24"/>
  <c r="HP10" i="24"/>
  <c r="HO10" i="24"/>
  <c r="HN10" i="24"/>
  <c r="HZ9" i="24"/>
  <c r="HY9" i="24"/>
  <c r="HX9" i="24"/>
  <c r="HW9" i="24"/>
  <c r="HV9" i="24"/>
  <c r="HU9" i="24"/>
  <c r="HS9" i="24"/>
  <c r="HR9" i="24"/>
  <c r="HQ9" i="24"/>
  <c r="HP9" i="24"/>
  <c r="HO9" i="24"/>
  <c r="HN9" i="24"/>
  <c r="HZ8" i="24"/>
  <c r="HY8" i="24"/>
  <c r="HX8" i="24"/>
  <c r="HW8" i="24"/>
  <c r="HV8" i="24"/>
  <c r="HU8" i="24"/>
  <c r="HS8" i="24"/>
  <c r="HR8" i="24"/>
  <c r="HQ8" i="24"/>
  <c r="HP8" i="24"/>
  <c r="HO8" i="24"/>
  <c r="HN8" i="24"/>
  <c r="HZ7" i="24"/>
  <c r="HY7" i="24"/>
  <c r="HX7" i="24"/>
  <c r="HW7" i="24"/>
  <c r="HV7" i="24"/>
  <c r="HU7" i="24"/>
  <c r="HS7" i="24"/>
  <c r="HR7" i="24"/>
  <c r="HQ7" i="24"/>
  <c r="HP7" i="24"/>
  <c r="HO7" i="24"/>
  <c r="HN7" i="24"/>
  <c r="HZ6" i="24"/>
  <c r="HY6" i="24"/>
  <c r="HX6" i="24"/>
  <c r="HW6" i="24"/>
  <c r="HV6" i="24"/>
  <c r="HU6" i="24"/>
  <c r="HS6" i="24"/>
  <c r="HR6" i="24"/>
  <c r="HQ6" i="24"/>
  <c r="HP6" i="24"/>
  <c r="HO6" i="24"/>
  <c r="HN6" i="24"/>
  <c r="HZ5" i="24"/>
  <c r="HY5" i="24"/>
  <c r="HX5" i="24"/>
  <c r="HW5" i="24"/>
  <c r="HV5" i="24"/>
  <c r="HU5" i="24"/>
  <c r="HS5" i="24"/>
  <c r="HR5" i="24"/>
  <c r="HQ5" i="24"/>
  <c r="HP5" i="24"/>
  <c r="HO5" i="24"/>
  <c r="HN5" i="24"/>
  <c r="HZ4" i="24"/>
  <c r="HY4" i="24"/>
  <c r="HX4" i="24"/>
  <c r="HW4" i="24"/>
  <c r="HV4" i="24"/>
  <c r="HU4" i="24"/>
  <c r="HS4" i="24"/>
  <c r="HR4" i="24"/>
  <c r="HQ4" i="24"/>
  <c r="HP4" i="24"/>
  <c r="HO4" i="24"/>
  <c r="HN4" i="24"/>
  <c r="GR15" i="24"/>
  <c r="GQ15" i="24"/>
  <c r="GP15" i="24"/>
  <c r="GO15" i="24"/>
  <c r="GN15" i="24"/>
  <c r="GM15" i="24"/>
  <c r="GK15" i="24"/>
  <c r="GJ15" i="24"/>
  <c r="GI15" i="24"/>
  <c r="GH15" i="24"/>
  <c r="GG15" i="24"/>
  <c r="GF15" i="24"/>
  <c r="GR14" i="24"/>
  <c r="GQ14" i="24"/>
  <c r="GP14" i="24"/>
  <c r="GO14" i="24"/>
  <c r="GN14" i="24"/>
  <c r="GM14" i="24"/>
  <c r="GK14" i="24"/>
  <c r="GJ14" i="24"/>
  <c r="GI14" i="24"/>
  <c r="GH14" i="24"/>
  <c r="GG14" i="24"/>
  <c r="GF14" i="24"/>
  <c r="GR13" i="24"/>
  <c r="GQ13" i="24"/>
  <c r="GP13" i="24"/>
  <c r="GO13" i="24"/>
  <c r="GN13" i="24"/>
  <c r="GM13" i="24"/>
  <c r="GK13" i="24"/>
  <c r="GJ13" i="24"/>
  <c r="GI13" i="24"/>
  <c r="GH13" i="24"/>
  <c r="GG13" i="24"/>
  <c r="GF13" i="24"/>
  <c r="GR12" i="24"/>
  <c r="GQ12" i="24"/>
  <c r="GP12" i="24"/>
  <c r="GO12" i="24"/>
  <c r="GN12" i="24"/>
  <c r="GM12" i="24"/>
  <c r="GK12" i="24"/>
  <c r="GJ12" i="24"/>
  <c r="GI12" i="24"/>
  <c r="GH12" i="24"/>
  <c r="GG12" i="24"/>
  <c r="GF12" i="24"/>
  <c r="GR11" i="24"/>
  <c r="GQ11" i="24"/>
  <c r="GP11" i="24"/>
  <c r="GO11" i="24"/>
  <c r="GN11" i="24"/>
  <c r="GM11" i="24"/>
  <c r="GK11" i="24"/>
  <c r="GJ11" i="24"/>
  <c r="GI11" i="24"/>
  <c r="GH11" i="24"/>
  <c r="GG11" i="24"/>
  <c r="GF11" i="24"/>
  <c r="GR10" i="24"/>
  <c r="GQ10" i="24"/>
  <c r="GP10" i="24"/>
  <c r="GO10" i="24"/>
  <c r="GN10" i="24"/>
  <c r="GM10" i="24"/>
  <c r="GK10" i="24"/>
  <c r="GJ10" i="24"/>
  <c r="GI10" i="24"/>
  <c r="GH10" i="24"/>
  <c r="GG10" i="24"/>
  <c r="GF10" i="24"/>
  <c r="GR9" i="24"/>
  <c r="GQ9" i="24"/>
  <c r="GP9" i="24"/>
  <c r="GO9" i="24"/>
  <c r="GN9" i="24"/>
  <c r="GM9" i="24"/>
  <c r="GK9" i="24"/>
  <c r="GJ9" i="24"/>
  <c r="GI9" i="24"/>
  <c r="GH9" i="24"/>
  <c r="GG9" i="24"/>
  <c r="GF9" i="24"/>
  <c r="GR8" i="24"/>
  <c r="GQ8" i="24"/>
  <c r="GP8" i="24"/>
  <c r="GO8" i="24"/>
  <c r="GN8" i="24"/>
  <c r="GM8" i="24"/>
  <c r="GK8" i="24"/>
  <c r="GJ8" i="24"/>
  <c r="GI8" i="24"/>
  <c r="GH8" i="24"/>
  <c r="GG8" i="24"/>
  <c r="GF8" i="24"/>
  <c r="GR7" i="24"/>
  <c r="GQ7" i="24"/>
  <c r="GP7" i="24"/>
  <c r="GO7" i="24"/>
  <c r="GN7" i="24"/>
  <c r="GM7" i="24"/>
  <c r="GK7" i="24"/>
  <c r="GJ7" i="24"/>
  <c r="GI7" i="24"/>
  <c r="GH7" i="24"/>
  <c r="GG7" i="24"/>
  <c r="GF7" i="24"/>
  <c r="GR6" i="24"/>
  <c r="GQ6" i="24"/>
  <c r="GP6" i="24"/>
  <c r="GO6" i="24"/>
  <c r="GN6" i="24"/>
  <c r="GM6" i="24"/>
  <c r="GK6" i="24"/>
  <c r="GJ6" i="24"/>
  <c r="GI6" i="24"/>
  <c r="GH6" i="24"/>
  <c r="GG6" i="24"/>
  <c r="GF6" i="24"/>
  <c r="GR5" i="24"/>
  <c r="GQ5" i="24"/>
  <c r="GP5" i="24"/>
  <c r="GO5" i="24"/>
  <c r="GN5" i="24"/>
  <c r="GM5" i="24"/>
  <c r="GK5" i="24"/>
  <c r="GJ5" i="24"/>
  <c r="GI5" i="24"/>
  <c r="GH5" i="24"/>
  <c r="GG5" i="24"/>
  <c r="GF5" i="24"/>
  <c r="GR4" i="24"/>
  <c r="GQ4" i="24"/>
  <c r="GP4" i="24"/>
  <c r="GO4" i="24"/>
  <c r="GN4" i="24"/>
  <c r="GM4" i="24"/>
  <c r="GK4" i="24"/>
  <c r="GJ4" i="24"/>
  <c r="GI4" i="24"/>
  <c r="GH4" i="24"/>
  <c r="GG4" i="24"/>
  <c r="GF4" i="24"/>
  <c r="FJ15" i="24"/>
  <c r="FI15" i="24"/>
  <c r="FH15" i="24"/>
  <c r="FG15" i="24"/>
  <c r="FF15" i="24"/>
  <c r="FE15" i="24"/>
  <c r="FC15" i="24"/>
  <c r="FB15" i="24"/>
  <c r="FA15" i="24"/>
  <c r="EZ15" i="24"/>
  <c r="EY15" i="24"/>
  <c r="EX15" i="24"/>
  <c r="FJ14" i="24"/>
  <c r="FI14" i="24"/>
  <c r="FH14" i="24"/>
  <c r="FG14" i="24"/>
  <c r="FF14" i="24"/>
  <c r="FE14" i="24"/>
  <c r="FC14" i="24"/>
  <c r="FB14" i="24"/>
  <c r="FA14" i="24"/>
  <c r="EZ14" i="24"/>
  <c r="EY14" i="24"/>
  <c r="EX14" i="24"/>
  <c r="FJ13" i="24"/>
  <c r="FI13" i="24"/>
  <c r="FH13" i="24"/>
  <c r="FG13" i="24"/>
  <c r="FF13" i="24"/>
  <c r="FE13" i="24"/>
  <c r="FC13" i="24"/>
  <c r="FB13" i="24"/>
  <c r="FA13" i="24"/>
  <c r="EZ13" i="24"/>
  <c r="EY13" i="24"/>
  <c r="EX13" i="24"/>
  <c r="FJ12" i="24"/>
  <c r="FI12" i="24"/>
  <c r="FH12" i="24"/>
  <c r="FG12" i="24"/>
  <c r="FF12" i="24"/>
  <c r="FE12" i="24"/>
  <c r="FC12" i="24"/>
  <c r="FB12" i="24"/>
  <c r="FA12" i="24"/>
  <c r="EZ12" i="24"/>
  <c r="EY12" i="24"/>
  <c r="EX12" i="24"/>
  <c r="FJ11" i="24"/>
  <c r="FI11" i="24"/>
  <c r="FH11" i="24"/>
  <c r="FG11" i="24"/>
  <c r="FF11" i="24"/>
  <c r="FE11" i="24"/>
  <c r="FC11" i="24"/>
  <c r="FB11" i="24"/>
  <c r="FA11" i="24"/>
  <c r="EZ11" i="24"/>
  <c r="EY11" i="24"/>
  <c r="EX11" i="24"/>
  <c r="FJ10" i="24"/>
  <c r="FI10" i="24"/>
  <c r="FH10" i="24"/>
  <c r="FG10" i="24"/>
  <c r="FF10" i="24"/>
  <c r="FE10" i="24"/>
  <c r="FC10" i="24"/>
  <c r="FB10" i="24"/>
  <c r="FA10" i="24"/>
  <c r="EZ10" i="24"/>
  <c r="EY10" i="24"/>
  <c r="EX10" i="24"/>
  <c r="FJ9" i="24"/>
  <c r="FI9" i="24"/>
  <c r="FH9" i="24"/>
  <c r="FG9" i="24"/>
  <c r="FF9" i="24"/>
  <c r="FE9" i="24"/>
  <c r="FC9" i="24"/>
  <c r="FB9" i="24"/>
  <c r="FA9" i="24"/>
  <c r="EZ9" i="24"/>
  <c r="EY9" i="24"/>
  <c r="EX9" i="24"/>
  <c r="FJ8" i="24"/>
  <c r="FI8" i="24"/>
  <c r="FH8" i="24"/>
  <c r="FG8" i="24"/>
  <c r="FF8" i="24"/>
  <c r="FE8" i="24"/>
  <c r="FC8" i="24"/>
  <c r="FB8" i="24"/>
  <c r="FA8" i="24"/>
  <c r="EZ8" i="24"/>
  <c r="EY8" i="24"/>
  <c r="EX8" i="24"/>
  <c r="FJ7" i="24"/>
  <c r="FI7" i="24"/>
  <c r="FH7" i="24"/>
  <c r="FG7" i="24"/>
  <c r="FF7" i="24"/>
  <c r="FE7" i="24"/>
  <c r="FC7" i="24"/>
  <c r="FB7" i="24"/>
  <c r="FA7" i="24"/>
  <c r="EZ7" i="24"/>
  <c r="EY7" i="24"/>
  <c r="EX7" i="24"/>
  <c r="FJ6" i="24"/>
  <c r="FI6" i="24"/>
  <c r="FH6" i="24"/>
  <c r="FG6" i="24"/>
  <c r="FF6" i="24"/>
  <c r="FE6" i="24"/>
  <c r="FC6" i="24"/>
  <c r="FB6" i="24"/>
  <c r="FA6" i="24"/>
  <c r="EZ6" i="24"/>
  <c r="EY6" i="24"/>
  <c r="EX6" i="24"/>
  <c r="FJ5" i="24"/>
  <c r="FI5" i="24"/>
  <c r="FH5" i="24"/>
  <c r="FG5" i="24"/>
  <c r="FF5" i="24"/>
  <c r="FE5" i="24"/>
  <c r="FC5" i="24"/>
  <c r="FB5" i="24"/>
  <c r="FA5" i="24"/>
  <c r="EZ5" i="24"/>
  <c r="EY5" i="24"/>
  <c r="EX5" i="24"/>
  <c r="FJ4" i="24"/>
  <c r="FI4" i="24"/>
  <c r="FH4" i="24"/>
  <c r="FG4" i="24"/>
  <c r="FF4" i="24"/>
  <c r="FE4" i="24"/>
  <c r="FC4" i="24"/>
  <c r="FB4" i="24"/>
  <c r="FA4" i="24"/>
  <c r="EZ4" i="24"/>
  <c r="EY4" i="24"/>
  <c r="EX4" i="24"/>
  <c r="EB15" i="24"/>
  <c r="EA15" i="24"/>
  <c r="DZ15" i="24"/>
  <c r="DY15" i="24"/>
  <c r="DX15" i="24"/>
  <c r="DW15" i="24"/>
  <c r="DU15" i="24"/>
  <c r="DT15" i="24"/>
  <c r="DS15" i="24"/>
  <c r="DR15" i="24"/>
  <c r="DQ15" i="24"/>
  <c r="DP15" i="24"/>
  <c r="EB14" i="24"/>
  <c r="EA14" i="24"/>
  <c r="DZ14" i="24"/>
  <c r="DY14" i="24"/>
  <c r="DX14" i="24"/>
  <c r="DW14" i="24"/>
  <c r="DU14" i="24"/>
  <c r="DT14" i="24"/>
  <c r="DS14" i="24"/>
  <c r="DR14" i="24"/>
  <c r="DQ14" i="24"/>
  <c r="DP14" i="24"/>
  <c r="EB13" i="24"/>
  <c r="EA13" i="24"/>
  <c r="DZ13" i="24"/>
  <c r="DY13" i="24"/>
  <c r="DX13" i="24"/>
  <c r="DW13" i="24"/>
  <c r="DU13" i="24"/>
  <c r="DT13" i="24"/>
  <c r="DS13" i="24"/>
  <c r="DR13" i="24"/>
  <c r="DQ13" i="24"/>
  <c r="DP13" i="24"/>
  <c r="EB12" i="24"/>
  <c r="EA12" i="24"/>
  <c r="DZ12" i="24"/>
  <c r="DY12" i="24"/>
  <c r="DX12" i="24"/>
  <c r="DW12" i="24"/>
  <c r="DU12" i="24"/>
  <c r="DT12" i="24"/>
  <c r="DS12" i="24"/>
  <c r="DR12" i="24"/>
  <c r="DQ12" i="24"/>
  <c r="DP12" i="24"/>
  <c r="EB11" i="24"/>
  <c r="EA11" i="24"/>
  <c r="DZ11" i="24"/>
  <c r="DY11" i="24"/>
  <c r="DX11" i="24"/>
  <c r="DW11" i="24"/>
  <c r="DU11" i="24"/>
  <c r="DT11" i="24"/>
  <c r="DS11" i="24"/>
  <c r="DR11" i="24"/>
  <c r="DQ11" i="24"/>
  <c r="DP11" i="24"/>
  <c r="EB10" i="24"/>
  <c r="EA10" i="24"/>
  <c r="DZ10" i="24"/>
  <c r="DY10" i="24"/>
  <c r="DX10" i="24"/>
  <c r="DW10" i="24"/>
  <c r="DU10" i="24"/>
  <c r="DT10" i="24"/>
  <c r="DS10" i="24"/>
  <c r="DR10" i="24"/>
  <c r="DQ10" i="24"/>
  <c r="DP10" i="24"/>
  <c r="EB9" i="24"/>
  <c r="EA9" i="24"/>
  <c r="DZ9" i="24"/>
  <c r="DY9" i="24"/>
  <c r="DX9" i="24"/>
  <c r="DW9" i="24"/>
  <c r="DU9" i="24"/>
  <c r="DT9" i="24"/>
  <c r="DS9" i="24"/>
  <c r="DR9" i="24"/>
  <c r="DQ9" i="24"/>
  <c r="DP9" i="24"/>
  <c r="EB8" i="24"/>
  <c r="EA8" i="24"/>
  <c r="DZ8" i="24"/>
  <c r="DY8" i="24"/>
  <c r="DX8" i="24"/>
  <c r="DW8" i="24"/>
  <c r="DU8" i="24"/>
  <c r="DT8" i="24"/>
  <c r="DS8" i="24"/>
  <c r="DR8" i="24"/>
  <c r="DQ8" i="24"/>
  <c r="DP8" i="24"/>
  <c r="EB7" i="24"/>
  <c r="EA7" i="24"/>
  <c r="DZ7" i="24"/>
  <c r="DY7" i="24"/>
  <c r="DX7" i="24"/>
  <c r="DW7" i="24"/>
  <c r="DU7" i="24"/>
  <c r="DT7" i="24"/>
  <c r="DS7" i="24"/>
  <c r="DR7" i="24"/>
  <c r="DQ7" i="24"/>
  <c r="DP7" i="24"/>
  <c r="EB6" i="24"/>
  <c r="EA6" i="24"/>
  <c r="DZ6" i="24"/>
  <c r="DY6" i="24"/>
  <c r="DX6" i="24"/>
  <c r="DW6" i="24"/>
  <c r="DU6" i="24"/>
  <c r="DT6" i="24"/>
  <c r="DS6" i="24"/>
  <c r="DR6" i="24"/>
  <c r="DQ6" i="24"/>
  <c r="DP6" i="24"/>
  <c r="EB5" i="24"/>
  <c r="EA5" i="24"/>
  <c r="DZ5" i="24"/>
  <c r="DY5" i="24"/>
  <c r="DX5" i="24"/>
  <c r="DW5" i="24"/>
  <c r="DU5" i="24"/>
  <c r="DT5" i="24"/>
  <c r="DS5" i="24"/>
  <c r="DR5" i="24"/>
  <c r="DQ5" i="24"/>
  <c r="DP5" i="24"/>
  <c r="EB4" i="24"/>
  <c r="EA4" i="24"/>
  <c r="DZ4" i="24"/>
  <c r="DY4" i="24"/>
  <c r="DX4" i="24"/>
  <c r="DW4" i="24"/>
  <c r="DU4" i="24"/>
  <c r="DT4" i="24"/>
  <c r="DS4" i="24"/>
  <c r="DR4" i="24"/>
  <c r="DQ4" i="24"/>
  <c r="DP4" i="24"/>
  <c r="VB18" i="23"/>
  <c r="VA18" i="23"/>
  <c r="UZ18" i="23"/>
  <c r="UY18" i="23"/>
  <c r="UX18" i="23"/>
  <c r="UW18" i="23"/>
  <c r="UU18" i="23"/>
  <c r="UT18" i="23"/>
  <c r="US18" i="23"/>
  <c r="UR18" i="23"/>
  <c r="UQ18" i="23"/>
  <c r="UP18" i="23"/>
  <c r="VB17" i="23"/>
  <c r="VA17" i="23"/>
  <c r="UZ17" i="23"/>
  <c r="UY17" i="23"/>
  <c r="UX17" i="23"/>
  <c r="UW17" i="23"/>
  <c r="UU17" i="23"/>
  <c r="UT17" i="23"/>
  <c r="US17" i="23"/>
  <c r="UR17" i="23"/>
  <c r="UQ17" i="23"/>
  <c r="UP17" i="23"/>
  <c r="VB16" i="23"/>
  <c r="VA16" i="23"/>
  <c r="UZ16" i="23"/>
  <c r="UY16" i="23"/>
  <c r="UX16" i="23"/>
  <c r="UW16" i="23"/>
  <c r="UU16" i="23"/>
  <c r="UT16" i="23"/>
  <c r="US16" i="23"/>
  <c r="UR16" i="23"/>
  <c r="UQ16" i="23"/>
  <c r="UP16" i="23"/>
  <c r="VB15" i="23"/>
  <c r="VA15" i="23"/>
  <c r="UZ15" i="23"/>
  <c r="UY15" i="23"/>
  <c r="UX15" i="23"/>
  <c r="UW15" i="23"/>
  <c r="UU15" i="23"/>
  <c r="UT15" i="23"/>
  <c r="US15" i="23"/>
  <c r="UR15" i="23"/>
  <c r="UQ15" i="23"/>
  <c r="UP15" i="23"/>
  <c r="VB14" i="23"/>
  <c r="VA14" i="23"/>
  <c r="UZ14" i="23"/>
  <c r="UY14" i="23"/>
  <c r="UX14" i="23"/>
  <c r="UW14" i="23"/>
  <c r="UU14" i="23"/>
  <c r="UT14" i="23"/>
  <c r="US14" i="23"/>
  <c r="UR14" i="23"/>
  <c r="UQ14" i="23"/>
  <c r="UP14" i="23"/>
  <c r="VB13" i="23"/>
  <c r="VA13" i="23"/>
  <c r="UZ13" i="23"/>
  <c r="UY13" i="23"/>
  <c r="UX13" i="23"/>
  <c r="UW13" i="23"/>
  <c r="UU13" i="23"/>
  <c r="UT13" i="23"/>
  <c r="US13" i="23"/>
  <c r="UR13" i="23"/>
  <c r="UQ13" i="23"/>
  <c r="UP13" i="23"/>
  <c r="VB12" i="23"/>
  <c r="VA12" i="23"/>
  <c r="UZ12" i="23"/>
  <c r="UY12" i="23"/>
  <c r="UX12" i="23"/>
  <c r="UW12" i="23"/>
  <c r="UU12" i="23"/>
  <c r="UT12" i="23"/>
  <c r="US12" i="23"/>
  <c r="UR12" i="23"/>
  <c r="UQ12" i="23"/>
  <c r="UP12" i="23"/>
  <c r="VB11" i="23"/>
  <c r="VA11" i="23"/>
  <c r="UZ11" i="23"/>
  <c r="UY11" i="23"/>
  <c r="UX11" i="23"/>
  <c r="UW11" i="23"/>
  <c r="UU11" i="23"/>
  <c r="UT11" i="23"/>
  <c r="US11" i="23"/>
  <c r="UR11" i="23"/>
  <c r="UQ11" i="23"/>
  <c r="UP11" i="23"/>
  <c r="VB10" i="23"/>
  <c r="VA10" i="23"/>
  <c r="UZ10" i="23"/>
  <c r="UY10" i="23"/>
  <c r="UX10" i="23"/>
  <c r="UW10" i="23"/>
  <c r="UU10" i="23"/>
  <c r="UT10" i="23"/>
  <c r="US10" i="23"/>
  <c r="UR10" i="23"/>
  <c r="UQ10" i="23"/>
  <c r="UP10" i="23"/>
  <c r="VB9" i="23"/>
  <c r="VA9" i="23"/>
  <c r="UZ9" i="23"/>
  <c r="UY9" i="23"/>
  <c r="UX9" i="23"/>
  <c r="UW9" i="23"/>
  <c r="UU9" i="23"/>
  <c r="UT9" i="23"/>
  <c r="US9" i="23"/>
  <c r="UR9" i="23"/>
  <c r="UQ9" i="23"/>
  <c r="UP9" i="23"/>
  <c r="VB8" i="23"/>
  <c r="VA8" i="23"/>
  <c r="UZ8" i="23"/>
  <c r="UY8" i="23"/>
  <c r="UX8" i="23"/>
  <c r="UW8" i="23"/>
  <c r="UU8" i="23"/>
  <c r="UT8" i="23"/>
  <c r="US8" i="23"/>
  <c r="UR8" i="23"/>
  <c r="UQ8" i="23"/>
  <c r="UP8" i="23"/>
  <c r="VB7" i="23"/>
  <c r="VA7" i="23"/>
  <c r="UZ7" i="23"/>
  <c r="UY7" i="23"/>
  <c r="UX7" i="23"/>
  <c r="UW7" i="23"/>
  <c r="UU7" i="23"/>
  <c r="UT7" i="23"/>
  <c r="US7" i="23"/>
  <c r="UR7" i="23"/>
  <c r="UQ7" i="23"/>
  <c r="UP7" i="23"/>
  <c r="VB6" i="23"/>
  <c r="VA6" i="23"/>
  <c r="UZ6" i="23"/>
  <c r="UY6" i="23"/>
  <c r="UX6" i="23"/>
  <c r="UW6" i="23"/>
  <c r="UU6" i="23"/>
  <c r="UT6" i="23"/>
  <c r="US6" i="23"/>
  <c r="UR6" i="23"/>
  <c r="UQ6" i="23"/>
  <c r="UP6" i="23"/>
  <c r="VB5" i="23"/>
  <c r="VA5" i="23"/>
  <c r="UZ5" i="23"/>
  <c r="UY5" i="23"/>
  <c r="UX5" i="23"/>
  <c r="UW5" i="23"/>
  <c r="UU5" i="23"/>
  <c r="UT5" i="23"/>
  <c r="US5" i="23"/>
  <c r="UR5" i="23"/>
  <c r="UQ5" i="23"/>
  <c r="UP5" i="23"/>
  <c r="VB4" i="23"/>
  <c r="VA4" i="23"/>
  <c r="UZ4" i="23"/>
  <c r="UY4" i="23"/>
  <c r="UX4" i="23"/>
  <c r="UW4" i="23"/>
  <c r="UU4" i="23"/>
  <c r="UT4" i="23"/>
  <c r="US4" i="23"/>
  <c r="UR4" i="23"/>
  <c r="UQ4" i="23"/>
  <c r="UP4" i="23"/>
  <c r="TT18" i="23"/>
  <c r="TS18" i="23"/>
  <c r="TR18" i="23"/>
  <c r="TQ18" i="23"/>
  <c r="TP18" i="23"/>
  <c r="TO18" i="23"/>
  <c r="TM18" i="23"/>
  <c r="TL18" i="23"/>
  <c r="TK18" i="23"/>
  <c r="TJ18" i="23"/>
  <c r="TI18" i="23"/>
  <c r="TH18" i="23"/>
  <c r="TT17" i="23"/>
  <c r="TS17" i="23"/>
  <c r="TR17" i="23"/>
  <c r="TQ17" i="23"/>
  <c r="TP17" i="23"/>
  <c r="TO17" i="23"/>
  <c r="TM17" i="23"/>
  <c r="TL17" i="23"/>
  <c r="TK17" i="23"/>
  <c r="TJ17" i="23"/>
  <c r="TI17" i="23"/>
  <c r="TH17" i="23"/>
  <c r="TT16" i="23"/>
  <c r="TS16" i="23"/>
  <c r="TR16" i="23"/>
  <c r="TQ16" i="23"/>
  <c r="TP16" i="23"/>
  <c r="TO16" i="23"/>
  <c r="TM16" i="23"/>
  <c r="TL16" i="23"/>
  <c r="TK16" i="23"/>
  <c r="TJ16" i="23"/>
  <c r="TI16" i="23"/>
  <c r="TH16" i="23"/>
  <c r="TT15" i="23"/>
  <c r="TS15" i="23"/>
  <c r="TR15" i="23"/>
  <c r="TQ15" i="23"/>
  <c r="TP15" i="23"/>
  <c r="TO15" i="23"/>
  <c r="TM15" i="23"/>
  <c r="TL15" i="23"/>
  <c r="TK15" i="23"/>
  <c r="TJ15" i="23"/>
  <c r="TI15" i="23"/>
  <c r="TH15" i="23"/>
  <c r="TT14" i="23"/>
  <c r="TS14" i="23"/>
  <c r="TR14" i="23"/>
  <c r="TQ14" i="23"/>
  <c r="TP14" i="23"/>
  <c r="TO14" i="23"/>
  <c r="TM14" i="23"/>
  <c r="TL14" i="23"/>
  <c r="TK14" i="23"/>
  <c r="TJ14" i="23"/>
  <c r="TI14" i="23"/>
  <c r="TH14" i="23"/>
  <c r="TT13" i="23"/>
  <c r="TS13" i="23"/>
  <c r="TR13" i="23"/>
  <c r="TQ13" i="23"/>
  <c r="TP13" i="23"/>
  <c r="TO13" i="23"/>
  <c r="TM13" i="23"/>
  <c r="TL13" i="23"/>
  <c r="TK13" i="23"/>
  <c r="TJ13" i="23"/>
  <c r="TI13" i="23"/>
  <c r="TH13" i="23"/>
  <c r="TT12" i="23"/>
  <c r="TS12" i="23"/>
  <c r="TR12" i="23"/>
  <c r="TQ12" i="23"/>
  <c r="TP12" i="23"/>
  <c r="TO12" i="23"/>
  <c r="TM12" i="23"/>
  <c r="TL12" i="23"/>
  <c r="TK12" i="23"/>
  <c r="TJ12" i="23"/>
  <c r="TI12" i="23"/>
  <c r="TH12" i="23"/>
  <c r="TT11" i="23"/>
  <c r="TS11" i="23"/>
  <c r="TR11" i="23"/>
  <c r="TQ11" i="23"/>
  <c r="TP11" i="23"/>
  <c r="TO11" i="23"/>
  <c r="TM11" i="23"/>
  <c r="TL11" i="23"/>
  <c r="TK11" i="23"/>
  <c r="TJ11" i="23"/>
  <c r="TI11" i="23"/>
  <c r="TH11" i="23"/>
  <c r="TT10" i="23"/>
  <c r="TS10" i="23"/>
  <c r="TR10" i="23"/>
  <c r="TQ10" i="23"/>
  <c r="TP10" i="23"/>
  <c r="TO10" i="23"/>
  <c r="TM10" i="23"/>
  <c r="TL10" i="23"/>
  <c r="TK10" i="23"/>
  <c r="TJ10" i="23"/>
  <c r="TI10" i="23"/>
  <c r="TH10" i="23"/>
  <c r="TT9" i="23"/>
  <c r="TS9" i="23"/>
  <c r="TR9" i="23"/>
  <c r="TQ9" i="23"/>
  <c r="TP9" i="23"/>
  <c r="TO9" i="23"/>
  <c r="TM9" i="23"/>
  <c r="TL9" i="23"/>
  <c r="TK9" i="23"/>
  <c r="TJ9" i="23"/>
  <c r="TI9" i="23"/>
  <c r="TH9" i="23"/>
  <c r="TT8" i="23"/>
  <c r="TS8" i="23"/>
  <c r="TR8" i="23"/>
  <c r="TQ8" i="23"/>
  <c r="TP8" i="23"/>
  <c r="TO8" i="23"/>
  <c r="TM8" i="23"/>
  <c r="TL8" i="23"/>
  <c r="TK8" i="23"/>
  <c r="TJ8" i="23"/>
  <c r="TI8" i="23"/>
  <c r="TH8" i="23"/>
  <c r="TT7" i="23"/>
  <c r="TS7" i="23"/>
  <c r="TR7" i="23"/>
  <c r="TQ7" i="23"/>
  <c r="TP7" i="23"/>
  <c r="TO7" i="23"/>
  <c r="TM7" i="23"/>
  <c r="TL7" i="23"/>
  <c r="TK7" i="23"/>
  <c r="TJ7" i="23"/>
  <c r="TI7" i="23"/>
  <c r="TH7" i="23"/>
  <c r="TT6" i="23"/>
  <c r="TS6" i="23"/>
  <c r="TR6" i="23"/>
  <c r="TQ6" i="23"/>
  <c r="TP6" i="23"/>
  <c r="TO6" i="23"/>
  <c r="TM6" i="23"/>
  <c r="TL6" i="23"/>
  <c r="TK6" i="23"/>
  <c r="TJ6" i="23"/>
  <c r="TI6" i="23"/>
  <c r="TH6" i="23"/>
  <c r="TT5" i="23"/>
  <c r="TS5" i="23"/>
  <c r="TR5" i="23"/>
  <c r="TQ5" i="23"/>
  <c r="TP5" i="23"/>
  <c r="TO5" i="23"/>
  <c r="TM5" i="23"/>
  <c r="TL5" i="23"/>
  <c r="TK5" i="23"/>
  <c r="TJ5" i="23"/>
  <c r="TI5" i="23"/>
  <c r="TH5" i="23"/>
  <c r="TT4" i="23"/>
  <c r="TS4" i="23"/>
  <c r="TR4" i="23"/>
  <c r="TQ4" i="23"/>
  <c r="TP4" i="23"/>
  <c r="TO4" i="23"/>
  <c r="TM4" i="23"/>
  <c r="TL4" i="23"/>
  <c r="TK4" i="23"/>
  <c r="TJ4" i="23"/>
  <c r="TI4" i="23"/>
  <c r="TH4" i="23"/>
  <c r="SL18" i="23"/>
  <c r="SK18" i="23"/>
  <c r="SJ18" i="23"/>
  <c r="SI18" i="23"/>
  <c r="SH18" i="23"/>
  <c r="SG18" i="23"/>
  <c r="SE18" i="23"/>
  <c r="SD18" i="23"/>
  <c r="SC18" i="23"/>
  <c r="SB18" i="23"/>
  <c r="SA18" i="23"/>
  <c r="RZ18" i="23"/>
  <c r="SL17" i="23"/>
  <c r="SK17" i="23"/>
  <c r="SJ17" i="23"/>
  <c r="SI17" i="23"/>
  <c r="SH17" i="23"/>
  <c r="SG17" i="23"/>
  <c r="SE17" i="23"/>
  <c r="SD17" i="23"/>
  <c r="SC17" i="23"/>
  <c r="SB17" i="23"/>
  <c r="SA17" i="23"/>
  <c r="RZ17" i="23"/>
  <c r="SL16" i="23"/>
  <c r="SK16" i="23"/>
  <c r="SJ16" i="23"/>
  <c r="SI16" i="23"/>
  <c r="SH16" i="23"/>
  <c r="SG16" i="23"/>
  <c r="SE16" i="23"/>
  <c r="SD16" i="23"/>
  <c r="SC16" i="23"/>
  <c r="SB16" i="23"/>
  <c r="SA16" i="23"/>
  <c r="RZ16" i="23"/>
  <c r="SL15" i="23"/>
  <c r="SK15" i="23"/>
  <c r="SJ15" i="23"/>
  <c r="SI15" i="23"/>
  <c r="SH15" i="23"/>
  <c r="SG15" i="23"/>
  <c r="SE15" i="23"/>
  <c r="SD15" i="23"/>
  <c r="SC15" i="23"/>
  <c r="SB15" i="23"/>
  <c r="SA15" i="23"/>
  <c r="RZ15" i="23"/>
  <c r="SL14" i="23"/>
  <c r="SK14" i="23"/>
  <c r="SJ14" i="23"/>
  <c r="SI14" i="23"/>
  <c r="SH14" i="23"/>
  <c r="SG14" i="23"/>
  <c r="SE14" i="23"/>
  <c r="SD14" i="23"/>
  <c r="SC14" i="23"/>
  <c r="SB14" i="23"/>
  <c r="SA14" i="23"/>
  <c r="RZ14" i="23"/>
  <c r="SL13" i="23"/>
  <c r="SK13" i="23"/>
  <c r="SJ13" i="23"/>
  <c r="SI13" i="23"/>
  <c r="SH13" i="23"/>
  <c r="SG13" i="23"/>
  <c r="SE13" i="23"/>
  <c r="SD13" i="23"/>
  <c r="SC13" i="23"/>
  <c r="SB13" i="23"/>
  <c r="SA13" i="23"/>
  <c r="RZ13" i="23"/>
  <c r="SL12" i="23"/>
  <c r="SK12" i="23"/>
  <c r="SJ12" i="23"/>
  <c r="SI12" i="23"/>
  <c r="SH12" i="23"/>
  <c r="SG12" i="23"/>
  <c r="SE12" i="23"/>
  <c r="SD12" i="23"/>
  <c r="SC12" i="23"/>
  <c r="SB12" i="23"/>
  <c r="SA12" i="23"/>
  <c r="RZ12" i="23"/>
  <c r="SL11" i="23"/>
  <c r="SK11" i="23"/>
  <c r="SJ11" i="23"/>
  <c r="SI11" i="23"/>
  <c r="SH11" i="23"/>
  <c r="SG11" i="23"/>
  <c r="SE11" i="23"/>
  <c r="SD11" i="23"/>
  <c r="SC11" i="23"/>
  <c r="SB11" i="23"/>
  <c r="SA11" i="23"/>
  <c r="RZ11" i="23"/>
  <c r="SL10" i="23"/>
  <c r="SK10" i="23"/>
  <c r="SJ10" i="23"/>
  <c r="SI10" i="23"/>
  <c r="SH10" i="23"/>
  <c r="SG10" i="23"/>
  <c r="SE10" i="23"/>
  <c r="SD10" i="23"/>
  <c r="SC10" i="23"/>
  <c r="SB10" i="23"/>
  <c r="SA10" i="23"/>
  <c r="RZ10" i="23"/>
  <c r="SL9" i="23"/>
  <c r="SK9" i="23"/>
  <c r="SJ9" i="23"/>
  <c r="SI9" i="23"/>
  <c r="SH9" i="23"/>
  <c r="SG9" i="23"/>
  <c r="SE9" i="23"/>
  <c r="SD9" i="23"/>
  <c r="SC9" i="23"/>
  <c r="SB9" i="23"/>
  <c r="SA9" i="23"/>
  <c r="RZ9" i="23"/>
  <c r="SL8" i="23"/>
  <c r="SK8" i="23"/>
  <c r="SJ8" i="23"/>
  <c r="SI8" i="23"/>
  <c r="SH8" i="23"/>
  <c r="SG8" i="23"/>
  <c r="SE8" i="23"/>
  <c r="SD8" i="23"/>
  <c r="SC8" i="23"/>
  <c r="SB8" i="23"/>
  <c r="SA8" i="23"/>
  <c r="RZ8" i="23"/>
  <c r="SL7" i="23"/>
  <c r="SK7" i="23"/>
  <c r="SJ7" i="23"/>
  <c r="SI7" i="23"/>
  <c r="SH7" i="23"/>
  <c r="SG7" i="23"/>
  <c r="SE7" i="23"/>
  <c r="SD7" i="23"/>
  <c r="SC7" i="23"/>
  <c r="SB7" i="23"/>
  <c r="SA7" i="23"/>
  <c r="RZ7" i="23"/>
  <c r="SL6" i="23"/>
  <c r="SK6" i="23"/>
  <c r="SJ6" i="23"/>
  <c r="SI6" i="23"/>
  <c r="SH6" i="23"/>
  <c r="SG6" i="23"/>
  <c r="SE6" i="23"/>
  <c r="SD6" i="23"/>
  <c r="SC6" i="23"/>
  <c r="SB6" i="23"/>
  <c r="SA6" i="23"/>
  <c r="RZ6" i="23"/>
  <c r="SL5" i="23"/>
  <c r="SK5" i="23"/>
  <c r="SJ5" i="23"/>
  <c r="SI5" i="23"/>
  <c r="SH5" i="23"/>
  <c r="SG5" i="23"/>
  <c r="SE5" i="23"/>
  <c r="SD5" i="23"/>
  <c r="SC5" i="23"/>
  <c r="SB5" i="23"/>
  <c r="SA5" i="23"/>
  <c r="RZ5" i="23"/>
  <c r="SL4" i="23"/>
  <c r="SK4" i="23"/>
  <c r="SJ4" i="23"/>
  <c r="SI4" i="23"/>
  <c r="SH4" i="23"/>
  <c r="SG4" i="23"/>
  <c r="SE4" i="23"/>
  <c r="SD4" i="23"/>
  <c r="SC4" i="23"/>
  <c r="SB4" i="23"/>
  <c r="SA4" i="23"/>
  <c r="RZ4" i="23"/>
  <c r="RD18" i="23"/>
  <c r="RC18" i="23"/>
  <c r="RB18" i="23"/>
  <c r="RA18" i="23"/>
  <c r="QZ18" i="23"/>
  <c r="QY18" i="23"/>
  <c r="QW18" i="23"/>
  <c r="QV18" i="23"/>
  <c r="QU18" i="23"/>
  <c r="QT18" i="23"/>
  <c r="QS18" i="23"/>
  <c r="QR18" i="23"/>
  <c r="RD17" i="23"/>
  <c r="RC17" i="23"/>
  <c r="RB17" i="23"/>
  <c r="RA17" i="23"/>
  <c r="QZ17" i="23"/>
  <c r="QY17" i="23"/>
  <c r="QW17" i="23"/>
  <c r="QV17" i="23"/>
  <c r="QU17" i="23"/>
  <c r="QT17" i="23"/>
  <c r="QS17" i="23"/>
  <c r="QR17" i="23"/>
  <c r="RD16" i="23"/>
  <c r="RC16" i="23"/>
  <c r="RB16" i="23"/>
  <c r="RA16" i="23"/>
  <c r="QZ16" i="23"/>
  <c r="QY16" i="23"/>
  <c r="QW16" i="23"/>
  <c r="QV16" i="23"/>
  <c r="QU16" i="23"/>
  <c r="QT16" i="23"/>
  <c r="QS16" i="23"/>
  <c r="QR16" i="23"/>
  <c r="RD15" i="23"/>
  <c r="RC15" i="23"/>
  <c r="RB15" i="23"/>
  <c r="RA15" i="23"/>
  <c r="QZ15" i="23"/>
  <c r="QY15" i="23"/>
  <c r="QW15" i="23"/>
  <c r="QV15" i="23"/>
  <c r="QU15" i="23"/>
  <c r="QT15" i="23"/>
  <c r="QS15" i="23"/>
  <c r="QR15" i="23"/>
  <c r="RD14" i="23"/>
  <c r="RC14" i="23"/>
  <c r="RB14" i="23"/>
  <c r="RA14" i="23"/>
  <c r="QZ14" i="23"/>
  <c r="QY14" i="23"/>
  <c r="QW14" i="23"/>
  <c r="QV14" i="23"/>
  <c r="QU14" i="23"/>
  <c r="QT14" i="23"/>
  <c r="QS14" i="23"/>
  <c r="QR14" i="23"/>
  <c r="RD13" i="23"/>
  <c r="RC13" i="23"/>
  <c r="RB13" i="23"/>
  <c r="RA13" i="23"/>
  <c r="QZ13" i="23"/>
  <c r="QY13" i="23"/>
  <c r="QW13" i="23"/>
  <c r="QV13" i="23"/>
  <c r="QU13" i="23"/>
  <c r="QT13" i="23"/>
  <c r="QS13" i="23"/>
  <c r="QR13" i="23"/>
  <c r="RD12" i="23"/>
  <c r="RC12" i="23"/>
  <c r="RB12" i="23"/>
  <c r="RA12" i="23"/>
  <c r="QZ12" i="23"/>
  <c r="QY12" i="23"/>
  <c r="QW12" i="23"/>
  <c r="QV12" i="23"/>
  <c r="QU12" i="23"/>
  <c r="QT12" i="23"/>
  <c r="QS12" i="23"/>
  <c r="QR12" i="23"/>
  <c r="RD11" i="23"/>
  <c r="RC11" i="23"/>
  <c r="RB11" i="23"/>
  <c r="RA11" i="23"/>
  <c r="QZ11" i="23"/>
  <c r="QY11" i="23"/>
  <c r="QW11" i="23"/>
  <c r="QV11" i="23"/>
  <c r="QU11" i="23"/>
  <c r="QT11" i="23"/>
  <c r="QS11" i="23"/>
  <c r="QR11" i="23"/>
  <c r="RD10" i="23"/>
  <c r="RC10" i="23"/>
  <c r="RB10" i="23"/>
  <c r="RA10" i="23"/>
  <c r="QZ10" i="23"/>
  <c r="QY10" i="23"/>
  <c r="QW10" i="23"/>
  <c r="QV10" i="23"/>
  <c r="QU10" i="23"/>
  <c r="QT10" i="23"/>
  <c r="QS10" i="23"/>
  <c r="QR10" i="23"/>
  <c r="RD9" i="23"/>
  <c r="RC9" i="23"/>
  <c r="RB9" i="23"/>
  <c r="RA9" i="23"/>
  <c r="QZ9" i="23"/>
  <c r="QY9" i="23"/>
  <c r="QW9" i="23"/>
  <c r="QV9" i="23"/>
  <c r="QU9" i="23"/>
  <c r="QT9" i="23"/>
  <c r="QS9" i="23"/>
  <c r="QR9" i="23"/>
  <c r="RD8" i="23"/>
  <c r="RC8" i="23"/>
  <c r="RB8" i="23"/>
  <c r="RA8" i="23"/>
  <c r="QZ8" i="23"/>
  <c r="QY8" i="23"/>
  <c r="QW8" i="23"/>
  <c r="QV8" i="23"/>
  <c r="QU8" i="23"/>
  <c r="QT8" i="23"/>
  <c r="QS8" i="23"/>
  <c r="QR8" i="23"/>
  <c r="RD7" i="23"/>
  <c r="RC7" i="23"/>
  <c r="RB7" i="23"/>
  <c r="RA7" i="23"/>
  <c r="QZ7" i="23"/>
  <c r="QY7" i="23"/>
  <c r="QW7" i="23"/>
  <c r="QV7" i="23"/>
  <c r="QU7" i="23"/>
  <c r="QT7" i="23"/>
  <c r="QS7" i="23"/>
  <c r="QR7" i="23"/>
  <c r="RD6" i="23"/>
  <c r="RC6" i="23"/>
  <c r="RB6" i="23"/>
  <c r="RA6" i="23"/>
  <c r="QZ6" i="23"/>
  <c r="QY6" i="23"/>
  <c r="QW6" i="23"/>
  <c r="QV6" i="23"/>
  <c r="QU6" i="23"/>
  <c r="QT6" i="23"/>
  <c r="QS6" i="23"/>
  <c r="QR6" i="23"/>
  <c r="RD5" i="23"/>
  <c r="RC5" i="23"/>
  <c r="RB5" i="23"/>
  <c r="RA5" i="23"/>
  <c r="QZ5" i="23"/>
  <c r="QY5" i="23"/>
  <c r="QW5" i="23"/>
  <c r="QV5" i="23"/>
  <c r="QU5" i="23"/>
  <c r="QT5" i="23"/>
  <c r="QS5" i="23"/>
  <c r="QR5" i="23"/>
  <c r="RD4" i="23"/>
  <c r="RC4" i="23"/>
  <c r="RB4" i="23"/>
  <c r="RA4" i="23"/>
  <c r="QZ4" i="23"/>
  <c r="QY4" i="23"/>
  <c r="QW4" i="23"/>
  <c r="QV4" i="23"/>
  <c r="QU4" i="23"/>
  <c r="QT4" i="23"/>
  <c r="QS4" i="23"/>
  <c r="QR4" i="23"/>
  <c r="PV18" i="23"/>
  <c r="PU18" i="23"/>
  <c r="PT18" i="23"/>
  <c r="PS18" i="23"/>
  <c r="PR18" i="23"/>
  <c r="PQ18" i="23"/>
  <c r="PO18" i="23"/>
  <c r="PN18" i="23"/>
  <c r="PM18" i="23"/>
  <c r="PL18" i="23"/>
  <c r="PK18" i="23"/>
  <c r="PJ18" i="23"/>
  <c r="PV17" i="23"/>
  <c r="PU17" i="23"/>
  <c r="PT17" i="23"/>
  <c r="PS17" i="23"/>
  <c r="PR17" i="23"/>
  <c r="PQ17" i="23"/>
  <c r="PO17" i="23"/>
  <c r="PN17" i="23"/>
  <c r="PM17" i="23"/>
  <c r="PL17" i="23"/>
  <c r="PK17" i="23"/>
  <c r="PJ17" i="23"/>
  <c r="PV16" i="23"/>
  <c r="PU16" i="23"/>
  <c r="PT16" i="23"/>
  <c r="PS16" i="23"/>
  <c r="PR16" i="23"/>
  <c r="PQ16" i="23"/>
  <c r="PO16" i="23"/>
  <c r="PN16" i="23"/>
  <c r="PM16" i="23"/>
  <c r="PL16" i="23"/>
  <c r="PK16" i="23"/>
  <c r="PJ16" i="23"/>
  <c r="PV15" i="23"/>
  <c r="PU15" i="23"/>
  <c r="PT15" i="23"/>
  <c r="PS15" i="23"/>
  <c r="PR15" i="23"/>
  <c r="PQ15" i="23"/>
  <c r="PO15" i="23"/>
  <c r="PN15" i="23"/>
  <c r="PM15" i="23"/>
  <c r="PL15" i="23"/>
  <c r="PK15" i="23"/>
  <c r="PJ15" i="23"/>
  <c r="PV14" i="23"/>
  <c r="PU14" i="23"/>
  <c r="PT14" i="23"/>
  <c r="PS14" i="23"/>
  <c r="PR14" i="23"/>
  <c r="PQ14" i="23"/>
  <c r="PO14" i="23"/>
  <c r="PN14" i="23"/>
  <c r="PM14" i="23"/>
  <c r="PL14" i="23"/>
  <c r="PK14" i="23"/>
  <c r="PJ14" i="23"/>
  <c r="PV13" i="23"/>
  <c r="PU13" i="23"/>
  <c r="PT13" i="23"/>
  <c r="PS13" i="23"/>
  <c r="PR13" i="23"/>
  <c r="PQ13" i="23"/>
  <c r="PO13" i="23"/>
  <c r="PN13" i="23"/>
  <c r="PM13" i="23"/>
  <c r="PL13" i="23"/>
  <c r="PK13" i="23"/>
  <c r="PJ13" i="23"/>
  <c r="PV12" i="23"/>
  <c r="PU12" i="23"/>
  <c r="PT12" i="23"/>
  <c r="PS12" i="23"/>
  <c r="PR12" i="23"/>
  <c r="PQ12" i="23"/>
  <c r="PO12" i="23"/>
  <c r="PN12" i="23"/>
  <c r="PM12" i="23"/>
  <c r="PL12" i="23"/>
  <c r="PK12" i="23"/>
  <c r="PJ12" i="23"/>
  <c r="PV11" i="23"/>
  <c r="PU11" i="23"/>
  <c r="PT11" i="23"/>
  <c r="PS11" i="23"/>
  <c r="PR11" i="23"/>
  <c r="PQ11" i="23"/>
  <c r="PO11" i="23"/>
  <c r="PN11" i="23"/>
  <c r="PM11" i="23"/>
  <c r="PL11" i="23"/>
  <c r="PK11" i="23"/>
  <c r="PJ11" i="23"/>
  <c r="PV10" i="23"/>
  <c r="PU10" i="23"/>
  <c r="PT10" i="23"/>
  <c r="PS10" i="23"/>
  <c r="PR10" i="23"/>
  <c r="PQ10" i="23"/>
  <c r="PO10" i="23"/>
  <c r="PN10" i="23"/>
  <c r="PM10" i="23"/>
  <c r="PL10" i="23"/>
  <c r="PK10" i="23"/>
  <c r="PJ10" i="23"/>
  <c r="PV9" i="23"/>
  <c r="PU9" i="23"/>
  <c r="PT9" i="23"/>
  <c r="PS9" i="23"/>
  <c r="PR9" i="23"/>
  <c r="PQ9" i="23"/>
  <c r="PO9" i="23"/>
  <c r="PN9" i="23"/>
  <c r="PM9" i="23"/>
  <c r="PL9" i="23"/>
  <c r="PK9" i="23"/>
  <c r="PJ9" i="23"/>
  <c r="PV8" i="23"/>
  <c r="PU8" i="23"/>
  <c r="PT8" i="23"/>
  <c r="PS8" i="23"/>
  <c r="PR8" i="23"/>
  <c r="PQ8" i="23"/>
  <c r="PO8" i="23"/>
  <c r="PN8" i="23"/>
  <c r="PM8" i="23"/>
  <c r="PL8" i="23"/>
  <c r="PK8" i="23"/>
  <c r="PJ8" i="23"/>
  <c r="PV7" i="23"/>
  <c r="PU7" i="23"/>
  <c r="PT7" i="23"/>
  <c r="PS7" i="23"/>
  <c r="PR7" i="23"/>
  <c r="PQ7" i="23"/>
  <c r="PO7" i="23"/>
  <c r="PN7" i="23"/>
  <c r="PM7" i="23"/>
  <c r="PL7" i="23"/>
  <c r="PK7" i="23"/>
  <c r="PJ7" i="23"/>
  <c r="PV6" i="23"/>
  <c r="PU6" i="23"/>
  <c r="PT6" i="23"/>
  <c r="PS6" i="23"/>
  <c r="PR6" i="23"/>
  <c r="PQ6" i="23"/>
  <c r="PO6" i="23"/>
  <c r="PN6" i="23"/>
  <c r="PM6" i="23"/>
  <c r="PL6" i="23"/>
  <c r="PK6" i="23"/>
  <c r="PJ6" i="23"/>
  <c r="PV5" i="23"/>
  <c r="PU5" i="23"/>
  <c r="PT5" i="23"/>
  <c r="PS5" i="23"/>
  <c r="PR5" i="23"/>
  <c r="PQ5" i="23"/>
  <c r="PO5" i="23"/>
  <c r="PN5" i="23"/>
  <c r="PM5" i="23"/>
  <c r="PL5" i="23"/>
  <c r="PK5" i="23"/>
  <c r="PJ5" i="23"/>
  <c r="PV4" i="23"/>
  <c r="PU4" i="23"/>
  <c r="PT4" i="23"/>
  <c r="PS4" i="23"/>
  <c r="PR4" i="23"/>
  <c r="PQ4" i="23"/>
  <c r="PO4" i="23"/>
  <c r="PN4" i="23"/>
  <c r="PM4" i="23"/>
  <c r="PL4" i="23"/>
  <c r="PK4" i="23"/>
  <c r="PJ4" i="23"/>
  <c r="ON18" i="23"/>
  <c r="OM18" i="23"/>
  <c r="OL18" i="23"/>
  <c r="OK18" i="23"/>
  <c r="OJ18" i="23"/>
  <c r="OI18" i="23"/>
  <c r="OG18" i="23"/>
  <c r="OF18" i="23"/>
  <c r="OE18" i="23"/>
  <c r="OD18" i="23"/>
  <c r="OC18" i="23"/>
  <c r="OB18" i="23"/>
  <c r="ON17" i="23"/>
  <c r="OM17" i="23"/>
  <c r="OL17" i="23"/>
  <c r="OK17" i="23"/>
  <c r="OJ17" i="23"/>
  <c r="OI17" i="23"/>
  <c r="OG17" i="23"/>
  <c r="OF17" i="23"/>
  <c r="OE17" i="23"/>
  <c r="OD17" i="23"/>
  <c r="OC17" i="23"/>
  <c r="OB17" i="23"/>
  <c r="ON16" i="23"/>
  <c r="OM16" i="23"/>
  <c r="OL16" i="23"/>
  <c r="OK16" i="23"/>
  <c r="OJ16" i="23"/>
  <c r="OI16" i="23"/>
  <c r="OG16" i="23"/>
  <c r="OF16" i="23"/>
  <c r="OE16" i="23"/>
  <c r="OD16" i="23"/>
  <c r="OC16" i="23"/>
  <c r="OB16" i="23"/>
  <c r="ON15" i="23"/>
  <c r="OM15" i="23"/>
  <c r="OL15" i="23"/>
  <c r="OK15" i="23"/>
  <c r="OJ15" i="23"/>
  <c r="OI15" i="23"/>
  <c r="OG15" i="23"/>
  <c r="OF15" i="23"/>
  <c r="OE15" i="23"/>
  <c r="OD15" i="23"/>
  <c r="OC15" i="23"/>
  <c r="OB15" i="23"/>
  <c r="ON14" i="23"/>
  <c r="OM14" i="23"/>
  <c r="OL14" i="23"/>
  <c r="OK14" i="23"/>
  <c r="OJ14" i="23"/>
  <c r="OI14" i="23"/>
  <c r="OG14" i="23"/>
  <c r="OF14" i="23"/>
  <c r="OE14" i="23"/>
  <c r="OD14" i="23"/>
  <c r="OC14" i="23"/>
  <c r="OB14" i="23"/>
  <c r="ON13" i="23"/>
  <c r="OM13" i="23"/>
  <c r="OL13" i="23"/>
  <c r="OK13" i="23"/>
  <c r="OJ13" i="23"/>
  <c r="OI13" i="23"/>
  <c r="OG13" i="23"/>
  <c r="OF13" i="23"/>
  <c r="OE13" i="23"/>
  <c r="OD13" i="23"/>
  <c r="OC13" i="23"/>
  <c r="OB13" i="23"/>
  <c r="ON12" i="23"/>
  <c r="OM12" i="23"/>
  <c r="OL12" i="23"/>
  <c r="OK12" i="23"/>
  <c r="OJ12" i="23"/>
  <c r="OI12" i="23"/>
  <c r="OG12" i="23"/>
  <c r="OF12" i="23"/>
  <c r="OE12" i="23"/>
  <c r="OD12" i="23"/>
  <c r="OC12" i="23"/>
  <c r="OB12" i="23"/>
  <c r="ON11" i="23"/>
  <c r="OM11" i="23"/>
  <c r="OL11" i="23"/>
  <c r="OK11" i="23"/>
  <c r="OJ11" i="23"/>
  <c r="OI11" i="23"/>
  <c r="OG11" i="23"/>
  <c r="OF11" i="23"/>
  <c r="OE11" i="23"/>
  <c r="OD11" i="23"/>
  <c r="OC11" i="23"/>
  <c r="OB11" i="23"/>
  <c r="ON10" i="23"/>
  <c r="OM10" i="23"/>
  <c r="OL10" i="23"/>
  <c r="OK10" i="23"/>
  <c r="OJ10" i="23"/>
  <c r="OI10" i="23"/>
  <c r="OG10" i="23"/>
  <c r="OF10" i="23"/>
  <c r="OE10" i="23"/>
  <c r="OD10" i="23"/>
  <c r="OC10" i="23"/>
  <c r="OB10" i="23"/>
  <c r="ON9" i="23"/>
  <c r="OM9" i="23"/>
  <c r="OL9" i="23"/>
  <c r="OK9" i="23"/>
  <c r="OJ9" i="23"/>
  <c r="OI9" i="23"/>
  <c r="OG9" i="23"/>
  <c r="OF9" i="23"/>
  <c r="OE9" i="23"/>
  <c r="OD9" i="23"/>
  <c r="OC9" i="23"/>
  <c r="OB9" i="23"/>
  <c r="ON8" i="23"/>
  <c r="OM8" i="23"/>
  <c r="OL8" i="23"/>
  <c r="OK8" i="23"/>
  <c r="OJ8" i="23"/>
  <c r="OI8" i="23"/>
  <c r="OG8" i="23"/>
  <c r="OF8" i="23"/>
  <c r="OE8" i="23"/>
  <c r="OD8" i="23"/>
  <c r="OC8" i="23"/>
  <c r="OB8" i="23"/>
  <c r="ON7" i="23"/>
  <c r="OM7" i="23"/>
  <c r="OL7" i="23"/>
  <c r="OK7" i="23"/>
  <c r="OJ7" i="23"/>
  <c r="OI7" i="23"/>
  <c r="OG7" i="23"/>
  <c r="OF7" i="23"/>
  <c r="OE7" i="23"/>
  <c r="OD7" i="23"/>
  <c r="OC7" i="23"/>
  <c r="OB7" i="23"/>
  <c r="ON6" i="23"/>
  <c r="OM6" i="23"/>
  <c r="OL6" i="23"/>
  <c r="OK6" i="23"/>
  <c r="OJ6" i="23"/>
  <c r="OI6" i="23"/>
  <c r="OG6" i="23"/>
  <c r="OF6" i="23"/>
  <c r="OE6" i="23"/>
  <c r="OD6" i="23"/>
  <c r="OC6" i="23"/>
  <c r="OB6" i="23"/>
  <c r="ON5" i="23"/>
  <c r="OM5" i="23"/>
  <c r="OL5" i="23"/>
  <c r="OK5" i="23"/>
  <c r="OJ5" i="23"/>
  <c r="OI5" i="23"/>
  <c r="OG5" i="23"/>
  <c r="OF5" i="23"/>
  <c r="OE5" i="23"/>
  <c r="OD5" i="23"/>
  <c r="OC5" i="23"/>
  <c r="OB5" i="23"/>
  <c r="ON4" i="23"/>
  <c r="OM4" i="23"/>
  <c r="OL4" i="23"/>
  <c r="OK4" i="23"/>
  <c r="OJ4" i="23"/>
  <c r="OI4" i="23"/>
  <c r="OG4" i="23"/>
  <c r="OF4" i="23"/>
  <c r="OE4" i="23"/>
  <c r="OD4" i="23"/>
  <c r="OC4" i="23"/>
  <c r="OB4" i="23"/>
  <c r="NF18" i="23"/>
  <c r="NE18" i="23"/>
  <c r="ND18" i="23"/>
  <c r="NC18" i="23"/>
  <c r="NB18" i="23"/>
  <c r="NA18" i="23"/>
  <c r="MY18" i="23"/>
  <c r="MX18" i="23"/>
  <c r="MW18" i="23"/>
  <c r="MV18" i="23"/>
  <c r="MU18" i="23"/>
  <c r="MT18" i="23"/>
  <c r="NF17" i="23"/>
  <c r="NE17" i="23"/>
  <c r="ND17" i="23"/>
  <c r="NC17" i="23"/>
  <c r="NB17" i="23"/>
  <c r="NA17" i="23"/>
  <c r="MY17" i="23"/>
  <c r="MX17" i="23"/>
  <c r="MW17" i="23"/>
  <c r="MV17" i="23"/>
  <c r="MU17" i="23"/>
  <c r="MT17" i="23"/>
  <c r="NF16" i="23"/>
  <c r="NE16" i="23"/>
  <c r="ND16" i="23"/>
  <c r="NC16" i="23"/>
  <c r="NB16" i="23"/>
  <c r="NA16" i="23"/>
  <c r="MY16" i="23"/>
  <c r="MX16" i="23"/>
  <c r="MW16" i="23"/>
  <c r="MV16" i="23"/>
  <c r="MU16" i="23"/>
  <c r="MT16" i="23"/>
  <c r="NF15" i="23"/>
  <c r="NE15" i="23"/>
  <c r="ND15" i="23"/>
  <c r="NC15" i="23"/>
  <c r="NB15" i="23"/>
  <c r="NA15" i="23"/>
  <c r="MY15" i="23"/>
  <c r="MX15" i="23"/>
  <c r="MW15" i="23"/>
  <c r="MV15" i="23"/>
  <c r="MU15" i="23"/>
  <c r="MT15" i="23"/>
  <c r="NF14" i="23"/>
  <c r="NE14" i="23"/>
  <c r="ND14" i="23"/>
  <c r="NC14" i="23"/>
  <c r="NB14" i="23"/>
  <c r="NA14" i="23"/>
  <c r="MY14" i="23"/>
  <c r="MX14" i="23"/>
  <c r="MW14" i="23"/>
  <c r="MV14" i="23"/>
  <c r="MU14" i="23"/>
  <c r="MT14" i="23"/>
  <c r="NF13" i="23"/>
  <c r="NE13" i="23"/>
  <c r="ND13" i="23"/>
  <c r="NC13" i="23"/>
  <c r="NB13" i="23"/>
  <c r="NA13" i="23"/>
  <c r="MY13" i="23"/>
  <c r="MX13" i="23"/>
  <c r="MW13" i="23"/>
  <c r="MV13" i="23"/>
  <c r="MU13" i="23"/>
  <c r="MT13" i="23"/>
  <c r="NF12" i="23"/>
  <c r="NE12" i="23"/>
  <c r="ND12" i="23"/>
  <c r="NC12" i="23"/>
  <c r="NB12" i="23"/>
  <c r="NA12" i="23"/>
  <c r="MY12" i="23"/>
  <c r="MX12" i="23"/>
  <c r="MW12" i="23"/>
  <c r="MV12" i="23"/>
  <c r="MU12" i="23"/>
  <c r="MT12" i="23"/>
  <c r="NF11" i="23"/>
  <c r="NE11" i="23"/>
  <c r="ND11" i="23"/>
  <c r="NC11" i="23"/>
  <c r="NB11" i="23"/>
  <c r="NA11" i="23"/>
  <c r="MY11" i="23"/>
  <c r="MX11" i="23"/>
  <c r="MW11" i="23"/>
  <c r="MV11" i="23"/>
  <c r="MU11" i="23"/>
  <c r="MT11" i="23"/>
  <c r="NF10" i="23"/>
  <c r="NE10" i="23"/>
  <c r="ND10" i="23"/>
  <c r="NC10" i="23"/>
  <c r="NB10" i="23"/>
  <c r="NA10" i="23"/>
  <c r="MY10" i="23"/>
  <c r="MX10" i="23"/>
  <c r="MW10" i="23"/>
  <c r="MV10" i="23"/>
  <c r="MU10" i="23"/>
  <c r="MT10" i="23"/>
  <c r="NF9" i="23"/>
  <c r="NE9" i="23"/>
  <c r="ND9" i="23"/>
  <c r="NC9" i="23"/>
  <c r="NB9" i="23"/>
  <c r="NA9" i="23"/>
  <c r="MY9" i="23"/>
  <c r="MX9" i="23"/>
  <c r="MW9" i="23"/>
  <c r="MV9" i="23"/>
  <c r="MU9" i="23"/>
  <c r="MT9" i="23"/>
  <c r="NF8" i="23"/>
  <c r="NE8" i="23"/>
  <c r="ND8" i="23"/>
  <c r="NC8" i="23"/>
  <c r="NB8" i="23"/>
  <c r="NA8" i="23"/>
  <c r="MY8" i="23"/>
  <c r="MX8" i="23"/>
  <c r="MW8" i="23"/>
  <c r="MV8" i="23"/>
  <c r="MU8" i="23"/>
  <c r="MT8" i="23"/>
  <c r="NF7" i="23"/>
  <c r="NE7" i="23"/>
  <c r="ND7" i="23"/>
  <c r="NC7" i="23"/>
  <c r="NB7" i="23"/>
  <c r="NA7" i="23"/>
  <c r="MY7" i="23"/>
  <c r="MX7" i="23"/>
  <c r="MW7" i="23"/>
  <c r="MV7" i="23"/>
  <c r="MU7" i="23"/>
  <c r="MT7" i="23"/>
  <c r="NF6" i="23"/>
  <c r="NE6" i="23"/>
  <c r="ND6" i="23"/>
  <c r="NC6" i="23"/>
  <c r="NB6" i="23"/>
  <c r="NA6" i="23"/>
  <c r="MY6" i="23"/>
  <c r="MX6" i="23"/>
  <c r="MW6" i="23"/>
  <c r="MV6" i="23"/>
  <c r="MU6" i="23"/>
  <c r="MT6" i="23"/>
  <c r="NF5" i="23"/>
  <c r="NE5" i="23"/>
  <c r="ND5" i="23"/>
  <c r="NC5" i="23"/>
  <c r="NB5" i="23"/>
  <c r="NA5" i="23"/>
  <c r="MY5" i="23"/>
  <c r="MX5" i="23"/>
  <c r="MW5" i="23"/>
  <c r="MV5" i="23"/>
  <c r="MU5" i="23"/>
  <c r="MT5" i="23"/>
  <c r="NF4" i="23"/>
  <c r="NE4" i="23"/>
  <c r="ND4" i="23"/>
  <c r="NC4" i="23"/>
  <c r="NB4" i="23"/>
  <c r="NA4" i="23"/>
  <c r="MY4" i="23"/>
  <c r="MX4" i="23"/>
  <c r="MW4" i="23"/>
  <c r="MV4" i="23"/>
  <c r="MU4" i="23"/>
  <c r="MT4" i="23"/>
  <c r="LX18" i="23"/>
  <c r="LW18" i="23"/>
  <c r="LV18" i="23"/>
  <c r="LU18" i="23"/>
  <c r="LT18" i="23"/>
  <c r="LS18" i="23"/>
  <c r="LQ18" i="23"/>
  <c r="LP18" i="23"/>
  <c r="LO18" i="23"/>
  <c r="LN18" i="23"/>
  <c r="LM18" i="23"/>
  <c r="LL18" i="23"/>
  <c r="LX17" i="23"/>
  <c r="LW17" i="23"/>
  <c r="LV17" i="23"/>
  <c r="LU17" i="23"/>
  <c r="LT17" i="23"/>
  <c r="LS17" i="23"/>
  <c r="LQ17" i="23"/>
  <c r="LP17" i="23"/>
  <c r="LO17" i="23"/>
  <c r="LN17" i="23"/>
  <c r="LM17" i="23"/>
  <c r="LL17" i="23"/>
  <c r="LX16" i="23"/>
  <c r="LW16" i="23"/>
  <c r="LV16" i="23"/>
  <c r="LU16" i="23"/>
  <c r="LT16" i="23"/>
  <c r="LS16" i="23"/>
  <c r="LQ16" i="23"/>
  <c r="LP16" i="23"/>
  <c r="LO16" i="23"/>
  <c r="LN16" i="23"/>
  <c r="LM16" i="23"/>
  <c r="LL16" i="23"/>
  <c r="LX15" i="23"/>
  <c r="LW15" i="23"/>
  <c r="LV15" i="23"/>
  <c r="LU15" i="23"/>
  <c r="LT15" i="23"/>
  <c r="LS15" i="23"/>
  <c r="LQ15" i="23"/>
  <c r="LP15" i="23"/>
  <c r="LO15" i="23"/>
  <c r="LN15" i="23"/>
  <c r="LM15" i="23"/>
  <c r="LL15" i="23"/>
  <c r="LX14" i="23"/>
  <c r="LW14" i="23"/>
  <c r="LV14" i="23"/>
  <c r="LU14" i="23"/>
  <c r="LT14" i="23"/>
  <c r="LS14" i="23"/>
  <c r="LQ14" i="23"/>
  <c r="LP14" i="23"/>
  <c r="LO14" i="23"/>
  <c r="LN14" i="23"/>
  <c r="LM14" i="23"/>
  <c r="LL14" i="23"/>
  <c r="LX13" i="23"/>
  <c r="LW13" i="23"/>
  <c r="LV13" i="23"/>
  <c r="LU13" i="23"/>
  <c r="LT13" i="23"/>
  <c r="LS13" i="23"/>
  <c r="LQ13" i="23"/>
  <c r="LP13" i="23"/>
  <c r="LO13" i="23"/>
  <c r="LN13" i="23"/>
  <c r="LM13" i="23"/>
  <c r="LL13" i="23"/>
  <c r="LX12" i="23"/>
  <c r="LW12" i="23"/>
  <c r="LV12" i="23"/>
  <c r="LU12" i="23"/>
  <c r="LT12" i="23"/>
  <c r="LS12" i="23"/>
  <c r="LQ12" i="23"/>
  <c r="LP12" i="23"/>
  <c r="LO12" i="23"/>
  <c r="LN12" i="23"/>
  <c r="LM12" i="23"/>
  <c r="LL12" i="23"/>
  <c r="LX11" i="23"/>
  <c r="LW11" i="23"/>
  <c r="LV11" i="23"/>
  <c r="LU11" i="23"/>
  <c r="LT11" i="23"/>
  <c r="LS11" i="23"/>
  <c r="LQ11" i="23"/>
  <c r="LP11" i="23"/>
  <c r="LO11" i="23"/>
  <c r="LN11" i="23"/>
  <c r="LM11" i="23"/>
  <c r="LL11" i="23"/>
  <c r="LX10" i="23"/>
  <c r="LW10" i="23"/>
  <c r="LV10" i="23"/>
  <c r="LU10" i="23"/>
  <c r="LT10" i="23"/>
  <c r="LS10" i="23"/>
  <c r="LQ10" i="23"/>
  <c r="LP10" i="23"/>
  <c r="LO10" i="23"/>
  <c r="LN10" i="23"/>
  <c r="LM10" i="23"/>
  <c r="LL10" i="23"/>
  <c r="LX9" i="23"/>
  <c r="LW9" i="23"/>
  <c r="LV9" i="23"/>
  <c r="LU9" i="23"/>
  <c r="LT9" i="23"/>
  <c r="LS9" i="23"/>
  <c r="LQ9" i="23"/>
  <c r="LP9" i="23"/>
  <c r="LO9" i="23"/>
  <c r="LN9" i="23"/>
  <c r="LM9" i="23"/>
  <c r="LL9" i="23"/>
  <c r="LX8" i="23"/>
  <c r="LW8" i="23"/>
  <c r="LV8" i="23"/>
  <c r="LU8" i="23"/>
  <c r="LT8" i="23"/>
  <c r="LS8" i="23"/>
  <c r="LQ8" i="23"/>
  <c r="LP8" i="23"/>
  <c r="LO8" i="23"/>
  <c r="LN8" i="23"/>
  <c r="LM8" i="23"/>
  <c r="LL8" i="23"/>
  <c r="LX7" i="23"/>
  <c r="LW7" i="23"/>
  <c r="LV7" i="23"/>
  <c r="LU7" i="23"/>
  <c r="LT7" i="23"/>
  <c r="LS7" i="23"/>
  <c r="LQ7" i="23"/>
  <c r="LP7" i="23"/>
  <c r="LO7" i="23"/>
  <c r="LN7" i="23"/>
  <c r="LM7" i="23"/>
  <c r="LL7" i="23"/>
  <c r="LX6" i="23"/>
  <c r="LW6" i="23"/>
  <c r="LV6" i="23"/>
  <c r="LU6" i="23"/>
  <c r="LT6" i="23"/>
  <c r="LS6" i="23"/>
  <c r="LQ6" i="23"/>
  <c r="LP6" i="23"/>
  <c r="LO6" i="23"/>
  <c r="LN6" i="23"/>
  <c r="LM6" i="23"/>
  <c r="LL6" i="23"/>
  <c r="LX5" i="23"/>
  <c r="LW5" i="23"/>
  <c r="LV5" i="23"/>
  <c r="LU5" i="23"/>
  <c r="LT5" i="23"/>
  <c r="LS5" i="23"/>
  <c r="LQ5" i="23"/>
  <c r="LP5" i="23"/>
  <c r="LO5" i="23"/>
  <c r="LN5" i="23"/>
  <c r="LM5" i="23"/>
  <c r="LL5" i="23"/>
  <c r="LX4" i="23"/>
  <c r="LW4" i="23"/>
  <c r="LV4" i="23"/>
  <c r="LU4" i="23"/>
  <c r="LT4" i="23"/>
  <c r="LS4" i="23"/>
  <c r="LQ4" i="23"/>
  <c r="LP4" i="23"/>
  <c r="LO4" i="23"/>
  <c r="LN4" i="23"/>
  <c r="LM4" i="23"/>
  <c r="LL4" i="23"/>
  <c r="KP18" i="23"/>
  <c r="KO18" i="23"/>
  <c r="KN18" i="23"/>
  <c r="KM18" i="23"/>
  <c r="KL18" i="23"/>
  <c r="KK18" i="23"/>
  <c r="KI18" i="23"/>
  <c r="KH18" i="23"/>
  <c r="KG18" i="23"/>
  <c r="KF18" i="23"/>
  <c r="KE18" i="23"/>
  <c r="KD18" i="23"/>
  <c r="KP17" i="23"/>
  <c r="KO17" i="23"/>
  <c r="KN17" i="23"/>
  <c r="KM17" i="23"/>
  <c r="KL17" i="23"/>
  <c r="KK17" i="23"/>
  <c r="KI17" i="23"/>
  <c r="KH17" i="23"/>
  <c r="KG17" i="23"/>
  <c r="KF17" i="23"/>
  <c r="KE17" i="23"/>
  <c r="KD17" i="23"/>
  <c r="KP16" i="23"/>
  <c r="KO16" i="23"/>
  <c r="KN16" i="23"/>
  <c r="KM16" i="23"/>
  <c r="KL16" i="23"/>
  <c r="KK16" i="23"/>
  <c r="KI16" i="23"/>
  <c r="KH16" i="23"/>
  <c r="KG16" i="23"/>
  <c r="KF16" i="23"/>
  <c r="KE16" i="23"/>
  <c r="KD16" i="23"/>
  <c r="KP15" i="23"/>
  <c r="KO15" i="23"/>
  <c r="KN15" i="23"/>
  <c r="KM15" i="23"/>
  <c r="KL15" i="23"/>
  <c r="KK15" i="23"/>
  <c r="KI15" i="23"/>
  <c r="KH15" i="23"/>
  <c r="KG15" i="23"/>
  <c r="KF15" i="23"/>
  <c r="KE15" i="23"/>
  <c r="KD15" i="23"/>
  <c r="KP14" i="23"/>
  <c r="KO14" i="23"/>
  <c r="KN14" i="23"/>
  <c r="KM14" i="23"/>
  <c r="KL14" i="23"/>
  <c r="KK14" i="23"/>
  <c r="KI14" i="23"/>
  <c r="KH14" i="23"/>
  <c r="KG14" i="23"/>
  <c r="KF14" i="23"/>
  <c r="KE14" i="23"/>
  <c r="KD14" i="23"/>
  <c r="KP13" i="23"/>
  <c r="KO13" i="23"/>
  <c r="KN13" i="23"/>
  <c r="KM13" i="23"/>
  <c r="KL13" i="23"/>
  <c r="KK13" i="23"/>
  <c r="KI13" i="23"/>
  <c r="KH13" i="23"/>
  <c r="KG13" i="23"/>
  <c r="KF13" i="23"/>
  <c r="KE13" i="23"/>
  <c r="KD13" i="23"/>
  <c r="KP12" i="23"/>
  <c r="KO12" i="23"/>
  <c r="KN12" i="23"/>
  <c r="KM12" i="23"/>
  <c r="KL12" i="23"/>
  <c r="KK12" i="23"/>
  <c r="KI12" i="23"/>
  <c r="KH12" i="23"/>
  <c r="KG12" i="23"/>
  <c r="KF12" i="23"/>
  <c r="KE12" i="23"/>
  <c r="KD12" i="23"/>
  <c r="KP11" i="23"/>
  <c r="KO11" i="23"/>
  <c r="KN11" i="23"/>
  <c r="KM11" i="23"/>
  <c r="KL11" i="23"/>
  <c r="KK11" i="23"/>
  <c r="KI11" i="23"/>
  <c r="KH11" i="23"/>
  <c r="KG11" i="23"/>
  <c r="KF11" i="23"/>
  <c r="KE11" i="23"/>
  <c r="KD11" i="23"/>
  <c r="KP10" i="23"/>
  <c r="KO10" i="23"/>
  <c r="KN10" i="23"/>
  <c r="KM10" i="23"/>
  <c r="KL10" i="23"/>
  <c r="KK10" i="23"/>
  <c r="KI10" i="23"/>
  <c r="KH10" i="23"/>
  <c r="KG10" i="23"/>
  <c r="KF10" i="23"/>
  <c r="KE10" i="23"/>
  <c r="KD10" i="23"/>
  <c r="KP9" i="23"/>
  <c r="KO9" i="23"/>
  <c r="KN9" i="23"/>
  <c r="KM9" i="23"/>
  <c r="KL9" i="23"/>
  <c r="KK9" i="23"/>
  <c r="KI9" i="23"/>
  <c r="KH9" i="23"/>
  <c r="KG9" i="23"/>
  <c r="KF9" i="23"/>
  <c r="KE9" i="23"/>
  <c r="KD9" i="23"/>
  <c r="KP8" i="23"/>
  <c r="KO8" i="23"/>
  <c r="KN8" i="23"/>
  <c r="KM8" i="23"/>
  <c r="KL8" i="23"/>
  <c r="KK8" i="23"/>
  <c r="KI8" i="23"/>
  <c r="KH8" i="23"/>
  <c r="KG8" i="23"/>
  <c r="KF8" i="23"/>
  <c r="KE8" i="23"/>
  <c r="KD8" i="23"/>
  <c r="KP7" i="23"/>
  <c r="KO7" i="23"/>
  <c r="KN7" i="23"/>
  <c r="KM7" i="23"/>
  <c r="KL7" i="23"/>
  <c r="KK7" i="23"/>
  <c r="KI7" i="23"/>
  <c r="KH7" i="23"/>
  <c r="KG7" i="23"/>
  <c r="KF7" i="23"/>
  <c r="KE7" i="23"/>
  <c r="KD7" i="23"/>
  <c r="KP6" i="23"/>
  <c r="KO6" i="23"/>
  <c r="KN6" i="23"/>
  <c r="KM6" i="23"/>
  <c r="KL6" i="23"/>
  <c r="KK6" i="23"/>
  <c r="KI6" i="23"/>
  <c r="KH6" i="23"/>
  <c r="KG6" i="23"/>
  <c r="KF6" i="23"/>
  <c r="KE6" i="23"/>
  <c r="KD6" i="23"/>
  <c r="KP5" i="23"/>
  <c r="KO5" i="23"/>
  <c r="KN5" i="23"/>
  <c r="KM5" i="23"/>
  <c r="KL5" i="23"/>
  <c r="KK5" i="23"/>
  <c r="KI5" i="23"/>
  <c r="KH5" i="23"/>
  <c r="KG5" i="23"/>
  <c r="KF5" i="23"/>
  <c r="KE5" i="23"/>
  <c r="KD5" i="23"/>
  <c r="KP4" i="23"/>
  <c r="KO4" i="23"/>
  <c r="KN4" i="23"/>
  <c r="KM4" i="23"/>
  <c r="KL4" i="23"/>
  <c r="KK4" i="23"/>
  <c r="KI4" i="23"/>
  <c r="KH4" i="23"/>
  <c r="KG4" i="23"/>
  <c r="KF4" i="23"/>
  <c r="KE4" i="23"/>
  <c r="KD4" i="23"/>
  <c r="JH18" i="23"/>
  <c r="JG18" i="23"/>
  <c r="JF18" i="23"/>
  <c r="JE18" i="23"/>
  <c r="JD18" i="23"/>
  <c r="JC18" i="23"/>
  <c r="JA18" i="23"/>
  <c r="IZ18" i="23"/>
  <c r="IY18" i="23"/>
  <c r="IX18" i="23"/>
  <c r="IW18" i="23"/>
  <c r="IV18" i="23"/>
  <c r="JH17" i="23"/>
  <c r="JG17" i="23"/>
  <c r="JF17" i="23"/>
  <c r="JE17" i="23"/>
  <c r="JD17" i="23"/>
  <c r="JC17" i="23"/>
  <c r="JA17" i="23"/>
  <c r="IZ17" i="23"/>
  <c r="IY17" i="23"/>
  <c r="IX17" i="23"/>
  <c r="IW17" i="23"/>
  <c r="IV17" i="23"/>
  <c r="JH16" i="23"/>
  <c r="JG16" i="23"/>
  <c r="JF16" i="23"/>
  <c r="JE16" i="23"/>
  <c r="JD16" i="23"/>
  <c r="JC16" i="23"/>
  <c r="JA16" i="23"/>
  <c r="IZ16" i="23"/>
  <c r="IY16" i="23"/>
  <c r="IX16" i="23"/>
  <c r="IW16" i="23"/>
  <c r="IV16" i="23"/>
  <c r="JH15" i="23"/>
  <c r="JG15" i="23"/>
  <c r="JF15" i="23"/>
  <c r="JE15" i="23"/>
  <c r="JD15" i="23"/>
  <c r="JC15" i="23"/>
  <c r="JA15" i="23"/>
  <c r="IZ15" i="23"/>
  <c r="IY15" i="23"/>
  <c r="IX15" i="23"/>
  <c r="IW15" i="23"/>
  <c r="IV15" i="23"/>
  <c r="JH14" i="23"/>
  <c r="JG14" i="23"/>
  <c r="JF14" i="23"/>
  <c r="JE14" i="23"/>
  <c r="JD14" i="23"/>
  <c r="JC14" i="23"/>
  <c r="JA14" i="23"/>
  <c r="IZ14" i="23"/>
  <c r="IY14" i="23"/>
  <c r="IX14" i="23"/>
  <c r="IW14" i="23"/>
  <c r="IV14" i="23"/>
  <c r="JH13" i="23"/>
  <c r="JG13" i="23"/>
  <c r="JF13" i="23"/>
  <c r="JE13" i="23"/>
  <c r="JD13" i="23"/>
  <c r="JC13" i="23"/>
  <c r="JA13" i="23"/>
  <c r="IZ13" i="23"/>
  <c r="IY13" i="23"/>
  <c r="IX13" i="23"/>
  <c r="IW13" i="23"/>
  <c r="IV13" i="23"/>
  <c r="JH12" i="23"/>
  <c r="JG12" i="23"/>
  <c r="JF12" i="23"/>
  <c r="JE12" i="23"/>
  <c r="JD12" i="23"/>
  <c r="JC12" i="23"/>
  <c r="JA12" i="23"/>
  <c r="IZ12" i="23"/>
  <c r="IY12" i="23"/>
  <c r="IX12" i="23"/>
  <c r="IW12" i="23"/>
  <c r="IV12" i="23"/>
  <c r="JH11" i="23"/>
  <c r="JG11" i="23"/>
  <c r="JF11" i="23"/>
  <c r="JE11" i="23"/>
  <c r="JD11" i="23"/>
  <c r="JC11" i="23"/>
  <c r="JA11" i="23"/>
  <c r="IZ11" i="23"/>
  <c r="IY11" i="23"/>
  <c r="IX11" i="23"/>
  <c r="IW11" i="23"/>
  <c r="IV11" i="23"/>
  <c r="JH10" i="23"/>
  <c r="JG10" i="23"/>
  <c r="JF10" i="23"/>
  <c r="JE10" i="23"/>
  <c r="JD10" i="23"/>
  <c r="JC10" i="23"/>
  <c r="JA10" i="23"/>
  <c r="IZ10" i="23"/>
  <c r="IY10" i="23"/>
  <c r="IX10" i="23"/>
  <c r="IW10" i="23"/>
  <c r="IV10" i="23"/>
  <c r="JH9" i="23"/>
  <c r="JG9" i="23"/>
  <c r="JF9" i="23"/>
  <c r="JE9" i="23"/>
  <c r="JD9" i="23"/>
  <c r="JC9" i="23"/>
  <c r="JA9" i="23"/>
  <c r="IZ9" i="23"/>
  <c r="IY9" i="23"/>
  <c r="IX9" i="23"/>
  <c r="IW9" i="23"/>
  <c r="IV9" i="23"/>
  <c r="JH8" i="23"/>
  <c r="JG8" i="23"/>
  <c r="JF8" i="23"/>
  <c r="JE8" i="23"/>
  <c r="JD8" i="23"/>
  <c r="JC8" i="23"/>
  <c r="JA8" i="23"/>
  <c r="IZ8" i="23"/>
  <c r="IY8" i="23"/>
  <c r="IX8" i="23"/>
  <c r="IW8" i="23"/>
  <c r="IV8" i="23"/>
  <c r="JH7" i="23"/>
  <c r="JG7" i="23"/>
  <c r="JF7" i="23"/>
  <c r="JE7" i="23"/>
  <c r="JD7" i="23"/>
  <c r="JC7" i="23"/>
  <c r="JA7" i="23"/>
  <c r="IZ7" i="23"/>
  <c r="IY7" i="23"/>
  <c r="IX7" i="23"/>
  <c r="IW7" i="23"/>
  <c r="IV7" i="23"/>
  <c r="JH6" i="23"/>
  <c r="JG6" i="23"/>
  <c r="JF6" i="23"/>
  <c r="JE6" i="23"/>
  <c r="JD6" i="23"/>
  <c r="JC6" i="23"/>
  <c r="JA6" i="23"/>
  <c r="IZ6" i="23"/>
  <c r="IY6" i="23"/>
  <c r="IX6" i="23"/>
  <c r="IW6" i="23"/>
  <c r="IV6" i="23"/>
  <c r="JH5" i="23"/>
  <c r="JG5" i="23"/>
  <c r="JF5" i="23"/>
  <c r="JE5" i="23"/>
  <c r="JD5" i="23"/>
  <c r="JC5" i="23"/>
  <c r="JA5" i="23"/>
  <c r="IZ5" i="23"/>
  <c r="IY5" i="23"/>
  <c r="IX5" i="23"/>
  <c r="IW5" i="23"/>
  <c r="IV5" i="23"/>
  <c r="JH4" i="23"/>
  <c r="JG4" i="23"/>
  <c r="JF4" i="23"/>
  <c r="JE4" i="23"/>
  <c r="JD4" i="23"/>
  <c r="JC4" i="23"/>
  <c r="JA4" i="23"/>
  <c r="IZ4" i="23"/>
  <c r="IY4" i="23"/>
  <c r="IX4" i="23"/>
  <c r="IW4" i="23"/>
  <c r="IV4" i="23"/>
  <c r="HZ18" i="23"/>
  <c r="HY18" i="23"/>
  <c r="HX18" i="23"/>
  <c r="HW18" i="23"/>
  <c r="HV18" i="23"/>
  <c r="HU18" i="23"/>
  <c r="HS18" i="23"/>
  <c r="HR18" i="23"/>
  <c r="HQ18" i="23"/>
  <c r="HP18" i="23"/>
  <c r="HO18" i="23"/>
  <c r="HN18" i="23"/>
  <c r="HZ17" i="23"/>
  <c r="HY17" i="23"/>
  <c r="HX17" i="23"/>
  <c r="HW17" i="23"/>
  <c r="HV17" i="23"/>
  <c r="HU17" i="23"/>
  <c r="HS17" i="23"/>
  <c r="HR17" i="23"/>
  <c r="HQ17" i="23"/>
  <c r="HP17" i="23"/>
  <c r="HO17" i="23"/>
  <c r="HN17" i="23"/>
  <c r="HZ16" i="23"/>
  <c r="HY16" i="23"/>
  <c r="HX16" i="23"/>
  <c r="HW16" i="23"/>
  <c r="HV16" i="23"/>
  <c r="HU16" i="23"/>
  <c r="HS16" i="23"/>
  <c r="HR16" i="23"/>
  <c r="HQ16" i="23"/>
  <c r="HP16" i="23"/>
  <c r="HO16" i="23"/>
  <c r="HN16" i="23"/>
  <c r="HZ15" i="23"/>
  <c r="HY15" i="23"/>
  <c r="HX15" i="23"/>
  <c r="HW15" i="23"/>
  <c r="HV15" i="23"/>
  <c r="HU15" i="23"/>
  <c r="HS15" i="23"/>
  <c r="HR15" i="23"/>
  <c r="HQ15" i="23"/>
  <c r="HP15" i="23"/>
  <c r="HO15" i="23"/>
  <c r="HN15" i="23"/>
  <c r="HZ14" i="23"/>
  <c r="HY14" i="23"/>
  <c r="HX14" i="23"/>
  <c r="HW14" i="23"/>
  <c r="HV14" i="23"/>
  <c r="HU14" i="23"/>
  <c r="HS14" i="23"/>
  <c r="HR14" i="23"/>
  <c r="HQ14" i="23"/>
  <c r="HP14" i="23"/>
  <c r="HO14" i="23"/>
  <c r="HN14" i="23"/>
  <c r="HZ13" i="23"/>
  <c r="HY13" i="23"/>
  <c r="HX13" i="23"/>
  <c r="HW13" i="23"/>
  <c r="HV13" i="23"/>
  <c r="HU13" i="23"/>
  <c r="HS13" i="23"/>
  <c r="HR13" i="23"/>
  <c r="HQ13" i="23"/>
  <c r="HP13" i="23"/>
  <c r="HO13" i="23"/>
  <c r="HN13" i="23"/>
  <c r="HZ12" i="23"/>
  <c r="HY12" i="23"/>
  <c r="HX12" i="23"/>
  <c r="HW12" i="23"/>
  <c r="HV12" i="23"/>
  <c r="HU12" i="23"/>
  <c r="HS12" i="23"/>
  <c r="HR12" i="23"/>
  <c r="HQ12" i="23"/>
  <c r="HP12" i="23"/>
  <c r="HO12" i="23"/>
  <c r="HN12" i="23"/>
  <c r="HZ11" i="23"/>
  <c r="HY11" i="23"/>
  <c r="HX11" i="23"/>
  <c r="HW11" i="23"/>
  <c r="HV11" i="23"/>
  <c r="HU11" i="23"/>
  <c r="HS11" i="23"/>
  <c r="HR11" i="23"/>
  <c r="HQ11" i="23"/>
  <c r="HP11" i="23"/>
  <c r="HO11" i="23"/>
  <c r="HN11" i="23"/>
  <c r="HZ10" i="23"/>
  <c r="HY10" i="23"/>
  <c r="HX10" i="23"/>
  <c r="HW10" i="23"/>
  <c r="HV10" i="23"/>
  <c r="HU10" i="23"/>
  <c r="HS10" i="23"/>
  <c r="HR10" i="23"/>
  <c r="HQ10" i="23"/>
  <c r="HP10" i="23"/>
  <c r="HO10" i="23"/>
  <c r="HN10" i="23"/>
  <c r="HZ9" i="23"/>
  <c r="HY9" i="23"/>
  <c r="HX9" i="23"/>
  <c r="HW9" i="23"/>
  <c r="HV9" i="23"/>
  <c r="HU9" i="23"/>
  <c r="HS9" i="23"/>
  <c r="HR9" i="23"/>
  <c r="HQ9" i="23"/>
  <c r="HP9" i="23"/>
  <c r="HO9" i="23"/>
  <c r="HN9" i="23"/>
  <c r="HZ8" i="23"/>
  <c r="HY8" i="23"/>
  <c r="HX8" i="23"/>
  <c r="HW8" i="23"/>
  <c r="HV8" i="23"/>
  <c r="HU8" i="23"/>
  <c r="HS8" i="23"/>
  <c r="HR8" i="23"/>
  <c r="HQ8" i="23"/>
  <c r="HP8" i="23"/>
  <c r="HO8" i="23"/>
  <c r="HN8" i="23"/>
  <c r="HZ7" i="23"/>
  <c r="HY7" i="23"/>
  <c r="HX7" i="23"/>
  <c r="HW7" i="23"/>
  <c r="HV7" i="23"/>
  <c r="HU7" i="23"/>
  <c r="HS7" i="23"/>
  <c r="HR7" i="23"/>
  <c r="HQ7" i="23"/>
  <c r="HP7" i="23"/>
  <c r="HO7" i="23"/>
  <c r="HN7" i="23"/>
  <c r="HZ6" i="23"/>
  <c r="HY6" i="23"/>
  <c r="HX6" i="23"/>
  <c r="HW6" i="23"/>
  <c r="HV6" i="23"/>
  <c r="HU6" i="23"/>
  <c r="HS6" i="23"/>
  <c r="HR6" i="23"/>
  <c r="HQ6" i="23"/>
  <c r="HP6" i="23"/>
  <c r="HO6" i="23"/>
  <c r="HN6" i="23"/>
  <c r="HZ5" i="23"/>
  <c r="HY5" i="23"/>
  <c r="HX5" i="23"/>
  <c r="HW5" i="23"/>
  <c r="HV5" i="23"/>
  <c r="HU5" i="23"/>
  <c r="HS5" i="23"/>
  <c r="HR5" i="23"/>
  <c r="HQ5" i="23"/>
  <c r="HP5" i="23"/>
  <c r="HO5" i="23"/>
  <c r="HN5" i="23"/>
  <c r="HZ4" i="23"/>
  <c r="HY4" i="23"/>
  <c r="HX4" i="23"/>
  <c r="HW4" i="23"/>
  <c r="HV4" i="23"/>
  <c r="HU4" i="23"/>
  <c r="HS4" i="23"/>
  <c r="HR4" i="23"/>
  <c r="HQ4" i="23"/>
  <c r="HP4" i="23"/>
  <c r="HO4" i="23"/>
  <c r="HN4" i="23"/>
  <c r="GR18" i="23"/>
  <c r="GQ18" i="23"/>
  <c r="GP18" i="23"/>
  <c r="GO18" i="23"/>
  <c r="GN18" i="23"/>
  <c r="GM18" i="23"/>
  <c r="GK18" i="23"/>
  <c r="GJ18" i="23"/>
  <c r="GI18" i="23"/>
  <c r="GH18" i="23"/>
  <c r="GG18" i="23"/>
  <c r="GF18" i="23"/>
  <c r="GR17" i="23"/>
  <c r="GQ17" i="23"/>
  <c r="GP17" i="23"/>
  <c r="GO17" i="23"/>
  <c r="GN17" i="23"/>
  <c r="GM17" i="23"/>
  <c r="GK17" i="23"/>
  <c r="GJ17" i="23"/>
  <c r="GI17" i="23"/>
  <c r="GH17" i="23"/>
  <c r="GG17" i="23"/>
  <c r="GF17" i="23"/>
  <c r="GR16" i="23"/>
  <c r="GQ16" i="23"/>
  <c r="GP16" i="23"/>
  <c r="GO16" i="23"/>
  <c r="GN16" i="23"/>
  <c r="GM16" i="23"/>
  <c r="GK16" i="23"/>
  <c r="GJ16" i="23"/>
  <c r="GI16" i="23"/>
  <c r="GH16" i="23"/>
  <c r="GG16" i="23"/>
  <c r="GF16" i="23"/>
  <c r="GR15" i="23"/>
  <c r="GQ15" i="23"/>
  <c r="GP15" i="23"/>
  <c r="GO15" i="23"/>
  <c r="GN15" i="23"/>
  <c r="GM15" i="23"/>
  <c r="GK15" i="23"/>
  <c r="GJ15" i="23"/>
  <c r="GI15" i="23"/>
  <c r="GH15" i="23"/>
  <c r="GG15" i="23"/>
  <c r="GF15" i="23"/>
  <c r="GR14" i="23"/>
  <c r="GQ14" i="23"/>
  <c r="GP14" i="23"/>
  <c r="GO14" i="23"/>
  <c r="GN14" i="23"/>
  <c r="GM14" i="23"/>
  <c r="GK14" i="23"/>
  <c r="GJ14" i="23"/>
  <c r="GI14" i="23"/>
  <c r="GH14" i="23"/>
  <c r="GG14" i="23"/>
  <c r="GF14" i="23"/>
  <c r="GR13" i="23"/>
  <c r="GQ13" i="23"/>
  <c r="GP13" i="23"/>
  <c r="GO13" i="23"/>
  <c r="GN13" i="23"/>
  <c r="GM13" i="23"/>
  <c r="GK13" i="23"/>
  <c r="GJ13" i="23"/>
  <c r="GI13" i="23"/>
  <c r="GH13" i="23"/>
  <c r="GG13" i="23"/>
  <c r="GF13" i="23"/>
  <c r="GR12" i="23"/>
  <c r="GQ12" i="23"/>
  <c r="GP12" i="23"/>
  <c r="GO12" i="23"/>
  <c r="GN12" i="23"/>
  <c r="GM12" i="23"/>
  <c r="GK12" i="23"/>
  <c r="GJ12" i="23"/>
  <c r="GI12" i="23"/>
  <c r="GH12" i="23"/>
  <c r="GG12" i="23"/>
  <c r="GF12" i="23"/>
  <c r="GR11" i="23"/>
  <c r="GQ11" i="23"/>
  <c r="GP11" i="23"/>
  <c r="GO11" i="23"/>
  <c r="GN11" i="23"/>
  <c r="GM11" i="23"/>
  <c r="GK11" i="23"/>
  <c r="GJ11" i="23"/>
  <c r="GI11" i="23"/>
  <c r="GH11" i="23"/>
  <c r="GG11" i="23"/>
  <c r="GF11" i="23"/>
  <c r="GR10" i="23"/>
  <c r="GQ10" i="23"/>
  <c r="GP10" i="23"/>
  <c r="GO10" i="23"/>
  <c r="GN10" i="23"/>
  <c r="GM10" i="23"/>
  <c r="GK10" i="23"/>
  <c r="GJ10" i="23"/>
  <c r="GI10" i="23"/>
  <c r="GH10" i="23"/>
  <c r="GG10" i="23"/>
  <c r="GF10" i="23"/>
  <c r="GR9" i="23"/>
  <c r="GQ9" i="23"/>
  <c r="GP9" i="23"/>
  <c r="GO9" i="23"/>
  <c r="GN9" i="23"/>
  <c r="GM9" i="23"/>
  <c r="GK9" i="23"/>
  <c r="GJ9" i="23"/>
  <c r="GI9" i="23"/>
  <c r="GH9" i="23"/>
  <c r="GG9" i="23"/>
  <c r="GF9" i="23"/>
  <c r="GR8" i="23"/>
  <c r="GQ8" i="23"/>
  <c r="GP8" i="23"/>
  <c r="GO8" i="23"/>
  <c r="GN8" i="23"/>
  <c r="GM8" i="23"/>
  <c r="GK8" i="23"/>
  <c r="GJ8" i="23"/>
  <c r="GI8" i="23"/>
  <c r="GH8" i="23"/>
  <c r="GG8" i="23"/>
  <c r="GF8" i="23"/>
  <c r="GR7" i="23"/>
  <c r="GQ7" i="23"/>
  <c r="GP7" i="23"/>
  <c r="GO7" i="23"/>
  <c r="GN7" i="23"/>
  <c r="GM7" i="23"/>
  <c r="GK7" i="23"/>
  <c r="GJ7" i="23"/>
  <c r="GI7" i="23"/>
  <c r="GH7" i="23"/>
  <c r="GG7" i="23"/>
  <c r="GF7" i="23"/>
  <c r="GR6" i="23"/>
  <c r="GQ6" i="23"/>
  <c r="GP6" i="23"/>
  <c r="GO6" i="23"/>
  <c r="GN6" i="23"/>
  <c r="GM6" i="23"/>
  <c r="GK6" i="23"/>
  <c r="GJ6" i="23"/>
  <c r="GI6" i="23"/>
  <c r="GH6" i="23"/>
  <c r="GG6" i="23"/>
  <c r="GF6" i="23"/>
  <c r="GR5" i="23"/>
  <c r="GQ5" i="23"/>
  <c r="GP5" i="23"/>
  <c r="GO5" i="23"/>
  <c r="GN5" i="23"/>
  <c r="GM5" i="23"/>
  <c r="GK5" i="23"/>
  <c r="GJ5" i="23"/>
  <c r="GI5" i="23"/>
  <c r="GH5" i="23"/>
  <c r="GG5" i="23"/>
  <c r="GF5" i="23"/>
  <c r="GR4" i="23"/>
  <c r="GQ4" i="23"/>
  <c r="GP4" i="23"/>
  <c r="GO4" i="23"/>
  <c r="GN4" i="23"/>
  <c r="GM4" i="23"/>
  <c r="GK4" i="23"/>
  <c r="GJ4" i="23"/>
  <c r="GI4" i="23"/>
  <c r="GH4" i="23"/>
  <c r="GG4" i="23"/>
  <c r="GF4" i="23"/>
  <c r="FJ18" i="23"/>
  <c r="FI18" i="23"/>
  <c r="FH18" i="23"/>
  <c r="FG18" i="23"/>
  <c r="FF18" i="23"/>
  <c r="FE18" i="23"/>
  <c r="FC18" i="23"/>
  <c r="FB18" i="23"/>
  <c r="FA18" i="23"/>
  <c r="EZ18" i="23"/>
  <c r="EY18" i="23"/>
  <c r="EX18" i="23"/>
  <c r="FJ17" i="23"/>
  <c r="FI17" i="23"/>
  <c r="FH17" i="23"/>
  <c r="FG17" i="23"/>
  <c r="FF17" i="23"/>
  <c r="FE17" i="23"/>
  <c r="FC17" i="23"/>
  <c r="FB17" i="23"/>
  <c r="FA17" i="23"/>
  <c r="EZ17" i="23"/>
  <c r="EY17" i="23"/>
  <c r="EX17" i="23"/>
  <c r="FJ16" i="23"/>
  <c r="FI16" i="23"/>
  <c r="FH16" i="23"/>
  <c r="FG16" i="23"/>
  <c r="FF16" i="23"/>
  <c r="FE16" i="23"/>
  <c r="FC16" i="23"/>
  <c r="FB16" i="23"/>
  <c r="FA16" i="23"/>
  <c r="EZ16" i="23"/>
  <c r="EY16" i="23"/>
  <c r="EX16" i="23"/>
  <c r="FJ15" i="23"/>
  <c r="FI15" i="23"/>
  <c r="FH15" i="23"/>
  <c r="FG15" i="23"/>
  <c r="FF15" i="23"/>
  <c r="FE15" i="23"/>
  <c r="FC15" i="23"/>
  <c r="FB15" i="23"/>
  <c r="FA15" i="23"/>
  <c r="EZ15" i="23"/>
  <c r="EY15" i="23"/>
  <c r="EX15" i="23"/>
  <c r="FJ14" i="23"/>
  <c r="FI14" i="23"/>
  <c r="FH14" i="23"/>
  <c r="FG14" i="23"/>
  <c r="FF14" i="23"/>
  <c r="FE14" i="23"/>
  <c r="FC14" i="23"/>
  <c r="FB14" i="23"/>
  <c r="FA14" i="23"/>
  <c r="EZ14" i="23"/>
  <c r="EY14" i="23"/>
  <c r="EX14" i="23"/>
  <c r="FJ13" i="23"/>
  <c r="FI13" i="23"/>
  <c r="FH13" i="23"/>
  <c r="FG13" i="23"/>
  <c r="FF13" i="23"/>
  <c r="FE13" i="23"/>
  <c r="FC13" i="23"/>
  <c r="FB13" i="23"/>
  <c r="FA13" i="23"/>
  <c r="EZ13" i="23"/>
  <c r="EY13" i="23"/>
  <c r="EX13" i="23"/>
  <c r="FJ12" i="23"/>
  <c r="FI12" i="23"/>
  <c r="FH12" i="23"/>
  <c r="FG12" i="23"/>
  <c r="FF12" i="23"/>
  <c r="FE12" i="23"/>
  <c r="FC12" i="23"/>
  <c r="FB12" i="23"/>
  <c r="FA12" i="23"/>
  <c r="EZ12" i="23"/>
  <c r="EY12" i="23"/>
  <c r="EX12" i="23"/>
  <c r="FJ11" i="23"/>
  <c r="FI11" i="23"/>
  <c r="FH11" i="23"/>
  <c r="FG11" i="23"/>
  <c r="FF11" i="23"/>
  <c r="FE11" i="23"/>
  <c r="FC11" i="23"/>
  <c r="FB11" i="23"/>
  <c r="FA11" i="23"/>
  <c r="EZ11" i="23"/>
  <c r="EY11" i="23"/>
  <c r="EX11" i="23"/>
  <c r="FJ10" i="23"/>
  <c r="FI10" i="23"/>
  <c r="FH10" i="23"/>
  <c r="FG10" i="23"/>
  <c r="FF10" i="23"/>
  <c r="FE10" i="23"/>
  <c r="FC10" i="23"/>
  <c r="FB10" i="23"/>
  <c r="FA10" i="23"/>
  <c r="EZ10" i="23"/>
  <c r="EY10" i="23"/>
  <c r="EX10" i="23"/>
  <c r="FJ9" i="23"/>
  <c r="FI9" i="23"/>
  <c r="FH9" i="23"/>
  <c r="FG9" i="23"/>
  <c r="FF9" i="23"/>
  <c r="FE9" i="23"/>
  <c r="FC9" i="23"/>
  <c r="FB9" i="23"/>
  <c r="FA9" i="23"/>
  <c r="EZ9" i="23"/>
  <c r="EY9" i="23"/>
  <c r="EX9" i="23"/>
  <c r="FJ8" i="23"/>
  <c r="FI8" i="23"/>
  <c r="FH8" i="23"/>
  <c r="FG8" i="23"/>
  <c r="FF8" i="23"/>
  <c r="FE8" i="23"/>
  <c r="FC8" i="23"/>
  <c r="FB8" i="23"/>
  <c r="FA8" i="23"/>
  <c r="EZ8" i="23"/>
  <c r="EY8" i="23"/>
  <c r="EX8" i="23"/>
  <c r="FJ7" i="23"/>
  <c r="FI7" i="23"/>
  <c r="FH7" i="23"/>
  <c r="FG7" i="23"/>
  <c r="FF7" i="23"/>
  <c r="FE7" i="23"/>
  <c r="FC7" i="23"/>
  <c r="FB7" i="23"/>
  <c r="FA7" i="23"/>
  <c r="EZ7" i="23"/>
  <c r="EY7" i="23"/>
  <c r="EX7" i="23"/>
  <c r="FJ6" i="23"/>
  <c r="FI6" i="23"/>
  <c r="FH6" i="23"/>
  <c r="FG6" i="23"/>
  <c r="FF6" i="23"/>
  <c r="FE6" i="23"/>
  <c r="FC6" i="23"/>
  <c r="FB6" i="23"/>
  <c r="FA6" i="23"/>
  <c r="EZ6" i="23"/>
  <c r="EY6" i="23"/>
  <c r="EX6" i="23"/>
  <c r="FJ5" i="23"/>
  <c r="FI5" i="23"/>
  <c r="FH5" i="23"/>
  <c r="FG5" i="23"/>
  <c r="FF5" i="23"/>
  <c r="FE5" i="23"/>
  <c r="FC5" i="23"/>
  <c r="FB5" i="23"/>
  <c r="FA5" i="23"/>
  <c r="EZ5" i="23"/>
  <c r="EY5" i="23"/>
  <c r="EX5" i="23"/>
  <c r="FJ4" i="23"/>
  <c r="FI4" i="23"/>
  <c r="FH4" i="23"/>
  <c r="FG4" i="23"/>
  <c r="FF4" i="23"/>
  <c r="FE4" i="23"/>
  <c r="FC4" i="23"/>
  <c r="FB4" i="23"/>
  <c r="FA4" i="23"/>
  <c r="EZ4" i="23"/>
  <c r="EY4" i="23"/>
  <c r="EX4" i="23"/>
  <c r="EB18" i="23"/>
  <c r="EA18" i="23"/>
  <c r="DZ18" i="23"/>
  <c r="DY18" i="23"/>
  <c r="DX18" i="23"/>
  <c r="DW18" i="23"/>
  <c r="DU18" i="23"/>
  <c r="DT18" i="23"/>
  <c r="DS18" i="23"/>
  <c r="DR18" i="23"/>
  <c r="DQ18" i="23"/>
  <c r="DP18" i="23"/>
  <c r="EB17" i="23"/>
  <c r="EA17" i="23"/>
  <c r="DZ17" i="23"/>
  <c r="DY17" i="23"/>
  <c r="DX17" i="23"/>
  <c r="DW17" i="23"/>
  <c r="DU17" i="23"/>
  <c r="DT17" i="23"/>
  <c r="DS17" i="23"/>
  <c r="DR17" i="23"/>
  <c r="DQ17" i="23"/>
  <c r="DP17" i="23"/>
  <c r="EB16" i="23"/>
  <c r="EA16" i="23"/>
  <c r="DZ16" i="23"/>
  <c r="DY16" i="23"/>
  <c r="DX16" i="23"/>
  <c r="DW16" i="23"/>
  <c r="DU16" i="23"/>
  <c r="DT16" i="23"/>
  <c r="DS16" i="23"/>
  <c r="DR16" i="23"/>
  <c r="DQ16" i="23"/>
  <c r="DP16" i="23"/>
  <c r="EB15" i="23"/>
  <c r="EA15" i="23"/>
  <c r="DZ15" i="23"/>
  <c r="DY15" i="23"/>
  <c r="DX15" i="23"/>
  <c r="DW15" i="23"/>
  <c r="DU15" i="23"/>
  <c r="DT15" i="23"/>
  <c r="DS15" i="23"/>
  <c r="DR15" i="23"/>
  <c r="DQ15" i="23"/>
  <c r="DP15" i="23"/>
  <c r="EB14" i="23"/>
  <c r="EA14" i="23"/>
  <c r="DZ14" i="23"/>
  <c r="DY14" i="23"/>
  <c r="DX14" i="23"/>
  <c r="DW14" i="23"/>
  <c r="DU14" i="23"/>
  <c r="DT14" i="23"/>
  <c r="DS14" i="23"/>
  <c r="DR14" i="23"/>
  <c r="DQ14" i="23"/>
  <c r="DP14" i="23"/>
  <c r="EB13" i="23"/>
  <c r="EA13" i="23"/>
  <c r="DZ13" i="23"/>
  <c r="DY13" i="23"/>
  <c r="DX13" i="23"/>
  <c r="DW13" i="23"/>
  <c r="DU13" i="23"/>
  <c r="DT13" i="23"/>
  <c r="DS13" i="23"/>
  <c r="DR13" i="23"/>
  <c r="DQ13" i="23"/>
  <c r="DP13" i="23"/>
  <c r="EB12" i="23"/>
  <c r="EA12" i="23"/>
  <c r="DZ12" i="23"/>
  <c r="DY12" i="23"/>
  <c r="DX12" i="23"/>
  <c r="DW12" i="23"/>
  <c r="DU12" i="23"/>
  <c r="DT12" i="23"/>
  <c r="DS12" i="23"/>
  <c r="DR12" i="23"/>
  <c r="DQ12" i="23"/>
  <c r="DP12" i="23"/>
  <c r="EB11" i="23"/>
  <c r="EA11" i="23"/>
  <c r="DZ11" i="23"/>
  <c r="DY11" i="23"/>
  <c r="DX11" i="23"/>
  <c r="DW11" i="23"/>
  <c r="DU11" i="23"/>
  <c r="DT11" i="23"/>
  <c r="DS11" i="23"/>
  <c r="DR11" i="23"/>
  <c r="DQ11" i="23"/>
  <c r="DP11" i="23"/>
  <c r="EB10" i="23"/>
  <c r="EA10" i="23"/>
  <c r="DZ10" i="23"/>
  <c r="DY10" i="23"/>
  <c r="DX10" i="23"/>
  <c r="DW10" i="23"/>
  <c r="DU10" i="23"/>
  <c r="DT10" i="23"/>
  <c r="DS10" i="23"/>
  <c r="DR10" i="23"/>
  <c r="DQ10" i="23"/>
  <c r="DP10" i="23"/>
  <c r="EB9" i="23"/>
  <c r="EA9" i="23"/>
  <c r="DZ9" i="23"/>
  <c r="DY9" i="23"/>
  <c r="DX9" i="23"/>
  <c r="DW9" i="23"/>
  <c r="DU9" i="23"/>
  <c r="DT9" i="23"/>
  <c r="DS9" i="23"/>
  <c r="DR9" i="23"/>
  <c r="DQ9" i="23"/>
  <c r="DP9" i="23"/>
  <c r="EB8" i="23"/>
  <c r="EA8" i="23"/>
  <c r="DZ8" i="23"/>
  <c r="DY8" i="23"/>
  <c r="DX8" i="23"/>
  <c r="DW8" i="23"/>
  <c r="DU8" i="23"/>
  <c r="DT8" i="23"/>
  <c r="DS8" i="23"/>
  <c r="DR8" i="23"/>
  <c r="DQ8" i="23"/>
  <c r="DP8" i="23"/>
  <c r="EB7" i="23"/>
  <c r="EA7" i="23"/>
  <c r="DZ7" i="23"/>
  <c r="DY7" i="23"/>
  <c r="DX7" i="23"/>
  <c r="DW7" i="23"/>
  <c r="DU7" i="23"/>
  <c r="DT7" i="23"/>
  <c r="DS7" i="23"/>
  <c r="DR7" i="23"/>
  <c r="DQ7" i="23"/>
  <c r="DP7" i="23"/>
  <c r="EB6" i="23"/>
  <c r="EA6" i="23"/>
  <c r="DZ6" i="23"/>
  <c r="DY6" i="23"/>
  <c r="DX6" i="23"/>
  <c r="DW6" i="23"/>
  <c r="DU6" i="23"/>
  <c r="DT6" i="23"/>
  <c r="DS6" i="23"/>
  <c r="DR6" i="23"/>
  <c r="DQ6" i="23"/>
  <c r="DP6" i="23"/>
  <c r="EB5" i="23"/>
  <c r="EA5" i="23"/>
  <c r="DZ5" i="23"/>
  <c r="DY5" i="23"/>
  <c r="DX5" i="23"/>
  <c r="DW5" i="23"/>
  <c r="DU5" i="23"/>
  <c r="DT5" i="23"/>
  <c r="DS5" i="23"/>
  <c r="DR5" i="23"/>
  <c r="DQ5" i="23"/>
  <c r="DP5" i="23"/>
  <c r="EB4" i="23"/>
  <c r="EA4" i="23"/>
  <c r="DZ4" i="23"/>
  <c r="DY4" i="23"/>
  <c r="DX4" i="23"/>
  <c r="DW4" i="23"/>
  <c r="DU4" i="23"/>
  <c r="DT4" i="23"/>
  <c r="DS4" i="23"/>
  <c r="DR4" i="23"/>
  <c r="DQ4" i="23"/>
  <c r="DP4" i="23"/>
  <c r="VJ14" i="22"/>
  <c r="VI14" i="22"/>
  <c r="VH14" i="22"/>
  <c r="VG14" i="22"/>
  <c r="VF14" i="22"/>
  <c r="VE14" i="22"/>
  <c r="VC14" i="22"/>
  <c r="VB14" i="22"/>
  <c r="VA14" i="22"/>
  <c r="UZ14" i="22"/>
  <c r="UY14" i="22"/>
  <c r="UX14" i="22"/>
  <c r="VJ17" i="22"/>
  <c r="VI17" i="22"/>
  <c r="VH17" i="22"/>
  <c r="VG17" i="22"/>
  <c r="VF17" i="22"/>
  <c r="VE17" i="22"/>
  <c r="VC17" i="22"/>
  <c r="VB17" i="22"/>
  <c r="VA17" i="22"/>
  <c r="UZ17" i="22"/>
  <c r="UY17" i="22"/>
  <c r="UX17" i="22"/>
  <c r="VJ16" i="22"/>
  <c r="VI16" i="22"/>
  <c r="VH16" i="22"/>
  <c r="VG16" i="22"/>
  <c r="VF16" i="22"/>
  <c r="VE16" i="22"/>
  <c r="VC16" i="22"/>
  <c r="VB16" i="22"/>
  <c r="VA16" i="22"/>
  <c r="UZ16" i="22"/>
  <c r="UY16" i="22"/>
  <c r="UX16" i="22"/>
  <c r="VJ12" i="22"/>
  <c r="VI12" i="22"/>
  <c r="VH12" i="22"/>
  <c r="VG12" i="22"/>
  <c r="VF12" i="22"/>
  <c r="VE12" i="22"/>
  <c r="VC12" i="22"/>
  <c r="VB12" i="22"/>
  <c r="VA12" i="22"/>
  <c r="UZ12" i="22"/>
  <c r="UY12" i="22"/>
  <c r="UX12" i="22"/>
  <c r="VJ13" i="22"/>
  <c r="VI13" i="22"/>
  <c r="VH13" i="22"/>
  <c r="VG13" i="22"/>
  <c r="VF13" i="22"/>
  <c r="VE13" i="22"/>
  <c r="VC13" i="22"/>
  <c r="VB13" i="22"/>
  <c r="VA13" i="22"/>
  <c r="UZ13" i="22"/>
  <c r="UY13" i="22"/>
  <c r="UX13" i="22"/>
  <c r="VJ15" i="22"/>
  <c r="VI15" i="22"/>
  <c r="VH15" i="22"/>
  <c r="VG15" i="22"/>
  <c r="VF15" i="22"/>
  <c r="VE15" i="22"/>
  <c r="VC15" i="22"/>
  <c r="VB15" i="22"/>
  <c r="VA15" i="22"/>
  <c r="UZ15" i="22"/>
  <c r="UY15" i="22"/>
  <c r="UX15" i="22"/>
  <c r="VJ10" i="22"/>
  <c r="VI10" i="22"/>
  <c r="VH10" i="22"/>
  <c r="VG10" i="22"/>
  <c r="VF10" i="22"/>
  <c r="VE10" i="22"/>
  <c r="VC10" i="22"/>
  <c r="VB10" i="22"/>
  <c r="VA10" i="22"/>
  <c r="UZ10" i="22"/>
  <c r="UY10" i="22"/>
  <c r="UX10" i="22"/>
  <c r="VJ9" i="22"/>
  <c r="VI9" i="22"/>
  <c r="VH9" i="22"/>
  <c r="VG9" i="22"/>
  <c r="VF9" i="22"/>
  <c r="VE9" i="22"/>
  <c r="VC9" i="22"/>
  <c r="VB9" i="22"/>
  <c r="VA9" i="22"/>
  <c r="UZ9" i="22"/>
  <c r="UY9" i="22"/>
  <c r="UX9" i="22"/>
  <c r="VJ11" i="22"/>
  <c r="VI11" i="22"/>
  <c r="VH11" i="22"/>
  <c r="VG11" i="22"/>
  <c r="VF11" i="22"/>
  <c r="VE11" i="22"/>
  <c r="VC11" i="22"/>
  <c r="VB11" i="22"/>
  <c r="VA11" i="22"/>
  <c r="UZ11" i="22"/>
  <c r="UY11" i="22"/>
  <c r="UX11" i="22"/>
  <c r="VJ8" i="22"/>
  <c r="VI8" i="22"/>
  <c r="VH8" i="22"/>
  <c r="VG8" i="22"/>
  <c r="VF8" i="22"/>
  <c r="VE8" i="22"/>
  <c r="VC8" i="22"/>
  <c r="VB8" i="22"/>
  <c r="VA8" i="22"/>
  <c r="UZ8" i="22"/>
  <c r="UY8" i="22"/>
  <c r="UX8" i="22"/>
  <c r="VJ7" i="22"/>
  <c r="VI7" i="22"/>
  <c r="VH7" i="22"/>
  <c r="VG7" i="22"/>
  <c r="VF7" i="22"/>
  <c r="VE7" i="22"/>
  <c r="VC7" i="22"/>
  <c r="VB7" i="22"/>
  <c r="VA7" i="22"/>
  <c r="UZ7" i="22"/>
  <c r="UY7" i="22"/>
  <c r="UX7" i="22"/>
  <c r="VJ6" i="22"/>
  <c r="VI6" i="22"/>
  <c r="VH6" i="22"/>
  <c r="VG6" i="22"/>
  <c r="VF6" i="22"/>
  <c r="VE6" i="22"/>
  <c r="VC6" i="22"/>
  <c r="VB6" i="22"/>
  <c r="VA6" i="22"/>
  <c r="UZ6" i="22"/>
  <c r="UY6" i="22"/>
  <c r="UX6" i="22"/>
  <c r="VJ5" i="22"/>
  <c r="VI5" i="22"/>
  <c r="VH5" i="22"/>
  <c r="VG5" i="22"/>
  <c r="VF5" i="22"/>
  <c r="VE5" i="22"/>
  <c r="VC5" i="22"/>
  <c r="VB5" i="22"/>
  <c r="VA5" i="22"/>
  <c r="UZ5" i="22"/>
  <c r="UY5" i="22"/>
  <c r="UX5" i="22"/>
  <c r="VJ4" i="22"/>
  <c r="VI4" i="22"/>
  <c r="VH4" i="22"/>
  <c r="VG4" i="22"/>
  <c r="VF4" i="22"/>
  <c r="VE4" i="22"/>
  <c r="VC4" i="22"/>
  <c r="VB4" i="22"/>
  <c r="VA4" i="22"/>
  <c r="UZ4" i="22"/>
  <c r="UY4" i="22"/>
  <c r="UX4" i="22"/>
  <c r="UB14" i="22"/>
  <c r="UA14" i="22"/>
  <c r="TZ14" i="22"/>
  <c r="TY14" i="22"/>
  <c r="TX14" i="22"/>
  <c r="TW14" i="22"/>
  <c r="TU14" i="22"/>
  <c r="TT14" i="22"/>
  <c r="TS14" i="22"/>
  <c r="TR14" i="22"/>
  <c r="TQ14" i="22"/>
  <c r="TP14" i="22"/>
  <c r="UB17" i="22"/>
  <c r="UA17" i="22"/>
  <c r="TZ17" i="22"/>
  <c r="TY17" i="22"/>
  <c r="TX17" i="22"/>
  <c r="TW17" i="22"/>
  <c r="TU17" i="22"/>
  <c r="TT17" i="22"/>
  <c r="TS17" i="22"/>
  <c r="TR17" i="22"/>
  <c r="TQ17" i="22"/>
  <c r="TP17" i="22"/>
  <c r="UB16" i="22"/>
  <c r="UA16" i="22"/>
  <c r="TZ16" i="22"/>
  <c r="TY16" i="22"/>
  <c r="TX16" i="22"/>
  <c r="TW16" i="22"/>
  <c r="TU16" i="22"/>
  <c r="TT16" i="22"/>
  <c r="TS16" i="22"/>
  <c r="TR16" i="22"/>
  <c r="TQ16" i="22"/>
  <c r="TP16" i="22"/>
  <c r="UB12" i="22"/>
  <c r="UA12" i="22"/>
  <c r="TZ12" i="22"/>
  <c r="TY12" i="22"/>
  <c r="TX12" i="22"/>
  <c r="TW12" i="22"/>
  <c r="TU12" i="22"/>
  <c r="TT12" i="22"/>
  <c r="TS12" i="22"/>
  <c r="TR12" i="22"/>
  <c r="TQ12" i="22"/>
  <c r="TP12" i="22"/>
  <c r="UB13" i="22"/>
  <c r="UA13" i="22"/>
  <c r="TZ13" i="22"/>
  <c r="TY13" i="22"/>
  <c r="TX13" i="22"/>
  <c r="TW13" i="22"/>
  <c r="TU13" i="22"/>
  <c r="TT13" i="22"/>
  <c r="TS13" i="22"/>
  <c r="TR13" i="22"/>
  <c r="TQ13" i="22"/>
  <c r="TP13" i="22"/>
  <c r="UB15" i="22"/>
  <c r="UA15" i="22"/>
  <c r="TZ15" i="22"/>
  <c r="TY15" i="22"/>
  <c r="TX15" i="22"/>
  <c r="TW15" i="22"/>
  <c r="TU15" i="22"/>
  <c r="TT15" i="22"/>
  <c r="TS15" i="22"/>
  <c r="TR15" i="22"/>
  <c r="TQ15" i="22"/>
  <c r="TP15" i="22"/>
  <c r="UB10" i="22"/>
  <c r="UA10" i="22"/>
  <c r="TZ10" i="22"/>
  <c r="TY10" i="22"/>
  <c r="TX10" i="22"/>
  <c r="TW10" i="22"/>
  <c r="TU10" i="22"/>
  <c r="TT10" i="22"/>
  <c r="TS10" i="22"/>
  <c r="TR10" i="22"/>
  <c r="TQ10" i="22"/>
  <c r="TP10" i="22"/>
  <c r="UB9" i="22"/>
  <c r="UA9" i="22"/>
  <c r="TZ9" i="22"/>
  <c r="TY9" i="22"/>
  <c r="TX9" i="22"/>
  <c r="TW9" i="22"/>
  <c r="TU9" i="22"/>
  <c r="TT9" i="22"/>
  <c r="TS9" i="22"/>
  <c r="TR9" i="22"/>
  <c r="TQ9" i="22"/>
  <c r="TP9" i="22"/>
  <c r="UB11" i="22"/>
  <c r="UA11" i="22"/>
  <c r="TZ11" i="22"/>
  <c r="TY11" i="22"/>
  <c r="TX11" i="22"/>
  <c r="TW11" i="22"/>
  <c r="TU11" i="22"/>
  <c r="TT11" i="22"/>
  <c r="TS11" i="22"/>
  <c r="TR11" i="22"/>
  <c r="TQ11" i="22"/>
  <c r="TP11" i="22"/>
  <c r="UB8" i="22"/>
  <c r="UA8" i="22"/>
  <c r="TZ8" i="22"/>
  <c r="TY8" i="22"/>
  <c r="TX8" i="22"/>
  <c r="TW8" i="22"/>
  <c r="TU8" i="22"/>
  <c r="TT8" i="22"/>
  <c r="TS8" i="22"/>
  <c r="TR8" i="22"/>
  <c r="TQ8" i="22"/>
  <c r="TP8" i="22"/>
  <c r="UB7" i="22"/>
  <c r="UA7" i="22"/>
  <c r="TZ7" i="22"/>
  <c r="TY7" i="22"/>
  <c r="TX7" i="22"/>
  <c r="TW7" i="22"/>
  <c r="TU7" i="22"/>
  <c r="TT7" i="22"/>
  <c r="TS7" i="22"/>
  <c r="TR7" i="22"/>
  <c r="TQ7" i="22"/>
  <c r="TP7" i="22"/>
  <c r="UB6" i="22"/>
  <c r="UA6" i="22"/>
  <c r="TZ6" i="22"/>
  <c r="TY6" i="22"/>
  <c r="TX6" i="22"/>
  <c r="TW6" i="22"/>
  <c r="TU6" i="22"/>
  <c r="TT6" i="22"/>
  <c r="TS6" i="22"/>
  <c r="TR6" i="22"/>
  <c r="TQ6" i="22"/>
  <c r="TP6" i="22"/>
  <c r="UB5" i="22"/>
  <c r="UA5" i="22"/>
  <c r="TZ5" i="22"/>
  <c r="TY5" i="22"/>
  <c r="TX5" i="22"/>
  <c r="TW5" i="22"/>
  <c r="TU5" i="22"/>
  <c r="TT5" i="22"/>
  <c r="TS5" i="22"/>
  <c r="TR5" i="22"/>
  <c r="TQ5" i="22"/>
  <c r="TP5" i="22"/>
  <c r="UB4" i="22"/>
  <c r="UA4" i="22"/>
  <c r="TZ4" i="22"/>
  <c r="TY4" i="22"/>
  <c r="TX4" i="22"/>
  <c r="TW4" i="22"/>
  <c r="TU4" i="22"/>
  <c r="TT4" i="22"/>
  <c r="TS4" i="22"/>
  <c r="TR4" i="22"/>
  <c r="TQ4" i="22"/>
  <c r="TP4" i="22"/>
  <c r="ST14" i="22"/>
  <c r="SS14" i="22"/>
  <c r="SR14" i="22"/>
  <c r="SQ14" i="22"/>
  <c r="SP14" i="22"/>
  <c r="SO14" i="22"/>
  <c r="SM14" i="22"/>
  <c r="SL14" i="22"/>
  <c r="SK14" i="22"/>
  <c r="SJ14" i="22"/>
  <c r="SI14" i="22"/>
  <c r="SH14" i="22"/>
  <c r="ST17" i="22"/>
  <c r="SS17" i="22"/>
  <c r="SR17" i="22"/>
  <c r="SQ17" i="22"/>
  <c r="SP17" i="22"/>
  <c r="SO17" i="22"/>
  <c r="SM17" i="22"/>
  <c r="SL17" i="22"/>
  <c r="SK17" i="22"/>
  <c r="SJ17" i="22"/>
  <c r="SI17" i="22"/>
  <c r="SH17" i="22"/>
  <c r="ST16" i="22"/>
  <c r="SS16" i="22"/>
  <c r="SR16" i="22"/>
  <c r="SQ16" i="22"/>
  <c r="SP16" i="22"/>
  <c r="SO16" i="22"/>
  <c r="SM16" i="22"/>
  <c r="SL16" i="22"/>
  <c r="SK16" i="22"/>
  <c r="SJ16" i="22"/>
  <c r="SI16" i="22"/>
  <c r="SH16" i="22"/>
  <c r="ST12" i="22"/>
  <c r="SS12" i="22"/>
  <c r="SR12" i="22"/>
  <c r="SQ12" i="22"/>
  <c r="SP12" i="22"/>
  <c r="SO12" i="22"/>
  <c r="SM12" i="22"/>
  <c r="SL12" i="22"/>
  <c r="SK12" i="22"/>
  <c r="SJ12" i="22"/>
  <c r="SI12" i="22"/>
  <c r="SH12" i="22"/>
  <c r="ST13" i="22"/>
  <c r="SS13" i="22"/>
  <c r="SR13" i="22"/>
  <c r="SQ13" i="22"/>
  <c r="SP13" i="22"/>
  <c r="SO13" i="22"/>
  <c r="SM13" i="22"/>
  <c r="SL13" i="22"/>
  <c r="SK13" i="22"/>
  <c r="SJ13" i="22"/>
  <c r="SI13" i="22"/>
  <c r="SH13" i="22"/>
  <c r="ST15" i="22"/>
  <c r="SS15" i="22"/>
  <c r="SR15" i="22"/>
  <c r="SQ15" i="22"/>
  <c r="SP15" i="22"/>
  <c r="SO15" i="22"/>
  <c r="SM15" i="22"/>
  <c r="SL15" i="22"/>
  <c r="SK15" i="22"/>
  <c r="SJ15" i="22"/>
  <c r="SI15" i="22"/>
  <c r="SH15" i="22"/>
  <c r="ST10" i="22"/>
  <c r="SS10" i="22"/>
  <c r="SR10" i="22"/>
  <c r="SQ10" i="22"/>
  <c r="SP10" i="22"/>
  <c r="SO10" i="22"/>
  <c r="SM10" i="22"/>
  <c r="SL10" i="22"/>
  <c r="SK10" i="22"/>
  <c r="SJ10" i="22"/>
  <c r="SI10" i="22"/>
  <c r="SH10" i="22"/>
  <c r="ST9" i="22"/>
  <c r="SS9" i="22"/>
  <c r="SR9" i="22"/>
  <c r="SQ9" i="22"/>
  <c r="SP9" i="22"/>
  <c r="SO9" i="22"/>
  <c r="SM9" i="22"/>
  <c r="SL9" i="22"/>
  <c r="SK9" i="22"/>
  <c r="SJ9" i="22"/>
  <c r="SI9" i="22"/>
  <c r="SH9" i="22"/>
  <c r="ST11" i="22"/>
  <c r="SS11" i="22"/>
  <c r="SR11" i="22"/>
  <c r="SQ11" i="22"/>
  <c r="SP11" i="22"/>
  <c r="SO11" i="22"/>
  <c r="SM11" i="22"/>
  <c r="SL11" i="22"/>
  <c r="SK11" i="22"/>
  <c r="SJ11" i="22"/>
  <c r="SI11" i="22"/>
  <c r="SH11" i="22"/>
  <c r="ST8" i="22"/>
  <c r="SS8" i="22"/>
  <c r="SR8" i="22"/>
  <c r="SQ8" i="22"/>
  <c r="SP8" i="22"/>
  <c r="SO8" i="22"/>
  <c r="SM8" i="22"/>
  <c r="SL8" i="22"/>
  <c r="SK8" i="22"/>
  <c r="SJ8" i="22"/>
  <c r="SI8" i="22"/>
  <c r="SH8" i="22"/>
  <c r="ST7" i="22"/>
  <c r="SS7" i="22"/>
  <c r="SR7" i="22"/>
  <c r="SQ7" i="22"/>
  <c r="SP7" i="22"/>
  <c r="SO7" i="22"/>
  <c r="SM7" i="22"/>
  <c r="SL7" i="22"/>
  <c r="SK7" i="22"/>
  <c r="SJ7" i="22"/>
  <c r="SI7" i="22"/>
  <c r="SH7" i="22"/>
  <c r="ST6" i="22"/>
  <c r="SS6" i="22"/>
  <c r="SR6" i="22"/>
  <c r="SQ6" i="22"/>
  <c r="SP6" i="22"/>
  <c r="SO6" i="22"/>
  <c r="SM6" i="22"/>
  <c r="SL6" i="22"/>
  <c r="SK6" i="22"/>
  <c r="SJ6" i="22"/>
  <c r="SI6" i="22"/>
  <c r="SH6" i="22"/>
  <c r="ST5" i="22"/>
  <c r="SS5" i="22"/>
  <c r="SR5" i="22"/>
  <c r="SQ5" i="22"/>
  <c r="SP5" i="22"/>
  <c r="SO5" i="22"/>
  <c r="SM5" i="22"/>
  <c r="SL5" i="22"/>
  <c r="SK5" i="22"/>
  <c r="SJ5" i="22"/>
  <c r="SI5" i="22"/>
  <c r="SH5" i="22"/>
  <c r="ST4" i="22"/>
  <c r="SS4" i="22"/>
  <c r="SR4" i="22"/>
  <c r="SQ4" i="22"/>
  <c r="SP4" i="22"/>
  <c r="SO4" i="22"/>
  <c r="SM4" i="22"/>
  <c r="SL4" i="22"/>
  <c r="SK4" i="22"/>
  <c r="SJ4" i="22"/>
  <c r="SI4" i="22"/>
  <c r="SH4" i="22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7" i="22"/>
  <c r="RK17" i="22"/>
  <c r="RJ17" i="22"/>
  <c r="RI17" i="22"/>
  <c r="RH17" i="22"/>
  <c r="RG17" i="22"/>
  <c r="RE17" i="22"/>
  <c r="RD17" i="22"/>
  <c r="RC17" i="22"/>
  <c r="RB17" i="22"/>
  <c r="RA17" i="22"/>
  <c r="QZ17" i="22"/>
  <c r="RL16" i="22"/>
  <c r="RK16" i="22"/>
  <c r="RJ16" i="22"/>
  <c r="RI16" i="22"/>
  <c r="RH16" i="22"/>
  <c r="RG16" i="22"/>
  <c r="RE16" i="22"/>
  <c r="RD16" i="22"/>
  <c r="RC16" i="22"/>
  <c r="RB16" i="22"/>
  <c r="RA16" i="22"/>
  <c r="QZ16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15" i="22"/>
  <c r="RK15" i="22"/>
  <c r="RJ15" i="22"/>
  <c r="RI15" i="22"/>
  <c r="RH15" i="22"/>
  <c r="RG15" i="22"/>
  <c r="RE15" i="22"/>
  <c r="RD15" i="22"/>
  <c r="RC15" i="22"/>
  <c r="RB15" i="22"/>
  <c r="RA15" i="22"/>
  <c r="QZ15" i="22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7" i="22"/>
  <c r="QC17" i="22"/>
  <c r="QB17" i="22"/>
  <c r="QA17" i="22"/>
  <c r="PZ17" i="22"/>
  <c r="PY17" i="22"/>
  <c r="PW17" i="22"/>
  <c r="PV17" i="22"/>
  <c r="PU17" i="22"/>
  <c r="PT17" i="22"/>
  <c r="PS17" i="22"/>
  <c r="PR17" i="22"/>
  <c r="QD16" i="22"/>
  <c r="QC16" i="22"/>
  <c r="QB16" i="22"/>
  <c r="QA16" i="22"/>
  <c r="PZ16" i="22"/>
  <c r="PY16" i="22"/>
  <c r="PW16" i="22"/>
  <c r="PV16" i="22"/>
  <c r="PU16" i="22"/>
  <c r="PT16" i="22"/>
  <c r="PS16" i="22"/>
  <c r="PR16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15" i="22"/>
  <c r="QC15" i="22"/>
  <c r="QB15" i="22"/>
  <c r="QA15" i="22"/>
  <c r="PZ15" i="22"/>
  <c r="PY15" i="22"/>
  <c r="PW15" i="22"/>
  <c r="PV15" i="22"/>
  <c r="PU15" i="22"/>
  <c r="PT15" i="22"/>
  <c r="PS15" i="22"/>
  <c r="PR15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7" i="22"/>
  <c r="OU17" i="22"/>
  <c r="OT17" i="22"/>
  <c r="OS17" i="22"/>
  <c r="OR17" i="22"/>
  <c r="OQ17" i="22"/>
  <c r="OO17" i="22"/>
  <c r="ON17" i="22"/>
  <c r="OM17" i="22"/>
  <c r="OL17" i="22"/>
  <c r="OK17" i="22"/>
  <c r="OJ17" i="22"/>
  <c r="OV16" i="22"/>
  <c r="OU16" i="22"/>
  <c r="OT16" i="22"/>
  <c r="OS16" i="22"/>
  <c r="OR16" i="22"/>
  <c r="OQ16" i="22"/>
  <c r="OO16" i="22"/>
  <c r="ON16" i="22"/>
  <c r="OM16" i="22"/>
  <c r="OL16" i="22"/>
  <c r="OK16" i="22"/>
  <c r="OJ16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15" i="22"/>
  <c r="OU15" i="22"/>
  <c r="OT15" i="22"/>
  <c r="OS15" i="22"/>
  <c r="OR15" i="22"/>
  <c r="OQ15" i="22"/>
  <c r="OO15" i="22"/>
  <c r="ON15" i="22"/>
  <c r="OM15" i="22"/>
  <c r="OL15" i="22"/>
  <c r="OK15" i="22"/>
  <c r="OJ15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7" i="22"/>
  <c r="NM17" i="22"/>
  <c r="NL17" i="22"/>
  <c r="NK17" i="22"/>
  <c r="NJ17" i="22"/>
  <c r="NI17" i="22"/>
  <c r="NG17" i="22"/>
  <c r="NF17" i="22"/>
  <c r="NE17" i="22"/>
  <c r="ND17" i="22"/>
  <c r="NC17" i="22"/>
  <c r="NB17" i="22"/>
  <c r="NN16" i="22"/>
  <c r="NM16" i="22"/>
  <c r="NL16" i="22"/>
  <c r="NK16" i="22"/>
  <c r="NJ16" i="22"/>
  <c r="NI16" i="22"/>
  <c r="NG16" i="22"/>
  <c r="NF16" i="22"/>
  <c r="NE16" i="22"/>
  <c r="ND16" i="22"/>
  <c r="NC16" i="22"/>
  <c r="NB16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15" i="22"/>
  <c r="NM15" i="22"/>
  <c r="NL15" i="22"/>
  <c r="NK15" i="22"/>
  <c r="NJ15" i="22"/>
  <c r="NI15" i="22"/>
  <c r="NG15" i="22"/>
  <c r="NF15" i="22"/>
  <c r="NE15" i="22"/>
  <c r="ND15" i="22"/>
  <c r="NC15" i="22"/>
  <c r="NB15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7" i="22"/>
  <c r="ME17" i="22"/>
  <c r="MD17" i="22"/>
  <c r="MC17" i="22"/>
  <c r="MB17" i="22"/>
  <c r="MA17" i="22"/>
  <c r="LY17" i="22"/>
  <c r="LX17" i="22"/>
  <c r="LW17" i="22"/>
  <c r="LV17" i="22"/>
  <c r="LU17" i="22"/>
  <c r="LT17" i="22"/>
  <c r="MF16" i="22"/>
  <c r="ME16" i="22"/>
  <c r="MD16" i="22"/>
  <c r="MC16" i="22"/>
  <c r="MB16" i="22"/>
  <c r="MA16" i="22"/>
  <c r="LY16" i="22"/>
  <c r="LX16" i="22"/>
  <c r="LW16" i="22"/>
  <c r="LV16" i="22"/>
  <c r="LU16" i="22"/>
  <c r="LT16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15" i="22"/>
  <c r="ME15" i="22"/>
  <c r="MD15" i="22"/>
  <c r="MC15" i="22"/>
  <c r="MB15" i="22"/>
  <c r="MA15" i="22"/>
  <c r="LY15" i="22"/>
  <c r="LX15" i="22"/>
  <c r="LW15" i="22"/>
  <c r="LV15" i="22"/>
  <c r="LU15" i="22"/>
  <c r="LT15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7" i="22"/>
  <c r="KW17" i="22"/>
  <c r="KV17" i="22"/>
  <c r="KU17" i="22"/>
  <c r="KT17" i="22"/>
  <c r="KS17" i="22"/>
  <c r="KQ17" i="22"/>
  <c r="KP17" i="22"/>
  <c r="KO17" i="22"/>
  <c r="KN17" i="22"/>
  <c r="KM17" i="22"/>
  <c r="KL17" i="22"/>
  <c r="KX16" i="22"/>
  <c r="KW16" i="22"/>
  <c r="KV16" i="22"/>
  <c r="KU16" i="22"/>
  <c r="KT16" i="22"/>
  <c r="KS16" i="22"/>
  <c r="KQ16" i="22"/>
  <c r="KP16" i="22"/>
  <c r="KO16" i="22"/>
  <c r="KN16" i="22"/>
  <c r="KM16" i="22"/>
  <c r="KL16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15" i="22"/>
  <c r="KW15" i="22"/>
  <c r="KV15" i="22"/>
  <c r="KU15" i="22"/>
  <c r="KT15" i="22"/>
  <c r="KS15" i="22"/>
  <c r="KQ15" i="22"/>
  <c r="KP15" i="22"/>
  <c r="KO15" i="22"/>
  <c r="KN15" i="22"/>
  <c r="KM15" i="22"/>
  <c r="KL15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7" i="22"/>
  <c r="JO17" i="22"/>
  <c r="JN17" i="22"/>
  <c r="JM17" i="22"/>
  <c r="JL17" i="22"/>
  <c r="JK17" i="22"/>
  <c r="JI17" i="22"/>
  <c r="JH17" i="22"/>
  <c r="JG17" i="22"/>
  <c r="JF17" i="22"/>
  <c r="JE17" i="22"/>
  <c r="JD17" i="22"/>
  <c r="JP16" i="22"/>
  <c r="JO16" i="22"/>
  <c r="JN16" i="22"/>
  <c r="JM16" i="22"/>
  <c r="JL16" i="22"/>
  <c r="JK16" i="22"/>
  <c r="JI16" i="22"/>
  <c r="JH16" i="22"/>
  <c r="JG16" i="22"/>
  <c r="JF16" i="22"/>
  <c r="JE16" i="22"/>
  <c r="JD16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7" i="22"/>
  <c r="IG17" i="22"/>
  <c r="IF17" i="22"/>
  <c r="IE17" i="22"/>
  <c r="ID17" i="22"/>
  <c r="IC17" i="22"/>
  <c r="IA17" i="22"/>
  <c r="HZ17" i="22"/>
  <c r="HY17" i="22"/>
  <c r="HX17" i="22"/>
  <c r="HW17" i="22"/>
  <c r="HV17" i="22"/>
  <c r="IH16" i="22"/>
  <c r="IG16" i="22"/>
  <c r="IF16" i="22"/>
  <c r="IE16" i="22"/>
  <c r="ID16" i="22"/>
  <c r="IC16" i="22"/>
  <c r="IA16" i="22"/>
  <c r="HZ16" i="22"/>
  <c r="HY16" i="22"/>
  <c r="HX16" i="22"/>
  <c r="HW16" i="22"/>
  <c r="HV16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15" i="22"/>
  <c r="IG15" i="22"/>
  <c r="IF15" i="22"/>
  <c r="IE15" i="22"/>
  <c r="ID15" i="22"/>
  <c r="IC15" i="22"/>
  <c r="IA15" i="22"/>
  <c r="HZ15" i="22"/>
  <c r="HY15" i="22"/>
  <c r="HX15" i="22"/>
  <c r="HW15" i="22"/>
  <c r="HV15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17" i="22"/>
  <c r="GY17" i="22"/>
  <c r="GX17" i="22"/>
  <c r="GW17" i="22"/>
  <c r="GV17" i="22"/>
  <c r="GU17" i="22"/>
  <c r="GS17" i="22"/>
  <c r="GR17" i="22"/>
  <c r="GQ17" i="22"/>
  <c r="GP17" i="22"/>
  <c r="GO17" i="22"/>
  <c r="GN17" i="22"/>
  <c r="GZ16" i="22"/>
  <c r="GY16" i="22"/>
  <c r="GX16" i="22"/>
  <c r="GW16" i="22"/>
  <c r="GV16" i="22"/>
  <c r="GU16" i="22"/>
  <c r="GS16" i="22"/>
  <c r="GR16" i="22"/>
  <c r="GQ16" i="22"/>
  <c r="GP16" i="22"/>
  <c r="GO16" i="22"/>
  <c r="GN16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15" i="22"/>
  <c r="GY15" i="22"/>
  <c r="GX15" i="22"/>
  <c r="GW15" i="22"/>
  <c r="GV15" i="22"/>
  <c r="GU15" i="22"/>
  <c r="GS15" i="22"/>
  <c r="GR15" i="22"/>
  <c r="GQ15" i="22"/>
  <c r="GP15" i="22"/>
  <c r="GO15" i="22"/>
  <c r="GN15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14" i="22"/>
  <c r="FQ14" i="22"/>
  <c r="FP14" i="22"/>
  <c r="FO14" i="22"/>
  <c r="FN14" i="22"/>
  <c r="FM14" i="22"/>
  <c r="FK14" i="22"/>
  <c r="FJ14" i="22"/>
  <c r="FI14" i="22"/>
  <c r="FH14" i="22"/>
  <c r="FL14" i="22" s="1"/>
  <c r="FG14" i="22"/>
  <c r="FF14" i="22"/>
  <c r="FR17" i="22"/>
  <c r="FQ17" i="22"/>
  <c r="FP17" i="22"/>
  <c r="FO17" i="22"/>
  <c r="FN17" i="22"/>
  <c r="FM17" i="22"/>
  <c r="FK17" i="22"/>
  <c r="FJ17" i="22"/>
  <c r="FI17" i="22"/>
  <c r="FH17" i="22"/>
  <c r="FG17" i="22"/>
  <c r="FF17" i="22"/>
  <c r="FR16" i="22"/>
  <c r="FQ16" i="22"/>
  <c r="FP16" i="22"/>
  <c r="FO16" i="22"/>
  <c r="FN16" i="22"/>
  <c r="FM16" i="22"/>
  <c r="FK16" i="22"/>
  <c r="FJ16" i="22"/>
  <c r="FI16" i="22"/>
  <c r="FH16" i="22"/>
  <c r="FG16" i="22"/>
  <c r="FF16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15" i="22"/>
  <c r="FQ15" i="22"/>
  <c r="FP15" i="22"/>
  <c r="FO15" i="22"/>
  <c r="FN15" i="22"/>
  <c r="FM15" i="22"/>
  <c r="FK15" i="22"/>
  <c r="FJ15" i="22"/>
  <c r="FI15" i="22"/>
  <c r="FH15" i="22"/>
  <c r="FG15" i="22"/>
  <c r="FF15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7" i="22"/>
  <c r="EI17" i="22"/>
  <c r="EH17" i="22"/>
  <c r="EG17" i="22"/>
  <c r="EF17" i="22"/>
  <c r="EE17" i="22"/>
  <c r="EC17" i="22"/>
  <c r="EB17" i="22"/>
  <c r="EA17" i="22"/>
  <c r="DZ17" i="22"/>
  <c r="DY17" i="22"/>
  <c r="DX17" i="22"/>
  <c r="EJ16" i="22"/>
  <c r="EI16" i="22"/>
  <c r="EH16" i="22"/>
  <c r="EG16" i="22"/>
  <c r="EF16" i="22"/>
  <c r="EE16" i="22"/>
  <c r="EC16" i="22"/>
  <c r="EB16" i="22"/>
  <c r="EA16" i="22"/>
  <c r="DZ16" i="22"/>
  <c r="DY16" i="22"/>
  <c r="DX16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15" i="22"/>
  <c r="EI15" i="22"/>
  <c r="EH15" i="22"/>
  <c r="EG15" i="22"/>
  <c r="EF15" i="22"/>
  <c r="EE15" i="22"/>
  <c r="EC15" i="22"/>
  <c r="EB15" i="22"/>
  <c r="EA15" i="22"/>
  <c r="DZ15" i="22"/>
  <c r="DY15" i="22"/>
  <c r="DX15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5" i="22"/>
  <c r="EI5" i="22"/>
  <c r="EH5" i="22"/>
  <c r="EG5" i="22"/>
  <c r="EF5" i="22"/>
  <c r="EE5" i="22"/>
  <c r="EC5" i="22"/>
  <c r="EB5" i="22"/>
  <c r="EA5" i="22"/>
  <c r="DZ5" i="22"/>
  <c r="ED5" i="22" s="1"/>
  <c r="DY5" i="22"/>
  <c r="DX5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VJ24" i="4"/>
  <c r="VI24" i="4"/>
  <c r="VH24" i="4"/>
  <c r="VG24" i="4"/>
  <c r="VF24" i="4"/>
  <c r="VE24" i="4"/>
  <c r="VC24" i="4"/>
  <c r="VB24" i="4"/>
  <c r="VA24" i="4"/>
  <c r="UZ24" i="4"/>
  <c r="UY24" i="4"/>
  <c r="UX24" i="4"/>
  <c r="VJ23" i="4"/>
  <c r="VI23" i="4"/>
  <c r="VH23" i="4"/>
  <c r="VG23" i="4"/>
  <c r="VF23" i="4"/>
  <c r="VE23" i="4"/>
  <c r="VC23" i="4"/>
  <c r="VB23" i="4"/>
  <c r="VA23" i="4"/>
  <c r="UZ23" i="4"/>
  <c r="UY23" i="4"/>
  <c r="UX23" i="4"/>
  <c r="VJ21" i="4"/>
  <c r="VI21" i="4"/>
  <c r="VH21" i="4"/>
  <c r="VG21" i="4"/>
  <c r="VF21" i="4"/>
  <c r="VE21" i="4"/>
  <c r="VC21" i="4"/>
  <c r="VB21" i="4"/>
  <c r="VA21" i="4"/>
  <c r="UZ21" i="4"/>
  <c r="UY21" i="4"/>
  <c r="UX21" i="4"/>
  <c r="VJ11" i="4"/>
  <c r="VI11" i="4"/>
  <c r="VH11" i="4"/>
  <c r="VG11" i="4"/>
  <c r="VF11" i="4"/>
  <c r="VE11" i="4"/>
  <c r="VC11" i="4"/>
  <c r="VB11" i="4"/>
  <c r="VA11" i="4"/>
  <c r="UZ11" i="4"/>
  <c r="UY11" i="4"/>
  <c r="UX11" i="4"/>
  <c r="VJ17" i="4"/>
  <c r="VI17" i="4"/>
  <c r="VH17" i="4"/>
  <c r="VG17" i="4"/>
  <c r="VF17" i="4"/>
  <c r="VE17" i="4"/>
  <c r="VC17" i="4"/>
  <c r="VB17" i="4"/>
  <c r="VA17" i="4"/>
  <c r="UZ17" i="4"/>
  <c r="UY17" i="4"/>
  <c r="UX17" i="4"/>
  <c r="VJ22" i="4"/>
  <c r="VI22" i="4"/>
  <c r="VH22" i="4"/>
  <c r="VG22" i="4"/>
  <c r="VF22" i="4"/>
  <c r="VE22" i="4"/>
  <c r="VC22" i="4"/>
  <c r="VB22" i="4"/>
  <c r="VA22" i="4"/>
  <c r="UZ22" i="4"/>
  <c r="UY22" i="4"/>
  <c r="UX22" i="4"/>
  <c r="VJ18" i="4"/>
  <c r="VI18" i="4"/>
  <c r="VH18" i="4"/>
  <c r="VG18" i="4"/>
  <c r="VF18" i="4"/>
  <c r="VE18" i="4"/>
  <c r="VC18" i="4"/>
  <c r="VB18" i="4"/>
  <c r="VA18" i="4"/>
  <c r="UZ18" i="4"/>
  <c r="UY18" i="4"/>
  <c r="UX18" i="4"/>
  <c r="VJ16" i="4"/>
  <c r="VI16" i="4"/>
  <c r="VH16" i="4"/>
  <c r="VG16" i="4"/>
  <c r="VF16" i="4"/>
  <c r="VE16" i="4"/>
  <c r="VC16" i="4"/>
  <c r="VB16" i="4"/>
  <c r="VA16" i="4"/>
  <c r="UZ16" i="4"/>
  <c r="UY16" i="4"/>
  <c r="UX16" i="4"/>
  <c r="VJ15" i="4"/>
  <c r="VI15" i="4"/>
  <c r="VH15" i="4"/>
  <c r="VG15" i="4"/>
  <c r="VF15" i="4"/>
  <c r="VE15" i="4"/>
  <c r="VC15" i="4"/>
  <c r="VB15" i="4"/>
  <c r="VA15" i="4"/>
  <c r="UZ15" i="4"/>
  <c r="UY15" i="4"/>
  <c r="UX15" i="4"/>
  <c r="VJ20" i="4"/>
  <c r="VI20" i="4"/>
  <c r="VH20" i="4"/>
  <c r="VG20" i="4"/>
  <c r="VF20" i="4"/>
  <c r="VE20" i="4"/>
  <c r="VC20" i="4"/>
  <c r="VB20" i="4"/>
  <c r="VA20" i="4"/>
  <c r="UZ20" i="4"/>
  <c r="UY20" i="4"/>
  <c r="UX20" i="4"/>
  <c r="VJ19" i="4"/>
  <c r="VI19" i="4"/>
  <c r="VH19" i="4"/>
  <c r="VG19" i="4"/>
  <c r="VF19" i="4"/>
  <c r="VE19" i="4"/>
  <c r="VC19" i="4"/>
  <c r="VB19" i="4"/>
  <c r="VA19" i="4"/>
  <c r="UZ19" i="4"/>
  <c r="UY19" i="4"/>
  <c r="UX19" i="4"/>
  <c r="VJ13" i="4"/>
  <c r="VI13" i="4"/>
  <c r="VH13" i="4"/>
  <c r="VG13" i="4"/>
  <c r="VF13" i="4"/>
  <c r="VE13" i="4"/>
  <c r="VC13" i="4"/>
  <c r="VB13" i="4"/>
  <c r="VA13" i="4"/>
  <c r="UZ13" i="4"/>
  <c r="UY13" i="4"/>
  <c r="UX13" i="4"/>
  <c r="VJ10" i="4"/>
  <c r="VI10" i="4"/>
  <c r="VH10" i="4"/>
  <c r="VG10" i="4"/>
  <c r="VF10" i="4"/>
  <c r="VE10" i="4"/>
  <c r="VC10" i="4"/>
  <c r="VB10" i="4"/>
  <c r="VA10" i="4"/>
  <c r="UZ10" i="4"/>
  <c r="UY10" i="4"/>
  <c r="UX10" i="4"/>
  <c r="VJ14" i="4"/>
  <c r="VI14" i="4"/>
  <c r="VH14" i="4"/>
  <c r="VG14" i="4"/>
  <c r="VF14" i="4"/>
  <c r="VE14" i="4"/>
  <c r="VC14" i="4"/>
  <c r="VB14" i="4"/>
  <c r="VA14" i="4"/>
  <c r="UZ14" i="4"/>
  <c r="UY14" i="4"/>
  <c r="UX14" i="4"/>
  <c r="VJ9" i="4"/>
  <c r="VI9" i="4"/>
  <c r="VH9" i="4"/>
  <c r="VG9" i="4"/>
  <c r="VF9" i="4"/>
  <c r="VE9" i="4"/>
  <c r="VC9" i="4"/>
  <c r="VB9" i="4"/>
  <c r="VA9" i="4"/>
  <c r="UZ9" i="4"/>
  <c r="UY9" i="4"/>
  <c r="UX9" i="4"/>
  <c r="VJ8" i="4"/>
  <c r="VI8" i="4"/>
  <c r="VH8" i="4"/>
  <c r="VG8" i="4"/>
  <c r="VF8" i="4"/>
  <c r="VE8" i="4"/>
  <c r="VC8" i="4"/>
  <c r="VB8" i="4"/>
  <c r="VA8" i="4"/>
  <c r="UZ8" i="4"/>
  <c r="UY8" i="4"/>
  <c r="UX8" i="4"/>
  <c r="VJ12" i="4"/>
  <c r="VI12" i="4"/>
  <c r="VH12" i="4"/>
  <c r="VG12" i="4"/>
  <c r="VF12" i="4"/>
  <c r="VE12" i="4"/>
  <c r="VC12" i="4"/>
  <c r="VB12" i="4"/>
  <c r="VA12" i="4"/>
  <c r="UZ12" i="4"/>
  <c r="UY12" i="4"/>
  <c r="UX12" i="4"/>
  <c r="VJ7" i="4"/>
  <c r="VI7" i="4"/>
  <c r="VH7" i="4"/>
  <c r="VG7" i="4"/>
  <c r="VF7" i="4"/>
  <c r="VE7" i="4"/>
  <c r="VC7" i="4"/>
  <c r="VB7" i="4"/>
  <c r="VA7" i="4"/>
  <c r="UZ7" i="4"/>
  <c r="UY7" i="4"/>
  <c r="UX7" i="4"/>
  <c r="VJ6" i="4"/>
  <c r="VI6" i="4"/>
  <c r="VH6" i="4"/>
  <c r="VG6" i="4"/>
  <c r="VF6" i="4"/>
  <c r="VE6" i="4"/>
  <c r="VC6" i="4"/>
  <c r="VB6" i="4"/>
  <c r="VA6" i="4"/>
  <c r="UZ6" i="4"/>
  <c r="UY6" i="4"/>
  <c r="UX6" i="4"/>
  <c r="VJ4" i="4"/>
  <c r="VI4" i="4"/>
  <c r="VH4" i="4"/>
  <c r="VG4" i="4"/>
  <c r="VF4" i="4"/>
  <c r="VE4" i="4"/>
  <c r="VC4" i="4"/>
  <c r="VB4" i="4"/>
  <c r="VA4" i="4"/>
  <c r="UZ4" i="4"/>
  <c r="UY4" i="4"/>
  <c r="UX4" i="4"/>
  <c r="VJ5" i="4"/>
  <c r="VI5" i="4"/>
  <c r="VH5" i="4"/>
  <c r="VG5" i="4"/>
  <c r="VF5" i="4"/>
  <c r="VE5" i="4"/>
  <c r="VC5" i="4"/>
  <c r="VB5" i="4"/>
  <c r="VA5" i="4"/>
  <c r="UZ5" i="4"/>
  <c r="UY5" i="4"/>
  <c r="UX5" i="4"/>
  <c r="UB24" i="4"/>
  <c r="UA24" i="4"/>
  <c r="TZ24" i="4"/>
  <c r="TY24" i="4"/>
  <c r="TX24" i="4"/>
  <c r="TW24" i="4"/>
  <c r="TU24" i="4"/>
  <c r="TT24" i="4"/>
  <c r="TS24" i="4"/>
  <c r="TR24" i="4"/>
  <c r="TQ24" i="4"/>
  <c r="TP24" i="4"/>
  <c r="UB23" i="4"/>
  <c r="UA23" i="4"/>
  <c r="TZ23" i="4"/>
  <c r="TY23" i="4"/>
  <c r="TX23" i="4"/>
  <c r="TW23" i="4"/>
  <c r="TU23" i="4"/>
  <c r="TT23" i="4"/>
  <c r="TS23" i="4"/>
  <c r="TR23" i="4"/>
  <c r="TQ23" i="4"/>
  <c r="TP23" i="4"/>
  <c r="UB21" i="4"/>
  <c r="UA21" i="4"/>
  <c r="TZ21" i="4"/>
  <c r="TY21" i="4"/>
  <c r="TX21" i="4"/>
  <c r="TW21" i="4"/>
  <c r="TU21" i="4"/>
  <c r="TT21" i="4"/>
  <c r="TS21" i="4"/>
  <c r="TR21" i="4"/>
  <c r="TQ21" i="4"/>
  <c r="TP21" i="4"/>
  <c r="UB11" i="4"/>
  <c r="UA11" i="4"/>
  <c r="TZ11" i="4"/>
  <c r="TY11" i="4"/>
  <c r="TX11" i="4"/>
  <c r="TW11" i="4"/>
  <c r="TU11" i="4"/>
  <c r="TT11" i="4"/>
  <c r="TS11" i="4"/>
  <c r="TR11" i="4"/>
  <c r="TQ11" i="4"/>
  <c r="TP11" i="4"/>
  <c r="UB17" i="4"/>
  <c r="UA17" i="4"/>
  <c r="TZ17" i="4"/>
  <c r="TY17" i="4"/>
  <c r="TX17" i="4"/>
  <c r="TW17" i="4"/>
  <c r="TU17" i="4"/>
  <c r="TT17" i="4"/>
  <c r="TS17" i="4"/>
  <c r="TR17" i="4"/>
  <c r="TQ17" i="4"/>
  <c r="TP17" i="4"/>
  <c r="UB22" i="4"/>
  <c r="UA22" i="4"/>
  <c r="TZ22" i="4"/>
  <c r="TY22" i="4"/>
  <c r="TX22" i="4"/>
  <c r="TW22" i="4"/>
  <c r="TU22" i="4"/>
  <c r="TT22" i="4"/>
  <c r="TS22" i="4"/>
  <c r="TR22" i="4"/>
  <c r="TQ22" i="4"/>
  <c r="TP22" i="4"/>
  <c r="UB18" i="4"/>
  <c r="UA18" i="4"/>
  <c r="TZ18" i="4"/>
  <c r="TY18" i="4"/>
  <c r="TX18" i="4"/>
  <c r="TW18" i="4"/>
  <c r="TU18" i="4"/>
  <c r="TT18" i="4"/>
  <c r="TS18" i="4"/>
  <c r="TR18" i="4"/>
  <c r="TQ18" i="4"/>
  <c r="TP18" i="4"/>
  <c r="UB16" i="4"/>
  <c r="UA16" i="4"/>
  <c r="TZ16" i="4"/>
  <c r="TY16" i="4"/>
  <c r="TX16" i="4"/>
  <c r="TW16" i="4"/>
  <c r="TU16" i="4"/>
  <c r="TT16" i="4"/>
  <c r="TS16" i="4"/>
  <c r="TR16" i="4"/>
  <c r="TQ16" i="4"/>
  <c r="TP16" i="4"/>
  <c r="UB15" i="4"/>
  <c r="UA15" i="4"/>
  <c r="TZ15" i="4"/>
  <c r="TY15" i="4"/>
  <c r="TX15" i="4"/>
  <c r="TW15" i="4"/>
  <c r="TU15" i="4"/>
  <c r="TT15" i="4"/>
  <c r="TS15" i="4"/>
  <c r="TR15" i="4"/>
  <c r="TQ15" i="4"/>
  <c r="TP15" i="4"/>
  <c r="UB20" i="4"/>
  <c r="UA20" i="4"/>
  <c r="TZ20" i="4"/>
  <c r="TY20" i="4"/>
  <c r="TX20" i="4"/>
  <c r="TW20" i="4"/>
  <c r="TU20" i="4"/>
  <c r="TT20" i="4"/>
  <c r="TS20" i="4"/>
  <c r="TR20" i="4"/>
  <c r="TQ20" i="4"/>
  <c r="TP20" i="4"/>
  <c r="UB19" i="4"/>
  <c r="UA19" i="4"/>
  <c r="TZ19" i="4"/>
  <c r="TY19" i="4"/>
  <c r="TX19" i="4"/>
  <c r="TW19" i="4"/>
  <c r="TU19" i="4"/>
  <c r="TT19" i="4"/>
  <c r="TS19" i="4"/>
  <c r="TR19" i="4"/>
  <c r="TQ19" i="4"/>
  <c r="TP19" i="4"/>
  <c r="UB13" i="4"/>
  <c r="UA13" i="4"/>
  <c r="TZ13" i="4"/>
  <c r="TY13" i="4"/>
  <c r="TX13" i="4"/>
  <c r="TW13" i="4"/>
  <c r="TU13" i="4"/>
  <c r="TT13" i="4"/>
  <c r="TS13" i="4"/>
  <c r="TR13" i="4"/>
  <c r="TQ13" i="4"/>
  <c r="TP13" i="4"/>
  <c r="UB10" i="4"/>
  <c r="UA10" i="4"/>
  <c r="TZ10" i="4"/>
  <c r="TY10" i="4"/>
  <c r="TX10" i="4"/>
  <c r="TW10" i="4"/>
  <c r="TU10" i="4"/>
  <c r="TT10" i="4"/>
  <c r="TS10" i="4"/>
  <c r="TR10" i="4"/>
  <c r="TQ10" i="4"/>
  <c r="TP10" i="4"/>
  <c r="UB14" i="4"/>
  <c r="UA14" i="4"/>
  <c r="TZ14" i="4"/>
  <c r="TY14" i="4"/>
  <c r="TX14" i="4"/>
  <c r="TW14" i="4"/>
  <c r="TU14" i="4"/>
  <c r="TT14" i="4"/>
  <c r="TS14" i="4"/>
  <c r="TR14" i="4"/>
  <c r="TQ14" i="4"/>
  <c r="TP14" i="4"/>
  <c r="UB9" i="4"/>
  <c r="UA9" i="4"/>
  <c r="TZ9" i="4"/>
  <c r="TY9" i="4"/>
  <c r="TX9" i="4"/>
  <c r="TW9" i="4"/>
  <c r="TU9" i="4"/>
  <c r="TT9" i="4"/>
  <c r="TS9" i="4"/>
  <c r="TR9" i="4"/>
  <c r="TQ9" i="4"/>
  <c r="TP9" i="4"/>
  <c r="UB8" i="4"/>
  <c r="UA8" i="4"/>
  <c r="TZ8" i="4"/>
  <c r="TY8" i="4"/>
  <c r="TX8" i="4"/>
  <c r="TW8" i="4"/>
  <c r="TU8" i="4"/>
  <c r="TT8" i="4"/>
  <c r="TS8" i="4"/>
  <c r="TR8" i="4"/>
  <c r="TQ8" i="4"/>
  <c r="TP8" i="4"/>
  <c r="UB12" i="4"/>
  <c r="UA12" i="4"/>
  <c r="TZ12" i="4"/>
  <c r="TY12" i="4"/>
  <c r="TX12" i="4"/>
  <c r="TW12" i="4"/>
  <c r="TU12" i="4"/>
  <c r="TT12" i="4"/>
  <c r="TS12" i="4"/>
  <c r="TR12" i="4"/>
  <c r="TQ12" i="4"/>
  <c r="TP12" i="4"/>
  <c r="UB7" i="4"/>
  <c r="UA7" i="4"/>
  <c r="TZ7" i="4"/>
  <c r="TY7" i="4"/>
  <c r="TX7" i="4"/>
  <c r="TW7" i="4"/>
  <c r="TU7" i="4"/>
  <c r="TT7" i="4"/>
  <c r="TS7" i="4"/>
  <c r="TR7" i="4"/>
  <c r="TQ7" i="4"/>
  <c r="TP7" i="4"/>
  <c r="UB6" i="4"/>
  <c r="UA6" i="4"/>
  <c r="TZ6" i="4"/>
  <c r="TY6" i="4"/>
  <c r="TX6" i="4"/>
  <c r="TW6" i="4"/>
  <c r="TU6" i="4"/>
  <c r="TT6" i="4"/>
  <c r="TS6" i="4"/>
  <c r="TR6" i="4"/>
  <c r="TQ6" i="4"/>
  <c r="TP6" i="4"/>
  <c r="UB4" i="4"/>
  <c r="UA4" i="4"/>
  <c r="TZ4" i="4"/>
  <c r="TY4" i="4"/>
  <c r="TX4" i="4"/>
  <c r="TW4" i="4"/>
  <c r="TU4" i="4"/>
  <c r="TT4" i="4"/>
  <c r="TS4" i="4"/>
  <c r="TR4" i="4"/>
  <c r="TQ4" i="4"/>
  <c r="TP4" i="4"/>
  <c r="UB5" i="4"/>
  <c r="UA5" i="4"/>
  <c r="TZ5" i="4"/>
  <c r="TY5" i="4"/>
  <c r="TX5" i="4"/>
  <c r="TW5" i="4"/>
  <c r="TU5" i="4"/>
  <c r="TT5" i="4"/>
  <c r="TS5" i="4"/>
  <c r="TR5" i="4"/>
  <c r="TQ5" i="4"/>
  <c r="TP5" i="4"/>
  <c r="ST24" i="4"/>
  <c r="SS24" i="4"/>
  <c r="SR24" i="4"/>
  <c r="SQ24" i="4"/>
  <c r="SP24" i="4"/>
  <c r="SO24" i="4"/>
  <c r="SM24" i="4"/>
  <c r="SL24" i="4"/>
  <c r="SK24" i="4"/>
  <c r="SJ24" i="4"/>
  <c r="SI24" i="4"/>
  <c r="SH24" i="4"/>
  <c r="ST23" i="4"/>
  <c r="SS23" i="4"/>
  <c r="SR23" i="4"/>
  <c r="SQ23" i="4"/>
  <c r="SP23" i="4"/>
  <c r="SO23" i="4"/>
  <c r="SM23" i="4"/>
  <c r="SL23" i="4"/>
  <c r="SK23" i="4"/>
  <c r="SJ23" i="4"/>
  <c r="SI23" i="4"/>
  <c r="SH23" i="4"/>
  <c r="ST21" i="4"/>
  <c r="SS21" i="4"/>
  <c r="SR21" i="4"/>
  <c r="SQ21" i="4"/>
  <c r="SP21" i="4"/>
  <c r="SO21" i="4"/>
  <c r="SM21" i="4"/>
  <c r="SL21" i="4"/>
  <c r="SK21" i="4"/>
  <c r="SJ21" i="4"/>
  <c r="SI21" i="4"/>
  <c r="SH21" i="4"/>
  <c r="ST11" i="4"/>
  <c r="SS11" i="4"/>
  <c r="SR11" i="4"/>
  <c r="SQ11" i="4"/>
  <c r="SP11" i="4"/>
  <c r="SO11" i="4"/>
  <c r="SM11" i="4"/>
  <c r="SL11" i="4"/>
  <c r="SK11" i="4"/>
  <c r="SJ11" i="4"/>
  <c r="SI11" i="4"/>
  <c r="SH11" i="4"/>
  <c r="ST17" i="4"/>
  <c r="SS17" i="4"/>
  <c r="SR17" i="4"/>
  <c r="SQ17" i="4"/>
  <c r="SP17" i="4"/>
  <c r="SO17" i="4"/>
  <c r="SM17" i="4"/>
  <c r="SL17" i="4"/>
  <c r="SK17" i="4"/>
  <c r="SJ17" i="4"/>
  <c r="SI17" i="4"/>
  <c r="SH17" i="4"/>
  <c r="ST22" i="4"/>
  <c r="SS22" i="4"/>
  <c r="SR22" i="4"/>
  <c r="SQ22" i="4"/>
  <c r="SP22" i="4"/>
  <c r="SO22" i="4"/>
  <c r="SM22" i="4"/>
  <c r="SL22" i="4"/>
  <c r="SK22" i="4"/>
  <c r="SJ22" i="4"/>
  <c r="SI22" i="4"/>
  <c r="SH22" i="4"/>
  <c r="ST18" i="4"/>
  <c r="SS18" i="4"/>
  <c r="SR18" i="4"/>
  <c r="SQ18" i="4"/>
  <c r="SP18" i="4"/>
  <c r="SO18" i="4"/>
  <c r="SM18" i="4"/>
  <c r="SL18" i="4"/>
  <c r="SK18" i="4"/>
  <c r="SJ18" i="4"/>
  <c r="SI18" i="4"/>
  <c r="SH18" i="4"/>
  <c r="ST16" i="4"/>
  <c r="SS16" i="4"/>
  <c r="SR16" i="4"/>
  <c r="SQ16" i="4"/>
  <c r="SP16" i="4"/>
  <c r="SO16" i="4"/>
  <c r="SM16" i="4"/>
  <c r="SL16" i="4"/>
  <c r="SK16" i="4"/>
  <c r="SJ16" i="4"/>
  <c r="SI16" i="4"/>
  <c r="SH16" i="4"/>
  <c r="ST15" i="4"/>
  <c r="SS15" i="4"/>
  <c r="SR15" i="4"/>
  <c r="SQ15" i="4"/>
  <c r="SP15" i="4"/>
  <c r="SO15" i="4"/>
  <c r="SM15" i="4"/>
  <c r="SL15" i="4"/>
  <c r="SK15" i="4"/>
  <c r="SJ15" i="4"/>
  <c r="SI15" i="4"/>
  <c r="SH15" i="4"/>
  <c r="ST20" i="4"/>
  <c r="SS20" i="4"/>
  <c r="SR20" i="4"/>
  <c r="SQ20" i="4"/>
  <c r="SP20" i="4"/>
  <c r="SO20" i="4"/>
  <c r="SM20" i="4"/>
  <c r="SL20" i="4"/>
  <c r="SK20" i="4"/>
  <c r="SJ20" i="4"/>
  <c r="SI20" i="4"/>
  <c r="SH20" i="4"/>
  <c r="ST19" i="4"/>
  <c r="SS19" i="4"/>
  <c r="SR19" i="4"/>
  <c r="SQ19" i="4"/>
  <c r="SP19" i="4"/>
  <c r="SO19" i="4"/>
  <c r="SM19" i="4"/>
  <c r="SL19" i="4"/>
  <c r="SK19" i="4"/>
  <c r="SJ19" i="4"/>
  <c r="SI19" i="4"/>
  <c r="SH19" i="4"/>
  <c r="ST13" i="4"/>
  <c r="SS13" i="4"/>
  <c r="SR13" i="4"/>
  <c r="SQ13" i="4"/>
  <c r="SP13" i="4"/>
  <c r="SO13" i="4"/>
  <c r="SM13" i="4"/>
  <c r="SL13" i="4"/>
  <c r="SK13" i="4"/>
  <c r="SJ13" i="4"/>
  <c r="SI13" i="4"/>
  <c r="SH13" i="4"/>
  <c r="ST10" i="4"/>
  <c r="SS10" i="4"/>
  <c r="SR10" i="4"/>
  <c r="SQ10" i="4"/>
  <c r="SP10" i="4"/>
  <c r="SO10" i="4"/>
  <c r="SM10" i="4"/>
  <c r="SL10" i="4"/>
  <c r="SK10" i="4"/>
  <c r="SJ10" i="4"/>
  <c r="SI10" i="4"/>
  <c r="SH10" i="4"/>
  <c r="ST14" i="4"/>
  <c r="SS14" i="4"/>
  <c r="SR14" i="4"/>
  <c r="SQ14" i="4"/>
  <c r="SP14" i="4"/>
  <c r="SO14" i="4"/>
  <c r="SM14" i="4"/>
  <c r="SL14" i="4"/>
  <c r="SK14" i="4"/>
  <c r="SJ14" i="4"/>
  <c r="SI14" i="4"/>
  <c r="SH14" i="4"/>
  <c r="ST9" i="4"/>
  <c r="SS9" i="4"/>
  <c r="SR9" i="4"/>
  <c r="SQ9" i="4"/>
  <c r="SP9" i="4"/>
  <c r="SO9" i="4"/>
  <c r="SM9" i="4"/>
  <c r="SL9" i="4"/>
  <c r="SK9" i="4"/>
  <c r="SJ9" i="4"/>
  <c r="SI9" i="4"/>
  <c r="SH9" i="4"/>
  <c r="ST8" i="4"/>
  <c r="SS8" i="4"/>
  <c r="SR8" i="4"/>
  <c r="SQ8" i="4"/>
  <c r="SP8" i="4"/>
  <c r="SO8" i="4"/>
  <c r="SM8" i="4"/>
  <c r="SL8" i="4"/>
  <c r="SK8" i="4"/>
  <c r="SJ8" i="4"/>
  <c r="SI8" i="4"/>
  <c r="SH8" i="4"/>
  <c r="ST12" i="4"/>
  <c r="SS12" i="4"/>
  <c r="SR12" i="4"/>
  <c r="SQ12" i="4"/>
  <c r="SP12" i="4"/>
  <c r="SO12" i="4"/>
  <c r="SM12" i="4"/>
  <c r="SL12" i="4"/>
  <c r="SK12" i="4"/>
  <c r="SJ12" i="4"/>
  <c r="SI12" i="4"/>
  <c r="SH12" i="4"/>
  <c r="ST7" i="4"/>
  <c r="SS7" i="4"/>
  <c r="SR7" i="4"/>
  <c r="SQ7" i="4"/>
  <c r="SP7" i="4"/>
  <c r="SO7" i="4"/>
  <c r="SM7" i="4"/>
  <c r="SL7" i="4"/>
  <c r="SK7" i="4"/>
  <c r="SJ7" i="4"/>
  <c r="SI7" i="4"/>
  <c r="SH7" i="4"/>
  <c r="ST6" i="4"/>
  <c r="SS6" i="4"/>
  <c r="SR6" i="4"/>
  <c r="SQ6" i="4"/>
  <c r="SP6" i="4"/>
  <c r="SO6" i="4"/>
  <c r="SM6" i="4"/>
  <c r="SL6" i="4"/>
  <c r="SK6" i="4"/>
  <c r="SJ6" i="4"/>
  <c r="SI6" i="4"/>
  <c r="SH6" i="4"/>
  <c r="ST4" i="4"/>
  <c r="SS4" i="4"/>
  <c r="SR4" i="4"/>
  <c r="SQ4" i="4"/>
  <c r="SP4" i="4"/>
  <c r="SO4" i="4"/>
  <c r="SM4" i="4"/>
  <c r="SL4" i="4"/>
  <c r="SK4" i="4"/>
  <c r="SJ4" i="4"/>
  <c r="SI4" i="4"/>
  <c r="SH4" i="4"/>
  <c r="ST5" i="4"/>
  <c r="SS5" i="4"/>
  <c r="SR5" i="4"/>
  <c r="SQ5" i="4"/>
  <c r="SP5" i="4"/>
  <c r="SO5" i="4"/>
  <c r="SM5" i="4"/>
  <c r="SL5" i="4"/>
  <c r="SK5" i="4"/>
  <c r="SJ5" i="4"/>
  <c r="SI5" i="4"/>
  <c r="SH5" i="4"/>
  <c r="RL24" i="4"/>
  <c r="RK24" i="4"/>
  <c r="RJ24" i="4"/>
  <c r="RI24" i="4"/>
  <c r="RH24" i="4"/>
  <c r="RG24" i="4"/>
  <c r="RE24" i="4"/>
  <c r="RD24" i="4"/>
  <c r="RC24" i="4"/>
  <c r="RB24" i="4"/>
  <c r="RA24" i="4"/>
  <c r="QZ24" i="4"/>
  <c r="RL23" i="4"/>
  <c r="RK23" i="4"/>
  <c r="RJ23" i="4"/>
  <c r="RI23" i="4"/>
  <c r="RH23" i="4"/>
  <c r="RG23" i="4"/>
  <c r="RE23" i="4"/>
  <c r="RD23" i="4"/>
  <c r="RC23" i="4"/>
  <c r="RB23" i="4"/>
  <c r="RA23" i="4"/>
  <c r="QZ23" i="4"/>
  <c r="RL21" i="4"/>
  <c r="RK21" i="4"/>
  <c r="RJ21" i="4"/>
  <c r="RI21" i="4"/>
  <c r="RH21" i="4"/>
  <c r="RG21" i="4"/>
  <c r="RE21" i="4"/>
  <c r="RD21" i="4"/>
  <c r="RC21" i="4"/>
  <c r="RB21" i="4"/>
  <c r="RA21" i="4"/>
  <c r="QZ21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22" i="4"/>
  <c r="RK22" i="4"/>
  <c r="RJ22" i="4"/>
  <c r="RI22" i="4"/>
  <c r="RH22" i="4"/>
  <c r="RG22" i="4"/>
  <c r="RE22" i="4"/>
  <c r="RD22" i="4"/>
  <c r="RC22" i="4"/>
  <c r="RB22" i="4"/>
  <c r="RA22" i="4"/>
  <c r="QZ22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19" i="4"/>
  <c r="RK19" i="4"/>
  <c r="RJ19" i="4"/>
  <c r="RI19" i="4"/>
  <c r="RH19" i="4"/>
  <c r="RG19" i="4"/>
  <c r="RE19" i="4"/>
  <c r="RD19" i="4"/>
  <c r="RC19" i="4"/>
  <c r="RB19" i="4"/>
  <c r="RA19" i="4"/>
  <c r="QZ19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9" i="4"/>
  <c r="RK9" i="4"/>
  <c r="RJ9" i="4"/>
  <c r="RI9" i="4"/>
  <c r="RH9" i="4"/>
  <c r="RG9" i="4"/>
  <c r="RE9" i="4"/>
  <c r="RD9" i="4"/>
  <c r="RC9" i="4"/>
  <c r="RB9" i="4"/>
  <c r="RA9" i="4"/>
  <c r="QZ9" i="4"/>
  <c r="RL8" i="4"/>
  <c r="RK8" i="4"/>
  <c r="RJ8" i="4"/>
  <c r="RI8" i="4"/>
  <c r="RH8" i="4"/>
  <c r="RG8" i="4"/>
  <c r="RE8" i="4"/>
  <c r="RD8" i="4"/>
  <c r="RC8" i="4"/>
  <c r="RB8" i="4"/>
  <c r="RA8" i="4"/>
  <c r="QZ8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7" i="4"/>
  <c r="RK7" i="4"/>
  <c r="RJ7" i="4"/>
  <c r="RI7" i="4"/>
  <c r="RH7" i="4"/>
  <c r="RG7" i="4"/>
  <c r="RE7" i="4"/>
  <c r="RD7" i="4"/>
  <c r="RC7" i="4"/>
  <c r="RB7" i="4"/>
  <c r="RA7" i="4"/>
  <c r="QZ7" i="4"/>
  <c r="RL6" i="4"/>
  <c r="RK6" i="4"/>
  <c r="RJ6" i="4"/>
  <c r="RI6" i="4"/>
  <c r="RH6" i="4"/>
  <c r="RG6" i="4"/>
  <c r="RE6" i="4"/>
  <c r="RD6" i="4"/>
  <c r="RC6" i="4"/>
  <c r="RB6" i="4"/>
  <c r="RA6" i="4"/>
  <c r="QZ6" i="4"/>
  <c r="RL4" i="4"/>
  <c r="RK4" i="4"/>
  <c r="RJ4" i="4"/>
  <c r="RI4" i="4"/>
  <c r="RH4" i="4"/>
  <c r="RG4" i="4"/>
  <c r="RE4" i="4"/>
  <c r="RD4" i="4"/>
  <c r="RC4" i="4"/>
  <c r="RB4" i="4"/>
  <c r="RA4" i="4"/>
  <c r="QZ4" i="4"/>
  <c r="RL5" i="4"/>
  <c r="RK5" i="4"/>
  <c r="RJ5" i="4"/>
  <c r="RI5" i="4"/>
  <c r="RH5" i="4"/>
  <c r="RG5" i="4"/>
  <c r="RE5" i="4"/>
  <c r="RD5" i="4"/>
  <c r="RC5" i="4"/>
  <c r="RB5" i="4"/>
  <c r="RA5" i="4"/>
  <c r="QZ5" i="4"/>
  <c r="QD24" i="4"/>
  <c r="QC24" i="4"/>
  <c r="QB24" i="4"/>
  <c r="QA24" i="4"/>
  <c r="PZ24" i="4"/>
  <c r="PY24" i="4"/>
  <c r="PW24" i="4"/>
  <c r="PV24" i="4"/>
  <c r="PU24" i="4"/>
  <c r="PT24" i="4"/>
  <c r="PS24" i="4"/>
  <c r="PR24" i="4"/>
  <c r="QD23" i="4"/>
  <c r="QC23" i="4"/>
  <c r="QB23" i="4"/>
  <c r="QA23" i="4"/>
  <c r="PZ23" i="4"/>
  <c r="PY23" i="4"/>
  <c r="PW23" i="4"/>
  <c r="PV23" i="4"/>
  <c r="PU23" i="4"/>
  <c r="PT23" i="4"/>
  <c r="PS23" i="4"/>
  <c r="PR23" i="4"/>
  <c r="QD21" i="4"/>
  <c r="QC21" i="4"/>
  <c r="QB21" i="4"/>
  <c r="QA21" i="4"/>
  <c r="PZ21" i="4"/>
  <c r="PY21" i="4"/>
  <c r="PW21" i="4"/>
  <c r="PV21" i="4"/>
  <c r="PU21" i="4"/>
  <c r="PT21" i="4"/>
  <c r="PS21" i="4"/>
  <c r="PR21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19" i="4"/>
  <c r="QC19" i="4"/>
  <c r="QB19" i="4"/>
  <c r="QA19" i="4"/>
  <c r="PZ19" i="4"/>
  <c r="PY19" i="4"/>
  <c r="PW19" i="4"/>
  <c r="PV19" i="4"/>
  <c r="PU19" i="4"/>
  <c r="PT19" i="4"/>
  <c r="PS19" i="4"/>
  <c r="PR19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9" i="4"/>
  <c r="QC9" i="4"/>
  <c r="QB9" i="4"/>
  <c r="QA9" i="4"/>
  <c r="PZ9" i="4"/>
  <c r="PY9" i="4"/>
  <c r="PW9" i="4"/>
  <c r="PV9" i="4"/>
  <c r="PU9" i="4"/>
  <c r="PT9" i="4"/>
  <c r="PS9" i="4"/>
  <c r="PR9" i="4"/>
  <c r="QD8" i="4"/>
  <c r="QC8" i="4"/>
  <c r="QB8" i="4"/>
  <c r="QA8" i="4"/>
  <c r="PZ8" i="4"/>
  <c r="PY8" i="4"/>
  <c r="PW8" i="4"/>
  <c r="PV8" i="4"/>
  <c r="PU8" i="4"/>
  <c r="PT8" i="4"/>
  <c r="PS8" i="4"/>
  <c r="PR8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7" i="4"/>
  <c r="QC7" i="4"/>
  <c r="QB7" i="4"/>
  <c r="QA7" i="4"/>
  <c r="PZ7" i="4"/>
  <c r="PY7" i="4"/>
  <c r="PW7" i="4"/>
  <c r="PV7" i="4"/>
  <c r="PU7" i="4"/>
  <c r="PT7" i="4"/>
  <c r="PS7" i="4"/>
  <c r="PR7" i="4"/>
  <c r="QD6" i="4"/>
  <c r="QC6" i="4"/>
  <c r="QB6" i="4"/>
  <c r="QA6" i="4"/>
  <c r="PZ6" i="4"/>
  <c r="PY6" i="4"/>
  <c r="PW6" i="4"/>
  <c r="PV6" i="4"/>
  <c r="PU6" i="4"/>
  <c r="PT6" i="4"/>
  <c r="PS6" i="4"/>
  <c r="PR6" i="4"/>
  <c r="QD4" i="4"/>
  <c r="QC4" i="4"/>
  <c r="QB4" i="4"/>
  <c r="QA4" i="4"/>
  <c r="PZ4" i="4"/>
  <c r="PY4" i="4"/>
  <c r="PW4" i="4"/>
  <c r="PV4" i="4"/>
  <c r="PU4" i="4"/>
  <c r="PT4" i="4"/>
  <c r="PS4" i="4"/>
  <c r="PR4" i="4"/>
  <c r="QD5" i="4"/>
  <c r="QC5" i="4"/>
  <c r="QB5" i="4"/>
  <c r="QA5" i="4"/>
  <c r="PZ5" i="4"/>
  <c r="PY5" i="4"/>
  <c r="PW5" i="4"/>
  <c r="PV5" i="4"/>
  <c r="PU5" i="4"/>
  <c r="PT5" i="4"/>
  <c r="PS5" i="4"/>
  <c r="PR5" i="4"/>
  <c r="OV24" i="4"/>
  <c r="OU24" i="4"/>
  <c r="OT24" i="4"/>
  <c r="OS24" i="4"/>
  <c r="OR24" i="4"/>
  <c r="OQ24" i="4"/>
  <c r="OO24" i="4"/>
  <c r="ON24" i="4"/>
  <c r="OM24" i="4"/>
  <c r="OL24" i="4"/>
  <c r="OK24" i="4"/>
  <c r="OJ24" i="4"/>
  <c r="OV23" i="4"/>
  <c r="OU23" i="4"/>
  <c r="OT23" i="4"/>
  <c r="OS23" i="4"/>
  <c r="OR23" i="4"/>
  <c r="OQ23" i="4"/>
  <c r="OO23" i="4"/>
  <c r="ON23" i="4"/>
  <c r="OM23" i="4"/>
  <c r="OL23" i="4"/>
  <c r="OK23" i="4"/>
  <c r="OJ23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19" i="4"/>
  <c r="OU19" i="4"/>
  <c r="OT19" i="4"/>
  <c r="OS19" i="4"/>
  <c r="OR19" i="4"/>
  <c r="OQ19" i="4"/>
  <c r="OO19" i="4"/>
  <c r="ON19" i="4"/>
  <c r="OM19" i="4"/>
  <c r="OL19" i="4"/>
  <c r="OK19" i="4"/>
  <c r="OJ19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9" i="4"/>
  <c r="OU9" i="4"/>
  <c r="OT9" i="4"/>
  <c r="OS9" i="4"/>
  <c r="OR9" i="4"/>
  <c r="OQ9" i="4"/>
  <c r="OO9" i="4"/>
  <c r="ON9" i="4"/>
  <c r="OM9" i="4"/>
  <c r="OL9" i="4"/>
  <c r="OK9" i="4"/>
  <c r="OJ9" i="4"/>
  <c r="OV8" i="4"/>
  <c r="OU8" i="4"/>
  <c r="OT8" i="4"/>
  <c r="OS8" i="4"/>
  <c r="OR8" i="4"/>
  <c r="OQ8" i="4"/>
  <c r="OO8" i="4"/>
  <c r="ON8" i="4"/>
  <c r="OM8" i="4"/>
  <c r="OL8" i="4"/>
  <c r="OK8" i="4"/>
  <c r="OJ8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7" i="4"/>
  <c r="OU7" i="4"/>
  <c r="OT7" i="4"/>
  <c r="OS7" i="4"/>
  <c r="OR7" i="4"/>
  <c r="OQ7" i="4"/>
  <c r="OO7" i="4"/>
  <c r="ON7" i="4"/>
  <c r="OM7" i="4"/>
  <c r="OL7" i="4"/>
  <c r="OK7" i="4"/>
  <c r="OJ7" i="4"/>
  <c r="OV6" i="4"/>
  <c r="OU6" i="4"/>
  <c r="OT6" i="4"/>
  <c r="OS6" i="4"/>
  <c r="OR6" i="4"/>
  <c r="OQ6" i="4"/>
  <c r="OO6" i="4"/>
  <c r="ON6" i="4"/>
  <c r="OM6" i="4"/>
  <c r="OL6" i="4"/>
  <c r="OK6" i="4"/>
  <c r="OJ6" i="4"/>
  <c r="OV4" i="4"/>
  <c r="OU4" i="4"/>
  <c r="OT4" i="4"/>
  <c r="OS4" i="4"/>
  <c r="OR4" i="4"/>
  <c r="OQ4" i="4"/>
  <c r="OO4" i="4"/>
  <c r="ON4" i="4"/>
  <c r="OM4" i="4"/>
  <c r="OL4" i="4"/>
  <c r="OK4" i="4"/>
  <c r="OJ4" i="4"/>
  <c r="OV5" i="4"/>
  <c r="OU5" i="4"/>
  <c r="OT5" i="4"/>
  <c r="OS5" i="4"/>
  <c r="OR5" i="4"/>
  <c r="OQ5" i="4"/>
  <c r="OO5" i="4"/>
  <c r="ON5" i="4"/>
  <c r="OM5" i="4"/>
  <c r="OL5" i="4"/>
  <c r="OK5" i="4"/>
  <c r="OJ5" i="4"/>
  <c r="NN24" i="4"/>
  <c r="NM24" i="4"/>
  <c r="NL24" i="4"/>
  <c r="NK24" i="4"/>
  <c r="NJ24" i="4"/>
  <c r="NI24" i="4"/>
  <c r="NG24" i="4"/>
  <c r="NF24" i="4"/>
  <c r="NE24" i="4"/>
  <c r="ND24" i="4"/>
  <c r="NC24" i="4"/>
  <c r="NB24" i="4"/>
  <c r="NN23" i="4"/>
  <c r="NM23" i="4"/>
  <c r="NL23" i="4"/>
  <c r="NK23" i="4"/>
  <c r="NJ23" i="4"/>
  <c r="NI23" i="4"/>
  <c r="NG23" i="4"/>
  <c r="NF23" i="4"/>
  <c r="NE23" i="4"/>
  <c r="ND23" i="4"/>
  <c r="NC23" i="4"/>
  <c r="NB23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19" i="4"/>
  <c r="NM19" i="4"/>
  <c r="NL19" i="4"/>
  <c r="NK19" i="4"/>
  <c r="NJ19" i="4"/>
  <c r="NI19" i="4"/>
  <c r="NG19" i="4"/>
  <c r="NF19" i="4"/>
  <c r="NE19" i="4"/>
  <c r="ND19" i="4"/>
  <c r="NC19" i="4"/>
  <c r="NB19" i="4"/>
  <c r="NN13" i="4"/>
  <c r="NM13" i="4"/>
  <c r="NL13" i="4"/>
  <c r="NK13" i="4"/>
  <c r="NJ13" i="4"/>
  <c r="NI13" i="4"/>
  <c r="NG13" i="4"/>
  <c r="NF13" i="4"/>
  <c r="NE13" i="4"/>
  <c r="ND13" i="4"/>
  <c r="NC13" i="4"/>
  <c r="NB13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9" i="4"/>
  <c r="NM9" i="4"/>
  <c r="NL9" i="4"/>
  <c r="NK9" i="4"/>
  <c r="NJ9" i="4"/>
  <c r="NI9" i="4"/>
  <c r="NG9" i="4"/>
  <c r="NF9" i="4"/>
  <c r="NE9" i="4"/>
  <c r="ND9" i="4"/>
  <c r="NC9" i="4"/>
  <c r="NB9" i="4"/>
  <c r="NN8" i="4"/>
  <c r="NM8" i="4"/>
  <c r="NL8" i="4"/>
  <c r="NK8" i="4"/>
  <c r="NJ8" i="4"/>
  <c r="NI8" i="4"/>
  <c r="NG8" i="4"/>
  <c r="NF8" i="4"/>
  <c r="NE8" i="4"/>
  <c r="ND8" i="4"/>
  <c r="NC8" i="4"/>
  <c r="NB8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7" i="4"/>
  <c r="NM7" i="4"/>
  <c r="NL7" i="4"/>
  <c r="NK7" i="4"/>
  <c r="NJ7" i="4"/>
  <c r="NI7" i="4"/>
  <c r="NG7" i="4"/>
  <c r="NF7" i="4"/>
  <c r="NE7" i="4"/>
  <c r="ND7" i="4"/>
  <c r="NC7" i="4"/>
  <c r="NB7" i="4"/>
  <c r="NN6" i="4"/>
  <c r="NM6" i="4"/>
  <c r="NL6" i="4"/>
  <c r="NK6" i="4"/>
  <c r="NJ6" i="4"/>
  <c r="NI6" i="4"/>
  <c r="NG6" i="4"/>
  <c r="NF6" i="4"/>
  <c r="NE6" i="4"/>
  <c r="ND6" i="4"/>
  <c r="NC6" i="4"/>
  <c r="NB6" i="4"/>
  <c r="NN4" i="4"/>
  <c r="NM4" i="4"/>
  <c r="NL4" i="4"/>
  <c r="NK4" i="4"/>
  <c r="NJ4" i="4"/>
  <c r="NI4" i="4"/>
  <c r="NG4" i="4"/>
  <c r="NF4" i="4"/>
  <c r="NE4" i="4"/>
  <c r="ND4" i="4"/>
  <c r="NC4" i="4"/>
  <c r="NB4" i="4"/>
  <c r="NN5" i="4"/>
  <c r="NM5" i="4"/>
  <c r="NL5" i="4"/>
  <c r="NK5" i="4"/>
  <c r="NJ5" i="4"/>
  <c r="NI5" i="4"/>
  <c r="NG5" i="4"/>
  <c r="NF5" i="4"/>
  <c r="NE5" i="4"/>
  <c r="ND5" i="4"/>
  <c r="NC5" i="4"/>
  <c r="NB5" i="4"/>
  <c r="MF24" i="4"/>
  <c r="ME24" i="4"/>
  <c r="MD24" i="4"/>
  <c r="MC24" i="4"/>
  <c r="MB24" i="4"/>
  <c r="MA24" i="4"/>
  <c r="LY24" i="4"/>
  <c r="LX24" i="4"/>
  <c r="LW24" i="4"/>
  <c r="LV24" i="4"/>
  <c r="LU24" i="4"/>
  <c r="LT24" i="4"/>
  <c r="MF23" i="4"/>
  <c r="ME23" i="4"/>
  <c r="MD23" i="4"/>
  <c r="MC23" i="4"/>
  <c r="MB23" i="4"/>
  <c r="MA23" i="4"/>
  <c r="LY23" i="4"/>
  <c r="LX23" i="4"/>
  <c r="LW23" i="4"/>
  <c r="LV23" i="4"/>
  <c r="LU23" i="4"/>
  <c r="LT23" i="4"/>
  <c r="MF21" i="4"/>
  <c r="ME21" i="4"/>
  <c r="MD21" i="4"/>
  <c r="MC21" i="4"/>
  <c r="MB21" i="4"/>
  <c r="MA21" i="4"/>
  <c r="LY21" i="4"/>
  <c r="LX21" i="4"/>
  <c r="LW21" i="4"/>
  <c r="LV21" i="4"/>
  <c r="LU21" i="4"/>
  <c r="LT21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19" i="4"/>
  <c r="ME19" i="4"/>
  <c r="MD19" i="4"/>
  <c r="MC19" i="4"/>
  <c r="MB19" i="4"/>
  <c r="MA19" i="4"/>
  <c r="LY19" i="4"/>
  <c r="LX19" i="4"/>
  <c r="LW19" i="4"/>
  <c r="LV19" i="4"/>
  <c r="LU19" i="4"/>
  <c r="LT19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9" i="4"/>
  <c r="ME9" i="4"/>
  <c r="MD9" i="4"/>
  <c r="MC9" i="4"/>
  <c r="MB9" i="4"/>
  <c r="MA9" i="4"/>
  <c r="LY9" i="4"/>
  <c r="LX9" i="4"/>
  <c r="LW9" i="4"/>
  <c r="LV9" i="4"/>
  <c r="LU9" i="4"/>
  <c r="LT9" i="4"/>
  <c r="MF8" i="4"/>
  <c r="ME8" i="4"/>
  <c r="MD8" i="4"/>
  <c r="MC8" i="4"/>
  <c r="MB8" i="4"/>
  <c r="MA8" i="4"/>
  <c r="LY8" i="4"/>
  <c r="LX8" i="4"/>
  <c r="LW8" i="4"/>
  <c r="LV8" i="4"/>
  <c r="LU8" i="4"/>
  <c r="LT8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7" i="4"/>
  <c r="ME7" i="4"/>
  <c r="MD7" i="4"/>
  <c r="MC7" i="4"/>
  <c r="MB7" i="4"/>
  <c r="MA7" i="4"/>
  <c r="LY7" i="4"/>
  <c r="LX7" i="4"/>
  <c r="LW7" i="4"/>
  <c r="LV7" i="4"/>
  <c r="LU7" i="4"/>
  <c r="LT7" i="4"/>
  <c r="MF6" i="4"/>
  <c r="ME6" i="4"/>
  <c r="MD6" i="4"/>
  <c r="MC6" i="4"/>
  <c r="MB6" i="4"/>
  <c r="MA6" i="4"/>
  <c r="LY6" i="4"/>
  <c r="LX6" i="4"/>
  <c r="LW6" i="4"/>
  <c r="LV6" i="4"/>
  <c r="LU6" i="4"/>
  <c r="LT6" i="4"/>
  <c r="MF4" i="4"/>
  <c r="ME4" i="4"/>
  <c r="MD4" i="4"/>
  <c r="MC4" i="4"/>
  <c r="MB4" i="4"/>
  <c r="MA4" i="4"/>
  <c r="LY4" i="4"/>
  <c r="LX4" i="4"/>
  <c r="LW4" i="4"/>
  <c r="LV4" i="4"/>
  <c r="LU4" i="4"/>
  <c r="LT4" i="4"/>
  <c r="MF5" i="4"/>
  <c r="ME5" i="4"/>
  <c r="MD5" i="4"/>
  <c r="MC5" i="4"/>
  <c r="MB5" i="4"/>
  <c r="MA5" i="4"/>
  <c r="LY5" i="4"/>
  <c r="LX5" i="4"/>
  <c r="LW5" i="4"/>
  <c r="LV5" i="4"/>
  <c r="LU5" i="4"/>
  <c r="LT5" i="4"/>
  <c r="KX24" i="4"/>
  <c r="KW24" i="4"/>
  <c r="KV24" i="4"/>
  <c r="KU24" i="4"/>
  <c r="KT24" i="4"/>
  <c r="KS24" i="4"/>
  <c r="KQ24" i="4"/>
  <c r="KP24" i="4"/>
  <c r="KO24" i="4"/>
  <c r="KN24" i="4"/>
  <c r="KM24" i="4"/>
  <c r="KL24" i="4"/>
  <c r="KX23" i="4"/>
  <c r="KW23" i="4"/>
  <c r="KV23" i="4"/>
  <c r="KU23" i="4"/>
  <c r="KT23" i="4"/>
  <c r="KS23" i="4"/>
  <c r="KQ23" i="4"/>
  <c r="KP23" i="4"/>
  <c r="KO23" i="4"/>
  <c r="KN23" i="4"/>
  <c r="KM23" i="4"/>
  <c r="KL23" i="4"/>
  <c r="KX21" i="4"/>
  <c r="KW21" i="4"/>
  <c r="KV21" i="4"/>
  <c r="KU21" i="4"/>
  <c r="KT21" i="4"/>
  <c r="KS21" i="4"/>
  <c r="KQ21" i="4"/>
  <c r="KP21" i="4"/>
  <c r="KO21" i="4"/>
  <c r="KN21" i="4"/>
  <c r="KM21" i="4"/>
  <c r="KL21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19" i="4"/>
  <c r="KW19" i="4"/>
  <c r="KV19" i="4"/>
  <c r="KU19" i="4"/>
  <c r="KT19" i="4"/>
  <c r="KS19" i="4"/>
  <c r="KQ19" i="4"/>
  <c r="KP19" i="4"/>
  <c r="KO19" i="4"/>
  <c r="KN19" i="4"/>
  <c r="KM19" i="4"/>
  <c r="KL19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9" i="4"/>
  <c r="KW9" i="4"/>
  <c r="KV9" i="4"/>
  <c r="KU9" i="4"/>
  <c r="KT9" i="4"/>
  <c r="KS9" i="4"/>
  <c r="KQ9" i="4"/>
  <c r="KP9" i="4"/>
  <c r="KO9" i="4"/>
  <c r="KN9" i="4"/>
  <c r="KM9" i="4"/>
  <c r="KL9" i="4"/>
  <c r="KX8" i="4"/>
  <c r="KW8" i="4"/>
  <c r="KV8" i="4"/>
  <c r="KU8" i="4"/>
  <c r="KT8" i="4"/>
  <c r="KS8" i="4"/>
  <c r="KQ8" i="4"/>
  <c r="KP8" i="4"/>
  <c r="KO8" i="4"/>
  <c r="KN8" i="4"/>
  <c r="KM8" i="4"/>
  <c r="KL8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7" i="4"/>
  <c r="KW7" i="4"/>
  <c r="KV7" i="4"/>
  <c r="KU7" i="4"/>
  <c r="KT7" i="4"/>
  <c r="KS7" i="4"/>
  <c r="KQ7" i="4"/>
  <c r="KP7" i="4"/>
  <c r="KO7" i="4"/>
  <c r="KN7" i="4"/>
  <c r="KM7" i="4"/>
  <c r="KL7" i="4"/>
  <c r="KX6" i="4"/>
  <c r="KW6" i="4"/>
  <c r="KV6" i="4"/>
  <c r="KU6" i="4"/>
  <c r="KT6" i="4"/>
  <c r="KS6" i="4"/>
  <c r="KQ6" i="4"/>
  <c r="KP6" i="4"/>
  <c r="KO6" i="4"/>
  <c r="KN6" i="4"/>
  <c r="KM6" i="4"/>
  <c r="KL6" i="4"/>
  <c r="KX4" i="4"/>
  <c r="KW4" i="4"/>
  <c r="KV4" i="4"/>
  <c r="KU4" i="4"/>
  <c r="KT4" i="4"/>
  <c r="KS4" i="4"/>
  <c r="KQ4" i="4"/>
  <c r="KP4" i="4"/>
  <c r="KO4" i="4"/>
  <c r="KN4" i="4"/>
  <c r="KM4" i="4"/>
  <c r="KL4" i="4"/>
  <c r="KX5" i="4"/>
  <c r="KW5" i="4"/>
  <c r="KV5" i="4"/>
  <c r="KU5" i="4"/>
  <c r="KT5" i="4"/>
  <c r="KS5" i="4"/>
  <c r="KQ5" i="4"/>
  <c r="KP5" i="4"/>
  <c r="KO5" i="4"/>
  <c r="KN5" i="4"/>
  <c r="KM5" i="4"/>
  <c r="KL5" i="4"/>
  <c r="JP24" i="4"/>
  <c r="JO24" i="4"/>
  <c r="JN24" i="4"/>
  <c r="JM24" i="4"/>
  <c r="JL24" i="4"/>
  <c r="JK24" i="4"/>
  <c r="JI24" i="4"/>
  <c r="JH24" i="4"/>
  <c r="JG24" i="4"/>
  <c r="JF24" i="4"/>
  <c r="JE24" i="4"/>
  <c r="JD24" i="4"/>
  <c r="JP23" i="4"/>
  <c r="JO23" i="4"/>
  <c r="JN23" i="4"/>
  <c r="JM23" i="4"/>
  <c r="JL23" i="4"/>
  <c r="JK23" i="4"/>
  <c r="JI23" i="4"/>
  <c r="JH23" i="4"/>
  <c r="JG23" i="4"/>
  <c r="JF23" i="4"/>
  <c r="JE23" i="4"/>
  <c r="JD23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19" i="4"/>
  <c r="JO19" i="4"/>
  <c r="JN19" i="4"/>
  <c r="JM19" i="4"/>
  <c r="JL19" i="4"/>
  <c r="JK19" i="4"/>
  <c r="JI19" i="4"/>
  <c r="JH19" i="4"/>
  <c r="JG19" i="4"/>
  <c r="JF19" i="4"/>
  <c r="JE19" i="4"/>
  <c r="JD19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9" i="4"/>
  <c r="JO9" i="4"/>
  <c r="JN9" i="4"/>
  <c r="JM9" i="4"/>
  <c r="JL9" i="4"/>
  <c r="JK9" i="4"/>
  <c r="JI9" i="4"/>
  <c r="JH9" i="4"/>
  <c r="JG9" i="4"/>
  <c r="JF9" i="4"/>
  <c r="JE9" i="4"/>
  <c r="JD9" i="4"/>
  <c r="JP8" i="4"/>
  <c r="JO8" i="4"/>
  <c r="JN8" i="4"/>
  <c r="JM8" i="4"/>
  <c r="JL8" i="4"/>
  <c r="JK8" i="4"/>
  <c r="JI8" i="4"/>
  <c r="JH8" i="4"/>
  <c r="JG8" i="4"/>
  <c r="JF8" i="4"/>
  <c r="JE8" i="4"/>
  <c r="JD8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7" i="4"/>
  <c r="JO7" i="4"/>
  <c r="JN7" i="4"/>
  <c r="JM7" i="4"/>
  <c r="JL7" i="4"/>
  <c r="JK7" i="4"/>
  <c r="JI7" i="4"/>
  <c r="JH7" i="4"/>
  <c r="JG7" i="4"/>
  <c r="JF7" i="4"/>
  <c r="JE7" i="4"/>
  <c r="JD7" i="4"/>
  <c r="JP6" i="4"/>
  <c r="JO6" i="4"/>
  <c r="JN6" i="4"/>
  <c r="JM6" i="4"/>
  <c r="JL6" i="4"/>
  <c r="JK6" i="4"/>
  <c r="JI6" i="4"/>
  <c r="JH6" i="4"/>
  <c r="JG6" i="4"/>
  <c r="JF6" i="4"/>
  <c r="JE6" i="4"/>
  <c r="JD6" i="4"/>
  <c r="JP4" i="4"/>
  <c r="JO4" i="4"/>
  <c r="JN4" i="4"/>
  <c r="JM4" i="4"/>
  <c r="JL4" i="4"/>
  <c r="JK4" i="4"/>
  <c r="JI4" i="4"/>
  <c r="JH4" i="4"/>
  <c r="JG4" i="4"/>
  <c r="JF4" i="4"/>
  <c r="JE4" i="4"/>
  <c r="JD4" i="4"/>
  <c r="JP5" i="4"/>
  <c r="JO5" i="4"/>
  <c r="JN5" i="4"/>
  <c r="JM5" i="4"/>
  <c r="JL5" i="4"/>
  <c r="JK5" i="4"/>
  <c r="JI5" i="4"/>
  <c r="JH5" i="4"/>
  <c r="JG5" i="4"/>
  <c r="JF5" i="4"/>
  <c r="JE5" i="4"/>
  <c r="JD5" i="4"/>
  <c r="IH24" i="4"/>
  <c r="IG24" i="4"/>
  <c r="IF24" i="4"/>
  <c r="IE24" i="4"/>
  <c r="ID24" i="4"/>
  <c r="IC24" i="4"/>
  <c r="IA24" i="4"/>
  <c r="HZ24" i="4"/>
  <c r="HY24" i="4"/>
  <c r="HX24" i="4"/>
  <c r="HW24" i="4"/>
  <c r="HV24" i="4"/>
  <c r="IH23" i="4"/>
  <c r="IG23" i="4"/>
  <c r="IF23" i="4"/>
  <c r="IE23" i="4"/>
  <c r="ID23" i="4"/>
  <c r="IC23" i="4"/>
  <c r="IA23" i="4"/>
  <c r="HZ23" i="4"/>
  <c r="HY23" i="4"/>
  <c r="HX23" i="4"/>
  <c r="HW23" i="4"/>
  <c r="HV23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19" i="4"/>
  <c r="IG19" i="4"/>
  <c r="IF19" i="4"/>
  <c r="IE19" i="4"/>
  <c r="ID19" i="4"/>
  <c r="IC19" i="4"/>
  <c r="IA19" i="4"/>
  <c r="HZ19" i="4"/>
  <c r="HY19" i="4"/>
  <c r="HX19" i="4"/>
  <c r="HW19" i="4"/>
  <c r="HV19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9" i="4"/>
  <c r="IG9" i="4"/>
  <c r="IF9" i="4"/>
  <c r="IE9" i="4"/>
  <c r="ID9" i="4"/>
  <c r="IC9" i="4"/>
  <c r="IA9" i="4"/>
  <c r="HZ9" i="4"/>
  <c r="HY9" i="4"/>
  <c r="HX9" i="4"/>
  <c r="HW9" i="4"/>
  <c r="HV9" i="4"/>
  <c r="IH8" i="4"/>
  <c r="IG8" i="4"/>
  <c r="IF8" i="4"/>
  <c r="IE8" i="4"/>
  <c r="ID8" i="4"/>
  <c r="IC8" i="4"/>
  <c r="IA8" i="4"/>
  <c r="HZ8" i="4"/>
  <c r="HY8" i="4"/>
  <c r="HX8" i="4"/>
  <c r="HW8" i="4"/>
  <c r="HV8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7" i="4"/>
  <c r="IG7" i="4"/>
  <c r="IF7" i="4"/>
  <c r="IE7" i="4"/>
  <c r="ID7" i="4"/>
  <c r="IC7" i="4"/>
  <c r="IA7" i="4"/>
  <c r="HZ7" i="4"/>
  <c r="HY7" i="4"/>
  <c r="HX7" i="4"/>
  <c r="HW7" i="4"/>
  <c r="HV7" i="4"/>
  <c r="IH6" i="4"/>
  <c r="IG6" i="4"/>
  <c r="IF6" i="4"/>
  <c r="IE6" i="4"/>
  <c r="ID6" i="4"/>
  <c r="IC6" i="4"/>
  <c r="IA6" i="4"/>
  <c r="HZ6" i="4"/>
  <c r="HY6" i="4"/>
  <c r="HX6" i="4"/>
  <c r="HW6" i="4"/>
  <c r="HV6" i="4"/>
  <c r="IH4" i="4"/>
  <c r="IG4" i="4"/>
  <c r="IF4" i="4"/>
  <c r="IE4" i="4"/>
  <c r="ID4" i="4"/>
  <c r="IC4" i="4"/>
  <c r="IA4" i="4"/>
  <c r="HZ4" i="4"/>
  <c r="HY4" i="4"/>
  <c r="HX4" i="4"/>
  <c r="HW4" i="4"/>
  <c r="HV4" i="4"/>
  <c r="IH5" i="4"/>
  <c r="IG5" i="4"/>
  <c r="IF5" i="4"/>
  <c r="IE5" i="4"/>
  <c r="ID5" i="4"/>
  <c r="IC5" i="4"/>
  <c r="IA5" i="4"/>
  <c r="HZ5" i="4"/>
  <c r="HY5" i="4"/>
  <c r="HX5" i="4"/>
  <c r="HW5" i="4"/>
  <c r="HV5" i="4"/>
  <c r="GZ24" i="4"/>
  <c r="GY24" i="4"/>
  <c r="GX24" i="4"/>
  <c r="GW24" i="4"/>
  <c r="GV24" i="4"/>
  <c r="GU24" i="4"/>
  <c r="GS24" i="4"/>
  <c r="GR24" i="4"/>
  <c r="GQ24" i="4"/>
  <c r="GP24" i="4"/>
  <c r="GO24" i="4"/>
  <c r="GN24" i="4"/>
  <c r="GZ23" i="4"/>
  <c r="GY23" i="4"/>
  <c r="GX23" i="4"/>
  <c r="GW23" i="4"/>
  <c r="GV23" i="4"/>
  <c r="GU23" i="4"/>
  <c r="GS23" i="4"/>
  <c r="GR23" i="4"/>
  <c r="GQ23" i="4"/>
  <c r="GP23" i="4"/>
  <c r="GO23" i="4"/>
  <c r="GN23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19" i="4"/>
  <c r="GY19" i="4"/>
  <c r="GX19" i="4"/>
  <c r="GW19" i="4"/>
  <c r="GV19" i="4"/>
  <c r="GU19" i="4"/>
  <c r="GS19" i="4"/>
  <c r="GR19" i="4"/>
  <c r="GQ19" i="4"/>
  <c r="GP19" i="4"/>
  <c r="GO19" i="4"/>
  <c r="GN19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9" i="4"/>
  <c r="GY9" i="4"/>
  <c r="GX9" i="4"/>
  <c r="GW9" i="4"/>
  <c r="GV9" i="4"/>
  <c r="GU9" i="4"/>
  <c r="GS9" i="4"/>
  <c r="GR9" i="4"/>
  <c r="GQ9" i="4"/>
  <c r="GP9" i="4"/>
  <c r="GO9" i="4"/>
  <c r="GN9" i="4"/>
  <c r="GZ8" i="4"/>
  <c r="GY8" i="4"/>
  <c r="GX8" i="4"/>
  <c r="GW8" i="4"/>
  <c r="GV8" i="4"/>
  <c r="GU8" i="4"/>
  <c r="GS8" i="4"/>
  <c r="GR8" i="4"/>
  <c r="GQ8" i="4"/>
  <c r="GP8" i="4"/>
  <c r="GO8" i="4"/>
  <c r="GN8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7" i="4"/>
  <c r="GY7" i="4"/>
  <c r="GX7" i="4"/>
  <c r="GW7" i="4"/>
  <c r="GV7" i="4"/>
  <c r="GU7" i="4"/>
  <c r="GS7" i="4"/>
  <c r="GR7" i="4"/>
  <c r="GQ7" i="4"/>
  <c r="GP7" i="4"/>
  <c r="GO7" i="4"/>
  <c r="GN7" i="4"/>
  <c r="GZ6" i="4"/>
  <c r="GY6" i="4"/>
  <c r="GX6" i="4"/>
  <c r="GW6" i="4"/>
  <c r="GV6" i="4"/>
  <c r="GU6" i="4"/>
  <c r="GS6" i="4"/>
  <c r="GR6" i="4"/>
  <c r="GQ6" i="4"/>
  <c r="GP6" i="4"/>
  <c r="GO6" i="4"/>
  <c r="GN6" i="4"/>
  <c r="GZ4" i="4"/>
  <c r="GY4" i="4"/>
  <c r="GX4" i="4"/>
  <c r="GW4" i="4"/>
  <c r="GV4" i="4"/>
  <c r="GU4" i="4"/>
  <c r="GS4" i="4"/>
  <c r="GR4" i="4"/>
  <c r="GQ4" i="4"/>
  <c r="GP4" i="4"/>
  <c r="GO4" i="4"/>
  <c r="GN4" i="4"/>
  <c r="GZ5" i="4"/>
  <c r="GY5" i="4"/>
  <c r="GX5" i="4"/>
  <c r="GW5" i="4"/>
  <c r="GV5" i="4"/>
  <c r="GU5" i="4"/>
  <c r="GS5" i="4"/>
  <c r="GR5" i="4"/>
  <c r="GQ5" i="4"/>
  <c r="GP5" i="4"/>
  <c r="GO5" i="4"/>
  <c r="GN5" i="4"/>
  <c r="FR24" i="4"/>
  <c r="FQ24" i="4"/>
  <c r="FP24" i="4"/>
  <c r="FO24" i="4"/>
  <c r="FN24" i="4"/>
  <c r="FM24" i="4"/>
  <c r="FK24" i="4"/>
  <c r="FJ24" i="4"/>
  <c r="FI24" i="4"/>
  <c r="FH24" i="4"/>
  <c r="FG24" i="4"/>
  <c r="FF24" i="4"/>
  <c r="FR23" i="4"/>
  <c r="FQ23" i="4"/>
  <c r="FP23" i="4"/>
  <c r="FO23" i="4"/>
  <c r="FN23" i="4"/>
  <c r="FM23" i="4"/>
  <c r="FK23" i="4"/>
  <c r="FJ23" i="4"/>
  <c r="FI23" i="4"/>
  <c r="FH23" i="4"/>
  <c r="FG23" i="4"/>
  <c r="FF23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19" i="4"/>
  <c r="FQ19" i="4"/>
  <c r="FP19" i="4"/>
  <c r="FO19" i="4"/>
  <c r="FN19" i="4"/>
  <c r="FM19" i="4"/>
  <c r="FK19" i="4"/>
  <c r="FJ19" i="4"/>
  <c r="FI19" i="4"/>
  <c r="FH19" i="4"/>
  <c r="FG19" i="4"/>
  <c r="FF19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9" i="4"/>
  <c r="FQ9" i="4"/>
  <c r="FP9" i="4"/>
  <c r="FO9" i="4"/>
  <c r="FN9" i="4"/>
  <c r="FM9" i="4"/>
  <c r="FK9" i="4"/>
  <c r="FJ9" i="4"/>
  <c r="FI9" i="4"/>
  <c r="FH9" i="4"/>
  <c r="FG9" i="4"/>
  <c r="FF9" i="4"/>
  <c r="FR8" i="4"/>
  <c r="FQ8" i="4"/>
  <c r="FP8" i="4"/>
  <c r="FO8" i="4"/>
  <c r="FN8" i="4"/>
  <c r="FM8" i="4"/>
  <c r="FK8" i="4"/>
  <c r="FJ8" i="4"/>
  <c r="FI8" i="4"/>
  <c r="FH8" i="4"/>
  <c r="FG8" i="4"/>
  <c r="FF8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7" i="4"/>
  <c r="FQ7" i="4"/>
  <c r="FP7" i="4"/>
  <c r="FO7" i="4"/>
  <c r="FN7" i="4"/>
  <c r="FM7" i="4"/>
  <c r="FK7" i="4"/>
  <c r="FJ7" i="4"/>
  <c r="FI7" i="4"/>
  <c r="FH7" i="4"/>
  <c r="FG7" i="4"/>
  <c r="FF7" i="4"/>
  <c r="FR6" i="4"/>
  <c r="FQ6" i="4"/>
  <c r="FP6" i="4"/>
  <c r="FO6" i="4"/>
  <c r="FN6" i="4"/>
  <c r="FM6" i="4"/>
  <c r="FK6" i="4"/>
  <c r="FJ6" i="4"/>
  <c r="FI6" i="4"/>
  <c r="FH6" i="4"/>
  <c r="FG6" i="4"/>
  <c r="FF6" i="4"/>
  <c r="FR4" i="4"/>
  <c r="FQ4" i="4"/>
  <c r="FP4" i="4"/>
  <c r="FO4" i="4"/>
  <c r="FN4" i="4"/>
  <c r="FM4" i="4"/>
  <c r="FK4" i="4"/>
  <c r="FJ4" i="4"/>
  <c r="FI4" i="4"/>
  <c r="FH4" i="4"/>
  <c r="FG4" i="4"/>
  <c r="FF4" i="4"/>
  <c r="FR5" i="4"/>
  <c r="FQ5" i="4"/>
  <c r="FP5" i="4"/>
  <c r="FO5" i="4"/>
  <c r="FN5" i="4"/>
  <c r="FM5" i="4"/>
  <c r="FK5" i="4"/>
  <c r="FJ5" i="4"/>
  <c r="FI5" i="4"/>
  <c r="FH5" i="4"/>
  <c r="FG5" i="4"/>
  <c r="FF5" i="4"/>
  <c r="EJ24" i="4"/>
  <c r="EI24" i="4"/>
  <c r="EH24" i="4"/>
  <c r="EG24" i="4"/>
  <c r="EF24" i="4"/>
  <c r="EE24" i="4"/>
  <c r="EC24" i="4"/>
  <c r="EB24" i="4"/>
  <c r="EA24" i="4"/>
  <c r="DZ24" i="4"/>
  <c r="DY24" i="4"/>
  <c r="DX24" i="4"/>
  <c r="EJ23" i="4"/>
  <c r="EI23" i="4"/>
  <c r="EH23" i="4"/>
  <c r="EG23" i="4"/>
  <c r="EF23" i="4"/>
  <c r="EE23" i="4"/>
  <c r="EC23" i="4"/>
  <c r="EB23" i="4"/>
  <c r="EA23" i="4"/>
  <c r="DZ23" i="4"/>
  <c r="DY23" i="4"/>
  <c r="DX23" i="4"/>
  <c r="EJ21" i="4"/>
  <c r="EI21" i="4"/>
  <c r="EH21" i="4"/>
  <c r="EG21" i="4"/>
  <c r="EF21" i="4"/>
  <c r="EE21" i="4"/>
  <c r="EC21" i="4"/>
  <c r="EB21" i="4"/>
  <c r="EA21" i="4"/>
  <c r="DZ21" i="4"/>
  <c r="DY21" i="4"/>
  <c r="DX21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19" i="4"/>
  <c r="EI19" i="4"/>
  <c r="EH19" i="4"/>
  <c r="EG19" i="4"/>
  <c r="EF19" i="4"/>
  <c r="EE19" i="4"/>
  <c r="EC19" i="4"/>
  <c r="EB19" i="4"/>
  <c r="EA19" i="4"/>
  <c r="DZ19" i="4"/>
  <c r="DY19" i="4"/>
  <c r="DX19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9" i="4"/>
  <c r="EI9" i="4"/>
  <c r="EH9" i="4"/>
  <c r="EG9" i="4"/>
  <c r="EF9" i="4"/>
  <c r="EE9" i="4"/>
  <c r="EC9" i="4"/>
  <c r="EB9" i="4"/>
  <c r="EA9" i="4"/>
  <c r="DZ9" i="4"/>
  <c r="DY9" i="4"/>
  <c r="DX9" i="4"/>
  <c r="EJ8" i="4"/>
  <c r="EI8" i="4"/>
  <c r="EH8" i="4"/>
  <c r="EG8" i="4"/>
  <c r="EF8" i="4"/>
  <c r="EE8" i="4"/>
  <c r="EC8" i="4"/>
  <c r="EB8" i="4"/>
  <c r="EA8" i="4"/>
  <c r="DZ8" i="4"/>
  <c r="DY8" i="4"/>
  <c r="DX8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7" i="4"/>
  <c r="EI7" i="4"/>
  <c r="EH7" i="4"/>
  <c r="EG7" i="4"/>
  <c r="EF7" i="4"/>
  <c r="EE7" i="4"/>
  <c r="EC7" i="4"/>
  <c r="EB7" i="4"/>
  <c r="EA7" i="4"/>
  <c r="DZ7" i="4"/>
  <c r="DY7" i="4"/>
  <c r="DX7" i="4"/>
  <c r="EJ6" i="4"/>
  <c r="EI6" i="4"/>
  <c r="EH6" i="4"/>
  <c r="EG6" i="4"/>
  <c r="EF6" i="4"/>
  <c r="EE6" i="4"/>
  <c r="EC6" i="4"/>
  <c r="EB6" i="4"/>
  <c r="EA6" i="4"/>
  <c r="DZ6" i="4"/>
  <c r="DY6" i="4"/>
  <c r="DX6" i="4"/>
  <c r="EJ4" i="4"/>
  <c r="EI4" i="4"/>
  <c r="EH4" i="4"/>
  <c r="EG4" i="4"/>
  <c r="EF4" i="4"/>
  <c r="EE4" i="4"/>
  <c r="EC4" i="4"/>
  <c r="EB4" i="4"/>
  <c r="EA4" i="4"/>
  <c r="DZ4" i="4"/>
  <c r="DY4" i="4"/>
  <c r="DX4" i="4"/>
  <c r="EJ5" i="4"/>
  <c r="EI5" i="4"/>
  <c r="EH5" i="4"/>
  <c r="EG5" i="4"/>
  <c r="EF5" i="4"/>
  <c r="EE5" i="4"/>
  <c r="EC5" i="4"/>
  <c r="EB5" i="4"/>
  <c r="EA5" i="4"/>
  <c r="DZ5" i="4"/>
  <c r="DY5" i="4"/>
  <c r="DX5" i="4"/>
  <c r="AP17" i="21"/>
  <c r="AQ17" i="21"/>
  <c r="AR17" i="21"/>
  <c r="AS17" i="21"/>
  <c r="AU17" i="21"/>
  <c r="AV17" i="21"/>
  <c r="BS17" i="21"/>
  <c r="BT17" i="21"/>
  <c r="BU17" i="21"/>
  <c r="BV17" i="21"/>
  <c r="BX17" i="21"/>
  <c r="BY17" i="21"/>
  <c r="CV17" i="21"/>
  <c r="CW17" i="21"/>
  <c r="CX17" i="21"/>
  <c r="CY17" i="21"/>
  <c r="DA17" i="21"/>
  <c r="DB17" i="21"/>
  <c r="TC17" i="21"/>
  <c r="TD17" i="21"/>
  <c r="TE17" i="21"/>
  <c r="TF17" i="21"/>
  <c r="TH17" i="21"/>
  <c r="TI17" i="21"/>
  <c r="TK17" i="21"/>
  <c r="TL17" i="21"/>
  <c r="TM17" i="21"/>
  <c r="TN17" i="21"/>
  <c r="TO17" i="21"/>
  <c r="TP17" i="21"/>
  <c r="TQ17" i="21"/>
  <c r="TR17" i="21"/>
  <c r="TS17" i="21"/>
  <c r="TT17" i="21"/>
  <c r="TU17" i="21"/>
  <c r="TV17" i="21"/>
  <c r="TW17" i="21"/>
  <c r="TX17" i="21"/>
  <c r="TY17" i="21"/>
  <c r="TZ17" i="21"/>
  <c r="UA17" i="21"/>
  <c r="UB17" i="21"/>
  <c r="UC17" i="21"/>
  <c r="UD17" i="21"/>
  <c r="AP8" i="27"/>
  <c r="AQ8" i="27"/>
  <c r="AR8" i="27"/>
  <c r="AS8" i="27"/>
  <c r="AU8" i="27"/>
  <c r="AV8" i="27"/>
  <c r="BS8" i="27"/>
  <c r="BT8" i="27"/>
  <c r="BU8" i="27"/>
  <c r="BV8" i="27"/>
  <c r="BX8" i="27"/>
  <c r="BY8" i="27"/>
  <c r="CV8" i="27"/>
  <c r="CW8" i="27"/>
  <c r="CX8" i="27"/>
  <c r="CY8" i="27"/>
  <c r="DA8" i="27"/>
  <c r="DB8" i="27"/>
  <c r="TC8" i="27"/>
  <c r="TD8" i="27"/>
  <c r="TE8" i="27"/>
  <c r="TF8" i="27"/>
  <c r="TH8" i="27"/>
  <c r="TI8" i="27"/>
  <c r="TK8" i="27"/>
  <c r="TL8" i="27"/>
  <c r="TM8" i="27"/>
  <c r="TN8" i="27"/>
  <c r="TO8" i="27"/>
  <c r="TP8" i="27"/>
  <c r="TQ8" i="27"/>
  <c r="TR8" i="27"/>
  <c r="TS8" i="27"/>
  <c r="TT8" i="27"/>
  <c r="TU8" i="27"/>
  <c r="TV8" i="27"/>
  <c r="TW8" i="27"/>
  <c r="TX8" i="27"/>
  <c r="TY8" i="27"/>
  <c r="TZ8" i="27"/>
  <c r="UA8" i="27"/>
  <c r="UB8" i="27"/>
  <c r="UC8" i="27"/>
  <c r="UD8" i="27"/>
  <c r="AP10" i="26"/>
  <c r="AQ10" i="26"/>
  <c r="AR10" i="26"/>
  <c r="AS10" i="26"/>
  <c r="AU10" i="26"/>
  <c r="AV10" i="26"/>
  <c r="BS10" i="26"/>
  <c r="BT10" i="26"/>
  <c r="BU10" i="26"/>
  <c r="BV10" i="26"/>
  <c r="BX10" i="26"/>
  <c r="BY10" i="26"/>
  <c r="CV10" i="26"/>
  <c r="CW10" i="26"/>
  <c r="CX10" i="26"/>
  <c r="CY10" i="26"/>
  <c r="DA10" i="26"/>
  <c r="DB10" i="26"/>
  <c r="TC10" i="26"/>
  <c r="TD10" i="26"/>
  <c r="TE10" i="26"/>
  <c r="TF10" i="26"/>
  <c r="TH10" i="26"/>
  <c r="TI10" i="26"/>
  <c r="TK10" i="26"/>
  <c r="TL10" i="26"/>
  <c r="TM10" i="26"/>
  <c r="TN10" i="26"/>
  <c r="TO10" i="26"/>
  <c r="TP10" i="26"/>
  <c r="TQ10" i="26"/>
  <c r="TR10" i="26"/>
  <c r="TS10" i="26"/>
  <c r="TT10" i="26"/>
  <c r="TU10" i="26"/>
  <c r="TV10" i="26"/>
  <c r="TW10" i="26"/>
  <c r="TX10" i="26"/>
  <c r="TY10" i="26"/>
  <c r="TZ10" i="26"/>
  <c r="UA10" i="26"/>
  <c r="UB10" i="26"/>
  <c r="UC10" i="26"/>
  <c r="UD10" i="26"/>
  <c r="UV5" i="23" l="1"/>
  <c r="UV9" i="23"/>
  <c r="QX7" i="23"/>
  <c r="QX9" i="23"/>
  <c r="QX11" i="23"/>
  <c r="RE11" i="23" s="1"/>
  <c r="SF4" i="23"/>
  <c r="SM4" i="23" s="1"/>
  <c r="SF6" i="23"/>
  <c r="SM6" i="23" s="1"/>
  <c r="SF10" i="23"/>
  <c r="SM10" i="23" s="1"/>
  <c r="SF12" i="23"/>
  <c r="SM12" i="23" s="1"/>
  <c r="TN7" i="23"/>
  <c r="UV4" i="23"/>
  <c r="VC4" i="23" s="1"/>
  <c r="UV8" i="23"/>
  <c r="UV12" i="23"/>
  <c r="VC12" i="23" s="1"/>
  <c r="UV14" i="23"/>
  <c r="VC14" i="23" s="1"/>
  <c r="GT14" i="22"/>
  <c r="IB7" i="22"/>
  <c r="IB11" i="22"/>
  <c r="IB13" i="22"/>
  <c r="IB14" i="22"/>
  <c r="JJ5" i="22"/>
  <c r="JQ5" i="22" s="1"/>
  <c r="JJ7" i="22"/>
  <c r="JJ11" i="22"/>
  <c r="JJ10" i="22"/>
  <c r="JJ13" i="22"/>
  <c r="JQ13" i="22" s="1"/>
  <c r="PX11" i="22"/>
  <c r="PX14" i="22"/>
  <c r="QE14" i="22" s="1"/>
  <c r="QD11" i="21"/>
  <c r="QD19" i="21"/>
  <c r="QD22" i="21"/>
  <c r="RF6" i="21"/>
  <c r="RF13" i="21"/>
  <c r="RF21" i="21"/>
  <c r="RF12" i="21"/>
  <c r="RF17" i="21"/>
  <c r="SH9" i="21"/>
  <c r="SH16" i="21"/>
  <c r="SH20" i="21"/>
  <c r="HN17" i="19"/>
  <c r="JR21" i="19"/>
  <c r="JR26" i="19"/>
  <c r="KT7" i="19"/>
  <c r="KT11" i="19"/>
  <c r="KT15" i="19"/>
  <c r="NZ21" i="19"/>
  <c r="NZ26" i="19"/>
  <c r="PB7" i="19"/>
  <c r="PB11" i="19"/>
  <c r="PB15" i="19"/>
  <c r="SH21" i="19"/>
  <c r="SH26" i="19"/>
  <c r="GI5" i="26"/>
  <c r="AT10" i="26"/>
  <c r="UV16" i="23"/>
  <c r="UV18" i="23"/>
  <c r="UV11" i="23"/>
  <c r="VC11" i="23" s="1"/>
  <c r="II11" i="22"/>
  <c r="II13" i="22"/>
  <c r="II7" i="22"/>
  <c r="PX15" i="22"/>
  <c r="PX12" i="22"/>
  <c r="QE12" i="22" s="1"/>
  <c r="RF11" i="22"/>
  <c r="RM11" i="22" s="1"/>
  <c r="RF13" i="22"/>
  <c r="LZ14" i="22"/>
  <c r="MG14" i="22" s="1"/>
  <c r="NH5" i="22"/>
  <c r="NO5" i="22" s="1"/>
  <c r="ED12" i="22"/>
  <c r="EK12" i="22" s="1"/>
  <c r="FL6" i="22"/>
  <c r="FL8" i="22"/>
  <c r="FL9" i="22"/>
  <c r="FS9" i="22" s="1"/>
  <c r="FL15" i="22"/>
  <c r="FS15" i="22" s="1"/>
  <c r="GT6" i="22"/>
  <c r="HA6" i="22" s="1"/>
  <c r="KR6" i="22"/>
  <c r="VD17" i="4"/>
  <c r="KR5" i="4"/>
  <c r="KY5" i="4" s="1"/>
  <c r="VD18" i="4"/>
  <c r="VK18" i="4" s="1"/>
  <c r="VD24" i="4"/>
  <c r="JJ8" i="4"/>
  <c r="VD12" i="4"/>
  <c r="VD15" i="4"/>
  <c r="VD21" i="4"/>
  <c r="VK21" i="4" s="1"/>
  <c r="ED5" i="4"/>
  <c r="ED12" i="4"/>
  <c r="EK12" i="4" s="1"/>
  <c r="ED19" i="4"/>
  <c r="EK19" i="4" s="1"/>
  <c r="ED15" i="4"/>
  <c r="EK15" i="4" s="1"/>
  <c r="ED17" i="4"/>
  <c r="ED21" i="4"/>
  <c r="ED24" i="4"/>
  <c r="GT15" i="4"/>
  <c r="HA15" i="4" s="1"/>
  <c r="GT24" i="4"/>
  <c r="IB4" i="4"/>
  <c r="II4" i="4" s="1"/>
  <c r="IB16" i="4"/>
  <c r="II16" i="4" s="1"/>
  <c r="IB11" i="4"/>
  <c r="II11" i="4" s="1"/>
  <c r="JJ5" i="4"/>
  <c r="JJ12" i="4"/>
  <c r="JJ10" i="4"/>
  <c r="JJ19" i="4"/>
  <c r="JQ19" i="4" s="1"/>
  <c r="JJ15" i="4"/>
  <c r="JJ17" i="4"/>
  <c r="JQ17" i="4" s="1"/>
  <c r="JJ21" i="4"/>
  <c r="JQ21" i="4" s="1"/>
  <c r="JJ24" i="4"/>
  <c r="JQ24" i="4" s="1"/>
  <c r="KR4" i="4"/>
  <c r="KR13" i="4"/>
  <c r="KR11" i="4"/>
  <c r="LZ6" i="4"/>
  <c r="MG6" i="4" s="1"/>
  <c r="LZ12" i="4"/>
  <c r="LZ9" i="4"/>
  <c r="MG9" i="4" s="1"/>
  <c r="LZ10" i="4"/>
  <c r="MG10" i="4" s="1"/>
  <c r="LZ19" i="4"/>
  <c r="MG19" i="4" s="1"/>
  <c r="LZ15" i="4"/>
  <c r="LZ18" i="4"/>
  <c r="MG18" i="4" s="1"/>
  <c r="NH4" i="4"/>
  <c r="NO4" i="4" s="1"/>
  <c r="NH7" i="4"/>
  <c r="NO7" i="4" s="1"/>
  <c r="NH22" i="4"/>
  <c r="NO22" i="4" s="1"/>
  <c r="NH11" i="4"/>
  <c r="NO11" i="4" s="1"/>
  <c r="OP5" i="4"/>
  <c r="OW5" i="4" s="1"/>
  <c r="OP6" i="4"/>
  <c r="OW6" i="4" s="1"/>
  <c r="OP12" i="4"/>
  <c r="OP10" i="4"/>
  <c r="OW10" i="4" s="1"/>
  <c r="OP19" i="4"/>
  <c r="OP15" i="4"/>
  <c r="OW15" i="4" s="1"/>
  <c r="OP18" i="4"/>
  <c r="OW18" i="4" s="1"/>
  <c r="OP17" i="4"/>
  <c r="OW17" i="4" s="1"/>
  <c r="OP24" i="4"/>
  <c r="OW24" i="4" s="1"/>
  <c r="PX11" i="4"/>
  <c r="RF5" i="4"/>
  <c r="RF12" i="4"/>
  <c r="RM12" i="4" s="1"/>
  <c r="RF10" i="4"/>
  <c r="RF19" i="4"/>
  <c r="RM19" i="4" s="1"/>
  <c r="RF15" i="4"/>
  <c r="SN8" i="4"/>
  <c r="SU8" i="4" s="1"/>
  <c r="SN11" i="4"/>
  <c r="SU11" i="4" s="1"/>
  <c r="TV5" i="4"/>
  <c r="UC5" i="4" s="1"/>
  <c r="TV6" i="4"/>
  <c r="TV12" i="4"/>
  <c r="TV10" i="4"/>
  <c r="UC10" i="4" s="1"/>
  <c r="TV19" i="4"/>
  <c r="VD4" i="4"/>
  <c r="FL24" i="4"/>
  <c r="FS24" i="4" s="1"/>
  <c r="IB17" i="4"/>
  <c r="II17" i="4" s="1"/>
  <c r="KR24" i="4"/>
  <c r="KY24" i="4" s="1"/>
  <c r="VD7" i="4"/>
  <c r="VD16" i="4"/>
  <c r="GL5" i="19"/>
  <c r="GL6" i="19"/>
  <c r="GL13" i="19"/>
  <c r="PB5" i="19"/>
  <c r="PB6" i="19"/>
  <c r="PB13" i="19"/>
  <c r="FJ11" i="27"/>
  <c r="GL6" i="27"/>
  <c r="GL7" i="27"/>
  <c r="GL15" i="27"/>
  <c r="GL8" i="27"/>
  <c r="HN9" i="27"/>
  <c r="JR11" i="27"/>
  <c r="KT6" i="27"/>
  <c r="KT7" i="27"/>
  <c r="KT15" i="27"/>
  <c r="KT8" i="27"/>
  <c r="LV9" i="27"/>
  <c r="NZ11" i="27"/>
  <c r="PB6" i="27"/>
  <c r="PB7" i="27"/>
  <c r="PB15" i="27"/>
  <c r="PB8" i="27"/>
  <c r="QD9" i="27"/>
  <c r="JR4" i="26"/>
  <c r="JR9" i="26"/>
  <c r="KT4" i="26"/>
  <c r="KT9" i="26"/>
  <c r="NZ4" i="26"/>
  <c r="NZ9" i="26"/>
  <c r="PB4" i="26"/>
  <c r="PB9" i="26"/>
  <c r="SH4" i="26"/>
  <c r="HN6" i="26"/>
  <c r="JR10" i="26"/>
  <c r="KT6" i="26"/>
  <c r="KT10" i="26"/>
  <c r="LV6" i="26"/>
  <c r="NZ10" i="26"/>
  <c r="PB6" i="26"/>
  <c r="PB10" i="26"/>
  <c r="QD6" i="26"/>
  <c r="SH10" i="26"/>
  <c r="DV5" i="24"/>
  <c r="DV7" i="24"/>
  <c r="DV9" i="24"/>
  <c r="DV11" i="24"/>
  <c r="EC11" i="24" s="1"/>
  <c r="DV13" i="24"/>
  <c r="EC13" i="24" s="1"/>
  <c r="DV15" i="24"/>
  <c r="FD5" i="24"/>
  <c r="FK5" i="24" s="1"/>
  <c r="HT13" i="24"/>
  <c r="IA13" i="24" s="1"/>
  <c r="KJ13" i="24"/>
  <c r="LR7" i="24"/>
  <c r="LY7" i="24" s="1"/>
  <c r="LR9" i="24"/>
  <c r="LR11" i="24"/>
  <c r="LY11" i="24" s="1"/>
  <c r="LR13" i="24"/>
  <c r="MZ5" i="24"/>
  <c r="NG5" i="24" s="1"/>
  <c r="MZ7" i="24"/>
  <c r="NG7" i="24" s="1"/>
  <c r="MZ9" i="24"/>
  <c r="MZ11" i="24"/>
  <c r="MZ13" i="24"/>
  <c r="OH7" i="24"/>
  <c r="OO7" i="24" s="1"/>
  <c r="PP15" i="24"/>
  <c r="PW15" i="24" s="1"/>
  <c r="QX5" i="24"/>
  <c r="RE5" i="24" s="1"/>
  <c r="QX7" i="24"/>
  <c r="QX9" i="24"/>
  <c r="RE9" i="24" s="1"/>
  <c r="QX11" i="24"/>
  <c r="QX13" i="24"/>
  <c r="SF15" i="24"/>
  <c r="TN5" i="24"/>
  <c r="TU5" i="24" s="1"/>
  <c r="TN7" i="24"/>
  <c r="TU7" i="24" s="1"/>
  <c r="FD17" i="23"/>
  <c r="FK17" i="23" s="1"/>
  <c r="HT13" i="23"/>
  <c r="IA13" i="23" s="1"/>
  <c r="HT17" i="23"/>
  <c r="LR14" i="23"/>
  <c r="LY14" i="23" s="1"/>
  <c r="MZ7" i="23"/>
  <c r="NG7" i="23" s="1"/>
  <c r="MZ11" i="23"/>
  <c r="NG11" i="23" s="1"/>
  <c r="OH14" i="23"/>
  <c r="OO14" i="23" s="1"/>
  <c r="QX14" i="23"/>
  <c r="RE14" i="23" s="1"/>
  <c r="GL4" i="23"/>
  <c r="GS4" i="23" s="1"/>
  <c r="RM13" i="22"/>
  <c r="SN14" i="22"/>
  <c r="SU14" i="22" s="1"/>
  <c r="OP15" i="22"/>
  <c r="OW15" i="22" s="1"/>
  <c r="OP17" i="22"/>
  <c r="OW17" i="22" s="1"/>
  <c r="PX8" i="22"/>
  <c r="QE8" i="22" s="1"/>
  <c r="JJ14" i="22"/>
  <c r="KR7" i="22"/>
  <c r="KY7" i="22" s="1"/>
  <c r="KR11" i="22"/>
  <c r="KY11" i="22" s="1"/>
  <c r="KR13" i="22"/>
  <c r="KY13" i="22" s="1"/>
  <c r="PX13" i="22"/>
  <c r="QE13" i="22" s="1"/>
  <c r="PX16" i="22"/>
  <c r="QE16" i="22" s="1"/>
  <c r="SN8" i="22"/>
  <c r="SU8" i="22" s="1"/>
  <c r="VD17" i="22"/>
  <c r="VK17" i="22" s="1"/>
  <c r="NH13" i="22"/>
  <c r="NO13" i="22" s="1"/>
  <c r="NH14" i="22"/>
  <c r="NO14" i="22" s="1"/>
  <c r="OP5" i="22"/>
  <c r="OW5" i="22" s="1"/>
  <c r="OP7" i="22"/>
  <c r="OW7" i="22" s="1"/>
  <c r="OP11" i="22"/>
  <c r="OW11" i="22" s="1"/>
  <c r="OP10" i="22"/>
  <c r="OW10" i="22" s="1"/>
  <c r="OP13" i="22"/>
  <c r="OW13" i="22" s="1"/>
  <c r="OP14" i="22"/>
  <c r="OW14" i="22" s="1"/>
  <c r="PX7" i="22"/>
  <c r="QE7" i="22" s="1"/>
  <c r="RF9" i="22"/>
  <c r="RM9" i="22" s="1"/>
  <c r="SN12" i="22"/>
  <c r="SU12" i="22" s="1"/>
  <c r="TV4" i="22"/>
  <c r="UC4" i="22" s="1"/>
  <c r="TV6" i="22"/>
  <c r="UC6" i="22" s="1"/>
  <c r="TV9" i="22"/>
  <c r="UC9" i="22" s="1"/>
  <c r="TV12" i="22"/>
  <c r="UC12" i="22" s="1"/>
  <c r="EK5" i="22"/>
  <c r="FL11" i="22"/>
  <c r="FS11" i="22" s="1"/>
  <c r="FL13" i="22"/>
  <c r="FS13" i="22" s="1"/>
  <c r="KR9" i="22"/>
  <c r="KY9" i="22" s="1"/>
  <c r="LZ6" i="22"/>
  <c r="MG6" i="22" s="1"/>
  <c r="NH6" i="22"/>
  <c r="NO6" i="22" s="1"/>
  <c r="NH9" i="22"/>
  <c r="NO9" i="22" s="1"/>
  <c r="OP6" i="22"/>
  <c r="OW6" i="22" s="1"/>
  <c r="SN5" i="22"/>
  <c r="SU5" i="22" s="1"/>
  <c r="SN11" i="22"/>
  <c r="SU11" i="22" s="1"/>
  <c r="SN10" i="22"/>
  <c r="SU10" i="22" s="1"/>
  <c r="TV5" i="22"/>
  <c r="UC5" i="22" s="1"/>
  <c r="TV7" i="22"/>
  <c r="TV11" i="22"/>
  <c r="UC11" i="22" s="1"/>
  <c r="TV10" i="22"/>
  <c r="UC10" i="22" s="1"/>
  <c r="TV13" i="22"/>
  <c r="UC13" i="22" s="1"/>
  <c r="TV16" i="22"/>
  <c r="TV14" i="22"/>
  <c r="UC14" i="22" s="1"/>
  <c r="VD5" i="22"/>
  <c r="VK5" i="22" s="1"/>
  <c r="VD7" i="22"/>
  <c r="VK7" i="22" s="1"/>
  <c r="VD11" i="22"/>
  <c r="VK11" i="22" s="1"/>
  <c r="VD10" i="22"/>
  <c r="VK10" i="22" s="1"/>
  <c r="VD13" i="22"/>
  <c r="VK13" i="22" s="1"/>
  <c r="VD16" i="22"/>
  <c r="VK16" i="22" s="1"/>
  <c r="VD14" i="22"/>
  <c r="VK14" i="22" s="1"/>
  <c r="IB17" i="22"/>
  <c r="II17" i="22" s="1"/>
  <c r="JJ4" i="22"/>
  <c r="JQ4" i="22" s="1"/>
  <c r="JJ15" i="22"/>
  <c r="JQ15" i="22" s="1"/>
  <c r="JJ17" i="22"/>
  <c r="JQ17" i="22" s="1"/>
  <c r="NH15" i="4"/>
  <c r="NO15" i="4" s="1"/>
  <c r="PX15" i="4"/>
  <c r="QE15" i="4" s="1"/>
  <c r="TV7" i="4"/>
  <c r="UC7" i="4" s="1"/>
  <c r="TV14" i="4"/>
  <c r="UC14" i="4" s="1"/>
  <c r="TV22" i="4"/>
  <c r="UC22" i="4" s="1"/>
  <c r="TV23" i="4"/>
  <c r="UC23" i="4" s="1"/>
  <c r="JQ10" i="4"/>
  <c r="JQ15" i="4"/>
  <c r="OW12" i="4"/>
  <c r="RM10" i="4"/>
  <c r="ED8" i="4"/>
  <c r="ED11" i="4"/>
  <c r="EK11" i="4" s="1"/>
  <c r="FL5" i="4"/>
  <c r="FS5" i="4" s="1"/>
  <c r="TV24" i="4"/>
  <c r="KR6" i="4"/>
  <c r="KY6" i="4" s="1"/>
  <c r="KR12" i="4"/>
  <c r="KY12" i="4" s="1"/>
  <c r="KR10" i="4"/>
  <c r="KY10" i="4" s="1"/>
  <c r="KR19" i="4"/>
  <c r="KY19" i="4" s="1"/>
  <c r="KR15" i="4"/>
  <c r="LZ8" i="4"/>
  <c r="MG8" i="4" s="1"/>
  <c r="VK17" i="4"/>
  <c r="GT4" i="4"/>
  <c r="HA4" i="4" s="1"/>
  <c r="GT13" i="4"/>
  <c r="HA13" i="4" s="1"/>
  <c r="IB14" i="4"/>
  <c r="II14" i="4" s="1"/>
  <c r="UC6" i="4"/>
  <c r="UC12" i="4"/>
  <c r="GT11" i="4"/>
  <c r="IB5" i="4"/>
  <c r="II5" i="4" s="1"/>
  <c r="IB6" i="4"/>
  <c r="II6" i="4" s="1"/>
  <c r="IB12" i="4"/>
  <c r="II12" i="4" s="1"/>
  <c r="IB10" i="4"/>
  <c r="II10" i="4" s="1"/>
  <c r="IB19" i="4"/>
  <c r="II19" i="4" s="1"/>
  <c r="IB15" i="4"/>
  <c r="II15" i="4" s="1"/>
  <c r="VD11" i="4"/>
  <c r="VK11" i="4" s="1"/>
  <c r="EK17" i="4"/>
  <c r="EK24" i="4"/>
  <c r="KY15" i="4"/>
  <c r="KR18" i="4"/>
  <c r="KY18" i="4" s="1"/>
  <c r="KR17" i="4"/>
  <c r="KY17" i="4" s="1"/>
  <c r="LZ16" i="4"/>
  <c r="MG16" i="4" s="1"/>
  <c r="NH5" i="4"/>
  <c r="NO5" i="4" s="1"/>
  <c r="NH6" i="4"/>
  <c r="PX14" i="4"/>
  <c r="QE14" i="4" s="1"/>
  <c r="RF17" i="4"/>
  <c r="RM17" i="4" s="1"/>
  <c r="FL4" i="4"/>
  <c r="FS4" i="4" s="1"/>
  <c r="FL13" i="4"/>
  <c r="FS13" i="4" s="1"/>
  <c r="FL11" i="4"/>
  <c r="FS11" i="4" s="1"/>
  <c r="GT5" i="4"/>
  <c r="HA5" i="4" s="1"/>
  <c r="GT6" i="4"/>
  <c r="HA6" i="4" s="1"/>
  <c r="GT12" i="4"/>
  <c r="HA12" i="4" s="1"/>
  <c r="GT9" i="4"/>
  <c r="HA9" i="4" s="1"/>
  <c r="GT10" i="4"/>
  <c r="GT19" i="4"/>
  <c r="HA19" i="4" s="1"/>
  <c r="NH12" i="4"/>
  <c r="NO12" i="4" s="1"/>
  <c r="NH9" i="4"/>
  <c r="NO9" i="4" s="1"/>
  <c r="NH10" i="4"/>
  <c r="NO10" i="4" s="1"/>
  <c r="NH17" i="4"/>
  <c r="NH21" i="4"/>
  <c r="NO21" i="4" s="1"/>
  <c r="NH24" i="4"/>
  <c r="NO24" i="4" s="1"/>
  <c r="OP13" i="4"/>
  <c r="OW13" i="4" s="1"/>
  <c r="OP11" i="4"/>
  <c r="OW11" i="4" s="1"/>
  <c r="PX5" i="4"/>
  <c r="QE5" i="4" s="1"/>
  <c r="PX24" i="4"/>
  <c r="QE24" i="4" s="1"/>
  <c r="RF13" i="4"/>
  <c r="RM13" i="4" s="1"/>
  <c r="SN5" i="4"/>
  <c r="SU5" i="4" s="1"/>
  <c r="SN6" i="4"/>
  <c r="SU6" i="4" s="1"/>
  <c r="SN12" i="4"/>
  <c r="SU12" i="4" s="1"/>
  <c r="SN10" i="4"/>
  <c r="SU10" i="4" s="1"/>
  <c r="SN19" i="4"/>
  <c r="SU19" i="4" s="1"/>
  <c r="SN15" i="4"/>
  <c r="SU15" i="4" s="1"/>
  <c r="SN17" i="4"/>
  <c r="SU17" i="4" s="1"/>
  <c r="SN21" i="4"/>
  <c r="SU21" i="4" s="1"/>
  <c r="SN24" i="4"/>
  <c r="SU24" i="4" s="1"/>
  <c r="VD5" i="4"/>
  <c r="VK5" i="4" s="1"/>
  <c r="VD6" i="4"/>
  <c r="VK6" i="4" s="1"/>
  <c r="JJ22" i="4"/>
  <c r="JQ22" i="4" s="1"/>
  <c r="VK24" i="4"/>
  <c r="GL23" i="19"/>
  <c r="GL25" i="19"/>
  <c r="JR10" i="19"/>
  <c r="JR16" i="19"/>
  <c r="JR14" i="19"/>
  <c r="KT23" i="19"/>
  <c r="KT25" i="19"/>
  <c r="PB23" i="19"/>
  <c r="PB25" i="19"/>
  <c r="GL20" i="19"/>
  <c r="GL18" i="19"/>
  <c r="GL24" i="19"/>
  <c r="HN8" i="19"/>
  <c r="HN12" i="19"/>
  <c r="HN22" i="19"/>
  <c r="KT20" i="19"/>
  <c r="KT18" i="19"/>
  <c r="KT24" i="19"/>
  <c r="PB20" i="19"/>
  <c r="PB18" i="19"/>
  <c r="FJ21" i="19"/>
  <c r="FJ26" i="19"/>
  <c r="GL7" i="19"/>
  <c r="GL11" i="19"/>
  <c r="GL15" i="19"/>
  <c r="GL9" i="19"/>
  <c r="KT9" i="19"/>
  <c r="PB9" i="19"/>
  <c r="KT5" i="19"/>
  <c r="KT6" i="19"/>
  <c r="KT13" i="19"/>
  <c r="LV8" i="19"/>
  <c r="LV12" i="19"/>
  <c r="LV22" i="19"/>
  <c r="LV17" i="19"/>
  <c r="PB24" i="19"/>
  <c r="QD8" i="19"/>
  <c r="QD12" i="19"/>
  <c r="QD22" i="19"/>
  <c r="QD17" i="19"/>
  <c r="FJ4" i="19"/>
  <c r="FJ10" i="19"/>
  <c r="FJ16" i="19"/>
  <c r="FJ14" i="19"/>
  <c r="HN27" i="19"/>
  <c r="HN19" i="19"/>
  <c r="JR4" i="19"/>
  <c r="LV27" i="19"/>
  <c r="LV19" i="19"/>
  <c r="NZ4" i="19"/>
  <c r="NZ10" i="19"/>
  <c r="NZ16" i="19"/>
  <c r="NZ14" i="19"/>
  <c r="QD27" i="19"/>
  <c r="QD19" i="19"/>
  <c r="SH4" i="19"/>
  <c r="SH10" i="19"/>
  <c r="SH16" i="19"/>
  <c r="SH14" i="19"/>
  <c r="HN7" i="19"/>
  <c r="HN11" i="19"/>
  <c r="HN15" i="19"/>
  <c r="HN9" i="19"/>
  <c r="HN23" i="19"/>
  <c r="HN25" i="19"/>
  <c r="IP4" i="19"/>
  <c r="IP10" i="19"/>
  <c r="IP16" i="19"/>
  <c r="IP14" i="19"/>
  <c r="IP21" i="19"/>
  <c r="IP26" i="19"/>
  <c r="LV7" i="19"/>
  <c r="LV11" i="19"/>
  <c r="LV15" i="19"/>
  <c r="LV9" i="19"/>
  <c r="LV23" i="19"/>
  <c r="LV25" i="19"/>
  <c r="MX4" i="19"/>
  <c r="MX10" i="19"/>
  <c r="MX16" i="19"/>
  <c r="MX14" i="19"/>
  <c r="MX21" i="19"/>
  <c r="MX26" i="19"/>
  <c r="QD7" i="19"/>
  <c r="QD11" i="19"/>
  <c r="QD15" i="19"/>
  <c r="QD9" i="19"/>
  <c r="QD23" i="19"/>
  <c r="QD25" i="19"/>
  <c r="RF4" i="19"/>
  <c r="RF10" i="19"/>
  <c r="RF16" i="19"/>
  <c r="RF14" i="19"/>
  <c r="RF21" i="19"/>
  <c r="RF26" i="19"/>
  <c r="EH8" i="19"/>
  <c r="EH12" i="19"/>
  <c r="EH22" i="19"/>
  <c r="EH17" i="19"/>
  <c r="EH27" i="19"/>
  <c r="EH19" i="19"/>
  <c r="FJ20" i="19"/>
  <c r="FJ18" i="19"/>
  <c r="FJ24" i="19"/>
  <c r="IP8" i="19"/>
  <c r="IP12" i="19"/>
  <c r="IP22" i="19"/>
  <c r="IP17" i="19"/>
  <c r="IP27" i="19"/>
  <c r="IP19" i="19"/>
  <c r="JR5" i="19"/>
  <c r="JR6" i="19"/>
  <c r="JR13" i="19"/>
  <c r="JR20" i="19"/>
  <c r="JR18" i="19"/>
  <c r="JR24" i="19"/>
  <c r="MX8" i="19"/>
  <c r="MX12" i="19"/>
  <c r="MX22" i="19"/>
  <c r="MX17" i="19"/>
  <c r="MX27" i="19"/>
  <c r="MX19" i="19"/>
  <c r="NZ5" i="19"/>
  <c r="NZ6" i="19"/>
  <c r="NZ13" i="19"/>
  <c r="NZ20" i="19"/>
  <c r="NZ18" i="19"/>
  <c r="NZ24" i="19"/>
  <c r="RF8" i="19"/>
  <c r="RF12" i="19"/>
  <c r="RF22" i="19"/>
  <c r="RF17" i="19"/>
  <c r="RF27" i="19"/>
  <c r="RF19" i="19"/>
  <c r="SH5" i="19"/>
  <c r="SH6" i="19"/>
  <c r="SH13" i="19"/>
  <c r="SH20" i="19"/>
  <c r="SH18" i="19"/>
  <c r="SH24" i="19"/>
  <c r="EH5" i="27"/>
  <c r="EH13" i="27"/>
  <c r="GL10" i="27"/>
  <c r="GL16" i="27"/>
  <c r="HN4" i="27"/>
  <c r="HN12" i="27"/>
  <c r="HN14" i="27"/>
  <c r="IP5" i="27"/>
  <c r="IP13" i="27"/>
  <c r="KT10" i="27"/>
  <c r="KT16" i="27"/>
  <c r="LV4" i="27"/>
  <c r="LV12" i="27"/>
  <c r="LV14" i="27"/>
  <c r="MX5" i="27"/>
  <c r="MX13" i="27"/>
  <c r="PB10" i="27"/>
  <c r="PB16" i="27"/>
  <c r="QD4" i="27"/>
  <c r="QD12" i="27"/>
  <c r="QD14" i="27"/>
  <c r="RF5" i="27"/>
  <c r="RF13" i="27"/>
  <c r="SH7" i="27"/>
  <c r="EH6" i="27"/>
  <c r="EH7" i="27"/>
  <c r="EH15" i="27"/>
  <c r="EH8" i="27"/>
  <c r="FJ9" i="27"/>
  <c r="HN11" i="27"/>
  <c r="IP6" i="27"/>
  <c r="IP7" i="27"/>
  <c r="IP15" i="27"/>
  <c r="IP8" i="27"/>
  <c r="JR9" i="27"/>
  <c r="LV11" i="27"/>
  <c r="MX6" i="27"/>
  <c r="MX7" i="27"/>
  <c r="MX15" i="27"/>
  <c r="MX8" i="27"/>
  <c r="NZ9" i="27"/>
  <c r="QD11" i="27"/>
  <c r="RF6" i="27"/>
  <c r="RF7" i="27"/>
  <c r="RF15" i="27"/>
  <c r="RF8" i="27"/>
  <c r="SH9" i="27"/>
  <c r="SH10" i="27"/>
  <c r="SH16" i="27"/>
  <c r="EH10" i="27"/>
  <c r="EH16" i="27"/>
  <c r="FJ4" i="27"/>
  <c r="FJ12" i="27"/>
  <c r="FJ14" i="27"/>
  <c r="GL5" i="27"/>
  <c r="GL13" i="27"/>
  <c r="IP10" i="27"/>
  <c r="IP16" i="27"/>
  <c r="JR4" i="27"/>
  <c r="JR12" i="27"/>
  <c r="JR14" i="27"/>
  <c r="KT5" i="27"/>
  <c r="KT13" i="27"/>
  <c r="MX10" i="27"/>
  <c r="MX16" i="27"/>
  <c r="NZ4" i="27"/>
  <c r="NZ12" i="27"/>
  <c r="NZ14" i="27"/>
  <c r="PB5" i="27"/>
  <c r="PB13" i="27"/>
  <c r="RF10" i="27"/>
  <c r="RF16" i="27"/>
  <c r="SH4" i="27"/>
  <c r="SH12" i="27"/>
  <c r="SH14" i="27"/>
  <c r="GI9" i="26"/>
  <c r="CZ10" i="26"/>
  <c r="IP5" i="26"/>
  <c r="IP11" i="26"/>
  <c r="LV5" i="26"/>
  <c r="MX5" i="26"/>
  <c r="MX11" i="26"/>
  <c r="QD5" i="26"/>
  <c r="QD11" i="26"/>
  <c r="RF5" i="26"/>
  <c r="RF11" i="26"/>
  <c r="IP7" i="26"/>
  <c r="IP8" i="26"/>
  <c r="JR7" i="26"/>
  <c r="JR8" i="26"/>
  <c r="MX7" i="26"/>
  <c r="MX8" i="26"/>
  <c r="NZ7" i="26"/>
  <c r="NZ8" i="26"/>
  <c r="RF7" i="26"/>
  <c r="RF8" i="26"/>
  <c r="SH7" i="26"/>
  <c r="SH8" i="26"/>
  <c r="FD12" i="24"/>
  <c r="FK12" i="24" s="1"/>
  <c r="TN9" i="24"/>
  <c r="TU9" i="24" s="1"/>
  <c r="TN11" i="24"/>
  <c r="FD8" i="24"/>
  <c r="FK8" i="24" s="1"/>
  <c r="LY13" i="24"/>
  <c r="FD4" i="24"/>
  <c r="FK4" i="24" s="1"/>
  <c r="FD6" i="24"/>
  <c r="FK6" i="24" s="1"/>
  <c r="FD10" i="24"/>
  <c r="FK10" i="24" s="1"/>
  <c r="GL7" i="24"/>
  <c r="OH15" i="24"/>
  <c r="OO15" i="24" s="1"/>
  <c r="SF13" i="24"/>
  <c r="SM13" i="24" s="1"/>
  <c r="UV7" i="24"/>
  <c r="VC7" i="24" s="1"/>
  <c r="LY9" i="24"/>
  <c r="GL4" i="24"/>
  <c r="GS4" i="24" s="1"/>
  <c r="GL10" i="24"/>
  <c r="GS10" i="24" s="1"/>
  <c r="LR10" i="24"/>
  <c r="MZ4" i="24"/>
  <c r="MZ10" i="24"/>
  <c r="OH4" i="24"/>
  <c r="OO4" i="24" s="1"/>
  <c r="PP4" i="24"/>
  <c r="PW4" i="24" s="1"/>
  <c r="PP10" i="24"/>
  <c r="PW10" i="24" s="1"/>
  <c r="SF4" i="24"/>
  <c r="SM4" i="24" s="1"/>
  <c r="SF10" i="24"/>
  <c r="SM10" i="24" s="1"/>
  <c r="UV6" i="24"/>
  <c r="UV10" i="24"/>
  <c r="VC10" i="24" s="1"/>
  <c r="UV12" i="24"/>
  <c r="SM15" i="24"/>
  <c r="FD9" i="24"/>
  <c r="FK9" i="24" s="1"/>
  <c r="JB4" i="24"/>
  <c r="JI4" i="24" s="1"/>
  <c r="KJ5" i="24"/>
  <c r="KQ5" i="24" s="1"/>
  <c r="KJ7" i="24"/>
  <c r="KQ7" i="24" s="1"/>
  <c r="KJ9" i="24"/>
  <c r="KQ9" i="24" s="1"/>
  <c r="KJ11" i="24"/>
  <c r="EC5" i="24"/>
  <c r="EC7" i="24"/>
  <c r="EC9" i="24"/>
  <c r="NG9" i="24"/>
  <c r="NG13" i="24"/>
  <c r="FD14" i="24"/>
  <c r="FK14" i="24" s="1"/>
  <c r="GL15" i="24"/>
  <c r="GS15" i="24" s="1"/>
  <c r="OH10" i="24"/>
  <c r="OO10" i="24" s="1"/>
  <c r="PP13" i="24"/>
  <c r="PW13" i="24" s="1"/>
  <c r="QX10" i="24"/>
  <c r="SF5" i="24"/>
  <c r="SM5" i="24" s="1"/>
  <c r="SF7" i="24"/>
  <c r="SM7" i="24" s="1"/>
  <c r="SF11" i="24"/>
  <c r="SM11" i="24" s="1"/>
  <c r="HT4" i="24"/>
  <c r="IA4" i="24" s="1"/>
  <c r="HT10" i="24"/>
  <c r="IA10" i="24" s="1"/>
  <c r="TN4" i="24"/>
  <c r="TU4" i="24" s="1"/>
  <c r="UV11" i="24"/>
  <c r="VC11" i="24" s="1"/>
  <c r="UV13" i="24"/>
  <c r="VC13" i="24" s="1"/>
  <c r="HT15" i="24"/>
  <c r="IA15" i="24" s="1"/>
  <c r="JB5" i="24"/>
  <c r="JI5" i="24" s="1"/>
  <c r="JB7" i="24"/>
  <c r="JI7" i="24" s="1"/>
  <c r="JB9" i="24"/>
  <c r="JI9" i="24" s="1"/>
  <c r="JB11" i="24"/>
  <c r="JI11" i="24" s="1"/>
  <c r="JB13" i="24"/>
  <c r="JI13" i="24" s="1"/>
  <c r="FD4" i="23"/>
  <c r="FK4" i="23" s="1"/>
  <c r="GL7" i="23"/>
  <c r="GS7" i="23" s="1"/>
  <c r="HT10" i="23"/>
  <c r="IA10" i="23" s="1"/>
  <c r="KJ6" i="23"/>
  <c r="KQ6" i="23" s="1"/>
  <c r="KJ10" i="23"/>
  <c r="KQ10" i="23" s="1"/>
  <c r="MZ14" i="23"/>
  <c r="NG14" i="23" s="1"/>
  <c r="MZ18" i="23"/>
  <c r="NG18" i="23" s="1"/>
  <c r="PP9" i="23"/>
  <c r="PW9" i="23" s="1"/>
  <c r="PP11" i="23"/>
  <c r="PW11" i="23" s="1"/>
  <c r="QX16" i="23"/>
  <c r="RE16" i="23" s="1"/>
  <c r="QX18" i="23"/>
  <c r="RE18" i="23" s="1"/>
  <c r="TN11" i="23"/>
  <c r="SF7" i="23"/>
  <c r="SM7" i="23" s="1"/>
  <c r="SF9" i="23"/>
  <c r="SF13" i="23"/>
  <c r="SM13" i="23" s="1"/>
  <c r="TN18" i="23"/>
  <c r="TU18" i="23" s="1"/>
  <c r="SF17" i="23"/>
  <c r="SM17" i="23" s="1"/>
  <c r="DV7" i="23"/>
  <c r="EC7" i="23" s="1"/>
  <c r="DV15" i="23"/>
  <c r="EC15" i="23" s="1"/>
  <c r="GL11" i="23"/>
  <c r="GS11" i="23" s="1"/>
  <c r="HT7" i="23"/>
  <c r="IA7" i="23" s="1"/>
  <c r="HT9" i="23"/>
  <c r="IA9" i="23" s="1"/>
  <c r="HT11" i="23"/>
  <c r="IA11" i="23" s="1"/>
  <c r="JB4" i="23"/>
  <c r="JI4" i="23" s="1"/>
  <c r="JB7" i="23"/>
  <c r="JI7" i="23" s="1"/>
  <c r="JB9" i="23"/>
  <c r="JI9" i="23" s="1"/>
  <c r="JB11" i="23"/>
  <c r="JI11" i="23" s="1"/>
  <c r="JB15" i="23"/>
  <c r="KJ4" i="23"/>
  <c r="KQ4" i="23" s="1"/>
  <c r="KJ7" i="23"/>
  <c r="KQ7" i="23" s="1"/>
  <c r="KJ9" i="23"/>
  <c r="KQ9" i="23" s="1"/>
  <c r="KJ11" i="23"/>
  <c r="KQ11" i="23" s="1"/>
  <c r="LR15" i="23"/>
  <c r="LY15" i="23" s="1"/>
  <c r="MZ4" i="23"/>
  <c r="NG4" i="23" s="1"/>
  <c r="MZ15" i="23"/>
  <c r="NG15" i="23" s="1"/>
  <c r="OH4" i="23"/>
  <c r="OO4" i="23" s="1"/>
  <c r="TN8" i="23"/>
  <c r="TU8" i="23" s="1"/>
  <c r="TN12" i="23"/>
  <c r="TU12" i="23" s="1"/>
  <c r="TN16" i="23"/>
  <c r="TU16" i="23" s="1"/>
  <c r="RE7" i="23"/>
  <c r="UV17" i="23"/>
  <c r="VC17" i="23" s="1"/>
  <c r="SF18" i="23"/>
  <c r="SM18" i="23" s="1"/>
  <c r="VC5" i="23"/>
  <c r="VC16" i="23"/>
  <c r="VC18" i="23"/>
  <c r="DV8" i="23"/>
  <c r="EC8" i="23" s="1"/>
  <c r="DV16" i="23"/>
  <c r="EC16" i="23" s="1"/>
  <c r="DV18" i="23"/>
  <c r="EC18" i="23" s="1"/>
  <c r="FD5" i="23"/>
  <c r="FK5" i="23" s="1"/>
  <c r="FD12" i="23"/>
  <c r="FK12" i="23" s="1"/>
  <c r="FD14" i="23"/>
  <c r="FK14" i="23" s="1"/>
  <c r="GL14" i="23"/>
  <c r="GS14" i="23" s="1"/>
  <c r="GL16" i="23"/>
  <c r="GS16" i="23" s="1"/>
  <c r="GL18" i="23"/>
  <c r="GS18" i="23" s="1"/>
  <c r="HT5" i="23"/>
  <c r="HT14" i="23"/>
  <c r="IA14" i="23" s="1"/>
  <c r="HT16" i="23"/>
  <c r="HT18" i="23"/>
  <c r="KJ14" i="23"/>
  <c r="KQ14" i="23" s="1"/>
  <c r="KJ18" i="23"/>
  <c r="KQ18" i="23" s="1"/>
  <c r="LR8" i="23"/>
  <c r="LY8" i="23" s="1"/>
  <c r="LR12" i="23"/>
  <c r="LY12" i="23" s="1"/>
  <c r="MZ5" i="23"/>
  <c r="NG5" i="23" s="1"/>
  <c r="MZ6" i="23"/>
  <c r="NG6" i="23" s="1"/>
  <c r="MZ8" i="23"/>
  <c r="NG8" i="23" s="1"/>
  <c r="MZ12" i="23"/>
  <c r="NG12" i="23" s="1"/>
  <c r="OH5" i="23"/>
  <c r="OO5" i="23" s="1"/>
  <c r="OH8" i="23"/>
  <c r="OO8" i="23" s="1"/>
  <c r="OH12" i="23"/>
  <c r="OO12" i="23" s="1"/>
  <c r="PP13" i="23"/>
  <c r="PW13" i="23" s="1"/>
  <c r="TN15" i="23"/>
  <c r="TU15" i="23" s="1"/>
  <c r="PP14" i="23"/>
  <c r="PW14" i="23" s="1"/>
  <c r="PP16" i="23"/>
  <c r="PP18" i="23"/>
  <c r="QX5" i="23"/>
  <c r="QX17" i="23"/>
  <c r="RE17" i="23" s="1"/>
  <c r="EH6" i="21"/>
  <c r="EH13" i="21"/>
  <c r="EH21" i="21"/>
  <c r="EH12" i="21"/>
  <c r="EH17" i="21"/>
  <c r="FJ9" i="21"/>
  <c r="FJ16" i="21"/>
  <c r="FJ20" i="21"/>
  <c r="FJ18" i="21"/>
  <c r="GL4" i="21"/>
  <c r="GL7" i="21"/>
  <c r="GL10" i="21"/>
  <c r="GL15" i="21"/>
  <c r="GL14" i="21"/>
  <c r="HN5" i="21"/>
  <c r="HN8" i="21"/>
  <c r="HN11" i="21"/>
  <c r="HN19" i="21"/>
  <c r="HN22" i="21"/>
  <c r="IP6" i="21"/>
  <c r="IP13" i="21"/>
  <c r="IP21" i="21"/>
  <c r="IP12" i="21"/>
  <c r="IP17" i="21"/>
  <c r="JR9" i="21"/>
  <c r="JR16" i="21"/>
  <c r="JR20" i="21"/>
  <c r="JR18" i="21"/>
  <c r="KT4" i="21"/>
  <c r="KT7" i="21"/>
  <c r="KT10" i="21"/>
  <c r="KT15" i="21"/>
  <c r="KT14" i="21"/>
  <c r="LV5" i="21"/>
  <c r="LV8" i="21"/>
  <c r="LV11" i="21"/>
  <c r="LV19" i="21"/>
  <c r="LV22" i="21"/>
  <c r="MX6" i="21"/>
  <c r="MX13" i="21"/>
  <c r="MX21" i="21"/>
  <c r="MX12" i="21"/>
  <c r="MX17" i="21"/>
  <c r="NZ9" i="21"/>
  <c r="NZ16" i="21"/>
  <c r="NZ20" i="21"/>
  <c r="NZ18" i="21"/>
  <c r="PB4" i="21"/>
  <c r="PB7" i="21"/>
  <c r="PB10" i="21"/>
  <c r="PB15" i="21"/>
  <c r="PB14" i="21"/>
  <c r="QD5" i="21"/>
  <c r="QD8" i="21"/>
  <c r="SH18" i="21"/>
  <c r="UK17" i="21"/>
  <c r="UF17" i="21"/>
  <c r="BZ17" i="21"/>
  <c r="EH5" i="21"/>
  <c r="EH8" i="21"/>
  <c r="EH11" i="21"/>
  <c r="EH19" i="21"/>
  <c r="EH22" i="21"/>
  <c r="FJ6" i="21"/>
  <c r="FJ13" i="21"/>
  <c r="FJ21" i="21"/>
  <c r="FJ12" i="21"/>
  <c r="FJ17" i="21"/>
  <c r="GL9" i="21"/>
  <c r="GL16" i="21"/>
  <c r="GL20" i="21"/>
  <c r="GL18" i="21"/>
  <c r="HN4" i="21"/>
  <c r="HN7" i="21"/>
  <c r="HN10" i="21"/>
  <c r="HN15" i="21"/>
  <c r="HN14" i="21"/>
  <c r="IP5" i="21"/>
  <c r="IP8" i="21"/>
  <c r="IP11" i="21"/>
  <c r="IP19" i="21"/>
  <c r="IP22" i="21"/>
  <c r="JR6" i="21"/>
  <c r="JR13" i="21"/>
  <c r="JR21" i="21"/>
  <c r="JR12" i="21"/>
  <c r="JR17" i="21"/>
  <c r="KT9" i="21"/>
  <c r="KT16" i="21"/>
  <c r="KT20" i="21"/>
  <c r="KT18" i="21"/>
  <c r="LV4" i="21"/>
  <c r="LV7" i="21"/>
  <c r="LV10" i="21"/>
  <c r="LV15" i="21"/>
  <c r="LV14" i="21"/>
  <c r="MX5" i="21"/>
  <c r="MX8" i="21"/>
  <c r="MX11" i="21"/>
  <c r="MX19" i="21"/>
  <c r="MX22" i="21"/>
  <c r="NZ6" i="21"/>
  <c r="NZ13" i="21"/>
  <c r="NZ21" i="21"/>
  <c r="NZ12" i="21"/>
  <c r="NZ17" i="21"/>
  <c r="PB9" i="21"/>
  <c r="PB16" i="21"/>
  <c r="PB20" i="21"/>
  <c r="PB18" i="21"/>
  <c r="QD4" i="21"/>
  <c r="QD7" i="21"/>
  <c r="QD10" i="21"/>
  <c r="QD15" i="21"/>
  <c r="QD14" i="21"/>
  <c r="RF5" i="21"/>
  <c r="RF8" i="21"/>
  <c r="RF11" i="21"/>
  <c r="RF19" i="21"/>
  <c r="RF22" i="21"/>
  <c r="SH6" i="21"/>
  <c r="SH13" i="21"/>
  <c r="SH21" i="21"/>
  <c r="SH12" i="21"/>
  <c r="SH17" i="21"/>
  <c r="EH4" i="21"/>
  <c r="EH7" i="21"/>
  <c r="EH10" i="21"/>
  <c r="EH15" i="21"/>
  <c r="EH14" i="21"/>
  <c r="FJ5" i="21"/>
  <c r="FJ8" i="21"/>
  <c r="FJ11" i="21"/>
  <c r="FJ19" i="21"/>
  <c r="FJ22" i="21"/>
  <c r="GL6" i="21"/>
  <c r="GL13" i="21"/>
  <c r="GL21" i="21"/>
  <c r="GL12" i="21"/>
  <c r="GL17" i="21"/>
  <c r="HN9" i="21"/>
  <c r="HN16" i="21"/>
  <c r="HN20" i="21"/>
  <c r="HN18" i="21"/>
  <c r="IP4" i="21"/>
  <c r="IP7" i="21"/>
  <c r="IP10" i="21"/>
  <c r="IP15" i="21"/>
  <c r="IP14" i="21"/>
  <c r="JR5" i="21"/>
  <c r="JR8" i="21"/>
  <c r="JR11" i="21"/>
  <c r="JR19" i="21"/>
  <c r="JR22" i="21"/>
  <c r="KT6" i="21"/>
  <c r="KT13" i="21"/>
  <c r="KT21" i="21"/>
  <c r="KT12" i="21"/>
  <c r="KT17" i="21"/>
  <c r="LV9" i="21"/>
  <c r="LV16" i="21"/>
  <c r="LV20" i="21"/>
  <c r="LV18" i="21"/>
  <c r="MX4" i="21"/>
  <c r="MX7" i="21"/>
  <c r="MX10" i="21"/>
  <c r="MX15" i="21"/>
  <c r="MX14" i="21"/>
  <c r="NZ5" i="21"/>
  <c r="NZ8" i="21"/>
  <c r="NZ11" i="21"/>
  <c r="NZ19" i="21"/>
  <c r="NZ22" i="21"/>
  <c r="PB6" i="21"/>
  <c r="PB13" i="21"/>
  <c r="PB21" i="21"/>
  <c r="PB12" i="21"/>
  <c r="PB17" i="21"/>
  <c r="QD9" i="21"/>
  <c r="QD16" i="21"/>
  <c r="QD20" i="21"/>
  <c r="QD18" i="21"/>
  <c r="RF4" i="21"/>
  <c r="RF7" i="21"/>
  <c r="RF10" i="21"/>
  <c r="RF15" i="21"/>
  <c r="RF14" i="21"/>
  <c r="SH5" i="21"/>
  <c r="SH8" i="21"/>
  <c r="SH11" i="21"/>
  <c r="SH19" i="21"/>
  <c r="SH22" i="21"/>
  <c r="EH9" i="21"/>
  <c r="EH16" i="21"/>
  <c r="EH20" i="21"/>
  <c r="EH18" i="21"/>
  <c r="FJ4" i="21"/>
  <c r="FJ7" i="21"/>
  <c r="FJ10" i="21"/>
  <c r="FJ15" i="21"/>
  <c r="FJ14" i="21"/>
  <c r="GL5" i="21"/>
  <c r="GL8" i="21"/>
  <c r="GL11" i="21"/>
  <c r="GL19" i="21"/>
  <c r="GL22" i="21"/>
  <c r="HN6" i="21"/>
  <c r="HN13" i="21"/>
  <c r="HN21" i="21"/>
  <c r="HN12" i="21"/>
  <c r="HN17" i="21"/>
  <c r="IP9" i="21"/>
  <c r="IP16" i="21"/>
  <c r="IP20" i="21"/>
  <c r="IP18" i="21"/>
  <c r="JR4" i="21"/>
  <c r="JR7" i="21"/>
  <c r="JR10" i="21"/>
  <c r="JR15" i="21"/>
  <c r="JR14" i="21"/>
  <c r="KT5" i="21"/>
  <c r="KT8" i="21"/>
  <c r="KT11" i="21"/>
  <c r="KT19" i="21"/>
  <c r="KT22" i="21"/>
  <c r="LV6" i="21"/>
  <c r="LV13" i="21"/>
  <c r="LV21" i="21"/>
  <c r="LV12" i="21"/>
  <c r="LV17" i="21"/>
  <c r="MX9" i="21"/>
  <c r="MX16" i="21"/>
  <c r="MX20" i="21"/>
  <c r="MX18" i="21"/>
  <c r="NZ4" i="21"/>
  <c r="NZ7" i="21"/>
  <c r="NZ10" i="21"/>
  <c r="NZ15" i="21"/>
  <c r="NZ14" i="21"/>
  <c r="PB5" i="21"/>
  <c r="PB8" i="21"/>
  <c r="PB11" i="21"/>
  <c r="PB19" i="21"/>
  <c r="PB22" i="21"/>
  <c r="QD6" i="21"/>
  <c r="QD13" i="21"/>
  <c r="QD21" i="21"/>
  <c r="QD12" i="21"/>
  <c r="QD17" i="21"/>
  <c r="RF9" i="21"/>
  <c r="RF16" i="21"/>
  <c r="RF20" i="21"/>
  <c r="RF18" i="21"/>
  <c r="SH4" i="21"/>
  <c r="SH7" i="21"/>
  <c r="SH10" i="21"/>
  <c r="SH15" i="21"/>
  <c r="SH14" i="21"/>
  <c r="EH7" i="19"/>
  <c r="EH11" i="19"/>
  <c r="EH15" i="19"/>
  <c r="EH9" i="19"/>
  <c r="EH23" i="19"/>
  <c r="EH25" i="19"/>
  <c r="FJ8" i="19"/>
  <c r="FJ12" i="19"/>
  <c r="FJ22" i="19"/>
  <c r="FJ17" i="19"/>
  <c r="EH14" i="19"/>
  <c r="EH21" i="19"/>
  <c r="EH26" i="19"/>
  <c r="FJ5" i="19"/>
  <c r="FJ6" i="19"/>
  <c r="FJ13" i="19"/>
  <c r="EH4" i="19"/>
  <c r="EH10" i="19"/>
  <c r="EH16" i="19"/>
  <c r="EH5" i="19"/>
  <c r="EH6" i="19"/>
  <c r="EH13" i="19"/>
  <c r="EH20" i="19"/>
  <c r="EH18" i="19"/>
  <c r="EH24" i="19"/>
  <c r="FJ7" i="19"/>
  <c r="FJ11" i="19"/>
  <c r="FJ15" i="19"/>
  <c r="FJ27" i="19"/>
  <c r="FJ19" i="19"/>
  <c r="GL4" i="19"/>
  <c r="GL10" i="19"/>
  <c r="GL16" i="19"/>
  <c r="GL14" i="19"/>
  <c r="GL21" i="19"/>
  <c r="GL26" i="19"/>
  <c r="HN5" i="19"/>
  <c r="HN6" i="19"/>
  <c r="HN13" i="19"/>
  <c r="HN20" i="19"/>
  <c r="HN18" i="19"/>
  <c r="HN24" i="19"/>
  <c r="IP7" i="19"/>
  <c r="IP11" i="19"/>
  <c r="IP15" i="19"/>
  <c r="IP9" i="19"/>
  <c r="IP23" i="19"/>
  <c r="IP25" i="19"/>
  <c r="JR8" i="19"/>
  <c r="JR12" i="19"/>
  <c r="JR22" i="19"/>
  <c r="JR17" i="19"/>
  <c r="JR27" i="19"/>
  <c r="JR19" i="19"/>
  <c r="KT4" i="19"/>
  <c r="KT10" i="19"/>
  <c r="KT16" i="19"/>
  <c r="KT14" i="19"/>
  <c r="KT21" i="19"/>
  <c r="KT26" i="19"/>
  <c r="LV5" i="19"/>
  <c r="LV6" i="19"/>
  <c r="LV13" i="19"/>
  <c r="LV20" i="19"/>
  <c r="LV18" i="19"/>
  <c r="LV24" i="19"/>
  <c r="MX7" i="19"/>
  <c r="MX11" i="19"/>
  <c r="MX15" i="19"/>
  <c r="MX9" i="19"/>
  <c r="MX23" i="19"/>
  <c r="MX25" i="19"/>
  <c r="NZ8" i="19"/>
  <c r="NZ12" i="19"/>
  <c r="NZ22" i="19"/>
  <c r="NZ17" i="19"/>
  <c r="NZ27" i="19"/>
  <c r="NZ19" i="19"/>
  <c r="PB4" i="19"/>
  <c r="PB10" i="19"/>
  <c r="PB16" i="19"/>
  <c r="PB14" i="19"/>
  <c r="PB21" i="19"/>
  <c r="PB26" i="19"/>
  <c r="QD5" i="19"/>
  <c r="QD6" i="19"/>
  <c r="QD13" i="19"/>
  <c r="QD20" i="19"/>
  <c r="QD18" i="19"/>
  <c r="QD24" i="19"/>
  <c r="RF7" i="19"/>
  <c r="RF11" i="19"/>
  <c r="RF15" i="19"/>
  <c r="RF9" i="19"/>
  <c r="RF23" i="19"/>
  <c r="RF25" i="19"/>
  <c r="SH8" i="19"/>
  <c r="SH12" i="19"/>
  <c r="SH22" i="19"/>
  <c r="SH17" i="19"/>
  <c r="SH27" i="19"/>
  <c r="SH19" i="19"/>
  <c r="FJ9" i="19"/>
  <c r="FJ23" i="19"/>
  <c r="FJ25" i="19"/>
  <c r="GL8" i="19"/>
  <c r="GL12" i="19"/>
  <c r="GL22" i="19"/>
  <c r="GL17" i="19"/>
  <c r="GL27" i="19"/>
  <c r="GL19" i="19"/>
  <c r="HN4" i="19"/>
  <c r="HN10" i="19"/>
  <c r="HN16" i="19"/>
  <c r="HN14" i="19"/>
  <c r="HN21" i="19"/>
  <c r="HN26" i="19"/>
  <c r="IP5" i="19"/>
  <c r="IP6" i="19"/>
  <c r="IP13" i="19"/>
  <c r="IP20" i="19"/>
  <c r="IP18" i="19"/>
  <c r="IP24" i="19"/>
  <c r="JR7" i="19"/>
  <c r="JR11" i="19"/>
  <c r="JR15" i="19"/>
  <c r="JR9" i="19"/>
  <c r="JR23" i="19"/>
  <c r="JR25" i="19"/>
  <c r="KT8" i="19"/>
  <c r="KT12" i="19"/>
  <c r="KT22" i="19"/>
  <c r="KT17" i="19"/>
  <c r="KT27" i="19"/>
  <c r="KT19" i="19"/>
  <c r="LV4" i="19"/>
  <c r="LV10" i="19"/>
  <c r="LV16" i="19"/>
  <c r="LV14" i="19"/>
  <c r="LV21" i="19"/>
  <c r="LV26" i="19"/>
  <c r="MX5" i="19"/>
  <c r="MX6" i="19"/>
  <c r="MX13" i="19"/>
  <c r="MX20" i="19"/>
  <c r="MX18" i="19"/>
  <c r="MX24" i="19"/>
  <c r="NZ7" i="19"/>
  <c r="NZ11" i="19"/>
  <c r="NZ15" i="19"/>
  <c r="NZ9" i="19"/>
  <c r="NZ23" i="19"/>
  <c r="NZ25" i="19"/>
  <c r="PB8" i="19"/>
  <c r="PB12" i="19"/>
  <c r="PB22" i="19"/>
  <c r="PB17" i="19"/>
  <c r="PB27" i="19"/>
  <c r="PB19" i="19"/>
  <c r="QD4" i="19"/>
  <c r="QD10" i="19"/>
  <c r="QD16" i="19"/>
  <c r="QD14" i="19"/>
  <c r="QD21" i="19"/>
  <c r="QD26" i="19"/>
  <c r="RF5" i="19"/>
  <c r="RF6" i="19"/>
  <c r="RF13" i="19"/>
  <c r="RF20" i="19"/>
  <c r="RF18" i="19"/>
  <c r="RF24" i="19"/>
  <c r="SH7" i="19"/>
  <c r="SH11" i="19"/>
  <c r="SH15" i="19"/>
  <c r="SH9" i="19"/>
  <c r="SH23" i="19"/>
  <c r="SH25" i="19"/>
  <c r="BW8" i="27"/>
  <c r="P8" i="27"/>
  <c r="Q8" i="27" s="1"/>
  <c r="SH11" i="27"/>
  <c r="EH9" i="27"/>
  <c r="EH12" i="27"/>
  <c r="EH14" i="27"/>
  <c r="FJ5" i="27"/>
  <c r="FJ13" i="27"/>
  <c r="FJ15" i="27"/>
  <c r="FJ8" i="27"/>
  <c r="GL9" i="27"/>
  <c r="GL12" i="27"/>
  <c r="GL14" i="27"/>
  <c r="HN5" i="27"/>
  <c r="HN13" i="27"/>
  <c r="HN15" i="27"/>
  <c r="HN8" i="27"/>
  <c r="IP9" i="27"/>
  <c r="IP12" i="27"/>
  <c r="IP14" i="27"/>
  <c r="JR5" i="27"/>
  <c r="JR13" i="27"/>
  <c r="JR15" i="27"/>
  <c r="JR8" i="27"/>
  <c r="KT9" i="27"/>
  <c r="KT12" i="27"/>
  <c r="KT14" i="27"/>
  <c r="LV5" i="27"/>
  <c r="LV13" i="27"/>
  <c r="LV15" i="27"/>
  <c r="LV8" i="27"/>
  <c r="MX9" i="27"/>
  <c r="MX12" i="27"/>
  <c r="MX14" i="27"/>
  <c r="NZ5" i="27"/>
  <c r="NZ13" i="27"/>
  <c r="NZ15" i="27"/>
  <c r="NZ8" i="27"/>
  <c r="PB9" i="27"/>
  <c r="PB12" i="27"/>
  <c r="PB14" i="27"/>
  <c r="QD5" i="27"/>
  <c r="QD13" i="27"/>
  <c r="QD15" i="27"/>
  <c r="QD8" i="27"/>
  <c r="RF9" i="27"/>
  <c r="RF12" i="27"/>
  <c r="RF14" i="27"/>
  <c r="SH5" i="27"/>
  <c r="SH13" i="27"/>
  <c r="SH15" i="27"/>
  <c r="SH8" i="27"/>
  <c r="EH4" i="27"/>
  <c r="EH11" i="27"/>
  <c r="FJ6" i="27"/>
  <c r="FJ7" i="27"/>
  <c r="FJ10" i="27"/>
  <c r="FJ16" i="27"/>
  <c r="GL4" i="27"/>
  <c r="GL11" i="27"/>
  <c r="HN6" i="27"/>
  <c r="HN7" i="27"/>
  <c r="HN10" i="27"/>
  <c r="HN16" i="27"/>
  <c r="IP4" i="27"/>
  <c r="IP11" i="27"/>
  <c r="JR6" i="27"/>
  <c r="JR7" i="27"/>
  <c r="JR10" i="27"/>
  <c r="JR16" i="27"/>
  <c r="KT4" i="27"/>
  <c r="KT11" i="27"/>
  <c r="LV6" i="27"/>
  <c r="LV7" i="27"/>
  <c r="LV10" i="27"/>
  <c r="LV16" i="27"/>
  <c r="MX4" i="27"/>
  <c r="MX11" i="27"/>
  <c r="NZ6" i="27"/>
  <c r="NZ7" i="27"/>
  <c r="NZ10" i="27"/>
  <c r="NZ16" i="27"/>
  <c r="PB4" i="27"/>
  <c r="PB11" i="27"/>
  <c r="QD6" i="27"/>
  <c r="QD7" i="27"/>
  <c r="QD10" i="27"/>
  <c r="QD16" i="27"/>
  <c r="RF4" i="27"/>
  <c r="RF11" i="27"/>
  <c r="SH6" i="27"/>
  <c r="BW10" i="26"/>
  <c r="GI4" i="26"/>
  <c r="GL6" i="26"/>
  <c r="GI10" i="26"/>
  <c r="UK10" i="26"/>
  <c r="GL7" i="26"/>
  <c r="GI11" i="26"/>
  <c r="GL8" i="26"/>
  <c r="HN4" i="26"/>
  <c r="HN9" i="26"/>
  <c r="HN10" i="26"/>
  <c r="IP6" i="26"/>
  <c r="JR5" i="26"/>
  <c r="EH5" i="26"/>
  <c r="EH11" i="26"/>
  <c r="FJ7" i="26"/>
  <c r="FJ8" i="26"/>
  <c r="GL4" i="26"/>
  <c r="GI6" i="26"/>
  <c r="GL10" i="26"/>
  <c r="EH7" i="26"/>
  <c r="EH8" i="26"/>
  <c r="FJ4" i="26"/>
  <c r="FJ9" i="26"/>
  <c r="FJ10" i="26"/>
  <c r="GI7" i="26"/>
  <c r="GL11" i="26"/>
  <c r="HN5" i="26"/>
  <c r="HN11" i="26"/>
  <c r="LV11" i="26"/>
  <c r="SH9" i="26"/>
  <c r="EH4" i="26"/>
  <c r="EH9" i="26"/>
  <c r="EH10" i="26"/>
  <c r="FJ6" i="26"/>
  <c r="GL9" i="26"/>
  <c r="HN7" i="26"/>
  <c r="HN8" i="26"/>
  <c r="IP4" i="26"/>
  <c r="IP9" i="26"/>
  <c r="IP10" i="26"/>
  <c r="JR6" i="26"/>
  <c r="KT5" i="26"/>
  <c r="KT11" i="26"/>
  <c r="LV7" i="26"/>
  <c r="LV8" i="26"/>
  <c r="MX4" i="26"/>
  <c r="MX9" i="26"/>
  <c r="MX10" i="26"/>
  <c r="NZ6" i="26"/>
  <c r="PB5" i="26"/>
  <c r="PB11" i="26"/>
  <c r="QD7" i="26"/>
  <c r="QD8" i="26"/>
  <c r="RF4" i="26"/>
  <c r="RF9" i="26"/>
  <c r="RF10" i="26"/>
  <c r="SH6" i="26"/>
  <c r="N10" i="26"/>
  <c r="DE10" i="26" s="1"/>
  <c r="EH6" i="26"/>
  <c r="FJ5" i="26"/>
  <c r="FJ11" i="26"/>
  <c r="GL5" i="26"/>
  <c r="GI8" i="26"/>
  <c r="JR11" i="26"/>
  <c r="KT7" i="26"/>
  <c r="KT8" i="26"/>
  <c r="LV4" i="26"/>
  <c r="LV9" i="26"/>
  <c r="LV10" i="26"/>
  <c r="MX6" i="26"/>
  <c r="NZ5" i="26"/>
  <c r="NZ11" i="26"/>
  <c r="PB7" i="26"/>
  <c r="PB8" i="26"/>
  <c r="QD4" i="26"/>
  <c r="QD9" i="26"/>
  <c r="QD10" i="26"/>
  <c r="RF6" i="26"/>
  <c r="SH5" i="26"/>
  <c r="SH11" i="26"/>
  <c r="GS7" i="24"/>
  <c r="KJ15" i="24"/>
  <c r="KQ15" i="24" s="1"/>
  <c r="LR5" i="24"/>
  <c r="LY5" i="24" s="1"/>
  <c r="QX4" i="24"/>
  <c r="RE4" i="24" s="1"/>
  <c r="QX15" i="24"/>
  <c r="RE15" i="24" s="1"/>
  <c r="SF9" i="24"/>
  <c r="SM9" i="24" s="1"/>
  <c r="UV8" i="24"/>
  <c r="VC8" i="24" s="1"/>
  <c r="UV15" i="24"/>
  <c r="VC15" i="24" s="1"/>
  <c r="EC15" i="24"/>
  <c r="JB15" i="24"/>
  <c r="JI15" i="24" s="1"/>
  <c r="MZ15" i="24"/>
  <c r="NG15" i="24" s="1"/>
  <c r="OH5" i="24"/>
  <c r="OO5" i="24" s="1"/>
  <c r="FD11" i="24"/>
  <c r="FK11" i="24" s="1"/>
  <c r="JB10" i="24"/>
  <c r="JI10" i="24" s="1"/>
  <c r="KJ4" i="24"/>
  <c r="KQ4" i="24" s="1"/>
  <c r="KJ10" i="24"/>
  <c r="KQ10" i="24" s="1"/>
  <c r="KQ13" i="24"/>
  <c r="OH9" i="24"/>
  <c r="OO9" i="24" s="1"/>
  <c r="OH11" i="24"/>
  <c r="OO11" i="24" s="1"/>
  <c r="OH13" i="24"/>
  <c r="OO13" i="24" s="1"/>
  <c r="PP5" i="24"/>
  <c r="PW5" i="24" s="1"/>
  <c r="PP7" i="24"/>
  <c r="PW7" i="24" s="1"/>
  <c r="PP9" i="24"/>
  <c r="PW9" i="24" s="1"/>
  <c r="PP11" i="24"/>
  <c r="PW11" i="24" s="1"/>
  <c r="TN10" i="24"/>
  <c r="TU10" i="24" s="1"/>
  <c r="UV4" i="24"/>
  <c r="VC4" i="24" s="1"/>
  <c r="FD13" i="24"/>
  <c r="FK13" i="24" s="1"/>
  <c r="FD15" i="24"/>
  <c r="FK15" i="24" s="1"/>
  <c r="GL5" i="24"/>
  <c r="GS5" i="24" s="1"/>
  <c r="LR4" i="24"/>
  <c r="LY4" i="24" s="1"/>
  <c r="LR15" i="24"/>
  <c r="LY15" i="24" s="1"/>
  <c r="UV9" i="24"/>
  <c r="VC9" i="24" s="1"/>
  <c r="DV4" i="24"/>
  <c r="EC4" i="24" s="1"/>
  <c r="DV10" i="24"/>
  <c r="EC10" i="24" s="1"/>
  <c r="FD7" i="24"/>
  <c r="FK7" i="24" s="1"/>
  <c r="GL9" i="24"/>
  <c r="GS9" i="24" s="1"/>
  <c r="GL11" i="24"/>
  <c r="GS11" i="24" s="1"/>
  <c r="GL13" i="24"/>
  <c r="GS13" i="24" s="1"/>
  <c r="HT5" i="24"/>
  <c r="IA5" i="24" s="1"/>
  <c r="HT7" i="24"/>
  <c r="IA7" i="24" s="1"/>
  <c r="HT9" i="24"/>
  <c r="IA9" i="24" s="1"/>
  <c r="HT11" i="24"/>
  <c r="IA11" i="24" s="1"/>
  <c r="NG4" i="24"/>
  <c r="NG10" i="24"/>
  <c r="RE11" i="24"/>
  <c r="RE13" i="24"/>
  <c r="VC12" i="24"/>
  <c r="UV14" i="24"/>
  <c r="VC14" i="24" s="1"/>
  <c r="TU11" i="24"/>
  <c r="TN13" i="24"/>
  <c r="TU13" i="24" s="1"/>
  <c r="TN15" i="24"/>
  <c r="TU15" i="24" s="1"/>
  <c r="UV5" i="24"/>
  <c r="VC5" i="24" s="1"/>
  <c r="DV6" i="24"/>
  <c r="EC6" i="24" s="1"/>
  <c r="DV14" i="24"/>
  <c r="EC14" i="24" s="1"/>
  <c r="HT6" i="24"/>
  <c r="IA6" i="24" s="1"/>
  <c r="HT14" i="24"/>
  <c r="IA14" i="24" s="1"/>
  <c r="KJ6" i="24"/>
  <c r="KQ6" i="24" s="1"/>
  <c r="KJ14" i="24"/>
  <c r="KQ14" i="24" s="1"/>
  <c r="MZ6" i="24"/>
  <c r="NG6" i="24" s="1"/>
  <c r="MZ14" i="24"/>
  <c r="NG14" i="24" s="1"/>
  <c r="PP6" i="24"/>
  <c r="PW6" i="24" s="1"/>
  <c r="PP14" i="24"/>
  <c r="PW14" i="24" s="1"/>
  <c r="SF6" i="24"/>
  <c r="SM6" i="24" s="1"/>
  <c r="SF14" i="24"/>
  <c r="SM14" i="24" s="1"/>
  <c r="RE7" i="24"/>
  <c r="VC6" i="24"/>
  <c r="DV8" i="24"/>
  <c r="EC8" i="24" s="1"/>
  <c r="DV12" i="24"/>
  <c r="EC12" i="24" s="1"/>
  <c r="HT8" i="24"/>
  <c r="IA8" i="24" s="1"/>
  <c r="HT12" i="24"/>
  <c r="IA12" i="24" s="1"/>
  <c r="KJ8" i="24"/>
  <c r="KQ8" i="24" s="1"/>
  <c r="KJ12" i="24"/>
  <c r="KQ12" i="24" s="1"/>
  <c r="MZ8" i="24"/>
  <c r="NG8" i="24" s="1"/>
  <c r="MZ12" i="24"/>
  <c r="NG12" i="24" s="1"/>
  <c r="PP8" i="24"/>
  <c r="PW8" i="24" s="1"/>
  <c r="PP12" i="24"/>
  <c r="PW12" i="24" s="1"/>
  <c r="SF8" i="24"/>
  <c r="SM8" i="24" s="1"/>
  <c r="SF12" i="24"/>
  <c r="SM12" i="24" s="1"/>
  <c r="KQ11" i="24"/>
  <c r="LY10" i="24"/>
  <c r="NG11" i="24"/>
  <c r="RE10" i="24"/>
  <c r="GL6" i="24"/>
  <c r="GS6" i="24" s="1"/>
  <c r="GL14" i="24"/>
  <c r="GS14" i="24" s="1"/>
  <c r="JB6" i="24"/>
  <c r="JI6" i="24" s="1"/>
  <c r="JB14" i="24"/>
  <c r="JI14" i="24" s="1"/>
  <c r="LR6" i="24"/>
  <c r="LY6" i="24" s="1"/>
  <c r="LR14" i="24"/>
  <c r="LY14" i="24" s="1"/>
  <c r="OH6" i="24"/>
  <c r="OO6" i="24" s="1"/>
  <c r="OH14" i="24"/>
  <c r="OO14" i="24" s="1"/>
  <c r="QX6" i="24"/>
  <c r="RE6" i="24" s="1"/>
  <c r="QX14" i="24"/>
  <c r="RE14" i="24" s="1"/>
  <c r="TN6" i="24"/>
  <c r="TU6" i="24" s="1"/>
  <c r="TN14" i="24"/>
  <c r="TU14" i="24" s="1"/>
  <c r="GL8" i="24"/>
  <c r="GS8" i="24" s="1"/>
  <c r="GL12" i="24"/>
  <c r="GS12" i="24" s="1"/>
  <c r="JB8" i="24"/>
  <c r="JI8" i="24" s="1"/>
  <c r="JB12" i="24"/>
  <c r="JI12" i="24" s="1"/>
  <c r="LR8" i="24"/>
  <c r="LY8" i="24" s="1"/>
  <c r="LR12" i="24"/>
  <c r="LY12" i="24" s="1"/>
  <c r="OH8" i="24"/>
  <c r="OO8" i="24" s="1"/>
  <c r="OH12" i="24"/>
  <c r="OO12" i="24" s="1"/>
  <c r="QX8" i="24"/>
  <c r="RE8" i="24" s="1"/>
  <c r="QX12" i="24"/>
  <c r="RE12" i="24" s="1"/>
  <c r="TN8" i="24"/>
  <c r="TU8" i="24" s="1"/>
  <c r="TN12" i="24"/>
  <c r="TU12" i="24" s="1"/>
  <c r="PW16" i="23"/>
  <c r="PW18" i="23"/>
  <c r="RE5" i="23"/>
  <c r="DV5" i="23"/>
  <c r="EC5" i="23" s="1"/>
  <c r="DV11" i="23"/>
  <c r="EC11" i="23" s="1"/>
  <c r="DV14" i="23"/>
  <c r="EC14" i="23" s="1"/>
  <c r="GL9" i="23"/>
  <c r="GS9" i="23" s="1"/>
  <c r="GL13" i="23"/>
  <c r="GS13" i="23" s="1"/>
  <c r="GL17" i="23"/>
  <c r="GS17" i="23" s="1"/>
  <c r="HT4" i="23"/>
  <c r="IA4" i="23" s="1"/>
  <c r="LR18" i="23"/>
  <c r="LY18" i="23" s="1"/>
  <c r="IA5" i="23"/>
  <c r="OH17" i="23"/>
  <c r="OO17" i="23" s="1"/>
  <c r="PP4" i="23"/>
  <c r="PW4" i="23" s="1"/>
  <c r="PP7" i="23"/>
  <c r="PW7" i="23" s="1"/>
  <c r="TN4" i="23"/>
  <c r="TU4" i="23" s="1"/>
  <c r="JB6" i="23"/>
  <c r="JI6" i="23" s="1"/>
  <c r="JB10" i="23"/>
  <c r="JI10" i="23" s="1"/>
  <c r="JB13" i="23"/>
  <c r="JI13" i="23" s="1"/>
  <c r="OH16" i="23"/>
  <c r="OO16" i="23" s="1"/>
  <c r="OH18" i="23"/>
  <c r="OO18" i="23" s="1"/>
  <c r="PP5" i="23"/>
  <c r="PW5" i="23" s="1"/>
  <c r="PP8" i="23"/>
  <c r="PW8" i="23" s="1"/>
  <c r="JB14" i="23"/>
  <c r="JI14" i="23" s="1"/>
  <c r="JB16" i="23"/>
  <c r="JI16" i="23" s="1"/>
  <c r="JB18" i="23"/>
  <c r="JI18" i="23" s="1"/>
  <c r="KJ12" i="23"/>
  <c r="KQ12" i="23" s="1"/>
  <c r="KJ15" i="23"/>
  <c r="KQ15" i="23" s="1"/>
  <c r="LR6" i="23"/>
  <c r="LY6" i="23" s="1"/>
  <c r="MZ16" i="23"/>
  <c r="NG16" i="23" s="1"/>
  <c r="QX10" i="23"/>
  <c r="RE10" i="23" s="1"/>
  <c r="QX13" i="23"/>
  <c r="RE13" i="23" s="1"/>
  <c r="UV7" i="23"/>
  <c r="VC7" i="23" s="1"/>
  <c r="DV4" i="23"/>
  <c r="EC4" i="23" s="1"/>
  <c r="DV13" i="23"/>
  <c r="EC13" i="23" s="1"/>
  <c r="FD16" i="23"/>
  <c r="FK16" i="23" s="1"/>
  <c r="FD18" i="23"/>
  <c r="FK18" i="23" s="1"/>
  <c r="GL5" i="23"/>
  <c r="GS5" i="23" s="1"/>
  <c r="GL8" i="23"/>
  <c r="GS8" i="23" s="1"/>
  <c r="LR4" i="23"/>
  <c r="LY4" i="23" s="1"/>
  <c r="LR7" i="23"/>
  <c r="LY7" i="23" s="1"/>
  <c r="LR9" i="23"/>
  <c r="LY9" i="23" s="1"/>
  <c r="LR11" i="23"/>
  <c r="LY11" i="23" s="1"/>
  <c r="OH7" i="23"/>
  <c r="OO7" i="23" s="1"/>
  <c r="OH11" i="23"/>
  <c r="OO11" i="23" s="1"/>
  <c r="RE9" i="23"/>
  <c r="SF11" i="23"/>
  <c r="SM11" i="23" s="1"/>
  <c r="SF14" i="23"/>
  <c r="SM14" i="23" s="1"/>
  <c r="TN5" i="23"/>
  <c r="TU5" i="23" s="1"/>
  <c r="TU7" i="23"/>
  <c r="TU11" i="23"/>
  <c r="TN14" i="23"/>
  <c r="TU14" i="23" s="1"/>
  <c r="FD7" i="23"/>
  <c r="FK7" i="23" s="1"/>
  <c r="FD11" i="23"/>
  <c r="FK11" i="23" s="1"/>
  <c r="IA18" i="23"/>
  <c r="PP17" i="23"/>
  <c r="PW17" i="23" s="1"/>
  <c r="QX4" i="23"/>
  <c r="RE4" i="23" s="1"/>
  <c r="JI15" i="23"/>
  <c r="IA17" i="23"/>
  <c r="DV12" i="23"/>
  <c r="EC12" i="23" s="1"/>
  <c r="FD8" i="23"/>
  <c r="FK8" i="23" s="1"/>
  <c r="IA16" i="23"/>
  <c r="JB17" i="23"/>
  <c r="JI17" i="23" s="1"/>
  <c r="KJ13" i="23"/>
  <c r="KQ13" i="23" s="1"/>
  <c r="LR10" i="23"/>
  <c r="LY10" i="23" s="1"/>
  <c r="SM9" i="23"/>
  <c r="SF15" i="23"/>
  <c r="SM15" i="23" s="1"/>
  <c r="VC8" i="23"/>
  <c r="DV6" i="23"/>
  <c r="EC6" i="23" s="1"/>
  <c r="KJ17" i="23"/>
  <c r="KQ17" i="23" s="1"/>
  <c r="LR13" i="23"/>
  <c r="LY13" i="23" s="1"/>
  <c r="TN6" i="23"/>
  <c r="TU6" i="23" s="1"/>
  <c r="DV10" i="23"/>
  <c r="EC10" i="23" s="1"/>
  <c r="FD6" i="23"/>
  <c r="FK6" i="23" s="1"/>
  <c r="FD15" i="23"/>
  <c r="FK15" i="23" s="1"/>
  <c r="GL12" i="23"/>
  <c r="GS12" i="23" s="1"/>
  <c r="HT8" i="23"/>
  <c r="IA8" i="23" s="1"/>
  <c r="JB5" i="23"/>
  <c r="JI5" i="23" s="1"/>
  <c r="KJ16" i="23"/>
  <c r="KQ16" i="23" s="1"/>
  <c r="LR17" i="23"/>
  <c r="LY17" i="23" s="1"/>
  <c r="MZ10" i="23"/>
  <c r="NG10" i="23" s="1"/>
  <c r="OH6" i="23"/>
  <c r="OO6" i="23" s="1"/>
  <c r="OH15" i="23"/>
  <c r="OO15" i="23" s="1"/>
  <c r="PP12" i="23"/>
  <c r="PW12" i="23" s="1"/>
  <c r="QX8" i="23"/>
  <c r="RE8" i="23" s="1"/>
  <c r="SF5" i="23"/>
  <c r="SM5" i="23" s="1"/>
  <c r="TN10" i="23"/>
  <c r="TU10" i="23" s="1"/>
  <c r="UV6" i="23"/>
  <c r="VC6" i="23" s="1"/>
  <c r="UV15" i="23"/>
  <c r="VC15" i="23" s="1"/>
  <c r="DV9" i="23"/>
  <c r="EC9" i="23" s="1"/>
  <c r="FD10" i="23"/>
  <c r="FK10" i="23" s="1"/>
  <c r="GL6" i="23"/>
  <c r="GS6" i="23" s="1"/>
  <c r="GL15" i="23"/>
  <c r="GS15" i="23" s="1"/>
  <c r="HT12" i="23"/>
  <c r="IA12" i="23" s="1"/>
  <c r="JB8" i="23"/>
  <c r="JI8" i="23" s="1"/>
  <c r="KJ5" i="23"/>
  <c r="KQ5" i="23" s="1"/>
  <c r="LR16" i="23"/>
  <c r="LY16" i="23" s="1"/>
  <c r="MZ9" i="23"/>
  <c r="NG9" i="23" s="1"/>
  <c r="MZ13" i="23"/>
  <c r="NG13" i="23" s="1"/>
  <c r="OH10" i="23"/>
  <c r="OO10" i="23" s="1"/>
  <c r="PP6" i="23"/>
  <c r="PW6" i="23" s="1"/>
  <c r="PP15" i="23"/>
  <c r="PW15" i="23" s="1"/>
  <c r="QX12" i="23"/>
  <c r="RE12" i="23" s="1"/>
  <c r="TN9" i="23"/>
  <c r="TU9" i="23" s="1"/>
  <c r="TN13" i="23"/>
  <c r="TU13" i="23" s="1"/>
  <c r="UV10" i="23"/>
  <c r="VC10" i="23" s="1"/>
  <c r="DV17" i="23"/>
  <c r="EC17" i="23" s="1"/>
  <c r="FD9" i="23"/>
  <c r="FK9" i="23" s="1"/>
  <c r="FD13" i="23"/>
  <c r="FK13" i="23" s="1"/>
  <c r="GL10" i="23"/>
  <c r="GS10" i="23" s="1"/>
  <c r="HT6" i="23"/>
  <c r="IA6" i="23" s="1"/>
  <c r="HT15" i="23"/>
  <c r="IA15" i="23" s="1"/>
  <c r="JB12" i="23"/>
  <c r="JI12" i="23" s="1"/>
  <c r="KJ8" i="23"/>
  <c r="KQ8" i="23" s="1"/>
  <c r="LR5" i="23"/>
  <c r="LY5" i="23" s="1"/>
  <c r="MZ17" i="23"/>
  <c r="NG17" i="23" s="1"/>
  <c r="OH9" i="23"/>
  <c r="OO9" i="23" s="1"/>
  <c r="OH13" i="23"/>
  <c r="OO13" i="23" s="1"/>
  <c r="PP10" i="23"/>
  <c r="PW10" i="23" s="1"/>
  <c r="QX6" i="23"/>
  <c r="RE6" i="23" s="1"/>
  <c r="QX15" i="23"/>
  <c r="RE15" i="23" s="1"/>
  <c r="SF8" i="23"/>
  <c r="SM8" i="23" s="1"/>
  <c r="SF16" i="23"/>
  <c r="SM16" i="23" s="1"/>
  <c r="TN17" i="23"/>
  <c r="TU17" i="23" s="1"/>
  <c r="VC9" i="23"/>
  <c r="UV13" i="23"/>
  <c r="VC13" i="23" s="1"/>
  <c r="FS6" i="22"/>
  <c r="II14" i="22"/>
  <c r="JQ11" i="22"/>
  <c r="JQ10" i="22"/>
  <c r="RF12" i="22"/>
  <c r="RM12" i="22" s="1"/>
  <c r="IB5" i="22"/>
  <c r="II5" i="22" s="1"/>
  <c r="IB6" i="22"/>
  <c r="II6" i="22" s="1"/>
  <c r="KR17" i="22"/>
  <c r="KY17" i="22" s="1"/>
  <c r="LZ4" i="22"/>
  <c r="MG4" i="22" s="1"/>
  <c r="LZ15" i="22"/>
  <c r="MG15" i="22" s="1"/>
  <c r="LZ17" i="22"/>
  <c r="MG17" i="22" s="1"/>
  <c r="PX5" i="22"/>
  <c r="QE5" i="22" s="1"/>
  <c r="RF8" i="22"/>
  <c r="RM8" i="22" s="1"/>
  <c r="ED8" i="22"/>
  <c r="EK8" i="22" s="1"/>
  <c r="ED15" i="22"/>
  <c r="EK15" i="22" s="1"/>
  <c r="IB9" i="22"/>
  <c r="II9" i="22" s="1"/>
  <c r="KR14" i="22"/>
  <c r="KY14" i="22" s="1"/>
  <c r="LZ5" i="22"/>
  <c r="MG5" i="22" s="1"/>
  <c r="LZ7" i="22"/>
  <c r="MG7" i="22" s="1"/>
  <c r="LZ11" i="22"/>
  <c r="MG11" i="22" s="1"/>
  <c r="LZ10" i="22"/>
  <c r="MG10" i="22" s="1"/>
  <c r="LZ13" i="22"/>
  <c r="MG13" i="22" s="1"/>
  <c r="PX6" i="22"/>
  <c r="QE6" i="22" s="1"/>
  <c r="RF5" i="22"/>
  <c r="RM5" i="22" s="1"/>
  <c r="VD4" i="22"/>
  <c r="VK4" i="22" s="1"/>
  <c r="VD6" i="22"/>
  <c r="VK6" i="22" s="1"/>
  <c r="VD9" i="22"/>
  <c r="VK9" i="22" s="1"/>
  <c r="ED11" i="22"/>
  <c r="EK11" i="22" s="1"/>
  <c r="ED10" i="22"/>
  <c r="EK10" i="22" s="1"/>
  <c r="ED13" i="22"/>
  <c r="EK13" i="22" s="1"/>
  <c r="ED16" i="22"/>
  <c r="EK16" i="22" s="1"/>
  <c r="ED14" i="22"/>
  <c r="EK14" i="22" s="1"/>
  <c r="FL5" i="22"/>
  <c r="FS5" i="22" s="1"/>
  <c r="FL17" i="22"/>
  <c r="FS17" i="22" s="1"/>
  <c r="GT4" i="22"/>
  <c r="HA4" i="22" s="1"/>
  <c r="GT15" i="22"/>
  <c r="HA15" i="22" s="1"/>
  <c r="GT17" i="22"/>
  <c r="HA17" i="22" s="1"/>
  <c r="JJ6" i="22"/>
  <c r="JQ6" i="22" s="1"/>
  <c r="KR5" i="22"/>
  <c r="KY5" i="22" s="1"/>
  <c r="NH7" i="22"/>
  <c r="NO7" i="22" s="1"/>
  <c r="NH11" i="22"/>
  <c r="NO11" i="22" s="1"/>
  <c r="NH17" i="22"/>
  <c r="NO17" i="22" s="1"/>
  <c r="OP4" i="22"/>
  <c r="OW4" i="22" s="1"/>
  <c r="QE11" i="22"/>
  <c r="RF16" i="22"/>
  <c r="RM16" i="22" s="1"/>
  <c r="RF14" i="22"/>
  <c r="RM14" i="22" s="1"/>
  <c r="SN15" i="22"/>
  <c r="SU15" i="22" s="1"/>
  <c r="FS14" i="22"/>
  <c r="GT5" i="22"/>
  <c r="HA5" i="22" s="1"/>
  <c r="GT7" i="22"/>
  <c r="HA7" i="22" s="1"/>
  <c r="GT11" i="22"/>
  <c r="HA11" i="22" s="1"/>
  <c r="GT10" i="22"/>
  <c r="HA10" i="22" s="1"/>
  <c r="GT13" i="22"/>
  <c r="HA13" i="22" s="1"/>
  <c r="SN13" i="22"/>
  <c r="SU13" i="22" s="1"/>
  <c r="SN16" i="22"/>
  <c r="SU16" i="22" s="1"/>
  <c r="UC16" i="22"/>
  <c r="ED9" i="22"/>
  <c r="EK9" i="22" s="1"/>
  <c r="FL7" i="22"/>
  <c r="FS7" i="22" s="1"/>
  <c r="IB8" i="22"/>
  <c r="II8" i="22" s="1"/>
  <c r="KR8" i="22"/>
  <c r="KY8" i="22" s="1"/>
  <c r="NH8" i="22"/>
  <c r="NO8" i="22" s="1"/>
  <c r="RF10" i="22"/>
  <c r="RM10" i="22" s="1"/>
  <c r="RF17" i="22"/>
  <c r="RM17" i="22" s="1"/>
  <c r="SN9" i="22"/>
  <c r="SU9" i="22" s="1"/>
  <c r="UC7" i="22"/>
  <c r="TV15" i="22"/>
  <c r="UC15" i="22" s="1"/>
  <c r="ED4" i="22"/>
  <c r="EK4" i="22" s="1"/>
  <c r="IB15" i="22"/>
  <c r="II15" i="22" s="1"/>
  <c r="KR15" i="22"/>
  <c r="KY15" i="22" s="1"/>
  <c r="NH15" i="22"/>
  <c r="NO15" i="22" s="1"/>
  <c r="SN4" i="22"/>
  <c r="SU4" i="22" s="1"/>
  <c r="TV17" i="22"/>
  <c r="UC17" i="22" s="1"/>
  <c r="FL4" i="22"/>
  <c r="FS4" i="22" s="1"/>
  <c r="FL10" i="22"/>
  <c r="FS10" i="22" s="1"/>
  <c r="GT9" i="22"/>
  <c r="HA9" i="22" s="1"/>
  <c r="IB10" i="22"/>
  <c r="II10" i="22" s="1"/>
  <c r="JJ9" i="22"/>
  <c r="JQ9" i="22" s="1"/>
  <c r="KR10" i="22"/>
  <c r="KY10" i="22" s="1"/>
  <c r="LZ9" i="22"/>
  <c r="MG9" i="22" s="1"/>
  <c r="NH10" i="22"/>
  <c r="NO10" i="22" s="1"/>
  <c r="OP9" i="22"/>
  <c r="OW9" i="22" s="1"/>
  <c r="ED7" i="22"/>
  <c r="EK7" i="22" s="1"/>
  <c r="FL16" i="22"/>
  <c r="FS16" i="22" s="1"/>
  <c r="GT12" i="22"/>
  <c r="HA12" i="22" s="1"/>
  <c r="HA14" i="22"/>
  <c r="IB16" i="22"/>
  <c r="II16" i="22" s="1"/>
  <c r="JJ12" i="22"/>
  <c r="JQ12" i="22" s="1"/>
  <c r="JQ14" i="22"/>
  <c r="KR16" i="22"/>
  <c r="KY16" i="22" s="1"/>
  <c r="LZ12" i="22"/>
  <c r="MG12" i="22" s="1"/>
  <c r="NH16" i="22"/>
  <c r="NO16" i="22" s="1"/>
  <c r="OP12" i="22"/>
  <c r="OW12" i="22" s="1"/>
  <c r="PX10" i="22"/>
  <c r="QE10" i="22" s="1"/>
  <c r="QE15" i="22"/>
  <c r="RF6" i="22"/>
  <c r="RM6" i="22" s="1"/>
  <c r="SN7" i="22"/>
  <c r="SU7" i="22" s="1"/>
  <c r="VD12" i="22"/>
  <c r="VK12" i="22" s="1"/>
  <c r="ED17" i="22"/>
  <c r="EK17" i="22" s="1"/>
  <c r="FS8" i="22"/>
  <c r="GT8" i="22"/>
  <c r="HA8" i="22" s="1"/>
  <c r="JJ8" i="22"/>
  <c r="JQ8" i="22" s="1"/>
  <c r="LZ8" i="22"/>
  <c r="MG8" i="22" s="1"/>
  <c r="OP8" i="22"/>
  <c r="OW8" i="22" s="1"/>
  <c r="PX17" i="22"/>
  <c r="QE17" i="22" s="1"/>
  <c r="SN17" i="22"/>
  <c r="SU17" i="22" s="1"/>
  <c r="VD8" i="22"/>
  <c r="VK8" i="22" s="1"/>
  <c r="JQ7" i="22"/>
  <c r="KY6" i="22"/>
  <c r="RF4" i="22"/>
  <c r="RM4" i="22" s="1"/>
  <c r="VD15" i="22"/>
  <c r="VK15" i="22" s="1"/>
  <c r="ED6" i="22"/>
  <c r="EK6" i="22" s="1"/>
  <c r="FL12" i="22"/>
  <c r="FS12" i="22" s="1"/>
  <c r="GT16" i="22"/>
  <c r="HA16" i="22" s="1"/>
  <c r="IB4" i="22"/>
  <c r="II4" i="22" s="1"/>
  <c r="IB12" i="22"/>
  <c r="II12" i="22" s="1"/>
  <c r="JJ16" i="22"/>
  <c r="JQ16" i="22" s="1"/>
  <c r="KR4" i="22"/>
  <c r="KY4" i="22" s="1"/>
  <c r="KR12" i="22"/>
  <c r="KY12" i="22" s="1"/>
  <c r="LZ16" i="22"/>
  <c r="MG16" i="22" s="1"/>
  <c r="NH4" i="22"/>
  <c r="NO4" i="22" s="1"/>
  <c r="NH12" i="22"/>
  <c r="NO12" i="22" s="1"/>
  <c r="OP16" i="22"/>
  <c r="OW16" i="22" s="1"/>
  <c r="PX4" i="22"/>
  <c r="QE4" i="22" s="1"/>
  <c r="PX9" i="22"/>
  <c r="QE9" i="22" s="1"/>
  <c r="RF7" i="22"/>
  <c r="RM7" i="22" s="1"/>
  <c r="RF15" i="22"/>
  <c r="RM15" i="22" s="1"/>
  <c r="SN6" i="22"/>
  <c r="SU6" i="22" s="1"/>
  <c r="TV8" i="22"/>
  <c r="UC8" i="22" s="1"/>
  <c r="EK5" i="4"/>
  <c r="ED6" i="4"/>
  <c r="EK6" i="4" s="1"/>
  <c r="ED22" i="4"/>
  <c r="EK22" i="4" s="1"/>
  <c r="JQ5" i="4"/>
  <c r="JJ6" i="4"/>
  <c r="JQ6" i="4" s="1"/>
  <c r="OP7" i="4"/>
  <c r="OW7" i="4" s="1"/>
  <c r="OP14" i="4"/>
  <c r="OW14" i="4" s="1"/>
  <c r="OP22" i="4"/>
  <c r="RF4" i="4"/>
  <c r="RM4" i="4" s="1"/>
  <c r="VK12" i="4"/>
  <c r="VK15" i="4"/>
  <c r="GT14" i="4"/>
  <c r="HA14" i="4" s="1"/>
  <c r="NH19" i="4"/>
  <c r="NO19" i="4" s="1"/>
  <c r="PX4" i="4"/>
  <c r="QE4" i="4" s="1"/>
  <c r="PX13" i="4"/>
  <c r="QE13" i="4" s="1"/>
  <c r="RF16" i="4"/>
  <c r="RM16" i="4" s="1"/>
  <c r="TV15" i="4"/>
  <c r="UC15" i="4" s="1"/>
  <c r="TV18" i="4"/>
  <c r="UC18" i="4" s="1"/>
  <c r="TV17" i="4"/>
  <c r="UC17" i="4" s="1"/>
  <c r="HA10" i="4"/>
  <c r="GT22" i="4"/>
  <c r="HA22" i="4" s="1"/>
  <c r="KY13" i="4"/>
  <c r="KY11" i="4"/>
  <c r="LZ14" i="4"/>
  <c r="MG14" i="4" s="1"/>
  <c r="NH18" i="4"/>
  <c r="NO18" i="4" s="1"/>
  <c r="VD10" i="4"/>
  <c r="VK10" i="4" s="1"/>
  <c r="ED4" i="4"/>
  <c r="EK4" i="4" s="1"/>
  <c r="ED10" i="4"/>
  <c r="EK10" i="4" s="1"/>
  <c r="GT17" i="4"/>
  <c r="HA17" i="4" s="1"/>
  <c r="GT21" i="4"/>
  <c r="HA21" i="4" s="1"/>
  <c r="IB21" i="4"/>
  <c r="II21" i="4" s="1"/>
  <c r="IB24" i="4"/>
  <c r="II24" i="4" s="1"/>
  <c r="JJ4" i="4"/>
  <c r="JQ4" i="4" s="1"/>
  <c r="LZ22" i="4"/>
  <c r="MG22" i="4" s="1"/>
  <c r="LZ23" i="4"/>
  <c r="MG23" i="4" s="1"/>
  <c r="NO17" i="4"/>
  <c r="RM5" i="4"/>
  <c r="RF14" i="4"/>
  <c r="RM14" i="4" s="1"/>
  <c r="SN20" i="4"/>
  <c r="SU20" i="4" s="1"/>
  <c r="SN22" i="4"/>
  <c r="SU22" i="4" s="1"/>
  <c r="EK8" i="4"/>
  <c r="ED13" i="4"/>
  <c r="EK13" i="4" s="1"/>
  <c r="FL14" i="4"/>
  <c r="FS14" i="4" s="1"/>
  <c r="FL22" i="4"/>
  <c r="FS22" i="4" s="1"/>
  <c r="JQ8" i="4"/>
  <c r="FL6" i="4"/>
  <c r="FS6" i="4" s="1"/>
  <c r="FL12" i="4"/>
  <c r="FS12" i="4" s="1"/>
  <c r="FL10" i="4"/>
  <c r="FS10" i="4" s="1"/>
  <c r="FL19" i="4"/>
  <c r="FL15" i="4"/>
  <c r="FS15" i="4" s="1"/>
  <c r="FL18" i="4"/>
  <c r="FS18" i="4" s="1"/>
  <c r="FL17" i="4"/>
  <c r="FS17" i="4" s="1"/>
  <c r="FL21" i="4"/>
  <c r="FS21" i="4" s="1"/>
  <c r="IB13" i="4"/>
  <c r="II13" i="4" s="1"/>
  <c r="JJ13" i="4"/>
  <c r="JQ13" i="4" s="1"/>
  <c r="JJ11" i="4"/>
  <c r="JQ11" i="4" s="1"/>
  <c r="KR14" i="4"/>
  <c r="KY14" i="4" s="1"/>
  <c r="KR22" i="4"/>
  <c r="KY22" i="4" s="1"/>
  <c r="NH8" i="4"/>
  <c r="NO8" i="4" s="1"/>
  <c r="NH14" i="4"/>
  <c r="NO14" i="4" s="1"/>
  <c r="NH13" i="4"/>
  <c r="NO13" i="4" s="1"/>
  <c r="NH20" i="4"/>
  <c r="NO20" i="4" s="1"/>
  <c r="PX6" i="4"/>
  <c r="QE6" i="4" s="1"/>
  <c r="PX12" i="4"/>
  <c r="QE12" i="4" s="1"/>
  <c r="PX9" i="4"/>
  <c r="QE9" i="4" s="1"/>
  <c r="PX10" i="4"/>
  <c r="QE10" i="4" s="1"/>
  <c r="PX22" i="4"/>
  <c r="QE22" i="4" s="1"/>
  <c r="RF23" i="4"/>
  <c r="RM23" i="4" s="1"/>
  <c r="TV13" i="4"/>
  <c r="UC13" i="4" s="1"/>
  <c r="KR21" i="4"/>
  <c r="NH16" i="4"/>
  <c r="NO16" i="4" s="1"/>
  <c r="PX17" i="4"/>
  <c r="QE17" i="4" s="1"/>
  <c r="PX21" i="4"/>
  <c r="QE21" i="4" s="1"/>
  <c r="RF21" i="4"/>
  <c r="RM21" i="4" s="1"/>
  <c r="RF24" i="4"/>
  <c r="RM24" i="4" s="1"/>
  <c r="SN4" i="4"/>
  <c r="SU4" i="4" s="1"/>
  <c r="VK7" i="4"/>
  <c r="VD14" i="4"/>
  <c r="VK14" i="4" s="1"/>
  <c r="VD20" i="4"/>
  <c r="VK20" i="4" s="1"/>
  <c r="IB22" i="4"/>
  <c r="II22" i="4" s="1"/>
  <c r="JJ14" i="4"/>
  <c r="JQ14" i="4" s="1"/>
  <c r="RF22" i="4"/>
  <c r="RM22" i="4" s="1"/>
  <c r="SN14" i="4"/>
  <c r="SU14" i="4" s="1"/>
  <c r="VK4" i="4"/>
  <c r="VD23" i="4"/>
  <c r="VK23" i="4" s="1"/>
  <c r="ED14" i="4"/>
  <c r="EK14" i="4" s="1"/>
  <c r="ED9" i="4"/>
  <c r="EK9" i="4" s="1"/>
  <c r="ED20" i="4"/>
  <c r="EK20" i="4" s="1"/>
  <c r="FL7" i="4"/>
  <c r="FS7" i="4" s="1"/>
  <c r="FL16" i="4"/>
  <c r="FS16" i="4" s="1"/>
  <c r="GT8" i="4"/>
  <c r="HA8" i="4" s="1"/>
  <c r="IB18" i="4"/>
  <c r="II18" i="4" s="1"/>
  <c r="IB23" i="4"/>
  <c r="II23" i="4" s="1"/>
  <c r="JJ9" i="4"/>
  <c r="JQ9" i="4" s="1"/>
  <c r="JJ20" i="4"/>
  <c r="JQ20" i="4" s="1"/>
  <c r="KR7" i="4"/>
  <c r="KY7" i="4" s="1"/>
  <c r="KR16" i="4"/>
  <c r="KY16" i="4" s="1"/>
  <c r="LZ13" i="4"/>
  <c r="MG13" i="4" s="1"/>
  <c r="OP16" i="4"/>
  <c r="OW16" i="4" s="1"/>
  <c r="PX8" i="4"/>
  <c r="QE8" i="4" s="1"/>
  <c r="RF18" i="4"/>
  <c r="RM18" i="4" s="1"/>
  <c r="SN9" i="4"/>
  <c r="SU9" i="4" s="1"/>
  <c r="TV16" i="4"/>
  <c r="UC16" i="4" s="1"/>
  <c r="TV11" i="4"/>
  <c r="UC11" i="4" s="1"/>
  <c r="UC24" i="4"/>
  <c r="VD8" i="4"/>
  <c r="VK8" i="4" s="1"/>
  <c r="ED18" i="4"/>
  <c r="EK18" i="4" s="1"/>
  <c r="ED23" i="4"/>
  <c r="EK23" i="4" s="1"/>
  <c r="FL9" i="4"/>
  <c r="FS9" i="4" s="1"/>
  <c r="FL20" i="4"/>
  <c r="FS20" i="4" s="1"/>
  <c r="GT7" i="4"/>
  <c r="HA7" i="4" s="1"/>
  <c r="GT16" i="4"/>
  <c r="HA16" i="4" s="1"/>
  <c r="IB8" i="4"/>
  <c r="II8" i="4" s="1"/>
  <c r="JJ18" i="4"/>
  <c r="JQ18" i="4" s="1"/>
  <c r="JJ23" i="4"/>
  <c r="JQ23" i="4" s="1"/>
  <c r="KR9" i="4"/>
  <c r="KY9" i="4" s="1"/>
  <c r="KR20" i="4"/>
  <c r="KY20" i="4" s="1"/>
  <c r="LZ5" i="4"/>
  <c r="MG5" i="4" s="1"/>
  <c r="LZ7" i="4"/>
  <c r="MG7" i="4" s="1"/>
  <c r="LZ11" i="4"/>
  <c r="MG11" i="4" s="1"/>
  <c r="NH23" i="4"/>
  <c r="NO23" i="4" s="1"/>
  <c r="OP9" i="4"/>
  <c r="OW9" i="4" s="1"/>
  <c r="OP20" i="4"/>
  <c r="OW20" i="4" s="1"/>
  <c r="PX7" i="4"/>
  <c r="QE7" i="4" s="1"/>
  <c r="PX16" i="4"/>
  <c r="QE16" i="4" s="1"/>
  <c r="RF8" i="4"/>
  <c r="RM8" i="4" s="1"/>
  <c r="SN18" i="4"/>
  <c r="SU18" i="4" s="1"/>
  <c r="SN23" i="4"/>
  <c r="SU23" i="4" s="1"/>
  <c r="TV9" i="4"/>
  <c r="UC9" i="4" s="1"/>
  <c r="TV20" i="4"/>
  <c r="UC20" i="4" s="1"/>
  <c r="VD13" i="4"/>
  <c r="VK13" i="4" s="1"/>
  <c r="EK21" i="4"/>
  <c r="FS19" i="4"/>
  <c r="HA11" i="4"/>
  <c r="HA24" i="4"/>
  <c r="JQ12" i="4"/>
  <c r="MG12" i="4"/>
  <c r="NO6" i="4"/>
  <c r="OW19" i="4"/>
  <c r="OW22" i="4"/>
  <c r="QE11" i="4"/>
  <c r="RM15" i="4"/>
  <c r="UC19" i="4"/>
  <c r="VK16" i="4"/>
  <c r="FL23" i="4"/>
  <c r="FS23" i="4" s="1"/>
  <c r="GT20" i="4"/>
  <c r="HA20" i="4" s="1"/>
  <c r="IB7" i="4"/>
  <c r="II7" i="4" s="1"/>
  <c r="KR23" i="4"/>
  <c r="KY23" i="4" s="1"/>
  <c r="LZ20" i="4"/>
  <c r="MG20" i="4" s="1"/>
  <c r="OP23" i="4"/>
  <c r="OW23" i="4" s="1"/>
  <c r="PX20" i="4"/>
  <c r="QE20" i="4" s="1"/>
  <c r="RF7" i="4"/>
  <c r="RM7" i="4" s="1"/>
  <c r="KY4" i="4"/>
  <c r="KY21" i="4"/>
  <c r="MG15" i="4"/>
  <c r="OP4" i="4"/>
  <c r="OW4" i="4" s="1"/>
  <c r="OP21" i="4"/>
  <c r="OW21" i="4" s="1"/>
  <c r="PX19" i="4"/>
  <c r="QE19" i="4" s="1"/>
  <c r="RF6" i="4"/>
  <c r="RM6" i="4" s="1"/>
  <c r="RF11" i="4"/>
  <c r="RM11" i="4" s="1"/>
  <c r="SN13" i="4"/>
  <c r="SU13" i="4" s="1"/>
  <c r="TV4" i="4"/>
  <c r="UC4" i="4" s="1"/>
  <c r="TV21" i="4"/>
  <c r="UC21" i="4" s="1"/>
  <c r="VD9" i="4"/>
  <c r="VK9" i="4" s="1"/>
  <c r="ED7" i="4"/>
  <c r="EK7" i="4" s="1"/>
  <c r="ED16" i="4"/>
  <c r="EK16" i="4" s="1"/>
  <c r="FL8" i="4"/>
  <c r="FS8" i="4" s="1"/>
  <c r="GT18" i="4"/>
  <c r="HA18" i="4" s="1"/>
  <c r="GT23" i="4"/>
  <c r="HA23" i="4" s="1"/>
  <c r="IB9" i="4"/>
  <c r="II9" i="4" s="1"/>
  <c r="IB20" i="4"/>
  <c r="II20" i="4" s="1"/>
  <c r="JJ7" i="4"/>
  <c r="JQ7" i="4" s="1"/>
  <c r="JJ16" i="4"/>
  <c r="JQ16" i="4" s="1"/>
  <c r="KR8" i="4"/>
  <c r="KY8" i="4" s="1"/>
  <c r="LZ4" i="4"/>
  <c r="MG4" i="4" s="1"/>
  <c r="LZ17" i="4"/>
  <c r="MG17" i="4" s="1"/>
  <c r="LZ21" i="4"/>
  <c r="MG21" i="4" s="1"/>
  <c r="LZ24" i="4"/>
  <c r="MG24" i="4" s="1"/>
  <c r="OP8" i="4"/>
  <c r="OW8" i="4" s="1"/>
  <c r="PX18" i="4"/>
  <c r="QE18" i="4" s="1"/>
  <c r="PX23" i="4"/>
  <c r="QE23" i="4" s="1"/>
  <c r="RF9" i="4"/>
  <c r="RM9" i="4" s="1"/>
  <c r="RF20" i="4"/>
  <c r="RM20" i="4" s="1"/>
  <c r="SN7" i="4"/>
  <c r="SU7" i="4" s="1"/>
  <c r="SN16" i="4"/>
  <c r="SU16" i="4" s="1"/>
  <c r="TV8" i="4"/>
  <c r="UC8" i="4" s="1"/>
  <c r="VD19" i="4"/>
  <c r="VK19" i="4" s="1"/>
  <c r="VD22" i="4"/>
  <c r="VK22" i="4" s="1"/>
  <c r="SE4" i="21"/>
  <c r="SE5" i="21"/>
  <c r="SE6" i="21"/>
  <c r="SE9" i="21"/>
  <c r="SE7" i="21"/>
  <c r="SE8" i="21"/>
  <c r="SE13" i="21"/>
  <c r="SE16" i="21"/>
  <c r="SE10" i="21"/>
  <c r="SE11" i="21"/>
  <c r="SE21" i="21"/>
  <c r="SE20" i="21"/>
  <c r="SE15" i="21"/>
  <c r="SE19" i="21"/>
  <c r="SE12" i="21"/>
  <c r="SE18" i="21"/>
  <c r="SE14" i="21"/>
  <c r="SE22" i="21"/>
  <c r="SE17" i="21"/>
  <c r="RC4" i="21"/>
  <c r="RC5" i="21"/>
  <c r="RC6" i="21"/>
  <c r="RC9" i="21"/>
  <c r="RC7" i="21"/>
  <c r="RC8" i="21"/>
  <c r="RC13" i="21"/>
  <c r="RC16" i="21"/>
  <c r="RC10" i="21"/>
  <c r="RC11" i="21"/>
  <c r="RC21" i="21"/>
  <c r="RC20" i="21"/>
  <c r="RC15" i="21"/>
  <c r="RC19" i="21"/>
  <c r="RC12" i="21"/>
  <c r="RC18" i="21"/>
  <c r="RC14" i="21"/>
  <c r="RC22" i="21"/>
  <c r="RC17" i="21"/>
  <c r="QA4" i="21"/>
  <c r="QA5" i="21"/>
  <c r="QA6" i="21"/>
  <c r="QA9" i="21"/>
  <c r="QA7" i="21"/>
  <c r="QA8" i="21"/>
  <c r="QA13" i="21"/>
  <c r="QA16" i="21"/>
  <c r="QA10" i="21"/>
  <c r="QA11" i="21"/>
  <c r="QA21" i="21"/>
  <c r="QA20" i="21"/>
  <c r="QA15" i="21"/>
  <c r="QA19" i="21"/>
  <c r="QA12" i="21"/>
  <c r="QA18" i="21"/>
  <c r="QA14" i="21"/>
  <c r="QA22" i="21"/>
  <c r="QA17" i="21"/>
  <c r="OY4" i="21"/>
  <c r="OY5" i="21"/>
  <c r="OY6" i="21"/>
  <c r="OY9" i="21"/>
  <c r="OY7" i="21"/>
  <c r="OY8" i="21"/>
  <c r="OY13" i="21"/>
  <c r="OY16" i="21"/>
  <c r="OY10" i="21"/>
  <c r="OY11" i="21"/>
  <c r="OY21" i="21"/>
  <c r="OY20" i="21"/>
  <c r="OY15" i="21"/>
  <c r="OY19" i="21"/>
  <c r="OY12" i="21"/>
  <c r="OY18" i="21"/>
  <c r="OY14" i="21"/>
  <c r="OY22" i="21"/>
  <c r="OY17" i="21"/>
  <c r="NW4" i="21"/>
  <c r="NW9" i="21"/>
  <c r="NW13" i="21"/>
  <c r="NW21" i="21"/>
  <c r="NW19" i="21"/>
  <c r="NW22" i="21"/>
  <c r="NW6" i="21"/>
  <c r="NW8" i="21"/>
  <c r="NW10" i="21"/>
  <c r="NW15" i="21"/>
  <c r="NW14" i="21"/>
  <c r="NW5" i="21"/>
  <c r="NW7" i="21"/>
  <c r="NW16" i="21"/>
  <c r="NW11" i="21"/>
  <c r="NW20" i="21"/>
  <c r="NW12" i="21"/>
  <c r="NW18" i="21"/>
  <c r="NW17" i="21"/>
  <c r="MU4" i="21"/>
  <c r="MU5" i="21"/>
  <c r="MU6" i="21"/>
  <c r="MU9" i="21"/>
  <c r="MU7" i="21"/>
  <c r="MU8" i="21"/>
  <c r="MU13" i="21"/>
  <c r="MU16" i="21"/>
  <c r="MU10" i="21"/>
  <c r="MU11" i="21"/>
  <c r="MU21" i="21"/>
  <c r="MU20" i="21"/>
  <c r="MU15" i="21"/>
  <c r="MU19" i="21"/>
  <c r="MU12" i="21"/>
  <c r="MU18" i="21"/>
  <c r="MU14" i="21"/>
  <c r="MU22" i="21"/>
  <c r="MU17" i="21"/>
  <c r="LS4" i="21"/>
  <c r="LS5" i="21"/>
  <c r="LS6" i="21"/>
  <c r="LS9" i="21"/>
  <c r="LS7" i="21"/>
  <c r="LS8" i="21"/>
  <c r="LS13" i="21"/>
  <c r="LS16" i="21"/>
  <c r="LS10" i="21"/>
  <c r="LS11" i="21"/>
  <c r="LS21" i="21"/>
  <c r="LS20" i="21"/>
  <c r="LS15" i="21"/>
  <c r="LS19" i="21"/>
  <c r="LS12" i="21"/>
  <c r="LS18" i="21"/>
  <c r="LS14" i="21"/>
  <c r="LS22" i="21"/>
  <c r="LS17" i="21"/>
  <c r="KQ4" i="21"/>
  <c r="KQ5" i="21"/>
  <c r="KQ6" i="21"/>
  <c r="KQ9" i="21"/>
  <c r="KQ7" i="21"/>
  <c r="KQ8" i="21"/>
  <c r="KQ13" i="21"/>
  <c r="KQ16" i="21"/>
  <c r="KQ10" i="21"/>
  <c r="KQ11" i="21"/>
  <c r="KQ21" i="21"/>
  <c r="KQ20" i="21"/>
  <c r="KQ15" i="21"/>
  <c r="KQ19" i="21"/>
  <c r="KQ12" i="21"/>
  <c r="KQ18" i="21"/>
  <c r="KQ14" i="21"/>
  <c r="KQ22" i="21"/>
  <c r="KQ17" i="21"/>
  <c r="JO4" i="21"/>
  <c r="JO5" i="21"/>
  <c r="JO6" i="21"/>
  <c r="JO9" i="21"/>
  <c r="JO7" i="21"/>
  <c r="JO8" i="21"/>
  <c r="JO13" i="21"/>
  <c r="JO16" i="21"/>
  <c r="JO10" i="21"/>
  <c r="JO11" i="21"/>
  <c r="JO21" i="21"/>
  <c r="JO20" i="21"/>
  <c r="JO15" i="21"/>
  <c r="JO19" i="21"/>
  <c r="JO12" i="21"/>
  <c r="JO18" i="21"/>
  <c r="JO14" i="21"/>
  <c r="JO22" i="21"/>
  <c r="JO17" i="21"/>
  <c r="IM4" i="21"/>
  <c r="IM5" i="21"/>
  <c r="IM6" i="21"/>
  <c r="IM9" i="21"/>
  <c r="IM7" i="21"/>
  <c r="IM8" i="21"/>
  <c r="IM13" i="21"/>
  <c r="IM16" i="21"/>
  <c r="IM10" i="21"/>
  <c r="IM11" i="21"/>
  <c r="IM21" i="21"/>
  <c r="IM20" i="21"/>
  <c r="IM15" i="21"/>
  <c r="IM19" i="21"/>
  <c r="IM12" i="21"/>
  <c r="IM18" i="21"/>
  <c r="IM14" i="21"/>
  <c r="IM22" i="21"/>
  <c r="IM17" i="21"/>
  <c r="HK4" i="21"/>
  <c r="HK5" i="21"/>
  <c r="HK6" i="21"/>
  <c r="HK9" i="21"/>
  <c r="HK7" i="21"/>
  <c r="HK8" i="21"/>
  <c r="HK13" i="21"/>
  <c r="HK16" i="21"/>
  <c r="HK10" i="21"/>
  <c r="HK11" i="21"/>
  <c r="HK21" i="21"/>
  <c r="HK20" i="21"/>
  <c r="HK15" i="21"/>
  <c r="HK19" i="21"/>
  <c r="HK12" i="21"/>
  <c r="HK18" i="21"/>
  <c r="HK14" i="21"/>
  <c r="HK22" i="21"/>
  <c r="HK17" i="21"/>
  <c r="GI4" i="21"/>
  <c r="GI5" i="21"/>
  <c r="GI6" i="21"/>
  <c r="GI9" i="21"/>
  <c r="GI7" i="21"/>
  <c r="GI8" i="21"/>
  <c r="GI13" i="21"/>
  <c r="GI16" i="21"/>
  <c r="GI10" i="21"/>
  <c r="GI11" i="21"/>
  <c r="GI21" i="21"/>
  <c r="GI20" i="21"/>
  <c r="GI15" i="21"/>
  <c r="GI19" i="21"/>
  <c r="GI12" i="21"/>
  <c r="GI18" i="21"/>
  <c r="GI14" i="21"/>
  <c r="GI22" i="21"/>
  <c r="GI17" i="21"/>
  <c r="FG4" i="21"/>
  <c r="FG5" i="21"/>
  <c r="FG6" i="21"/>
  <c r="FG9" i="21"/>
  <c r="FG7" i="21"/>
  <c r="FG8" i="21"/>
  <c r="FG13" i="21"/>
  <c r="FG16" i="21"/>
  <c r="FG10" i="21"/>
  <c r="FG11" i="21"/>
  <c r="FG21" i="21"/>
  <c r="FG20" i="21"/>
  <c r="FG15" i="21"/>
  <c r="FG19" i="21"/>
  <c r="FG12" i="21"/>
  <c r="FG18" i="21"/>
  <c r="FG14" i="21"/>
  <c r="FG22" i="21"/>
  <c r="FG17" i="21"/>
  <c r="EE4" i="21"/>
  <c r="EE5" i="21"/>
  <c r="EE6" i="21"/>
  <c r="EE9" i="21"/>
  <c r="EE7" i="21"/>
  <c r="EE8" i="21"/>
  <c r="EE13" i="21"/>
  <c r="EE16" i="21"/>
  <c r="EE10" i="21"/>
  <c r="EE11" i="21"/>
  <c r="EE21" i="21"/>
  <c r="EE20" i="21"/>
  <c r="EE15" i="21"/>
  <c r="EE19" i="21"/>
  <c r="EE12" i="21"/>
  <c r="EE18" i="21"/>
  <c r="EE14" i="21"/>
  <c r="EE22" i="21"/>
  <c r="EE17" i="21"/>
  <c r="TG17" i="21"/>
  <c r="SE4" i="19"/>
  <c r="SE5" i="19"/>
  <c r="SE7" i="19"/>
  <c r="SE8" i="19"/>
  <c r="SE10" i="19"/>
  <c r="SE6" i="19"/>
  <c r="SE11" i="19"/>
  <c r="SE12" i="19"/>
  <c r="SE16" i="19"/>
  <c r="SE13" i="19"/>
  <c r="SE15" i="19"/>
  <c r="SE22" i="19"/>
  <c r="SE14" i="19"/>
  <c r="SE9" i="19"/>
  <c r="SE17" i="19"/>
  <c r="SE20" i="19"/>
  <c r="SE23" i="19"/>
  <c r="SE27" i="19"/>
  <c r="SE21" i="19"/>
  <c r="SE18" i="19"/>
  <c r="SE25" i="19"/>
  <c r="SE19" i="19"/>
  <c r="SE26" i="19"/>
  <c r="SE24" i="19"/>
  <c r="RC4" i="19"/>
  <c r="RC5" i="19"/>
  <c r="RC7" i="19"/>
  <c r="RC8" i="19"/>
  <c r="RC10" i="19"/>
  <c r="RC6" i="19"/>
  <c r="RC11" i="19"/>
  <c r="RC12" i="19"/>
  <c r="RC16" i="19"/>
  <c r="RC13" i="19"/>
  <c r="RC15" i="19"/>
  <c r="RC22" i="19"/>
  <c r="RC14" i="19"/>
  <c r="RC9" i="19"/>
  <c r="RC17" i="19"/>
  <c r="RC20" i="19"/>
  <c r="RC23" i="19"/>
  <c r="RC27" i="19"/>
  <c r="RC21" i="19"/>
  <c r="RC18" i="19"/>
  <c r="RC25" i="19"/>
  <c r="RC19" i="19"/>
  <c r="RC26" i="19"/>
  <c r="RC24" i="19"/>
  <c r="QA4" i="19"/>
  <c r="QA5" i="19"/>
  <c r="QA7" i="19"/>
  <c r="QA8" i="19"/>
  <c r="QA10" i="19"/>
  <c r="QA6" i="19"/>
  <c r="QA11" i="19"/>
  <c r="QA12" i="19"/>
  <c r="QA16" i="19"/>
  <c r="QA13" i="19"/>
  <c r="QA15" i="19"/>
  <c r="QA22" i="19"/>
  <c r="QA14" i="19"/>
  <c r="QA9" i="19"/>
  <c r="QA17" i="19"/>
  <c r="QA20" i="19"/>
  <c r="QA23" i="19"/>
  <c r="QA27" i="19"/>
  <c r="QA21" i="19"/>
  <c r="QA18" i="19"/>
  <c r="QA25" i="19"/>
  <c r="QA19" i="19"/>
  <c r="QA26" i="19"/>
  <c r="QA24" i="19"/>
  <c r="OY4" i="19"/>
  <c r="OY5" i="19"/>
  <c r="OY7" i="19"/>
  <c r="OY8" i="19"/>
  <c r="OY10" i="19"/>
  <c r="OY6" i="19"/>
  <c r="OY11" i="19"/>
  <c r="OY12" i="19"/>
  <c r="OY16" i="19"/>
  <c r="OY13" i="19"/>
  <c r="OY15" i="19"/>
  <c r="OY22" i="19"/>
  <c r="OY14" i="19"/>
  <c r="OY9" i="19"/>
  <c r="OY17" i="19"/>
  <c r="OY20" i="19"/>
  <c r="OY23" i="19"/>
  <c r="OY27" i="19"/>
  <c r="OY21" i="19"/>
  <c r="OY18" i="19"/>
  <c r="OY25" i="19"/>
  <c r="OY19" i="19"/>
  <c r="OY26" i="19"/>
  <c r="OY24" i="19"/>
  <c r="NW4" i="19"/>
  <c r="NW5" i="19"/>
  <c r="NW7" i="19"/>
  <c r="NW8" i="19"/>
  <c r="NW10" i="19"/>
  <c r="NW6" i="19"/>
  <c r="NW11" i="19"/>
  <c r="NW12" i="19"/>
  <c r="NW16" i="19"/>
  <c r="NW13" i="19"/>
  <c r="NW15" i="19"/>
  <c r="NW22" i="19"/>
  <c r="NW14" i="19"/>
  <c r="NW9" i="19"/>
  <c r="NW17" i="19"/>
  <c r="NW20" i="19"/>
  <c r="NW23" i="19"/>
  <c r="NW27" i="19"/>
  <c r="NW21" i="19"/>
  <c r="NW18" i="19"/>
  <c r="NW25" i="19"/>
  <c r="NW19" i="19"/>
  <c r="NW26" i="19"/>
  <c r="NW24" i="19"/>
  <c r="MU4" i="19"/>
  <c r="MU5" i="19"/>
  <c r="MU7" i="19"/>
  <c r="MU8" i="19"/>
  <c r="MU10" i="19"/>
  <c r="MU6" i="19"/>
  <c r="MU11" i="19"/>
  <c r="MU12" i="19"/>
  <c r="MU16" i="19"/>
  <c r="MU13" i="19"/>
  <c r="MU15" i="19"/>
  <c r="MU22" i="19"/>
  <c r="MU14" i="19"/>
  <c r="MU9" i="19"/>
  <c r="MU17" i="19"/>
  <c r="MU20" i="19"/>
  <c r="MU23" i="19"/>
  <c r="MU27" i="19"/>
  <c r="MU21" i="19"/>
  <c r="MU18" i="19"/>
  <c r="MU25" i="19"/>
  <c r="MU19" i="19"/>
  <c r="MU26" i="19"/>
  <c r="MU24" i="19"/>
  <c r="LS4" i="19"/>
  <c r="LS5" i="19"/>
  <c r="LS7" i="19"/>
  <c r="LS8" i="19"/>
  <c r="LS10" i="19"/>
  <c r="LS6" i="19"/>
  <c r="LS11" i="19"/>
  <c r="LS12" i="19"/>
  <c r="LS16" i="19"/>
  <c r="LS13" i="19"/>
  <c r="LS15" i="19"/>
  <c r="LS22" i="19"/>
  <c r="LS14" i="19"/>
  <c r="LS9" i="19"/>
  <c r="LS17" i="19"/>
  <c r="LS20" i="19"/>
  <c r="LS23" i="19"/>
  <c r="LS27" i="19"/>
  <c r="LS21" i="19"/>
  <c r="LS18" i="19"/>
  <c r="LS25" i="19"/>
  <c r="LS19" i="19"/>
  <c r="LS26" i="19"/>
  <c r="LS24" i="19"/>
  <c r="KQ4" i="19"/>
  <c r="KQ5" i="19"/>
  <c r="KQ7" i="19"/>
  <c r="KQ8" i="19"/>
  <c r="KQ10" i="19"/>
  <c r="KQ6" i="19"/>
  <c r="KQ11" i="19"/>
  <c r="KQ12" i="19"/>
  <c r="KQ16" i="19"/>
  <c r="KQ13" i="19"/>
  <c r="KQ15" i="19"/>
  <c r="KQ22" i="19"/>
  <c r="KQ14" i="19"/>
  <c r="KQ9" i="19"/>
  <c r="KQ17" i="19"/>
  <c r="KQ20" i="19"/>
  <c r="KQ23" i="19"/>
  <c r="KQ27" i="19"/>
  <c r="KQ21" i="19"/>
  <c r="KQ18" i="19"/>
  <c r="KQ25" i="19"/>
  <c r="KQ19" i="19"/>
  <c r="KQ26" i="19"/>
  <c r="KQ24" i="19"/>
  <c r="JO4" i="19"/>
  <c r="JO5" i="19"/>
  <c r="JO7" i="19"/>
  <c r="JO8" i="19"/>
  <c r="JO10" i="19"/>
  <c r="JO6" i="19"/>
  <c r="JO11" i="19"/>
  <c r="JO12" i="19"/>
  <c r="JO16" i="19"/>
  <c r="JO13" i="19"/>
  <c r="JO15" i="19"/>
  <c r="JO22" i="19"/>
  <c r="JO14" i="19"/>
  <c r="JO9" i="19"/>
  <c r="JO17" i="19"/>
  <c r="JO20" i="19"/>
  <c r="JO23" i="19"/>
  <c r="JO27" i="19"/>
  <c r="JO21" i="19"/>
  <c r="JO18" i="19"/>
  <c r="JO25" i="19"/>
  <c r="JO19" i="19"/>
  <c r="JO26" i="19"/>
  <c r="JO24" i="19"/>
  <c r="IM4" i="19"/>
  <c r="IM5" i="19"/>
  <c r="IM7" i="19"/>
  <c r="IM8" i="19"/>
  <c r="IM10" i="19"/>
  <c r="IM6" i="19"/>
  <c r="IM11" i="19"/>
  <c r="IM12" i="19"/>
  <c r="IM16" i="19"/>
  <c r="IM13" i="19"/>
  <c r="IM15" i="19"/>
  <c r="IM22" i="19"/>
  <c r="IM14" i="19"/>
  <c r="IM9" i="19"/>
  <c r="IM17" i="19"/>
  <c r="IM20" i="19"/>
  <c r="IM23" i="19"/>
  <c r="IM27" i="19"/>
  <c r="IM21" i="19"/>
  <c r="IM18" i="19"/>
  <c r="IM25" i="19"/>
  <c r="IM19" i="19"/>
  <c r="IM26" i="19"/>
  <c r="IM24" i="19"/>
  <c r="HK4" i="19"/>
  <c r="HK5" i="19"/>
  <c r="HK7" i="19"/>
  <c r="HK8" i="19"/>
  <c r="HK10" i="19"/>
  <c r="HK6" i="19"/>
  <c r="HK11" i="19"/>
  <c r="HK12" i="19"/>
  <c r="HK16" i="19"/>
  <c r="HK13" i="19"/>
  <c r="HK15" i="19"/>
  <c r="HK22" i="19"/>
  <c r="HK14" i="19"/>
  <c r="HK9" i="19"/>
  <c r="HK17" i="19"/>
  <c r="HK20" i="19"/>
  <c r="HK23" i="19"/>
  <c r="HK27" i="19"/>
  <c r="HK21" i="19"/>
  <c r="HK18" i="19"/>
  <c r="HK25" i="19"/>
  <c r="HK19" i="19"/>
  <c r="HK26" i="19"/>
  <c r="HK24" i="19"/>
  <c r="GI4" i="19"/>
  <c r="GI5" i="19"/>
  <c r="GI7" i="19"/>
  <c r="GI8" i="19"/>
  <c r="GI10" i="19"/>
  <c r="GI6" i="19"/>
  <c r="GI11" i="19"/>
  <c r="GI12" i="19"/>
  <c r="GI16" i="19"/>
  <c r="GI13" i="19"/>
  <c r="GI15" i="19"/>
  <c r="GI22" i="19"/>
  <c r="GI14" i="19"/>
  <c r="GI9" i="19"/>
  <c r="GI17" i="19"/>
  <c r="GI20" i="19"/>
  <c r="GI23" i="19"/>
  <c r="GI27" i="19"/>
  <c r="GI21" i="19"/>
  <c r="GI18" i="19"/>
  <c r="GI25" i="19"/>
  <c r="GI19" i="19"/>
  <c r="GI26" i="19"/>
  <c r="GI24" i="19"/>
  <c r="FG4" i="19"/>
  <c r="FG5" i="19"/>
  <c r="FG7" i="19"/>
  <c r="FG8" i="19"/>
  <c r="FG10" i="19"/>
  <c r="FG6" i="19"/>
  <c r="FG11" i="19"/>
  <c r="FG12" i="19"/>
  <c r="FG16" i="19"/>
  <c r="FG13" i="19"/>
  <c r="FG15" i="19"/>
  <c r="FG22" i="19"/>
  <c r="FG14" i="19"/>
  <c r="FG9" i="19"/>
  <c r="FG17" i="19"/>
  <c r="FG20" i="19"/>
  <c r="FG23" i="19"/>
  <c r="FG27" i="19"/>
  <c r="FG21" i="19"/>
  <c r="FG18" i="19"/>
  <c r="FG25" i="19"/>
  <c r="FG19" i="19"/>
  <c r="FG26" i="19"/>
  <c r="FG24" i="19"/>
  <c r="EE4" i="19"/>
  <c r="EE5" i="19"/>
  <c r="EE7" i="19"/>
  <c r="EE8" i="19"/>
  <c r="EE10" i="19"/>
  <c r="EE6" i="19"/>
  <c r="EE11" i="19"/>
  <c r="EE12" i="19"/>
  <c r="EE16" i="19"/>
  <c r="EE13" i="19"/>
  <c r="EE15" i="19"/>
  <c r="EE22" i="19"/>
  <c r="EE14" i="19"/>
  <c r="EE9" i="19"/>
  <c r="EE17" i="19"/>
  <c r="EE20" i="19"/>
  <c r="EE23" i="19"/>
  <c r="EE27" i="19"/>
  <c r="EE21" i="19"/>
  <c r="EE18" i="19"/>
  <c r="EE25" i="19"/>
  <c r="EE19" i="19"/>
  <c r="EE26" i="19"/>
  <c r="EE24" i="19"/>
  <c r="SE6" i="27"/>
  <c r="SE5" i="27"/>
  <c r="SE4" i="27"/>
  <c r="SE9" i="27"/>
  <c r="SE7" i="27"/>
  <c r="SE13" i="27"/>
  <c r="SE12" i="27"/>
  <c r="SE10" i="27"/>
  <c r="SE15" i="27"/>
  <c r="SE11" i="27"/>
  <c r="SE14" i="27"/>
  <c r="SE16" i="27"/>
  <c r="SE8" i="27"/>
  <c r="RC6" i="27"/>
  <c r="RC5" i="27"/>
  <c r="RC4" i="27"/>
  <c r="RC9" i="27"/>
  <c r="RC7" i="27"/>
  <c r="RC13" i="27"/>
  <c r="RC12" i="27"/>
  <c r="RC10" i="27"/>
  <c r="RC15" i="27"/>
  <c r="RC11" i="27"/>
  <c r="RC14" i="27"/>
  <c r="RC16" i="27"/>
  <c r="RC8" i="27"/>
  <c r="QA6" i="27"/>
  <c r="QA5" i="27"/>
  <c r="QA4" i="27"/>
  <c r="QA9" i="27"/>
  <c r="QA7" i="27"/>
  <c r="QA13" i="27"/>
  <c r="QA12" i="27"/>
  <c r="QA10" i="27"/>
  <c r="QA15" i="27"/>
  <c r="QA11" i="27"/>
  <c r="QA14" i="27"/>
  <c r="QA16" i="27"/>
  <c r="QA8" i="27"/>
  <c r="OY6" i="27"/>
  <c r="OY5" i="27"/>
  <c r="OY4" i="27"/>
  <c r="OY9" i="27"/>
  <c r="OY7" i="27"/>
  <c r="OY13" i="27"/>
  <c r="OY12" i="27"/>
  <c r="OY10" i="27"/>
  <c r="OY15" i="27"/>
  <c r="OY11" i="27"/>
  <c r="OY14" i="27"/>
  <c r="OY16" i="27"/>
  <c r="OY8" i="27"/>
  <c r="NW6" i="27"/>
  <c r="NW5" i="27"/>
  <c r="NW4" i="27"/>
  <c r="NW9" i="27"/>
  <c r="NW7" i="27"/>
  <c r="NW13" i="27"/>
  <c r="NW12" i="27"/>
  <c r="NW10" i="27"/>
  <c r="NW15" i="27"/>
  <c r="NW11" i="27"/>
  <c r="NW14" i="27"/>
  <c r="NW16" i="27"/>
  <c r="NW8" i="27"/>
  <c r="MU6" i="27"/>
  <c r="MU5" i="27"/>
  <c r="MU4" i="27"/>
  <c r="MU9" i="27"/>
  <c r="MU7" i="27"/>
  <c r="MU13" i="27"/>
  <c r="MU12" i="27"/>
  <c r="MU10" i="27"/>
  <c r="MU15" i="27"/>
  <c r="MU11" i="27"/>
  <c r="MU14" i="27"/>
  <c r="MU16" i="27"/>
  <c r="MU8" i="27"/>
  <c r="LS6" i="27"/>
  <c r="LS5" i="27"/>
  <c r="LS4" i="27"/>
  <c r="LS9" i="27"/>
  <c r="LS7" i="27"/>
  <c r="LS13" i="27"/>
  <c r="LS12" i="27"/>
  <c r="LS10" i="27"/>
  <c r="LS15" i="27"/>
  <c r="LS11" i="27"/>
  <c r="LS16" i="27"/>
  <c r="LS14" i="27"/>
  <c r="LS8" i="27"/>
  <c r="KQ6" i="27"/>
  <c r="KQ5" i="27"/>
  <c r="KQ4" i="27"/>
  <c r="KQ9" i="27"/>
  <c r="KQ7" i="27"/>
  <c r="KQ13" i="27"/>
  <c r="KQ12" i="27"/>
  <c r="KQ10" i="27"/>
  <c r="KQ15" i="27"/>
  <c r="KQ11" i="27"/>
  <c r="KQ14" i="27"/>
  <c r="KQ16" i="27"/>
  <c r="KQ8" i="27"/>
  <c r="JO6" i="27"/>
  <c r="JO5" i="27"/>
  <c r="JO4" i="27"/>
  <c r="JO9" i="27"/>
  <c r="JO7" i="27"/>
  <c r="JO13" i="27"/>
  <c r="JO12" i="27"/>
  <c r="JO10" i="27"/>
  <c r="JO15" i="27"/>
  <c r="JO11" i="27"/>
  <c r="JO14" i="27"/>
  <c r="JO16" i="27"/>
  <c r="JO8" i="27"/>
  <c r="IM6" i="27"/>
  <c r="IM5" i="27"/>
  <c r="IM4" i="27"/>
  <c r="IM9" i="27"/>
  <c r="IM7" i="27"/>
  <c r="IM13" i="27"/>
  <c r="IM12" i="27"/>
  <c r="IM10" i="27"/>
  <c r="IM15" i="27"/>
  <c r="IM11" i="27"/>
  <c r="IM14" i="27"/>
  <c r="IM16" i="27"/>
  <c r="IM8" i="27"/>
  <c r="HK6" i="27"/>
  <c r="HK5" i="27"/>
  <c r="HK4" i="27"/>
  <c r="HK9" i="27"/>
  <c r="HK7" i="27"/>
  <c r="HK13" i="27"/>
  <c r="HK12" i="27"/>
  <c r="HK10" i="27"/>
  <c r="HK15" i="27"/>
  <c r="HK11" i="27"/>
  <c r="HK14" i="27"/>
  <c r="HK16" i="27"/>
  <c r="HK8" i="27"/>
  <c r="GI6" i="27"/>
  <c r="GI5" i="27"/>
  <c r="GI4" i="27"/>
  <c r="GI9" i="27"/>
  <c r="GI7" i="27"/>
  <c r="GI13" i="27"/>
  <c r="GI12" i="27"/>
  <c r="GI10" i="27"/>
  <c r="GI15" i="27"/>
  <c r="GI11" i="27"/>
  <c r="GI14" i="27"/>
  <c r="GI16" i="27"/>
  <c r="GI8" i="27"/>
  <c r="FG6" i="27"/>
  <c r="FG5" i="27"/>
  <c r="FG4" i="27"/>
  <c r="FG9" i="27"/>
  <c r="FG7" i="27"/>
  <c r="FG13" i="27"/>
  <c r="FG12" i="27"/>
  <c r="FG10" i="27"/>
  <c r="FG15" i="27"/>
  <c r="FG11" i="27"/>
  <c r="FG14" i="27"/>
  <c r="FG16" i="27"/>
  <c r="FG8" i="27"/>
  <c r="EE6" i="27"/>
  <c r="EE5" i="27"/>
  <c r="EE4" i="27"/>
  <c r="EE9" i="27"/>
  <c r="EE7" i="27"/>
  <c r="EE13" i="27"/>
  <c r="EE12" i="27"/>
  <c r="EE10" i="27"/>
  <c r="EE15" i="27"/>
  <c r="EE11" i="27"/>
  <c r="EE14" i="27"/>
  <c r="EE16" i="27"/>
  <c r="EE8" i="27"/>
  <c r="TG8" i="27"/>
  <c r="SE4" i="26"/>
  <c r="SE7" i="26"/>
  <c r="SE5" i="26"/>
  <c r="SE6" i="26"/>
  <c r="SE9" i="26"/>
  <c r="SE8" i="26"/>
  <c r="SE11" i="26"/>
  <c r="SE10" i="26"/>
  <c r="RC4" i="26"/>
  <c r="RC7" i="26"/>
  <c r="RC5" i="26"/>
  <c r="RC6" i="26"/>
  <c r="RC9" i="26"/>
  <c r="RC8" i="26"/>
  <c r="RC11" i="26"/>
  <c r="RC10" i="26"/>
  <c r="QA4" i="26"/>
  <c r="QA7" i="26"/>
  <c r="QA5" i="26"/>
  <c r="QA6" i="26"/>
  <c r="QA9" i="26"/>
  <c r="QA8" i="26"/>
  <c r="QA11" i="26"/>
  <c r="QA10" i="26"/>
  <c r="OY4" i="26"/>
  <c r="OY7" i="26"/>
  <c r="OY5" i="26"/>
  <c r="OY6" i="26"/>
  <c r="OY9" i="26"/>
  <c r="OY8" i="26"/>
  <c r="OY11" i="26"/>
  <c r="OY10" i="26"/>
  <c r="NW4" i="26"/>
  <c r="NW7" i="26"/>
  <c r="NW5" i="26"/>
  <c r="NW6" i="26"/>
  <c r="NW9" i="26"/>
  <c r="NW8" i="26"/>
  <c r="NW11" i="26"/>
  <c r="NW10" i="26"/>
  <c r="MU4" i="26"/>
  <c r="MU7" i="26"/>
  <c r="MU5" i="26"/>
  <c r="MU6" i="26"/>
  <c r="MU9" i="26"/>
  <c r="MU8" i="26"/>
  <c r="MU11" i="26"/>
  <c r="MU10" i="26"/>
  <c r="LS4" i="26"/>
  <c r="LS7" i="26"/>
  <c r="LS5" i="26"/>
  <c r="LS6" i="26"/>
  <c r="LS9" i="26"/>
  <c r="LS8" i="26"/>
  <c r="LS11" i="26"/>
  <c r="LS10" i="26"/>
  <c r="KQ4" i="26"/>
  <c r="KQ7" i="26"/>
  <c r="KQ5" i="26"/>
  <c r="KQ6" i="26"/>
  <c r="KQ9" i="26"/>
  <c r="KQ8" i="26"/>
  <c r="KQ11" i="26"/>
  <c r="KQ10" i="26"/>
  <c r="JO4" i="26"/>
  <c r="JO7" i="26"/>
  <c r="JO5" i="26"/>
  <c r="JO6" i="26"/>
  <c r="JO9" i="26"/>
  <c r="JO8" i="26"/>
  <c r="JO11" i="26"/>
  <c r="JO10" i="26"/>
  <c r="IM4" i="26"/>
  <c r="IM7" i="26"/>
  <c r="IM5" i="26"/>
  <c r="IM6" i="26"/>
  <c r="IM9" i="26"/>
  <c r="IM8" i="26"/>
  <c r="IM11" i="26"/>
  <c r="IM10" i="26"/>
  <c r="HK4" i="26"/>
  <c r="HK7" i="26"/>
  <c r="HK5" i="26"/>
  <c r="HK6" i="26"/>
  <c r="HK9" i="26"/>
  <c r="HK8" i="26"/>
  <c r="HK11" i="26"/>
  <c r="HK10" i="26"/>
  <c r="FG4" i="26"/>
  <c r="FG7" i="26"/>
  <c r="FG5" i="26"/>
  <c r="FG6" i="26"/>
  <c r="FG9" i="26"/>
  <c r="FG8" i="26"/>
  <c r="FG11" i="26"/>
  <c r="FG10" i="26"/>
  <c r="EE4" i="26"/>
  <c r="EE7" i="26"/>
  <c r="EE5" i="26"/>
  <c r="EE6" i="26"/>
  <c r="EE9" i="26"/>
  <c r="EE8" i="26"/>
  <c r="EE11" i="26"/>
  <c r="EE10" i="26"/>
  <c r="DC17" i="21"/>
  <c r="UL17" i="21"/>
  <c r="N17" i="21"/>
  <c r="O17" i="21" s="1"/>
  <c r="CZ17" i="21"/>
  <c r="P17" i="21"/>
  <c r="DF17" i="21" s="1"/>
  <c r="BW17" i="21"/>
  <c r="L17" i="21"/>
  <c r="DD17" i="21" s="1"/>
  <c r="UH17" i="21"/>
  <c r="UG17" i="21"/>
  <c r="AT17" i="21"/>
  <c r="J17" i="21"/>
  <c r="K17" i="21" s="1"/>
  <c r="UI17" i="21"/>
  <c r="TJ17" i="21"/>
  <c r="F17" i="21" s="1"/>
  <c r="AW17" i="21"/>
  <c r="UL8" i="27"/>
  <c r="DC8" i="27"/>
  <c r="N8" i="27"/>
  <c r="O8" i="27" s="1"/>
  <c r="CZ8" i="27"/>
  <c r="L8" i="27"/>
  <c r="DD8" i="27" s="1"/>
  <c r="UH8" i="27"/>
  <c r="UG8" i="27"/>
  <c r="UK8" i="27"/>
  <c r="UF8" i="27"/>
  <c r="BZ8" i="27"/>
  <c r="J8" i="27"/>
  <c r="K8" i="27" s="1"/>
  <c r="AT8" i="27"/>
  <c r="DF8" i="27"/>
  <c r="UI8" i="27"/>
  <c r="TJ8" i="27"/>
  <c r="F8" i="27" s="1"/>
  <c r="AW8" i="27"/>
  <c r="UL10" i="26"/>
  <c r="TG10" i="26"/>
  <c r="DC10" i="26"/>
  <c r="P10" i="26"/>
  <c r="Q10" i="26" s="1"/>
  <c r="UH10" i="26"/>
  <c r="UG10" i="26"/>
  <c r="L10" i="26"/>
  <c r="DD10" i="26" s="1"/>
  <c r="UF10" i="26"/>
  <c r="BZ10" i="26"/>
  <c r="J10" i="26"/>
  <c r="K10" i="26" s="1"/>
  <c r="UI10" i="26"/>
  <c r="TJ10" i="26"/>
  <c r="G10" i="26" s="1"/>
  <c r="F10" i="26"/>
  <c r="AW10" i="26"/>
  <c r="UJ10" i="26" l="1"/>
  <c r="UJ8" i="27"/>
  <c r="O10" i="26"/>
  <c r="DE17" i="21"/>
  <c r="R17" i="21" s="1"/>
  <c r="S17" i="21" s="1"/>
  <c r="DE8" i="27"/>
  <c r="R8" i="27" s="1"/>
  <c r="S8" i="27" s="1"/>
  <c r="I8" i="27"/>
  <c r="I10" i="26"/>
  <c r="H10" i="26" s="1"/>
  <c r="A10" i="26" s="1" a="1"/>
  <c r="A10" i="26" s="1"/>
  <c r="M17" i="21"/>
  <c r="Q17" i="21"/>
  <c r="UM17" i="21"/>
  <c r="I17" i="21"/>
  <c r="UJ17" i="21"/>
  <c r="G17" i="21"/>
  <c r="UM8" i="27"/>
  <c r="G8" i="27"/>
  <c r="H8" i="27" s="1"/>
  <c r="M8" i="27"/>
  <c r="UM10" i="26"/>
  <c r="DF10" i="26"/>
  <c r="R10" i="26" s="1"/>
  <c r="M10" i="26"/>
  <c r="H17" i="21" l="1"/>
  <c r="A17" i="21" s="1" a="1"/>
  <c r="A17" i="21" s="1"/>
  <c r="E17" i="21"/>
  <c r="T17" i="21"/>
  <c r="T8" i="27"/>
  <c r="E8" i="27"/>
  <c r="S10" i="26"/>
  <c r="T10" i="26"/>
  <c r="E10" i="26"/>
  <c r="AO14" i="22" l="1"/>
  <c r="AP14" i="22"/>
  <c r="AQ14" i="22"/>
  <c r="AR14" i="22"/>
  <c r="AS14" i="22"/>
  <c r="AT14" i="22"/>
  <c r="AV14" i="22"/>
  <c r="AW14" i="22"/>
  <c r="AX14" i="22"/>
  <c r="BP14" i="22"/>
  <c r="BQ14" i="22"/>
  <c r="BR14" i="22"/>
  <c r="BS14" i="22"/>
  <c r="BT14" i="22"/>
  <c r="BU14" i="22"/>
  <c r="BW14" i="22"/>
  <c r="BX14" i="22"/>
  <c r="BY14" i="22"/>
  <c r="CQ14" i="22"/>
  <c r="CR14" i="22"/>
  <c r="CS14" i="22"/>
  <c r="CT14" i="22"/>
  <c r="CU14" i="22"/>
  <c r="CV14" i="22"/>
  <c r="CX14" i="22"/>
  <c r="CY14" i="22"/>
  <c r="CZ14" i="22"/>
  <c r="WF14" i="22"/>
  <c r="WG14" i="22"/>
  <c r="WH14" i="22"/>
  <c r="WI14" i="22"/>
  <c r="WJ14" i="22"/>
  <c r="WK14" i="22"/>
  <c r="WM14" i="22"/>
  <c r="WN14" i="22"/>
  <c r="WO14" i="22"/>
  <c r="WP14" i="22"/>
  <c r="WQ14" i="22"/>
  <c r="WR14" i="22"/>
  <c r="WT14" i="22"/>
  <c r="WU14" i="22"/>
  <c r="WV14" i="22"/>
  <c r="XJ14" i="22" s="1"/>
  <c r="WW14" i="22"/>
  <c r="XK14" i="22" s="1"/>
  <c r="WX14" i="22"/>
  <c r="WY14" i="22"/>
  <c r="WZ14" i="22"/>
  <c r="XA14" i="22"/>
  <c r="XM14" i="22" s="1"/>
  <c r="XB14" i="22"/>
  <c r="XN14" i="22" s="1"/>
  <c r="XC14" i="22"/>
  <c r="XD14" i="22"/>
  <c r="XE14" i="22"/>
  <c r="XF14" i="22"/>
  <c r="XQ14" i="22" s="1"/>
  <c r="XG14" i="22"/>
  <c r="XR14" i="22" s="1"/>
  <c r="XH14" i="22"/>
  <c r="BY22" i="21"/>
  <c r="BX22" i="21"/>
  <c r="BV22" i="21"/>
  <c r="BU22" i="21"/>
  <c r="BT22" i="21"/>
  <c r="BS22" i="21"/>
  <c r="BY14" i="21"/>
  <c r="BX14" i="21"/>
  <c r="BV14" i="21"/>
  <c r="BU14" i="21"/>
  <c r="BT14" i="21"/>
  <c r="BS14" i="21"/>
  <c r="BY18" i="21"/>
  <c r="BX18" i="21"/>
  <c r="BV18" i="21"/>
  <c r="BU18" i="21"/>
  <c r="BT18" i="21"/>
  <c r="BS18" i="21"/>
  <c r="BY12" i="21"/>
  <c r="BX12" i="21"/>
  <c r="BV12" i="21"/>
  <c r="BU12" i="21"/>
  <c r="BT12" i="21"/>
  <c r="BS12" i="21"/>
  <c r="BY19" i="21"/>
  <c r="BX19" i="21"/>
  <c r="BV19" i="21"/>
  <c r="BU19" i="21"/>
  <c r="BT19" i="21"/>
  <c r="BS19" i="21"/>
  <c r="BY15" i="21"/>
  <c r="BX15" i="21"/>
  <c r="BV15" i="21"/>
  <c r="BU15" i="21"/>
  <c r="BT15" i="21"/>
  <c r="BS15" i="21"/>
  <c r="BY20" i="21"/>
  <c r="BX20" i="21"/>
  <c r="BV20" i="21"/>
  <c r="BU20" i="21"/>
  <c r="BT20" i="21"/>
  <c r="BS20" i="21"/>
  <c r="BY21" i="21"/>
  <c r="BX21" i="21"/>
  <c r="BV21" i="21"/>
  <c r="BU21" i="21"/>
  <c r="BT21" i="21"/>
  <c r="BZ21" i="21" s="1"/>
  <c r="BS21" i="21"/>
  <c r="BY11" i="21"/>
  <c r="BX11" i="21"/>
  <c r="BV11" i="21"/>
  <c r="BU11" i="21"/>
  <c r="BT11" i="21"/>
  <c r="BS11" i="21"/>
  <c r="BY10" i="21"/>
  <c r="BX10" i="21"/>
  <c r="BV10" i="21"/>
  <c r="BU10" i="21"/>
  <c r="BT10" i="21"/>
  <c r="BS10" i="21"/>
  <c r="BY16" i="21"/>
  <c r="BX16" i="21"/>
  <c r="BV16" i="21"/>
  <c r="BU16" i="21"/>
  <c r="BT16" i="21"/>
  <c r="BS16" i="21"/>
  <c r="BY13" i="21"/>
  <c r="BX13" i="21"/>
  <c r="BV13" i="21"/>
  <c r="BU13" i="21"/>
  <c r="BT13" i="21"/>
  <c r="BZ13" i="21" s="1"/>
  <c r="BS13" i="21"/>
  <c r="BY8" i="21"/>
  <c r="BX8" i="21"/>
  <c r="BV8" i="21"/>
  <c r="BU8" i="21"/>
  <c r="BT8" i="21"/>
  <c r="BS8" i="21"/>
  <c r="BY7" i="21"/>
  <c r="BX7" i="21"/>
  <c r="BV7" i="21"/>
  <c r="BU7" i="21"/>
  <c r="BT7" i="21"/>
  <c r="BS7" i="21"/>
  <c r="BY9" i="21"/>
  <c r="BX9" i="21"/>
  <c r="BV9" i="21"/>
  <c r="BU9" i="21"/>
  <c r="BT9" i="21"/>
  <c r="BS9" i="21"/>
  <c r="BY6" i="21"/>
  <c r="BX6" i="21"/>
  <c r="BV6" i="21"/>
  <c r="BU6" i="21"/>
  <c r="BT6" i="21"/>
  <c r="BZ6" i="21" s="1"/>
  <c r="BS6" i="21"/>
  <c r="BY5" i="21"/>
  <c r="BX5" i="21"/>
  <c r="BV5" i="21"/>
  <c r="BU5" i="21"/>
  <c r="BT5" i="21"/>
  <c r="BS5" i="21"/>
  <c r="BY4" i="21"/>
  <c r="BX4" i="21"/>
  <c r="BV4" i="21"/>
  <c r="BU4" i="21"/>
  <c r="BT4" i="21"/>
  <c r="BS4" i="21"/>
  <c r="AV22" i="21"/>
  <c r="AU22" i="21"/>
  <c r="AS22" i="21"/>
  <c r="AR22" i="21"/>
  <c r="AQ22" i="21"/>
  <c r="AP22" i="21"/>
  <c r="AV14" i="21"/>
  <c r="AU14" i="21"/>
  <c r="AS14" i="21"/>
  <c r="AR14" i="21"/>
  <c r="AQ14" i="21"/>
  <c r="AW14" i="21" s="1"/>
  <c r="AP14" i="21"/>
  <c r="AV18" i="21"/>
  <c r="AU18" i="21"/>
  <c r="AS18" i="21"/>
  <c r="AR18" i="21"/>
  <c r="AQ18" i="21"/>
  <c r="AP18" i="21"/>
  <c r="AV12" i="21"/>
  <c r="AU12" i="21"/>
  <c r="AS12" i="21"/>
  <c r="AR12" i="21"/>
  <c r="AQ12" i="21"/>
  <c r="AP12" i="21"/>
  <c r="AV19" i="21"/>
  <c r="AU19" i="21"/>
  <c r="AS19" i="21"/>
  <c r="AR19" i="21"/>
  <c r="AQ19" i="21"/>
  <c r="AP19" i="21"/>
  <c r="AV15" i="21"/>
  <c r="AU15" i="21"/>
  <c r="AS15" i="21"/>
  <c r="AR15" i="21"/>
  <c r="AQ15" i="21"/>
  <c r="AW15" i="21" s="1"/>
  <c r="AP15" i="21"/>
  <c r="AV20" i="21"/>
  <c r="AU20" i="21"/>
  <c r="AS20" i="21"/>
  <c r="AR20" i="21"/>
  <c r="AQ20" i="21"/>
  <c r="AP20" i="21"/>
  <c r="AV21" i="21"/>
  <c r="AU21" i="21"/>
  <c r="AS21" i="21"/>
  <c r="AR21" i="21"/>
  <c r="AQ21" i="21"/>
  <c r="AP21" i="21"/>
  <c r="AV11" i="21"/>
  <c r="AU11" i="21"/>
  <c r="AS11" i="21"/>
  <c r="AR11" i="21"/>
  <c r="AQ11" i="21"/>
  <c r="AP11" i="21"/>
  <c r="AV10" i="21"/>
  <c r="AU10" i="21"/>
  <c r="AS10" i="21"/>
  <c r="AR10" i="21"/>
  <c r="AQ10" i="21"/>
  <c r="AW10" i="21" s="1"/>
  <c r="AP10" i="21"/>
  <c r="AV16" i="21"/>
  <c r="AU16" i="21"/>
  <c r="AS16" i="21"/>
  <c r="AR16" i="21"/>
  <c r="AQ16" i="21"/>
  <c r="AP16" i="21"/>
  <c r="AV13" i="21"/>
  <c r="AU13" i="21"/>
  <c r="AS13" i="21"/>
  <c r="AR13" i="21"/>
  <c r="AQ13" i="21"/>
  <c r="AP13" i="21"/>
  <c r="AV8" i="21"/>
  <c r="AU8" i="21"/>
  <c r="AS8" i="21"/>
  <c r="AR8" i="21"/>
  <c r="AQ8" i="21"/>
  <c r="AP8" i="21"/>
  <c r="AV7" i="21"/>
  <c r="AU7" i="21"/>
  <c r="AS7" i="21"/>
  <c r="AR7" i="21"/>
  <c r="AQ7" i="21"/>
  <c r="AW7" i="21" s="1"/>
  <c r="AP7" i="21"/>
  <c r="AV9" i="21"/>
  <c r="AU9" i="21"/>
  <c r="AS9" i="21"/>
  <c r="AR9" i="21"/>
  <c r="AQ9" i="21"/>
  <c r="AP9" i="21"/>
  <c r="AV6" i="21"/>
  <c r="AU6" i="21"/>
  <c r="AS6" i="21"/>
  <c r="AR6" i="21"/>
  <c r="AQ6" i="21"/>
  <c r="AP6" i="21"/>
  <c r="AV5" i="21"/>
  <c r="AU5" i="21"/>
  <c r="AS5" i="21"/>
  <c r="AR5" i="21"/>
  <c r="AQ5" i="21"/>
  <c r="AP5" i="21"/>
  <c r="AV4" i="21"/>
  <c r="AU4" i="21"/>
  <c r="AS4" i="21"/>
  <c r="AR4" i="21"/>
  <c r="AQ4" i="21"/>
  <c r="AW4" i="21" s="1"/>
  <c r="AP4" i="21"/>
  <c r="BY24" i="19"/>
  <c r="BX24" i="19"/>
  <c r="BV24" i="19"/>
  <c r="BU24" i="19"/>
  <c r="BT24" i="19"/>
  <c r="BS24" i="19"/>
  <c r="BY26" i="19"/>
  <c r="BX26" i="19"/>
  <c r="BV26" i="19"/>
  <c r="BU26" i="19"/>
  <c r="BT26" i="19"/>
  <c r="BS26" i="19"/>
  <c r="BY19" i="19"/>
  <c r="BX19" i="19"/>
  <c r="BV19" i="19"/>
  <c r="BU19" i="19"/>
  <c r="BT19" i="19"/>
  <c r="BS19" i="19"/>
  <c r="BY25" i="19"/>
  <c r="BX25" i="19"/>
  <c r="BV25" i="19"/>
  <c r="BU25" i="19"/>
  <c r="BT25" i="19"/>
  <c r="BS25" i="19"/>
  <c r="BY18" i="19"/>
  <c r="BX18" i="19"/>
  <c r="BV18" i="19"/>
  <c r="BU18" i="19"/>
  <c r="BT18" i="19"/>
  <c r="BS18" i="19"/>
  <c r="BY21" i="19"/>
  <c r="BX21" i="19"/>
  <c r="BV21" i="19"/>
  <c r="BU21" i="19"/>
  <c r="BT21" i="19"/>
  <c r="BS21" i="19"/>
  <c r="BY27" i="19"/>
  <c r="BX27" i="19"/>
  <c r="BV27" i="19"/>
  <c r="BU27" i="19"/>
  <c r="BT27" i="19"/>
  <c r="BS27" i="19"/>
  <c r="BY23" i="19"/>
  <c r="BX23" i="19"/>
  <c r="BV23" i="19"/>
  <c r="BU23" i="19"/>
  <c r="BT23" i="19"/>
  <c r="BS23" i="19"/>
  <c r="BY20" i="19"/>
  <c r="BX20" i="19"/>
  <c r="BV20" i="19"/>
  <c r="BU20" i="19"/>
  <c r="BT20" i="19"/>
  <c r="BS20" i="19"/>
  <c r="BY17" i="19"/>
  <c r="BX17" i="19"/>
  <c r="BV17" i="19"/>
  <c r="BU17" i="19"/>
  <c r="BT17" i="19"/>
  <c r="BS17" i="19"/>
  <c r="BY9" i="19"/>
  <c r="BX9" i="19"/>
  <c r="BV9" i="19"/>
  <c r="BU9" i="19"/>
  <c r="BT9" i="19"/>
  <c r="BS9" i="19"/>
  <c r="BY14" i="19"/>
  <c r="BX14" i="19"/>
  <c r="BV14" i="19"/>
  <c r="BU14" i="19"/>
  <c r="BT14" i="19"/>
  <c r="BS14" i="19"/>
  <c r="BY22" i="19"/>
  <c r="BX22" i="19"/>
  <c r="BV22" i="19"/>
  <c r="BU22" i="19"/>
  <c r="BT22" i="19"/>
  <c r="BS22" i="19"/>
  <c r="BY15" i="19"/>
  <c r="BX15" i="19"/>
  <c r="BV15" i="19"/>
  <c r="BU15" i="19"/>
  <c r="BT15" i="19"/>
  <c r="BS15" i="19"/>
  <c r="BY13" i="19"/>
  <c r="BX13" i="19"/>
  <c r="BV13" i="19"/>
  <c r="BU13" i="19"/>
  <c r="BT13" i="19"/>
  <c r="BS13" i="19"/>
  <c r="BY16" i="19"/>
  <c r="BX16" i="19"/>
  <c r="BV16" i="19"/>
  <c r="BU16" i="19"/>
  <c r="BT16" i="19"/>
  <c r="BS16" i="19"/>
  <c r="BY12" i="19"/>
  <c r="BX12" i="19"/>
  <c r="BV12" i="19"/>
  <c r="BU12" i="19"/>
  <c r="BT12" i="19"/>
  <c r="BS12" i="19"/>
  <c r="BY11" i="19"/>
  <c r="BX11" i="19"/>
  <c r="BV11" i="19"/>
  <c r="BU11" i="19"/>
  <c r="BT11" i="19"/>
  <c r="BS11" i="19"/>
  <c r="BY6" i="19"/>
  <c r="BX6" i="19"/>
  <c r="BV6" i="19"/>
  <c r="BU6" i="19"/>
  <c r="BT6" i="19"/>
  <c r="BS6" i="19"/>
  <c r="BY10" i="19"/>
  <c r="BX10" i="19"/>
  <c r="BV10" i="19"/>
  <c r="BU10" i="19"/>
  <c r="BT10" i="19"/>
  <c r="BS10" i="19"/>
  <c r="BY8" i="19"/>
  <c r="BX8" i="19"/>
  <c r="BV8" i="19"/>
  <c r="BU8" i="19"/>
  <c r="BT8" i="19"/>
  <c r="BS8" i="19"/>
  <c r="BY7" i="19"/>
  <c r="BX7" i="19"/>
  <c r="BV7" i="19"/>
  <c r="BU7" i="19"/>
  <c r="BT7" i="19"/>
  <c r="BS7" i="19"/>
  <c r="BY5" i="19"/>
  <c r="BX5" i="19"/>
  <c r="BV5" i="19"/>
  <c r="BU5" i="19"/>
  <c r="BT5" i="19"/>
  <c r="BS5" i="19"/>
  <c r="BY4" i="19"/>
  <c r="BX4" i="19"/>
  <c r="BV4" i="19"/>
  <c r="BU4" i="19"/>
  <c r="BT4" i="19"/>
  <c r="BS4" i="19"/>
  <c r="AV24" i="19"/>
  <c r="AU24" i="19"/>
  <c r="AS24" i="19"/>
  <c r="AR24" i="19"/>
  <c r="AQ24" i="19"/>
  <c r="AP24" i="19"/>
  <c r="AV26" i="19"/>
  <c r="AU26" i="19"/>
  <c r="AS26" i="19"/>
  <c r="AR26" i="19"/>
  <c r="AQ26" i="19"/>
  <c r="AP26" i="19"/>
  <c r="AV19" i="19"/>
  <c r="AU19" i="19"/>
  <c r="AS19" i="19"/>
  <c r="AR19" i="19"/>
  <c r="AQ19" i="19"/>
  <c r="AP19" i="19"/>
  <c r="AV25" i="19"/>
  <c r="AU25" i="19"/>
  <c r="AS25" i="19"/>
  <c r="AR25" i="19"/>
  <c r="AQ25" i="19"/>
  <c r="AP25" i="19"/>
  <c r="AV18" i="19"/>
  <c r="AU18" i="19"/>
  <c r="AS18" i="19"/>
  <c r="AR18" i="19"/>
  <c r="AQ18" i="19"/>
  <c r="AP18" i="19"/>
  <c r="AV21" i="19"/>
  <c r="AU21" i="19"/>
  <c r="AS21" i="19"/>
  <c r="AR21" i="19"/>
  <c r="AQ21" i="19"/>
  <c r="AP21" i="19"/>
  <c r="AV27" i="19"/>
  <c r="AU27" i="19"/>
  <c r="AS27" i="19"/>
  <c r="AR27" i="19"/>
  <c r="AQ27" i="19"/>
  <c r="AP27" i="19"/>
  <c r="AV23" i="19"/>
  <c r="AU23" i="19"/>
  <c r="AS23" i="19"/>
  <c r="AR23" i="19"/>
  <c r="AQ23" i="19"/>
  <c r="AP23" i="19"/>
  <c r="AV20" i="19"/>
  <c r="AU20" i="19"/>
  <c r="AS20" i="19"/>
  <c r="AR20" i="19"/>
  <c r="AQ20" i="19"/>
  <c r="AP20" i="19"/>
  <c r="AV17" i="19"/>
  <c r="AU17" i="19"/>
  <c r="AS17" i="19"/>
  <c r="AR17" i="19"/>
  <c r="AQ17" i="19"/>
  <c r="AP17" i="19"/>
  <c r="AV9" i="19"/>
  <c r="AU9" i="19"/>
  <c r="AS9" i="19"/>
  <c r="AR9" i="19"/>
  <c r="AQ9" i="19"/>
  <c r="AP9" i="19"/>
  <c r="AV14" i="19"/>
  <c r="AU14" i="19"/>
  <c r="AS14" i="19"/>
  <c r="AR14" i="19"/>
  <c r="AQ14" i="19"/>
  <c r="AP14" i="19"/>
  <c r="AV22" i="19"/>
  <c r="AU22" i="19"/>
  <c r="AS22" i="19"/>
  <c r="AR22" i="19"/>
  <c r="AQ22" i="19"/>
  <c r="AP22" i="19"/>
  <c r="AV15" i="19"/>
  <c r="AU15" i="19"/>
  <c r="AS15" i="19"/>
  <c r="AR15" i="19"/>
  <c r="AQ15" i="19"/>
  <c r="AP15" i="19"/>
  <c r="AV13" i="19"/>
  <c r="AU13" i="19"/>
  <c r="AS13" i="19"/>
  <c r="AR13" i="19"/>
  <c r="AQ13" i="19"/>
  <c r="AP13" i="19"/>
  <c r="AV16" i="19"/>
  <c r="AU16" i="19"/>
  <c r="AS16" i="19"/>
  <c r="AR16" i="19"/>
  <c r="AQ16" i="19"/>
  <c r="AP16" i="19"/>
  <c r="AV12" i="19"/>
  <c r="AU12" i="19"/>
  <c r="AS12" i="19"/>
  <c r="AR12" i="19"/>
  <c r="AQ12" i="19"/>
  <c r="AP12" i="19"/>
  <c r="AV11" i="19"/>
  <c r="AU11" i="19"/>
  <c r="AS11" i="19"/>
  <c r="AR11" i="19"/>
  <c r="AQ11" i="19"/>
  <c r="AP11" i="19"/>
  <c r="AV6" i="19"/>
  <c r="AU6" i="19"/>
  <c r="AS6" i="19"/>
  <c r="AR6" i="19"/>
  <c r="AQ6" i="19"/>
  <c r="AP6" i="19"/>
  <c r="AV10" i="19"/>
  <c r="AU10" i="19"/>
  <c r="AS10" i="19"/>
  <c r="AR10" i="19"/>
  <c r="AQ10" i="19"/>
  <c r="AP10" i="19"/>
  <c r="AV8" i="19"/>
  <c r="AU8" i="19"/>
  <c r="AS8" i="19"/>
  <c r="AR8" i="19"/>
  <c r="AQ8" i="19"/>
  <c r="AP8" i="19"/>
  <c r="AV7" i="19"/>
  <c r="AU7" i="19"/>
  <c r="AS7" i="19"/>
  <c r="AR7" i="19"/>
  <c r="AQ7" i="19"/>
  <c r="AP7" i="19"/>
  <c r="AV5" i="19"/>
  <c r="AU5" i="19"/>
  <c r="AS5" i="19"/>
  <c r="AR5" i="19"/>
  <c r="AQ5" i="19"/>
  <c r="AP5" i="19"/>
  <c r="AV4" i="19"/>
  <c r="AU4" i="19"/>
  <c r="AS4" i="19"/>
  <c r="AR4" i="19"/>
  <c r="AQ4" i="19"/>
  <c r="AP4" i="19"/>
  <c r="BY16" i="27"/>
  <c r="BX16" i="27"/>
  <c r="BV16" i="27"/>
  <c r="BU16" i="27"/>
  <c r="BT16" i="27"/>
  <c r="BS16" i="27"/>
  <c r="BY14" i="27"/>
  <c r="BX14" i="27"/>
  <c r="BV14" i="27"/>
  <c r="BU14" i="27"/>
  <c r="BT14" i="27"/>
  <c r="BS14" i="27"/>
  <c r="BY11" i="27"/>
  <c r="BX11" i="27"/>
  <c r="BV11" i="27"/>
  <c r="BU11" i="27"/>
  <c r="BT11" i="27"/>
  <c r="BS11" i="27"/>
  <c r="BY15" i="27"/>
  <c r="BX15" i="27"/>
  <c r="BV15" i="27"/>
  <c r="BU15" i="27"/>
  <c r="BT15" i="27"/>
  <c r="BS15" i="27"/>
  <c r="BY10" i="27"/>
  <c r="BX10" i="27"/>
  <c r="BV10" i="27"/>
  <c r="BU10" i="27"/>
  <c r="BT10" i="27"/>
  <c r="BS10" i="27"/>
  <c r="BY12" i="27"/>
  <c r="BX12" i="27"/>
  <c r="BV12" i="27"/>
  <c r="BU12" i="27"/>
  <c r="BT12" i="27"/>
  <c r="BS12" i="27"/>
  <c r="BY13" i="27"/>
  <c r="BX13" i="27"/>
  <c r="BV13" i="27"/>
  <c r="BU13" i="27"/>
  <c r="BT13" i="27"/>
  <c r="BS13" i="27"/>
  <c r="BY7" i="27"/>
  <c r="BX7" i="27"/>
  <c r="BV7" i="27"/>
  <c r="BU7" i="27"/>
  <c r="BT7" i="27"/>
  <c r="BS7" i="27"/>
  <c r="BY9" i="27"/>
  <c r="BX9" i="27"/>
  <c r="BV9" i="27"/>
  <c r="BU9" i="27"/>
  <c r="BT9" i="27"/>
  <c r="BS9" i="27"/>
  <c r="BY4" i="27"/>
  <c r="BX4" i="27"/>
  <c r="BV4" i="27"/>
  <c r="BU4" i="27"/>
  <c r="BT4" i="27"/>
  <c r="BS4" i="27"/>
  <c r="BY5" i="27"/>
  <c r="BX5" i="27"/>
  <c r="BV5" i="27"/>
  <c r="BU5" i="27"/>
  <c r="BT5" i="27"/>
  <c r="BS5" i="27"/>
  <c r="BY6" i="27"/>
  <c r="BX6" i="27"/>
  <c r="BV6" i="27"/>
  <c r="BU6" i="27"/>
  <c r="BT6" i="27"/>
  <c r="BS6" i="27"/>
  <c r="AV16" i="27"/>
  <c r="AU16" i="27"/>
  <c r="AS16" i="27"/>
  <c r="AR16" i="27"/>
  <c r="AQ16" i="27"/>
  <c r="AP16" i="27"/>
  <c r="AV14" i="27"/>
  <c r="AU14" i="27"/>
  <c r="AS14" i="27"/>
  <c r="AR14" i="27"/>
  <c r="AQ14" i="27"/>
  <c r="AP14" i="27"/>
  <c r="AV11" i="27"/>
  <c r="AU11" i="27"/>
  <c r="AS11" i="27"/>
  <c r="AR11" i="27"/>
  <c r="AQ11" i="27"/>
  <c r="AP11" i="27"/>
  <c r="AV15" i="27"/>
  <c r="AU15" i="27"/>
  <c r="AS15" i="27"/>
  <c r="AR15" i="27"/>
  <c r="AQ15" i="27"/>
  <c r="AP15" i="27"/>
  <c r="AV10" i="27"/>
  <c r="AU10" i="27"/>
  <c r="AS10" i="27"/>
  <c r="AR10" i="27"/>
  <c r="AQ10" i="27"/>
  <c r="AP10" i="27"/>
  <c r="AV12" i="27"/>
  <c r="AU12" i="27"/>
  <c r="AS12" i="27"/>
  <c r="AR12" i="27"/>
  <c r="AQ12" i="27"/>
  <c r="AP12" i="27"/>
  <c r="AV13" i="27"/>
  <c r="AU13" i="27"/>
  <c r="AS13" i="27"/>
  <c r="AR13" i="27"/>
  <c r="AQ13" i="27"/>
  <c r="AP13" i="27"/>
  <c r="AV7" i="27"/>
  <c r="AU7" i="27"/>
  <c r="AS7" i="27"/>
  <c r="AR7" i="27"/>
  <c r="AQ7" i="27"/>
  <c r="AP7" i="27"/>
  <c r="AV9" i="27"/>
  <c r="AU9" i="27"/>
  <c r="AS9" i="27"/>
  <c r="AR9" i="27"/>
  <c r="AQ9" i="27"/>
  <c r="AP9" i="27"/>
  <c r="AV4" i="27"/>
  <c r="AU4" i="27"/>
  <c r="AS4" i="27"/>
  <c r="AR4" i="27"/>
  <c r="AQ4" i="27"/>
  <c r="AP4" i="27"/>
  <c r="AV5" i="27"/>
  <c r="AU5" i="27"/>
  <c r="AS5" i="27"/>
  <c r="AR5" i="27"/>
  <c r="AQ5" i="27"/>
  <c r="AP5" i="27"/>
  <c r="AV6" i="27"/>
  <c r="AU6" i="27"/>
  <c r="AS6" i="27"/>
  <c r="AR6" i="27"/>
  <c r="AQ6" i="27"/>
  <c r="AP6" i="27"/>
  <c r="BY11" i="26"/>
  <c r="BX11" i="26"/>
  <c r="BV11" i="26"/>
  <c r="BU11" i="26"/>
  <c r="BT11" i="26"/>
  <c r="BS11" i="26"/>
  <c r="BY8" i="26"/>
  <c r="BX8" i="26"/>
  <c r="BV8" i="26"/>
  <c r="BU8" i="26"/>
  <c r="BT8" i="26"/>
  <c r="BS8" i="26"/>
  <c r="BY9" i="26"/>
  <c r="BX9" i="26"/>
  <c r="BV9" i="26"/>
  <c r="BU9" i="26"/>
  <c r="BT9" i="26"/>
  <c r="BS9" i="26"/>
  <c r="BY6" i="26"/>
  <c r="BX6" i="26"/>
  <c r="BV6" i="26"/>
  <c r="BU6" i="26"/>
  <c r="BT6" i="26"/>
  <c r="BS6" i="26"/>
  <c r="BY5" i="26"/>
  <c r="BX5" i="26"/>
  <c r="BV5" i="26"/>
  <c r="BU5" i="26"/>
  <c r="BT5" i="26"/>
  <c r="BS5" i="26"/>
  <c r="BY7" i="26"/>
  <c r="BX7" i="26"/>
  <c r="BV7" i="26"/>
  <c r="BU7" i="26"/>
  <c r="BT7" i="26"/>
  <c r="BS7" i="26"/>
  <c r="BY4" i="26"/>
  <c r="BX4" i="26"/>
  <c r="BV4" i="26"/>
  <c r="BU4" i="26"/>
  <c r="BT4" i="26"/>
  <c r="BS4" i="26"/>
  <c r="AV11" i="26"/>
  <c r="AU11" i="26"/>
  <c r="AS11" i="26"/>
  <c r="AR11" i="26"/>
  <c r="AQ11" i="26"/>
  <c r="AP11" i="26"/>
  <c r="AV8" i="26"/>
  <c r="AU8" i="26"/>
  <c r="AS8" i="26"/>
  <c r="AR8" i="26"/>
  <c r="AQ8" i="26"/>
  <c r="AP8" i="26"/>
  <c r="AV9" i="26"/>
  <c r="AU9" i="26"/>
  <c r="AS9" i="26"/>
  <c r="AR9" i="26"/>
  <c r="AQ9" i="26"/>
  <c r="AP9" i="26"/>
  <c r="AV6" i="26"/>
  <c r="AU6" i="26"/>
  <c r="AS6" i="26"/>
  <c r="AR6" i="26"/>
  <c r="AQ6" i="26"/>
  <c r="AP6" i="26"/>
  <c r="AV5" i="26"/>
  <c r="AU5" i="26"/>
  <c r="AS5" i="26"/>
  <c r="AR5" i="26"/>
  <c r="AQ5" i="26"/>
  <c r="AP5" i="26"/>
  <c r="AV7" i="26"/>
  <c r="AU7" i="26"/>
  <c r="AS7" i="26"/>
  <c r="AR7" i="26"/>
  <c r="AQ7" i="26"/>
  <c r="AP7" i="26"/>
  <c r="AV4" i="26"/>
  <c r="AU4" i="26"/>
  <c r="AS4" i="26"/>
  <c r="AR4" i="26"/>
  <c r="AQ4" i="26"/>
  <c r="AP4" i="26"/>
  <c r="BQ15" i="24"/>
  <c r="BP15" i="24"/>
  <c r="BO15" i="24"/>
  <c r="BM15" i="24"/>
  <c r="BL15" i="24"/>
  <c r="BK15" i="24"/>
  <c r="BJ15" i="24"/>
  <c r="BN15" i="24" s="1"/>
  <c r="BI15" i="24"/>
  <c r="BH15" i="24"/>
  <c r="BQ14" i="24"/>
  <c r="BP14" i="24"/>
  <c r="BO14" i="24"/>
  <c r="BM14" i="24"/>
  <c r="BL14" i="24"/>
  <c r="BK14" i="24"/>
  <c r="BJ14" i="24"/>
  <c r="BN14" i="24" s="1"/>
  <c r="BI14" i="24"/>
  <c r="BH14" i="24"/>
  <c r="BQ13" i="24"/>
  <c r="BP13" i="24"/>
  <c r="BO13" i="24"/>
  <c r="BM13" i="24"/>
  <c r="BL13" i="24"/>
  <c r="BK13" i="24"/>
  <c r="BJ13" i="24"/>
  <c r="BN13" i="24" s="1"/>
  <c r="BI13" i="24"/>
  <c r="BH13" i="24"/>
  <c r="BQ12" i="24"/>
  <c r="BP12" i="24"/>
  <c r="BO12" i="24"/>
  <c r="BM12" i="24"/>
  <c r="BL12" i="24"/>
  <c r="BK12" i="24"/>
  <c r="BJ12" i="24"/>
  <c r="BI12" i="24"/>
  <c r="BH12" i="24"/>
  <c r="BQ11" i="24"/>
  <c r="BP11" i="24"/>
  <c r="BO11" i="24"/>
  <c r="BM11" i="24"/>
  <c r="BL11" i="24"/>
  <c r="BK11" i="24"/>
  <c r="BJ11" i="24"/>
  <c r="BI11" i="24"/>
  <c r="BH11" i="24"/>
  <c r="BQ10" i="24"/>
  <c r="BP10" i="24"/>
  <c r="BO10" i="24"/>
  <c r="BM10" i="24"/>
  <c r="BL10" i="24"/>
  <c r="BK10" i="24"/>
  <c r="BJ10" i="24"/>
  <c r="BI10" i="24"/>
  <c r="BH10" i="24"/>
  <c r="BQ9" i="24"/>
  <c r="BP9" i="24"/>
  <c r="BO9" i="24"/>
  <c r="BM9" i="24"/>
  <c r="BL9" i="24"/>
  <c r="BK9" i="24"/>
  <c r="BJ9" i="24"/>
  <c r="BN9" i="24" s="1"/>
  <c r="BI9" i="24"/>
  <c r="BH9" i="24"/>
  <c r="BQ8" i="24"/>
  <c r="BP8" i="24"/>
  <c r="BO8" i="24"/>
  <c r="BM8" i="24"/>
  <c r="BL8" i="24"/>
  <c r="BK8" i="24"/>
  <c r="BJ8" i="24"/>
  <c r="BN8" i="24" s="1"/>
  <c r="BI8" i="24"/>
  <c r="BH8" i="24"/>
  <c r="BQ7" i="24"/>
  <c r="BP7" i="24"/>
  <c r="BO7" i="24"/>
  <c r="BM7" i="24"/>
  <c r="BL7" i="24"/>
  <c r="BK7" i="24"/>
  <c r="BJ7" i="24"/>
  <c r="BN7" i="24" s="1"/>
  <c r="BI7" i="24"/>
  <c r="BH7" i="24"/>
  <c r="BQ6" i="24"/>
  <c r="BP6" i="24"/>
  <c r="BO6" i="24"/>
  <c r="BM6" i="24"/>
  <c r="BL6" i="24"/>
  <c r="BK6" i="24"/>
  <c r="BJ6" i="24"/>
  <c r="BI6" i="24"/>
  <c r="BH6" i="24"/>
  <c r="BQ5" i="24"/>
  <c r="BP5" i="24"/>
  <c r="BO5" i="24"/>
  <c r="BM5" i="24"/>
  <c r="BL5" i="24"/>
  <c r="BK5" i="24"/>
  <c r="BJ5" i="24"/>
  <c r="BI5" i="24"/>
  <c r="BH5" i="24"/>
  <c r="BQ4" i="24"/>
  <c r="BP4" i="24"/>
  <c r="BO4" i="24"/>
  <c r="BM4" i="24"/>
  <c r="BL4" i="24"/>
  <c r="BK4" i="24"/>
  <c r="BJ4" i="24"/>
  <c r="BI4" i="24"/>
  <c r="BH4" i="24"/>
  <c r="AP15" i="24"/>
  <c r="AO15" i="24"/>
  <c r="AN15" i="24"/>
  <c r="AL15" i="24"/>
  <c r="AK15" i="24"/>
  <c r="AJ15" i="24"/>
  <c r="AI15" i="24"/>
  <c r="AM15" i="24" s="1"/>
  <c r="AH15" i="24"/>
  <c r="AG15" i="24"/>
  <c r="AP14" i="24"/>
  <c r="AO14" i="24"/>
  <c r="AN14" i="24"/>
  <c r="AL14" i="24"/>
  <c r="AK14" i="24"/>
  <c r="AJ14" i="24"/>
  <c r="AI14" i="24"/>
  <c r="AM14" i="24" s="1"/>
  <c r="AH14" i="24"/>
  <c r="AG14" i="24"/>
  <c r="AP13" i="24"/>
  <c r="AO13" i="24"/>
  <c r="AN13" i="24"/>
  <c r="AL13" i="24"/>
  <c r="AK13" i="24"/>
  <c r="AJ13" i="24"/>
  <c r="AI13" i="24"/>
  <c r="AM13" i="24" s="1"/>
  <c r="AH13" i="24"/>
  <c r="AG13" i="24"/>
  <c r="AP12" i="24"/>
  <c r="AO12" i="24"/>
  <c r="AN12" i="24"/>
  <c r="AL12" i="24"/>
  <c r="AK12" i="24"/>
  <c r="AJ12" i="24"/>
  <c r="AI12" i="24"/>
  <c r="AM12" i="24" s="1"/>
  <c r="AH12" i="24"/>
  <c r="AG12" i="24"/>
  <c r="AP11" i="24"/>
  <c r="AO11" i="24"/>
  <c r="AN11" i="24"/>
  <c r="AL11" i="24"/>
  <c r="AK11" i="24"/>
  <c r="AJ11" i="24"/>
  <c r="AI11" i="24"/>
  <c r="AH11" i="24"/>
  <c r="AG11" i="24"/>
  <c r="AP10" i="24"/>
  <c r="AO10" i="24"/>
  <c r="AN10" i="24"/>
  <c r="AL10" i="24"/>
  <c r="AK10" i="24"/>
  <c r="AJ10" i="24"/>
  <c r="AI10" i="24"/>
  <c r="AH10" i="24"/>
  <c r="AG10" i="24"/>
  <c r="AP9" i="24"/>
  <c r="AO9" i="24"/>
  <c r="AN9" i="24"/>
  <c r="AL9" i="24"/>
  <c r="AK9" i="24"/>
  <c r="AJ9" i="24"/>
  <c r="AI9" i="24"/>
  <c r="AM9" i="24" s="1"/>
  <c r="AH9" i="24"/>
  <c r="AG9" i="24"/>
  <c r="AP8" i="24"/>
  <c r="AO8" i="24"/>
  <c r="AN8" i="24"/>
  <c r="AL8" i="24"/>
  <c r="AK8" i="24"/>
  <c r="AJ8" i="24"/>
  <c r="AI8" i="24"/>
  <c r="AM8" i="24" s="1"/>
  <c r="AH8" i="24"/>
  <c r="AG8" i="24"/>
  <c r="AP7" i="24"/>
  <c r="AO7" i="24"/>
  <c r="AN7" i="24"/>
  <c r="AL7" i="24"/>
  <c r="AK7" i="24"/>
  <c r="AJ7" i="24"/>
  <c r="AI7" i="24"/>
  <c r="AM7" i="24" s="1"/>
  <c r="AH7" i="24"/>
  <c r="AG7" i="24"/>
  <c r="AP6" i="24"/>
  <c r="AO6" i="24"/>
  <c r="AN6" i="24"/>
  <c r="AL6" i="24"/>
  <c r="AK6" i="24"/>
  <c r="AJ6" i="24"/>
  <c r="AI6" i="24"/>
  <c r="AH6" i="24"/>
  <c r="AG6" i="24"/>
  <c r="AP5" i="24"/>
  <c r="AO5" i="24"/>
  <c r="AN5" i="24"/>
  <c r="AL5" i="24"/>
  <c r="AK5" i="24"/>
  <c r="AJ5" i="24"/>
  <c r="AI5" i="24"/>
  <c r="AH5" i="24"/>
  <c r="AG5" i="24"/>
  <c r="AP4" i="24"/>
  <c r="AO4" i="24"/>
  <c r="AN4" i="24"/>
  <c r="AL4" i="24"/>
  <c r="AK4" i="24"/>
  <c r="AJ4" i="24"/>
  <c r="AI4" i="24"/>
  <c r="AH4" i="24"/>
  <c r="AG4" i="24"/>
  <c r="BQ18" i="23"/>
  <c r="BP18" i="23"/>
  <c r="BO18" i="23"/>
  <c r="BM18" i="23"/>
  <c r="BL18" i="23"/>
  <c r="BK18" i="23"/>
  <c r="BJ18" i="23"/>
  <c r="BI18" i="23"/>
  <c r="BH18" i="23"/>
  <c r="BQ17" i="23"/>
  <c r="BP17" i="23"/>
  <c r="BO17" i="23"/>
  <c r="BM17" i="23"/>
  <c r="BL17" i="23"/>
  <c r="BK17" i="23"/>
  <c r="BJ17" i="23"/>
  <c r="BN17" i="23" s="1"/>
  <c r="BI17" i="23"/>
  <c r="BH17" i="23"/>
  <c r="BQ16" i="23"/>
  <c r="BP16" i="23"/>
  <c r="BO16" i="23"/>
  <c r="BM16" i="23"/>
  <c r="BL16" i="23"/>
  <c r="BK16" i="23"/>
  <c r="BJ16" i="23"/>
  <c r="BI16" i="23"/>
  <c r="BH16" i="23"/>
  <c r="BQ15" i="23"/>
  <c r="BP15" i="23"/>
  <c r="BO15" i="23"/>
  <c r="BM15" i="23"/>
  <c r="BL15" i="23"/>
  <c r="BK15" i="23"/>
  <c r="BJ15" i="23"/>
  <c r="BN15" i="23" s="1"/>
  <c r="BI15" i="23"/>
  <c r="BH15" i="23"/>
  <c r="BQ14" i="23"/>
  <c r="BP14" i="23"/>
  <c r="BO14" i="23"/>
  <c r="BM14" i="23"/>
  <c r="BL14" i="23"/>
  <c r="BK14" i="23"/>
  <c r="BJ14" i="23"/>
  <c r="BI14" i="23"/>
  <c r="BH14" i="23"/>
  <c r="BQ13" i="23"/>
  <c r="BP13" i="23"/>
  <c r="BO13" i="23"/>
  <c r="BM13" i="23"/>
  <c r="BL13" i="23"/>
  <c r="BK13" i="23"/>
  <c r="BJ13" i="23"/>
  <c r="BN13" i="23" s="1"/>
  <c r="BI13" i="23"/>
  <c r="BH13" i="23"/>
  <c r="BQ12" i="23"/>
  <c r="BP12" i="23"/>
  <c r="BO12" i="23"/>
  <c r="BM12" i="23"/>
  <c r="BL12" i="23"/>
  <c r="BK12" i="23"/>
  <c r="BJ12" i="23"/>
  <c r="BN12" i="23" s="1"/>
  <c r="BI12" i="23"/>
  <c r="BH12" i="23"/>
  <c r="BQ11" i="23"/>
  <c r="BP11" i="23"/>
  <c r="BO11" i="23"/>
  <c r="BM11" i="23"/>
  <c r="BL11" i="23"/>
  <c r="BK11" i="23"/>
  <c r="BJ11" i="23"/>
  <c r="BN11" i="23" s="1"/>
  <c r="BI11" i="23"/>
  <c r="BH11" i="23"/>
  <c r="BQ10" i="23"/>
  <c r="BP10" i="23"/>
  <c r="BO10" i="23"/>
  <c r="BM10" i="23"/>
  <c r="BL10" i="23"/>
  <c r="BK10" i="23"/>
  <c r="BJ10" i="23"/>
  <c r="BI10" i="23"/>
  <c r="BH10" i="23"/>
  <c r="BQ9" i="23"/>
  <c r="BP9" i="23"/>
  <c r="BO9" i="23"/>
  <c r="BM9" i="23"/>
  <c r="BL9" i="23"/>
  <c r="BK9" i="23"/>
  <c r="BJ9" i="23"/>
  <c r="BI9" i="23"/>
  <c r="BH9" i="23"/>
  <c r="BQ8" i="23"/>
  <c r="BP8" i="23"/>
  <c r="BO8" i="23"/>
  <c r="BM8" i="23"/>
  <c r="BL8" i="23"/>
  <c r="BK8" i="23"/>
  <c r="BJ8" i="23"/>
  <c r="BI8" i="23"/>
  <c r="BH8" i="23"/>
  <c r="BQ7" i="23"/>
  <c r="BP7" i="23"/>
  <c r="BO7" i="23"/>
  <c r="BM7" i="23"/>
  <c r="BL7" i="23"/>
  <c r="BK7" i="23"/>
  <c r="BJ7" i="23"/>
  <c r="BN7" i="23" s="1"/>
  <c r="BI7" i="23"/>
  <c r="BH7" i="23"/>
  <c r="BQ6" i="23"/>
  <c r="BP6" i="23"/>
  <c r="BO6" i="23"/>
  <c r="BM6" i="23"/>
  <c r="BL6" i="23"/>
  <c r="BK6" i="23"/>
  <c r="BJ6" i="23"/>
  <c r="BI6" i="23"/>
  <c r="BH6" i="23"/>
  <c r="BQ5" i="23"/>
  <c r="BP5" i="23"/>
  <c r="BO5" i="23"/>
  <c r="BM5" i="23"/>
  <c r="BL5" i="23"/>
  <c r="BK5" i="23"/>
  <c r="BJ5" i="23"/>
  <c r="BN5" i="23" s="1"/>
  <c r="BI5" i="23"/>
  <c r="BH5" i="23"/>
  <c r="BQ4" i="23"/>
  <c r="BP4" i="23"/>
  <c r="BO4" i="23"/>
  <c r="BM4" i="23"/>
  <c r="BL4" i="23"/>
  <c r="BK4" i="23"/>
  <c r="BJ4" i="23"/>
  <c r="BI4" i="23"/>
  <c r="BH4" i="23"/>
  <c r="AP18" i="23"/>
  <c r="AO18" i="23"/>
  <c r="AN18" i="23"/>
  <c r="AL18" i="23"/>
  <c r="AK18" i="23"/>
  <c r="AJ18" i="23"/>
  <c r="AI18" i="23"/>
  <c r="AM18" i="23" s="1"/>
  <c r="AH18" i="23"/>
  <c r="AG18" i="23"/>
  <c r="AP17" i="23"/>
  <c r="AO17" i="23"/>
  <c r="AN17" i="23"/>
  <c r="AL17" i="23"/>
  <c r="AK17" i="23"/>
  <c r="AJ17" i="23"/>
  <c r="AI17" i="23"/>
  <c r="AM17" i="23" s="1"/>
  <c r="AH17" i="23"/>
  <c r="AG17" i="23"/>
  <c r="AP16" i="23"/>
  <c r="AO16" i="23"/>
  <c r="AN16" i="23"/>
  <c r="AL16" i="23"/>
  <c r="AK16" i="23"/>
  <c r="AJ16" i="23"/>
  <c r="AI16" i="23"/>
  <c r="AM16" i="23" s="1"/>
  <c r="AH16" i="23"/>
  <c r="AG16" i="23"/>
  <c r="AP15" i="23"/>
  <c r="AO15" i="23"/>
  <c r="AN15" i="23"/>
  <c r="AL15" i="23"/>
  <c r="AK15" i="23"/>
  <c r="AJ15" i="23"/>
  <c r="AI15" i="23"/>
  <c r="AM15" i="23" s="1"/>
  <c r="AH15" i="23"/>
  <c r="AG15" i="23"/>
  <c r="AP14" i="23"/>
  <c r="AO14" i="23"/>
  <c r="AN14" i="23"/>
  <c r="AL14" i="23"/>
  <c r="AK14" i="23"/>
  <c r="AJ14" i="23"/>
  <c r="AI14" i="23"/>
  <c r="AH14" i="23"/>
  <c r="AG14" i="23"/>
  <c r="AP13" i="23"/>
  <c r="AO13" i="23"/>
  <c r="AN13" i="23"/>
  <c r="AL13" i="23"/>
  <c r="AK13" i="23"/>
  <c r="AJ13" i="23"/>
  <c r="AI13" i="23"/>
  <c r="AM13" i="23" s="1"/>
  <c r="AH13" i="23"/>
  <c r="AG13" i="23"/>
  <c r="AP12" i="23"/>
  <c r="AO12" i="23"/>
  <c r="AN12" i="23"/>
  <c r="AL12" i="23"/>
  <c r="AK12" i="23"/>
  <c r="AJ12" i="23"/>
  <c r="AI12" i="23"/>
  <c r="AM12" i="23" s="1"/>
  <c r="AH12" i="23"/>
  <c r="AG12" i="23"/>
  <c r="AP11" i="23"/>
  <c r="AO11" i="23"/>
  <c r="AN11" i="23"/>
  <c r="AL11" i="23"/>
  <c r="AK11" i="23"/>
  <c r="AJ11" i="23"/>
  <c r="AI11" i="23"/>
  <c r="AH11" i="23"/>
  <c r="AG11" i="23"/>
  <c r="AP10" i="23"/>
  <c r="AO10" i="23"/>
  <c r="AN10" i="23"/>
  <c r="AL10" i="23"/>
  <c r="AK10" i="23"/>
  <c r="AJ10" i="23"/>
  <c r="AI10" i="23"/>
  <c r="AH10" i="23"/>
  <c r="AG10" i="23"/>
  <c r="AP9" i="23"/>
  <c r="AO9" i="23"/>
  <c r="AN9" i="23"/>
  <c r="AL9" i="23"/>
  <c r="AK9" i="23"/>
  <c r="AJ9" i="23"/>
  <c r="AI9" i="23"/>
  <c r="AM9" i="23" s="1"/>
  <c r="AH9" i="23"/>
  <c r="AG9" i="23"/>
  <c r="AP8" i="23"/>
  <c r="AO8" i="23"/>
  <c r="AN8" i="23"/>
  <c r="AL8" i="23"/>
  <c r="AK8" i="23"/>
  <c r="AJ8" i="23"/>
  <c r="AI8" i="23"/>
  <c r="AM8" i="23" s="1"/>
  <c r="AH8" i="23"/>
  <c r="AG8" i="23"/>
  <c r="AP7" i="23"/>
  <c r="AO7" i="23"/>
  <c r="AN7" i="23"/>
  <c r="AL7" i="23"/>
  <c r="AK7" i="23"/>
  <c r="AJ7" i="23"/>
  <c r="AI7" i="23"/>
  <c r="AH7" i="23"/>
  <c r="AG7" i="23"/>
  <c r="AP6" i="23"/>
  <c r="AO6" i="23"/>
  <c r="AN6" i="23"/>
  <c r="AL6" i="23"/>
  <c r="AK6" i="23"/>
  <c r="AJ6" i="23"/>
  <c r="AI6" i="23"/>
  <c r="AH6" i="23"/>
  <c r="AG6" i="23"/>
  <c r="AP5" i="23"/>
  <c r="AO5" i="23"/>
  <c r="AN5" i="23"/>
  <c r="AL5" i="23"/>
  <c r="AK5" i="23"/>
  <c r="AJ5" i="23"/>
  <c r="AI5" i="23"/>
  <c r="AH5" i="23"/>
  <c r="AG5" i="23"/>
  <c r="AP4" i="23"/>
  <c r="AO4" i="23"/>
  <c r="AN4" i="23"/>
  <c r="AL4" i="23"/>
  <c r="AK4" i="23"/>
  <c r="AJ4" i="23"/>
  <c r="AI4" i="23"/>
  <c r="AM4" i="23" s="1"/>
  <c r="AH4" i="23"/>
  <c r="AG4" i="23"/>
  <c r="BY17" i="22"/>
  <c r="BX17" i="22"/>
  <c r="BW17" i="22"/>
  <c r="BU17" i="22"/>
  <c r="BT17" i="22"/>
  <c r="BS17" i="22"/>
  <c r="BR17" i="22"/>
  <c r="BQ17" i="22"/>
  <c r="BP17" i="22"/>
  <c r="BY16" i="22"/>
  <c r="BX16" i="22"/>
  <c r="BW16" i="22"/>
  <c r="BU16" i="22"/>
  <c r="BT16" i="22"/>
  <c r="BS16" i="22"/>
  <c r="BR16" i="22"/>
  <c r="BQ16" i="22"/>
  <c r="BP16" i="22"/>
  <c r="BY12" i="22"/>
  <c r="BX12" i="22"/>
  <c r="BW12" i="22"/>
  <c r="BU12" i="22"/>
  <c r="BT12" i="22"/>
  <c r="BS12" i="22"/>
  <c r="BR12" i="22"/>
  <c r="BQ12" i="22"/>
  <c r="BP12" i="22"/>
  <c r="BY13" i="22"/>
  <c r="BX13" i="22"/>
  <c r="BW13" i="22"/>
  <c r="BU13" i="22"/>
  <c r="BT13" i="22"/>
  <c r="BS13" i="22"/>
  <c r="BR13" i="22"/>
  <c r="BQ13" i="22"/>
  <c r="BP13" i="22"/>
  <c r="BY15" i="22"/>
  <c r="BX15" i="22"/>
  <c r="BW15" i="22"/>
  <c r="BU15" i="22"/>
  <c r="BT15" i="22"/>
  <c r="BS15" i="22"/>
  <c r="BR15" i="22"/>
  <c r="BQ15" i="22"/>
  <c r="BP15" i="22"/>
  <c r="BY10" i="22"/>
  <c r="BX10" i="22"/>
  <c r="BW10" i="22"/>
  <c r="BU10" i="22"/>
  <c r="BT10" i="22"/>
  <c r="BS10" i="22"/>
  <c r="BR10" i="22"/>
  <c r="BQ10" i="22"/>
  <c r="BP10" i="22"/>
  <c r="BY9" i="22"/>
  <c r="BX9" i="22"/>
  <c r="BW9" i="22"/>
  <c r="BU9" i="22"/>
  <c r="BT9" i="22"/>
  <c r="BS9" i="22"/>
  <c r="BR9" i="22"/>
  <c r="BQ9" i="22"/>
  <c r="BP9" i="22"/>
  <c r="BY11" i="22"/>
  <c r="BX11" i="22"/>
  <c r="BW11" i="22"/>
  <c r="BU11" i="22"/>
  <c r="BT11" i="22"/>
  <c r="BS11" i="22"/>
  <c r="BR11" i="22"/>
  <c r="BQ11" i="22"/>
  <c r="BP11" i="22"/>
  <c r="BY8" i="22"/>
  <c r="BX8" i="22"/>
  <c r="BW8" i="22"/>
  <c r="BU8" i="22"/>
  <c r="BT8" i="22"/>
  <c r="BS8" i="22"/>
  <c r="BR8" i="22"/>
  <c r="BQ8" i="22"/>
  <c r="BP8" i="22"/>
  <c r="BY7" i="22"/>
  <c r="BX7" i="22"/>
  <c r="BW7" i="22"/>
  <c r="BU7" i="22"/>
  <c r="BT7" i="22"/>
  <c r="BS7" i="22"/>
  <c r="BR7" i="22"/>
  <c r="BQ7" i="22"/>
  <c r="BP7" i="22"/>
  <c r="BY6" i="22"/>
  <c r="BX6" i="22"/>
  <c r="BW6" i="22"/>
  <c r="BU6" i="22"/>
  <c r="BT6" i="22"/>
  <c r="BS6" i="22"/>
  <c r="BR6" i="22"/>
  <c r="BQ6" i="22"/>
  <c r="BP6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AX17" i="22"/>
  <c r="AW17" i="22"/>
  <c r="AV17" i="22"/>
  <c r="AT17" i="22"/>
  <c r="AS17" i="22"/>
  <c r="AR17" i="22"/>
  <c r="AQ17" i="22"/>
  <c r="AU17" i="22" s="1"/>
  <c r="AP17" i="22"/>
  <c r="AO17" i="22"/>
  <c r="AX16" i="22"/>
  <c r="AW16" i="22"/>
  <c r="AV16" i="22"/>
  <c r="AT16" i="22"/>
  <c r="AS16" i="22"/>
  <c r="AR16" i="22"/>
  <c r="AQ16" i="22"/>
  <c r="AP16" i="22"/>
  <c r="AO16" i="22"/>
  <c r="AX12" i="22"/>
  <c r="AW12" i="22"/>
  <c r="AV12" i="22"/>
  <c r="AT12" i="22"/>
  <c r="AS12" i="22"/>
  <c r="AR12" i="22"/>
  <c r="AQ12" i="22"/>
  <c r="AU12" i="22" s="1"/>
  <c r="AP12" i="22"/>
  <c r="AO12" i="22"/>
  <c r="AX13" i="22"/>
  <c r="AW13" i="22"/>
  <c r="AV13" i="22"/>
  <c r="AT13" i="22"/>
  <c r="AS13" i="22"/>
  <c r="AR13" i="22"/>
  <c r="AQ13" i="22"/>
  <c r="AP13" i="22"/>
  <c r="AO13" i="22"/>
  <c r="AX15" i="22"/>
  <c r="AW15" i="22"/>
  <c r="AV15" i="22"/>
  <c r="AT15" i="22"/>
  <c r="AS15" i="22"/>
  <c r="AR15" i="22"/>
  <c r="AQ15" i="22"/>
  <c r="AP15" i="22"/>
  <c r="AO15" i="22"/>
  <c r="AX10" i="22"/>
  <c r="AW10" i="22"/>
  <c r="AV10" i="22"/>
  <c r="AT10" i="22"/>
  <c r="AS10" i="22"/>
  <c r="AR10" i="22"/>
  <c r="AQ10" i="22"/>
  <c r="AP10" i="22"/>
  <c r="AO10" i="22"/>
  <c r="AX9" i="22"/>
  <c r="AW9" i="22"/>
  <c r="AV9" i="22"/>
  <c r="AT9" i="22"/>
  <c r="AS9" i="22"/>
  <c r="AR9" i="22"/>
  <c r="AQ9" i="22"/>
  <c r="AP9" i="22"/>
  <c r="AO9" i="22"/>
  <c r="AX11" i="22"/>
  <c r="AW11" i="22"/>
  <c r="AV11" i="22"/>
  <c r="AT11" i="22"/>
  <c r="AS11" i="22"/>
  <c r="AR11" i="22"/>
  <c r="AQ11" i="22"/>
  <c r="AP11" i="22"/>
  <c r="AO11" i="22"/>
  <c r="AX8" i="22"/>
  <c r="AW8" i="22"/>
  <c r="AV8" i="22"/>
  <c r="AT8" i="22"/>
  <c r="AS8" i="22"/>
  <c r="AR8" i="22"/>
  <c r="AQ8" i="22"/>
  <c r="AU8" i="22" s="1"/>
  <c r="AP8" i="22"/>
  <c r="AO8" i="22"/>
  <c r="AX7" i="22"/>
  <c r="AW7" i="22"/>
  <c r="AV7" i="22"/>
  <c r="AT7" i="22"/>
  <c r="AS7" i="22"/>
  <c r="AR7" i="22"/>
  <c r="AQ7" i="22"/>
  <c r="AP7" i="22"/>
  <c r="AO7" i="22"/>
  <c r="AX6" i="22"/>
  <c r="AW6" i="22"/>
  <c r="AV6" i="22"/>
  <c r="AT6" i="22"/>
  <c r="AS6" i="22"/>
  <c r="AR6" i="22"/>
  <c r="AQ6" i="22"/>
  <c r="AP6" i="22"/>
  <c r="AO6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BY24" i="4"/>
  <c r="BX24" i="4"/>
  <c r="BW24" i="4"/>
  <c r="BU24" i="4"/>
  <c r="BT24" i="4"/>
  <c r="BS24" i="4"/>
  <c r="BR24" i="4"/>
  <c r="BQ24" i="4"/>
  <c r="BP24" i="4"/>
  <c r="BY23" i="4"/>
  <c r="BX23" i="4"/>
  <c r="BW23" i="4"/>
  <c r="BU23" i="4"/>
  <c r="BT23" i="4"/>
  <c r="BS23" i="4"/>
  <c r="BR23" i="4"/>
  <c r="BQ23" i="4"/>
  <c r="BP23" i="4"/>
  <c r="BY21" i="4"/>
  <c r="BX21" i="4"/>
  <c r="BW21" i="4"/>
  <c r="BU21" i="4"/>
  <c r="BT21" i="4"/>
  <c r="BS21" i="4"/>
  <c r="BR21" i="4"/>
  <c r="BQ21" i="4"/>
  <c r="BP21" i="4"/>
  <c r="BY11" i="4"/>
  <c r="BX11" i="4"/>
  <c r="BW11" i="4"/>
  <c r="BU11" i="4"/>
  <c r="BT11" i="4"/>
  <c r="BS11" i="4"/>
  <c r="BR11" i="4"/>
  <c r="BV11" i="4" s="1"/>
  <c r="BQ11" i="4"/>
  <c r="BP11" i="4"/>
  <c r="BY17" i="4"/>
  <c r="BX17" i="4"/>
  <c r="BW17" i="4"/>
  <c r="BU17" i="4"/>
  <c r="BT17" i="4"/>
  <c r="BS17" i="4"/>
  <c r="BR17" i="4"/>
  <c r="BQ17" i="4"/>
  <c r="BP17" i="4"/>
  <c r="BY22" i="4"/>
  <c r="BX22" i="4"/>
  <c r="BW22" i="4"/>
  <c r="BU22" i="4"/>
  <c r="BT22" i="4"/>
  <c r="BS22" i="4"/>
  <c r="BR22" i="4"/>
  <c r="BQ22" i="4"/>
  <c r="BP22" i="4"/>
  <c r="BY18" i="4"/>
  <c r="BX18" i="4"/>
  <c r="BW18" i="4"/>
  <c r="BU18" i="4"/>
  <c r="BT18" i="4"/>
  <c r="BS18" i="4"/>
  <c r="BR18" i="4"/>
  <c r="BQ18" i="4"/>
  <c r="BP18" i="4"/>
  <c r="BY16" i="4"/>
  <c r="BX16" i="4"/>
  <c r="BW16" i="4"/>
  <c r="BU16" i="4"/>
  <c r="BT16" i="4"/>
  <c r="BS16" i="4"/>
  <c r="BR16" i="4"/>
  <c r="BQ16" i="4"/>
  <c r="BP16" i="4"/>
  <c r="BY15" i="4"/>
  <c r="BX15" i="4"/>
  <c r="BW15" i="4"/>
  <c r="BU15" i="4"/>
  <c r="BT15" i="4"/>
  <c r="BS15" i="4"/>
  <c r="BR15" i="4"/>
  <c r="BQ15" i="4"/>
  <c r="BP15" i="4"/>
  <c r="BY20" i="4"/>
  <c r="BX20" i="4"/>
  <c r="BW20" i="4"/>
  <c r="BU20" i="4"/>
  <c r="BT20" i="4"/>
  <c r="BS20" i="4"/>
  <c r="BR20" i="4"/>
  <c r="BV20" i="4" s="1"/>
  <c r="BQ20" i="4"/>
  <c r="BP20" i="4"/>
  <c r="BY19" i="4"/>
  <c r="BX19" i="4"/>
  <c r="BW19" i="4"/>
  <c r="BU19" i="4"/>
  <c r="BT19" i="4"/>
  <c r="BS19" i="4"/>
  <c r="BR19" i="4"/>
  <c r="BQ19" i="4"/>
  <c r="BP19" i="4"/>
  <c r="BY13" i="4"/>
  <c r="BX13" i="4"/>
  <c r="BW13" i="4"/>
  <c r="BU13" i="4"/>
  <c r="BT13" i="4"/>
  <c r="BS13" i="4"/>
  <c r="BR13" i="4"/>
  <c r="BQ13" i="4"/>
  <c r="BP13" i="4"/>
  <c r="BY10" i="4"/>
  <c r="BX10" i="4"/>
  <c r="BW10" i="4"/>
  <c r="BU10" i="4"/>
  <c r="BT10" i="4"/>
  <c r="BS10" i="4"/>
  <c r="BR10" i="4"/>
  <c r="BQ10" i="4"/>
  <c r="BP10" i="4"/>
  <c r="BY14" i="4"/>
  <c r="BX14" i="4"/>
  <c r="BW14" i="4"/>
  <c r="BU14" i="4"/>
  <c r="BT14" i="4"/>
  <c r="BS14" i="4"/>
  <c r="BR14" i="4"/>
  <c r="BQ14" i="4"/>
  <c r="BP14" i="4"/>
  <c r="BY9" i="4"/>
  <c r="BX9" i="4"/>
  <c r="BW9" i="4"/>
  <c r="BU9" i="4"/>
  <c r="BT9" i="4"/>
  <c r="BS9" i="4"/>
  <c r="BR9" i="4"/>
  <c r="BQ9" i="4"/>
  <c r="BP9" i="4"/>
  <c r="BY8" i="4"/>
  <c r="BX8" i="4"/>
  <c r="BW8" i="4"/>
  <c r="BU8" i="4"/>
  <c r="BT8" i="4"/>
  <c r="BS8" i="4"/>
  <c r="BR8" i="4"/>
  <c r="BQ8" i="4"/>
  <c r="BP8" i="4"/>
  <c r="BY12" i="4"/>
  <c r="BX12" i="4"/>
  <c r="BW12" i="4"/>
  <c r="BU12" i="4"/>
  <c r="BT12" i="4"/>
  <c r="BS12" i="4"/>
  <c r="BR12" i="4"/>
  <c r="BQ12" i="4"/>
  <c r="BP12" i="4"/>
  <c r="BY7" i="4"/>
  <c r="BX7" i="4"/>
  <c r="BW7" i="4"/>
  <c r="BU7" i="4"/>
  <c r="BT7" i="4"/>
  <c r="BS7" i="4"/>
  <c r="BR7" i="4"/>
  <c r="BQ7" i="4"/>
  <c r="BP7" i="4"/>
  <c r="BY6" i="4"/>
  <c r="BX6" i="4"/>
  <c r="BW6" i="4"/>
  <c r="BU6" i="4"/>
  <c r="BT6" i="4"/>
  <c r="BS6" i="4"/>
  <c r="BR6" i="4"/>
  <c r="BQ6" i="4"/>
  <c r="BP6" i="4"/>
  <c r="BY4" i="4"/>
  <c r="BX4" i="4"/>
  <c r="BW4" i="4"/>
  <c r="BU4" i="4"/>
  <c r="BT4" i="4"/>
  <c r="BS4" i="4"/>
  <c r="BR4" i="4"/>
  <c r="BQ4" i="4"/>
  <c r="BP4" i="4"/>
  <c r="BY5" i="4"/>
  <c r="BX5" i="4"/>
  <c r="BW5" i="4"/>
  <c r="BU5" i="4"/>
  <c r="BT5" i="4"/>
  <c r="BS5" i="4"/>
  <c r="BR5" i="4"/>
  <c r="BQ5" i="4"/>
  <c r="BP5" i="4"/>
  <c r="AX24" i="4"/>
  <c r="AW24" i="4"/>
  <c r="AV24" i="4"/>
  <c r="AT24" i="4"/>
  <c r="AS24" i="4"/>
  <c r="AR24" i="4"/>
  <c r="AQ24" i="4"/>
  <c r="AP24" i="4"/>
  <c r="AO24" i="4"/>
  <c r="AX23" i="4"/>
  <c r="AW23" i="4"/>
  <c r="AV23" i="4"/>
  <c r="AT23" i="4"/>
  <c r="AS23" i="4"/>
  <c r="AR23" i="4"/>
  <c r="AQ23" i="4"/>
  <c r="AU23" i="4" s="1"/>
  <c r="AP23" i="4"/>
  <c r="AO23" i="4"/>
  <c r="AX21" i="4"/>
  <c r="AW21" i="4"/>
  <c r="AV21" i="4"/>
  <c r="AT21" i="4"/>
  <c r="AS21" i="4"/>
  <c r="AR21" i="4"/>
  <c r="AQ21" i="4"/>
  <c r="AP21" i="4"/>
  <c r="AO21" i="4"/>
  <c r="AX11" i="4"/>
  <c r="AW11" i="4"/>
  <c r="AV11" i="4"/>
  <c r="AT11" i="4"/>
  <c r="AS11" i="4"/>
  <c r="AR11" i="4"/>
  <c r="AQ11" i="4"/>
  <c r="AP11" i="4"/>
  <c r="AO11" i="4"/>
  <c r="AX17" i="4"/>
  <c r="AW17" i="4"/>
  <c r="AV17" i="4"/>
  <c r="AT17" i="4"/>
  <c r="AS17" i="4"/>
  <c r="AR17" i="4"/>
  <c r="AQ17" i="4"/>
  <c r="AP17" i="4"/>
  <c r="AO17" i="4"/>
  <c r="AX22" i="4"/>
  <c r="AW22" i="4"/>
  <c r="AV22" i="4"/>
  <c r="AT22" i="4"/>
  <c r="AS22" i="4"/>
  <c r="AR22" i="4"/>
  <c r="AQ22" i="4"/>
  <c r="AP22" i="4"/>
  <c r="AO22" i="4"/>
  <c r="AX18" i="4"/>
  <c r="AW18" i="4"/>
  <c r="AV18" i="4"/>
  <c r="AT18" i="4"/>
  <c r="AS18" i="4"/>
  <c r="AR18" i="4"/>
  <c r="AQ18" i="4"/>
  <c r="AP18" i="4"/>
  <c r="AO18" i="4"/>
  <c r="AX16" i="4"/>
  <c r="AW16" i="4"/>
  <c r="AV16" i="4"/>
  <c r="AT16" i="4"/>
  <c r="AS16" i="4"/>
  <c r="AR16" i="4"/>
  <c r="AQ16" i="4"/>
  <c r="AP16" i="4"/>
  <c r="AO16" i="4"/>
  <c r="AX15" i="4"/>
  <c r="AW15" i="4"/>
  <c r="AV15" i="4"/>
  <c r="AT15" i="4"/>
  <c r="AS15" i="4"/>
  <c r="AR15" i="4"/>
  <c r="AQ15" i="4"/>
  <c r="AP15" i="4"/>
  <c r="AO15" i="4"/>
  <c r="AX20" i="4"/>
  <c r="AW20" i="4"/>
  <c r="AV20" i="4"/>
  <c r="AT20" i="4"/>
  <c r="AS20" i="4"/>
  <c r="AR20" i="4"/>
  <c r="AQ20" i="4"/>
  <c r="AP20" i="4"/>
  <c r="AO20" i="4"/>
  <c r="AX19" i="4"/>
  <c r="AW19" i="4"/>
  <c r="AV19" i="4"/>
  <c r="AT19" i="4"/>
  <c r="AS19" i="4"/>
  <c r="AR19" i="4"/>
  <c r="AQ19" i="4"/>
  <c r="AP19" i="4"/>
  <c r="AO19" i="4"/>
  <c r="AX13" i="4"/>
  <c r="AW13" i="4"/>
  <c r="AV13" i="4"/>
  <c r="AT13" i="4"/>
  <c r="AS13" i="4"/>
  <c r="AR13" i="4"/>
  <c r="AQ13" i="4"/>
  <c r="AP13" i="4"/>
  <c r="AO13" i="4"/>
  <c r="AX10" i="4"/>
  <c r="AW10" i="4"/>
  <c r="AV10" i="4"/>
  <c r="AT10" i="4"/>
  <c r="AS10" i="4"/>
  <c r="AR10" i="4"/>
  <c r="AQ10" i="4"/>
  <c r="AP10" i="4"/>
  <c r="AO10" i="4"/>
  <c r="AX14" i="4"/>
  <c r="AW14" i="4"/>
  <c r="AV14" i="4"/>
  <c r="AT14" i="4"/>
  <c r="AS14" i="4"/>
  <c r="AR14" i="4"/>
  <c r="AQ14" i="4"/>
  <c r="AP14" i="4"/>
  <c r="AO14" i="4"/>
  <c r="AX9" i="4"/>
  <c r="AW9" i="4"/>
  <c r="AV9" i="4"/>
  <c r="AT9" i="4"/>
  <c r="AS9" i="4"/>
  <c r="AR9" i="4"/>
  <c r="AQ9" i="4"/>
  <c r="AP9" i="4"/>
  <c r="AO9" i="4"/>
  <c r="AX8" i="4"/>
  <c r="AW8" i="4"/>
  <c r="AV8" i="4"/>
  <c r="AT8" i="4"/>
  <c r="AS8" i="4"/>
  <c r="AR8" i="4"/>
  <c r="AQ8" i="4"/>
  <c r="AP8" i="4"/>
  <c r="AO8" i="4"/>
  <c r="AX12" i="4"/>
  <c r="AW12" i="4"/>
  <c r="AV12" i="4"/>
  <c r="AT12" i="4"/>
  <c r="AS12" i="4"/>
  <c r="AR12" i="4"/>
  <c r="AQ12" i="4"/>
  <c r="AP12" i="4"/>
  <c r="AO12" i="4"/>
  <c r="AX7" i="4"/>
  <c r="AW7" i="4"/>
  <c r="AV7" i="4"/>
  <c r="AT7" i="4"/>
  <c r="AS7" i="4"/>
  <c r="AR7" i="4"/>
  <c r="AQ7" i="4"/>
  <c r="AP7" i="4"/>
  <c r="AO7" i="4"/>
  <c r="AX6" i="4"/>
  <c r="AW6" i="4"/>
  <c r="AV6" i="4"/>
  <c r="AT6" i="4"/>
  <c r="AS6" i="4"/>
  <c r="AR6" i="4"/>
  <c r="AQ6" i="4"/>
  <c r="AP6" i="4"/>
  <c r="AO6" i="4"/>
  <c r="AX4" i="4"/>
  <c r="AW4" i="4"/>
  <c r="AV4" i="4"/>
  <c r="AT4" i="4"/>
  <c r="AS4" i="4"/>
  <c r="AR4" i="4"/>
  <c r="AQ4" i="4"/>
  <c r="AP4" i="4"/>
  <c r="AO4" i="4"/>
  <c r="AX5" i="4"/>
  <c r="AW5" i="4"/>
  <c r="AV5" i="4"/>
  <c r="AT5" i="4"/>
  <c r="AS5" i="4"/>
  <c r="AR5" i="4"/>
  <c r="AQ5" i="4"/>
  <c r="AP5" i="4"/>
  <c r="AO5" i="4"/>
  <c r="CI8" i="24"/>
  <c r="CJ8" i="24"/>
  <c r="CK8" i="24"/>
  <c r="CO8" i="24" s="1"/>
  <c r="CL8" i="24"/>
  <c r="CM8" i="24"/>
  <c r="CN8" i="24"/>
  <c r="CP8" i="24"/>
  <c r="CQ8" i="24"/>
  <c r="CR8" i="24"/>
  <c r="VX8" i="24"/>
  <c r="VY8" i="24"/>
  <c r="VZ8" i="24"/>
  <c r="WA8" i="24"/>
  <c r="WB8" i="24"/>
  <c r="WC8" i="24"/>
  <c r="WE8" i="24"/>
  <c r="WF8" i="24"/>
  <c r="WG8" i="24"/>
  <c r="WH8" i="24"/>
  <c r="WI8" i="24"/>
  <c r="WJ8" i="24"/>
  <c r="WL8" i="24"/>
  <c r="WM8" i="24"/>
  <c r="WN8" i="24"/>
  <c r="XB8" i="24" s="1"/>
  <c r="WO8" i="24"/>
  <c r="XC8" i="24" s="1"/>
  <c r="WP8" i="24"/>
  <c r="WQ8" i="24"/>
  <c r="WR8" i="24"/>
  <c r="WS8" i="24"/>
  <c r="XE8" i="24" s="1"/>
  <c r="WT8" i="24"/>
  <c r="XF8" i="24" s="1"/>
  <c r="WU8" i="24"/>
  <c r="WV8" i="24"/>
  <c r="WW8" i="24"/>
  <c r="WX8" i="24"/>
  <c r="XI8" i="24" s="1"/>
  <c r="WY8" i="24"/>
  <c r="XJ8" i="24" s="1"/>
  <c r="WZ8" i="24"/>
  <c r="CI17" i="23"/>
  <c r="CJ17" i="23"/>
  <c r="CK17" i="23"/>
  <c r="CO17" i="23" s="1"/>
  <c r="CL17" i="23"/>
  <c r="CM17" i="23"/>
  <c r="CN17" i="23"/>
  <c r="CP17" i="23"/>
  <c r="CQ17" i="23"/>
  <c r="CR17" i="23"/>
  <c r="VX17" i="23"/>
  <c r="VY17" i="23"/>
  <c r="VZ17" i="23"/>
  <c r="WA17" i="23"/>
  <c r="WB17" i="23"/>
  <c r="WC17" i="23"/>
  <c r="WE17" i="23"/>
  <c r="WF17" i="23"/>
  <c r="WG17" i="23"/>
  <c r="WH17" i="23"/>
  <c r="WI17" i="23"/>
  <c r="WJ17" i="23"/>
  <c r="WL17" i="23"/>
  <c r="WM17" i="23"/>
  <c r="WN17" i="23"/>
  <c r="XB17" i="23" s="1"/>
  <c r="WO17" i="23"/>
  <c r="XC17" i="23" s="1"/>
  <c r="WP17" i="23"/>
  <c r="WQ17" i="23"/>
  <c r="WR17" i="23"/>
  <c r="WS17" i="23"/>
  <c r="XE17" i="23" s="1"/>
  <c r="WT17" i="23"/>
  <c r="XF17" i="23" s="1"/>
  <c r="WU17" i="23"/>
  <c r="WV17" i="23"/>
  <c r="WW17" i="23"/>
  <c r="WX17" i="23"/>
  <c r="XI17" i="23" s="1"/>
  <c r="WY17" i="23"/>
  <c r="XJ17" i="23" s="1"/>
  <c r="WZ17" i="23"/>
  <c r="BZ15" i="27" l="1"/>
  <c r="AM11" i="23"/>
  <c r="AU7" i="4"/>
  <c r="AY7" i="4" s="1"/>
  <c r="AU14" i="4"/>
  <c r="AY14" i="4" s="1"/>
  <c r="BW15" i="21"/>
  <c r="AW20" i="19"/>
  <c r="AW18" i="19"/>
  <c r="AW24" i="19"/>
  <c r="BZ8" i="19"/>
  <c r="BZ12" i="19"/>
  <c r="BZ22" i="19"/>
  <c r="BZ9" i="27"/>
  <c r="BZ12" i="27"/>
  <c r="AW16" i="27"/>
  <c r="AW6" i="26"/>
  <c r="BZ4" i="26"/>
  <c r="BR14" i="24"/>
  <c r="AQ17" i="23"/>
  <c r="BN10" i="23"/>
  <c r="BR10" i="23" s="1"/>
  <c r="AM10" i="23"/>
  <c r="AQ10" i="23" s="1"/>
  <c r="BV9" i="22"/>
  <c r="BZ9" i="22" s="1"/>
  <c r="BV12" i="22"/>
  <c r="BZ12" i="22" s="1"/>
  <c r="AY8" i="22"/>
  <c r="BV7" i="22"/>
  <c r="BZ7" i="22" s="1"/>
  <c r="BV16" i="22"/>
  <c r="BZ16" i="22" s="1"/>
  <c r="AU24" i="4"/>
  <c r="AY24" i="4" s="1"/>
  <c r="BV7" i="4"/>
  <c r="BZ7" i="4" s="1"/>
  <c r="BZ20" i="4"/>
  <c r="BV23" i="4"/>
  <c r="BZ23" i="4" s="1"/>
  <c r="AU11" i="4"/>
  <c r="AY11" i="4" s="1"/>
  <c r="BV12" i="4"/>
  <c r="BZ12" i="4" s="1"/>
  <c r="BV15" i="4"/>
  <c r="BZ15" i="4" s="1"/>
  <c r="AU4" i="4"/>
  <c r="AY4" i="4" s="1"/>
  <c r="BZ27" i="19"/>
  <c r="BZ19" i="19"/>
  <c r="BZ7" i="19"/>
  <c r="BZ17" i="19"/>
  <c r="AW7" i="19"/>
  <c r="AW11" i="19"/>
  <c r="AW15" i="19"/>
  <c r="AW9" i="19"/>
  <c r="AW5" i="19"/>
  <c r="AW6" i="19"/>
  <c r="AW13" i="19"/>
  <c r="AW23" i="19"/>
  <c r="AW25" i="19"/>
  <c r="AW4" i="27"/>
  <c r="AW4" i="26"/>
  <c r="AW9" i="26"/>
  <c r="BN5" i="24"/>
  <c r="BR5" i="24" s="1"/>
  <c r="BR7" i="24"/>
  <c r="AQ12" i="24"/>
  <c r="AQ14" i="24"/>
  <c r="AQ8" i="24"/>
  <c r="AQ13" i="24"/>
  <c r="AM11" i="24"/>
  <c r="AQ11" i="24" s="1"/>
  <c r="AQ9" i="24"/>
  <c r="BR15" i="24"/>
  <c r="BR9" i="24"/>
  <c r="AM10" i="24"/>
  <c r="AQ10" i="24" s="1"/>
  <c r="BN12" i="24"/>
  <c r="BR12" i="24" s="1"/>
  <c r="BR12" i="23"/>
  <c r="BN18" i="23"/>
  <c r="BR18" i="23" s="1"/>
  <c r="AM6" i="23"/>
  <c r="AQ6" i="23" s="1"/>
  <c r="BN4" i="23"/>
  <c r="BR4" i="23" s="1"/>
  <c r="AM7" i="23"/>
  <c r="AQ7" i="23" s="1"/>
  <c r="AQ15" i="23"/>
  <c r="BR15" i="23"/>
  <c r="AQ11" i="23"/>
  <c r="AQ12" i="23"/>
  <c r="AQ8" i="23"/>
  <c r="BN16" i="23"/>
  <c r="BR16" i="23" s="1"/>
  <c r="BW20" i="21"/>
  <c r="BZ18" i="21"/>
  <c r="BZ22" i="21"/>
  <c r="AW9" i="21"/>
  <c r="AW16" i="21"/>
  <c r="AW20" i="21"/>
  <c r="AW18" i="21"/>
  <c r="BZ5" i="21"/>
  <c r="BZ8" i="21"/>
  <c r="BZ11" i="21"/>
  <c r="BZ11" i="19"/>
  <c r="BZ15" i="19"/>
  <c r="BZ9" i="19"/>
  <c r="BZ23" i="19"/>
  <c r="BZ25" i="19"/>
  <c r="AW4" i="19"/>
  <c r="AW10" i="19"/>
  <c r="AW16" i="19"/>
  <c r="AW14" i="19"/>
  <c r="AW21" i="19"/>
  <c r="AW26" i="19"/>
  <c r="BZ5" i="19"/>
  <c r="BZ6" i="19"/>
  <c r="BZ13" i="19"/>
  <c r="BZ20" i="19"/>
  <c r="BZ18" i="19"/>
  <c r="BZ24" i="19"/>
  <c r="AW8" i="19"/>
  <c r="AW12" i="19"/>
  <c r="AW22" i="19"/>
  <c r="AW17" i="19"/>
  <c r="AW27" i="19"/>
  <c r="AW19" i="19"/>
  <c r="BZ4" i="19"/>
  <c r="BZ10" i="19"/>
  <c r="BZ16" i="19"/>
  <c r="BZ14" i="19"/>
  <c r="BZ21" i="19"/>
  <c r="BZ26" i="19"/>
  <c r="BZ14" i="27"/>
  <c r="AW9" i="27"/>
  <c r="AW12" i="27"/>
  <c r="AW14" i="27"/>
  <c r="BZ11" i="27"/>
  <c r="AW11" i="27"/>
  <c r="BZ5" i="27"/>
  <c r="AW5" i="27"/>
  <c r="AW13" i="27"/>
  <c r="AW15" i="27"/>
  <c r="BZ6" i="27"/>
  <c r="BZ10" i="27"/>
  <c r="BZ16" i="27"/>
  <c r="BZ6" i="26"/>
  <c r="BZ11" i="26"/>
  <c r="BZ8" i="26"/>
  <c r="AM4" i="24"/>
  <c r="AQ4" i="24" s="1"/>
  <c r="AM6" i="24"/>
  <c r="AQ6" i="24" s="1"/>
  <c r="BR8" i="24"/>
  <c r="BR13" i="24"/>
  <c r="AM5" i="24"/>
  <c r="AQ5" i="24" s="1"/>
  <c r="AQ15" i="24"/>
  <c r="BN11" i="24"/>
  <c r="BR11" i="24" s="1"/>
  <c r="BN4" i="24"/>
  <c r="BR4" i="24" s="1"/>
  <c r="BN6" i="24"/>
  <c r="BR6" i="24" s="1"/>
  <c r="AQ7" i="24"/>
  <c r="BN10" i="24"/>
  <c r="BR10" i="24" s="1"/>
  <c r="BN8" i="23"/>
  <c r="BR8" i="23" s="1"/>
  <c r="BR5" i="23"/>
  <c r="BR11" i="23"/>
  <c r="BR17" i="23"/>
  <c r="BN6" i="23"/>
  <c r="BR6" i="23" s="1"/>
  <c r="BR7" i="23"/>
  <c r="AQ4" i="23"/>
  <c r="AQ18" i="23"/>
  <c r="AQ16" i="23"/>
  <c r="AQ9" i="23"/>
  <c r="AQ13" i="23"/>
  <c r="BN9" i="23"/>
  <c r="BR9" i="23" s="1"/>
  <c r="BR13" i="23"/>
  <c r="AM5" i="23"/>
  <c r="AQ5" i="23" s="1"/>
  <c r="AM14" i="23"/>
  <c r="AQ14" i="23" s="1"/>
  <c r="BN14" i="23"/>
  <c r="BR14" i="23" s="1"/>
  <c r="AU13" i="22"/>
  <c r="AY13" i="22" s="1"/>
  <c r="BV14" i="22"/>
  <c r="BZ14" i="22" s="1"/>
  <c r="AU11" i="22"/>
  <c r="AY11" i="22" s="1"/>
  <c r="BV15" i="22"/>
  <c r="BZ15" i="22" s="1"/>
  <c r="BV13" i="22"/>
  <c r="BZ13" i="22" s="1"/>
  <c r="AY12" i="22"/>
  <c r="BV11" i="22"/>
  <c r="BZ11" i="22" s="1"/>
  <c r="AU4" i="22"/>
  <c r="AY4" i="22" s="1"/>
  <c r="AU7" i="22"/>
  <c r="AY7" i="22" s="1"/>
  <c r="AU15" i="22"/>
  <c r="AY15" i="22" s="1"/>
  <c r="AU16" i="22"/>
  <c r="AY16" i="22" s="1"/>
  <c r="BV17" i="22"/>
  <c r="BZ17" i="22" s="1"/>
  <c r="AU12" i="4"/>
  <c r="AY12" i="4" s="1"/>
  <c r="BV8" i="4"/>
  <c r="BZ8" i="4" s="1"/>
  <c r="BV24" i="4"/>
  <c r="BZ24" i="4" s="1"/>
  <c r="BV4" i="4"/>
  <c r="BZ4" i="4" s="1"/>
  <c r="BV13" i="4"/>
  <c r="BZ13" i="4" s="1"/>
  <c r="AU6" i="4"/>
  <c r="AY6" i="4" s="1"/>
  <c r="BV22" i="4"/>
  <c r="BZ22" i="4" s="1"/>
  <c r="AU19" i="4"/>
  <c r="AY19" i="4" s="1"/>
  <c r="AU21" i="4"/>
  <c r="AY21" i="4" s="1"/>
  <c r="BV6" i="4"/>
  <c r="BZ6" i="4" s="1"/>
  <c r="AY23" i="4"/>
  <c r="AU15" i="4"/>
  <c r="AY15" i="4" s="1"/>
  <c r="BV14" i="4"/>
  <c r="BZ14" i="4" s="1"/>
  <c r="AU5" i="4"/>
  <c r="AY5" i="4" s="1"/>
  <c r="AU9" i="4"/>
  <c r="AY9" i="4" s="1"/>
  <c r="BV16" i="4"/>
  <c r="BZ16" i="4" s="1"/>
  <c r="BV17" i="4"/>
  <c r="BZ17" i="4" s="1"/>
  <c r="BZ11" i="4"/>
  <c r="BZ14" i="21"/>
  <c r="BZ12" i="21"/>
  <c r="BW22" i="21"/>
  <c r="AW6" i="21"/>
  <c r="AW13" i="21"/>
  <c r="AW21" i="21"/>
  <c r="AW12" i="21"/>
  <c r="BZ4" i="21"/>
  <c r="BZ7" i="21"/>
  <c r="BZ10" i="21"/>
  <c r="BZ19" i="21"/>
  <c r="BW14" i="21"/>
  <c r="BZ15" i="21"/>
  <c r="BW18" i="21"/>
  <c r="AW5" i="21"/>
  <c r="AW8" i="21"/>
  <c r="AW11" i="21"/>
  <c r="AW19" i="21"/>
  <c r="AW22" i="21"/>
  <c r="BZ9" i="21"/>
  <c r="BZ16" i="21"/>
  <c r="BZ20" i="21"/>
  <c r="BW12" i="21"/>
  <c r="BW19" i="21"/>
  <c r="AW6" i="27"/>
  <c r="AW7" i="27"/>
  <c r="AW10" i="27"/>
  <c r="BZ4" i="27"/>
  <c r="BZ13" i="27"/>
  <c r="BZ7" i="27"/>
  <c r="BZ9" i="26"/>
  <c r="AW5" i="26"/>
  <c r="AW11" i="26"/>
  <c r="BZ5" i="26"/>
  <c r="AW7" i="26"/>
  <c r="AW8" i="26"/>
  <c r="BZ7" i="26"/>
  <c r="AU13" i="4"/>
  <c r="AY13" i="4" s="1"/>
  <c r="AU22" i="4"/>
  <c r="AY22" i="4" s="1"/>
  <c r="BV9" i="4"/>
  <c r="BZ9" i="4" s="1"/>
  <c r="BV19" i="4"/>
  <c r="BZ19" i="4" s="1"/>
  <c r="AU16" i="4"/>
  <c r="AY16" i="4" s="1"/>
  <c r="AU17" i="4"/>
  <c r="AY17" i="4" s="1"/>
  <c r="BV5" i="4"/>
  <c r="BZ5" i="4" s="1"/>
  <c r="BV21" i="4"/>
  <c r="BZ21" i="4" s="1"/>
  <c r="BV18" i="4"/>
  <c r="BZ18" i="4" s="1"/>
  <c r="AU20" i="4"/>
  <c r="AY20" i="4" s="1"/>
  <c r="BV10" i="4"/>
  <c r="BZ10" i="4" s="1"/>
  <c r="AU8" i="4"/>
  <c r="AY8" i="4" s="1"/>
  <c r="AU10" i="4"/>
  <c r="AY10" i="4" s="1"/>
  <c r="AU18" i="4"/>
  <c r="AY18" i="4" s="1"/>
  <c r="CW14" i="22"/>
  <c r="DA14" i="22" s="1"/>
  <c r="WL14" i="22"/>
  <c r="WS14" i="22" s="1"/>
  <c r="XO14" i="22"/>
  <c r="XL14" i="22"/>
  <c r="L14" i="22"/>
  <c r="M14" i="22" s="1"/>
  <c r="XS14" i="22"/>
  <c r="J14" i="22"/>
  <c r="K14" i="22" s="1"/>
  <c r="P14" i="22"/>
  <c r="Q14" i="22" s="1"/>
  <c r="R14" i="22"/>
  <c r="S14" i="22" s="1"/>
  <c r="T14" i="22"/>
  <c r="U14" i="22" s="1"/>
  <c r="I14" i="22"/>
  <c r="AU14" i="22"/>
  <c r="AY14" i="22" s="1"/>
  <c r="G14" i="22"/>
  <c r="N14" i="22"/>
  <c r="F14" i="22"/>
  <c r="AY17" i="22"/>
  <c r="AU5" i="22"/>
  <c r="AY5" i="22" s="1"/>
  <c r="AU10" i="22"/>
  <c r="AY10" i="22" s="1"/>
  <c r="BV4" i="22"/>
  <c r="BZ4" i="22" s="1"/>
  <c r="BV8" i="22"/>
  <c r="BZ8" i="22" s="1"/>
  <c r="AU6" i="22"/>
  <c r="AY6" i="22" s="1"/>
  <c r="BV5" i="22"/>
  <c r="BZ5" i="22" s="1"/>
  <c r="AU9" i="22"/>
  <c r="AY9" i="22" s="1"/>
  <c r="BV6" i="22"/>
  <c r="BZ6" i="22" s="1"/>
  <c r="BV10" i="22"/>
  <c r="BZ10" i="22" s="1"/>
  <c r="BW4" i="21"/>
  <c r="BW5" i="21"/>
  <c r="BW6" i="21"/>
  <c r="BW9" i="21"/>
  <c r="BW7" i="21"/>
  <c r="BW8" i="21"/>
  <c r="BW13" i="21"/>
  <c r="BW16" i="21"/>
  <c r="BW10" i="21"/>
  <c r="BW11" i="21"/>
  <c r="BW21" i="21"/>
  <c r="AT4" i="21"/>
  <c r="AT5" i="21"/>
  <c r="AT6" i="21"/>
  <c r="AT9" i="21"/>
  <c r="AT7" i="21"/>
  <c r="AT8" i="21"/>
  <c r="AT13" i="21"/>
  <c r="AT16" i="21"/>
  <c r="AT10" i="21"/>
  <c r="AT11" i="21"/>
  <c r="AT21" i="21"/>
  <c r="AT20" i="21"/>
  <c r="AT15" i="21"/>
  <c r="AT19" i="21"/>
  <c r="AT12" i="21"/>
  <c r="AT18" i="21"/>
  <c r="AT14" i="21"/>
  <c r="AT22" i="21"/>
  <c r="BW4" i="19"/>
  <c r="BW5" i="19"/>
  <c r="BW7" i="19"/>
  <c r="BW8" i="19"/>
  <c r="BW10" i="19"/>
  <c r="BW6" i="19"/>
  <c r="BW11" i="19"/>
  <c r="BW12" i="19"/>
  <c r="BW16" i="19"/>
  <c r="BW13" i="19"/>
  <c r="BW15" i="19"/>
  <c r="BW22" i="19"/>
  <c r="BW14" i="19"/>
  <c r="BW9" i="19"/>
  <c r="BW17" i="19"/>
  <c r="BW20" i="19"/>
  <c r="BW23" i="19"/>
  <c r="BW27" i="19"/>
  <c r="BW21" i="19"/>
  <c r="BW18" i="19"/>
  <c r="BW25" i="19"/>
  <c r="BW19" i="19"/>
  <c r="BW26" i="19"/>
  <c r="BW24" i="19"/>
  <c r="AT4" i="19"/>
  <c r="AT5" i="19"/>
  <c r="AT7" i="19"/>
  <c r="AT8" i="19"/>
  <c r="AT10" i="19"/>
  <c r="AT6" i="19"/>
  <c r="AT11" i="19"/>
  <c r="AT12" i="19"/>
  <c r="AT16" i="19"/>
  <c r="AT13" i="19"/>
  <c r="AT15" i="19"/>
  <c r="AT22" i="19"/>
  <c r="AT14" i="19"/>
  <c r="AT9" i="19"/>
  <c r="AT17" i="19"/>
  <c r="AT20" i="19"/>
  <c r="AT23" i="19"/>
  <c r="AT27" i="19"/>
  <c r="AT21" i="19"/>
  <c r="AT18" i="19"/>
  <c r="AT25" i="19"/>
  <c r="AT19" i="19"/>
  <c r="AT26" i="19"/>
  <c r="AT24" i="19"/>
  <c r="BW6" i="27"/>
  <c r="BW5" i="27"/>
  <c r="BW4" i="27"/>
  <c r="BW9" i="27"/>
  <c r="BW7" i="27"/>
  <c r="BW13" i="27"/>
  <c r="BW12" i="27"/>
  <c r="BW10" i="27"/>
  <c r="BW15" i="27"/>
  <c r="BW11" i="27"/>
  <c r="BW14" i="27"/>
  <c r="BW16" i="27"/>
  <c r="AT6" i="27"/>
  <c r="AT5" i="27"/>
  <c r="AT4" i="27"/>
  <c r="AT9" i="27"/>
  <c r="AT7" i="27"/>
  <c r="AT13" i="27"/>
  <c r="AT12" i="27"/>
  <c r="AT10" i="27"/>
  <c r="AT15" i="27"/>
  <c r="AT11" i="27"/>
  <c r="AT14" i="27"/>
  <c r="AT16" i="27"/>
  <c r="BW4" i="26"/>
  <c r="BW7" i="26"/>
  <c r="BW5" i="26"/>
  <c r="BW6" i="26"/>
  <c r="BW9" i="26"/>
  <c r="BW8" i="26"/>
  <c r="BW11" i="26"/>
  <c r="AT4" i="26"/>
  <c r="AT7" i="26"/>
  <c r="AT5" i="26"/>
  <c r="AT6" i="26"/>
  <c r="AT9" i="26"/>
  <c r="AT8" i="26"/>
  <c r="AT11" i="26"/>
  <c r="XD8" i="24"/>
  <c r="CS8" i="24"/>
  <c r="CS17" i="23"/>
  <c r="WD17" i="23"/>
  <c r="WK17" i="23" s="1"/>
  <c r="WD8" i="24"/>
  <c r="WK8" i="24" s="1"/>
  <c r="XG8" i="24"/>
  <c r="XK8" i="24"/>
  <c r="L8" i="24"/>
  <c r="J8" i="24"/>
  <c r="K8" i="24" s="1"/>
  <c r="F8" i="24"/>
  <c r="I8" i="24"/>
  <c r="G8" i="24"/>
  <c r="XG17" i="23"/>
  <c r="XK17" i="23"/>
  <c r="XD17" i="23"/>
  <c r="L17" i="23"/>
  <c r="CU17" i="23" s="1"/>
  <c r="J17" i="23"/>
  <c r="K17" i="23" s="1"/>
  <c r="F17" i="23"/>
  <c r="I17" i="23"/>
  <c r="G17" i="23"/>
  <c r="CI9" i="24"/>
  <c r="CJ9" i="24"/>
  <c r="CK9" i="24"/>
  <c r="CO9" i="24" s="1"/>
  <c r="CL9" i="24"/>
  <c r="CM9" i="24"/>
  <c r="CN9" i="24"/>
  <c r="CP9" i="24"/>
  <c r="CQ9" i="24"/>
  <c r="CR9" i="24"/>
  <c r="VX9" i="24"/>
  <c r="VY9" i="24"/>
  <c r="VZ9" i="24"/>
  <c r="WA9" i="24"/>
  <c r="WB9" i="24"/>
  <c r="WC9" i="24"/>
  <c r="WE9" i="24"/>
  <c r="WF9" i="24"/>
  <c r="WG9" i="24"/>
  <c r="WH9" i="24"/>
  <c r="WI9" i="24"/>
  <c r="WJ9" i="24"/>
  <c r="WL9" i="24"/>
  <c r="WM9" i="24"/>
  <c r="WN9" i="24"/>
  <c r="XB9" i="24" s="1"/>
  <c r="WO9" i="24"/>
  <c r="XC9" i="24" s="1"/>
  <c r="WP9" i="24"/>
  <c r="WQ9" i="24"/>
  <c r="WR9" i="24"/>
  <c r="WS9" i="24"/>
  <c r="XE9" i="24" s="1"/>
  <c r="WT9" i="24"/>
  <c r="XF9" i="24" s="1"/>
  <c r="WU9" i="24"/>
  <c r="WV9" i="24"/>
  <c r="WW9" i="24"/>
  <c r="WX9" i="24"/>
  <c r="XI9" i="24" s="1"/>
  <c r="WY9" i="24"/>
  <c r="XJ9" i="24" s="1"/>
  <c r="WZ9" i="24"/>
  <c r="CI15" i="23"/>
  <c r="CJ15" i="23"/>
  <c r="CK15" i="23"/>
  <c r="CO15" i="23" s="1"/>
  <c r="CL15" i="23"/>
  <c r="CM15" i="23"/>
  <c r="CN15" i="23"/>
  <c r="CP15" i="23"/>
  <c r="CQ15" i="23"/>
  <c r="CR15" i="23"/>
  <c r="VX15" i="23"/>
  <c r="VY15" i="23"/>
  <c r="VZ15" i="23"/>
  <c r="WA15" i="23"/>
  <c r="WB15" i="23"/>
  <c r="WC15" i="23"/>
  <c r="WE15" i="23"/>
  <c r="WF15" i="23"/>
  <c r="WG15" i="23"/>
  <c r="WH15" i="23"/>
  <c r="WI15" i="23"/>
  <c r="WJ15" i="23"/>
  <c r="WL15" i="23"/>
  <c r="WM15" i="23"/>
  <c r="WN15" i="23"/>
  <c r="XB15" i="23" s="1"/>
  <c r="WO15" i="23"/>
  <c r="XC15" i="23" s="1"/>
  <c r="WP15" i="23"/>
  <c r="WQ15" i="23"/>
  <c r="WR15" i="23"/>
  <c r="WS15" i="23"/>
  <c r="XE15" i="23" s="1"/>
  <c r="WT15" i="23"/>
  <c r="XF15" i="23" s="1"/>
  <c r="WU15" i="23"/>
  <c r="WV15" i="23"/>
  <c r="WW15" i="23"/>
  <c r="WX15" i="23"/>
  <c r="XI15" i="23" s="1"/>
  <c r="WY15" i="23"/>
  <c r="XJ15" i="23" s="1"/>
  <c r="WZ15" i="23"/>
  <c r="TI22" i="21"/>
  <c r="TH22" i="21"/>
  <c r="TF22" i="21"/>
  <c r="TE22" i="21"/>
  <c r="TD22" i="21"/>
  <c r="TC22" i="21"/>
  <c r="TI14" i="21"/>
  <c r="TH14" i="21"/>
  <c r="TF14" i="21"/>
  <c r="TE14" i="21"/>
  <c r="TD14" i="21"/>
  <c r="TC14" i="21"/>
  <c r="TI18" i="21"/>
  <c r="TH18" i="21"/>
  <c r="TF18" i="21"/>
  <c r="TE18" i="21"/>
  <c r="TD18" i="21"/>
  <c r="TC18" i="21"/>
  <c r="TI12" i="21"/>
  <c r="TH12" i="21"/>
  <c r="TF12" i="21"/>
  <c r="TE12" i="21"/>
  <c r="TD12" i="21"/>
  <c r="TC12" i="21"/>
  <c r="TI19" i="21"/>
  <c r="TH19" i="21"/>
  <c r="TF19" i="21"/>
  <c r="TE19" i="21"/>
  <c r="TD19" i="21"/>
  <c r="TC19" i="21"/>
  <c r="TI15" i="21"/>
  <c r="TH15" i="21"/>
  <c r="TF15" i="21"/>
  <c r="TE15" i="21"/>
  <c r="TD15" i="21"/>
  <c r="TC15" i="21"/>
  <c r="TI20" i="21"/>
  <c r="TH20" i="21"/>
  <c r="TF20" i="21"/>
  <c r="TE20" i="21"/>
  <c r="TD20" i="21"/>
  <c r="TC20" i="21"/>
  <c r="TI21" i="21"/>
  <c r="TH21" i="21"/>
  <c r="TF21" i="21"/>
  <c r="TE21" i="21"/>
  <c r="TD21" i="21"/>
  <c r="TC21" i="21"/>
  <c r="TI11" i="21"/>
  <c r="TH11" i="21"/>
  <c r="TF11" i="21"/>
  <c r="TE11" i="21"/>
  <c r="TD11" i="21"/>
  <c r="TC11" i="21"/>
  <c r="TI10" i="21"/>
  <c r="TH10" i="21"/>
  <c r="TF10" i="21"/>
  <c r="TE10" i="21"/>
  <c r="TD10" i="21"/>
  <c r="TC10" i="21"/>
  <c r="TI7" i="21"/>
  <c r="TH7" i="21"/>
  <c r="TF7" i="21"/>
  <c r="TE7" i="21"/>
  <c r="TD7" i="21"/>
  <c r="TC7" i="21"/>
  <c r="TI13" i="21"/>
  <c r="TH13" i="21"/>
  <c r="TF13" i="21"/>
  <c r="TE13" i="21"/>
  <c r="TD13" i="21"/>
  <c r="TC13" i="21"/>
  <c r="TI8" i="21"/>
  <c r="TH8" i="21"/>
  <c r="TF8" i="21"/>
  <c r="TE8" i="21"/>
  <c r="TD8" i="21"/>
  <c r="TC8" i="21"/>
  <c r="TI16" i="21"/>
  <c r="TH16" i="21"/>
  <c r="TF16" i="21"/>
  <c r="TE16" i="21"/>
  <c r="TD16" i="21"/>
  <c r="TC16" i="21"/>
  <c r="TI9" i="21"/>
  <c r="TH9" i="21"/>
  <c r="TF9" i="21"/>
  <c r="TE9" i="21"/>
  <c r="TD9" i="21"/>
  <c r="TC9" i="21"/>
  <c r="TI6" i="21"/>
  <c r="TH6" i="21"/>
  <c r="TF6" i="21"/>
  <c r="TE6" i="21"/>
  <c r="TD6" i="21"/>
  <c r="TC6" i="21"/>
  <c r="TI5" i="21"/>
  <c r="TH5" i="21"/>
  <c r="TF5" i="21"/>
  <c r="TE5" i="21"/>
  <c r="TD5" i="21"/>
  <c r="TC5" i="21"/>
  <c r="TI4" i="21"/>
  <c r="TH4" i="21"/>
  <c r="TF4" i="21"/>
  <c r="TE4" i="21"/>
  <c r="TD4" i="21"/>
  <c r="TC4" i="21"/>
  <c r="TI24" i="19"/>
  <c r="TH24" i="19"/>
  <c r="TF24" i="19"/>
  <c r="TE24" i="19"/>
  <c r="TD24" i="19"/>
  <c r="TC24" i="19"/>
  <c r="TI15" i="19"/>
  <c r="TH15" i="19"/>
  <c r="TF15" i="19"/>
  <c r="TE15" i="19"/>
  <c r="TD15" i="19"/>
  <c r="TC15" i="19"/>
  <c r="TI26" i="19"/>
  <c r="TH26" i="19"/>
  <c r="TF26" i="19"/>
  <c r="TE26" i="19"/>
  <c r="TD26" i="19"/>
  <c r="TC26" i="19"/>
  <c r="TI19" i="19"/>
  <c r="TH19" i="19"/>
  <c r="TF19" i="19"/>
  <c r="TE19" i="19"/>
  <c r="TD19" i="19"/>
  <c r="TC19" i="19"/>
  <c r="TI25" i="19"/>
  <c r="TH25" i="19"/>
  <c r="TF25" i="19"/>
  <c r="TE25" i="19"/>
  <c r="TD25" i="19"/>
  <c r="TC25" i="19"/>
  <c r="TI18" i="19"/>
  <c r="TH18" i="19"/>
  <c r="TF18" i="19"/>
  <c r="TE18" i="19"/>
  <c r="TD18" i="19"/>
  <c r="TC18" i="19"/>
  <c r="TI21" i="19"/>
  <c r="TH21" i="19"/>
  <c r="TF21" i="19"/>
  <c r="TE21" i="19"/>
  <c r="TD21" i="19"/>
  <c r="TC21" i="19"/>
  <c r="TI27" i="19"/>
  <c r="TH27" i="19"/>
  <c r="TF27" i="19"/>
  <c r="TE27" i="19"/>
  <c r="TD27" i="19"/>
  <c r="TC27" i="19"/>
  <c r="TI23" i="19"/>
  <c r="TH23" i="19"/>
  <c r="TF23" i="19"/>
  <c r="TE23" i="19"/>
  <c r="TD23" i="19"/>
  <c r="TC23" i="19"/>
  <c r="TI20" i="19"/>
  <c r="TH20" i="19"/>
  <c r="TF20" i="19"/>
  <c r="TE20" i="19"/>
  <c r="TD20" i="19"/>
  <c r="TC20" i="19"/>
  <c r="TI17" i="19"/>
  <c r="TH17" i="19"/>
  <c r="TF17" i="19"/>
  <c r="TE17" i="19"/>
  <c r="TD17" i="19"/>
  <c r="TC17" i="19"/>
  <c r="TI9" i="19"/>
  <c r="TH9" i="19"/>
  <c r="TF9" i="19"/>
  <c r="TE9" i="19"/>
  <c r="TD9" i="19"/>
  <c r="TC9" i="19"/>
  <c r="TI14" i="19"/>
  <c r="TH14" i="19"/>
  <c r="TF14" i="19"/>
  <c r="TE14" i="19"/>
  <c r="TD14" i="19"/>
  <c r="TC14" i="19"/>
  <c r="TI22" i="19"/>
  <c r="TH22" i="19"/>
  <c r="TF22" i="19"/>
  <c r="TE22" i="19"/>
  <c r="TD22" i="19"/>
  <c r="TC22" i="19"/>
  <c r="TI13" i="19"/>
  <c r="TH13" i="19"/>
  <c r="TF13" i="19"/>
  <c r="TE13" i="19"/>
  <c r="TD13" i="19"/>
  <c r="TC13" i="19"/>
  <c r="TI16" i="19"/>
  <c r="TH16" i="19"/>
  <c r="TF16" i="19"/>
  <c r="TE16" i="19"/>
  <c r="TD16" i="19"/>
  <c r="TC16" i="19"/>
  <c r="TI10" i="19"/>
  <c r="TH10" i="19"/>
  <c r="TF10" i="19"/>
  <c r="TE10" i="19"/>
  <c r="TD10" i="19"/>
  <c r="TC10" i="19"/>
  <c r="TI12" i="19"/>
  <c r="TH12" i="19"/>
  <c r="TF12" i="19"/>
  <c r="TE12" i="19"/>
  <c r="TD12" i="19"/>
  <c r="TC12" i="19"/>
  <c r="TI11" i="19"/>
  <c r="TH11" i="19"/>
  <c r="TF11" i="19"/>
  <c r="TE11" i="19"/>
  <c r="TD11" i="19"/>
  <c r="TC11" i="19"/>
  <c r="TI8" i="19"/>
  <c r="TH8" i="19"/>
  <c r="TF8" i="19"/>
  <c r="TE8" i="19"/>
  <c r="TD8" i="19"/>
  <c r="TC8" i="19"/>
  <c r="TI6" i="19"/>
  <c r="TH6" i="19"/>
  <c r="TF6" i="19"/>
  <c r="TE6" i="19"/>
  <c r="TD6" i="19"/>
  <c r="TC6" i="19"/>
  <c r="TI5" i="19"/>
  <c r="TH5" i="19"/>
  <c r="TF5" i="19"/>
  <c r="TE5" i="19"/>
  <c r="TD5" i="19"/>
  <c r="TC5" i="19"/>
  <c r="TI7" i="19"/>
  <c r="TH7" i="19"/>
  <c r="TF7" i="19"/>
  <c r="TE7" i="19"/>
  <c r="TD7" i="19"/>
  <c r="TC7" i="19"/>
  <c r="TI4" i="19"/>
  <c r="TH4" i="19"/>
  <c r="TF4" i="19"/>
  <c r="TE4" i="19"/>
  <c r="TD4" i="19"/>
  <c r="TC4" i="19"/>
  <c r="TI16" i="27"/>
  <c r="TH16" i="27"/>
  <c r="TF16" i="27"/>
  <c r="TE16" i="27"/>
  <c r="TD16" i="27"/>
  <c r="TC16" i="27"/>
  <c r="TI14" i="27"/>
  <c r="TH14" i="27"/>
  <c r="TF14" i="27"/>
  <c r="TE14" i="27"/>
  <c r="TD14" i="27"/>
  <c r="TC14" i="27"/>
  <c r="TI15" i="27"/>
  <c r="TH15" i="27"/>
  <c r="TF15" i="27"/>
  <c r="TE15" i="27"/>
  <c r="TD15" i="27"/>
  <c r="TC15" i="27"/>
  <c r="TI11" i="27"/>
  <c r="TH11" i="27"/>
  <c r="TF11" i="27"/>
  <c r="TE11" i="27"/>
  <c r="TD11" i="27"/>
  <c r="TC11" i="27"/>
  <c r="TI10" i="27"/>
  <c r="TH10" i="27"/>
  <c r="TF10" i="27"/>
  <c r="TE10" i="27"/>
  <c r="TD10" i="27"/>
  <c r="TC10" i="27"/>
  <c r="TI7" i="27"/>
  <c r="TH7" i="27"/>
  <c r="TF7" i="27"/>
  <c r="TE7" i="27"/>
  <c r="TD7" i="27"/>
  <c r="TC7" i="27"/>
  <c r="TI12" i="27"/>
  <c r="TH12" i="27"/>
  <c r="TF12" i="27"/>
  <c r="TE12" i="27"/>
  <c r="TD12" i="27"/>
  <c r="TC12" i="27"/>
  <c r="TI13" i="27"/>
  <c r="TH13" i="27"/>
  <c r="TF13" i="27"/>
  <c r="TE13" i="27"/>
  <c r="TD13" i="27"/>
  <c r="TC13" i="27"/>
  <c r="TI9" i="27"/>
  <c r="TH9" i="27"/>
  <c r="TF9" i="27"/>
  <c r="TE9" i="27"/>
  <c r="TD9" i="27"/>
  <c r="TC9" i="27"/>
  <c r="TI4" i="27"/>
  <c r="TH4" i="27"/>
  <c r="TF4" i="27"/>
  <c r="TE4" i="27"/>
  <c r="TD4" i="27"/>
  <c r="TC4" i="27"/>
  <c r="TI5" i="27"/>
  <c r="TH5" i="27"/>
  <c r="TF5" i="27"/>
  <c r="TE5" i="27"/>
  <c r="TD5" i="27"/>
  <c r="TC5" i="27"/>
  <c r="TI6" i="27"/>
  <c r="TH6" i="27"/>
  <c r="TF6" i="27"/>
  <c r="TE6" i="27"/>
  <c r="TD6" i="27"/>
  <c r="TC6" i="27"/>
  <c r="TI11" i="26"/>
  <c r="TH11" i="26"/>
  <c r="TF11" i="26"/>
  <c r="TE11" i="26"/>
  <c r="TD11" i="26"/>
  <c r="TC11" i="26"/>
  <c r="TI8" i="26"/>
  <c r="TH8" i="26"/>
  <c r="TF8" i="26"/>
  <c r="TE8" i="26"/>
  <c r="TD8" i="26"/>
  <c r="TC8" i="26"/>
  <c r="TI9" i="26"/>
  <c r="TH9" i="26"/>
  <c r="TF9" i="26"/>
  <c r="TE9" i="26"/>
  <c r="TD9" i="26"/>
  <c r="TC9" i="26"/>
  <c r="TI6" i="26"/>
  <c r="TH6" i="26"/>
  <c r="TF6" i="26"/>
  <c r="TE6" i="26"/>
  <c r="TD6" i="26"/>
  <c r="TC6" i="26"/>
  <c r="TI5" i="26"/>
  <c r="TH5" i="26"/>
  <c r="TF5" i="26"/>
  <c r="TE5" i="26"/>
  <c r="TD5" i="26"/>
  <c r="TC5" i="26"/>
  <c r="TI7" i="26"/>
  <c r="TH7" i="26"/>
  <c r="TF7" i="26"/>
  <c r="TE7" i="26"/>
  <c r="TD7" i="26"/>
  <c r="TC7" i="26"/>
  <c r="TI4" i="26"/>
  <c r="TH4" i="26"/>
  <c r="TF4" i="26"/>
  <c r="TE4" i="26"/>
  <c r="TD4" i="26"/>
  <c r="TC4" i="26"/>
  <c r="WJ15" i="24"/>
  <c r="WI15" i="24"/>
  <c r="WH15" i="24"/>
  <c r="WG15" i="24"/>
  <c r="WF15" i="24"/>
  <c r="WE15" i="24"/>
  <c r="WC15" i="24"/>
  <c r="WB15" i="24"/>
  <c r="WA15" i="24"/>
  <c r="VZ15" i="24"/>
  <c r="VY15" i="24"/>
  <c r="VX15" i="24"/>
  <c r="WJ14" i="24"/>
  <c r="WI14" i="24"/>
  <c r="WH14" i="24"/>
  <c r="WG14" i="24"/>
  <c r="WF14" i="24"/>
  <c r="WE14" i="24"/>
  <c r="WC14" i="24"/>
  <c r="WB14" i="24"/>
  <c r="WA14" i="24"/>
  <c r="VZ14" i="24"/>
  <c r="VY14" i="24"/>
  <c r="VX14" i="24"/>
  <c r="WJ13" i="24"/>
  <c r="WI13" i="24"/>
  <c r="WH13" i="24"/>
  <c r="WG13" i="24"/>
  <c r="WF13" i="24"/>
  <c r="WE13" i="24"/>
  <c r="WC13" i="24"/>
  <c r="WB13" i="24"/>
  <c r="WA13" i="24"/>
  <c r="VZ13" i="24"/>
  <c r="VY13" i="24"/>
  <c r="VX13" i="24"/>
  <c r="WJ12" i="24"/>
  <c r="WI12" i="24"/>
  <c r="WH12" i="24"/>
  <c r="WG12" i="24"/>
  <c r="WF12" i="24"/>
  <c r="WE12" i="24"/>
  <c r="WC12" i="24"/>
  <c r="WB12" i="24"/>
  <c r="WA12" i="24"/>
  <c r="VZ12" i="24"/>
  <c r="VY12" i="24"/>
  <c r="VX12" i="24"/>
  <c r="WJ11" i="24"/>
  <c r="WI11" i="24"/>
  <c r="WH11" i="24"/>
  <c r="WG11" i="24"/>
  <c r="WF11" i="24"/>
  <c r="WE11" i="24"/>
  <c r="WC11" i="24"/>
  <c r="WB11" i="24"/>
  <c r="WA11" i="24"/>
  <c r="VZ11" i="24"/>
  <c r="VY11" i="24"/>
  <c r="VX11" i="24"/>
  <c r="WJ10" i="24"/>
  <c r="WI10" i="24"/>
  <c r="WH10" i="24"/>
  <c r="WG10" i="24"/>
  <c r="WF10" i="24"/>
  <c r="WE10" i="24"/>
  <c r="WC10" i="24"/>
  <c r="WB10" i="24"/>
  <c r="WA10" i="24"/>
  <c r="VZ10" i="24"/>
  <c r="VY10" i="24"/>
  <c r="VX10" i="24"/>
  <c r="WJ7" i="24"/>
  <c r="WI7" i="24"/>
  <c r="WH7" i="24"/>
  <c r="WG7" i="24"/>
  <c r="WF7" i="24"/>
  <c r="WE7" i="24"/>
  <c r="WC7" i="24"/>
  <c r="WB7" i="24"/>
  <c r="WA7" i="24"/>
  <c r="VZ7" i="24"/>
  <c r="VY7" i="24"/>
  <c r="VX7" i="24"/>
  <c r="WJ6" i="24"/>
  <c r="WI6" i="24"/>
  <c r="WH6" i="24"/>
  <c r="WG6" i="24"/>
  <c r="WF6" i="24"/>
  <c r="WE6" i="24"/>
  <c r="WC6" i="24"/>
  <c r="WB6" i="24"/>
  <c r="WA6" i="24"/>
  <c r="VZ6" i="24"/>
  <c r="VY6" i="24"/>
  <c r="VX6" i="24"/>
  <c r="WJ5" i="24"/>
  <c r="WI5" i="24"/>
  <c r="WH5" i="24"/>
  <c r="WG5" i="24"/>
  <c r="WF5" i="24"/>
  <c r="WE5" i="24"/>
  <c r="WC5" i="24"/>
  <c r="WB5" i="24"/>
  <c r="WA5" i="24"/>
  <c r="VZ5" i="24"/>
  <c r="VY5" i="24"/>
  <c r="VX5" i="24"/>
  <c r="WJ4" i="24"/>
  <c r="WI4" i="24"/>
  <c r="WH4" i="24"/>
  <c r="WG4" i="24"/>
  <c r="WF4" i="24"/>
  <c r="WE4" i="24"/>
  <c r="WC4" i="24"/>
  <c r="WB4" i="24"/>
  <c r="WA4" i="24"/>
  <c r="VZ4" i="24"/>
  <c r="VY4" i="24"/>
  <c r="VX4" i="24"/>
  <c r="WJ18" i="23"/>
  <c r="WI18" i="23"/>
  <c r="WH18" i="23"/>
  <c r="WG18" i="23"/>
  <c r="WF18" i="23"/>
  <c r="WE18" i="23"/>
  <c r="WC18" i="23"/>
  <c r="WB18" i="23"/>
  <c r="WA18" i="23"/>
  <c r="VZ18" i="23"/>
  <c r="VY18" i="23"/>
  <c r="VX18" i="23"/>
  <c r="WJ16" i="23"/>
  <c r="WI16" i="23"/>
  <c r="WH16" i="23"/>
  <c r="WG16" i="23"/>
  <c r="WF16" i="23"/>
  <c r="WE16" i="23"/>
  <c r="WC16" i="23"/>
  <c r="WB16" i="23"/>
  <c r="WA16" i="23"/>
  <c r="VZ16" i="23"/>
  <c r="VY16" i="23"/>
  <c r="VX16" i="23"/>
  <c r="WJ14" i="23"/>
  <c r="WI14" i="23"/>
  <c r="WH14" i="23"/>
  <c r="WG14" i="23"/>
  <c r="WF14" i="23"/>
  <c r="WE14" i="23"/>
  <c r="WC14" i="23"/>
  <c r="WB14" i="23"/>
  <c r="WA14" i="23"/>
  <c r="VZ14" i="23"/>
  <c r="VY14" i="23"/>
  <c r="VX14" i="23"/>
  <c r="WJ13" i="23"/>
  <c r="WI13" i="23"/>
  <c r="WH13" i="23"/>
  <c r="WG13" i="23"/>
  <c r="WF13" i="23"/>
  <c r="WE13" i="23"/>
  <c r="WC13" i="23"/>
  <c r="WB13" i="23"/>
  <c r="WA13" i="23"/>
  <c r="VZ13" i="23"/>
  <c r="VY13" i="23"/>
  <c r="VX13" i="23"/>
  <c r="WJ12" i="23"/>
  <c r="WI12" i="23"/>
  <c r="WH12" i="23"/>
  <c r="WG12" i="23"/>
  <c r="WF12" i="23"/>
  <c r="WE12" i="23"/>
  <c r="WC12" i="23"/>
  <c r="WB12" i="23"/>
  <c r="WA12" i="23"/>
  <c r="VZ12" i="23"/>
  <c r="VY12" i="23"/>
  <c r="VX12" i="23"/>
  <c r="WJ11" i="23"/>
  <c r="WI11" i="23"/>
  <c r="WH11" i="23"/>
  <c r="WG11" i="23"/>
  <c r="WF11" i="23"/>
  <c r="WE11" i="23"/>
  <c r="WC11" i="23"/>
  <c r="WB11" i="23"/>
  <c r="WA11" i="23"/>
  <c r="VZ11" i="23"/>
  <c r="VY11" i="23"/>
  <c r="VX11" i="23"/>
  <c r="WJ10" i="23"/>
  <c r="WI10" i="23"/>
  <c r="WH10" i="23"/>
  <c r="WG10" i="23"/>
  <c r="WF10" i="23"/>
  <c r="WE10" i="23"/>
  <c r="WC10" i="23"/>
  <c r="WB10" i="23"/>
  <c r="WA10" i="23"/>
  <c r="VZ10" i="23"/>
  <c r="VY10" i="23"/>
  <c r="VX10" i="23"/>
  <c r="WJ9" i="23"/>
  <c r="WI9" i="23"/>
  <c r="WH9" i="23"/>
  <c r="WG9" i="23"/>
  <c r="WF9" i="23"/>
  <c r="WE9" i="23"/>
  <c r="WC9" i="23"/>
  <c r="WB9" i="23"/>
  <c r="WA9" i="23"/>
  <c r="VZ9" i="23"/>
  <c r="VY9" i="23"/>
  <c r="VX9" i="23"/>
  <c r="WJ8" i="23"/>
  <c r="WI8" i="23"/>
  <c r="WH8" i="23"/>
  <c r="WG8" i="23"/>
  <c r="WF8" i="23"/>
  <c r="WE8" i="23"/>
  <c r="WC8" i="23"/>
  <c r="WB8" i="23"/>
  <c r="WA8" i="23"/>
  <c r="VZ8" i="23"/>
  <c r="VY8" i="23"/>
  <c r="VX8" i="23"/>
  <c r="WJ7" i="23"/>
  <c r="WI7" i="23"/>
  <c r="WH7" i="23"/>
  <c r="WG7" i="23"/>
  <c r="WF7" i="23"/>
  <c r="WE7" i="23"/>
  <c r="WC7" i="23"/>
  <c r="WB7" i="23"/>
  <c r="WA7" i="23"/>
  <c r="VZ7" i="23"/>
  <c r="VY7" i="23"/>
  <c r="VX7" i="23"/>
  <c r="WJ6" i="23"/>
  <c r="WI6" i="23"/>
  <c r="WH6" i="23"/>
  <c r="WG6" i="23"/>
  <c r="WF6" i="23"/>
  <c r="WE6" i="23"/>
  <c r="WC6" i="23"/>
  <c r="WB6" i="23"/>
  <c r="WA6" i="23"/>
  <c r="VZ6" i="23"/>
  <c r="VY6" i="23"/>
  <c r="VX6" i="23"/>
  <c r="WJ5" i="23"/>
  <c r="WI5" i="23"/>
  <c r="WH5" i="23"/>
  <c r="WG5" i="23"/>
  <c r="WF5" i="23"/>
  <c r="WE5" i="23"/>
  <c r="WC5" i="23"/>
  <c r="WB5" i="23"/>
  <c r="WA5" i="23"/>
  <c r="VZ5" i="23"/>
  <c r="VY5" i="23"/>
  <c r="VX5" i="23"/>
  <c r="WJ4" i="23"/>
  <c r="WI4" i="23"/>
  <c r="WH4" i="23"/>
  <c r="WG4" i="23"/>
  <c r="WF4" i="23"/>
  <c r="WE4" i="23"/>
  <c r="WC4" i="23"/>
  <c r="WB4" i="23"/>
  <c r="WA4" i="23"/>
  <c r="VZ4" i="23"/>
  <c r="VY4" i="23"/>
  <c r="VX4" i="23"/>
  <c r="WR16" i="22"/>
  <c r="WQ16" i="22"/>
  <c r="WP16" i="22"/>
  <c r="WO16" i="22"/>
  <c r="WN16" i="22"/>
  <c r="WM16" i="22"/>
  <c r="WK16" i="22"/>
  <c r="WJ16" i="22"/>
  <c r="WI16" i="22"/>
  <c r="WH16" i="22"/>
  <c r="WG16" i="22"/>
  <c r="WF16" i="22"/>
  <c r="WR17" i="22"/>
  <c r="WQ17" i="22"/>
  <c r="WP17" i="22"/>
  <c r="WO17" i="22"/>
  <c r="WN17" i="22"/>
  <c r="WM17" i="22"/>
  <c r="WK17" i="22"/>
  <c r="WJ17" i="22"/>
  <c r="WI17" i="22"/>
  <c r="WH17" i="22"/>
  <c r="WG17" i="22"/>
  <c r="WF17" i="22"/>
  <c r="WR12" i="22"/>
  <c r="WQ12" i="22"/>
  <c r="WP12" i="22"/>
  <c r="WO12" i="22"/>
  <c r="WN12" i="22"/>
  <c r="WM12" i="22"/>
  <c r="WK12" i="22"/>
  <c r="WJ12" i="22"/>
  <c r="WI12" i="22"/>
  <c r="WH12" i="22"/>
  <c r="WG12" i="22"/>
  <c r="WF12" i="22"/>
  <c r="WR13" i="22"/>
  <c r="WQ13" i="22"/>
  <c r="WP13" i="22"/>
  <c r="WO13" i="22"/>
  <c r="WN13" i="22"/>
  <c r="WM13" i="22"/>
  <c r="WK13" i="22"/>
  <c r="WJ13" i="22"/>
  <c r="WI13" i="22"/>
  <c r="WH13" i="22"/>
  <c r="WG13" i="22"/>
  <c r="WF13" i="22"/>
  <c r="WR15" i="22"/>
  <c r="WQ15" i="22"/>
  <c r="WP15" i="22"/>
  <c r="WO15" i="22"/>
  <c r="WN15" i="22"/>
  <c r="WM15" i="22"/>
  <c r="WK15" i="22"/>
  <c r="WJ15" i="22"/>
  <c r="WI15" i="22"/>
  <c r="WH15" i="22"/>
  <c r="WG15" i="22"/>
  <c r="WF15" i="22"/>
  <c r="WR10" i="22"/>
  <c r="WQ10" i="22"/>
  <c r="WP10" i="22"/>
  <c r="WO10" i="22"/>
  <c r="WN10" i="22"/>
  <c r="WM10" i="22"/>
  <c r="WK10" i="22"/>
  <c r="WJ10" i="22"/>
  <c r="WI10" i="22"/>
  <c r="WH10" i="22"/>
  <c r="WG10" i="22"/>
  <c r="WF10" i="22"/>
  <c r="WR9" i="22"/>
  <c r="WQ9" i="22"/>
  <c r="WP9" i="22"/>
  <c r="WO9" i="22"/>
  <c r="WN9" i="22"/>
  <c r="WM9" i="22"/>
  <c r="WK9" i="22"/>
  <c r="WJ9" i="22"/>
  <c r="WI9" i="22"/>
  <c r="WH9" i="22"/>
  <c r="WG9" i="22"/>
  <c r="WF9" i="22"/>
  <c r="WR11" i="22"/>
  <c r="WQ11" i="22"/>
  <c r="WP11" i="22"/>
  <c r="WO11" i="22"/>
  <c r="WN11" i="22"/>
  <c r="WM11" i="22"/>
  <c r="WK11" i="22"/>
  <c r="WJ11" i="22"/>
  <c r="WI11" i="22"/>
  <c r="WH11" i="22"/>
  <c r="WG11" i="22"/>
  <c r="WF11" i="22"/>
  <c r="WR8" i="22"/>
  <c r="WQ8" i="22"/>
  <c r="WP8" i="22"/>
  <c r="WO8" i="22"/>
  <c r="WN8" i="22"/>
  <c r="WM8" i="22"/>
  <c r="WK8" i="22"/>
  <c r="WJ8" i="22"/>
  <c r="WI8" i="22"/>
  <c r="WH8" i="22"/>
  <c r="WG8" i="22"/>
  <c r="WF8" i="22"/>
  <c r="WR7" i="22"/>
  <c r="WQ7" i="22"/>
  <c r="WP7" i="22"/>
  <c r="WO7" i="22"/>
  <c r="WN7" i="22"/>
  <c r="WM7" i="22"/>
  <c r="WK7" i="22"/>
  <c r="WJ7" i="22"/>
  <c r="WI7" i="22"/>
  <c r="WH7" i="22"/>
  <c r="WG7" i="22"/>
  <c r="WF7" i="22"/>
  <c r="WR6" i="22"/>
  <c r="WQ6" i="22"/>
  <c r="WP6" i="22"/>
  <c r="WO6" i="22"/>
  <c r="WN6" i="22"/>
  <c r="WM6" i="22"/>
  <c r="WK6" i="22"/>
  <c r="WJ6" i="22"/>
  <c r="WI6" i="22"/>
  <c r="WH6" i="22"/>
  <c r="WG6" i="22"/>
  <c r="WF6" i="22"/>
  <c r="WR5" i="22"/>
  <c r="WQ5" i="22"/>
  <c r="WP5" i="22"/>
  <c r="WO5" i="22"/>
  <c r="WN5" i="22"/>
  <c r="WM5" i="22"/>
  <c r="WK5" i="22"/>
  <c r="WJ5" i="22"/>
  <c r="WI5" i="22"/>
  <c r="WH5" i="22"/>
  <c r="WG5" i="22"/>
  <c r="WF5" i="22"/>
  <c r="WR4" i="22"/>
  <c r="WQ4" i="22"/>
  <c r="WP4" i="22"/>
  <c r="WO4" i="22"/>
  <c r="WN4" i="22"/>
  <c r="WM4" i="22"/>
  <c r="WK4" i="22"/>
  <c r="WJ4" i="22"/>
  <c r="WI4" i="22"/>
  <c r="WH4" i="22"/>
  <c r="WG4" i="22"/>
  <c r="WF4" i="22"/>
  <c r="WR24" i="4"/>
  <c r="WQ24" i="4"/>
  <c r="WP24" i="4"/>
  <c r="WO24" i="4"/>
  <c r="WN24" i="4"/>
  <c r="WM24" i="4"/>
  <c r="WK24" i="4"/>
  <c r="WJ24" i="4"/>
  <c r="WI24" i="4"/>
  <c r="WH24" i="4"/>
  <c r="WG24" i="4"/>
  <c r="WF24" i="4"/>
  <c r="WR23" i="4"/>
  <c r="WQ23" i="4"/>
  <c r="WP23" i="4"/>
  <c r="WO23" i="4"/>
  <c r="WN23" i="4"/>
  <c r="WM23" i="4"/>
  <c r="WK23" i="4"/>
  <c r="WJ23" i="4"/>
  <c r="WI23" i="4"/>
  <c r="WH23" i="4"/>
  <c r="WG23" i="4"/>
  <c r="WF23" i="4"/>
  <c r="WR21" i="4"/>
  <c r="WQ21" i="4"/>
  <c r="WP21" i="4"/>
  <c r="WO21" i="4"/>
  <c r="WN21" i="4"/>
  <c r="WM21" i="4"/>
  <c r="WK21" i="4"/>
  <c r="WJ21" i="4"/>
  <c r="WI21" i="4"/>
  <c r="WH21" i="4"/>
  <c r="WG21" i="4"/>
  <c r="WF21" i="4"/>
  <c r="WR11" i="4"/>
  <c r="WQ11" i="4"/>
  <c r="WP11" i="4"/>
  <c r="WO11" i="4"/>
  <c r="WN11" i="4"/>
  <c r="WM11" i="4"/>
  <c r="WK11" i="4"/>
  <c r="WJ11" i="4"/>
  <c r="WI11" i="4"/>
  <c r="WH11" i="4"/>
  <c r="WG11" i="4"/>
  <c r="WF11" i="4"/>
  <c r="WR18" i="4"/>
  <c r="WQ18" i="4"/>
  <c r="WP18" i="4"/>
  <c r="WO18" i="4"/>
  <c r="WN18" i="4"/>
  <c r="WM18" i="4"/>
  <c r="WK18" i="4"/>
  <c r="WJ18" i="4"/>
  <c r="WI18" i="4"/>
  <c r="WH18" i="4"/>
  <c r="WG18" i="4"/>
  <c r="WF18" i="4"/>
  <c r="WR17" i="4"/>
  <c r="WQ17" i="4"/>
  <c r="WP17" i="4"/>
  <c r="WO17" i="4"/>
  <c r="WN17" i="4"/>
  <c r="WM17" i="4"/>
  <c r="WK17" i="4"/>
  <c r="WJ17" i="4"/>
  <c r="WI17" i="4"/>
  <c r="WH17" i="4"/>
  <c r="WG17" i="4"/>
  <c r="WF17" i="4"/>
  <c r="WR22" i="4"/>
  <c r="WQ22" i="4"/>
  <c r="WP22" i="4"/>
  <c r="WO22" i="4"/>
  <c r="WN22" i="4"/>
  <c r="WM22" i="4"/>
  <c r="WK22" i="4"/>
  <c r="WJ22" i="4"/>
  <c r="WI22" i="4"/>
  <c r="WH22" i="4"/>
  <c r="WG22" i="4"/>
  <c r="WF22" i="4"/>
  <c r="WR16" i="4"/>
  <c r="WQ16" i="4"/>
  <c r="WP16" i="4"/>
  <c r="WO16" i="4"/>
  <c r="WN16" i="4"/>
  <c r="WM16" i="4"/>
  <c r="WK16" i="4"/>
  <c r="WJ16" i="4"/>
  <c r="WI16" i="4"/>
  <c r="WH16" i="4"/>
  <c r="WG16" i="4"/>
  <c r="WF16" i="4"/>
  <c r="WR15" i="4"/>
  <c r="WQ15" i="4"/>
  <c r="WP15" i="4"/>
  <c r="WO15" i="4"/>
  <c r="WN15" i="4"/>
  <c r="WM15" i="4"/>
  <c r="WK15" i="4"/>
  <c r="WJ15" i="4"/>
  <c r="WI15" i="4"/>
  <c r="WH15" i="4"/>
  <c r="WG15" i="4"/>
  <c r="WF15" i="4"/>
  <c r="WR20" i="4"/>
  <c r="WQ20" i="4"/>
  <c r="WP20" i="4"/>
  <c r="WO20" i="4"/>
  <c r="WN20" i="4"/>
  <c r="WM20" i="4"/>
  <c r="WK20" i="4"/>
  <c r="WJ20" i="4"/>
  <c r="WI20" i="4"/>
  <c r="WH20" i="4"/>
  <c r="WG20" i="4"/>
  <c r="WF20" i="4"/>
  <c r="WR19" i="4"/>
  <c r="WQ19" i="4"/>
  <c r="WP19" i="4"/>
  <c r="WO19" i="4"/>
  <c r="WN19" i="4"/>
  <c r="WM19" i="4"/>
  <c r="WK19" i="4"/>
  <c r="WJ19" i="4"/>
  <c r="WI19" i="4"/>
  <c r="WH19" i="4"/>
  <c r="WG19" i="4"/>
  <c r="WF19" i="4"/>
  <c r="WR13" i="4"/>
  <c r="WQ13" i="4"/>
  <c r="WP13" i="4"/>
  <c r="WO13" i="4"/>
  <c r="WN13" i="4"/>
  <c r="WM13" i="4"/>
  <c r="WK13" i="4"/>
  <c r="WJ13" i="4"/>
  <c r="WI13" i="4"/>
  <c r="WH13" i="4"/>
  <c r="WG13" i="4"/>
  <c r="WF13" i="4"/>
  <c r="WR10" i="4"/>
  <c r="WQ10" i="4"/>
  <c r="WP10" i="4"/>
  <c r="WO10" i="4"/>
  <c r="WN10" i="4"/>
  <c r="WM10" i="4"/>
  <c r="WK10" i="4"/>
  <c r="WJ10" i="4"/>
  <c r="WI10" i="4"/>
  <c r="WH10" i="4"/>
  <c r="WG10" i="4"/>
  <c r="WF10" i="4"/>
  <c r="WR14" i="4"/>
  <c r="WQ14" i="4"/>
  <c r="WP14" i="4"/>
  <c r="WO14" i="4"/>
  <c r="WN14" i="4"/>
  <c r="WM14" i="4"/>
  <c r="WK14" i="4"/>
  <c r="WJ14" i="4"/>
  <c r="WI14" i="4"/>
  <c r="WH14" i="4"/>
  <c r="WG14" i="4"/>
  <c r="WF14" i="4"/>
  <c r="WR9" i="4"/>
  <c r="WQ9" i="4"/>
  <c r="WP9" i="4"/>
  <c r="WO9" i="4"/>
  <c r="WN9" i="4"/>
  <c r="WM9" i="4"/>
  <c r="WK9" i="4"/>
  <c r="WJ9" i="4"/>
  <c r="WI9" i="4"/>
  <c r="WH9" i="4"/>
  <c r="WG9" i="4"/>
  <c r="WF9" i="4"/>
  <c r="WR12" i="4"/>
  <c r="WQ12" i="4"/>
  <c r="WP12" i="4"/>
  <c r="WO12" i="4"/>
  <c r="WN12" i="4"/>
  <c r="WM12" i="4"/>
  <c r="WK12" i="4"/>
  <c r="WJ12" i="4"/>
  <c r="WI12" i="4"/>
  <c r="WH12" i="4"/>
  <c r="WG12" i="4"/>
  <c r="WF12" i="4"/>
  <c r="WR8" i="4"/>
  <c r="WQ8" i="4"/>
  <c r="WP8" i="4"/>
  <c r="WO8" i="4"/>
  <c r="WN8" i="4"/>
  <c r="WM8" i="4"/>
  <c r="WK8" i="4"/>
  <c r="WJ8" i="4"/>
  <c r="WI8" i="4"/>
  <c r="WH8" i="4"/>
  <c r="WG8" i="4"/>
  <c r="WF8" i="4"/>
  <c r="WR7" i="4"/>
  <c r="WQ7" i="4"/>
  <c r="WP7" i="4"/>
  <c r="WO7" i="4"/>
  <c r="WN7" i="4"/>
  <c r="WM7" i="4"/>
  <c r="WK7" i="4"/>
  <c r="WJ7" i="4"/>
  <c r="WI7" i="4"/>
  <c r="WH7" i="4"/>
  <c r="WG7" i="4"/>
  <c r="WF7" i="4"/>
  <c r="WR6" i="4"/>
  <c r="WQ6" i="4"/>
  <c r="WP6" i="4"/>
  <c r="WO6" i="4"/>
  <c r="WN6" i="4"/>
  <c r="WM6" i="4"/>
  <c r="WK6" i="4"/>
  <c r="WJ6" i="4"/>
  <c r="WI6" i="4"/>
  <c r="WH6" i="4"/>
  <c r="WG6" i="4"/>
  <c r="WF6" i="4"/>
  <c r="WR4" i="4"/>
  <c r="WQ4" i="4"/>
  <c r="WP4" i="4"/>
  <c r="WO4" i="4"/>
  <c r="WN4" i="4"/>
  <c r="WM4" i="4"/>
  <c r="WK4" i="4"/>
  <c r="WJ4" i="4"/>
  <c r="WI4" i="4"/>
  <c r="WH4" i="4"/>
  <c r="WG4" i="4"/>
  <c r="WF4" i="4"/>
  <c r="WR5" i="4"/>
  <c r="WQ5" i="4"/>
  <c r="WP5" i="4"/>
  <c r="WO5" i="4"/>
  <c r="WN5" i="4"/>
  <c r="WM5" i="4"/>
  <c r="WK5" i="4"/>
  <c r="WJ5" i="4"/>
  <c r="WI5" i="4"/>
  <c r="WH5" i="4"/>
  <c r="WG5" i="4"/>
  <c r="WF5" i="4"/>
  <c r="WT5" i="4"/>
  <c r="WU5" i="4"/>
  <c r="WV5" i="4"/>
  <c r="XJ5" i="4" s="1"/>
  <c r="WW5" i="4"/>
  <c r="XK5" i="4" s="1"/>
  <c r="WX5" i="4"/>
  <c r="WY5" i="4"/>
  <c r="WZ5" i="4"/>
  <c r="XA5" i="4"/>
  <c r="XM5" i="4" s="1"/>
  <c r="XB5" i="4"/>
  <c r="XN5" i="4" s="1"/>
  <c r="XC5" i="4"/>
  <c r="XD5" i="4"/>
  <c r="XE5" i="4"/>
  <c r="XF5" i="4"/>
  <c r="XQ5" i="4" s="1"/>
  <c r="XG5" i="4"/>
  <c r="XR5" i="4" s="1"/>
  <c r="XH5" i="4"/>
  <c r="WT4" i="4"/>
  <c r="WU4" i="4"/>
  <c r="WV4" i="4"/>
  <c r="XJ4" i="4" s="1"/>
  <c r="WW4" i="4"/>
  <c r="XK4" i="4" s="1"/>
  <c r="WX4" i="4"/>
  <c r="WY4" i="4"/>
  <c r="WZ4" i="4"/>
  <c r="XA4" i="4"/>
  <c r="XM4" i="4" s="1"/>
  <c r="XB4" i="4"/>
  <c r="XN4" i="4" s="1"/>
  <c r="XC4" i="4"/>
  <c r="XD4" i="4"/>
  <c r="XE4" i="4"/>
  <c r="XF4" i="4"/>
  <c r="XQ4" i="4" s="1"/>
  <c r="XG4" i="4"/>
  <c r="XR4" i="4" s="1"/>
  <c r="XH4" i="4"/>
  <c r="WT6" i="4"/>
  <c r="WU6" i="4"/>
  <c r="WV6" i="4"/>
  <c r="XJ6" i="4" s="1"/>
  <c r="WW6" i="4"/>
  <c r="XK6" i="4" s="1"/>
  <c r="WX6" i="4"/>
  <c r="WY6" i="4"/>
  <c r="WZ6" i="4"/>
  <c r="XA6" i="4"/>
  <c r="XM6" i="4" s="1"/>
  <c r="XB6" i="4"/>
  <c r="XN6" i="4" s="1"/>
  <c r="XC6" i="4"/>
  <c r="XD6" i="4"/>
  <c r="XE6" i="4"/>
  <c r="XF6" i="4"/>
  <c r="XQ6" i="4" s="1"/>
  <c r="XG6" i="4"/>
  <c r="XR6" i="4" s="1"/>
  <c r="XH6" i="4"/>
  <c r="WT7" i="4"/>
  <c r="WU7" i="4"/>
  <c r="WV7" i="4"/>
  <c r="XJ7" i="4" s="1"/>
  <c r="WW7" i="4"/>
  <c r="XK7" i="4" s="1"/>
  <c r="WX7" i="4"/>
  <c r="WY7" i="4"/>
  <c r="WZ7" i="4"/>
  <c r="XA7" i="4"/>
  <c r="XM7" i="4" s="1"/>
  <c r="XB7" i="4"/>
  <c r="XN7" i="4" s="1"/>
  <c r="XC7" i="4"/>
  <c r="XD7" i="4"/>
  <c r="XE7" i="4"/>
  <c r="XF7" i="4"/>
  <c r="XQ7" i="4" s="1"/>
  <c r="XG7" i="4"/>
  <c r="XR7" i="4" s="1"/>
  <c r="XH7" i="4"/>
  <c r="WT8" i="4"/>
  <c r="WU8" i="4"/>
  <c r="WV8" i="4"/>
  <c r="XJ8" i="4" s="1"/>
  <c r="WW8" i="4"/>
  <c r="XK8" i="4" s="1"/>
  <c r="WX8" i="4"/>
  <c r="WY8" i="4"/>
  <c r="WZ8" i="4"/>
  <c r="XA8" i="4"/>
  <c r="XM8" i="4" s="1"/>
  <c r="XB8" i="4"/>
  <c r="XN8" i="4" s="1"/>
  <c r="XC8" i="4"/>
  <c r="XD8" i="4"/>
  <c r="XE8" i="4"/>
  <c r="XF8" i="4"/>
  <c r="XQ8" i="4" s="1"/>
  <c r="XG8" i="4"/>
  <c r="XR8" i="4" s="1"/>
  <c r="XH8" i="4"/>
  <c r="WT12" i="4"/>
  <c r="WU12" i="4"/>
  <c r="WV12" i="4"/>
  <c r="XJ12" i="4" s="1"/>
  <c r="WW12" i="4"/>
  <c r="XK12" i="4" s="1"/>
  <c r="WX12" i="4"/>
  <c r="WY12" i="4"/>
  <c r="WZ12" i="4"/>
  <c r="XA12" i="4"/>
  <c r="XM12" i="4" s="1"/>
  <c r="XB12" i="4"/>
  <c r="XN12" i="4" s="1"/>
  <c r="XC12" i="4"/>
  <c r="XD12" i="4"/>
  <c r="XE12" i="4"/>
  <c r="XF12" i="4"/>
  <c r="XQ12" i="4" s="1"/>
  <c r="XG12" i="4"/>
  <c r="XR12" i="4" s="1"/>
  <c r="XH12" i="4"/>
  <c r="WT9" i="4"/>
  <c r="WU9" i="4"/>
  <c r="WV9" i="4"/>
  <c r="XJ9" i="4" s="1"/>
  <c r="WW9" i="4"/>
  <c r="XK9" i="4" s="1"/>
  <c r="WX9" i="4"/>
  <c r="WY9" i="4"/>
  <c r="WZ9" i="4"/>
  <c r="XA9" i="4"/>
  <c r="XM9" i="4" s="1"/>
  <c r="XB9" i="4"/>
  <c r="XN9" i="4" s="1"/>
  <c r="XC9" i="4"/>
  <c r="XD9" i="4"/>
  <c r="XE9" i="4"/>
  <c r="XF9" i="4"/>
  <c r="XQ9" i="4" s="1"/>
  <c r="XG9" i="4"/>
  <c r="XR9" i="4" s="1"/>
  <c r="XH9" i="4"/>
  <c r="WT14" i="4"/>
  <c r="WU14" i="4"/>
  <c r="WV14" i="4"/>
  <c r="XJ14" i="4" s="1"/>
  <c r="WW14" i="4"/>
  <c r="XK14" i="4" s="1"/>
  <c r="WX14" i="4"/>
  <c r="WY14" i="4"/>
  <c r="WZ14" i="4"/>
  <c r="XA14" i="4"/>
  <c r="XM14" i="4" s="1"/>
  <c r="XB14" i="4"/>
  <c r="XN14" i="4" s="1"/>
  <c r="XC14" i="4"/>
  <c r="XD14" i="4"/>
  <c r="XE14" i="4"/>
  <c r="XF14" i="4"/>
  <c r="XQ14" i="4" s="1"/>
  <c r="XG14" i="4"/>
  <c r="XR14" i="4" s="1"/>
  <c r="XH14" i="4"/>
  <c r="WT10" i="4"/>
  <c r="WU10" i="4"/>
  <c r="WV10" i="4"/>
  <c r="XJ10" i="4" s="1"/>
  <c r="WW10" i="4"/>
  <c r="XK10" i="4" s="1"/>
  <c r="WX10" i="4"/>
  <c r="WY10" i="4"/>
  <c r="WZ10" i="4"/>
  <c r="XA10" i="4"/>
  <c r="XM10" i="4" s="1"/>
  <c r="XB10" i="4"/>
  <c r="XN10" i="4" s="1"/>
  <c r="XC10" i="4"/>
  <c r="XD10" i="4"/>
  <c r="XE10" i="4"/>
  <c r="XF10" i="4"/>
  <c r="XQ10" i="4" s="1"/>
  <c r="XG10" i="4"/>
  <c r="XR10" i="4" s="1"/>
  <c r="XH10" i="4"/>
  <c r="WT13" i="4"/>
  <c r="WU13" i="4"/>
  <c r="WV13" i="4"/>
  <c r="XJ13" i="4" s="1"/>
  <c r="WW13" i="4"/>
  <c r="XK13" i="4" s="1"/>
  <c r="WX13" i="4"/>
  <c r="WY13" i="4"/>
  <c r="WZ13" i="4"/>
  <c r="XA13" i="4"/>
  <c r="XM13" i="4" s="1"/>
  <c r="XB13" i="4"/>
  <c r="XN13" i="4" s="1"/>
  <c r="XC13" i="4"/>
  <c r="XD13" i="4"/>
  <c r="XE13" i="4"/>
  <c r="XF13" i="4"/>
  <c r="XQ13" i="4" s="1"/>
  <c r="XG13" i="4"/>
  <c r="XR13" i="4" s="1"/>
  <c r="XH13" i="4"/>
  <c r="WT19" i="4"/>
  <c r="WU19" i="4"/>
  <c r="WV19" i="4"/>
  <c r="XJ19" i="4" s="1"/>
  <c r="WW19" i="4"/>
  <c r="XK19" i="4" s="1"/>
  <c r="WX19" i="4"/>
  <c r="WY19" i="4"/>
  <c r="WZ19" i="4"/>
  <c r="XA19" i="4"/>
  <c r="XM19" i="4" s="1"/>
  <c r="XB19" i="4"/>
  <c r="XN19" i="4" s="1"/>
  <c r="XC19" i="4"/>
  <c r="XD19" i="4"/>
  <c r="XE19" i="4"/>
  <c r="XF19" i="4"/>
  <c r="XQ19" i="4" s="1"/>
  <c r="XG19" i="4"/>
  <c r="XR19" i="4" s="1"/>
  <c r="XH19" i="4"/>
  <c r="WT20" i="4"/>
  <c r="WU20" i="4"/>
  <c r="WV20" i="4"/>
  <c r="XJ20" i="4" s="1"/>
  <c r="WW20" i="4"/>
  <c r="XK20" i="4" s="1"/>
  <c r="WX20" i="4"/>
  <c r="WY20" i="4"/>
  <c r="WZ20" i="4"/>
  <c r="XA20" i="4"/>
  <c r="XM20" i="4" s="1"/>
  <c r="XB20" i="4"/>
  <c r="XN20" i="4" s="1"/>
  <c r="XC20" i="4"/>
  <c r="XD20" i="4"/>
  <c r="XE20" i="4"/>
  <c r="XF20" i="4"/>
  <c r="XQ20" i="4" s="1"/>
  <c r="XG20" i="4"/>
  <c r="XR20" i="4" s="1"/>
  <c r="XH20" i="4"/>
  <c r="WT15" i="4"/>
  <c r="WU15" i="4"/>
  <c r="WV15" i="4"/>
  <c r="XJ15" i="4" s="1"/>
  <c r="WW15" i="4"/>
  <c r="XK15" i="4" s="1"/>
  <c r="WX15" i="4"/>
  <c r="WY15" i="4"/>
  <c r="WZ15" i="4"/>
  <c r="XA15" i="4"/>
  <c r="XM15" i="4" s="1"/>
  <c r="XB15" i="4"/>
  <c r="XN15" i="4" s="1"/>
  <c r="XC15" i="4"/>
  <c r="XD15" i="4"/>
  <c r="XE15" i="4"/>
  <c r="XF15" i="4"/>
  <c r="XQ15" i="4" s="1"/>
  <c r="XG15" i="4"/>
  <c r="XR15" i="4" s="1"/>
  <c r="XH15" i="4"/>
  <c r="WT16" i="4"/>
  <c r="WU16" i="4"/>
  <c r="WV16" i="4"/>
  <c r="XJ16" i="4" s="1"/>
  <c r="WW16" i="4"/>
  <c r="WX16" i="4"/>
  <c r="WY16" i="4"/>
  <c r="WZ16" i="4"/>
  <c r="XA16" i="4"/>
  <c r="XM16" i="4" s="1"/>
  <c r="XB16" i="4"/>
  <c r="XN16" i="4" s="1"/>
  <c r="XC16" i="4"/>
  <c r="XD16" i="4"/>
  <c r="XE16" i="4"/>
  <c r="XF16" i="4"/>
  <c r="XQ16" i="4" s="1"/>
  <c r="XG16" i="4"/>
  <c r="XR16" i="4" s="1"/>
  <c r="XH16" i="4"/>
  <c r="WT22" i="4"/>
  <c r="WU22" i="4"/>
  <c r="WV22" i="4"/>
  <c r="XJ22" i="4" s="1"/>
  <c r="WW22" i="4"/>
  <c r="XK22" i="4" s="1"/>
  <c r="WX22" i="4"/>
  <c r="WY22" i="4"/>
  <c r="WZ22" i="4"/>
  <c r="XA22" i="4"/>
  <c r="XM22" i="4" s="1"/>
  <c r="XB22" i="4"/>
  <c r="XN22" i="4" s="1"/>
  <c r="XC22" i="4"/>
  <c r="XD22" i="4"/>
  <c r="XE22" i="4"/>
  <c r="XF22" i="4"/>
  <c r="XQ22" i="4" s="1"/>
  <c r="XG22" i="4"/>
  <c r="XR22" i="4" s="1"/>
  <c r="XH22" i="4"/>
  <c r="WT17" i="4"/>
  <c r="WU17" i="4"/>
  <c r="WV17" i="4"/>
  <c r="XJ17" i="4" s="1"/>
  <c r="WW17" i="4"/>
  <c r="XK17" i="4" s="1"/>
  <c r="WX17" i="4"/>
  <c r="WY17" i="4"/>
  <c r="WZ17" i="4"/>
  <c r="XA17" i="4"/>
  <c r="XM17" i="4" s="1"/>
  <c r="XB17" i="4"/>
  <c r="XN17" i="4" s="1"/>
  <c r="XC17" i="4"/>
  <c r="XD17" i="4"/>
  <c r="XE17" i="4"/>
  <c r="XF17" i="4"/>
  <c r="XQ17" i="4" s="1"/>
  <c r="XG17" i="4"/>
  <c r="XR17" i="4" s="1"/>
  <c r="XH17" i="4"/>
  <c r="WT18" i="4"/>
  <c r="WU18" i="4"/>
  <c r="WV18" i="4"/>
  <c r="XJ18" i="4" s="1"/>
  <c r="WW18" i="4"/>
  <c r="XK18" i="4" s="1"/>
  <c r="WX18" i="4"/>
  <c r="WY18" i="4"/>
  <c r="WZ18" i="4"/>
  <c r="XA18" i="4"/>
  <c r="XM18" i="4" s="1"/>
  <c r="XB18" i="4"/>
  <c r="XN18" i="4" s="1"/>
  <c r="XC18" i="4"/>
  <c r="XD18" i="4"/>
  <c r="XE18" i="4"/>
  <c r="XF18" i="4"/>
  <c r="XQ18" i="4" s="1"/>
  <c r="XG18" i="4"/>
  <c r="XR18" i="4" s="1"/>
  <c r="XH18" i="4"/>
  <c r="WT11" i="4"/>
  <c r="WU11" i="4"/>
  <c r="WV11" i="4"/>
  <c r="XJ11" i="4" s="1"/>
  <c r="WW11" i="4"/>
  <c r="XK11" i="4" s="1"/>
  <c r="WX11" i="4"/>
  <c r="WY11" i="4"/>
  <c r="WZ11" i="4"/>
  <c r="XA11" i="4"/>
  <c r="XM11" i="4" s="1"/>
  <c r="XB11" i="4"/>
  <c r="XN11" i="4" s="1"/>
  <c r="XC11" i="4"/>
  <c r="XD11" i="4"/>
  <c r="XE11" i="4"/>
  <c r="XF11" i="4"/>
  <c r="XQ11" i="4" s="1"/>
  <c r="XG11" i="4"/>
  <c r="XR11" i="4" s="1"/>
  <c r="XH11" i="4"/>
  <c r="WT21" i="4"/>
  <c r="WU21" i="4"/>
  <c r="WV21" i="4"/>
  <c r="XJ21" i="4" s="1"/>
  <c r="WW21" i="4"/>
  <c r="XK21" i="4" s="1"/>
  <c r="WX21" i="4"/>
  <c r="WY21" i="4"/>
  <c r="WZ21" i="4"/>
  <c r="XA21" i="4"/>
  <c r="XM21" i="4" s="1"/>
  <c r="XB21" i="4"/>
  <c r="XN21" i="4" s="1"/>
  <c r="XC21" i="4"/>
  <c r="XD21" i="4"/>
  <c r="XE21" i="4"/>
  <c r="XF21" i="4"/>
  <c r="XQ21" i="4" s="1"/>
  <c r="XG21" i="4"/>
  <c r="XR21" i="4" s="1"/>
  <c r="XH21" i="4"/>
  <c r="WT23" i="4"/>
  <c r="WU23" i="4"/>
  <c r="WV23" i="4"/>
  <c r="XJ23" i="4" s="1"/>
  <c r="WW23" i="4"/>
  <c r="XK23" i="4" s="1"/>
  <c r="WX23" i="4"/>
  <c r="WY23" i="4"/>
  <c r="WZ23" i="4"/>
  <c r="XA23" i="4"/>
  <c r="XM23" i="4" s="1"/>
  <c r="XB23" i="4"/>
  <c r="XN23" i="4" s="1"/>
  <c r="XC23" i="4"/>
  <c r="XD23" i="4"/>
  <c r="XE23" i="4"/>
  <c r="XF23" i="4"/>
  <c r="XQ23" i="4" s="1"/>
  <c r="XG23" i="4"/>
  <c r="XR23" i="4" s="1"/>
  <c r="XH23" i="4"/>
  <c r="WT24" i="4"/>
  <c r="WU24" i="4"/>
  <c r="WV24" i="4"/>
  <c r="XJ24" i="4" s="1"/>
  <c r="WW24" i="4"/>
  <c r="XK24" i="4" s="1"/>
  <c r="WX24" i="4"/>
  <c r="WY24" i="4"/>
  <c r="WZ24" i="4"/>
  <c r="XA24" i="4"/>
  <c r="XM24" i="4" s="1"/>
  <c r="XB24" i="4"/>
  <c r="XN24" i="4" s="1"/>
  <c r="XC24" i="4"/>
  <c r="XD24" i="4"/>
  <c r="XE24" i="4"/>
  <c r="XF24" i="4"/>
  <c r="XQ24" i="4" s="1"/>
  <c r="XG24" i="4"/>
  <c r="XR24" i="4" s="1"/>
  <c r="XH24" i="4"/>
  <c r="DC14" i="22" l="1"/>
  <c r="XP14" i="22"/>
  <c r="XT14" i="22" s="1"/>
  <c r="DB14" i="22"/>
  <c r="V14" i="22" s="1"/>
  <c r="O14" i="22"/>
  <c r="H14" i="22"/>
  <c r="XH8" i="24"/>
  <c r="XL8" i="24" s="1"/>
  <c r="M17" i="23"/>
  <c r="CT8" i="24"/>
  <c r="CU8" i="24"/>
  <c r="XH17" i="23"/>
  <c r="XL17" i="23" s="1"/>
  <c r="M8" i="24"/>
  <c r="H8" i="24"/>
  <c r="CT17" i="23"/>
  <c r="N17" i="23" s="1"/>
  <c r="O17" i="23" s="1"/>
  <c r="H17" i="23"/>
  <c r="F15" i="23"/>
  <c r="I15" i="23"/>
  <c r="G15" i="23"/>
  <c r="G9" i="24"/>
  <c r="F9" i="24"/>
  <c r="I9" i="24"/>
  <c r="TJ5" i="26"/>
  <c r="WD9" i="24"/>
  <c r="WK9" i="24" s="1"/>
  <c r="TJ11" i="26"/>
  <c r="WL21" i="4"/>
  <c r="WS21" i="4" s="1"/>
  <c r="TJ5" i="19"/>
  <c r="TJ12" i="19"/>
  <c r="WD4" i="24"/>
  <c r="WK4" i="24" s="1"/>
  <c r="WD6" i="24"/>
  <c r="WK6" i="24" s="1"/>
  <c r="WD7" i="24"/>
  <c r="WK7" i="24" s="1"/>
  <c r="CS9" i="24"/>
  <c r="WD5" i="23"/>
  <c r="WK5" i="23" s="1"/>
  <c r="WD7" i="23"/>
  <c r="WK7" i="23" s="1"/>
  <c r="WD9" i="23"/>
  <c r="WK9" i="23" s="1"/>
  <c r="WD11" i="23"/>
  <c r="WK11" i="23" s="1"/>
  <c r="WD14" i="23"/>
  <c r="WK14" i="23" s="1"/>
  <c r="WD18" i="23"/>
  <c r="WK18" i="23" s="1"/>
  <c r="TJ6" i="21"/>
  <c r="TJ13" i="21"/>
  <c r="TJ21" i="21"/>
  <c r="TJ12" i="21"/>
  <c r="TJ5" i="21"/>
  <c r="TJ8" i="21"/>
  <c r="TJ11" i="21"/>
  <c r="TJ19" i="21"/>
  <c r="TJ22" i="21"/>
  <c r="TJ22" i="19"/>
  <c r="TJ23" i="19"/>
  <c r="TJ25" i="19"/>
  <c r="TJ24" i="19"/>
  <c r="TJ7" i="19"/>
  <c r="TJ11" i="19"/>
  <c r="TJ13" i="19"/>
  <c r="TJ9" i="19"/>
  <c r="TJ20" i="19"/>
  <c r="TJ18" i="19"/>
  <c r="TJ15" i="19"/>
  <c r="TJ9" i="27"/>
  <c r="TJ7" i="27"/>
  <c r="TJ14" i="27"/>
  <c r="XD15" i="23"/>
  <c r="CS15" i="23"/>
  <c r="WD15" i="23"/>
  <c r="WK15" i="23" s="1"/>
  <c r="WL5" i="22"/>
  <c r="WS5" i="22" s="1"/>
  <c r="WL9" i="22"/>
  <c r="WS9" i="22" s="1"/>
  <c r="WL13" i="22"/>
  <c r="WS13" i="22" s="1"/>
  <c r="WL12" i="22"/>
  <c r="WS12" i="22" s="1"/>
  <c r="WL16" i="22"/>
  <c r="WS16" i="22" s="1"/>
  <c r="WL5" i="4"/>
  <c r="WS5" i="4" s="1"/>
  <c r="WL8" i="4"/>
  <c r="WS8" i="4" s="1"/>
  <c r="WL10" i="4"/>
  <c r="WS10" i="4" s="1"/>
  <c r="WL15" i="4"/>
  <c r="WS15" i="4" s="1"/>
  <c r="WL4" i="4"/>
  <c r="WS4" i="4" s="1"/>
  <c r="WL7" i="4"/>
  <c r="WS7" i="4" s="1"/>
  <c r="WL12" i="4"/>
  <c r="WS12" i="4" s="1"/>
  <c r="WL14" i="4"/>
  <c r="WS14" i="4" s="1"/>
  <c r="WL13" i="4"/>
  <c r="WS13" i="4" s="1"/>
  <c r="WL20" i="4"/>
  <c r="WS20" i="4" s="1"/>
  <c r="WL16" i="4"/>
  <c r="WS16" i="4" s="1"/>
  <c r="WL17" i="4"/>
  <c r="WS17" i="4" s="1"/>
  <c r="WL11" i="4"/>
  <c r="WS11" i="4" s="1"/>
  <c r="WL24" i="4"/>
  <c r="WS24" i="4" s="1"/>
  <c r="XS17" i="4"/>
  <c r="XS11" i="4"/>
  <c r="XL14" i="4"/>
  <c r="XS12" i="4"/>
  <c r="XK9" i="24"/>
  <c r="XG9" i="24"/>
  <c r="L9" i="24"/>
  <c r="CU9" i="24" s="1"/>
  <c r="J9" i="24"/>
  <c r="K9" i="24" s="1"/>
  <c r="XD9" i="24"/>
  <c r="XG15" i="23"/>
  <c r="L15" i="23"/>
  <c r="M15" i="23" s="1"/>
  <c r="XK15" i="23"/>
  <c r="J15" i="23"/>
  <c r="K15" i="23" s="1"/>
  <c r="WD4" i="23"/>
  <c r="WK4" i="23" s="1"/>
  <c r="TJ4" i="21"/>
  <c r="TJ16" i="21"/>
  <c r="TJ10" i="21"/>
  <c r="TJ15" i="21"/>
  <c r="TJ14" i="21"/>
  <c r="TJ9" i="21"/>
  <c r="TJ7" i="21"/>
  <c r="TJ20" i="21"/>
  <c r="TJ18" i="21"/>
  <c r="TJ4" i="19"/>
  <c r="TJ8" i="19"/>
  <c r="TJ16" i="19"/>
  <c r="TJ21" i="19"/>
  <c r="TJ26" i="19"/>
  <c r="TJ6" i="19"/>
  <c r="TJ10" i="19"/>
  <c r="TJ14" i="19"/>
  <c r="TJ17" i="19"/>
  <c r="TJ27" i="19"/>
  <c r="TJ19" i="19"/>
  <c r="TJ13" i="27"/>
  <c r="TJ10" i="27"/>
  <c r="TJ16" i="27"/>
  <c r="TJ5" i="27"/>
  <c r="TJ11" i="27"/>
  <c r="TJ6" i="27"/>
  <c r="TJ4" i="27"/>
  <c r="TJ12" i="27"/>
  <c r="TJ15" i="27"/>
  <c r="TJ6" i="26"/>
  <c r="TJ7" i="26"/>
  <c r="TJ8" i="26"/>
  <c r="TJ4" i="26"/>
  <c r="TJ9" i="26"/>
  <c r="WD10" i="24"/>
  <c r="WK10" i="24" s="1"/>
  <c r="WD14" i="24"/>
  <c r="WK14" i="24" s="1"/>
  <c r="WD5" i="24"/>
  <c r="WK5" i="24" s="1"/>
  <c r="WD13" i="24"/>
  <c r="WK13" i="24" s="1"/>
  <c r="WD15" i="24"/>
  <c r="WK15" i="24" s="1"/>
  <c r="WD12" i="24"/>
  <c r="WK12" i="24" s="1"/>
  <c r="WD11" i="24"/>
  <c r="WK11" i="24" s="1"/>
  <c r="WD8" i="23"/>
  <c r="WK8" i="23" s="1"/>
  <c r="WD12" i="23"/>
  <c r="WK12" i="23" s="1"/>
  <c r="WD16" i="23"/>
  <c r="WK16" i="23" s="1"/>
  <c r="WD6" i="23"/>
  <c r="WK6" i="23" s="1"/>
  <c r="WD10" i="23"/>
  <c r="WK10" i="23" s="1"/>
  <c r="WD13" i="23"/>
  <c r="WK13" i="23" s="1"/>
  <c r="WL8" i="22"/>
  <c r="WS8" i="22" s="1"/>
  <c r="WL11" i="22"/>
  <c r="WS11" i="22" s="1"/>
  <c r="WL10" i="22"/>
  <c r="WS10" i="22" s="1"/>
  <c r="WL6" i="22"/>
  <c r="WS6" i="22" s="1"/>
  <c r="WL4" i="22"/>
  <c r="WS4" i="22" s="1"/>
  <c r="WL7" i="22"/>
  <c r="WS7" i="22" s="1"/>
  <c r="WL15" i="22"/>
  <c r="WS15" i="22" s="1"/>
  <c r="WL17" i="22"/>
  <c r="WS17" i="22" s="1"/>
  <c r="XS9" i="4"/>
  <c r="XL20" i="4"/>
  <c r="XL7" i="4"/>
  <c r="XO24" i="4"/>
  <c r="XL17" i="4"/>
  <c r="XO17" i="4"/>
  <c r="WL18" i="4"/>
  <c r="WS18" i="4" s="1"/>
  <c r="XO18" i="4"/>
  <c r="XL15" i="4"/>
  <c r="XO7" i="4"/>
  <c r="XO22" i="4"/>
  <c r="XL12" i="4"/>
  <c r="XS23" i="4"/>
  <c r="XO21" i="4"/>
  <c r="XL18" i="4"/>
  <c r="XS15" i="4"/>
  <c r="XO20" i="4"/>
  <c r="XS6" i="4"/>
  <c r="XO4" i="4"/>
  <c r="XL5" i="4"/>
  <c r="XO11" i="4"/>
  <c r="XS16" i="4"/>
  <c r="XL16" i="4"/>
  <c r="XO15" i="4"/>
  <c r="XS10" i="4"/>
  <c r="XO14" i="4"/>
  <c r="XL4" i="4"/>
  <c r="WL23" i="4"/>
  <c r="WS23" i="4" s="1"/>
  <c r="XS13" i="4"/>
  <c r="XO10" i="4"/>
  <c r="WL6" i="4"/>
  <c r="WS6" i="4" s="1"/>
  <c r="XS21" i="4"/>
  <c r="XO16" i="4"/>
  <c r="XS20" i="4"/>
  <c r="XO19" i="4"/>
  <c r="XL10" i="4"/>
  <c r="XS8" i="4"/>
  <c r="WL9" i="4"/>
  <c r="WS9" i="4" s="1"/>
  <c r="XO13" i="4"/>
  <c r="XS14" i="4"/>
  <c r="XO9" i="4"/>
  <c r="XO8" i="4"/>
  <c r="WL19" i="4"/>
  <c r="WS19" i="4" s="1"/>
  <c r="XS24" i="4"/>
  <c r="XO23" i="4"/>
  <c r="XS22" i="4"/>
  <c r="XL8" i="4"/>
  <c r="XS7" i="4"/>
  <c r="XO6" i="4"/>
  <c r="WL22" i="4"/>
  <c r="WS22" i="4" s="1"/>
  <c r="XL23" i="4"/>
  <c r="XS18" i="4"/>
  <c r="XS19" i="4"/>
  <c r="XO12" i="4"/>
  <c r="XS5" i="4"/>
  <c r="TG4" i="21"/>
  <c r="TG5" i="21"/>
  <c r="TG6" i="21"/>
  <c r="TG9" i="21"/>
  <c r="TG16" i="21"/>
  <c r="TG8" i="21"/>
  <c r="TG13" i="21"/>
  <c r="TG7" i="21"/>
  <c r="TG10" i="21"/>
  <c r="TG11" i="21"/>
  <c r="TG21" i="21"/>
  <c r="TG20" i="21"/>
  <c r="TG15" i="21"/>
  <c r="TG19" i="21"/>
  <c r="TG12" i="21"/>
  <c r="TG18" i="21"/>
  <c r="TG14" i="21"/>
  <c r="TG22" i="21"/>
  <c r="TG4" i="19"/>
  <c r="TG7" i="19"/>
  <c r="TG5" i="19"/>
  <c r="TG6" i="19"/>
  <c r="TG8" i="19"/>
  <c r="TG11" i="19"/>
  <c r="TG12" i="19"/>
  <c r="TG10" i="19"/>
  <c r="TG16" i="19"/>
  <c r="TG13" i="19"/>
  <c r="TG22" i="19"/>
  <c r="TG14" i="19"/>
  <c r="TG9" i="19"/>
  <c r="TG17" i="19"/>
  <c r="TG20" i="19"/>
  <c r="TG23" i="19"/>
  <c r="TG27" i="19"/>
  <c r="TG21" i="19"/>
  <c r="TG18" i="19"/>
  <c r="TG25" i="19"/>
  <c r="TG19" i="19"/>
  <c r="TG26" i="19"/>
  <c r="TG15" i="19"/>
  <c r="TG24" i="19"/>
  <c r="TG6" i="27"/>
  <c r="TG5" i="27"/>
  <c r="TG4" i="27"/>
  <c r="TG9" i="27"/>
  <c r="TG13" i="27"/>
  <c r="TG12" i="27"/>
  <c r="TG7" i="27"/>
  <c r="TG10" i="27"/>
  <c r="TG11" i="27"/>
  <c r="TG15" i="27"/>
  <c r="TG14" i="27"/>
  <c r="TG16" i="27"/>
  <c r="TG4" i="26"/>
  <c r="TG7" i="26"/>
  <c r="TG5" i="26"/>
  <c r="TG6" i="26"/>
  <c r="TG9" i="26"/>
  <c r="TG8" i="26"/>
  <c r="TG11" i="26"/>
  <c r="XL6" i="4"/>
  <c r="XL21" i="4"/>
  <c r="XL22" i="4"/>
  <c r="XL19" i="4"/>
  <c r="XL9" i="4"/>
  <c r="XO5" i="4"/>
  <c r="XL24" i="4"/>
  <c r="XL11" i="4"/>
  <c r="XL13" i="4"/>
  <c r="XK16" i="4"/>
  <c r="XS4" i="4"/>
  <c r="CV24" i="19"/>
  <c r="CW24" i="19"/>
  <c r="CX24" i="19"/>
  <c r="CY24" i="19"/>
  <c r="DA24" i="19"/>
  <c r="DB24" i="19"/>
  <c r="TK24" i="19"/>
  <c r="TL24" i="19"/>
  <c r="TM24" i="19"/>
  <c r="TN24" i="19"/>
  <c r="TO24" i="19"/>
  <c r="TP24" i="19"/>
  <c r="TQ24" i="19"/>
  <c r="TR24" i="19"/>
  <c r="TS24" i="19"/>
  <c r="TT24" i="19"/>
  <c r="TU24" i="19"/>
  <c r="TV24" i="19"/>
  <c r="TW24" i="19"/>
  <c r="TX24" i="19"/>
  <c r="TY24" i="19"/>
  <c r="TZ24" i="19"/>
  <c r="UA24" i="19"/>
  <c r="UB24" i="19"/>
  <c r="UC24" i="19"/>
  <c r="UD24" i="19"/>
  <c r="CV19" i="21"/>
  <c r="CW19" i="21"/>
  <c r="CX19" i="21"/>
  <c r="CY19" i="21"/>
  <c r="DA19" i="21"/>
  <c r="DB19" i="21"/>
  <c r="TK19" i="21"/>
  <c r="TL19" i="21"/>
  <c r="TM19" i="21"/>
  <c r="TN19" i="21"/>
  <c r="TO19" i="21"/>
  <c r="TP19" i="21"/>
  <c r="TQ19" i="21"/>
  <c r="TR19" i="21"/>
  <c r="TS19" i="21"/>
  <c r="TT19" i="21"/>
  <c r="TU19" i="21"/>
  <c r="TV19" i="21"/>
  <c r="TW19" i="21"/>
  <c r="TX19" i="21"/>
  <c r="TY19" i="21"/>
  <c r="TZ19" i="21"/>
  <c r="UA19" i="21"/>
  <c r="UB19" i="21"/>
  <c r="UC19" i="21"/>
  <c r="UD19" i="21"/>
  <c r="E14" i="22" l="1"/>
  <c r="W14" i="22"/>
  <c r="X14" i="22"/>
  <c r="G24" i="19"/>
  <c r="XP23" i="4"/>
  <c r="XT23" i="4" s="1"/>
  <c r="XP10" i="4"/>
  <c r="XT10" i="4" s="1"/>
  <c r="XP22" i="4"/>
  <c r="XT22" i="4" s="1"/>
  <c r="N8" i="24"/>
  <c r="O8" i="24" s="1"/>
  <c r="F19" i="21"/>
  <c r="G19" i="21"/>
  <c r="F24" i="19"/>
  <c r="H15" i="23"/>
  <c r="A15" i="23" s="1" a="1"/>
  <c r="A15" i="23" s="1"/>
  <c r="A17" i="23" a="1"/>
  <c r="A17" i="23" s="1"/>
  <c r="E17" i="23"/>
  <c r="P17" i="23"/>
  <c r="H9" i="24"/>
  <c r="XP8" i="4"/>
  <c r="XT8" i="4" s="1"/>
  <c r="XP14" i="4"/>
  <c r="XT14" i="4" s="1"/>
  <c r="XH15" i="23"/>
  <c r="XL15" i="23" s="1"/>
  <c r="XH9" i="24"/>
  <c r="XL9" i="24" s="1"/>
  <c r="M9" i="24"/>
  <c r="CU15" i="23"/>
  <c r="XP17" i="4"/>
  <c r="XT17" i="4" s="1"/>
  <c r="XP19" i="4"/>
  <c r="XT19" i="4" s="1"/>
  <c r="XP18" i="4"/>
  <c r="XT18" i="4" s="1"/>
  <c r="XP24" i="4"/>
  <c r="XT24" i="4" s="1"/>
  <c r="XP20" i="4"/>
  <c r="XT20" i="4" s="1"/>
  <c r="XP21" i="4"/>
  <c r="XT21" i="4" s="1"/>
  <c r="XP9" i="4"/>
  <c r="XT9" i="4" s="1"/>
  <c r="XP15" i="4"/>
  <c r="XT15" i="4" s="1"/>
  <c r="CT9" i="24"/>
  <c r="N9" i="24" s="1"/>
  <c r="E9" i="24" s="1"/>
  <c r="CT15" i="23"/>
  <c r="XP12" i="4"/>
  <c r="XT12" i="4" s="1"/>
  <c r="XP13" i="4"/>
  <c r="XT13" i="4" s="1"/>
  <c r="XP7" i="4"/>
  <c r="XT7" i="4" s="1"/>
  <c r="XP5" i="4"/>
  <c r="XT5" i="4" s="1"/>
  <c r="XP6" i="4"/>
  <c r="XT6" i="4" s="1"/>
  <c r="XP11" i="4"/>
  <c r="XT11" i="4" s="1"/>
  <c r="XP16" i="4"/>
  <c r="XT16" i="4" s="1"/>
  <c r="XP4" i="4"/>
  <c r="XT4" i="4" s="1"/>
  <c r="P24" i="19"/>
  <c r="DF24" i="19" s="1"/>
  <c r="UF24" i="19"/>
  <c r="DC24" i="19"/>
  <c r="UL24" i="19"/>
  <c r="UK24" i="19"/>
  <c r="CZ24" i="19"/>
  <c r="UH24" i="19"/>
  <c r="UG24" i="19"/>
  <c r="N24" i="19"/>
  <c r="DE24" i="19" s="1"/>
  <c r="L24" i="19"/>
  <c r="J24" i="19"/>
  <c r="K24" i="19" s="1"/>
  <c r="UI24" i="19"/>
  <c r="UF19" i="21"/>
  <c r="UK19" i="21"/>
  <c r="CZ19" i="21"/>
  <c r="DC19" i="21"/>
  <c r="UI19" i="21"/>
  <c r="UH19" i="21"/>
  <c r="UG19" i="21"/>
  <c r="UL19" i="21"/>
  <c r="N19" i="21"/>
  <c r="L19" i="21"/>
  <c r="J19" i="21"/>
  <c r="P19" i="21"/>
  <c r="DF19" i="21" s="1"/>
  <c r="H24" i="19" l="1"/>
  <c r="P8" i="24"/>
  <c r="E8" i="24"/>
  <c r="I19" i="21"/>
  <c r="H19" i="21" s="1"/>
  <c r="A19" i="21" s="1" a="1"/>
  <c r="A19" i="21" s="1"/>
  <c r="I24" i="19"/>
  <c r="M24" i="19"/>
  <c r="Q24" i="19"/>
  <c r="N15" i="23"/>
  <c r="E15" i="23" s="1"/>
  <c r="P9" i="24"/>
  <c r="O9" i="24"/>
  <c r="O19" i="21"/>
  <c r="DE19" i="21"/>
  <c r="DD19" i="21"/>
  <c r="DD24" i="19"/>
  <c r="R24" i="19" s="1"/>
  <c r="T24" i="19" s="1"/>
  <c r="UJ24" i="19"/>
  <c r="UM24" i="19"/>
  <c r="O24" i="19"/>
  <c r="UJ19" i="21"/>
  <c r="UM19" i="21"/>
  <c r="K19" i="21"/>
  <c r="M19" i="21" s="1"/>
  <c r="Q19" i="21"/>
  <c r="P15" i="23" l="1"/>
  <c r="O15" i="23"/>
  <c r="E24" i="19"/>
  <c r="S24" i="19"/>
  <c r="R19" i="21"/>
  <c r="T19" i="21" s="1"/>
  <c r="S19" i="21" l="1"/>
  <c r="E19" i="21"/>
  <c r="CV4" i="27" l="1"/>
  <c r="CW4" i="27"/>
  <c r="CX4" i="27"/>
  <c r="CY4" i="27"/>
  <c r="DA4" i="27"/>
  <c r="DB4" i="27"/>
  <c r="TK4" i="27"/>
  <c r="TL4" i="27"/>
  <c r="TM4" i="27"/>
  <c r="TN4" i="27"/>
  <c r="TO4" i="27"/>
  <c r="TP4" i="27"/>
  <c r="TQ4" i="27"/>
  <c r="TR4" i="27"/>
  <c r="TS4" i="27"/>
  <c r="TT4" i="27"/>
  <c r="TU4" i="27"/>
  <c r="TV4" i="27"/>
  <c r="TW4" i="27"/>
  <c r="TX4" i="27"/>
  <c r="TY4" i="27"/>
  <c r="TZ4" i="27"/>
  <c r="UA4" i="27"/>
  <c r="UB4" i="27"/>
  <c r="UC4" i="27"/>
  <c r="UD4" i="27"/>
  <c r="CI8" i="23"/>
  <c r="CJ8" i="23"/>
  <c r="CK8" i="23"/>
  <c r="CL8" i="23"/>
  <c r="CM8" i="23"/>
  <c r="CN8" i="23"/>
  <c r="CP8" i="23"/>
  <c r="CQ8" i="23"/>
  <c r="CR8" i="23"/>
  <c r="WL8" i="23"/>
  <c r="WM8" i="23"/>
  <c r="WN8" i="23"/>
  <c r="XB8" i="23" s="1"/>
  <c r="WO8" i="23"/>
  <c r="XC8" i="23" s="1"/>
  <c r="WP8" i="23"/>
  <c r="WQ8" i="23"/>
  <c r="WR8" i="23"/>
  <c r="WS8" i="23"/>
  <c r="XE8" i="23" s="1"/>
  <c r="WT8" i="23"/>
  <c r="XF8" i="23" s="1"/>
  <c r="WU8" i="23"/>
  <c r="WV8" i="23"/>
  <c r="WW8" i="23"/>
  <c r="WX8" i="23"/>
  <c r="XI8" i="23" s="1"/>
  <c r="WY8" i="23"/>
  <c r="XJ8" i="23" s="1"/>
  <c r="WZ8" i="23"/>
  <c r="CI18" i="23"/>
  <c r="CJ18" i="23"/>
  <c r="CK18" i="23"/>
  <c r="CL18" i="23"/>
  <c r="CM18" i="23"/>
  <c r="CN18" i="23"/>
  <c r="CP18" i="23"/>
  <c r="CQ18" i="23"/>
  <c r="CR18" i="23"/>
  <c r="WL18" i="23"/>
  <c r="WM18" i="23"/>
  <c r="WN18" i="23"/>
  <c r="XB18" i="23" s="1"/>
  <c r="WO18" i="23"/>
  <c r="XC18" i="23" s="1"/>
  <c r="WP18" i="23"/>
  <c r="WQ18" i="23"/>
  <c r="WR18" i="23"/>
  <c r="WS18" i="23"/>
  <c r="XE18" i="23" s="1"/>
  <c r="WT18" i="23"/>
  <c r="XF18" i="23" s="1"/>
  <c r="WU18" i="23"/>
  <c r="WV18" i="23"/>
  <c r="WW18" i="23"/>
  <c r="WX18" i="23"/>
  <c r="XI18" i="23" s="1"/>
  <c r="WY18" i="23"/>
  <c r="XJ18" i="23" s="1"/>
  <c r="WZ18" i="23"/>
  <c r="CI13" i="24"/>
  <c r="CJ13" i="24"/>
  <c r="CK13" i="24"/>
  <c r="CO13" i="24" s="1"/>
  <c r="CL13" i="24"/>
  <c r="CM13" i="24"/>
  <c r="CN13" i="24"/>
  <c r="CP13" i="24"/>
  <c r="CQ13" i="24"/>
  <c r="CR13" i="24"/>
  <c r="WL13" i="24"/>
  <c r="WM13" i="24"/>
  <c r="WN13" i="24"/>
  <c r="XB13" i="24" s="1"/>
  <c r="WO13" i="24"/>
  <c r="XC13" i="24" s="1"/>
  <c r="WP13" i="24"/>
  <c r="WQ13" i="24"/>
  <c r="WR13" i="24"/>
  <c r="WS13" i="24"/>
  <c r="XE13" i="24" s="1"/>
  <c r="WT13" i="24"/>
  <c r="XF13" i="24" s="1"/>
  <c r="WU13" i="24"/>
  <c r="WV13" i="24"/>
  <c r="WW13" i="24"/>
  <c r="WX13" i="24"/>
  <c r="XI13" i="24" s="1"/>
  <c r="WY13" i="24"/>
  <c r="XJ13" i="24" s="1"/>
  <c r="WZ13" i="24"/>
  <c r="CI13" i="23"/>
  <c r="CJ13" i="23"/>
  <c r="CK13" i="23"/>
  <c r="CO13" i="23" s="1"/>
  <c r="CL13" i="23"/>
  <c r="CM13" i="23"/>
  <c r="CN13" i="23"/>
  <c r="CP13" i="23"/>
  <c r="CQ13" i="23"/>
  <c r="CR13" i="23"/>
  <c r="WL13" i="23"/>
  <c r="WM13" i="23"/>
  <c r="WN13" i="23"/>
  <c r="XB13" i="23" s="1"/>
  <c r="WO13" i="23"/>
  <c r="XC13" i="23" s="1"/>
  <c r="WP13" i="23"/>
  <c r="WQ13" i="23"/>
  <c r="WR13" i="23"/>
  <c r="WS13" i="23"/>
  <c r="XE13" i="23" s="1"/>
  <c r="WT13" i="23"/>
  <c r="XF13" i="23" s="1"/>
  <c r="WU13" i="23"/>
  <c r="WV13" i="23"/>
  <c r="WW13" i="23"/>
  <c r="WX13" i="23"/>
  <c r="XI13" i="23" s="1"/>
  <c r="WY13" i="23"/>
  <c r="XJ13" i="23" s="1"/>
  <c r="WZ13" i="23"/>
  <c r="G4" i="27" l="1"/>
  <c r="F4" i="27"/>
  <c r="F8" i="23"/>
  <c r="I8" i="23"/>
  <c r="CO18" i="23"/>
  <c r="CS18" i="23" s="1"/>
  <c r="G18" i="23"/>
  <c r="F13" i="23"/>
  <c r="I13" i="23"/>
  <c r="I18" i="23"/>
  <c r="F18" i="23"/>
  <c r="G13" i="23"/>
  <c r="G8" i="23"/>
  <c r="F13" i="24"/>
  <c r="I13" i="24"/>
  <c r="G13" i="24"/>
  <c r="CS13" i="24"/>
  <c r="XD8" i="23"/>
  <c r="XG8" i="23"/>
  <c r="CO8" i="23"/>
  <c r="CS8" i="23" s="1"/>
  <c r="UK4" i="27"/>
  <c r="UF4" i="27"/>
  <c r="DC4" i="27"/>
  <c r="UL4" i="27"/>
  <c r="CZ4" i="27"/>
  <c r="P4" i="27"/>
  <c r="UG4" i="27"/>
  <c r="UH4" i="27"/>
  <c r="N4" i="27"/>
  <c r="DE4" i="27" s="1"/>
  <c r="L4" i="27"/>
  <c r="J4" i="27"/>
  <c r="K4" i="27" s="1"/>
  <c r="UI4" i="27"/>
  <c r="J18" i="23"/>
  <c r="K18" i="23" s="1"/>
  <c r="XK18" i="23"/>
  <c r="J8" i="23"/>
  <c r="K8" i="23" s="1"/>
  <c r="L8" i="23"/>
  <c r="XG18" i="23"/>
  <c r="XK8" i="23"/>
  <c r="XD18" i="23"/>
  <c r="L18" i="23"/>
  <c r="XD13" i="24"/>
  <c r="CS13" i="23"/>
  <c r="L13" i="24"/>
  <c r="XK13" i="24"/>
  <c r="XG13" i="24"/>
  <c r="J13" i="24"/>
  <c r="K13" i="24" s="1"/>
  <c r="XK13" i="23"/>
  <c r="XG13" i="23"/>
  <c r="L13" i="23"/>
  <c r="J13" i="23"/>
  <c r="K13" i="23" s="1"/>
  <c r="XD13" i="23"/>
  <c r="I4" i="27" l="1"/>
  <c r="H4" i="27" s="1"/>
  <c r="M4" i="27"/>
  <c r="H8" i="23"/>
  <c r="A8" i="23" s="1" a="1"/>
  <c r="A8" i="23" s="1"/>
  <c r="H18" i="23"/>
  <c r="A18" i="23" s="1" a="1"/>
  <c r="A18" i="23" s="1"/>
  <c r="H13" i="23"/>
  <c r="A13" i="23" s="1" a="1"/>
  <c r="A13" i="23" s="1"/>
  <c r="H13" i="24"/>
  <c r="DD4" i="27"/>
  <c r="Q4" i="27"/>
  <c r="DF4" i="27"/>
  <c r="M13" i="24"/>
  <c r="CT13" i="24"/>
  <c r="CU13" i="24"/>
  <c r="M13" i="23"/>
  <c r="CU13" i="23"/>
  <c r="CT13" i="23"/>
  <c r="CU8" i="23"/>
  <c r="CT8" i="23"/>
  <c r="CU18" i="23"/>
  <c r="CT18" i="23"/>
  <c r="XH8" i="23"/>
  <c r="XL8" i="23" s="1"/>
  <c r="XH18" i="23"/>
  <c r="XL18" i="23" s="1"/>
  <c r="UJ4" i="27"/>
  <c r="O4" i="27"/>
  <c r="UM4" i="27"/>
  <c r="M8" i="23"/>
  <c r="M18" i="23"/>
  <c r="XH13" i="24"/>
  <c r="XL13" i="24" s="1"/>
  <c r="XH13" i="23"/>
  <c r="XL13" i="23" s="1"/>
  <c r="R4" i="27" l="1"/>
  <c r="T4" i="27" s="1"/>
  <c r="N8" i="23"/>
  <c r="P8" i="23" s="1"/>
  <c r="N18" i="23"/>
  <c r="P18" i="23" s="1"/>
  <c r="N13" i="23"/>
  <c r="N13" i="24"/>
  <c r="E8" i="23" l="1"/>
  <c r="S4" i="27"/>
  <c r="E4" i="27"/>
  <c r="O8" i="23"/>
  <c r="E13" i="24"/>
  <c r="P13" i="24"/>
  <c r="E13" i="23"/>
  <c r="P13" i="23"/>
  <c r="O18" i="23"/>
  <c r="E18" i="23"/>
  <c r="O13" i="23"/>
  <c r="O13" i="24"/>
  <c r="CV18" i="19"/>
  <c r="CW18" i="19"/>
  <c r="CX18" i="19"/>
  <c r="CY18" i="19"/>
  <c r="DA18" i="19"/>
  <c r="DB18" i="19"/>
  <c r="TK18" i="19"/>
  <c r="TL18" i="19"/>
  <c r="TM18" i="19"/>
  <c r="TN18" i="19"/>
  <c r="TO18" i="19"/>
  <c r="TP18" i="19"/>
  <c r="TQ18" i="19"/>
  <c r="TR18" i="19"/>
  <c r="TS18" i="19"/>
  <c r="TT18" i="19"/>
  <c r="TU18" i="19"/>
  <c r="TV18" i="19"/>
  <c r="TW18" i="19"/>
  <c r="TX18" i="19"/>
  <c r="TY18" i="19"/>
  <c r="TZ18" i="19"/>
  <c r="UA18" i="19"/>
  <c r="UB18" i="19"/>
  <c r="UC18" i="19"/>
  <c r="UD18" i="19"/>
  <c r="G18" i="19" l="1"/>
  <c r="F18" i="19"/>
  <c r="UK18" i="19"/>
  <c r="UH18" i="19"/>
  <c r="P18" i="19"/>
  <c r="DF18" i="19" s="1"/>
  <c r="UF18" i="19"/>
  <c r="CZ18" i="19"/>
  <c r="DC18" i="19"/>
  <c r="UG18" i="19"/>
  <c r="UL18" i="19"/>
  <c r="N18" i="19"/>
  <c r="DE18" i="19" s="1"/>
  <c r="L18" i="19"/>
  <c r="UI18" i="19"/>
  <c r="J18" i="19"/>
  <c r="I18" i="19" l="1"/>
  <c r="H18" i="19" s="1"/>
  <c r="A18" i="19" s="1" a="1"/>
  <c r="A18" i="19" s="1"/>
  <c r="DD18" i="19"/>
  <c r="R18" i="19" s="1"/>
  <c r="T18" i="19" s="1"/>
  <c r="Q18" i="19"/>
  <c r="UJ18" i="19"/>
  <c r="O18" i="19"/>
  <c r="UM18" i="19"/>
  <c r="K18" i="19"/>
  <c r="M18" i="19" s="1"/>
  <c r="E18" i="19" l="1"/>
  <c r="S18" i="19"/>
  <c r="CV12" i="21" l="1"/>
  <c r="CW12" i="21"/>
  <c r="CX12" i="21"/>
  <c r="CY12" i="21"/>
  <c r="DA12" i="21"/>
  <c r="DB12" i="21"/>
  <c r="TK12" i="21"/>
  <c r="TL12" i="21"/>
  <c r="TM12" i="21"/>
  <c r="TN12" i="21"/>
  <c r="TO12" i="21"/>
  <c r="TP12" i="21"/>
  <c r="TQ12" i="21"/>
  <c r="TR12" i="21"/>
  <c r="TS12" i="21"/>
  <c r="TT12" i="21"/>
  <c r="TU12" i="21"/>
  <c r="TV12" i="21"/>
  <c r="TW12" i="21"/>
  <c r="TX12" i="21"/>
  <c r="TY12" i="21"/>
  <c r="TZ12" i="21"/>
  <c r="UA12" i="21"/>
  <c r="UB12" i="21"/>
  <c r="UC12" i="21"/>
  <c r="UD12" i="21"/>
  <c r="CV14" i="21"/>
  <c r="CW14" i="21"/>
  <c r="CX14" i="21"/>
  <c r="CY14" i="21"/>
  <c r="DA14" i="21"/>
  <c r="DB14" i="21"/>
  <c r="TK14" i="21"/>
  <c r="TL14" i="21"/>
  <c r="TM14" i="21"/>
  <c r="TN14" i="21"/>
  <c r="TO14" i="21"/>
  <c r="TP14" i="21"/>
  <c r="TQ14" i="21"/>
  <c r="TR14" i="21"/>
  <c r="TS14" i="21"/>
  <c r="TT14" i="21"/>
  <c r="TU14" i="21"/>
  <c r="TV14" i="21"/>
  <c r="TW14" i="21"/>
  <c r="TX14" i="21"/>
  <c r="TY14" i="21"/>
  <c r="TZ14" i="21"/>
  <c r="UA14" i="21"/>
  <c r="UB14" i="21"/>
  <c r="UC14" i="21"/>
  <c r="UD14" i="21"/>
  <c r="CV20" i="19"/>
  <c r="CW20" i="19"/>
  <c r="CX20" i="19"/>
  <c r="CY20" i="19"/>
  <c r="DA20" i="19"/>
  <c r="DB20" i="19"/>
  <c r="TK20" i="19"/>
  <c r="TL20" i="19"/>
  <c r="TM20" i="19"/>
  <c r="TN20" i="19"/>
  <c r="TO20" i="19"/>
  <c r="TP20" i="19"/>
  <c r="TQ20" i="19"/>
  <c r="TR20" i="19"/>
  <c r="TS20" i="19"/>
  <c r="TT20" i="19"/>
  <c r="TU20" i="19"/>
  <c r="TV20" i="19"/>
  <c r="TW20" i="19"/>
  <c r="TX20" i="19"/>
  <c r="TY20" i="19"/>
  <c r="TZ20" i="19"/>
  <c r="UA20" i="19"/>
  <c r="UB20" i="19"/>
  <c r="UC20" i="19"/>
  <c r="UD20" i="19"/>
  <c r="CV19" i="19"/>
  <c r="CW19" i="19"/>
  <c r="CX19" i="19"/>
  <c r="CY19" i="19"/>
  <c r="DA19" i="19"/>
  <c r="DB19" i="19"/>
  <c r="TK19" i="19"/>
  <c r="TL19" i="19"/>
  <c r="TM19" i="19"/>
  <c r="TN19" i="19"/>
  <c r="TO19" i="19"/>
  <c r="TP19" i="19"/>
  <c r="TQ19" i="19"/>
  <c r="TR19" i="19"/>
  <c r="TS19" i="19"/>
  <c r="TT19" i="19"/>
  <c r="TU19" i="19"/>
  <c r="TV19" i="19"/>
  <c r="TW19" i="19"/>
  <c r="TX19" i="19"/>
  <c r="TY19" i="19"/>
  <c r="TZ19" i="19"/>
  <c r="UA19" i="19"/>
  <c r="UB19" i="19"/>
  <c r="UC19" i="19"/>
  <c r="UD19" i="19"/>
  <c r="CV25" i="19"/>
  <c r="CW25" i="19"/>
  <c r="CX25" i="19"/>
  <c r="CY25" i="19"/>
  <c r="DA25" i="19"/>
  <c r="DB25" i="19"/>
  <c r="TK25" i="19"/>
  <c r="TL25" i="19"/>
  <c r="TM25" i="19"/>
  <c r="TN25" i="19"/>
  <c r="TO25" i="19"/>
  <c r="TP25" i="19"/>
  <c r="TQ25" i="19"/>
  <c r="TR25" i="19"/>
  <c r="TS25" i="19"/>
  <c r="TT25" i="19"/>
  <c r="TU25" i="19"/>
  <c r="TV25" i="19"/>
  <c r="TW25" i="19"/>
  <c r="TX25" i="19"/>
  <c r="TY25" i="19"/>
  <c r="TZ25" i="19"/>
  <c r="UA25" i="19"/>
  <c r="UB25" i="19"/>
  <c r="UC25" i="19"/>
  <c r="UD25" i="19"/>
  <c r="CV27" i="19"/>
  <c r="CW27" i="19"/>
  <c r="CX27" i="19"/>
  <c r="CY27" i="19"/>
  <c r="DA27" i="19"/>
  <c r="DB27" i="19"/>
  <c r="TK27" i="19"/>
  <c r="TL27" i="19"/>
  <c r="TM27" i="19"/>
  <c r="TN27" i="19"/>
  <c r="TO27" i="19"/>
  <c r="TP27" i="19"/>
  <c r="TQ27" i="19"/>
  <c r="TR27" i="19"/>
  <c r="TS27" i="19"/>
  <c r="TT27" i="19"/>
  <c r="TU27" i="19"/>
  <c r="TV27" i="19"/>
  <c r="TW27" i="19"/>
  <c r="TX27" i="19"/>
  <c r="TY27" i="19"/>
  <c r="TZ27" i="19"/>
  <c r="UA27" i="19"/>
  <c r="UB27" i="19"/>
  <c r="UC27" i="19"/>
  <c r="UD27" i="19"/>
  <c r="CV11" i="27"/>
  <c r="CW11" i="27"/>
  <c r="CX11" i="27"/>
  <c r="CY11" i="27"/>
  <c r="DA11" i="27"/>
  <c r="DB11" i="27"/>
  <c r="TK11" i="27"/>
  <c r="TL11" i="27"/>
  <c r="TM11" i="27"/>
  <c r="TN11" i="27"/>
  <c r="TO11" i="27"/>
  <c r="TP11" i="27"/>
  <c r="TQ11" i="27"/>
  <c r="TR11" i="27"/>
  <c r="TS11" i="27"/>
  <c r="TT11" i="27"/>
  <c r="TU11" i="27"/>
  <c r="TV11" i="27"/>
  <c r="TW11" i="27"/>
  <c r="TX11" i="27"/>
  <c r="TY11" i="27"/>
  <c r="TZ11" i="27"/>
  <c r="UA11" i="27"/>
  <c r="UB11" i="27"/>
  <c r="UC11" i="27"/>
  <c r="UD11" i="27"/>
  <c r="CV14" i="27"/>
  <c r="CW14" i="27"/>
  <c r="CX14" i="27"/>
  <c r="CY14" i="27"/>
  <c r="DA14" i="27"/>
  <c r="DB14" i="27"/>
  <c r="TK14" i="27"/>
  <c r="TL14" i="27"/>
  <c r="TM14" i="27"/>
  <c r="TN14" i="27"/>
  <c r="TO14" i="27"/>
  <c r="TP14" i="27"/>
  <c r="TQ14" i="27"/>
  <c r="TR14" i="27"/>
  <c r="TS14" i="27"/>
  <c r="TT14" i="27"/>
  <c r="TU14" i="27"/>
  <c r="TV14" i="27"/>
  <c r="TW14" i="27"/>
  <c r="TX14" i="27"/>
  <c r="TY14" i="27"/>
  <c r="TZ14" i="27"/>
  <c r="UA14" i="27"/>
  <c r="UB14" i="27"/>
  <c r="UC14" i="27"/>
  <c r="UD14" i="27"/>
  <c r="CV7" i="27"/>
  <c r="CW7" i="27"/>
  <c r="CX7" i="27"/>
  <c r="CY7" i="27"/>
  <c r="DA7" i="27"/>
  <c r="DB7" i="27"/>
  <c r="TK7" i="27"/>
  <c r="TL7" i="27"/>
  <c r="TM7" i="27"/>
  <c r="TN7" i="27"/>
  <c r="TO7" i="27"/>
  <c r="TP7" i="27"/>
  <c r="TQ7" i="27"/>
  <c r="TR7" i="27"/>
  <c r="TS7" i="27"/>
  <c r="TT7" i="27"/>
  <c r="TU7" i="27"/>
  <c r="TV7" i="27"/>
  <c r="TW7" i="27"/>
  <c r="TX7" i="27"/>
  <c r="TY7" i="27"/>
  <c r="TZ7" i="27"/>
  <c r="UA7" i="27"/>
  <c r="UB7" i="27"/>
  <c r="UC7" i="27"/>
  <c r="UD7" i="27"/>
  <c r="CI10" i="24"/>
  <c r="CJ10" i="24"/>
  <c r="CK10" i="24"/>
  <c r="CL10" i="24"/>
  <c r="CM10" i="24"/>
  <c r="CN10" i="24"/>
  <c r="CP10" i="24"/>
  <c r="CQ10" i="24"/>
  <c r="CR10" i="24"/>
  <c r="WL10" i="24"/>
  <c r="WM10" i="24"/>
  <c r="WN10" i="24"/>
  <c r="XB10" i="24" s="1"/>
  <c r="WO10" i="24"/>
  <c r="XC10" i="24" s="1"/>
  <c r="WP10" i="24"/>
  <c r="WQ10" i="24"/>
  <c r="WR10" i="24"/>
  <c r="WS10" i="24"/>
  <c r="XE10" i="24" s="1"/>
  <c r="WT10" i="24"/>
  <c r="XF10" i="24" s="1"/>
  <c r="WU10" i="24"/>
  <c r="WV10" i="24"/>
  <c r="WW10" i="24"/>
  <c r="WX10" i="24"/>
  <c r="XI10" i="24" s="1"/>
  <c r="WY10" i="24"/>
  <c r="XJ10" i="24" s="1"/>
  <c r="WZ10" i="24"/>
  <c r="CI11" i="24"/>
  <c r="CJ11" i="24"/>
  <c r="CK11" i="24"/>
  <c r="CL11" i="24"/>
  <c r="CM11" i="24"/>
  <c r="CN11" i="24"/>
  <c r="CP11" i="24"/>
  <c r="CQ11" i="24"/>
  <c r="CR11" i="24"/>
  <c r="WL11" i="24"/>
  <c r="WM11" i="24"/>
  <c r="WN11" i="24"/>
  <c r="XB11" i="24" s="1"/>
  <c r="WO11" i="24"/>
  <c r="XC11" i="24" s="1"/>
  <c r="WP11" i="24"/>
  <c r="WQ11" i="24"/>
  <c r="WR11" i="24"/>
  <c r="WS11" i="24"/>
  <c r="XE11" i="24" s="1"/>
  <c r="WT11" i="24"/>
  <c r="XF11" i="24" s="1"/>
  <c r="WU11" i="24"/>
  <c r="WV11" i="24"/>
  <c r="WW11" i="24"/>
  <c r="WX11" i="24"/>
  <c r="XI11" i="24" s="1"/>
  <c r="WY11" i="24"/>
  <c r="XJ11" i="24" s="1"/>
  <c r="WZ11" i="24"/>
  <c r="CI14" i="23"/>
  <c r="CJ14" i="23"/>
  <c r="CK14" i="23"/>
  <c r="CL14" i="23"/>
  <c r="CM14" i="23"/>
  <c r="CN14" i="23"/>
  <c r="CP14" i="23"/>
  <c r="CQ14" i="23"/>
  <c r="CR14" i="23"/>
  <c r="WL14" i="23"/>
  <c r="WM14" i="23"/>
  <c r="WN14" i="23"/>
  <c r="XB14" i="23" s="1"/>
  <c r="WO14" i="23"/>
  <c r="XC14" i="23" s="1"/>
  <c r="WP14" i="23"/>
  <c r="WQ14" i="23"/>
  <c r="WR14" i="23"/>
  <c r="WS14" i="23"/>
  <c r="XE14" i="23" s="1"/>
  <c r="WT14" i="23"/>
  <c r="XF14" i="23" s="1"/>
  <c r="WU14" i="23"/>
  <c r="WV14" i="23"/>
  <c r="WW14" i="23"/>
  <c r="WX14" i="23"/>
  <c r="XI14" i="23" s="1"/>
  <c r="WY14" i="23"/>
  <c r="XJ14" i="23" s="1"/>
  <c r="WZ14" i="23"/>
  <c r="CI10" i="23"/>
  <c r="CJ10" i="23"/>
  <c r="CK10" i="23"/>
  <c r="CL10" i="23"/>
  <c r="CM10" i="23"/>
  <c r="CN10" i="23"/>
  <c r="CP10" i="23"/>
  <c r="CQ10" i="23"/>
  <c r="CR10" i="23"/>
  <c r="WL10" i="23"/>
  <c r="WM10" i="23"/>
  <c r="WN10" i="23"/>
  <c r="XB10" i="23" s="1"/>
  <c r="WO10" i="23"/>
  <c r="XC10" i="23" s="1"/>
  <c r="WP10" i="23"/>
  <c r="WQ10" i="23"/>
  <c r="WR10" i="23"/>
  <c r="WS10" i="23"/>
  <c r="XE10" i="23" s="1"/>
  <c r="WT10" i="23"/>
  <c r="XF10" i="23" s="1"/>
  <c r="WU10" i="23"/>
  <c r="WV10" i="23"/>
  <c r="WW10" i="23"/>
  <c r="WX10" i="23"/>
  <c r="XI10" i="23" s="1"/>
  <c r="WY10" i="23"/>
  <c r="XJ10" i="23" s="1"/>
  <c r="WZ10" i="23"/>
  <c r="CI11" i="23"/>
  <c r="CJ11" i="23"/>
  <c r="CK11" i="23"/>
  <c r="CL11" i="23"/>
  <c r="CM11" i="23"/>
  <c r="CN11" i="23"/>
  <c r="CP11" i="23"/>
  <c r="CQ11" i="23"/>
  <c r="CR11" i="23"/>
  <c r="WL11" i="23"/>
  <c r="WM11" i="23"/>
  <c r="WN11" i="23"/>
  <c r="XB11" i="23" s="1"/>
  <c r="WO11" i="23"/>
  <c r="XC11" i="23" s="1"/>
  <c r="WP11" i="23"/>
  <c r="WQ11" i="23"/>
  <c r="WR11" i="23"/>
  <c r="WS11" i="23"/>
  <c r="XE11" i="23" s="1"/>
  <c r="WT11" i="23"/>
  <c r="XF11" i="23" s="1"/>
  <c r="WU11" i="23"/>
  <c r="WV11" i="23"/>
  <c r="WW11" i="23"/>
  <c r="WX11" i="23"/>
  <c r="XI11" i="23" s="1"/>
  <c r="WY11" i="23"/>
  <c r="XJ11" i="23" s="1"/>
  <c r="WZ11" i="23"/>
  <c r="CI6" i="23"/>
  <c r="CJ6" i="23"/>
  <c r="CK6" i="23"/>
  <c r="CL6" i="23"/>
  <c r="CM6" i="23"/>
  <c r="CN6" i="23"/>
  <c r="CP6" i="23"/>
  <c r="CQ6" i="23"/>
  <c r="CR6" i="23"/>
  <c r="WL6" i="23"/>
  <c r="WM6" i="23"/>
  <c r="WN6" i="23"/>
  <c r="XB6" i="23" s="1"/>
  <c r="WO6" i="23"/>
  <c r="XC6" i="23" s="1"/>
  <c r="WP6" i="23"/>
  <c r="WQ6" i="23"/>
  <c r="WR6" i="23"/>
  <c r="WS6" i="23"/>
  <c r="XE6" i="23" s="1"/>
  <c r="WT6" i="23"/>
  <c r="XF6" i="23" s="1"/>
  <c r="WU6" i="23"/>
  <c r="WV6" i="23"/>
  <c r="WW6" i="23"/>
  <c r="WX6" i="23"/>
  <c r="XI6" i="23" s="1"/>
  <c r="WY6" i="23"/>
  <c r="XJ6" i="23" s="1"/>
  <c r="WZ6" i="23"/>
  <c r="CI5" i="23"/>
  <c r="CJ5" i="23"/>
  <c r="CK5" i="23"/>
  <c r="CL5" i="23"/>
  <c r="CM5" i="23"/>
  <c r="CN5" i="23"/>
  <c r="CP5" i="23"/>
  <c r="CQ5" i="23"/>
  <c r="CR5" i="23"/>
  <c r="WL5" i="23"/>
  <c r="WM5" i="23"/>
  <c r="WN5" i="23"/>
  <c r="XB5" i="23" s="1"/>
  <c r="WO5" i="23"/>
  <c r="XC5" i="23" s="1"/>
  <c r="WP5" i="23"/>
  <c r="WQ5" i="23"/>
  <c r="WR5" i="23"/>
  <c r="WS5" i="23"/>
  <c r="XE5" i="23" s="1"/>
  <c r="WT5" i="23"/>
  <c r="XF5" i="23" s="1"/>
  <c r="WU5" i="23"/>
  <c r="WV5" i="23"/>
  <c r="WW5" i="23"/>
  <c r="WX5" i="23"/>
  <c r="XI5" i="23" s="1"/>
  <c r="WY5" i="23"/>
  <c r="XJ5" i="23" s="1"/>
  <c r="WZ5" i="23"/>
  <c r="CQ21" i="4"/>
  <c r="CR21" i="4"/>
  <c r="CS21" i="4"/>
  <c r="CT21" i="4"/>
  <c r="CU21" i="4"/>
  <c r="CV21" i="4"/>
  <c r="CX21" i="4"/>
  <c r="CY21" i="4"/>
  <c r="CZ21" i="4"/>
  <c r="CQ17" i="4"/>
  <c r="CR17" i="4"/>
  <c r="CS17" i="4"/>
  <c r="CT17" i="4"/>
  <c r="CU17" i="4"/>
  <c r="CV17" i="4"/>
  <c r="CX17" i="4"/>
  <c r="CY17" i="4"/>
  <c r="CZ17" i="4"/>
  <c r="CQ15" i="4"/>
  <c r="CR15" i="4"/>
  <c r="CS15" i="4"/>
  <c r="CT15" i="4"/>
  <c r="CU15" i="4"/>
  <c r="CV15" i="4"/>
  <c r="CX15" i="4"/>
  <c r="CY15" i="4"/>
  <c r="CZ15" i="4"/>
  <c r="G12" i="21" l="1"/>
  <c r="G14" i="21"/>
  <c r="F14" i="21"/>
  <c r="F12" i="21"/>
  <c r="G27" i="19"/>
  <c r="G25" i="19"/>
  <c r="G19" i="19"/>
  <c r="G20" i="19"/>
  <c r="F27" i="19"/>
  <c r="F25" i="19"/>
  <c r="F19" i="19"/>
  <c r="F20" i="19"/>
  <c r="G7" i="27"/>
  <c r="F7" i="27"/>
  <c r="G14" i="27"/>
  <c r="F14" i="27"/>
  <c r="G11" i="27"/>
  <c r="F11" i="27"/>
  <c r="F17" i="4"/>
  <c r="I17" i="4"/>
  <c r="G21" i="4"/>
  <c r="F21" i="4"/>
  <c r="I21" i="4"/>
  <c r="G17" i="4"/>
  <c r="G15" i="4"/>
  <c r="F15" i="4"/>
  <c r="I15" i="4"/>
  <c r="G10" i="24"/>
  <c r="F11" i="23"/>
  <c r="I11" i="23"/>
  <c r="I14" i="23"/>
  <c r="F14" i="23"/>
  <c r="I5" i="23"/>
  <c r="F5" i="23"/>
  <c r="G10" i="23"/>
  <c r="F10" i="23"/>
  <c r="I10" i="23"/>
  <c r="G6" i="23"/>
  <c r="F6" i="23"/>
  <c r="I6" i="23"/>
  <c r="G5" i="23"/>
  <c r="G11" i="23"/>
  <c r="G14" i="23"/>
  <c r="I10" i="24"/>
  <c r="F10" i="24"/>
  <c r="G11" i="24"/>
  <c r="I11" i="24"/>
  <c r="F11" i="24"/>
  <c r="R21" i="4"/>
  <c r="S21" i="4" s="1"/>
  <c r="T21" i="4"/>
  <c r="U21" i="4" s="1"/>
  <c r="T17" i="4"/>
  <c r="U17" i="4" s="1"/>
  <c r="R17" i="4"/>
  <c r="S17" i="4" s="1"/>
  <c r="R15" i="4"/>
  <c r="S15" i="4" s="1"/>
  <c r="T15" i="4"/>
  <c r="U15" i="4" s="1"/>
  <c r="CO11" i="24"/>
  <c r="CS11" i="24" s="1"/>
  <c r="CO10" i="24"/>
  <c r="CS10" i="24" s="1"/>
  <c r="CO11" i="23"/>
  <c r="CS11" i="23" s="1"/>
  <c r="CO6" i="23"/>
  <c r="CS6" i="23" s="1"/>
  <c r="CO10" i="23"/>
  <c r="CS10" i="23" s="1"/>
  <c r="CO5" i="23"/>
  <c r="CS5" i="23" s="1"/>
  <c r="CO14" i="23"/>
  <c r="CS14" i="23" s="1"/>
  <c r="P14" i="27"/>
  <c r="DF14" i="27" s="1"/>
  <c r="P20" i="19"/>
  <c r="DF20" i="19" s="1"/>
  <c r="UK14" i="21"/>
  <c r="UF14" i="21"/>
  <c r="N12" i="21"/>
  <c r="DC14" i="21"/>
  <c r="P19" i="19"/>
  <c r="UK20" i="19"/>
  <c r="UF20" i="19"/>
  <c r="DC20" i="19"/>
  <c r="P7" i="27"/>
  <c r="DC11" i="27"/>
  <c r="XD10" i="24"/>
  <c r="XG10" i="24"/>
  <c r="XG14" i="23"/>
  <c r="CW15" i="4"/>
  <c r="DA15" i="4" s="1"/>
  <c r="CW21" i="4"/>
  <c r="DA21" i="4" s="1"/>
  <c r="CW17" i="4"/>
  <c r="DA17" i="4" s="1"/>
  <c r="UF12" i="21"/>
  <c r="L12" i="21"/>
  <c r="DD12" i="21" s="1"/>
  <c r="J12" i="21"/>
  <c r="K12" i="21" s="1"/>
  <c r="UL12" i="21"/>
  <c r="UK12" i="21"/>
  <c r="CZ12" i="21"/>
  <c r="P12" i="21"/>
  <c r="DF12" i="21" s="1"/>
  <c r="UH12" i="21"/>
  <c r="UG12" i="21"/>
  <c r="UI12" i="21"/>
  <c r="DC12" i="21"/>
  <c r="UH14" i="21"/>
  <c r="UG14" i="21"/>
  <c r="P14" i="21"/>
  <c r="UL14" i="21"/>
  <c r="CZ14" i="21"/>
  <c r="I14" i="21" s="1"/>
  <c r="L14" i="21"/>
  <c r="N14" i="21"/>
  <c r="DE14" i="21" s="1"/>
  <c r="J14" i="21"/>
  <c r="K14" i="21" s="1"/>
  <c r="UI14" i="21"/>
  <c r="UH20" i="19"/>
  <c r="UG20" i="19"/>
  <c r="UL20" i="19"/>
  <c r="CZ20" i="19"/>
  <c r="L20" i="19"/>
  <c r="N20" i="19"/>
  <c r="DE20" i="19" s="1"/>
  <c r="J20" i="19"/>
  <c r="K20" i="19" s="1"/>
  <c r="UI20" i="19"/>
  <c r="UF19" i="19"/>
  <c r="UK25" i="19"/>
  <c r="UF25" i="19"/>
  <c r="UK27" i="19"/>
  <c r="UF27" i="19"/>
  <c r="DC19" i="19"/>
  <c r="UL19" i="19"/>
  <c r="N19" i="19"/>
  <c r="DE19" i="19" s="1"/>
  <c r="UK19" i="19"/>
  <c r="CZ19" i="19"/>
  <c r="UH19" i="19"/>
  <c r="UG19" i="19"/>
  <c r="L19" i="19"/>
  <c r="J19" i="19"/>
  <c r="K19" i="19" s="1"/>
  <c r="UI19" i="19"/>
  <c r="DC27" i="19"/>
  <c r="UH25" i="19"/>
  <c r="UG25" i="19"/>
  <c r="DC25" i="19"/>
  <c r="UL25" i="19"/>
  <c r="CZ25" i="19"/>
  <c r="P25" i="19"/>
  <c r="DF25" i="19" s="1"/>
  <c r="N25" i="19"/>
  <c r="L25" i="19"/>
  <c r="DD25" i="19" s="1"/>
  <c r="J25" i="19"/>
  <c r="K25" i="19" s="1"/>
  <c r="UI25" i="19"/>
  <c r="UH27" i="19"/>
  <c r="UG27" i="19"/>
  <c r="P27" i="19"/>
  <c r="UL27" i="19"/>
  <c r="CZ27" i="19"/>
  <c r="N27" i="19"/>
  <c r="L27" i="19"/>
  <c r="J27" i="19"/>
  <c r="K27" i="19" s="1"/>
  <c r="UI27" i="19"/>
  <c r="P11" i="27"/>
  <c r="DF11" i="27" s="1"/>
  <c r="UK11" i="27"/>
  <c r="UH11" i="27"/>
  <c r="UI11" i="27"/>
  <c r="UG11" i="27"/>
  <c r="CZ11" i="27"/>
  <c r="UL11" i="27"/>
  <c r="L11" i="27"/>
  <c r="N11" i="27"/>
  <c r="J11" i="27"/>
  <c r="K11" i="27" s="1"/>
  <c r="UF11" i="27"/>
  <c r="UF14" i="27"/>
  <c r="DC7" i="27"/>
  <c r="UF7" i="27"/>
  <c r="DC14" i="27"/>
  <c r="UL14" i="27"/>
  <c r="UK14" i="27"/>
  <c r="CZ14" i="27"/>
  <c r="UH14" i="27"/>
  <c r="UG14" i="27"/>
  <c r="N14" i="27"/>
  <c r="L14" i="27"/>
  <c r="J14" i="27"/>
  <c r="K14" i="27" s="1"/>
  <c r="UI14" i="27"/>
  <c r="UH7" i="27"/>
  <c r="UG7" i="27"/>
  <c r="N7" i="27"/>
  <c r="UL7" i="27"/>
  <c r="UK7" i="27"/>
  <c r="CZ7" i="27"/>
  <c r="L7" i="27"/>
  <c r="J7" i="27"/>
  <c r="K7" i="27" s="1"/>
  <c r="UI7" i="27"/>
  <c r="XK10" i="24"/>
  <c r="L10" i="24"/>
  <c r="J10" i="24"/>
  <c r="K10" i="24" s="1"/>
  <c r="XD11" i="24"/>
  <c r="XK11" i="24"/>
  <c r="XG11" i="24"/>
  <c r="L11" i="24"/>
  <c r="J11" i="24"/>
  <c r="XD14" i="23"/>
  <c r="L14" i="23"/>
  <c r="XK14" i="23"/>
  <c r="J14" i="23"/>
  <c r="XD10" i="23"/>
  <c r="XK10" i="23"/>
  <c r="XG10" i="23"/>
  <c r="L10" i="23"/>
  <c r="J10" i="23"/>
  <c r="K10" i="23" s="1"/>
  <c r="XD11" i="23"/>
  <c r="J11" i="23"/>
  <c r="K11" i="23" s="1"/>
  <c r="XK11" i="23"/>
  <c r="XG11" i="23"/>
  <c r="L11" i="23"/>
  <c r="XD6" i="23"/>
  <c r="L6" i="23"/>
  <c r="J6" i="23"/>
  <c r="K6" i="23" s="1"/>
  <c r="XK6" i="23"/>
  <c r="XG6" i="23"/>
  <c r="XG5" i="23"/>
  <c r="XD5" i="23"/>
  <c r="XK5" i="23"/>
  <c r="L5" i="23"/>
  <c r="J5" i="23"/>
  <c r="J21" i="4"/>
  <c r="K21" i="4" s="1"/>
  <c r="P21" i="4"/>
  <c r="L21" i="4"/>
  <c r="M21" i="4" s="1"/>
  <c r="N21" i="4"/>
  <c r="P17" i="4"/>
  <c r="DC17" i="4" s="1"/>
  <c r="L17" i="4"/>
  <c r="M17" i="4" s="1"/>
  <c r="J17" i="4"/>
  <c r="K17" i="4" s="1"/>
  <c r="N17" i="4"/>
  <c r="N15" i="4"/>
  <c r="P15" i="4"/>
  <c r="DC15" i="4" s="1"/>
  <c r="L15" i="4"/>
  <c r="M15" i="4" s="1"/>
  <c r="J15" i="4"/>
  <c r="K15" i="4" s="1"/>
  <c r="M25" i="19" l="1"/>
  <c r="M11" i="27"/>
  <c r="M27" i="19"/>
  <c r="H10" i="24"/>
  <c r="M19" i="19"/>
  <c r="I27" i="19"/>
  <c r="H27" i="19" s="1"/>
  <c r="A27" i="19" s="1" a="1"/>
  <c r="A27" i="19" s="1"/>
  <c r="M7" i="27"/>
  <c r="I11" i="27"/>
  <c r="H11" i="27" s="1"/>
  <c r="DB17" i="4"/>
  <c r="V17" i="4" s="1"/>
  <c r="X17" i="4" s="1"/>
  <c r="I12" i="21"/>
  <c r="H12" i="21" s="1"/>
  <c r="M14" i="21"/>
  <c r="H14" i="21"/>
  <c r="I19" i="19"/>
  <c r="H19" i="19" s="1"/>
  <c r="A19" i="19" s="1" a="1"/>
  <c r="A19" i="19" s="1"/>
  <c r="I20" i="19"/>
  <c r="H20" i="19" s="1"/>
  <c r="A20" i="19" s="1" a="1"/>
  <c r="A20" i="19" s="1"/>
  <c r="I25" i="19"/>
  <c r="H25" i="19" s="1"/>
  <c r="A25" i="19" s="1" a="1"/>
  <c r="A25" i="19" s="1"/>
  <c r="I7" i="27"/>
  <c r="H7" i="27" s="1"/>
  <c r="I14" i="27"/>
  <c r="H14" i="27" s="1"/>
  <c r="A14" i="27" s="1" a="1"/>
  <c r="A14" i="27" s="1"/>
  <c r="M14" i="27"/>
  <c r="H11" i="23"/>
  <c r="A11" i="23" s="1" a="1"/>
  <c r="A11" i="23" s="1"/>
  <c r="H5" i="23"/>
  <c r="H6" i="23"/>
  <c r="H14" i="23"/>
  <c r="A14" i="23" s="1" a="1"/>
  <c r="A14" i="23" s="1"/>
  <c r="H17" i="4"/>
  <c r="A17" i="4" s="1" a="1"/>
  <c r="A17" i="4" s="1"/>
  <c r="DB15" i="4"/>
  <c r="V15" i="4" s="1"/>
  <c r="X15" i="4" s="1"/>
  <c r="DB21" i="4"/>
  <c r="H15" i="4"/>
  <c r="A15" i="4" s="1" a="1"/>
  <c r="A15" i="4" s="1"/>
  <c r="H21" i="4"/>
  <c r="A21" i="4" s="1" a="1"/>
  <c r="A21" i="4" s="1"/>
  <c r="H10" i="23"/>
  <c r="A10" i="23" s="1" a="1"/>
  <c r="A10" i="23" s="1"/>
  <c r="H11" i="24"/>
  <c r="M20" i="19"/>
  <c r="M12" i="21"/>
  <c r="DD14" i="21"/>
  <c r="O12" i="21"/>
  <c r="DE12" i="21"/>
  <c r="R12" i="21" s="1"/>
  <c r="T12" i="21" s="1"/>
  <c r="Q14" i="21"/>
  <c r="DF14" i="21"/>
  <c r="DD20" i="19"/>
  <c r="R20" i="19" s="1"/>
  <c r="T20" i="19" s="1"/>
  <c r="DD27" i="19"/>
  <c r="Q19" i="19"/>
  <c r="DF19" i="19"/>
  <c r="O27" i="19"/>
  <c r="DE27" i="19"/>
  <c r="Q27" i="19"/>
  <c r="DF27" i="19"/>
  <c r="DD19" i="19"/>
  <c r="O25" i="19"/>
  <c r="DE25" i="19"/>
  <c r="R25" i="19" s="1"/>
  <c r="T25" i="19" s="1"/>
  <c r="DD7" i="27"/>
  <c r="DD14" i="27"/>
  <c r="O11" i="27"/>
  <c r="DE11" i="27"/>
  <c r="DD11" i="27"/>
  <c r="O14" i="27"/>
  <c r="DE14" i="27"/>
  <c r="O7" i="27"/>
  <c r="DE7" i="27"/>
  <c r="Q7" i="27"/>
  <c r="DF7" i="27"/>
  <c r="CT11" i="24"/>
  <c r="CU11" i="24"/>
  <c r="CU10" i="24"/>
  <c r="CT10" i="24"/>
  <c r="CT6" i="23"/>
  <c r="CU6" i="23"/>
  <c r="CU10" i="23"/>
  <c r="CT10" i="23"/>
  <c r="CU14" i="23"/>
  <c r="CT14" i="23"/>
  <c r="M5" i="23"/>
  <c r="CU5" i="23"/>
  <c r="CT5" i="23"/>
  <c r="CU11" i="23"/>
  <c r="CT11" i="23"/>
  <c r="Q21" i="4"/>
  <c r="DC21" i="4"/>
  <c r="O15" i="4"/>
  <c r="Q14" i="27"/>
  <c r="XH11" i="24"/>
  <c r="XL11" i="24" s="1"/>
  <c r="XH14" i="23"/>
  <c r="XL14" i="23" s="1"/>
  <c r="UM14" i="21"/>
  <c r="UJ14" i="21"/>
  <c r="Q20" i="19"/>
  <c r="UM20" i="19"/>
  <c r="O14" i="21"/>
  <c r="UJ25" i="19"/>
  <c r="UJ20" i="19"/>
  <c r="UM25" i="19"/>
  <c r="UJ14" i="27"/>
  <c r="Q11" i="27"/>
  <c r="XH10" i="24"/>
  <c r="XL10" i="24" s="1"/>
  <c r="M10" i="24"/>
  <c r="XH10" i="23"/>
  <c r="XL10" i="23" s="1"/>
  <c r="M6" i="23"/>
  <c r="UM12" i="21"/>
  <c r="Q12" i="21"/>
  <c r="UJ12" i="21"/>
  <c r="UM27" i="19"/>
  <c r="UM19" i="19"/>
  <c r="O19" i="19"/>
  <c r="O20" i="19"/>
  <c r="UJ27" i="19"/>
  <c r="UJ19" i="19"/>
  <c r="Q25" i="19"/>
  <c r="UM11" i="27"/>
  <c r="UJ11" i="27"/>
  <c r="UM7" i="27"/>
  <c r="UJ7" i="27"/>
  <c r="UM14" i="27"/>
  <c r="M11" i="24"/>
  <c r="K11" i="24"/>
  <c r="M14" i="23"/>
  <c r="K14" i="23"/>
  <c r="XH5" i="23"/>
  <c r="XL5" i="23" s="1"/>
  <c r="XH11" i="23"/>
  <c r="XL11" i="23" s="1"/>
  <c r="M10" i="23"/>
  <c r="M11" i="23"/>
  <c r="XH6" i="23"/>
  <c r="XL6" i="23" s="1"/>
  <c r="K5" i="23"/>
  <c r="O21" i="4"/>
  <c r="Q15" i="4"/>
  <c r="Q17" i="4"/>
  <c r="O17" i="4"/>
  <c r="N10" i="24" l="1"/>
  <c r="P10" i="24" s="1"/>
  <c r="N6" i="23"/>
  <c r="E6" i="23" s="1"/>
  <c r="N11" i="23"/>
  <c r="P11" i="23" s="1"/>
  <c r="R19" i="19"/>
  <c r="T19" i="19" s="1"/>
  <c r="R7" i="27"/>
  <c r="T7" i="27" s="1"/>
  <c r="R14" i="27"/>
  <c r="T14" i="27" s="1"/>
  <c r="R14" i="21"/>
  <c r="T14" i="21" s="1"/>
  <c r="E20" i="19"/>
  <c r="N11" i="24"/>
  <c r="N5" i="23"/>
  <c r="N14" i="23"/>
  <c r="V21" i="4"/>
  <c r="X21" i="4" s="1"/>
  <c r="E12" i="21"/>
  <c r="S12" i="21"/>
  <c r="R27" i="19"/>
  <c r="T27" i="19" s="1"/>
  <c r="S20" i="19"/>
  <c r="S25" i="19"/>
  <c r="E25" i="19"/>
  <c r="R11" i="27"/>
  <c r="T11" i="27" s="1"/>
  <c r="N10" i="23"/>
  <c r="P10" i="23" s="1"/>
  <c r="E15" i="4"/>
  <c r="W17" i="4"/>
  <c r="E17" i="4"/>
  <c r="W15" i="4"/>
  <c r="O6" i="23" l="1"/>
  <c r="E11" i="23"/>
  <c r="E10" i="24"/>
  <c r="O10" i="24"/>
  <c r="P6" i="23"/>
  <c r="O11" i="23"/>
  <c r="E14" i="21"/>
  <c r="E19" i="19"/>
  <c r="E27" i="19"/>
  <c r="E14" i="27"/>
  <c r="E7" i="27"/>
  <c r="S11" i="27"/>
  <c r="O11" i="24"/>
  <c r="P11" i="24"/>
  <c r="O14" i="23"/>
  <c r="P14" i="23"/>
  <c r="E5" i="23"/>
  <c r="P5" i="23"/>
  <c r="E21" i="4"/>
  <c r="S7" i="27"/>
  <c r="S19" i="19"/>
  <c r="E11" i="24"/>
  <c r="S14" i="21"/>
  <c r="S14" i="27"/>
  <c r="O5" i="23"/>
  <c r="E14" i="23"/>
  <c r="W21" i="4"/>
  <c r="S27" i="19"/>
  <c r="E11" i="27"/>
  <c r="E10" i="23"/>
  <c r="O10" i="23"/>
  <c r="CV5" i="21" l="1"/>
  <c r="CW5" i="21"/>
  <c r="CX5" i="21"/>
  <c r="CY5" i="21"/>
  <c r="DA5" i="21"/>
  <c r="DB5" i="21"/>
  <c r="TK5" i="21"/>
  <c r="TL5" i="21"/>
  <c r="TM5" i="21"/>
  <c r="TN5" i="21"/>
  <c r="TO5" i="21"/>
  <c r="TP5" i="21"/>
  <c r="TQ5" i="21"/>
  <c r="TR5" i="21"/>
  <c r="TS5" i="21"/>
  <c r="TT5" i="21"/>
  <c r="TU5" i="21"/>
  <c r="TV5" i="21"/>
  <c r="TW5" i="21"/>
  <c r="TX5" i="21"/>
  <c r="TY5" i="21"/>
  <c r="TZ5" i="21"/>
  <c r="UA5" i="21"/>
  <c r="UB5" i="21"/>
  <c r="UC5" i="21"/>
  <c r="UD5" i="21"/>
  <c r="CV21" i="19"/>
  <c r="CW21" i="19"/>
  <c r="CX21" i="19"/>
  <c r="CY21" i="19"/>
  <c r="DA21" i="19"/>
  <c r="DB21" i="19"/>
  <c r="TK21" i="19"/>
  <c r="TL21" i="19"/>
  <c r="TM21" i="19"/>
  <c r="TN21" i="19"/>
  <c r="TO21" i="19"/>
  <c r="TP21" i="19"/>
  <c r="TQ21" i="19"/>
  <c r="TR21" i="19"/>
  <c r="TS21" i="19"/>
  <c r="TT21" i="19"/>
  <c r="TU21" i="19"/>
  <c r="TV21" i="19"/>
  <c r="TW21" i="19"/>
  <c r="TX21" i="19"/>
  <c r="TY21" i="19"/>
  <c r="TZ21" i="19"/>
  <c r="UA21" i="19"/>
  <c r="UB21" i="19"/>
  <c r="UC21" i="19"/>
  <c r="UD21" i="19"/>
  <c r="CV10" i="19"/>
  <c r="CW10" i="19"/>
  <c r="G10" i="19" s="1"/>
  <c r="CX10" i="19"/>
  <c r="CY10" i="19"/>
  <c r="DA10" i="19"/>
  <c r="DB10" i="19"/>
  <c r="TK10" i="19"/>
  <c r="TL10" i="19"/>
  <c r="TM10" i="19"/>
  <c r="TN10" i="19"/>
  <c r="TO10" i="19"/>
  <c r="TP10" i="19"/>
  <c r="TQ10" i="19"/>
  <c r="TR10" i="19"/>
  <c r="TS10" i="19"/>
  <c r="TT10" i="19"/>
  <c r="TU10" i="19"/>
  <c r="TV10" i="19"/>
  <c r="TW10" i="19"/>
  <c r="TX10" i="19"/>
  <c r="TY10" i="19"/>
  <c r="TZ10" i="19"/>
  <c r="UA10" i="19"/>
  <c r="UB10" i="19"/>
  <c r="UC10" i="19"/>
  <c r="UD10" i="19"/>
  <c r="CQ10" i="22"/>
  <c r="CR10" i="22"/>
  <c r="CS10" i="22"/>
  <c r="CT10" i="22"/>
  <c r="CU10" i="22"/>
  <c r="CV10" i="22"/>
  <c r="CX10" i="22"/>
  <c r="CY10" i="22"/>
  <c r="CZ10" i="22"/>
  <c r="WT10" i="22"/>
  <c r="WU10" i="22"/>
  <c r="WV10" i="22"/>
  <c r="XJ10" i="22" s="1"/>
  <c r="WW10" i="22"/>
  <c r="XK10" i="22" s="1"/>
  <c r="WX10" i="22"/>
  <c r="WY10" i="22"/>
  <c r="WZ10" i="22"/>
  <c r="XA10" i="22"/>
  <c r="XM10" i="22" s="1"/>
  <c r="XB10" i="22"/>
  <c r="XN10" i="22" s="1"/>
  <c r="XC10" i="22"/>
  <c r="XD10" i="22"/>
  <c r="XE10" i="22"/>
  <c r="XF10" i="22"/>
  <c r="XQ10" i="22" s="1"/>
  <c r="XG10" i="22"/>
  <c r="XR10" i="22" s="1"/>
  <c r="XH10" i="22"/>
  <c r="CQ13" i="4"/>
  <c r="CR13" i="4"/>
  <c r="CS13" i="4"/>
  <c r="CT13" i="4"/>
  <c r="CU13" i="4"/>
  <c r="CV13" i="4"/>
  <c r="CX13" i="4"/>
  <c r="CY13" i="4"/>
  <c r="CZ13" i="4"/>
  <c r="G5" i="21" l="1"/>
  <c r="G21" i="19"/>
  <c r="F5" i="21"/>
  <c r="F21" i="19"/>
  <c r="F10" i="19"/>
  <c r="G13" i="4"/>
  <c r="F13" i="4"/>
  <c r="I13" i="4"/>
  <c r="I10" i="22"/>
  <c r="F10" i="22"/>
  <c r="G10" i="22"/>
  <c r="T13" i="4"/>
  <c r="U13" i="4" s="1"/>
  <c r="R13" i="4"/>
  <c r="S13" i="4" s="1"/>
  <c r="R10" i="22"/>
  <c r="S10" i="22" s="1"/>
  <c r="T10" i="22"/>
  <c r="U10" i="22" s="1"/>
  <c r="UF5" i="21"/>
  <c r="DC5" i="21"/>
  <c r="N5" i="21"/>
  <c r="DE5" i="21" s="1"/>
  <c r="UI21" i="19"/>
  <c r="DC21" i="19"/>
  <c r="P10" i="19"/>
  <c r="P21" i="19"/>
  <c r="UF10" i="19"/>
  <c r="UK10" i="19"/>
  <c r="CW10" i="22"/>
  <c r="DA10" i="22" s="1"/>
  <c r="XO10" i="22"/>
  <c r="XL10" i="22"/>
  <c r="CW13" i="4"/>
  <c r="DA13" i="4" s="1"/>
  <c r="UL5" i="21"/>
  <c r="P5" i="21"/>
  <c r="DF5" i="21" s="1"/>
  <c r="CZ5" i="21"/>
  <c r="I5" i="21" s="1"/>
  <c r="UK5" i="21"/>
  <c r="L5" i="21"/>
  <c r="DD5" i="21" s="1"/>
  <c r="UH5" i="21"/>
  <c r="UG5" i="21"/>
  <c r="J5" i="21"/>
  <c r="K5" i="21" s="1"/>
  <c r="UI5" i="21"/>
  <c r="UH21" i="19"/>
  <c r="UG21" i="19"/>
  <c r="UL21" i="19"/>
  <c r="CZ21" i="19"/>
  <c r="UK21" i="19"/>
  <c r="L21" i="19"/>
  <c r="N21" i="19"/>
  <c r="DE21" i="19" s="1"/>
  <c r="J21" i="19"/>
  <c r="K21" i="19" s="1"/>
  <c r="UF21" i="19"/>
  <c r="UG10" i="19"/>
  <c r="UH10" i="19"/>
  <c r="DC10" i="19"/>
  <c r="UL10" i="19"/>
  <c r="CZ10" i="19"/>
  <c r="N10" i="19"/>
  <c r="DE10" i="19" s="1"/>
  <c r="L10" i="19"/>
  <c r="J10" i="19"/>
  <c r="K10" i="19" s="1"/>
  <c r="UI10" i="19"/>
  <c r="J10" i="22"/>
  <c r="K10" i="22" s="1"/>
  <c r="XS10" i="22"/>
  <c r="P10" i="22"/>
  <c r="L10" i="22"/>
  <c r="M10" i="22" s="1"/>
  <c r="N10" i="22"/>
  <c r="DB10" i="22" s="1"/>
  <c r="L13" i="4"/>
  <c r="M13" i="4" s="1"/>
  <c r="N13" i="4"/>
  <c r="P13" i="4"/>
  <c r="DC13" i="4" s="1"/>
  <c r="J13" i="4"/>
  <c r="H5" i="21" l="1"/>
  <c r="M5" i="21"/>
  <c r="M10" i="19"/>
  <c r="I10" i="19"/>
  <c r="H10" i="19" s="1"/>
  <c r="I21" i="19"/>
  <c r="H21" i="19" s="1"/>
  <c r="A21" i="19" s="1" a="1"/>
  <c r="A21" i="19" s="1"/>
  <c r="H10" i="22"/>
  <c r="DB13" i="4"/>
  <c r="V13" i="4" s="1"/>
  <c r="X13" i="4" s="1"/>
  <c r="H13" i="4"/>
  <c r="M21" i="19"/>
  <c r="DD21" i="19"/>
  <c r="Q21" i="19"/>
  <c r="DF21" i="19"/>
  <c r="Q10" i="19"/>
  <c r="DF10" i="19"/>
  <c r="DD10" i="19"/>
  <c r="Q10" i="22"/>
  <c r="DC10" i="22"/>
  <c r="O13" i="4"/>
  <c r="XP10" i="22"/>
  <c r="XT10" i="22" s="1"/>
  <c r="UJ5" i="21"/>
  <c r="O5" i="21"/>
  <c r="UM10" i="19"/>
  <c r="UM21" i="19"/>
  <c r="Q5" i="21"/>
  <c r="UJ10" i="19"/>
  <c r="UJ21" i="19"/>
  <c r="O21" i="19"/>
  <c r="UM5" i="21"/>
  <c r="R5" i="21"/>
  <c r="T5" i="21" s="1"/>
  <c r="O10" i="19"/>
  <c r="O10" i="22"/>
  <c r="Q13" i="4"/>
  <c r="K13" i="4"/>
  <c r="R21" i="19" l="1"/>
  <c r="T21" i="19" s="1"/>
  <c r="R10" i="19"/>
  <c r="T10" i="19" s="1"/>
  <c r="V10" i="22"/>
  <c r="X10" i="22" s="1"/>
  <c r="E5" i="21"/>
  <c r="S5" i="21"/>
  <c r="E13" i="4"/>
  <c r="W13" i="4"/>
  <c r="S21" i="19" l="1"/>
  <c r="E21" i="19"/>
  <c r="E10" i="19"/>
  <c r="S10" i="19"/>
  <c r="E10" i="22"/>
  <c r="W10" i="22"/>
  <c r="CX5" i="27"/>
  <c r="CV15" i="27"/>
  <c r="CW15" i="27"/>
  <c r="CX15" i="27"/>
  <c r="CY15" i="27"/>
  <c r="DA15" i="27"/>
  <c r="DB15" i="27"/>
  <c r="TK15" i="27"/>
  <c r="TL15" i="27"/>
  <c r="TM15" i="27"/>
  <c r="TN15" i="27"/>
  <c r="TO15" i="27"/>
  <c r="TP15" i="27"/>
  <c r="TQ15" i="27"/>
  <c r="TR15" i="27"/>
  <c r="TS15" i="27"/>
  <c r="TT15" i="27"/>
  <c r="TU15" i="27"/>
  <c r="TV15" i="27"/>
  <c r="TW15" i="27"/>
  <c r="TX15" i="27"/>
  <c r="TY15" i="27"/>
  <c r="TZ15" i="27"/>
  <c r="UA15" i="27"/>
  <c r="UB15" i="27"/>
  <c r="UC15" i="27"/>
  <c r="UD15" i="27"/>
  <c r="F15" i="27" l="1"/>
  <c r="G15" i="27"/>
  <c r="UK15" i="27"/>
  <c r="DC15" i="27"/>
  <c r="P15" i="27"/>
  <c r="DF15" i="27" s="1"/>
  <c r="UF15" i="27"/>
  <c r="N15" i="27"/>
  <c r="DE15" i="27" s="1"/>
  <c r="UH15" i="27"/>
  <c r="UL15" i="27"/>
  <c r="UG15" i="27"/>
  <c r="L15" i="27"/>
  <c r="UI15" i="27"/>
  <c r="CZ15" i="27"/>
  <c r="I15" i="27" s="1"/>
  <c r="J15" i="27"/>
  <c r="CV5" i="26"/>
  <c r="CW5" i="26"/>
  <c r="CX5" i="26"/>
  <c r="CY5" i="26"/>
  <c r="DA5" i="26"/>
  <c r="DB5" i="26"/>
  <c r="TK5" i="26"/>
  <c r="TL5" i="26"/>
  <c r="TM5" i="26"/>
  <c r="TN5" i="26"/>
  <c r="TO5" i="26"/>
  <c r="TP5" i="26"/>
  <c r="TQ5" i="26"/>
  <c r="TR5" i="26"/>
  <c r="TS5" i="26"/>
  <c r="TT5" i="26"/>
  <c r="TU5" i="26"/>
  <c r="TV5" i="26"/>
  <c r="TW5" i="26"/>
  <c r="TX5" i="26"/>
  <c r="TY5" i="26"/>
  <c r="TZ5" i="26"/>
  <c r="UA5" i="26"/>
  <c r="UB5" i="26"/>
  <c r="UC5" i="26"/>
  <c r="UD5" i="26"/>
  <c r="CQ18" i="4"/>
  <c r="CR18" i="4"/>
  <c r="CS18" i="4"/>
  <c r="CT18" i="4"/>
  <c r="CU18" i="4"/>
  <c r="CV18" i="4"/>
  <c r="CX18" i="4"/>
  <c r="CY18" i="4"/>
  <c r="CZ18" i="4"/>
  <c r="CQ9" i="4"/>
  <c r="CR9" i="4"/>
  <c r="CS9" i="4"/>
  <c r="CT9" i="4"/>
  <c r="CU9" i="4"/>
  <c r="CV9" i="4"/>
  <c r="CX9" i="4"/>
  <c r="CY9" i="4"/>
  <c r="CZ9" i="4"/>
  <c r="G9" i="4" l="1"/>
  <c r="H15" i="27"/>
  <c r="A15" i="27" s="1" a="1"/>
  <c r="A15" i="27" s="1"/>
  <c r="F9" i="4"/>
  <c r="I9" i="4"/>
  <c r="F18" i="4"/>
  <c r="I18" i="4"/>
  <c r="G18" i="4"/>
  <c r="G5" i="26"/>
  <c r="F5" i="26"/>
  <c r="R9" i="4"/>
  <c r="S9" i="4" s="1"/>
  <c r="T9" i="4"/>
  <c r="U9" i="4" s="1"/>
  <c r="T18" i="4"/>
  <c r="U18" i="4" s="1"/>
  <c r="R18" i="4"/>
  <c r="S18" i="4" s="1"/>
  <c r="DD15" i="27"/>
  <c r="R15" i="27" s="1"/>
  <c r="T15" i="27" s="1"/>
  <c r="UM15" i="27"/>
  <c r="Q15" i="27"/>
  <c r="DC5" i="26"/>
  <c r="CW9" i="4"/>
  <c r="DA9" i="4" s="1"/>
  <c r="CW18" i="4"/>
  <c r="DA18" i="4" s="1"/>
  <c r="O15" i="27"/>
  <c r="UJ15" i="27"/>
  <c r="K15" i="27"/>
  <c r="M15" i="27" s="1"/>
  <c r="N5" i="26"/>
  <c r="DE5" i="26" s="1"/>
  <c r="UL5" i="26"/>
  <c r="UH5" i="26"/>
  <c r="UG5" i="26"/>
  <c r="UK5" i="26"/>
  <c r="CZ5" i="26"/>
  <c r="UF5" i="26"/>
  <c r="P5" i="26"/>
  <c r="DF5" i="26" s="1"/>
  <c r="L5" i="26"/>
  <c r="J5" i="26"/>
  <c r="K5" i="26" s="1"/>
  <c r="UI5" i="26"/>
  <c r="L18" i="4"/>
  <c r="M18" i="4" s="1"/>
  <c r="P18" i="4"/>
  <c r="DC18" i="4" s="1"/>
  <c r="J18" i="4"/>
  <c r="K18" i="4" s="1"/>
  <c r="N18" i="4"/>
  <c r="L9" i="4"/>
  <c r="M9" i="4" s="1"/>
  <c r="P9" i="4"/>
  <c r="DC9" i="4" s="1"/>
  <c r="N9" i="4"/>
  <c r="J9" i="4"/>
  <c r="K9" i="4" s="1"/>
  <c r="H9" i="4" l="1"/>
  <c r="DB9" i="4"/>
  <c r="V9" i="4" s="1"/>
  <c r="X9" i="4" s="1"/>
  <c r="M5" i="26"/>
  <c r="DB18" i="4"/>
  <c r="V18" i="4" s="1"/>
  <c r="X18" i="4" s="1"/>
  <c r="H18" i="4"/>
  <c r="I5" i="26"/>
  <c r="H5" i="26"/>
  <c r="DD5" i="26"/>
  <c r="R5" i="26" s="1"/>
  <c r="T5" i="26" s="1"/>
  <c r="O9" i="4"/>
  <c r="UM5" i="26"/>
  <c r="E15" i="27"/>
  <c r="S15" i="27"/>
  <c r="UJ5" i="26"/>
  <c r="O5" i="26"/>
  <c r="Q5" i="26"/>
  <c r="Q18" i="4"/>
  <c r="O18" i="4"/>
  <c r="Q9" i="4"/>
  <c r="E5" i="26" l="1"/>
  <c r="S5" i="26"/>
  <c r="E18" i="4"/>
  <c r="W18" i="4"/>
  <c r="W9" i="4"/>
  <c r="E9" i="4"/>
  <c r="CV15" i="21" l="1"/>
  <c r="CW15" i="21"/>
  <c r="CX15" i="21"/>
  <c r="CY15" i="21"/>
  <c r="DA15" i="21"/>
  <c r="DB15" i="21"/>
  <c r="TK15" i="21"/>
  <c r="TL15" i="21"/>
  <c r="TM15" i="21"/>
  <c r="TN15" i="21"/>
  <c r="TO15" i="21"/>
  <c r="TP15" i="21"/>
  <c r="TQ15" i="21"/>
  <c r="TR15" i="21"/>
  <c r="TS15" i="21"/>
  <c r="TT15" i="21"/>
  <c r="TU15" i="21"/>
  <c r="TV15" i="21"/>
  <c r="TW15" i="21"/>
  <c r="TX15" i="21"/>
  <c r="TY15" i="21"/>
  <c r="TZ15" i="21"/>
  <c r="UA15" i="21"/>
  <c r="UB15" i="21"/>
  <c r="UC15" i="21"/>
  <c r="UD15" i="21"/>
  <c r="CV21" i="21"/>
  <c r="CW21" i="21"/>
  <c r="CX21" i="21"/>
  <c r="CY21" i="21"/>
  <c r="DA21" i="21"/>
  <c r="DB21" i="21"/>
  <c r="TK21" i="21"/>
  <c r="TL21" i="21"/>
  <c r="TM21" i="21"/>
  <c r="TN21" i="21"/>
  <c r="TO21" i="21"/>
  <c r="TP21" i="21"/>
  <c r="TQ21" i="21"/>
  <c r="TR21" i="21"/>
  <c r="TS21" i="21"/>
  <c r="TT21" i="21"/>
  <c r="TU21" i="21"/>
  <c r="TV21" i="21"/>
  <c r="TW21" i="21"/>
  <c r="TX21" i="21"/>
  <c r="TY21" i="21"/>
  <c r="TZ21" i="21"/>
  <c r="UA21" i="21"/>
  <c r="UB21" i="21"/>
  <c r="UC21" i="21"/>
  <c r="UD21" i="21"/>
  <c r="CV16" i="19"/>
  <c r="CW16" i="19"/>
  <c r="CX16" i="19"/>
  <c r="CY16" i="19"/>
  <c r="DA16" i="19"/>
  <c r="DB16" i="19"/>
  <c r="TK16" i="19"/>
  <c r="TL16" i="19"/>
  <c r="TM16" i="19"/>
  <c r="TN16" i="19"/>
  <c r="TO16" i="19"/>
  <c r="TP16" i="19"/>
  <c r="TQ16" i="19"/>
  <c r="TR16" i="19"/>
  <c r="TS16" i="19"/>
  <c r="TT16" i="19"/>
  <c r="TU16" i="19"/>
  <c r="TV16" i="19"/>
  <c r="TW16" i="19"/>
  <c r="TX16" i="19"/>
  <c r="TY16" i="19"/>
  <c r="TZ16" i="19"/>
  <c r="UA16" i="19"/>
  <c r="UB16" i="19"/>
  <c r="UC16" i="19"/>
  <c r="UD16" i="19"/>
  <c r="G21" i="21" l="1"/>
  <c r="G15" i="21"/>
  <c r="F21" i="21"/>
  <c r="F15" i="21"/>
  <c r="G16" i="19"/>
  <c r="F16" i="19"/>
  <c r="DC21" i="21"/>
  <c r="DC15" i="21"/>
  <c r="DC16" i="19"/>
  <c r="UK21" i="21"/>
  <c r="UI21" i="21"/>
  <c r="UK15" i="21"/>
  <c r="UI15" i="21"/>
  <c r="P15" i="21"/>
  <c r="DF15" i="21" s="1"/>
  <c r="P21" i="21"/>
  <c r="DF21" i="21" s="1"/>
  <c r="N15" i="21"/>
  <c r="UG15" i="21"/>
  <c r="UL15" i="21"/>
  <c r="UH15" i="21"/>
  <c r="L15" i="21"/>
  <c r="DD15" i="21" s="1"/>
  <c r="UF15" i="21"/>
  <c r="J15" i="21"/>
  <c r="K15" i="21" s="1"/>
  <c r="CZ15" i="21"/>
  <c r="I15" i="21" s="1"/>
  <c r="UG21" i="21"/>
  <c r="UL21" i="21"/>
  <c r="UH21" i="21"/>
  <c r="N21" i="21"/>
  <c r="L21" i="21"/>
  <c r="UF21" i="21"/>
  <c r="J21" i="21"/>
  <c r="K21" i="21" s="1"/>
  <c r="CZ21" i="21"/>
  <c r="I21" i="21" s="1"/>
  <c r="UF16" i="19"/>
  <c r="UL16" i="19"/>
  <c r="N16" i="19"/>
  <c r="UK16" i="19"/>
  <c r="CZ16" i="19"/>
  <c r="I16" i="19" s="1"/>
  <c r="UH16" i="19"/>
  <c r="UG16" i="19"/>
  <c r="L16" i="19"/>
  <c r="J16" i="19"/>
  <c r="K16" i="19" s="1"/>
  <c r="P16" i="19"/>
  <c r="DF16" i="19" s="1"/>
  <c r="UI16" i="19"/>
  <c r="CV10" i="27"/>
  <c r="CW10" i="27"/>
  <c r="CX10" i="27"/>
  <c r="CY10" i="27"/>
  <c r="DA10" i="27"/>
  <c r="DB10" i="27"/>
  <c r="TK10" i="27"/>
  <c r="TL10" i="27"/>
  <c r="TM10" i="27"/>
  <c r="TN10" i="27"/>
  <c r="TO10" i="27"/>
  <c r="TP10" i="27"/>
  <c r="TQ10" i="27"/>
  <c r="TR10" i="27"/>
  <c r="TS10" i="27"/>
  <c r="TT10" i="27"/>
  <c r="TU10" i="27"/>
  <c r="TV10" i="27"/>
  <c r="TW10" i="27"/>
  <c r="TX10" i="27"/>
  <c r="TY10" i="27"/>
  <c r="TZ10" i="27"/>
  <c r="UA10" i="27"/>
  <c r="UB10" i="27"/>
  <c r="UC10" i="27"/>
  <c r="UD10" i="27"/>
  <c r="H15" i="21" l="1"/>
  <c r="H21" i="21"/>
  <c r="M15" i="21"/>
  <c r="H16" i="19"/>
  <c r="G10" i="27"/>
  <c r="F10" i="27"/>
  <c r="M21" i="21"/>
  <c r="M16" i="19"/>
  <c r="O15" i="21"/>
  <c r="DE15" i="21"/>
  <c r="R15" i="21" s="1"/>
  <c r="T15" i="21" s="1"/>
  <c r="O21" i="21"/>
  <c r="DE21" i="21"/>
  <c r="DD21" i="21"/>
  <c r="DD16" i="19"/>
  <c r="O16" i="19"/>
  <c r="DE16" i="19"/>
  <c r="UM21" i="21"/>
  <c r="UM15" i="21"/>
  <c r="UM16" i="19"/>
  <c r="DC10" i="27"/>
  <c r="Q21" i="21"/>
  <c r="UF10" i="27"/>
  <c r="P10" i="27"/>
  <c r="DF10" i="27" s="1"/>
  <c r="UJ21" i="21"/>
  <c r="Q15" i="21"/>
  <c r="UJ15" i="21"/>
  <c r="UJ16" i="19"/>
  <c r="Q16" i="19"/>
  <c r="N10" i="27"/>
  <c r="UH10" i="27"/>
  <c r="UG10" i="27"/>
  <c r="UK10" i="27"/>
  <c r="CZ10" i="27"/>
  <c r="I10" i="27" s="1"/>
  <c r="L10" i="27"/>
  <c r="DD10" i="27" s="1"/>
  <c r="UL10" i="27"/>
  <c r="J10" i="27"/>
  <c r="K10" i="27" s="1"/>
  <c r="UI10" i="27"/>
  <c r="H10" i="27" l="1"/>
  <c r="M10" i="27"/>
  <c r="O10" i="27"/>
  <c r="DE10" i="27"/>
  <c r="R10" i="27" s="1"/>
  <c r="T10" i="27" s="1"/>
  <c r="UM10" i="27"/>
  <c r="Q10" i="27"/>
  <c r="R16" i="19"/>
  <c r="T16" i="19" s="1"/>
  <c r="R21" i="21"/>
  <c r="T21" i="21" s="1"/>
  <c r="S15" i="21"/>
  <c r="E15" i="21"/>
  <c r="UJ10" i="27"/>
  <c r="E21" i="21" l="1"/>
  <c r="E16" i="19"/>
  <c r="S10" i="27"/>
  <c r="A15" i="21" a="1"/>
  <c r="A15" i="21" s="1"/>
  <c r="S21" i="21"/>
  <c r="S16" i="19"/>
  <c r="E10" i="27"/>
  <c r="CI9" i="23" l="1"/>
  <c r="CJ9" i="23"/>
  <c r="CK9" i="23"/>
  <c r="CL9" i="23"/>
  <c r="CM9" i="23"/>
  <c r="CN9" i="23"/>
  <c r="CP9" i="23"/>
  <c r="CQ9" i="23"/>
  <c r="CR9" i="23"/>
  <c r="WL9" i="23"/>
  <c r="WM9" i="23"/>
  <c r="WN9" i="23"/>
  <c r="XB9" i="23" s="1"/>
  <c r="WO9" i="23"/>
  <c r="XC9" i="23" s="1"/>
  <c r="WP9" i="23"/>
  <c r="WQ9" i="23"/>
  <c r="WR9" i="23"/>
  <c r="WS9" i="23"/>
  <c r="XE9" i="23" s="1"/>
  <c r="WT9" i="23"/>
  <c r="XF9" i="23" s="1"/>
  <c r="WU9" i="23"/>
  <c r="WV9" i="23"/>
  <c r="WW9" i="23"/>
  <c r="WX9" i="23"/>
  <c r="XI9" i="23" s="1"/>
  <c r="WY9" i="23"/>
  <c r="XJ9" i="23" s="1"/>
  <c r="WZ9" i="23"/>
  <c r="CI4" i="23"/>
  <c r="CJ4" i="23"/>
  <c r="CK4" i="23"/>
  <c r="CL4" i="23"/>
  <c r="CM4" i="23"/>
  <c r="CN4" i="23"/>
  <c r="CP4" i="23"/>
  <c r="CQ4" i="23"/>
  <c r="CR4" i="23"/>
  <c r="WL4" i="23"/>
  <c r="WM4" i="23"/>
  <c r="WN4" i="23"/>
  <c r="XB4" i="23" s="1"/>
  <c r="WO4" i="23"/>
  <c r="XC4" i="23" s="1"/>
  <c r="WP4" i="23"/>
  <c r="WQ4" i="23"/>
  <c r="WR4" i="23"/>
  <c r="WS4" i="23"/>
  <c r="XE4" i="23" s="1"/>
  <c r="WT4" i="23"/>
  <c r="XF4" i="23" s="1"/>
  <c r="WU4" i="23"/>
  <c r="WV4" i="23"/>
  <c r="WW4" i="23"/>
  <c r="WX4" i="23"/>
  <c r="XI4" i="23" s="1"/>
  <c r="WY4" i="23"/>
  <c r="XJ4" i="23" s="1"/>
  <c r="WZ4" i="23"/>
  <c r="CQ16" i="4"/>
  <c r="CR16" i="4"/>
  <c r="CS16" i="4"/>
  <c r="CT16" i="4"/>
  <c r="CU16" i="4"/>
  <c r="CV16" i="4"/>
  <c r="CX16" i="4"/>
  <c r="CY16" i="4"/>
  <c r="CZ16" i="4"/>
  <c r="CI7" i="24"/>
  <c r="CJ7" i="24"/>
  <c r="CK7" i="24"/>
  <c r="CL7" i="24"/>
  <c r="CM7" i="24"/>
  <c r="CN7" i="24"/>
  <c r="CP7" i="24"/>
  <c r="CQ7" i="24"/>
  <c r="CR7" i="24"/>
  <c r="WL7" i="24"/>
  <c r="WM7" i="24"/>
  <c r="WN7" i="24"/>
  <c r="XB7" i="24" s="1"/>
  <c r="WO7" i="24"/>
  <c r="XC7" i="24" s="1"/>
  <c r="WP7" i="24"/>
  <c r="WQ7" i="24"/>
  <c r="WR7" i="24"/>
  <c r="WS7" i="24"/>
  <c r="XE7" i="24" s="1"/>
  <c r="WT7" i="24"/>
  <c r="XF7" i="24" s="1"/>
  <c r="WU7" i="24"/>
  <c r="WV7" i="24"/>
  <c r="WW7" i="24"/>
  <c r="WX7" i="24"/>
  <c r="XI7" i="24" s="1"/>
  <c r="WY7" i="24"/>
  <c r="XJ7" i="24" s="1"/>
  <c r="WZ7" i="24"/>
  <c r="CI14" i="24"/>
  <c r="CJ14" i="24"/>
  <c r="CK14" i="24"/>
  <c r="CL14" i="24"/>
  <c r="CM14" i="24"/>
  <c r="CN14" i="24"/>
  <c r="CP14" i="24"/>
  <c r="CQ14" i="24"/>
  <c r="CR14" i="24"/>
  <c r="WL14" i="24"/>
  <c r="WM14" i="24"/>
  <c r="WN14" i="24"/>
  <c r="XB14" i="24" s="1"/>
  <c r="WO14" i="24"/>
  <c r="XC14" i="24" s="1"/>
  <c r="WP14" i="24"/>
  <c r="WQ14" i="24"/>
  <c r="WR14" i="24"/>
  <c r="WS14" i="24"/>
  <c r="XE14" i="24" s="1"/>
  <c r="WT14" i="24"/>
  <c r="XF14" i="24" s="1"/>
  <c r="WU14" i="24"/>
  <c r="WV14" i="24"/>
  <c r="WW14" i="24"/>
  <c r="WX14" i="24"/>
  <c r="XI14" i="24" s="1"/>
  <c r="WY14" i="24"/>
  <c r="XJ14" i="24" s="1"/>
  <c r="WZ14" i="24"/>
  <c r="CI15" i="24"/>
  <c r="CJ15" i="24"/>
  <c r="CK15" i="24"/>
  <c r="CL15" i="24"/>
  <c r="CM15" i="24"/>
  <c r="CN15" i="24"/>
  <c r="CP15" i="24"/>
  <c r="CQ15" i="24"/>
  <c r="CR15" i="24"/>
  <c r="WL15" i="24"/>
  <c r="WM15" i="24"/>
  <c r="WN15" i="24"/>
  <c r="XB15" i="24" s="1"/>
  <c r="WO15" i="24"/>
  <c r="XC15" i="24" s="1"/>
  <c r="WP15" i="24"/>
  <c r="WQ15" i="24"/>
  <c r="WR15" i="24"/>
  <c r="WS15" i="24"/>
  <c r="XE15" i="24" s="1"/>
  <c r="WT15" i="24"/>
  <c r="XF15" i="24" s="1"/>
  <c r="WU15" i="24"/>
  <c r="WV15" i="24"/>
  <c r="WW15" i="24"/>
  <c r="WX15" i="24"/>
  <c r="XI15" i="24" s="1"/>
  <c r="WY15" i="24"/>
  <c r="XJ15" i="24" s="1"/>
  <c r="WZ15" i="24"/>
  <c r="G16" i="4" l="1"/>
  <c r="G9" i="23"/>
  <c r="G4" i="23"/>
  <c r="F16" i="4"/>
  <c r="I16" i="4"/>
  <c r="I9" i="23"/>
  <c r="F9" i="23"/>
  <c r="F4" i="23"/>
  <c r="I4" i="23"/>
  <c r="CO7" i="24"/>
  <c r="CS7" i="24" s="1"/>
  <c r="G7" i="24"/>
  <c r="F15" i="24"/>
  <c r="I15" i="24"/>
  <c r="CO14" i="24"/>
  <c r="CS14" i="24" s="1"/>
  <c r="G14" i="24"/>
  <c r="I14" i="24"/>
  <c r="F14" i="24"/>
  <c r="F7" i="24"/>
  <c r="I7" i="24"/>
  <c r="CO15" i="24"/>
  <c r="CS15" i="24" s="1"/>
  <c r="G15" i="24"/>
  <c r="T16" i="4"/>
  <c r="U16" i="4" s="1"/>
  <c r="R16" i="4"/>
  <c r="S16" i="4" s="1"/>
  <c r="XK9" i="23"/>
  <c r="CO4" i="23"/>
  <c r="CS4" i="23" s="1"/>
  <c r="CO9" i="23"/>
  <c r="CS9" i="23" s="1"/>
  <c r="XG9" i="23"/>
  <c r="J9" i="23"/>
  <c r="K9" i="23" s="1"/>
  <c r="L9" i="23"/>
  <c r="XD9" i="23"/>
  <c r="J4" i="23"/>
  <c r="K4" i="23" s="1"/>
  <c r="XD4" i="23"/>
  <c r="XK4" i="23"/>
  <c r="L4" i="23"/>
  <c r="XG4" i="23"/>
  <c r="CW16" i="4"/>
  <c r="DA16" i="4" s="1"/>
  <c r="L16" i="4"/>
  <c r="M16" i="4" s="1"/>
  <c r="J16" i="4"/>
  <c r="K16" i="4" s="1"/>
  <c r="P16" i="4"/>
  <c r="DC16" i="4" s="1"/>
  <c r="N16" i="4"/>
  <c r="XD7" i="24"/>
  <c r="L7" i="24"/>
  <c r="J7" i="24"/>
  <c r="K7" i="24" s="1"/>
  <c r="XK7" i="24"/>
  <c r="XG7" i="24"/>
  <c r="XD14" i="24"/>
  <c r="L14" i="24"/>
  <c r="XK14" i="24"/>
  <c r="J14" i="24"/>
  <c r="K14" i="24" s="1"/>
  <c r="XG14" i="24"/>
  <c r="XD15" i="24"/>
  <c r="L15" i="24"/>
  <c r="XK15" i="24"/>
  <c r="XG15" i="24"/>
  <c r="J15" i="24"/>
  <c r="K15" i="24" s="1"/>
  <c r="H16" i="4" l="1"/>
  <c r="H9" i="23"/>
  <c r="A9" i="23" s="1" a="1"/>
  <c r="A9" i="23" s="1"/>
  <c r="H4" i="23"/>
  <c r="DB16" i="4"/>
  <c r="H15" i="24"/>
  <c r="H14" i="24"/>
  <c r="H7" i="24"/>
  <c r="CT7" i="24"/>
  <c r="CU7" i="24"/>
  <c r="CT15" i="24"/>
  <c r="CU15" i="24"/>
  <c r="CU14" i="24"/>
  <c r="CT14" i="24"/>
  <c r="CU9" i="23"/>
  <c r="CT9" i="23"/>
  <c r="CU4" i="23"/>
  <c r="CT4" i="23"/>
  <c r="XH9" i="23"/>
  <c r="XL9" i="23" s="1"/>
  <c r="M9" i="23"/>
  <c r="XH4" i="23"/>
  <c r="XL4" i="23" s="1"/>
  <c r="M4" i="23"/>
  <c r="O16" i="4"/>
  <c r="Q16" i="4"/>
  <c r="XH7" i="24"/>
  <c r="XL7" i="24" s="1"/>
  <c r="M7" i="24"/>
  <c r="XH15" i="24"/>
  <c r="XL15" i="24" s="1"/>
  <c r="XH14" i="24"/>
  <c r="XL14" i="24" s="1"/>
  <c r="M14" i="24"/>
  <c r="M15" i="24"/>
  <c r="N9" i="23" l="1"/>
  <c r="P9" i="23" s="1"/>
  <c r="N14" i="24"/>
  <c r="E14" i="24" s="1"/>
  <c r="N15" i="24"/>
  <c r="O15" i="24" s="1"/>
  <c r="A14" i="24" a="1"/>
  <c r="A14" i="24" s="1"/>
  <c r="A16" i="4" a="1"/>
  <c r="A16" i="4" s="1"/>
  <c r="N7" i="24"/>
  <c r="N4" i="23"/>
  <c r="P4" i="23" s="1"/>
  <c r="V16" i="4"/>
  <c r="X16" i="4" s="1"/>
  <c r="E9" i="23" l="1"/>
  <c r="O14" i="24"/>
  <c r="P14" i="24"/>
  <c r="O9" i="23"/>
  <c r="P15" i="24"/>
  <c r="E15" i="24"/>
  <c r="E7" i="24"/>
  <c r="P7" i="24"/>
  <c r="E16" i="4"/>
  <c r="O7" i="24"/>
  <c r="E4" i="23"/>
  <c r="O4" i="23"/>
  <c r="W16" i="4"/>
  <c r="CI7" i="23"/>
  <c r="CJ7" i="23"/>
  <c r="CK7" i="23"/>
  <c r="CL7" i="23"/>
  <c r="CM7" i="23"/>
  <c r="CN7" i="23"/>
  <c r="CP7" i="23"/>
  <c r="CQ7" i="23"/>
  <c r="CR7" i="23"/>
  <c r="WL7" i="23"/>
  <c r="WM7" i="23"/>
  <c r="WN7" i="23"/>
  <c r="XB7" i="23" s="1"/>
  <c r="WO7" i="23"/>
  <c r="XC7" i="23" s="1"/>
  <c r="WP7" i="23"/>
  <c r="WQ7" i="23"/>
  <c r="WR7" i="23"/>
  <c r="WS7" i="23"/>
  <c r="XE7" i="23" s="1"/>
  <c r="WT7" i="23"/>
  <c r="XF7" i="23" s="1"/>
  <c r="WU7" i="23"/>
  <c r="WV7" i="23"/>
  <c r="WW7" i="23"/>
  <c r="WX7" i="23"/>
  <c r="XI7" i="23" s="1"/>
  <c r="WY7" i="23"/>
  <c r="XJ7" i="23" s="1"/>
  <c r="WZ7" i="23"/>
  <c r="I7" i="23" l="1"/>
  <c r="F7" i="23"/>
  <c r="G7" i="23"/>
  <c r="CO7" i="23"/>
  <c r="CS7" i="23" s="1"/>
  <c r="XD7" i="23"/>
  <c r="XG7" i="23"/>
  <c r="XK7" i="23"/>
  <c r="L7" i="23"/>
  <c r="J7" i="23"/>
  <c r="K7" i="23" s="1"/>
  <c r="H7" i="23" l="1"/>
  <c r="CU7" i="23"/>
  <c r="CT7" i="23"/>
  <c r="XH7" i="23"/>
  <c r="XL7" i="23" s="1"/>
  <c r="M7" i="23"/>
  <c r="CV22" i="21"/>
  <c r="CW22" i="21"/>
  <c r="CX22" i="21"/>
  <c r="CY22" i="21"/>
  <c r="DA22" i="21"/>
  <c r="DB22" i="21"/>
  <c r="TK22" i="21"/>
  <c r="TL22" i="21"/>
  <c r="TM22" i="21"/>
  <c r="TN22" i="21"/>
  <c r="TO22" i="21"/>
  <c r="TP22" i="21"/>
  <c r="TQ22" i="21"/>
  <c r="TR22" i="21"/>
  <c r="TS22" i="21"/>
  <c r="TT22" i="21"/>
  <c r="TU22" i="21"/>
  <c r="TV22" i="21"/>
  <c r="TW22" i="21"/>
  <c r="TX22" i="21"/>
  <c r="TY22" i="21"/>
  <c r="TZ22" i="21"/>
  <c r="UA22" i="21"/>
  <c r="UB22" i="21"/>
  <c r="UC22" i="21"/>
  <c r="UD22" i="21"/>
  <c r="CV11" i="21"/>
  <c r="CW11" i="21"/>
  <c r="CX11" i="21"/>
  <c r="CY11" i="21"/>
  <c r="DA11" i="21"/>
  <c r="DB11" i="21"/>
  <c r="TK11" i="21"/>
  <c r="TL11" i="21"/>
  <c r="TM11" i="21"/>
  <c r="TN11" i="21"/>
  <c r="TO11" i="21"/>
  <c r="TP11" i="21"/>
  <c r="TQ11" i="21"/>
  <c r="TR11" i="21"/>
  <c r="TS11" i="21"/>
  <c r="TT11" i="21"/>
  <c r="TU11" i="21"/>
  <c r="TV11" i="21"/>
  <c r="TW11" i="21"/>
  <c r="TX11" i="21"/>
  <c r="TY11" i="21"/>
  <c r="TZ11" i="21"/>
  <c r="UA11" i="21"/>
  <c r="UB11" i="21"/>
  <c r="UC11" i="21"/>
  <c r="UD11" i="21"/>
  <c r="CV9" i="19"/>
  <c r="CW9" i="19"/>
  <c r="CX9" i="19"/>
  <c r="CY9" i="19"/>
  <c r="DA9" i="19"/>
  <c r="DB9" i="19"/>
  <c r="TK9" i="19"/>
  <c r="TL9" i="19"/>
  <c r="TM9" i="19"/>
  <c r="TN9" i="19"/>
  <c r="TO9" i="19"/>
  <c r="TP9" i="19"/>
  <c r="TQ9" i="19"/>
  <c r="TR9" i="19"/>
  <c r="TS9" i="19"/>
  <c r="TT9" i="19"/>
  <c r="TU9" i="19"/>
  <c r="TV9" i="19"/>
  <c r="TW9" i="19"/>
  <c r="TX9" i="19"/>
  <c r="TY9" i="19"/>
  <c r="TZ9" i="19"/>
  <c r="UA9" i="19"/>
  <c r="UB9" i="19"/>
  <c r="UC9" i="19"/>
  <c r="UD9" i="19"/>
  <c r="CV15" i="19"/>
  <c r="CW15" i="19"/>
  <c r="CX15" i="19"/>
  <c r="CY15" i="19"/>
  <c r="DA15" i="19"/>
  <c r="DB15" i="19"/>
  <c r="TK15" i="19"/>
  <c r="TL15" i="19"/>
  <c r="TM15" i="19"/>
  <c r="TN15" i="19"/>
  <c r="TO15" i="19"/>
  <c r="TP15" i="19"/>
  <c r="TQ15" i="19"/>
  <c r="TR15" i="19"/>
  <c r="TS15" i="19"/>
  <c r="TT15" i="19"/>
  <c r="TU15" i="19"/>
  <c r="TV15" i="19"/>
  <c r="TW15" i="19"/>
  <c r="TX15" i="19"/>
  <c r="TY15" i="19"/>
  <c r="TZ15" i="19"/>
  <c r="UA15" i="19"/>
  <c r="UB15" i="19"/>
  <c r="UC15" i="19"/>
  <c r="UD15" i="19"/>
  <c r="CV26" i="19"/>
  <c r="CW26" i="19"/>
  <c r="CX26" i="19"/>
  <c r="CY26" i="19"/>
  <c r="DA26" i="19"/>
  <c r="DB26" i="19"/>
  <c r="TK26" i="19"/>
  <c r="TL26" i="19"/>
  <c r="TM26" i="19"/>
  <c r="TN26" i="19"/>
  <c r="TO26" i="19"/>
  <c r="TP26" i="19"/>
  <c r="TQ26" i="19"/>
  <c r="TR26" i="19"/>
  <c r="TS26" i="19"/>
  <c r="TT26" i="19"/>
  <c r="TU26" i="19"/>
  <c r="TV26" i="19"/>
  <c r="TW26" i="19"/>
  <c r="TX26" i="19"/>
  <c r="TY26" i="19"/>
  <c r="TZ26" i="19"/>
  <c r="UA26" i="19"/>
  <c r="UB26" i="19"/>
  <c r="UC26" i="19"/>
  <c r="UD26" i="19"/>
  <c r="CV16" i="27"/>
  <c r="CW16" i="27"/>
  <c r="CX16" i="27"/>
  <c r="CY16" i="27"/>
  <c r="DA16" i="27"/>
  <c r="DB16" i="27"/>
  <c r="TK16" i="27"/>
  <c r="TL16" i="27"/>
  <c r="TM16" i="27"/>
  <c r="TN16" i="27"/>
  <c r="TO16" i="27"/>
  <c r="TP16" i="27"/>
  <c r="TQ16" i="27"/>
  <c r="TR16" i="27"/>
  <c r="TS16" i="27"/>
  <c r="TT16" i="27"/>
  <c r="TU16" i="27"/>
  <c r="TV16" i="27"/>
  <c r="TW16" i="27"/>
  <c r="TX16" i="27"/>
  <c r="TY16" i="27"/>
  <c r="TZ16" i="27"/>
  <c r="UA16" i="27"/>
  <c r="UB16" i="27"/>
  <c r="UC16" i="27"/>
  <c r="UD16" i="27"/>
  <c r="CV13" i="27"/>
  <c r="CW13" i="27"/>
  <c r="CX13" i="27"/>
  <c r="CY13" i="27"/>
  <c r="DA13" i="27"/>
  <c r="DB13" i="27"/>
  <c r="TK13" i="27"/>
  <c r="TL13" i="27"/>
  <c r="TM13" i="27"/>
  <c r="TN13" i="27"/>
  <c r="TO13" i="27"/>
  <c r="TP13" i="27"/>
  <c r="TQ13" i="27"/>
  <c r="TR13" i="27"/>
  <c r="TS13" i="27"/>
  <c r="TT13" i="27"/>
  <c r="TU13" i="27"/>
  <c r="TV13" i="27"/>
  <c r="TW13" i="27"/>
  <c r="TX13" i="27"/>
  <c r="TY13" i="27"/>
  <c r="TZ13" i="27"/>
  <c r="UA13" i="27"/>
  <c r="UB13" i="27"/>
  <c r="UC13" i="27"/>
  <c r="UD13" i="27"/>
  <c r="CV11" i="26"/>
  <c r="CW11" i="26"/>
  <c r="CX11" i="26"/>
  <c r="CY11" i="26"/>
  <c r="DA11" i="26"/>
  <c r="DB11" i="26"/>
  <c r="TK11" i="26"/>
  <c r="TL11" i="26"/>
  <c r="TM11" i="26"/>
  <c r="TN11" i="26"/>
  <c r="TO11" i="26"/>
  <c r="TP11" i="26"/>
  <c r="TQ11" i="26"/>
  <c r="TR11" i="26"/>
  <c r="TS11" i="26"/>
  <c r="TT11" i="26"/>
  <c r="TU11" i="26"/>
  <c r="TV11" i="26"/>
  <c r="TW11" i="26"/>
  <c r="TX11" i="26"/>
  <c r="TY11" i="26"/>
  <c r="TZ11" i="26"/>
  <c r="UA11" i="26"/>
  <c r="UB11" i="26"/>
  <c r="UC11" i="26"/>
  <c r="UD11" i="26"/>
  <c r="CV4" i="26"/>
  <c r="CW4" i="26"/>
  <c r="CX4" i="26"/>
  <c r="CY4" i="26"/>
  <c r="DA4" i="26"/>
  <c r="DB4" i="26"/>
  <c r="TK4" i="26"/>
  <c r="TL4" i="26"/>
  <c r="TM4" i="26"/>
  <c r="TN4" i="26"/>
  <c r="TO4" i="26"/>
  <c r="TP4" i="26"/>
  <c r="TQ4" i="26"/>
  <c r="TR4" i="26"/>
  <c r="TS4" i="26"/>
  <c r="TT4" i="26"/>
  <c r="TU4" i="26"/>
  <c r="TV4" i="26"/>
  <c r="TW4" i="26"/>
  <c r="TX4" i="26"/>
  <c r="TY4" i="26"/>
  <c r="TZ4" i="26"/>
  <c r="UA4" i="26"/>
  <c r="UB4" i="26"/>
  <c r="UC4" i="26"/>
  <c r="UD4" i="26"/>
  <c r="G11" i="21" l="1"/>
  <c r="G22" i="21"/>
  <c r="F11" i="21"/>
  <c r="F22" i="21"/>
  <c r="G26" i="19"/>
  <c r="G15" i="19"/>
  <c r="G9" i="19"/>
  <c r="F26" i="19"/>
  <c r="F15" i="19"/>
  <c r="F9" i="19"/>
  <c r="G13" i="27"/>
  <c r="G16" i="27"/>
  <c r="F13" i="27"/>
  <c r="F16" i="27"/>
  <c r="G11" i="26"/>
  <c r="F11" i="26"/>
  <c r="N7" i="23"/>
  <c r="P7" i="23" s="1"/>
  <c r="DC11" i="21"/>
  <c r="DC22" i="21"/>
  <c r="DC26" i="19"/>
  <c r="DC9" i="19"/>
  <c r="DC15" i="19"/>
  <c r="DC13" i="27"/>
  <c r="DC16" i="27"/>
  <c r="DC4" i="26"/>
  <c r="DC11" i="26"/>
  <c r="UK16" i="27"/>
  <c r="UK9" i="19"/>
  <c r="UF4" i="26"/>
  <c r="UK4" i="26"/>
  <c r="P22" i="21"/>
  <c r="UF22" i="21"/>
  <c r="UK15" i="19"/>
  <c r="UF15" i="19"/>
  <c r="CZ9" i="19"/>
  <c r="I9" i="19" s="1"/>
  <c r="UH16" i="27"/>
  <c r="UG16" i="27"/>
  <c r="P13" i="27"/>
  <c r="DF13" i="27" s="1"/>
  <c r="P11" i="26"/>
  <c r="UH22" i="21"/>
  <c r="UG22" i="21"/>
  <c r="UF11" i="21"/>
  <c r="N11" i="21"/>
  <c r="DE11" i="21" s="1"/>
  <c r="UK22" i="21"/>
  <c r="CZ22" i="21"/>
  <c r="I22" i="21" s="1"/>
  <c r="N22" i="21"/>
  <c r="DE22" i="21" s="1"/>
  <c r="L22" i="21"/>
  <c r="UL22" i="21"/>
  <c r="J22" i="21"/>
  <c r="K22" i="21" s="1"/>
  <c r="UI22" i="21"/>
  <c r="UH11" i="21"/>
  <c r="UG11" i="21"/>
  <c r="P11" i="21"/>
  <c r="DF11" i="21" s="1"/>
  <c r="CZ11" i="21"/>
  <c r="L11" i="21"/>
  <c r="UK11" i="21"/>
  <c r="UL11" i="21"/>
  <c r="J11" i="21"/>
  <c r="K11" i="21" s="1"/>
  <c r="UI11" i="21"/>
  <c r="N9" i="19"/>
  <c r="DE9" i="19" s="1"/>
  <c r="UF9" i="19"/>
  <c r="UL9" i="19"/>
  <c r="UH9" i="19"/>
  <c r="L9" i="19"/>
  <c r="UG9" i="19"/>
  <c r="J9" i="19"/>
  <c r="K9" i="19" s="1"/>
  <c r="P9" i="19"/>
  <c r="DF9" i="19" s="1"/>
  <c r="UI9" i="19"/>
  <c r="UH15" i="19"/>
  <c r="UG15" i="19"/>
  <c r="CZ15" i="19"/>
  <c r="L15" i="19"/>
  <c r="DD15" i="19" s="1"/>
  <c r="P15" i="19"/>
  <c r="N15" i="19"/>
  <c r="DE15" i="19" s="1"/>
  <c r="UL15" i="19"/>
  <c r="J15" i="19"/>
  <c r="K15" i="19" s="1"/>
  <c r="UI15" i="19"/>
  <c r="UF26" i="19"/>
  <c r="UH26" i="19"/>
  <c r="UG26" i="19"/>
  <c r="P26" i="19"/>
  <c r="N26" i="19"/>
  <c r="UK26" i="19"/>
  <c r="CZ26" i="19"/>
  <c r="L26" i="19"/>
  <c r="UL26" i="19"/>
  <c r="J26" i="19"/>
  <c r="K26" i="19" s="1"/>
  <c r="UI26" i="19"/>
  <c r="UF16" i="27"/>
  <c r="CZ16" i="27"/>
  <c r="I16" i="27" s="1"/>
  <c r="N16" i="27"/>
  <c r="DE16" i="27" s="1"/>
  <c r="L16" i="27"/>
  <c r="UL16" i="27"/>
  <c r="J16" i="27"/>
  <c r="K16" i="27" s="1"/>
  <c r="P16" i="27"/>
  <c r="DF16" i="27" s="1"/>
  <c r="UI16" i="27"/>
  <c r="UK13" i="27"/>
  <c r="UF13" i="27"/>
  <c r="UG13" i="27"/>
  <c r="UH13" i="27"/>
  <c r="CZ13" i="27"/>
  <c r="I13" i="27" s="1"/>
  <c r="N13" i="27"/>
  <c r="DE13" i="27" s="1"/>
  <c r="L13" i="27"/>
  <c r="DD13" i="27" s="1"/>
  <c r="UL13" i="27"/>
  <c r="J13" i="27"/>
  <c r="K13" i="27" s="1"/>
  <c r="UI13" i="27"/>
  <c r="UK11" i="26"/>
  <c r="UF11" i="26"/>
  <c r="CZ11" i="26"/>
  <c r="L11" i="26"/>
  <c r="UH11" i="26"/>
  <c r="N11" i="26"/>
  <c r="DE11" i="26" s="1"/>
  <c r="UL11" i="26"/>
  <c r="J11" i="26"/>
  <c r="UI11" i="26"/>
  <c r="UG11" i="26"/>
  <c r="UH4" i="26"/>
  <c r="UG4" i="26"/>
  <c r="CZ4" i="26"/>
  <c r="UL4" i="26"/>
  <c r="UI4" i="26"/>
  <c r="M16" i="27" l="1"/>
  <c r="I11" i="21"/>
  <c r="I26" i="19"/>
  <c r="H26" i="19" s="1"/>
  <c r="I15" i="19"/>
  <c r="H15" i="19" s="1"/>
  <c r="H16" i="27"/>
  <c r="H22" i="21"/>
  <c r="H11" i="21"/>
  <c r="M26" i="19"/>
  <c r="H9" i="19"/>
  <c r="H13" i="27"/>
  <c r="E7" i="23"/>
  <c r="I11" i="26"/>
  <c r="H11" i="26" s="1"/>
  <c r="M11" i="21"/>
  <c r="M22" i="21"/>
  <c r="M13" i="27"/>
  <c r="M9" i="19"/>
  <c r="M15" i="19"/>
  <c r="O7" i="23"/>
  <c r="Q22" i="21"/>
  <c r="DF22" i="21"/>
  <c r="DD11" i="21"/>
  <c r="R11" i="21" s="1"/>
  <c r="T11" i="21" s="1"/>
  <c r="DD22" i="21"/>
  <c r="Q15" i="19"/>
  <c r="DF15" i="19"/>
  <c r="R15" i="19" s="1"/>
  <c r="T15" i="19" s="1"/>
  <c r="DD9" i="19"/>
  <c r="Q26" i="19"/>
  <c r="DF26" i="19"/>
  <c r="DD26" i="19"/>
  <c r="O26" i="19"/>
  <c r="DE26" i="19"/>
  <c r="DD16" i="27"/>
  <c r="DD11" i="26"/>
  <c r="Q11" i="26"/>
  <c r="DF11" i="26"/>
  <c r="UM26" i="19"/>
  <c r="UM16" i="27"/>
  <c r="UM11" i="26"/>
  <c r="UM22" i="21"/>
  <c r="UM11" i="21"/>
  <c r="UM9" i="19"/>
  <c r="UM15" i="19"/>
  <c r="UM13" i="27"/>
  <c r="UM4" i="26"/>
  <c r="UJ16" i="27"/>
  <c r="UJ22" i="21"/>
  <c r="UJ9" i="19"/>
  <c r="UJ13" i="27"/>
  <c r="O9" i="19"/>
  <c r="UJ15" i="19"/>
  <c r="UJ11" i="21"/>
  <c r="O11" i="21"/>
  <c r="UJ26" i="19"/>
  <c r="O13" i="27"/>
  <c r="Q13" i="27"/>
  <c r="O16" i="27"/>
  <c r="Q11" i="21"/>
  <c r="O22" i="21"/>
  <c r="Q9" i="19"/>
  <c r="O15" i="19"/>
  <c r="Q16" i="27"/>
  <c r="R13" i="27"/>
  <c r="T13" i="27" s="1"/>
  <c r="O11" i="26"/>
  <c r="UJ11" i="26"/>
  <c r="K11" i="26"/>
  <c r="M11" i="26" s="1"/>
  <c r="UJ4" i="26"/>
  <c r="A22" i="21" l="1" a="1"/>
  <c r="A22" i="21" s="1"/>
  <c r="R9" i="19"/>
  <c r="T9" i="19" s="1"/>
  <c r="R11" i="26"/>
  <c r="T11" i="26" s="1"/>
  <c r="R22" i="21"/>
  <c r="T22" i="21" s="1"/>
  <c r="R16" i="27"/>
  <c r="T16" i="27" s="1"/>
  <c r="E11" i="21"/>
  <c r="S11" i="21"/>
  <c r="E15" i="19"/>
  <c r="S15" i="19"/>
  <c r="R26" i="19"/>
  <c r="T26" i="19" s="1"/>
  <c r="S13" i="27"/>
  <c r="E13" i="27"/>
  <c r="E9" i="19" l="1"/>
  <c r="S16" i="27"/>
  <c r="S11" i="26"/>
  <c r="A26" i="19" a="1"/>
  <c r="A26" i="19" s="1"/>
  <c r="A16" i="27" a="1"/>
  <c r="A16" i="27" s="1"/>
  <c r="A11" i="26" a="1"/>
  <c r="A11" i="26" s="1"/>
  <c r="S22" i="21"/>
  <c r="E22" i="21"/>
  <c r="S9" i="19"/>
  <c r="E11" i="26"/>
  <c r="E16" i="27"/>
  <c r="E26" i="19"/>
  <c r="S26" i="19"/>
  <c r="CQ15" i="22" l="1"/>
  <c r="CR15" i="22"/>
  <c r="CS15" i="22"/>
  <c r="CT15" i="22"/>
  <c r="CU15" i="22"/>
  <c r="CV15" i="22"/>
  <c r="CX15" i="22"/>
  <c r="CY15" i="22"/>
  <c r="CZ15" i="22"/>
  <c r="WT15" i="22"/>
  <c r="WU15" i="22"/>
  <c r="WV15" i="22"/>
  <c r="XJ15" i="22" s="1"/>
  <c r="WW15" i="22"/>
  <c r="XK15" i="22" s="1"/>
  <c r="WX15" i="22"/>
  <c r="WY15" i="22"/>
  <c r="WZ15" i="22"/>
  <c r="XA15" i="22"/>
  <c r="XM15" i="22" s="1"/>
  <c r="XB15" i="22"/>
  <c r="XN15" i="22" s="1"/>
  <c r="XC15" i="22"/>
  <c r="XD15" i="22"/>
  <c r="XE15" i="22"/>
  <c r="XF15" i="22"/>
  <c r="XQ15" i="22" s="1"/>
  <c r="XG15" i="22"/>
  <c r="XR15" i="22" s="1"/>
  <c r="XH15" i="22"/>
  <c r="CQ13" i="22"/>
  <c r="CR13" i="22"/>
  <c r="CS13" i="22"/>
  <c r="CT13" i="22"/>
  <c r="CU13" i="22"/>
  <c r="CV13" i="22"/>
  <c r="CX13" i="22"/>
  <c r="CY13" i="22"/>
  <c r="CZ13" i="22"/>
  <c r="WT13" i="22"/>
  <c r="WU13" i="22"/>
  <c r="WV13" i="22"/>
  <c r="XJ13" i="22" s="1"/>
  <c r="WW13" i="22"/>
  <c r="XK13" i="22" s="1"/>
  <c r="WX13" i="22"/>
  <c r="WY13" i="22"/>
  <c r="WZ13" i="22"/>
  <c r="XA13" i="22"/>
  <c r="XM13" i="22" s="1"/>
  <c r="XB13" i="22"/>
  <c r="XN13" i="22" s="1"/>
  <c r="XC13" i="22"/>
  <c r="XD13" i="22"/>
  <c r="XE13" i="22"/>
  <c r="XF13" i="22"/>
  <c r="XQ13" i="22" s="1"/>
  <c r="XG13" i="22"/>
  <c r="XR13" i="22" s="1"/>
  <c r="XH13" i="22"/>
  <c r="G13" i="22" l="1"/>
  <c r="G15" i="22"/>
  <c r="F13" i="22"/>
  <c r="I13" i="22"/>
  <c r="I15" i="22"/>
  <c r="F15" i="22"/>
  <c r="R13" i="22"/>
  <c r="S13" i="22" s="1"/>
  <c r="T13" i="22"/>
  <c r="U13" i="22" s="1"/>
  <c r="R15" i="22"/>
  <c r="S15" i="22" s="1"/>
  <c r="T15" i="22"/>
  <c r="U15" i="22" s="1"/>
  <c r="CW13" i="22"/>
  <c r="DA13" i="22" s="1"/>
  <c r="CW15" i="22"/>
  <c r="DA15" i="22" s="1"/>
  <c r="XL15" i="22"/>
  <c r="XS15" i="22"/>
  <c r="XO15" i="22"/>
  <c r="L15" i="22"/>
  <c r="M15" i="22" s="1"/>
  <c r="J15" i="22"/>
  <c r="K15" i="22" s="1"/>
  <c r="P15" i="22"/>
  <c r="DC15" i="22" s="1"/>
  <c r="N15" i="22"/>
  <c r="DB15" i="22" s="1"/>
  <c r="XO13" i="22"/>
  <c r="XL13" i="22"/>
  <c r="L13" i="22"/>
  <c r="M13" i="22" s="1"/>
  <c r="J13" i="22"/>
  <c r="K13" i="22" s="1"/>
  <c r="XS13" i="22"/>
  <c r="P13" i="22"/>
  <c r="N13" i="22"/>
  <c r="H13" i="22" l="1"/>
  <c r="DB13" i="22"/>
  <c r="H15" i="22"/>
  <c r="Q13" i="22"/>
  <c r="DC13" i="22"/>
  <c r="XP15" i="22"/>
  <c r="XT15" i="22" s="1"/>
  <c r="XP13" i="22"/>
  <c r="XT13" i="22" s="1"/>
  <c r="Q15" i="22"/>
  <c r="O15" i="22"/>
  <c r="O13" i="22"/>
  <c r="V15" i="22" l="1"/>
  <c r="X15" i="22" s="1"/>
  <c r="V13" i="22"/>
  <c r="X13" i="22" s="1"/>
  <c r="W15" i="22" l="1"/>
  <c r="E15" i="22"/>
  <c r="E13" i="22"/>
  <c r="W13" i="22"/>
  <c r="CQ7" i="4" l="1"/>
  <c r="CR7" i="4"/>
  <c r="CS7" i="4"/>
  <c r="CT7" i="4"/>
  <c r="CU7" i="4"/>
  <c r="CV7" i="4"/>
  <c r="CX7" i="4"/>
  <c r="CY7" i="4"/>
  <c r="CZ7" i="4"/>
  <c r="UD12" i="27"/>
  <c r="UC12" i="27"/>
  <c r="UB12" i="27"/>
  <c r="UA12" i="27"/>
  <c r="TZ12" i="27"/>
  <c r="TY12" i="27"/>
  <c r="TX12" i="27"/>
  <c r="TW12" i="27"/>
  <c r="TV12" i="27"/>
  <c r="TU12" i="27"/>
  <c r="TT12" i="27"/>
  <c r="TS12" i="27"/>
  <c r="TR12" i="27"/>
  <c r="TQ12" i="27"/>
  <c r="TP12" i="27"/>
  <c r="TO12" i="27"/>
  <c r="TN12" i="27"/>
  <c r="TM12" i="27"/>
  <c r="TL12" i="27"/>
  <c r="TK12" i="27"/>
  <c r="DB12" i="27"/>
  <c r="DA12" i="27"/>
  <c r="CY12" i="27"/>
  <c r="CX12" i="27"/>
  <c r="CW12" i="27"/>
  <c r="CV12" i="27"/>
  <c r="UD5" i="27"/>
  <c r="UC5" i="27"/>
  <c r="UB5" i="27"/>
  <c r="UA5" i="27"/>
  <c r="TZ5" i="27"/>
  <c r="TY5" i="27"/>
  <c r="TX5" i="27"/>
  <c r="TW5" i="27"/>
  <c r="TV5" i="27"/>
  <c r="TU5" i="27"/>
  <c r="TT5" i="27"/>
  <c r="TS5" i="27"/>
  <c r="TR5" i="27"/>
  <c r="TQ5" i="27"/>
  <c r="TP5" i="27"/>
  <c r="TO5" i="27"/>
  <c r="TN5" i="27"/>
  <c r="TM5" i="27"/>
  <c r="TL5" i="27"/>
  <c r="TK5" i="27"/>
  <c r="DB5" i="27"/>
  <c r="DA5" i="27"/>
  <c r="CY5" i="27"/>
  <c r="CW5" i="27"/>
  <c r="CV5" i="27"/>
  <c r="UD9" i="27"/>
  <c r="UC9" i="27"/>
  <c r="UB9" i="27"/>
  <c r="UA9" i="27"/>
  <c r="TZ9" i="27"/>
  <c r="TY9" i="27"/>
  <c r="TX9" i="27"/>
  <c r="TW9" i="27"/>
  <c r="TV9" i="27"/>
  <c r="TU9" i="27"/>
  <c r="TT9" i="27"/>
  <c r="TS9" i="27"/>
  <c r="TR9" i="27"/>
  <c r="TQ9" i="27"/>
  <c r="TP9" i="27"/>
  <c r="TO9" i="27"/>
  <c r="TN9" i="27"/>
  <c r="TM9" i="27"/>
  <c r="TL9" i="27"/>
  <c r="TK9" i="27"/>
  <c r="DB9" i="27"/>
  <c r="DA9" i="27"/>
  <c r="CY9" i="27"/>
  <c r="CX9" i="27"/>
  <c r="CW9" i="27"/>
  <c r="CV9" i="27"/>
  <c r="UD6" i="27"/>
  <c r="UC6" i="27"/>
  <c r="UB6" i="27"/>
  <c r="UA6" i="27"/>
  <c r="TZ6" i="27"/>
  <c r="TY6" i="27"/>
  <c r="TX6" i="27"/>
  <c r="TW6" i="27"/>
  <c r="TV6" i="27"/>
  <c r="TU6" i="27"/>
  <c r="TT6" i="27"/>
  <c r="TS6" i="27"/>
  <c r="TR6" i="27"/>
  <c r="TQ6" i="27"/>
  <c r="TP6" i="27"/>
  <c r="TO6" i="27"/>
  <c r="TN6" i="27"/>
  <c r="TM6" i="27"/>
  <c r="TL6" i="27"/>
  <c r="TK6" i="27"/>
  <c r="DB6" i="27"/>
  <c r="DA6" i="27"/>
  <c r="CY6" i="27"/>
  <c r="CX6" i="27"/>
  <c r="CW6" i="27"/>
  <c r="CV6" i="27"/>
  <c r="UD9" i="26"/>
  <c r="UC9" i="26"/>
  <c r="UB9" i="26"/>
  <c r="UA9" i="26"/>
  <c r="TZ9" i="26"/>
  <c r="TY9" i="26"/>
  <c r="TX9" i="26"/>
  <c r="TW9" i="26"/>
  <c r="TV9" i="26"/>
  <c r="TU9" i="26"/>
  <c r="TT9" i="26"/>
  <c r="TS9" i="26"/>
  <c r="TR9" i="26"/>
  <c r="TQ9" i="26"/>
  <c r="TP9" i="26"/>
  <c r="TO9" i="26"/>
  <c r="TN9" i="26"/>
  <c r="TM9" i="26"/>
  <c r="TL9" i="26"/>
  <c r="TK9" i="26"/>
  <c r="DB9" i="26"/>
  <c r="DA9" i="26"/>
  <c r="CY9" i="26"/>
  <c r="CX9" i="26"/>
  <c r="CW9" i="26"/>
  <c r="CV9" i="26"/>
  <c r="UD6" i="26"/>
  <c r="UC6" i="26"/>
  <c r="UB6" i="26"/>
  <c r="UA6" i="26"/>
  <c r="TZ6" i="26"/>
  <c r="TY6" i="26"/>
  <c r="TX6" i="26"/>
  <c r="TW6" i="26"/>
  <c r="TV6" i="26"/>
  <c r="TU6" i="26"/>
  <c r="TT6" i="26"/>
  <c r="TS6" i="26"/>
  <c r="TR6" i="26"/>
  <c r="TQ6" i="26"/>
  <c r="TP6" i="26"/>
  <c r="TO6" i="26"/>
  <c r="TN6" i="26"/>
  <c r="TM6" i="26"/>
  <c r="TL6" i="26"/>
  <c r="TK6" i="26"/>
  <c r="DB6" i="26"/>
  <c r="DA6" i="26"/>
  <c r="CY6" i="26"/>
  <c r="CX6" i="26"/>
  <c r="CW6" i="26"/>
  <c r="CV6" i="26"/>
  <c r="UD8" i="26"/>
  <c r="UC8" i="26"/>
  <c r="UB8" i="26"/>
  <c r="UA8" i="26"/>
  <c r="TZ8" i="26"/>
  <c r="TY8" i="26"/>
  <c r="TX8" i="26"/>
  <c r="TW8" i="26"/>
  <c r="TV8" i="26"/>
  <c r="TU8" i="26"/>
  <c r="TT8" i="26"/>
  <c r="TS8" i="26"/>
  <c r="TR8" i="26"/>
  <c r="TQ8" i="26"/>
  <c r="TP8" i="26"/>
  <c r="TO8" i="26"/>
  <c r="TN8" i="26"/>
  <c r="TM8" i="26"/>
  <c r="TL8" i="26"/>
  <c r="TK8" i="26"/>
  <c r="DB8" i="26"/>
  <c r="DA8" i="26"/>
  <c r="CY8" i="26"/>
  <c r="CX8" i="26"/>
  <c r="CW8" i="26"/>
  <c r="CV8" i="26"/>
  <c r="UD7" i="26"/>
  <c r="UC7" i="26"/>
  <c r="UB7" i="26"/>
  <c r="UA7" i="26"/>
  <c r="TZ7" i="26"/>
  <c r="TY7" i="26"/>
  <c r="TX7" i="26"/>
  <c r="TW7" i="26"/>
  <c r="TV7" i="26"/>
  <c r="TU7" i="26"/>
  <c r="TT7" i="26"/>
  <c r="TS7" i="26"/>
  <c r="TR7" i="26"/>
  <c r="TQ7" i="26"/>
  <c r="TP7" i="26"/>
  <c r="TO7" i="26"/>
  <c r="TN7" i="26"/>
  <c r="TM7" i="26"/>
  <c r="TL7" i="26"/>
  <c r="TK7" i="26"/>
  <c r="DB7" i="26"/>
  <c r="DA7" i="26"/>
  <c r="CY7" i="26"/>
  <c r="CX7" i="26"/>
  <c r="CW7" i="26"/>
  <c r="CV7" i="26"/>
  <c r="TK4" i="19"/>
  <c r="F6" i="27" l="1"/>
  <c r="F12" i="27"/>
  <c r="G6" i="27"/>
  <c r="F9" i="27"/>
  <c r="F5" i="27"/>
  <c r="G12" i="27"/>
  <c r="G9" i="27"/>
  <c r="G5" i="27"/>
  <c r="G7" i="4"/>
  <c r="I7" i="4"/>
  <c r="F7" i="4"/>
  <c r="F8" i="26"/>
  <c r="F7" i="26"/>
  <c r="F6" i="26"/>
  <c r="F9" i="26"/>
  <c r="G7" i="26"/>
  <c r="G8" i="26"/>
  <c r="G6" i="26"/>
  <c r="G9" i="26"/>
  <c r="R7" i="4"/>
  <c r="S7" i="4" s="1"/>
  <c r="T7" i="4"/>
  <c r="U7" i="4" s="1"/>
  <c r="DC12" i="27"/>
  <c r="DC6" i="27"/>
  <c r="DC9" i="27"/>
  <c r="DC5" i="27"/>
  <c r="DC7" i="26"/>
  <c r="DC8" i="26"/>
  <c r="DC6" i="26"/>
  <c r="DC9" i="26"/>
  <c r="P8" i="26"/>
  <c r="CW7" i="4"/>
  <c r="DA7" i="4" s="1"/>
  <c r="J7" i="4"/>
  <c r="K7" i="4" s="1"/>
  <c r="UI12" i="27"/>
  <c r="UK12" i="27"/>
  <c r="CZ12" i="27"/>
  <c r="N7" i="4"/>
  <c r="DB7" i="4" s="1"/>
  <c r="P7" i="4"/>
  <c r="DC7" i="4" s="1"/>
  <c r="L7" i="4"/>
  <c r="M7" i="4" s="1"/>
  <c r="UF7" i="26"/>
  <c r="UF9" i="26"/>
  <c r="P12" i="27"/>
  <c r="P5" i="27"/>
  <c r="UH12" i="27"/>
  <c r="UH9" i="26"/>
  <c r="UF6" i="26"/>
  <c r="CZ6" i="26"/>
  <c r="UF12" i="27"/>
  <c r="N9" i="27"/>
  <c r="P6" i="27"/>
  <c r="UF9" i="27"/>
  <c r="UK9" i="27"/>
  <c r="P9" i="27"/>
  <c r="UL12" i="27"/>
  <c r="UH9" i="27"/>
  <c r="UG5" i="27"/>
  <c r="UH5" i="27"/>
  <c r="N6" i="27"/>
  <c r="DE6" i="27" s="1"/>
  <c r="L5" i="27"/>
  <c r="N12" i="27"/>
  <c r="DE12" i="27" s="1"/>
  <c r="J6" i="27"/>
  <c r="K6" i="27" s="1"/>
  <c r="UG12" i="27"/>
  <c r="UG6" i="27"/>
  <c r="UH6" i="27"/>
  <c r="J5" i="27"/>
  <c r="K5" i="27" s="1"/>
  <c r="J9" i="27"/>
  <c r="K9" i="27" s="1"/>
  <c r="N5" i="27"/>
  <c r="DE5" i="27" s="1"/>
  <c r="UF5" i="27"/>
  <c r="UK5" i="27"/>
  <c r="UI6" i="27"/>
  <c r="UK6" i="27"/>
  <c r="UH7" i="26"/>
  <c r="N9" i="26"/>
  <c r="DE9" i="26" s="1"/>
  <c r="P7" i="26"/>
  <c r="UH6" i="26"/>
  <c r="UG8" i="26"/>
  <c r="N8" i="26"/>
  <c r="DE8" i="26" s="1"/>
  <c r="UI8" i="26"/>
  <c r="N6" i="26"/>
  <c r="DE6" i="26" s="1"/>
  <c r="UG7" i="26"/>
  <c r="UH8" i="26"/>
  <c r="P6" i="26"/>
  <c r="UG6" i="26"/>
  <c r="UL6" i="26"/>
  <c r="UI6" i="26"/>
  <c r="UK6" i="26"/>
  <c r="P9" i="26"/>
  <c r="UG9" i="26"/>
  <c r="UL9" i="26"/>
  <c r="L9" i="26"/>
  <c r="UI9" i="26"/>
  <c r="UK9" i="26"/>
  <c r="N7" i="26"/>
  <c r="UI7" i="26"/>
  <c r="UF8" i="26"/>
  <c r="CZ6" i="27"/>
  <c r="I6" i="27" s="1"/>
  <c r="UG9" i="27"/>
  <c r="L9" i="27"/>
  <c r="DD9" i="27" s="1"/>
  <c r="UI9" i="27"/>
  <c r="UI5" i="27"/>
  <c r="CZ9" i="27"/>
  <c r="I9" i="27" s="1"/>
  <c r="CZ5" i="27"/>
  <c r="I5" i="27" s="1"/>
  <c r="L6" i="27"/>
  <c r="DD6" i="27" s="1"/>
  <c r="UL6" i="27"/>
  <c r="UF6" i="27"/>
  <c r="UL9" i="27"/>
  <c r="UL5" i="27"/>
  <c r="L12" i="27"/>
  <c r="DD12" i="27" s="1"/>
  <c r="J12" i="27"/>
  <c r="L7" i="26"/>
  <c r="DD7" i="26" s="1"/>
  <c r="J7" i="26"/>
  <c r="L8" i="26"/>
  <c r="DD8" i="26" s="1"/>
  <c r="J8" i="26"/>
  <c r="CZ9" i="26"/>
  <c r="I9" i="26" s="1"/>
  <c r="CZ7" i="26"/>
  <c r="J6" i="26"/>
  <c r="UL7" i="26"/>
  <c r="UK7" i="26"/>
  <c r="CZ8" i="26"/>
  <c r="J9" i="26"/>
  <c r="UL8" i="26"/>
  <c r="UK8" i="26"/>
  <c r="L6" i="26"/>
  <c r="DD6" i="26" s="1"/>
  <c r="I12" i="27" l="1"/>
  <c r="H5" i="27"/>
  <c r="H9" i="27"/>
  <c r="H6" i="27"/>
  <c r="H12" i="27"/>
  <c r="M6" i="27"/>
  <c r="M9" i="27"/>
  <c r="H7" i="4"/>
  <c r="I7" i="26"/>
  <c r="I6" i="26"/>
  <c r="H6" i="26" s="1"/>
  <c r="I8" i="26"/>
  <c r="H8" i="26" s="1"/>
  <c r="H9" i="26"/>
  <c r="H7" i="26"/>
  <c r="M5" i="27"/>
  <c r="Q9" i="27"/>
  <c r="DF9" i="27"/>
  <c r="DD5" i="27"/>
  <c r="Q5" i="27"/>
  <c r="DF5" i="27"/>
  <c r="O9" i="27"/>
  <c r="DE9" i="27"/>
  <c r="Q12" i="27"/>
  <c r="DF12" i="27"/>
  <c r="Q6" i="27"/>
  <c r="DF6" i="27"/>
  <c r="DD9" i="26"/>
  <c r="Q9" i="26"/>
  <c r="DF9" i="26"/>
  <c r="Q7" i="26"/>
  <c r="DF7" i="26"/>
  <c r="Q8" i="26"/>
  <c r="DF8" i="26"/>
  <c r="Q6" i="26"/>
  <c r="DF6" i="26"/>
  <c r="O7" i="26"/>
  <c r="DE7" i="26"/>
  <c r="UM9" i="27"/>
  <c r="UM6" i="27"/>
  <c r="UM5" i="27"/>
  <c r="UM12" i="27"/>
  <c r="UM9" i="26"/>
  <c r="UM8" i="26"/>
  <c r="UM6" i="26"/>
  <c r="UM7" i="26"/>
  <c r="V7" i="4"/>
  <c r="X7" i="4" s="1"/>
  <c r="O6" i="27"/>
  <c r="O8" i="26"/>
  <c r="O7" i="4"/>
  <c r="Q7" i="4"/>
  <c r="UJ7" i="26"/>
  <c r="UJ9" i="26"/>
  <c r="O6" i="26"/>
  <c r="UJ5" i="27"/>
  <c r="UJ8" i="26"/>
  <c r="O9" i="26"/>
  <c r="UJ12" i="27"/>
  <c r="UJ6" i="27"/>
  <c r="O5" i="27"/>
  <c r="O12" i="27"/>
  <c r="UJ6" i="26"/>
  <c r="UJ9" i="27"/>
  <c r="K12" i="27"/>
  <c r="M12" i="27" s="1"/>
  <c r="K6" i="26"/>
  <c r="M6" i="26" s="1"/>
  <c r="K9" i="26"/>
  <c r="M9" i="26" s="1"/>
  <c r="K8" i="26"/>
  <c r="M8" i="26" s="1"/>
  <c r="K7" i="26"/>
  <c r="M7" i="26" s="1"/>
  <c r="R8" i="26" l="1"/>
  <c r="T8" i="26" s="1"/>
  <c r="R5" i="27"/>
  <c r="T5" i="27" s="1"/>
  <c r="E7" i="4"/>
  <c r="R12" i="27"/>
  <c r="T12" i="27" s="1"/>
  <c r="W7" i="4"/>
  <c r="R9" i="26"/>
  <c r="T9" i="26" s="1"/>
  <c r="R6" i="27"/>
  <c r="T6" i="27" s="1"/>
  <c r="R9" i="27"/>
  <c r="T9" i="27" s="1"/>
  <c r="R7" i="26"/>
  <c r="T7" i="26" s="1"/>
  <c r="R6" i="26"/>
  <c r="T6" i="26" s="1"/>
  <c r="E12" i="27" l="1"/>
  <c r="S8" i="26"/>
  <c r="S9" i="26"/>
  <c r="S5" i="27"/>
  <c r="E5" i="27"/>
  <c r="E8" i="26"/>
  <c r="S12" i="27"/>
  <c r="E9" i="26"/>
  <c r="E9" i="27"/>
  <c r="S9" i="27"/>
  <c r="E6" i="27"/>
  <c r="S6" i="27"/>
  <c r="S6" i="26"/>
  <c r="S7" i="26"/>
  <c r="E7" i="26"/>
  <c r="E6" i="26"/>
  <c r="CV22" i="19"/>
  <c r="CW22" i="19"/>
  <c r="CX22" i="19"/>
  <c r="CY22" i="19"/>
  <c r="DA22" i="19"/>
  <c r="DB22" i="19"/>
  <c r="TK22" i="19"/>
  <c r="TL22" i="19"/>
  <c r="TM22" i="19"/>
  <c r="TN22" i="19"/>
  <c r="TO22" i="19"/>
  <c r="TP22" i="19"/>
  <c r="TQ22" i="19"/>
  <c r="TR22" i="19"/>
  <c r="TS22" i="19"/>
  <c r="TT22" i="19"/>
  <c r="TU22" i="19"/>
  <c r="TV22" i="19"/>
  <c r="TW22" i="19"/>
  <c r="TX22" i="19"/>
  <c r="TY22" i="19"/>
  <c r="TZ22" i="19"/>
  <c r="UA22" i="19"/>
  <c r="UB22" i="19"/>
  <c r="UC22" i="19"/>
  <c r="UD22" i="19"/>
  <c r="A8" i="27" l="1" a="1"/>
  <c r="A8" i="27" s="1"/>
  <c r="A10" i="27" a="1"/>
  <c r="A10" i="27" s="1"/>
  <c r="F22" i="19"/>
  <c r="G22" i="19"/>
  <c r="A4" i="27" a="1"/>
  <c r="A4" i="27" s="1"/>
  <c r="A11" i="27" a="1"/>
  <c r="A11" i="27" s="1"/>
  <c r="A7" i="27" a="1"/>
  <c r="A7" i="27" s="1"/>
  <c r="A13" i="27" a="1"/>
  <c r="A13" i="27" s="1"/>
  <c r="DC22" i="19"/>
  <c r="A9" i="27" a="1"/>
  <c r="A9" i="27" s="1"/>
  <c r="A5" i="27" a="1"/>
  <c r="A5" i="27" s="1"/>
  <c r="A6" i="27" a="1"/>
  <c r="A6" i="27" s="1"/>
  <c r="A12" i="27" a="1"/>
  <c r="A12" i="27" s="1"/>
  <c r="UF22" i="19"/>
  <c r="P22" i="19"/>
  <c r="DF22" i="19" s="1"/>
  <c r="N22" i="19"/>
  <c r="DE22" i="19" s="1"/>
  <c r="UK22" i="19"/>
  <c r="CZ22" i="19"/>
  <c r="UH22" i="19"/>
  <c r="UL22" i="19"/>
  <c r="UG22" i="19"/>
  <c r="L22" i="19"/>
  <c r="DD22" i="19" s="1"/>
  <c r="J22" i="19"/>
  <c r="UI22" i="19"/>
  <c r="I22" i="19" l="1"/>
  <c r="H22" i="19" s="1"/>
  <c r="UM22" i="19"/>
  <c r="Q22" i="19"/>
  <c r="D35" i="11"/>
  <c r="C35" i="11"/>
  <c r="D36" i="11"/>
  <c r="C36" i="11"/>
  <c r="D37" i="11"/>
  <c r="C37" i="11"/>
  <c r="D38" i="11"/>
  <c r="C38" i="11"/>
  <c r="D39" i="11"/>
  <c r="C39" i="11"/>
  <c r="D40" i="11"/>
  <c r="C40" i="11"/>
  <c r="D41" i="11"/>
  <c r="C41" i="11"/>
  <c r="D34" i="11"/>
  <c r="C34" i="11"/>
  <c r="O22" i="19"/>
  <c r="UJ22" i="19"/>
  <c r="K22" i="19"/>
  <c r="M22" i="19" s="1"/>
  <c r="R22" i="19" l="1"/>
  <c r="T22" i="19" s="1"/>
  <c r="S22" i="19" l="1"/>
  <c r="E22" i="19"/>
  <c r="CV23" i="19" l="1"/>
  <c r="CW23" i="19"/>
  <c r="CX23" i="19"/>
  <c r="CY23" i="19"/>
  <c r="DA23" i="19"/>
  <c r="DB23" i="19"/>
  <c r="TK23" i="19"/>
  <c r="TL23" i="19"/>
  <c r="TM23" i="19"/>
  <c r="TN23" i="19"/>
  <c r="TO23" i="19"/>
  <c r="TP23" i="19"/>
  <c r="TQ23" i="19"/>
  <c r="TR23" i="19"/>
  <c r="TS23" i="19"/>
  <c r="TT23" i="19"/>
  <c r="TU23" i="19"/>
  <c r="TV23" i="19"/>
  <c r="TW23" i="19"/>
  <c r="TX23" i="19"/>
  <c r="TY23" i="19"/>
  <c r="TZ23" i="19"/>
  <c r="UA23" i="19"/>
  <c r="UB23" i="19"/>
  <c r="UC23" i="19"/>
  <c r="UD23" i="19"/>
  <c r="CV17" i="19"/>
  <c r="CW17" i="19"/>
  <c r="CX17" i="19"/>
  <c r="CY17" i="19"/>
  <c r="DA17" i="19"/>
  <c r="DB17" i="19"/>
  <c r="TK17" i="19"/>
  <c r="TL17" i="19"/>
  <c r="TM17" i="19"/>
  <c r="TN17" i="19"/>
  <c r="TO17" i="19"/>
  <c r="TP17" i="19"/>
  <c r="TQ17" i="19"/>
  <c r="TR17" i="19"/>
  <c r="TS17" i="19"/>
  <c r="TT17" i="19"/>
  <c r="TU17" i="19"/>
  <c r="TV17" i="19"/>
  <c r="TW17" i="19"/>
  <c r="TX17" i="19"/>
  <c r="TY17" i="19"/>
  <c r="TZ17" i="19"/>
  <c r="UA17" i="19"/>
  <c r="UB17" i="19"/>
  <c r="UC17" i="19"/>
  <c r="UD17" i="19"/>
  <c r="G17" i="19" l="1"/>
  <c r="G23" i="19"/>
  <c r="F17" i="19"/>
  <c r="F23" i="19"/>
  <c r="DC17" i="19"/>
  <c r="DC23" i="19"/>
  <c r="UK23" i="19"/>
  <c r="UF23" i="19"/>
  <c r="P23" i="19"/>
  <c r="DF23" i="19" s="1"/>
  <c r="CZ23" i="19"/>
  <c r="I23" i="19" s="1"/>
  <c r="N23" i="19"/>
  <c r="DE23" i="19" s="1"/>
  <c r="UH23" i="19"/>
  <c r="UG23" i="19"/>
  <c r="UL23" i="19"/>
  <c r="L23" i="19"/>
  <c r="DD23" i="19" s="1"/>
  <c r="J23" i="19"/>
  <c r="UI23" i="19"/>
  <c r="UK17" i="19"/>
  <c r="UF17" i="19"/>
  <c r="P17" i="19"/>
  <c r="DF17" i="19" s="1"/>
  <c r="N17" i="19"/>
  <c r="DE17" i="19" s="1"/>
  <c r="CZ17" i="19"/>
  <c r="I17" i="19" s="1"/>
  <c r="UG17" i="19"/>
  <c r="UH17" i="19"/>
  <c r="UL17" i="19"/>
  <c r="L17" i="19"/>
  <c r="DD17" i="19" s="1"/>
  <c r="J17" i="19"/>
  <c r="K17" i="19" s="1"/>
  <c r="M17" i="19" s="1"/>
  <c r="UI17" i="19"/>
  <c r="H23" i="19" l="1"/>
  <c r="H17" i="19"/>
  <c r="UM23" i="19"/>
  <c r="UM17" i="19"/>
  <c r="Q23" i="19"/>
  <c r="O23" i="19"/>
  <c r="O17" i="19"/>
  <c r="R17" i="19"/>
  <c r="T17" i="19" s="1"/>
  <c r="Q17" i="19"/>
  <c r="UJ23" i="19"/>
  <c r="K23" i="19"/>
  <c r="M23" i="19" s="1"/>
  <c r="UJ17" i="19"/>
  <c r="A23" i="19" l="1" a="1"/>
  <c r="A23" i="19" s="1"/>
  <c r="S17" i="19"/>
  <c r="R23" i="19"/>
  <c r="T23" i="19" s="1"/>
  <c r="E17" i="19"/>
  <c r="S23" i="19" l="1"/>
  <c r="E23" i="19"/>
  <c r="CI12" i="24"/>
  <c r="CJ12" i="24"/>
  <c r="CK12" i="24"/>
  <c r="CL12" i="24"/>
  <c r="CM12" i="24"/>
  <c r="CN12" i="24"/>
  <c r="CP12" i="24"/>
  <c r="CQ12" i="24"/>
  <c r="CR12" i="24"/>
  <c r="WL12" i="24"/>
  <c r="WM12" i="24"/>
  <c r="WN12" i="24"/>
  <c r="XB12" i="24" s="1"/>
  <c r="WO12" i="24"/>
  <c r="XC12" i="24" s="1"/>
  <c r="WP12" i="24"/>
  <c r="WQ12" i="24"/>
  <c r="WR12" i="24"/>
  <c r="WS12" i="24"/>
  <c r="XE12" i="24" s="1"/>
  <c r="WT12" i="24"/>
  <c r="XF12" i="24" s="1"/>
  <c r="WU12" i="24"/>
  <c r="WV12" i="24"/>
  <c r="WW12" i="24"/>
  <c r="WX12" i="24"/>
  <c r="XI12" i="24" s="1"/>
  <c r="WY12" i="24"/>
  <c r="XJ12" i="24" s="1"/>
  <c r="WZ12" i="24"/>
  <c r="CI16" i="23"/>
  <c r="CJ16" i="23"/>
  <c r="CK16" i="23"/>
  <c r="CL16" i="23"/>
  <c r="CM16" i="23"/>
  <c r="CN16" i="23"/>
  <c r="CP16" i="23"/>
  <c r="CQ16" i="23"/>
  <c r="CR16" i="23"/>
  <c r="WL16" i="23"/>
  <c r="WM16" i="23"/>
  <c r="WN16" i="23"/>
  <c r="XB16" i="23" s="1"/>
  <c r="WO16" i="23"/>
  <c r="XC16" i="23" s="1"/>
  <c r="WP16" i="23"/>
  <c r="WQ16" i="23"/>
  <c r="WR16" i="23"/>
  <c r="WS16" i="23"/>
  <c r="XE16" i="23" s="1"/>
  <c r="WT16" i="23"/>
  <c r="XF16" i="23" s="1"/>
  <c r="WU16" i="23"/>
  <c r="WV16" i="23"/>
  <c r="WW16" i="23"/>
  <c r="WX16" i="23"/>
  <c r="XI16" i="23" s="1"/>
  <c r="WY16" i="23"/>
  <c r="XJ16" i="23" s="1"/>
  <c r="WZ16" i="23"/>
  <c r="CQ9" i="22"/>
  <c r="CR9" i="22"/>
  <c r="CS9" i="22"/>
  <c r="CT9" i="22"/>
  <c r="CU9" i="22"/>
  <c r="CV9" i="22"/>
  <c r="CX9" i="22"/>
  <c r="CY9" i="22"/>
  <c r="CZ9" i="22"/>
  <c r="WT9" i="22"/>
  <c r="WU9" i="22"/>
  <c r="WV9" i="22"/>
  <c r="XJ9" i="22" s="1"/>
  <c r="WW9" i="22"/>
  <c r="XK9" i="22" s="1"/>
  <c r="WX9" i="22"/>
  <c r="WY9" i="22"/>
  <c r="WZ9" i="22"/>
  <c r="XA9" i="22"/>
  <c r="XM9" i="22" s="1"/>
  <c r="XB9" i="22"/>
  <c r="XN9" i="22" s="1"/>
  <c r="XC9" i="22"/>
  <c r="XD9" i="22"/>
  <c r="XE9" i="22"/>
  <c r="XF9" i="22"/>
  <c r="XQ9" i="22" s="1"/>
  <c r="XG9" i="22"/>
  <c r="XR9" i="22" s="1"/>
  <c r="XH9" i="22"/>
  <c r="CQ7" i="22"/>
  <c r="CR7" i="22"/>
  <c r="CS7" i="22"/>
  <c r="CT7" i="22"/>
  <c r="CU7" i="22"/>
  <c r="CV7" i="22"/>
  <c r="CX7" i="22"/>
  <c r="CY7" i="22"/>
  <c r="CZ7" i="22"/>
  <c r="WT7" i="22"/>
  <c r="WU7" i="22"/>
  <c r="WV7" i="22"/>
  <c r="XJ7" i="22" s="1"/>
  <c r="WW7" i="22"/>
  <c r="XK7" i="22" s="1"/>
  <c r="WX7" i="22"/>
  <c r="WY7" i="22"/>
  <c r="WZ7" i="22"/>
  <c r="XA7" i="22"/>
  <c r="XM7" i="22" s="1"/>
  <c r="XB7" i="22"/>
  <c r="XN7" i="22" s="1"/>
  <c r="XC7" i="22"/>
  <c r="XD7" i="22"/>
  <c r="XE7" i="22"/>
  <c r="XF7" i="22"/>
  <c r="XQ7" i="22" s="1"/>
  <c r="XG7" i="22"/>
  <c r="XR7" i="22" s="1"/>
  <c r="XH7" i="22"/>
  <c r="CQ17" i="22"/>
  <c r="CR17" i="22"/>
  <c r="CS17" i="22"/>
  <c r="CT17" i="22"/>
  <c r="CU17" i="22"/>
  <c r="CV17" i="22"/>
  <c r="CX17" i="22"/>
  <c r="CY17" i="22"/>
  <c r="CZ17" i="22"/>
  <c r="WT17" i="22"/>
  <c r="WU17" i="22"/>
  <c r="WV17" i="22"/>
  <c r="XJ17" i="22" s="1"/>
  <c r="WW17" i="22"/>
  <c r="XK17" i="22" s="1"/>
  <c r="WX17" i="22"/>
  <c r="WY17" i="22"/>
  <c r="WZ17" i="22"/>
  <c r="XA17" i="22"/>
  <c r="XM17" i="22" s="1"/>
  <c r="XB17" i="22"/>
  <c r="XN17" i="22" s="1"/>
  <c r="XC17" i="22"/>
  <c r="XD17" i="22"/>
  <c r="XE17" i="22"/>
  <c r="XF17" i="22"/>
  <c r="XQ17" i="22" s="1"/>
  <c r="XG17" i="22"/>
  <c r="XR17" i="22" s="1"/>
  <c r="XH17" i="22"/>
  <c r="CQ24" i="4"/>
  <c r="CR24" i="4"/>
  <c r="CS24" i="4"/>
  <c r="CT24" i="4"/>
  <c r="CU24" i="4"/>
  <c r="CV24" i="4"/>
  <c r="CX24" i="4"/>
  <c r="CY24" i="4"/>
  <c r="CZ24" i="4"/>
  <c r="CQ20" i="4"/>
  <c r="CR20" i="4"/>
  <c r="CS20" i="4"/>
  <c r="CT20" i="4"/>
  <c r="CU20" i="4"/>
  <c r="CV20" i="4"/>
  <c r="CX20" i="4"/>
  <c r="CY20" i="4"/>
  <c r="CZ20" i="4"/>
  <c r="G20" i="4" l="1"/>
  <c r="G17" i="22"/>
  <c r="F24" i="4"/>
  <c r="I24" i="4"/>
  <c r="I20" i="4"/>
  <c r="F20" i="4"/>
  <c r="H20" i="4" s="1"/>
  <c r="G24" i="4"/>
  <c r="F16" i="23"/>
  <c r="I16" i="23"/>
  <c r="G16" i="23"/>
  <c r="G12" i="24"/>
  <c r="F12" i="24"/>
  <c r="I12" i="24"/>
  <c r="I7" i="22"/>
  <c r="F7" i="22"/>
  <c r="G9" i="22"/>
  <c r="I9" i="22"/>
  <c r="F9" i="22"/>
  <c r="I17" i="22"/>
  <c r="F17" i="22"/>
  <c r="G7" i="22"/>
  <c r="R20" i="4"/>
  <c r="S20" i="4" s="1"/>
  <c r="T20" i="4"/>
  <c r="U20" i="4" s="1"/>
  <c r="R24" i="4"/>
  <c r="S24" i="4" s="1"/>
  <c r="T24" i="4"/>
  <c r="U24" i="4" s="1"/>
  <c r="R7" i="22"/>
  <c r="S7" i="22" s="1"/>
  <c r="T7" i="22"/>
  <c r="U7" i="22" s="1"/>
  <c r="R17" i="22"/>
  <c r="S17" i="22" s="1"/>
  <c r="T17" i="22"/>
  <c r="U17" i="22" s="1"/>
  <c r="T9" i="22"/>
  <c r="U9" i="22" s="1"/>
  <c r="R9" i="22"/>
  <c r="S9" i="22" s="1"/>
  <c r="L12" i="24"/>
  <c r="L16" i="23"/>
  <c r="CO16" i="23"/>
  <c r="CS16" i="23" s="1"/>
  <c r="CW9" i="22"/>
  <c r="DA9" i="22" s="1"/>
  <c r="CW7" i="22"/>
  <c r="DA7" i="22" s="1"/>
  <c r="CO12" i="24"/>
  <c r="CS12" i="24" s="1"/>
  <c r="XG12" i="24"/>
  <c r="XD12" i="24"/>
  <c r="XK12" i="24"/>
  <c r="J12" i="24"/>
  <c r="XK16" i="23"/>
  <c r="XG16" i="23"/>
  <c r="XD16" i="23"/>
  <c r="J16" i="23"/>
  <c r="J9" i="22"/>
  <c r="K9" i="22" s="1"/>
  <c r="XS9" i="22"/>
  <c r="XO9" i="22"/>
  <c r="XL9" i="22"/>
  <c r="L9" i="22"/>
  <c r="M9" i="22" s="1"/>
  <c r="P9" i="22"/>
  <c r="DC9" i="22" s="1"/>
  <c r="N9" i="22"/>
  <c r="CW17" i="22"/>
  <c r="DA17" i="22" s="1"/>
  <c r="J7" i="22"/>
  <c r="K7" i="22" s="1"/>
  <c r="XO7" i="22"/>
  <c r="XL7" i="22"/>
  <c r="XS7" i="22"/>
  <c r="L7" i="22"/>
  <c r="M7" i="22" s="1"/>
  <c r="P7" i="22"/>
  <c r="DC7" i="22" s="1"/>
  <c r="N7" i="22"/>
  <c r="DB7" i="22" s="1"/>
  <c r="XL17" i="22"/>
  <c r="J17" i="22"/>
  <c r="K17" i="22" s="1"/>
  <c r="XO17" i="22"/>
  <c r="XS17" i="22"/>
  <c r="L17" i="22"/>
  <c r="M17" i="22" s="1"/>
  <c r="P17" i="22"/>
  <c r="DC17" i="22" s="1"/>
  <c r="N17" i="22"/>
  <c r="CW24" i="4"/>
  <c r="DA24" i="4" s="1"/>
  <c r="J24" i="4"/>
  <c r="K24" i="4" s="1"/>
  <c r="CW20" i="4"/>
  <c r="DA20" i="4" s="1"/>
  <c r="L24" i="4"/>
  <c r="M24" i="4" s="1"/>
  <c r="P24" i="4"/>
  <c r="DC24" i="4" s="1"/>
  <c r="N24" i="4"/>
  <c r="DB24" i="4" s="1"/>
  <c r="L20" i="4"/>
  <c r="M20" i="4" s="1"/>
  <c r="P20" i="4"/>
  <c r="DC20" i="4" s="1"/>
  <c r="N20" i="4"/>
  <c r="J20" i="4"/>
  <c r="K20" i="4" s="1"/>
  <c r="H17" i="22" l="1"/>
  <c r="A17" i="22" s="1" a="1"/>
  <c r="A17" i="22" s="1"/>
  <c r="DB20" i="4"/>
  <c r="V20" i="4" s="1"/>
  <c r="X20" i="4" s="1"/>
  <c r="DB17" i="22"/>
  <c r="DB9" i="22"/>
  <c r="H24" i="4"/>
  <c r="H16" i="23"/>
  <c r="A16" i="23" s="1" a="1"/>
  <c r="A16" i="23" s="1"/>
  <c r="H12" i="24"/>
  <c r="H9" i="22"/>
  <c r="H7" i="22"/>
  <c r="CT12" i="24"/>
  <c r="CU12" i="24"/>
  <c r="CU16" i="23"/>
  <c r="CT16" i="23"/>
  <c r="M12" i="24"/>
  <c r="M16" i="23"/>
  <c r="XP9" i="22"/>
  <c r="XT9" i="22" s="1"/>
  <c r="XP7" i="22"/>
  <c r="XT7" i="22" s="1"/>
  <c r="XH12" i="24"/>
  <c r="XL12" i="24" s="1"/>
  <c r="K12" i="24"/>
  <c r="XH16" i="23"/>
  <c r="XL16" i="23" s="1"/>
  <c r="K16" i="23"/>
  <c r="O9" i="22"/>
  <c r="Q9" i="22"/>
  <c r="XP17" i="22"/>
  <c r="XT17" i="22" s="1"/>
  <c r="Q7" i="22"/>
  <c r="O7" i="22"/>
  <c r="O17" i="22"/>
  <c r="Q17" i="22"/>
  <c r="O24" i="4"/>
  <c r="Q24" i="4"/>
  <c r="O20" i="4"/>
  <c r="Q20" i="4"/>
  <c r="A24" i="4" l="1" a="1"/>
  <c r="A24" i="4" s="1"/>
  <c r="N12" i="24"/>
  <c r="P12" i="24" s="1"/>
  <c r="N16" i="23"/>
  <c r="P16" i="23" s="1"/>
  <c r="V9" i="22"/>
  <c r="X9" i="22" s="1"/>
  <c r="V7" i="22"/>
  <c r="X7" i="22" s="1"/>
  <c r="V17" i="22"/>
  <c r="X17" i="22" s="1"/>
  <c r="E20" i="4"/>
  <c r="V24" i="4"/>
  <c r="X24" i="4" s="1"/>
  <c r="W20" i="4"/>
  <c r="W17" i="22" l="1"/>
  <c r="W7" i="22"/>
  <c r="W9" i="22"/>
  <c r="E12" i="24"/>
  <c r="O16" i="23"/>
  <c r="E16" i="23"/>
  <c r="O12" i="24"/>
  <c r="E9" i="22"/>
  <c r="E7" i="22"/>
  <c r="E17" i="22"/>
  <c r="W24" i="4"/>
  <c r="E24" i="4"/>
  <c r="CQ6" i="4" l="1"/>
  <c r="CR6" i="4"/>
  <c r="CS6" i="4"/>
  <c r="CT6" i="4"/>
  <c r="CU6" i="4"/>
  <c r="CV6" i="4"/>
  <c r="CX6" i="4"/>
  <c r="CY6" i="4"/>
  <c r="CZ6" i="4"/>
  <c r="CI6" i="24"/>
  <c r="CJ6" i="24"/>
  <c r="CK6" i="24"/>
  <c r="CL6" i="24"/>
  <c r="CM6" i="24"/>
  <c r="CN6" i="24"/>
  <c r="CP6" i="24"/>
  <c r="CQ6" i="24"/>
  <c r="CR6" i="24"/>
  <c r="WL6" i="24"/>
  <c r="WM6" i="24"/>
  <c r="WN6" i="24"/>
  <c r="XB6" i="24" s="1"/>
  <c r="WO6" i="24"/>
  <c r="XC6" i="24" s="1"/>
  <c r="WP6" i="24"/>
  <c r="WQ6" i="24"/>
  <c r="WR6" i="24"/>
  <c r="WS6" i="24"/>
  <c r="XE6" i="24" s="1"/>
  <c r="WT6" i="24"/>
  <c r="XF6" i="24" s="1"/>
  <c r="WU6" i="24"/>
  <c r="WV6" i="24"/>
  <c r="WW6" i="24"/>
  <c r="WX6" i="24"/>
  <c r="XI6" i="24" s="1"/>
  <c r="WY6" i="24"/>
  <c r="XJ6" i="24" s="1"/>
  <c r="WZ6" i="24"/>
  <c r="G6" i="24" l="1"/>
  <c r="G6" i="4"/>
  <c r="F6" i="4"/>
  <c r="I6" i="4"/>
  <c r="I6" i="24"/>
  <c r="F6" i="24"/>
  <c r="H6" i="24" s="1"/>
  <c r="R6" i="4"/>
  <c r="S6" i="4" s="1"/>
  <c r="T6" i="4"/>
  <c r="U6" i="4" s="1"/>
  <c r="L6" i="24"/>
  <c r="CO6" i="24"/>
  <c r="CS6" i="24" s="1"/>
  <c r="CW6" i="4"/>
  <c r="DA6" i="4" s="1"/>
  <c r="J6" i="4"/>
  <c r="K6" i="4" s="1"/>
  <c r="L6" i="4"/>
  <c r="M6" i="4" s="1"/>
  <c r="P6" i="4"/>
  <c r="DC6" i="4" s="1"/>
  <c r="N6" i="4"/>
  <c r="DB6" i="4" s="1"/>
  <c r="XD6" i="24"/>
  <c r="XK6" i="24"/>
  <c r="XG6" i="24"/>
  <c r="J6" i="24"/>
  <c r="CV8" i="21"/>
  <c r="CW8" i="21"/>
  <c r="CX8" i="21"/>
  <c r="CY8" i="21"/>
  <c r="DA8" i="21"/>
  <c r="DB8" i="21"/>
  <c r="TK8" i="21"/>
  <c r="TL8" i="21"/>
  <c r="TM8" i="21"/>
  <c r="TN8" i="21"/>
  <c r="TO8" i="21"/>
  <c r="TP8" i="21"/>
  <c r="TQ8" i="21"/>
  <c r="TR8" i="21"/>
  <c r="TS8" i="21"/>
  <c r="TT8" i="21"/>
  <c r="TU8" i="21"/>
  <c r="TV8" i="21"/>
  <c r="TW8" i="21"/>
  <c r="TX8" i="21"/>
  <c r="TY8" i="21"/>
  <c r="TZ8" i="21"/>
  <c r="UA8" i="21"/>
  <c r="UB8" i="21"/>
  <c r="UC8" i="21"/>
  <c r="UD8" i="21"/>
  <c r="CV11" i="19"/>
  <c r="CW11" i="19"/>
  <c r="CX11" i="19"/>
  <c r="CY11" i="19"/>
  <c r="DA11" i="19"/>
  <c r="DB11" i="19"/>
  <c r="TK11" i="19"/>
  <c r="TL11" i="19"/>
  <c r="TM11" i="19"/>
  <c r="TN11" i="19"/>
  <c r="TO11" i="19"/>
  <c r="TP11" i="19"/>
  <c r="TQ11" i="19"/>
  <c r="TR11" i="19"/>
  <c r="TS11" i="19"/>
  <c r="TT11" i="19"/>
  <c r="TU11" i="19"/>
  <c r="TV11" i="19"/>
  <c r="TW11" i="19"/>
  <c r="TX11" i="19"/>
  <c r="TY11" i="19"/>
  <c r="TZ11" i="19"/>
  <c r="UA11" i="19"/>
  <c r="UB11" i="19"/>
  <c r="UC11" i="19"/>
  <c r="UD11" i="19"/>
  <c r="H6" i="4" l="1"/>
  <c r="G8" i="21"/>
  <c r="F8" i="21"/>
  <c r="G11" i="19"/>
  <c r="F11" i="19"/>
  <c r="CT6" i="24"/>
  <c r="CU6" i="24"/>
  <c r="DC8" i="21"/>
  <c r="DC11" i="19"/>
  <c r="M6" i="24"/>
  <c r="O6" i="4"/>
  <c r="Q6" i="4"/>
  <c r="XH6" i="24"/>
  <c r="XL6" i="24" s="1"/>
  <c r="K6" i="24"/>
  <c r="UF8" i="21"/>
  <c r="UK8" i="21"/>
  <c r="N8" i="21"/>
  <c r="DE8" i="21" s="1"/>
  <c r="CZ8" i="21"/>
  <c r="I8" i="21" s="1"/>
  <c r="P8" i="21"/>
  <c r="DF8" i="21" s="1"/>
  <c r="UH8" i="21"/>
  <c r="UG8" i="21"/>
  <c r="UL8" i="21"/>
  <c r="L8" i="21"/>
  <c r="DD8" i="21" s="1"/>
  <c r="J8" i="21"/>
  <c r="UI8" i="21"/>
  <c r="UF11" i="19"/>
  <c r="UK11" i="19"/>
  <c r="P11" i="19"/>
  <c r="DF11" i="19" s="1"/>
  <c r="CZ11" i="19"/>
  <c r="I11" i="19" s="1"/>
  <c r="UH11" i="19"/>
  <c r="UG11" i="19"/>
  <c r="UL11" i="19"/>
  <c r="N11" i="19"/>
  <c r="DE11" i="19" s="1"/>
  <c r="L11" i="19"/>
  <c r="DD11" i="19" s="1"/>
  <c r="J11" i="19"/>
  <c r="K11" i="19" s="1"/>
  <c r="UI11" i="19"/>
  <c r="M11" i="19" l="1"/>
  <c r="H11" i="19"/>
  <c r="H8" i="21"/>
  <c r="UM8" i="21"/>
  <c r="UM11" i="19"/>
  <c r="Q11" i="19"/>
  <c r="O8" i="21"/>
  <c r="K8" i="21"/>
  <c r="M8" i="21" s="1"/>
  <c r="O11" i="19"/>
  <c r="UJ11" i="19"/>
  <c r="V6" i="4"/>
  <c r="X6" i="4" s="1"/>
  <c r="N6" i="24"/>
  <c r="P6" i="24" s="1"/>
  <c r="UJ8" i="21"/>
  <c r="Q8" i="21"/>
  <c r="E6" i="4" l="1"/>
  <c r="E6" i="24"/>
  <c r="W6" i="4"/>
  <c r="R8" i="21"/>
  <c r="T8" i="21" s="1"/>
  <c r="O6" i="24"/>
  <c r="R11" i="19"/>
  <c r="T11" i="19" s="1"/>
  <c r="S8" i="21" l="1"/>
  <c r="S11" i="19"/>
  <c r="E8" i="21"/>
  <c r="E11" i="19"/>
  <c r="CI12" i="23" l="1"/>
  <c r="CJ12" i="23"/>
  <c r="CK12" i="23"/>
  <c r="CL12" i="23"/>
  <c r="CM12" i="23"/>
  <c r="CN12" i="23"/>
  <c r="CP12" i="23"/>
  <c r="CQ12" i="23"/>
  <c r="CR12" i="23"/>
  <c r="WL12" i="23"/>
  <c r="WM12" i="23"/>
  <c r="WN12" i="23"/>
  <c r="XB12" i="23" s="1"/>
  <c r="WO12" i="23"/>
  <c r="XC12" i="23" s="1"/>
  <c r="WP12" i="23"/>
  <c r="WQ12" i="23"/>
  <c r="WR12" i="23"/>
  <c r="WS12" i="23"/>
  <c r="XE12" i="23" s="1"/>
  <c r="WT12" i="23"/>
  <c r="XF12" i="23" s="1"/>
  <c r="WU12" i="23"/>
  <c r="WV12" i="23"/>
  <c r="WW12" i="23"/>
  <c r="WX12" i="23"/>
  <c r="XI12" i="23" s="1"/>
  <c r="WY12" i="23"/>
  <c r="XJ12" i="23" s="1"/>
  <c r="WZ12" i="23"/>
  <c r="WZ5" i="24"/>
  <c r="WY5" i="24"/>
  <c r="XJ5" i="24" s="1"/>
  <c r="WX5" i="24"/>
  <c r="XI5" i="24" s="1"/>
  <c r="WW5" i="24"/>
  <c r="WV5" i="24"/>
  <c r="WU5" i="24"/>
  <c r="WT5" i="24"/>
  <c r="XF5" i="24" s="1"/>
  <c r="WS5" i="24"/>
  <c r="XE5" i="24" s="1"/>
  <c r="WR5" i="24"/>
  <c r="WQ5" i="24"/>
  <c r="WP5" i="24"/>
  <c r="WO5" i="24"/>
  <c r="XC5" i="24" s="1"/>
  <c r="WN5" i="24"/>
  <c r="XB5" i="24" s="1"/>
  <c r="WM5" i="24"/>
  <c r="WL5" i="24"/>
  <c r="CR5" i="24"/>
  <c r="CQ5" i="24"/>
  <c r="CP5" i="24"/>
  <c r="CN5" i="24"/>
  <c r="CM5" i="24"/>
  <c r="CL5" i="24"/>
  <c r="CK5" i="24"/>
  <c r="CJ5" i="24"/>
  <c r="CI5" i="24"/>
  <c r="WZ4" i="24"/>
  <c r="WY4" i="24"/>
  <c r="XJ4" i="24" s="1"/>
  <c r="WX4" i="24"/>
  <c r="XI4" i="24" s="1"/>
  <c r="WW4" i="24"/>
  <c r="WV4" i="24"/>
  <c r="WU4" i="24"/>
  <c r="WT4" i="24"/>
  <c r="XF4" i="24" s="1"/>
  <c r="WS4" i="24"/>
  <c r="XE4" i="24" s="1"/>
  <c r="WR4" i="24"/>
  <c r="WQ4" i="24"/>
  <c r="WP4" i="24"/>
  <c r="WO4" i="24"/>
  <c r="XC4" i="24" s="1"/>
  <c r="WN4" i="24"/>
  <c r="XB4" i="24" s="1"/>
  <c r="WM4" i="24"/>
  <c r="WL4" i="24"/>
  <c r="CR4" i="24"/>
  <c r="CQ4" i="24"/>
  <c r="CP4" i="24"/>
  <c r="CN4" i="24"/>
  <c r="CM4" i="24"/>
  <c r="CL4" i="24"/>
  <c r="CK4" i="24"/>
  <c r="CJ4" i="24"/>
  <c r="CI4" i="24"/>
  <c r="XH16" i="22"/>
  <c r="XG16" i="22"/>
  <c r="XR16" i="22" s="1"/>
  <c r="XF16" i="22"/>
  <c r="XQ16" i="22" s="1"/>
  <c r="XE16" i="22"/>
  <c r="XD16" i="22"/>
  <c r="XC16" i="22"/>
  <c r="XB16" i="22"/>
  <c r="XN16" i="22" s="1"/>
  <c r="XA16" i="22"/>
  <c r="XM16" i="22" s="1"/>
  <c r="WZ16" i="22"/>
  <c r="WY16" i="22"/>
  <c r="WX16" i="22"/>
  <c r="WW16" i="22"/>
  <c r="XK16" i="22" s="1"/>
  <c r="WV16" i="22"/>
  <c r="XJ16" i="22" s="1"/>
  <c r="WU16" i="22"/>
  <c r="WT16" i="22"/>
  <c r="CZ16" i="22"/>
  <c r="CY16" i="22"/>
  <c r="CX16" i="22"/>
  <c r="CV16" i="22"/>
  <c r="CU16" i="22"/>
  <c r="CT16" i="22"/>
  <c r="CS16" i="22"/>
  <c r="CR16" i="22"/>
  <c r="CQ16" i="22"/>
  <c r="XH11" i="22"/>
  <c r="XG11" i="22"/>
  <c r="XF11" i="22"/>
  <c r="XQ11" i="22" s="1"/>
  <c r="XE11" i="22"/>
  <c r="XD11" i="22"/>
  <c r="XC11" i="22"/>
  <c r="XB11" i="22"/>
  <c r="XN11" i="22" s="1"/>
  <c r="XA11" i="22"/>
  <c r="XM11" i="22" s="1"/>
  <c r="WZ11" i="22"/>
  <c r="WY11" i="22"/>
  <c r="WX11" i="22"/>
  <c r="WW11" i="22"/>
  <c r="XK11" i="22" s="1"/>
  <c r="WV11" i="22"/>
  <c r="XJ11" i="22" s="1"/>
  <c r="WU11" i="22"/>
  <c r="WT11" i="22"/>
  <c r="CZ11" i="22"/>
  <c r="CY11" i="22"/>
  <c r="CX11" i="22"/>
  <c r="CV11" i="22"/>
  <c r="CU11" i="22"/>
  <c r="CT11" i="22"/>
  <c r="CS11" i="22"/>
  <c r="CR11" i="22"/>
  <c r="CQ11" i="22"/>
  <c r="XH12" i="22"/>
  <c r="XG12" i="22"/>
  <c r="XR12" i="22" s="1"/>
  <c r="XF12" i="22"/>
  <c r="XQ12" i="22" s="1"/>
  <c r="XE12" i="22"/>
  <c r="XD12" i="22"/>
  <c r="XC12" i="22"/>
  <c r="XB12" i="22"/>
  <c r="XN12" i="22" s="1"/>
  <c r="XA12" i="22"/>
  <c r="XM12" i="22" s="1"/>
  <c r="WZ12" i="22"/>
  <c r="WY12" i="22"/>
  <c r="WX12" i="22"/>
  <c r="WW12" i="22"/>
  <c r="XK12" i="22" s="1"/>
  <c r="WV12" i="22"/>
  <c r="XJ12" i="22" s="1"/>
  <c r="WU12" i="22"/>
  <c r="WT12" i="22"/>
  <c r="CZ12" i="22"/>
  <c r="CY12" i="22"/>
  <c r="CX12" i="22"/>
  <c r="CV12" i="22"/>
  <c r="CU12" i="22"/>
  <c r="CT12" i="22"/>
  <c r="CS12" i="22"/>
  <c r="CR12" i="22"/>
  <c r="CQ12" i="22"/>
  <c r="XH8" i="22"/>
  <c r="XG8" i="22"/>
  <c r="XR8" i="22" s="1"/>
  <c r="XF8" i="22"/>
  <c r="XQ8" i="22" s="1"/>
  <c r="XE8" i="22"/>
  <c r="XD8" i="22"/>
  <c r="XC8" i="22"/>
  <c r="XB8" i="22"/>
  <c r="XN8" i="22" s="1"/>
  <c r="XA8" i="22"/>
  <c r="XM8" i="22" s="1"/>
  <c r="WZ8" i="22"/>
  <c r="WY8" i="22"/>
  <c r="WX8" i="22"/>
  <c r="WW8" i="22"/>
  <c r="XK8" i="22" s="1"/>
  <c r="WV8" i="22"/>
  <c r="XJ8" i="22" s="1"/>
  <c r="WU8" i="22"/>
  <c r="WT8" i="22"/>
  <c r="CZ8" i="22"/>
  <c r="CY8" i="22"/>
  <c r="CX8" i="22"/>
  <c r="CV8" i="22"/>
  <c r="CU8" i="22"/>
  <c r="CT8" i="22"/>
  <c r="CS8" i="22"/>
  <c r="CR8" i="22"/>
  <c r="CQ8" i="22"/>
  <c r="XH4" i="22"/>
  <c r="XG4" i="22"/>
  <c r="XR4" i="22" s="1"/>
  <c r="XF4" i="22"/>
  <c r="XQ4" i="22" s="1"/>
  <c r="XE4" i="22"/>
  <c r="XD4" i="22"/>
  <c r="XC4" i="22"/>
  <c r="XB4" i="22"/>
  <c r="XN4" i="22" s="1"/>
  <c r="XA4" i="22"/>
  <c r="XM4" i="22" s="1"/>
  <c r="WZ4" i="22"/>
  <c r="WY4" i="22"/>
  <c r="WX4" i="22"/>
  <c r="WW4" i="22"/>
  <c r="XK4" i="22" s="1"/>
  <c r="WV4" i="22"/>
  <c r="XJ4" i="22" s="1"/>
  <c r="WU4" i="22"/>
  <c r="WT4" i="22"/>
  <c r="CZ4" i="22"/>
  <c r="CY4" i="22"/>
  <c r="CX4" i="22"/>
  <c r="CV4" i="22"/>
  <c r="CU4" i="22"/>
  <c r="CT4" i="22"/>
  <c r="CS4" i="22"/>
  <c r="CR4" i="22"/>
  <c r="CQ4" i="22"/>
  <c r="XH5" i="22"/>
  <c r="XG5" i="22"/>
  <c r="XR5" i="22" s="1"/>
  <c r="XF5" i="22"/>
  <c r="XQ5" i="22" s="1"/>
  <c r="XE5" i="22"/>
  <c r="XD5" i="22"/>
  <c r="XC5" i="22"/>
  <c r="XB5" i="22"/>
  <c r="XN5" i="22" s="1"/>
  <c r="XA5" i="22"/>
  <c r="XM5" i="22" s="1"/>
  <c r="WZ5" i="22"/>
  <c r="WY5" i="22"/>
  <c r="WX5" i="22"/>
  <c r="WW5" i="22"/>
  <c r="XK5" i="22" s="1"/>
  <c r="WV5" i="22"/>
  <c r="XJ5" i="22" s="1"/>
  <c r="WU5" i="22"/>
  <c r="WT5" i="22"/>
  <c r="CZ5" i="22"/>
  <c r="CY5" i="22"/>
  <c r="CX5" i="22"/>
  <c r="CV5" i="22"/>
  <c r="CU5" i="22"/>
  <c r="CT5" i="22"/>
  <c r="CS5" i="22"/>
  <c r="CR5" i="22"/>
  <c r="CQ5" i="22"/>
  <c r="XH6" i="22"/>
  <c r="XG6" i="22"/>
  <c r="XR6" i="22" s="1"/>
  <c r="XF6" i="22"/>
  <c r="XQ6" i="22" s="1"/>
  <c r="XE6" i="22"/>
  <c r="XD6" i="22"/>
  <c r="XC6" i="22"/>
  <c r="XB6" i="22"/>
  <c r="XN6" i="22" s="1"/>
  <c r="XA6" i="22"/>
  <c r="XM6" i="22" s="1"/>
  <c r="WZ6" i="22"/>
  <c r="WY6" i="22"/>
  <c r="WX6" i="22"/>
  <c r="WW6" i="22"/>
  <c r="XK6" i="22" s="1"/>
  <c r="WV6" i="22"/>
  <c r="XJ6" i="22" s="1"/>
  <c r="WU6" i="22"/>
  <c r="WT6" i="22"/>
  <c r="CZ6" i="22"/>
  <c r="CY6" i="22"/>
  <c r="CX6" i="22"/>
  <c r="CV6" i="22"/>
  <c r="CU6" i="22"/>
  <c r="CT6" i="22"/>
  <c r="CS6" i="22"/>
  <c r="CR6" i="22"/>
  <c r="CQ6" i="22"/>
  <c r="G6" i="22" l="1"/>
  <c r="G4" i="24"/>
  <c r="G4" i="22"/>
  <c r="G12" i="23"/>
  <c r="F12" i="23"/>
  <c r="I12" i="23"/>
  <c r="I4" i="24"/>
  <c r="F4" i="24"/>
  <c r="F5" i="24"/>
  <c r="I5" i="24"/>
  <c r="G5" i="24"/>
  <c r="F5" i="22"/>
  <c r="I5" i="22"/>
  <c r="F6" i="22"/>
  <c r="I6" i="22"/>
  <c r="I4" i="22"/>
  <c r="F4" i="22"/>
  <c r="F8" i="22"/>
  <c r="I8" i="22"/>
  <c r="I11" i="22"/>
  <c r="F11" i="22"/>
  <c r="G8" i="22"/>
  <c r="G11" i="22"/>
  <c r="I16" i="22"/>
  <c r="F16" i="22"/>
  <c r="G16" i="22"/>
  <c r="F12" i="22"/>
  <c r="I12" i="22"/>
  <c r="G5" i="22"/>
  <c r="G12" i="22"/>
  <c r="T8" i="22"/>
  <c r="U8" i="22" s="1"/>
  <c r="R8" i="22"/>
  <c r="S8" i="22" s="1"/>
  <c r="R11" i="22"/>
  <c r="S11" i="22" s="1"/>
  <c r="T11" i="22"/>
  <c r="U11" i="22" s="1"/>
  <c r="T6" i="22"/>
  <c r="U6" i="22" s="1"/>
  <c r="R6" i="22"/>
  <c r="S6" i="22" s="1"/>
  <c r="T4" i="22"/>
  <c r="U4" i="22" s="1"/>
  <c r="R4" i="22"/>
  <c r="S4" i="22" s="1"/>
  <c r="R16" i="22"/>
  <c r="S16" i="22" s="1"/>
  <c r="T16" i="22"/>
  <c r="U16" i="22" s="1"/>
  <c r="R12" i="22"/>
  <c r="S12" i="22" s="1"/>
  <c r="T12" i="22"/>
  <c r="U12" i="22" s="1"/>
  <c r="R5" i="22"/>
  <c r="S5" i="22" s="1"/>
  <c r="T5" i="22"/>
  <c r="U5" i="22" s="1"/>
  <c r="L5" i="24"/>
  <c r="L4" i="24"/>
  <c r="L12" i="23"/>
  <c r="CO5" i="24"/>
  <c r="CS5" i="24" s="1"/>
  <c r="CO4" i="24"/>
  <c r="CS4" i="24" s="1"/>
  <c r="CO12" i="23"/>
  <c r="CS12" i="23" s="1"/>
  <c r="CW16" i="22"/>
  <c r="DA16" i="22" s="1"/>
  <c r="XS16" i="22"/>
  <c r="P4" i="22"/>
  <c r="DC4" i="22" s="1"/>
  <c r="XK12" i="23"/>
  <c r="XG12" i="23"/>
  <c r="XD12" i="23"/>
  <c r="J12" i="23"/>
  <c r="K12" i="23" s="1"/>
  <c r="P16" i="22"/>
  <c r="DC16" i="22" s="1"/>
  <c r="J4" i="24"/>
  <c r="XG5" i="24"/>
  <c r="J5" i="24"/>
  <c r="K5" i="24" s="1"/>
  <c r="P8" i="22"/>
  <c r="DC8" i="22" s="1"/>
  <c r="CW4" i="22"/>
  <c r="DA4" i="22" s="1"/>
  <c r="P12" i="22"/>
  <c r="DC12" i="22" s="1"/>
  <c r="XD4" i="24"/>
  <c r="XG4" i="24"/>
  <c r="XK4" i="24"/>
  <c r="XD5" i="24"/>
  <c r="XK5" i="24"/>
  <c r="J6" i="22"/>
  <c r="K6" i="22" s="1"/>
  <c r="XS12" i="22"/>
  <c r="CW6" i="22"/>
  <c r="DA6" i="22" s="1"/>
  <c r="XO4" i="22"/>
  <c r="XS6" i="22"/>
  <c r="XL12" i="22"/>
  <c r="L8" i="22"/>
  <c r="M8" i="22" s="1"/>
  <c r="L12" i="22"/>
  <c r="M12" i="22" s="1"/>
  <c r="XS4" i="22"/>
  <c r="XL8" i="22"/>
  <c r="N12" i="22"/>
  <c r="XO8" i="22"/>
  <c r="P5" i="22"/>
  <c r="DC5" i="22" s="1"/>
  <c r="XL5" i="22"/>
  <c r="XO5" i="22"/>
  <c r="N8" i="22"/>
  <c r="DB8" i="22" s="1"/>
  <c r="P11" i="22"/>
  <c r="DC11" i="22" s="1"/>
  <c r="L6" i="22"/>
  <c r="M6" i="22" s="1"/>
  <c r="J4" i="22"/>
  <c r="K4" i="22" s="1"/>
  <c r="XS8" i="22"/>
  <c r="XO12" i="22"/>
  <c r="XL11" i="22"/>
  <c r="N6" i="22"/>
  <c r="DB6" i="22" s="1"/>
  <c r="XO6" i="22"/>
  <c r="CW5" i="22"/>
  <c r="DA5" i="22" s="1"/>
  <c r="N4" i="22"/>
  <c r="XO11" i="22"/>
  <c r="P6" i="22"/>
  <c r="DC6" i="22" s="1"/>
  <c r="CW8" i="22"/>
  <c r="DA8" i="22" s="1"/>
  <c r="CW11" i="22"/>
  <c r="DA11" i="22" s="1"/>
  <c r="XL16" i="22"/>
  <c r="XL4" i="22"/>
  <c r="XO16" i="22"/>
  <c r="XL6" i="22"/>
  <c r="L5" i="22"/>
  <c r="J5" i="22"/>
  <c r="N5" i="22"/>
  <c r="CW12" i="22"/>
  <c r="DA12" i="22" s="1"/>
  <c r="N16" i="22"/>
  <c r="J12" i="22"/>
  <c r="XS5" i="22"/>
  <c r="J11" i="22"/>
  <c r="XS11" i="22"/>
  <c r="XR11" i="22"/>
  <c r="J8" i="22"/>
  <c r="L4" i="22"/>
  <c r="N11" i="22"/>
  <c r="L11" i="22"/>
  <c r="L16" i="22"/>
  <c r="J16" i="22"/>
  <c r="H6" i="22" l="1"/>
  <c r="H5" i="22"/>
  <c r="H4" i="24"/>
  <c r="H4" i="22"/>
  <c r="H16" i="22"/>
  <c r="DB11" i="22"/>
  <c r="V11" i="22" s="1"/>
  <c r="X11" i="22" s="1"/>
  <c r="DB16" i="22"/>
  <c r="DB4" i="22"/>
  <c r="V4" i="22" s="1"/>
  <c r="X4" i="22" s="1"/>
  <c r="DB5" i="22"/>
  <c r="DB12" i="22"/>
  <c r="V12" i="22" s="1"/>
  <c r="X12" i="22" s="1"/>
  <c r="H12" i="23"/>
  <c r="H5" i="24"/>
  <c r="H8" i="22"/>
  <c r="H12" i="22"/>
  <c r="H11" i="22"/>
  <c r="CT4" i="24"/>
  <c r="CU4" i="24"/>
  <c r="CU5" i="24"/>
  <c r="CT5" i="24"/>
  <c r="CU12" i="23"/>
  <c r="CT12" i="23"/>
  <c r="M4" i="24"/>
  <c r="M5" i="24"/>
  <c r="M12" i="23"/>
  <c r="Q16" i="22"/>
  <c r="Q5" i="22"/>
  <c r="Q8" i="22"/>
  <c r="XP8" i="22"/>
  <c r="XT8" i="22" s="1"/>
  <c r="Q4" i="22"/>
  <c r="XP6" i="22"/>
  <c r="XT6" i="22" s="1"/>
  <c r="Q11" i="22"/>
  <c r="Q12" i="22"/>
  <c r="O8" i="22"/>
  <c r="O11" i="22"/>
  <c r="O6" i="22"/>
  <c r="O12" i="22"/>
  <c r="O5" i="22"/>
  <c r="O16" i="22"/>
  <c r="Q6" i="22"/>
  <c r="O4" i="22"/>
  <c r="XP12" i="22"/>
  <c r="XT12" i="22" s="1"/>
  <c r="XP4" i="22"/>
  <c r="XT4" i="22" s="1"/>
  <c r="XP16" i="22"/>
  <c r="XT16" i="22" s="1"/>
  <c r="XP11" i="22"/>
  <c r="XT11" i="22" s="1"/>
  <c r="XH12" i="23"/>
  <c r="XL12" i="23" s="1"/>
  <c r="XH5" i="24"/>
  <c r="XL5" i="24" s="1"/>
  <c r="K4" i="24"/>
  <c r="XH4" i="24"/>
  <c r="XL4" i="24" s="1"/>
  <c r="XP5" i="22"/>
  <c r="XT5" i="22" s="1"/>
  <c r="K8" i="22"/>
  <c r="M16" i="22"/>
  <c r="M4" i="22"/>
  <c r="K5" i="22"/>
  <c r="K16" i="22"/>
  <c r="K12" i="22"/>
  <c r="M5" i="22"/>
  <c r="M11" i="22"/>
  <c r="K11" i="22"/>
  <c r="V16" i="22" l="1"/>
  <c r="X16" i="22" s="1"/>
  <c r="N12" i="23"/>
  <c r="P12" i="23" s="1"/>
  <c r="V8" i="22"/>
  <c r="X8" i="22" s="1"/>
  <c r="N4" i="24"/>
  <c r="P4" i="24" s="1"/>
  <c r="N5" i="24"/>
  <c r="P5" i="24" s="1"/>
  <c r="V5" i="22"/>
  <c r="X5" i="22" s="1"/>
  <c r="V6" i="22"/>
  <c r="X6" i="22" s="1"/>
  <c r="E4" i="22"/>
  <c r="E12" i="22"/>
  <c r="E11" i="22"/>
  <c r="W12" i="22"/>
  <c r="W11" i="22"/>
  <c r="W4" i="22"/>
  <c r="E16" i="22" l="1"/>
  <c r="W16" i="22"/>
  <c r="E4" i="24"/>
  <c r="O12" i="23"/>
  <c r="E12" i="23"/>
  <c r="A12" i="23" s="1" a="1"/>
  <c r="A12" i="23" s="1"/>
  <c r="E5" i="24"/>
  <c r="W8" i="22"/>
  <c r="E8" i="22"/>
  <c r="W5" i="22"/>
  <c r="E6" i="22"/>
  <c r="O4" i="24"/>
  <c r="O5" i="24"/>
  <c r="W6" i="22"/>
  <c r="E5" i="22"/>
  <c r="A14" i="22" l="1" a="1"/>
  <c r="A14" i="22" s="1"/>
  <c r="A8" i="24" a="1"/>
  <c r="A8" i="24" s="1"/>
  <c r="A9" i="24" a="1"/>
  <c r="A9" i="24" s="1"/>
  <c r="A16" i="22" a="1"/>
  <c r="A16" i="22" s="1"/>
  <c r="A10" i="24" a="1"/>
  <c r="A10" i="24" s="1"/>
  <c r="A11" i="24" a="1"/>
  <c r="A11" i="24" s="1"/>
  <c r="A13" i="24" a="1"/>
  <c r="A13" i="24" s="1"/>
  <c r="A7" i="23" a="1"/>
  <c r="A7" i="23" s="1"/>
  <c r="A6" i="23" a="1"/>
  <c r="A6" i="23" s="1"/>
  <c r="A5" i="23" a="1"/>
  <c r="A5" i="23" s="1"/>
  <c r="A10" i="22" a="1"/>
  <c r="A10" i="22" s="1"/>
  <c r="A9" i="22" a="1"/>
  <c r="A9" i="22" s="1"/>
  <c r="A15" i="22" a="1"/>
  <c r="A15" i="22" s="1"/>
  <c r="A12" i="22" a="1"/>
  <c r="A12" i="22" s="1"/>
  <c r="A12" i="24" a="1"/>
  <c r="A12" i="24" s="1"/>
  <c r="A5" i="24" a="1"/>
  <c r="A5" i="24" s="1"/>
  <c r="A6" i="24" a="1"/>
  <c r="A6" i="24" s="1"/>
  <c r="A7" i="24" a="1"/>
  <c r="A7" i="24" s="1"/>
  <c r="A15" i="24" a="1"/>
  <c r="A15" i="24" s="1"/>
  <c r="A4" i="24" a="1"/>
  <c r="A4" i="24" s="1"/>
  <c r="A4" i="23" a="1"/>
  <c r="A4" i="23" s="1"/>
  <c r="A6" i="22" a="1"/>
  <c r="A6" i="22" s="1"/>
  <c r="A5" i="22" a="1"/>
  <c r="A5" i="22" s="1"/>
  <c r="A8" i="22" a="1"/>
  <c r="A8" i="22" s="1"/>
  <c r="A7" i="22" a="1"/>
  <c r="A7" i="22" s="1"/>
  <c r="A11" i="22" a="1"/>
  <c r="A11" i="22" s="1"/>
  <c r="A4" i="22" a="1"/>
  <c r="A4" i="22" s="1"/>
  <c r="A13" i="22" a="1"/>
  <c r="A13" i="22" s="1"/>
  <c r="C22" i="11" l="1"/>
  <c r="D18" i="11"/>
  <c r="C21" i="11"/>
  <c r="C20" i="11"/>
  <c r="D19" i="11"/>
  <c r="C18" i="11"/>
  <c r="D20" i="11"/>
  <c r="C19" i="11"/>
  <c r="D21" i="11"/>
  <c r="D23" i="11"/>
  <c r="C25" i="11"/>
  <c r="C23" i="11"/>
  <c r="C24" i="11"/>
  <c r="D22" i="11"/>
  <c r="D25" i="11"/>
  <c r="D24" i="11"/>
  <c r="D17" i="11"/>
  <c r="C17" i="11"/>
  <c r="D10" i="11"/>
  <c r="C10" i="11"/>
  <c r="D11" i="11"/>
  <c r="C11" i="11"/>
  <c r="D12" i="11"/>
  <c r="C12" i="11"/>
  <c r="D13" i="11"/>
  <c r="C13" i="11"/>
  <c r="D14" i="11"/>
  <c r="C14" i="11"/>
  <c r="D15" i="11"/>
  <c r="C15" i="11"/>
  <c r="D16" i="11"/>
  <c r="C16" i="11"/>
  <c r="CQ8" i="4" l="1"/>
  <c r="CR8" i="4"/>
  <c r="CS8" i="4"/>
  <c r="CT8" i="4"/>
  <c r="CU8" i="4"/>
  <c r="CV8" i="4"/>
  <c r="CX8" i="4"/>
  <c r="CY8" i="4"/>
  <c r="CZ8" i="4"/>
  <c r="G8" i="4" l="1"/>
  <c r="F8" i="4"/>
  <c r="H8" i="4" s="1"/>
  <c r="I8" i="4"/>
  <c r="T8" i="4"/>
  <c r="U8" i="4" s="1"/>
  <c r="R8" i="4"/>
  <c r="S8" i="4" s="1"/>
  <c r="CW8" i="4"/>
  <c r="DA8" i="4" s="1"/>
  <c r="P8" i="4"/>
  <c r="DC8" i="4" s="1"/>
  <c r="L8" i="4"/>
  <c r="J8" i="4"/>
  <c r="N8" i="4"/>
  <c r="DB8" i="4" s="1"/>
  <c r="V8" i="4" l="1"/>
  <c r="X8" i="4" s="1"/>
  <c r="O8" i="4"/>
  <c r="M8" i="4"/>
  <c r="Q8" i="4"/>
  <c r="K8" i="4"/>
  <c r="W8" i="4" l="1"/>
  <c r="E8" i="4"/>
  <c r="UD20" i="21" l="1"/>
  <c r="UC20" i="21"/>
  <c r="UB20" i="21"/>
  <c r="UA20" i="21"/>
  <c r="TZ20" i="21"/>
  <c r="TY20" i="21"/>
  <c r="TX20" i="21"/>
  <c r="TW20" i="21"/>
  <c r="TV20" i="21"/>
  <c r="TU20" i="21"/>
  <c r="TT20" i="21"/>
  <c r="TS20" i="21"/>
  <c r="TR20" i="21"/>
  <c r="TQ20" i="21"/>
  <c r="TP20" i="21"/>
  <c r="TO20" i="21"/>
  <c r="TN20" i="21"/>
  <c r="TM20" i="21"/>
  <c r="TL20" i="21"/>
  <c r="TK20" i="21"/>
  <c r="DB20" i="21"/>
  <c r="DA20" i="21"/>
  <c r="CY20" i="21"/>
  <c r="CX20" i="21"/>
  <c r="CW20" i="21"/>
  <c r="CV20" i="21"/>
  <c r="UD6" i="21"/>
  <c r="UC6" i="21"/>
  <c r="UB6" i="21"/>
  <c r="UA6" i="21"/>
  <c r="TZ6" i="21"/>
  <c r="TY6" i="21"/>
  <c r="TX6" i="21"/>
  <c r="TW6" i="21"/>
  <c r="TV6" i="21"/>
  <c r="TU6" i="21"/>
  <c r="TT6" i="21"/>
  <c r="TS6" i="21"/>
  <c r="TR6" i="21"/>
  <c r="TQ6" i="21"/>
  <c r="TP6" i="21"/>
  <c r="TO6" i="21"/>
  <c r="TN6" i="21"/>
  <c r="TM6" i="21"/>
  <c r="TL6" i="21"/>
  <c r="TK6" i="21"/>
  <c r="DB6" i="21"/>
  <c r="DA6" i="21"/>
  <c r="CY6" i="21"/>
  <c r="CX6" i="21"/>
  <c r="CW6" i="21"/>
  <c r="CV6" i="21"/>
  <c r="UD18" i="21"/>
  <c r="UC18" i="21"/>
  <c r="UB18" i="21"/>
  <c r="UA18" i="21"/>
  <c r="TZ18" i="21"/>
  <c r="TY18" i="21"/>
  <c r="TX18" i="21"/>
  <c r="TW18" i="21"/>
  <c r="TV18" i="21"/>
  <c r="TU18" i="21"/>
  <c r="TT18" i="21"/>
  <c r="TS18" i="21"/>
  <c r="TR18" i="21"/>
  <c r="TQ18" i="21"/>
  <c r="TP18" i="21"/>
  <c r="TO18" i="21"/>
  <c r="TN18" i="21"/>
  <c r="TM18" i="21"/>
  <c r="TL18" i="21"/>
  <c r="TK18" i="21"/>
  <c r="DB18" i="21"/>
  <c r="DA18" i="21"/>
  <c r="CY18" i="21"/>
  <c r="CX18" i="21"/>
  <c r="CW18" i="21"/>
  <c r="G18" i="21" s="1"/>
  <c r="CV18" i="21"/>
  <c r="UD10" i="21"/>
  <c r="UC10" i="21"/>
  <c r="UB10" i="21"/>
  <c r="UA10" i="21"/>
  <c r="TZ10" i="21"/>
  <c r="TY10" i="21"/>
  <c r="TX10" i="21"/>
  <c r="TW10" i="21"/>
  <c r="TV10" i="21"/>
  <c r="TU10" i="21"/>
  <c r="TT10" i="21"/>
  <c r="TS10" i="21"/>
  <c r="TR10" i="21"/>
  <c r="TQ10" i="21"/>
  <c r="TP10" i="21"/>
  <c r="TO10" i="21"/>
  <c r="TN10" i="21"/>
  <c r="TM10" i="21"/>
  <c r="TL10" i="21"/>
  <c r="TK10" i="21"/>
  <c r="DB10" i="21"/>
  <c r="DA10" i="21"/>
  <c r="CY10" i="21"/>
  <c r="CX10" i="21"/>
  <c r="CW10" i="21"/>
  <c r="CV10" i="21"/>
  <c r="UD7" i="21"/>
  <c r="UC7" i="21"/>
  <c r="UB7" i="21"/>
  <c r="UA7" i="21"/>
  <c r="TZ7" i="21"/>
  <c r="TY7" i="21"/>
  <c r="TX7" i="21"/>
  <c r="TW7" i="21"/>
  <c r="TV7" i="21"/>
  <c r="TU7" i="21"/>
  <c r="TT7" i="21"/>
  <c r="TS7" i="21"/>
  <c r="TR7" i="21"/>
  <c r="TQ7" i="21"/>
  <c r="TP7" i="21"/>
  <c r="TO7" i="21"/>
  <c r="TN7" i="21"/>
  <c r="TM7" i="21"/>
  <c r="TL7" i="21"/>
  <c r="TK7" i="21"/>
  <c r="DB7" i="21"/>
  <c r="DA7" i="21"/>
  <c r="CY7" i="21"/>
  <c r="CX7" i="21"/>
  <c r="CW7" i="21"/>
  <c r="CV7" i="21"/>
  <c r="UD9" i="21"/>
  <c r="UC9" i="21"/>
  <c r="UB9" i="21"/>
  <c r="UA9" i="21"/>
  <c r="TZ9" i="21"/>
  <c r="TY9" i="21"/>
  <c r="TX9" i="21"/>
  <c r="TW9" i="21"/>
  <c r="TV9" i="21"/>
  <c r="TU9" i="21"/>
  <c r="TT9" i="21"/>
  <c r="TS9" i="21"/>
  <c r="TR9" i="21"/>
  <c r="TQ9" i="21"/>
  <c r="TP9" i="21"/>
  <c r="TO9" i="21"/>
  <c r="TN9" i="21"/>
  <c r="TM9" i="21"/>
  <c r="TL9" i="21"/>
  <c r="TK9" i="21"/>
  <c r="DB9" i="21"/>
  <c r="DA9" i="21"/>
  <c r="CY9" i="21"/>
  <c r="CX9" i="21"/>
  <c r="CW9" i="21"/>
  <c r="CV9" i="21"/>
  <c r="UD4" i="21"/>
  <c r="UC4" i="21"/>
  <c r="UB4" i="21"/>
  <c r="UA4" i="21"/>
  <c r="TZ4" i="21"/>
  <c r="TY4" i="21"/>
  <c r="TX4" i="21"/>
  <c r="TW4" i="21"/>
  <c r="TV4" i="21"/>
  <c r="TU4" i="21"/>
  <c r="TT4" i="21"/>
  <c r="TS4" i="21"/>
  <c r="TR4" i="21"/>
  <c r="TQ4" i="21"/>
  <c r="TP4" i="21"/>
  <c r="TO4" i="21"/>
  <c r="TN4" i="21"/>
  <c r="TM4" i="21"/>
  <c r="TL4" i="21"/>
  <c r="TK4" i="21"/>
  <c r="DB4" i="21"/>
  <c r="DA4" i="21"/>
  <c r="CY4" i="21"/>
  <c r="CX4" i="21"/>
  <c r="CW4" i="21"/>
  <c r="G4" i="21" s="1"/>
  <c r="CV4" i="21"/>
  <c r="UD13" i="21"/>
  <c r="UC13" i="21"/>
  <c r="UB13" i="21"/>
  <c r="UA13" i="21"/>
  <c r="TZ13" i="21"/>
  <c r="TY13" i="21"/>
  <c r="TX13" i="21"/>
  <c r="TW13" i="21"/>
  <c r="TV13" i="21"/>
  <c r="TU13" i="21"/>
  <c r="TT13" i="21"/>
  <c r="TS13" i="21"/>
  <c r="TR13" i="21"/>
  <c r="TQ13" i="21"/>
  <c r="TP13" i="21"/>
  <c r="TO13" i="21"/>
  <c r="TN13" i="21"/>
  <c r="TM13" i="21"/>
  <c r="TL13" i="21"/>
  <c r="TK13" i="21"/>
  <c r="DB13" i="21"/>
  <c r="DA13" i="21"/>
  <c r="CY13" i="21"/>
  <c r="CX13" i="21"/>
  <c r="CW13" i="21"/>
  <c r="CV13" i="21"/>
  <c r="UD16" i="21"/>
  <c r="UC16" i="21"/>
  <c r="UB16" i="21"/>
  <c r="UA16" i="21"/>
  <c r="TZ16" i="21"/>
  <c r="TY16" i="21"/>
  <c r="TX16" i="21"/>
  <c r="TW16" i="21"/>
  <c r="TV16" i="21"/>
  <c r="TU16" i="21"/>
  <c r="TT16" i="21"/>
  <c r="TS16" i="21"/>
  <c r="TR16" i="21"/>
  <c r="TQ16" i="21"/>
  <c r="TP16" i="21"/>
  <c r="TO16" i="21"/>
  <c r="TN16" i="21"/>
  <c r="TM16" i="21"/>
  <c r="TL16" i="21"/>
  <c r="TK16" i="21"/>
  <c r="DB16" i="21"/>
  <c r="DA16" i="21"/>
  <c r="CY16" i="21"/>
  <c r="CX16" i="21"/>
  <c r="CW16" i="21"/>
  <c r="CV16" i="21"/>
  <c r="CY5" i="19"/>
  <c r="CY14" i="19"/>
  <c r="CY8" i="19"/>
  <c r="CY12" i="19"/>
  <c r="CY7" i="19"/>
  <c r="CY13" i="19"/>
  <c r="CY4" i="19"/>
  <c r="CY6" i="19"/>
  <c r="CX6" i="19"/>
  <c r="CX4" i="19"/>
  <c r="CX13" i="19"/>
  <c r="CX7" i="19"/>
  <c r="CX12" i="19"/>
  <c r="CX8" i="19"/>
  <c r="CX14" i="19"/>
  <c r="CX5" i="19"/>
  <c r="CV12" i="19"/>
  <c r="CW12" i="19"/>
  <c r="DA12" i="19"/>
  <c r="DB12" i="19"/>
  <c r="TK12" i="19"/>
  <c r="TL12" i="19"/>
  <c r="TM12" i="19"/>
  <c r="TN12" i="19"/>
  <c r="TO12" i="19"/>
  <c r="TP12" i="19"/>
  <c r="TQ12" i="19"/>
  <c r="TR12" i="19"/>
  <c r="TS12" i="19"/>
  <c r="TT12" i="19"/>
  <c r="TU12" i="19"/>
  <c r="TV12" i="19"/>
  <c r="TW12" i="19"/>
  <c r="TX12" i="19"/>
  <c r="TY12" i="19"/>
  <c r="TZ12" i="19"/>
  <c r="UA12" i="19"/>
  <c r="UB12" i="19"/>
  <c r="UC12" i="19"/>
  <c r="UD12" i="19"/>
  <c r="CV8" i="19"/>
  <c r="CW8" i="19"/>
  <c r="DA8" i="19"/>
  <c r="DB8" i="19"/>
  <c r="TK8" i="19"/>
  <c r="TL8" i="19"/>
  <c r="TM8" i="19"/>
  <c r="TN8" i="19"/>
  <c r="TO8" i="19"/>
  <c r="TP8" i="19"/>
  <c r="TQ8" i="19"/>
  <c r="TR8" i="19"/>
  <c r="TS8" i="19"/>
  <c r="TT8" i="19"/>
  <c r="TU8" i="19"/>
  <c r="TV8" i="19"/>
  <c r="TW8" i="19"/>
  <c r="TX8" i="19"/>
  <c r="TY8" i="19"/>
  <c r="TZ8" i="19"/>
  <c r="UA8" i="19"/>
  <c r="UB8" i="19"/>
  <c r="UC8" i="19"/>
  <c r="UD8" i="19"/>
  <c r="CV14" i="19"/>
  <c r="CW14" i="19"/>
  <c r="DA14" i="19"/>
  <c r="DB14" i="19"/>
  <c r="TK14" i="19"/>
  <c r="TL14" i="19"/>
  <c r="TM14" i="19"/>
  <c r="TN14" i="19"/>
  <c r="TO14" i="19"/>
  <c r="TP14" i="19"/>
  <c r="TQ14" i="19"/>
  <c r="TR14" i="19"/>
  <c r="TS14" i="19"/>
  <c r="TT14" i="19"/>
  <c r="TU14" i="19"/>
  <c r="TV14" i="19"/>
  <c r="TW14" i="19"/>
  <c r="TX14" i="19"/>
  <c r="TY14" i="19"/>
  <c r="TZ14" i="19"/>
  <c r="UA14" i="19"/>
  <c r="UB14" i="19"/>
  <c r="UC14" i="19"/>
  <c r="UD14" i="19"/>
  <c r="CV5" i="19"/>
  <c r="CW5" i="19"/>
  <c r="DA5" i="19"/>
  <c r="DB5" i="19"/>
  <c r="TK5" i="19"/>
  <c r="TL5" i="19"/>
  <c r="TM5" i="19"/>
  <c r="TN5" i="19"/>
  <c r="TO5" i="19"/>
  <c r="TP5" i="19"/>
  <c r="TQ5" i="19"/>
  <c r="TR5" i="19"/>
  <c r="TS5" i="19"/>
  <c r="TT5" i="19"/>
  <c r="TU5" i="19"/>
  <c r="TV5" i="19"/>
  <c r="TW5" i="19"/>
  <c r="TX5" i="19"/>
  <c r="TY5" i="19"/>
  <c r="TZ5" i="19"/>
  <c r="UA5" i="19"/>
  <c r="UB5" i="19"/>
  <c r="UC5" i="19"/>
  <c r="UD5" i="19"/>
  <c r="UD7" i="19"/>
  <c r="UC7" i="19"/>
  <c r="UB7" i="19"/>
  <c r="UA7" i="19"/>
  <c r="TZ7" i="19"/>
  <c r="TY7" i="19"/>
  <c r="TX7" i="19"/>
  <c r="TW7" i="19"/>
  <c r="TV7" i="19"/>
  <c r="TU7" i="19"/>
  <c r="TT7" i="19"/>
  <c r="TS7" i="19"/>
  <c r="TR7" i="19"/>
  <c r="TQ7" i="19"/>
  <c r="TP7" i="19"/>
  <c r="TO7" i="19"/>
  <c r="TN7" i="19"/>
  <c r="TM7" i="19"/>
  <c r="TL7" i="19"/>
  <c r="TK7" i="19"/>
  <c r="DB7" i="19"/>
  <c r="DA7" i="19"/>
  <c r="CW7" i="19"/>
  <c r="CV7" i="19"/>
  <c r="UD13" i="19"/>
  <c r="UC13" i="19"/>
  <c r="UB13" i="19"/>
  <c r="UA13" i="19"/>
  <c r="TZ13" i="19"/>
  <c r="TY13" i="19"/>
  <c r="TX13" i="19"/>
  <c r="TW13" i="19"/>
  <c r="TV13" i="19"/>
  <c r="TU13" i="19"/>
  <c r="TT13" i="19"/>
  <c r="TS13" i="19"/>
  <c r="TR13" i="19"/>
  <c r="TQ13" i="19"/>
  <c r="TP13" i="19"/>
  <c r="TO13" i="19"/>
  <c r="TN13" i="19"/>
  <c r="TM13" i="19"/>
  <c r="TL13" i="19"/>
  <c r="TK13" i="19"/>
  <c r="DB13" i="19"/>
  <c r="DA13" i="19"/>
  <c r="CW13" i="19"/>
  <c r="CV13" i="19"/>
  <c r="UD4" i="19"/>
  <c r="UC4" i="19"/>
  <c r="UB4" i="19"/>
  <c r="UA4" i="19"/>
  <c r="TZ4" i="19"/>
  <c r="TY4" i="19"/>
  <c r="TX4" i="19"/>
  <c r="TW4" i="19"/>
  <c r="TV4" i="19"/>
  <c r="TU4" i="19"/>
  <c r="TT4" i="19"/>
  <c r="TS4" i="19"/>
  <c r="TR4" i="19"/>
  <c r="TQ4" i="19"/>
  <c r="TP4" i="19"/>
  <c r="TO4" i="19"/>
  <c r="TN4" i="19"/>
  <c r="TM4" i="19"/>
  <c r="TL4" i="19"/>
  <c r="DB4" i="19"/>
  <c r="DA4" i="19"/>
  <c r="CW4" i="19"/>
  <c r="CV4" i="19"/>
  <c r="UD6" i="19"/>
  <c r="UC6" i="19"/>
  <c r="UB6" i="19"/>
  <c r="UA6" i="19"/>
  <c r="TZ6" i="19"/>
  <c r="TY6" i="19"/>
  <c r="TX6" i="19"/>
  <c r="TW6" i="19"/>
  <c r="TV6" i="19"/>
  <c r="TU6" i="19"/>
  <c r="TT6" i="19"/>
  <c r="TS6" i="19"/>
  <c r="TR6" i="19"/>
  <c r="TQ6" i="19"/>
  <c r="TP6" i="19"/>
  <c r="TO6" i="19"/>
  <c r="TN6" i="19"/>
  <c r="TM6" i="19"/>
  <c r="TL6" i="19"/>
  <c r="TK6" i="19"/>
  <c r="DB6" i="19"/>
  <c r="DA6" i="19"/>
  <c r="CW6" i="19"/>
  <c r="CV6" i="19"/>
  <c r="G13" i="21" l="1"/>
  <c r="G10" i="21"/>
  <c r="F13" i="21"/>
  <c r="F10" i="21"/>
  <c r="F16" i="21"/>
  <c r="F7" i="21"/>
  <c r="F20" i="21"/>
  <c r="F4" i="21"/>
  <c r="F18" i="21"/>
  <c r="F9" i="21"/>
  <c r="F6" i="21"/>
  <c r="G9" i="21"/>
  <c r="G6" i="21"/>
  <c r="G16" i="21"/>
  <c r="G7" i="21"/>
  <c r="G20" i="21"/>
  <c r="G4" i="19"/>
  <c r="G5" i="19"/>
  <c r="F5" i="19"/>
  <c r="F13" i="19"/>
  <c r="F6" i="19"/>
  <c r="G13" i="19"/>
  <c r="G6" i="19"/>
  <c r="G14" i="19"/>
  <c r="G12" i="19"/>
  <c r="F14" i="19"/>
  <c r="F12" i="19"/>
  <c r="F7" i="19"/>
  <c r="F4" i="19"/>
  <c r="G7" i="19"/>
  <c r="G8" i="19"/>
  <c r="F8" i="19"/>
  <c r="DC13" i="21"/>
  <c r="DC16" i="21"/>
  <c r="DC9" i="21"/>
  <c r="DC7" i="21"/>
  <c r="DC10" i="21"/>
  <c r="DC18" i="21"/>
  <c r="DC4" i="21"/>
  <c r="DC6" i="21"/>
  <c r="DC20" i="21"/>
  <c r="DC13" i="19"/>
  <c r="DC6" i="19"/>
  <c r="DC5" i="19"/>
  <c r="DC14" i="19"/>
  <c r="DC8" i="19"/>
  <c r="DC7" i="19"/>
  <c r="DC4" i="19"/>
  <c r="DC12" i="19"/>
  <c r="CZ7" i="19"/>
  <c r="CZ12" i="19"/>
  <c r="CZ14" i="19"/>
  <c r="I14" i="19" s="1"/>
  <c r="CZ4" i="19"/>
  <c r="I4" i="19" s="1"/>
  <c r="P6" i="21"/>
  <c r="DF6" i="21" s="1"/>
  <c r="UF20" i="21"/>
  <c r="UK20" i="21"/>
  <c r="CZ6" i="21"/>
  <c r="UL20" i="21"/>
  <c r="L20" i="21"/>
  <c r="DD20" i="21" s="1"/>
  <c r="UH9" i="21"/>
  <c r="UF13" i="21"/>
  <c r="UK13" i="21"/>
  <c r="P4" i="21"/>
  <c r="DF4" i="21" s="1"/>
  <c r="UI18" i="21"/>
  <c r="L6" i="21"/>
  <c r="DD6" i="21" s="1"/>
  <c r="P18" i="21"/>
  <c r="DF18" i="21" s="1"/>
  <c r="P20" i="21"/>
  <c r="DF20" i="21" s="1"/>
  <c r="UH20" i="21"/>
  <c r="N16" i="21"/>
  <c r="DE16" i="21" s="1"/>
  <c r="UF4" i="21"/>
  <c r="UI9" i="21"/>
  <c r="CZ5" i="19"/>
  <c r="I5" i="19" s="1"/>
  <c r="CZ13" i="19"/>
  <c r="I13" i="19" s="1"/>
  <c r="UF7" i="21"/>
  <c r="P10" i="21"/>
  <c r="DF10" i="21" s="1"/>
  <c r="CZ10" i="21"/>
  <c r="P16" i="21"/>
  <c r="DF16" i="21" s="1"/>
  <c r="UF16" i="21"/>
  <c r="CZ13" i="21"/>
  <c r="I13" i="21" s="1"/>
  <c r="UI6" i="21"/>
  <c r="CZ20" i="21"/>
  <c r="UK18" i="21"/>
  <c r="CZ4" i="21"/>
  <c r="UG18" i="21"/>
  <c r="UH18" i="21"/>
  <c r="UL18" i="21"/>
  <c r="UH7" i="21"/>
  <c r="UL6" i="21"/>
  <c r="UH13" i="21"/>
  <c r="N9" i="21"/>
  <c r="DE9" i="21" s="1"/>
  <c r="P9" i="21"/>
  <c r="DF9" i="21" s="1"/>
  <c r="N7" i="21"/>
  <c r="DE7" i="21" s="1"/>
  <c r="N6" i="21"/>
  <c r="DE6" i="21" s="1"/>
  <c r="UF6" i="21"/>
  <c r="UK6" i="21"/>
  <c r="UK9" i="21"/>
  <c r="L7" i="21"/>
  <c r="DD7" i="21" s="1"/>
  <c r="UL7" i="21"/>
  <c r="L10" i="21"/>
  <c r="DD10" i="21" s="1"/>
  <c r="UI10" i="21"/>
  <c r="UK10" i="21"/>
  <c r="CZ18" i="21"/>
  <c r="N20" i="21"/>
  <c r="DE20" i="21" s="1"/>
  <c r="UL16" i="21"/>
  <c r="N13" i="21"/>
  <c r="DE13" i="21" s="1"/>
  <c r="UK7" i="21"/>
  <c r="N10" i="21"/>
  <c r="DE10" i="21" s="1"/>
  <c r="UH10" i="21"/>
  <c r="UH6" i="21"/>
  <c r="UI20" i="21"/>
  <c r="UK16" i="21"/>
  <c r="UG4" i="21"/>
  <c r="UH4" i="21"/>
  <c r="CZ7" i="21"/>
  <c r="UL10" i="21"/>
  <c r="UH16" i="21"/>
  <c r="UI6" i="19"/>
  <c r="UI7" i="19"/>
  <c r="CZ8" i="19"/>
  <c r="UI12" i="19"/>
  <c r="UI4" i="19"/>
  <c r="UI5" i="19"/>
  <c r="UI14" i="19"/>
  <c r="UI13" i="19"/>
  <c r="UI8" i="19"/>
  <c r="CZ6" i="19"/>
  <c r="L13" i="21"/>
  <c r="DD13" i="21" s="1"/>
  <c r="UG10" i="21"/>
  <c r="UI13" i="21"/>
  <c r="UG7" i="21"/>
  <c r="UG16" i="21"/>
  <c r="UI4" i="21"/>
  <c r="UF9" i="21"/>
  <c r="J7" i="21"/>
  <c r="UI16" i="21"/>
  <c r="UI7" i="21"/>
  <c r="J10" i="21"/>
  <c r="UG20" i="21"/>
  <c r="L16" i="21"/>
  <c r="DD16" i="21" s="1"/>
  <c r="J13" i="21"/>
  <c r="J18" i="21"/>
  <c r="L18" i="21"/>
  <c r="DD18" i="21" s="1"/>
  <c r="UL13" i="21"/>
  <c r="UG9" i="21"/>
  <c r="J16" i="21"/>
  <c r="P13" i="21"/>
  <c r="DF13" i="21" s="1"/>
  <c r="CZ16" i="21"/>
  <c r="N4" i="21"/>
  <c r="DE4" i="21" s="1"/>
  <c r="L4" i="21"/>
  <c r="DD4" i="21" s="1"/>
  <c r="J4" i="21"/>
  <c r="CZ9" i="21"/>
  <c r="P7" i="21"/>
  <c r="DF7" i="21" s="1"/>
  <c r="UL4" i="21"/>
  <c r="UK4" i="21"/>
  <c r="UG13" i="21"/>
  <c r="UL9" i="21"/>
  <c r="L9" i="21"/>
  <c r="DD9" i="21" s="1"/>
  <c r="J9" i="21"/>
  <c r="UG6" i="21"/>
  <c r="UF10" i="21"/>
  <c r="UF18" i="21"/>
  <c r="J6" i="21"/>
  <c r="N18" i="21"/>
  <c r="DE18" i="21" s="1"/>
  <c r="J20" i="21"/>
  <c r="J6" i="19"/>
  <c r="N5" i="19"/>
  <c r="DE5" i="19" s="1"/>
  <c r="N6" i="19"/>
  <c r="DE6" i="19" s="1"/>
  <c r="N14" i="19"/>
  <c r="DE14" i="19" s="1"/>
  <c r="N13" i="19"/>
  <c r="DE13" i="19" s="1"/>
  <c r="N12" i="19"/>
  <c r="DE12" i="19" s="1"/>
  <c r="N7" i="19"/>
  <c r="DE7" i="19" s="1"/>
  <c r="N8" i="19"/>
  <c r="DE8" i="19" s="1"/>
  <c r="UK14" i="19"/>
  <c r="UH14" i="19"/>
  <c r="J5" i="19"/>
  <c r="K5" i="19" s="1"/>
  <c r="UF14" i="19"/>
  <c r="P8" i="19"/>
  <c r="DF8" i="19" s="1"/>
  <c r="UG8" i="19"/>
  <c r="UK5" i="19"/>
  <c r="P14" i="19"/>
  <c r="DF14" i="19" s="1"/>
  <c r="UH8" i="19"/>
  <c r="UG14" i="19"/>
  <c r="P12" i="19"/>
  <c r="DF12" i="19" s="1"/>
  <c r="UL5" i="19"/>
  <c r="UH5" i="19"/>
  <c r="UG5" i="19"/>
  <c r="UL14" i="19"/>
  <c r="J14" i="19"/>
  <c r="P5" i="19"/>
  <c r="DF5" i="19" s="1"/>
  <c r="UK8" i="19"/>
  <c r="UF8" i="19"/>
  <c r="UF5" i="19"/>
  <c r="UL8" i="19"/>
  <c r="UH12" i="19"/>
  <c r="UG12" i="19"/>
  <c r="UK12" i="19"/>
  <c r="UF12" i="19"/>
  <c r="L12" i="19"/>
  <c r="DD12" i="19" s="1"/>
  <c r="L8" i="19"/>
  <c r="DD8" i="19" s="1"/>
  <c r="J12" i="19"/>
  <c r="UL12" i="19"/>
  <c r="L14" i="19"/>
  <c r="DD14" i="19" s="1"/>
  <c r="J8" i="19"/>
  <c r="L5" i="19"/>
  <c r="DD5" i="19" s="1"/>
  <c r="UL7" i="19"/>
  <c r="UK7" i="19"/>
  <c r="P13" i="19"/>
  <c r="DF13" i="19" s="1"/>
  <c r="UF4" i="19"/>
  <c r="UK6" i="19"/>
  <c r="L6" i="19"/>
  <c r="DD6" i="19" s="1"/>
  <c r="UF13" i="19"/>
  <c r="UL4" i="19"/>
  <c r="P6" i="19"/>
  <c r="DF6" i="19" s="1"/>
  <c r="UG13" i="19"/>
  <c r="UL6" i="19"/>
  <c r="UL13" i="19"/>
  <c r="L7" i="19"/>
  <c r="DD7" i="19" s="1"/>
  <c r="UG4" i="19"/>
  <c r="UH4" i="19"/>
  <c r="UK13" i="19"/>
  <c r="P7" i="19"/>
  <c r="DF7" i="19" s="1"/>
  <c r="UF6" i="19"/>
  <c r="J7" i="19"/>
  <c r="UF7" i="19"/>
  <c r="UG6" i="19"/>
  <c r="UH6" i="19"/>
  <c r="J13" i="19"/>
  <c r="UG7" i="19"/>
  <c r="UH7" i="19"/>
  <c r="UH13" i="19"/>
  <c r="UK4" i="19"/>
  <c r="L13" i="19"/>
  <c r="DD13" i="19" s="1"/>
  <c r="H5" i="19" l="1"/>
  <c r="I4" i="21"/>
  <c r="I6" i="19"/>
  <c r="H6" i="19" s="1"/>
  <c r="H7" i="21"/>
  <c r="I10" i="21"/>
  <c r="H10" i="21" s="1"/>
  <c r="I18" i="21"/>
  <c r="I7" i="21"/>
  <c r="I16" i="21"/>
  <c r="H16" i="21" s="1"/>
  <c r="I9" i="21"/>
  <c r="H9" i="21" s="1"/>
  <c r="H4" i="21"/>
  <c r="H13" i="21"/>
  <c r="I20" i="21"/>
  <c r="H20" i="21" s="1"/>
  <c r="H18" i="21"/>
  <c r="I6" i="21"/>
  <c r="H6" i="21" s="1"/>
  <c r="I7" i="19"/>
  <c r="H7" i="19" s="1"/>
  <c r="I8" i="19"/>
  <c r="H8" i="19" s="1"/>
  <c r="I12" i="19"/>
  <c r="H12" i="19" s="1"/>
  <c r="H14" i="19"/>
  <c r="H13" i="19"/>
  <c r="H4" i="19"/>
  <c r="M5" i="19"/>
  <c r="UM6" i="21"/>
  <c r="UM13" i="21"/>
  <c r="UM7" i="19"/>
  <c r="UM16" i="21"/>
  <c r="UM5" i="19"/>
  <c r="UM4" i="21"/>
  <c r="UM18" i="21"/>
  <c r="UM20" i="21"/>
  <c r="UM7" i="21"/>
  <c r="UM9" i="21"/>
  <c r="UM10" i="21"/>
  <c r="UM8" i="19"/>
  <c r="UM6" i="19"/>
  <c r="UM12" i="19"/>
  <c r="UM13" i="19"/>
  <c r="UM4" i="19"/>
  <c r="UM14" i="19"/>
  <c r="O18" i="21"/>
  <c r="O4" i="21"/>
  <c r="O13" i="21"/>
  <c r="O6" i="21"/>
  <c r="O7" i="21"/>
  <c r="K10" i="21"/>
  <c r="M10" i="21" s="1"/>
  <c r="O20" i="21"/>
  <c r="O16" i="21"/>
  <c r="O9" i="21"/>
  <c r="O10" i="21"/>
  <c r="O7" i="19"/>
  <c r="O12" i="19"/>
  <c r="R12" i="19"/>
  <c r="T12" i="19" s="1"/>
  <c r="O6" i="19"/>
  <c r="O5" i="19"/>
  <c r="O13" i="19"/>
  <c r="O14" i="19"/>
  <c r="O8" i="19"/>
  <c r="UJ20" i="21"/>
  <c r="Q10" i="21"/>
  <c r="Q20" i="21"/>
  <c r="Q4" i="21"/>
  <c r="Q6" i="21"/>
  <c r="R7" i="21"/>
  <c r="T7" i="21" s="1"/>
  <c r="R18" i="21"/>
  <c r="T18" i="21" s="1"/>
  <c r="Q9" i="21"/>
  <c r="Q16" i="21"/>
  <c r="R10" i="21"/>
  <c r="T10" i="21" s="1"/>
  <c r="Q13" i="19"/>
  <c r="Q14" i="19"/>
  <c r="Q5" i="19"/>
  <c r="Q8" i="19"/>
  <c r="Q7" i="19"/>
  <c r="UJ10" i="21"/>
  <c r="UJ18" i="21"/>
  <c r="UJ5" i="19"/>
  <c r="UJ7" i="19"/>
  <c r="UJ4" i="21"/>
  <c r="UJ16" i="21"/>
  <c r="Q18" i="21"/>
  <c r="K13" i="21"/>
  <c r="M13" i="21" s="1"/>
  <c r="K7" i="21"/>
  <c r="M7" i="21" s="1"/>
  <c r="K18" i="21"/>
  <c r="M18" i="21" s="1"/>
  <c r="K7" i="19"/>
  <c r="M7" i="19" s="1"/>
  <c r="K13" i="19"/>
  <c r="M13" i="19" s="1"/>
  <c r="K14" i="19"/>
  <c r="M14" i="19" s="1"/>
  <c r="UJ7" i="21"/>
  <c r="UJ12" i="19"/>
  <c r="UJ4" i="19"/>
  <c r="UJ13" i="19"/>
  <c r="UJ8" i="19"/>
  <c r="UJ6" i="19"/>
  <c r="UJ14" i="19"/>
  <c r="K4" i="21"/>
  <c r="M4" i="21" s="1"/>
  <c r="UJ13" i="21"/>
  <c r="UJ6" i="21"/>
  <c r="K9" i="21"/>
  <c r="M9" i="21" s="1"/>
  <c r="Q7" i="21"/>
  <c r="UJ9" i="21"/>
  <c r="K20" i="21"/>
  <c r="M20" i="21" s="1"/>
  <c r="Q13" i="21"/>
  <c r="K6" i="21"/>
  <c r="M6" i="21" s="1"/>
  <c r="K16" i="21"/>
  <c r="M16" i="21" s="1"/>
  <c r="Q12" i="19"/>
  <c r="K12" i="19"/>
  <c r="M12" i="19" s="1"/>
  <c r="K8" i="19"/>
  <c r="M8" i="19" s="1"/>
  <c r="Q6" i="19"/>
  <c r="K6" i="19"/>
  <c r="M6" i="19" s="1"/>
  <c r="S7" i="21" l="1"/>
  <c r="S10" i="21"/>
  <c r="S18" i="21"/>
  <c r="S12" i="19"/>
  <c r="E10" i="21"/>
  <c r="E18" i="21"/>
  <c r="E7" i="21"/>
  <c r="R13" i="21"/>
  <c r="T13" i="21" s="1"/>
  <c r="R6" i="21"/>
  <c r="T6" i="21" s="1"/>
  <c r="R16" i="21"/>
  <c r="T16" i="21" s="1"/>
  <c r="R6" i="19"/>
  <c r="T6" i="19" s="1"/>
  <c r="R20" i="21"/>
  <c r="T20" i="21" s="1"/>
  <c r="R9" i="21"/>
  <c r="T9" i="21" s="1"/>
  <c r="R4" i="21"/>
  <c r="T4" i="21" s="1"/>
  <c r="E12" i="19"/>
  <c r="R8" i="19"/>
  <c r="T8" i="19" s="1"/>
  <c r="R14" i="19"/>
  <c r="T14" i="19" s="1"/>
  <c r="R5" i="19"/>
  <c r="T5" i="19" s="1"/>
  <c r="R13" i="19"/>
  <c r="T13" i="19" s="1"/>
  <c r="R7" i="19"/>
  <c r="T7" i="19" s="1"/>
  <c r="A18" i="21" l="1" a="1"/>
  <c r="A18" i="21" s="1"/>
  <c r="S16" i="21"/>
  <c r="S13" i="21"/>
  <c r="E4" i="21"/>
  <c r="S4" i="21"/>
  <c r="S9" i="21"/>
  <c r="S6" i="21"/>
  <c r="S20" i="21"/>
  <c r="S5" i="19"/>
  <c r="S13" i="19"/>
  <c r="E14" i="19"/>
  <c r="S14" i="19"/>
  <c r="S8" i="19"/>
  <c r="S6" i="19"/>
  <c r="E7" i="19"/>
  <c r="S7" i="19"/>
  <c r="E16" i="21"/>
  <c r="E6" i="21"/>
  <c r="E13" i="21"/>
  <c r="E20" i="21"/>
  <c r="E9" i="21"/>
  <c r="E6" i="19"/>
  <c r="E8" i="19"/>
  <c r="E13" i="19"/>
  <c r="E5" i="19"/>
  <c r="A12" i="21" l="1" a="1"/>
  <c r="A12" i="21" s="1"/>
  <c r="A14" i="21" a="1"/>
  <c r="A14" i="21" s="1"/>
  <c r="A11" i="21" a="1"/>
  <c r="A11" i="21" s="1"/>
  <c r="A5" i="21" a="1"/>
  <c r="A5" i="21" s="1"/>
  <c r="A21" i="21" a="1"/>
  <c r="A21" i="21" s="1"/>
  <c r="A10" i="21" a="1"/>
  <c r="A10" i="21" s="1"/>
  <c r="A6" i="21" a="1"/>
  <c r="A6" i="21" s="1"/>
  <c r="A4" i="21" a="1"/>
  <c r="A4" i="21" s="1"/>
  <c r="A13" i="21" a="1"/>
  <c r="A13" i="21" s="1"/>
  <c r="A20" i="21" a="1"/>
  <c r="A20" i="21" s="1"/>
  <c r="A9" i="21" a="1"/>
  <c r="A9" i="21" s="1"/>
  <c r="A8" i="21" a="1"/>
  <c r="A8" i="21" s="1"/>
  <c r="A16" i="21" a="1"/>
  <c r="A16" i="21" s="1"/>
  <c r="A7" i="21" a="1"/>
  <c r="A7" i="21" s="1"/>
  <c r="CY12" i="4"/>
  <c r="CY4" i="4"/>
  <c r="CY14" i="4"/>
  <c r="CY22" i="4"/>
  <c r="CY23" i="4"/>
  <c r="CY11" i="4"/>
  <c r="CY19" i="4"/>
  <c r="CY10" i="4"/>
  <c r="CY5" i="4"/>
  <c r="CX5" i="4"/>
  <c r="CU5" i="4"/>
  <c r="CU4" i="4"/>
  <c r="CU14" i="4"/>
  <c r="CU22" i="4"/>
  <c r="CU23" i="4"/>
  <c r="CU11" i="4"/>
  <c r="CU19" i="4"/>
  <c r="CU10" i="4"/>
  <c r="CU12" i="4"/>
  <c r="CT12" i="4"/>
  <c r="CR5" i="4"/>
  <c r="CR4" i="4"/>
  <c r="CR14" i="4"/>
  <c r="CR22" i="4"/>
  <c r="CR23" i="4"/>
  <c r="CR11" i="4"/>
  <c r="CR19" i="4"/>
  <c r="CR10" i="4"/>
  <c r="CR12" i="4"/>
  <c r="CQ12" i="4"/>
  <c r="CQ5" i="4"/>
  <c r="CQ4" i="4"/>
  <c r="CQ14" i="4"/>
  <c r="CQ22" i="4"/>
  <c r="CQ23" i="4"/>
  <c r="CQ11" i="4"/>
  <c r="CQ19" i="4"/>
  <c r="CQ10" i="4"/>
  <c r="C50" i="11" l="1"/>
  <c r="C54" i="11"/>
  <c r="D53" i="11"/>
  <c r="C56" i="11"/>
  <c r="D52" i="11"/>
  <c r="D50" i="11"/>
  <c r="C53" i="11"/>
  <c r="D51" i="11"/>
  <c r="C52" i="11"/>
  <c r="D55" i="11"/>
  <c r="C51" i="11"/>
  <c r="C55" i="11"/>
  <c r="C57" i="11"/>
  <c r="D56" i="11"/>
  <c r="D54" i="11"/>
  <c r="D57" i="11"/>
  <c r="CS10" i="4" l="1"/>
  <c r="CT10" i="4"/>
  <c r="CV10" i="4"/>
  <c r="CX10" i="4"/>
  <c r="CZ10" i="4"/>
  <c r="G10" i="4" l="1"/>
  <c r="I10" i="4"/>
  <c r="F10" i="4"/>
  <c r="R10" i="4"/>
  <c r="S10" i="4" s="1"/>
  <c r="T10" i="4"/>
  <c r="U10" i="4" s="1"/>
  <c r="N10" i="4"/>
  <c r="DB10" i="4" s="1"/>
  <c r="L10" i="4"/>
  <c r="J10" i="4"/>
  <c r="CW10" i="4"/>
  <c r="DA10" i="4" s="1"/>
  <c r="P10" i="4"/>
  <c r="DC10" i="4" s="1"/>
  <c r="CS19" i="4"/>
  <c r="CT19" i="4"/>
  <c r="CV19" i="4"/>
  <c r="CX19" i="4"/>
  <c r="CZ19" i="4"/>
  <c r="P19" i="4" s="1"/>
  <c r="DC19" i="4" s="1"/>
  <c r="CS22" i="4"/>
  <c r="CT22" i="4"/>
  <c r="CV22" i="4"/>
  <c r="CX22" i="4"/>
  <c r="CZ22" i="4"/>
  <c r="P22" i="4" s="1"/>
  <c r="DC22" i="4" s="1"/>
  <c r="G22" i="4" l="1"/>
  <c r="F22" i="4"/>
  <c r="I22" i="4"/>
  <c r="G19" i="4"/>
  <c r="I19" i="4"/>
  <c r="F19" i="4"/>
  <c r="H10" i="4"/>
  <c r="R19" i="4"/>
  <c r="S19" i="4" s="1"/>
  <c r="T19" i="4"/>
  <c r="U19" i="4" s="1"/>
  <c r="R22" i="4"/>
  <c r="S22" i="4" s="1"/>
  <c r="T22" i="4"/>
  <c r="U22" i="4" s="1"/>
  <c r="O10" i="4"/>
  <c r="V10" i="4"/>
  <c r="X10" i="4" s="1"/>
  <c r="N22" i="4"/>
  <c r="DB22" i="4" s="1"/>
  <c r="N19" i="4"/>
  <c r="DB19" i="4" s="1"/>
  <c r="K10" i="4"/>
  <c r="L22" i="4"/>
  <c r="J19" i="4"/>
  <c r="K19" i="4" s="1"/>
  <c r="J22" i="4"/>
  <c r="L19" i="4"/>
  <c r="Q19" i="4"/>
  <c r="Q22" i="4"/>
  <c r="M10" i="4"/>
  <c r="Q10" i="4"/>
  <c r="CW22" i="4"/>
  <c r="DA22" i="4" s="1"/>
  <c r="CW19" i="4"/>
  <c r="DA19" i="4" s="1"/>
  <c r="H19" i="4" l="1"/>
  <c r="A19" i="4" s="1" a="1"/>
  <c r="A19" i="4" s="1"/>
  <c r="H22" i="4"/>
  <c r="O19" i="4"/>
  <c r="V19" i="4"/>
  <c r="X19" i="4" s="1"/>
  <c r="O22" i="4"/>
  <c r="V22" i="4"/>
  <c r="X22" i="4" s="1"/>
  <c r="W10" i="4"/>
  <c r="K22" i="4"/>
  <c r="M19" i="4"/>
  <c r="M22" i="4"/>
  <c r="A22" i="4" l="1" a="1"/>
  <c r="A22" i="4" s="1"/>
  <c r="W22" i="4"/>
  <c r="W19" i="4"/>
  <c r="E10" i="4" l="1"/>
  <c r="E19" i="4"/>
  <c r="E22" i="4" l="1"/>
  <c r="CS4" i="4"/>
  <c r="CT4" i="4"/>
  <c r="CV4" i="4"/>
  <c r="CX4" i="4"/>
  <c r="CZ4" i="4"/>
  <c r="P4" i="4" s="1"/>
  <c r="DC4" i="4" s="1"/>
  <c r="CS14" i="4"/>
  <c r="CT14" i="4"/>
  <c r="CV14" i="4"/>
  <c r="CX14" i="4"/>
  <c r="CZ14" i="4"/>
  <c r="P14" i="4" s="1"/>
  <c r="DC14" i="4" s="1"/>
  <c r="CS5" i="4"/>
  <c r="CT5" i="4"/>
  <c r="CV5" i="4"/>
  <c r="CZ5" i="4"/>
  <c r="P5" i="4" s="1"/>
  <c r="DC5" i="4" s="1"/>
  <c r="CS23" i="4"/>
  <c r="CT23" i="4"/>
  <c r="CV23" i="4"/>
  <c r="CX23" i="4"/>
  <c r="CZ23" i="4"/>
  <c r="P23" i="4" s="1"/>
  <c r="DC23" i="4" s="1"/>
  <c r="CS11" i="4"/>
  <c r="CT11" i="4"/>
  <c r="CV11" i="4"/>
  <c r="CX11" i="4"/>
  <c r="CZ11" i="4"/>
  <c r="P11" i="4" s="1"/>
  <c r="DC11" i="4" s="1"/>
  <c r="CV12" i="4"/>
  <c r="CS12" i="4"/>
  <c r="G14" i="4" l="1"/>
  <c r="F14" i="4"/>
  <c r="I14" i="4"/>
  <c r="G5" i="4"/>
  <c r="F5" i="4"/>
  <c r="I5" i="4"/>
  <c r="G23" i="4"/>
  <c r="F23" i="4"/>
  <c r="I23" i="4"/>
  <c r="G11" i="4"/>
  <c r="F11" i="4"/>
  <c r="I11" i="4"/>
  <c r="G4" i="4"/>
  <c r="I4" i="4"/>
  <c r="F4" i="4"/>
  <c r="T14" i="4"/>
  <c r="U14" i="4" s="1"/>
  <c r="R14" i="4"/>
  <c r="S14" i="4" s="1"/>
  <c r="T4" i="4"/>
  <c r="U4" i="4" s="1"/>
  <c r="R4" i="4"/>
  <c r="S4" i="4" s="1"/>
  <c r="R11" i="4"/>
  <c r="S11" i="4" s="1"/>
  <c r="T11" i="4"/>
  <c r="U11" i="4" s="1"/>
  <c r="T5" i="4"/>
  <c r="U5" i="4" s="1"/>
  <c r="R5" i="4"/>
  <c r="S5" i="4" s="1"/>
  <c r="T23" i="4"/>
  <c r="U23" i="4" s="1"/>
  <c r="R23" i="4"/>
  <c r="S23" i="4" s="1"/>
  <c r="L12" i="4"/>
  <c r="N4" i="4"/>
  <c r="DB4" i="4" s="1"/>
  <c r="N11" i="4"/>
  <c r="DB11" i="4" s="1"/>
  <c r="N12" i="4"/>
  <c r="DB12" i="4" s="1"/>
  <c r="N23" i="4"/>
  <c r="DB23" i="4" s="1"/>
  <c r="N14" i="4"/>
  <c r="DB14" i="4" s="1"/>
  <c r="L5" i="4"/>
  <c r="M5" i="4" s="1"/>
  <c r="N5" i="4"/>
  <c r="DB5" i="4" s="1"/>
  <c r="J11" i="4"/>
  <c r="K11" i="4" s="1"/>
  <c r="L11" i="4"/>
  <c r="J12" i="4"/>
  <c r="L23" i="4"/>
  <c r="J23" i="4"/>
  <c r="K23" i="4" s="1"/>
  <c r="L14" i="4"/>
  <c r="J14" i="4"/>
  <c r="L4" i="4"/>
  <c r="J4" i="4"/>
  <c r="K4" i="4" s="1"/>
  <c r="J5" i="4"/>
  <c r="K5" i="4" s="1"/>
  <c r="Q11" i="4"/>
  <c r="Q23" i="4"/>
  <c r="Q5" i="4"/>
  <c r="Q4" i="4"/>
  <c r="Q14" i="4"/>
  <c r="CW23" i="4"/>
  <c r="DA23" i="4" s="1"/>
  <c r="CW14" i="4"/>
  <c r="DA14" i="4" s="1"/>
  <c r="CW4" i="4"/>
  <c r="DA4" i="4" s="1"/>
  <c r="CW12" i="4"/>
  <c r="CW5" i="4"/>
  <c r="DA5" i="4" s="1"/>
  <c r="CW11" i="4"/>
  <c r="DA11" i="4" s="1"/>
  <c r="H11" i="4" l="1"/>
  <c r="H5" i="4"/>
  <c r="H23" i="4"/>
  <c r="A23" i="4" s="1" a="1"/>
  <c r="A23" i="4" s="1"/>
  <c r="H4" i="4"/>
  <c r="H14" i="4"/>
  <c r="O5" i="4"/>
  <c r="O11" i="4"/>
  <c r="V11" i="4"/>
  <c r="X11" i="4" s="1"/>
  <c r="O4" i="4"/>
  <c r="V4" i="4"/>
  <c r="X4" i="4" s="1"/>
  <c r="O14" i="4"/>
  <c r="V14" i="4"/>
  <c r="X14" i="4" s="1"/>
  <c r="O23" i="4"/>
  <c r="V23" i="4"/>
  <c r="X23" i="4" s="1"/>
  <c r="O12" i="4"/>
  <c r="K14" i="4"/>
  <c r="M11" i="4"/>
  <c r="M12" i="4"/>
  <c r="M14" i="4"/>
  <c r="M4" i="4"/>
  <c r="M23" i="4"/>
  <c r="K12" i="4"/>
  <c r="CZ12" i="4"/>
  <c r="G12" i="4" s="1"/>
  <c r="CX12" i="4"/>
  <c r="F12" i="4" l="1"/>
  <c r="H12" i="4" s="1"/>
  <c r="I12" i="4"/>
  <c r="R12" i="4"/>
  <c r="S12" i="4" s="1"/>
  <c r="T12" i="4"/>
  <c r="U12" i="4" s="1"/>
  <c r="W11" i="4"/>
  <c r="W4" i="4"/>
  <c r="W23" i="4"/>
  <c r="W14" i="4"/>
  <c r="P12" i="4"/>
  <c r="DC12" i="4" s="1"/>
  <c r="DA12" i="4"/>
  <c r="V12" i="4" l="1"/>
  <c r="X12" i="4" s="1"/>
  <c r="Q12" i="4"/>
  <c r="W12" i="4" l="1"/>
  <c r="E11" i="4"/>
  <c r="E23" i="4" l="1"/>
  <c r="E12" i="4" l="1"/>
  <c r="E14" i="4" l="1"/>
  <c r="E4" i="4" l="1"/>
  <c r="V5" i="4" l="1"/>
  <c r="X5" i="4" s="1"/>
  <c r="W5" i="4" l="1"/>
  <c r="E5" i="4"/>
  <c r="A8" i="4" l="1" a="1"/>
  <c r="A8" i="4" s="1"/>
  <c r="A10" i="4" a="1"/>
  <c r="A10" i="4" s="1"/>
  <c r="A11" i="4" a="1"/>
  <c r="A11" i="4" s="1"/>
  <c r="A13" i="4" a="1"/>
  <c r="A13" i="4" s="1"/>
  <c r="A9" i="4" a="1"/>
  <c r="A9" i="4" s="1"/>
  <c r="A18" i="4" a="1"/>
  <c r="A18" i="4" s="1"/>
  <c r="A6" i="4" a="1"/>
  <c r="A6" i="4" s="1"/>
  <c r="A20" i="4" a="1"/>
  <c r="A20" i="4" s="1"/>
  <c r="A12" i="4" a="1"/>
  <c r="A12" i="4" s="1"/>
  <c r="A7" i="4" a="1"/>
  <c r="A7" i="4" s="1"/>
  <c r="A14" i="4" a="1"/>
  <c r="A14" i="4" s="1"/>
  <c r="A5" i="4" a="1"/>
  <c r="A5" i="4" s="1"/>
  <c r="A4" i="4" a="1"/>
  <c r="A4" i="4" s="1"/>
  <c r="D9" i="11" l="1"/>
  <c r="C9" i="11"/>
  <c r="C5" i="11"/>
  <c r="C6" i="11"/>
  <c r="D7" i="11"/>
  <c r="C8" i="11"/>
  <c r="D2" i="11"/>
  <c r="D3" i="11"/>
  <c r="C3" i="11"/>
  <c r="D5" i="11"/>
  <c r="D8" i="11"/>
  <c r="C4" i="11"/>
  <c r="C2" i="11"/>
  <c r="D6" i="11"/>
  <c r="C7" i="11"/>
  <c r="D4" i="11"/>
  <c r="N4" i="19"/>
  <c r="DE4" i="19" s="1"/>
  <c r="P4" i="19"/>
  <c r="DF4" i="19" s="1"/>
  <c r="J4" i="19"/>
  <c r="K4" i="19" l="1"/>
  <c r="Q4" i="19"/>
  <c r="O4" i="19"/>
  <c r="L4" i="19"/>
  <c r="DD4" i="19" s="1"/>
  <c r="M4" i="19" l="1"/>
  <c r="R4" i="19"/>
  <c r="T4" i="19" s="1"/>
  <c r="E4" i="19" l="1"/>
  <c r="A15" i="19" s="1" a="1"/>
  <c r="A15" i="19" s="1"/>
  <c r="S4" i="19"/>
  <c r="A24" i="19" l="1" a="1"/>
  <c r="A24" i="19" s="1"/>
  <c r="A9" i="19" a="1"/>
  <c r="A9" i="19" s="1"/>
  <c r="A10" i="19" a="1"/>
  <c r="A10" i="19" s="1"/>
  <c r="A16" i="19" a="1"/>
  <c r="A16" i="19" s="1"/>
  <c r="A14" i="19" a="1"/>
  <c r="A14" i="19" s="1"/>
  <c r="A4" i="19" a="1"/>
  <c r="A4" i="19" s="1"/>
  <c r="A22" i="19" a="1"/>
  <c r="A22" i="19" s="1"/>
  <c r="A17" i="19" a="1"/>
  <c r="A17" i="19" s="1"/>
  <c r="A11" i="19" a="1"/>
  <c r="A11" i="19" s="1"/>
  <c r="A12" i="19" a="1"/>
  <c r="A12" i="19" s="1"/>
  <c r="A6" i="19" a="1"/>
  <c r="A6" i="19" s="1"/>
  <c r="A8" i="19" a="1"/>
  <c r="A8" i="19" s="1"/>
  <c r="A7" i="19" a="1"/>
  <c r="A7" i="19" s="1"/>
  <c r="A5" i="19" a="1"/>
  <c r="A5" i="19" s="1"/>
  <c r="A13" i="19" a="1"/>
  <c r="A13" i="19" s="1"/>
  <c r="C42" i="11" l="1"/>
  <c r="C46" i="11"/>
  <c r="C44" i="11"/>
  <c r="C49" i="11"/>
  <c r="C47" i="11"/>
  <c r="D45" i="11"/>
  <c r="D49" i="11"/>
  <c r="C48" i="11"/>
  <c r="D42" i="11"/>
  <c r="C45" i="11"/>
  <c r="D43" i="11"/>
  <c r="D48" i="11"/>
  <c r="D44" i="11"/>
  <c r="D46" i="11"/>
  <c r="D47" i="11"/>
  <c r="C43" i="11"/>
  <c r="N4" i="26"/>
  <c r="DE4" i="26" s="1"/>
  <c r="P4" i="26"/>
  <c r="DF4" i="26" l="1"/>
  <c r="Q4" i="26"/>
  <c r="F4" i="26"/>
  <c r="G4" i="26"/>
  <c r="I4" i="26"/>
  <c r="J4" i="26"/>
  <c r="O4" i="26"/>
  <c r="L4" i="26"/>
  <c r="DD4" i="26" s="1"/>
  <c r="R4" i="26" s="1"/>
  <c r="T4" i="26" s="1"/>
  <c r="H4" i="26" l="1"/>
  <c r="S4" i="26"/>
  <c r="K4" i="26"/>
  <c r="M4" i="26" s="1"/>
  <c r="E4" i="26" s="1"/>
  <c r="A8" i="26" l="1" a="1"/>
  <c r="A8" i="26" s="1"/>
  <c r="A9" i="26" a="1"/>
  <c r="A9" i="26" s="1"/>
  <c r="A7" i="26" a="1"/>
  <c r="A7" i="26" s="1"/>
  <c r="A5" i="26" a="1"/>
  <c r="A5" i="26" s="1"/>
  <c r="A6" i="26" a="1"/>
  <c r="A6" i="26" s="1"/>
  <c r="A4" i="26" a="1"/>
  <c r="A4" i="26" s="1"/>
  <c r="D30" i="11" l="1"/>
  <c r="C26" i="11"/>
  <c r="C32" i="11"/>
  <c r="D31" i="11"/>
  <c r="C30" i="11"/>
  <c r="D32" i="11"/>
  <c r="D26" i="11"/>
  <c r="D27" i="11"/>
  <c r="C33" i="11"/>
  <c r="C31" i="11"/>
  <c r="C29" i="11"/>
  <c r="D33" i="11"/>
  <c r="D29" i="11"/>
  <c r="D28" i="11"/>
  <c r="C28" i="11"/>
  <c r="C27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<sst xmlns="http://schemas.openxmlformats.org/spreadsheetml/2006/main" count="6074" uniqueCount="257">
  <si>
    <t>Province</t>
  </si>
  <si>
    <t>Rank</t>
  </si>
  <si>
    <t>Total Points</t>
  </si>
  <si>
    <t>ON</t>
  </si>
  <si>
    <t>SOEHN, Keegan</t>
  </si>
  <si>
    <t>AB</t>
  </si>
  <si>
    <t>BC</t>
  </si>
  <si>
    <t>QC</t>
  </si>
  <si>
    <t>ARMSTRONG, Mark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</si>
  <si>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</si>
  <si>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</si>
  <si>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</si>
  <si>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</si>
  <si>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</si>
  <si>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</si>
  <si>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</si>
  <si>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</si>
  <si>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</si>
  <si>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</si>
  <si>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</si>
  <si>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</si>
  <si>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</si>
  <si>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</si>
  <si>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</si>
  <si>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</si>
  <si>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</si>
  <si>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TAM, Rachel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</si>
  <si>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</si>
  <si>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</si>
  <si>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</si>
  <si>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</si>
  <si>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</si>
  <si>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</si>
  <si>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</si>
  <si>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</si>
  <si>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</si>
  <si>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</si>
  <si>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</si>
  <si>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</si>
  <si>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</si>
  <si>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</si>
  <si>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</si>
  <si>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</si>
  <si>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</si>
  <si>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</si>
  <si>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</si>
  <si>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</si>
  <si>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</si>
  <si>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</si>
  <si>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</si>
  <si>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</si>
  <si>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</si>
  <si>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</si>
  <si>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</si>
  <si>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</si>
  <si>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</si>
  <si>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</si>
  <si>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</si>
  <si>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</si>
  <si>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</si>
  <si>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Best International Diff</t>
  </si>
  <si>
    <t>National Team DD and Score</t>
  </si>
  <si>
    <t>Excellence Score</t>
  </si>
  <si>
    <t>Excellence DD</t>
  </si>
  <si>
    <t>Potential Injury Score</t>
  </si>
  <si>
    <t>THEODORE, Craig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</si>
  <si>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</si>
  <si>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</si>
  <si>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</si>
  <si>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</si>
  <si>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</si>
  <si>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</si>
  <si>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</si>
  <si>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</si>
  <si>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</si>
  <si>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</si>
  <si>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</si>
  <si>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 2 DD</t>
  </si>
  <si>
    <t>BONHAM, Maja</t>
  </si>
  <si>
    <t>PEDERSEN, Mitchel</t>
  </si>
  <si>
    <t>PHANEUF, Zoe</t>
  </si>
  <si>
    <t>BROWN, Hannah</t>
  </si>
  <si>
    <t>ZUREK, Nolan</t>
  </si>
  <si>
    <t>Worlds Eligible</t>
  </si>
  <si>
    <t>DODD, Gavin</t>
  </si>
  <si>
    <t>PARHAR, Jasmine</t>
  </si>
  <si>
    <t>CARISSE, Jesse</t>
  </si>
  <si>
    <t>DON, Alexander</t>
  </si>
  <si>
    <t>METHERAL, Hannah</t>
  </si>
  <si>
    <t>HOWELL, Kayla</t>
  </si>
  <si>
    <t>SOEHN, Kalena</t>
  </si>
  <si>
    <t>1997/1998</t>
  </si>
  <si>
    <t>MÉTHOT &amp; MILETTE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</si>
  <si>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</si>
  <si>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</si>
  <si>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</si>
  <si>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</si>
  <si>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</si>
  <si>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</si>
  <si>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</si>
  <si>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</si>
  <si>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</si>
  <si>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</si>
  <si>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</si>
  <si>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</si>
  <si>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Best Routine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</si>
  <si>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</si>
  <si>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</si>
  <si>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</si>
  <si>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</si>
  <si>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</si>
  <si>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</si>
  <si>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</si>
  <si>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</si>
  <si>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</si>
  <si>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</si>
  <si>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</si>
  <si>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</si>
  <si>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3rd Best
Prelim Routine</t>
  </si>
  <si>
    <t>NOGA-BARD, Kasha</t>
  </si>
  <si>
    <t>THOMPSON, Justin</t>
  </si>
  <si>
    <t>DYKMAN, Matvey</t>
  </si>
  <si>
    <t>NEUFELD, Simon</t>
  </si>
  <si>
    <t>CLOUTIER, Étienne</t>
  </si>
  <si>
    <t>ANAKA, Ashley</t>
  </si>
  <si>
    <t>BC/ON</t>
  </si>
  <si>
    <t>ON/AB</t>
  </si>
  <si>
    <t>SYN</t>
  </si>
  <si>
    <t>Vol 2 SYN</t>
  </si>
  <si>
    <t>Vol 1 SYN</t>
  </si>
  <si>
    <t>Final SYN</t>
  </si>
  <si>
    <t>Semifinal SYN</t>
  </si>
  <si>
    <t>MEYER, Jeremy</t>
  </si>
  <si>
    <t>DALGETTY, McKayla</t>
  </si>
  <si>
    <t>2002/2001</t>
  </si>
  <si>
    <t>BONHAM &amp; FLYNN</t>
  </si>
  <si>
    <t>NL</t>
  </si>
  <si>
    <t>EVSTIGNEEV, Gleb</t>
  </si>
  <si>
    <t>GEREIN, Curtis</t>
  </si>
  <si>
    <t>NOSSACK, Sophie</t>
  </si>
  <si>
    <t>BONNE, Rielle</t>
  </si>
  <si>
    <t>1993/1991</t>
  </si>
  <si>
    <t>GEREIN &amp; THEODORE</t>
  </si>
  <si>
    <t>2004/1999</t>
  </si>
  <si>
    <t>NOSSACK &amp; SOEHN</t>
  </si>
  <si>
    <t>JAMES &amp; NOGA-BARD</t>
  </si>
  <si>
    <t>2006/2001</t>
  </si>
  <si>
    <t>STANNARD, Adam</t>
  </si>
  <si>
    <t>BOWDITCH, Courtney</t>
  </si>
  <si>
    <t>MB</t>
  </si>
  <si>
    <t>MANCINI, Michael</t>
  </si>
  <si>
    <t>BIANCHET, Anthony</t>
  </si>
  <si>
    <t>IBACH, Sam</t>
  </si>
  <si>
    <t>2nd Best Routine</t>
  </si>
  <si>
    <t>JAMES, Roshni</t>
  </si>
  <si>
    <t>ROY, Anne-Jolie</t>
  </si>
  <si>
    <t>MATTHEWS, Jared</t>
  </si>
  <si>
    <t>WILL, Rebecca</t>
  </si>
  <si>
    <t>THOMPSON, Derek</t>
  </si>
  <si>
    <t>VIAU, Nathan</t>
  </si>
  <si>
    <t>MALLAIS, Rylan</t>
  </si>
  <si>
    <t>DION, Amélia</t>
  </si>
  <si>
    <t>LOVELL-SCHMIDT, Sydney</t>
  </si>
  <si>
    <t>2004/2006</t>
  </si>
  <si>
    <t>2004/2001</t>
  </si>
  <si>
    <t>NL/NB</t>
  </si>
  <si>
    <t>EVSTIGNEEV &amp; RICHARD</t>
  </si>
  <si>
    <t>ADJEMIAN, Alexan</t>
  </si>
  <si>
    <t>QC/BC</t>
  </si>
  <si>
    <t>2001/1998</t>
  </si>
  <si>
    <t>FLYNN &amp; TAM</t>
  </si>
  <si>
    <t>2001/1992</t>
  </si>
  <si>
    <t>QC/AB</t>
  </si>
  <si>
    <t>AUBIN &amp; SOEHN</t>
  </si>
  <si>
    <t>2004/2003</t>
  </si>
  <si>
    <t>NEUFELD &amp; ZUREK</t>
  </si>
  <si>
    <t>JACKSON, Claire</t>
  </si>
  <si>
    <t>PINSK, Benjamin</t>
  </si>
  <si>
    <t>MCCONNELL, Jocelyn</t>
  </si>
  <si>
    <t>MCLEAN, Declan</t>
  </si>
  <si>
    <t>COLLINSON, Brody</t>
  </si>
  <si>
    <t>CANUEL, Victor</t>
  </si>
  <si>
    <t>COUTURE, Joey</t>
  </si>
  <si>
    <t>2006/2005</t>
  </si>
  <si>
    <t>ADJEMIAN &amp; CLOUTIER</t>
  </si>
  <si>
    <t>CYMAN, Cody</t>
  </si>
  <si>
    <t>HARBO, Owen</t>
  </si>
  <si>
    <t>KUZNAK, Sienna</t>
  </si>
  <si>
    <t>2024 World Cup AZE (Feb 24)</t>
  </si>
  <si>
    <t>2024 World Cup AZE (Feb 25)</t>
  </si>
  <si>
    <t>2024 World Cup GER (Mar 23)</t>
  </si>
  <si>
    <t>2024 World Cup GER (Mar 22)</t>
  </si>
  <si>
    <t>2024 World Cup GER (Mar 24)</t>
  </si>
  <si>
    <t>2024 Elite Canada</t>
  </si>
  <si>
    <t>KOOMAN, Spencer</t>
  </si>
  <si>
    <t>SMITH, Haiden</t>
  </si>
  <si>
    <t>BLAIS, Ben</t>
  </si>
  <si>
    <t>BC/AB</t>
  </si>
  <si>
    <t>DODD &amp; SOEHN</t>
  </si>
  <si>
    <t>CLOUTIER &amp; VIAU</t>
  </si>
  <si>
    <t>2005/2006</t>
  </si>
  <si>
    <t>2008/2003</t>
  </si>
  <si>
    <t>GIBBS &amp; ZUREK</t>
  </si>
  <si>
    <t>2007/2004</t>
  </si>
  <si>
    <t>D'HONDT &amp; MEYER</t>
  </si>
  <si>
    <t>CYMAN &amp; KOOMAN</t>
  </si>
  <si>
    <t>2007/2002</t>
  </si>
  <si>
    <t>ON/QC</t>
  </si>
  <si>
    <t>BONNE &amp; ROY</t>
  </si>
  <si>
    <t>KUZNAK &amp; SCHMIDT</t>
  </si>
  <si>
    <t>2007/2008</t>
  </si>
  <si>
    <t>PECK, Rachel</t>
  </si>
  <si>
    <t>OLSEN, Brooklyn</t>
  </si>
  <si>
    <t>MOORE, Sara</t>
  </si>
  <si>
    <t>MERCIER, Loïc</t>
  </si>
  <si>
    <t>BERKENBOSCH, Bence</t>
  </si>
  <si>
    <t>SCOTT, Ethan</t>
  </si>
  <si>
    <t>CANN, Jackson</t>
  </si>
  <si>
    <t>WAX, Sophie</t>
  </si>
  <si>
    <t>CORRIVEAU, Mélina</t>
  </si>
  <si>
    <t>ANDERSEN, Travis</t>
  </si>
  <si>
    <t>2024 Pacific Rim (April 23)</t>
  </si>
  <si>
    <t>2024 Pan Am [Club] Championships (May 19)</t>
  </si>
  <si>
    <t>2024 Pan Am Championships (May 19)</t>
  </si>
  <si>
    <t>2024 Pan Am Club Championships (May 19)</t>
  </si>
  <si>
    <t>2024 Pan Am Championships [Semifinal=Team Final] (May 19)</t>
  </si>
  <si>
    <t>BONNE &amp; SOEHN</t>
  </si>
  <si>
    <t>AB/NL</t>
  </si>
  <si>
    <t>CYMAN &amp; EVSTIGNEEV</t>
  </si>
  <si>
    <t>JAMES &amp; PINNOCK</t>
  </si>
  <si>
    <t>2006/2004</t>
  </si>
  <si>
    <t>LEPORÉ &amp; LEE-MCMEEKEN</t>
  </si>
  <si>
    <t>2024 Nationals</t>
  </si>
  <si>
    <t>COLLINSON &amp; RICHARD</t>
  </si>
  <si>
    <t>ON/NB</t>
  </si>
  <si>
    <t>2005/2001</t>
  </si>
  <si>
    <t>LEUNG &amp; SMITH</t>
  </si>
  <si>
    <t>BERGER, Ophélie</t>
  </si>
  <si>
    <t>CHRISTIE, Emily</t>
  </si>
  <si>
    <t>MATHIEU, Jean</t>
  </si>
  <si>
    <t>2024 World Cup SUI (Jun 29)</t>
  </si>
  <si>
    <t>CLOUTIER &amp; DODD</t>
  </si>
  <si>
    <t>2005/2003</t>
  </si>
  <si>
    <t>NOGA-BARD &amp; TAM</t>
  </si>
  <si>
    <t>2024 World Cup POR (July 7)</t>
  </si>
  <si>
    <t>2024 Coimbra Gym Fest (July 7)</t>
  </si>
  <si>
    <t>AUBIN &amp; DODD</t>
  </si>
  <si>
    <t>2003/1992</t>
  </si>
  <si>
    <t>2001/2003</t>
  </si>
  <si>
    <t>2004/2007</t>
  </si>
  <si>
    <t>BONNE &amp; CORRIVEAU</t>
  </si>
  <si>
    <t>2024 Olympic Games (Aug 2)</t>
  </si>
  <si>
    <t>2024 3rd Domestic Trials</t>
  </si>
  <si>
    <t>2024 3rd Domestic Trial</t>
  </si>
  <si>
    <t>PINNOCK, Liana</t>
  </si>
  <si>
    <t>SARTISON, Torrance</t>
  </si>
  <si>
    <t>PEPPER, Nix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</si>
</sst>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2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8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6B7"/>
        <bgColor rgb="FF000000"/>
      </patternFill>
    </fill>
    <fill>
      <patternFill patternType="solid">
        <fgColor rgb="FFFFBFF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E5C6FA"/>
        <bgColor rgb="FF000000"/>
      </patternFill>
    </fill>
    <fill>
      <patternFill patternType="solid">
        <fgColor theme="0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78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7" fillId="12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164" fontId="15" fillId="15" borderId="0" xfId="0" applyNumberFormat="1" applyFont="1" applyFill="1" applyAlignment="1" applyProtection="1">
      <alignment horizontal="center"/>
      <protection locked="0"/>
    </xf>
    <xf numFmtId="164" fontId="1" fillId="16" borderId="0" xfId="0" applyNumberFormat="1" applyFont="1" applyFill="1" applyAlignment="1" applyProtection="1">
      <alignment horizontal="center"/>
      <protection locked="0"/>
    </xf>
    <xf numFmtId="164" fontId="19" fillId="17" borderId="0" xfId="0" applyNumberFormat="1" applyFont="1" applyFill="1" applyAlignment="1" applyProtection="1">
      <alignment horizontal="center"/>
      <protection locked="0"/>
    </xf>
    <xf numFmtId="164" fontId="20" fillId="18" borderId="0" xfId="0" applyNumberFormat="1" applyFont="1" applyFill="1" applyAlignment="1" applyProtection="1">
      <alignment horizontal="center"/>
      <protection locked="0"/>
    </xf>
    <xf numFmtId="164" fontId="8" fillId="19" borderId="0" xfId="0" applyNumberFormat="1" applyFont="1" applyFill="1" applyAlignment="1" applyProtection="1">
      <alignment horizontal="center"/>
      <protection locked="0"/>
    </xf>
    <xf numFmtId="164" fontId="18" fillId="20" borderId="0" xfId="0" applyNumberFormat="1" applyFont="1" applyFill="1" applyAlignment="1" applyProtection="1">
      <alignment horizontal="center"/>
      <protection locked="0"/>
    </xf>
    <xf numFmtId="164" fontId="9" fillId="21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5" fillId="2" borderId="1" xfId="0" applyNumberFormat="1" applyFont="1" applyFill="1" applyBorder="1" applyAlignment="1" applyProtection="1">
      <alignment horizontal="left"/>
      <protection locked="0"/>
    </xf>
    <xf numFmtId="0" fontId="10" fillId="22" borderId="0" xfId="0" applyFont="1" applyFill="1" applyAlignment="1">
      <alignment horizontal="center"/>
    </xf>
    <xf numFmtId="165" fontId="0" fillId="0" borderId="0" xfId="0" applyNumberForma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2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0" fontId="2" fillId="3" borderId="0" xfId="0" applyFont="1" applyFill="1" applyAlignment="1" applyProtection="1">
      <alignment horizontal="center"/>
      <protection locked="0"/>
    </xf>
    <xf numFmtId="0" fontId="2" fillId="9" borderId="0" xfId="0" applyFont="1" applyFill="1" applyAlignment="1" applyProtection="1">
      <alignment horizontal="center"/>
      <protection locked="0"/>
    </xf>
    <xf numFmtId="0" fontId="10" fillId="3" borderId="0" xfId="0" applyFont="1" applyFill="1" applyAlignment="1">
      <alignment horizontal="center"/>
    </xf>
    <xf numFmtId="0" fontId="10" fillId="8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22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793"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9C0006"/>
      <color rgb="FFFFAF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63</xdr:row>
          <xdr:rowOff>12700</xdr:rowOff>
        </xdr:from>
        <xdr:to>
          <xdr:col>4</xdr:col>
          <xdr:colOff>495300</xdr:colOff>
          <xdr:row>63</xdr:row>
          <xdr:rowOff>177800</xdr:rowOff>
        </xdr:to>
        <xdr:sp macro="" textlink="">
          <xdr:nvSpPr>
            <xdr:cNvPr id="2062" name="Button 14" descr="Remove Ineligibl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67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37</v>
      </c>
      <c r="B1" t="s">
        <v>1</v>
      </c>
      <c r="C1" t="s">
        <v>39</v>
      </c>
      <c r="D1" s="36" t="s">
        <v>11</v>
      </c>
    </row>
    <row r="2" spans="1:6" x14ac:dyDescent="0.2">
      <c r="A2" s="6" t="s">
        <v>38</v>
      </c>
      <c r="B2" s="6">
        <v>1</v>
      </c>
      <c r="C2" s="6" t="str">
        <f>IF(B2&gt;MAX('TRA-M'!A:A),"",INDEX('TRA-M'!B:B,MATCH(B2,'TRA-M'!A:A,0)))</f>
        <v>SOEHN, Keegan</v>
      </c>
      <c r="D2" s="14" t="str">
        <f>IF(B2&gt;MAX('TRA-M'!A:A),"",INDEX('TRA-M'!H:H,MATCH(B2,'TRA-M'!A:A,0)))</f>
        <v>Excellence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AUBIN, Rémi</v>
      </c>
      <c r="D3" s="14" t="str">
        <f>IF(B3&gt;MAX('TRA-M'!A:A),"",INDEX('TRA-M'!H:H,MATCH(B3,'TRA-M'!A:A,0)))</f>
        <v>Merit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DODD, Gavin</v>
      </c>
      <c r="D4" s="14" t="str">
        <f>IF(B4&gt;MAX('TRA-M'!A:A),"",INDEX('TRA-M'!H:H,MATCH(B4,'TRA-M'!A:A,0)))</f>
        <v>Excellence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ADJEMIAN, Alexan</v>
      </c>
      <c r="D5" s="14" t="str">
        <f>IF(B5&gt;MAX('TRA-M'!A:A),"",INDEX('TRA-M'!H:H,MATCH(B5,'TRA-M'!A:A,0)))</f>
        <v>Excellence</v>
      </c>
    </row>
    <row r="6" spans="1:6" x14ac:dyDescent="0.2">
      <c r="A6" s="6"/>
      <c r="B6" s="6">
        <v>5</v>
      </c>
      <c r="C6" s="6" t="str">
        <f>IF(B6&gt;MAX('TRA-M'!A:A),"",INDEX('TRA-M'!B:B,MATCH(B6,'TRA-M'!A:A,0)))</f>
        <v>CLOUTIER, Étienne</v>
      </c>
      <c r="D6" s="14" t="str">
        <f>IF(B6&gt;MAX('TRA-M'!A:A),"",INDEX('TRA-M'!H:H,MATCH(B6,'TRA-M'!A:A,0)))</f>
        <v>National Team</v>
      </c>
    </row>
    <row r="7" spans="1:6" x14ac:dyDescent="0.2">
      <c r="A7" s="6"/>
      <c r="B7" s="6">
        <v>6</v>
      </c>
      <c r="C7" s="6" t="str">
        <f>IF(B7&gt;MAX('TRA-M'!A:A),"",INDEX('TRA-M'!B:B,MATCH(B7,'TRA-M'!A:A,0)))</f>
        <v>MCLEAN, Declan</v>
      </c>
      <c r="D7" s="14" t="str">
        <f>IF(B7&gt;MAX('TRA-M'!A:A),"",INDEX('TRA-M'!H:H,MATCH(B7,'TRA-M'!A:A,0)))</f>
        <v>National Team</v>
      </c>
    </row>
    <row r="8" spans="1:6" x14ac:dyDescent="0.2">
      <c r="A8" s="6"/>
      <c r="B8" s="6">
        <v>7</v>
      </c>
      <c r="C8" s="6" t="str">
        <f>IF(B8&gt;MAX('TRA-M'!A:A),"",INDEX('TRA-M'!B:B,MATCH(B8,'TRA-M'!A:A,0)))</f>
        <v>DON, Alexander</v>
      </c>
      <c r="D8" s="14" t="str">
        <f>IF(B8&gt;MAX('TRA-M'!A:A),"",INDEX('TRA-M'!H:H,MATCH(B8,'TRA-M'!A:A,0)))</f>
        <v>National Team</v>
      </c>
    </row>
    <row r="9" spans="1:6" x14ac:dyDescent="0.2">
      <c r="A9" s="6"/>
      <c r="B9" s="6">
        <v>8</v>
      </c>
      <c r="C9" s="6" t="str">
        <f>IF(B9&gt;MAX('TRA-M'!A:A),"",INDEX('TRA-M'!B:B,MATCH(B9,'TRA-M'!A:A,0)))</f>
        <v>RICHARD, Dexter</v>
      </c>
      <c r="D9" s="14" t="str">
        <f>IF(B9&gt;MAX('TRA-M'!A:A),"",INDEX('TRA-M'!H:H,MATCH(B9,'TRA-M'!A:A,0)))</f>
        <v>National Team</v>
      </c>
    </row>
    <row r="10" spans="1:6" x14ac:dyDescent="0.2">
      <c r="A10" s="7" t="s">
        <v>41</v>
      </c>
      <c r="B10" s="7">
        <v>1</v>
      </c>
      <c r="C10" s="7" t="str">
        <f>IF(B2&gt;MAX('TRA-W'!A:A),"",INDEX('TRA-W'!B:B,MATCH(B2,'TRA-W'!A:A,0)))</f>
        <v>MÉTHOT, Sophiane</v>
      </c>
      <c r="D10" s="13" t="str">
        <f>IF(B2&gt;MAX('TRA-W'!A:A),"",INDEX('TRA-W'!H:H,MATCH(B2,'TRA-W'!A:A,0)))</f>
        <v>Merit</v>
      </c>
    </row>
    <row r="11" spans="1:6" x14ac:dyDescent="0.2">
      <c r="A11" s="7"/>
      <c r="B11" s="7">
        <v>2</v>
      </c>
      <c r="C11" s="7" t="str">
        <f>IF(B3&gt;MAX('TRA-W'!A:A),"",INDEX('TRA-W'!B:B,MATCH(B3,'TRA-W'!A:A,0)))</f>
        <v>TAM, Rachel</v>
      </c>
      <c r="D11" s="13" t="str">
        <f>IF(B3&gt;MAX('TRA-W'!A:A),"",INDEX('TRA-W'!H:H,MATCH(B3,'TRA-W'!A:A,0)))</f>
        <v>Merit</v>
      </c>
    </row>
    <row r="12" spans="1:6" x14ac:dyDescent="0.2">
      <c r="A12" s="7"/>
      <c r="B12" s="7">
        <v>3</v>
      </c>
      <c r="C12" s="7" t="str">
        <f>IF(B4&gt;MAX('TRA-W'!A:A),"",INDEX('TRA-W'!B:B,MATCH(B4,'TRA-W'!A:A,0)))</f>
        <v>MILETTE, Sarah</v>
      </c>
      <c r="D12" s="13" t="str">
        <f>IF(B4&gt;MAX('TRA-W'!A:A),"",INDEX('TRA-W'!H:H,MATCH(B4,'TRA-W'!A:A,0)))</f>
        <v>Excellence</v>
      </c>
    </row>
    <row r="13" spans="1:6" x14ac:dyDescent="0.2">
      <c r="A13" s="7"/>
      <c r="B13" s="7">
        <v>4</v>
      </c>
      <c r="C13" s="7" t="str">
        <f>IF(B5&gt;MAX('TRA-W'!A:A),"",INDEX('TRA-W'!B:B,MATCH(B5,'TRA-W'!A:A,0)))</f>
        <v>BONNE, Rielle</v>
      </c>
      <c r="D13" s="13" t="str">
        <f>IF(B5&gt;MAX('TRA-W'!A:A),"",INDEX('TRA-W'!H:H,MATCH(B5,'TRA-W'!A:A,0)))</f>
        <v>Excellence</v>
      </c>
    </row>
    <row r="14" spans="1:6" x14ac:dyDescent="0.2">
      <c r="A14" s="7"/>
      <c r="B14" s="7">
        <v>5</v>
      </c>
      <c r="C14" s="7" t="str">
        <f>IF(B6&gt;MAX('TRA-W'!A:A),"",INDEX('TRA-W'!B:B,MATCH(B6,'TRA-W'!A:A,0)))</f>
        <v>FLYNN, Gabby</v>
      </c>
      <c r="D14" s="13" t="str">
        <f>IF(B6&gt;MAX('TRA-W'!A:A),"",INDEX('TRA-W'!H:H,MATCH(B6,'TRA-W'!A:A,0)))</f>
        <v>Excellence</v>
      </c>
    </row>
    <row r="15" spans="1:6" x14ac:dyDescent="0.2">
      <c r="A15" s="7"/>
      <c r="B15" s="7">
        <v>6</v>
      </c>
      <c r="C15" s="7" t="str">
        <f>IF(B7&gt;MAX('TRA-W'!A:A),"",INDEX('TRA-W'!B:B,MATCH(B7,'TRA-W'!A:A,0)))</f>
        <v>SOEHN, Kalena</v>
      </c>
      <c r="D15" s="13" t="str">
        <f>IF(B7&gt;MAX('TRA-W'!A:A),"",INDEX('TRA-W'!H:H,MATCH(B7,'TRA-W'!A:A,0)))</f>
        <v>Worlds Team</v>
      </c>
    </row>
    <row r="16" spans="1:6" x14ac:dyDescent="0.2">
      <c r="A16" s="7"/>
      <c r="B16" s="7">
        <v>7</v>
      </c>
      <c r="C16" s="7" t="str">
        <f>IF(B8&gt;MAX('TRA-W'!A:A),"",INDEX('TRA-W'!B:B,MATCH(B8,'TRA-W'!A:A,0)))</f>
        <v>CORRIVEAU, Mélina</v>
      </c>
      <c r="D16" s="13" t="str">
        <f>IF(B8&gt;MAX('TRA-W'!A:A),"",INDEX('TRA-W'!H:H,MATCH(B8,'TRA-W'!A:A,0)))</f>
        <v>Worlds Team</v>
      </c>
    </row>
    <row r="17" spans="1:4" x14ac:dyDescent="0.2">
      <c r="A17" s="7"/>
      <c r="B17" s="7">
        <v>8</v>
      </c>
      <c r="C17" s="7" t="str">
        <f>IF(B9&gt;MAX('TRA-W'!A:A),"",INDEX('TRA-W'!B:B,MATCH(B9,'TRA-W'!A:A,0)))</f>
        <v>NOGA-BARD, Kasha</v>
      </c>
      <c r="D17" s="13" t="str">
        <f>IF(B9&gt;MAX('TRA-W'!A:A),"",INDEX('TRA-W'!H:H,MATCH(B9,'TRA-W'!A:A,0)))</f>
        <v>National Team</v>
      </c>
    </row>
    <row r="18" spans="1:4" x14ac:dyDescent="0.2">
      <c r="A18" s="6" t="s">
        <v>42</v>
      </c>
      <c r="B18" s="6">
        <v>1</v>
      </c>
      <c r="C18" s="6" t="str">
        <f>IF(B2&gt;MAX('SYN-M'!A:A),"",INDEX('SYN-M'!B:B,MATCH(B2,'SYN-M'!A:A,0)))</f>
        <v>AUBIN &amp; SOEHN</v>
      </c>
      <c r="D18" s="14" t="str">
        <f>IF(B2&gt;MAX('SYN-M'!A:A),"",INDEX('SYN-M'!H:H,MATCH(B2,'SYN-M'!A:A,0)))</f>
        <v>Excellence</v>
      </c>
    </row>
    <row r="19" spans="1:4" x14ac:dyDescent="0.2">
      <c r="A19" s="6"/>
      <c r="B19" s="6">
        <v>2</v>
      </c>
      <c r="C19" s="6" t="str">
        <f>IF(B3&gt;MAX('SYN-M'!A:A),"",INDEX('SYN-M'!B:B,MATCH(B3,'SYN-M'!A:A,0)))</f>
        <v>DODD &amp; SOEHN</v>
      </c>
      <c r="D19" s="14" t="str">
        <f>IF(B3&gt;MAX('SYN-M'!A:A),"",INDEX('SYN-M'!H:H,MATCH(B3,'SYN-M'!A:A,0)))</f>
        <v>National Team</v>
      </c>
    </row>
    <row r="20" spans="1:4" x14ac:dyDescent="0.2">
      <c r="A20" s="6"/>
      <c r="B20" s="6">
        <v>3</v>
      </c>
      <c r="C20" s="6" t="str">
        <f>IF(B4&gt;MAX('SYN-M'!A:A),"",INDEX('SYN-M'!B:B,MATCH(B4,'SYN-M'!A:A,0)))</f>
        <v>CLOUTIER &amp; VIAU</v>
      </c>
      <c r="D20" s="14" t="str">
        <f>IF(B4&gt;MAX('SYN-M'!A:A),"",INDEX('SYN-M'!H:H,MATCH(B4,'SYN-M'!A:A,0)))</f>
        <v>No DD</v>
      </c>
    </row>
    <row r="21" spans="1:4" x14ac:dyDescent="0.2">
      <c r="A21" s="6"/>
      <c r="B21" s="6">
        <v>4</v>
      </c>
      <c r="C21" s="6" t="str">
        <f>IF(B5&gt;MAX('SYN-M'!A:A),"",INDEX('SYN-M'!B:B,MATCH(B5,'SYN-M'!A:A,0)))</f>
        <v>EVSTIGNEEV &amp; RICHARD</v>
      </c>
      <c r="D21" s="14" t="str">
        <f>IF(B5&gt;MAX('SYN-M'!A:A),"",INDEX('SYN-M'!H:H,MATCH(B5,'SYN-M'!A:A,0)))</f>
        <v>No DD</v>
      </c>
    </row>
    <row r="22" spans="1:4" x14ac:dyDescent="0.2">
      <c r="A22" s="7" t="s">
        <v>43</v>
      </c>
      <c r="B22" s="7">
        <v>1</v>
      </c>
      <c r="C22" s="7" t="str">
        <f>IF(B2&gt;MAX('SYN-W'!A:A),"",INDEX('SYN-W'!B:B,MATCH(B2,'SYN-W'!A:A,0)))</f>
        <v>MÉTHOT &amp; MILETTE</v>
      </c>
      <c r="D22" s="13" t="str">
        <f>IF(B2&gt;MAX('SYN-W'!A:A),"",INDEX('SYN-W'!H:H,MATCH(B2,'SYN-W'!A:A,0)))</f>
        <v>Worlds Team</v>
      </c>
    </row>
    <row r="23" spans="1:4" x14ac:dyDescent="0.2">
      <c r="A23" s="7"/>
      <c r="B23" s="7">
        <v>2</v>
      </c>
      <c r="C23" s="7" t="str">
        <f>IF(B3&gt;MAX('SYN-W'!A:A),"",INDEX('SYN-W'!B:B,MATCH(B3,'SYN-W'!A:A,0)))</f>
        <v>JAMES &amp; NOGA-BARD</v>
      </c>
      <c r="D23" s="13" t="str">
        <f>IF(B3&gt;MAX('SYN-W'!A:A),"",INDEX('SYN-W'!H:H,MATCH(B3,'SYN-W'!A:A,0)))</f>
        <v>Worlds Team</v>
      </c>
    </row>
    <row r="24" spans="1:4" x14ac:dyDescent="0.2">
      <c r="A24" s="7"/>
      <c r="B24" s="7">
        <v>3</v>
      </c>
      <c r="C24" s="7" t="str">
        <f>IF(B4&gt;MAX('SYN-W'!A:A),"",INDEX('SYN-W'!B:B,MATCH(B4,'SYN-W'!A:A,0)))</f>
        <v>BONHAM &amp; FLYNN</v>
      </c>
      <c r="D24" s="13" t="str">
        <f>IF(B4&gt;MAX('SYN-W'!A:A),"",INDEX('SYN-W'!H:H,MATCH(B4,'SYN-W'!A:A,0)))</f>
        <v>National Team</v>
      </c>
    </row>
    <row r="25" spans="1:4" x14ac:dyDescent="0.2">
      <c r="A25" s="7"/>
      <c r="B25" s="7">
        <v>4</v>
      </c>
      <c r="C25" s="7" t="str">
        <f>IF(B5&gt;MAX('SYN-W'!A:A),"",INDEX('SYN-W'!B:B,MATCH(B5,'SYN-W'!A:A,0)))</f>
        <v>FLYNN &amp; TAM</v>
      </c>
      <c r="D25" s="13" t="str">
        <f>IF(B5&gt;MAX('SYN-W'!A:A),"",INDEX('SYN-W'!H:H,MATCH(B5,'SYN-W'!A:A,0)))</f>
        <v>Excellence</v>
      </c>
    </row>
    <row r="26" spans="1:4" x14ac:dyDescent="0.2">
      <c r="A26" s="6" t="s">
        <v>44</v>
      </c>
      <c r="B26" s="6">
        <v>1</v>
      </c>
      <c r="C26" s="6" t="str">
        <f>IF(B2&gt;MAX('TUM-M'!A:A),"",INDEX('TUM-M'!B:B,MATCH(B2,'TUM-M'!A:A,0)))</f>
        <v>MATTHEWS, Jared</v>
      </c>
      <c r="D26" s="14" t="str">
        <f>IF(B2&gt;MAX('TUM-M'!A:A),"",INDEX('TUM-M'!H:H,MATCH(B2,'TUM-M'!A:A,0)))</f>
        <v>Merit</v>
      </c>
    </row>
    <row r="27" spans="1:4" x14ac:dyDescent="0.2">
      <c r="A27" s="6"/>
      <c r="B27" s="6">
        <v>2</v>
      </c>
      <c r="C27" s="6" t="str">
        <f>IF(B3&gt;MAX('TUM-M'!A:A),"",INDEX('TUM-M'!B:B,MATCH(B3,'TUM-M'!A:A,0)))</f>
        <v>CANUEL, Victor</v>
      </c>
      <c r="D27" s="14" t="str">
        <f>IF(B3&gt;MAX('TUM-M'!A:A),"",INDEX('TUM-M'!H:H,MATCH(B3,'TUM-M'!A:A,0)))</f>
        <v>Merit</v>
      </c>
    </row>
    <row r="28" spans="1:4" x14ac:dyDescent="0.2">
      <c r="A28" s="6"/>
      <c r="B28" s="6">
        <v>3</v>
      </c>
      <c r="C28" s="6" t="str">
        <f>IF(B4&gt;MAX('TUM-M'!A:A),"",INDEX('TUM-M'!B:B,MATCH(B4,'TUM-M'!A:A,0)))</f>
        <v>NEUFELD, Simon</v>
      </c>
      <c r="D28" s="14" t="str">
        <f>IF(B4&gt;MAX('TUM-M'!A:A),"",INDEX('TUM-M'!H:H,MATCH(B4,'TUM-M'!A:A,0)))</f>
        <v>Worlds Team</v>
      </c>
    </row>
    <row r="29" spans="1:4" x14ac:dyDescent="0.2">
      <c r="A29" s="6"/>
      <c r="B29" s="6">
        <v>4</v>
      </c>
      <c r="C29" s="6" t="str">
        <f>IF(B5&gt;MAX('TUM-M'!A:A),"",INDEX('TUM-M'!B:B,MATCH(B5,'TUM-M'!A:A,0)))</f>
        <v>THOMPSON, Justin</v>
      </c>
      <c r="D29" s="14" t="str">
        <f>IF(B5&gt;MAX('TUM-M'!A:A),"",INDEX('TUM-M'!H:H,MATCH(B5,'TUM-M'!A:A,0)))</f>
        <v>National Team</v>
      </c>
    </row>
    <row r="30" spans="1:4" x14ac:dyDescent="0.2">
      <c r="A30" s="6"/>
      <c r="B30" s="6">
        <v>5</v>
      </c>
      <c r="C30" s="6" t="str">
        <f>IF(B6&gt;MAX('TUM-M'!A:A),"",INDEX('TUM-M'!B:B,MATCH(B6,'TUM-M'!A:A,0)))</f>
        <v>PEDERSEN, Mitchel</v>
      </c>
      <c r="D30" s="14" t="str">
        <f>IF(B6&gt;MAX('TUM-M'!A:A),"",INDEX('TUM-M'!H:H,MATCH(B6,'TUM-M'!A:A,0)))</f>
        <v>National Team</v>
      </c>
    </row>
    <row r="31" spans="1:4" x14ac:dyDescent="0.2">
      <c r="A31" s="6"/>
      <c r="B31" s="6">
        <v>6</v>
      </c>
      <c r="C31" s="6" t="str">
        <f>IF(B7&gt;MAX('TUM-M'!A:A),"",INDEX('TUM-M'!B:B,MATCH(B7,'TUM-M'!A:A,0)))</f>
        <v>STANNARD, Adam</v>
      </c>
      <c r="D31" s="14" t="str">
        <f>IF(B7&gt;MAX('TUM-M'!A:A),"",INDEX('TUM-M'!H:H,MATCH(B7,'TUM-M'!A:A,0)))</f>
        <v>Worlds Team</v>
      </c>
    </row>
    <row r="32" spans="1:4" hidden="1" x14ac:dyDescent="0.2">
      <c r="A32" s="6"/>
      <c r="B32" s="6">
        <v>7</v>
      </c>
      <c r="C32" s="6" t="str">
        <f>IF(B8&gt;MAX('TUM-M'!A:A),"",INDEX('TUM-M'!B:B,MATCH(B8,'TUM-M'!A:A,0)))</f>
        <v/>
      </c>
      <c r="D32" s="14" t="str">
        <f>IF(B8&gt;MAX('TUM-M'!A:A),"",INDEX('TUM-M'!H:H,MATCH(B8,'TUM-M'!A:A,0)))</f>
        <v/>
      </c>
    </row>
    <row r="33" spans="1:4" hidden="1" x14ac:dyDescent="0.2">
      <c r="A33" s="6"/>
      <c r="B33" s="6">
        <v>8</v>
      </c>
      <c r="C33" s="6" t="str">
        <f>IF(B9&gt;MAX('TUM-M'!A:A),"",INDEX('TUM-M'!B:B,MATCH(B9,'TUM-M'!A:A,0)))</f>
        <v/>
      </c>
      <c r="D33" s="14" t="str">
        <f>IF(B9&gt;MAX('TUM-M'!A:A),"",INDEX('TUM-M'!H:H,MATCH(B9,'TUM-M'!A:A,0)))</f>
        <v/>
      </c>
    </row>
    <row r="34" spans="1:4" x14ac:dyDescent="0.2">
      <c r="A34" s="7" t="s">
        <v>45</v>
      </c>
      <c r="B34" s="7">
        <v>1</v>
      </c>
      <c r="C34" s="7" t="str">
        <f>IF(B2&gt;MAX('TUM-W'!A:A),"",INDEX('TUM-W'!B:B,MATCH(B2,'TUM-W'!A:A,0)))</f>
        <v>BERGER, Ophélie</v>
      </c>
      <c r="D34" s="13" t="str">
        <f>IF(B2&gt;MAX('TUM-W'!A:A),"",INDEX('TUM-W'!H:H,MATCH(B2,'TUM-W'!A:A,0)))</f>
        <v>Worlds Team</v>
      </c>
    </row>
    <row r="35" spans="1:4" x14ac:dyDescent="0.2">
      <c r="A35" s="7"/>
      <c r="B35" s="7">
        <v>2</v>
      </c>
      <c r="C35" s="7" t="str">
        <f>IF(B3&gt;MAX('TUM-W'!A:A),"",INDEX('TUM-W'!B:B,MATCH(B3,'TUM-W'!A:A,0)))</f>
        <v>PILLINGER, Taylor</v>
      </c>
      <c r="D35" s="13" t="str">
        <f>IF(B3&gt;MAX('TUM-W'!A:A),"",INDEX('TUM-W'!H:H,MATCH(B3,'TUM-W'!A:A,0)))</f>
        <v>Worlds Team</v>
      </c>
    </row>
    <row r="36" spans="1:4" x14ac:dyDescent="0.2">
      <c r="A36" s="7"/>
      <c r="B36" s="7">
        <v>3</v>
      </c>
      <c r="C36" s="7" t="str">
        <f>IF(B4&gt;MAX('TUM-W'!A:A),"",INDEX('TUM-W'!B:B,MATCH(B4,'TUM-W'!A:A,0)))</f>
        <v>JACKSON, Claire</v>
      </c>
      <c r="D36" s="13" t="str">
        <f>IF(B4&gt;MAX('TUM-W'!A:A),"",INDEX('TUM-W'!H:H,MATCH(B4,'TUM-W'!A:A,0)))</f>
        <v>Worlds Team</v>
      </c>
    </row>
    <row r="37" spans="1:4" x14ac:dyDescent="0.2">
      <c r="A37" s="7"/>
      <c r="B37" s="7">
        <v>4</v>
      </c>
      <c r="C37" s="7" t="str">
        <f>IF(B5&gt;MAX('TUM-W'!A:A),"",INDEX('TUM-W'!B:B,MATCH(B5,'TUM-W'!A:A,0)))</f>
        <v>PECK, Rachel</v>
      </c>
      <c r="D37" s="13" t="str">
        <f>IF(B5&gt;MAX('TUM-W'!A:A),"",INDEX('TUM-W'!H:H,MATCH(B5,'TUM-W'!A:A,0)))</f>
        <v>National Team</v>
      </c>
    </row>
    <row r="38" spans="1:4" x14ac:dyDescent="0.2">
      <c r="A38" s="7"/>
      <c r="B38" s="7">
        <v>5</v>
      </c>
      <c r="C38" s="7" t="str">
        <f>IF(B6&gt;MAX('TUM-W'!A:A),"",INDEX('TUM-W'!B:B,MATCH(B6,'TUM-W'!A:A,0)))</f>
        <v>SARTISON, Torrance</v>
      </c>
      <c r="D38" s="13" t="str">
        <f>IF(B6&gt;MAX('TUM-W'!A:A),"",INDEX('TUM-W'!H:H,MATCH(B6,'TUM-W'!A:A,0)))</f>
        <v>National Team</v>
      </c>
    </row>
    <row r="39" spans="1:4" x14ac:dyDescent="0.2">
      <c r="A39" s="7"/>
      <c r="B39" s="7">
        <v>6</v>
      </c>
      <c r="C39" s="7" t="str">
        <f>IF(B7&gt;MAX('TUM-W'!A:A),"",INDEX('TUM-W'!B:B,MATCH(B7,'TUM-W'!A:A,0)))</f>
        <v>IBACH, Sam</v>
      </c>
      <c r="D39" s="13" t="str">
        <f>IF(B7&gt;MAX('TUM-W'!A:A),"",INDEX('TUM-W'!H:H,MATCH(B7,'TUM-W'!A:A,0)))</f>
        <v>National Team</v>
      </c>
    </row>
    <row r="40" spans="1:4" x14ac:dyDescent="0.2">
      <c r="A40" s="7"/>
      <c r="B40" s="7">
        <v>7</v>
      </c>
      <c r="C40" s="7" t="str">
        <f>IF(B8&gt;MAX('TUM-W'!A:A),"",INDEX('TUM-W'!B:B,MATCH(B8,'TUM-W'!A:A,0)))</f>
        <v>DALGETTY, McKayla</v>
      </c>
      <c r="D40" s="13" t="str">
        <f>IF(B8&gt;MAX('TUM-W'!A:A),"",INDEX('TUM-W'!H:H,MATCH(B8,'TUM-W'!A:A,0)))</f>
        <v>National Team</v>
      </c>
    </row>
    <row r="41" spans="1:4" x14ac:dyDescent="0.2">
      <c r="A41" s="7"/>
      <c r="B41" s="7">
        <v>8</v>
      </c>
      <c r="C41" s="7" t="str">
        <f>IF(B9&gt;MAX('TUM-W'!A:A),"",INDEX('TUM-W'!B:B,MATCH(B9,'TUM-W'!A:A,0)))</f>
        <v>MOORE, Sara</v>
      </c>
      <c r="D41" s="13" t="str">
        <f>IF(B9&gt;MAX('TUM-W'!A:A),"",INDEX('TUM-W'!H:H,MATCH(B9,'TUM-W'!A:A,0)))</f>
        <v>National Team</v>
      </c>
    </row>
    <row r="42" spans="1:4" x14ac:dyDescent="0.2">
      <c r="A42" s="6" t="s">
        <v>46</v>
      </c>
      <c r="B42" s="6">
        <v>1</v>
      </c>
      <c r="C42" s="6" t="str">
        <f>IF(B2&gt;MAX('DMT-M'!A:A),"",INDEX('DMT-M'!B:B,MATCH(B2,'DMT-M'!A:A,0)))</f>
        <v>DODD, Gavin</v>
      </c>
      <c r="D42" s="14" t="str">
        <f>IF(B2&gt;MAX('DMT-M'!A:A),"",INDEX('DMT-M'!H:H,MATCH(B2,'DMT-M'!A:A,0)))</f>
        <v>Merit</v>
      </c>
    </row>
    <row r="43" spans="1:4" x14ac:dyDescent="0.2">
      <c r="A43" s="6"/>
      <c r="B43" s="6">
        <v>2</v>
      </c>
      <c r="C43" s="6" t="str">
        <f>IF(B3&gt;MAX('DMT-M'!A:A),"",INDEX('DMT-M'!B:B,MATCH(B3,'DMT-M'!A:A,0)))</f>
        <v>NEUFELD, Simon</v>
      </c>
      <c r="D43" s="14" t="str">
        <f>IF(B3&gt;MAX('DMT-M'!A:A),"",INDEX('DMT-M'!H:H,MATCH(B3,'DMT-M'!A:A,0)))</f>
        <v>National Team</v>
      </c>
    </row>
    <row r="44" spans="1:4" x14ac:dyDescent="0.2">
      <c r="A44" s="6"/>
      <c r="B44" s="6">
        <v>3</v>
      </c>
      <c r="C44" s="6" t="str">
        <f>IF(B4&gt;MAX('DMT-M'!A:A),"",INDEX('DMT-M'!B:B,MATCH(B4,'DMT-M'!A:A,0)))</f>
        <v>LUPISH, Kieran</v>
      </c>
      <c r="D44" s="14" t="str">
        <f>IF(B4&gt;MAX('DMT-M'!A:A),"",INDEX('DMT-M'!H:H,MATCH(B4,'DMT-M'!A:A,0)))</f>
        <v>Excellence</v>
      </c>
    </row>
    <row r="45" spans="1:4" x14ac:dyDescent="0.2">
      <c r="A45" s="6"/>
      <c r="B45" s="6">
        <v>4</v>
      </c>
      <c r="C45" s="6" t="str">
        <f>IF(B5&gt;MAX('DMT-M'!A:A),"",INDEX('DMT-M'!B:B,MATCH(B5,'DMT-M'!A:A,0)))</f>
        <v>ZUREK, Nolan</v>
      </c>
      <c r="D45" s="14" t="str">
        <f>IF(B5&gt;MAX('DMT-M'!A:A),"",INDEX('DMT-M'!H:H,MATCH(B5,'DMT-M'!A:A,0)))</f>
        <v>National Team</v>
      </c>
    </row>
    <row r="46" spans="1:4" x14ac:dyDescent="0.2">
      <c r="A46" s="6"/>
      <c r="B46" s="6">
        <v>5</v>
      </c>
      <c r="C46" s="6" t="str">
        <f>IF(B6&gt;MAX('DMT-M'!A:A),"",INDEX('DMT-M'!B:B,MATCH(B6,'DMT-M'!A:A,0)))</f>
        <v>ARMSTRONG, Mark</v>
      </c>
      <c r="D46" s="14" t="str">
        <f>IF(B6&gt;MAX('DMT-M'!A:A),"",INDEX('DMT-M'!H:H,MATCH(B6,'DMT-M'!A:A,0)))</f>
        <v>Worlds Team</v>
      </c>
    </row>
    <row r="47" spans="1:4" x14ac:dyDescent="0.2">
      <c r="A47" s="6"/>
      <c r="B47" s="6">
        <v>6</v>
      </c>
      <c r="C47" s="6" t="str">
        <f>IF(B7&gt;MAX('DMT-M'!A:A),"",INDEX('DMT-M'!B:B,MATCH(B7,'DMT-M'!A:A,0)))</f>
        <v>MALLAIS, Rylan</v>
      </c>
      <c r="D47" s="14" t="str">
        <f>IF(B7&gt;MAX('DMT-M'!A:A),"",INDEX('DMT-M'!H:H,MATCH(B7,'DMT-M'!A:A,0)))</f>
        <v>Excellence</v>
      </c>
    </row>
    <row r="48" spans="1:4" x14ac:dyDescent="0.2">
      <c r="A48" s="6"/>
      <c r="B48" s="6">
        <v>7</v>
      </c>
      <c r="C48" s="6" t="str">
        <f>IF(B8&gt;MAX('DMT-M'!A:A),"",INDEX('DMT-M'!B:B,MATCH(B8,'DMT-M'!A:A,0)))</f>
        <v>HARBO, Owen</v>
      </c>
      <c r="D48" s="14" t="str">
        <f>IF(B8&gt;MAX('DMT-M'!A:A),"",INDEX('DMT-M'!H:H,MATCH(B8,'DMT-M'!A:A,0)))</f>
        <v>National Team</v>
      </c>
    </row>
    <row r="49" spans="1:5" x14ac:dyDescent="0.2">
      <c r="A49" s="6"/>
      <c r="B49" s="6">
        <v>8</v>
      </c>
      <c r="C49" s="6" t="str">
        <f>IF(B9&gt;MAX('DMT-M'!A:A),"",INDEX('DMT-M'!B:B,MATCH(B9,'DMT-M'!A:A,0)))</f>
        <v>MEYER, Jeremy</v>
      </c>
      <c r="D49" s="14" t="str">
        <f>IF(B9&gt;MAX('DMT-M'!A:A),"",INDEX('DMT-M'!H:H,MATCH(B9,'DMT-M'!A:A,0)))</f>
        <v>Worlds Team</v>
      </c>
    </row>
    <row r="50" spans="1:5" x14ac:dyDescent="0.2">
      <c r="A50" s="7" t="s">
        <v>47</v>
      </c>
      <c r="B50" s="7">
        <v>1</v>
      </c>
      <c r="C50" s="7" t="str">
        <f>IF(B2&gt;MAX('DMT-W'!A:A),"",INDEX('DMT-W'!B:B,MATCH(B2,'DMT-W'!A:A,0)))</f>
        <v>FLYNN, Gabby</v>
      </c>
      <c r="D50" s="13" t="str">
        <f>IF(B2&gt;MAX('DMT-W'!A:A),"",INDEX('DMT-W'!H:H,MATCH(B2,'DMT-W'!A:A,0)))</f>
        <v>Merit</v>
      </c>
    </row>
    <row r="51" spans="1:5" x14ac:dyDescent="0.2">
      <c r="A51" s="7"/>
      <c r="B51" s="7">
        <v>2</v>
      </c>
      <c r="C51" s="7" t="str">
        <f>IF(B3&gt;MAX('DMT-W'!A:A),"",INDEX('DMT-W'!B:B,MATCH(B3,'DMT-W'!A:A,0)))</f>
        <v>KUZNAK, Sienna</v>
      </c>
      <c r="D51" s="13" t="str">
        <f>IF(B3&gt;MAX('DMT-W'!A:A),"",INDEX('DMT-W'!H:H,MATCH(B3,'DMT-W'!A:A,0)))</f>
        <v>Excellence</v>
      </c>
    </row>
    <row r="52" spans="1:5" x14ac:dyDescent="0.2">
      <c r="A52" s="7"/>
      <c r="B52" s="7">
        <v>3</v>
      </c>
      <c r="C52" s="7" t="str">
        <f>IF(B4&gt;MAX('DMT-W'!A:A),"",INDEX('DMT-W'!B:B,MATCH(B4,'DMT-W'!A:A,0)))</f>
        <v>SOEHN, Kalena</v>
      </c>
      <c r="D52" s="13" t="str">
        <f>IF(B4&gt;MAX('DMT-W'!A:A),"",INDEX('DMT-W'!H:H,MATCH(B4,'DMT-W'!A:A,0)))</f>
        <v>Excellence</v>
      </c>
    </row>
    <row r="53" spans="1:5" x14ac:dyDescent="0.2">
      <c r="A53" s="7"/>
      <c r="B53" s="7">
        <v>4</v>
      </c>
      <c r="C53" s="7" t="str">
        <f>IF(B5&gt;MAX('DMT-W'!A:A),"",INDEX('DMT-W'!B:B,MATCH(B5,'DMT-W'!A:A,0)))</f>
        <v>HOWELL, Kayla</v>
      </c>
      <c r="D53" s="13" t="str">
        <f>IF(B5&gt;MAX('DMT-W'!A:A),"",INDEX('DMT-W'!H:H,MATCH(B5,'DMT-W'!A:A,0)))</f>
        <v>Excellence</v>
      </c>
    </row>
    <row r="54" spans="1:5" x14ac:dyDescent="0.2">
      <c r="A54" s="7"/>
      <c r="B54" s="7">
        <v>5</v>
      </c>
      <c r="C54" s="7" t="str">
        <f>IF(B6&gt;MAX('DMT-W'!A:A),"",INDEX('DMT-W'!B:B,MATCH(B6,'DMT-W'!A:A,0)))</f>
        <v>DALGETTY, McKayla</v>
      </c>
      <c r="D54" s="13" t="str">
        <f>IF(B6&gt;MAX('DMT-W'!A:A),"",INDEX('DMT-W'!H:H,MATCH(B6,'DMT-W'!A:A,0)))</f>
        <v>National Team</v>
      </c>
    </row>
    <row r="55" spans="1:5" x14ac:dyDescent="0.2">
      <c r="A55" s="7"/>
      <c r="B55" s="7">
        <v>6</v>
      </c>
      <c r="C55" s="7" t="str">
        <f>IF(B7&gt;MAX('DMT-W'!A:A),"",INDEX('DMT-W'!B:B,MATCH(B7,'DMT-W'!A:A,0)))</f>
        <v>PHANEUF, Zoe</v>
      </c>
      <c r="D55" s="13" t="str">
        <f>IF(B7&gt;MAX('DMT-W'!A:A),"",INDEX('DMT-W'!H:H,MATCH(B7,'DMT-W'!A:A,0)))</f>
        <v>National Team</v>
      </c>
    </row>
    <row r="56" spans="1:5" x14ac:dyDescent="0.2">
      <c r="A56" s="7"/>
      <c r="B56" s="7">
        <v>7</v>
      </c>
      <c r="C56" s="7" t="str">
        <f>IF(B8&gt;MAX('DMT-W'!A:A),"",INDEX('DMT-W'!B:B,MATCH(B8,'DMT-W'!A:A,0)))</f>
        <v>DODD, Kristina</v>
      </c>
      <c r="D56" s="13" t="str">
        <f>IF(B8&gt;MAX('DMT-W'!A:A),"",INDEX('DMT-W'!H:H,MATCH(B8,'DMT-W'!A:A,0)))</f>
        <v>National Team</v>
      </c>
    </row>
    <row r="57" spans="1:5" x14ac:dyDescent="0.2">
      <c r="A57" s="7"/>
      <c r="B57" s="7">
        <v>8</v>
      </c>
      <c r="C57" s="7" t="str">
        <f>IF(B9&gt;MAX('DMT-W'!A:A),"",INDEX('DMT-W'!B:B,MATCH(B9,'DMT-W'!A:A,0)))</f>
        <v>DION, Amélia</v>
      </c>
      <c r="D57" s="13" t="str">
        <f>IF(B9&gt;MAX('DMT-W'!A:A),"",INDEX('DMT-W'!H:H,MATCH(B9,'DMT-W'!A:A,0)))</f>
        <v>Worlds Team</v>
      </c>
    </row>
    <row r="58" spans="1:5" x14ac:dyDescent="0.2">
      <c r="D58" s="36"/>
    </row>
    <row r="59" spans="1:5" x14ac:dyDescent="0.2">
      <c r="B59" t="s">
        <v>35</v>
      </c>
    </row>
    <row r="60" spans="1:5" x14ac:dyDescent="0.2">
      <c r="B60" t="s">
        <v>33</v>
      </c>
    </row>
    <row r="61" spans="1:5" x14ac:dyDescent="0.2">
      <c r="B61" t="s">
        <v>34</v>
      </c>
    </row>
    <row r="62" spans="1:5" x14ac:dyDescent="0.2">
      <c r="B62" s="12" t="s">
        <v>58</v>
      </c>
      <c r="D62" t="s">
        <v>56</v>
      </c>
    </row>
    <row r="63" spans="1:5" x14ac:dyDescent="0.2">
      <c r="B63" s="12" t="s">
        <v>67</v>
      </c>
      <c r="D63" t="s">
        <v>56</v>
      </c>
      <c r="E63" t="s">
        <v>56</v>
      </c>
    </row>
    <row r="64" spans="1:5" x14ac:dyDescent="0.2">
      <c r="B64" t="s">
        <v>57</v>
      </c>
    </row>
    <row r="65" spans="1:3" x14ac:dyDescent="0.2">
      <c r="B65" t="s">
        <v>68</v>
      </c>
    </row>
    <row r="66" spans="1:3" x14ac:dyDescent="0.2">
      <c r="A66" t="s">
        <v>40</v>
      </c>
      <c r="B66" s="63">
        <v>45666</v>
      </c>
      <c r="C66" s="63"/>
    </row>
    <row r="67" spans="1:3" x14ac:dyDescent="0.2">
      <c r="B67" t="s">
        <v>252</v>
      </c>
    </row>
  </sheetData>
  <sheetProtection formatCells="0" formatColumns="0" formatRows="0"/>
  <mergeCells count="1">
    <mergeCell ref="B66:C66"/>
  </mergeCells>
  <conditionalFormatting sqref="D2:D57">
    <cfRule type="containsText" dxfId="792" priority="1" operator="containsText" text="No DD">
      <formula>NOT(ISERROR(SEARCH("No DD",D2)))</formula>
    </cfRule>
    <cfRule type="containsText" dxfId="791" priority="4" operator="containsText" text="Merit">
      <formula>NOT(ISERROR(SEARCH("Merit",D2)))</formula>
    </cfRule>
    <cfRule type="containsText" dxfId="790" priority="5" operator="containsText" text="Excellence">
      <formula>NOT(ISERROR(SEARCH("Excellence",D2)))</formula>
    </cfRule>
    <cfRule type="containsText" dxfId="789" priority="6" operator="containsText" text="Worlds Team">
      <formula>NOT(ISERROR(SEARCH("Worlds Team",D2)))</formula>
    </cfRule>
    <cfRule type="containsText" dxfId="788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" xr:uid="{D08F591B-E1ED-7A40-99FD-CEC4A428C792}">
      <formula1>"Select,TRA-M,TRA-W,SYN-M,SYN-W,TUM-M,TUM-W,DMT-M,DMT-W"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0" name="Button 1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63</xdr:row>
                    <xdr:rowOff>12700</xdr:rowOff>
                  </from>
                  <to>
                    <xdr:col>4</xdr:col>
                    <xdr:colOff>495300</xdr:colOff>
                    <xdr:row>63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XT56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542" width="10.83203125" hidden="1" customWidth="1"/>
    <col min="543" max="543" width="11.83203125" hidden="1" customWidth="1"/>
    <col min="544" max="544" width="12.83203125" hidden="1" customWidth="1"/>
    <col min="545" max="576" width="10.83203125" hidden="1" customWidth="1"/>
    <col min="577" max="577" width="11.83203125" hidden="1" customWidth="1"/>
    <col min="578" max="578" width="12.83203125" hidden="1" customWidth="1"/>
    <col min="579" max="610" width="10.83203125" hidden="1" customWidth="1"/>
    <col min="611" max="611" width="11.83203125" hidden="1" customWidth="1"/>
    <col min="612" max="612" width="12.83203125" hidden="1" customWidth="1"/>
    <col min="613" max="644" width="10.83203125" hidden="1" customWidth="1"/>
  </cols>
  <sheetData>
    <row r="1" spans="1:644" x14ac:dyDescent="0.2">
      <c r="A1" s="64" t="s">
        <v>1</v>
      </c>
      <c r="B1" s="64" t="s">
        <v>27</v>
      </c>
      <c r="C1" s="64" t="s">
        <v>0</v>
      </c>
      <c r="D1" s="64" t="s">
        <v>55</v>
      </c>
      <c r="E1" s="64" t="s">
        <v>2</v>
      </c>
      <c r="F1" s="65" t="s">
        <v>61</v>
      </c>
      <c r="G1" s="64" t="s">
        <v>10</v>
      </c>
      <c r="H1" s="64" t="s">
        <v>11</v>
      </c>
      <c r="I1" s="64" t="s">
        <v>83</v>
      </c>
      <c r="J1" s="70" t="s">
        <v>93</v>
      </c>
      <c r="K1" s="66" t="s">
        <v>30</v>
      </c>
      <c r="L1" s="70" t="s">
        <v>94</v>
      </c>
      <c r="M1" s="66" t="s">
        <v>30</v>
      </c>
      <c r="N1" s="70" t="s">
        <v>118</v>
      </c>
      <c r="O1" s="66" t="s">
        <v>30</v>
      </c>
      <c r="P1" s="66" t="s">
        <v>12</v>
      </c>
      <c r="Q1" s="66" t="s">
        <v>30</v>
      </c>
      <c r="R1" s="66" t="s">
        <v>95</v>
      </c>
      <c r="S1" s="66" t="s">
        <v>30</v>
      </c>
      <c r="T1" s="70" t="s">
        <v>96</v>
      </c>
      <c r="U1" s="66" t="s">
        <v>30</v>
      </c>
      <c r="V1" s="69" t="s">
        <v>13</v>
      </c>
      <c r="W1" s="66" t="s">
        <v>31</v>
      </c>
      <c r="X1" s="66" t="s">
        <v>30</v>
      </c>
      <c r="Y1" s="67" t="s">
        <v>193</v>
      </c>
      <c r="Z1" s="67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7"/>
      <c r="AT1" s="67"/>
      <c r="AU1" s="67"/>
      <c r="AV1" s="67"/>
      <c r="AW1" s="67"/>
      <c r="AX1" s="67"/>
      <c r="AY1" s="67"/>
      <c r="AZ1" s="72" t="s">
        <v>232</v>
      </c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67" t="s">
        <v>253</v>
      </c>
      <c r="CB1" s="67"/>
      <c r="CC1" s="67"/>
      <c r="CD1" s="67"/>
      <c r="CE1" s="67"/>
      <c r="CF1" s="67"/>
      <c r="CG1" s="67"/>
      <c r="CH1" s="67"/>
      <c r="CI1" s="67"/>
      <c r="CJ1" s="67"/>
      <c r="CK1" s="67"/>
      <c r="CL1" s="67"/>
      <c r="CM1" s="67"/>
      <c r="CN1" s="67"/>
      <c r="CO1" s="67"/>
      <c r="CP1" s="67"/>
      <c r="CQ1" s="67"/>
      <c r="CR1" s="67"/>
      <c r="CS1" s="67"/>
      <c r="CT1" s="67"/>
      <c r="CU1" s="67"/>
      <c r="CV1" s="67"/>
      <c r="CW1" s="67"/>
      <c r="CX1" s="67"/>
      <c r="CY1" s="67"/>
      <c r="CZ1" s="67"/>
      <c r="DA1" s="67"/>
      <c r="DB1" s="73" t="s">
        <v>13</v>
      </c>
      <c r="DC1" s="73"/>
      <c r="DD1" s="67" t="s">
        <v>188</v>
      </c>
      <c r="DE1" s="67"/>
      <c r="DF1" s="67"/>
      <c r="DG1" s="67"/>
      <c r="DH1" s="67"/>
      <c r="DI1" s="67"/>
      <c r="DJ1" s="67"/>
      <c r="DK1" s="67"/>
      <c r="DL1" s="67"/>
      <c r="DM1" s="67"/>
      <c r="DN1" s="67"/>
      <c r="DO1" s="67"/>
      <c r="DP1" s="67"/>
      <c r="DQ1" s="67"/>
      <c r="DR1" s="67"/>
      <c r="DS1" s="67"/>
      <c r="DT1" s="67"/>
      <c r="DU1" s="67"/>
      <c r="DV1" s="67"/>
      <c r="DW1" s="67"/>
      <c r="DX1" s="67"/>
      <c r="DY1" s="67"/>
      <c r="DZ1" s="67"/>
      <c r="EA1" s="67"/>
      <c r="EB1" s="67"/>
      <c r="EC1" s="67"/>
      <c r="ED1" s="67"/>
      <c r="EE1" s="67"/>
      <c r="EF1" s="67"/>
      <c r="EG1" s="67"/>
      <c r="EH1" s="67"/>
      <c r="EI1" s="67"/>
      <c r="EJ1" s="67"/>
      <c r="EK1" s="67"/>
      <c r="EL1" s="72" t="s">
        <v>191</v>
      </c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67" t="s">
        <v>221</v>
      </c>
      <c r="FU1" s="67"/>
      <c r="FV1" s="67"/>
      <c r="FW1" s="67"/>
      <c r="FX1" s="67"/>
      <c r="FY1" s="67"/>
      <c r="FZ1" s="67"/>
      <c r="GA1" s="67"/>
      <c r="GB1" s="67"/>
      <c r="GC1" s="67"/>
      <c r="GD1" s="67"/>
      <c r="GE1" s="67"/>
      <c r="GF1" s="67"/>
      <c r="GG1" s="67"/>
      <c r="GH1" s="67"/>
      <c r="GI1" s="67"/>
      <c r="GJ1" s="67"/>
      <c r="GK1" s="67"/>
      <c r="GL1" s="67"/>
      <c r="GM1" s="67"/>
      <c r="GN1" s="67"/>
      <c r="GO1" s="67"/>
      <c r="GP1" s="67"/>
      <c r="GQ1" s="67"/>
      <c r="GR1" s="67"/>
      <c r="GS1" s="67"/>
      <c r="GT1" s="67"/>
      <c r="GU1" s="67"/>
      <c r="GV1" s="67"/>
      <c r="GW1" s="67"/>
      <c r="GX1" s="67"/>
      <c r="GY1" s="67"/>
      <c r="GZ1" s="67"/>
      <c r="HA1" s="67"/>
      <c r="HB1" s="72" t="s">
        <v>223</v>
      </c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67" t="s">
        <v>224</v>
      </c>
      <c r="IK1" s="67"/>
      <c r="IL1" s="67"/>
      <c r="IM1" s="67"/>
      <c r="IN1" s="67"/>
      <c r="IO1" s="67"/>
      <c r="IP1" s="67"/>
      <c r="IQ1" s="67"/>
      <c r="IR1" s="67"/>
      <c r="IS1" s="67"/>
      <c r="IT1" s="67"/>
      <c r="IU1" s="67"/>
      <c r="IV1" s="67"/>
      <c r="IW1" s="67"/>
      <c r="IX1" s="67"/>
      <c r="IY1" s="67"/>
      <c r="IZ1" s="67"/>
      <c r="JA1" s="67"/>
      <c r="JB1" s="67"/>
      <c r="JC1" s="67"/>
      <c r="JD1" s="67"/>
      <c r="JE1" s="67"/>
      <c r="JF1" s="67"/>
      <c r="JG1" s="67"/>
      <c r="JH1" s="67"/>
      <c r="JI1" s="67"/>
      <c r="JJ1" s="67"/>
      <c r="JK1" s="67"/>
      <c r="JL1" s="67"/>
      <c r="JM1" s="67"/>
      <c r="JN1" s="67"/>
      <c r="JO1" s="67"/>
      <c r="JP1" s="67"/>
      <c r="JQ1" s="67"/>
      <c r="JR1" s="72" t="s">
        <v>240</v>
      </c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67" t="s">
        <v>245</v>
      </c>
      <c r="LA1" s="67"/>
      <c r="LB1" s="67"/>
      <c r="LC1" s="67"/>
      <c r="LD1" s="67"/>
      <c r="LE1" s="67"/>
      <c r="LF1" s="67"/>
      <c r="LG1" s="67"/>
      <c r="LH1" s="67"/>
      <c r="LI1" s="67"/>
      <c r="LJ1" s="67"/>
      <c r="LK1" s="67"/>
      <c r="LL1" s="67"/>
      <c r="LM1" s="67"/>
      <c r="LN1" s="67"/>
      <c r="LO1" s="67"/>
      <c r="LP1" s="67"/>
      <c r="LQ1" s="67"/>
      <c r="LR1" s="67"/>
      <c r="LS1" s="67"/>
      <c r="LT1" s="67"/>
      <c r="LU1" s="67"/>
      <c r="LV1" s="67"/>
      <c r="LW1" s="67"/>
      <c r="LX1" s="67"/>
      <c r="LY1" s="67"/>
      <c r="LZ1" s="67"/>
      <c r="MA1" s="67"/>
      <c r="MB1" s="67"/>
      <c r="MC1" s="67"/>
      <c r="MD1" s="67"/>
      <c r="ME1" s="67"/>
      <c r="MF1" s="67"/>
      <c r="MG1" s="67"/>
      <c r="MH1" s="72" t="s">
        <v>244</v>
      </c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67"/>
      <c r="NQ1" s="67"/>
      <c r="NR1" s="67"/>
      <c r="NS1" s="67"/>
      <c r="NT1" s="67"/>
      <c r="NU1" s="67"/>
      <c r="NV1" s="67"/>
      <c r="NW1" s="67"/>
      <c r="NX1" s="67"/>
      <c r="NY1" s="67"/>
      <c r="NZ1" s="67"/>
      <c r="OA1" s="67"/>
      <c r="OB1" s="67"/>
      <c r="OC1" s="67"/>
      <c r="OD1" s="67"/>
      <c r="OE1" s="67"/>
      <c r="OF1" s="67"/>
      <c r="OG1" s="67"/>
      <c r="OH1" s="67"/>
      <c r="OI1" s="67"/>
      <c r="OJ1" s="67"/>
      <c r="OK1" s="67"/>
      <c r="OL1" s="67"/>
      <c r="OM1" s="67"/>
      <c r="ON1" s="67"/>
      <c r="OO1" s="67"/>
      <c r="OP1" s="67"/>
      <c r="OQ1" s="67"/>
      <c r="OR1" s="67"/>
      <c r="OS1" s="67"/>
      <c r="OT1" s="67"/>
      <c r="OU1" s="67"/>
      <c r="OV1" s="67"/>
      <c r="OW1" s="67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67"/>
      <c r="QG1" s="67"/>
      <c r="QH1" s="67"/>
      <c r="QI1" s="67"/>
      <c r="QJ1" s="67"/>
      <c r="QK1" s="67"/>
      <c r="QL1" s="67"/>
      <c r="QM1" s="67"/>
      <c r="QN1" s="67"/>
      <c r="QO1" s="67"/>
      <c r="QP1" s="67"/>
      <c r="QQ1" s="67"/>
      <c r="QR1" s="67"/>
      <c r="QS1" s="67"/>
      <c r="QT1" s="67"/>
      <c r="QU1" s="67"/>
      <c r="QV1" s="67"/>
      <c r="QW1" s="67"/>
      <c r="QX1" s="67"/>
      <c r="QY1" s="67"/>
      <c r="QZ1" s="67"/>
      <c r="RA1" s="67"/>
      <c r="RB1" s="67"/>
      <c r="RC1" s="67"/>
      <c r="RD1" s="67"/>
      <c r="RE1" s="67"/>
      <c r="RF1" s="67"/>
      <c r="RG1" s="67"/>
      <c r="RH1" s="67"/>
      <c r="RI1" s="67"/>
      <c r="RJ1" s="67"/>
      <c r="RK1" s="67"/>
      <c r="RL1" s="67"/>
      <c r="RM1" s="67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72"/>
      <c r="SO1" s="72"/>
      <c r="SP1" s="72"/>
      <c r="SQ1" s="72"/>
      <c r="SR1" s="72"/>
      <c r="SS1" s="72"/>
      <c r="ST1" s="72"/>
      <c r="SU1" s="72"/>
      <c r="SV1" s="67"/>
      <c r="SW1" s="67"/>
      <c r="SX1" s="67"/>
      <c r="SY1" s="67"/>
      <c r="SZ1" s="67"/>
      <c r="TA1" s="67"/>
      <c r="TB1" s="67"/>
      <c r="TC1" s="67"/>
      <c r="TD1" s="67"/>
      <c r="TE1" s="67"/>
      <c r="TF1" s="67"/>
      <c r="TG1" s="67"/>
      <c r="TH1" s="67"/>
      <c r="TI1" s="67"/>
      <c r="TJ1" s="67"/>
      <c r="TK1" s="67"/>
      <c r="TL1" s="67"/>
      <c r="TM1" s="67"/>
      <c r="TN1" s="67"/>
      <c r="TO1" s="67"/>
      <c r="TP1" s="67"/>
      <c r="TQ1" s="67"/>
      <c r="TR1" s="67"/>
      <c r="TS1" s="67"/>
      <c r="TT1" s="67"/>
      <c r="TU1" s="67"/>
      <c r="TV1" s="67"/>
      <c r="TW1" s="67"/>
      <c r="TX1" s="67"/>
      <c r="TY1" s="67"/>
      <c r="TZ1" s="67"/>
      <c r="UA1" s="67"/>
      <c r="UB1" s="67"/>
      <c r="UC1" s="67"/>
      <c r="UD1" s="72"/>
      <c r="UE1" s="72"/>
      <c r="UF1" s="72"/>
      <c r="UG1" s="72"/>
      <c r="UH1" s="72"/>
      <c r="UI1" s="72"/>
      <c r="UJ1" s="72"/>
      <c r="UK1" s="72"/>
      <c r="UL1" s="72"/>
      <c r="UM1" s="72"/>
      <c r="UN1" s="72"/>
      <c r="UO1" s="72"/>
      <c r="UP1" s="72"/>
      <c r="UQ1" s="72"/>
      <c r="UR1" s="72"/>
      <c r="US1" s="72"/>
      <c r="UT1" s="72"/>
      <c r="UU1" s="72"/>
      <c r="UV1" s="72"/>
      <c r="UW1" s="72"/>
      <c r="UX1" s="72"/>
      <c r="UY1" s="72"/>
      <c r="UZ1" s="72"/>
      <c r="VA1" s="72"/>
      <c r="VB1" s="72"/>
      <c r="VC1" s="72"/>
      <c r="VD1" s="72"/>
      <c r="VE1" s="72"/>
      <c r="VF1" s="72"/>
      <c r="VG1" s="72"/>
      <c r="VH1" s="72"/>
      <c r="VI1" s="72"/>
      <c r="VJ1" s="72"/>
      <c r="VK1" s="72"/>
      <c r="VL1" s="67"/>
      <c r="VM1" s="67"/>
      <c r="VN1" s="67"/>
      <c r="VO1" s="67"/>
      <c r="VP1" s="67"/>
      <c r="VQ1" s="67"/>
      <c r="VR1" s="67"/>
      <c r="VS1" s="67"/>
      <c r="VT1" s="67"/>
      <c r="VU1" s="67"/>
      <c r="VV1" s="67"/>
      <c r="VW1" s="67"/>
      <c r="VX1" s="67"/>
      <c r="VY1" s="67"/>
      <c r="VZ1" s="67"/>
      <c r="WA1" s="67"/>
      <c r="WB1" s="67"/>
      <c r="WC1" s="67"/>
      <c r="WD1" s="67"/>
      <c r="WE1" s="67"/>
      <c r="WF1" s="67"/>
      <c r="WG1" s="67"/>
      <c r="WH1" s="67"/>
      <c r="WI1" s="67"/>
      <c r="WJ1" s="67"/>
      <c r="WK1" s="67"/>
      <c r="WL1" s="67"/>
      <c r="WM1" s="67"/>
      <c r="WN1" s="67"/>
      <c r="WO1" s="67"/>
      <c r="WP1" s="67"/>
      <c r="WQ1" s="67"/>
      <c r="WR1" s="67"/>
      <c r="WS1" s="67"/>
      <c r="WT1" s="72" t="s">
        <v>64</v>
      </c>
      <c r="WU1" s="72"/>
      <c r="WV1" s="72"/>
      <c r="WW1" s="72"/>
      <c r="WX1" s="72"/>
      <c r="WY1" s="72"/>
      <c r="WZ1" s="72"/>
      <c r="XA1" s="72"/>
      <c r="XB1" s="72"/>
      <c r="XC1" s="72"/>
      <c r="XD1" s="72"/>
      <c r="XE1" s="72"/>
      <c r="XF1" s="72"/>
      <c r="XG1" s="72"/>
      <c r="XH1" s="72"/>
      <c r="XI1" s="72"/>
      <c r="XJ1" s="72"/>
      <c r="XK1" s="72"/>
      <c r="XL1" s="72"/>
      <c r="XM1" s="72"/>
      <c r="XN1" s="72"/>
      <c r="XO1" s="72"/>
      <c r="XP1" s="72"/>
      <c r="XQ1" s="72"/>
      <c r="XR1" s="72"/>
      <c r="XS1" s="72"/>
      <c r="XT1" s="72"/>
    </row>
    <row r="2" spans="1:644" x14ac:dyDescent="0.2">
      <c r="A2" s="64"/>
      <c r="B2" s="64"/>
      <c r="C2" s="64"/>
      <c r="D2" s="64"/>
      <c r="E2" s="64"/>
      <c r="F2" s="65"/>
      <c r="G2" s="64"/>
      <c r="H2" s="64"/>
      <c r="I2" s="64"/>
      <c r="J2" s="70"/>
      <c r="K2" s="66"/>
      <c r="L2" s="70"/>
      <c r="M2" s="66"/>
      <c r="N2" s="70"/>
      <c r="O2" s="66"/>
      <c r="P2" s="66"/>
      <c r="Q2" s="66"/>
      <c r="R2" s="66"/>
      <c r="S2" s="66"/>
      <c r="T2" s="70"/>
      <c r="U2" s="66"/>
      <c r="V2" s="69"/>
      <c r="W2" s="66"/>
      <c r="X2" s="66"/>
      <c r="Y2" s="68" t="s">
        <v>18</v>
      </c>
      <c r="Z2" s="68"/>
      <c r="AA2" s="68"/>
      <c r="AB2" s="68"/>
      <c r="AC2" s="68"/>
      <c r="AD2" s="68" t="s">
        <v>19</v>
      </c>
      <c r="AE2" s="68"/>
      <c r="AF2" s="68"/>
      <c r="AG2" s="68"/>
      <c r="AH2" s="68"/>
      <c r="AI2" s="68" t="s">
        <v>22</v>
      </c>
      <c r="AJ2" s="68"/>
      <c r="AK2" s="68"/>
      <c r="AL2" s="68"/>
      <c r="AM2" s="68"/>
      <c r="AN2" s="14"/>
      <c r="AO2" s="14" t="s">
        <v>97</v>
      </c>
      <c r="AP2" s="14" t="s">
        <v>98</v>
      </c>
      <c r="AQ2" s="14" t="s">
        <v>20</v>
      </c>
      <c r="AR2" s="14" t="s">
        <v>77</v>
      </c>
      <c r="AS2" s="14" t="s">
        <v>99</v>
      </c>
      <c r="AT2" s="14" t="s">
        <v>21</v>
      </c>
      <c r="AU2" s="14" t="s">
        <v>23</v>
      </c>
      <c r="AV2" s="14" t="s">
        <v>100</v>
      </c>
      <c r="AW2" s="14" t="s">
        <v>101</v>
      </c>
      <c r="AX2" s="14" t="s">
        <v>22</v>
      </c>
      <c r="AY2" s="14" t="s">
        <v>17</v>
      </c>
      <c r="AZ2" s="71" t="s">
        <v>18</v>
      </c>
      <c r="BA2" s="71"/>
      <c r="BB2" s="71"/>
      <c r="BC2" s="71"/>
      <c r="BD2" s="71"/>
      <c r="BE2" s="71" t="s">
        <v>19</v>
      </c>
      <c r="BF2" s="71"/>
      <c r="BG2" s="71"/>
      <c r="BH2" s="71"/>
      <c r="BI2" s="71"/>
      <c r="BJ2" s="71" t="s">
        <v>22</v>
      </c>
      <c r="BK2" s="71"/>
      <c r="BL2" s="71"/>
      <c r="BM2" s="71"/>
      <c r="BN2" s="71"/>
      <c r="BO2" s="13"/>
      <c r="BP2" s="13" t="s">
        <v>97</v>
      </c>
      <c r="BQ2" s="13" t="s">
        <v>98</v>
      </c>
      <c r="BR2" s="13" t="s">
        <v>20</v>
      </c>
      <c r="BS2" s="13" t="s">
        <v>77</v>
      </c>
      <c r="BT2" s="13" t="s">
        <v>99</v>
      </c>
      <c r="BU2" s="13" t="s">
        <v>21</v>
      </c>
      <c r="BV2" s="13" t="s">
        <v>23</v>
      </c>
      <c r="BW2" s="13" t="s">
        <v>100</v>
      </c>
      <c r="BX2" s="13" t="s">
        <v>101</v>
      </c>
      <c r="BY2" s="13" t="s">
        <v>22</v>
      </c>
      <c r="BZ2" s="13" t="s">
        <v>17</v>
      </c>
      <c r="CA2" s="68" t="s">
        <v>18</v>
      </c>
      <c r="CB2" s="68"/>
      <c r="CC2" s="68"/>
      <c r="CD2" s="68"/>
      <c r="CE2" s="68"/>
      <c r="CF2" s="68" t="s">
        <v>19</v>
      </c>
      <c r="CG2" s="68"/>
      <c r="CH2" s="68"/>
      <c r="CI2" s="68"/>
      <c r="CJ2" s="68"/>
      <c r="CK2" s="68" t="s">
        <v>22</v>
      </c>
      <c r="CL2" s="68"/>
      <c r="CM2" s="68"/>
      <c r="CN2" s="68"/>
      <c r="CO2" s="68"/>
      <c r="CP2" s="14"/>
      <c r="CQ2" s="14" t="s">
        <v>97</v>
      </c>
      <c r="CR2" s="14" t="s">
        <v>98</v>
      </c>
      <c r="CS2" s="14" t="s">
        <v>20</v>
      </c>
      <c r="CT2" s="14" t="s">
        <v>77</v>
      </c>
      <c r="CU2" s="14" t="s">
        <v>99</v>
      </c>
      <c r="CV2" s="14" t="s">
        <v>21</v>
      </c>
      <c r="CW2" s="14" t="s">
        <v>23</v>
      </c>
      <c r="CX2" s="14" t="s">
        <v>100</v>
      </c>
      <c r="CY2" s="14" t="s">
        <v>101</v>
      </c>
      <c r="CZ2" s="14" t="s">
        <v>22</v>
      </c>
      <c r="DA2" s="14" t="s">
        <v>17</v>
      </c>
      <c r="DB2" s="50" t="s">
        <v>23</v>
      </c>
      <c r="DC2" s="50" t="s">
        <v>22</v>
      </c>
      <c r="DD2" s="68" t="s">
        <v>18</v>
      </c>
      <c r="DE2" s="68"/>
      <c r="DF2" s="68"/>
      <c r="DG2" s="68"/>
      <c r="DH2" s="68"/>
      <c r="DI2" s="68" t="s">
        <v>19</v>
      </c>
      <c r="DJ2" s="68"/>
      <c r="DK2" s="68"/>
      <c r="DL2" s="68"/>
      <c r="DM2" s="68"/>
      <c r="DN2" s="68" t="s">
        <v>102</v>
      </c>
      <c r="DO2" s="68"/>
      <c r="DP2" s="68"/>
      <c r="DQ2" s="68"/>
      <c r="DR2" s="68"/>
      <c r="DS2" s="68" t="s">
        <v>22</v>
      </c>
      <c r="DT2" s="68"/>
      <c r="DU2" s="68"/>
      <c r="DV2" s="68"/>
      <c r="DW2" s="68"/>
      <c r="DX2" s="14" t="s">
        <v>97</v>
      </c>
      <c r="DY2" s="14" t="s">
        <v>98</v>
      </c>
      <c r="DZ2" s="14" t="s">
        <v>20</v>
      </c>
      <c r="EA2" s="14" t="s">
        <v>77</v>
      </c>
      <c r="EB2" s="14" t="s">
        <v>99</v>
      </c>
      <c r="EC2" s="14" t="s">
        <v>21</v>
      </c>
      <c r="ED2" s="14" t="s">
        <v>23</v>
      </c>
      <c r="EE2" s="14" t="s">
        <v>103</v>
      </c>
      <c r="EF2" s="14" t="s">
        <v>104</v>
      </c>
      <c r="EG2" s="14" t="s">
        <v>102</v>
      </c>
      <c r="EH2" s="14" t="s">
        <v>100</v>
      </c>
      <c r="EI2" s="14" t="s">
        <v>101</v>
      </c>
      <c r="EJ2" s="14" t="s">
        <v>22</v>
      </c>
      <c r="EK2" s="14" t="s">
        <v>17</v>
      </c>
      <c r="EL2" s="71" t="s">
        <v>18</v>
      </c>
      <c r="EM2" s="71"/>
      <c r="EN2" s="71"/>
      <c r="EO2" s="71"/>
      <c r="EP2" s="71"/>
      <c r="EQ2" s="71" t="s">
        <v>19</v>
      </c>
      <c r="ER2" s="71"/>
      <c r="ES2" s="71"/>
      <c r="ET2" s="71"/>
      <c r="EU2" s="71"/>
      <c r="EV2" s="71" t="s">
        <v>102</v>
      </c>
      <c r="EW2" s="71"/>
      <c r="EX2" s="71"/>
      <c r="EY2" s="71"/>
      <c r="EZ2" s="71"/>
      <c r="FA2" s="71" t="s">
        <v>22</v>
      </c>
      <c r="FB2" s="71"/>
      <c r="FC2" s="71"/>
      <c r="FD2" s="71"/>
      <c r="FE2" s="71"/>
      <c r="FF2" s="13" t="s">
        <v>97</v>
      </c>
      <c r="FG2" s="13" t="s">
        <v>98</v>
      </c>
      <c r="FH2" s="13" t="s">
        <v>20</v>
      </c>
      <c r="FI2" s="13" t="s">
        <v>77</v>
      </c>
      <c r="FJ2" s="13" t="s">
        <v>99</v>
      </c>
      <c r="FK2" s="13" t="s">
        <v>21</v>
      </c>
      <c r="FL2" s="13" t="s">
        <v>23</v>
      </c>
      <c r="FM2" s="13" t="s">
        <v>103</v>
      </c>
      <c r="FN2" s="13" t="s">
        <v>104</v>
      </c>
      <c r="FO2" s="13" t="s">
        <v>102</v>
      </c>
      <c r="FP2" s="13" t="s">
        <v>100</v>
      </c>
      <c r="FQ2" s="13" t="s">
        <v>101</v>
      </c>
      <c r="FR2" s="13" t="s">
        <v>22</v>
      </c>
      <c r="FS2" s="13" t="s">
        <v>17</v>
      </c>
      <c r="FT2" s="68" t="s">
        <v>18</v>
      </c>
      <c r="FU2" s="68"/>
      <c r="FV2" s="68"/>
      <c r="FW2" s="68"/>
      <c r="FX2" s="68"/>
      <c r="FY2" s="68" t="s">
        <v>19</v>
      </c>
      <c r="FZ2" s="68"/>
      <c r="GA2" s="68"/>
      <c r="GB2" s="68"/>
      <c r="GC2" s="68"/>
      <c r="GD2" s="68" t="s">
        <v>102</v>
      </c>
      <c r="GE2" s="68"/>
      <c r="GF2" s="68"/>
      <c r="GG2" s="68"/>
      <c r="GH2" s="68"/>
      <c r="GI2" s="68" t="s">
        <v>22</v>
      </c>
      <c r="GJ2" s="68"/>
      <c r="GK2" s="68"/>
      <c r="GL2" s="68"/>
      <c r="GM2" s="68"/>
      <c r="GN2" s="14" t="s">
        <v>97</v>
      </c>
      <c r="GO2" s="14" t="s">
        <v>98</v>
      </c>
      <c r="GP2" s="14" t="s">
        <v>20</v>
      </c>
      <c r="GQ2" s="14" t="s">
        <v>77</v>
      </c>
      <c r="GR2" s="14" t="s">
        <v>99</v>
      </c>
      <c r="GS2" s="14" t="s">
        <v>21</v>
      </c>
      <c r="GT2" s="14" t="s">
        <v>23</v>
      </c>
      <c r="GU2" s="14" t="s">
        <v>103</v>
      </c>
      <c r="GV2" s="14" t="s">
        <v>104</v>
      </c>
      <c r="GW2" s="14" t="s">
        <v>102</v>
      </c>
      <c r="GX2" s="14" t="s">
        <v>100</v>
      </c>
      <c r="GY2" s="14" t="s">
        <v>101</v>
      </c>
      <c r="GZ2" s="14" t="s">
        <v>22</v>
      </c>
      <c r="HA2" s="14" t="s">
        <v>17</v>
      </c>
      <c r="HB2" s="71" t="s">
        <v>18</v>
      </c>
      <c r="HC2" s="71"/>
      <c r="HD2" s="71"/>
      <c r="HE2" s="71"/>
      <c r="HF2" s="71"/>
      <c r="HG2" s="71" t="s">
        <v>19</v>
      </c>
      <c r="HH2" s="71"/>
      <c r="HI2" s="71"/>
      <c r="HJ2" s="71"/>
      <c r="HK2" s="71"/>
      <c r="HL2" s="71" t="s">
        <v>102</v>
      </c>
      <c r="HM2" s="71"/>
      <c r="HN2" s="71"/>
      <c r="HO2" s="71"/>
      <c r="HP2" s="71"/>
      <c r="HQ2" s="71" t="s">
        <v>22</v>
      </c>
      <c r="HR2" s="71"/>
      <c r="HS2" s="71"/>
      <c r="HT2" s="71"/>
      <c r="HU2" s="71"/>
      <c r="HV2" s="13" t="s">
        <v>97</v>
      </c>
      <c r="HW2" s="13" t="s">
        <v>98</v>
      </c>
      <c r="HX2" s="13" t="s">
        <v>20</v>
      </c>
      <c r="HY2" s="13" t="s">
        <v>77</v>
      </c>
      <c r="HZ2" s="13" t="s">
        <v>99</v>
      </c>
      <c r="IA2" s="13" t="s">
        <v>21</v>
      </c>
      <c r="IB2" s="13" t="s">
        <v>23</v>
      </c>
      <c r="IC2" s="13" t="s">
        <v>103</v>
      </c>
      <c r="ID2" s="13" t="s">
        <v>104</v>
      </c>
      <c r="IE2" s="13" t="s">
        <v>102</v>
      </c>
      <c r="IF2" s="13" t="s">
        <v>100</v>
      </c>
      <c r="IG2" s="13" t="s">
        <v>101</v>
      </c>
      <c r="IH2" s="13" t="s">
        <v>22</v>
      </c>
      <c r="II2" s="13" t="s">
        <v>17</v>
      </c>
      <c r="IJ2" s="68" t="s">
        <v>18</v>
      </c>
      <c r="IK2" s="68"/>
      <c r="IL2" s="68"/>
      <c r="IM2" s="68"/>
      <c r="IN2" s="68"/>
      <c r="IO2" s="68" t="s">
        <v>19</v>
      </c>
      <c r="IP2" s="68"/>
      <c r="IQ2" s="68"/>
      <c r="IR2" s="68"/>
      <c r="IS2" s="68"/>
      <c r="IT2" s="68" t="s">
        <v>102</v>
      </c>
      <c r="IU2" s="68"/>
      <c r="IV2" s="68"/>
      <c r="IW2" s="68"/>
      <c r="IX2" s="68"/>
      <c r="IY2" s="68" t="s">
        <v>22</v>
      </c>
      <c r="IZ2" s="68"/>
      <c r="JA2" s="68"/>
      <c r="JB2" s="68"/>
      <c r="JC2" s="68"/>
      <c r="JD2" s="14" t="s">
        <v>97</v>
      </c>
      <c r="JE2" s="14" t="s">
        <v>98</v>
      </c>
      <c r="JF2" s="14" t="s">
        <v>20</v>
      </c>
      <c r="JG2" s="14" t="s">
        <v>77</v>
      </c>
      <c r="JH2" s="14" t="s">
        <v>99</v>
      </c>
      <c r="JI2" s="14" t="s">
        <v>21</v>
      </c>
      <c r="JJ2" s="14" t="s">
        <v>23</v>
      </c>
      <c r="JK2" s="14" t="s">
        <v>103</v>
      </c>
      <c r="JL2" s="14" t="s">
        <v>104</v>
      </c>
      <c r="JM2" s="14" t="s">
        <v>102</v>
      </c>
      <c r="JN2" s="14" t="s">
        <v>100</v>
      </c>
      <c r="JO2" s="14" t="s">
        <v>101</v>
      </c>
      <c r="JP2" s="14" t="s">
        <v>22</v>
      </c>
      <c r="JQ2" s="14" t="s">
        <v>17</v>
      </c>
      <c r="JR2" s="71" t="s">
        <v>18</v>
      </c>
      <c r="JS2" s="71"/>
      <c r="JT2" s="71"/>
      <c r="JU2" s="71"/>
      <c r="JV2" s="71"/>
      <c r="JW2" s="71" t="s">
        <v>19</v>
      </c>
      <c r="JX2" s="71"/>
      <c r="JY2" s="71"/>
      <c r="JZ2" s="71"/>
      <c r="KA2" s="71"/>
      <c r="KB2" s="71" t="s">
        <v>102</v>
      </c>
      <c r="KC2" s="71"/>
      <c r="KD2" s="71"/>
      <c r="KE2" s="71"/>
      <c r="KF2" s="71"/>
      <c r="KG2" s="71" t="s">
        <v>22</v>
      </c>
      <c r="KH2" s="71"/>
      <c r="KI2" s="71"/>
      <c r="KJ2" s="71"/>
      <c r="KK2" s="71"/>
      <c r="KL2" s="13" t="s">
        <v>97</v>
      </c>
      <c r="KM2" s="13" t="s">
        <v>98</v>
      </c>
      <c r="KN2" s="13" t="s">
        <v>20</v>
      </c>
      <c r="KO2" s="13" t="s">
        <v>77</v>
      </c>
      <c r="KP2" s="13" t="s">
        <v>99</v>
      </c>
      <c r="KQ2" s="13" t="s">
        <v>21</v>
      </c>
      <c r="KR2" s="13" t="s">
        <v>23</v>
      </c>
      <c r="KS2" s="13" t="s">
        <v>103</v>
      </c>
      <c r="KT2" s="13" t="s">
        <v>104</v>
      </c>
      <c r="KU2" s="13" t="s">
        <v>102</v>
      </c>
      <c r="KV2" s="13" t="s">
        <v>100</v>
      </c>
      <c r="KW2" s="13" t="s">
        <v>101</v>
      </c>
      <c r="KX2" s="13" t="s">
        <v>22</v>
      </c>
      <c r="KY2" s="13" t="s">
        <v>17</v>
      </c>
      <c r="KZ2" s="68" t="s">
        <v>18</v>
      </c>
      <c r="LA2" s="68"/>
      <c r="LB2" s="68"/>
      <c r="LC2" s="68"/>
      <c r="LD2" s="68"/>
      <c r="LE2" s="68" t="s">
        <v>19</v>
      </c>
      <c r="LF2" s="68"/>
      <c r="LG2" s="68"/>
      <c r="LH2" s="68"/>
      <c r="LI2" s="68"/>
      <c r="LJ2" s="68" t="s">
        <v>102</v>
      </c>
      <c r="LK2" s="68"/>
      <c r="LL2" s="68"/>
      <c r="LM2" s="68"/>
      <c r="LN2" s="68"/>
      <c r="LO2" s="68" t="s">
        <v>22</v>
      </c>
      <c r="LP2" s="68"/>
      <c r="LQ2" s="68"/>
      <c r="LR2" s="68"/>
      <c r="LS2" s="68"/>
      <c r="LT2" s="14" t="s">
        <v>97</v>
      </c>
      <c r="LU2" s="14" t="s">
        <v>98</v>
      </c>
      <c r="LV2" s="14" t="s">
        <v>20</v>
      </c>
      <c r="LW2" s="14" t="s">
        <v>77</v>
      </c>
      <c r="LX2" s="14" t="s">
        <v>99</v>
      </c>
      <c r="LY2" s="14" t="s">
        <v>21</v>
      </c>
      <c r="LZ2" s="14" t="s">
        <v>23</v>
      </c>
      <c r="MA2" s="14" t="s">
        <v>103</v>
      </c>
      <c r="MB2" s="14" t="s">
        <v>104</v>
      </c>
      <c r="MC2" s="14" t="s">
        <v>102</v>
      </c>
      <c r="MD2" s="14" t="s">
        <v>100</v>
      </c>
      <c r="ME2" s="14" t="s">
        <v>101</v>
      </c>
      <c r="MF2" s="14" t="s">
        <v>22</v>
      </c>
      <c r="MG2" s="14" t="s">
        <v>17</v>
      </c>
      <c r="MH2" s="71" t="s">
        <v>18</v>
      </c>
      <c r="MI2" s="71"/>
      <c r="MJ2" s="71"/>
      <c r="MK2" s="71"/>
      <c r="ML2" s="71"/>
      <c r="MM2" s="71" t="s">
        <v>19</v>
      </c>
      <c r="MN2" s="71"/>
      <c r="MO2" s="71"/>
      <c r="MP2" s="71"/>
      <c r="MQ2" s="71"/>
      <c r="MR2" s="71" t="s">
        <v>102</v>
      </c>
      <c r="MS2" s="71"/>
      <c r="MT2" s="71"/>
      <c r="MU2" s="71"/>
      <c r="MV2" s="71"/>
      <c r="MW2" s="71" t="s">
        <v>22</v>
      </c>
      <c r="MX2" s="71"/>
      <c r="MY2" s="71"/>
      <c r="MZ2" s="71"/>
      <c r="NA2" s="71"/>
      <c r="NB2" s="13" t="s">
        <v>97</v>
      </c>
      <c r="NC2" s="13" t="s">
        <v>98</v>
      </c>
      <c r="ND2" s="13" t="s">
        <v>20</v>
      </c>
      <c r="NE2" s="13" t="s">
        <v>77</v>
      </c>
      <c r="NF2" s="13" t="s">
        <v>99</v>
      </c>
      <c r="NG2" s="13" t="s">
        <v>21</v>
      </c>
      <c r="NH2" s="13" t="s">
        <v>23</v>
      </c>
      <c r="NI2" s="13" t="s">
        <v>103</v>
      </c>
      <c r="NJ2" s="13" t="s">
        <v>104</v>
      </c>
      <c r="NK2" s="13" t="s">
        <v>102</v>
      </c>
      <c r="NL2" s="13" t="s">
        <v>100</v>
      </c>
      <c r="NM2" s="13" t="s">
        <v>101</v>
      </c>
      <c r="NN2" s="13" t="s">
        <v>22</v>
      </c>
      <c r="NO2" s="13" t="s">
        <v>17</v>
      </c>
      <c r="NP2" s="68" t="s">
        <v>18</v>
      </c>
      <c r="NQ2" s="68"/>
      <c r="NR2" s="68"/>
      <c r="NS2" s="68"/>
      <c r="NT2" s="68"/>
      <c r="NU2" s="68" t="s">
        <v>19</v>
      </c>
      <c r="NV2" s="68"/>
      <c r="NW2" s="68"/>
      <c r="NX2" s="68"/>
      <c r="NY2" s="68"/>
      <c r="NZ2" s="68" t="s">
        <v>102</v>
      </c>
      <c r="OA2" s="68"/>
      <c r="OB2" s="68"/>
      <c r="OC2" s="68"/>
      <c r="OD2" s="68"/>
      <c r="OE2" s="68" t="s">
        <v>22</v>
      </c>
      <c r="OF2" s="68"/>
      <c r="OG2" s="68"/>
      <c r="OH2" s="68"/>
      <c r="OI2" s="68"/>
      <c r="OJ2" s="14" t="s">
        <v>97</v>
      </c>
      <c r="OK2" s="14" t="s">
        <v>98</v>
      </c>
      <c r="OL2" s="14" t="s">
        <v>20</v>
      </c>
      <c r="OM2" s="14" t="s">
        <v>77</v>
      </c>
      <c r="ON2" s="14" t="s">
        <v>99</v>
      </c>
      <c r="OO2" s="14" t="s">
        <v>21</v>
      </c>
      <c r="OP2" s="14" t="s">
        <v>23</v>
      </c>
      <c r="OQ2" s="14" t="s">
        <v>103</v>
      </c>
      <c r="OR2" s="14" t="s">
        <v>104</v>
      </c>
      <c r="OS2" s="14" t="s">
        <v>102</v>
      </c>
      <c r="OT2" s="14" t="s">
        <v>100</v>
      </c>
      <c r="OU2" s="14" t="s">
        <v>101</v>
      </c>
      <c r="OV2" s="14" t="s">
        <v>22</v>
      </c>
      <c r="OW2" s="14" t="s">
        <v>17</v>
      </c>
      <c r="OX2" s="71" t="s">
        <v>18</v>
      </c>
      <c r="OY2" s="71"/>
      <c r="OZ2" s="71"/>
      <c r="PA2" s="71"/>
      <c r="PB2" s="71"/>
      <c r="PC2" s="71" t="s">
        <v>19</v>
      </c>
      <c r="PD2" s="71"/>
      <c r="PE2" s="71"/>
      <c r="PF2" s="71"/>
      <c r="PG2" s="71"/>
      <c r="PH2" s="71" t="s">
        <v>102</v>
      </c>
      <c r="PI2" s="71"/>
      <c r="PJ2" s="71"/>
      <c r="PK2" s="71"/>
      <c r="PL2" s="71"/>
      <c r="PM2" s="71" t="s">
        <v>22</v>
      </c>
      <c r="PN2" s="71"/>
      <c r="PO2" s="71"/>
      <c r="PP2" s="71"/>
      <c r="PQ2" s="71"/>
      <c r="PR2" s="13" t="s">
        <v>97</v>
      </c>
      <c r="PS2" s="13" t="s">
        <v>98</v>
      </c>
      <c r="PT2" s="13" t="s">
        <v>20</v>
      </c>
      <c r="PU2" s="13" t="s">
        <v>77</v>
      </c>
      <c r="PV2" s="13" t="s">
        <v>99</v>
      </c>
      <c r="PW2" s="13" t="s">
        <v>21</v>
      </c>
      <c r="PX2" s="13" t="s">
        <v>23</v>
      </c>
      <c r="PY2" s="13" t="s">
        <v>103</v>
      </c>
      <c r="PZ2" s="13" t="s">
        <v>104</v>
      </c>
      <c r="QA2" s="13" t="s">
        <v>102</v>
      </c>
      <c r="QB2" s="13" t="s">
        <v>100</v>
      </c>
      <c r="QC2" s="13" t="s">
        <v>101</v>
      </c>
      <c r="QD2" s="13" t="s">
        <v>22</v>
      </c>
      <c r="QE2" s="13" t="s">
        <v>17</v>
      </c>
      <c r="QF2" s="68" t="s">
        <v>18</v>
      </c>
      <c r="QG2" s="68"/>
      <c r="QH2" s="68"/>
      <c r="QI2" s="68"/>
      <c r="QJ2" s="68"/>
      <c r="QK2" s="68" t="s">
        <v>19</v>
      </c>
      <c r="QL2" s="68"/>
      <c r="QM2" s="68"/>
      <c r="QN2" s="68"/>
      <c r="QO2" s="68"/>
      <c r="QP2" s="68" t="s">
        <v>102</v>
      </c>
      <c r="QQ2" s="68"/>
      <c r="QR2" s="68"/>
      <c r="QS2" s="68"/>
      <c r="QT2" s="68"/>
      <c r="QU2" s="68" t="s">
        <v>22</v>
      </c>
      <c r="QV2" s="68"/>
      <c r="QW2" s="68"/>
      <c r="QX2" s="68"/>
      <c r="QY2" s="68"/>
      <c r="QZ2" s="14" t="s">
        <v>97</v>
      </c>
      <c r="RA2" s="14" t="s">
        <v>98</v>
      </c>
      <c r="RB2" s="14" t="s">
        <v>20</v>
      </c>
      <c r="RC2" s="14" t="s">
        <v>77</v>
      </c>
      <c r="RD2" s="14" t="s">
        <v>99</v>
      </c>
      <c r="RE2" s="14" t="s">
        <v>21</v>
      </c>
      <c r="RF2" s="14" t="s">
        <v>23</v>
      </c>
      <c r="RG2" s="14" t="s">
        <v>103</v>
      </c>
      <c r="RH2" s="14" t="s">
        <v>104</v>
      </c>
      <c r="RI2" s="14" t="s">
        <v>102</v>
      </c>
      <c r="RJ2" s="14" t="s">
        <v>100</v>
      </c>
      <c r="RK2" s="14" t="s">
        <v>101</v>
      </c>
      <c r="RL2" s="14" t="s">
        <v>22</v>
      </c>
      <c r="RM2" s="14" t="s">
        <v>17</v>
      </c>
      <c r="RN2" s="71" t="s">
        <v>18</v>
      </c>
      <c r="RO2" s="71"/>
      <c r="RP2" s="71"/>
      <c r="RQ2" s="71"/>
      <c r="RR2" s="71"/>
      <c r="RS2" s="71" t="s">
        <v>19</v>
      </c>
      <c r="RT2" s="71"/>
      <c r="RU2" s="71"/>
      <c r="RV2" s="71"/>
      <c r="RW2" s="71"/>
      <c r="RX2" s="71" t="s">
        <v>102</v>
      </c>
      <c r="RY2" s="71"/>
      <c r="RZ2" s="71"/>
      <c r="SA2" s="71"/>
      <c r="SB2" s="71"/>
      <c r="SC2" s="71" t="s">
        <v>22</v>
      </c>
      <c r="SD2" s="71"/>
      <c r="SE2" s="71"/>
      <c r="SF2" s="71"/>
      <c r="SG2" s="71"/>
      <c r="SH2" s="13" t="s">
        <v>97</v>
      </c>
      <c r="SI2" s="13" t="s">
        <v>98</v>
      </c>
      <c r="SJ2" s="13" t="s">
        <v>20</v>
      </c>
      <c r="SK2" s="13" t="s">
        <v>77</v>
      </c>
      <c r="SL2" s="13" t="s">
        <v>99</v>
      </c>
      <c r="SM2" s="13" t="s">
        <v>21</v>
      </c>
      <c r="SN2" s="13" t="s">
        <v>23</v>
      </c>
      <c r="SO2" s="13" t="s">
        <v>103</v>
      </c>
      <c r="SP2" s="13" t="s">
        <v>104</v>
      </c>
      <c r="SQ2" s="13" t="s">
        <v>102</v>
      </c>
      <c r="SR2" s="13" t="s">
        <v>100</v>
      </c>
      <c r="SS2" s="13" t="s">
        <v>101</v>
      </c>
      <c r="ST2" s="13" t="s">
        <v>22</v>
      </c>
      <c r="SU2" s="13" t="s">
        <v>17</v>
      </c>
      <c r="SV2" s="68" t="s">
        <v>18</v>
      </c>
      <c r="SW2" s="68"/>
      <c r="SX2" s="68"/>
      <c r="SY2" s="68"/>
      <c r="SZ2" s="68"/>
      <c r="TA2" s="68" t="s">
        <v>19</v>
      </c>
      <c r="TB2" s="68"/>
      <c r="TC2" s="68"/>
      <c r="TD2" s="68"/>
      <c r="TE2" s="68"/>
      <c r="TF2" s="68" t="s">
        <v>102</v>
      </c>
      <c r="TG2" s="68"/>
      <c r="TH2" s="68"/>
      <c r="TI2" s="68"/>
      <c r="TJ2" s="68"/>
      <c r="TK2" s="68" t="s">
        <v>22</v>
      </c>
      <c r="TL2" s="68"/>
      <c r="TM2" s="68"/>
      <c r="TN2" s="68"/>
      <c r="TO2" s="68"/>
      <c r="TP2" s="14" t="s">
        <v>97</v>
      </c>
      <c r="TQ2" s="14" t="s">
        <v>98</v>
      </c>
      <c r="TR2" s="14" t="s">
        <v>20</v>
      </c>
      <c r="TS2" s="14" t="s">
        <v>77</v>
      </c>
      <c r="TT2" s="14" t="s">
        <v>99</v>
      </c>
      <c r="TU2" s="14" t="s">
        <v>21</v>
      </c>
      <c r="TV2" s="14" t="s">
        <v>23</v>
      </c>
      <c r="TW2" s="14" t="s">
        <v>103</v>
      </c>
      <c r="TX2" s="14" t="s">
        <v>104</v>
      </c>
      <c r="TY2" s="14" t="s">
        <v>102</v>
      </c>
      <c r="TZ2" s="14" t="s">
        <v>100</v>
      </c>
      <c r="UA2" s="14" t="s">
        <v>101</v>
      </c>
      <c r="UB2" s="14" t="s">
        <v>22</v>
      </c>
      <c r="UC2" s="14" t="s">
        <v>17</v>
      </c>
      <c r="UD2" s="71" t="s">
        <v>18</v>
      </c>
      <c r="UE2" s="71"/>
      <c r="UF2" s="71"/>
      <c r="UG2" s="71"/>
      <c r="UH2" s="71"/>
      <c r="UI2" s="71" t="s">
        <v>19</v>
      </c>
      <c r="UJ2" s="71"/>
      <c r="UK2" s="71"/>
      <c r="UL2" s="71"/>
      <c r="UM2" s="71"/>
      <c r="UN2" s="71" t="s">
        <v>102</v>
      </c>
      <c r="UO2" s="71"/>
      <c r="UP2" s="71"/>
      <c r="UQ2" s="71"/>
      <c r="UR2" s="71"/>
      <c r="US2" s="71" t="s">
        <v>22</v>
      </c>
      <c r="UT2" s="71"/>
      <c r="UU2" s="71"/>
      <c r="UV2" s="71"/>
      <c r="UW2" s="71"/>
      <c r="UX2" s="13" t="s">
        <v>97</v>
      </c>
      <c r="UY2" s="13" t="s">
        <v>98</v>
      </c>
      <c r="UZ2" s="13" t="s">
        <v>20</v>
      </c>
      <c r="VA2" s="13" t="s">
        <v>77</v>
      </c>
      <c r="VB2" s="13" t="s">
        <v>99</v>
      </c>
      <c r="VC2" s="13" t="s">
        <v>21</v>
      </c>
      <c r="VD2" s="13" t="s">
        <v>23</v>
      </c>
      <c r="VE2" s="13" t="s">
        <v>103</v>
      </c>
      <c r="VF2" s="13" t="s">
        <v>104</v>
      </c>
      <c r="VG2" s="13" t="s">
        <v>102</v>
      </c>
      <c r="VH2" s="13" t="s">
        <v>100</v>
      </c>
      <c r="VI2" s="13" t="s">
        <v>101</v>
      </c>
      <c r="VJ2" s="13" t="s">
        <v>22</v>
      </c>
      <c r="VK2" s="13" t="s">
        <v>17</v>
      </c>
      <c r="VL2" s="68" t="s">
        <v>18</v>
      </c>
      <c r="VM2" s="68"/>
      <c r="VN2" s="68"/>
      <c r="VO2" s="68"/>
      <c r="VP2" s="68"/>
      <c r="VQ2" s="68" t="s">
        <v>19</v>
      </c>
      <c r="VR2" s="68"/>
      <c r="VS2" s="68"/>
      <c r="VT2" s="68"/>
      <c r="VU2" s="68"/>
      <c r="VV2" s="68" t="s">
        <v>102</v>
      </c>
      <c r="VW2" s="68"/>
      <c r="VX2" s="68"/>
      <c r="VY2" s="68"/>
      <c r="VZ2" s="68"/>
      <c r="WA2" s="68" t="s">
        <v>22</v>
      </c>
      <c r="WB2" s="68"/>
      <c r="WC2" s="68"/>
      <c r="WD2" s="68"/>
      <c r="WE2" s="68"/>
      <c r="WF2" s="14" t="s">
        <v>97</v>
      </c>
      <c r="WG2" s="14" t="s">
        <v>98</v>
      </c>
      <c r="WH2" s="14" t="s">
        <v>20</v>
      </c>
      <c r="WI2" s="14" t="s">
        <v>77</v>
      </c>
      <c r="WJ2" s="14" t="s">
        <v>99</v>
      </c>
      <c r="WK2" s="14" t="s">
        <v>21</v>
      </c>
      <c r="WL2" s="14" t="s">
        <v>23</v>
      </c>
      <c r="WM2" s="14" t="s">
        <v>103</v>
      </c>
      <c r="WN2" s="14" t="s">
        <v>104</v>
      </c>
      <c r="WO2" s="14" t="s">
        <v>102</v>
      </c>
      <c r="WP2" s="14" t="s">
        <v>100</v>
      </c>
      <c r="WQ2" s="14" t="s">
        <v>101</v>
      </c>
      <c r="WR2" s="14" t="s">
        <v>22</v>
      </c>
      <c r="WS2" s="14" t="s">
        <v>17</v>
      </c>
      <c r="WT2" s="71" t="s">
        <v>18</v>
      </c>
      <c r="WU2" s="71"/>
      <c r="WV2" s="71"/>
      <c r="WW2" s="71"/>
      <c r="WX2" s="71"/>
      <c r="WY2" s="71" t="s">
        <v>19</v>
      </c>
      <c r="WZ2" s="71"/>
      <c r="XA2" s="71"/>
      <c r="XB2" s="71"/>
      <c r="XC2" s="71"/>
      <c r="XD2" s="71" t="s">
        <v>22</v>
      </c>
      <c r="XE2" s="71"/>
      <c r="XF2" s="71"/>
      <c r="XG2" s="71"/>
      <c r="XH2" s="71"/>
      <c r="XI2" s="13"/>
      <c r="XJ2" s="13" t="s">
        <v>97</v>
      </c>
      <c r="XK2" s="13" t="s">
        <v>98</v>
      </c>
      <c r="XL2" s="13" t="s">
        <v>20</v>
      </c>
      <c r="XM2" s="13" t="s">
        <v>77</v>
      </c>
      <c r="XN2" s="13" t="s">
        <v>99</v>
      </c>
      <c r="XO2" s="13" t="s">
        <v>21</v>
      </c>
      <c r="XP2" s="13" t="s">
        <v>23</v>
      </c>
      <c r="XQ2" s="13" t="s">
        <v>100</v>
      </c>
      <c r="XR2" s="13" t="s">
        <v>101</v>
      </c>
      <c r="XS2" s="13" t="s">
        <v>22</v>
      </c>
      <c r="XT2" s="13" t="s">
        <v>17</v>
      </c>
    </row>
    <row r="3" spans="1:644" x14ac:dyDescent="0.2">
      <c r="A3" s="64"/>
      <c r="B3" s="64"/>
      <c r="C3" s="64"/>
      <c r="D3" s="64"/>
      <c r="E3" s="64"/>
      <c r="F3" s="65"/>
      <c r="G3" s="64"/>
      <c r="H3" s="64"/>
      <c r="I3" s="64"/>
      <c r="J3" s="70"/>
      <c r="K3" s="66"/>
      <c r="L3" s="70"/>
      <c r="M3" s="66"/>
      <c r="N3" s="70"/>
      <c r="O3" s="66"/>
      <c r="P3" s="66"/>
      <c r="Q3" s="66"/>
      <c r="R3" s="66"/>
      <c r="S3" s="66"/>
      <c r="T3" s="70"/>
      <c r="U3" s="66"/>
      <c r="V3" s="69"/>
      <c r="W3" s="66"/>
      <c r="X3" s="66"/>
      <c r="Y3" s="14" t="s">
        <v>14</v>
      </c>
      <c r="Z3" s="14" t="s">
        <v>15</v>
      </c>
      <c r="AA3" s="14" t="s">
        <v>9</v>
      </c>
      <c r="AB3" s="14" t="s">
        <v>16</v>
      </c>
      <c r="AC3" s="14" t="s">
        <v>28</v>
      </c>
      <c r="AD3" s="14" t="s">
        <v>14</v>
      </c>
      <c r="AE3" s="14" t="s">
        <v>15</v>
      </c>
      <c r="AF3" s="14" t="s">
        <v>9</v>
      </c>
      <c r="AG3" s="14" t="s">
        <v>16</v>
      </c>
      <c r="AH3" s="14" t="s">
        <v>28</v>
      </c>
      <c r="AI3" s="14" t="s">
        <v>14</v>
      </c>
      <c r="AJ3" s="14" t="s">
        <v>15</v>
      </c>
      <c r="AK3" s="14" t="s">
        <v>9</v>
      </c>
      <c r="AL3" s="14" t="s">
        <v>16</v>
      </c>
      <c r="AM3" s="14" t="s">
        <v>28</v>
      </c>
      <c r="AN3" s="14" t="s">
        <v>52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14</v>
      </c>
      <c r="BA3" s="13" t="s">
        <v>15</v>
      </c>
      <c r="BB3" s="13" t="s">
        <v>9</v>
      </c>
      <c r="BC3" s="13" t="s">
        <v>16</v>
      </c>
      <c r="BD3" s="13" t="s">
        <v>28</v>
      </c>
      <c r="BE3" s="13" t="s">
        <v>14</v>
      </c>
      <c r="BF3" s="13" t="s">
        <v>15</v>
      </c>
      <c r="BG3" s="13" t="s">
        <v>9</v>
      </c>
      <c r="BH3" s="13" t="s">
        <v>16</v>
      </c>
      <c r="BI3" s="13" t="s">
        <v>28</v>
      </c>
      <c r="BJ3" s="13" t="s">
        <v>14</v>
      </c>
      <c r="BK3" s="13" t="s">
        <v>15</v>
      </c>
      <c r="BL3" s="13" t="s">
        <v>9</v>
      </c>
      <c r="BM3" s="13" t="s">
        <v>16</v>
      </c>
      <c r="BN3" s="13" t="s">
        <v>28</v>
      </c>
      <c r="BO3" s="13" t="s">
        <v>52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15</v>
      </c>
      <c r="CC3" s="14" t="s">
        <v>9</v>
      </c>
      <c r="CD3" s="14" t="s">
        <v>16</v>
      </c>
      <c r="CE3" s="14" t="s">
        <v>28</v>
      </c>
      <c r="CF3" s="14" t="s">
        <v>14</v>
      </c>
      <c r="CG3" s="14" t="s">
        <v>15</v>
      </c>
      <c r="CH3" s="14" t="s">
        <v>9</v>
      </c>
      <c r="CI3" s="14" t="s">
        <v>16</v>
      </c>
      <c r="CJ3" s="14" t="s">
        <v>28</v>
      </c>
      <c r="CK3" s="14" t="s">
        <v>14</v>
      </c>
      <c r="CL3" s="14" t="s">
        <v>15</v>
      </c>
      <c r="CM3" s="14" t="s">
        <v>9</v>
      </c>
      <c r="CN3" s="14" t="s">
        <v>16</v>
      </c>
      <c r="CO3" s="14" t="s">
        <v>28</v>
      </c>
      <c r="CP3" s="14" t="s">
        <v>52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15</v>
      </c>
      <c r="DF3" s="14" t="s">
        <v>9</v>
      </c>
      <c r="DG3" s="14" t="s">
        <v>16</v>
      </c>
      <c r="DH3" s="14" t="s">
        <v>28</v>
      </c>
      <c r="DI3" s="14" t="s">
        <v>14</v>
      </c>
      <c r="DJ3" s="14" t="s">
        <v>15</v>
      </c>
      <c r="DK3" s="14" t="s">
        <v>9</v>
      </c>
      <c r="DL3" s="14" t="s">
        <v>16</v>
      </c>
      <c r="DM3" s="14" t="s">
        <v>28</v>
      </c>
      <c r="DN3" s="14" t="s">
        <v>14</v>
      </c>
      <c r="DO3" s="14" t="s">
        <v>15</v>
      </c>
      <c r="DP3" s="14" t="s">
        <v>9</v>
      </c>
      <c r="DQ3" s="14" t="s">
        <v>16</v>
      </c>
      <c r="DR3" s="14" t="s">
        <v>28</v>
      </c>
      <c r="DS3" s="14" t="s">
        <v>14</v>
      </c>
      <c r="DT3" s="14" t="s">
        <v>15</v>
      </c>
      <c r="DU3" s="14" t="s">
        <v>9</v>
      </c>
      <c r="DV3" s="14" t="s">
        <v>16</v>
      </c>
      <c r="DW3" s="14" t="s">
        <v>28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14</v>
      </c>
      <c r="EM3" s="13" t="s">
        <v>15</v>
      </c>
      <c r="EN3" s="13" t="s">
        <v>9</v>
      </c>
      <c r="EO3" s="13" t="s">
        <v>16</v>
      </c>
      <c r="EP3" s="13" t="s">
        <v>28</v>
      </c>
      <c r="EQ3" s="13" t="s">
        <v>14</v>
      </c>
      <c r="ER3" s="13" t="s">
        <v>15</v>
      </c>
      <c r="ES3" s="13" t="s">
        <v>9</v>
      </c>
      <c r="ET3" s="13" t="s">
        <v>16</v>
      </c>
      <c r="EU3" s="13" t="s">
        <v>28</v>
      </c>
      <c r="EV3" s="13" t="s">
        <v>14</v>
      </c>
      <c r="EW3" s="13" t="s">
        <v>15</v>
      </c>
      <c r="EX3" s="13" t="s">
        <v>9</v>
      </c>
      <c r="EY3" s="13" t="s">
        <v>16</v>
      </c>
      <c r="EZ3" s="13" t="s">
        <v>28</v>
      </c>
      <c r="FA3" s="13" t="s">
        <v>14</v>
      </c>
      <c r="FB3" s="13" t="s">
        <v>15</v>
      </c>
      <c r="FC3" s="13" t="s">
        <v>9</v>
      </c>
      <c r="FD3" s="13" t="s">
        <v>16</v>
      </c>
      <c r="FE3" s="13" t="s">
        <v>28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14</v>
      </c>
      <c r="FU3" s="14" t="s">
        <v>15</v>
      </c>
      <c r="FV3" s="14" t="s">
        <v>9</v>
      </c>
      <c r="FW3" s="14" t="s">
        <v>16</v>
      </c>
      <c r="FX3" s="14" t="s">
        <v>28</v>
      </c>
      <c r="FY3" s="14" t="s">
        <v>14</v>
      </c>
      <c r="FZ3" s="14" t="s">
        <v>15</v>
      </c>
      <c r="GA3" s="14" t="s">
        <v>9</v>
      </c>
      <c r="GB3" s="14" t="s">
        <v>16</v>
      </c>
      <c r="GC3" s="14" t="s">
        <v>28</v>
      </c>
      <c r="GD3" s="14" t="s">
        <v>14</v>
      </c>
      <c r="GE3" s="14" t="s">
        <v>15</v>
      </c>
      <c r="GF3" s="14" t="s">
        <v>9</v>
      </c>
      <c r="GG3" s="14" t="s">
        <v>16</v>
      </c>
      <c r="GH3" s="14" t="s">
        <v>28</v>
      </c>
      <c r="GI3" s="14" t="s">
        <v>14</v>
      </c>
      <c r="GJ3" s="14" t="s">
        <v>15</v>
      </c>
      <c r="GK3" s="14" t="s">
        <v>9</v>
      </c>
      <c r="GL3" s="14" t="s">
        <v>16</v>
      </c>
      <c r="GM3" s="14" t="s">
        <v>28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14</v>
      </c>
      <c r="HC3" s="13" t="s">
        <v>15</v>
      </c>
      <c r="HD3" s="13" t="s">
        <v>9</v>
      </c>
      <c r="HE3" s="13" t="s">
        <v>16</v>
      </c>
      <c r="HF3" s="13" t="s">
        <v>28</v>
      </c>
      <c r="HG3" s="13" t="s">
        <v>14</v>
      </c>
      <c r="HH3" s="13" t="s">
        <v>15</v>
      </c>
      <c r="HI3" s="13" t="s">
        <v>9</v>
      </c>
      <c r="HJ3" s="13" t="s">
        <v>16</v>
      </c>
      <c r="HK3" s="13" t="s">
        <v>28</v>
      </c>
      <c r="HL3" s="13" t="s">
        <v>14</v>
      </c>
      <c r="HM3" s="13" t="s">
        <v>15</v>
      </c>
      <c r="HN3" s="13" t="s">
        <v>9</v>
      </c>
      <c r="HO3" s="13" t="s">
        <v>16</v>
      </c>
      <c r="HP3" s="13" t="s">
        <v>28</v>
      </c>
      <c r="HQ3" s="13" t="s">
        <v>14</v>
      </c>
      <c r="HR3" s="13" t="s">
        <v>15</v>
      </c>
      <c r="HS3" s="13" t="s">
        <v>9</v>
      </c>
      <c r="HT3" s="13" t="s">
        <v>16</v>
      </c>
      <c r="HU3" s="13" t="s">
        <v>28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14</v>
      </c>
      <c r="IK3" s="14" t="s">
        <v>15</v>
      </c>
      <c r="IL3" s="14" t="s">
        <v>9</v>
      </c>
      <c r="IM3" s="14" t="s">
        <v>16</v>
      </c>
      <c r="IN3" s="14" t="s">
        <v>28</v>
      </c>
      <c r="IO3" s="14" t="s">
        <v>14</v>
      </c>
      <c r="IP3" s="14" t="s">
        <v>15</v>
      </c>
      <c r="IQ3" s="14" t="s">
        <v>9</v>
      </c>
      <c r="IR3" s="14" t="s">
        <v>16</v>
      </c>
      <c r="IS3" s="14" t="s">
        <v>28</v>
      </c>
      <c r="IT3" s="14" t="s">
        <v>14</v>
      </c>
      <c r="IU3" s="14" t="s">
        <v>15</v>
      </c>
      <c r="IV3" s="14" t="s">
        <v>9</v>
      </c>
      <c r="IW3" s="14" t="s">
        <v>16</v>
      </c>
      <c r="IX3" s="14" t="s">
        <v>28</v>
      </c>
      <c r="IY3" s="14" t="s">
        <v>14</v>
      </c>
      <c r="IZ3" s="14" t="s">
        <v>15</v>
      </c>
      <c r="JA3" s="14" t="s">
        <v>9</v>
      </c>
      <c r="JB3" s="14" t="s">
        <v>16</v>
      </c>
      <c r="JC3" s="14" t="s">
        <v>28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14</v>
      </c>
      <c r="JS3" s="13" t="s">
        <v>15</v>
      </c>
      <c r="JT3" s="13" t="s">
        <v>9</v>
      </c>
      <c r="JU3" s="13" t="s">
        <v>16</v>
      </c>
      <c r="JV3" s="13" t="s">
        <v>28</v>
      </c>
      <c r="JW3" s="13" t="s">
        <v>14</v>
      </c>
      <c r="JX3" s="13" t="s">
        <v>15</v>
      </c>
      <c r="JY3" s="13" t="s">
        <v>9</v>
      </c>
      <c r="JZ3" s="13" t="s">
        <v>16</v>
      </c>
      <c r="KA3" s="13" t="s">
        <v>28</v>
      </c>
      <c r="KB3" s="13" t="s">
        <v>14</v>
      </c>
      <c r="KC3" s="13" t="s">
        <v>15</v>
      </c>
      <c r="KD3" s="13" t="s">
        <v>9</v>
      </c>
      <c r="KE3" s="13" t="s">
        <v>16</v>
      </c>
      <c r="KF3" s="13" t="s">
        <v>28</v>
      </c>
      <c r="KG3" s="13" t="s">
        <v>14</v>
      </c>
      <c r="KH3" s="13" t="s">
        <v>15</v>
      </c>
      <c r="KI3" s="13" t="s">
        <v>9</v>
      </c>
      <c r="KJ3" s="13" t="s">
        <v>16</v>
      </c>
      <c r="KK3" s="13" t="s">
        <v>28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14</v>
      </c>
      <c r="LA3" s="14" t="s">
        <v>15</v>
      </c>
      <c r="LB3" s="14" t="s">
        <v>9</v>
      </c>
      <c r="LC3" s="14" t="s">
        <v>16</v>
      </c>
      <c r="LD3" s="14" t="s">
        <v>28</v>
      </c>
      <c r="LE3" s="14" t="s">
        <v>14</v>
      </c>
      <c r="LF3" s="14" t="s">
        <v>15</v>
      </c>
      <c r="LG3" s="14" t="s">
        <v>9</v>
      </c>
      <c r="LH3" s="14" t="s">
        <v>16</v>
      </c>
      <c r="LI3" s="14" t="s">
        <v>28</v>
      </c>
      <c r="LJ3" s="14" t="s">
        <v>14</v>
      </c>
      <c r="LK3" s="14" t="s">
        <v>15</v>
      </c>
      <c r="LL3" s="14" t="s">
        <v>9</v>
      </c>
      <c r="LM3" s="14" t="s">
        <v>16</v>
      </c>
      <c r="LN3" s="14" t="s">
        <v>28</v>
      </c>
      <c r="LO3" s="14" t="s">
        <v>14</v>
      </c>
      <c r="LP3" s="14" t="s">
        <v>15</v>
      </c>
      <c r="LQ3" s="14" t="s">
        <v>9</v>
      </c>
      <c r="LR3" s="14" t="s">
        <v>16</v>
      </c>
      <c r="LS3" s="14" t="s">
        <v>28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14</v>
      </c>
      <c r="MI3" s="13" t="s">
        <v>15</v>
      </c>
      <c r="MJ3" s="13" t="s">
        <v>9</v>
      </c>
      <c r="MK3" s="13" t="s">
        <v>16</v>
      </c>
      <c r="ML3" s="13" t="s">
        <v>28</v>
      </c>
      <c r="MM3" s="13" t="s">
        <v>14</v>
      </c>
      <c r="MN3" s="13" t="s">
        <v>15</v>
      </c>
      <c r="MO3" s="13" t="s">
        <v>9</v>
      </c>
      <c r="MP3" s="13" t="s">
        <v>16</v>
      </c>
      <c r="MQ3" s="13" t="s">
        <v>28</v>
      </c>
      <c r="MR3" s="13" t="s">
        <v>14</v>
      </c>
      <c r="MS3" s="13" t="s">
        <v>15</v>
      </c>
      <c r="MT3" s="13" t="s">
        <v>9</v>
      </c>
      <c r="MU3" s="13" t="s">
        <v>16</v>
      </c>
      <c r="MV3" s="13" t="s">
        <v>28</v>
      </c>
      <c r="MW3" s="13" t="s">
        <v>14</v>
      </c>
      <c r="MX3" s="13" t="s">
        <v>15</v>
      </c>
      <c r="MY3" s="13" t="s">
        <v>9</v>
      </c>
      <c r="MZ3" s="13" t="s">
        <v>16</v>
      </c>
      <c r="NA3" s="13" t="s">
        <v>28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14</v>
      </c>
      <c r="NQ3" s="14" t="s">
        <v>15</v>
      </c>
      <c r="NR3" s="14" t="s">
        <v>9</v>
      </c>
      <c r="NS3" s="14" t="s">
        <v>16</v>
      </c>
      <c r="NT3" s="14" t="s">
        <v>28</v>
      </c>
      <c r="NU3" s="14" t="s">
        <v>14</v>
      </c>
      <c r="NV3" s="14" t="s">
        <v>15</v>
      </c>
      <c r="NW3" s="14" t="s">
        <v>9</v>
      </c>
      <c r="NX3" s="14" t="s">
        <v>16</v>
      </c>
      <c r="NY3" s="14" t="s">
        <v>28</v>
      </c>
      <c r="NZ3" s="14" t="s">
        <v>14</v>
      </c>
      <c r="OA3" s="14" t="s">
        <v>15</v>
      </c>
      <c r="OB3" s="14" t="s">
        <v>9</v>
      </c>
      <c r="OC3" s="14" t="s">
        <v>16</v>
      </c>
      <c r="OD3" s="14" t="s">
        <v>28</v>
      </c>
      <c r="OE3" s="14" t="s">
        <v>14</v>
      </c>
      <c r="OF3" s="14" t="s">
        <v>15</v>
      </c>
      <c r="OG3" s="14" t="s">
        <v>9</v>
      </c>
      <c r="OH3" s="14" t="s">
        <v>16</v>
      </c>
      <c r="OI3" s="14" t="s">
        <v>28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14</v>
      </c>
      <c r="OY3" s="13" t="s">
        <v>15</v>
      </c>
      <c r="OZ3" s="13" t="s">
        <v>9</v>
      </c>
      <c r="PA3" s="13" t="s">
        <v>16</v>
      </c>
      <c r="PB3" s="13" t="s">
        <v>28</v>
      </c>
      <c r="PC3" s="13" t="s">
        <v>14</v>
      </c>
      <c r="PD3" s="13" t="s">
        <v>15</v>
      </c>
      <c r="PE3" s="13" t="s">
        <v>9</v>
      </c>
      <c r="PF3" s="13" t="s">
        <v>16</v>
      </c>
      <c r="PG3" s="13" t="s">
        <v>28</v>
      </c>
      <c r="PH3" s="13" t="s">
        <v>14</v>
      </c>
      <c r="PI3" s="13" t="s">
        <v>15</v>
      </c>
      <c r="PJ3" s="13" t="s">
        <v>9</v>
      </c>
      <c r="PK3" s="13" t="s">
        <v>16</v>
      </c>
      <c r="PL3" s="13" t="s">
        <v>28</v>
      </c>
      <c r="PM3" s="13" t="s">
        <v>14</v>
      </c>
      <c r="PN3" s="13" t="s">
        <v>15</v>
      </c>
      <c r="PO3" s="13" t="s">
        <v>9</v>
      </c>
      <c r="PP3" s="13" t="s">
        <v>16</v>
      </c>
      <c r="PQ3" s="13" t="s">
        <v>28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14</v>
      </c>
      <c r="QG3" s="14" t="s">
        <v>15</v>
      </c>
      <c r="QH3" s="14" t="s">
        <v>9</v>
      </c>
      <c r="QI3" s="14" t="s">
        <v>16</v>
      </c>
      <c r="QJ3" s="14" t="s">
        <v>28</v>
      </c>
      <c r="QK3" s="14" t="s">
        <v>14</v>
      </c>
      <c r="QL3" s="14" t="s">
        <v>15</v>
      </c>
      <c r="QM3" s="14" t="s">
        <v>9</v>
      </c>
      <c r="QN3" s="14" t="s">
        <v>16</v>
      </c>
      <c r="QO3" s="14" t="s">
        <v>28</v>
      </c>
      <c r="QP3" s="14" t="s">
        <v>14</v>
      </c>
      <c r="QQ3" s="14" t="s">
        <v>15</v>
      </c>
      <c r="QR3" s="14" t="s">
        <v>9</v>
      </c>
      <c r="QS3" s="14" t="s">
        <v>16</v>
      </c>
      <c r="QT3" s="14" t="s">
        <v>28</v>
      </c>
      <c r="QU3" s="14" t="s">
        <v>14</v>
      </c>
      <c r="QV3" s="14" t="s">
        <v>15</v>
      </c>
      <c r="QW3" s="14" t="s">
        <v>9</v>
      </c>
      <c r="QX3" s="14" t="s">
        <v>16</v>
      </c>
      <c r="QY3" s="14" t="s">
        <v>28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14</v>
      </c>
      <c r="RO3" s="13" t="s">
        <v>15</v>
      </c>
      <c r="RP3" s="13" t="s">
        <v>9</v>
      </c>
      <c r="RQ3" s="13" t="s">
        <v>16</v>
      </c>
      <c r="RR3" s="13" t="s">
        <v>28</v>
      </c>
      <c r="RS3" s="13" t="s">
        <v>14</v>
      </c>
      <c r="RT3" s="13" t="s">
        <v>15</v>
      </c>
      <c r="RU3" s="13" t="s">
        <v>9</v>
      </c>
      <c r="RV3" s="13" t="s">
        <v>16</v>
      </c>
      <c r="RW3" s="13" t="s">
        <v>28</v>
      </c>
      <c r="RX3" s="13" t="s">
        <v>14</v>
      </c>
      <c r="RY3" s="13" t="s">
        <v>15</v>
      </c>
      <c r="RZ3" s="13" t="s">
        <v>9</v>
      </c>
      <c r="SA3" s="13" t="s">
        <v>16</v>
      </c>
      <c r="SB3" s="13" t="s">
        <v>28</v>
      </c>
      <c r="SC3" s="13" t="s">
        <v>14</v>
      </c>
      <c r="SD3" s="13" t="s">
        <v>15</v>
      </c>
      <c r="SE3" s="13" t="s">
        <v>9</v>
      </c>
      <c r="SF3" s="13" t="s">
        <v>16</v>
      </c>
      <c r="SG3" s="13" t="s">
        <v>28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14</v>
      </c>
      <c r="SW3" s="14" t="s">
        <v>15</v>
      </c>
      <c r="SX3" s="14" t="s">
        <v>9</v>
      </c>
      <c r="SY3" s="14" t="s">
        <v>16</v>
      </c>
      <c r="SZ3" s="14" t="s">
        <v>28</v>
      </c>
      <c r="TA3" s="14" t="s">
        <v>14</v>
      </c>
      <c r="TB3" s="14" t="s">
        <v>15</v>
      </c>
      <c r="TC3" s="14" t="s">
        <v>9</v>
      </c>
      <c r="TD3" s="14" t="s">
        <v>16</v>
      </c>
      <c r="TE3" s="14" t="s">
        <v>28</v>
      </c>
      <c r="TF3" s="14" t="s">
        <v>14</v>
      </c>
      <c r="TG3" s="14" t="s">
        <v>15</v>
      </c>
      <c r="TH3" s="14" t="s">
        <v>9</v>
      </c>
      <c r="TI3" s="14" t="s">
        <v>16</v>
      </c>
      <c r="TJ3" s="14" t="s">
        <v>28</v>
      </c>
      <c r="TK3" s="14" t="s">
        <v>14</v>
      </c>
      <c r="TL3" s="14" t="s">
        <v>15</v>
      </c>
      <c r="TM3" s="14" t="s">
        <v>9</v>
      </c>
      <c r="TN3" s="14" t="s">
        <v>16</v>
      </c>
      <c r="TO3" s="14" t="s">
        <v>28</v>
      </c>
      <c r="TP3" s="6"/>
      <c r="TQ3" s="6"/>
      <c r="TR3" s="6"/>
      <c r="TS3" s="6"/>
      <c r="TT3" s="6"/>
      <c r="TU3" s="6"/>
      <c r="TV3" s="6"/>
      <c r="TW3" s="6"/>
      <c r="TX3" s="6"/>
      <c r="TY3" s="6"/>
      <c r="TZ3" s="6"/>
      <c r="UA3" s="6"/>
      <c r="UB3" s="6"/>
      <c r="UC3" s="6"/>
      <c r="UD3" s="13" t="s">
        <v>14</v>
      </c>
      <c r="UE3" s="13" t="s">
        <v>15</v>
      </c>
      <c r="UF3" s="13" t="s">
        <v>9</v>
      </c>
      <c r="UG3" s="13" t="s">
        <v>16</v>
      </c>
      <c r="UH3" s="13" t="s">
        <v>28</v>
      </c>
      <c r="UI3" s="13" t="s">
        <v>14</v>
      </c>
      <c r="UJ3" s="13" t="s">
        <v>15</v>
      </c>
      <c r="UK3" s="13" t="s">
        <v>9</v>
      </c>
      <c r="UL3" s="13" t="s">
        <v>16</v>
      </c>
      <c r="UM3" s="13" t="s">
        <v>28</v>
      </c>
      <c r="UN3" s="13" t="s">
        <v>14</v>
      </c>
      <c r="UO3" s="13" t="s">
        <v>15</v>
      </c>
      <c r="UP3" s="13" t="s">
        <v>9</v>
      </c>
      <c r="UQ3" s="13" t="s">
        <v>16</v>
      </c>
      <c r="UR3" s="13" t="s">
        <v>28</v>
      </c>
      <c r="US3" s="13" t="s">
        <v>14</v>
      </c>
      <c r="UT3" s="13" t="s">
        <v>15</v>
      </c>
      <c r="UU3" s="13" t="s">
        <v>9</v>
      </c>
      <c r="UV3" s="13" t="s">
        <v>16</v>
      </c>
      <c r="UW3" s="13" t="s">
        <v>28</v>
      </c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14" t="s">
        <v>14</v>
      </c>
      <c r="VM3" s="14" t="s">
        <v>15</v>
      </c>
      <c r="VN3" s="14" t="s">
        <v>9</v>
      </c>
      <c r="VO3" s="14" t="s">
        <v>16</v>
      </c>
      <c r="VP3" s="14" t="s">
        <v>28</v>
      </c>
      <c r="VQ3" s="14" t="s">
        <v>14</v>
      </c>
      <c r="VR3" s="14" t="s">
        <v>15</v>
      </c>
      <c r="VS3" s="14" t="s">
        <v>9</v>
      </c>
      <c r="VT3" s="14" t="s">
        <v>16</v>
      </c>
      <c r="VU3" s="14" t="s">
        <v>28</v>
      </c>
      <c r="VV3" s="14" t="s">
        <v>14</v>
      </c>
      <c r="VW3" s="14" t="s">
        <v>15</v>
      </c>
      <c r="VX3" s="14" t="s">
        <v>9</v>
      </c>
      <c r="VY3" s="14" t="s">
        <v>16</v>
      </c>
      <c r="VZ3" s="14" t="s">
        <v>28</v>
      </c>
      <c r="WA3" s="14" t="s">
        <v>14</v>
      </c>
      <c r="WB3" s="14" t="s">
        <v>15</v>
      </c>
      <c r="WC3" s="14" t="s">
        <v>9</v>
      </c>
      <c r="WD3" s="14" t="s">
        <v>16</v>
      </c>
      <c r="WE3" s="14" t="s">
        <v>28</v>
      </c>
      <c r="WF3" s="6"/>
      <c r="WG3" s="6"/>
      <c r="WH3" s="6"/>
      <c r="WI3" s="6"/>
      <c r="WJ3" s="6"/>
      <c r="WK3" s="6"/>
      <c r="WL3" s="6"/>
      <c r="WM3" s="6"/>
      <c r="WN3" s="6"/>
      <c r="WO3" s="6"/>
      <c r="WP3" s="6"/>
      <c r="WQ3" s="6"/>
      <c r="WR3" s="6"/>
      <c r="WS3" s="6"/>
      <c r="WT3" s="13" t="s">
        <v>14</v>
      </c>
      <c r="WU3" s="13" t="s">
        <v>15</v>
      </c>
      <c r="WV3" s="13" t="s">
        <v>9</v>
      </c>
      <c r="WW3" s="13" t="s">
        <v>16</v>
      </c>
      <c r="WX3" s="13" t="s">
        <v>28</v>
      </c>
      <c r="WY3" s="13" t="s">
        <v>14</v>
      </c>
      <c r="WZ3" s="13" t="s">
        <v>15</v>
      </c>
      <c r="XA3" s="13" t="s">
        <v>9</v>
      </c>
      <c r="XB3" s="13" t="s">
        <v>16</v>
      </c>
      <c r="XC3" s="13" t="s">
        <v>28</v>
      </c>
      <c r="XD3" s="13" t="s">
        <v>14</v>
      </c>
      <c r="XE3" s="13" t="s">
        <v>15</v>
      </c>
      <c r="XF3" s="13" t="s">
        <v>9</v>
      </c>
      <c r="XG3" s="13" t="s">
        <v>16</v>
      </c>
      <c r="XH3" s="13" t="s">
        <v>28</v>
      </c>
      <c r="XI3" s="13" t="s">
        <v>52</v>
      </c>
      <c r="XJ3" s="13"/>
      <c r="XK3" s="13"/>
      <c r="XL3" s="13"/>
      <c r="XM3" s="13"/>
      <c r="XN3" s="13"/>
      <c r="XO3" s="13"/>
      <c r="XP3" s="13"/>
      <c r="XQ3" s="13"/>
      <c r="XR3" s="13"/>
      <c r="XS3" s="13"/>
      <c r="XT3" s="13"/>
    </row>
    <row r="4" spans="1:644" x14ac:dyDescent="0.2">
      <c r="A4" s="4" cm="1">
        <f t="array" ref="A4">IF(AND(H4&lt;&gt;"",H4&lt;&gt;"No DD"),SUMPRODUCT((H$4:H$25&lt;&gt;"")*(H$4:H$25&lt;&gt;"No DD")*(E$4:E$25&gt;E4))+1,IF(H4="No DD",SUMPRODUCT((H$4:H$25="No DD")*(E$4:E$25&gt;E4))+1+SUMPRODUCT((H$4:H$25&lt;&gt;"")*(H$4:H$25&lt;&gt;"No DD")),""))</f>
        <v>1</v>
      </c>
      <c r="B4" s="5" t="s">
        <v>4</v>
      </c>
      <c r="C4" s="4" t="s">
        <v>5</v>
      </c>
      <c r="D4" s="4">
        <v>1992</v>
      </c>
      <c r="E4" s="9">
        <f t="shared" ref="E4:E24" si="0">SUM(J4:V4)+SUM(J4:T4)*0.0000001+SUM(J4)*0.0000000000001</f>
        <v>269.82002698200591</v>
      </c>
      <c r="F4" s="3" t="str">
        <f t="shared" ref="F4:F24" si="1">IF(OR(AND(AO4&gt;=AY$27,AO4&lt;&gt;"",AQ4&gt;=AY$31,AQ4&lt;&gt;"",AN4=""),AND(AR4&gt;=AY$27,AR4&lt;&gt;"",AT4&gt;=AY$31,AT4&lt;&gt;"",AN4=""),AND(AV4&gt;=AY$27,AV4&lt;&gt;"",AX4&gt;=AY$31,AX4&lt;&gt;"",AN4=""),AND(BP4&gt;=BZ$27,BP4&lt;&gt;"",BR4&gt;=BZ$31,BR4&lt;&gt;"",BO4=""),AND(BS4&gt;=BZ$27,BS4&lt;&gt;"",BU4&gt;=BZ$31,BU4&lt;&gt;"",BO4=""),AND(BW4&gt;=BZ$27,BW4&lt;&gt;"",BY4&gt;=BZ$31,BY4&lt;&gt;"",BO4=""),AND(CQ4&gt;=DA$27,CQ4&lt;&gt;"",CS4&gt;=DA$31,CS4&lt;&gt;"",CP4=""),AND(CT4&gt;=DA$27,CT4&lt;&gt;"",CV4&gt;=DA$31,CV4&lt;&gt;"",CP4=""),AND(CX4&gt;=DA$27,CX4&lt;&gt;"",CZ4&gt;=DA$31,CZ4&lt;&gt;"",CP4=""),AND(DX4&gt;=EK$27,DX4&lt;&gt;"",DZ4&gt;=EK$31,DZ4&lt;&gt;""),AND(EA4&gt;=EK$27,EA4&lt;&gt;"",EC4&gt;=EK$31,EC4&lt;&gt;""),AND(EE4&gt;=EK$27,EE4&lt;&gt;"",EG4&gt;=EK$31,EG4&lt;&gt;""),AND(EH4&gt;=EK$27,EH4&lt;&gt;"",EJ4&gt;=EK$31,EJ4&lt;&gt;""),AND(FF4&gt;=FS$27,FF4&lt;&gt;"",FH4&gt;=FS$31,FH4&lt;&gt;""),AND(FI4&gt;=FS$27,FI4&lt;&gt;"",FK4&gt;=FS$31,FK4&lt;&gt;""),AND(FM4&gt;=FS$27,FM4&lt;&gt;"",FO4&gt;=FS$31,FO4&lt;&gt;""),AND(FP4&gt;=FS$27,FP4&lt;&gt;"",FR4&gt;=FS$31,FR4&lt;&gt;""),AND(GN4&gt;=HA$27,GN4&lt;&gt;"",GP4&gt;=HA$31,GP4&lt;&gt;""),AND(GQ4&gt;=HA$27,GQ4&lt;&gt;"",GS4&gt;=HA$31,GS4&lt;&gt;""),AND(GU4&gt;=HA$27,GU4&lt;&gt;"",GW4&gt;=HA$31,GW4&lt;&gt;""),AND(GX4&gt;=HA$27,GX4&lt;&gt;"",GZ4&gt;=HA$31,GZ4&lt;&gt;""),AND(HV4&gt;=II$27,HV4&lt;&gt;"",HX4&gt;=II$31,HX4&lt;&gt;""),AND(HY4&gt;=II$27,HY4&lt;&gt;"",IA4&gt;=II$31,IA4&lt;&gt;""),AND(IC4&gt;=II$27,IC4&lt;&gt;"",IE4&gt;=II$31,IE4&lt;&gt;""),AND(IF4&gt;=II$27,IF4&lt;&gt;"",IH4&gt;=II$31,IH4&lt;&gt;""),AND(JD4&gt;=JQ$27,JD4&lt;&gt;"",JF4&gt;=JQ$31,JF4&lt;&gt;""),AND(JG4&gt;=JQ$27,JG4&lt;&gt;"",JI4&gt;=JQ$31,JI4&lt;&gt;""),AND(JK4&gt;=JQ$27,JK4&lt;&gt;"",JM4&gt;=JQ$31,JM4&lt;&gt;""),AND(JN4&gt;=JQ$27,JN4&lt;&gt;"",JP4&gt;=JQ$31,JP4&lt;&gt;""),AND(KL4&gt;=KY$27,KL4&lt;&gt;"",KN4&gt;=KY$31,KN4&lt;&gt;""),AND(KO4&gt;=KY$27,KO4&lt;&gt;"",KQ4&gt;=KY$31,KQ4&lt;&gt;""),AND(KS4&gt;=KY$27,KS4&lt;&gt;"",KU4&gt;=KY$31,KU4&lt;&gt;""),AND(KV4&gt;=KY$27,KV4&lt;&gt;"",KX4&gt;=KY$31,KX4&lt;&gt;""),AND(LT4&gt;=MG$27,LT4&lt;&gt;"",LV4&gt;=MG$31,LV4&lt;&gt;""),AND(LW4&gt;=MG$27,LW4&lt;&gt;"",LY4&gt;=MG$31,LY4&lt;&gt;""),AND(MA4&gt;=MG$27,MA4&lt;&gt;"",MC4&gt;=MG$31,MC4&lt;&gt;""),AND(MD4&gt;=MG$27,MD4&lt;&gt;"",MF4&gt;=MG$31,MF4&lt;&gt;""),AND(NB4&gt;=NO$27,NB4&lt;&gt;"",ND4&gt;=NO$31,ND4&lt;&gt;""),AND(NE4&gt;=NO$27,NE4&lt;&gt;"",NG4&gt;=NO$31,NG4&lt;&gt;""),AND(NI4&gt;=NO$27,NI4&lt;&gt;"",NK4&gt;=NO$31,NK4&lt;&gt;""),AND(NL4&gt;=NO$27,NL4&lt;&gt;"",NN4&gt;=NO$31,NN4&lt;&gt;""),AND(OJ4&gt;=OW$27,OJ4&lt;&gt;"",OL4&gt;=OW$31,OL4&lt;&gt;""),AND(OM4&gt;=OW$27,OM4&lt;&gt;"",OO4&gt;=OW$31,OO4&lt;&gt;""),AND(OQ4&gt;=OW$27,OQ4&lt;&gt;"",OS4&gt;=OW$31,OS4&lt;&gt;""),AND(OT4&gt;=OW$27,OT4&lt;&gt;"",OV4&gt;=OW$31,OV4&lt;&gt;""),AND(PR4&gt;=QE$27,PR4&lt;&gt;"",PT4&gt;=QE$31,PT4&lt;&gt;""),AND(PU4&gt;=QE$27,PU4&lt;&gt;"",PW4&gt;=QE$31,PW4&lt;&gt;""),AND(PY4&gt;=QE$27,PY4&lt;&gt;"",QA4&gt;=QE$31,QA4&lt;&gt;""),AND(QB4&gt;=QE$27,QB4&lt;&gt;"",QD4&gt;=QE$31,QD4&lt;&gt;""),AND(QZ4&gt;=RM$27,QZ4&lt;&gt;"",RB4&gt;=RM$31,RB4&lt;&gt;""),AND(RC4&gt;=RM$27,RC4&lt;&gt;"",RE4&gt;=RM$31,RE4&lt;&gt;""),AND(RG4&gt;=RM$27,RG4&lt;&gt;"",RI4&gt;=RM$31,RI4&lt;&gt;""),AND(RJ4&gt;=RM$27,RJ4&lt;&gt;"",RL4&gt;=RM$31,RL4&lt;&gt;""),AND(SH4&gt;=SU$27,SH4&lt;&gt;"",SJ4&gt;=SU$31,SJ4&lt;&gt;""),AND(SK4&gt;=SU$27,SK4&lt;&gt;"",SM4&gt;=SU$31,SM4&lt;&gt;""),AND(SO4&gt;=SU$27,SO4&lt;&gt;"",SQ4&gt;=SU$31,SQ4&lt;&gt;""),AND(SR4&gt;=SU$27,SR4&lt;&gt;"",ST4&gt;=SU$31,ST4&lt;&gt;""),AND(TP4&gt;=UC$27,TP4&lt;&gt;"",TR4&gt;=UC$31,TR4&lt;&gt;""),AND(TS4&gt;=UC$27,TS4&lt;&gt;"",TU4&gt;=UC$31,TU4&lt;&gt;""),AND(TW4&gt;=UC$27,TW4&lt;&gt;"",TY4&gt;=UC$31,TYY4&lt;&gt;""),AND(TZ4&gt;=UC$27,TZ4&lt;&gt;"",UB4&gt;=UC$31,UB4&lt;&gt;""),AND(UX4&gt;=VK$27,UX4&lt;&gt;"",UZ4&gt;=VK$31,UZ4&lt;&gt;""),AND(VA4&gt;=VK$27,VA4&lt;&gt;"",VC4&gt;=VK$31,VC4&lt;&gt;""),AND(VE4&gt;=VK$27,VE4&lt;&gt;"",VG4&gt;=VK$31,VG4&lt;&gt;""),AND(VH4&gt;=VK$27,VH4&lt;&gt;"",VJ4&gt;=VK$31,VJ4&lt;&gt;""),AND(WF4&gt;=WS$27,WF4&lt;&gt;"",WH4&gt;=WS$31,WH4&lt;&gt;""),AND(WI4&gt;=WS$27,WI4&lt;&gt;"",WK4&gt;=WS$31,WK4&lt;&gt;""),AND(WM4&gt;=WS$27,WM4&lt;&gt;"",WO4&gt;=WS$31,WO4&lt;&gt;""),AND(WP4&gt;=WS$27,WP4&lt;&gt;"",WR4&gt;=WS$31,WR4&lt;&gt;"")),"P","")</f>
        <v>P</v>
      </c>
      <c r="G4" s="3" t="str">
        <f t="shared" ref="G4:G24" si="2">IF(OR(AND(AQ4&gt;=AY$31,AQ4&lt;&gt;"",AN4=""),AND(AT4&gt;=AY$31,AT4&lt;&gt;"",AN4=""),AND(AX4&gt;=AY$31,AX4&lt;&gt;"",AN4=""),AND(BR4&gt;=BZ$31,BR4&lt;&gt;"",BO4=""),AND(BU4&gt;=BZ$31,BU4&lt;&gt;"",BO4=""),AND(BY4&gt;=BZ$31,BY4&lt;&gt;"",BO4=""),AND(CS4&gt;=DA$31,CS4&lt;&gt;"",CP4=""),AND(CV4&gt;=DA$31,CV4&lt;&gt;"",CP4=""),AND(CZ4&gt;=DA$31,CZ4&lt;&gt;"",CP4=""),AND(DZ4&gt;=EK$31,DZ4&lt;&gt;""),AND(EC4&gt;=EK$31,EC4&lt;&gt;""),AND(EG4&gt;=EK$31,EG4&lt;&gt;""),AND(EJ4&gt;=EK$31,EJ4&lt;&gt;""),AND(FH4&gt;=FS$31,FH4&lt;&gt;""),AND(FK4&gt;=FS$31,FK4&lt;&gt;""),AND(FO4&gt;=FS$31,FO4&lt;&gt;""),AND(FR4&gt;=FS$31,FR4&lt;&gt;""),AND(GP4&gt;=HA$31,GP4&lt;&gt;""),AND(GS4&gt;=HA$31,GS4&lt;&gt;""),AND(GW4&gt;=HA$31,GW4&lt;&gt;""),AND(GZ4&gt;=HA$31,GZ4&lt;&gt;""),AND(HX4&gt;=II$31,HX4&lt;&gt;""),AND(IA4&gt;=II$31,IA4&lt;&gt;""),AND(IE4&gt;=II$31,IE4&lt;&gt;""),AND(IH4&gt;=II$31,IH4&lt;&gt;""),AND(JF4&gt;=JQ$31,JF4&lt;&gt;""),AND(JI4&gt;=JQ$31,JI4&lt;&gt;""),AND(JM4&gt;=JQ$31,JM4&lt;&gt;""),AND(JP4&gt;=JQ$31,JP4&lt;&gt;""),AND(KN4&gt;=KY$31,KN4&lt;&gt;""),AND(KQ4&gt;=KY$31,KQ4&lt;&gt;""),AND(KU4&gt;=KY$31,KU4&lt;&gt;""),AND(KX4&gt;=KY$31,KX4&lt;&gt;""),AND(LV4&gt;=MG$31,LV4&lt;&gt;""),AND(LY4&gt;=MG$31,LY4&lt;&gt;""),AND(MC4&gt;=MG$31,MC4&lt;&gt;""),AND(MF4&gt;=MG$31,MF4&lt;&gt;""),AND(ND4&gt;=NO$31,ND4&lt;&gt;""),AND(NG4&gt;=NO$31,NG4&lt;&gt;""),AND(NK4&gt;=NO$31,NK4&lt;&gt;""),AND(NN4&gt;=NO$31,NN4&lt;&gt;""),AND(OL4&gt;=OW$31,OL4&lt;&gt;""),AND(OO4&gt;=OW$31,OO4&lt;&gt;""),AND(OS4&gt;=OW$31,OS4&lt;&gt;""),AND(OV4&gt;=OW$31,OV4&lt;&gt;""),AND(PT4&gt;=QE$31,PT4&lt;&gt;""),AND(PW4&gt;=QE$31,PW4&lt;&gt;""),AND(QA4&gt;=QE$31,QA4&lt;&gt;""),AND(QD4&gt;=QE$31,QD4&lt;&gt;""),AND(RB4&gt;=RM$31,RB4&lt;&gt;""),AND(RE4&gt;=RM$31,RE4&lt;&gt;""),AND(RI4&gt;=RM$31,RI4&lt;&gt;""),AND(RL4&gt;=RM$31,RL4&lt;&gt;""),AND(SJ4&gt;=SU$31,SJ4&lt;&gt;""),AND(SM4&gt;=SU$31,SM4&lt;&gt;""),AND(SQ4&gt;=SU$31,SQ4&lt;&gt;""),AND(ST4&gt;=SU$31,ST4&lt;&gt;""),AND(TR4&gt;=UC$31,TR4&lt;&gt;""),AND(TU4&gt;=UC$31,TU4&lt;&gt;""),AND(TY4&gt;=UC$31,TYY4&lt;&gt;""),AND(UB4&gt;=UC$31,UB4&lt;&gt;""),AND(UZ4&gt;=VK$31,UZ4&lt;&gt;""),AND(VC4&gt;=VK$31,VC4&lt;&gt;""),AND(VG4&gt;=VK$31,VG4&lt;&gt;""),AND(VJ4&gt;=VK$31,VJ4&lt;&gt;""),AND(WH4&gt;=WS$31,WH4&lt;&gt;""),AND(WK4&gt;=WS$31,WK4&lt;&gt;""),AND(WO4&gt;=WS$31,WO4&lt;&gt;""),AND(WR4&gt;=WS$31,WR4&lt;&gt;"")),"P","")</f>
        <v>P</v>
      </c>
      <c r="H4" s="36" t="str">
        <f t="shared" ref="H4:H24" si="3">IF(AND(G4="P",F4=""),"No DD",IF(OR(AND(AO4&gt;=AY$30,AO4&lt;&gt;"",AQ4&gt;=AY$34,AQ4&lt;&gt;"",AN4=""),AND(AR4&gt;=AY$30,AR4&lt;&gt;"",AT4&gt;=AY$34,AT4&lt;&gt;"",AN4=""),AND(AV4&gt;=AY$30,AV4&lt;&gt;"",AX4&gt;=AY$34,AX4&lt;&gt;"",AN4=""),AND(BP4&gt;=BZ$30,BP4&lt;&gt;"",BR4&gt;=BZ$34,BR4&lt;&gt;"",BO4=""),AND(BS4&gt;=BZ$30,BS4&lt;&gt;"",BU4&gt;=BZ$34,BU4&lt;&gt;"",BO4=""),AND(BW4&gt;=BZ$30,BW4&lt;&gt;"",BY4&gt;=BZ$34,BY4&lt;&gt;"",BO4=""),AND(CQ4&gt;=DA$30,CQ4&lt;&gt;"",CS4&gt;=DA$34,CS4&lt;&gt;"",CP4=""),AND(CT4&gt;=DA$30,CT4&lt;&gt;"",CV4&gt;=DA$34,CV4&lt;&gt;"",CP4=""),AND(CX4&gt;=DA$30,CX4&lt;&gt;"",CZ4&gt;=DA$34,CZ4&lt;&gt;"",CP4=""),AND(DX4&gt;=EK$30,DX4&lt;&gt;"",DZ4&gt;=EK$34,DZ4&lt;&gt;""),AND(EA4&gt;=EK$30,EA4&lt;&gt;"",EC4&gt;=EK$34,EC4&lt;&gt;""),AND(EE4&gt;=EK$30,EE4&lt;&gt;"",EG4&gt;=EK$34,EG4&lt;&gt;""),AND(EH4&gt;=EK$30,EH4&lt;&gt;"",EJ4&gt;=EK$34,EJ4&lt;&gt;""),AND(FF4&gt;=FS$30,FF4&lt;&gt;"",FH4&gt;=FS$34,FH4&lt;&gt;""),AND(FI4&gt;=FS$30,FI4&lt;&gt;"",FK4&gt;=FS$34,FK4&lt;&gt;""),AND(FM4&gt;=FS$30,FM4&lt;&gt;"",FO4&gt;=FS$34,FO4&lt;&gt;""),AND(FP4&gt;=FS$30,FP4&lt;&gt;"",FR4&gt;=FS$34,FR4&lt;&gt;""),AND(GN4&gt;=HA$30,GN4&lt;&gt;"",GP4&gt;=HA$34,GP4&lt;&gt;""),AND(GQ4&gt;=HA$30,GQ4&lt;&gt;"",GS4&gt;=HA$34,GS4&lt;&gt;""),AND(GU4&gt;=HA$30,GU4&lt;&gt;"",GW4&gt;=HA$34,GW4&lt;&gt;""),AND(GX4&gt;=HA$30,GX4&lt;&gt;"",GZ4&gt;=HA$34,GZ4&lt;&gt;""),AND(HV4&gt;=II$30,HV4&lt;&gt;"",HX4&gt;=II$34,HX4&lt;&gt;""),AND(HY4&gt;=II$30,HY4&lt;&gt;"",IA4&gt;=II$34,IA4&lt;&gt;""),AND(IC4&gt;=II$30,IC4&lt;&gt;"",IE4&gt;=II$34,IE4&lt;&gt;""),AND(IF4&gt;=II$30,IF4&lt;&gt;"",IH4&gt;=II$34,IH4&lt;&gt;""),AND(JD4&gt;=JQ$30,JD4&lt;&gt;"",JF4&gt;=JQ$34,JF4&lt;&gt;""),AND(JG4&gt;=JQ$30,JG4&lt;&gt;"",JI4&gt;=JQ$34,JI4&lt;&gt;""),AND(JK4&gt;=JQ$30,JK4&lt;&gt;"",JM4&gt;=JQ$34,JM4&lt;&gt;""),AND(JN4&gt;=JQ$30,JN4&lt;&gt;"",JP4&gt;=JQ$34,JP4&lt;&gt;""),AND(KL4&gt;=KY$30,KL4&lt;&gt;"",KN4&gt;=KY$34,KN4&lt;&gt;""),AND(KO4&gt;=KY$30,KO4&lt;&gt;"",KQ4&gt;=KY$34,KQ4&lt;&gt;""),AND(KS4&gt;=KY$30,KS4&lt;&gt;"",KU4&gt;=KY$34,KU4&lt;&gt;""),AND(KV4&gt;=KY$30,KV4&lt;&gt;"",KX4&gt;=KY$34,KX4&lt;&gt;""),AND(LT4&gt;=MG$30,LT4&lt;&gt;"",LV4&gt;=MG$34,LV4&lt;&gt;""),AND(LW4&gt;=MG$30,LW4&lt;&gt;"",LY4&gt;=MG$34,LY4&lt;&gt;""),AND(MA4&gt;=MG$30,MA4&lt;&gt;"",MC4&gt;=MG$34,MC4&lt;&gt;""),AND(MD4&gt;=MG$30,MD4&lt;&gt;"",MF4&gt;=MG$34,MF4&lt;&gt;""),AND(NB4&gt;=NO$30,NB4&lt;&gt;"",ND4&gt;=NO$34,ND4&lt;&gt;""),AND(NE4&gt;=NO$30,NE4&lt;&gt;"",NG4&gt;=NO$34,NG4&lt;&gt;""),AND(NI4&gt;=NO$30,NI4&lt;&gt;"",NK4&gt;=NO$34,NK4&lt;&gt;""),AND(NL4&gt;=NO$30,NL4&lt;&gt;"",NN4&gt;=NO$34,NN4&lt;&gt;""),AND(OJ4&gt;=OW$30,OJ4&lt;&gt;"",OL4&gt;=OW$34,OL4&lt;&gt;""),AND(OM4&gt;=OW$30,OM4&lt;&gt;"",OO4&gt;=OW$34,OO4&lt;&gt;""),AND(OQ4&gt;=OW$30,OQ4&lt;&gt;"",OS4&gt;=OW$34,OS4&lt;&gt;""),AND(OT4&gt;=OW$30,OT4&lt;&gt;"",OV4&gt;=OW$34,OV4&lt;&gt;""),AND(PR4&gt;=QE$30,PR4&lt;&gt;"",PT4&gt;=QE$34,PT4&lt;&gt;""),AND(PU4&gt;=QE$30,PU4&lt;&gt;"",PW4&gt;=QE$34,PW4&lt;&gt;""),AND(PY4&gt;=QE$30,PY4&lt;&gt;"",QA4&gt;=QE$34,QA4&lt;&gt;""),AND(QB4&gt;=QE$30,QB4&lt;&gt;"",QD4&gt;=QE$34,QD4&lt;&gt;""),AND(QZ4&gt;=RM$30,QZ4&lt;&gt;"",RB4&gt;=RM$34,RB4&lt;&gt;""),AND(RC4&gt;=RM$30,RC4&lt;&gt;"",RE4&gt;=RM$34,RE4&lt;&gt;""),AND(RG4&gt;=RM$30,RG4&lt;&gt;"",RI4&gt;=RM$34,RI4&lt;&gt;""),AND(RJ4&gt;=RM$30,RJ4&lt;&gt;"",RL4&gt;=RM$34,RL4&lt;&gt;""),AND(SH4&gt;=SU$30,SH4&lt;&gt;"",SJ4&gt;=SU$34,SJ4&lt;&gt;""),AND(SK4&gt;=SU$30,SK4&lt;&gt;"",SM4&gt;=SU$34,SM4&lt;&gt;""),AND(SO4&gt;=SU$30,SO4&lt;&gt;"",SQ4&gt;=SU$34,SQ4&lt;&gt;""),AND(SR4&gt;=SU$30,SR4&lt;&gt;"",ST4&gt;=SU$34,ST4&lt;&gt;""),AND(TP4&gt;=UC$30,TP4&lt;&gt;"",TR4&gt;=UC$34,TR4&lt;&gt;""),AND(TS4&gt;=UC$30,TS4&lt;&gt;"",TU4&gt;=UC$34,TU4&lt;&gt;""),AND(TW4&gt;=UC$30,TW4&lt;&gt;"",TY4&gt;=UC$354,TYY4&lt;&gt;""),AND(TZ4&gt;=UC$30,TZ4&lt;&gt;"",UB4&gt;=UC$34,UB4&lt;&gt;""),AND(UX4&gt;=VK$30,UX4&lt;&gt;"",UZ4&gt;=VK$34,UZ4&lt;&gt;""),AND(VA4&gt;=VK$30,VA4&lt;&gt;"",VC4&gt;=VK$34,VC4&lt;&gt;""),AND(VE4&gt;=VK$30,VE4&lt;&gt;"",VG4&gt;=VK$34,VG4&lt;&gt;""),AND(VH4&gt;=VK$30,VH4&lt;&gt;"",VJ4&gt;=VK$34,VJ4&lt;&gt;""),AND(WF4&gt;=WS$30,WF4&lt;&gt;"",WH4&gt;=WS$34,WH4&lt;&gt;""),AND(WI4&gt;=WS$30,WI4&lt;&gt;"",WK4&gt;=WS$34,WK4&lt;&gt;""),AND(WM4&gt;=WS$30,WM4&lt;&gt;"",WO4&gt;=WS$34,WO4&lt;&gt;""),AND(WP4&gt;=WS$30,WP4&lt;&gt;"",WR4&gt;=WS$34,WR4&lt;&gt;"")),"Merit",IF(OR(AND(AO4&gt;=AY$29,AO4&lt;&gt;"",AQ4&gt;=AY$33,AQ4&lt;&gt;"",AN4=""),AND(AR4&gt;=AY$29,AR4&lt;&gt;"",AT4&gt;=AY$33,AT4&lt;&gt;"",AN4=""),AND(AV4&gt;=AY$29,AV4&lt;&gt;"",AX4&gt;=AY$33,AX4&lt;&gt;"",AN4=""),AND(BP4&gt;=BZ$29,BP4&lt;&gt;"",BR4&gt;=BZ$33,BR4&lt;&gt;"",BO4=""),AND(BS4&gt;=BZ$29,BS4&lt;&gt;"",BU4&gt;=BZ$33,BU4&lt;&gt;"",BO4=""),AND(BW4&gt;=BZ$29,BW4&lt;&gt;"",BY4&gt;=BZ$33,BY4&lt;&gt;"",BO4=""),AND(CQ4&gt;=DA$29,CQ4&lt;&gt;"",CS4&gt;=DA$33,CS4&lt;&gt;"",CP4=""),AND(CT4&gt;=DA$29,CT4&lt;&gt;"",CV4&gt;=DA$33,CV4&lt;&gt;"",CP4=""),AND(CX4&gt;=DA$29,CX4&lt;&gt;"",CZ4&gt;=DA$33,CZ4&lt;&gt;"",CP4=""),AND(DX4&gt;=EK$29,DX4&lt;&gt;"",DZ4&gt;=EK$33,DZ4&lt;&gt;""),AND(EA4&gt;=EK$29,EA4&lt;&gt;"",EC4&gt;=EK$33,EC4&lt;&gt;""),AND(EE4&gt;=EK$29,EE4&lt;&gt;"",EG4&gt;=EK$33,EG4&lt;&gt;""),AND(EH4&gt;=EK$29,EH4&lt;&gt;"",EJ4&gt;=EK$33,EJ4&lt;&gt;""),AND(FF4&gt;=FS$29,FF4&lt;&gt;"",FH4&gt;=FS$33,FH4&lt;&gt;""),AND(FI4&gt;=FS$29,FI4&lt;&gt;"",FK4&gt;=FS$33,FK4&lt;&gt;""),AND(FM4&gt;=FS$29,FM4&lt;&gt;"",FO4&gt;=FS$33,FO4&lt;&gt;""),AND(FP4&gt;=FS$29,FP4&lt;&gt;"",FR4&gt;=FS$33,FR4&lt;&gt;""),AND(GN4&gt;=HA$29,GN4&lt;&gt;"",GP4&gt;=HA$33,GP4&lt;&gt;""),AND(GQ4&gt;=HA$29,GQ4&lt;&gt;"",GS4&gt;=HA$33,GS4&lt;&gt;""),AND(GU4&gt;=HA$29,GU4&lt;&gt;"",GW4&gt;=HA$33,GW4&lt;&gt;""),AND(GX4&gt;=HA$29,GX4&lt;&gt;"",GZ4&gt;=HA$33,GZ4&lt;&gt;""),AND(HV4&gt;=II$29,HV4&lt;&gt;"",HX4&gt;=II$33,HX4&lt;&gt;""),AND(HY4&gt;=II$29,HY4&lt;&gt;"",IA4&gt;=II$33,IA4&lt;&gt;""),AND(IC4&gt;=II$29,IC4&lt;&gt;"",IE4&gt;=II$33,IE4&lt;&gt;""),AND(IF4&gt;=II$29,IF4&lt;&gt;"",IH4&gt;=II$33,IH4&lt;&gt;""),AND(JD4&gt;=JQ$29,JD4&lt;&gt;"",JF4&gt;=JQ$33,JF4&lt;&gt;""),AND(JG4&gt;=JQ$29,JG4&lt;&gt;"",JI4&gt;=JQ$33,JI4&lt;&gt;""),AND(JK4&gt;=JQ$29,JK4&lt;&gt;"",JM4&gt;=JQ$33,JM4&lt;&gt;""),AND(JN4&gt;=JQ$29,JN4&lt;&gt;"",JP4&gt;=JQ$33,JP4&lt;&gt;""),AND(KL4&gt;=KY$29,KL4&lt;&gt;"",KN4&gt;=KY$33,KN4&lt;&gt;""),AND(KO4&gt;=KY$29,KO4&lt;&gt;"",KQ4&gt;=KY$33,KQ4&lt;&gt;""),AND(KS4&gt;=KY$29,KS4&lt;&gt;"",KU4&gt;=KY$33,KU4&lt;&gt;""),AND(KV4&gt;=KY$29,KV4&lt;&gt;"",KX4&gt;=KY$33,KX4&lt;&gt;""),AND(LT4&gt;=MG$29,LT4&lt;&gt;"",LV4&gt;=MG$33,LV4&lt;&gt;""),AND(LW4&gt;=MG$29,LW4&lt;&gt;"",LY4&gt;=MG$33,LY4&lt;&gt;""),AND(MA4&gt;=MG$29,MA4&lt;&gt;"",MC4&gt;=MG$33,MC4&lt;&gt;""),AND(MD4&gt;=MG$29,MD4&lt;&gt;"",MF4&gt;=MG$33,MF4&lt;&gt;""),AND(NB4&gt;=NO$29,NB4&lt;&gt;"",ND4&gt;=NO$33,ND4&lt;&gt;""),AND(NE4&gt;=NO$29,NE4&lt;&gt;"",NG4&gt;=NO$33,NG4&lt;&gt;""),AND(NI4&gt;=NO$29,NI4&lt;&gt;"",NK4&gt;=NO$33,NK4&lt;&gt;""),AND(NL4&gt;=NO$29,NL4&lt;&gt;"",NN4&gt;=NO$33,NN4&lt;&gt;""),AND(OJ4&gt;=OW$29,OJ4&lt;&gt;"",OL4&gt;=OW$33,OL4&lt;&gt;""),AND(OM4&gt;=OW$29,OM4&lt;&gt;"",OO4&gt;=OW$33,OO4&lt;&gt;""),AND(OQ4&gt;=OW$29,OQ4&lt;&gt;"",OS4&gt;=OW$33,OS4&lt;&gt;""),AND(OT4&gt;=OW$29,OT4&lt;&gt;"",OV4&gt;=OW$33,OV4&lt;&gt;""),AND(PR4&gt;=QE$29,PR4&lt;&gt;"",PT4&gt;=QE$33,PT4&lt;&gt;""),AND(PU4&gt;=QE$29,PU4&lt;&gt;"",PW4&gt;=QE$33,PW4&lt;&gt;""),AND(PY4&gt;=QE$29,PY4&lt;&gt;"",QA4&gt;=QE$33,QA4&lt;&gt;""),AND(QB4&gt;=QE$29,QB4&lt;&gt;"",QD4&gt;=QE$33,QD4&lt;&gt;""),AND(QZ4&gt;=RM$29,QZ4&lt;&gt;"",RB4&gt;=RM$33,RB4&lt;&gt;""),AND(RC4&gt;=RM$29,RC4&lt;&gt;"",RE4&gt;=RM$33,RE4&lt;&gt;""),AND(RG4&gt;=RM$29,RG4&lt;&gt;"",RI4&gt;=RM$33,RI4&lt;&gt;""),AND(RJ4&gt;=RM$29,RJ4&lt;&gt;"",RL4&gt;=RM$33,RL4&lt;&gt;""),AND(SH4&gt;=SU$29,SH4&lt;&gt;"",SJ4&gt;=SU$33,SJ4&lt;&gt;""),AND(SK4&gt;=SU$29,SK4&lt;&gt;"",SM4&gt;=SU$33,SM4&lt;&gt;""),AND(SO4&gt;=SU$29,SO4&lt;&gt;"",SQ4&gt;=SU$33,SQ4&lt;&gt;""),AND(SR4&gt;=SU$29,SR4&lt;&gt;"",ST4&gt;=SU$33,ST4&lt;&gt;""),AND(TP4&gt;=UC$29,TP4&lt;&gt;"",TR4&gt;=UC$33,TR4&lt;&gt;""),AND(TS4&gt;=UC$29,TS4&lt;&gt;"",TU4&gt;=UC$33,TU4&lt;&gt;""),AND(TW4&gt;=UC$29,TW4&lt;&gt;"",TY4&gt;=UC$33,TYY4&lt;&gt;""),AND(TZ4&gt;=UC$29,TZ4&lt;&gt;"",UB4&gt;=UC$33,UB4&lt;&gt;""),AND(UX4&gt;=VK$29,UX4&lt;&gt;"",UZ4&gt;=VK$33,UZ4&lt;&gt;""),AND(VA4&gt;=VK$29,VA4&lt;&gt;"",VC4&gt;=VK$33,VC4&lt;&gt;""),AND(VE4&gt;=VK$29,VE4&lt;&gt;"",VG4&gt;=VK$33,VG4&lt;&gt;""),AND(VH4&gt;=VK$29,VH4&lt;&gt;"",VJ4&gt;=VK$33,VJ4&lt;&gt;""),AND(WF4&gt;=WS$29,WF4&lt;&gt;"",WH4&gt;=WS$33,WH4&lt;&gt;""),AND(WI4&gt;=WS$29,WI4&lt;&gt;"",WK4&gt;=WS$33,WK4&lt;&gt;""),AND(WM4&gt;=WS$29,WM4&lt;&gt;"",WO4&gt;=WS$33,WO4&lt;&gt;""),AND(WP4&gt;=WS$29,WP4&lt;&gt;"",WR4&gt;=WS$33,WR4&lt;&gt;"")),"Excellence",IF(I4="P","Worlds Team",IF(F4="P","National Team","")))))</f>
        <v>Excellence</v>
      </c>
      <c r="I4" s="3" t="str">
        <f t="shared" ref="I4:I24" si="4">IF(OR(AND(AO4&gt;=AY$28,AO4&lt;&gt;"",AQ4&gt;=AY$32,AQ4&lt;&gt;"",AN4=""),AND(AR4&gt;=AY$28,AR4&lt;&gt;"",AT4&gt;=AY$32,AT4&lt;&gt;"",AN4=""),AND(AV4&gt;=AY$28,AV4&lt;&gt;"",AX4&gt;=AY$32,AX4&lt;&gt;"",AN4=""),AND(BP4&gt;=BZ$28,BP4&lt;&gt;"",BR4&gt;=BZ$32,BR4&lt;&gt;"",BO4=""),AND(BS4&gt;=BZ$28,BS4&lt;&gt;"",BU4&gt;=BZ$32,BU4&lt;&gt;"",BO4=""),AND(BW4&gt;=BZ$28,BW4&lt;&gt;"",BY4&gt;=BZ$32,BY4&lt;&gt;"",BO4=""),AND(CQ4&gt;=DA$28,CQ4&lt;&gt;"",CS4&gt;=DA$32,CS4&lt;&gt;"",CP4=""),AND(CT4&gt;=DA$28,CT4&lt;&gt;"",CV4&gt;=DA$32,CV4&lt;&gt;"",CP4=""),AND(CX4&gt;=DA$28,CX4&lt;&gt;"",CZ4&gt;=DA$32,CZ4&lt;&gt;"",CP4=""),AND(DX4&gt;=EK$28,DX4&lt;&gt;"",DZ4&gt;=EK$32,DZ4&lt;&gt;""),AND(EA4&gt;=EK$28,EA4&lt;&gt;"",EC4&gt;=EK$32,EC4&lt;&gt;""),AND(EE4&gt;=EK$28,EE4&lt;&gt;"",EG4&gt;=EK$32,EG4&lt;&gt;""),AND(EH4&gt;=EK$28,EH4&lt;&gt;"",EJ4&gt;=EK$32,EJ4&lt;&gt;""),AND(FF4&gt;=FS$28,FF4&lt;&gt;"",FH4&gt;=FS$32,FH4&lt;&gt;""),AND(FI4&gt;=FS$28,FI4&lt;&gt;"",FK4&gt;=FS$32,FK4&lt;&gt;""),AND(FM4&gt;=FS$28,FM4&lt;&gt;"",FO4&gt;=FS$32,FO4&lt;&gt;""),AND(FP4&gt;=FS$28,FP4&lt;&gt;"",FR4&gt;=FS$32,FR4&lt;&gt;""),AND(GN4&gt;=HA$28,GN4&lt;&gt;"",GP4&gt;=HA$32,GP4&lt;&gt;""),AND(GQ4&gt;=HA$28,GQ4&lt;&gt;"",GS4&gt;=HA$32,GS4&lt;&gt;""),AND(GU4&gt;=HA$28,GU4&lt;&gt;"",GW4&gt;=HA$32,GW4&lt;&gt;""),AND(GX4&gt;=HA$28,GX4&lt;&gt;"",GZ4&gt;=HA$32,GZ4&lt;&gt;""),AND(HV4&gt;=II$28,HV4&lt;&gt;"",HX4&gt;=II$32,HX4&lt;&gt;""),AND(HY4&gt;=II$28,HY4&lt;&gt;"",IA4&gt;=II$32,IA4&lt;&gt;""),AND(IC4&gt;=II$28,IC4&lt;&gt;"",IE4&gt;=II$32,IE4&lt;&gt;""),AND(IF4&gt;=II$28,IF4&lt;&gt;"",IH4&gt;=II$32,IH4&lt;&gt;""),AND(JD4&gt;=JQ$28,JD4&lt;&gt;"",JF4&gt;=JQ$32,JF4&lt;&gt;""),AND(JG4&gt;=JQ$28,JG4&lt;&gt;"",JI4&gt;=JQ$32,JI4&lt;&gt;""),AND(JK4&gt;=JQ$28,JK4&lt;&gt;"",JM4&gt;=JQ$32,JM4&lt;&gt;""),AND(JN4&gt;=JQ$28,JN4&lt;&gt;"",JP4&gt;=JQ$32,JP4&lt;&gt;""),AND(KL4&gt;=KY$28,KL4&lt;&gt;"",KN4&gt;=KY$32,KN4&lt;&gt;""),AND(KO4&gt;=KY$28,KO4&lt;&gt;"",KQ4&gt;=KY$32,KQ4&lt;&gt;""),AND(KS4&gt;=KY$28,KS4&lt;&gt;"",KU4&gt;=KY$32,KU4&lt;&gt;""),AND(KV4&gt;=KY$28,KV4&lt;&gt;"",KX4&gt;=KY$32,KX4&lt;&gt;""),AND(LT4&gt;=MG$28,LT4&lt;&gt;"",LV4&gt;=MG$32,LV4&lt;&gt;""),AND(LW4&gt;=MG$28,LW4&lt;&gt;"",LY4&gt;=MG$32,LY4&lt;&gt;""),AND(MA4&gt;=MG$28,MA4&lt;&gt;"",MC4&gt;=MG$32,MC4&lt;&gt;""),AND(MD4&gt;=MG$28,MD4&lt;&gt;"",MF4&gt;=MG$32,MF4&lt;&gt;""),AND(NB4&gt;=NO$28,NB4&lt;&gt;"",ND4&gt;=NO$32,ND4&lt;&gt;""),AND(NE4&gt;=NO$28,NE4&lt;&gt;"",NG4&gt;=NO$32,NG4&lt;&gt;""),AND(NI4&gt;=NO$28,NI4&lt;&gt;"",NK4&gt;=NO$32,NK4&lt;&gt;""),AND(NL4&gt;=NO$28,NL4&lt;&gt;"",NN4&gt;=NO$32,NN4&lt;&gt;""),AND(OJ4&gt;=OW$28,OJ4&lt;&gt;"",OL4&gt;=OW$32,OL4&lt;&gt;""),AND(OM4&gt;=OW$28,OM4&lt;&gt;"",OO4&gt;=OW$32,OO4&lt;&gt;""),AND(OQ4&gt;=OW$28,OQ4&lt;&gt;"",OS4&gt;=OW$32,OS4&lt;&gt;""),AND(OT4&gt;=OW$28,OT4&lt;&gt;"",OV4&gt;=OW$32,OV4&lt;&gt;""),AND(PR4&gt;=QE$28,PR4&lt;&gt;"",PT4&gt;=QE$32,PT4&lt;&gt;""),AND(PU4&gt;=QE$28,PU4&lt;&gt;"",PW4&gt;=QE$32,PW4&lt;&gt;""),AND(PY4&gt;=QE$28,PY4&lt;&gt;"",QA4&gt;=QE$32,QA4&lt;&gt;""),AND(QB4&gt;=QE$28,QB4&lt;&gt;"",QD4&gt;=QE$32,QD4&lt;&gt;""),AND(QZ4&gt;=RM$28,QZ4&lt;&gt;"",RB4&gt;=RM$32,RB4&lt;&gt;""),AND(RC4&gt;=RM$28,RC4&lt;&gt;"",RE4&gt;=RM$32,RE4&lt;&gt;""),AND(RG4&gt;=RM$28,RG4&lt;&gt;"",RI4&gt;=RM$32,RI4&lt;&gt;""),AND(RJ4&gt;=RM$28,RJ4&lt;&gt;"",RL4&gt;=RM$32,RL4&lt;&gt;""),AND(SH4&gt;=SU$28,SH4&lt;&gt;"",SJ4&gt;=SU$32,SJ4&lt;&gt;""),AND(SK4&gt;=SU$28,SK4&lt;&gt;"",SM4&gt;=SU$32,SM4&lt;&gt;""),AND(SO4&gt;=SU$28,SO4&lt;&gt;"",SQ4&gt;=SU$32,SQ4&lt;&gt;""),AND(SR4&gt;=SU$28,SR4&lt;&gt;"",ST4&gt;=SU$32,ST4&lt;&gt;""),AND(TP4&gt;=UC$28,TP4&lt;&gt;"",TR4&gt;=UC$32,TR4&lt;&gt;""),AND(TS4&gt;=UC$28,TS4&lt;&gt;"",TU4&gt;=UC$32,TU4&lt;&gt;""),AND(TW4&gt;=UC$28,TW4&lt;&gt;"",TY4&gt;=UC$32,TYY4&lt;&gt;""),AND(TZ4&gt;=UC$28,TZ4&lt;&gt;"",UB4&gt;=UC$32,UB4&lt;&gt;""),AND(UX4&gt;=VK$28,UX4&lt;&gt;"",UZ4&gt;=VK$32,UZ4&lt;&gt;""),AND(VA4&gt;=VK$28,VA4&lt;&gt;"",VC4&gt;=VK$32,VC4&lt;&gt;""),AND(VE4&gt;=VK$28,VE4&lt;&gt;"",VG4&gt;=VK$32,VG4&lt;&gt;""),AND(VH4&gt;=VK$28,VH4&lt;&gt;"",VJ4&gt;=VK$32,VJ4&lt;&gt;""),AND(WF4&gt;=WS$28,WF4&lt;&gt;"",WH4&gt;=WS$32,WH4&lt;&gt;""),AND(WI4&gt;=WS$28,WI4&lt;&gt;"",WK4&gt;=WS$32,WK4&lt;&gt;""),AND(WM4&gt;=WS$28,WM4&lt;&gt;"",WO4&gt;=WS$32,WO4&lt;&gt;""),AND(WP4&gt;=WS$28,WP4&lt;&gt;"",WR4&gt;=WS$32,WR4&lt;&gt;"")),"P","")</f>
        <v>P</v>
      </c>
      <c r="J4" s="8">
        <f>IF(COUNT(AQ4,AT4,BR4,BU4,CS4,CV4)&gt;0,LARGE((AQ4,AT4,BR4,BU4,CS4,CV4),1),0)</f>
        <v>59.32</v>
      </c>
      <c r="K4" s="8" t="str">
        <f t="shared" ref="K4:K24" si="5">IF(J4="","",IF(OR(J4=CS4,J4=CV4),$CA$1,IF(OR(J4=BR4,J4=BU4),$AZ$1,IF(OR(J4=AQ4,J4=AT4),$Y$1,""))))</f>
        <v>2024 3rd Domestic Trial</v>
      </c>
      <c r="L4" s="8">
        <f>IF(COUNT(AQ4,AT4,BR4,BU4,CS4,CV4)&gt;1,LARGE((AQ4,AT4,BR4,BU4,CS4,CV4),2),0)</f>
        <v>58.97999999999999</v>
      </c>
      <c r="M4" s="8" t="str">
        <f t="shared" ref="M4:M24" si="6">IF(L4="","",IF(OR(L4=CS4,L4=CV4),$CA$1,IF(OR(L4=BR4,L4=BU4),$AZ$1,IF(OR(L4=AQ4,L4=AT4),$Y$1,""))))</f>
        <v>2024 3rd Domestic Trial</v>
      </c>
      <c r="N4" s="8">
        <f>IF(COUNT(AQ4,AT4,BR4,BU4,CS4,CV4)&gt;2,LARGE((AQ4,AT4,BR4,BU4,CS4,CV4),3),0)</f>
        <v>58.97</v>
      </c>
      <c r="O4" s="8" t="str">
        <f t="shared" ref="O4:O24" si="7">IF(N4="","",IF(OR(N4=CS4,N4=CV4),$CA$1,IF(OR(N4=BR4,N4=BU4),$AZ$1,IF(OR(N4=AQ4,N4=AT4),$Y$1,""))))</f>
        <v>2024 Elite Canada</v>
      </c>
      <c r="P4" s="8">
        <f t="shared" ref="P4:P24" si="8">IF(MAX(AX4,BY4,CZ4)&gt;0,MAX(AX4,BY4,CZ4),0)</f>
        <v>59.47</v>
      </c>
      <c r="Q4" s="8" t="str">
        <f t="shared" ref="Q4:Q24" si="9">IF(P4="","",IF(P4=CZ4,$CA$1,IF(P4=BY4,$AZ$1,IF(P4=AX4,$Y$1,""))))</f>
        <v>2024 3rd Domestic Trial</v>
      </c>
      <c r="R4" s="8">
        <f t="shared" ref="R4:R24" si="10">IF(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&gt;0,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,0)</f>
        <v>16.2</v>
      </c>
      <c r="S4" s="8" t="str">
        <f t="shared" ref="S4:S24" si="11">IF(R4=0,"",IF(OR(R4=CQ4,R4=CT4,R4=CX4),$CA$1,IF(OR(R4=BP4,R4=BS4,R4=BW4),$AZ$1,IF(OR(R4=AO4,R4=AR4,R4=AV4),$Y$1,IF(OR(R4=WF4,R4=WI4,R4=WM4,R4=WP4),$VL$1,IF(OR(R4=UX4,R4=VA4,R4=VE4,R4=VH4),$UD$1,IF(OR(R4=TP4,R4=TS4,R4=TW4,R4=TZ4),$SV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)))</f>
        <v>2024 3rd Domestic Trial</v>
      </c>
      <c r="T4" s="8">
        <f t="shared" ref="T4:T24" si="12">IF(MAX(IF(AO4&gt;=$AY$27,AP4,0),IF(AR4&gt;=$AY$27,AS4,0),IF(AV4&gt;=$AY$27,AW4,0),IF(BP4&gt;=$BZ$27,BQ4,0),IF(BS4&gt;=$BZ$27,BT4,0),IF(BW4&gt;=$BZ$27,BX4,0),IF(CQ4&gt;=$DA$27,CR4,0),IF(CT4&gt;=$DA$27,CU4,0),IF(CX4&gt;=$DA$27,CY4,0),IF(DX4&gt;=$EK$27,DY4,0),IF(EA4&gt;=$EK$27,EB4,0),IF(EE4&gt;=$EK$27,EF4,0),IF(EH4&gt;=$EK$27,EI4,0),IF(FF4&gt;=$FS$27,FG4,0),IF(FI4&gt;=$FS$27,FJ4,0),IF(FM4&gt;=$FS$27,FN4,0),IF(FP4&gt;=$FS$27,FQ4,0),IF(GN4&gt;=$HA$27,GO4,0),IF(GQ4&gt;=$HA$27,GR4,0),IF(GU4&gt;=$HA$27,GV4,0),IF(GX4&gt;=$HA$27,GY4,0),IF(HV4&gt;=$II$27,HW4,0),IF(HY4&gt;=$II$27,HZ4,0),IF(IC4&gt;=$II$27,ID4,0),IF(IF4&gt;=$II$27,IG4,0),IF(JD4&gt;=$JQ$27,JE4,0),IF(JG4&gt;=$JQ$27,JH4,0),IF(JK4&gt;=$JQ$27,JL4,0),IF(JN4&gt;=$JQ$27,JO4,0),IF(KL4&gt;=$KY$27,KM4,0),IF(KO4&gt;=$KY$27,KP4,0),IF(KS4&gt;=$KY$27,KT4,0),IF(KV4&gt;=$KY$27,KW4,0),IF(LT4&gt;=$MG$27,LU4,0),IF(LW4&gt;=$MG$27,LX4,0),IF(MA4&gt;=$MG$27,MB4,0),IF(MD4&gt;=$MG$27,ME4,0),IF(NB4&gt;=$NO$27,NC4,0),IF(NE4&gt;=$NO$27,NF4,0),IF(NI4&gt;=$NO$27,NJ4,0),IF(NL4&gt;=$NO$27,NM4,0),IF(OJ4&gt;=$OW$27,OK4,0),IF(OM4&gt;=$OW$27,ON4,0),IF(OQ4&gt;=$OW$27,OR4,0),IF(OT4&gt;=$OW$27,OU4,0),IF(PR4&gt;=$QE$27,PS4,0),IF(PU4&gt;=$QE$27,PV4,0),IF(PY4&gt;=$QE$27,PZ4,0),IF(QB4&gt;=$QE$27,QC4,0),IF(QZ4&gt;=$RM$27,RA4,0),IF(RC4&gt;=$RM$27,RD4,0),IF(RG4&gt;=$RM$27,RH4,0),IF(RJ4&gt;=$RM$27,RK4,0),IF(SH4&gt;=$SU$27,SI4,0),IF(SK4&gt;=$SU$27,SL4,0),IF(SO4&gt;=$SU$27,SP4,0),IF(SR4&gt;=$SU$27,SS4,0),IF(TP4&gt;=$UC$27,TQ4,0),IF(TS4&gt;=$UC$27,TT4,0),IF(TW4&gt;=$UC$27,TX4,0),IF(TZ4&gt;=$UC$27,UA4,0),IF(UX4&gt;=$VK$27,UY4,0),IF(VA4&gt;=$VK$27,VB4,0),IF(VE4&gt;=$VK$27,VF4,0),IF(VH4&gt;=$VK$27,VI4,0),IF(WF4&gt;=$WS$27,WG4,0),IF(WI4&gt;=$WS$27,WJ4,0),IF(WM4&gt;=$WS$27,WN4,0),IF(WP4&gt;=$WS$27,WQ4,0))&gt;0,MAX(IF(AO4&gt;=$AY$27,AP4,0),IF(AR4&gt;=$AY$27,AS4,0),IF(AV4&gt;=$AY$27,AW4,0),IF(BP4&gt;=$BZ$27,BQ4,0),IF(BS4&gt;=$BZ$27,BT4,0),IF(BW4&gt;=$BZ$27,BX4,0),IF(CQ4&gt;=$DA$27,CR4,0),IF(CT4&gt;=$DA$27,CU4,0),IF(CX4&gt;=$DA$27,CY4,0),IF(DX4&gt;=$EK$27,DY4,0),IF(EA4&gt;=$EK$27,EB4,0),IF(EE4&gt;=$EK$27,EF4,0),IF(EH4&gt;=$EK$27,EI4,0),IF(FF4&gt;=$FS$27,FG4,0),IF(FI4&gt;=$FS$27,FJ4,0),IF(FM4&gt;=$FS$27,FN4,0),IF(FP4&gt;=$FS$27,FQ4,0),IF(GN4&gt;=$HA$27,GO4,0),IF(GQ4&gt;=$HA$27,GR4,0),IF(GU4&gt;=$HA$27,GV4,0),IF(GX4&gt;=$HA$27,GY4,0),IF(HV4&gt;=$II$27,HW4,0),IF(HY4&gt;=$II$27,HZ4,0),IF(IC4&gt;=$II$27,ID4,0),IF(IF4&gt;=$II$27,IG4,0),IF(JD4&gt;=$JQ$27,JE4,0),IF(JG4&gt;=$JQ$27,JH4,0),IF(JK4&gt;=$JQ$27,JL4,0),IF(JN4&gt;=$JQ$27,JO4,0),IF(KL4&gt;=$KY$27,KM4,0),IF(KO4&gt;=$KY$27,KP4,0),IF(KS4&gt;=$KY$27,KT4,0),IF(KV4&gt;=$KY$27,KW4,0),IF(LT4&gt;=$MG$27,LU4,0),IF(LW4&gt;=$MG$27,LX4,0),IF(MA4&gt;=$MG$27,MB4,0),IF(MD4&gt;=$MG$27,ME4,0),IF(NB4&gt;=$NO$27,NC4,0),IF(NE4&gt;=$NO$27,NF4,0),IF(NI4&gt;=$NO$27,NJ4,0),IF(NL4&gt;=$NO$27,NM4,0),IF(OJ4&gt;=$OW$27,OK4,0),IF(OM4&gt;=$OW$27,ON4,0),IF(OQ4&gt;=$OW$27,OR4,0),IF(OT4&gt;=$OW$27,OU4,0),IF(PR4&gt;=$QE$27,PS4,0),IF(PU4&gt;=$QE$27,PV4,0),IF(PY4&gt;=$QE$27,PZ4,0),IF(QB4&gt;=$QE$27,QC4,0),IF(QZ4&gt;=$RM$27,RA4,0),IF(RC4&gt;=$RM$27,RD4,0),IF(RG4&gt;=$RM$27,RH4,0),IF(RJ4&gt;=$RM$27,RK4,0),IF(SH4&gt;=$SU$27,SI4,0),IF(SK4&gt;=$SU$27,SL4,0),IF(SO4&gt;=$SU$27,SP4,0),IF(SR4&gt;=$SU$27,SS4,0),IF(TP4&gt;=$UC$27,TQ4,0),IF(TS4&gt;=$UC$27,TT4,0),IF(TW4&gt;=$UC$27,TX4,0),IF(TZ4&gt;=$UC$27,UA4,0),IF(UX4&gt;=$VK$27,UY4,0),IF(VA4&gt;=$VK$27,VB4,0),IF(VE4&gt;=$VK$27,VF4,0),IF(VH4&gt;=$VK$27,VI4,0),IF(WF4&gt;=$WS$27,WG4,0),IF(WI4&gt;=$WS$27,WJ4,0),IF(WM4&gt;=$WS$27,WN4,0),IF(WP4&gt;=$WS$27,WQ4,0)),0)</f>
        <v>16.88</v>
      </c>
      <c r="U4" s="8" t="str">
        <f t="shared" ref="U4:U24" si="13">IF(T4=0,"",IF(OR(T4=CR4,T4=CU4,T4=CY4),$CA$1,IF(OR(T4=BQ4,T4=BT4,T4=BX4),$AZ$1,IF(OR(T4=AP4,T4=AS4,T4=AW4),$Y$1,IF(OR(T4=WG4,T4=WJ4,T4=WN4,T4=WQ4),$VL$1,IF(OR(T4=UY4,T4=VB4,T4=VF4,T4=VI4),$UD$1,IF(OR(T4=TQ4,T4=TT4,T4=TX4,T4=UA4),$SV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)))</f>
        <v>2024 3rd Domestic Trial</v>
      </c>
      <c r="V4" s="8" t="str">
        <f t="shared" ref="V4:V24" si="14">IF(MAX(DB4,DC4)&gt;0,MAX(DB4,DC4),"")</f>
        <v/>
      </c>
      <c r="W4" s="11" t="str">
        <f t="shared" ref="W4:W24" si="15">IF(V4="","",IF(V4=DB4,"("&amp;DB$2&amp;")",IF(V4=DC4,"("&amp;DC$2&amp;")")))</f>
        <v/>
      </c>
      <c r="X4" s="8" t="str">
        <f t="shared" ref="X4:X24" si="16">IF(V4="","",IF(V4=DB4,IF(V4+IF(N4="",0,N4)=WL4,$VL$1,IF(V4+IF(N4="",0,N4)=VD4,$UD$1,IF(V4+IF(N4="",0,N4)=TV4,$SV$1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))),IF(V4=DC4,IF(V4+IF(P4="",0,P4)=WO4,$VL$1,IF(V4+IF(P4="",0,P4)=VG4,$UD$1,IF(V4+IF(P4="",0,P4)=TY4,$SV$1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WR4,$VL$1,IF(V4+IF(P4="",0,P4)=VJ4,$UD$1,IF(V4+IF(P4="",0,P4)=UB4,$SV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))))))</f>
        <v/>
      </c>
      <c r="Y4" s="22">
        <v>16.600000000000001</v>
      </c>
      <c r="Z4" s="22">
        <v>9.1999999999999993</v>
      </c>
      <c r="AA4" s="22">
        <v>15.4</v>
      </c>
      <c r="AB4" s="22">
        <v>16.28</v>
      </c>
      <c r="AC4" s="22">
        <v>0</v>
      </c>
      <c r="AD4" s="22">
        <v>17.3</v>
      </c>
      <c r="AE4" s="22">
        <v>9.6999999999999993</v>
      </c>
      <c r="AF4" s="22">
        <v>15.6</v>
      </c>
      <c r="AG4" s="22">
        <v>16.37</v>
      </c>
      <c r="AH4" s="22">
        <v>0</v>
      </c>
      <c r="AI4" s="22">
        <v>17.100000000000001</v>
      </c>
      <c r="AJ4" s="22">
        <v>8.6</v>
      </c>
      <c r="AK4" s="22">
        <v>15</v>
      </c>
      <c r="AL4" s="22">
        <v>16.16</v>
      </c>
      <c r="AM4" s="22">
        <v>0</v>
      </c>
      <c r="AN4" s="27"/>
      <c r="AO4" s="38">
        <f t="shared" ref="AO4:AO24" si="17">IF(AA4&gt;0,AA4,"")</f>
        <v>15.4</v>
      </c>
      <c r="AP4" s="38">
        <f t="shared" ref="AP4:AP24" si="18">IF(AB4&gt;0,AB4,"")</f>
        <v>16.28</v>
      </c>
      <c r="AQ4" s="40">
        <f t="shared" ref="AQ4:AQ24" si="19">IF(SUM(Y4:AB4)-AC4&gt;0,SUM(Y4:AB4)-AC4,"")</f>
        <v>57.480000000000004</v>
      </c>
      <c r="AR4" s="40">
        <f t="shared" ref="AR4:AR24" si="20">IF(AF4&gt;0,AF4,"")</f>
        <v>15.6</v>
      </c>
      <c r="AS4" s="40">
        <f t="shared" ref="AS4:AS24" si="21">IF(AG4&gt;0,AG4,"")</f>
        <v>16.37</v>
      </c>
      <c r="AT4" s="40">
        <f t="shared" ref="AT4:AT24" si="22">IF(SUM(AD4:AG4)-AH4&gt;0,SUM(AD4:AG4)-AH4,"")</f>
        <v>58.97</v>
      </c>
      <c r="AU4" s="40">
        <f t="shared" ref="AU4:AU24" si="23">IF(AQ4="","",MAX(AQ4,AT4))</f>
        <v>58.97</v>
      </c>
      <c r="AV4" s="40">
        <f t="shared" ref="AV4:AV24" si="24">IF(AK4&gt;0,AK4,"")</f>
        <v>15</v>
      </c>
      <c r="AW4" s="40">
        <f t="shared" ref="AW4:AW24" si="25">IF(AL4&gt;0,AL4,"")</f>
        <v>16.16</v>
      </c>
      <c r="AX4" s="40">
        <f t="shared" ref="AX4:AX24" si="26">IF(SUM(AI4:AL4)-AM4&gt;0,SUM(AI4:AL4)-AM4,"")</f>
        <v>56.86</v>
      </c>
      <c r="AY4" s="40">
        <f t="shared" ref="AY4:AY24" si="27">IF(SUM(AU4,AX4)&gt;0,SUM(AU4,AX4),"")</f>
        <v>115.83</v>
      </c>
      <c r="AZ4" s="26">
        <v>2.58</v>
      </c>
      <c r="BA4" s="26">
        <v>2.4</v>
      </c>
      <c r="BB4" s="26">
        <v>5.0999999999999996</v>
      </c>
      <c r="BC4" s="26">
        <v>16.809999999999999</v>
      </c>
      <c r="BD4" s="26">
        <v>0</v>
      </c>
      <c r="BE4" s="26">
        <v>16.2</v>
      </c>
      <c r="BF4" s="26">
        <v>9</v>
      </c>
      <c r="BG4" s="26">
        <v>15</v>
      </c>
      <c r="BH4" s="26">
        <v>15.94</v>
      </c>
      <c r="BI4" s="26">
        <v>0</v>
      </c>
      <c r="BJ4" s="26">
        <v>16.899999999999999</v>
      </c>
      <c r="BK4" s="26">
        <v>9.8000000000000007</v>
      </c>
      <c r="BL4" s="26">
        <v>15.6</v>
      </c>
      <c r="BM4" s="26">
        <v>15.99</v>
      </c>
      <c r="BN4" s="26">
        <v>0</v>
      </c>
      <c r="BO4" s="28"/>
      <c r="BP4" s="39">
        <f t="shared" ref="BP4:BP24" si="28">IF(BB4&gt;0,BB4,"")</f>
        <v>5.0999999999999996</v>
      </c>
      <c r="BQ4" s="39">
        <f t="shared" ref="BQ4:BQ24" si="29">IF(BC4&gt;0,BC4,"")</f>
        <v>16.809999999999999</v>
      </c>
      <c r="BR4" s="11">
        <f t="shared" ref="BR4:BR24" si="30">IF(SUM(AZ4:BC4)-BD4&gt;0,SUM(AZ4:BC4)-BD4,"")</f>
        <v>26.89</v>
      </c>
      <c r="BS4" s="11">
        <f t="shared" ref="BS4:BS24" si="31">IF(BG4&gt;0,BG4,"")</f>
        <v>15</v>
      </c>
      <c r="BT4" s="11">
        <f t="shared" ref="BT4:BT24" si="32">IF(BH4&gt;0,BH4,"")</f>
        <v>15.94</v>
      </c>
      <c r="BU4" s="11">
        <f t="shared" ref="BU4:BU24" si="33">IF(SUM(BE4:BH4)-BI4&gt;0,SUM(BE4:BH4)-BI4,"")</f>
        <v>56.14</v>
      </c>
      <c r="BV4" s="11">
        <f t="shared" ref="BV4:BV24" si="34">IF(BR4="","",MAX(BR4,BU4))</f>
        <v>56.14</v>
      </c>
      <c r="BW4" s="11">
        <f t="shared" ref="BW4:BW24" si="35">IF(BL4&gt;0,BL4,"")</f>
        <v>15.6</v>
      </c>
      <c r="BX4" s="11">
        <f t="shared" ref="BX4:BX24" si="36">IF(BM4&gt;0,BM4,"")</f>
        <v>15.99</v>
      </c>
      <c r="BY4" s="11">
        <f t="shared" ref="BY4:BY24" si="37">IF(SUM(BJ4:BM4)-BN4&gt;0,SUM(BJ4:BM4)-BN4,"")</f>
        <v>58.29</v>
      </c>
      <c r="BZ4" s="11">
        <f t="shared" ref="BZ4:BZ24" si="38">IF(SUM(BV4,BY4)&gt;0,SUM(BV4,BY4),"")</f>
        <v>114.43</v>
      </c>
      <c r="CA4" s="22">
        <v>17.8</v>
      </c>
      <c r="CB4" s="22">
        <v>9.1</v>
      </c>
      <c r="CC4" s="22">
        <v>15.6</v>
      </c>
      <c r="CD4" s="22">
        <v>16.82</v>
      </c>
      <c r="CE4" s="22">
        <v>0</v>
      </c>
      <c r="CF4" s="22">
        <v>17.2</v>
      </c>
      <c r="CG4" s="22">
        <v>8.6999999999999993</v>
      </c>
      <c r="CH4" s="22">
        <v>16.2</v>
      </c>
      <c r="CI4" s="22">
        <v>16.88</v>
      </c>
      <c r="CJ4" s="22">
        <v>0</v>
      </c>
      <c r="CK4" s="22">
        <v>17.2</v>
      </c>
      <c r="CL4" s="22">
        <v>9.3000000000000007</v>
      </c>
      <c r="CM4" s="22">
        <v>16.2</v>
      </c>
      <c r="CN4" s="22">
        <v>16.77</v>
      </c>
      <c r="CO4" s="22">
        <v>0</v>
      </c>
      <c r="CP4" s="27"/>
      <c r="CQ4" s="38">
        <f t="shared" ref="CQ4:CQ24" si="39">IF(CC4&gt;0,CC4,"")</f>
        <v>15.6</v>
      </c>
      <c r="CR4" s="38">
        <f t="shared" ref="CR4:CR24" si="40">IF(CD4&gt;0,CD4,"")</f>
        <v>16.82</v>
      </c>
      <c r="CS4" s="40">
        <f t="shared" ref="CS4:CS24" si="41">IF(SUM(CA4:CD4)-CE4&gt;0,SUM(CA4:CD4)-CE4,"")</f>
        <v>59.32</v>
      </c>
      <c r="CT4" s="40">
        <f t="shared" ref="CT4:CT24" si="42">IF(CH4&gt;0,CH4,"")</f>
        <v>16.2</v>
      </c>
      <c r="CU4" s="40">
        <f t="shared" ref="CU4:CU24" si="43">IF(CI4&gt;0,CI4,"")</f>
        <v>16.88</v>
      </c>
      <c r="CV4" s="40">
        <f t="shared" ref="CV4:CV24" si="44">IF(SUM(CF4:CI4)-CJ4&gt;0,SUM(CF4:CI4)-CJ4,"")</f>
        <v>58.97999999999999</v>
      </c>
      <c r="CW4" s="40">
        <f t="shared" ref="CW4:CW24" si="45">IF(CS4="","",MAX(CS4,CV4))</f>
        <v>59.32</v>
      </c>
      <c r="CX4" s="40">
        <f t="shared" ref="CX4:CX24" si="46">IF(CM4&gt;0,CM4,"")</f>
        <v>16.2</v>
      </c>
      <c r="CY4" s="40">
        <f t="shared" ref="CY4:CY24" si="47">IF(CN4&gt;0,CN4,"")</f>
        <v>16.77</v>
      </c>
      <c r="CZ4" s="40">
        <f t="shared" ref="CZ4:CZ24" si="48">IF(SUM(CK4:CN4)-CO4&gt;0,SUM(CK4:CN4)-CO4,"")</f>
        <v>59.47</v>
      </c>
      <c r="DA4" s="40">
        <f t="shared" ref="DA4:DA24" si="49">IF(SUM(CW4,CZ4)&gt;0,SUM(CW4,CZ4),"")</f>
        <v>118.78999999999999</v>
      </c>
      <c r="DB4" s="51" t="str">
        <f t="shared" ref="DB4:DB24" si="50">IF(MAX(ED4,FL4,GT4,IB4,JJ4,KR4,LZ4,NH4,OP4,PX4,RF4,SN4,TV4,VD4,WL4)-IF(N4="",0,N4)&gt;0.001,MAX(ED4,FL4,GT4,IB4,JJ4,KR4,LZ4,NH4,OP4,PX4,RF4,SN4,TV4,VD4,WL4)-IF(N4="",0,N4),"")</f>
        <v/>
      </c>
      <c r="DC4" s="51" t="str">
        <f t="shared" ref="DC4:DC24" si="51">IF(MAX(EG4,EJ4,FO4,FR4,GW4,GZ4,IE4,IH4,JM4,JP4,KU4,KX4,MC4,MF4,NK4,NN4,OS4,OV4,QA4,QD4,RI4,RL4,SQ4,ST4,TY4,UB4,VG4,VJ4,WO4,WR4)-IF(P4="",0,P4)&gt;0.001,MAX(EG4,EJ4,FO4,FR4,GW4,GZ4,IE4,IH4,JM4,JP4,KU4,KX4,MC4,MF4,NK4,NN4,OS4,OV4,QA4,QD4,RI4,RL4,SQ4,ST4,TY4,UB4,VG4,VJ4,WO4,WR4)-IF(P4="",0,P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 t="str">
        <f t="shared" ref="DX4:DX24" si="52">IF(DF4&gt;0,DF4,"")</f>
        <v/>
      </c>
      <c r="DY4" s="40" t="str">
        <f t="shared" ref="DY4:DY24" si="53">IF(DG4&gt;0,DG4,"")</f>
        <v/>
      </c>
      <c r="DZ4" s="40" t="str">
        <f t="shared" ref="DZ4:DZ24" si="54">IF(SUM(DD4:DG4)-DH4&gt;0,SUM(DD4:DG4)-DH4,"")</f>
        <v/>
      </c>
      <c r="EA4" s="40" t="str">
        <f t="shared" ref="EA4:EA24" si="55">IF(DK4&gt;0,DK4,"")</f>
        <v/>
      </c>
      <c r="EB4" s="40" t="str">
        <f t="shared" ref="EB4:EB24" si="56">IF(DL4&gt;0,DL4,"")</f>
        <v/>
      </c>
      <c r="EC4" s="40" t="str">
        <f t="shared" ref="EC4:EC24" si="57">IF(SUM(DI4:DL4)-DM4&gt;0,SUM(DI4:DL4)-DM4,"")</f>
        <v/>
      </c>
      <c r="ED4" s="40" t="str">
        <f t="shared" ref="ED4:ED24" si="58">IF(MAX(DZ4,EC4)&gt;0,MAX(DZ4,EC4),"")</f>
        <v/>
      </c>
      <c r="EE4" s="40" t="str">
        <f t="shared" ref="EE4:EE24" si="59">IF(DP4&gt;0,DP4,"")</f>
        <v/>
      </c>
      <c r="EF4" s="40" t="str">
        <f t="shared" ref="EF4:EF24" si="60">IF(DQ4&gt;0,DQ4,"")</f>
        <v/>
      </c>
      <c r="EG4" s="40" t="str">
        <f t="shared" ref="EG4:EG24" si="61">IF(SUM(DN4:DQ4)-DR4&gt;0,SUM(DN4:DQ4)-DR4,"")</f>
        <v/>
      </c>
      <c r="EH4" s="40" t="str">
        <f t="shared" ref="EH4:EH24" si="62">IF(DU4&gt;0,DU4,"")</f>
        <v/>
      </c>
      <c r="EI4" s="40" t="str">
        <f t="shared" ref="EI4:EI24" si="63">IF(DV4&gt;0,DV4,"")</f>
        <v/>
      </c>
      <c r="EJ4" s="40" t="str">
        <f t="shared" ref="EJ4:EJ24" si="64">IF(SUM(DS4:DV4)-DW4&gt;0,SUM(DS4:DV4)-DW4,"")</f>
        <v/>
      </c>
      <c r="EK4" s="40" t="str">
        <f t="shared" ref="EK4:EK24" si="65">IF(SUM(ED4,EG4,EJ4)&gt;0,SUM(ED4,EG4,EJ4),"")</f>
        <v/>
      </c>
      <c r="EL4" s="18">
        <v>14.8</v>
      </c>
      <c r="EM4" s="18">
        <v>9.1999999999999993</v>
      </c>
      <c r="EN4" s="18">
        <v>16.2</v>
      </c>
      <c r="EO4" s="18">
        <v>16.12</v>
      </c>
      <c r="EP4" s="18">
        <v>0</v>
      </c>
      <c r="EQ4" s="18">
        <v>7</v>
      </c>
      <c r="ER4" s="18">
        <v>4.5</v>
      </c>
      <c r="ES4" s="18">
        <v>9.1</v>
      </c>
      <c r="ET4" s="18">
        <v>8.34</v>
      </c>
      <c r="EU4" s="18">
        <v>0</v>
      </c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>
        <f t="shared" ref="FF4:FF24" si="66">IF(EN4&gt;0,EN4,"")</f>
        <v>16.2</v>
      </c>
      <c r="FG4" s="11">
        <f t="shared" ref="FG4:FG24" si="67">IF(EO4&gt;0,EO4,"")</f>
        <v>16.12</v>
      </c>
      <c r="FH4" s="11">
        <f t="shared" ref="FH4:FH24" si="68">IF(SUM(EL4:EO4)-EP4&gt;0,SUM(EL4:EO4)-EP4,"")</f>
        <v>56.320000000000007</v>
      </c>
      <c r="FI4" s="11">
        <f t="shared" ref="FI4:FI24" si="69">IF(ES4&gt;0,ES4,"")</f>
        <v>9.1</v>
      </c>
      <c r="FJ4" s="11">
        <f t="shared" ref="FJ4:FJ24" si="70">IF(ET4&gt;0,ET4,"")</f>
        <v>8.34</v>
      </c>
      <c r="FK4" s="11">
        <f t="shared" ref="FK4:FK24" si="71">IF(SUM(EQ4:ET4)-EU4&gt;0,SUM(EQ4:ET4)-EU4,"")</f>
        <v>28.94</v>
      </c>
      <c r="FL4" s="11">
        <f t="shared" ref="FL4:FL24" si="72">IF(MAX(FH4,FK4)&gt;0,MAX(FH4,FK4),"")</f>
        <v>56.320000000000007</v>
      </c>
      <c r="FM4" s="11" t="str">
        <f t="shared" ref="FM4:FM24" si="73">IF(EX4&gt;0,EX4,"")</f>
        <v/>
      </c>
      <c r="FN4" s="11" t="str">
        <f t="shared" ref="FN4:FN24" si="74">IF(EY4&gt;0,EY4,"")</f>
        <v/>
      </c>
      <c r="FO4" s="11" t="str">
        <f t="shared" ref="FO4:FO24" si="75">IF(SUM(EV4:EY4)-EZ4&gt;0,SUM(EV4:EY4)-EZ4,"")</f>
        <v/>
      </c>
      <c r="FP4" s="11" t="str">
        <f t="shared" ref="FP4:FP24" si="76">IF(FC4&gt;0,FC4,"")</f>
        <v/>
      </c>
      <c r="FQ4" s="11" t="str">
        <f t="shared" ref="FQ4:FQ24" si="77">IF(FD4&gt;0,FD4,"")</f>
        <v/>
      </c>
      <c r="FR4" s="11" t="str">
        <f t="shared" ref="FR4:FR24" si="78">IF(SUM(FA4:FD4)-FE4&gt;0,SUM(FA4:FD4)-FE4,"")</f>
        <v/>
      </c>
      <c r="FS4" s="11">
        <f t="shared" ref="FS4:FS24" si="79">IF(SUM(FL4,FO4,FR4)&gt;0,SUM(FL4,FO4,FR4),"")</f>
        <v>56.320000000000007</v>
      </c>
      <c r="FT4" s="17">
        <v>16.600000000000001</v>
      </c>
      <c r="FU4" s="17">
        <v>9.3000000000000007</v>
      </c>
      <c r="FV4" s="17">
        <v>15</v>
      </c>
      <c r="FW4" s="17">
        <v>16.14</v>
      </c>
      <c r="FX4" s="17">
        <v>0</v>
      </c>
      <c r="FY4" s="17">
        <v>16.3</v>
      </c>
      <c r="FZ4" s="17">
        <v>9.4</v>
      </c>
      <c r="GA4" s="17">
        <v>15.6</v>
      </c>
      <c r="GB4" s="17">
        <v>16.2</v>
      </c>
      <c r="GC4" s="17">
        <v>0</v>
      </c>
      <c r="GD4" s="17"/>
      <c r="GE4" s="17"/>
      <c r="GF4" s="17"/>
      <c r="GG4" s="17"/>
      <c r="GH4" s="17"/>
      <c r="GI4" s="17">
        <v>1.6</v>
      </c>
      <c r="GJ4" s="17">
        <v>0.9</v>
      </c>
      <c r="GK4" s="17">
        <v>2</v>
      </c>
      <c r="GL4" s="17">
        <v>1.79</v>
      </c>
      <c r="GM4" s="17">
        <v>0</v>
      </c>
      <c r="GN4" s="40">
        <f t="shared" ref="GN4:GN24" si="80">IF(FV4&gt;0,FV4,"")</f>
        <v>15</v>
      </c>
      <c r="GO4" s="40">
        <f t="shared" ref="GO4:GO24" si="81">IF(FW4&gt;0,FW4,"")</f>
        <v>16.14</v>
      </c>
      <c r="GP4" s="40">
        <f t="shared" ref="GP4:GP24" si="82">IF(SUM(FT4:FW4)-FX4&gt;0,SUM(FT4:FW4)-FX4,"")</f>
        <v>57.040000000000006</v>
      </c>
      <c r="GQ4" s="40">
        <f t="shared" ref="GQ4:GQ24" si="83">IF(GA4&gt;0,GA4,"")</f>
        <v>15.6</v>
      </c>
      <c r="GR4" s="40">
        <f t="shared" ref="GR4:GR24" si="84">IF(GB4&gt;0,GB4,"")</f>
        <v>16.2</v>
      </c>
      <c r="GS4" s="40">
        <f t="shared" ref="GS4:GS24" si="85">IF(SUM(FY4:GB4)-GC4&gt;0,SUM(FY4:GB4)-GC4,"")</f>
        <v>57.5</v>
      </c>
      <c r="GT4" s="40">
        <f t="shared" ref="GT4:GT24" si="86">IF(MAX(GP4,GS4)&gt;0,MAX(GP4,GS4),"")</f>
        <v>57.5</v>
      </c>
      <c r="GU4" s="40" t="str">
        <f t="shared" ref="GU4:GU24" si="87">IF(GF4&gt;0,GF4,"")</f>
        <v/>
      </c>
      <c r="GV4" s="40" t="str">
        <f t="shared" ref="GV4:GV24" si="88">IF(GG4&gt;0,GG4,"")</f>
        <v/>
      </c>
      <c r="GW4" s="40" t="str">
        <f t="shared" ref="GW4:GW24" si="89">IF(SUM(GD4:GG4)-GH4&gt;0,SUM(GD4:GG4)-GH4,"")</f>
        <v/>
      </c>
      <c r="GX4" s="40">
        <f t="shared" ref="GX4:GX24" si="90">IF(GK4&gt;0,GK4,"")</f>
        <v>2</v>
      </c>
      <c r="GY4" s="40">
        <f t="shared" ref="GY4:GY24" si="91">IF(GL4&gt;0,GL4,"")</f>
        <v>1.79</v>
      </c>
      <c r="GZ4" s="40">
        <f t="shared" ref="GZ4:GZ24" si="92">IF(SUM(GI4:GL4)-GM4&gt;0,SUM(GI4:GL4)-GM4,"")</f>
        <v>6.29</v>
      </c>
      <c r="HA4" s="40">
        <f t="shared" ref="HA4:HA24" si="93">IF(SUM(GT4,GW4,GZ4)&gt;0,SUM(GT4,GW4,GZ4),"")</f>
        <v>63.79</v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 t="shared" ref="HV4:HV24" si="94">IF(HD4&gt;0,HD4,"")</f>
        <v/>
      </c>
      <c r="HW4" s="11" t="str">
        <f t="shared" ref="HW4:HW24" si="95">IF(HE4&gt;0,HE4,"")</f>
        <v/>
      </c>
      <c r="HX4" s="11" t="str">
        <f t="shared" ref="HX4:HX24" si="96">IF(SUM(HB4:HE4)-HF4&gt;0,SUM(HB4:HE4)-HF4,"")</f>
        <v/>
      </c>
      <c r="HY4" s="11" t="str">
        <f t="shared" ref="HY4:HY24" si="97">IF(HI4&gt;0,HI4,"")</f>
        <v/>
      </c>
      <c r="HZ4" s="11" t="str">
        <f t="shared" ref="HZ4:HZ24" si="98">IF(HJ4&gt;0,HJ4,"")</f>
        <v/>
      </c>
      <c r="IA4" s="11" t="str">
        <f t="shared" ref="IA4:IA24" si="99">IF(SUM(HG4:HJ4)-HK4&gt;0,SUM(HG4:HJ4)-HK4,"")</f>
        <v/>
      </c>
      <c r="IB4" s="11" t="str">
        <f t="shared" ref="IB4:IB24" si="100">IF(MAX(HX4,IA4)&gt;0,MAX(HX4,IA4),"")</f>
        <v/>
      </c>
      <c r="IC4" s="11" t="str">
        <f t="shared" ref="IC4:IC24" si="101">IF(HN4&gt;0,HN4,"")</f>
        <v/>
      </c>
      <c r="ID4" s="11" t="str">
        <f t="shared" ref="ID4:ID24" si="102">IF(HO4&gt;0,HO4,"")</f>
        <v/>
      </c>
      <c r="IE4" s="11" t="str">
        <f t="shared" ref="IE4:IE24" si="103">IF(SUM(HL4:HO4)-HP4&gt;0,SUM(HL4:HO4)-HP4,"")</f>
        <v/>
      </c>
      <c r="IF4" s="11" t="str">
        <f t="shared" ref="IF4:IF24" si="104">IF(HS4&gt;0,HS4,"")</f>
        <v/>
      </c>
      <c r="IG4" s="11" t="str">
        <f t="shared" ref="IG4:IG24" si="105">IF(HT4&gt;0,HT4,"")</f>
        <v/>
      </c>
      <c r="IH4" s="11" t="str">
        <f t="shared" ref="IH4:IH24" si="106">IF(SUM(HQ4:HT4)-HU4&gt;0,SUM(HQ4:HT4)-HU4,"")</f>
        <v/>
      </c>
      <c r="II4" s="11" t="str">
        <f t="shared" ref="II4:II24" si="107">IF(SUM(IB4,IE4,IH4)&gt;0,SUM(IB4,IE4,IH4),"")</f>
        <v/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 t="shared" ref="JD4:JD24" si="108">IF(IL4&gt;0,IL4,"")</f>
        <v/>
      </c>
      <c r="JE4" s="40" t="str">
        <f t="shared" ref="JE4:JE24" si="109">IF(IM4&gt;0,IM4,"")</f>
        <v/>
      </c>
      <c r="JF4" s="40" t="str">
        <f t="shared" ref="JF4:JF24" si="110">IF(SUM(IJ4:IM4)-IN4&gt;0,SUM(IJ4:IM4)-IN4,"")</f>
        <v/>
      </c>
      <c r="JG4" s="40" t="str">
        <f t="shared" ref="JG4:JG24" si="111">IF(IQ4&gt;0,IQ4,"")</f>
        <v/>
      </c>
      <c r="JH4" s="40" t="str">
        <f t="shared" ref="JH4:JH24" si="112">IF(IR4&gt;0,IR4,"")</f>
        <v/>
      </c>
      <c r="JI4" s="40" t="str">
        <f t="shared" ref="JI4:JI24" si="113">IF(SUM(IO4:IR4)-IS4&gt;0,SUM(IO4:IR4)-IS4,"")</f>
        <v/>
      </c>
      <c r="JJ4" s="40" t="str">
        <f t="shared" ref="JJ4:JJ24" si="114">IF(MAX(JF4,JI4)&gt;0,MAX(JF4,JI4),"")</f>
        <v/>
      </c>
      <c r="JK4" s="40" t="str">
        <f t="shared" ref="JK4:JK24" si="115">IF(IV4&gt;0,IV4,"")</f>
        <v/>
      </c>
      <c r="JL4" s="40" t="str">
        <f t="shared" ref="JL4:JL24" si="116">IF(IW4&gt;0,IW4,"")</f>
        <v/>
      </c>
      <c r="JM4" s="40" t="str">
        <f t="shared" ref="JM4:JM24" si="117">IF(SUM(IT4:IW4)-IX4&gt;0,SUM(IT4:IW4)-IX4,"")</f>
        <v/>
      </c>
      <c r="JN4" s="40" t="str">
        <f t="shared" ref="JN4:JN24" si="118">IF(JA4&gt;0,JA4,"")</f>
        <v/>
      </c>
      <c r="JO4" s="40" t="str">
        <f t="shared" ref="JO4:JO24" si="119">IF(JB4&gt;0,JB4,"")</f>
        <v/>
      </c>
      <c r="JP4" s="40" t="str">
        <f t="shared" ref="JP4:JP24" si="120">IF(SUM(IY4:JB4)-JC4&gt;0,SUM(IY4:JB4)-JC4,"")</f>
        <v/>
      </c>
      <c r="JQ4" s="40" t="str">
        <f t="shared" ref="JQ4:JQ24" si="121">IF(SUM(JJ4,JM4,JP4)&gt;0,SUM(JJ4,JM4,JP4),"")</f>
        <v/>
      </c>
      <c r="JR4" s="18">
        <v>6</v>
      </c>
      <c r="JS4" s="18">
        <v>3.7</v>
      </c>
      <c r="JT4" s="18">
        <v>6.7</v>
      </c>
      <c r="JU4" s="18">
        <v>6.96</v>
      </c>
      <c r="JV4" s="18">
        <v>0</v>
      </c>
      <c r="JW4" s="18">
        <v>15.3</v>
      </c>
      <c r="JX4" s="18">
        <v>9.5</v>
      </c>
      <c r="JY4" s="18">
        <v>15.6</v>
      </c>
      <c r="JZ4" s="18">
        <v>16.489999999999998</v>
      </c>
      <c r="KA4" s="18">
        <v>0</v>
      </c>
      <c r="KB4" s="18">
        <v>4.3</v>
      </c>
      <c r="KC4" s="18">
        <v>2.5</v>
      </c>
      <c r="KD4" s="18">
        <v>5.6</v>
      </c>
      <c r="KE4" s="18">
        <v>5.34</v>
      </c>
      <c r="KF4" s="18">
        <v>0</v>
      </c>
      <c r="KG4" s="18"/>
      <c r="KH4" s="18"/>
      <c r="KI4" s="18"/>
      <c r="KJ4" s="18"/>
      <c r="KK4" s="18"/>
      <c r="KL4" s="11">
        <f t="shared" ref="KL4:KL24" si="122">IF(JT4&gt;0,JT4,"")</f>
        <v>6.7</v>
      </c>
      <c r="KM4" s="11">
        <f t="shared" ref="KM4:KM24" si="123">IF(JU4&gt;0,JU4,"")</f>
        <v>6.96</v>
      </c>
      <c r="KN4" s="11">
        <f t="shared" ref="KN4:KN24" si="124">IF(SUM(JR4:JU4)-JV4&gt;0,SUM(JR4:JU4)-JV4,"")</f>
        <v>23.36</v>
      </c>
      <c r="KO4" s="11">
        <f t="shared" ref="KO4:KO24" si="125">IF(JY4&gt;0,JY4,"")</f>
        <v>15.6</v>
      </c>
      <c r="KP4" s="11">
        <f t="shared" ref="KP4:KP24" si="126">IF(JZ4&gt;0,JZ4,"")</f>
        <v>16.489999999999998</v>
      </c>
      <c r="KQ4" s="11">
        <f t="shared" ref="KQ4:KQ24" si="127">IF(SUM(JW4:JZ4)-KA4&gt;0,SUM(JW4:JZ4)-KA4,"")</f>
        <v>56.89</v>
      </c>
      <c r="KR4" s="11">
        <f t="shared" ref="KR4:KR24" si="128">IF(MAX(KN4,KQ4)&gt;0,MAX(KN4,KQ4),"")</f>
        <v>56.89</v>
      </c>
      <c r="KS4" s="11">
        <f t="shared" ref="KS4:KS24" si="129">IF(KD4&gt;0,KD4,"")</f>
        <v>5.6</v>
      </c>
      <c r="KT4" s="11">
        <f t="shared" ref="KT4:KT24" si="130">IF(KE4&gt;0,KE4,"")</f>
        <v>5.34</v>
      </c>
      <c r="KU4" s="11">
        <f t="shared" ref="KU4:KU24" si="131">IF(SUM(KB4:KE4)-KF4&gt;0,SUM(KB4:KE4)-KF4,"")</f>
        <v>17.739999999999998</v>
      </c>
      <c r="KV4" s="11" t="str">
        <f t="shared" ref="KV4:KV24" si="132">IF(KI4&gt;0,KI4,"")</f>
        <v/>
      </c>
      <c r="KW4" s="11" t="str">
        <f t="shared" ref="KW4:KW24" si="133">IF(KJ4&gt;0,KJ4,"")</f>
        <v/>
      </c>
      <c r="KX4" s="11" t="str">
        <f t="shared" ref="KX4:KX24" si="134">IF(SUM(KG4:KJ4)-KK4&gt;0,SUM(KG4:KJ4)-KK4,"")</f>
        <v/>
      </c>
      <c r="KY4" s="11">
        <f t="shared" ref="KY4:KY24" si="135">IF(SUM(KR4,KU4,KX4)&gt;0,SUM(KR4,KU4,KX4),"")</f>
        <v>74.63</v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 t="shared" ref="LT4:LT24" si="136">IF(LB4&gt;0,LB4,"")</f>
        <v/>
      </c>
      <c r="LU4" s="40" t="str">
        <f t="shared" ref="LU4:LU24" si="137">IF(LC4&gt;0,LC4,"")</f>
        <v/>
      </c>
      <c r="LV4" s="40" t="str">
        <f t="shared" ref="LV4:LV24" si="138">IF(SUM(KZ4:LC4)-LD4&gt;0,SUM(KZ4:LC4)-LD4,"")</f>
        <v/>
      </c>
      <c r="LW4" s="40" t="str">
        <f t="shared" ref="LW4:LW24" si="139">IF(LG4&gt;0,LG4,"")</f>
        <v/>
      </c>
      <c r="LX4" s="40" t="str">
        <f t="shared" ref="LX4:LX24" si="140">IF(LH4&gt;0,LH4,"")</f>
        <v/>
      </c>
      <c r="LY4" s="40" t="str">
        <f t="shared" ref="LY4:LY24" si="141">IF(SUM(LE4:LH4)-LI4&gt;0,SUM(LE4:LH4)-LI4,"")</f>
        <v/>
      </c>
      <c r="LZ4" s="40" t="str">
        <f t="shared" ref="LZ4:LZ24" si="142">IF(MAX(LV4,LY4)&gt;0,MAX(LV4,LY4),"")</f>
        <v/>
      </c>
      <c r="MA4" s="40" t="str">
        <f t="shared" ref="MA4:MA24" si="143">IF(LL4&gt;0,LL4,"")</f>
        <v/>
      </c>
      <c r="MB4" s="40" t="str">
        <f t="shared" ref="MB4:MB24" si="144">IF(LM4&gt;0,LM4,"")</f>
        <v/>
      </c>
      <c r="MC4" s="40" t="str">
        <f t="shared" ref="MC4:MC24" si="145">IF(SUM(LJ4:LM4)-LN4&gt;0,SUM(LJ4:LM4)-LN4,"")</f>
        <v/>
      </c>
      <c r="MD4" s="40" t="str">
        <f t="shared" ref="MD4:MD24" si="146">IF(LQ4&gt;0,LQ4,"")</f>
        <v/>
      </c>
      <c r="ME4" s="40" t="str">
        <f t="shared" ref="ME4:ME24" si="147">IF(LR4&gt;0,LR4,"")</f>
        <v/>
      </c>
      <c r="MF4" s="40" t="str">
        <f t="shared" ref="MF4:MF24" si="148">IF(SUM(LO4:LR4)-LS4&gt;0,SUM(LO4:LR4)-LS4,"")</f>
        <v/>
      </c>
      <c r="MG4" s="40" t="str">
        <f t="shared" ref="MG4:MG24" si="149"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 t="shared" ref="NB4:NB24" si="150">IF(MJ4&gt;0,MJ4,"")</f>
        <v/>
      </c>
      <c r="NC4" s="11" t="str">
        <f t="shared" ref="NC4:NC24" si="151">IF(MK4&gt;0,MK4,"")</f>
        <v/>
      </c>
      <c r="ND4" s="11" t="str">
        <f t="shared" ref="ND4:ND24" si="152">IF(SUM(MH4:MK4)-ML4&gt;0,SUM(MH4:MK4)-ML4,"")</f>
        <v/>
      </c>
      <c r="NE4" s="11" t="str">
        <f t="shared" ref="NE4:NE24" si="153">IF(MO4&gt;0,MO4,"")</f>
        <v/>
      </c>
      <c r="NF4" s="11" t="str">
        <f t="shared" ref="NF4:NF24" si="154">IF(MP4&gt;0,MP4,"")</f>
        <v/>
      </c>
      <c r="NG4" s="11" t="str">
        <f t="shared" ref="NG4:NG24" si="155">IF(SUM(MM4:MP4)-MQ4&gt;0,SUM(MM4:MP4)-MQ4,"")</f>
        <v/>
      </c>
      <c r="NH4" s="11" t="str">
        <f t="shared" ref="NH4:NH24" si="156">IF(MAX(ND4,NG4)&gt;0,MAX(ND4,NG4),"")</f>
        <v/>
      </c>
      <c r="NI4" s="11" t="str">
        <f t="shared" ref="NI4:NI24" si="157">IF(MT4&gt;0,MT4,"")</f>
        <v/>
      </c>
      <c r="NJ4" s="11" t="str">
        <f t="shared" ref="NJ4:NJ24" si="158">IF(MU4&gt;0,MU4,"")</f>
        <v/>
      </c>
      <c r="NK4" s="11" t="str">
        <f t="shared" ref="NK4:NK24" si="159">IF(SUM(MR4:MU4)-MV4&gt;0,SUM(MR4:MU4)-MV4,"")</f>
        <v/>
      </c>
      <c r="NL4" s="11" t="str">
        <f t="shared" ref="NL4:NL24" si="160">IF(MY4&gt;0,MY4,"")</f>
        <v/>
      </c>
      <c r="NM4" s="11" t="str">
        <f t="shared" ref="NM4:NM24" si="161">IF(MZ4&gt;0,MZ4,"")</f>
        <v/>
      </c>
      <c r="NN4" s="11" t="str">
        <f t="shared" ref="NN4:NN24" si="162">IF(SUM(MW4:MZ4)-NA4&gt;0,SUM(MW4:MZ4)-NA4,"")</f>
        <v/>
      </c>
      <c r="NO4" s="11" t="str">
        <f t="shared" ref="NO4:NO24" si="163"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 t="shared" ref="OJ4:OJ24" si="164">IF(NR4&gt;0,NR4,"")</f>
        <v/>
      </c>
      <c r="OK4" s="40" t="str">
        <f t="shared" ref="OK4:OK24" si="165">IF(NS4&gt;0,NS4,"")</f>
        <v/>
      </c>
      <c r="OL4" s="40" t="str">
        <f t="shared" ref="OL4:OL24" si="166">IF(SUM(NP4:NS4)-NT4&gt;0,SUM(NP4:NS4)-NT4,"")</f>
        <v/>
      </c>
      <c r="OM4" s="40" t="str">
        <f t="shared" ref="OM4:OM24" si="167">IF(NW4&gt;0,NW4,"")</f>
        <v/>
      </c>
      <c r="ON4" s="40" t="str">
        <f t="shared" ref="ON4:ON24" si="168">IF(NX4&gt;0,NX4,"")</f>
        <v/>
      </c>
      <c r="OO4" s="40" t="str">
        <f t="shared" ref="OO4:OO24" si="169">IF(SUM(NU4:NX4)-NY4&gt;0,SUM(NU4:NX4)-NY4,"")</f>
        <v/>
      </c>
      <c r="OP4" s="40" t="str">
        <f t="shared" ref="OP4:OP24" si="170">IF(MAX(OL4,OO4)&gt;0,MAX(OL4,OO4),"")</f>
        <v/>
      </c>
      <c r="OQ4" s="40" t="str">
        <f t="shared" ref="OQ4:OQ24" si="171">IF(OB4&gt;0,OB4,"")</f>
        <v/>
      </c>
      <c r="OR4" s="40" t="str">
        <f t="shared" ref="OR4:OR24" si="172">IF(OC4&gt;0,OC4,"")</f>
        <v/>
      </c>
      <c r="OS4" s="40" t="str">
        <f t="shared" ref="OS4:OS24" si="173">IF(SUM(NZ4:OC4)-OD4&gt;0,SUM(NZ4:OC4)-OD4,"")</f>
        <v/>
      </c>
      <c r="OT4" s="40" t="str">
        <f t="shared" ref="OT4:OT24" si="174">IF(OG4&gt;0,OG4,"")</f>
        <v/>
      </c>
      <c r="OU4" s="40" t="str">
        <f t="shared" ref="OU4:OU24" si="175">IF(OH4&gt;0,OH4,"")</f>
        <v/>
      </c>
      <c r="OV4" s="40" t="str">
        <f t="shared" ref="OV4:OV24" si="176">IF(SUM(OE4:OH4)-OI4&gt;0,SUM(OE4:OH4)-OI4,"")</f>
        <v/>
      </c>
      <c r="OW4" s="40" t="str">
        <f t="shared" ref="OW4:OW24" si="177"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 t="shared" ref="PR4:PR24" si="178">IF(OZ4&gt;0,OZ4,"")</f>
        <v/>
      </c>
      <c r="PS4" s="11" t="str">
        <f t="shared" ref="PS4:PS24" si="179">IF(PA4&gt;0,PA4,"")</f>
        <v/>
      </c>
      <c r="PT4" s="11" t="str">
        <f t="shared" ref="PT4:PT24" si="180">IF(SUM(OX4:PA4)-PB4&gt;0,SUM(OX4:PA4)-PB4,"")</f>
        <v/>
      </c>
      <c r="PU4" s="11" t="str">
        <f t="shared" ref="PU4:PU24" si="181">IF(PE4&gt;0,PE4,"")</f>
        <v/>
      </c>
      <c r="PV4" s="11" t="str">
        <f t="shared" ref="PV4:PV24" si="182">IF(PF4&gt;0,PF4,"")</f>
        <v/>
      </c>
      <c r="PW4" s="11" t="str">
        <f t="shared" ref="PW4:PW24" si="183">IF(SUM(PC4:PF4)-PG4&gt;0,SUM(PC4:PF4)-PG4,"")</f>
        <v/>
      </c>
      <c r="PX4" s="11" t="str">
        <f t="shared" ref="PX4:PX24" si="184">IF(MAX(PT4,PW4)&gt;0,MAX(PT4,PW4),"")</f>
        <v/>
      </c>
      <c r="PY4" s="11" t="str">
        <f t="shared" ref="PY4:PY24" si="185">IF(PJ4&gt;0,PJ4,"")</f>
        <v/>
      </c>
      <c r="PZ4" s="11" t="str">
        <f t="shared" ref="PZ4:PZ24" si="186">IF(PK4&gt;0,PK4,"")</f>
        <v/>
      </c>
      <c r="QA4" s="11" t="str">
        <f t="shared" ref="QA4:QA24" si="187">IF(SUM(PH4:PK4)-PL4&gt;0,SUM(PH4:PK4)-PL4,"")</f>
        <v/>
      </c>
      <c r="QB4" s="11" t="str">
        <f t="shared" ref="QB4:QB24" si="188">IF(PO4&gt;0,PO4,"")</f>
        <v/>
      </c>
      <c r="QC4" s="11" t="str">
        <f t="shared" ref="QC4:QC24" si="189">IF(PP4&gt;0,PP4,"")</f>
        <v/>
      </c>
      <c r="QD4" s="11" t="str">
        <f t="shared" ref="QD4:QD24" si="190">IF(SUM(PM4:PP4)-PQ4&gt;0,SUM(PM4:PP4)-PQ4,"")</f>
        <v/>
      </c>
      <c r="QE4" s="11" t="str">
        <f t="shared" ref="QE4:QE24" si="191"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 t="shared" ref="QZ4:QZ24" si="192">IF(QH4&gt;0,QH4,"")</f>
        <v/>
      </c>
      <c r="RA4" s="40" t="str">
        <f t="shared" ref="RA4:RA24" si="193">IF(QI4&gt;0,QI4,"")</f>
        <v/>
      </c>
      <c r="RB4" s="40" t="str">
        <f t="shared" ref="RB4:RB24" si="194">IF(SUM(QF4:QI4)-QJ4&gt;0,SUM(QF4:QI4)-QJ4,"")</f>
        <v/>
      </c>
      <c r="RC4" s="40" t="str">
        <f t="shared" ref="RC4:RC24" si="195">IF(QM4&gt;0,QM4,"")</f>
        <v/>
      </c>
      <c r="RD4" s="40" t="str">
        <f t="shared" ref="RD4:RD24" si="196">IF(QN4&gt;0,QN4,"")</f>
        <v/>
      </c>
      <c r="RE4" s="40" t="str">
        <f t="shared" ref="RE4:RE24" si="197">IF(SUM(QK4:QN4)-QO4&gt;0,SUM(QK4:QN4)-QO4,"")</f>
        <v/>
      </c>
      <c r="RF4" s="40" t="str">
        <f t="shared" ref="RF4:RF24" si="198">IF(MAX(RB4,RE4)&gt;0,MAX(RB4,RE4),"")</f>
        <v/>
      </c>
      <c r="RG4" s="40" t="str">
        <f t="shared" ref="RG4:RG24" si="199">IF(QR4&gt;0,QR4,"")</f>
        <v/>
      </c>
      <c r="RH4" s="40" t="str">
        <f t="shared" ref="RH4:RH24" si="200">IF(QS4&gt;0,QS4,"")</f>
        <v/>
      </c>
      <c r="RI4" s="40" t="str">
        <f t="shared" ref="RI4:RI24" si="201">IF(SUM(QP4:QS4)-QT4&gt;0,SUM(QP4:QS4)-QT4,"")</f>
        <v/>
      </c>
      <c r="RJ4" s="40" t="str">
        <f t="shared" ref="RJ4:RJ24" si="202">IF(QW4&gt;0,QW4,"")</f>
        <v/>
      </c>
      <c r="RK4" s="40" t="str">
        <f t="shared" ref="RK4:RK24" si="203">IF(QX4&gt;0,QX4,"")</f>
        <v/>
      </c>
      <c r="RL4" s="40" t="str">
        <f t="shared" ref="RL4:RL24" si="204">IF(SUM(QU4:QX4)-QY4&gt;0,SUM(QU4:QX4)-QY4,"")</f>
        <v/>
      </c>
      <c r="RM4" s="40" t="str">
        <f t="shared" ref="RM4:RM24" si="205"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 t="shared" ref="SH4:SH24" si="206">IF(RP4&gt;0,RP4,"")</f>
        <v/>
      </c>
      <c r="SI4" s="11" t="str">
        <f t="shared" ref="SI4:SI24" si="207">IF(RQ4&gt;0,RQ4,"")</f>
        <v/>
      </c>
      <c r="SJ4" s="11" t="str">
        <f t="shared" ref="SJ4:SJ24" si="208">IF(SUM(RN4:RQ4)-RR4&gt;0,SUM(RN4:RQ4)-RR4,"")</f>
        <v/>
      </c>
      <c r="SK4" s="11" t="str">
        <f t="shared" ref="SK4:SK24" si="209">IF(RU4&gt;0,RU4,"")</f>
        <v/>
      </c>
      <c r="SL4" s="11" t="str">
        <f t="shared" ref="SL4:SL24" si="210">IF(RV4&gt;0,RV4,"")</f>
        <v/>
      </c>
      <c r="SM4" s="11" t="str">
        <f t="shared" ref="SM4:SM24" si="211">IF(SUM(RS4:RV4)-RW4&gt;0,SUM(RS4:RV4)-RW4,"")</f>
        <v/>
      </c>
      <c r="SN4" s="11" t="str">
        <f t="shared" ref="SN4:SN24" si="212">IF(MAX(SJ4,SM4)&gt;0,MAX(SJ4,SM4),"")</f>
        <v/>
      </c>
      <c r="SO4" s="11" t="str">
        <f t="shared" ref="SO4:SO24" si="213">IF(RZ4&gt;0,RZ4,"")</f>
        <v/>
      </c>
      <c r="SP4" s="11" t="str">
        <f t="shared" ref="SP4:SP24" si="214">IF(SA4&gt;0,SA4,"")</f>
        <v/>
      </c>
      <c r="SQ4" s="11" t="str">
        <f t="shared" ref="SQ4:SQ24" si="215">IF(SUM(RX4:SA4)-SB4&gt;0,SUM(RX4:SA4)-SB4,"")</f>
        <v/>
      </c>
      <c r="SR4" s="11" t="str">
        <f t="shared" ref="SR4:SR24" si="216">IF(SE4&gt;0,SE4,"")</f>
        <v/>
      </c>
      <c r="SS4" s="11" t="str">
        <f t="shared" ref="SS4:SS24" si="217">IF(SF4&gt;0,SF4,"")</f>
        <v/>
      </c>
      <c r="ST4" s="11" t="str">
        <f t="shared" ref="ST4:ST24" si="218">IF(SUM(SC4:SF4)-SG4&gt;0,SUM(SC4:SF4)-SG4,"")</f>
        <v/>
      </c>
      <c r="SU4" s="11" t="str">
        <f t="shared" ref="SU4:SU24" si="219">IF(SUM(SN4,SQ4,ST4)&gt;0,SUM(SN4,SQ4,ST4),"")</f>
        <v/>
      </c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17"/>
      <c r="TI4" s="17"/>
      <c r="TJ4" s="17"/>
      <c r="TK4" s="17"/>
      <c r="TL4" s="17"/>
      <c r="TM4" s="17"/>
      <c r="TN4" s="17"/>
      <c r="TO4" s="17"/>
      <c r="TP4" s="40" t="str">
        <f t="shared" ref="TP4:TP24" si="220">IF(SX4&gt;0,SX4,"")</f>
        <v/>
      </c>
      <c r="TQ4" s="40" t="str">
        <f t="shared" ref="TQ4:TQ24" si="221">IF(SY4&gt;0,SY4,"")</f>
        <v/>
      </c>
      <c r="TR4" s="40" t="str">
        <f t="shared" ref="TR4:TR24" si="222">IF(SUM(SV4:SY4)-SZ4&gt;0,SUM(SV4:SY4)-SZ4,"")</f>
        <v/>
      </c>
      <c r="TS4" s="40" t="str">
        <f t="shared" ref="TS4:TS24" si="223">IF(TC4&gt;0,TC4,"")</f>
        <v/>
      </c>
      <c r="TT4" s="40" t="str">
        <f t="shared" ref="TT4:TT24" si="224">IF(TD4&gt;0,TD4,"")</f>
        <v/>
      </c>
      <c r="TU4" s="40" t="str">
        <f t="shared" ref="TU4:TU24" si="225">IF(SUM(TA4:TD4)-TE4&gt;0,SUM(TA4:TD4)-TE4,"")</f>
        <v/>
      </c>
      <c r="TV4" s="40" t="str">
        <f t="shared" ref="TV4:TV24" si="226">IF(MAX(TR4,TU4)&gt;0,MAX(TR4,TU4),"")</f>
        <v/>
      </c>
      <c r="TW4" s="40" t="str">
        <f t="shared" ref="TW4:TW24" si="227">IF(TH4&gt;0,TH4,"")</f>
        <v/>
      </c>
      <c r="TX4" s="40" t="str">
        <f t="shared" ref="TX4:TX24" si="228">IF(TI4&gt;0,TI4,"")</f>
        <v/>
      </c>
      <c r="TY4" s="40" t="str">
        <f t="shared" ref="TY4:TY24" si="229">IF(SUM(TF4:TI4)-TJ4&gt;0,SUM(TF4:TI4)-TJ4,"")</f>
        <v/>
      </c>
      <c r="TZ4" s="40" t="str">
        <f t="shared" ref="TZ4:TZ24" si="230">IF(TM4&gt;0,TM4,"")</f>
        <v/>
      </c>
      <c r="UA4" s="40" t="str">
        <f t="shared" ref="UA4:UA24" si="231">IF(TN4&gt;0,TN4,"")</f>
        <v/>
      </c>
      <c r="UB4" s="40" t="str">
        <f t="shared" ref="UB4:UB24" si="232">IF(SUM(TK4:TN4)-TO4&gt;0,SUM(TK4:TN4)-TO4,"")</f>
        <v/>
      </c>
      <c r="UC4" s="40" t="str">
        <f t="shared" ref="UC4:UC24" si="233">IF(SUM(TV4,TY4,UB4)&gt;0,SUM(TV4,TY4,UB4),"")</f>
        <v/>
      </c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8"/>
      <c r="UQ4" s="18"/>
      <c r="UR4" s="18"/>
      <c r="US4" s="18"/>
      <c r="UT4" s="18"/>
      <c r="UU4" s="18"/>
      <c r="UV4" s="18"/>
      <c r="UW4" s="18"/>
      <c r="UX4" s="11" t="str">
        <f t="shared" ref="UX4:UX24" si="234">IF(UF4&gt;0,UF4,"")</f>
        <v/>
      </c>
      <c r="UY4" s="11" t="str">
        <f t="shared" ref="UY4:UY24" si="235">IF(UG4&gt;0,UG4,"")</f>
        <v/>
      </c>
      <c r="UZ4" s="11" t="str">
        <f t="shared" ref="UZ4:UZ24" si="236">IF(SUM(UD4:UG4)-UH4&gt;0,SUM(UD4:UG4)-UH4,"")</f>
        <v/>
      </c>
      <c r="VA4" s="11" t="str">
        <f t="shared" ref="VA4:VA24" si="237">IF(UK4&gt;0,UK4,"")</f>
        <v/>
      </c>
      <c r="VB4" s="11" t="str">
        <f t="shared" ref="VB4:VB24" si="238">IF(UL4&gt;0,UL4,"")</f>
        <v/>
      </c>
      <c r="VC4" s="11" t="str">
        <f t="shared" ref="VC4:VC24" si="239">IF(SUM(UI4:UL4)-UM4&gt;0,SUM(UI4:UL4)-UM4,"")</f>
        <v/>
      </c>
      <c r="VD4" s="11" t="str">
        <f t="shared" ref="VD4:VD24" si="240">IF(MAX(UZ4,VC4)&gt;0,MAX(UZ4,VC4),"")</f>
        <v/>
      </c>
      <c r="VE4" s="11" t="str">
        <f t="shared" ref="VE4:VE24" si="241">IF(UP4&gt;0,UP4,"")</f>
        <v/>
      </c>
      <c r="VF4" s="11" t="str">
        <f t="shared" ref="VF4:VF24" si="242">IF(UQ4&gt;0,UQ4,"")</f>
        <v/>
      </c>
      <c r="VG4" s="11" t="str">
        <f t="shared" ref="VG4:VG24" si="243">IF(SUM(UN4:UQ4)-UR4&gt;0,SUM(UN4:UQ4)-UR4,"")</f>
        <v/>
      </c>
      <c r="VH4" s="11" t="str">
        <f t="shared" ref="VH4:VH24" si="244">IF(UU4&gt;0,UU4,"")</f>
        <v/>
      </c>
      <c r="VI4" s="11" t="str">
        <f t="shared" ref="VI4:VI24" si="245">IF(UV4&gt;0,UV4,"")</f>
        <v/>
      </c>
      <c r="VJ4" s="11" t="str">
        <f t="shared" ref="VJ4:VJ24" si="246">IF(SUM(US4:UV4)-UW4&gt;0,SUM(US4:UV4)-UW4,"")</f>
        <v/>
      </c>
      <c r="VK4" s="11" t="str">
        <f t="shared" ref="VK4:VK24" si="247">IF(SUM(VD4,VG4,VJ4)&gt;0,SUM(VD4,VG4,VJ4),"")</f>
        <v/>
      </c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17"/>
      <c r="VY4" s="17"/>
      <c r="VZ4" s="17"/>
      <c r="WA4" s="17"/>
      <c r="WB4" s="17"/>
      <c r="WC4" s="17"/>
      <c r="WD4" s="17"/>
      <c r="WE4" s="17"/>
      <c r="WF4" s="40" t="str">
        <f t="shared" ref="WF4:WF24" si="248">IF(VN4&gt;0,VN4,"")</f>
        <v/>
      </c>
      <c r="WG4" s="40" t="str">
        <f t="shared" ref="WG4:WG24" si="249">IF(VO4&gt;0,VO4,"")</f>
        <v/>
      </c>
      <c r="WH4" s="40" t="str">
        <f t="shared" ref="WH4:WH24" si="250">IF(SUM(VL4:VO4)-VP4&gt;0,SUM(VL4:VO4)-VP4,"")</f>
        <v/>
      </c>
      <c r="WI4" s="40" t="str">
        <f t="shared" ref="WI4:WI24" si="251">IF(VS4&gt;0,VS4,"")</f>
        <v/>
      </c>
      <c r="WJ4" s="40" t="str">
        <f t="shared" ref="WJ4:WJ24" si="252">IF(VT4&gt;0,VT4,"")</f>
        <v/>
      </c>
      <c r="WK4" s="40" t="str">
        <f t="shared" ref="WK4:WK24" si="253">IF(SUM(VQ4:VT4)-VU4&gt;0,SUM(VQ4:VT4)-VU4,"")</f>
        <v/>
      </c>
      <c r="WL4" s="40" t="str">
        <f t="shared" ref="WL4:WL24" si="254">IF(MAX(WH4,WK4)&gt;0,MAX(WH4,WK4),"")</f>
        <v/>
      </c>
      <c r="WM4" s="40" t="str">
        <f t="shared" ref="WM4:WM24" si="255">IF(VX4&gt;0,VX4,"")</f>
        <v/>
      </c>
      <c r="WN4" s="40" t="str">
        <f t="shared" ref="WN4:WN24" si="256">IF(VY4&gt;0,VY4,"")</f>
        <v/>
      </c>
      <c r="WO4" s="40" t="str">
        <f t="shared" ref="WO4:WO24" si="257">IF(SUM(VV4:VY4)-VZ4&gt;0,SUM(VV4:VY4)-VZ4,"")</f>
        <v/>
      </c>
      <c r="WP4" s="40" t="str">
        <f t="shared" ref="WP4:WP24" si="258">IF(WC4&gt;0,WC4,"")</f>
        <v/>
      </c>
      <c r="WQ4" s="40" t="str">
        <f t="shared" ref="WQ4:WQ24" si="259">IF(WD4&gt;0,WD4,"")</f>
        <v/>
      </c>
      <c r="WR4" s="40" t="str">
        <f t="shared" ref="WR4:WR24" si="260">IF(SUM(WA4:WD4)-WE4&gt;0,SUM(WA4:WD4)-WE4,"")</f>
        <v/>
      </c>
      <c r="WS4" s="40" t="str">
        <f t="shared" ref="WS4:WS24" si="261">IF(SUM(WL4,WO4,WR4)&gt;0,SUM(WL4,WO4,WR4),"")</f>
        <v/>
      </c>
      <c r="WT4" s="26">
        <f t="shared" ref="WT4:WT24" si="262">IF($CP4="P",CA4,(CA4+AZ4)/2)</f>
        <v>10.190000000000001</v>
      </c>
      <c r="WU4" s="26">
        <f t="shared" ref="WU4:WU24" si="263">IF($CP4="P",CB4,(CB4+BA4)/2)</f>
        <v>5.75</v>
      </c>
      <c r="WV4" s="26">
        <f t="shared" ref="WV4:WV24" si="264">IF($CP4="P",CC4,(CC4+BB4)/2)</f>
        <v>10.35</v>
      </c>
      <c r="WW4" s="26">
        <f t="shared" ref="WW4:WW24" si="265">IF($CP4="P",CD4,(CD4+BC4)/2)</f>
        <v>16.814999999999998</v>
      </c>
      <c r="WX4" s="26">
        <f t="shared" ref="WX4:WX24" si="266">IF($CP4="P",CE4,(CE4+BD4)/2)</f>
        <v>0</v>
      </c>
      <c r="WY4" s="26">
        <f t="shared" ref="WY4:WY24" si="267">IF($CP4="P",CF4,(CF4+BE4)/2)</f>
        <v>16.7</v>
      </c>
      <c r="WZ4" s="26">
        <f t="shared" ref="WZ4:WZ24" si="268">IF($CP4="P",CG4,(CG4+BF4)/2)</f>
        <v>8.85</v>
      </c>
      <c r="XA4" s="26">
        <f t="shared" ref="XA4:XA24" si="269">IF($CP4="P",CH4,(CH4+BG4)/2)</f>
        <v>15.6</v>
      </c>
      <c r="XB4" s="26">
        <f t="shared" ref="XB4:XB24" si="270">IF($CP4="P",CI4,(CI4+BH4)/2)</f>
        <v>16.41</v>
      </c>
      <c r="XC4" s="26">
        <f t="shared" ref="XC4:XC24" si="271">IF($CP4="P",CJ4,(CJ4+BI4)/2)</f>
        <v>0</v>
      </c>
      <c r="XD4" s="26">
        <f t="shared" ref="XD4:XD24" si="272">IF($CP4="P",CK4,(CK4+BJ4)/2)</f>
        <v>17.049999999999997</v>
      </c>
      <c r="XE4" s="26">
        <f t="shared" ref="XE4:XE24" si="273">IF($CP4="P",CL4,(CL4+BK4)/2)</f>
        <v>9.5500000000000007</v>
      </c>
      <c r="XF4" s="26">
        <f t="shared" ref="XF4:XF24" si="274">IF($CP4="P",CM4,(CM4+BL4)/2)</f>
        <v>15.899999999999999</v>
      </c>
      <c r="XG4" s="26">
        <f t="shared" ref="XG4:XG24" si="275">IF($CP4="P",CN4,(CN4+BM4)/2)</f>
        <v>16.38</v>
      </c>
      <c r="XH4" s="26">
        <f t="shared" ref="XH4:XH24" si="276">IF($CP4="P",CO4,(CO4+BN4)/2)</f>
        <v>0</v>
      </c>
      <c r="XI4" s="28" t="s">
        <v>53</v>
      </c>
      <c r="XJ4" s="11">
        <f t="shared" ref="XJ4:XJ24" si="277">IF(WV4&gt;0,WV4,"")</f>
        <v>10.35</v>
      </c>
      <c r="XK4" s="11">
        <f t="shared" ref="XK4:XK24" si="278">IF(WW4&gt;0,WW4,"")</f>
        <v>16.814999999999998</v>
      </c>
      <c r="XL4" s="11">
        <f t="shared" ref="XL4:XL24" si="279">IF(SUM(WT4:WW4)-WX4&gt;0,SUM(WT4:WW4)-WX4,"")</f>
        <v>43.104999999999997</v>
      </c>
      <c r="XM4" s="11">
        <f t="shared" ref="XM4:XM24" si="280">IF(XA4&gt;0,XA4,"")</f>
        <v>15.6</v>
      </c>
      <c r="XN4" s="11">
        <f t="shared" ref="XN4:XN24" si="281">IF(XB4&gt;0,XB4,"")</f>
        <v>16.41</v>
      </c>
      <c r="XO4" s="11">
        <f t="shared" ref="XO4:XO24" si="282">IF(SUM(WY4:XB4)-XC4&gt;0,SUM(WY4:XB4)-XC4,"")</f>
        <v>57.56</v>
      </c>
      <c r="XP4" s="11">
        <f t="shared" ref="XP4:XP24" si="283">IF(MAX(XL4,XO4)&gt;0,MAX(XL4,XO4),"")</f>
        <v>57.56</v>
      </c>
      <c r="XQ4" s="11">
        <f t="shared" ref="XQ4:XQ24" si="284">IF(XF4&gt;0,XF4,"")</f>
        <v>15.899999999999999</v>
      </c>
      <c r="XR4" s="11">
        <f t="shared" ref="XR4:XR24" si="285">IF(XG4&gt;0,XG4,"")</f>
        <v>16.38</v>
      </c>
      <c r="XS4" s="11">
        <f t="shared" ref="XS4:XS24" si="286">IF(SUM(XD4:XG4)-XH4&gt;0,SUM(XD4:XG4)-XH4,"")</f>
        <v>58.879999999999995</v>
      </c>
      <c r="XT4" s="11">
        <f t="shared" ref="XT4:XT24" si="287">IF(SUM(XP4,XS4)&gt;0,SUM(XP4,XS4),"")</f>
        <v>116.44</v>
      </c>
    </row>
    <row r="5" spans="1:644" x14ac:dyDescent="0.2">
      <c r="A5" s="4" cm="1">
        <f t="array" ref="A5">IF(AND(H5&lt;&gt;"",H5&lt;&gt;"No DD"),SUMPRODUCT((H$4:H$25&lt;&gt;"")*(H$4:H$25&lt;&gt;"No DD")*(E$4:E$25&gt;E5))+1,IF(H5="No DD",SUMPRODUCT((H$4:H$25="No DD")*(E$4:E$25&gt;E5))+1+SUMPRODUCT((H$4:H$25&lt;&gt;"")*(H$4:H$25&lt;&gt;"No DD")),""))</f>
        <v>2</v>
      </c>
      <c r="B5" s="5" t="s">
        <v>69</v>
      </c>
      <c r="C5" s="4" t="s">
        <v>7</v>
      </c>
      <c r="D5" s="4">
        <v>2001</v>
      </c>
      <c r="E5" s="9">
        <f t="shared" si="0"/>
        <v>267.5200253510057</v>
      </c>
      <c r="F5" s="3" t="str">
        <f t="shared" si="1"/>
        <v>P</v>
      </c>
      <c r="G5" s="3" t="str">
        <f t="shared" si="2"/>
        <v>P</v>
      </c>
      <c r="H5" s="36" t="str">
        <f t="shared" si="3"/>
        <v>Merit</v>
      </c>
      <c r="I5" s="3" t="str">
        <f t="shared" si="4"/>
        <v>P</v>
      </c>
      <c r="J5" s="8">
        <f>IF(COUNT(AQ5,AT5,BR5,BU5,CS5,CV5)&gt;0,LARGE((AQ5,AT5,BR5,BU5,CS5,CV5),1),0)</f>
        <v>57.61</v>
      </c>
      <c r="K5" s="8" t="str">
        <f t="shared" si="5"/>
        <v>2024 Nationals</v>
      </c>
      <c r="L5" s="8">
        <f>IF(COUNT(AQ5,AT5,BR5,BU5,CS5,CV5)&gt;1,LARGE((AQ5,AT5,BR5,BU5,CS5,CV5),2),0)</f>
        <v>57.355000000000004</v>
      </c>
      <c r="M5" s="8" t="str">
        <f t="shared" si="6"/>
        <v>2024 Elite Canada</v>
      </c>
      <c r="N5" s="8">
        <f>IF(COUNT(AQ5,AT5,BR5,BU5,CS5,CV5)&gt;2,LARGE((AQ5,AT5,BR5,BU5,CS5,CV5),3),0)</f>
        <v>45.17</v>
      </c>
      <c r="O5" s="8" t="str">
        <f t="shared" si="7"/>
        <v>2024 3rd Domestic Trial</v>
      </c>
      <c r="P5" s="8">
        <f t="shared" si="8"/>
        <v>58.695</v>
      </c>
      <c r="Q5" s="8" t="str">
        <f t="shared" si="9"/>
        <v>2024 Elite Canada</v>
      </c>
      <c r="R5" s="8">
        <f t="shared" si="10"/>
        <v>17.3</v>
      </c>
      <c r="S5" s="8" t="str">
        <f t="shared" si="11"/>
        <v>2024 Elite Canada</v>
      </c>
      <c r="T5" s="8">
        <f t="shared" si="12"/>
        <v>17.38</v>
      </c>
      <c r="U5" s="8" t="str">
        <f t="shared" si="13"/>
        <v>2024 World Cup AZE (Feb 24)</v>
      </c>
      <c r="V5" s="8">
        <f t="shared" si="14"/>
        <v>14.010000000000005</v>
      </c>
      <c r="W5" s="11" t="str">
        <f t="shared" si="15"/>
        <v>(Prelim)</v>
      </c>
      <c r="X5" s="8" t="str">
        <f t="shared" si="16"/>
        <v>2024 World Cup POR (July 7)</v>
      </c>
      <c r="Y5" s="22">
        <v>8.5500000000000007</v>
      </c>
      <c r="Z5" s="22">
        <v>5</v>
      </c>
      <c r="AA5" s="22">
        <v>9.65</v>
      </c>
      <c r="AB5" s="22">
        <v>9.5300000000000011</v>
      </c>
      <c r="AC5" s="22">
        <v>0</v>
      </c>
      <c r="AD5" s="22">
        <v>15.05</v>
      </c>
      <c r="AE5" s="22">
        <v>9.15</v>
      </c>
      <c r="AF5" s="22">
        <v>16.5</v>
      </c>
      <c r="AG5" s="22">
        <v>16.655000000000001</v>
      </c>
      <c r="AH5" s="22">
        <v>0</v>
      </c>
      <c r="AI5" s="22">
        <v>15.3</v>
      </c>
      <c r="AJ5" s="22">
        <v>9.25</v>
      </c>
      <c r="AK5" s="22">
        <v>17.3</v>
      </c>
      <c r="AL5" s="22">
        <v>16.844999999999999</v>
      </c>
      <c r="AM5" s="22">
        <v>0</v>
      </c>
      <c r="AN5" s="27" t="s">
        <v>53</v>
      </c>
      <c r="AO5" s="38">
        <f t="shared" si="17"/>
        <v>9.65</v>
      </c>
      <c r="AP5" s="38">
        <f t="shared" si="18"/>
        <v>9.5300000000000011</v>
      </c>
      <c r="AQ5" s="40">
        <f t="shared" si="19"/>
        <v>32.730000000000004</v>
      </c>
      <c r="AR5" s="40">
        <f t="shared" si="20"/>
        <v>16.5</v>
      </c>
      <c r="AS5" s="40">
        <f t="shared" si="21"/>
        <v>16.655000000000001</v>
      </c>
      <c r="AT5" s="40">
        <f t="shared" si="22"/>
        <v>57.355000000000004</v>
      </c>
      <c r="AU5" s="40">
        <f t="shared" si="23"/>
        <v>57.355000000000004</v>
      </c>
      <c r="AV5" s="40">
        <f t="shared" si="24"/>
        <v>17.3</v>
      </c>
      <c r="AW5" s="40">
        <f t="shared" si="25"/>
        <v>16.844999999999999</v>
      </c>
      <c r="AX5" s="40">
        <f t="shared" si="26"/>
        <v>58.695</v>
      </c>
      <c r="AY5" s="40">
        <f t="shared" si="27"/>
        <v>116.05000000000001</v>
      </c>
      <c r="AZ5" s="26">
        <v>16.399999999999999</v>
      </c>
      <c r="BA5" s="26">
        <v>9.4</v>
      </c>
      <c r="BB5" s="26">
        <v>15</v>
      </c>
      <c r="BC5" s="26">
        <v>16.809999999999999</v>
      </c>
      <c r="BD5" s="26">
        <v>0</v>
      </c>
      <c r="BE5" s="26">
        <v>3.4</v>
      </c>
      <c r="BF5" s="26">
        <v>2</v>
      </c>
      <c r="BG5" s="26">
        <v>3.8</v>
      </c>
      <c r="BH5" s="26">
        <v>3.58</v>
      </c>
      <c r="BI5" s="26">
        <v>0</v>
      </c>
      <c r="BJ5" s="26">
        <v>16.399999999999999</v>
      </c>
      <c r="BK5" s="26">
        <v>9.1999999999999993</v>
      </c>
      <c r="BL5" s="26">
        <v>14.6</v>
      </c>
      <c r="BM5" s="26">
        <v>16.5</v>
      </c>
      <c r="BN5" s="26">
        <v>0</v>
      </c>
      <c r="BO5" s="28"/>
      <c r="BP5" s="39">
        <f t="shared" si="28"/>
        <v>15</v>
      </c>
      <c r="BQ5" s="39">
        <f t="shared" si="29"/>
        <v>16.809999999999999</v>
      </c>
      <c r="BR5" s="11">
        <f t="shared" si="30"/>
        <v>57.61</v>
      </c>
      <c r="BS5" s="11">
        <f t="shared" si="31"/>
        <v>3.8</v>
      </c>
      <c r="BT5" s="11">
        <f t="shared" si="32"/>
        <v>3.58</v>
      </c>
      <c r="BU5" s="11">
        <f t="shared" si="33"/>
        <v>12.78</v>
      </c>
      <c r="BV5" s="11">
        <f t="shared" si="34"/>
        <v>57.61</v>
      </c>
      <c r="BW5" s="11">
        <f t="shared" si="35"/>
        <v>14.6</v>
      </c>
      <c r="BX5" s="11">
        <f t="shared" si="36"/>
        <v>16.5</v>
      </c>
      <c r="BY5" s="11">
        <f t="shared" si="37"/>
        <v>56.699999999999996</v>
      </c>
      <c r="BZ5" s="11">
        <f t="shared" si="38"/>
        <v>114.31</v>
      </c>
      <c r="CA5" s="22">
        <v>12.475</v>
      </c>
      <c r="CB5" s="22">
        <v>7.2</v>
      </c>
      <c r="CC5" s="22">
        <v>12.324999999999999</v>
      </c>
      <c r="CD5" s="22">
        <v>13.17</v>
      </c>
      <c r="CE5" s="22">
        <v>0</v>
      </c>
      <c r="CF5" s="22">
        <v>9.2249999999999996</v>
      </c>
      <c r="CG5" s="22">
        <v>5.5750000000000002</v>
      </c>
      <c r="CH5" s="22">
        <v>10.15</v>
      </c>
      <c r="CI5" s="22">
        <v>10.1175</v>
      </c>
      <c r="CJ5" s="22">
        <v>0</v>
      </c>
      <c r="CK5" s="22">
        <v>15.85</v>
      </c>
      <c r="CL5" s="22">
        <v>9.2249999999999996</v>
      </c>
      <c r="CM5" s="22">
        <v>15.95</v>
      </c>
      <c r="CN5" s="22">
        <v>16.672499999999999</v>
      </c>
      <c r="CO5" s="22">
        <v>0</v>
      </c>
      <c r="CP5" s="27" t="s">
        <v>53</v>
      </c>
      <c r="CQ5" s="38">
        <f t="shared" si="39"/>
        <v>12.324999999999999</v>
      </c>
      <c r="CR5" s="38">
        <f t="shared" si="40"/>
        <v>13.17</v>
      </c>
      <c r="CS5" s="40">
        <f t="shared" si="41"/>
        <v>45.17</v>
      </c>
      <c r="CT5" s="40">
        <f t="shared" si="42"/>
        <v>10.15</v>
      </c>
      <c r="CU5" s="40">
        <f t="shared" si="43"/>
        <v>10.1175</v>
      </c>
      <c r="CV5" s="40">
        <f t="shared" si="44"/>
        <v>35.067500000000003</v>
      </c>
      <c r="CW5" s="40">
        <f t="shared" si="45"/>
        <v>45.17</v>
      </c>
      <c r="CX5" s="40">
        <f t="shared" si="46"/>
        <v>15.95</v>
      </c>
      <c r="CY5" s="40">
        <f t="shared" si="47"/>
        <v>16.672499999999999</v>
      </c>
      <c r="CZ5" s="40">
        <f t="shared" si="48"/>
        <v>57.697499999999998</v>
      </c>
      <c r="DA5" s="40">
        <f t="shared" si="49"/>
        <v>102.86750000000001</v>
      </c>
      <c r="DB5" s="51">
        <f t="shared" si="50"/>
        <v>14.010000000000005</v>
      </c>
      <c r="DC5" s="51" t="str">
        <f t="shared" si="51"/>
        <v/>
      </c>
      <c r="DD5" s="17">
        <v>15.5</v>
      </c>
      <c r="DE5" s="17">
        <v>8.8000000000000007</v>
      </c>
      <c r="DF5" s="17">
        <v>16.2</v>
      </c>
      <c r="DG5" s="17">
        <v>17.38</v>
      </c>
      <c r="DH5" s="17">
        <v>0</v>
      </c>
      <c r="DI5" s="17">
        <v>1.6</v>
      </c>
      <c r="DJ5" s="17">
        <v>0.8</v>
      </c>
      <c r="DK5" s="17">
        <v>2</v>
      </c>
      <c r="DL5" s="17">
        <v>1.87</v>
      </c>
      <c r="DM5" s="17">
        <v>0</v>
      </c>
      <c r="DN5" s="17">
        <v>1.6</v>
      </c>
      <c r="DO5" s="17">
        <v>0.8</v>
      </c>
      <c r="DP5" s="17">
        <v>2</v>
      </c>
      <c r="DQ5" s="17">
        <v>1.83</v>
      </c>
      <c r="DR5" s="17">
        <v>0</v>
      </c>
      <c r="DS5" s="17"/>
      <c r="DT5" s="17"/>
      <c r="DU5" s="17"/>
      <c r="DV5" s="17"/>
      <c r="DW5" s="17"/>
      <c r="DX5" s="40">
        <f t="shared" si="52"/>
        <v>16.2</v>
      </c>
      <c r="DY5" s="40">
        <f t="shared" si="53"/>
        <v>17.38</v>
      </c>
      <c r="DZ5" s="40">
        <f t="shared" si="54"/>
        <v>57.879999999999995</v>
      </c>
      <c r="EA5" s="40">
        <f t="shared" si="55"/>
        <v>2</v>
      </c>
      <c r="EB5" s="40">
        <f t="shared" si="56"/>
        <v>1.87</v>
      </c>
      <c r="EC5" s="40">
        <f t="shared" si="57"/>
        <v>6.2700000000000005</v>
      </c>
      <c r="ED5" s="40">
        <f t="shared" si="58"/>
        <v>57.879999999999995</v>
      </c>
      <c r="EE5" s="40">
        <f t="shared" si="59"/>
        <v>2</v>
      </c>
      <c r="EF5" s="40">
        <f t="shared" si="60"/>
        <v>1.83</v>
      </c>
      <c r="EG5" s="40">
        <f t="shared" si="61"/>
        <v>6.23</v>
      </c>
      <c r="EH5" s="40" t="str">
        <f t="shared" si="62"/>
        <v/>
      </c>
      <c r="EI5" s="40" t="str">
        <f t="shared" si="63"/>
        <v/>
      </c>
      <c r="EJ5" s="40" t="str">
        <f t="shared" si="64"/>
        <v/>
      </c>
      <c r="EK5" s="40">
        <f t="shared" si="65"/>
        <v>64.11</v>
      </c>
      <c r="EL5" s="18">
        <v>15.1</v>
      </c>
      <c r="EM5" s="18">
        <v>8.6</v>
      </c>
      <c r="EN5" s="18">
        <v>16.2</v>
      </c>
      <c r="EO5" s="18">
        <v>16.88</v>
      </c>
      <c r="EP5" s="18">
        <v>0</v>
      </c>
      <c r="EQ5" s="18">
        <v>1.4</v>
      </c>
      <c r="ER5" s="18">
        <v>0.9</v>
      </c>
      <c r="ES5" s="18">
        <v>2</v>
      </c>
      <c r="ET5" s="18">
        <v>1.85</v>
      </c>
      <c r="EU5" s="18">
        <v>0</v>
      </c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>
        <f t="shared" si="66"/>
        <v>16.2</v>
      </c>
      <c r="FG5" s="11">
        <f t="shared" si="67"/>
        <v>16.88</v>
      </c>
      <c r="FH5" s="11">
        <f t="shared" si="68"/>
        <v>56.78</v>
      </c>
      <c r="FI5" s="11">
        <f t="shared" si="69"/>
        <v>2</v>
      </c>
      <c r="FJ5" s="11">
        <f t="shared" si="70"/>
        <v>1.85</v>
      </c>
      <c r="FK5" s="11">
        <f t="shared" si="71"/>
        <v>6.15</v>
      </c>
      <c r="FL5" s="11">
        <f t="shared" si="72"/>
        <v>56.78</v>
      </c>
      <c r="FM5" s="11" t="str">
        <f t="shared" si="73"/>
        <v/>
      </c>
      <c r="FN5" s="11" t="str">
        <f t="shared" si="74"/>
        <v/>
      </c>
      <c r="FO5" s="11" t="str">
        <f t="shared" si="75"/>
        <v/>
      </c>
      <c r="FP5" s="11" t="str">
        <f t="shared" si="76"/>
        <v/>
      </c>
      <c r="FQ5" s="11" t="str">
        <f t="shared" si="77"/>
        <v/>
      </c>
      <c r="FR5" s="11" t="str">
        <f t="shared" si="78"/>
        <v/>
      </c>
      <c r="FS5" s="11">
        <f t="shared" si="79"/>
        <v>56.78</v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 t="str">
        <f t="shared" si="80"/>
        <v/>
      </c>
      <c r="GO5" s="40" t="str">
        <f t="shared" si="81"/>
        <v/>
      </c>
      <c r="GP5" s="40" t="str">
        <f t="shared" si="82"/>
        <v/>
      </c>
      <c r="GQ5" s="40" t="str">
        <f t="shared" si="83"/>
        <v/>
      </c>
      <c r="GR5" s="40" t="str">
        <f t="shared" si="84"/>
        <v/>
      </c>
      <c r="GS5" s="40" t="str">
        <f t="shared" si="85"/>
        <v/>
      </c>
      <c r="GT5" s="40" t="str">
        <f t="shared" si="86"/>
        <v/>
      </c>
      <c r="GU5" s="40" t="str">
        <f t="shared" si="87"/>
        <v/>
      </c>
      <c r="GV5" s="40" t="str">
        <f t="shared" si="88"/>
        <v/>
      </c>
      <c r="GW5" s="40" t="str">
        <f t="shared" si="89"/>
        <v/>
      </c>
      <c r="GX5" s="40" t="str">
        <f t="shared" si="90"/>
        <v/>
      </c>
      <c r="GY5" s="40" t="str">
        <f t="shared" si="91"/>
        <v/>
      </c>
      <c r="GZ5" s="40" t="str">
        <f t="shared" si="92"/>
        <v/>
      </c>
      <c r="HA5" s="40" t="str">
        <f t="shared" si="93"/>
        <v/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 t="shared" si="94"/>
        <v/>
      </c>
      <c r="HW5" s="11" t="str">
        <f t="shared" si="95"/>
        <v/>
      </c>
      <c r="HX5" s="11" t="str">
        <f t="shared" si="96"/>
        <v/>
      </c>
      <c r="HY5" s="11" t="str">
        <f t="shared" si="97"/>
        <v/>
      </c>
      <c r="HZ5" s="11" t="str">
        <f t="shared" si="98"/>
        <v/>
      </c>
      <c r="IA5" s="11" t="str">
        <f t="shared" si="99"/>
        <v/>
      </c>
      <c r="IB5" s="11" t="str">
        <f t="shared" si="100"/>
        <v/>
      </c>
      <c r="IC5" s="11" t="str">
        <f t="shared" si="101"/>
        <v/>
      </c>
      <c r="ID5" s="11" t="str">
        <f t="shared" si="102"/>
        <v/>
      </c>
      <c r="IE5" s="11" t="str">
        <f t="shared" si="103"/>
        <v/>
      </c>
      <c r="IF5" s="11" t="str">
        <f t="shared" si="104"/>
        <v/>
      </c>
      <c r="IG5" s="11" t="str">
        <f t="shared" si="105"/>
        <v/>
      </c>
      <c r="IH5" s="11" t="str">
        <f t="shared" si="106"/>
        <v/>
      </c>
      <c r="II5" s="11" t="str">
        <f t="shared" si="107"/>
        <v/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 t="shared" si="108"/>
        <v/>
      </c>
      <c r="JE5" s="40" t="str">
        <f t="shared" si="109"/>
        <v/>
      </c>
      <c r="JF5" s="40" t="str">
        <f t="shared" si="110"/>
        <v/>
      </c>
      <c r="JG5" s="40" t="str">
        <f t="shared" si="111"/>
        <v/>
      </c>
      <c r="JH5" s="40" t="str">
        <f t="shared" si="112"/>
        <v/>
      </c>
      <c r="JI5" s="40" t="str">
        <f t="shared" si="113"/>
        <v/>
      </c>
      <c r="JJ5" s="40" t="str">
        <f t="shared" si="114"/>
        <v/>
      </c>
      <c r="JK5" s="40" t="str">
        <f t="shared" si="115"/>
        <v/>
      </c>
      <c r="JL5" s="40" t="str">
        <f t="shared" si="116"/>
        <v/>
      </c>
      <c r="JM5" s="40" t="str">
        <f t="shared" si="117"/>
        <v/>
      </c>
      <c r="JN5" s="40" t="str">
        <f t="shared" si="118"/>
        <v/>
      </c>
      <c r="JO5" s="40" t="str">
        <f t="shared" si="119"/>
        <v/>
      </c>
      <c r="JP5" s="40" t="str">
        <f t="shared" si="120"/>
        <v/>
      </c>
      <c r="JQ5" s="40" t="str">
        <f t="shared" si="121"/>
        <v/>
      </c>
      <c r="JR5" s="18">
        <v>5.8</v>
      </c>
      <c r="JS5" s="18">
        <v>3.5</v>
      </c>
      <c r="JT5" s="18">
        <v>7.4</v>
      </c>
      <c r="JU5" s="18">
        <v>7.06</v>
      </c>
      <c r="JV5" s="18">
        <v>0</v>
      </c>
      <c r="JW5" s="18">
        <v>14.7</v>
      </c>
      <c r="JX5" s="18">
        <v>9.1</v>
      </c>
      <c r="JY5" s="18">
        <v>16.100000000000001</v>
      </c>
      <c r="JZ5" s="18">
        <v>17.04</v>
      </c>
      <c r="KA5" s="18">
        <v>0.2</v>
      </c>
      <c r="KB5" s="18">
        <v>1.6</v>
      </c>
      <c r="KC5" s="18">
        <v>1</v>
      </c>
      <c r="KD5" s="18">
        <v>2.2000000000000002</v>
      </c>
      <c r="KE5" s="18">
        <v>1.83</v>
      </c>
      <c r="KF5" s="18">
        <v>0</v>
      </c>
      <c r="KG5" s="18"/>
      <c r="KH5" s="18"/>
      <c r="KI5" s="18"/>
      <c r="KJ5" s="18"/>
      <c r="KK5" s="18"/>
      <c r="KL5" s="11">
        <f t="shared" si="122"/>
        <v>7.4</v>
      </c>
      <c r="KM5" s="11">
        <f t="shared" si="123"/>
        <v>7.06</v>
      </c>
      <c r="KN5" s="11">
        <f t="shared" si="124"/>
        <v>23.76</v>
      </c>
      <c r="KO5" s="11">
        <f t="shared" si="125"/>
        <v>16.100000000000001</v>
      </c>
      <c r="KP5" s="11">
        <f t="shared" si="126"/>
        <v>17.04</v>
      </c>
      <c r="KQ5" s="11">
        <f t="shared" si="127"/>
        <v>56.739999999999995</v>
      </c>
      <c r="KR5" s="11">
        <f t="shared" si="128"/>
        <v>56.739999999999995</v>
      </c>
      <c r="KS5" s="11">
        <f t="shared" si="129"/>
        <v>2.2000000000000002</v>
      </c>
      <c r="KT5" s="11">
        <f t="shared" si="130"/>
        <v>1.83</v>
      </c>
      <c r="KU5" s="11">
        <f t="shared" si="131"/>
        <v>6.6300000000000008</v>
      </c>
      <c r="KV5" s="11" t="str">
        <f t="shared" si="132"/>
        <v/>
      </c>
      <c r="KW5" s="11" t="str">
        <f t="shared" si="133"/>
        <v/>
      </c>
      <c r="KX5" s="11" t="str">
        <f t="shared" si="134"/>
        <v/>
      </c>
      <c r="KY5" s="11">
        <f t="shared" si="135"/>
        <v>63.37</v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 t="shared" si="136"/>
        <v/>
      </c>
      <c r="LU5" s="40" t="str">
        <f t="shared" si="137"/>
        <v/>
      </c>
      <c r="LV5" s="40" t="str">
        <f t="shared" si="138"/>
        <v/>
      </c>
      <c r="LW5" s="40" t="str">
        <f t="shared" si="139"/>
        <v/>
      </c>
      <c r="LX5" s="40" t="str">
        <f t="shared" si="140"/>
        <v/>
      </c>
      <c r="LY5" s="40" t="str">
        <f t="shared" si="141"/>
        <v/>
      </c>
      <c r="LZ5" s="40" t="str">
        <f t="shared" si="142"/>
        <v/>
      </c>
      <c r="MA5" s="40" t="str">
        <f t="shared" si="143"/>
        <v/>
      </c>
      <c r="MB5" s="40" t="str">
        <f t="shared" si="144"/>
        <v/>
      </c>
      <c r="MC5" s="40" t="str">
        <f t="shared" si="145"/>
        <v/>
      </c>
      <c r="MD5" s="40" t="str">
        <f t="shared" si="146"/>
        <v/>
      </c>
      <c r="ME5" s="40" t="str">
        <f t="shared" si="147"/>
        <v/>
      </c>
      <c r="MF5" s="40" t="str">
        <f t="shared" si="148"/>
        <v/>
      </c>
      <c r="MG5" s="40" t="str">
        <f t="shared" si="149"/>
        <v/>
      </c>
      <c r="MH5" s="18">
        <v>15.7</v>
      </c>
      <c r="MI5" s="18">
        <v>9</v>
      </c>
      <c r="MJ5" s="18">
        <v>16.7</v>
      </c>
      <c r="MK5" s="18">
        <v>17.260000000000002</v>
      </c>
      <c r="ML5" s="18">
        <v>0</v>
      </c>
      <c r="MM5" s="18">
        <v>15.5</v>
      </c>
      <c r="MN5" s="18">
        <v>9.3000000000000007</v>
      </c>
      <c r="MO5" s="18">
        <v>17.100000000000001</v>
      </c>
      <c r="MP5" s="18">
        <v>17.28</v>
      </c>
      <c r="MQ5" s="18">
        <v>0</v>
      </c>
      <c r="MR5" s="18">
        <v>14.4</v>
      </c>
      <c r="MS5" s="18">
        <v>9.1</v>
      </c>
      <c r="MT5" s="18">
        <v>14.7</v>
      </c>
      <c r="MU5" s="18">
        <v>16.829999999999998</v>
      </c>
      <c r="MV5" s="18">
        <v>0</v>
      </c>
      <c r="MW5" s="18"/>
      <c r="MX5" s="18"/>
      <c r="MY5" s="18"/>
      <c r="MZ5" s="18"/>
      <c r="NA5" s="18"/>
      <c r="NB5" s="11">
        <f t="shared" si="150"/>
        <v>16.7</v>
      </c>
      <c r="NC5" s="11">
        <f t="shared" si="151"/>
        <v>17.260000000000002</v>
      </c>
      <c r="ND5" s="11">
        <f t="shared" si="152"/>
        <v>58.66</v>
      </c>
      <c r="NE5" s="11">
        <f t="shared" si="153"/>
        <v>17.100000000000001</v>
      </c>
      <c r="NF5" s="11">
        <f t="shared" si="154"/>
        <v>17.28</v>
      </c>
      <c r="NG5" s="11">
        <f t="shared" si="155"/>
        <v>59.180000000000007</v>
      </c>
      <c r="NH5" s="11">
        <f t="shared" si="156"/>
        <v>59.180000000000007</v>
      </c>
      <c r="NI5" s="11">
        <f t="shared" si="157"/>
        <v>14.7</v>
      </c>
      <c r="NJ5" s="11">
        <f t="shared" si="158"/>
        <v>16.829999999999998</v>
      </c>
      <c r="NK5" s="11">
        <f t="shared" si="159"/>
        <v>55.03</v>
      </c>
      <c r="NL5" s="11" t="str">
        <f t="shared" si="160"/>
        <v/>
      </c>
      <c r="NM5" s="11" t="str">
        <f t="shared" si="161"/>
        <v/>
      </c>
      <c r="NN5" s="11" t="str">
        <f t="shared" si="162"/>
        <v/>
      </c>
      <c r="NO5" s="11">
        <f t="shared" si="163"/>
        <v>114.21000000000001</v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 t="shared" si="164"/>
        <v/>
      </c>
      <c r="OK5" s="40" t="str">
        <f t="shared" si="165"/>
        <v/>
      </c>
      <c r="OL5" s="40" t="str">
        <f t="shared" si="166"/>
        <v/>
      </c>
      <c r="OM5" s="40" t="str">
        <f t="shared" si="167"/>
        <v/>
      </c>
      <c r="ON5" s="40" t="str">
        <f t="shared" si="168"/>
        <v/>
      </c>
      <c r="OO5" s="40" t="str">
        <f t="shared" si="169"/>
        <v/>
      </c>
      <c r="OP5" s="40" t="str">
        <f t="shared" si="170"/>
        <v/>
      </c>
      <c r="OQ5" s="40" t="str">
        <f t="shared" si="171"/>
        <v/>
      </c>
      <c r="OR5" s="40" t="str">
        <f t="shared" si="172"/>
        <v/>
      </c>
      <c r="OS5" s="40" t="str">
        <f t="shared" si="173"/>
        <v/>
      </c>
      <c r="OT5" s="40" t="str">
        <f t="shared" si="174"/>
        <v/>
      </c>
      <c r="OU5" s="40" t="str">
        <f t="shared" si="175"/>
        <v/>
      </c>
      <c r="OV5" s="40" t="str">
        <f t="shared" si="176"/>
        <v/>
      </c>
      <c r="OW5" s="40" t="str">
        <f t="shared" si="177"/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 t="shared" si="178"/>
        <v/>
      </c>
      <c r="PS5" s="11" t="str">
        <f t="shared" si="179"/>
        <v/>
      </c>
      <c r="PT5" s="11" t="str">
        <f t="shared" si="180"/>
        <v/>
      </c>
      <c r="PU5" s="11" t="str">
        <f t="shared" si="181"/>
        <v/>
      </c>
      <c r="PV5" s="11" t="str">
        <f t="shared" si="182"/>
        <v/>
      </c>
      <c r="PW5" s="11" t="str">
        <f t="shared" si="183"/>
        <v/>
      </c>
      <c r="PX5" s="11" t="str">
        <f t="shared" si="184"/>
        <v/>
      </c>
      <c r="PY5" s="11" t="str">
        <f t="shared" si="185"/>
        <v/>
      </c>
      <c r="PZ5" s="11" t="str">
        <f t="shared" si="186"/>
        <v/>
      </c>
      <c r="QA5" s="11" t="str">
        <f t="shared" si="187"/>
        <v/>
      </c>
      <c r="QB5" s="11" t="str">
        <f t="shared" si="188"/>
        <v/>
      </c>
      <c r="QC5" s="11" t="str">
        <f t="shared" si="189"/>
        <v/>
      </c>
      <c r="QD5" s="11" t="str">
        <f t="shared" si="190"/>
        <v/>
      </c>
      <c r="QE5" s="11" t="str">
        <f t="shared" si="191"/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 t="shared" si="192"/>
        <v/>
      </c>
      <c r="RA5" s="40" t="str">
        <f t="shared" si="193"/>
        <v/>
      </c>
      <c r="RB5" s="40" t="str">
        <f t="shared" si="194"/>
        <v/>
      </c>
      <c r="RC5" s="40" t="str">
        <f t="shared" si="195"/>
        <v/>
      </c>
      <c r="RD5" s="40" t="str">
        <f t="shared" si="196"/>
        <v/>
      </c>
      <c r="RE5" s="40" t="str">
        <f t="shared" si="197"/>
        <v/>
      </c>
      <c r="RF5" s="40" t="str">
        <f t="shared" si="198"/>
        <v/>
      </c>
      <c r="RG5" s="40" t="str">
        <f t="shared" si="199"/>
        <v/>
      </c>
      <c r="RH5" s="40" t="str">
        <f t="shared" si="200"/>
        <v/>
      </c>
      <c r="RI5" s="40" t="str">
        <f t="shared" si="201"/>
        <v/>
      </c>
      <c r="RJ5" s="40" t="str">
        <f t="shared" si="202"/>
        <v/>
      </c>
      <c r="RK5" s="40" t="str">
        <f t="shared" si="203"/>
        <v/>
      </c>
      <c r="RL5" s="40" t="str">
        <f t="shared" si="204"/>
        <v/>
      </c>
      <c r="RM5" s="40" t="str">
        <f t="shared" si="205"/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 t="shared" si="206"/>
        <v/>
      </c>
      <c r="SI5" s="11" t="str">
        <f t="shared" si="207"/>
        <v/>
      </c>
      <c r="SJ5" s="11" t="str">
        <f t="shared" si="208"/>
        <v/>
      </c>
      <c r="SK5" s="11" t="str">
        <f t="shared" si="209"/>
        <v/>
      </c>
      <c r="SL5" s="11" t="str">
        <f t="shared" si="210"/>
        <v/>
      </c>
      <c r="SM5" s="11" t="str">
        <f t="shared" si="211"/>
        <v/>
      </c>
      <c r="SN5" s="11" t="str">
        <f t="shared" si="212"/>
        <v/>
      </c>
      <c r="SO5" s="11" t="str">
        <f t="shared" si="213"/>
        <v/>
      </c>
      <c r="SP5" s="11" t="str">
        <f t="shared" si="214"/>
        <v/>
      </c>
      <c r="SQ5" s="11" t="str">
        <f t="shared" si="215"/>
        <v/>
      </c>
      <c r="SR5" s="11" t="str">
        <f t="shared" si="216"/>
        <v/>
      </c>
      <c r="SS5" s="11" t="str">
        <f t="shared" si="217"/>
        <v/>
      </c>
      <c r="ST5" s="11" t="str">
        <f t="shared" si="218"/>
        <v/>
      </c>
      <c r="SU5" s="11" t="str">
        <f t="shared" si="219"/>
        <v/>
      </c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17"/>
      <c r="TI5" s="17"/>
      <c r="TJ5" s="17"/>
      <c r="TK5" s="17"/>
      <c r="TL5" s="17"/>
      <c r="TM5" s="17"/>
      <c r="TN5" s="17"/>
      <c r="TO5" s="17"/>
      <c r="TP5" s="40" t="str">
        <f t="shared" si="220"/>
        <v/>
      </c>
      <c r="TQ5" s="40" t="str">
        <f t="shared" si="221"/>
        <v/>
      </c>
      <c r="TR5" s="40" t="str">
        <f t="shared" si="222"/>
        <v/>
      </c>
      <c r="TS5" s="40" t="str">
        <f t="shared" si="223"/>
        <v/>
      </c>
      <c r="TT5" s="40" t="str">
        <f t="shared" si="224"/>
        <v/>
      </c>
      <c r="TU5" s="40" t="str">
        <f t="shared" si="225"/>
        <v/>
      </c>
      <c r="TV5" s="40" t="str">
        <f t="shared" si="226"/>
        <v/>
      </c>
      <c r="TW5" s="40" t="str">
        <f t="shared" si="227"/>
        <v/>
      </c>
      <c r="TX5" s="40" t="str">
        <f t="shared" si="228"/>
        <v/>
      </c>
      <c r="TY5" s="40" t="str">
        <f t="shared" si="229"/>
        <v/>
      </c>
      <c r="TZ5" s="40" t="str">
        <f t="shared" si="230"/>
        <v/>
      </c>
      <c r="UA5" s="40" t="str">
        <f t="shared" si="231"/>
        <v/>
      </c>
      <c r="UB5" s="40" t="str">
        <f t="shared" si="232"/>
        <v/>
      </c>
      <c r="UC5" s="40" t="str">
        <f t="shared" si="233"/>
        <v/>
      </c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8"/>
      <c r="UQ5" s="18"/>
      <c r="UR5" s="18"/>
      <c r="US5" s="18"/>
      <c r="UT5" s="18"/>
      <c r="UU5" s="18"/>
      <c r="UV5" s="18"/>
      <c r="UW5" s="18"/>
      <c r="UX5" s="11" t="str">
        <f t="shared" si="234"/>
        <v/>
      </c>
      <c r="UY5" s="11" t="str">
        <f t="shared" si="235"/>
        <v/>
      </c>
      <c r="UZ5" s="11" t="str">
        <f t="shared" si="236"/>
        <v/>
      </c>
      <c r="VA5" s="11" t="str">
        <f t="shared" si="237"/>
        <v/>
      </c>
      <c r="VB5" s="11" t="str">
        <f t="shared" si="238"/>
        <v/>
      </c>
      <c r="VC5" s="11" t="str">
        <f t="shared" si="239"/>
        <v/>
      </c>
      <c r="VD5" s="11" t="str">
        <f t="shared" si="240"/>
        <v/>
      </c>
      <c r="VE5" s="11" t="str">
        <f t="shared" si="241"/>
        <v/>
      </c>
      <c r="VF5" s="11" t="str">
        <f t="shared" si="242"/>
        <v/>
      </c>
      <c r="VG5" s="11" t="str">
        <f t="shared" si="243"/>
        <v/>
      </c>
      <c r="VH5" s="11" t="str">
        <f t="shared" si="244"/>
        <v/>
      </c>
      <c r="VI5" s="11" t="str">
        <f t="shared" si="245"/>
        <v/>
      </c>
      <c r="VJ5" s="11" t="str">
        <f t="shared" si="246"/>
        <v/>
      </c>
      <c r="VK5" s="11" t="str">
        <f t="shared" si="247"/>
        <v/>
      </c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17"/>
      <c r="VY5" s="17"/>
      <c r="VZ5" s="17"/>
      <c r="WA5" s="17"/>
      <c r="WB5" s="17"/>
      <c r="WC5" s="17"/>
      <c r="WD5" s="17"/>
      <c r="WE5" s="17"/>
      <c r="WF5" s="40" t="str">
        <f t="shared" si="248"/>
        <v/>
      </c>
      <c r="WG5" s="40" t="str">
        <f t="shared" si="249"/>
        <v/>
      </c>
      <c r="WH5" s="40" t="str">
        <f t="shared" si="250"/>
        <v/>
      </c>
      <c r="WI5" s="40" t="str">
        <f t="shared" si="251"/>
        <v/>
      </c>
      <c r="WJ5" s="40" t="str">
        <f t="shared" si="252"/>
        <v/>
      </c>
      <c r="WK5" s="40" t="str">
        <f t="shared" si="253"/>
        <v/>
      </c>
      <c r="WL5" s="40" t="str">
        <f t="shared" si="254"/>
        <v/>
      </c>
      <c r="WM5" s="40" t="str">
        <f t="shared" si="255"/>
        <v/>
      </c>
      <c r="WN5" s="40" t="str">
        <f t="shared" si="256"/>
        <v/>
      </c>
      <c r="WO5" s="40" t="str">
        <f t="shared" si="257"/>
        <v/>
      </c>
      <c r="WP5" s="40" t="str">
        <f t="shared" si="258"/>
        <v/>
      </c>
      <c r="WQ5" s="40" t="str">
        <f t="shared" si="259"/>
        <v/>
      </c>
      <c r="WR5" s="40" t="str">
        <f t="shared" si="260"/>
        <v/>
      </c>
      <c r="WS5" s="40" t="str">
        <f t="shared" si="261"/>
        <v/>
      </c>
      <c r="WT5" s="26">
        <f t="shared" si="262"/>
        <v>12.475</v>
      </c>
      <c r="WU5" s="26">
        <f t="shared" si="263"/>
        <v>7.2</v>
      </c>
      <c r="WV5" s="26">
        <f t="shared" si="264"/>
        <v>12.324999999999999</v>
      </c>
      <c r="WW5" s="26">
        <f t="shared" si="265"/>
        <v>13.17</v>
      </c>
      <c r="WX5" s="26">
        <f t="shared" si="266"/>
        <v>0</v>
      </c>
      <c r="WY5" s="26">
        <f t="shared" si="267"/>
        <v>9.2249999999999996</v>
      </c>
      <c r="WZ5" s="26">
        <f t="shared" si="268"/>
        <v>5.5750000000000002</v>
      </c>
      <c r="XA5" s="26">
        <f t="shared" si="269"/>
        <v>10.15</v>
      </c>
      <c r="XB5" s="26">
        <f t="shared" si="270"/>
        <v>10.1175</v>
      </c>
      <c r="XC5" s="26">
        <f t="shared" si="271"/>
        <v>0</v>
      </c>
      <c r="XD5" s="26">
        <f t="shared" si="272"/>
        <v>15.85</v>
      </c>
      <c r="XE5" s="26">
        <f t="shared" si="273"/>
        <v>9.2249999999999996</v>
      </c>
      <c r="XF5" s="26">
        <f t="shared" si="274"/>
        <v>15.95</v>
      </c>
      <c r="XG5" s="26">
        <f t="shared" si="275"/>
        <v>16.672499999999999</v>
      </c>
      <c r="XH5" s="26">
        <f t="shared" si="276"/>
        <v>0</v>
      </c>
      <c r="XI5" s="28" t="s">
        <v>53</v>
      </c>
      <c r="XJ5" s="11">
        <f t="shared" si="277"/>
        <v>12.324999999999999</v>
      </c>
      <c r="XK5" s="11">
        <f t="shared" si="278"/>
        <v>13.17</v>
      </c>
      <c r="XL5" s="11">
        <f t="shared" si="279"/>
        <v>45.17</v>
      </c>
      <c r="XM5" s="11">
        <f t="shared" si="280"/>
        <v>10.15</v>
      </c>
      <c r="XN5" s="11">
        <f t="shared" si="281"/>
        <v>10.1175</v>
      </c>
      <c r="XO5" s="11">
        <f t="shared" si="282"/>
        <v>35.067500000000003</v>
      </c>
      <c r="XP5" s="11">
        <f t="shared" si="283"/>
        <v>45.17</v>
      </c>
      <c r="XQ5" s="11">
        <f t="shared" si="284"/>
        <v>15.95</v>
      </c>
      <c r="XR5" s="11">
        <f t="shared" si="285"/>
        <v>16.672499999999999</v>
      </c>
      <c r="XS5" s="11">
        <f t="shared" si="286"/>
        <v>57.697499999999998</v>
      </c>
      <c r="XT5" s="11">
        <f t="shared" si="287"/>
        <v>102.86750000000001</v>
      </c>
    </row>
    <row r="6" spans="1:644" x14ac:dyDescent="0.2">
      <c r="A6" s="4" cm="1">
        <f t="array" ref="A6">IF(AND(H6&lt;&gt;"",H6&lt;&gt;"No DD"),SUMPRODUCT((H$4:H$25&lt;&gt;"")*(H$4:H$25&lt;&gt;"No DD")*(E$4:E$25&gt;E6))+1,IF(H6="No DD",SUMPRODUCT((H$4:H$25="No DD")*(E$4:E$25&gt;E6))+1+SUMPRODUCT((H$4:H$25&lt;&gt;"")*(H$4:H$25&lt;&gt;"No DD")),""))</f>
        <v>3</v>
      </c>
      <c r="B6" s="5" t="s">
        <v>84</v>
      </c>
      <c r="C6" s="4" t="s">
        <v>6</v>
      </c>
      <c r="D6" s="4">
        <v>2003</v>
      </c>
      <c r="E6" s="9">
        <f t="shared" si="0"/>
        <v>265.10002651000593</v>
      </c>
      <c r="F6" s="3" t="str">
        <f t="shared" si="1"/>
        <v>P</v>
      </c>
      <c r="G6" s="3" t="str">
        <f t="shared" si="2"/>
        <v>P</v>
      </c>
      <c r="H6" s="36" t="str">
        <f t="shared" si="3"/>
        <v>Excellence</v>
      </c>
      <c r="I6" s="3" t="str">
        <f t="shared" si="4"/>
        <v>P</v>
      </c>
      <c r="J6" s="8">
        <f>IF(COUNT(AQ6,AT6,BR6,BU6,CS6,CV6)&gt;0,LARGE((AQ6,AT6,BR6,BU6,CS6,CV6),1),0)</f>
        <v>59.84</v>
      </c>
      <c r="K6" s="8" t="str">
        <f t="shared" si="5"/>
        <v>2024 3rd Domestic Trial</v>
      </c>
      <c r="L6" s="8">
        <f>IF(COUNT(AQ6,AT6,BR6,BU6,CS6,CV6)&gt;1,LARGE((AQ6,AT6,BR6,BU6,CS6,CV6),2),0)</f>
        <v>57.55</v>
      </c>
      <c r="M6" s="8" t="str">
        <f t="shared" si="6"/>
        <v>2024 3rd Domestic Trial</v>
      </c>
      <c r="N6" s="8">
        <f>IF(COUNT(AQ6,AT6,BR6,BU6,CS6,CV6)&gt;2,LARGE((AQ6,AT6,BR6,BU6,CS6,CV6),3),0)</f>
        <v>56.56</v>
      </c>
      <c r="O6" s="8" t="str">
        <f t="shared" si="7"/>
        <v>2024 Nationals</v>
      </c>
      <c r="P6" s="8">
        <f t="shared" si="8"/>
        <v>57.81</v>
      </c>
      <c r="Q6" s="8" t="str">
        <f t="shared" si="9"/>
        <v>2024 3rd Domestic Trial</v>
      </c>
      <c r="R6" s="8">
        <f t="shared" si="10"/>
        <v>16.2</v>
      </c>
      <c r="S6" s="8" t="str">
        <f t="shared" si="11"/>
        <v>2024 3rd Domestic Trial</v>
      </c>
      <c r="T6" s="8">
        <f t="shared" si="12"/>
        <v>17.14</v>
      </c>
      <c r="U6" s="8" t="str">
        <f t="shared" si="13"/>
        <v>2024 3rd Domestic Trial</v>
      </c>
      <c r="V6" s="8" t="str">
        <f t="shared" si="14"/>
        <v/>
      </c>
      <c r="W6" s="11" t="str">
        <f t="shared" si="15"/>
        <v/>
      </c>
      <c r="X6" s="8" t="str">
        <f t="shared" si="16"/>
        <v/>
      </c>
      <c r="Y6" s="22">
        <v>14.6</v>
      </c>
      <c r="Z6" s="22">
        <v>9</v>
      </c>
      <c r="AA6" s="22">
        <v>15.8</v>
      </c>
      <c r="AB6" s="22">
        <v>16.48</v>
      </c>
      <c r="AC6" s="22">
        <v>0</v>
      </c>
      <c r="AD6" s="22">
        <v>3.37</v>
      </c>
      <c r="AE6" s="22">
        <v>3.3</v>
      </c>
      <c r="AF6" s="22">
        <v>7.1</v>
      </c>
      <c r="AG6" s="22">
        <v>6.97</v>
      </c>
      <c r="AH6" s="22">
        <v>0</v>
      </c>
      <c r="AI6" s="22">
        <v>11.8</v>
      </c>
      <c r="AJ6" s="22">
        <v>7</v>
      </c>
      <c r="AK6" s="22">
        <v>12.4</v>
      </c>
      <c r="AL6" s="22">
        <v>13.35</v>
      </c>
      <c r="AM6" s="22">
        <v>0</v>
      </c>
      <c r="AN6" s="27"/>
      <c r="AO6" s="38">
        <f t="shared" si="17"/>
        <v>15.8</v>
      </c>
      <c r="AP6" s="38">
        <f t="shared" si="18"/>
        <v>16.48</v>
      </c>
      <c r="AQ6" s="40">
        <f t="shared" si="19"/>
        <v>55.88000000000001</v>
      </c>
      <c r="AR6" s="40">
        <f t="shared" si="20"/>
        <v>7.1</v>
      </c>
      <c r="AS6" s="40">
        <f t="shared" si="21"/>
        <v>6.97</v>
      </c>
      <c r="AT6" s="40">
        <f t="shared" si="22"/>
        <v>20.74</v>
      </c>
      <c r="AU6" s="40">
        <f t="shared" si="23"/>
        <v>55.88000000000001</v>
      </c>
      <c r="AV6" s="40">
        <f t="shared" si="24"/>
        <v>12.4</v>
      </c>
      <c r="AW6" s="40">
        <f t="shared" si="25"/>
        <v>13.35</v>
      </c>
      <c r="AX6" s="40">
        <f t="shared" si="26"/>
        <v>44.550000000000004</v>
      </c>
      <c r="AY6" s="40">
        <f t="shared" si="27"/>
        <v>100.43</v>
      </c>
      <c r="AZ6" s="26">
        <v>16.2</v>
      </c>
      <c r="BA6" s="26">
        <v>8.9</v>
      </c>
      <c r="BB6" s="26">
        <v>15.2</v>
      </c>
      <c r="BC6" s="26">
        <v>16.260000000000002</v>
      </c>
      <c r="BD6" s="26">
        <v>0</v>
      </c>
      <c r="BE6" s="26">
        <v>15.6</v>
      </c>
      <c r="BF6" s="26">
        <v>8.8000000000000007</v>
      </c>
      <c r="BG6" s="26">
        <v>14.5</v>
      </c>
      <c r="BH6" s="26">
        <v>16.11</v>
      </c>
      <c r="BI6" s="26">
        <v>0</v>
      </c>
      <c r="BJ6" s="26">
        <v>15.5</v>
      </c>
      <c r="BK6" s="26">
        <v>8.9</v>
      </c>
      <c r="BL6" s="26">
        <v>15</v>
      </c>
      <c r="BM6" s="26">
        <v>15.98</v>
      </c>
      <c r="BN6" s="26">
        <v>0</v>
      </c>
      <c r="BO6" s="28"/>
      <c r="BP6" s="39">
        <f t="shared" si="28"/>
        <v>15.2</v>
      </c>
      <c r="BQ6" s="39">
        <f t="shared" si="29"/>
        <v>16.260000000000002</v>
      </c>
      <c r="BR6" s="11">
        <f t="shared" si="30"/>
        <v>56.56</v>
      </c>
      <c r="BS6" s="11">
        <f t="shared" si="31"/>
        <v>14.5</v>
      </c>
      <c r="BT6" s="11">
        <f t="shared" si="32"/>
        <v>16.11</v>
      </c>
      <c r="BU6" s="11">
        <f t="shared" si="33"/>
        <v>55.01</v>
      </c>
      <c r="BV6" s="11">
        <f t="shared" si="34"/>
        <v>56.56</v>
      </c>
      <c r="BW6" s="11">
        <f t="shared" si="35"/>
        <v>15</v>
      </c>
      <c r="BX6" s="11">
        <f t="shared" si="36"/>
        <v>15.98</v>
      </c>
      <c r="BY6" s="11">
        <f t="shared" si="37"/>
        <v>55.379999999999995</v>
      </c>
      <c r="BZ6" s="11">
        <f t="shared" si="38"/>
        <v>111.94</v>
      </c>
      <c r="CA6" s="22">
        <v>16.899999999999999</v>
      </c>
      <c r="CB6" s="22">
        <v>8.4</v>
      </c>
      <c r="CC6" s="22">
        <v>15.2</v>
      </c>
      <c r="CD6" s="22">
        <v>17.05</v>
      </c>
      <c r="CE6" s="22">
        <v>0</v>
      </c>
      <c r="CF6" s="22">
        <v>17.7</v>
      </c>
      <c r="CG6" s="22">
        <v>9.1999999999999993</v>
      </c>
      <c r="CH6" s="22">
        <v>15.8</v>
      </c>
      <c r="CI6" s="22">
        <v>17.14</v>
      </c>
      <c r="CJ6" s="22">
        <v>0</v>
      </c>
      <c r="CK6" s="22">
        <v>15.6</v>
      </c>
      <c r="CL6" s="22">
        <v>9</v>
      </c>
      <c r="CM6" s="22">
        <v>16.2</v>
      </c>
      <c r="CN6" s="22">
        <v>17.010000000000002</v>
      </c>
      <c r="CO6" s="22">
        <v>0</v>
      </c>
      <c r="CP6" s="27"/>
      <c r="CQ6" s="38">
        <f t="shared" si="39"/>
        <v>15.2</v>
      </c>
      <c r="CR6" s="38">
        <f t="shared" si="40"/>
        <v>17.05</v>
      </c>
      <c r="CS6" s="40">
        <f t="shared" si="41"/>
        <v>57.55</v>
      </c>
      <c r="CT6" s="40">
        <f t="shared" si="42"/>
        <v>15.8</v>
      </c>
      <c r="CU6" s="40">
        <f t="shared" si="43"/>
        <v>17.14</v>
      </c>
      <c r="CV6" s="40">
        <f t="shared" si="44"/>
        <v>59.84</v>
      </c>
      <c r="CW6" s="40">
        <f t="shared" si="45"/>
        <v>59.84</v>
      </c>
      <c r="CX6" s="40">
        <f t="shared" si="46"/>
        <v>16.2</v>
      </c>
      <c r="CY6" s="40">
        <f t="shared" si="47"/>
        <v>17.010000000000002</v>
      </c>
      <c r="CZ6" s="40">
        <f t="shared" si="48"/>
        <v>57.81</v>
      </c>
      <c r="DA6" s="40">
        <f t="shared" si="49"/>
        <v>117.65</v>
      </c>
      <c r="DB6" s="51" t="str">
        <f t="shared" si="50"/>
        <v/>
      </c>
      <c r="DC6" s="51" t="str">
        <f t="shared" si="51"/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 t="shared" si="52"/>
        <v/>
      </c>
      <c r="DY6" s="40" t="str">
        <f t="shared" si="53"/>
        <v/>
      </c>
      <c r="DZ6" s="40" t="str">
        <f t="shared" si="54"/>
        <v/>
      </c>
      <c r="EA6" s="40" t="str">
        <f t="shared" si="55"/>
        <v/>
      </c>
      <c r="EB6" s="40" t="str">
        <f t="shared" si="56"/>
        <v/>
      </c>
      <c r="EC6" s="40" t="str">
        <f t="shared" si="57"/>
        <v/>
      </c>
      <c r="ED6" s="40" t="str">
        <f t="shared" si="58"/>
        <v/>
      </c>
      <c r="EE6" s="40" t="str">
        <f t="shared" si="59"/>
        <v/>
      </c>
      <c r="EF6" s="40" t="str">
        <f t="shared" si="60"/>
        <v/>
      </c>
      <c r="EG6" s="40" t="str">
        <f t="shared" si="61"/>
        <v/>
      </c>
      <c r="EH6" s="40" t="str">
        <f t="shared" si="62"/>
        <v/>
      </c>
      <c r="EI6" s="40" t="str">
        <f t="shared" si="63"/>
        <v/>
      </c>
      <c r="EJ6" s="40" t="str">
        <f t="shared" si="64"/>
        <v/>
      </c>
      <c r="EK6" s="40" t="str">
        <f t="shared" si="65"/>
        <v/>
      </c>
      <c r="EL6" s="18">
        <v>14.4</v>
      </c>
      <c r="EM6" s="18">
        <v>8.8000000000000007</v>
      </c>
      <c r="EN6" s="18">
        <v>16.2</v>
      </c>
      <c r="EO6" s="18">
        <v>16.54</v>
      </c>
      <c r="EP6" s="18">
        <v>0</v>
      </c>
      <c r="EQ6" s="18">
        <v>2.8</v>
      </c>
      <c r="ER6" s="18">
        <v>1.8</v>
      </c>
      <c r="ES6" s="18">
        <v>3.8</v>
      </c>
      <c r="ET6" s="18">
        <v>3.65</v>
      </c>
      <c r="EU6" s="18">
        <v>0</v>
      </c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>
        <f t="shared" si="66"/>
        <v>16.2</v>
      </c>
      <c r="FG6" s="11">
        <f t="shared" si="67"/>
        <v>16.54</v>
      </c>
      <c r="FH6" s="11">
        <f t="shared" si="68"/>
        <v>55.940000000000005</v>
      </c>
      <c r="FI6" s="11">
        <f t="shared" si="69"/>
        <v>3.8</v>
      </c>
      <c r="FJ6" s="11">
        <f t="shared" si="70"/>
        <v>3.65</v>
      </c>
      <c r="FK6" s="11">
        <f t="shared" si="71"/>
        <v>12.049999999999999</v>
      </c>
      <c r="FL6" s="11">
        <f t="shared" si="72"/>
        <v>55.940000000000005</v>
      </c>
      <c r="FM6" s="11" t="str">
        <f t="shared" si="73"/>
        <v/>
      </c>
      <c r="FN6" s="11" t="str">
        <f t="shared" si="74"/>
        <v/>
      </c>
      <c r="FO6" s="11" t="str">
        <f t="shared" si="75"/>
        <v/>
      </c>
      <c r="FP6" s="11" t="str">
        <f t="shared" si="76"/>
        <v/>
      </c>
      <c r="FQ6" s="11" t="str">
        <f t="shared" si="77"/>
        <v/>
      </c>
      <c r="FR6" s="11" t="str">
        <f t="shared" si="78"/>
        <v/>
      </c>
      <c r="FS6" s="11">
        <f t="shared" si="79"/>
        <v>55.940000000000005</v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 t="shared" si="80"/>
        <v/>
      </c>
      <c r="GO6" s="40" t="str">
        <f t="shared" si="81"/>
        <v/>
      </c>
      <c r="GP6" s="40" t="str">
        <f t="shared" si="82"/>
        <v/>
      </c>
      <c r="GQ6" s="40" t="str">
        <f t="shared" si="83"/>
        <v/>
      </c>
      <c r="GR6" s="40" t="str">
        <f t="shared" si="84"/>
        <v/>
      </c>
      <c r="GS6" s="40" t="str">
        <f t="shared" si="85"/>
        <v/>
      </c>
      <c r="GT6" s="40" t="str">
        <f t="shared" si="86"/>
        <v/>
      </c>
      <c r="GU6" s="40" t="str">
        <f t="shared" si="87"/>
        <v/>
      </c>
      <c r="GV6" s="40" t="str">
        <f t="shared" si="88"/>
        <v/>
      </c>
      <c r="GW6" s="40" t="str">
        <f t="shared" si="89"/>
        <v/>
      </c>
      <c r="GX6" s="40" t="str">
        <f t="shared" si="90"/>
        <v/>
      </c>
      <c r="GY6" s="40" t="str">
        <f t="shared" si="91"/>
        <v/>
      </c>
      <c r="GZ6" s="40" t="str">
        <f t="shared" si="92"/>
        <v/>
      </c>
      <c r="HA6" s="40" t="str">
        <f t="shared" si="93"/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 t="shared" si="94"/>
        <v/>
      </c>
      <c r="HW6" s="11" t="str">
        <f t="shared" si="95"/>
        <v/>
      </c>
      <c r="HX6" s="11" t="str">
        <f t="shared" si="96"/>
        <v/>
      </c>
      <c r="HY6" s="11" t="str">
        <f t="shared" si="97"/>
        <v/>
      </c>
      <c r="HZ6" s="11" t="str">
        <f t="shared" si="98"/>
        <v/>
      </c>
      <c r="IA6" s="11" t="str">
        <f t="shared" si="99"/>
        <v/>
      </c>
      <c r="IB6" s="11" t="str">
        <f t="shared" si="100"/>
        <v/>
      </c>
      <c r="IC6" s="11" t="str">
        <f t="shared" si="101"/>
        <v/>
      </c>
      <c r="ID6" s="11" t="str">
        <f t="shared" si="102"/>
        <v/>
      </c>
      <c r="IE6" s="11" t="str">
        <f t="shared" si="103"/>
        <v/>
      </c>
      <c r="IF6" s="11" t="str">
        <f t="shared" si="104"/>
        <v/>
      </c>
      <c r="IG6" s="11" t="str">
        <f t="shared" si="105"/>
        <v/>
      </c>
      <c r="IH6" s="11" t="str">
        <f t="shared" si="106"/>
        <v/>
      </c>
      <c r="II6" s="11" t="str">
        <f t="shared" si="107"/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 t="shared" si="108"/>
        <v/>
      </c>
      <c r="JE6" s="40" t="str">
        <f t="shared" si="109"/>
        <v/>
      </c>
      <c r="JF6" s="40" t="str">
        <f t="shared" si="110"/>
        <v/>
      </c>
      <c r="JG6" s="40" t="str">
        <f t="shared" si="111"/>
        <v/>
      </c>
      <c r="JH6" s="40" t="str">
        <f t="shared" si="112"/>
        <v/>
      </c>
      <c r="JI6" s="40" t="str">
        <f t="shared" si="113"/>
        <v/>
      </c>
      <c r="JJ6" s="40" t="str">
        <f t="shared" si="114"/>
        <v/>
      </c>
      <c r="JK6" s="40" t="str">
        <f t="shared" si="115"/>
        <v/>
      </c>
      <c r="JL6" s="40" t="str">
        <f t="shared" si="116"/>
        <v/>
      </c>
      <c r="JM6" s="40" t="str">
        <f t="shared" si="117"/>
        <v/>
      </c>
      <c r="JN6" s="40" t="str">
        <f t="shared" si="118"/>
        <v/>
      </c>
      <c r="JO6" s="40" t="str">
        <f t="shared" si="119"/>
        <v/>
      </c>
      <c r="JP6" s="40" t="str">
        <f t="shared" si="120"/>
        <v/>
      </c>
      <c r="JQ6" s="40" t="str">
        <f t="shared" si="121"/>
        <v/>
      </c>
      <c r="JR6" s="18">
        <v>14.7</v>
      </c>
      <c r="JS6" s="18">
        <v>9</v>
      </c>
      <c r="JT6" s="18">
        <v>15.8</v>
      </c>
      <c r="JU6" s="18">
        <v>16.920000000000002</v>
      </c>
      <c r="JV6" s="18">
        <v>0.2</v>
      </c>
      <c r="JW6" s="18">
        <v>1.6</v>
      </c>
      <c r="JX6" s="18">
        <v>0.8</v>
      </c>
      <c r="JY6" s="18">
        <v>2</v>
      </c>
      <c r="JZ6" s="18">
        <v>1.83</v>
      </c>
      <c r="KA6" s="18">
        <v>0</v>
      </c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>
        <f t="shared" si="122"/>
        <v>15.8</v>
      </c>
      <c r="KM6" s="11">
        <f t="shared" si="123"/>
        <v>16.920000000000002</v>
      </c>
      <c r="KN6" s="11">
        <f t="shared" si="124"/>
        <v>56.22</v>
      </c>
      <c r="KO6" s="11">
        <f t="shared" si="125"/>
        <v>2</v>
      </c>
      <c r="KP6" s="11">
        <f t="shared" si="126"/>
        <v>1.83</v>
      </c>
      <c r="KQ6" s="11">
        <f t="shared" si="127"/>
        <v>6.23</v>
      </c>
      <c r="KR6" s="11">
        <f t="shared" si="128"/>
        <v>56.22</v>
      </c>
      <c r="KS6" s="11" t="str">
        <f t="shared" si="129"/>
        <v/>
      </c>
      <c r="KT6" s="11" t="str">
        <f t="shared" si="130"/>
        <v/>
      </c>
      <c r="KU6" s="11" t="str">
        <f t="shared" si="131"/>
        <v/>
      </c>
      <c r="KV6" s="11" t="str">
        <f t="shared" si="132"/>
        <v/>
      </c>
      <c r="KW6" s="11" t="str">
        <f t="shared" si="133"/>
        <v/>
      </c>
      <c r="KX6" s="11" t="str">
        <f t="shared" si="134"/>
        <v/>
      </c>
      <c r="KY6" s="11">
        <f t="shared" si="135"/>
        <v>56.22</v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 t="shared" si="136"/>
        <v/>
      </c>
      <c r="LU6" s="40" t="str">
        <f t="shared" si="137"/>
        <v/>
      </c>
      <c r="LV6" s="40" t="str">
        <f t="shared" si="138"/>
        <v/>
      </c>
      <c r="LW6" s="40" t="str">
        <f t="shared" si="139"/>
        <v/>
      </c>
      <c r="LX6" s="40" t="str">
        <f t="shared" si="140"/>
        <v/>
      </c>
      <c r="LY6" s="40" t="str">
        <f t="shared" si="141"/>
        <v/>
      </c>
      <c r="LZ6" s="40" t="str">
        <f t="shared" si="142"/>
        <v/>
      </c>
      <c r="MA6" s="40" t="str">
        <f t="shared" si="143"/>
        <v/>
      </c>
      <c r="MB6" s="40" t="str">
        <f t="shared" si="144"/>
        <v/>
      </c>
      <c r="MC6" s="40" t="str">
        <f t="shared" si="145"/>
        <v/>
      </c>
      <c r="MD6" s="40" t="str">
        <f t="shared" si="146"/>
        <v/>
      </c>
      <c r="ME6" s="40" t="str">
        <f t="shared" si="147"/>
        <v/>
      </c>
      <c r="MF6" s="40" t="str">
        <f t="shared" si="148"/>
        <v/>
      </c>
      <c r="MG6" s="40" t="str">
        <f t="shared" si="149"/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 t="shared" si="150"/>
        <v/>
      </c>
      <c r="NC6" s="11" t="str">
        <f t="shared" si="151"/>
        <v/>
      </c>
      <c r="ND6" s="11" t="str">
        <f t="shared" si="152"/>
        <v/>
      </c>
      <c r="NE6" s="11" t="str">
        <f t="shared" si="153"/>
        <v/>
      </c>
      <c r="NF6" s="11" t="str">
        <f t="shared" si="154"/>
        <v/>
      </c>
      <c r="NG6" s="11" t="str">
        <f t="shared" si="155"/>
        <v/>
      </c>
      <c r="NH6" s="11" t="str">
        <f t="shared" si="156"/>
        <v/>
      </c>
      <c r="NI6" s="11" t="str">
        <f t="shared" si="157"/>
        <v/>
      </c>
      <c r="NJ6" s="11" t="str">
        <f t="shared" si="158"/>
        <v/>
      </c>
      <c r="NK6" s="11" t="str">
        <f t="shared" si="159"/>
        <v/>
      </c>
      <c r="NL6" s="11" t="str">
        <f t="shared" si="160"/>
        <v/>
      </c>
      <c r="NM6" s="11" t="str">
        <f t="shared" si="161"/>
        <v/>
      </c>
      <c r="NN6" s="11" t="str">
        <f t="shared" si="162"/>
        <v/>
      </c>
      <c r="NO6" s="11" t="str">
        <f t="shared" si="163"/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 t="shared" si="164"/>
        <v/>
      </c>
      <c r="OK6" s="40" t="str">
        <f t="shared" si="165"/>
        <v/>
      </c>
      <c r="OL6" s="40" t="str">
        <f t="shared" si="166"/>
        <v/>
      </c>
      <c r="OM6" s="40" t="str">
        <f t="shared" si="167"/>
        <v/>
      </c>
      <c r="ON6" s="40" t="str">
        <f t="shared" si="168"/>
        <v/>
      </c>
      <c r="OO6" s="40" t="str">
        <f t="shared" si="169"/>
        <v/>
      </c>
      <c r="OP6" s="40" t="str">
        <f t="shared" si="170"/>
        <v/>
      </c>
      <c r="OQ6" s="40" t="str">
        <f t="shared" si="171"/>
        <v/>
      </c>
      <c r="OR6" s="40" t="str">
        <f t="shared" si="172"/>
        <v/>
      </c>
      <c r="OS6" s="40" t="str">
        <f t="shared" si="173"/>
        <v/>
      </c>
      <c r="OT6" s="40" t="str">
        <f t="shared" si="174"/>
        <v/>
      </c>
      <c r="OU6" s="40" t="str">
        <f t="shared" si="175"/>
        <v/>
      </c>
      <c r="OV6" s="40" t="str">
        <f t="shared" si="176"/>
        <v/>
      </c>
      <c r="OW6" s="40" t="str">
        <f t="shared" si="177"/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 t="shared" si="178"/>
        <v/>
      </c>
      <c r="PS6" s="11" t="str">
        <f t="shared" si="179"/>
        <v/>
      </c>
      <c r="PT6" s="11" t="str">
        <f t="shared" si="180"/>
        <v/>
      </c>
      <c r="PU6" s="11" t="str">
        <f t="shared" si="181"/>
        <v/>
      </c>
      <c r="PV6" s="11" t="str">
        <f t="shared" si="182"/>
        <v/>
      </c>
      <c r="PW6" s="11" t="str">
        <f t="shared" si="183"/>
        <v/>
      </c>
      <c r="PX6" s="11" t="str">
        <f t="shared" si="184"/>
        <v/>
      </c>
      <c r="PY6" s="11" t="str">
        <f t="shared" si="185"/>
        <v/>
      </c>
      <c r="PZ6" s="11" t="str">
        <f t="shared" si="186"/>
        <v/>
      </c>
      <c r="QA6" s="11" t="str">
        <f t="shared" si="187"/>
        <v/>
      </c>
      <c r="QB6" s="11" t="str">
        <f t="shared" si="188"/>
        <v/>
      </c>
      <c r="QC6" s="11" t="str">
        <f t="shared" si="189"/>
        <v/>
      </c>
      <c r="QD6" s="11" t="str">
        <f t="shared" si="190"/>
        <v/>
      </c>
      <c r="QE6" s="11" t="str">
        <f t="shared" si="191"/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 t="shared" si="192"/>
        <v/>
      </c>
      <c r="RA6" s="40" t="str">
        <f t="shared" si="193"/>
        <v/>
      </c>
      <c r="RB6" s="40" t="str">
        <f t="shared" si="194"/>
        <v/>
      </c>
      <c r="RC6" s="40" t="str">
        <f t="shared" si="195"/>
        <v/>
      </c>
      <c r="RD6" s="40" t="str">
        <f t="shared" si="196"/>
        <v/>
      </c>
      <c r="RE6" s="40" t="str">
        <f t="shared" si="197"/>
        <v/>
      </c>
      <c r="RF6" s="40" t="str">
        <f t="shared" si="198"/>
        <v/>
      </c>
      <c r="RG6" s="40" t="str">
        <f t="shared" si="199"/>
        <v/>
      </c>
      <c r="RH6" s="40" t="str">
        <f t="shared" si="200"/>
        <v/>
      </c>
      <c r="RI6" s="40" t="str">
        <f t="shared" si="201"/>
        <v/>
      </c>
      <c r="RJ6" s="40" t="str">
        <f t="shared" si="202"/>
        <v/>
      </c>
      <c r="RK6" s="40" t="str">
        <f t="shared" si="203"/>
        <v/>
      </c>
      <c r="RL6" s="40" t="str">
        <f t="shared" si="204"/>
        <v/>
      </c>
      <c r="RM6" s="40" t="str">
        <f t="shared" si="205"/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 t="shared" si="206"/>
        <v/>
      </c>
      <c r="SI6" s="11" t="str">
        <f t="shared" si="207"/>
        <v/>
      </c>
      <c r="SJ6" s="11" t="str">
        <f t="shared" si="208"/>
        <v/>
      </c>
      <c r="SK6" s="11" t="str">
        <f t="shared" si="209"/>
        <v/>
      </c>
      <c r="SL6" s="11" t="str">
        <f t="shared" si="210"/>
        <v/>
      </c>
      <c r="SM6" s="11" t="str">
        <f t="shared" si="211"/>
        <v/>
      </c>
      <c r="SN6" s="11" t="str">
        <f t="shared" si="212"/>
        <v/>
      </c>
      <c r="SO6" s="11" t="str">
        <f t="shared" si="213"/>
        <v/>
      </c>
      <c r="SP6" s="11" t="str">
        <f t="shared" si="214"/>
        <v/>
      </c>
      <c r="SQ6" s="11" t="str">
        <f t="shared" si="215"/>
        <v/>
      </c>
      <c r="SR6" s="11" t="str">
        <f t="shared" si="216"/>
        <v/>
      </c>
      <c r="SS6" s="11" t="str">
        <f t="shared" si="217"/>
        <v/>
      </c>
      <c r="ST6" s="11" t="str">
        <f t="shared" si="218"/>
        <v/>
      </c>
      <c r="SU6" s="11" t="str">
        <f t="shared" si="219"/>
        <v/>
      </c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17"/>
      <c r="TI6" s="17"/>
      <c r="TJ6" s="17"/>
      <c r="TK6" s="17"/>
      <c r="TL6" s="17"/>
      <c r="TM6" s="17"/>
      <c r="TN6" s="17"/>
      <c r="TO6" s="17"/>
      <c r="TP6" s="40" t="str">
        <f t="shared" si="220"/>
        <v/>
      </c>
      <c r="TQ6" s="40" t="str">
        <f t="shared" si="221"/>
        <v/>
      </c>
      <c r="TR6" s="40" t="str">
        <f t="shared" si="222"/>
        <v/>
      </c>
      <c r="TS6" s="40" t="str">
        <f t="shared" si="223"/>
        <v/>
      </c>
      <c r="TT6" s="40" t="str">
        <f t="shared" si="224"/>
        <v/>
      </c>
      <c r="TU6" s="40" t="str">
        <f t="shared" si="225"/>
        <v/>
      </c>
      <c r="TV6" s="40" t="str">
        <f t="shared" si="226"/>
        <v/>
      </c>
      <c r="TW6" s="40" t="str">
        <f t="shared" si="227"/>
        <v/>
      </c>
      <c r="TX6" s="40" t="str">
        <f t="shared" si="228"/>
        <v/>
      </c>
      <c r="TY6" s="40" t="str">
        <f t="shared" si="229"/>
        <v/>
      </c>
      <c r="TZ6" s="40" t="str">
        <f t="shared" si="230"/>
        <v/>
      </c>
      <c r="UA6" s="40" t="str">
        <f t="shared" si="231"/>
        <v/>
      </c>
      <c r="UB6" s="40" t="str">
        <f t="shared" si="232"/>
        <v/>
      </c>
      <c r="UC6" s="40" t="str">
        <f t="shared" si="233"/>
        <v/>
      </c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8"/>
      <c r="UQ6" s="18"/>
      <c r="UR6" s="18"/>
      <c r="US6" s="18"/>
      <c r="UT6" s="18"/>
      <c r="UU6" s="18"/>
      <c r="UV6" s="18"/>
      <c r="UW6" s="18"/>
      <c r="UX6" s="11" t="str">
        <f t="shared" si="234"/>
        <v/>
      </c>
      <c r="UY6" s="11" t="str">
        <f t="shared" si="235"/>
        <v/>
      </c>
      <c r="UZ6" s="11" t="str">
        <f t="shared" si="236"/>
        <v/>
      </c>
      <c r="VA6" s="11" t="str">
        <f t="shared" si="237"/>
        <v/>
      </c>
      <c r="VB6" s="11" t="str">
        <f t="shared" si="238"/>
        <v/>
      </c>
      <c r="VC6" s="11" t="str">
        <f t="shared" si="239"/>
        <v/>
      </c>
      <c r="VD6" s="11" t="str">
        <f t="shared" si="240"/>
        <v/>
      </c>
      <c r="VE6" s="11" t="str">
        <f t="shared" si="241"/>
        <v/>
      </c>
      <c r="VF6" s="11" t="str">
        <f t="shared" si="242"/>
        <v/>
      </c>
      <c r="VG6" s="11" t="str">
        <f t="shared" si="243"/>
        <v/>
      </c>
      <c r="VH6" s="11" t="str">
        <f t="shared" si="244"/>
        <v/>
      </c>
      <c r="VI6" s="11" t="str">
        <f t="shared" si="245"/>
        <v/>
      </c>
      <c r="VJ6" s="11" t="str">
        <f t="shared" si="246"/>
        <v/>
      </c>
      <c r="VK6" s="11" t="str">
        <f t="shared" si="247"/>
        <v/>
      </c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17"/>
      <c r="VY6" s="17"/>
      <c r="VZ6" s="17"/>
      <c r="WA6" s="17"/>
      <c r="WB6" s="17"/>
      <c r="WC6" s="17"/>
      <c r="WD6" s="17"/>
      <c r="WE6" s="17"/>
      <c r="WF6" s="40" t="str">
        <f t="shared" si="248"/>
        <v/>
      </c>
      <c r="WG6" s="40" t="str">
        <f t="shared" si="249"/>
        <v/>
      </c>
      <c r="WH6" s="40" t="str">
        <f t="shared" si="250"/>
        <v/>
      </c>
      <c r="WI6" s="40" t="str">
        <f t="shared" si="251"/>
        <v/>
      </c>
      <c r="WJ6" s="40" t="str">
        <f t="shared" si="252"/>
        <v/>
      </c>
      <c r="WK6" s="40" t="str">
        <f t="shared" si="253"/>
        <v/>
      </c>
      <c r="WL6" s="40" t="str">
        <f t="shared" si="254"/>
        <v/>
      </c>
      <c r="WM6" s="40" t="str">
        <f t="shared" si="255"/>
        <v/>
      </c>
      <c r="WN6" s="40" t="str">
        <f t="shared" si="256"/>
        <v/>
      </c>
      <c r="WO6" s="40" t="str">
        <f t="shared" si="257"/>
        <v/>
      </c>
      <c r="WP6" s="40" t="str">
        <f t="shared" si="258"/>
        <v/>
      </c>
      <c r="WQ6" s="40" t="str">
        <f t="shared" si="259"/>
        <v/>
      </c>
      <c r="WR6" s="40" t="str">
        <f t="shared" si="260"/>
        <v/>
      </c>
      <c r="WS6" s="40" t="str">
        <f t="shared" si="261"/>
        <v/>
      </c>
      <c r="WT6" s="26">
        <f t="shared" si="262"/>
        <v>16.549999999999997</v>
      </c>
      <c r="WU6" s="26">
        <f t="shared" si="263"/>
        <v>8.65</v>
      </c>
      <c r="WV6" s="26">
        <f t="shared" si="264"/>
        <v>15.2</v>
      </c>
      <c r="WW6" s="26">
        <f t="shared" si="265"/>
        <v>16.655000000000001</v>
      </c>
      <c r="WX6" s="26">
        <f t="shared" si="266"/>
        <v>0</v>
      </c>
      <c r="WY6" s="26">
        <f t="shared" si="267"/>
        <v>16.649999999999999</v>
      </c>
      <c r="WZ6" s="26">
        <f t="shared" si="268"/>
        <v>9</v>
      </c>
      <c r="XA6" s="26">
        <f t="shared" si="269"/>
        <v>15.15</v>
      </c>
      <c r="XB6" s="26">
        <f t="shared" si="270"/>
        <v>16.625</v>
      </c>
      <c r="XC6" s="26">
        <f t="shared" si="271"/>
        <v>0</v>
      </c>
      <c r="XD6" s="26">
        <f t="shared" si="272"/>
        <v>15.55</v>
      </c>
      <c r="XE6" s="26">
        <f t="shared" si="273"/>
        <v>8.9499999999999993</v>
      </c>
      <c r="XF6" s="26">
        <f t="shared" si="274"/>
        <v>15.6</v>
      </c>
      <c r="XG6" s="26">
        <f t="shared" si="275"/>
        <v>16.495000000000001</v>
      </c>
      <c r="XH6" s="26">
        <f t="shared" si="276"/>
        <v>0</v>
      </c>
      <c r="XI6" s="28" t="s">
        <v>53</v>
      </c>
      <c r="XJ6" s="11">
        <f t="shared" si="277"/>
        <v>15.2</v>
      </c>
      <c r="XK6" s="11">
        <f t="shared" si="278"/>
        <v>16.655000000000001</v>
      </c>
      <c r="XL6" s="11">
        <f t="shared" si="279"/>
        <v>57.054999999999993</v>
      </c>
      <c r="XM6" s="11">
        <f t="shared" si="280"/>
        <v>15.15</v>
      </c>
      <c r="XN6" s="11">
        <f t="shared" si="281"/>
        <v>16.625</v>
      </c>
      <c r="XO6" s="11">
        <f t="shared" si="282"/>
        <v>57.424999999999997</v>
      </c>
      <c r="XP6" s="11">
        <f t="shared" si="283"/>
        <v>57.424999999999997</v>
      </c>
      <c r="XQ6" s="11">
        <f t="shared" si="284"/>
        <v>15.6</v>
      </c>
      <c r="XR6" s="11">
        <f t="shared" si="285"/>
        <v>16.495000000000001</v>
      </c>
      <c r="XS6" s="11">
        <f t="shared" si="286"/>
        <v>56.594999999999999</v>
      </c>
      <c r="XT6" s="11">
        <f t="shared" si="287"/>
        <v>114.02</v>
      </c>
    </row>
    <row r="7" spans="1:644" x14ac:dyDescent="0.2">
      <c r="A7" s="4" cm="1">
        <f t="array" ref="A7">IF(AND(H7&lt;&gt;"",H7&lt;&gt;"No DD"),SUMPRODUCT((H$4:H$25&lt;&gt;"")*(H$4:H$25&lt;&gt;"No DD")*(E$4:E$25&gt;E7))+1,IF(H7="No DD",SUMPRODUCT((H$4:H$25="No DD")*(E$4:E$25&gt;E7))+1+SUMPRODUCT((H$4:H$25&lt;&gt;"")*(H$4:H$25&lt;&gt;"No DD")),""))</f>
        <v>4</v>
      </c>
      <c r="B7" s="5" t="s">
        <v>167</v>
      </c>
      <c r="C7" s="4" t="s">
        <v>7</v>
      </c>
      <c r="D7" s="4">
        <v>2006</v>
      </c>
      <c r="E7" s="9">
        <f t="shared" si="0"/>
        <v>257.99002579900565</v>
      </c>
      <c r="F7" s="3" t="str">
        <f t="shared" si="1"/>
        <v>P</v>
      </c>
      <c r="G7" s="3" t="str">
        <f t="shared" si="2"/>
        <v>P</v>
      </c>
      <c r="H7" s="36" t="str">
        <f t="shared" si="3"/>
        <v>Excellence</v>
      </c>
      <c r="I7" s="3" t="str">
        <f t="shared" si="4"/>
        <v>P</v>
      </c>
      <c r="J7" s="8">
        <f>IF(COUNT(AQ7,AT7,BR7,BU7,CS7,CV7)&gt;0,LARGE((AQ7,AT7,BR7,BU7,CS7,CV7),1),0)</f>
        <v>56.34</v>
      </c>
      <c r="K7" s="8" t="str">
        <f t="shared" si="5"/>
        <v>2024 Nationals</v>
      </c>
      <c r="L7" s="8">
        <f>IF(COUNT(AQ7,AT7,BR7,BU7,CS7,CV7)&gt;1,LARGE((AQ7,AT7,BR7,BU7,CS7,CV7),2),0)</f>
        <v>56.190000000000005</v>
      </c>
      <c r="M7" s="8" t="str">
        <f t="shared" si="6"/>
        <v>2024 3rd Domestic Trial</v>
      </c>
      <c r="N7" s="8">
        <f>IF(COUNT(AQ7,AT7,BR7,BU7,CS7,CV7)&gt;2,LARGE((AQ7,AT7,BR7,BU7,CS7,CV7),3),0)</f>
        <v>55.72</v>
      </c>
      <c r="O7" s="8" t="str">
        <f t="shared" si="7"/>
        <v>2024 Elite Canada</v>
      </c>
      <c r="P7" s="8">
        <f t="shared" si="8"/>
        <v>57.120000000000005</v>
      </c>
      <c r="Q7" s="8" t="str">
        <f t="shared" si="9"/>
        <v>2024 3rd Domestic Trial</v>
      </c>
      <c r="R7" s="8">
        <f t="shared" si="10"/>
        <v>16.2</v>
      </c>
      <c r="S7" s="8" t="str">
        <f t="shared" si="11"/>
        <v>2024 3rd Domestic Trial</v>
      </c>
      <c r="T7" s="8">
        <f t="shared" si="12"/>
        <v>16.420000000000002</v>
      </c>
      <c r="U7" s="8" t="str">
        <f t="shared" si="13"/>
        <v>2024 3rd Domestic Trial</v>
      </c>
      <c r="V7" s="8" t="str">
        <f t="shared" si="14"/>
        <v/>
      </c>
      <c r="W7" s="11" t="str">
        <f t="shared" si="15"/>
        <v/>
      </c>
      <c r="X7" s="8" t="str">
        <f t="shared" si="16"/>
        <v/>
      </c>
      <c r="Y7" s="22">
        <v>15.7</v>
      </c>
      <c r="Z7" s="22">
        <v>9.5</v>
      </c>
      <c r="AA7" s="22">
        <v>15.4</v>
      </c>
      <c r="AB7" s="22">
        <v>14.39</v>
      </c>
      <c r="AC7" s="22">
        <v>0</v>
      </c>
      <c r="AD7" s="22">
        <v>16.100000000000001</v>
      </c>
      <c r="AE7" s="22">
        <v>9.1999999999999993</v>
      </c>
      <c r="AF7" s="22">
        <v>15.4</v>
      </c>
      <c r="AG7" s="22">
        <v>15.02</v>
      </c>
      <c r="AH7" s="22">
        <v>0</v>
      </c>
      <c r="AI7" s="22">
        <v>15</v>
      </c>
      <c r="AJ7" s="22">
        <v>8.8000000000000007</v>
      </c>
      <c r="AK7" s="22">
        <v>13.5</v>
      </c>
      <c r="AL7" s="22">
        <v>14.31</v>
      </c>
      <c r="AM7" s="22">
        <v>0</v>
      </c>
      <c r="AN7" s="27"/>
      <c r="AO7" s="38">
        <f t="shared" si="17"/>
        <v>15.4</v>
      </c>
      <c r="AP7" s="38">
        <f t="shared" si="18"/>
        <v>14.39</v>
      </c>
      <c r="AQ7" s="40">
        <f t="shared" si="19"/>
        <v>54.99</v>
      </c>
      <c r="AR7" s="40">
        <f t="shared" si="20"/>
        <v>15.4</v>
      </c>
      <c r="AS7" s="40">
        <f t="shared" si="21"/>
        <v>15.02</v>
      </c>
      <c r="AT7" s="40">
        <f t="shared" si="22"/>
        <v>55.72</v>
      </c>
      <c r="AU7" s="40">
        <f t="shared" si="23"/>
        <v>55.72</v>
      </c>
      <c r="AV7" s="40">
        <f t="shared" si="24"/>
        <v>13.5</v>
      </c>
      <c r="AW7" s="40">
        <f t="shared" si="25"/>
        <v>14.31</v>
      </c>
      <c r="AX7" s="40">
        <f t="shared" si="26"/>
        <v>51.61</v>
      </c>
      <c r="AY7" s="40">
        <f t="shared" si="27"/>
        <v>107.33</v>
      </c>
      <c r="AZ7" s="26">
        <v>3.2</v>
      </c>
      <c r="BA7" s="26">
        <v>1.9</v>
      </c>
      <c r="BB7" s="26">
        <v>3.2</v>
      </c>
      <c r="BC7" s="26">
        <v>3.48</v>
      </c>
      <c r="BD7" s="26">
        <v>0</v>
      </c>
      <c r="BE7" s="26">
        <v>15.4</v>
      </c>
      <c r="BF7" s="26">
        <v>9.3000000000000007</v>
      </c>
      <c r="BG7" s="26">
        <v>16</v>
      </c>
      <c r="BH7" s="26">
        <v>15.64</v>
      </c>
      <c r="BI7" s="26">
        <v>0</v>
      </c>
      <c r="BJ7" s="26">
        <v>15.8</v>
      </c>
      <c r="BK7" s="26">
        <v>9.1</v>
      </c>
      <c r="BL7" s="26">
        <v>16</v>
      </c>
      <c r="BM7" s="26">
        <v>15.5</v>
      </c>
      <c r="BN7" s="26">
        <v>0</v>
      </c>
      <c r="BO7" s="28"/>
      <c r="BP7" s="39">
        <f t="shared" si="28"/>
        <v>3.2</v>
      </c>
      <c r="BQ7" s="39">
        <f t="shared" si="29"/>
        <v>3.48</v>
      </c>
      <c r="BR7" s="11">
        <f t="shared" si="30"/>
        <v>11.780000000000001</v>
      </c>
      <c r="BS7" s="11">
        <f t="shared" si="31"/>
        <v>16</v>
      </c>
      <c r="BT7" s="11">
        <f t="shared" si="32"/>
        <v>15.64</v>
      </c>
      <c r="BU7" s="11">
        <f t="shared" si="33"/>
        <v>56.34</v>
      </c>
      <c r="BV7" s="11">
        <f t="shared" si="34"/>
        <v>56.34</v>
      </c>
      <c r="BW7" s="11">
        <f t="shared" si="35"/>
        <v>16</v>
      </c>
      <c r="BX7" s="11">
        <f t="shared" si="36"/>
        <v>15.5</v>
      </c>
      <c r="BY7" s="11">
        <f t="shared" si="37"/>
        <v>56.4</v>
      </c>
      <c r="BZ7" s="11">
        <f t="shared" si="38"/>
        <v>112.74000000000001</v>
      </c>
      <c r="CA7" s="22">
        <v>3.1</v>
      </c>
      <c r="CB7" s="22">
        <v>1.8</v>
      </c>
      <c r="CC7" s="22">
        <v>3.8</v>
      </c>
      <c r="CD7" s="22">
        <v>3.5</v>
      </c>
      <c r="CE7" s="22">
        <v>0</v>
      </c>
      <c r="CF7" s="22">
        <v>15</v>
      </c>
      <c r="CG7" s="22">
        <v>9</v>
      </c>
      <c r="CH7" s="22">
        <v>16.2</v>
      </c>
      <c r="CI7" s="22">
        <v>15.99</v>
      </c>
      <c r="CJ7" s="22">
        <v>0</v>
      </c>
      <c r="CK7" s="22">
        <v>16</v>
      </c>
      <c r="CL7" s="22">
        <v>8.5</v>
      </c>
      <c r="CM7" s="22">
        <v>16.2</v>
      </c>
      <c r="CN7" s="22">
        <v>16.420000000000002</v>
      </c>
      <c r="CO7" s="22">
        <v>0</v>
      </c>
      <c r="CP7" s="27"/>
      <c r="CQ7" s="38">
        <f t="shared" si="39"/>
        <v>3.8</v>
      </c>
      <c r="CR7" s="38">
        <f t="shared" si="40"/>
        <v>3.5</v>
      </c>
      <c r="CS7" s="40">
        <f t="shared" si="41"/>
        <v>12.2</v>
      </c>
      <c r="CT7" s="40">
        <f t="shared" si="42"/>
        <v>16.2</v>
      </c>
      <c r="CU7" s="40">
        <f t="shared" si="43"/>
        <v>15.99</v>
      </c>
      <c r="CV7" s="40">
        <f t="shared" si="44"/>
        <v>56.190000000000005</v>
      </c>
      <c r="CW7" s="40">
        <f t="shared" si="45"/>
        <v>56.190000000000005</v>
      </c>
      <c r="CX7" s="40">
        <f t="shared" si="46"/>
        <v>16.2</v>
      </c>
      <c r="CY7" s="40">
        <f t="shared" si="47"/>
        <v>16.420000000000002</v>
      </c>
      <c r="CZ7" s="40">
        <f t="shared" si="48"/>
        <v>57.120000000000005</v>
      </c>
      <c r="DA7" s="40">
        <f t="shared" si="49"/>
        <v>113.31</v>
      </c>
      <c r="DB7" s="51" t="str">
        <f t="shared" si="50"/>
        <v/>
      </c>
      <c r="DC7" s="51" t="str">
        <f t="shared" si="51"/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 t="shared" si="52"/>
        <v/>
      </c>
      <c r="DY7" s="40" t="str">
        <f t="shared" si="53"/>
        <v/>
      </c>
      <c r="DZ7" s="40" t="str">
        <f t="shared" si="54"/>
        <v/>
      </c>
      <c r="EA7" s="40" t="str">
        <f t="shared" si="55"/>
        <v/>
      </c>
      <c r="EB7" s="40" t="str">
        <f t="shared" si="56"/>
        <v/>
      </c>
      <c r="EC7" s="40" t="str">
        <f t="shared" si="57"/>
        <v/>
      </c>
      <c r="ED7" s="40" t="str">
        <f t="shared" si="58"/>
        <v/>
      </c>
      <c r="EE7" s="40" t="str">
        <f t="shared" si="59"/>
        <v/>
      </c>
      <c r="EF7" s="40" t="str">
        <f t="shared" si="60"/>
        <v/>
      </c>
      <c r="EG7" s="40" t="str">
        <f t="shared" si="61"/>
        <v/>
      </c>
      <c r="EH7" s="40" t="str">
        <f t="shared" si="62"/>
        <v/>
      </c>
      <c r="EI7" s="40" t="str">
        <f t="shared" si="63"/>
        <v/>
      </c>
      <c r="EJ7" s="40" t="str">
        <f t="shared" si="64"/>
        <v/>
      </c>
      <c r="EK7" s="40" t="str">
        <f t="shared" si="65"/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 t="shared" si="66"/>
        <v/>
      </c>
      <c r="FG7" s="11" t="str">
        <f t="shared" si="67"/>
        <v/>
      </c>
      <c r="FH7" s="11" t="str">
        <f t="shared" si="68"/>
        <v/>
      </c>
      <c r="FI7" s="11" t="str">
        <f t="shared" si="69"/>
        <v/>
      </c>
      <c r="FJ7" s="11" t="str">
        <f t="shared" si="70"/>
        <v/>
      </c>
      <c r="FK7" s="11" t="str">
        <f t="shared" si="71"/>
        <v/>
      </c>
      <c r="FL7" s="11" t="str">
        <f t="shared" si="72"/>
        <v/>
      </c>
      <c r="FM7" s="11" t="str">
        <f t="shared" si="73"/>
        <v/>
      </c>
      <c r="FN7" s="11" t="str">
        <f t="shared" si="74"/>
        <v/>
      </c>
      <c r="FO7" s="11" t="str">
        <f t="shared" si="75"/>
        <v/>
      </c>
      <c r="FP7" s="11" t="str">
        <f t="shared" si="76"/>
        <v/>
      </c>
      <c r="FQ7" s="11" t="str">
        <f t="shared" si="77"/>
        <v/>
      </c>
      <c r="FR7" s="11" t="str">
        <f t="shared" si="78"/>
        <v/>
      </c>
      <c r="FS7" s="11" t="str">
        <f t="shared" si="79"/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 t="str">
        <f t="shared" si="80"/>
        <v/>
      </c>
      <c r="GO7" s="40" t="str">
        <f t="shared" si="81"/>
        <v/>
      </c>
      <c r="GP7" s="40" t="str">
        <f t="shared" si="82"/>
        <v/>
      </c>
      <c r="GQ7" s="40" t="str">
        <f t="shared" si="83"/>
        <v/>
      </c>
      <c r="GR7" s="40" t="str">
        <f t="shared" si="84"/>
        <v/>
      </c>
      <c r="GS7" s="40" t="str">
        <f t="shared" si="85"/>
        <v/>
      </c>
      <c r="GT7" s="40" t="str">
        <f t="shared" si="86"/>
        <v/>
      </c>
      <c r="GU7" s="40" t="str">
        <f t="shared" si="87"/>
        <v/>
      </c>
      <c r="GV7" s="40" t="str">
        <f t="shared" si="88"/>
        <v/>
      </c>
      <c r="GW7" s="40" t="str">
        <f t="shared" si="89"/>
        <v/>
      </c>
      <c r="GX7" s="40" t="str">
        <f t="shared" si="90"/>
        <v/>
      </c>
      <c r="GY7" s="40" t="str">
        <f t="shared" si="91"/>
        <v/>
      </c>
      <c r="GZ7" s="40" t="str">
        <f t="shared" si="92"/>
        <v/>
      </c>
      <c r="HA7" s="40" t="str">
        <f t="shared" si="93"/>
        <v/>
      </c>
      <c r="HB7" s="18">
        <v>11.8</v>
      </c>
      <c r="HC7" s="18">
        <v>7</v>
      </c>
      <c r="HD7" s="18">
        <v>12.3</v>
      </c>
      <c r="HE7" s="18">
        <v>12.61</v>
      </c>
      <c r="HF7" s="18">
        <v>0</v>
      </c>
      <c r="HG7" s="18">
        <v>14.2</v>
      </c>
      <c r="HH7" s="18">
        <v>9.3000000000000007</v>
      </c>
      <c r="HI7" s="18">
        <v>15.4</v>
      </c>
      <c r="HJ7" s="18">
        <v>15.44</v>
      </c>
      <c r="HK7" s="18">
        <v>0</v>
      </c>
      <c r="HL7" s="18"/>
      <c r="HM7" s="18"/>
      <c r="HN7" s="18"/>
      <c r="HO7" s="18"/>
      <c r="HP7" s="18"/>
      <c r="HQ7" s="18">
        <v>1.6</v>
      </c>
      <c r="HR7" s="18">
        <v>1</v>
      </c>
      <c r="HS7" s="18">
        <v>2</v>
      </c>
      <c r="HT7" s="18">
        <v>1.72</v>
      </c>
      <c r="HU7" s="18">
        <v>0</v>
      </c>
      <c r="HV7" s="11">
        <f t="shared" si="94"/>
        <v>12.3</v>
      </c>
      <c r="HW7" s="11">
        <f t="shared" si="95"/>
        <v>12.61</v>
      </c>
      <c r="HX7" s="11">
        <f t="shared" si="96"/>
        <v>43.71</v>
      </c>
      <c r="HY7" s="11">
        <f t="shared" si="97"/>
        <v>15.4</v>
      </c>
      <c r="HZ7" s="11">
        <f t="shared" si="98"/>
        <v>15.44</v>
      </c>
      <c r="IA7" s="11">
        <f t="shared" si="99"/>
        <v>54.339999999999996</v>
      </c>
      <c r="IB7" s="11">
        <f t="shared" si="100"/>
        <v>54.339999999999996</v>
      </c>
      <c r="IC7" s="11" t="str">
        <f t="shared" si="101"/>
        <v/>
      </c>
      <c r="ID7" s="11" t="str">
        <f t="shared" si="102"/>
        <v/>
      </c>
      <c r="IE7" s="11" t="str">
        <f t="shared" si="103"/>
        <v/>
      </c>
      <c r="IF7" s="11">
        <f t="shared" si="104"/>
        <v>2</v>
      </c>
      <c r="IG7" s="11">
        <f t="shared" si="105"/>
        <v>1.72</v>
      </c>
      <c r="IH7" s="11">
        <f t="shared" si="106"/>
        <v>6.3199999999999994</v>
      </c>
      <c r="II7" s="11">
        <f t="shared" si="107"/>
        <v>60.66</v>
      </c>
      <c r="IJ7" s="17">
        <v>12.8</v>
      </c>
      <c r="IK7" s="17">
        <v>8.9</v>
      </c>
      <c r="IL7" s="17">
        <v>15.4</v>
      </c>
      <c r="IM7" s="17">
        <v>15.56</v>
      </c>
      <c r="IN7" s="17">
        <v>0</v>
      </c>
      <c r="IO7" s="17">
        <v>14.9</v>
      </c>
      <c r="IP7" s="17">
        <v>9.1</v>
      </c>
      <c r="IQ7" s="17">
        <v>15.4</v>
      </c>
      <c r="IR7" s="17">
        <v>15.34</v>
      </c>
      <c r="IS7" s="17">
        <v>0</v>
      </c>
      <c r="IT7" s="17"/>
      <c r="IU7" s="17"/>
      <c r="IV7" s="17"/>
      <c r="IW7" s="17"/>
      <c r="IX7" s="17"/>
      <c r="IY7" s="17">
        <v>4.8</v>
      </c>
      <c r="IZ7" s="17">
        <v>2.8</v>
      </c>
      <c r="JA7" s="17">
        <v>4.9000000000000004</v>
      </c>
      <c r="JB7" s="17">
        <v>5.05</v>
      </c>
      <c r="JC7" s="17">
        <v>0</v>
      </c>
      <c r="JD7" s="40">
        <f t="shared" si="108"/>
        <v>15.4</v>
      </c>
      <c r="JE7" s="40">
        <f t="shared" si="109"/>
        <v>15.56</v>
      </c>
      <c r="JF7" s="40">
        <f t="shared" si="110"/>
        <v>52.660000000000004</v>
      </c>
      <c r="JG7" s="40">
        <f t="shared" si="111"/>
        <v>15.4</v>
      </c>
      <c r="JH7" s="40">
        <f t="shared" si="112"/>
        <v>15.34</v>
      </c>
      <c r="JI7" s="40">
        <f t="shared" si="113"/>
        <v>54.739999999999995</v>
      </c>
      <c r="JJ7" s="40">
        <f t="shared" si="114"/>
        <v>54.739999999999995</v>
      </c>
      <c r="JK7" s="40" t="str">
        <f t="shared" si="115"/>
        <v/>
      </c>
      <c r="JL7" s="40" t="str">
        <f t="shared" si="116"/>
        <v/>
      </c>
      <c r="JM7" s="40" t="str">
        <f t="shared" si="117"/>
        <v/>
      </c>
      <c r="JN7" s="40">
        <f t="shared" si="118"/>
        <v>4.9000000000000004</v>
      </c>
      <c r="JO7" s="40">
        <f t="shared" si="119"/>
        <v>5.05</v>
      </c>
      <c r="JP7" s="40">
        <f t="shared" si="120"/>
        <v>17.55</v>
      </c>
      <c r="JQ7" s="40">
        <f t="shared" si="121"/>
        <v>72.289999999999992</v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 t="shared" si="122"/>
        <v/>
      </c>
      <c r="KM7" s="11" t="str">
        <f t="shared" si="123"/>
        <v/>
      </c>
      <c r="KN7" s="11" t="str">
        <f t="shared" si="124"/>
        <v/>
      </c>
      <c r="KO7" s="11" t="str">
        <f t="shared" si="125"/>
        <v/>
      </c>
      <c r="KP7" s="11" t="str">
        <f t="shared" si="126"/>
        <v/>
      </c>
      <c r="KQ7" s="11" t="str">
        <f t="shared" si="127"/>
        <v/>
      </c>
      <c r="KR7" s="11" t="str">
        <f t="shared" si="128"/>
        <v/>
      </c>
      <c r="KS7" s="11" t="str">
        <f t="shared" si="129"/>
        <v/>
      </c>
      <c r="KT7" s="11" t="str">
        <f t="shared" si="130"/>
        <v/>
      </c>
      <c r="KU7" s="11" t="str">
        <f t="shared" si="131"/>
        <v/>
      </c>
      <c r="KV7" s="11" t="str">
        <f t="shared" si="132"/>
        <v/>
      </c>
      <c r="KW7" s="11" t="str">
        <f t="shared" si="133"/>
        <v/>
      </c>
      <c r="KX7" s="11" t="str">
        <f t="shared" si="134"/>
        <v/>
      </c>
      <c r="KY7" s="11" t="str">
        <f t="shared" si="135"/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 t="shared" si="136"/>
        <v/>
      </c>
      <c r="LU7" s="40" t="str">
        <f t="shared" si="137"/>
        <v/>
      </c>
      <c r="LV7" s="40" t="str">
        <f t="shared" si="138"/>
        <v/>
      </c>
      <c r="LW7" s="40" t="str">
        <f t="shared" si="139"/>
        <v/>
      </c>
      <c r="LX7" s="40" t="str">
        <f t="shared" si="140"/>
        <v/>
      </c>
      <c r="LY7" s="40" t="str">
        <f t="shared" si="141"/>
        <v/>
      </c>
      <c r="LZ7" s="40" t="str">
        <f t="shared" si="142"/>
        <v/>
      </c>
      <c r="MA7" s="40" t="str">
        <f t="shared" si="143"/>
        <v/>
      </c>
      <c r="MB7" s="40" t="str">
        <f t="shared" si="144"/>
        <v/>
      </c>
      <c r="MC7" s="40" t="str">
        <f t="shared" si="145"/>
        <v/>
      </c>
      <c r="MD7" s="40" t="str">
        <f t="shared" si="146"/>
        <v/>
      </c>
      <c r="ME7" s="40" t="str">
        <f t="shared" si="147"/>
        <v/>
      </c>
      <c r="MF7" s="40" t="str">
        <f t="shared" si="148"/>
        <v/>
      </c>
      <c r="MG7" s="40" t="str">
        <f t="shared" si="149"/>
        <v/>
      </c>
      <c r="MH7" s="18">
        <v>14.3</v>
      </c>
      <c r="MI7" s="18">
        <v>9.1</v>
      </c>
      <c r="MJ7" s="18">
        <v>16</v>
      </c>
      <c r="MK7" s="18">
        <v>15.4</v>
      </c>
      <c r="ML7" s="18">
        <v>0</v>
      </c>
      <c r="MM7" s="18">
        <v>15.4</v>
      </c>
      <c r="MN7" s="18">
        <v>8.6999999999999993</v>
      </c>
      <c r="MO7" s="18">
        <v>14.6</v>
      </c>
      <c r="MP7" s="18">
        <v>16.149999999999999</v>
      </c>
      <c r="MQ7" s="18">
        <v>0</v>
      </c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>
        <f t="shared" si="150"/>
        <v>16</v>
      </c>
      <c r="NC7" s="11">
        <f t="shared" si="151"/>
        <v>15.4</v>
      </c>
      <c r="ND7" s="11">
        <f t="shared" si="152"/>
        <v>54.8</v>
      </c>
      <c r="NE7" s="11">
        <f t="shared" si="153"/>
        <v>14.6</v>
      </c>
      <c r="NF7" s="11">
        <f t="shared" si="154"/>
        <v>16.149999999999999</v>
      </c>
      <c r="NG7" s="11">
        <f t="shared" si="155"/>
        <v>54.85</v>
      </c>
      <c r="NH7" s="11">
        <f t="shared" si="156"/>
        <v>54.85</v>
      </c>
      <c r="NI7" s="11" t="str">
        <f t="shared" si="157"/>
        <v/>
      </c>
      <c r="NJ7" s="11" t="str">
        <f t="shared" si="158"/>
        <v/>
      </c>
      <c r="NK7" s="11" t="str">
        <f t="shared" si="159"/>
        <v/>
      </c>
      <c r="NL7" s="11" t="str">
        <f t="shared" si="160"/>
        <v/>
      </c>
      <c r="NM7" s="11" t="str">
        <f t="shared" si="161"/>
        <v/>
      </c>
      <c r="NN7" s="11" t="str">
        <f t="shared" si="162"/>
        <v/>
      </c>
      <c r="NO7" s="11">
        <f t="shared" si="163"/>
        <v>54.85</v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 t="shared" si="164"/>
        <v/>
      </c>
      <c r="OK7" s="40" t="str">
        <f t="shared" si="165"/>
        <v/>
      </c>
      <c r="OL7" s="40" t="str">
        <f t="shared" si="166"/>
        <v/>
      </c>
      <c r="OM7" s="40" t="str">
        <f t="shared" si="167"/>
        <v/>
      </c>
      <c r="ON7" s="40" t="str">
        <f t="shared" si="168"/>
        <v/>
      </c>
      <c r="OO7" s="40" t="str">
        <f t="shared" si="169"/>
        <v/>
      </c>
      <c r="OP7" s="40" t="str">
        <f t="shared" si="170"/>
        <v/>
      </c>
      <c r="OQ7" s="40" t="str">
        <f t="shared" si="171"/>
        <v/>
      </c>
      <c r="OR7" s="40" t="str">
        <f t="shared" si="172"/>
        <v/>
      </c>
      <c r="OS7" s="40" t="str">
        <f t="shared" si="173"/>
        <v/>
      </c>
      <c r="OT7" s="40" t="str">
        <f t="shared" si="174"/>
        <v/>
      </c>
      <c r="OU7" s="40" t="str">
        <f t="shared" si="175"/>
        <v/>
      </c>
      <c r="OV7" s="40" t="str">
        <f t="shared" si="176"/>
        <v/>
      </c>
      <c r="OW7" s="40" t="str">
        <f t="shared" si="177"/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 t="shared" si="178"/>
        <v/>
      </c>
      <c r="PS7" s="11" t="str">
        <f t="shared" si="179"/>
        <v/>
      </c>
      <c r="PT7" s="11" t="str">
        <f t="shared" si="180"/>
        <v/>
      </c>
      <c r="PU7" s="11" t="str">
        <f t="shared" si="181"/>
        <v/>
      </c>
      <c r="PV7" s="11" t="str">
        <f t="shared" si="182"/>
        <v/>
      </c>
      <c r="PW7" s="11" t="str">
        <f t="shared" si="183"/>
        <v/>
      </c>
      <c r="PX7" s="11" t="str">
        <f t="shared" si="184"/>
        <v/>
      </c>
      <c r="PY7" s="11" t="str">
        <f t="shared" si="185"/>
        <v/>
      </c>
      <c r="PZ7" s="11" t="str">
        <f t="shared" si="186"/>
        <v/>
      </c>
      <c r="QA7" s="11" t="str">
        <f t="shared" si="187"/>
        <v/>
      </c>
      <c r="QB7" s="11" t="str">
        <f t="shared" si="188"/>
        <v/>
      </c>
      <c r="QC7" s="11" t="str">
        <f t="shared" si="189"/>
        <v/>
      </c>
      <c r="QD7" s="11" t="str">
        <f t="shared" si="190"/>
        <v/>
      </c>
      <c r="QE7" s="11" t="str">
        <f t="shared" si="191"/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 t="shared" si="192"/>
        <v/>
      </c>
      <c r="RA7" s="40" t="str">
        <f t="shared" si="193"/>
        <v/>
      </c>
      <c r="RB7" s="40" t="str">
        <f t="shared" si="194"/>
        <v/>
      </c>
      <c r="RC7" s="40" t="str">
        <f t="shared" si="195"/>
        <v/>
      </c>
      <c r="RD7" s="40" t="str">
        <f t="shared" si="196"/>
        <v/>
      </c>
      <c r="RE7" s="40" t="str">
        <f t="shared" si="197"/>
        <v/>
      </c>
      <c r="RF7" s="40" t="str">
        <f t="shared" si="198"/>
        <v/>
      </c>
      <c r="RG7" s="40" t="str">
        <f t="shared" si="199"/>
        <v/>
      </c>
      <c r="RH7" s="40" t="str">
        <f t="shared" si="200"/>
        <v/>
      </c>
      <c r="RI7" s="40" t="str">
        <f t="shared" si="201"/>
        <v/>
      </c>
      <c r="RJ7" s="40" t="str">
        <f t="shared" si="202"/>
        <v/>
      </c>
      <c r="RK7" s="40" t="str">
        <f t="shared" si="203"/>
        <v/>
      </c>
      <c r="RL7" s="40" t="str">
        <f t="shared" si="204"/>
        <v/>
      </c>
      <c r="RM7" s="40" t="str">
        <f t="shared" si="205"/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 t="shared" si="206"/>
        <v/>
      </c>
      <c r="SI7" s="11" t="str">
        <f t="shared" si="207"/>
        <v/>
      </c>
      <c r="SJ7" s="11" t="str">
        <f t="shared" si="208"/>
        <v/>
      </c>
      <c r="SK7" s="11" t="str">
        <f t="shared" si="209"/>
        <v/>
      </c>
      <c r="SL7" s="11" t="str">
        <f t="shared" si="210"/>
        <v/>
      </c>
      <c r="SM7" s="11" t="str">
        <f t="shared" si="211"/>
        <v/>
      </c>
      <c r="SN7" s="11" t="str">
        <f t="shared" si="212"/>
        <v/>
      </c>
      <c r="SO7" s="11" t="str">
        <f t="shared" si="213"/>
        <v/>
      </c>
      <c r="SP7" s="11" t="str">
        <f t="shared" si="214"/>
        <v/>
      </c>
      <c r="SQ7" s="11" t="str">
        <f t="shared" si="215"/>
        <v/>
      </c>
      <c r="SR7" s="11" t="str">
        <f t="shared" si="216"/>
        <v/>
      </c>
      <c r="SS7" s="11" t="str">
        <f t="shared" si="217"/>
        <v/>
      </c>
      <c r="ST7" s="11" t="str">
        <f t="shared" si="218"/>
        <v/>
      </c>
      <c r="SU7" s="11" t="str">
        <f t="shared" si="219"/>
        <v/>
      </c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17"/>
      <c r="TI7" s="17"/>
      <c r="TJ7" s="17"/>
      <c r="TK7" s="17"/>
      <c r="TL7" s="17"/>
      <c r="TM7" s="17"/>
      <c r="TN7" s="17"/>
      <c r="TO7" s="17"/>
      <c r="TP7" s="40" t="str">
        <f t="shared" si="220"/>
        <v/>
      </c>
      <c r="TQ7" s="40" t="str">
        <f t="shared" si="221"/>
        <v/>
      </c>
      <c r="TR7" s="40" t="str">
        <f t="shared" si="222"/>
        <v/>
      </c>
      <c r="TS7" s="40" t="str">
        <f t="shared" si="223"/>
        <v/>
      </c>
      <c r="TT7" s="40" t="str">
        <f t="shared" si="224"/>
        <v/>
      </c>
      <c r="TU7" s="40" t="str">
        <f t="shared" si="225"/>
        <v/>
      </c>
      <c r="TV7" s="40" t="str">
        <f t="shared" si="226"/>
        <v/>
      </c>
      <c r="TW7" s="40" t="str">
        <f t="shared" si="227"/>
        <v/>
      </c>
      <c r="TX7" s="40" t="str">
        <f t="shared" si="228"/>
        <v/>
      </c>
      <c r="TY7" s="40" t="str">
        <f t="shared" si="229"/>
        <v/>
      </c>
      <c r="TZ7" s="40" t="str">
        <f t="shared" si="230"/>
        <v/>
      </c>
      <c r="UA7" s="40" t="str">
        <f t="shared" si="231"/>
        <v/>
      </c>
      <c r="UB7" s="40" t="str">
        <f t="shared" si="232"/>
        <v/>
      </c>
      <c r="UC7" s="40" t="str">
        <f t="shared" si="233"/>
        <v/>
      </c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8"/>
      <c r="UQ7" s="18"/>
      <c r="UR7" s="18"/>
      <c r="US7" s="18"/>
      <c r="UT7" s="18"/>
      <c r="UU7" s="18"/>
      <c r="UV7" s="18"/>
      <c r="UW7" s="18"/>
      <c r="UX7" s="11" t="str">
        <f t="shared" si="234"/>
        <v/>
      </c>
      <c r="UY7" s="11" t="str">
        <f t="shared" si="235"/>
        <v/>
      </c>
      <c r="UZ7" s="11" t="str">
        <f t="shared" si="236"/>
        <v/>
      </c>
      <c r="VA7" s="11" t="str">
        <f t="shared" si="237"/>
        <v/>
      </c>
      <c r="VB7" s="11" t="str">
        <f t="shared" si="238"/>
        <v/>
      </c>
      <c r="VC7" s="11" t="str">
        <f t="shared" si="239"/>
        <v/>
      </c>
      <c r="VD7" s="11" t="str">
        <f t="shared" si="240"/>
        <v/>
      </c>
      <c r="VE7" s="11" t="str">
        <f t="shared" si="241"/>
        <v/>
      </c>
      <c r="VF7" s="11" t="str">
        <f t="shared" si="242"/>
        <v/>
      </c>
      <c r="VG7" s="11" t="str">
        <f t="shared" si="243"/>
        <v/>
      </c>
      <c r="VH7" s="11" t="str">
        <f t="shared" si="244"/>
        <v/>
      </c>
      <c r="VI7" s="11" t="str">
        <f t="shared" si="245"/>
        <v/>
      </c>
      <c r="VJ7" s="11" t="str">
        <f t="shared" si="246"/>
        <v/>
      </c>
      <c r="VK7" s="11" t="str">
        <f t="shared" si="247"/>
        <v/>
      </c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17"/>
      <c r="VY7" s="17"/>
      <c r="VZ7" s="17"/>
      <c r="WA7" s="17"/>
      <c r="WB7" s="17"/>
      <c r="WC7" s="17"/>
      <c r="WD7" s="17"/>
      <c r="WE7" s="17"/>
      <c r="WF7" s="40" t="str">
        <f t="shared" si="248"/>
        <v/>
      </c>
      <c r="WG7" s="40" t="str">
        <f t="shared" si="249"/>
        <v/>
      </c>
      <c r="WH7" s="40" t="str">
        <f t="shared" si="250"/>
        <v/>
      </c>
      <c r="WI7" s="40" t="str">
        <f t="shared" si="251"/>
        <v/>
      </c>
      <c r="WJ7" s="40" t="str">
        <f t="shared" si="252"/>
        <v/>
      </c>
      <c r="WK7" s="40" t="str">
        <f t="shared" si="253"/>
        <v/>
      </c>
      <c r="WL7" s="40" t="str">
        <f t="shared" si="254"/>
        <v/>
      </c>
      <c r="WM7" s="40" t="str">
        <f t="shared" si="255"/>
        <v/>
      </c>
      <c r="WN7" s="40" t="str">
        <f t="shared" si="256"/>
        <v/>
      </c>
      <c r="WO7" s="40" t="str">
        <f t="shared" si="257"/>
        <v/>
      </c>
      <c r="WP7" s="40" t="str">
        <f t="shared" si="258"/>
        <v/>
      </c>
      <c r="WQ7" s="40" t="str">
        <f t="shared" si="259"/>
        <v/>
      </c>
      <c r="WR7" s="40" t="str">
        <f t="shared" si="260"/>
        <v/>
      </c>
      <c r="WS7" s="40" t="str">
        <f t="shared" si="261"/>
        <v/>
      </c>
      <c r="WT7" s="26">
        <f t="shared" si="262"/>
        <v>3.1500000000000004</v>
      </c>
      <c r="WU7" s="26">
        <f t="shared" si="263"/>
        <v>1.85</v>
      </c>
      <c r="WV7" s="26">
        <f t="shared" si="264"/>
        <v>3.5</v>
      </c>
      <c r="WW7" s="26">
        <f t="shared" si="265"/>
        <v>3.49</v>
      </c>
      <c r="WX7" s="26">
        <f t="shared" si="266"/>
        <v>0</v>
      </c>
      <c r="WY7" s="26">
        <f t="shared" si="267"/>
        <v>15.2</v>
      </c>
      <c r="WZ7" s="26">
        <f t="shared" si="268"/>
        <v>9.15</v>
      </c>
      <c r="XA7" s="26">
        <f t="shared" si="269"/>
        <v>16.100000000000001</v>
      </c>
      <c r="XB7" s="26">
        <f t="shared" si="270"/>
        <v>15.815000000000001</v>
      </c>
      <c r="XC7" s="26">
        <f t="shared" si="271"/>
        <v>0</v>
      </c>
      <c r="XD7" s="26">
        <f t="shared" si="272"/>
        <v>15.9</v>
      </c>
      <c r="XE7" s="26">
        <f t="shared" si="273"/>
        <v>8.8000000000000007</v>
      </c>
      <c r="XF7" s="26">
        <f t="shared" si="274"/>
        <v>16.100000000000001</v>
      </c>
      <c r="XG7" s="26">
        <f t="shared" si="275"/>
        <v>15.96</v>
      </c>
      <c r="XH7" s="26">
        <f t="shared" si="276"/>
        <v>0</v>
      </c>
      <c r="XI7" s="28" t="s">
        <v>53</v>
      </c>
      <c r="XJ7" s="11">
        <f t="shared" si="277"/>
        <v>3.5</v>
      </c>
      <c r="XK7" s="11">
        <f t="shared" si="278"/>
        <v>3.49</v>
      </c>
      <c r="XL7" s="11">
        <f t="shared" si="279"/>
        <v>11.99</v>
      </c>
      <c r="XM7" s="11">
        <f t="shared" si="280"/>
        <v>16.100000000000001</v>
      </c>
      <c r="XN7" s="11">
        <f t="shared" si="281"/>
        <v>15.815000000000001</v>
      </c>
      <c r="XO7" s="11">
        <f t="shared" si="282"/>
        <v>56.265000000000001</v>
      </c>
      <c r="XP7" s="11">
        <f t="shared" si="283"/>
        <v>56.265000000000001</v>
      </c>
      <c r="XQ7" s="11">
        <f t="shared" si="284"/>
        <v>16.100000000000001</v>
      </c>
      <c r="XR7" s="11">
        <f t="shared" si="285"/>
        <v>15.96</v>
      </c>
      <c r="XS7" s="11">
        <f t="shared" si="286"/>
        <v>56.760000000000005</v>
      </c>
      <c r="XT7" s="11">
        <f t="shared" si="287"/>
        <v>113.02500000000001</v>
      </c>
    </row>
    <row r="8" spans="1:644" x14ac:dyDescent="0.2">
      <c r="A8" s="4" cm="1">
        <f t="array" ref="A8">IF(AND(H8&lt;&gt;"",H8&lt;&gt;"No DD"),SUMPRODUCT((H$4:H$25&lt;&gt;"")*(H$4:H$25&lt;&gt;"No DD")*(E$4:E$25&gt;E8))+1,IF(H8="No DD",SUMPRODUCT((H$4:H$25="No DD")*(E$4:E$25&gt;E8))+1+SUMPRODUCT((H$4:H$25&lt;&gt;"")*(H$4:H$25&lt;&gt;"No DD")),""))</f>
        <v>5</v>
      </c>
      <c r="B8" s="5" t="s">
        <v>123</v>
      </c>
      <c r="C8" s="4" t="s">
        <v>7</v>
      </c>
      <c r="D8" s="4">
        <v>2005</v>
      </c>
      <c r="E8" s="9">
        <f t="shared" si="0"/>
        <v>255.38002553800564</v>
      </c>
      <c r="F8" s="3" t="str">
        <f t="shared" si="1"/>
        <v>P</v>
      </c>
      <c r="G8" s="3" t="str">
        <f t="shared" si="2"/>
        <v>P</v>
      </c>
      <c r="H8" s="36" t="str">
        <f t="shared" si="3"/>
        <v>National Team</v>
      </c>
      <c r="I8" s="3" t="str">
        <f t="shared" si="4"/>
        <v/>
      </c>
      <c r="J8" s="8">
        <f>IF(COUNT(AQ8,AT8,BR8,BU8,CS8,CV8)&gt;0,LARGE((AQ8,AT8,BR8,BU8,CS8,CV8),1),0)</f>
        <v>56.529999999999994</v>
      </c>
      <c r="K8" s="8" t="str">
        <f t="shared" si="5"/>
        <v>2024 3rd Domestic Trial</v>
      </c>
      <c r="L8" s="8">
        <f>IF(COUNT(AQ8,AT8,BR8,BU8,CS8,CV8)&gt;1,LARGE((AQ8,AT8,BR8,BU8,CS8,CV8),2),0)</f>
        <v>56.26</v>
      </c>
      <c r="M8" s="8" t="str">
        <f t="shared" si="6"/>
        <v>2024 3rd Domestic Trial</v>
      </c>
      <c r="N8" s="8">
        <f>IF(COUNT(AQ8,AT8,BR8,BU8,CS8,CV8)&gt;2,LARGE((AQ8,AT8,BR8,BU8,CS8,CV8),3),0)</f>
        <v>55.86</v>
      </c>
      <c r="O8" s="8" t="str">
        <f t="shared" si="7"/>
        <v>2024 Elite Canada</v>
      </c>
      <c r="P8" s="8">
        <f t="shared" si="8"/>
        <v>56.36</v>
      </c>
      <c r="Q8" s="8" t="str">
        <f t="shared" si="9"/>
        <v>2024 3rd Domestic Trial</v>
      </c>
      <c r="R8" s="8">
        <f t="shared" si="10"/>
        <v>15.4</v>
      </c>
      <c r="S8" s="8" t="str">
        <f t="shared" si="11"/>
        <v>2024 Elite Canada</v>
      </c>
      <c r="T8" s="8">
        <f t="shared" si="12"/>
        <v>14.97</v>
      </c>
      <c r="U8" s="8" t="str">
        <f t="shared" si="13"/>
        <v>2024 Elite Canada</v>
      </c>
      <c r="V8" s="8" t="str">
        <f t="shared" si="14"/>
        <v/>
      </c>
      <c r="W8" s="11" t="str">
        <f t="shared" si="15"/>
        <v/>
      </c>
      <c r="X8" s="8" t="str">
        <f t="shared" si="16"/>
        <v/>
      </c>
      <c r="Y8" s="22">
        <v>15.9</v>
      </c>
      <c r="Z8" s="22">
        <v>9.6</v>
      </c>
      <c r="AA8" s="22">
        <v>15.4</v>
      </c>
      <c r="AB8" s="22">
        <v>14.96</v>
      </c>
      <c r="AC8" s="22">
        <v>0</v>
      </c>
      <c r="AD8" s="22">
        <v>15.8</v>
      </c>
      <c r="AE8" s="22">
        <v>9</v>
      </c>
      <c r="AF8" s="22">
        <v>13.8</v>
      </c>
      <c r="AG8" s="22">
        <v>14.89</v>
      </c>
      <c r="AH8" s="22">
        <v>0</v>
      </c>
      <c r="AI8" s="22">
        <v>15.3</v>
      </c>
      <c r="AJ8" s="22">
        <v>9.5</v>
      </c>
      <c r="AK8" s="22">
        <v>15.4</v>
      </c>
      <c r="AL8" s="22">
        <v>14.97</v>
      </c>
      <c r="AM8" s="22">
        <v>0</v>
      </c>
      <c r="AN8" s="27"/>
      <c r="AO8" s="38">
        <f t="shared" si="17"/>
        <v>15.4</v>
      </c>
      <c r="AP8" s="38">
        <f t="shared" si="18"/>
        <v>14.96</v>
      </c>
      <c r="AQ8" s="40">
        <f t="shared" si="19"/>
        <v>55.86</v>
      </c>
      <c r="AR8" s="40">
        <f t="shared" si="20"/>
        <v>13.8</v>
      </c>
      <c r="AS8" s="40">
        <f t="shared" si="21"/>
        <v>14.89</v>
      </c>
      <c r="AT8" s="40">
        <f t="shared" si="22"/>
        <v>53.49</v>
      </c>
      <c r="AU8" s="40">
        <f t="shared" si="23"/>
        <v>55.86</v>
      </c>
      <c r="AV8" s="40">
        <f t="shared" si="24"/>
        <v>15.4</v>
      </c>
      <c r="AW8" s="40">
        <f t="shared" si="25"/>
        <v>14.97</v>
      </c>
      <c r="AX8" s="40">
        <f t="shared" si="26"/>
        <v>55.17</v>
      </c>
      <c r="AY8" s="40">
        <f t="shared" si="27"/>
        <v>111.03</v>
      </c>
      <c r="AZ8" s="26">
        <v>4.5999999999999996</v>
      </c>
      <c r="BA8" s="26">
        <v>2.7</v>
      </c>
      <c r="BB8" s="26">
        <v>5.0999999999999996</v>
      </c>
      <c r="BC8" s="26">
        <v>4.7699999999999996</v>
      </c>
      <c r="BD8" s="26">
        <v>0</v>
      </c>
      <c r="BE8" s="26">
        <v>3.2</v>
      </c>
      <c r="BF8" s="26">
        <v>1.8</v>
      </c>
      <c r="BG8" s="26">
        <v>3.2</v>
      </c>
      <c r="BH8" s="26">
        <v>3.16</v>
      </c>
      <c r="BI8" s="26">
        <v>0</v>
      </c>
      <c r="BJ8" s="26"/>
      <c r="BK8" s="26"/>
      <c r="BL8" s="26"/>
      <c r="BM8" s="26"/>
      <c r="BN8" s="26"/>
      <c r="BO8" s="28"/>
      <c r="BP8" s="39">
        <f t="shared" si="28"/>
        <v>5.0999999999999996</v>
      </c>
      <c r="BQ8" s="39">
        <f t="shared" si="29"/>
        <v>4.7699999999999996</v>
      </c>
      <c r="BR8" s="11">
        <f t="shared" si="30"/>
        <v>17.169999999999998</v>
      </c>
      <c r="BS8" s="11">
        <f t="shared" si="31"/>
        <v>3.2</v>
      </c>
      <c r="BT8" s="11">
        <f t="shared" si="32"/>
        <v>3.16</v>
      </c>
      <c r="BU8" s="11">
        <f t="shared" si="33"/>
        <v>11.36</v>
      </c>
      <c r="BV8" s="11">
        <f t="shared" si="34"/>
        <v>17.169999999999998</v>
      </c>
      <c r="BW8" s="11" t="str">
        <f t="shared" si="35"/>
        <v/>
      </c>
      <c r="BX8" s="11" t="str">
        <f t="shared" si="36"/>
        <v/>
      </c>
      <c r="BY8" s="11" t="str">
        <f t="shared" si="37"/>
        <v/>
      </c>
      <c r="BZ8" s="11">
        <f t="shared" si="38"/>
        <v>17.169999999999998</v>
      </c>
      <c r="CA8" s="22">
        <v>16.8</v>
      </c>
      <c r="CB8" s="22">
        <v>9.5</v>
      </c>
      <c r="CC8" s="22">
        <v>14.2</v>
      </c>
      <c r="CD8" s="22">
        <v>15.76</v>
      </c>
      <c r="CE8" s="22">
        <v>0</v>
      </c>
      <c r="CF8" s="22">
        <v>16.899999999999999</v>
      </c>
      <c r="CG8" s="22">
        <v>9.4</v>
      </c>
      <c r="CH8" s="22">
        <v>14.4</v>
      </c>
      <c r="CI8" s="22">
        <v>15.83</v>
      </c>
      <c r="CJ8" s="22">
        <v>0</v>
      </c>
      <c r="CK8" s="22">
        <v>17</v>
      </c>
      <c r="CL8" s="22">
        <v>9.3000000000000007</v>
      </c>
      <c r="CM8" s="22">
        <v>14.4</v>
      </c>
      <c r="CN8" s="22">
        <v>15.66</v>
      </c>
      <c r="CO8" s="22">
        <v>0</v>
      </c>
      <c r="CP8" s="27"/>
      <c r="CQ8" s="38">
        <f t="shared" si="39"/>
        <v>14.2</v>
      </c>
      <c r="CR8" s="38">
        <f t="shared" si="40"/>
        <v>15.76</v>
      </c>
      <c r="CS8" s="40">
        <f t="shared" si="41"/>
        <v>56.26</v>
      </c>
      <c r="CT8" s="40">
        <f t="shared" si="42"/>
        <v>14.4</v>
      </c>
      <c r="CU8" s="40">
        <f t="shared" si="43"/>
        <v>15.83</v>
      </c>
      <c r="CV8" s="40">
        <f t="shared" si="44"/>
        <v>56.529999999999994</v>
      </c>
      <c r="CW8" s="40">
        <f t="shared" si="45"/>
        <v>56.529999999999994</v>
      </c>
      <c r="CX8" s="40">
        <f t="shared" si="46"/>
        <v>14.4</v>
      </c>
      <c r="CY8" s="40">
        <f t="shared" si="47"/>
        <v>15.66</v>
      </c>
      <c r="CZ8" s="40">
        <f t="shared" si="48"/>
        <v>56.36</v>
      </c>
      <c r="DA8" s="40">
        <f t="shared" si="49"/>
        <v>112.88999999999999</v>
      </c>
      <c r="DB8" s="51" t="str">
        <f t="shared" si="50"/>
        <v/>
      </c>
      <c r="DC8" s="51" t="str">
        <f t="shared" si="51"/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 t="shared" si="52"/>
        <v/>
      </c>
      <c r="DY8" s="40" t="str">
        <f t="shared" si="53"/>
        <v/>
      </c>
      <c r="DZ8" s="40" t="str">
        <f t="shared" si="54"/>
        <v/>
      </c>
      <c r="EA8" s="40" t="str">
        <f t="shared" si="55"/>
        <v/>
      </c>
      <c r="EB8" s="40" t="str">
        <f t="shared" si="56"/>
        <v/>
      </c>
      <c r="EC8" s="40" t="str">
        <f t="shared" si="57"/>
        <v/>
      </c>
      <c r="ED8" s="40" t="str">
        <f t="shared" si="58"/>
        <v/>
      </c>
      <c r="EE8" s="40" t="str">
        <f t="shared" si="59"/>
        <v/>
      </c>
      <c r="EF8" s="40" t="str">
        <f t="shared" si="60"/>
        <v/>
      </c>
      <c r="EG8" s="40" t="str">
        <f t="shared" si="61"/>
        <v/>
      </c>
      <c r="EH8" s="40" t="str">
        <f t="shared" si="62"/>
        <v/>
      </c>
      <c r="EI8" s="40" t="str">
        <f t="shared" si="63"/>
        <v/>
      </c>
      <c r="EJ8" s="40" t="str">
        <f t="shared" si="64"/>
        <v/>
      </c>
      <c r="EK8" s="40" t="str">
        <f t="shared" si="65"/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 t="shared" si="66"/>
        <v/>
      </c>
      <c r="FG8" s="11" t="str">
        <f t="shared" si="67"/>
        <v/>
      </c>
      <c r="FH8" s="11" t="str">
        <f t="shared" si="68"/>
        <v/>
      </c>
      <c r="FI8" s="11" t="str">
        <f t="shared" si="69"/>
        <v/>
      </c>
      <c r="FJ8" s="11" t="str">
        <f t="shared" si="70"/>
        <v/>
      </c>
      <c r="FK8" s="11" t="str">
        <f t="shared" si="71"/>
        <v/>
      </c>
      <c r="FL8" s="11" t="str">
        <f t="shared" si="72"/>
        <v/>
      </c>
      <c r="FM8" s="11" t="str">
        <f t="shared" si="73"/>
        <v/>
      </c>
      <c r="FN8" s="11" t="str">
        <f t="shared" si="74"/>
        <v/>
      </c>
      <c r="FO8" s="11" t="str">
        <f t="shared" si="75"/>
        <v/>
      </c>
      <c r="FP8" s="11" t="str">
        <f t="shared" si="76"/>
        <v/>
      </c>
      <c r="FQ8" s="11" t="str">
        <f t="shared" si="77"/>
        <v/>
      </c>
      <c r="FR8" s="11" t="str">
        <f t="shared" si="78"/>
        <v/>
      </c>
      <c r="FS8" s="11" t="str">
        <f t="shared" si="79"/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 t="shared" si="80"/>
        <v/>
      </c>
      <c r="GO8" s="40" t="str">
        <f t="shared" si="81"/>
        <v/>
      </c>
      <c r="GP8" s="40" t="str">
        <f t="shared" si="82"/>
        <v/>
      </c>
      <c r="GQ8" s="40" t="str">
        <f t="shared" si="83"/>
        <v/>
      </c>
      <c r="GR8" s="40" t="str">
        <f t="shared" si="84"/>
        <v/>
      </c>
      <c r="GS8" s="40" t="str">
        <f t="shared" si="85"/>
        <v/>
      </c>
      <c r="GT8" s="40" t="str">
        <f t="shared" si="86"/>
        <v/>
      </c>
      <c r="GU8" s="40" t="str">
        <f t="shared" si="87"/>
        <v/>
      </c>
      <c r="GV8" s="40" t="str">
        <f t="shared" si="88"/>
        <v/>
      </c>
      <c r="GW8" s="40" t="str">
        <f t="shared" si="89"/>
        <v/>
      </c>
      <c r="GX8" s="40" t="str">
        <f t="shared" si="90"/>
        <v/>
      </c>
      <c r="GY8" s="40" t="str">
        <f t="shared" si="91"/>
        <v/>
      </c>
      <c r="GZ8" s="40" t="str">
        <f t="shared" si="92"/>
        <v/>
      </c>
      <c r="HA8" s="40" t="str">
        <f t="shared" si="93"/>
        <v/>
      </c>
      <c r="HB8" s="18">
        <v>14.3</v>
      </c>
      <c r="HC8" s="18">
        <v>9.5</v>
      </c>
      <c r="HD8" s="18">
        <v>15.4</v>
      </c>
      <c r="HE8" s="18">
        <v>14.93</v>
      </c>
      <c r="HF8" s="18">
        <v>0</v>
      </c>
      <c r="HG8" s="18">
        <v>13.5</v>
      </c>
      <c r="HH8" s="18">
        <v>9.1999999999999993</v>
      </c>
      <c r="HI8" s="18">
        <v>15.2</v>
      </c>
      <c r="HJ8" s="18">
        <v>14.44</v>
      </c>
      <c r="HK8" s="18">
        <v>0</v>
      </c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>
        <f t="shared" si="94"/>
        <v>15.4</v>
      </c>
      <c r="HW8" s="11">
        <f t="shared" si="95"/>
        <v>14.93</v>
      </c>
      <c r="HX8" s="11">
        <f t="shared" si="96"/>
        <v>54.13</v>
      </c>
      <c r="HY8" s="11">
        <f t="shared" si="97"/>
        <v>15.2</v>
      </c>
      <c r="HZ8" s="11">
        <f t="shared" si="98"/>
        <v>14.44</v>
      </c>
      <c r="IA8" s="11">
        <f t="shared" si="99"/>
        <v>52.339999999999996</v>
      </c>
      <c r="IB8" s="11">
        <f t="shared" si="100"/>
        <v>54.13</v>
      </c>
      <c r="IC8" s="11" t="str">
        <f t="shared" si="101"/>
        <v/>
      </c>
      <c r="ID8" s="11" t="str">
        <f t="shared" si="102"/>
        <v/>
      </c>
      <c r="IE8" s="11" t="str">
        <f t="shared" si="103"/>
        <v/>
      </c>
      <c r="IF8" s="11" t="str">
        <f t="shared" si="104"/>
        <v/>
      </c>
      <c r="IG8" s="11" t="str">
        <f t="shared" si="105"/>
        <v/>
      </c>
      <c r="IH8" s="11" t="str">
        <f t="shared" si="106"/>
        <v/>
      </c>
      <c r="II8" s="11">
        <f t="shared" si="107"/>
        <v>54.13</v>
      </c>
      <c r="IJ8" s="17">
        <v>14.7</v>
      </c>
      <c r="IK8" s="17">
        <v>9.1999999999999993</v>
      </c>
      <c r="IL8" s="17">
        <v>15</v>
      </c>
      <c r="IM8" s="17">
        <v>15.22</v>
      </c>
      <c r="IN8" s="17">
        <v>0</v>
      </c>
      <c r="IO8" s="17">
        <v>15.2</v>
      </c>
      <c r="IP8" s="17">
        <v>9.4</v>
      </c>
      <c r="IQ8" s="17">
        <v>15</v>
      </c>
      <c r="IR8" s="17">
        <v>15.12</v>
      </c>
      <c r="IS8" s="17">
        <v>0</v>
      </c>
      <c r="IT8" s="17"/>
      <c r="IU8" s="17"/>
      <c r="IV8" s="17"/>
      <c r="IW8" s="17"/>
      <c r="IX8" s="17"/>
      <c r="IY8" s="17">
        <v>7.6</v>
      </c>
      <c r="IZ8" s="17">
        <v>4.5999999999999996</v>
      </c>
      <c r="JA8" s="17">
        <v>8.1999999999999993</v>
      </c>
      <c r="JB8" s="17">
        <v>7.85</v>
      </c>
      <c r="JC8" s="17">
        <v>0</v>
      </c>
      <c r="JD8" s="40">
        <f t="shared" si="108"/>
        <v>15</v>
      </c>
      <c r="JE8" s="40">
        <f t="shared" si="109"/>
        <v>15.22</v>
      </c>
      <c r="JF8" s="40">
        <f t="shared" si="110"/>
        <v>54.12</v>
      </c>
      <c r="JG8" s="40">
        <f t="shared" si="111"/>
        <v>15</v>
      </c>
      <c r="JH8" s="40">
        <f t="shared" si="112"/>
        <v>15.12</v>
      </c>
      <c r="JI8" s="40">
        <f t="shared" si="113"/>
        <v>54.72</v>
      </c>
      <c r="JJ8" s="40">
        <f t="shared" si="114"/>
        <v>54.72</v>
      </c>
      <c r="JK8" s="40" t="str">
        <f t="shared" si="115"/>
        <v/>
      </c>
      <c r="JL8" s="40" t="str">
        <f t="shared" si="116"/>
        <v/>
      </c>
      <c r="JM8" s="40" t="str">
        <f t="shared" si="117"/>
        <v/>
      </c>
      <c r="JN8" s="40">
        <f t="shared" si="118"/>
        <v>8.1999999999999993</v>
      </c>
      <c r="JO8" s="40">
        <f t="shared" si="119"/>
        <v>7.85</v>
      </c>
      <c r="JP8" s="40">
        <f t="shared" si="120"/>
        <v>28.25</v>
      </c>
      <c r="JQ8" s="40">
        <f t="shared" si="121"/>
        <v>82.97</v>
      </c>
      <c r="JR8" s="18">
        <v>14.5</v>
      </c>
      <c r="JS8" s="18">
        <v>9.6999999999999993</v>
      </c>
      <c r="JT8" s="18">
        <v>13.4</v>
      </c>
      <c r="JU8" s="18">
        <v>15.39</v>
      </c>
      <c r="JV8" s="18">
        <v>0</v>
      </c>
      <c r="JW8" s="18">
        <v>14.6</v>
      </c>
      <c r="JX8" s="18">
        <v>9.4</v>
      </c>
      <c r="JY8" s="18">
        <v>14.4</v>
      </c>
      <c r="JZ8" s="18">
        <v>15.23</v>
      </c>
      <c r="KA8" s="18">
        <v>0</v>
      </c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>
        <f t="shared" si="122"/>
        <v>13.4</v>
      </c>
      <c r="KM8" s="11">
        <f t="shared" si="123"/>
        <v>15.39</v>
      </c>
      <c r="KN8" s="11">
        <f t="shared" si="124"/>
        <v>52.99</v>
      </c>
      <c r="KO8" s="11">
        <f t="shared" si="125"/>
        <v>14.4</v>
      </c>
      <c r="KP8" s="11">
        <f t="shared" si="126"/>
        <v>15.23</v>
      </c>
      <c r="KQ8" s="11">
        <f t="shared" si="127"/>
        <v>53.629999999999995</v>
      </c>
      <c r="KR8" s="11">
        <f t="shared" si="128"/>
        <v>53.629999999999995</v>
      </c>
      <c r="KS8" s="11" t="str">
        <f t="shared" si="129"/>
        <v/>
      </c>
      <c r="KT8" s="11" t="str">
        <f t="shared" si="130"/>
        <v/>
      </c>
      <c r="KU8" s="11" t="str">
        <f t="shared" si="131"/>
        <v/>
      </c>
      <c r="KV8" s="11" t="str">
        <f t="shared" si="132"/>
        <v/>
      </c>
      <c r="KW8" s="11" t="str">
        <f t="shared" si="133"/>
        <v/>
      </c>
      <c r="KX8" s="11" t="str">
        <f t="shared" si="134"/>
        <v/>
      </c>
      <c r="KY8" s="11">
        <f t="shared" si="135"/>
        <v>53.629999999999995</v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 t="shared" si="136"/>
        <v/>
      </c>
      <c r="LU8" s="40" t="str">
        <f t="shared" si="137"/>
        <v/>
      </c>
      <c r="LV8" s="40" t="str">
        <f t="shared" si="138"/>
        <v/>
      </c>
      <c r="LW8" s="40" t="str">
        <f t="shared" si="139"/>
        <v/>
      </c>
      <c r="LX8" s="40" t="str">
        <f t="shared" si="140"/>
        <v/>
      </c>
      <c r="LY8" s="40" t="str">
        <f t="shared" si="141"/>
        <v/>
      </c>
      <c r="LZ8" s="40" t="str">
        <f t="shared" si="142"/>
        <v/>
      </c>
      <c r="MA8" s="40" t="str">
        <f t="shared" si="143"/>
        <v/>
      </c>
      <c r="MB8" s="40" t="str">
        <f t="shared" si="144"/>
        <v/>
      </c>
      <c r="MC8" s="40" t="str">
        <f t="shared" si="145"/>
        <v/>
      </c>
      <c r="MD8" s="40" t="str">
        <f t="shared" si="146"/>
        <v/>
      </c>
      <c r="ME8" s="40" t="str">
        <f t="shared" si="147"/>
        <v/>
      </c>
      <c r="MF8" s="40" t="str">
        <f t="shared" si="148"/>
        <v/>
      </c>
      <c r="MG8" s="40" t="str">
        <f t="shared" si="149"/>
        <v/>
      </c>
      <c r="MH8" s="18">
        <v>14.8</v>
      </c>
      <c r="MI8" s="18">
        <v>9.5</v>
      </c>
      <c r="MJ8" s="18">
        <v>15</v>
      </c>
      <c r="MK8" s="18">
        <v>14.99</v>
      </c>
      <c r="ML8" s="18">
        <v>0</v>
      </c>
      <c r="MM8" s="18">
        <v>15</v>
      </c>
      <c r="MN8" s="18">
        <v>9.4</v>
      </c>
      <c r="MO8" s="18">
        <v>14.4</v>
      </c>
      <c r="MP8" s="18">
        <v>15.24</v>
      </c>
      <c r="MQ8" s="18">
        <v>0</v>
      </c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>
        <f t="shared" si="150"/>
        <v>15</v>
      </c>
      <c r="NC8" s="11">
        <f t="shared" si="151"/>
        <v>14.99</v>
      </c>
      <c r="ND8" s="11">
        <f t="shared" si="152"/>
        <v>54.29</v>
      </c>
      <c r="NE8" s="11">
        <f t="shared" si="153"/>
        <v>14.4</v>
      </c>
      <c r="NF8" s="11">
        <f t="shared" si="154"/>
        <v>15.24</v>
      </c>
      <c r="NG8" s="11">
        <f t="shared" si="155"/>
        <v>54.04</v>
      </c>
      <c r="NH8" s="11">
        <f t="shared" si="156"/>
        <v>54.29</v>
      </c>
      <c r="NI8" s="11" t="str">
        <f t="shared" si="157"/>
        <v/>
      </c>
      <c r="NJ8" s="11" t="str">
        <f t="shared" si="158"/>
        <v/>
      </c>
      <c r="NK8" s="11" t="str">
        <f t="shared" si="159"/>
        <v/>
      </c>
      <c r="NL8" s="11" t="str">
        <f t="shared" si="160"/>
        <v/>
      </c>
      <c r="NM8" s="11" t="str">
        <f t="shared" si="161"/>
        <v/>
      </c>
      <c r="NN8" s="11" t="str">
        <f t="shared" si="162"/>
        <v/>
      </c>
      <c r="NO8" s="11">
        <f t="shared" si="163"/>
        <v>54.29</v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 t="shared" si="164"/>
        <v/>
      </c>
      <c r="OK8" s="40" t="str">
        <f t="shared" si="165"/>
        <v/>
      </c>
      <c r="OL8" s="40" t="str">
        <f t="shared" si="166"/>
        <v/>
      </c>
      <c r="OM8" s="40" t="str">
        <f t="shared" si="167"/>
        <v/>
      </c>
      <c r="ON8" s="40" t="str">
        <f t="shared" si="168"/>
        <v/>
      </c>
      <c r="OO8" s="40" t="str">
        <f t="shared" si="169"/>
        <v/>
      </c>
      <c r="OP8" s="40" t="str">
        <f t="shared" si="170"/>
        <v/>
      </c>
      <c r="OQ8" s="40" t="str">
        <f t="shared" si="171"/>
        <v/>
      </c>
      <c r="OR8" s="40" t="str">
        <f t="shared" si="172"/>
        <v/>
      </c>
      <c r="OS8" s="40" t="str">
        <f t="shared" si="173"/>
        <v/>
      </c>
      <c r="OT8" s="40" t="str">
        <f t="shared" si="174"/>
        <v/>
      </c>
      <c r="OU8" s="40" t="str">
        <f t="shared" si="175"/>
        <v/>
      </c>
      <c r="OV8" s="40" t="str">
        <f t="shared" si="176"/>
        <v/>
      </c>
      <c r="OW8" s="40" t="str">
        <f t="shared" si="177"/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 t="shared" si="178"/>
        <v/>
      </c>
      <c r="PS8" s="11" t="str">
        <f t="shared" si="179"/>
        <v/>
      </c>
      <c r="PT8" s="11" t="str">
        <f t="shared" si="180"/>
        <v/>
      </c>
      <c r="PU8" s="11" t="str">
        <f t="shared" si="181"/>
        <v/>
      </c>
      <c r="PV8" s="11" t="str">
        <f t="shared" si="182"/>
        <v/>
      </c>
      <c r="PW8" s="11" t="str">
        <f t="shared" si="183"/>
        <v/>
      </c>
      <c r="PX8" s="11" t="str">
        <f t="shared" si="184"/>
        <v/>
      </c>
      <c r="PY8" s="11" t="str">
        <f t="shared" si="185"/>
        <v/>
      </c>
      <c r="PZ8" s="11" t="str">
        <f t="shared" si="186"/>
        <v/>
      </c>
      <c r="QA8" s="11" t="str">
        <f t="shared" si="187"/>
        <v/>
      </c>
      <c r="QB8" s="11" t="str">
        <f t="shared" si="188"/>
        <v/>
      </c>
      <c r="QC8" s="11" t="str">
        <f t="shared" si="189"/>
        <v/>
      </c>
      <c r="QD8" s="11" t="str">
        <f t="shared" si="190"/>
        <v/>
      </c>
      <c r="QE8" s="11" t="str">
        <f t="shared" si="191"/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 t="shared" si="192"/>
        <v/>
      </c>
      <c r="RA8" s="40" t="str">
        <f t="shared" si="193"/>
        <v/>
      </c>
      <c r="RB8" s="40" t="str">
        <f t="shared" si="194"/>
        <v/>
      </c>
      <c r="RC8" s="40" t="str">
        <f t="shared" si="195"/>
        <v/>
      </c>
      <c r="RD8" s="40" t="str">
        <f t="shared" si="196"/>
        <v/>
      </c>
      <c r="RE8" s="40" t="str">
        <f t="shared" si="197"/>
        <v/>
      </c>
      <c r="RF8" s="40" t="str">
        <f t="shared" si="198"/>
        <v/>
      </c>
      <c r="RG8" s="40" t="str">
        <f t="shared" si="199"/>
        <v/>
      </c>
      <c r="RH8" s="40" t="str">
        <f t="shared" si="200"/>
        <v/>
      </c>
      <c r="RI8" s="40" t="str">
        <f t="shared" si="201"/>
        <v/>
      </c>
      <c r="RJ8" s="40" t="str">
        <f t="shared" si="202"/>
        <v/>
      </c>
      <c r="RK8" s="40" t="str">
        <f t="shared" si="203"/>
        <v/>
      </c>
      <c r="RL8" s="40" t="str">
        <f t="shared" si="204"/>
        <v/>
      </c>
      <c r="RM8" s="40" t="str">
        <f t="shared" si="205"/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 t="shared" si="206"/>
        <v/>
      </c>
      <c r="SI8" s="11" t="str">
        <f t="shared" si="207"/>
        <v/>
      </c>
      <c r="SJ8" s="11" t="str">
        <f t="shared" si="208"/>
        <v/>
      </c>
      <c r="SK8" s="11" t="str">
        <f t="shared" si="209"/>
        <v/>
      </c>
      <c r="SL8" s="11" t="str">
        <f t="shared" si="210"/>
        <v/>
      </c>
      <c r="SM8" s="11" t="str">
        <f t="shared" si="211"/>
        <v/>
      </c>
      <c r="SN8" s="11" t="str">
        <f t="shared" si="212"/>
        <v/>
      </c>
      <c r="SO8" s="11" t="str">
        <f t="shared" si="213"/>
        <v/>
      </c>
      <c r="SP8" s="11" t="str">
        <f t="shared" si="214"/>
        <v/>
      </c>
      <c r="SQ8" s="11" t="str">
        <f t="shared" si="215"/>
        <v/>
      </c>
      <c r="SR8" s="11" t="str">
        <f t="shared" si="216"/>
        <v/>
      </c>
      <c r="SS8" s="11" t="str">
        <f t="shared" si="217"/>
        <v/>
      </c>
      <c r="ST8" s="11" t="str">
        <f t="shared" si="218"/>
        <v/>
      </c>
      <c r="SU8" s="11" t="str">
        <f t="shared" si="219"/>
        <v/>
      </c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17"/>
      <c r="TI8" s="17"/>
      <c r="TJ8" s="17"/>
      <c r="TK8" s="17"/>
      <c r="TL8" s="17"/>
      <c r="TM8" s="17"/>
      <c r="TN8" s="17"/>
      <c r="TO8" s="17"/>
      <c r="TP8" s="40" t="str">
        <f t="shared" si="220"/>
        <v/>
      </c>
      <c r="TQ8" s="40" t="str">
        <f t="shared" si="221"/>
        <v/>
      </c>
      <c r="TR8" s="40" t="str">
        <f t="shared" si="222"/>
        <v/>
      </c>
      <c r="TS8" s="40" t="str">
        <f t="shared" si="223"/>
        <v/>
      </c>
      <c r="TT8" s="40" t="str">
        <f t="shared" si="224"/>
        <v/>
      </c>
      <c r="TU8" s="40" t="str">
        <f t="shared" si="225"/>
        <v/>
      </c>
      <c r="TV8" s="40" t="str">
        <f t="shared" si="226"/>
        <v/>
      </c>
      <c r="TW8" s="40" t="str">
        <f t="shared" si="227"/>
        <v/>
      </c>
      <c r="TX8" s="40" t="str">
        <f t="shared" si="228"/>
        <v/>
      </c>
      <c r="TY8" s="40" t="str">
        <f t="shared" si="229"/>
        <v/>
      </c>
      <c r="TZ8" s="40" t="str">
        <f t="shared" si="230"/>
        <v/>
      </c>
      <c r="UA8" s="40" t="str">
        <f t="shared" si="231"/>
        <v/>
      </c>
      <c r="UB8" s="40" t="str">
        <f t="shared" si="232"/>
        <v/>
      </c>
      <c r="UC8" s="40" t="str">
        <f t="shared" si="233"/>
        <v/>
      </c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8"/>
      <c r="UQ8" s="18"/>
      <c r="UR8" s="18"/>
      <c r="US8" s="18"/>
      <c r="UT8" s="18"/>
      <c r="UU8" s="18"/>
      <c r="UV8" s="18"/>
      <c r="UW8" s="18"/>
      <c r="UX8" s="11" t="str">
        <f t="shared" si="234"/>
        <v/>
      </c>
      <c r="UY8" s="11" t="str">
        <f t="shared" si="235"/>
        <v/>
      </c>
      <c r="UZ8" s="11" t="str">
        <f t="shared" si="236"/>
        <v/>
      </c>
      <c r="VA8" s="11" t="str">
        <f t="shared" si="237"/>
        <v/>
      </c>
      <c r="VB8" s="11" t="str">
        <f t="shared" si="238"/>
        <v/>
      </c>
      <c r="VC8" s="11" t="str">
        <f t="shared" si="239"/>
        <v/>
      </c>
      <c r="VD8" s="11" t="str">
        <f t="shared" si="240"/>
        <v/>
      </c>
      <c r="VE8" s="11" t="str">
        <f t="shared" si="241"/>
        <v/>
      </c>
      <c r="VF8" s="11" t="str">
        <f t="shared" si="242"/>
        <v/>
      </c>
      <c r="VG8" s="11" t="str">
        <f t="shared" si="243"/>
        <v/>
      </c>
      <c r="VH8" s="11" t="str">
        <f t="shared" si="244"/>
        <v/>
      </c>
      <c r="VI8" s="11" t="str">
        <f t="shared" si="245"/>
        <v/>
      </c>
      <c r="VJ8" s="11" t="str">
        <f t="shared" si="246"/>
        <v/>
      </c>
      <c r="VK8" s="11" t="str">
        <f t="shared" si="247"/>
        <v/>
      </c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17"/>
      <c r="VY8" s="17"/>
      <c r="VZ8" s="17"/>
      <c r="WA8" s="17"/>
      <c r="WB8" s="17"/>
      <c r="WC8" s="17"/>
      <c r="WD8" s="17"/>
      <c r="WE8" s="17"/>
      <c r="WF8" s="40" t="str">
        <f t="shared" si="248"/>
        <v/>
      </c>
      <c r="WG8" s="40" t="str">
        <f t="shared" si="249"/>
        <v/>
      </c>
      <c r="WH8" s="40" t="str">
        <f t="shared" si="250"/>
        <v/>
      </c>
      <c r="WI8" s="40" t="str">
        <f t="shared" si="251"/>
        <v/>
      </c>
      <c r="WJ8" s="40" t="str">
        <f t="shared" si="252"/>
        <v/>
      </c>
      <c r="WK8" s="40" t="str">
        <f t="shared" si="253"/>
        <v/>
      </c>
      <c r="WL8" s="40" t="str">
        <f t="shared" si="254"/>
        <v/>
      </c>
      <c r="WM8" s="40" t="str">
        <f t="shared" si="255"/>
        <v/>
      </c>
      <c r="WN8" s="40" t="str">
        <f t="shared" si="256"/>
        <v/>
      </c>
      <c r="WO8" s="40" t="str">
        <f t="shared" si="257"/>
        <v/>
      </c>
      <c r="WP8" s="40" t="str">
        <f t="shared" si="258"/>
        <v/>
      </c>
      <c r="WQ8" s="40" t="str">
        <f t="shared" si="259"/>
        <v/>
      </c>
      <c r="WR8" s="40" t="str">
        <f t="shared" si="260"/>
        <v/>
      </c>
      <c r="WS8" s="40" t="str">
        <f t="shared" si="261"/>
        <v/>
      </c>
      <c r="WT8" s="26">
        <f t="shared" si="262"/>
        <v>10.7</v>
      </c>
      <c r="WU8" s="26">
        <f t="shared" si="263"/>
        <v>6.1</v>
      </c>
      <c r="WV8" s="26">
        <f t="shared" si="264"/>
        <v>9.6499999999999986</v>
      </c>
      <c r="WW8" s="26">
        <f t="shared" si="265"/>
        <v>10.265000000000001</v>
      </c>
      <c r="WX8" s="26">
        <f t="shared" si="266"/>
        <v>0</v>
      </c>
      <c r="WY8" s="26">
        <f t="shared" si="267"/>
        <v>10.049999999999999</v>
      </c>
      <c r="WZ8" s="26">
        <f t="shared" si="268"/>
        <v>5.6000000000000005</v>
      </c>
      <c r="XA8" s="26">
        <f t="shared" si="269"/>
        <v>8.8000000000000007</v>
      </c>
      <c r="XB8" s="26">
        <f t="shared" si="270"/>
        <v>9.495000000000001</v>
      </c>
      <c r="XC8" s="26">
        <f t="shared" si="271"/>
        <v>0</v>
      </c>
      <c r="XD8" s="26">
        <f t="shared" si="272"/>
        <v>8.5</v>
      </c>
      <c r="XE8" s="26">
        <f t="shared" si="273"/>
        <v>4.6500000000000004</v>
      </c>
      <c r="XF8" s="26">
        <f t="shared" si="274"/>
        <v>7.2</v>
      </c>
      <c r="XG8" s="26">
        <f t="shared" si="275"/>
        <v>7.83</v>
      </c>
      <c r="XH8" s="26">
        <f t="shared" si="276"/>
        <v>0</v>
      </c>
      <c r="XI8" s="28" t="s">
        <v>53</v>
      </c>
      <c r="XJ8" s="11">
        <f t="shared" si="277"/>
        <v>9.6499999999999986</v>
      </c>
      <c r="XK8" s="11">
        <f t="shared" si="278"/>
        <v>10.265000000000001</v>
      </c>
      <c r="XL8" s="11">
        <f t="shared" si="279"/>
        <v>36.714999999999996</v>
      </c>
      <c r="XM8" s="11">
        <f t="shared" si="280"/>
        <v>8.8000000000000007</v>
      </c>
      <c r="XN8" s="11">
        <f t="shared" si="281"/>
        <v>9.495000000000001</v>
      </c>
      <c r="XO8" s="11">
        <f t="shared" si="282"/>
        <v>33.945</v>
      </c>
      <c r="XP8" s="11">
        <f t="shared" si="283"/>
        <v>36.714999999999996</v>
      </c>
      <c r="XQ8" s="11">
        <f t="shared" si="284"/>
        <v>7.2</v>
      </c>
      <c r="XR8" s="11">
        <f t="shared" si="285"/>
        <v>7.83</v>
      </c>
      <c r="XS8" s="11">
        <f t="shared" si="286"/>
        <v>28.18</v>
      </c>
      <c r="XT8" s="11">
        <f t="shared" si="287"/>
        <v>64.894999999999996</v>
      </c>
    </row>
    <row r="9" spans="1:644" x14ac:dyDescent="0.2">
      <c r="A9" s="4" cm="1">
        <f t="array" ref="A9">IF(AND(H9&lt;&gt;"",H9&lt;&gt;"No DD"),SUMPRODUCT((H$4:H$25&lt;&gt;"")*(H$4:H$25&lt;&gt;"No DD")*(E$4:E$25&gt;E9))+1,IF(H9="No DD",SUMPRODUCT((H$4:H$25="No DD")*(E$4:E$25&gt;E9))+1+SUMPRODUCT((H$4:H$25&lt;&gt;"")*(H$4:H$25&lt;&gt;"No DD")),""))</f>
        <v>6</v>
      </c>
      <c r="B9" s="5" t="s">
        <v>179</v>
      </c>
      <c r="C9" s="4" t="s">
        <v>6</v>
      </c>
      <c r="D9" s="4">
        <v>2001</v>
      </c>
      <c r="E9" s="9">
        <f t="shared" si="0"/>
        <v>248.13002481300546</v>
      </c>
      <c r="F9" s="3" t="str">
        <f t="shared" si="1"/>
        <v>P</v>
      </c>
      <c r="G9" s="3" t="str">
        <f t="shared" si="2"/>
        <v>P</v>
      </c>
      <c r="H9" s="36" t="str">
        <f t="shared" si="3"/>
        <v>National Team</v>
      </c>
      <c r="I9" s="3" t="str">
        <f t="shared" si="4"/>
        <v/>
      </c>
      <c r="J9" s="8">
        <f>IF(COUNT(AQ9,AT9,BR9,BU9,CS9,CV9)&gt;0,LARGE((AQ9,AT9,BR9,BU9,CS9,CV9),1),0)</f>
        <v>54.62</v>
      </c>
      <c r="K9" s="8" t="str">
        <f t="shared" si="5"/>
        <v>2024 Elite Canada</v>
      </c>
      <c r="L9" s="8">
        <f>IF(COUNT(AQ9,AT9,BR9,BU9,CS9,CV9)&gt;1,LARGE((AQ9,AT9,BR9,BU9,CS9,CV9),2),0)</f>
        <v>54.07</v>
      </c>
      <c r="M9" s="8" t="str">
        <f t="shared" si="6"/>
        <v>2024 3rd Domestic Trial</v>
      </c>
      <c r="N9" s="8">
        <f>IF(COUNT(AQ9,AT9,BR9,BU9,CS9,CV9)&gt;2,LARGE((AQ9,AT9,BR9,BU9,CS9,CV9),3),0)</f>
        <v>53.52</v>
      </c>
      <c r="O9" s="8" t="str">
        <f t="shared" si="7"/>
        <v>2024 Nationals</v>
      </c>
      <c r="P9" s="8">
        <f t="shared" si="8"/>
        <v>54.36</v>
      </c>
      <c r="Q9" s="8" t="str">
        <f t="shared" si="9"/>
        <v>2024 Elite Canada</v>
      </c>
      <c r="R9" s="8">
        <f t="shared" si="10"/>
        <v>15.4</v>
      </c>
      <c r="S9" s="8" t="str">
        <f t="shared" si="11"/>
        <v>2024 Elite Canada</v>
      </c>
      <c r="T9" s="8">
        <f t="shared" si="12"/>
        <v>16.16</v>
      </c>
      <c r="U9" s="8" t="str">
        <f t="shared" si="13"/>
        <v>2024 Elite Canada</v>
      </c>
      <c r="V9" s="8" t="str">
        <f t="shared" si="14"/>
        <v/>
      </c>
      <c r="W9" s="11" t="str">
        <f t="shared" si="15"/>
        <v/>
      </c>
      <c r="X9" s="8" t="str">
        <f t="shared" si="16"/>
        <v/>
      </c>
      <c r="Y9" s="22">
        <v>9.4</v>
      </c>
      <c r="Z9" s="22">
        <v>5.5</v>
      </c>
      <c r="AA9" s="22">
        <v>9.4</v>
      </c>
      <c r="AB9" s="22">
        <v>10.130000000000001</v>
      </c>
      <c r="AC9" s="22">
        <v>0</v>
      </c>
      <c r="AD9" s="22">
        <v>15.2</v>
      </c>
      <c r="AE9" s="22">
        <v>8.9</v>
      </c>
      <c r="AF9" s="22">
        <v>14.2</v>
      </c>
      <c r="AG9" s="22">
        <v>16.32</v>
      </c>
      <c r="AH9" s="22">
        <v>0</v>
      </c>
      <c r="AI9" s="22">
        <v>13.5</v>
      </c>
      <c r="AJ9" s="22">
        <v>9.3000000000000007</v>
      </c>
      <c r="AK9" s="22">
        <v>15.4</v>
      </c>
      <c r="AL9" s="22">
        <v>16.16</v>
      </c>
      <c r="AM9" s="22">
        <v>0</v>
      </c>
      <c r="AN9" s="27"/>
      <c r="AO9" s="38">
        <f t="shared" si="17"/>
        <v>9.4</v>
      </c>
      <c r="AP9" s="38">
        <f t="shared" si="18"/>
        <v>10.130000000000001</v>
      </c>
      <c r="AQ9" s="40">
        <f t="shared" si="19"/>
        <v>34.43</v>
      </c>
      <c r="AR9" s="40">
        <f t="shared" si="20"/>
        <v>14.2</v>
      </c>
      <c r="AS9" s="40">
        <f t="shared" si="21"/>
        <v>16.32</v>
      </c>
      <c r="AT9" s="40">
        <f t="shared" si="22"/>
        <v>54.62</v>
      </c>
      <c r="AU9" s="40">
        <f t="shared" si="23"/>
        <v>54.62</v>
      </c>
      <c r="AV9" s="40">
        <f t="shared" si="24"/>
        <v>15.4</v>
      </c>
      <c r="AW9" s="40">
        <f t="shared" si="25"/>
        <v>16.16</v>
      </c>
      <c r="AX9" s="40">
        <f t="shared" si="26"/>
        <v>54.36</v>
      </c>
      <c r="AY9" s="40">
        <f t="shared" si="27"/>
        <v>108.97999999999999</v>
      </c>
      <c r="AZ9" s="26">
        <v>3</v>
      </c>
      <c r="BA9" s="26">
        <v>1.8</v>
      </c>
      <c r="BB9" s="26">
        <v>3.2</v>
      </c>
      <c r="BC9" s="26">
        <v>3.47</v>
      </c>
      <c r="BD9" s="26">
        <v>0</v>
      </c>
      <c r="BE9" s="26">
        <v>14.4</v>
      </c>
      <c r="BF9" s="26">
        <v>9.3000000000000007</v>
      </c>
      <c r="BG9" s="26">
        <v>14.2</v>
      </c>
      <c r="BH9" s="26">
        <v>15.62</v>
      </c>
      <c r="BI9" s="26">
        <v>0</v>
      </c>
      <c r="BJ9" s="26">
        <v>13.7</v>
      </c>
      <c r="BK9" s="26">
        <v>8.9</v>
      </c>
      <c r="BL9" s="26">
        <v>14.4</v>
      </c>
      <c r="BM9" s="26">
        <v>15.65</v>
      </c>
      <c r="BN9" s="26">
        <v>0</v>
      </c>
      <c r="BO9" s="28"/>
      <c r="BP9" s="39">
        <f t="shared" si="28"/>
        <v>3.2</v>
      </c>
      <c r="BQ9" s="39">
        <f t="shared" si="29"/>
        <v>3.47</v>
      </c>
      <c r="BR9" s="11">
        <f t="shared" si="30"/>
        <v>11.47</v>
      </c>
      <c r="BS9" s="11">
        <f t="shared" si="31"/>
        <v>14.2</v>
      </c>
      <c r="BT9" s="11">
        <f t="shared" si="32"/>
        <v>15.62</v>
      </c>
      <c r="BU9" s="11">
        <f t="shared" si="33"/>
        <v>53.52</v>
      </c>
      <c r="BV9" s="11">
        <f t="shared" si="34"/>
        <v>53.52</v>
      </c>
      <c r="BW9" s="11">
        <f t="shared" si="35"/>
        <v>14.4</v>
      </c>
      <c r="BX9" s="11">
        <f t="shared" si="36"/>
        <v>15.65</v>
      </c>
      <c r="BY9" s="11">
        <f t="shared" si="37"/>
        <v>52.65</v>
      </c>
      <c r="BZ9" s="11">
        <f t="shared" si="38"/>
        <v>106.17</v>
      </c>
      <c r="CA9" s="22">
        <v>6.2</v>
      </c>
      <c r="CB9" s="22">
        <v>3.65</v>
      </c>
      <c r="CC9" s="22">
        <v>6.3000000000000007</v>
      </c>
      <c r="CD9" s="22">
        <v>6.8000000000000007</v>
      </c>
      <c r="CE9" s="22">
        <v>0</v>
      </c>
      <c r="CF9" s="22">
        <v>14.8</v>
      </c>
      <c r="CG9" s="22">
        <v>9.1000000000000014</v>
      </c>
      <c r="CH9" s="22">
        <v>14.2</v>
      </c>
      <c r="CI9" s="22">
        <v>15.969999999999999</v>
      </c>
      <c r="CJ9" s="22">
        <v>0</v>
      </c>
      <c r="CK9" s="22">
        <v>13.6</v>
      </c>
      <c r="CL9" s="22">
        <v>9.1000000000000014</v>
      </c>
      <c r="CM9" s="22">
        <v>14.9</v>
      </c>
      <c r="CN9" s="22">
        <v>15.905000000000001</v>
      </c>
      <c r="CO9" s="22">
        <v>0</v>
      </c>
      <c r="CP9" s="27" t="s">
        <v>53</v>
      </c>
      <c r="CQ9" s="38">
        <f t="shared" si="39"/>
        <v>6.3000000000000007</v>
      </c>
      <c r="CR9" s="38">
        <f t="shared" si="40"/>
        <v>6.8000000000000007</v>
      </c>
      <c r="CS9" s="40">
        <f t="shared" si="41"/>
        <v>22.95</v>
      </c>
      <c r="CT9" s="40">
        <f t="shared" si="42"/>
        <v>14.2</v>
      </c>
      <c r="CU9" s="40">
        <f t="shared" si="43"/>
        <v>15.969999999999999</v>
      </c>
      <c r="CV9" s="40">
        <f t="shared" si="44"/>
        <v>54.07</v>
      </c>
      <c r="CW9" s="40">
        <f t="shared" si="45"/>
        <v>54.07</v>
      </c>
      <c r="CX9" s="40">
        <f t="shared" si="46"/>
        <v>14.9</v>
      </c>
      <c r="CY9" s="40">
        <f t="shared" si="47"/>
        <v>15.905000000000001</v>
      </c>
      <c r="CZ9" s="40">
        <f t="shared" si="48"/>
        <v>53.505000000000003</v>
      </c>
      <c r="DA9" s="40">
        <f t="shared" si="49"/>
        <v>107.575</v>
      </c>
      <c r="DB9" s="51" t="str">
        <f t="shared" si="50"/>
        <v/>
      </c>
      <c r="DC9" s="51" t="str">
        <f t="shared" si="51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 t="shared" si="52"/>
        <v/>
      </c>
      <c r="DY9" s="40" t="str">
        <f t="shared" si="53"/>
        <v/>
      </c>
      <c r="DZ9" s="40" t="str">
        <f t="shared" si="54"/>
        <v/>
      </c>
      <c r="EA9" s="40" t="str">
        <f t="shared" si="55"/>
        <v/>
      </c>
      <c r="EB9" s="40" t="str">
        <f t="shared" si="56"/>
        <v/>
      </c>
      <c r="EC9" s="40" t="str">
        <f t="shared" si="57"/>
        <v/>
      </c>
      <c r="ED9" s="40" t="str">
        <f t="shared" si="58"/>
        <v/>
      </c>
      <c r="EE9" s="40" t="str">
        <f t="shared" si="59"/>
        <v/>
      </c>
      <c r="EF9" s="40" t="str">
        <f t="shared" si="60"/>
        <v/>
      </c>
      <c r="EG9" s="40" t="str">
        <f t="shared" si="61"/>
        <v/>
      </c>
      <c r="EH9" s="40" t="str">
        <f t="shared" si="62"/>
        <v/>
      </c>
      <c r="EI9" s="40" t="str">
        <f t="shared" si="63"/>
        <v/>
      </c>
      <c r="EJ9" s="40" t="str">
        <f t="shared" si="64"/>
        <v/>
      </c>
      <c r="EK9" s="40" t="str">
        <f t="shared" si="65"/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 t="shared" si="66"/>
        <v/>
      </c>
      <c r="FG9" s="11" t="str">
        <f t="shared" si="67"/>
        <v/>
      </c>
      <c r="FH9" s="11" t="str">
        <f t="shared" si="68"/>
        <v/>
      </c>
      <c r="FI9" s="11" t="str">
        <f t="shared" si="69"/>
        <v/>
      </c>
      <c r="FJ9" s="11" t="str">
        <f t="shared" si="70"/>
        <v/>
      </c>
      <c r="FK9" s="11" t="str">
        <f t="shared" si="71"/>
        <v/>
      </c>
      <c r="FL9" s="11" t="str">
        <f t="shared" si="72"/>
        <v/>
      </c>
      <c r="FM9" s="11" t="str">
        <f t="shared" si="73"/>
        <v/>
      </c>
      <c r="FN9" s="11" t="str">
        <f t="shared" si="74"/>
        <v/>
      </c>
      <c r="FO9" s="11" t="str">
        <f t="shared" si="75"/>
        <v/>
      </c>
      <c r="FP9" s="11" t="str">
        <f t="shared" si="76"/>
        <v/>
      </c>
      <c r="FQ9" s="11" t="str">
        <f t="shared" si="77"/>
        <v/>
      </c>
      <c r="FR9" s="11" t="str">
        <f t="shared" si="78"/>
        <v/>
      </c>
      <c r="FS9" s="11" t="str">
        <f t="shared" si="79"/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 t="shared" si="80"/>
        <v/>
      </c>
      <c r="GO9" s="40" t="str">
        <f t="shared" si="81"/>
        <v/>
      </c>
      <c r="GP9" s="40" t="str">
        <f t="shared" si="82"/>
        <v/>
      </c>
      <c r="GQ9" s="40" t="str">
        <f t="shared" si="83"/>
        <v/>
      </c>
      <c r="GR9" s="40" t="str">
        <f t="shared" si="84"/>
        <v/>
      </c>
      <c r="GS9" s="40" t="str">
        <f t="shared" si="85"/>
        <v/>
      </c>
      <c r="GT9" s="40" t="str">
        <f t="shared" si="86"/>
        <v/>
      </c>
      <c r="GU9" s="40" t="str">
        <f t="shared" si="87"/>
        <v/>
      </c>
      <c r="GV9" s="40" t="str">
        <f t="shared" si="88"/>
        <v/>
      </c>
      <c r="GW9" s="40" t="str">
        <f t="shared" si="89"/>
        <v/>
      </c>
      <c r="GX9" s="40" t="str">
        <f t="shared" si="90"/>
        <v/>
      </c>
      <c r="GY9" s="40" t="str">
        <f t="shared" si="91"/>
        <v/>
      </c>
      <c r="GZ9" s="40" t="str">
        <f t="shared" si="92"/>
        <v/>
      </c>
      <c r="HA9" s="40" t="str">
        <f t="shared" si="93"/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 t="shared" si="94"/>
        <v/>
      </c>
      <c r="HW9" s="11" t="str">
        <f t="shared" si="95"/>
        <v/>
      </c>
      <c r="HX9" s="11" t="str">
        <f t="shared" si="96"/>
        <v/>
      </c>
      <c r="HY9" s="11" t="str">
        <f t="shared" si="97"/>
        <v/>
      </c>
      <c r="HZ9" s="11" t="str">
        <f t="shared" si="98"/>
        <v/>
      </c>
      <c r="IA9" s="11" t="str">
        <f t="shared" si="99"/>
        <v/>
      </c>
      <c r="IB9" s="11" t="str">
        <f t="shared" si="100"/>
        <v/>
      </c>
      <c r="IC9" s="11" t="str">
        <f t="shared" si="101"/>
        <v/>
      </c>
      <c r="ID9" s="11" t="str">
        <f t="shared" si="102"/>
        <v/>
      </c>
      <c r="IE9" s="11" t="str">
        <f t="shared" si="103"/>
        <v/>
      </c>
      <c r="IF9" s="11" t="str">
        <f t="shared" si="104"/>
        <v/>
      </c>
      <c r="IG9" s="11" t="str">
        <f t="shared" si="105"/>
        <v/>
      </c>
      <c r="IH9" s="11" t="str">
        <f t="shared" si="106"/>
        <v/>
      </c>
      <c r="II9" s="11" t="str">
        <f t="shared" si="107"/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 t="shared" si="108"/>
        <v/>
      </c>
      <c r="JE9" s="40" t="str">
        <f t="shared" si="109"/>
        <v/>
      </c>
      <c r="JF9" s="40" t="str">
        <f t="shared" si="110"/>
        <v/>
      </c>
      <c r="JG9" s="40" t="str">
        <f t="shared" si="111"/>
        <v/>
      </c>
      <c r="JH9" s="40" t="str">
        <f t="shared" si="112"/>
        <v/>
      </c>
      <c r="JI9" s="40" t="str">
        <f t="shared" si="113"/>
        <v/>
      </c>
      <c r="JJ9" s="40" t="str">
        <f t="shared" si="114"/>
        <v/>
      </c>
      <c r="JK9" s="40" t="str">
        <f t="shared" si="115"/>
        <v/>
      </c>
      <c r="JL9" s="40" t="str">
        <f t="shared" si="116"/>
        <v/>
      </c>
      <c r="JM9" s="40" t="str">
        <f t="shared" si="117"/>
        <v/>
      </c>
      <c r="JN9" s="40" t="str">
        <f t="shared" si="118"/>
        <v/>
      </c>
      <c r="JO9" s="40" t="str">
        <f t="shared" si="119"/>
        <v/>
      </c>
      <c r="JP9" s="40" t="str">
        <f t="shared" si="120"/>
        <v/>
      </c>
      <c r="JQ9" s="40" t="str">
        <f t="shared" si="121"/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 t="shared" si="122"/>
        <v/>
      </c>
      <c r="KM9" s="11" t="str">
        <f t="shared" si="123"/>
        <v/>
      </c>
      <c r="KN9" s="11" t="str">
        <f t="shared" si="124"/>
        <v/>
      </c>
      <c r="KO9" s="11" t="str">
        <f t="shared" si="125"/>
        <v/>
      </c>
      <c r="KP9" s="11" t="str">
        <f t="shared" si="126"/>
        <v/>
      </c>
      <c r="KQ9" s="11" t="str">
        <f t="shared" si="127"/>
        <v/>
      </c>
      <c r="KR9" s="11" t="str">
        <f t="shared" si="128"/>
        <v/>
      </c>
      <c r="KS9" s="11" t="str">
        <f t="shared" si="129"/>
        <v/>
      </c>
      <c r="KT9" s="11" t="str">
        <f t="shared" si="130"/>
        <v/>
      </c>
      <c r="KU9" s="11" t="str">
        <f t="shared" si="131"/>
        <v/>
      </c>
      <c r="KV9" s="11" t="str">
        <f t="shared" si="132"/>
        <v/>
      </c>
      <c r="KW9" s="11" t="str">
        <f t="shared" si="133"/>
        <v/>
      </c>
      <c r="KX9" s="11" t="str">
        <f t="shared" si="134"/>
        <v/>
      </c>
      <c r="KY9" s="11" t="str">
        <f t="shared" si="135"/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 t="shared" si="136"/>
        <v/>
      </c>
      <c r="LU9" s="40" t="str">
        <f t="shared" si="137"/>
        <v/>
      </c>
      <c r="LV9" s="40" t="str">
        <f t="shared" si="138"/>
        <v/>
      </c>
      <c r="LW9" s="40" t="str">
        <f t="shared" si="139"/>
        <v/>
      </c>
      <c r="LX9" s="40" t="str">
        <f t="shared" si="140"/>
        <v/>
      </c>
      <c r="LY9" s="40" t="str">
        <f t="shared" si="141"/>
        <v/>
      </c>
      <c r="LZ9" s="40" t="str">
        <f t="shared" si="142"/>
        <v/>
      </c>
      <c r="MA9" s="40" t="str">
        <f t="shared" si="143"/>
        <v/>
      </c>
      <c r="MB9" s="40" t="str">
        <f t="shared" si="144"/>
        <v/>
      </c>
      <c r="MC9" s="40" t="str">
        <f t="shared" si="145"/>
        <v/>
      </c>
      <c r="MD9" s="40" t="str">
        <f t="shared" si="146"/>
        <v/>
      </c>
      <c r="ME9" s="40" t="str">
        <f t="shared" si="147"/>
        <v/>
      </c>
      <c r="MF9" s="40" t="str">
        <f t="shared" si="148"/>
        <v/>
      </c>
      <c r="MG9" s="40" t="str">
        <f t="shared" si="149"/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 t="shared" si="150"/>
        <v/>
      </c>
      <c r="NC9" s="11" t="str">
        <f t="shared" si="151"/>
        <v/>
      </c>
      <c r="ND9" s="11" t="str">
        <f t="shared" si="152"/>
        <v/>
      </c>
      <c r="NE9" s="11" t="str">
        <f t="shared" si="153"/>
        <v/>
      </c>
      <c r="NF9" s="11" t="str">
        <f t="shared" si="154"/>
        <v/>
      </c>
      <c r="NG9" s="11" t="str">
        <f t="shared" si="155"/>
        <v/>
      </c>
      <c r="NH9" s="11" t="str">
        <f t="shared" si="156"/>
        <v/>
      </c>
      <c r="NI9" s="11" t="str">
        <f t="shared" si="157"/>
        <v/>
      </c>
      <c r="NJ9" s="11" t="str">
        <f t="shared" si="158"/>
        <v/>
      </c>
      <c r="NK9" s="11" t="str">
        <f t="shared" si="159"/>
        <v/>
      </c>
      <c r="NL9" s="11" t="str">
        <f t="shared" si="160"/>
        <v/>
      </c>
      <c r="NM9" s="11" t="str">
        <f t="shared" si="161"/>
        <v/>
      </c>
      <c r="NN9" s="11" t="str">
        <f t="shared" si="162"/>
        <v/>
      </c>
      <c r="NO9" s="11" t="str">
        <f t="shared" si="163"/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 t="shared" si="164"/>
        <v/>
      </c>
      <c r="OK9" s="40" t="str">
        <f t="shared" si="165"/>
        <v/>
      </c>
      <c r="OL9" s="40" t="str">
        <f t="shared" si="166"/>
        <v/>
      </c>
      <c r="OM9" s="40" t="str">
        <f t="shared" si="167"/>
        <v/>
      </c>
      <c r="ON9" s="40" t="str">
        <f t="shared" si="168"/>
        <v/>
      </c>
      <c r="OO9" s="40" t="str">
        <f t="shared" si="169"/>
        <v/>
      </c>
      <c r="OP9" s="40" t="str">
        <f t="shared" si="170"/>
        <v/>
      </c>
      <c r="OQ9" s="40" t="str">
        <f t="shared" si="171"/>
        <v/>
      </c>
      <c r="OR9" s="40" t="str">
        <f t="shared" si="172"/>
        <v/>
      </c>
      <c r="OS9" s="40" t="str">
        <f t="shared" si="173"/>
        <v/>
      </c>
      <c r="OT9" s="40" t="str">
        <f t="shared" si="174"/>
        <v/>
      </c>
      <c r="OU9" s="40" t="str">
        <f t="shared" si="175"/>
        <v/>
      </c>
      <c r="OV9" s="40" t="str">
        <f t="shared" si="176"/>
        <v/>
      </c>
      <c r="OW9" s="40" t="str">
        <f t="shared" si="177"/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 t="shared" si="178"/>
        <v/>
      </c>
      <c r="PS9" s="11" t="str">
        <f t="shared" si="179"/>
        <v/>
      </c>
      <c r="PT9" s="11" t="str">
        <f t="shared" si="180"/>
        <v/>
      </c>
      <c r="PU9" s="11" t="str">
        <f t="shared" si="181"/>
        <v/>
      </c>
      <c r="PV9" s="11" t="str">
        <f t="shared" si="182"/>
        <v/>
      </c>
      <c r="PW9" s="11" t="str">
        <f t="shared" si="183"/>
        <v/>
      </c>
      <c r="PX9" s="11" t="str">
        <f t="shared" si="184"/>
        <v/>
      </c>
      <c r="PY9" s="11" t="str">
        <f t="shared" si="185"/>
        <v/>
      </c>
      <c r="PZ9" s="11" t="str">
        <f t="shared" si="186"/>
        <v/>
      </c>
      <c r="QA9" s="11" t="str">
        <f t="shared" si="187"/>
        <v/>
      </c>
      <c r="QB9" s="11" t="str">
        <f t="shared" si="188"/>
        <v/>
      </c>
      <c r="QC9" s="11" t="str">
        <f t="shared" si="189"/>
        <v/>
      </c>
      <c r="QD9" s="11" t="str">
        <f t="shared" si="190"/>
        <v/>
      </c>
      <c r="QE9" s="11" t="str">
        <f t="shared" si="191"/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 t="shared" si="192"/>
        <v/>
      </c>
      <c r="RA9" s="40" t="str">
        <f t="shared" si="193"/>
        <v/>
      </c>
      <c r="RB9" s="40" t="str">
        <f t="shared" si="194"/>
        <v/>
      </c>
      <c r="RC9" s="40" t="str">
        <f t="shared" si="195"/>
        <v/>
      </c>
      <c r="RD9" s="40" t="str">
        <f t="shared" si="196"/>
        <v/>
      </c>
      <c r="RE9" s="40" t="str">
        <f t="shared" si="197"/>
        <v/>
      </c>
      <c r="RF9" s="40" t="str">
        <f t="shared" si="198"/>
        <v/>
      </c>
      <c r="RG9" s="40" t="str">
        <f t="shared" si="199"/>
        <v/>
      </c>
      <c r="RH9" s="40" t="str">
        <f t="shared" si="200"/>
        <v/>
      </c>
      <c r="RI9" s="40" t="str">
        <f t="shared" si="201"/>
        <v/>
      </c>
      <c r="RJ9" s="40" t="str">
        <f t="shared" si="202"/>
        <v/>
      </c>
      <c r="RK9" s="40" t="str">
        <f t="shared" si="203"/>
        <v/>
      </c>
      <c r="RL9" s="40" t="str">
        <f t="shared" si="204"/>
        <v/>
      </c>
      <c r="RM9" s="40" t="str">
        <f t="shared" si="205"/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 t="shared" si="206"/>
        <v/>
      </c>
      <c r="SI9" s="11" t="str">
        <f t="shared" si="207"/>
        <v/>
      </c>
      <c r="SJ9" s="11" t="str">
        <f t="shared" si="208"/>
        <v/>
      </c>
      <c r="SK9" s="11" t="str">
        <f t="shared" si="209"/>
        <v/>
      </c>
      <c r="SL9" s="11" t="str">
        <f t="shared" si="210"/>
        <v/>
      </c>
      <c r="SM9" s="11" t="str">
        <f t="shared" si="211"/>
        <v/>
      </c>
      <c r="SN9" s="11" t="str">
        <f t="shared" si="212"/>
        <v/>
      </c>
      <c r="SO9" s="11" t="str">
        <f t="shared" si="213"/>
        <v/>
      </c>
      <c r="SP9" s="11" t="str">
        <f t="shared" si="214"/>
        <v/>
      </c>
      <c r="SQ9" s="11" t="str">
        <f t="shared" si="215"/>
        <v/>
      </c>
      <c r="SR9" s="11" t="str">
        <f t="shared" si="216"/>
        <v/>
      </c>
      <c r="SS9" s="11" t="str">
        <f t="shared" si="217"/>
        <v/>
      </c>
      <c r="ST9" s="11" t="str">
        <f t="shared" si="218"/>
        <v/>
      </c>
      <c r="SU9" s="11" t="str">
        <f t="shared" si="219"/>
        <v/>
      </c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17"/>
      <c r="TI9" s="17"/>
      <c r="TJ9" s="17"/>
      <c r="TK9" s="17"/>
      <c r="TL9" s="17"/>
      <c r="TM9" s="17"/>
      <c r="TN9" s="17"/>
      <c r="TO9" s="17"/>
      <c r="TP9" s="40" t="str">
        <f t="shared" si="220"/>
        <v/>
      </c>
      <c r="TQ9" s="40" t="str">
        <f t="shared" si="221"/>
        <v/>
      </c>
      <c r="TR9" s="40" t="str">
        <f t="shared" si="222"/>
        <v/>
      </c>
      <c r="TS9" s="40" t="str">
        <f t="shared" si="223"/>
        <v/>
      </c>
      <c r="TT9" s="40" t="str">
        <f t="shared" si="224"/>
        <v/>
      </c>
      <c r="TU9" s="40" t="str">
        <f t="shared" si="225"/>
        <v/>
      </c>
      <c r="TV9" s="40" t="str">
        <f t="shared" si="226"/>
        <v/>
      </c>
      <c r="TW9" s="40" t="str">
        <f t="shared" si="227"/>
        <v/>
      </c>
      <c r="TX9" s="40" t="str">
        <f t="shared" si="228"/>
        <v/>
      </c>
      <c r="TY9" s="40" t="str">
        <f t="shared" si="229"/>
        <v/>
      </c>
      <c r="TZ9" s="40" t="str">
        <f t="shared" si="230"/>
        <v/>
      </c>
      <c r="UA9" s="40" t="str">
        <f t="shared" si="231"/>
        <v/>
      </c>
      <c r="UB9" s="40" t="str">
        <f t="shared" si="232"/>
        <v/>
      </c>
      <c r="UC9" s="40" t="str">
        <f t="shared" si="233"/>
        <v/>
      </c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8"/>
      <c r="UQ9" s="18"/>
      <c r="UR9" s="18"/>
      <c r="US9" s="18"/>
      <c r="UT9" s="18"/>
      <c r="UU9" s="18"/>
      <c r="UV9" s="18"/>
      <c r="UW9" s="18"/>
      <c r="UX9" s="11" t="str">
        <f t="shared" si="234"/>
        <v/>
      </c>
      <c r="UY9" s="11" t="str">
        <f t="shared" si="235"/>
        <v/>
      </c>
      <c r="UZ9" s="11" t="str">
        <f t="shared" si="236"/>
        <v/>
      </c>
      <c r="VA9" s="11" t="str">
        <f t="shared" si="237"/>
        <v/>
      </c>
      <c r="VB9" s="11" t="str">
        <f t="shared" si="238"/>
        <v/>
      </c>
      <c r="VC9" s="11" t="str">
        <f t="shared" si="239"/>
        <v/>
      </c>
      <c r="VD9" s="11" t="str">
        <f t="shared" si="240"/>
        <v/>
      </c>
      <c r="VE9" s="11" t="str">
        <f t="shared" si="241"/>
        <v/>
      </c>
      <c r="VF9" s="11" t="str">
        <f t="shared" si="242"/>
        <v/>
      </c>
      <c r="VG9" s="11" t="str">
        <f t="shared" si="243"/>
        <v/>
      </c>
      <c r="VH9" s="11" t="str">
        <f t="shared" si="244"/>
        <v/>
      </c>
      <c r="VI9" s="11" t="str">
        <f t="shared" si="245"/>
        <v/>
      </c>
      <c r="VJ9" s="11" t="str">
        <f t="shared" si="246"/>
        <v/>
      </c>
      <c r="VK9" s="11" t="str">
        <f t="shared" si="247"/>
        <v/>
      </c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17"/>
      <c r="VY9" s="17"/>
      <c r="VZ9" s="17"/>
      <c r="WA9" s="17"/>
      <c r="WB9" s="17"/>
      <c r="WC9" s="17"/>
      <c r="WD9" s="17"/>
      <c r="WE9" s="17"/>
      <c r="WF9" s="40" t="str">
        <f t="shared" si="248"/>
        <v/>
      </c>
      <c r="WG9" s="40" t="str">
        <f t="shared" si="249"/>
        <v/>
      </c>
      <c r="WH9" s="40" t="str">
        <f t="shared" si="250"/>
        <v/>
      </c>
      <c r="WI9" s="40" t="str">
        <f t="shared" si="251"/>
        <v/>
      </c>
      <c r="WJ9" s="40" t="str">
        <f t="shared" si="252"/>
        <v/>
      </c>
      <c r="WK9" s="40" t="str">
        <f t="shared" si="253"/>
        <v/>
      </c>
      <c r="WL9" s="40" t="str">
        <f t="shared" si="254"/>
        <v/>
      </c>
      <c r="WM9" s="40" t="str">
        <f t="shared" si="255"/>
        <v/>
      </c>
      <c r="WN9" s="40" t="str">
        <f t="shared" si="256"/>
        <v/>
      </c>
      <c r="WO9" s="40" t="str">
        <f t="shared" si="257"/>
        <v/>
      </c>
      <c r="WP9" s="40" t="str">
        <f t="shared" si="258"/>
        <v/>
      </c>
      <c r="WQ9" s="40" t="str">
        <f t="shared" si="259"/>
        <v/>
      </c>
      <c r="WR9" s="40" t="str">
        <f t="shared" si="260"/>
        <v/>
      </c>
      <c r="WS9" s="40" t="str">
        <f t="shared" si="261"/>
        <v/>
      </c>
      <c r="WT9" s="26">
        <f t="shared" si="262"/>
        <v>6.2</v>
      </c>
      <c r="WU9" s="26">
        <f t="shared" si="263"/>
        <v>3.65</v>
      </c>
      <c r="WV9" s="26">
        <f t="shared" si="264"/>
        <v>6.3000000000000007</v>
      </c>
      <c r="WW9" s="26">
        <f t="shared" si="265"/>
        <v>6.8000000000000007</v>
      </c>
      <c r="WX9" s="26">
        <f t="shared" si="266"/>
        <v>0</v>
      </c>
      <c r="WY9" s="26">
        <f t="shared" si="267"/>
        <v>14.8</v>
      </c>
      <c r="WZ9" s="26">
        <f t="shared" si="268"/>
        <v>9.1000000000000014</v>
      </c>
      <c r="XA9" s="26">
        <f t="shared" si="269"/>
        <v>14.2</v>
      </c>
      <c r="XB9" s="26">
        <f t="shared" si="270"/>
        <v>15.969999999999999</v>
      </c>
      <c r="XC9" s="26">
        <f t="shared" si="271"/>
        <v>0</v>
      </c>
      <c r="XD9" s="26">
        <f t="shared" si="272"/>
        <v>13.6</v>
      </c>
      <c r="XE9" s="26">
        <f t="shared" si="273"/>
        <v>9.1000000000000014</v>
      </c>
      <c r="XF9" s="26">
        <f t="shared" si="274"/>
        <v>14.9</v>
      </c>
      <c r="XG9" s="26">
        <f t="shared" si="275"/>
        <v>15.905000000000001</v>
      </c>
      <c r="XH9" s="26">
        <f t="shared" si="276"/>
        <v>0</v>
      </c>
      <c r="XI9" s="28" t="s">
        <v>53</v>
      </c>
      <c r="XJ9" s="11">
        <f t="shared" si="277"/>
        <v>6.3000000000000007</v>
      </c>
      <c r="XK9" s="11">
        <f t="shared" si="278"/>
        <v>6.8000000000000007</v>
      </c>
      <c r="XL9" s="11">
        <f t="shared" si="279"/>
        <v>22.95</v>
      </c>
      <c r="XM9" s="11">
        <f t="shared" si="280"/>
        <v>14.2</v>
      </c>
      <c r="XN9" s="11">
        <f t="shared" si="281"/>
        <v>15.969999999999999</v>
      </c>
      <c r="XO9" s="11">
        <f t="shared" si="282"/>
        <v>54.07</v>
      </c>
      <c r="XP9" s="11">
        <f t="shared" si="283"/>
        <v>54.07</v>
      </c>
      <c r="XQ9" s="11">
        <f t="shared" si="284"/>
        <v>14.9</v>
      </c>
      <c r="XR9" s="11">
        <f t="shared" si="285"/>
        <v>15.905000000000001</v>
      </c>
      <c r="XS9" s="11">
        <f t="shared" si="286"/>
        <v>53.505000000000003</v>
      </c>
      <c r="XT9" s="11">
        <f t="shared" si="287"/>
        <v>107.575</v>
      </c>
    </row>
    <row r="10" spans="1:644" x14ac:dyDescent="0.2">
      <c r="A10" s="4" cm="1">
        <f t="array" ref="A10">IF(AND(H10&lt;&gt;"",H10&lt;&gt;"No DD"),SUMPRODUCT((H$4:H$25&lt;&gt;"")*(H$4:H$25&lt;&gt;"No DD")*(E$4:E$25&gt;E10))+1,IF(H10="No DD",SUMPRODUCT((H$4:H$25="No DD")*(E$4:E$25&gt;E10))+1+SUMPRODUCT((H$4:H$25&lt;&gt;"")*(H$4:H$25&lt;&gt;"No DD")),""))</f>
        <v>7</v>
      </c>
      <c r="B10" s="5" t="s">
        <v>87</v>
      </c>
      <c r="C10" s="4" t="s">
        <v>3</v>
      </c>
      <c r="D10" s="4">
        <v>2002</v>
      </c>
      <c r="E10" s="9">
        <f t="shared" si="0"/>
        <v>246.86002468600557</v>
      </c>
      <c r="F10" s="3" t="str">
        <f t="shared" si="1"/>
        <v>P</v>
      </c>
      <c r="G10" s="3" t="str">
        <f t="shared" si="2"/>
        <v>P</v>
      </c>
      <c r="H10" s="36" t="str">
        <f t="shared" si="3"/>
        <v>National Team</v>
      </c>
      <c r="I10" s="3" t="str">
        <f t="shared" si="4"/>
        <v/>
      </c>
      <c r="J10" s="8">
        <f>IF(COUNT(AQ10,AT10,BR10,BU10,CS10,CV10)&gt;0,LARGE((AQ10,AT10,BR10,BU10,CS10,CV10),1),0)</f>
        <v>55.760000000000005</v>
      </c>
      <c r="K10" s="8" t="str">
        <f t="shared" si="5"/>
        <v>2024 3rd Domestic Trial</v>
      </c>
      <c r="L10" s="8">
        <f>IF(COUNT(AQ10,AT10,BR10,BU10,CS10,CV10)&gt;1,LARGE((AQ10,AT10,BR10,BU10,CS10,CV10),2),0)</f>
        <v>53.93</v>
      </c>
      <c r="M10" s="8" t="str">
        <f t="shared" si="6"/>
        <v>2024 3rd Domestic Trial</v>
      </c>
      <c r="N10" s="8">
        <f>IF(COUNT(AQ10,AT10,BR10,BU10,CS10,CV10)&gt;2,LARGE((AQ10,AT10,BR10,BU10,CS10,CV10),3),0)</f>
        <v>53.61</v>
      </c>
      <c r="O10" s="8" t="str">
        <f t="shared" si="7"/>
        <v>2024 Elite Canada</v>
      </c>
      <c r="P10" s="8">
        <f t="shared" si="8"/>
        <v>52.3</v>
      </c>
      <c r="Q10" s="8" t="str">
        <f t="shared" si="9"/>
        <v>2024 Elite Canada</v>
      </c>
      <c r="R10" s="8">
        <f t="shared" si="10"/>
        <v>15.6</v>
      </c>
      <c r="S10" s="8" t="str">
        <f t="shared" si="11"/>
        <v>2024 3rd Domestic Trial</v>
      </c>
      <c r="T10" s="8">
        <f t="shared" si="12"/>
        <v>15.66</v>
      </c>
      <c r="U10" s="8" t="str">
        <f t="shared" si="13"/>
        <v>2024 3rd Domestic Trial</v>
      </c>
      <c r="V10" s="8" t="str">
        <f t="shared" si="14"/>
        <v/>
      </c>
      <c r="W10" s="11" t="str">
        <f t="shared" si="15"/>
        <v/>
      </c>
      <c r="X10" s="8" t="str">
        <f t="shared" si="16"/>
        <v/>
      </c>
      <c r="Y10" s="22">
        <v>14.4</v>
      </c>
      <c r="Z10" s="22">
        <v>8.9</v>
      </c>
      <c r="AA10" s="22">
        <v>15.4</v>
      </c>
      <c r="AB10" s="22">
        <v>14.91</v>
      </c>
      <c r="AC10" s="22">
        <v>0</v>
      </c>
      <c r="AD10" s="22">
        <v>5.8</v>
      </c>
      <c r="AE10" s="22">
        <v>3.6</v>
      </c>
      <c r="AF10" s="22">
        <v>5.7</v>
      </c>
      <c r="AG10" s="22">
        <v>6.25</v>
      </c>
      <c r="AH10" s="22">
        <v>0</v>
      </c>
      <c r="AI10" s="22">
        <v>14</v>
      </c>
      <c r="AJ10" s="22">
        <v>8.3000000000000007</v>
      </c>
      <c r="AK10" s="22">
        <v>15</v>
      </c>
      <c r="AL10" s="22">
        <v>15</v>
      </c>
      <c r="AM10" s="22">
        <v>0</v>
      </c>
      <c r="AN10" s="27"/>
      <c r="AO10" s="38">
        <f t="shared" si="17"/>
        <v>15.4</v>
      </c>
      <c r="AP10" s="38">
        <f t="shared" si="18"/>
        <v>14.91</v>
      </c>
      <c r="AQ10" s="40">
        <f t="shared" si="19"/>
        <v>53.61</v>
      </c>
      <c r="AR10" s="40">
        <f t="shared" si="20"/>
        <v>5.7</v>
      </c>
      <c r="AS10" s="40">
        <f t="shared" si="21"/>
        <v>6.25</v>
      </c>
      <c r="AT10" s="40">
        <f t="shared" si="22"/>
        <v>21.35</v>
      </c>
      <c r="AU10" s="40">
        <f t="shared" si="23"/>
        <v>53.61</v>
      </c>
      <c r="AV10" s="40">
        <f t="shared" si="24"/>
        <v>15</v>
      </c>
      <c r="AW10" s="40">
        <f t="shared" si="25"/>
        <v>15</v>
      </c>
      <c r="AX10" s="40">
        <f t="shared" si="26"/>
        <v>52.3</v>
      </c>
      <c r="AY10" s="40">
        <f t="shared" si="27"/>
        <v>105.91</v>
      </c>
      <c r="AZ10" s="26">
        <v>4.5999999999999996</v>
      </c>
      <c r="BA10" s="26">
        <v>2.9</v>
      </c>
      <c r="BB10" s="26">
        <v>5.5</v>
      </c>
      <c r="BC10" s="26">
        <v>4.9400000000000004</v>
      </c>
      <c r="BD10" s="26">
        <v>0.2</v>
      </c>
      <c r="BE10" s="26">
        <v>13.8</v>
      </c>
      <c r="BF10" s="26">
        <v>9.1</v>
      </c>
      <c r="BG10" s="26">
        <v>11.1</v>
      </c>
      <c r="BH10" s="26">
        <v>14.83</v>
      </c>
      <c r="BI10" s="26">
        <v>2.4</v>
      </c>
      <c r="BJ10" s="26"/>
      <c r="BK10" s="26"/>
      <c r="BL10" s="26"/>
      <c r="BM10" s="26"/>
      <c r="BN10" s="26"/>
      <c r="BO10" s="28"/>
      <c r="BP10" s="39">
        <f t="shared" si="28"/>
        <v>5.5</v>
      </c>
      <c r="BQ10" s="39">
        <f t="shared" si="29"/>
        <v>4.9400000000000004</v>
      </c>
      <c r="BR10" s="11">
        <f t="shared" si="30"/>
        <v>17.740000000000002</v>
      </c>
      <c r="BS10" s="11">
        <f t="shared" si="31"/>
        <v>11.1</v>
      </c>
      <c r="BT10" s="11">
        <f t="shared" si="32"/>
        <v>14.83</v>
      </c>
      <c r="BU10" s="11">
        <f t="shared" si="33"/>
        <v>46.43</v>
      </c>
      <c r="BV10" s="11">
        <f t="shared" si="34"/>
        <v>46.43</v>
      </c>
      <c r="BW10" s="11" t="str">
        <f t="shared" si="35"/>
        <v/>
      </c>
      <c r="BX10" s="11" t="str">
        <f t="shared" si="36"/>
        <v/>
      </c>
      <c r="BY10" s="11" t="str">
        <f t="shared" si="37"/>
        <v/>
      </c>
      <c r="BZ10" s="11">
        <f t="shared" si="38"/>
        <v>46.43</v>
      </c>
      <c r="CA10" s="22">
        <v>14.3</v>
      </c>
      <c r="CB10" s="22">
        <v>8.6999999999999993</v>
      </c>
      <c r="CC10" s="22">
        <v>15.6</v>
      </c>
      <c r="CD10" s="22">
        <v>15.33</v>
      </c>
      <c r="CE10" s="22">
        <v>0</v>
      </c>
      <c r="CF10" s="22">
        <v>14.9</v>
      </c>
      <c r="CG10" s="22">
        <v>9.6999999999999993</v>
      </c>
      <c r="CH10" s="22">
        <v>15.5</v>
      </c>
      <c r="CI10" s="22">
        <v>15.66</v>
      </c>
      <c r="CJ10" s="22">
        <v>0</v>
      </c>
      <c r="CK10" s="22">
        <v>1.6</v>
      </c>
      <c r="CL10" s="22">
        <v>1</v>
      </c>
      <c r="CM10" s="22">
        <v>2</v>
      </c>
      <c r="CN10" s="22">
        <v>1.76</v>
      </c>
      <c r="CO10" s="22">
        <v>0</v>
      </c>
      <c r="CP10" s="27"/>
      <c r="CQ10" s="38">
        <f t="shared" si="39"/>
        <v>15.6</v>
      </c>
      <c r="CR10" s="38">
        <f t="shared" si="40"/>
        <v>15.33</v>
      </c>
      <c r="CS10" s="40">
        <f t="shared" si="41"/>
        <v>53.93</v>
      </c>
      <c r="CT10" s="40">
        <f t="shared" si="42"/>
        <v>15.5</v>
      </c>
      <c r="CU10" s="40">
        <f t="shared" si="43"/>
        <v>15.66</v>
      </c>
      <c r="CV10" s="40">
        <f t="shared" si="44"/>
        <v>55.760000000000005</v>
      </c>
      <c r="CW10" s="40">
        <f t="shared" si="45"/>
        <v>55.760000000000005</v>
      </c>
      <c r="CX10" s="40">
        <f t="shared" si="46"/>
        <v>2</v>
      </c>
      <c r="CY10" s="40">
        <f t="shared" si="47"/>
        <v>1.76</v>
      </c>
      <c r="CZ10" s="40">
        <f t="shared" si="48"/>
        <v>6.3599999999999994</v>
      </c>
      <c r="DA10" s="40">
        <f t="shared" si="49"/>
        <v>62.120000000000005</v>
      </c>
      <c r="DB10" s="51" t="str">
        <f t="shared" si="50"/>
        <v/>
      </c>
      <c r="DC10" s="51" t="str">
        <f t="shared" si="51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 t="shared" si="52"/>
        <v/>
      </c>
      <c r="DY10" s="40" t="str">
        <f t="shared" si="53"/>
        <v/>
      </c>
      <c r="DZ10" s="40" t="str">
        <f t="shared" si="54"/>
        <v/>
      </c>
      <c r="EA10" s="40" t="str">
        <f t="shared" si="55"/>
        <v/>
      </c>
      <c r="EB10" s="40" t="str">
        <f t="shared" si="56"/>
        <v/>
      </c>
      <c r="EC10" s="40" t="str">
        <f t="shared" si="57"/>
        <v/>
      </c>
      <c r="ED10" s="40" t="str">
        <f t="shared" si="58"/>
        <v/>
      </c>
      <c r="EE10" s="40" t="str">
        <f t="shared" si="59"/>
        <v/>
      </c>
      <c r="EF10" s="40" t="str">
        <f t="shared" si="60"/>
        <v/>
      </c>
      <c r="EG10" s="40" t="str">
        <f t="shared" si="61"/>
        <v/>
      </c>
      <c r="EH10" s="40" t="str">
        <f t="shared" si="62"/>
        <v/>
      </c>
      <c r="EI10" s="40" t="str">
        <f t="shared" si="63"/>
        <v/>
      </c>
      <c r="EJ10" s="40" t="str">
        <f t="shared" si="64"/>
        <v/>
      </c>
      <c r="EK10" s="40" t="str">
        <f t="shared" si="65"/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 t="shared" si="66"/>
        <v/>
      </c>
      <c r="FG10" s="11" t="str">
        <f t="shared" si="67"/>
        <v/>
      </c>
      <c r="FH10" s="11" t="str">
        <f t="shared" si="68"/>
        <v/>
      </c>
      <c r="FI10" s="11" t="str">
        <f t="shared" si="69"/>
        <v/>
      </c>
      <c r="FJ10" s="11" t="str">
        <f t="shared" si="70"/>
        <v/>
      </c>
      <c r="FK10" s="11" t="str">
        <f t="shared" si="71"/>
        <v/>
      </c>
      <c r="FL10" s="11" t="str">
        <f t="shared" si="72"/>
        <v/>
      </c>
      <c r="FM10" s="11" t="str">
        <f t="shared" si="73"/>
        <v/>
      </c>
      <c r="FN10" s="11" t="str">
        <f t="shared" si="74"/>
        <v/>
      </c>
      <c r="FO10" s="11" t="str">
        <f t="shared" si="75"/>
        <v/>
      </c>
      <c r="FP10" s="11" t="str">
        <f t="shared" si="76"/>
        <v/>
      </c>
      <c r="FQ10" s="11" t="str">
        <f t="shared" si="77"/>
        <v/>
      </c>
      <c r="FR10" s="11" t="str">
        <f t="shared" si="78"/>
        <v/>
      </c>
      <c r="FS10" s="11" t="str">
        <f t="shared" si="79"/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 t="shared" si="80"/>
        <v/>
      </c>
      <c r="GO10" s="40" t="str">
        <f t="shared" si="81"/>
        <v/>
      </c>
      <c r="GP10" s="40" t="str">
        <f t="shared" si="82"/>
        <v/>
      </c>
      <c r="GQ10" s="40" t="str">
        <f t="shared" si="83"/>
        <v/>
      </c>
      <c r="GR10" s="40" t="str">
        <f t="shared" si="84"/>
        <v/>
      </c>
      <c r="GS10" s="40" t="str">
        <f t="shared" si="85"/>
        <v/>
      </c>
      <c r="GT10" s="40" t="str">
        <f t="shared" si="86"/>
        <v/>
      </c>
      <c r="GU10" s="40" t="str">
        <f t="shared" si="87"/>
        <v/>
      </c>
      <c r="GV10" s="40" t="str">
        <f t="shared" si="88"/>
        <v/>
      </c>
      <c r="GW10" s="40" t="str">
        <f t="shared" si="89"/>
        <v/>
      </c>
      <c r="GX10" s="40" t="str">
        <f t="shared" si="90"/>
        <v/>
      </c>
      <c r="GY10" s="40" t="str">
        <f t="shared" si="91"/>
        <v/>
      </c>
      <c r="GZ10" s="40" t="str">
        <f t="shared" si="92"/>
        <v/>
      </c>
      <c r="HA10" s="40" t="str">
        <f t="shared" si="93"/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 t="shared" si="94"/>
        <v/>
      </c>
      <c r="HW10" s="11" t="str">
        <f t="shared" si="95"/>
        <v/>
      </c>
      <c r="HX10" s="11" t="str">
        <f t="shared" si="96"/>
        <v/>
      </c>
      <c r="HY10" s="11" t="str">
        <f t="shared" si="97"/>
        <v/>
      </c>
      <c r="HZ10" s="11" t="str">
        <f t="shared" si="98"/>
        <v/>
      </c>
      <c r="IA10" s="11" t="str">
        <f t="shared" si="99"/>
        <v/>
      </c>
      <c r="IB10" s="11" t="str">
        <f t="shared" si="100"/>
        <v/>
      </c>
      <c r="IC10" s="11" t="str">
        <f t="shared" si="101"/>
        <v/>
      </c>
      <c r="ID10" s="11" t="str">
        <f t="shared" si="102"/>
        <v/>
      </c>
      <c r="IE10" s="11" t="str">
        <f t="shared" si="103"/>
        <v/>
      </c>
      <c r="IF10" s="11" t="str">
        <f t="shared" si="104"/>
        <v/>
      </c>
      <c r="IG10" s="11" t="str">
        <f t="shared" si="105"/>
        <v/>
      </c>
      <c r="IH10" s="11" t="str">
        <f t="shared" si="106"/>
        <v/>
      </c>
      <c r="II10" s="11" t="str">
        <f t="shared" si="107"/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 t="shared" si="108"/>
        <v/>
      </c>
      <c r="JE10" s="40" t="str">
        <f t="shared" si="109"/>
        <v/>
      </c>
      <c r="JF10" s="40" t="str">
        <f t="shared" si="110"/>
        <v/>
      </c>
      <c r="JG10" s="40" t="str">
        <f t="shared" si="111"/>
        <v/>
      </c>
      <c r="JH10" s="40" t="str">
        <f t="shared" si="112"/>
        <v/>
      </c>
      <c r="JI10" s="40" t="str">
        <f t="shared" si="113"/>
        <v/>
      </c>
      <c r="JJ10" s="40" t="str">
        <f t="shared" si="114"/>
        <v/>
      </c>
      <c r="JK10" s="40" t="str">
        <f t="shared" si="115"/>
        <v/>
      </c>
      <c r="JL10" s="40" t="str">
        <f t="shared" si="116"/>
        <v/>
      </c>
      <c r="JM10" s="40" t="str">
        <f t="shared" si="117"/>
        <v/>
      </c>
      <c r="JN10" s="40" t="str">
        <f t="shared" si="118"/>
        <v/>
      </c>
      <c r="JO10" s="40" t="str">
        <f t="shared" si="119"/>
        <v/>
      </c>
      <c r="JP10" s="40" t="str">
        <f t="shared" si="120"/>
        <v/>
      </c>
      <c r="JQ10" s="40" t="str">
        <f t="shared" si="121"/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 t="shared" si="122"/>
        <v/>
      </c>
      <c r="KM10" s="11" t="str">
        <f t="shared" si="123"/>
        <v/>
      </c>
      <c r="KN10" s="11" t="str">
        <f t="shared" si="124"/>
        <v/>
      </c>
      <c r="KO10" s="11" t="str">
        <f t="shared" si="125"/>
        <v/>
      </c>
      <c r="KP10" s="11" t="str">
        <f t="shared" si="126"/>
        <v/>
      </c>
      <c r="KQ10" s="11" t="str">
        <f t="shared" si="127"/>
        <v/>
      </c>
      <c r="KR10" s="11" t="str">
        <f t="shared" si="128"/>
        <v/>
      </c>
      <c r="KS10" s="11" t="str">
        <f t="shared" si="129"/>
        <v/>
      </c>
      <c r="KT10" s="11" t="str">
        <f t="shared" si="130"/>
        <v/>
      </c>
      <c r="KU10" s="11" t="str">
        <f t="shared" si="131"/>
        <v/>
      </c>
      <c r="KV10" s="11" t="str">
        <f t="shared" si="132"/>
        <v/>
      </c>
      <c r="KW10" s="11" t="str">
        <f t="shared" si="133"/>
        <v/>
      </c>
      <c r="KX10" s="11" t="str">
        <f t="shared" si="134"/>
        <v/>
      </c>
      <c r="KY10" s="11" t="str">
        <f t="shared" si="135"/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 t="shared" si="136"/>
        <v/>
      </c>
      <c r="LU10" s="40" t="str">
        <f t="shared" si="137"/>
        <v/>
      </c>
      <c r="LV10" s="40" t="str">
        <f t="shared" si="138"/>
        <v/>
      </c>
      <c r="LW10" s="40" t="str">
        <f t="shared" si="139"/>
        <v/>
      </c>
      <c r="LX10" s="40" t="str">
        <f t="shared" si="140"/>
        <v/>
      </c>
      <c r="LY10" s="40" t="str">
        <f t="shared" si="141"/>
        <v/>
      </c>
      <c r="LZ10" s="40" t="str">
        <f t="shared" si="142"/>
        <v/>
      </c>
      <c r="MA10" s="40" t="str">
        <f t="shared" si="143"/>
        <v/>
      </c>
      <c r="MB10" s="40" t="str">
        <f t="shared" si="144"/>
        <v/>
      </c>
      <c r="MC10" s="40" t="str">
        <f t="shared" si="145"/>
        <v/>
      </c>
      <c r="MD10" s="40" t="str">
        <f t="shared" si="146"/>
        <v/>
      </c>
      <c r="ME10" s="40" t="str">
        <f t="shared" si="147"/>
        <v/>
      </c>
      <c r="MF10" s="40" t="str">
        <f t="shared" si="148"/>
        <v/>
      </c>
      <c r="MG10" s="40" t="str">
        <f t="shared" si="149"/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 t="shared" si="150"/>
        <v/>
      </c>
      <c r="NC10" s="11" t="str">
        <f t="shared" si="151"/>
        <v/>
      </c>
      <c r="ND10" s="11" t="str">
        <f t="shared" si="152"/>
        <v/>
      </c>
      <c r="NE10" s="11" t="str">
        <f t="shared" si="153"/>
        <v/>
      </c>
      <c r="NF10" s="11" t="str">
        <f t="shared" si="154"/>
        <v/>
      </c>
      <c r="NG10" s="11" t="str">
        <f t="shared" si="155"/>
        <v/>
      </c>
      <c r="NH10" s="11" t="str">
        <f t="shared" si="156"/>
        <v/>
      </c>
      <c r="NI10" s="11" t="str">
        <f t="shared" si="157"/>
        <v/>
      </c>
      <c r="NJ10" s="11" t="str">
        <f t="shared" si="158"/>
        <v/>
      </c>
      <c r="NK10" s="11" t="str">
        <f t="shared" si="159"/>
        <v/>
      </c>
      <c r="NL10" s="11" t="str">
        <f t="shared" si="160"/>
        <v/>
      </c>
      <c r="NM10" s="11" t="str">
        <f t="shared" si="161"/>
        <v/>
      </c>
      <c r="NN10" s="11" t="str">
        <f t="shared" si="162"/>
        <v/>
      </c>
      <c r="NO10" s="11" t="str">
        <f t="shared" si="163"/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 t="shared" si="164"/>
        <v/>
      </c>
      <c r="OK10" s="40" t="str">
        <f t="shared" si="165"/>
        <v/>
      </c>
      <c r="OL10" s="40" t="str">
        <f t="shared" si="166"/>
        <v/>
      </c>
      <c r="OM10" s="40" t="str">
        <f t="shared" si="167"/>
        <v/>
      </c>
      <c r="ON10" s="40" t="str">
        <f t="shared" si="168"/>
        <v/>
      </c>
      <c r="OO10" s="40" t="str">
        <f t="shared" si="169"/>
        <v/>
      </c>
      <c r="OP10" s="40" t="str">
        <f t="shared" si="170"/>
        <v/>
      </c>
      <c r="OQ10" s="40" t="str">
        <f t="shared" si="171"/>
        <v/>
      </c>
      <c r="OR10" s="40" t="str">
        <f t="shared" si="172"/>
        <v/>
      </c>
      <c r="OS10" s="40" t="str">
        <f t="shared" si="173"/>
        <v/>
      </c>
      <c r="OT10" s="40" t="str">
        <f t="shared" si="174"/>
        <v/>
      </c>
      <c r="OU10" s="40" t="str">
        <f t="shared" si="175"/>
        <v/>
      </c>
      <c r="OV10" s="40" t="str">
        <f t="shared" si="176"/>
        <v/>
      </c>
      <c r="OW10" s="40" t="str">
        <f t="shared" si="177"/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 t="shared" si="178"/>
        <v/>
      </c>
      <c r="PS10" s="11" t="str">
        <f t="shared" si="179"/>
        <v/>
      </c>
      <c r="PT10" s="11" t="str">
        <f t="shared" si="180"/>
        <v/>
      </c>
      <c r="PU10" s="11" t="str">
        <f t="shared" si="181"/>
        <v/>
      </c>
      <c r="PV10" s="11" t="str">
        <f t="shared" si="182"/>
        <v/>
      </c>
      <c r="PW10" s="11" t="str">
        <f t="shared" si="183"/>
        <v/>
      </c>
      <c r="PX10" s="11" t="str">
        <f t="shared" si="184"/>
        <v/>
      </c>
      <c r="PY10" s="11" t="str">
        <f t="shared" si="185"/>
        <v/>
      </c>
      <c r="PZ10" s="11" t="str">
        <f t="shared" si="186"/>
        <v/>
      </c>
      <c r="QA10" s="11" t="str">
        <f t="shared" si="187"/>
        <v/>
      </c>
      <c r="QB10" s="11" t="str">
        <f t="shared" si="188"/>
        <v/>
      </c>
      <c r="QC10" s="11" t="str">
        <f t="shared" si="189"/>
        <v/>
      </c>
      <c r="QD10" s="11" t="str">
        <f t="shared" si="190"/>
        <v/>
      </c>
      <c r="QE10" s="11" t="str">
        <f t="shared" si="191"/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 t="shared" si="192"/>
        <v/>
      </c>
      <c r="RA10" s="40" t="str">
        <f t="shared" si="193"/>
        <v/>
      </c>
      <c r="RB10" s="40" t="str">
        <f t="shared" si="194"/>
        <v/>
      </c>
      <c r="RC10" s="40" t="str">
        <f t="shared" si="195"/>
        <v/>
      </c>
      <c r="RD10" s="40" t="str">
        <f t="shared" si="196"/>
        <v/>
      </c>
      <c r="RE10" s="40" t="str">
        <f t="shared" si="197"/>
        <v/>
      </c>
      <c r="RF10" s="40" t="str">
        <f t="shared" si="198"/>
        <v/>
      </c>
      <c r="RG10" s="40" t="str">
        <f t="shared" si="199"/>
        <v/>
      </c>
      <c r="RH10" s="40" t="str">
        <f t="shared" si="200"/>
        <v/>
      </c>
      <c r="RI10" s="40" t="str">
        <f t="shared" si="201"/>
        <v/>
      </c>
      <c r="RJ10" s="40" t="str">
        <f t="shared" si="202"/>
        <v/>
      </c>
      <c r="RK10" s="40" t="str">
        <f t="shared" si="203"/>
        <v/>
      </c>
      <c r="RL10" s="40" t="str">
        <f t="shared" si="204"/>
        <v/>
      </c>
      <c r="RM10" s="40" t="str">
        <f t="shared" si="205"/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 t="shared" si="206"/>
        <v/>
      </c>
      <c r="SI10" s="11" t="str">
        <f t="shared" si="207"/>
        <v/>
      </c>
      <c r="SJ10" s="11" t="str">
        <f t="shared" si="208"/>
        <v/>
      </c>
      <c r="SK10" s="11" t="str">
        <f t="shared" si="209"/>
        <v/>
      </c>
      <c r="SL10" s="11" t="str">
        <f t="shared" si="210"/>
        <v/>
      </c>
      <c r="SM10" s="11" t="str">
        <f t="shared" si="211"/>
        <v/>
      </c>
      <c r="SN10" s="11" t="str">
        <f t="shared" si="212"/>
        <v/>
      </c>
      <c r="SO10" s="11" t="str">
        <f t="shared" si="213"/>
        <v/>
      </c>
      <c r="SP10" s="11" t="str">
        <f t="shared" si="214"/>
        <v/>
      </c>
      <c r="SQ10" s="11" t="str">
        <f t="shared" si="215"/>
        <v/>
      </c>
      <c r="SR10" s="11" t="str">
        <f t="shared" si="216"/>
        <v/>
      </c>
      <c r="SS10" s="11" t="str">
        <f t="shared" si="217"/>
        <v/>
      </c>
      <c r="ST10" s="11" t="str">
        <f t="shared" si="218"/>
        <v/>
      </c>
      <c r="SU10" s="11" t="str">
        <f t="shared" si="219"/>
        <v/>
      </c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17"/>
      <c r="TI10" s="17"/>
      <c r="TJ10" s="17"/>
      <c r="TK10" s="17"/>
      <c r="TL10" s="17"/>
      <c r="TM10" s="17"/>
      <c r="TN10" s="17"/>
      <c r="TO10" s="17"/>
      <c r="TP10" s="40" t="str">
        <f t="shared" si="220"/>
        <v/>
      </c>
      <c r="TQ10" s="40" t="str">
        <f t="shared" si="221"/>
        <v/>
      </c>
      <c r="TR10" s="40" t="str">
        <f t="shared" si="222"/>
        <v/>
      </c>
      <c r="TS10" s="40" t="str">
        <f t="shared" si="223"/>
        <v/>
      </c>
      <c r="TT10" s="40" t="str">
        <f t="shared" si="224"/>
        <v/>
      </c>
      <c r="TU10" s="40" t="str">
        <f t="shared" si="225"/>
        <v/>
      </c>
      <c r="TV10" s="40" t="str">
        <f t="shared" si="226"/>
        <v/>
      </c>
      <c r="TW10" s="40" t="str">
        <f t="shared" si="227"/>
        <v/>
      </c>
      <c r="TX10" s="40" t="str">
        <f t="shared" si="228"/>
        <v/>
      </c>
      <c r="TY10" s="40" t="str">
        <f t="shared" si="229"/>
        <v/>
      </c>
      <c r="TZ10" s="40" t="str">
        <f t="shared" si="230"/>
        <v/>
      </c>
      <c r="UA10" s="40" t="str">
        <f t="shared" si="231"/>
        <v/>
      </c>
      <c r="UB10" s="40" t="str">
        <f t="shared" si="232"/>
        <v/>
      </c>
      <c r="UC10" s="40" t="str">
        <f t="shared" si="233"/>
        <v/>
      </c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8"/>
      <c r="UQ10" s="18"/>
      <c r="UR10" s="18"/>
      <c r="US10" s="18"/>
      <c r="UT10" s="18"/>
      <c r="UU10" s="18"/>
      <c r="UV10" s="18"/>
      <c r="UW10" s="18"/>
      <c r="UX10" s="11" t="str">
        <f t="shared" si="234"/>
        <v/>
      </c>
      <c r="UY10" s="11" t="str">
        <f t="shared" si="235"/>
        <v/>
      </c>
      <c r="UZ10" s="11" t="str">
        <f t="shared" si="236"/>
        <v/>
      </c>
      <c r="VA10" s="11" t="str">
        <f t="shared" si="237"/>
        <v/>
      </c>
      <c r="VB10" s="11" t="str">
        <f t="shared" si="238"/>
        <v/>
      </c>
      <c r="VC10" s="11" t="str">
        <f t="shared" si="239"/>
        <v/>
      </c>
      <c r="VD10" s="11" t="str">
        <f t="shared" si="240"/>
        <v/>
      </c>
      <c r="VE10" s="11" t="str">
        <f t="shared" si="241"/>
        <v/>
      </c>
      <c r="VF10" s="11" t="str">
        <f t="shared" si="242"/>
        <v/>
      </c>
      <c r="VG10" s="11" t="str">
        <f t="shared" si="243"/>
        <v/>
      </c>
      <c r="VH10" s="11" t="str">
        <f t="shared" si="244"/>
        <v/>
      </c>
      <c r="VI10" s="11" t="str">
        <f t="shared" si="245"/>
        <v/>
      </c>
      <c r="VJ10" s="11" t="str">
        <f t="shared" si="246"/>
        <v/>
      </c>
      <c r="VK10" s="11" t="str">
        <f t="shared" si="247"/>
        <v/>
      </c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17"/>
      <c r="VY10" s="17"/>
      <c r="VZ10" s="17"/>
      <c r="WA10" s="17"/>
      <c r="WB10" s="17"/>
      <c r="WC10" s="17"/>
      <c r="WD10" s="17"/>
      <c r="WE10" s="17"/>
      <c r="WF10" s="40" t="str">
        <f t="shared" si="248"/>
        <v/>
      </c>
      <c r="WG10" s="40" t="str">
        <f t="shared" si="249"/>
        <v/>
      </c>
      <c r="WH10" s="40" t="str">
        <f t="shared" si="250"/>
        <v/>
      </c>
      <c r="WI10" s="40" t="str">
        <f t="shared" si="251"/>
        <v/>
      </c>
      <c r="WJ10" s="40" t="str">
        <f t="shared" si="252"/>
        <v/>
      </c>
      <c r="WK10" s="40" t="str">
        <f t="shared" si="253"/>
        <v/>
      </c>
      <c r="WL10" s="40" t="str">
        <f t="shared" si="254"/>
        <v/>
      </c>
      <c r="WM10" s="40" t="str">
        <f t="shared" si="255"/>
        <v/>
      </c>
      <c r="WN10" s="40" t="str">
        <f t="shared" si="256"/>
        <v/>
      </c>
      <c r="WO10" s="40" t="str">
        <f t="shared" si="257"/>
        <v/>
      </c>
      <c r="WP10" s="40" t="str">
        <f t="shared" si="258"/>
        <v/>
      </c>
      <c r="WQ10" s="40" t="str">
        <f t="shared" si="259"/>
        <v/>
      </c>
      <c r="WR10" s="40" t="str">
        <f t="shared" si="260"/>
        <v/>
      </c>
      <c r="WS10" s="40" t="str">
        <f t="shared" si="261"/>
        <v/>
      </c>
      <c r="WT10" s="26">
        <f t="shared" si="262"/>
        <v>9.4499999999999993</v>
      </c>
      <c r="WU10" s="26">
        <f t="shared" si="263"/>
        <v>5.8</v>
      </c>
      <c r="WV10" s="26">
        <f t="shared" si="264"/>
        <v>10.55</v>
      </c>
      <c r="WW10" s="26">
        <f t="shared" si="265"/>
        <v>10.135</v>
      </c>
      <c r="WX10" s="26">
        <f t="shared" si="266"/>
        <v>0.1</v>
      </c>
      <c r="WY10" s="26">
        <f t="shared" si="267"/>
        <v>14.350000000000001</v>
      </c>
      <c r="WZ10" s="26">
        <f t="shared" si="268"/>
        <v>9.3999999999999986</v>
      </c>
      <c r="XA10" s="26">
        <f t="shared" si="269"/>
        <v>13.3</v>
      </c>
      <c r="XB10" s="26">
        <f t="shared" si="270"/>
        <v>15.245000000000001</v>
      </c>
      <c r="XC10" s="26">
        <f t="shared" si="271"/>
        <v>1.2</v>
      </c>
      <c r="XD10" s="26">
        <f t="shared" si="272"/>
        <v>0.8</v>
      </c>
      <c r="XE10" s="26">
        <f t="shared" si="273"/>
        <v>0.5</v>
      </c>
      <c r="XF10" s="26">
        <f t="shared" si="274"/>
        <v>1</v>
      </c>
      <c r="XG10" s="26">
        <f t="shared" si="275"/>
        <v>0.88</v>
      </c>
      <c r="XH10" s="26">
        <f t="shared" si="276"/>
        <v>0</v>
      </c>
      <c r="XI10" s="28" t="s">
        <v>53</v>
      </c>
      <c r="XJ10" s="11">
        <f t="shared" si="277"/>
        <v>10.55</v>
      </c>
      <c r="XK10" s="11">
        <f t="shared" si="278"/>
        <v>10.135</v>
      </c>
      <c r="XL10" s="11">
        <f t="shared" si="279"/>
        <v>35.835000000000001</v>
      </c>
      <c r="XM10" s="11">
        <f t="shared" si="280"/>
        <v>13.3</v>
      </c>
      <c r="XN10" s="11">
        <f t="shared" si="281"/>
        <v>15.245000000000001</v>
      </c>
      <c r="XO10" s="11">
        <f t="shared" si="282"/>
        <v>51.094999999999999</v>
      </c>
      <c r="XP10" s="11">
        <f t="shared" si="283"/>
        <v>51.094999999999999</v>
      </c>
      <c r="XQ10" s="11">
        <f t="shared" si="284"/>
        <v>1</v>
      </c>
      <c r="XR10" s="11">
        <f t="shared" si="285"/>
        <v>0.88</v>
      </c>
      <c r="XS10" s="11">
        <f t="shared" si="286"/>
        <v>3.1799999999999997</v>
      </c>
      <c r="XT10" s="11">
        <f t="shared" si="287"/>
        <v>54.274999999999999</v>
      </c>
    </row>
    <row r="11" spans="1:644" x14ac:dyDescent="0.2">
      <c r="A11" s="4" cm="1">
        <f t="array" ref="A11">IF(AND(H11&lt;&gt;"",H11&lt;&gt;"No DD"),SUMPRODUCT((H$4:H$25&lt;&gt;"")*(H$4:H$25&lt;&gt;"No DD")*(E$4:E$25&gt;E11))+1,IF(H11="No DD",SUMPRODUCT((H$4:H$25="No DD")*(E$4:E$25&gt;E11))+1+SUMPRODUCT((H$4:H$25&lt;&gt;"")*(H$4:H$25&lt;&gt;"No DD")),""))</f>
        <v>8</v>
      </c>
      <c r="B11" s="5" t="s">
        <v>73</v>
      </c>
      <c r="C11" s="4" t="s">
        <v>72</v>
      </c>
      <c r="D11" s="4">
        <v>2001</v>
      </c>
      <c r="E11" s="9">
        <f t="shared" si="0"/>
        <v>240.32002403200545</v>
      </c>
      <c r="F11" s="3" t="str">
        <f t="shared" si="1"/>
        <v>P</v>
      </c>
      <c r="G11" s="3" t="str">
        <f t="shared" si="2"/>
        <v>P</v>
      </c>
      <c r="H11" s="36" t="str">
        <f t="shared" si="3"/>
        <v>National Team</v>
      </c>
      <c r="I11" s="3" t="str">
        <f t="shared" si="4"/>
        <v/>
      </c>
      <c r="J11" s="8">
        <f>IF(COUNT(AQ11,AT11,BR11,BU11,CS11,CV11)&gt;0,LARGE((AQ11,AT11,BR11,BU11,CS11,CV11),1),0)</f>
        <v>54.739999999999995</v>
      </c>
      <c r="K11" s="8" t="str">
        <f t="shared" si="5"/>
        <v>2024 3rd Domestic Trial</v>
      </c>
      <c r="L11" s="8">
        <f>IF(COUNT(AQ11,AT11,BR11,BU11,CS11,CV11)&gt;1,LARGE((AQ11,AT11,BR11,BU11,CS11,CV11),2),0)</f>
        <v>52.55</v>
      </c>
      <c r="M11" s="8" t="str">
        <f t="shared" si="6"/>
        <v>2024 Nationals</v>
      </c>
      <c r="N11" s="8">
        <f>IF(COUNT(AQ11,AT11,BR11,BU11,CS11,CV11)&gt;2,LARGE((AQ11,AT11,BR11,BU11,CS11,CV11),3),0)</f>
        <v>47.67</v>
      </c>
      <c r="O11" s="8" t="str">
        <f t="shared" si="7"/>
        <v>2024 Elite Canada</v>
      </c>
      <c r="P11" s="8">
        <f t="shared" si="8"/>
        <v>53.83</v>
      </c>
      <c r="Q11" s="8" t="str">
        <f t="shared" si="9"/>
        <v>2024 3rd Domestic Trial</v>
      </c>
      <c r="R11" s="8">
        <f t="shared" si="10"/>
        <v>15.6</v>
      </c>
      <c r="S11" s="8" t="str">
        <f t="shared" si="11"/>
        <v>2024 3rd Domestic Trial</v>
      </c>
      <c r="T11" s="8">
        <f t="shared" si="12"/>
        <v>15.93</v>
      </c>
      <c r="U11" s="8" t="str">
        <f t="shared" si="13"/>
        <v>2024 3rd Domestic Trial</v>
      </c>
      <c r="V11" s="8" t="str">
        <f t="shared" si="14"/>
        <v/>
      </c>
      <c r="W11" s="11" t="str">
        <f t="shared" si="15"/>
        <v/>
      </c>
      <c r="X11" s="8" t="str">
        <f t="shared" si="16"/>
        <v/>
      </c>
      <c r="Y11" s="22">
        <v>13.1</v>
      </c>
      <c r="Z11" s="22">
        <v>9</v>
      </c>
      <c r="AA11" s="22">
        <v>12.5</v>
      </c>
      <c r="AB11" s="22">
        <v>14.07</v>
      </c>
      <c r="AC11" s="22">
        <v>1</v>
      </c>
      <c r="AD11" s="22">
        <v>11.9</v>
      </c>
      <c r="AE11" s="22">
        <v>8.1</v>
      </c>
      <c r="AF11" s="22">
        <v>9.9</v>
      </c>
      <c r="AG11" s="22">
        <v>12.74</v>
      </c>
      <c r="AH11" s="22">
        <v>0</v>
      </c>
      <c r="AI11" s="22"/>
      <c r="AJ11" s="22"/>
      <c r="AK11" s="22"/>
      <c r="AL11" s="22"/>
      <c r="AM11" s="22"/>
      <c r="AN11" s="27"/>
      <c r="AO11" s="38">
        <f t="shared" si="17"/>
        <v>12.5</v>
      </c>
      <c r="AP11" s="38">
        <f t="shared" si="18"/>
        <v>14.07</v>
      </c>
      <c r="AQ11" s="40">
        <f t="shared" si="19"/>
        <v>47.67</v>
      </c>
      <c r="AR11" s="40">
        <f t="shared" si="20"/>
        <v>9.9</v>
      </c>
      <c r="AS11" s="40">
        <f t="shared" si="21"/>
        <v>12.74</v>
      </c>
      <c r="AT11" s="40">
        <f t="shared" si="22"/>
        <v>42.64</v>
      </c>
      <c r="AU11" s="40">
        <f t="shared" si="23"/>
        <v>47.67</v>
      </c>
      <c r="AV11" s="40" t="str">
        <f t="shared" si="24"/>
        <v/>
      </c>
      <c r="AW11" s="40" t="str">
        <f t="shared" si="25"/>
        <v/>
      </c>
      <c r="AX11" s="40" t="str">
        <f t="shared" si="26"/>
        <v/>
      </c>
      <c r="AY11" s="40">
        <f t="shared" si="27"/>
        <v>47.67</v>
      </c>
      <c r="AZ11" s="26">
        <v>14.4</v>
      </c>
      <c r="BA11" s="26">
        <v>8.5</v>
      </c>
      <c r="BB11" s="26">
        <v>15</v>
      </c>
      <c r="BC11" s="26">
        <v>14.65</v>
      </c>
      <c r="BD11" s="26">
        <v>0</v>
      </c>
      <c r="BE11" s="26">
        <v>1.4</v>
      </c>
      <c r="BF11" s="26">
        <v>0.9</v>
      </c>
      <c r="BG11" s="26">
        <v>2</v>
      </c>
      <c r="BH11" s="26">
        <v>1.6</v>
      </c>
      <c r="BI11" s="26">
        <v>0</v>
      </c>
      <c r="BJ11" s="26">
        <v>7.5</v>
      </c>
      <c r="BK11" s="26">
        <v>4.2</v>
      </c>
      <c r="BL11" s="26">
        <v>7.6</v>
      </c>
      <c r="BM11" s="26">
        <v>7.74</v>
      </c>
      <c r="BN11" s="26">
        <v>0</v>
      </c>
      <c r="BO11" s="28"/>
      <c r="BP11" s="39">
        <f t="shared" si="28"/>
        <v>15</v>
      </c>
      <c r="BQ11" s="39">
        <f t="shared" si="29"/>
        <v>14.65</v>
      </c>
      <c r="BR11" s="11">
        <f t="shared" si="30"/>
        <v>52.55</v>
      </c>
      <c r="BS11" s="11">
        <f t="shared" si="31"/>
        <v>2</v>
      </c>
      <c r="BT11" s="11">
        <f t="shared" si="32"/>
        <v>1.6</v>
      </c>
      <c r="BU11" s="11">
        <f t="shared" si="33"/>
        <v>5.9</v>
      </c>
      <c r="BV11" s="11">
        <f t="shared" si="34"/>
        <v>52.55</v>
      </c>
      <c r="BW11" s="11">
        <f t="shared" si="35"/>
        <v>7.6</v>
      </c>
      <c r="BX11" s="11">
        <f t="shared" si="36"/>
        <v>7.74</v>
      </c>
      <c r="BY11" s="11">
        <f t="shared" si="37"/>
        <v>27.04</v>
      </c>
      <c r="BZ11" s="11">
        <f t="shared" si="38"/>
        <v>79.59</v>
      </c>
      <c r="CA11" s="22">
        <v>11.1</v>
      </c>
      <c r="CB11" s="22">
        <v>6</v>
      </c>
      <c r="CC11" s="22">
        <v>6.5</v>
      </c>
      <c r="CD11" s="22">
        <v>11.06</v>
      </c>
      <c r="CE11" s="22">
        <v>0</v>
      </c>
      <c r="CF11" s="22">
        <v>14.8</v>
      </c>
      <c r="CG11" s="22">
        <v>8.6999999999999993</v>
      </c>
      <c r="CH11" s="22">
        <v>15.4</v>
      </c>
      <c r="CI11" s="22">
        <v>15.84</v>
      </c>
      <c r="CJ11" s="22">
        <v>0</v>
      </c>
      <c r="CK11" s="22">
        <v>13.1</v>
      </c>
      <c r="CL11" s="22">
        <v>9.1999999999999993</v>
      </c>
      <c r="CM11" s="22">
        <v>15.6</v>
      </c>
      <c r="CN11" s="22">
        <v>15.93</v>
      </c>
      <c r="CO11" s="22">
        <v>0</v>
      </c>
      <c r="CP11" s="27"/>
      <c r="CQ11" s="38">
        <f t="shared" si="39"/>
        <v>6.5</v>
      </c>
      <c r="CR11" s="38">
        <f t="shared" si="40"/>
        <v>11.06</v>
      </c>
      <c r="CS11" s="40">
        <f t="shared" si="41"/>
        <v>34.660000000000004</v>
      </c>
      <c r="CT11" s="40">
        <f t="shared" si="42"/>
        <v>15.4</v>
      </c>
      <c r="CU11" s="40">
        <f t="shared" si="43"/>
        <v>15.84</v>
      </c>
      <c r="CV11" s="40">
        <f t="shared" si="44"/>
        <v>54.739999999999995</v>
      </c>
      <c r="CW11" s="40">
        <f t="shared" si="45"/>
        <v>54.739999999999995</v>
      </c>
      <c r="CX11" s="40">
        <f t="shared" si="46"/>
        <v>15.6</v>
      </c>
      <c r="CY11" s="40">
        <f t="shared" si="47"/>
        <v>15.93</v>
      </c>
      <c r="CZ11" s="40">
        <f t="shared" si="48"/>
        <v>53.83</v>
      </c>
      <c r="DA11" s="40">
        <f t="shared" si="49"/>
        <v>108.57</v>
      </c>
      <c r="DB11" s="51" t="str">
        <f t="shared" si="50"/>
        <v/>
      </c>
      <c r="DC11" s="51" t="str">
        <f t="shared" si="51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 t="shared" si="52"/>
        <v/>
      </c>
      <c r="DY11" s="40" t="str">
        <f t="shared" si="53"/>
        <v/>
      </c>
      <c r="DZ11" s="40" t="str">
        <f t="shared" si="54"/>
        <v/>
      </c>
      <c r="EA11" s="40" t="str">
        <f t="shared" si="55"/>
        <v/>
      </c>
      <c r="EB11" s="40" t="str">
        <f t="shared" si="56"/>
        <v/>
      </c>
      <c r="EC11" s="40" t="str">
        <f t="shared" si="57"/>
        <v/>
      </c>
      <c r="ED11" s="40" t="str">
        <f t="shared" si="58"/>
        <v/>
      </c>
      <c r="EE11" s="40" t="str">
        <f t="shared" si="59"/>
        <v/>
      </c>
      <c r="EF11" s="40" t="str">
        <f t="shared" si="60"/>
        <v/>
      </c>
      <c r="EG11" s="40" t="str">
        <f t="shared" si="61"/>
        <v/>
      </c>
      <c r="EH11" s="40" t="str">
        <f t="shared" si="62"/>
        <v/>
      </c>
      <c r="EI11" s="40" t="str">
        <f t="shared" si="63"/>
        <v/>
      </c>
      <c r="EJ11" s="40" t="str">
        <f t="shared" si="64"/>
        <v/>
      </c>
      <c r="EK11" s="40" t="str">
        <f t="shared" si="65"/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 t="shared" si="66"/>
        <v/>
      </c>
      <c r="FG11" s="11" t="str">
        <f t="shared" si="67"/>
        <v/>
      </c>
      <c r="FH11" s="11" t="str">
        <f t="shared" si="68"/>
        <v/>
      </c>
      <c r="FI11" s="11" t="str">
        <f t="shared" si="69"/>
        <v/>
      </c>
      <c r="FJ11" s="11" t="str">
        <f t="shared" si="70"/>
        <v/>
      </c>
      <c r="FK11" s="11" t="str">
        <f t="shared" si="71"/>
        <v/>
      </c>
      <c r="FL11" s="11" t="str">
        <f t="shared" si="72"/>
        <v/>
      </c>
      <c r="FM11" s="11" t="str">
        <f t="shared" si="73"/>
        <v/>
      </c>
      <c r="FN11" s="11" t="str">
        <f t="shared" si="74"/>
        <v/>
      </c>
      <c r="FO11" s="11" t="str">
        <f t="shared" si="75"/>
        <v/>
      </c>
      <c r="FP11" s="11" t="str">
        <f t="shared" si="76"/>
        <v/>
      </c>
      <c r="FQ11" s="11" t="str">
        <f t="shared" si="77"/>
        <v/>
      </c>
      <c r="FR11" s="11" t="str">
        <f t="shared" si="78"/>
        <v/>
      </c>
      <c r="FS11" s="11" t="str">
        <f t="shared" si="79"/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 t="shared" si="80"/>
        <v/>
      </c>
      <c r="GO11" s="40" t="str">
        <f t="shared" si="81"/>
        <v/>
      </c>
      <c r="GP11" s="40" t="str">
        <f t="shared" si="82"/>
        <v/>
      </c>
      <c r="GQ11" s="40" t="str">
        <f t="shared" si="83"/>
        <v/>
      </c>
      <c r="GR11" s="40" t="str">
        <f t="shared" si="84"/>
        <v/>
      </c>
      <c r="GS11" s="40" t="str">
        <f t="shared" si="85"/>
        <v/>
      </c>
      <c r="GT11" s="40" t="str">
        <f t="shared" si="86"/>
        <v/>
      </c>
      <c r="GU11" s="40" t="str">
        <f t="shared" si="87"/>
        <v/>
      </c>
      <c r="GV11" s="40" t="str">
        <f t="shared" si="88"/>
        <v/>
      </c>
      <c r="GW11" s="40" t="str">
        <f t="shared" si="89"/>
        <v/>
      </c>
      <c r="GX11" s="40" t="str">
        <f t="shared" si="90"/>
        <v/>
      </c>
      <c r="GY11" s="40" t="str">
        <f t="shared" si="91"/>
        <v/>
      </c>
      <c r="GZ11" s="40" t="str">
        <f t="shared" si="92"/>
        <v/>
      </c>
      <c r="HA11" s="40" t="str">
        <f t="shared" si="93"/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 t="shared" si="94"/>
        <v/>
      </c>
      <c r="HW11" s="11" t="str">
        <f t="shared" si="95"/>
        <v/>
      </c>
      <c r="HX11" s="11" t="str">
        <f t="shared" si="96"/>
        <v/>
      </c>
      <c r="HY11" s="11" t="str">
        <f t="shared" si="97"/>
        <v/>
      </c>
      <c r="HZ11" s="11" t="str">
        <f t="shared" si="98"/>
        <v/>
      </c>
      <c r="IA11" s="11" t="str">
        <f t="shared" si="99"/>
        <v/>
      </c>
      <c r="IB11" s="11" t="str">
        <f t="shared" si="100"/>
        <v/>
      </c>
      <c r="IC11" s="11" t="str">
        <f t="shared" si="101"/>
        <v/>
      </c>
      <c r="ID11" s="11" t="str">
        <f t="shared" si="102"/>
        <v/>
      </c>
      <c r="IE11" s="11" t="str">
        <f t="shared" si="103"/>
        <v/>
      </c>
      <c r="IF11" s="11" t="str">
        <f t="shared" si="104"/>
        <v/>
      </c>
      <c r="IG11" s="11" t="str">
        <f t="shared" si="105"/>
        <v/>
      </c>
      <c r="IH11" s="11" t="str">
        <f t="shared" si="106"/>
        <v/>
      </c>
      <c r="II11" s="11" t="str">
        <f t="shared" si="107"/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 t="shared" si="108"/>
        <v/>
      </c>
      <c r="JE11" s="40" t="str">
        <f t="shared" si="109"/>
        <v/>
      </c>
      <c r="JF11" s="40" t="str">
        <f t="shared" si="110"/>
        <v/>
      </c>
      <c r="JG11" s="40" t="str">
        <f t="shared" si="111"/>
        <v/>
      </c>
      <c r="JH11" s="40" t="str">
        <f t="shared" si="112"/>
        <v/>
      </c>
      <c r="JI11" s="40" t="str">
        <f t="shared" si="113"/>
        <v/>
      </c>
      <c r="JJ11" s="40" t="str">
        <f t="shared" si="114"/>
        <v/>
      </c>
      <c r="JK11" s="40" t="str">
        <f t="shared" si="115"/>
        <v/>
      </c>
      <c r="JL11" s="40" t="str">
        <f t="shared" si="116"/>
        <v/>
      </c>
      <c r="JM11" s="40" t="str">
        <f t="shared" si="117"/>
        <v/>
      </c>
      <c r="JN11" s="40" t="str">
        <f t="shared" si="118"/>
        <v/>
      </c>
      <c r="JO11" s="40" t="str">
        <f t="shared" si="119"/>
        <v/>
      </c>
      <c r="JP11" s="40" t="str">
        <f t="shared" si="120"/>
        <v/>
      </c>
      <c r="JQ11" s="40" t="str">
        <f t="shared" si="121"/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 t="shared" si="122"/>
        <v/>
      </c>
      <c r="KM11" s="11" t="str">
        <f t="shared" si="123"/>
        <v/>
      </c>
      <c r="KN11" s="11" t="str">
        <f t="shared" si="124"/>
        <v/>
      </c>
      <c r="KO11" s="11" t="str">
        <f t="shared" si="125"/>
        <v/>
      </c>
      <c r="KP11" s="11" t="str">
        <f t="shared" si="126"/>
        <v/>
      </c>
      <c r="KQ11" s="11" t="str">
        <f t="shared" si="127"/>
        <v/>
      </c>
      <c r="KR11" s="11" t="str">
        <f t="shared" si="128"/>
        <v/>
      </c>
      <c r="KS11" s="11" t="str">
        <f t="shared" si="129"/>
        <v/>
      </c>
      <c r="KT11" s="11" t="str">
        <f t="shared" si="130"/>
        <v/>
      </c>
      <c r="KU11" s="11" t="str">
        <f t="shared" si="131"/>
        <v/>
      </c>
      <c r="KV11" s="11" t="str">
        <f t="shared" si="132"/>
        <v/>
      </c>
      <c r="KW11" s="11" t="str">
        <f t="shared" si="133"/>
        <v/>
      </c>
      <c r="KX11" s="11" t="str">
        <f t="shared" si="134"/>
        <v/>
      </c>
      <c r="KY11" s="11" t="str">
        <f t="shared" si="135"/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 t="shared" si="136"/>
        <v/>
      </c>
      <c r="LU11" s="40" t="str">
        <f t="shared" si="137"/>
        <v/>
      </c>
      <c r="LV11" s="40" t="str">
        <f t="shared" si="138"/>
        <v/>
      </c>
      <c r="LW11" s="40" t="str">
        <f t="shared" si="139"/>
        <v/>
      </c>
      <c r="LX11" s="40" t="str">
        <f t="shared" si="140"/>
        <v/>
      </c>
      <c r="LY11" s="40" t="str">
        <f t="shared" si="141"/>
        <v/>
      </c>
      <c r="LZ11" s="40" t="str">
        <f t="shared" si="142"/>
        <v/>
      </c>
      <c r="MA11" s="40" t="str">
        <f t="shared" si="143"/>
        <v/>
      </c>
      <c r="MB11" s="40" t="str">
        <f t="shared" si="144"/>
        <v/>
      </c>
      <c r="MC11" s="40" t="str">
        <f t="shared" si="145"/>
        <v/>
      </c>
      <c r="MD11" s="40" t="str">
        <f t="shared" si="146"/>
        <v/>
      </c>
      <c r="ME11" s="40" t="str">
        <f t="shared" si="147"/>
        <v/>
      </c>
      <c r="MF11" s="40" t="str">
        <f t="shared" si="148"/>
        <v/>
      </c>
      <c r="MG11" s="40" t="str">
        <f t="shared" si="149"/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 t="shared" si="150"/>
        <v/>
      </c>
      <c r="NC11" s="11" t="str">
        <f t="shared" si="151"/>
        <v/>
      </c>
      <c r="ND11" s="11" t="str">
        <f t="shared" si="152"/>
        <v/>
      </c>
      <c r="NE11" s="11" t="str">
        <f t="shared" si="153"/>
        <v/>
      </c>
      <c r="NF11" s="11" t="str">
        <f t="shared" si="154"/>
        <v/>
      </c>
      <c r="NG11" s="11" t="str">
        <f t="shared" si="155"/>
        <v/>
      </c>
      <c r="NH11" s="11" t="str">
        <f t="shared" si="156"/>
        <v/>
      </c>
      <c r="NI11" s="11" t="str">
        <f t="shared" si="157"/>
        <v/>
      </c>
      <c r="NJ11" s="11" t="str">
        <f t="shared" si="158"/>
        <v/>
      </c>
      <c r="NK11" s="11" t="str">
        <f t="shared" si="159"/>
        <v/>
      </c>
      <c r="NL11" s="11" t="str">
        <f t="shared" si="160"/>
        <v/>
      </c>
      <c r="NM11" s="11" t="str">
        <f t="shared" si="161"/>
        <v/>
      </c>
      <c r="NN11" s="11" t="str">
        <f t="shared" si="162"/>
        <v/>
      </c>
      <c r="NO11" s="11" t="str">
        <f t="shared" si="163"/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 t="shared" si="164"/>
        <v/>
      </c>
      <c r="OK11" s="40" t="str">
        <f t="shared" si="165"/>
        <v/>
      </c>
      <c r="OL11" s="40" t="str">
        <f t="shared" si="166"/>
        <v/>
      </c>
      <c r="OM11" s="40" t="str">
        <f t="shared" si="167"/>
        <v/>
      </c>
      <c r="ON11" s="40" t="str">
        <f t="shared" si="168"/>
        <v/>
      </c>
      <c r="OO11" s="40" t="str">
        <f t="shared" si="169"/>
        <v/>
      </c>
      <c r="OP11" s="40" t="str">
        <f t="shared" si="170"/>
        <v/>
      </c>
      <c r="OQ11" s="40" t="str">
        <f t="shared" si="171"/>
        <v/>
      </c>
      <c r="OR11" s="40" t="str">
        <f t="shared" si="172"/>
        <v/>
      </c>
      <c r="OS11" s="40" t="str">
        <f t="shared" si="173"/>
        <v/>
      </c>
      <c r="OT11" s="40" t="str">
        <f t="shared" si="174"/>
        <v/>
      </c>
      <c r="OU11" s="40" t="str">
        <f t="shared" si="175"/>
        <v/>
      </c>
      <c r="OV11" s="40" t="str">
        <f t="shared" si="176"/>
        <v/>
      </c>
      <c r="OW11" s="40" t="str">
        <f t="shared" si="177"/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 t="shared" si="178"/>
        <v/>
      </c>
      <c r="PS11" s="11" t="str">
        <f t="shared" si="179"/>
        <v/>
      </c>
      <c r="PT11" s="11" t="str">
        <f t="shared" si="180"/>
        <v/>
      </c>
      <c r="PU11" s="11" t="str">
        <f t="shared" si="181"/>
        <v/>
      </c>
      <c r="PV11" s="11" t="str">
        <f t="shared" si="182"/>
        <v/>
      </c>
      <c r="PW11" s="11" t="str">
        <f t="shared" si="183"/>
        <v/>
      </c>
      <c r="PX11" s="11" t="str">
        <f t="shared" si="184"/>
        <v/>
      </c>
      <c r="PY11" s="11" t="str">
        <f t="shared" si="185"/>
        <v/>
      </c>
      <c r="PZ11" s="11" t="str">
        <f t="shared" si="186"/>
        <v/>
      </c>
      <c r="QA11" s="11" t="str">
        <f t="shared" si="187"/>
        <v/>
      </c>
      <c r="QB11" s="11" t="str">
        <f t="shared" si="188"/>
        <v/>
      </c>
      <c r="QC11" s="11" t="str">
        <f t="shared" si="189"/>
        <v/>
      </c>
      <c r="QD11" s="11" t="str">
        <f t="shared" si="190"/>
        <v/>
      </c>
      <c r="QE11" s="11" t="str">
        <f t="shared" si="191"/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 t="shared" si="192"/>
        <v/>
      </c>
      <c r="RA11" s="40" t="str">
        <f t="shared" si="193"/>
        <v/>
      </c>
      <c r="RB11" s="40" t="str">
        <f t="shared" si="194"/>
        <v/>
      </c>
      <c r="RC11" s="40" t="str">
        <f t="shared" si="195"/>
        <v/>
      </c>
      <c r="RD11" s="40" t="str">
        <f t="shared" si="196"/>
        <v/>
      </c>
      <c r="RE11" s="40" t="str">
        <f t="shared" si="197"/>
        <v/>
      </c>
      <c r="RF11" s="40" t="str">
        <f t="shared" si="198"/>
        <v/>
      </c>
      <c r="RG11" s="40" t="str">
        <f t="shared" si="199"/>
        <v/>
      </c>
      <c r="RH11" s="40" t="str">
        <f t="shared" si="200"/>
        <v/>
      </c>
      <c r="RI11" s="40" t="str">
        <f t="shared" si="201"/>
        <v/>
      </c>
      <c r="RJ11" s="40" t="str">
        <f t="shared" si="202"/>
        <v/>
      </c>
      <c r="RK11" s="40" t="str">
        <f t="shared" si="203"/>
        <v/>
      </c>
      <c r="RL11" s="40" t="str">
        <f t="shared" si="204"/>
        <v/>
      </c>
      <c r="RM11" s="40" t="str">
        <f t="shared" si="205"/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 t="shared" si="206"/>
        <v/>
      </c>
      <c r="SI11" s="11" t="str">
        <f t="shared" si="207"/>
        <v/>
      </c>
      <c r="SJ11" s="11" t="str">
        <f t="shared" si="208"/>
        <v/>
      </c>
      <c r="SK11" s="11" t="str">
        <f t="shared" si="209"/>
        <v/>
      </c>
      <c r="SL11" s="11" t="str">
        <f t="shared" si="210"/>
        <v/>
      </c>
      <c r="SM11" s="11" t="str">
        <f t="shared" si="211"/>
        <v/>
      </c>
      <c r="SN11" s="11" t="str">
        <f t="shared" si="212"/>
        <v/>
      </c>
      <c r="SO11" s="11" t="str">
        <f t="shared" si="213"/>
        <v/>
      </c>
      <c r="SP11" s="11" t="str">
        <f t="shared" si="214"/>
        <v/>
      </c>
      <c r="SQ11" s="11" t="str">
        <f t="shared" si="215"/>
        <v/>
      </c>
      <c r="SR11" s="11" t="str">
        <f t="shared" si="216"/>
        <v/>
      </c>
      <c r="SS11" s="11" t="str">
        <f t="shared" si="217"/>
        <v/>
      </c>
      <c r="ST11" s="11" t="str">
        <f t="shared" si="218"/>
        <v/>
      </c>
      <c r="SU11" s="11" t="str">
        <f t="shared" si="219"/>
        <v/>
      </c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17"/>
      <c r="TI11" s="17"/>
      <c r="TJ11" s="17"/>
      <c r="TK11" s="17"/>
      <c r="TL11" s="17"/>
      <c r="TM11" s="17"/>
      <c r="TN11" s="17"/>
      <c r="TO11" s="17"/>
      <c r="TP11" s="40" t="str">
        <f t="shared" si="220"/>
        <v/>
      </c>
      <c r="TQ11" s="40" t="str">
        <f t="shared" si="221"/>
        <v/>
      </c>
      <c r="TR11" s="40" t="str">
        <f t="shared" si="222"/>
        <v/>
      </c>
      <c r="TS11" s="40" t="str">
        <f t="shared" si="223"/>
        <v/>
      </c>
      <c r="TT11" s="40" t="str">
        <f t="shared" si="224"/>
        <v/>
      </c>
      <c r="TU11" s="40" t="str">
        <f t="shared" si="225"/>
        <v/>
      </c>
      <c r="TV11" s="40" t="str">
        <f t="shared" si="226"/>
        <v/>
      </c>
      <c r="TW11" s="40" t="str">
        <f t="shared" si="227"/>
        <v/>
      </c>
      <c r="TX11" s="40" t="str">
        <f t="shared" si="228"/>
        <v/>
      </c>
      <c r="TY11" s="40" t="str">
        <f t="shared" si="229"/>
        <v/>
      </c>
      <c r="TZ11" s="40" t="str">
        <f t="shared" si="230"/>
        <v/>
      </c>
      <c r="UA11" s="40" t="str">
        <f t="shared" si="231"/>
        <v/>
      </c>
      <c r="UB11" s="40" t="str">
        <f t="shared" si="232"/>
        <v/>
      </c>
      <c r="UC11" s="40" t="str">
        <f t="shared" si="233"/>
        <v/>
      </c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1" t="str">
        <f t="shared" si="234"/>
        <v/>
      </c>
      <c r="UY11" s="11" t="str">
        <f t="shared" si="235"/>
        <v/>
      </c>
      <c r="UZ11" s="11" t="str">
        <f t="shared" si="236"/>
        <v/>
      </c>
      <c r="VA11" s="11" t="str">
        <f t="shared" si="237"/>
        <v/>
      </c>
      <c r="VB11" s="11" t="str">
        <f t="shared" si="238"/>
        <v/>
      </c>
      <c r="VC11" s="11" t="str">
        <f t="shared" si="239"/>
        <v/>
      </c>
      <c r="VD11" s="11" t="str">
        <f t="shared" si="240"/>
        <v/>
      </c>
      <c r="VE11" s="11" t="str">
        <f t="shared" si="241"/>
        <v/>
      </c>
      <c r="VF11" s="11" t="str">
        <f t="shared" si="242"/>
        <v/>
      </c>
      <c r="VG11" s="11" t="str">
        <f t="shared" si="243"/>
        <v/>
      </c>
      <c r="VH11" s="11" t="str">
        <f t="shared" si="244"/>
        <v/>
      </c>
      <c r="VI11" s="11" t="str">
        <f t="shared" si="245"/>
        <v/>
      </c>
      <c r="VJ11" s="11" t="str">
        <f t="shared" si="246"/>
        <v/>
      </c>
      <c r="VK11" s="11" t="str">
        <f t="shared" si="247"/>
        <v/>
      </c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17"/>
      <c r="VY11" s="17"/>
      <c r="VZ11" s="17"/>
      <c r="WA11" s="17"/>
      <c r="WB11" s="17"/>
      <c r="WC11" s="17"/>
      <c r="WD11" s="17"/>
      <c r="WE11" s="17"/>
      <c r="WF11" s="40" t="str">
        <f t="shared" si="248"/>
        <v/>
      </c>
      <c r="WG11" s="40" t="str">
        <f t="shared" si="249"/>
        <v/>
      </c>
      <c r="WH11" s="40" t="str">
        <f t="shared" si="250"/>
        <v/>
      </c>
      <c r="WI11" s="40" t="str">
        <f t="shared" si="251"/>
        <v/>
      </c>
      <c r="WJ11" s="40" t="str">
        <f t="shared" si="252"/>
        <v/>
      </c>
      <c r="WK11" s="40" t="str">
        <f t="shared" si="253"/>
        <v/>
      </c>
      <c r="WL11" s="40" t="str">
        <f t="shared" si="254"/>
        <v/>
      </c>
      <c r="WM11" s="40" t="str">
        <f t="shared" si="255"/>
        <v/>
      </c>
      <c r="WN11" s="40" t="str">
        <f t="shared" si="256"/>
        <v/>
      </c>
      <c r="WO11" s="40" t="str">
        <f t="shared" si="257"/>
        <v/>
      </c>
      <c r="WP11" s="40" t="str">
        <f t="shared" si="258"/>
        <v/>
      </c>
      <c r="WQ11" s="40" t="str">
        <f t="shared" si="259"/>
        <v/>
      </c>
      <c r="WR11" s="40" t="str">
        <f t="shared" si="260"/>
        <v/>
      </c>
      <c r="WS11" s="40" t="str">
        <f t="shared" si="261"/>
        <v/>
      </c>
      <c r="WT11" s="26">
        <f t="shared" si="262"/>
        <v>12.75</v>
      </c>
      <c r="WU11" s="26">
        <f t="shared" si="263"/>
        <v>7.25</v>
      </c>
      <c r="WV11" s="26">
        <f t="shared" si="264"/>
        <v>10.75</v>
      </c>
      <c r="WW11" s="26">
        <f t="shared" si="265"/>
        <v>12.855</v>
      </c>
      <c r="WX11" s="26">
        <f t="shared" si="266"/>
        <v>0</v>
      </c>
      <c r="WY11" s="26">
        <f t="shared" si="267"/>
        <v>8.1</v>
      </c>
      <c r="WZ11" s="26">
        <f t="shared" si="268"/>
        <v>4.8</v>
      </c>
      <c r="XA11" s="26">
        <f t="shared" si="269"/>
        <v>8.6999999999999993</v>
      </c>
      <c r="XB11" s="26">
        <f t="shared" si="270"/>
        <v>8.7200000000000006</v>
      </c>
      <c r="XC11" s="26">
        <f t="shared" si="271"/>
        <v>0</v>
      </c>
      <c r="XD11" s="26">
        <f t="shared" si="272"/>
        <v>10.3</v>
      </c>
      <c r="XE11" s="26">
        <f t="shared" si="273"/>
        <v>6.6999999999999993</v>
      </c>
      <c r="XF11" s="26">
        <f t="shared" si="274"/>
        <v>11.6</v>
      </c>
      <c r="XG11" s="26">
        <f t="shared" si="275"/>
        <v>11.835000000000001</v>
      </c>
      <c r="XH11" s="26">
        <f t="shared" si="276"/>
        <v>0</v>
      </c>
      <c r="XI11" s="28" t="s">
        <v>53</v>
      </c>
      <c r="XJ11" s="11">
        <f t="shared" si="277"/>
        <v>10.75</v>
      </c>
      <c r="XK11" s="11">
        <f t="shared" si="278"/>
        <v>12.855</v>
      </c>
      <c r="XL11" s="11">
        <f t="shared" si="279"/>
        <v>43.605000000000004</v>
      </c>
      <c r="XM11" s="11">
        <f t="shared" si="280"/>
        <v>8.6999999999999993</v>
      </c>
      <c r="XN11" s="11">
        <f t="shared" si="281"/>
        <v>8.7200000000000006</v>
      </c>
      <c r="XO11" s="11">
        <f t="shared" si="282"/>
        <v>30.32</v>
      </c>
      <c r="XP11" s="11">
        <f t="shared" si="283"/>
        <v>43.605000000000004</v>
      </c>
      <c r="XQ11" s="11">
        <f t="shared" si="284"/>
        <v>11.6</v>
      </c>
      <c r="XR11" s="11">
        <f t="shared" si="285"/>
        <v>11.835000000000001</v>
      </c>
      <c r="XS11" s="11">
        <f t="shared" si="286"/>
        <v>40.435000000000002</v>
      </c>
      <c r="XT11" s="11">
        <f t="shared" si="287"/>
        <v>84.04</v>
      </c>
    </row>
    <row r="12" spans="1:644" x14ac:dyDescent="0.2">
      <c r="A12" s="4" cm="1">
        <f t="array" ref="A12">IF(AND(H12&lt;&gt;"",H12&lt;&gt;"No DD"),SUMPRODUCT((H$4:H$25&lt;&gt;"")*(H$4:H$25&lt;&gt;"No DD")*(E$4:E$25&gt;E12))+1,IF(H12="No DD",SUMPRODUCT((H$4:H$25="No DD")*(E$4:E$25&gt;E12))+1+SUMPRODUCT((H$4:H$25&lt;&gt;"")*(H$4:H$25&lt;&gt;"No DD")),""))</f>
        <v>9</v>
      </c>
      <c r="B12" s="5" t="s">
        <v>59</v>
      </c>
      <c r="C12" s="4" t="s">
        <v>7</v>
      </c>
      <c r="D12" s="4">
        <v>2001</v>
      </c>
      <c r="E12" s="9">
        <f t="shared" si="0"/>
        <v>186.43501603900324</v>
      </c>
      <c r="F12" s="3" t="str">
        <f t="shared" si="1"/>
        <v>P</v>
      </c>
      <c r="G12" s="3" t="str">
        <f t="shared" si="2"/>
        <v>P</v>
      </c>
      <c r="H12" s="36" t="str">
        <f t="shared" si="3"/>
        <v>Excellence</v>
      </c>
      <c r="I12" s="3" t="str">
        <f t="shared" si="4"/>
        <v>P</v>
      </c>
      <c r="J12" s="8">
        <f>IF(COUNT(AQ12,AT12,BR12,BU12,CS12,CV12)&gt;0,LARGE((AQ12,AT12,BR12,BU12,CS12,CV12),1),0)</f>
        <v>32.664999999999999</v>
      </c>
      <c r="K12" s="8" t="str">
        <f t="shared" si="5"/>
        <v>2024 3rd Domestic Trial</v>
      </c>
      <c r="L12" s="8">
        <f>IF(COUNT(AQ12,AT12,BR12,BU12,CS12,CV12)&gt;1,LARGE((AQ12,AT12,BR12,BU12,CS12,CV12),2),0)</f>
        <v>32.664999999999999</v>
      </c>
      <c r="M12" s="8" t="str">
        <f t="shared" si="6"/>
        <v>2024 3rd Domestic Trial</v>
      </c>
      <c r="N12" s="8">
        <f>IF(COUNT(AQ12,AT12,BR12,BU12,CS12,CV12)&gt;2,LARGE((AQ12,AT12,BR12,BU12,CS12,CV12),3),0)</f>
        <v>32.664999999999999</v>
      </c>
      <c r="O12" s="8" t="str">
        <f t="shared" si="7"/>
        <v>2024 3rd Domestic Trial</v>
      </c>
      <c r="P12" s="8">
        <f t="shared" si="8"/>
        <v>28.884999999999998</v>
      </c>
      <c r="Q12" s="8" t="str">
        <f t="shared" si="9"/>
        <v>2024 3rd Domestic Trial</v>
      </c>
      <c r="R12" s="8">
        <f t="shared" si="10"/>
        <v>16.2</v>
      </c>
      <c r="S12" s="8" t="str">
        <f t="shared" si="11"/>
        <v>2024 World Cup POR (July 7)</v>
      </c>
      <c r="T12" s="8">
        <f t="shared" si="12"/>
        <v>17.309999999999999</v>
      </c>
      <c r="U12" s="8" t="str">
        <f t="shared" si="13"/>
        <v>2024 World Cup POR (July 7)</v>
      </c>
      <c r="V12" s="8">
        <f t="shared" si="14"/>
        <v>26.044999999999995</v>
      </c>
      <c r="W12" s="11" t="str">
        <f t="shared" si="15"/>
        <v>(Prelim)</v>
      </c>
      <c r="X12" s="8" t="str">
        <f t="shared" si="16"/>
        <v>2024 World Cup POR (July 7)</v>
      </c>
      <c r="Y12" s="22">
        <v>6.65</v>
      </c>
      <c r="Z12" s="22">
        <v>3.35</v>
      </c>
      <c r="AA12" s="22">
        <v>6.9</v>
      </c>
      <c r="AB12" s="22">
        <v>6.8149999999999995</v>
      </c>
      <c r="AC12" s="22">
        <v>0</v>
      </c>
      <c r="AD12" s="22">
        <v>9.1</v>
      </c>
      <c r="AE12" s="22">
        <v>5.0999999999999996</v>
      </c>
      <c r="AF12" s="22">
        <v>9.25</v>
      </c>
      <c r="AG12" s="22">
        <v>9.2149999999999999</v>
      </c>
      <c r="AH12" s="22">
        <v>0</v>
      </c>
      <c r="AI12" s="22">
        <v>8.1</v>
      </c>
      <c r="AJ12" s="22">
        <v>4.1500000000000004</v>
      </c>
      <c r="AK12" s="22">
        <v>8.25</v>
      </c>
      <c r="AL12" s="22">
        <v>8.3849999999999998</v>
      </c>
      <c r="AM12" s="22">
        <v>0</v>
      </c>
      <c r="AN12" s="27" t="s">
        <v>53</v>
      </c>
      <c r="AO12" s="38">
        <f t="shared" si="17"/>
        <v>6.9</v>
      </c>
      <c r="AP12" s="38">
        <f t="shared" si="18"/>
        <v>6.8149999999999995</v>
      </c>
      <c r="AQ12" s="40">
        <f t="shared" si="19"/>
        <v>23.714999999999996</v>
      </c>
      <c r="AR12" s="40">
        <f t="shared" si="20"/>
        <v>9.25</v>
      </c>
      <c r="AS12" s="40">
        <f t="shared" si="21"/>
        <v>9.2149999999999999</v>
      </c>
      <c r="AT12" s="40">
        <f t="shared" si="22"/>
        <v>32.664999999999999</v>
      </c>
      <c r="AU12" s="40">
        <f t="shared" si="23"/>
        <v>32.664999999999999</v>
      </c>
      <c r="AV12" s="40">
        <f t="shared" si="24"/>
        <v>8.25</v>
      </c>
      <c r="AW12" s="40">
        <f t="shared" si="25"/>
        <v>8.3849999999999998</v>
      </c>
      <c r="AX12" s="40">
        <f t="shared" si="26"/>
        <v>28.884999999999998</v>
      </c>
      <c r="AY12" s="40">
        <f t="shared" si="27"/>
        <v>61.55</v>
      </c>
      <c r="AZ12" s="26">
        <v>6.65</v>
      </c>
      <c r="BA12" s="26">
        <v>3.35</v>
      </c>
      <c r="BB12" s="26">
        <v>6.9</v>
      </c>
      <c r="BC12" s="26">
        <v>6.8149999999999995</v>
      </c>
      <c r="BD12" s="26">
        <v>0</v>
      </c>
      <c r="BE12" s="26">
        <v>9.1</v>
      </c>
      <c r="BF12" s="26">
        <v>5.0999999999999996</v>
      </c>
      <c r="BG12" s="26">
        <v>9.25</v>
      </c>
      <c r="BH12" s="26">
        <v>9.2149999999999999</v>
      </c>
      <c r="BI12" s="26">
        <v>0</v>
      </c>
      <c r="BJ12" s="26">
        <v>8.1</v>
      </c>
      <c r="BK12" s="26">
        <v>4.1500000000000004</v>
      </c>
      <c r="BL12" s="26">
        <v>8.25</v>
      </c>
      <c r="BM12" s="26">
        <v>8.3849999999999998</v>
      </c>
      <c r="BN12" s="26">
        <v>0</v>
      </c>
      <c r="BO12" s="28" t="s">
        <v>53</v>
      </c>
      <c r="BP12" s="39">
        <f t="shared" si="28"/>
        <v>6.9</v>
      </c>
      <c r="BQ12" s="39">
        <f t="shared" si="29"/>
        <v>6.8149999999999995</v>
      </c>
      <c r="BR12" s="11">
        <f t="shared" si="30"/>
        <v>23.714999999999996</v>
      </c>
      <c r="BS12" s="11">
        <f t="shared" si="31"/>
        <v>9.25</v>
      </c>
      <c r="BT12" s="11">
        <f t="shared" si="32"/>
        <v>9.2149999999999999</v>
      </c>
      <c r="BU12" s="11">
        <f t="shared" si="33"/>
        <v>32.664999999999999</v>
      </c>
      <c r="BV12" s="11">
        <f t="shared" si="34"/>
        <v>32.664999999999999</v>
      </c>
      <c r="BW12" s="11">
        <f t="shared" si="35"/>
        <v>8.25</v>
      </c>
      <c r="BX12" s="11">
        <f t="shared" si="36"/>
        <v>8.3849999999999998</v>
      </c>
      <c r="BY12" s="11">
        <f t="shared" si="37"/>
        <v>28.884999999999998</v>
      </c>
      <c r="BZ12" s="11">
        <f t="shared" si="38"/>
        <v>61.55</v>
      </c>
      <c r="CA12" s="22">
        <v>6.65</v>
      </c>
      <c r="CB12" s="22">
        <v>3.35</v>
      </c>
      <c r="CC12" s="22">
        <v>6.9</v>
      </c>
      <c r="CD12" s="22">
        <v>6.8149999999999995</v>
      </c>
      <c r="CE12" s="22">
        <v>0</v>
      </c>
      <c r="CF12" s="22">
        <v>9.1</v>
      </c>
      <c r="CG12" s="22">
        <v>5.0999999999999996</v>
      </c>
      <c r="CH12" s="22">
        <v>9.25</v>
      </c>
      <c r="CI12" s="22">
        <v>9.2149999999999999</v>
      </c>
      <c r="CJ12" s="22">
        <v>0</v>
      </c>
      <c r="CK12" s="22">
        <v>8.1</v>
      </c>
      <c r="CL12" s="22">
        <v>4.1500000000000004</v>
      </c>
      <c r="CM12" s="22">
        <v>8.25</v>
      </c>
      <c r="CN12" s="22">
        <v>8.3849999999999998</v>
      </c>
      <c r="CO12" s="22">
        <v>0</v>
      </c>
      <c r="CP12" s="27" t="s">
        <v>53</v>
      </c>
      <c r="CQ12" s="38">
        <f t="shared" si="39"/>
        <v>6.9</v>
      </c>
      <c r="CR12" s="38">
        <f t="shared" si="40"/>
        <v>6.8149999999999995</v>
      </c>
      <c r="CS12" s="40">
        <f t="shared" si="41"/>
        <v>23.714999999999996</v>
      </c>
      <c r="CT12" s="40">
        <f t="shared" si="42"/>
        <v>9.25</v>
      </c>
      <c r="CU12" s="40">
        <f t="shared" si="43"/>
        <v>9.2149999999999999</v>
      </c>
      <c r="CV12" s="40">
        <f t="shared" si="44"/>
        <v>32.664999999999999</v>
      </c>
      <c r="CW12" s="40">
        <f t="shared" si="45"/>
        <v>32.664999999999999</v>
      </c>
      <c r="CX12" s="40">
        <f t="shared" si="46"/>
        <v>8.25</v>
      </c>
      <c r="CY12" s="40">
        <f t="shared" si="47"/>
        <v>8.3849999999999998</v>
      </c>
      <c r="CZ12" s="40">
        <f t="shared" si="48"/>
        <v>28.884999999999998</v>
      </c>
      <c r="DA12" s="40">
        <f t="shared" si="49"/>
        <v>61.55</v>
      </c>
      <c r="DB12" s="51">
        <f t="shared" si="50"/>
        <v>26.044999999999995</v>
      </c>
      <c r="DC12" s="51" t="str">
        <f t="shared" si="51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 t="shared" si="52"/>
        <v/>
      </c>
      <c r="DY12" s="40" t="str">
        <f t="shared" si="53"/>
        <v/>
      </c>
      <c r="DZ12" s="40" t="str">
        <f t="shared" si="54"/>
        <v/>
      </c>
      <c r="EA12" s="40" t="str">
        <f t="shared" si="55"/>
        <v/>
      </c>
      <c r="EB12" s="40" t="str">
        <f t="shared" si="56"/>
        <v/>
      </c>
      <c r="EC12" s="40" t="str">
        <f t="shared" si="57"/>
        <v/>
      </c>
      <c r="ED12" s="40" t="str">
        <f t="shared" si="58"/>
        <v/>
      </c>
      <c r="EE12" s="40" t="str">
        <f t="shared" si="59"/>
        <v/>
      </c>
      <c r="EF12" s="40" t="str">
        <f t="shared" si="60"/>
        <v/>
      </c>
      <c r="EG12" s="40" t="str">
        <f t="shared" si="61"/>
        <v/>
      </c>
      <c r="EH12" s="40" t="str">
        <f t="shared" si="62"/>
        <v/>
      </c>
      <c r="EI12" s="40" t="str">
        <f t="shared" si="63"/>
        <v/>
      </c>
      <c r="EJ12" s="40" t="str">
        <f t="shared" si="64"/>
        <v/>
      </c>
      <c r="EK12" s="40" t="str">
        <f t="shared" si="65"/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 t="shared" si="66"/>
        <v/>
      </c>
      <c r="FG12" s="11" t="str">
        <f t="shared" si="67"/>
        <v/>
      </c>
      <c r="FH12" s="11" t="str">
        <f t="shared" si="68"/>
        <v/>
      </c>
      <c r="FI12" s="11" t="str">
        <f t="shared" si="69"/>
        <v/>
      </c>
      <c r="FJ12" s="11" t="str">
        <f t="shared" si="70"/>
        <v/>
      </c>
      <c r="FK12" s="11" t="str">
        <f t="shared" si="71"/>
        <v/>
      </c>
      <c r="FL12" s="11" t="str">
        <f t="shared" si="72"/>
        <v/>
      </c>
      <c r="FM12" s="11" t="str">
        <f t="shared" si="73"/>
        <v/>
      </c>
      <c r="FN12" s="11" t="str">
        <f t="shared" si="74"/>
        <v/>
      </c>
      <c r="FO12" s="11" t="str">
        <f t="shared" si="75"/>
        <v/>
      </c>
      <c r="FP12" s="11" t="str">
        <f t="shared" si="76"/>
        <v/>
      </c>
      <c r="FQ12" s="11" t="str">
        <f t="shared" si="77"/>
        <v/>
      </c>
      <c r="FR12" s="11" t="str">
        <f t="shared" si="78"/>
        <v/>
      </c>
      <c r="FS12" s="11" t="str">
        <f t="shared" si="79"/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 t="shared" si="80"/>
        <v/>
      </c>
      <c r="GO12" s="40" t="str">
        <f t="shared" si="81"/>
        <v/>
      </c>
      <c r="GP12" s="40" t="str">
        <f t="shared" si="82"/>
        <v/>
      </c>
      <c r="GQ12" s="40" t="str">
        <f t="shared" si="83"/>
        <v/>
      </c>
      <c r="GR12" s="40" t="str">
        <f t="shared" si="84"/>
        <v/>
      </c>
      <c r="GS12" s="40" t="str">
        <f t="shared" si="85"/>
        <v/>
      </c>
      <c r="GT12" s="40" t="str">
        <f t="shared" si="86"/>
        <v/>
      </c>
      <c r="GU12" s="40" t="str">
        <f t="shared" si="87"/>
        <v/>
      </c>
      <c r="GV12" s="40" t="str">
        <f t="shared" si="88"/>
        <v/>
      </c>
      <c r="GW12" s="40" t="str">
        <f t="shared" si="89"/>
        <v/>
      </c>
      <c r="GX12" s="40" t="str">
        <f t="shared" si="90"/>
        <v/>
      </c>
      <c r="GY12" s="40" t="str">
        <f t="shared" si="91"/>
        <v/>
      </c>
      <c r="GZ12" s="40" t="str">
        <f t="shared" si="92"/>
        <v/>
      </c>
      <c r="HA12" s="40" t="str">
        <f t="shared" si="93"/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 t="shared" si="94"/>
        <v/>
      </c>
      <c r="HW12" s="11" t="str">
        <f t="shared" si="95"/>
        <v/>
      </c>
      <c r="HX12" s="11" t="str">
        <f t="shared" si="96"/>
        <v/>
      </c>
      <c r="HY12" s="11" t="str">
        <f t="shared" si="97"/>
        <v/>
      </c>
      <c r="HZ12" s="11" t="str">
        <f t="shared" si="98"/>
        <v/>
      </c>
      <c r="IA12" s="11" t="str">
        <f t="shared" si="99"/>
        <v/>
      </c>
      <c r="IB12" s="11" t="str">
        <f t="shared" si="100"/>
        <v/>
      </c>
      <c r="IC12" s="11" t="str">
        <f t="shared" si="101"/>
        <v/>
      </c>
      <c r="ID12" s="11" t="str">
        <f t="shared" si="102"/>
        <v/>
      </c>
      <c r="IE12" s="11" t="str">
        <f t="shared" si="103"/>
        <v/>
      </c>
      <c r="IF12" s="11" t="str">
        <f t="shared" si="104"/>
        <v/>
      </c>
      <c r="IG12" s="11" t="str">
        <f t="shared" si="105"/>
        <v/>
      </c>
      <c r="IH12" s="11" t="str">
        <f t="shared" si="106"/>
        <v/>
      </c>
      <c r="II12" s="11" t="str">
        <f t="shared" si="107"/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 t="shared" si="108"/>
        <v/>
      </c>
      <c r="JE12" s="40" t="str">
        <f t="shared" si="109"/>
        <v/>
      </c>
      <c r="JF12" s="40" t="str">
        <f t="shared" si="110"/>
        <v/>
      </c>
      <c r="JG12" s="40" t="str">
        <f t="shared" si="111"/>
        <v/>
      </c>
      <c r="JH12" s="40" t="str">
        <f t="shared" si="112"/>
        <v/>
      </c>
      <c r="JI12" s="40" t="str">
        <f t="shared" si="113"/>
        <v/>
      </c>
      <c r="JJ12" s="40" t="str">
        <f t="shared" si="114"/>
        <v/>
      </c>
      <c r="JK12" s="40" t="str">
        <f t="shared" si="115"/>
        <v/>
      </c>
      <c r="JL12" s="40" t="str">
        <f t="shared" si="116"/>
        <v/>
      </c>
      <c r="JM12" s="40" t="str">
        <f t="shared" si="117"/>
        <v/>
      </c>
      <c r="JN12" s="40" t="str">
        <f t="shared" si="118"/>
        <v/>
      </c>
      <c r="JO12" s="40" t="str">
        <f t="shared" si="119"/>
        <v/>
      </c>
      <c r="JP12" s="40" t="str">
        <f t="shared" si="120"/>
        <v/>
      </c>
      <c r="JQ12" s="40" t="str">
        <f t="shared" si="121"/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 t="shared" si="122"/>
        <v/>
      </c>
      <c r="KM12" s="11" t="str">
        <f t="shared" si="123"/>
        <v/>
      </c>
      <c r="KN12" s="11" t="str">
        <f t="shared" si="124"/>
        <v/>
      </c>
      <c r="KO12" s="11" t="str">
        <f t="shared" si="125"/>
        <v/>
      </c>
      <c r="KP12" s="11" t="str">
        <f t="shared" si="126"/>
        <v/>
      </c>
      <c r="KQ12" s="11" t="str">
        <f t="shared" si="127"/>
        <v/>
      </c>
      <c r="KR12" s="11" t="str">
        <f t="shared" si="128"/>
        <v/>
      </c>
      <c r="KS12" s="11" t="str">
        <f t="shared" si="129"/>
        <v/>
      </c>
      <c r="KT12" s="11" t="str">
        <f t="shared" si="130"/>
        <v/>
      </c>
      <c r="KU12" s="11" t="str">
        <f t="shared" si="131"/>
        <v/>
      </c>
      <c r="KV12" s="11" t="str">
        <f t="shared" si="132"/>
        <v/>
      </c>
      <c r="KW12" s="11" t="str">
        <f t="shared" si="133"/>
        <v/>
      </c>
      <c r="KX12" s="11" t="str">
        <f t="shared" si="134"/>
        <v/>
      </c>
      <c r="KY12" s="11" t="str">
        <f t="shared" si="135"/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 t="shared" si="136"/>
        <v/>
      </c>
      <c r="LU12" s="40" t="str">
        <f t="shared" si="137"/>
        <v/>
      </c>
      <c r="LV12" s="40" t="str">
        <f t="shared" si="138"/>
        <v/>
      </c>
      <c r="LW12" s="40" t="str">
        <f t="shared" si="139"/>
        <v/>
      </c>
      <c r="LX12" s="40" t="str">
        <f t="shared" si="140"/>
        <v/>
      </c>
      <c r="LY12" s="40" t="str">
        <f t="shared" si="141"/>
        <v/>
      </c>
      <c r="LZ12" s="40" t="str">
        <f t="shared" si="142"/>
        <v/>
      </c>
      <c r="MA12" s="40" t="str">
        <f t="shared" si="143"/>
        <v/>
      </c>
      <c r="MB12" s="40" t="str">
        <f t="shared" si="144"/>
        <v/>
      </c>
      <c r="MC12" s="40" t="str">
        <f t="shared" si="145"/>
        <v/>
      </c>
      <c r="MD12" s="40" t="str">
        <f t="shared" si="146"/>
        <v/>
      </c>
      <c r="ME12" s="40" t="str">
        <f t="shared" si="147"/>
        <v/>
      </c>
      <c r="MF12" s="40" t="str">
        <f t="shared" si="148"/>
        <v/>
      </c>
      <c r="MG12" s="40" t="str">
        <f t="shared" si="149"/>
        <v/>
      </c>
      <c r="MH12" s="18">
        <v>16.2</v>
      </c>
      <c r="MI12" s="18">
        <v>9</v>
      </c>
      <c r="MJ12" s="18">
        <v>16.2</v>
      </c>
      <c r="MK12" s="18">
        <v>17.309999999999999</v>
      </c>
      <c r="ML12" s="18">
        <v>0</v>
      </c>
      <c r="MM12" s="18"/>
      <c r="MN12" s="18"/>
      <c r="MO12" s="18"/>
      <c r="MP12" s="18"/>
      <c r="MQ12" s="18"/>
      <c r="MR12" s="18">
        <v>1.6</v>
      </c>
      <c r="MS12" s="18">
        <v>1</v>
      </c>
      <c r="MT12" s="18">
        <v>2</v>
      </c>
      <c r="MU12" s="18">
        <v>1.83</v>
      </c>
      <c r="MV12" s="18">
        <v>0</v>
      </c>
      <c r="MW12" s="18"/>
      <c r="MX12" s="18"/>
      <c r="MY12" s="18"/>
      <c r="MZ12" s="18"/>
      <c r="NA12" s="18"/>
      <c r="NB12" s="11">
        <f t="shared" si="150"/>
        <v>16.2</v>
      </c>
      <c r="NC12" s="11">
        <f t="shared" si="151"/>
        <v>17.309999999999999</v>
      </c>
      <c r="ND12" s="11">
        <f t="shared" si="152"/>
        <v>58.709999999999994</v>
      </c>
      <c r="NE12" s="11" t="str">
        <f t="shared" si="153"/>
        <v/>
      </c>
      <c r="NF12" s="11" t="str">
        <f t="shared" si="154"/>
        <v/>
      </c>
      <c r="NG12" s="11" t="str">
        <f t="shared" si="155"/>
        <v/>
      </c>
      <c r="NH12" s="11">
        <f t="shared" si="156"/>
        <v>58.709999999999994</v>
      </c>
      <c r="NI12" s="11">
        <f t="shared" si="157"/>
        <v>2</v>
      </c>
      <c r="NJ12" s="11">
        <f t="shared" si="158"/>
        <v>1.83</v>
      </c>
      <c r="NK12" s="11">
        <f t="shared" si="159"/>
        <v>6.43</v>
      </c>
      <c r="NL12" s="11" t="str">
        <f t="shared" si="160"/>
        <v/>
      </c>
      <c r="NM12" s="11" t="str">
        <f t="shared" si="161"/>
        <v/>
      </c>
      <c r="NN12" s="11" t="str">
        <f t="shared" si="162"/>
        <v/>
      </c>
      <c r="NO12" s="11">
        <f t="shared" si="163"/>
        <v>65.139999999999986</v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 t="shared" si="164"/>
        <v/>
      </c>
      <c r="OK12" s="40" t="str">
        <f t="shared" si="165"/>
        <v/>
      </c>
      <c r="OL12" s="40" t="str">
        <f t="shared" si="166"/>
        <v/>
      </c>
      <c r="OM12" s="40" t="str">
        <f t="shared" si="167"/>
        <v/>
      </c>
      <c r="ON12" s="40" t="str">
        <f t="shared" si="168"/>
        <v/>
      </c>
      <c r="OO12" s="40" t="str">
        <f t="shared" si="169"/>
        <v/>
      </c>
      <c r="OP12" s="40" t="str">
        <f t="shared" si="170"/>
        <v/>
      </c>
      <c r="OQ12" s="40" t="str">
        <f t="shared" si="171"/>
        <v/>
      </c>
      <c r="OR12" s="40" t="str">
        <f t="shared" si="172"/>
        <v/>
      </c>
      <c r="OS12" s="40" t="str">
        <f t="shared" si="173"/>
        <v/>
      </c>
      <c r="OT12" s="40" t="str">
        <f t="shared" si="174"/>
        <v/>
      </c>
      <c r="OU12" s="40" t="str">
        <f t="shared" si="175"/>
        <v/>
      </c>
      <c r="OV12" s="40" t="str">
        <f t="shared" si="176"/>
        <v/>
      </c>
      <c r="OW12" s="40" t="str">
        <f t="shared" si="177"/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 t="shared" si="178"/>
        <v/>
      </c>
      <c r="PS12" s="11" t="str">
        <f t="shared" si="179"/>
        <v/>
      </c>
      <c r="PT12" s="11" t="str">
        <f t="shared" si="180"/>
        <v/>
      </c>
      <c r="PU12" s="11" t="str">
        <f t="shared" si="181"/>
        <v/>
      </c>
      <c r="PV12" s="11" t="str">
        <f t="shared" si="182"/>
        <v/>
      </c>
      <c r="PW12" s="11" t="str">
        <f t="shared" si="183"/>
        <v/>
      </c>
      <c r="PX12" s="11" t="str">
        <f t="shared" si="184"/>
        <v/>
      </c>
      <c r="PY12" s="11" t="str">
        <f t="shared" si="185"/>
        <v/>
      </c>
      <c r="PZ12" s="11" t="str">
        <f t="shared" si="186"/>
        <v/>
      </c>
      <c r="QA12" s="11" t="str">
        <f t="shared" si="187"/>
        <v/>
      </c>
      <c r="QB12" s="11" t="str">
        <f t="shared" si="188"/>
        <v/>
      </c>
      <c r="QC12" s="11" t="str">
        <f t="shared" si="189"/>
        <v/>
      </c>
      <c r="QD12" s="11" t="str">
        <f t="shared" si="190"/>
        <v/>
      </c>
      <c r="QE12" s="11" t="str">
        <f t="shared" si="191"/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 t="shared" si="192"/>
        <v/>
      </c>
      <c r="RA12" s="40" t="str">
        <f t="shared" si="193"/>
        <v/>
      </c>
      <c r="RB12" s="40" t="str">
        <f t="shared" si="194"/>
        <v/>
      </c>
      <c r="RC12" s="40" t="str">
        <f t="shared" si="195"/>
        <v/>
      </c>
      <c r="RD12" s="40" t="str">
        <f t="shared" si="196"/>
        <v/>
      </c>
      <c r="RE12" s="40" t="str">
        <f t="shared" si="197"/>
        <v/>
      </c>
      <c r="RF12" s="40" t="str">
        <f t="shared" si="198"/>
        <v/>
      </c>
      <c r="RG12" s="40" t="str">
        <f t="shared" si="199"/>
        <v/>
      </c>
      <c r="RH12" s="40" t="str">
        <f t="shared" si="200"/>
        <v/>
      </c>
      <c r="RI12" s="40" t="str">
        <f t="shared" si="201"/>
        <v/>
      </c>
      <c r="RJ12" s="40" t="str">
        <f t="shared" si="202"/>
        <v/>
      </c>
      <c r="RK12" s="40" t="str">
        <f t="shared" si="203"/>
        <v/>
      </c>
      <c r="RL12" s="40" t="str">
        <f t="shared" si="204"/>
        <v/>
      </c>
      <c r="RM12" s="40" t="str">
        <f t="shared" si="205"/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 t="shared" si="206"/>
        <v/>
      </c>
      <c r="SI12" s="11" t="str">
        <f t="shared" si="207"/>
        <v/>
      </c>
      <c r="SJ12" s="11" t="str">
        <f t="shared" si="208"/>
        <v/>
      </c>
      <c r="SK12" s="11" t="str">
        <f t="shared" si="209"/>
        <v/>
      </c>
      <c r="SL12" s="11" t="str">
        <f t="shared" si="210"/>
        <v/>
      </c>
      <c r="SM12" s="11" t="str">
        <f t="shared" si="211"/>
        <v/>
      </c>
      <c r="SN12" s="11" t="str">
        <f t="shared" si="212"/>
        <v/>
      </c>
      <c r="SO12" s="11" t="str">
        <f t="shared" si="213"/>
        <v/>
      </c>
      <c r="SP12" s="11" t="str">
        <f t="shared" si="214"/>
        <v/>
      </c>
      <c r="SQ12" s="11" t="str">
        <f t="shared" si="215"/>
        <v/>
      </c>
      <c r="SR12" s="11" t="str">
        <f t="shared" si="216"/>
        <v/>
      </c>
      <c r="SS12" s="11" t="str">
        <f t="shared" si="217"/>
        <v/>
      </c>
      <c r="ST12" s="11" t="str">
        <f t="shared" si="218"/>
        <v/>
      </c>
      <c r="SU12" s="11" t="str">
        <f t="shared" si="219"/>
        <v/>
      </c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17"/>
      <c r="TI12" s="17"/>
      <c r="TJ12" s="17"/>
      <c r="TK12" s="17"/>
      <c r="TL12" s="17"/>
      <c r="TM12" s="17"/>
      <c r="TN12" s="17"/>
      <c r="TO12" s="17"/>
      <c r="TP12" s="40" t="str">
        <f t="shared" si="220"/>
        <v/>
      </c>
      <c r="TQ12" s="40" t="str">
        <f t="shared" si="221"/>
        <v/>
      </c>
      <c r="TR12" s="40" t="str">
        <f t="shared" si="222"/>
        <v/>
      </c>
      <c r="TS12" s="40" t="str">
        <f t="shared" si="223"/>
        <v/>
      </c>
      <c r="TT12" s="40" t="str">
        <f t="shared" si="224"/>
        <v/>
      </c>
      <c r="TU12" s="40" t="str">
        <f t="shared" si="225"/>
        <v/>
      </c>
      <c r="TV12" s="40" t="str">
        <f t="shared" si="226"/>
        <v/>
      </c>
      <c r="TW12" s="40" t="str">
        <f t="shared" si="227"/>
        <v/>
      </c>
      <c r="TX12" s="40" t="str">
        <f t="shared" si="228"/>
        <v/>
      </c>
      <c r="TY12" s="40" t="str">
        <f t="shared" si="229"/>
        <v/>
      </c>
      <c r="TZ12" s="40" t="str">
        <f t="shared" si="230"/>
        <v/>
      </c>
      <c r="UA12" s="40" t="str">
        <f t="shared" si="231"/>
        <v/>
      </c>
      <c r="UB12" s="40" t="str">
        <f t="shared" si="232"/>
        <v/>
      </c>
      <c r="UC12" s="40" t="str">
        <f t="shared" si="233"/>
        <v/>
      </c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8"/>
      <c r="UQ12" s="18"/>
      <c r="UR12" s="18"/>
      <c r="US12" s="18"/>
      <c r="UT12" s="18"/>
      <c r="UU12" s="18"/>
      <c r="UV12" s="18"/>
      <c r="UW12" s="18"/>
      <c r="UX12" s="11" t="str">
        <f t="shared" si="234"/>
        <v/>
      </c>
      <c r="UY12" s="11" t="str">
        <f t="shared" si="235"/>
        <v/>
      </c>
      <c r="UZ12" s="11" t="str">
        <f t="shared" si="236"/>
        <v/>
      </c>
      <c r="VA12" s="11" t="str">
        <f t="shared" si="237"/>
        <v/>
      </c>
      <c r="VB12" s="11" t="str">
        <f t="shared" si="238"/>
        <v/>
      </c>
      <c r="VC12" s="11" t="str">
        <f t="shared" si="239"/>
        <v/>
      </c>
      <c r="VD12" s="11" t="str">
        <f t="shared" si="240"/>
        <v/>
      </c>
      <c r="VE12" s="11" t="str">
        <f t="shared" si="241"/>
        <v/>
      </c>
      <c r="VF12" s="11" t="str">
        <f t="shared" si="242"/>
        <v/>
      </c>
      <c r="VG12" s="11" t="str">
        <f t="shared" si="243"/>
        <v/>
      </c>
      <c r="VH12" s="11" t="str">
        <f t="shared" si="244"/>
        <v/>
      </c>
      <c r="VI12" s="11" t="str">
        <f t="shared" si="245"/>
        <v/>
      </c>
      <c r="VJ12" s="11" t="str">
        <f t="shared" si="246"/>
        <v/>
      </c>
      <c r="VK12" s="11" t="str">
        <f t="shared" si="247"/>
        <v/>
      </c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17"/>
      <c r="VY12" s="17"/>
      <c r="VZ12" s="17"/>
      <c r="WA12" s="17"/>
      <c r="WB12" s="17"/>
      <c r="WC12" s="17"/>
      <c r="WD12" s="17"/>
      <c r="WE12" s="17"/>
      <c r="WF12" s="40" t="str">
        <f t="shared" si="248"/>
        <v/>
      </c>
      <c r="WG12" s="40" t="str">
        <f t="shared" si="249"/>
        <v/>
      </c>
      <c r="WH12" s="40" t="str">
        <f t="shared" si="250"/>
        <v/>
      </c>
      <c r="WI12" s="40" t="str">
        <f t="shared" si="251"/>
        <v/>
      </c>
      <c r="WJ12" s="40" t="str">
        <f t="shared" si="252"/>
        <v/>
      </c>
      <c r="WK12" s="40" t="str">
        <f t="shared" si="253"/>
        <v/>
      </c>
      <c r="WL12" s="40" t="str">
        <f t="shared" si="254"/>
        <v/>
      </c>
      <c r="WM12" s="40" t="str">
        <f t="shared" si="255"/>
        <v/>
      </c>
      <c r="WN12" s="40" t="str">
        <f t="shared" si="256"/>
        <v/>
      </c>
      <c r="WO12" s="40" t="str">
        <f t="shared" si="257"/>
        <v/>
      </c>
      <c r="WP12" s="40" t="str">
        <f t="shared" si="258"/>
        <v/>
      </c>
      <c r="WQ12" s="40" t="str">
        <f t="shared" si="259"/>
        <v/>
      </c>
      <c r="WR12" s="40" t="str">
        <f t="shared" si="260"/>
        <v/>
      </c>
      <c r="WS12" s="40" t="str">
        <f t="shared" si="261"/>
        <v/>
      </c>
      <c r="WT12" s="26">
        <f t="shared" si="262"/>
        <v>6.65</v>
      </c>
      <c r="WU12" s="26">
        <f t="shared" si="263"/>
        <v>3.35</v>
      </c>
      <c r="WV12" s="26">
        <f t="shared" si="264"/>
        <v>6.9</v>
      </c>
      <c r="WW12" s="26">
        <f t="shared" si="265"/>
        <v>6.8149999999999995</v>
      </c>
      <c r="WX12" s="26">
        <f t="shared" si="266"/>
        <v>0</v>
      </c>
      <c r="WY12" s="26">
        <f t="shared" si="267"/>
        <v>9.1</v>
      </c>
      <c r="WZ12" s="26">
        <f t="shared" si="268"/>
        <v>5.0999999999999996</v>
      </c>
      <c r="XA12" s="26">
        <f t="shared" si="269"/>
        <v>9.25</v>
      </c>
      <c r="XB12" s="26">
        <f t="shared" si="270"/>
        <v>9.2149999999999999</v>
      </c>
      <c r="XC12" s="26">
        <f t="shared" si="271"/>
        <v>0</v>
      </c>
      <c r="XD12" s="26">
        <f t="shared" si="272"/>
        <v>8.1</v>
      </c>
      <c r="XE12" s="26">
        <f t="shared" si="273"/>
        <v>4.1500000000000004</v>
      </c>
      <c r="XF12" s="26">
        <f t="shared" si="274"/>
        <v>8.25</v>
      </c>
      <c r="XG12" s="26">
        <f t="shared" si="275"/>
        <v>8.3849999999999998</v>
      </c>
      <c r="XH12" s="26">
        <f t="shared" si="276"/>
        <v>0</v>
      </c>
      <c r="XI12" s="28" t="s">
        <v>53</v>
      </c>
      <c r="XJ12" s="11">
        <f t="shared" si="277"/>
        <v>6.9</v>
      </c>
      <c r="XK12" s="11">
        <f t="shared" si="278"/>
        <v>6.8149999999999995</v>
      </c>
      <c r="XL12" s="11">
        <f t="shared" si="279"/>
        <v>23.714999999999996</v>
      </c>
      <c r="XM12" s="11">
        <f t="shared" si="280"/>
        <v>9.25</v>
      </c>
      <c r="XN12" s="11">
        <f t="shared" si="281"/>
        <v>9.2149999999999999</v>
      </c>
      <c r="XO12" s="11">
        <f t="shared" si="282"/>
        <v>32.664999999999999</v>
      </c>
      <c r="XP12" s="11">
        <f t="shared" si="283"/>
        <v>32.664999999999999</v>
      </c>
      <c r="XQ12" s="11">
        <f t="shared" si="284"/>
        <v>8.25</v>
      </c>
      <c r="XR12" s="11">
        <f t="shared" si="285"/>
        <v>8.3849999999999998</v>
      </c>
      <c r="XS12" s="11">
        <f t="shared" si="286"/>
        <v>28.884999999999998</v>
      </c>
      <c r="XT12" s="11">
        <f t="shared" si="287"/>
        <v>61.55</v>
      </c>
    </row>
    <row r="13" spans="1:644" x14ac:dyDescent="0.2">
      <c r="A13" s="4" cm="1">
        <f t="array" ref="A13">IF(AND(H13&lt;&gt;"",H13&lt;&gt;"No DD"),SUMPRODUCT((H$4:H$25&lt;&gt;"")*(H$4:H$25&lt;&gt;"No DD")*(E$4:E$25&gt;E13))+1,IF(H13="No DD",SUMPRODUCT((H$4:H$25="No DD")*(E$4:E$25&gt;E13))+1+SUMPRODUCT((H$4:H$25&lt;&gt;"")*(H$4:H$25&lt;&gt;"No DD")),""))</f>
        <v>10</v>
      </c>
      <c r="B13" s="5" t="s">
        <v>185</v>
      </c>
      <c r="C13" s="4" t="s">
        <v>5</v>
      </c>
      <c r="D13" s="4">
        <v>2007</v>
      </c>
      <c r="E13" s="9">
        <f t="shared" si="0"/>
        <v>231.02002283800533</v>
      </c>
      <c r="F13" s="3" t="str">
        <f t="shared" si="1"/>
        <v/>
      </c>
      <c r="G13" s="3" t="str">
        <f t="shared" si="2"/>
        <v>P</v>
      </c>
      <c r="H13" s="36" t="str">
        <f t="shared" si="3"/>
        <v>No DD</v>
      </c>
      <c r="I13" s="3" t="str">
        <f t="shared" si="4"/>
        <v/>
      </c>
      <c r="J13" s="8">
        <f>IF(COUNT(AQ13,AT13,BR13,BU13,CS13,CV13)&gt;0,LARGE((AQ13,AT13,BR13,BU13,CS13,CV13),1),0)</f>
        <v>53.56</v>
      </c>
      <c r="K13" s="8" t="str">
        <f t="shared" si="5"/>
        <v>2024 Nationals</v>
      </c>
      <c r="L13" s="8">
        <f>IF(COUNT(AQ13,AT13,BR13,BU13,CS13,CV13)&gt;1,LARGE((AQ13,AT13,BR13,BU13,CS13,CV13),2),0)</f>
        <v>53.5</v>
      </c>
      <c r="M13" s="8" t="str">
        <f t="shared" si="6"/>
        <v>2024 Elite Canada</v>
      </c>
      <c r="N13" s="8">
        <f>IF(COUNT(AQ13,AT13,BR13,BU13,CS13,CV13)&gt;2,LARGE((AQ13,AT13,BR13,BU13,CS13,CV13),3),0)</f>
        <v>52.739999999999995</v>
      </c>
      <c r="O13" s="8" t="str">
        <f t="shared" si="7"/>
        <v>2024 Elite Canada</v>
      </c>
      <c r="P13" s="8">
        <f t="shared" si="8"/>
        <v>54.58</v>
      </c>
      <c r="Q13" s="8" t="str">
        <f t="shared" si="9"/>
        <v>2024 Nationals</v>
      </c>
      <c r="R13" s="8">
        <f t="shared" si="10"/>
        <v>14</v>
      </c>
      <c r="S13" s="8" t="str">
        <f t="shared" si="11"/>
        <v>2024 Elite Canada</v>
      </c>
      <c r="T13" s="8">
        <f t="shared" si="12"/>
        <v>0</v>
      </c>
      <c r="U13" s="8" t="str">
        <f t="shared" si="13"/>
        <v/>
      </c>
      <c r="V13" s="8">
        <f t="shared" si="14"/>
        <v>2.6400000000000006</v>
      </c>
      <c r="W13" s="11" t="str">
        <f t="shared" si="15"/>
        <v>(Prelim)</v>
      </c>
      <c r="X13" s="8" t="str">
        <f t="shared" si="16"/>
        <v>2024 Coimbra Gym Fest (July 7)</v>
      </c>
      <c r="Y13" s="22">
        <v>15.3</v>
      </c>
      <c r="Z13" s="22">
        <v>9.1</v>
      </c>
      <c r="AA13" s="22">
        <v>13.4</v>
      </c>
      <c r="AB13" s="22">
        <v>15.04</v>
      </c>
      <c r="AC13" s="22">
        <v>0.1</v>
      </c>
      <c r="AD13" s="22">
        <v>15.1</v>
      </c>
      <c r="AE13" s="22">
        <v>9</v>
      </c>
      <c r="AF13" s="22">
        <v>14</v>
      </c>
      <c r="AG13" s="22">
        <v>15.4</v>
      </c>
      <c r="AH13" s="22">
        <v>0</v>
      </c>
      <c r="AI13" s="22">
        <v>11.1</v>
      </c>
      <c r="AJ13" s="22">
        <v>6.3</v>
      </c>
      <c r="AK13" s="22">
        <v>10.3</v>
      </c>
      <c r="AL13" s="22">
        <v>10.92</v>
      </c>
      <c r="AM13" s="22">
        <v>0</v>
      </c>
      <c r="AN13" s="27"/>
      <c r="AO13" s="38">
        <f t="shared" si="17"/>
        <v>13.4</v>
      </c>
      <c r="AP13" s="38">
        <f t="shared" si="18"/>
        <v>15.04</v>
      </c>
      <c r="AQ13" s="40">
        <f t="shared" si="19"/>
        <v>52.739999999999995</v>
      </c>
      <c r="AR13" s="40">
        <f t="shared" si="20"/>
        <v>14</v>
      </c>
      <c r="AS13" s="40">
        <f t="shared" si="21"/>
        <v>15.4</v>
      </c>
      <c r="AT13" s="40">
        <f t="shared" si="22"/>
        <v>53.5</v>
      </c>
      <c r="AU13" s="40">
        <f t="shared" si="23"/>
        <v>53.5</v>
      </c>
      <c r="AV13" s="40">
        <f t="shared" si="24"/>
        <v>10.3</v>
      </c>
      <c r="AW13" s="40">
        <f t="shared" si="25"/>
        <v>10.92</v>
      </c>
      <c r="AX13" s="40">
        <f t="shared" si="26"/>
        <v>38.619999999999997</v>
      </c>
      <c r="AY13" s="40">
        <f t="shared" si="27"/>
        <v>92.12</v>
      </c>
      <c r="AZ13" s="26">
        <v>15.5</v>
      </c>
      <c r="BA13" s="26">
        <v>9.3000000000000007</v>
      </c>
      <c r="BB13" s="26">
        <v>13.3</v>
      </c>
      <c r="BC13" s="26">
        <v>15.66</v>
      </c>
      <c r="BD13" s="26">
        <v>0.2</v>
      </c>
      <c r="BE13" s="26">
        <v>4.0999999999999996</v>
      </c>
      <c r="BF13" s="26">
        <v>2.7</v>
      </c>
      <c r="BG13" s="26">
        <v>4.7</v>
      </c>
      <c r="BH13" s="26">
        <v>4.71</v>
      </c>
      <c r="BI13" s="26">
        <v>0</v>
      </c>
      <c r="BJ13" s="26">
        <v>16.5</v>
      </c>
      <c r="BK13" s="26">
        <v>9</v>
      </c>
      <c r="BL13" s="26">
        <v>13.4</v>
      </c>
      <c r="BM13" s="26">
        <v>15.78</v>
      </c>
      <c r="BN13" s="26">
        <v>0.1</v>
      </c>
      <c r="BO13" s="28"/>
      <c r="BP13" s="39">
        <f t="shared" si="28"/>
        <v>13.3</v>
      </c>
      <c r="BQ13" s="39">
        <f t="shared" si="29"/>
        <v>15.66</v>
      </c>
      <c r="BR13" s="11">
        <f t="shared" si="30"/>
        <v>53.56</v>
      </c>
      <c r="BS13" s="11">
        <f t="shared" si="31"/>
        <v>4.7</v>
      </c>
      <c r="BT13" s="11">
        <f t="shared" si="32"/>
        <v>4.71</v>
      </c>
      <c r="BU13" s="11">
        <f t="shared" si="33"/>
        <v>16.21</v>
      </c>
      <c r="BV13" s="11">
        <f t="shared" si="34"/>
        <v>53.56</v>
      </c>
      <c r="BW13" s="11">
        <f t="shared" si="35"/>
        <v>13.4</v>
      </c>
      <c r="BX13" s="11">
        <f t="shared" si="36"/>
        <v>15.78</v>
      </c>
      <c r="BY13" s="11">
        <f t="shared" si="37"/>
        <v>54.58</v>
      </c>
      <c r="BZ13" s="11">
        <f t="shared" si="38"/>
        <v>108.14</v>
      </c>
      <c r="CA13" s="22">
        <v>11.9</v>
      </c>
      <c r="CB13" s="22">
        <v>6.2</v>
      </c>
      <c r="CC13" s="22">
        <v>10.3</v>
      </c>
      <c r="CD13" s="22">
        <v>12.19</v>
      </c>
      <c r="CE13" s="22">
        <v>0</v>
      </c>
      <c r="CF13" s="22">
        <v>15.3</v>
      </c>
      <c r="CG13" s="22">
        <v>7.9</v>
      </c>
      <c r="CH13" s="22">
        <v>13.2</v>
      </c>
      <c r="CI13" s="22">
        <v>15.51</v>
      </c>
      <c r="CJ13" s="22">
        <v>0</v>
      </c>
      <c r="CK13" s="22">
        <v>14.2</v>
      </c>
      <c r="CL13" s="22">
        <v>7.2</v>
      </c>
      <c r="CM13" s="22">
        <v>11.7</v>
      </c>
      <c r="CN13" s="22">
        <v>13.91</v>
      </c>
      <c r="CO13" s="22">
        <v>0</v>
      </c>
      <c r="CP13" s="27"/>
      <c r="CQ13" s="38">
        <f t="shared" si="39"/>
        <v>10.3</v>
      </c>
      <c r="CR13" s="38">
        <f t="shared" si="40"/>
        <v>12.19</v>
      </c>
      <c r="CS13" s="40">
        <f t="shared" si="41"/>
        <v>40.590000000000003</v>
      </c>
      <c r="CT13" s="40">
        <f t="shared" si="42"/>
        <v>13.2</v>
      </c>
      <c r="CU13" s="40">
        <f t="shared" si="43"/>
        <v>15.51</v>
      </c>
      <c r="CV13" s="40">
        <f t="shared" si="44"/>
        <v>51.910000000000004</v>
      </c>
      <c r="CW13" s="40">
        <f t="shared" si="45"/>
        <v>51.910000000000004</v>
      </c>
      <c r="CX13" s="40">
        <f t="shared" si="46"/>
        <v>11.7</v>
      </c>
      <c r="CY13" s="40">
        <f t="shared" si="47"/>
        <v>13.91</v>
      </c>
      <c r="CZ13" s="40">
        <f t="shared" si="48"/>
        <v>47.009999999999991</v>
      </c>
      <c r="DA13" s="40">
        <f t="shared" si="49"/>
        <v>98.919999999999987</v>
      </c>
      <c r="DB13" s="51">
        <f t="shared" si="50"/>
        <v>2.6400000000000006</v>
      </c>
      <c r="DC13" s="51" t="str">
        <f t="shared" si="51"/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 t="shared" si="52"/>
        <v/>
      </c>
      <c r="DY13" s="40" t="str">
        <f t="shared" si="53"/>
        <v/>
      </c>
      <c r="DZ13" s="40" t="str">
        <f t="shared" si="54"/>
        <v/>
      </c>
      <c r="EA13" s="40" t="str">
        <f t="shared" si="55"/>
        <v/>
      </c>
      <c r="EB13" s="40" t="str">
        <f t="shared" si="56"/>
        <v/>
      </c>
      <c r="EC13" s="40" t="str">
        <f t="shared" si="57"/>
        <v/>
      </c>
      <c r="ED13" s="40" t="str">
        <f t="shared" si="58"/>
        <v/>
      </c>
      <c r="EE13" s="40" t="str">
        <f t="shared" si="59"/>
        <v/>
      </c>
      <c r="EF13" s="40" t="str">
        <f t="shared" si="60"/>
        <v/>
      </c>
      <c r="EG13" s="40" t="str">
        <f t="shared" si="61"/>
        <v/>
      </c>
      <c r="EH13" s="40" t="str">
        <f t="shared" si="62"/>
        <v/>
      </c>
      <c r="EI13" s="40" t="str">
        <f t="shared" si="63"/>
        <v/>
      </c>
      <c r="EJ13" s="40" t="str">
        <f t="shared" si="64"/>
        <v/>
      </c>
      <c r="EK13" s="40" t="str">
        <f t="shared" si="65"/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 t="shared" si="66"/>
        <v/>
      </c>
      <c r="FG13" s="11" t="str">
        <f t="shared" si="67"/>
        <v/>
      </c>
      <c r="FH13" s="11" t="str">
        <f t="shared" si="68"/>
        <v/>
      </c>
      <c r="FI13" s="11" t="str">
        <f t="shared" si="69"/>
        <v/>
      </c>
      <c r="FJ13" s="11" t="str">
        <f t="shared" si="70"/>
        <v/>
      </c>
      <c r="FK13" s="11" t="str">
        <f t="shared" si="71"/>
        <v/>
      </c>
      <c r="FL13" s="11" t="str">
        <f t="shared" si="72"/>
        <v/>
      </c>
      <c r="FM13" s="11" t="str">
        <f t="shared" si="73"/>
        <v/>
      </c>
      <c r="FN13" s="11" t="str">
        <f t="shared" si="74"/>
        <v/>
      </c>
      <c r="FO13" s="11" t="str">
        <f t="shared" si="75"/>
        <v/>
      </c>
      <c r="FP13" s="11" t="str">
        <f t="shared" si="76"/>
        <v/>
      </c>
      <c r="FQ13" s="11" t="str">
        <f t="shared" si="77"/>
        <v/>
      </c>
      <c r="FR13" s="11" t="str">
        <f t="shared" si="78"/>
        <v/>
      </c>
      <c r="FS13" s="11" t="str">
        <f t="shared" si="79"/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 t="shared" si="80"/>
        <v/>
      </c>
      <c r="GO13" s="40" t="str">
        <f t="shared" si="81"/>
        <v/>
      </c>
      <c r="GP13" s="40" t="str">
        <f t="shared" si="82"/>
        <v/>
      </c>
      <c r="GQ13" s="40" t="str">
        <f t="shared" si="83"/>
        <v/>
      </c>
      <c r="GR13" s="40" t="str">
        <f t="shared" si="84"/>
        <v/>
      </c>
      <c r="GS13" s="40" t="str">
        <f t="shared" si="85"/>
        <v/>
      </c>
      <c r="GT13" s="40" t="str">
        <f t="shared" si="86"/>
        <v/>
      </c>
      <c r="GU13" s="40" t="str">
        <f t="shared" si="87"/>
        <v/>
      </c>
      <c r="GV13" s="40" t="str">
        <f t="shared" si="88"/>
        <v/>
      </c>
      <c r="GW13" s="40" t="str">
        <f t="shared" si="89"/>
        <v/>
      </c>
      <c r="GX13" s="40" t="str">
        <f t="shared" si="90"/>
        <v/>
      </c>
      <c r="GY13" s="40" t="str">
        <f t="shared" si="91"/>
        <v/>
      </c>
      <c r="GZ13" s="40" t="str">
        <f t="shared" si="92"/>
        <v/>
      </c>
      <c r="HA13" s="40" t="str">
        <f t="shared" si="93"/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 t="shared" si="94"/>
        <v/>
      </c>
      <c r="HW13" s="11" t="str">
        <f t="shared" si="95"/>
        <v/>
      </c>
      <c r="HX13" s="11" t="str">
        <f t="shared" si="96"/>
        <v/>
      </c>
      <c r="HY13" s="11" t="str">
        <f t="shared" si="97"/>
        <v/>
      </c>
      <c r="HZ13" s="11" t="str">
        <f t="shared" si="98"/>
        <v/>
      </c>
      <c r="IA13" s="11" t="str">
        <f t="shared" si="99"/>
        <v/>
      </c>
      <c r="IB13" s="11" t="str">
        <f t="shared" si="100"/>
        <v/>
      </c>
      <c r="IC13" s="11" t="str">
        <f t="shared" si="101"/>
        <v/>
      </c>
      <c r="ID13" s="11" t="str">
        <f t="shared" si="102"/>
        <v/>
      </c>
      <c r="IE13" s="11" t="str">
        <f t="shared" si="103"/>
        <v/>
      </c>
      <c r="IF13" s="11" t="str">
        <f t="shared" si="104"/>
        <v/>
      </c>
      <c r="IG13" s="11" t="str">
        <f t="shared" si="105"/>
        <v/>
      </c>
      <c r="IH13" s="11" t="str">
        <f t="shared" si="106"/>
        <v/>
      </c>
      <c r="II13" s="11" t="str">
        <f t="shared" si="107"/>
        <v/>
      </c>
      <c r="IJ13" s="17">
        <v>1.6</v>
      </c>
      <c r="IK13" s="17">
        <v>0.9</v>
      </c>
      <c r="IL13" s="17">
        <v>2</v>
      </c>
      <c r="IM13" s="17">
        <v>1.75</v>
      </c>
      <c r="IN13" s="17">
        <v>0</v>
      </c>
      <c r="IO13" s="17">
        <v>7.6</v>
      </c>
      <c r="IP13" s="17">
        <v>4.5</v>
      </c>
      <c r="IQ13" s="17">
        <v>7</v>
      </c>
      <c r="IR13" s="17">
        <v>8.17</v>
      </c>
      <c r="IS13" s="17">
        <v>0</v>
      </c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>
        <f t="shared" si="108"/>
        <v>2</v>
      </c>
      <c r="JE13" s="40">
        <f t="shared" si="109"/>
        <v>1.75</v>
      </c>
      <c r="JF13" s="40">
        <f t="shared" si="110"/>
        <v>6.25</v>
      </c>
      <c r="JG13" s="40">
        <f t="shared" si="111"/>
        <v>7</v>
      </c>
      <c r="JH13" s="40">
        <f t="shared" si="112"/>
        <v>8.17</v>
      </c>
      <c r="JI13" s="40">
        <f t="shared" si="113"/>
        <v>27.270000000000003</v>
      </c>
      <c r="JJ13" s="40">
        <f t="shared" si="114"/>
        <v>27.270000000000003</v>
      </c>
      <c r="JK13" s="40" t="str">
        <f t="shared" si="115"/>
        <v/>
      </c>
      <c r="JL13" s="40" t="str">
        <f t="shared" si="116"/>
        <v/>
      </c>
      <c r="JM13" s="40" t="str">
        <f t="shared" si="117"/>
        <v/>
      </c>
      <c r="JN13" s="40" t="str">
        <f t="shared" si="118"/>
        <v/>
      </c>
      <c r="JO13" s="40" t="str">
        <f t="shared" si="119"/>
        <v/>
      </c>
      <c r="JP13" s="40" t="str">
        <f t="shared" si="120"/>
        <v/>
      </c>
      <c r="JQ13" s="40">
        <f t="shared" si="121"/>
        <v>27.270000000000003</v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 t="shared" si="122"/>
        <v/>
      </c>
      <c r="KM13" s="11" t="str">
        <f t="shared" si="123"/>
        <v/>
      </c>
      <c r="KN13" s="11" t="str">
        <f t="shared" si="124"/>
        <v/>
      </c>
      <c r="KO13" s="11" t="str">
        <f t="shared" si="125"/>
        <v/>
      </c>
      <c r="KP13" s="11" t="str">
        <f t="shared" si="126"/>
        <v/>
      </c>
      <c r="KQ13" s="11" t="str">
        <f t="shared" si="127"/>
        <v/>
      </c>
      <c r="KR13" s="11" t="str">
        <f t="shared" si="128"/>
        <v/>
      </c>
      <c r="KS13" s="11" t="str">
        <f t="shared" si="129"/>
        <v/>
      </c>
      <c r="KT13" s="11" t="str">
        <f t="shared" si="130"/>
        <v/>
      </c>
      <c r="KU13" s="11" t="str">
        <f t="shared" si="131"/>
        <v/>
      </c>
      <c r="KV13" s="11" t="str">
        <f t="shared" si="132"/>
        <v/>
      </c>
      <c r="KW13" s="11" t="str">
        <f t="shared" si="133"/>
        <v/>
      </c>
      <c r="KX13" s="11" t="str">
        <f t="shared" si="134"/>
        <v/>
      </c>
      <c r="KY13" s="11" t="str">
        <f t="shared" si="135"/>
        <v/>
      </c>
      <c r="KZ13" s="17">
        <v>15.5</v>
      </c>
      <c r="LA13" s="17">
        <v>9.8000000000000007</v>
      </c>
      <c r="LB13" s="17">
        <v>14</v>
      </c>
      <c r="LC13" s="17">
        <v>16.079999999999998</v>
      </c>
      <c r="LD13" s="17">
        <v>0</v>
      </c>
      <c r="LE13" s="17">
        <v>12.1</v>
      </c>
      <c r="LF13" s="17">
        <v>7</v>
      </c>
      <c r="LG13" s="17">
        <v>9.6999999999999993</v>
      </c>
      <c r="LH13" s="17">
        <v>13.08</v>
      </c>
      <c r="LI13" s="17">
        <v>0</v>
      </c>
      <c r="LJ13" s="17">
        <v>10.3</v>
      </c>
      <c r="LK13" s="17">
        <v>6.2</v>
      </c>
      <c r="LL13" s="17">
        <v>10.3</v>
      </c>
      <c r="LM13" s="17">
        <v>11.26</v>
      </c>
      <c r="LN13" s="17">
        <v>0</v>
      </c>
      <c r="LO13" s="17"/>
      <c r="LP13" s="17"/>
      <c r="LQ13" s="17"/>
      <c r="LR13" s="17"/>
      <c r="LS13" s="17"/>
      <c r="LT13" s="40">
        <f t="shared" si="136"/>
        <v>14</v>
      </c>
      <c r="LU13" s="40">
        <f t="shared" si="137"/>
        <v>16.079999999999998</v>
      </c>
      <c r="LV13" s="40">
        <f t="shared" si="138"/>
        <v>55.379999999999995</v>
      </c>
      <c r="LW13" s="40">
        <f t="shared" si="139"/>
        <v>9.6999999999999993</v>
      </c>
      <c r="LX13" s="40">
        <f t="shared" si="140"/>
        <v>13.08</v>
      </c>
      <c r="LY13" s="40">
        <f t="shared" si="141"/>
        <v>41.88</v>
      </c>
      <c r="LZ13" s="40">
        <f t="shared" si="142"/>
        <v>55.379999999999995</v>
      </c>
      <c r="MA13" s="40">
        <f t="shared" si="143"/>
        <v>10.3</v>
      </c>
      <c r="MB13" s="40">
        <f t="shared" si="144"/>
        <v>11.26</v>
      </c>
      <c r="MC13" s="40">
        <f t="shared" si="145"/>
        <v>38.06</v>
      </c>
      <c r="MD13" s="40" t="str">
        <f t="shared" si="146"/>
        <v/>
      </c>
      <c r="ME13" s="40" t="str">
        <f t="shared" si="147"/>
        <v/>
      </c>
      <c r="MF13" s="40" t="str">
        <f t="shared" si="148"/>
        <v/>
      </c>
      <c r="MG13" s="40">
        <f t="shared" si="149"/>
        <v>93.44</v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 t="shared" si="150"/>
        <v/>
      </c>
      <c r="NC13" s="11" t="str">
        <f t="shared" si="151"/>
        <v/>
      </c>
      <c r="ND13" s="11" t="str">
        <f t="shared" si="152"/>
        <v/>
      </c>
      <c r="NE13" s="11" t="str">
        <f t="shared" si="153"/>
        <v/>
      </c>
      <c r="NF13" s="11" t="str">
        <f t="shared" si="154"/>
        <v/>
      </c>
      <c r="NG13" s="11" t="str">
        <f t="shared" si="155"/>
        <v/>
      </c>
      <c r="NH13" s="11" t="str">
        <f t="shared" si="156"/>
        <v/>
      </c>
      <c r="NI13" s="11" t="str">
        <f t="shared" si="157"/>
        <v/>
      </c>
      <c r="NJ13" s="11" t="str">
        <f t="shared" si="158"/>
        <v/>
      </c>
      <c r="NK13" s="11" t="str">
        <f t="shared" si="159"/>
        <v/>
      </c>
      <c r="NL13" s="11" t="str">
        <f t="shared" si="160"/>
        <v/>
      </c>
      <c r="NM13" s="11" t="str">
        <f t="shared" si="161"/>
        <v/>
      </c>
      <c r="NN13" s="11" t="str">
        <f t="shared" si="162"/>
        <v/>
      </c>
      <c r="NO13" s="11" t="str">
        <f t="shared" si="163"/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 t="shared" si="164"/>
        <v/>
      </c>
      <c r="OK13" s="40" t="str">
        <f t="shared" si="165"/>
        <v/>
      </c>
      <c r="OL13" s="40" t="str">
        <f t="shared" si="166"/>
        <v/>
      </c>
      <c r="OM13" s="40" t="str">
        <f t="shared" si="167"/>
        <v/>
      </c>
      <c r="ON13" s="40" t="str">
        <f t="shared" si="168"/>
        <v/>
      </c>
      <c r="OO13" s="40" t="str">
        <f t="shared" si="169"/>
        <v/>
      </c>
      <c r="OP13" s="40" t="str">
        <f t="shared" si="170"/>
        <v/>
      </c>
      <c r="OQ13" s="40" t="str">
        <f t="shared" si="171"/>
        <v/>
      </c>
      <c r="OR13" s="40" t="str">
        <f t="shared" si="172"/>
        <v/>
      </c>
      <c r="OS13" s="40" t="str">
        <f t="shared" si="173"/>
        <v/>
      </c>
      <c r="OT13" s="40" t="str">
        <f t="shared" si="174"/>
        <v/>
      </c>
      <c r="OU13" s="40" t="str">
        <f t="shared" si="175"/>
        <v/>
      </c>
      <c r="OV13" s="40" t="str">
        <f t="shared" si="176"/>
        <v/>
      </c>
      <c r="OW13" s="40" t="str">
        <f t="shared" si="177"/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 t="shared" si="178"/>
        <v/>
      </c>
      <c r="PS13" s="11" t="str">
        <f t="shared" si="179"/>
        <v/>
      </c>
      <c r="PT13" s="11" t="str">
        <f t="shared" si="180"/>
        <v/>
      </c>
      <c r="PU13" s="11" t="str">
        <f t="shared" si="181"/>
        <v/>
      </c>
      <c r="PV13" s="11" t="str">
        <f t="shared" si="182"/>
        <v/>
      </c>
      <c r="PW13" s="11" t="str">
        <f t="shared" si="183"/>
        <v/>
      </c>
      <c r="PX13" s="11" t="str">
        <f t="shared" si="184"/>
        <v/>
      </c>
      <c r="PY13" s="11" t="str">
        <f t="shared" si="185"/>
        <v/>
      </c>
      <c r="PZ13" s="11" t="str">
        <f t="shared" si="186"/>
        <v/>
      </c>
      <c r="QA13" s="11" t="str">
        <f t="shared" si="187"/>
        <v/>
      </c>
      <c r="QB13" s="11" t="str">
        <f t="shared" si="188"/>
        <v/>
      </c>
      <c r="QC13" s="11" t="str">
        <f t="shared" si="189"/>
        <v/>
      </c>
      <c r="QD13" s="11" t="str">
        <f t="shared" si="190"/>
        <v/>
      </c>
      <c r="QE13" s="11" t="str">
        <f t="shared" si="191"/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 t="shared" si="192"/>
        <v/>
      </c>
      <c r="RA13" s="40" t="str">
        <f t="shared" si="193"/>
        <v/>
      </c>
      <c r="RB13" s="40" t="str">
        <f t="shared" si="194"/>
        <v/>
      </c>
      <c r="RC13" s="40" t="str">
        <f t="shared" si="195"/>
        <v/>
      </c>
      <c r="RD13" s="40" t="str">
        <f t="shared" si="196"/>
        <v/>
      </c>
      <c r="RE13" s="40" t="str">
        <f t="shared" si="197"/>
        <v/>
      </c>
      <c r="RF13" s="40" t="str">
        <f t="shared" si="198"/>
        <v/>
      </c>
      <c r="RG13" s="40" t="str">
        <f t="shared" si="199"/>
        <v/>
      </c>
      <c r="RH13" s="40" t="str">
        <f t="shared" si="200"/>
        <v/>
      </c>
      <c r="RI13" s="40" t="str">
        <f t="shared" si="201"/>
        <v/>
      </c>
      <c r="RJ13" s="40" t="str">
        <f t="shared" si="202"/>
        <v/>
      </c>
      <c r="RK13" s="40" t="str">
        <f t="shared" si="203"/>
        <v/>
      </c>
      <c r="RL13" s="40" t="str">
        <f t="shared" si="204"/>
        <v/>
      </c>
      <c r="RM13" s="40" t="str">
        <f t="shared" si="205"/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 t="shared" si="206"/>
        <v/>
      </c>
      <c r="SI13" s="11" t="str">
        <f t="shared" si="207"/>
        <v/>
      </c>
      <c r="SJ13" s="11" t="str">
        <f t="shared" si="208"/>
        <v/>
      </c>
      <c r="SK13" s="11" t="str">
        <f t="shared" si="209"/>
        <v/>
      </c>
      <c r="SL13" s="11" t="str">
        <f t="shared" si="210"/>
        <v/>
      </c>
      <c r="SM13" s="11" t="str">
        <f t="shared" si="211"/>
        <v/>
      </c>
      <c r="SN13" s="11" t="str">
        <f t="shared" si="212"/>
        <v/>
      </c>
      <c r="SO13" s="11" t="str">
        <f t="shared" si="213"/>
        <v/>
      </c>
      <c r="SP13" s="11" t="str">
        <f t="shared" si="214"/>
        <v/>
      </c>
      <c r="SQ13" s="11" t="str">
        <f t="shared" si="215"/>
        <v/>
      </c>
      <c r="SR13" s="11" t="str">
        <f t="shared" si="216"/>
        <v/>
      </c>
      <c r="SS13" s="11" t="str">
        <f t="shared" si="217"/>
        <v/>
      </c>
      <c r="ST13" s="11" t="str">
        <f t="shared" si="218"/>
        <v/>
      </c>
      <c r="SU13" s="11" t="str">
        <f t="shared" si="219"/>
        <v/>
      </c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40" t="str">
        <f t="shared" si="220"/>
        <v/>
      </c>
      <c r="TQ13" s="40" t="str">
        <f t="shared" si="221"/>
        <v/>
      </c>
      <c r="TR13" s="40" t="str">
        <f t="shared" si="222"/>
        <v/>
      </c>
      <c r="TS13" s="40" t="str">
        <f t="shared" si="223"/>
        <v/>
      </c>
      <c r="TT13" s="40" t="str">
        <f t="shared" si="224"/>
        <v/>
      </c>
      <c r="TU13" s="40" t="str">
        <f t="shared" si="225"/>
        <v/>
      </c>
      <c r="TV13" s="40" t="str">
        <f t="shared" si="226"/>
        <v/>
      </c>
      <c r="TW13" s="40" t="str">
        <f t="shared" si="227"/>
        <v/>
      </c>
      <c r="TX13" s="40" t="str">
        <f t="shared" si="228"/>
        <v/>
      </c>
      <c r="TY13" s="40" t="str">
        <f t="shared" si="229"/>
        <v/>
      </c>
      <c r="TZ13" s="40" t="str">
        <f t="shared" si="230"/>
        <v/>
      </c>
      <c r="UA13" s="40" t="str">
        <f t="shared" si="231"/>
        <v/>
      </c>
      <c r="UB13" s="40" t="str">
        <f t="shared" si="232"/>
        <v/>
      </c>
      <c r="UC13" s="40" t="str">
        <f t="shared" si="233"/>
        <v/>
      </c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8"/>
      <c r="UQ13" s="18"/>
      <c r="UR13" s="18"/>
      <c r="US13" s="18"/>
      <c r="UT13" s="18"/>
      <c r="UU13" s="18"/>
      <c r="UV13" s="18"/>
      <c r="UW13" s="18"/>
      <c r="UX13" s="11" t="str">
        <f t="shared" si="234"/>
        <v/>
      </c>
      <c r="UY13" s="11" t="str">
        <f t="shared" si="235"/>
        <v/>
      </c>
      <c r="UZ13" s="11" t="str">
        <f t="shared" si="236"/>
        <v/>
      </c>
      <c r="VA13" s="11" t="str">
        <f t="shared" si="237"/>
        <v/>
      </c>
      <c r="VB13" s="11" t="str">
        <f t="shared" si="238"/>
        <v/>
      </c>
      <c r="VC13" s="11" t="str">
        <f t="shared" si="239"/>
        <v/>
      </c>
      <c r="VD13" s="11" t="str">
        <f t="shared" si="240"/>
        <v/>
      </c>
      <c r="VE13" s="11" t="str">
        <f t="shared" si="241"/>
        <v/>
      </c>
      <c r="VF13" s="11" t="str">
        <f t="shared" si="242"/>
        <v/>
      </c>
      <c r="VG13" s="11" t="str">
        <f t="shared" si="243"/>
        <v/>
      </c>
      <c r="VH13" s="11" t="str">
        <f t="shared" si="244"/>
        <v/>
      </c>
      <c r="VI13" s="11" t="str">
        <f t="shared" si="245"/>
        <v/>
      </c>
      <c r="VJ13" s="11" t="str">
        <f t="shared" si="246"/>
        <v/>
      </c>
      <c r="VK13" s="11" t="str">
        <f t="shared" si="247"/>
        <v/>
      </c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40" t="str">
        <f t="shared" si="248"/>
        <v/>
      </c>
      <c r="WG13" s="40" t="str">
        <f t="shared" si="249"/>
        <v/>
      </c>
      <c r="WH13" s="40" t="str">
        <f t="shared" si="250"/>
        <v/>
      </c>
      <c r="WI13" s="40" t="str">
        <f t="shared" si="251"/>
        <v/>
      </c>
      <c r="WJ13" s="40" t="str">
        <f t="shared" si="252"/>
        <v/>
      </c>
      <c r="WK13" s="40" t="str">
        <f t="shared" si="253"/>
        <v/>
      </c>
      <c r="WL13" s="40" t="str">
        <f t="shared" si="254"/>
        <v/>
      </c>
      <c r="WM13" s="40" t="str">
        <f t="shared" si="255"/>
        <v/>
      </c>
      <c r="WN13" s="40" t="str">
        <f t="shared" si="256"/>
        <v/>
      </c>
      <c r="WO13" s="40" t="str">
        <f t="shared" si="257"/>
        <v/>
      </c>
      <c r="WP13" s="40" t="str">
        <f t="shared" si="258"/>
        <v/>
      </c>
      <c r="WQ13" s="40" t="str">
        <f t="shared" si="259"/>
        <v/>
      </c>
      <c r="WR13" s="40" t="str">
        <f t="shared" si="260"/>
        <v/>
      </c>
      <c r="WS13" s="40" t="str">
        <f t="shared" si="261"/>
        <v/>
      </c>
      <c r="WT13" s="26">
        <f t="shared" si="262"/>
        <v>13.7</v>
      </c>
      <c r="WU13" s="26">
        <f t="shared" si="263"/>
        <v>7.75</v>
      </c>
      <c r="WV13" s="26">
        <f t="shared" si="264"/>
        <v>11.8</v>
      </c>
      <c r="WW13" s="26">
        <f t="shared" si="265"/>
        <v>13.925000000000001</v>
      </c>
      <c r="WX13" s="26">
        <f t="shared" si="266"/>
        <v>0.1</v>
      </c>
      <c r="WY13" s="26">
        <f t="shared" si="267"/>
        <v>9.6999999999999993</v>
      </c>
      <c r="WZ13" s="26">
        <f t="shared" si="268"/>
        <v>5.3000000000000007</v>
      </c>
      <c r="XA13" s="26">
        <f t="shared" si="269"/>
        <v>8.9499999999999993</v>
      </c>
      <c r="XB13" s="26">
        <f t="shared" si="270"/>
        <v>10.11</v>
      </c>
      <c r="XC13" s="26">
        <f t="shared" si="271"/>
        <v>0</v>
      </c>
      <c r="XD13" s="26">
        <f t="shared" si="272"/>
        <v>15.35</v>
      </c>
      <c r="XE13" s="26">
        <f t="shared" si="273"/>
        <v>8.1</v>
      </c>
      <c r="XF13" s="26">
        <f t="shared" si="274"/>
        <v>12.55</v>
      </c>
      <c r="XG13" s="26">
        <f t="shared" si="275"/>
        <v>14.844999999999999</v>
      </c>
      <c r="XH13" s="26">
        <f t="shared" si="276"/>
        <v>0.05</v>
      </c>
      <c r="XI13" s="28" t="s">
        <v>53</v>
      </c>
      <c r="XJ13" s="11">
        <f t="shared" si="277"/>
        <v>11.8</v>
      </c>
      <c r="XK13" s="11">
        <f t="shared" si="278"/>
        <v>13.925000000000001</v>
      </c>
      <c r="XL13" s="11">
        <f t="shared" si="279"/>
        <v>47.074999999999996</v>
      </c>
      <c r="XM13" s="11">
        <f t="shared" si="280"/>
        <v>8.9499999999999993</v>
      </c>
      <c r="XN13" s="11">
        <f t="shared" si="281"/>
        <v>10.11</v>
      </c>
      <c r="XO13" s="11">
        <f t="shared" si="282"/>
        <v>34.06</v>
      </c>
      <c r="XP13" s="11">
        <f t="shared" si="283"/>
        <v>47.074999999999996</v>
      </c>
      <c r="XQ13" s="11">
        <f t="shared" si="284"/>
        <v>12.55</v>
      </c>
      <c r="XR13" s="11">
        <f t="shared" si="285"/>
        <v>14.844999999999999</v>
      </c>
      <c r="XS13" s="11">
        <f t="shared" si="286"/>
        <v>50.795000000000002</v>
      </c>
      <c r="XT13" s="11">
        <f t="shared" si="287"/>
        <v>97.87</v>
      </c>
    </row>
    <row r="14" spans="1:644" x14ac:dyDescent="0.2">
      <c r="A14" s="4" cm="1">
        <f t="array" ref="A14">IF(AND(H14&lt;&gt;"",H14&lt;&gt;"No DD"),SUMPRODUCT((H$4:H$25&lt;&gt;"")*(H$4:H$25&lt;&gt;"No DD")*(E$4:E$25&gt;E14))+1,IF(H14="No DD",SUMPRODUCT((H$4:H$25="No DD")*(E$4:E$25&gt;E14))+1+SUMPRODUCT((H$4:H$25&lt;&gt;"")*(H$4:H$25&lt;&gt;"No DD")),""))</f>
        <v>11</v>
      </c>
      <c r="B14" s="5" t="s">
        <v>159</v>
      </c>
      <c r="C14" s="4" t="s">
        <v>7</v>
      </c>
      <c r="D14" s="4">
        <v>2006</v>
      </c>
      <c r="E14" s="9">
        <f t="shared" si="0"/>
        <v>227.44002255000538</v>
      </c>
      <c r="F14" s="3" t="str">
        <f t="shared" si="1"/>
        <v/>
      </c>
      <c r="G14" s="3" t="str">
        <f t="shared" si="2"/>
        <v>P</v>
      </c>
      <c r="H14" s="36" t="str">
        <f t="shared" si="3"/>
        <v>No DD</v>
      </c>
      <c r="I14" s="3" t="str">
        <f t="shared" si="4"/>
        <v/>
      </c>
      <c r="J14" s="8">
        <f>IF(COUNT(AQ14,AT14,BR14,BU14,CS14,CV14)&gt;0,LARGE((AQ14,AT14,BR14,BU14,CS14,CV14),1),0)</f>
        <v>54.11</v>
      </c>
      <c r="K14" s="8" t="str">
        <f t="shared" si="5"/>
        <v>2024 3rd Domestic Trial</v>
      </c>
      <c r="L14" s="8">
        <f>IF(COUNT(AQ14,AT14,BR14,BU14,CS14,CV14)&gt;1,LARGE((AQ14,AT14,BR14,BU14,CS14,CV14),2),0)</f>
        <v>52</v>
      </c>
      <c r="M14" s="8" t="str">
        <f t="shared" si="6"/>
        <v>2024 Nationals</v>
      </c>
      <c r="N14" s="8">
        <f>IF(COUNT(AQ14,AT14,BR14,BU14,CS14,CV14)&gt;2,LARGE((AQ14,AT14,BR14,BU14,CS14,CV14),3),0)</f>
        <v>51.16</v>
      </c>
      <c r="O14" s="8" t="str">
        <f t="shared" si="7"/>
        <v>2024 Elite Canada</v>
      </c>
      <c r="P14" s="8">
        <f t="shared" si="8"/>
        <v>53.83</v>
      </c>
      <c r="Q14" s="8" t="str">
        <f t="shared" si="9"/>
        <v>2024 3rd Domestic Trial</v>
      </c>
      <c r="R14" s="8">
        <f t="shared" si="10"/>
        <v>14.4</v>
      </c>
      <c r="S14" s="8" t="str">
        <f t="shared" si="11"/>
        <v>2024 3rd Domestic Trial</v>
      </c>
      <c r="T14" s="8">
        <f t="shared" si="12"/>
        <v>0</v>
      </c>
      <c r="U14" s="8" t="str">
        <f t="shared" si="13"/>
        <v/>
      </c>
      <c r="V14" s="8">
        <f t="shared" si="14"/>
        <v>1.9400000000000048</v>
      </c>
      <c r="W14" s="11" t="str">
        <f t="shared" si="15"/>
        <v>(Prelim)</v>
      </c>
      <c r="X14" s="8" t="str">
        <f t="shared" si="16"/>
        <v>2024 Coimbra Gym Fest (July 7)</v>
      </c>
      <c r="Y14" s="22">
        <v>14.8</v>
      </c>
      <c r="Z14" s="22">
        <v>9</v>
      </c>
      <c r="AA14" s="22">
        <v>12.2</v>
      </c>
      <c r="AB14" s="22">
        <v>15.16</v>
      </c>
      <c r="AC14" s="22">
        <v>0</v>
      </c>
      <c r="AD14" s="22">
        <v>1.4</v>
      </c>
      <c r="AE14" s="22">
        <v>1</v>
      </c>
      <c r="AF14" s="22">
        <v>2</v>
      </c>
      <c r="AG14" s="22">
        <v>1.69</v>
      </c>
      <c r="AH14" s="22">
        <v>0</v>
      </c>
      <c r="AI14" s="22">
        <v>15.2</v>
      </c>
      <c r="AJ14" s="22">
        <v>9.6</v>
      </c>
      <c r="AK14" s="22">
        <v>12.2</v>
      </c>
      <c r="AL14" s="22">
        <v>15</v>
      </c>
      <c r="AM14" s="22">
        <v>0</v>
      </c>
      <c r="AN14" s="27"/>
      <c r="AO14" s="38">
        <f t="shared" si="17"/>
        <v>12.2</v>
      </c>
      <c r="AP14" s="38">
        <f t="shared" si="18"/>
        <v>15.16</v>
      </c>
      <c r="AQ14" s="40">
        <f t="shared" si="19"/>
        <v>51.16</v>
      </c>
      <c r="AR14" s="40">
        <f t="shared" si="20"/>
        <v>2</v>
      </c>
      <c r="AS14" s="40">
        <f t="shared" si="21"/>
        <v>1.69</v>
      </c>
      <c r="AT14" s="40">
        <f t="shared" si="22"/>
        <v>6.09</v>
      </c>
      <c r="AU14" s="40">
        <f t="shared" si="23"/>
        <v>51.16</v>
      </c>
      <c r="AV14" s="40">
        <f t="shared" si="24"/>
        <v>12.2</v>
      </c>
      <c r="AW14" s="40">
        <f t="shared" si="25"/>
        <v>15</v>
      </c>
      <c r="AX14" s="40">
        <f t="shared" si="26"/>
        <v>52</v>
      </c>
      <c r="AY14" s="40">
        <f t="shared" si="27"/>
        <v>103.16</v>
      </c>
      <c r="AZ14" s="26">
        <v>14</v>
      </c>
      <c r="BA14" s="26">
        <v>8.6999999999999993</v>
      </c>
      <c r="BB14" s="26">
        <v>12</v>
      </c>
      <c r="BC14" s="26">
        <v>14.73</v>
      </c>
      <c r="BD14" s="26">
        <v>0</v>
      </c>
      <c r="BE14" s="26">
        <v>14.2</v>
      </c>
      <c r="BF14" s="26">
        <v>9.1</v>
      </c>
      <c r="BG14" s="26">
        <v>14</v>
      </c>
      <c r="BH14" s="26">
        <v>14.7</v>
      </c>
      <c r="BI14" s="26">
        <v>0</v>
      </c>
      <c r="BJ14" s="26">
        <v>13.8</v>
      </c>
      <c r="BK14" s="26">
        <v>8.4</v>
      </c>
      <c r="BL14" s="26">
        <v>12.4</v>
      </c>
      <c r="BM14" s="26">
        <v>13.98</v>
      </c>
      <c r="BN14" s="26">
        <v>0</v>
      </c>
      <c r="BO14" s="28"/>
      <c r="BP14" s="39">
        <f t="shared" si="28"/>
        <v>12</v>
      </c>
      <c r="BQ14" s="39">
        <f t="shared" si="29"/>
        <v>14.73</v>
      </c>
      <c r="BR14" s="11">
        <f t="shared" si="30"/>
        <v>49.430000000000007</v>
      </c>
      <c r="BS14" s="11">
        <f t="shared" si="31"/>
        <v>14</v>
      </c>
      <c r="BT14" s="11">
        <f t="shared" si="32"/>
        <v>14.7</v>
      </c>
      <c r="BU14" s="11">
        <f t="shared" si="33"/>
        <v>52</v>
      </c>
      <c r="BV14" s="11">
        <f t="shared" si="34"/>
        <v>52</v>
      </c>
      <c r="BW14" s="11">
        <f t="shared" si="35"/>
        <v>12.4</v>
      </c>
      <c r="BX14" s="11">
        <f t="shared" si="36"/>
        <v>13.98</v>
      </c>
      <c r="BY14" s="11">
        <f t="shared" si="37"/>
        <v>48.58</v>
      </c>
      <c r="BZ14" s="11">
        <f t="shared" si="38"/>
        <v>100.58</v>
      </c>
      <c r="CA14" s="22">
        <v>13.4</v>
      </c>
      <c r="CB14" s="22">
        <v>7.9</v>
      </c>
      <c r="CC14" s="22">
        <v>12.8</v>
      </c>
      <c r="CD14" s="22">
        <v>14.64</v>
      </c>
      <c r="CE14" s="22">
        <v>0</v>
      </c>
      <c r="CF14" s="22">
        <v>14.1</v>
      </c>
      <c r="CG14" s="22">
        <v>9.6</v>
      </c>
      <c r="CH14" s="22">
        <v>14.4</v>
      </c>
      <c r="CI14" s="22">
        <v>16.010000000000002</v>
      </c>
      <c r="CJ14" s="22">
        <v>0</v>
      </c>
      <c r="CK14" s="22">
        <v>14.4</v>
      </c>
      <c r="CL14" s="22">
        <v>9</v>
      </c>
      <c r="CM14" s="22">
        <v>14.4</v>
      </c>
      <c r="CN14" s="22">
        <v>16.03</v>
      </c>
      <c r="CO14" s="22">
        <v>0</v>
      </c>
      <c r="CP14" s="27"/>
      <c r="CQ14" s="38">
        <f t="shared" si="39"/>
        <v>12.8</v>
      </c>
      <c r="CR14" s="38">
        <f t="shared" si="40"/>
        <v>14.64</v>
      </c>
      <c r="CS14" s="40">
        <f t="shared" si="41"/>
        <v>48.74</v>
      </c>
      <c r="CT14" s="40">
        <f t="shared" si="42"/>
        <v>14.4</v>
      </c>
      <c r="CU14" s="40">
        <f t="shared" si="43"/>
        <v>16.010000000000002</v>
      </c>
      <c r="CV14" s="40">
        <f t="shared" si="44"/>
        <v>54.11</v>
      </c>
      <c r="CW14" s="40">
        <f t="shared" si="45"/>
        <v>54.11</v>
      </c>
      <c r="CX14" s="40">
        <f t="shared" si="46"/>
        <v>14.4</v>
      </c>
      <c r="CY14" s="40">
        <f t="shared" si="47"/>
        <v>16.03</v>
      </c>
      <c r="CZ14" s="40">
        <f t="shared" si="48"/>
        <v>53.83</v>
      </c>
      <c r="DA14" s="40">
        <f t="shared" si="49"/>
        <v>107.94</v>
      </c>
      <c r="DB14" s="51">
        <f t="shared" si="50"/>
        <v>1.9400000000000048</v>
      </c>
      <c r="DC14" s="51" t="str">
        <f t="shared" si="51"/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 t="shared" si="52"/>
        <v/>
      </c>
      <c r="DY14" s="40" t="str">
        <f t="shared" si="53"/>
        <v/>
      </c>
      <c r="DZ14" s="40" t="str">
        <f t="shared" si="54"/>
        <v/>
      </c>
      <c r="EA14" s="40" t="str">
        <f t="shared" si="55"/>
        <v/>
      </c>
      <c r="EB14" s="40" t="str">
        <f t="shared" si="56"/>
        <v/>
      </c>
      <c r="EC14" s="40" t="str">
        <f t="shared" si="57"/>
        <v/>
      </c>
      <c r="ED14" s="40" t="str">
        <f t="shared" si="58"/>
        <v/>
      </c>
      <c r="EE14" s="40" t="str">
        <f t="shared" si="59"/>
        <v/>
      </c>
      <c r="EF14" s="40" t="str">
        <f t="shared" si="60"/>
        <v/>
      </c>
      <c r="EG14" s="40" t="str">
        <f t="shared" si="61"/>
        <v/>
      </c>
      <c r="EH14" s="40" t="str">
        <f t="shared" si="62"/>
        <v/>
      </c>
      <c r="EI14" s="40" t="str">
        <f t="shared" si="63"/>
        <v/>
      </c>
      <c r="EJ14" s="40" t="str">
        <f t="shared" si="64"/>
        <v/>
      </c>
      <c r="EK14" s="40" t="str">
        <f t="shared" si="65"/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 t="shared" si="66"/>
        <v/>
      </c>
      <c r="FG14" s="11" t="str">
        <f t="shared" si="67"/>
        <v/>
      </c>
      <c r="FH14" s="11" t="str">
        <f t="shared" si="68"/>
        <v/>
      </c>
      <c r="FI14" s="11" t="str">
        <f t="shared" si="69"/>
        <v/>
      </c>
      <c r="FJ14" s="11" t="str">
        <f t="shared" si="70"/>
        <v/>
      </c>
      <c r="FK14" s="11" t="str">
        <f t="shared" si="71"/>
        <v/>
      </c>
      <c r="FL14" s="11" t="str">
        <f t="shared" si="72"/>
        <v/>
      </c>
      <c r="FM14" s="11" t="str">
        <f t="shared" si="73"/>
        <v/>
      </c>
      <c r="FN14" s="11" t="str">
        <f t="shared" si="74"/>
        <v/>
      </c>
      <c r="FO14" s="11" t="str">
        <f t="shared" si="75"/>
        <v/>
      </c>
      <c r="FP14" s="11" t="str">
        <f t="shared" si="76"/>
        <v/>
      </c>
      <c r="FQ14" s="11" t="str">
        <f t="shared" si="77"/>
        <v/>
      </c>
      <c r="FR14" s="11" t="str">
        <f t="shared" si="78"/>
        <v/>
      </c>
      <c r="FS14" s="11" t="str">
        <f t="shared" si="79"/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 t="shared" si="80"/>
        <v/>
      </c>
      <c r="GO14" s="40" t="str">
        <f t="shared" si="81"/>
        <v/>
      </c>
      <c r="GP14" s="40" t="str">
        <f t="shared" si="82"/>
        <v/>
      </c>
      <c r="GQ14" s="40" t="str">
        <f t="shared" si="83"/>
        <v/>
      </c>
      <c r="GR14" s="40" t="str">
        <f t="shared" si="84"/>
        <v/>
      </c>
      <c r="GS14" s="40" t="str">
        <f t="shared" si="85"/>
        <v/>
      </c>
      <c r="GT14" s="40" t="str">
        <f t="shared" si="86"/>
        <v/>
      </c>
      <c r="GU14" s="40" t="str">
        <f t="shared" si="87"/>
        <v/>
      </c>
      <c r="GV14" s="40" t="str">
        <f t="shared" si="88"/>
        <v/>
      </c>
      <c r="GW14" s="40" t="str">
        <f t="shared" si="89"/>
        <v/>
      </c>
      <c r="GX14" s="40" t="str">
        <f t="shared" si="90"/>
        <v/>
      </c>
      <c r="GY14" s="40" t="str">
        <f t="shared" si="91"/>
        <v/>
      </c>
      <c r="GZ14" s="40" t="str">
        <f t="shared" si="92"/>
        <v/>
      </c>
      <c r="HA14" s="40" t="str">
        <f t="shared" si="93"/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 t="shared" si="94"/>
        <v/>
      </c>
      <c r="HW14" s="11" t="str">
        <f t="shared" si="95"/>
        <v/>
      </c>
      <c r="HX14" s="11" t="str">
        <f t="shared" si="96"/>
        <v/>
      </c>
      <c r="HY14" s="11" t="str">
        <f t="shared" si="97"/>
        <v/>
      </c>
      <c r="HZ14" s="11" t="str">
        <f t="shared" si="98"/>
        <v/>
      </c>
      <c r="IA14" s="11" t="str">
        <f t="shared" si="99"/>
        <v/>
      </c>
      <c r="IB14" s="11" t="str">
        <f t="shared" si="100"/>
        <v/>
      </c>
      <c r="IC14" s="11" t="str">
        <f t="shared" si="101"/>
        <v/>
      </c>
      <c r="ID14" s="11" t="str">
        <f t="shared" si="102"/>
        <v/>
      </c>
      <c r="IE14" s="11" t="str">
        <f t="shared" si="103"/>
        <v/>
      </c>
      <c r="IF14" s="11" t="str">
        <f t="shared" si="104"/>
        <v/>
      </c>
      <c r="IG14" s="11" t="str">
        <f t="shared" si="105"/>
        <v/>
      </c>
      <c r="IH14" s="11" t="str">
        <f t="shared" si="106"/>
        <v/>
      </c>
      <c r="II14" s="11" t="str">
        <f t="shared" si="107"/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 t="shared" si="108"/>
        <v/>
      </c>
      <c r="JE14" s="40" t="str">
        <f t="shared" si="109"/>
        <v/>
      </c>
      <c r="JF14" s="40" t="str">
        <f t="shared" si="110"/>
        <v/>
      </c>
      <c r="JG14" s="40" t="str">
        <f t="shared" si="111"/>
        <v/>
      </c>
      <c r="JH14" s="40" t="str">
        <f t="shared" si="112"/>
        <v/>
      </c>
      <c r="JI14" s="40" t="str">
        <f t="shared" si="113"/>
        <v/>
      </c>
      <c r="JJ14" s="40" t="str">
        <f t="shared" si="114"/>
        <v/>
      </c>
      <c r="JK14" s="40" t="str">
        <f t="shared" si="115"/>
        <v/>
      </c>
      <c r="JL14" s="40" t="str">
        <f t="shared" si="116"/>
        <v/>
      </c>
      <c r="JM14" s="40" t="str">
        <f t="shared" si="117"/>
        <v/>
      </c>
      <c r="JN14" s="40" t="str">
        <f t="shared" si="118"/>
        <v/>
      </c>
      <c r="JO14" s="40" t="str">
        <f t="shared" si="119"/>
        <v/>
      </c>
      <c r="JP14" s="40" t="str">
        <f t="shared" si="120"/>
        <v/>
      </c>
      <c r="JQ14" s="40" t="str">
        <f t="shared" si="121"/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 t="shared" si="122"/>
        <v/>
      </c>
      <c r="KM14" s="11" t="str">
        <f t="shared" si="123"/>
        <v/>
      </c>
      <c r="KN14" s="11" t="str">
        <f t="shared" si="124"/>
        <v/>
      </c>
      <c r="KO14" s="11" t="str">
        <f t="shared" si="125"/>
        <v/>
      </c>
      <c r="KP14" s="11" t="str">
        <f t="shared" si="126"/>
        <v/>
      </c>
      <c r="KQ14" s="11" t="str">
        <f t="shared" si="127"/>
        <v/>
      </c>
      <c r="KR14" s="11" t="str">
        <f t="shared" si="128"/>
        <v/>
      </c>
      <c r="KS14" s="11" t="str">
        <f t="shared" si="129"/>
        <v/>
      </c>
      <c r="KT14" s="11" t="str">
        <f t="shared" si="130"/>
        <v/>
      </c>
      <c r="KU14" s="11" t="str">
        <f t="shared" si="131"/>
        <v/>
      </c>
      <c r="KV14" s="11" t="str">
        <f t="shared" si="132"/>
        <v/>
      </c>
      <c r="KW14" s="11" t="str">
        <f t="shared" si="133"/>
        <v/>
      </c>
      <c r="KX14" s="11" t="str">
        <f t="shared" si="134"/>
        <v/>
      </c>
      <c r="KY14" s="11" t="str">
        <f t="shared" si="135"/>
        <v/>
      </c>
      <c r="KZ14" s="17">
        <v>14.2</v>
      </c>
      <c r="LA14" s="17">
        <v>8.3000000000000007</v>
      </c>
      <c r="LB14" s="17">
        <v>14</v>
      </c>
      <c r="LC14" s="17">
        <v>15.15</v>
      </c>
      <c r="LD14" s="17">
        <v>0</v>
      </c>
      <c r="LE14" s="17">
        <v>14.3</v>
      </c>
      <c r="LF14" s="17">
        <v>9.1999999999999993</v>
      </c>
      <c r="LG14" s="17">
        <v>14</v>
      </c>
      <c r="LH14" s="17">
        <v>15.6</v>
      </c>
      <c r="LI14" s="17">
        <v>0</v>
      </c>
      <c r="LJ14" s="17">
        <v>13.5</v>
      </c>
      <c r="LK14" s="17">
        <v>9.6</v>
      </c>
      <c r="LL14" s="17">
        <v>12.2</v>
      </c>
      <c r="LM14" s="17">
        <v>14.84</v>
      </c>
      <c r="LN14" s="17">
        <v>0</v>
      </c>
      <c r="LO14" s="17">
        <v>10.5</v>
      </c>
      <c r="LP14" s="17">
        <v>7</v>
      </c>
      <c r="LQ14" s="17">
        <v>9.6999999999999993</v>
      </c>
      <c r="LR14" s="17">
        <v>12.1</v>
      </c>
      <c r="LS14" s="17">
        <v>0</v>
      </c>
      <c r="LT14" s="40">
        <f t="shared" si="136"/>
        <v>14</v>
      </c>
      <c r="LU14" s="40">
        <f t="shared" si="137"/>
        <v>15.15</v>
      </c>
      <c r="LV14" s="40">
        <f t="shared" si="138"/>
        <v>51.65</v>
      </c>
      <c r="LW14" s="40">
        <f t="shared" si="139"/>
        <v>14</v>
      </c>
      <c r="LX14" s="40">
        <f t="shared" si="140"/>
        <v>15.6</v>
      </c>
      <c r="LY14" s="40">
        <f t="shared" si="141"/>
        <v>53.1</v>
      </c>
      <c r="LZ14" s="40">
        <f t="shared" si="142"/>
        <v>53.1</v>
      </c>
      <c r="MA14" s="40">
        <f t="shared" si="143"/>
        <v>12.2</v>
      </c>
      <c r="MB14" s="40">
        <f t="shared" si="144"/>
        <v>14.84</v>
      </c>
      <c r="MC14" s="40">
        <f t="shared" si="145"/>
        <v>50.14</v>
      </c>
      <c r="MD14" s="40">
        <f t="shared" si="146"/>
        <v>9.6999999999999993</v>
      </c>
      <c r="ME14" s="40">
        <f t="shared" si="147"/>
        <v>12.1</v>
      </c>
      <c r="MF14" s="40">
        <f t="shared" si="148"/>
        <v>39.299999999999997</v>
      </c>
      <c r="MG14" s="40">
        <f t="shared" si="149"/>
        <v>142.54000000000002</v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 t="shared" si="150"/>
        <v/>
      </c>
      <c r="NC14" s="11" t="str">
        <f t="shared" si="151"/>
        <v/>
      </c>
      <c r="ND14" s="11" t="str">
        <f t="shared" si="152"/>
        <v/>
      </c>
      <c r="NE14" s="11" t="str">
        <f t="shared" si="153"/>
        <v/>
      </c>
      <c r="NF14" s="11" t="str">
        <f t="shared" si="154"/>
        <v/>
      </c>
      <c r="NG14" s="11" t="str">
        <f t="shared" si="155"/>
        <v/>
      </c>
      <c r="NH14" s="11" t="str">
        <f t="shared" si="156"/>
        <v/>
      </c>
      <c r="NI14" s="11" t="str">
        <f t="shared" si="157"/>
        <v/>
      </c>
      <c r="NJ14" s="11" t="str">
        <f t="shared" si="158"/>
        <v/>
      </c>
      <c r="NK14" s="11" t="str">
        <f t="shared" si="159"/>
        <v/>
      </c>
      <c r="NL14" s="11" t="str">
        <f t="shared" si="160"/>
        <v/>
      </c>
      <c r="NM14" s="11" t="str">
        <f t="shared" si="161"/>
        <v/>
      </c>
      <c r="NN14" s="11" t="str">
        <f t="shared" si="162"/>
        <v/>
      </c>
      <c r="NO14" s="11" t="str">
        <f t="shared" si="163"/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 t="shared" si="164"/>
        <v/>
      </c>
      <c r="OK14" s="40" t="str">
        <f t="shared" si="165"/>
        <v/>
      </c>
      <c r="OL14" s="40" t="str">
        <f t="shared" si="166"/>
        <v/>
      </c>
      <c r="OM14" s="40" t="str">
        <f t="shared" si="167"/>
        <v/>
      </c>
      <c r="ON14" s="40" t="str">
        <f t="shared" si="168"/>
        <v/>
      </c>
      <c r="OO14" s="40" t="str">
        <f t="shared" si="169"/>
        <v/>
      </c>
      <c r="OP14" s="40" t="str">
        <f t="shared" si="170"/>
        <v/>
      </c>
      <c r="OQ14" s="40" t="str">
        <f t="shared" si="171"/>
        <v/>
      </c>
      <c r="OR14" s="40" t="str">
        <f t="shared" si="172"/>
        <v/>
      </c>
      <c r="OS14" s="40" t="str">
        <f t="shared" si="173"/>
        <v/>
      </c>
      <c r="OT14" s="40" t="str">
        <f t="shared" si="174"/>
        <v/>
      </c>
      <c r="OU14" s="40" t="str">
        <f t="shared" si="175"/>
        <v/>
      </c>
      <c r="OV14" s="40" t="str">
        <f t="shared" si="176"/>
        <v/>
      </c>
      <c r="OW14" s="40" t="str">
        <f t="shared" si="177"/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 t="shared" si="178"/>
        <v/>
      </c>
      <c r="PS14" s="11" t="str">
        <f t="shared" si="179"/>
        <v/>
      </c>
      <c r="PT14" s="11" t="str">
        <f t="shared" si="180"/>
        <v/>
      </c>
      <c r="PU14" s="11" t="str">
        <f t="shared" si="181"/>
        <v/>
      </c>
      <c r="PV14" s="11" t="str">
        <f t="shared" si="182"/>
        <v/>
      </c>
      <c r="PW14" s="11" t="str">
        <f t="shared" si="183"/>
        <v/>
      </c>
      <c r="PX14" s="11" t="str">
        <f t="shared" si="184"/>
        <v/>
      </c>
      <c r="PY14" s="11" t="str">
        <f t="shared" si="185"/>
        <v/>
      </c>
      <c r="PZ14" s="11" t="str">
        <f t="shared" si="186"/>
        <v/>
      </c>
      <c r="QA14" s="11" t="str">
        <f t="shared" si="187"/>
        <v/>
      </c>
      <c r="QB14" s="11" t="str">
        <f t="shared" si="188"/>
        <v/>
      </c>
      <c r="QC14" s="11" t="str">
        <f t="shared" si="189"/>
        <v/>
      </c>
      <c r="QD14" s="11" t="str">
        <f t="shared" si="190"/>
        <v/>
      </c>
      <c r="QE14" s="11" t="str">
        <f t="shared" si="191"/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 t="shared" si="192"/>
        <v/>
      </c>
      <c r="RA14" s="40" t="str">
        <f t="shared" si="193"/>
        <v/>
      </c>
      <c r="RB14" s="40" t="str">
        <f t="shared" si="194"/>
        <v/>
      </c>
      <c r="RC14" s="40" t="str">
        <f t="shared" si="195"/>
        <v/>
      </c>
      <c r="RD14" s="40" t="str">
        <f t="shared" si="196"/>
        <v/>
      </c>
      <c r="RE14" s="40" t="str">
        <f t="shared" si="197"/>
        <v/>
      </c>
      <c r="RF14" s="40" t="str">
        <f t="shared" si="198"/>
        <v/>
      </c>
      <c r="RG14" s="40" t="str">
        <f t="shared" si="199"/>
        <v/>
      </c>
      <c r="RH14" s="40" t="str">
        <f t="shared" si="200"/>
        <v/>
      </c>
      <c r="RI14" s="40" t="str">
        <f t="shared" si="201"/>
        <v/>
      </c>
      <c r="RJ14" s="40" t="str">
        <f t="shared" si="202"/>
        <v/>
      </c>
      <c r="RK14" s="40" t="str">
        <f t="shared" si="203"/>
        <v/>
      </c>
      <c r="RL14" s="40" t="str">
        <f t="shared" si="204"/>
        <v/>
      </c>
      <c r="RM14" s="40" t="str">
        <f t="shared" si="205"/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 t="shared" si="206"/>
        <v/>
      </c>
      <c r="SI14" s="11" t="str">
        <f t="shared" si="207"/>
        <v/>
      </c>
      <c r="SJ14" s="11" t="str">
        <f t="shared" si="208"/>
        <v/>
      </c>
      <c r="SK14" s="11" t="str">
        <f t="shared" si="209"/>
        <v/>
      </c>
      <c r="SL14" s="11" t="str">
        <f t="shared" si="210"/>
        <v/>
      </c>
      <c r="SM14" s="11" t="str">
        <f t="shared" si="211"/>
        <v/>
      </c>
      <c r="SN14" s="11" t="str">
        <f t="shared" si="212"/>
        <v/>
      </c>
      <c r="SO14" s="11" t="str">
        <f t="shared" si="213"/>
        <v/>
      </c>
      <c r="SP14" s="11" t="str">
        <f t="shared" si="214"/>
        <v/>
      </c>
      <c r="SQ14" s="11" t="str">
        <f t="shared" si="215"/>
        <v/>
      </c>
      <c r="SR14" s="11" t="str">
        <f t="shared" si="216"/>
        <v/>
      </c>
      <c r="SS14" s="11" t="str">
        <f t="shared" si="217"/>
        <v/>
      </c>
      <c r="ST14" s="11" t="str">
        <f t="shared" si="218"/>
        <v/>
      </c>
      <c r="SU14" s="11" t="str">
        <f t="shared" si="219"/>
        <v/>
      </c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40" t="str">
        <f t="shared" si="220"/>
        <v/>
      </c>
      <c r="TQ14" s="40" t="str">
        <f t="shared" si="221"/>
        <v/>
      </c>
      <c r="TR14" s="40" t="str">
        <f t="shared" si="222"/>
        <v/>
      </c>
      <c r="TS14" s="40" t="str">
        <f t="shared" si="223"/>
        <v/>
      </c>
      <c r="TT14" s="40" t="str">
        <f t="shared" si="224"/>
        <v/>
      </c>
      <c r="TU14" s="40" t="str">
        <f t="shared" si="225"/>
        <v/>
      </c>
      <c r="TV14" s="40" t="str">
        <f t="shared" si="226"/>
        <v/>
      </c>
      <c r="TW14" s="40" t="str">
        <f t="shared" si="227"/>
        <v/>
      </c>
      <c r="TX14" s="40" t="str">
        <f t="shared" si="228"/>
        <v/>
      </c>
      <c r="TY14" s="40" t="str">
        <f t="shared" si="229"/>
        <v/>
      </c>
      <c r="TZ14" s="40" t="str">
        <f t="shared" si="230"/>
        <v/>
      </c>
      <c r="UA14" s="40" t="str">
        <f t="shared" si="231"/>
        <v/>
      </c>
      <c r="UB14" s="40" t="str">
        <f t="shared" si="232"/>
        <v/>
      </c>
      <c r="UC14" s="40" t="str">
        <f t="shared" si="233"/>
        <v/>
      </c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8"/>
      <c r="UQ14" s="18"/>
      <c r="UR14" s="18"/>
      <c r="US14" s="18"/>
      <c r="UT14" s="18"/>
      <c r="UU14" s="18"/>
      <c r="UV14" s="18"/>
      <c r="UW14" s="18"/>
      <c r="UX14" s="11" t="str">
        <f t="shared" si="234"/>
        <v/>
      </c>
      <c r="UY14" s="11" t="str">
        <f t="shared" si="235"/>
        <v/>
      </c>
      <c r="UZ14" s="11" t="str">
        <f t="shared" si="236"/>
        <v/>
      </c>
      <c r="VA14" s="11" t="str">
        <f t="shared" si="237"/>
        <v/>
      </c>
      <c r="VB14" s="11" t="str">
        <f t="shared" si="238"/>
        <v/>
      </c>
      <c r="VC14" s="11" t="str">
        <f t="shared" si="239"/>
        <v/>
      </c>
      <c r="VD14" s="11" t="str">
        <f t="shared" si="240"/>
        <v/>
      </c>
      <c r="VE14" s="11" t="str">
        <f t="shared" si="241"/>
        <v/>
      </c>
      <c r="VF14" s="11" t="str">
        <f t="shared" si="242"/>
        <v/>
      </c>
      <c r="VG14" s="11" t="str">
        <f t="shared" si="243"/>
        <v/>
      </c>
      <c r="VH14" s="11" t="str">
        <f t="shared" si="244"/>
        <v/>
      </c>
      <c r="VI14" s="11" t="str">
        <f t="shared" si="245"/>
        <v/>
      </c>
      <c r="VJ14" s="11" t="str">
        <f t="shared" si="246"/>
        <v/>
      </c>
      <c r="VK14" s="11" t="str">
        <f t="shared" si="247"/>
        <v/>
      </c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40" t="str">
        <f t="shared" si="248"/>
        <v/>
      </c>
      <c r="WG14" s="40" t="str">
        <f t="shared" si="249"/>
        <v/>
      </c>
      <c r="WH14" s="40" t="str">
        <f t="shared" si="250"/>
        <v/>
      </c>
      <c r="WI14" s="40" t="str">
        <f t="shared" si="251"/>
        <v/>
      </c>
      <c r="WJ14" s="40" t="str">
        <f t="shared" si="252"/>
        <v/>
      </c>
      <c r="WK14" s="40" t="str">
        <f t="shared" si="253"/>
        <v/>
      </c>
      <c r="WL14" s="40" t="str">
        <f t="shared" si="254"/>
        <v/>
      </c>
      <c r="WM14" s="40" t="str">
        <f t="shared" si="255"/>
        <v/>
      </c>
      <c r="WN14" s="40" t="str">
        <f t="shared" si="256"/>
        <v/>
      </c>
      <c r="WO14" s="40" t="str">
        <f t="shared" si="257"/>
        <v/>
      </c>
      <c r="WP14" s="40" t="str">
        <f t="shared" si="258"/>
        <v/>
      </c>
      <c r="WQ14" s="40" t="str">
        <f t="shared" si="259"/>
        <v/>
      </c>
      <c r="WR14" s="40" t="str">
        <f t="shared" si="260"/>
        <v/>
      </c>
      <c r="WS14" s="40" t="str">
        <f t="shared" si="261"/>
        <v/>
      </c>
      <c r="WT14" s="26">
        <f t="shared" si="262"/>
        <v>13.7</v>
      </c>
      <c r="WU14" s="26">
        <f t="shared" si="263"/>
        <v>8.3000000000000007</v>
      </c>
      <c r="WV14" s="26">
        <f t="shared" si="264"/>
        <v>12.4</v>
      </c>
      <c r="WW14" s="26">
        <f t="shared" si="265"/>
        <v>14.685</v>
      </c>
      <c r="WX14" s="26">
        <f t="shared" si="266"/>
        <v>0</v>
      </c>
      <c r="WY14" s="26">
        <f t="shared" si="267"/>
        <v>14.149999999999999</v>
      </c>
      <c r="WZ14" s="26">
        <f t="shared" si="268"/>
        <v>9.35</v>
      </c>
      <c r="XA14" s="26">
        <f t="shared" si="269"/>
        <v>14.2</v>
      </c>
      <c r="XB14" s="26">
        <f t="shared" si="270"/>
        <v>15.355</v>
      </c>
      <c r="XC14" s="26">
        <f t="shared" si="271"/>
        <v>0</v>
      </c>
      <c r="XD14" s="26">
        <f t="shared" si="272"/>
        <v>14.100000000000001</v>
      </c>
      <c r="XE14" s="26">
        <f t="shared" si="273"/>
        <v>8.6999999999999993</v>
      </c>
      <c r="XF14" s="26">
        <f t="shared" si="274"/>
        <v>13.4</v>
      </c>
      <c r="XG14" s="26">
        <f t="shared" si="275"/>
        <v>15.005000000000001</v>
      </c>
      <c r="XH14" s="26">
        <f t="shared" si="276"/>
        <v>0</v>
      </c>
      <c r="XI14" s="28" t="s">
        <v>53</v>
      </c>
      <c r="XJ14" s="11">
        <f t="shared" si="277"/>
        <v>12.4</v>
      </c>
      <c r="XK14" s="11">
        <f t="shared" si="278"/>
        <v>14.685</v>
      </c>
      <c r="XL14" s="11">
        <f t="shared" si="279"/>
        <v>49.085000000000001</v>
      </c>
      <c r="XM14" s="11">
        <f t="shared" si="280"/>
        <v>14.2</v>
      </c>
      <c r="XN14" s="11">
        <f t="shared" si="281"/>
        <v>15.355</v>
      </c>
      <c r="XO14" s="11">
        <f t="shared" si="282"/>
        <v>53.055000000000007</v>
      </c>
      <c r="XP14" s="11">
        <f t="shared" si="283"/>
        <v>53.055000000000007</v>
      </c>
      <c r="XQ14" s="11">
        <f t="shared" si="284"/>
        <v>13.4</v>
      </c>
      <c r="XR14" s="11">
        <f t="shared" si="285"/>
        <v>15.005000000000001</v>
      </c>
      <c r="XS14" s="11">
        <f t="shared" si="286"/>
        <v>51.205000000000005</v>
      </c>
      <c r="XT14" s="11">
        <f t="shared" si="287"/>
        <v>104.26000000000002</v>
      </c>
    </row>
    <row r="15" spans="1:644" x14ac:dyDescent="0.2">
      <c r="A15" s="4" t="str" cm="1">
        <f t="array" ref="A15">IF(AND(H15&lt;&gt;"",H15&lt;&gt;"No DD"),SUMPRODUCT((H$4:H$25&lt;&gt;"")*(H$4:H$25&lt;&gt;"No DD")*(E$4:E$25&gt;E15))+1,IF(H15="No DD",SUMPRODUCT((H$4:H$25="No DD")*(E$4:E$25&gt;E15))+1+SUMPRODUCT((H$4:H$25&lt;&gt;"")*(H$4:H$25&lt;&gt;"No DD")),""))</f>
        <v/>
      </c>
      <c r="B15" s="5" t="s">
        <v>194</v>
      </c>
      <c r="C15" s="4" t="s">
        <v>5</v>
      </c>
      <c r="D15" s="4">
        <v>2002</v>
      </c>
      <c r="E15" s="9">
        <f t="shared" si="0"/>
        <v>203.38002033800504</v>
      </c>
      <c r="F15" s="3" t="str">
        <f t="shared" si="1"/>
        <v/>
      </c>
      <c r="G15" s="3" t="str">
        <f t="shared" si="2"/>
        <v/>
      </c>
      <c r="H15" s="36" t="str">
        <f t="shared" si="3"/>
        <v/>
      </c>
      <c r="I15" s="3" t="str">
        <f t="shared" si="4"/>
        <v/>
      </c>
      <c r="J15" s="8">
        <f>IF(COUNT(AQ15,AT15,BR15,BU15,CS15,CV15)&gt;0,LARGE((AQ15,AT15,BR15,BU15,CS15,CV15),1),0)</f>
        <v>50.43</v>
      </c>
      <c r="K15" s="8" t="str">
        <f t="shared" si="5"/>
        <v>2024 Nationals</v>
      </c>
      <c r="L15" s="8">
        <f>IF(COUNT(AQ15,AT15,BR15,BU15,CS15,CV15)&gt;1,LARGE((AQ15,AT15,BR15,BU15,CS15,CV15),2),0)</f>
        <v>48.33</v>
      </c>
      <c r="M15" s="8" t="str">
        <f t="shared" si="6"/>
        <v>2024 Nationals</v>
      </c>
      <c r="N15" s="8">
        <f>IF(COUNT(AQ15,AT15,BR15,BU15,CS15,CV15)&gt;2,LARGE((AQ15,AT15,BR15,BU15,CS15,CV15),3),0)</f>
        <v>38.69</v>
      </c>
      <c r="O15" s="8" t="str">
        <f t="shared" si="7"/>
        <v>2024 Elite Canada</v>
      </c>
      <c r="P15" s="8">
        <f t="shared" si="8"/>
        <v>52.129999999999995</v>
      </c>
      <c r="Q15" s="8" t="str">
        <f t="shared" si="9"/>
        <v>2024 Nationals</v>
      </c>
      <c r="R15" s="8">
        <f t="shared" si="10"/>
        <v>13.8</v>
      </c>
      <c r="S15" s="8" t="str">
        <f t="shared" si="11"/>
        <v>2024 Nationals</v>
      </c>
      <c r="T15" s="8">
        <f t="shared" si="12"/>
        <v>0</v>
      </c>
      <c r="U15" s="8" t="str">
        <f t="shared" si="13"/>
        <v/>
      </c>
      <c r="V15" s="8" t="str">
        <f t="shared" si="14"/>
        <v/>
      </c>
      <c r="W15" s="11" t="str">
        <f t="shared" si="15"/>
        <v/>
      </c>
      <c r="X15" s="8" t="str">
        <f t="shared" si="16"/>
        <v/>
      </c>
      <c r="Y15" s="22">
        <v>10.8</v>
      </c>
      <c r="Z15" s="22">
        <v>6.7</v>
      </c>
      <c r="AA15" s="22">
        <v>10.3</v>
      </c>
      <c r="AB15" s="22">
        <v>10.89</v>
      </c>
      <c r="AC15" s="22">
        <v>0</v>
      </c>
      <c r="AD15" s="22">
        <v>9</v>
      </c>
      <c r="AE15" s="22">
        <v>5.7</v>
      </c>
      <c r="AF15" s="22">
        <v>8.6</v>
      </c>
      <c r="AG15" s="22">
        <v>9.41</v>
      </c>
      <c r="AH15" s="22">
        <v>0</v>
      </c>
      <c r="AI15" s="22"/>
      <c r="AJ15" s="22"/>
      <c r="AK15" s="22"/>
      <c r="AL15" s="22"/>
      <c r="AM15" s="22"/>
      <c r="AN15" s="27"/>
      <c r="AO15" s="38">
        <f t="shared" si="17"/>
        <v>10.3</v>
      </c>
      <c r="AP15" s="38">
        <f t="shared" si="18"/>
        <v>10.89</v>
      </c>
      <c r="AQ15" s="40">
        <f t="shared" si="19"/>
        <v>38.69</v>
      </c>
      <c r="AR15" s="40">
        <f t="shared" si="20"/>
        <v>8.6</v>
      </c>
      <c r="AS15" s="40">
        <f t="shared" si="21"/>
        <v>9.41</v>
      </c>
      <c r="AT15" s="40">
        <f t="shared" si="22"/>
        <v>32.709999999999994</v>
      </c>
      <c r="AU15" s="40">
        <f t="shared" si="23"/>
        <v>38.69</v>
      </c>
      <c r="AV15" s="40" t="str">
        <f t="shared" si="24"/>
        <v/>
      </c>
      <c r="AW15" s="40" t="str">
        <f t="shared" si="25"/>
        <v/>
      </c>
      <c r="AX15" s="40" t="str">
        <f t="shared" si="26"/>
        <v/>
      </c>
      <c r="AY15" s="40">
        <f t="shared" si="27"/>
        <v>38.69</v>
      </c>
      <c r="AZ15" s="26">
        <v>12.8</v>
      </c>
      <c r="BA15" s="26">
        <v>9.4</v>
      </c>
      <c r="BB15" s="26">
        <v>13.8</v>
      </c>
      <c r="BC15" s="26">
        <v>14.43</v>
      </c>
      <c r="BD15" s="26">
        <v>0</v>
      </c>
      <c r="BE15" s="26">
        <v>13.2</v>
      </c>
      <c r="BF15" s="26">
        <v>9.1</v>
      </c>
      <c r="BG15" s="26">
        <v>12.6</v>
      </c>
      <c r="BH15" s="26">
        <v>14.33</v>
      </c>
      <c r="BI15" s="26">
        <v>0.9</v>
      </c>
      <c r="BJ15" s="26">
        <v>14.5</v>
      </c>
      <c r="BK15" s="26">
        <v>9</v>
      </c>
      <c r="BL15" s="26">
        <v>13.8</v>
      </c>
      <c r="BM15" s="26">
        <v>14.83</v>
      </c>
      <c r="BN15" s="26">
        <v>0</v>
      </c>
      <c r="BO15" s="28"/>
      <c r="BP15" s="39">
        <f t="shared" si="28"/>
        <v>13.8</v>
      </c>
      <c r="BQ15" s="39">
        <f t="shared" si="29"/>
        <v>14.43</v>
      </c>
      <c r="BR15" s="11">
        <f t="shared" si="30"/>
        <v>50.43</v>
      </c>
      <c r="BS15" s="11">
        <f t="shared" si="31"/>
        <v>12.6</v>
      </c>
      <c r="BT15" s="11">
        <f t="shared" si="32"/>
        <v>14.33</v>
      </c>
      <c r="BU15" s="11">
        <f t="shared" si="33"/>
        <v>48.33</v>
      </c>
      <c r="BV15" s="11">
        <f t="shared" si="34"/>
        <v>50.43</v>
      </c>
      <c r="BW15" s="11">
        <f t="shared" si="35"/>
        <v>13.8</v>
      </c>
      <c r="BX15" s="11">
        <f t="shared" si="36"/>
        <v>14.83</v>
      </c>
      <c r="BY15" s="11">
        <f t="shared" si="37"/>
        <v>52.129999999999995</v>
      </c>
      <c r="BZ15" s="11">
        <f t="shared" si="38"/>
        <v>102.56</v>
      </c>
      <c r="CA15" s="22">
        <v>5.7</v>
      </c>
      <c r="CB15" s="22">
        <v>3.3</v>
      </c>
      <c r="CC15" s="22">
        <v>6.3</v>
      </c>
      <c r="CD15" s="22">
        <v>6.6</v>
      </c>
      <c r="CE15" s="22">
        <v>0</v>
      </c>
      <c r="CF15" s="22"/>
      <c r="CG15" s="22"/>
      <c r="CH15" s="22"/>
      <c r="CI15" s="22"/>
      <c r="CJ15" s="22"/>
      <c r="CK15" s="22"/>
      <c r="CL15" s="22"/>
      <c r="CM15" s="22"/>
      <c r="CN15" s="22"/>
      <c r="CO15" s="22"/>
      <c r="CP15" s="27"/>
      <c r="CQ15" s="38">
        <f t="shared" si="39"/>
        <v>6.3</v>
      </c>
      <c r="CR15" s="38">
        <f t="shared" si="40"/>
        <v>6.6</v>
      </c>
      <c r="CS15" s="40">
        <f t="shared" si="41"/>
        <v>21.9</v>
      </c>
      <c r="CT15" s="40" t="str">
        <f t="shared" si="42"/>
        <v/>
      </c>
      <c r="CU15" s="40" t="str">
        <f t="shared" si="43"/>
        <v/>
      </c>
      <c r="CV15" s="40" t="str">
        <f t="shared" si="44"/>
        <v/>
      </c>
      <c r="CW15" s="40">
        <f t="shared" si="45"/>
        <v>21.9</v>
      </c>
      <c r="CX15" s="40" t="str">
        <f t="shared" si="46"/>
        <v/>
      </c>
      <c r="CY15" s="40" t="str">
        <f t="shared" si="47"/>
        <v/>
      </c>
      <c r="CZ15" s="40" t="str">
        <f t="shared" si="48"/>
        <v/>
      </c>
      <c r="DA15" s="40">
        <f t="shared" si="49"/>
        <v>21.9</v>
      </c>
      <c r="DB15" s="51" t="str">
        <f t="shared" si="50"/>
        <v/>
      </c>
      <c r="DC15" s="51" t="str">
        <f t="shared" si="51"/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 t="shared" si="52"/>
        <v/>
      </c>
      <c r="DY15" s="40" t="str">
        <f t="shared" si="53"/>
        <v/>
      </c>
      <c r="DZ15" s="40" t="str">
        <f t="shared" si="54"/>
        <v/>
      </c>
      <c r="EA15" s="40" t="str">
        <f t="shared" si="55"/>
        <v/>
      </c>
      <c r="EB15" s="40" t="str">
        <f t="shared" si="56"/>
        <v/>
      </c>
      <c r="EC15" s="40" t="str">
        <f t="shared" si="57"/>
        <v/>
      </c>
      <c r="ED15" s="40" t="str">
        <f t="shared" si="58"/>
        <v/>
      </c>
      <c r="EE15" s="40" t="str">
        <f t="shared" si="59"/>
        <v/>
      </c>
      <c r="EF15" s="40" t="str">
        <f t="shared" si="60"/>
        <v/>
      </c>
      <c r="EG15" s="40" t="str">
        <f t="shared" si="61"/>
        <v/>
      </c>
      <c r="EH15" s="40" t="str">
        <f t="shared" si="62"/>
        <v/>
      </c>
      <c r="EI15" s="40" t="str">
        <f t="shared" si="63"/>
        <v/>
      </c>
      <c r="EJ15" s="40" t="str">
        <f t="shared" si="64"/>
        <v/>
      </c>
      <c r="EK15" s="40" t="str">
        <f t="shared" si="65"/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 t="shared" si="66"/>
        <v/>
      </c>
      <c r="FG15" s="11" t="str">
        <f t="shared" si="67"/>
        <v/>
      </c>
      <c r="FH15" s="11" t="str">
        <f t="shared" si="68"/>
        <v/>
      </c>
      <c r="FI15" s="11" t="str">
        <f t="shared" si="69"/>
        <v/>
      </c>
      <c r="FJ15" s="11" t="str">
        <f t="shared" si="70"/>
        <v/>
      </c>
      <c r="FK15" s="11" t="str">
        <f t="shared" si="71"/>
        <v/>
      </c>
      <c r="FL15" s="11" t="str">
        <f t="shared" si="72"/>
        <v/>
      </c>
      <c r="FM15" s="11" t="str">
        <f t="shared" si="73"/>
        <v/>
      </c>
      <c r="FN15" s="11" t="str">
        <f t="shared" si="74"/>
        <v/>
      </c>
      <c r="FO15" s="11" t="str">
        <f t="shared" si="75"/>
        <v/>
      </c>
      <c r="FP15" s="11" t="str">
        <f t="shared" si="76"/>
        <v/>
      </c>
      <c r="FQ15" s="11" t="str">
        <f t="shared" si="77"/>
        <v/>
      </c>
      <c r="FR15" s="11" t="str">
        <f t="shared" si="78"/>
        <v/>
      </c>
      <c r="FS15" s="11" t="str">
        <f t="shared" si="79"/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 t="shared" si="80"/>
        <v/>
      </c>
      <c r="GO15" s="40" t="str">
        <f t="shared" si="81"/>
        <v/>
      </c>
      <c r="GP15" s="40" t="str">
        <f t="shared" si="82"/>
        <v/>
      </c>
      <c r="GQ15" s="40" t="str">
        <f t="shared" si="83"/>
        <v/>
      </c>
      <c r="GR15" s="40" t="str">
        <f t="shared" si="84"/>
        <v/>
      </c>
      <c r="GS15" s="40" t="str">
        <f t="shared" si="85"/>
        <v/>
      </c>
      <c r="GT15" s="40" t="str">
        <f t="shared" si="86"/>
        <v/>
      </c>
      <c r="GU15" s="40" t="str">
        <f t="shared" si="87"/>
        <v/>
      </c>
      <c r="GV15" s="40" t="str">
        <f t="shared" si="88"/>
        <v/>
      </c>
      <c r="GW15" s="40" t="str">
        <f t="shared" si="89"/>
        <v/>
      </c>
      <c r="GX15" s="40" t="str">
        <f t="shared" si="90"/>
        <v/>
      </c>
      <c r="GY15" s="40" t="str">
        <f t="shared" si="91"/>
        <v/>
      </c>
      <c r="GZ15" s="40" t="str">
        <f t="shared" si="92"/>
        <v/>
      </c>
      <c r="HA15" s="40" t="str">
        <f t="shared" si="93"/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 t="shared" si="94"/>
        <v/>
      </c>
      <c r="HW15" s="11" t="str">
        <f t="shared" si="95"/>
        <v/>
      </c>
      <c r="HX15" s="11" t="str">
        <f t="shared" si="96"/>
        <v/>
      </c>
      <c r="HY15" s="11" t="str">
        <f t="shared" si="97"/>
        <v/>
      </c>
      <c r="HZ15" s="11" t="str">
        <f t="shared" si="98"/>
        <v/>
      </c>
      <c r="IA15" s="11" t="str">
        <f t="shared" si="99"/>
        <v/>
      </c>
      <c r="IB15" s="11" t="str">
        <f t="shared" si="100"/>
        <v/>
      </c>
      <c r="IC15" s="11" t="str">
        <f t="shared" si="101"/>
        <v/>
      </c>
      <c r="ID15" s="11" t="str">
        <f t="shared" si="102"/>
        <v/>
      </c>
      <c r="IE15" s="11" t="str">
        <f t="shared" si="103"/>
        <v/>
      </c>
      <c r="IF15" s="11" t="str">
        <f t="shared" si="104"/>
        <v/>
      </c>
      <c r="IG15" s="11" t="str">
        <f t="shared" si="105"/>
        <v/>
      </c>
      <c r="IH15" s="11" t="str">
        <f t="shared" si="106"/>
        <v/>
      </c>
      <c r="II15" s="11" t="str">
        <f t="shared" si="107"/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 t="shared" si="108"/>
        <v/>
      </c>
      <c r="JE15" s="40" t="str">
        <f t="shared" si="109"/>
        <v/>
      </c>
      <c r="JF15" s="40" t="str">
        <f t="shared" si="110"/>
        <v/>
      </c>
      <c r="JG15" s="40" t="str">
        <f t="shared" si="111"/>
        <v/>
      </c>
      <c r="JH15" s="40" t="str">
        <f t="shared" si="112"/>
        <v/>
      </c>
      <c r="JI15" s="40" t="str">
        <f t="shared" si="113"/>
        <v/>
      </c>
      <c r="JJ15" s="40" t="str">
        <f t="shared" si="114"/>
        <v/>
      </c>
      <c r="JK15" s="40" t="str">
        <f t="shared" si="115"/>
        <v/>
      </c>
      <c r="JL15" s="40" t="str">
        <f t="shared" si="116"/>
        <v/>
      </c>
      <c r="JM15" s="40" t="str">
        <f t="shared" si="117"/>
        <v/>
      </c>
      <c r="JN15" s="40" t="str">
        <f t="shared" si="118"/>
        <v/>
      </c>
      <c r="JO15" s="40" t="str">
        <f t="shared" si="119"/>
        <v/>
      </c>
      <c r="JP15" s="40" t="str">
        <f t="shared" si="120"/>
        <v/>
      </c>
      <c r="JQ15" s="40" t="str">
        <f t="shared" si="121"/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 t="shared" si="122"/>
        <v/>
      </c>
      <c r="KM15" s="11" t="str">
        <f t="shared" si="123"/>
        <v/>
      </c>
      <c r="KN15" s="11" t="str">
        <f t="shared" si="124"/>
        <v/>
      </c>
      <c r="KO15" s="11" t="str">
        <f t="shared" si="125"/>
        <v/>
      </c>
      <c r="KP15" s="11" t="str">
        <f t="shared" si="126"/>
        <v/>
      </c>
      <c r="KQ15" s="11" t="str">
        <f t="shared" si="127"/>
        <v/>
      </c>
      <c r="KR15" s="11" t="str">
        <f t="shared" si="128"/>
        <v/>
      </c>
      <c r="KS15" s="11" t="str">
        <f t="shared" si="129"/>
        <v/>
      </c>
      <c r="KT15" s="11" t="str">
        <f t="shared" si="130"/>
        <v/>
      </c>
      <c r="KU15" s="11" t="str">
        <f t="shared" si="131"/>
        <v/>
      </c>
      <c r="KV15" s="11" t="str">
        <f t="shared" si="132"/>
        <v/>
      </c>
      <c r="KW15" s="11" t="str">
        <f t="shared" si="133"/>
        <v/>
      </c>
      <c r="KX15" s="11" t="str">
        <f t="shared" si="134"/>
        <v/>
      </c>
      <c r="KY15" s="11" t="str">
        <f t="shared" si="135"/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 t="shared" si="136"/>
        <v/>
      </c>
      <c r="LU15" s="40" t="str">
        <f t="shared" si="137"/>
        <v/>
      </c>
      <c r="LV15" s="40" t="str">
        <f t="shared" si="138"/>
        <v/>
      </c>
      <c r="LW15" s="40" t="str">
        <f t="shared" si="139"/>
        <v/>
      </c>
      <c r="LX15" s="40" t="str">
        <f t="shared" si="140"/>
        <v/>
      </c>
      <c r="LY15" s="40" t="str">
        <f t="shared" si="141"/>
        <v/>
      </c>
      <c r="LZ15" s="40" t="str">
        <f t="shared" si="142"/>
        <v/>
      </c>
      <c r="MA15" s="40" t="str">
        <f t="shared" si="143"/>
        <v/>
      </c>
      <c r="MB15" s="40" t="str">
        <f t="shared" si="144"/>
        <v/>
      </c>
      <c r="MC15" s="40" t="str">
        <f t="shared" si="145"/>
        <v/>
      </c>
      <c r="MD15" s="40" t="str">
        <f t="shared" si="146"/>
        <v/>
      </c>
      <c r="ME15" s="40" t="str">
        <f t="shared" si="147"/>
        <v/>
      </c>
      <c r="MF15" s="40" t="str">
        <f t="shared" si="148"/>
        <v/>
      </c>
      <c r="MG15" s="40" t="str">
        <f t="shared" si="149"/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 t="shared" si="150"/>
        <v/>
      </c>
      <c r="NC15" s="11" t="str">
        <f t="shared" si="151"/>
        <v/>
      </c>
      <c r="ND15" s="11" t="str">
        <f t="shared" si="152"/>
        <v/>
      </c>
      <c r="NE15" s="11" t="str">
        <f t="shared" si="153"/>
        <v/>
      </c>
      <c r="NF15" s="11" t="str">
        <f t="shared" si="154"/>
        <v/>
      </c>
      <c r="NG15" s="11" t="str">
        <f t="shared" si="155"/>
        <v/>
      </c>
      <c r="NH15" s="11" t="str">
        <f t="shared" si="156"/>
        <v/>
      </c>
      <c r="NI15" s="11" t="str">
        <f t="shared" si="157"/>
        <v/>
      </c>
      <c r="NJ15" s="11" t="str">
        <f t="shared" si="158"/>
        <v/>
      </c>
      <c r="NK15" s="11" t="str">
        <f t="shared" si="159"/>
        <v/>
      </c>
      <c r="NL15" s="11" t="str">
        <f t="shared" si="160"/>
        <v/>
      </c>
      <c r="NM15" s="11" t="str">
        <f t="shared" si="161"/>
        <v/>
      </c>
      <c r="NN15" s="11" t="str">
        <f t="shared" si="162"/>
        <v/>
      </c>
      <c r="NO15" s="11" t="str">
        <f t="shared" si="163"/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 t="shared" si="164"/>
        <v/>
      </c>
      <c r="OK15" s="40" t="str">
        <f t="shared" si="165"/>
        <v/>
      </c>
      <c r="OL15" s="40" t="str">
        <f t="shared" si="166"/>
        <v/>
      </c>
      <c r="OM15" s="40" t="str">
        <f t="shared" si="167"/>
        <v/>
      </c>
      <c r="ON15" s="40" t="str">
        <f t="shared" si="168"/>
        <v/>
      </c>
      <c r="OO15" s="40" t="str">
        <f t="shared" si="169"/>
        <v/>
      </c>
      <c r="OP15" s="40" t="str">
        <f t="shared" si="170"/>
        <v/>
      </c>
      <c r="OQ15" s="40" t="str">
        <f t="shared" si="171"/>
        <v/>
      </c>
      <c r="OR15" s="40" t="str">
        <f t="shared" si="172"/>
        <v/>
      </c>
      <c r="OS15" s="40" t="str">
        <f t="shared" si="173"/>
        <v/>
      </c>
      <c r="OT15" s="40" t="str">
        <f t="shared" si="174"/>
        <v/>
      </c>
      <c r="OU15" s="40" t="str">
        <f t="shared" si="175"/>
        <v/>
      </c>
      <c r="OV15" s="40" t="str">
        <f t="shared" si="176"/>
        <v/>
      </c>
      <c r="OW15" s="40" t="str">
        <f t="shared" si="177"/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 t="shared" si="178"/>
        <v/>
      </c>
      <c r="PS15" s="11" t="str">
        <f t="shared" si="179"/>
        <v/>
      </c>
      <c r="PT15" s="11" t="str">
        <f t="shared" si="180"/>
        <v/>
      </c>
      <c r="PU15" s="11" t="str">
        <f t="shared" si="181"/>
        <v/>
      </c>
      <c r="PV15" s="11" t="str">
        <f t="shared" si="182"/>
        <v/>
      </c>
      <c r="PW15" s="11" t="str">
        <f t="shared" si="183"/>
        <v/>
      </c>
      <c r="PX15" s="11" t="str">
        <f t="shared" si="184"/>
        <v/>
      </c>
      <c r="PY15" s="11" t="str">
        <f t="shared" si="185"/>
        <v/>
      </c>
      <c r="PZ15" s="11" t="str">
        <f t="shared" si="186"/>
        <v/>
      </c>
      <c r="QA15" s="11" t="str">
        <f t="shared" si="187"/>
        <v/>
      </c>
      <c r="QB15" s="11" t="str">
        <f t="shared" si="188"/>
        <v/>
      </c>
      <c r="QC15" s="11" t="str">
        <f t="shared" si="189"/>
        <v/>
      </c>
      <c r="QD15" s="11" t="str">
        <f t="shared" si="190"/>
        <v/>
      </c>
      <c r="QE15" s="11" t="str">
        <f t="shared" si="191"/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 t="shared" si="192"/>
        <v/>
      </c>
      <c r="RA15" s="40" t="str">
        <f t="shared" si="193"/>
        <v/>
      </c>
      <c r="RB15" s="40" t="str">
        <f t="shared" si="194"/>
        <v/>
      </c>
      <c r="RC15" s="40" t="str">
        <f t="shared" si="195"/>
        <v/>
      </c>
      <c r="RD15" s="40" t="str">
        <f t="shared" si="196"/>
        <v/>
      </c>
      <c r="RE15" s="40" t="str">
        <f t="shared" si="197"/>
        <v/>
      </c>
      <c r="RF15" s="40" t="str">
        <f t="shared" si="198"/>
        <v/>
      </c>
      <c r="RG15" s="40" t="str">
        <f t="shared" si="199"/>
        <v/>
      </c>
      <c r="RH15" s="40" t="str">
        <f t="shared" si="200"/>
        <v/>
      </c>
      <c r="RI15" s="40" t="str">
        <f t="shared" si="201"/>
        <v/>
      </c>
      <c r="RJ15" s="40" t="str">
        <f t="shared" si="202"/>
        <v/>
      </c>
      <c r="RK15" s="40" t="str">
        <f t="shared" si="203"/>
        <v/>
      </c>
      <c r="RL15" s="40" t="str">
        <f t="shared" si="204"/>
        <v/>
      </c>
      <c r="RM15" s="40" t="str">
        <f t="shared" si="205"/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 t="shared" si="206"/>
        <v/>
      </c>
      <c r="SI15" s="11" t="str">
        <f t="shared" si="207"/>
        <v/>
      </c>
      <c r="SJ15" s="11" t="str">
        <f t="shared" si="208"/>
        <v/>
      </c>
      <c r="SK15" s="11" t="str">
        <f t="shared" si="209"/>
        <v/>
      </c>
      <c r="SL15" s="11" t="str">
        <f t="shared" si="210"/>
        <v/>
      </c>
      <c r="SM15" s="11" t="str">
        <f t="shared" si="211"/>
        <v/>
      </c>
      <c r="SN15" s="11" t="str">
        <f t="shared" si="212"/>
        <v/>
      </c>
      <c r="SO15" s="11" t="str">
        <f t="shared" si="213"/>
        <v/>
      </c>
      <c r="SP15" s="11" t="str">
        <f t="shared" si="214"/>
        <v/>
      </c>
      <c r="SQ15" s="11" t="str">
        <f t="shared" si="215"/>
        <v/>
      </c>
      <c r="SR15" s="11" t="str">
        <f t="shared" si="216"/>
        <v/>
      </c>
      <c r="SS15" s="11" t="str">
        <f t="shared" si="217"/>
        <v/>
      </c>
      <c r="ST15" s="11" t="str">
        <f t="shared" si="218"/>
        <v/>
      </c>
      <c r="SU15" s="11" t="str">
        <f t="shared" si="219"/>
        <v/>
      </c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40" t="str">
        <f t="shared" si="220"/>
        <v/>
      </c>
      <c r="TQ15" s="40" t="str">
        <f t="shared" si="221"/>
        <v/>
      </c>
      <c r="TR15" s="40" t="str">
        <f t="shared" si="222"/>
        <v/>
      </c>
      <c r="TS15" s="40" t="str">
        <f t="shared" si="223"/>
        <v/>
      </c>
      <c r="TT15" s="40" t="str">
        <f t="shared" si="224"/>
        <v/>
      </c>
      <c r="TU15" s="40" t="str">
        <f t="shared" si="225"/>
        <v/>
      </c>
      <c r="TV15" s="40" t="str">
        <f t="shared" si="226"/>
        <v/>
      </c>
      <c r="TW15" s="40" t="str">
        <f t="shared" si="227"/>
        <v/>
      </c>
      <c r="TX15" s="40" t="str">
        <f t="shared" si="228"/>
        <v/>
      </c>
      <c r="TY15" s="40" t="str">
        <f t="shared" si="229"/>
        <v/>
      </c>
      <c r="TZ15" s="40" t="str">
        <f t="shared" si="230"/>
        <v/>
      </c>
      <c r="UA15" s="40" t="str">
        <f t="shared" si="231"/>
        <v/>
      </c>
      <c r="UB15" s="40" t="str">
        <f t="shared" si="232"/>
        <v/>
      </c>
      <c r="UC15" s="40" t="str">
        <f t="shared" si="233"/>
        <v/>
      </c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8"/>
      <c r="UQ15" s="18"/>
      <c r="UR15" s="18"/>
      <c r="US15" s="18"/>
      <c r="UT15" s="18"/>
      <c r="UU15" s="18"/>
      <c r="UV15" s="18"/>
      <c r="UW15" s="18"/>
      <c r="UX15" s="11" t="str">
        <f t="shared" si="234"/>
        <v/>
      </c>
      <c r="UY15" s="11" t="str">
        <f t="shared" si="235"/>
        <v/>
      </c>
      <c r="UZ15" s="11" t="str">
        <f t="shared" si="236"/>
        <v/>
      </c>
      <c r="VA15" s="11" t="str">
        <f t="shared" si="237"/>
        <v/>
      </c>
      <c r="VB15" s="11" t="str">
        <f t="shared" si="238"/>
        <v/>
      </c>
      <c r="VC15" s="11" t="str">
        <f t="shared" si="239"/>
        <v/>
      </c>
      <c r="VD15" s="11" t="str">
        <f t="shared" si="240"/>
        <v/>
      </c>
      <c r="VE15" s="11" t="str">
        <f t="shared" si="241"/>
        <v/>
      </c>
      <c r="VF15" s="11" t="str">
        <f t="shared" si="242"/>
        <v/>
      </c>
      <c r="VG15" s="11" t="str">
        <f t="shared" si="243"/>
        <v/>
      </c>
      <c r="VH15" s="11" t="str">
        <f t="shared" si="244"/>
        <v/>
      </c>
      <c r="VI15" s="11" t="str">
        <f t="shared" si="245"/>
        <v/>
      </c>
      <c r="VJ15" s="11" t="str">
        <f t="shared" si="246"/>
        <v/>
      </c>
      <c r="VK15" s="11" t="str">
        <f t="shared" si="247"/>
        <v/>
      </c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40" t="str">
        <f t="shared" si="248"/>
        <v/>
      </c>
      <c r="WG15" s="40" t="str">
        <f t="shared" si="249"/>
        <v/>
      </c>
      <c r="WH15" s="40" t="str">
        <f t="shared" si="250"/>
        <v/>
      </c>
      <c r="WI15" s="40" t="str">
        <f t="shared" si="251"/>
        <v/>
      </c>
      <c r="WJ15" s="40" t="str">
        <f t="shared" si="252"/>
        <v/>
      </c>
      <c r="WK15" s="40" t="str">
        <f t="shared" si="253"/>
        <v/>
      </c>
      <c r="WL15" s="40" t="str">
        <f t="shared" si="254"/>
        <v/>
      </c>
      <c r="WM15" s="40" t="str">
        <f t="shared" si="255"/>
        <v/>
      </c>
      <c r="WN15" s="40" t="str">
        <f t="shared" si="256"/>
        <v/>
      </c>
      <c r="WO15" s="40" t="str">
        <f t="shared" si="257"/>
        <v/>
      </c>
      <c r="WP15" s="40" t="str">
        <f t="shared" si="258"/>
        <v/>
      </c>
      <c r="WQ15" s="40" t="str">
        <f t="shared" si="259"/>
        <v/>
      </c>
      <c r="WR15" s="40" t="str">
        <f t="shared" si="260"/>
        <v/>
      </c>
      <c r="WS15" s="40" t="str">
        <f t="shared" si="261"/>
        <v/>
      </c>
      <c r="WT15" s="26">
        <f t="shared" si="262"/>
        <v>9.25</v>
      </c>
      <c r="WU15" s="26">
        <f t="shared" si="263"/>
        <v>6.35</v>
      </c>
      <c r="WV15" s="26">
        <f t="shared" si="264"/>
        <v>10.050000000000001</v>
      </c>
      <c r="WW15" s="26">
        <f t="shared" si="265"/>
        <v>10.515000000000001</v>
      </c>
      <c r="WX15" s="26">
        <f t="shared" si="266"/>
        <v>0</v>
      </c>
      <c r="WY15" s="26">
        <f t="shared" si="267"/>
        <v>6.6</v>
      </c>
      <c r="WZ15" s="26">
        <f t="shared" si="268"/>
        <v>4.55</v>
      </c>
      <c r="XA15" s="26">
        <f t="shared" si="269"/>
        <v>6.3</v>
      </c>
      <c r="XB15" s="26">
        <f t="shared" si="270"/>
        <v>7.165</v>
      </c>
      <c r="XC15" s="26">
        <f t="shared" si="271"/>
        <v>0.45</v>
      </c>
      <c r="XD15" s="26">
        <f t="shared" si="272"/>
        <v>7.25</v>
      </c>
      <c r="XE15" s="26">
        <f t="shared" si="273"/>
        <v>4.5</v>
      </c>
      <c r="XF15" s="26">
        <f t="shared" si="274"/>
        <v>6.9</v>
      </c>
      <c r="XG15" s="26">
        <f t="shared" si="275"/>
        <v>7.415</v>
      </c>
      <c r="XH15" s="26">
        <f t="shared" si="276"/>
        <v>0</v>
      </c>
      <c r="XI15" s="28" t="s">
        <v>53</v>
      </c>
      <c r="XJ15" s="11">
        <f t="shared" si="277"/>
        <v>10.050000000000001</v>
      </c>
      <c r="XK15" s="11">
        <f t="shared" si="278"/>
        <v>10.515000000000001</v>
      </c>
      <c r="XL15" s="11">
        <f t="shared" si="279"/>
        <v>36.164999999999999</v>
      </c>
      <c r="XM15" s="11">
        <f t="shared" si="280"/>
        <v>6.3</v>
      </c>
      <c r="XN15" s="11">
        <f t="shared" si="281"/>
        <v>7.165</v>
      </c>
      <c r="XO15" s="11">
        <f t="shared" si="282"/>
        <v>24.164999999999999</v>
      </c>
      <c r="XP15" s="11">
        <f t="shared" si="283"/>
        <v>36.164999999999999</v>
      </c>
      <c r="XQ15" s="11">
        <f t="shared" si="284"/>
        <v>6.9</v>
      </c>
      <c r="XR15" s="11">
        <f t="shared" si="285"/>
        <v>7.415</v>
      </c>
      <c r="XS15" s="11">
        <f t="shared" si="286"/>
        <v>26.064999999999998</v>
      </c>
      <c r="XT15" s="11">
        <f t="shared" si="287"/>
        <v>62.23</v>
      </c>
    </row>
    <row r="16" spans="1:644" x14ac:dyDescent="0.2">
      <c r="A16" s="4" t="str" cm="1">
        <f t="array" ref="A16">IF(AND(H16&lt;&gt;"",H16&lt;&gt;"No DD"),SUMPRODUCT((H$4:H$25&lt;&gt;"")*(H$4:H$25&lt;&gt;"No DD")*(E$4:E$25&gt;E16))+1,IF(H16="No DD",SUMPRODUCT((H$4:H$25="No DD")*(E$4:E$25&gt;E16))+1+SUMPRODUCT((H$4:H$25&lt;&gt;"")*(H$4:H$25&lt;&gt;"No DD")),""))</f>
        <v/>
      </c>
      <c r="B16" s="5" t="s">
        <v>132</v>
      </c>
      <c r="C16" s="4" t="s">
        <v>5</v>
      </c>
      <c r="D16" s="4">
        <v>2004</v>
      </c>
      <c r="E16" s="9">
        <f t="shared" si="0"/>
        <v>201.29002012900514</v>
      </c>
      <c r="F16" s="3" t="str">
        <f t="shared" si="1"/>
        <v/>
      </c>
      <c r="G16" s="3" t="str">
        <f t="shared" si="2"/>
        <v/>
      </c>
      <c r="H16" s="36" t="str">
        <f t="shared" si="3"/>
        <v/>
      </c>
      <c r="I16" s="3" t="str">
        <f t="shared" si="4"/>
        <v/>
      </c>
      <c r="J16" s="8">
        <f>IF(COUNT(AQ16,AT16,BR16,BU16,CS16,CV16)&gt;0,LARGE((AQ16,AT16,BR16,BU16,CS16,CV16),1),0)</f>
        <v>51.53</v>
      </c>
      <c r="K16" s="8" t="str">
        <f t="shared" si="5"/>
        <v>2024 Elite Canada</v>
      </c>
      <c r="L16" s="8">
        <f>IF(COUNT(AQ16,AT16,BR16,BU16,CS16,CV16)&gt;1,LARGE((AQ16,AT16,BR16,BU16,CS16,CV16),2),0)</f>
        <v>51.35</v>
      </c>
      <c r="M16" s="8" t="str">
        <f t="shared" si="6"/>
        <v>2024 Nationals</v>
      </c>
      <c r="N16" s="8">
        <f>IF(COUNT(AQ16,AT16,BR16,BU16,CS16,CV16)&gt;2,LARGE((AQ16,AT16,BR16,BU16,CS16,CV16),3),0)</f>
        <v>47.3</v>
      </c>
      <c r="O16" s="8" t="str">
        <f t="shared" si="7"/>
        <v>2024 Elite Canada</v>
      </c>
      <c r="P16" s="8">
        <f t="shared" si="8"/>
        <v>36.709999999999994</v>
      </c>
      <c r="Q16" s="8" t="str">
        <f t="shared" si="9"/>
        <v>2024 Nationals</v>
      </c>
      <c r="R16" s="8">
        <f t="shared" si="10"/>
        <v>14.4</v>
      </c>
      <c r="S16" s="8" t="str">
        <f t="shared" si="11"/>
        <v>2024 Elite Canada</v>
      </c>
      <c r="T16" s="8">
        <f t="shared" si="12"/>
        <v>0</v>
      </c>
      <c r="U16" s="8" t="str">
        <f t="shared" si="13"/>
        <v/>
      </c>
      <c r="V16" s="8" t="str">
        <f t="shared" si="14"/>
        <v/>
      </c>
      <c r="W16" s="11" t="str">
        <f t="shared" si="15"/>
        <v/>
      </c>
      <c r="X16" s="8" t="str">
        <f t="shared" si="16"/>
        <v/>
      </c>
      <c r="Y16" s="22">
        <v>11.7</v>
      </c>
      <c r="Z16" s="22">
        <v>9.8000000000000007</v>
      </c>
      <c r="AA16" s="22">
        <v>14.4</v>
      </c>
      <c r="AB16" s="22">
        <v>15.63</v>
      </c>
      <c r="AC16" s="22">
        <v>0</v>
      </c>
      <c r="AD16" s="22">
        <v>11.8</v>
      </c>
      <c r="AE16" s="22">
        <v>8.4</v>
      </c>
      <c r="AF16" s="22">
        <v>12.8</v>
      </c>
      <c r="AG16" s="22">
        <v>14.3</v>
      </c>
      <c r="AH16" s="22">
        <v>0</v>
      </c>
      <c r="AI16" s="22">
        <v>1.6</v>
      </c>
      <c r="AJ16" s="22">
        <v>1</v>
      </c>
      <c r="AK16" s="22">
        <v>2</v>
      </c>
      <c r="AL16" s="22">
        <v>1.76</v>
      </c>
      <c r="AM16" s="22">
        <v>0.2</v>
      </c>
      <c r="AN16" s="27"/>
      <c r="AO16" s="38">
        <f t="shared" si="17"/>
        <v>14.4</v>
      </c>
      <c r="AP16" s="38">
        <f t="shared" si="18"/>
        <v>15.63</v>
      </c>
      <c r="AQ16" s="40">
        <f t="shared" si="19"/>
        <v>51.53</v>
      </c>
      <c r="AR16" s="40">
        <f t="shared" si="20"/>
        <v>12.8</v>
      </c>
      <c r="AS16" s="40">
        <f t="shared" si="21"/>
        <v>14.3</v>
      </c>
      <c r="AT16" s="40">
        <f t="shared" si="22"/>
        <v>47.3</v>
      </c>
      <c r="AU16" s="40">
        <f t="shared" si="23"/>
        <v>51.53</v>
      </c>
      <c r="AV16" s="40">
        <f t="shared" si="24"/>
        <v>2</v>
      </c>
      <c r="AW16" s="40">
        <f t="shared" si="25"/>
        <v>1.76</v>
      </c>
      <c r="AX16" s="40">
        <f t="shared" si="26"/>
        <v>6.1599999999999993</v>
      </c>
      <c r="AY16" s="40">
        <f t="shared" si="27"/>
        <v>57.69</v>
      </c>
      <c r="AZ16" s="26">
        <v>12.9</v>
      </c>
      <c r="BA16" s="26">
        <v>8.9</v>
      </c>
      <c r="BB16" s="26">
        <v>14.2</v>
      </c>
      <c r="BC16" s="26">
        <v>15.35</v>
      </c>
      <c r="BD16" s="26">
        <v>0</v>
      </c>
      <c r="BE16" s="26">
        <v>1.4</v>
      </c>
      <c r="BF16" s="26">
        <v>1</v>
      </c>
      <c r="BG16" s="26">
        <v>2</v>
      </c>
      <c r="BH16" s="26">
        <v>1.79</v>
      </c>
      <c r="BI16" s="26">
        <v>0</v>
      </c>
      <c r="BJ16" s="26">
        <v>9.1</v>
      </c>
      <c r="BK16" s="26">
        <v>6.5</v>
      </c>
      <c r="BL16" s="26">
        <v>10.3</v>
      </c>
      <c r="BM16" s="26">
        <v>11.01</v>
      </c>
      <c r="BN16" s="26">
        <v>0.2</v>
      </c>
      <c r="BO16" s="28"/>
      <c r="BP16" s="39">
        <f t="shared" si="28"/>
        <v>14.2</v>
      </c>
      <c r="BQ16" s="39">
        <f t="shared" si="29"/>
        <v>15.35</v>
      </c>
      <c r="BR16" s="11">
        <f t="shared" si="30"/>
        <v>51.35</v>
      </c>
      <c r="BS16" s="11">
        <f t="shared" si="31"/>
        <v>2</v>
      </c>
      <c r="BT16" s="11">
        <f t="shared" si="32"/>
        <v>1.79</v>
      </c>
      <c r="BU16" s="11">
        <f t="shared" si="33"/>
        <v>6.19</v>
      </c>
      <c r="BV16" s="11">
        <f t="shared" si="34"/>
        <v>51.35</v>
      </c>
      <c r="BW16" s="11">
        <f t="shared" si="35"/>
        <v>10.3</v>
      </c>
      <c r="BX16" s="11">
        <f t="shared" si="36"/>
        <v>11.01</v>
      </c>
      <c r="BY16" s="11">
        <f t="shared" si="37"/>
        <v>36.709999999999994</v>
      </c>
      <c r="BZ16" s="11">
        <f t="shared" si="38"/>
        <v>88.06</v>
      </c>
      <c r="CA16" s="22"/>
      <c r="CB16" s="22"/>
      <c r="CC16" s="22"/>
      <c r="CD16" s="22"/>
      <c r="CE16" s="22"/>
      <c r="CF16" s="22"/>
      <c r="CG16" s="22"/>
      <c r="CH16" s="22"/>
      <c r="CI16" s="22"/>
      <c r="CJ16" s="22"/>
      <c r="CK16" s="22"/>
      <c r="CL16" s="22"/>
      <c r="CM16" s="22"/>
      <c r="CN16" s="22"/>
      <c r="CO16" s="22"/>
      <c r="CP16" s="27"/>
      <c r="CQ16" s="38" t="str">
        <f t="shared" si="39"/>
        <v/>
      </c>
      <c r="CR16" s="38" t="str">
        <f t="shared" si="40"/>
        <v/>
      </c>
      <c r="CS16" s="40" t="str">
        <f t="shared" si="41"/>
        <v/>
      </c>
      <c r="CT16" s="40" t="str">
        <f t="shared" si="42"/>
        <v/>
      </c>
      <c r="CU16" s="40" t="str">
        <f t="shared" si="43"/>
        <v/>
      </c>
      <c r="CV16" s="40" t="str">
        <f t="shared" si="44"/>
        <v/>
      </c>
      <c r="CW16" s="40" t="str">
        <f t="shared" si="45"/>
        <v/>
      </c>
      <c r="CX16" s="40" t="str">
        <f t="shared" si="46"/>
        <v/>
      </c>
      <c r="CY16" s="40" t="str">
        <f t="shared" si="47"/>
        <v/>
      </c>
      <c r="CZ16" s="40" t="str">
        <f t="shared" si="48"/>
        <v/>
      </c>
      <c r="DA16" s="40" t="str">
        <f t="shared" si="49"/>
        <v/>
      </c>
      <c r="DB16" s="51" t="str">
        <f t="shared" si="50"/>
        <v/>
      </c>
      <c r="DC16" s="51" t="str">
        <f t="shared" si="51"/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 t="shared" si="52"/>
        <v/>
      </c>
      <c r="DY16" s="40" t="str">
        <f t="shared" si="53"/>
        <v/>
      </c>
      <c r="DZ16" s="40" t="str">
        <f t="shared" si="54"/>
        <v/>
      </c>
      <c r="EA16" s="40" t="str">
        <f t="shared" si="55"/>
        <v/>
      </c>
      <c r="EB16" s="40" t="str">
        <f t="shared" si="56"/>
        <v/>
      </c>
      <c r="EC16" s="40" t="str">
        <f t="shared" si="57"/>
        <v/>
      </c>
      <c r="ED16" s="40" t="str">
        <f t="shared" si="58"/>
        <v/>
      </c>
      <c r="EE16" s="40" t="str">
        <f t="shared" si="59"/>
        <v/>
      </c>
      <c r="EF16" s="40" t="str">
        <f t="shared" si="60"/>
        <v/>
      </c>
      <c r="EG16" s="40" t="str">
        <f t="shared" si="61"/>
        <v/>
      </c>
      <c r="EH16" s="40" t="str">
        <f t="shared" si="62"/>
        <v/>
      </c>
      <c r="EI16" s="40" t="str">
        <f t="shared" si="63"/>
        <v/>
      </c>
      <c r="EJ16" s="40" t="str">
        <f t="shared" si="64"/>
        <v/>
      </c>
      <c r="EK16" s="40" t="str">
        <f t="shared" si="65"/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 t="shared" si="66"/>
        <v/>
      </c>
      <c r="FG16" s="11" t="str">
        <f t="shared" si="67"/>
        <v/>
      </c>
      <c r="FH16" s="11" t="str">
        <f t="shared" si="68"/>
        <v/>
      </c>
      <c r="FI16" s="11" t="str">
        <f t="shared" si="69"/>
        <v/>
      </c>
      <c r="FJ16" s="11" t="str">
        <f t="shared" si="70"/>
        <v/>
      </c>
      <c r="FK16" s="11" t="str">
        <f t="shared" si="71"/>
        <v/>
      </c>
      <c r="FL16" s="11" t="str">
        <f t="shared" si="72"/>
        <v/>
      </c>
      <c r="FM16" s="11" t="str">
        <f t="shared" si="73"/>
        <v/>
      </c>
      <c r="FN16" s="11" t="str">
        <f t="shared" si="74"/>
        <v/>
      </c>
      <c r="FO16" s="11" t="str">
        <f t="shared" si="75"/>
        <v/>
      </c>
      <c r="FP16" s="11" t="str">
        <f t="shared" si="76"/>
        <v/>
      </c>
      <c r="FQ16" s="11" t="str">
        <f t="shared" si="77"/>
        <v/>
      </c>
      <c r="FR16" s="11" t="str">
        <f t="shared" si="78"/>
        <v/>
      </c>
      <c r="FS16" s="11" t="str">
        <f t="shared" si="79"/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 t="shared" si="80"/>
        <v/>
      </c>
      <c r="GO16" s="40" t="str">
        <f t="shared" si="81"/>
        <v/>
      </c>
      <c r="GP16" s="40" t="str">
        <f t="shared" si="82"/>
        <v/>
      </c>
      <c r="GQ16" s="40" t="str">
        <f t="shared" si="83"/>
        <v/>
      </c>
      <c r="GR16" s="40" t="str">
        <f t="shared" si="84"/>
        <v/>
      </c>
      <c r="GS16" s="40" t="str">
        <f t="shared" si="85"/>
        <v/>
      </c>
      <c r="GT16" s="40" t="str">
        <f t="shared" si="86"/>
        <v/>
      </c>
      <c r="GU16" s="40" t="str">
        <f t="shared" si="87"/>
        <v/>
      </c>
      <c r="GV16" s="40" t="str">
        <f t="shared" si="88"/>
        <v/>
      </c>
      <c r="GW16" s="40" t="str">
        <f t="shared" si="89"/>
        <v/>
      </c>
      <c r="GX16" s="40" t="str">
        <f t="shared" si="90"/>
        <v/>
      </c>
      <c r="GY16" s="40" t="str">
        <f t="shared" si="91"/>
        <v/>
      </c>
      <c r="GZ16" s="40" t="str">
        <f t="shared" si="92"/>
        <v/>
      </c>
      <c r="HA16" s="40" t="str">
        <f t="shared" si="93"/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 t="shared" si="94"/>
        <v/>
      </c>
      <c r="HW16" s="11" t="str">
        <f t="shared" si="95"/>
        <v/>
      </c>
      <c r="HX16" s="11" t="str">
        <f t="shared" si="96"/>
        <v/>
      </c>
      <c r="HY16" s="11" t="str">
        <f t="shared" si="97"/>
        <v/>
      </c>
      <c r="HZ16" s="11" t="str">
        <f t="shared" si="98"/>
        <v/>
      </c>
      <c r="IA16" s="11" t="str">
        <f t="shared" si="99"/>
        <v/>
      </c>
      <c r="IB16" s="11" t="str">
        <f t="shared" si="100"/>
        <v/>
      </c>
      <c r="IC16" s="11" t="str">
        <f t="shared" si="101"/>
        <v/>
      </c>
      <c r="ID16" s="11" t="str">
        <f t="shared" si="102"/>
        <v/>
      </c>
      <c r="IE16" s="11" t="str">
        <f t="shared" si="103"/>
        <v/>
      </c>
      <c r="IF16" s="11" t="str">
        <f t="shared" si="104"/>
        <v/>
      </c>
      <c r="IG16" s="11" t="str">
        <f t="shared" si="105"/>
        <v/>
      </c>
      <c r="IH16" s="11" t="str">
        <f t="shared" si="106"/>
        <v/>
      </c>
      <c r="II16" s="11" t="str">
        <f t="shared" si="107"/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 t="shared" si="108"/>
        <v/>
      </c>
      <c r="JE16" s="40" t="str">
        <f t="shared" si="109"/>
        <v/>
      </c>
      <c r="JF16" s="40" t="str">
        <f t="shared" si="110"/>
        <v/>
      </c>
      <c r="JG16" s="40" t="str">
        <f t="shared" si="111"/>
        <v/>
      </c>
      <c r="JH16" s="40" t="str">
        <f t="shared" si="112"/>
        <v/>
      </c>
      <c r="JI16" s="40" t="str">
        <f t="shared" si="113"/>
        <v/>
      </c>
      <c r="JJ16" s="40" t="str">
        <f t="shared" si="114"/>
        <v/>
      </c>
      <c r="JK16" s="40" t="str">
        <f t="shared" si="115"/>
        <v/>
      </c>
      <c r="JL16" s="40" t="str">
        <f t="shared" si="116"/>
        <v/>
      </c>
      <c r="JM16" s="40" t="str">
        <f t="shared" si="117"/>
        <v/>
      </c>
      <c r="JN16" s="40" t="str">
        <f t="shared" si="118"/>
        <v/>
      </c>
      <c r="JO16" s="40" t="str">
        <f t="shared" si="119"/>
        <v/>
      </c>
      <c r="JP16" s="40" t="str">
        <f t="shared" si="120"/>
        <v/>
      </c>
      <c r="JQ16" s="40" t="str">
        <f t="shared" si="121"/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 t="shared" si="122"/>
        <v/>
      </c>
      <c r="KM16" s="11" t="str">
        <f t="shared" si="123"/>
        <v/>
      </c>
      <c r="KN16" s="11" t="str">
        <f t="shared" si="124"/>
        <v/>
      </c>
      <c r="KO16" s="11" t="str">
        <f t="shared" si="125"/>
        <v/>
      </c>
      <c r="KP16" s="11" t="str">
        <f t="shared" si="126"/>
        <v/>
      </c>
      <c r="KQ16" s="11" t="str">
        <f t="shared" si="127"/>
        <v/>
      </c>
      <c r="KR16" s="11" t="str">
        <f t="shared" si="128"/>
        <v/>
      </c>
      <c r="KS16" s="11" t="str">
        <f t="shared" si="129"/>
        <v/>
      </c>
      <c r="KT16" s="11" t="str">
        <f t="shared" si="130"/>
        <v/>
      </c>
      <c r="KU16" s="11" t="str">
        <f t="shared" si="131"/>
        <v/>
      </c>
      <c r="KV16" s="11" t="str">
        <f t="shared" si="132"/>
        <v/>
      </c>
      <c r="KW16" s="11" t="str">
        <f t="shared" si="133"/>
        <v/>
      </c>
      <c r="KX16" s="11" t="str">
        <f t="shared" si="134"/>
        <v/>
      </c>
      <c r="KY16" s="11" t="str">
        <f t="shared" si="135"/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 t="shared" si="136"/>
        <v/>
      </c>
      <c r="LU16" s="40" t="str">
        <f t="shared" si="137"/>
        <v/>
      </c>
      <c r="LV16" s="40" t="str">
        <f t="shared" si="138"/>
        <v/>
      </c>
      <c r="LW16" s="40" t="str">
        <f t="shared" si="139"/>
        <v/>
      </c>
      <c r="LX16" s="40" t="str">
        <f t="shared" si="140"/>
        <v/>
      </c>
      <c r="LY16" s="40" t="str">
        <f t="shared" si="141"/>
        <v/>
      </c>
      <c r="LZ16" s="40" t="str">
        <f t="shared" si="142"/>
        <v/>
      </c>
      <c r="MA16" s="40" t="str">
        <f t="shared" si="143"/>
        <v/>
      </c>
      <c r="MB16" s="40" t="str">
        <f t="shared" si="144"/>
        <v/>
      </c>
      <c r="MC16" s="40" t="str">
        <f t="shared" si="145"/>
        <v/>
      </c>
      <c r="MD16" s="40" t="str">
        <f t="shared" si="146"/>
        <v/>
      </c>
      <c r="ME16" s="40" t="str">
        <f t="shared" si="147"/>
        <v/>
      </c>
      <c r="MF16" s="40" t="str">
        <f t="shared" si="148"/>
        <v/>
      </c>
      <c r="MG16" s="40" t="str">
        <f t="shared" si="149"/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 t="shared" si="150"/>
        <v/>
      </c>
      <c r="NC16" s="11" t="str">
        <f t="shared" si="151"/>
        <v/>
      </c>
      <c r="ND16" s="11" t="str">
        <f t="shared" si="152"/>
        <v/>
      </c>
      <c r="NE16" s="11" t="str">
        <f t="shared" si="153"/>
        <v/>
      </c>
      <c r="NF16" s="11" t="str">
        <f t="shared" si="154"/>
        <v/>
      </c>
      <c r="NG16" s="11" t="str">
        <f t="shared" si="155"/>
        <v/>
      </c>
      <c r="NH16" s="11" t="str">
        <f t="shared" si="156"/>
        <v/>
      </c>
      <c r="NI16" s="11" t="str">
        <f t="shared" si="157"/>
        <v/>
      </c>
      <c r="NJ16" s="11" t="str">
        <f t="shared" si="158"/>
        <v/>
      </c>
      <c r="NK16" s="11" t="str">
        <f t="shared" si="159"/>
        <v/>
      </c>
      <c r="NL16" s="11" t="str">
        <f t="shared" si="160"/>
        <v/>
      </c>
      <c r="NM16" s="11" t="str">
        <f t="shared" si="161"/>
        <v/>
      </c>
      <c r="NN16" s="11" t="str">
        <f t="shared" si="162"/>
        <v/>
      </c>
      <c r="NO16" s="11" t="str">
        <f t="shared" si="163"/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 t="shared" si="164"/>
        <v/>
      </c>
      <c r="OK16" s="40" t="str">
        <f t="shared" si="165"/>
        <v/>
      </c>
      <c r="OL16" s="40" t="str">
        <f t="shared" si="166"/>
        <v/>
      </c>
      <c r="OM16" s="40" t="str">
        <f t="shared" si="167"/>
        <v/>
      </c>
      <c r="ON16" s="40" t="str">
        <f t="shared" si="168"/>
        <v/>
      </c>
      <c r="OO16" s="40" t="str">
        <f t="shared" si="169"/>
        <v/>
      </c>
      <c r="OP16" s="40" t="str">
        <f t="shared" si="170"/>
        <v/>
      </c>
      <c r="OQ16" s="40" t="str">
        <f t="shared" si="171"/>
        <v/>
      </c>
      <c r="OR16" s="40" t="str">
        <f t="shared" si="172"/>
        <v/>
      </c>
      <c r="OS16" s="40" t="str">
        <f t="shared" si="173"/>
        <v/>
      </c>
      <c r="OT16" s="40" t="str">
        <f t="shared" si="174"/>
        <v/>
      </c>
      <c r="OU16" s="40" t="str">
        <f t="shared" si="175"/>
        <v/>
      </c>
      <c r="OV16" s="40" t="str">
        <f t="shared" si="176"/>
        <v/>
      </c>
      <c r="OW16" s="40" t="str">
        <f t="shared" si="177"/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 t="shared" si="178"/>
        <v/>
      </c>
      <c r="PS16" s="11" t="str">
        <f t="shared" si="179"/>
        <v/>
      </c>
      <c r="PT16" s="11" t="str">
        <f t="shared" si="180"/>
        <v/>
      </c>
      <c r="PU16" s="11" t="str">
        <f t="shared" si="181"/>
        <v/>
      </c>
      <c r="PV16" s="11" t="str">
        <f t="shared" si="182"/>
        <v/>
      </c>
      <c r="PW16" s="11" t="str">
        <f t="shared" si="183"/>
        <v/>
      </c>
      <c r="PX16" s="11" t="str">
        <f t="shared" si="184"/>
        <v/>
      </c>
      <c r="PY16" s="11" t="str">
        <f t="shared" si="185"/>
        <v/>
      </c>
      <c r="PZ16" s="11" t="str">
        <f t="shared" si="186"/>
        <v/>
      </c>
      <c r="QA16" s="11" t="str">
        <f t="shared" si="187"/>
        <v/>
      </c>
      <c r="QB16" s="11" t="str">
        <f t="shared" si="188"/>
        <v/>
      </c>
      <c r="QC16" s="11" t="str">
        <f t="shared" si="189"/>
        <v/>
      </c>
      <c r="QD16" s="11" t="str">
        <f t="shared" si="190"/>
        <v/>
      </c>
      <c r="QE16" s="11" t="str">
        <f t="shared" si="191"/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 t="shared" si="192"/>
        <v/>
      </c>
      <c r="RA16" s="40" t="str">
        <f t="shared" si="193"/>
        <v/>
      </c>
      <c r="RB16" s="40" t="str">
        <f t="shared" si="194"/>
        <v/>
      </c>
      <c r="RC16" s="40" t="str">
        <f t="shared" si="195"/>
        <v/>
      </c>
      <c r="RD16" s="40" t="str">
        <f t="shared" si="196"/>
        <v/>
      </c>
      <c r="RE16" s="40" t="str">
        <f t="shared" si="197"/>
        <v/>
      </c>
      <c r="RF16" s="40" t="str">
        <f t="shared" si="198"/>
        <v/>
      </c>
      <c r="RG16" s="40" t="str">
        <f t="shared" si="199"/>
        <v/>
      </c>
      <c r="RH16" s="40" t="str">
        <f t="shared" si="200"/>
        <v/>
      </c>
      <c r="RI16" s="40" t="str">
        <f t="shared" si="201"/>
        <v/>
      </c>
      <c r="RJ16" s="40" t="str">
        <f t="shared" si="202"/>
        <v/>
      </c>
      <c r="RK16" s="40" t="str">
        <f t="shared" si="203"/>
        <v/>
      </c>
      <c r="RL16" s="40" t="str">
        <f t="shared" si="204"/>
        <v/>
      </c>
      <c r="RM16" s="40" t="str">
        <f t="shared" si="205"/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 t="shared" si="206"/>
        <v/>
      </c>
      <c r="SI16" s="11" t="str">
        <f t="shared" si="207"/>
        <v/>
      </c>
      <c r="SJ16" s="11" t="str">
        <f t="shared" si="208"/>
        <v/>
      </c>
      <c r="SK16" s="11" t="str">
        <f t="shared" si="209"/>
        <v/>
      </c>
      <c r="SL16" s="11" t="str">
        <f t="shared" si="210"/>
        <v/>
      </c>
      <c r="SM16" s="11" t="str">
        <f t="shared" si="211"/>
        <v/>
      </c>
      <c r="SN16" s="11" t="str">
        <f t="shared" si="212"/>
        <v/>
      </c>
      <c r="SO16" s="11" t="str">
        <f t="shared" si="213"/>
        <v/>
      </c>
      <c r="SP16" s="11" t="str">
        <f t="shared" si="214"/>
        <v/>
      </c>
      <c r="SQ16" s="11" t="str">
        <f t="shared" si="215"/>
        <v/>
      </c>
      <c r="SR16" s="11" t="str">
        <f t="shared" si="216"/>
        <v/>
      </c>
      <c r="SS16" s="11" t="str">
        <f t="shared" si="217"/>
        <v/>
      </c>
      <c r="ST16" s="11" t="str">
        <f t="shared" si="218"/>
        <v/>
      </c>
      <c r="SU16" s="11" t="str">
        <f t="shared" si="219"/>
        <v/>
      </c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40" t="str">
        <f t="shared" si="220"/>
        <v/>
      </c>
      <c r="TQ16" s="40" t="str">
        <f t="shared" si="221"/>
        <v/>
      </c>
      <c r="TR16" s="40" t="str">
        <f t="shared" si="222"/>
        <v/>
      </c>
      <c r="TS16" s="40" t="str">
        <f t="shared" si="223"/>
        <v/>
      </c>
      <c r="TT16" s="40" t="str">
        <f t="shared" si="224"/>
        <v/>
      </c>
      <c r="TU16" s="40" t="str">
        <f t="shared" si="225"/>
        <v/>
      </c>
      <c r="TV16" s="40" t="str">
        <f t="shared" si="226"/>
        <v/>
      </c>
      <c r="TW16" s="40" t="str">
        <f t="shared" si="227"/>
        <v/>
      </c>
      <c r="TX16" s="40" t="str">
        <f t="shared" si="228"/>
        <v/>
      </c>
      <c r="TY16" s="40" t="str">
        <f t="shared" si="229"/>
        <v/>
      </c>
      <c r="TZ16" s="40" t="str">
        <f t="shared" si="230"/>
        <v/>
      </c>
      <c r="UA16" s="40" t="str">
        <f t="shared" si="231"/>
        <v/>
      </c>
      <c r="UB16" s="40" t="str">
        <f t="shared" si="232"/>
        <v/>
      </c>
      <c r="UC16" s="40" t="str">
        <f t="shared" si="233"/>
        <v/>
      </c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8"/>
      <c r="UQ16" s="18"/>
      <c r="UR16" s="18"/>
      <c r="US16" s="18"/>
      <c r="UT16" s="18"/>
      <c r="UU16" s="18"/>
      <c r="UV16" s="18"/>
      <c r="UW16" s="18"/>
      <c r="UX16" s="11" t="str">
        <f t="shared" si="234"/>
        <v/>
      </c>
      <c r="UY16" s="11" t="str">
        <f t="shared" si="235"/>
        <v/>
      </c>
      <c r="UZ16" s="11" t="str">
        <f t="shared" si="236"/>
        <v/>
      </c>
      <c r="VA16" s="11" t="str">
        <f t="shared" si="237"/>
        <v/>
      </c>
      <c r="VB16" s="11" t="str">
        <f t="shared" si="238"/>
        <v/>
      </c>
      <c r="VC16" s="11" t="str">
        <f t="shared" si="239"/>
        <v/>
      </c>
      <c r="VD16" s="11" t="str">
        <f t="shared" si="240"/>
        <v/>
      </c>
      <c r="VE16" s="11" t="str">
        <f t="shared" si="241"/>
        <v/>
      </c>
      <c r="VF16" s="11" t="str">
        <f t="shared" si="242"/>
        <v/>
      </c>
      <c r="VG16" s="11" t="str">
        <f t="shared" si="243"/>
        <v/>
      </c>
      <c r="VH16" s="11" t="str">
        <f t="shared" si="244"/>
        <v/>
      </c>
      <c r="VI16" s="11" t="str">
        <f t="shared" si="245"/>
        <v/>
      </c>
      <c r="VJ16" s="11" t="str">
        <f t="shared" si="246"/>
        <v/>
      </c>
      <c r="VK16" s="11" t="str">
        <f t="shared" si="247"/>
        <v/>
      </c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40" t="str">
        <f t="shared" si="248"/>
        <v/>
      </c>
      <c r="WG16" s="40" t="str">
        <f t="shared" si="249"/>
        <v/>
      </c>
      <c r="WH16" s="40" t="str">
        <f t="shared" si="250"/>
        <v/>
      </c>
      <c r="WI16" s="40" t="str">
        <f t="shared" si="251"/>
        <v/>
      </c>
      <c r="WJ16" s="40" t="str">
        <f t="shared" si="252"/>
        <v/>
      </c>
      <c r="WK16" s="40" t="str">
        <f t="shared" si="253"/>
        <v/>
      </c>
      <c r="WL16" s="40" t="str">
        <f t="shared" si="254"/>
        <v/>
      </c>
      <c r="WM16" s="40" t="str">
        <f t="shared" si="255"/>
        <v/>
      </c>
      <c r="WN16" s="40" t="str">
        <f t="shared" si="256"/>
        <v/>
      </c>
      <c r="WO16" s="40" t="str">
        <f t="shared" si="257"/>
        <v/>
      </c>
      <c r="WP16" s="40" t="str">
        <f t="shared" si="258"/>
        <v/>
      </c>
      <c r="WQ16" s="40" t="str">
        <f t="shared" si="259"/>
        <v/>
      </c>
      <c r="WR16" s="40" t="str">
        <f t="shared" si="260"/>
        <v/>
      </c>
      <c r="WS16" s="40" t="str">
        <f t="shared" si="261"/>
        <v/>
      </c>
      <c r="WT16" s="26">
        <f t="shared" si="262"/>
        <v>6.45</v>
      </c>
      <c r="WU16" s="26">
        <f t="shared" si="263"/>
        <v>4.45</v>
      </c>
      <c r="WV16" s="26">
        <f t="shared" si="264"/>
        <v>7.1</v>
      </c>
      <c r="WW16" s="26">
        <f t="shared" si="265"/>
        <v>7.6749999999999998</v>
      </c>
      <c r="WX16" s="26">
        <f t="shared" si="266"/>
        <v>0</v>
      </c>
      <c r="WY16" s="26">
        <f t="shared" si="267"/>
        <v>0.7</v>
      </c>
      <c r="WZ16" s="26">
        <f t="shared" si="268"/>
        <v>0.5</v>
      </c>
      <c r="XA16" s="26">
        <f t="shared" si="269"/>
        <v>1</v>
      </c>
      <c r="XB16" s="26">
        <f t="shared" si="270"/>
        <v>0.89500000000000002</v>
      </c>
      <c r="XC16" s="26">
        <f t="shared" si="271"/>
        <v>0</v>
      </c>
      <c r="XD16" s="26">
        <f t="shared" si="272"/>
        <v>4.55</v>
      </c>
      <c r="XE16" s="26">
        <f t="shared" si="273"/>
        <v>3.25</v>
      </c>
      <c r="XF16" s="26">
        <f t="shared" si="274"/>
        <v>5.15</v>
      </c>
      <c r="XG16" s="26">
        <f t="shared" si="275"/>
        <v>5.5049999999999999</v>
      </c>
      <c r="XH16" s="26">
        <f t="shared" si="276"/>
        <v>0.1</v>
      </c>
      <c r="XI16" s="28" t="s">
        <v>53</v>
      </c>
      <c r="XJ16" s="11">
        <f t="shared" si="277"/>
        <v>7.1</v>
      </c>
      <c r="XK16" s="11">
        <f t="shared" si="278"/>
        <v>7.6749999999999998</v>
      </c>
      <c r="XL16" s="11">
        <f t="shared" si="279"/>
        <v>25.675000000000001</v>
      </c>
      <c r="XM16" s="11">
        <f t="shared" si="280"/>
        <v>1</v>
      </c>
      <c r="XN16" s="11">
        <f t="shared" si="281"/>
        <v>0.89500000000000002</v>
      </c>
      <c r="XO16" s="11">
        <f t="shared" si="282"/>
        <v>3.0950000000000002</v>
      </c>
      <c r="XP16" s="11">
        <f t="shared" si="283"/>
        <v>25.675000000000001</v>
      </c>
      <c r="XQ16" s="11">
        <f t="shared" si="284"/>
        <v>5.15</v>
      </c>
      <c r="XR16" s="11">
        <f t="shared" si="285"/>
        <v>5.5049999999999999</v>
      </c>
      <c r="XS16" s="11">
        <f t="shared" si="286"/>
        <v>18.354999999999997</v>
      </c>
      <c r="XT16" s="11">
        <f t="shared" si="287"/>
        <v>44.03</v>
      </c>
    </row>
    <row r="17" spans="1:644" x14ac:dyDescent="0.2">
      <c r="A17" s="4" t="str" cm="1">
        <f t="array" ref="A17">IF(AND(H17&lt;&gt;"",H17&lt;&gt;"No DD"),SUMPRODUCT((H$4:H$25&lt;&gt;"")*(H$4:H$25&lt;&gt;"No DD")*(E$4:E$25&gt;E17))+1,IF(H17="No DD",SUMPRODUCT((H$4:H$25="No DD")*(E$4:E$25&gt;E17))+1+SUMPRODUCT((H$4:H$25&lt;&gt;"")*(H$4:H$25&lt;&gt;"No DD")),""))</f>
        <v/>
      </c>
      <c r="B17" s="5" t="s">
        <v>195</v>
      </c>
      <c r="C17" s="4" t="s">
        <v>3</v>
      </c>
      <c r="D17" s="4">
        <v>2002</v>
      </c>
      <c r="E17" s="9">
        <f t="shared" si="0"/>
        <v>191.62001916200529</v>
      </c>
      <c r="F17" s="3" t="str">
        <f t="shared" si="1"/>
        <v/>
      </c>
      <c r="G17" s="3" t="str">
        <f t="shared" si="2"/>
        <v/>
      </c>
      <c r="H17" s="36" t="str">
        <f t="shared" si="3"/>
        <v/>
      </c>
      <c r="I17" s="3" t="str">
        <f t="shared" si="4"/>
        <v/>
      </c>
      <c r="J17" s="8">
        <f>IF(COUNT(AQ17,AT17,BR17,BU17,CS17,CV17)&gt;0,LARGE((AQ17,AT17,BR17,BU17,CS17,CV17),1),0)</f>
        <v>53.129999999999995</v>
      </c>
      <c r="K17" s="8" t="str">
        <f t="shared" si="5"/>
        <v>2024 3rd Domestic Trial</v>
      </c>
      <c r="L17" s="8">
        <f>IF(COUNT(AQ17,AT17,BR17,BU17,CS17,CV17)&gt;1,LARGE((AQ17,AT17,BR17,BU17,CS17,CV17),2),0)</f>
        <v>37.1</v>
      </c>
      <c r="M17" s="8" t="str">
        <f t="shared" si="6"/>
        <v>2024 3rd Domestic Trial</v>
      </c>
      <c r="N17" s="8">
        <f>IF(COUNT(AQ17,AT17,BR17,BU17,CS17,CV17)&gt;2,LARGE((AQ17,AT17,BR17,BU17,CS17,CV17),3),0)</f>
        <v>35.410000000000004</v>
      </c>
      <c r="O17" s="8" t="str">
        <f t="shared" si="7"/>
        <v>2024 Elite Canada</v>
      </c>
      <c r="P17" s="8">
        <f t="shared" si="8"/>
        <v>51.98</v>
      </c>
      <c r="Q17" s="8" t="str">
        <f t="shared" si="9"/>
        <v>2024 3rd Domestic Trial</v>
      </c>
      <c r="R17" s="8">
        <f t="shared" si="10"/>
        <v>14</v>
      </c>
      <c r="S17" s="8" t="str">
        <f t="shared" si="11"/>
        <v>2024 3rd Domestic Trial</v>
      </c>
      <c r="T17" s="8">
        <f t="shared" si="12"/>
        <v>0</v>
      </c>
      <c r="U17" s="8" t="str">
        <f t="shared" si="13"/>
        <v/>
      </c>
      <c r="V17" s="8" t="str">
        <f t="shared" si="14"/>
        <v/>
      </c>
      <c r="W17" s="11" t="str">
        <f t="shared" si="15"/>
        <v/>
      </c>
      <c r="X17" s="8" t="str">
        <f t="shared" si="16"/>
        <v/>
      </c>
      <c r="Y17" s="22">
        <v>9.5</v>
      </c>
      <c r="Z17" s="22">
        <v>6.6</v>
      </c>
      <c r="AA17" s="22">
        <v>9.3000000000000007</v>
      </c>
      <c r="AB17" s="22">
        <v>10.01</v>
      </c>
      <c r="AC17" s="22">
        <v>0</v>
      </c>
      <c r="AD17" s="22">
        <v>12.9</v>
      </c>
      <c r="AE17" s="22">
        <v>9</v>
      </c>
      <c r="AF17" s="22">
        <v>6.7</v>
      </c>
      <c r="AG17" s="22">
        <v>12.62</v>
      </c>
      <c r="AH17" s="22">
        <v>6.8</v>
      </c>
      <c r="AI17" s="22"/>
      <c r="AJ17" s="22"/>
      <c r="AK17" s="22"/>
      <c r="AL17" s="22"/>
      <c r="AM17" s="22"/>
      <c r="AN17" s="27"/>
      <c r="AO17" s="38">
        <f t="shared" si="17"/>
        <v>9.3000000000000007</v>
      </c>
      <c r="AP17" s="38">
        <f t="shared" si="18"/>
        <v>10.01</v>
      </c>
      <c r="AQ17" s="40">
        <f t="shared" si="19"/>
        <v>35.410000000000004</v>
      </c>
      <c r="AR17" s="40">
        <f t="shared" si="20"/>
        <v>6.7</v>
      </c>
      <c r="AS17" s="40">
        <f t="shared" si="21"/>
        <v>12.62</v>
      </c>
      <c r="AT17" s="40">
        <f t="shared" si="22"/>
        <v>34.42</v>
      </c>
      <c r="AU17" s="40">
        <f t="shared" si="23"/>
        <v>35.410000000000004</v>
      </c>
      <c r="AV17" s="40" t="str">
        <f t="shared" si="24"/>
        <v/>
      </c>
      <c r="AW17" s="40" t="str">
        <f t="shared" si="25"/>
        <v/>
      </c>
      <c r="AX17" s="40" t="str">
        <f t="shared" si="26"/>
        <v/>
      </c>
      <c r="AY17" s="40">
        <f t="shared" si="27"/>
        <v>35.410000000000004</v>
      </c>
      <c r="AZ17" s="26">
        <v>2.6</v>
      </c>
      <c r="BA17" s="26">
        <v>1.7</v>
      </c>
      <c r="BB17" s="26">
        <v>3</v>
      </c>
      <c r="BC17" s="26">
        <v>3.02</v>
      </c>
      <c r="BD17" s="26">
        <v>0</v>
      </c>
      <c r="BE17" s="26">
        <v>7.8</v>
      </c>
      <c r="BF17" s="26">
        <v>5.5</v>
      </c>
      <c r="BG17" s="26">
        <v>7.9</v>
      </c>
      <c r="BH17" s="26">
        <v>8.6199999999999992</v>
      </c>
      <c r="BI17" s="26">
        <v>0</v>
      </c>
      <c r="BJ17" s="26"/>
      <c r="BK17" s="26"/>
      <c r="BL17" s="26"/>
      <c r="BM17" s="26"/>
      <c r="BN17" s="26"/>
      <c r="BO17" s="28"/>
      <c r="BP17" s="39">
        <f t="shared" si="28"/>
        <v>3</v>
      </c>
      <c r="BQ17" s="39">
        <f t="shared" si="29"/>
        <v>3.02</v>
      </c>
      <c r="BR17" s="11">
        <f t="shared" si="30"/>
        <v>10.32</v>
      </c>
      <c r="BS17" s="11">
        <f t="shared" si="31"/>
        <v>7.9</v>
      </c>
      <c r="BT17" s="11">
        <f t="shared" si="32"/>
        <v>8.6199999999999992</v>
      </c>
      <c r="BU17" s="11">
        <f t="shared" si="33"/>
        <v>29.82</v>
      </c>
      <c r="BV17" s="11">
        <f t="shared" si="34"/>
        <v>29.82</v>
      </c>
      <c r="BW17" s="11" t="str">
        <f t="shared" si="35"/>
        <v/>
      </c>
      <c r="BX17" s="11" t="str">
        <f t="shared" si="36"/>
        <v/>
      </c>
      <c r="BY17" s="11" t="str">
        <f t="shared" si="37"/>
        <v/>
      </c>
      <c r="BZ17" s="11">
        <f t="shared" si="38"/>
        <v>29.82</v>
      </c>
      <c r="CA17" s="22">
        <v>14.6</v>
      </c>
      <c r="CB17" s="22">
        <v>9.1999999999999993</v>
      </c>
      <c r="CC17" s="22">
        <v>14</v>
      </c>
      <c r="CD17" s="22">
        <v>15.33</v>
      </c>
      <c r="CE17" s="22">
        <v>0</v>
      </c>
      <c r="CF17" s="22">
        <v>10.5</v>
      </c>
      <c r="CG17" s="22">
        <v>8.6999999999999993</v>
      </c>
      <c r="CH17" s="22">
        <v>8.5</v>
      </c>
      <c r="CI17" s="22">
        <v>14.4</v>
      </c>
      <c r="CJ17" s="22">
        <v>5</v>
      </c>
      <c r="CK17" s="22">
        <v>13.8</v>
      </c>
      <c r="CL17" s="22">
        <v>9.1999999999999993</v>
      </c>
      <c r="CM17" s="22">
        <v>13.8</v>
      </c>
      <c r="CN17" s="22">
        <v>15.18</v>
      </c>
      <c r="CO17" s="22">
        <v>0</v>
      </c>
      <c r="CP17" s="27"/>
      <c r="CQ17" s="38">
        <f t="shared" si="39"/>
        <v>14</v>
      </c>
      <c r="CR17" s="38">
        <f t="shared" si="40"/>
        <v>15.33</v>
      </c>
      <c r="CS17" s="40">
        <f t="shared" si="41"/>
        <v>53.129999999999995</v>
      </c>
      <c r="CT17" s="40">
        <f t="shared" si="42"/>
        <v>8.5</v>
      </c>
      <c r="CU17" s="40">
        <f t="shared" si="43"/>
        <v>14.4</v>
      </c>
      <c r="CV17" s="40">
        <f t="shared" si="44"/>
        <v>37.1</v>
      </c>
      <c r="CW17" s="40">
        <f t="shared" si="45"/>
        <v>53.129999999999995</v>
      </c>
      <c r="CX17" s="40">
        <f t="shared" si="46"/>
        <v>13.8</v>
      </c>
      <c r="CY17" s="40">
        <f t="shared" si="47"/>
        <v>15.18</v>
      </c>
      <c r="CZ17" s="40">
        <f t="shared" si="48"/>
        <v>51.98</v>
      </c>
      <c r="DA17" s="40">
        <f t="shared" si="49"/>
        <v>105.10999999999999</v>
      </c>
      <c r="DB17" s="51" t="str">
        <f t="shared" si="50"/>
        <v/>
      </c>
      <c r="DC17" s="51" t="str">
        <f t="shared" si="51"/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 t="shared" si="52"/>
        <v/>
      </c>
      <c r="DY17" s="40" t="str">
        <f t="shared" si="53"/>
        <v/>
      </c>
      <c r="DZ17" s="40" t="str">
        <f t="shared" si="54"/>
        <v/>
      </c>
      <c r="EA17" s="40" t="str">
        <f t="shared" si="55"/>
        <v/>
      </c>
      <c r="EB17" s="40" t="str">
        <f t="shared" si="56"/>
        <v/>
      </c>
      <c r="EC17" s="40" t="str">
        <f t="shared" si="57"/>
        <v/>
      </c>
      <c r="ED17" s="40" t="str">
        <f t="shared" si="58"/>
        <v/>
      </c>
      <c r="EE17" s="40" t="str">
        <f t="shared" si="59"/>
        <v/>
      </c>
      <c r="EF17" s="40" t="str">
        <f t="shared" si="60"/>
        <v/>
      </c>
      <c r="EG17" s="40" t="str">
        <f t="shared" si="61"/>
        <v/>
      </c>
      <c r="EH17" s="40" t="str">
        <f t="shared" si="62"/>
        <v/>
      </c>
      <c r="EI17" s="40" t="str">
        <f t="shared" si="63"/>
        <v/>
      </c>
      <c r="EJ17" s="40" t="str">
        <f t="shared" si="64"/>
        <v/>
      </c>
      <c r="EK17" s="40" t="str">
        <f t="shared" si="65"/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 t="shared" si="66"/>
        <v/>
      </c>
      <c r="FG17" s="11" t="str">
        <f t="shared" si="67"/>
        <v/>
      </c>
      <c r="FH17" s="11" t="str">
        <f t="shared" si="68"/>
        <v/>
      </c>
      <c r="FI17" s="11" t="str">
        <f t="shared" si="69"/>
        <v/>
      </c>
      <c r="FJ17" s="11" t="str">
        <f t="shared" si="70"/>
        <v/>
      </c>
      <c r="FK17" s="11" t="str">
        <f t="shared" si="71"/>
        <v/>
      </c>
      <c r="FL17" s="11" t="str">
        <f t="shared" si="72"/>
        <v/>
      </c>
      <c r="FM17" s="11" t="str">
        <f t="shared" si="73"/>
        <v/>
      </c>
      <c r="FN17" s="11" t="str">
        <f t="shared" si="74"/>
        <v/>
      </c>
      <c r="FO17" s="11" t="str">
        <f t="shared" si="75"/>
        <v/>
      </c>
      <c r="FP17" s="11" t="str">
        <f t="shared" si="76"/>
        <v/>
      </c>
      <c r="FQ17" s="11" t="str">
        <f t="shared" si="77"/>
        <v/>
      </c>
      <c r="FR17" s="11" t="str">
        <f t="shared" si="78"/>
        <v/>
      </c>
      <c r="FS17" s="11" t="str">
        <f t="shared" si="79"/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 t="shared" si="80"/>
        <v/>
      </c>
      <c r="GO17" s="40" t="str">
        <f t="shared" si="81"/>
        <v/>
      </c>
      <c r="GP17" s="40" t="str">
        <f t="shared" si="82"/>
        <v/>
      </c>
      <c r="GQ17" s="40" t="str">
        <f t="shared" si="83"/>
        <v/>
      </c>
      <c r="GR17" s="40" t="str">
        <f t="shared" si="84"/>
        <v/>
      </c>
      <c r="GS17" s="40" t="str">
        <f t="shared" si="85"/>
        <v/>
      </c>
      <c r="GT17" s="40" t="str">
        <f t="shared" si="86"/>
        <v/>
      </c>
      <c r="GU17" s="40" t="str">
        <f t="shared" si="87"/>
        <v/>
      </c>
      <c r="GV17" s="40" t="str">
        <f t="shared" si="88"/>
        <v/>
      </c>
      <c r="GW17" s="40" t="str">
        <f t="shared" si="89"/>
        <v/>
      </c>
      <c r="GX17" s="40" t="str">
        <f t="shared" si="90"/>
        <v/>
      </c>
      <c r="GY17" s="40" t="str">
        <f t="shared" si="91"/>
        <v/>
      </c>
      <c r="GZ17" s="40" t="str">
        <f t="shared" si="92"/>
        <v/>
      </c>
      <c r="HA17" s="40" t="str">
        <f t="shared" si="93"/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 t="shared" si="94"/>
        <v/>
      </c>
      <c r="HW17" s="11" t="str">
        <f t="shared" si="95"/>
        <v/>
      </c>
      <c r="HX17" s="11" t="str">
        <f t="shared" si="96"/>
        <v/>
      </c>
      <c r="HY17" s="11" t="str">
        <f t="shared" si="97"/>
        <v/>
      </c>
      <c r="HZ17" s="11" t="str">
        <f t="shared" si="98"/>
        <v/>
      </c>
      <c r="IA17" s="11" t="str">
        <f t="shared" si="99"/>
        <v/>
      </c>
      <c r="IB17" s="11" t="str">
        <f t="shared" si="100"/>
        <v/>
      </c>
      <c r="IC17" s="11" t="str">
        <f t="shared" si="101"/>
        <v/>
      </c>
      <c r="ID17" s="11" t="str">
        <f t="shared" si="102"/>
        <v/>
      </c>
      <c r="IE17" s="11" t="str">
        <f t="shared" si="103"/>
        <v/>
      </c>
      <c r="IF17" s="11" t="str">
        <f t="shared" si="104"/>
        <v/>
      </c>
      <c r="IG17" s="11" t="str">
        <f t="shared" si="105"/>
        <v/>
      </c>
      <c r="IH17" s="11" t="str">
        <f t="shared" si="106"/>
        <v/>
      </c>
      <c r="II17" s="11" t="str">
        <f t="shared" si="107"/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 t="shared" si="108"/>
        <v/>
      </c>
      <c r="JE17" s="40" t="str">
        <f t="shared" si="109"/>
        <v/>
      </c>
      <c r="JF17" s="40" t="str">
        <f t="shared" si="110"/>
        <v/>
      </c>
      <c r="JG17" s="40" t="str">
        <f t="shared" si="111"/>
        <v/>
      </c>
      <c r="JH17" s="40" t="str">
        <f t="shared" si="112"/>
        <v/>
      </c>
      <c r="JI17" s="40" t="str">
        <f t="shared" si="113"/>
        <v/>
      </c>
      <c r="JJ17" s="40" t="str">
        <f t="shared" si="114"/>
        <v/>
      </c>
      <c r="JK17" s="40" t="str">
        <f t="shared" si="115"/>
        <v/>
      </c>
      <c r="JL17" s="40" t="str">
        <f t="shared" si="116"/>
        <v/>
      </c>
      <c r="JM17" s="40" t="str">
        <f t="shared" si="117"/>
        <v/>
      </c>
      <c r="JN17" s="40" t="str">
        <f t="shared" si="118"/>
        <v/>
      </c>
      <c r="JO17" s="40" t="str">
        <f t="shared" si="119"/>
        <v/>
      </c>
      <c r="JP17" s="40" t="str">
        <f t="shared" si="120"/>
        <v/>
      </c>
      <c r="JQ17" s="40" t="str">
        <f t="shared" si="121"/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 t="shared" si="122"/>
        <v/>
      </c>
      <c r="KM17" s="11" t="str">
        <f t="shared" si="123"/>
        <v/>
      </c>
      <c r="KN17" s="11" t="str">
        <f t="shared" si="124"/>
        <v/>
      </c>
      <c r="KO17" s="11" t="str">
        <f t="shared" si="125"/>
        <v/>
      </c>
      <c r="KP17" s="11" t="str">
        <f t="shared" si="126"/>
        <v/>
      </c>
      <c r="KQ17" s="11" t="str">
        <f t="shared" si="127"/>
        <v/>
      </c>
      <c r="KR17" s="11" t="str">
        <f t="shared" si="128"/>
        <v/>
      </c>
      <c r="KS17" s="11" t="str">
        <f t="shared" si="129"/>
        <v/>
      </c>
      <c r="KT17" s="11" t="str">
        <f t="shared" si="130"/>
        <v/>
      </c>
      <c r="KU17" s="11" t="str">
        <f t="shared" si="131"/>
        <v/>
      </c>
      <c r="KV17" s="11" t="str">
        <f t="shared" si="132"/>
        <v/>
      </c>
      <c r="KW17" s="11" t="str">
        <f t="shared" si="133"/>
        <v/>
      </c>
      <c r="KX17" s="11" t="str">
        <f t="shared" si="134"/>
        <v/>
      </c>
      <c r="KY17" s="11" t="str">
        <f t="shared" si="135"/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 t="shared" si="136"/>
        <v/>
      </c>
      <c r="LU17" s="40" t="str">
        <f t="shared" si="137"/>
        <v/>
      </c>
      <c r="LV17" s="40" t="str">
        <f t="shared" si="138"/>
        <v/>
      </c>
      <c r="LW17" s="40" t="str">
        <f t="shared" si="139"/>
        <v/>
      </c>
      <c r="LX17" s="40" t="str">
        <f t="shared" si="140"/>
        <v/>
      </c>
      <c r="LY17" s="40" t="str">
        <f t="shared" si="141"/>
        <v/>
      </c>
      <c r="LZ17" s="40" t="str">
        <f t="shared" si="142"/>
        <v/>
      </c>
      <c r="MA17" s="40" t="str">
        <f t="shared" si="143"/>
        <v/>
      </c>
      <c r="MB17" s="40" t="str">
        <f t="shared" si="144"/>
        <v/>
      </c>
      <c r="MC17" s="40" t="str">
        <f t="shared" si="145"/>
        <v/>
      </c>
      <c r="MD17" s="40" t="str">
        <f t="shared" si="146"/>
        <v/>
      </c>
      <c r="ME17" s="40" t="str">
        <f t="shared" si="147"/>
        <v/>
      </c>
      <c r="MF17" s="40" t="str">
        <f t="shared" si="148"/>
        <v/>
      </c>
      <c r="MG17" s="40" t="str">
        <f t="shared" si="149"/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 t="shared" si="150"/>
        <v/>
      </c>
      <c r="NC17" s="11" t="str">
        <f t="shared" si="151"/>
        <v/>
      </c>
      <c r="ND17" s="11" t="str">
        <f t="shared" si="152"/>
        <v/>
      </c>
      <c r="NE17" s="11" t="str">
        <f t="shared" si="153"/>
        <v/>
      </c>
      <c r="NF17" s="11" t="str">
        <f t="shared" si="154"/>
        <v/>
      </c>
      <c r="NG17" s="11" t="str">
        <f t="shared" si="155"/>
        <v/>
      </c>
      <c r="NH17" s="11" t="str">
        <f t="shared" si="156"/>
        <v/>
      </c>
      <c r="NI17" s="11" t="str">
        <f t="shared" si="157"/>
        <v/>
      </c>
      <c r="NJ17" s="11" t="str">
        <f t="shared" si="158"/>
        <v/>
      </c>
      <c r="NK17" s="11" t="str">
        <f t="shared" si="159"/>
        <v/>
      </c>
      <c r="NL17" s="11" t="str">
        <f t="shared" si="160"/>
        <v/>
      </c>
      <c r="NM17" s="11" t="str">
        <f t="shared" si="161"/>
        <v/>
      </c>
      <c r="NN17" s="11" t="str">
        <f t="shared" si="162"/>
        <v/>
      </c>
      <c r="NO17" s="11" t="str">
        <f t="shared" si="163"/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 t="shared" si="164"/>
        <v/>
      </c>
      <c r="OK17" s="40" t="str">
        <f t="shared" si="165"/>
        <v/>
      </c>
      <c r="OL17" s="40" t="str">
        <f t="shared" si="166"/>
        <v/>
      </c>
      <c r="OM17" s="40" t="str">
        <f t="shared" si="167"/>
        <v/>
      </c>
      <c r="ON17" s="40" t="str">
        <f t="shared" si="168"/>
        <v/>
      </c>
      <c r="OO17" s="40" t="str">
        <f t="shared" si="169"/>
        <v/>
      </c>
      <c r="OP17" s="40" t="str">
        <f t="shared" si="170"/>
        <v/>
      </c>
      <c r="OQ17" s="40" t="str">
        <f t="shared" si="171"/>
        <v/>
      </c>
      <c r="OR17" s="40" t="str">
        <f t="shared" si="172"/>
        <v/>
      </c>
      <c r="OS17" s="40" t="str">
        <f t="shared" si="173"/>
        <v/>
      </c>
      <c r="OT17" s="40" t="str">
        <f t="shared" si="174"/>
        <v/>
      </c>
      <c r="OU17" s="40" t="str">
        <f t="shared" si="175"/>
        <v/>
      </c>
      <c r="OV17" s="40" t="str">
        <f t="shared" si="176"/>
        <v/>
      </c>
      <c r="OW17" s="40" t="str">
        <f t="shared" si="177"/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 t="shared" si="178"/>
        <v/>
      </c>
      <c r="PS17" s="11" t="str">
        <f t="shared" si="179"/>
        <v/>
      </c>
      <c r="PT17" s="11" t="str">
        <f t="shared" si="180"/>
        <v/>
      </c>
      <c r="PU17" s="11" t="str">
        <f t="shared" si="181"/>
        <v/>
      </c>
      <c r="PV17" s="11" t="str">
        <f t="shared" si="182"/>
        <v/>
      </c>
      <c r="PW17" s="11" t="str">
        <f t="shared" si="183"/>
        <v/>
      </c>
      <c r="PX17" s="11" t="str">
        <f t="shared" si="184"/>
        <v/>
      </c>
      <c r="PY17" s="11" t="str">
        <f t="shared" si="185"/>
        <v/>
      </c>
      <c r="PZ17" s="11" t="str">
        <f t="shared" si="186"/>
        <v/>
      </c>
      <c r="QA17" s="11" t="str">
        <f t="shared" si="187"/>
        <v/>
      </c>
      <c r="QB17" s="11" t="str">
        <f t="shared" si="188"/>
        <v/>
      </c>
      <c r="QC17" s="11" t="str">
        <f t="shared" si="189"/>
        <v/>
      </c>
      <c r="QD17" s="11" t="str">
        <f t="shared" si="190"/>
        <v/>
      </c>
      <c r="QE17" s="11" t="str">
        <f t="shared" si="191"/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 t="shared" si="192"/>
        <v/>
      </c>
      <c r="RA17" s="40" t="str">
        <f t="shared" si="193"/>
        <v/>
      </c>
      <c r="RB17" s="40" t="str">
        <f t="shared" si="194"/>
        <v/>
      </c>
      <c r="RC17" s="40" t="str">
        <f t="shared" si="195"/>
        <v/>
      </c>
      <c r="RD17" s="40" t="str">
        <f t="shared" si="196"/>
        <v/>
      </c>
      <c r="RE17" s="40" t="str">
        <f t="shared" si="197"/>
        <v/>
      </c>
      <c r="RF17" s="40" t="str">
        <f t="shared" si="198"/>
        <v/>
      </c>
      <c r="RG17" s="40" t="str">
        <f t="shared" si="199"/>
        <v/>
      </c>
      <c r="RH17" s="40" t="str">
        <f t="shared" si="200"/>
        <v/>
      </c>
      <c r="RI17" s="40" t="str">
        <f t="shared" si="201"/>
        <v/>
      </c>
      <c r="RJ17" s="40" t="str">
        <f t="shared" si="202"/>
        <v/>
      </c>
      <c r="RK17" s="40" t="str">
        <f t="shared" si="203"/>
        <v/>
      </c>
      <c r="RL17" s="40" t="str">
        <f t="shared" si="204"/>
        <v/>
      </c>
      <c r="RM17" s="40" t="str">
        <f t="shared" si="205"/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 t="shared" si="206"/>
        <v/>
      </c>
      <c r="SI17" s="11" t="str">
        <f t="shared" si="207"/>
        <v/>
      </c>
      <c r="SJ17" s="11" t="str">
        <f t="shared" si="208"/>
        <v/>
      </c>
      <c r="SK17" s="11" t="str">
        <f t="shared" si="209"/>
        <v/>
      </c>
      <c r="SL17" s="11" t="str">
        <f t="shared" si="210"/>
        <v/>
      </c>
      <c r="SM17" s="11" t="str">
        <f t="shared" si="211"/>
        <v/>
      </c>
      <c r="SN17" s="11" t="str">
        <f t="shared" si="212"/>
        <v/>
      </c>
      <c r="SO17" s="11" t="str">
        <f t="shared" si="213"/>
        <v/>
      </c>
      <c r="SP17" s="11" t="str">
        <f t="shared" si="214"/>
        <v/>
      </c>
      <c r="SQ17" s="11" t="str">
        <f t="shared" si="215"/>
        <v/>
      </c>
      <c r="SR17" s="11" t="str">
        <f t="shared" si="216"/>
        <v/>
      </c>
      <c r="SS17" s="11" t="str">
        <f t="shared" si="217"/>
        <v/>
      </c>
      <c r="ST17" s="11" t="str">
        <f t="shared" si="218"/>
        <v/>
      </c>
      <c r="SU17" s="11" t="str">
        <f t="shared" si="219"/>
        <v/>
      </c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40" t="str">
        <f t="shared" si="220"/>
        <v/>
      </c>
      <c r="TQ17" s="40" t="str">
        <f t="shared" si="221"/>
        <v/>
      </c>
      <c r="TR17" s="40" t="str">
        <f t="shared" si="222"/>
        <v/>
      </c>
      <c r="TS17" s="40" t="str">
        <f t="shared" si="223"/>
        <v/>
      </c>
      <c r="TT17" s="40" t="str">
        <f t="shared" si="224"/>
        <v/>
      </c>
      <c r="TU17" s="40" t="str">
        <f t="shared" si="225"/>
        <v/>
      </c>
      <c r="TV17" s="40" t="str">
        <f t="shared" si="226"/>
        <v/>
      </c>
      <c r="TW17" s="40" t="str">
        <f t="shared" si="227"/>
        <v/>
      </c>
      <c r="TX17" s="40" t="str">
        <f t="shared" si="228"/>
        <v/>
      </c>
      <c r="TY17" s="40" t="str">
        <f t="shared" si="229"/>
        <v/>
      </c>
      <c r="TZ17" s="40" t="str">
        <f t="shared" si="230"/>
        <v/>
      </c>
      <c r="UA17" s="40" t="str">
        <f t="shared" si="231"/>
        <v/>
      </c>
      <c r="UB17" s="40" t="str">
        <f t="shared" si="232"/>
        <v/>
      </c>
      <c r="UC17" s="40" t="str">
        <f t="shared" si="233"/>
        <v/>
      </c>
      <c r="UD17" s="18"/>
      <c r="UE17" s="18"/>
      <c r="UF17" s="18"/>
      <c r="UG17" s="18"/>
      <c r="UH17" s="18"/>
      <c r="UI17" s="18"/>
      <c r="UJ17" s="18"/>
      <c r="UK17" s="18"/>
      <c r="UL17" s="18"/>
      <c r="UM17" s="18"/>
      <c r="UN17" s="18"/>
      <c r="UO17" s="18"/>
      <c r="UP17" s="18"/>
      <c r="UQ17" s="18"/>
      <c r="UR17" s="18"/>
      <c r="US17" s="18"/>
      <c r="UT17" s="18"/>
      <c r="UU17" s="18"/>
      <c r="UV17" s="18"/>
      <c r="UW17" s="18"/>
      <c r="UX17" s="11" t="str">
        <f t="shared" si="234"/>
        <v/>
      </c>
      <c r="UY17" s="11" t="str">
        <f t="shared" si="235"/>
        <v/>
      </c>
      <c r="UZ17" s="11" t="str">
        <f t="shared" si="236"/>
        <v/>
      </c>
      <c r="VA17" s="11" t="str">
        <f t="shared" si="237"/>
        <v/>
      </c>
      <c r="VB17" s="11" t="str">
        <f t="shared" si="238"/>
        <v/>
      </c>
      <c r="VC17" s="11" t="str">
        <f t="shared" si="239"/>
        <v/>
      </c>
      <c r="VD17" s="11" t="str">
        <f t="shared" si="240"/>
        <v/>
      </c>
      <c r="VE17" s="11" t="str">
        <f t="shared" si="241"/>
        <v/>
      </c>
      <c r="VF17" s="11" t="str">
        <f t="shared" si="242"/>
        <v/>
      </c>
      <c r="VG17" s="11" t="str">
        <f t="shared" si="243"/>
        <v/>
      </c>
      <c r="VH17" s="11" t="str">
        <f t="shared" si="244"/>
        <v/>
      </c>
      <c r="VI17" s="11" t="str">
        <f t="shared" si="245"/>
        <v/>
      </c>
      <c r="VJ17" s="11" t="str">
        <f t="shared" si="246"/>
        <v/>
      </c>
      <c r="VK17" s="11" t="str">
        <f t="shared" si="247"/>
        <v/>
      </c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40" t="str">
        <f t="shared" si="248"/>
        <v/>
      </c>
      <c r="WG17" s="40" t="str">
        <f t="shared" si="249"/>
        <v/>
      </c>
      <c r="WH17" s="40" t="str">
        <f t="shared" si="250"/>
        <v/>
      </c>
      <c r="WI17" s="40" t="str">
        <f t="shared" si="251"/>
        <v/>
      </c>
      <c r="WJ17" s="40" t="str">
        <f t="shared" si="252"/>
        <v/>
      </c>
      <c r="WK17" s="40" t="str">
        <f t="shared" si="253"/>
        <v/>
      </c>
      <c r="WL17" s="40" t="str">
        <f t="shared" si="254"/>
        <v/>
      </c>
      <c r="WM17" s="40" t="str">
        <f t="shared" si="255"/>
        <v/>
      </c>
      <c r="WN17" s="40" t="str">
        <f t="shared" si="256"/>
        <v/>
      </c>
      <c r="WO17" s="40" t="str">
        <f t="shared" si="257"/>
        <v/>
      </c>
      <c r="WP17" s="40" t="str">
        <f t="shared" si="258"/>
        <v/>
      </c>
      <c r="WQ17" s="40" t="str">
        <f t="shared" si="259"/>
        <v/>
      </c>
      <c r="WR17" s="40" t="str">
        <f t="shared" si="260"/>
        <v/>
      </c>
      <c r="WS17" s="40" t="str">
        <f t="shared" si="261"/>
        <v/>
      </c>
      <c r="WT17" s="26">
        <f t="shared" si="262"/>
        <v>8.6</v>
      </c>
      <c r="WU17" s="26">
        <f t="shared" si="263"/>
        <v>5.4499999999999993</v>
      </c>
      <c r="WV17" s="26">
        <f t="shared" si="264"/>
        <v>8.5</v>
      </c>
      <c r="WW17" s="26">
        <f t="shared" si="265"/>
        <v>9.1750000000000007</v>
      </c>
      <c r="WX17" s="26">
        <f t="shared" si="266"/>
        <v>0</v>
      </c>
      <c r="WY17" s="26">
        <f t="shared" si="267"/>
        <v>9.15</v>
      </c>
      <c r="WZ17" s="26">
        <f t="shared" si="268"/>
        <v>7.1</v>
      </c>
      <c r="XA17" s="26">
        <f t="shared" si="269"/>
        <v>8.1999999999999993</v>
      </c>
      <c r="XB17" s="26">
        <f t="shared" si="270"/>
        <v>11.51</v>
      </c>
      <c r="XC17" s="26">
        <f t="shared" si="271"/>
        <v>2.5</v>
      </c>
      <c r="XD17" s="26">
        <f t="shared" si="272"/>
        <v>6.9</v>
      </c>
      <c r="XE17" s="26">
        <f t="shared" si="273"/>
        <v>4.5999999999999996</v>
      </c>
      <c r="XF17" s="26">
        <f t="shared" si="274"/>
        <v>6.9</v>
      </c>
      <c r="XG17" s="26">
        <f t="shared" si="275"/>
        <v>7.59</v>
      </c>
      <c r="XH17" s="26">
        <f t="shared" si="276"/>
        <v>0</v>
      </c>
      <c r="XI17" s="28" t="s">
        <v>53</v>
      </c>
      <c r="XJ17" s="11">
        <f t="shared" si="277"/>
        <v>8.5</v>
      </c>
      <c r="XK17" s="11">
        <f t="shared" si="278"/>
        <v>9.1750000000000007</v>
      </c>
      <c r="XL17" s="11">
        <f t="shared" si="279"/>
        <v>31.724999999999998</v>
      </c>
      <c r="XM17" s="11">
        <f t="shared" si="280"/>
        <v>8.1999999999999993</v>
      </c>
      <c r="XN17" s="11">
        <f t="shared" si="281"/>
        <v>11.51</v>
      </c>
      <c r="XO17" s="11">
        <f t="shared" si="282"/>
        <v>33.46</v>
      </c>
      <c r="XP17" s="11">
        <f t="shared" si="283"/>
        <v>33.46</v>
      </c>
      <c r="XQ17" s="11">
        <f t="shared" si="284"/>
        <v>6.9</v>
      </c>
      <c r="XR17" s="11">
        <f t="shared" si="285"/>
        <v>7.59</v>
      </c>
      <c r="XS17" s="11">
        <f t="shared" si="286"/>
        <v>25.99</v>
      </c>
      <c r="XT17" s="11">
        <f t="shared" si="287"/>
        <v>59.45</v>
      </c>
    </row>
    <row r="18" spans="1:644" x14ac:dyDescent="0.2">
      <c r="A18" s="4" t="str" cm="1">
        <f t="array" ref="A18">IF(AND(H18&lt;&gt;"",H18&lt;&gt;"No DD"),SUMPRODUCT((H$4:H$25&lt;&gt;"")*(H$4:H$25&lt;&gt;"No DD")*(E$4:E$25&gt;E18))+1,IF(H18="No DD",SUMPRODUCT((H$4:H$25="No DD")*(E$4:E$25&gt;E18))+1+SUMPRODUCT((H$4:H$25&lt;&gt;"")*(H$4:H$25&lt;&gt;"No DD")),""))</f>
        <v/>
      </c>
      <c r="B18" s="5" t="s">
        <v>180</v>
      </c>
      <c r="C18" s="4" t="s">
        <v>3</v>
      </c>
      <c r="D18" s="4">
        <v>2005</v>
      </c>
      <c r="E18" s="9">
        <f t="shared" si="0"/>
        <v>187.45001455600521</v>
      </c>
      <c r="F18" s="3" t="str">
        <f t="shared" si="1"/>
        <v/>
      </c>
      <c r="G18" s="3" t="str">
        <f t="shared" si="2"/>
        <v/>
      </c>
      <c r="H18" s="36" t="str">
        <f t="shared" si="3"/>
        <v/>
      </c>
      <c r="I18" s="3" t="str">
        <f t="shared" si="4"/>
        <v/>
      </c>
      <c r="J18" s="8">
        <f>IF(COUNT(AQ18,AT18,BR18,BU18,CS18,CV18)&gt;0,LARGE((AQ18,AT18,BR18,BU18,CS18,CV18),1),0)</f>
        <v>52.47</v>
      </c>
      <c r="K18" s="8" t="str">
        <f t="shared" si="5"/>
        <v>2024 Elite Canada</v>
      </c>
      <c r="L18" s="8">
        <f>IF(COUNT(AQ18,AT18,BR18,BU18,CS18,CV18)&gt;1,LARGE((AQ18,AT18,BR18,BU18,CS18,CV18),2),0)</f>
        <v>48.51</v>
      </c>
      <c r="M18" s="8" t="str">
        <f t="shared" si="6"/>
        <v>2024 Elite Canada</v>
      </c>
      <c r="N18" s="8">
        <f>IF(COUNT(AQ18,AT18,BR18,BU18,CS18,CV18)&gt;2,LARGE((AQ18,AT18,BR18,BU18,CS18,CV18),3),0)</f>
        <v>11.600000000000001</v>
      </c>
      <c r="O18" s="8" t="str">
        <f t="shared" si="7"/>
        <v>2024 Nationals</v>
      </c>
      <c r="P18" s="8">
        <f t="shared" si="8"/>
        <v>18.38</v>
      </c>
      <c r="Q18" s="8" t="str">
        <f t="shared" si="9"/>
        <v>2024 Elite Canada</v>
      </c>
      <c r="R18" s="8">
        <f t="shared" si="10"/>
        <v>14.6</v>
      </c>
      <c r="S18" s="8" t="str">
        <f t="shared" si="11"/>
        <v>2024 Coimbra Gym Fest (July 7)</v>
      </c>
      <c r="T18" s="8">
        <f t="shared" si="12"/>
        <v>0</v>
      </c>
      <c r="U18" s="8" t="str">
        <f t="shared" si="13"/>
        <v/>
      </c>
      <c r="V18" s="8">
        <f t="shared" si="14"/>
        <v>41.889999999999993</v>
      </c>
      <c r="W18" s="11" t="str">
        <f t="shared" si="15"/>
        <v>(Prelim)</v>
      </c>
      <c r="X18" s="8" t="str">
        <f t="shared" si="16"/>
        <v>2024 Coimbra Gym Fest (July 7)</v>
      </c>
      <c r="Y18" s="22">
        <v>14.7</v>
      </c>
      <c r="Z18" s="22">
        <v>8.9</v>
      </c>
      <c r="AA18" s="22">
        <v>14</v>
      </c>
      <c r="AB18" s="22">
        <v>14.87</v>
      </c>
      <c r="AC18" s="22">
        <v>0</v>
      </c>
      <c r="AD18" s="22">
        <v>14</v>
      </c>
      <c r="AE18" s="22">
        <v>8.1</v>
      </c>
      <c r="AF18" s="22">
        <v>12.4</v>
      </c>
      <c r="AG18" s="22">
        <v>14.01</v>
      </c>
      <c r="AH18" s="22">
        <v>0</v>
      </c>
      <c r="AI18" s="22">
        <v>4.4000000000000004</v>
      </c>
      <c r="AJ18" s="22">
        <v>2.5</v>
      </c>
      <c r="AK18" s="22">
        <v>5.0999999999999996</v>
      </c>
      <c r="AL18" s="22">
        <v>6.38</v>
      </c>
      <c r="AM18" s="22">
        <v>0</v>
      </c>
      <c r="AN18" s="27"/>
      <c r="AO18" s="38">
        <f t="shared" si="17"/>
        <v>14</v>
      </c>
      <c r="AP18" s="38">
        <f t="shared" si="18"/>
        <v>14.87</v>
      </c>
      <c r="AQ18" s="40">
        <f t="shared" si="19"/>
        <v>52.47</v>
      </c>
      <c r="AR18" s="40">
        <f t="shared" si="20"/>
        <v>12.4</v>
      </c>
      <c r="AS18" s="40">
        <f t="shared" si="21"/>
        <v>14.01</v>
      </c>
      <c r="AT18" s="40">
        <f t="shared" si="22"/>
        <v>48.51</v>
      </c>
      <c r="AU18" s="40">
        <f t="shared" si="23"/>
        <v>52.47</v>
      </c>
      <c r="AV18" s="40">
        <f t="shared" si="24"/>
        <v>5.0999999999999996</v>
      </c>
      <c r="AW18" s="40">
        <f t="shared" si="25"/>
        <v>6.38</v>
      </c>
      <c r="AX18" s="40">
        <f t="shared" si="26"/>
        <v>18.38</v>
      </c>
      <c r="AY18" s="40">
        <f t="shared" si="27"/>
        <v>70.849999999999994</v>
      </c>
      <c r="AZ18" s="26">
        <v>3</v>
      </c>
      <c r="BA18" s="26">
        <v>1.9</v>
      </c>
      <c r="BB18" s="26">
        <v>3.4</v>
      </c>
      <c r="BC18" s="26">
        <v>3.29</v>
      </c>
      <c r="BD18" s="26">
        <v>0</v>
      </c>
      <c r="BE18" s="26">
        <v>3</v>
      </c>
      <c r="BF18" s="26">
        <v>1.9</v>
      </c>
      <c r="BG18" s="26">
        <v>3.4</v>
      </c>
      <c r="BH18" s="26">
        <v>3.3</v>
      </c>
      <c r="BI18" s="26">
        <v>0</v>
      </c>
      <c r="BJ18" s="26"/>
      <c r="BK18" s="26"/>
      <c r="BL18" s="26"/>
      <c r="BM18" s="26"/>
      <c r="BN18" s="26"/>
      <c r="BO18" s="28"/>
      <c r="BP18" s="39">
        <f t="shared" si="28"/>
        <v>3.4</v>
      </c>
      <c r="BQ18" s="39">
        <f t="shared" si="29"/>
        <v>3.29</v>
      </c>
      <c r="BR18" s="11">
        <f t="shared" si="30"/>
        <v>11.59</v>
      </c>
      <c r="BS18" s="11">
        <f t="shared" si="31"/>
        <v>3.4</v>
      </c>
      <c r="BT18" s="11">
        <f t="shared" si="32"/>
        <v>3.3</v>
      </c>
      <c r="BU18" s="11">
        <f t="shared" si="33"/>
        <v>11.600000000000001</v>
      </c>
      <c r="BV18" s="11">
        <f t="shared" si="34"/>
        <v>11.600000000000001</v>
      </c>
      <c r="BW18" s="11" t="str">
        <f t="shared" si="35"/>
        <v/>
      </c>
      <c r="BX18" s="11" t="str">
        <f t="shared" si="36"/>
        <v/>
      </c>
      <c r="BY18" s="11" t="str">
        <f t="shared" si="37"/>
        <v/>
      </c>
      <c r="BZ18" s="11">
        <f t="shared" si="38"/>
        <v>11.600000000000001</v>
      </c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7"/>
      <c r="CQ18" s="38" t="str">
        <f t="shared" si="39"/>
        <v/>
      </c>
      <c r="CR18" s="38" t="str">
        <f t="shared" si="40"/>
        <v/>
      </c>
      <c r="CS18" s="40" t="str">
        <f t="shared" si="41"/>
        <v/>
      </c>
      <c r="CT18" s="40" t="str">
        <f t="shared" si="42"/>
        <v/>
      </c>
      <c r="CU18" s="40" t="str">
        <f t="shared" si="43"/>
        <v/>
      </c>
      <c r="CV18" s="40" t="str">
        <f t="shared" si="44"/>
        <v/>
      </c>
      <c r="CW18" s="40" t="str">
        <f t="shared" si="45"/>
        <v/>
      </c>
      <c r="CX18" s="40" t="str">
        <f t="shared" si="46"/>
        <v/>
      </c>
      <c r="CY18" s="40" t="str">
        <f t="shared" si="47"/>
        <v/>
      </c>
      <c r="CZ18" s="40" t="str">
        <f t="shared" si="48"/>
        <v/>
      </c>
      <c r="DA18" s="40" t="str">
        <f t="shared" si="49"/>
        <v/>
      </c>
      <c r="DB18" s="51">
        <f t="shared" si="50"/>
        <v>41.889999999999993</v>
      </c>
      <c r="DC18" s="51">
        <f t="shared" si="51"/>
        <v>8.3500000000000014</v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 t="shared" si="52"/>
        <v/>
      </c>
      <c r="DY18" s="40" t="str">
        <f t="shared" si="53"/>
        <v/>
      </c>
      <c r="DZ18" s="40" t="str">
        <f t="shared" si="54"/>
        <v/>
      </c>
      <c r="EA18" s="40" t="str">
        <f t="shared" si="55"/>
        <v/>
      </c>
      <c r="EB18" s="40" t="str">
        <f t="shared" si="56"/>
        <v/>
      </c>
      <c r="EC18" s="40" t="str">
        <f t="shared" si="57"/>
        <v/>
      </c>
      <c r="ED18" s="40" t="str">
        <f t="shared" si="58"/>
        <v/>
      </c>
      <c r="EE18" s="40" t="str">
        <f t="shared" si="59"/>
        <v/>
      </c>
      <c r="EF18" s="40" t="str">
        <f t="shared" si="60"/>
        <v/>
      </c>
      <c r="EG18" s="40" t="str">
        <f t="shared" si="61"/>
        <v/>
      </c>
      <c r="EH18" s="40" t="str">
        <f t="shared" si="62"/>
        <v/>
      </c>
      <c r="EI18" s="40" t="str">
        <f t="shared" si="63"/>
        <v/>
      </c>
      <c r="EJ18" s="40" t="str">
        <f t="shared" si="64"/>
        <v/>
      </c>
      <c r="EK18" s="40" t="str">
        <f t="shared" si="65"/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 t="shared" si="66"/>
        <v/>
      </c>
      <c r="FG18" s="11" t="str">
        <f t="shared" si="67"/>
        <v/>
      </c>
      <c r="FH18" s="11" t="str">
        <f t="shared" si="68"/>
        <v/>
      </c>
      <c r="FI18" s="11" t="str">
        <f t="shared" si="69"/>
        <v/>
      </c>
      <c r="FJ18" s="11" t="str">
        <f t="shared" si="70"/>
        <v/>
      </c>
      <c r="FK18" s="11" t="str">
        <f t="shared" si="71"/>
        <v/>
      </c>
      <c r="FL18" s="11" t="str">
        <f t="shared" si="72"/>
        <v/>
      </c>
      <c r="FM18" s="11" t="str">
        <f t="shared" si="73"/>
        <v/>
      </c>
      <c r="FN18" s="11" t="str">
        <f t="shared" si="74"/>
        <v/>
      </c>
      <c r="FO18" s="11" t="str">
        <f t="shared" si="75"/>
        <v/>
      </c>
      <c r="FP18" s="11" t="str">
        <f t="shared" si="76"/>
        <v/>
      </c>
      <c r="FQ18" s="11" t="str">
        <f t="shared" si="77"/>
        <v/>
      </c>
      <c r="FR18" s="11" t="str">
        <f t="shared" si="78"/>
        <v/>
      </c>
      <c r="FS18" s="11" t="str">
        <f t="shared" si="79"/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 t="shared" si="80"/>
        <v/>
      </c>
      <c r="GO18" s="40" t="str">
        <f t="shared" si="81"/>
        <v/>
      </c>
      <c r="GP18" s="40" t="str">
        <f t="shared" si="82"/>
        <v/>
      </c>
      <c r="GQ18" s="40" t="str">
        <f t="shared" si="83"/>
        <v/>
      </c>
      <c r="GR18" s="40" t="str">
        <f t="shared" si="84"/>
        <v/>
      </c>
      <c r="GS18" s="40" t="str">
        <f t="shared" si="85"/>
        <v/>
      </c>
      <c r="GT18" s="40" t="str">
        <f t="shared" si="86"/>
        <v/>
      </c>
      <c r="GU18" s="40" t="str">
        <f t="shared" si="87"/>
        <v/>
      </c>
      <c r="GV18" s="40" t="str">
        <f t="shared" si="88"/>
        <v/>
      </c>
      <c r="GW18" s="40" t="str">
        <f t="shared" si="89"/>
        <v/>
      </c>
      <c r="GX18" s="40" t="str">
        <f t="shared" si="90"/>
        <v/>
      </c>
      <c r="GY18" s="40" t="str">
        <f t="shared" si="91"/>
        <v/>
      </c>
      <c r="GZ18" s="40" t="str">
        <f t="shared" si="92"/>
        <v/>
      </c>
      <c r="HA18" s="40" t="str">
        <f t="shared" si="93"/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 t="shared" si="94"/>
        <v/>
      </c>
      <c r="HW18" s="11" t="str">
        <f t="shared" si="95"/>
        <v/>
      </c>
      <c r="HX18" s="11" t="str">
        <f t="shared" si="96"/>
        <v/>
      </c>
      <c r="HY18" s="11" t="str">
        <f t="shared" si="97"/>
        <v/>
      </c>
      <c r="HZ18" s="11" t="str">
        <f t="shared" si="98"/>
        <v/>
      </c>
      <c r="IA18" s="11" t="str">
        <f t="shared" si="99"/>
        <v/>
      </c>
      <c r="IB18" s="11" t="str">
        <f t="shared" si="100"/>
        <v/>
      </c>
      <c r="IC18" s="11" t="str">
        <f t="shared" si="101"/>
        <v/>
      </c>
      <c r="ID18" s="11" t="str">
        <f t="shared" si="102"/>
        <v/>
      </c>
      <c r="IE18" s="11" t="str">
        <f t="shared" si="103"/>
        <v/>
      </c>
      <c r="IF18" s="11" t="str">
        <f t="shared" si="104"/>
        <v/>
      </c>
      <c r="IG18" s="11" t="str">
        <f t="shared" si="105"/>
        <v/>
      </c>
      <c r="IH18" s="11" t="str">
        <f t="shared" si="106"/>
        <v/>
      </c>
      <c r="II18" s="11" t="str">
        <f t="shared" si="107"/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 t="shared" si="108"/>
        <v/>
      </c>
      <c r="JE18" s="40" t="str">
        <f t="shared" si="109"/>
        <v/>
      </c>
      <c r="JF18" s="40" t="str">
        <f t="shared" si="110"/>
        <v/>
      </c>
      <c r="JG18" s="40" t="str">
        <f t="shared" si="111"/>
        <v/>
      </c>
      <c r="JH18" s="40" t="str">
        <f t="shared" si="112"/>
        <v/>
      </c>
      <c r="JI18" s="40" t="str">
        <f t="shared" si="113"/>
        <v/>
      </c>
      <c r="JJ18" s="40" t="str">
        <f t="shared" si="114"/>
        <v/>
      </c>
      <c r="JK18" s="40" t="str">
        <f t="shared" si="115"/>
        <v/>
      </c>
      <c r="JL18" s="40" t="str">
        <f t="shared" si="116"/>
        <v/>
      </c>
      <c r="JM18" s="40" t="str">
        <f t="shared" si="117"/>
        <v/>
      </c>
      <c r="JN18" s="40" t="str">
        <f t="shared" si="118"/>
        <v/>
      </c>
      <c r="JO18" s="40" t="str">
        <f t="shared" si="119"/>
        <v/>
      </c>
      <c r="JP18" s="40" t="str">
        <f t="shared" si="120"/>
        <v/>
      </c>
      <c r="JQ18" s="40" t="str">
        <f t="shared" si="121"/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 t="shared" si="122"/>
        <v/>
      </c>
      <c r="KM18" s="11" t="str">
        <f t="shared" si="123"/>
        <v/>
      </c>
      <c r="KN18" s="11" t="str">
        <f t="shared" si="124"/>
        <v/>
      </c>
      <c r="KO18" s="11" t="str">
        <f t="shared" si="125"/>
        <v/>
      </c>
      <c r="KP18" s="11" t="str">
        <f t="shared" si="126"/>
        <v/>
      </c>
      <c r="KQ18" s="11" t="str">
        <f t="shared" si="127"/>
        <v/>
      </c>
      <c r="KR18" s="11" t="str">
        <f t="shared" si="128"/>
        <v/>
      </c>
      <c r="KS18" s="11" t="str">
        <f t="shared" si="129"/>
        <v/>
      </c>
      <c r="KT18" s="11" t="str">
        <f t="shared" si="130"/>
        <v/>
      </c>
      <c r="KU18" s="11" t="str">
        <f t="shared" si="131"/>
        <v/>
      </c>
      <c r="KV18" s="11" t="str">
        <f t="shared" si="132"/>
        <v/>
      </c>
      <c r="KW18" s="11" t="str">
        <f t="shared" si="133"/>
        <v/>
      </c>
      <c r="KX18" s="11" t="str">
        <f t="shared" si="134"/>
        <v/>
      </c>
      <c r="KY18" s="11" t="str">
        <f t="shared" si="135"/>
        <v/>
      </c>
      <c r="KZ18" s="17">
        <v>13</v>
      </c>
      <c r="LA18" s="17">
        <v>8.9</v>
      </c>
      <c r="LB18" s="17">
        <v>14.6</v>
      </c>
      <c r="LC18" s="17">
        <v>15.24</v>
      </c>
      <c r="LD18" s="17">
        <v>0</v>
      </c>
      <c r="LE18" s="17">
        <v>13.9</v>
      </c>
      <c r="LF18" s="17">
        <v>9.4</v>
      </c>
      <c r="LG18" s="17">
        <v>14.6</v>
      </c>
      <c r="LH18" s="17">
        <v>15.59</v>
      </c>
      <c r="LI18" s="17">
        <v>0</v>
      </c>
      <c r="LJ18" s="17">
        <v>6.8</v>
      </c>
      <c r="LK18" s="17">
        <v>4.4000000000000004</v>
      </c>
      <c r="LL18" s="17">
        <v>7.8</v>
      </c>
      <c r="LM18" s="17">
        <v>7.73</v>
      </c>
      <c r="LN18" s="17">
        <v>0</v>
      </c>
      <c r="LO18" s="17"/>
      <c r="LP18" s="17"/>
      <c r="LQ18" s="17"/>
      <c r="LR18" s="17"/>
      <c r="LS18" s="17"/>
      <c r="LT18" s="40">
        <f t="shared" si="136"/>
        <v>14.6</v>
      </c>
      <c r="LU18" s="40">
        <f t="shared" si="137"/>
        <v>15.24</v>
      </c>
      <c r="LV18" s="40">
        <f t="shared" si="138"/>
        <v>51.74</v>
      </c>
      <c r="LW18" s="40">
        <f t="shared" si="139"/>
        <v>14.6</v>
      </c>
      <c r="LX18" s="40">
        <f t="shared" si="140"/>
        <v>15.59</v>
      </c>
      <c r="LY18" s="40">
        <f t="shared" si="141"/>
        <v>53.489999999999995</v>
      </c>
      <c r="LZ18" s="40">
        <f t="shared" si="142"/>
        <v>53.489999999999995</v>
      </c>
      <c r="MA18" s="40">
        <f t="shared" si="143"/>
        <v>7.8</v>
      </c>
      <c r="MB18" s="40">
        <f t="shared" si="144"/>
        <v>7.73</v>
      </c>
      <c r="MC18" s="40">
        <f t="shared" si="145"/>
        <v>26.73</v>
      </c>
      <c r="MD18" s="40" t="str">
        <f t="shared" si="146"/>
        <v/>
      </c>
      <c r="ME18" s="40" t="str">
        <f t="shared" si="147"/>
        <v/>
      </c>
      <c r="MF18" s="40" t="str">
        <f t="shared" si="148"/>
        <v/>
      </c>
      <c r="MG18" s="40">
        <f t="shared" si="149"/>
        <v>80.22</v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 t="shared" si="150"/>
        <v/>
      </c>
      <c r="NC18" s="11" t="str">
        <f t="shared" si="151"/>
        <v/>
      </c>
      <c r="ND18" s="11" t="str">
        <f t="shared" si="152"/>
        <v/>
      </c>
      <c r="NE18" s="11" t="str">
        <f t="shared" si="153"/>
        <v/>
      </c>
      <c r="NF18" s="11" t="str">
        <f t="shared" si="154"/>
        <v/>
      </c>
      <c r="NG18" s="11" t="str">
        <f t="shared" si="155"/>
        <v/>
      </c>
      <c r="NH18" s="11" t="str">
        <f t="shared" si="156"/>
        <v/>
      </c>
      <c r="NI18" s="11" t="str">
        <f t="shared" si="157"/>
        <v/>
      </c>
      <c r="NJ18" s="11" t="str">
        <f t="shared" si="158"/>
        <v/>
      </c>
      <c r="NK18" s="11" t="str">
        <f t="shared" si="159"/>
        <v/>
      </c>
      <c r="NL18" s="11" t="str">
        <f t="shared" si="160"/>
        <v/>
      </c>
      <c r="NM18" s="11" t="str">
        <f t="shared" si="161"/>
        <v/>
      </c>
      <c r="NN18" s="11" t="str">
        <f t="shared" si="162"/>
        <v/>
      </c>
      <c r="NO18" s="11" t="str">
        <f t="shared" si="163"/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 t="shared" si="164"/>
        <v/>
      </c>
      <c r="OK18" s="40" t="str">
        <f t="shared" si="165"/>
        <v/>
      </c>
      <c r="OL18" s="40" t="str">
        <f t="shared" si="166"/>
        <v/>
      </c>
      <c r="OM18" s="40" t="str">
        <f t="shared" si="167"/>
        <v/>
      </c>
      <c r="ON18" s="40" t="str">
        <f t="shared" si="168"/>
        <v/>
      </c>
      <c r="OO18" s="40" t="str">
        <f t="shared" si="169"/>
        <v/>
      </c>
      <c r="OP18" s="40" t="str">
        <f t="shared" si="170"/>
        <v/>
      </c>
      <c r="OQ18" s="40" t="str">
        <f t="shared" si="171"/>
        <v/>
      </c>
      <c r="OR18" s="40" t="str">
        <f t="shared" si="172"/>
        <v/>
      </c>
      <c r="OS18" s="40" t="str">
        <f t="shared" si="173"/>
        <v/>
      </c>
      <c r="OT18" s="40" t="str">
        <f t="shared" si="174"/>
        <v/>
      </c>
      <c r="OU18" s="40" t="str">
        <f t="shared" si="175"/>
        <v/>
      </c>
      <c r="OV18" s="40" t="str">
        <f t="shared" si="176"/>
        <v/>
      </c>
      <c r="OW18" s="40" t="str">
        <f t="shared" si="177"/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 t="shared" si="178"/>
        <v/>
      </c>
      <c r="PS18" s="11" t="str">
        <f t="shared" si="179"/>
        <v/>
      </c>
      <c r="PT18" s="11" t="str">
        <f t="shared" si="180"/>
        <v/>
      </c>
      <c r="PU18" s="11" t="str">
        <f t="shared" si="181"/>
        <v/>
      </c>
      <c r="PV18" s="11" t="str">
        <f t="shared" si="182"/>
        <v/>
      </c>
      <c r="PW18" s="11" t="str">
        <f t="shared" si="183"/>
        <v/>
      </c>
      <c r="PX18" s="11" t="str">
        <f t="shared" si="184"/>
        <v/>
      </c>
      <c r="PY18" s="11" t="str">
        <f t="shared" si="185"/>
        <v/>
      </c>
      <c r="PZ18" s="11" t="str">
        <f t="shared" si="186"/>
        <v/>
      </c>
      <c r="QA18" s="11" t="str">
        <f t="shared" si="187"/>
        <v/>
      </c>
      <c r="QB18" s="11" t="str">
        <f t="shared" si="188"/>
        <v/>
      </c>
      <c r="QC18" s="11" t="str">
        <f t="shared" si="189"/>
        <v/>
      </c>
      <c r="QD18" s="11" t="str">
        <f t="shared" si="190"/>
        <v/>
      </c>
      <c r="QE18" s="11" t="str">
        <f t="shared" si="191"/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 t="shared" si="192"/>
        <v/>
      </c>
      <c r="RA18" s="40" t="str">
        <f t="shared" si="193"/>
        <v/>
      </c>
      <c r="RB18" s="40" t="str">
        <f t="shared" si="194"/>
        <v/>
      </c>
      <c r="RC18" s="40" t="str">
        <f t="shared" si="195"/>
        <v/>
      </c>
      <c r="RD18" s="40" t="str">
        <f t="shared" si="196"/>
        <v/>
      </c>
      <c r="RE18" s="40" t="str">
        <f t="shared" si="197"/>
        <v/>
      </c>
      <c r="RF18" s="40" t="str">
        <f t="shared" si="198"/>
        <v/>
      </c>
      <c r="RG18" s="40" t="str">
        <f t="shared" si="199"/>
        <v/>
      </c>
      <c r="RH18" s="40" t="str">
        <f t="shared" si="200"/>
        <v/>
      </c>
      <c r="RI18" s="40" t="str">
        <f t="shared" si="201"/>
        <v/>
      </c>
      <c r="RJ18" s="40" t="str">
        <f t="shared" si="202"/>
        <v/>
      </c>
      <c r="RK18" s="40" t="str">
        <f t="shared" si="203"/>
        <v/>
      </c>
      <c r="RL18" s="40" t="str">
        <f t="shared" si="204"/>
        <v/>
      </c>
      <c r="RM18" s="40" t="str">
        <f t="shared" si="205"/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 t="shared" si="206"/>
        <v/>
      </c>
      <c r="SI18" s="11" t="str">
        <f t="shared" si="207"/>
        <v/>
      </c>
      <c r="SJ18" s="11" t="str">
        <f t="shared" si="208"/>
        <v/>
      </c>
      <c r="SK18" s="11" t="str">
        <f t="shared" si="209"/>
        <v/>
      </c>
      <c r="SL18" s="11" t="str">
        <f t="shared" si="210"/>
        <v/>
      </c>
      <c r="SM18" s="11" t="str">
        <f t="shared" si="211"/>
        <v/>
      </c>
      <c r="SN18" s="11" t="str">
        <f t="shared" si="212"/>
        <v/>
      </c>
      <c r="SO18" s="11" t="str">
        <f t="shared" si="213"/>
        <v/>
      </c>
      <c r="SP18" s="11" t="str">
        <f t="shared" si="214"/>
        <v/>
      </c>
      <c r="SQ18" s="11" t="str">
        <f t="shared" si="215"/>
        <v/>
      </c>
      <c r="SR18" s="11" t="str">
        <f t="shared" si="216"/>
        <v/>
      </c>
      <c r="SS18" s="11" t="str">
        <f t="shared" si="217"/>
        <v/>
      </c>
      <c r="ST18" s="11" t="str">
        <f t="shared" si="218"/>
        <v/>
      </c>
      <c r="SU18" s="11" t="str">
        <f t="shared" si="219"/>
        <v/>
      </c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40" t="str">
        <f t="shared" si="220"/>
        <v/>
      </c>
      <c r="TQ18" s="40" t="str">
        <f t="shared" si="221"/>
        <v/>
      </c>
      <c r="TR18" s="40" t="str">
        <f t="shared" si="222"/>
        <v/>
      </c>
      <c r="TS18" s="40" t="str">
        <f t="shared" si="223"/>
        <v/>
      </c>
      <c r="TT18" s="40" t="str">
        <f t="shared" si="224"/>
        <v/>
      </c>
      <c r="TU18" s="40" t="str">
        <f t="shared" si="225"/>
        <v/>
      </c>
      <c r="TV18" s="40" t="str">
        <f t="shared" si="226"/>
        <v/>
      </c>
      <c r="TW18" s="40" t="str">
        <f t="shared" si="227"/>
        <v/>
      </c>
      <c r="TX18" s="40" t="str">
        <f t="shared" si="228"/>
        <v/>
      </c>
      <c r="TY18" s="40" t="str">
        <f t="shared" si="229"/>
        <v/>
      </c>
      <c r="TZ18" s="40" t="str">
        <f t="shared" si="230"/>
        <v/>
      </c>
      <c r="UA18" s="40" t="str">
        <f t="shared" si="231"/>
        <v/>
      </c>
      <c r="UB18" s="40" t="str">
        <f t="shared" si="232"/>
        <v/>
      </c>
      <c r="UC18" s="40" t="str">
        <f t="shared" si="233"/>
        <v/>
      </c>
      <c r="UD18" s="18"/>
      <c r="UE18" s="18"/>
      <c r="UF18" s="18"/>
      <c r="UG18" s="18"/>
      <c r="UH18" s="18"/>
      <c r="UI18" s="18"/>
      <c r="UJ18" s="18"/>
      <c r="UK18" s="18"/>
      <c r="UL18" s="18"/>
      <c r="UM18" s="18"/>
      <c r="UN18" s="18"/>
      <c r="UO18" s="18"/>
      <c r="UP18" s="18"/>
      <c r="UQ18" s="18"/>
      <c r="UR18" s="18"/>
      <c r="US18" s="18"/>
      <c r="UT18" s="18"/>
      <c r="UU18" s="18"/>
      <c r="UV18" s="18"/>
      <c r="UW18" s="18"/>
      <c r="UX18" s="11" t="str">
        <f t="shared" si="234"/>
        <v/>
      </c>
      <c r="UY18" s="11" t="str">
        <f t="shared" si="235"/>
        <v/>
      </c>
      <c r="UZ18" s="11" t="str">
        <f t="shared" si="236"/>
        <v/>
      </c>
      <c r="VA18" s="11" t="str">
        <f t="shared" si="237"/>
        <v/>
      </c>
      <c r="VB18" s="11" t="str">
        <f t="shared" si="238"/>
        <v/>
      </c>
      <c r="VC18" s="11" t="str">
        <f t="shared" si="239"/>
        <v/>
      </c>
      <c r="VD18" s="11" t="str">
        <f t="shared" si="240"/>
        <v/>
      </c>
      <c r="VE18" s="11" t="str">
        <f t="shared" si="241"/>
        <v/>
      </c>
      <c r="VF18" s="11" t="str">
        <f t="shared" si="242"/>
        <v/>
      </c>
      <c r="VG18" s="11" t="str">
        <f t="shared" si="243"/>
        <v/>
      </c>
      <c r="VH18" s="11" t="str">
        <f t="shared" si="244"/>
        <v/>
      </c>
      <c r="VI18" s="11" t="str">
        <f t="shared" si="245"/>
        <v/>
      </c>
      <c r="VJ18" s="11" t="str">
        <f t="shared" si="246"/>
        <v/>
      </c>
      <c r="VK18" s="11" t="str">
        <f t="shared" si="247"/>
        <v/>
      </c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40" t="str">
        <f t="shared" si="248"/>
        <v/>
      </c>
      <c r="WG18" s="40" t="str">
        <f t="shared" si="249"/>
        <v/>
      </c>
      <c r="WH18" s="40" t="str">
        <f t="shared" si="250"/>
        <v/>
      </c>
      <c r="WI18" s="40" t="str">
        <f t="shared" si="251"/>
        <v/>
      </c>
      <c r="WJ18" s="40" t="str">
        <f t="shared" si="252"/>
        <v/>
      </c>
      <c r="WK18" s="40" t="str">
        <f t="shared" si="253"/>
        <v/>
      </c>
      <c r="WL18" s="40" t="str">
        <f t="shared" si="254"/>
        <v/>
      </c>
      <c r="WM18" s="40" t="str">
        <f t="shared" si="255"/>
        <v/>
      </c>
      <c r="WN18" s="40" t="str">
        <f t="shared" si="256"/>
        <v/>
      </c>
      <c r="WO18" s="40" t="str">
        <f t="shared" si="257"/>
        <v/>
      </c>
      <c r="WP18" s="40" t="str">
        <f t="shared" si="258"/>
        <v/>
      </c>
      <c r="WQ18" s="40" t="str">
        <f t="shared" si="259"/>
        <v/>
      </c>
      <c r="WR18" s="40" t="str">
        <f t="shared" si="260"/>
        <v/>
      </c>
      <c r="WS18" s="40" t="str">
        <f t="shared" si="261"/>
        <v/>
      </c>
      <c r="WT18" s="26">
        <f t="shared" si="262"/>
        <v>1.5</v>
      </c>
      <c r="WU18" s="26">
        <f t="shared" si="263"/>
        <v>0.95</v>
      </c>
      <c r="WV18" s="26">
        <f t="shared" si="264"/>
        <v>1.7</v>
      </c>
      <c r="WW18" s="26">
        <f t="shared" si="265"/>
        <v>1.645</v>
      </c>
      <c r="WX18" s="26">
        <f t="shared" si="266"/>
        <v>0</v>
      </c>
      <c r="WY18" s="26">
        <f t="shared" si="267"/>
        <v>1.5</v>
      </c>
      <c r="WZ18" s="26">
        <f t="shared" si="268"/>
        <v>0.95</v>
      </c>
      <c r="XA18" s="26">
        <f t="shared" si="269"/>
        <v>1.7</v>
      </c>
      <c r="XB18" s="26">
        <f t="shared" si="270"/>
        <v>1.65</v>
      </c>
      <c r="XC18" s="26">
        <f t="shared" si="271"/>
        <v>0</v>
      </c>
      <c r="XD18" s="26">
        <f t="shared" si="272"/>
        <v>0</v>
      </c>
      <c r="XE18" s="26">
        <f t="shared" si="273"/>
        <v>0</v>
      </c>
      <c r="XF18" s="26">
        <f t="shared" si="274"/>
        <v>0</v>
      </c>
      <c r="XG18" s="26">
        <f t="shared" si="275"/>
        <v>0</v>
      </c>
      <c r="XH18" s="26">
        <f t="shared" si="276"/>
        <v>0</v>
      </c>
      <c r="XI18" s="28" t="s">
        <v>53</v>
      </c>
      <c r="XJ18" s="11">
        <f t="shared" si="277"/>
        <v>1.7</v>
      </c>
      <c r="XK18" s="11">
        <f t="shared" si="278"/>
        <v>1.645</v>
      </c>
      <c r="XL18" s="11">
        <f t="shared" si="279"/>
        <v>5.7949999999999999</v>
      </c>
      <c r="XM18" s="11">
        <f t="shared" si="280"/>
        <v>1.7</v>
      </c>
      <c r="XN18" s="11">
        <f t="shared" si="281"/>
        <v>1.65</v>
      </c>
      <c r="XO18" s="11">
        <f t="shared" si="282"/>
        <v>5.8000000000000007</v>
      </c>
      <c r="XP18" s="11">
        <f t="shared" si="283"/>
        <v>5.8000000000000007</v>
      </c>
      <c r="XQ18" s="11" t="str">
        <f t="shared" si="284"/>
        <v/>
      </c>
      <c r="XR18" s="11" t="str">
        <f t="shared" si="285"/>
        <v/>
      </c>
      <c r="XS18" s="11" t="str">
        <f t="shared" si="286"/>
        <v/>
      </c>
      <c r="XT18" s="11">
        <f t="shared" si="287"/>
        <v>5.8000000000000007</v>
      </c>
    </row>
    <row r="19" spans="1:644" x14ac:dyDescent="0.2">
      <c r="A19" s="4" t="str" cm="1">
        <f t="array" ref="A19">IF(AND(H19&lt;&gt;"",H19&lt;&gt;"No DD"),SUMPRODUCT((H$4:H$25&lt;&gt;"")*(H$4:H$25&lt;&gt;"No DD")*(E$4:E$25&gt;E19))+1,IF(H19="No DD",SUMPRODUCT((H$4:H$25="No DD")*(E$4:E$25&gt;E19))+1+SUMPRODUCT((H$4:H$25&lt;&gt;"")*(H$4:H$25&lt;&gt;"No DD")),""))</f>
        <v/>
      </c>
      <c r="B19" s="5" t="s">
        <v>82</v>
      </c>
      <c r="C19" s="4" t="s">
        <v>5</v>
      </c>
      <c r="D19" s="4">
        <v>2003</v>
      </c>
      <c r="E19" s="9">
        <f t="shared" si="0"/>
        <v>153.97001539700489</v>
      </c>
      <c r="F19" s="3" t="str">
        <f t="shared" si="1"/>
        <v/>
      </c>
      <c r="G19" s="3" t="str">
        <f t="shared" si="2"/>
        <v/>
      </c>
      <c r="H19" s="36" t="str">
        <f t="shared" si="3"/>
        <v/>
      </c>
      <c r="I19" s="3" t="str">
        <f t="shared" si="4"/>
        <v/>
      </c>
      <c r="J19" s="8">
        <f>IF(COUNT(AQ19,AT19,BR19,BU19,CS19,CV19)&gt;0,LARGE((AQ19,AT19,BR19,BU19,CS19,CV19),1),0)</f>
        <v>48.92</v>
      </c>
      <c r="K19" s="8" t="str">
        <f t="shared" si="5"/>
        <v>2024 Elite Canada</v>
      </c>
      <c r="L19" s="8">
        <f>IF(COUNT(AQ19,AT19,BR19,BU19,CS19,CV19)&gt;1,LARGE((AQ19,AT19,BR19,BU19,CS19,CV19),2),0)</f>
        <v>47.45</v>
      </c>
      <c r="M19" s="8" t="str">
        <f t="shared" si="6"/>
        <v>2024 Elite Canada</v>
      </c>
      <c r="N19" s="8">
        <f>IF(COUNT(AQ19,AT19,BR19,BU19,CS19,CV19)&gt;2,LARGE((AQ19,AT19,BR19,BU19,CS19,CV19),3),0)</f>
        <v>44.9</v>
      </c>
      <c r="O19" s="8" t="str">
        <f t="shared" si="7"/>
        <v>2024 Nationals</v>
      </c>
      <c r="P19" s="8">
        <f t="shared" si="8"/>
        <v>0</v>
      </c>
      <c r="Q19" s="8" t="str">
        <f t="shared" si="9"/>
        <v/>
      </c>
      <c r="R19" s="8">
        <f t="shared" si="10"/>
        <v>12.7</v>
      </c>
      <c r="S19" s="8" t="str">
        <f t="shared" si="11"/>
        <v>2024 Elite Canada</v>
      </c>
      <c r="T19" s="8">
        <f t="shared" si="12"/>
        <v>0</v>
      </c>
      <c r="U19" s="8" t="str">
        <f t="shared" si="13"/>
        <v/>
      </c>
      <c r="V19" s="8" t="str">
        <f t="shared" si="14"/>
        <v/>
      </c>
      <c r="W19" s="11" t="str">
        <f t="shared" si="15"/>
        <v/>
      </c>
      <c r="X19" s="8" t="str">
        <f t="shared" si="16"/>
        <v/>
      </c>
      <c r="Y19" s="22">
        <v>13.5</v>
      </c>
      <c r="Z19" s="22">
        <v>8</v>
      </c>
      <c r="AA19" s="22">
        <v>12.1</v>
      </c>
      <c r="AB19" s="22">
        <v>13.85</v>
      </c>
      <c r="AC19" s="22">
        <v>0</v>
      </c>
      <c r="AD19" s="22">
        <v>12.4</v>
      </c>
      <c r="AE19" s="22">
        <v>9.6</v>
      </c>
      <c r="AF19" s="22">
        <v>12.7</v>
      </c>
      <c r="AG19" s="22">
        <v>15.02</v>
      </c>
      <c r="AH19" s="22">
        <v>0.8</v>
      </c>
      <c r="AI19" s="22"/>
      <c r="AJ19" s="22"/>
      <c r="AK19" s="22"/>
      <c r="AL19" s="22"/>
      <c r="AM19" s="22"/>
      <c r="AN19" s="27"/>
      <c r="AO19" s="38">
        <f t="shared" si="17"/>
        <v>12.1</v>
      </c>
      <c r="AP19" s="38">
        <f t="shared" si="18"/>
        <v>13.85</v>
      </c>
      <c r="AQ19" s="40">
        <f t="shared" si="19"/>
        <v>47.45</v>
      </c>
      <c r="AR19" s="40">
        <f t="shared" si="20"/>
        <v>12.7</v>
      </c>
      <c r="AS19" s="40">
        <f t="shared" si="21"/>
        <v>15.02</v>
      </c>
      <c r="AT19" s="40">
        <f t="shared" si="22"/>
        <v>48.92</v>
      </c>
      <c r="AU19" s="40">
        <f t="shared" si="23"/>
        <v>48.92</v>
      </c>
      <c r="AV19" s="40" t="str">
        <f t="shared" si="24"/>
        <v/>
      </c>
      <c r="AW19" s="40" t="str">
        <f t="shared" si="25"/>
        <v/>
      </c>
      <c r="AX19" s="40" t="str">
        <f t="shared" si="26"/>
        <v/>
      </c>
      <c r="AY19" s="40">
        <f t="shared" si="27"/>
        <v>48.92</v>
      </c>
      <c r="AZ19" s="26">
        <v>7.8</v>
      </c>
      <c r="BA19" s="26">
        <v>5.3</v>
      </c>
      <c r="BB19" s="26">
        <v>8.1</v>
      </c>
      <c r="BC19" s="26">
        <v>9.36</v>
      </c>
      <c r="BD19" s="26">
        <v>0</v>
      </c>
      <c r="BE19" s="26">
        <v>12.4</v>
      </c>
      <c r="BF19" s="26">
        <v>9</v>
      </c>
      <c r="BG19" s="26">
        <v>11.1</v>
      </c>
      <c r="BH19" s="26">
        <v>14.8</v>
      </c>
      <c r="BI19" s="26">
        <v>2.4</v>
      </c>
      <c r="BJ19" s="26"/>
      <c r="BK19" s="26"/>
      <c r="BL19" s="26"/>
      <c r="BM19" s="26"/>
      <c r="BN19" s="26"/>
      <c r="BO19" s="28"/>
      <c r="BP19" s="39">
        <f t="shared" si="28"/>
        <v>8.1</v>
      </c>
      <c r="BQ19" s="39">
        <f t="shared" si="29"/>
        <v>9.36</v>
      </c>
      <c r="BR19" s="11">
        <f t="shared" si="30"/>
        <v>30.56</v>
      </c>
      <c r="BS19" s="11">
        <f t="shared" si="31"/>
        <v>11.1</v>
      </c>
      <c r="BT19" s="11">
        <f t="shared" si="32"/>
        <v>14.8</v>
      </c>
      <c r="BU19" s="11">
        <f t="shared" si="33"/>
        <v>44.9</v>
      </c>
      <c r="BV19" s="11">
        <f t="shared" si="34"/>
        <v>44.9</v>
      </c>
      <c r="BW19" s="11" t="str">
        <f t="shared" si="35"/>
        <v/>
      </c>
      <c r="BX19" s="11" t="str">
        <f t="shared" si="36"/>
        <v/>
      </c>
      <c r="BY19" s="11" t="str">
        <f t="shared" si="37"/>
        <v/>
      </c>
      <c r="BZ19" s="11">
        <f t="shared" si="38"/>
        <v>44.9</v>
      </c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7"/>
      <c r="CQ19" s="38" t="str">
        <f t="shared" si="39"/>
        <v/>
      </c>
      <c r="CR19" s="38" t="str">
        <f t="shared" si="40"/>
        <v/>
      </c>
      <c r="CS19" s="40" t="str">
        <f t="shared" si="41"/>
        <v/>
      </c>
      <c r="CT19" s="40" t="str">
        <f t="shared" si="42"/>
        <v/>
      </c>
      <c r="CU19" s="40" t="str">
        <f t="shared" si="43"/>
        <v/>
      </c>
      <c r="CV19" s="40" t="str">
        <f t="shared" si="44"/>
        <v/>
      </c>
      <c r="CW19" s="40" t="str">
        <f t="shared" si="45"/>
        <v/>
      </c>
      <c r="CX19" s="40" t="str">
        <f t="shared" si="46"/>
        <v/>
      </c>
      <c r="CY19" s="40" t="str">
        <f t="shared" si="47"/>
        <v/>
      </c>
      <c r="CZ19" s="40" t="str">
        <f t="shared" si="48"/>
        <v/>
      </c>
      <c r="DA19" s="40" t="str">
        <f t="shared" si="49"/>
        <v/>
      </c>
      <c r="DB19" s="51" t="str">
        <f t="shared" si="50"/>
        <v/>
      </c>
      <c r="DC19" s="51" t="str">
        <f t="shared" si="51"/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 t="shared" si="52"/>
        <v/>
      </c>
      <c r="DY19" s="40" t="str">
        <f t="shared" si="53"/>
        <v/>
      </c>
      <c r="DZ19" s="40" t="str">
        <f t="shared" si="54"/>
        <v/>
      </c>
      <c r="EA19" s="40" t="str">
        <f t="shared" si="55"/>
        <v/>
      </c>
      <c r="EB19" s="40" t="str">
        <f t="shared" si="56"/>
        <v/>
      </c>
      <c r="EC19" s="40" t="str">
        <f t="shared" si="57"/>
        <v/>
      </c>
      <c r="ED19" s="40" t="str">
        <f t="shared" si="58"/>
        <v/>
      </c>
      <c r="EE19" s="40" t="str">
        <f t="shared" si="59"/>
        <v/>
      </c>
      <c r="EF19" s="40" t="str">
        <f t="shared" si="60"/>
        <v/>
      </c>
      <c r="EG19" s="40" t="str">
        <f t="shared" si="61"/>
        <v/>
      </c>
      <c r="EH19" s="40" t="str">
        <f t="shared" si="62"/>
        <v/>
      </c>
      <c r="EI19" s="40" t="str">
        <f t="shared" si="63"/>
        <v/>
      </c>
      <c r="EJ19" s="40" t="str">
        <f t="shared" si="64"/>
        <v/>
      </c>
      <c r="EK19" s="40" t="str">
        <f t="shared" si="65"/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 t="shared" si="66"/>
        <v/>
      </c>
      <c r="FG19" s="11" t="str">
        <f t="shared" si="67"/>
        <v/>
      </c>
      <c r="FH19" s="11" t="str">
        <f t="shared" si="68"/>
        <v/>
      </c>
      <c r="FI19" s="11" t="str">
        <f t="shared" si="69"/>
        <v/>
      </c>
      <c r="FJ19" s="11" t="str">
        <f t="shared" si="70"/>
        <v/>
      </c>
      <c r="FK19" s="11" t="str">
        <f t="shared" si="71"/>
        <v/>
      </c>
      <c r="FL19" s="11" t="str">
        <f t="shared" si="72"/>
        <v/>
      </c>
      <c r="FM19" s="11" t="str">
        <f t="shared" si="73"/>
        <v/>
      </c>
      <c r="FN19" s="11" t="str">
        <f t="shared" si="74"/>
        <v/>
      </c>
      <c r="FO19" s="11" t="str">
        <f t="shared" si="75"/>
        <v/>
      </c>
      <c r="FP19" s="11" t="str">
        <f t="shared" si="76"/>
        <v/>
      </c>
      <c r="FQ19" s="11" t="str">
        <f t="shared" si="77"/>
        <v/>
      </c>
      <c r="FR19" s="11" t="str">
        <f t="shared" si="78"/>
        <v/>
      </c>
      <c r="FS19" s="11" t="str">
        <f t="shared" si="79"/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 t="shared" si="80"/>
        <v/>
      </c>
      <c r="GO19" s="40" t="str">
        <f t="shared" si="81"/>
        <v/>
      </c>
      <c r="GP19" s="40" t="str">
        <f t="shared" si="82"/>
        <v/>
      </c>
      <c r="GQ19" s="40" t="str">
        <f t="shared" si="83"/>
        <v/>
      </c>
      <c r="GR19" s="40" t="str">
        <f t="shared" si="84"/>
        <v/>
      </c>
      <c r="GS19" s="40" t="str">
        <f t="shared" si="85"/>
        <v/>
      </c>
      <c r="GT19" s="40" t="str">
        <f t="shared" si="86"/>
        <v/>
      </c>
      <c r="GU19" s="40" t="str">
        <f t="shared" si="87"/>
        <v/>
      </c>
      <c r="GV19" s="40" t="str">
        <f t="shared" si="88"/>
        <v/>
      </c>
      <c r="GW19" s="40" t="str">
        <f t="shared" si="89"/>
        <v/>
      </c>
      <c r="GX19" s="40" t="str">
        <f t="shared" si="90"/>
        <v/>
      </c>
      <c r="GY19" s="40" t="str">
        <f t="shared" si="91"/>
        <v/>
      </c>
      <c r="GZ19" s="40" t="str">
        <f t="shared" si="92"/>
        <v/>
      </c>
      <c r="HA19" s="40" t="str">
        <f t="shared" si="93"/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 t="shared" si="94"/>
        <v/>
      </c>
      <c r="HW19" s="11" t="str">
        <f t="shared" si="95"/>
        <v/>
      </c>
      <c r="HX19" s="11" t="str">
        <f t="shared" si="96"/>
        <v/>
      </c>
      <c r="HY19" s="11" t="str">
        <f t="shared" si="97"/>
        <v/>
      </c>
      <c r="HZ19" s="11" t="str">
        <f t="shared" si="98"/>
        <v/>
      </c>
      <c r="IA19" s="11" t="str">
        <f t="shared" si="99"/>
        <v/>
      </c>
      <c r="IB19" s="11" t="str">
        <f t="shared" si="100"/>
        <v/>
      </c>
      <c r="IC19" s="11" t="str">
        <f t="shared" si="101"/>
        <v/>
      </c>
      <c r="ID19" s="11" t="str">
        <f t="shared" si="102"/>
        <v/>
      </c>
      <c r="IE19" s="11" t="str">
        <f t="shared" si="103"/>
        <v/>
      </c>
      <c r="IF19" s="11" t="str">
        <f t="shared" si="104"/>
        <v/>
      </c>
      <c r="IG19" s="11" t="str">
        <f t="shared" si="105"/>
        <v/>
      </c>
      <c r="IH19" s="11" t="str">
        <f t="shared" si="106"/>
        <v/>
      </c>
      <c r="II19" s="11" t="str">
        <f t="shared" si="107"/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 t="shared" si="108"/>
        <v/>
      </c>
      <c r="JE19" s="40" t="str">
        <f t="shared" si="109"/>
        <v/>
      </c>
      <c r="JF19" s="40" t="str">
        <f t="shared" si="110"/>
        <v/>
      </c>
      <c r="JG19" s="40" t="str">
        <f t="shared" si="111"/>
        <v/>
      </c>
      <c r="JH19" s="40" t="str">
        <f t="shared" si="112"/>
        <v/>
      </c>
      <c r="JI19" s="40" t="str">
        <f t="shared" si="113"/>
        <v/>
      </c>
      <c r="JJ19" s="40" t="str">
        <f t="shared" si="114"/>
        <v/>
      </c>
      <c r="JK19" s="40" t="str">
        <f t="shared" si="115"/>
        <v/>
      </c>
      <c r="JL19" s="40" t="str">
        <f t="shared" si="116"/>
        <v/>
      </c>
      <c r="JM19" s="40" t="str">
        <f t="shared" si="117"/>
        <v/>
      </c>
      <c r="JN19" s="40" t="str">
        <f t="shared" si="118"/>
        <v/>
      </c>
      <c r="JO19" s="40" t="str">
        <f t="shared" si="119"/>
        <v/>
      </c>
      <c r="JP19" s="40" t="str">
        <f t="shared" si="120"/>
        <v/>
      </c>
      <c r="JQ19" s="40" t="str">
        <f t="shared" si="121"/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 t="shared" si="122"/>
        <v/>
      </c>
      <c r="KM19" s="11" t="str">
        <f t="shared" si="123"/>
        <v/>
      </c>
      <c r="KN19" s="11" t="str">
        <f t="shared" si="124"/>
        <v/>
      </c>
      <c r="KO19" s="11" t="str">
        <f t="shared" si="125"/>
        <v/>
      </c>
      <c r="KP19" s="11" t="str">
        <f t="shared" si="126"/>
        <v/>
      </c>
      <c r="KQ19" s="11" t="str">
        <f t="shared" si="127"/>
        <v/>
      </c>
      <c r="KR19" s="11" t="str">
        <f t="shared" si="128"/>
        <v/>
      </c>
      <c r="KS19" s="11" t="str">
        <f t="shared" si="129"/>
        <v/>
      </c>
      <c r="KT19" s="11" t="str">
        <f t="shared" si="130"/>
        <v/>
      </c>
      <c r="KU19" s="11" t="str">
        <f t="shared" si="131"/>
        <v/>
      </c>
      <c r="KV19" s="11" t="str">
        <f t="shared" si="132"/>
        <v/>
      </c>
      <c r="KW19" s="11" t="str">
        <f t="shared" si="133"/>
        <v/>
      </c>
      <c r="KX19" s="11" t="str">
        <f t="shared" si="134"/>
        <v/>
      </c>
      <c r="KY19" s="11" t="str">
        <f t="shared" si="135"/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 t="shared" si="136"/>
        <v/>
      </c>
      <c r="LU19" s="40" t="str">
        <f t="shared" si="137"/>
        <v/>
      </c>
      <c r="LV19" s="40" t="str">
        <f t="shared" si="138"/>
        <v/>
      </c>
      <c r="LW19" s="40" t="str">
        <f t="shared" si="139"/>
        <v/>
      </c>
      <c r="LX19" s="40" t="str">
        <f t="shared" si="140"/>
        <v/>
      </c>
      <c r="LY19" s="40" t="str">
        <f t="shared" si="141"/>
        <v/>
      </c>
      <c r="LZ19" s="40" t="str">
        <f t="shared" si="142"/>
        <v/>
      </c>
      <c r="MA19" s="40" t="str">
        <f t="shared" si="143"/>
        <v/>
      </c>
      <c r="MB19" s="40" t="str">
        <f t="shared" si="144"/>
        <v/>
      </c>
      <c r="MC19" s="40" t="str">
        <f t="shared" si="145"/>
        <v/>
      </c>
      <c r="MD19" s="40" t="str">
        <f t="shared" si="146"/>
        <v/>
      </c>
      <c r="ME19" s="40" t="str">
        <f t="shared" si="147"/>
        <v/>
      </c>
      <c r="MF19" s="40" t="str">
        <f t="shared" si="148"/>
        <v/>
      </c>
      <c r="MG19" s="40" t="str">
        <f t="shared" si="149"/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 t="shared" si="150"/>
        <v/>
      </c>
      <c r="NC19" s="11" t="str">
        <f t="shared" si="151"/>
        <v/>
      </c>
      <c r="ND19" s="11" t="str">
        <f t="shared" si="152"/>
        <v/>
      </c>
      <c r="NE19" s="11" t="str">
        <f t="shared" si="153"/>
        <v/>
      </c>
      <c r="NF19" s="11" t="str">
        <f t="shared" si="154"/>
        <v/>
      </c>
      <c r="NG19" s="11" t="str">
        <f t="shared" si="155"/>
        <v/>
      </c>
      <c r="NH19" s="11" t="str">
        <f t="shared" si="156"/>
        <v/>
      </c>
      <c r="NI19" s="11" t="str">
        <f t="shared" si="157"/>
        <v/>
      </c>
      <c r="NJ19" s="11" t="str">
        <f t="shared" si="158"/>
        <v/>
      </c>
      <c r="NK19" s="11" t="str">
        <f t="shared" si="159"/>
        <v/>
      </c>
      <c r="NL19" s="11" t="str">
        <f t="shared" si="160"/>
        <v/>
      </c>
      <c r="NM19" s="11" t="str">
        <f t="shared" si="161"/>
        <v/>
      </c>
      <c r="NN19" s="11" t="str">
        <f t="shared" si="162"/>
        <v/>
      </c>
      <c r="NO19" s="11" t="str">
        <f t="shared" si="163"/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 t="shared" si="164"/>
        <v/>
      </c>
      <c r="OK19" s="40" t="str">
        <f t="shared" si="165"/>
        <v/>
      </c>
      <c r="OL19" s="40" t="str">
        <f t="shared" si="166"/>
        <v/>
      </c>
      <c r="OM19" s="40" t="str">
        <f t="shared" si="167"/>
        <v/>
      </c>
      <c r="ON19" s="40" t="str">
        <f t="shared" si="168"/>
        <v/>
      </c>
      <c r="OO19" s="40" t="str">
        <f t="shared" si="169"/>
        <v/>
      </c>
      <c r="OP19" s="40" t="str">
        <f t="shared" si="170"/>
        <v/>
      </c>
      <c r="OQ19" s="40" t="str">
        <f t="shared" si="171"/>
        <v/>
      </c>
      <c r="OR19" s="40" t="str">
        <f t="shared" si="172"/>
        <v/>
      </c>
      <c r="OS19" s="40" t="str">
        <f t="shared" si="173"/>
        <v/>
      </c>
      <c r="OT19" s="40" t="str">
        <f t="shared" si="174"/>
        <v/>
      </c>
      <c r="OU19" s="40" t="str">
        <f t="shared" si="175"/>
        <v/>
      </c>
      <c r="OV19" s="40" t="str">
        <f t="shared" si="176"/>
        <v/>
      </c>
      <c r="OW19" s="40" t="str">
        <f t="shared" si="177"/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 t="shared" si="178"/>
        <v/>
      </c>
      <c r="PS19" s="11" t="str">
        <f t="shared" si="179"/>
        <v/>
      </c>
      <c r="PT19" s="11" t="str">
        <f t="shared" si="180"/>
        <v/>
      </c>
      <c r="PU19" s="11" t="str">
        <f t="shared" si="181"/>
        <v/>
      </c>
      <c r="PV19" s="11" t="str">
        <f t="shared" si="182"/>
        <v/>
      </c>
      <c r="PW19" s="11" t="str">
        <f t="shared" si="183"/>
        <v/>
      </c>
      <c r="PX19" s="11" t="str">
        <f t="shared" si="184"/>
        <v/>
      </c>
      <c r="PY19" s="11" t="str">
        <f t="shared" si="185"/>
        <v/>
      </c>
      <c r="PZ19" s="11" t="str">
        <f t="shared" si="186"/>
        <v/>
      </c>
      <c r="QA19" s="11" t="str">
        <f t="shared" si="187"/>
        <v/>
      </c>
      <c r="QB19" s="11" t="str">
        <f t="shared" si="188"/>
        <v/>
      </c>
      <c r="QC19" s="11" t="str">
        <f t="shared" si="189"/>
        <v/>
      </c>
      <c r="QD19" s="11" t="str">
        <f t="shared" si="190"/>
        <v/>
      </c>
      <c r="QE19" s="11" t="str">
        <f t="shared" si="191"/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 t="shared" si="192"/>
        <v/>
      </c>
      <c r="RA19" s="40" t="str">
        <f t="shared" si="193"/>
        <v/>
      </c>
      <c r="RB19" s="40" t="str">
        <f t="shared" si="194"/>
        <v/>
      </c>
      <c r="RC19" s="40" t="str">
        <f t="shared" si="195"/>
        <v/>
      </c>
      <c r="RD19" s="40" t="str">
        <f t="shared" si="196"/>
        <v/>
      </c>
      <c r="RE19" s="40" t="str">
        <f t="shared" si="197"/>
        <v/>
      </c>
      <c r="RF19" s="40" t="str">
        <f t="shared" si="198"/>
        <v/>
      </c>
      <c r="RG19" s="40" t="str">
        <f t="shared" si="199"/>
        <v/>
      </c>
      <c r="RH19" s="40" t="str">
        <f t="shared" si="200"/>
        <v/>
      </c>
      <c r="RI19" s="40" t="str">
        <f t="shared" si="201"/>
        <v/>
      </c>
      <c r="RJ19" s="40" t="str">
        <f t="shared" si="202"/>
        <v/>
      </c>
      <c r="RK19" s="40" t="str">
        <f t="shared" si="203"/>
        <v/>
      </c>
      <c r="RL19" s="40" t="str">
        <f t="shared" si="204"/>
        <v/>
      </c>
      <c r="RM19" s="40" t="str">
        <f t="shared" si="205"/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 t="shared" si="206"/>
        <v/>
      </c>
      <c r="SI19" s="11" t="str">
        <f t="shared" si="207"/>
        <v/>
      </c>
      <c r="SJ19" s="11" t="str">
        <f t="shared" si="208"/>
        <v/>
      </c>
      <c r="SK19" s="11" t="str">
        <f t="shared" si="209"/>
        <v/>
      </c>
      <c r="SL19" s="11" t="str">
        <f t="shared" si="210"/>
        <v/>
      </c>
      <c r="SM19" s="11" t="str">
        <f t="shared" si="211"/>
        <v/>
      </c>
      <c r="SN19" s="11" t="str">
        <f t="shared" si="212"/>
        <v/>
      </c>
      <c r="SO19" s="11" t="str">
        <f t="shared" si="213"/>
        <v/>
      </c>
      <c r="SP19" s="11" t="str">
        <f t="shared" si="214"/>
        <v/>
      </c>
      <c r="SQ19" s="11" t="str">
        <f t="shared" si="215"/>
        <v/>
      </c>
      <c r="SR19" s="11" t="str">
        <f t="shared" si="216"/>
        <v/>
      </c>
      <c r="SS19" s="11" t="str">
        <f t="shared" si="217"/>
        <v/>
      </c>
      <c r="ST19" s="11" t="str">
        <f t="shared" si="218"/>
        <v/>
      </c>
      <c r="SU19" s="11" t="str">
        <f t="shared" si="219"/>
        <v/>
      </c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40" t="str">
        <f t="shared" si="220"/>
        <v/>
      </c>
      <c r="TQ19" s="40" t="str">
        <f t="shared" si="221"/>
        <v/>
      </c>
      <c r="TR19" s="40" t="str">
        <f t="shared" si="222"/>
        <v/>
      </c>
      <c r="TS19" s="40" t="str">
        <f t="shared" si="223"/>
        <v/>
      </c>
      <c r="TT19" s="40" t="str">
        <f t="shared" si="224"/>
        <v/>
      </c>
      <c r="TU19" s="40" t="str">
        <f t="shared" si="225"/>
        <v/>
      </c>
      <c r="TV19" s="40" t="str">
        <f t="shared" si="226"/>
        <v/>
      </c>
      <c r="TW19" s="40" t="str">
        <f t="shared" si="227"/>
        <v/>
      </c>
      <c r="TX19" s="40" t="str">
        <f t="shared" si="228"/>
        <v/>
      </c>
      <c r="TY19" s="40" t="str">
        <f t="shared" si="229"/>
        <v/>
      </c>
      <c r="TZ19" s="40" t="str">
        <f t="shared" si="230"/>
        <v/>
      </c>
      <c r="UA19" s="40" t="str">
        <f t="shared" si="231"/>
        <v/>
      </c>
      <c r="UB19" s="40" t="str">
        <f t="shared" si="232"/>
        <v/>
      </c>
      <c r="UC19" s="40" t="str">
        <f t="shared" si="233"/>
        <v/>
      </c>
      <c r="UD19" s="18"/>
      <c r="UE19" s="18"/>
      <c r="UF19" s="18"/>
      <c r="UG19" s="18"/>
      <c r="UH19" s="18"/>
      <c r="UI19" s="18"/>
      <c r="UJ19" s="18"/>
      <c r="UK19" s="18"/>
      <c r="UL19" s="18"/>
      <c r="UM19" s="18"/>
      <c r="UN19" s="18"/>
      <c r="UO19" s="18"/>
      <c r="UP19" s="18"/>
      <c r="UQ19" s="18"/>
      <c r="UR19" s="18"/>
      <c r="US19" s="18"/>
      <c r="UT19" s="18"/>
      <c r="UU19" s="18"/>
      <c r="UV19" s="18"/>
      <c r="UW19" s="18"/>
      <c r="UX19" s="11" t="str">
        <f t="shared" si="234"/>
        <v/>
      </c>
      <c r="UY19" s="11" t="str">
        <f t="shared" si="235"/>
        <v/>
      </c>
      <c r="UZ19" s="11" t="str">
        <f t="shared" si="236"/>
        <v/>
      </c>
      <c r="VA19" s="11" t="str">
        <f t="shared" si="237"/>
        <v/>
      </c>
      <c r="VB19" s="11" t="str">
        <f t="shared" si="238"/>
        <v/>
      </c>
      <c r="VC19" s="11" t="str">
        <f t="shared" si="239"/>
        <v/>
      </c>
      <c r="VD19" s="11" t="str">
        <f t="shared" si="240"/>
        <v/>
      </c>
      <c r="VE19" s="11" t="str">
        <f t="shared" si="241"/>
        <v/>
      </c>
      <c r="VF19" s="11" t="str">
        <f t="shared" si="242"/>
        <v/>
      </c>
      <c r="VG19" s="11" t="str">
        <f t="shared" si="243"/>
        <v/>
      </c>
      <c r="VH19" s="11" t="str">
        <f t="shared" si="244"/>
        <v/>
      </c>
      <c r="VI19" s="11" t="str">
        <f t="shared" si="245"/>
        <v/>
      </c>
      <c r="VJ19" s="11" t="str">
        <f t="shared" si="246"/>
        <v/>
      </c>
      <c r="VK19" s="11" t="str">
        <f t="shared" si="247"/>
        <v/>
      </c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40" t="str">
        <f t="shared" si="248"/>
        <v/>
      </c>
      <c r="WG19" s="40" t="str">
        <f t="shared" si="249"/>
        <v/>
      </c>
      <c r="WH19" s="40" t="str">
        <f t="shared" si="250"/>
        <v/>
      </c>
      <c r="WI19" s="40" t="str">
        <f t="shared" si="251"/>
        <v/>
      </c>
      <c r="WJ19" s="40" t="str">
        <f t="shared" si="252"/>
        <v/>
      </c>
      <c r="WK19" s="40" t="str">
        <f t="shared" si="253"/>
        <v/>
      </c>
      <c r="WL19" s="40" t="str">
        <f t="shared" si="254"/>
        <v/>
      </c>
      <c r="WM19" s="40" t="str">
        <f t="shared" si="255"/>
        <v/>
      </c>
      <c r="WN19" s="40" t="str">
        <f t="shared" si="256"/>
        <v/>
      </c>
      <c r="WO19" s="40" t="str">
        <f t="shared" si="257"/>
        <v/>
      </c>
      <c r="WP19" s="40" t="str">
        <f t="shared" si="258"/>
        <v/>
      </c>
      <c r="WQ19" s="40" t="str">
        <f t="shared" si="259"/>
        <v/>
      </c>
      <c r="WR19" s="40" t="str">
        <f t="shared" si="260"/>
        <v/>
      </c>
      <c r="WS19" s="40" t="str">
        <f t="shared" si="261"/>
        <v/>
      </c>
      <c r="WT19" s="26">
        <f t="shared" si="262"/>
        <v>3.9</v>
      </c>
      <c r="WU19" s="26">
        <f t="shared" si="263"/>
        <v>2.65</v>
      </c>
      <c r="WV19" s="26">
        <f t="shared" si="264"/>
        <v>4.05</v>
      </c>
      <c r="WW19" s="26">
        <f t="shared" si="265"/>
        <v>4.68</v>
      </c>
      <c r="WX19" s="26">
        <f t="shared" si="266"/>
        <v>0</v>
      </c>
      <c r="WY19" s="26">
        <f t="shared" si="267"/>
        <v>6.2</v>
      </c>
      <c r="WZ19" s="26">
        <f t="shared" si="268"/>
        <v>4.5</v>
      </c>
      <c r="XA19" s="26">
        <f t="shared" si="269"/>
        <v>5.55</v>
      </c>
      <c r="XB19" s="26">
        <f t="shared" si="270"/>
        <v>7.4</v>
      </c>
      <c r="XC19" s="26">
        <f t="shared" si="271"/>
        <v>1.2</v>
      </c>
      <c r="XD19" s="26">
        <f t="shared" si="272"/>
        <v>0</v>
      </c>
      <c r="XE19" s="26">
        <f t="shared" si="273"/>
        <v>0</v>
      </c>
      <c r="XF19" s="26">
        <f t="shared" si="274"/>
        <v>0</v>
      </c>
      <c r="XG19" s="26">
        <f t="shared" si="275"/>
        <v>0</v>
      </c>
      <c r="XH19" s="26">
        <f t="shared" si="276"/>
        <v>0</v>
      </c>
      <c r="XI19" s="28" t="s">
        <v>53</v>
      </c>
      <c r="XJ19" s="11">
        <f t="shared" si="277"/>
        <v>4.05</v>
      </c>
      <c r="XK19" s="11">
        <f t="shared" si="278"/>
        <v>4.68</v>
      </c>
      <c r="XL19" s="11">
        <f t="shared" si="279"/>
        <v>15.28</v>
      </c>
      <c r="XM19" s="11">
        <f t="shared" si="280"/>
        <v>5.55</v>
      </c>
      <c r="XN19" s="11">
        <f t="shared" si="281"/>
        <v>7.4</v>
      </c>
      <c r="XO19" s="11">
        <f t="shared" si="282"/>
        <v>22.45</v>
      </c>
      <c r="XP19" s="11">
        <f t="shared" si="283"/>
        <v>22.45</v>
      </c>
      <c r="XQ19" s="11" t="str">
        <f t="shared" si="284"/>
        <v/>
      </c>
      <c r="XR19" s="11" t="str">
        <f t="shared" si="285"/>
        <v/>
      </c>
      <c r="XS19" s="11" t="str">
        <f t="shared" si="286"/>
        <v/>
      </c>
      <c r="XT19" s="11">
        <f t="shared" si="287"/>
        <v>22.45</v>
      </c>
    </row>
    <row r="20" spans="1:644" x14ac:dyDescent="0.2">
      <c r="A20" s="4" t="str" cm="1">
        <f t="array" ref="A20">IF(AND(H20&lt;&gt;"",H20&lt;&gt;"No DD"),SUMPRODUCT((H$4:H$25&lt;&gt;"")*(H$4:H$25&lt;&gt;"No DD")*(E$4:E$25&gt;E20))+1,IF(H20="No DD",SUMPRODUCT((H$4:H$25="No DD")*(E$4:E$25&gt;E20))+1+SUMPRODUCT((H$4:H$25&lt;&gt;"")*(H$4:H$25&lt;&gt;"No DD")),""))</f>
        <v/>
      </c>
      <c r="B20" s="5" t="s">
        <v>137</v>
      </c>
      <c r="C20" s="4" t="s">
        <v>136</v>
      </c>
      <c r="D20" s="4">
        <v>2004</v>
      </c>
      <c r="E20" s="9">
        <f t="shared" si="0"/>
        <v>144.06001017000531</v>
      </c>
      <c r="F20" s="3" t="str">
        <f t="shared" si="1"/>
        <v/>
      </c>
      <c r="G20" s="3" t="str">
        <f t="shared" si="2"/>
        <v/>
      </c>
      <c r="H20" s="36" t="str">
        <f t="shared" si="3"/>
        <v/>
      </c>
      <c r="I20" s="3" t="str">
        <f t="shared" si="4"/>
        <v/>
      </c>
      <c r="J20" s="8">
        <f>IF(COUNT(AQ20,AT20,BR20,BU20,CS20,CV20)&gt;0,LARGE((AQ20,AT20,BR20,BU20,CS20,CV20),1),0)</f>
        <v>53.04</v>
      </c>
      <c r="K20" s="8" t="str">
        <f t="shared" si="5"/>
        <v>2024 Elite Canada</v>
      </c>
      <c r="L20" s="8">
        <f>IF(COUNT(AQ20,AT20,BR20,BU20,CS20,CV20)&gt;1,LARGE((AQ20,AT20,BR20,BU20,CS20,CV20),2),0)</f>
        <v>5.9399999999999995</v>
      </c>
      <c r="M20" s="8" t="str">
        <f t="shared" si="6"/>
        <v>2024 Elite Canada</v>
      </c>
      <c r="N20" s="8">
        <f>IF(COUNT(AQ20,AT20,BR20,BU20,CS20,CV20)&gt;2,LARGE((AQ20,AT20,BR20,BU20,CS20,CV20),3),0)</f>
        <v>0</v>
      </c>
      <c r="O20" s="8" t="str">
        <f t="shared" si="7"/>
        <v/>
      </c>
      <c r="P20" s="8">
        <f t="shared" si="8"/>
        <v>28.32</v>
      </c>
      <c r="Q20" s="8" t="str">
        <f t="shared" si="9"/>
        <v>2024 Elite Canada</v>
      </c>
      <c r="R20" s="8">
        <f t="shared" si="10"/>
        <v>14.4</v>
      </c>
      <c r="S20" s="8" t="str">
        <f t="shared" si="11"/>
        <v>2024 Elite Canada</v>
      </c>
      <c r="T20" s="8">
        <f t="shared" si="12"/>
        <v>0</v>
      </c>
      <c r="U20" s="8" t="str">
        <f t="shared" si="13"/>
        <v/>
      </c>
      <c r="V20" s="8">
        <f t="shared" si="14"/>
        <v>42.36</v>
      </c>
      <c r="W20" s="11" t="str">
        <f t="shared" si="15"/>
        <v>(Prelim)</v>
      </c>
      <c r="X20" s="8" t="str">
        <f t="shared" si="16"/>
        <v>2024 Pan Am Club Championships (May 19)</v>
      </c>
      <c r="Y20" s="22">
        <v>1.5</v>
      </c>
      <c r="Z20" s="22">
        <v>0.8</v>
      </c>
      <c r="AA20" s="22">
        <v>2</v>
      </c>
      <c r="AB20" s="22">
        <v>1.64</v>
      </c>
      <c r="AC20" s="22">
        <v>0</v>
      </c>
      <c r="AD20" s="22">
        <v>14.8</v>
      </c>
      <c r="AE20" s="22">
        <v>8.9</v>
      </c>
      <c r="AF20" s="22">
        <v>14.4</v>
      </c>
      <c r="AG20" s="22">
        <v>14.94</v>
      </c>
      <c r="AH20" s="22">
        <v>0</v>
      </c>
      <c r="AI20" s="22">
        <v>8.9</v>
      </c>
      <c r="AJ20" s="22">
        <v>5.0999999999999996</v>
      </c>
      <c r="AK20" s="22">
        <v>5.4</v>
      </c>
      <c r="AL20" s="22">
        <v>8.92</v>
      </c>
      <c r="AM20" s="22">
        <v>0</v>
      </c>
      <c r="AN20" s="27"/>
      <c r="AO20" s="38">
        <f t="shared" si="17"/>
        <v>2</v>
      </c>
      <c r="AP20" s="38">
        <f t="shared" si="18"/>
        <v>1.64</v>
      </c>
      <c r="AQ20" s="40">
        <f t="shared" si="19"/>
        <v>5.9399999999999995</v>
      </c>
      <c r="AR20" s="40">
        <f t="shared" si="20"/>
        <v>14.4</v>
      </c>
      <c r="AS20" s="40">
        <f t="shared" si="21"/>
        <v>14.94</v>
      </c>
      <c r="AT20" s="40">
        <f t="shared" si="22"/>
        <v>53.04</v>
      </c>
      <c r="AU20" s="40">
        <f t="shared" si="23"/>
        <v>53.04</v>
      </c>
      <c r="AV20" s="40">
        <f t="shared" si="24"/>
        <v>5.4</v>
      </c>
      <c r="AW20" s="40">
        <f t="shared" si="25"/>
        <v>8.92</v>
      </c>
      <c r="AX20" s="40">
        <f t="shared" si="26"/>
        <v>28.32</v>
      </c>
      <c r="AY20" s="40">
        <f t="shared" si="27"/>
        <v>81.36</v>
      </c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8"/>
      <c r="BP20" s="39" t="str">
        <f t="shared" si="28"/>
        <v/>
      </c>
      <c r="BQ20" s="39" t="str">
        <f t="shared" si="29"/>
        <v/>
      </c>
      <c r="BR20" s="11" t="str">
        <f t="shared" si="30"/>
        <v/>
      </c>
      <c r="BS20" s="11" t="str">
        <f t="shared" si="31"/>
        <v/>
      </c>
      <c r="BT20" s="11" t="str">
        <f t="shared" si="32"/>
        <v/>
      </c>
      <c r="BU20" s="11" t="str">
        <f t="shared" si="33"/>
        <v/>
      </c>
      <c r="BV20" s="11" t="str">
        <f t="shared" si="34"/>
        <v/>
      </c>
      <c r="BW20" s="11" t="str">
        <f t="shared" si="35"/>
        <v/>
      </c>
      <c r="BX20" s="11" t="str">
        <f t="shared" si="36"/>
        <v/>
      </c>
      <c r="BY20" s="11" t="str">
        <f t="shared" si="37"/>
        <v/>
      </c>
      <c r="BZ20" s="11" t="str">
        <f t="shared" si="38"/>
        <v/>
      </c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7"/>
      <c r="CQ20" s="38" t="str">
        <f t="shared" si="39"/>
        <v/>
      </c>
      <c r="CR20" s="38" t="str">
        <f t="shared" si="40"/>
        <v/>
      </c>
      <c r="CS20" s="40" t="str">
        <f t="shared" si="41"/>
        <v/>
      </c>
      <c r="CT20" s="40" t="str">
        <f t="shared" si="42"/>
        <v/>
      </c>
      <c r="CU20" s="40" t="str">
        <f t="shared" si="43"/>
        <v/>
      </c>
      <c r="CV20" s="40" t="str">
        <f t="shared" si="44"/>
        <v/>
      </c>
      <c r="CW20" s="40" t="str">
        <f t="shared" si="45"/>
        <v/>
      </c>
      <c r="CX20" s="40" t="str">
        <f t="shared" si="46"/>
        <v/>
      </c>
      <c r="CY20" s="40" t="str">
        <f t="shared" si="47"/>
        <v/>
      </c>
      <c r="CZ20" s="40" t="str">
        <f t="shared" si="48"/>
        <v/>
      </c>
      <c r="DA20" s="40" t="str">
        <f t="shared" si="49"/>
        <v/>
      </c>
      <c r="DB20" s="51">
        <f t="shared" si="50"/>
        <v>42.36</v>
      </c>
      <c r="DC20" s="51" t="str">
        <f t="shared" si="51"/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 t="shared" si="52"/>
        <v/>
      </c>
      <c r="DY20" s="40" t="str">
        <f t="shared" si="53"/>
        <v/>
      </c>
      <c r="DZ20" s="40" t="str">
        <f t="shared" si="54"/>
        <v/>
      </c>
      <c r="EA20" s="40" t="str">
        <f t="shared" si="55"/>
        <v/>
      </c>
      <c r="EB20" s="40" t="str">
        <f t="shared" si="56"/>
        <v/>
      </c>
      <c r="EC20" s="40" t="str">
        <f t="shared" si="57"/>
        <v/>
      </c>
      <c r="ED20" s="40" t="str">
        <f t="shared" si="58"/>
        <v/>
      </c>
      <c r="EE20" s="40" t="str">
        <f t="shared" si="59"/>
        <v/>
      </c>
      <c r="EF20" s="40" t="str">
        <f t="shared" si="60"/>
        <v/>
      </c>
      <c r="EG20" s="40" t="str">
        <f t="shared" si="61"/>
        <v/>
      </c>
      <c r="EH20" s="40" t="str">
        <f t="shared" si="62"/>
        <v/>
      </c>
      <c r="EI20" s="40" t="str">
        <f t="shared" si="63"/>
        <v/>
      </c>
      <c r="EJ20" s="40" t="str">
        <f t="shared" si="64"/>
        <v/>
      </c>
      <c r="EK20" s="40" t="str">
        <f t="shared" si="65"/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 t="shared" si="66"/>
        <v/>
      </c>
      <c r="FG20" s="11" t="str">
        <f t="shared" si="67"/>
        <v/>
      </c>
      <c r="FH20" s="11" t="str">
        <f t="shared" si="68"/>
        <v/>
      </c>
      <c r="FI20" s="11" t="str">
        <f t="shared" si="69"/>
        <v/>
      </c>
      <c r="FJ20" s="11" t="str">
        <f t="shared" si="70"/>
        <v/>
      </c>
      <c r="FK20" s="11" t="str">
        <f t="shared" si="71"/>
        <v/>
      </c>
      <c r="FL20" s="11" t="str">
        <f t="shared" si="72"/>
        <v/>
      </c>
      <c r="FM20" s="11" t="str">
        <f t="shared" si="73"/>
        <v/>
      </c>
      <c r="FN20" s="11" t="str">
        <f t="shared" si="74"/>
        <v/>
      </c>
      <c r="FO20" s="11" t="str">
        <f t="shared" si="75"/>
        <v/>
      </c>
      <c r="FP20" s="11" t="str">
        <f t="shared" si="76"/>
        <v/>
      </c>
      <c r="FQ20" s="11" t="str">
        <f t="shared" si="77"/>
        <v/>
      </c>
      <c r="FR20" s="11" t="str">
        <f t="shared" si="78"/>
        <v/>
      </c>
      <c r="FS20" s="11" t="str">
        <f t="shared" si="79"/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 t="shared" si="80"/>
        <v/>
      </c>
      <c r="GO20" s="40" t="str">
        <f t="shared" si="81"/>
        <v/>
      </c>
      <c r="GP20" s="40" t="str">
        <f t="shared" si="82"/>
        <v/>
      </c>
      <c r="GQ20" s="40" t="str">
        <f t="shared" si="83"/>
        <v/>
      </c>
      <c r="GR20" s="40" t="str">
        <f t="shared" si="84"/>
        <v/>
      </c>
      <c r="GS20" s="40" t="str">
        <f t="shared" si="85"/>
        <v/>
      </c>
      <c r="GT20" s="40" t="str">
        <f t="shared" si="86"/>
        <v/>
      </c>
      <c r="GU20" s="40" t="str">
        <f t="shared" si="87"/>
        <v/>
      </c>
      <c r="GV20" s="40" t="str">
        <f t="shared" si="88"/>
        <v/>
      </c>
      <c r="GW20" s="40" t="str">
        <f t="shared" si="89"/>
        <v/>
      </c>
      <c r="GX20" s="40" t="str">
        <f t="shared" si="90"/>
        <v/>
      </c>
      <c r="GY20" s="40" t="str">
        <f t="shared" si="91"/>
        <v/>
      </c>
      <c r="GZ20" s="40" t="str">
        <f t="shared" si="92"/>
        <v/>
      </c>
      <c r="HA20" s="40" t="str">
        <f t="shared" si="93"/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 t="shared" si="94"/>
        <v/>
      </c>
      <c r="HW20" s="11" t="str">
        <f t="shared" si="95"/>
        <v/>
      </c>
      <c r="HX20" s="11" t="str">
        <f t="shared" si="96"/>
        <v/>
      </c>
      <c r="HY20" s="11" t="str">
        <f t="shared" si="97"/>
        <v/>
      </c>
      <c r="HZ20" s="11" t="str">
        <f t="shared" si="98"/>
        <v/>
      </c>
      <c r="IA20" s="11" t="str">
        <f t="shared" si="99"/>
        <v/>
      </c>
      <c r="IB20" s="11" t="str">
        <f t="shared" si="100"/>
        <v/>
      </c>
      <c r="IC20" s="11" t="str">
        <f t="shared" si="101"/>
        <v/>
      </c>
      <c r="ID20" s="11" t="str">
        <f t="shared" si="102"/>
        <v/>
      </c>
      <c r="IE20" s="11" t="str">
        <f t="shared" si="103"/>
        <v/>
      </c>
      <c r="IF20" s="11" t="str">
        <f t="shared" si="104"/>
        <v/>
      </c>
      <c r="IG20" s="11" t="str">
        <f t="shared" si="105"/>
        <v/>
      </c>
      <c r="IH20" s="11" t="str">
        <f t="shared" si="106"/>
        <v/>
      </c>
      <c r="II20" s="11" t="str">
        <f t="shared" si="107"/>
        <v/>
      </c>
      <c r="IJ20" s="17">
        <v>11.4</v>
      </c>
      <c r="IK20" s="17">
        <v>6.9</v>
      </c>
      <c r="IL20" s="17">
        <v>11.7</v>
      </c>
      <c r="IM20" s="17">
        <v>12.36</v>
      </c>
      <c r="IN20" s="17">
        <v>0</v>
      </c>
      <c r="IO20" s="17">
        <v>8.8000000000000007</v>
      </c>
      <c r="IP20" s="17">
        <v>5.3</v>
      </c>
      <c r="IQ20" s="17">
        <v>7.3</v>
      </c>
      <c r="IR20" s="17">
        <v>9.57</v>
      </c>
      <c r="IS20" s="17">
        <v>0</v>
      </c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>
        <f t="shared" si="108"/>
        <v>11.7</v>
      </c>
      <c r="JE20" s="40">
        <f t="shared" si="109"/>
        <v>12.36</v>
      </c>
      <c r="JF20" s="40">
        <f t="shared" si="110"/>
        <v>42.36</v>
      </c>
      <c r="JG20" s="40">
        <f t="shared" si="111"/>
        <v>7.3</v>
      </c>
      <c r="JH20" s="40">
        <f t="shared" si="112"/>
        <v>9.57</v>
      </c>
      <c r="JI20" s="40">
        <f t="shared" si="113"/>
        <v>30.970000000000002</v>
      </c>
      <c r="JJ20" s="40">
        <f t="shared" si="114"/>
        <v>42.36</v>
      </c>
      <c r="JK20" s="40" t="str">
        <f t="shared" si="115"/>
        <v/>
      </c>
      <c r="JL20" s="40" t="str">
        <f t="shared" si="116"/>
        <v/>
      </c>
      <c r="JM20" s="40" t="str">
        <f t="shared" si="117"/>
        <v/>
      </c>
      <c r="JN20" s="40" t="str">
        <f t="shared" si="118"/>
        <v/>
      </c>
      <c r="JO20" s="40" t="str">
        <f t="shared" si="119"/>
        <v/>
      </c>
      <c r="JP20" s="40" t="str">
        <f t="shared" si="120"/>
        <v/>
      </c>
      <c r="JQ20" s="40">
        <f t="shared" si="121"/>
        <v>42.36</v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 t="shared" si="122"/>
        <v/>
      </c>
      <c r="KM20" s="11" t="str">
        <f t="shared" si="123"/>
        <v/>
      </c>
      <c r="KN20" s="11" t="str">
        <f t="shared" si="124"/>
        <v/>
      </c>
      <c r="KO20" s="11" t="str">
        <f t="shared" si="125"/>
        <v/>
      </c>
      <c r="KP20" s="11" t="str">
        <f t="shared" si="126"/>
        <v/>
      </c>
      <c r="KQ20" s="11" t="str">
        <f t="shared" si="127"/>
        <v/>
      </c>
      <c r="KR20" s="11" t="str">
        <f t="shared" si="128"/>
        <v/>
      </c>
      <c r="KS20" s="11" t="str">
        <f t="shared" si="129"/>
        <v/>
      </c>
      <c r="KT20" s="11" t="str">
        <f t="shared" si="130"/>
        <v/>
      </c>
      <c r="KU20" s="11" t="str">
        <f t="shared" si="131"/>
        <v/>
      </c>
      <c r="KV20" s="11" t="str">
        <f t="shared" si="132"/>
        <v/>
      </c>
      <c r="KW20" s="11" t="str">
        <f t="shared" si="133"/>
        <v/>
      </c>
      <c r="KX20" s="11" t="str">
        <f t="shared" si="134"/>
        <v/>
      </c>
      <c r="KY20" s="11" t="str">
        <f t="shared" si="135"/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 t="shared" si="136"/>
        <v/>
      </c>
      <c r="LU20" s="40" t="str">
        <f t="shared" si="137"/>
        <v/>
      </c>
      <c r="LV20" s="40" t="str">
        <f t="shared" si="138"/>
        <v/>
      </c>
      <c r="LW20" s="40" t="str">
        <f t="shared" si="139"/>
        <v/>
      </c>
      <c r="LX20" s="40" t="str">
        <f t="shared" si="140"/>
        <v/>
      </c>
      <c r="LY20" s="40" t="str">
        <f t="shared" si="141"/>
        <v/>
      </c>
      <c r="LZ20" s="40" t="str">
        <f t="shared" si="142"/>
        <v/>
      </c>
      <c r="MA20" s="40" t="str">
        <f t="shared" si="143"/>
        <v/>
      </c>
      <c r="MB20" s="40" t="str">
        <f t="shared" si="144"/>
        <v/>
      </c>
      <c r="MC20" s="40" t="str">
        <f t="shared" si="145"/>
        <v/>
      </c>
      <c r="MD20" s="40" t="str">
        <f t="shared" si="146"/>
        <v/>
      </c>
      <c r="ME20" s="40" t="str">
        <f t="shared" si="147"/>
        <v/>
      </c>
      <c r="MF20" s="40" t="str">
        <f t="shared" si="148"/>
        <v/>
      </c>
      <c r="MG20" s="40" t="str">
        <f t="shared" si="149"/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 t="shared" si="150"/>
        <v/>
      </c>
      <c r="NC20" s="11" t="str">
        <f t="shared" si="151"/>
        <v/>
      </c>
      <c r="ND20" s="11" t="str">
        <f t="shared" si="152"/>
        <v/>
      </c>
      <c r="NE20" s="11" t="str">
        <f t="shared" si="153"/>
        <v/>
      </c>
      <c r="NF20" s="11" t="str">
        <f t="shared" si="154"/>
        <v/>
      </c>
      <c r="NG20" s="11" t="str">
        <f t="shared" si="155"/>
        <v/>
      </c>
      <c r="NH20" s="11" t="str">
        <f t="shared" si="156"/>
        <v/>
      </c>
      <c r="NI20" s="11" t="str">
        <f t="shared" si="157"/>
        <v/>
      </c>
      <c r="NJ20" s="11" t="str">
        <f t="shared" si="158"/>
        <v/>
      </c>
      <c r="NK20" s="11" t="str">
        <f t="shared" si="159"/>
        <v/>
      </c>
      <c r="NL20" s="11" t="str">
        <f t="shared" si="160"/>
        <v/>
      </c>
      <c r="NM20" s="11" t="str">
        <f t="shared" si="161"/>
        <v/>
      </c>
      <c r="NN20" s="11" t="str">
        <f t="shared" si="162"/>
        <v/>
      </c>
      <c r="NO20" s="11" t="str">
        <f t="shared" si="163"/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 t="shared" si="164"/>
        <v/>
      </c>
      <c r="OK20" s="40" t="str">
        <f t="shared" si="165"/>
        <v/>
      </c>
      <c r="OL20" s="40" t="str">
        <f t="shared" si="166"/>
        <v/>
      </c>
      <c r="OM20" s="40" t="str">
        <f t="shared" si="167"/>
        <v/>
      </c>
      <c r="ON20" s="40" t="str">
        <f t="shared" si="168"/>
        <v/>
      </c>
      <c r="OO20" s="40" t="str">
        <f t="shared" si="169"/>
        <v/>
      </c>
      <c r="OP20" s="40" t="str">
        <f t="shared" si="170"/>
        <v/>
      </c>
      <c r="OQ20" s="40" t="str">
        <f t="shared" si="171"/>
        <v/>
      </c>
      <c r="OR20" s="40" t="str">
        <f t="shared" si="172"/>
        <v/>
      </c>
      <c r="OS20" s="40" t="str">
        <f t="shared" si="173"/>
        <v/>
      </c>
      <c r="OT20" s="40" t="str">
        <f t="shared" si="174"/>
        <v/>
      </c>
      <c r="OU20" s="40" t="str">
        <f t="shared" si="175"/>
        <v/>
      </c>
      <c r="OV20" s="40" t="str">
        <f t="shared" si="176"/>
        <v/>
      </c>
      <c r="OW20" s="40" t="str">
        <f t="shared" si="177"/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 t="shared" si="178"/>
        <v/>
      </c>
      <c r="PS20" s="11" t="str">
        <f t="shared" si="179"/>
        <v/>
      </c>
      <c r="PT20" s="11" t="str">
        <f t="shared" si="180"/>
        <v/>
      </c>
      <c r="PU20" s="11" t="str">
        <f t="shared" si="181"/>
        <v/>
      </c>
      <c r="PV20" s="11" t="str">
        <f t="shared" si="182"/>
        <v/>
      </c>
      <c r="PW20" s="11" t="str">
        <f t="shared" si="183"/>
        <v/>
      </c>
      <c r="PX20" s="11" t="str">
        <f t="shared" si="184"/>
        <v/>
      </c>
      <c r="PY20" s="11" t="str">
        <f t="shared" si="185"/>
        <v/>
      </c>
      <c r="PZ20" s="11" t="str">
        <f t="shared" si="186"/>
        <v/>
      </c>
      <c r="QA20" s="11" t="str">
        <f t="shared" si="187"/>
        <v/>
      </c>
      <c r="QB20" s="11" t="str">
        <f t="shared" si="188"/>
        <v/>
      </c>
      <c r="QC20" s="11" t="str">
        <f t="shared" si="189"/>
        <v/>
      </c>
      <c r="QD20" s="11" t="str">
        <f t="shared" si="190"/>
        <v/>
      </c>
      <c r="QE20" s="11" t="str">
        <f t="shared" si="191"/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 t="shared" si="192"/>
        <v/>
      </c>
      <c r="RA20" s="40" t="str">
        <f t="shared" si="193"/>
        <v/>
      </c>
      <c r="RB20" s="40" t="str">
        <f t="shared" si="194"/>
        <v/>
      </c>
      <c r="RC20" s="40" t="str">
        <f t="shared" si="195"/>
        <v/>
      </c>
      <c r="RD20" s="40" t="str">
        <f t="shared" si="196"/>
        <v/>
      </c>
      <c r="RE20" s="40" t="str">
        <f t="shared" si="197"/>
        <v/>
      </c>
      <c r="RF20" s="40" t="str">
        <f t="shared" si="198"/>
        <v/>
      </c>
      <c r="RG20" s="40" t="str">
        <f t="shared" si="199"/>
        <v/>
      </c>
      <c r="RH20" s="40" t="str">
        <f t="shared" si="200"/>
        <v/>
      </c>
      <c r="RI20" s="40" t="str">
        <f t="shared" si="201"/>
        <v/>
      </c>
      <c r="RJ20" s="40" t="str">
        <f t="shared" si="202"/>
        <v/>
      </c>
      <c r="RK20" s="40" t="str">
        <f t="shared" si="203"/>
        <v/>
      </c>
      <c r="RL20" s="40" t="str">
        <f t="shared" si="204"/>
        <v/>
      </c>
      <c r="RM20" s="40" t="str">
        <f t="shared" si="205"/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 t="shared" si="206"/>
        <v/>
      </c>
      <c r="SI20" s="11" t="str">
        <f t="shared" si="207"/>
        <v/>
      </c>
      <c r="SJ20" s="11" t="str">
        <f t="shared" si="208"/>
        <v/>
      </c>
      <c r="SK20" s="11" t="str">
        <f t="shared" si="209"/>
        <v/>
      </c>
      <c r="SL20" s="11" t="str">
        <f t="shared" si="210"/>
        <v/>
      </c>
      <c r="SM20" s="11" t="str">
        <f t="shared" si="211"/>
        <v/>
      </c>
      <c r="SN20" s="11" t="str">
        <f t="shared" si="212"/>
        <v/>
      </c>
      <c r="SO20" s="11" t="str">
        <f t="shared" si="213"/>
        <v/>
      </c>
      <c r="SP20" s="11" t="str">
        <f t="shared" si="214"/>
        <v/>
      </c>
      <c r="SQ20" s="11" t="str">
        <f t="shared" si="215"/>
        <v/>
      </c>
      <c r="SR20" s="11" t="str">
        <f t="shared" si="216"/>
        <v/>
      </c>
      <c r="SS20" s="11" t="str">
        <f t="shared" si="217"/>
        <v/>
      </c>
      <c r="ST20" s="11" t="str">
        <f t="shared" si="218"/>
        <v/>
      </c>
      <c r="SU20" s="11" t="str">
        <f t="shared" si="219"/>
        <v/>
      </c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40" t="str">
        <f t="shared" si="220"/>
        <v/>
      </c>
      <c r="TQ20" s="40" t="str">
        <f t="shared" si="221"/>
        <v/>
      </c>
      <c r="TR20" s="40" t="str">
        <f t="shared" si="222"/>
        <v/>
      </c>
      <c r="TS20" s="40" t="str">
        <f t="shared" si="223"/>
        <v/>
      </c>
      <c r="TT20" s="40" t="str">
        <f t="shared" si="224"/>
        <v/>
      </c>
      <c r="TU20" s="40" t="str">
        <f t="shared" si="225"/>
        <v/>
      </c>
      <c r="TV20" s="40" t="str">
        <f t="shared" si="226"/>
        <v/>
      </c>
      <c r="TW20" s="40" t="str">
        <f t="shared" si="227"/>
        <v/>
      </c>
      <c r="TX20" s="40" t="str">
        <f t="shared" si="228"/>
        <v/>
      </c>
      <c r="TY20" s="40" t="str">
        <f t="shared" si="229"/>
        <v/>
      </c>
      <c r="TZ20" s="40" t="str">
        <f t="shared" si="230"/>
        <v/>
      </c>
      <c r="UA20" s="40" t="str">
        <f t="shared" si="231"/>
        <v/>
      </c>
      <c r="UB20" s="40" t="str">
        <f t="shared" si="232"/>
        <v/>
      </c>
      <c r="UC20" s="40" t="str">
        <f t="shared" si="233"/>
        <v/>
      </c>
      <c r="UD20" s="18"/>
      <c r="UE20" s="18"/>
      <c r="UF20" s="18"/>
      <c r="UG20" s="18"/>
      <c r="UH20" s="18"/>
      <c r="UI20" s="18"/>
      <c r="UJ20" s="18"/>
      <c r="UK20" s="18"/>
      <c r="UL20" s="18"/>
      <c r="UM20" s="18"/>
      <c r="UN20" s="18"/>
      <c r="UO20" s="18"/>
      <c r="UP20" s="18"/>
      <c r="UQ20" s="18"/>
      <c r="UR20" s="18"/>
      <c r="US20" s="18"/>
      <c r="UT20" s="18"/>
      <c r="UU20" s="18"/>
      <c r="UV20" s="18"/>
      <c r="UW20" s="18"/>
      <c r="UX20" s="11" t="str">
        <f t="shared" si="234"/>
        <v/>
      </c>
      <c r="UY20" s="11" t="str">
        <f t="shared" si="235"/>
        <v/>
      </c>
      <c r="UZ20" s="11" t="str">
        <f t="shared" si="236"/>
        <v/>
      </c>
      <c r="VA20" s="11" t="str">
        <f t="shared" si="237"/>
        <v/>
      </c>
      <c r="VB20" s="11" t="str">
        <f t="shared" si="238"/>
        <v/>
      </c>
      <c r="VC20" s="11" t="str">
        <f t="shared" si="239"/>
        <v/>
      </c>
      <c r="VD20" s="11" t="str">
        <f t="shared" si="240"/>
        <v/>
      </c>
      <c r="VE20" s="11" t="str">
        <f t="shared" si="241"/>
        <v/>
      </c>
      <c r="VF20" s="11" t="str">
        <f t="shared" si="242"/>
        <v/>
      </c>
      <c r="VG20" s="11" t="str">
        <f t="shared" si="243"/>
        <v/>
      </c>
      <c r="VH20" s="11" t="str">
        <f t="shared" si="244"/>
        <v/>
      </c>
      <c r="VI20" s="11" t="str">
        <f t="shared" si="245"/>
        <v/>
      </c>
      <c r="VJ20" s="11" t="str">
        <f t="shared" si="246"/>
        <v/>
      </c>
      <c r="VK20" s="11" t="str">
        <f t="shared" si="247"/>
        <v/>
      </c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40" t="str">
        <f t="shared" si="248"/>
        <v/>
      </c>
      <c r="WG20" s="40" t="str">
        <f t="shared" si="249"/>
        <v/>
      </c>
      <c r="WH20" s="40" t="str">
        <f t="shared" si="250"/>
        <v/>
      </c>
      <c r="WI20" s="40" t="str">
        <f t="shared" si="251"/>
        <v/>
      </c>
      <c r="WJ20" s="40" t="str">
        <f t="shared" si="252"/>
        <v/>
      </c>
      <c r="WK20" s="40" t="str">
        <f t="shared" si="253"/>
        <v/>
      </c>
      <c r="WL20" s="40" t="str">
        <f t="shared" si="254"/>
        <v/>
      </c>
      <c r="WM20" s="40" t="str">
        <f t="shared" si="255"/>
        <v/>
      </c>
      <c r="WN20" s="40" t="str">
        <f t="shared" si="256"/>
        <v/>
      </c>
      <c r="WO20" s="40" t="str">
        <f t="shared" si="257"/>
        <v/>
      </c>
      <c r="WP20" s="40" t="str">
        <f t="shared" si="258"/>
        <v/>
      </c>
      <c r="WQ20" s="40" t="str">
        <f t="shared" si="259"/>
        <v/>
      </c>
      <c r="WR20" s="40" t="str">
        <f t="shared" si="260"/>
        <v/>
      </c>
      <c r="WS20" s="40" t="str">
        <f t="shared" si="261"/>
        <v/>
      </c>
      <c r="WT20" s="26">
        <f t="shared" si="262"/>
        <v>0</v>
      </c>
      <c r="WU20" s="26">
        <f t="shared" si="263"/>
        <v>0</v>
      </c>
      <c r="WV20" s="26">
        <f t="shared" si="264"/>
        <v>0</v>
      </c>
      <c r="WW20" s="26">
        <f t="shared" si="265"/>
        <v>0</v>
      </c>
      <c r="WX20" s="26">
        <f t="shared" si="266"/>
        <v>0</v>
      </c>
      <c r="WY20" s="26">
        <f t="shared" si="267"/>
        <v>0</v>
      </c>
      <c r="WZ20" s="26">
        <f t="shared" si="268"/>
        <v>0</v>
      </c>
      <c r="XA20" s="26">
        <f t="shared" si="269"/>
        <v>0</v>
      </c>
      <c r="XB20" s="26">
        <f t="shared" si="270"/>
        <v>0</v>
      </c>
      <c r="XC20" s="26">
        <f t="shared" si="271"/>
        <v>0</v>
      </c>
      <c r="XD20" s="26">
        <f t="shared" si="272"/>
        <v>0</v>
      </c>
      <c r="XE20" s="26">
        <f t="shared" si="273"/>
        <v>0</v>
      </c>
      <c r="XF20" s="26">
        <f t="shared" si="274"/>
        <v>0</v>
      </c>
      <c r="XG20" s="26">
        <f t="shared" si="275"/>
        <v>0</v>
      </c>
      <c r="XH20" s="26">
        <f t="shared" si="276"/>
        <v>0</v>
      </c>
      <c r="XI20" s="28" t="s">
        <v>53</v>
      </c>
      <c r="XJ20" s="11" t="str">
        <f t="shared" si="277"/>
        <v/>
      </c>
      <c r="XK20" s="11" t="str">
        <f t="shared" si="278"/>
        <v/>
      </c>
      <c r="XL20" s="11" t="str">
        <f t="shared" si="279"/>
        <v/>
      </c>
      <c r="XM20" s="11" t="str">
        <f t="shared" si="280"/>
        <v/>
      </c>
      <c r="XN20" s="11" t="str">
        <f t="shared" si="281"/>
        <v/>
      </c>
      <c r="XO20" s="11" t="str">
        <f t="shared" si="282"/>
        <v/>
      </c>
      <c r="XP20" s="11" t="str">
        <f t="shared" si="283"/>
        <v/>
      </c>
      <c r="XQ20" s="11" t="str">
        <f t="shared" si="284"/>
        <v/>
      </c>
      <c r="XR20" s="11" t="str">
        <f t="shared" si="285"/>
        <v/>
      </c>
      <c r="XS20" s="11" t="str">
        <f t="shared" si="286"/>
        <v/>
      </c>
      <c r="XT20" s="11" t="str">
        <f t="shared" si="287"/>
        <v/>
      </c>
    </row>
    <row r="21" spans="1:644" x14ac:dyDescent="0.2">
      <c r="A21" s="4" t="str" cm="1">
        <f t="array" ref="A21">IF(AND(H21&lt;&gt;"",H21&lt;&gt;"No DD"),SUMPRODUCT((H$4:H$25&lt;&gt;"")*(H$4:H$25&lt;&gt;"No DD")*(E$4:E$25&gt;E21))+1,IF(H21="No DD",SUMPRODUCT((H$4:H$25="No DD")*(E$4:E$25&gt;E21))+1+SUMPRODUCT((H$4:H$25&lt;&gt;"")*(H$4:H$25&lt;&gt;"No DD")),""))</f>
        <v/>
      </c>
      <c r="B21" s="5" t="s">
        <v>196</v>
      </c>
      <c r="C21" s="4" t="s">
        <v>6</v>
      </c>
      <c r="D21" s="4">
        <v>1998</v>
      </c>
      <c r="E21" s="9">
        <f t="shared" si="0"/>
        <v>143.87001438700506</v>
      </c>
      <c r="F21" s="3" t="str">
        <f t="shared" si="1"/>
        <v/>
      </c>
      <c r="G21" s="3" t="str">
        <f t="shared" si="2"/>
        <v/>
      </c>
      <c r="H21" s="36" t="str">
        <f t="shared" si="3"/>
        <v/>
      </c>
      <c r="I21" s="3" t="str">
        <f t="shared" si="4"/>
        <v/>
      </c>
      <c r="J21" s="8">
        <f>IF(COUNT(AQ21,AT21,BR21,BU21,CS21,CV21)&gt;0,LARGE((AQ21,AT21,BR21,BU21,CS21,CV21),1),0)</f>
        <v>50.43</v>
      </c>
      <c r="K21" s="8" t="str">
        <f t="shared" si="5"/>
        <v>2024 Nationals</v>
      </c>
      <c r="L21" s="8">
        <f>IF(COUNT(AQ21,AT21,BR21,BU21,CS21,CV21)&gt;1,LARGE((AQ21,AT21,BR21,BU21,CS21,CV21),2),0)</f>
        <v>49.53</v>
      </c>
      <c r="M21" s="8" t="str">
        <f t="shared" si="6"/>
        <v>2024 Nationals</v>
      </c>
      <c r="N21" s="8">
        <f>IF(COUNT(AQ21,AT21,BR21,BU21,CS21,CV21)&gt;2,LARGE((AQ21,AT21,BR21,BU21,CS21,CV21),3),0)</f>
        <v>11.48</v>
      </c>
      <c r="O21" s="8" t="str">
        <f t="shared" si="7"/>
        <v>2024 Elite Canada</v>
      </c>
      <c r="P21" s="8">
        <f t="shared" si="8"/>
        <v>20.53</v>
      </c>
      <c r="Q21" s="8" t="str">
        <f t="shared" si="9"/>
        <v>2024 Nationals</v>
      </c>
      <c r="R21" s="8">
        <f t="shared" si="10"/>
        <v>11.9</v>
      </c>
      <c r="S21" s="8" t="str">
        <f t="shared" si="11"/>
        <v>2024 Nationals</v>
      </c>
      <c r="T21" s="8">
        <f t="shared" si="12"/>
        <v>0</v>
      </c>
      <c r="U21" s="8" t="str">
        <f t="shared" si="13"/>
        <v/>
      </c>
      <c r="V21" s="8" t="str">
        <f t="shared" si="14"/>
        <v/>
      </c>
      <c r="W21" s="11" t="str">
        <f t="shared" si="15"/>
        <v/>
      </c>
      <c r="X21" s="8" t="str">
        <f t="shared" si="16"/>
        <v/>
      </c>
      <c r="Y21" s="22">
        <v>3.3</v>
      </c>
      <c r="Z21" s="22">
        <v>1.8</v>
      </c>
      <c r="AA21" s="22">
        <v>3</v>
      </c>
      <c r="AB21" s="22">
        <v>3.38</v>
      </c>
      <c r="AC21" s="22">
        <v>0</v>
      </c>
      <c r="AD21" s="22">
        <v>0</v>
      </c>
      <c r="AE21" s="22">
        <v>0</v>
      </c>
      <c r="AF21" s="22">
        <v>0</v>
      </c>
      <c r="AG21" s="22">
        <v>0</v>
      </c>
      <c r="AH21" s="22">
        <v>0</v>
      </c>
      <c r="AI21" s="22"/>
      <c r="AJ21" s="22"/>
      <c r="AK21" s="22"/>
      <c r="AL21" s="22"/>
      <c r="AM21" s="22"/>
      <c r="AN21" s="27"/>
      <c r="AO21" s="38">
        <f t="shared" si="17"/>
        <v>3</v>
      </c>
      <c r="AP21" s="38">
        <f t="shared" si="18"/>
        <v>3.38</v>
      </c>
      <c r="AQ21" s="40">
        <f t="shared" si="19"/>
        <v>11.48</v>
      </c>
      <c r="AR21" s="40" t="str">
        <f t="shared" si="20"/>
        <v/>
      </c>
      <c r="AS21" s="40" t="str">
        <f t="shared" si="21"/>
        <v/>
      </c>
      <c r="AT21" s="40" t="str">
        <f t="shared" si="22"/>
        <v/>
      </c>
      <c r="AU21" s="40">
        <f t="shared" si="23"/>
        <v>11.48</v>
      </c>
      <c r="AV21" s="40" t="str">
        <f t="shared" si="24"/>
        <v/>
      </c>
      <c r="AW21" s="40" t="str">
        <f t="shared" si="25"/>
        <v/>
      </c>
      <c r="AX21" s="40" t="str">
        <f t="shared" si="26"/>
        <v/>
      </c>
      <c r="AY21" s="40">
        <f t="shared" si="27"/>
        <v>11.48</v>
      </c>
      <c r="AZ21" s="26">
        <v>15.3</v>
      </c>
      <c r="BA21" s="26">
        <v>9.3000000000000007</v>
      </c>
      <c r="BB21" s="26">
        <v>11.9</v>
      </c>
      <c r="BC21" s="26">
        <v>15.53</v>
      </c>
      <c r="BD21" s="26">
        <v>1.6</v>
      </c>
      <c r="BE21" s="26">
        <v>14.8</v>
      </c>
      <c r="BF21" s="26">
        <v>9.3000000000000007</v>
      </c>
      <c r="BG21" s="26">
        <v>11.9</v>
      </c>
      <c r="BH21" s="26">
        <v>15.13</v>
      </c>
      <c r="BI21" s="26">
        <v>1.6</v>
      </c>
      <c r="BJ21" s="26">
        <v>5.8</v>
      </c>
      <c r="BK21" s="26">
        <v>3.5</v>
      </c>
      <c r="BL21" s="26">
        <v>5.2</v>
      </c>
      <c r="BM21" s="26">
        <v>6.23</v>
      </c>
      <c r="BN21" s="26">
        <v>0.2</v>
      </c>
      <c r="BO21" s="28"/>
      <c r="BP21" s="39">
        <f t="shared" si="28"/>
        <v>11.9</v>
      </c>
      <c r="BQ21" s="39">
        <f t="shared" si="29"/>
        <v>15.53</v>
      </c>
      <c r="BR21" s="11">
        <f t="shared" si="30"/>
        <v>50.43</v>
      </c>
      <c r="BS21" s="11">
        <f t="shared" si="31"/>
        <v>11.9</v>
      </c>
      <c r="BT21" s="11">
        <f t="shared" si="32"/>
        <v>15.13</v>
      </c>
      <c r="BU21" s="11">
        <f t="shared" si="33"/>
        <v>49.53</v>
      </c>
      <c r="BV21" s="11">
        <f t="shared" si="34"/>
        <v>50.43</v>
      </c>
      <c r="BW21" s="11">
        <f t="shared" si="35"/>
        <v>5.2</v>
      </c>
      <c r="BX21" s="11">
        <f t="shared" si="36"/>
        <v>6.23</v>
      </c>
      <c r="BY21" s="11">
        <f t="shared" si="37"/>
        <v>20.53</v>
      </c>
      <c r="BZ21" s="11">
        <f t="shared" si="38"/>
        <v>70.960000000000008</v>
      </c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7"/>
      <c r="CQ21" s="38" t="str">
        <f t="shared" si="39"/>
        <v/>
      </c>
      <c r="CR21" s="38" t="str">
        <f t="shared" si="40"/>
        <v/>
      </c>
      <c r="CS21" s="40" t="str">
        <f t="shared" si="41"/>
        <v/>
      </c>
      <c r="CT21" s="40" t="str">
        <f t="shared" si="42"/>
        <v/>
      </c>
      <c r="CU21" s="40" t="str">
        <f t="shared" si="43"/>
        <v/>
      </c>
      <c r="CV21" s="40" t="str">
        <f t="shared" si="44"/>
        <v/>
      </c>
      <c r="CW21" s="40" t="str">
        <f t="shared" si="45"/>
        <v/>
      </c>
      <c r="CX21" s="40" t="str">
        <f t="shared" si="46"/>
        <v/>
      </c>
      <c r="CY21" s="40" t="str">
        <f t="shared" si="47"/>
        <v/>
      </c>
      <c r="CZ21" s="40" t="str">
        <f t="shared" si="48"/>
        <v/>
      </c>
      <c r="DA21" s="40" t="str">
        <f t="shared" si="49"/>
        <v/>
      </c>
      <c r="DB21" s="51" t="str">
        <f t="shared" si="50"/>
        <v/>
      </c>
      <c r="DC21" s="51" t="str">
        <f t="shared" si="51"/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 t="shared" si="52"/>
        <v/>
      </c>
      <c r="DY21" s="40" t="str">
        <f t="shared" si="53"/>
        <v/>
      </c>
      <c r="DZ21" s="40" t="str">
        <f t="shared" si="54"/>
        <v/>
      </c>
      <c r="EA21" s="40" t="str">
        <f t="shared" si="55"/>
        <v/>
      </c>
      <c r="EB21" s="40" t="str">
        <f t="shared" si="56"/>
        <v/>
      </c>
      <c r="EC21" s="40" t="str">
        <f t="shared" si="57"/>
        <v/>
      </c>
      <c r="ED21" s="40" t="str">
        <f t="shared" si="58"/>
        <v/>
      </c>
      <c r="EE21" s="40" t="str">
        <f t="shared" si="59"/>
        <v/>
      </c>
      <c r="EF21" s="40" t="str">
        <f t="shared" si="60"/>
        <v/>
      </c>
      <c r="EG21" s="40" t="str">
        <f t="shared" si="61"/>
        <v/>
      </c>
      <c r="EH21" s="40" t="str">
        <f t="shared" si="62"/>
        <v/>
      </c>
      <c r="EI21" s="40" t="str">
        <f t="shared" si="63"/>
        <v/>
      </c>
      <c r="EJ21" s="40" t="str">
        <f t="shared" si="64"/>
        <v/>
      </c>
      <c r="EK21" s="40" t="str">
        <f t="shared" si="65"/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 t="shared" si="66"/>
        <v/>
      </c>
      <c r="FG21" s="11" t="str">
        <f t="shared" si="67"/>
        <v/>
      </c>
      <c r="FH21" s="11" t="str">
        <f t="shared" si="68"/>
        <v/>
      </c>
      <c r="FI21" s="11" t="str">
        <f t="shared" si="69"/>
        <v/>
      </c>
      <c r="FJ21" s="11" t="str">
        <f t="shared" si="70"/>
        <v/>
      </c>
      <c r="FK21" s="11" t="str">
        <f t="shared" si="71"/>
        <v/>
      </c>
      <c r="FL21" s="11" t="str">
        <f t="shared" si="72"/>
        <v/>
      </c>
      <c r="FM21" s="11" t="str">
        <f t="shared" si="73"/>
        <v/>
      </c>
      <c r="FN21" s="11" t="str">
        <f t="shared" si="74"/>
        <v/>
      </c>
      <c r="FO21" s="11" t="str">
        <f t="shared" si="75"/>
        <v/>
      </c>
      <c r="FP21" s="11" t="str">
        <f t="shared" si="76"/>
        <v/>
      </c>
      <c r="FQ21" s="11" t="str">
        <f t="shared" si="77"/>
        <v/>
      </c>
      <c r="FR21" s="11" t="str">
        <f t="shared" si="78"/>
        <v/>
      </c>
      <c r="FS21" s="11" t="str">
        <f t="shared" si="79"/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 t="shared" si="80"/>
        <v/>
      </c>
      <c r="GO21" s="40" t="str">
        <f t="shared" si="81"/>
        <v/>
      </c>
      <c r="GP21" s="40" t="str">
        <f t="shared" si="82"/>
        <v/>
      </c>
      <c r="GQ21" s="40" t="str">
        <f t="shared" si="83"/>
        <v/>
      </c>
      <c r="GR21" s="40" t="str">
        <f t="shared" si="84"/>
        <v/>
      </c>
      <c r="GS21" s="40" t="str">
        <f t="shared" si="85"/>
        <v/>
      </c>
      <c r="GT21" s="40" t="str">
        <f t="shared" si="86"/>
        <v/>
      </c>
      <c r="GU21" s="40" t="str">
        <f t="shared" si="87"/>
        <v/>
      </c>
      <c r="GV21" s="40" t="str">
        <f t="shared" si="88"/>
        <v/>
      </c>
      <c r="GW21" s="40" t="str">
        <f t="shared" si="89"/>
        <v/>
      </c>
      <c r="GX21" s="40" t="str">
        <f t="shared" si="90"/>
        <v/>
      </c>
      <c r="GY21" s="40" t="str">
        <f t="shared" si="91"/>
        <v/>
      </c>
      <c r="GZ21" s="40" t="str">
        <f t="shared" si="92"/>
        <v/>
      </c>
      <c r="HA21" s="40" t="str">
        <f t="shared" si="93"/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 t="shared" si="94"/>
        <v/>
      </c>
      <c r="HW21" s="11" t="str">
        <f t="shared" si="95"/>
        <v/>
      </c>
      <c r="HX21" s="11" t="str">
        <f t="shared" si="96"/>
        <v/>
      </c>
      <c r="HY21" s="11" t="str">
        <f t="shared" si="97"/>
        <v/>
      </c>
      <c r="HZ21" s="11" t="str">
        <f t="shared" si="98"/>
        <v/>
      </c>
      <c r="IA21" s="11" t="str">
        <f t="shared" si="99"/>
        <v/>
      </c>
      <c r="IB21" s="11" t="str">
        <f t="shared" si="100"/>
        <v/>
      </c>
      <c r="IC21" s="11" t="str">
        <f t="shared" si="101"/>
        <v/>
      </c>
      <c r="ID21" s="11" t="str">
        <f t="shared" si="102"/>
        <v/>
      </c>
      <c r="IE21" s="11" t="str">
        <f t="shared" si="103"/>
        <v/>
      </c>
      <c r="IF21" s="11" t="str">
        <f t="shared" si="104"/>
        <v/>
      </c>
      <c r="IG21" s="11" t="str">
        <f t="shared" si="105"/>
        <v/>
      </c>
      <c r="IH21" s="11" t="str">
        <f t="shared" si="106"/>
        <v/>
      </c>
      <c r="II21" s="11" t="str">
        <f t="shared" si="107"/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 t="shared" si="108"/>
        <v/>
      </c>
      <c r="JE21" s="40" t="str">
        <f t="shared" si="109"/>
        <v/>
      </c>
      <c r="JF21" s="40" t="str">
        <f t="shared" si="110"/>
        <v/>
      </c>
      <c r="JG21" s="40" t="str">
        <f t="shared" si="111"/>
        <v/>
      </c>
      <c r="JH21" s="40" t="str">
        <f t="shared" si="112"/>
        <v/>
      </c>
      <c r="JI21" s="40" t="str">
        <f t="shared" si="113"/>
        <v/>
      </c>
      <c r="JJ21" s="40" t="str">
        <f t="shared" si="114"/>
        <v/>
      </c>
      <c r="JK21" s="40" t="str">
        <f t="shared" si="115"/>
        <v/>
      </c>
      <c r="JL21" s="40" t="str">
        <f t="shared" si="116"/>
        <v/>
      </c>
      <c r="JM21" s="40" t="str">
        <f t="shared" si="117"/>
        <v/>
      </c>
      <c r="JN21" s="40" t="str">
        <f t="shared" si="118"/>
        <v/>
      </c>
      <c r="JO21" s="40" t="str">
        <f t="shared" si="119"/>
        <v/>
      </c>
      <c r="JP21" s="40" t="str">
        <f t="shared" si="120"/>
        <v/>
      </c>
      <c r="JQ21" s="40" t="str">
        <f t="shared" si="121"/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 t="shared" si="122"/>
        <v/>
      </c>
      <c r="KM21" s="11" t="str">
        <f t="shared" si="123"/>
        <v/>
      </c>
      <c r="KN21" s="11" t="str">
        <f t="shared" si="124"/>
        <v/>
      </c>
      <c r="KO21" s="11" t="str">
        <f t="shared" si="125"/>
        <v/>
      </c>
      <c r="KP21" s="11" t="str">
        <f t="shared" si="126"/>
        <v/>
      </c>
      <c r="KQ21" s="11" t="str">
        <f t="shared" si="127"/>
        <v/>
      </c>
      <c r="KR21" s="11" t="str">
        <f t="shared" si="128"/>
        <v/>
      </c>
      <c r="KS21" s="11" t="str">
        <f t="shared" si="129"/>
        <v/>
      </c>
      <c r="KT21" s="11" t="str">
        <f t="shared" si="130"/>
        <v/>
      </c>
      <c r="KU21" s="11" t="str">
        <f t="shared" si="131"/>
        <v/>
      </c>
      <c r="KV21" s="11" t="str">
        <f t="shared" si="132"/>
        <v/>
      </c>
      <c r="KW21" s="11" t="str">
        <f t="shared" si="133"/>
        <v/>
      </c>
      <c r="KX21" s="11" t="str">
        <f t="shared" si="134"/>
        <v/>
      </c>
      <c r="KY21" s="11" t="str">
        <f t="shared" si="135"/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 t="shared" si="136"/>
        <v/>
      </c>
      <c r="LU21" s="40" t="str">
        <f t="shared" si="137"/>
        <v/>
      </c>
      <c r="LV21" s="40" t="str">
        <f t="shared" si="138"/>
        <v/>
      </c>
      <c r="LW21" s="40" t="str">
        <f t="shared" si="139"/>
        <v/>
      </c>
      <c r="LX21" s="40" t="str">
        <f t="shared" si="140"/>
        <v/>
      </c>
      <c r="LY21" s="40" t="str">
        <f t="shared" si="141"/>
        <v/>
      </c>
      <c r="LZ21" s="40" t="str">
        <f t="shared" si="142"/>
        <v/>
      </c>
      <c r="MA21" s="40" t="str">
        <f t="shared" si="143"/>
        <v/>
      </c>
      <c r="MB21" s="40" t="str">
        <f t="shared" si="144"/>
        <v/>
      </c>
      <c r="MC21" s="40" t="str">
        <f t="shared" si="145"/>
        <v/>
      </c>
      <c r="MD21" s="40" t="str">
        <f t="shared" si="146"/>
        <v/>
      </c>
      <c r="ME21" s="40" t="str">
        <f t="shared" si="147"/>
        <v/>
      </c>
      <c r="MF21" s="40" t="str">
        <f t="shared" si="148"/>
        <v/>
      </c>
      <c r="MG21" s="40" t="str">
        <f t="shared" si="149"/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 t="shared" si="150"/>
        <v/>
      </c>
      <c r="NC21" s="11" t="str">
        <f t="shared" si="151"/>
        <v/>
      </c>
      <c r="ND21" s="11" t="str">
        <f t="shared" si="152"/>
        <v/>
      </c>
      <c r="NE21" s="11" t="str">
        <f t="shared" si="153"/>
        <v/>
      </c>
      <c r="NF21" s="11" t="str">
        <f t="shared" si="154"/>
        <v/>
      </c>
      <c r="NG21" s="11" t="str">
        <f t="shared" si="155"/>
        <v/>
      </c>
      <c r="NH21" s="11" t="str">
        <f t="shared" si="156"/>
        <v/>
      </c>
      <c r="NI21" s="11" t="str">
        <f t="shared" si="157"/>
        <v/>
      </c>
      <c r="NJ21" s="11" t="str">
        <f t="shared" si="158"/>
        <v/>
      </c>
      <c r="NK21" s="11" t="str">
        <f t="shared" si="159"/>
        <v/>
      </c>
      <c r="NL21" s="11" t="str">
        <f t="shared" si="160"/>
        <v/>
      </c>
      <c r="NM21" s="11" t="str">
        <f t="shared" si="161"/>
        <v/>
      </c>
      <c r="NN21" s="11" t="str">
        <f t="shared" si="162"/>
        <v/>
      </c>
      <c r="NO21" s="11" t="str">
        <f t="shared" si="163"/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 t="shared" si="164"/>
        <v/>
      </c>
      <c r="OK21" s="40" t="str">
        <f t="shared" si="165"/>
        <v/>
      </c>
      <c r="OL21" s="40" t="str">
        <f t="shared" si="166"/>
        <v/>
      </c>
      <c r="OM21" s="40" t="str">
        <f t="shared" si="167"/>
        <v/>
      </c>
      <c r="ON21" s="40" t="str">
        <f t="shared" si="168"/>
        <v/>
      </c>
      <c r="OO21" s="40" t="str">
        <f t="shared" si="169"/>
        <v/>
      </c>
      <c r="OP21" s="40" t="str">
        <f t="shared" si="170"/>
        <v/>
      </c>
      <c r="OQ21" s="40" t="str">
        <f t="shared" si="171"/>
        <v/>
      </c>
      <c r="OR21" s="40" t="str">
        <f t="shared" si="172"/>
        <v/>
      </c>
      <c r="OS21" s="40" t="str">
        <f t="shared" si="173"/>
        <v/>
      </c>
      <c r="OT21" s="40" t="str">
        <f t="shared" si="174"/>
        <v/>
      </c>
      <c r="OU21" s="40" t="str">
        <f t="shared" si="175"/>
        <v/>
      </c>
      <c r="OV21" s="40" t="str">
        <f t="shared" si="176"/>
        <v/>
      </c>
      <c r="OW21" s="40" t="str">
        <f t="shared" si="177"/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 t="shared" si="178"/>
        <v/>
      </c>
      <c r="PS21" s="11" t="str">
        <f t="shared" si="179"/>
        <v/>
      </c>
      <c r="PT21" s="11" t="str">
        <f t="shared" si="180"/>
        <v/>
      </c>
      <c r="PU21" s="11" t="str">
        <f t="shared" si="181"/>
        <v/>
      </c>
      <c r="PV21" s="11" t="str">
        <f t="shared" si="182"/>
        <v/>
      </c>
      <c r="PW21" s="11" t="str">
        <f t="shared" si="183"/>
        <v/>
      </c>
      <c r="PX21" s="11" t="str">
        <f t="shared" si="184"/>
        <v/>
      </c>
      <c r="PY21" s="11" t="str">
        <f t="shared" si="185"/>
        <v/>
      </c>
      <c r="PZ21" s="11" t="str">
        <f t="shared" si="186"/>
        <v/>
      </c>
      <c r="QA21" s="11" t="str">
        <f t="shared" si="187"/>
        <v/>
      </c>
      <c r="QB21" s="11" t="str">
        <f t="shared" si="188"/>
        <v/>
      </c>
      <c r="QC21" s="11" t="str">
        <f t="shared" si="189"/>
        <v/>
      </c>
      <c r="QD21" s="11" t="str">
        <f t="shared" si="190"/>
        <v/>
      </c>
      <c r="QE21" s="11" t="str">
        <f t="shared" si="191"/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 t="shared" si="192"/>
        <v/>
      </c>
      <c r="RA21" s="40" t="str">
        <f t="shared" si="193"/>
        <v/>
      </c>
      <c r="RB21" s="40" t="str">
        <f t="shared" si="194"/>
        <v/>
      </c>
      <c r="RC21" s="40" t="str">
        <f t="shared" si="195"/>
        <v/>
      </c>
      <c r="RD21" s="40" t="str">
        <f t="shared" si="196"/>
        <v/>
      </c>
      <c r="RE21" s="40" t="str">
        <f t="shared" si="197"/>
        <v/>
      </c>
      <c r="RF21" s="40" t="str">
        <f t="shared" si="198"/>
        <v/>
      </c>
      <c r="RG21" s="40" t="str">
        <f t="shared" si="199"/>
        <v/>
      </c>
      <c r="RH21" s="40" t="str">
        <f t="shared" si="200"/>
        <v/>
      </c>
      <c r="RI21" s="40" t="str">
        <f t="shared" si="201"/>
        <v/>
      </c>
      <c r="RJ21" s="40" t="str">
        <f t="shared" si="202"/>
        <v/>
      </c>
      <c r="RK21" s="40" t="str">
        <f t="shared" si="203"/>
        <v/>
      </c>
      <c r="RL21" s="40" t="str">
        <f t="shared" si="204"/>
        <v/>
      </c>
      <c r="RM21" s="40" t="str">
        <f t="shared" si="205"/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 t="shared" si="206"/>
        <v/>
      </c>
      <c r="SI21" s="11" t="str">
        <f t="shared" si="207"/>
        <v/>
      </c>
      <c r="SJ21" s="11" t="str">
        <f t="shared" si="208"/>
        <v/>
      </c>
      <c r="SK21" s="11" t="str">
        <f t="shared" si="209"/>
        <v/>
      </c>
      <c r="SL21" s="11" t="str">
        <f t="shared" si="210"/>
        <v/>
      </c>
      <c r="SM21" s="11" t="str">
        <f t="shared" si="211"/>
        <v/>
      </c>
      <c r="SN21" s="11" t="str">
        <f t="shared" si="212"/>
        <v/>
      </c>
      <c r="SO21" s="11" t="str">
        <f t="shared" si="213"/>
        <v/>
      </c>
      <c r="SP21" s="11" t="str">
        <f t="shared" si="214"/>
        <v/>
      </c>
      <c r="SQ21" s="11" t="str">
        <f t="shared" si="215"/>
        <v/>
      </c>
      <c r="SR21" s="11" t="str">
        <f t="shared" si="216"/>
        <v/>
      </c>
      <c r="SS21" s="11" t="str">
        <f t="shared" si="217"/>
        <v/>
      </c>
      <c r="ST21" s="11" t="str">
        <f t="shared" si="218"/>
        <v/>
      </c>
      <c r="SU21" s="11" t="str">
        <f t="shared" si="219"/>
        <v/>
      </c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40" t="str">
        <f t="shared" si="220"/>
        <v/>
      </c>
      <c r="TQ21" s="40" t="str">
        <f t="shared" si="221"/>
        <v/>
      </c>
      <c r="TR21" s="40" t="str">
        <f t="shared" si="222"/>
        <v/>
      </c>
      <c r="TS21" s="40" t="str">
        <f t="shared" si="223"/>
        <v/>
      </c>
      <c r="TT21" s="40" t="str">
        <f t="shared" si="224"/>
        <v/>
      </c>
      <c r="TU21" s="40" t="str">
        <f t="shared" si="225"/>
        <v/>
      </c>
      <c r="TV21" s="40" t="str">
        <f t="shared" si="226"/>
        <v/>
      </c>
      <c r="TW21" s="40" t="str">
        <f t="shared" si="227"/>
        <v/>
      </c>
      <c r="TX21" s="40" t="str">
        <f t="shared" si="228"/>
        <v/>
      </c>
      <c r="TY21" s="40" t="str">
        <f t="shared" si="229"/>
        <v/>
      </c>
      <c r="TZ21" s="40" t="str">
        <f t="shared" si="230"/>
        <v/>
      </c>
      <c r="UA21" s="40" t="str">
        <f t="shared" si="231"/>
        <v/>
      </c>
      <c r="UB21" s="40" t="str">
        <f t="shared" si="232"/>
        <v/>
      </c>
      <c r="UC21" s="40" t="str">
        <f t="shared" si="233"/>
        <v/>
      </c>
      <c r="UD21" s="18"/>
      <c r="UE21" s="18"/>
      <c r="UF21" s="18"/>
      <c r="UG21" s="18"/>
      <c r="UH21" s="18"/>
      <c r="UI21" s="18"/>
      <c r="UJ21" s="18"/>
      <c r="UK21" s="18"/>
      <c r="UL21" s="18"/>
      <c r="UM21" s="18"/>
      <c r="UN21" s="18"/>
      <c r="UO21" s="18"/>
      <c r="UP21" s="18"/>
      <c r="UQ21" s="18"/>
      <c r="UR21" s="18"/>
      <c r="US21" s="18"/>
      <c r="UT21" s="18"/>
      <c r="UU21" s="18"/>
      <c r="UV21" s="18"/>
      <c r="UW21" s="18"/>
      <c r="UX21" s="11" t="str">
        <f t="shared" si="234"/>
        <v/>
      </c>
      <c r="UY21" s="11" t="str">
        <f t="shared" si="235"/>
        <v/>
      </c>
      <c r="UZ21" s="11" t="str">
        <f t="shared" si="236"/>
        <v/>
      </c>
      <c r="VA21" s="11" t="str">
        <f t="shared" si="237"/>
        <v/>
      </c>
      <c r="VB21" s="11" t="str">
        <f t="shared" si="238"/>
        <v/>
      </c>
      <c r="VC21" s="11" t="str">
        <f t="shared" si="239"/>
        <v/>
      </c>
      <c r="VD21" s="11" t="str">
        <f t="shared" si="240"/>
        <v/>
      </c>
      <c r="VE21" s="11" t="str">
        <f t="shared" si="241"/>
        <v/>
      </c>
      <c r="VF21" s="11" t="str">
        <f t="shared" si="242"/>
        <v/>
      </c>
      <c r="VG21" s="11" t="str">
        <f t="shared" si="243"/>
        <v/>
      </c>
      <c r="VH21" s="11" t="str">
        <f t="shared" si="244"/>
        <v/>
      </c>
      <c r="VI21" s="11" t="str">
        <f t="shared" si="245"/>
        <v/>
      </c>
      <c r="VJ21" s="11" t="str">
        <f t="shared" si="246"/>
        <v/>
      </c>
      <c r="VK21" s="11" t="str">
        <f t="shared" si="247"/>
        <v/>
      </c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40" t="str">
        <f t="shared" si="248"/>
        <v/>
      </c>
      <c r="WG21" s="40" t="str">
        <f t="shared" si="249"/>
        <v/>
      </c>
      <c r="WH21" s="40" t="str">
        <f t="shared" si="250"/>
        <v/>
      </c>
      <c r="WI21" s="40" t="str">
        <f t="shared" si="251"/>
        <v/>
      </c>
      <c r="WJ21" s="40" t="str">
        <f t="shared" si="252"/>
        <v/>
      </c>
      <c r="WK21" s="40" t="str">
        <f t="shared" si="253"/>
        <v/>
      </c>
      <c r="WL21" s="40" t="str">
        <f t="shared" si="254"/>
        <v/>
      </c>
      <c r="WM21" s="40" t="str">
        <f t="shared" si="255"/>
        <v/>
      </c>
      <c r="WN21" s="40" t="str">
        <f t="shared" si="256"/>
        <v/>
      </c>
      <c r="WO21" s="40" t="str">
        <f t="shared" si="257"/>
        <v/>
      </c>
      <c r="WP21" s="40" t="str">
        <f t="shared" si="258"/>
        <v/>
      </c>
      <c r="WQ21" s="40" t="str">
        <f t="shared" si="259"/>
        <v/>
      </c>
      <c r="WR21" s="40" t="str">
        <f t="shared" si="260"/>
        <v/>
      </c>
      <c r="WS21" s="40" t="str">
        <f t="shared" si="261"/>
        <v/>
      </c>
      <c r="WT21" s="26">
        <f t="shared" si="262"/>
        <v>7.65</v>
      </c>
      <c r="WU21" s="26">
        <f t="shared" si="263"/>
        <v>4.6500000000000004</v>
      </c>
      <c r="WV21" s="26">
        <f t="shared" si="264"/>
        <v>5.95</v>
      </c>
      <c r="WW21" s="26">
        <f t="shared" si="265"/>
        <v>7.7649999999999997</v>
      </c>
      <c r="WX21" s="26">
        <f t="shared" si="266"/>
        <v>0.8</v>
      </c>
      <c r="WY21" s="26">
        <f t="shared" si="267"/>
        <v>7.4</v>
      </c>
      <c r="WZ21" s="26">
        <f t="shared" si="268"/>
        <v>4.6500000000000004</v>
      </c>
      <c r="XA21" s="26">
        <f t="shared" si="269"/>
        <v>5.95</v>
      </c>
      <c r="XB21" s="26">
        <f t="shared" si="270"/>
        <v>7.5650000000000004</v>
      </c>
      <c r="XC21" s="26">
        <f t="shared" si="271"/>
        <v>0.8</v>
      </c>
      <c r="XD21" s="26">
        <f t="shared" si="272"/>
        <v>2.9</v>
      </c>
      <c r="XE21" s="26">
        <f t="shared" si="273"/>
        <v>1.75</v>
      </c>
      <c r="XF21" s="26">
        <f t="shared" si="274"/>
        <v>2.6</v>
      </c>
      <c r="XG21" s="26">
        <f t="shared" si="275"/>
        <v>3.1150000000000002</v>
      </c>
      <c r="XH21" s="26">
        <f t="shared" si="276"/>
        <v>0.1</v>
      </c>
      <c r="XI21" s="28" t="s">
        <v>53</v>
      </c>
      <c r="XJ21" s="11">
        <f t="shared" si="277"/>
        <v>5.95</v>
      </c>
      <c r="XK21" s="11">
        <f t="shared" si="278"/>
        <v>7.7649999999999997</v>
      </c>
      <c r="XL21" s="11">
        <f t="shared" si="279"/>
        <v>25.215</v>
      </c>
      <c r="XM21" s="11">
        <f t="shared" si="280"/>
        <v>5.95</v>
      </c>
      <c r="XN21" s="11">
        <f t="shared" si="281"/>
        <v>7.5650000000000004</v>
      </c>
      <c r="XO21" s="11">
        <f t="shared" si="282"/>
        <v>24.765000000000001</v>
      </c>
      <c r="XP21" s="11">
        <f t="shared" si="283"/>
        <v>25.215</v>
      </c>
      <c r="XQ21" s="11">
        <f t="shared" si="284"/>
        <v>2.6</v>
      </c>
      <c r="XR21" s="11">
        <f t="shared" si="285"/>
        <v>3.1150000000000002</v>
      </c>
      <c r="XS21" s="11">
        <f t="shared" si="286"/>
        <v>10.265000000000001</v>
      </c>
      <c r="XT21" s="11">
        <f t="shared" si="287"/>
        <v>35.480000000000004</v>
      </c>
    </row>
    <row r="22" spans="1:644" x14ac:dyDescent="0.2">
      <c r="A22" s="4" t="str" cm="1">
        <f t="array" ref="A22">IF(AND(H22&lt;&gt;"",H22&lt;&gt;"No DD"),SUMPRODUCT((H$4:H$25&lt;&gt;"")*(H$4:H$25&lt;&gt;"No DD")*(E$4:E$25&gt;E22))+1,IF(H22="No DD",SUMPRODUCT((H$4:H$25="No DD")*(E$4:E$25&gt;E22))+1+SUMPRODUCT((H$4:H$25&lt;&gt;"")*(H$4:H$25&lt;&gt;"No DD")),""))</f>
        <v/>
      </c>
      <c r="B22" s="5" t="s">
        <v>86</v>
      </c>
      <c r="C22" s="4" t="s">
        <v>3</v>
      </c>
      <c r="D22" s="4">
        <v>1988</v>
      </c>
      <c r="E22" s="9">
        <f t="shared" si="0"/>
        <v>142.74001427400518</v>
      </c>
      <c r="F22" s="3" t="str">
        <f t="shared" si="1"/>
        <v/>
      </c>
      <c r="G22" s="3" t="str">
        <f t="shared" si="2"/>
        <v/>
      </c>
      <c r="H22" s="36" t="str">
        <f t="shared" si="3"/>
        <v/>
      </c>
      <c r="I22" s="3" t="str">
        <f t="shared" si="4"/>
        <v/>
      </c>
      <c r="J22" s="8">
        <f>IF(COUNT(AQ22,AT22,BR22,BU22,CS22,CV22)&gt;0,LARGE((AQ22,AT22,BR22,BU22,CS22,CV22),1),0)</f>
        <v>52.019999999999996</v>
      </c>
      <c r="K22" s="8" t="str">
        <f t="shared" si="5"/>
        <v>2024 3rd Domestic Trial</v>
      </c>
      <c r="L22" s="8">
        <f>IF(COUNT(AQ22,AT22,BR22,BU22,CS22,CV22)&gt;1,LARGE((AQ22,AT22,BR22,BU22,CS22,CV22),2),0)</f>
        <v>47.86</v>
      </c>
      <c r="M22" s="8" t="str">
        <f t="shared" si="6"/>
        <v>2024 Nationals</v>
      </c>
      <c r="N22" s="8">
        <f>IF(COUNT(AQ22,AT22,BR22,BU22,CS22,CV22)&gt;2,LARGE((AQ22,AT22,BR22,BU22,CS22,CV22),3),0)</f>
        <v>21.6</v>
      </c>
      <c r="O22" s="8" t="str">
        <f t="shared" si="7"/>
        <v>2024 Nationals</v>
      </c>
      <c r="P22" s="8">
        <f t="shared" si="8"/>
        <v>6.0600000000000005</v>
      </c>
      <c r="Q22" s="8" t="str">
        <f t="shared" si="9"/>
        <v>2024 3rd Domestic Trial</v>
      </c>
      <c r="R22" s="8">
        <f t="shared" si="10"/>
        <v>15.2</v>
      </c>
      <c r="S22" s="8" t="str">
        <f t="shared" si="11"/>
        <v>2024 3rd Domestic Trial</v>
      </c>
      <c r="T22" s="8">
        <f t="shared" si="12"/>
        <v>0</v>
      </c>
      <c r="U22" s="8" t="str">
        <f t="shared" si="13"/>
        <v/>
      </c>
      <c r="V22" s="8" t="str">
        <f t="shared" si="14"/>
        <v/>
      </c>
      <c r="W22" s="11" t="str">
        <f t="shared" si="15"/>
        <v/>
      </c>
      <c r="X22" s="8" t="str">
        <f t="shared" si="16"/>
        <v/>
      </c>
      <c r="Y22" s="22">
        <v>2.8</v>
      </c>
      <c r="Z22" s="22">
        <v>1.8</v>
      </c>
      <c r="AA22" s="22">
        <v>3.4</v>
      </c>
      <c r="AB22" s="22">
        <v>3.21</v>
      </c>
      <c r="AC22" s="22">
        <v>0</v>
      </c>
      <c r="AD22" s="22">
        <v>1.4</v>
      </c>
      <c r="AE22" s="22">
        <v>1</v>
      </c>
      <c r="AF22" s="22">
        <v>2</v>
      </c>
      <c r="AG22" s="22">
        <v>1.58</v>
      </c>
      <c r="AH22" s="22">
        <v>0</v>
      </c>
      <c r="AI22" s="22"/>
      <c r="AJ22" s="22"/>
      <c r="AK22" s="22"/>
      <c r="AL22" s="22"/>
      <c r="AM22" s="22"/>
      <c r="AN22" s="27"/>
      <c r="AO22" s="38">
        <f t="shared" si="17"/>
        <v>3.4</v>
      </c>
      <c r="AP22" s="38">
        <f t="shared" si="18"/>
        <v>3.21</v>
      </c>
      <c r="AQ22" s="40">
        <f t="shared" si="19"/>
        <v>11.21</v>
      </c>
      <c r="AR22" s="40">
        <f t="shared" si="20"/>
        <v>2</v>
      </c>
      <c r="AS22" s="40">
        <f t="shared" si="21"/>
        <v>1.58</v>
      </c>
      <c r="AT22" s="40">
        <f t="shared" si="22"/>
        <v>5.98</v>
      </c>
      <c r="AU22" s="40">
        <f t="shared" si="23"/>
        <v>11.21</v>
      </c>
      <c r="AV22" s="40" t="str">
        <f t="shared" si="24"/>
        <v/>
      </c>
      <c r="AW22" s="40" t="str">
        <f t="shared" si="25"/>
        <v/>
      </c>
      <c r="AX22" s="40" t="str">
        <f t="shared" si="26"/>
        <v/>
      </c>
      <c r="AY22" s="40">
        <f t="shared" si="27"/>
        <v>11.21</v>
      </c>
      <c r="AZ22" s="26">
        <v>13.2</v>
      </c>
      <c r="BA22" s="26">
        <v>9.1999999999999993</v>
      </c>
      <c r="BB22" s="26">
        <v>12.6</v>
      </c>
      <c r="BC22" s="26">
        <v>13.76</v>
      </c>
      <c r="BD22" s="26">
        <v>0.9</v>
      </c>
      <c r="BE22" s="26">
        <v>5.5</v>
      </c>
      <c r="BF22" s="26">
        <v>3.8</v>
      </c>
      <c r="BG22" s="26">
        <v>6.3</v>
      </c>
      <c r="BH22" s="26">
        <v>6</v>
      </c>
      <c r="BI22" s="26">
        <v>0</v>
      </c>
      <c r="BJ22" s="26"/>
      <c r="BK22" s="26"/>
      <c r="BL22" s="26"/>
      <c r="BM22" s="26"/>
      <c r="BN22" s="26"/>
      <c r="BO22" s="28"/>
      <c r="BP22" s="39">
        <f t="shared" si="28"/>
        <v>12.6</v>
      </c>
      <c r="BQ22" s="39">
        <f t="shared" si="29"/>
        <v>13.76</v>
      </c>
      <c r="BR22" s="11">
        <f t="shared" si="30"/>
        <v>47.86</v>
      </c>
      <c r="BS22" s="11">
        <f t="shared" si="31"/>
        <v>6.3</v>
      </c>
      <c r="BT22" s="11">
        <f t="shared" si="32"/>
        <v>6</v>
      </c>
      <c r="BU22" s="11">
        <f t="shared" si="33"/>
        <v>21.6</v>
      </c>
      <c r="BV22" s="11">
        <f t="shared" si="34"/>
        <v>47.86</v>
      </c>
      <c r="BW22" s="11" t="str">
        <f t="shared" si="35"/>
        <v/>
      </c>
      <c r="BX22" s="11" t="str">
        <f t="shared" si="36"/>
        <v/>
      </c>
      <c r="BY22" s="11" t="str">
        <f t="shared" si="37"/>
        <v/>
      </c>
      <c r="BZ22" s="11">
        <f t="shared" si="38"/>
        <v>47.86</v>
      </c>
      <c r="CA22" s="22">
        <v>1.5</v>
      </c>
      <c r="CB22" s="22">
        <v>1</v>
      </c>
      <c r="CC22" s="22">
        <v>2</v>
      </c>
      <c r="CD22" s="22">
        <v>1.65</v>
      </c>
      <c r="CE22" s="22">
        <v>0</v>
      </c>
      <c r="CF22" s="22">
        <v>13.3</v>
      </c>
      <c r="CG22" s="22">
        <v>8.6</v>
      </c>
      <c r="CH22" s="22">
        <v>15.2</v>
      </c>
      <c r="CI22" s="22">
        <v>14.92</v>
      </c>
      <c r="CJ22" s="22">
        <v>0</v>
      </c>
      <c r="CK22" s="22">
        <v>1.6</v>
      </c>
      <c r="CL22" s="22">
        <v>0.8</v>
      </c>
      <c r="CM22" s="22">
        <v>2</v>
      </c>
      <c r="CN22" s="22">
        <v>1.66</v>
      </c>
      <c r="CO22" s="22">
        <v>0</v>
      </c>
      <c r="CP22" s="27"/>
      <c r="CQ22" s="38">
        <f t="shared" si="39"/>
        <v>2</v>
      </c>
      <c r="CR22" s="38">
        <f t="shared" si="40"/>
        <v>1.65</v>
      </c>
      <c r="CS22" s="40">
        <f t="shared" si="41"/>
        <v>6.15</v>
      </c>
      <c r="CT22" s="40">
        <f t="shared" si="42"/>
        <v>15.2</v>
      </c>
      <c r="CU22" s="40">
        <f t="shared" si="43"/>
        <v>14.92</v>
      </c>
      <c r="CV22" s="40">
        <f t="shared" si="44"/>
        <v>52.019999999999996</v>
      </c>
      <c r="CW22" s="40">
        <f t="shared" si="45"/>
        <v>52.019999999999996</v>
      </c>
      <c r="CX22" s="40">
        <f t="shared" si="46"/>
        <v>2</v>
      </c>
      <c r="CY22" s="40">
        <f t="shared" si="47"/>
        <v>1.66</v>
      </c>
      <c r="CZ22" s="40">
        <f t="shared" si="48"/>
        <v>6.0600000000000005</v>
      </c>
      <c r="DA22" s="40">
        <f t="shared" si="49"/>
        <v>58.08</v>
      </c>
      <c r="DB22" s="51" t="str">
        <f t="shared" si="50"/>
        <v/>
      </c>
      <c r="DC22" s="51" t="str">
        <f t="shared" si="51"/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 t="shared" si="52"/>
        <v/>
      </c>
      <c r="DY22" s="40" t="str">
        <f t="shared" si="53"/>
        <v/>
      </c>
      <c r="DZ22" s="40" t="str">
        <f t="shared" si="54"/>
        <v/>
      </c>
      <c r="EA22" s="40" t="str">
        <f t="shared" si="55"/>
        <v/>
      </c>
      <c r="EB22" s="40" t="str">
        <f t="shared" si="56"/>
        <v/>
      </c>
      <c r="EC22" s="40" t="str">
        <f t="shared" si="57"/>
        <v/>
      </c>
      <c r="ED22" s="40" t="str">
        <f t="shared" si="58"/>
        <v/>
      </c>
      <c r="EE22" s="40" t="str">
        <f t="shared" si="59"/>
        <v/>
      </c>
      <c r="EF22" s="40" t="str">
        <f t="shared" si="60"/>
        <v/>
      </c>
      <c r="EG22" s="40" t="str">
        <f t="shared" si="61"/>
        <v/>
      </c>
      <c r="EH22" s="40" t="str">
        <f t="shared" si="62"/>
        <v/>
      </c>
      <c r="EI22" s="40" t="str">
        <f t="shared" si="63"/>
        <v/>
      </c>
      <c r="EJ22" s="40" t="str">
        <f t="shared" si="64"/>
        <v/>
      </c>
      <c r="EK22" s="40" t="str">
        <f t="shared" si="65"/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 t="shared" si="66"/>
        <v/>
      </c>
      <c r="FG22" s="11" t="str">
        <f t="shared" si="67"/>
        <v/>
      </c>
      <c r="FH22" s="11" t="str">
        <f t="shared" si="68"/>
        <v/>
      </c>
      <c r="FI22" s="11" t="str">
        <f t="shared" si="69"/>
        <v/>
      </c>
      <c r="FJ22" s="11" t="str">
        <f t="shared" si="70"/>
        <v/>
      </c>
      <c r="FK22" s="11" t="str">
        <f t="shared" si="71"/>
        <v/>
      </c>
      <c r="FL22" s="11" t="str">
        <f t="shared" si="72"/>
        <v/>
      </c>
      <c r="FM22" s="11" t="str">
        <f t="shared" si="73"/>
        <v/>
      </c>
      <c r="FN22" s="11" t="str">
        <f t="shared" si="74"/>
        <v/>
      </c>
      <c r="FO22" s="11" t="str">
        <f t="shared" si="75"/>
        <v/>
      </c>
      <c r="FP22" s="11" t="str">
        <f t="shared" si="76"/>
        <v/>
      </c>
      <c r="FQ22" s="11" t="str">
        <f t="shared" si="77"/>
        <v/>
      </c>
      <c r="FR22" s="11" t="str">
        <f t="shared" si="78"/>
        <v/>
      </c>
      <c r="FS22" s="11" t="str">
        <f t="shared" si="79"/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 t="shared" si="80"/>
        <v/>
      </c>
      <c r="GO22" s="40" t="str">
        <f t="shared" si="81"/>
        <v/>
      </c>
      <c r="GP22" s="40" t="str">
        <f t="shared" si="82"/>
        <v/>
      </c>
      <c r="GQ22" s="40" t="str">
        <f t="shared" si="83"/>
        <v/>
      </c>
      <c r="GR22" s="40" t="str">
        <f t="shared" si="84"/>
        <v/>
      </c>
      <c r="GS22" s="40" t="str">
        <f t="shared" si="85"/>
        <v/>
      </c>
      <c r="GT22" s="40" t="str">
        <f t="shared" si="86"/>
        <v/>
      </c>
      <c r="GU22" s="40" t="str">
        <f t="shared" si="87"/>
        <v/>
      </c>
      <c r="GV22" s="40" t="str">
        <f t="shared" si="88"/>
        <v/>
      </c>
      <c r="GW22" s="40" t="str">
        <f t="shared" si="89"/>
        <v/>
      </c>
      <c r="GX22" s="40" t="str">
        <f t="shared" si="90"/>
        <v/>
      </c>
      <c r="GY22" s="40" t="str">
        <f t="shared" si="91"/>
        <v/>
      </c>
      <c r="GZ22" s="40" t="str">
        <f t="shared" si="92"/>
        <v/>
      </c>
      <c r="HA22" s="40" t="str">
        <f t="shared" si="93"/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 t="shared" si="94"/>
        <v/>
      </c>
      <c r="HW22" s="11" t="str">
        <f t="shared" si="95"/>
        <v/>
      </c>
      <c r="HX22" s="11" t="str">
        <f t="shared" si="96"/>
        <v/>
      </c>
      <c r="HY22" s="11" t="str">
        <f t="shared" si="97"/>
        <v/>
      </c>
      <c r="HZ22" s="11" t="str">
        <f t="shared" si="98"/>
        <v/>
      </c>
      <c r="IA22" s="11" t="str">
        <f t="shared" si="99"/>
        <v/>
      </c>
      <c r="IB22" s="11" t="str">
        <f t="shared" si="100"/>
        <v/>
      </c>
      <c r="IC22" s="11" t="str">
        <f t="shared" si="101"/>
        <v/>
      </c>
      <c r="ID22" s="11" t="str">
        <f t="shared" si="102"/>
        <v/>
      </c>
      <c r="IE22" s="11" t="str">
        <f t="shared" si="103"/>
        <v/>
      </c>
      <c r="IF22" s="11" t="str">
        <f t="shared" si="104"/>
        <v/>
      </c>
      <c r="IG22" s="11" t="str">
        <f t="shared" si="105"/>
        <v/>
      </c>
      <c r="IH22" s="11" t="str">
        <f t="shared" si="106"/>
        <v/>
      </c>
      <c r="II22" s="11" t="str">
        <f t="shared" si="107"/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 t="shared" si="108"/>
        <v/>
      </c>
      <c r="JE22" s="40" t="str">
        <f t="shared" si="109"/>
        <v/>
      </c>
      <c r="JF22" s="40" t="str">
        <f t="shared" si="110"/>
        <v/>
      </c>
      <c r="JG22" s="40" t="str">
        <f t="shared" si="111"/>
        <v/>
      </c>
      <c r="JH22" s="40" t="str">
        <f t="shared" si="112"/>
        <v/>
      </c>
      <c r="JI22" s="40" t="str">
        <f t="shared" si="113"/>
        <v/>
      </c>
      <c r="JJ22" s="40" t="str">
        <f t="shared" si="114"/>
        <v/>
      </c>
      <c r="JK22" s="40" t="str">
        <f t="shared" si="115"/>
        <v/>
      </c>
      <c r="JL22" s="40" t="str">
        <f t="shared" si="116"/>
        <v/>
      </c>
      <c r="JM22" s="40" t="str">
        <f t="shared" si="117"/>
        <v/>
      </c>
      <c r="JN22" s="40" t="str">
        <f t="shared" si="118"/>
        <v/>
      </c>
      <c r="JO22" s="40" t="str">
        <f t="shared" si="119"/>
        <v/>
      </c>
      <c r="JP22" s="40" t="str">
        <f t="shared" si="120"/>
        <v/>
      </c>
      <c r="JQ22" s="40" t="str">
        <f t="shared" si="121"/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 t="shared" si="122"/>
        <v/>
      </c>
      <c r="KM22" s="11" t="str">
        <f t="shared" si="123"/>
        <v/>
      </c>
      <c r="KN22" s="11" t="str">
        <f t="shared" si="124"/>
        <v/>
      </c>
      <c r="KO22" s="11" t="str">
        <f t="shared" si="125"/>
        <v/>
      </c>
      <c r="KP22" s="11" t="str">
        <f t="shared" si="126"/>
        <v/>
      </c>
      <c r="KQ22" s="11" t="str">
        <f t="shared" si="127"/>
        <v/>
      </c>
      <c r="KR22" s="11" t="str">
        <f t="shared" si="128"/>
        <v/>
      </c>
      <c r="KS22" s="11" t="str">
        <f t="shared" si="129"/>
        <v/>
      </c>
      <c r="KT22" s="11" t="str">
        <f t="shared" si="130"/>
        <v/>
      </c>
      <c r="KU22" s="11" t="str">
        <f t="shared" si="131"/>
        <v/>
      </c>
      <c r="KV22" s="11" t="str">
        <f t="shared" si="132"/>
        <v/>
      </c>
      <c r="KW22" s="11" t="str">
        <f t="shared" si="133"/>
        <v/>
      </c>
      <c r="KX22" s="11" t="str">
        <f t="shared" si="134"/>
        <v/>
      </c>
      <c r="KY22" s="11" t="str">
        <f t="shared" si="135"/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 t="shared" si="136"/>
        <v/>
      </c>
      <c r="LU22" s="40" t="str">
        <f t="shared" si="137"/>
        <v/>
      </c>
      <c r="LV22" s="40" t="str">
        <f t="shared" si="138"/>
        <v/>
      </c>
      <c r="LW22" s="40" t="str">
        <f t="shared" si="139"/>
        <v/>
      </c>
      <c r="LX22" s="40" t="str">
        <f t="shared" si="140"/>
        <v/>
      </c>
      <c r="LY22" s="40" t="str">
        <f t="shared" si="141"/>
        <v/>
      </c>
      <c r="LZ22" s="40" t="str">
        <f t="shared" si="142"/>
        <v/>
      </c>
      <c r="MA22" s="40" t="str">
        <f t="shared" si="143"/>
        <v/>
      </c>
      <c r="MB22" s="40" t="str">
        <f t="shared" si="144"/>
        <v/>
      </c>
      <c r="MC22" s="40" t="str">
        <f t="shared" si="145"/>
        <v/>
      </c>
      <c r="MD22" s="40" t="str">
        <f t="shared" si="146"/>
        <v/>
      </c>
      <c r="ME22" s="40" t="str">
        <f t="shared" si="147"/>
        <v/>
      </c>
      <c r="MF22" s="40" t="str">
        <f t="shared" si="148"/>
        <v/>
      </c>
      <c r="MG22" s="40" t="str">
        <f t="shared" si="149"/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 t="shared" si="150"/>
        <v/>
      </c>
      <c r="NC22" s="11" t="str">
        <f t="shared" si="151"/>
        <v/>
      </c>
      <c r="ND22" s="11" t="str">
        <f t="shared" si="152"/>
        <v/>
      </c>
      <c r="NE22" s="11" t="str">
        <f t="shared" si="153"/>
        <v/>
      </c>
      <c r="NF22" s="11" t="str">
        <f t="shared" si="154"/>
        <v/>
      </c>
      <c r="NG22" s="11" t="str">
        <f t="shared" si="155"/>
        <v/>
      </c>
      <c r="NH22" s="11" t="str">
        <f t="shared" si="156"/>
        <v/>
      </c>
      <c r="NI22" s="11" t="str">
        <f t="shared" si="157"/>
        <v/>
      </c>
      <c r="NJ22" s="11" t="str">
        <f t="shared" si="158"/>
        <v/>
      </c>
      <c r="NK22" s="11" t="str">
        <f t="shared" si="159"/>
        <v/>
      </c>
      <c r="NL22" s="11" t="str">
        <f t="shared" si="160"/>
        <v/>
      </c>
      <c r="NM22" s="11" t="str">
        <f t="shared" si="161"/>
        <v/>
      </c>
      <c r="NN22" s="11" t="str">
        <f t="shared" si="162"/>
        <v/>
      </c>
      <c r="NO22" s="11" t="str">
        <f t="shared" si="163"/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 t="shared" si="164"/>
        <v/>
      </c>
      <c r="OK22" s="40" t="str">
        <f t="shared" si="165"/>
        <v/>
      </c>
      <c r="OL22" s="40" t="str">
        <f t="shared" si="166"/>
        <v/>
      </c>
      <c r="OM22" s="40" t="str">
        <f t="shared" si="167"/>
        <v/>
      </c>
      <c r="ON22" s="40" t="str">
        <f t="shared" si="168"/>
        <v/>
      </c>
      <c r="OO22" s="40" t="str">
        <f t="shared" si="169"/>
        <v/>
      </c>
      <c r="OP22" s="40" t="str">
        <f t="shared" si="170"/>
        <v/>
      </c>
      <c r="OQ22" s="40" t="str">
        <f t="shared" si="171"/>
        <v/>
      </c>
      <c r="OR22" s="40" t="str">
        <f t="shared" si="172"/>
        <v/>
      </c>
      <c r="OS22" s="40" t="str">
        <f t="shared" si="173"/>
        <v/>
      </c>
      <c r="OT22" s="40" t="str">
        <f t="shared" si="174"/>
        <v/>
      </c>
      <c r="OU22" s="40" t="str">
        <f t="shared" si="175"/>
        <v/>
      </c>
      <c r="OV22" s="40" t="str">
        <f t="shared" si="176"/>
        <v/>
      </c>
      <c r="OW22" s="40" t="str">
        <f t="shared" si="177"/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 t="shared" si="178"/>
        <v/>
      </c>
      <c r="PS22" s="11" t="str">
        <f t="shared" si="179"/>
        <v/>
      </c>
      <c r="PT22" s="11" t="str">
        <f t="shared" si="180"/>
        <v/>
      </c>
      <c r="PU22" s="11" t="str">
        <f t="shared" si="181"/>
        <v/>
      </c>
      <c r="PV22" s="11" t="str">
        <f t="shared" si="182"/>
        <v/>
      </c>
      <c r="PW22" s="11" t="str">
        <f t="shared" si="183"/>
        <v/>
      </c>
      <c r="PX22" s="11" t="str">
        <f t="shared" si="184"/>
        <v/>
      </c>
      <c r="PY22" s="11" t="str">
        <f t="shared" si="185"/>
        <v/>
      </c>
      <c r="PZ22" s="11" t="str">
        <f t="shared" si="186"/>
        <v/>
      </c>
      <c r="QA22" s="11" t="str">
        <f t="shared" si="187"/>
        <v/>
      </c>
      <c r="QB22" s="11" t="str">
        <f t="shared" si="188"/>
        <v/>
      </c>
      <c r="QC22" s="11" t="str">
        <f t="shared" si="189"/>
        <v/>
      </c>
      <c r="QD22" s="11" t="str">
        <f t="shared" si="190"/>
        <v/>
      </c>
      <c r="QE22" s="11" t="str">
        <f t="shared" si="191"/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 t="shared" si="192"/>
        <v/>
      </c>
      <c r="RA22" s="40" t="str">
        <f t="shared" si="193"/>
        <v/>
      </c>
      <c r="RB22" s="40" t="str">
        <f t="shared" si="194"/>
        <v/>
      </c>
      <c r="RC22" s="40" t="str">
        <f t="shared" si="195"/>
        <v/>
      </c>
      <c r="RD22" s="40" t="str">
        <f t="shared" si="196"/>
        <v/>
      </c>
      <c r="RE22" s="40" t="str">
        <f t="shared" si="197"/>
        <v/>
      </c>
      <c r="RF22" s="40" t="str">
        <f t="shared" si="198"/>
        <v/>
      </c>
      <c r="RG22" s="40" t="str">
        <f t="shared" si="199"/>
        <v/>
      </c>
      <c r="RH22" s="40" t="str">
        <f t="shared" si="200"/>
        <v/>
      </c>
      <c r="RI22" s="40" t="str">
        <f t="shared" si="201"/>
        <v/>
      </c>
      <c r="RJ22" s="40" t="str">
        <f t="shared" si="202"/>
        <v/>
      </c>
      <c r="RK22" s="40" t="str">
        <f t="shared" si="203"/>
        <v/>
      </c>
      <c r="RL22" s="40" t="str">
        <f t="shared" si="204"/>
        <v/>
      </c>
      <c r="RM22" s="40" t="str">
        <f t="shared" si="205"/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 t="shared" si="206"/>
        <v/>
      </c>
      <c r="SI22" s="11" t="str">
        <f t="shared" si="207"/>
        <v/>
      </c>
      <c r="SJ22" s="11" t="str">
        <f t="shared" si="208"/>
        <v/>
      </c>
      <c r="SK22" s="11" t="str">
        <f t="shared" si="209"/>
        <v/>
      </c>
      <c r="SL22" s="11" t="str">
        <f t="shared" si="210"/>
        <v/>
      </c>
      <c r="SM22" s="11" t="str">
        <f t="shared" si="211"/>
        <v/>
      </c>
      <c r="SN22" s="11" t="str">
        <f t="shared" si="212"/>
        <v/>
      </c>
      <c r="SO22" s="11" t="str">
        <f t="shared" si="213"/>
        <v/>
      </c>
      <c r="SP22" s="11" t="str">
        <f t="shared" si="214"/>
        <v/>
      </c>
      <c r="SQ22" s="11" t="str">
        <f t="shared" si="215"/>
        <v/>
      </c>
      <c r="SR22" s="11" t="str">
        <f t="shared" si="216"/>
        <v/>
      </c>
      <c r="SS22" s="11" t="str">
        <f t="shared" si="217"/>
        <v/>
      </c>
      <c r="ST22" s="11" t="str">
        <f t="shared" si="218"/>
        <v/>
      </c>
      <c r="SU22" s="11" t="str">
        <f t="shared" si="219"/>
        <v/>
      </c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40" t="str">
        <f t="shared" si="220"/>
        <v/>
      </c>
      <c r="TQ22" s="40" t="str">
        <f t="shared" si="221"/>
        <v/>
      </c>
      <c r="TR22" s="40" t="str">
        <f t="shared" si="222"/>
        <v/>
      </c>
      <c r="TS22" s="40" t="str">
        <f t="shared" si="223"/>
        <v/>
      </c>
      <c r="TT22" s="40" t="str">
        <f t="shared" si="224"/>
        <v/>
      </c>
      <c r="TU22" s="40" t="str">
        <f t="shared" si="225"/>
        <v/>
      </c>
      <c r="TV22" s="40" t="str">
        <f t="shared" si="226"/>
        <v/>
      </c>
      <c r="TW22" s="40" t="str">
        <f t="shared" si="227"/>
        <v/>
      </c>
      <c r="TX22" s="40" t="str">
        <f t="shared" si="228"/>
        <v/>
      </c>
      <c r="TY22" s="40" t="str">
        <f t="shared" si="229"/>
        <v/>
      </c>
      <c r="TZ22" s="40" t="str">
        <f t="shared" si="230"/>
        <v/>
      </c>
      <c r="UA22" s="40" t="str">
        <f t="shared" si="231"/>
        <v/>
      </c>
      <c r="UB22" s="40" t="str">
        <f t="shared" si="232"/>
        <v/>
      </c>
      <c r="UC22" s="40" t="str">
        <f t="shared" si="233"/>
        <v/>
      </c>
      <c r="UD22" s="18"/>
      <c r="UE22" s="18"/>
      <c r="UF22" s="18"/>
      <c r="UG22" s="18"/>
      <c r="UH22" s="18"/>
      <c r="UI22" s="18"/>
      <c r="UJ22" s="18"/>
      <c r="UK22" s="18"/>
      <c r="UL22" s="18"/>
      <c r="UM22" s="18"/>
      <c r="UN22" s="18"/>
      <c r="UO22" s="18"/>
      <c r="UP22" s="18"/>
      <c r="UQ22" s="18"/>
      <c r="UR22" s="18"/>
      <c r="US22" s="18"/>
      <c r="UT22" s="18"/>
      <c r="UU22" s="18"/>
      <c r="UV22" s="18"/>
      <c r="UW22" s="18"/>
      <c r="UX22" s="11" t="str">
        <f t="shared" si="234"/>
        <v/>
      </c>
      <c r="UY22" s="11" t="str">
        <f t="shared" si="235"/>
        <v/>
      </c>
      <c r="UZ22" s="11" t="str">
        <f t="shared" si="236"/>
        <v/>
      </c>
      <c r="VA22" s="11" t="str">
        <f t="shared" si="237"/>
        <v/>
      </c>
      <c r="VB22" s="11" t="str">
        <f t="shared" si="238"/>
        <v/>
      </c>
      <c r="VC22" s="11" t="str">
        <f t="shared" si="239"/>
        <v/>
      </c>
      <c r="VD22" s="11" t="str">
        <f t="shared" si="240"/>
        <v/>
      </c>
      <c r="VE22" s="11" t="str">
        <f t="shared" si="241"/>
        <v/>
      </c>
      <c r="VF22" s="11" t="str">
        <f t="shared" si="242"/>
        <v/>
      </c>
      <c r="VG22" s="11" t="str">
        <f t="shared" si="243"/>
        <v/>
      </c>
      <c r="VH22" s="11" t="str">
        <f t="shared" si="244"/>
        <v/>
      </c>
      <c r="VI22" s="11" t="str">
        <f t="shared" si="245"/>
        <v/>
      </c>
      <c r="VJ22" s="11" t="str">
        <f t="shared" si="246"/>
        <v/>
      </c>
      <c r="VK22" s="11" t="str">
        <f t="shared" si="247"/>
        <v/>
      </c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40" t="str">
        <f t="shared" si="248"/>
        <v/>
      </c>
      <c r="WG22" s="40" t="str">
        <f t="shared" si="249"/>
        <v/>
      </c>
      <c r="WH22" s="40" t="str">
        <f t="shared" si="250"/>
        <v/>
      </c>
      <c r="WI22" s="40" t="str">
        <f t="shared" si="251"/>
        <v/>
      </c>
      <c r="WJ22" s="40" t="str">
        <f t="shared" si="252"/>
        <v/>
      </c>
      <c r="WK22" s="40" t="str">
        <f t="shared" si="253"/>
        <v/>
      </c>
      <c r="WL22" s="40" t="str">
        <f t="shared" si="254"/>
        <v/>
      </c>
      <c r="WM22" s="40" t="str">
        <f t="shared" si="255"/>
        <v/>
      </c>
      <c r="WN22" s="40" t="str">
        <f t="shared" si="256"/>
        <v/>
      </c>
      <c r="WO22" s="40" t="str">
        <f t="shared" si="257"/>
        <v/>
      </c>
      <c r="WP22" s="40" t="str">
        <f t="shared" si="258"/>
        <v/>
      </c>
      <c r="WQ22" s="40" t="str">
        <f t="shared" si="259"/>
        <v/>
      </c>
      <c r="WR22" s="40" t="str">
        <f t="shared" si="260"/>
        <v/>
      </c>
      <c r="WS22" s="40" t="str">
        <f t="shared" si="261"/>
        <v/>
      </c>
      <c r="WT22" s="26">
        <f t="shared" si="262"/>
        <v>7.35</v>
      </c>
      <c r="WU22" s="26">
        <f t="shared" si="263"/>
        <v>5.0999999999999996</v>
      </c>
      <c r="WV22" s="26">
        <f t="shared" si="264"/>
        <v>7.3</v>
      </c>
      <c r="WW22" s="26">
        <f t="shared" si="265"/>
        <v>7.7050000000000001</v>
      </c>
      <c r="WX22" s="26">
        <f t="shared" si="266"/>
        <v>0.45</v>
      </c>
      <c r="WY22" s="26">
        <f t="shared" si="267"/>
        <v>9.4</v>
      </c>
      <c r="WZ22" s="26">
        <f t="shared" si="268"/>
        <v>6.1999999999999993</v>
      </c>
      <c r="XA22" s="26">
        <f t="shared" si="269"/>
        <v>10.75</v>
      </c>
      <c r="XB22" s="26">
        <f t="shared" si="270"/>
        <v>10.46</v>
      </c>
      <c r="XC22" s="26">
        <f t="shared" si="271"/>
        <v>0</v>
      </c>
      <c r="XD22" s="26">
        <f t="shared" si="272"/>
        <v>0.8</v>
      </c>
      <c r="XE22" s="26">
        <f t="shared" si="273"/>
        <v>0.4</v>
      </c>
      <c r="XF22" s="26">
        <f t="shared" si="274"/>
        <v>1</v>
      </c>
      <c r="XG22" s="26">
        <f t="shared" si="275"/>
        <v>0.83</v>
      </c>
      <c r="XH22" s="26">
        <f t="shared" si="276"/>
        <v>0</v>
      </c>
      <c r="XI22" s="28" t="s">
        <v>53</v>
      </c>
      <c r="XJ22" s="11">
        <f t="shared" si="277"/>
        <v>7.3</v>
      </c>
      <c r="XK22" s="11">
        <f t="shared" si="278"/>
        <v>7.7050000000000001</v>
      </c>
      <c r="XL22" s="11">
        <f t="shared" si="279"/>
        <v>27.004999999999999</v>
      </c>
      <c r="XM22" s="11">
        <f t="shared" si="280"/>
        <v>10.75</v>
      </c>
      <c r="XN22" s="11">
        <f t="shared" si="281"/>
        <v>10.46</v>
      </c>
      <c r="XO22" s="11">
        <f t="shared" si="282"/>
        <v>36.81</v>
      </c>
      <c r="XP22" s="11">
        <f t="shared" si="283"/>
        <v>36.81</v>
      </c>
      <c r="XQ22" s="11">
        <f t="shared" si="284"/>
        <v>1</v>
      </c>
      <c r="XR22" s="11">
        <f t="shared" si="285"/>
        <v>0.83</v>
      </c>
      <c r="XS22" s="11">
        <f t="shared" si="286"/>
        <v>3.0300000000000002</v>
      </c>
      <c r="XT22" s="11">
        <f t="shared" si="287"/>
        <v>39.840000000000003</v>
      </c>
    </row>
    <row r="23" spans="1:644" x14ac:dyDescent="0.2">
      <c r="A23" s="4" t="str" cm="1">
        <f t="array" ref="A23">IF(AND(H23&lt;&gt;"",H23&lt;&gt;"No DD"),SUMPRODUCT((H$4:H$25&lt;&gt;"")*(H$4:H$25&lt;&gt;"No DD")*(E$4:E$25&gt;E23))+1,IF(H23="No DD",SUMPRODUCT((H$4:H$25="No DD")*(E$4:E$25&gt;E23))+1+SUMPRODUCT((H$4:H$25&lt;&gt;"")*(H$4:H$25&lt;&gt;"No DD")),""))</f>
        <v/>
      </c>
      <c r="B23" s="5" t="s">
        <v>65</v>
      </c>
      <c r="C23" s="4" t="s">
        <v>5</v>
      </c>
      <c r="D23" s="4">
        <v>1991</v>
      </c>
      <c r="E23" s="9">
        <f t="shared" si="0"/>
        <v>65.56000655600478</v>
      </c>
      <c r="F23" s="3" t="str">
        <f t="shared" si="1"/>
        <v/>
      </c>
      <c r="G23" s="3" t="str">
        <f t="shared" si="2"/>
        <v/>
      </c>
      <c r="H23" s="36" t="str">
        <f t="shared" si="3"/>
        <v/>
      </c>
      <c r="I23" s="3" t="str">
        <f t="shared" si="4"/>
        <v/>
      </c>
      <c r="J23" s="8">
        <f>IF(COUNT(AQ23,AT23,BR23,BU23,CS23,CV23)&gt;0,LARGE((AQ23,AT23,BR23,BU23,CS23,CV23),1),0)</f>
        <v>47.74</v>
      </c>
      <c r="K23" s="8" t="str">
        <f t="shared" si="5"/>
        <v>2024 Nationals</v>
      </c>
      <c r="L23" s="8">
        <f>IF(COUNT(AQ23,AT23,BR23,BU23,CS23,CV23)&gt;1,LARGE((AQ23,AT23,BR23,BU23,CS23,CV23),2),0)</f>
        <v>5.62</v>
      </c>
      <c r="M23" s="8" t="str">
        <f t="shared" si="6"/>
        <v>2024 Nationals</v>
      </c>
      <c r="N23" s="8">
        <f>IF(COUNT(AQ23,AT23,BR23,BU23,CS23,CV23)&gt;2,LARGE((AQ23,AT23,BR23,BU23,CS23,CV23),3),0)</f>
        <v>0</v>
      </c>
      <c r="O23" s="8" t="str">
        <f t="shared" si="7"/>
        <v/>
      </c>
      <c r="P23" s="8">
        <f t="shared" si="8"/>
        <v>0</v>
      </c>
      <c r="Q23" s="8" t="str">
        <f t="shared" si="9"/>
        <v/>
      </c>
      <c r="R23" s="8">
        <f t="shared" si="10"/>
        <v>12.2</v>
      </c>
      <c r="S23" s="8" t="str">
        <f t="shared" si="11"/>
        <v>2024 Nationals</v>
      </c>
      <c r="T23" s="8">
        <f t="shared" si="12"/>
        <v>0</v>
      </c>
      <c r="U23" s="8" t="str">
        <f t="shared" si="13"/>
        <v/>
      </c>
      <c r="V23" s="8" t="str">
        <f t="shared" si="14"/>
        <v/>
      </c>
      <c r="W23" s="11" t="str">
        <f t="shared" si="15"/>
        <v/>
      </c>
      <c r="X23" s="8" t="str">
        <f t="shared" si="16"/>
        <v/>
      </c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7"/>
      <c r="AO23" s="38" t="str">
        <f t="shared" si="17"/>
        <v/>
      </c>
      <c r="AP23" s="38" t="str">
        <f t="shared" si="18"/>
        <v/>
      </c>
      <c r="AQ23" s="40" t="str">
        <f t="shared" si="19"/>
        <v/>
      </c>
      <c r="AR23" s="40" t="str">
        <f t="shared" si="20"/>
        <v/>
      </c>
      <c r="AS23" s="40" t="str">
        <f t="shared" si="21"/>
        <v/>
      </c>
      <c r="AT23" s="40" t="str">
        <f t="shared" si="22"/>
        <v/>
      </c>
      <c r="AU23" s="40" t="str">
        <f t="shared" si="23"/>
        <v/>
      </c>
      <c r="AV23" s="40" t="str">
        <f t="shared" si="24"/>
        <v/>
      </c>
      <c r="AW23" s="40" t="str">
        <f t="shared" si="25"/>
        <v/>
      </c>
      <c r="AX23" s="40" t="str">
        <f t="shared" si="26"/>
        <v/>
      </c>
      <c r="AY23" s="40" t="str">
        <f t="shared" si="27"/>
        <v/>
      </c>
      <c r="AZ23" s="26">
        <v>1.4</v>
      </c>
      <c r="BA23" s="26">
        <v>1</v>
      </c>
      <c r="BB23" s="26">
        <v>1.5</v>
      </c>
      <c r="BC23" s="26">
        <v>1.72</v>
      </c>
      <c r="BD23" s="26">
        <v>0</v>
      </c>
      <c r="BE23" s="26">
        <v>12.4</v>
      </c>
      <c r="BF23" s="26">
        <v>9.1999999999999993</v>
      </c>
      <c r="BG23" s="26">
        <v>12.2</v>
      </c>
      <c r="BH23" s="26">
        <v>15.24</v>
      </c>
      <c r="BI23" s="26">
        <v>1.3</v>
      </c>
      <c r="BJ23" s="26"/>
      <c r="BK23" s="26"/>
      <c r="BL23" s="26"/>
      <c r="BM23" s="26"/>
      <c r="BN23" s="26"/>
      <c r="BO23" s="28"/>
      <c r="BP23" s="39">
        <f t="shared" si="28"/>
        <v>1.5</v>
      </c>
      <c r="BQ23" s="39">
        <f t="shared" si="29"/>
        <v>1.72</v>
      </c>
      <c r="BR23" s="11">
        <f t="shared" si="30"/>
        <v>5.62</v>
      </c>
      <c r="BS23" s="11">
        <f t="shared" si="31"/>
        <v>12.2</v>
      </c>
      <c r="BT23" s="11">
        <f t="shared" si="32"/>
        <v>15.24</v>
      </c>
      <c r="BU23" s="11">
        <f t="shared" si="33"/>
        <v>47.74</v>
      </c>
      <c r="BV23" s="11">
        <f t="shared" si="34"/>
        <v>47.74</v>
      </c>
      <c r="BW23" s="11" t="str">
        <f t="shared" si="35"/>
        <v/>
      </c>
      <c r="BX23" s="11" t="str">
        <f t="shared" si="36"/>
        <v/>
      </c>
      <c r="BY23" s="11" t="str">
        <f t="shared" si="37"/>
        <v/>
      </c>
      <c r="BZ23" s="11">
        <f t="shared" si="38"/>
        <v>47.74</v>
      </c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7"/>
      <c r="CQ23" s="38" t="str">
        <f t="shared" si="39"/>
        <v/>
      </c>
      <c r="CR23" s="38" t="str">
        <f t="shared" si="40"/>
        <v/>
      </c>
      <c r="CS23" s="40" t="str">
        <f t="shared" si="41"/>
        <v/>
      </c>
      <c r="CT23" s="40" t="str">
        <f t="shared" si="42"/>
        <v/>
      </c>
      <c r="CU23" s="40" t="str">
        <f t="shared" si="43"/>
        <v/>
      </c>
      <c r="CV23" s="40" t="str">
        <f t="shared" si="44"/>
        <v/>
      </c>
      <c r="CW23" s="40" t="str">
        <f t="shared" si="45"/>
        <v/>
      </c>
      <c r="CX23" s="40" t="str">
        <f t="shared" si="46"/>
        <v/>
      </c>
      <c r="CY23" s="40" t="str">
        <f t="shared" si="47"/>
        <v/>
      </c>
      <c r="CZ23" s="40" t="str">
        <f t="shared" si="48"/>
        <v/>
      </c>
      <c r="DA23" s="40" t="str">
        <f t="shared" si="49"/>
        <v/>
      </c>
      <c r="DB23" s="51" t="str">
        <f t="shared" si="50"/>
        <v/>
      </c>
      <c r="DC23" s="51" t="str">
        <f t="shared" si="51"/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 t="shared" si="52"/>
        <v/>
      </c>
      <c r="DY23" s="40" t="str">
        <f t="shared" si="53"/>
        <v/>
      </c>
      <c r="DZ23" s="40" t="str">
        <f t="shared" si="54"/>
        <v/>
      </c>
      <c r="EA23" s="40" t="str">
        <f t="shared" si="55"/>
        <v/>
      </c>
      <c r="EB23" s="40" t="str">
        <f t="shared" si="56"/>
        <v/>
      </c>
      <c r="EC23" s="40" t="str">
        <f t="shared" si="57"/>
        <v/>
      </c>
      <c r="ED23" s="40" t="str">
        <f t="shared" si="58"/>
        <v/>
      </c>
      <c r="EE23" s="40" t="str">
        <f t="shared" si="59"/>
        <v/>
      </c>
      <c r="EF23" s="40" t="str">
        <f t="shared" si="60"/>
        <v/>
      </c>
      <c r="EG23" s="40" t="str">
        <f t="shared" si="61"/>
        <v/>
      </c>
      <c r="EH23" s="40" t="str">
        <f t="shared" si="62"/>
        <v/>
      </c>
      <c r="EI23" s="40" t="str">
        <f t="shared" si="63"/>
        <v/>
      </c>
      <c r="EJ23" s="40" t="str">
        <f t="shared" si="64"/>
        <v/>
      </c>
      <c r="EK23" s="40" t="str">
        <f t="shared" si="65"/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 t="shared" si="66"/>
        <v/>
      </c>
      <c r="FG23" s="11" t="str">
        <f t="shared" si="67"/>
        <v/>
      </c>
      <c r="FH23" s="11" t="str">
        <f t="shared" si="68"/>
        <v/>
      </c>
      <c r="FI23" s="11" t="str">
        <f t="shared" si="69"/>
        <v/>
      </c>
      <c r="FJ23" s="11" t="str">
        <f t="shared" si="70"/>
        <v/>
      </c>
      <c r="FK23" s="11" t="str">
        <f t="shared" si="71"/>
        <v/>
      </c>
      <c r="FL23" s="11" t="str">
        <f t="shared" si="72"/>
        <v/>
      </c>
      <c r="FM23" s="11" t="str">
        <f t="shared" si="73"/>
        <v/>
      </c>
      <c r="FN23" s="11" t="str">
        <f t="shared" si="74"/>
        <v/>
      </c>
      <c r="FO23" s="11" t="str">
        <f t="shared" si="75"/>
        <v/>
      </c>
      <c r="FP23" s="11" t="str">
        <f t="shared" si="76"/>
        <v/>
      </c>
      <c r="FQ23" s="11" t="str">
        <f t="shared" si="77"/>
        <v/>
      </c>
      <c r="FR23" s="11" t="str">
        <f t="shared" si="78"/>
        <v/>
      </c>
      <c r="FS23" s="11" t="str">
        <f t="shared" si="79"/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 t="shared" si="80"/>
        <v/>
      </c>
      <c r="GO23" s="40" t="str">
        <f t="shared" si="81"/>
        <v/>
      </c>
      <c r="GP23" s="40" t="str">
        <f t="shared" si="82"/>
        <v/>
      </c>
      <c r="GQ23" s="40" t="str">
        <f t="shared" si="83"/>
        <v/>
      </c>
      <c r="GR23" s="40" t="str">
        <f t="shared" si="84"/>
        <v/>
      </c>
      <c r="GS23" s="40" t="str">
        <f t="shared" si="85"/>
        <v/>
      </c>
      <c r="GT23" s="40" t="str">
        <f t="shared" si="86"/>
        <v/>
      </c>
      <c r="GU23" s="40" t="str">
        <f t="shared" si="87"/>
        <v/>
      </c>
      <c r="GV23" s="40" t="str">
        <f t="shared" si="88"/>
        <v/>
      </c>
      <c r="GW23" s="40" t="str">
        <f t="shared" si="89"/>
        <v/>
      </c>
      <c r="GX23" s="40" t="str">
        <f t="shared" si="90"/>
        <v/>
      </c>
      <c r="GY23" s="40" t="str">
        <f t="shared" si="91"/>
        <v/>
      </c>
      <c r="GZ23" s="40" t="str">
        <f t="shared" si="92"/>
        <v/>
      </c>
      <c r="HA23" s="40" t="str">
        <f t="shared" si="93"/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 t="shared" si="94"/>
        <v/>
      </c>
      <c r="HW23" s="11" t="str">
        <f t="shared" si="95"/>
        <v/>
      </c>
      <c r="HX23" s="11" t="str">
        <f t="shared" si="96"/>
        <v/>
      </c>
      <c r="HY23" s="11" t="str">
        <f t="shared" si="97"/>
        <v/>
      </c>
      <c r="HZ23" s="11" t="str">
        <f t="shared" si="98"/>
        <v/>
      </c>
      <c r="IA23" s="11" t="str">
        <f t="shared" si="99"/>
        <v/>
      </c>
      <c r="IB23" s="11" t="str">
        <f t="shared" si="100"/>
        <v/>
      </c>
      <c r="IC23" s="11" t="str">
        <f t="shared" si="101"/>
        <v/>
      </c>
      <c r="ID23" s="11" t="str">
        <f t="shared" si="102"/>
        <v/>
      </c>
      <c r="IE23" s="11" t="str">
        <f t="shared" si="103"/>
        <v/>
      </c>
      <c r="IF23" s="11" t="str">
        <f t="shared" si="104"/>
        <v/>
      </c>
      <c r="IG23" s="11" t="str">
        <f t="shared" si="105"/>
        <v/>
      </c>
      <c r="IH23" s="11" t="str">
        <f t="shared" si="106"/>
        <v/>
      </c>
      <c r="II23" s="11" t="str">
        <f t="shared" si="107"/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 t="shared" si="108"/>
        <v/>
      </c>
      <c r="JE23" s="40" t="str">
        <f t="shared" si="109"/>
        <v/>
      </c>
      <c r="JF23" s="40" t="str">
        <f t="shared" si="110"/>
        <v/>
      </c>
      <c r="JG23" s="40" t="str">
        <f t="shared" si="111"/>
        <v/>
      </c>
      <c r="JH23" s="40" t="str">
        <f t="shared" si="112"/>
        <v/>
      </c>
      <c r="JI23" s="40" t="str">
        <f t="shared" si="113"/>
        <v/>
      </c>
      <c r="JJ23" s="40" t="str">
        <f t="shared" si="114"/>
        <v/>
      </c>
      <c r="JK23" s="40" t="str">
        <f t="shared" si="115"/>
        <v/>
      </c>
      <c r="JL23" s="40" t="str">
        <f t="shared" si="116"/>
        <v/>
      </c>
      <c r="JM23" s="40" t="str">
        <f t="shared" si="117"/>
        <v/>
      </c>
      <c r="JN23" s="40" t="str">
        <f t="shared" si="118"/>
        <v/>
      </c>
      <c r="JO23" s="40" t="str">
        <f t="shared" si="119"/>
        <v/>
      </c>
      <c r="JP23" s="40" t="str">
        <f t="shared" si="120"/>
        <v/>
      </c>
      <c r="JQ23" s="40" t="str">
        <f t="shared" si="121"/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 t="shared" si="122"/>
        <v/>
      </c>
      <c r="KM23" s="11" t="str">
        <f t="shared" si="123"/>
        <v/>
      </c>
      <c r="KN23" s="11" t="str">
        <f t="shared" si="124"/>
        <v/>
      </c>
      <c r="KO23" s="11" t="str">
        <f t="shared" si="125"/>
        <v/>
      </c>
      <c r="KP23" s="11" t="str">
        <f t="shared" si="126"/>
        <v/>
      </c>
      <c r="KQ23" s="11" t="str">
        <f t="shared" si="127"/>
        <v/>
      </c>
      <c r="KR23" s="11" t="str">
        <f t="shared" si="128"/>
        <v/>
      </c>
      <c r="KS23" s="11" t="str">
        <f t="shared" si="129"/>
        <v/>
      </c>
      <c r="KT23" s="11" t="str">
        <f t="shared" si="130"/>
        <v/>
      </c>
      <c r="KU23" s="11" t="str">
        <f t="shared" si="131"/>
        <v/>
      </c>
      <c r="KV23" s="11" t="str">
        <f t="shared" si="132"/>
        <v/>
      </c>
      <c r="KW23" s="11" t="str">
        <f t="shared" si="133"/>
        <v/>
      </c>
      <c r="KX23" s="11" t="str">
        <f t="shared" si="134"/>
        <v/>
      </c>
      <c r="KY23" s="11" t="str">
        <f t="shared" si="135"/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 t="shared" si="136"/>
        <v/>
      </c>
      <c r="LU23" s="40" t="str">
        <f t="shared" si="137"/>
        <v/>
      </c>
      <c r="LV23" s="40" t="str">
        <f t="shared" si="138"/>
        <v/>
      </c>
      <c r="LW23" s="40" t="str">
        <f t="shared" si="139"/>
        <v/>
      </c>
      <c r="LX23" s="40" t="str">
        <f t="shared" si="140"/>
        <v/>
      </c>
      <c r="LY23" s="40" t="str">
        <f t="shared" si="141"/>
        <v/>
      </c>
      <c r="LZ23" s="40" t="str">
        <f t="shared" si="142"/>
        <v/>
      </c>
      <c r="MA23" s="40" t="str">
        <f t="shared" si="143"/>
        <v/>
      </c>
      <c r="MB23" s="40" t="str">
        <f t="shared" si="144"/>
        <v/>
      </c>
      <c r="MC23" s="40" t="str">
        <f t="shared" si="145"/>
        <v/>
      </c>
      <c r="MD23" s="40" t="str">
        <f t="shared" si="146"/>
        <v/>
      </c>
      <c r="ME23" s="40" t="str">
        <f t="shared" si="147"/>
        <v/>
      </c>
      <c r="MF23" s="40" t="str">
        <f t="shared" si="148"/>
        <v/>
      </c>
      <c r="MG23" s="40" t="str">
        <f t="shared" si="149"/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 t="shared" si="150"/>
        <v/>
      </c>
      <c r="NC23" s="11" t="str">
        <f t="shared" si="151"/>
        <v/>
      </c>
      <c r="ND23" s="11" t="str">
        <f t="shared" si="152"/>
        <v/>
      </c>
      <c r="NE23" s="11" t="str">
        <f t="shared" si="153"/>
        <v/>
      </c>
      <c r="NF23" s="11" t="str">
        <f t="shared" si="154"/>
        <v/>
      </c>
      <c r="NG23" s="11" t="str">
        <f t="shared" si="155"/>
        <v/>
      </c>
      <c r="NH23" s="11" t="str">
        <f t="shared" si="156"/>
        <v/>
      </c>
      <c r="NI23" s="11" t="str">
        <f t="shared" si="157"/>
        <v/>
      </c>
      <c r="NJ23" s="11" t="str">
        <f t="shared" si="158"/>
        <v/>
      </c>
      <c r="NK23" s="11" t="str">
        <f t="shared" si="159"/>
        <v/>
      </c>
      <c r="NL23" s="11" t="str">
        <f t="shared" si="160"/>
        <v/>
      </c>
      <c r="NM23" s="11" t="str">
        <f t="shared" si="161"/>
        <v/>
      </c>
      <c r="NN23" s="11" t="str">
        <f t="shared" si="162"/>
        <v/>
      </c>
      <c r="NO23" s="11" t="str">
        <f t="shared" si="163"/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 t="shared" si="164"/>
        <v/>
      </c>
      <c r="OK23" s="40" t="str">
        <f t="shared" si="165"/>
        <v/>
      </c>
      <c r="OL23" s="40" t="str">
        <f t="shared" si="166"/>
        <v/>
      </c>
      <c r="OM23" s="40" t="str">
        <f t="shared" si="167"/>
        <v/>
      </c>
      <c r="ON23" s="40" t="str">
        <f t="shared" si="168"/>
        <v/>
      </c>
      <c r="OO23" s="40" t="str">
        <f t="shared" si="169"/>
        <v/>
      </c>
      <c r="OP23" s="40" t="str">
        <f t="shared" si="170"/>
        <v/>
      </c>
      <c r="OQ23" s="40" t="str">
        <f t="shared" si="171"/>
        <v/>
      </c>
      <c r="OR23" s="40" t="str">
        <f t="shared" si="172"/>
        <v/>
      </c>
      <c r="OS23" s="40" t="str">
        <f t="shared" si="173"/>
        <v/>
      </c>
      <c r="OT23" s="40" t="str">
        <f t="shared" si="174"/>
        <v/>
      </c>
      <c r="OU23" s="40" t="str">
        <f t="shared" si="175"/>
        <v/>
      </c>
      <c r="OV23" s="40" t="str">
        <f t="shared" si="176"/>
        <v/>
      </c>
      <c r="OW23" s="40" t="str">
        <f t="shared" si="177"/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 t="shared" si="178"/>
        <v/>
      </c>
      <c r="PS23" s="11" t="str">
        <f t="shared" si="179"/>
        <v/>
      </c>
      <c r="PT23" s="11" t="str">
        <f t="shared" si="180"/>
        <v/>
      </c>
      <c r="PU23" s="11" t="str">
        <f t="shared" si="181"/>
        <v/>
      </c>
      <c r="PV23" s="11" t="str">
        <f t="shared" si="182"/>
        <v/>
      </c>
      <c r="PW23" s="11" t="str">
        <f t="shared" si="183"/>
        <v/>
      </c>
      <c r="PX23" s="11" t="str">
        <f t="shared" si="184"/>
        <v/>
      </c>
      <c r="PY23" s="11" t="str">
        <f t="shared" si="185"/>
        <v/>
      </c>
      <c r="PZ23" s="11" t="str">
        <f t="shared" si="186"/>
        <v/>
      </c>
      <c r="QA23" s="11" t="str">
        <f t="shared" si="187"/>
        <v/>
      </c>
      <c r="QB23" s="11" t="str">
        <f t="shared" si="188"/>
        <v/>
      </c>
      <c r="QC23" s="11" t="str">
        <f t="shared" si="189"/>
        <v/>
      </c>
      <c r="QD23" s="11" t="str">
        <f t="shared" si="190"/>
        <v/>
      </c>
      <c r="QE23" s="11" t="str">
        <f t="shared" si="191"/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 t="shared" si="192"/>
        <v/>
      </c>
      <c r="RA23" s="40" t="str">
        <f t="shared" si="193"/>
        <v/>
      </c>
      <c r="RB23" s="40" t="str">
        <f t="shared" si="194"/>
        <v/>
      </c>
      <c r="RC23" s="40" t="str">
        <f t="shared" si="195"/>
        <v/>
      </c>
      <c r="RD23" s="40" t="str">
        <f t="shared" si="196"/>
        <v/>
      </c>
      <c r="RE23" s="40" t="str">
        <f t="shared" si="197"/>
        <v/>
      </c>
      <c r="RF23" s="40" t="str">
        <f t="shared" si="198"/>
        <v/>
      </c>
      <c r="RG23" s="40" t="str">
        <f t="shared" si="199"/>
        <v/>
      </c>
      <c r="RH23" s="40" t="str">
        <f t="shared" si="200"/>
        <v/>
      </c>
      <c r="RI23" s="40" t="str">
        <f t="shared" si="201"/>
        <v/>
      </c>
      <c r="RJ23" s="40" t="str">
        <f t="shared" si="202"/>
        <v/>
      </c>
      <c r="RK23" s="40" t="str">
        <f t="shared" si="203"/>
        <v/>
      </c>
      <c r="RL23" s="40" t="str">
        <f t="shared" si="204"/>
        <v/>
      </c>
      <c r="RM23" s="40" t="str">
        <f t="shared" si="205"/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 t="shared" si="206"/>
        <v/>
      </c>
      <c r="SI23" s="11" t="str">
        <f t="shared" si="207"/>
        <v/>
      </c>
      <c r="SJ23" s="11" t="str">
        <f t="shared" si="208"/>
        <v/>
      </c>
      <c r="SK23" s="11" t="str">
        <f t="shared" si="209"/>
        <v/>
      </c>
      <c r="SL23" s="11" t="str">
        <f t="shared" si="210"/>
        <v/>
      </c>
      <c r="SM23" s="11" t="str">
        <f t="shared" si="211"/>
        <v/>
      </c>
      <c r="SN23" s="11" t="str">
        <f t="shared" si="212"/>
        <v/>
      </c>
      <c r="SO23" s="11" t="str">
        <f t="shared" si="213"/>
        <v/>
      </c>
      <c r="SP23" s="11" t="str">
        <f t="shared" si="214"/>
        <v/>
      </c>
      <c r="SQ23" s="11" t="str">
        <f t="shared" si="215"/>
        <v/>
      </c>
      <c r="SR23" s="11" t="str">
        <f t="shared" si="216"/>
        <v/>
      </c>
      <c r="SS23" s="11" t="str">
        <f t="shared" si="217"/>
        <v/>
      </c>
      <c r="ST23" s="11" t="str">
        <f t="shared" si="218"/>
        <v/>
      </c>
      <c r="SU23" s="11" t="str">
        <f t="shared" si="219"/>
        <v/>
      </c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40" t="str">
        <f t="shared" si="220"/>
        <v/>
      </c>
      <c r="TQ23" s="40" t="str">
        <f t="shared" si="221"/>
        <v/>
      </c>
      <c r="TR23" s="40" t="str">
        <f t="shared" si="222"/>
        <v/>
      </c>
      <c r="TS23" s="40" t="str">
        <f t="shared" si="223"/>
        <v/>
      </c>
      <c r="TT23" s="40" t="str">
        <f t="shared" si="224"/>
        <v/>
      </c>
      <c r="TU23" s="40" t="str">
        <f t="shared" si="225"/>
        <v/>
      </c>
      <c r="TV23" s="40" t="str">
        <f t="shared" si="226"/>
        <v/>
      </c>
      <c r="TW23" s="40" t="str">
        <f t="shared" si="227"/>
        <v/>
      </c>
      <c r="TX23" s="40" t="str">
        <f t="shared" si="228"/>
        <v/>
      </c>
      <c r="TY23" s="40" t="str">
        <f t="shared" si="229"/>
        <v/>
      </c>
      <c r="TZ23" s="40" t="str">
        <f t="shared" si="230"/>
        <v/>
      </c>
      <c r="UA23" s="40" t="str">
        <f t="shared" si="231"/>
        <v/>
      </c>
      <c r="UB23" s="40" t="str">
        <f t="shared" si="232"/>
        <v/>
      </c>
      <c r="UC23" s="40" t="str">
        <f t="shared" si="233"/>
        <v/>
      </c>
      <c r="UD23" s="18"/>
      <c r="UE23" s="18"/>
      <c r="UF23" s="18"/>
      <c r="UG23" s="18"/>
      <c r="UH23" s="18"/>
      <c r="UI23" s="18"/>
      <c r="UJ23" s="18"/>
      <c r="UK23" s="18"/>
      <c r="UL23" s="18"/>
      <c r="UM23" s="18"/>
      <c r="UN23" s="18"/>
      <c r="UO23" s="18"/>
      <c r="UP23" s="18"/>
      <c r="UQ23" s="18"/>
      <c r="UR23" s="18"/>
      <c r="US23" s="18"/>
      <c r="UT23" s="18"/>
      <c r="UU23" s="18"/>
      <c r="UV23" s="18"/>
      <c r="UW23" s="18"/>
      <c r="UX23" s="11" t="str">
        <f t="shared" si="234"/>
        <v/>
      </c>
      <c r="UY23" s="11" t="str">
        <f t="shared" si="235"/>
        <v/>
      </c>
      <c r="UZ23" s="11" t="str">
        <f t="shared" si="236"/>
        <v/>
      </c>
      <c r="VA23" s="11" t="str">
        <f t="shared" si="237"/>
        <v/>
      </c>
      <c r="VB23" s="11" t="str">
        <f t="shared" si="238"/>
        <v/>
      </c>
      <c r="VC23" s="11" t="str">
        <f t="shared" si="239"/>
        <v/>
      </c>
      <c r="VD23" s="11" t="str">
        <f t="shared" si="240"/>
        <v/>
      </c>
      <c r="VE23" s="11" t="str">
        <f t="shared" si="241"/>
        <v/>
      </c>
      <c r="VF23" s="11" t="str">
        <f t="shared" si="242"/>
        <v/>
      </c>
      <c r="VG23" s="11" t="str">
        <f t="shared" si="243"/>
        <v/>
      </c>
      <c r="VH23" s="11" t="str">
        <f t="shared" si="244"/>
        <v/>
      </c>
      <c r="VI23" s="11" t="str">
        <f t="shared" si="245"/>
        <v/>
      </c>
      <c r="VJ23" s="11" t="str">
        <f t="shared" si="246"/>
        <v/>
      </c>
      <c r="VK23" s="11" t="str">
        <f t="shared" si="247"/>
        <v/>
      </c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40" t="str">
        <f t="shared" si="248"/>
        <v/>
      </c>
      <c r="WG23" s="40" t="str">
        <f t="shared" si="249"/>
        <v/>
      </c>
      <c r="WH23" s="40" t="str">
        <f t="shared" si="250"/>
        <v/>
      </c>
      <c r="WI23" s="40" t="str">
        <f t="shared" si="251"/>
        <v/>
      </c>
      <c r="WJ23" s="40" t="str">
        <f t="shared" si="252"/>
        <v/>
      </c>
      <c r="WK23" s="40" t="str">
        <f t="shared" si="253"/>
        <v/>
      </c>
      <c r="WL23" s="40" t="str">
        <f t="shared" si="254"/>
        <v/>
      </c>
      <c r="WM23" s="40" t="str">
        <f t="shared" si="255"/>
        <v/>
      </c>
      <c r="WN23" s="40" t="str">
        <f t="shared" si="256"/>
        <v/>
      </c>
      <c r="WO23" s="40" t="str">
        <f t="shared" si="257"/>
        <v/>
      </c>
      <c r="WP23" s="40" t="str">
        <f t="shared" si="258"/>
        <v/>
      </c>
      <c r="WQ23" s="40" t="str">
        <f t="shared" si="259"/>
        <v/>
      </c>
      <c r="WR23" s="40" t="str">
        <f t="shared" si="260"/>
        <v/>
      </c>
      <c r="WS23" s="40" t="str">
        <f t="shared" si="261"/>
        <v/>
      </c>
      <c r="WT23" s="26">
        <f t="shared" si="262"/>
        <v>0.7</v>
      </c>
      <c r="WU23" s="26">
        <f t="shared" si="263"/>
        <v>0.5</v>
      </c>
      <c r="WV23" s="26">
        <f t="shared" si="264"/>
        <v>0.75</v>
      </c>
      <c r="WW23" s="26">
        <f t="shared" si="265"/>
        <v>0.86</v>
      </c>
      <c r="WX23" s="26">
        <f t="shared" si="266"/>
        <v>0</v>
      </c>
      <c r="WY23" s="26">
        <f t="shared" si="267"/>
        <v>6.2</v>
      </c>
      <c r="WZ23" s="26">
        <f t="shared" si="268"/>
        <v>4.5999999999999996</v>
      </c>
      <c r="XA23" s="26">
        <f t="shared" si="269"/>
        <v>6.1</v>
      </c>
      <c r="XB23" s="26">
        <f t="shared" si="270"/>
        <v>7.62</v>
      </c>
      <c r="XC23" s="26">
        <f t="shared" si="271"/>
        <v>0.65</v>
      </c>
      <c r="XD23" s="26">
        <f t="shared" si="272"/>
        <v>0</v>
      </c>
      <c r="XE23" s="26">
        <f t="shared" si="273"/>
        <v>0</v>
      </c>
      <c r="XF23" s="26">
        <f t="shared" si="274"/>
        <v>0</v>
      </c>
      <c r="XG23" s="26">
        <f t="shared" si="275"/>
        <v>0</v>
      </c>
      <c r="XH23" s="26">
        <f t="shared" si="276"/>
        <v>0</v>
      </c>
      <c r="XI23" s="28" t="s">
        <v>53</v>
      </c>
      <c r="XJ23" s="11">
        <f t="shared" si="277"/>
        <v>0.75</v>
      </c>
      <c r="XK23" s="11">
        <f t="shared" si="278"/>
        <v>0.86</v>
      </c>
      <c r="XL23" s="11">
        <f t="shared" si="279"/>
        <v>2.81</v>
      </c>
      <c r="XM23" s="11">
        <f t="shared" si="280"/>
        <v>6.1</v>
      </c>
      <c r="XN23" s="11">
        <f t="shared" si="281"/>
        <v>7.62</v>
      </c>
      <c r="XO23" s="11">
        <f t="shared" si="282"/>
        <v>23.87</v>
      </c>
      <c r="XP23" s="11">
        <f t="shared" si="283"/>
        <v>23.87</v>
      </c>
      <c r="XQ23" s="11" t="str">
        <f t="shared" si="284"/>
        <v/>
      </c>
      <c r="XR23" s="11" t="str">
        <f t="shared" si="285"/>
        <v/>
      </c>
      <c r="XS23" s="11" t="str">
        <f t="shared" si="286"/>
        <v/>
      </c>
      <c r="XT23" s="11">
        <f t="shared" si="287"/>
        <v>23.87</v>
      </c>
    </row>
    <row r="24" spans="1:644" x14ac:dyDescent="0.2">
      <c r="A24" s="4" t="str" cm="1">
        <f t="array" ref="A24">IF(AND(H24&lt;&gt;"",H24&lt;&gt;"No DD"),SUMPRODUCT((H$4:H$25&lt;&gt;"")*(H$4:H$25&lt;&gt;"No DD")*(E$4:E$25&gt;E24))+1,IF(H24="No DD",SUMPRODUCT((H$4:H$25="No DD")*(E$4:E$25&gt;E24))+1+SUMPRODUCT((H$4:H$25&lt;&gt;"")*(H$4:H$25&lt;&gt;"No DD")),""))</f>
        <v/>
      </c>
      <c r="B24" s="5" t="s">
        <v>138</v>
      </c>
      <c r="C24" s="4" t="s">
        <v>5</v>
      </c>
      <c r="D24" s="4">
        <v>1993</v>
      </c>
      <c r="E24" s="9">
        <f t="shared" si="0"/>
        <v>58.140005814003182</v>
      </c>
      <c r="F24" s="3" t="str">
        <f t="shared" si="1"/>
        <v/>
      </c>
      <c r="G24" s="3" t="str">
        <f t="shared" si="2"/>
        <v/>
      </c>
      <c r="H24" s="36" t="str">
        <f t="shared" si="3"/>
        <v/>
      </c>
      <c r="I24" s="3" t="str">
        <f t="shared" si="4"/>
        <v/>
      </c>
      <c r="J24" s="8">
        <f>IF(COUNT(AQ24,AT24,BR24,BU24,CS24,CV24)&gt;0,LARGE((AQ24,AT24,BR24,BU24,CS24,CV24),1),0)</f>
        <v>31.810000000000002</v>
      </c>
      <c r="K24" s="8" t="str">
        <f t="shared" si="5"/>
        <v>2024 Nationals</v>
      </c>
      <c r="L24" s="8">
        <f>IF(COUNT(AQ24,AT24,BR24,BU24,CS24,CV24)&gt;1,LARGE((AQ24,AT24,BR24,BU24,CS24,CV24),2),0)</f>
        <v>10.010000000000002</v>
      </c>
      <c r="M24" s="8" t="str">
        <f t="shared" si="6"/>
        <v>2024 Elite Canada</v>
      </c>
      <c r="N24" s="8">
        <f>IF(COUNT(AQ24,AT24,BR24,BU24,CS24,CV24)&gt;2,LARGE((AQ24,AT24,BR24,BU24,CS24,CV24),3),0)</f>
        <v>9.52</v>
      </c>
      <c r="O24" s="8" t="str">
        <f t="shared" si="7"/>
        <v>2024 Nationals</v>
      </c>
      <c r="P24" s="8">
        <f t="shared" si="8"/>
        <v>0</v>
      </c>
      <c r="Q24" s="8" t="str">
        <f t="shared" si="9"/>
        <v/>
      </c>
      <c r="R24" s="8">
        <f t="shared" si="10"/>
        <v>6.8</v>
      </c>
      <c r="S24" s="8" t="str">
        <f t="shared" si="11"/>
        <v>2024 Nationals</v>
      </c>
      <c r="T24" s="8">
        <f t="shared" si="12"/>
        <v>0</v>
      </c>
      <c r="U24" s="8" t="str">
        <f t="shared" si="13"/>
        <v/>
      </c>
      <c r="V24" s="8" t="str">
        <f t="shared" si="14"/>
        <v/>
      </c>
      <c r="W24" s="11" t="str">
        <f t="shared" si="15"/>
        <v/>
      </c>
      <c r="X24" s="8" t="str">
        <f t="shared" si="16"/>
        <v/>
      </c>
      <c r="Y24" s="22">
        <v>1</v>
      </c>
      <c r="Z24" s="22">
        <v>1</v>
      </c>
      <c r="AA24" s="22">
        <v>1.7</v>
      </c>
      <c r="AB24" s="22">
        <v>1.66</v>
      </c>
      <c r="AC24" s="22">
        <v>0</v>
      </c>
      <c r="AD24" s="22">
        <v>2.2000000000000002</v>
      </c>
      <c r="AE24" s="22">
        <v>1.7</v>
      </c>
      <c r="AF24" s="22">
        <v>3.1</v>
      </c>
      <c r="AG24" s="22">
        <v>3.21</v>
      </c>
      <c r="AH24" s="22">
        <v>0.2</v>
      </c>
      <c r="AI24" s="22"/>
      <c r="AJ24" s="22"/>
      <c r="AK24" s="22"/>
      <c r="AL24" s="22"/>
      <c r="AM24" s="22"/>
      <c r="AN24" s="27"/>
      <c r="AO24" s="38">
        <f t="shared" si="17"/>
        <v>1.7</v>
      </c>
      <c r="AP24" s="38">
        <f t="shared" si="18"/>
        <v>1.66</v>
      </c>
      <c r="AQ24" s="40">
        <f t="shared" si="19"/>
        <v>5.36</v>
      </c>
      <c r="AR24" s="40">
        <f t="shared" si="20"/>
        <v>3.1</v>
      </c>
      <c r="AS24" s="40">
        <f t="shared" si="21"/>
        <v>3.21</v>
      </c>
      <c r="AT24" s="40">
        <f t="shared" si="22"/>
        <v>10.010000000000002</v>
      </c>
      <c r="AU24" s="40">
        <f t="shared" si="23"/>
        <v>10.010000000000002</v>
      </c>
      <c r="AV24" s="40" t="str">
        <f t="shared" si="24"/>
        <v/>
      </c>
      <c r="AW24" s="40" t="str">
        <f t="shared" si="25"/>
        <v/>
      </c>
      <c r="AX24" s="40" t="str">
        <f t="shared" si="26"/>
        <v/>
      </c>
      <c r="AY24" s="40">
        <f t="shared" si="27"/>
        <v>10.010000000000002</v>
      </c>
      <c r="AZ24" s="26">
        <v>2.4</v>
      </c>
      <c r="BA24" s="26">
        <v>1.8</v>
      </c>
      <c r="BB24" s="26">
        <v>2.2999999999999998</v>
      </c>
      <c r="BC24" s="26">
        <v>3.02</v>
      </c>
      <c r="BD24" s="26">
        <v>0</v>
      </c>
      <c r="BE24" s="26">
        <v>8.6</v>
      </c>
      <c r="BF24" s="26">
        <v>6.1</v>
      </c>
      <c r="BG24" s="26">
        <v>6.8</v>
      </c>
      <c r="BH24" s="26">
        <v>10.31</v>
      </c>
      <c r="BI24" s="26">
        <v>0</v>
      </c>
      <c r="BJ24" s="26"/>
      <c r="BK24" s="26"/>
      <c r="BL24" s="26"/>
      <c r="BM24" s="26"/>
      <c r="BN24" s="26"/>
      <c r="BO24" s="28"/>
      <c r="BP24" s="39">
        <f t="shared" si="28"/>
        <v>2.2999999999999998</v>
      </c>
      <c r="BQ24" s="39">
        <f t="shared" si="29"/>
        <v>3.02</v>
      </c>
      <c r="BR24" s="11">
        <f t="shared" si="30"/>
        <v>9.52</v>
      </c>
      <c r="BS24" s="11">
        <f t="shared" si="31"/>
        <v>6.8</v>
      </c>
      <c r="BT24" s="11">
        <f t="shared" si="32"/>
        <v>10.31</v>
      </c>
      <c r="BU24" s="11">
        <f t="shared" si="33"/>
        <v>31.810000000000002</v>
      </c>
      <c r="BV24" s="11">
        <f t="shared" si="34"/>
        <v>31.810000000000002</v>
      </c>
      <c r="BW24" s="11" t="str">
        <f t="shared" si="35"/>
        <v/>
      </c>
      <c r="BX24" s="11" t="str">
        <f t="shared" si="36"/>
        <v/>
      </c>
      <c r="BY24" s="11" t="str">
        <f t="shared" si="37"/>
        <v/>
      </c>
      <c r="BZ24" s="11">
        <f t="shared" si="38"/>
        <v>31.810000000000002</v>
      </c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7"/>
      <c r="CQ24" s="38" t="str">
        <f t="shared" si="39"/>
        <v/>
      </c>
      <c r="CR24" s="38" t="str">
        <f t="shared" si="40"/>
        <v/>
      </c>
      <c r="CS24" s="40" t="str">
        <f t="shared" si="41"/>
        <v/>
      </c>
      <c r="CT24" s="40" t="str">
        <f t="shared" si="42"/>
        <v/>
      </c>
      <c r="CU24" s="40" t="str">
        <f t="shared" si="43"/>
        <v/>
      </c>
      <c r="CV24" s="40" t="str">
        <f t="shared" si="44"/>
        <v/>
      </c>
      <c r="CW24" s="40" t="str">
        <f t="shared" si="45"/>
        <v/>
      </c>
      <c r="CX24" s="40" t="str">
        <f t="shared" si="46"/>
        <v/>
      </c>
      <c r="CY24" s="40" t="str">
        <f t="shared" si="47"/>
        <v/>
      </c>
      <c r="CZ24" s="40" t="str">
        <f t="shared" si="48"/>
        <v/>
      </c>
      <c r="DA24" s="40" t="str">
        <f t="shared" si="49"/>
        <v/>
      </c>
      <c r="DB24" s="51" t="str">
        <f t="shared" si="50"/>
        <v/>
      </c>
      <c r="DC24" s="51" t="str">
        <f t="shared" si="51"/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 t="shared" si="52"/>
        <v/>
      </c>
      <c r="DY24" s="40" t="str">
        <f t="shared" si="53"/>
        <v/>
      </c>
      <c r="DZ24" s="40" t="str">
        <f t="shared" si="54"/>
        <v/>
      </c>
      <c r="EA24" s="40" t="str">
        <f t="shared" si="55"/>
        <v/>
      </c>
      <c r="EB24" s="40" t="str">
        <f t="shared" si="56"/>
        <v/>
      </c>
      <c r="EC24" s="40" t="str">
        <f t="shared" si="57"/>
        <v/>
      </c>
      <c r="ED24" s="40" t="str">
        <f t="shared" si="58"/>
        <v/>
      </c>
      <c r="EE24" s="40" t="str">
        <f t="shared" si="59"/>
        <v/>
      </c>
      <c r="EF24" s="40" t="str">
        <f t="shared" si="60"/>
        <v/>
      </c>
      <c r="EG24" s="40" t="str">
        <f t="shared" si="61"/>
        <v/>
      </c>
      <c r="EH24" s="40" t="str">
        <f t="shared" si="62"/>
        <v/>
      </c>
      <c r="EI24" s="40" t="str">
        <f t="shared" si="63"/>
        <v/>
      </c>
      <c r="EJ24" s="40" t="str">
        <f t="shared" si="64"/>
        <v/>
      </c>
      <c r="EK24" s="40" t="str">
        <f t="shared" si="65"/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 t="shared" si="66"/>
        <v/>
      </c>
      <c r="FG24" s="11" t="str">
        <f t="shared" si="67"/>
        <v/>
      </c>
      <c r="FH24" s="11" t="str">
        <f t="shared" si="68"/>
        <v/>
      </c>
      <c r="FI24" s="11" t="str">
        <f t="shared" si="69"/>
        <v/>
      </c>
      <c r="FJ24" s="11" t="str">
        <f t="shared" si="70"/>
        <v/>
      </c>
      <c r="FK24" s="11" t="str">
        <f t="shared" si="71"/>
        <v/>
      </c>
      <c r="FL24" s="11" t="str">
        <f t="shared" si="72"/>
        <v/>
      </c>
      <c r="FM24" s="11" t="str">
        <f t="shared" si="73"/>
        <v/>
      </c>
      <c r="FN24" s="11" t="str">
        <f t="shared" si="74"/>
        <v/>
      </c>
      <c r="FO24" s="11" t="str">
        <f t="shared" si="75"/>
        <v/>
      </c>
      <c r="FP24" s="11" t="str">
        <f t="shared" si="76"/>
        <v/>
      </c>
      <c r="FQ24" s="11" t="str">
        <f t="shared" si="77"/>
        <v/>
      </c>
      <c r="FR24" s="11" t="str">
        <f t="shared" si="78"/>
        <v/>
      </c>
      <c r="FS24" s="11" t="str">
        <f t="shared" si="79"/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 t="shared" si="80"/>
        <v/>
      </c>
      <c r="GO24" s="40" t="str">
        <f t="shared" si="81"/>
        <v/>
      </c>
      <c r="GP24" s="40" t="str">
        <f t="shared" si="82"/>
        <v/>
      </c>
      <c r="GQ24" s="40" t="str">
        <f t="shared" si="83"/>
        <v/>
      </c>
      <c r="GR24" s="40" t="str">
        <f t="shared" si="84"/>
        <v/>
      </c>
      <c r="GS24" s="40" t="str">
        <f t="shared" si="85"/>
        <v/>
      </c>
      <c r="GT24" s="40" t="str">
        <f t="shared" si="86"/>
        <v/>
      </c>
      <c r="GU24" s="40" t="str">
        <f t="shared" si="87"/>
        <v/>
      </c>
      <c r="GV24" s="40" t="str">
        <f t="shared" si="88"/>
        <v/>
      </c>
      <c r="GW24" s="40" t="str">
        <f t="shared" si="89"/>
        <v/>
      </c>
      <c r="GX24" s="40" t="str">
        <f t="shared" si="90"/>
        <v/>
      </c>
      <c r="GY24" s="40" t="str">
        <f t="shared" si="91"/>
        <v/>
      </c>
      <c r="GZ24" s="40" t="str">
        <f t="shared" si="92"/>
        <v/>
      </c>
      <c r="HA24" s="40" t="str">
        <f t="shared" si="93"/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 t="shared" si="94"/>
        <v/>
      </c>
      <c r="HW24" s="11" t="str">
        <f t="shared" si="95"/>
        <v/>
      </c>
      <c r="HX24" s="11" t="str">
        <f t="shared" si="96"/>
        <v/>
      </c>
      <c r="HY24" s="11" t="str">
        <f t="shared" si="97"/>
        <v/>
      </c>
      <c r="HZ24" s="11" t="str">
        <f t="shared" si="98"/>
        <v/>
      </c>
      <c r="IA24" s="11" t="str">
        <f t="shared" si="99"/>
        <v/>
      </c>
      <c r="IB24" s="11" t="str">
        <f t="shared" si="100"/>
        <v/>
      </c>
      <c r="IC24" s="11" t="str">
        <f t="shared" si="101"/>
        <v/>
      </c>
      <c r="ID24" s="11" t="str">
        <f t="shared" si="102"/>
        <v/>
      </c>
      <c r="IE24" s="11" t="str">
        <f t="shared" si="103"/>
        <v/>
      </c>
      <c r="IF24" s="11" t="str">
        <f t="shared" si="104"/>
        <v/>
      </c>
      <c r="IG24" s="11" t="str">
        <f t="shared" si="105"/>
        <v/>
      </c>
      <c r="IH24" s="11" t="str">
        <f t="shared" si="106"/>
        <v/>
      </c>
      <c r="II24" s="11" t="str">
        <f t="shared" si="107"/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 t="shared" si="108"/>
        <v/>
      </c>
      <c r="JE24" s="40" t="str">
        <f t="shared" si="109"/>
        <v/>
      </c>
      <c r="JF24" s="40" t="str">
        <f t="shared" si="110"/>
        <v/>
      </c>
      <c r="JG24" s="40" t="str">
        <f t="shared" si="111"/>
        <v/>
      </c>
      <c r="JH24" s="40" t="str">
        <f t="shared" si="112"/>
        <v/>
      </c>
      <c r="JI24" s="40" t="str">
        <f t="shared" si="113"/>
        <v/>
      </c>
      <c r="JJ24" s="40" t="str">
        <f t="shared" si="114"/>
        <v/>
      </c>
      <c r="JK24" s="40" t="str">
        <f t="shared" si="115"/>
        <v/>
      </c>
      <c r="JL24" s="40" t="str">
        <f t="shared" si="116"/>
        <v/>
      </c>
      <c r="JM24" s="40" t="str">
        <f t="shared" si="117"/>
        <v/>
      </c>
      <c r="JN24" s="40" t="str">
        <f t="shared" si="118"/>
        <v/>
      </c>
      <c r="JO24" s="40" t="str">
        <f t="shared" si="119"/>
        <v/>
      </c>
      <c r="JP24" s="40" t="str">
        <f t="shared" si="120"/>
        <v/>
      </c>
      <c r="JQ24" s="40" t="str">
        <f t="shared" si="121"/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 t="shared" si="122"/>
        <v/>
      </c>
      <c r="KM24" s="11" t="str">
        <f t="shared" si="123"/>
        <v/>
      </c>
      <c r="KN24" s="11" t="str">
        <f t="shared" si="124"/>
        <v/>
      </c>
      <c r="KO24" s="11" t="str">
        <f t="shared" si="125"/>
        <v/>
      </c>
      <c r="KP24" s="11" t="str">
        <f t="shared" si="126"/>
        <v/>
      </c>
      <c r="KQ24" s="11" t="str">
        <f t="shared" si="127"/>
        <v/>
      </c>
      <c r="KR24" s="11" t="str">
        <f t="shared" si="128"/>
        <v/>
      </c>
      <c r="KS24" s="11" t="str">
        <f t="shared" si="129"/>
        <v/>
      </c>
      <c r="KT24" s="11" t="str">
        <f t="shared" si="130"/>
        <v/>
      </c>
      <c r="KU24" s="11" t="str">
        <f t="shared" si="131"/>
        <v/>
      </c>
      <c r="KV24" s="11" t="str">
        <f t="shared" si="132"/>
        <v/>
      </c>
      <c r="KW24" s="11" t="str">
        <f t="shared" si="133"/>
        <v/>
      </c>
      <c r="KX24" s="11" t="str">
        <f t="shared" si="134"/>
        <v/>
      </c>
      <c r="KY24" s="11" t="str">
        <f t="shared" si="135"/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 t="shared" si="136"/>
        <v/>
      </c>
      <c r="LU24" s="40" t="str">
        <f t="shared" si="137"/>
        <v/>
      </c>
      <c r="LV24" s="40" t="str">
        <f t="shared" si="138"/>
        <v/>
      </c>
      <c r="LW24" s="40" t="str">
        <f t="shared" si="139"/>
        <v/>
      </c>
      <c r="LX24" s="40" t="str">
        <f t="shared" si="140"/>
        <v/>
      </c>
      <c r="LY24" s="40" t="str">
        <f t="shared" si="141"/>
        <v/>
      </c>
      <c r="LZ24" s="40" t="str">
        <f t="shared" si="142"/>
        <v/>
      </c>
      <c r="MA24" s="40" t="str">
        <f t="shared" si="143"/>
        <v/>
      </c>
      <c r="MB24" s="40" t="str">
        <f t="shared" si="144"/>
        <v/>
      </c>
      <c r="MC24" s="40" t="str">
        <f t="shared" si="145"/>
        <v/>
      </c>
      <c r="MD24" s="40" t="str">
        <f t="shared" si="146"/>
        <v/>
      </c>
      <c r="ME24" s="40" t="str">
        <f t="shared" si="147"/>
        <v/>
      </c>
      <c r="MF24" s="40" t="str">
        <f t="shared" si="148"/>
        <v/>
      </c>
      <c r="MG24" s="40" t="str">
        <f t="shared" si="149"/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 t="shared" si="150"/>
        <v/>
      </c>
      <c r="NC24" s="11" t="str">
        <f t="shared" si="151"/>
        <v/>
      </c>
      <c r="ND24" s="11" t="str">
        <f t="shared" si="152"/>
        <v/>
      </c>
      <c r="NE24" s="11" t="str">
        <f t="shared" si="153"/>
        <v/>
      </c>
      <c r="NF24" s="11" t="str">
        <f t="shared" si="154"/>
        <v/>
      </c>
      <c r="NG24" s="11" t="str">
        <f t="shared" si="155"/>
        <v/>
      </c>
      <c r="NH24" s="11" t="str">
        <f t="shared" si="156"/>
        <v/>
      </c>
      <c r="NI24" s="11" t="str">
        <f t="shared" si="157"/>
        <v/>
      </c>
      <c r="NJ24" s="11" t="str">
        <f t="shared" si="158"/>
        <v/>
      </c>
      <c r="NK24" s="11" t="str">
        <f t="shared" si="159"/>
        <v/>
      </c>
      <c r="NL24" s="11" t="str">
        <f t="shared" si="160"/>
        <v/>
      </c>
      <c r="NM24" s="11" t="str">
        <f t="shared" si="161"/>
        <v/>
      </c>
      <c r="NN24" s="11" t="str">
        <f t="shared" si="162"/>
        <v/>
      </c>
      <c r="NO24" s="11" t="str">
        <f t="shared" si="163"/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 t="shared" si="164"/>
        <v/>
      </c>
      <c r="OK24" s="40" t="str">
        <f t="shared" si="165"/>
        <v/>
      </c>
      <c r="OL24" s="40" t="str">
        <f t="shared" si="166"/>
        <v/>
      </c>
      <c r="OM24" s="40" t="str">
        <f t="shared" si="167"/>
        <v/>
      </c>
      <c r="ON24" s="40" t="str">
        <f t="shared" si="168"/>
        <v/>
      </c>
      <c r="OO24" s="40" t="str">
        <f t="shared" si="169"/>
        <v/>
      </c>
      <c r="OP24" s="40" t="str">
        <f t="shared" si="170"/>
        <v/>
      </c>
      <c r="OQ24" s="40" t="str">
        <f t="shared" si="171"/>
        <v/>
      </c>
      <c r="OR24" s="40" t="str">
        <f t="shared" si="172"/>
        <v/>
      </c>
      <c r="OS24" s="40" t="str">
        <f t="shared" si="173"/>
        <v/>
      </c>
      <c r="OT24" s="40" t="str">
        <f t="shared" si="174"/>
        <v/>
      </c>
      <c r="OU24" s="40" t="str">
        <f t="shared" si="175"/>
        <v/>
      </c>
      <c r="OV24" s="40" t="str">
        <f t="shared" si="176"/>
        <v/>
      </c>
      <c r="OW24" s="40" t="str">
        <f t="shared" si="177"/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 t="shared" si="178"/>
        <v/>
      </c>
      <c r="PS24" s="11" t="str">
        <f t="shared" si="179"/>
        <v/>
      </c>
      <c r="PT24" s="11" t="str">
        <f t="shared" si="180"/>
        <v/>
      </c>
      <c r="PU24" s="11" t="str">
        <f t="shared" si="181"/>
        <v/>
      </c>
      <c r="PV24" s="11" t="str">
        <f t="shared" si="182"/>
        <v/>
      </c>
      <c r="PW24" s="11" t="str">
        <f t="shared" si="183"/>
        <v/>
      </c>
      <c r="PX24" s="11" t="str">
        <f t="shared" si="184"/>
        <v/>
      </c>
      <c r="PY24" s="11" t="str">
        <f t="shared" si="185"/>
        <v/>
      </c>
      <c r="PZ24" s="11" t="str">
        <f t="shared" si="186"/>
        <v/>
      </c>
      <c r="QA24" s="11" t="str">
        <f t="shared" si="187"/>
        <v/>
      </c>
      <c r="QB24" s="11" t="str">
        <f t="shared" si="188"/>
        <v/>
      </c>
      <c r="QC24" s="11" t="str">
        <f t="shared" si="189"/>
        <v/>
      </c>
      <c r="QD24" s="11" t="str">
        <f t="shared" si="190"/>
        <v/>
      </c>
      <c r="QE24" s="11" t="str">
        <f t="shared" si="191"/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 t="shared" si="192"/>
        <v/>
      </c>
      <c r="RA24" s="40" t="str">
        <f t="shared" si="193"/>
        <v/>
      </c>
      <c r="RB24" s="40" t="str">
        <f t="shared" si="194"/>
        <v/>
      </c>
      <c r="RC24" s="40" t="str">
        <f t="shared" si="195"/>
        <v/>
      </c>
      <c r="RD24" s="40" t="str">
        <f t="shared" si="196"/>
        <v/>
      </c>
      <c r="RE24" s="40" t="str">
        <f t="shared" si="197"/>
        <v/>
      </c>
      <c r="RF24" s="40" t="str">
        <f t="shared" si="198"/>
        <v/>
      </c>
      <c r="RG24" s="40" t="str">
        <f t="shared" si="199"/>
        <v/>
      </c>
      <c r="RH24" s="40" t="str">
        <f t="shared" si="200"/>
        <v/>
      </c>
      <c r="RI24" s="40" t="str">
        <f t="shared" si="201"/>
        <v/>
      </c>
      <c r="RJ24" s="40" t="str">
        <f t="shared" si="202"/>
        <v/>
      </c>
      <c r="RK24" s="40" t="str">
        <f t="shared" si="203"/>
        <v/>
      </c>
      <c r="RL24" s="40" t="str">
        <f t="shared" si="204"/>
        <v/>
      </c>
      <c r="RM24" s="40" t="str">
        <f t="shared" si="205"/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 t="shared" si="206"/>
        <v/>
      </c>
      <c r="SI24" s="11" t="str">
        <f t="shared" si="207"/>
        <v/>
      </c>
      <c r="SJ24" s="11" t="str">
        <f t="shared" si="208"/>
        <v/>
      </c>
      <c r="SK24" s="11" t="str">
        <f t="shared" si="209"/>
        <v/>
      </c>
      <c r="SL24" s="11" t="str">
        <f t="shared" si="210"/>
        <v/>
      </c>
      <c r="SM24" s="11" t="str">
        <f t="shared" si="211"/>
        <v/>
      </c>
      <c r="SN24" s="11" t="str">
        <f t="shared" si="212"/>
        <v/>
      </c>
      <c r="SO24" s="11" t="str">
        <f t="shared" si="213"/>
        <v/>
      </c>
      <c r="SP24" s="11" t="str">
        <f t="shared" si="214"/>
        <v/>
      </c>
      <c r="SQ24" s="11" t="str">
        <f t="shared" si="215"/>
        <v/>
      </c>
      <c r="SR24" s="11" t="str">
        <f t="shared" si="216"/>
        <v/>
      </c>
      <c r="SS24" s="11" t="str">
        <f t="shared" si="217"/>
        <v/>
      </c>
      <c r="ST24" s="11" t="str">
        <f t="shared" si="218"/>
        <v/>
      </c>
      <c r="SU24" s="11" t="str">
        <f t="shared" si="219"/>
        <v/>
      </c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40" t="str">
        <f t="shared" si="220"/>
        <v/>
      </c>
      <c r="TQ24" s="40" t="str">
        <f t="shared" si="221"/>
        <v/>
      </c>
      <c r="TR24" s="40" t="str">
        <f t="shared" si="222"/>
        <v/>
      </c>
      <c r="TS24" s="40" t="str">
        <f t="shared" si="223"/>
        <v/>
      </c>
      <c r="TT24" s="40" t="str">
        <f t="shared" si="224"/>
        <v/>
      </c>
      <c r="TU24" s="40" t="str">
        <f t="shared" si="225"/>
        <v/>
      </c>
      <c r="TV24" s="40" t="str">
        <f t="shared" si="226"/>
        <v/>
      </c>
      <c r="TW24" s="40" t="str">
        <f t="shared" si="227"/>
        <v/>
      </c>
      <c r="TX24" s="40" t="str">
        <f t="shared" si="228"/>
        <v/>
      </c>
      <c r="TY24" s="40" t="str">
        <f t="shared" si="229"/>
        <v/>
      </c>
      <c r="TZ24" s="40" t="str">
        <f t="shared" si="230"/>
        <v/>
      </c>
      <c r="UA24" s="40" t="str">
        <f t="shared" si="231"/>
        <v/>
      </c>
      <c r="UB24" s="40" t="str">
        <f t="shared" si="232"/>
        <v/>
      </c>
      <c r="UC24" s="40" t="str">
        <f t="shared" si="233"/>
        <v/>
      </c>
      <c r="UD24" s="18"/>
      <c r="UE24" s="18"/>
      <c r="UF24" s="18"/>
      <c r="UG24" s="18"/>
      <c r="UH24" s="18"/>
      <c r="UI24" s="18"/>
      <c r="UJ24" s="18"/>
      <c r="UK24" s="18"/>
      <c r="UL24" s="18"/>
      <c r="UM24" s="18"/>
      <c r="UN24" s="18"/>
      <c r="UO24" s="18"/>
      <c r="UP24" s="18"/>
      <c r="UQ24" s="18"/>
      <c r="UR24" s="18"/>
      <c r="US24" s="18"/>
      <c r="UT24" s="18"/>
      <c r="UU24" s="18"/>
      <c r="UV24" s="18"/>
      <c r="UW24" s="18"/>
      <c r="UX24" s="11" t="str">
        <f t="shared" si="234"/>
        <v/>
      </c>
      <c r="UY24" s="11" t="str">
        <f t="shared" si="235"/>
        <v/>
      </c>
      <c r="UZ24" s="11" t="str">
        <f t="shared" si="236"/>
        <v/>
      </c>
      <c r="VA24" s="11" t="str">
        <f t="shared" si="237"/>
        <v/>
      </c>
      <c r="VB24" s="11" t="str">
        <f t="shared" si="238"/>
        <v/>
      </c>
      <c r="VC24" s="11" t="str">
        <f t="shared" si="239"/>
        <v/>
      </c>
      <c r="VD24" s="11" t="str">
        <f t="shared" si="240"/>
        <v/>
      </c>
      <c r="VE24" s="11" t="str">
        <f t="shared" si="241"/>
        <v/>
      </c>
      <c r="VF24" s="11" t="str">
        <f t="shared" si="242"/>
        <v/>
      </c>
      <c r="VG24" s="11" t="str">
        <f t="shared" si="243"/>
        <v/>
      </c>
      <c r="VH24" s="11" t="str">
        <f t="shared" si="244"/>
        <v/>
      </c>
      <c r="VI24" s="11" t="str">
        <f t="shared" si="245"/>
        <v/>
      </c>
      <c r="VJ24" s="11" t="str">
        <f t="shared" si="246"/>
        <v/>
      </c>
      <c r="VK24" s="11" t="str">
        <f t="shared" si="247"/>
        <v/>
      </c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40" t="str">
        <f t="shared" si="248"/>
        <v/>
      </c>
      <c r="WG24" s="40" t="str">
        <f t="shared" si="249"/>
        <v/>
      </c>
      <c r="WH24" s="40" t="str">
        <f t="shared" si="250"/>
        <v/>
      </c>
      <c r="WI24" s="40" t="str">
        <f t="shared" si="251"/>
        <v/>
      </c>
      <c r="WJ24" s="40" t="str">
        <f t="shared" si="252"/>
        <v/>
      </c>
      <c r="WK24" s="40" t="str">
        <f t="shared" si="253"/>
        <v/>
      </c>
      <c r="WL24" s="40" t="str">
        <f t="shared" si="254"/>
        <v/>
      </c>
      <c r="WM24" s="40" t="str">
        <f t="shared" si="255"/>
        <v/>
      </c>
      <c r="WN24" s="40" t="str">
        <f t="shared" si="256"/>
        <v/>
      </c>
      <c r="WO24" s="40" t="str">
        <f t="shared" si="257"/>
        <v/>
      </c>
      <c r="WP24" s="40" t="str">
        <f t="shared" si="258"/>
        <v/>
      </c>
      <c r="WQ24" s="40" t="str">
        <f t="shared" si="259"/>
        <v/>
      </c>
      <c r="WR24" s="40" t="str">
        <f t="shared" si="260"/>
        <v/>
      </c>
      <c r="WS24" s="40" t="str">
        <f t="shared" si="261"/>
        <v/>
      </c>
      <c r="WT24" s="26">
        <f t="shared" si="262"/>
        <v>1.2</v>
      </c>
      <c r="WU24" s="26">
        <f t="shared" si="263"/>
        <v>0.9</v>
      </c>
      <c r="WV24" s="26">
        <f t="shared" si="264"/>
        <v>1.1499999999999999</v>
      </c>
      <c r="WW24" s="26">
        <f t="shared" si="265"/>
        <v>1.51</v>
      </c>
      <c r="WX24" s="26">
        <f t="shared" si="266"/>
        <v>0</v>
      </c>
      <c r="WY24" s="26">
        <f t="shared" si="267"/>
        <v>4.3</v>
      </c>
      <c r="WZ24" s="26">
        <f t="shared" si="268"/>
        <v>3.05</v>
      </c>
      <c r="XA24" s="26">
        <f t="shared" si="269"/>
        <v>3.4</v>
      </c>
      <c r="XB24" s="26">
        <f t="shared" si="270"/>
        <v>5.1550000000000002</v>
      </c>
      <c r="XC24" s="26">
        <f t="shared" si="271"/>
        <v>0</v>
      </c>
      <c r="XD24" s="26">
        <f t="shared" si="272"/>
        <v>0</v>
      </c>
      <c r="XE24" s="26">
        <f t="shared" si="273"/>
        <v>0</v>
      </c>
      <c r="XF24" s="26">
        <f t="shared" si="274"/>
        <v>0</v>
      </c>
      <c r="XG24" s="26">
        <f t="shared" si="275"/>
        <v>0</v>
      </c>
      <c r="XH24" s="26">
        <f t="shared" si="276"/>
        <v>0</v>
      </c>
      <c r="XI24" s="28" t="s">
        <v>53</v>
      </c>
      <c r="XJ24" s="11">
        <f t="shared" si="277"/>
        <v>1.1499999999999999</v>
      </c>
      <c r="XK24" s="11">
        <f t="shared" si="278"/>
        <v>1.51</v>
      </c>
      <c r="XL24" s="11">
        <f t="shared" si="279"/>
        <v>4.76</v>
      </c>
      <c r="XM24" s="11">
        <f t="shared" si="280"/>
        <v>3.4</v>
      </c>
      <c r="XN24" s="11">
        <f t="shared" si="281"/>
        <v>5.1550000000000002</v>
      </c>
      <c r="XO24" s="11">
        <f t="shared" si="282"/>
        <v>15.905000000000001</v>
      </c>
      <c r="XP24" s="11">
        <f t="shared" si="283"/>
        <v>15.905000000000001</v>
      </c>
      <c r="XQ24" s="11" t="str">
        <f t="shared" si="284"/>
        <v/>
      </c>
      <c r="XR24" s="11" t="str">
        <f t="shared" si="285"/>
        <v/>
      </c>
      <c r="XS24" s="11" t="str">
        <f t="shared" si="286"/>
        <v/>
      </c>
      <c r="XT24" s="11">
        <f t="shared" si="287"/>
        <v>15.905000000000001</v>
      </c>
    </row>
    <row r="25" spans="1:644" x14ac:dyDescent="0.2">
      <c r="B25" s="5"/>
      <c r="D25" s="1"/>
    </row>
    <row r="26" spans="1:644" x14ac:dyDescent="0.2">
      <c r="G26" s="36"/>
      <c r="I26" s="36"/>
    </row>
    <row r="27" spans="1:644" x14ac:dyDescent="0.2">
      <c r="B27" s="23" t="s">
        <v>51</v>
      </c>
      <c r="C27" s="5"/>
      <c r="G27" s="3"/>
      <c r="AR27" s="41"/>
      <c r="AS27" s="41"/>
      <c r="AT27" s="41"/>
      <c r="AV27" s="32"/>
      <c r="AW27" s="32"/>
      <c r="AY27" s="42">
        <v>15.4</v>
      </c>
      <c r="BS27" s="41"/>
      <c r="BT27" s="41"/>
      <c r="BU27" s="41"/>
      <c r="BW27" s="32"/>
      <c r="BX27" s="32"/>
      <c r="BZ27" s="42">
        <v>15.4</v>
      </c>
      <c r="CT27" s="41"/>
      <c r="CU27" s="41"/>
      <c r="CV27" s="41"/>
      <c r="CX27" s="32"/>
      <c r="CY27" s="32"/>
      <c r="DA27" s="42">
        <v>15.4</v>
      </c>
      <c r="DX27" s="5"/>
      <c r="DY27" s="5"/>
      <c r="EH27" s="2"/>
      <c r="EI27" s="2"/>
      <c r="EK27" s="42">
        <v>15.4</v>
      </c>
      <c r="FF27" s="5"/>
      <c r="FG27" s="5"/>
      <c r="FP27" s="2"/>
      <c r="FQ27" s="2"/>
      <c r="FS27" s="42">
        <v>15.4</v>
      </c>
      <c r="GN27" s="5"/>
      <c r="GO27" s="5"/>
      <c r="GX27" s="2"/>
      <c r="GY27" s="2"/>
      <c r="HA27" s="42">
        <v>15.4</v>
      </c>
      <c r="HV27" s="5"/>
      <c r="HW27" s="5"/>
      <c r="IF27" s="2"/>
      <c r="IG27" s="2"/>
      <c r="II27" s="42">
        <v>15.4</v>
      </c>
      <c r="JD27" s="5"/>
      <c r="JE27" s="5"/>
      <c r="JN27" s="2"/>
      <c r="JO27" s="2"/>
      <c r="JQ27" s="42">
        <v>15.4</v>
      </c>
      <c r="KL27" s="5"/>
      <c r="KM27" s="5"/>
      <c r="KV27" s="2"/>
      <c r="KW27" s="2"/>
      <c r="KY27" s="42">
        <v>15.4</v>
      </c>
      <c r="LT27" s="5"/>
      <c r="LU27" s="5"/>
      <c r="MD27" s="2"/>
      <c r="ME27" s="2"/>
      <c r="MG27" s="42">
        <v>15.4</v>
      </c>
      <c r="NB27" s="5"/>
      <c r="NC27" s="5"/>
      <c r="NL27" s="2"/>
      <c r="NM27" s="2"/>
      <c r="NO27" s="42">
        <v>15.4</v>
      </c>
      <c r="OJ27" s="5"/>
      <c r="OK27" s="5"/>
      <c r="OT27" s="2"/>
      <c r="OU27" s="2"/>
      <c r="OW27" s="42">
        <v>15.4</v>
      </c>
      <c r="PR27" s="5"/>
      <c r="PS27" s="5"/>
      <c r="QB27" s="2"/>
      <c r="QC27" s="2"/>
      <c r="QE27" s="42">
        <v>15.4</v>
      </c>
      <c r="QZ27" s="5"/>
      <c r="RA27" s="5"/>
      <c r="RJ27" s="2"/>
      <c r="RK27" s="2"/>
      <c r="RM27" s="42">
        <v>15.4</v>
      </c>
      <c r="SH27" s="5"/>
      <c r="SI27" s="5"/>
      <c r="SR27" s="2"/>
      <c r="SS27" s="2"/>
      <c r="SU27" s="42">
        <v>15.4</v>
      </c>
      <c r="TP27" s="5"/>
      <c r="TQ27" s="5"/>
      <c r="TZ27" s="2"/>
      <c r="UA27" s="2"/>
      <c r="UC27" s="42">
        <v>15.4</v>
      </c>
      <c r="UX27" s="5"/>
      <c r="UY27" s="5"/>
      <c r="VH27" s="2"/>
      <c r="VI27" s="2"/>
      <c r="VK27" s="42">
        <v>15.4</v>
      </c>
      <c r="WF27" s="5"/>
      <c r="WG27" s="5"/>
      <c r="WP27" s="2"/>
      <c r="WQ27" s="2"/>
      <c r="WS27" s="42">
        <v>15.4</v>
      </c>
    </row>
    <row r="28" spans="1:644" x14ac:dyDescent="0.2">
      <c r="B28" s="30" t="s">
        <v>50</v>
      </c>
      <c r="C28" s="5"/>
      <c r="X28" s="2"/>
      <c r="AR28" s="41"/>
      <c r="AS28" s="41"/>
      <c r="AT28" s="41"/>
      <c r="AV28" s="32"/>
      <c r="AW28" s="32"/>
      <c r="AY28" s="43">
        <v>16</v>
      </c>
      <c r="BS28" s="41"/>
      <c r="BT28" s="41"/>
      <c r="BU28" s="41"/>
      <c r="BW28" s="32"/>
      <c r="BX28" s="32"/>
      <c r="BZ28" s="43">
        <v>16</v>
      </c>
      <c r="CT28" s="41"/>
      <c r="CU28" s="41"/>
      <c r="CV28" s="41"/>
      <c r="CX28" s="32"/>
      <c r="CY28" s="32"/>
      <c r="DA28" s="43">
        <v>16</v>
      </c>
      <c r="DX28" s="5"/>
      <c r="DY28" s="5"/>
      <c r="EH28" s="2"/>
      <c r="EI28" s="2"/>
      <c r="EK28" s="43">
        <v>16</v>
      </c>
      <c r="FF28" s="5"/>
      <c r="FG28" s="5"/>
      <c r="FP28" s="2"/>
      <c r="FQ28" s="2"/>
      <c r="FS28" s="43">
        <v>16</v>
      </c>
      <c r="GN28" s="5"/>
      <c r="GO28" s="5"/>
      <c r="GX28" s="2"/>
      <c r="GY28" s="2"/>
      <c r="HA28" s="43">
        <v>16</v>
      </c>
      <c r="HV28" s="5"/>
      <c r="HW28" s="5"/>
      <c r="IF28" s="2"/>
      <c r="IG28" s="2"/>
      <c r="II28" s="43">
        <v>16</v>
      </c>
      <c r="JD28" s="5"/>
      <c r="JE28" s="5"/>
      <c r="JN28" s="2"/>
      <c r="JO28" s="2"/>
      <c r="JQ28" s="43">
        <v>16</v>
      </c>
      <c r="KL28" s="5"/>
      <c r="KM28" s="5"/>
      <c r="KV28" s="2"/>
      <c r="KW28" s="2"/>
      <c r="KY28" s="43">
        <v>16</v>
      </c>
      <c r="LT28" s="5"/>
      <c r="LU28" s="5"/>
      <c r="MD28" s="2"/>
      <c r="ME28" s="2"/>
      <c r="MG28" s="43">
        <v>16</v>
      </c>
      <c r="NB28" s="5"/>
      <c r="NC28" s="5"/>
      <c r="NL28" s="2"/>
      <c r="NM28" s="2"/>
      <c r="NO28" s="43">
        <v>16</v>
      </c>
      <c r="OJ28" s="5"/>
      <c r="OK28" s="5"/>
      <c r="OT28" s="2"/>
      <c r="OU28" s="2"/>
      <c r="OW28" s="43">
        <v>16</v>
      </c>
      <c r="PR28" s="5"/>
      <c r="PS28" s="5"/>
      <c r="QB28" s="2"/>
      <c r="QC28" s="2"/>
      <c r="QE28" s="43">
        <v>16</v>
      </c>
      <c r="QZ28" s="5"/>
      <c r="RA28" s="5"/>
      <c r="RJ28" s="2"/>
      <c r="RK28" s="2"/>
      <c r="RM28" s="43">
        <v>16</v>
      </c>
      <c r="SH28" s="5"/>
      <c r="SI28" s="5"/>
      <c r="SR28" s="2"/>
      <c r="SS28" s="2"/>
      <c r="SU28" s="43">
        <v>16</v>
      </c>
      <c r="TP28" s="5"/>
      <c r="TQ28" s="5"/>
      <c r="TZ28" s="2"/>
      <c r="UA28" s="2"/>
      <c r="UC28" s="43">
        <v>16</v>
      </c>
      <c r="UX28" s="5"/>
      <c r="UY28" s="5"/>
      <c r="VH28" s="2"/>
      <c r="VI28" s="2"/>
      <c r="VK28" s="43">
        <v>16</v>
      </c>
      <c r="WF28" s="5"/>
      <c r="WG28" s="5"/>
      <c r="WP28" s="2"/>
      <c r="WQ28" s="2"/>
      <c r="WS28" s="43">
        <v>16</v>
      </c>
    </row>
    <row r="29" spans="1:644" x14ac:dyDescent="0.2">
      <c r="A29" s="5"/>
      <c r="B29" s="31" t="s">
        <v>63</v>
      </c>
      <c r="C29" s="5"/>
      <c r="E29" s="2"/>
      <c r="AR29" s="41"/>
      <c r="AS29" s="41"/>
      <c r="AT29" s="41"/>
      <c r="AU29" s="32"/>
      <c r="AV29" s="32"/>
      <c r="AW29" s="32"/>
      <c r="AX29" s="32"/>
      <c r="AY29" s="44">
        <v>16.2</v>
      </c>
      <c r="BS29" s="41"/>
      <c r="BT29" s="41"/>
      <c r="BU29" s="41"/>
      <c r="BW29" s="32"/>
      <c r="BX29" s="32"/>
      <c r="BZ29" s="44">
        <v>16.2</v>
      </c>
      <c r="CT29" s="41"/>
      <c r="CU29" s="41"/>
      <c r="CV29" s="41"/>
      <c r="CW29" s="32"/>
      <c r="CX29" s="32"/>
      <c r="CY29" s="32"/>
      <c r="CZ29" s="32"/>
      <c r="DA29" s="44">
        <v>16.2</v>
      </c>
      <c r="DX29" s="5"/>
      <c r="DY29" s="5"/>
      <c r="EH29" s="2"/>
      <c r="EI29" s="2"/>
      <c r="EK29" s="44">
        <v>16.2</v>
      </c>
      <c r="FF29" s="5"/>
      <c r="FG29" s="5"/>
      <c r="FP29" s="2"/>
      <c r="FQ29" s="2"/>
      <c r="FS29" s="44">
        <v>16.2</v>
      </c>
      <c r="GN29" s="5"/>
      <c r="GO29" s="5"/>
      <c r="GX29" s="2"/>
      <c r="GY29" s="2"/>
      <c r="HA29" s="44">
        <v>16.2</v>
      </c>
      <c r="HV29" s="5"/>
      <c r="HW29" s="5"/>
      <c r="IF29" s="2"/>
      <c r="IG29" s="2"/>
      <c r="II29" s="44">
        <v>16.2</v>
      </c>
      <c r="JD29" s="5"/>
      <c r="JE29" s="5"/>
      <c r="JN29" s="2"/>
      <c r="JO29" s="2"/>
      <c r="JQ29" s="44">
        <v>16.2</v>
      </c>
      <c r="KL29" s="5"/>
      <c r="KM29" s="5"/>
      <c r="KV29" s="2"/>
      <c r="KW29" s="2"/>
      <c r="KY29" s="44">
        <v>16.2</v>
      </c>
      <c r="LT29" s="5"/>
      <c r="LU29" s="5"/>
      <c r="MD29" s="2"/>
      <c r="ME29" s="2"/>
      <c r="MG29" s="44">
        <v>16.2</v>
      </c>
      <c r="NB29" s="5"/>
      <c r="NC29" s="5"/>
      <c r="NL29" s="2"/>
      <c r="NM29" s="2"/>
      <c r="NO29" s="44">
        <v>16.2</v>
      </c>
      <c r="OJ29" s="5"/>
      <c r="OK29" s="5"/>
      <c r="OT29" s="2"/>
      <c r="OU29" s="2"/>
      <c r="OW29" s="44">
        <v>16.2</v>
      </c>
      <c r="PR29" s="5"/>
      <c r="PS29" s="5"/>
      <c r="QB29" s="2"/>
      <c r="QC29" s="2"/>
      <c r="QE29" s="44">
        <v>16.2</v>
      </c>
      <c r="QZ29" s="5"/>
      <c r="RA29" s="5"/>
      <c r="RJ29" s="2"/>
      <c r="RK29" s="2"/>
      <c r="RM29" s="44">
        <v>16.2</v>
      </c>
      <c r="SH29" s="5"/>
      <c r="SI29" s="5"/>
      <c r="SR29" s="2"/>
      <c r="SS29" s="2"/>
      <c r="SU29" s="44">
        <v>16.2</v>
      </c>
      <c r="TP29" s="5"/>
      <c r="TQ29" s="5"/>
      <c r="TZ29" s="2"/>
      <c r="UA29" s="2"/>
      <c r="UC29" s="44">
        <v>16.2</v>
      </c>
      <c r="UX29" s="5"/>
      <c r="UY29" s="5"/>
      <c r="VH29" s="2"/>
      <c r="VI29" s="2"/>
      <c r="VK29" s="44">
        <v>16.2</v>
      </c>
      <c r="WF29" s="5"/>
      <c r="WG29" s="5"/>
      <c r="WP29" s="2"/>
      <c r="WQ29" s="2"/>
      <c r="WS29" s="44">
        <v>16.2</v>
      </c>
    </row>
    <row r="30" spans="1:644" x14ac:dyDescent="0.2">
      <c r="A30" s="5"/>
      <c r="B30" s="35" t="s">
        <v>76</v>
      </c>
      <c r="C30" s="5"/>
      <c r="E30" s="2"/>
      <c r="AR30" s="41"/>
      <c r="AS30" s="41"/>
      <c r="AT30" s="41"/>
      <c r="AU30" s="32"/>
      <c r="AV30" s="32"/>
      <c r="AW30" s="32"/>
      <c r="AX30" s="32"/>
      <c r="AY30" s="45">
        <v>17.100000000000001</v>
      </c>
      <c r="BS30" s="41"/>
      <c r="BT30" s="41"/>
      <c r="BU30" s="41"/>
      <c r="BW30" s="32"/>
      <c r="BX30" s="32"/>
      <c r="BZ30" s="45">
        <v>17.100000000000001</v>
      </c>
      <c r="CT30" s="41"/>
      <c r="CU30" s="41"/>
      <c r="CV30" s="41"/>
      <c r="CW30" s="32"/>
      <c r="CX30" s="32"/>
      <c r="CY30" s="32"/>
      <c r="CZ30" s="32"/>
      <c r="DA30" s="45">
        <v>17.100000000000001</v>
      </c>
      <c r="DX30" s="5"/>
      <c r="DY30" s="5"/>
      <c r="EH30" s="2"/>
      <c r="EI30" s="2"/>
      <c r="EK30" s="45">
        <v>17.100000000000001</v>
      </c>
      <c r="FF30" s="5"/>
      <c r="FG30" s="5"/>
      <c r="FP30" s="2"/>
      <c r="FQ30" s="2"/>
      <c r="FS30" s="45">
        <v>17.100000000000001</v>
      </c>
      <c r="GN30" s="5"/>
      <c r="GO30" s="5"/>
      <c r="GX30" s="2"/>
      <c r="GY30" s="2"/>
      <c r="HA30" s="45">
        <v>17.100000000000001</v>
      </c>
      <c r="HV30" s="5"/>
      <c r="HW30" s="5"/>
      <c r="IF30" s="2"/>
      <c r="IG30" s="2"/>
      <c r="II30" s="45">
        <v>17.100000000000001</v>
      </c>
      <c r="JD30" s="5"/>
      <c r="JE30" s="5"/>
      <c r="JN30" s="2"/>
      <c r="JO30" s="2"/>
      <c r="JQ30" s="45">
        <v>17.100000000000001</v>
      </c>
      <c r="KL30" s="5"/>
      <c r="KM30" s="5"/>
      <c r="KV30" s="2"/>
      <c r="KW30" s="2"/>
      <c r="KY30" s="45">
        <v>17.100000000000001</v>
      </c>
      <c r="LT30" s="5"/>
      <c r="LU30" s="5"/>
      <c r="MD30" s="2"/>
      <c r="ME30" s="2"/>
      <c r="MG30" s="45">
        <v>17.100000000000001</v>
      </c>
      <c r="NB30" s="5"/>
      <c r="NC30" s="5"/>
      <c r="NL30" s="2"/>
      <c r="NM30" s="2"/>
      <c r="NO30" s="45">
        <v>17.100000000000001</v>
      </c>
      <c r="OJ30" s="5"/>
      <c r="OK30" s="5"/>
      <c r="OT30" s="2"/>
      <c r="OU30" s="2"/>
      <c r="OW30" s="45">
        <v>17.100000000000001</v>
      </c>
      <c r="PR30" s="5"/>
      <c r="PS30" s="5"/>
      <c r="QB30" s="2"/>
      <c r="QC30" s="2"/>
      <c r="QE30" s="45">
        <v>17.100000000000001</v>
      </c>
      <c r="QZ30" s="5"/>
      <c r="RA30" s="5"/>
      <c r="RJ30" s="2"/>
      <c r="RK30" s="2"/>
      <c r="RM30" s="45">
        <v>17.100000000000001</v>
      </c>
      <c r="SH30" s="5"/>
      <c r="SI30" s="5"/>
      <c r="SR30" s="2"/>
      <c r="SS30" s="2"/>
      <c r="SU30" s="45">
        <v>17.100000000000001</v>
      </c>
      <c r="TP30" s="5"/>
      <c r="TQ30" s="5"/>
      <c r="TZ30" s="2"/>
      <c r="UA30" s="2"/>
      <c r="UC30" s="45">
        <v>17.100000000000001</v>
      </c>
      <c r="UX30" s="5"/>
      <c r="UY30" s="5"/>
      <c r="VH30" s="2"/>
      <c r="VI30" s="2"/>
      <c r="VK30" s="45">
        <v>17.100000000000001</v>
      </c>
      <c r="WF30" s="5"/>
      <c r="WG30" s="5"/>
      <c r="WP30" s="2"/>
      <c r="WQ30" s="2"/>
      <c r="WS30" s="45">
        <v>17.100000000000001</v>
      </c>
    </row>
    <row r="31" spans="1:644" x14ac:dyDescent="0.2">
      <c r="A31" s="5"/>
      <c r="B31" s="34" t="s">
        <v>48</v>
      </c>
      <c r="C31" s="5"/>
      <c r="P31" s="2"/>
      <c r="AR31" s="41"/>
      <c r="AS31" s="41"/>
      <c r="AT31" s="41"/>
      <c r="AU31" s="32"/>
      <c r="AV31" s="32"/>
      <c r="AW31" s="32"/>
      <c r="AX31" s="32"/>
      <c r="AY31" s="46">
        <v>54</v>
      </c>
      <c r="BS31" s="41"/>
      <c r="BT31" s="41"/>
      <c r="BU31" s="41"/>
      <c r="BW31" s="32"/>
      <c r="BX31" s="32"/>
      <c r="BZ31" s="46">
        <v>54</v>
      </c>
      <c r="CT31" s="41"/>
      <c r="CU31" s="41"/>
      <c r="CV31" s="41"/>
      <c r="CW31" s="32"/>
      <c r="CX31" s="32"/>
      <c r="CY31" s="32"/>
      <c r="CZ31" s="32"/>
      <c r="DA31" s="46">
        <v>54</v>
      </c>
      <c r="DX31" s="5"/>
      <c r="DY31" s="5"/>
      <c r="EH31" s="2"/>
      <c r="EI31" s="2"/>
      <c r="EK31" s="46">
        <v>54</v>
      </c>
      <c r="FF31" s="5"/>
      <c r="FG31" s="5"/>
      <c r="FP31" s="2"/>
      <c r="FQ31" s="2"/>
      <c r="FS31" s="46">
        <v>54</v>
      </c>
      <c r="GN31" s="5"/>
      <c r="GO31" s="5"/>
      <c r="GX31" s="2"/>
      <c r="GY31" s="2"/>
      <c r="HA31" s="46">
        <v>54</v>
      </c>
      <c r="HV31" s="5"/>
      <c r="HW31" s="5"/>
      <c r="IF31" s="2"/>
      <c r="IG31" s="2"/>
      <c r="II31" s="46">
        <v>54</v>
      </c>
      <c r="JD31" s="5"/>
      <c r="JE31" s="5"/>
      <c r="JN31" s="2"/>
      <c r="JO31" s="2"/>
      <c r="JQ31" s="46">
        <v>54</v>
      </c>
      <c r="KL31" s="5"/>
      <c r="KM31" s="5"/>
      <c r="KV31" s="2"/>
      <c r="KW31" s="2"/>
      <c r="KY31" s="46">
        <v>54</v>
      </c>
      <c r="LT31" s="5"/>
      <c r="LU31" s="5"/>
      <c r="MD31" s="2"/>
      <c r="ME31" s="2"/>
      <c r="MG31" s="46">
        <v>54</v>
      </c>
      <c r="NB31" s="5"/>
      <c r="NC31" s="5"/>
      <c r="NL31" s="2"/>
      <c r="NM31" s="2"/>
      <c r="NO31" s="46">
        <v>54</v>
      </c>
      <c r="OJ31" s="5"/>
      <c r="OK31" s="5"/>
      <c r="OT31" s="2"/>
      <c r="OU31" s="2"/>
      <c r="OW31" s="46">
        <v>54</v>
      </c>
      <c r="PR31" s="5"/>
      <c r="PS31" s="5"/>
      <c r="QB31" s="2"/>
      <c r="QC31" s="2"/>
      <c r="QE31" s="46">
        <v>54</v>
      </c>
      <c r="QZ31" s="5"/>
      <c r="RA31" s="5"/>
      <c r="RJ31" s="2"/>
      <c r="RK31" s="2"/>
      <c r="RM31" s="46">
        <v>54</v>
      </c>
      <c r="SH31" s="5"/>
      <c r="SI31" s="5"/>
      <c r="SR31" s="2"/>
      <c r="SS31" s="2"/>
      <c r="SU31" s="46">
        <v>54</v>
      </c>
      <c r="TP31" s="5"/>
      <c r="TQ31" s="5"/>
      <c r="TZ31" s="2"/>
      <c r="UA31" s="2"/>
      <c r="UC31" s="46">
        <v>54</v>
      </c>
      <c r="UX31" s="5"/>
      <c r="UY31" s="5"/>
      <c r="VH31" s="2"/>
      <c r="VI31" s="2"/>
      <c r="VK31" s="46">
        <v>54</v>
      </c>
      <c r="WF31" s="5"/>
      <c r="WG31" s="5"/>
      <c r="WP31" s="2"/>
      <c r="WQ31" s="2"/>
      <c r="WS31" s="46">
        <v>54</v>
      </c>
    </row>
    <row r="32" spans="1:644" x14ac:dyDescent="0.2">
      <c r="A32" s="5"/>
      <c r="B32" s="24" t="s">
        <v>49</v>
      </c>
      <c r="C32" s="5"/>
      <c r="P32" s="2"/>
      <c r="AR32" s="41"/>
      <c r="AS32" s="41"/>
      <c r="AT32" s="41"/>
      <c r="AU32" s="32"/>
      <c r="AV32" s="32"/>
      <c r="AW32" s="32"/>
      <c r="AX32" s="32"/>
      <c r="AY32" s="47">
        <v>56</v>
      </c>
      <c r="BS32" s="41"/>
      <c r="BT32" s="41"/>
      <c r="BU32" s="41"/>
      <c r="BW32" s="32"/>
      <c r="BX32" s="32"/>
      <c r="BZ32" s="47">
        <v>56</v>
      </c>
      <c r="CT32" s="41"/>
      <c r="CU32" s="41"/>
      <c r="CV32" s="41"/>
      <c r="CW32" s="32"/>
      <c r="CX32" s="32"/>
      <c r="CY32" s="32"/>
      <c r="CZ32" s="32"/>
      <c r="DA32" s="47">
        <v>56</v>
      </c>
      <c r="DX32" s="5"/>
      <c r="DY32" s="5"/>
      <c r="EH32" s="2"/>
      <c r="EI32" s="2"/>
      <c r="EK32" s="47">
        <v>56</v>
      </c>
      <c r="FF32" s="5"/>
      <c r="FG32" s="5"/>
      <c r="FP32" s="2"/>
      <c r="FQ32" s="2"/>
      <c r="FS32" s="47">
        <v>56</v>
      </c>
      <c r="GN32" s="5"/>
      <c r="GO32" s="5"/>
      <c r="GX32" s="2"/>
      <c r="GY32" s="2"/>
      <c r="HA32" s="47">
        <v>56</v>
      </c>
      <c r="HV32" s="5"/>
      <c r="HW32" s="5"/>
      <c r="IF32" s="2"/>
      <c r="IG32" s="2"/>
      <c r="II32" s="47">
        <v>56</v>
      </c>
      <c r="JD32" s="5"/>
      <c r="JE32" s="5"/>
      <c r="JN32" s="2"/>
      <c r="JO32" s="2"/>
      <c r="JQ32" s="47">
        <v>56</v>
      </c>
      <c r="KL32" s="5"/>
      <c r="KM32" s="5"/>
      <c r="KV32" s="2"/>
      <c r="KW32" s="2"/>
      <c r="KY32" s="47">
        <v>56</v>
      </c>
      <c r="LT32" s="5"/>
      <c r="LU32" s="5"/>
      <c r="MD32" s="2"/>
      <c r="ME32" s="2"/>
      <c r="MG32" s="47">
        <v>56</v>
      </c>
      <c r="NB32" s="5"/>
      <c r="NC32" s="5"/>
      <c r="NL32" s="2"/>
      <c r="NM32" s="2"/>
      <c r="NO32" s="47">
        <v>56</v>
      </c>
      <c r="OJ32" s="5"/>
      <c r="OK32" s="5"/>
      <c r="OT32" s="2"/>
      <c r="OU32" s="2"/>
      <c r="OW32" s="47">
        <v>56</v>
      </c>
      <c r="PR32" s="5"/>
      <c r="PS32" s="5"/>
      <c r="QB32" s="2"/>
      <c r="QC32" s="2"/>
      <c r="QE32" s="47">
        <v>56</v>
      </c>
      <c r="QZ32" s="5"/>
      <c r="RA32" s="5"/>
      <c r="RJ32" s="2"/>
      <c r="RK32" s="2"/>
      <c r="RM32" s="47">
        <v>56</v>
      </c>
      <c r="SH32" s="5"/>
      <c r="SI32" s="5"/>
      <c r="SR32" s="2"/>
      <c r="SS32" s="2"/>
      <c r="SU32" s="47">
        <v>56</v>
      </c>
      <c r="TP32" s="5"/>
      <c r="TQ32" s="5"/>
      <c r="TZ32" s="2"/>
      <c r="UA32" s="2"/>
      <c r="UC32" s="47">
        <v>56</v>
      </c>
      <c r="UX32" s="5"/>
      <c r="UY32" s="5"/>
      <c r="VH32" s="2"/>
      <c r="VI32" s="2"/>
      <c r="VK32" s="47">
        <v>56</v>
      </c>
      <c r="WF32" s="5"/>
      <c r="WG32" s="5"/>
      <c r="WP32" s="2"/>
      <c r="WQ32" s="2"/>
      <c r="WS32" s="47">
        <v>56</v>
      </c>
    </row>
    <row r="33" spans="1:617" x14ac:dyDescent="0.2">
      <c r="A33" s="5"/>
      <c r="B33" s="33" t="s">
        <v>62</v>
      </c>
      <c r="C33" s="5"/>
      <c r="AR33" s="41"/>
      <c r="AS33" s="41"/>
      <c r="AT33" s="41"/>
      <c r="AU33" s="32"/>
      <c r="AV33" s="32"/>
      <c r="AW33" s="32"/>
      <c r="AX33" s="32"/>
      <c r="AY33" s="48">
        <v>57</v>
      </c>
      <c r="BS33" s="41"/>
      <c r="BT33" s="41"/>
      <c r="BU33" s="41"/>
      <c r="BW33" s="32"/>
      <c r="BX33" s="32"/>
      <c r="BZ33" s="48">
        <v>57</v>
      </c>
      <c r="CT33" s="41"/>
      <c r="CU33" s="41"/>
      <c r="CV33" s="41"/>
      <c r="CW33" s="32"/>
      <c r="CX33" s="32"/>
      <c r="CY33" s="32"/>
      <c r="CZ33" s="32"/>
      <c r="DA33" s="48">
        <v>57</v>
      </c>
      <c r="DX33" s="5"/>
      <c r="DY33" s="5"/>
      <c r="EH33" s="2"/>
      <c r="EI33" s="2"/>
      <c r="EJ33" s="37"/>
      <c r="EK33" s="48">
        <v>57</v>
      </c>
      <c r="FF33" s="5"/>
      <c r="FG33" s="5"/>
      <c r="FP33" s="2"/>
      <c r="FQ33" s="2"/>
      <c r="FR33" s="37"/>
      <c r="FS33" s="48">
        <v>57</v>
      </c>
      <c r="GN33" s="5"/>
      <c r="GO33" s="5"/>
      <c r="GX33" s="2"/>
      <c r="GY33" s="2"/>
      <c r="GZ33" s="37"/>
      <c r="HA33" s="48">
        <v>57</v>
      </c>
      <c r="HV33" s="5"/>
      <c r="HW33" s="5"/>
      <c r="IF33" s="2"/>
      <c r="IG33" s="2"/>
      <c r="IH33" s="37"/>
      <c r="II33" s="48">
        <v>57</v>
      </c>
      <c r="JD33" s="5"/>
      <c r="JE33" s="5"/>
      <c r="JN33" s="2"/>
      <c r="JO33" s="2"/>
      <c r="JP33" s="37"/>
      <c r="JQ33" s="48">
        <v>57</v>
      </c>
      <c r="KL33" s="5"/>
      <c r="KM33" s="5"/>
      <c r="KV33" s="2"/>
      <c r="KW33" s="2"/>
      <c r="KX33" s="37"/>
      <c r="KY33" s="48">
        <v>57</v>
      </c>
      <c r="LT33" s="5"/>
      <c r="LU33" s="5"/>
      <c r="MD33" s="2"/>
      <c r="ME33" s="2"/>
      <c r="MF33" s="37"/>
      <c r="MG33" s="48">
        <v>57</v>
      </c>
      <c r="NB33" s="5"/>
      <c r="NC33" s="5"/>
      <c r="NL33" s="2"/>
      <c r="NM33" s="2"/>
      <c r="NN33" s="37"/>
      <c r="NO33" s="48">
        <v>57</v>
      </c>
      <c r="OJ33" s="5"/>
      <c r="OK33" s="5"/>
      <c r="OT33" s="2"/>
      <c r="OU33" s="2"/>
      <c r="OV33" s="37"/>
      <c r="OW33" s="48">
        <v>57</v>
      </c>
      <c r="PR33" s="5"/>
      <c r="PS33" s="5"/>
      <c r="QB33" s="2"/>
      <c r="QC33" s="2"/>
      <c r="QD33" s="37"/>
      <c r="QE33" s="48">
        <v>57</v>
      </c>
      <c r="QZ33" s="5"/>
      <c r="RA33" s="5"/>
      <c r="RJ33" s="2"/>
      <c r="RK33" s="2"/>
      <c r="RL33" s="37"/>
      <c r="RM33" s="48">
        <v>57</v>
      </c>
      <c r="SH33" s="5"/>
      <c r="SI33" s="5"/>
      <c r="SR33" s="2"/>
      <c r="SS33" s="2"/>
      <c r="ST33" s="37"/>
      <c r="SU33" s="48">
        <v>57</v>
      </c>
      <c r="TP33" s="5"/>
      <c r="TQ33" s="5"/>
      <c r="TZ33" s="2"/>
      <c r="UA33" s="2"/>
      <c r="UB33" s="37"/>
      <c r="UC33" s="48">
        <v>57</v>
      </c>
      <c r="UX33" s="5"/>
      <c r="UY33" s="5"/>
      <c r="VH33" s="2"/>
      <c r="VI33" s="2"/>
      <c r="VJ33" s="37"/>
      <c r="VK33" s="48">
        <v>57</v>
      </c>
      <c r="WF33" s="5"/>
      <c r="WG33" s="5"/>
      <c r="WP33" s="2"/>
      <c r="WQ33" s="2"/>
      <c r="WR33" s="37"/>
      <c r="WS33" s="48">
        <v>57</v>
      </c>
    </row>
    <row r="34" spans="1:617" x14ac:dyDescent="0.2">
      <c r="A34" s="5"/>
      <c r="B34" s="25" t="s">
        <v>32</v>
      </c>
      <c r="C34" s="5"/>
      <c r="P34" s="2"/>
      <c r="AR34" s="41"/>
      <c r="AS34" s="41"/>
      <c r="AT34" s="41"/>
      <c r="AU34" s="32"/>
      <c r="AV34" s="41"/>
      <c r="AW34" s="41"/>
      <c r="AX34" s="32"/>
      <c r="AY34" s="49">
        <v>59</v>
      </c>
      <c r="BS34" s="41"/>
      <c r="BT34" s="41"/>
      <c r="BU34" s="41"/>
      <c r="BW34" s="41"/>
      <c r="BX34" s="32"/>
      <c r="BZ34" s="49">
        <v>59</v>
      </c>
      <c r="CT34" s="41"/>
      <c r="CU34" s="41"/>
      <c r="CV34" s="41"/>
      <c r="CW34" s="32"/>
      <c r="CX34" s="41"/>
      <c r="CY34" s="32"/>
      <c r="CZ34" s="32"/>
      <c r="DA34" s="49">
        <v>59</v>
      </c>
      <c r="DX34" s="5"/>
      <c r="DY34" s="5"/>
      <c r="EH34" s="41"/>
      <c r="EI34" s="2"/>
      <c r="EK34" s="49">
        <v>59</v>
      </c>
      <c r="FF34" s="5"/>
      <c r="FG34" s="5"/>
      <c r="FP34" s="41"/>
      <c r="FQ34" s="2"/>
      <c r="FS34" s="49">
        <v>59</v>
      </c>
      <c r="GN34" s="5"/>
      <c r="GO34" s="5"/>
      <c r="GX34" s="2"/>
      <c r="GY34" s="2"/>
      <c r="HA34" s="49">
        <v>59</v>
      </c>
      <c r="HV34" s="5"/>
      <c r="HW34" s="5"/>
      <c r="IF34" s="41"/>
      <c r="IG34" s="2"/>
      <c r="II34" s="49">
        <v>59</v>
      </c>
      <c r="JD34" s="5"/>
      <c r="JE34" s="5"/>
      <c r="JN34" s="2"/>
      <c r="JO34" s="2"/>
      <c r="JQ34" s="49">
        <v>59</v>
      </c>
      <c r="KL34" s="5"/>
      <c r="KM34" s="5"/>
      <c r="KV34" s="2"/>
      <c r="KW34" s="2"/>
      <c r="KY34" s="49">
        <v>59</v>
      </c>
      <c r="LT34" s="5"/>
      <c r="LU34" s="5"/>
      <c r="MD34" s="2"/>
      <c r="ME34" s="2"/>
      <c r="MG34" s="49">
        <v>59</v>
      </c>
      <c r="NB34" s="5"/>
      <c r="NC34" s="5"/>
      <c r="NL34" s="2"/>
      <c r="NM34" s="2"/>
      <c r="NO34" s="49">
        <v>59</v>
      </c>
      <c r="OJ34" s="5"/>
      <c r="OK34" s="5"/>
      <c r="OT34" s="2"/>
      <c r="OU34" s="2"/>
      <c r="OW34" s="49">
        <v>59</v>
      </c>
      <c r="PR34" s="5"/>
      <c r="PS34" s="5"/>
      <c r="QB34" s="2"/>
      <c r="QC34" s="2"/>
      <c r="QE34" s="49">
        <v>59</v>
      </c>
      <c r="QZ34" s="5"/>
      <c r="RA34" s="5"/>
      <c r="RJ34" s="2"/>
      <c r="RK34" s="2"/>
      <c r="RM34" s="49">
        <v>59</v>
      </c>
      <c r="SH34" s="5"/>
      <c r="SI34" s="5"/>
      <c r="SR34" s="2"/>
      <c r="SS34" s="2"/>
      <c r="SU34" s="49">
        <v>59</v>
      </c>
      <c r="TP34" s="5"/>
      <c r="TQ34" s="5"/>
      <c r="TZ34" s="2"/>
      <c r="UA34" s="2"/>
      <c r="UC34" s="49">
        <v>59</v>
      </c>
      <c r="UX34" s="5"/>
      <c r="UY34" s="5"/>
      <c r="VH34" s="2"/>
      <c r="VI34" s="2"/>
      <c r="VK34" s="49">
        <v>59</v>
      </c>
      <c r="WF34" s="5"/>
      <c r="WG34" s="5"/>
      <c r="WP34" s="2"/>
      <c r="WQ34" s="2"/>
      <c r="WS34" s="49">
        <v>59</v>
      </c>
    </row>
    <row r="35" spans="1:617" x14ac:dyDescent="0.2">
      <c r="B35" s="29" t="s">
        <v>54</v>
      </c>
      <c r="C35" s="2"/>
      <c r="AU35" s="32"/>
      <c r="AX35" s="32"/>
      <c r="CW35" s="32"/>
      <c r="CZ35" s="32"/>
    </row>
    <row r="36" spans="1:617" x14ac:dyDescent="0.2">
      <c r="A36" s="5"/>
      <c r="B36" s="5"/>
      <c r="C36" s="20"/>
      <c r="AQ36" s="32"/>
      <c r="AR36" s="32"/>
      <c r="AS36" s="32"/>
      <c r="AT36" s="32"/>
      <c r="AU36" s="32"/>
      <c r="AX36" s="32"/>
      <c r="CS36" s="32"/>
      <c r="CT36" s="32"/>
      <c r="CU36" s="32"/>
      <c r="CV36" s="32"/>
      <c r="CW36" s="32"/>
      <c r="CZ36" s="32"/>
    </row>
    <row r="37" spans="1:617" ht="17" x14ac:dyDescent="0.2">
      <c r="A37" s="5"/>
      <c r="B37" s="5"/>
      <c r="C37" s="20"/>
      <c r="V37" s="10"/>
      <c r="W37" s="10"/>
      <c r="AQ37" s="32"/>
      <c r="AR37" s="32"/>
      <c r="AS37" s="32"/>
      <c r="AT37" s="32"/>
      <c r="AU37" s="32"/>
      <c r="AX37" s="32"/>
      <c r="CS37" s="32"/>
      <c r="CT37" s="32"/>
      <c r="CU37" s="32"/>
      <c r="CV37" s="32"/>
      <c r="CW37" s="32"/>
      <c r="CZ37" s="32"/>
    </row>
    <row r="38" spans="1:617" ht="17" x14ac:dyDescent="0.2">
      <c r="A38" s="5"/>
      <c r="B38" s="5"/>
      <c r="C38" s="20"/>
      <c r="V38" s="10"/>
      <c r="AQ38" s="32"/>
      <c r="AR38" s="32"/>
      <c r="AS38" s="32"/>
      <c r="AT38" s="32"/>
      <c r="AU38" s="32"/>
      <c r="AX38" s="32"/>
      <c r="CS38" s="32"/>
      <c r="CT38" s="32"/>
      <c r="CU38" s="32"/>
      <c r="CV38" s="32"/>
      <c r="CW38" s="32"/>
      <c r="CZ38" s="32"/>
    </row>
    <row r="39" spans="1:617" ht="17" x14ac:dyDescent="0.2">
      <c r="V39" s="10"/>
      <c r="W39" s="10"/>
      <c r="AQ39" s="32"/>
      <c r="AR39" s="32"/>
      <c r="AS39" s="32"/>
      <c r="AT39" s="32"/>
      <c r="AU39" s="32"/>
      <c r="AX39" s="32"/>
      <c r="CS39" s="32"/>
      <c r="CT39" s="32"/>
      <c r="CU39" s="32"/>
      <c r="CV39" s="32"/>
      <c r="CW39" s="32"/>
      <c r="CZ39" s="32"/>
    </row>
    <row r="40" spans="1:617" ht="17" x14ac:dyDescent="0.2">
      <c r="V40" s="10"/>
      <c r="W40" s="10"/>
      <c r="AQ40" s="32"/>
      <c r="AR40" s="32"/>
      <c r="AS40" s="32"/>
      <c r="AT40" s="32"/>
      <c r="AU40" s="32"/>
      <c r="AX40" s="32"/>
      <c r="CS40" s="32"/>
      <c r="CT40" s="32"/>
      <c r="CU40" s="32"/>
      <c r="CV40" s="32"/>
      <c r="CW40" s="32"/>
      <c r="CZ40" s="32"/>
    </row>
    <row r="41" spans="1:617" ht="17" x14ac:dyDescent="0.2">
      <c r="V41" s="10"/>
      <c r="W41" s="10"/>
      <c r="AQ41" s="32"/>
      <c r="AR41" s="32"/>
      <c r="AS41" s="32"/>
      <c r="AT41" s="32"/>
      <c r="AU41" s="32"/>
      <c r="AX41" s="32"/>
      <c r="CS41" s="32"/>
      <c r="CT41" s="32"/>
      <c r="CU41" s="32"/>
      <c r="CV41" s="32"/>
      <c r="CW41" s="32"/>
      <c r="CZ41" s="32"/>
    </row>
    <row r="42" spans="1:617" ht="17" x14ac:dyDescent="0.2">
      <c r="V42" s="10"/>
      <c r="W42" s="10"/>
      <c r="X42" s="10"/>
    </row>
    <row r="43" spans="1:617" ht="17" x14ac:dyDescent="0.2">
      <c r="V43" s="10"/>
      <c r="W43" s="10"/>
      <c r="X43" s="10"/>
    </row>
    <row r="44" spans="1:617" ht="17" x14ac:dyDescent="0.2">
      <c r="V44" s="10"/>
      <c r="W44" s="10"/>
      <c r="X44" s="10"/>
    </row>
    <row r="45" spans="1:617" ht="17" x14ac:dyDescent="0.2">
      <c r="V45" s="10"/>
      <c r="W45" s="10"/>
      <c r="X45" s="10"/>
    </row>
    <row r="46" spans="1:617" ht="17" x14ac:dyDescent="0.2">
      <c r="V46" s="10"/>
      <c r="W46" s="10"/>
      <c r="X46" s="10"/>
    </row>
    <row r="47" spans="1:617" ht="17" x14ac:dyDescent="0.2">
      <c r="V47" s="10"/>
      <c r="W47" s="10"/>
      <c r="X47" s="10"/>
    </row>
    <row r="48" spans="1:617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  <row r="52" spans="22:24" ht="17" x14ac:dyDescent="0.2">
      <c r="V52" s="10"/>
      <c r="W52" s="10"/>
      <c r="X52" s="10"/>
    </row>
    <row r="53" spans="22:24" ht="17" x14ac:dyDescent="0.2">
      <c r="V53" s="10"/>
      <c r="W53" s="10"/>
      <c r="X53" s="10"/>
    </row>
    <row r="54" spans="22:24" ht="17" x14ac:dyDescent="0.2">
      <c r="V54" s="10"/>
      <c r="W54" s="10"/>
      <c r="X54" s="10"/>
    </row>
    <row r="55" spans="22:24" ht="17" x14ac:dyDescent="0.2">
      <c r="V55" s="10"/>
      <c r="W55" s="10"/>
      <c r="X55" s="10"/>
    </row>
    <row r="56" spans="22:24" ht="17" x14ac:dyDescent="0.2">
      <c r="V56" s="10"/>
      <c r="W56" s="10"/>
      <c r="X56" s="10"/>
    </row>
  </sheetData>
  <sheetProtection sheet="1" formatCells="0" formatColumns="0" formatRows="0"/>
  <autoFilter ref="A1:XT1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4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8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filterColumn colId="635" showButton="0"/>
    <filterColumn colId="636" showButton="0"/>
    <filterColumn colId="637" showButton="0"/>
    <filterColumn colId="638" showButton="0"/>
    <filterColumn colId="639" showButton="0"/>
    <filterColumn colId="640" showButton="0"/>
    <filterColumn colId="641" showButton="0"/>
    <filterColumn colId="642" showButton="0"/>
    <sortState xmlns:xlrd2="http://schemas.microsoft.com/office/spreadsheetml/2017/richdata2" ref="A6:XT24">
      <sortCondition descending="1" ref="F1:F25"/>
    </sortState>
  </autoFilter>
  <sortState xmlns:xlrd2="http://schemas.microsoft.com/office/spreadsheetml/2017/richdata2" ref="A1:Q3">
    <sortCondition ref="A1"/>
  </sortState>
  <mergeCells count="116">
    <mergeCell ref="VL1:WS1"/>
    <mergeCell ref="VL2:VP2"/>
    <mergeCell ref="VQ2:VU2"/>
    <mergeCell ref="VV2:VZ2"/>
    <mergeCell ref="WA2:WE2"/>
    <mergeCell ref="QU2:QY2"/>
    <mergeCell ref="RN2:RR2"/>
    <mergeCell ref="RS2:RW2"/>
    <mergeCell ref="RX2:SB2"/>
    <mergeCell ref="SC2:SG2"/>
    <mergeCell ref="SV1:UC1"/>
    <mergeCell ref="TK2:TO2"/>
    <mergeCell ref="SV2:SZ2"/>
    <mergeCell ref="TA2:TE2"/>
    <mergeCell ref="TF2:TJ2"/>
    <mergeCell ref="UD1:VK1"/>
    <mergeCell ref="UD2:UH2"/>
    <mergeCell ref="UI2:UM2"/>
    <mergeCell ref="UN2:UR2"/>
    <mergeCell ref="US2:UW2"/>
    <mergeCell ref="WT1:XT1"/>
    <mergeCell ref="RN1:SU1"/>
    <mergeCell ref="WY2:XC2"/>
    <mergeCell ref="WT2:WX2"/>
    <mergeCell ref="XD2:XH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IJ1:JQ1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HB1:II1"/>
    <mergeCell ref="FT2:FX2"/>
    <mergeCell ref="FY2:GC2"/>
    <mergeCell ref="GD2:GH2"/>
    <mergeCell ref="GI2:GM2"/>
    <mergeCell ref="HG2:HK2"/>
    <mergeCell ref="HL2:HP2"/>
    <mergeCell ref="HQ2:HU2"/>
    <mergeCell ref="FT1:HA1"/>
    <mergeCell ref="HB2:HF2"/>
    <mergeCell ref="EL1:FS1"/>
    <mergeCell ref="EL2:EP2"/>
    <mergeCell ref="EQ2:EU2"/>
    <mergeCell ref="EV2:EZ2"/>
    <mergeCell ref="FA2:FE2"/>
    <mergeCell ref="DI2:DM2"/>
    <mergeCell ref="DD1:EK1"/>
    <mergeCell ref="BJ2:BN2"/>
    <mergeCell ref="DD2:DH2"/>
    <mergeCell ref="DB1:DC1"/>
    <mergeCell ref="DN2:DR2"/>
    <mergeCell ref="DS2:DW2"/>
    <mergeCell ref="CA1:DA1"/>
    <mergeCell ref="CA2:CE2"/>
    <mergeCell ref="M1:M3"/>
    <mergeCell ref="I1:I3"/>
    <mergeCell ref="N1:N3"/>
    <mergeCell ref="O1:O3"/>
    <mergeCell ref="BE2:BI2"/>
    <mergeCell ref="CF2:CJ2"/>
    <mergeCell ref="CK2:CO2"/>
    <mergeCell ref="AZ1:BZ1"/>
    <mergeCell ref="AZ2:BD2"/>
    <mergeCell ref="A1:A3"/>
    <mergeCell ref="B1:B3"/>
    <mergeCell ref="C1:C3"/>
    <mergeCell ref="E1:E3"/>
    <mergeCell ref="F1:F3"/>
    <mergeCell ref="D1:D3"/>
    <mergeCell ref="Q1:Q3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G1:G3"/>
    <mergeCell ref="H1:H3"/>
    <mergeCell ref="J1:J3"/>
    <mergeCell ref="L1:L3"/>
    <mergeCell ref="P1:P3"/>
    <mergeCell ref="K1:K3"/>
  </mergeCells>
  <conditionalFormatting sqref="H1:H1048576">
    <cfRule type="containsText" dxfId="787" priority="259" operator="containsText" text="No DD">
      <formula>NOT(ISERROR(SEARCH("No DD",H1)))</formula>
    </cfRule>
    <cfRule type="containsText" dxfId="786" priority="260" operator="containsText" text="Merit">
      <formula>NOT(ISERROR(SEARCH("Merit",H1)))</formula>
    </cfRule>
    <cfRule type="containsText" dxfId="785" priority="261" operator="containsText" text="Excellence">
      <formula>NOT(ISERROR(SEARCH("Excellence",H1)))</formula>
    </cfRule>
    <cfRule type="containsText" dxfId="784" priority="262" operator="containsText" text="Worlds Team">
      <formula>NOT(ISERROR(SEARCH("Worlds Team",H1)))</formula>
    </cfRule>
    <cfRule type="containsText" dxfId="783" priority="263" operator="containsText" text="National Team">
      <formula>NOT(ISERROR(SEARCH("National Team",H1)))</formula>
    </cfRule>
  </conditionalFormatting>
  <conditionalFormatting sqref="Y4:AY24">
    <cfRule type="expression" dxfId="782" priority="51305" stopIfTrue="1">
      <formula>IF($AN4&lt;&gt;"",1,0)</formula>
    </cfRule>
  </conditionalFormatting>
  <conditionalFormatting sqref="AZ4:BZ24">
    <cfRule type="expression" dxfId="781" priority="240" stopIfTrue="1">
      <formula>IF($BO4&lt;&gt;"",1,0)</formula>
    </cfRule>
  </conditionalFormatting>
  <conditionalFormatting sqref="CA4:DA24">
    <cfRule type="expression" dxfId="780" priority="236" stopIfTrue="1">
      <formula>IF($CP4&lt;&gt;"",1,0)</formula>
    </cfRule>
  </conditionalFormatting>
  <conditionalFormatting sqref="BW35:BW1048576 BP1:BP1048576 BS1:BS1048576 BW1:BW33">
    <cfRule type="cellIs" dxfId="779" priority="52662" operator="between">
      <formula>$BZ$30</formula>
      <formula>1000</formula>
    </cfRule>
    <cfRule type="cellIs" dxfId="778" priority="52663" operator="between">
      <formula>$BZ$29</formula>
      <formula>$BZ$30</formula>
    </cfRule>
    <cfRule type="cellIs" dxfId="777" priority="52664" operator="between">
      <formula>$BZ$28</formula>
      <formula>$BZ$29</formula>
    </cfRule>
    <cfRule type="cellIs" dxfId="776" priority="52665" operator="between">
      <formula>$BZ$27</formula>
      <formula>$BZ$28</formula>
    </cfRule>
  </conditionalFormatting>
  <conditionalFormatting sqref="CX35:CX1048576 CQ1:CQ1048576 CT1:CT1048576 CX1:CX33">
    <cfRule type="cellIs" dxfId="775" priority="51539" operator="between">
      <formula>$DA$30</formula>
      <formula>1000</formula>
    </cfRule>
    <cfRule type="cellIs" dxfId="774" priority="51540" operator="between">
      <formula>$DA$29</formula>
      <formula>$DA$30</formula>
    </cfRule>
    <cfRule type="cellIs" dxfId="773" priority="51541" operator="between">
      <formula>$DA$28</formula>
      <formula>$DA$29</formula>
    </cfRule>
    <cfRule type="cellIs" dxfId="772" priority="51542" operator="between">
      <formula>$DA$27</formula>
      <formula>$DA$28</formula>
    </cfRule>
  </conditionalFormatting>
  <conditionalFormatting sqref="EH35:EH1048576 DX1:DX1048576 EA1:EA1048576 EE1:EE1048576 EH1:EH33">
    <cfRule type="cellIs" dxfId="771" priority="52690" operator="between">
      <formula>$EK$30</formula>
      <formula>1000</formula>
    </cfRule>
    <cfRule type="cellIs" dxfId="770" priority="52691" operator="between">
      <formula>$EK$29</formula>
      <formula>$EK$30</formula>
    </cfRule>
    <cfRule type="cellIs" dxfId="769" priority="52692" operator="between">
      <formula>$EK$28</formula>
      <formula>$EK$29</formula>
    </cfRule>
    <cfRule type="cellIs" dxfId="768" priority="52693" operator="between">
      <formula>$EK$27</formula>
      <formula>$EK$28</formula>
    </cfRule>
  </conditionalFormatting>
  <conditionalFormatting sqref="FP35:FP1048576 FF1:FF1048576 FI1:FI1048576 FM1:FM1048576 FP1:FP33">
    <cfRule type="cellIs" dxfId="767" priority="220" operator="between">
      <formula>$FS$30</formula>
      <formula>1000</formula>
    </cfRule>
    <cfRule type="cellIs" dxfId="766" priority="221" operator="between">
      <formula>$FS$29</formula>
      <formula>$FS$30</formula>
    </cfRule>
    <cfRule type="cellIs" dxfId="765" priority="222" operator="between">
      <formula>$FS$28</formula>
      <formula>$FS$29</formula>
    </cfRule>
    <cfRule type="cellIs" dxfId="764" priority="223" operator="between">
      <formula>$FS$27</formula>
      <formula>$FS$28</formula>
    </cfRule>
  </conditionalFormatting>
  <conditionalFormatting sqref="IF35:IF1048576 HV1:HV1048576 HY1:HY1048576 IC1:IC1048576 IF1:IF33">
    <cfRule type="cellIs" dxfId="763" priority="188" operator="between">
      <formula>$II$30</formula>
      <formula>1000</formula>
    </cfRule>
    <cfRule type="cellIs" dxfId="762" priority="189" operator="between">
      <formula>$II$29</formula>
      <formula>$II$30</formula>
    </cfRule>
    <cfRule type="cellIs" dxfId="761" priority="190" operator="between">
      <formula>$II$28</formula>
      <formula>$II$29</formula>
    </cfRule>
    <cfRule type="cellIs" dxfId="760" priority="191" operator="between">
      <formula>$II$27</formula>
      <formula>$II$28</formula>
    </cfRule>
  </conditionalFormatting>
  <conditionalFormatting sqref="AW34 AO1:AO1048576 AR1:AR1048576 AV1:AV1048576">
    <cfRule type="cellIs" dxfId="759" priority="52" operator="between">
      <formula>$AY$30</formula>
      <formula>1000</formula>
    </cfRule>
    <cfRule type="cellIs" dxfId="758" priority="53" operator="between">
      <formula>$AY$29</formula>
      <formula>$AY$30</formula>
    </cfRule>
    <cfRule type="cellIs" dxfId="757" priority="54" operator="between">
      <formula>$AY$28</formula>
      <formula>$AY$29</formula>
    </cfRule>
    <cfRule type="cellIs" dxfId="756" priority="55" operator="between">
      <formula>$AY$27</formula>
      <formula>$AY$28</formula>
    </cfRule>
  </conditionalFormatting>
  <conditionalFormatting sqref="BW34">
    <cfRule type="cellIs" dxfId="755" priority="48" operator="between">
      <formula>$AY$30</formula>
      <formula>1000</formula>
    </cfRule>
    <cfRule type="cellIs" dxfId="754" priority="49" operator="between">
      <formula>$AY$29</formula>
      <formula>$AY$30</formula>
    </cfRule>
    <cfRule type="cellIs" dxfId="753" priority="50" operator="between">
      <formula>$AY$28</formula>
      <formula>$AY$29</formula>
    </cfRule>
    <cfRule type="cellIs" dxfId="752" priority="51" operator="between">
      <formula>$AY$27</formula>
      <formula>$AY$28</formula>
    </cfRule>
  </conditionalFormatting>
  <conditionalFormatting sqref="CX34">
    <cfRule type="cellIs" dxfId="751" priority="44" operator="between">
      <formula>$AY$30</formula>
      <formula>1000</formula>
    </cfRule>
    <cfRule type="cellIs" dxfId="750" priority="45" operator="between">
      <formula>$AY$29</formula>
      <formula>$AY$30</formula>
    </cfRule>
    <cfRule type="cellIs" dxfId="749" priority="46" operator="between">
      <formula>$AY$28</formula>
      <formula>$AY$29</formula>
    </cfRule>
    <cfRule type="cellIs" dxfId="748" priority="47" operator="between">
      <formula>$AY$27</formula>
      <formula>$AY$28</formula>
    </cfRule>
  </conditionalFormatting>
  <conditionalFormatting sqref="EH34">
    <cfRule type="cellIs" dxfId="747" priority="40" operator="between">
      <formula>$AY$30</formula>
      <formula>1000</formula>
    </cfRule>
    <cfRule type="cellIs" dxfId="746" priority="41" operator="between">
      <formula>$AY$29</formula>
      <formula>$AY$30</formula>
    </cfRule>
    <cfRule type="cellIs" dxfId="745" priority="42" operator="between">
      <formula>$AY$28</formula>
      <formula>$AY$29</formula>
    </cfRule>
    <cfRule type="cellIs" dxfId="744" priority="43" operator="between">
      <formula>$AY$27</formula>
      <formula>$AY$28</formula>
    </cfRule>
  </conditionalFormatting>
  <conditionalFormatting sqref="FP34">
    <cfRule type="cellIs" dxfId="743" priority="36" operator="between">
      <formula>$AY$30</formula>
      <formula>1000</formula>
    </cfRule>
    <cfRule type="cellIs" dxfId="742" priority="37" operator="between">
      <formula>$AY$29</formula>
      <formula>$AY$30</formula>
    </cfRule>
    <cfRule type="cellIs" dxfId="741" priority="38" operator="between">
      <formula>$AY$28</formula>
      <formula>$AY$29</formula>
    </cfRule>
    <cfRule type="cellIs" dxfId="740" priority="39" operator="between">
      <formula>$AY$27</formula>
      <formula>$AY$28</formula>
    </cfRule>
  </conditionalFormatting>
  <conditionalFormatting sqref="IF34">
    <cfRule type="cellIs" dxfId="739" priority="32" operator="between">
      <formula>$AY$30</formula>
      <formula>1000</formula>
    </cfRule>
    <cfRule type="cellIs" dxfId="738" priority="33" operator="between">
      <formula>$AY$29</formula>
      <formula>$AY$30</formula>
    </cfRule>
    <cfRule type="cellIs" dxfId="737" priority="34" operator="between">
      <formula>$AY$28</formula>
      <formula>$AY$29</formula>
    </cfRule>
    <cfRule type="cellIs" dxfId="736" priority="35" operator="between">
      <formula>$AY$27</formula>
      <formula>$AY$28</formula>
    </cfRule>
  </conditionalFormatting>
  <conditionalFormatting sqref="K1:K1048576 M1:M1048576 O1:O1048576 Q1:Q1048576 S1:S1048576 U1:U1048576">
    <cfRule type="expression" dxfId="735" priority="52681" stopIfTrue="1">
      <formula>IF(K1=$CA$1,1,0)</formula>
    </cfRule>
    <cfRule type="expression" dxfId="734" priority="52682">
      <formula>IF(K1=$AZ$1,1,0)</formula>
    </cfRule>
    <cfRule type="expression" dxfId="733" priority="52683">
      <formula>IF(K1=$Y$1,1,0)</formula>
    </cfRule>
  </conditionalFormatting>
  <conditionalFormatting sqref="A4:A1048576">
    <cfRule type="expression" dxfId="732" priority="31">
      <formula>AND(G4&lt;&gt;"",F4="")</formula>
    </cfRule>
    <cfRule type="expression" dxfId="731" priority="37593">
      <formula>IF(A4&gt;8,1,0)</formula>
    </cfRule>
  </conditionalFormatting>
  <conditionalFormatting sqref="CV1:CV1048576 AT1:AT1048576">
    <cfRule type="cellIs" dxfId="730" priority="113951" operator="between">
      <formula>AY$34</formula>
      <formula>1000</formula>
    </cfRule>
    <cfRule type="cellIs" dxfId="729" priority="113952" operator="between">
      <formula>AY$33</formula>
      <formula>AY$34</formula>
    </cfRule>
  </conditionalFormatting>
  <conditionalFormatting sqref="EC1:EC1048576 FK1:FK1048576 GS1:GS1048576 IA1:IA1048576 JI1:JI1048576 KQ1:KQ1048576 LY1:LY1048576 NG1:NG1048576 OO1:OO1048576 PW1:PW1048576 RE1:RE1048576 SM1:SM1048576 TU1:TU34 VC1:VC34 WK1:WK34">
    <cfRule type="cellIs" dxfId="728" priority="113963" operator="between">
      <formula>EK$34</formula>
      <formula>1000</formula>
    </cfRule>
    <cfRule type="cellIs" dxfId="727" priority="113964" operator="between">
      <formula>EK$33</formula>
      <formula>EK$34</formula>
    </cfRule>
  </conditionalFormatting>
  <conditionalFormatting sqref="AQ1:AQ1048576 AT1:AT1048576 AX1:AX1048576">
    <cfRule type="cellIs" dxfId="726" priority="114035" operator="between">
      <formula>$AY$34</formula>
      <formula>1000</formula>
    </cfRule>
    <cfRule type="cellIs" dxfId="725" priority="114036" operator="between">
      <formula>$AY$33</formula>
      <formula>$AY$34</formula>
    </cfRule>
    <cfRule type="cellIs" dxfId="724" priority="114037" operator="between">
      <formula>$AY$32</formula>
      <formula>$AY$33</formula>
    </cfRule>
    <cfRule type="cellIs" dxfId="723" priority="114038" operator="between">
      <formula>$AY$31</formula>
      <formula>$AY$32</formula>
    </cfRule>
  </conditionalFormatting>
  <conditionalFormatting sqref="BR1:BR1048576 BU1:BU1048576 BY1:BY1048576">
    <cfRule type="cellIs" dxfId="722" priority="114071" operator="between">
      <formula>$BZ$34</formula>
      <formula>1000</formula>
    </cfRule>
    <cfRule type="cellIs" dxfId="721" priority="114072" operator="between">
      <formula>$BZ$33</formula>
      <formula>$BZ$34</formula>
    </cfRule>
    <cfRule type="cellIs" dxfId="720" priority="114073" operator="between">
      <formula>$BZ$32</formula>
      <formula>$BZ$33</formula>
    </cfRule>
    <cfRule type="cellIs" dxfId="719" priority="114074" operator="between">
      <formula>$BZ$31</formula>
      <formula>$BZ$32</formula>
    </cfRule>
  </conditionalFormatting>
  <conditionalFormatting sqref="CS1:CS1048576 CV1:CV1048576 CZ1:CZ1048576">
    <cfRule type="cellIs" dxfId="718" priority="114107" operator="between">
      <formula>$DA$34</formula>
      <formula>1000</formula>
    </cfRule>
    <cfRule type="cellIs" dxfId="717" priority="114108" operator="between">
      <formula>$DA$33</formula>
      <formula>$DA$34</formula>
    </cfRule>
    <cfRule type="cellIs" dxfId="716" priority="114109" operator="between">
      <formula>$DA$32</formula>
      <formula>$DA$33</formula>
    </cfRule>
    <cfRule type="cellIs" dxfId="715" priority="114110" operator="between">
      <formula>$DA$31</formula>
      <formula>$DA$32</formula>
    </cfRule>
  </conditionalFormatting>
  <conditionalFormatting sqref="NB1:NB1048576 NE1:NE1048576 NI1:NI1048576 NL1:NL1048576">
    <cfRule type="cellIs" dxfId="714" priority="114143" operator="between">
      <formula>$NO$27</formula>
      <formula>$NO$28</formula>
    </cfRule>
  </conditionalFormatting>
  <conditionalFormatting sqref="DZ1:DZ1048576 EC1:EC1048576 EG1:EG1048576 EJ1:EJ1048576">
    <cfRule type="cellIs" dxfId="713" priority="114155" operator="between">
      <formula>$EK$34</formula>
      <formula>1000</formula>
    </cfRule>
    <cfRule type="cellIs" dxfId="712" priority="114156" operator="between">
      <formula>$EK$33</formula>
      <formula>$EK$34</formula>
    </cfRule>
    <cfRule type="cellIs" dxfId="711" priority="114157" operator="between">
      <formula>$EK$32</formula>
      <formula>$EK$33</formula>
    </cfRule>
    <cfRule type="cellIs" dxfId="710" priority="114158" operator="between">
      <formula>$EK$31</formula>
      <formula>$EK$32</formula>
    </cfRule>
  </conditionalFormatting>
  <conditionalFormatting sqref="FH1:FH1048576 FK1:FK1048576 FO1:FO1048576 FR1:FR1048576">
    <cfRule type="cellIs" dxfId="709" priority="114203" operator="between">
      <formula>$FS$34</formula>
      <formula>1000</formula>
    </cfRule>
    <cfRule type="cellIs" dxfId="708" priority="114204" operator="between">
      <formula>$FS$33</formula>
      <formula>$FS$34</formula>
    </cfRule>
    <cfRule type="cellIs" dxfId="707" priority="114205" operator="between">
      <formula>$FS$32</formula>
      <formula>$FS$33</formula>
    </cfRule>
    <cfRule type="cellIs" dxfId="706" priority="114206" operator="between">
      <formula>$FS$31</formula>
      <formula>$FS$32</formula>
    </cfRule>
  </conditionalFormatting>
  <conditionalFormatting sqref="GN1:GN1048576 GQ1:GQ1048576 GU1:GU1048576 GX1:GX1048576">
    <cfRule type="cellIs" dxfId="705" priority="114251" operator="between">
      <formula>$HA$30</formula>
      <formula>1000</formula>
    </cfRule>
    <cfRule type="cellIs" dxfId="704" priority="114252" operator="between">
      <formula>$HA$29</formula>
      <formula>$HA$30</formula>
    </cfRule>
    <cfRule type="cellIs" dxfId="703" priority="114253" operator="between">
      <formula>$HA$28</formula>
      <formula>$HA$29</formula>
    </cfRule>
    <cfRule type="cellIs" dxfId="702" priority="114254" operator="between">
      <formula>$HA$27</formula>
      <formula>$HA$28</formula>
    </cfRule>
  </conditionalFormatting>
  <conditionalFormatting sqref="GP1:GP1048576 GS1:GS1048576 GW1:GW1048576 GZ1:GZ1048576">
    <cfRule type="cellIs" dxfId="701" priority="114299" operator="between">
      <formula>$HA$34</formula>
      <formula>1000</formula>
    </cfRule>
    <cfRule type="cellIs" dxfId="700" priority="114300" operator="between">
      <formula>$HA$33</formula>
      <formula>$HA$34</formula>
    </cfRule>
    <cfRule type="cellIs" dxfId="699" priority="114301" operator="between">
      <formula>$HA$32</formula>
      <formula>$HA$33</formula>
    </cfRule>
    <cfRule type="cellIs" dxfId="698" priority="114302" operator="between">
      <formula>$HA$31</formula>
      <formula>$HA$32</formula>
    </cfRule>
  </conditionalFormatting>
  <conditionalFormatting sqref="HX1:HX1048576 IA1:IA1048576 IE1:IE1048576 IH1:IH1048576">
    <cfRule type="cellIs" dxfId="697" priority="114347" operator="between">
      <formula>$II$34</formula>
      <formula>1000</formula>
    </cfRule>
    <cfRule type="cellIs" dxfId="696" priority="114348" operator="between">
      <formula>$II$33</formula>
      <formula>$II$34</formula>
    </cfRule>
    <cfRule type="cellIs" dxfId="695" priority="114349" operator="between">
      <formula>$II$32</formula>
      <formula>$II$33</formula>
    </cfRule>
    <cfRule type="cellIs" dxfId="694" priority="114350" operator="between">
      <formula>$II$31</formula>
      <formula>$II$32</formula>
    </cfRule>
  </conditionalFormatting>
  <conditionalFormatting sqref="JD1:JD1048576 JG1:JG1048576 JK1:JK1048576 JN1:JN1048576">
    <cfRule type="cellIs" dxfId="693" priority="114395" operator="between">
      <formula>$JQ$30</formula>
      <formula>1000</formula>
    </cfRule>
    <cfRule type="cellIs" dxfId="692" priority="114396" operator="between">
      <formula>$JQ$29</formula>
      <formula>$JQ$30</formula>
    </cfRule>
    <cfRule type="cellIs" dxfId="691" priority="114397" operator="between">
      <formula>$JQ$28</formula>
      <formula>$JQ$29</formula>
    </cfRule>
    <cfRule type="cellIs" dxfId="690" priority="114398" operator="between">
      <formula>$JQ$27</formula>
      <formula>$JQ$28</formula>
    </cfRule>
  </conditionalFormatting>
  <conditionalFormatting sqref="JF1:JF1048576 JI1:JI1048576 JM1:JM1048576 JP1:JP1048576">
    <cfRule type="cellIs" dxfId="689" priority="114443" operator="between">
      <formula>$JQ$34</formula>
      <formula>1000</formula>
    </cfRule>
    <cfRule type="cellIs" dxfId="688" priority="114444" operator="between">
      <formula>$JQ$33</formula>
      <formula>$JQ$34</formula>
    </cfRule>
    <cfRule type="cellIs" dxfId="687" priority="114445" operator="between">
      <formula>$JQ$32</formula>
      <formula>$JQ$33</formula>
    </cfRule>
    <cfRule type="cellIs" dxfId="686" priority="114446" operator="between">
      <formula>$JQ$31</formula>
      <formula>$JQ$32</formula>
    </cfRule>
  </conditionalFormatting>
  <conditionalFormatting sqref="KL1:KL1048576 KO1:KO1048576 KS1:KS1048576 KV1:KV1048576">
    <cfRule type="cellIs" dxfId="685" priority="114491" operator="between">
      <formula>$KY$30</formula>
      <formula>1000</formula>
    </cfRule>
    <cfRule type="cellIs" dxfId="684" priority="114492" operator="between">
      <formula>$KY$29</formula>
      <formula>$KY$30</formula>
    </cfRule>
    <cfRule type="cellIs" dxfId="683" priority="114493" operator="between">
      <formula>$KY$28</formula>
      <formula>$KY$29</formula>
    </cfRule>
    <cfRule type="cellIs" dxfId="682" priority="114494" operator="between">
      <formula>$KY$27</formula>
      <formula>$KY$28</formula>
    </cfRule>
  </conditionalFormatting>
  <conditionalFormatting sqref="KN1:KN1048576 KQ1:KQ1048576 KU1:KU1048576 KX1:KX1048576">
    <cfRule type="cellIs" dxfId="681" priority="114539" operator="between">
      <formula>$KY$34</formula>
      <formula>1000</formula>
    </cfRule>
    <cfRule type="cellIs" dxfId="680" priority="114540" operator="between">
      <formula>$KY$33</formula>
      <formula>$KY$34</formula>
    </cfRule>
    <cfRule type="cellIs" dxfId="679" priority="114541" operator="between">
      <formula>$KY$32</formula>
      <formula>$KY$33</formula>
    </cfRule>
    <cfRule type="cellIs" dxfId="678" priority="114542" operator="between">
      <formula>$KY$31</formula>
      <formula>$KY$32</formula>
    </cfRule>
  </conditionalFormatting>
  <conditionalFormatting sqref="LT1:LT1048576 LW1:LW1048576 MA1:MA1048576 MD1:MD1048576">
    <cfRule type="cellIs" dxfId="677" priority="114587" operator="between">
      <formula>$MG$30</formula>
      <formula>1000</formula>
    </cfRule>
    <cfRule type="cellIs" dxfId="676" priority="114588" operator="between">
      <formula>$MG$29</formula>
      <formula>$MG$30</formula>
    </cfRule>
    <cfRule type="cellIs" dxfId="675" priority="114589" operator="between">
      <formula>$MG$28</formula>
      <formula>$MG$29</formula>
    </cfRule>
    <cfRule type="cellIs" dxfId="674" priority="114590" operator="between">
      <formula>$MG$27</formula>
      <formula>$MG$28</formula>
    </cfRule>
  </conditionalFormatting>
  <conditionalFormatting sqref="LV1:LV1048576 LY1:LY1048576 MC1:MC1048576 MF1:MF1048576">
    <cfRule type="cellIs" dxfId="673" priority="114635" operator="between">
      <formula>$MG$34</formula>
      <formula>1000</formula>
    </cfRule>
    <cfRule type="cellIs" dxfId="672" priority="114636" operator="between">
      <formula>$MG$33</formula>
      <formula>$MG$34</formula>
    </cfRule>
    <cfRule type="cellIs" dxfId="671" priority="114637" operator="between">
      <formula>$MG$32</formula>
      <formula>$MG$33</formula>
    </cfRule>
    <cfRule type="cellIs" dxfId="670" priority="114638" operator="between">
      <formula>$MG$31</formula>
      <formula>$MG$32</formula>
    </cfRule>
  </conditionalFormatting>
  <conditionalFormatting sqref="NB1:NB1048576 NE1:NE1048576 NI1:NI1048576">
    <cfRule type="cellIs" dxfId="669" priority="114683" operator="between">
      <formula>$NO$30</formula>
      <formula>1000</formula>
    </cfRule>
    <cfRule type="cellIs" dxfId="668" priority="114684" operator="between">
      <formula>$NO$29</formula>
      <formula>$NO$30</formula>
    </cfRule>
    <cfRule type="cellIs" dxfId="667" priority="114685" operator="between">
      <formula>$NO$28</formula>
      <formula>$NO$29</formula>
    </cfRule>
  </conditionalFormatting>
  <conditionalFormatting sqref="ND1:ND1048576 NG1:NG1048576 NK1:NK1048576 NN1:NN1048576">
    <cfRule type="cellIs" dxfId="666" priority="114710" operator="between">
      <formula>$NO$34</formula>
      <formula>1000</formula>
    </cfRule>
    <cfRule type="cellIs" dxfId="665" priority="114711" operator="between">
      <formula>$NO$33</formula>
      <formula>$NO$34</formula>
    </cfRule>
    <cfRule type="cellIs" dxfId="664" priority="114712" operator="between">
      <formula>$NO$32</formula>
      <formula>$NO$33</formula>
    </cfRule>
    <cfRule type="cellIs" dxfId="663" priority="114713" operator="between">
      <formula>$NO$31</formula>
      <formula>$NO$32</formula>
    </cfRule>
  </conditionalFormatting>
  <conditionalFormatting sqref="OJ1:OJ1048576 OM1:OM1048576 OQ1:OQ1048576 OT1:OT1048576">
    <cfRule type="cellIs" dxfId="662" priority="114758" operator="between">
      <formula>$OW$30</formula>
      <formula>1000</formula>
    </cfRule>
    <cfRule type="cellIs" dxfId="661" priority="114759" operator="between">
      <formula>$OW$29</formula>
      <formula>$OW$30</formula>
    </cfRule>
    <cfRule type="cellIs" dxfId="660" priority="114760" operator="between">
      <formula>$OW$28</formula>
      <formula>$OW$29</formula>
    </cfRule>
    <cfRule type="cellIs" dxfId="659" priority="114761" operator="between">
      <formula>$OW$27</formula>
      <formula>$OW$28</formula>
    </cfRule>
  </conditionalFormatting>
  <conditionalFormatting sqref="OL1:OL1048576 OO1:OO1048576 OS1:OS1048576 OV1:OV1048576">
    <cfRule type="cellIs" dxfId="658" priority="114806" operator="between">
      <formula>$OW$34</formula>
      <formula>1000</formula>
    </cfRule>
    <cfRule type="cellIs" dxfId="657" priority="114807" operator="between">
      <formula>$OW$33</formula>
      <formula>$OW$34</formula>
    </cfRule>
    <cfRule type="cellIs" dxfId="656" priority="114808" operator="between">
      <formula>$OW$32</formula>
      <formula>$OW$33</formula>
    </cfRule>
    <cfRule type="cellIs" dxfId="655" priority="114809" operator="between">
      <formula>$OW$31</formula>
      <formula>$OW$32</formula>
    </cfRule>
  </conditionalFormatting>
  <conditionalFormatting sqref="PR1:PR1048576 PU1:PU1048576 PY1:PY1048576 QB1:QB1048576">
    <cfRule type="cellIs" dxfId="654" priority="114854" operator="between">
      <formula>$QE$30</formula>
      <formula>1000</formula>
    </cfRule>
    <cfRule type="cellIs" dxfId="653" priority="114855" operator="between">
      <formula>$QE$29</formula>
      <formula>$QE$30</formula>
    </cfRule>
    <cfRule type="cellIs" dxfId="652" priority="114856" operator="between">
      <formula>$QE$28</formula>
      <formula>$QE$29</formula>
    </cfRule>
    <cfRule type="cellIs" dxfId="651" priority="114857" operator="between">
      <formula>$QE$27</formula>
      <formula>$QE$28</formula>
    </cfRule>
  </conditionalFormatting>
  <conditionalFormatting sqref="PT1:PT1048576 PW1:PW1048576 QA1:QA1048576 QD1:QD1048576">
    <cfRule type="cellIs" dxfId="650" priority="114902" operator="between">
      <formula>$QE$34</formula>
      <formula>1000</formula>
    </cfRule>
    <cfRule type="cellIs" dxfId="649" priority="114903" operator="between">
      <formula>$QE$33</formula>
      <formula>$QE$34</formula>
    </cfRule>
    <cfRule type="cellIs" dxfId="648" priority="114904" operator="between">
      <formula>$QE$32</formula>
      <formula>$QE$33</formula>
    </cfRule>
    <cfRule type="cellIs" dxfId="647" priority="114905" operator="between">
      <formula>$QE$31</formula>
      <formula>$QE$32</formula>
    </cfRule>
  </conditionalFormatting>
  <conditionalFormatting sqref="QZ1:QZ1048576 RC1:RC1048576 RG1:RG1048576 RJ1:RJ1048576">
    <cfRule type="cellIs" dxfId="646" priority="114950" operator="between">
      <formula>$RM$30</formula>
      <formula>1000</formula>
    </cfRule>
    <cfRule type="cellIs" dxfId="645" priority="114951" operator="between">
      <formula>$RM$29</formula>
      <formula>$RM$30</formula>
    </cfRule>
    <cfRule type="cellIs" dxfId="644" priority="114952" operator="between">
      <formula>$RM$28</formula>
      <formula>$RM$29</formula>
    </cfRule>
    <cfRule type="cellIs" dxfId="643" priority="114953" operator="between">
      <formula>$RM$27</formula>
      <formula>$RM$28</formula>
    </cfRule>
  </conditionalFormatting>
  <conditionalFormatting sqref="RB1:RB1048576 RE1:RE1048576 RI1:RI1048576 RL1:RL1048576">
    <cfRule type="cellIs" dxfId="642" priority="114998" operator="between">
      <formula>$RM$34</formula>
      <formula>1000</formula>
    </cfRule>
    <cfRule type="cellIs" dxfId="641" priority="114999" operator="between">
      <formula>$RM$33</formula>
      <formula>$RM$34</formula>
    </cfRule>
    <cfRule type="cellIs" dxfId="640" priority="115000" operator="between">
      <formula>$RM$32</formula>
      <formula>$RM$33</formula>
    </cfRule>
    <cfRule type="cellIs" dxfId="639" priority="115001" operator="between">
      <formula>$RM$31</formula>
      <formula>$RM$32</formula>
    </cfRule>
  </conditionalFormatting>
  <conditionalFormatting sqref="SH1:SH1048576 SK1:SK1048576 SO1:SO1048576 SR1:SR1048576 TP1:TP34 TS1:TS34 TW1:TW34 TZ1:TZ34 UX1:UX34 VA1:VA34 VE1:VE34 VH1:VH34 WF1:WF34 WI1:WI34 WM1:WM34 WP1:WP34">
    <cfRule type="cellIs" dxfId="638" priority="115046" operator="between">
      <formula>$SU$30</formula>
      <formula>1000</formula>
    </cfRule>
    <cfRule type="cellIs" dxfId="637" priority="115047" operator="between">
      <formula>$SU$29</formula>
      <formula>$SU$30</formula>
    </cfRule>
    <cfRule type="cellIs" dxfId="636" priority="115048" operator="between">
      <formula>$SU$28</formula>
      <formula>$SU$29</formula>
    </cfRule>
    <cfRule type="cellIs" dxfId="635" priority="115049" operator="between">
      <formula>$SU$27</formula>
      <formula>$SU$28</formula>
    </cfRule>
  </conditionalFormatting>
  <conditionalFormatting sqref="SJ1:SJ1048576 SM1:SM1048576 SQ1:SQ1048576 ST1:ST1048576 TR1:TR34 TU1:TU34 TY1:TY34 UB1:UB34 UZ1:UZ34 VC1:VC34 VG1:VG34 VJ1:VJ34 WH1:WH34 WK1:WK34 WO1:WO34 WR1:WR34">
    <cfRule type="cellIs" dxfId="634" priority="115094" operator="between">
      <formula>$SU$34</formula>
      <formula>1000</formula>
    </cfRule>
    <cfRule type="cellIs" dxfId="633" priority="115095" operator="between">
      <formula>$SU$33</formula>
      <formula>$SU$34</formula>
    </cfRule>
    <cfRule type="cellIs" dxfId="632" priority="115096" operator="between">
      <formula>$SU$32</formula>
      <formula>$SU$33</formula>
    </cfRule>
    <cfRule type="cellIs" dxfId="631" priority="115097" operator="between">
      <formula>$SU$31</formula>
      <formula>$SU$32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XT49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644" width="10.83203125" hidden="1" customWidth="1"/>
  </cols>
  <sheetData>
    <row r="1" spans="1:644" x14ac:dyDescent="0.2">
      <c r="A1" s="64" t="s">
        <v>1</v>
      </c>
      <c r="B1" s="64" t="s">
        <v>27</v>
      </c>
      <c r="C1" s="64" t="s">
        <v>0</v>
      </c>
      <c r="D1" s="64" t="s">
        <v>55</v>
      </c>
      <c r="E1" s="64" t="s">
        <v>2</v>
      </c>
      <c r="F1" s="65" t="s">
        <v>61</v>
      </c>
      <c r="G1" s="64" t="s">
        <v>10</v>
      </c>
      <c r="H1" s="64" t="s">
        <v>11</v>
      </c>
      <c r="I1" s="64" t="s">
        <v>83</v>
      </c>
      <c r="J1" s="70" t="s">
        <v>93</v>
      </c>
      <c r="K1" s="66" t="s">
        <v>30</v>
      </c>
      <c r="L1" s="70" t="s">
        <v>94</v>
      </c>
      <c r="M1" s="66" t="s">
        <v>30</v>
      </c>
      <c r="N1" s="70" t="s">
        <v>118</v>
      </c>
      <c r="O1" s="66" t="s">
        <v>30</v>
      </c>
      <c r="P1" s="66" t="s">
        <v>12</v>
      </c>
      <c r="Q1" s="66" t="s">
        <v>30</v>
      </c>
      <c r="R1" s="66" t="s">
        <v>95</v>
      </c>
      <c r="S1" s="66" t="s">
        <v>30</v>
      </c>
      <c r="T1" s="70" t="s">
        <v>96</v>
      </c>
      <c r="U1" s="66" t="s">
        <v>30</v>
      </c>
      <c r="V1" s="69" t="s">
        <v>13</v>
      </c>
      <c r="W1" s="66" t="s">
        <v>31</v>
      </c>
      <c r="X1" s="66" t="s">
        <v>30</v>
      </c>
      <c r="Y1" s="67" t="s">
        <v>193</v>
      </c>
      <c r="Z1" s="67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7"/>
      <c r="AT1" s="67"/>
      <c r="AU1" s="67"/>
      <c r="AV1" s="67"/>
      <c r="AW1" s="67"/>
      <c r="AX1" s="67"/>
      <c r="AY1" s="67"/>
      <c r="AZ1" s="72" t="s">
        <v>232</v>
      </c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67" t="s">
        <v>253</v>
      </c>
      <c r="CB1" s="67"/>
      <c r="CC1" s="67"/>
      <c r="CD1" s="67"/>
      <c r="CE1" s="67"/>
      <c r="CF1" s="67"/>
      <c r="CG1" s="67"/>
      <c r="CH1" s="67"/>
      <c r="CI1" s="67"/>
      <c r="CJ1" s="67"/>
      <c r="CK1" s="67"/>
      <c r="CL1" s="67"/>
      <c r="CM1" s="67"/>
      <c r="CN1" s="67"/>
      <c r="CO1" s="67"/>
      <c r="CP1" s="67"/>
      <c r="CQ1" s="67"/>
      <c r="CR1" s="67"/>
      <c r="CS1" s="67"/>
      <c r="CT1" s="67"/>
      <c r="CU1" s="67"/>
      <c r="CV1" s="67"/>
      <c r="CW1" s="67"/>
      <c r="CX1" s="67"/>
      <c r="CY1" s="67"/>
      <c r="CZ1" s="67"/>
      <c r="DA1" s="67"/>
      <c r="DB1" s="73" t="s">
        <v>13</v>
      </c>
      <c r="DC1" s="73"/>
      <c r="DD1" s="67" t="s">
        <v>189</v>
      </c>
      <c r="DE1" s="67"/>
      <c r="DF1" s="67"/>
      <c r="DG1" s="67"/>
      <c r="DH1" s="67"/>
      <c r="DI1" s="67"/>
      <c r="DJ1" s="67"/>
      <c r="DK1" s="67"/>
      <c r="DL1" s="67"/>
      <c r="DM1" s="67"/>
      <c r="DN1" s="67"/>
      <c r="DO1" s="67"/>
      <c r="DP1" s="67"/>
      <c r="DQ1" s="67"/>
      <c r="DR1" s="67"/>
      <c r="DS1" s="67"/>
      <c r="DT1" s="67"/>
      <c r="DU1" s="67"/>
      <c r="DV1" s="67"/>
      <c r="DW1" s="67"/>
      <c r="DX1" s="67"/>
      <c r="DY1" s="67"/>
      <c r="DZ1" s="67"/>
      <c r="EA1" s="67"/>
      <c r="EB1" s="67"/>
      <c r="EC1" s="67"/>
      <c r="ED1" s="67"/>
      <c r="EE1" s="67"/>
      <c r="EF1" s="67"/>
      <c r="EG1" s="67"/>
      <c r="EH1" s="67"/>
      <c r="EI1" s="67"/>
      <c r="EJ1" s="67"/>
      <c r="EK1" s="67"/>
      <c r="EL1" s="72" t="s">
        <v>190</v>
      </c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67" t="s">
        <v>221</v>
      </c>
      <c r="FU1" s="67"/>
      <c r="FV1" s="67"/>
      <c r="FW1" s="67"/>
      <c r="FX1" s="67"/>
      <c r="FY1" s="67"/>
      <c r="FZ1" s="67"/>
      <c r="GA1" s="67"/>
      <c r="GB1" s="67"/>
      <c r="GC1" s="67"/>
      <c r="GD1" s="67"/>
      <c r="GE1" s="67"/>
      <c r="GF1" s="67"/>
      <c r="GG1" s="67"/>
      <c r="GH1" s="67"/>
      <c r="GI1" s="67"/>
      <c r="GJ1" s="67"/>
      <c r="GK1" s="67"/>
      <c r="GL1" s="67"/>
      <c r="GM1" s="67"/>
      <c r="GN1" s="67"/>
      <c r="GO1" s="67"/>
      <c r="GP1" s="67"/>
      <c r="GQ1" s="67"/>
      <c r="GR1" s="67"/>
      <c r="GS1" s="67"/>
      <c r="GT1" s="67"/>
      <c r="GU1" s="67"/>
      <c r="GV1" s="67"/>
      <c r="GW1" s="67"/>
      <c r="GX1" s="67"/>
      <c r="GY1" s="67"/>
      <c r="GZ1" s="67"/>
      <c r="HA1" s="67"/>
      <c r="HB1" s="72" t="s">
        <v>225</v>
      </c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67" t="s">
        <v>224</v>
      </c>
      <c r="IK1" s="67"/>
      <c r="IL1" s="67"/>
      <c r="IM1" s="67"/>
      <c r="IN1" s="67"/>
      <c r="IO1" s="67"/>
      <c r="IP1" s="67"/>
      <c r="IQ1" s="67"/>
      <c r="IR1" s="67"/>
      <c r="IS1" s="67"/>
      <c r="IT1" s="67"/>
      <c r="IU1" s="67"/>
      <c r="IV1" s="67"/>
      <c r="IW1" s="67"/>
      <c r="IX1" s="67"/>
      <c r="IY1" s="67"/>
      <c r="IZ1" s="67"/>
      <c r="JA1" s="67"/>
      <c r="JB1" s="67"/>
      <c r="JC1" s="67"/>
      <c r="JD1" s="67"/>
      <c r="JE1" s="67"/>
      <c r="JF1" s="67"/>
      <c r="JG1" s="67"/>
      <c r="JH1" s="67"/>
      <c r="JI1" s="67"/>
      <c r="JJ1" s="67"/>
      <c r="JK1" s="67"/>
      <c r="JL1" s="67"/>
      <c r="JM1" s="67"/>
      <c r="JN1" s="67"/>
      <c r="JO1" s="67"/>
      <c r="JP1" s="67"/>
      <c r="JQ1" s="67"/>
      <c r="JR1" s="72" t="s">
        <v>240</v>
      </c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67" t="s">
        <v>245</v>
      </c>
      <c r="LA1" s="67"/>
      <c r="LB1" s="67"/>
      <c r="LC1" s="67"/>
      <c r="LD1" s="67"/>
      <c r="LE1" s="67"/>
      <c r="LF1" s="67"/>
      <c r="LG1" s="67"/>
      <c r="LH1" s="67"/>
      <c r="LI1" s="67"/>
      <c r="LJ1" s="67"/>
      <c r="LK1" s="67"/>
      <c r="LL1" s="67"/>
      <c r="LM1" s="67"/>
      <c r="LN1" s="67"/>
      <c r="LO1" s="67"/>
      <c r="LP1" s="67"/>
      <c r="LQ1" s="67"/>
      <c r="LR1" s="67"/>
      <c r="LS1" s="67"/>
      <c r="LT1" s="67"/>
      <c r="LU1" s="67"/>
      <c r="LV1" s="67"/>
      <c r="LW1" s="67"/>
      <c r="LX1" s="67"/>
      <c r="LY1" s="67"/>
      <c r="LZ1" s="67"/>
      <c r="MA1" s="67"/>
      <c r="MB1" s="67"/>
      <c r="MC1" s="67"/>
      <c r="MD1" s="67"/>
      <c r="ME1" s="67"/>
      <c r="MF1" s="67"/>
      <c r="MG1" s="67"/>
      <c r="MH1" s="72" t="s">
        <v>244</v>
      </c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67" t="s">
        <v>251</v>
      </c>
      <c r="NQ1" s="67"/>
      <c r="NR1" s="67"/>
      <c r="NS1" s="67"/>
      <c r="NT1" s="67"/>
      <c r="NU1" s="67"/>
      <c r="NV1" s="67"/>
      <c r="NW1" s="67"/>
      <c r="NX1" s="67"/>
      <c r="NY1" s="67"/>
      <c r="NZ1" s="67"/>
      <c r="OA1" s="67"/>
      <c r="OB1" s="67"/>
      <c r="OC1" s="67"/>
      <c r="OD1" s="67"/>
      <c r="OE1" s="67"/>
      <c r="OF1" s="67"/>
      <c r="OG1" s="67"/>
      <c r="OH1" s="67"/>
      <c r="OI1" s="67"/>
      <c r="OJ1" s="67"/>
      <c r="OK1" s="67"/>
      <c r="OL1" s="67"/>
      <c r="OM1" s="67"/>
      <c r="ON1" s="67"/>
      <c r="OO1" s="67"/>
      <c r="OP1" s="67"/>
      <c r="OQ1" s="67"/>
      <c r="OR1" s="67"/>
      <c r="OS1" s="67"/>
      <c r="OT1" s="67"/>
      <c r="OU1" s="67"/>
      <c r="OV1" s="67"/>
      <c r="OW1" s="67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67"/>
      <c r="QG1" s="67"/>
      <c r="QH1" s="67"/>
      <c r="QI1" s="67"/>
      <c r="QJ1" s="67"/>
      <c r="QK1" s="67"/>
      <c r="QL1" s="67"/>
      <c r="QM1" s="67"/>
      <c r="QN1" s="67"/>
      <c r="QO1" s="67"/>
      <c r="QP1" s="67"/>
      <c r="QQ1" s="67"/>
      <c r="QR1" s="67"/>
      <c r="QS1" s="67"/>
      <c r="QT1" s="67"/>
      <c r="QU1" s="67"/>
      <c r="QV1" s="67"/>
      <c r="QW1" s="67"/>
      <c r="QX1" s="67"/>
      <c r="QY1" s="67"/>
      <c r="QZ1" s="67"/>
      <c r="RA1" s="67"/>
      <c r="RB1" s="67"/>
      <c r="RC1" s="67"/>
      <c r="RD1" s="67"/>
      <c r="RE1" s="67"/>
      <c r="RF1" s="67"/>
      <c r="RG1" s="67"/>
      <c r="RH1" s="67"/>
      <c r="RI1" s="67"/>
      <c r="RJ1" s="67"/>
      <c r="RK1" s="67"/>
      <c r="RL1" s="67"/>
      <c r="RM1" s="67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72"/>
      <c r="SO1" s="72"/>
      <c r="SP1" s="72"/>
      <c r="SQ1" s="72"/>
      <c r="SR1" s="72"/>
      <c r="SS1" s="72"/>
      <c r="ST1" s="72"/>
      <c r="SU1" s="72"/>
      <c r="SV1" s="67"/>
      <c r="SW1" s="67"/>
      <c r="SX1" s="67"/>
      <c r="SY1" s="67"/>
      <c r="SZ1" s="67"/>
      <c r="TA1" s="67"/>
      <c r="TB1" s="67"/>
      <c r="TC1" s="67"/>
      <c r="TD1" s="67"/>
      <c r="TE1" s="67"/>
      <c r="TF1" s="67"/>
      <c r="TG1" s="67"/>
      <c r="TH1" s="67"/>
      <c r="TI1" s="67"/>
      <c r="TJ1" s="67"/>
      <c r="TK1" s="67"/>
      <c r="TL1" s="67"/>
      <c r="TM1" s="67"/>
      <c r="TN1" s="67"/>
      <c r="TO1" s="67"/>
      <c r="TP1" s="67"/>
      <c r="TQ1" s="67"/>
      <c r="TR1" s="67"/>
      <c r="TS1" s="67"/>
      <c r="TT1" s="67"/>
      <c r="TU1" s="67"/>
      <c r="TV1" s="67"/>
      <c r="TW1" s="67"/>
      <c r="TX1" s="67"/>
      <c r="TY1" s="67"/>
      <c r="TZ1" s="67"/>
      <c r="UA1" s="67"/>
      <c r="UB1" s="67"/>
      <c r="UC1" s="67"/>
      <c r="UD1" s="72"/>
      <c r="UE1" s="72"/>
      <c r="UF1" s="72"/>
      <c r="UG1" s="72"/>
      <c r="UH1" s="72"/>
      <c r="UI1" s="72"/>
      <c r="UJ1" s="72"/>
      <c r="UK1" s="72"/>
      <c r="UL1" s="72"/>
      <c r="UM1" s="72"/>
      <c r="UN1" s="72"/>
      <c r="UO1" s="72"/>
      <c r="UP1" s="72"/>
      <c r="UQ1" s="72"/>
      <c r="UR1" s="72"/>
      <c r="US1" s="72"/>
      <c r="UT1" s="72"/>
      <c r="UU1" s="72"/>
      <c r="UV1" s="72"/>
      <c r="UW1" s="72"/>
      <c r="UX1" s="72"/>
      <c r="UY1" s="72"/>
      <c r="UZ1" s="72"/>
      <c r="VA1" s="72"/>
      <c r="VB1" s="72"/>
      <c r="VC1" s="72"/>
      <c r="VD1" s="72"/>
      <c r="VE1" s="72"/>
      <c r="VF1" s="72"/>
      <c r="VG1" s="72"/>
      <c r="VH1" s="72"/>
      <c r="VI1" s="72"/>
      <c r="VJ1" s="72"/>
      <c r="VK1" s="72"/>
      <c r="VL1" s="67"/>
      <c r="VM1" s="67"/>
      <c r="VN1" s="67"/>
      <c r="VO1" s="67"/>
      <c r="VP1" s="67"/>
      <c r="VQ1" s="67"/>
      <c r="VR1" s="67"/>
      <c r="VS1" s="67"/>
      <c r="VT1" s="67"/>
      <c r="VU1" s="67"/>
      <c r="VV1" s="67"/>
      <c r="VW1" s="67"/>
      <c r="VX1" s="67"/>
      <c r="VY1" s="67"/>
      <c r="VZ1" s="67"/>
      <c r="WA1" s="67"/>
      <c r="WB1" s="67"/>
      <c r="WC1" s="67"/>
      <c r="WD1" s="67"/>
      <c r="WE1" s="67"/>
      <c r="WF1" s="67"/>
      <c r="WG1" s="67"/>
      <c r="WH1" s="67"/>
      <c r="WI1" s="67"/>
      <c r="WJ1" s="67"/>
      <c r="WK1" s="67"/>
      <c r="WL1" s="67"/>
      <c r="WM1" s="67"/>
      <c r="WN1" s="67"/>
      <c r="WO1" s="67"/>
      <c r="WP1" s="67"/>
      <c r="WQ1" s="67"/>
      <c r="WR1" s="67"/>
      <c r="WS1" s="67"/>
      <c r="WT1" s="72" t="s">
        <v>64</v>
      </c>
      <c r="WU1" s="72"/>
      <c r="WV1" s="72"/>
      <c r="WW1" s="72"/>
      <c r="WX1" s="72"/>
      <c r="WY1" s="72"/>
      <c r="WZ1" s="72"/>
      <c r="XA1" s="72"/>
      <c r="XB1" s="72"/>
      <c r="XC1" s="72"/>
      <c r="XD1" s="72"/>
      <c r="XE1" s="72"/>
      <c r="XF1" s="72"/>
      <c r="XG1" s="72"/>
      <c r="XH1" s="72"/>
      <c r="XI1" s="72"/>
      <c r="XJ1" s="72"/>
      <c r="XK1" s="72"/>
      <c r="XL1" s="72"/>
      <c r="XM1" s="72"/>
      <c r="XN1" s="72"/>
      <c r="XO1" s="72"/>
      <c r="XP1" s="72"/>
      <c r="XQ1" s="72"/>
      <c r="XR1" s="72"/>
      <c r="XS1" s="72"/>
      <c r="XT1" s="72"/>
    </row>
    <row r="2" spans="1:644" x14ac:dyDescent="0.2">
      <c r="A2" s="64"/>
      <c r="B2" s="64"/>
      <c r="C2" s="64"/>
      <c r="D2" s="64"/>
      <c r="E2" s="64"/>
      <c r="F2" s="65"/>
      <c r="G2" s="64"/>
      <c r="H2" s="64"/>
      <c r="I2" s="64"/>
      <c r="J2" s="70"/>
      <c r="K2" s="66"/>
      <c r="L2" s="70"/>
      <c r="M2" s="66"/>
      <c r="N2" s="70"/>
      <c r="O2" s="66"/>
      <c r="P2" s="66"/>
      <c r="Q2" s="66"/>
      <c r="R2" s="66"/>
      <c r="S2" s="66"/>
      <c r="T2" s="70"/>
      <c r="U2" s="66"/>
      <c r="V2" s="69"/>
      <c r="W2" s="66"/>
      <c r="X2" s="66"/>
      <c r="Y2" s="68" t="s">
        <v>18</v>
      </c>
      <c r="Z2" s="68"/>
      <c r="AA2" s="68"/>
      <c r="AB2" s="68"/>
      <c r="AC2" s="68"/>
      <c r="AD2" s="68" t="s">
        <v>19</v>
      </c>
      <c r="AE2" s="68"/>
      <c r="AF2" s="68"/>
      <c r="AG2" s="68"/>
      <c r="AH2" s="68"/>
      <c r="AI2" s="68" t="s">
        <v>22</v>
      </c>
      <c r="AJ2" s="68"/>
      <c r="AK2" s="68"/>
      <c r="AL2" s="68"/>
      <c r="AM2" s="68"/>
      <c r="AN2" s="14"/>
      <c r="AO2" s="14" t="s">
        <v>97</v>
      </c>
      <c r="AP2" s="14" t="s">
        <v>98</v>
      </c>
      <c r="AQ2" s="14" t="s">
        <v>20</v>
      </c>
      <c r="AR2" s="14" t="s">
        <v>77</v>
      </c>
      <c r="AS2" s="14" t="s">
        <v>99</v>
      </c>
      <c r="AT2" s="14" t="s">
        <v>21</v>
      </c>
      <c r="AU2" s="14" t="s">
        <v>23</v>
      </c>
      <c r="AV2" s="14" t="s">
        <v>100</v>
      </c>
      <c r="AW2" s="14" t="s">
        <v>101</v>
      </c>
      <c r="AX2" s="14" t="s">
        <v>22</v>
      </c>
      <c r="AY2" s="14" t="s">
        <v>17</v>
      </c>
      <c r="AZ2" s="71" t="s">
        <v>18</v>
      </c>
      <c r="BA2" s="71"/>
      <c r="BB2" s="71"/>
      <c r="BC2" s="71"/>
      <c r="BD2" s="71"/>
      <c r="BE2" s="71" t="s">
        <v>19</v>
      </c>
      <c r="BF2" s="71"/>
      <c r="BG2" s="71"/>
      <c r="BH2" s="71"/>
      <c r="BI2" s="71"/>
      <c r="BJ2" s="71" t="s">
        <v>22</v>
      </c>
      <c r="BK2" s="71"/>
      <c r="BL2" s="71"/>
      <c r="BM2" s="71"/>
      <c r="BN2" s="71"/>
      <c r="BO2" s="13"/>
      <c r="BP2" s="13" t="s">
        <v>97</v>
      </c>
      <c r="BQ2" s="13" t="s">
        <v>98</v>
      </c>
      <c r="BR2" s="13" t="s">
        <v>20</v>
      </c>
      <c r="BS2" s="13" t="s">
        <v>77</v>
      </c>
      <c r="BT2" s="13" t="s">
        <v>99</v>
      </c>
      <c r="BU2" s="13" t="s">
        <v>21</v>
      </c>
      <c r="BV2" s="13" t="s">
        <v>23</v>
      </c>
      <c r="BW2" s="13" t="s">
        <v>100</v>
      </c>
      <c r="BX2" s="13" t="s">
        <v>101</v>
      </c>
      <c r="BY2" s="13" t="s">
        <v>22</v>
      </c>
      <c r="BZ2" s="13" t="s">
        <v>17</v>
      </c>
      <c r="CA2" s="68" t="s">
        <v>18</v>
      </c>
      <c r="CB2" s="68"/>
      <c r="CC2" s="68"/>
      <c r="CD2" s="68"/>
      <c r="CE2" s="68"/>
      <c r="CF2" s="68" t="s">
        <v>19</v>
      </c>
      <c r="CG2" s="68"/>
      <c r="CH2" s="68"/>
      <c r="CI2" s="68"/>
      <c r="CJ2" s="68"/>
      <c r="CK2" s="68" t="s">
        <v>22</v>
      </c>
      <c r="CL2" s="68"/>
      <c r="CM2" s="68"/>
      <c r="CN2" s="68"/>
      <c r="CO2" s="68"/>
      <c r="CP2" s="14"/>
      <c r="CQ2" s="14" t="s">
        <v>97</v>
      </c>
      <c r="CR2" s="14" t="s">
        <v>98</v>
      </c>
      <c r="CS2" s="14" t="s">
        <v>20</v>
      </c>
      <c r="CT2" s="14" t="s">
        <v>77</v>
      </c>
      <c r="CU2" s="14" t="s">
        <v>99</v>
      </c>
      <c r="CV2" s="14" t="s">
        <v>21</v>
      </c>
      <c r="CW2" s="14" t="s">
        <v>23</v>
      </c>
      <c r="CX2" s="14" t="s">
        <v>100</v>
      </c>
      <c r="CY2" s="14" t="s">
        <v>101</v>
      </c>
      <c r="CZ2" s="14" t="s">
        <v>22</v>
      </c>
      <c r="DA2" s="14" t="s">
        <v>17</v>
      </c>
      <c r="DB2" s="50" t="s">
        <v>23</v>
      </c>
      <c r="DC2" s="50" t="s">
        <v>22</v>
      </c>
      <c r="DD2" s="68" t="s">
        <v>18</v>
      </c>
      <c r="DE2" s="68"/>
      <c r="DF2" s="68"/>
      <c r="DG2" s="68"/>
      <c r="DH2" s="68"/>
      <c r="DI2" s="68" t="s">
        <v>19</v>
      </c>
      <c r="DJ2" s="68"/>
      <c r="DK2" s="68"/>
      <c r="DL2" s="68"/>
      <c r="DM2" s="68"/>
      <c r="DN2" s="68" t="s">
        <v>102</v>
      </c>
      <c r="DO2" s="68"/>
      <c r="DP2" s="68"/>
      <c r="DQ2" s="68"/>
      <c r="DR2" s="68"/>
      <c r="DS2" s="68" t="s">
        <v>22</v>
      </c>
      <c r="DT2" s="68"/>
      <c r="DU2" s="68"/>
      <c r="DV2" s="68"/>
      <c r="DW2" s="68"/>
      <c r="DX2" s="14" t="s">
        <v>97</v>
      </c>
      <c r="DY2" s="14" t="s">
        <v>98</v>
      </c>
      <c r="DZ2" s="14" t="s">
        <v>20</v>
      </c>
      <c r="EA2" s="14" t="s">
        <v>77</v>
      </c>
      <c r="EB2" s="14" t="s">
        <v>99</v>
      </c>
      <c r="EC2" s="14" t="s">
        <v>21</v>
      </c>
      <c r="ED2" s="14" t="s">
        <v>23</v>
      </c>
      <c r="EE2" s="14" t="s">
        <v>103</v>
      </c>
      <c r="EF2" s="14" t="s">
        <v>104</v>
      </c>
      <c r="EG2" s="14" t="s">
        <v>102</v>
      </c>
      <c r="EH2" s="14" t="s">
        <v>100</v>
      </c>
      <c r="EI2" s="14" t="s">
        <v>101</v>
      </c>
      <c r="EJ2" s="14" t="s">
        <v>22</v>
      </c>
      <c r="EK2" s="14" t="s">
        <v>17</v>
      </c>
      <c r="EL2" s="71" t="s">
        <v>18</v>
      </c>
      <c r="EM2" s="71"/>
      <c r="EN2" s="71"/>
      <c r="EO2" s="71"/>
      <c r="EP2" s="71"/>
      <c r="EQ2" s="71" t="s">
        <v>19</v>
      </c>
      <c r="ER2" s="71"/>
      <c r="ES2" s="71"/>
      <c r="ET2" s="71"/>
      <c r="EU2" s="71"/>
      <c r="EV2" s="71" t="s">
        <v>102</v>
      </c>
      <c r="EW2" s="71"/>
      <c r="EX2" s="71"/>
      <c r="EY2" s="71"/>
      <c r="EZ2" s="71"/>
      <c r="FA2" s="71" t="s">
        <v>22</v>
      </c>
      <c r="FB2" s="71"/>
      <c r="FC2" s="71"/>
      <c r="FD2" s="71"/>
      <c r="FE2" s="71"/>
      <c r="FF2" s="13" t="s">
        <v>97</v>
      </c>
      <c r="FG2" s="13" t="s">
        <v>98</v>
      </c>
      <c r="FH2" s="13" t="s">
        <v>20</v>
      </c>
      <c r="FI2" s="13" t="s">
        <v>77</v>
      </c>
      <c r="FJ2" s="13" t="s">
        <v>99</v>
      </c>
      <c r="FK2" s="13" t="s">
        <v>21</v>
      </c>
      <c r="FL2" s="13" t="s">
        <v>23</v>
      </c>
      <c r="FM2" s="13" t="s">
        <v>103</v>
      </c>
      <c r="FN2" s="13" t="s">
        <v>104</v>
      </c>
      <c r="FO2" s="13" t="s">
        <v>102</v>
      </c>
      <c r="FP2" s="13" t="s">
        <v>100</v>
      </c>
      <c r="FQ2" s="13" t="s">
        <v>101</v>
      </c>
      <c r="FR2" s="13" t="s">
        <v>22</v>
      </c>
      <c r="FS2" s="13" t="s">
        <v>17</v>
      </c>
      <c r="FT2" s="68" t="s">
        <v>18</v>
      </c>
      <c r="FU2" s="68"/>
      <c r="FV2" s="68"/>
      <c r="FW2" s="68"/>
      <c r="FX2" s="68"/>
      <c r="FY2" s="68" t="s">
        <v>19</v>
      </c>
      <c r="FZ2" s="68"/>
      <c r="GA2" s="68"/>
      <c r="GB2" s="68"/>
      <c r="GC2" s="68"/>
      <c r="GD2" s="68" t="s">
        <v>102</v>
      </c>
      <c r="GE2" s="68"/>
      <c r="GF2" s="68"/>
      <c r="GG2" s="68"/>
      <c r="GH2" s="68"/>
      <c r="GI2" s="68" t="s">
        <v>22</v>
      </c>
      <c r="GJ2" s="68"/>
      <c r="GK2" s="68"/>
      <c r="GL2" s="68"/>
      <c r="GM2" s="68"/>
      <c r="GN2" s="14" t="s">
        <v>97</v>
      </c>
      <c r="GO2" s="14" t="s">
        <v>98</v>
      </c>
      <c r="GP2" s="14" t="s">
        <v>20</v>
      </c>
      <c r="GQ2" s="14" t="s">
        <v>77</v>
      </c>
      <c r="GR2" s="14" t="s">
        <v>99</v>
      </c>
      <c r="GS2" s="14" t="s">
        <v>21</v>
      </c>
      <c r="GT2" s="14" t="s">
        <v>23</v>
      </c>
      <c r="GU2" s="14" t="s">
        <v>103</v>
      </c>
      <c r="GV2" s="14" t="s">
        <v>104</v>
      </c>
      <c r="GW2" s="14" t="s">
        <v>102</v>
      </c>
      <c r="GX2" s="14" t="s">
        <v>100</v>
      </c>
      <c r="GY2" s="14" t="s">
        <v>101</v>
      </c>
      <c r="GZ2" s="14" t="s">
        <v>22</v>
      </c>
      <c r="HA2" s="14" t="s">
        <v>17</v>
      </c>
      <c r="HB2" s="71" t="s">
        <v>18</v>
      </c>
      <c r="HC2" s="71"/>
      <c r="HD2" s="71"/>
      <c r="HE2" s="71"/>
      <c r="HF2" s="71"/>
      <c r="HG2" s="71" t="s">
        <v>19</v>
      </c>
      <c r="HH2" s="71"/>
      <c r="HI2" s="71"/>
      <c r="HJ2" s="71"/>
      <c r="HK2" s="71"/>
      <c r="HL2" s="71" t="s">
        <v>102</v>
      </c>
      <c r="HM2" s="71"/>
      <c r="HN2" s="71"/>
      <c r="HO2" s="71"/>
      <c r="HP2" s="71"/>
      <c r="HQ2" s="71" t="s">
        <v>22</v>
      </c>
      <c r="HR2" s="71"/>
      <c r="HS2" s="71"/>
      <c r="HT2" s="71"/>
      <c r="HU2" s="71"/>
      <c r="HV2" s="13" t="s">
        <v>97</v>
      </c>
      <c r="HW2" s="13" t="s">
        <v>98</v>
      </c>
      <c r="HX2" s="13" t="s">
        <v>20</v>
      </c>
      <c r="HY2" s="13" t="s">
        <v>77</v>
      </c>
      <c r="HZ2" s="13" t="s">
        <v>99</v>
      </c>
      <c r="IA2" s="13" t="s">
        <v>21</v>
      </c>
      <c r="IB2" s="13" t="s">
        <v>23</v>
      </c>
      <c r="IC2" s="13" t="s">
        <v>103</v>
      </c>
      <c r="ID2" s="13" t="s">
        <v>104</v>
      </c>
      <c r="IE2" s="13" t="s">
        <v>102</v>
      </c>
      <c r="IF2" s="13" t="s">
        <v>100</v>
      </c>
      <c r="IG2" s="13" t="s">
        <v>101</v>
      </c>
      <c r="IH2" s="13" t="s">
        <v>22</v>
      </c>
      <c r="II2" s="13" t="s">
        <v>17</v>
      </c>
      <c r="IJ2" s="68" t="s">
        <v>18</v>
      </c>
      <c r="IK2" s="68"/>
      <c r="IL2" s="68"/>
      <c r="IM2" s="68"/>
      <c r="IN2" s="68"/>
      <c r="IO2" s="68" t="s">
        <v>19</v>
      </c>
      <c r="IP2" s="68"/>
      <c r="IQ2" s="68"/>
      <c r="IR2" s="68"/>
      <c r="IS2" s="68"/>
      <c r="IT2" s="68" t="s">
        <v>102</v>
      </c>
      <c r="IU2" s="68"/>
      <c r="IV2" s="68"/>
      <c r="IW2" s="68"/>
      <c r="IX2" s="68"/>
      <c r="IY2" s="68" t="s">
        <v>22</v>
      </c>
      <c r="IZ2" s="68"/>
      <c r="JA2" s="68"/>
      <c r="JB2" s="68"/>
      <c r="JC2" s="68"/>
      <c r="JD2" s="14" t="s">
        <v>97</v>
      </c>
      <c r="JE2" s="14" t="s">
        <v>98</v>
      </c>
      <c r="JF2" s="14" t="s">
        <v>20</v>
      </c>
      <c r="JG2" s="14" t="s">
        <v>77</v>
      </c>
      <c r="JH2" s="14" t="s">
        <v>99</v>
      </c>
      <c r="JI2" s="14" t="s">
        <v>21</v>
      </c>
      <c r="JJ2" s="14" t="s">
        <v>23</v>
      </c>
      <c r="JK2" s="14" t="s">
        <v>103</v>
      </c>
      <c r="JL2" s="14" t="s">
        <v>104</v>
      </c>
      <c r="JM2" s="14" t="s">
        <v>102</v>
      </c>
      <c r="JN2" s="14" t="s">
        <v>100</v>
      </c>
      <c r="JO2" s="14" t="s">
        <v>101</v>
      </c>
      <c r="JP2" s="14" t="s">
        <v>22</v>
      </c>
      <c r="JQ2" s="14" t="s">
        <v>17</v>
      </c>
      <c r="JR2" s="71" t="s">
        <v>18</v>
      </c>
      <c r="JS2" s="71"/>
      <c r="JT2" s="71"/>
      <c r="JU2" s="71"/>
      <c r="JV2" s="71"/>
      <c r="JW2" s="71" t="s">
        <v>19</v>
      </c>
      <c r="JX2" s="71"/>
      <c r="JY2" s="71"/>
      <c r="JZ2" s="71"/>
      <c r="KA2" s="71"/>
      <c r="KB2" s="71" t="s">
        <v>102</v>
      </c>
      <c r="KC2" s="71"/>
      <c r="KD2" s="71"/>
      <c r="KE2" s="71"/>
      <c r="KF2" s="71"/>
      <c r="KG2" s="71" t="s">
        <v>22</v>
      </c>
      <c r="KH2" s="71"/>
      <c r="KI2" s="71"/>
      <c r="KJ2" s="71"/>
      <c r="KK2" s="71"/>
      <c r="KL2" s="13" t="s">
        <v>97</v>
      </c>
      <c r="KM2" s="13" t="s">
        <v>98</v>
      </c>
      <c r="KN2" s="13" t="s">
        <v>20</v>
      </c>
      <c r="KO2" s="13" t="s">
        <v>77</v>
      </c>
      <c r="KP2" s="13" t="s">
        <v>99</v>
      </c>
      <c r="KQ2" s="13" t="s">
        <v>21</v>
      </c>
      <c r="KR2" s="13" t="s">
        <v>23</v>
      </c>
      <c r="KS2" s="13" t="s">
        <v>103</v>
      </c>
      <c r="KT2" s="13" t="s">
        <v>104</v>
      </c>
      <c r="KU2" s="13" t="s">
        <v>102</v>
      </c>
      <c r="KV2" s="13" t="s">
        <v>100</v>
      </c>
      <c r="KW2" s="13" t="s">
        <v>101</v>
      </c>
      <c r="KX2" s="13" t="s">
        <v>22</v>
      </c>
      <c r="KY2" s="13" t="s">
        <v>17</v>
      </c>
      <c r="KZ2" s="68" t="s">
        <v>18</v>
      </c>
      <c r="LA2" s="68"/>
      <c r="LB2" s="68"/>
      <c r="LC2" s="68"/>
      <c r="LD2" s="68"/>
      <c r="LE2" s="68" t="s">
        <v>19</v>
      </c>
      <c r="LF2" s="68"/>
      <c r="LG2" s="68"/>
      <c r="LH2" s="68"/>
      <c r="LI2" s="68"/>
      <c r="LJ2" s="68" t="s">
        <v>102</v>
      </c>
      <c r="LK2" s="68"/>
      <c r="LL2" s="68"/>
      <c r="LM2" s="68"/>
      <c r="LN2" s="68"/>
      <c r="LO2" s="68" t="s">
        <v>22</v>
      </c>
      <c r="LP2" s="68"/>
      <c r="LQ2" s="68"/>
      <c r="LR2" s="68"/>
      <c r="LS2" s="68"/>
      <c r="LT2" s="14" t="s">
        <v>97</v>
      </c>
      <c r="LU2" s="14" t="s">
        <v>98</v>
      </c>
      <c r="LV2" s="14" t="s">
        <v>20</v>
      </c>
      <c r="LW2" s="14" t="s">
        <v>77</v>
      </c>
      <c r="LX2" s="14" t="s">
        <v>99</v>
      </c>
      <c r="LY2" s="14" t="s">
        <v>21</v>
      </c>
      <c r="LZ2" s="14" t="s">
        <v>23</v>
      </c>
      <c r="MA2" s="14" t="s">
        <v>103</v>
      </c>
      <c r="MB2" s="14" t="s">
        <v>104</v>
      </c>
      <c r="MC2" s="14" t="s">
        <v>102</v>
      </c>
      <c r="MD2" s="14" t="s">
        <v>100</v>
      </c>
      <c r="ME2" s="14" t="s">
        <v>101</v>
      </c>
      <c r="MF2" s="14" t="s">
        <v>22</v>
      </c>
      <c r="MG2" s="14" t="s">
        <v>17</v>
      </c>
      <c r="MH2" s="71" t="s">
        <v>18</v>
      </c>
      <c r="MI2" s="71"/>
      <c r="MJ2" s="71"/>
      <c r="MK2" s="71"/>
      <c r="ML2" s="71"/>
      <c r="MM2" s="71" t="s">
        <v>19</v>
      </c>
      <c r="MN2" s="71"/>
      <c r="MO2" s="71"/>
      <c r="MP2" s="71"/>
      <c r="MQ2" s="71"/>
      <c r="MR2" s="71" t="s">
        <v>102</v>
      </c>
      <c r="MS2" s="71"/>
      <c r="MT2" s="71"/>
      <c r="MU2" s="71"/>
      <c r="MV2" s="71"/>
      <c r="MW2" s="71" t="s">
        <v>22</v>
      </c>
      <c r="MX2" s="71"/>
      <c r="MY2" s="71"/>
      <c r="MZ2" s="71"/>
      <c r="NA2" s="71"/>
      <c r="NB2" s="13" t="s">
        <v>97</v>
      </c>
      <c r="NC2" s="13" t="s">
        <v>98</v>
      </c>
      <c r="ND2" s="13" t="s">
        <v>20</v>
      </c>
      <c r="NE2" s="13" t="s">
        <v>77</v>
      </c>
      <c r="NF2" s="13" t="s">
        <v>99</v>
      </c>
      <c r="NG2" s="13" t="s">
        <v>21</v>
      </c>
      <c r="NH2" s="13" t="s">
        <v>23</v>
      </c>
      <c r="NI2" s="13" t="s">
        <v>103</v>
      </c>
      <c r="NJ2" s="13" t="s">
        <v>104</v>
      </c>
      <c r="NK2" s="13" t="s">
        <v>102</v>
      </c>
      <c r="NL2" s="13" t="s">
        <v>100</v>
      </c>
      <c r="NM2" s="13" t="s">
        <v>101</v>
      </c>
      <c r="NN2" s="13" t="s">
        <v>22</v>
      </c>
      <c r="NO2" s="13" t="s">
        <v>17</v>
      </c>
      <c r="NP2" s="68" t="s">
        <v>18</v>
      </c>
      <c r="NQ2" s="68"/>
      <c r="NR2" s="68"/>
      <c r="NS2" s="68"/>
      <c r="NT2" s="68"/>
      <c r="NU2" s="68" t="s">
        <v>19</v>
      </c>
      <c r="NV2" s="68"/>
      <c r="NW2" s="68"/>
      <c r="NX2" s="68"/>
      <c r="NY2" s="68"/>
      <c r="NZ2" s="68" t="s">
        <v>102</v>
      </c>
      <c r="OA2" s="68"/>
      <c r="OB2" s="68"/>
      <c r="OC2" s="68"/>
      <c r="OD2" s="68"/>
      <c r="OE2" s="68" t="s">
        <v>22</v>
      </c>
      <c r="OF2" s="68"/>
      <c r="OG2" s="68"/>
      <c r="OH2" s="68"/>
      <c r="OI2" s="68"/>
      <c r="OJ2" s="14" t="s">
        <v>97</v>
      </c>
      <c r="OK2" s="14" t="s">
        <v>98</v>
      </c>
      <c r="OL2" s="14" t="s">
        <v>20</v>
      </c>
      <c r="OM2" s="14" t="s">
        <v>77</v>
      </c>
      <c r="ON2" s="14" t="s">
        <v>99</v>
      </c>
      <c r="OO2" s="14" t="s">
        <v>21</v>
      </c>
      <c r="OP2" s="14" t="s">
        <v>23</v>
      </c>
      <c r="OQ2" s="14" t="s">
        <v>103</v>
      </c>
      <c r="OR2" s="14" t="s">
        <v>104</v>
      </c>
      <c r="OS2" s="14" t="s">
        <v>102</v>
      </c>
      <c r="OT2" s="14" t="s">
        <v>100</v>
      </c>
      <c r="OU2" s="14" t="s">
        <v>101</v>
      </c>
      <c r="OV2" s="14" t="s">
        <v>22</v>
      </c>
      <c r="OW2" s="14" t="s">
        <v>17</v>
      </c>
      <c r="OX2" s="71" t="s">
        <v>18</v>
      </c>
      <c r="OY2" s="71"/>
      <c r="OZ2" s="71"/>
      <c r="PA2" s="71"/>
      <c r="PB2" s="71"/>
      <c r="PC2" s="71" t="s">
        <v>19</v>
      </c>
      <c r="PD2" s="71"/>
      <c r="PE2" s="71"/>
      <c r="PF2" s="71"/>
      <c r="PG2" s="71"/>
      <c r="PH2" s="71" t="s">
        <v>102</v>
      </c>
      <c r="PI2" s="71"/>
      <c r="PJ2" s="71"/>
      <c r="PK2" s="71"/>
      <c r="PL2" s="71"/>
      <c r="PM2" s="71" t="s">
        <v>22</v>
      </c>
      <c r="PN2" s="71"/>
      <c r="PO2" s="71"/>
      <c r="PP2" s="71"/>
      <c r="PQ2" s="71"/>
      <c r="PR2" s="13" t="s">
        <v>97</v>
      </c>
      <c r="PS2" s="13" t="s">
        <v>98</v>
      </c>
      <c r="PT2" s="13" t="s">
        <v>20</v>
      </c>
      <c r="PU2" s="13" t="s">
        <v>77</v>
      </c>
      <c r="PV2" s="13" t="s">
        <v>99</v>
      </c>
      <c r="PW2" s="13" t="s">
        <v>21</v>
      </c>
      <c r="PX2" s="13" t="s">
        <v>23</v>
      </c>
      <c r="PY2" s="13" t="s">
        <v>103</v>
      </c>
      <c r="PZ2" s="13" t="s">
        <v>104</v>
      </c>
      <c r="QA2" s="13" t="s">
        <v>102</v>
      </c>
      <c r="QB2" s="13" t="s">
        <v>100</v>
      </c>
      <c r="QC2" s="13" t="s">
        <v>101</v>
      </c>
      <c r="QD2" s="13" t="s">
        <v>22</v>
      </c>
      <c r="QE2" s="13" t="s">
        <v>17</v>
      </c>
      <c r="QF2" s="68" t="s">
        <v>18</v>
      </c>
      <c r="QG2" s="68"/>
      <c r="QH2" s="68"/>
      <c r="QI2" s="68"/>
      <c r="QJ2" s="68"/>
      <c r="QK2" s="68" t="s">
        <v>19</v>
      </c>
      <c r="QL2" s="68"/>
      <c r="QM2" s="68"/>
      <c r="QN2" s="68"/>
      <c r="QO2" s="68"/>
      <c r="QP2" s="68" t="s">
        <v>102</v>
      </c>
      <c r="QQ2" s="68"/>
      <c r="QR2" s="68"/>
      <c r="QS2" s="68"/>
      <c r="QT2" s="68"/>
      <c r="QU2" s="68" t="s">
        <v>22</v>
      </c>
      <c r="QV2" s="68"/>
      <c r="QW2" s="68"/>
      <c r="QX2" s="68"/>
      <c r="QY2" s="68"/>
      <c r="QZ2" s="14" t="s">
        <v>97</v>
      </c>
      <c r="RA2" s="14" t="s">
        <v>98</v>
      </c>
      <c r="RB2" s="14" t="s">
        <v>20</v>
      </c>
      <c r="RC2" s="14" t="s">
        <v>77</v>
      </c>
      <c r="RD2" s="14" t="s">
        <v>99</v>
      </c>
      <c r="RE2" s="14" t="s">
        <v>21</v>
      </c>
      <c r="RF2" s="14" t="s">
        <v>23</v>
      </c>
      <c r="RG2" s="14" t="s">
        <v>103</v>
      </c>
      <c r="RH2" s="14" t="s">
        <v>104</v>
      </c>
      <c r="RI2" s="14" t="s">
        <v>102</v>
      </c>
      <c r="RJ2" s="14" t="s">
        <v>100</v>
      </c>
      <c r="RK2" s="14" t="s">
        <v>101</v>
      </c>
      <c r="RL2" s="14" t="s">
        <v>22</v>
      </c>
      <c r="RM2" s="14" t="s">
        <v>17</v>
      </c>
      <c r="RN2" s="71" t="s">
        <v>18</v>
      </c>
      <c r="RO2" s="71"/>
      <c r="RP2" s="71"/>
      <c r="RQ2" s="71"/>
      <c r="RR2" s="71"/>
      <c r="RS2" s="71" t="s">
        <v>19</v>
      </c>
      <c r="RT2" s="71"/>
      <c r="RU2" s="71"/>
      <c r="RV2" s="71"/>
      <c r="RW2" s="71"/>
      <c r="RX2" s="71" t="s">
        <v>102</v>
      </c>
      <c r="RY2" s="71"/>
      <c r="RZ2" s="71"/>
      <c r="SA2" s="71"/>
      <c r="SB2" s="71"/>
      <c r="SC2" s="71" t="s">
        <v>22</v>
      </c>
      <c r="SD2" s="71"/>
      <c r="SE2" s="71"/>
      <c r="SF2" s="71"/>
      <c r="SG2" s="71"/>
      <c r="SH2" s="13" t="s">
        <v>97</v>
      </c>
      <c r="SI2" s="13" t="s">
        <v>98</v>
      </c>
      <c r="SJ2" s="13" t="s">
        <v>20</v>
      </c>
      <c r="SK2" s="13" t="s">
        <v>77</v>
      </c>
      <c r="SL2" s="13" t="s">
        <v>99</v>
      </c>
      <c r="SM2" s="13" t="s">
        <v>21</v>
      </c>
      <c r="SN2" s="13" t="s">
        <v>23</v>
      </c>
      <c r="SO2" s="13" t="s">
        <v>103</v>
      </c>
      <c r="SP2" s="13" t="s">
        <v>104</v>
      </c>
      <c r="SQ2" s="13" t="s">
        <v>102</v>
      </c>
      <c r="SR2" s="13" t="s">
        <v>100</v>
      </c>
      <c r="SS2" s="13" t="s">
        <v>101</v>
      </c>
      <c r="ST2" s="13" t="s">
        <v>22</v>
      </c>
      <c r="SU2" s="13" t="s">
        <v>17</v>
      </c>
      <c r="SV2" s="68" t="s">
        <v>18</v>
      </c>
      <c r="SW2" s="68"/>
      <c r="SX2" s="68"/>
      <c r="SY2" s="68"/>
      <c r="SZ2" s="68"/>
      <c r="TA2" s="68" t="s">
        <v>19</v>
      </c>
      <c r="TB2" s="68"/>
      <c r="TC2" s="68"/>
      <c r="TD2" s="68"/>
      <c r="TE2" s="68"/>
      <c r="TF2" s="68" t="s">
        <v>102</v>
      </c>
      <c r="TG2" s="68"/>
      <c r="TH2" s="68"/>
      <c r="TI2" s="68"/>
      <c r="TJ2" s="68"/>
      <c r="TK2" s="68" t="s">
        <v>22</v>
      </c>
      <c r="TL2" s="68"/>
      <c r="TM2" s="68"/>
      <c r="TN2" s="68"/>
      <c r="TO2" s="68"/>
      <c r="TP2" s="14" t="s">
        <v>97</v>
      </c>
      <c r="TQ2" s="14" t="s">
        <v>98</v>
      </c>
      <c r="TR2" s="14" t="s">
        <v>20</v>
      </c>
      <c r="TS2" s="14" t="s">
        <v>77</v>
      </c>
      <c r="TT2" s="14" t="s">
        <v>99</v>
      </c>
      <c r="TU2" s="14" t="s">
        <v>21</v>
      </c>
      <c r="TV2" s="14" t="s">
        <v>23</v>
      </c>
      <c r="TW2" s="14" t="s">
        <v>103</v>
      </c>
      <c r="TX2" s="14" t="s">
        <v>104</v>
      </c>
      <c r="TY2" s="14" t="s">
        <v>102</v>
      </c>
      <c r="TZ2" s="14" t="s">
        <v>100</v>
      </c>
      <c r="UA2" s="14" t="s">
        <v>101</v>
      </c>
      <c r="UB2" s="14" t="s">
        <v>22</v>
      </c>
      <c r="UC2" s="14" t="s">
        <v>17</v>
      </c>
      <c r="UD2" s="71" t="s">
        <v>18</v>
      </c>
      <c r="UE2" s="71"/>
      <c r="UF2" s="71"/>
      <c r="UG2" s="71"/>
      <c r="UH2" s="71"/>
      <c r="UI2" s="71" t="s">
        <v>19</v>
      </c>
      <c r="UJ2" s="71"/>
      <c r="UK2" s="71"/>
      <c r="UL2" s="71"/>
      <c r="UM2" s="71"/>
      <c r="UN2" s="71" t="s">
        <v>102</v>
      </c>
      <c r="UO2" s="71"/>
      <c r="UP2" s="71"/>
      <c r="UQ2" s="71"/>
      <c r="UR2" s="71"/>
      <c r="US2" s="71" t="s">
        <v>22</v>
      </c>
      <c r="UT2" s="71"/>
      <c r="UU2" s="71"/>
      <c r="UV2" s="71"/>
      <c r="UW2" s="71"/>
      <c r="UX2" s="13" t="s">
        <v>97</v>
      </c>
      <c r="UY2" s="13" t="s">
        <v>98</v>
      </c>
      <c r="UZ2" s="13" t="s">
        <v>20</v>
      </c>
      <c r="VA2" s="13" t="s">
        <v>77</v>
      </c>
      <c r="VB2" s="13" t="s">
        <v>99</v>
      </c>
      <c r="VC2" s="13" t="s">
        <v>21</v>
      </c>
      <c r="VD2" s="13" t="s">
        <v>23</v>
      </c>
      <c r="VE2" s="13" t="s">
        <v>103</v>
      </c>
      <c r="VF2" s="13" t="s">
        <v>104</v>
      </c>
      <c r="VG2" s="13" t="s">
        <v>102</v>
      </c>
      <c r="VH2" s="13" t="s">
        <v>100</v>
      </c>
      <c r="VI2" s="13" t="s">
        <v>101</v>
      </c>
      <c r="VJ2" s="13" t="s">
        <v>22</v>
      </c>
      <c r="VK2" s="13" t="s">
        <v>17</v>
      </c>
      <c r="VL2" s="68" t="s">
        <v>18</v>
      </c>
      <c r="VM2" s="68"/>
      <c r="VN2" s="68"/>
      <c r="VO2" s="68"/>
      <c r="VP2" s="68"/>
      <c r="VQ2" s="68" t="s">
        <v>19</v>
      </c>
      <c r="VR2" s="68"/>
      <c r="VS2" s="68"/>
      <c r="VT2" s="68"/>
      <c r="VU2" s="68"/>
      <c r="VV2" s="68" t="s">
        <v>102</v>
      </c>
      <c r="VW2" s="68"/>
      <c r="VX2" s="68"/>
      <c r="VY2" s="68"/>
      <c r="VZ2" s="68"/>
      <c r="WA2" s="68" t="s">
        <v>22</v>
      </c>
      <c r="WB2" s="68"/>
      <c r="WC2" s="68"/>
      <c r="WD2" s="68"/>
      <c r="WE2" s="68"/>
      <c r="WF2" s="14" t="s">
        <v>97</v>
      </c>
      <c r="WG2" s="14" t="s">
        <v>98</v>
      </c>
      <c r="WH2" s="14" t="s">
        <v>20</v>
      </c>
      <c r="WI2" s="14" t="s">
        <v>77</v>
      </c>
      <c r="WJ2" s="14" t="s">
        <v>99</v>
      </c>
      <c r="WK2" s="14" t="s">
        <v>21</v>
      </c>
      <c r="WL2" s="14" t="s">
        <v>23</v>
      </c>
      <c r="WM2" s="14" t="s">
        <v>103</v>
      </c>
      <c r="WN2" s="14" t="s">
        <v>104</v>
      </c>
      <c r="WO2" s="14" t="s">
        <v>102</v>
      </c>
      <c r="WP2" s="14" t="s">
        <v>100</v>
      </c>
      <c r="WQ2" s="14" t="s">
        <v>101</v>
      </c>
      <c r="WR2" s="14" t="s">
        <v>22</v>
      </c>
      <c r="WS2" s="14" t="s">
        <v>17</v>
      </c>
      <c r="WT2" s="71" t="s">
        <v>18</v>
      </c>
      <c r="WU2" s="71"/>
      <c r="WV2" s="71"/>
      <c r="WW2" s="71"/>
      <c r="WX2" s="71"/>
      <c r="WY2" s="71" t="s">
        <v>19</v>
      </c>
      <c r="WZ2" s="71"/>
      <c r="XA2" s="71"/>
      <c r="XB2" s="71"/>
      <c r="XC2" s="71"/>
      <c r="XD2" s="71" t="s">
        <v>22</v>
      </c>
      <c r="XE2" s="71"/>
      <c r="XF2" s="71"/>
      <c r="XG2" s="71"/>
      <c r="XH2" s="71"/>
      <c r="XI2" s="13"/>
      <c r="XJ2" s="13" t="s">
        <v>97</v>
      </c>
      <c r="XK2" s="13" t="s">
        <v>98</v>
      </c>
      <c r="XL2" s="13" t="s">
        <v>20</v>
      </c>
      <c r="XM2" s="13" t="s">
        <v>77</v>
      </c>
      <c r="XN2" s="13" t="s">
        <v>99</v>
      </c>
      <c r="XO2" s="13" t="s">
        <v>21</v>
      </c>
      <c r="XP2" s="13" t="s">
        <v>23</v>
      </c>
      <c r="XQ2" s="13" t="s">
        <v>100</v>
      </c>
      <c r="XR2" s="13" t="s">
        <v>101</v>
      </c>
      <c r="XS2" s="13" t="s">
        <v>22</v>
      </c>
      <c r="XT2" s="13" t="s">
        <v>17</v>
      </c>
    </row>
    <row r="3" spans="1:644" x14ac:dyDescent="0.2">
      <c r="A3" s="64"/>
      <c r="B3" s="64"/>
      <c r="C3" s="64"/>
      <c r="D3" s="64"/>
      <c r="E3" s="64"/>
      <c r="F3" s="65"/>
      <c r="G3" s="64"/>
      <c r="H3" s="64"/>
      <c r="I3" s="64"/>
      <c r="J3" s="70"/>
      <c r="K3" s="66"/>
      <c r="L3" s="70"/>
      <c r="M3" s="66"/>
      <c r="N3" s="70"/>
      <c r="O3" s="66"/>
      <c r="P3" s="66"/>
      <c r="Q3" s="66"/>
      <c r="R3" s="66"/>
      <c r="S3" s="66"/>
      <c r="T3" s="70"/>
      <c r="U3" s="66"/>
      <c r="V3" s="69"/>
      <c r="W3" s="66"/>
      <c r="X3" s="66"/>
      <c r="Y3" s="14" t="s">
        <v>14</v>
      </c>
      <c r="Z3" s="14" t="s">
        <v>15</v>
      </c>
      <c r="AA3" s="14" t="s">
        <v>9</v>
      </c>
      <c r="AB3" s="14" t="s">
        <v>16</v>
      </c>
      <c r="AC3" s="14" t="s">
        <v>28</v>
      </c>
      <c r="AD3" s="14" t="s">
        <v>14</v>
      </c>
      <c r="AE3" s="14" t="s">
        <v>15</v>
      </c>
      <c r="AF3" s="14" t="s">
        <v>9</v>
      </c>
      <c r="AG3" s="14" t="s">
        <v>16</v>
      </c>
      <c r="AH3" s="14" t="s">
        <v>28</v>
      </c>
      <c r="AI3" s="14" t="s">
        <v>14</v>
      </c>
      <c r="AJ3" s="14" t="s">
        <v>15</v>
      </c>
      <c r="AK3" s="14" t="s">
        <v>9</v>
      </c>
      <c r="AL3" s="14" t="s">
        <v>16</v>
      </c>
      <c r="AM3" s="14" t="s">
        <v>28</v>
      </c>
      <c r="AN3" s="14" t="s">
        <v>52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14</v>
      </c>
      <c r="BA3" s="13" t="s">
        <v>15</v>
      </c>
      <c r="BB3" s="13" t="s">
        <v>9</v>
      </c>
      <c r="BC3" s="13" t="s">
        <v>16</v>
      </c>
      <c r="BD3" s="13" t="s">
        <v>28</v>
      </c>
      <c r="BE3" s="13" t="s">
        <v>14</v>
      </c>
      <c r="BF3" s="13" t="s">
        <v>15</v>
      </c>
      <c r="BG3" s="13" t="s">
        <v>9</v>
      </c>
      <c r="BH3" s="13" t="s">
        <v>16</v>
      </c>
      <c r="BI3" s="13" t="s">
        <v>28</v>
      </c>
      <c r="BJ3" s="13" t="s">
        <v>14</v>
      </c>
      <c r="BK3" s="13" t="s">
        <v>15</v>
      </c>
      <c r="BL3" s="13" t="s">
        <v>9</v>
      </c>
      <c r="BM3" s="13" t="s">
        <v>16</v>
      </c>
      <c r="BN3" s="13" t="s">
        <v>28</v>
      </c>
      <c r="BO3" s="13" t="s">
        <v>52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15</v>
      </c>
      <c r="CC3" s="14" t="s">
        <v>9</v>
      </c>
      <c r="CD3" s="14" t="s">
        <v>16</v>
      </c>
      <c r="CE3" s="14" t="s">
        <v>28</v>
      </c>
      <c r="CF3" s="14" t="s">
        <v>14</v>
      </c>
      <c r="CG3" s="14" t="s">
        <v>15</v>
      </c>
      <c r="CH3" s="14" t="s">
        <v>9</v>
      </c>
      <c r="CI3" s="14" t="s">
        <v>16</v>
      </c>
      <c r="CJ3" s="14" t="s">
        <v>28</v>
      </c>
      <c r="CK3" s="14" t="s">
        <v>14</v>
      </c>
      <c r="CL3" s="14" t="s">
        <v>15</v>
      </c>
      <c r="CM3" s="14" t="s">
        <v>9</v>
      </c>
      <c r="CN3" s="14" t="s">
        <v>16</v>
      </c>
      <c r="CO3" s="14" t="s">
        <v>28</v>
      </c>
      <c r="CP3" s="14" t="s">
        <v>52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15</v>
      </c>
      <c r="DF3" s="14" t="s">
        <v>9</v>
      </c>
      <c r="DG3" s="14" t="s">
        <v>16</v>
      </c>
      <c r="DH3" s="14" t="s">
        <v>28</v>
      </c>
      <c r="DI3" s="14" t="s">
        <v>14</v>
      </c>
      <c r="DJ3" s="14" t="s">
        <v>15</v>
      </c>
      <c r="DK3" s="14" t="s">
        <v>9</v>
      </c>
      <c r="DL3" s="14" t="s">
        <v>16</v>
      </c>
      <c r="DM3" s="14" t="s">
        <v>28</v>
      </c>
      <c r="DN3" s="14" t="s">
        <v>14</v>
      </c>
      <c r="DO3" s="14" t="s">
        <v>15</v>
      </c>
      <c r="DP3" s="14" t="s">
        <v>9</v>
      </c>
      <c r="DQ3" s="14" t="s">
        <v>16</v>
      </c>
      <c r="DR3" s="14" t="s">
        <v>28</v>
      </c>
      <c r="DS3" s="14" t="s">
        <v>14</v>
      </c>
      <c r="DT3" s="14" t="s">
        <v>15</v>
      </c>
      <c r="DU3" s="14" t="s">
        <v>9</v>
      </c>
      <c r="DV3" s="14" t="s">
        <v>16</v>
      </c>
      <c r="DW3" s="14" t="s">
        <v>28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14</v>
      </c>
      <c r="EM3" s="13" t="s">
        <v>15</v>
      </c>
      <c r="EN3" s="13" t="s">
        <v>9</v>
      </c>
      <c r="EO3" s="13" t="s">
        <v>16</v>
      </c>
      <c r="EP3" s="13" t="s">
        <v>28</v>
      </c>
      <c r="EQ3" s="13" t="s">
        <v>14</v>
      </c>
      <c r="ER3" s="13" t="s">
        <v>15</v>
      </c>
      <c r="ES3" s="13" t="s">
        <v>9</v>
      </c>
      <c r="ET3" s="13" t="s">
        <v>16</v>
      </c>
      <c r="EU3" s="13" t="s">
        <v>28</v>
      </c>
      <c r="EV3" s="13" t="s">
        <v>14</v>
      </c>
      <c r="EW3" s="13" t="s">
        <v>15</v>
      </c>
      <c r="EX3" s="13" t="s">
        <v>9</v>
      </c>
      <c r="EY3" s="13" t="s">
        <v>16</v>
      </c>
      <c r="EZ3" s="13" t="s">
        <v>28</v>
      </c>
      <c r="FA3" s="13" t="s">
        <v>14</v>
      </c>
      <c r="FB3" s="13" t="s">
        <v>15</v>
      </c>
      <c r="FC3" s="13" t="s">
        <v>9</v>
      </c>
      <c r="FD3" s="13" t="s">
        <v>16</v>
      </c>
      <c r="FE3" s="13" t="s">
        <v>28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14</v>
      </c>
      <c r="FU3" s="14" t="s">
        <v>15</v>
      </c>
      <c r="FV3" s="14" t="s">
        <v>9</v>
      </c>
      <c r="FW3" s="14" t="s">
        <v>16</v>
      </c>
      <c r="FX3" s="14" t="s">
        <v>28</v>
      </c>
      <c r="FY3" s="14" t="s">
        <v>14</v>
      </c>
      <c r="FZ3" s="14" t="s">
        <v>15</v>
      </c>
      <c r="GA3" s="14" t="s">
        <v>9</v>
      </c>
      <c r="GB3" s="14" t="s">
        <v>16</v>
      </c>
      <c r="GC3" s="14" t="s">
        <v>28</v>
      </c>
      <c r="GD3" s="14" t="s">
        <v>14</v>
      </c>
      <c r="GE3" s="14" t="s">
        <v>15</v>
      </c>
      <c r="GF3" s="14" t="s">
        <v>9</v>
      </c>
      <c r="GG3" s="14" t="s">
        <v>16</v>
      </c>
      <c r="GH3" s="14" t="s">
        <v>28</v>
      </c>
      <c r="GI3" s="14" t="s">
        <v>14</v>
      </c>
      <c r="GJ3" s="14" t="s">
        <v>15</v>
      </c>
      <c r="GK3" s="14" t="s">
        <v>9</v>
      </c>
      <c r="GL3" s="14" t="s">
        <v>16</v>
      </c>
      <c r="GM3" s="14" t="s">
        <v>28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14</v>
      </c>
      <c r="HC3" s="13" t="s">
        <v>15</v>
      </c>
      <c r="HD3" s="13" t="s">
        <v>9</v>
      </c>
      <c r="HE3" s="13" t="s">
        <v>16</v>
      </c>
      <c r="HF3" s="13" t="s">
        <v>28</v>
      </c>
      <c r="HG3" s="13" t="s">
        <v>14</v>
      </c>
      <c r="HH3" s="13" t="s">
        <v>15</v>
      </c>
      <c r="HI3" s="13" t="s">
        <v>9</v>
      </c>
      <c r="HJ3" s="13" t="s">
        <v>16</v>
      </c>
      <c r="HK3" s="13" t="s">
        <v>28</v>
      </c>
      <c r="HL3" s="13" t="s">
        <v>14</v>
      </c>
      <c r="HM3" s="13" t="s">
        <v>15</v>
      </c>
      <c r="HN3" s="13" t="s">
        <v>9</v>
      </c>
      <c r="HO3" s="13" t="s">
        <v>16</v>
      </c>
      <c r="HP3" s="13" t="s">
        <v>28</v>
      </c>
      <c r="HQ3" s="13" t="s">
        <v>14</v>
      </c>
      <c r="HR3" s="13" t="s">
        <v>15</v>
      </c>
      <c r="HS3" s="13" t="s">
        <v>9</v>
      </c>
      <c r="HT3" s="13" t="s">
        <v>16</v>
      </c>
      <c r="HU3" s="13" t="s">
        <v>28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14</v>
      </c>
      <c r="IK3" s="14" t="s">
        <v>15</v>
      </c>
      <c r="IL3" s="14" t="s">
        <v>9</v>
      </c>
      <c r="IM3" s="14" t="s">
        <v>16</v>
      </c>
      <c r="IN3" s="14" t="s">
        <v>28</v>
      </c>
      <c r="IO3" s="14" t="s">
        <v>14</v>
      </c>
      <c r="IP3" s="14" t="s">
        <v>15</v>
      </c>
      <c r="IQ3" s="14" t="s">
        <v>9</v>
      </c>
      <c r="IR3" s="14" t="s">
        <v>16</v>
      </c>
      <c r="IS3" s="14" t="s">
        <v>28</v>
      </c>
      <c r="IT3" s="14" t="s">
        <v>14</v>
      </c>
      <c r="IU3" s="14" t="s">
        <v>15</v>
      </c>
      <c r="IV3" s="14" t="s">
        <v>9</v>
      </c>
      <c r="IW3" s="14" t="s">
        <v>16</v>
      </c>
      <c r="IX3" s="14" t="s">
        <v>28</v>
      </c>
      <c r="IY3" s="14" t="s">
        <v>14</v>
      </c>
      <c r="IZ3" s="14" t="s">
        <v>15</v>
      </c>
      <c r="JA3" s="14" t="s">
        <v>9</v>
      </c>
      <c r="JB3" s="14" t="s">
        <v>16</v>
      </c>
      <c r="JC3" s="14" t="s">
        <v>28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14</v>
      </c>
      <c r="JS3" s="13" t="s">
        <v>15</v>
      </c>
      <c r="JT3" s="13" t="s">
        <v>9</v>
      </c>
      <c r="JU3" s="13" t="s">
        <v>16</v>
      </c>
      <c r="JV3" s="13" t="s">
        <v>28</v>
      </c>
      <c r="JW3" s="13" t="s">
        <v>14</v>
      </c>
      <c r="JX3" s="13" t="s">
        <v>15</v>
      </c>
      <c r="JY3" s="13" t="s">
        <v>9</v>
      </c>
      <c r="JZ3" s="13" t="s">
        <v>16</v>
      </c>
      <c r="KA3" s="13" t="s">
        <v>28</v>
      </c>
      <c r="KB3" s="13" t="s">
        <v>14</v>
      </c>
      <c r="KC3" s="13" t="s">
        <v>15</v>
      </c>
      <c r="KD3" s="13" t="s">
        <v>9</v>
      </c>
      <c r="KE3" s="13" t="s">
        <v>16</v>
      </c>
      <c r="KF3" s="13" t="s">
        <v>28</v>
      </c>
      <c r="KG3" s="13" t="s">
        <v>14</v>
      </c>
      <c r="KH3" s="13" t="s">
        <v>15</v>
      </c>
      <c r="KI3" s="13" t="s">
        <v>9</v>
      </c>
      <c r="KJ3" s="13" t="s">
        <v>16</v>
      </c>
      <c r="KK3" s="13" t="s">
        <v>28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14</v>
      </c>
      <c r="LA3" s="14" t="s">
        <v>15</v>
      </c>
      <c r="LB3" s="14" t="s">
        <v>9</v>
      </c>
      <c r="LC3" s="14" t="s">
        <v>16</v>
      </c>
      <c r="LD3" s="14" t="s">
        <v>28</v>
      </c>
      <c r="LE3" s="14" t="s">
        <v>14</v>
      </c>
      <c r="LF3" s="14" t="s">
        <v>15</v>
      </c>
      <c r="LG3" s="14" t="s">
        <v>9</v>
      </c>
      <c r="LH3" s="14" t="s">
        <v>16</v>
      </c>
      <c r="LI3" s="14" t="s">
        <v>28</v>
      </c>
      <c r="LJ3" s="14" t="s">
        <v>14</v>
      </c>
      <c r="LK3" s="14" t="s">
        <v>15</v>
      </c>
      <c r="LL3" s="14" t="s">
        <v>9</v>
      </c>
      <c r="LM3" s="14" t="s">
        <v>16</v>
      </c>
      <c r="LN3" s="14" t="s">
        <v>28</v>
      </c>
      <c r="LO3" s="14" t="s">
        <v>14</v>
      </c>
      <c r="LP3" s="14" t="s">
        <v>15</v>
      </c>
      <c r="LQ3" s="14" t="s">
        <v>9</v>
      </c>
      <c r="LR3" s="14" t="s">
        <v>16</v>
      </c>
      <c r="LS3" s="14" t="s">
        <v>28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14</v>
      </c>
      <c r="MI3" s="13" t="s">
        <v>15</v>
      </c>
      <c r="MJ3" s="13" t="s">
        <v>9</v>
      </c>
      <c r="MK3" s="13" t="s">
        <v>16</v>
      </c>
      <c r="ML3" s="13" t="s">
        <v>28</v>
      </c>
      <c r="MM3" s="13" t="s">
        <v>14</v>
      </c>
      <c r="MN3" s="13" t="s">
        <v>15</v>
      </c>
      <c r="MO3" s="13" t="s">
        <v>9</v>
      </c>
      <c r="MP3" s="13" t="s">
        <v>16</v>
      </c>
      <c r="MQ3" s="13" t="s">
        <v>28</v>
      </c>
      <c r="MR3" s="13" t="s">
        <v>14</v>
      </c>
      <c r="MS3" s="13" t="s">
        <v>15</v>
      </c>
      <c r="MT3" s="13" t="s">
        <v>9</v>
      </c>
      <c r="MU3" s="13" t="s">
        <v>16</v>
      </c>
      <c r="MV3" s="13" t="s">
        <v>28</v>
      </c>
      <c r="MW3" s="13" t="s">
        <v>14</v>
      </c>
      <c r="MX3" s="13" t="s">
        <v>15</v>
      </c>
      <c r="MY3" s="13" t="s">
        <v>9</v>
      </c>
      <c r="MZ3" s="13" t="s">
        <v>16</v>
      </c>
      <c r="NA3" s="13" t="s">
        <v>28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14</v>
      </c>
      <c r="NQ3" s="14" t="s">
        <v>15</v>
      </c>
      <c r="NR3" s="14" t="s">
        <v>9</v>
      </c>
      <c r="NS3" s="14" t="s">
        <v>16</v>
      </c>
      <c r="NT3" s="14" t="s">
        <v>28</v>
      </c>
      <c r="NU3" s="14" t="s">
        <v>14</v>
      </c>
      <c r="NV3" s="14" t="s">
        <v>15</v>
      </c>
      <c r="NW3" s="14" t="s">
        <v>9</v>
      </c>
      <c r="NX3" s="14" t="s">
        <v>16</v>
      </c>
      <c r="NY3" s="14" t="s">
        <v>28</v>
      </c>
      <c r="NZ3" s="14" t="s">
        <v>14</v>
      </c>
      <c r="OA3" s="14" t="s">
        <v>15</v>
      </c>
      <c r="OB3" s="14" t="s">
        <v>9</v>
      </c>
      <c r="OC3" s="14" t="s">
        <v>16</v>
      </c>
      <c r="OD3" s="14" t="s">
        <v>28</v>
      </c>
      <c r="OE3" s="14" t="s">
        <v>14</v>
      </c>
      <c r="OF3" s="14" t="s">
        <v>15</v>
      </c>
      <c r="OG3" s="14" t="s">
        <v>9</v>
      </c>
      <c r="OH3" s="14" t="s">
        <v>16</v>
      </c>
      <c r="OI3" s="14" t="s">
        <v>28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14</v>
      </c>
      <c r="OY3" s="13" t="s">
        <v>15</v>
      </c>
      <c r="OZ3" s="13" t="s">
        <v>9</v>
      </c>
      <c r="PA3" s="13" t="s">
        <v>16</v>
      </c>
      <c r="PB3" s="13" t="s">
        <v>28</v>
      </c>
      <c r="PC3" s="13" t="s">
        <v>14</v>
      </c>
      <c r="PD3" s="13" t="s">
        <v>15</v>
      </c>
      <c r="PE3" s="13" t="s">
        <v>9</v>
      </c>
      <c r="PF3" s="13" t="s">
        <v>16</v>
      </c>
      <c r="PG3" s="13" t="s">
        <v>28</v>
      </c>
      <c r="PH3" s="13" t="s">
        <v>14</v>
      </c>
      <c r="PI3" s="13" t="s">
        <v>15</v>
      </c>
      <c r="PJ3" s="13" t="s">
        <v>9</v>
      </c>
      <c r="PK3" s="13" t="s">
        <v>16</v>
      </c>
      <c r="PL3" s="13" t="s">
        <v>28</v>
      </c>
      <c r="PM3" s="13" t="s">
        <v>14</v>
      </c>
      <c r="PN3" s="13" t="s">
        <v>15</v>
      </c>
      <c r="PO3" s="13" t="s">
        <v>9</v>
      </c>
      <c r="PP3" s="13" t="s">
        <v>16</v>
      </c>
      <c r="PQ3" s="13" t="s">
        <v>28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14</v>
      </c>
      <c r="QG3" s="14" t="s">
        <v>15</v>
      </c>
      <c r="QH3" s="14" t="s">
        <v>9</v>
      </c>
      <c r="QI3" s="14" t="s">
        <v>16</v>
      </c>
      <c r="QJ3" s="14" t="s">
        <v>28</v>
      </c>
      <c r="QK3" s="14" t="s">
        <v>14</v>
      </c>
      <c r="QL3" s="14" t="s">
        <v>15</v>
      </c>
      <c r="QM3" s="14" t="s">
        <v>9</v>
      </c>
      <c r="QN3" s="14" t="s">
        <v>16</v>
      </c>
      <c r="QO3" s="14" t="s">
        <v>28</v>
      </c>
      <c r="QP3" s="14" t="s">
        <v>14</v>
      </c>
      <c r="QQ3" s="14" t="s">
        <v>15</v>
      </c>
      <c r="QR3" s="14" t="s">
        <v>9</v>
      </c>
      <c r="QS3" s="14" t="s">
        <v>16</v>
      </c>
      <c r="QT3" s="14" t="s">
        <v>28</v>
      </c>
      <c r="QU3" s="14" t="s">
        <v>14</v>
      </c>
      <c r="QV3" s="14" t="s">
        <v>15</v>
      </c>
      <c r="QW3" s="14" t="s">
        <v>9</v>
      </c>
      <c r="QX3" s="14" t="s">
        <v>16</v>
      </c>
      <c r="QY3" s="14" t="s">
        <v>28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14</v>
      </c>
      <c r="RO3" s="13" t="s">
        <v>15</v>
      </c>
      <c r="RP3" s="13" t="s">
        <v>9</v>
      </c>
      <c r="RQ3" s="13" t="s">
        <v>16</v>
      </c>
      <c r="RR3" s="13" t="s">
        <v>28</v>
      </c>
      <c r="RS3" s="13" t="s">
        <v>14</v>
      </c>
      <c r="RT3" s="13" t="s">
        <v>15</v>
      </c>
      <c r="RU3" s="13" t="s">
        <v>9</v>
      </c>
      <c r="RV3" s="13" t="s">
        <v>16</v>
      </c>
      <c r="RW3" s="13" t="s">
        <v>28</v>
      </c>
      <c r="RX3" s="13" t="s">
        <v>14</v>
      </c>
      <c r="RY3" s="13" t="s">
        <v>15</v>
      </c>
      <c r="RZ3" s="13" t="s">
        <v>9</v>
      </c>
      <c r="SA3" s="13" t="s">
        <v>16</v>
      </c>
      <c r="SB3" s="13" t="s">
        <v>28</v>
      </c>
      <c r="SC3" s="13" t="s">
        <v>14</v>
      </c>
      <c r="SD3" s="13" t="s">
        <v>15</v>
      </c>
      <c r="SE3" s="13" t="s">
        <v>9</v>
      </c>
      <c r="SF3" s="13" t="s">
        <v>16</v>
      </c>
      <c r="SG3" s="13" t="s">
        <v>28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14</v>
      </c>
      <c r="SW3" s="14" t="s">
        <v>15</v>
      </c>
      <c r="SX3" s="14" t="s">
        <v>9</v>
      </c>
      <c r="SY3" s="14" t="s">
        <v>16</v>
      </c>
      <c r="SZ3" s="14" t="s">
        <v>28</v>
      </c>
      <c r="TA3" s="14" t="s">
        <v>14</v>
      </c>
      <c r="TB3" s="14" t="s">
        <v>15</v>
      </c>
      <c r="TC3" s="14" t="s">
        <v>9</v>
      </c>
      <c r="TD3" s="14" t="s">
        <v>16</v>
      </c>
      <c r="TE3" s="14" t="s">
        <v>28</v>
      </c>
      <c r="TF3" s="14" t="s">
        <v>14</v>
      </c>
      <c r="TG3" s="14" t="s">
        <v>15</v>
      </c>
      <c r="TH3" s="14" t="s">
        <v>9</v>
      </c>
      <c r="TI3" s="14" t="s">
        <v>16</v>
      </c>
      <c r="TJ3" s="14" t="s">
        <v>28</v>
      </c>
      <c r="TK3" s="14" t="s">
        <v>14</v>
      </c>
      <c r="TL3" s="14" t="s">
        <v>15</v>
      </c>
      <c r="TM3" s="14" t="s">
        <v>9</v>
      </c>
      <c r="TN3" s="14" t="s">
        <v>16</v>
      </c>
      <c r="TO3" s="14" t="s">
        <v>28</v>
      </c>
      <c r="TP3" s="6"/>
      <c r="TQ3" s="6"/>
      <c r="TR3" s="6"/>
      <c r="TS3" s="6"/>
      <c r="TT3" s="6"/>
      <c r="TU3" s="6"/>
      <c r="TV3" s="6"/>
      <c r="TW3" s="6"/>
      <c r="TX3" s="6"/>
      <c r="TY3" s="6"/>
      <c r="TZ3" s="6"/>
      <c r="UA3" s="6"/>
      <c r="UB3" s="6"/>
      <c r="UC3" s="6"/>
      <c r="UD3" s="13" t="s">
        <v>14</v>
      </c>
      <c r="UE3" s="13" t="s">
        <v>15</v>
      </c>
      <c r="UF3" s="13" t="s">
        <v>9</v>
      </c>
      <c r="UG3" s="13" t="s">
        <v>16</v>
      </c>
      <c r="UH3" s="13" t="s">
        <v>28</v>
      </c>
      <c r="UI3" s="13" t="s">
        <v>14</v>
      </c>
      <c r="UJ3" s="13" t="s">
        <v>15</v>
      </c>
      <c r="UK3" s="13" t="s">
        <v>9</v>
      </c>
      <c r="UL3" s="13" t="s">
        <v>16</v>
      </c>
      <c r="UM3" s="13" t="s">
        <v>28</v>
      </c>
      <c r="UN3" s="13" t="s">
        <v>14</v>
      </c>
      <c r="UO3" s="13" t="s">
        <v>15</v>
      </c>
      <c r="UP3" s="13" t="s">
        <v>9</v>
      </c>
      <c r="UQ3" s="13" t="s">
        <v>16</v>
      </c>
      <c r="UR3" s="13" t="s">
        <v>28</v>
      </c>
      <c r="US3" s="13" t="s">
        <v>14</v>
      </c>
      <c r="UT3" s="13" t="s">
        <v>15</v>
      </c>
      <c r="UU3" s="13" t="s">
        <v>9</v>
      </c>
      <c r="UV3" s="13" t="s">
        <v>16</v>
      </c>
      <c r="UW3" s="13" t="s">
        <v>28</v>
      </c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14" t="s">
        <v>14</v>
      </c>
      <c r="VM3" s="14" t="s">
        <v>15</v>
      </c>
      <c r="VN3" s="14" t="s">
        <v>9</v>
      </c>
      <c r="VO3" s="14" t="s">
        <v>16</v>
      </c>
      <c r="VP3" s="14" t="s">
        <v>28</v>
      </c>
      <c r="VQ3" s="14" t="s">
        <v>14</v>
      </c>
      <c r="VR3" s="14" t="s">
        <v>15</v>
      </c>
      <c r="VS3" s="14" t="s">
        <v>9</v>
      </c>
      <c r="VT3" s="14" t="s">
        <v>16</v>
      </c>
      <c r="VU3" s="14" t="s">
        <v>28</v>
      </c>
      <c r="VV3" s="14" t="s">
        <v>14</v>
      </c>
      <c r="VW3" s="14" t="s">
        <v>15</v>
      </c>
      <c r="VX3" s="14" t="s">
        <v>9</v>
      </c>
      <c r="VY3" s="14" t="s">
        <v>16</v>
      </c>
      <c r="VZ3" s="14" t="s">
        <v>28</v>
      </c>
      <c r="WA3" s="14" t="s">
        <v>14</v>
      </c>
      <c r="WB3" s="14" t="s">
        <v>15</v>
      </c>
      <c r="WC3" s="14" t="s">
        <v>9</v>
      </c>
      <c r="WD3" s="14" t="s">
        <v>16</v>
      </c>
      <c r="WE3" s="14" t="s">
        <v>28</v>
      </c>
      <c r="WF3" s="6"/>
      <c r="WG3" s="6"/>
      <c r="WH3" s="6"/>
      <c r="WI3" s="6"/>
      <c r="WJ3" s="6"/>
      <c r="WK3" s="6"/>
      <c r="WL3" s="6"/>
      <c r="WM3" s="6"/>
      <c r="WN3" s="6"/>
      <c r="WO3" s="6"/>
      <c r="WP3" s="6"/>
      <c r="WQ3" s="6"/>
      <c r="WR3" s="6"/>
      <c r="WS3" s="6"/>
      <c r="WT3" s="13" t="s">
        <v>14</v>
      </c>
      <c r="WU3" s="13" t="s">
        <v>15</v>
      </c>
      <c r="WV3" s="13" t="s">
        <v>9</v>
      </c>
      <c r="WW3" s="13" t="s">
        <v>16</v>
      </c>
      <c r="WX3" s="13" t="s">
        <v>28</v>
      </c>
      <c r="WY3" s="13" t="s">
        <v>14</v>
      </c>
      <c r="WZ3" s="13" t="s">
        <v>15</v>
      </c>
      <c r="XA3" s="13" t="s">
        <v>9</v>
      </c>
      <c r="XB3" s="13" t="s">
        <v>16</v>
      </c>
      <c r="XC3" s="13" t="s">
        <v>28</v>
      </c>
      <c r="XD3" s="13" t="s">
        <v>14</v>
      </c>
      <c r="XE3" s="13" t="s">
        <v>15</v>
      </c>
      <c r="XF3" s="13" t="s">
        <v>9</v>
      </c>
      <c r="XG3" s="13" t="s">
        <v>16</v>
      </c>
      <c r="XH3" s="13" t="s">
        <v>28</v>
      </c>
      <c r="XI3" s="13" t="s">
        <v>52</v>
      </c>
      <c r="XJ3" s="13"/>
      <c r="XK3" s="13"/>
      <c r="XL3" s="13"/>
      <c r="XM3" s="13"/>
      <c r="XN3" s="13"/>
      <c r="XO3" s="13"/>
      <c r="XP3" s="13"/>
      <c r="XQ3" s="13"/>
      <c r="XR3" s="13"/>
      <c r="XS3" s="13"/>
      <c r="XT3" s="13"/>
    </row>
    <row r="4" spans="1:644" x14ac:dyDescent="0.2">
      <c r="A4" s="4" cm="1">
        <f t="array" ref="A4">IF(AND(H4&lt;&gt;"",H4&lt;&gt;"No DD"),SUMPRODUCT((H$4:H$18&lt;&gt;"")*(H$4:H$18&lt;&gt;"No DD")*(E$4:E$18&gt;E4))+1,IF(H4="No DD",SUMPRODUCT((H$4:H$18="No DD")*(E$4:E$18&gt;E4))+1+SUMPRODUCT((H$4:H$18&lt;&gt;"")*(H$4:H$18&lt;&gt;"No DD")),""))</f>
        <v>1</v>
      </c>
      <c r="B4" s="5" t="s">
        <v>24</v>
      </c>
      <c r="C4" s="4" t="s">
        <v>7</v>
      </c>
      <c r="D4" s="4">
        <v>1998</v>
      </c>
      <c r="E4" s="9">
        <f t="shared" ref="E4:E17" si="0">SUM(J4:V4)+SUM(J4:T4)*0.0000001+SUM(J4)*0.0000000000001</f>
        <v>255.94002547800565</v>
      </c>
      <c r="F4" s="3" t="str">
        <f t="shared" ref="F4:F17" si="1">IF(OR(AND(AO4&gt;=AY$20,AO4&lt;&gt;"",AQ4&gt;=AY$24,AQ4&lt;&gt;"",AN4=""),AND(AR4&gt;=AY$20,AR4&lt;&gt;"",AT4&gt;=AY$24,AT4&lt;&gt;"",AN4=""),AND(AV4&gt;=AY$20,AV4&lt;&gt;"",AX4&gt;=AY$24,AX4&lt;&gt;"",AN4=""),AND(BP4&gt;=BZ$20,BP4&lt;&gt;"",BR4&gt;=BZ$24,BR4&lt;&gt;"",BO4=""),AND(BS4&gt;=BZ$20,BS4&lt;&gt;"",BU4&gt;=BZ$24,BU4&lt;&gt;"",BO4=""),AND(BW4&gt;=BZ$20,BW4&lt;&gt;"",BY4&gt;=BZ$24,BY4&lt;&gt;"",BO4=""),AND(CQ4&gt;=DA$20,CQ4&lt;&gt;"",CS4&gt;=DA$24,CS4&lt;&gt;"",CP4=""),AND(CT4&gt;=DA$20,CT4&lt;&gt;"",CV4&gt;=DA$24,CV4&lt;&gt;"",CP4=""),AND(CX4&gt;=DA$20,CX4&lt;&gt;"",CZ4&gt;=DA$24,CZ4&lt;&gt;"",CP4=""),AND(DX4&gt;=EK$20,DX4&lt;&gt;"",DZ4&gt;=EK$24,DZ4&lt;&gt;""),AND(EA4&gt;=EK$20,EA4&lt;&gt;"",EC4&gt;=EK$24,EC4&lt;&gt;""),AND(EE4&gt;=EK$20,EE4&lt;&gt;"",EG4&gt;=EK$24,EG4&lt;&gt;""),AND(EH4&gt;=EK$20,EH4&lt;&gt;"",EJ4&gt;=EK$24,EJ4&lt;&gt;""),AND(FF4&gt;=FS$20,FF4&lt;&gt;"",FH4&gt;=FS$24,FH4&lt;&gt;""),AND(FI4&gt;=FS$20,FI4&lt;&gt;"",FK4&gt;=FS$24,FK4&lt;&gt;""),AND(FM4&gt;=FS$20,FM4&lt;&gt;"",FO4&gt;=FS$24,FO4&lt;&gt;""),AND(FP4&gt;=FS$20,FP4&lt;&gt;"",FR4&gt;=FS$24,FR4&lt;&gt;""),AND(GN4&gt;=HA$20,GN4&lt;&gt;"",GP4&gt;=HA$24,GP4&lt;&gt;""),AND(GQ4&gt;=HA$20,GQ4&lt;&gt;"",GS4&gt;=HA$24,GS4&lt;&gt;""),AND(GU4&gt;=HA$20,GU4&lt;&gt;"",GW4&gt;=HA$24,GW4&lt;&gt;""),AND(GX4&gt;=HA$20,GX4&lt;&gt;"",GZ4&gt;=HA$24,GZ4&lt;&gt;""),AND(HV4&gt;=II$20,HV4&lt;&gt;"",HX4&gt;=II$24,HX4&lt;&gt;""),AND(HY4&gt;=II$20,HY4&lt;&gt;"",IA4&gt;=II$24,IA4&lt;&gt;""),AND(IC4&gt;=II$20,IC4&lt;&gt;"",IE4&gt;=II$24,IE4&lt;&gt;""),AND(IF4&gt;=II$20,IF4&lt;&gt;"",IH4&gt;=II$24,IH4&lt;&gt;""),AND(JD4&gt;=JQ$20,JD4&lt;&gt;"",JF4&gt;=JQ$24,JF4&lt;&gt;""),AND(JG4&gt;=JQ$20,JG4&lt;&gt;"",JI4&gt;=JQ$24,JI4&lt;&gt;""),AND(JK4&gt;=JQ$20,JK4&lt;&gt;"",JM4&gt;=JQ$24,JM4&lt;&gt;""),AND(JN4&gt;=JQ$20,JN4&lt;&gt;"",JP4&gt;=JQ$24,JP4&lt;&gt;""),AND(KL4&gt;=KY$20,KL4&lt;&gt;"",KN4&gt;=KY$24,KN4&lt;&gt;""),AND(KO4&gt;=KY$20,KO4&lt;&gt;"",KQ4&gt;=KY$24,KQ4&lt;&gt;""),AND(KS4&gt;=KY$20,KS4&lt;&gt;"",KU4&gt;=KY$24,KU4&lt;&gt;""),AND(KV4&gt;=KY$20,KV4&lt;&gt;"",KX4&gt;=KY$24,KX4&lt;&gt;""),AND(LT4&gt;=MG$20,LT4&lt;&gt;"",LV4&gt;=MG$24,LV4&lt;&gt;""),AND(LW4&gt;=MG$20,LW4&lt;&gt;"",LY4&gt;=MG$24,LY4&lt;&gt;""),AND(MA4&gt;=MG$20,MA4&lt;&gt;"",MC4&gt;=MG$24,MC4&lt;&gt;""),AND(MD4&gt;=MG$20,MD4&lt;&gt;"",MF4&gt;=MG$24,MF4&lt;&gt;""),AND(NB4&gt;=NO$20,NB4&lt;&gt;"",ND4&gt;=NO$24,ND4&lt;&gt;""),AND(NE4&gt;=NO$20,NE4&lt;&gt;"",NG4&gt;=NO$24,NG4&lt;&gt;""),AND(NI4&gt;=NO$20,NI4&lt;&gt;"",NK4&gt;=NO$24,NK4&lt;&gt;""),AND(NL4&gt;=NO$20,NL4&lt;&gt;"",NN4&gt;=NO$24,NN4&lt;&gt;""),AND(OJ4&gt;=OW$20,OJ4&lt;&gt;"",OL4&gt;=OW$24,OL4&lt;&gt;""),AND(OM4&gt;=OW$20,OM4&lt;&gt;"",OO4&gt;=OW$24,OO4&lt;&gt;""),AND(OQ4&gt;=OW$20,OQ4&lt;&gt;"",OS4&gt;=OW$24,OS4&lt;&gt;""),AND(OT4&gt;=OW$20,OT4&lt;&gt;"",OV4&gt;=OW$24,OV4&lt;&gt;""),AND(PR4&gt;=QE$20,PR4&lt;&gt;"",PT4&gt;=QE$24,PT4&lt;&gt;""),AND(PU4&gt;=QE$20,PU4&lt;&gt;"",PW4&gt;=QE$24,PW4&lt;&gt;""),AND(PY4&gt;=QE$20,PY4&lt;&gt;"",QA4&gt;=QE$24,QA4&lt;&gt;""),AND(QB4&gt;=QE$20,QB4&lt;&gt;"",QD4&gt;=QE$24,QD4&lt;&gt;""),AND(QZ4&gt;=RM$20,QZ4&lt;&gt;"",RB4&gt;=RM$24,RB4&lt;&gt;""),AND(RC4&gt;=RM$20,RC4&lt;&gt;"",RE4&gt;=RM$24,RE4&lt;&gt;""),AND(RG4&gt;=RM$20,RG4&lt;&gt;"",RI4&gt;=RM$24,RI4&lt;&gt;""),AND(RJ4&gt;=RM$20,RJ4&lt;&gt;"",RL4&gt;=RM$24,RL4&lt;&gt;""),AND(SH4&gt;=SU$20,SH4&lt;&gt;"",SJ4&gt;=SU$24,SJ4&lt;&gt;""),AND(SK4&gt;=SU$20,SK4&lt;&gt;"",SM4&gt;=SU$24,SM4&lt;&gt;""),AND(SO4&gt;=SU$20,SO4&lt;&gt;"",SQ4&gt;=SU$24,SQ4&lt;&gt;""),AND(SR4&gt;=SU$20,SR4&lt;&gt;"",ST4&gt;=SU$24,ST4&lt;&gt;""),AND(TP4&gt;=UC$20,TP4&lt;&gt;"",TR4&gt;=UC$24,TR4&lt;&gt;""),AND(TS4&gt;=UC$20,TS4&lt;&gt;"",TU4&gt;=UC$24,TU4&lt;&gt;""),AND(TW4&gt;=UC$20,TW4&lt;&gt;"",TY4&gt;=UC$24,TYY4&lt;&gt;""),AND(TZ4&gt;=UC$20,TZ4&lt;&gt;"",UB4&gt;=UC$24,UB4&lt;&gt;""),AND(UX4&gt;=VK$20,UX4&lt;&gt;"",UZ4&gt;=VK$24,UZ4&lt;&gt;""),AND(VA4&gt;=VK$20,VA4&lt;&gt;"",VC4&gt;=VK$24,VC4&lt;&gt;""),AND(VE4&gt;=VK$20,VE4&lt;&gt;"",VG4&gt;=VK$24,VG4&lt;&gt;""),AND(VH4&gt;=VK$20,VH4&lt;&gt;"",VJ4&gt;=VK$24,VJ4&lt;&gt;""),AND(WF4&gt;=WS$20,WF4&lt;&gt;"",WH4&gt;=WS$24,WH4&lt;&gt;""),AND(WI4&gt;=WS$20,WI4&lt;&gt;"",WK4&gt;=WS$24,WK4&lt;&gt;""),AND(WM4&gt;=WS$20,WM4&lt;&gt;"",WO4&gt;=WS$24,WO4&lt;&gt;""),AND(WP4&gt;=WS$20,WP4&lt;&gt;"",WR4&gt;=WS$24,WR4&lt;&gt;"")),"P","")</f>
        <v>P</v>
      </c>
      <c r="G4" s="3" t="str">
        <f t="shared" ref="G4:G17" si="2">IF(OR(AND(AQ4&gt;=AY$24,AQ4&lt;&gt;"",AN4=""),AND(AT4&gt;=AY$24,AT4&lt;&gt;"",AN4=""),AND(AX4&gt;=AY$24,AX4&lt;&gt;"",AN4=""),AND(BR4&gt;=BZ$24,BR4&lt;&gt;"",BO4=""),AND(BU4&gt;=BZ$24,BU4&lt;&gt;"",BO4=""),AND(BY4&gt;=BZ$24,BY4&lt;&gt;"",BO4=""),AND(CS4&gt;=DA$24,CS4&lt;&gt;"",CP4=""),AND(CV4&gt;=DA$24,CV4&lt;&gt;"",CP4=""),AND(CZ4&gt;=DA$24,CZ4&lt;&gt;"",CP4=""),AND(DZ4&gt;=EK$24,DZ4&lt;&gt;""),AND(EC4&gt;=EK$24,EC4&lt;&gt;""),AND(EG4&gt;=EK$24,EG4&lt;&gt;""),AND(EJ4&gt;=EK$24,EJ4&lt;&gt;""),AND(FH4&gt;=FS$24,FH4&lt;&gt;""),AND(FK4&gt;=FS$24,FK4&lt;&gt;""),AND(FO4&gt;=FS$24,FO4&lt;&gt;""),AND(FR4&gt;=FS$24,FR4&lt;&gt;""),AND(GP4&gt;=HA$24,GP4&lt;&gt;""),AND(GS4&gt;=HA$24,GS4&lt;&gt;""),AND(GW4&gt;=HA$24,GW4&lt;&gt;""),AND(GZ4&gt;=HA$24,GZ4&lt;&gt;""),AND(HX4&gt;=II$24,HX4&lt;&gt;""),AND(IA4&gt;=II$24,IA4&lt;&gt;""),AND(IE4&gt;=II$24,IE4&lt;&gt;""),AND(IH4&gt;=II$24,IH4&lt;&gt;""),AND(JF4&gt;=JQ$24,JF4&lt;&gt;""),AND(JI4&gt;=JQ$24,JI4&lt;&gt;""),AND(JM4&gt;=JQ$24,JM4&lt;&gt;""),AND(JP4&gt;=JQ$24,JP4&lt;&gt;""),AND(KN4&gt;=KY$24,KN4&lt;&gt;""),AND(KQ4&gt;=KY$24,KQ4&lt;&gt;""),AND(KU4&gt;=KY$24,KU4&lt;&gt;""),AND(KX4&gt;=KY$24,KX4&lt;&gt;""),AND(LV4&gt;=MG$24,LV4&lt;&gt;""),AND(LY4&gt;=MG$24,LY4&lt;&gt;""),AND(MC4&gt;=MG$24,MC4&lt;&gt;""),AND(MF4&gt;=MG$24,MF4&lt;&gt;""),AND(ND4&gt;=NO$24,ND4&lt;&gt;""),AND(NG4&gt;=NO$24,NG4&lt;&gt;""),AND(NK4&gt;=NO$24,NK4&lt;&gt;""),AND(NN4&gt;=NO$24,NN4&lt;&gt;""),AND(OL4&gt;=OW$24,OL4&lt;&gt;""),AND(OO4&gt;=OW$24,OO4&lt;&gt;""),AND(OS4&gt;=OW$24,OS4&lt;&gt;""),AND(OV4&gt;=OW$24,OV4&lt;&gt;""),AND(PT4&gt;=QE$24,PT4&lt;&gt;""),AND(PW4&gt;=QE$24,PW4&lt;&gt;""),AND(QA4&gt;=QE$24,QA4&lt;&gt;""),AND(QD4&gt;=QE$24,QD4&lt;&gt;""),AND(RB4&gt;=RM$24,RB4&lt;&gt;""),AND(RE4&gt;=RM$24,RE4&lt;&gt;""),AND(RI4&gt;=RM$24,RI4&lt;&gt;""),AND(RL4&gt;=RM$24,RL4&lt;&gt;""),AND(SJ4&gt;=SU$24,SJ4&lt;&gt;""),AND(SM4&gt;=SU$24,SM4&lt;&gt;""),AND(SQ4&gt;=SU$24,SQ4&lt;&gt;""),AND(ST4&gt;=SU$24,ST4&lt;&gt;""),AND(TR4&gt;=UC$24,TR4&lt;&gt;""),AND(TU4&gt;=UC$24,TU4&lt;&gt;""),AND(TY4&gt;=UC$24,TYY4&lt;&gt;""),AND(UB4&gt;=UC$24,UB4&lt;&gt;""),AND(UZ4&gt;=VK$24,UZ4&lt;&gt;""),AND(VC4&gt;=VK$24,VC4&lt;&gt;""),AND(VG4&gt;=VK$24,VG4&lt;&gt;""),AND(VJ4&gt;=VK$24,VJ4&lt;&gt;""),AND(WH4&gt;=WS$24,WH4&lt;&gt;""),AND(WK4&gt;=WS$24,WK4&lt;&gt;""),AND(WO4&gt;=WS$24,WO4&lt;&gt;""),AND(WR4&gt;=WS$24,WR4&lt;&gt;"")),"P","")</f>
        <v>P</v>
      </c>
      <c r="H4" s="36" t="str">
        <f t="shared" ref="H4:H17" si="3">IF(AND(G4="P",F4=""),"No DD",IF(OR(AND(AO4&gt;=AY$23,AO4&lt;&gt;"",AQ4&gt;=AY$27,AQ4&lt;&gt;"",AN4=""),AND(AR4&gt;=AY$23,AR4&lt;&gt;"",AT4&gt;=AY$27,AT4&lt;&gt;"",AN4=""),AND(AV4&gt;=AY$23,AV4&lt;&gt;"",AX4&gt;=AY$27,AX4&lt;&gt;"",AN4=""),AND(BP4&gt;=BZ$23,BP4&lt;&gt;"",BR4&gt;=BZ$27,BR4&lt;&gt;"",BO4=""),AND(BS4&gt;=BZ$23,BS4&lt;&gt;"",BU4&gt;=BZ$27,BU4&lt;&gt;"",BO4=""),AND(BW4&gt;=BZ$23,BW4&lt;&gt;"",BY4&gt;=BZ$27,BY4&lt;&gt;"",BO4=""),AND(CQ4&gt;=DA$23,CQ4&lt;&gt;"",CS4&gt;=DA$27,CS4&lt;&gt;"",CP4=""),AND(CT4&gt;=DA$23,CT4&lt;&gt;"",CV4&gt;=DA$27,CV4&lt;&gt;"",CP4=""),AND(CX4&gt;=DA$23,CX4&lt;&gt;"",CZ4&gt;=DA$27,CZ4&lt;&gt;"",CP4=""),AND(DX4&gt;=EK$23,DX4&lt;&gt;"",DZ4&gt;=EK$27,DZ4&lt;&gt;""),AND(EA4&gt;=EK$23,EA4&lt;&gt;"",EC4&gt;=EK$27,EC4&lt;&gt;""),AND(EE4&gt;=EK$23,EE4&lt;&gt;"",EG4&gt;=EK$27,EG4&lt;&gt;""),AND(EH4&gt;=EK$23,EH4&lt;&gt;"",EJ4&gt;=EK$27,EJ4&lt;&gt;""),AND(FF4&gt;=FS$23,FF4&lt;&gt;"",FH4&gt;=FS$27,FH4&lt;&gt;""),AND(FI4&gt;=FS$23,FI4&lt;&gt;"",FK4&gt;=FS$27,FK4&lt;&gt;""),AND(FM4&gt;=FS$23,FM4&lt;&gt;"",FO4&gt;=FS$27,FO4&lt;&gt;""),AND(FP4&gt;=FS$23,FP4&lt;&gt;"",FR4&gt;=FS$27,FR4&lt;&gt;""),AND(GN4&gt;=HA$23,GN4&lt;&gt;"",GP4&gt;=HA$27,GP4&lt;&gt;""),AND(GQ4&gt;=HA$23,GQ4&lt;&gt;"",GS4&gt;=HA$27,GS4&lt;&gt;""),AND(GU4&gt;=HA$23,GU4&lt;&gt;"",GW4&gt;=HA$27,GW4&lt;&gt;""),AND(GX4&gt;=HA$23,GX4&lt;&gt;"",GZ4&gt;=HA$27,GZ4&lt;&gt;""),AND(HV4&gt;=II$23,HV4&lt;&gt;"",HX4&gt;=II$27,HX4&lt;&gt;""),AND(HY4&gt;=II$23,HY4&lt;&gt;"",IA4&gt;=II$27,IA4&lt;&gt;""),AND(IC4&gt;=II$23,IC4&lt;&gt;"",IE4&gt;=II$27,IE4&lt;&gt;""),AND(IF4&gt;=II$23,IF4&lt;&gt;"",IH4&gt;=II$27,IH4&lt;&gt;""),AND(JD4&gt;=JQ$23,JD4&lt;&gt;"",JF4&gt;=JQ$27,JF4&lt;&gt;""),AND(JG4&gt;=JQ$23,JG4&lt;&gt;"",JI4&gt;=JQ$27,JI4&lt;&gt;""),AND(JK4&gt;=JQ$23,JK4&lt;&gt;"",JM4&gt;=JQ$27,JM4&lt;&gt;""),AND(JN4&gt;=JQ$23,JN4&lt;&gt;"",JP4&gt;=JQ$27,JP4&lt;&gt;""),AND(KL4&gt;=KY$23,KL4&lt;&gt;"",KN4&gt;=KY$27,KN4&lt;&gt;""),AND(KO4&gt;=KY$23,KO4&lt;&gt;"",KQ4&gt;=KY$27,KQ4&lt;&gt;""),AND(KS4&gt;=KY$23,KS4&lt;&gt;"",KU4&gt;=KY$27,KU4&lt;&gt;""),AND(KV4&gt;=KY$23,KV4&lt;&gt;"",KX4&gt;=KY$27,KX4&lt;&gt;""),AND(LT4&gt;=MG$23,LT4&lt;&gt;"",LV4&gt;=MG$27,LV4&lt;&gt;""),AND(LW4&gt;=MG$23,LW4&lt;&gt;"",LY4&gt;=MG$27,LY4&lt;&gt;""),AND(MA4&gt;=MG$23,MA4&lt;&gt;"",MC4&gt;=MG$27,MC4&lt;&gt;""),AND(MD4&gt;=MG$23,MD4&lt;&gt;"",MF4&gt;=MG$27,MF4&lt;&gt;""),AND(NB4&gt;=NO$23,NB4&lt;&gt;"",ND4&gt;=NO$27,ND4&lt;&gt;""),AND(NE4&gt;=NO$23,NE4&lt;&gt;"",NG4&gt;=NO$27,NG4&lt;&gt;""),AND(NI4&gt;=NO$23,NI4&lt;&gt;"",NK4&gt;=NO$27,NK4&lt;&gt;""),AND(NL4&gt;=NO$23,NL4&lt;&gt;"",NN4&gt;=NO$27,NN4&lt;&gt;""),AND(OJ4&gt;=OW$23,OJ4&lt;&gt;"",OL4&gt;=OW$27,OL4&lt;&gt;""),AND(OM4&gt;=OW$23,OM4&lt;&gt;"",OO4&gt;=OW$27,OO4&lt;&gt;""),AND(OQ4&gt;=OW$23,OQ4&lt;&gt;"",OS4&gt;=OW$27,OS4&lt;&gt;""),AND(OT4&gt;=OW$23,OT4&lt;&gt;"",OV4&gt;=OW$27,OV4&lt;&gt;""),AND(PR4&gt;=QE$23,PR4&lt;&gt;"",PT4&gt;=QE$27,PT4&lt;&gt;""),AND(PU4&gt;=QE$23,PU4&lt;&gt;"",PW4&gt;=QE$27,PW4&lt;&gt;""),AND(PY4&gt;=QE$23,PY4&lt;&gt;"",QA4&gt;=QE$27,QA4&lt;&gt;""),AND(QB4&gt;=QE$23,QB4&lt;&gt;"",QD4&gt;=QE$27,QD4&lt;&gt;""),AND(QZ4&gt;=RM$23,QZ4&lt;&gt;"",RB4&gt;=RM$27,RB4&lt;&gt;""),AND(RC4&gt;=RM$23,RC4&lt;&gt;"",RE4&gt;=RM$27,RE4&lt;&gt;""),AND(RG4&gt;=RM$23,RG4&lt;&gt;"",RI4&gt;=RM$27,RI4&lt;&gt;""),AND(RJ4&gt;=RM$23,RJ4&lt;&gt;"",RL4&gt;=RM$27,RL4&lt;&gt;""),AND(SH4&gt;=SU$23,SH4&lt;&gt;"",SJ4&gt;=SU$27,SJ4&lt;&gt;""),AND(SK4&gt;=SU$23,SK4&lt;&gt;"",SM4&gt;=SU$27,SM4&lt;&gt;""),AND(SO4&gt;=SU$23,SO4&lt;&gt;"",SQ4&gt;=SU$27,SQ4&lt;&gt;""),AND(SR4&gt;=SU$23,SR4&lt;&gt;"",ST4&gt;=SU$27,ST4&lt;&gt;""),AND(TP4&gt;=UC$23,TP4&lt;&gt;"",TR4&gt;=UC$27,TR4&lt;&gt;""),AND(TS4&gt;=UC$23,TS4&lt;&gt;"",TU4&gt;=UC$27,TU4&lt;&gt;""),AND(TW4&gt;=UC$23,TW4&lt;&gt;"",TY4&gt;=UC$347,TYY4&lt;&gt;""),AND(TZ4&gt;=UC$23,TZ4&lt;&gt;"",UB4&gt;=UC$27,UB4&lt;&gt;""),AND(UX4&gt;=VK$23,UX4&lt;&gt;"",UZ4&gt;=VK$27,UZ4&lt;&gt;""),AND(VA4&gt;=VK$23,VA4&lt;&gt;"",VC4&gt;=VK$27,VC4&lt;&gt;""),AND(VE4&gt;=VK$23,VE4&lt;&gt;"",VG4&gt;=VK$27,VG4&lt;&gt;""),AND(VH4&gt;=VK$23,VH4&lt;&gt;"",VJ4&gt;=VK$27,VJ4&lt;&gt;""),AND(WF4&gt;=WS$23,WF4&lt;&gt;"",WH4&gt;=WS$27,WH4&lt;&gt;""),AND(WI4&gt;=WS$23,WI4&lt;&gt;"",WK4&gt;=WS$27,WK4&lt;&gt;""),AND(WM4&gt;=WS$23,WM4&lt;&gt;"",WO4&gt;=WS$27,WO4&lt;&gt;""),AND(WP4&gt;=WS$23,WP4&lt;&gt;"",WR4&gt;=WS$27,WR4&lt;&gt;"")),"Merit",IF(OR(AND(AO4&gt;=AY$22,AO4&lt;&gt;"",AQ4&gt;=AY$26,AQ4&lt;&gt;"",AN4=""),AND(AR4&gt;=AY$22,AR4&lt;&gt;"",AT4&gt;=AY$26,AT4&lt;&gt;"",AN4=""),AND(AV4&gt;=AY$22,AV4&lt;&gt;"",AX4&gt;=AY$26,AX4&lt;&gt;"",AN4=""),AND(BP4&gt;=BZ$22,BP4&lt;&gt;"",BR4&gt;=BZ$26,BR4&lt;&gt;"",BO4=""),AND(BS4&gt;=BZ$22,BS4&lt;&gt;"",BU4&gt;=BZ$26,BU4&lt;&gt;"",BO4=""),AND(BW4&gt;=BZ$22,BW4&lt;&gt;"",BY4&gt;=BZ$26,BY4&lt;&gt;"",BO4=""),AND(CQ4&gt;=DA$22,CQ4&lt;&gt;"",CS4&gt;=DA$26,CS4&lt;&gt;"",CP4=""),AND(CT4&gt;=DA$22,CT4&lt;&gt;"",CV4&gt;=DA$26,CV4&lt;&gt;"",CP4=""),AND(CX4&gt;=DA$22,CX4&lt;&gt;"",CZ4&gt;=DA$26,CZ4&lt;&gt;"",CP4=""),AND(DX4&gt;=EK$22,DX4&lt;&gt;"",DZ4&gt;=EK$26,DZ4&lt;&gt;""),AND(EA4&gt;=EK$22,EA4&lt;&gt;"",EC4&gt;=EK$26,EC4&lt;&gt;""),AND(EE4&gt;=EK$22,EE4&lt;&gt;"",EG4&gt;=EK$26,EG4&lt;&gt;""),AND(EH4&gt;=EK$22,EH4&lt;&gt;"",EJ4&gt;=EK$26,EJ4&lt;&gt;""),AND(FF4&gt;=FS$22,FF4&lt;&gt;"",FH4&gt;=FS$26,FH4&lt;&gt;""),AND(FI4&gt;=FS$22,FI4&lt;&gt;"",FK4&gt;=FS$26,FK4&lt;&gt;""),AND(FM4&gt;=FS$22,FM4&lt;&gt;"",FO4&gt;=FS$26,FO4&lt;&gt;""),AND(FP4&gt;=FS$22,FP4&lt;&gt;"",FR4&gt;=FS$26,FR4&lt;&gt;""),AND(GN4&gt;=HA$22,GN4&lt;&gt;"",GP4&gt;=HA$26,GP4&lt;&gt;""),AND(GQ4&gt;=HA$22,GQ4&lt;&gt;"",GS4&gt;=HA$26,GS4&lt;&gt;""),AND(GU4&gt;=HA$22,GU4&lt;&gt;"",GW4&gt;=HA$26,GW4&lt;&gt;""),AND(GX4&gt;=HA$22,GX4&lt;&gt;"",GZ4&gt;=HA$26,GZ4&lt;&gt;""),AND(HV4&gt;=II$22,HV4&lt;&gt;"",HX4&gt;=II$26,HX4&lt;&gt;""),AND(HY4&gt;=II$22,HY4&lt;&gt;"",IA4&gt;=II$26,IA4&lt;&gt;""),AND(IC4&gt;=II$22,IC4&lt;&gt;"",IE4&gt;=II$26,IE4&lt;&gt;""),AND(IF4&gt;=II$22,IF4&lt;&gt;"",IH4&gt;=II$26,IH4&lt;&gt;""),AND(JD4&gt;=JQ$22,JD4&lt;&gt;"",JF4&gt;=JQ$26,JF4&lt;&gt;""),AND(JG4&gt;=JQ$22,JG4&lt;&gt;"",JI4&gt;=JQ$26,JI4&lt;&gt;""),AND(JK4&gt;=JQ$22,JK4&lt;&gt;"",JM4&gt;=JQ$26,JM4&lt;&gt;""),AND(JN4&gt;=JQ$22,JN4&lt;&gt;"",JP4&gt;=JQ$26,JP4&lt;&gt;""),AND(KL4&gt;=KY$22,KL4&lt;&gt;"",KN4&gt;=KY$26,KN4&lt;&gt;""),AND(KO4&gt;=KY$22,KO4&lt;&gt;"",KQ4&gt;=KY$26,KQ4&lt;&gt;""),AND(KS4&gt;=KY$22,KS4&lt;&gt;"",KU4&gt;=KY$26,KU4&lt;&gt;""),AND(KV4&gt;=KY$22,KV4&lt;&gt;"",KX4&gt;=KY$26,KX4&lt;&gt;""),AND(LT4&gt;=MG$22,LT4&lt;&gt;"",LV4&gt;=MG$26,LV4&lt;&gt;""),AND(LW4&gt;=MG$22,LW4&lt;&gt;"",LY4&gt;=MG$26,LY4&lt;&gt;""),AND(MA4&gt;=MG$22,MA4&lt;&gt;"",MC4&gt;=MG$26,MC4&lt;&gt;""),AND(MD4&gt;=MG$22,MD4&lt;&gt;"",MF4&gt;=MG$26,MF4&lt;&gt;""),AND(NB4&gt;=NO$22,NB4&lt;&gt;"",ND4&gt;=NO$26,ND4&lt;&gt;""),AND(NE4&gt;=NO$22,NE4&lt;&gt;"",NG4&gt;=NO$26,NG4&lt;&gt;""),AND(NI4&gt;=NO$22,NI4&lt;&gt;"",NK4&gt;=NO$26,NK4&lt;&gt;""),AND(NL4&gt;=NO$22,NL4&lt;&gt;"",NN4&gt;=NO$26,NN4&lt;&gt;""),AND(OJ4&gt;=OW$22,OJ4&lt;&gt;"",OL4&gt;=OW$26,OL4&lt;&gt;""),AND(OM4&gt;=OW$22,OM4&lt;&gt;"",OO4&gt;=OW$26,OO4&lt;&gt;""),AND(OQ4&gt;=OW$22,OQ4&lt;&gt;"",OS4&gt;=OW$26,OS4&lt;&gt;""),AND(OT4&gt;=OW$22,OT4&lt;&gt;"",OV4&gt;=OW$26,OV4&lt;&gt;""),AND(PR4&gt;=QE$22,PR4&lt;&gt;"",PT4&gt;=QE$26,PT4&lt;&gt;""),AND(PU4&gt;=QE$22,PU4&lt;&gt;"",PW4&gt;=QE$26,PW4&lt;&gt;""),AND(PY4&gt;=QE$22,PY4&lt;&gt;"",QA4&gt;=QE$26,QA4&lt;&gt;""),AND(QB4&gt;=QE$22,QB4&lt;&gt;"",QD4&gt;=QE$26,QD4&lt;&gt;""),AND(QZ4&gt;=RM$22,QZ4&lt;&gt;"",RB4&gt;=RM$26,RB4&lt;&gt;""),AND(RC4&gt;=RM$22,RC4&lt;&gt;"",RE4&gt;=RM$26,RE4&lt;&gt;""),AND(RG4&gt;=RM$22,RG4&lt;&gt;"",RI4&gt;=RM$26,RI4&lt;&gt;""),AND(RJ4&gt;=RM$22,RJ4&lt;&gt;"",RL4&gt;=RM$26,RL4&lt;&gt;""),AND(SH4&gt;=SU$22,SH4&lt;&gt;"",SJ4&gt;=SU$26,SJ4&lt;&gt;""),AND(SK4&gt;=SU$22,SK4&lt;&gt;"",SM4&gt;=SU$26,SM4&lt;&gt;""),AND(SO4&gt;=SU$22,SO4&lt;&gt;"",SQ4&gt;=SU$26,SQ4&lt;&gt;""),AND(SR4&gt;=SU$22,SR4&lt;&gt;"",ST4&gt;=SU$26,ST4&lt;&gt;""),AND(TP4&gt;=UC$22,TP4&lt;&gt;"",TR4&gt;=UC$26,TR4&lt;&gt;""),AND(TS4&gt;=UC$22,TS4&lt;&gt;"",TU4&gt;=UC$26,TU4&lt;&gt;""),AND(TW4&gt;=UC$22,TW4&lt;&gt;"",TY4&gt;=UC$26,TYY4&lt;&gt;""),AND(TZ4&gt;=UC$22,TZ4&lt;&gt;"",UB4&gt;=UC$26,UB4&lt;&gt;""),AND(UX4&gt;=VK$22,UX4&lt;&gt;"",UZ4&gt;=VK$26,UZ4&lt;&gt;""),AND(VA4&gt;=VK$22,VA4&lt;&gt;"",VC4&gt;=VK$26,VC4&lt;&gt;""),AND(VE4&gt;=VK$22,VE4&lt;&gt;"",VG4&gt;=VK$26,VG4&lt;&gt;""),AND(VH4&gt;=VK$22,VH4&lt;&gt;"",VJ4&gt;=VK$26,VJ4&lt;&gt;""),AND(WF4&gt;=WS$22,WF4&lt;&gt;"",WH4&gt;=WS$26,WH4&lt;&gt;""),AND(WI4&gt;=WS$22,WI4&lt;&gt;"",WK4&gt;=WS$26,WK4&lt;&gt;""),AND(WM4&gt;=WS$22,WM4&lt;&gt;"",WO4&gt;=WS$26,WO4&lt;&gt;""),AND(WP4&gt;=WS$22,WP4&lt;&gt;"",WR4&gt;=WS$26,WR4&lt;&gt;"")),"Excellence",IF(I4="P","Worlds Team",IF(F4="P","National Team","")))))</f>
        <v>Merit</v>
      </c>
      <c r="I4" s="3" t="str">
        <f t="shared" ref="I4:I17" si="4">IF(OR(AND(AO4&gt;=AY$21,AO4&lt;&gt;"",AQ4&gt;=AY$25,AQ4&lt;&gt;"",AN4=""),AND(AR4&gt;=AY$21,AR4&lt;&gt;"",AT4&gt;=AY$25,AT4&lt;&gt;"",AN4=""),AND(AV4&gt;=AY$21,AV4&lt;&gt;"",AX4&gt;=AY$25,AX4&lt;&gt;"",AN4=""),AND(BP4&gt;=BZ$21,BP4&lt;&gt;"",BR4&gt;=BZ$25,BR4&lt;&gt;"",BO4=""),AND(BS4&gt;=BZ$21,BS4&lt;&gt;"",BU4&gt;=BZ$25,BU4&lt;&gt;"",BO4=""),AND(BW4&gt;=BZ$21,BW4&lt;&gt;"",BY4&gt;=BZ$25,BY4&lt;&gt;"",BO4=""),AND(CQ4&gt;=DA$21,CQ4&lt;&gt;"",CS4&gt;=DA$25,CS4&lt;&gt;"",CP4=""),AND(CT4&gt;=DA$21,CT4&lt;&gt;"",CV4&gt;=DA$25,CV4&lt;&gt;"",CP4=""),AND(CX4&gt;=DA$21,CX4&lt;&gt;"",CZ4&gt;=DA$25,CZ4&lt;&gt;"",CP4=""),AND(DX4&gt;=EK$21,DX4&lt;&gt;"",DZ4&gt;=EK$25,DZ4&lt;&gt;""),AND(EA4&gt;=EK$21,EA4&lt;&gt;"",EC4&gt;=EK$25,EC4&lt;&gt;""),AND(EE4&gt;=EK$21,EE4&lt;&gt;"",EG4&gt;=EK$25,EG4&lt;&gt;""),AND(EH4&gt;=EK$21,EH4&lt;&gt;"",EJ4&gt;=EK$25,EJ4&lt;&gt;""),AND(FF4&gt;=FS$21,FF4&lt;&gt;"",FH4&gt;=FS$25,FH4&lt;&gt;""),AND(FI4&gt;=FS$21,FI4&lt;&gt;"",FK4&gt;=FS$25,FK4&lt;&gt;""),AND(FM4&gt;=FS$21,FM4&lt;&gt;"",FO4&gt;=FS$25,FO4&lt;&gt;""),AND(FP4&gt;=FS$21,FP4&lt;&gt;"",FR4&gt;=FS$25,FR4&lt;&gt;""),AND(GN4&gt;=HA$21,GN4&lt;&gt;"",GP4&gt;=HA$25,GP4&lt;&gt;""),AND(GQ4&gt;=HA$21,GQ4&lt;&gt;"",GS4&gt;=HA$25,GS4&lt;&gt;""),AND(GU4&gt;=HA$21,GU4&lt;&gt;"",GW4&gt;=HA$25,GW4&lt;&gt;""),AND(GX4&gt;=HA$21,GX4&lt;&gt;"",GZ4&gt;=HA$25,GZ4&lt;&gt;""),AND(HV4&gt;=II$21,HV4&lt;&gt;"",HX4&gt;=II$25,HX4&lt;&gt;""),AND(HY4&gt;=II$21,HY4&lt;&gt;"",IA4&gt;=II$25,IA4&lt;&gt;""),AND(IC4&gt;=II$21,IC4&lt;&gt;"",IE4&gt;=II$25,IE4&lt;&gt;""),AND(IF4&gt;=II$21,IF4&lt;&gt;"",IH4&gt;=II$25,IH4&lt;&gt;""),AND(JD4&gt;=JQ$21,JD4&lt;&gt;"",JF4&gt;=JQ$25,JF4&lt;&gt;""),AND(JG4&gt;=JQ$21,JG4&lt;&gt;"",JI4&gt;=JQ$25,JI4&lt;&gt;""),AND(JK4&gt;=JQ$21,JK4&lt;&gt;"",JM4&gt;=JQ$25,JM4&lt;&gt;""),AND(JN4&gt;=JQ$21,JN4&lt;&gt;"",JP4&gt;=JQ$25,JP4&lt;&gt;""),AND(KL4&gt;=KY$21,KL4&lt;&gt;"",KN4&gt;=KY$25,KN4&lt;&gt;""),AND(KO4&gt;=KY$21,KO4&lt;&gt;"",KQ4&gt;=KY$25,KQ4&lt;&gt;""),AND(KS4&gt;=KY$21,KS4&lt;&gt;"",KU4&gt;=KY$25,KU4&lt;&gt;""),AND(KV4&gt;=KY$21,KV4&lt;&gt;"",KX4&gt;=KY$25,KX4&lt;&gt;""),AND(LT4&gt;=MG$21,LT4&lt;&gt;"",LV4&gt;=MG$25,LV4&lt;&gt;""),AND(LW4&gt;=MG$21,LW4&lt;&gt;"",LY4&gt;=MG$25,LY4&lt;&gt;""),AND(MA4&gt;=MG$21,MA4&lt;&gt;"",MC4&gt;=MG$25,MC4&lt;&gt;""),AND(MD4&gt;=MG$21,MD4&lt;&gt;"",MF4&gt;=MG$25,MF4&lt;&gt;""),AND(NB4&gt;=NO$21,NB4&lt;&gt;"",ND4&gt;=NO$25,ND4&lt;&gt;""),AND(NE4&gt;=NO$21,NE4&lt;&gt;"",NG4&gt;=NO$25,NG4&lt;&gt;""),AND(NI4&gt;=NO$21,NI4&lt;&gt;"",NK4&gt;=NO$25,NK4&lt;&gt;""),AND(NL4&gt;=NO$21,NL4&lt;&gt;"",NN4&gt;=NO$25,NN4&lt;&gt;""),AND(OJ4&gt;=OW$21,OJ4&lt;&gt;"",OL4&gt;=OW$25,OL4&lt;&gt;""),AND(OM4&gt;=OW$21,OM4&lt;&gt;"",OO4&gt;=OW$25,OO4&lt;&gt;""),AND(OQ4&gt;=OW$21,OQ4&lt;&gt;"",OS4&gt;=OW$25,OS4&lt;&gt;""),AND(OT4&gt;=OW$21,OT4&lt;&gt;"",OV4&gt;=OW$25,OV4&lt;&gt;""),AND(PR4&gt;=QE$21,PR4&lt;&gt;"",PT4&gt;=QE$25,PT4&lt;&gt;""),AND(PU4&gt;=QE$21,PU4&lt;&gt;"",PW4&gt;=QE$25,PW4&lt;&gt;""),AND(PY4&gt;=QE$21,PY4&lt;&gt;"",QA4&gt;=QE$25,QA4&lt;&gt;""),AND(QB4&gt;=QE$21,QB4&lt;&gt;"",QD4&gt;=QE$25,QD4&lt;&gt;""),AND(QZ4&gt;=RM$21,QZ4&lt;&gt;"",RB4&gt;=RM$25,RB4&lt;&gt;""),AND(RC4&gt;=RM$21,RC4&lt;&gt;"",RE4&gt;=RM$25,RE4&lt;&gt;""),AND(RG4&gt;=RM$21,RG4&lt;&gt;"",RI4&gt;=RM$25,RI4&lt;&gt;""),AND(RJ4&gt;=RM$21,RJ4&lt;&gt;"",RL4&gt;=RM$25,RL4&lt;&gt;""),AND(SH4&gt;=SU$21,SH4&lt;&gt;"",SJ4&gt;=SU$25,SJ4&lt;&gt;""),AND(SK4&gt;=SU$21,SK4&lt;&gt;"",SM4&gt;=SU$25,SM4&lt;&gt;""),AND(SO4&gt;=SU$21,SO4&lt;&gt;"",SQ4&gt;=SU$25,SQ4&lt;&gt;""),AND(SR4&gt;=SU$21,SR4&lt;&gt;"",ST4&gt;=SU$25,ST4&lt;&gt;""),AND(TP4&gt;=UC$21,TP4&lt;&gt;"",TR4&gt;=UC$25,TR4&lt;&gt;""),AND(TS4&gt;=UC$21,TS4&lt;&gt;"",TU4&gt;=UC$25,TU4&lt;&gt;""),AND(TW4&gt;=UC$21,TW4&lt;&gt;"",TY4&gt;=UC$25,TYY4&lt;&gt;""),AND(TZ4&gt;=UC$21,TZ4&lt;&gt;"",UB4&gt;=UC$25,UB4&lt;&gt;""),AND(UX4&gt;=VK$21,UX4&lt;&gt;"",UZ4&gt;=VK$25,UZ4&lt;&gt;""),AND(VA4&gt;=VK$21,VA4&lt;&gt;"",VC4&gt;=VK$25,VC4&lt;&gt;""),AND(VE4&gt;=VK$21,VE4&lt;&gt;"",VG4&gt;=VK$25,VG4&lt;&gt;""),AND(VH4&gt;=VK$21,VH4&lt;&gt;"",VJ4&gt;=VK$25,VJ4&lt;&gt;""),AND(WF4&gt;=WS$21,WF4&lt;&gt;"",WH4&gt;=WS$25,WH4&lt;&gt;""),AND(WI4&gt;=WS$21,WI4&lt;&gt;"",WK4&gt;=WS$25,WK4&lt;&gt;""),AND(WM4&gt;=WS$21,WM4&lt;&gt;"",WO4&gt;=WS$25,WO4&lt;&gt;""),AND(WP4&gt;=WS$21,WP4&lt;&gt;"",WR4&gt;=WS$25,WR4&lt;&gt;"")),"P","")</f>
        <v>P</v>
      </c>
      <c r="J4" s="8">
        <f>IF(COUNT(AQ4,AT4,BR4,BU4,CS4,CV4)&gt;0,LARGE((AQ4,AT4,BR4,BU4,CS4,CV4),1),0)</f>
        <v>56.779999999999994</v>
      </c>
      <c r="K4" s="8" t="str">
        <f t="shared" ref="K4:K17" si="5">IF(J4="","",IF(OR(J4=CS4,J4=CV4),$CA$1,IF(OR(J4=BR4,J4=BU4),$AZ$1,IF(OR(J4=AQ4,J4=AT4),$Y$1,""))))</f>
        <v>2024 Elite Canada</v>
      </c>
      <c r="L4" s="8">
        <f>IF(COUNT(AQ4,AT4,BR4,BU4,CS4,CV4)&gt;1,LARGE((AQ4,AT4,BR4,BU4,CS4,CV4),2),0)</f>
        <v>55.980000000000004</v>
      </c>
      <c r="M4" s="8" t="str">
        <f t="shared" ref="M4:M17" si="6">IF(L4="","",IF(OR(L4=CS4,L4=CV4),$CA$1,IF(OR(L4=BR4,L4=BU4),$AZ$1,IF(OR(L4=AQ4,L4=AT4),$Y$1,""))))</f>
        <v>2024 3rd Domestic Trial</v>
      </c>
      <c r="N4" s="8">
        <f>IF(COUNT(AQ4,AT4,BR4,BU4,CS4,CV4)&gt;2,LARGE((AQ4,AT4,BR4,BU4,CS4,CV4),3),0)</f>
        <v>55.18</v>
      </c>
      <c r="O4" s="8" t="str">
        <f t="shared" ref="O4:O17" si="7">IF(N4="","",IF(OR(N4=CS4,N4=CV4),$CA$1,IF(OR(N4=BR4,N4=BU4),$AZ$1,IF(OR(N4=AQ4,N4=AT4),$Y$1,""))))</f>
        <v>2024 Nationals</v>
      </c>
      <c r="P4" s="8">
        <f t="shared" ref="P4:P17" si="8">IF(MAX(AX4,BY4,CZ4)&gt;0,MAX(AX4,BY4,CZ4),0)</f>
        <v>56.23</v>
      </c>
      <c r="Q4" s="8" t="str">
        <f t="shared" ref="Q4:Q17" si="9">IF(P4="","",IF(P4=CZ4,$CA$1,IF(P4=BY4,$AZ$1,IF(P4=AX4,$Y$1,""))))</f>
        <v>2024 Elite Canada</v>
      </c>
      <c r="R4" s="8">
        <f t="shared" ref="R4:R17" si="10">IF(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&gt;0,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,0)</f>
        <v>15</v>
      </c>
      <c r="S4" s="8" t="str">
        <f t="shared" ref="S4:S17" si="11">IF(R4=0,"",IF(OR(R4=CQ4,R4=CT4,R4=CX4),$CA$1,IF(OR(R4=BP4,R4=BS4,R4=BW4),$AZ$1,IF(OR(R4=AO4,R4=AR4,R4=AV4),$Y$1,IF(OR(R4=WF4,R4=WI4,R4=WM4,R4=WP4),$VL$1,IF(OR(R4=UX4,R4=VA4,R4=VE4,R4=VH4),$UD$1,IF(OR(R4=TP4,R4=TS4,R4=TW4,R4=TZ4),$SV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)))</f>
        <v>2024 Olympic Games (Aug 2)</v>
      </c>
      <c r="T4" s="8">
        <f t="shared" ref="T4:T17" si="12">IF(MAX(IF(AO4&gt;=$AY$20,AP4,0),IF(AR4&gt;=$AY$20,AS4,0),IF(AV4&gt;=$AY$20,AW4,0),IF(BP4&gt;=$BZ$20,BQ4,0),IF(BS4&gt;=$BZ$20,BT4,0),IF(BW4&gt;=$BZ$20,BX4,0),IF(CQ4&gt;=$DA$20,CR4,0),IF(CT4&gt;=$DA$20,CU4,0),IF(CX4&gt;=$DA$20,CY4,0),IF(DX4&gt;=$EK$20,DY4,0),IF(EA4&gt;=$EK$20,EB4,0),IF(EE4&gt;=$EK$20,EF4,0),IF(EH4&gt;=$EK$20,EI4,0),IF(FF4&gt;=$FS$20,FG4,0),IF(FI4&gt;=$FS$20,FJ4,0),IF(FM4&gt;=$FS$20,FN4,0),IF(FP4&gt;=$FS$20,FQ4,0),IF(GN4&gt;=$HA$20,GO4,0),IF(GQ4&gt;=$HA$20,GR4,0),IF(GU4&gt;=$HA$20,GV4,0),IF(GX4&gt;=$HA$20,GY4,0),IF(HV4&gt;=$II$20,HW4,0),IF(HY4&gt;=$II$20,HZ4,0),IF(IC4&gt;=$II$20,ID4,0),IF(IF4&gt;=$II$20,IG4,0),IF(JD4&gt;=$JQ$20,JE4,0),IF(JG4&gt;=$JQ$20,JH4,0),IF(JK4&gt;=$JQ$20,JL4,0),IF(JN4&gt;=$JQ$20,JO4,0),IF(KL4&gt;=$KY$20,KM4,0),IF(KO4&gt;=$KY$20,KP4,0),IF(KS4&gt;=$KY$20,KT4,0),IF(KV4&gt;=$KY$20,KW4,0),IF(LT4&gt;=$MG$20,LU4,0),IF(LW4&gt;=$MG$20,LX4,0),IF(MA4&gt;=$MG$20,MB4,0),IF(MD4&gt;=$MG$20,ME4,0),IF(NB4&gt;=$NO$20,NC4,0),IF(NE4&gt;=$NO$20,NF4,0),IF(NI4&gt;=$NO$20,NJ4,0),IF(NL4&gt;=$NO$20,NM4,0),IF(OJ4&gt;=$OW$20,OK4,0),IF(OM4&gt;=$OW$20,ON4,0),IF(OQ4&gt;=$OW$20,OR4,0),IF(OT4&gt;=$OW$20,OU4,0),IF(PR4&gt;=$QE$20,PS4,0),IF(PU4&gt;=$QE$20,PV4,0),IF(PY4&gt;=$QE$20,PZ4,0),IF(QB4&gt;=$QE$20,QC4,0),IF(QZ4&gt;=$RM$20,RA4,0),IF(RC4&gt;=$RM$20,RD4,0),IF(RG4&gt;=$RM$20,RH4,0),IF(RJ4&gt;=$RM$20,RK4,0),IF(SH4&gt;=$SU$20,SI4,0),IF(SK4&gt;=$SU$20,SL4,0),IF(SO4&gt;=$SU$20,SP4,0),IF(SR4&gt;=$SU$20,SS4,0),IF(TP4&gt;=$UC$20,TQ4,0),IF(TS4&gt;=$UC$20,TT4,0),IF(TW4&gt;=$UC$20,TX4,0),IF(TZ4&gt;=$UC$20,UA4,0),IF(UX4&gt;=$VK$20,UY4,0),IF(VA4&gt;=$VK$20,VB4,0),IF(VE4&gt;=$VK$20,VF4,0),IF(VH4&gt;=$VK$20,VI4,0),IF(WF4&gt;=$WS$20,WG4,0),IF(WI4&gt;=$WS$20,WJ4,0),IF(WM4&gt;=$WS$20,WN4,0),IF(WP4&gt;=$WS$20,WQ4,0))&gt;0,MAX(IF(AO4&gt;=$AY$20,AP4,0),IF(AR4&gt;=$AY$20,AS4,0),IF(AV4&gt;=$AY$20,AW4,0),IF(BP4&gt;=$BZ$20,BQ4,0),IF(BS4&gt;=$BZ$20,BT4,0),IF(BW4&gt;=$BZ$20,BX4,0),IF(CQ4&gt;=$DA$20,CR4,0),IF(CT4&gt;=$DA$20,CU4,0),IF(CX4&gt;=$DA$20,CY4,0),IF(DX4&gt;=$EK$20,DY4,0),IF(EA4&gt;=$EK$20,EB4,0),IF(EE4&gt;=$EK$20,EF4,0),IF(EH4&gt;=$EK$20,EI4,0),IF(FF4&gt;=$FS$20,FG4,0),IF(FI4&gt;=$FS$20,FJ4,0),IF(FM4&gt;=$FS$20,FN4,0),IF(FP4&gt;=$FS$20,FQ4,0),IF(GN4&gt;=$HA$20,GO4,0),IF(GQ4&gt;=$HA$20,GR4,0),IF(GU4&gt;=$HA$20,GV4,0),IF(GX4&gt;=$HA$20,GY4,0),IF(HV4&gt;=$II$20,HW4,0),IF(HY4&gt;=$II$20,HZ4,0),IF(IC4&gt;=$II$20,ID4,0),IF(IF4&gt;=$II$20,IG4,0),IF(JD4&gt;=$JQ$20,JE4,0),IF(JG4&gt;=$JQ$20,JH4,0),IF(JK4&gt;=$JQ$20,JL4,0),IF(JN4&gt;=$JQ$20,JO4,0),IF(KL4&gt;=$KY$20,KM4,0),IF(KO4&gt;=$KY$20,KP4,0),IF(KS4&gt;=$KY$20,KT4,0),IF(KV4&gt;=$KY$20,KW4,0),IF(LT4&gt;=$MG$20,LU4,0),IF(LW4&gt;=$MG$20,LX4,0),IF(MA4&gt;=$MG$20,MB4,0),IF(MD4&gt;=$MG$20,ME4,0),IF(NB4&gt;=$NO$20,NC4,0),IF(NE4&gt;=$NO$20,NF4,0),IF(NI4&gt;=$NO$20,NJ4,0),IF(NL4&gt;=$NO$20,NM4,0),IF(OJ4&gt;=$OW$20,OK4,0),IF(OM4&gt;=$OW$20,ON4,0),IF(OQ4&gt;=$OW$20,OR4,0),IF(OT4&gt;=$OW$20,OU4,0),IF(PR4&gt;=$QE$20,PS4,0),IF(PU4&gt;=$QE$20,PV4,0),IF(PY4&gt;=$QE$20,PZ4,0),IF(QB4&gt;=$QE$20,QC4,0),IF(QZ4&gt;=$RM$20,RA4,0),IF(RC4&gt;=$RM$20,RD4,0),IF(RG4&gt;=$RM$20,RH4,0),IF(RJ4&gt;=$RM$20,RK4,0),IF(SH4&gt;=$SU$20,SI4,0),IF(SK4&gt;=$SU$20,SL4,0),IF(SO4&gt;=$SU$20,SP4,0),IF(SR4&gt;=$SU$20,SS4,0),IF(TP4&gt;=$UC$20,TQ4,0),IF(TS4&gt;=$UC$20,TT4,0),IF(TW4&gt;=$UC$20,TX4,0),IF(TZ4&gt;=$UC$20,UA4,0),IF(UX4&gt;=$VK$20,UY4,0),IF(VA4&gt;=$VK$20,VB4,0),IF(VE4&gt;=$VK$20,VF4,0),IF(VH4&gt;=$VK$20,VI4,0),IF(WF4&gt;=$WS$20,WG4,0),IF(WI4&gt;=$WS$20,WJ4,0),IF(WM4&gt;=$WS$20,WN4,0),IF(WP4&gt;=$WS$20,WQ4,0)),0)</f>
        <v>15.61</v>
      </c>
      <c r="U4" s="8" t="str">
        <f t="shared" ref="U4:U17" si="13">IF(T4=0,"",IF(OR(T4=CR4,T4=CU4,T4=CY4),$CA$1,IF(OR(T4=BQ4,T4=BT4,T4=BX4),$AZ$1,IF(OR(T4=AP4,T4=AS4,T4=AW4),$Y$1,IF(OR(T4=WG4,T4=WJ4,T4=WN4,T4=WQ4),$VL$1,IF(OR(T4=UY4,T4=VB4,T4=VF4,T4=VI4),$UD$1,IF(OR(T4=TQ4,T4=TT4,T4=TX4,T4=UA4),$SV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)))</f>
        <v>2024 World Cup POR (July 7)</v>
      </c>
      <c r="V4" s="8">
        <f t="shared" ref="V4:V17" si="14">IF(MAX(DB4,DC4)&gt;0,MAX(DB4,DC4),"")</f>
        <v>1.1600000000000037</v>
      </c>
      <c r="W4" s="11" t="str">
        <f t="shared" ref="W4:W17" si="15">IF(V4="","",IF(V4=DB4,"("&amp;DB$2&amp;")",IF(V4=DC4,"("&amp;DC$2&amp;")")))</f>
        <v>(Prelim)</v>
      </c>
      <c r="X4" s="8" t="str">
        <f t="shared" ref="X4:X17" si="16">IF(V4="","",IF(V4=DB4,IF(V4+IF(N4="",0,N4)=WL4,$VL$1,IF(V4+IF(N4="",0,N4)=VD4,$UD$1,IF(V4+IF(N4="",0,N4)=TV4,$SV$1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))),IF(V4=DC4,IF(V4+IF(P4="",0,P4)=WO4,$VL$1,IF(V4+IF(P4="",0,P4)=VG4,$UD$1,IF(V4+IF(P4="",0,P4)=TY4,$SV$1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WR4,$VL$1,IF(V4+IF(P4="",0,P4)=VJ4,$UD$1,IF(V4+IF(P4="",0,P4)=UB4,$SV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))))))</f>
        <v>2024 World Cup POR (July 7)</v>
      </c>
      <c r="Y4" s="22">
        <v>16.8</v>
      </c>
      <c r="Z4" s="22">
        <v>9.5</v>
      </c>
      <c r="AA4" s="22">
        <v>14</v>
      </c>
      <c r="AB4" s="22">
        <v>14.84</v>
      </c>
      <c r="AC4" s="22">
        <v>0.2</v>
      </c>
      <c r="AD4" s="22">
        <v>17.7</v>
      </c>
      <c r="AE4" s="22">
        <v>9.6</v>
      </c>
      <c r="AF4" s="22">
        <v>14.4</v>
      </c>
      <c r="AG4" s="22">
        <v>15.08</v>
      </c>
      <c r="AH4" s="22">
        <v>0</v>
      </c>
      <c r="AI4" s="22">
        <v>17.2</v>
      </c>
      <c r="AJ4" s="22">
        <v>9.6</v>
      </c>
      <c r="AK4" s="22">
        <v>14.4</v>
      </c>
      <c r="AL4" s="22">
        <v>15.03</v>
      </c>
      <c r="AM4" s="22">
        <v>0</v>
      </c>
      <c r="AN4" s="27"/>
      <c r="AO4" s="38">
        <f t="shared" ref="AO4:AO17" si="17">IF(AA4&gt;0,AA4,"")</f>
        <v>14</v>
      </c>
      <c r="AP4" s="38">
        <f t="shared" ref="AP4:AP17" si="18">IF(AB4&gt;0,AB4,"")</f>
        <v>14.84</v>
      </c>
      <c r="AQ4" s="40">
        <f t="shared" ref="AQ4:AQ17" si="19">IF(SUM(Y4:AB4)-AC4&gt;0,SUM(Y4:AB4)-AC4,"")</f>
        <v>54.94</v>
      </c>
      <c r="AR4" s="40">
        <f t="shared" ref="AR4:AR17" si="20">IF(AF4&gt;0,AF4,"")</f>
        <v>14.4</v>
      </c>
      <c r="AS4" s="40">
        <f t="shared" ref="AS4:AS17" si="21">IF(AG4&gt;0,AG4,"")</f>
        <v>15.08</v>
      </c>
      <c r="AT4" s="40">
        <f t="shared" ref="AT4:AT17" si="22">IF(SUM(AD4:AG4)-AH4&gt;0,SUM(AD4:AG4)-AH4,"")</f>
        <v>56.779999999999994</v>
      </c>
      <c r="AU4" s="40">
        <f t="shared" ref="AU4:AU17" si="23">IF(AQ4="","",MAX(AQ4,AT4))</f>
        <v>56.779999999999994</v>
      </c>
      <c r="AV4" s="40">
        <f t="shared" ref="AV4:AV17" si="24">IF(AK4&gt;0,AK4,"")</f>
        <v>14.4</v>
      </c>
      <c r="AW4" s="40">
        <f t="shared" ref="AW4:AW17" si="25">IF(AL4&gt;0,AL4,"")</f>
        <v>15.03</v>
      </c>
      <c r="AX4" s="40">
        <f t="shared" ref="AX4:AX17" si="26">IF(SUM(AI4:AL4)-AM4&gt;0,SUM(AI4:AL4)-AM4,"")</f>
        <v>56.23</v>
      </c>
      <c r="AY4" s="40">
        <f t="shared" ref="AY4:AY17" si="27">IF(SUM(AU4,AX4)&gt;0,SUM(AU4,AX4),"")</f>
        <v>113.00999999999999</v>
      </c>
      <c r="AZ4" s="26">
        <v>16.7</v>
      </c>
      <c r="BA4" s="26">
        <v>8.6</v>
      </c>
      <c r="BB4" s="26">
        <v>14.4</v>
      </c>
      <c r="BC4" s="26">
        <v>15.1</v>
      </c>
      <c r="BD4" s="26">
        <v>0</v>
      </c>
      <c r="BE4" s="26">
        <v>16.600000000000001</v>
      </c>
      <c r="BF4" s="26">
        <v>9</v>
      </c>
      <c r="BG4" s="26">
        <v>14.4</v>
      </c>
      <c r="BH4" s="26">
        <v>15.18</v>
      </c>
      <c r="BI4" s="26">
        <v>0</v>
      </c>
      <c r="BJ4" s="26">
        <v>16.7</v>
      </c>
      <c r="BK4" s="26">
        <v>8.9</v>
      </c>
      <c r="BL4" s="26">
        <v>14.6</v>
      </c>
      <c r="BM4" s="26">
        <v>14.87</v>
      </c>
      <c r="BN4" s="26">
        <v>0</v>
      </c>
      <c r="BO4" s="28"/>
      <c r="BP4" s="39">
        <f t="shared" ref="BP4:BP17" si="28">IF(BB4&gt;0,BB4,"")</f>
        <v>14.4</v>
      </c>
      <c r="BQ4" s="39">
        <f t="shared" ref="BQ4:BQ17" si="29">IF(BC4&gt;0,BC4,"")</f>
        <v>15.1</v>
      </c>
      <c r="BR4" s="11">
        <f t="shared" ref="BR4:BR17" si="30">IF(SUM(AZ4:BC4)-BD4&gt;0,SUM(AZ4:BC4)-BD4,"")</f>
        <v>54.8</v>
      </c>
      <c r="BS4" s="11">
        <f t="shared" ref="BS4:BS17" si="31">IF(BG4&gt;0,BG4,"")</f>
        <v>14.4</v>
      </c>
      <c r="BT4" s="11">
        <f t="shared" ref="BT4:BT17" si="32">IF(BH4&gt;0,BH4,"")</f>
        <v>15.18</v>
      </c>
      <c r="BU4" s="11">
        <f t="shared" ref="BU4:BU17" si="33">IF(SUM(BE4:BH4)-BI4&gt;0,SUM(BE4:BH4)-BI4,"")</f>
        <v>55.18</v>
      </c>
      <c r="BV4" s="11">
        <f t="shared" ref="BV4:BV17" si="34">IF(BR4="","",MAX(BR4,BU4))</f>
        <v>55.18</v>
      </c>
      <c r="BW4" s="11">
        <f t="shared" ref="BW4:BW17" si="35">IF(BL4&gt;0,BL4,"")</f>
        <v>14.6</v>
      </c>
      <c r="BX4" s="11">
        <f t="shared" ref="BX4:BX17" si="36">IF(BM4&gt;0,BM4,"")</f>
        <v>14.87</v>
      </c>
      <c r="BY4" s="11">
        <f t="shared" ref="BY4:BY17" si="37">IF(SUM(BJ4:BM4)-BN4&gt;0,SUM(BJ4:BM4)-BN4,"")</f>
        <v>55.07</v>
      </c>
      <c r="BZ4" s="11">
        <f t="shared" ref="BZ4:BZ17" si="38">IF(SUM(BV4,BY4)&gt;0,SUM(BV4,BY4),"")</f>
        <v>110.25</v>
      </c>
      <c r="CA4" s="22">
        <v>16.75</v>
      </c>
      <c r="CB4" s="22">
        <v>9.0500000000000007</v>
      </c>
      <c r="CC4" s="22">
        <v>14.2</v>
      </c>
      <c r="CD4" s="22">
        <v>14.969999999999999</v>
      </c>
      <c r="CE4" s="22">
        <v>0.1</v>
      </c>
      <c r="CF4" s="22">
        <v>17.149999999999999</v>
      </c>
      <c r="CG4" s="22">
        <v>9.3000000000000007</v>
      </c>
      <c r="CH4" s="22">
        <v>14.4</v>
      </c>
      <c r="CI4" s="22">
        <v>15.129999999999999</v>
      </c>
      <c r="CJ4" s="22">
        <v>0</v>
      </c>
      <c r="CK4" s="22">
        <v>16.95</v>
      </c>
      <c r="CL4" s="22">
        <v>9.25</v>
      </c>
      <c r="CM4" s="22">
        <v>14.5</v>
      </c>
      <c r="CN4" s="22">
        <v>14.95</v>
      </c>
      <c r="CO4" s="22">
        <v>0</v>
      </c>
      <c r="CP4" s="27" t="s">
        <v>53</v>
      </c>
      <c r="CQ4" s="38">
        <f t="shared" ref="CQ4:CQ17" si="39">IF(CC4&gt;0,CC4,"")</f>
        <v>14.2</v>
      </c>
      <c r="CR4" s="38">
        <f t="shared" ref="CR4:CR17" si="40">IF(CD4&gt;0,CD4,"")</f>
        <v>14.969999999999999</v>
      </c>
      <c r="CS4" s="40">
        <f t="shared" ref="CS4:CS17" si="41">IF(SUM(CA4:CD4)-CE4&gt;0,SUM(CA4:CD4)-CE4,"")</f>
        <v>54.87</v>
      </c>
      <c r="CT4" s="40">
        <f t="shared" ref="CT4:CT17" si="42">IF(CH4&gt;0,CH4,"")</f>
        <v>14.4</v>
      </c>
      <c r="CU4" s="40">
        <f t="shared" ref="CU4:CU17" si="43">IF(CI4&gt;0,CI4,"")</f>
        <v>15.129999999999999</v>
      </c>
      <c r="CV4" s="40">
        <f t="shared" ref="CV4:CV17" si="44">IF(SUM(CF4:CI4)-CJ4&gt;0,SUM(CF4:CI4)-CJ4,"")</f>
        <v>55.980000000000004</v>
      </c>
      <c r="CW4" s="40">
        <f t="shared" ref="CW4:CW17" si="45">IF(CS4="","",MAX(CS4,CV4))</f>
        <v>55.980000000000004</v>
      </c>
      <c r="CX4" s="40">
        <f t="shared" ref="CX4:CX17" si="46">IF(CM4&gt;0,CM4,"")</f>
        <v>14.5</v>
      </c>
      <c r="CY4" s="40">
        <f t="shared" ref="CY4:CY17" si="47">IF(CN4&gt;0,CN4,"")</f>
        <v>14.95</v>
      </c>
      <c r="CZ4" s="40">
        <f t="shared" ref="CZ4:CZ17" si="48">IF(SUM(CK4:CN4)-CO4&gt;0,SUM(CK4:CN4)-CO4,"")</f>
        <v>55.650000000000006</v>
      </c>
      <c r="DA4" s="40">
        <f t="shared" ref="DA4:DA17" si="49">IF(SUM(CW4,CZ4)&gt;0,SUM(CW4,CZ4),"")</f>
        <v>111.63000000000001</v>
      </c>
      <c r="DB4" s="51">
        <f t="shared" ref="DB4:DB17" si="50">IF(MAX(ED4,FL4,GT4,IB4,JJ4,KR4,LZ4,NH4,OP4,PX4,RF4,SN4,TV4,VD4,WWL4)-IF(N4="",0,N4)&gt;0.001,MAX(ED4,FL4,GT4,IB4,JJ4,KR4,LZ4,NH4,OP4,PX4,RF4,SN4,TV4,VD4,WL4)-IF(N4="",0,N4),"")</f>
        <v>1.1600000000000037</v>
      </c>
      <c r="DC4" s="51" t="str">
        <f t="shared" ref="DC4:DC17" si="51">IF(MAX(EG4,EJ4,FO4,FR4,GW4,GZ4,IE4,IH4,JM4,JP4,KU4,KX4,MC4,MF4,NK4,NN4,OS4,OV4,QA4,QD4,RI4,RL4,SQ4,ST4,TY4,UB4,VG4,VJ4,WO4,WR4)-IF(P4="",0,P4)&gt;0.001,MAX(EG4,EJ4,FO4,FR4,GW4,GZ4,IE4,IH4,JM4,JP4,KU4,KX4,MC4,MF4,NK4,NN4,OS4,OV4,QA4,QD4,RI4,RL4,SQ4,ST4,TY4,UB4,VG4,VJ4,WO4,WR4)-IF(P4="",0,P4),"")</f>
        <v/>
      </c>
      <c r="DD4" s="17">
        <v>15.2</v>
      </c>
      <c r="DE4" s="17">
        <v>9.8000000000000007</v>
      </c>
      <c r="DF4" s="17">
        <v>14.6</v>
      </c>
      <c r="DG4" s="17">
        <v>14.8</v>
      </c>
      <c r="DH4" s="17">
        <v>0</v>
      </c>
      <c r="DI4" s="17">
        <v>15</v>
      </c>
      <c r="DJ4" s="17">
        <v>8.9</v>
      </c>
      <c r="DK4" s="17">
        <v>15</v>
      </c>
      <c r="DL4" s="17">
        <v>14.94</v>
      </c>
      <c r="DM4" s="17">
        <v>0</v>
      </c>
      <c r="DN4" s="17">
        <v>15.1</v>
      </c>
      <c r="DO4" s="17">
        <v>9.6999999999999993</v>
      </c>
      <c r="DP4" s="17">
        <v>15</v>
      </c>
      <c r="DQ4" s="17">
        <v>14.86</v>
      </c>
      <c r="DR4" s="17">
        <v>0</v>
      </c>
      <c r="DS4" s="17">
        <v>3.2</v>
      </c>
      <c r="DT4" s="17">
        <v>1.8</v>
      </c>
      <c r="DU4" s="17">
        <v>3.2</v>
      </c>
      <c r="DV4" s="17">
        <v>3.24</v>
      </c>
      <c r="DW4" s="17">
        <v>0</v>
      </c>
      <c r="DX4" s="40">
        <f t="shared" ref="DX4:DX17" si="52">IF(DF4&gt;0,DF4,"")</f>
        <v>14.6</v>
      </c>
      <c r="DY4" s="40">
        <f t="shared" ref="DY4:DY17" si="53">IF(DG4&gt;0,DG4,"")</f>
        <v>14.8</v>
      </c>
      <c r="DZ4" s="40">
        <f t="shared" ref="DZ4:DZ17" si="54">IF(SUM(DD4:DG4)-DH4&gt;0,SUM(DD4:DG4)-DH4,"")</f>
        <v>54.400000000000006</v>
      </c>
      <c r="EA4" s="40">
        <f t="shared" ref="EA4:EA17" si="55">IF(DK4&gt;0,DK4,"")</f>
        <v>15</v>
      </c>
      <c r="EB4" s="40">
        <f t="shared" ref="EB4:EB17" si="56">IF(DL4&gt;0,DL4,"")</f>
        <v>14.94</v>
      </c>
      <c r="EC4" s="40">
        <f t="shared" ref="EC4:EC17" si="57">IF(SUM(DI4:DL4)-DM4&gt;0,SUM(DI4:DL4)-DM4,"")</f>
        <v>53.839999999999996</v>
      </c>
      <c r="ED4" s="40">
        <f t="shared" ref="ED4:ED17" si="58">IF(MAX(DZ4,EC4)&gt;0,MAX(DZ4,EC4),"")</f>
        <v>54.400000000000006</v>
      </c>
      <c r="EE4" s="40">
        <f t="shared" ref="EE4:EE17" si="59">IF(DP4&gt;0,DP4,"")</f>
        <v>15</v>
      </c>
      <c r="EF4" s="40">
        <f t="shared" ref="EF4:EF17" si="60">IF(DQ4&gt;0,DQ4,"")</f>
        <v>14.86</v>
      </c>
      <c r="EG4" s="40">
        <f t="shared" ref="EG4:EG17" si="61">IF(SUM(DN4:DQ4)-DR4&gt;0,SUM(DN4:DQ4)-DR4,"")</f>
        <v>54.66</v>
      </c>
      <c r="EH4" s="40">
        <f t="shared" ref="EH4:EH17" si="62">IF(DU4&gt;0,DU4,"")</f>
        <v>3.2</v>
      </c>
      <c r="EI4" s="40">
        <f t="shared" ref="EI4:EI17" si="63">IF(DV4&gt;0,DV4,"")</f>
        <v>3.24</v>
      </c>
      <c r="EJ4" s="40">
        <f t="shared" ref="EJ4:EJ17" si="64">IF(SUM(DS4:DV4)-DW4&gt;0,SUM(DS4:DV4)-DW4,"")</f>
        <v>11.44</v>
      </c>
      <c r="EK4" s="40">
        <f t="shared" ref="EK4:EK17" si="65">IF(SUM(ED4,EG4,EJ4)&gt;0,SUM(ED4,EG4,EJ4),"")</f>
        <v>120.5</v>
      </c>
      <c r="EL4" s="18">
        <v>8</v>
      </c>
      <c r="EM4" s="18">
        <v>4.2</v>
      </c>
      <c r="EN4" s="18">
        <v>5.9</v>
      </c>
      <c r="EO4" s="18">
        <v>7.62</v>
      </c>
      <c r="EP4" s="18">
        <v>0</v>
      </c>
      <c r="EQ4" s="18">
        <v>15.6</v>
      </c>
      <c r="ER4" s="18">
        <v>9.1999999999999993</v>
      </c>
      <c r="ES4" s="18">
        <v>13</v>
      </c>
      <c r="ET4" s="18">
        <v>14.88</v>
      </c>
      <c r="EU4" s="18">
        <v>0</v>
      </c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>
        <f t="shared" ref="FF4:FF17" si="66">IF(EN4&gt;0,EN4,"")</f>
        <v>5.9</v>
      </c>
      <c r="FG4" s="11">
        <f t="shared" ref="FG4:FG17" si="67">IF(EO4&gt;0,EO4,"")</f>
        <v>7.62</v>
      </c>
      <c r="FH4" s="11">
        <f t="shared" ref="FH4:FH17" si="68">IF(SUM(EL4:EO4)-EP4&gt;0,SUM(EL4:EO4)-EP4,"")</f>
        <v>25.720000000000002</v>
      </c>
      <c r="FI4" s="11">
        <f t="shared" ref="FI4:FI17" si="69">IF(ES4&gt;0,ES4,"")</f>
        <v>13</v>
      </c>
      <c r="FJ4" s="11">
        <f t="shared" ref="FJ4:FJ17" si="70">IF(ET4&gt;0,ET4,"")</f>
        <v>14.88</v>
      </c>
      <c r="FK4" s="11">
        <f t="shared" ref="FK4:FK17" si="71">IF(SUM(EQ4:ET4)-EU4&gt;0,SUM(EQ4:ET4)-EU4,"")</f>
        <v>52.68</v>
      </c>
      <c r="FL4" s="11">
        <f t="shared" ref="FL4:FL17" si="72">IF(MAX(FH4,FK4)&gt;0,MAX(FH4,FK4),"")</f>
        <v>52.68</v>
      </c>
      <c r="FM4" s="11" t="str">
        <f t="shared" ref="FM4:FM17" si="73">IF(EX4&gt;0,EX4,"")</f>
        <v/>
      </c>
      <c r="FN4" s="11" t="str">
        <f t="shared" ref="FN4:FN17" si="74">IF(EY4&gt;0,EY4,"")</f>
        <v/>
      </c>
      <c r="FO4" s="11" t="str">
        <f t="shared" ref="FO4:FO17" si="75">IF(SUM(EV4:EY4)-EZ4&gt;0,SUM(EV4:EY4)-EZ4,"")</f>
        <v/>
      </c>
      <c r="FP4" s="11" t="str">
        <f t="shared" ref="FP4:FP17" si="76">IF(FC4&gt;0,FC4,"")</f>
        <v/>
      </c>
      <c r="FQ4" s="11" t="str">
        <f t="shared" ref="FQ4:FQ17" si="77">IF(FD4&gt;0,FD4,"")</f>
        <v/>
      </c>
      <c r="FR4" s="11" t="str">
        <f t="shared" ref="FR4:FR17" si="78">IF(SUM(FA4:FD4)-FE4&gt;0,SUM(FA4:FD4)-FE4,"")</f>
        <v/>
      </c>
      <c r="FS4" s="11">
        <f t="shared" ref="FS4:FS17" si="79">IF(SUM(FL4,FO4,FR4)&gt;0,SUM(FL4,FO4,FR4),"")</f>
        <v>52.68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 t="str">
        <f t="shared" ref="GN4:GN17" si="80">IF(FV4&gt;0,FV4,"")</f>
        <v/>
      </c>
      <c r="GO4" s="40" t="str">
        <f t="shared" ref="GO4:GO17" si="81">IF(FW4&gt;0,FW4,"")</f>
        <v/>
      </c>
      <c r="GP4" s="40" t="str">
        <f t="shared" ref="GP4:GP17" si="82">IF(SUM(FT4:FW4)-FX4&gt;0,SUM(FT4:FW4)-FX4,"")</f>
        <v/>
      </c>
      <c r="GQ4" s="40" t="str">
        <f t="shared" ref="GQ4:GQ17" si="83">IF(GA4&gt;0,GA4,"")</f>
        <v/>
      </c>
      <c r="GR4" s="40" t="str">
        <f t="shared" ref="GR4:GR17" si="84">IF(GB4&gt;0,GB4,"")</f>
        <v/>
      </c>
      <c r="GS4" s="40" t="str">
        <f t="shared" ref="GS4:GS17" si="85">IF(SUM(FY4:GB4)-GC4&gt;0,SUM(FY4:GB4)-GC4,"")</f>
        <v/>
      </c>
      <c r="GT4" s="40" t="str">
        <f t="shared" ref="GT4:GT17" si="86">IF(MAX(GP4,GS4)&gt;0,MAX(GP4,GS4),"")</f>
        <v/>
      </c>
      <c r="GU4" s="40" t="str">
        <f t="shared" ref="GU4:GU17" si="87">IF(GF4&gt;0,GF4,"")</f>
        <v/>
      </c>
      <c r="GV4" s="40" t="str">
        <f t="shared" ref="GV4:GV17" si="88">IF(GG4&gt;0,GG4,"")</f>
        <v/>
      </c>
      <c r="GW4" s="40" t="str">
        <f t="shared" ref="GW4:GW17" si="89">IF(SUM(GD4:GG4)-GH4&gt;0,SUM(GD4:GG4)-GH4,"")</f>
        <v/>
      </c>
      <c r="GX4" s="40" t="str">
        <f t="shared" ref="GX4:GX17" si="90">IF(GK4&gt;0,GK4,"")</f>
        <v/>
      </c>
      <c r="GY4" s="40" t="str">
        <f t="shared" ref="GY4:GY17" si="91">IF(GL4&gt;0,GL4,"")</f>
        <v/>
      </c>
      <c r="GZ4" s="40" t="str">
        <f t="shared" ref="GZ4:GZ17" si="92">IF(SUM(GI4:GL4)-GM4&gt;0,SUM(GI4:GL4)-GM4,"")</f>
        <v/>
      </c>
      <c r="HA4" s="40" t="str">
        <f t="shared" ref="HA4:HA17" si="93">IF(SUM(GT4,GW4,GZ4)&gt;0,SUM(GT4,GW4,GZ4),"")</f>
        <v/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 t="shared" ref="HV4:HV17" si="94">IF(HD4&gt;0,HD4,"")</f>
        <v/>
      </c>
      <c r="HW4" s="11" t="str">
        <f t="shared" ref="HW4:HW17" si="95">IF(HE4&gt;0,HE4,"")</f>
        <v/>
      </c>
      <c r="HX4" s="11" t="str">
        <f t="shared" ref="HX4:HX17" si="96">IF(SUM(HB4:HE4)-HF4&gt;0,SUM(HB4:HE4)-HF4,"")</f>
        <v/>
      </c>
      <c r="HY4" s="11" t="str">
        <f t="shared" ref="HY4:HY17" si="97">IF(HI4&gt;0,HI4,"")</f>
        <v/>
      </c>
      <c r="HZ4" s="11" t="str">
        <f t="shared" ref="HZ4:HZ17" si="98">IF(HJ4&gt;0,HJ4,"")</f>
        <v/>
      </c>
      <c r="IA4" s="11" t="str">
        <f t="shared" ref="IA4:IA17" si="99">IF(SUM(HG4:HJ4)-HK4&gt;0,SUM(HG4:HJ4)-HK4,"")</f>
        <v/>
      </c>
      <c r="IB4" s="11" t="str">
        <f t="shared" ref="IB4:IB17" si="100">IF(MAX(HX4,IA4)&gt;0,MAX(HX4,IA4),"")</f>
        <v/>
      </c>
      <c r="IC4" s="11" t="str">
        <f t="shared" ref="IC4:IC17" si="101">IF(HN4&gt;0,HN4,"")</f>
        <v/>
      </c>
      <c r="ID4" s="11" t="str">
        <f t="shared" ref="ID4:ID17" si="102">IF(HO4&gt;0,HO4,"")</f>
        <v/>
      </c>
      <c r="IE4" s="11" t="str">
        <f t="shared" ref="IE4:IE17" si="103">IF(SUM(HL4:HO4)-HP4&gt;0,SUM(HL4:HO4)-HP4,"")</f>
        <v/>
      </c>
      <c r="IF4" s="11" t="str">
        <f t="shared" ref="IF4:IF17" si="104">IF(HS4&gt;0,HS4,"")</f>
        <v/>
      </c>
      <c r="IG4" s="11" t="str">
        <f t="shared" ref="IG4:IG17" si="105">IF(HT4&gt;0,HT4,"")</f>
        <v/>
      </c>
      <c r="IH4" s="11" t="str">
        <f t="shared" ref="IH4:IH17" si="106">IF(SUM(HQ4:HT4)-HU4&gt;0,SUM(HQ4:HT4)-HU4,"")</f>
        <v/>
      </c>
      <c r="II4" s="11" t="str">
        <f t="shared" ref="II4:II17" si="107">IF(SUM(IB4,IE4,IH4)&gt;0,SUM(IB4,IE4,IH4),"")</f>
        <v/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 t="shared" ref="JD4:JD17" si="108">IF(IL4&gt;0,IL4,"")</f>
        <v/>
      </c>
      <c r="JE4" s="40" t="str">
        <f t="shared" ref="JE4:JE17" si="109">IF(IM4&gt;0,IM4,"")</f>
        <v/>
      </c>
      <c r="JF4" s="40" t="str">
        <f t="shared" ref="JF4:JF17" si="110">IF(SUM(IJ4:IM4)-IN4&gt;0,SUM(IJ4:IM4)-IN4,"")</f>
        <v/>
      </c>
      <c r="JG4" s="40" t="str">
        <f t="shared" ref="JG4:JG17" si="111">IF(IQ4&gt;0,IQ4,"")</f>
        <v/>
      </c>
      <c r="JH4" s="40" t="str">
        <f t="shared" ref="JH4:JH17" si="112">IF(IR4&gt;0,IR4,"")</f>
        <v/>
      </c>
      <c r="JI4" s="40" t="str">
        <f t="shared" ref="JI4:JI17" si="113">IF(SUM(IO4:IR4)-IS4&gt;0,SUM(IO4:IR4)-IS4,"")</f>
        <v/>
      </c>
      <c r="JJ4" s="40" t="str">
        <f t="shared" ref="JJ4:JJ17" si="114">IF(MAX(JF4,JI4)&gt;0,MAX(JF4,JI4),"")</f>
        <v/>
      </c>
      <c r="JK4" s="40" t="str">
        <f t="shared" ref="JK4:JK17" si="115">IF(IV4&gt;0,IV4,"")</f>
        <v/>
      </c>
      <c r="JL4" s="40" t="str">
        <f t="shared" ref="JL4:JL17" si="116">IF(IW4&gt;0,IW4,"")</f>
        <v/>
      </c>
      <c r="JM4" s="40" t="str">
        <f t="shared" ref="JM4:JM17" si="117">IF(SUM(IT4:IW4)-IX4&gt;0,SUM(IT4:IW4)-IX4,"")</f>
        <v/>
      </c>
      <c r="JN4" s="40" t="str">
        <f t="shared" ref="JN4:JN17" si="118">IF(JA4&gt;0,JA4,"")</f>
        <v/>
      </c>
      <c r="JO4" s="40" t="str">
        <f t="shared" ref="JO4:JO17" si="119">IF(JB4&gt;0,JB4,"")</f>
        <v/>
      </c>
      <c r="JP4" s="40" t="str">
        <f t="shared" ref="JP4:JP17" si="120">IF(SUM(IY4:JB4)-JC4&gt;0,SUM(IY4:JB4)-JC4,"")</f>
        <v/>
      </c>
      <c r="JQ4" s="40" t="str">
        <f t="shared" ref="JQ4:JQ17" si="121">IF(SUM(JJ4,JM4,JP4)&gt;0,SUM(JJ4,JM4,JP4),"")</f>
        <v/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 t="shared" ref="KL4:KL17" si="122">IF(JT4&gt;0,JT4,"")</f>
        <v/>
      </c>
      <c r="KM4" s="11" t="str">
        <f t="shared" ref="KM4:KM17" si="123">IF(JU4&gt;0,JU4,"")</f>
        <v/>
      </c>
      <c r="KN4" s="11" t="str">
        <f t="shared" ref="KN4:KN17" si="124">IF(SUM(JR4:JU4)-JV4&gt;0,SUM(JR4:JU4)-JV4,"")</f>
        <v/>
      </c>
      <c r="KO4" s="11" t="str">
        <f t="shared" ref="KO4:KO17" si="125">IF(JY4&gt;0,JY4,"")</f>
        <v/>
      </c>
      <c r="KP4" s="11" t="str">
        <f t="shared" ref="KP4:KP17" si="126">IF(JZ4&gt;0,JZ4,"")</f>
        <v/>
      </c>
      <c r="KQ4" s="11" t="str">
        <f t="shared" ref="KQ4:KQ17" si="127">IF(SUM(JW4:JZ4)-KA4&gt;0,SUM(JW4:JZ4)-KA4,"")</f>
        <v/>
      </c>
      <c r="KR4" s="11" t="str">
        <f t="shared" ref="KR4:KR17" si="128">IF(MAX(KN4,KQ4)&gt;0,MAX(KN4,KQ4),"")</f>
        <v/>
      </c>
      <c r="KS4" s="11" t="str">
        <f t="shared" ref="KS4:KS17" si="129">IF(KD4&gt;0,KD4,"")</f>
        <v/>
      </c>
      <c r="KT4" s="11" t="str">
        <f t="shared" ref="KT4:KT17" si="130">IF(KE4&gt;0,KE4,"")</f>
        <v/>
      </c>
      <c r="KU4" s="11" t="str">
        <f t="shared" ref="KU4:KU17" si="131">IF(SUM(KB4:KE4)-KF4&gt;0,SUM(KB4:KE4)-KF4,"")</f>
        <v/>
      </c>
      <c r="KV4" s="11" t="str">
        <f t="shared" ref="KV4:KV17" si="132">IF(KI4&gt;0,KI4,"")</f>
        <v/>
      </c>
      <c r="KW4" s="11" t="str">
        <f t="shared" ref="KW4:KW17" si="133">IF(KJ4&gt;0,KJ4,"")</f>
        <v/>
      </c>
      <c r="KX4" s="11" t="str">
        <f t="shared" ref="KX4:KX17" si="134">IF(SUM(KG4:KJ4)-KK4&gt;0,SUM(KG4:KJ4)-KK4,"")</f>
        <v/>
      </c>
      <c r="KY4" s="11" t="str">
        <f t="shared" ref="KY4:KY17" si="135"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 t="shared" ref="LT4:LT17" si="136">IF(LB4&gt;0,LB4,"")</f>
        <v/>
      </c>
      <c r="LU4" s="40" t="str">
        <f t="shared" ref="LU4:LU17" si="137">IF(LC4&gt;0,LC4,"")</f>
        <v/>
      </c>
      <c r="LV4" s="40" t="str">
        <f t="shared" ref="LV4:LV17" si="138">IF(SUM(KZ4:LC4)-LD4&gt;0,SUM(KZ4:LC4)-LD4,"")</f>
        <v/>
      </c>
      <c r="LW4" s="40" t="str">
        <f t="shared" ref="LW4:LW17" si="139">IF(LG4&gt;0,LG4,"")</f>
        <v/>
      </c>
      <c r="LX4" s="40" t="str">
        <f t="shared" ref="LX4:LX17" si="140">IF(LH4&gt;0,LH4,"")</f>
        <v/>
      </c>
      <c r="LY4" s="40" t="str">
        <f t="shared" ref="LY4:LY17" si="141">IF(SUM(LE4:LH4)-LI4&gt;0,SUM(LE4:LH4)-LI4,"")</f>
        <v/>
      </c>
      <c r="LZ4" s="40" t="str">
        <f t="shared" ref="LZ4:LZ17" si="142">IF(MAX(LV4,LY4)&gt;0,MAX(LV4,LY4),"")</f>
        <v/>
      </c>
      <c r="MA4" s="40" t="str">
        <f t="shared" ref="MA4:MA17" si="143">IF(LL4&gt;0,LL4,"")</f>
        <v/>
      </c>
      <c r="MB4" s="40" t="str">
        <f t="shared" ref="MB4:MB17" si="144">IF(LM4&gt;0,LM4,"")</f>
        <v/>
      </c>
      <c r="MC4" s="40" t="str">
        <f t="shared" ref="MC4:MC17" si="145">IF(SUM(LJ4:LM4)-LN4&gt;0,SUM(LJ4:LM4)-LN4,"")</f>
        <v/>
      </c>
      <c r="MD4" s="40" t="str">
        <f t="shared" ref="MD4:MD17" si="146">IF(LQ4&gt;0,LQ4,"")</f>
        <v/>
      </c>
      <c r="ME4" s="40" t="str">
        <f t="shared" ref="ME4:ME17" si="147">IF(LR4&gt;0,LR4,"")</f>
        <v/>
      </c>
      <c r="MF4" s="40" t="str">
        <f t="shared" ref="MF4:MF17" si="148">IF(SUM(LO4:LR4)-LS4&gt;0,SUM(LO4:LR4)-LS4,"")</f>
        <v/>
      </c>
      <c r="MG4" s="40" t="str">
        <f t="shared" ref="MG4:MG17" si="149">IF(SUM(LZ4,MC4,MF4)&gt;0,SUM(LZ4,MC4,MF4),"")</f>
        <v/>
      </c>
      <c r="MH4" s="18">
        <v>15.8</v>
      </c>
      <c r="MI4" s="18">
        <v>9.1</v>
      </c>
      <c r="MJ4" s="18">
        <v>14.8</v>
      </c>
      <c r="MK4" s="18">
        <v>15.04</v>
      </c>
      <c r="ML4" s="18">
        <v>0</v>
      </c>
      <c r="MM4" s="18">
        <v>16.7</v>
      </c>
      <c r="MN4" s="18">
        <v>9.6999999999999993</v>
      </c>
      <c r="MO4" s="18">
        <v>14.6</v>
      </c>
      <c r="MP4" s="18">
        <v>15.34</v>
      </c>
      <c r="MQ4" s="18">
        <v>0</v>
      </c>
      <c r="MR4" s="18">
        <v>16.2</v>
      </c>
      <c r="MS4" s="18">
        <v>9.6999999999999993</v>
      </c>
      <c r="MT4" s="18">
        <v>15</v>
      </c>
      <c r="MU4" s="18">
        <v>15.15</v>
      </c>
      <c r="MV4" s="18">
        <v>0</v>
      </c>
      <c r="MW4" s="18">
        <v>16.399999999999999</v>
      </c>
      <c r="MX4" s="18">
        <v>9.1</v>
      </c>
      <c r="MY4" s="18">
        <v>14.4</v>
      </c>
      <c r="MZ4" s="18">
        <v>15.61</v>
      </c>
      <c r="NA4" s="18">
        <v>0</v>
      </c>
      <c r="NB4" s="11">
        <f t="shared" ref="NB4:NB17" si="150">IF(MJ4&gt;0,MJ4,"")</f>
        <v>14.8</v>
      </c>
      <c r="NC4" s="11">
        <f t="shared" ref="NC4:NC17" si="151">IF(MK4&gt;0,MK4,"")</f>
        <v>15.04</v>
      </c>
      <c r="ND4" s="11">
        <f t="shared" ref="ND4:ND17" si="152">IF(SUM(MH4:MK4)-ML4&gt;0,SUM(MH4:MK4)-ML4,"")</f>
        <v>54.74</v>
      </c>
      <c r="NE4" s="11">
        <f t="shared" ref="NE4:NE17" si="153">IF(MO4&gt;0,MO4,"")</f>
        <v>14.6</v>
      </c>
      <c r="NF4" s="11">
        <f t="shared" ref="NF4:NF17" si="154">IF(MP4&gt;0,MP4,"")</f>
        <v>15.34</v>
      </c>
      <c r="NG4" s="11">
        <f t="shared" ref="NG4:NG17" si="155">IF(SUM(MM4:MP4)-MQ4&gt;0,SUM(MM4:MP4)-MQ4,"")</f>
        <v>56.34</v>
      </c>
      <c r="NH4" s="11">
        <f t="shared" ref="NH4:NH17" si="156">IF(MAX(ND4,NG4)&gt;0,MAX(ND4,NG4),"")</f>
        <v>56.34</v>
      </c>
      <c r="NI4" s="11">
        <f t="shared" ref="NI4:NI17" si="157">IF(MT4&gt;0,MT4,"")</f>
        <v>15</v>
      </c>
      <c r="NJ4" s="11">
        <f t="shared" ref="NJ4:NJ17" si="158">IF(MU4&gt;0,MU4,"")</f>
        <v>15.15</v>
      </c>
      <c r="NK4" s="11">
        <f t="shared" ref="NK4:NK17" si="159">IF(SUM(MR4:MU4)-MV4&gt;0,SUM(MR4:MU4)-MV4,"")</f>
        <v>56.05</v>
      </c>
      <c r="NL4" s="11">
        <f t="shared" ref="NL4:NL17" si="160">IF(MY4&gt;0,MY4,"")</f>
        <v>14.4</v>
      </c>
      <c r="NM4" s="11">
        <f t="shared" ref="NM4:NM17" si="161">IF(MZ4&gt;0,MZ4,"")</f>
        <v>15.61</v>
      </c>
      <c r="NN4" s="11">
        <f t="shared" ref="NN4:NN17" si="162">IF(SUM(MW4:MZ4)-NA4&gt;0,SUM(MW4:MZ4)-NA4,"")</f>
        <v>55.51</v>
      </c>
      <c r="NO4" s="11">
        <f t="shared" ref="NO4:NO17" si="163">IF(SUM(NH4,NK4,NN4)&gt;0,SUM(NH4,NK4,NN4),"")</f>
        <v>167.9</v>
      </c>
      <c r="NP4" s="17">
        <v>15.6</v>
      </c>
      <c r="NQ4" s="17">
        <v>9.6</v>
      </c>
      <c r="NR4" s="17">
        <v>14.4</v>
      </c>
      <c r="NS4" s="17">
        <v>15.04</v>
      </c>
      <c r="NT4" s="17">
        <v>0</v>
      </c>
      <c r="NU4" s="17">
        <v>14.8</v>
      </c>
      <c r="NV4" s="17">
        <v>9.1999999999999993</v>
      </c>
      <c r="NW4" s="17">
        <v>14.4</v>
      </c>
      <c r="NX4" s="17">
        <v>14.96</v>
      </c>
      <c r="NY4" s="17">
        <v>0.2</v>
      </c>
      <c r="NZ4" s="17"/>
      <c r="OA4" s="17"/>
      <c r="OB4" s="17"/>
      <c r="OC4" s="17"/>
      <c r="OD4" s="17"/>
      <c r="OE4" s="17">
        <v>15.6</v>
      </c>
      <c r="OF4" s="17">
        <v>9.8000000000000007</v>
      </c>
      <c r="OG4" s="17">
        <v>15</v>
      </c>
      <c r="OH4" s="17">
        <v>15.25</v>
      </c>
      <c r="OI4" s="17">
        <v>0</v>
      </c>
      <c r="OJ4" s="40">
        <f t="shared" ref="OJ4:OJ17" si="164">IF(NR4&gt;0,NR4,"")</f>
        <v>14.4</v>
      </c>
      <c r="OK4" s="40">
        <f t="shared" ref="OK4:OK17" si="165">IF(NS4&gt;0,NS4,"")</f>
        <v>15.04</v>
      </c>
      <c r="OL4" s="40">
        <f t="shared" ref="OL4:OL17" si="166">IF(SUM(NP4:NS4)-NT4&gt;0,SUM(NP4:NS4)-NT4,"")</f>
        <v>54.64</v>
      </c>
      <c r="OM4" s="40">
        <f t="shared" ref="OM4:OM17" si="167">IF(NW4&gt;0,NW4,"")</f>
        <v>14.4</v>
      </c>
      <c r="ON4" s="40">
        <f t="shared" ref="ON4:ON17" si="168">IF(NX4&gt;0,NX4,"")</f>
        <v>14.96</v>
      </c>
      <c r="OO4" s="40">
        <f t="shared" ref="OO4:OO17" si="169">IF(SUM(NU4:NX4)-NY4&gt;0,SUM(NU4:NX4)-NY4,"")</f>
        <v>53.16</v>
      </c>
      <c r="OP4" s="40">
        <f t="shared" ref="OP4:OP17" si="170">IF(MAX(OL4,OO4)&gt;0,MAX(OL4,OO4),"")</f>
        <v>54.64</v>
      </c>
      <c r="OQ4" s="40" t="str">
        <f t="shared" ref="OQ4:OQ17" si="171">IF(OB4&gt;0,OB4,"")</f>
        <v/>
      </c>
      <c r="OR4" s="40" t="str">
        <f t="shared" ref="OR4:OR17" si="172">IF(OC4&gt;0,OC4,"")</f>
        <v/>
      </c>
      <c r="OS4" s="40" t="str">
        <f t="shared" ref="OS4:OS17" si="173">IF(SUM(NZ4:OC4)-OD4&gt;0,SUM(NZ4:OC4)-OD4,"")</f>
        <v/>
      </c>
      <c r="OT4" s="40">
        <f t="shared" ref="OT4:OT17" si="174">IF(OG4&gt;0,OG4,"")</f>
        <v>15</v>
      </c>
      <c r="OU4" s="40">
        <f t="shared" ref="OU4:OU17" si="175">IF(OH4&gt;0,OH4,"")</f>
        <v>15.25</v>
      </c>
      <c r="OV4" s="40">
        <f t="shared" ref="OV4:OV17" si="176">IF(SUM(OE4:OH4)-OI4&gt;0,SUM(OE4:OH4)-OI4,"")</f>
        <v>55.65</v>
      </c>
      <c r="OW4" s="40">
        <f t="shared" ref="OW4:OW17" si="177">IF(SUM(OP4,OS4,OV4)&gt;0,SUM(OP4,OS4,OV4),"")</f>
        <v>110.28999999999999</v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 t="shared" ref="PR4:PR17" si="178">IF(OZ4&gt;0,OZ4,"")</f>
        <v/>
      </c>
      <c r="PS4" s="11" t="str">
        <f t="shared" ref="PS4:PS17" si="179">IF(PA4&gt;0,PA4,"")</f>
        <v/>
      </c>
      <c r="PT4" s="11" t="str">
        <f t="shared" ref="PT4:PT17" si="180">IF(SUM(OX4:PA4)-PB4&gt;0,SUM(OX4:PA4)-PB4,"")</f>
        <v/>
      </c>
      <c r="PU4" s="11" t="str">
        <f t="shared" ref="PU4:PU17" si="181">IF(PE4&gt;0,PE4,"")</f>
        <v/>
      </c>
      <c r="PV4" s="11" t="str">
        <f t="shared" ref="PV4:PV17" si="182">IF(PF4&gt;0,PF4,"")</f>
        <v/>
      </c>
      <c r="PW4" s="11" t="str">
        <f t="shared" ref="PW4:PW17" si="183">IF(SUM(PC4:PF4)-PG4&gt;0,SUM(PC4:PF4)-PG4,"")</f>
        <v/>
      </c>
      <c r="PX4" s="11" t="str">
        <f t="shared" ref="PX4:PX17" si="184">IF(MAX(PT4,PW4)&gt;0,MAX(PT4,PW4),"")</f>
        <v/>
      </c>
      <c r="PY4" s="11" t="str">
        <f t="shared" ref="PY4:PY17" si="185">IF(PJ4&gt;0,PJ4,"")</f>
        <v/>
      </c>
      <c r="PZ4" s="11" t="str">
        <f t="shared" ref="PZ4:PZ17" si="186">IF(PK4&gt;0,PK4,"")</f>
        <v/>
      </c>
      <c r="QA4" s="11" t="str">
        <f t="shared" ref="QA4:QA17" si="187">IF(SUM(PH4:PK4)-PL4&gt;0,SUM(PH4:PK4)-PL4,"")</f>
        <v/>
      </c>
      <c r="QB4" s="11" t="str">
        <f t="shared" ref="QB4:QB17" si="188">IF(PO4&gt;0,PO4,"")</f>
        <v/>
      </c>
      <c r="QC4" s="11" t="str">
        <f t="shared" ref="QC4:QC17" si="189">IF(PP4&gt;0,PP4,"")</f>
        <v/>
      </c>
      <c r="QD4" s="11" t="str">
        <f t="shared" ref="QD4:QD17" si="190">IF(SUM(PM4:PP4)-PQ4&gt;0,SUM(PM4:PP4)-PQ4,"")</f>
        <v/>
      </c>
      <c r="QE4" s="11" t="str">
        <f t="shared" ref="QE4:QE17" si="191"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 t="shared" ref="QZ4:QZ17" si="192">IF(QH4&gt;0,QH4,"")</f>
        <v/>
      </c>
      <c r="RA4" s="40" t="str">
        <f t="shared" ref="RA4:RA17" si="193">IF(QI4&gt;0,QI4,"")</f>
        <v/>
      </c>
      <c r="RB4" s="40" t="str">
        <f t="shared" ref="RB4:RB17" si="194">IF(SUM(QF4:QI4)-QJ4&gt;0,SUM(QF4:QI4)-QJ4,"")</f>
        <v/>
      </c>
      <c r="RC4" s="40" t="str">
        <f t="shared" ref="RC4:RC17" si="195">IF(QM4&gt;0,QM4,"")</f>
        <v/>
      </c>
      <c r="RD4" s="40" t="str">
        <f t="shared" ref="RD4:RD17" si="196">IF(QN4&gt;0,QN4,"")</f>
        <v/>
      </c>
      <c r="RE4" s="40" t="str">
        <f t="shared" ref="RE4:RE17" si="197">IF(SUM(QK4:QN4)-QO4&gt;0,SUM(QK4:QN4)-QO4,"")</f>
        <v/>
      </c>
      <c r="RF4" s="40" t="str">
        <f t="shared" ref="RF4:RF17" si="198">IF(MAX(RB4,RE4)&gt;0,MAX(RB4,RE4),"")</f>
        <v/>
      </c>
      <c r="RG4" s="40" t="str">
        <f t="shared" ref="RG4:RG17" si="199">IF(QR4&gt;0,QR4,"")</f>
        <v/>
      </c>
      <c r="RH4" s="40" t="str">
        <f t="shared" ref="RH4:RH17" si="200">IF(QS4&gt;0,QS4,"")</f>
        <v/>
      </c>
      <c r="RI4" s="40" t="str">
        <f t="shared" ref="RI4:RI17" si="201">IF(SUM(QP4:QS4)-QT4&gt;0,SUM(QP4:QS4)-QT4,"")</f>
        <v/>
      </c>
      <c r="RJ4" s="40" t="str">
        <f t="shared" ref="RJ4:RJ17" si="202">IF(QW4&gt;0,QW4,"")</f>
        <v/>
      </c>
      <c r="RK4" s="40" t="str">
        <f t="shared" ref="RK4:RK17" si="203">IF(QX4&gt;0,QX4,"")</f>
        <v/>
      </c>
      <c r="RL4" s="40" t="str">
        <f t="shared" ref="RL4:RL17" si="204">IF(SUM(QU4:QX4)-QY4&gt;0,SUM(QU4:QX4)-QY4,"")</f>
        <v/>
      </c>
      <c r="RM4" s="40" t="str">
        <f t="shared" ref="RM4:RM17" si="205"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 t="shared" ref="SH4:SH17" si="206">IF(RP4&gt;0,RP4,"")</f>
        <v/>
      </c>
      <c r="SI4" s="11" t="str">
        <f t="shared" ref="SI4:SI17" si="207">IF(RQ4&gt;0,RQ4,"")</f>
        <v/>
      </c>
      <c r="SJ4" s="11" t="str">
        <f t="shared" ref="SJ4:SJ17" si="208">IF(SUM(RN4:RQ4)-RR4&gt;0,SUM(RN4:RQ4)-RR4,"")</f>
        <v/>
      </c>
      <c r="SK4" s="11" t="str">
        <f t="shared" ref="SK4:SK17" si="209">IF(RU4&gt;0,RU4,"")</f>
        <v/>
      </c>
      <c r="SL4" s="11" t="str">
        <f t="shared" ref="SL4:SL17" si="210">IF(RV4&gt;0,RV4,"")</f>
        <v/>
      </c>
      <c r="SM4" s="11" t="str">
        <f t="shared" ref="SM4:SM17" si="211">IF(SUM(RS4:RV4)-RW4&gt;0,SUM(RS4:RV4)-RW4,"")</f>
        <v/>
      </c>
      <c r="SN4" s="11" t="str">
        <f t="shared" ref="SN4:SN17" si="212">IF(MAX(SJ4,SM4)&gt;0,MAX(SJ4,SM4),"")</f>
        <v/>
      </c>
      <c r="SO4" s="11" t="str">
        <f t="shared" ref="SO4:SO17" si="213">IF(RZ4&gt;0,RZ4,"")</f>
        <v/>
      </c>
      <c r="SP4" s="11" t="str">
        <f t="shared" ref="SP4:SP17" si="214">IF(SA4&gt;0,SA4,"")</f>
        <v/>
      </c>
      <c r="SQ4" s="11" t="str">
        <f t="shared" ref="SQ4:SQ17" si="215">IF(SUM(RX4:SA4)-SB4&gt;0,SUM(RX4:SA4)-SB4,"")</f>
        <v/>
      </c>
      <c r="SR4" s="11" t="str">
        <f t="shared" ref="SR4:SR17" si="216">IF(SE4&gt;0,SE4,"")</f>
        <v/>
      </c>
      <c r="SS4" s="11" t="str">
        <f t="shared" ref="SS4:SS17" si="217">IF(SF4&gt;0,SF4,"")</f>
        <v/>
      </c>
      <c r="ST4" s="11" t="str">
        <f t="shared" ref="ST4:ST17" si="218">IF(SUM(SC4:SF4)-SG4&gt;0,SUM(SC4:SF4)-SG4,"")</f>
        <v/>
      </c>
      <c r="SU4" s="11" t="str">
        <f t="shared" ref="SU4:SU17" si="219">IF(SUM(SN4,SQ4,ST4)&gt;0,SUM(SN4,SQ4,ST4),"")</f>
        <v/>
      </c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17"/>
      <c r="TI4" s="17"/>
      <c r="TJ4" s="17"/>
      <c r="TK4" s="17"/>
      <c r="TL4" s="17"/>
      <c r="TM4" s="17"/>
      <c r="TN4" s="17"/>
      <c r="TO4" s="17"/>
      <c r="TP4" s="40" t="str">
        <f t="shared" ref="TP4:TP17" si="220">IF(SX4&gt;0,SX4,"")</f>
        <v/>
      </c>
      <c r="TQ4" s="40" t="str">
        <f t="shared" ref="TQ4:TQ17" si="221">IF(SY4&gt;0,SY4,"")</f>
        <v/>
      </c>
      <c r="TR4" s="40" t="str">
        <f t="shared" ref="TR4:TR17" si="222">IF(SUM(SV4:SY4)-SZ4&gt;0,SUM(SV4:SY4)-SZ4,"")</f>
        <v/>
      </c>
      <c r="TS4" s="40" t="str">
        <f t="shared" ref="TS4:TS17" si="223">IF(TC4&gt;0,TC4,"")</f>
        <v/>
      </c>
      <c r="TT4" s="40" t="str">
        <f t="shared" ref="TT4:TT17" si="224">IF(TD4&gt;0,TD4,"")</f>
        <v/>
      </c>
      <c r="TU4" s="40" t="str">
        <f t="shared" ref="TU4:TU17" si="225">IF(SUM(TA4:TD4)-TE4&gt;0,SUM(TA4:TD4)-TE4,"")</f>
        <v/>
      </c>
      <c r="TV4" s="40" t="str">
        <f t="shared" ref="TV4:TV17" si="226">IF(MAX(TR4,TU4)&gt;0,MAX(TR4,TU4),"")</f>
        <v/>
      </c>
      <c r="TW4" s="40" t="str">
        <f t="shared" ref="TW4:TW17" si="227">IF(TH4&gt;0,TH4,"")</f>
        <v/>
      </c>
      <c r="TX4" s="40" t="str">
        <f t="shared" ref="TX4:TX17" si="228">IF(TI4&gt;0,TI4,"")</f>
        <v/>
      </c>
      <c r="TY4" s="40" t="str">
        <f t="shared" ref="TY4:TY17" si="229">IF(SUM(TF4:TI4)-TJ4&gt;0,SUM(TF4:TI4)-TJ4,"")</f>
        <v/>
      </c>
      <c r="TZ4" s="40" t="str">
        <f t="shared" ref="TZ4:TZ17" si="230">IF(TM4&gt;0,TM4,"")</f>
        <v/>
      </c>
      <c r="UA4" s="40" t="str">
        <f t="shared" ref="UA4:UA17" si="231">IF(TN4&gt;0,TN4,"")</f>
        <v/>
      </c>
      <c r="UB4" s="40" t="str">
        <f t="shared" ref="UB4:UB17" si="232">IF(SUM(TK4:TN4)-TO4&gt;0,SUM(TK4:TN4)-TO4,"")</f>
        <v/>
      </c>
      <c r="UC4" s="40" t="str">
        <f t="shared" ref="UC4:UC17" si="233">IF(SUM(TV4,TY4,UB4)&gt;0,SUM(TV4,TY4,UB4),"")</f>
        <v/>
      </c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8"/>
      <c r="UQ4" s="18"/>
      <c r="UR4" s="18"/>
      <c r="US4" s="18"/>
      <c r="UT4" s="18"/>
      <c r="UU4" s="18"/>
      <c r="UV4" s="18"/>
      <c r="UW4" s="18"/>
      <c r="UX4" s="11" t="str">
        <f t="shared" ref="UX4:UX17" si="234">IF(UF4&gt;0,UF4,"")</f>
        <v/>
      </c>
      <c r="UY4" s="11" t="str">
        <f t="shared" ref="UY4:UY17" si="235">IF(UG4&gt;0,UG4,"")</f>
        <v/>
      </c>
      <c r="UZ4" s="11" t="str">
        <f t="shared" ref="UZ4:UZ17" si="236">IF(SUM(UD4:UG4)-UH4&gt;0,SUM(UD4:UG4)-UH4,"")</f>
        <v/>
      </c>
      <c r="VA4" s="11" t="str">
        <f t="shared" ref="VA4:VA17" si="237">IF(UK4&gt;0,UK4,"")</f>
        <v/>
      </c>
      <c r="VB4" s="11" t="str">
        <f t="shared" ref="VB4:VB17" si="238">IF(UL4&gt;0,UL4,"")</f>
        <v/>
      </c>
      <c r="VC4" s="11" t="str">
        <f t="shared" ref="VC4:VC17" si="239">IF(SUM(UI4:UL4)-UM4&gt;0,SUM(UI4:UL4)-UM4,"")</f>
        <v/>
      </c>
      <c r="VD4" s="11" t="str">
        <f t="shared" ref="VD4:VD17" si="240">IF(MAX(UZ4,VC4)&gt;0,MAX(UZ4,VC4),"")</f>
        <v/>
      </c>
      <c r="VE4" s="11" t="str">
        <f t="shared" ref="VE4:VE17" si="241">IF(UP4&gt;0,UP4,"")</f>
        <v/>
      </c>
      <c r="VF4" s="11" t="str">
        <f t="shared" ref="VF4:VF17" si="242">IF(UQ4&gt;0,UQ4,"")</f>
        <v/>
      </c>
      <c r="VG4" s="11" t="str">
        <f t="shared" ref="VG4:VG17" si="243">IF(SUM(UN4:UQ4)-UR4&gt;0,SUM(UN4:UQ4)-UR4,"")</f>
        <v/>
      </c>
      <c r="VH4" s="11" t="str">
        <f t="shared" ref="VH4:VH17" si="244">IF(UU4&gt;0,UU4,"")</f>
        <v/>
      </c>
      <c r="VI4" s="11" t="str">
        <f t="shared" ref="VI4:VI17" si="245">IF(UV4&gt;0,UV4,"")</f>
        <v/>
      </c>
      <c r="VJ4" s="11" t="str">
        <f t="shared" ref="VJ4:VJ17" si="246">IF(SUM(US4:UV4)-UW4&gt;0,SUM(US4:UV4)-UW4,"")</f>
        <v/>
      </c>
      <c r="VK4" s="11" t="str">
        <f t="shared" ref="VK4:VK17" si="247">IF(SUM(VD4,VG4,VJ4)&gt;0,SUM(VD4,VG4,VJ4),"")</f>
        <v/>
      </c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17"/>
      <c r="VY4" s="17"/>
      <c r="VZ4" s="17"/>
      <c r="WA4" s="17"/>
      <c r="WB4" s="17"/>
      <c r="WC4" s="17"/>
      <c r="WD4" s="17"/>
      <c r="WE4" s="17"/>
      <c r="WF4" s="40" t="str">
        <f t="shared" ref="WF4:WF17" si="248">IF(VN4&gt;0,VN4,"")</f>
        <v/>
      </c>
      <c r="WG4" s="40" t="str">
        <f t="shared" ref="WG4:WG17" si="249">IF(VO4&gt;0,VO4,"")</f>
        <v/>
      </c>
      <c r="WH4" s="40" t="str">
        <f t="shared" ref="WH4:WH17" si="250">IF(SUM(VL4:VO4)-VP4&gt;0,SUM(VL4:VO4)-VP4,"")</f>
        <v/>
      </c>
      <c r="WI4" s="40" t="str">
        <f t="shared" ref="WI4:WI17" si="251">IF(VS4&gt;0,VS4,"")</f>
        <v/>
      </c>
      <c r="WJ4" s="40" t="str">
        <f t="shared" ref="WJ4:WJ17" si="252">IF(VT4&gt;0,VT4,"")</f>
        <v/>
      </c>
      <c r="WK4" s="40" t="str">
        <f t="shared" ref="WK4:WK17" si="253">IF(SUM(VQ4:VT4)-VU4&gt;0,SUM(VQ4:VT4)-VU4,"")</f>
        <v/>
      </c>
      <c r="WL4" s="40" t="str">
        <f t="shared" ref="WL4:WL17" si="254">IF(MAX(WH4,WK4)&gt;0,MAX(WH4,WK4),"")</f>
        <v/>
      </c>
      <c r="WM4" s="40" t="str">
        <f t="shared" ref="WM4:WM17" si="255">IF(VX4&gt;0,VX4,"")</f>
        <v/>
      </c>
      <c r="WN4" s="40" t="str">
        <f t="shared" ref="WN4:WN17" si="256">IF(VY4&gt;0,VY4,"")</f>
        <v/>
      </c>
      <c r="WO4" s="40" t="str">
        <f t="shared" ref="WO4:WO17" si="257">IF(SUM(VV4:VY4)-VZ4&gt;0,SUM(VV4:VY4)-VZ4,"")</f>
        <v/>
      </c>
      <c r="WP4" s="40" t="str">
        <f t="shared" ref="WP4:WP17" si="258">IF(WC4&gt;0,WC4,"")</f>
        <v/>
      </c>
      <c r="WQ4" s="40" t="str">
        <f t="shared" ref="WQ4:WQ17" si="259">IF(WD4&gt;0,WD4,"")</f>
        <v/>
      </c>
      <c r="WR4" s="40" t="str">
        <f t="shared" ref="WR4:WR17" si="260">IF(SUM(WA4:WD4)-WE4&gt;0,SUM(WA4:WD4)-WE4,"")</f>
        <v/>
      </c>
      <c r="WS4" s="40" t="str">
        <f t="shared" ref="WS4:WS17" si="261">IF(SUM(WL4,WO4,WR4)&gt;0,SUM(WL4,WO4,WR4),"")</f>
        <v/>
      </c>
      <c r="WT4" s="26">
        <f t="shared" ref="WT4:WT17" si="262">IF($CP4="P",CA4,(CA4+AZ4)/2)</f>
        <v>16.75</v>
      </c>
      <c r="WU4" s="26">
        <f t="shared" ref="WU4:WU17" si="263">IF($CP4="P",CB4,(CB4+BA4)/2)</f>
        <v>9.0500000000000007</v>
      </c>
      <c r="WV4" s="26">
        <f t="shared" ref="WV4:WV17" si="264">IF($CP4="P",CC4,(CC4+BB4)/2)</f>
        <v>14.2</v>
      </c>
      <c r="WW4" s="26">
        <f t="shared" ref="WW4:WW17" si="265">IF($CP4="P",CD4,(CD4+BC4)/2)</f>
        <v>14.969999999999999</v>
      </c>
      <c r="WX4" s="26">
        <f t="shared" ref="WX4:WX17" si="266">IF($CP4="P",CE4,(CE4+BD4)/2)</f>
        <v>0.1</v>
      </c>
      <c r="WY4" s="26">
        <f t="shared" ref="WY4:WY17" si="267">IF($CP4="P",CF4,(CF4+BE4)/2)</f>
        <v>17.149999999999999</v>
      </c>
      <c r="WZ4" s="26">
        <f t="shared" ref="WZ4:WZ17" si="268">IF($CP4="P",CG4,(CG4+BF4)/2)</f>
        <v>9.3000000000000007</v>
      </c>
      <c r="XA4" s="26">
        <f t="shared" ref="XA4:XA17" si="269">IF($CP4="P",CH4,(CH4+BG4)/2)</f>
        <v>14.4</v>
      </c>
      <c r="XB4" s="26">
        <f t="shared" ref="XB4:XB17" si="270">IF($CP4="P",CI4,(CI4+BH4)/2)</f>
        <v>15.129999999999999</v>
      </c>
      <c r="XC4" s="26">
        <f t="shared" ref="XC4:XC17" si="271">IF($CP4="P",CJ4,(CJ4+BI4)/2)</f>
        <v>0</v>
      </c>
      <c r="XD4" s="26">
        <f t="shared" ref="XD4:XD17" si="272">IF($CP4="P",CK4,(CK4+BJ4)/2)</f>
        <v>16.95</v>
      </c>
      <c r="XE4" s="26">
        <f t="shared" ref="XE4:XE17" si="273">IF($CP4="P",CL4,(CL4+BK4)/2)</f>
        <v>9.25</v>
      </c>
      <c r="XF4" s="26">
        <f t="shared" ref="XF4:XF17" si="274">IF($CP4="P",CM4,(CM4+BL4)/2)</f>
        <v>14.5</v>
      </c>
      <c r="XG4" s="26">
        <f t="shared" ref="XG4:XG17" si="275">IF($CP4="P",CN4,(CN4+BM4)/2)</f>
        <v>14.95</v>
      </c>
      <c r="XH4" s="26">
        <f t="shared" ref="XH4:XH17" si="276">IF($CP4="P",CO4,(CO4+BN4)/2)</f>
        <v>0</v>
      </c>
      <c r="XI4" s="28" t="s">
        <v>53</v>
      </c>
      <c r="XJ4" s="11">
        <f t="shared" ref="XJ4:XJ17" si="277">IF(WV4&gt;0,WV4,"")</f>
        <v>14.2</v>
      </c>
      <c r="XK4" s="11">
        <f t="shared" ref="XK4:XK17" si="278">IF(WW4&gt;0,WW4,"")</f>
        <v>14.969999999999999</v>
      </c>
      <c r="XL4" s="11">
        <f t="shared" ref="XL4:XL17" si="279">IF(SUM(WT4:WW4)-WX4&gt;0,SUM(WT4:WW4)-WX4,"")</f>
        <v>54.87</v>
      </c>
      <c r="XM4" s="11">
        <f t="shared" ref="XM4:XM17" si="280">IF(XA4&gt;0,XA4,"")</f>
        <v>14.4</v>
      </c>
      <c r="XN4" s="11">
        <f t="shared" ref="XN4:XN17" si="281">IF(XB4&gt;0,XB4,"")</f>
        <v>15.129999999999999</v>
      </c>
      <c r="XO4" s="11">
        <f t="shared" ref="XO4:XO17" si="282">IF(SUM(WY4:XB4)-XC4&gt;0,SUM(WY4:XB4)-XC4,"")</f>
        <v>55.980000000000004</v>
      </c>
      <c r="XP4" s="11">
        <f t="shared" ref="XP4:XP17" si="283">IF(MAX(XL4,XO4)&gt;0,MAX(XL4,XO4),"")</f>
        <v>55.980000000000004</v>
      </c>
      <c r="XQ4" s="11">
        <f t="shared" ref="XQ4:XQ17" si="284">IF(XF4&gt;0,XF4,"")</f>
        <v>14.5</v>
      </c>
      <c r="XR4" s="11">
        <f t="shared" ref="XR4:XR17" si="285">IF(XG4&gt;0,XG4,"")</f>
        <v>14.95</v>
      </c>
      <c r="XS4" s="11">
        <f t="shared" ref="XS4:XS17" si="286">IF(SUM(XD4:XG4)-XH4&gt;0,SUM(XD4:XG4)-XH4,"")</f>
        <v>55.650000000000006</v>
      </c>
      <c r="XT4" s="11">
        <f t="shared" ref="XT4:XT17" si="287">IF(SUM(XP4,XS4)&gt;0,SUM(XP4,XS4),"")</f>
        <v>111.63000000000001</v>
      </c>
    </row>
    <row r="5" spans="1:644" x14ac:dyDescent="0.2">
      <c r="A5" s="4" cm="1">
        <f t="array" ref="A5">IF(AND(H5&lt;&gt;"",H5&lt;&gt;"No DD"),SUMPRODUCT((H$4:H$18&lt;&gt;"")*(H$4:H$18&lt;&gt;"No DD")*(E$4:E$18&gt;E5))+1,IF(H5="No DD",SUMPRODUCT((H$4:H$18="No DD")*(E$4:E$18&gt;E5))+1+SUMPRODUCT((H$4:H$18&lt;&gt;"")*(H$4:H$18&lt;&gt;"No DD")),""))</f>
        <v>2</v>
      </c>
      <c r="B5" s="5" t="s">
        <v>26</v>
      </c>
      <c r="C5" s="4" t="s">
        <v>3</v>
      </c>
      <c r="D5" s="4">
        <v>1998</v>
      </c>
      <c r="E5" s="9">
        <f t="shared" si="0"/>
        <v>245.50502455050542</v>
      </c>
      <c r="F5" s="3" t="str">
        <f t="shared" si="1"/>
        <v>P</v>
      </c>
      <c r="G5" s="3" t="str">
        <f t="shared" si="2"/>
        <v>P</v>
      </c>
      <c r="H5" s="36" t="str">
        <f t="shared" si="3"/>
        <v>Merit</v>
      </c>
      <c r="I5" s="3" t="str">
        <f t="shared" si="4"/>
        <v>P</v>
      </c>
      <c r="J5" s="8">
        <f>IF(COUNT(AQ5,AT5,BR5,BU5,CS5,CV5)&gt;0,LARGE((AQ5,AT5,BR5,BU5,CS5,CV5),1),0)</f>
        <v>54.37</v>
      </c>
      <c r="K5" s="8" t="str">
        <f t="shared" si="5"/>
        <v>2024 Elite Canada</v>
      </c>
      <c r="L5" s="8">
        <f>IF(COUNT(AQ5,AT5,BR5,BU5,CS5,CV5)&gt;1,LARGE((AQ5,AT5,BR5,BU5,CS5,CV5),2),0)</f>
        <v>53.745000000000005</v>
      </c>
      <c r="M5" s="8" t="str">
        <f t="shared" si="6"/>
        <v>2024 3rd Domestic Trial</v>
      </c>
      <c r="N5" s="8">
        <f>IF(COUNT(AQ5,AT5,BR5,BU5,CS5,CV5)&gt;2,LARGE((AQ5,AT5,BR5,BU5,CS5,CV5),3),0)</f>
        <v>53.61</v>
      </c>
      <c r="O5" s="8" t="str">
        <f t="shared" si="7"/>
        <v>2024 Elite Canada</v>
      </c>
      <c r="P5" s="8">
        <f t="shared" si="8"/>
        <v>54.57</v>
      </c>
      <c r="Q5" s="8" t="str">
        <f t="shared" si="9"/>
        <v>2024 Elite Canada</v>
      </c>
      <c r="R5" s="8">
        <f t="shared" si="10"/>
        <v>14.2</v>
      </c>
      <c r="S5" s="8" t="str">
        <f t="shared" si="11"/>
        <v>2024 Elite Canada</v>
      </c>
      <c r="T5" s="8">
        <f t="shared" si="12"/>
        <v>15.01</v>
      </c>
      <c r="U5" s="8" t="str">
        <f t="shared" si="13"/>
        <v>2024 Elite Canada</v>
      </c>
      <c r="V5" s="8" t="str">
        <f t="shared" si="14"/>
        <v/>
      </c>
      <c r="W5" s="11" t="str">
        <f t="shared" si="15"/>
        <v/>
      </c>
      <c r="X5" s="8" t="str">
        <f t="shared" si="16"/>
        <v/>
      </c>
      <c r="Y5" s="22">
        <v>16</v>
      </c>
      <c r="Z5" s="22">
        <v>9.1999999999999993</v>
      </c>
      <c r="AA5" s="22">
        <v>14.2</v>
      </c>
      <c r="AB5" s="22">
        <v>14.97</v>
      </c>
      <c r="AC5" s="22">
        <v>0</v>
      </c>
      <c r="AD5" s="22">
        <v>15.8</v>
      </c>
      <c r="AE5" s="22">
        <v>8.8000000000000007</v>
      </c>
      <c r="AF5" s="22">
        <v>14</v>
      </c>
      <c r="AG5" s="22">
        <v>15.01</v>
      </c>
      <c r="AH5" s="22">
        <v>0</v>
      </c>
      <c r="AI5" s="22">
        <v>16.399999999999999</v>
      </c>
      <c r="AJ5" s="22">
        <v>9.4</v>
      </c>
      <c r="AK5" s="22">
        <v>14.2</v>
      </c>
      <c r="AL5" s="22">
        <v>14.57</v>
      </c>
      <c r="AM5" s="22">
        <v>0</v>
      </c>
      <c r="AN5" s="27"/>
      <c r="AO5" s="38">
        <f t="shared" si="17"/>
        <v>14.2</v>
      </c>
      <c r="AP5" s="38">
        <f t="shared" si="18"/>
        <v>14.97</v>
      </c>
      <c r="AQ5" s="40">
        <f t="shared" si="19"/>
        <v>54.37</v>
      </c>
      <c r="AR5" s="40">
        <f t="shared" si="20"/>
        <v>14</v>
      </c>
      <c r="AS5" s="40">
        <f t="shared" si="21"/>
        <v>15.01</v>
      </c>
      <c r="AT5" s="40">
        <f t="shared" si="22"/>
        <v>53.61</v>
      </c>
      <c r="AU5" s="40">
        <f t="shared" si="23"/>
        <v>54.37</v>
      </c>
      <c r="AV5" s="40">
        <f t="shared" si="24"/>
        <v>14.2</v>
      </c>
      <c r="AW5" s="40">
        <f t="shared" si="25"/>
        <v>14.57</v>
      </c>
      <c r="AX5" s="40">
        <f t="shared" si="26"/>
        <v>54.57</v>
      </c>
      <c r="AY5" s="40">
        <f t="shared" si="27"/>
        <v>108.94</v>
      </c>
      <c r="AZ5" s="26">
        <v>15.5</v>
      </c>
      <c r="BA5" s="26">
        <v>9.3000000000000007</v>
      </c>
      <c r="BB5" s="26">
        <v>14</v>
      </c>
      <c r="BC5" s="26">
        <v>14.32</v>
      </c>
      <c r="BD5" s="26">
        <v>0</v>
      </c>
      <c r="BE5" s="26">
        <v>1.6</v>
      </c>
      <c r="BF5" s="26">
        <v>0.8</v>
      </c>
      <c r="BG5" s="26">
        <v>2</v>
      </c>
      <c r="BH5" s="26">
        <v>1.59</v>
      </c>
      <c r="BI5" s="26">
        <v>0</v>
      </c>
      <c r="BJ5" s="26">
        <v>3.2</v>
      </c>
      <c r="BK5" s="26">
        <v>1.8</v>
      </c>
      <c r="BL5" s="26">
        <v>3.2</v>
      </c>
      <c r="BM5" s="26">
        <v>3.11</v>
      </c>
      <c r="BN5" s="26">
        <v>0</v>
      </c>
      <c r="BO5" s="28"/>
      <c r="BP5" s="39">
        <f t="shared" si="28"/>
        <v>14</v>
      </c>
      <c r="BQ5" s="39">
        <f t="shared" si="29"/>
        <v>14.32</v>
      </c>
      <c r="BR5" s="11">
        <f t="shared" si="30"/>
        <v>53.12</v>
      </c>
      <c r="BS5" s="11">
        <f t="shared" si="31"/>
        <v>2</v>
      </c>
      <c r="BT5" s="11">
        <f t="shared" si="32"/>
        <v>1.59</v>
      </c>
      <c r="BU5" s="11">
        <f t="shared" si="33"/>
        <v>5.99</v>
      </c>
      <c r="BV5" s="11">
        <f t="shared" si="34"/>
        <v>53.12</v>
      </c>
      <c r="BW5" s="11">
        <f t="shared" si="35"/>
        <v>3.2</v>
      </c>
      <c r="BX5" s="11">
        <f t="shared" si="36"/>
        <v>3.11</v>
      </c>
      <c r="BY5" s="11">
        <f t="shared" si="37"/>
        <v>11.309999999999999</v>
      </c>
      <c r="BZ5" s="11">
        <f t="shared" si="38"/>
        <v>64.429999999999993</v>
      </c>
      <c r="CA5" s="22">
        <v>15.75</v>
      </c>
      <c r="CB5" s="22">
        <v>9.25</v>
      </c>
      <c r="CC5" s="22">
        <v>14.1</v>
      </c>
      <c r="CD5" s="22">
        <v>14.645</v>
      </c>
      <c r="CE5" s="22">
        <v>0</v>
      </c>
      <c r="CF5" s="22">
        <v>8.7000000000000011</v>
      </c>
      <c r="CG5" s="22">
        <v>4.8000000000000007</v>
      </c>
      <c r="CH5" s="22">
        <v>8</v>
      </c>
      <c r="CI5" s="22">
        <v>8.3000000000000007</v>
      </c>
      <c r="CJ5" s="22">
        <v>0</v>
      </c>
      <c r="CK5" s="22">
        <v>9.7999999999999989</v>
      </c>
      <c r="CL5" s="22">
        <v>5.6000000000000005</v>
      </c>
      <c r="CM5" s="22">
        <v>8.6999999999999993</v>
      </c>
      <c r="CN5" s="22">
        <v>8.84</v>
      </c>
      <c r="CO5" s="22">
        <v>0</v>
      </c>
      <c r="CP5" s="27" t="s">
        <v>53</v>
      </c>
      <c r="CQ5" s="38">
        <f t="shared" si="39"/>
        <v>14.1</v>
      </c>
      <c r="CR5" s="38">
        <f t="shared" si="40"/>
        <v>14.645</v>
      </c>
      <c r="CS5" s="40">
        <f t="shared" si="41"/>
        <v>53.745000000000005</v>
      </c>
      <c r="CT5" s="40">
        <f t="shared" si="42"/>
        <v>8</v>
      </c>
      <c r="CU5" s="40">
        <f t="shared" si="43"/>
        <v>8.3000000000000007</v>
      </c>
      <c r="CV5" s="40">
        <f t="shared" si="44"/>
        <v>29.8</v>
      </c>
      <c r="CW5" s="40">
        <f t="shared" si="45"/>
        <v>53.745000000000005</v>
      </c>
      <c r="CX5" s="40">
        <f t="shared" si="46"/>
        <v>8.6999999999999993</v>
      </c>
      <c r="CY5" s="40">
        <f t="shared" si="47"/>
        <v>8.84</v>
      </c>
      <c r="CZ5" s="40">
        <f t="shared" si="48"/>
        <v>32.94</v>
      </c>
      <c r="DA5" s="40">
        <f t="shared" si="49"/>
        <v>86.685000000000002</v>
      </c>
      <c r="DB5" s="51" t="str">
        <f t="shared" si="50"/>
        <v/>
      </c>
      <c r="DC5" s="51" t="str">
        <f t="shared" si="51"/>
        <v/>
      </c>
      <c r="DD5" s="17">
        <v>4.5999999999999996</v>
      </c>
      <c r="DE5" s="17">
        <v>2.5</v>
      </c>
      <c r="DF5" s="17">
        <v>4.7</v>
      </c>
      <c r="DG5" s="17">
        <v>4.6500000000000004</v>
      </c>
      <c r="DH5" s="17">
        <v>0</v>
      </c>
      <c r="DI5" s="17">
        <v>4.4000000000000004</v>
      </c>
      <c r="DJ5" s="17">
        <v>2.5</v>
      </c>
      <c r="DK5" s="17">
        <v>4.7</v>
      </c>
      <c r="DL5" s="17">
        <v>4.57</v>
      </c>
      <c r="DM5" s="17">
        <v>0</v>
      </c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>
        <f t="shared" si="52"/>
        <v>4.7</v>
      </c>
      <c r="DY5" s="40">
        <f t="shared" si="53"/>
        <v>4.6500000000000004</v>
      </c>
      <c r="DZ5" s="40">
        <f t="shared" si="54"/>
        <v>16.450000000000003</v>
      </c>
      <c r="EA5" s="40">
        <f t="shared" si="55"/>
        <v>4.7</v>
      </c>
      <c r="EB5" s="40">
        <f t="shared" si="56"/>
        <v>4.57</v>
      </c>
      <c r="EC5" s="40">
        <f t="shared" si="57"/>
        <v>16.170000000000002</v>
      </c>
      <c r="ED5" s="40">
        <f t="shared" si="58"/>
        <v>16.450000000000003</v>
      </c>
      <c r="EE5" s="40" t="str">
        <f t="shared" si="59"/>
        <v/>
      </c>
      <c r="EF5" s="40" t="str">
        <f t="shared" si="60"/>
        <v/>
      </c>
      <c r="EG5" s="40" t="str">
        <f t="shared" si="61"/>
        <v/>
      </c>
      <c r="EH5" s="40" t="str">
        <f t="shared" si="62"/>
        <v/>
      </c>
      <c r="EI5" s="40" t="str">
        <f t="shared" si="63"/>
        <v/>
      </c>
      <c r="EJ5" s="40" t="str">
        <f t="shared" si="64"/>
        <v/>
      </c>
      <c r="EK5" s="40">
        <f t="shared" si="65"/>
        <v>16.450000000000003</v>
      </c>
      <c r="EL5" s="18">
        <v>14.1</v>
      </c>
      <c r="EM5" s="18">
        <v>9.4</v>
      </c>
      <c r="EN5" s="18">
        <v>14.2</v>
      </c>
      <c r="EO5" s="18">
        <v>14.33</v>
      </c>
      <c r="EP5" s="18">
        <v>0</v>
      </c>
      <c r="EQ5" s="18">
        <v>14.3</v>
      </c>
      <c r="ER5" s="18">
        <v>9.3000000000000007</v>
      </c>
      <c r="ES5" s="18">
        <v>14.2</v>
      </c>
      <c r="ET5" s="18">
        <v>14.19</v>
      </c>
      <c r="EU5" s="18">
        <v>0</v>
      </c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>
        <f t="shared" si="66"/>
        <v>14.2</v>
      </c>
      <c r="FG5" s="11">
        <f t="shared" si="67"/>
        <v>14.33</v>
      </c>
      <c r="FH5" s="11">
        <f t="shared" si="68"/>
        <v>52.03</v>
      </c>
      <c r="FI5" s="11">
        <f t="shared" si="69"/>
        <v>14.2</v>
      </c>
      <c r="FJ5" s="11">
        <f t="shared" si="70"/>
        <v>14.19</v>
      </c>
      <c r="FK5" s="11">
        <f t="shared" si="71"/>
        <v>51.989999999999995</v>
      </c>
      <c r="FL5" s="11">
        <f t="shared" si="72"/>
        <v>52.03</v>
      </c>
      <c r="FM5" s="11" t="str">
        <f t="shared" si="73"/>
        <v/>
      </c>
      <c r="FN5" s="11" t="str">
        <f t="shared" si="74"/>
        <v/>
      </c>
      <c r="FO5" s="11" t="str">
        <f t="shared" si="75"/>
        <v/>
      </c>
      <c r="FP5" s="11" t="str">
        <f t="shared" si="76"/>
        <v/>
      </c>
      <c r="FQ5" s="11" t="str">
        <f t="shared" si="77"/>
        <v/>
      </c>
      <c r="FR5" s="11" t="str">
        <f t="shared" si="78"/>
        <v/>
      </c>
      <c r="FS5" s="11">
        <f t="shared" si="79"/>
        <v>52.03</v>
      </c>
      <c r="FT5" s="17">
        <v>3.1</v>
      </c>
      <c r="FU5" s="17">
        <v>1.8</v>
      </c>
      <c r="FV5" s="17">
        <v>3.2</v>
      </c>
      <c r="FW5" s="17">
        <v>3.18</v>
      </c>
      <c r="FX5" s="17">
        <v>0</v>
      </c>
      <c r="FY5" s="17">
        <v>15.8</v>
      </c>
      <c r="FZ5" s="17">
        <v>9</v>
      </c>
      <c r="GA5" s="17">
        <v>12.1</v>
      </c>
      <c r="GB5" s="17">
        <v>14.58</v>
      </c>
      <c r="GC5" s="17">
        <v>0</v>
      </c>
      <c r="GD5" s="17"/>
      <c r="GE5" s="17"/>
      <c r="GF5" s="17"/>
      <c r="GG5" s="17"/>
      <c r="GH5" s="17"/>
      <c r="GI5" s="17">
        <v>3.2</v>
      </c>
      <c r="GJ5" s="17">
        <v>1.7</v>
      </c>
      <c r="GK5" s="17">
        <v>3.2</v>
      </c>
      <c r="GL5" s="17">
        <v>3.21</v>
      </c>
      <c r="GM5" s="17">
        <v>0</v>
      </c>
      <c r="GN5" s="40">
        <f t="shared" si="80"/>
        <v>3.2</v>
      </c>
      <c r="GO5" s="40">
        <f t="shared" si="81"/>
        <v>3.18</v>
      </c>
      <c r="GP5" s="40">
        <f t="shared" si="82"/>
        <v>11.280000000000001</v>
      </c>
      <c r="GQ5" s="40">
        <f t="shared" si="83"/>
        <v>12.1</v>
      </c>
      <c r="GR5" s="40">
        <f t="shared" si="84"/>
        <v>14.58</v>
      </c>
      <c r="GS5" s="40">
        <f t="shared" si="85"/>
        <v>51.48</v>
      </c>
      <c r="GT5" s="40">
        <f t="shared" si="86"/>
        <v>51.48</v>
      </c>
      <c r="GU5" s="40" t="str">
        <f t="shared" si="87"/>
        <v/>
      </c>
      <c r="GV5" s="40" t="str">
        <f t="shared" si="88"/>
        <v/>
      </c>
      <c r="GW5" s="40" t="str">
        <f t="shared" si="89"/>
        <v/>
      </c>
      <c r="GX5" s="40">
        <f t="shared" si="90"/>
        <v>3.2</v>
      </c>
      <c r="GY5" s="40">
        <f t="shared" si="91"/>
        <v>3.21</v>
      </c>
      <c r="GZ5" s="40">
        <f t="shared" si="92"/>
        <v>11.310000000000002</v>
      </c>
      <c r="HA5" s="40">
        <f t="shared" si="93"/>
        <v>62.79</v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 t="shared" si="94"/>
        <v/>
      </c>
      <c r="HW5" s="11" t="str">
        <f t="shared" si="95"/>
        <v/>
      </c>
      <c r="HX5" s="11" t="str">
        <f t="shared" si="96"/>
        <v/>
      </c>
      <c r="HY5" s="11" t="str">
        <f t="shared" si="97"/>
        <v/>
      </c>
      <c r="HZ5" s="11" t="str">
        <f t="shared" si="98"/>
        <v/>
      </c>
      <c r="IA5" s="11" t="str">
        <f t="shared" si="99"/>
        <v/>
      </c>
      <c r="IB5" s="11" t="str">
        <f t="shared" si="100"/>
        <v/>
      </c>
      <c r="IC5" s="11" t="str">
        <f t="shared" si="101"/>
        <v/>
      </c>
      <c r="ID5" s="11" t="str">
        <f t="shared" si="102"/>
        <v/>
      </c>
      <c r="IE5" s="11" t="str">
        <f t="shared" si="103"/>
        <v/>
      </c>
      <c r="IF5" s="11" t="str">
        <f t="shared" si="104"/>
        <v/>
      </c>
      <c r="IG5" s="11" t="str">
        <f t="shared" si="105"/>
        <v/>
      </c>
      <c r="IH5" s="11" t="str">
        <f t="shared" si="106"/>
        <v/>
      </c>
      <c r="II5" s="11" t="str">
        <f t="shared" si="107"/>
        <v/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 t="shared" si="108"/>
        <v/>
      </c>
      <c r="JE5" s="40" t="str">
        <f t="shared" si="109"/>
        <v/>
      </c>
      <c r="JF5" s="40" t="str">
        <f t="shared" si="110"/>
        <v/>
      </c>
      <c r="JG5" s="40" t="str">
        <f t="shared" si="111"/>
        <v/>
      </c>
      <c r="JH5" s="40" t="str">
        <f t="shared" si="112"/>
        <v/>
      </c>
      <c r="JI5" s="40" t="str">
        <f t="shared" si="113"/>
        <v/>
      </c>
      <c r="JJ5" s="40" t="str">
        <f t="shared" si="114"/>
        <v/>
      </c>
      <c r="JK5" s="40" t="str">
        <f t="shared" si="115"/>
        <v/>
      </c>
      <c r="JL5" s="40" t="str">
        <f t="shared" si="116"/>
        <v/>
      </c>
      <c r="JM5" s="40" t="str">
        <f t="shared" si="117"/>
        <v/>
      </c>
      <c r="JN5" s="40" t="str">
        <f t="shared" si="118"/>
        <v/>
      </c>
      <c r="JO5" s="40" t="str">
        <f t="shared" si="119"/>
        <v/>
      </c>
      <c r="JP5" s="40" t="str">
        <f t="shared" si="120"/>
        <v/>
      </c>
      <c r="JQ5" s="40" t="str">
        <f t="shared" si="121"/>
        <v/>
      </c>
      <c r="JR5" s="18">
        <v>14.3</v>
      </c>
      <c r="JS5" s="18">
        <v>8.6</v>
      </c>
      <c r="JT5" s="18">
        <v>14.2</v>
      </c>
      <c r="JU5" s="18">
        <v>14.46</v>
      </c>
      <c r="JV5" s="18">
        <v>0</v>
      </c>
      <c r="JW5" s="18">
        <v>14.6</v>
      </c>
      <c r="JX5" s="18">
        <v>9.1</v>
      </c>
      <c r="JY5" s="18">
        <v>14.2</v>
      </c>
      <c r="JZ5" s="18">
        <v>14.58</v>
      </c>
      <c r="KA5" s="18">
        <v>0</v>
      </c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>
        <f t="shared" si="122"/>
        <v>14.2</v>
      </c>
      <c r="KM5" s="11">
        <f t="shared" si="123"/>
        <v>14.46</v>
      </c>
      <c r="KN5" s="11">
        <f t="shared" si="124"/>
        <v>51.559999999999995</v>
      </c>
      <c r="KO5" s="11">
        <f t="shared" si="125"/>
        <v>14.2</v>
      </c>
      <c r="KP5" s="11">
        <f t="shared" si="126"/>
        <v>14.58</v>
      </c>
      <c r="KQ5" s="11">
        <f t="shared" si="127"/>
        <v>52.48</v>
      </c>
      <c r="KR5" s="11">
        <f t="shared" si="128"/>
        <v>52.48</v>
      </c>
      <c r="KS5" s="11" t="str">
        <f t="shared" si="129"/>
        <v/>
      </c>
      <c r="KT5" s="11" t="str">
        <f t="shared" si="130"/>
        <v/>
      </c>
      <c r="KU5" s="11" t="str">
        <f t="shared" si="131"/>
        <v/>
      </c>
      <c r="KV5" s="11" t="str">
        <f t="shared" si="132"/>
        <v/>
      </c>
      <c r="KW5" s="11" t="str">
        <f t="shared" si="133"/>
        <v/>
      </c>
      <c r="KX5" s="11" t="str">
        <f t="shared" si="134"/>
        <v/>
      </c>
      <c r="KY5" s="11">
        <f t="shared" si="135"/>
        <v>52.48</v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 t="shared" si="136"/>
        <v/>
      </c>
      <c r="LU5" s="40" t="str">
        <f t="shared" si="137"/>
        <v/>
      </c>
      <c r="LV5" s="40" t="str">
        <f t="shared" si="138"/>
        <v/>
      </c>
      <c r="LW5" s="40" t="str">
        <f t="shared" si="139"/>
        <v/>
      </c>
      <c r="LX5" s="40" t="str">
        <f t="shared" si="140"/>
        <v/>
      </c>
      <c r="LY5" s="40" t="str">
        <f t="shared" si="141"/>
        <v/>
      </c>
      <c r="LZ5" s="40" t="str">
        <f t="shared" si="142"/>
        <v/>
      </c>
      <c r="MA5" s="40" t="str">
        <f t="shared" si="143"/>
        <v/>
      </c>
      <c r="MB5" s="40" t="str">
        <f t="shared" si="144"/>
        <v/>
      </c>
      <c r="MC5" s="40" t="str">
        <f t="shared" si="145"/>
        <v/>
      </c>
      <c r="MD5" s="40" t="str">
        <f t="shared" si="146"/>
        <v/>
      </c>
      <c r="ME5" s="40" t="str">
        <f t="shared" si="147"/>
        <v/>
      </c>
      <c r="MF5" s="40" t="str">
        <f t="shared" si="148"/>
        <v/>
      </c>
      <c r="MG5" s="40" t="str">
        <f t="shared" si="149"/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 t="shared" si="150"/>
        <v/>
      </c>
      <c r="NC5" s="11" t="str">
        <f t="shared" si="151"/>
        <v/>
      </c>
      <c r="ND5" s="11" t="str">
        <f t="shared" si="152"/>
        <v/>
      </c>
      <c r="NE5" s="11" t="str">
        <f t="shared" si="153"/>
        <v/>
      </c>
      <c r="NF5" s="11" t="str">
        <f t="shared" si="154"/>
        <v/>
      </c>
      <c r="NG5" s="11" t="str">
        <f t="shared" si="155"/>
        <v/>
      </c>
      <c r="NH5" s="11" t="str">
        <f t="shared" si="156"/>
        <v/>
      </c>
      <c r="NI5" s="11" t="str">
        <f t="shared" si="157"/>
        <v/>
      </c>
      <c r="NJ5" s="11" t="str">
        <f t="shared" si="158"/>
        <v/>
      </c>
      <c r="NK5" s="11" t="str">
        <f t="shared" si="159"/>
        <v/>
      </c>
      <c r="NL5" s="11" t="str">
        <f t="shared" si="160"/>
        <v/>
      </c>
      <c r="NM5" s="11" t="str">
        <f t="shared" si="161"/>
        <v/>
      </c>
      <c r="NN5" s="11" t="str">
        <f t="shared" si="162"/>
        <v/>
      </c>
      <c r="NO5" s="11" t="str">
        <f t="shared" si="163"/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 t="shared" si="164"/>
        <v/>
      </c>
      <c r="OK5" s="40" t="str">
        <f t="shared" si="165"/>
        <v/>
      </c>
      <c r="OL5" s="40" t="str">
        <f t="shared" si="166"/>
        <v/>
      </c>
      <c r="OM5" s="40" t="str">
        <f t="shared" si="167"/>
        <v/>
      </c>
      <c r="ON5" s="40" t="str">
        <f t="shared" si="168"/>
        <v/>
      </c>
      <c r="OO5" s="40" t="str">
        <f t="shared" si="169"/>
        <v/>
      </c>
      <c r="OP5" s="40" t="str">
        <f t="shared" si="170"/>
        <v/>
      </c>
      <c r="OQ5" s="40" t="str">
        <f t="shared" si="171"/>
        <v/>
      </c>
      <c r="OR5" s="40" t="str">
        <f t="shared" si="172"/>
        <v/>
      </c>
      <c r="OS5" s="40" t="str">
        <f t="shared" si="173"/>
        <v/>
      </c>
      <c r="OT5" s="40" t="str">
        <f t="shared" si="174"/>
        <v/>
      </c>
      <c r="OU5" s="40" t="str">
        <f t="shared" si="175"/>
        <v/>
      </c>
      <c r="OV5" s="40" t="str">
        <f t="shared" si="176"/>
        <v/>
      </c>
      <c r="OW5" s="40" t="str">
        <f t="shared" si="177"/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 t="shared" si="178"/>
        <v/>
      </c>
      <c r="PS5" s="11" t="str">
        <f t="shared" si="179"/>
        <v/>
      </c>
      <c r="PT5" s="11" t="str">
        <f t="shared" si="180"/>
        <v/>
      </c>
      <c r="PU5" s="11" t="str">
        <f t="shared" si="181"/>
        <v/>
      </c>
      <c r="PV5" s="11" t="str">
        <f t="shared" si="182"/>
        <v/>
      </c>
      <c r="PW5" s="11" t="str">
        <f t="shared" si="183"/>
        <v/>
      </c>
      <c r="PX5" s="11" t="str">
        <f t="shared" si="184"/>
        <v/>
      </c>
      <c r="PY5" s="11" t="str">
        <f t="shared" si="185"/>
        <v/>
      </c>
      <c r="PZ5" s="11" t="str">
        <f t="shared" si="186"/>
        <v/>
      </c>
      <c r="QA5" s="11" t="str">
        <f t="shared" si="187"/>
        <v/>
      </c>
      <c r="QB5" s="11" t="str">
        <f t="shared" si="188"/>
        <v/>
      </c>
      <c r="QC5" s="11" t="str">
        <f t="shared" si="189"/>
        <v/>
      </c>
      <c r="QD5" s="11" t="str">
        <f t="shared" si="190"/>
        <v/>
      </c>
      <c r="QE5" s="11" t="str">
        <f t="shared" si="191"/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 t="shared" si="192"/>
        <v/>
      </c>
      <c r="RA5" s="40" t="str">
        <f t="shared" si="193"/>
        <v/>
      </c>
      <c r="RB5" s="40" t="str">
        <f t="shared" si="194"/>
        <v/>
      </c>
      <c r="RC5" s="40" t="str">
        <f t="shared" si="195"/>
        <v/>
      </c>
      <c r="RD5" s="40" t="str">
        <f t="shared" si="196"/>
        <v/>
      </c>
      <c r="RE5" s="40" t="str">
        <f t="shared" si="197"/>
        <v/>
      </c>
      <c r="RF5" s="40" t="str">
        <f t="shared" si="198"/>
        <v/>
      </c>
      <c r="RG5" s="40" t="str">
        <f t="shared" si="199"/>
        <v/>
      </c>
      <c r="RH5" s="40" t="str">
        <f t="shared" si="200"/>
        <v/>
      </c>
      <c r="RI5" s="40" t="str">
        <f t="shared" si="201"/>
        <v/>
      </c>
      <c r="RJ5" s="40" t="str">
        <f t="shared" si="202"/>
        <v/>
      </c>
      <c r="RK5" s="40" t="str">
        <f t="shared" si="203"/>
        <v/>
      </c>
      <c r="RL5" s="40" t="str">
        <f t="shared" si="204"/>
        <v/>
      </c>
      <c r="RM5" s="40" t="str">
        <f t="shared" si="205"/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 t="shared" si="206"/>
        <v/>
      </c>
      <c r="SI5" s="11" t="str">
        <f t="shared" si="207"/>
        <v/>
      </c>
      <c r="SJ5" s="11" t="str">
        <f t="shared" si="208"/>
        <v/>
      </c>
      <c r="SK5" s="11" t="str">
        <f t="shared" si="209"/>
        <v/>
      </c>
      <c r="SL5" s="11" t="str">
        <f t="shared" si="210"/>
        <v/>
      </c>
      <c r="SM5" s="11" t="str">
        <f t="shared" si="211"/>
        <v/>
      </c>
      <c r="SN5" s="11" t="str">
        <f t="shared" si="212"/>
        <v/>
      </c>
      <c r="SO5" s="11" t="str">
        <f t="shared" si="213"/>
        <v/>
      </c>
      <c r="SP5" s="11" t="str">
        <f t="shared" si="214"/>
        <v/>
      </c>
      <c r="SQ5" s="11" t="str">
        <f t="shared" si="215"/>
        <v/>
      </c>
      <c r="SR5" s="11" t="str">
        <f t="shared" si="216"/>
        <v/>
      </c>
      <c r="SS5" s="11" t="str">
        <f t="shared" si="217"/>
        <v/>
      </c>
      <c r="ST5" s="11" t="str">
        <f t="shared" si="218"/>
        <v/>
      </c>
      <c r="SU5" s="11" t="str">
        <f t="shared" si="219"/>
        <v/>
      </c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17"/>
      <c r="TI5" s="17"/>
      <c r="TJ5" s="17"/>
      <c r="TK5" s="17"/>
      <c r="TL5" s="17"/>
      <c r="TM5" s="17"/>
      <c r="TN5" s="17"/>
      <c r="TO5" s="17"/>
      <c r="TP5" s="40" t="str">
        <f t="shared" si="220"/>
        <v/>
      </c>
      <c r="TQ5" s="40" t="str">
        <f t="shared" si="221"/>
        <v/>
      </c>
      <c r="TR5" s="40" t="str">
        <f t="shared" si="222"/>
        <v/>
      </c>
      <c r="TS5" s="40" t="str">
        <f t="shared" si="223"/>
        <v/>
      </c>
      <c r="TT5" s="40" t="str">
        <f t="shared" si="224"/>
        <v/>
      </c>
      <c r="TU5" s="40" t="str">
        <f t="shared" si="225"/>
        <v/>
      </c>
      <c r="TV5" s="40" t="str">
        <f t="shared" si="226"/>
        <v/>
      </c>
      <c r="TW5" s="40" t="str">
        <f t="shared" si="227"/>
        <v/>
      </c>
      <c r="TX5" s="40" t="str">
        <f t="shared" si="228"/>
        <v/>
      </c>
      <c r="TY5" s="40" t="str">
        <f t="shared" si="229"/>
        <v/>
      </c>
      <c r="TZ5" s="40" t="str">
        <f t="shared" si="230"/>
        <v/>
      </c>
      <c r="UA5" s="40" t="str">
        <f t="shared" si="231"/>
        <v/>
      </c>
      <c r="UB5" s="40" t="str">
        <f t="shared" si="232"/>
        <v/>
      </c>
      <c r="UC5" s="40" t="str">
        <f t="shared" si="233"/>
        <v/>
      </c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8"/>
      <c r="UQ5" s="18"/>
      <c r="UR5" s="18"/>
      <c r="US5" s="18"/>
      <c r="UT5" s="18"/>
      <c r="UU5" s="18"/>
      <c r="UV5" s="18"/>
      <c r="UW5" s="18"/>
      <c r="UX5" s="11" t="str">
        <f t="shared" si="234"/>
        <v/>
      </c>
      <c r="UY5" s="11" t="str">
        <f t="shared" si="235"/>
        <v/>
      </c>
      <c r="UZ5" s="11" t="str">
        <f t="shared" si="236"/>
        <v/>
      </c>
      <c r="VA5" s="11" t="str">
        <f t="shared" si="237"/>
        <v/>
      </c>
      <c r="VB5" s="11" t="str">
        <f t="shared" si="238"/>
        <v/>
      </c>
      <c r="VC5" s="11" t="str">
        <f t="shared" si="239"/>
        <v/>
      </c>
      <c r="VD5" s="11" t="str">
        <f t="shared" si="240"/>
        <v/>
      </c>
      <c r="VE5" s="11" t="str">
        <f t="shared" si="241"/>
        <v/>
      </c>
      <c r="VF5" s="11" t="str">
        <f t="shared" si="242"/>
        <v/>
      </c>
      <c r="VG5" s="11" t="str">
        <f t="shared" si="243"/>
        <v/>
      </c>
      <c r="VH5" s="11" t="str">
        <f t="shared" si="244"/>
        <v/>
      </c>
      <c r="VI5" s="11" t="str">
        <f t="shared" si="245"/>
        <v/>
      </c>
      <c r="VJ5" s="11" t="str">
        <f t="shared" si="246"/>
        <v/>
      </c>
      <c r="VK5" s="11" t="str">
        <f t="shared" si="247"/>
        <v/>
      </c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17"/>
      <c r="VY5" s="17"/>
      <c r="VZ5" s="17"/>
      <c r="WA5" s="17"/>
      <c r="WB5" s="17"/>
      <c r="WC5" s="17"/>
      <c r="WD5" s="17"/>
      <c r="WE5" s="17"/>
      <c r="WF5" s="40" t="str">
        <f t="shared" si="248"/>
        <v/>
      </c>
      <c r="WG5" s="40" t="str">
        <f t="shared" si="249"/>
        <v/>
      </c>
      <c r="WH5" s="40" t="str">
        <f t="shared" si="250"/>
        <v/>
      </c>
      <c r="WI5" s="40" t="str">
        <f t="shared" si="251"/>
        <v/>
      </c>
      <c r="WJ5" s="40" t="str">
        <f t="shared" si="252"/>
        <v/>
      </c>
      <c r="WK5" s="40" t="str">
        <f t="shared" si="253"/>
        <v/>
      </c>
      <c r="WL5" s="40" t="str">
        <f t="shared" si="254"/>
        <v/>
      </c>
      <c r="WM5" s="40" t="str">
        <f t="shared" si="255"/>
        <v/>
      </c>
      <c r="WN5" s="40" t="str">
        <f t="shared" si="256"/>
        <v/>
      </c>
      <c r="WO5" s="40" t="str">
        <f t="shared" si="257"/>
        <v/>
      </c>
      <c r="WP5" s="40" t="str">
        <f t="shared" si="258"/>
        <v/>
      </c>
      <c r="WQ5" s="40" t="str">
        <f t="shared" si="259"/>
        <v/>
      </c>
      <c r="WR5" s="40" t="str">
        <f t="shared" si="260"/>
        <v/>
      </c>
      <c r="WS5" s="40" t="str">
        <f t="shared" si="261"/>
        <v/>
      </c>
      <c r="WT5" s="26">
        <f t="shared" si="262"/>
        <v>15.75</v>
      </c>
      <c r="WU5" s="26">
        <f t="shared" si="263"/>
        <v>9.25</v>
      </c>
      <c r="WV5" s="26">
        <f t="shared" si="264"/>
        <v>14.1</v>
      </c>
      <c r="WW5" s="26">
        <f t="shared" si="265"/>
        <v>14.645</v>
      </c>
      <c r="WX5" s="26">
        <f t="shared" si="266"/>
        <v>0</v>
      </c>
      <c r="WY5" s="26">
        <f t="shared" si="267"/>
        <v>8.7000000000000011</v>
      </c>
      <c r="WZ5" s="26">
        <f t="shared" si="268"/>
        <v>4.8000000000000007</v>
      </c>
      <c r="XA5" s="26">
        <f t="shared" si="269"/>
        <v>8</v>
      </c>
      <c r="XB5" s="26">
        <f t="shared" si="270"/>
        <v>8.3000000000000007</v>
      </c>
      <c r="XC5" s="26">
        <f t="shared" si="271"/>
        <v>0</v>
      </c>
      <c r="XD5" s="26">
        <f t="shared" si="272"/>
        <v>9.7999999999999989</v>
      </c>
      <c r="XE5" s="26">
        <f t="shared" si="273"/>
        <v>5.6000000000000005</v>
      </c>
      <c r="XF5" s="26">
        <f t="shared" si="274"/>
        <v>8.6999999999999993</v>
      </c>
      <c r="XG5" s="26">
        <f t="shared" si="275"/>
        <v>8.84</v>
      </c>
      <c r="XH5" s="26">
        <f t="shared" si="276"/>
        <v>0</v>
      </c>
      <c r="XI5" s="28" t="s">
        <v>53</v>
      </c>
      <c r="XJ5" s="11">
        <f t="shared" si="277"/>
        <v>14.1</v>
      </c>
      <c r="XK5" s="11">
        <f t="shared" si="278"/>
        <v>14.645</v>
      </c>
      <c r="XL5" s="11">
        <f t="shared" si="279"/>
        <v>53.745000000000005</v>
      </c>
      <c r="XM5" s="11">
        <f t="shared" si="280"/>
        <v>8</v>
      </c>
      <c r="XN5" s="11">
        <f t="shared" si="281"/>
        <v>8.3000000000000007</v>
      </c>
      <c r="XO5" s="11">
        <f t="shared" si="282"/>
        <v>29.8</v>
      </c>
      <c r="XP5" s="11">
        <f t="shared" si="283"/>
        <v>53.745000000000005</v>
      </c>
      <c r="XQ5" s="11">
        <f t="shared" si="284"/>
        <v>8.6999999999999993</v>
      </c>
      <c r="XR5" s="11">
        <f t="shared" si="285"/>
        <v>8.84</v>
      </c>
      <c r="XS5" s="11">
        <f t="shared" si="286"/>
        <v>32.94</v>
      </c>
      <c r="XT5" s="11">
        <f t="shared" si="287"/>
        <v>86.685000000000002</v>
      </c>
    </row>
    <row r="6" spans="1:644" x14ac:dyDescent="0.2">
      <c r="A6" s="4" cm="1">
        <f t="array" ref="A6">IF(AND(H6&lt;&gt;"",H6&lt;&gt;"No DD"),SUMPRODUCT((H$4:H$18&lt;&gt;"")*(H$4:H$18&lt;&gt;"No DD")*(E$4:E$18&gt;E6))+1,IF(H6="No DD",SUMPRODUCT((H$4:H$18="No DD")*(E$4:E$18&gt;E6))+1+SUMPRODUCT((H$4:H$18&lt;&gt;"")*(H$4:H$18&lt;&gt;"No DD")),""))</f>
        <v>3</v>
      </c>
      <c r="B6" s="5" t="s">
        <v>25</v>
      </c>
      <c r="C6" s="4" t="s">
        <v>7</v>
      </c>
      <c r="D6" s="4">
        <v>1997</v>
      </c>
      <c r="E6" s="9">
        <f t="shared" si="0"/>
        <v>241.99002413500531</v>
      </c>
      <c r="F6" s="3" t="str">
        <f t="shared" si="1"/>
        <v>P</v>
      </c>
      <c r="G6" s="3" t="str">
        <f t="shared" si="2"/>
        <v>P</v>
      </c>
      <c r="H6" s="36" t="str">
        <f t="shared" si="3"/>
        <v>Excellence</v>
      </c>
      <c r="I6" s="3" t="str">
        <f t="shared" si="4"/>
        <v>P</v>
      </c>
      <c r="J6" s="8">
        <f>IF(COUNT(AQ6,AT6,BR6,BU6,CS6,CV6)&gt;0,LARGE((AQ6,AT6,BR6,BU6,CS6,CV6),1),0)</f>
        <v>53.019999999999996</v>
      </c>
      <c r="K6" s="8" t="str">
        <f t="shared" si="5"/>
        <v>2024 Elite Canada</v>
      </c>
      <c r="L6" s="8">
        <f>IF(COUNT(AQ6,AT6,BR6,BU6,CS6,CV6)&gt;1,LARGE((AQ6,AT6,BR6,BU6,CS6,CV6),2),0)</f>
        <v>52.97</v>
      </c>
      <c r="M6" s="8" t="str">
        <f t="shared" si="6"/>
        <v>2024 3rd Domestic Trial</v>
      </c>
      <c r="N6" s="8">
        <f>IF(COUNT(AQ6,AT6,BR6,BU6,CS6,CV6)&gt;2,LARGE((AQ6,AT6,BR6,BU6,CS6,CV6),3),0)</f>
        <v>52.92</v>
      </c>
      <c r="O6" s="8" t="str">
        <f t="shared" si="7"/>
        <v>2024 Nationals</v>
      </c>
      <c r="P6" s="8">
        <f t="shared" si="8"/>
        <v>53.460000000000008</v>
      </c>
      <c r="Q6" s="8" t="str">
        <f t="shared" si="9"/>
        <v>2024 Nationals</v>
      </c>
      <c r="R6" s="8">
        <f t="shared" si="10"/>
        <v>13.8</v>
      </c>
      <c r="S6" s="8" t="str">
        <f t="shared" si="11"/>
        <v>2024 Nationals</v>
      </c>
      <c r="T6" s="8">
        <f t="shared" si="12"/>
        <v>15.18</v>
      </c>
      <c r="U6" s="8" t="str">
        <f t="shared" si="13"/>
        <v>2024 World Cup POR (July 7)</v>
      </c>
      <c r="V6" s="8">
        <f t="shared" si="14"/>
        <v>0.64000000000000057</v>
      </c>
      <c r="W6" s="11" t="str">
        <f t="shared" si="15"/>
        <v>(Prelim)</v>
      </c>
      <c r="X6" s="8" t="str">
        <f t="shared" si="16"/>
        <v>2024 World Cup GER (Mar 23)</v>
      </c>
      <c r="Y6" s="22">
        <v>1.4</v>
      </c>
      <c r="Z6" s="22">
        <v>1</v>
      </c>
      <c r="AA6" s="22">
        <v>2</v>
      </c>
      <c r="AB6" s="22">
        <v>1.67</v>
      </c>
      <c r="AC6" s="22">
        <v>0.2</v>
      </c>
      <c r="AD6" s="22">
        <v>16.399999999999999</v>
      </c>
      <c r="AE6" s="22">
        <v>9.1999999999999993</v>
      </c>
      <c r="AF6" s="22">
        <v>12.1</v>
      </c>
      <c r="AG6" s="22">
        <v>15.32</v>
      </c>
      <c r="AH6" s="22">
        <v>0</v>
      </c>
      <c r="AI6" s="22">
        <v>16.7</v>
      </c>
      <c r="AJ6" s="22">
        <v>9.1</v>
      </c>
      <c r="AK6" s="22">
        <v>11.8</v>
      </c>
      <c r="AL6" s="22">
        <v>15.23</v>
      </c>
      <c r="AM6" s="22">
        <v>0.2</v>
      </c>
      <c r="AN6" s="27"/>
      <c r="AO6" s="38">
        <f t="shared" si="17"/>
        <v>2</v>
      </c>
      <c r="AP6" s="38">
        <f t="shared" si="18"/>
        <v>1.67</v>
      </c>
      <c r="AQ6" s="40">
        <f t="shared" si="19"/>
        <v>5.87</v>
      </c>
      <c r="AR6" s="40">
        <f t="shared" si="20"/>
        <v>12.1</v>
      </c>
      <c r="AS6" s="40">
        <f t="shared" si="21"/>
        <v>15.32</v>
      </c>
      <c r="AT6" s="40">
        <f t="shared" si="22"/>
        <v>53.019999999999996</v>
      </c>
      <c r="AU6" s="40">
        <f t="shared" si="23"/>
        <v>53.019999999999996</v>
      </c>
      <c r="AV6" s="40">
        <f t="shared" si="24"/>
        <v>11.8</v>
      </c>
      <c r="AW6" s="40">
        <f t="shared" si="25"/>
        <v>15.23</v>
      </c>
      <c r="AX6" s="40">
        <f t="shared" si="26"/>
        <v>52.629999999999995</v>
      </c>
      <c r="AY6" s="40">
        <f t="shared" si="27"/>
        <v>105.64999999999999</v>
      </c>
      <c r="AZ6" s="26">
        <v>3.2</v>
      </c>
      <c r="BA6" s="26">
        <v>1.7</v>
      </c>
      <c r="BB6" s="26">
        <v>3.2</v>
      </c>
      <c r="BC6" s="26">
        <v>3.31</v>
      </c>
      <c r="BD6" s="26">
        <v>0</v>
      </c>
      <c r="BE6" s="26">
        <v>15.3</v>
      </c>
      <c r="BF6" s="26">
        <v>9.1</v>
      </c>
      <c r="BG6" s="26">
        <v>13.8</v>
      </c>
      <c r="BH6" s="26">
        <v>14.72</v>
      </c>
      <c r="BI6" s="26">
        <v>0</v>
      </c>
      <c r="BJ6" s="26">
        <v>16.3</v>
      </c>
      <c r="BK6" s="26">
        <v>8.8000000000000007</v>
      </c>
      <c r="BL6" s="26">
        <v>13.8</v>
      </c>
      <c r="BM6" s="26">
        <v>14.56</v>
      </c>
      <c r="BN6" s="26">
        <v>0</v>
      </c>
      <c r="BO6" s="28"/>
      <c r="BP6" s="39">
        <f t="shared" si="28"/>
        <v>3.2</v>
      </c>
      <c r="BQ6" s="39">
        <f t="shared" si="29"/>
        <v>3.31</v>
      </c>
      <c r="BR6" s="11">
        <f t="shared" si="30"/>
        <v>11.410000000000002</v>
      </c>
      <c r="BS6" s="11">
        <f t="shared" si="31"/>
        <v>13.8</v>
      </c>
      <c r="BT6" s="11">
        <f t="shared" si="32"/>
        <v>14.72</v>
      </c>
      <c r="BU6" s="11">
        <f t="shared" si="33"/>
        <v>52.92</v>
      </c>
      <c r="BV6" s="11">
        <f t="shared" si="34"/>
        <v>52.92</v>
      </c>
      <c r="BW6" s="11">
        <f t="shared" si="35"/>
        <v>13.8</v>
      </c>
      <c r="BX6" s="11">
        <f t="shared" si="36"/>
        <v>14.56</v>
      </c>
      <c r="BY6" s="11">
        <f t="shared" si="37"/>
        <v>53.460000000000008</v>
      </c>
      <c r="BZ6" s="11">
        <f t="shared" si="38"/>
        <v>106.38000000000001</v>
      </c>
      <c r="CA6" s="22">
        <v>2.2999999999999998</v>
      </c>
      <c r="CB6" s="22">
        <v>1.35</v>
      </c>
      <c r="CC6" s="22">
        <v>2.6</v>
      </c>
      <c r="CD6" s="22">
        <v>2.4900000000000002</v>
      </c>
      <c r="CE6" s="22">
        <v>0.1</v>
      </c>
      <c r="CF6" s="22">
        <v>15.85</v>
      </c>
      <c r="CG6" s="22">
        <v>9.1499999999999986</v>
      </c>
      <c r="CH6" s="22">
        <v>12.95</v>
      </c>
      <c r="CI6" s="22">
        <v>15.02</v>
      </c>
      <c r="CJ6" s="22">
        <v>0</v>
      </c>
      <c r="CK6" s="22">
        <v>16.5</v>
      </c>
      <c r="CL6" s="22">
        <v>8.9499999999999993</v>
      </c>
      <c r="CM6" s="22">
        <v>12.8</v>
      </c>
      <c r="CN6" s="22">
        <v>14.895</v>
      </c>
      <c r="CO6" s="22">
        <v>0.1</v>
      </c>
      <c r="CP6" s="27" t="s">
        <v>53</v>
      </c>
      <c r="CQ6" s="38">
        <f t="shared" si="39"/>
        <v>2.6</v>
      </c>
      <c r="CR6" s="38">
        <f t="shared" si="40"/>
        <v>2.4900000000000002</v>
      </c>
      <c r="CS6" s="40">
        <f t="shared" si="41"/>
        <v>8.64</v>
      </c>
      <c r="CT6" s="40">
        <f t="shared" si="42"/>
        <v>12.95</v>
      </c>
      <c r="CU6" s="40">
        <f t="shared" si="43"/>
        <v>15.02</v>
      </c>
      <c r="CV6" s="40">
        <f t="shared" si="44"/>
        <v>52.97</v>
      </c>
      <c r="CW6" s="40">
        <f t="shared" si="45"/>
        <v>52.97</v>
      </c>
      <c r="CX6" s="40">
        <f t="shared" si="46"/>
        <v>12.8</v>
      </c>
      <c r="CY6" s="40">
        <f t="shared" si="47"/>
        <v>14.895</v>
      </c>
      <c r="CZ6" s="40">
        <f t="shared" si="48"/>
        <v>53.044999999999995</v>
      </c>
      <c r="DA6" s="40">
        <f t="shared" si="49"/>
        <v>106.01499999999999</v>
      </c>
      <c r="DB6" s="51">
        <f t="shared" si="50"/>
        <v>0.64000000000000057</v>
      </c>
      <c r="DC6" s="51" t="str">
        <f t="shared" si="51"/>
        <v/>
      </c>
      <c r="DD6" s="17">
        <v>15.2</v>
      </c>
      <c r="DE6" s="17">
        <v>9.5</v>
      </c>
      <c r="DF6" s="17">
        <v>13</v>
      </c>
      <c r="DG6" s="17">
        <v>15.1</v>
      </c>
      <c r="DH6" s="17">
        <v>0</v>
      </c>
      <c r="DI6" s="17">
        <v>15.1</v>
      </c>
      <c r="DJ6" s="17">
        <v>9.1</v>
      </c>
      <c r="DK6" s="17">
        <v>10.3</v>
      </c>
      <c r="DL6" s="17">
        <v>15.22</v>
      </c>
      <c r="DM6" s="17">
        <v>0</v>
      </c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>
        <f t="shared" si="52"/>
        <v>13</v>
      </c>
      <c r="DY6" s="40">
        <f t="shared" si="53"/>
        <v>15.1</v>
      </c>
      <c r="DZ6" s="40">
        <f t="shared" si="54"/>
        <v>52.800000000000004</v>
      </c>
      <c r="EA6" s="40">
        <f t="shared" si="55"/>
        <v>10.3</v>
      </c>
      <c r="EB6" s="40">
        <f t="shared" si="56"/>
        <v>15.22</v>
      </c>
      <c r="EC6" s="40">
        <f t="shared" si="57"/>
        <v>49.72</v>
      </c>
      <c r="ED6" s="40">
        <f t="shared" si="58"/>
        <v>52.800000000000004</v>
      </c>
      <c r="EE6" s="40" t="str">
        <f t="shared" si="59"/>
        <v/>
      </c>
      <c r="EF6" s="40" t="str">
        <f t="shared" si="60"/>
        <v/>
      </c>
      <c r="EG6" s="40" t="str">
        <f t="shared" si="61"/>
        <v/>
      </c>
      <c r="EH6" s="40" t="str">
        <f t="shared" si="62"/>
        <v/>
      </c>
      <c r="EI6" s="40" t="str">
        <f t="shared" si="63"/>
        <v/>
      </c>
      <c r="EJ6" s="40" t="str">
        <f t="shared" si="64"/>
        <v/>
      </c>
      <c r="EK6" s="40">
        <f t="shared" si="65"/>
        <v>52.800000000000004</v>
      </c>
      <c r="EL6" s="18">
        <v>15.1</v>
      </c>
      <c r="EM6" s="18">
        <v>9.5</v>
      </c>
      <c r="EN6" s="18">
        <v>13.8</v>
      </c>
      <c r="EO6" s="18">
        <v>15.16</v>
      </c>
      <c r="EP6" s="18">
        <v>0</v>
      </c>
      <c r="EQ6" s="18">
        <v>14.4</v>
      </c>
      <c r="ER6" s="18">
        <v>8.8000000000000007</v>
      </c>
      <c r="ES6" s="18">
        <v>11.9</v>
      </c>
      <c r="ET6" s="18">
        <v>15.04</v>
      </c>
      <c r="EU6" s="18">
        <v>0</v>
      </c>
      <c r="EV6" s="18">
        <v>14.8</v>
      </c>
      <c r="EW6" s="18">
        <v>9</v>
      </c>
      <c r="EX6" s="18">
        <v>12.8</v>
      </c>
      <c r="EY6" s="18">
        <v>15.11</v>
      </c>
      <c r="EZ6" s="18">
        <v>0</v>
      </c>
      <c r="FA6" s="18"/>
      <c r="FB6" s="18"/>
      <c r="FC6" s="18"/>
      <c r="FD6" s="18"/>
      <c r="FE6" s="18"/>
      <c r="FF6" s="11">
        <f t="shared" si="66"/>
        <v>13.8</v>
      </c>
      <c r="FG6" s="11">
        <f t="shared" si="67"/>
        <v>15.16</v>
      </c>
      <c r="FH6" s="11">
        <f t="shared" si="68"/>
        <v>53.56</v>
      </c>
      <c r="FI6" s="11">
        <f t="shared" si="69"/>
        <v>11.9</v>
      </c>
      <c r="FJ6" s="11">
        <f t="shared" si="70"/>
        <v>15.04</v>
      </c>
      <c r="FK6" s="11">
        <f t="shared" si="71"/>
        <v>50.14</v>
      </c>
      <c r="FL6" s="11">
        <f t="shared" si="72"/>
        <v>53.56</v>
      </c>
      <c r="FM6" s="11">
        <f t="shared" si="73"/>
        <v>12.8</v>
      </c>
      <c r="FN6" s="11">
        <f t="shared" si="74"/>
        <v>15.11</v>
      </c>
      <c r="FO6" s="11">
        <f t="shared" si="75"/>
        <v>51.71</v>
      </c>
      <c r="FP6" s="11" t="str">
        <f t="shared" si="76"/>
        <v/>
      </c>
      <c r="FQ6" s="11" t="str">
        <f t="shared" si="77"/>
        <v/>
      </c>
      <c r="FR6" s="11" t="str">
        <f t="shared" si="78"/>
        <v/>
      </c>
      <c r="FS6" s="11">
        <f t="shared" si="79"/>
        <v>105.27000000000001</v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 t="shared" si="80"/>
        <v/>
      </c>
      <c r="GO6" s="40" t="str">
        <f t="shared" si="81"/>
        <v/>
      </c>
      <c r="GP6" s="40" t="str">
        <f t="shared" si="82"/>
        <v/>
      </c>
      <c r="GQ6" s="40" t="str">
        <f t="shared" si="83"/>
        <v/>
      </c>
      <c r="GR6" s="40" t="str">
        <f t="shared" si="84"/>
        <v/>
      </c>
      <c r="GS6" s="40" t="str">
        <f t="shared" si="85"/>
        <v/>
      </c>
      <c r="GT6" s="40" t="str">
        <f t="shared" si="86"/>
        <v/>
      </c>
      <c r="GU6" s="40" t="str">
        <f t="shared" si="87"/>
        <v/>
      </c>
      <c r="GV6" s="40" t="str">
        <f t="shared" si="88"/>
        <v/>
      </c>
      <c r="GW6" s="40" t="str">
        <f t="shared" si="89"/>
        <v/>
      </c>
      <c r="GX6" s="40" t="str">
        <f t="shared" si="90"/>
        <v/>
      </c>
      <c r="GY6" s="40" t="str">
        <f t="shared" si="91"/>
        <v/>
      </c>
      <c r="GZ6" s="40" t="str">
        <f t="shared" si="92"/>
        <v/>
      </c>
      <c r="HA6" s="40" t="str">
        <f t="shared" si="93"/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 t="shared" si="94"/>
        <v/>
      </c>
      <c r="HW6" s="11" t="str">
        <f t="shared" si="95"/>
        <v/>
      </c>
      <c r="HX6" s="11" t="str">
        <f t="shared" si="96"/>
        <v/>
      </c>
      <c r="HY6" s="11" t="str">
        <f t="shared" si="97"/>
        <v/>
      </c>
      <c r="HZ6" s="11" t="str">
        <f t="shared" si="98"/>
        <v/>
      </c>
      <c r="IA6" s="11" t="str">
        <f t="shared" si="99"/>
        <v/>
      </c>
      <c r="IB6" s="11" t="str">
        <f t="shared" si="100"/>
        <v/>
      </c>
      <c r="IC6" s="11" t="str">
        <f t="shared" si="101"/>
        <v/>
      </c>
      <c r="ID6" s="11" t="str">
        <f t="shared" si="102"/>
        <v/>
      </c>
      <c r="IE6" s="11" t="str">
        <f t="shared" si="103"/>
        <v/>
      </c>
      <c r="IF6" s="11" t="str">
        <f t="shared" si="104"/>
        <v/>
      </c>
      <c r="IG6" s="11" t="str">
        <f t="shared" si="105"/>
        <v/>
      </c>
      <c r="IH6" s="11" t="str">
        <f t="shared" si="106"/>
        <v/>
      </c>
      <c r="II6" s="11" t="str">
        <f t="shared" si="107"/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 t="shared" si="108"/>
        <v/>
      </c>
      <c r="JE6" s="40" t="str">
        <f t="shared" si="109"/>
        <v/>
      </c>
      <c r="JF6" s="40" t="str">
        <f t="shared" si="110"/>
        <v/>
      </c>
      <c r="JG6" s="40" t="str">
        <f t="shared" si="111"/>
        <v/>
      </c>
      <c r="JH6" s="40" t="str">
        <f t="shared" si="112"/>
        <v/>
      </c>
      <c r="JI6" s="40" t="str">
        <f t="shared" si="113"/>
        <v/>
      </c>
      <c r="JJ6" s="40" t="str">
        <f t="shared" si="114"/>
        <v/>
      </c>
      <c r="JK6" s="40" t="str">
        <f t="shared" si="115"/>
        <v/>
      </c>
      <c r="JL6" s="40" t="str">
        <f t="shared" si="116"/>
        <v/>
      </c>
      <c r="JM6" s="40" t="str">
        <f t="shared" si="117"/>
        <v/>
      </c>
      <c r="JN6" s="40" t="str">
        <f t="shared" si="118"/>
        <v/>
      </c>
      <c r="JO6" s="40" t="str">
        <f t="shared" si="119"/>
        <v/>
      </c>
      <c r="JP6" s="40" t="str">
        <f t="shared" si="120"/>
        <v/>
      </c>
      <c r="JQ6" s="40" t="str">
        <f t="shared" si="121"/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 t="shared" si="122"/>
        <v/>
      </c>
      <c r="KM6" s="11" t="str">
        <f t="shared" si="123"/>
        <v/>
      </c>
      <c r="KN6" s="11" t="str">
        <f t="shared" si="124"/>
        <v/>
      </c>
      <c r="KO6" s="11" t="str">
        <f t="shared" si="125"/>
        <v/>
      </c>
      <c r="KP6" s="11" t="str">
        <f t="shared" si="126"/>
        <v/>
      </c>
      <c r="KQ6" s="11" t="str">
        <f t="shared" si="127"/>
        <v/>
      </c>
      <c r="KR6" s="11" t="str">
        <f t="shared" si="128"/>
        <v/>
      </c>
      <c r="KS6" s="11" t="str">
        <f t="shared" si="129"/>
        <v/>
      </c>
      <c r="KT6" s="11" t="str">
        <f t="shared" si="130"/>
        <v/>
      </c>
      <c r="KU6" s="11" t="str">
        <f t="shared" si="131"/>
        <v/>
      </c>
      <c r="KV6" s="11" t="str">
        <f t="shared" si="132"/>
        <v/>
      </c>
      <c r="KW6" s="11" t="str">
        <f t="shared" si="133"/>
        <v/>
      </c>
      <c r="KX6" s="11" t="str">
        <f t="shared" si="134"/>
        <v/>
      </c>
      <c r="KY6" s="11" t="str">
        <f t="shared" si="135"/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 t="shared" si="136"/>
        <v/>
      </c>
      <c r="LU6" s="40" t="str">
        <f t="shared" si="137"/>
        <v/>
      </c>
      <c r="LV6" s="40" t="str">
        <f t="shared" si="138"/>
        <v/>
      </c>
      <c r="LW6" s="40" t="str">
        <f t="shared" si="139"/>
        <v/>
      </c>
      <c r="LX6" s="40" t="str">
        <f t="shared" si="140"/>
        <v/>
      </c>
      <c r="LY6" s="40" t="str">
        <f t="shared" si="141"/>
        <v/>
      </c>
      <c r="LZ6" s="40" t="str">
        <f t="shared" si="142"/>
        <v/>
      </c>
      <c r="MA6" s="40" t="str">
        <f t="shared" si="143"/>
        <v/>
      </c>
      <c r="MB6" s="40" t="str">
        <f t="shared" si="144"/>
        <v/>
      </c>
      <c r="MC6" s="40" t="str">
        <f t="shared" si="145"/>
        <v/>
      </c>
      <c r="MD6" s="40" t="str">
        <f t="shared" si="146"/>
        <v/>
      </c>
      <c r="ME6" s="40" t="str">
        <f t="shared" si="147"/>
        <v/>
      </c>
      <c r="MF6" s="40" t="str">
        <f t="shared" si="148"/>
        <v/>
      </c>
      <c r="MG6" s="40" t="str">
        <f t="shared" si="149"/>
        <v/>
      </c>
      <c r="MH6" s="18">
        <v>1.6</v>
      </c>
      <c r="MI6" s="18">
        <v>1</v>
      </c>
      <c r="MJ6" s="18">
        <v>2</v>
      </c>
      <c r="MK6" s="18">
        <v>1.69</v>
      </c>
      <c r="ML6" s="18">
        <v>0</v>
      </c>
      <c r="MM6" s="18">
        <v>15.2</v>
      </c>
      <c r="MN6" s="18">
        <v>9.4</v>
      </c>
      <c r="MO6" s="18">
        <v>13.6</v>
      </c>
      <c r="MP6" s="18">
        <v>15.18</v>
      </c>
      <c r="MQ6" s="18">
        <v>0</v>
      </c>
      <c r="MR6" s="18">
        <v>15.4</v>
      </c>
      <c r="MS6" s="18">
        <v>9</v>
      </c>
      <c r="MT6" s="18">
        <v>12</v>
      </c>
      <c r="MU6" s="18">
        <v>15.06</v>
      </c>
      <c r="MV6" s="18">
        <v>0</v>
      </c>
      <c r="MW6" s="18"/>
      <c r="MX6" s="18"/>
      <c r="MY6" s="18"/>
      <c r="MZ6" s="18"/>
      <c r="NA6" s="18"/>
      <c r="NB6" s="11">
        <f t="shared" si="150"/>
        <v>2</v>
      </c>
      <c r="NC6" s="11">
        <f t="shared" si="151"/>
        <v>1.69</v>
      </c>
      <c r="ND6" s="11">
        <f t="shared" si="152"/>
        <v>6.2899999999999991</v>
      </c>
      <c r="NE6" s="11">
        <f t="shared" si="153"/>
        <v>13.6</v>
      </c>
      <c r="NF6" s="11">
        <f t="shared" si="154"/>
        <v>15.18</v>
      </c>
      <c r="NG6" s="11">
        <f t="shared" si="155"/>
        <v>53.38</v>
      </c>
      <c r="NH6" s="11">
        <f t="shared" si="156"/>
        <v>53.38</v>
      </c>
      <c r="NI6" s="11">
        <f t="shared" si="157"/>
        <v>12</v>
      </c>
      <c r="NJ6" s="11">
        <f t="shared" si="158"/>
        <v>15.06</v>
      </c>
      <c r="NK6" s="11">
        <f t="shared" si="159"/>
        <v>51.46</v>
      </c>
      <c r="NL6" s="11" t="str">
        <f t="shared" si="160"/>
        <v/>
      </c>
      <c r="NM6" s="11" t="str">
        <f t="shared" si="161"/>
        <v/>
      </c>
      <c r="NN6" s="11" t="str">
        <f t="shared" si="162"/>
        <v/>
      </c>
      <c r="NO6" s="11">
        <f t="shared" si="163"/>
        <v>104.84</v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 t="shared" si="164"/>
        <v/>
      </c>
      <c r="OK6" s="40" t="str">
        <f t="shared" si="165"/>
        <v/>
      </c>
      <c r="OL6" s="40" t="str">
        <f t="shared" si="166"/>
        <v/>
      </c>
      <c r="OM6" s="40" t="str">
        <f t="shared" si="167"/>
        <v/>
      </c>
      <c r="ON6" s="40" t="str">
        <f t="shared" si="168"/>
        <v/>
      </c>
      <c r="OO6" s="40" t="str">
        <f t="shared" si="169"/>
        <v/>
      </c>
      <c r="OP6" s="40" t="str">
        <f t="shared" si="170"/>
        <v/>
      </c>
      <c r="OQ6" s="40" t="str">
        <f t="shared" si="171"/>
        <v/>
      </c>
      <c r="OR6" s="40" t="str">
        <f t="shared" si="172"/>
        <v/>
      </c>
      <c r="OS6" s="40" t="str">
        <f t="shared" si="173"/>
        <v/>
      </c>
      <c r="OT6" s="40" t="str">
        <f t="shared" si="174"/>
        <v/>
      </c>
      <c r="OU6" s="40" t="str">
        <f t="shared" si="175"/>
        <v/>
      </c>
      <c r="OV6" s="40" t="str">
        <f t="shared" si="176"/>
        <v/>
      </c>
      <c r="OW6" s="40" t="str">
        <f t="shared" si="177"/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 t="shared" si="178"/>
        <v/>
      </c>
      <c r="PS6" s="11" t="str">
        <f t="shared" si="179"/>
        <v/>
      </c>
      <c r="PT6" s="11" t="str">
        <f t="shared" si="180"/>
        <v/>
      </c>
      <c r="PU6" s="11" t="str">
        <f t="shared" si="181"/>
        <v/>
      </c>
      <c r="PV6" s="11" t="str">
        <f t="shared" si="182"/>
        <v/>
      </c>
      <c r="PW6" s="11" t="str">
        <f t="shared" si="183"/>
        <v/>
      </c>
      <c r="PX6" s="11" t="str">
        <f t="shared" si="184"/>
        <v/>
      </c>
      <c r="PY6" s="11" t="str">
        <f t="shared" si="185"/>
        <v/>
      </c>
      <c r="PZ6" s="11" t="str">
        <f t="shared" si="186"/>
        <v/>
      </c>
      <c r="QA6" s="11" t="str">
        <f t="shared" si="187"/>
        <v/>
      </c>
      <c r="QB6" s="11" t="str">
        <f t="shared" si="188"/>
        <v/>
      </c>
      <c r="QC6" s="11" t="str">
        <f t="shared" si="189"/>
        <v/>
      </c>
      <c r="QD6" s="11" t="str">
        <f t="shared" si="190"/>
        <v/>
      </c>
      <c r="QE6" s="11" t="str">
        <f t="shared" si="191"/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 t="shared" si="192"/>
        <v/>
      </c>
      <c r="RA6" s="40" t="str">
        <f t="shared" si="193"/>
        <v/>
      </c>
      <c r="RB6" s="40" t="str">
        <f t="shared" si="194"/>
        <v/>
      </c>
      <c r="RC6" s="40" t="str">
        <f t="shared" si="195"/>
        <v/>
      </c>
      <c r="RD6" s="40" t="str">
        <f t="shared" si="196"/>
        <v/>
      </c>
      <c r="RE6" s="40" t="str">
        <f t="shared" si="197"/>
        <v/>
      </c>
      <c r="RF6" s="40" t="str">
        <f t="shared" si="198"/>
        <v/>
      </c>
      <c r="RG6" s="40" t="str">
        <f t="shared" si="199"/>
        <v/>
      </c>
      <c r="RH6" s="40" t="str">
        <f t="shared" si="200"/>
        <v/>
      </c>
      <c r="RI6" s="40" t="str">
        <f t="shared" si="201"/>
        <v/>
      </c>
      <c r="RJ6" s="40" t="str">
        <f t="shared" si="202"/>
        <v/>
      </c>
      <c r="RK6" s="40" t="str">
        <f t="shared" si="203"/>
        <v/>
      </c>
      <c r="RL6" s="40" t="str">
        <f t="shared" si="204"/>
        <v/>
      </c>
      <c r="RM6" s="40" t="str">
        <f t="shared" si="205"/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 t="shared" si="206"/>
        <v/>
      </c>
      <c r="SI6" s="11" t="str">
        <f t="shared" si="207"/>
        <v/>
      </c>
      <c r="SJ6" s="11" t="str">
        <f t="shared" si="208"/>
        <v/>
      </c>
      <c r="SK6" s="11" t="str">
        <f t="shared" si="209"/>
        <v/>
      </c>
      <c r="SL6" s="11" t="str">
        <f t="shared" si="210"/>
        <v/>
      </c>
      <c r="SM6" s="11" t="str">
        <f t="shared" si="211"/>
        <v/>
      </c>
      <c r="SN6" s="11" t="str">
        <f t="shared" si="212"/>
        <v/>
      </c>
      <c r="SO6" s="11" t="str">
        <f t="shared" si="213"/>
        <v/>
      </c>
      <c r="SP6" s="11" t="str">
        <f t="shared" si="214"/>
        <v/>
      </c>
      <c r="SQ6" s="11" t="str">
        <f t="shared" si="215"/>
        <v/>
      </c>
      <c r="SR6" s="11" t="str">
        <f t="shared" si="216"/>
        <v/>
      </c>
      <c r="SS6" s="11" t="str">
        <f t="shared" si="217"/>
        <v/>
      </c>
      <c r="ST6" s="11" t="str">
        <f t="shared" si="218"/>
        <v/>
      </c>
      <c r="SU6" s="11" t="str">
        <f t="shared" si="219"/>
        <v/>
      </c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17"/>
      <c r="TI6" s="17"/>
      <c r="TJ6" s="17"/>
      <c r="TK6" s="17"/>
      <c r="TL6" s="17"/>
      <c r="TM6" s="17"/>
      <c r="TN6" s="17"/>
      <c r="TO6" s="17"/>
      <c r="TP6" s="40" t="str">
        <f t="shared" si="220"/>
        <v/>
      </c>
      <c r="TQ6" s="40" t="str">
        <f t="shared" si="221"/>
        <v/>
      </c>
      <c r="TR6" s="40" t="str">
        <f t="shared" si="222"/>
        <v/>
      </c>
      <c r="TS6" s="40" t="str">
        <f t="shared" si="223"/>
        <v/>
      </c>
      <c r="TT6" s="40" t="str">
        <f t="shared" si="224"/>
        <v/>
      </c>
      <c r="TU6" s="40" t="str">
        <f t="shared" si="225"/>
        <v/>
      </c>
      <c r="TV6" s="40" t="str">
        <f t="shared" si="226"/>
        <v/>
      </c>
      <c r="TW6" s="40" t="str">
        <f t="shared" si="227"/>
        <v/>
      </c>
      <c r="TX6" s="40" t="str">
        <f t="shared" si="228"/>
        <v/>
      </c>
      <c r="TY6" s="40" t="str">
        <f t="shared" si="229"/>
        <v/>
      </c>
      <c r="TZ6" s="40" t="str">
        <f t="shared" si="230"/>
        <v/>
      </c>
      <c r="UA6" s="40" t="str">
        <f t="shared" si="231"/>
        <v/>
      </c>
      <c r="UB6" s="40" t="str">
        <f t="shared" si="232"/>
        <v/>
      </c>
      <c r="UC6" s="40" t="str">
        <f t="shared" si="233"/>
        <v/>
      </c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8"/>
      <c r="UQ6" s="18"/>
      <c r="UR6" s="18"/>
      <c r="US6" s="18"/>
      <c r="UT6" s="18"/>
      <c r="UU6" s="18"/>
      <c r="UV6" s="18"/>
      <c r="UW6" s="18"/>
      <c r="UX6" s="11" t="str">
        <f t="shared" si="234"/>
        <v/>
      </c>
      <c r="UY6" s="11" t="str">
        <f t="shared" si="235"/>
        <v/>
      </c>
      <c r="UZ6" s="11" t="str">
        <f t="shared" si="236"/>
        <v/>
      </c>
      <c r="VA6" s="11" t="str">
        <f t="shared" si="237"/>
        <v/>
      </c>
      <c r="VB6" s="11" t="str">
        <f t="shared" si="238"/>
        <v/>
      </c>
      <c r="VC6" s="11" t="str">
        <f t="shared" si="239"/>
        <v/>
      </c>
      <c r="VD6" s="11" t="str">
        <f t="shared" si="240"/>
        <v/>
      </c>
      <c r="VE6" s="11" t="str">
        <f t="shared" si="241"/>
        <v/>
      </c>
      <c r="VF6" s="11" t="str">
        <f t="shared" si="242"/>
        <v/>
      </c>
      <c r="VG6" s="11" t="str">
        <f t="shared" si="243"/>
        <v/>
      </c>
      <c r="VH6" s="11" t="str">
        <f t="shared" si="244"/>
        <v/>
      </c>
      <c r="VI6" s="11" t="str">
        <f t="shared" si="245"/>
        <v/>
      </c>
      <c r="VJ6" s="11" t="str">
        <f t="shared" si="246"/>
        <v/>
      </c>
      <c r="VK6" s="11" t="str">
        <f t="shared" si="247"/>
        <v/>
      </c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17"/>
      <c r="VY6" s="17"/>
      <c r="VZ6" s="17"/>
      <c r="WA6" s="17"/>
      <c r="WB6" s="17"/>
      <c r="WC6" s="17"/>
      <c r="WD6" s="17"/>
      <c r="WE6" s="17"/>
      <c r="WF6" s="40" t="str">
        <f t="shared" si="248"/>
        <v/>
      </c>
      <c r="WG6" s="40" t="str">
        <f t="shared" si="249"/>
        <v/>
      </c>
      <c r="WH6" s="40" t="str">
        <f t="shared" si="250"/>
        <v/>
      </c>
      <c r="WI6" s="40" t="str">
        <f t="shared" si="251"/>
        <v/>
      </c>
      <c r="WJ6" s="40" t="str">
        <f t="shared" si="252"/>
        <v/>
      </c>
      <c r="WK6" s="40" t="str">
        <f t="shared" si="253"/>
        <v/>
      </c>
      <c r="WL6" s="40" t="str">
        <f t="shared" si="254"/>
        <v/>
      </c>
      <c r="WM6" s="40" t="str">
        <f t="shared" si="255"/>
        <v/>
      </c>
      <c r="WN6" s="40" t="str">
        <f t="shared" si="256"/>
        <v/>
      </c>
      <c r="WO6" s="40" t="str">
        <f t="shared" si="257"/>
        <v/>
      </c>
      <c r="WP6" s="40" t="str">
        <f t="shared" si="258"/>
        <v/>
      </c>
      <c r="WQ6" s="40" t="str">
        <f t="shared" si="259"/>
        <v/>
      </c>
      <c r="WR6" s="40" t="str">
        <f t="shared" si="260"/>
        <v/>
      </c>
      <c r="WS6" s="40" t="str">
        <f t="shared" si="261"/>
        <v/>
      </c>
      <c r="WT6" s="26">
        <f t="shared" si="262"/>
        <v>2.2999999999999998</v>
      </c>
      <c r="WU6" s="26">
        <f t="shared" si="263"/>
        <v>1.35</v>
      </c>
      <c r="WV6" s="26">
        <f t="shared" si="264"/>
        <v>2.6</v>
      </c>
      <c r="WW6" s="26">
        <f t="shared" si="265"/>
        <v>2.4900000000000002</v>
      </c>
      <c r="WX6" s="26">
        <f t="shared" si="266"/>
        <v>0.1</v>
      </c>
      <c r="WY6" s="26">
        <f t="shared" si="267"/>
        <v>15.85</v>
      </c>
      <c r="WZ6" s="26">
        <f t="shared" si="268"/>
        <v>9.1499999999999986</v>
      </c>
      <c r="XA6" s="26">
        <f t="shared" si="269"/>
        <v>12.95</v>
      </c>
      <c r="XB6" s="26">
        <f t="shared" si="270"/>
        <v>15.02</v>
      </c>
      <c r="XC6" s="26">
        <f t="shared" si="271"/>
        <v>0</v>
      </c>
      <c r="XD6" s="26">
        <f t="shared" si="272"/>
        <v>16.5</v>
      </c>
      <c r="XE6" s="26">
        <f t="shared" si="273"/>
        <v>8.9499999999999993</v>
      </c>
      <c r="XF6" s="26">
        <f t="shared" si="274"/>
        <v>12.8</v>
      </c>
      <c r="XG6" s="26">
        <f t="shared" si="275"/>
        <v>14.895</v>
      </c>
      <c r="XH6" s="26">
        <f t="shared" si="276"/>
        <v>0.1</v>
      </c>
      <c r="XI6" s="28" t="s">
        <v>53</v>
      </c>
      <c r="XJ6" s="11">
        <f t="shared" si="277"/>
        <v>2.6</v>
      </c>
      <c r="XK6" s="11">
        <f t="shared" si="278"/>
        <v>2.4900000000000002</v>
      </c>
      <c r="XL6" s="11">
        <f t="shared" si="279"/>
        <v>8.64</v>
      </c>
      <c r="XM6" s="11">
        <f t="shared" si="280"/>
        <v>12.95</v>
      </c>
      <c r="XN6" s="11">
        <f t="shared" si="281"/>
        <v>15.02</v>
      </c>
      <c r="XO6" s="11">
        <f t="shared" si="282"/>
        <v>52.97</v>
      </c>
      <c r="XP6" s="11">
        <f t="shared" si="283"/>
        <v>52.97</v>
      </c>
      <c r="XQ6" s="11">
        <f t="shared" si="284"/>
        <v>12.8</v>
      </c>
      <c r="XR6" s="11">
        <f t="shared" si="285"/>
        <v>14.895</v>
      </c>
      <c r="XS6" s="11">
        <f t="shared" si="286"/>
        <v>53.044999999999995</v>
      </c>
      <c r="XT6" s="11">
        <f t="shared" si="287"/>
        <v>106.01499999999999</v>
      </c>
    </row>
    <row r="7" spans="1:644" x14ac:dyDescent="0.2">
      <c r="A7" s="4" cm="1">
        <f t="array" ref="A7">IF(AND(H7&lt;&gt;"",H7&lt;&gt;"No DD"),SUMPRODUCT((H$4:H$18&lt;&gt;"")*(H$4:H$18&lt;&gt;"No DD")*(E$4:E$18&gt;E7))+1,IF(H7="No DD",SUMPRODUCT((H$4:H$18="No DD")*(E$4:E$18&gt;E7))+1+SUMPRODUCT((H$4:H$18&lt;&gt;"")*(H$4:H$18&lt;&gt;"No DD")),""))</f>
        <v>4</v>
      </c>
      <c r="B7" s="5" t="s">
        <v>140</v>
      </c>
      <c r="C7" s="4" t="s">
        <v>3</v>
      </c>
      <c r="D7" s="4">
        <v>2004</v>
      </c>
      <c r="E7" s="9">
        <f t="shared" si="0"/>
        <v>239.83002363300534</v>
      </c>
      <c r="F7" s="3" t="str">
        <f t="shared" si="1"/>
        <v>P</v>
      </c>
      <c r="G7" s="3" t="str">
        <f t="shared" si="2"/>
        <v>P</v>
      </c>
      <c r="H7" s="36" t="str">
        <f t="shared" si="3"/>
        <v>Excellence</v>
      </c>
      <c r="I7" s="3" t="str">
        <f t="shared" si="4"/>
        <v>P</v>
      </c>
      <c r="J7" s="8">
        <f>IF(COUNT(AQ7,AT7,BR7,BU7,CS7,CV7)&gt;0,LARGE((AQ7,AT7,BR7,BU7,CS7,CV7),1),0)</f>
        <v>53.07</v>
      </c>
      <c r="K7" s="8" t="str">
        <f t="shared" si="5"/>
        <v>2024 Nationals</v>
      </c>
      <c r="L7" s="8">
        <f>IF(COUNT(AQ7,AT7,BR7,BU7,CS7,CV7)&gt;1,LARGE((AQ7,AT7,BR7,BU7,CS7,CV7),2),0)</f>
        <v>52.29</v>
      </c>
      <c r="M7" s="8" t="str">
        <f t="shared" si="6"/>
        <v>2024 Nationals</v>
      </c>
      <c r="N7" s="8">
        <f>IF(COUNT(AQ7,AT7,BR7,BU7,CS7,CV7)&gt;2,LARGE((AQ7,AT7,BR7,BU7,CS7,CV7),3),0)</f>
        <v>49.669999999999995</v>
      </c>
      <c r="O7" s="8" t="str">
        <f t="shared" si="7"/>
        <v>2024 3rd Domestic Trial</v>
      </c>
      <c r="P7" s="8">
        <f t="shared" si="8"/>
        <v>51.83</v>
      </c>
      <c r="Q7" s="8" t="str">
        <f t="shared" si="9"/>
        <v>2024 Elite Canada</v>
      </c>
      <c r="R7" s="8">
        <f t="shared" si="10"/>
        <v>14</v>
      </c>
      <c r="S7" s="8" t="str">
        <f t="shared" si="11"/>
        <v>2024 Elite Canada</v>
      </c>
      <c r="T7" s="8">
        <f t="shared" si="12"/>
        <v>15.47</v>
      </c>
      <c r="U7" s="8" t="str">
        <f t="shared" si="13"/>
        <v>2024 World Cup POR (July 7)</v>
      </c>
      <c r="V7" s="8">
        <f t="shared" si="14"/>
        <v>3.5000000000000071</v>
      </c>
      <c r="W7" s="11" t="str">
        <f t="shared" si="15"/>
        <v>(Prelim)</v>
      </c>
      <c r="X7" s="8" t="str">
        <f t="shared" si="16"/>
        <v>2024 World Cup POR (July 7)</v>
      </c>
      <c r="Y7" s="22">
        <v>4.0999999999999996</v>
      </c>
      <c r="Z7" s="22">
        <v>2.5</v>
      </c>
      <c r="AA7" s="22">
        <v>4.7</v>
      </c>
      <c r="AB7" s="22">
        <v>4.54</v>
      </c>
      <c r="AC7" s="22">
        <v>0</v>
      </c>
      <c r="AD7" s="22">
        <v>9.9</v>
      </c>
      <c r="AE7" s="22">
        <v>9.1999999999999993</v>
      </c>
      <c r="AF7" s="22">
        <v>12.8</v>
      </c>
      <c r="AG7" s="22">
        <v>14.37</v>
      </c>
      <c r="AH7" s="22">
        <v>0</v>
      </c>
      <c r="AI7" s="22">
        <v>13.9</v>
      </c>
      <c r="AJ7" s="22">
        <v>9</v>
      </c>
      <c r="AK7" s="22">
        <v>14</v>
      </c>
      <c r="AL7" s="22">
        <v>14.93</v>
      </c>
      <c r="AM7" s="22">
        <v>0</v>
      </c>
      <c r="AN7" s="27"/>
      <c r="AO7" s="38">
        <f t="shared" si="17"/>
        <v>4.7</v>
      </c>
      <c r="AP7" s="38">
        <f t="shared" si="18"/>
        <v>4.54</v>
      </c>
      <c r="AQ7" s="40">
        <f t="shared" si="19"/>
        <v>15.84</v>
      </c>
      <c r="AR7" s="40">
        <f t="shared" si="20"/>
        <v>12.8</v>
      </c>
      <c r="AS7" s="40">
        <f t="shared" si="21"/>
        <v>14.37</v>
      </c>
      <c r="AT7" s="40">
        <f t="shared" si="22"/>
        <v>46.27</v>
      </c>
      <c r="AU7" s="40">
        <f t="shared" si="23"/>
        <v>46.27</v>
      </c>
      <c r="AV7" s="40">
        <f t="shared" si="24"/>
        <v>14</v>
      </c>
      <c r="AW7" s="40">
        <f t="shared" si="25"/>
        <v>14.93</v>
      </c>
      <c r="AX7" s="40">
        <f t="shared" si="26"/>
        <v>51.83</v>
      </c>
      <c r="AY7" s="40">
        <f t="shared" si="27"/>
        <v>98.1</v>
      </c>
      <c r="AZ7" s="26">
        <v>14.7</v>
      </c>
      <c r="BA7" s="26">
        <v>9</v>
      </c>
      <c r="BB7" s="26">
        <v>13.8</v>
      </c>
      <c r="BC7" s="26">
        <v>14.79</v>
      </c>
      <c r="BD7" s="26">
        <v>0</v>
      </c>
      <c r="BE7" s="26">
        <v>15</v>
      </c>
      <c r="BF7" s="26">
        <v>9.4</v>
      </c>
      <c r="BG7" s="26">
        <v>13.8</v>
      </c>
      <c r="BH7" s="26">
        <v>14.87</v>
      </c>
      <c r="BI7" s="26">
        <v>0</v>
      </c>
      <c r="BJ7" s="26">
        <v>7.1</v>
      </c>
      <c r="BK7" s="26">
        <v>4.7</v>
      </c>
      <c r="BL7" s="26">
        <v>7.2</v>
      </c>
      <c r="BM7" s="26">
        <v>7.7</v>
      </c>
      <c r="BN7" s="26">
        <v>0</v>
      </c>
      <c r="BO7" s="28"/>
      <c r="BP7" s="39">
        <f t="shared" si="28"/>
        <v>13.8</v>
      </c>
      <c r="BQ7" s="39">
        <f t="shared" si="29"/>
        <v>14.79</v>
      </c>
      <c r="BR7" s="11">
        <f t="shared" si="30"/>
        <v>52.29</v>
      </c>
      <c r="BS7" s="11">
        <f t="shared" si="31"/>
        <v>13.8</v>
      </c>
      <c r="BT7" s="11">
        <f t="shared" si="32"/>
        <v>14.87</v>
      </c>
      <c r="BU7" s="11">
        <f t="shared" si="33"/>
        <v>53.07</v>
      </c>
      <c r="BV7" s="11">
        <f t="shared" si="34"/>
        <v>53.07</v>
      </c>
      <c r="BW7" s="11">
        <f t="shared" si="35"/>
        <v>7.2</v>
      </c>
      <c r="BX7" s="11">
        <f t="shared" si="36"/>
        <v>7.7</v>
      </c>
      <c r="BY7" s="11">
        <f t="shared" si="37"/>
        <v>26.7</v>
      </c>
      <c r="BZ7" s="11">
        <f t="shared" si="38"/>
        <v>79.77</v>
      </c>
      <c r="CA7" s="22">
        <v>9.3999999999999986</v>
      </c>
      <c r="CB7" s="22">
        <v>5.75</v>
      </c>
      <c r="CC7" s="22">
        <v>9.25</v>
      </c>
      <c r="CD7" s="22">
        <v>9.6649999999999991</v>
      </c>
      <c r="CE7" s="22">
        <v>0</v>
      </c>
      <c r="CF7" s="22">
        <v>12.45</v>
      </c>
      <c r="CG7" s="22">
        <v>9.3000000000000007</v>
      </c>
      <c r="CH7" s="22">
        <v>13.3</v>
      </c>
      <c r="CI7" s="22">
        <v>14.62</v>
      </c>
      <c r="CJ7" s="22">
        <v>0</v>
      </c>
      <c r="CK7" s="22">
        <v>10.5</v>
      </c>
      <c r="CL7" s="22">
        <v>6.85</v>
      </c>
      <c r="CM7" s="22">
        <v>10.6</v>
      </c>
      <c r="CN7" s="22">
        <v>11.315</v>
      </c>
      <c r="CO7" s="22">
        <v>0</v>
      </c>
      <c r="CP7" s="27" t="s">
        <v>53</v>
      </c>
      <c r="CQ7" s="38">
        <f t="shared" si="39"/>
        <v>9.25</v>
      </c>
      <c r="CR7" s="38">
        <f t="shared" si="40"/>
        <v>9.6649999999999991</v>
      </c>
      <c r="CS7" s="40">
        <f t="shared" si="41"/>
        <v>34.064999999999998</v>
      </c>
      <c r="CT7" s="40">
        <f t="shared" si="42"/>
        <v>13.3</v>
      </c>
      <c r="CU7" s="40">
        <f t="shared" si="43"/>
        <v>14.62</v>
      </c>
      <c r="CV7" s="40">
        <f t="shared" si="44"/>
        <v>49.669999999999995</v>
      </c>
      <c r="CW7" s="40">
        <f t="shared" si="45"/>
        <v>49.669999999999995</v>
      </c>
      <c r="CX7" s="40">
        <f t="shared" si="46"/>
        <v>10.6</v>
      </c>
      <c r="CY7" s="40">
        <f t="shared" si="47"/>
        <v>11.315</v>
      </c>
      <c r="CZ7" s="40">
        <f t="shared" si="48"/>
        <v>39.265000000000001</v>
      </c>
      <c r="DA7" s="40">
        <f t="shared" si="49"/>
        <v>88.935000000000002</v>
      </c>
      <c r="DB7" s="51">
        <f t="shared" si="50"/>
        <v>3.5000000000000071</v>
      </c>
      <c r="DC7" s="51">
        <f t="shared" si="51"/>
        <v>1.8800000000000097</v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 t="shared" si="52"/>
        <v/>
      </c>
      <c r="DY7" s="40" t="str">
        <f t="shared" si="53"/>
        <v/>
      </c>
      <c r="DZ7" s="40" t="str">
        <f t="shared" si="54"/>
        <v/>
      </c>
      <c r="EA7" s="40" t="str">
        <f t="shared" si="55"/>
        <v/>
      </c>
      <c r="EB7" s="40" t="str">
        <f t="shared" si="56"/>
        <v/>
      </c>
      <c r="EC7" s="40" t="str">
        <f t="shared" si="57"/>
        <v/>
      </c>
      <c r="ED7" s="40" t="str">
        <f t="shared" si="58"/>
        <v/>
      </c>
      <c r="EE7" s="40" t="str">
        <f t="shared" si="59"/>
        <v/>
      </c>
      <c r="EF7" s="40" t="str">
        <f t="shared" si="60"/>
        <v/>
      </c>
      <c r="EG7" s="40" t="str">
        <f t="shared" si="61"/>
        <v/>
      </c>
      <c r="EH7" s="40" t="str">
        <f t="shared" si="62"/>
        <v/>
      </c>
      <c r="EI7" s="40" t="str">
        <f t="shared" si="63"/>
        <v/>
      </c>
      <c r="EJ7" s="40" t="str">
        <f t="shared" si="64"/>
        <v/>
      </c>
      <c r="EK7" s="40" t="str">
        <f t="shared" si="65"/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 t="shared" si="66"/>
        <v/>
      </c>
      <c r="FG7" s="11" t="str">
        <f t="shared" si="67"/>
        <v/>
      </c>
      <c r="FH7" s="11" t="str">
        <f t="shared" si="68"/>
        <v/>
      </c>
      <c r="FI7" s="11" t="str">
        <f t="shared" si="69"/>
        <v/>
      </c>
      <c r="FJ7" s="11" t="str">
        <f t="shared" si="70"/>
        <v/>
      </c>
      <c r="FK7" s="11" t="str">
        <f t="shared" si="71"/>
        <v/>
      </c>
      <c r="FL7" s="11" t="str">
        <f t="shared" si="72"/>
        <v/>
      </c>
      <c r="FM7" s="11" t="str">
        <f t="shared" si="73"/>
        <v/>
      </c>
      <c r="FN7" s="11" t="str">
        <f t="shared" si="74"/>
        <v/>
      </c>
      <c r="FO7" s="11" t="str">
        <f t="shared" si="75"/>
        <v/>
      </c>
      <c r="FP7" s="11" t="str">
        <f t="shared" si="76"/>
        <v/>
      </c>
      <c r="FQ7" s="11" t="str">
        <f t="shared" si="77"/>
        <v/>
      </c>
      <c r="FR7" s="11" t="str">
        <f t="shared" si="78"/>
        <v/>
      </c>
      <c r="FS7" s="11" t="str">
        <f t="shared" si="79"/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 t="str">
        <f t="shared" si="80"/>
        <v/>
      </c>
      <c r="GO7" s="40" t="str">
        <f t="shared" si="81"/>
        <v/>
      </c>
      <c r="GP7" s="40" t="str">
        <f t="shared" si="82"/>
        <v/>
      </c>
      <c r="GQ7" s="40" t="str">
        <f t="shared" si="83"/>
        <v/>
      </c>
      <c r="GR7" s="40" t="str">
        <f t="shared" si="84"/>
        <v/>
      </c>
      <c r="GS7" s="40" t="str">
        <f t="shared" si="85"/>
        <v/>
      </c>
      <c r="GT7" s="40" t="str">
        <f t="shared" si="86"/>
        <v/>
      </c>
      <c r="GU7" s="40" t="str">
        <f t="shared" si="87"/>
        <v/>
      </c>
      <c r="GV7" s="40" t="str">
        <f t="shared" si="88"/>
        <v/>
      </c>
      <c r="GW7" s="40" t="str">
        <f t="shared" si="89"/>
        <v/>
      </c>
      <c r="GX7" s="40" t="str">
        <f t="shared" si="90"/>
        <v/>
      </c>
      <c r="GY7" s="40" t="str">
        <f t="shared" si="91"/>
        <v/>
      </c>
      <c r="GZ7" s="40" t="str">
        <f t="shared" si="92"/>
        <v/>
      </c>
      <c r="HA7" s="40" t="str">
        <f t="shared" si="93"/>
        <v/>
      </c>
      <c r="HB7" s="18">
        <v>13.2</v>
      </c>
      <c r="HC7" s="18">
        <v>9.1999999999999993</v>
      </c>
      <c r="HD7" s="18">
        <v>13.8</v>
      </c>
      <c r="HE7" s="18">
        <v>14.65</v>
      </c>
      <c r="HF7" s="18">
        <v>0</v>
      </c>
      <c r="HG7" s="18">
        <v>13.4</v>
      </c>
      <c r="HH7" s="18">
        <v>9.1999999999999993</v>
      </c>
      <c r="HI7" s="18">
        <v>13.8</v>
      </c>
      <c r="HJ7" s="18">
        <v>14.65</v>
      </c>
      <c r="HK7" s="18">
        <v>0</v>
      </c>
      <c r="HL7" s="18">
        <v>13.7</v>
      </c>
      <c r="HM7" s="18">
        <v>9.1</v>
      </c>
      <c r="HN7" s="18">
        <v>12.8</v>
      </c>
      <c r="HO7" s="18">
        <v>14.77</v>
      </c>
      <c r="HP7" s="18">
        <v>0</v>
      </c>
      <c r="HQ7" s="18">
        <v>13.4</v>
      </c>
      <c r="HR7" s="18">
        <v>9.3000000000000007</v>
      </c>
      <c r="HS7" s="18">
        <v>13.8</v>
      </c>
      <c r="HT7" s="18">
        <v>14.69</v>
      </c>
      <c r="HU7" s="18">
        <v>0</v>
      </c>
      <c r="HV7" s="11">
        <f t="shared" si="94"/>
        <v>13.8</v>
      </c>
      <c r="HW7" s="11">
        <f t="shared" si="95"/>
        <v>14.65</v>
      </c>
      <c r="HX7" s="11">
        <f t="shared" si="96"/>
        <v>50.85</v>
      </c>
      <c r="HY7" s="11">
        <f t="shared" si="97"/>
        <v>13.8</v>
      </c>
      <c r="HZ7" s="11">
        <f t="shared" si="98"/>
        <v>14.65</v>
      </c>
      <c r="IA7" s="11">
        <f t="shared" si="99"/>
        <v>51.050000000000004</v>
      </c>
      <c r="IB7" s="11">
        <f t="shared" si="100"/>
        <v>51.050000000000004</v>
      </c>
      <c r="IC7" s="11">
        <f t="shared" si="101"/>
        <v>12.8</v>
      </c>
      <c r="ID7" s="11">
        <f t="shared" si="102"/>
        <v>14.77</v>
      </c>
      <c r="IE7" s="11">
        <f t="shared" si="103"/>
        <v>50.36999999999999</v>
      </c>
      <c r="IF7" s="11">
        <f t="shared" si="104"/>
        <v>13.8</v>
      </c>
      <c r="IG7" s="11">
        <f t="shared" si="105"/>
        <v>14.69</v>
      </c>
      <c r="IH7" s="11">
        <f t="shared" si="106"/>
        <v>51.19</v>
      </c>
      <c r="II7" s="11">
        <f t="shared" si="107"/>
        <v>152.60999999999999</v>
      </c>
      <c r="IJ7" s="17">
        <v>1.4</v>
      </c>
      <c r="IK7" s="17">
        <v>0.8</v>
      </c>
      <c r="IL7" s="17">
        <v>2</v>
      </c>
      <c r="IM7" s="17">
        <v>1.58</v>
      </c>
      <c r="IN7" s="17">
        <v>0</v>
      </c>
      <c r="IO7" s="17">
        <v>13.9</v>
      </c>
      <c r="IP7" s="17">
        <v>9.1999999999999993</v>
      </c>
      <c r="IQ7" s="17">
        <v>13.8</v>
      </c>
      <c r="IR7" s="17">
        <v>14.68</v>
      </c>
      <c r="IS7" s="17">
        <v>0</v>
      </c>
      <c r="IT7" s="17"/>
      <c r="IU7" s="17"/>
      <c r="IV7" s="17"/>
      <c r="IW7" s="17"/>
      <c r="IX7" s="17"/>
      <c r="IY7" s="17">
        <v>6.5</v>
      </c>
      <c r="IZ7" s="17">
        <v>4.5999999999999996</v>
      </c>
      <c r="JA7" s="17">
        <v>7.4</v>
      </c>
      <c r="JB7" s="17">
        <v>7.61</v>
      </c>
      <c r="JC7" s="17">
        <v>0</v>
      </c>
      <c r="JD7" s="40">
        <f t="shared" si="108"/>
        <v>2</v>
      </c>
      <c r="JE7" s="40">
        <f t="shared" si="109"/>
        <v>1.58</v>
      </c>
      <c r="JF7" s="40">
        <f t="shared" si="110"/>
        <v>5.78</v>
      </c>
      <c r="JG7" s="40">
        <f t="shared" si="111"/>
        <v>13.8</v>
      </c>
      <c r="JH7" s="40">
        <f t="shared" si="112"/>
        <v>14.68</v>
      </c>
      <c r="JI7" s="40">
        <f t="shared" si="113"/>
        <v>51.580000000000005</v>
      </c>
      <c r="JJ7" s="40">
        <f t="shared" si="114"/>
        <v>51.580000000000005</v>
      </c>
      <c r="JK7" s="40" t="str">
        <f t="shared" si="115"/>
        <v/>
      </c>
      <c r="JL7" s="40" t="str">
        <f t="shared" si="116"/>
        <v/>
      </c>
      <c r="JM7" s="40" t="str">
        <f t="shared" si="117"/>
        <v/>
      </c>
      <c r="JN7" s="40">
        <f t="shared" si="118"/>
        <v>7.4</v>
      </c>
      <c r="JO7" s="40">
        <f t="shared" si="119"/>
        <v>7.61</v>
      </c>
      <c r="JP7" s="40">
        <f t="shared" si="120"/>
        <v>26.11</v>
      </c>
      <c r="JQ7" s="40">
        <f t="shared" si="121"/>
        <v>77.69</v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 t="shared" si="122"/>
        <v/>
      </c>
      <c r="KM7" s="11" t="str">
        <f t="shared" si="123"/>
        <v/>
      </c>
      <c r="KN7" s="11" t="str">
        <f t="shared" si="124"/>
        <v/>
      </c>
      <c r="KO7" s="11" t="str">
        <f t="shared" si="125"/>
        <v/>
      </c>
      <c r="KP7" s="11" t="str">
        <f t="shared" si="126"/>
        <v/>
      </c>
      <c r="KQ7" s="11" t="str">
        <f t="shared" si="127"/>
        <v/>
      </c>
      <c r="KR7" s="11" t="str">
        <f t="shared" si="128"/>
        <v/>
      </c>
      <c r="KS7" s="11" t="str">
        <f t="shared" si="129"/>
        <v/>
      </c>
      <c r="KT7" s="11" t="str">
        <f t="shared" si="130"/>
        <v/>
      </c>
      <c r="KU7" s="11" t="str">
        <f t="shared" si="131"/>
        <v/>
      </c>
      <c r="KV7" s="11" t="str">
        <f t="shared" si="132"/>
        <v/>
      </c>
      <c r="KW7" s="11" t="str">
        <f t="shared" si="133"/>
        <v/>
      </c>
      <c r="KX7" s="11" t="str">
        <f t="shared" si="134"/>
        <v/>
      </c>
      <c r="KY7" s="11" t="str">
        <f t="shared" si="135"/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 t="shared" si="136"/>
        <v/>
      </c>
      <c r="LU7" s="40" t="str">
        <f t="shared" si="137"/>
        <v/>
      </c>
      <c r="LV7" s="40" t="str">
        <f t="shared" si="138"/>
        <v/>
      </c>
      <c r="LW7" s="40" t="str">
        <f t="shared" si="139"/>
        <v/>
      </c>
      <c r="LX7" s="40" t="str">
        <f t="shared" si="140"/>
        <v/>
      </c>
      <c r="LY7" s="40" t="str">
        <f t="shared" si="141"/>
        <v/>
      </c>
      <c r="LZ7" s="40" t="str">
        <f t="shared" si="142"/>
        <v/>
      </c>
      <c r="MA7" s="40" t="str">
        <f t="shared" si="143"/>
        <v/>
      </c>
      <c r="MB7" s="40" t="str">
        <f t="shared" si="144"/>
        <v/>
      </c>
      <c r="MC7" s="40" t="str">
        <f t="shared" si="145"/>
        <v/>
      </c>
      <c r="MD7" s="40" t="str">
        <f t="shared" si="146"/>
        <v/>
      </c>
      <c r="ME7" s="40" t="str">
        <f t="shared" si="147"/>
        <v/>
      </c>
      <c r="MF7" s="40" t="str">
        <f t="shared" si="148"/>
        <v/>
      </c>
      <c r="MG7" s="40" t="str">
        <f t="shared" si="149"/>
        <v/>
      </c>
      <c r="MH7" s="18">
        <v>14.3</v>
      </c>
      <c r="MI7" s="18">
        <v>9.6</v>
      </c>
      <c r="MJ7" s="18">
        <v>13.8</v>
      </c>
      <c r="MK7" s="18">
        <v>15.47</v>
      </c>
      <c r="ML7" s="18">
        <v>0</v>
      </c>
      <c r="MM7" s="18">
        <v>14.1</v>
      </c>
      <c r="MN7" s="18">
        <v>9.5</v>
      </c>
      <c r="MO7" s="18">
        <v>13.8</v>
      </c>
      <c r="MP7" s="18">
        <v>15.23</v>
      </c>
      <c r="MQ7" s="18">
        <v>0</v>
      </c>
      <c r="MR7" s="18">
        <v>15.3</v>
      </c>
      <c r="MS7" s="18">
        <v>9.3000000000000007</v>
      </c>
      <c r="MT7" s="18">
        <v>13.8</v>
      </c>
      <c r="MU7" s="18">
        <v>15.31</v>
      </c>
      <c r="MV7" s="18">
        <v>0</v>
      </c>
      <c r="MW7" s="18"/>
      <c r="MX7" s="18"/>
      <c r="MY7" s="18"/>
      <c r="MZ7" s="18"/>
      <c r="NA7" s="18"/>
      <c r="NB7" s="11">
        <f t="shared" si="150"/>
        <v>13.8</v>
      </c>
      <c r="NC7" s="11">
        <f t="shared" si="151"/>
        <v>15.47</v>
      </c>
      <c r="ND7" s="11">
        <f t="shared" si="152"/>
        <v>53.17</v>
      </c>
      <c r="NE7" s="11">
        <f t="shared" si="153"/>
        <v>13.8</v>
      </c>
      <c r="NF7" s="11">
        <f t="shared" si="154"/>
        <v>15.23</v>
      </c>
      <c r="NG7" s="11">
        <f t="shared" si="155"/>
        <v>52.63000000000001</v>
      </c>
      <c r="NH7" s="11">
        <f t="shared" si="156"/>
        <v>53.17</v>
      </c>
      <c r="NI7" s="11">
        <f t="shared" si="157"/>
        <v>13.8</v>
      </c>
      <c r="NJ7" s="11">
        <f t="shared" si="158"/>
        <v>15.31</v>
      </c>
      <c r="NK7" s="11">
        <f t="shared" si="159"/>
        <v>53.710000000000008</v>
      </c>
      <c r="NL7" s="11" t="str">
        <f t="shared" si="160"/>
        <v/>
      </c>
      <c r="NM7" s="11" t="str">
        <f t="shared" si="161"/>
        <v/>
      </c>
      <c r="NN7" s="11" t="str">
        <f t="shared" si="162"/>
        <v/>
      </c>
      <c r="NO7" s="11">
        <f t="shared" si="163"/>
        <v>106.88000000000001</v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 t="shared" si="164"/>
        <v/>
      </c>
      <c r="OK7" s="40" t="str">
        <f t="shared" si="165"/>
        <v/>
      </c>
      <c r="OL7" s="40" t="str">
        <f t="shared" si="166"/>
        <v/>
      </c>
      <c r="OM7" s="40" t="str">
        <f t="shared" si="167"/>
        <v/>
      </c>
      <c r="ON7" s="40" t="str">
        <f t="shared" si="168"/>
        <v/>
      </c>
      <c r="OO7" s="40" t="str">
        <f t="shared" si="169"/>
        <v/>
      </c>
      <c r="OP7" s="40" t="str">
        <f t="shared" si="170"/>
        <v/>
      </c>
      <c r="OQ7" s="40" t="str">
        <f t="shared" si="171"/>
        <v/>
      </c>
      <c r="OR7" s="40" t="str">
        <f t="shared" si="172"/>
        <v/>
      </c>
      <c r="OS7" s="40" t="str">
        <f t="shared" si="173"/>
        <v/>
      </c>
      <c r="OT7" s="40" t="str">
        <f t="shared" si="174"/>
        <v/>
      </c>
      <c r="OU7" s="40" t="str">
        <f t="shared" si="175"/>
        <v/>
      </c>
      <c r="OV7" s="40" t="str">
        <f t="shared" si="176"/>
        <v/>
      </c>
      <c r="OW7" s="40" t="str">
        <f t="shared" si="177"/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 t="shared" si="178"/>
        <v/>
      </c>
      <c r="PS7" s="11" t="str">
        <f t="shared" si="179"/>
        <v/>
      </c>
      <c r="PT7" s="11" t="str">
        <f t="shared" si="180"/>
        <v/>
      </c>
      <c r="PU7" s="11" t="str">
        <f t="shared" si="181"/>
        <v/>
      </c>
      <c r="PV7" s="11" t="str">
        <f t="shared" si="182"/>
        <v/>
      </c>
      <c r="PW7" s="11" t="str">
        <f t="shared" si="183"/>
        <v/>
      </c>
      <c r="PX7" s="11" t="str">
        <f t="shared" si="184"/>
        <v/>
      </c>
      <c r="PY7" s="11" t="str">
        <f t="shared" si="185"/>
        <v/>
      </c>
      <c r="PZ7" s="11" t="str">
        <f t="shared" si="186"/>
        <v/>
      </c>
      <c r="QA7" s="11" t="str">
        <f t="shared" si="187"/>
        <v/>
      </c>
      <c r="QB7" s="11" t="str">
        <f t="shared" si="188"/>
        <v/>
      </c>
      <c r="QC7" s="11" t="str">
        <f t="shared" si="189"/>
        <v/>
      </c>
      <c r="QD7" s="11" t="str">
        <f t="shared" si="190"/>
        <v/>
      </c>
      <c r="QE7" s="11" t="str">
        <f t="shared" si="191"/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 t="shared" si="192"/>
        <v/>
      </c>
      <c r="RA7" s="40" t="str">
        <f t="shared" si="193"/>
        <v/>
      </c>
      <c r="RB7" s="40" t="str">
        <f t="shared" si="194"/>
        <v/>
      </c>
      <c r="RC7" s="40" t="str">
        <f t="shared" si="195"/>
        <v/>
      </c>
      <c r="RD7" s="40" t="str">
        <f t="shared" si="196"/>
        <v/>
      </c>
      <c r="RE7" s="40" t="str">
        <f t="shared" si="197"/>
        <v/>
      </c>
      <c r="RF7" s="40" t="str">
        <f t="shared" si="198"/>
        <v/>
      </c>
      <c r="RG7" s="40" t="str">
        <f t="shared" si="199"/>
        <v/>
      </c>
      <c r="RH7" s="40" t="str">
        <f t="shared" si="200"/>
        <v/>
      </c>
      <c r="RI7" s="40" t="str">
        <f t="shared" si="201"/>
        <v/>
      </c>
      <c r="RJ7" s="40" t="str">
        <f t="shared" si="202"/>
        <v/>
      </c>
      <c r="RK7" s="40" t="str">
        <f t="shared" si="203"/>
        <v/>
      </c>
      <c r="RL7" s="40" t="str">
        <f t="shared" si="204"/>
        <v/>
      </c>
      <c r="RM7" s="40" t="str">
        <f t="shared" si="205"/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 t="shared" si="206"/>
        <v/>
      </c>
      <c r="SI7" s="11" t="str">
        <f t="shared" si="207"/>
        <v/>
      </c>
      <c r="SJ7" s="11" t="str">
        <f t="shared" si="208"/>
        <v/>
      </c>
      <c r="SK7" s="11" t="str">
        <f t="shared" si="209"/>
        <v/>
      </c>
      <c r="SL7" s="11" t="str">
        <f t="shared" si="210"/>
        <v/>
      </c>
      <c r="SM7" s="11" t="str">
        <f t="shared" si="211"/>
        <v/>
      </c>
      <c r="SN7" s="11" t="str">
        <f t="shared" si="212"/>
        <v/>
      </c>
      <c r="SO7" s="11" t="str">
        <f t="shared" si="213"/>
        <v/>
      </c>
      <c r="SP7" s="11" t="str">
        <f t="shared" si="214"/>
        <v/>
      </c>
      <c r="SQ7" s="11" t="str">
        <f t="shared" si="215"/>
        <v/>
      </c>
      <c r="SR7" s="11" t="str">
        <f t="shared" si="216"/>
        <v/>
      </c>
      <c r="SS7" s="11" t="str">
        <f t="shared" si="217"/>
        <v/>
      </c>
      <c r="ST7" s="11" t="str">
        <f t="shared" si="218"/>
        <v/>
      </c>
      <c r="SU7" s="11" t="str">
        <f t="shared" si="219"/>
        <v/>
      </c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17"/>
      <c r="TI7" s="17"/>
      <c r="TJ7" s="17"/>
      <c r="TK7" s="17"/>
      <c r="TL7" s="17"/>
      <c r="TM7" s="17"/>
      <c r="TN7" s="17"/>
      <c r="TO7" s="17"/>
      <c r="TP7" s="40" t="str">
        <f t="shared" si="220"/>
        <v/>
      </c>
      <c r="TQ7" s="40" t="str">
        <f t="shared" si="221"/>
        <v/>
      </c>
      <c r="TR7" s="40" t="str">
        <f t="shared" si="222"/>
        <v/>
      </c>
      <c r="TS7" s="40" t="str">
        <f t="shared" si="223"/>
        <v/>
      </c>
      <c r="TT7" s="40" t="str">
        <f t="shared" si="224"/>
        <v/>
      </c>
      <c r="TU7" s="40" t="str">
        <f t="shared" si="225"/>
        <v/>
      </c>
      <c r="TV7" s="40" t="str">
        <f t="shared" si="226"/>
        <v/>
      </c>
      <c r="TW7" s="40" t="str">
        <f t="shared" si="227"/>
        <v/>
      </c>
      <c r="TX7" s="40" t="str">
        <f t="shared" si="228"/>
        <v/>
      </c>
      <c r="TY7" s="40" t="str">
        <f t="shared" si="229"/>
        <v/>
      </c>
      <c r="TZ7" s="40" t="str">
        <f t="shared" si="230"/>
        <v/>
      </c>
      <c r="UA7" s="40" t="str">
        <f t="shared" si="231"/>
        <v/>
      </c>
      <c r="UB7" s="40" t="str">
        <f t="shared" si="232"/>
        <v/>
      </c>
      <c r="UC7" s="40" t="str">
        <f t="shared" si="233"/>
        <v/>
      </c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8"/>
      <c r="UQ7" s="18"/>
      <c r="UR7" s="18"/>
      <c r="US7" s="18"/>
      <c r="UT7" s="18"/>
      <c r="UU7" s="18"/>
      <c r="UV7" s="18"/>
      <c r="UW7" s="18"/>
      <c r="UX7" s="11" t="str">
        <f t="shared" si="234"/>
        <v/>
      </c>
      <c r="UY7" s="11" t="str">
        <f t="shared" si="235"/>
        <v/>
      </c>
      <c r="UZ7" s="11" t="str">
        <f t="shared" si="236"/>
        <v/>
      </c>
      <c r="VA7" s="11" t="str">
        <f t="shared" si="237"/>
        <v/>
      </c>
      <c r="VB7" s="11" t="str">
        <f t="shared" si="238"/>
        <v/>
      </c>
      <c r="VC7" s="11" t="str">
        <f t="shared" si="239"/>
        <v/>
      </c>
      <c r="VD7" s="11" t="str">
        <f t="shared" si="240"/>
        <v/>
      </c>
      <c r="VE7" s="11" t="str">
        <f t="shared" si="241"/>
        <v/>
      </c>
      <c r="VF7" s="11" t="str">
        <f t="shared" si="242"/>
        <v/>
      </c>
      <c r="VG7" s="11" t="str">
        <f t="shared" si="243"/>
        <v/>
      </c>
      <c r="VH7" s="11" t="str">
        <f t="shared" si="244"/>
        <v/>
      </c>
      <c r="VI7" s="11" t="str">
        <f t="shared" si="245"/>
        <v/>
      </c>
      <c r="VJ7" s="11" t="str">
        <f t="shared" si="246"/>
        <v/>
      </c>
      <c r="VK7" s="11" t="str">
        <f t="shared" si="247"/>
        <v/>
      </c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17"/>
      <c r="VY7" s="17"/>
      <c r="VZ7" s="17"/>
      <c r="WA7" s="17"/>
      <c r="WB7" s="17"/>
      <c r="WC7" s="17"/>
      <c r="WD7" s="17"/>
      <c r="WE7" s="17"/>
      <c r="WF7" s="40" t="str">
        <f t="shared" si="248"/>
        <v/>
      </c>
      <c r="WG7" s="40" t="str">
        <f t="shared" si="249"/>
        <v/>
      </c>
      <c r="WH7" s="40" t="str">
        <f t="shared" si="250"/>
        <v/>
      </c>
      <c r="WI7" s="40" t="str">
        <f t="shared" si="251"/>
        <v/>
      </c>
      <c r="WJ7" s="40" t="str">
        <f t="shared" si="252"/>
        <v/>
      </c>
      <c r="WK7" s="40" t="str">
        <f t="shared" si="253"/>
        <v/>
      </c>
      <c r="WL7" s="40" t="str">
        <f t="shared" si="254"/>
        <v/>
      </c>
      <c r="WM7" s="40" t="str">
        <f t="shared" si="255"/>
        <v/>
      </c>
      <c r="WN7" s="40" t="str">
        <f t="shared" si="256"/>
        <v/>
      </c>
      <c r="WO7" s="40" t="str">
        <f t="shared" si="257"/>
        <v/>
      </c>
      <c r="WP7" s="40" t="str">
        <f t="shared" si="258"/>
        <v/>
      </c>
      <c r="WQ7" s="40" t="str">
        <f t="shared" si="259"/>
        <v/>
      </c>
      <c r="WR7" s="40" t="str">
        <f t="shared" si="260"/>
        <v/>
      </c>
      <c r="WS7" s="40" t="str">
        <f t="shared" si="261"/>
        <v/>
      </c>
      <c r="WT7" s="26">
        <f t="shared" si="262"/>
        <v>9.3999999999999986</v>
      </c>
      <c r="WU7" s="26">
        <f t="shared" si="263"/>
        <v>5.75</v>
      </c>
      <c r="WV7" s="26">
        <f t="shared" si="264"/>
        <v>9.25</v>
      </c>
      <c r="WW7" s="26">
        <f t="shared" si="265"/>
        <v>9.6649999999999991</v>
      </c>
      <c r="WX7" s="26">
        <f t="shared" si="266"/>
        <v>0</v>
      </c>
      <c r="WY7" s="26">
        <f t="shared" si="267"/>
        <v>12.45</v>
      </c>
      <c r="WZ7" s="26">
        <f t="shared" si="268"/>
        <v>9.3000000000000007</v>
      </c>
      <c r="XA7" s="26">
        <f t="shared" si="269"/>
        <v>13.3</v>
      </c>
      <c r="XB7" s="26">
        <f t="shared" si="270"/>
        <v>14.62</v>
      </c>
      <c r="XC7" s="26">
        <f t="shared" si="271"/>
        <v>0</v>
      </c>
      <c r="XD7" s="26">
        <f t="shared" si="272"/>
        <v>10.5</v>
      </c>
      <c r="XE7" s="26">
        <f t="shared" si="273"/>
        <v>6.85</v>
      </c>
      <c r="XF7" s="26">
        <f t="shared" si="274"/>
        <v>10.6</v>
      </c>
      <c r="XG7" s="26">
        <f t="shared" si="275"/>
        <v>11.315</v>
      </c>
      <c r="XH7" s="26">
        <f t="shared" si="276"/>
        <v>0</v>
      </c>
      <c r="XI7" s="28" t="s">
        <v>53</v>
      </c>
      <c r="XJ7" s="11">
        <f t="shared" si="277"/>
        <v>9.25</v>
      </c>
      <c r="XK7" s="11">
        <f t="shared" si="278"/>
        <v>9.6649999999999991</v>
      </c>
      <c r="XL7" s="11">
        <f t="shared" si="279"/>
        <v>34.064999999999998</v>
      </c>
      <c r="XM7" s="11">
        <f t="shared" si="280"/>
        <v>13.3</v>
      </c>
      <c r="XN7" s="11">
        <f t="shared" si="281"/>
        <v>14.62</v>
      </c>
      <c r="XO7" s="11">
        <f t="shared" si="282"/>
        <v>49.669999999999995</v>
      </c>
      <c r="XP7" s="11">
        <f t="shared" si="283"/>
        <v>49.669999999999995</v>
      </c>
      <c r="XQ7" s="11">
        <f t="shared" si="284"/>
        <v>10.6</v>
      </c>
      <c r="XR7" s="11">
        <f t="shared" si="285"/>
        <v>11.315</v>
      </c>
      <c r="XS7" s="11">
        <f t="shared" si="286"/>
        <v>39.265000000000001</v>
      </c>
      <c r="XT7" s="11">
        <f t="shared" si="287"/>
        <v>88.935000000000002</v>
      </c>
    </row>
    <row r="8" spans="1:644" x14ac:dyDescent="0.2">
      <c r="A8" s="4" cm="1">
        <f t="array" ref="A8">IF(AND(H8&lt;&gt;"",H8&lt;&gt;"No DD"),SUMPRODUCT((H$4:H$18&lt;&gt;"")*(H$4:H$18&lt;&gt;"No DD")*(E$4:E$18&gt;E8))+1,IF(H8="No DD",SUMPRODUCT((H$4:H$18="No DD")*(E$4:E$18&gt;E8))+1+SUMPRODUCT((H$4:H$18&lt;&gt;"")*(H$4:H$18&lt;&gt;"No DD")),""))</f>
        <v>5</v>
      </c>
      <c r="B8" s="5" t="s">
        <v>70</v>
      </c>
      <c r="C8" s="4" t="s">
        <v>6</v>
      </c>
      <c r="D8" s="4">
        <v>2001</v>
      </c>
      <c r="E8" s="9">
        <f t="shared" si="0"/>
        <v>238.63002366800526</v>
      </c>
      <c r="F8" s="3" t="str">
        <f t="shared" si="1"/>
        <v>P</v>
      </c>
      <c r="G8" s="3" t="str">
        <f t="shared" si="2"/>
        <v>P</v>
      </c>
      <c r="H8" s="36" t="str">
        <f t="shared" si="3"/>
        <v>Excellence</v>
      </c>
      <c r="I8" s="3" t="str">
        <f t="shared" si="4"/>
        <v>P</v>
      </c>
      <c r="J8" s="8">
        <f>IF(COUNT(AQ8,AT8,BR8,BU8,CS8,CV8)&gt;0,LARGE((AQ8,AT8,BR8,BU8,CS8,CV8),1),0)</f>
        <v>53.14</v>
      </c>
      <c r="K8" s="8" t="str">
        <f t="shared" si="5"/>
        <v>2024 Elite Canada</v>
      </c>
      <c r="L8" s="8">
        <f>IF(COUNT(AQ8,AT8,BR8,BU8,CS8,CV8)&gt;1,LARGE((AQ8,AT8,BR8,BU8,CS8,CV8),2),0)</f>
        <v>52.15</v>
      </c>
      <c r="M8" s="8" t="str">
        <f t="shared" si="6"/>
        <v>2024 3rd Domestic Trial</v>
      </c>
      <c r="N8" s="8">
        <f>IF(COUNT(AQ8,AT8,BR8,BU8,CS8,CV8)&gt;2,LARGE((AQ8,AT8,BR8,BU8,CS8,CV8),3),0)</f>
        <v>52.05</v>
      </c>
      <c r="O8" s="8" t="str">
        <f t="shared" si="7"/>
        <v>2024 3rd Domestic Trial</v>
      </c>
      <c r="P8" s="8">
        <f t="shared" si="8"/>
        <v>50.39</v>
      </c>
      <c r="Q8" s="8" t="str">
        <f t="shared" si="9"/>
        <v>2024 3rd Domestic Trial</v>
      </c>
      <c r="R8" s="8">
        <f t="shared" si="10"/>
        <v>14</v>
      </c>
      <c r="S8" s="8" t="str">
        <f t="shared" si="11"/>
        <v>2024 World Cup AZE (Feb 25)</v>
      </c>
      <c r="T8" s="8">
        <f t="shared" si="12"/>
        <v>14.95</v>
      </c>
      <c r="U8" s="8" t="str">
        <f t="shared" si="13"/>
        <v>2024 3rd Domestic Trial</v>
      </c>
      <c r="V8" s="8">
        <f t="shared" si="14"/>
        <v>1.9500000000000028</v>
      </c>
      <c r="W8" s="11" t="str">
        <f t="shared" si="15"/>
        <v>(Final)</v>
      </c>
      <c r="X8" s="8" t="str">
        <f t="shared" si="16"/>
        <v>2024 Pacific Rim (April 23)</v>
      </c>
      <c r="Y8" s="22">
        <v>14.5</v>
      </c>
      <c r="Z8" s="22">
        <v>9.1999999999999993</v>
      </c>
      <c r="AA8" s="22">
        <v>13.6</v>
      </c>
      <c r="AB8" s="22">
        <v>14.59</v>
      </c>
      <c r="AC8" s="22">
        <v>0</v>
      </c>
      <c r="AD8" s="22">
        <v>15.5</v>
      </c>
      <c r="AE8" s="22">
        <v>9.1</v>
      </c>
      <c r="AF8" s="22">
        <v>13.6</v>
      </c>
      <c r="AG8" s="22">
        <v>14.94</v>
      </c>
      <c r="AH8" s="22">
        <v>0</v>
      </c>
      <c r="AI8" s="22">
        <v>14.5</v>
      </c>
      <c r="AJ8" s="22">
        <v>8.1</v>
      </c>
      <c r="AK8" s="22">
        <v>12</v>
      </c>
      <c r="AL8" s="22">
        <v>13.56</v>
      </c>
      <c r="AM8" s="22">
        <v>0.6</v>
      </c>
      <c r="AN8" s="27"/>
      <c r="AO8" s="38">
        <f t="shared" si="17"/>
        <v>13.6</v>
      </c>
      <c r="AP8" s="38">
        <f t="shared" si="18"/>
        <v>14.59</v>
      </c>
      <c r="AQ8" s="40">
        <f t="shared" si="19"/>
        <v>51.89</v>
      </c>
      <c r="AR8" s="40">
        <f t="shared" si="20"/>
        <v>13.6</v>
      </c>
      <c r="AS8" s="40">
        <f t="shared" si="21"/>
        <v>14.94</v>
      </c>
      <c r="AT8" s="40">
        <f t="shared" si="22"/>
        <v>53.14</v>
      </c>
      <c r="AU8" s="40">
        <f t="shared" si="23"/>
        <v>53.14</v>
      </c>
      <c r="AV8" s="40">
        <f t="shared" si="24"/>
        <v>12</v>
      </c>
      <c r="AW8" s="40">
        <f t="shared" si="25"/>
        <v>13.56</v>
      </c>
      <c r="AX8" s="40">
        <f t="shared" si="26"/>
        <v>47.56</v>
      </c>
      <c r="AY8" s="40">
        <f t="shared" si="27"/>
        <v>100.7</v>
      </c>
      <c r="AZ8" s="26">
        <v>14.8</v>
      </c>
      <c r="BA8" s="26">
        <v>8.8000000000000007</v>
      </c>
      <c r="BB8" s="26">
        <v>12.2</v>
      </c>
      <c r="BC8" s="26">
        <v>14.44</v>
      </c>
      <c r="BD8" s="26">
        <v>0</v>
      </c>
      <c r="BE8" s="26">
        <v>14.6</v>
      </c>
      <c r="BF8" s="26">
        <v>9</v>
      </c>
      <c r="BG8" s="26">
        <v>11.9</v>
      </c>
      <c r="BH8" s="26">
        <v>14.48</v>
      </c>
      <c r="BI8" s="26">
        <v>0.2</v>
      </c>
      <c r="BJ8" s="26">
        <v>10.5</v>
      </c>
      <c r="BK8" s="26">
        <v>6.3</v>
      </c>
      <c r="BL8" s="26">
        <v>9.5</v>
      </c>
      <c r="BM8" s="26">
        <v>10.35</v>
      </c>
      <c r="BN8" s="26">
        <v>0</v>
      </c>
      <c r="BO8" s="28"/>
      <c r="BP8" s="39">
        <f t="shared" si="28"/>
        <v>12.2</v>
      </c>
      <c r="BQ8" s="39">
        <f t="shared" si="29"/>
        <v>14.44</v>
      </c>
      <c r="BR8" s="11">
        <f t="shared" si="30"/>
        <v>50.239999999999995</v>
      </c>
      <c r="BS8" s="11">
        <f t="shared" si="31"/>
        <v>11.9</v>
      </c>
      <c r="BT8" s="11">
        <f t="shared" si="32"/>
        <v>14.48</v>
      </c>
      <c r="BU8" s="11">
        <f t="shared" si="33"/>
        <v>49.78</v>
      </c>
      <c r="BV8" s="11">
        <f t="shared" si="34"/>
        <v>50.239999999999995</v>
      </c>
      <c r="BW8" s="11">
        <f t="shared" si="35"/>
        <v>9.5</v>
      </c>
      <c r="BX8" s="11">
        <f t="shared" si="36"/>
        <v>10.35</v>
      </c>
      <c r="BY8" s="11">
        <f t="shared" si="37"/>
        <v>36.65</v>
      </c>
      <c r="BZ8" s="11">
        <f t="shared" si="38"/>
        <v>86.889999999999986</v>
      </c>
      <c r="CA8" s="22">
        <v>15.7</v>
      </c>
      <c r="CB8" s="22">
        <v>8.6999999999999993</v>
      </c>
      <c r="CC8" s="22">
        <v>12.5</v>
      </c>
      <c r="CD8" s="22">
        <v>15.25</v>
      </c>
      <c r="CE8" s="22">
        <v>0</v>
      </c>
      <c r="CF8" s="22">
        <v>14.8</v>
      </c>
      <c r="CG8" s="22">
        <v>9.1</v>
      </c>
      <c r="CH8" s="22">
        <v>13.2</v>
      </c>
      <c r="CI8" s="22">
        <v>14.95</v>
      </c>
      <c r="CJ8" s="22">
        <v>0</v>
      </c>
      <c r="CK8" s="22">
        <v>15.6</v>
      </c>
      <c r="CL8" s="22">
        <v>8.4</v>
      </c>
      <c r="CM8" s="22">
        <v>11.6</v>
      </c>
      <c r="CN8" s="22">
        <v>14.79</v>
      </c>
      <c r="CO8" s="22">
        <v>0</v>
      </c>
      <c r="CP8" s="27"/>
      <c r="CQ8" s="38">
        <f t="shared" si="39"/>
        <v>12.5</v>
      </c>
      <c r="CR8" s="38">
        <f t="shared" si="40"/>
        <v>15.25</v>
      </c>
      <c r="CS8" s="40">
        <f t="shared" si="41"/>
        <v>52.15</v>
      </c>
      <c r="CT8" s="40">
        <f t="shared" si="42"/>
        <v>13.2</v>
      </c>
      <c r="CU8" s="40">
        <f t="shared" si="43"/>
        <v>14.95</v>
      </c>
      <c r="CV8" s="40">
        <f t="shared" si="44"/>
        <v>52.05</v>
      </c>
      <c r="CW8" s="40">
        <f t="shared" si="45"/>
        <v>52.15</v>
      </c>
      <c r="CX8" s="40">
        <f t="shared" si="46"/>
        <v>11.6</v>
      </c>
      <c r="CY8" s="40">
        <f t="shared" si="47"/>
        <v>14.79</v>
      </c>
      <c r="CZ8" s="40">
        <f t="shared" si="48"/>
        <v>50.39</v>
      </c>
      <c r="DA8" s="40">
        <f t="shared" si="49"/>
        <v>102.53999999999999</v>
      </c>
      <c r="DB8" s="51" t="str">
        <f t="shared" si="50"/>
        <v/>
      </c>
      <c r="DC8" s="51">
        <f t="shared" si="51"/>
        <v>1.9500000000000028</v>
      </c>
      <c r="DD8" s="17">
        <v>13.1</v>
      </c>
      <c r="DE8" s="17">
        <v>8.9</v>
      </c>
      <c r="DF8" s="17">
        <v>14</v>
      </c>
      <c r="DG8" s="17">
        <v>14.16</v>
      </c>
      <c r="DH8" s="17">
        <v>0</v>
      </c>
      <c r="DI8" s="17">
        <v>7.4</v>
      </c>
      <c r="DJ8" s="17">
        <v>5</v>
      </c>
      <c r="DK8" s="17">
        <v>7.7</v>
      </c>
      <c r="DL8" s="17">
        <v>8.7200000000000006</v>
      </c>
      <c r="DM8" s="17">
        <v>0</v>
      </c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>
        <f t="shared" si="52"/>
        <v>14</v>
      </c>
      <c r="DY8" s="40">
        <f t="shared" si="53"/>
        <v>14.16</v>
      </c>
      <c r="DZ8" s="40">
        <f t="shared" si="54"/>
        <v>50.16</v>
      </c>
      <c r="EA8" s="40">
        <f t="shared" si="55"/>
        <v>7.7</v>
      </c>
      <c r="EB8" s="40">
        <f t="shared" si="56"/>
        <v>8.7200000000000006</v>
      </c>
      <c r="EC8" s="40">
        <f t="shared" si="57"/>
        <v>28.82</v>
      </c>
      <c r="ED8" s="40">
        <f t="shared" si="58"/>
        <v>50.16</v>
      </c>
      <c r="EE8" s="40" t="str">
        <f t="shared" si="59"/>
        <v/>
      </c>
      <c r="EF8" s="40" t="str">
        <f t="shared" si="60"/>
        <v/>
      </c>
      <c r="EG8" s="40" t="str">
        <f t="shared" si="61"/>
        <v/>
      </c>
      <c r="EH8" s="40" t="str">
        <f t="shared" si="62"/>
        <v/>
      </c>
      <c r="EI8" s="40" t="str">
        <f t="shared" si="63"/>
        <v/>
      </c>
      <c r="EJ8" s="40" t="str">
        <f t="shared" si="64"/>
        <v/>
      </c>
      <c r="EK8" s="40">
        <f t="shared" si="65"/>
        <v>50.16</v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 t="shared" si="66"/>
        <v/>
      </c>
      <c r="FG8" s="11" t="str">
        <f t="shared" si="67"/>
        <v/>
      </c>
      <c r="FH8" s="11" t="str">
        <f t="shared" si="68"/>
        <v/>
      </c>
      <c r="FI8" s="11" t="str">
        <f t="shared" si="69"/>
        <v/>
      </c>
      <c r="FJ8" s="11" t="str">
        <f t="shared" si="70"/>
        <v/>
      </c>
      <c r="FK8" s="11" t="str">
        <f t="shared" si="71"/>
        <v/>
      </c>
      <c r="FL8" s="11" t="str">
        <f t="shared" si="72"/>
        <v/>
      </c>
      <c r="FM8" s="11" t="str">
        <f t="shared" si="73"/>
        <v/>
      </c>
      <c r="FN8" s="11" t="str">
        <f t="shared" si="74"/>
        <v/>
      </c>
      <c r="FO8" s="11" t="str">
        <f t="shared" si="75"/>
        <v/>
      </c>
      <c r="FP8" s="11" t="str">
        <f t="shared" si="76"/>
        <v/>
      </c>
      <c r="FQ8" s="11" t="str">
        <f t="shared" si="77"/>
        <v/>
      </c>
      <c r="FR8" s="11" t="str">
        <f t="shared" si="78"/>
        <v/>
      </c>
      <c r="FS8" s="11" t="str">
        <f t="shared" si="79"/>
        <v/>
      </c>
      <c r="FT8" s="17">
        <v>14.2</v>
      </c>
      <c r="FU8" s="17">
        <v>9.3000000000000007</v>
      </c>
      <c r="FV8" s="17">
        <v>13.6</v>
      </c>
      <c r="FW8" s="17">
        <v>14.34</v>
      </c>
      <c r="FX8" s="17">
        <v>0</v>
      </c>
      <c r="FY8" s="17">
        <v>1.3</v>
      </c>
      <c r="FZ8" s="17">
        <v>0.9</v>
      </c>
      <c r="GA8" s="17">
        <v>2</v>
      </c>
      <c r="GB8" s="17">
        <v>1.61</v>
      </c>
      <c r="GC8" s="17">
        <v>0.2</v>
      </c>
      <c r="GD8" s="17"/>
      <c r="GE8" s="17"/>
      <c r="GF8" s="17"/>
      <c r="GG8" s="17"/>
      <c r="GH8" s="17"/>
      <c r="GI8" s="17">
        <v>14.4</v>
      </c>
      <c r="GJ8" s="17">
        <v>9.6</v>
      </c>
      <c r="GK8" s="17">
        <v>13.6</v>
      </c>
      <c r="GL8" s="17">
        <v>14.74</v>
      </c>
      <c r="GM8" s="17">
        <v>0</v>
      </c>
      <c r="GN8" s="40">
        <f t="shared" si="80"/>
        <v>13.6</v>
      </c>
      <c r="GO8" s="40">
        <f t="shared" si="81"/>
        <v>14.34</v>
      </c>
      <c r="GP8" s="40">
        <f t="shared" si="82"/>
        <v>51.44</v>
      </c>
      <c r="GQ8" s="40">
        <f t="shared" si="83"/>
        <v>2</v>
      </c>
      <c r="GR8" s="40">
        <f t="shared" si="84"/>
        <v>1.61</v>
      </c>
      <c r="GS8" s="40">
        <f t="shared" si="85"/>
        <v>5.61</v>
      </c>
      <c r="GT8" s="40">
        <f t="shared" si="86"/>
        <v>51.44</v>
      </c>
      <c r="GU8" s="40" t="str">
        <f t="shared" si="87"/>
        <v/>
      </c>
      <c r="GV8" s="40" t="str">
        <f t="shared" si="88"/>
        <v/>
      </c>
      <c r="GW8" s="40" t="str">
        <f t="shared" si="89"/>
        <v/>
      </c>
      <c r="GX8" s="40">
        <f t="shared" si="90"/>
        <v>13.6</v>
      </c>
      <c r="GY8" s="40">
        <f t="shared" si="91"/>
        <v>14.74</v>
      </c>
      <c r="GZ8" s="40">
        <f t="shared" si="92"/>
        <v>52.34</v>
      </c>
      <c r="HA8" s="40">
        <f t="shared" si="93"/>
        <v>103.78</v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 t="shared" si="94"/>
        <v/>
      </c>
      <c r="HW8" s="11" t="str">
        <f t="shared" si="95"/>
        <v/>
      </c>
      <c r="HX8" s="11" t="str">
        <f t="shared" si="96"/>
        <v/>
      </c>
      <c r="HY8" s="11" t="str">
        <f t="shared" si="97"/>
        <v/>
      </c>
      <c r="HZ8" s="11" t="str">
        <f t="shared" si="98"/>
        <v/>
      </c>
      <c r="IA8" s="11" t="str">
        <f t="shared" si="99"/>
        <v/>
      </c>
      <c r="IB8" s="11" t="str">
        <f t="shared" si="100"/>
        <v/>
      </c>
      <c r="IC8" s="11" t="str">
        <f t="shared" si="101"/>
        <v/>
      </c>
      <c r="ID8" s="11" t="str">
        <f t="shared" si="102"/>
        <v/>
      </c>
      <c r="IE8" s="11" t="str">
        <f t="shared" si="103"/>
        <v/>
      </c>
      <c r="IF8" s="11" t="str">
        <f t="shared" si="104"/>
        <v/>
      </c>
      <c r="IG8" s="11" t="str">
        <f t="shared" si="105"/>
        <v/>
      </c>
      <c r="IH8" s="11" t="str">
        <f t="shared" si="106"/>
        <v/>
      </c>
      <c r="II8" s="11" t="str">
        <f t="shared" si="107"/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 t="shared" si="108"/>
        <v/>
      </c>
      <c r="JE8" s="40" t="str">
        <f t="shared" si="109"/>
        <v/>
      </c>
      <c r="JF8" s="40" t="str">
        <f t="shared" si="110"/>
        <v/>
      </c>
      <c r="JG8" s="40" t="str">
        <f t="shared" si="111"/>
        <v/>
      </c>
      <c r="JH8" s="40" t="str">
        <f t="shared" si="112"/>
        <v/>
      </c>
      <c r="JI8" s="40" t="str">
        <f t="shared" si="113"/>
        <v/>
      </c>
      <c r="JJ8" s="40" t="str">
        <f t="shared" si="114"/>
        <v/>
      </c>
      <c r="JK8" s="40" t="str">
        <f t="shared" si="115"/>
        <v/>
      </c>
      <c r="JL8" s="40" t="str">
        <f t="shared" si="116"/>
        <v/>
      </c>
      <c r="JM8" s="40" t="str">
        <f t="shared" si="117"/>
        <v/>
      </c>
      <c r="JN8" s="40" t="str">
        <f t="shared" si="118"/>
        <v/>
      </c>
      <c r="JO8" s="40" t="str">
        <f t="shared" si="119"/>
        <v/>
      </c>
      <c r="JP8" s="40" t="str">
        <f t="shared" si="120"/>
        <v/>
      </c>
      <c r="JQ8" s="40" t="str">
        <f t="shared" si="121"/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 t="shared" si="122"/>
        <v/>
      </c>
      <c r="KM8" s="11" t="str">
        <f t="shared" si="123"/>
        <v/>
      </c>
      <c r="KN8" s="11" t="str">
        <f t="shared" si="124"/>
        <v/>
      </c>
      <c r="KO8" s="11" t="str">
        <f t="shared" si="125"/>
        <v/>
      </c>
      <c r="KP8" s="11" t="str">
        <f t="shared" si="126"/>
        <v/>
      </c>
      <c r="KQ8" s="11" t="str">
        <f t="shared" si="127"/>
        <v/>
      </c>
      <c r="KR8" s="11" t="str">
        <f t="shared" si="128"/>
        <v/>
      </c>
      <c r="KS8" s="11" t="str">
        <f t="shared" si="129"/>
        <v/>
      </c>
      <c r="KT8" s="11" t="str">
        <f t="shared" si="130"/>
        <v/>
      </c>
      <c r="KU8" s="11" t="str">
        <f t="shared" si="131"/>
        <v/>
      </c>
      <c r="KV8" s="11" t="str">
        <f t="shared" si="132"/>
        <v/>
      </c>
      <c r="KW8" s="11" t="str">
        <f t="shared" si="133"/>
        <v/>
      </c>
      <c r="KX8" s="11" t="str">
        <f t="shared" si="134"/>
        <v/>
      </c>
      <c r="KY8" s="11" t="str">
        <f t="shared" si="135"/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 t="shared" si="136"/>
        <v/>
      </c>
      <c r="LU8" s="40" t="str">
        <f t="shared" si="137"/>
        <v/>
      </c>
      <c r="LV8" s="40" t="str">
        <f t="shared" si="138"/>
        <v/>
      </c>
      <c r="LW8" s="40" t="str">
        <f t="shared" si="139"/>
        <v/>
      </c>
      <c r="LX8" s="40" t="str">
        <f t="shared" si="140"/>
        <v/>
      </c>
      <c r="LY8" s="40" t="str">
        <f t="shared" si="141"/>
        <v/>
      </c>
      <c r="LZ8" s="40" t="str">
        <f t="shared" si="142"/>
        <v/>
      </c>
      <c r="MA8" s="40" t="str">
        <f t="shared" si="143"/>
        <v/>
      </c>
      <c r="MB8" s="40" t="str">
        <f t="shared" si="144"/>
        <v/>
      </c>
      <c r="MC8" s="40" t="str">
        <f t="shared" si="145"/>
        <v/>
      </c>
      <c r="MD8" s="40" t="str">
        <f t="shared" si="146"/>
        <v/>
      </c>
      <c r="ME8" s="40" t="str">
        <f t="shared" si="147"/>
        <v/>
      </c>
      <c r="MF8" s="40" t="str">
        <f t="shared" si="148"/>
        <v/>
      </c>
      <c r="MG8" s="40" t="str">
        <f t="shared" si="149"/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 t="shared" si="150"/>
        <v/>
      </c>
      <c r="NC8" s="11" t="str">
        <f t="shared" si="151"/>
        <v/>
      </c>
      <c r="ND8" s="11" t="str">
        <f t="shared" si="152"/>
        <v/>
      </c>
      <c r="NE8" s="11" t="str">
        <f t="shared" si="153"/>
        <v/>
      </c>
      <c r="NF8" s="11" t="str">
        <f t="shared" si="154"/>
        <v/>
      </c>
      <c r="NG8" s="11" t="str">
        <f t="shared" si="155"/>
        <v/>
      </c>
      <c r="NH8" s="11" t="str">
        <f t="shared" si="156"/>
        <v/>
      </c>
      <c r="NI8" s="11" t="str">
        <f t="shared" si="157"/>
        <v/>
      </c>
      <c r="NJ8" s="11" t="str">
        <f t="shared" si="158"/>
        <v/>
      </c>
      <c r="NK8" s="11" t="str">
        <f t="shared" si="159"/>
        <v/>
      </c>
      <c r="NL8" s="11" t="str">
        <f t="shared" si="160"/>
        <v/>
      </c>
      <c r="NM8" s="11" t="str">
        <f t="shared" si="161"/>
        <v/>
      </c>
      <c r="NN8" s="11" t="str">
        <f t="shared" si="162"/>
        <v/>
      </c>
      <c r="NO8" s="11" t="str">
        <f t="shared" si="163"/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 t="shared" si="164"/>
        <v/>
      </c>
      <c r="OK8" s="40" t="str">
        <f t="shared" si="165"/>
        <v/>
      </c>
      <c r="OL8" s="40" t="str">
        <f t="shared" si="166"/>
        <v/>
      </c>
      <c r="OM8" s="40" t="str">
        <f t="shared" si="167"/>
        <v/>
      </c>
      <c r="ON8" s="40" t="str">
        <f t="shared" si="168"/>
        <v/>
      </c>
      <c r="OO8" s="40" t="str">
        <f t="shared" si="169"/>
        <v/>
      </c>
      <c r="OP8" s="40" t="str">
        <f t="shared" si="170"/>
        <v/>
      </c>
      <c r="OQ8" s="40" t="str">
        <f t="shared" si="171"/>
        <v/>
      </c>
      <c r="OR8" s="40" t="str">
        <f t="shared" si="172"/>
        <v/>
      </c>
      <c r="OS8" s="40" t="str">
        <f t="shared" si="173"/>
        <v/>
      </c>
      <c r="OT8" s="40" t="str">
        <f t="shared" si="174"/>
        <v/>
      </c>
      <c r="OU8" s="40" t="str">
        <f t="shared" si="175"/>
        <v/>
      </c>
      <c r="OV8" s="40" t="str">
        <f t="shared" si="176"/>
        <v/>
      </c>
      <c r="OW8" s="40" t="str">
        <f t="shared" si="177"/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 t="shared" si="178"/>
        <v/>
      </c>
      <c r="PS8" s="11" t="str">
        <f t="shared" si="179"/>
        <v/>
      </c>
      <c r="PT8" s="11" t="str">
        <f t="shared" si="180"/>
        <v/>
      </c>
      <c r="PU8" s="11" t="str">
        <f t="shared" si="181"/>
        <v/>
      </c>
      <c r="PV8" s="11" t="str">
        <f t="shared" si="182"/>
        <v/>
      </c>
      <c r="PW8" s="11" t="str">
        <f t="shared" si="183"/>
        <v/>
      </c>
      <c r="PX8" s="11" t="str">
        <f t="shared" si="184"/>
        <v/>
      </c>
      <c r="PY8" s="11" t="str">
        <f t="shared" si="185"/>
        <v/>
      </c>
      <c r="PZ8" s="11" t="str">
        <f t="shared" si="186"/>
        <v/>
      </c>
      <c r="QA8" s="11" t="str">
        <f t="shared" si="187"/>
        <v/>
      </c>
      <c r="QB8" s="11" t="str">
        <f t="shared" si="188"/>
        <v/>
      </c>
      <c r="QC8" s="11" t="str">
        <f t="shared" si="189"/>
        <v/>
      </c>
      <c r="QD8" s="11" t="str">
        <f t="shared" si="190"/>
        <v/>
      </c>
      <c r="QE8" s="11" t="str">
        <f t="shared" si="191"/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 t="shared" si="192"/>
        <v/>
      </c>
      <c r="RA8" s="40" t="str">
        <f t="shared" si="193"/>
        <v/>
      </c>
      <c r="RB8" s="40" t="str">
        <f t="shared" si="194"/>
        <v/>
      </c>
      <c r="RC8" s="40" t="str">
        <f t="shared" si="195"/>
        <v/>
      </c>
      <c r="RD8" s="40" t="str">
        <f t="shared" si="196"/>
        <v/>
      </c>
      <c r="RE8" s="40" t="str">
        <f t="shared" si="197"/>
        <v/>
      </c>
      <c r="RF8" s="40" t="str">
        <f t="shared" si="198"/>
        <v/>
      </c>
      <c r="RG8" s="40" t="str">
        <f t="shared" si="199"/>
        <v/>
      </c>
      <c r="RH8" s="40" t="str">
        <f t="shared" si="200"/>
        <v/>
      </c>
      <c r="RI8" s="40" t="str">
        <f t="shared" si="201"/>
        <v/>
      </c>
      <c r="RJ8" s="40" t="str">
        <f t="shared" si="202"/>
        <v/>
      </c>
      <c r="RK8" s="40" t="str">
        <f t="shared" si="203"/>
        <v/>
      </c>
      <c r="RL8" s="40" t="str">
        <f t="shared" si="204"/>
        <v/>
      </c>
      <c r="RM8" s="40" t="str">
        <f t="shared" si="205"/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 t="shared" si="206"/>
        <v/>
      </c>
      <c r="SI8" s="11" t="str">
        <f t="shared" si="207"/>
        <v/>
      </c>
      <c r="SJ8" s="11" t="str">
        <f t="shared" si="208"/>
        <v/>
      </c>
      <c r="SK8" s="11" t="str">
        <f t="shared" si="209"/>
        <v/>
      </c>
      <c r="SL8" s="11" t="str">
        <f t="shared" si="210"/>
        <v/>
      </c>
      <c r="SM8" s="11" t="str">
        <f t="shared" si="211"/>
        <v/>
      </c>
      <c r="SN8" s="11" t="str">
        <f t="shared" si="212"/>
        <v/>
      </c>
      <c r="SO8" s="11" t="str">
        <f t="shared" si="213"/>
        <v/>
      </c>
      <c r="SP8" s="11" t="str">
        <f t="shared" si="214"/>
        <v/>
      </c>
      <c r="SQ8" s="11" t="str">
        <f t="shared" si="215"/>
        <v/>
      </c>
      <c r="SR8" s="11" t="str">
        <f t="shared" si="216"/>
        <v/>
      </c>
      <c r="SS8" s="11" t="str">
        <f t="shared" si="217"/>
        <v/>
      </c>
      <c r="ST8" s="11" t="str">
        <f t="shared" si="218"/>
        <v/>
      </c>
      <c r="SU8" s="11" t="str">
        <f t="shared" si="219"/>
        <v/>
      </c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17"/>
      <c r="TI8" s="17"/>
      <c r="TJ8" s="17"/>
      <c r="TK8" s="17"/>
      <c r="TL8" s="17"/>
      <c r="TM8" s="17"/>
      <c r="TN8" s="17"/>
      <c r="TO8" s="17"/>
      <c r="TP8" s="40" t="str">
        <f t="shared" si="220"/>
        <v/>
      </c>
      <c r="TQ8" s="40" t="str">
        <f t="shared" si="221"/>
        <v/>
      </c>
      <c r="TR8" s="40" t="str">
        <f t="shared" si="222"/>
        <v/>
      </c>
      <c r="TS8" s="40" t="str">
        <f t="shared" si="223"/>
        <v/>
      </c>
      <c r="TT8" s="40" t="str">
        <f t="shared" si="224"/>
        <v/>
      </c>
      <c r="TU8" s="40" t="str">
        <f t="shared" si="225"/>
        <v/>
      </c>
      <c r="TV8" s="40" t="str">
        <f t="shared" si="226"/>
        <v/>
      </c>
      <c r="TW8" s="40" t="str">
        <f t="shared" si="227"/>
        <v/>
      </c>
      <c r="TX8" s="40" t="str">
        <f t="shared" si="228"/>
        <v/>
      </c>
      <c r="TY8" s="40" t="str">
        <f t="shared" si="229"/>
        <v/>
      </c>
      <c r="TZ8" s="40" t="str">
        <f t="shared" si="230"/>
        <v/>
      </c>
      <c r="UA8" s="40" t="str">
        <f t="shared" si="231"/>
        <v/>
      </c>
      <c r="UB8" s="40" t="str">
        <f t="shared" si="232"/>
        <v/>
      </c>
      <c r="UC8" s="40" t="str">
        <f t="shared" si="233"/>
        <v/>
      </c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8"/>
      <c r="UQ8" s="18"/>
      <c r="UR8" s="18"/>
      <c r="US8" s="18"/>
      <c r="UT8" s="18"/>
      <c r="UU8" s="18"/>
      <c r="UV8" s="18"/>
      <c r="UW8" s="18"/>
      <c r="UX8" s="11" t="str">
        <f t="shared" si="234"/>
        <v/>
      </c>
      <c r="UY8" s="11" t="str">
        <f t="shared" si="235"/>
        <v/>
      </c>
      <c r="UZ8" s="11" t="str">
        <f t="shared" si="236"/>
        <v/>
      </c>
      <c r="VA8" s="11" t="str">
        <f t="shared" si="237"/>
        <v/>
      </c>
      <c r="VB8" s="11" t="str">
        <f t="shared" si="238"/>
        <v/>
      </c>
      <c r="VC8" s="11" t="str">
        <f t="shared" si="239"/>
        <v/>
      </c>
      <c r="VD8" s="11" t="str">
        <f t="shared" si="240"/>
        <v/>
      </c>
      <c r="VE8" s="11" t="str">
        <f t="shared" si="241"/>
        <v/>
      </c>
      <c r="VF8" s="11" t="str">
        <f t="shared" si="242"/>
        <v/>
      </c>
      <c r="VG8" s="11" t="str">
        <f t="shared" si="243"/>
        <v/>
      </c>
      <c r="VH8" s="11" t="str">
        <f t="shared" si="244"/>
        <v/>
      </c>
      <c r="VI8" s="11" t="str">
        <f t="shared" si="245"/>
        <v/>
      </c>
      <c r="VJ8" s="11" t="str">
        <f t="shared" si="246"/>
        <v/>
      </c>
      <c r="VK8" s="11" t="str">
        <f t="shared" si="247"/>
        <v/>
      </c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17"/>
      <c r="VY8" s="17"/>
      <c r="VZ8" s="17"/>
      <c r="WA8" s="17"/>
      <c r="WB8" s="17"/>
      <c r="WC8" s="17"/>
      <c r="WD8" s="17"/>
      <c r="WE8" s="17"/>
      <c r="WF8" s="40" t="str">
        <f t="shared" si="248"/>
        <v/>
      </c>
      <c r="WG8" s="40" t="str">
        <f t="shared" si="249"/>
        <v/>
      </c>
      <c r="WH8" s="40" t="str">
        <f t="shared" si="250"/>
        <v/>
      </c>
      <c r="WI8" s="40" t="str">
        <f t="shared" si="251"/>
        <v/>
      </c>
      <c r="WJ8" s="40" t="str">
        <f t="shared" si="252"/>
        <v/>
      </c>
      <c r="WK8" s="40" t="str">
        <f t="shared" si="253"/>
        <v/>
      </c>
      <c r="WL8" s="40" t="str">
        <f t="shared" si="254"/>
        <v/>
      </c>
      <c r="WM8" s="40" t="str">
        <f t="shared" si="255"/>
        <v/>
      </c>
      <c r="WN8" s="40" t="str">
        <f t="shared" si="256"/>
        <v/>
      </c>
      <c r="WO8" s="40" t="str">
        <f t="shared" si="257"/>
        <v/>
      </c>
      <c r="WP8" s="40" t="str">
        <f t="shared" si="258"/>
        <v/>
      </c>
      <c r="WQ8" s="40" t="str">
        <f t="shared" si="259"/>
        <v/>
      </c>
      <c r="WR8" s="40" t="str">
        <f t="shared" si="260"/>
        <v/>
      </c>
      <c r="WS8" s="40" t="str">
        <f t="shared" si="261"/>
        <v/>
      </c>
      <c r="WT8" s="26">
        <f t="shared" si="262"/>
        <v>15.25</v>
      </c>
      <c r="WU8" s="26">
        <f t="shared" si="263"/>
        <v>8.75</v>
      </c>
      <c r="WV8" s="26">
        <f t="shared" si="264"/>
        <v>12.35</v>
      </c>
      <c r="WW8" s="26">
        <f t="shared" si="265"/>
        <v>14.844999999999999</v>
      </c>
      <c r="WX8" s="26">
        <f t="shared" si="266"/>
        <v>0</v>
      </c>
      <c r="WY8" s="26">
        <f t="shared" si="267"/>
        <v>14.7</v>
      </c>
      <c r="WZ8" s="26">
        <f t="shared" si="268"/>
        <v>9.0500000000000007</v>
      </c>
      <c r="XA8" s="26">
        <f t="shared" si="269"/>
        <v>12.55</v>
      </c>
      <c r="XB8" s="26">
        <f t="shared" si="270"/>
        <v>14.715</v>
      </c>
      <c r="XC8" s="26">
        <f t="shared" si="271"/>
        <v>0.1</v>
      </c>
      <c r="XD8" s="26">
        <f t="shared" si="272"/>
        <v>13.05</v>
      </c>
      <c r="XE8" s="26">
        <f t="shared" si="273"/>
        <v>7.35</v>
      </c>
      <c r="XF8" s="26">
        <f t="shared" si="274"/>
        <v>10.55</v>
      </c>
      <c r="XG8" s="26">
        <f t="shared" si="275"/>
        <v>12.57</v>
      </c>
      <c r="XH8" s="26">
        <f t="shared" si="276"/>
        <v>0</v>
      </c>
      <c r="XI8" s="28" t="s">
        <v>53</v>
      </c>
      <c r="XJ8" s="11">
        <f t="shared" si="277"/>
        <v>12.35</v>
      </c>
      <c r="XK8" s="11">
        <f t="shared" si="278"/>
        <v>14.844999999999999</v>
      </c>
      <c r="XL8" s="11">
        <f t="shared" si="279"/>
        <v>51.195</v>
      </c>
      <c r="XM8" s="11">
        <f t="shared" si="280"/>
        <v>12.55</v>
      </c>
      <c r="XN8" s="11">
        <f t="shared" si="281"/>
        <v>14.715</v>
      </c>
      <c r="XO8" s="11">
        <f t="shared" si="282"/>
        <v>50.914999999999999</v>
      </c>
      <c r="XP8" s="11">
        <f t="shared" si="283"/>
        <v>51.195</v>
      </c>
      <c r="XQ8" s="11">
        <f t="shared" si="284"/>
        <v>10.55</v>
      </c>
      <c r="XR8" s="11">
        <f t="shared" si="285"/>
        <v>12.57</v>
      </c>
      <c r="XS8" s="11">
        <f t="shared" si="286"/>
        <v>43.519999999999996</v>
      </c>
      <c r="XT8" s="11">
        <f t="shared" si="287"/>
        <v>94.715000000000003</v>
      </c>
    </row>
    <row r="9" spans="1:644" x14ac:dyDescent="0.2">
      <c r="A9" s="4" cm="1">
        <f t="array" ref="A9">IF(AND(H9&lt;&gt;"",H9&lt;&gt;"No DD"),SUMPRODUCT((H$4:H$18&lt;&gt;"")*(H$4:H$18&lt;&gt;"No DD")*(E$4:E$18&gt;E9))+1,IF(H9="No DD",SUMPRODUCT((H$4:H$18="No DD")*(E$4:E$18&gt;E9))+1+SUMPRODUCT((H$4:H$18&lt;&gt;"")*(H$4:H$18&lt;&gt;"No DD")),""))</f>
        <v>6</v>
      </c>
      <c r="B9" s="5" t="s">
        <v>90</v>
      </c>
      <c r="C9" s="4" t="s">
        <v>5</v>
      </c>
      <c r="D9" s="4">
        <v>1999</v>
      </c>
      <c r="E9" s="9">
        <f t="shared" si="0"/>
        <v>232.69002324600513</v>
      </c>
      <c r="F9" s="3" t="str">
        <f t="shared" si="1"/>
        <v>P</v>
      </c>
      <c r="G9" s="3" t="str">
        <f t="shared" si="2"/>
        <v>P</v>
      </c>
      <c r="H9" s="36" t="str">
        <f t="shared" si="3"/>
        <v>Worlds Team</v>
      </c>
      <c r="I9" s="3" t="str">
        <f t="shared" si="4"/>
        <v>P</v>
      </c>
      <c r="J9" s="8">
        <f>IF(COUNT(AQ9,AT9,BR9,BU9,CS9,CV9)&gt;0,LARGE((AQ9,AT9,BR9,BU9,CS9,CV9),1),0)</f>
        <v>51.27</v>
      </c>
      <c r="K9" s="8" t="str">
        <f t="shared" si="5"/>
        <v>2024 3rd Domestic Trial</v>
      </c>
      <c r="L9" s="8">
        <f>IF(COUNT(AQ9,AT9,BR9,BU9,CS9,CV9)&gt;1,LARGE((AQ9,AT9,BR9,BU9,CS9,CV9),2),0)</f>
        <v>50.77</v>
      </c>
      <c r="M9" s="8" t="str">
        <f t="shared" si="6"/>
        <v>2024 Nationals</v>
      </c>
      <c r="N9" s="8">
        <f>IF(COUNT(AQ9,AT9,BR9,BU9,CS9,CV9)&gt;2,LARGE((AQ9,AT9,BR9,BU9,CS9,CV9),3),0)</f>
        <v>50.26</v>
      </c>
      <c r="O9" s="8" t="str">
        <f t="shared" si="7"/>
        <v>2024 3rd Domestic Trial</v>
      </c>
      <c r="P9" s="8">
        <f t="shared" si="8"/>
        <v>52.7</v>
      </c>
      <c r="Q9" s="8" t="str">
        <f t="shared" si="9"/>
        <v>2024 3rd Domestic Trial</v>
      </c>
      <c r="R9" s="8">
        <f t="shared" si="10"/>
        <v>13.1</v>
      </c>
      <c r="S9" s="8" t="str">
        <f t="shared" si="11"/>
        <v>2024 3rd Domestic Trial</v>
      </c>
      <c r="T9" s="8">
        <f t="shared" si="12"/>
        <v>14.36</v>
      </c>
      <c r="U9" s="8" t="str">
        <f t="shared" si="13"/>
        <v>2024 3rd Domestic Trial</v>
      </c>
      <c r="V9" s="8">
        <f t="shared" si="14"/>
        <v>0.23000000000000398</v>
      </c>
      <c r="W9" s="11" t="str">
        <f t="shared" si="15"/>
        <v>(Prelim)</v>
      </c>
      <c r="X9" s="8" t="str">
        <f t="shared" si="16"/>
        <v>2024 Pan Am Championships [Semifinal=Team Final] (May 19)</v>
      </c>
      <c r="Y9" s="22">
        <v>10.75</v>
      </c>
      <c r="Z9" s="22">
        <v>6.9</v>
      </c>
      <c r="AA9" s="22">
        <v>9.6999999999999993</v>
      </c>
      <c r="AB9" s="22">
        <v>10.515000000000001</v>
      </c>
      <c r="AC9" s="22">
        <v>0</v>
      </c>
      <c r="AD9" s="22">
        <v>8.2000000000000011</v>
      </c>
      <c r="AE9" s="22">
        <v>5.0999999999999996</v>
      </c>
      <c r="AF9" s="22">
        <v>7.2</v>
      </c>
      <c r="AG9" s="22">
        <v>7.7299999999999995</v>
      </c>
      <c r="AH9" s="22">
        <v>0</v>
      </c>
      <c r="AI9" s="22">
        <v>7.3</v>
      </c>
      <c r="AJ9" s="22">
        <v>4.75</v>
      </c>
      <c r="AK9" s="22">
        <v>6.55</v>
      </c>
      <c r="AL9" s="22">
        <v>7.1150000000000002</v>
      </c>
      <c r="AM9" s="22">
        <v>0</v>
      </c>
      <c r="AN9" s="27" t="s">
        <v>53</v>
      </c>
      <c r="AO9" s="38">
        <f t="shared" si="17"/>
        <v>9.6999999999999993</v>
      </c>
      <c r="AP9" s="38">
        <f t="shared" si="18"/>
        <v>10.515000000000001</v>
      </c>
      <c r="AQ9" s="40">
        <f t="shared" si="19"/>
        <v>37.864999999999995</v>
      </c>
      <c r="AR9" s="40">
        <f t="shared" si="20"/>
        <v>7.2</v>
      </c>
      <c r="AS9" s="40">
        <f t="shared" si="21"/>
        <v>7.7299999999999995</v>
      </c>
      <c r="AT9" s="40">
        <f t="shared" si="22"/>
        <v>28.23</v>
      </c>
      <c r="AU9" s="40">
        <f t="shared" si="23"/>
        <v>37.864999999999995</v>
      </c>
      <c r="AV9" s="40">
        <f t="shared" si="24"/>
        <v>6.55</v>
      </c>
      <c r="AW9" s="40">
        <f t="shared" si="25"/>
        <v>7.1150000000000002</v>
      </c>
      <c r="AX9" s="40">
        <f t="shared" si="26"/>
        <v>25.715000000000003</v>
      </c>
      <c r="AY9" s="40">
        <f t="shared" si="27"/>
        <v>63.58</v>
      </c>
      <c r="AZ9" s="26">
        <v>3.2</v>
      </c>
      <c r="BA9" s="26">
        <v>1.6</v>
      </c>
      <c r="BB9" s="26">
        <v>2.7</v>
      </c>
      <c r="BC9" s="26">
        <v>3</v>
      </c>
      <c r="BD9" s="26">
        <v>0</v>
      </c>
      <c r="BE9" s="26">
        <v>14.9</v>
      </c>
      <c r="BF9" s="26">
        <v>9.3000000000000007</v>
      </c>
      <c r="BG9" s="26">
        <v>13.1</v>
      </c>
      <c r="BH9" s="26">
        <v>13.47</v>
      </c>
      <c r="BI9" s="26">
        <v>0</v>
      </c>
      <c r="BJ9" s="26">
        <v>14.5</v>
      </c>
      <c r="BK9" s="26">
        <v>9.3000000000000007</v>
      </c>
      <c r="BL9" s="26">
        <v>13.1</v>
      </c>
      <c r="BM9" s="26">
        <v>13.95</v>
      </c>
      <c r="BN9" s="26">
        <v>0</v>
      </c>
      <c r="BO9" s="28"/>
      <c r="BP9" s="39">
        <f t="shared" si="28"/>
        <v>2.7</v>
      </c>
      <c r="BQ9" s="39">
        <f t="shared" si="29"/>
        <v>3</v>
      </c>
      <c r="BR9" s="11">
        <f t="shared" si="30"/>
        <v>10.5</v>
      </c>
      <c r="BS9" s="11">
        <f t="shared" si="31"/>
        <v>13.1</v>
      </c>
      <c r="BT9" s="11">
        <f t="shared" si="32"/>
        <v>13.47</v>
      </c>
      <c r="BU9" s="11">
        <f t="shared" si="33"/>
        <v>50.77</v>
      </c>
      <c r="BV9" s="11">
        <f t="shared" si="34"/>
        <v>50.77</v>
      </c>
      <c r="BW9" s="11">
        <f t="shared" si="35"/>
        <v>13.1</v>
      </c>
      <c r="BX9" s="11">
        <f t="shared" si="36"/>
        <v>13.95</v>
      </c>
      <c r="BY9" s="11">
        <f t="shared" si="37"/>
        <v>50.849999999999994</v>
      </c>
      <c r="BZ9" s="11">
        <f t="shared" si="38"/>
        <v>101.62</v>
      </c>
      <c r="CA9" s="22">
        <v>14.8</v>
      </c>
      <c r="CB9" s="22">
        <v>9.1999999999999993</v>
      </c>
      <c r="CC9" s="22">
        <v>13.1</v>
      </c>
      <c r="CD9" s="22">
        <v>14.17</v>
      </c>
      <c r="CE9" s="22">
        <v>0</v>
      </c>
      <c r="CF9" s="22">
        <v>14</v>
      </c>
      <c r="CG9" s="22">
        <v>8.8000000000000007</v>
      </c>
      <c r="CH9" s="22">
        <v>13.1</v>
      </c>
      <c r="CI9" s="22">
        <v>14.36</v>
      </c>
      <c r="CJ9" s="22">
        <v>0</v>
      </c>
      <c r="CK9" s="22">
        <v>15.6</v>
      </c>
      <c r="CL9" s="22">
        <v>9.8000000000000007</v>
      </c>
      <c r="CM9" s="22">
        <v>13.1</v>
      </c>
      <c r="CN9" s="22">
        <v>14.2</v>
      </c>
      <c r="CO9" s="22">
        <v>0</v>
      </c>
      <c r="CP9" s="27"/>
      <c r="CQ9" s="38">
        <f t="shared" si="39"/>
        <v>13.1</v>
      </c>
      <c r="CR9" s="38">
        <f t="shared" si="40"/>
        <v>14.17</v>
      </c>
      <c r="CS9" s="40">
        <f t="shared" si="41"/>
        <v>51.27</v>
      </c>
      <c r="CT9" s="40">
        <f t="shared" si="42"/>
        <v>13.1</v>
      </c>
      <c r="CU9" s="40">
        <f t="shared" si="43"/>
        <v>14.36</v>
      </c>
      <c r="CV9" s="40">
        <f t="shared" si="44"/>
        <v>50.26</v>
      </c>
      <c r="CW9" s="40">
        <f t="shared" si="45"/>
        <v>51.27</v>
      </c>
      <c r="CX9" s="40">
        <f t="shared" si="46"/>
        <v>13.1</v>
      </c>
      <c r="CY9" s="40">
        <f t="shared" si="47"/>
        <v>14.2</v>
      </c>
      <c r="CZ9" s="40">
        <f t="shared" si="48"/>
        <v>52.7</v>
      </c>
      <c r="DA9" s="40">
        <f t="shared" si="49"/>
        <v>103.97</v>
      </c>
      <c r="DB9" s="51">
        <f t="shared" si="50"/>
        <v>0.23000000000000398</v>
      </c>
      <c r="DC9" s="51" t="str">
        <f t="shared" si="51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 t="shared" si="52"/>
        <v/>
      </c>
      <c r="DY9" s="40" t="str">
        <f t="shared" si="53"/>
        <v/>
      </c>
      <c r="DZ9" s="40" t="str">
        <f t="shared" si="54"/>
        <v/>
      </c>
      <c r="EA9" s="40" t="str">
        <f t="shared" si="55"/>
        <v/>
      </c>
      <c r="EB9" s="40" t="str">
        <f t="shared" si="56"/>
        <v/>
      </c>
      <c r="EC9" s="40" t="str">
        <f t="shared" si="57"/>
        <v/>
      </c>
      <c r="ED9" s="40" t="str">
        <f t="shared" si="58"/>
        <v/>
      </c>
      <c r="EE9" s="40" t="str">
        <f t="shared" si="59"/>
        <v/>
      </c>
      <c r="EF9" s="40" t="str">
        <f t="shared" si="60"/>
        <v/>
      </c>
      <c r="EG9" s="40" t="str">
        <f t="shared" si="61"/>
        <v/>
      </c>
      <c r="EH9" s="40" t="str">
        <f t="shared" si="62"/>
        <v/>
      </c>
      <c r="EI9" s="40" t="str">
        <f t="shared" si="63"/>
        <v/>
      </c>
      <c r="EJ9" s="40" t="str">
        <f t="shared" si="64"/>
        <v/>
      </c>
      <c r="EK9" s="40" t="str">
        <f t="shared" si="65"/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 t="shared" si="66"/>
        <v/>
      </c>
      <c r="FG9" s="11" t="str">
        <f t="shared" si="67"/>
        <v/>
      </c>
      <c r="FH9" s="11" t="str">
        <f t="shared" si="68"/>
        <v/>
      </c>
      <c r="FI9" s="11" t="str">
        <f t="shared" si="69"/>
        <v/>
      </c>
      <c r="FJ9" s="11" t="str">
        <f t="shared" si="70"/>
        <v/>
      </c>
      <c r="FK9" s="11" t="str">
        <f t="shared" si="71"/>
        <v/>
      </c>
      <c r="FL9" s="11" t="str">
        <f t="shared" si="72"/>
        <v/>
      </c>
      <c r="FM9" s="11" t="str">
        <f t="shared" si="73"/>
        <v/>
      </c>
      <c r="FN9" s="11" t="str">
        <f t="shared" si="74"/>
        <v/>
      </c>
      <c r="FO9" s="11" t="str">
        <f t="shared" si="75"/>
        <v/>
      </c>
      <c r="FP9" s="11" t="str">
        <f t="shared" si="76"/>
        <v/>
      </c>
      <c r="FQ9" s="11" t="str">
        <f t="shared" si="77"/>
        <v/>
      </c>
      <c r="FR9" s="11" t="str">
        <f t="shared" si="78"/>
        <v/>
      </c>
      <c r="FS9" s="11" t="str">
        <f t="shared" si="79"/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 t="shared" si="80"/>
        <v/>
      </c>
      <c r="GO9" s="40" t="str">
        <f t="shared" si="81"/>
        <v/>
      </c>
      <c r="GP9" s="40" t="str">
        <f t="shared" si="82"/>
        <v/>
      </c>
      <c r="GQ9" s="40" t="str">
        <f t="shared" si="83"/>
        <v/>
      </c>
      <c r="GR9" s="40" t="str">
        <f t="shared" si="84"/>
        <v/>
      </c>
      <c r="GS9" s="40" t="str">
        <f t="shared" si="85"/>
        <v/>
      </c>
      <c r="GT9" s="40" t="str">
        <f t="shared" si="86"/>
        <v/>
      </c>
      <c r="GU9" s="40" t="str">
        <f t="shared" si="87"/>
        <v/>
      </c>
      <c r="GV9" s="40" t="str">
        <f t="shared" si="88"/>
        <v/>
      </c>
      <c r="GW9" s="40" t="str">
        <f t="shared" si="89"/>
        <v/>
      </c>
      <c r="GX9" s="40" t="str">
        <f t="shared" si="90"/>
        <v/>
      </c>
      <c r="GY9" s="40" t="str">
        <f t="shared" si="91"/>
        <v/>
      </c>
      <c r="GZ9" s="40" t="str">
        <f t="shared" si="92"/>
        <v/>
      </c>
      <c r="HA9" s="40" t="str">
        <f t="shared" si="93"/>
        <v/>
      </c>
      <c r="HB9" s="18">
        <v>14.3</v>
      </c>
      <c r="HC9" s="18">
        <v>9.3000000000000007</v>
      </c>
      <c r="HD9" s="18">
        <v>13.1</v>
      </c>
      <c r="HE9" s="18">
        <v>13.79</v>
      </c>
      <c r="HF9" s="18">
        <v>0</v>
      </c>
      <c r="HG9" s="18">
        <v>12.7</v>
      </c>
      <c r="HH9" s="18">
        <v>9.1999999999999993</v>
      </c>
      <c r="HI9" s="18">
        <v>12.4</v>
      </c>
      <c r="HJ9" s="18">
        <v>13.29</v>
      </c>
      <c r="HK9" s="18">
        <v>0</v>
      </c>
      <c r="HL9" s="18">
        <v>14.3</v>
      </c>
      <c r="HM9" s="18">
        <v>9.3000000000000007</v>
      </c>
      <c r="HN9" s="18">
        <v>13.1</v>
      </c>
      <c r="HO9" s="18">
        <v>14.12</v>
      </c>
      <c r="HP9" s="18">
        <v>0</v>
      </c>
      <c r="HQ9" s="18">
        <v>13</v>
      </c>
      <c r="HR9" s="18">
        <v>9</v>
      </c>
      <c r="HS9" s="18">
        <v>13.1</v>
      </c>
      <c r="HT9" s="18">
        <v>13.93</v>
      </c>
      <c r="HU9" s="18">
        <v>0</v>
      </c>
      <c r="HV9" s="11">
        <f t="shared" si="94"/>
        <v>13.1</v>
      </c>
      <c r="HW9" s="11">
        <f t="shared" si="95"/>
        <v>13.79</v>
      </c>
      <c r="HX9" s="11">
        <f t="shared" si="96"/>
        <v>50.49</v>
      </c>
      <c r="HY9" s="11">
        <f t="shared" si="97"/>
        <v>12.4</v>
      </c>
      <c r="HZ9" s="11">
        <f t="shared" si="98"/>
        <v>13.29</v>
      </c>
      <c r="IA9" s="11">
        <f t="shared" si="99"/>
        <v>47.589999999999996</v>
      </c>
      <c r="IB9" s="11">
        <f t="shared" si="100"/>
        <v>50.49</v>
      </c>
      <c r="IC9" s="11">
        <f t="shared" si="101"/>
        <v>13.1</v>
      </c>
      <c r="ID9" s="11">
        <f t="shared" si="102"/>
        <v>14.12</v>
      </c>
      <c r="IE9" s="11">
        <f t="shared" si="103"/>
        <v>50.82</v>
      </c>
      <c r="IF9" s="11">
        <f t="shared" si="104"/>
        <v>13.1</v>
      </c>
      <c r="IG9" s="11">
        <f t="shared" si="105"/>
        <v>13.93</v>
      </c>
      <c r="IH9" s="11">
        <f t="shared" si="106"/>
        <v>49.03</v>
      </c>
      <c r="II9" s="11">
        <f t="shared" si="107"/>
        <v>150.34</v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 t="shared" si="108"/>
        <v/>
      </c>
      <c r="JE9" s="40" t="str">
        <f t="shared" si="109"/>
        <v/>
      </c>
      <c r="JF9" s="40" t="str">
        <f t="shared" si="110"/>
        <v/>
      </c>
      <c r="JG9" s="40" t="str">
        <f t="shared" si="111"/>
        <v/>
      </c>
      <c r="JH9" s="40" t="str">
        <f t="shared" si="112"/>
        <v/>
      </c>
      <c r="JI9" s="40" t="str">
        <f t="shared" si="113"/>
        <v/>
      </c>
      <c r="JJ9" s="40" t="str">
        <f t="shared" si="114"/>
        <v/>
      </c>
      <c r="JK9" s="40" t="str">
        <f t="shared" si="115"/>
        <v/>
      </c>
      <c r="JL9" s="40" t="str">
        <f t="shared" si="116"/>
        <v/>
      </c>
      <c r="JM9" s="40" t="str">
        <f t="shared" si="117"/>
        <v/>
      </c>
      <c r="JN9" s="40" t="str">
        <f t="shared" si="118"/>
        <v/>
      </c>
      <c r="JO9" s="40" t="str">
        <f t="shared" si="119"/>
        <v/>
      </c>
      <c r="JP9" s="40" t="str">
        <f t="shared" si="120"/>
        <v/>
      </c>
      <c r="JQ9" s="40" t="str">
        <f t="shared" si="121"/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 t="shared" si="122"/>
        <v/>
      </c>
      <c r="KM9" s="11" t="str">
        <f t="shared" si="123"/>
        <v/>
      </c>
      <c r="KN9" s="11" t="str">
        <f t="shared" si="124"/>
        <v/>
      </c>
      <c r="KO9" s="11" t="str">
        <f t="shared" si="125"/>
        <v/>
      </c>
      <c r="KP9" s="11" t="str">
        <f t="shared" si="126"/>
        <v/>
      </c>
      <c r="KQ9" s="11" t="str">
        <f t="shared" si="127"/>
        <v/>
      </c>
      <c r="KR9" s="11" t="str">
        <f t="shared" si="128"/>
        <v/>
      </c>
      <c r="KS9" s="11" t="str">
        <f t="shared" si="129"/>
        <v/>
      </c>
      <c r="KT9" s="11" t="str">
        <f t="shared" si="130"/>
        <v/>
      </c>
      <c r="KU9" s="11" t="str">
        <f t="shared" si="131"/>
        <v/>
      </c>
      <c r="KV9" s="11" t="str">
        <f t="shared" si="132"/>
        <v/>
      </c>
      <c r="KW9" s="11" t="str">
        <f t="shared" si="133"/>
        <v/>
      </c>
      <c r="KX9" s="11" t="str">
        <f t="shared" si="134"/>
        <v/>
      </c>
      <c r="KY9" s="11" t="str">
        <f t="shared" si="135"/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 t="shared" si="136"/>
        <v/>
      </c>
      <c r="LU9" s="40" t="str">
        <f t="shared" si="137"/>
        <v/>
      </c>
      <c r="LV9" s="40" t="str">
        <f t="shared" si="138"/>
        <v/>
      </c>
      <c r="LW9" s="40" t="str">
        <f t="shared" si="139"/>
        <v/>
      </c>
      <c r="LX9" s="40" t="str">
        <f t="shared" si="140"/>
        <v/>
      </c>
      <c r="LY9" s="40" t="str">
        <f t="shared" si="141"/>
        <v/>
      </c>
      <c r="LZ9" s="40" t="str">
        <f t="shared" si="142"/>
        <v/>
      </c>
      <c r="MA9" s="40" t="str">
        <f t="shared" si="143"/>
        <v/>
      </c>
      <c r="MB9" s="40" t="str">
        <f t="shared" si="144"/>
        <v/>
      </c>
      <c r="MC9" s="40" t="str">
        <f t="shared" si="145"/>
        <v/>
      </c>
      <c r="MD9" s="40" t="str">
        <f t="shared" si="146"/>
        <v/>
      </c>
      <c r="ME9" s="40" t="str">
        <f t="shared" si="147"/>
        <v/>
      </c>
      <c r="MF9" s="40" t="str">
        <f t="shared" si="148"/>
        <v/>
      </c>
      <c r="MG9" s="40" t="str">
        <f t="shared" si="149"/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 t="shared" si="150"/>
        <v/>
      </c>
      <c r="NC9" s="11" t="str">
        <f t="shared" si="151"/>
        <v/>
      </c>
      <c r="ND9" s="11" t="str">
        <f t="shared" si="152"/>
        <v/>
      </c>
      <c r="NE9" s="11" t="str">
        <f t="shared" si="153"/>
        <v/>
      </c>
      <c r="NF9" s="11" t="str">
        <f t="shared" si="154"/>
        <v/>
      </c>
      <c r="NG9" s="11" t="str">
        <f t="shared" si="155"/>
        <v/>
      </c>
      <c r="NH9" s="11" t="str">
        <f t="shared" si="156"/>
        <v/>
      </c>
      <c r="NI9" s="11" t="str">
        <f t="shared" si="157"/>
        <v/>
      </c>
      <c r="NJ9" s="11" t="str">
        <f t="shared" si="158"/>
        <v/>
      </c>
      <c r="NK9" s="11" t="str">
        <f t="shared" si="159"/>
        <v/>
      </c>
      <c r="NL9" s="11" t="str">
        <f t="shared" si="160"/>
        <v/>
      </c>
      <c r="NM9" s="11" t="str">
        <f t="shared" si="161"/>
        <v/>
      </c>
      <c r="NN9" s="11" t="str">
        <f t="shared" si="162"/>
        <v/>
      </c>
      <c r="NO9" s="11" t="str">
        <f t="shared" si="163"/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 t="shared" si="164"/>
        <v/>
      </c>
      <c r="OK9" s="40" t="str">
        <f t="shared" si="165"/>
        <v/>
      </c>
      <c r="OL9" s="40" t="str">
        <f t="shared" si="166"/>
        <v/>
      </c>
      <c r="OM9" s="40" t="str">
        <f t="shared" si="167"/>
        <v/>
      </c>
      <c r="ON9" s="40" t="str">
        <f t="shared" si="168"/>
        <v/>
      </c>
      <c r="OO9" s="40" t="str">
        <f t="shared" si="169"/>
        <v/>
      </c>
      <c r="OP9" s="40" t="str">
        <f t="shared" si="170"/>
        <v/>
      </c>
      <c r="OQ9" s="40" t="str">
        <f t="shared" si="171"/>
        <v/>
      </c>
      <c r="OR9" s="40" t="str">
        <f t="shared" si="172"/>
        <v/>
      </c>
      <c r="OS9" s="40" t="str">
        <f t="shared" si="173"/>
        <v/>
      </c>
      <c r="OT9" s="40" t="str">
        <f t="shared" si="174"/>
        <v/>
      </c>
      <c r="OU9" s="40" t="str">
        <f t="shared" si="175"/>
        <v/>
      </c>
      <c r="OV9" s="40" t="str">
        <f t="shared" si="176"/>
        <v/>
      </c>
      <c r="OW9" s="40" t="str">
        <f t="shared" si="177"/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 t="shared" si="178"/>
        <v/>
      </c>
      <c r="PS9" s="11" t="str">
        <f t="shared" si="179"/>
        <v/>
      </c>
      <c r="PT9" s="11" t="str">
        <f t="shared" si="180"/>
        <v/>
      </c>
      <c r="PU9" s="11" t="str">
        <f t="shared" si="181"/>
        <v/>
      </c>
      <c r="PV9" s="11" t="str">
        <f t="shared" si="182"/>
        <v/>
      </c>
      <c r="PW9" s="11" t="str">
        <f t="shared" si="183"/>
        <v/>
      </c>
      <c r="PX9" s="11" t="str">
        <f t="shared" si="184"/>
        <v/>
      </c>
      <c r="PY9" s="11" t="str">
        <f t="shared" si="185"/>
        <v/>
      </c>
      <c r="PZ9" s="11" t="str">
        <f t="shared" si="186"/>
        <v/>
      </c>
      <c r="QA9" s="11" t="str">
        <f t="shared" si="187"/>
        <v/>
      </c>
      <c r="QB9" s="11" t="str">
        <f t="shared" si="188"/>
        <v/>
      </c>
      <c r="QC9" s="11" t="str">
        <f t="shared" si="189"/>
        <v/>
      </c>
      <c r="QD9" s="11" t="str">
        <f t="shared" si="190"/>
        <v/>
      </c>
      <c r="QE9" s="11" t="str">
        <f t="shared" si="191"/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 t="shared" si="192"/>
        <v/>
      </c>
      <c r="RA9" s="40" t="str">
        <f t="shared" si="193"/>
        <v/>
      </c>
      <c r="RB9" s="40" t="str">
        <f t="shared" si="194"/>
        <v/>
      </c>
      <c r="RC9" s="40" t="str">
        <f t="shared" si="195"/>
        <v/>
      </c>
      <c r="RD9" s="40" t="str">
        <f t="shared" si="196"/>
        <v/>
      </c>
      <c r="RE9" s="40" t="str">
        <f t="shared" si="197"/>
        <v/>
      </c>
      <c r="RF9" s="40" t="str">
        <f t="shared" si="198"/>
        <v/>
      </c>
      <c r="RG9" s="40" t="str">
        <f t="shared" si="199"/>
        <v/>
      </c>
      <c r="RH9" s="40" t="str">
        <f t="shared" si="200"/>
        <v/>
      </c>
      <c r="RI9" s="40" t="str">
        <f t="shared" si="201"/>
        <v/>
      </c>
      <c r="RJ9" s="40" t="str">
        <f t="shared" si="202"/>
        <v/>
      </c>
      <c r="RK9" s="40" t="str">
        <f t="shared" si="203"/>
        <v/>
      </c>
      <c r="RL9" s="40" t="str">
        <f t="shared" si="204"/>
        <v/>
      </c>
      <c r="RM9" s="40" t="str">
        <f t="shared" si="205"/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 t="shared" si="206"/>
        <v/>
      </c>
      <c r="SI9" s="11" t="str">
        <f t="shared" si="207"/>
        <v/>
      </c>
      <c r="SJ9" s="11" t="str">
        <f t="shared" si="208"/>
        <v/>
      </c>
      <c r="SK9" s="11" t="str">
        <f t="shared" si="209"/>
        <v/>
      </c>
      <c r="SL9" s="11" t="str">
        <f t="shared" si="210"/>
        <v/>
      </c>
      <c r="SM9" s="11" t="str">
        <f t="shared" si="211"/>
        <v/>
      </c>
      <c r="SN9" s="11" t="str">
        <f t="shared" si="212"/>
        <v/>
      </c>
      <c r="SO9" s="11" t="str">
        <f t="shared" si="213"/>
        <v/>
      </c>
      <c r="SP9" s="11" t="str">
        <f t="shared" si="214"/>
        <v/>
      </c>
      <c r="SQ9" s="11" t="str">
        <f t="shared" si="215"/>
        <v/>
      </c>
      <c r="SR9" s="11" t="str">
        <f t="shared" si="216"/>
        <v/>
      </c>
      <c r="SS9" s="11" t="str">
        <f t="shared" si="217"/>
        <v/>
      </c>
      <c r="ST9" s="11" t="str">
        <f t="shared" si="218"/>
        <v/>
      </c>
      <c r="SU9" s="11" t="str">
        <f t="shared" si="219"/>
        <v/>
      </c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17"/>
      <c r="TI9" s="17"/>
      <c r="TJ9" s="17"/>
      <c r="TK9" s="17"/>
      <c r="TL9" s="17"/>
      <c r="TM9" s="17"/>
      <c r="TN9" s="17"/>
      <c r="TO9" s="17"/>
      <c r="TP9" s="40" t="str">
        <f t="shared" si="220"/>
        <v/>
      </c>
      <c r="TQ9" s="40" t="str">
        <f t="shared" si="221"/>
        <v/>
      </c>
      <c r="TR9" s="40" t="str">
        <f t="shared" si="222"/>
        <v/>
      </c>
      <c r="TS9" s="40" t="str">
        <f t="shared" si="223"/>
        <v/>
      </c>
      <c r="TT9" s="40" t="str">
        <f t="shared" si="224"/>
        <v/>
      </c>
      <c r="TU9" s="40" t="str">
        <f t="shared" si="225"/>
        <v/>
      </c>
      <c r="TV9" s="40" t="str">
        <f t="shared" si="226"/>
        <v/>
      </c>
      <c r="TW9" s="40" t="str">
        <f t="shared" si="227"/>
        <v/>
      </c>
      <c r="TX9" s="40" t="str">
        <f t="shared" si="228"/>
        <v/>
      </c>
      <c r="TY9" s="40" t="str">
        <f t="shared" si="229"/>
        <v/>
      </c>
      <c r="TZ9" s="40" t="str">
        <f t="shared" si="230"/>
        <v/>
      </c>
      <c r="UA9" s="40" t="str">
        <f t="shared" si="231"/>
        <v/>
      </c>
      <c r="UB9" s="40" t="str">
        <f t="shared" si="232"/>
        <v/>
      </c>
      <c r="UC9" s="40" t="str">
        <f t="shared" si="233"/>
        <v/>
      </c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8"/>
      <c r="UQ9" s="18"/>
      <c r="UR9" s="18"/>
      <c r="US9" s="18"/>
      <c r="UT9" s="18"/>
      <c r="UU9" s="18"/>
      <c r="UV9" s="18"/>
      <c r="UW9" s="18"/>
      <c r="UX9" s="11" t="str">
        <f t="shared" si="234"/>
        <v/>
      </c>
      <c r="UY9" s="11" t="str">
        <f t="shared" si="235"/>
        <v/>
      </c>
      <c r="UZ9" s="11" t="str">
        <f t="shared" si="236"/>
        <v/>
      </c>
      <c r="VA9" s="11" t="str">
        <f t="shared" si="237"/>
        <v/>
      </c>
      <c r="VB9" s="11" t="str">
        <f t="shared" si="238"/>
        <v/>
      </c>
      <c r="VC9" s="11" t="str">
        <f t="shared" si="239"/>
        <v/>
      </c>
      <c r="VD9" s="11" t="str">
        <f t="shared" si="240"/>
        <v/>
      </c>
      <c r="VE9" s="11" t="str">
        <f t="shared" si="241"/>
        <v/>
      </c>
      <c r="VF9" s="11" t="str">
        <f t="shared" si="242"/>
        <v/>
      </c>
      <c r="VG9" s="11" t="str">
        <f t="shared" si="243"/>
        <v/>
      </c>
      <c r="VH9" s="11" t="str">
        <f t="shared" si="244"/>
        <v/>
      </c>
      <c r="VI9" s="11" t="str">
        <f t="shared" si="245"/>
        <v/>
      </c>
      <c r="VJ9" s="11" t="str">
        <f t="shared" si="246"/>
        <v/>
      </c>
      <c r="VK9" s="11" t="str">
        <f t="shared" si="247"/>
        <v/>
      </c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17"/>
      <c r="VY9" s="17"/>
      <c r="VZ9" s="17"/>
      <c r="WA9" s="17"/>
      <c r="WB9" s="17"/>
      <c r="WC9" s="17"/>
      <c r="WD9" s="17"/>
      <c r="WE9" s="17"/>
      <c r="WF9" s="40" t="str">
        <f t="shared" si="248"/>
        <v/>
      </c>
      <c r="WG9" s="40" t="str">
        <f t="shared" si="249"/>
        <v/>
      </c>
      <c r="WH9" s="40" t="str">
        <f t="shared" si="250"/>
        <v/>
      </c>
      <c r="WI9" s="40" t="str">
        <f t="shared" si="251"/>
        <v/>
      </c>
      <c r="WJ9" s="40" t="str">
        <f t="shared" si="252"/>
        <v/>
      </c>
      <c r="WK9" s="40" t="str">
        <f t="shared" si="253"/>
        <v/>
      </c>
      <c r="WL9" s="40" t="str">
        <f t="shared" si="254"/>
        <v/>
      </c>
      <c r="WM9" s="40" t="str">
        <f t="shared" si="255"/>
        <v/>
      </c>
      <c r="WN9" s="40" t="str">
        <f t="shared" si="256"/>
        <v/>
      </c>
      <c r="WO9" s="40" t="str">
        <f t="shared" si="257"/>
        <v/>
      </c>
      <c r="WP9" s="40" t="str">
        <f t="shared" si="258"/>
        <v/>
      </c>
      <c r="WQ9" s="40" t="str">
        <f t="shared" si="259"/>
        <v/>
      </c>
      <c r="WR9" s="40" t="str">
        <f t="shared" si="260"/>
        <v/>
      </c>
      <c r="WS9" s="40" t="str">
        <f t="shared" si="261"/>
        <v/>
      </c>
      <c r="WT9" s="26">
        <f t="shared" si="262"/>
        <v>9</v>
      </c>
      <c r="WU9" s="26">
        <f t="shared" si="263"/>
        <v>5.3999999999999995</v>
      </c>
      <c r="WV9" s="26">
        <f t="shared" si="264"/>
        <v>7.9</v>
      </c>
      <c r="WW9" s="26">
        <f t="shared" si="265"/>
        <v>8.5850000000000009</v>
      </c>
      <c r="WX9" s="26">
        <f t="shared" si="266"/>
        <v>0</v>
      </c>
      <c r="WY9" s="26">
        <f t="shared" si="267"/>
        <v>14.45</v>
      </c>
      <c r="WZ9" s="26">
        <f t="shared" si="268"/>
        <v>9.0500000000000007</v>
      </c>
      <c r="XA9" s="26">
        <f t="shared" si="269"/>
        <v>13.1</v>
      </c>
      <c r="XB9" s="26">
        <f t="shared" si="270"/>
        <v>13.914999999999999</v>
      </c>
      <c r="XC9" s="26">
        <f t="shared" si="271"/>
        <v>0</v>
      </c>
      <c r="XD9" s="26">
        <f t="shared" si="272"/>
        <v>15.05</v>
      </c>
      <c r="XE9" s="26">
        <f t="shared" si="273"/>
        <v>9.5500000000000007</v>
      </c>
      <c r="XF9" s="26">
        <f t="shared" si="274"/>
        <v>13.1</v>
      </c>
      <c r="XG9" s="26">
        <f t="shared" si="275"/>
        <v>14.074999999999999</v>
      </c>
      <c r="XH9" s="26">
        <f t="shared" si="276"/>
        <v>0</v>
      </c>
      <c r="XI9" s="28" t="s">
        <v>53</v>
      </c>
      <c r="XJ9" s="11">
        <f t="shared" si="277"/>
        <v>7.9</v>
      </c>
      <c r="XK9" s="11">
        <f t="shared" si="278"/>
        <v>8.5850000000000009</v>
      </c>
      <c r="XL9" s="11">
        <f t="shared" si="279"/>
        <v>30.884999999999998</v>
      </c>
      <c r="XM9" s="11">
        <f t="shared" si="280"/>
        <v>13.1</v>
      </c>
      <c r="XN9" s="11">
        <f t="shared" si="281"/>
        <v>13.914999999999999</v>
      </c>
      <c r="XO9" s="11">
        <f t="shared" si="282"/>
        <v>50.515000000000001</v>
      </c>
      <c r="XP9" s="11">
        <f t="shared" si="283"/>
        <v>50.515000000000001</v>
      </c>
      <c r="XQ9" s="11">
        <f t="shared" si="284"/>
        <v>13.1</v>
      </c>
      <c r="XR9" s="11">
        <f t="shared" si="285"/>
        <v>14.074999999999999</v>
      </c>
      <c r="XS9" s="11">
        <f t="shared" si="286"/>
        <v>51.775000000000006</v>
      </c>
      <c r="XT9" s="11">
        <f t="shared" si="287"/>
        <v>102.29</v>
      </c>
    </row>
    <row r="10" spans="1:644" x14ac:dyDescent="0.2">
      <c r="A10" s="4" cm="1">
        <f t="array" ref="A10">IF(AND(H10&lt;&gt;"",H10&lt;&gt;"No DD"),SUMPRODUCT((H$4:H$18&lt;&gt;"")*(H$4:H$18&lt;&gt;"No DD")*(E$4:E$18&gt;E10))+1,IF(H10="No DD",SUMPRODUCT((H$4:H$18="No DD")*(E$4:E$18&gt;E10))+1+SUMPRODUCT((H$4:H$18&lt;&gt;"")*(H$4:H$18&lt;&gt;"No DD")),""))</f>
        <v>7</v>
      </c>
      <c r="B10" s="5" t="s">
        <v>219</v>
      </c>
      <c r="C10" s="4" t="s">
        <v>7</v>
      </c>
      <c r="D10" s="4">
        <v>2007</v>
      </c>
      <c r="E10" s="9">
        <f t="shared" si="0"/>
        <v>232.19002291900514</v>
      </c>
      <c r="F10" s="3" t="str">
        <f t="shared" si="1"/>
        <v>P</v>
      </c>
      <c r="G10" s="3" t="str">
        <f t="shared" si="2"/>
        <v>P</v>
      </c>
      <c r="H10" s="36" t="str">
        <f t="shared" si="3"/>
        <v>Worlds Team</v>
      </c>
      <c r="I10" s="3" t="str">
        <f t="shared" si="4"/>
        <v>P</v>
      </c>
      <c r="J10" s="8">
        <f>IF(COUNT(AQ10,AT10,BR10,BU10,CS10,CV10)&gt;0,LARGE((AQ10,AT10,BR10,BU10,CS10,CV10),1),0)</f>
        <v>51.57</v>
      </c>
      <c r="K10" s="8" t="str">
        <f t="shared" si="5"/>
        <v>2024 Elite Canada</v>
      </c>
      <c r="L10" s="8">
        <f>IF(COUNT(AQ10,AT10,BR10,BU10,CS10,CV10)&gt;1,LARGE((AQ10,AT10,BR10,BU10,CS10,CV10),2),0)</f>
        <v>50.52</v>
      </c>
      <c r="M10" s="8" t="str">
        <f t="shared" si="6"/>
        <v>2024 Elite Canada</v>
      </c>
      <c r="N10" s="8">
        <f>IF(COUNT(AQ10,AT10,BR10,BU10,CS10,CV10)&gt;2,LARGE((AQ10,AT10,BR10,BU10,CS10,CV10),3),0)</f>
        <v>47.239999999999995</v>
      </c>
      <c r="O10" s="8" t="str">
        <f t="shared" si="7"/>
        <v>2024 3rd Domestic Trial</v>
      </c>
      <c r="P10" s="8">
        <f t="shared" si="8"/>
        <v>51.730000000000004</v>
      </c>
      <c r="Q10" s="8" t="str">
        <f t="shared" si="9"/>
        <v>2024 3rd Domestic Trial</v>
      </c>
      <c r="R10" s="8">
        <f t="shared" si="10"/>
        <v>13.5</v>
      </c>
      <c r="S10" s="8" t="str">
        <f t="shared" si="11"/>
        <v>2024 3rd Domestic Trial</v>
      </c>
      <c r="T10" s="8">
        <f t="shared" si="12"/>
        <v>14.63</v>
      </c>
      <c r="U10" s="8" t="str">
        <f t="shared" si="13"/>
        <v>2024 3rd Domestic Trial</v>
      </c>
      <c r="V10" s="8">
        <f t="shared" si="14"/>
        <v>3.0000000000000071</v>
      </c>
      <c r="W10" s="11" t="str">
        <f t="shared" si="15"/>
        <v>(Prelim)</v>
      </c>
      <c r="X10" s="8" t="str">
        <f t="shared" si="16"/>
        <v>2024 World Cup POR (July 7)</v>
      </c>
      <c r="Y10" s="22">
        <v>14.1</v>
      </c>
      <c r="Z10" s="22">
        <v>9.1</v>
      </c>
      <c r="AA10" s="22">
        <v>13.5</v>
      </c>
      <c r="AB10" s="22">
        <v>13.82</v>
      </c>
      <c r="AC10" s="22">
        <v>0</v>
      </c>
      <c r="AD10" s="22">
        <v>14.9</v>
      </c>
      <c r="AE10" s="22">
        <v>9</v>
      </c>
      <c r="AF10" s="22">
        <v>13.5</v>
      </c>
      <c r="AG10" s="22">
        <v>14.17</v>
      </c>
      <c r="AH10" s="22">
        <v>0</v>
      </c>
      <c r="AI10" s="22">
        <v>14.4</v>
      </c>
      <c r="AJ10" s="22">
        <v>8.9</v>
      </c>
      <c r="AK10" s="22">
        <v>12.9</v>
      </c>
      <c r="AL10" s="22">
        <v>13.6</v>
      </c>
      <c r="AM10" s="22">
        <v>0</v>
      </c>
      <c r="AN10" s="27"/>
      <c r="AO10" s="38">
        <f t="shared" si="17"/>
        <v>13.5</v>
      </c>
      <c r="AP10" s="38">
        <f t="shared" si="18"/>
        <v>13.82</v>
      </c>
      <c r="AQ10" s="40">
        <f t="shared" si="19"/>
        <v>50.52</v>
      </c>
      <c r="AR10" s="40">
        <f t="shared" si="20"/>
        <v>13.5</v>
      </c>
      <c r="AS10" s="40">
        <f t="shared" si="21"/>
        <v>14.17</v>
      </c>
      <c r="AT10" s="40">
        <f t="shared" si="22"/>
        <v>51.57</v>
      </c>
      <c r="AU10" s="40">
        <f t="shared" si="23"/>
        <v>51.57</v>
      </c>
      <c r="AV10" s="40">
        <f t="shared" si="24"/>
        <v>12.9</v>
      </c>
      <c r="AW10" s="40">
        <f t="shared" si="25"/>
        <v>13.6</v>
      </c>
      <c r="AX10" s="40">
        <f t="shared" si="26"/>
        <v>49.800000000000004</v>
      </c>
      <c r="AY10" s="40">
        <f t="shared" si="27"/>
        <v>101.37</v>
      </c>
      <c r="AZ10" s="26">
        <v>13.5</v>
      </c>
      <c r="BA10" s="26">
        <v>8.6999999999999993</v>
      </c>
      <c r="BB10" s="26">
        <v>11.5</v>
      </c>
      <c r="BC10" s="26">
        <v>12.91</v>
      </c>
      <c r="BD10" s="26">
        <v>0</v>
      </c>
      <c r="BE10" s="26">
        <v>4.4000000000000004</v>
      </c>
      <c r="BF10" s="26">
        <v>2.7</v>
      </c>
      <c r="BG10" s="26">
        <v>4.5</v>
      </c>
      <c r="BH10" s="26">
        <v>4.59</v>
      </c>
      <c r="BI10" s="26">
        <v>0</v>
      </c>
      <c r="BJ10" s="26"/>
      <c r="BK10" s="26"/>
      <c r="BL10" s="26"/>
      <c r="BM10" s="26"/>
      <c r="BN10" s="26"/>
      <c r="BO10" s="28"/>
      <c r="BP10" s="39">
        <f t="shared" si="28"/>
        <v>11.5</v>
      </c>
      <c r="BQ10" s="39">
        <f t="shared" si="29"/>
        <v>12.91</v>
      </c>
      <c r="BR10" s="11">
        <f t="shared" si="30"/>
        <v>46.61</v>
      </c>
      <c r="BS10" s="11">
        <f t="shared" si="31"/>
        <v>4.5</v>
      </c>
      <c r="BT10" s="11">
        <f t="shared" si="32"/>
        <v>4.59</v>
      </c>
      <c r="BU10" s="11">
        <f t="shared" si="33"/>
        <v>16.190000000000001</v>
      </c>
      <c r="BV10" s="11">
        <f t="shared" si="34"/>
        <v>46.61</v>
      </c>
      <c r="BW10" s="11" t="str">
        <f t="shared" si="35"/>
        <v/>
      </c>
      <c r="BX10" s="11" t="str">
        <f t="shared" si="36"/>
        <v/>
      </c>
      <c r="BY10" s="11" t="str">
        <f t="shared" si="37"/>
        <v/>
      </c>
      <c r="BZ10" s="11">
        <f t="shared" si="38"/>
        <v>46.61</v>
      </c>
      <c r="CA10" s="22">
        <v>4.4000000000000004</v>
      </c>
      <c r="CB10" s="22">
        <v>2.5</v>
      </c>
      <c r="CC10" s="22">
        <v>4.2</v>
      </c>
      <c r="CD10" s="22">
        <v>4.68</v>
      </c>
      <c r="CE10" s="22">
        <v>0</v>
      </c>
      <c r="CF10" s="22">
        <v>13.6</v>
      </c>
      <c r="CG10" s="22">
        <v>8.3000000000000007</v>
      </c>
      <c r="CH10" s="22">
        <v>11.9</v>
      </c>
      <c r="CI10" s="22">
        <v>13.44</v>
      </c>
      <c r="CJ10" s="22">
        <v>0</v>
      </c>
      <c r="CK10" s="22">
        <v>14.5</v>
      </c>
      <c r="CL10" s="22">
        <v>9.1</v>
      </c>
      <c r="CM10" s="22">
        <v>13.5</v>
      </c>
      <c r="CN10" s="22">
        <v>14.63</v>
      </c>
      <c r="CO10" s="22">
        <v>0</v>
      </c>
      <c r="CP10" s="27"/>
      <c r="CQ10" s="38">
        <f t="shared" si="39"/>
        <v>4.2</v>
      </c>
      <c r="CR10" s="38">
        <f t="shared" si="40"/>
        <v>4.68</v>
      </c>
      <c r="CS10" s="40">
        <f t="shared" si="41"/>
        <v>15.780000000000001</v>
      </c>
      <c r="CT10" s="40">
        <f t="shared" si="42"/>
        <v>11.9</v>
      </c>
      <c r="CU10" s="40">
        <f t="shared" si="43"/>
        <v>13.44</v>
      </c>
      <c r="CV10" s="40">
        <f t="shared" si="44"/>
        <v>47.239999999999995</v>
      </c>
      <c r="CW10" s="40">
        <f t="shared" si="45"/>
        <v>47.239999999999995</v>
      </c>
      <c r="CX10" s="40">
        <f t="shared" si="46"/>
        <v>13.5</v>
      </c>
      <c r="CY10" s="40">
        <f t="shared" si="47"/>
        <v>14.63</v>
      </c>
      <c r="CZ10" s="40">
        <f t="shared" si="48"/>
        <v>51.730000000000004</v>
      </c>
      <c r="DA10" s="40">
        <f t="shared" si="49"/>
        <v>98.97</v>
      </c>
      <c r="DB10" s="51">
        <f t="shared" si="50"/>
        <v>3.0000000000000071</v>
      </c>
      <c r="DC10" s="51" t="str">
        <f t="shared" si="51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 t="shared" si="52"/>
        <v/>
      </c>
      <c r="DY10" s="40" t="str">
        <f t="shared" si="53"/>
        <v/>
      </c>
      <c r="DZ10" s="40" t="str">
        <f t="shared" si="54"/>
        <v/>
      </c>
      <c r="EA10" s="40" t="str">
        <f t="shared" si="55"/>
        <v/>
      </c>
      <c r="EB10" s="40" t="str">
        <f t="shared" si="56"/>
        <v/>
      </c>
      <c r="EC10" s="40" t="str">
        <f t="shared" si="57"/>
        <v/>
      </c>
      <c r="ED10" s="40" t="str">
        <f t="shared" si="58"/>
        <v/>
      </c>
      <c r="EE10" s="40" t="str">
        <f t="shared" si="59"/>
        <v/>
      </c>
      <c r="EF10" s="40" t="str">
        <f t="shared" si="60"/>
        <v/>
      </c>
      <c r="EG10" s="40" t="str">
        <f t="shared" si="61"/>
        <v/>
      </c>
      <c r="EH10" s="40" t="str">
        <f t="shared" si="62"/>
        <v/>
      </c>
      <c r="EI10" s="40" t="str">
        <f t="shared" si="63"/>
        <v/>
      </c>
      <c r="EJ10" s="40" t="str">
        <f t="shared" si="64"/>
        <v/>
      </c>
      <c r="EK10" s="40" t="str">
        <f t="shared" si="65"/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 t="shared" si="66"/>
        <v/>
      </c>
      <c r="FG10" s="11" t="str">
        <f t="shared" si="67"/>
        <v/>
      </c>
      <c r="FH10" s="11" t="str">
        <f t="shared" si="68"/>
        <v/>
      </c>
      <c r="FI10" s="11" t="str">
        <f t="shared" si="69"/>
        <v/>
      </c>
      <c r="FJ10" s="11" t="str">
        <f t="shared" si="70"/>
        <v/>
      </c>
      <c r="FK10" s="11" t="str">
        <f t="shared" si="71"/>
        <v/>
      </c>
      <c r="FL10" s="11" t="str">
        <f t="shared" si="72"/>
        <v/>
      </c>
      <c r="FM10" s="11" t="str">
        <f t="shared" si="73"/>
        <v/>
      </c>
      <c r="FN10" s="11" t="str">
        <f t="shared" si="74"/>
        <v/>
      </c>
      <c r="FO10" s="11" t="str">
        <f t="shared" si="75"/>
        <v/>
      </c>
      <c r="FP10" s="11" t="str">
        <f t="shared" si="76"/>
        <v/>
      </c>
      <c r="FQ10" s="11" t="str">
        <f t="shared" si="77"/>
        <v/>
      </c>
      <c r="FR10" s="11" t="str">
        <f t="shared" si="78"/>
        <v/>
      </c>
      <c r="FS10" s="11" t="str">
        <f t="shared" si="79"/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 t="shared" si="80"/>
        <v/>
      </c>
      <c r="GO10" s="40" t="str">
        <f t="shared" si="81"/>
        <v/>
      </c>
      <c r="GP10" s="40" t="str">
        <f t="shared" si="82"/>
        <v/>
      </c>
      <c r="GQ10" s="40" t="str">
        <f t="shared" si="83"/>
        <v/>
      </c>
      <c r="GR10" s="40" t="str">
        <f t="shared" si="84"/>
        <v/>
      </c>
      <c r="GS10" s="40" t="str">
        <f t="shared" si="85"/>
        <v/>
      </c>
      <c r="GT10" s="40" t="str">
        <f t="shared" si="86"/>
        <v/>
      </c>
      <c r="GU10" s="40" t="str">
        <f t="shared" si="87"/>
        <v/>
      </c>
      <c r="GV10" s="40" t="str">
        <f t="shared" si="88"/>
        <v/>
      </c>
      <c r="GW10" s="40" t="str">
        <f t="shared" si="89"/>
        <v/>
      </c>
      <c r="GX10" s="40" t="str">
        <f t="shared" si="90"/>
        <v/>
      </c>
      <c r="GY10" s="40" t="str">
        <f t="shared" si="91"/>
        <v/>
      </c>
      <c r="GZ10" s="40" t="str">
        <f t="shared" si="92"/>
        <v/>
      </c>
      <c r="HA10" s="40" t="str">
        <f t="shared" si="93"/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 t="shared" si="94"/>
        <v/>
      </c>
      <c r="HW10" s="11" t="str">
        <f t="shared" si="95"/>
        <v/>
      </c>
      <c r="HX10" s="11" t="str">
        <f t="shared" si="96"/>
        <v/>
      </c>
      <c r="HY10" s="11" t="str">
        <f t="shared" si="97"/>
        <v/>
      </c>
      <c r="HZ10" s="11" t="str">
        <f t="shared" si="98"/>
        <v/>
      </c>
      <c r="IA10" s="11" t="str">
        <f t="shared" si="99"/>
        <v/>
      </c>
      <c r="IB10" s="11" t="str">
        <f t="shared" si="100"/>
        <v/>
      </c>
      <c r="IC10" s="11" t="str">
        <f t="shared" si="101"/>
        <v/>
      </c>
      <c r="ID10" s="11" t="str">
        <f t="shared" si="102"/>
        <v/>
      </c>
      <c r="IE10" s="11" t="str">
        <f t="shared" si="103"/>
        <v/>
      </c>
      <c r="IF10" s="11" t="str">
        <f t="shared" si="104"/>
        <v/>
      </c>
      <c r="IG10" s="11" t="str">
        <f t="shared" si="105"/>
        <v/>
      </c>
      <c r="IH10" s="11" t="str">
        <f t="shared" si="106"/>
        <v/>
      </c>
      <c r="II10" s="11" t="str">
        <f t="shared" si="107"/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 t="shared" si="108"/>
        <v/>
      </c>
      <c r="JE10" s="40" t="str">
        <f t="shared" si="109"/>
        <v/>
      </c>
      <c r="JF10" s="40" t="str">
        <f t="shared" si="110"/>
        <v/>
      </c>
      <c r="JG10" s="40" t="str">
        <f t="shared" si="111"/>
        <v/>
      </c>
      <c r="JH10" s="40" t="str">
        <f t="shared" si="112"/>
        <v/>
      </c>
      <c r="JI10" s="40" t="str">
        <f t="shared" si="113"/>
        <v/>
      </c>
      <c r="JJ10" s="40" t="str">
        <f t="shared" si="114"/>
        <v/>
      </c>
      <c r="JK10" s="40" t="str">
        <f t="shared" si="115"/>
        <v/>
      </c>
      <c r="JL10" s="40" t="str">
        <f t="shared" si="116"/>
        <v/>
      </c>
      <c r="JM10" s="40" t="str">
        <f t="shared" si="117"/>
        <v/>
      </c>
      <c r="JN10" s="40" t="str">
        <f t="shared" si="118"/>
        <v/>
      </c>
      <c r="JO10" s="40" t="str">
        <f t="shared" si="119"/>
        <v/>
      </c>
      <c r="JP10" s="40" t="str">
        <f t="shared" si="120"/>
        <v/>
      </c>
      <c r="JQ10" s="40" t="str">
        <f t="shared" si="121"/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 t="shared" si="122"/>
        <v/>
      </c>
      <c r="KM10" s="11" t="str">
        <f t="shared" si="123"/>
        <v/>
      </c>
      <c r="KN10" s="11" t="str">
        <f t="shared" si="124"/>
        <v/>
      </c>
      <c r="KO10" s="11" t="str">
        <f t="shared" si="125"/>
        <v/>
      </c>
      <c r="KP10" s="11" t="str">
        <f t="shared" si="126"/>
        <v/>
      </c>
      <c r="KQ10" s="11" t="str">
        <f t="shared" si="127"/>
        <v/>
      </c>
      <c r="KR10" s="11" t="str">
        <f t="shared" si="128"/>
        <v/>
      </c>
      <c r="KS10" s="11" t="str">
        <f t="shared" si="129"/>
        <v/>
      </c>
      <c r="KT10" s="11" t="str">
        <f t="shared" si="130"/>
        <v/>
      </c>
      <c r="KU10" s="11" t="str">
        <f t="shared" si="131"/>
        <v/>
      </c>
      <c r="KV10" s="11" t="str">
        <f t="shared" si="132"/>
        <v/>
      </c>
      <c r="KW10" s="11" t="str">
        <f t="shared" si="133"/>
        <v/>
      </c>
      <c r="KX10" s="11" t="str">
        <f t="shared" si="134"/>
        <v/>
      </c>
      <c r="KY10" s="11" t="str">
        <f t="shared" si="135"/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 t="shared" si="136"/>
        <v/>
      </c>
      <c r="LU10" s="40" t="str">
        <f t="shared" si="137"/>
        <v/>
      </c>
      <c r="LV10" s="40" t="str">
        <f t="shared" si="138"/>
        <v/>
      </c>
      <c r="LW10" s="40" t="str">
        <f t="shared" si="139"/>
        <v/>
      </c>
      <c r="LX10" s="40" t="str">
        <f t="shared" si="140"/>
        <v/>
      </c>
      <c r="LY10" s="40" t="str">
        <f t="shared" si="141"/>
        <v/>
      </c>
      <c r="LZ10" s="40" t="str">
        <f t="shared" si="142"/>
        <v/>
      </c>
      <c r="MA10" s="40" t="str">
        <f t="shared" si="143"/>
        <v/>
      </c>
      <c r="MB10" s="40" t="str">
        <f t="shared" si="144"/>
        <v/>
      </c>
      <c r="MC10" s="40" t="str">
        <f t="shared" si="145"/>
        <v/>
      </c>
      <c r="MD10" s="40" t="str">
        <f t="shared" si="146"/>
        <v/>
      </c>
      <c r="ME10" s="40" t="str">
        <f t="shared" si="147"/>
        <v/>
      </c>
      <c r="MF10" s="40" t="str">
        <f t="shared" si="148"/>
        <v/>
      </c>
      <c r="MG10" s="40" t="str">
        <f t="shared" si="149"/>
        <v/>
      </c>
      <c r="MH10" s="18">
        <v>14.3</v>
      </c>
      <c r="MI10" s="18">
        <v>8.9</v>
      </c>
      <c r="MJ10" s="18">
        <v>12.9</v>
      </c>
      <c r="MK10" s="18">
        <v>14.14</v>
      </c>
      <c r="ML10" s="18">
        <v>0</v>
      </c>
      <c r="MM10" s="18">
        <v>1.4</v>
      </c>
      <c r="MN10" s="18">
        <v>1</v>
      </c>
      <c r="MO10" s="18">
        <v>2</v>
      </c>
      <c r="MP10" s="18">
        <v>1.58</v>
      </c>
      <c r="MQ10" s="18">
        <v>0</v>
      </c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>
        <f t="shared" si="150"/>
        <v>12.9</v>
      </c>
      <c r="NC10" s="11">
        <f t="shared" si="151"/>
        <v>14.14</v>
      </c>
      <c r="ND10" s="11">
        <f t="shared" si="152"/>
        <v>50.24</v>
      </c>
      <c r="NE10" s="11">
        <f t="shared" si="153"/>
        <v>2</v>
      </c>
      <c r="NF10" s="11">
        <f t="shared" si="154"/>
        <v>1.58</v>
      </c>
      <c r="NG10" s="11">
        <f t="shared" si="155"/>
        <v>5.98</v>
      </c>
      <c r="NH10" s="11">
        <f t="shared" si="156"/>
        <v>50.24</v>
      </c>
      <c r="NI10" s="11" t="str">
        <f t="shared" si="157"/>
        <v/>
      </c>
      <c r="NJ10" s="11" t="str">
        <f t="shared" si="158"/>
        <v/>
      </c>
      <c r="NK10" s="11" t="str">
        <f t="shared" si="159"/>
        <v/>
      </c>
      <c r="NL10" s="11" t="str">
        <f t="shared" si="160"/>
        <v/>
      </c>
      <c r="NM10" s="11" t="str">
        <f t="shared" si="161"/>
        <v/>
      </c>
      <c r="NN10" s="11" t="str">
        <f t="shared" si="162"/>
        <v/>
      </c>
      <c r="NO10" s="11">
        <f t="shared" si="163"/>
        <v>50.24</v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 t="shared" si="164"/>
        <v/>
      </c>
      <c r="OK10" s="40" t="str">
        <f t="shared" si="165"/>
        <v/>
      </c>
      <c r="OL10" s="40" t="str">
        <f t="shared" si="166"/>
        <v/>
      </c>
      <c r="OM10" s="40" t="str">
        <f t="shared" si="167"/>
        <v/>
      </c>
      <c r="ON10" s="40" t="str">
        <f t="shared" si="168"/>
        <v/>
      </c>
      <c r="OO10" s="40" t="str">
        <f t="shared" si="169"/>
        <v/>
      </c>
      <c r="OP10" s="40" t="str">
        <f t="shared" si="170"/>
        <v/>
      </c>
      <c r="OQ10" s="40" t="str">
        <f t="shared" si="171"/>
        <v/>
      </c>
      <c r="OR10" s="40" t="str">
        <f t="shared" si="172"/>
        <v/>
      </c>
      <c r="OS10" s="40" t="str">
        <f t="shared" si="173"/>
        <v/>
      </c>
      <c r="OT10" s="40" t="str">
        <f t="shared" si="174"/>
        <v/>
      </c>
      <c r="OU10" s="40" t="str">
        <f t="shared" si="175"/>
        <v/>
      </c>
      <c r="OV10" s="40" t="str">
        <f t="shared" si="176"/>
        <v/>
      </c>
      <c r="OW10" s="40" t="str">
        <f t="shared" si="177"/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 t="shared" si="178"/>
        <v/>
      </c>
      <c r="PS10" s="11" t="str">
        <f t="shared" si="179"/>
        <v/>
      </c>
      <c r="PT10" s="11" t="str">
        <f t="shared" si="180"/>
        <v/>
      </c>
      <c r="PU10" s="11" t="str">
        <f t="shared" si="181"/>
        <v/>
      </c>
      <c r="PV10" s="11" t="str">
        <f t="shared" si="182"/>
        <v/>
      </c>
      <c r="PW10" s="11" t="str">
        <f t="shared" si="183"/>
        <v/>
      </c>
      <c r="PX10" s="11" t="str">
        <f t="shared" si="184"/>
        <v/>
      </c>
      <c r="PY10" s="11" t="str">
        <f t="shared" si="185"/>
        <v/>
      </c>
      <c r="PZ10" s="11" t="str">
        <f t="shared" si="186"/>
        <v/>
      </c>
      <c r="QA10" s="11" t="str">
        <f t="shared" si="187"/>
        <v/>
      </c>
      <c r="QB10" s="11" t="str">
        <f t="shared" si="188"/>
        <v/>
      </c>
      <c r="QC10" s="11" t="str">
        <f t="shared" si="189"/>
        <v/>
      </c>
      <c r="QD10" s="11" t="str">
        <f t="shared" si="190"/>
        <v/>
      </c>
      <c r="QE10" s="11" t="str">
        <f t="shared" si="191"/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 t="shared" si="192"/>
        <v/>
      </c>
      <c r="RA10" s="40" t="str">
        <f t="shared" si="193"/>
        <v/>
      </c>
      <c r="RB10" s="40" t="str">
        <f t="shared" si="194"/>
        <v/>
      </c>
      <c r="RC10" s="40" t="str">
        <f t="shared" si="195"/>
        <v/>
      </c>
      <c r="RD10" s="40" t="str">
        <f t="shared" si="196"/>
        <v/>
      </c>
      <c r="RE10" s="40" t="str">
        <f t="shared" si="197"/>
        <v/>
      </c>
      <c r="RF10" s="40" t="str">
        <f t="shared" si="198"/>
        <v/>
      </c>
      <c r="RG10" s="40" t="str">
        <f t="shared" si="199"/>
        <v/>
      </c>
      <c r="RH10" s="40" t="str">
        <f t="shared" si="200"/>
        <v/>
      </c>
      <c r="RI10" s="40" t="str">
        <f t="shared" si="201"/>
        <v/>
      </c>
      <c r="RJ10" s="40" t="str">
        <f t="shared" si="202"/>
        <v/>
      </c>
      <c r="RK10" s="40" t="str">
        <f t="shared" si="203"/>
        <v/>
      </c>
      <c r="RL10" s="40" t="str">
        <f t="shared" si="204"/>
        <v/>
      </c>
      <c r="RM10" s="40" t="str">
        <f t="shared" si="205"/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 t="shared" si="206"/>
        <v/>
      </c>
      <c r="SI10" s="11" t="str">
        <f t="shared" si="207"/>
        <v/>
      </c>
      <c r="SJ10" s="11" t="str">
        <f t="shared" si="208"/>
        <v/>
      </c>
      <c r="SK10" s="11" t="str">
        <f t="shared" si="209"/>
        <v/>
      </c>
      <c r="SL10" s="11" t="str">
        <f t="shared" si="210"/>
        <v/>
      </c>
      <c r="SM10" s="11" t="str">
        <f t="shared" si="211"/>
        <v/>
      </c>
      <c r="SN10" s="11" t="str">
        <f t="shared" si="212"/>
        <v/>
      </c>
      <c r="SO10" s="11" t="str">
        <f t="shared" si="213"/>
        <v/>
      </c>
      <c r="SP10" s="11" t="str">
        <f t="shared" si="214"/>
        <v/>
      </c>
      <c r="SQ10" s="11" t="str">
        <f t="shared" si="215"/>
        <v/>
      </c>
      <c r="SR10" s="11" t="str">
        <f t="shared" si="216"/>
        <v/>
      </c>
      <c r="SS10" s="11" t="str">
        <f t="shared" si="217"/>
        <v/>
      </c>
      <c r="ST10" s="11" t="str">
        <f t="shared" si="218"/>
        <v/>
      </c>
      <c r="SU10" s="11" t="str">
        <f t="shared" si="219"/>
        <v/>
      </c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17"/>
      <c r="TI10" s="17"/>
      <c r="TJ10" s="17"/>
      <c r="TK10" s="17"/>
      <c r="TL10" s="17"/>
      <c r="TM10" s="17"/>
      <c r="TN10" s="17"/>
      <c r="TO10" s="17"/>
      <c r="TP10" s="40" t="str">
        <f t="shared" si="220"/>
        <v/>
      </c>
      <c r="TQ10" s="40" t="str">
        <f t="shared" si="221"/>
        <v/>
      </c>
      <c r="TR10" s="40" t="str">
        <f t="shared" si="222"/>
        <v/>
      </c>
      <c r="TS10" s="40" t="str">
        <f t="shared" si="223"/>
        <v/>
      </c>
      <c r="TT10" s="40" t="str">
        <f t="shared" si="224"/>
        <v/>
      </c>
      <c r="TU10" s="40" t="str">
        <f t="shared" si="225"/>
        <v/>
      </c>
      <c r="TV10" s="40" t="str">
        <f t="shared" si="226"/>
        <v/>
      </c>
      <c r="TW10" s="40" t="str">
        <f t="shared" si="227"/>
        <v/>
      </c>
      <c r="TX10" s="40" t="str">
        <f t="shared" si="228"/>
        <v/>
      </c>
      <c r="TY10" s="40" t="str">
        <f t="shared" si="229"/>
        <v/>
      </c>
      <c r="TZ10" s="40" t="str">
        <f t="shared" si="230"/>
        <v/>
      </c>
      <c r="UA10" s="40" t="str">
        <f t="shared" si="231"/>
        <v/>
      </c>
      <c r="UB10" s="40" t="str">
        <f t="shared" si="232"/>
        <v/>
      </c>
      <c r="UC10" s="40" t="str">
        <f t="shared" si="233"/>
        <v/>
      </c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8"/>
      <c r="UQ10" s="18"/>
      <c r="UR10" s="18"/>
      <c r="US10" s="18"/>
      <c r="UT10" s="18"/>
      <c r="UU10" s="18"/>
      <c r="UV10" s="18"/>
      <c r="UW10" s="18"/>
      <c r="UX10" s="11" t="str">
        <f t="shared" si="234"/>
        <v/>
      </c>
      <c r="UY10" s="11" t="str">
        <f t="shared" si="235"/>
        <v/>
      </c>
      <c r="UZ10" s="11" t="str">
        <f t="shared" si="236"/>
        <v/>
      </c>
      <c r="VA10" s="11" t="str">
        <f t="shared" si="237"/>
        <v/>
      </c>
      <c r="VB10" s="11" t="str">
        <f t="shared" si="238"/>
        <v/>
      </c>
      <c r="VC10" s="11" t="str">
        <f t="shared" si="239"/>
        <v/>
      </c>
      <c r="VD10" s="11" t="str">
        <f t="shared" si="240"/>
        <v/>
      </c>
      <c r="VE10" s="11" t="str">
        <f t="shared" si="241"/>
        <v/>
      </c>
      <c r="VF10" s="11" t="str">
        <f t="shared" si="242"/>
        <v/>
      </c>
      <c r="VG10" s="11" t="str">
        <f t="shared" si="243"/>
        <v/>
      </c>
      <c r="VH10" s="11" t="str">
        <f t="shared" si="244"/>
        <v/>
      </c>
      <c r="VI10" s="11" t="str">
        <f t="shared" si="245"/>
        <v/>
      </c>
      <c r="VJ10" s="11" t="str">
        <f t="shared" si="246"/>
        <v/>
      </c>
      <c r="VK10" s="11" t="str">
        <f t="shared" si="247"/>
        <v/>
      </c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17"/>
      <c r="VY10" s="17"/>
      <c r="VZ10" s="17"/>
      <c r="WA10" s="17"/>
      <c r="WB10" s="17"/>
      <c r="WC10" s="17"/>
      <c r="WD10" s="17"/>
      <c r="WE10" s="17"/>
      <c r="WF10" s="40" t="str">
        <f t="shared" si="248"/>
        <v/>
      </c>
      <c r="WG10" s="40" t="str">
        <f t="shared" si="249"/>
        <v/>
      </c>
      <c r="WH10" s="40" t="str">
        <f t="shared" si="250"/>
        <v/>
      </c>
      <c r="WI10" s="40" t="str">
        <f t="shared" si="251"/>
        <v/>
      </c>
      <c r="WJ10" s="40" t="str">
        <f t="shared" si="252"/>
        <v/>
      </c>
      <c r="WK10" s="40" t="str">
        <f t="shared" si="253"/>
        <v/>
      </c>
      <c r="WL10" s="40" t="str">
        <f t="shared" si="254"/>
        <v/>
      </c>
      <c r="WM10" s="40" t="str">
        <f t="shared" si="255"/>
        <v/>
      </c>
      <c r="WN10" s="40" t="str">
        <f t="shared" si="256"/>
        <v/>
      </c>
      <c r="WO10" s="40" t="str">
        <f t="shared" si="257"/>
        <v/>
      </c>
      <c r="WP10" s="40" t="str">
        <f t="shared" si="258"/>
        <v/>
      </c>
      <c r="WQ10" s="40" t="str">
        <f t="shared" si="259"/>
        <v/>
      </c>
      <c r="WR10" s="40" t="str">
        <f t="shared" si="260"/>
        <v/>
      </c>
      <c r="WS10" s="40" t="str">
        <f t="shared" si="261"/>
        <v/>
      </c>
      <c r="WT10" s="26">
        <f t="shared" si="262"/>
        <v>8.9499999999999993</v>
      </c>
      <c r="WU10" s="26">
        <f t="shared" si="263"/>
        <v>5.6</v>
      </c>
      <c r="WV10" s="26">
        <f t="shared" si="264"/>
        <v>7.85</v>
      </c>
      <c r="WW10" s="26">
        <f t="shared" si="265"/>
        <v>8.7949999999999999</v>
      </c>
      <c r="WX10" s="26">
        <f t="shared" si="266"/>
        <v>0</v>
      </c>
      <c r="WY10" s="26">
        <f t="shared" si="267"/>
        <v>9</v>
      </c>
      <c r="WZ10" s="26">
        <f t="shared" si="268"/>
        <v>5.5</v>
      </c>
      <c r="XA10" s="26">
        <f t="shared" si="269"/>
        <v>8.1999999999999993</v>
      </c>
      <c r="XB10" s="26">
        <f t="shared" si="270"/>
        <v>9.0150000000000006</v>
      </c>
      <c r="XC10" s="26">
        <f t="shared" si="271"/>
        <v>0</v>
      </c>
      <c r="XD10" s="26">
        <f t="shared" si="272"/>
        <v>7.25</v>
      </c>
      <c r="XE10" s="26">
        <f t="shared" si="273"/>
        <v>4.55</v>
      </c>
      <c r="XF10" s="26">
        <f t="shared" si="274"/>
        <v>6.75</v>
      </c>
      <c r="XG10" s="26">
        <f t="shared" si="275"/>
        <v>7.3150000000000004</v>
      </c>
      <c r="XH10" s="26">
        <f t="shared" si="276"/>
        <v>0</v>
      </c>
      <c r="XI10" s="28" t="s">
        <v>53</v>
      </c>
      <c r="XJ10" s="11">
        <f t="shared" si="277"/>
        <v>7.85</v>
      </c>
      <c r="XK10" s="11">
        <f t="shared" si="278"/>
        <v>8.7949999999999999</v>
      </c>
      <c r="XL10" s="11">
        <f t="shared" si="279"/>
        <v>31.195</v>
      </c>
      <c r="XM10" s="11">
        <f t="shared" si="280"/>
        <v>8.1999999999999993</v>
      </c>
      <c r="XN10" s="11">
        <f t="shared" si="281"/>
        <v>9.0150000000000006</v>
      </c>
      <c r="XO10" s="11">
        <f t="shared" si="282"/>
        <v>31.715</v>
      </c>
      <c r="XP10" s="11">
        <f t="shared" si="283"/>
        <v>31.715</v>
      </c>
      <c r="XQ10" s="11">
        <f t="shared" si="284"/>
        <v>6.75</v>
      </c>
      <c r="XR10" s="11">
        <f t="shared" si="285"/>
        <v>7.3150000000000004</v>
      </c>
      <c r="XS10" s="11">
        <f t="shared" si="286"/>
        <v>25.865000000000002</v>
      </c>
      <c r="XT10" s="11">
        <f t="shared" si="287"/>
        <v>57.58</v>
      </c>
    </row>
    <row r="11" spans="1:644" x14ac:dyDescent="0.2">
      <c r="A11" s="4" cm="1">
        <f t="array" ref="A11">IF(AND(H11&lt;&gt;"",H11&lt;&gt;"No DD"),SUMPRODUCT((H$4:H$18&lt;&gt;"")*(H$4:H$18&lt;&gt;"No DD")*(E$4:E$18&gt;E11))+1,IF(H11="No DD",SUMPRODUCT((H$4:H$18="No DD")*(E$4:E$18&gt;E11))+1+SUMPRODUCT((H$4:H$18&lt;&gt;"")*(H$4:H$18&lt;&gt;"No DD")),""))</f>
        <v>8</v>
      </c>
      <c r="B11" s="5" t="s">
        <v>119</v>
      </c>
      <c r="C11" s="4" t="s">
        <v>3</v>
      </c>
      <c r="D11" s="4">
        <v>2001</v>
      </c>
      <c r="E11" s="9">
        <f t="shared" si="0"/>
        <v>231.94002299100509</v>
      </c>
      <c r="F11" s="3" t="str">
        <f t="shared" si="1"/>
        <v>P</v>
      </c>
      <c r="G11" s="3" t="str">
        <f t="shared" si="2"/>
        <v>P</v>
      </c>
      <c r="H11" s="36" t="str">
        <f t="shared" si="3"/>
        <v>National Team</v>
      </c>
      <c r="I11" s="3" t="str">
        <f t="shared" si="4"/>
        <v/>
      </c>
      <c r="J11" s="8">
        <f>IF(COUNT(AQ11,AT11,BR11,BU11,CS11,CV11)&gt;0,LARGE((AQ11,AT11,BR11,BU11,CS11,CV11),1),0)</f>
        <v>50.74</v>
      </c>
      <c r="K11" s="8" t="str">
        <f t="shared" si="5"/>
        <v>2024 Elite Canada</v>
      </c>
      <c r="L11" s="8">
        <f>IF(COUNT(AQ11,AT11,BR11,BU11,CS11,CV11)&gt;1,LARGE((AQ11,AT11,BR11,BU11,CS11,CV11),2),0)</f>
        <v>50.339999999999996</v>
      </c>
      <c r="M11" s="8" t="str">
        <f t="shared" si="6"/>
        <v>2024 3rd Domestic Trial</v>
      </c>
      <c r="N11" s="8">
        <f>IF(COUNT(AQ11,AT11,BR11,BU11,CS11,CV11)&gt;2,LARGE((AQ11,AT11,BR11,BU11,CS11,CV11),3),0)</f>
        <v>48.870000000000005</v>
      </c>
      <c r="O11" s="8" t="str">
        <f t="shared" si="7"/>
        <v>2024 3rd Domestic Trial</v>
      </c>
      <c r="P11" s="8">
        <f t="shared" si="8"/>
        <v>51.405000000000001</v>
      </c>
      <c r="Q11" s="8" t="str">
        <f t="shared" si="9"/>
        <v>2024 Nationals</v>
      </c>
      <c r="R11" s="8">
        <f t="shared" si="10"/>
        <v>13.8</v>
      </c>
      <c r="S11" s="8" t="str">
        <f t="shared" si="11"/>
        <v>2024 Elite Canada</v>
      </c>
      <c r="T11" s="8">
        <f t="shared" si="12"/>
        <v>14.754999999999999</v>
      </c>
      <c r="U11" s="8" t="str">
        <f t="shared" si="13"/>
        <v>2024 Nationals</v>
      </c>
      <c r="V11" s="8">
        <f t="shared" si="14"/>
        <v>2.029999999999994</v>
      </c>
      <c r="W11" s="11" t="str">
        <f t="shared" si="15"/>
        <v>(Prelim)</v>
      </c>
      <c r="X11" s="8" t="str">
        <f t="shared" si="16"/>
        <v>2024 World Cup SUI (Jun 29)</v>
      </c>
      <c r="Y11" s="22">
        <v>2.9</v>
      </c>
      <c r="Z11" s="22">
        <v>1.8</v>
      </c>
      <c r="AA11" s="22">
        <v>3.2</v>
      </c>
      <c r="AB11" s="22">
        <v>3.19</v>
      </c>
      <c r="AC11" s="22">
        <v>0</v>
      </c>
      <c r="AD11" s="22">
        <v>14.9</v>
      </c>
      <c r="AE11" s="22">
        <v>9.6</v>
      </c>
      <c r="AF11" s="22">
        <v>11.5</v>
      </c>
      <c r="AG11" s="22">
        <v>14.74</v>
      </c>
      <c r="AH11" s="22">
        <v>0</v>
      </c>
      <c r="AI11" s="22">
        <v>14.3</v>
      </c>
      <c r="AJ11" s="22">
        <v>8.9</v>
      </c>
      <c r="AK11" s="22">
        <v>13.8</v>
      </c>
      <c r="AL11" s="22">
        <v>14.29</v>
      </c>
      <c r="AM11" s="22">
        <v>0</v>
      </c>
      <c r="AN11" s="27"/>
      <c r="AO11" s="38">
        <f t="shared" si="17"/>
        <v>3.2</v>
      </c>
      <c r="AP11" s="38">
        <f t="shared" si="18"/>
        <v>3.19</v>
      </c>
      <c r="AQ11" s="40">
        <f t="shared" si="19"/>
        <v>11.09</v>
      </c>
      <c r="AR11" s="40">
        <f t="shared" si="20"/>
        <v>11.5</v>
      </c>
      <c r="AS11" s="40">
        <f t="shared" si="21"/>
        <v>14.74</v>
      </c>
      <c r="AT11" s="40">
        <f t="shared" si="22"/>
        <v>50.74</v>
      </c>
      <c r="AU11" s="40">
        <f t="shared" si="23"/>
        <v>50.74</v>
      </c>
      <c r="AV11" s="40">
        <f t="shared" si="24"/>
        <v>13.8</v>
      </c>
      <c r="AW11" s="40">
        <f t="shared" si="25"/>
        <v>14.29</v>
      </c>
      <c r="AX11" s="40">
        <f t="shared" si="26"/>
        <v>51.29</v>
      </c>
      <c r="AY11" s="40">
        <f t="shared" si="27"/>
        <v>102.03</v>
      </c>
      <c r="AZ11" s="26">
        <v>9.9</v>
      </c>
      <c r="BA11" s="26">
        <v>8.9</v>
      </c>
      <c r="BB11" s="26">
        <v>10</v>
      </c>
      <c r="BC11" s="26">
        <v>14.25</v>
      </c>
      <c r="BD11" s="26">
        <v>1.4</v>
      </c>
      <c r="BE11" s="26">
        <v>13.6</v>
      </c>
      <c r="BF11" s="26">
        <v>9</v>
      </c>
      <c r="BG11" s="26">
        <v>10.8</v>
      </c>
      <c r="BH11" s="26">
        <v>14.05</v>
      </c>
      <c r="BI11" s="26">
        <v>0.4</v>
      </c>
      <c r="BJ11" s="26">
        <v>14.600000000000001</v>
      </c>
      <c r="BK11" s="26">
        <v>8.6000000000000014</v>
      </c>
      <c r="BL11" s="26">
        <v>13.45</v>
      </c>
      <c r="BM11" s="26">
        <v>14.754999999999999</v>
      </c>
      <c r="BN11" s="26">
        <v>0</v>
      </c>
      <c r="BO11" s="28" t="s">
        <v>53</v>
      </c>
      <c r="BP11" s="39">
        <f t="shared" si="28"/>
        <v>10</v>
      </c>
      <c r="BQ11" s="39">
        <f t="shared" si="29"/>
        <v>14.25</v>
      </c>
      <c r="BR11" s="11">
        <f t="shared" si="30"/>
        <v>41.65</v>
      </c>
      <c r="BS11" s="11">
        <f t="shared" si="31"/>
        <v>10.8</v>
      </c>
      <c r="BT11" s="11">
        <f t="shared" si="32"/>
        <v>14.05</v>
      </c>
      <c r="BU11" s="11">
        <f t="shared" si="33"/>
        <v>47.050000000000004</v>
      </c>
      <c r="BV11" s="11">
        <f t="shared" si="34"/>
        <v>47.050000000000004</v>
      </c>
      <c r="BW11" s="11">
        <f t="shared" si="35"/>
        <v>13.45</v>
      </c>
      <c r="BX11" s="11">
        <f t="shared" si="36"/>
        <v>14.754999999999999</v>
      </c>
      <c r="BY11" s="11">
        <f t="shared" si="37"/>
        <v>51.405000000000001</v>
      </c>
      <c r="BZ11" s="11">
        <f t="shared" si="38"/>
        <v>98.455000000000013</v>
      </c>
      <c r="CA11" s="22">
        <v>14.3</v>
      </c>
      <c r="CB11" s="22">
        <v>9.3000000000000007</v>
      </c>
      <c r="CC11" s="22">
        <v>11.7</v>
      </c>
      <c r="CD11" s="22">
        <v>15.04</v>
      </c>
      <c r="CE11" s="22">
        <v>0</v>
      </c>
      <c r="CF11" s="22">
        <v>14.6</v>
      </c>
      <c r="CG11" s="22">
        <v>8.8000000000000007</v>
      </c>
      <c r="CH11" s="22">
        <v>10.8</v>
      </c>
      <c r="CI11" s="22">
        <v>15.07</v>
      </c>
      <c r="CJ11" s="22">
        <v>0.4</v>
      </c>
      <c r="CK11" s="22">
        <v>12.1</v>
      </c>
      <c r="CL11" s="22">
        <v>8.4</v>
      </c>
      <c r="CM11" s="22">
        <v>10.1</v>
      </c>
      <c r="CN11" s="22">
        <v>13.53</v>
      </c>
      <c r="CO11" s="22">
        <v>0</v>
      </c>
      <c r="CP11" s="27"/>
      <c r="CQ11" s="38">
        <f t="shared" si="39"/>
        <v>11.7</v>
      </c>
      <c r="CR11" s="38">
        <f t="shared" si="40"/>
        <v>15.04</v>
      </c>
      <c r="CS11" s="40">
        <f t="shared" si="41"/>
        <v>50.339999999999996</v>
      </c>
      <c r="CT11" s="40">
        <f t="shared" si="42"/>
        <v>10.8</v>
      </c>
      <c r="CU11" s="40">
        <f t="shared" si="43"/>
        <v>15.07</v>
      </c>
      <c r="CV11" s="40">
        <f t="shared" si="44"/>
        <v>48.870000000000005</v>
      </c>
      <c r="CW11" s="40">
        <f t="shared" si="45"/>
        <v>50.339999999999996</v>
      </c>
      <c r="CX11" s="40">
        <f t="shared" si="46"/>
        <v>10.1</v>
      </c>
      <c r="CY11" s="40">
        <f t="shared" si="47"/>
        <v>13.53</v>
      </c>
      <c r="CZ11" s="40">
        <f t="shared" si="48"/>
        <v>44.13</v>
      </c>
      <c r="DA11" s="40">
        <f t="shared" si="49"/>
        <v>94.47</v>
      </c>
      <c r="DB11" s="51">
        <f t="shared" si="50"/>
        <v>2.029999999999994</v>
      </c>
      <c r="DC11" s="51" t="str">
        <f t="shared" si="51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 t="shared" si="52"/>
        <v/>
      </c>
      <c r="DY11" s="40" t="str">
        <f t="shared" si="53"/>
        <v/>
      </c>
      <c r="DZ11" s="40" t="str">
        <f t="shared" si="54"/>
        <v/>
      </c>
      <c r="EA11" s="40" t="str">
        <f t="shared" si="55"/>
        <v/>
      </c>
      <c r="EB11" s="40" t="str">
        <f t="shared" si="56"/>
        <v/>
      </c>
      <c r="EC11" s="40" t="str">
        <f t="shared" si="57"/>
        <v/>
      </c>
      <c r="ED11" s="40" t="str">
        <f t="shared" si="58"/>
        <v/>
      </c>
      <c r="EE11" s="40" t="str">
        <f t="shared" si="59"/>
        <v/>
      </c>
      <c r="EF11" s="40" t="str">
        <f t="shared" si="60"/>
        <v/>
      </c>
      <c r="EG11" s="40" t="str">
        <f t="shared" si="61"/>
        <v/>
      </c>
      <c r="EH11" s="40" t="str">
        <f t="shared" si="62"/>
        <v/>
      </c>
      <c r="EI11" s="40" t="str">
        <f t="shared" si="63"/>
        <v/>
      </c>
      <c r="EJ11" s="40" t="str">
        <f t="shared" si="64"/>
        <v/>
      </c>
      <c r="EK11" s="40" t="str">
        <f t="shared" si="65"/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 t="shared" si="66"/>
        <v/>
      </c>
      <c r="FG11" s="11" t="str">
        <f t="shared" si="67"/>
        <v/>
      </c>
      <c r="FH11" s="11" t="str">
        <f t="shared" si="68"/>
        <v/>
      </c>
      <c r="FI11" s="11" t="str">
        <f t="shared" si="69"/>
        <v/>
      </c>
      <c r="FJ11" s="11" t="str">
        <f t="shared" si="70"/>
        <v/>
      </c>
      <c r="FK11" s="11" t="str">
        <f t="shared" si="71"/>
        <v/>
      </c>
      <c r="FL11" s="11" t="str">
        <f t="shared" si="72"/>
        <v/>
      </c>
      <c r="FM11" s="11" t="str">
        <f t="shared" si="73"/>
        <v/>
      </c>
      <c r="FN11" s="11" t="str">
        <f t="shared" si="74"/>
        <v/>
      </c>
      <c r="FO11" s="11" t="str">
        <f t="shared" si="75"/>
        <v/>
      </c>
      <c r="FP11" s="11" t="str">
        <f t="shared" si="76"/>
        <v/>
      </c>
      <c r="FQ11" s="11" t="str">
        <f t="shared" si="77"/>
        <v/>
      </c>
      <c r="FR11" s="11" t="str">
        <f t="shared" si="78"/>
        <v/>
      </c>
      <c r="FS11" s="11" t="str">
        <f t="shared" si="79"/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 t="shared" si="80"/>
        <v/>
      </c>
      <c r="GO11" s="40" t="str">
        <f t="shared" si="81"/>
        <v/>
      </c>
      <c r="GP11" s="40" t="str">
        <f t="shared" si="82"/>
        <v/>
      </c>
      <c r="GQ11" s="40" t="str">
        <f t="shared" si="83"/>
        <v/>
      </c>
      <c r="GR11" s="40" t="str">
        <f t="shared" si="84"/>
        <v/>
      </c>
      <c r="GS11" s="40" t="str">
        <f t="shared" si="85"/>
        <v/>
      </c>
      <c r="GT11" s="40" t="str">
        <f t="shared" si="86"/>
        <v/>
      </c>
      <c r="GU11" s="40" t="str">
        <f t="shared" si="87"/>
        <v/>
      </c>
      <c r="GV11" s="40" t="str">
        <f t="shared" si="88"/>
        <v/>
      </c>
      <c r="GW11" s="40" t="str">
        <f t="shared" si="89"/>
        <v/>
      </c>
      <c r="GX11" s="40" t="str">
        <f t="shared" si="90"/>
        <v/>
      </c>
      <c r="GY11" s="40" t="str">
        <f t="shared" si="91"/>
        <v/>
      </c>
      <c r="GZ11" s="40" t="str">
        <f t="shared" si="92"/>
        <v/>
      </c>
      <c r="HA11" s="40" t="str">
        <f t="shared" si="93"/>
        <v/>
      </c>
      <c r="HB11" s="18">
        <v>2.6</v>
      </c>
      <c r="HC11" s="18">
        <v>1.7</v>
      </c>
      <c r="HD11" s="18">
        <v>2.9</v>
      </c>
      <c r="HE11" s="18">
        <v>3.08</v>
      </c>
      <c r="HF11" s="18">
        <v>0</v>
      </c>
      <c r="HG11" s="18">
        <v>13.5</v>
      </c>
      <c r="HH11" s="18">
        <v>8.9</v>
      </c>
      <c r="HI11" s="18">
        <v>12.2</v>
      </c>
      <c r="HJ11" s="18">
        <v>14.64</v>
      </c>
      <c r="HK11" s="18">
        <v>0</v>
      </c>
      <c r="HL11" s="18">
        <v>14.8</v>
      </c>
      <c r="HM11" s="18">
        <v>9.1</v>
      </c>
      <c r="HN11" s="18">
        <v>12.4</v>
      </c>
      <c r="HO11" s="18">
        <v>14.95</v>
      </c>
      <c r="HP11" s="18">
        <v>0</v>
      </c>
      <c r="HQ11" s="18"/>
      <c r="HR11" s="18"/>
      <c r="HS11" s="18"/>
      <c r="HT11" s="18"/>
      <c r="HU11" s="18"/>
      <c r="HV11" s="11">
        <f t="shared" si="94"/>
        <v>2.9</v>
      </c>
      <c r="HW11" s="11">
        <f t="shared" si="95"/>
        <v>3.08</v>
      </c>
      <c r="HX11" s="11">
        <f t="shared" si="96"/>
        <v>10.28</v>
      </c>
      <c r="HY11" s="11">
        <f t="shared" si="97"/>
        <v>12.2</v>
      </c>
      <c r="HZ11" s="11">
        <f t="shared" si="98"/>
        <v>14.64</v>
      </c>
      <c r="IA11" s="11">
        <f t="shared" si="99"/>
        <v>49.239999999999995</v>
      </c>
      <c r="IB11" s="11">
        <f t="shared" si="100"/>
        <v>49.239999999999995</v>
      </c>
      <c r="IC11" s="11">
        <f t="shared" si="101"/>
        <v>12.4</v>
      </c>
      <c r="ID11" s="11">
        <f t="shared" si="102"/>
        <v>14.95</v>
      </c>
      <c r="IE11" s="11">
        <f t="shared" si="103"/>
        <v>51.25</v>
      </c>
      <c r="IF11" s="11" t="str">
        <f t="shared" si="104"/>
        <v/>
      </c>
      <c r="IG11" s="11" t="str">
        <f t="shared" si="105"/>
        <v/>
      </c>
      <c r="IH11" s="11" t="str">
        <f t="shared" si="106"/>
        <v/>
      </c>
      <c r="II11" s="11">
        <f t="shared" si="107"/>
        <v>100.49</v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 t="shared" si="108"/>
        <v/>
      </c>
      <c r="JE11" s="40" t="str">
        <f t="shared" si="109"/>
        <v/>
      </c>
      <c r="JF11" s="40" t="str">
        <f t="shared" si="110"/>
        <v/>
      </c>
      <c r="JG11" s="40" t="str">
        <f t="shared" si="111"/>
        <v/>
      </c>
      <c r="JH11" s="40" t="str">
        <f t="shared" si="112"/>
        <v/>
      </c>
      <c r="JI11" s="40" t="str">
        <f t="shared" si="113"/>
        <v/>
      </c>
      <c r="JJ11" s="40" t="str">
        <f t="shared" si="114"/>
        <v/>
      </c>
      <c r="JK11" s="40" t="str">
        <f t="shared" si="115"/>
        <v/>
      </c>
      <c r="JL11" s="40" t="str">
        <f t="shared" si="116"/>
        <v/>
      </c>
      <c r="JM11" s="40" t="str">
        <f t="shared" si="117"/>
        <v/>
      </c>
      <c r="JN11" s="40" t="str">
        <f t="shared" si="118"/>
        <v/>
      </c>
      <c r="JO11" s="40" t="str">
        <f t="shared" si="119"/>
        <v/>
      </c>
      <c r="JP11" s="40" t="str">
        <f t="shared" si="120"/>
        <v/>
      </c>
      <c r="JQ11" s="40" t="str">
        <f t="shared" si="121"/>
        <v/>
      </c>
      <c r="JR11" s="18">
        <v>1.4</v>
      </c>
      <c r="JS11" s="18">
        <v>0.9</v>
      </c>
      <c r="JT11" s="18">
        <v>2</v>
      </c>
      <c r="JU11" s="18">
        <v>1.65</v>
      </c>
      <c r="JV11" s="18">
        <v>0</v>
      </c>
      <c r="JW11" s="18">
        <v>13.2</v>
      </c>
      <c r="JX11" s="18">
        <v>9.3000000000000007</v>
      </c>
      <c r="JY11" s="18">
        <v>13.8</v>
      </c>
      <c r="JZ11" s="18">
        <v>14.6</v>
      </c>
      <c r="KA11" s="18">
        <v>0</v>
      </c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>
        <f t="shared" si="122"/>
        <v>2</v>
      </c>
      <c r="KM11" s="11">
        <f t="shared" si="123"/>
        <v>1.65</v>
      </c>
      <c r="KN11" s="11">
        <f t="shared" si="124"/>
        <v>5.9499999999999993</v>
      </c>
      <c r="KO11" s="11">
        <f t="shared" si="125"/>
        <v>13.8</v>
      </c>
      <c r="KP11" s="11">
        <f t="shared" si="126"/>
        <v>14.6</v>
      </c>
      <c r="KQ11" s="11">
        <f t="shared" si="127"/>
        <v>50.9</v>
      </c>
      <c r="KR11" s="11">
        <f t="shared" si="128"/>
        <v>50.9</v>
      </c>
      <c r="KS11" s="11" t="str">
        <f t="shared" si="129"/>
        <v/>
      </c>
      <c r="KT11" s="11" t="str">
        <f t="shared" si="130"/>
        <v/>
      </c>
      <c r="KU11" s="11" t="str">
        <f t="shared" si="131"/>
        <v/>
      </c>
      <c r="KV11" s="11" t="str">
        <f t="shared" si="132"/>
        <v/>
      </c>
      <c r="KW11" s="11" t="str">
        <f t="shared" si="133"/>
        <v/>
      </c>
      <c r="KX11" s="11" t="str">
        <f t="shared" si="134"/>
        <v/>
      </c>
      <c r="KY11" s="11">
        <f t="shared" si="135"/>
        <v>50.9</v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 t="shared" si="136"/>
        <v/>
      </c>
      <c r="LU11" s="40" t="str">
        <f t="shared" si="137"/>
        <v/>
      </c>
      <c r="LV11" s="40" t="str">
        <f t="shared" si="138"/>
        <v/>
      </c>
      <c r="LW11" s="40" t="str">
        <f t="shared" si="139"/>
        <v/>
      </c>
      <c r="LX11" s="40" t="str">
        <f t="shared" si="140"/>
        <v/>
      </c>
      <c r="LY11" s="40" t="str">
        <f t="shared" si="141"/>
        <v/>
      </c>
      <c r="LZ11" s="40" t="str">
        <f t="shared" si="142"/>
        <v/>
      </c>
      <c r="MA11" s="40" t="str">
        <f t="shared" si="143"/>
        <v/>
      </c>
      <c r="MB11" s="40" t="str">
        <f t="shared" si="144"/>
        <v/>
      </c>
      <c r="MC11" s="40" t="str">
        <f t="shared" si="145"/>
        <v/>
      </c>
      <c r="MD11" s="40" t="str">
        <f t="shared" si="146"/>
        <v/>
      </c>
      <c r="ME11" s="40" t="str">
        <f t="shared" si="147"/>
        <v/>
      </c>
      <c r="MF11" s="40" t="str">
        <f t="shared" si="148"/>
        <v/>
      </c>
      <c r="MG11" s="40" t="str">
        <f t="shared" si="149"/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 t="shared" si="150"/>
        <v/>
      </c>
      <c r="NC11" s="11" t="str">
        <f t="shared" si="151"/>
        <v/>
      </c>
      <c r="ND11" s="11" t="str">
        <f t="shared" si="152"/>
        <v/>
      </c>
      <c r="NE11" s="11" t="str">
        <f t="shared" si="153"/>
        <v/>
      </c>
      <c r="NF11" s="11" t="str">
        <f t="shared" si="154"/>
        <v/>
      </c>
      <c r="NG11" s="11" t="str">
        <f t="shared" si="155"/>
        <v/>
      </c>
      <c r="NH11" s="11" t="str">
        <f t="shared" si="156"/>
        <v/>
      </c>
      <c r="NI11" s="11" t="str">
        <f t="shared" si="157"/>
        <v/>
      </c>
      <c r="NJ11" s="11" t="str">
        <f t="shared" si="158"/>
        <v/>
      </c>
      <c r="NK11" s="11" t="str">
        <f t="shared" si="159"/>
        <v/>
      </c>
      <c r="NL11" s="11" t="str">
        <f t="shared" si="160"/>
        <v/>
      </c>
      <c r="NM11" s="11" t="str">
        <f t="shared" si="161"/>
        <v/>
      </c>
      <c r="NN11" s="11" t="str">
        <f t="shared" si="162"/>
        <v/>
      </c>
      <c r="NO11" s="11" t="str">
        <f t="shared" si="163"/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 t="shared" si="164"/>
        <v/>
      </c>
      <c r="OK11" s="40" t="str">
        <f t="shared" si="165"/>
        <v/>
      </c>
      <c r="OL11" s="40" t="str">
        <f t="shared" si="166"/>
        <v/>
      </c>
      <c r="OM11" s="40" t="str">
        <f t="shared" si="167"/>
        <v/>
      </c>
      <c r="ON11" s="40" t="str">
        <f t="shared" si="168"/>
        <v/>
      </c>
      <c r="OO11" s="40" t="str">
        <f t="shared" si="169"/>
        <v/>
      </c>
      <c r="OP11" s="40" t="str">
        <f t="shared" si="170"/>
        <v/>
      </c>
      <c r="OQ11" s="40" t="str">
        <f t="shared" si="171"/>
        <v/>
      </c>
      <c r="OR11" s="40" t="str">
        <f t="shared" si="172"/>
        <v/>
      </c>
      <c r="OS11" s="40" t="str">
        <f t="shared" si="173"/>
        <v/>
      </c>
      <c r="OT11" s="40" t="str">
        <f t="shared" si="174"/>
        <v/>
      </c>
      <c r="OU11" s="40" t="str">
        <f t="shared" si="175"/>
        <v/>
      </c>
      <c r="OV11" s="40" t="str">
        <f t="shared" si="176"/>
        <v/>
      </c>
      <c r="OW11" s="40" t="str">
        <f t="shared" si="177"/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 t="shared" si="178"/>
        <v/>
      </c>
      <c r="PS11" s="11" t="str">
        <f t="shared" si="179"/>
        <v/>
      </c>
      <c r="PT11" s="11" t="str">
        <f t="shared" si="180"/>
        <v/>
      </c>
      <c r="PU11" s="11" t="str">
        <f t="shared" si="181"/>
        <v/>
      </c>
      <c r="PV11" s="11" t="str">
        <f t="shared" si="182"/>
        <v/>
      </c>
      <c r="PW11" s="11" t="str">
        <f t="shared" si="183"/>
        <v/>
      </c>
      <c r="PX11" s="11" t="str">
        <f t="shared" si="184"/>
        <v/>
      </c>
      <c r="PY11" s="11" t="str">
        <f t="shared" si="185"/>
        <v/>
      </c>
      <c r="PZ11" s="11" t="str">
        <f t="shared" si="186"/>
        <v/>
      </c>
      <c r="QA11" s="11" t="str">
        <f t="shared" si="187"/>
        <v/>
      </c>
      <c r="QB11" s="11" t="str">
        <f t="shared" si="188"/>
        <v/>
      </c>
      <c r="QC11" s="11" t="str">
        <f t="shared" si="189"/>
        <v/>
      </c>
      <c r="QD11" s="11" t="str">
        <f t="shared" si="190"/>
        <v/>
      </c>
      <c r="QE11" s="11" t="str">
        <f t="shared" si="191"/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 t="shared" si="192"/>
        <v/>
      </c>
      <c r="RA11" s="40" t="str">
        <f t="shared" si="193"/>
        <v/>
      </c>
      <c r="RB11" s="40" t="str">
        <f t="shared" si="194"/>
        <v/>
      </c>
      <c r="RC11" s="40" t="str">
        <f t="shared" si="195"/>
        <v/>
      </c>
      <c r="RD11" s="40" t="str">
        <f t="shared" si="196"/>
        <v/>
      </c>
      <c r="RE11" s="40" t="str">
        <f t="shared" si="197"/>
        <v/>
      </c>
      <c r="RF11" s="40" t="str">
        <f t="shared" si="198"/>
        <v/>
      </c>
      <c r="RG11" s="40" t="str">
        <f t="shared" si="199"/>
        <v/>
      </c>
      <c r="RH11" s="40" t="str">
        <f t="shared" si="200"/>
        <v/>
      </c>
      <c r="RI11" s="40" t="str">
        <f t="shared" si="201"/>
        <v/>
      </c>
      <c r="RJ11" s="40" t="str">
        <f t="shared" si="202"/>
        <v/>
      </c>
      <c r="RK11" s="40" t="str">
        <f t="shared" si="203"/>
        <v/>
      </c>
      <c r="RL11" s="40" t="str">
        <f t="shared" si="204"/>
        <v/>
      </c>
      <c r="RM11" s="40" t="str">
        <f t="shared" si="205"/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 t="shared" si="206"/>
        <v/>
      </c>
      <c r="SI11" s="11" t="str">
        <f t="shared" si="207"/>
        <v/>
      </c>
      <c r="SJ11" s="11" t="str">
        <f t="shared" si="208"/>
        <v/>
      </c>
      <c r="SK11" s="11" t="str">
        <f t="shared" si="209"/>
        <v/>
      </c>
      <c r="SL11" s="11" t="str">
        <f t="shared" si="210"/>
        <v/>
      </c>
      <c r="SM11" s="11" t="str">
        <f t="shared" si="211"/>
        <v/>
      </c>
      <c r="SN11" s="11" t="str">
        <f t="shared" si="212"/>
        <v/>
      </c>
      <c r="SO11" s="11" t="str">
        <f t="shared" si="213"/>
        <v/>
      </c>
      <c r="SP11" s="11" t="str">
        <f t="shared" si="214"/>
        <v/>
      </c>
      <c r="SQ11" s="11" t="str">
        <f t="shared" si="215"/>
        <v/>
      </c>
      <c r="SR11" s="11" t="str">
        <f t="shared" si="216"/>
        <v/>
      </c>
      <c r="SS11" s="11" t="str">
        <f t="shared" si="217"/>
        <v/>
      </c>
      <c r="ST11" s="11" t="str">
        <f t="shared" si="218"/>
        <v/>
      </c>
      <c r="SU11" s="11" t="str">
        <f t="shared" si="219"/>
        <v/>
      </c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17"/>
      <c r="TI11" s="17"/>
      <c r="TJ11" s="17"/>
      <c r="TK11" s="17"/>
      <c r="TL11" s="17"/>
      <c r="TM11" s="17"/>
      <c r="TN11" s="17"/>
      <c r="TO11" s="17"/>
      <c r="TP11" s="40" t="str">
        <f t="shared" si="220"/>
        <v/>
      </c>
      <c r="TQ11" s="40" t="str">
        <f t="shared" si="221"/>
        <v/>
      </c>
      <c r="TR11" s="40" t="str">
        <f t="shared" si="222"/>
        <v/>
      </c>
      <c r="TS11" s="40" t="str">
        <f t="shared" si="223"/>
        <v/>
      </c>
      <c r="TT11" s="40" t="str">
        <f t="shared" si="224"/>
        <v/>
      </c>
      <c r="TU11" s="40" t="str">
        <f t="shared" si="225"/>
        <v/>
      </c>
      <c r="TV11" s="40" t="str">
        <f t="shared" si="226"/>
        <v/>
      </c>
      <c r="TW11" s="40" t="str">
        <f t="shared" si="227"/>
        <v/>
      </c>
      <c r="TX11" s="40" t="str">
        <f t="shared" si="228"/>
        <v/>
      </c>
      <c r="TY11" s="40" t="str">
        <f t="shared" si="229"/>
        <v/>
      </c>
      <c r="TZ11" s="40" t="str">
        <f t="shared" si="230"/>
        <v/>
      </c>
      <c r="UA11" s="40" t="str">
        <f t="shared" si="231"/>
        <v/>
      </c>
      <c r="UB11" s="40" t="str">
        <f t="shared" si="232"/>
        <v/>
      </c>
      <c r="UC11" s="40" t="str">
        <f t="shared" si="233"/>
        <v/>
      </c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1" t="str">
        <f t="shared" si="234"/>
        <v/>
      </c>
      <c r="UY11" s="11" t="str">
        <f t="shared" si="235"/>
        <v/>
      </c>
      <c r="UZ11" s="11" t="str">
        <f t="shared" si="236"/>
        <v/>
      </c>
      <c r="VA11" s="11" t="str">
        <f t="shared" si="237"/>
        <v/>
      </c>
      <c r="VB11" s="11" t="str">
        <f t="shared" si="238"/>
        <v/>
      </c>
      <c r="VC11" s="11" t="str">
        <f t="shared" si="239"/>
        <v/>
      </c>
      <c r="VD11" s="11" t="str">
        <f t="shared" si="240"/>
        <v/>
      </c>
      <c r="VE11" s="11" t="str">
        <f t="shared" si="241"/>
        <v/>
      </c>
      <c r="VF11" s="11" t="str">
        <f t="shared" si="242"/>
        <v/>
      </c>
      <c r="VG11" s="11" t="str">
        <f t="shared" si="243"/>
        <v/>
      </c>
      <c r="VH11" s="11" t="str">
        <f t="shared" si="244"/>
        <v/>
      </c>
      <c r="VI11" s="11" t="str">
        <f t="shared" si="245"/>
        <v/>
      </c>
      <c r="VJ11" s="11" t="str">
        <f t="shared" si="246"/>
        <v/>
      </c>
      <c r="VK11" s="11" t="str">
        <f t="shared" si="247"/>
        <v/>
      </c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17"/>
      <c r="VY11" s="17"/>
      <c r="VZ11" s="17"/>
      <c r="WA11" s="17"/>
      <c r="WB11" s="17"/>
      <c r="WC11" s="17"/>
      <c r="WD11" s="17"/>
      <c r="WE11" s="17"/>
      <c r="WF11" s="40" t="str">
        <f t="shared" si="248"/>
        <v/>
      </c>
      <c r="WG11" s="40" t="str">
        <f t="shared" si="249"/>
        <v/>
      </c>
      <c r="WH11" s="40" t="str">
        <f t="shared" si="250"/>
        <v/>
      </c>
      <c r="WI11" s="40" t="str">
        <f t="shared" si="251"/>
        <v/>
      </c>
      <c r="WJ11" s="40" t="str">
        <f t="shared" si="252"/>
        <v/>
      </c>
      <c r="WK11" s="40" t="str">
        <f t="shared" si="253"/>
        <v/>
      </c>
      <c r="WL11" s="40" t="str">
        <f t="shared" si="254"/>
        <v/>
      </c>
      <c r="WM11" s="40" t="str">
        <f t="shared" si="255"/>
        <v/>
      </c>
      <c r="WN11" s="40" t="str">
        <f t="shared" si="256"/>
        <v/>
      </c>
      <c r="WO11" s="40" t="str">
        <f t="shared" si="257"/>
        <v/>
      </c>
      <c r="WP11" s="40" t="str">
        <f t="shared" si="258"/>
        <v/>
      </c>
      <c r="WQ11" s="40" t="str">
        <f t="shared" si="259"/>
        <v/>
      </c>
      <c r="WR11" s="40" t="str">
        <f t="shared" si="260"/>
        <v/>
      </c>
      <c r="WS11" s="40" t="str">
        <f t="shared" si="261"/>
        <v/>
      </c>
      <c r="WT11" s="26">
        <f t="shared" si="262"/>
        <v>12.100000000000001</v>
      </c>
      <c r="WU11" s="26">
        <f t="shared" si="263"/>
        <v>9.1000000000000014</v>
      </c>
      <c r="WV11" s="26">
        <f t="shared" si="264"/>
        <v>10.85</v>
      </c>
      <c r="WW11" s="26">
        <f t="shared" si="265"/>
        <v>14.645</v>
      </c>
      <c r="WX11" s="26">
        <f t="shared" si="266"/>
        <v>0.7</v>
      </c>
      <c r="WY11" s="26">
        <f t="shared" si="267"/>
        <v>14.1</v>
      </c>
      <c r="WZ11" s="26">
        <f t="shared" si="268"/>
        <v>8.9</v>
      </c>
      <c r="XA11" s="26">
        <f t="shared" si="269"/>
        <v>10.8</v>
      </c>
      <c r="XB11" s="26">
        <f t="shared" si="270"/>
        <v>14.56</v>
      </c>
      <c r="XC11" s="26">
        <f t="shared" si="271"/>
        <v>0.4</v>
      </c>
      <c r="XD11" s="26">
        <f t="shared" si="272"/>
        <v>13.350000000000001</v>
      </c>
      <c r="XE11" s="26">
        <f t="shared" si="273"/>
        <v>8.5</v>
      </c>
      <c r="XF11" s="26">
        <f t="shared" si="274"/>
        <v>11.774999999999999</v>
      </c>
      <c r="XG11" s="26">
        <f t="shared" si="275"/>
        <v>14.142499999999998</v>
      </c>
      <c r="XH11" s="26">
        <f t="shared" si="276"/>
        <v>0</v>
      </c>
      <c r="XI11" s="28" t="s">
        <v>53</v>
      </c>
      <c r="XJ11" s="11">
        <f t="shared" si="277"/>
        <v>10.85</v>
      </c>
      <c r="XK11" s="11">
        <f t="shared" si="278"/>
        <v>14.645</v>
      </c>
      <c r="XL11" s="11">
        <f t="shared" si="279"/>
        <v>45.995000000000005</v>
      </c>
      <c r="XM11" s="11">
        <f t="shared" si="280"/>
        <v>10.8</v>
      </c>
      <c r="XN11" s="11">
        <f t="shared" si="281"/>
        <v>14.56</v>
      </c>
      <c r="XO11" s="11">
        <f t="shared" si="282"/>
        <v>47.96</v>
      </c>
      <c r="XP11" s="11">
        <f t="shared" si="283"/>
        <v>47.96</v>
      </c>
      <c r="XQ11" s="11">
        <f t="shared" si="284"/>
        <v>11.774999999999999</v>
      </c>
      <c r="XR11" s="11">
        <f t="shared" si="285"/>
        <v>14.142499999999998</v>
      </c>
      <c r="XS11" s="11">
        <f t="shared" si="286"/>
        <v>47.767499999999998</v>
      </c>
      <c r="XT11" s="11">
        <f t="shared" si="287"/>
        <v>95.727499999999992</v>
      </c>
    </row>
    <row r="12" spans="1:644" x14ac:dyDescent="0.2">
      <c r="A12" s="4" cm="1">
        <f t="array" ref="A12">IF(AND(H12&lt;&gt;"",H12&lt;&gt;"No DD"),SUMPRODUCT((H$4:H$18&lt;&gt;"")*(H$4:H$18&lt;&gt;"No DD")*(E$4:E$18&gt;E12))+1,IF(H12="No DD",SUMPRODUCT((H$4:H$18="No DD")*(E$4:E$18&gt;E12))+1+SUMPRODUCT((H$4:H$18&lt;&gt;"")*(H$4:H$18&lt;&gt;"No DD")),""))</f>
        <v>9</v>
      </c>
      <c r="B12" s="5" t="s">
        <v>78</v>
      </c>
      <c r="C12" s="4" t="s">
        <v>6</v>
      </c>
      <c r="D12" s="4">
        <v>2002</v>
      </c>
      <c r="E12" s="9">
        <f t="shared" si="0"/>
        <v>230.99002309900516</v>
      </c>
      <c r="F12" s="3" t="str">
        <f t="shared" si="1"/>
        <v>P</v>
      </c>
      <c r="G12" s="3" t="str">
        <f t="shared" si="2"/>
        <v>P</v>
      </c>
      <c r="H12" s="36" t="str">
        <f t="shared" si="3"/>
        <v>National Team</v>
      </c>
      <c r="I12" s="3" t="str">
        <f t="shared" si="4"/>
        <v/>
      </c>
      <c r="J12" s="8">
        <f>IF(COUNT(AQ12,AT12,BR12,BU12,CS12,CV12)&gt;0,LARGE((AQ12,AT12,BR12,BU12,CS12,CV12),1),0)</f>
        <v>51.4</v>
      </c>
      <c r="K12" s="8" t="str">
        <f t="shared" si="5"/>
        <v>2024 3rd Domestic Trial</v>
      </c>
      <c r="L12" s="8">
        <f>IF(COUNT(AQ12,AT12,BR12,BU12,CS12,CV12)&gt;1,LARGE((AQ12,AT12,BR12,BU12,CS12,CV12),2),0)</f>
        <v>51.14</v>
      </c>
      <c r="M12" s="8" t="str">
        <f t="shared" si="6"/>
        <v>2024 3rd Domestic Trial</v>
      </c>
      <c r="N12" s="8">
        <f>IF(COUNT(AQ12,AT12,BR12,BU12,CS12,CV12)&gt;2,LARGE((AQ12,AT12,BR12,BU12,CS12,CV12),3),0)</f>
        <v>50.620000000000005</v>
      </c>
      <c r="O12" s="8" t="str">
        <f t="shared" si="7"/>
        <v>2024 Elite Canada</v>
      </c>
      <c r="P12" s="8">
        <f t="shared" si="8"/>
        <v>50.29</v>
      </c>
      <c r="Q12" s="8" t="str">
        <f t="shared" si="9"/>
        <v>2024 Nationals</v>
      </c>
      <c r="R12" s="8">
        <f t="shared" si="10"/>
        <v>12.9</v>
      </c>
      <c r="S12" s="8" t="str">
        <f t="shared" si="11"/>
        <v>2024 3rd Domestic Trial</v>
      </c>
      <c r="T12" s="8">
        <f t="shared" si="12"/>
        <v>14.64</v>
      </c>
      <c r="U12" s="8" t="str">
        <f t="shared" si="13"/>
        <v>2024 3rd Domestic Trial</v>
      </c>
      <c r="V12" s="8" t="str">
        <f t="shared" si="14"/>
        <v/>
      </c>
      <c r="W12" s="11" t="str">
        <f t="shared" si="15"/>
        <v/>
      </c>
      <c r="X12" s="8" t="str">
        <f t="shared" si="16"/>
        <v/>
      </c>
      <c r="Y12" s="22">
        <v>15.5</v>
      </c>
      <c r="Z12" s="22">
        <v>9.1</v>
      </c>
      <c r="AA12" s="22">
        <v>12</v>
      </c>
      <c r="AB12" s="22">
        <v>14.02</v>
      </c>
      <c r="AC12" s="22">
        <v>0</v>
      </c>
      <c r="AD12" s="22">
        <v>14.9</v>
      </c>
      <c r="AE12" s="22">
        <v>9.3000000000000007</v>
      </c>
      <c r="AF12" s="22">
        <v>12.2</v>
      </c>
      <c r="AG12" s="22">
        <v>14.19</v>
      </c>
      <c r="AH12" s="22">
        <v>0</v>
      </c>
      <c r="AI12" s="22">
        <v>4.2</v>
      </c>
      <c r="AJ12" s="22">
        <v>2.5</v>
      </c>
      <c r="AK12" s="22">
        <v>4.5999999999999996</v>
      </c>
      <c r="AL12" s="22">
        <v>4.4400000000000004</v>
      </c>
      <c r="AM12" s="22">
        <v>0</v>
      </c>
      <c r="AN12" s="27"/>
      <c r="AO12" s="38">
        <f t="shared" si="17"/>
        <v>12</v>
      </c>
      <c r="AP12" s="38">
        <f t="shared" si="18"/>
        <v>14.02</v>
      </c>
      <c r="AQ12" s="40">
        <f t="shared" si="19"/>
        <v>50.620000000000005</v>
      </c>
      <c r="AR12" s="40">
        <f t="shared" si="20"/>
        <v>12.2</v>
      </c>
      <c r="AS12" s="40">
        <f t="shared" si="21"/>
        <v>14.19</v>
      </c>
      <c r="AT12" s="40">
        <f t="shared" si="22"/>
        <v>50.59</v>
      </c>
      <c r="AU12" s="40">
        <f t="shared" si="23"/>
        <v>50.620000000000005</v>
      </c>
      <c r="AV12" s="40">
        <f t="shared" si="24"/>
        <v>4.5999999999999996</v>
      </c>
      <c r="AW12" s="40">
        <f t="shared" si="25"/>
        <v>4.4400000000000004</v>
      </c>
      <c r="AX12" s="40">
        <f t="shared" si="26"/>
        <v>15.740000000000002</v>
      </c>
      <c r="AY12" s="40">
        <f t="shared" si="27"/>
        <v>66.360000000000014</v>
      </c>
      <c r="AZ12" s="26">
        <v>6.6</v>
      </c>
      <c r="BA12" s="26">
        <v>3.3</v>
      </c>
      <c r="BB12" s="26">
        <v>4.7</v>
      </c>
      <c r="BC12" s="26">
        <v>5.89</v>
      </c>
      <c r="BD12" s="26">
        <v>0</v>
      </c>
      <c r="BE12" s="26">
        <v>13.1</v>
      </c>
      <c r="BF12" s="26">
        <v>8.8000000000000007</v>
      </c>
      <c r="BG12" s="26">
        <v>11.5</v>
      </c>
      <c r="BH12" s="26">
        <v>13.65</v>
      </c>
      <c r="BI12" s="26">
        <v>0</v>
      </c>
      <c r="BJ12" s="26">
        <v>14.4</v>
      </c>
      <c r="BK12" s="26">
        <v>9.1</v>
      </c>
      <c r="BL12" s="26">
        <v>12.4</v>
      </c>
      <c r="BM12" s="26">
        <v>14.39</v>
      </c>
      <c r="BN12" s="26">
        <v>0</v>
      </c>
      <c r="BO12" s="28"/>
      <c r="BP12" s="39">
        <f t="shared" si="28"/>
        <v>4.7</v>
      </c>
      <c r="BQ12" s="39">
        <f t="shared" si="29"/>
        <v>5.89</v>
      </c>
      <c r="BR12" s="11">
        <f t="shared" si="30"/>
        <v>20.49</v>
      </c>
      <c r="BS12" s="11">
        <f t="shared" si="31"/>
        <v>11.5</v>
      </c>
      <c r="BT12" s="11">
        <f t="shared" si="32"/>
        <v>13.65</v>
      </c>
      <c r="BU12" s="11">
        <f t="shared" si="33"/>
        <v>47.05</v>
      </c>
      <c r="BV12" s="11">
        <f t="shared" si="34"/>
        <v>47.05</v>
      </c>
      <c r="BW12" s="11">
        <f t="shared" si="35"/>
        <v>12.4</v>
      </c>
      <c r="BX12" s="11">
        <f t="shared" si="36"/>
        <v>14.39</v>
      </c>
      <c r="BY12" s="11">
        <f t="shared" si="37"/>
        <v>50.29</v>
      </c>
      <c r="BZ12" s="11">
        <f t="shared" si="38"/>
        <v>97.34</v>
      </c>
      <c r="CA12" s="22">
        <v>14.8</v>
      </c>
      <c r="CB12" s="22">
        <v>9.1999999999999993</v>
      </c>
      <c r="CC12" s="22">
        <v>12.9</v>
      </c>
      <c r="CD12" s="22">
        <v>14.5</v>
      </c>
      <c r="CE12" s="22">
        <v>0</v>
      </c>
      <c r="CF12" s="22">
        <v>14.6</v>
      </c>
      <c r="CG12" s="22">
        <v>9</v>
      </c>
      <c r="CH12" s="22">
        <v>12.9</v>
      </c>
      <c r="CI12" s="22">
        <v>14.64</v>
      </c>
      <c r="CJ12" s="22">
        <v>0</v>
      </c>
      <c r="CK12" s="22">
        <v>11.6</v>
      </c>
      <c r="CL12" s="22">
        <v>6.5</v>
      </c>
      <c r="CM12" s="22">
        <v>10.199999999999999</v>
      </c>
      <c r="CN12" s="22">
        <v>11.69</v>
      </c>
      <c r="CO12" s="22">
        <v>0</v>
      </c>
      <c r="CP12" s="27"/>
      <c r="CQ12" s="38">
        <f t="shared" si="39"/>
        <v>12.9</v>
      </c>
      <c r="CR12" s="38">
        <f t="shared" si="40"/>
        <v>14.5</v>
      </c>
      <c r="CS12" s="40">
        <f t="shared" si="41"/>
        <v>51.4</v>
      </c>
      <c r="CT12" s="40">
        <f t="shared" si="42"/>
        <v>12.9</v>
      </c>
      <c r="CU12" s="40">
        <f t="shared" si="43"/>
        <v>14.64</v>
      </c>
      <c r="CV12" s="40">
        <f t="shared" si="44"/>
        <v>51.14</v>
      </c>
      <c r="CW12" s="40">
        <f t="shared" si="45"/>
        <v>51.4</v>
      </c>
      <c r="CX12" s="40">
        <f t="shared" si="46"/>
        <v>10.199999999999999</v>
      </c>
      <c r="CY12" s="40">
        <f t="shared" si="47"/>
        <v>11.69</v>
      </c>
      <c r="CZ12" s="40">
        <f t="shared" si="48"/>
        <v>39.99</v>
      </c>
      <c r="DA12" s="40">
        <f t="shared" si="49"/>
        <v>91.39</v>
      </c>
      <c r="DB12" s="51" t="str">
        <f t="shared" si="50"/>
        <v/>
      </c>
      <c r="DC12" s="51" t="str">
        <f t="shared" si="51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 t="shared" si="52"/>
        <v/>
      </c>
      <c r="DY12" s="40" t="str">
        <f t="shared" si="53"/>
        <v/>
      </c>
      <c r="DZ12" s="40" t="str">
        <f t="shared" si="54"/>
        <v/>
      </c>
      <c r="EA12" s="40" t="str">
        <f t="shared" si="55"/>
        <v/>
      </c>
      <c r="EB12" s="40" t="str">
        <f t="shared" si="56"/>
        <v/>
      </c>
      <c r="EC12" s="40" t="str">
        <f t="shared" si="57"/>
        <v/>
      </c>
      <c r="ED12" s="40" t="str">
        <f t="shared" si="58"/>
        <v/>
      </c>
      <c r="EE12" s="40" t="str">
        <f t="shared" si="59"/>
        <v/>
      </c>
      <c r="EF12" s="40" t="str">
        <f t="shared" si="60"/>
        <v/>
      </c>
      <c r="EG12" s="40" t="str">
        <f t="shared" si="61"/>
        <v/>
      </c>
      <c r="EH12" s="40" t="str">
        <f t="shared" si="62"/>
        <v/>
      </c>
      <c r="EI12" s="40" t="str">
        <f t="shared" si="63"/>
        <v/>
      </c>
      <c r="EJ12" s="40" t="str">
        <f t="shared" si="64"/>
        <v/>
      </c>
      <c r="EK12" s="40" t="str">
        <f t="shared" si="65"/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 t="shared" si="66"/>
        <v/>
      </c>
      <c r="FG12" s="11" t="str">
        <f t="shared" si="67"/>
        <v/>
      </c>
      <c r="FH12" s="11" t="str">
        <f t="shared" si="68"/>
        <v/>
      </c>
      <c r="FI12" s="11" t="str">
        <f t="shared" si="69"/>
        <v/>
      </c>
      <c r="FJ12" s="11" t="str">
        <f t="shared" si="70"/>
        <v/>
      </c>
      <c r="FK12" s="11" t="str">
        <f t="shared" si="71"/>
        <v/>
      </c>
      <c r="FL12" s="11" t="str">
        <f t="shared" si="72"/>
        <v/>
      </c>
      <c r="FM12" s="11" t="str">
        <f t="shared" si="73"/>
        <v/>
      </c>
      <c r="FN12" s="11" t="str">
        <f t="shared" si="74"/>
        <v/>
      </c>
      <c r="FO12" s="11" t="str">
        <f t="shared" si="75"/>
        <v/>
      </c>
      <c r="FP12" s="11" t="str">
        <f t="shared" si="76"/>
        <v/>
      </c>
      <c r="FQ12" s="11" t="str">
        <f t="shared" si="77"/>
        <v/>
      </c>
      <c r="FR12" s="11" t="str">
        <f t="shared" si="78"/>
        <v/>
      </c>
      <c r="FS12" s="11" t="str">
        <f t="shared" si="79"/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 t="shared" si="80"/>
        <v/>
      </c>
      <c r="GO12" s="40" t="str">
        <f t="shared" si="81"/>
        <v/>
      </c>
      <c r="GP12" s="40" t="str">
        <f t="shared" si="82"/>
        <v/>
      </c>
      <c r="GQ12" s="40" t="str">
        <f t="shared" si="83"/>
        <v/>
      </c>
      <c r="GR12" s="40" t="str">
        <f t="shared" si="84"/>
        <v/>
      </c>
      <c r="GS12" s="40" t="str">
        <f t="shared" si="85"/>
        <v/>
      </c>
      <c r="GT12" s="40" t="str">
        <f t="shared" si="86"/>
        <v/>
      </c>
      <c r="GU12" s="40" t="str">
        <f t="shared" si="87"/>
        <v/>
      </c>
      <c r="GV12" s="40" t="str">
        <f t="shared" si="88"/>
        <v/>
      </c>
      <c r="GW12" s="40" t="str">
        <f t="shared" si="89"/>
        <v/>
      </c>
      <c r="GX12" s="40" t="str">
        <f t="shared" si="90"/>
        <v/>
      </c>
      <c r="GY12" s="40" t="str">
        <f t="shared" si="91"/>
        <v/>
      </c>
      <c r="GZ12" s="40" t="str">
        <f t="shared" si="92"/>
        <v/>
      </c>
      <c r="HA12" s="40" t="str">
        <f t="shared" si="93"/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 t="shared" si="94"/>
        <v/>
      </c>
      <c r="HW12" s="11" t="str">
        <f t="shared" si="95"/>
        <v/>
      </c>
      <c r="HX12" s="11" t="str">
        <f t="shared" si="96"/>
        <v/>
      </c>
      <c r="HY12" s="11" t="str">
        <f t="shared" si="97"/>
        <v/>
      </c>
      <c r="HZ12" s="11" t="str">
        <f t="shared" si="98"/>
        <v/>
      </c>
      <c r="IA12" s="11" t="str">
        <f t="shared" si="99"/>
        <v/>
      </c>
      <c r="IB12" s="11" t="str">
        <f t="shared" si="100"/>
        <v/>
      </c>
      <c r="IC12" s="11" t="str">
        <f t="shared" si="101"/>
        <v/>
      </c>
      <c r="ID12" s="11" t="str">
        <f t="shared" si="102"/>
        <v/>
      </c>
      <c r="IE12" s="11" t="str">
        <f t="shared" si="103"/>
        <v/>
      </c>
      <c r="IF12" s="11" t="str">
        <f t="shared" si="104"/>
        <v/>
      </c>
      <c r="IG12" s="11" t="str">
        <f t="shared" si="105"/>
        <v/>
      </c>
      <c r="IH12" s="11" t="str">
        <f t="shared" si="106"/>
        <v/>
      </c>
      <c r="II12" s="11" t="str">
        <f t="shared" si="107"/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 t="shared" si="108"/>
        <v/>
      </c>
      <c r="JE12" s="40" t="str">
        <f t="shared" si="109"/>
        <v/>
      </c>
      <c r="JF12" s="40" t="str">
        <f t="shared" si="110"/>
        <v/>
      </c>
      <c r="JG12" s="40" t="str">
        <f t="shared" si="111"/>
        <v/>
      </c>
      <c r="JH12" s="40" t="str">
        <f t="shared" si="112"/>
        <v/>
      </c>
      <c r="JI12" s="40" t="str">
        <f t="shared" si="113"/>
        <v/>
      </c>
      <c r="JJ12" s="40" t="str">
        <f t="shared" si="114"/>
        <v/>
      </c>
      <c r="JK12" s="40" t="str">
        <f t="shared" si="115"/>
        <v/>
      </c>
      <c r="JL12" s="40" t="str">
        <f t="shared" si="116"/>
        <v/>
      </c>
      <c r="JM12" s="40" t="str">
        <f t="shared" si="117"/>
        <v/>
      </c>
      <c r="JN12" s="40" t="str">
        <f t="shared" si="118"/>
        <v/>
      </c>
      <c r="JO12" s="40" t="str">
        <f t="shared" si="119"/>
        <v/>
      </c>
      <c r="JP12" s="40" t="str">
        <f t="shared" si="120"/>
        <v/>
      </c>
      <c r="JQ12" s="40" t="str">
        <f t="shared" si="121"/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 t="shared" si="122"/>
        <v/>
      </c>
      <c r="KM12" s="11" t="str">
        <f t="shared" si="123"/>
        <v/>
      </c>
      <c r="KN12" s="11" t="str">
        <f t="shared" si="124"/>
        <v/>
      </c>
      <c r="KO12" s="11" t="str">
        <f t="shared" si="125"/>
        <v/>
      </c>
      <c r="KP12" s="11" t="str">
        <f t="shared" si="126"/>
        <v/>
      </c>
      <c r="KQ12" s="11" t="str">
        <f t="shared" si="127"/>
        <v/>
      </c>
      <c r="KR12" s="11" t="str">
        <f t="shared" si="128"/>
        <v/>
      </c>
      <c r="KS12" s="11" t="str">
        <f t="shared" si="129"/>
        <v/>
      </c>
      <c r="KT12" s="11" t="str">
        <f t="shared" si="130"/>
        <v/>
      </c>
      <c r="KU12" s="11" t="str">
        <f t="shared" si="131"/>
        <v/>
      </c>
      <c r="KV12" s="11" t="str">
        <f t="shared" si="132"/>
        <v/>
      </c>
      <c r="KW12" s="11" t="str">
        <f t="shared" si="133"/>
        <v/>
      </c>
      <c r="KX12" s="11" t="str">
        <f t="shared" si="134"/>
        <v/>
      </c>
      <c r="KY12" s="11" t="str">
        <f t="shared" si="135"/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 t="shared" si="136"/>
        <v/>
      </c>
      <c r="LU12" s="40" t="str">
        <f t="shared" si="137"/>
        <v/>
      </c>
      <c r="LV12" s="40" t="str">
        <f t="shared" si="138"/>
        <v/>
      </c>
      <c r="LW12" s="40" t="str">
        <f t="shared" si="139"/>
        <v/>
      </c>
      <c r="LX12" s="40" t="str">
        <f t="shared" si="140"/>
        <v/>
      </c>
      <c r="LY12" s="40" t="str">
        <f t="shared" si="141"/>
        <v/>
      </c>
      <c r="LZ12" s="40" t="str">
        <f t="shared" si="142"/>
        <v/>
      </c>
      <c r="MA12" s="40" t="str">
        <f t="shared" si="143"/>
        <v/>
      </c>
      <c r="MB12" s="40" t="str">
        <f t="shared" si="144"/>
        <v/>
      </c>
      <c r="MC12" s="40" t="str">
        <f t="shared" si="145"/>
        <v/>
      </c>
      <c r="MD12" s="40" t="str">
        <f t="shared" si="146"/>
        <v/>
      </c>
      <c r="ME12" s="40" t="str">
        <f t="shared" si="147"/>
        <v/>
      </c>
      <c r="MF12" s="40" t="str">
        <f t="shared" si="148"/>
        <v/>
      </c>
      <c r="MG12" s="40" t="str">
        <f t="shared" si="149"/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 t="shared" si="150"/>
        <v/>
      </c>
      <c r="NC12" s="11" t="str">
        <f t="shared" si="151"/>
        <v/>
      </c>
      <c r="ND12" s="11" t="str">
        <f t="shared" si="152"/>
        <v/>
      </c>
      <c r="NE12" s="11" t="str">
        <f t="shared" si="153"/>
        <v/>
      </c>
      <c r="NF12" s="11" t="str">
        <f t="shared" si="154"/>
        <v/>
      </c>
      <c r="NG12" s="11" t="str">
        <f t="shared" si="155"/>
        <v/>
      </c>
      <c r="NH12" s="11" t="str">
        <f t="shared" si="156"/>
        <v/>
      </c>
      <c r="NI12" s="11" t="str">
        <f t="shared" si="157"/>
        <v/>
      </c>
      <c r="NJ12" s="11" t="str">
        <f t="shared" si="158"/>
        <v/>
      </c>
      <c r="NK12" s="11" t="str">
        <f t="shared" si="159"/>
        <v/>
      </c>
      <c r="NL12" s="11" t="str">
        <f t="shared" si="160"/>
        <v/>
      </c>
      <c r="NM12" s="11" t="str">
        <f t="shared" si="161"/>
        <v/>
      </c>
      <c r="NN12" s="11" t="str">
        <f t="shared" si="162"/>
        <v/>
      </c>
      <c r="NO12" s="11" t="str">
        <f t="shared" si="163"/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 t="shared" si="164"/>
        <v/>
      </c>
      <c r="OK12" s="40" t="str">
        <f t="shared" si="165"/>
        <v/>
      </c>
      <c r="OL12" s="40" t="str">
        <f t="shared" si="166"/>
        <v/>
      </c>
      <c r="OM12" s="40" t="str">
        <f t="shared" si="167"/>
        <v/>
      </c>
      <c r="ON12" s="40" t="str">
        <f t="shared" si="168"/>
        <v/>
      </c>
      <c r="OO12" s="40" t="str">
        <f t="shared" si="169"/>
        <v/>
      </c>
      <c r="OP12" s="40" t="str">
        <f t="shared" si="170"/>
        <v/>
      </c>
      <c r="OQ12" s="40" t="str">
        <f t="shared" si="171"/>
        <v/>
      </c>
      <c r="OR12" s="40" t="str">
        <f t="shared" si="172"/>
        <v/>
      </c>
      <c r="OS12" s="40" t="str">
        <f t="shared" si="173"/>
        <v/>
      </c>
      <c r="OT12" s="40" t="str">
        <f t="shared" si="174"/>
        <v/>
      </c>
      <c r="OU12" s="40" t="str">
        <f t="shared" si="175"/>
        <v/>
      </c>
      <c r="OV12" s="40" t="str">
        <f t="shared" si="176"/>
        <v/>
      </c>
      <c r="OW12" s="40" t="str">
        <f t="shared" si="177"/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 t="shared" si="178"/>
        <v/>
      </c>
      <c r="PS12" s="11" t="str">
        <f t="shared" si="179"/>
        <v/>
      </c>
      <c r="PT12" s="11" t="str">
        <f t="shared" si="180"/>
        <v/>
      </c>
      <c r="PU12" s="11" t="str">
        <f t="shared" si="181"/>
        <v/>
      </c>
      <c r="PV12" s="11" t="str">
        <f t="shared" si="182"/>
        <v/>
      </c>
      <c r="PW12" s="11" t="str">
        <f t="shared" si="183"/>
        <v/>
      </c>
      <c r="PX12" s="11" t="str">
        <f t="shared" si="184"/>
        <v/>
      </c>
      <c r="PY12" s="11" t="str">
        <f t="shared" si="185"/>
        <v/>
      </c>
      <c r="PZ12" s="11" t="str">
        <f t="shared" si="186"/>
        <v/>
      </c>
      <c r="QA12" s="11" t="str">
        <f t="shared" si="187"/>
        <v/>
      </c>
      <c r="QB12" s="11" t="str">
        <f t="shared" si="188"/>
        <v/>
      </c>
      <c r="QC12" s="11" t="str">
        <f t="shared" si="189"/>
        <v/>
      </c>
      <c r="QD12" s="11" t="str">
        <f t="shared" si="190"/>
        <v/>
      </c>
      <c r="QE12" s="11" t="str">
        <f t="shared" si="191"/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 t="shared" si="192"/>
        <v/>
      </c>
      <c r="RA12" s="40" t="str">
        <f t="shared" si="193"/>
        <v/>
      </c>
      <c r="RB12" s="40" t="str">
        <f t="shared" si="194"/>
        <v/>
      </c>
      <c r="RC12" s="40" t="str">
        <f t="shared" si="195"/>
        <v/>
      </c>
      <c r="RD12" s="40" t="str">
        <f t="shared" si="196"/>
        <v/>
      </c>
      <c r="RE12" s="40" t="str">
        <f t="shared" si="197"/>
        <v/>
      </c>
      <c r="RF12" s="40" t="str">
        <f t="shared" si="198"/>
        <v/>
      </c>
      <c r="RG12" s="40" t="str">
        <f t="shared" si="199"/>
        <v/>
      </c>
      <c r="RH12" s="40" t="str">
        <f t="shared" si="200"/>
        <v/>
      </c>
      <c r="RI12" s="40" t="str">
        <f t="shared" si="201"/>
        <v/>
      </c>
      <c r="RJ12" s="40" t="str">
        <f t="shared" si="202"/>
        <v/>
      </c>
      <c r="RK12" s="40" t="str">
        <f t="shared" si="203"/>
        <v/>
      </c>
      <c r="RL12" s="40" t="str">
        <f t="shared" si="204"/>
        <v/>
      </c>
      <c r="RM12" s="40" t="str">
        <f t="shared" si="205"/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 t="shared" si="206"/>
        <v/>
      </c>
      <c r="SI12" s="11" t="str">
        <f t="shared" si="207"/>
        <v/>
      </c>
      <c r="SJ12" s="11" t="str">
        <f t="shared" si="208"/>
        <v/>
      </c>
      <c r="SK12" s="11" t="str">
        <f t="shared" si="209"/>
        <v/>
      </c>
      <c r="SL12" s="11" t="str">
        <f t="shared" si="210"/>
        <v/>
      </c>
      <c r="SM12" s="11" t="str">
        <f t="shared" si="211"/>
        <v/>
      </c>
      <c r="SN12" s="11" t="str">
        <f t="shared" si="212"/>
        <v/>
      </c>
      <c r="SO12" s="11" t="str">
        <f t="shared" si="213"/>
        <v/>
      </c>
      <c r="SP12" s="11" t="str">
        <f t="shared" si="214"/>
        <v/>
      </c>
      <c r="SQ12" s="11" t="str">
        <f t="shared" si="215"/>
        <v/>
      </c>
      <c r="SR12" s="11" t="str">
        <f t="shared" si="216"/>
        <v/>
      </c>
      <c r="SS12" s="11" t="str">
        <f t="shared" si="217"/>
        <v/>
      </c>
      <c r="ST12" s="11" t="str">
        <f t="shared" si="218"/>
        <v/>
      </c>
      <c r="SU12" s="11" t="str">
        <f t="shared" si="219"/>
        <v/>
      </c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17"/>
      <c r="TI12" s="17"/>
      <c r="TJ12" s="17"/>
      <c r="TK12" s="17"/>
      <c r="TL12" s="17"/>
      <c r="TM12" s="17"/>
      <c r="TN12" s="17"/>
      <c r="TO12" s="17"/>
      <c r="TP12" s="40" t="str">
        <f t="shared" si="220"/>
        <v/>
      </c>
      <c r="TQ12" s="40" t="str">
        <f t="shared" si="221"/>
        <v/>
      </c>
      <c r="TR12" s="40" t="str">
        <f t="shared" si="222"/>
        <v/>
      </c>
      <c r="TS12" s="40" t="str">
        <f t="shared" si="223"/>
        <v/>
      </c>
      <c r="TT12" s="40" t="str">
        <f t="shared" si="224"/>
        <v/>
      </c>
      <c r="TU12" s="40" t="str">
        <f t="shared" si="225"/>
        <v/>
      </c>
      <c r="TV12" s="40" t="str">
        <f t="shared" si="226"/>
        <v/>
      </c>
      <c r="TW12" s="40" t="str">
        <f t="shared" si="227"/>
        <v/>
      </c>
      <c r="TX12" s="40" t="str">
        <f t="shared" si="228"/>
        <v/>
      </c>
      <c r="TY12" s="40" t="str">
        <f t="shared" si="229"/>
        <v/>
      </c>
      <c r="TZ12" s="40" t="str">
        <f t="shared" si="230"/>
        <v/>
      </c>
      <c r="UA12" s="40" t="str">
        <f t="shared" si="231"/>
        <v/>
      </c>
      <c r="UB12" s="40" t="str">
        <f t="shared" si="232"/>
        <v/>
      </c>
      <c r="UC12" s="40" t="str">
        <f t="shared" si="233"/>
        <v/>
      </c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8"/>
      <c r="UQ12" s="18"/>
      <c r="UR12" s="18"/>
      <c r="US12" s="18"/>
      <c r="UT12" s="18"/>
      <c r="UU12" s="18"/>
      <c r="UV12" s="18"/>
      <c r="UW12" s="18"/>
      <c r="UX12" s="11" t="str">
        <f t="shared" si="234"/>
        <v/>
      </c>
      <c r="UY12" s="11" t="str">
        <f t="shared" si="235"/>
        <v/>
      </c>
      <c r="UZ12" s="11" t="str">
        <f t="shared" si="236"/>
        <v/>
      </c>
      <c r="VA12" s="11" t="str">
        <f t="shared" si="237"/>
        <v/>
      </c>
      <c r="VB12" s="11" t="str">
        <f t="shared" si="238"/>
        <v/>
      </c>
      <c r="VC12" s="11" t="str">
        <f t="shared" si="239"/>
        <v/>
      </c>
      <c r="VD12" s="11" t="str">
        <f t="shared" si="240"/>
        <v/>
      </c>
      <c r="VE12" s="11" t="str">
        <f t="shared" si="241"/>
        <v/>
      </c>
      <c r="VF12" s="11" t="str">
        <f t="shared" si="242"/>
        <v/>
      </c>
      <c r="VG12" s="11" t="str">
        <f t="shared" si="243"/>
        <v/>
      </c>
      <c r="VH12" s="11" t="str">
        <f t="shared" si="244"/>
        <v/>
      </c>
      <c r="VI12" s="11" t="str">
        <f t="shared" si="245"/>
        <v/>
      </c>
      <c r="VJ12" s="11" t="str">
        <f t="shared" si="246"/>
        <v/>
      </c>
      <c r="VK12" s="11" t="str">
        <f t="shared" si="247"/>
        <v/>
      </c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17"/>
      <c r="VY12" s="17"/>
      <c r="VZ12" s="17"/>
      <c r="WA12" s="17"/>
      <c r="WB12" s="17"/>
      <c r="WC12" s="17"/>
      <c r="WD12" s="17"/>
      <c r="WE12" s="17"/>
      <c r="WF12" s="40" t="str">
        <f t="shared" si="248"/>
        <v/>
      </c>
      <c r="WG12" s="40" t="str">
        <f t="shared" si="249"/>
        <v/>
      </c>
      <c r="WH12" s="40" t="str">
        <f t="shared" si="250"/>
        <v/>
      </c>
      <c r="WI12" s="40" t="str">
        <f t="shared" si="251"/>
        <v/>
      </c>
      <c r="WJ12" s="40" t="str">
        <f t="shared" si="252"/>
        <v/>
      </c>
      <c r="WK12" s="40" t="str">
        <f t="shared" si="253"/>
        <v/>
      </c>
      <c r="WL12" s="40" t="str">
        <f t="shared" si="254"/>
        <v/>
      </c>
      <c r="WM12" s="40" t="str">
        <f t="shared" si="255"/>
        <v/>
      </c>
      <c r="WN12" s="40" t="str">
        <f t="shared" si="256"/>
        <v/>
      </c>
      <c r="WO12" s="40" t="str">
        <f t="shared" si="257"/>
        <v/>
      </c>
      <c r="WP12" s="40" t="str">
        <f t="shared" si="258"/>
        <v/>
      </c>
      <c r="WQ12" s="40" t="str">
        <f t="shared" si="259"/>
        <v/>
      </c>
      <c r="WR12" s="40" t="str">
        <f t="shared" si="260"/>
        <v/>
      </c>
      <c r="WS12" s="40" t="str">
        <f t="shared" si="261"/>
        <v/>
      </c>
      <c r="WT12" s="26">
        <f t="shared" si="262"/>
        <v>10.7</v>
      </c>
      <c r="WU12" s="26">
        <f t="shared" si="263"/>
        <v>6.25</v>
      </c>
      <c r="WV12" s="26">
        <f t="shared" si="264"/>
        <v>8.8000000000000007</v>
      </c>
      <c r="WW12" s="26">
        <f t="shared" si="265"/>
        <v>10.195</v>
      </c>
      <c r="WX12" s="26">
        <f t="shared" si="266"/>
        <v>0</v>
      </c>
      <c r="WY12" s="26">
        <f t="shared" si="267"/>
        <v>13.85</v>
      </c>
      <c r="WZ12" s="26">
        <f t="shared" si="268"/>
        <v>8.9</v>
      </c>
      <c r="XA12" s="26">
        <f t="shared" si="269"/>
        <v>12.2</v>
      </c>
      <c r="XB12" s="26">
        <f t="shared" si="270"/>
        <v>14.145</v>
      </c>
      <c r="XC12" s="26">
        <f t="shared" si="271"/>
        <v>0</v>
      </c>
      <c r="XD12" s="26">
        <f t="shared" si="272"/>
        <v>13</v>
      </c>
      <c r="XE12" s="26">
        <f t="shared" si="273"/>
        <v>7.8</v>
      </c>
      <c r="XF12" s="26">
        <f t="shared" si="274"/>
        <v>11.3</v>
      </c>
      <c r="XG12" s="26">
        <f t="shared" si="275"/>
        <v>13.04</v>
      </c>
      <c r="XH12" s="26">
        <f t="shared" si="276"/>
        <v>0</v>
      </c>
      <c r="XI12" s="28" t="s">
        <v>53</v>
      </c>
      <c r="XJ12" s="11">
        <f t="shared" si="277"/>
        <v>8.8000000000000007</v>
      </c>
      <c r="XK12" s="11">
        <f t="shared" si="278"/>
        <v>10.195</v>
      </c>
      <c r="XL12" s="11">
        <f t="shared" si="279"/>
        <v>35.945</v>
      </c>
      <c r="XM12" s="11">
        <f t="shared" si="280"/>
        <v>12.2</v>
      </c>
      <c r="XN12" s="11">
        <f t="shared" si="281"/>
        <v>14.145</v>
      </c>
      <c r="XO12" s="11">
        <f t="shared" si="282"/>
        <v>49.094999999999999</v>
      </c>
      <c r="XP12" s="11">
        <f t="shared" si="283"/>
        <v>49.094999999999999</v>
      </c>
      <c r="XQ12" s="11">
        <f t="shared" si="284"/>
        <v>11.3</v>
      </c>
      <c r="XR12" s="11">
        <f t="shared" si="285"/>
        <v>13.04</v>
      </c>
      <c r="XS12" s="11">
        <f t="shared" si="286"/>
        <v>45.14</v>
      </c>
      <c r="XT12" s="11">
        <f t="shared" si="287"/>
        <v>94.234999999999999</v>
      </c>
    </row>
    <row r="13" spans="1:644" x14ac:dyDescent="0.2">
      <c r="A13" s="4" t="str" cm="1">
        <f t="array" ref="A13">IF(AND(H13&lt;&gt;"",H13&lt;&gt;"No DD"),SUMPRODUCT((H$4:H$18&lt;&gt;"")*(H$4:H$18&lt;&gt;"No DD")*(E$4:E$18&gt;E13))+1,IF(H13="No DD",SUMPRODUCT((H$4:H$18="No DD")*(E$4:E$18&gt;E13))+1+SUMPRODUCT((H$4:H$18&lt;&gt;"")*(H$4:H$18&lt;&gt;"No DD")),""))</f>
        <v/>
      </c>
      <c r="B13" s="5" t="s">
        <v>154</v>
      </c>
      <c r="C13" s="4" t="s">
        <v>3</v>
      </c>
      <c r="D13" s="4">
        <v>2006</v>
      </c>
      <c r="E13" s="9">
        <f t="shared" si="0"/>
        <v>219.89002190300496</v>
      </c>
      <c r="F13" s="3" t="str">
        <f t="shared" si="1"/>
        <v/>
      </c>
      <c r="G13" s="3" t="str">
        <f t="shared" si="2"/>
        <v/>
      </c>
      <c r="H13" s="36" t="str">
        <f t="shared" si="3"/>
        <v/>
      </c>
      <c r="I13" s="3" t="str">
        <f t="shared" si="4"/>
        <v/>
      </c>
      <c r="J13" s="8">
        <f>IF(COUNT(AQ13,AT13,BR13,BU13,CS13,CV13)&gt;0,LARGE((AQ13,AT13,BR13,BU13,CS13,CV13),1),0)</f>
        <v>49.150000000000006</v>
      </c>
      <c r="K13" s="8" t="str">
        <f t="shared" si="5"/>
        <v>2024 Nationals</v>
      </c>
      <c r="L13" s="8">
        <f>IF(COUNT(AQ13,AT13,BR13,BU13,CS13,CV13)&gt;1,LARGE((AQ13,AT13,BR13,BU13,CS13,CV13),2),0)</f>
        <v>48.39</v>
      </c>
      <c r="M13" s="8" t="str">
        <f t="shared" si="6"/>
        <v>2024 3rd Domestic Trial</v>
      </c>
      <c r="N13" s="8">
        <f>IF(COUNT(AQ13,AT13,BR13,BU13,CS13,CV13)&gt;2,LARGE((AQ13,AT13,BR13,BU13,CS13,CV13),3),0)</f>
        <v>47.629999999999995</v>
      </c>
      <c r="O13" s="8" t="str">
        <f t="shared" si="7"/>
        <v>2024 Elite Canada</v>
      </c>
      <c r="P13" s="8">
        <f t="shared" si="8"/>
        <v>47.03</v>
      </c>
      <c r="Q13" s="8" t="str">
        <f t="shared" si="9"/>
        <v>2024 Nationals</v>
      </c>
      <c r="R13" s="8">
        <f t="shared" si="10"/>
        <v>13</v>
      </c>
      <c r="S13" s="8" t="str">
        <f t="shared" si="11"/>
        <v>2024 Nationals</v>
      </c>
      <c r="T13" s="8">
        <f t="shared" si="12"/>
        <v>13.83</v>
      </c>
      <c r="U13" s="8" t="str">
        <f t="shared" si="13"/>
        <v>2024 Nationals</v>
      </c>
      <c r="V13" s="8">
        <f t="shared" si="14"/>
        <v>0.85999999999999943</v>
      </c>
      <c r="W13" s="11" t="str">
        <f t="shared" si="15"/>
        <v>(Prelim)</v>
      </c>
      <c r="X13" s="8" t="str">
        <f t="shared" si="16"/>
        <v>2024 Pan Am Club Championships (May 19)</v>
      </c>
      <c r="Y13" s="22">
        <v>12.7</v>
      </c>
      <c r="Z13" s="22">
        <v>9.1</v>
      </c>
      <c r="AA13" s="22">
        <v>12.1</v>
      </c>
      <c r="AB13" s="22">
        <v>13.73</v>
      </c>
      <c r="AC13" s="22">
        <v>0</v>
      </c>
      <c r="AD13" s="22">
        <v>3</v>
      </c>
      <c r="AE13" s="22">
        <v>1.7</v>
      </c>
      <c r="AF13" s="22">
        <v>2.9</v>
      </c>
      <c r="AG13" s="22">
        <v>3.04</v>
      </c>
      <c r="AH13" s="22">
        <v>0</v>
      </c>
      <c r="AI13" s="22">
        <v>11.9</v>
      </c>
      <c r="AJ13" s="22">
        <v>9.1999999999999993</v>
      </c>
      <c r="AK13" s="22">
        <v>11</v>
      </c>
      <c r="AL13" s="22">
        <v>14.21</v>
      </c>
      <c r="AM13" s="22">
        <v>0.2</v>
      </c>
      <c r="AN13" s="27"/>
      <c r="AO13" s="38">
        <f t="shared" si="17"/>
        <v>12.1</v>
      </c>
      <c r="AP13" s="38">
        <f t="shared" si="18"/>
        <v>13.73</v>
      </c>
      <c r="AQ13" s="40">
        <f t="shared" si="19"/>
        <v>47.629999999999995</v>
      </c>
      <c r="AR13" s="40">
        <f t="shared" si="20"/>
        <v>2.9</v>
      </c>
      <c r="AS13" s="40">
        <f t="shared" si="21"/>
        <v>3.04</v>
      </c>
      <c r="AT13" s="40">
        <f t="shared" si="22"/>
        <v>10.64</v>
      </c>
      <c r="AU13" s="40">
        <f t="shared" si="23"/>
        <v>47.629999999999995</v>
      </c>
      <c r="AV13" s="40">
        <f t="shared" si="24"/>
        <v>11</v>
      </c>
      <c r="AW13" s="40">
        <f t="shared" si="25"/>
        <v>14.21</v>
      </c>
      <c r="AX13" s="40">
        <f t="shared" si="26"/>
        <v>46.11</v>
      </c>
      <c r="AY13" s="40">
        <f t="shared" si="27"/>
        <v>93.74</v>
      </c>
      <c r="AZ13" s="26">
        <v>14.4</v>
      </c>
      <c r="BA13" s="26">
        <v>9.5</v>
      </c>
      <c r="BB13" s="26">
        <v>11.3</v>
      </c>
      <c r="BC13" s="26">
        <v>13.95</v>
      </c>
      <c r="BD13" s="26">
        <v>0</v>
      </c>
      <c r="BE13" s="26">
        <v>13.8</v>
      </c>
      <c r="BF13" s="26">
        <v>8.6999999999999993</v>
      </c>
      <c r="BG13" s="26">
        <v>11.5</v>
      </c>
      <c r="BH13" s="26">
        <v>13.48</v>
      </c>
      <c r="BI13" s="26">
        <v>0</v>
      </c>
      <c r="BJ13" s="26">
        <v>11.7</v>
      </c>
      <c r="BK13" s="26">
        <v>8.5</v>
      </c>
      <c r="BL13" s="26">
        <v>13</v>
      </c>
      <c r="BM13" s="26">
        <v>13.83</v>
      </c>
      <c r="BN13" s="26">
        <v>0</v>
      </c>
      <c r="BO13" s="28"/>
      <c r="BP13" s="39">
        <f t="shared" si="28"/>
        <v>11.3</v>
      </c>
      <c r="BQ13" s="39">
        <f t="shared" si="29"/>
        <v>13.95</v>
      </c>
      <c r="BR13" s="11">
        <f t="shared" si="30"/>
        <v>49.150000000000006</v>
      </c>
      <c r="BS13" s="11">
        <f t="shared" si="31"/>
        <v>11.5</v>
      </c>
      <c r="BT13" s="11">
        <f t="shared" si="32"/>
        <v>13.48</v>
      </c>
      <c r="BU13" s="11">
        <f t="shared" si="33"/>
        <v>47.480000000000004</v>
      </c>
      <c r="BV13" s="11">
        <f t="shared" si="34"/>
        <v>49.150000000000006</v>
      </c>
      <c r="BW13" s="11">
        <f t="shared" si="35"/>
        <v>13</v>
      </c>
      <c r="BX13" s="11">
        <f t="shared" si="36"/>
        <v>13.83</v>
      </c>
      <c r="BY13" s="11">
        <f t="shared" si="37"/>
        <v>47.03</v>
      </c>
      <c r="BZ13" s="11">
        <f t="shared" si="38"/>
        <v>96.18</v>
      </c>
      <c r="CA13" s="22">
        <v>13.55</v>
      </c>
      <c r="CB13" s="22">
        <v>9.3000000000000007</v>
      </c>
      <c r="CC13" s="22">
        <v>11.7</v>
      </c>
      <c r="CD13" s="22">
        <v>13.84</v>
      </c>
      <c r="CE13" s="22">
        <v>0</v>
      </c>
      <c r="CF13" s="22">
        <v>8.4</v>
      </c>
      <c r="CG13" s="22">
        <v>5.1999999999999993</v>
      </c>
      <c r="CH13" s="22">
        <v>7.2</v>
      </c>
      <c r="CI13" s="22">
        <v>8.26</v>
      </c>
      <c r="CJ13" s="22">
        <v>0</v>
      </c>
      <c r="CK13" s="22">
        <v>11.8</v>
      </c>
      <c r="CL13" s="22">
        <v>8.85</v>
      </c>
      <c r="CM13" s="22">
        <v>12</v>
      </c>
      <c r="CN13" s="22">
        <v>14.02</v>
      </c>
      <c r="CO13" s="22">
        <v>0.1</v>
      </c>
      <c r="CP13" s="27" t="s">
        <v>53</v>
      </c>
      <c r="CQ13" s="38">
        <f t="shared" si="39"/>
        <v>11.7</v>
      </c>
      <c r="CR13" s="38">
        <f t="shared" si="40"/>
        <v>13.84</v>
      </c>
      <c r="CS13" s="40">
        <f t="shared" si="41"/>
        <v>48.39</v>
      </c>
      <c r="CT13" s="40">
        <f t="shared" si="42"/>
        <v>7.2</v>
      </c>
      <c r="CU13" s="40">
        <f t="shared" si="43"/>
        <v>8.26</v>
      </c>
      <c r="CV13" s="40">
        <f t="shared" si="44"/>
        <v>29.060000000000002</v>
      </c>
      <c r="CW13" s="40">
        <f t="shared" si="45"/>
        <v>48.39</v>
      </c>
      <c r="CX13" s="40">
        <f t="shared" si="46"/>
        <v>12</v>
      </c>
      <c r="CY13" s="40">
        <f t="shared" si="47"/>
        <v>14.02</v>
      </c>
      <c r="CZ13" s="40">
        <f t="shared" si="48"/>
        <v>46.57</v>
      </c>
      <c r="DA13" s="40">
        <f t="shared" si="49"/>
        <v>94.960000000000008</v>
      </c>
      <c r="DB13" s="51">
        <f t="shared" si="50"/>
        <v>0.85999999999999943</v>
      </c>
      <c r="DC13" s="51">
        <f t="shared" si="51"/>
        <v>0.39999999999999858</v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 t="shared" si="52"/>
        <v/>
      </c>
      <c r="DY13" s="40" t="str">
        <f t="shared" si="53"/>
        <v/>
      </c>
      <c r="DZ13" s="40" t="str">
        <f t="shared" si="54"/>
        <v/>
      </c>
      <c r="EA13" s="40" t="str">
        <f t="shared" si="55"/>
        <v/>
      </c>
      <c r="EB13" s="40" t="str">
        <f t="shared" si="56"/>
        <v/>
      </c>
      <c r="EC13" s="40" t="str">
        <f t="shared" si="57"/>
        <v/>
      </c>
      <c r="ED13" s="40" t="str">
        <f t="shared" si="58"/>
        <v/>
      </c>
      <c r="EE13" s="40" t="str">
        <f t="shared" si="59"/>
        <v/>
      </c>
      <c r="EF13" s="40" t="str">
        <f t="shared" si="60"/>
        <v/>
      </c>
      <c r="EG13" s="40" t="str">
        <f t="shared" si="61"/>
        <v/>
      </c>
      <c r="EH13" s="40" t="str">
        <f t="shared" si="62"/>
        <v/>
      </c>
      <c r="EI13" s="40" t="str">
        <f t="shared" si="63"/>
        <v/>
      </c>
      <c r="EJ13" s="40" t="str">
        <f t="shared" si="64"/>
        <v/>
      </c>
      <c r="EK13" s="40" t="str">
        <f t="shared" si="65"/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 t="shared" si="66"/>
        <v/>
      </c>
      <c r="FG13" s="11" t="str">
        <f t="shared" si="67"/>
        <v/>
      </c>
      <c r="FH13" s="11" t="str">
        <f t="shared" si="68"/>
        <v/>
      </c>
      <c r="FI13" s="11" t="str">
        <f t="shared" si="69"/>
        <v/>
      </c>
      <c r="FJ13" s="11" t="str">
        <f t="shared" si="70"/>
        <v/>
      </c>
      <c r="FK13" s="11" t="str">
        <f t="shared" si="71"/>
        <v/>
      </c>
      <c r="FL13" s="11" t="str">
        <f t="shared" si="72"/>
        <v/>
      </c>
      <c r="FM13" s="11" t="str">
        <f t="shared" si="73"/>
        <v/>
      </c>
      <c r="FN13" s="11" t="str">
        <f t="shared" si="74"/>
        <v/>
      </c>
      <c r="FO13" s="11" t="str">
        <f t="shared" si="75"/>
        <v/>
      </c>
      <c r="FP13" s="11" t="str">
        <f t="shared" si="76"/>
        <v/>
      </c>
      <c r="FQ13" s="11" t="str">
        <f t="shared" si="77"/>
        <v/>
      </c>
      <c r="FR13" s="11" t="str">
        <f t="shared" si="78"/>
        <v/>
      </c>
      <c r="FS13" s="11" t="str">
        <f t="shared" si="79"/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 t="shared" si="80"/>
        <v/>
      </c>
      <c r="GO13" s="40" t="str">
        <f t="shared" si="81"/>
        <v/>
      </c>
      <c r="GP13" s="40" t="str">
        <f t="shared" si="82"/>
        <v/>
      </c>
      <c r="GQ13" s="40" t="str">
        <f t="shared" si="83"/>
        <v/>
      </c>
      <c r="GR13" s="40" t="str">
        <f t="shared" si="84"/>
        <v/>
      </c>
      <c r="GS13" s="40" t="str">
        <f t="shared" si="85"/>
        <v/>
      </c>
      <c r="GT13" s="40" t="str">
        <f t="shared" si="86"/>
        <v/>
      </c>
      <c r="GU13" s="40" t="str">
        <f t="shared" si="87"/>
        <v/>
      </c>
      <c r="GV13" s="40" t="str">
        <f t="shared" si="88"/>
        <v/>
      </c>
      <c r="GW13" s="40" t="str">
        <f t="shared" si="89"/>
        <v/>
      </c>
      <c r="GX13" s="40" t="str">
        <f t="shared" si="90"/>
        <v/>
      </c>
      <c r="GY13" s="40" t="str">
        <f t="shared" si="91"/>
        <v/>
      </c>
      <c r="GZ13" s="40" t="str">
        <f t="shared" si="92"/>
        <v/>
      </c>
      <c r="HA13" s="40" t="str">
        <f t="shared" si="93"/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 t="shared" si="94"/>
        <v/>
      </c>
      <c r="HW13" s="11" t="str">
        <f t="shared" si="95"/>
        <v/>
      </c>
      <c r="HX13" s="11" t="str">
        <f t="shared" si="96"/>
        <v/>
      </c>
      <c r="HY13" s="11" t="str">
        <f t="shared" si="97"/>
        <v/>
      </c>
      <c r="HZ13" s="11" t="str">
        <f t="shared" si="98"/>
        <v/>
      </c>
      <c r="IA13" s="11" t="str">
        <f t="shared" si="99"/>
        <v/>
      </c>
      <c r="IB13" s="11" t="str">
        <f t="shared" si="100"/>
        <v/>
      </c>
      <c r="IC13" s="11" t="str">
        <f t="shared" si="101"/>
        <v/>
      </c>
      <c r="ID13" s="11" t="str">
        <f t="shared" si="102"/>
        <v/>
      </c>
      <c r="IE13" s="11" t="str">
        <f t="shared" si="103"/>
        <v/>
      </c>
      <c r="IF13" s="11" t="str">
        <f t="shared" si="104"/>
        <v/>
      </c>
      <c r="IG13" s="11" t="str">
        <f t="shared" si="105"/>
        <v/>
      </c>
      <c r="IH13" s="11" t="str">
        <f t="shared" si="106"/>
        <v/>
      </c>
      <c r="II13" s="11" t="str">
        <f t="shared" si="107"/>
        <v/>
      </c>
      <c r="IJ13" s="17">
        <v>13.5</v>
      </c>
      <c r="IK13" s="17">
        <v>9.1999999999999993</v>
      </c>
      <c r="IL13" s="17">
        <v>12.2</v>
      </c>
      <c r="IM13" s="17">
        <v>13.59</v>
      </c>
      <c r="IN13" s="17">
        <v>0</v>
      </c>
      <c r="IO13" s="17">
        <v>13.4</v>
      </c>
      <c r="IP13" s="17">
        <v>8.8000000000000007</v>
      </c>
      <c r="IQ13" s="17">
        <v>12.2</v>
      </c>
      <c r="IR13" s="17">
        <v>14.06</v>
      </c>
      <c r="IS13" s="17">
        <v>0</v>
      </c>
      <c r="IT13" s="17"/>
      <c r="IU13" s="17"/>
      <c r="IV13" s="17"/>
      <c r="IW13" s="17"/>
      <c r="IX13" s="17"/>
      <c r="IY13" s="17">
        <v>14</v>
      </c>
      <c r="IZ13" s="17">
        <v>9.3000000000000007</v>
      </c>
      <c r="JA13" s="17">
        <v>10.1</v>
      </c>
      <c r="JB13" s="17">
        <v>14.03</v>
      </c>
      <c r="JC13" s="17">
        <v>0</v>
      </c>
      <c r="JD13" s="40">
        <f t="shared" si="108"/>
        <v>12.2</v>
      </c>
      <c r="JE13" s="40">
        <f t="shared" si="109"/>
        <v>13.59</v>
      </c>
      <c r="JF13" s="40">
        <f t="shared" si="110"/>
        <v>48.489999999999995</v>
      </c>
      <c r="JG13" s="40">
        <f t="shared" si="111"/>
        <v>12.2</v>
      </c>
      <c r="JH13" s="40">
        <f t="shared" si="112"/>
        <v>14.06</v>
      </c>
      <c r="JI13" s="40">
        <f t="shared" si="113"/>
        <v>48.460000000000008</v>
      </c>
      <c r="JJ13" s="40">
        <f t="shared" si="114"/>
        <v>48.489999999999995</v>
      </c>
      <c r="JK13" s="40" t="str">
        <f t="shared" si="115"/>
        <v/>
      </c>
      <c r="JL13" s="40" t="str">
        <f t="shared" si="116"/>
        <v/>
      </c>
      <c r="JM13" s="40" t="str">
        <f t="shared" si="117"/>
        <v/>
      </c>
      <c r="JN13" s="40">
        <f t="shared" si="118"/>
        <v>10.1</v>
      </c>
      <c r="JO13" s="40">
        <f t="shared" si="119"/>
        <v>14.03</v>
      </c>
      <c r="JP13" s="40">
        <f t="shared" si="120"/>
        <v>47.43</v>
      </c>
      <c r="JQ13" s="40">
        <f t="shared" si="121"/>
        <v>95.919999999999987</v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 t="shared" si="122"/>
        <v/>
      </c>
      <c r="KM13" s="11" t="str">
        <f t="shared" si="123"/>
        <v/>
      </c>
      <c r="KN13" s="11" t="str">
        <f t="shared" si="124"/>
        <v/>
      </c>
      <c r="KO13" s="11" t="str">
        <f t="shared" si="125"/>
        <v/>
      </c>
      <c r="KP13" s="11" t="str">
        <f t="shared" si="126"/>
        <v/>
      </c>
      <c r="KQ13" s="11" t="str">
        <f t="shared" si="127"/>
        <v/>
      </c>
      <c r="KR13" s="11" t="str">
        <f t="shared" si="128"/>
        <v/>
      </c>
      <c r="KS13" s="11" t="str">
        <f t="shared" si="129"/>
        <v/>
      </c>
      <c r="KT13" s="11" t="str">
        <f t="shared" si="130"/>
        <v/>
      </c>
      <c r="KU13" s="11" t="str">
        <f t="shared" si="131"/>
        <v/>
      </c>
      <c r="KV13" s="11" t="str">
        <f t="shared" si="132"/>
        <v/>
      </c>
      <c r="KW13" s="11" t="str">
        <f t="shared" si="133"/>
        <v/>
      </c>
      <c r="KX13" s="11" t="str">
        <f t="shared" si="134"/>
        <v/>
      </c>
      <c r="KY13" s="11" t="str">
        <f t="shared" si="135"/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 t="shared" si="136"/>
        <v/>
      </c>
      <c r="LU13" s="40" t="str">
        <f t="shared" si="137"/>
        <v/>
      </c>
      <c r="LV13" s="40" t="str">
        <f t="shared" si="138"/>
        <v/>
      </c>
      <c r="LW13" s="40" t="str">
        <f t="shared" si="139"/>
        <v/>
      </c>
      <c r="LX13" s="40" t="str">
        <f t="shared" si="140"/>
        <v/>
      </c>
      <c r="LY13" s="40" t="str">
        <f t="shared" si="141"/>
        <v/>
      </c>
      <c r="LZ13" s="40" t="str">
        <f t="shared" si="142"/>
        <v/>
      </c>
      <c r="MA13" s="40" t="str">
        <f t="shared" si="143"/>
        <v/>
      </c>
      <c r="MB13" s="40" t="str">
        <f t="shared" si="144"/>
        <v/>
      </c>
      <c r="MC13" s="40" t="str">
        <f t="shared" si="145"/>
        <v/>
      </c>
      <c r="MD13" s="40" t="str">
        <f t="shared" si="146"/>
        <v/>
      </c>
      <c r="ME13" s="40" t="str">
        <f t="shared" si="147"/>
        <v/>
      </c>
      <c r="MF13" s="40" t="str">
        <f t="shared" si="148"/>
        <v/>
      </c>
      <c r="MG13" s="40" t="str">
        <f t="shared" si="149"/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 t="shared" si="150"/>
        <v/>
      </c>
      <c r="NC13" s="11" t="str">
        <f t="shared" si="151"/>
        <v/>
      </c>
      <c r="ND13" s="11" t="str">
        <f t="shared" si="152"/>
        <v/>
      </c>
      <c r="NE13" s="11" t="str">
        <f t="shared" si="153"/>
        <v/>
      </c>
      <c r="NF13" s="11" t="str">
        <f t="shared" si="154"/>
        <v/>
      </c>
      <c r="NG13" s="11" t="str">
        <f t="shared" si="155"/>
        <v/>
      </c>
      <c r="NH13" s="11" t="str">
        <f t="shared" si="156"/>
        <v/>
      </c>
      <c r="NI13" s="11" t="str">
        <f t="shared" si="157"/>
        <v/>
      </c>
      <c r="NJ13" s="11" t="str">
        <f t="shared" si="158"/>
        <v/>
      </c>
      <c r="NK13" s="11" t="str">
        <f t="shared" si="159"/>
        <v/>
      </c>
      <c r="NL13" s="11" t="str">
        <f t="shared" si="160"/>
        <v/>
      </c>
      <c r="NM13" s="11" t="str">
        <f t="shared" si="161"/>
        <v/>
      </c>
      <c r="NN13" s="11" t="str">
        <f t="shared" si="162"/>
        <v/>
      </c>
      <c r="NO13" s="11" t="str">
        <f t="shared" si="163"/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 t="shared" si="164"/>
        <v/>
      </c>
      <c r="OK13" s="40" t="str">
        <f t="shared" si="165"/>
        <v/>
      </c>
      <c r="OL13" s="40" t="str">
        <f t="shared" si="166"/>
        <v/>
      </c>
      <c r="OM13" s="40" t="str">
        <f t="shared" si="167"/>
        <v/>
      </c>
      <c r="ON13" s="40" t="str">
        <f t="shared" si="168"/>
        <v/>
      </c>
      <c r="OO13" s="40" t="str">
        <f t="shared" si="169"/>
        <v/>
      </c>
      <c r="OP13" s="40" t="str">
        <f t="shared" si="170"/>
        <v/>
      </c>
      <c r="OQ13" s="40" t="str">
        <f t="shared" si="171"/>
        <v/>
      </c>
      <c r="OR13" s="40" t="str">
        <f t="shared" si="172"/>
        <v/>
      </c>
      <c r="OS13" s="40" t="str">
        <f t="shared" si="173"/>
        <v/>
      </c>
      <c r="OT13" s="40" t="str">
        <f t="shared" si="174"/>
        <v/>
      </c>
      <c r="OU13" s="40" t="str">
        <f t="shared" si="175"/>
        <v/>
      </c>
      <c r="OV13" s="40" t="str">
        <f t="shared" si="176"/>
        <v/>
      </c>
      <c r="OW13" s="40" t="str">
        <f t="shared" si="177"/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 t="shared" si="178"/>
        <v/>
      </c>
      <c r="PS13" s="11" t="str">
        <f t="shared" si="179"/>
        <v/>
      </c>
      <c r="PT13" s="11" t="str">
        <f t="shared" si="180"/>
        <v/>
      </c>
      <c r="PU13" s="11" t="str">
        <f t="shared" si="181"/>
        <v/>
      </c>
      <c r="PV13" s="11" t="str">
        <f t="shared" si="182"/>
        <v/>
      </c>
      <c r="PW13" s="11" t="str">
        <f t="shared" si="183"/>
        <v/>
      </c>
      <c r="PX13" s="11" t="str">
        <f t="shared" si="184"/>
        <v/>
      </c>
      <c r="PY13" s="11" t="str">
        <f t="shared" si="185"/>
        <v/>
      </c>
      <c r="PZ13" s="11" t="str">
        <f t="shared" si="186"/>
        <v/>
      </c>
      <c r="QA13" s="11" t="str">
        <f t="shared" si="187"/>
        <v/>
      </c>
      <c r="QB13" s="11" t="str">
        <f t="shared" si="188"/>
        <v/>
      </c>
      <c r="QC13" s="11" t="str">
        <f t="shared" si="189"/>
        <v/>
      </c>
      <c r="QD13" s="11" t="str">
        <f t="shared" si="190"/>
        <v/>
      </c>
      <c r="QE13" s="11" t="str">
        <f t="shared" si="191"/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 t="shared" si="192"/>
        <v/>
      </c>
      <c r="RA13" s="40" t="str">
        <f t="shared" si="193"/>
        <v/>
      </c>
      <c r="RB13" s="40" t="str">
        <f t="shared" si="194"/>
        <v/>
      </c>
      <c r="RC13" s="40" t="str">
        <f t="shared" si="195"/>
        <v/>
      </c>
      <c r="RD13" s="40" t="str">
        <f t="shared" si="196"/>
        <v/>
      </c>
      <c r="RE13" s="40" t="str">
        <f t="shared" si="197"/>
        <v/>
      </c>
      <c r="RF13" s="40" t="str">
        <f t="shared" si="198"/>
        <v/>
      </c>
      <c r="RG13" s="40" t="str">
        <f t="shared" si="199"/>
        <v/>
      </c>
      <c r="RH13" s="40" t="str">
        <f t="shared" si="200"/>
        <v/>
      </c>
      <c r="RI13" s="40" t="str">
        <f t="shared" si="201"/>
        <v/>
      </c>
      <c r="RJ13" s="40" t="str">
        <f t="shared" si="202"/>
        <v/>
      </c>
      <c r="RK13" s="40" t="str">
        <f t="shared" si="203"/>
        <v/>
      </c>
      <c r="RL13" s="40" t="str">
        <f t="shared" si="204"/>
        <v/>
      </c>
      <c r="RM13" s="40" t="str">
        <f t="shared" si="205"/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 t="shared" si="206"/>
        <v/>
      </c>
      <c r="SI13" s="11" t="str">
        <f t="shared" si="207"/>
        <v/>
      </c>
      <c r="SJ13" s="11" t="str">
        <f t="shared" si="208"/>
        <v/>
      </c>
      <c r="SK13" s="11" t="str">
        <f t="shared" si="209"/>
        <v/>
      </c>
      <c r="SL13" s="11" t="str">
        <f t="shared" si="210"/>
        <v/>
      </c>
      <c r="SM13" s="11" t="str">
        <f t="shared" si="211"/>
        <v/>
      </c>
      <c r="SN13" s="11" t="str">
        <f t="shared" si="212"/>
        <v/>
      </c>
      <c r="SO13" s="11" t="str">
        <f t="shared" si="213"/>
        <v/>
      </c>
      <c r="SP13" s="11" t="str">
        <f t="shared" si="214"/>
        <v/>
      </c>
      <c r="SQ13" s="11" t="str">
        <f t="shared" si="215"/>
        <v/>
      </c>
      <c r="SR13" s="11" t="str">
        <f t="shared" si="216"/>
        <v/>
      </c>
      <c r="SS13" s="11" t="str">
        <f t="shared" si="217"/>
        <v/>
      </c>
      <c r="ST13" s="11" t="str">
        <f t="shared" si="218"/>
        <v/>
      </c>
      <c r="SU13" s="11" t="str">
        <f t="shared" si="219"/>
        <v/>
      </c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40" t="str">
        <f t="shared" si="220"/>
        <v/>
      </c>
      <c r="TQ13" s="40" t="str">
        <f t="shared" si="221"/>
        <v/>
      </c>
      <c r="TR13" s="40" t="str">
        <f t="shared" si="222"/>
        <v/>
      </c>
      <c r="TS13" s="40" t="str">
        <f t="shared" si="223"/>
        <v/>
      </c>
      <c r="TT13" s="40" t="str">
        <f t="shared" si="224"/>
        <v/>
      </c>
      <c r="TU13" s="40" t="str">
        <f t="shared" si="225"/>
        <v/>
      </c>
      <c r="TV13" s="40" t="str">
        <f t="shared" si="226"/>
        <v/>
      </c>
      <c r="TW13" s="40" t="str">
        <f t="shared" si="227"/>
        <v/>
      </c>
      <c r="TX13" s="40" t="str">
        <f t="shared" si="228"/>
        <v/>
      </c>
      <c r="TY13" s="40" t="str">
        <f t="shared" si="229"/>
        <v/>
      </c>
      <c r="TZ13" s="40" t="str">
        <f t="shared" si="230"/>
        <v/>
      </c>
      <c r="UA13" s="40" t="str">
        <f t="shared" si="231"/>
        <v/>
      </c>
      <c r="UB13" s="40" t="str">
        <f t="shared" si="232"/>
        <v/>
      </c>
      <c r="UC13" s="40" t="str">
        <f t="shared" si="233"/>
        <v/>
      </c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8"/>
      <c r="UQ13" s="18"/>
      <c r="UR13" s="18"/>
      <c r="US13" s="18"/>
      <c r="UT13" s="18"/>
      <c r="UU13" s="18"/>
      <c r="UV13" s="18"/>
      <c r="UW13" s="18"/>
      <c r="UX13" s="11" t="str">
        <f t="shared" si="234"/>
        <v/>
      </c>
      <c r="UY13" s="11" t="str">
        <f t="shared" si="235"/>
        <v/>
      </c>
      <c r="UZ13" s="11" t="str">
        <f t="shared" si="236"/>
        <v/>
      </c>
      <c r="VA13" s="11" t="str">
        <f t="shared" si="237"/>
        <v/>
      </c>
      <c r="VB13" s="11" t="str">
        <f t="shared" si="238"/>
        <v/>
      </c>
      <c r="VC13" s="11" t="str">
        <f t="shared" si="239"/>
        <v/>
      </c>
      <c r="VD13" s="11" t="str">
        <f t="shared" si="240"/>
        <v/>
      </c>
      <c r="VE13" s="11" t="str">
        <f t="shared" si="241"/>
        <v/>
      </c>
      <c r="VF13" s="11" t="str">
        <f t="shared" si="242"/>
        <v/>
      </c>
      <c r="VG13" s="11" t="str">
        <f t="shared" si="243"/>
        <v/>
      </c>
      <c r="VH13" s="11" t="str">
        <f t="shared" si="244"/>
        <v/>
      </c>
      <c r="VI13" s="11" t="str">
        <f t="shared" si="245"/>
        <v/>
      </c>
      <c r="VJ13" s="11" t="str">
        <f t="shared" si="246"/>
        <v/>
      </c>
      <c r="VK13" s="11" t="str">
        <f t="shared" si="247"/>
        <v/>
      </c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40" t="str">
        <f t="shared" si="248"/>
        <v/>
      </c>
      <c r="WG13" s="40" t="str">
        <f t="shared" si="249"/>
        <v/>
      </c>
      <c r="WH13" s="40" t="str">
        <f t="shared" si="250"/>
        <v/>
      </c>
      <c r="WI13" s="40" t="str">
        <f t="shared" si="251"/>
        <v/>
      </c>
      <c r="WJ13" s="40" t="str">
        <f t="shared" si="252"/>
        <v/>
      </c>
      <c r="WK13" s="40" t="str">
        <f t="shared" si="253"/>
        <v/>
      </c>
      <c r="WL13" s="40" t="str">
        <f t="shared" si="254"/>
        <v/>
      </c>
      <c r="WM13" s="40" t="str">
        <f t="shared" si="255"/>
        <v/>
      </c>
      <c r="WN13" s="40" t="str">
        <f t="shared" si="256"/>
        <v/>
      </c>
      <c r="WO13" s="40" t="str">
        <f t="shared" si="257"/>
        <v/>
      </c>
      <c r="WP13" s="40" t="str">
        <f t="shared" si="258"/>
        <v/>
      </c>
      <c r="WQ13" s="40" t="str">
        <f t="shared" si="259"/>
        <v/>
      </c>
      <c r="WR13" s="40" t="str">
        <f t="shared" si="260"/>
        <v/>
      </c>
      <c r="WS13" s="40" t="str">
        <f t="shared" si="261"/>
        <v/>
      </c>
      <c r="WT13" s="26">
        <f t="shared" si="262"/>
        <v>13.55</v>
      </c>
      <c r="WU13" s="26">
        <f t="shared" si="263"/>
        <v>9.3000000000000007</v>
      </c>
      <c r="WV13" s="26">
        <f t="shared" si="264"/>
        <v>11.7</v>
      </c>
      <c r="WW13" s="26">
        <f t="shared" si="265"/>
        <v>13.84</v>
      </c>
      <c r="WX13" s="26">
        <f t="shared" si="266"/>
        <v>0</v>
      </c>
      <c r="WY13" s="26">
        <f t="shared" si="267"/>
        <v>8.4</v>
      </c>
      <c r="WZ13" s="26">
        <f t="shared" si="268"/>
        <v>5.1999999999999993</v>
      </c>
      <c r="XA13" s="26">
        <f t="shared" si="269"/>
        <v>7.2</v>
      </c>
      <c r="XB13" s="26">
        <f t="shared" si="270"/>
        <v>8.26</v>
      </c>
      <c r="XC13" s="26">
        <f t="shared" si="271"/>
        <v>0</v>
      </c>
      <c r="XD13" s="26">
        <f t="shared" si="272"/>
        <v>11.8</v>
      </c>
      <c r="XE13" s="26">
        <f t="shared" si="273"/>
        <v>8.85</v>
      </c>
      <c r="XF13" s="26">
        <f t="shared" si="274"/>
        <v>12</v>
      </c>
      <c r="XG13" s="26">
        <f t="shared" si="275"/>
        <v>14.02</v>
      </c>
      <c r="XH13" s="26">
        <f t="shared" si="276"/>
        <v>0.1</v>
      </c>
      <c r="XI13" s="28" t="s">
        <v>53</v>
      </c>
      <c r="XJ13" s="11">
        <f t="shared" si="277"/>
        <v>11.7</v>
      </c>
      <c r="XK13" s="11">
        <f t="shared" si="278"/>
        <v>13.84</v>
      </c>
      <c r="XL13" s="11">
        <f t="shared" si="279"/>
        <v>48.39</v>
      </c>
      <c r="XM13" s="11">
        <f t="shared" si="280"/>
        <v>7.2</v>
      </c>
      <c r="XN13" s="11">
        <f t="shared" si="281"/>
        <v>8.26</v>
      </c>
      <c r="XO13" s="11">
        <f t="shared" si="282"/>
        <v>29.060000000000002</v>
      </c>
      <c r="XP13" s="11">
        <f t="shared" si="283"/>
        <v>48.39</v>
      </c>
      <c r="XQ13" s="11">
        <f t="shared" si="284"/>
        <v>12</v>
      </c>
      <c r="XR13" s="11">
        <f t="shared" si="285"/>
        <v>14.02</v>
      </c>
      <c r="XS13" s="11">
        <f t="shared" si="286"/>
        <v>46.57</v>
      </c>
      <c r="XT13" s="11">
        <f t="shared" si="287"/>
        <v>94.960000000000008</v>
      </c>
    </row>
    <row r="14" spans="1:644" x14ac:dyDescent="0.2">
      <c r="A14" s="4" cm="1">
        <f t="array" ref="A14">IF(AND(H14&lt;&gt;"",H14&lt;&gt;"No DD"),SUMPRODUCT((H$4:H$18&lt;&gt;"")*(H$4:H$18&lt;&gt;"No DD")*(E$4:E$18&gt;E14))+1,IF(H14="No DD",SUMPRODUCT((H$4:H$18="No DD")*(E$4:E$18&gt;E14))+1+SUMPRODUCT((H$4:H$18&lt;&gt;"")*(H$4:H$18&lt;&gt;"No DD")),""))</f>
        <v>10</v>
      </c>
      <c r="B14" s="5" t="s">
        <v>254</v>
      </c>
      <c r="C14" s="4" t="s">
        <v>3</v>
      </c>
      <c r="D14" s="4">
        <v>2004</v>
      </c>
      <c r="E14" s="9">
        <f t="shared" si="0"/>
        <v>212.18002121800507</v>
      </c>
      <c r="F14" s="3" t="str">
        <f t="shared" si="1"/>
        <v/>
      </c>
      <c r="G14" s="3" t="str">
        <f t="shared" si="2"/>
        <v>P</v>
      </c>
      <c r="H14" s="36" t="str">
        <f t="shared" si="3"/>
        <v>No DD</v>
      </c>
      <c r="I14" s="3" t="str">
        <f t="shared" si="4"/>
        <v/>
      </c>
      <c r="J14" s="8">
        <f>IF(COUNT(AQ14,AT14,BR14,BU14,CS14,CV14)&gt;0,LARGE((AQ14,AT14,BR14,BU14,CS14,CV14),1),0)</f>
        <v>50.72</v>
      </c>
      <c r="K14" s="8" t="str">
        <f t="shared" si="5"/>
        <v>2024 3rd Domestic Trial</v>
      </c>
      <c r="L14" s="8">
        <f>IF(COUNT(AQ14,AT14,BR14,BU14,CS14,CV14)&gt;1,LARGE((AQ14,AT14,BR14,BU14,CS14,CV14),2),0)</f>
        <v>50.09</v>
      </c>
      <c r="M14" s="8" t="str">
        <f t="shared" si="6"/>
        <v>2024 Nationals</v>
      </c>
      <c r="N14" s="8">
        <f>IF(COUNT(AQ14,AT14,BR14,BU14,CS14,CV14)&gt;2,LARGE((AQ14,AT14,BR14,BU14,CS14,CV14),3),0)</f>
        <v>49.54</v>
      </c>
      <c r="O14" s="8" t="str">
        <f t="shared" si="7"/>
        <v>2024 Nationals</v>
      </c>
      <c r="P14" s="8">
        <f t="shared" si="8"/>
        <v>50.530000000000008</v>
      </c>
      <c r="Q14" s="8" t="str">
        <f t="shared" si="9"/>
        <v>2024 Nationals</v>
      </c>
      <c r="R14" s="8">
        <f t="shared" si="10"/>
        <v>11.3</v>
      </c>
      <c r="S14" s="8" t="str">
        <f t="shared" si="11"/>
        <v>2024 3rd Domestic Trial</v>
      </c>
      <c r="T14" s="8">
        <f t="shared" si="12"/>
        <v>0</v>
      </c>
      <c r="U14" s="8" t="str">
        <f t="shared" si="13"/>
        <v/>
      </c>
      <c r="V14" s="8" t="str">
        <f t="shared" si="14"/>
        <v/>
      </c>
      <c r="W14" s="11" t="str">
        <f t="shared" si="15"/>
        <v/>
      </c>
      <c r="X14" s="8" t="str">
        <f t="shared" si="16"/>
        <v/>
      </c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7"/>
      <c r="AO14" s="38" t="str">
        <f t="shared" si="17"/>
        <v/>
      </c>
      <c r="AP14" s="38" t="str">
        <f t="shared" si="18"/>
        <v/>
      </c>
      <c r="AQ14" s="40" t="str">
        <f t="shared" si="19"/>
        <v/>
      </c>
      <c r="AR14" s="40" t="str">
        <f t="shared" si="20"/>
        <v/>
      </c>
      <c r="AS14" s="40" t="str">
        <f t="shared" si="21"/>
        <v/>
      </c>
      <c r="AT14" s="40" t="str">
        <f t="shared" si="22"/>
        <v/>
      </c>
      <c r="AU14" s="40" t="str">
        <f t="shared" si="23"/>
        <v/>
      </c>
      <c r="AV14" s="40" t="str">
        <f t="shared" si="24"/>
        <v/>
      </c>
      <c r="AW14" s="40" t="str">
        <f t="shared" si="25"/>
        <v/>
      </c>
      <c r="AX14" s="40" t="str">
        <f t="shared" si="26"/>
        <v/>
      </c>
      <c r="AY14" s="40" t="str">
        <f t="shared" si="27"/>
        <v/>
      </c>
      <c r="AZ14" s="26">
        <v>15.4</v>
      </c>
      <c r="BA14" s="26">
        <v>9.5</v>
      </c>
      <c r="BB14" s="26">
        <v>10.6</v>
      </c>
      <c r="BC14" s="26">
        <v>14.04</v>
      </c>
      <c r="BD14" s="26">
        <v>0</v>
      </c>
      <c r="BE14" s="26">
        <v>14.8</v>
      </c>
      <c r="BF14" s="26">
        <v>9.9</v>
      </c>
      <c r="BG14" s="26">
        <v>11.3</v>
      </c>
      <c r="BH14" s="26">
        <v>14.09</v>
      </c>
      <c r="BI14" s="26">
        <v>0</v>
      </c>
      <c r="BJ14" s="26">
        <v>15.4</v>
      </c>
      <c r="BK14" s="26">
        <v>9.6999999999999993</v>
      </c>
      <c r="BL14" s="26">
        <v>11.3</v>
      </c>
      <c r="BM14" s="26">
        <v>14.13</v>
      </c>
      <c r="BN14" s="26">
        <v>0</v>
      </c>
      <c r="BO14" s="28"/>
      <c r="BP14" s="39">
        <f t="shared" si="28"/>
        <v>10.6</v>
      </c>
      <c r="BQ14" s="39">
        <f t="shared" si="29"/>
        <v>14.04</v>
      </c>
      <c r="BR14" s="11">
        <f t="shared" si="30"/>
        <v>49.54</v>
      </c>
      <c r="BS14" s="11">
        <f t="shared" si="31"/>
        <v>11.3</v>
      </c>
      <c r="BT14" s="11">
        <f t="shared" si="32"/>
        <v>14.09</v>
      </c>
      <c r="BU14" s="11">
        <f t="shared" si="33"/>
        <v>50.09</v>
      </c>
      <c r="BV14" s="11">
        <f t="shared" si="34"/>
        <v>50.09</v>
      </c>
      <c r="BW14" s="11">
        <f t="shared" si="35"/>
        <v>11.3</v>
      </c>
      <c r="BX14" s="11">
        <f t="shared" si="36"/>
        <v>14.13</v>
      </c>
      <c r="BY14" s="11">
        <f t="shared" si="37"/>
        <v>50.530000000000008</v>
      </c>
      <c r="BZ14" s="11">
        <f t="shared" si="38"/>
        <v>100.62</v>
      </c>
      <c r="CA14" s="22">
        <v>14.3</v>
      </c>
      <c r="CB14" s="22">
        <v>8.6</v>
      </c>
      <c r="CC14" s="22">
        <v>10.1</v>
      </c>
      <c r="CD14" s="22">
        <v>14.37</v>
      </c>
      <c r="CE14" s="22">
        <v>1.1000000000000001</v>
      </c>
      <c r="CF14" s="22">
        <v>15.3</v>
      </c>
      <c r="CG14" s="22">
        <v>9.4</v>
      </c>
      <c r="CH14" s="22">
        <v>11.3</v>
      </c>
      <c r="CI14" s="22">
        <v>14.72</v>
      </c>
      <c r="CJ14" s="22">
        <v>0</v>
      </c>
      <c r="CK14" s="22">
        <v>15.2</v>
      </c>
      <c r="CL14" s="22">
        <v>9.1999999999999993</v>
      </c>
      <c r="CM14" s="22">
        <v>10.6</v>
      </c>
      <c r="CN14" s="22">
        <v>14.64</v>
      </c>
      <c r="CO14" s="22">
        <v>0.6</v>
      </c>
      <c r="CP14" s="27"/>
      <c r="CQ14" s="38">
        <f t="shared" si="39"/>
        <v>10.1</v>
      </c>
      <c r="CR14" s="38">
        <f t="shared" si="40"/>
        <v>14.37</v>
      </c>
      <c r="CS14" s="40">
        <f t="shared" si="41"/>
        <v>46.269999999999996</v>
      </c>
      <c r="CT14" s="40">
        <f t="shared" si="42"/>
        <v>11.3</v>
      </c>
      <c r="CU14" s="40">
        <f t="shared" si="43"/>
        <v>14.72</v>
      </c>
      <c r="CV14" s="40">
        <f t="shared" si="44"/>
        <v>50.72</v>
      </c>
      <c r="CW14" s="40">
        <f t="shared" si="45"/>
        <v>50.72</v>
      </c>
      <c r="CX14" s="40">
        <f t="shared" si="46"/>
        <v>10.6</v>
      </c>
      <c r="CY14" s="40">
        <f t="shared" si="47"/>
        <v>14.64</v>
      </c>
      <c r="CZ14" s="40">
        <f t="shared" si="48"/>
        <v>49.04</v>
      </c>
      <c r="DA14" s="40">
        <f t="shared" si="49"/>
        <v>99.759999999999991</v>
      </c>
      <c r="DB14" s="51" t="str">
        <f t="shared" si="50"/>
        <v/>
      </c>
      <c r="DC14" s="51" t="str">
        <f t="shared" si="51"/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 t="shared" si="52"/>
        <v/>
      </c>
      <c r="DY14" s="40" t="str">
        <f t="shared" si="53"/>
        <v/>
      </c>
      <c r="DZ14" s="40" t="str">
        <f t="shared" si="54"/>
        <v/>
      </c>
      <c r="EA14" s="40" t="str">
        <f t="shared" si="55"/>
        <v/>
      </c>
      <c r="EB14" s="40" t="str">
        <f t="shared" si="56"/>
        <v/>
      </c>
      <c r="EC14" s="40" t="str">
        <f t="shared" si="57"/>
        <v/>
      </c>
      <c r="ED14" s="40" t="str">
        <f t="shared" si="58"/>
        <v/>
      </c>
      <c r="EE14" s="40" t="str">
        <f t="shared" si="59"/>
        <v/>
      </c>
      <c r="EF14" s="40" t="str">
        <f t="shared" si="60"/>
        <v/>
      </c>
      <c r="EG14" s="40" t="str">
        <f t="shared" si="61"/>
        <v/>
      </c>
      <c r="EH14" s="40" t="str">
        <f t="shared" si="62"/>
        <v/>
      </c>
      <c r="EI14" s="40" t="str">
        <f t="shared" si="63"/>
        <v/>
      </c>
      <c r="EJ14" s="40" t="str">
        <f t="shared" si="64"/>
        <v/>
      </c>
      <c r="EK14" s="40" t="str">
        <f t="shared" si="65"/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 t="shared" si="66"/>
        <v/>
      </c>
      <c r="FG14" s="11" t="str">
        <f t="shared" si="67"/>
        <v/>
      </c>
      <c r="FH14" s="11" t="str">
        <f t="shared" si="68"/>
        <v/>
      </c>
      <c r="FI14" s="11" t="str">
        <f t="shared" si="69"/>
        <v/>
      </c>
      <c r="FJ14" s="11" t="str">
        <f t="shared" si="70"/>
        <v/>
      </c>
      <c r="FK14" s="11" t="str">
        <f t="shared" si="71"/>
        <v/>
      </c>
      <c r="FL14" s="11" t="str">
        <f t="shared" si="72"/>
        <v/>
      </c>
      <c r="FM14" s="11" t="str">
        <f t="shared" si="73"/>
        <v/>
      </c>
      <c r="FN14" s="11" t="str">
        <f t="shared" si="74"/>
        <v/>
      </c>
      <c r="FO14" s="11" t="str">
        <f t="shared" si="75"/>
        <v/>
      </c>
      <c r="FP14" s="11" t="str">
        <f t="shared" si="76"/>
        <v/>
      </c>
      <c r="FQ14" s="11" t="str">
        <f t="shared" si="77"/>
        <v/>
      </c>
      <c r="FR14" s="11" t="str">
        <f t="shared" si="78"/>
        <v/>
      </c>
      <c r="FS14" s="11" t="str">
        <f t="shared" si="79"/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 t="shared" si="80"/>
        <v/>
      </c>
      <c r="GO14" s="40" t="str">
        <f t="shared" si="81"/>
        <v/>
      </c>
      <c r="GP14" s="40" t="str">
        <f t="shared" si="82"/>
        <v/>
      </c>
      <c r="GQ14" s="40" t="str">
        <f t="shared" si="83"/>
        <v/>
      </c>
      <c r="GR14" s="40" t="str">
        <f t="shared" si="84"/>
        <v/>
      </c>
      <c r="GS14" s="40" t="str">
        <f t="shared" si="85"/>
        <v/>
      </c>
      <c r="GT14" s="40" t="str">
        <f t="shared" si="86"/>
        <v/>
      </c>
      <c r="GU14" s="40" t="str">
        <f t="shared" si="87"/>
        <v/>
      </c>
      <c r="GV14" s="40" t="str">
        <f t="shared" si="88"/>
        <v/>
      </c>
      <c r="GW14" s="40" t="str">
        <f t="shared" si="89"/>
        <v/>
      </c>
      <c r="GX14" s="40" t="str">
        <f t="shared" si="90"/>
        <v/>
      </c>
      <c r="GY14" s="40" t="str">
        <f t="shared" si="91"/>
        <v/>
      </c>
      <c r="GZ14" s="40" t="str">
        <f t="shared" si="92"/>
        <v/>
      </c>
      <c r="HA14" s="40" t="str">
        <f t="shared" si="93"/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 t="shared" si="94"/>
        <v/>
      </c>
      <c r="HW14" s="11" t="str">
        <f t="shared" si="95"/>
        <v/>
      </c>
      <c r="HX14" s="11" t="str">
        <f t="shared" si="96"/>
        <v/>
      </c>
      <c r="HY14" s="11" t="str">
        <f t="shared" si="97"/>
        <v/>
      </c>
      <c r="HZ14" s="11" t="str">
        <f t="shared" si="98"/>
        <v/>
      </c>
      <c r="IA14" s="11" t="str">
        <f t="shared" si="99"/>
        <v/>
      </c>
      <c r="IB14" s="11" t="str">
        <f t="shared" si="100"/>
        <v/>
      </c>
      <c r="IC14" s="11" t="str">
        <f t="shared" si="101"/>
        <v/>
      </c>
      <c r="ID14" s="11" t="str">
        <f t="shared" si="102"/>
        <v/>
      </c>
      <c r="IE14" s="11" t="str">
        <f t="shared" si="103"/>
        <v/>
      </c>
      <c r="IF14" s="11" t="str">
        <f t="shared" si="104"/>
        <v/>
      </c>
      <c r="IG14" s="11" t="str">
        <f t="shared" si="105"/>
        <v/>
      </c>
      <c r="IH14" s="11" t="str">
        <f t="shared" si="106"/>
        <v/>
      </c>
      <c r="II14" s="11" t="str">
        <f t="shared" si="107"/>
        <v/>
      </c>
      <c r="IJ14" s="17">
        <v>12.9</v>
      </c>
      <c r="IK14" s="17">
        <v>9.4</v>
      </c>
      <c r="IL14" s="17">
        <v>10.4</v>
      </c>
      <c r="IM14" s="17">
        <v>13.66</v>
      </c>
      <c r="IN14" s="17">
        <v>0</v>
      </c>
      <c r="IO14" s="17">
        <v>12.9</v>
      </c>
      <c r="IP14" s="17">
        <v>9</v>
      </c>
      <c r="IQ14" s="17">
        <v>11.3</v>
      </c>
      <c r="IR14" s="17">
        <v>14.07</v>
      </c>
      <c r="IS14" s="17">
        <v>0</v>
      </c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>
        <f t="shared" si="108"/>
        <v>10.4</v>
      </c>
      <c r="JE14" s="40">
        <f t="shared" si="109"/>
        <v>13.66</v>
      </c>
      <c r="JF14" s="40">
        <f t="shared" si="110"/>
        <v>46.36</v>
      </c>
      <c r="JG14" s="40">
        <f t="shared" si="111"/>
        <v>11.3</v>
      </c>
      <c r="JH14" s="40">
        <f t="shared" si="112"/>
        <v>14.07</v>
      </c>
      <c r="JI14" s="40">
        <f t="shared" si="113"/>
        <v>47.27</v>
      </c>
      <c r="JJ14" s="40">
        <f t="shared" si="114"/>
        <v>47.27</v>
      </c>
      <c r="JK14" s="40" t="str">
        <f t="shared" si="115"/>
        <v/>
      </c>
      <c r="JL14" s="40" t="str">
        <f t="shared" si="116"/>
        <v/>
      </c>
      <c r="JM14" s="40" t="str">
        <f t="shared" si="117"/>
        <v/>
      </c>
      <c r="JN14" s="40" t="str">
        <f t="shared" si="118"/>
        <v/>
      </c>
      <c r="JO14" s="40" t="str">
        <f t="shared" si="119"/>
        <v/>
      </c>
      <c r="JP14" s="40" t="str">
        <f t="shared" si="120"/>
        <v/>
      </c>
      <c r="JQ14" s="40">
        <f t="shared" si="121"/>
        <v>47.27</v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 t="shared" si="122"/>
        <v/>
      </c>
      <c r="KM14" s="11" t="str">
        <f t="shared" si="123"/>
        <v/>
      </c>
      <c r="KN14" s="11" t="str">
        <f t="shared" si="124"/>
        <v/>
      </c>
      <c r="KO14" s="11" t="str">
        <f t="shared" si="125"/>
        <v/>
      </c>
      <c r="KP14" s="11" t="str">
        <f t="shared" si="126"/>
        <v/>
      </c>
      <c r="KQ14" s="11" t="str">
        <f t="shared" si="127"/>
        <v/>
      </c>
      <c r="KR14" s="11" t="str">
        <f t="shared" si="128"/>
        <v/>
      </c>
      <c r="KS14" s="11" t="str">
        <f t="shared" si="129"/>
        <v/>
      </c>
      <c r="KT14" s="11" t="str">
        <f t="shared" si="130"/>
        <v/>
      </c>
      <c r="KU14" s="11" t="str">
        <f t="shared" si="131"/>
        <v/>
      </c>
      <c r="KV14" s="11" t="str">
        <f t="shared" si="132"/>
        <v/>
      </c>
      <c r="KW14" s="11" t="str">
        <f t="shared" si="133"/>
        <v/>
      </c>
      <c r="KX14" s="11" t="str">
        <f t="shared" si="134"/>
        <v/>
      </c>
      <c r="KY14" s="11" t="str">
        <f t="shared" si="135"/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 t="shared" si="136"/>
        <v/>
      </c>
      <c r="LU14" s="40" t="str">
        <f t="shared" si="137"/>
        <v/>
      </c>
      <c r="LV14" s="40" t="str">
        <f t="shared" si="138"/>
        <v/>
      </c>
      <c r="LW14" s="40" t="str">
        <f t="shared" si="139"/>
        <v/>
      </c>
      <c r="LX14" s="40" t="str">
        <f t="shared" si="140"/>
        <v/>
      </c>
      <c r="LY14" s="40" t="str">
        <f t="shared" si="141"/>
        <v/>
      </c>
      <c r="LZ14" s="40" t="str">
        <f t="shared" si="142"/>
        <v/>
      </c>
      <c r="MA14" s="40" t="str">
        <f t="shared" si="143"/>
        <v/>
      </c>
      <c r="MB14" s="40" t="str">
        <f t="shared" si="144"/>
        <v/>
      </c>
      <c r="MC14" s="40" t="str">
        <f t="shared" si="145"/>
        <v/>
      </c>
      <c r="MD14" s="40" t="str">
        <f t="shared" si="146"/>
        <v/>
      </c>
      <c r="ME14" s="40" t="str">
        <f t="shared" si="147"/>
        <v/>
      </c>
      <c r="MF14" s="40" t="str">
        <f t="shared" si="148"/>
        <v/>
      </c>
      <c r="MG14" s="40" t="str">
        <f t="shared" si="149"/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 t="shared" si="150"/>
        <v/>
      </c>
      <c r="NC14" s="11" t="str">
        <f t="shared" si="151"/>
        <v/>
      </c>
      <c r="ND14" s="11" t="str">
        <f t="shared" si="152"/>
        <v/>
      </c>
      <c r="NE14" s="11" t="str">
        <f t="shared" si="153"/>
        <v/>
      </c>
      <c r="NF14" s="11" t="str">
        <f t="shared" si="154"/>
        <v/>
      </c>
      <c r="NG14" s="11" t="str">
        <f t="shared" si="155"/>
        <v/>
      </c>
      <c r="NH14" s="11" t="str">
        <f t="shared" si="156"/>
        <v/>
      </c>
      <c r="NI14" s="11" t="str">
        <f t="shared" si="157"/>
        <v/>
      </c>
      <c r="NJ14" s="11" t="str">
        <f t="shared" si="158"/>
        <v/>
      </c>
      <c r="NK14" s="11" t="str">
        <f t="shared" si="159"/>
        <v/>
      </c>
      <c r="NL14" s="11" t="str">
        <f t="shared" si="160"/>
        <v/>
      </c>
      <c r="NM14" s="11" t="str">
        <f t="shared" si="161"/>
        <v/>
      </c>
      <c r="NN14" s="11" t="str">
        <f t="shared" si="162"/>
        <v/>
      </c>
      <c r="NO14" s="11" t="str">
        <f t="shared" si="163"/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 t="shared" si="164"/>
        <v/>
      </c>
      <c r="OK14" s="40" t="str">
        <f t="shared" si="165"/>
        <v/>
      </c>
      <c r="OL14" s="40" t="str">
        <f t="shared" si="166"/>
        <v/>
      </c>
      <c r="OM14" s="40" t="str">
        <f t="shared" si="167"/>
        <v/>
      </c>
      <c r="ON14" s="40" t="str">
        <f t="shared" si="168"/>
        <v/>
      </c>
      <c r="OO14" s="40" t="str">
        <f t="shared" si="169"/>
        <v/>
      </c>
      <c r="OP14" s="40" t="str">
        <f t="shared" si="170"/>
        <v/>
      </c>
      <c r="OQ14" s="40" t="str">
        <f t="shared" si="171"/>
        <v/>
      </c>
      <c r="OR14" s="40" t="str">
        <f t="shared" si="172"/>
        <v/>
      </c>
      <c r="OS14" s="40" t="str">
        <f t="shared" si="173"/>
        <v/>
      </c>
      <c r="OT14" s="40" t="str">
        <f t="shared" si="174"/>
        <v/>
      </c>
      <c r="OU14" s="40" t="str">
        <f t="shared" si="175"/>
        <v/>
      </c>
      <c r="OV14" s="40" t="str">
        <f t="shared" si="176"/>
        <v/>
      </c>
      <c r="OW14" s="40" t="str">
        <f t="shared" si="177"/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 t="shared" si="178"/>
        <v/>
      </c>
      <c r="PS14" s="11" t="str">
        <f t="shared" si="179"/>
        <v/>
      </c>
      <c r="PT14" s="11" t="str">
        <f t="shared" si="180"/>
        <v/>
      </c>
      <c r="PU14" s="11" t="str">
        <f t="shared" si="181"/>
        <v/>
      </c>
      <c r="PV14" s="11" t="str">
        <f t="shared" si="182"/>
        <v/>
      </c>
      <c r="PW14" s="11" t="str">
        <f t="shared" si="183"/>
        <v/>
      </c>
      <c r="PX14" s="11" t="str">
        <f t="shared" si="184"/>
        <v/>
      </c>
      <c r="PY14" s="11" t="str">
        <f t="shared" si="185"/>
        <v/>
      </c>
      <c r="PZ14" s="11" t="str">
        <f t="shared" si="186"/>
        <v/>
      </c>
      <c r="QA14" s="11" t="str">
        <f t="shared" si="187"/>
        <v/>
      </c>
      <c r="QB14" s="11" t="str">
        <f t="shared" si="188"/>
        <v/>
      </c>
      <c r="QC14" s="11" t="str">
        <f t="shared" si="189"/>
        <v/>
      </c>
      <c r="QD14" s="11" t="str">
        <f t="shared" si="190"/>
        <v/>
      </c>
      <c r="QE14" s="11" t="str">
        <f t="shared" si="191"/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 t="shared" si="192"/>
        <v/>
      </c>
      <c r="RA14" s="40" t="str">
        <f t="shared" si="193"/>
        <v/>
      </c>
      <c r="RB14" s="40" t="str">
        <f t="shared" si="194"/>
        <v/>
      </c>
      <c r="RC14" s="40" t="str">
        <f t="shared" si="195"/>
        <v/>
      </c>
      <c r="RD14" s="40" t="str">
        <f t="shared" si="196"/>
        <v/>
      </c>
      <c r="RE14" s="40" t="str">
        <f t="shared" si="197"/>
        <v/>
      </c>
      <c r="RF14" s="40" t="str">
        <f t="shared" si="198"/>
        <v/>
      </c>
      <c r="RG14" s="40" t="str">
        <f t="shared" si="199"/>
        <v/>
      </c>
      <c r="RH14" s="40" t="str">
        <f t="shared" si="200"/>
        <v/>
      </c>
      <c r="RI14" s="40" t="str">
        <f t="shared" si="201"/>
        <v/>
      </c>
      <c r="RJ14" s="40" t="str">
        <f t="shared" si="202"/>
        <v/>
      </c>
      <c r="RK14" s="40" t="str">
        <f t="shared" si="203"/>
        <v/>
      </c>
      <c r="RL14" s="40" t="str">
        <f t="shared" si="204"/>
        <v/>
      </c>
      <c r="RM14" s="40" t="str">
        <f t="shared" si="205"/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 t="shared" si="206"/>
        <v/>
      </c>
      <c r="SI14" s="11" t="str">
        <f t="shared" si="207"/>
        <v/>
      </c>
      <c r="SJ14" s="11" t="str">
        <f t="shared" si="208"/>
        <v/>
      </c>
      <c r="SK14" s="11" t="str">
        <f t="shared" si="209"/>
        <v/>
      </c>
      <c r="SL14" s="11" t="str">
        <f t="shared" si="210"/>
        <v/>
      </c>
      <c r="SM14" s="11" t="str">
        <f t="shared" si="211"/>
        <v/>
      </c>
      <c r="SN14" s="11" t="str">
        <f t="shared" si="212"/>
        <v/>
      </c>
      <c r="SO14" s="11" t="str">
        <f t="shared" si="213"/>
        <v/>
      </c>
      <c r="SP14" s="11" t="str">
        <f t="shared" si="214"/>
        <v/>
      </c>
      <c r="SQ14" s="11" t="str">
        <f t="shared" si="215"/>
        <v/>
      </c>
      <c r="SR14" s="11" t="str">
        <f t="shared" si="216"/>
        <v/>
      </c>
      <c r="SS14" s="11" t="str">
        <f t="shared" si="217"/>
        <v/>
      </c>
      <c r="ST14" s="11" t="str">
        <f t="shared" si="218"/>
        <v/>
      </c>
      <c r="SU14" s="11" t="str">
        <f t="shared" si="219"/>
        <v/>
      </c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40" t="str">
        <f t="shared" si="220"/>
        <v/>
      </c>
      <c r="TQ14" s="40" t="str">
        <f t="shared" si="221"/>
        <v/>
      </c>
      <c r="TR14" s="40" t="str">
        <f t="shared" si="222"/>
        <v/>
      </c>
      <c r="TS14" s="40" t="str">
        <f t="shared" si="223"/>
        <v/>
      </c>
      <c r="TT14" s="40" t="str">
        <f t="shared" si="224"/>
        <v/>
      </c>
      <c r="TU14" s="40" t="str">
        <f t="shared" si="225"/>
        <v/>
      </c>
      <c r="TV14" s="40" t="str">
        <f t="shared" si="226"/>
        <v/>
      </c>
      <c r="TW14" s="40" t="str">
        <f t="shared" si="227"/>
        <v/>
      </c>
      <c r="TX14" s="40" t="str">
        <f t="shared" si="228"/>
        <v/>
      </c>
      <c r="TY14" s="40" t="str">
        <f t="shared" si="229"/>
        <v/>
      </c>
      <c r="TZ14" s="40" t="str">
        <f t="shared" si="230"/>
        <v/>
      </c>
      <c r="UA14" s="40" t="str">
        <f t="shared" si="231"/>
        <v/>
      </c>
      <c r="UB14" s="40" t="str">
        <f t="shared" si="232"/>
        <v/>
      </c>
      <c r="UC14" s="40" t="str">
        <f t="shared" si="233"/>
        <v/>
      </c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8"/>
      <c r="UQ14" s="18"/>
      <c r="UR14" s="18"/>
      <c r="US14" s="18"/>
      <c r="UT14" s="18"/>
      <c r="UU14" s="18"/>
      <c r="UV14" s="18"/>
      <c r="UW14" s="18"/>
      <c r="UX14" s="11" t="str">
        <f t="shared" si="234"/>
        <v/>
      </c>
      <c r="UY14" s="11" t="str">
        <f t="shared" si="235"/>
        <v/>
      </c>
      <c r="UZ14" s="11" t="str">
        <f t="shared" si="236"/>
        <v/>
      </c>
      <c r="VA14" s="11" t="str">
        <f t="shared" si="237"/>
        <v/>
      </c>
      <c r="VB14" s="11" t="str">
        <f t="shared" si="238"/>
        <v/>
      </c>
      <c r="VC14" s="11" t="str">
        <f t="shared" si="239"/>
        <v/>
      </c>
      <c r="VD14" s="11" t="str">
        <f t="shared" si="240"/>
        <v/>
      </c>
      <c r="VE14" s="11" t="str">
        <f t="shared" si="241"/>
        <v/>
      </c>
      <c r="VF14" s="11" t="str">
        <f t="shared" si="242"/>
        <v/>
      </c>
      <c r="VG14" s="11" t="str">
        <f t="shared" si="243"/>
        <v/>
      </c>
      <c r="VH14" s="11" t="str">
        <f t="shared" si="244"/>
        <v/>
      </c>
      <c r="VI14" s="11" t="str">
        <f t="shared" si="245"/>
        <v/>
      </c>
      <c r="VJ14" s="11" t="str">
        <f t="shared" si="246"/>
        <v/>
      </c>
      <c r="VK14" s="11" t="str">
        <f t="shared" si="247"/>
        <v/>
      </c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40" t="str">
        <f t="shared" si="248"/>
        <v/>
      </c>
      <c r="WG14" s="40" t="str">
        <f t="shared" si="249"/>
        <v/>
      </c>
      <c r="WH14" s="40" t="str">
        <f t="shared" si="250"/>
        <v/>
      </c>
      <c r="WI14" s="40" t="str">
        <f t="shared" si="251"/>
        <v/>
      </c>
      <c r="WJ14" s="40" t="str">
        <f t="shared" si="252"/>
        <v/>
      </c>
      <c r="WK14" s="40" t="str">
        <f t="shared" si="253"/>
        <v/>
      </c>
      <c r="WL14" s="40" t="str">
        <f t="shared" si="254"/>
        <v/>
      </c>
      <c r="WM14" s="40" t="str">
        <f t="shared" si="255"/>
        <v/>
      </c>
      <c r="WN14" s="40" t="str">
        <f t="shared" si="256"/>
        <v/>
      </c>
      <c r="WO14" s="40" t="str">
        <f t="shared" si="257"/>
        <v/>
      </c>
      <c r="WP14" s="40" t="str">
        <f t="shared" si="258"/>
        <v/>
      </c>
      <c r="WQ14" s="40" t="str">
        <f t="shared" si="259"/>
        <v/>
      </c>
      <c r="WR14" s="40" t="str">
        <f t="shared" si="260"/>
        <v/>
      </c>
      <c r="WS14" s="40" t="str">
        <f t="shared" si="261"/>
        <v/>
      </c>
      <c r="WT14" s="26">
        <f t="shared" si="262"/>
        <v>14.850000000000001</v>
      </c>
      <c r="WU14" s="26">
        <f t="shared" si="263"/>
        <v>9.0500000000000007</v>
      </c>
      <c r="WV14" s="26">
        <f t="shared" si="264"/>
        <v>10.35</v>
      </c>
      <c r="WW14" s="26">
        <f t="shared" si="265"/>
        <v>14.204999999999998</v>
      </c>
      <c r="WX14" s="26">
        <f t="shared" si="266"/>
        <v>0.55000000000000004</v>
      </c>
      <c r="WY14" s="26">
        <f t="shared" si="267"/>
        <v>15.05</v>
      </c>
      <c r="WZ14" s="26">
        <f t="shared" si="268"/>
        <v>9.65</v>
      </c>
      <c r="XA14" s="26">
        <f t="shared" si="269"/>
        <v>11.3</v>
      </c>
      <c r="XB14" s="26">
        <f t="shared" si="270"/>
        <v>14.405000000000001</v>
      </c>
      <c r="XC14" s="26">
        <f t="shared" si="271"/>
        <v>0</v>
      </c>
      <c r="XD14" s="26">
        <f t="shared" si="272"/>
        <v>15.3</v>
      </c>
      <c r="XE14" s="26">
        <f t="shared" si="273"/>
        <v>9.4499999999999993</v>
      </c>
      <c r="XF14" s="26">
        <f t="shared" si="274"/>
        <v>10.95</v>
      </c>
      <c r="XG14" s="26">
        <f t="shared" si="275"/>
        <v>14.385000000000002</v>
      </c>
      <c r="XH14" s="26">
        <f t="shared" si="276"/>
        <v>0.3</v>
      </c>
      <c r="XI14" s="28" t="s">
        <v>53</v>
      </c>
      <c r="XJ14" s="11">
        <f t="shared" si="277"/>
        <v>10.35</v>
      </c>
      <c r="XK14" s="11">
        <f t="shared" si="278"/>
        <v>14.204999999999998</v>
      </c>
      <c r="XL14" s="11">
        <f t="shared" si="279"/>
        <v>47.905000000000001</v>
      </c>
      <c r="XM14" s="11">
        <f t="shared" si="280"/>
        <v>11.3</v>
      </c>
      <c r="XN14" s="11">
        <f t="shared" si="281"/>
        <v>14.405000000000001</v>
      </c>
      <c r="XO14" s="11">
        <f t="shared" si="282"/>
        <v>50.405000000000001</v>
      </c>
      <c r="XP14" s="11">
        <f t="shared" si="283"/>
        <v>50.405000000000001</v>
      </c>
      <c r="XQ14" s="11">
        <f t="shared" si="284"/>
        <v>10.95</v>
      </c>
      <c r="XR14" s="11">
        <f t="shared" si="285"/>
        <v>14.385000000000002</v>
      </c>
      <c r="XS14" s="11">
        <f t="shared" si="286"/>
        <v>49.785000000000011</v>
      </c>
      <c r="XT14" s="11">
        <f t="shared" si="287"/>
        <v>100.19000000000001</v>
      </c>
    </row>
    <row r="15" spans="1:644" x14ac:dyDescent="0.2">
      <c r="A15" s="4" cm="1">
        <f t="array" ref="A15">IF(AND(H15&lt;&gt;"",H15&lt;&gt;"No DD"),SUMPRODUCT((H$4:H$18&lt;&gt;"")*(H$4:H$18&lt;&gt;"No DD")*(E$4:E$18&gt;E15))+1,IF(H15="No DD",SUMPRODUCT((H$4:H$18="No DD")*(E$4:E$18&gt;E15))+1+SUMPRODUCT((H$4:H$18&lt;&gt;"")*(H$4:H$18&lt;&gt;"No DD")),""))</f>
        <v>11</v>
      </c>
      <c r="B15" s="5" t="s">
        <v>155</v>
      </c>
      <c r="C15" s="4" t="s">
        <v>7</v>
      </c>
      <c r="D15" s="4">
        <v>2006</v>
      </c>
      <c r="E15" s="9">
        <f t="shared" si="0"/>
        <v>204.84001796400486</v>
      </c>
      <c r="F15" s="3" t="str">
        <f t="shared" si="1"/>
        <v/>
      </c>
      <c r="G15" s="3" t="str">
        <f t="shared" si="2"/>
        <v>P</v>
      </c>
      <c r="H15" s="36" t="str">
        <f t="shared" si="3"/>
        <v>No DD</v>
      </c>
      <c r="I15" s="3" t="str">
        <f t="shared" si="4"/>
        <v/>
      </c>
      <c r="J15" s="8">
        <f>IF(COUNT(AQ15,AT15,BR15,BU15,CS15,CV15)&gt;0,LARGE((AQ15,AT15,BR15,BU15,CS15,CV15),1),0)</f>
        <v>48.66</v>
      </c>
      <c r="K15" s="8" t="str">
        <f t="shared" si="5"/>
        <v>2024 Nationals</v>
      </c>
      <c r="L15" s="8">
        <f>IF(COUNT(AQ15,AT15,BR15,BU15,CS15,CV15)&gt;1,LARGE((AQ15,AT15,BR15,BU15,CS15,CV15),2),0)</f>
        <v>45.51</v>
      </c>
      <c r="M15" s="8" t="str">
        <f t="shared" si="6"/>
        <v>2024 Nationals</v>
      </c>
      <c r="N15" s="8">
        <f>IF(COUNT(AQ15,AT15,BR15,BU15,CS15,CV15)&gt;2,LARGE((AQ15,AT15,BR15,BU15,CS15,CV15),3),0)</f>
        <v>24.770000000000003</v>
      </c>
      <c r="O15" s="8" t="str">
        <f t="shared" si="7"/>
        <v>2024 Elite Canada</v>
      </c>
      <c r="P15" s="8">
        <f t="shared" si="8"/>
        <v>49.3</v>
      </c>
      <c r="Q15" s="8" t="str">
        <f t="shared" si="9"/>
        <v>2024 Nationals</v>
      </c>
      <c r="R15" s="8">
        <f t="shared" si="10"/>
        <v>11.4</v>
      </c>
      <c r="S15" s="8" t="str">
        <f t="shared" si="11"/>
        <v>2024 Nationals</v>
      </c>
      <c r="T15" s="8">
        <f t="shared" si="12"/>
        <v>0</v>
      </c>
      <c r="U15" s="8" t="str">
        <f t="shared" si="13"/>
        <v/>
      </c>
      <c r="V15" s="8">
        <f t="shared" si="14"/>
        <v>25.199999999999996</v>
      </c>
      <c r="W15" s="11" t="str">
        <f t="shared" si="15"/>
        <v>(Prelim)</v>
      </c>
      <c r="X15" s="8" t="str">
        <f t="shared" si="16"/>
        <v>2024 Coimbra Gym Fest (July 7)</v>
      </c>
      <c r="Y15" s="22">
        <v>7.5</v>
      </c>
      <c r="Z15" s="22">
        <v>4.2</v>
      </c>
      <c r="AA15" s="22">
        <v>5.4</v>
      </c>
      <c r="AB15" s="22">
        <v>7.67</v>
      </c>
      <c r="AC15" s="22">
        <v>0</v>
      </c>
      <c r="AD15" s="22">
        <v>7.3</v>
      </c>
      <c r="AE15" s="22">
        <v>4</v>
      </c>
      <c r="AF15" s="22">
        <v>5.0999999999999996</v>
      </c>
      <c r="AG15" s="22">
        <v>7.41</v>
      </c>
      <c r="AH15" s="22">
        <v>0</v>
      </c>
      <c r="AI15" s="22"/>
      <c r="AJ15" s="22"/>
      <c r="AK15" s="22"/>
      <c r="AL15" s="22"/>
      <c r="AM15" s="22"/>
      <c r="AN15" s="27"/>
      <c r="AO15" s="38">
        <f t="shared" si="17"/>
        <v>5.4</v>
      </c>
      <c r="AP15" s="38">
        <f t="shared" si="18"/>
        <v>7.67</v>
      </c>
      <c r="AQ15" s="40">
        <f t="shared" si="19"/>
        <v>24.770000000000003</v>
      </c>
      <c r="AR15" s="40">
        <f t="shared" si="20"/>
        <v>5.0999999999999996</v>
      </c>
      <c r="AS15" s="40">
        <f t="shared" si="21"/>
        <v>7.41</v>
      </c>
      <c r="AT15" s="40">
        <f t="shared" si="22"/>
        <v>23.81</v>
      </c>
      <c r="AU15" s="40">
        <f t="shared" si="23"/>
        <v>24.770000000000003</v>
      </c>
      <c r="AV15" s="40" t="str">
        <f t="shared" si="24"/>
        <v/>
      </c>
      <c r="AW15" s="40" t="str">
        <f t="shared" si="25"/>
        <v/>
      </c>
      <c r="AX15" s="40" t="str">
        <f t="shared" si="26"/>
        <v/>
      </c>
      <c r="AY15" s="40">
        <f t="shared" si="27"/>
        <v>24.770000000000003</v>
      </c>
      <c r="AZ15" s="26">
        <v>15.1</v>
      </c>
      <c r="BA15" s="26">
        <v>9.1</v>
      </c>
      <c r="BB15" s="26">
        <v>9.3000000000000007</v>
      </c>
      <c r="BC15" s="26">
        <v>13.91</v>
      </c>
      <c r="BD15" s="26">
        <v>1.9</v>
      </c>
      <c r="BE15" s="26">
        <v>15.7</v>
      </c>
      <c r="BF15" s="26">
        <v>9.3000000000000007</v>
      </c>
      <c r="BG15" s="26">
        <v>10</v>
      </c>
      <c r="BH15" s="26">
        <v>14.86</v>
      </c>
      <c r="BI15" s="26">
        <v>1.2</v>
      </c>
      <c r="BJ15" s="26">
        <v>14.4</v>
      </c>
      <c r="BK15" s="26">
        <v>9.1</v>
      </c>
      <c r="BL15" s="26">
        <v>11.4</v>
      </c>
      <c r="BM15" s="26">
        <v>14.4</v>
      </c>
      <c r="BN15" s="26">
        <v>0</v>
      </c>
      <c r="BO15" s="28"/>
      <c r="BP15" s="39">
        <f t="shared" si="28"/>
        <v>9.3000000000000007</v>
      </c>
      <c r="BQ15" s="39">
        <f t="shared" si="29"/>
        <v>13.91</v>
      </c>
      <c r="BR15" s="11">
        <f t="shared" si="30"/>
        <v>45.51</v>
      </c>
      <c r="BS15" s="11">
        <f t="shared" si="31"/>
        <v>10</v>
      </c>
      <c r="BT15" s="11">
        <f t="shared" si="32"/>
        <v>14.86</v>
      </c>
      <c r="BU15" s="11">
        <f t="shared" si="33"/>
        <v>48.66</v>
      </c>
      <c r="BV15" s="11">
        <f t="shared" si="34"/>
        <v>48.66</v>
      </c>
      <c r="BW15" s="11">
        <f t="shared" si="35"/>
        <v>11.4</v>
      </c>
      <c r="BX15" s="11">
        <f t="shared" si="36"/>
        <v>14.4</v>
      </c>
      <c r="BY15" s="11">
        <f t="shared" si="37"/>
        <v>49.3</v>
      </c>
      <c r="BZ15" s="11">
        <f t="shared" si="38"/>
        <v>97.96</v>
      </c>
      <c r="CA15" s="22"/>
      <c r="CB15" s="22"/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2"/>
      <c r="CO15" s="22"/>
      <c r="CP15" s="27"/>
      <c r="CQ15" s="38" t="str">
        <f t="shared" si="39"/>
        <v/>
      </c>
      <c r="CR15" s="38" t="str">
        <f t="shared" si="40"/>
        <v/>
      </c>
      <c r="CS15" s="40" t="str">
        <f t="shared" si="41"/>
        <v/>
      </c>
      <c r="CT15" s="40" t="str">
        <f t="shared" si="42"/>
        <v/>
      </c>
      <c r="CU15" s="40" t="str">
        <f t="shared" si="43"/>
        <v/>
      </c>
      <c r="CV15" s="40" t="str">
        <f t="shared" si="44"/>
        <v/>
      </c>
      <c r="CW15" s="40" t="str">
        <f t="shared" si="45"/>
        <v/>
      </c>
      <c r="CX15" s="40" t="str">
        <f t="shared" si="46"/>
        <v/>
      </c>
      <c r="CY15" s="40" t="str">
        <f t="shared" si="47"/>
        <v/>
      </c>
      <c r="CZ15" s="40" t="str">
        <f t="shared" si="48"/>
        <v/>
      </c>
      <c r="DA15" s="40" t="str">
        <f t="shared" si="49"/>
        <v/>
      </c>
      <c r="DB15" s="51">
        <f t="shared" si="50"/>
        <v>25.199999999999996</v>
      </c>
      <c r="DC15" s="51" t="str">
        <f t="shared" si="51"/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 t="shared" si="52"/>
        <v/>
      </c>
      <c r="DY15" s="40" t="str">
        <f t="shared" si="53"/>
        <v/>
      </c>
      <c r="DZ15" s="40" t="str">
        <f t="shared" si="54"/>
        <v/>
      </c>
      <c r="EA15" s="40" t="str">
        <f t="shared" si="55"/>
        <v/>
      </c>
      <c r="EB15" s="40" t="str">
        <f t="shared" si="56"/>
        <v/>
      </c>
      <c r="EC15" s="40" t="str">
        <f t="shared" si="57"/>
        <v/>
      </c>
      <c r="ED15" s="40" t="str">
        <f t="shared" si="58"/>
        <v/>
      </c>
      <c r="EE15" s="40" t="str">
        <f t="shared" si="59"/>
        <v/>
      </c>
      <c r="EF15" s="40" t="str">
        <f t="shared" si="60"/>
        <v/>
      </c>
      <c r="EG15" s="40" t="str">
        <f t="shared" si="61"/>
        <v/>
      </c>
      <c r="EH15" s="40" t="str">
        <f t="shared" si="62"/>
        <v/>
      </c>
      <c r="EI15" s="40" t="str">
        <f t="shared" si="63"/>
        <v/>
      </c>
      <c r="EJ15" s="40" t="str">
        <f t="shared" si="64"/>
        <v/>
      </c>
      <c r="EK15" s="40" t="str">
        <f t="shared" si="65"/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 t="shared" si="66"/>
        <v/>
      </c>
      <c r="FG15" s="11" t="str">
        <f t="shared" si="67"/>
        <v/>
      </c>
      <c r="FH15" s="11" t="str">
        <f t="shared" si="68"/>
        <v/>
      </c>
      <c r="FI15" s="11" t="str">
        <f t="shared" si="69"/>
        <v/>
      </c>
      <c r="FJ15" s="11" t="str">
        <f t="shared" si="70"/>
        <v/>
      </c>
      <c r="FK15" s="11" t="str">
        <f t="shared" si="71"/>
        <v/>
      </c>
      <c r="FL15" s="11" t="str">
        <f t="shared" si="72"/>
        <v/>
      </c>
      <c r="FM15" s="11" t="str">
        <f t="shared" si="73"/>
        <v/>
      </c>
      <c r="FN15" s="11" t="str">
        <f t="shared" si="74"/>
        <v/>
      </c>
      <c r="FO15" s="11" t="str">
        <f t="shared" si="75"/>
        <v/>
      </c>
      <c r="FP15" s="11" t="str">
        <f t="shared" si="76"/>
        <v/>
      </c>
      <c r="FQ15" s="11" t="str">
        <f t="shared" si="77"/>
        <v/>
      </c>
      <c r="FR15" s="11" t="str">
        <f t="shared" si="78"/>
        <v/>
      </c>
      <c r="FS15" s="11" t="str">
        <f t="shared" si="79"/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 t="shared" si="80"/>
        <v/>
      </c>
      <c r="GO15" s="40" t="str">
        <f t="shared" si="81"/>
        <v/>
      </c>
      <c r="GP15" s="40" t="str">
        <f t="shared" si="82"/>
        <v/>
      </c>
      <c r="GQ15" s="40" t="str">
        <f t="shared" si="83"/>
        <v/>
      </c>
      <c r="GR15" s="40" t="str">
        <f t="shared" si="84"/>
        <v/>
      </c>
      <c r="GS15" s="40" t="str">
        <f t="shared" si="85"/>
        <v/>
      </c>
      <c r="GT15" s="40" t="str">
        <f t="shared" si="86"/>
        <v/>
      </c>
      <c r="GU15" s="40" t="str">
        <f t="shared" si="87"/>
        <v/>
      </c>
      <c r="GV15" s="40" t="str">
        <f t="shared" si="88"/>
        <v/>
      </c>
      <c r="GW15" s="40" t="str">
        <f t="shared" si="89"/>
        <v/>
      </c>
      <c r="GX15" s="40" t="str">
        <f t="shared" si="90"/>
        <v/>
      </c>
      <c r="GY15" s="40" t="str">
        <f t="shared" si="91"/>
        <v/>
      </c>
      <c r="GZ15" s="40" t="str">
        <f t="shared" si="92"/>
        <v/>
      </c>
      <c r="HA15" s="40" t="str">
        <f t="shared" si="93"/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 t="shared" si="94"/>
        <v/>
      </c>
      <c r="HW15" s="11" t="str">
        <f t="shared" si="95"/>
        <v/>
      </c>
      <c r="HX15" s="11" t="str">
        <f t="shared" si="96"/>
        <v/>
      </c>
      <c r="HY15" s="11" t="str">
        <f t="shared" si="97"/>
        <v/>
      </c>
      <c r="HZ15" s="11" t="str">
        <f t="shared" si="98"/>
        <v/>
      </c>
      <c r="IA15" s="11" t="str">
        <f t="shared" si="99"/>
        <v/>
      </c>
      <c r="IB15" s="11" t="str">
        <f t="shared" si="100"/>
        <v/>
      </c>
      <c r="IC15" s="11" t="str">
        <f t="shared" si="101"/>
        <v/>
      </c>
      <c r="ID15" s="11" t="str">
        <f t="shared" si="102"/>
        <v/>
      </c>
      <c r="IE15" s="11" t="str">
        <f t="shared" si="103"/>
        <v/>
      </c>
      <c r="IF15" s="11" t="str">
        <f t="shared" si="104"/>
        <v/>
      </c>
      <c r="IG15" s="11" t="str">
        <f t="shared" si="105"/>
        <v/>
      </c>
      <c r="IH15" s="11" t="str">
        <f t="shared" si="106"/>
        <v/>
      </c>
      <c r="II15" s="11" t="str">
        <f t="shared" si="107"/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 t="shared" si="108"/>
        <v/>
      </c>
      <c r="JE15" s="40" t="str">
        <f t="shared" si="109"/>
        <v/>
      </c>
      <c r="JF15" s="40" t="str">
        <f t="shared" si="110"/>
        <v/>
      </c>
      <c r="JG15" s="40" t="str">
        <f t="shared" si="111"/>
        <v/>
      </c>
      <c r="JH15" s="40" t="str">
        <f t="shared" si="112"/>
        <v/>
      </c>
      <c r="JI15" s="40" t="str">
        <f t="shared" si="113"/>
        <v/>
      </c>
      <c r="JJ15" s="40" t="str">
        <f t="shared" si="114"/>
        <v/>
      </c>
      <c r="JK15" s="40" t="str">
        <f t="shared" si="115"/>
        <v/>
      </c>
      <c r="JL15" s="40" t="str">
        <f t="shared" si="116"/>
        <v/>
      </c>
      <c r="JM15" s="40" t="str">
        <f t="shared" si="117"/>
        <v/>
      </c>
      <c r="JN15" s="40" t="str">
        <f t="shared" si="118"/>
        <v/>
      </c>
      <c r="JO15" s="40" t="str">
        <f t="shared" si="119"/>
        <v/>
      </c>
      <c r="JP15" s="40" t="str">
        <f t="shared" si="120"/>
        <v/>
      </c>
      <c r="JQ15" s="40" t="str">
        <f t="shared" si="121"/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 t="shared" si="122"/>
        <v/>
      </c>
      <c r="KM15" s="11" t="str">
        <f t="shared" si="123"/>
        <v/>
      </c>
      <c r="KN15" s="11" t="str">
        <f t="shared" si="124"/>
        <v/>
      </c>
      <c r="KO15" s="11" t="str">
        <f t="shared" si="125"/>
        <v/>
      </c>
      <c r="KP15" s="11" t="str">
        <f t="shared" si="126"/>
        <v/>
      </c>
      <c r="KQ15" s="11" t="str">
        <f t="shared" si="127"/>
        <v/>
      </c>
      <c r="KR15" s="11" t="str">
        <f t="shared" si="128"/>
        <v/>
      </c>
      <c r="KS15" s="11" t="str">
        <f t="shared" si="129"/>
        <v/>
      </c>
      <c r="KT15" s="11" t="str">
        <f t="shared" si="130"/>
        <v/>
      </c>
      <c r="KU15" s="11" t="str">
        <f t="shared" si="131"/>
        <v/>
      </c>
      <c r="KV15" s="11" t="str">
        <f t="shared" si="132"/>
        <v/>
      </c>
      <c r="KW15" s="11" t="str">
        <f t="shared" si="133"/>
        <v/>
      </c>
      <c r="KX15" s="11" t="str">
        <f t="shared" si="134"/>
        <v/>
      </c>
      <c r="KY15" s="11" t="str">
        <f t="shared" si="135"/>
        <v/>
      </c>
      <c r="KZ15" s="17">
        <v>4.5</v>
      </c>
      <c r="LA15" s="17">
        <v>2.85</v>
      </c>
      <c r="LB15" s="17">
        <v>3.6</v>
      </c>
      <c r="LC15" s="17">
        <v>2.98</v>
      </c>
      <c r="LD15" s="17">
        <v>0</v>
      </c>
      <c r="LE15" s="17">
        <v>15.2</v>
      </c>
      <c r="LF15" s="17">
        <v>9</v>
      </c>
      <c r="LG15" s="17">
        <v>10.8</v>
      </c>
      <c r="LH15" s="17">
        <v>14.97</v>
      </c>
      <c r="LI15" s="17">
        <v>0</v>
      </c>
      <c r="LJ15" s="17">
        <v>1.4</v>
      </c>
      <c r="LK15" s="17">
        <v>1</v>
      </c>
      <c r="LL15" s="17">
        <v>1.5</v>
      </c>
      <c r="LM15" s="17">
        <v>1.58</v>
      </c>
      <c r="LN15" s="17">
        <v>0</v>
      </c>
      <c r="LO15" s="17"/>
      <c r="LP15" s="17"/>
      <c r="LQ15" s="17"/>
      <c r="LR15" s="17"/>
      <c r="LS15" s="17"/>
      <c r="LT15" s="40">
        <f t="shared" si="136"/>
        <v>3.6</v>
      </c>
      <c r="LU15" s="40">
        <f t="shared" si="137"/>
        <v>2.98</v>
      </c>
      <c r="LV15" s="40">
        <f t="shared" si="138"/>
        <v>13.93</v>
      </c>
      <c r="LW15" s="40">
        <f t="shared" si="139"/>
        <v>10.8</v>
      </c>
      <c r="LX15" s="40">
        <f t="shared" si="140"/>
        <v>14.97</v>
      </c>
      <c r="LY15" s="40">
        <f t="shared" si="141"/>
        <v>49.97</v>
      </c>
      <c r="LZ15" s="40">
        <f t="shared" si="142"/>
        <v>49.97</v>
      </c>
      <c r="MA15" s="40">
        <f t="shared" si="143"/>
        <v>1.5</v>
      </c>
      <c r="MB15" s="40">
        <f t="shared" si="144"/>
        <v>1.58</v>
      </c>
      <c r="MC15" s="40">
        <f t="shared" si="145"/>
        <v>5.48</v>
      </c>
      <c r="MD15" s="40" t="str">
        <f t="shared" si="146"/>
        <v/>
      </c>
      <c r="ME15" s="40" t="str">
        <f t="shared" si="147"/>
        <v/>
      </c>
      <c r="MF15" s="40" t="str">
        <f t="shared" si="148"/>
        <v/>
      </c>
      <c r="MG15" s="40">
        <f t="shared" si="149"/>
        <v>55.45</v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 t="shared" si="150"/>
        <v/>
      </c>
      <c r="NC15" s="11" t="str">
        <f t="shared" si="151"/>
        <v/>
      </c>
      <c r="ND15" s="11" t="str">
        <f t="shared" si="152"/>
        <v/>
      </c>
      <c r="NE15" s="11" t="str">
        <f t="shared" si="153"/>
        <v/>
      </c>
      <c r="NF15" s="11" t="str">
        <f t="shared" si="154"/>
        <v/>
      </c>
      <c r="NG15" s="11" t="str">
        <f t="shared" si="155"/>
        <v/>
      </c>
      <c r="NH15" s="11" t="str">
        <f t="shared" si="156"/>
        <v/>
      </c>
      <c r="NI15" s="11" t="str">
        <f t="shared" si="157"/>
        <v/>
      </c>
      <c r="NJ15" s="11" t="str">
        <f t="shared" si="158"/>
        <v/>
      </c>
      <c r="NK15" s="11" t="str">
        <f t="shared" si="159"/>
        <v/>
      </c>
      <c r="NL15" s="11" t="str">
        <f t="shared" si="160"/>
        <v/>
      </c>
      <c r="NM15" s="11" t="str">
        <f t="shared" si="161"/>
        <v/>
      </c>
      <c r="NN15" s="11" t="str">
        <f t="shared" si="162"/>
        <v/>
      </c>
      <c r="NO15" s="11" t="str">
        <f t="shared" si="163"/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 t="shared" si="164"/>
        <v/>
      </c>
      <c r="OK15" s="40" t="str">
        <f t="shared" si="165"/>
        <v/>
      </c>
      <c r="OL15" s="40" t="str">
        <f t="shared" si="166"/>
        <v/>
      </c>
      <c r="OM15" s="40" t="str">
        <f t="shared" si="167"/>
        <v/>
      </c>
      <c r="ON15" s="40" t="str">
        <f t="shared" si="168"/>
        <v/>
      </c>
      <c r="OO15" s="40" t="str">
        <f t="shared" si="169"/>
        <v/>
      </c>
      <c r="OP15" s="40" t="str">
        <f t="shared" si="170"/>
        <v/>
      </c>
      <c r="OQ15" s="40" t="str">
        <f t="shared" si="171"/>
        <v/>
      </c>
      <c r="OR15" s="40" t="str">
        <f t="shared" si="172"/>
        <v/>
      </c>
      <c r="OS15" s="40" t="str">
        <f t="shared" si="173"/>
        <v/>
      </c>
      <c r="OT15" s="40" t="str">
        <f t="shared" si="174"/>
        <v/>
      </c>
      <c r="OU15" s="40" t="str">
        <f t="shared" si="175"/>
        <v/>
      </c>
      <c r="OV15" s="40" t="str">
        <f t="shared" si="176"/>
        <v/>
      </c>
      <c r="OW15" s="40" t="str">
        <f t="shared" si="177"/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 t="shared" si="178"/>
        <v/>
      </c>
      <c r="PS15" s="11" t="str">
        <f t="shared" si="179"/>
        <v/>
      </c>
      <c r="PT15" s="11" t="str">
        <f t="shared" si="180"/>
        <v/>
      </c>
      <c r="PU15" s="11" t="str">
        <f t="shared" si="181"/>
        <v/>
      </c>
      <c r="PV15" s="11" t="str">
        <f t="shared" si="182"/>
        <v/>
      </c>
      <c r="PW15" s="11" t="str">
        <f t="shared" si="183"/>
        <v/>
      </c>
      <c r="PX15" s="11" t="str">
        <f t="shared" si="184"/>
        <v/>
      </c>
      <c r="PY15" s="11" t="str">
        <f t="shared" si="185"/>
        <v/>
      </c>
      <c r="PZ15" s="11" t="str">
        <f t="shared" si="186"/>
        <v/>
      </c>
      <c r="QA15" s="11" t="str">
        <f t="shared" si="187"/>
        <v/>
      </c>
      <c r="QB15" s="11" t="str">
        <f t="shared" si="188"/>
        <v/>
      </c>
      <c r="QC15" s="11" t="str">
        <f t="shared" si="189"/>
        <v/>
      </c>
      <c r="QD15" s="11" t="str">
        <f t="shared" si="190"/>
        <v/>
      </c>
      <c r="QE15" s="11" t="str">
        <f t="shared" si="191"/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 t="shared" si="192"/>
        <v/>
      </c>
      <c r="RA15" s="40" t="str">
        <f t="shared" si="193"/>
        <v/>
      </c>
      <c r="RB15" s="40" t="str">
        <f t="shared" si="194"/>
        <v/>
      </c>
      <c r="RC15" s="40" t="str">
        <f t="shared" si="195"/>
        <v/>
      </c>
      <c r="RD15" s="40" t="str">
        <f t="shared" si="196"/>
        <v/>
      </c>
      <c r="RE15" s="40" t="str">
        <f t="shared" si="197"/>
        <v/>
      </c>
      <c r="RF15" s="40" t="str">
        <f t="shared" si="198"/>
        <v/>
      </c>
      <c r="RG15" s="40" t="str">
        <f t="shared" si="199"/>
        <v/>
      </c>
      <c r="RH15" s="40" t="str">
        <f t="shared" si="200"/>
        <v/>
      </c>
      <c r="RI15" s="40" t="str">
        <f t="shared" si="201"/>
        <v/>
      </c>
      <c r="RJ15" s="40" t="str">
        <f t="shared" si="202"/>
        <v/>
      </c>
      <c r="RK15" s="40" t="str">
        <f t="shared" si="203"/>
        <v/>
      </c>
      <c r="RL15" s="40" t="str">
        <f t="shared" si="204"/>
        <v/>
      </c>
      <c r="RM15" s="40" t="str">
        <f t="shared" si="205"/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 t="shared" si="206"/>
        <v/>
      </c>
      <c r="SI15" s="11" t="str">
        <f t="shared" si="207"/>
        <v/>
      </c>
      <c r="SJ15" s="11" t="str">
        <f t="shared" si="208"/>
        <v/>
      </c>
      <c r="SK15" s="11" t="str">
        <f t="shared" si="209"/>
        <v/>
      </c>
      <c r="SL15" s="11" t="str">
        <f t="shared" si="210"/>
        <v/>
      </c>
      <c r="SM15" s="11" t="str">
        <f t="shared" si="211"/>
        <v/>
      </c>
      <c r="SN15" s="11" t="str">
        <f t="shared" si="212"/>
        <v/>
      </c>
      <c r="SO15" s="11" t="str">
        <f t="shared" si="213"/>
        <v/>
      </c>
      <c r="SP15" s="11" t="str">
        <f t="shared" si="214"/>
        <v/>
      </c>
      <c r="SQ15" s="11" t="str">
        <f t="shared" si="215"/>
        <v/>
      </c>
      <c r="SR15" s="11" t="str">
        <f t="shared" si="216"/>
        <v/>
      </c>
      <c r="SS15" s="11" t="str">
        <f t="shared" si="217"/>
        <v/>
      </c>
      <c r="ST15" s="11" t="str">
        <f t="shared" si="218"/>
        <v/>
      </c>
      <c r="SU15" s="11" t="str">
        <f t="shared" si="219"/>
        <v/>
      </c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40" t="str">
        <f t="shared" si="220"/>
        <v/>
      </c>
      <c r="TQ15" s="40" t="str">
        <f t="shared" si="221"/>
        <v/>
      </c>
      <c r="TR15" s="40" t="str">
        <f t="shared" si="222"/>
        <v/>
      </c>
      <c r="TS15" s="40" t="str">
        <f t="shared" si="223"/>
        <v/>
      </c>
      <c r="TT15" s="40" t="str">
        <f t="shared" si="224"/>
        <v/>
      </c>
      <c r="TU15" s="40" t="str">
        <f t="shared" si="225"/>
        <v/>
      </c>
      <c r="TV15" s="40" t="str">
        <f t="shared" si="226"/>
        <v/>
      </c>
      <c r="TW15" s="40" t="str">
        <f t="shared" si="227"/>
        <v/>
      </c>
      <c r="TX15" s="40" t="str">
        <f t="shared" si="228"/>
        <v/>
      </c>
      <c r="TY15" s="40" t="str">
        <f t="shared" si="229"/>
        <v/>
      </c>
      <c r="TZ15" s="40" t="str">
        <f t="shared" si="230"/>
        <v/>
      </c>
      <c r="UA15" s="40" t="str">
        <f t="shared" si="231"/>
        <v/>
      </c>
      <c r="UB15" s="40" t="str">
        <f t="shared" si="232"/>
        <v/>
      </c>
      <c r="UC15" s="40" t="str">
        <f t="shared" si="233"/>
        <v/>
      </c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8"/>
      <c r="UQ15" s="18"/>
      <c r="UR15" s="18"/>
      <c r="US15" s="18"/>
      <c r="UT15" s="18"/>
      <c r="UU15" s="18"/>
      <c r="UV15" s="18"/>
      <c r="UW15" s="18"/>
      <c r="UX15" s="11" t="str">
        <f t="shared" si="234"/>
        <v/>
      </c>
      <c r="UY15" s="11" t="str">
        <f t="shared" si="235"/>
        <v/>
      </c>
      <c r="UZ15" s="11" t="str">
        <f t="shared" si="236"/>
        <v/>
      </c>
      <c r="VA15" s="11" t="str">
        <f t="shared" si="237"/>
        <v/>
      </c>
      <c r="VB15" s="11" t="str">
        <f t="shared" si="238"/>
        <v/>
      </c>
      <c r="VC15" s="11" t="str">
        <f t="shared" si="239"/>
        <v/>
      </c>
      <c r="VD15" s="11" t="str">
        <f t="shared" si="240"/>
        <v/>
      </c>
      <c r="VE15" s="11" t="str">
        <f t="shared" si="241"/>
        <v/>
      </c>
      <c r="VF15" s="11" t="str">
        <f t="shared" si="242"/>
        <v/>
      </c>
      <c r="VG15" s="11" t="str">
        <f t="shared" si="243"/>
        <v/>
      </c>
      <c r="VH15" s="11" t="str">
        <f t="shared" si="244"/>
        <v/>
      </c>
      <c r="VI15" s="11" t="str">
        <f t="shared" si="245"/>
        <v/>
      </c>
      <c r="VJ15" s="11" t="str">
        <f t="shared" si="246"/>
        <v/>
      </c>
      <c r="VK15" s="11" t="str">
        <f t="shared" si="247"/>
        <v/>
      </c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40" t="str">
        <f t="shared" si="248"/>
        <v/>
      </c>
      <c r="WG15" s="40" t="str">
        <f t="shared" si="249"/>
        <v/>
      </c>
      <c r="WH15" s="40" t="str">
        <f t="shared" si="250"/>
        <v/>
      </c>
      <c r="WI15" s="40" t="str">
        <f t="shared" si="251"/>
        <v/>
      </c>
      <c r="WJ15" s="40" t="str">
        <f t="shared" si="252"/>
        <v/>
      </c>
      <c r="WK15" s="40" t="str">
        <f t="shared" si="253"/>
        <v/>
      </c>
      <c r="WL15" s="40" t="str">
        <f t="shared" si="254"/>
        <v/>
      </c>
      <c r="WM15" s="40" t="str">
        <f t="shared" si="255"/>
        <v/>
      </c>
      <c r="WN15" s="40" t="str">
        <f t="shared" si="256"/>
        <v/>
      </c>
      <c r="WO15" s="40" t="str">
        <f t="shared" si="257"/>
        <v/>
      </c>
      <c r="WP15" s="40" t="str">
        <f t="shared" si="258"/>
        <v/>
      </c>
      <c r="WQ15" s="40" t="str">
        <f t="shared" si="259"/>
        <v/>
      </c>
      <c r="WR15" s="40" t="str">
        <f t="shared" si="260"/>
        <v/>
      </c>
      <c r="WS15" s="40" t="str">
        <f t="shared" si="261"/>
        <v/>
      </c>
      <c r="WT15" s="26">
        <f t="shared" si="262"/>
        <v>7.55</v>
      </c>
      <c r="WU15" s="26">
        <f t="shared" si="263"/>
        <v>4.55</v>
      </c>
      <c r="WV15" s="26">
        <f t="shared" si="264"/>
        <v>4.6500000000000004</v>
      </c>
      <c r="WW15" s="26">
        <f t="shared" si="265"/>
        <v>6.9550000000000001</v>
      </c>
      <c r="WX15" s="26">
        <f t="shared" si="266"/>
        <v>0.95</v>
      </c>
      <c r="WY15" s="26">
        <f t="shared" si="267"/>
        <v>7.85</v>
      </c>
      <c r="WZ15" s="26">
        <f t="shared" si="268"/>
        <v>4.6500000000000004</v>
      </c>
      <c r="XA15" s="26">
        <f t="shared" si="269"/>
        <v>5</v>
      </c>
      <c r="XB15" s="26">
        <f t="shared" si="270"/>
        <v>7.43</v>
      </c>
      <c r="XC15" s="26">
        <f t="shared" si="271"/>
        <v>0.6</v>
      </c>
      <c r="XD15" s="26">
        <f t="shared" si="272"/>
        <v>7.2</v>
      </c>
      <c r="XE15" s="26">
        <f t="shared" si="273"/>
        <v>4.55</v>
      </c>
      <c r="XF15" s="26">
        <f t="shared" si="274"/>
        <v>5.7</v>
      </c>
      <c r="XG15" s="26">
        <f t="shared" si="275"/>
        <v>7.2</v>
      </c>
      <c r="XH15" s="26">
        <f t="shared" si="276"/>
        <v>0</v>
      </c>
      <c r="XI15" s="28" t="s">
        <v>53</v>
      </c>
      <c r="XJ15" s="11">
        <f t="shared" si="277"/>
        <v>4.6500000000000004</v>
      </c>
      <c r="XK15" s="11">
        <f t="shared" si="278"/>
        <v>6.9550000000000001</v>
      </c>
      <c r="XL15" s="11">
        <f t="shared" si="279"/>
        <v>22.754999999999999</v>
      </c>
      <c r="XM15" s="11">
        <f t="shared" si="280"/>
        <v>5</v>
      </c>
      <c r="XN15" s="11">
        <f t="shared" si="281"/>
        <v>7.43</v>
      </c>
      <c r="XO15" s="11">
        <f t="shared" si="282"/>
        <v>24.33</v>
      </c>
      <c r="XP15" s="11">
        <f t="shared" si="283"/>
        <v>24.33</v>
      </c>
      <c r="XQ15" s="11">
        <f t="shared" si="284"/>
        <v>5.7</v>
      </c>
      <c r="XR15" s="11">
        <f t="shared" si="285"/>
        <v>7.2</v>
      </c>
      <c r="XS15" s="11">
        <f t="shared" si="286"/>
        <v>24.65</v>
      </c>
      <c r="XT15" s="11">
        <f t="shared" si="287"/>
        <v>48.98</v>
      </c>
    </row>
    <row r="16" spans="1:644" x14ac:dyDescent="0.2">
      <c r="A16" s="4" cm="1">
        <f t="array" ref="A16">IF(AND(H16&lt;&gt;"",H16&lt;&gt;"No DD"),SUMPRODUCT((H$4:H$18&lt;&gt;"")*(H$4:H$18&lt;&gt;"No DD")*(E$4:E$18&gt;E16))+1,IF(H16="No DD",SUMPRODUCT((H$4:H$18="No DD")*(E$4:E$18&gt;E16))+1+SUMPRODUCT((H$4:H$18&lt;&gt;"")*(H$4:H$18&lt;&gt;"No DD")),""))</f>
        <v>12</v>
      </c>
      <c r="B16" s="5" t="s">
        <v>187</v>
      </c>
      <c r="C16" s="4" t="s">
        <v>6</v>
      </c>
      <c r="D16" s="4">
        <v>2007</v>
      </c>
      <c r="E16" s="9">
        <f t="shared" si="0"/>
        <v>194.19501776350495</v>
      </c>
      <c r="F16" s="3" t="str">
        <f t="shared" si="1"/>
        <v/>
      </c>
      <c r="G16" s="3" t="str">
        <f t="shared" si="2"/>
        <v>P</v>
      </c>
      <c r="H16" s="36" t="str">
        <f t="shared" si="3"/>
        <v>No DD</v>
      </c>
      <c r="I16" s="3" t="str">
        <f t="shared" si="4"/>
        <v/>
      </c>
      <c r="J16" s="8">
        <f>IF(COUNT(AQ16,AT16,BR16,BU16,CS16,CV16)&gt;0,LARGE((AQ16,AT16,BR16,BU16,CS16,CV16),1),0)</f>
        <v>49.53</v>
      </c>
      <c r="K16" s="8" t="str">
        <f t="shared" si="5"/>
        <v>2024 Nationals</v>
      </c>
      <c r="L16" s="8">
        <f>IF(COUNT(AQ16,AT16,BR16,BU16,CS16,CV16)&gt;1,LARGE((AQ16,AT16,BR16,BU16,CS16,CV16),2),0)</f>
        <v>34.754999999999995</v>
      </c>
      <c r="M16" s="8" t="str">
        <f t="shared" si="6"/>
        <v>2024 3rd Domestic Trial</v>
      </c>
      <c r="N16" s="8">
        <f>IF(COUNT(AQ16,AT16,BR16,BU16,CS16,CV16)&gt;2,LARGE((AQ16,AT16,BR16,BU16,CS16,CV16),3),0)</f>
        <v>32.82</v>
      </c>
      <c r="O16" s="8" t="str">
        <f t="shared" si="7"/>
        <v>2024 Elite Canada</v>
      </c>
      <c r="P16" s="8">
        <f t="shared" si="8"/>
        <v>48.930000000000007</v>
      </c>
      <c r="Q16" s="8" t="str">
        <f t="shared" si="9"/>
        <v>2024 Nationals</v>
      </c>
      <c r="R16" s="8">
        <f t="shared" si="10"/>
        <v>11.6</v>
      </c>
      <c r="S16" s="8" t="str">
        <f t="shared" si="11"/>
        <v>2024 Nationals</v>
      </c>
      <c r="T16" s="8">
        <f t="shared" si="12"/>
        <v>0</v>
      </c>
      <c r="U16" s="8" t="str">
        <f t="shared" si="13"/>
        <v/>
      </c>
      <c r="V16" s="8">
        <f t="shared" si="14"/>
        <v>16.559999999999995</v>
      </c>
      <c r="W16" s="11" t="str">
        <f t="shared" si="15"/>
        <v>(Prelim)</v>
      </c>
      <c r="X16" s="8" t="str">
        <f t="shared" si="16"/>
        <v>2024 Coimbra Gym Fest (July 7)</v>
      </c>
      <c r="Y16" s="22">
        <v>6.1</v>
      </c>
      <c r="Z16" s="22">
        <v>3.6</v>
      </c>
      <c r="AA16" s="22">
        <v>4.5999999999999996</v>
      </c>
      <c r="AB16" s="22">
        <v>5.68</v>
      </c>
      <c r="AC16" s="22">
        <v>0</v>
      </c>
      <c r="AD16" s="22">
        <v>9.8000000000000007</v>
      </c>
      <c r="AE16" s="22">
        <v>6.5</v>
      </c>
      <c r="AF16" s="22">
        <v>7</v>
      </c>
      <c r="AG16" s="22">
        <v>9.52</v>
      </c>
      <c r="AH16" s="22">
        <v>0</v>
      </c>
      <c r="AI16" s="22"/>
      <c r="AJ16" s="22"/>
      <c r="AK16" s="22"/>
      <c r="AL16" s="22"/>
      <c r="AM16" s="22"/>
      <c r="AN16" s="27"/>
      <c r="AO16" s="38">
        <f t="shared" si="17"/>
        <v>4.5999999999999996</v>
      </c>
      <c r="AP16" s="38">
        <f t="shared" si="18"/>
        <v>5.68</v>
      </c>
      <c r="AQ16" s="40">
        <f t="shared" si="19"/>
        <v>19.979999999999997</v>
      </c>
      <c r="AR16" s="40">
        <f t="shared" si="20"/>
        <v>7</v>
      </c>
      <c r="AS16" s="40">
        <f t="shared" si="21"/>
        <v>9.52</v>
      </c>
      <c r="AT16" s="40">
        <f t="shared" si="22"/>
        <v>32.82</v>
      </c>
      <c r="AU16" s="40">
        <f t="shared" si="23"/>
        <v>32.82</v>
      </c>
      <c r="AV16" s="40" t="str">
        <f t="shared" si="24"/>
        <v/>
      </c>
      <c r="AW16" s="40" t="str">
        <f t="shared" si="25"/>
        <v/>
      </c>
      <c r="AX16" s="40" t="str">
        <f t="shared" si="26"/>
        <v/>
      </c>
      <c r="AY16" s="40">
        <f t="shared" si="27"/>
        <v>32.82</v>
      </c>
      <c r="AZ16" s="26">
        <v>15.7</v>
      </c>
      <c r="BA16" s="26">
        <v>8.6999999999999993</v>
      </c>
      <c r="BB16" s="26">
        <v>11.4</v>
      </c>
      <c r="BC16" s="26">
        <v>13.73</v>
      </c>
      <c r="BD16" s="26">
        <v>0</v>
      </c>
      <c r="BE16" s="26">
        <v>9.4</v>
      </c>
      <c r="BF16" s="26">
        <v>5.5</v>
      </c>
      <c r="BG16" s="26">
        <v>7.1</v>
      </c>
      <c r="BH16" s="26">
        <v>8.33</v>
      </c>
      <c r="BI16" s="26">
        <v>0</v>
      </c>
      <c r="BJ16" s="26">
        <v>14.8</v>
      </c>
      <c r="BK16" s="26">
        <v>8.8000000000000007</v>
      </c>
      <c r="BL16" s="26">
        <v>11.6</v>
      </c>
      <c r="BM16" s="26">
        <v>13.73</v>
      </c>
      <c r="BN16" s="26">
        <v>0</v>
      </c>
      <c r="BO16" s="28"/>
      <c r="BP16" s="39">
        <f t="shared" si="28"/>
        <v>11.4</v>
      </c>
      <c r="BQ16" s="39">
        <f t="shared" si="29"/>
        <v>13.73</v>
      </c>
      <c r="BR16" s="11">
        <f t="shared" si="30"/>
        <v>49.53</v>
      </c>
      <c r="BS16" s="11">
        <f t="shared" si="31"/>
        <v>7.1</v>
      </c>
      <c r="BT16" s="11">
        <f t="shared" si="32"/>
        <v>8.33</v>
      </c>
      <c r="BU16" s="11">
        <f t="shared" si="33"/>
        <v>30.33</v>
      </c>
      <c r="BV16" s="11">
        <f t="shared" si="34"/>
        <v>49.53</v>
      </c>
      <c r="BW16" s="11">
        <f t="shared" si="35"/>
        <v>11.6</v>
      </c>
      <c r="BX16" s="11">
        <f t="shared" si="36"/>
        <v>13.73</v>
      </c>
      <c r="BY16" s="11">
        <f t="shared" si="37"/>
        <v>48.930000000000007</v>
      </c>
      <c r="BZ16" s="11">
        <f t="shared" si="38"/>
        <v>98.460000000000008</v>
      </c>
      <c r="CA16" s="22">
        <v>10.899999999999999</v>
      </c>
      <c r="CB16" s="22">
        <v>6.1499999999999995</v>
      </c>
      <c r="CC16" s="22">
        <v>8</v>
      </c>
      <c r="CD16" s="22">
        <v>9.7050000000000001</v>
      </c>
      <c r="CE16" s="22">
        <v>0</v>
      </c>
      <c r="CF16" s="22">
        <v>9.6000000000000014</v>
      </c>
      <c r="CG16" s="22">
        <v>6</v>
      </c>
      <c r="CH16" s="22">
        <v>7.05</v>
      </c>
      <c r="CI16" s="22">
        <v>8.9250000000000007</v>
      </c>
      <c r="CJ16" s="22">
        <v>0</v>
      </c>
      <c r="CK16" s="22">
        <v>7.4</v>
      </c>
      <c r="CL16" s="22">
        <v>4.4000000000000004</v>
      </c>
      <c r="CM16" s="22">
        <v>5.8</v>
      </c>
      <c r="CN16" s="22">
        <v>6.8650000000000002</v>
      </c>
      <c r="CO16" s="22">
        <v>0</v>
      </c>
      <c r="CP16" s="27" t="s">
        <v>53</v>
      </c>
      <c r="CQ16" s="38">
        <f t="shared" si="39"/>
        <v>8</v>
      </c>
      <c r="CR16" s="38">
        <f t="shared" si="40"/>
        <v>9.7050000000000001</v>
      </c>
      <c r="CS16" s="40">
        <f t="shared" si="41"/>
        <v>34.754999999999995</v>
      </c>
      <c r="CT16" s="40">
        <f t="shared" si="42"/>
        <v>7.05</v>
      </c>
      <c r="CU16" s="40">
        <f t="shared" si="43"/>
        <v>8.9250000000000007</v>
      </c>
      <c r="CV16" s="40">
        <f t="shared" si="44"/>
        <v>31.575000000000003</v>
      </c>
      <c r="CW16" s="40">
        <f t="shared" si="45"/>
        <v>34.754999999999995</v>
      </c>
      <c r="CX16" s="40">
        <f t="shared" si="46"/>
        <v>5.8</v>
      </c>
      <c r="CY16" s="40">
        <f t="shared" si="47"/>
        <v>6.8650000000000002</v>
      </c>
      <c r="CZ16" s="40">
        <f t="shared" si="48"/>
        <v>24.465000000000003</v>
      </c>
      <c r="DA16" s="40">
        <f t="shared" si="49"/>
        <v>59.22</v>
      </c>
      <c r="DB16" s="51">
        <f t="shared" si="50"/>
        <v>16.559999999999995</v>
      </c>
      <c r="DC16" s="51" t="str">
        <f t="shared" si="51"/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 t="shared" si="52"/>
        <v/>
      </c>
      <c r="DY16" s="40" t="str">
        <f t="shared" si="53"/>
        <v/>
      </c>
      <c r="DZ16" s="40" t="str">
        <f t="shared" si="54"/>
        <v/>
      </c>
      <c r="EA16" s="40" t="str">
        <f t="shared" si="55"/>
        <v/>
      </c>
      <c r="EB16" s="40" t="str">
        <f t="shared" si="56"/>
        <v/>
      </c>
      <c r="EC16" s="40" t="str">
        <f t="shared" si="57"/>
        <v/>
      </c>
      <c r="ED16" s="40" t="str">
        <f t="shared" si="58"/>
        <v/>
      </c>
      <c r="EE16" s="40" t="str">
        <f t="shared" si="59"/>
        <v/>
      </c>
      <c r="EF16" s="40" t="str">
        <f t="shared" si="60"/>
        <v/>
      </c>
      <c r="EG16" s="40" t="str">
        <f t="shared" si="61"/>
        <v/>
      </c>
      <c r="EH16" s="40" t="str">
        <f t="shared" si="62"/>
        <v/>
      </c>
      <c r="EI16" s="40" t="str">
        <f t="shared" si="63"/>
        <v/>
      </c>
      <c r="EJ16" s="40" t="str">
        <f t="shared" si="64"/>
        <v/>
      </c>
      <c r="EK16" s="40" t="str">
        <f t="shared" si="65"/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 t="shared" si="66"/>
        <v/>
      </c>
      <c r="FG16" s="11" t="str">
        <f t="shared" si="67"/>
        <v/>
      </c>
      <c r="FH16" s="11" t="str">
        <f t="shared" si="68"/>
        <v/>
      </c>
      <c r="FI16" s="11" t="str">
        <f t="shared" si="69"/>
        <v/>
      </c>
      <c r="FJ16" s="11" t="str">
        <f t="shared" si="70"/>
        <v/>
      </c>
      <c r="FK16" s="11" t="str">
        <f t="shared" si="71"/>
        <v/>
      </c>
      <c r="FL16" s="11" t="str">
        <f t="shared" si="72"/>
        <v/>
      </c>
      <c r="FM16" s="11" t="str">
        <f t="shared" si="73"/>
        <v/>
      </c>
      <c r="FN16" s="11" t="str">
        <f t="shared" si="74"/>
        <v/>
      </c>
      <c r="FO16" s="11" t="str">
        <f t="shared" si="75"/>
        <v/>
      </c>
      <c r="FP16" s="11" t="str">
        <f t="shared" si="76"/>
        <v/>
      </c>
      <c r="FQ16" s="11" t="str">
        <f t="shared" si="77"/>
        <v/>
      </c>
      <c r="FR16" s="11" t="str">
        <f t="shared" si="78"/>
        <v/>
      </c>
      <c r="FS16" s="11" t="str">
        <f t="shared" si="79"/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 t="shared" si="80"/>
        <v/>
      </c>
      <c r="GO16" s="40" t="str">
        <f t="shared" si="81"/>
        <v/>
      </c>
      <c r="GP16" s="40" t="str">
        <f t="shared" si="82"/>
        <v/>
      </c>
      <c r="GQ16" s="40" t="str">
        <f t="shared" si="83"/>
        <v/>
      </c>
      <c r="GR16" s="40" t="str">
        <f t="shared" si="84"/>
        <v/>
      </c>
      <c r="GS16" s="40" t="str">
        <f t="shared" si="85"/>
        <v/>
      </c>
      <c r="GT16" s="40" t="str">
        <f t="shared" si="86"/>
        <v/>
      </c>
      <c r="GU16" s="40" t="str">
        <f t="shared" si="87"/>
        <v/>
      </c>
      <c r="GV16" s="40" t="str">
        <f t="shared" si="88"/>
        <v/>
      </c>
      <c r="GW16" s="40" t="str">
        <f t="shared" si="89"/>
        <v/>
      </c>
      <c r="GX16" s="40" t="str">
        <f t="shared" si="90"/>
        <v/>
      </c>
      <c r="GY16" s="40" t="str">
        <f t="shared" si="91"/>
        <v/>
      </c>
      <c r="GZ16" s="40" t="str">
        <f t="shared" si="92"/>
        <v/>
      </c>
      <c r="HA16" s="40" t="str">
        <f t="shared" si="93"/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 t="shared" si="94"/>
        <v/>
      </c>
      <c r="HW16" s="11" t="str">
        <f t="shared" si="95"/>
        <v/>
      </c>
      <c r="HX16" s="11" t="str">
        <f t="shared" si="96"/>
        <v/>
      </c>
      <c r="HY16" s="11" t="str">
        <f t="shared" si="97"/>
        <v/>
      </c>
      <c r="HZ16" s="11" t="str">
        <f t="shared" si="98"/>
        <v/>
      </c>
      <c r="IA16" s="11" t="str">
        <f t="shared" si="99"/>
        <v/>
      </c>
      <c r="IB16" s="11" t="str">
        <f t="shared" si="100"/>
        <v/>
      </c>
      <c r="IC16" s="11" t="str">
        <f t="shared" si="101"/>
        <v/>
      </c>
      <c r="ID16" s="11" t="str">
        <f t="shared" si="102"/>
        <v/>
      </c>
      <c r="IE16" s="11" t="str">
        <f t="shared" si="103"/>
        <v/>
      </c>
      <c r="IF16" s="11" t="str">
        <f t="shared" si="104"/>
        <v/>
      </c>
      <c r="IG16" s="11" t="str">
        <f t="shared" si="105"/>
        <v/>
      </c>
      <c r="IH16" s="11" t="str">
        <f t="shared" si="106"/>
        <v/>
      </c>
      <c r="II16" s="11" t="str">
        <f t="shared" si="107"/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 t="shared" si="108"/>
        <v/>
      </c>
      <c r="JE16" s="40" t="str">
        <f t="shared" si="109"/>
        <v/>
      </c>
      <c r="JF16" s="40" t="str">
        <f t="shared" si="110"/>
        <v/>
      </c>
      <c r="JG16" s="40" t="str">
        <f t="shared" si="111"/>
        <v/>
      </c>
      <c r="JH16" s="40" t="str">
        <f t="shared" si="112"/>
        <v/>
      </c>
      <c r="JI16" s="40" t="str">
        <f t="shared" si="113"/>
        <v/>
      </c>
      <c r="JJ16" s="40" t="str">
        <f t="shared" si="114"/>
        <v/>
      </c>
      <c r="JK16" s="40" t="str">
        <f t="shared" si="115"/>
        <v/>
      </c>
      <c r="JL16" s="40" t="str">
        <f t="shared" si="116"/>
        <v/>
      </c>
      <c r="JM16" s="40" t="str">
        <f t="shared" si="117"/>
        <v/>
      </c>
      <c r="JN16" s="40" t="str">
        <f t="shared" si="118"/>
        <v/>
      </c>
      <c r="JO16" s="40" t="str">
        <f t="shared" si="119"/>
        <v/>
      </c>
      <c r="JP16" s="40" t="str">
        <f t="shared" si="120"/>
        <v/>
      </c>
      <c r="JQ16" s="40" t="str">
        <f t="shared" si="121"/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 t="shared" si="122"/>
        <v/>
      </c>
      <c r="KM16" s="11" t="str">
        <f t="shared" si="123"/>
        <v/>
      </c>
      <c r="KN16" s="11" t="str">
        <f t="shared" si="124"/>
        <v/>
      </c>
      <c r="KO16" s="11" t="str">
        <f t="shared" si="125"/>
        <v/>
      </c>
      <c r="KP16" s="11" t="str">
        <f t="shared" si="126"/>
        <v/>
      </c>
      <c r="KQ16" s="11" t="str">
        <f t="shared" si="127"/>
        <v/>
      </c>
      <c r="KR16" s="11" t="str">
        <f t="shared" si="128"/>
        <v/>
      </c>
      <c r="KS16" s="11" t="str">
        <f t="shared" si="129"/>
        <v/>
      </c>
      <c r="KT16" s="11" t="str">
        <f t="shared" si="130"/>
        <v/>
      </c>
      <c r="KU16" s="11" t="str">
        <f t="shared" si="131"/>
        <v/>
      </c>
      <c r="KV16" s="11" t="str">
        <f t="shared" si="132"/>
        <v/>
      </c>
      <c r="KW16" s="11" t="str">
        <f t="shared" si="133"/>
        <v/>
      </c>
      <c r="KX16" s="11" t="str">
        <f t="shared" si="134"/>
        <v/>
      </c>
      <c r="KY16" s="11" t="str">
        <f t="shared" si="135"/>
        <v/>
      </c>
      <c r="KZ16" s="17">
        <v>12.8</v>
      </c>
      <c r="LA16" s="17">
        <v>8.6</v>
      </c>
      <c r="LB16" s="17">
        <v>10.199999999999999</v>
      </c>
      <c r="LC16" s="17">
        <v>13.47</v>
      </c>
      <c r="LD16" s="17">
        <v>0</v>
      </c>
      <c r="LE16" s="17">
        <v>14.7</v>
      </c>
      <c r="LF16" s="17">
        <v>9.1</v>
      </c>
      <c r="LG16" s="17">
        <v>11.6</v>
      </c>
      <c r="LH16" s="17">
        <v>13.98</v>
      </c>
      <c r="LI16" s="17">
        <v>0</v>
      </c>
      <c r="LJ16" s="17">
        <v>14.7</v>
      </c>
      <c r="LK16" s="17">
        <v>8.4</v>
      </c>
      <c r="LL16" s="17">
        <v>11.4</v>
      </c>
      <c r="LM16" s="17">
        <v>13.84</v>
      </c>
      <c r="LN16" s="17">
        <v>0</v>
      </c>
      <c r="LO16" s="17">
        <v>13.7</v>
      </c>
      <c r="LP16" s="17">
        <v>8.3000000000000007</v>
      </c>
      <c r="LQ16" s="17">
        <v>10.199999999999999</v>
      </c>
      <c r="LR16" s="17">
        <v>13.68</v>
      </c>
      <c r="LS16" s="17">
        <v>0</v>
      </c>
      <c r="LT16" s="40">
        <f t="shared" si="136"/>
        <v>10.199999999999999</v>
      </c>
      <c r="LU16" s="40">
        <f t="shared" si="137"/>
        <v>13.47</v>
      </c>
      <c r="LV16" s="40">
        <f t="shared" si="138"/>
        <v>45.07</v>
      </c>
      <c r="LW16" s="40">
        <f t="shared" si="139"/>
        <v>11.6</v>
      </c>
      <c r="LX16" s="40">
        <f t="shared" si="140"/>
        <v>13.98</v>
      </c>
      <c r="LY16" s="40">
        <f t="shared" si="141"/>
        <v>49.379999999999995</v>
      </c>
      <c r="LZ16" s="40">
        <f t="shared" si="142"/>
        <v>49.379999999999995</v>
      </c>
      <c r="MA16" s="40">
        <f t="shared" si="143"/>
        <v>11.4</v>
      </c>
      <c r="MB16" s="40">
        <f t="shared" si="144"/>
        <v>13.84</v>
      </c>
      <c r="MC16" s="40">
        <f t="shared" si="145"/>
        <v>48.34</v>
      </c>
      <c r="MD16" s="40">
        <f t="shared" si="146"/>
        <v>10.199999999999999</v>
      </c>
      <c r="ME16" s="40">
        <f t="shared" si="147"/>
        <v>13.68</v>
      </c>
      <c r="MF16" s="40">
        <f t="shared" si="148"/>
        <v>45.88</v>
      </c>
      <c r="MG16" s="40">
        <f t="shared" si="149"/>
        <v>143.6</v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 t="shared" si="150"/>
        <v/>
      </c>
      <c r="NC16" s="11" t="str">
        <f t="shared" si="151"/>
        <v/>
      </c>
      <c r="ND16" s="11" t="str">
        <f t="shared" si="152"/>
        <v/>
      </c>
      <c r="NE16" s="11" t="str">
        <f t="shared" si="153"/>
        <v/>
      </c>
      <c r="NF16" s="11" t="str">
        <f t="shared" si="154"/>
        <v/>
      </c>
      <c r="NG16" s="11" t="str">
        <f t="shared" si="155"/>
        <v/>
      </c>
      <c r="NH16" s="11" t="str">
        <f t="shared" si="156"/>
        <v/>
      </c>
      <c r="NI16" s="11" t="str">
        <f t="shared" si="157"/>
        <v/>
      </c>
      <c r="NJ16" s="11" t="str">
        <f t="shared" si="158"/>
        <v/>
      </c>
      <c r="NK16" s="11" t="str">
        <f t="shared" si="159"/>
        <v/>
      </c>
      <c r="NL16" s="11" t="str">
        <f t="shared" si="160"/>
        <v/>
      </c>
      <c r="NM16" s="11" t="str">
        <f t="shared" si="161"/>
        <v/>
      </c>
      <c r="NN16" s="11" t="str">
        <f t="shared" si="162"/>
        <v/>
      </c>
      <c r="NO16" s="11" t="str">
        <f t="shared" si="163"/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 t="shared" si="164"/>
        <v/>
      </c>
      <c r="OK16" s="40" t="str">
        <f t="shared" si="165"/>
        <v/>
      </c>
      <c r="OL16" s="40" t="str">
        <f t="shared" si="166"/>
        <v/>
      </c>
      <c r="OM16" s="40" t="str">
        <f t="shared" si="167"/>
        <v/>
      </c>
      <c r="ON16" s="40" t="str">
        <f t="shared" si="168"/>
        <v/>
      </c>
      <c r="OO16" s="40" t="str">
        <f t="shared" si="169"/>
        <v/>
      </c>
      <c r="OP16" s="40" t="str">
        <f t="shared" si="170"/>
        <v/>
      </c>
      <c r="OQ16" s="40" t="str">
        <f t="shared" si="171"/>
        <v/>
      </c>
      <c r="OR16" s="40" t="str">
        <f t="shared" si="172"/>
        <v/>
      </c>
      <c r="OS16" s="40" t="str">
        <f t="shared" si="173"/>
        <v/>
      </c>
      <c r="OT16" s="40" t="str">
        <f t="shared" si="174"/>
        <v/>
      </c>
      <c r="OU16" s="40" t="str">
        <f t="shared" si="175"/>
        <v/>
      </c>
      <c r="OV16" s="40" t="str">
        <f t="shared" si="176"/>
        <v/>
      </c>
      <c r="OW16" s="40" t="str">
        <f t="shared" si="177"/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 t="shared" si="178"/>
        <v/>
      </c>
      <c r="PS16" s="11" t="str">
        <f t="shared" si="179"/>
        <v/>
      </c>
      <c r="PT16" s="11" t="str">
        <f t="shared" si="180"/>
        <v/>
      </c>
      <c r="PU16" s="11" t="str">
        <f t="shared" si="181"/>
        <v/>
      </c>
      <c r="PV16" s="11" t="str">
        <f t="shared" si="182"/>
        <v/>
      </c>
      <c r="PW16" s="11" t="str">
        <f t="shared" si="183"/>
        <v/>
      </c>
      <c r="PX16" s="11" t="str">
        <f t="shared" si="184"/>
        <v/>
      </c>
      <c r="PY16" s="11" t="str">
        <f t="shared" si="185"/>
        <v/>
      </c>
      <c r="PZ16" s="11" t="str">
        <f t="shared" si="186"/>
        <v/>
      </c>
      <c r="QA16" s="11" t="str">
        <f t="shared" si="187"/>
        <v/>
      </c>
      <c r="QB16" s="11" t="str">
        <f t="shared" si="188"/>
        <v/>
      </c>
      <c r="QC16" s="11" t="str">
        <f t="shared" si="189"/>
        <v/>
      </c>
      <c r="QD16" s="11" t="str">
        <f t="shared" si="190"/>
        <v/>
      </c>
      <c r="QE16" s="11" t="str">
        <f t="shared" si="191"/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 t="shared" si="192"/>
        <v/>
      </c>
      <c r="RA16" s="40" t="str">
        <f t="shared" si="193"/>
        <v/>
      </c>
      <c r="RB16" s="40" t="str">
        <f t="shared" si="194"/>
        <v/>
      </c>
      <c r="RC16" s="40" t="str">
        <f t="shared" si="195"/>
        <v/>
      </c>
      <c r="RD16" s="40" t="str">
        <f t="shared" si="196"/>
        <v/>
      </c>
      <c r="RE16" s="40" t="str">
        <f t="shared" si="197"/>
        <v/>
      </c>
      <c r="RF16" s="40" t="str">
        <f t="shared" si="198"/>
        <v/>
      </c>
      <c r="RG16" s="40" t="str">
        <f t="shared" si="199"/>
        <v/>
      </c>
      <c r="RH16" s="40" t="str">
        <f t="shared" si="200"/>
        <v/>
      </c>
      <c r="RI16" s="40" t="str">
        <f t="shared" si="201"/>
        <v/>
      </c>
      <c r="RJ16" s="40" t="str">
        <f t="shared" si="202"/>
        <v/>
      </c>
      <c r="RK16" s="40" t="str">
        <f t="shared" si="203"/>
        <v/>
      </c>
      <c r="RL16" s="40" t="str">
        <f t="shared" si="204"/>
        <v/>
      </c>
      <c r="RM16" s="40" t="str">
        <f t="shared" si="205"/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 t="shared" si="206"/>
        <v/>
      </c>
      <c r="SI16" s="11" t="str">
        <f t="shared" si="207"/>
        <v/>
      </c>
      <c r="SJ16" s="11" t="str">
        <f t="shared" si="208"/>
        <v/>
      </c>
      <c r="SK16" s="11" t="str">
        <f t="shared" si="209"/>
        <v/>
      </c>
      <c r="SL16" s="11" t="str">
        <f t="shared" si="210"/>
        <v/>
      </c>
      <c r="SM16" s="11" t="str">
        <f t="shared" si="211"/>
        <v/>
      </c>
      <c r="SN16" s="11" t="str">
        <f t="shared" si="212"/>
        <v/>
      </c>
      <c r="SO16" s="11" t="str">
        <f t="shared" si="213"/>
        <v/>
      </c>
      <c r="SP16" s="11" t="str">
        <f t="shared" si="214"/>
        <v/>
      </c>
      <c r="SQ16" s="11" t="str">
        <f t="shared" si="215"/>
        <v/>
      </c>
      <c r="SR16" s="11" t="str">
        <f t="shared" si="216"/>
        <v/>
      </c>
      <c r="SS16" s="11" t="str">
        <f t="shared" si="217"/>
        <v/>
      </c>
      <c r="ST16" s="11" t="str">
        <f t="shared" si="218"/>
        <v/>
      </c>
      <c r="SU16" s="11" t="str">
        <f t="shared" si="219"/>
        <v/>
      </c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40" t="str">
        <f t="shared" si="220"/>
        <v/>
      </c>
      <c r="TQ16" s="40" t="str">
        <f t="shared" si="221"/>
        <v/>
      </c>
      <c r="TR16" s="40" t="str">
        <f t="shared" si="222"/>
        <v/>
      </c>
      <c r="TS16" s="40" t="str">
        <f t="shared" si="223"/>
        <v/>
      </c>
      <c r="TT16" s="40" t="str">
        <f t="shared" si="224"/>
        <v/>
      </c>
      <c r="TU16" s="40" t="str">
        <f t="shared" si="225"/>
        <v/>
      </c>
      <c r="TV16" s="40" t="str">
        <f t="shared" si="226"/>
        <v/>
      </c>
      <c r="TW16" s="40" t="str">
        <f t="shared" si="227"/>
        <v/>
      </c>
      <c r="TX16" s="40" t="str">
        <f t="shared" si="228"/>
        <v/>
      </c>
      <c r="TY16" s="40" t="str">
        <f t="shared" si="229"/>
        <v/>
      </c>
      <c r="TZ16" s="40" t="str">
        <f t="shared" si="230"/>
        <v/>
      </c>
      <c r="UA16" s="40" t="str">
        <f t="shared" si="231"/>
        <v/>
      </c>
      <c r="UB16" s="40" t="str">
        <f t="shared" si="232"/>
        <v/>
      </c>
      <c r="UC16" s="40" t="str">
        <f t="shared" si="233"/>
        <v/>
      </c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8"/>
      <c r="UQ16" s="18"/>
      <c r="UR16" s="18"/>
      <c r="US16" s="18"/>
      <c r="UT16" s="18"/>
      <c r="UU16" s="18"/>
      <c r="UV16" s="18"/>
      <c r="UW16" s="18"/>
      <c r="UX16" s="11" t="str">
        <f t="shared" si="234"/>
        <v/>
      </c>
      <c r="UY16" s="11" t="str">
        <f t="shared" si="235"/>
        <v/>
      </c>
      <c r="UZ16" s="11" t="str">
        <f t="shared" si="236"/>
        <v/>
      </c>
      <c r="VA16" s="11" t="str">
        <f t="shared" si="237"/>
        <v/>
      </c>
      <c r="VB16" s="11" t="str">
        <f t="shared" si="238"/>
        <v/>
      </c>
      <c r="VC16" s="11" t="str">
        <f t="shared" si="239"/>
        <v/>
      </c>
      <c r="VD16" s="11" t="str">
        <f t="shared" si="240"/>
        <v/>
      </c>
      <c r="VE16" s="11" t="str">
        <f t="shared" si="241"/>
        <v/>
      </c>
      <c r="VF16" s="11" t="str">
        <f t="shared" si="242"/>
        <v/>
      </c>
      <c r="VG16" s="11" t="str">
        <f t="shared" si="243"/>
        <v/>
      </c>
      <c r="VH16" s="11" t="str">
        <f t="shared" si="244"/>
        <v/>
      </c>
      <c r="VI16" s="11" t="str">
        <f t="shared" si="245"/>
        <v/>
      </c>
      <c r="VJ16" s="11" t="str">
        <f t="shared" si="246"/>
        <v/>
      </c>
      <c r="VK16" s="11" t="str">
        <f t="shared" si="247"/>
        <v/>
      </c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40" t="str">
        <f t="shared" si="248"/>
        <v/>
      </c>
      <c r="WG16" s="40" t="str">
        <f t="shared" si="249"/>
        <v/>
      </c>
      <c r="WH16" s="40" t="str">
        <f t="shared" si="250"/>
        <v/>
      </c>
      <c r="WI16" s="40" t="str">
        <f t="shared" si="251"/>
        <v/>
      </c>
      <c r="WJ16" s="40" t="str">
        <f t="shared" si="252"/>
        <v/>
      </c>
      <c r="WK16" s="40" t="str">
        <f t="shared" si="253"/>
        <v/>
      </c>
      <c r="WL16" s="40" t="str">
        <f t="shared" si="254"/>
        <v/>
      </c>
      <c r="WM16" s="40" t="str">
        <f t="shared" si="255"/>
        <v/>
      </c>
      <c r="WN16" s="40" t="str">
        <f t="shared" si="256"/>
        <v/>
      </c>
      <c r="WO16" s="40" t="str">
        <f t="shared" si="257"/>
        <v/>
      </c>
      <c r="WP16" s="40" t="str">
        <f t="shared" si="258"/>
        <v/>
      </c>
      <c r="WQ16" s="40" t="str">
        <f t="shared" si="259"/>
        <v/>
      </c>
      <c r="WR16" s="40" t="str">
        <f t="shared" si="260"/>
        <v/>
      </c>
      <c r="WS16" s="40" t="str">
        <f t="shared" si="261"/>
        <v/>
      </c>
      <c r="WT16" s="26">
        <f t="shared" si="262"/>
        <v>10.899999999999999</v>
      </c>
      <c r="WU16" s="26">
        <f t="shared" si="263"/>
        <v>6.1499999999999995</v>
      </c>
      <c r="WV16" s="26">
        <f t="shared" si="264"/>
        <v>8</v>
      </c>
      <c r="WW16" s="26">
        <f t="shared" si="265"/>
        <v>9.7050000000000001</v>
      </c>
      <c r="WX16" s="26">
        <f t="shared" si="266"/>
        <v>0</v>
      </c>
      <c r="WY16" s="26">
        <f t="shared" si="267"/>
        <v>9.6000000000000014</v>
      </c>
      <c r="WZ16" s="26">
        <f t="shared" si="268"/>
        <v>6</v>
      </c>
      <c r="XA16" s="26">
        <f t="shared" si="269"/>
        <v>7.05</v>
      </c>
      <c r="XB16" s="26">
        <f t="shared" si="270"/>
        <v>8.9250000000000007</v>
      </c>
      <c r="XC16" s="26">
        <f t="shared" si="271"/>
        <v>0</v>
      </c>
      <c r="XD16" s="26">
        <f t="shared" si="272"/>
        <v>7.4</v>
      </c>
      <c r="XE16" s="26">
        <f t="shared" si="273"/>
        <v>4.4000000000000004</v>
      </c>
      <c r="XF16" s="26">
        <f t="shared" si="274"/>
        <v>5.8</v>
      </c>
      <c r="XG16" s="26">
        <f t="shared" si="275"/>
        <v>6.8650000000000002</v>
      </c>
      <c r="XH16" s="26">
        <f t="shared" si="276"/>
        <v>0</v>
      </c>
      <c r="XI16" s="28" t="s">
        <v>53</v>
      </c>
      <c r="XJ16" s="11">
        <f t="shared" si="277"/>
        <v>8</v>
      </c>
      <c r="XK16" s="11">
        <f t="shared" si="278"/>
        <v>9.7050000000000001</v>
      </c>
      <c r="XL16" s="11">
        <f t="shared" si="279"/>
        <v>34.754999999999995</v>
      </c>
      <c r="XM16" s="11">
        <f t="shared" si="280"/>
        <v>7.05</v>
      </c>
      <c r="XN16" s="11">
        <f t="shared" si="281"/>
        <v>8.9250000000000007</v>
      </c>
      <c r="XO16" s="11">
        <f t="shared" si="282"/>
        <v>31.575000000000003</v>
      </c>
      <c r="XP16" s="11">
        <f t="shared" si="283"/>
        <v>34.754999999999995</v>
      </c>
      <c r="XQ16" s="11">
        <f t="shared" si="284"/>
        <v>5.8</v>
      </c>
      <c r="XR16" s="11">
        <f t="shared" si="285"/>
        <v>6.8650000000000002</v>
      </c>
      <c r="XS16" s="11">
        <f t="shared" si="286"/>
        <v>24.465000000000003</v>
      </c>
      <c r="XT16" s="11">
        <f t="shared" si="287"/>
        <v>59.22</v>
      </c>
    </row>
    <row r="17" spans="1:644" x14ac:dyDescent="0.2">
      <c r="A17" s="4" t="str" cm="1">
        <f t="array" ref="A17">IF(AND(H17&lt;&gt;"",H17&lt;&gt;"No DD"),SUMPRODUCT((H$4:H$18&lt;&gt;"")*(H$4:H$18&lt;&gt;"No DD")*(E$4:E$18&gt;E17))+1,IF(H17="No DD",SUMPRODUCT((H$4:H$18="No DD")*(E$4:E$18&gt;E17))+1+SUMPRODUCT((H$4:H$18&lt;&gt;"")*(H$4:H$18&lt;&gt;"No DD")),""))</f>
        <v/>
      </c>
      <c r="B17" s="5" t="s">
        <v>139</v>
      </c>
      <c r="C17" s="4" t="s">
        <v>5</v>
      </c>
      <c r="D17" s="4">
        <v>2004</v>
      </c>
      <c r="E17" s="9">
        <f t="shared" si="0"/>
        <v>153.52001535200455</v>
      </c>
      <c r="F17" s="3" t="str">
        <f t="shared" si="1"/>
        <v/>
      </c>
      <c r="G17" s="3" t="str">
        <f t="shared" si="2"/>
        <v/>
      </c>
      <c r="H17" s="36" t="str">
        <f t="shared" si="3"/>
        <v/>
      </c>
      <c r="I17" s="3" t="str">
        <f t="shared" si="4"/>
        <v/>
      </c>
      <c r="J17" s="8">
        <f>IF(COUNT(AQ17,AT17,BR17,BU17,CS17,CV17)&gt;0,LARGE((AQ17,AT17,BR17,BU17,CS17,CV17),1),0)</f>
        <v>45.38</v>
      </c>
      <c r="K17" s="8" t="str">
        <f t="shared" si="5"/>
        <v>2024 3rd Domestic Trial</v>
      </c>
      <c r="L17" s="8">
        <f>IF(COUNT(AQ17,AT17,BR17,BU17,CS17,CV17)&gt;1,LARGE((AQ17,AT17,BR17,BU17,CS17,CV17),2),0)</f>
        <v>44.41</v>
      </c>
      <c r="M17" s="8" t="str">
        <f t="shared" si="6"/>
        <v>2024 Elite Canada</v>
      </c>
      <c r="N17" s="8">
        <f>IF(COUNT(AQ17,AT17,BR17,BU17,CS17,CV17)&gt;2,LARGE((AQ17,AT17,BR17,BU17,CS17,CV17),3),0)</f>
        <v>43.010000000000005</v>
      </c>
      <c r="O17" s="8" t="str">
        <f t="shared" si="7"/>
        <v>2024 Elite Canada</v>
      </c>
      <c r="P17" s="8">
        <f t="shared" si="8"/>
        <v>10.620000000000001</v>
      </c>
      <c r="Q17" s="8" t="str">
        <f t="shared" si="9"/>
        <v>2024 3rd Domestic Trial</v>
      </c>
      <c r="R17" s="8">
        <f t="shared" si="10"/>
        <v>10.1</v>
      </c>
      <c r="S17" s="8" t="str">
        <f t="shared" si="11"/>
        <v>2024 Elite Canada</v>
      </c>
      <c r="T17" s="8">
        <f t="shared" si="12"/>
        <v>0</v>
      </c>
      <c r="U17" s="8" t="str">
        <f t="shared" si="13"/>
        <v/>
      </c>
      <c r="V17" s="8" t="str">
        <f t="shared" si="14"/>
        <v/>
      </c>
      <c r="W17" s="11" t="str">
        <f t="shared" si="15"/>
        <v/>
      </c>
      <c r="X17" s="8" t="str">
        <f t="shared" si="16"/>
        <v/>
      </c>
      <c r="Y17" s="22">
        <v>11.9</v>
      </c>
      <c r="Z17" s="22">
        <v>9.1999999999999993</v>
      </c>
      <c r="AA17" s="22">
        <v>9.8000000000000007</v>
      </c>
      <c r="AB17" s="22">
        <v>13.51</v>
      </c>
      <c r="AC17" s="22">
        <v>1.4</v>
      </c>
      <c r="AD17" s="22">
        <v>13.1</v>
      </c>
      <c r="AE17" s="22">
        <v>9.1</v>
      </c>
      <c r="AF17" s="22">
        <v>10.1</v>
      </c>
      <c r="AG17" s="22">
        <v>13.21</v>
      </c>
      <c r="AH17" s="22">
        <v>1.1000000000000001</v>
      </c>
      <c r="AI17" s="22"/>
      <c r="AJ17" s="22"/>
      <c r="AK17" s="22"/>
      <c r="AL17" s="22"/>
      <c r="AM17" s="22"/>
      <c r="AN17" s="27"/>
      <c r="AO17" s="38">
        <f t="shared" si="17"/>
        <v>9.8000000000000007</v>
      </c>
      <c r="AP17" s="38">
        <f t="shared" si="18"/>
        <v>13.51</v>
      </c>
      <c r="AQ17" s="40">
        <f t="shared" si="19"/>
        <v>43.010000000000005</v>
      </c>
      <c r="AR17" s="40">
        <f t="shared" si="20"/>
        <v>10.1</v>
      </c>
      <c r="AS17" s="40">
        <f t="shared" si="21"/>
        <v>13.21</v>
      </c>
      <c r="AT17" s="40">
        <f t="shared" si="22"/>
        <v>44.41</v>
      </c>
      <c r="AU17" s="40">
        <f t="shared" si="23"/>
        <v>44.41</v>
      </c>
      <c r="AV17" s="40" t="str">
        <f t="shared" si="24"/>
        <v/>
      </c>
      <c r="AW17" s="40" t="str">
        <f t="shared" si="25"/>
        <v/>
      </c>
      <c r="AX17" s="40" t="str">
        <f t="shared" si="26"/>
        <v/>
      </c>
      <c r="AY17" s="40">
        <f t="shared" si="27"/>
        <v>44.41</v>
      </c>
      <c r="AZ17" s="26">
        <v>1.4</v>
      </c>
      <c r="BA17" s="26">
        <v>1</v>
      </c>
      <c r="BB17" s="26">
        <v>1.5</v>
      </c>
      <c r="BC17" s="26">
        <v>1.56</v>
      </c>
      <c r="BD17" s="26">
        <v>0</v>
      </c>
      <c r="BE17" s="26">
        <v>1.6</v>
      </c>
      <c r="BF17" s="26">
        <v>1</v>
      </c>
      <c r="BG17" s="26">
        <v>1.5</v>
      </c>
      <c r="BH17" s="26">
        <v>1.56</v>
      </c>
      <c r="BI17" s="26">
        <v>0</v>
      </c>
      <c r="BJ17" s="26"/>
      <c r="BK17" s="26"/>
      <c r="BL17" s="26"/>
      <c r="BM17" s="26"/>
      <c r="BN17" s="26"/>
      <c r="BO17" s="28"/>
      <c r="BP17" s="39">
        <f t="shared" si="28"/>
        <v>1.5</v>
      </c>
      <c r="BQ17" s="39">
        <f t="shared" si="29"/>
        <v>1.56</v>
      </c>
      <c r="BR17" s="11">
        <f t="shared" si="30"/>
        <v>5.46</v>
      </c>
      <c r="BS17" s="11">
        <f t="shared" si="31"/>
        <v>1.5</v>
      </c>
      <c r="BT17" s="11">
        <f t="shared" si="32"/>
        <v>1.56</v>
      </c>
      <c r="BU17" s="11">
        <f t="shared" si="33"/>
        <v>5.66</v>
      </c>
      <c r="BV17" s="11">
        <f t="shared" si="34"/>
        <v>5.66</v>
      </c>
      <c r="BW17" s="11" t="str">
        <f t="shared" si="35"/>
        <v/>
      </c>
      <c r="BX17" s="11" t="str">
        <f t="shared" si="36"/>
        <v/>
      </c>
      <c r="BY17" s="11" t="str">
        <f t="shared" si="37"/>
        <v/>
      </c>
      <c r="BZ17" s="11">
        <f t="shared" si="38"/>
        <v>5.66</v>
      </c>
      <c r="CA17" s="22">
        <v>14.8</v>
      </c>
      <c r="CB17" s="22">
        <v>8.9</v>
      </c>
      <c r="CC17" s="22">
        <v>9.1</v>
      </c>
      <c r="CD17" s="22">
        <v>14.68</v>
      </c>
      <c r="CE17" s="22">
        <v>2.1</v>
      </c>
      <c r="CF17" s="22">
        <v>3.2</v>
      </c>
      <c r="CG17" s="22">
        <v>1.8</v>
      </c>
      <c r="CH17" s="22">
        <v>2.7</v>
      </c>
      <c r="CI17" s="22">
        <v>3.1</v>
      </c>
      <c r="CJ17" s="22">
        <v>0</v>
      </c>
      <c r="CK17" s="22">
        <v>3.2</v>
      </c>
      <c r="CL17" s="22">
        <v>1.6</v>
      </c>
      <c r="CM17" s="22">
        <v>2.7</v>
      </c>
      <c r="CN17" s="22">
        <v>3.12</v>
      </c>
      <c r="CO17" s="22">
        <v>0</v>
      </c>
      <c r="CP17" s="27"/>
      <c r="CQ17" s="38">
        <f t="shared" si="39"/>
        <v>9.1</v>
      </c>
      <c r="CR17" s="38">
        <f t="shared" si="40"/>
        <v>14.68</v>
      </c>
      <c r="CS17" s="40">
        <f t="shared" si="41"/>
        <v>45.38</v>
      </c>
      <c r="CT17" s="40">
        <f t="shared" si="42"/>
        <v>2.7</v>
      </c>
      <c r="CU17" s="40">
        <f t="shared" si="43"/>
        <v>3.1</v>
      </c>
      <c r="CV17" s="40">
        <f t="shared" si="44"/>
        <v>10.8</v>
      </c>
      <c r="CW17" s="40">
        <f t="shared" si="45"/>
        <v>45.38</v>
      </c>
      <c r="CX17" s="40">
        <f t="shared" si="46"/>
        <v>2.7</v>
      </c>
      <c r="CY17" s="40">
        <f t="shared" si="47"/>
        <v>3.12</v>
      </c>
      <c r="CZ17" s="40">
        <f t="shared" si="48"/>
        <v>10.620000000000001</v>
      </c>
      <c r="DA17" s="40">
        <f t="shared" si="49"/>
        <v>56</v>
      </c>
      <c r="DB17" s="51" t="str">
        <f t="shared" si="50"/>
        <v/>
      </c>
      <c r="DC17" s="51" t="str">
        <f t="shared" si="51"/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 t="shared" si="52"/>
        <v/>
      </c>
      <c r="DY17" s="40" t="str">
        <f t="shared" si="53"/>
        <v/>
      </c>
      <c r="DZ17" s="40" t="str">
        <f t="shared" si="54"/>
        <v/>
      </c>
      <c r="EA17" s="40" t="str">
        <f t="shared" si="55"/>
        <v/>
      </c>
      <c r="EB17" s="40" t="str">
        <f t="shared" si="56"/>
        <v/>
      </c>
      <c r="EC17" s="40" t="str">
        <f t="shared" si="57"/>
        <v/>
      </c>
      <c r="ED17" s="40" t="str">
        <f t="shared" si="58"/>
        <v/>
      </c>
      <c r="EE17" s="40" t="str">
        <f t="shared" si="59"/>
        <v/>
      </c>
      <c r="EF17" s="40" t="str">
        <f t="shared" si="60"/>
        <v/>
      </c>
      <c r="EG17" s="40" t="str">
        <f t="shared" si="61"/>
        <v/>
      </c>
      <c r="EH17" s="40" t="str">
        <f t="shared" si="62"/>
        <v/>
      </c>
      <c r="EI17" s="40" t="str">
        <f t="shared" si="63"/>
        <v/>
      </c>
      <c r="EJ17" s="40" t="str">
        <f t="shared" si="64"/>
        <v/>
      </c>
      <c r="EK17" s="40" t="str">
        <f t="shared" si="65"/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 t="shared" si="66"/>
        <v/>
      </c>
      <c r="FG17" s="11" t="str">
        <f t="shared" si="67"/>
        <v/>
      </c>
      <c r="FH17" s="11" t="str">
        <f t="shared" si="68"/>
        <v/>
      </c>
      <c r="FI17" s="11" t="str">
        <f t="shared" si="69"/>
        <v/>
      </c>
      <c r="FJ17" s="11" t="str">
        <f t="shared" si="70"/>
        <v/>
      </c>
      <c r="FK17" s="11" t="str">
        <f t="shared" si="71"/>
        <v/>
      </c>
      <c r="FL17" s="11" t="str">
        <f t="shared" si="72"/>
        <v/>
      </c>
      <c r="FM17" s="11" t="str">
        <f t="shared" si="73"/>
        <v/>
      </c>
      <c r="FN17" s="11" t="str">
        <f t="shared" si="74"/>
        <v/>
      </c>
      <c r="FO17" s="11" t="str">
        <f t="shared" si="75"/>
        <v/>
      </c>
      <c r="FP17" s="11" t="str">
        <f t="shared" si="76"/>
        <v/>
      </c>
      <c r="FQ17" s="11" t="str">
        <f t="shared" si="77"/>
        <v/>
      </c>
      <c r="FR17" s="11" t="str">
        <f t="shared" si="78"/>
        <v/>
      </c>
      <c r="FS17" s="11" t="str">
        <f t="shared" si="79"/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 t="shared" si="80"/>
        <v/>
      </c>
      <c r="GO17" s="40" t="str">
        <f t="shared" si="81"/>
        <v/>
      </c>
      <c r="GP17" s="40" t="str">
        <f t="shared" si="82"/>
        <v/>
      </c>
      <c r="GQ17" s="40" t="str">
        <f t="shared" si="83"/>
        <v/>
      </c>
      <c r="GR17" s="40" t="str">
        <f t="shared" si="84"/>
        <v/>
      </c>
      <c r="GS17" s="40" t="str">
        <f t="shared" si="85"/>
        <v/>
      </c>
      <c r="GT17" s="40" t="str">
        <f t="shared" si="86"/>
        <v/>
      </c>
      <c r="GU17" s="40" t="str">
        <f t="shared" si="87"/>
        <v/>
      </c>
      <c r="GV17" s="40" t="str">
        <f t="shared" si="88"/>
        <v/>
      </c>
      <c r="GW17" s="40" t="str">
        <f t="shared" si="89"/>
        <v/>
      </c>
      <c r="GX17" s="40" t="str">
        <f t="shared" si="90"/>
        <v/>
      </c>
      <c r="GY17" s="40" t="str">
        <f t="shared" si="91"/>
        <v/>
      </c>
      <c r="GZ17" s="40" t="str">
        <f t="shared" si="92"/>
        <v/>
      </c>
      <c r="HA17" s="40" t="str">
        <f t="shared" si="93"/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 t="shared" si="94"/>
        <v/>
      </c>
      <c r="HW17" s="11" t="str">
        <f t="shared" si="95"/>
        <v/>
      </c>
      <c r="HX17" s="11" t="str">
        <f t="shared" si="96"/>
        <v/>
      </c>
      <c r="HY17" s="11" t="str">
        <f t="shared" si="97"/>
        <v/>
      </c>
      <c r="HZ17" s="11" t="str">
        <f t="shared" si="98"/>
        <v/>
      </c>
      <c r="IA17" s="11" t="str">
        <f t="shared" si="99"/>
        <v/>
      </c>
      <c r="IB17" s="11" t="str">
        <f t="shared" si="100"/>
        <v/>
      </c>
      <c r="IC17" s="11" t="str">
        <f t="shared" si="101"/>
        <v/>
      </c>
      <c r="ID17" s="11" t="str">
        <f t="shared" si="102"/>
        <v/>
      </c>
      <c r="IE17" s="11" t="str">
        <f t="shared" si="103"/>
        <v/>
      </c>
      <c r="IF17" s="11" t="str">
        <f t="shared" si="104"/>
        <v/>
      </c>
      <c r="IG17" s="11" t="str">
        <f t="shared" si="105"/>
        <v/>
      </c>
      <c r="IH17" s="11" t="str">
        <f t="shared" si="106"/>
        <v/>
      </c>
      <c r="II17" s="11" t="str">
        <f t="shared" si="107"/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 t="shared" si="108"/>
        <v/>
      </c>
      <c r="JE17" s="40" t="str">
        <f t="shared" si="109"/>
        <v/>
      </c>
      <c r="JF17" s="40" t="str">
        <f t="shared" si="110"/>
        <v/>
      </c>
      <c r="JG17" s="40" t="str">
        <f t="shared" si="111"/>
        <v/>
      </c>
      <c r="JH17" s="40" t="str">
        <f t="shared" si="112"/>
        <v/>
      </c>
      <c r="JI17" s="40" t="str">
        <f t="shared" si="113"/>
        <v/>
      </c>
      <c r="JJ17" s="40" t="str">
        <f t="shared" si="114"/>
        <v/>
      </c>
      <c r="JK17" s="40" t="str">
        <f t="shared" si="115"/>
        <v/>
      </c>
      <c r="JL17" s="40" t="str">
        <f t="shared" si="116"/>
        <v/>
      </c>
      <c r="JM17" s="40" t="str">
        <f t="shared" si="117"/>
        <v/>
      </c>
      <c r="JN17" s="40" t="str">
        <f t="shared" si="118"/>
        <v/>
      </c>
      <c r="JO17" s="40" t="str">
        <f t="shared" si="119"/>
        <v/>
      </c>
      <c r="JP17" s="40" t="str">
        <f t="shared" si="120"/>
        <v/>
      </c>
      <c r="JQ17" s="40" t="str">
        <f t="shared" si="121"/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 t="shared" si="122"/>
        <v/>
      </c>
      <c r="KM17" s="11" t="str">
        <f t="shared" si="123"/>
        <v/>
      </c>
      <c r="KN17" s="11" t="str">
        <f t="shared" si="124"/>
        <v/>
      </c>
      <c r="KO17" s="11" t="str">
        <f t="shared" si="125"/>
        <v/>
      </c>
      <c r="KP17" s="11" t="str">
        <f t="shared" si="126"/>
        <v/>
      </c>
      <c r="KQ17" s="11" t="str">
        <f t="shared" si="127"/>
        <v/>
      </c>
      <c r="KR17" s="11" t="str">
        <f t="shared" si="128"/>
        <v/>
      </c>
      <c r="KS17" s="11" t="str">
        <f t="shared" si="129"/>
        <v/>
      </c>
      <c r="KT17" s="11" t="str">
        <f t="shared" si="130"/>
        <v/>
      </c>
      <c r="KU17" s="11" t="str">
        <f t="shared" si="131"/>
        <v/>
      </c>
      <c r="KV17" s="11" t="str">
        <f t="shared" si="132"/>
        <v/>
      </c>
      <c r="KW17" s="11" t="str">
        <f t="shared" si="133"/>
        <v/>
      </c>
      <c r="KX17" s="11" t="str">
        <f t="shared" si="134"/>
        <v/>
      </c>
      <c r="KY17" s="11" t="str">
        <f t="shared" si="135"/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 t="shared" si="136"/>
        <v/>
      </c>
      <c r="LU17" s="40" t="str">
        <f t="shared" si="137"/>
        <v/>
      </c>
      <c r="LV17" s="40" t="str">
        <f t="shared" si="138"/>
        <v/>
      </c>
      <c r="LW17" s="40" t="str">
        <f t="shared" si="139"/>
        <v/>
      </c>
      <c r="LX17" s="40" t="str">
        <f t="shared" si="140"/>
        <v/>
      </c>
      <c r="LY17" s="40" t="str">
        <f t="shared" si="141"/>
        <v/>
      </c>
      <c r="LZ17" s="40" t="str">
        <f t="shared" si="142"/>
        <v/>
      </c>
      <c r="MA17" s="40" t="str">
        <f t="shared" si="143"/>
        <v/>
      </c>
      <c r="MB17" s="40" t="str">
        <f t="shared" si="144"/>
        <v/>
      </c>
      <c r="MC17" s="40" t="str">
        <f t="shared" si="145"/>
        <v/>
      </c>
      <c r="MD17" s="40" t="str">
        <f t="shared" si="146"/>
        <v/>
      </c>
      <c r="ME17" s="40" t="str">
        <f t="shared" si="147"/>
        <v/>
      </c>
      <c r="MF17" s="40" t="str">
        <f t="shared" si="148"/>
        <v/>
      </c>
      <c r="MG17" s="40" t="str">
        <f t="shared" si="149"/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 t="shared" si="150"/>
        <v/>
      </c>
      <c r="NC17" s="11" t="str">
        <f t="shared" si="151"/>
        <v/>
      </c>
      <c r="ND17" s="11" t="str">
        <f t="shared" si="152"/>
        <v/>
      </c>
      <c r="NE17" s="11" t="str">
        <f t="shared" si="153"/>
        <v/>
      </c>
      <c r="NF17" s="11" t="str">
        <f t="shared" si="154"/>
        <v/>
      </c>
      <c r="NG17" s="11" t="str">
        <f t="shared" si="155"/>
        <v/>
      </c>
      <c r="NH17" s="11" t="str">
        <f t="shared" si="156"/>
        <v/>
      </c>
      <c r="NI17" s="11" t="str">
        <f t="shared" si="157"/>
        <v/>
      </c>
      <c r="NJ17" s="11" t="str">
        <f t="shared" si="158"/>
        <v/>
      </c>
      <c r="NK17" s="11" t="str">
        <f t="shared" si="159"/>
        <v/>
      </c>
      <c r="NL17" s="11" t="str">
        <f t="shared" si="160"/>
        <v/>
      </c>
      <c r="NM17" s="11" t="str">
        <f t="shared" si="161"/>
        <v/>
      </c>
      <c r="NN17" s="11" t="str">
        <f t="shared" si="162"/>
        <v/>
      </c>
      <c r="NO17" s="11" t="str">
        <f t="shared" si="163"/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 t="shared" si="164"/>
        <v/>
      </c>
      <c r="OK17" s="40" t="str">
        <f t="shared" si="165"/>
        <v/>
      </c>
      <c r="OL17" s="40" t="str">
        <f t="shared" si="166"/>
        <v/>
      </c>
      <c r="OM17" s="40" t="str">
        <f t="shared" si="167"/>
        <v/>
      </c>
      <c r="ON17" s="40" t="str">
        <f t="shared" si="168"/>
        <v/>
      </c>
      <c r="OO17" s="40" t="str">
        <f t="shared" si="169"/>
        <v/>
      </c>
      <c r="OP17" s="40" t="str">
        <f t="shared" si="170"/>
        <v/>
      </c>
      <c r="OQ17" s="40" t="str">
        <f t="shared" si="171"/>
        <v/>
      </c>
      <c r="OR17" s="40" t="str">
        <f t="shared" si="172"/>
        <v/>
      </c>
      <c r="OS17" s="40" t="str">
        <f t="shared" si="173"/>
        <v/>
      </c>
      <c r="OT17" s="40" t="str">
        <f t="shared" si="174"/>
        <v/>
      </c>
      <c r="OU17" s="40" t="str">
        <f t="shared" si="175"/>
        <v/>
      </c>
      <c r="OV17" s="40" t="str">
        <f t="shared" si="176"/>
        <v/>
      </c>
      <c r="OW17" s="40" t="str">
        <f t="shared" si="177"/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 t="shared" si="178"/>
        <v/>
      </c>
      <c r="PS17" s="11" t="str">
        <f t="shared" si="179"/>
        <v/>
      </c>
      <c r="PT17" s="11" t="str">
        <f t="shared" si="180"/>
        <v/>
      </c>
      <c r="PU17" s="11" t="str">
        <f t="shared" si="181"/>
        <v/>
      </c>
      <c r="PV17" s="11" t="str">
        <f t="shared" si="182"/>
        <v/>
      </c>
      <c r="PW17" s="11" t="str">
        <f t="shared" si="183"/>
        <v/>
      </c>
      <c r="PX17" s="11" t="str">
        <f t="shared" si="184"/>
        <v/>
      </c>
      <c r="PY17" s="11" t="str">
        <f t="shared" si="185"/>
        <v/>
      </c>
      <c r="PZ17" s="11" t="str">
        <f t="shared" si="186"/>
        <v/>
      </c>
      <c r="QA17" s="11" t="str">
        <f t="shared" si="187"/>
        <v/>
      </c>
      <c r="QB17" s="11" t="str">
        <f t="shared" si="188"/>
        <v/>
      </c>
      <c r="QC17" s="11" t="str">
        <f t="shared" si="189"/>
        <v/>
      </c>
      <c r="QD17" s="11" t="str">
        <f t="shared" si="190"/>
        <v/>
      </c>
      <c r="QE17" s="11" t="str">
        <f t="shared" si="191"/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 t="shared" si="192"/>
        <v/>
      </c>
      <c r="RA17" s="40" t="str">
        <f t="shared" si="193"/>
        <v/>
      </c>
      <c r="RB17" s="40" t="str">
        <f t="shared" si="194"/>
        <v/>
      </c>
      <c r="RC17" s="40" t="str">
        <f t="shared" si="195"/>
        <v/>
      </c>
      <c r="RD17" s="40" t="str">
        <f t="shared" si="196"/>
        <v/>
      </c>
      <c r="RE17" s="40" t="str">
        <f t="shared" si="197"/>
        <v/>
      </c>
      <c r="RF17" s="40" t="str">
        <f t="shared" si="198"/>
        <v/>
      </c>
      <c r="RG17" s="40" t="str">
        <f t="shared" si="199"/>
        <v/>
      </c>
      <c r="RH17" s="40" t="str">
        <f t="shared" si="200"/>
        <v/>
      </c>
      <c r="RI17" s="40" t="str">
        <f t="shared" si="201"/>
        <v/>
      </c>
      <c r="RJ17" s="40" t="str">
        <f t="shared" si="202"/>
        <v/>
      </c>
      <c r="RK17" s="40" t="str">
        <f t="shared" si="203"/>
        <v/>
      </c>
      <c r="RL17" s="40" t="str">
        <f t="shared" si="204"/>
        <v/>
      </c>
      <c r="RM17" s="40" t="str">
        <f t="shared" si="205"/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 t="shared" si="206"/>
        <v/>
      </c>
      <c r="SI17" s="11" t="str">
        <f t="shared" si="207"/>
        <v/>
      </c>
      <c r="SJ17" s="11" t="str">
        <f t="shared" si="208"/>
        <v/>
      </c>
      <c r="SK17" s="11" t="str">
        <f t="shared" si="209"/>
        <v/>
      </c>
      <c r="SL17" s="11" t="str">
        <f t="shared" si="210"/>
        <v/>
      </c>
      <c r="SM17" s="11" t="str">
        <f t="shared" si="211"/>
        <v/>
      </c>
      <c r="SN17" s="11" t="str">
        <f t="shared" si="212"/>
        <v/>
      </c>
      <c r="SO17" s="11" t="str">
        <f t="shared" si="213"/>
        <v/>
      </c>
      <c r="SP17" s="11" t="str">
        <f t="shared" si="214"/>
        <v/>
      </c>
      <c r="SQ17" s="11" t="str">
        <f t="shared" si="215"/>
        <v/>
      </c>
      <c r="SR17" s="11" t="str">
        <f t="shared" si="216"/>
        <v/>
      </c>
      <c r="SS17" s="11" t="str">
        <f t="shared" si="217"/>
        <v/>
      </c>
      <c r="ST17" s="11" t="str">
        <f t="shared" si="218"/>
        <v/>
      </c>
      <c r="SU17" s="11" t="str">
        <f t="shared" si="219"/>
        <v/>
      </c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40" t="str">
        <f t="shared" si="220"/>
        <v/>
      </c>
      <c r="TQ17" s="40" t="str">
        <f t="shared" si="221"/>
        <v/>
      </c>
      <c r="TR17" s="40" t="str">
        <f t="shared" si="222"/>
        <v/>
      </c>
      <c r="TS17" s="40" t="str">
        <f t="shared" si="223"/>
        <v/>
      </c>
      <c r="TT17" s="40" t="str">
        <f t="shared" si="224"/>
        <v/>
      </c>
      <c r="TU17" s="40" t="str">
        <f t="shared" si="225"/>
        <v/>
      </c>
      <c r="TV17" s="40" t="str">
        <f t="shared" si="226"/>
        <v/>
      </c>
      <c r="TW17" s="40" t="str">
        <f t="shared" si="227"/>
        <v/>
      </c>
      <c r="TX17" s="40" t="str">
        <f t="shared" si="228"/>
        <v/>
      </c>
      <c r="TY17" s="40" t="str">
        <f t="shared" si="229"/>
        <v/>
      </c>
      <c r="TZ17" s="40" t="str">
        <f t="shared" si="230"/>
        <v/>
      </c>
      <c r="UA17" s="40" t="str">
        <f t="shared" si="231"/>
        <v/>
      </c>
      <c r="UB17" s="40" t="str">
        <f t="shared" si="232"/>
        <v/>
      </c>
      <c r="UC17" s="40" t="str">
        <f t="shared" si="233"/>
        <v/>
      </c>
      <c r="UD17" s="18"/>
      <c r="UE17" s="18"/>
      <c r="UF17" s="18"/>
      <c r="UG17" s="18"/>
      <c r="UH17" s="18"/>
      <c r="UI17" s="18"/>
      <c r="UJ17" s="18"/>
      <c r="UK17" s="18"/>
      <c r="UL17" s="18"/>
      <c r="UM17" s="18"/>
      <c r="UN17" s="18"/>
      <c r="UO17" s="18"/>
      <c r="UP17" s="18"/>
      <c r="UQ17" s="18"/>
      <c r="UR17" s="18"/>
      <c r="US17" s="18"/>
      <c r="UT17" s="18"/>
      <c r="UU17" s="18"/>
      <c r="UV17" s="18"/>
      <c r="UW17" s="18"/>
      <c r="UX17" s="11" t="str">
        <f t="shared" si="234"/>
        <v/>
      </c>
      <c r="UY17" s="11" t="str">
        <f t="shared" si="235"/>
        <v/>
      </c>
      <c r="UZ17" s="11" t="str">
        <f t="shared" si="236"/>
        <v/>
      </c>
      <c r="VA17" s="11" t="str">
        <f t="shared" si="237"/>
        <v/>
      </c>
      <c r="VB17" s="11" t="str">
        <f t="shared" si="238"/>
        <v/>
      </c>
      <c r="VC17" s="11" t="str">
        <f t="shared" si="239"/>
        <v/>
      </c>
      <c r="VD17" s="11" t="str">
        <f t="shared" si="240"/>
        <v/>
      </c>
      <c r="VE17" s="11" t="str">
        <f t="shared" si="241"/>
        <v/>
      </c>
      <c r="VF17" s="11" t="str">
        <f t="shared" si="242"/>
        <v/>
      </c>
      <c r="VG17" s="11" t="str">
        <f t="shared" si="243"/>
        <v/>
      </c>
      <c r="VH17" s="11" t="str">
        <f t="shared" si="244"/>
        <v/>
      </c>
      <c r="VI17" s="11" t="str">
        <f t="shared" si="245"/>
        <v/>
      </c>
      <c r="VJ17" s="11" t="str">
        <f t="shared" si="246"/>
        <v/>
      </c>
      <c r="VK17" s="11" t="str">
        <f t="shared" si="247"/>
        <v/>
      </c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40" t="str">
        <f t="shared" si="248"/>
        <v/>
      </c>
      <c r="WG17" s="40" t="str">
        <f t="shared" si="249"/>
        <v/>
      </c>
      <c r="WH17" s="40" t="str">
        <f t="shared" si="250"/>
        <v/>
      </c>
      <c r="WI17" s="40" t="str">
        <f t="shared" si="251"/>
        <v/>
      </c>
      <c r="WJ17" s="40" t="str">
        <f t="shared" si="252"/>
        <v/>
      </c>
      <c r="WK17" s="40" t="str">
        <f t="shared" si="253"/>
        <v/>
      </c>
      <c r="WL17" s="40" t="str">
        <f t="shared" si="254"/>
        <v/>
      </c>
      <c r="WM17" s="40" t="str">
        <f t="shared" si="255"/>
        <v/>
      </c>
      <c r="WN17" s="40" t="str">
        <f t="shared" si="256"/>
        <v/>
      </c>
      <c r="WO17" s="40" t="str">
        <f t="shared" si="257"/>
        <v/>
      </c>
      <c r="WP17" s="40" t="str">
        <f t="shared" si="258"/>
        <v/>
      </c>
      <c r="WQ17" s="40" t="str">
        <f t="shared" si="259"/>
        <v/>
      </c>
      <c r="WR17" s="40" t="str">
        <f t="shared" si="260"/>
        <v/>
      </c>
      <c r="WS17" s="40" t="str">
        <f t="shared" si="261"/>
        <v/>
      </c>
      <c r="WT17" s="26">
        <f t="shared" si="262"/>
        <v>8.1</v>
      </c>
      <c r="WU17" s="26">
        <f t="shared" si="263"/>
        <v>4.95</v>
      </c>
      <c r="WV17" s="26">
        <f t="shared" si="264"/>
        <v>5.3</v>
      </c>
      <c r="WW17" s="26">
        <f t="shared" si="265"/>
        <v>8.1199999999999992</v>
      </c>
      <c r="WX17" s="26">
        <f t="shared" si="266"/>
        <v>1.05</v>
      </c>
      <c r="WY17" s="26">
        <f t="shared" si="267"/>
        <v>2.4000000000000004</v>
      </c>
      <c r="WZ17" s="26">
        <f t="shared" si="268"/>
        <v>1.4</v>
      </c>
      <c r="XA17" s="26">
        <f t="shared" si="269"/>
        <v>2.1</v>
      </c>
      <c r="XB17" s="26">
        <f t="shared" si="270"/>
        <v>2.33</v>
      </c>
      <c r="XC17" s="26">
        <f t="shared" si="271"/>
        <v>0</v>
      </c>
      <c r="XD17" s="26">
        <f t="shared" si="272"/>
        <v>1.6</v>
      </c>
      <c r="XE17" s="26">
        <f t="shared" si="273"/>
        <v>0.8</v>
      </c>
      <c r="XF17" s="26">
        <f t="shared" si="274"/>
        <v>1.35</v>
      </c>
      <c r="XG17" s="26">
        <f t="shared" si="275"/>
        <v>1.56</v>
      </c>
      <c r="XH17" s="26">
        <f t="shared" si="276"/>
        <v>0</v>
      </c>
      <c r="XI17" s="28" t="s">
        <v>53</v>
      </c>
      <c r="XJ17" s="11">
        <f t="shared" si="277"/>
        <v>5.3</v>
      </c>
      <c r="XK17" s="11">
        <f t="shared" si="278"/>
        <v>8.1199999999999992</v>
      </c>
      <c r="XL17" s="11">
        <f t="shared" si="279"/>
        <v>25.419999999999998</v>
      </c>
      <c r="XM17" s="11">
        <f t="shared" si="280"/>
        <v>2.1</v>
      </c>
      <c r="XN17" s="11">
        <f t="shared" si="281"/>
        <v>2.33</v>
      </c>
      <c r="XO17" s="11">
        <f t="shared" si="282"/>
        <v>8.23</v>
      </c>
      <c r="XP17" s="11">
        <f t="shared" si="283"/>
        <v>25.419999999999998</v>
      </c>
      <c r="XQ17" s="11">
        <f t="shared" si="284"/>
        <v>1.35</v>
      </c>
      <c r="XR17" s="11">
        <f t="shared" si="285"/>
        <v>1.56</v>
      </c>
      <c r="XS17" s="11">
        <f t="shared" si="286"/>
        <v>5.3100000000000005</v>
      </c>
      <c r="XT17" s="11">
        <f t="shared" si="287"/>
        <v>30.729999999999997</v>
      </c>
    </row>
    <row r="18" spans="1:644" x14ac:dyDescent="0.2">
      <c r="B18" s="5"/>
      <c r="D18" s="1"/>
    </row>
    <row r="19" spans="1:644" x14ac:dyDescent="0.2">
      <c r="G19" s="36"/>
      <c r="I19" s="36"/>
    </row>
    <row r="20" spans="1:644" x14ac:dyDescent="0.2">
      <c r="B20" s="23" t="s">
        <v>51</v>
      </c>
      <c r="C20" s="5"/>
      <c r="G20" s="3"/>
      <c r="AR20" s="41"/>
      <c r="AS20" s="41"/>
      <c r="AT20" s="41"/>
      <c r="AV20" s="32"/>
      <c r="AW20" s="32"/>
      <c r="AY20" s="42">
        <v>12.7</v>
      </c>
      <c r="BS20" s="41"/>
      <c r="BT20" s="41"/>
      <c r="BU20" s="41"/>
      <c r="BW20" s="32"/>
      <c r="BX20" s="32"/>
      <c r="BZ20" s="42">
        <v>12.7</v>
      </c>
      <c r="CT20" s="41"/>
      <c r="CU20" s="41"/>
      <c r="CV20" s="41"/>
      <c r="CX20" s="32"/>
      <c r="CY20" s="32"/>
      <c r="DA20" s="42">
        <v>12.7</v>
      </c>
      <c r="DX20" s="5"/>
      <c r="DY20" s="5"/>
      <c r="EH20" s="2"/>
      <c r="EI20" s="2"/>
      <c r="EK20" s="42">
        <v>12.7</v>
      </c>
      <c r="FF20" s="5"/>
      <c r="FG20" s="5"/>
      <c r="FP20" s="2"/>
      <c r="FQ20" s="2"/>
      <c r="FS20" s="42">
        <v>12.7</v>
      </c>
      <c r="GN20" s="5"/>
      <c r="GO20" s="5"/>
      <c r="GX20" s="2"/>
      <c r="GY20" s="2"/>
      <c r="HA20" s="42">
        <v>12.7</v>
      </c>
      <c r="HV20" s="5"/>
      <c r="HW20" s="5"/>
      <c r="IF20" s="2"/>
      <c r="IG20" s="2"/>
      <c r="II20" s="42">
        <v>12.7</v>
      </c>
      <c r="JD20" s="5"/>
      <c r="JE20" s="5"/>
      <c r="JN20" s="2"/>
      <c r="JO20" s="2"/>
      <c r="JQ20" s="42">
        <v>12.7</v>
      </c>
      <c r="KL20" s="5"/>
      <c r="KM20" s="5"/>
      <c r="KV20" s="2"/>
      <c r="KW20" s="2"/>
      <c r="KY20" s="42">
        <v>12.7</v>
      </c>
      <c r="LT20" s="5"/>
      <c r="LU20" s="5"/>
      <c r="MD20" s="2"/>
      <c r="ME20" s="2"/>
      <c r="MG20" s="42">
        <v>12.7</v>
      </c>
      <c r="NB20" s="5"/>
      <c r="NC20" s="5"/>
      <c r="NL20" s="2"/>
      <c r="NM20" s="2"/>
      <c r="NO20" s="42">
        <v>12.7</v>
      </c>
      <c r="OJ20" s="5"/>
      <c r="OK20" s="5"/>
      <c r="OT20" s="2"/>
      <c r="OU20" s="2"/>
      <c r="OW20" s="42">
        <v>12.7</v>
      </c>
      <c r="PR20" s="5"/>
      <c r="PS20" s="5"/>
      <c r="QB20" s="2"/>
      <c r="QC20" s="2"/>
      <c r="QE20" s="42">
        <v>12.7</v>
      </c>
      <c r="QZ20" s="5"/>
      <c r="RA20" s="5"/>
      <c r="RJ20" s="2"/>
      <c r="RK20" s="2"/>
      <c r="RM20" s="42">
        <v>12.7</v>
      </c>
      <c r="SH20" s="5"/>
      <c r="SI20" s="5"/>
      <c r="SR20" s="2"/>
      <c r="SS20" s="2"/>
      <c r="SU20" s="42">
        <v>12.7</v>
      </c>
      <c r="TP20" s="5"/>
      <c r="TQ20" s="5"/>
      <c r="TZ20" s="2"/>
      <c r="UA20" s="2"/>
      <c r="UC20" s="42">
        <v>12.7</v>
      </c>
      <c r="UX20" s="5"/>
      <c r="UY20" s="5"/>
      <c r="VH20" s="2"/>
      <c r="VI20" s="2"/>
      <c r="VK20" s="42">
        <v>12.7</v>
      </c>
      <c r="WF20" s="5"/>
      <c r="WG20" s="5"/>
      <c r="WP20" s="2"/>
      <c r="WQ20" s="2"/>
      <c r="WS20" s="42">
        <v>12.7</v>
      </c>
    </row>
    <row r="21" spans="1:644" x14ac:dyDescent="0.2">
      <c r="B21" s="30" t="s">
        <v>50</v>
      </c>
      <c r="C21" s="5"/>
      <c r="X21" s="2"/>
      <c r="AR21" s="41"/>
      <c r="AS21" s="41"/>
      <c r="AT21" s="41"/>
      <c r="AV21" s="32"/>
      <c r="AW21" s="32"/>
      <c r="AY21" s="43">
        <v>13.1</v>
      </c>
      <c r="BS21" s="41"/>
      <c r="BT21" s="41"/>
      <c r="BU21" s="41"/>
      <c r="BW21" s="32"/>
      <c r="BX21" s="32"/>
      <c r="BZ21" s="43">
        <v>13.1</v>
      </c>
      <c r="CT21" s="41"/>
      <c r="CU21" s="41"/>
      <c r="CV21" s="41"/>
      <c r="CX21" s="32"/>
      <c r="CY21" s="32"/>
      <c r="DA21" s="43">
        <v>13.1</v>
      </c>
      <c r="DX21" s="5"/>
      <c r="DY21" s="5"/>
      <c r="EH21" s="2"/>
      <c r="EI21" s="2"/>
      <c r="EK21" s="43">
        <v>13.1</v>
      </c>
      <c r="FF21" s="5"/>
      <c r="FG21" s="5"/>
      <c r="FP21" s="2"/>
      <c r="FQ21" s="2"/>
      <c r="FS21" s="43">
        <v>13.1</v>
      </c>
      <c r="GN21" s="5"/>
      <c r="GO21" s="5"/>
      <c r="GX21" s="2"/>
      <c r="GY21" s="2"/>
      <c r="HA21" s="43">
        <v>13.1</v>
      </c>
      <c r="HV21" s="5"/>
      <c r="HW21" s="5"/>
      <c r="IF21" s="2"/>
      <c r="IG21" s="2"/>
      <c r="II21" s="43">
        <v>13.1</v>
      </c>
      <c r="JD21" s="5"/>
      <c r="JE21" s="5"/>
      <c r="JN21" s="2"/>
      <c r="JO21" s="2"/>
      <c r="JQ21" s="43">
        <v>13.1</v>
      </c>
      <c r="KL21" s="5"/>
      <c r="KM21" s="5"/>
      <c r="KV21" s="2"/>
      <c r="KW21" s="2"/>
      <c r="KY21" s="43">
        <v>13.1</v>
      </c>
      <c r="LT21" s="5"/>
      <c r="LU21" s="5"/>
      <c r="MD21" s="2"/>
      <c r="ME21" s="2"/>
      <c r="MG21" s="43">
        <v>13.1</v>
      </c>
      <c r="NB21" s="5"/>
      <c r="NC21" s="5"/>
      <c r="NL21" s="2"/>
      <c r="NM21" s="2"/>
      <c r="NO21" s="43">
        <v>13.1</v>
      </c>
      <c r="OJ21" s="5"/>
      <c r="OK21" s="5"/>
      <c r="OT21" s="2"/>
      <c r="OU21" s="2"/>
      <c r="OW21" s="43">
        <v>13.1</v>
      </c>
      <c r="PR21" s="5"/>
      <c r="PS21" s="5"/>
      <c r="QB21" s="2"/>
      <c r="QC21" s="2"/>
      <c r="QE21" s="43">
        <v>13.1</v>
      </c>
      <c r="QZ21" s="5"/>
      <c r="RA21" s="5"/>
      <c r="RJ21" s="2"/>
      <c r="RK21" s="2"/>
      <c r="RM21" s="43">
        <v>13.1</v>
      </c>
      <c r="SH21" s="5"/>
      <c r="SI21" s="5"/>
      <c r="SR21" s="2"/>
      <c r="SS21" s="2"/>
      <c r="SU21" s="43">
        <v>13.1</v>
      </c>
      <c r="TP21" s="5"/>
      <c r="TQ21" s="5"/>
      <c r="TZ21" s="2"/>
      <c r="UA21" s="2"/>
      <c r="UC21" s="43">
        <v>13.1</v>
      </c>
      <c r="UX21" s="5"/>
      <c r="UY21" s="5"/>
      <c r="VH21" s="2"/>
      <c r="VI21" s="2"/>
      <c r="VK21" s="43">
        <v>13.1</v>
      </c>
      <c r="WF21" s="5"/>
      <c r="WG21" s="5"/>
      <c r="WP21" s="2"/>
      <c r="WQ21" s="2"/>
      <c r="WS21" s="43">
        <v>13.1</v>
      </c>
    </row>
    <row r="22" spans="1:644" x14ac:dyDescent="0.2">
      <c r="A22" s="5"/>
      <c r="B22" s="31" t="s">
        <v>63</v>
      </c>
      <c r="C22" s="5"/>
      <c r="E22" s="2"/>
      <c r="AR22" s="41"/>
      <c r="AS22" s="41"/>
      <c r="AT22" s="41"/>
      <c r="AU22" s="32"/>
      <c r="AV22" s="32"/>
      <c r="AW22" s="32"/>
      <c r="AX22" s="32"/>
      <c r="AY22" s="44">
        <v>13.5</v>
      </c>
      <c r="BS22" s="41"/>
      <c r="BT22" s="41"/>
      <c r="BU22" s="41"/>
      <c r="BW22" s="32"/>
      <c r="BX22" s="32"/>
      <c r="BZ22" s="44">
        <v>13.5</v>
      </c>
      <c r="CT22" s="41"/>
      <c r="CU22" s="41"/>
      <c r="CV22" s="41"/>
      <c r="CW22" s="32"/>
      <c r="CX22" s="32"/>
      <c r="CY22" s="32"/>
      <c r="CZ22" s="32"/>
      <c r="DA22" s="44">
        <v>13.5</v>
      </c>
      <c r="DX22" s="5"/>
      <c r="DY22" s="5"/>
      <c r="EH22" s="2"/>
      <c r="EI22" s="2"/>
      <c r="EK22" s="44">
        <v>13.5</v>
      </c>
      <c r="FF22" s="5"/>
      <c r="FG22" s="5"/>
      <c r="FP22" s="2"/>
      <c r="FQ22" s="2"/>
      <c r="FS22" s="44">
        <v>13.5</v>
      </c>
      <c r="GN22" s="5"/>
      <c r="GO22" s="5"/>
      <c r="GX22" s="2"/>
      <c r="GY22" s="2"/>
      <c r="HA22" s="44">
        <v>13.5</v>
      </c>
      <c r="HV22" s="5"/>
      <c r="HW22" s="5"/>
      <c r="IF22" s="2"/>
      <c r="IG22" s="2"/>
      <c r="II22" s="44">
        <v>13.5</v>
      </c>
      <c r="JD22" s="5"/>
      <c r="JE22" s="5"/>
      <c r="JN22" s="2"/>
      <c r="JO22" s="2"/>
      <c r="JQ22" s="44">
        <v>13.5</v>
      </c>
      <c r="KL22" s="5"/>
      <c r="KM22" s="5"/>
      <c r="KV22" s="2"/>
      <c r="KW22" s="2"/>
      <c r="KY22" s="44">
        <v>13.5</v>
      </c>
      <c r="LT22" s="5"/>
      <c r="LU22" s="5"/>
      <c r="MD22" s="2"/>
      <c r="ME22" s="2"/>
      <c r="MG22" s="44">
        <v>13.5</v>
      </c>
      <c r="NB22" s="5"/>
      <c r="NC22" s="5"/>
      <c r="NL22" s="2"/>
      <c r="NM22" s="2"/>
      <c r="NO22" s="44">
        <v>13.5</v>
      </c>
      <c r="OJ22" s="5"/>
      <c r="OK22" s="5"/>
      <c r="OT22" s="2"/>
      <c r="OU22" s="2"/>
      <c r="OW22" s="44">
        <v>13.5</v>
      </c>
      <c r="PR22" s="5"/>
      <c r="PS22" s="5"/>
      <c r="QB22" s="2"/>
      <c r="QC22" s="2"/>
      <c r="QE22" s="44">
        <v>13.5</v>
      </c>
      <c r="QZ22" s="5"/>
      <c r="RA22" s="5"/>
      <c r="RJ22" s="2"/>
      <c r="RK22" s="2"/>
      <c r="RM22" s="44">
        <v>13.5</v>
      </c>
      <c r="SH22" s="5"/>
      <c r="SI22" s="5"/>
      <c r="SR22" s="2"/>
      <c r="SS22" s="2"/>
      <c r="SU22" s="44">
        <v>13.5</v>
      </c>
      <c r="TP22" s="5"/>
      <c r="TQ22" s="5"/>
      <c r="TZ22" s="2"/>
      <c r="UA22" s="2"/>
      <c r="UC22" s="44">
        <v>13.5</v>
      </c>
      <c r="UX22" s="5"/>
      <c r="UY22" s="5"/>
      <c r="VH22" s="2"/>
      <c r="VI22" s="2"/>
      <c r="VK22" s="44">
        <v>13.5</v>
      </c>
      <c r="WF22" s="5"/>
      <c r="WG22" s="5"/>
      <c r="WP22" s="2"/>
      <c r="WQ22" s="2"/>
      <c r="WS22" s="44">
        <v>13.5</v>
      </c>
    </row>
    <row r="23" spans="1:644" x14ac:dyDescent="0.2">
      <c r="A23" s="5"/>
      <c r="B23" s="35" t="s">
        <v>76</v>
      </c>
      <c r="C23" s="5"/>
      <c r="E23" s="2"/>
      <c r="AR23" s="41"/>
      <c r="AS23" s="41"/>
      <c r="AT23" s="41"/>
      <c r="AU23" s="32"/>
      <c r="AV23" s="32"/>
      <c r="AW23" s="32"/>
      <c r="AX23" s="32"/>
      <c r="AY23" s="45">
        <v>14</v>
      </c>
      <c r="BS23" s="41"/>
      <c r="BT23" s="41"/>
      <c r="BU23" s="41"/>
      <c r="BW23" s="32"/>
      <c r="BX23" s="32"/>
      <c r="BZ23" s="45">
        <v>14</v>
      </c>
      <c r="CT23" s="41"/>
      <c r="CU23" s="41"/>
      <c r="CV23" s="41"/>
      <c r="CW23" s="32"/>
      <c r="CX23" s="32"/>
      <c r="CY23" s="32"/>
      <c r="CZ23" s="32"/>
      <c r="DA23" s="45">
        <v>14</v>
      </c>
      <c r="DX23" s="5"/>
      <c r="DY23" s="5"/>
      <c r="EH23" s="2"/>
      <c r="EI23" s="2"/>
      <c r="EK23" s="45">
        <v>14</v>
      </c>
      <c r="FF23" s="5"/>
      <c r="FG23" s="5"/>
      <c r="FP23" s="2"/>
      <c r="FQ23" s="2"/>
      <c r="FS23" s="45">
        <v>14</v>
      </c>
      <c r="GN23" s="5"/>
      <c r="GO23" s="5"/>
      <c r="GX23" s="2"/>
      <c r="GY23" s="2"/>
      <c r="HA23" s="45">
        <v>14</v>
      </c>
      <c r="HV23" s="5"/>
      <c r="HW23" s="5"/>
      <c r="IF23" s="2"/>
      <c r="IG23" s="2"/>
      <c r="II23" s="45">
        <v>14</v>
      </c>
      <c r="JD23" s="5"/>
      <c r="JE23" s="5"/>
      <c r="JN23" s="2"/>
      <c r="JO23" s="2"/>
      <c r="JQ23" s="45">
        <v>14</v>
      </c>
      <c r="KL23" s="5"/>
      <c r="KM23" s="5"/>
      <c r="KV23" s="2"/>
      <c r="KW23" s="2"/>
      <c r="KY23" s="45">
        <v>14</v>
      </c>
      <c r="LT23" s="5"/>
      <c r="LU23" s="5"/>
      <c r="MD23" s="2"/>
      <c r="ME23" s="2"/>
      <c r="MG23" s="45">
        <v>14</v>
      </c>
      <c r="NB23" s="5"/>
      <c r="NC23" s="5"/>
      <c r="NL23" s="2"/>
      <c r="NM23" s="2"/>
      <c r="NO23" s="45">
        <v>14</v>
      </c>
      <c r="OJ23" s="5"/>
      <c r="OK23" s="5"/>
      <c r="OT23" s="2"/>
      <c r="OU23" s="2"/>
      <c r="OW23" s="45">
        <v>14</v>
      </c>
      <c r="PR23" s="5"/>
      <c r="PS23" s="5"/>
      <c r="QB23" s="2"/>
      <c r="QC23" s="2"/>
      <c r="QE23" s="45">
        <v>14</v>
      </c>
      <c r="QZ23" s="5"/>
      <c r="RA23" s="5"/>
      <c r="RJ23" s="2"/>
      <c r="RK23" s="2"/>
      <c r="RM23" s="45">
        <v>14</v>
      </c>
      <c r="SH23" s="5"/>
      <c r="SI23" s="5"/>
      <c r="SR23" s="2"/>
      <c r="SS23" s="2"/>
      <c r="SU23" s="45">
        <v>14</v>
      </c>
      <c r="TP23" s="5"/>
      <c r="TQ23" s="5"/>
      <c r="TZ23" s="2"/>
      <c r="UA23" s="2"/>
      <c r="UC23" s="45">
        <v>14</v>
      </c>
      <c r="UX23" s="5"/>
      <c r="UY23" s="5"/>
      <c r="VH23" s="2"/>
      <c r="VI23" s="2"/>
      <c r="VK23" s="45">
        <v>14</v>
      </c>
      <c r="WF23" s="5"/>
      <c r="WG23" s="5"/>
      <c r="WP23" s="2"/>
      <c r="WQ23" s="2"/>
      <c r="WS23" s="45">
        <v>14</v>
      </c>
    </row>
    <row r="24" spans="1:644" x14ac:dyDescent="0.2">
      <c r="A24" s="5"/>
      <c r="B24" s="34" t="s">
        <v>48</v>
      </c>
      <c r="C24" s="5"/>
      <c r="P24" s="2"/>
      <c r="AR24" s="41"/>
      <c r="AS24" s="41"/>
      <c r="AT24" s="41"/>
      <c r="AU24" s="32"/>
      <c r="AV24" s="32"/>
      <c r="AW24" s="32"/>
      <c r="AX24" s="32"/>
      <c r="AY24" s="46">
        <v>49.5</v>
      </c>
      <c r="BS24" s="41"/>
      <c r="BT24" s="41"/>
      <c r="BU24" s="41"/>
      <c r="BW24" s="32"/>
      <c r="BX24" s="32"/>
      <c r="BZ24" s="46">
        <v>49.5</v>
      </c>
      <c r="CT24" s="41"/>
      <c r="CU24" s="41"/>
      <c r="CV24" s="41"/>
      <c r="CW24" s="32"/>
      <c r="CX24" s="32"/>
      <c r="CY24" s="32"/>
      <c r="CZ24" s="32"/>
      <c r="DA24" s="46">
        <v>49.5</v>
      </c>
      <c r="DX24" s="5"/>
      <c r="DY24" s="5"/>
      <c r="EH24" s="2"/>
      <c r="EI24" s="2"/>
      <c r="EK24" s="46">
        <v>49.5</v>
      </c>
      <c r="FF24" s="5"/>
      <c r="FG24" s="5"/>
      <c r="FP24" s="2"/>
      <c r="FQ24" s="2"/>
      <c r="FS24" s="46">
        <v>49.5</v>
      </c>
      <c r="GN24" s="5"/>
      <c r="GO24" s="5"/>
      <c r="GX24" s="2"/>
      <c r="GY24" s="2"/>
      <c r="HA24" s="46">
        <v>49.5</v>
      </c>
      <c r="HV24" s="5"/>
      <c r="HW24" s="5"/>
      <c r="IF24" s="2"/>
      <c r="IG24" s="2"/>
      <c r="II24" s="46">
        <v>49.5</v>
      </c>
      <c r="JD24" s="5"/>
      <c r="JE24" s="5"/>
      <c r="JN24" s="2"/>
      <c r="JO24" s="2"/>
      <c r="JQ24" s="46">
        <v>49.5</v>
      </c>
      <c r="KL24" s="5"/>
      <c r="KM24" s="5"/>
      <c r="KV24" s="2"/>
      <c r="KW24" s="2"/>
      <c r="KY24" s="46">
        <v>49.5</v>
      </c>
      <c r="LT24" s="5"/>
      <c r="LU24" s="5"/>
      <c r="MD24" s="2"/>
      <c r="ME24" s="2"/>
      <c r="MG24" s="46">
        <v>49.5</v>
      </c>
      <c r="NB24" s="5"/>
      <c r="NC24" s="5"/>
      <c r="NL24" s="2"/>
      <c r="NM24" s="2"/>
      <c r="NO24" s="46">
        <v>49.5</v>
      </c>
      <c r="OJ24" s="5"/>
      <c r="OK24" s="5"/>
      <c r="OT24" s="2"/>
      <c r="OU24" s="2"/>
      <c r="OW24" s="46">
        <v>49.5</v>
      </c>
      <c r="PR24" s="5"/>
      <c r="PS24" s="5"/>
      <c r="QB24" s="2"/>
      <c r="QC24" s="2"/>
      <c r="QE24" s="46">
        <v>49.5</v>
      </c>
      <c r="QZ24" s="5"/>
      <c r="RA24" s="5"/>
      <c r="RJ24" s="2"/>
      <c r="RK24" s="2"/>
      <c r="RM24" s="46">
        <v>49.5</v>
      </c>
      <c r="SH24" s="5"/>
      <c r="SI24" s="5"/>
      <c r="SR24" s="2"/>
      <c r="SS24" s="2"/>
      <c r="SU24" s="46">
        <v>49.5</v>
      </c>
      <c r="TP24" s="5"/>
      <c r="TQ24" s="5"/>
      <c r="TZ24" s="2"/>
      <c r="UA24" s="2"/>
      <c r="UC24" s="46">
        <v>49.5</v>
      </c>
      <c r="UX24" s="5"/>
      <c r="UY24" s="5"/>
      <c r="VH24" s="2"/>
      <c r="VI24" s="2"/>
      <c r="VK24" s="46">
        <v>49.5</v>
      </c>
      <c r="WF24" s="5"/>
      <c r="WG24" s="5"/>
      <c r="WP24" s="2"/>
      <c r="WQ24" s="2"/>
      <c r="WS24" s="46">
        <v>49.5</v>
      </c>
    </row>
    <row r="25" spans="1:644" x14ac:dyDescent="0.2">
      <c r="A25" s="5"/>
      <c r="B25" s="24" t="s">
        <v>49</v>
      </c>
      <c r="C25" s="5"/>
      <c r="P25" s="2"/>
      <c r="AR25" s="41"/>
      <c r="AS25" s="41"/>
      <c r="AT25" s="41"/>
      <c r="AU25" s="32"/>
      <c r="AV25" s="32"/>
      <c r="AW25" s="32"/>
      <c r="AX25" s="32"/>
      <c r="AY25" s="47">
        <v>51.3</v>
      </c>
      <c r="BS25" s="41"/>
      <c r="BT25" s="41"/>
      <c r="BU25" s="41"/>
      <c r="BW25" s="32"/>
      <c r="BX25" s="32"/>
      <c r="BZ25" s="47">
        <v>51.3</v>
      </c>
      <c r="CT25" s="41"/>
      <c r="CU25" s="41"/>
      <c r="CV25" s="41"/>
      <c r="CW25" s="32"/>
      <c r="CX25" s="32"/>
      <c r="CY25" s="32"/>
      <c r="CZ25" s="32"/>
      <c r="DA25" s="47">
        <v>51.3</v>
      </c>
      <c r="DX25" s="5"/>
      <c r="DY25" s="5"/>
      <c r="EH25" s="2"/>
      <c r="EI25" s="2"/>
      <c r="EK25" s="47">
        <v>51.3</v>
      </c>
      <c r="FF25" s="5"/>
      <c r="FG25" s="5"/>
      <c r="FP25" s="2"/>
      <c r="FQ25" s="2"/>
      <c r="FS25" s="47">
        <v>51.3</v>
      </c>
      <c r="GN25" s="5"/>
      <c r="GO25" s="5"/>
      <c r="GX25" s="2"/>
      <c r="GY25" s="2"/>
      <c r="HA25" s="47">
        <v>51.3</v>
      </c>
      <c r="HV25" s="5"/>
      <c r="HW25" s="5"/>
      <c r="IF25" s="2"/>
      <c r="IG25" s="2"/>
      <c r="II25" s="47">
        <v>51.3</v>
      </c>
      <c r="JD25" s="5"/>
      <c r="JE25" s="5"/>
      <c r="JN25" s="2"/>
      <c r="JO25" s="2"/>
      <c r="JQ25" s="47">
        <v>51.3</v>
      </c>
      <c r="KL25" s="5"/>
      <c r="KM25" s="5"/>
      <c r="KV25" s="2"/>
      <c r="KW25" s="2"/>
      <c r="KY25" s="47">
        <v>51.3</v>
      </c>
      <c r="LT25" s="5"/>
      <c r="LU25" s="5"/>
      <c r="MD25" s="2"/>
      <c r="ME25" s="2"/>
      <c r="MG25" s="47">
        <v>51.3</v>
      </c>
      <c r="NB25" s="5"/>
      <c r="NC25" s="5"/>
      <c r="NL25" s="2"/>
      <c r="NM25" s="2"/>
      <c r="NO25" s="47">
        <v>51.3</v>
      </c>
      <c r="OJ25" s="5"/>
      <c r="OK25" s="5"/>
      <c r="OT25" s="2"/>
      <c r="OU25" s="2"/>
      <c r="OW25" s="47">
        <v>51.3</v>
      </c>
      <c r="PR25" s="5"/>
      <c r="PS25" s="5"/>
      <c r="QB25" s="2"/>
      <c r="QC25" s="2"/>
      <c r="QE25" s="47">
        <v>51.3</v>
      </c>
      <c r="QZ25" s="5"/>
      <c r="RA25" s="5"/>
      <c r="RJ25" s="2"/>
      <c r="RK25" s="2"/>
      <c r="RM25" s="47">
        <v>51.3</v>
      </c>
      <c r="SH25" s="5"/>
      <c r="SI25" s="5"/>
      <c r="SR25" s="2"/>
      <c r="SS25" s="2"/>
      <c r="SU25" s="47">
        <v>51.3</v>
      </c>
      <c r="TP25" s="5"/>
      <c r="TQ25" s="5"/>
      <c r="TZ25" s="2"/>
      <c r="UA25" s="2"/>
      <c r="UC25" s="47">
        <v>51.3</v>
      </c>
      <c r="UX25" s="5"/>
      <c r="UY25" s="5"/>
      <c r="VH25" s="2"/>
      <c r="VI25" s="2"/>
      <c r="VK25" s="47">
        <v>51.3</v>
      </c>
      <c r="WF25" s="5"/>
      <c r="WG25" s="5"/>
      <c r="WP25" s="2"/>
      <c r="WQ25" s="2"/>
      <c r="WS25" s="47">
        <v>51.3</v>
      </c>
    </row>
    <row r="26" spans="1:644" x14ac:dyDescent="0.2">
      <c r="A26" s="5"/>
      <c r="B26" s="33" t="s">
        <v>62</v>
      </c>
      <c r="C26" s="5"/>
      <c r="AR26" s="41"/>
      <c r="AS26" s="41"/>
      <c r="AT26" s="41"/>
      <c r="AU26" s="32"/>
      <c r="AV26" s="32"/>
      <c r="AW26" s="32"/>
      <c r="AX26" s="32"/>
      <c r="AY26" s="48">
        <v>52.2</v>
      </c>
      <c r="BS26" s="41"/>
      <c r="BT26" s="41"/>
      <c r="BU26" s="41"/>
      <c r="BW26" s="32"/>
      <c r="BX26" s="32"/>
      <c r="BZ26" s="48">
        <v>52.2</v>
      </c>
      <c r="CT26" s="41"/>
      <c r="CU26" s="41"/>
      <c r="CV26" s="41"/>
      <c r="CW26" s="32"/>
      <c r="CX26" s="32"/>
      <c r="CY26" s="32"/>
      <c r="CZ26" s="32"/>
      <c r="DA26" s="48">
        <v>52.2</v>
      </c>
      <c r="DX26" s="5"/>
      <c r="DY26" s="5"/>
      <c r="EH26" s="2"/>
      <c r="EI26" s="2"/>
      <c r="EJ26" s="37"/>
      <c r="EK26" s="48">
        <v>52.2</v>
      </c>
      <c r="FF26" s="5"/>
      <c r="FG26" s="5"/>
      <c r="FP26" s="2"/>
      <c r="FQ26" s="2"/>
      <c r="FR26" s="37"/>
      <c r="FS26" s="48">
        <v>52.2</v>
      </c>
      <c r="GN26" s="5"/>
      <c r="GO26" s="5"/>
      <c r="GX26" s="2"/>
      <c r="GY26" s="2"/>
      <c r="GZ26" s="37"/>
      <c r="HA26" s="48">
        <v>52.2</v>
      </c>
      <c r="HV26" s="5"/>
      <c r="HW26" s="5"/>
      <c r="IF26" s="2"/>
      <c r="IG26" s="2"/>
      <c r="IH26" s="37"/>
      <c r="II26" s="48">
        <v>52.2</v>
      </c>
      <c r="JD26" s="5"/>
      <c r="JE26" s="5"/>
      <c r="JN26" s="2"/>
      <c r="JO26" s="2"/>
      <c r="JP26" s="37"/>
      <c r="JQ26" s="48">
        <v>52.2</v>
      </c>
      <c r="KL26" s="5"/>
      <c r="KM26" s="5"/>
      <c r="KV26" s="2"/>
      <c r="KW26" s="2"/>
      <c r="KX26" s="37"/>
      <c r="KY26" s="48">
        <v>52.2</v>
      </c>
      <c r="LT26" s="5"/>
      <c r="LU26" s="5"/>
      <c r="MD26" s="2"/>
      <c r="ME26" s="2"/>
      <c r="MF26" s="37"/>
      <c r="MG26" s="48">
        <v>52.2</v>
      </c>
      <c r="NB26" s="5"/>
      <c r="NC26" s="5"/>
      <c r="NL26" s="2"/>
      <c r="NM26" s="2"/>
      <c r="NN26" s="37"/>
      <c r="NO26" s="48">
        <v>52.2</v>
      </c>
      <c r="OJ26" s="5"/>
      <c r="OK26" s="5"/>
      <c r="OT26" s="2"/>
      <c r="OU26" s="2"/>
      <c r="OV26" s="37"/>
      <c r="OW26" s="48">
        <v>52.2</v>
      </c>
      <c r="PR26" s="5"/>
      <c r="PS26" s="5"/>
      <c r="QB26" s="2"/>
      <c r="QC26" s="2"/>
      <c r="QD26" s="37"/>
      <c r="QE26" s="48">
        <v>52.2</v>
      </c>
      <c r="QZ26" s="5"/>
      <c r="RA26" s="5"/>
      <c r="RJ26" s="2"/>
      <c r="RK26" s="2"/>
      <c r="RL26" s="37"/>
      <c r="RM26" s="48">
        <v>52.2</v>
      </c>
      <c r="SH26" s="5"/>
      <c r="SI26" s="5"/>
      <c r="SR26" s="2"/>
      <c r="SS26" s="2"/>
      <c r="ST26" s="37"/>
      <c r="SU26" s="48">
        <v>52.2</v>
      </c>
      <c r="TP26" s="5"/>
      <c r="TQ26" s="5"/>
      <c r="TZ26" s="2"/>
      <c r="UA26" s="2"/>
      <c r="UB26" s="37"/>
      <c r="UC26" s="48">
        <v>52.2</v>
      </c>
      <c r="UX26" s="5"/>
      <c r="UY26" s="5"/>
      <c r="VH26" s="2"/>
      <c r="VI26" s="2"/>
      <c r="VJ26" s="37"/>
      <c r="VK26" s="48">
        <v>52.2</v>
      </c>
      <c r="WF26" s="5"/>
      <c r="WG26" s="5"/>
      <c r="WP26" s="2"/>
      <c r="WQ26" s="2"/>
      <c r="WR26" s="37"/>
      <c r="WS26" s="48">
        <v>52.2</v>
      </c>
    </row>
    <row r="27" spans="1:644" x14ac:dyDescent="0.2">
      <c r="A27" s="5"/>
      <c r="B27" s="25" t="s">
        <v>32</v>
      </c>
      <c r="C27" s="5"/>
      <c r="P27" s="2"/>
      <c r="AR27" s="41"/>
      <c r="AS27" s="41"/>
      <c r="AT27" s="41"/>
      <c r="AU27" s="32"/>
      <c r="AV27" s="41"/>
      <c r="AW27" s="41"/>
      <c r="AX27" s="32"/>
      <c r="AY27" s="49">
        <v>54</v>
      </c>
      <c r="BS27" s="41"/>
      <c r="BT27" s="41"/>
      <c r="BU27" s="41"/>
      <c r="BW27" s="41"/>
      <c r="BX27" s="32"/>
      <c r="BZ27" s="49">
        <v>54</v>
      </c>
      <c r="CT27" s="41"/>
      <c r="CU27" s="41"/>
      <c r="CV27" s="41"/>
      <c r="CW27" s="32"/>
      <c r="CX27" s="41"/>
      <c r="CY27" s="32"/>
      <c r="CZ27" s="32"/>
      <c r="DA27" s="49">
        <v>54</v>
      </c>
      <c r="DX27" s="5"/>
      <c r="DY27" s="5"/>
      <c r="EH27" s="41"/>
      <c r="EI27" s="2"/>
      <c r="EK27" s="49">
        <v>54</v>
      </c>
      <c r="FF27" s="5"/>
      <c r="FG27" s="5"/>
      <c r="FP27" s="41"/>
      <c r="FQ27" s="2"/>
      <c r="FS27" s="49">
        <v>54</v>
      </c>
      <c r="GN27" s="5"/>
      <c r="GO27" s="5"/>
      <c r="GX27" s="2"/>
      <c r="GY27" s="2"/>
      <c r="HA27" s="49">
        <v>54</v>
      </c>
      <c r="HV27" s="5"/>
      <c r="HW27" s="5"/>
      <c r="IF27" s="41"/>
      <c r="IG27" s="2"/>
      <c r="II27" s="49">
        <v>54</v>
      </c>
      <c r="JD27" s="5"/>
      <c r="JE27" s="5"/>
      <c r="JN27" s="2"/>
      <c r="JO27" s="2"/>
      <c r="JQ27" s="49">
        <v>54</v>
      </c>
      <c r="KL27" s="5"/>
      <c r="KM27" s="5"/>
      <c r="KV27" s="2"/>
      <c r="KW27" s="2"/>
      <c r="KY27" s="49">
        <v>54</v>
      </c>
      <c r="LT27" s="5"/>
      <c r="LU27" s="5"/>
      <c r="MD27" s="2"/>
      <c r="ME27" s="2"/>
      <c r="MG27" s="49">
        <v>54</v>
      </c>
      <c r="NB27" s="5"/>
      <c r="NC27" s="5"/>
      <c r="NL27" s="2"/>
      <c r="NM27" s="2"/>
      <c r="NO27" s="49">
        <v>54</v>
      </c>
      <c r="OJ27" s="5"/>
      <c r="OK27" s="5"/>
      <c r="OT27" s="2"/>
      <c r="OU27" s="2"/>
      <c r="OW27" s="49">
        <v>54</v>
      </c>
      <c r="PR27" s="5"/>
      <c r="PS27" s="5"/>
      <c r="QB27" s="2"/>
      <c r="QC27" s="2"/>
      <c r="QE27" s="49">
        <v>54</v>
      </c>
      <c r="QZ27" s="5"/>
      <c r="RA27" s="5"/>
      <c r="RJ27" s="2"/>
      <c r="RK27" s="2"/>
      <c r="RM27" s="49">
        <v>54</v>
      </c>
      <c r="SH27" s="5"/>
      <c r="SI27" s="5"/>
      <c r="SR27" s="2"/>
      <c r="SS27" s="2"/>
      <c r="SU27" s="49">
        <v>54</v>
      </c>
      <c r="TP27" s="5"/>
      <c r="TQ27" s="5"/>
      <c r="TZ27" s="2"/>
      <c r="UA27" s="2"/>
      <c r="UC27" s="49">
        <v>54</v>
      </c>
      <c r="UX27" s="5"/>
      <c r="UY27" s="5"/>
      <c r="VH27" s="2"/>
      <c r="VI27" s="2"/>
      <c r="VK27" s="49">
        <v>54</v>
      </c>
      <c r="WF27" s="5"/>
      <c r="WG27" s="5"/>
      <c r="WP27" s="2"/>
      <c r="WQ27" s="2"/>
      <c r="WS27" s="49">
        <v>54</v>
      </c>
    </row>
    <row r="28" spans="1:644" s="36" customFormat="1" x14ac:dyDescent="0.2">
      <c r="A28"/>
      <c r="B28" s="29" t="s">
        <v>54</v>
      </c>
      <c r="C28" s="2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U28" s="32"/>
      <c r="AX28" s="32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W28" s="32"/>
      <c r="CZ28" s="32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</row>
    <row r="29" spans="1:644" s="36" customFormat="1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Q29" s="32"/>
      <c r="AR29" s="32"/>
      <c r="AS29" s="32"/>
      <c r="AT29" s="32"/>
      <c r="AU29" s="32"/>
      <c r="AX29" s="32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S29" s="32"/>
      <c r="CT29" s="32"/>
      <c r="CU29" s="32"/>
      <c r="CV29" s="32"/>
      <c r="CW29" s="32"/>
      <c r="CZ29" s="32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644" s="36" customFormat="1" ht="17" x14ac:dyDescent="0.2">
      <c r="A30" s="5"/>
      <c r="B30" s="5"/>
      <c r="C30" s="2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 s="10"/>
      <c r="W30" s="1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32"/>
      <c r="AR30" s="32"/>
      <c r="AS30" s="32"/>
      <c r="AT30" s="32"/>
      <c r="AU30" s="32"/>
      <c r="AX30" s="32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32"/>
      <c r="CT30" s="32"/>
      <c r="CU30" s="32"/>
      <c r="CV30" s="32"/>
      <c r="CW30" s="32"/>
      <c r="CZ30" s="32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644" s="36" customFormat="1" ht="17" x14ac:dyDescent="0.2">
      <c r="A31" s="5"/>
      <c r="B31" s="5"/>
      <c r="C31" s="20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0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32"/>
      <c r="AR31" s="32"/>
      <c r="AS31" s="32"/>
      <c r="AT31" s="32"/>
      <c r="AU31" s="32"/>
      <c r="AX31" s="32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32"/>
      <c r="CT31" s="32"/>
      <c r="CU31" s="32"/>
      <c r="CV31" s="32"/>
      <c r="CW31" s="32"/>
      <c r="CZ31" s="32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</row>
    <row r="32" spans="1:644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0"/>
      <c r="W32" s="10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Q32" s="32"/>
      <c r="AR32" s="32"/>
      <c r="AS32" s="32"/>
      <c r="AT32" s="32"/>
      <c r="AU32" s="32"/>
      <c r="AX32" s="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S32" s="32"/>
      <c r="CT32" s="32"/>
      <c r="CU32" s="32"/>
      <c r="CV32" s="32"/>
      <c r="CW32" s="32"/>
      <c r="CZ32" s="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</row>
    <row r="33" spans="1:544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0"/>
      <c r="W33" s="10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Q33" s="32"/>
      <c r="AR33" s="32"/>
      <c r="AS33" s="32"/>
      <c r="AT33" s="32"/>
      <c r="AU33" s="32"/>
      <c r="AX33" s="32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S33" s="32"/>
      <c r="CT33" s="32"/>
      <c r="CU33" s="32"/>
      <c r="CV33" s="32"/>
      <c r="CW33" s="32"/>
      <c r="CZ33" s="32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</row>
    <row r="34" spans="1:544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0"/>
      <c r="W34" s="10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Q34" s="32"/>
      <c r="AR34" s="32"/>
      <c r="AS34" s="32"/>
      <c r="AT34" s="32"/>
      <c r="AU34" s="32"/>
      <c r="AX34" s="32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S34" s="32"/>
      <c r="CT34" s="32"/>
      <c r="CU34" s="32"/>
      <c r="CV34" s="32"/>
      <c r="CW34" s="32"/>
      <c r="CZ34" s="32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TU34"/>
      <c r="TV34"/>
      <c r="TW34"/>
      <c r="TX34"/>
    </row>
    <row r="35" spans="1:544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0"/>
      <c r="W35" s="10"/>
      <c r="X35" s="10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TU35"/>
      <c r="TV35"/>
      <c r="TW35"/>
      <c r="TX35"/>
    </row>
    <row r="36" spans="1:544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0"/>
      <c r="W36" s="10"/>
      <c r="X36" s="10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TU36"/>
      <c r="TV36"/>
      <c r="TW36"/>
      <c r="TX36"/>
    </row>
    <row r="37" spans="1:544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0"/>
      <c r="W37" s="10"/>
      <c r="X37" s="10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TU37"/>
      <c r="TV37"/>
      <c r="TW37"/>
      <c r="TX37"/>
    </row>
    <row r="38" spans="1:544" s="36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0"/>
      <c r="W38" s="10"/>
      <c r="X38" s="10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TU38"/>
      <c r="TV38"/>
      <c r="TW38"/>
      <c r="TX38"/>
    </row>
    <row r="39" spans="1:544" s="36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0"/>
      <c r="W39" s="10"/>
      <c r="X39" s="10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TU39"/>
      <c r="TV39"/>
      <c r="TW39"/>
      <c r="TX39"/>
    </row>
    <row r="40" spans="1:544" s="36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0"/>
      <c r="W40" s="10"/>
      <c r="X40" s="1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TU40"/>
      <c r="TV40"/>
      <c r="TW40"/>
      <c r="TX40"/>
    </row>
    <row r="41" spans="1:544" s="36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 s="10"/>
      <c r="W41" s="10"/>
      <c r="X41" s="10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TU41"/>
      <c r="TV41"/>
      <c r="TW41"/>
      <c r="TX41"/>
    </row>
    <row r="42" spans="1:544" s="36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 s="10"/>
      <c r="W42" s="10"/>
      <c r="X42" s="10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TU42"/>
      <c r="TV42"/>
      <c r="TW42"/>
      <c r="TX42"/>
    </row>
    <row r="43" spans="1:544" s="36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 s="10"/>
      <c r="W43" s="10"/>
      <c r="X43" s="10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TU43"/>
      <c r="TV43"/>
      <c r="TW43"/>
      <c r="TX43"/>
    </row>
    <row r="44" spans="1:544" ht="17" x14ac:dyDescent="0.2">
      <c r="V44" s="10"/>
      <c r="W44" s="10"/>
      <c r="X44" s="10"/>
    </row>
    <row r="45" spans="1:544" ht="17" x14ac:dyDescent="0.2">
      <c r="V45" s="10"/>
      <c r="W45" s="10"/>
      <c r="X45" s="10"/>
    </row>
    <row r="46" spans="1:544" ht="17" x14ac:dyDescent="0.2">
      <c r="V46" s="10"/>
      <c r="W46" s="10"/>
      <c r="X46" s="10"/>
    </row>
    <row r="47" spans="1:544" ht="17" x14ac:dyDescent="0.2">
      <c r="V47" s="10"/>
      <c r="W47" s="10"/>
      <c r="X47" s="10"/>
    </row>
    <row r="48" spans="1:544" ht="17" x14ac:dyDescent="0.2">
      <c r="V48" s="10"/>
      <c r="W48" s="10"/>
      <c r="X48" s="10"/>
    </row>
    <row r="49" spans="22:24" ht="17" x14ac:dyDescent="0.2">
      <c r="V49" s="10"/>
      <c r="W49" s="10"/>
      <c r="X49" s="10"/>
    </row>
  </sheetData>
  <sheetProtection sheet="1" formatCells="0" formatColumns="0" formatRows="0"/>
  <autoFilter ref="A1:XT1" xr:uid="{94C79765-154A-EA43-A55F-A16A8EEFCEE9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4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8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filterColumn colId="635" showButton="0"/>
    <filterColumn colId="636" showButton="0"/>
    <filterColumn colId="637" showButton="0"/>
    <filterColumn colId="638" showButton="0"/>
    <filterColumn colId="639" showButton="0"/>
    <filterColumn colId="640" showButton="0"/>
    <filterColumn colId="641" showButton="0"/>
    <filterColumn colId="642" showButton="0"/>
    <sortState xmlns:xlrd2="http://schemas.microsoft.com/office/spreadsheetml/2017/richdata2" ref="A6:XT17">
      <sortCondition descending="1" ref="F1:F18"/>
    </sortState>
  </autoFilter>
  <mergeCells count="116">
    <mergeCell ref="VL1:WS1"/>
    <mergeCell ref="VL2:VP2"/>
    <mergeCell ref="VQ2:VU2"/>
    <mergeCell ref="VV2:VZ2"/>
    <mergeCell ref="WA2:WE2"/>
    <mergeCell ref="SV1:UC1"/>
    <mergeCell ref="SV2:SZ2"/>
    <mergeCell ref="TA2:TE2"/>
    <mergeCell ref="TF2:TJ2"/>
    <mergeCell ref="TK2:TO2"/>
    <mergeCell ref="UD1:VK1"/>
    <mergeCell ref="UD2:UH2"/>
    <mergeCell ref="UI2:UM2"/>
    <mergeCell ref="UN2:UR2"/>
    <mergeCell ref="US2:UW2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S1:S3"/>
    <mergeCell ref="T1:T3"/>
    <mergeCell ref="U1:U3"/>
    <mergeCell ref="V1:V3"/>
    <mergeCell ref="W1:W3"/>
    <mergeCell ref="X1:X3"/>
    <mergeCell ref="M1:M3"/>
    <mergeCell ref="N1:N3"/>
    <mergeCell ref="O1:O3"/>
    <mergeCell ref="P1:P3"/>
    <mergeCell ref="Q1:Q3"/>
    <mergeCell ref="R1:R3"/>
    <mergeCell ref="RN1:SU1"/>
    <mergeCell ref="WT1:XT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DI2:DM2"/>
    <mergeCell ref="NP1:OW1"/>
    <mergeCell ref="OX1:QE1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JR2:JV2"/>
    <mergeCell ref="JW2:KA2"/>
    <mergeCell ref="KB2:KF2"/>
    <mergeCell ref="KG2:KK2"/>
    <mergeCell ref="KZ2:LD2"/>
    <mergeCell ref="LE2:LI2"/>
    <mergeCell ref="HL2:HP2"/>
    <mergeCell ref="HQ2:HU2"/>
    <mergeCell ref="IJ2:IN2"/>
    <mergeCell ref="IO2:IS2"/>
    <mergeCell ref="IT2:IX2"/>
    <mergeCell ref="IY2:JC2"/>
    <mergeCell ref="NP2:NT2"/>
    <mergeCell ref="NU2:NY2"/>
    <mergeCell ref="NZ2:OD2"/>
    <mergeCell ref="OE2:OI2"/>
    <mergeCell ref="OX2:PB2"/>
    <mergeCell ref="PC2:PG2"/>
    <mergeCell ref="LJ2:LN2"/>
    <mergeCell ref="LO2:LS2"/>
    <mergeCell ref="MH2:ML2"/>
    <mergeCell ref="MM2:MQ2"/>
    <mergeCell ref="MR2:MV2"/>
    <mergeCell ref="MW2:NA2"/>
    <mergeCell ref="XD2:XH2"/>
    <mergeCell ref="RN2:RR2"/>
    <mergeCell ref="RS2:RW2"/>
    <mergeCell ref="RX2:SB2"/>
    <mergeCell ref="SC2:SG2"/>
    <mergeCell ref="WT2:WX2"/>
    <mergeCell ref="WY2:XC2"/>
    <mergeCell ref="PH2:PL2"/>
    <mergeCell ref="PM2:PQ2"/>
    <mergeCell ref="QF2:QJ2"/>
    <mergeCell ref="QK2:QO2"/>
    <mergeCell ref="QP2:QT2"/>
    <mergeCell ref="QU2:QY2"/>
  </mergeCells>
  <conditionalFormatting sqref="H1:H1048576">
    <cfRule type="containsText" dxfId="630" priority="66" operator="containsText" text="No DD">
      <formula>NOT(ISERROR(SEARCH("No DD",H1)))</formula>
    </cfRule>
    <cfRule type="containsText" dxfId="629" priority="67" operator="containsText" text="Merit">
      <formula>NOT(ISERROR(SEARCH("Merit",H1)))</formula>
    </cfRule>
    <cfRule type="containsText" dxfId="628" priority="68" operator="containsText" text="Excellence">
      <formula>NOT(ISERROR(SEARCH("Excellence",H1)))</formula>
    </cfRule>
    <cfRule type="containsText" dxfId="627" priority="69" operator="containsText" text="Worlds Team">
      <formula>NOT(ISERROR(SEARCH("Worlds Team",H1)))</formula>
    </cfRule>
    <cfRule type="containsText" dxfId="626" priority="70" operator="containsText" text="National Team">
      <formula>NOT(ISERROR(SEARCH("National Team",H1)))</formula>
    </cfRule>
  </conditionalFormatting>
  <conditionalFormatting sqref="A4:A1048576">
    <cfRule type="expression" dxfId="625" priority="31">
      <formula>AND(G4&lt;&gt;"",F4="")</formula>
    </cfRule>
    <cfRule type="expression" dxfId="624" priority="71">
      <formula>IF(A4&gt;8,1,0)</formula>
    </cfRule>
  </conditionalFormatting>
  <conditionalFormatting sqref="Y4:AY17">
    <cfRule type="expression" dxfId="623" priority="72" stopIfTrue="1">
      <formula>IF($AN4&lt;&gt;"",1,0)</formula>
    </cfRule>
  </conditionalFormatting>
  <conditionalFormatting sqref="AZ4:BZ17">
    <cfRule type="expression" dxfId="622" priority="65" stopIfTrue="1">
      <formula>IF($BO4&lt;&gt;"",1,0)</formula>
    </cfRule>
  </conditionalFormatting>
  <conditionalFormatting sqref="CA4:DA17">
    <cfRule type="expression" dxfId="621" priority="64" stopIfTrue="1">
      <formula>IF($CP4&lt;&gt;"",1,0)</formula>
    </cfRule>
  </conditionalFormatting>
  <conditionalFormatting sqref="BW28:BW1048576 BP1:BP1048576 BS1:BS1048576 BW1:BW26">
    <cfRule type="cellIs" dxfId="620" priority="77" operator="between">
      <formula>$BZ$23</formula>
      <formula>1000</formula>
    </cfRule>
    <cfRule type="cellIs" dxfId="619" priority="78" operator="between">
      <formula>$BZ$22</formula>
      <formula>$BZ$23</formula>
    </cfRule>
    <cfRule type="cellIs" dxfId="618" priority="79" operator="between">
      <formula>$BZ$21</formula>
      <formula>$BZ$22</formula>
    </cfRule>
    <cfRule type="cellIs" dxfId="617" priority="80" operator="between">
      <formula>$BZ$20</formula>
      <formula>$BZ$21</formula>
    </cfRule>
  </conditionalFormatting>
  <conditionalFormatting sqref="CX28:CX1048576 CQ1:CQ1048576 CT1:CT1048576 CX1:CX26">
    <cfRule type="cellIs" dxfId="616" priority="73" operator="between">
      <formula>$DA$23</formula>
      <formula>1000</formula>
    </cfRule>
    <cfRule type="cellIs" dxfId="615" priority="74" operator="between">
      <formula>$DA$22</formula>
      <formula>$DA$23</formula>
    </cfRule>
    <cfRule type="cellIs" dxfId="614" priority="75" operator="between">
      <formula>$DA$21</formula>
      <formula>$DA$22</formula>
    </cfRule>
    <cfRule type="cellIs" dxfId="613" priority="76" operator="between">
      <formula>$DA$20</formula>
      <formula>$DA$21</formula>
    </cfRule>
  </conditionalFormatting>
  <conditionalFormatting sqref="EH28:EH1048576 DX1:DX1048576 EA1:EA1048576 EE1:EE1048576 EH1:EH26">
    <cfRule type="cellIs" dxfId="612" priority="84" operator="between">
      <formula>$EK$23</formula>
      <formula>1000</formula>
    </cfRule>
    <cfRule type="cellIs" dxfId="611" priority="85" operator="between">
      <formula>$EK$22</formula>
      <formula>$EK$23</formula>
    </cfRule>
    <cfRule type="cellIs" dxfId="610" priority="86" operator="between">
      <formula>$EK$21</formula>
      <formula>$EK$22</formula>
    </cfRule>
    <cfRule type="cellIs" dxfId="609" priority="87" operator="between">
      <formula>$EK$20</formula>
      <formula>$EK$21</formula>
    </cfRule>
  </conditionalFormatting>
  <conditionalFormatting sqref="FP28:FP1048576 FF1:FF1048576 FI1:FI1048576 FM1:FM1048576 FP1:FP26">
    <cfRule type="cellIs" dxfId="608" priority="60" operator="between">
      <formula>$FS$23</formula>
      <formula>1000</formula>
    </cfRule>
    <cfRule type="cellIs" dxfId="607" priority="61" operator="between">
      <formula>$FS$22</formula>
      <formula>$FS$23</formula>
    </cfRule>
    <cfRule type="cellIs" dxfId="606" priority="62" operator="between">
      <formula>$FS$21</formula>
      <formula>$FS$22</formula>
    </cfRule>
    <cfRule type="cellIs" dxfId="605" priority="63" operator="between">
      <formula>$FS$20</formula>
      <formula>$FS$21</formula>
    </cfRule>
  </conditionalFormatting>
  <conditionalFormatting sqref="IF28:IF1048576 HV1:HV1048576 HY1:HY1048576 IC1:IC1048576 IF1:IF26">
    <cfRule type="cellIs" dxfId="604" priority="56" operator="between">
      <formula>$II$23</formula>
      <formula>1000</formula>
    </cfRule>
    <cfRule type="cellIs" dxfId="603" priority="57" operator="between">
      <formula>$II$22</formula>
      <formula>$II$23</formula>
    </cfRule>
    <cfRule type="cellIs" dxfId="602" priority="58" operator="between">
      <formula>$II$21</formula>
      <formula>$II$22</formula>
    </cfRule>
    <cfRule type="cellIs" dxfId="601" priority="59" operator="between">
      <formula>$II$20</formula>
      <formula>$II$21</formula>
    </cfRule>
  </conditionalFormatting>
  <conditionalFormatting sqref="AW27 AO1:AO1048576 AR1:AR1048576 AV1:AV1048576">
    <cfRule type="cellIs" dxfId="600" priority="52" operator="between">
      <formula>$AY$23</formula>
      <formula>1000</formula>
    </cfRule>
    <cfRule type="cellIs" dxfId="599" priority="53" operator="between">
      <formula>$AY$22</formula>
      <formula>$AY$23</formula>
    </cfRule>
    <cfRule type="cellIs" dxfId="598" priority="54" operator="between">
      <formula>$AY$21</formula>
      <formula>$AY$22</formula>
    </cfRule>
    <cfRule type="cellIs" dxfId="597" priority="55" operator="between">
      <formula>$AY$20</formula>
      <formula>$AY$21</formula>
    </cfRule>
  </conditionalFormatting>
  <conditionalFormatting sqref="BW27">
    <cfRule type="cellIs" dxfId="596" priority="48" operator="between">
      <formula>$AY$23</formula>
      <formula>1000</formula>
    </cfRule>
    <cfRule type="cellIs" dxfId="595" priority="49" operator="between">
      <formula>$AY$22</formula>
      <formula>$AY$23</formula>
    </cfRule>
    <cfRule type="cellIs" dxfId="594" priority="50" operator="between">
      <formula>$AY$21</formula>
      <formula>$AY$22</formula>
    </cfRule>
    <cfRule type="cellIs" dxfId="593" priority="51" operator="between">
      <formula>$AY$20</formula>
      <formula>$AY$21</formula>
    </cfRule>
  </conditionalFormatting>
  <conditionalFormatting sqref="CX27">
    <cfRule type="cellIs" dxfId="592" priority="44" operator="between">
      <formula>$AY$23</formula>
      <formula>1000</formula>
    </cfRule>
    <cfRule type="cellIs" dxfId="591" priority="45" operator="between">
      <formula>$AY$22</formula>
      <formula>$AY$23</formula>
    </cfRule>
    <cfRule type="cellIs" dxfId="590" priority="46" operator="between">
      <formula>$AY$21</formula>
      <formula>$AY$22</formula>
    </cfRule>
    <cfRule type="cellIs" dxfId="589" priority="47" operator="between">
      <formula>$AY$20</formula>
      <formula>$AY$21</formula>
    </cfRule>
  </conditionalFormatting>
  <conditionalFormatting sqref="EH27">
    <cfRule type="cellIs" dxfId="588" priority="40" operator="between">
      <formula>$AY$23</formula>
      <formula>1000</formula>
    </cfRule>
    <cfRule type="cellIs" dxfId="587" priority="41" operator="between">
      <formula>$AY$22</formula>
      <formula>$AY$23</formula>
    </cfRule>
    <cfRule type="cellIs" dxfId="586" priority="42" operator="between">
      <formula>$AY$21</formula>
      <formula>$AY$22</formula>
    </cfRule>
    <cfRule type="cellIs" dxfId="585" priority="43" operator="between">
      <formula>$AY$20</formula>
      <formula>$AY$21</formula>
    </cfRule>
  </conditionalFormatting>
  <conditionalFormatting sqref="FP27">
    <cfRule type="cellIs" dxfId="584" priority="36" operator="between">
      <formula>$AY$23</formula>
      <formula>1000</formula>
    </cfRule>
    <cfRule type="cellIs" dxfId="583" priority="37" operator="between">
      <formula>$AY$22</formula>
      <formula>$AY$23</formula>
    </cfRule>
    <cfRule type="cellIs" dxfId="582" priority="38" operator="between">
      <formula>$AY$21</formula>
      <formula>$AY$22</formula>
    </cfRule>
    <cfRule type="cellIs" dxfId="581" priority="39" operator="between">
      <formula>$AY$20</formula>
      <formula>$AY$21</formula>
    </cfRule>
  </conditionalFormatting>
  <conditionalFormatting sqref="IF27">
    <cfRule type="cellIs" dxfId="580" priority="32" operator="between">
      <formula>$AY$23</formula>
      <formula>1000</formula>
    </cfRule>
    <cfRule type="cellIs" dxfId="579" priority="33" operator="between">
      <formula>$AY$22</formula>
      <formula>$AY$23</formula>
    </cfRule>
    <cfRule type="cellIs" dxfId="578" priority="34" operator="between">
      <formula>$AY$21</formula>
      <formula>$AY$22</formula>
    </cfRule>
    <cfRule type="cellIs" dxfId="577" priority="35" operator="between">
      <formula>$AY$20</formula>
      <formula>$AY$21</formula>
    </cfRule>
  </conditionalFormatting>
  <conditionalFormatting sqref="K1:K1048576 M1:M1048576 O1:O1048576 Q1:Q1048576 S1:S1048576 U1:U1048576">
    <cfRule type="expression" dxfId="576" priority="81">
      <formula>IF(K1=$CA$1,1,0)</formula>
    </cfRule>
    <cfRule type="expression" dxfId="575" priority="82" stopIfTrue="1">
      <formula>IF(K1=$AZ$1,1,0)</formula>
    </cfRule>
    <cfRule type="expression" dxfId="574" priority="83">
      <formula>IF(K1=$Y$1,1,0)</formula>
    </cfRule>
  </conditionalFormatting>
  <conditionalFormatting sqref="ST51:ST1048576 SJ1:SJ1048576 SM1:SM1048576 SQ1:SQ1048576 ST1:ST33 WT1:WT17 TU1:TU27 TY1:TY27 UB1:UB27 VC1:VC27 VG1:VG27 VJ1:VJ27 WK1:WK27 WO1:WO27 WR1:WR27 TR1:TR27 UZ1:UZ27 WH1:WH27">
    <cfRule type="cellIs" dxfId="573" priority="98990" operator="between">
      <formula>$SU$27</formula>
      <formula>1000</formula>
    </cfRule>
    <cfRule type="cellIs" dxfId="572" priority="98991" operator="between">
      <formula>$SU$26</formula>
      <formula>$SU$27</formula>
    </cfRule>
    <cfRule type="cellIs" dxfId="571" priority="98992" operator="between">
      <formula>$SU$25</formula>
      <formula>$SU$26</formula>
    </cfRule>
    <cfRule type="cellIs" dxfId="570" priority="98993" operator="between">
      <formula>$SU$24</formula>
      <formula>$SU$25</formula>
    </cfRule>
  </conditionalFormatting>
  <conditionalFormatting sqref="CV1:CV1048576 AT1:AT1048576">
    <cfRule type="cellIs" dxfId="569" priority="108812" operator="between">
      <formula>AY$27</formula>
      <formula>1000</formula>
    </cfRule>
    <cfRule type="cellIs" dxfId="568" priority="108813" operator="between">
      <formula>AY$26</formula>
      <formula>AY$27</formula>
    </cfRule>
  </conditionalFormatting>
  <conditionalFormatting sqref="EC1:EC1048576 FK1:FK1048576 GS1:GS1048576 IA1:IA1048576 JI1:JI1048576 KQ1:KQ1048576 LY1:LY1048576 NG1:NG1048576 OO1:OO1048576 PW1:PW1048576 RE1:RE1048576 SM1:SM1048576 TU1:TU27 VC1:VC27 WK1:WK27">
    <cfRule type="cellIs" dxfId="567" priority="108824" operator="between">
      <formula>EK$27</formula>
      <formula>1000</formula>
    </cfRule>
    <cfRule type="cellIs" dxfId="566" priority="108825" operator="between">
      <formula>EK$26</formula>
      <formula>EK$27</formula>
    </cfRule>
  </conditionalFormatting>
  <conditionalFormatting sqref="AQ1:AQ1048576 AT1:AT1048576 AX1:AX1048576">
    <cfRule type="cellIs" dxfId="565" priority="108908" operator="between">
      <formula>$AY$27</formula>
      <formula>1000</formula>
    </cfRule>
    <cfRule type="cellIs" dxfId="564" priority="108909" operator="between">
      <formula>$AY$26</formula>
      <formula>$AY$27</formula>
    </cfRule>
    <cfRule type="cellIs" dxfId="563" priority="108910" operator="between">
      <formula>$AY$25</formula>
      <formula>$AY$26</formula>
    </cfRule>
    <cfRule type="cellIs" dxfId="562" priority="108911" operator="between">
      <formula>$AY$24</formula>
      <formula>$AY$25</formula>
    </cfRule>
  </conditionalFormatting>
  <conditionalFormatting sqref="BR1:BR1048576 BU1:BU1048576 BY1:BY1048576">
    <cfRule type="cellIs" dxfId="561" priority="108944" operator="between">
      <formula>$BZ$27</formula>
      <formula>1000</formula>
    </cfRule>
    <cfRule type="cellIs" dxfId="560" priority="108945" operator="between">
      <formula>$BZ$26</formula>
      <formula>$BZ$27</formula>
    </cfRule>
    <cfRule type="cellIs" dxfId="559" priority="108946" operator="between">
      <formula>$BZ$25</formula>
      <formula>$BZ$26</formula>
    </cfRule>
    <cfRule type="cellIs" dxfId="558" priority="108947" operator="between">
      <formula>$BZ$24</formula>
      <formula>$BZ$25</formula>
    </cfRule>
  </conditionalFormatting>
  <conditionalFormatting sqref="CS1:CS1048576 CV1:CV1048576 CZ1:CZ1048576">
    <cfRule type="cellIs" dxfId="557" priority="108980" operator="between">
      <formula>$DA$27</formula>
      <formula>1000</formula>
    </cfRule>
    <cfRule type="cellIs" dxfId="556" priority="108981" operator="between">
      <formula>$DA$26</formula>
      <formula>$DA$27</formula>
    </cfRule>
    <cfRule type="cellIs" dxfId="555" priority="108982" operator="between">
      <formula>$DA$25</formula>
      <formula>$DA$26</formula>
    </cfRule>
    <cfRule type="cellIs" dxfId="554" priority="108983" operator="between">
      <formula>$DA$24</formula>
      <formula>$DA$25</formula>
    </cfRule>
  </conditionalFormatting>
  <conditionalFormatting sqref="NB1:NB1048576 NE1:NE1048576 NI1:NI1048576 NL1:NL1048576">
    <cfRule type="cellIs" dxfId="553" priority="109016" operator="between">
      <formula>$NO$20</formula>
      <formula>$NO$21</formula>
    </cfRule>
  </conditionalFormatting>
  <conditionalFormatting sqref="DZ1:DZ1048576 EC1:EC1048576 EG1:EG1048576 EJ1:EJ1048576">
    <cfRule type="cellIs" dxfId="552" priority="109028" operator="between">
      <formula>$EK$27</formula>
      <formula>1000</formula>
    </cfRule>
    <cfRule type="cellIs" dxfId="551" priority="109029" operator="between">
      <formula>$EK$26</formula>
      <formula>$EK$27</formula>
    </cfRule>
    <cfRule type="cellIs" dxfId="550" priority="109030" operator="between">
      <formula>$EK$25</formula>
      <formula>$EK$26</formula>
    </cfRule>
    <cfRule type="cellIs" dxfId="549" priority="109031" operator="between">
      <formula>$EK$24</formula>
      <formula>$EK$25</formula>
    </cfRule>
  </conditionalFormatting>
  <conditionalFormatting sqref="FH1:FH1048576 FK1:FK1048576 FO1:FO1048576 FR1:FR1048576">
    <cfRule type="cellIs" dxfId="548" priority="109076" operator="between">
      <formula>$FS$27</formula>
      <formula>1000</formula>
    </cfRule>
    <cfRule type="cellIs" dxfId="547" priority="109077" operator="between">
      <formula>$FS$26</formula>
      <formula>$FS$27</formula>
    </cfRule>
    <cfRule type="cellIs" dxfId="546" priority="109078" operator="between">
      <formula>$FS$25</formula>
      <formula>$FS$26</formula>
    </cfRule>
    <cfRule type="cellIs" dxfId="545" priority="109079" operator="between">
      <formula>$FS$24</formula>
      <formula>$FS$25</formula>
    </cfRule>
  </conditionalFormatting>
  <conditionalFormatting sqref="GN1:GN1048576 GQ1:GQ1048576 GU1:GU1048576 GX1:GX1048576">
    <cfRule type="cellIs" dxfId="544" priority="109124" operator="between">
      <formula>$HA$23</formula>
      <formula>1000</formula>
    </cfRule>
    <cfRule type="cellIs" dxfId="543" priority="109125" operator="between">
      <formula>$HA$22</formula>
      <formula>$HA$23</formula>
    </cfRule>
    <cfRule type="cellIs" dxfId="542" priority="109126" operator="between">
      <formula>$HA$21</formula>
      <formula>$HA$22</formula>
    </cfRule>
    <cfRule type="cellIs" dxfId="541" priority="109127" operator="between">
      <formula>$HA$20</formula>
      <formula>$HA$21</formula>
    </cfRule>
  </conditionalFormatting>
  <conditionalFormatting sqref="GP1:GP1048576 GS1:GS1048576 GW1:GW1048576 GZ1:GZ1048576">
    <cfRule type="cellIs" dxfId="540" priority="109172" operator="between">
      <formula>$HA$27</formula>
      <formula>1000</formula>
    </cfRule>
    <cfRule type="cellIs" dxfId="539" priority="109173" operator="between">
      <formula>$HA$26</formula>
      <formula>$HA$27</formula>
    </cfRule>
    <cfRule type="cellIs" dxfId="538" priority="109174" operator="between">
      <formula>$HA$25</formula>
      <formula>$HA$26</formula>
    </cfRule>
    <cfRule type="cellIs" dxfId="537" priority="109175" operator="between">
      <formula>$HA$24</formula>
      <formula>$HA$25</formula>
    </cfRule>
  </conditionalFormatting>
  <conditionalFormatting sqref="HX1:HX1048576 IA1:IA1048576 IE1:IE1048576 IH1:IH1048576">
    <cfRule type="cellIs" dxfId="536" priority="109220" operator="between">
      <formula>$II$27</formula>
      <formula>1000</formula>
    </cfRule>
    <cfRule type="cellIs" dxfId="535" priority="109221" operator="between">
      <formula>$II$26</formula>
      <formula>$II$27</formula>
    </cfRule>
    <cfRule type="cellIs" dxfId="534" priority="109222" operator="between">
      <formula>$II$25</formula>
      <formula>$II$26</formula>
    </cfRule>
    <cfRule type="cellIs" dxfId="533" priority="109223" operator="between">
      <formula>$II$24</formula>
      <formula>$II$25</formula>
    </cfRule>
  </conditionalFormatting>
  <conditionalFormatting sqref="JD1:JD1048576 JG1:JG1048576 JK1:JK1048576 JN1:JN1048576">
    <cfRule type="cellIs" dxfId="532" priority="109268" operator="between">
      <formula>$JQ$23</formula>
      <formula>1000</formula>
    </cfRule>
    <cfRule type="cellIs" dxfId="531" priority="109269" operator="between">
      <formula>$JQ$22</formula>
      <formula>$JQ$23</formula>
    </cfRule>
    <cfRule type="cellIs" dxfId="530" priority="109270" operator="between">
      <formula>$JQ$21</formula>
      <formula>$JQ$22</formula>
    </cfRule>
    <cfRule type="cellIs" dxfId="529" priority="109271" operator="between">
      <formula>$JQ$20</formula>
      <formula>$JQ$21</formula>
    </cfRule>
  </conditionalFormatting>
  <conditionalFormatting sqref="JF1:JF1048576 JI1:JI1048576 JM1:JM1048576 JP1:JP1048576">
    <cfRule type="cellIs" dxfId="528" priority="109316" operator="between">
      <formula>$JQ$27</formula>
      <formula>1000</formula>
    </cfRule>
    <cfRule type="cellIs" dxfId="527" priority="109317" operator="between">
      <formula>$JQ$26</formula>
      <formula>$JQ$27</formula>
    </cfRule>
    <cfRule type="cellIs" dxfId="526" priority="109318" operator="between">
      <formula>$JQ$25</formula>
      <formula>$JQ$26</formula>
    </cfRule>
    <cfRule type="cellIs" dxfId="525" priority="109319" operator="between">
      <formula>$JQ$24</formula>
      <formula>$JQ$25</formula>
    </cfRule>
  </conditionalFormatting>
  <conditionalFormatting sqref="KL1:KL1048576 KO1:KO1048576 KS1:KS1048576 KV1:KV1048576">
    <cfRule type="cellIs" dxfId="524" priority="109364" operator="between">
      <formula>$KY$23</formula>
      <formula>1000</formula>
    </cfRule>
    <cfRule type="cellIs" dxfId="523" priority="109365" operator="between">
      <formula>$KY$22</formula>
      <formula>$KY$23</formula>
    </cfRule>
    <cfRule type="cellIs" dxfId="522" priority="109366" operator="between">
      <formula>$KY$21</formula>
      <formula>$KY$22</formula>
    </cfRule>
    <cfRule type="cellIs" dxfId="521" priority="109367" operator="between">
      <formula>$KY$20</formula>
      <formula>$KY$21</formula>
    </cfRule>
  </conditionalFormatting>
  <conditionalFormatting sqref="KN1:KN1048576 KQ1:KQ1048576 KU1:KU1048576 KX1:KX1048576">
    <cfRule type="cellIs" dxfId="520" priority="109412" operator="between">
      <formula>$KY$27</formula>
      <formula>1000</formula>
    </cfRule>
    <cfRule type="cellIs" dxfId="519" priority="109413" operator="between">
      <formula>$KY$26</formula>
      <formula>$KY$27</formula>
    </cfRule>
    <cfRule type="cellIs" dxfId="518" priority="109414" operator="between">
      <formula>$KY$25</formula>
      <formula>$KY$26</formula>
    </cfRule>
    <cfRule type="cellIs" dxfId="517" priority="109415" operator="between">
      <formula>$KY$24</formula>
      <formula>$KY$25</formula>
    </cfRule>
  </conditionalFormatting>
  <conditionalFormatting sqref="LT1:LT1048576 LW1:LW1048576 MA1:MA1048576 MD1:MD1048576">
    <cfRule type="cellIs" dxfId="516" priority="109460" operator="between">
      <formula>$MG$23</formula>
      <formula>1000</formula>
    </cfRule>
    <cfRule type="cellIs" dxfId="515" priority="109461" operator="between">
      <formula>$MG$22</formula>
      <formula>$MG$23</formula>
    </cfRule>
    <cfRule type="cellIs" dxfId="514" priority="109462" operator="between">
      <formula>$MG$21</formula>
      <formula>$MG$22</formula>
    </cfRule>
    <cfRule type="cellIs" dxfId="513" priority="109463" operator="between">
      <formula>$MG$20</formula>
      <formula>$MG$21</formula>
    </cfRule>
  </conditionalFormatting>
  <conditionalFormatting sqref="LV1:LV1048576 LY1:LY1048576 MC1:MC1048576 MF1:MF1048576">
    <cfRule type="cellIs" dxfId="512" priority="109508" operator="between">
      <formula>$MG$27</formula>
      <formula>1000</formula>
    </cfRule>
    <cfRule type="cellIs" dxfId="511" priority="109509" operator="between">
      <formula>$MG$26</formula>
      <formula>$MG$27</formula>
    </cfRule>
    <cfRule type="cellIs" dxfId="510" priority="109510" operator="between">
      <formula>$MG$25</formula>
      <formula>$MG$26</formula>
    </cfRule>
    <cfRule type="cellIs" dxfId="509" priority="109511" operator="between">
      <formula>$MG$24</formula>
      <formula>$MG$25</formula>
    </cfRule>
  </conditionalFormatting>
  <conditionalFormatting sqref="NB1:NB1048576 NE1:NE1048576 NI1:NI1048576">
    <cfRule type="cellIs" dxfId="508" priority="109556" operator="between">
      <formula>$NO$23</formula>
      <formula>1000</formula>
    </cfRule>
    <cfRule type="cellIs" dxfId="507" priority="109557" operator="between">
      <formula>$NO$22</formula>
      <formula>$NO$23</formula>
    </cfRule>
    <cfRule type="cellIs" dxfId="506" priority="109558" operator="between">
      <formula>$NO$21</formula>
      <formula>$NO$22</formula>
    </cfRule>
  </conditionalFormatting>
  <conditionalFormatting sqref="ND1:ND1048576 NG1:NG1048576 NK1:NK1048576 NN1:NN1048576">
    <cfRule type="cellIs" dxfId="505" priority="109583" operator="between">
      <formula>$NO$27</formula>
      <formula>1000</formula>
    </cfRule>
    <cfRule type="cellIs" dxfId="504" priority="109584" operator="between">
      <formula>$NO$26</formula>
      <formula>$NO$27</formula>
    </cfRule>
    <cfRule type="cellIs" dxfId="503" priority="109585" operator="between">
      <formula>$NO$25</formula>
      <formula>$NO$26</formula>
    </cfRule>
    <cfRule type="cellIs" dxfId="502" priority="109586" operator="between">
      <formula>$NO$24</formula>
      <formula>$NO$25</formula>
    </cfRule>
  </conditionalFormatting>
  <conditionalFormatting sqref="OJ1:OJ1048576 OM1:OM1048576 OQ1:OQ1048576 OT1:OT1048576">
    <cfRule type="cellIs" dxfId="501" priority="109631" operator="between">
      <formula>$OW$23</formula>
      <formula>1000</formula>
    </cfRule>
    <cfRule type="cellIs" dxfId="500" priority="109632" operator="between">
      <formula>$OW$22</formula>
      <formula>$OW$23</formula>
    </cfRule>
    <cfRule type="cellIs" dxfId="499" priority="109633" operator="between">
      <formula>$OW$21</formula>
      <formula>$OW$22</formula>
    </cfRule>
    <cfRule type="cellIs" dxfId="498" priority="109634" operator="between">
      <formula>$OW$20</formula>
      <formula>$OW$21</formula>
    </cfRule>
  </conditionalFormatting>
  <conditionalFormatting sqref="OL1:OL1048576 OO1:OO1048576 OS1:OS1048576 OV1:OV1048576">
    <cfRule type="cellIs" dxfId="497" priority="109679" operator="between">
      <formula>$OW$27</formula>
      <formula>1000</formula>
    </cfRule>
    <cfRule type="cellIs" dxfId="496" priority="109680" operator="between">
      <formula>$OW$26</formula>
      <formula>$OW$27</formula>
    </cfRule>
    <cfRule type="cellIs" dxfId="495" priority="109681" operator="between">
      <formula>$OW$25</formula>
      <formula>$OW$26</formula>
    </cfRule>
    <cfRule type="cellIs" dxfId="494" priority="109682" operator="between">
      <formula>$OW$24</formula>
      <formula>$OW$25</formula>
    </cfRule>
  </conditionalFormatting>
  <conditionalFormatting sqref="PR1:PR1048576 PU1:PU1048576 PY1:PY1048576 QB1:QB1048576">
    <cfRule type="cellIs" dxfId="493" priority="109727" operator="between">
      <formula>$QE$23</formula>
      <formula>1000</formula>
    </cfRule>
    <cfRule type="cellIs" dxfId="492" priority="109728" operator="between">
      <formula>$QE$22</formula>
      <formula>$QE$23</formula>
    </cfRule>
    <cfRule type="cellIs" dxfId="491" priority="109729" operator="between">
      <formula>$QE$21</formula>
      <formula>$QE$22</formula>
    </cfRule>
    <cfRule type="cellIs" dxfId="490" priority="109730" operator="between">
      <formula>$QE$20</formula>
      <formula>$QE$21</formula>
    </cfRule>
  </conditionalFormatting>
  <conditionalFormatting sqref="PT1:PT1048576 PW1:PW1048576 QA1:QA1048576 QD1:QD1048576">
    <cfRule type="cellIs" dxfId="489" priority="109775" operator="between">
      <formula>$QE$27</formula>
      <formula>1000</formula>
    </cfRule>
    <cfRule type="cellIs" dxfId="488" priority="109776" operator="between">
      <formula>$QE$26</formula>
      <formula>$QE$27</formula>
    </cfRule>
    <cfRule type="cellIs" dxfId="487" priority="109777" operator="between">
      <formula>$QE$25</formula>
      <formula>$QE$26</formula>
    </cfRule>
    <cfRule type="cellIs" dxfId="486" priority="109778" operator="between">
      <formula>$QE$24</formula>
      <formula>$QE$25</formula>
    </cfRule>
  </conditionalFormatting>
  <conditionalFormatting sqref="QZ1:QZ1048576 RC1:RC1048576 RG1:RG1048576 RJ1:RJ1048576">
    <cfRule type="cellIs" dxfId="485" priority="109823" operator="between">
      <formula>$RM$23</formula>
      <formula>1000</formula>
    </cfRule>
    <cfRule type="cellIs" dxfId="484" priority="109824" operator="between">
      <formula>$RM$22</formula>
      <formula>$RM$23</formula>
    </cfRule>
    <cfRule type="cellIs" dxfId="483" priority="109825" operator="between">
      <formula>$RM$21</formula>
      <formula>$RM$22</formula>
    </cfRule>
    <cfRule type="cellIs" dxfId="482" priority="109826" operator="between">
      <formula>$RM$20</formula>
      <formula>$RM$21</formula>
    </cfRule>
  </conditionalFormatting>
  <conditionalFormatting sqref="RB1:RB1048576 RE1:RE1048576 RI1:RI1048576 RL1:RL1048576">
    <cfRule type="cellIs" dxfId="481" priority="109871" operator="between">
      <formula>$RM$27</formula>
      <formula>1000</formula>
    </cfRule>
    <cfRule type="cellIs" dxfId="480" priority="109872" operator="between">
      <formula>$RM$26</formula>
      <formula>$RM$27</formula>
    </cfRule>
    <cfRule type="cellIs" dxfId="479" priority="109873" operator="between">
      <formula>$RM$25</formula>
      <formula>$RM$26</formula>
    </cfRule>
    <cfRule type="cellIs" dxfId="478" priority="109874" operator="between">
      <formula>$RM$24</formula>
      <formula>$RM$25</formula>
    </cfRule>
  </conditionalFormatting>
  <conditionalFormatting sqref="SH1:SH1048576 SK1:SK1048576 SO1:SO1048576 SR1:SR1048576 TS1:TS27 TW1:TW27 TZ1:TZ27 VA1:VA27 VE1:VE27 VH1:VH27 WI1:WI27 WM1:WM27 WP1:WP27 TP1:TP27 UX1:UX27 WF1:WF27">
    <cfRule type="cellIs" dxfId="477" priority="109919" operator="between">
      <formula>$SU$23</formula>
      <formula>1000</formula>
    </cfRule>
    <cfRule type="cellIs" dxfId="476" priority="109920" operator="between">
      <formula>$SU$22</formula>
      <formula>$SU$23</formula>
    </cfRule>
    <cfRule type="cellIs" dxfId="475" priority="109921" operator="between">
      <formula>$SU$21</formula>
      <formula>$SU$22</formula>
    </cfRule>
    <cfRule type="cellIs" dxfId="474" priority="109922" operator="between">
      <formula>$SU$20</formula>
      <formula>$SU$21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9C473-9D8E-AB4D-B4A3-4790997227E5}">
  <sheetPr codeName="Sheet2"/>
  <dimension ref="A1:XL50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6.5" bestFit="1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6" customWidth="1"/>
    <col min="44" max="59" width="10.83203125" hidden="1" customWidth="1"/>
    <col min="60" max="70" width="10.83203125" style="36" customWidth="1"/>
    <col min="71" max="86" width="10.83203125" hidden="1" customWidth="1"/>
    <col min="87" max="97" width="10.83203125" style="36" customWidth="1"/>
    <col min="98" max="99" width="12.83203125" style="36" customWidth="1"/>
    <col min="100" max="119" width="10.83203125" hidden="1" customWidth="1"/>
    <col min="120" max="132" width="10.83203125" customWidth="1"/>
    <col min="133" max="133" width="10.83203125" style="36" customWidth="1"/>
    <col min="134" max="153" width="10.83203125" hidden="1" customWidth="1"/>
    <col min="154" max="166" width="10.83203125" customWidth="1"/>
    <col min="167" max="167" width="10.83203125" style="36" customWidth="1"/>
    <col min="168" max="187" width="10.83203125" hidden="1" customWidth="1"/>
    <col min="188" max="200" width="10.83203125" customWidth="1"/>
    <col min="201" max="201" width="10.83203125" style="36" customWidth="1"/>
    <col min="202" max="221" width="10.83203125" hidden="1" customWidth="1"/>
    <col min="222" max="234" width="10.83203125" customWidth="1"/>
    <col min="235" max="235" width="10.83203125" style="36" customWidth="1"/>
    <col min="236" max="268" width="10.83203125" hidden="1" customWidth="1"/>
    <col min="269" max="269" width="10.83203125" style="36" hidden="1" customWidth="1"/>
    <col min="270" max="534" width="10.83203125" hidden="1" customWidth="1"/>
    <col min="535" max="535" width="11.83203125" hidden="1" customWidth="1"/>
    <col min="536" max="536" width="12.83203125" hidden="1" customWidth="1"/>
    <col min="537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64" t="s">
        <v>1</v>
      </c>
      <c r="B1" s="64" t="s">
        <v>27</v>
      </c>
      <c r="C1" s="64" t="s">
        <v>0</v>
      </c>
      <c r="D1" s="64" t="s">
        <v>55</v>
      </c>
      <c r="E1" s="64" t="s">
        <v>2</v>
      </c>
      <c r="F1" s="65" t="s">
        <v>61</v>
      </c>
      <c r="G1" s="64" t="s">
        <v>10</v>
      </c>
      <c r="H1" s="64" t="s">
        <v>11</v>
      </c>
      <c r="I1" s="64" t="s">
        <v>83</v>
      </c>
      <c r="J1" s="70" t="s">
        <v>105</v>
      </c>
      <c r="K1" s="66" t="s">
        <v>30</v>
      </c>
      <c r="L1" s="70" t="s">
        <v>153</v>
      </c>
      <c r="M1" s="66" t="s">
        <v>30</v>
      </c>
      <c r="N1" s="69" t="s">
        <v>13</v>
      </c>
      <c r="O1" s="66" t="s">
        <v>31</v>
      </c>
      <c r="P1" s="66" t="s">
        <v>30</v>
      </c>
      <c r="Q1" s="67" t="s">
        <v>193</v>
      </c>
      <c r="R1" s="67"/>
      <c r="S1" s="67"/>
      <c r="T1" s="67"/>
      <c r="U1" s="67"/>
      <c r="V1" s="67"/>
      <c r="W1" s="67"/>
      <c r="X1" s="67"/>
      <c r="Y1" s="67"/>
      <c r="Z1" s="67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72" t="s">
        <v>232</v>
      </c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67" t="s">
        <v>253</v>
      </c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7"/>
      <c r="CJ1" s="67"/>
      <c r="CK1" s="67"/>
      <c r="CL1" s="67"/>
      <c r="CM1" s="67"/>
      <c r="CN1" s="67"/>
      <c r="CO1" s="67"/>
      <c r="CP1" s="67"/>
      <c r="CQ1" s="67"/>
      <c r="CR1" s="67"/>
      <c r="CS1" s="67"/>
      <c r="CT1" s="73" t="s">
        <v>13</v>
      </c>
      <c r="CU1" s="73"/>
      <c r="CV1" s="67" t="s">
        <v>223</v>
      </c>
      <c r="CW1" s="67"/>
      <c r="CX1" s="67"/>
      <c r="CY1" s="67"/>
      <c r="CZ1" s="67"/>
      <c r="DA1" s="67"/>
      <c r="DB1" s="67"/>
      <c r="DC1" s="67"/>
      <c r="DD1" s="67"/>
      <c r="DE1" s="67"/>
      <c r="DF1" s="67"/>
      <c r="DG1" s="67"/>
      <c r="DH1" s="67"/>
      <c r="DI1" s="67"/>
      <c r="DJ1" s="67"/>
      <c r="DK1" s="67"/>
      <c r="DL1" s="67"/>
      <c r="DM1" s="67"/>
      <c r="DN1" s="67"/>
      <c r="DO1" s="67"/>
      <c r="DP1" s="67"/>
      <c r="DQ1" s="67"/>
      <c r="DR1" s="67"/>
      <c r="DS1" s="67"/>
      <c r="DT1" s="67"/>
      <c r="DU1" s="67"/>
      <c r="DV1" s="67"/>
      <c r="DW1" s="67"/>
      <c r="DX1" s="67"/>
      <c r="DY1" s="67"/>
      <c r="DZ1" s="67"/>
      <c r="EA1" s="67"/>
      <c r="EB1" s="67"/>
      <c r="EC1" s="67"/>
      <c r="ED1" s="72" t="s">
        <v>224</v>
      </c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67" t="s">
        <v>240</v>
      </c>
      <c r="FM1" s="67"/>
      <c r="FN1" s="67"/>
      <c r="FO1" s="67"/>
      <c r="FP1" s="67"/>
      <c r="FQ1" s="67"/>
      <c r="FR1" s="67"/>
      <c r="FS1" s="67"/>
      <c r="FT1" s="67"/>
      <c r="FU1" s="67"/>
      <c r="FV1" s="67"/>
      <c r="FW1" s="67"/>
      <c r="FX1" s="67"/>
      <c r="FY1" s="67"/>
      <c r="FZ1" s="67"/>
      <c r="GA1" s="67"/>
      <c r="GB1" s="67"/>
      <c r="GC1" s="67"/>
      <c r="GD1" s="67"/>
      <c r="GE1" s="67"/>
      <c r="GF1" s="67"/>
      <c r="GG1" s="67"/>
      <c r="GH1" s="67"/>
      <c r="GI1" s="67"/>
      <c r="GJ1" s="67"/>
      <c r="GK1" s="67"/>
      <c r="GL1" s="67"/>
      <c r="GM1" s="67"/>
      <c r="GN1" s="67"/>
      <c r="GO1" s="67"/>
      <c r="GP1" s="67"/>
      <c r="GQ1" s="67"/>
      <c r="GR1" s="67"/>
      <c r="GS1" s="67"/>
      <c r="GT1" s="72" t="s">
        <v>244</v>
      </c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67"/>
      <c r="IC1" s="67"/>
      <c r="ID1" s="67"/>
      <c r="IE1" s="67"/>
      <c r="IF1" s="67"/>
      <c r="IG1" s="67"/>
      <c r="IH1" s="67"/>
      <c r="II1" s="67"/>
      <c r="IJ1" s="67"/>
      <c r="IK1" s="67"/>
      <c r="IL1" s="67"/>
      <c r="IM1" s="67"/>
      <c r="IN1" s="67"/>
      <c r="IO1" s="67"/>
      <c r="IP1" s="67"/>
      <c r="IQ1" s="67"/>
      <c r="IR1" s="67"/>
      <c r="IS1" s="67"/>
      <c r="IT1" s="67"/>
      <c r="IU1" s="67"/>
      <c r="IV1" s="67"/>
      <c r="IW1" s="67"/>
      <c r="IX1" s="67"/>
      <c r="IY1" s="67"/>
      <c r="IZ1" s="67"/>
      <c r="JA1" s="67"/>
      <c r="JB1" s="67"/>
      <c r="JC1" s="67"/>
      <c r="JD1" s="67"/>
      <c r="JE1" s="67"/>
      <c r="JF1" s="67"/>
      <c r="JG1" s="67"/>
      <c r="JH1" s="67"/>
      <c r="JI1" s="67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67"/>
      <c r="KS1" s="67"/>
      <c r="KT1" s="67"/>
      <c r="KU1" s="67"/>
      <c r="KV1" s="67"/>
      <c r="KW1" s="67"/>
      <c r="KX1" s="67"/>
      <c r="KY1" s="67"/>
      <c r="KZ1" s="67"/>
      <c r="LA1" s="67"/>
      <c r="LB1" s="67"/>
      <c r="LC1" s="67"/>
      <c r="LD1" s="67"/>
      <c r="LE1" s="67"/>
      <c r="LF1" s="67"/>
      <c r="LG1" s="67"/>
      <c r="LH1" s="67"/>
      <c r="LI1" s="67"/>
      <c r="LJ1" s="67"/>
      <c r="LK1" s="67"/>
      <c r="LL1" s="67"/>
      <c r="LM1" s="67"/>
      <c r="LN1" s="67"/>
      <c r="LO1" s="67"/>
      <c r="LP1" s="67"/>
      <c r="LQ1" s="67"/>
      <c r="LR1" s="67"/>
      <c r="LS1" s="67"/>
      <c r="LT1" s="67"/>
      <c r="LU1" s="67"/>
      <c r="LV1" s="67"/>
      <c r="LW1" s="67"/>
      <c r="LX1" s="67"/>
      <c r="LY1" s="67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67"/>
      <c r="NI1" s="67"/>
      <c r="NJ1" s="67"/>
      <c r="NK1" s="67"/>
      <c r="NL1" s="67"/>
      <c r="NM1" s="67"/>
      <c r="NN1" s="67"/>
      <c r="NO1" s="67"/>
      <c r="NP1" s="67"/>
      <c r="NQ1" s="67"/>
      <c r="NR1" s="67"/>
      <c r="NS1" s="67"/>
      <c r="NT1" s="67"/>
      <c r="NU1" s="67"/>
      <c r="NV1" s="67"/>
      <c r="NW1" s="67"/>
      <c r="NX1" s="67"/>
      <c r="NY1" s="67"/>
      <c r="NZ1" s="67"/>
      <c r="OA1" s="67"/>
      <c r="OB1" s="67"/>
      <c r="OC1" s="67"/>
      <c r="OD1" s="67"/>
      <c r="OE1" s="67"/>
      <c r="OF1" s="67"/>
      <c r="OG1" s="67"/>
      <c r="OH1" s="67"/>
      <c r="OI1" s="67"/>
      <c r="OJ1" s="67"/>
      <c r="OK1" s="67"/>
      <c r="OL1" s="67"/>
      <c r="OM1" s="67"/>
      <c r="ON1" s="67"/>
      <c r="OO1" s="67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67"/>
      <c r="PY1" s="67"/>
      <c r="PZ1" s="67"/>
      <c r="QA1" s="67"/>
      <c r="QB1" s="67"/>
      <c r="QC1" s="67"/>
      <c r="QD1" s="67"/>
      <c r="QE1" s="67"/>
      <c r="QF1" s="67"/>
      <c r="QG1" s="67"/>
      <c r="QH1" s="67"/>
      <c r="QI1" s="67"/>
      <c r="QJ1" s="67"/>
      <c r="QK1" s="67"/>
      <c r="QL1" s="67"/>
      <c r="QM1" s="67"/>
      <c r="QN1" s="67"/>
      <c r="QO1" s="67"/>
      <c r="QP1" s="67"/>
      <c r="QQ1" s="67"/>
      <c r="QR1" s="67"/>
      <c r="QS1" s="67"/>
      <c r="QT1" s="67"/>
      <c r="QU1" s="67"/>
      <c r="QV1" s="67"/>
      <c r="QW1" s="67"/>
      <c r="QX1" s="67"/>
      <c r="QY1" s="67"/>
      <c r="QZ1" s="67"/>
      <c r="RA1" s="67"/>
      <c r="RB1" s="67"/>
      <c r="RC1" s="67"/>
      <c r="RD1" s="67"/>
      <c r="RE1" s="67"/>
      <c r="RF1" s="72"/>
      <c r="RG1" s="72"/>
      <c r="RH1" s="72"/>
      <c r="RI1" s="72"/>
      <c r="RJ1" s="72"/>
      <c r="RK1" s="72"/>
      <c r="RL1" s="72"/>
      <c r="RM1" s="72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67"/>
      <c r="SO1" s="67"/>
      <c r="SP1" s="67"/>
      <c r="SQ1" s="67"/>
      <c r="SR1" s="67"/>
      <c r="SS1" s="67"/>
      <c r="ST1" s="67"/>
      <c r="SU1" s="67"/>
      <c r="SV1" s="67"/>
      <c r="SW1" s="67"/>
      <c r="SX1" s="67"/>
      <c r="SY1" s="67"/>
      <c r="SZ1" s="67"/>
      <c r="TA1" s="67"/>
      <c r="TB1" s="67"/>
      <c r="TC1" s="67"/>
      <c r="TD1" s="67"/>
      <c r="TE1" s="67"/>
      <c r="TF1" s="67"/>
      <c r="TG1" s="67"/>
      <c r="TH1" s="67"/>
      <c r="TI1" s="67"/>
      <c r="TJ1" s="67"/>
      <c r="TK1" s="67"/>
      <c r="TL1" s="67"/>
      <c r="TM1" s="67"/>
      <c r="TN1" s="67"/>
      <c r="TO1" s="67"/>
      <c r="TP1" s="67"/>
      <c r="TQ1" s="67"/>
      <c r="TR1" s="67"/>
      <c r="TS1" s="67"/>
      <c r="TT1" s="67"/>
      <c r="TU1" s="67"/>
      <c r="TV1" s="72"/>
      <c r="TW1" s="72"/>
      <c r="TX1" s="72"/>
      <c r="TY1" s="72"/>
      <c r="TZ1" s="72"/>
      <c r="UA1" s="72"/>
      <c r="UB1" s="72"/>
      <c r="UC1" s="72"/>
      <c r="UD1" s="72"/>
      <c r="UE1" s="72"/>
      <c r="UF1" s="72"/>
      <c r="UG1" s="72"/>
      <c r="UH1" s="72"/>
      <c r="UI1" s="72"/>
      <c r="UJ1" s="72"/>
      <c r="UK1" s="72"/>
      <c r="UL1" s="72"/>
      <c r="UM1" s="72"/>
      <c r="UN1" s="72"/>
      <c r="UO1" s="72"/>
      <c r="UP1" s="72"/>
      <c r="UQ1" s="72"/>
      <c r="UR1" s="72"/>
      <c r="US1" s="72"/>
      <c r="UT1" s="72"/>
      <c r="UU1" s="72"/>
      <c r="UV1" s="72"/>
      <c r="UW1" s="72"/>
      <c r="UX1" s="72"/>
      <c r="UY1" s="72"/>
      <c r="UZ1" s="72"/>
      <c r="VA1" s="72"/>
      <c r="VB1" s="72"/>
      <c r="VC1" s="72"/>
      <c r="VD1" s="67"/>
      <c r="VE1" s="67"/>
      <c r="VF1" s="67"/>
      <c r="VG1" s="67"/>
      <c r="VH1" s="67"/>
      <c r="VI1" s="67"/>
      <c r="VJ1" s="67"/>
      <c r="VK1" s="67"/>
      <c r="VL1" s="67"/>
      <c r="VM1" s="67"/>
      <c r="VN1" s="67"/>
      <c r="VO1" s="67"/>
      <c r="VP1" s="67"/>
      <c r="VQ1" s="67"/>
      <c r="VR1" s="67"/>
      <c r="VS1" s="67"/>
      <c r="VT1" s="67"/>
      <c r="VU1" s="67"/>
      <c r="VV1" s="67"/>
      <c r="VW1" s="67"/>
      <c r="VX1" s="67"/>
      <c r="VY1" s="67"/>
      <c r="VZ1" s="67"/>
      <c r="WA1" s="67"/>
      <c r="WB1" s="67"/>
      <c r="WC1" s="67"/>
      <c r="WD1" s="67"/>
      <c r="WE1" s="67"/>
      <c r="WF1" s="67"/>
      <c r="WG1" s="67"/>
      <c r="WH1" s="67"/>
      <c r="WI1" s="67"/>
      <c r="WJ1" s="67"/>
      <c r="WK1" s="67"/>
      <c r="WL1" s="72" t="s">
        <v>64</v>
      </c>
      <c r="WM1" s="72"/>
      <c r="WN1" s="72"/>
      <c r="WO1" s="72"/>
      <c r="WP1" s="72"/>
      <c r="WQ1" s="72"/>
      <c r="WR1" s="72"/>
      <c r="WS1" s="72"/>
      <c r="WT1" s="72"/>
      <c r="WU1" s="72"/>
      <c r="WV1" s="72"/>
      <c r="WW1" s="72"/>
      <c r="WX1" s="72"/>
      <c r="WY1" s="72"/>
      <c r="WZ1" s="72"/>
      <c r="XA1" s="72"/>
      <c r="XB1" s="72"/>
      <c r="XC1" s="72"/>
      <c r="XD1" s="72"/>
      <c r="XE1" s="72"/>
      <c r="XF1" s="72"/>
      <c r="XG1" s="72"/>
      <c r="XH1" s="72"/>
      <c r="XI1" s="72"/>
      <c r="XJ1" s="72"/>
      <c r="XK1" s="72"/>
      <c r="XL1" s="72"/>
    </row>
    <row r="2" spans="1:636" ht="16" customHeight="1" x14ac:dyDescent="0.2">
      <c r="A2" s="64"/>
      <c r="B2" s="64"/>
      <c r="C2" s="64"/>
      <c r="D2" s="64"/>
      <c r="E2" s="64"/>
      <c r="F2" s="65"/>
      <c r="G2" s="64"/>
      <c r="H2" s="64"/>
      <c r="I2" s="64"/>
      <c r="J2" s="70"/>
      <c r="K2" s="66"/>
      <c r="L2" s="70"/>
      <c r="M2" s="66"/>
      <c r="N2" s="69"/>
      <c r="O2" s="66"/>
      <c r="P2" s="66"/>
      <c r="Q2" s="68" t="s">
        <v>18</v>
      </c>
      <c r="R2" s="68"/>
      <c r="S2" s="68"/>
      <c r="T2" s="68"/>
      <c r="U2" s="68"/>
      <c r="V2" s="68" t="s">
        <v>19</v>
      </c>
      <c r="W2" s="68"/>
      <c r="X2" s="68"/>
      <c r="Y2" s="68"/>
      <c r="Z2" s="68"/>
      <c r="AA2" s="68" t="s">
        <v>22</v>
      </c>
      <c r="AB2" s="68"/>
      <c r="AC2" s="68"/>
      <c r="AD2" s="68"/>
      <c r="AE2" s="68"/>
      <c r="AF2" s="14"/>
      <c r="AG2" s="14" t="s">
        <v>97</v>
      </c>
      <c r="AH2" s="14" t="s">
        <v>129</v>
      </c>
      <c r="AI2" s="14" t="s">
        <v>20</v>
      </c>
      <c r="AJ2" s="14" t="s">
        <v>77</v>
      </c>
      <c r="AK2" s="14" t="s">
        <v>128</v>
      </c>
      <c r="AL2" s="14" t="s">
        <v>21</v>
      </c>
      <c r="AM2" s="14" t="s">
        <v>23</v>
      </c>
      <c r="AN2" s="14" t="s">
        <v>100</v>
      </c>
      <c r="AO2" s="14" t="s">
        <v>130</v>
      </c>
      <c r="AP2" s="14" t="s">
        <v>22</v>
      </c>
      <c r="AQ2" s="14" t="s">
        <v>17</v>
      </c>
      <c r="AR2" s="71" t="s">
        <v>18</v>
      </c>
      <c r="AS2" s="71"/>
      <c r="AT2" s="71"/>
      <c r="AU2" s="71"/>
      <c r="AV2" s="71"/>
      <c r="AW2" s="71" t="s">
        <v>19</v>
      </c>
      <c r="AX2" s="71"/>
      <c r="AY2" s="71"/>
      <c r="AZ2" s="71"/>
      <c r="BA2" s="71"/>
      <c r="BB2" s="71" t="s">
        <v>22</v>
      </c>
      <c r="BC2" s="71"/>
      <c r="BD2" s="71"/>
      <c r="BE2" s="71"/>
      <c r="BF2" s="71"/>
      <c r="BG2" s="13"/>
      <c r="BH2" s="13" t="s">
        <v>97</v>
      </c>
      <c r="BI2" s="13" t="s">
        <v>129</v>
      </c>
      <c r="BJ2" s="13" t="s">
        <v>20</v>
      </c>
      <c r="BK2" s="13" t="s">
        <v>77</v>
      </c>
      <c r="BL2" s="13" t="s">
        <v>128</v>
      </c>
      <c r="BM2" s="13" t="s">
        <v>21</v>
      </c>
      <c r="BN2" s="13" t="s">
        <v>23</v>
      </c>
      <c r="BO2" s="13" t="s">
        <v>100</v>
      </c>
      <c r="BP2" s="13" t="s">
        <v>130</v>
      </c>
      <c r="BQ2" s="13" t="s">
        <v>22</v>
      </c>
      <c r="BR2" s="13" t="s">
        <v>17</v>
      </c>
      <c r="BS2" s="68" t="s">
        <v>18</v>
      </c>
      <c r="BT2" s="68"/>
      <c r="BU2" s="68"/>
      <c r="BV2" s="68"/>
      <c r="BW2" s="68"/>
      <c r="BX2" s="68" t="s">
        <v>19</v>
      </c>
      <c r="BY2" s="68"/>
      <c r="BZ2" s="68"/>
      <c r="CA2" s="68"/>
      <c r="CB2" s="68"/>
      <c r="CC2" s="68" t="s">
        <v>22</v>
      </c>
      <c r="CD2" s="68"/>
      <c r="CE2" s="68"/>
      <c r="CF2" s="68"/>
      <c r="CG2" s="68"/>
      <c r="CH2" s="14"/>
      <c r="CI2" s="14" t="s">
        <v>97</v>
      </c>
      <c r="CJ2" s="14" t="s">
        <v>129</v>
      </c>
      <c r="CK2" s="14" t="s">
        <v>20</v>
      </c>
      <c r="CL2" s="14" t="s">
        <v>77</v>
      </c>
      <c r="CM2" s="14" t="s">
        <v>128</v>
      </c>
      <c r="CN2" s="14" t="s">
        <v>21</v>
      </c>
      <c r="CO2" s="14" t="s">
        <v>23</v>
      </c>
      <c r="CP2" s="14" t="s">
        <v>100</v>
      </c>
      <c r="CQ2" s="14" t="s">
        <v>130</v>
      </c>
      <c r="CR2" s="14" t="s">
        <v>22</v>
      </c>
      <c r="CS2" s="14" t="s">
        <v>17</v>
      </c>
      <c r="CT2" s="50" t="s">
        <v>23</v>
      </c>
      <c r="CU2" s="50" t="s">
        <v>22</v>
      </c>
      <c r="CV2" s="68" t="s">
        <v>18</v>
      </c>
      <c r="CW2" s="68"/>
      <c r="CX2" s="68"/>
      <c r="CY2" s="68"/>
      <c r="CZ2" s="68"/>
      <c r="DA2" s="68" t="s">
        <v>19</v>
      </c>
      <c r="DB2" s="68"/>
      <c r="DC2" s="68"/>
      <c r="DD2" s="68"/>
      <c r="DE2" s="68"/>
      <c r="DF2" s="68" t="s">
        <v>102</v>
      </c>
      <c r="DG2" s="68"/>
      <c r="DH2" s="68"/>
      <c r="DI2" s="68"/>
      <c r="DJ2" s="68"/>
      <c r="DK2" s="68" t="s">
        <v>22</v>
      </c>
      <c r="DL2" s="68"/>
      <c r="DM2" s="68"/>
      <c r="DN2" s="68"/>
      <c r="DO2" s="68"/>
      <c r="DP2" s="14" t="s">
        <v>97</v>
      </c>
      <c r="DQ2" s="14" t="s">
        <v>129</v>
      </c>
      <c r="DR2" s="14" t="s">
        <v>20</v>
      </c>
      <c r="DS2" s="14" t="s">
        <v>77</v>
      </c>
      <c r="DT2" s="14" t="s">
        <v>128</v>
      </c>
      <c r="DU2" s="14" t="s">
        <v>21</v>
      </c>
      <c r="DV2" s="14" t="s">
        <v>23</v>
      </c>
      <c r="DW2" s="14" t="s">
        <v>103</v>
      </c>
      <c r="DX2" s="14" t="s">
        <v>131</v>
      </c>
      <c r="DY2" s="14" t="s">
        <v>102</v>
      </c>
      <c r="DZ2" s="14" t="s">
        <v>100</v>
      </c>
      <c r="EA2" s="14" t="s">
        <v>130</v>
      </c>
      <c r="EB2" s="14" t="s">
        <v>22</v>
      </c>
      <c r="EC2" s="14" t="s">
        <v>17</v>
      </c>
      <c r="ED2" s="71" t="s">
        <v>18</v>
      </c>
      <c r="EE2" s="71"/>
      <c r="EF2" s="71"/>
      <c r="EG2" s="71"/>
      <c r="EH2" s="71"/>
      <c r="EI2" s="71" t="s">
        <v>19</v>
      </c>
      <c r="EJ2" s="71"/>
      <c r="EK2" s="71"/>
      <c r="EL2" s="71"/>
      <c r="EM2" s="71"/>
      <c r="EN2" s="71" t="s">
        <v>102</v>
      </c>
      <c r="EO2" s="71"/>
      <c r="EP2" s="71"/>
      <c r="EQ2" s="71"/>
      <c r="ER2" s="71"/>
      <c r="ES2" s="71" t="s">
        <v>22</v>
      </c>
      <c r="ET2" s="71"/>
      <c r="EU2" s="71"/>
      <c r="EV2" s="71"/>
      <c r="EW2" s="71"/>
      <c r="EX2" s="13" t="s">
        <v>97</v>
      </c>
      <c r="EY2" s="13" t="s">
        <v>129</v>
      </c>
      <c r="EZ2" s="13" t="s">
        <v>20</v>
      </c>
      <c r="FA2" s="13" t="s">
        <v>77</v>
      </c>
      <c r="FB2" s="13" t="s">
        <v>128</v>
      </c>
      <c r="FC2" s="13" t="s">
        <v>21</v>
      </c>
      <c r="FD2" s="13" t="s">
        <v>23</v>
      </c>
      <c r="FE2" s="13" t="s">
        <v>103</v>
      </c>
      <c r="FF2" s="13" t="s">
        <v>131</v>
      </c>
      <c r="FG2" s="13" t="s">
        <v>102</v>
      </c>
      <c r="FH2" s="13" t="s">
        <v>100</v>
      </c>
      <c r="FI2" s="13" t="s">
        <v>130</v>
      </c>
      <c r="FJ2" s="13" t="s">
        <v>22</v>
      </c>
      <c r="FK2" s="13" t="s">
        <v>17</v>
      </c>
      <c r="FL2" s="68" t="s">
        <v>18</v>
      </c>
      <c r="FM2" s="68"/>
      <c r="FN2" s="68"/>
      <c r="FO2" s="68"/>
      <c r="FP2" s="68"/>
      <c r="FQ2" s="68" t="s">
        <v>19</v>
      </c>
      <c r="FR2" s="68"/>
      <c r="FS2" s="68"/>
      <c r="FT2" s="68"/>
      <c r="FU2" s="68"/>
      <c r="FV2" s="68" t="s">
        <v>102</v>
      </c>
      <c r="FW2" s="68"/>
      <c r="FX2" s="68"/>
      <c r="FY2" s="68"/>
      <c r="FZ2" s="68"/>
      <c r="GA2" s="68" t="s">
        <v>22</v>
      </c>
      <c r="GB2" s="68"/>
      <c r="GC2" s="68"/>
      <c r="GD2" s="68"/>
      <c r="GE2" s="68"/>
      <c r="GF2" s="14" t="s">
        <v>97</v>
      </c>
      <c r="GG2" s="14" t="s">
        <v>129</v>
      </c>
      <c r="GH2" s="14" t="s">
        <v>20</v>
      </c>
      <c r="GI2" s="14" t="s">
        <v>77</v>
      </c>
      <c r="GJ2" s="14" t="s">
        <v>128</v>
      </c>
      <c r="GK2" s="14" t="s">
        <v>21</v>
      </c>
      <c r="GL2" s="14" t="s">
        <v>23</v>
      </c>
      <c r="GM2" s="14" t="s">
        <v>103</v>
      </c>
      <c r="GN2" s="14" t="s">
        <v>131</v>
      </c>
      <c r="GO2" s="14" t="s">
        <v>102</v>
      </c>
      <c r="GP2" s="14" t="s">
        <v>100</v>
      </c>
      <c r="GQ2" s="14" t="s">
        <v>130</v>
      </c>
      <c r="GR2" s="14" t="s">
        <v>22</v>
      </c>
      <c r="GS2" s="14" t="s">
        <v>17</v>
      </c>
      <c r="GT2" s="71" t="s">
        <v>18</v>
      </c>
      <c r="GU2" s="71"/>
      <c r="GV2" s="71"/>
      <c r="GW2" s="71"/>
      <c r="GX2" s="71"/>
      <c r="GY2" s="71" t="s">
        <v>19</v>
      </c>
      <c r="GZ2" s="71"/>
      <c r="HA2" s="71"/>
      <c r="HB2" s="71"/>
      <c r="HC2" s="71"/>
      <c r="HD2" s="71" t="s">
        <v>102</v>
      </c>
      <c r="HE2" s="71"/>
      <c r="HF2" s="71"/>
      <c r="HG2" s="71"/>
      <c r="HH2" s="71"/>
      <c r="HI2" s="71" t="s">
        <v>22</v>
      </c>
      <c r="HJ2" s="71"/>
      <c r="HK2" s="71"/>
      <c r="HL2" s="71"/>
      <c r="HM2" s="71"/>
      <c r="HN2" s="13" t="s">
        <v>97</v>
      </c>
      <c r="HO2" s="13" t="s">
        <v>129</v>
      </c>
      <c r="HP2" s="13" t="s">
        <v>20</v>
      </c>
      <c r="HQ2" s="13" t="s">
        <v>77</v>
      </c>
      <c r="HR2" s="13" t="s">
        <v>128</v>
      </c>
      <c r="HS2" s="13" t="s">
        <v>21</v>
      </c>
      <c r="HT2" s="13" t="s">
        <v>23</v>
      </c>
      <c r="HU2" s="13" t="s">
        <v>103</v>
      </c>
      <c r="HV2" s="13" t="s">
        <v>131</v>
      </c>
      <c r="HW2" s="13" t="s">
        <v>102</v>
      </c>
      <c r="HX2" s="13" t="s">
        <v>100</v>
      </c>
      <c r="HY2" s="13" t="s">
        <v>130</v>
      </c>
      <c r="HZ2" s="13" t="s">
        <v>22</v>
      </c>
      <c r="IA2" s="13" t="s">
        <v>17</v>
      </c>
      <c r="IB2" s="68" t="s">
        <v>18</v>
      </c>
      <c r="IC2" s="68"/>
      <c r="ID2" s="68"/>
      <c r="IE2" s="68"/>
      <c r="IF2" s="68"/>
      <c r="IG2" s="68" t="s">
        <v>19</v>
      </c>
      <c r="IH2" s="68"/>
      <c r="II2" s="68"/>
      <c r="IJ2" s="68"/>
      <c r="IK2" s="68"/>
      <c r="IL2" s="68" t="s">
        <v>102</v>
      </c>
      <c r="IM2" s="68"/>
      <c r="IN2" s="68"/>
      <c r="IO2" s="68"/>
      <c r="IP2" s="68"/>
      <c r="IQ2" s="68" t="s">
        <v>22</v>
      </c>
      <c r="IR2" s="68"/>
      <c r="IS2" s="68"/>
      <c r="IT2" s="68"/>
      <c r="IU2" s="68"/>
      <c r="IV2" s="14" t="s">
        <v>97</v>
      </c>
      <c r="IW2" s="14" t="s">
        <v>129</v>
      </c>
      <c r="IX2" s="14" t="s">
        <v>20</v>
      </c>
      <c r="IY2" s="14" t="s">
        <v>77</v>
      </c>
      <c r="IZ2" s="14" t="s">
        <v>128</v>
      </c>
      <c r="JA2" s="14" t="s">
        <v>21</v>
      </c>
      <c r="JB2" s="14" t="s">
        <v>23</v>
      </c>
      <c r="JC2" s="14" t="s">
        <v>103</v>
      </c>
      <c r="JD2" s="14" t="s">
        <v>131</v>
      </c>
      <c r="JE2" s="14" t="s">
        <v>102</v>
      </c>
      <c r="JF2" s="14" t="s">
        <v>100</v>
      </c>
      <c r="JG2" s="14" t="s">
        <v>130</v>
      </c>
      <c r="JH2" s="14" t="s">
        <v>22</v>
      </c>
      <c r="JI2" s="14" t="s">
        <v>17</v>
      </c>
      <c r="JJ2" s="71" t="s">
        <v>18</v>
      </c>
      <c r="JK2" s="71"/>
      <c r="JL2" s="71"/>
      <c r="JM2" s="71"/>
      <c r="JN2" s="71"/>
      <c r="JO2" s="71" t="s">
        <v>19</v>
      </c>
      <c r="JP2" s="71"/>
      <c r="JQ2" s="71"/>
      <c r="JR2" s="71"/>
      <c r="JS2" s="71"/>
      <c r="JT2" s="71" t="s">
        <v>102</v>
      </c>
      <c r="JU2" s="71"/>
      <c r="JV2" s="71"/>
      <c r="JW2" s="71"/>
      <c r="JX2" s="71"/>
      <c r="JY2" s="71" t="s">
        <v>22</v>
      </c>
      <c r="JZ2" s="71"/>
      <c r="KA2" s="71"/>
      <c r="KB2" s="71"/>
      <c r="KC2" s="71"/>
      <c r="KD2" s="13" t="s">
        <v>97</v>
      </c>
      <c r="KE2" s="13" t="s">
        <v>129</v>
      </c>
      <c r="KF2" s="13" t="s">
        <v>20</v>
      </c>
      <c r="KG2" s="13" t="s">
        <v>77</v>
      </c>
      <c r="KH2" s="13" t="s">
        <v>128</v>
      </c>
      <c r="KI2" s="13" t="s">
        <v>21</v>
      </c>
      <c r="KJ2" s="13" t="s">
        <v>23</v>
      </c>
      <c r="KK2" s="13" t="s">
        <v>103</v>
      </c>
      <c r="KL2" s="13" t="s">
        <v>131</v>
      </c>
      <c r="KM2" s="13" t="s">
        <v>102</v>
      </c>
      <c r="KN2" s="13" t="s">
        <v>100</v>
      </c>
      <c r="KO2" s="13" t="s">
        <v>130</v>
      </c>
      <c r="KP2" s="13" t="s">
        <v>22</v>
      </c>
      <c r="KQ2" s="13" t="s">
        <v>17</v>
      </c>
      <c r="KR2" s="68" t="s">
        <v>18</v>
      </c>
      <c r="KS2" s="68"/>
      <c r="KT2" s="68"/>
      <c r="KU2" s="68"/>
      <c r="KV2" s="68"/>
      <c r="KW2" s="68" t="s">
        <v>19</v>
      </c>
      <c r="KX2" s="68"/>
      <c r="KY2" s="68"/>
      <c r="KZ2" s="68"/>
      <c r="LA2" s="68"/>
      <c r="LB2" s="68" t="s">
        <v>102</v>
      </c>
      <c r="LC2" s="68"/>
      <c r="LD2" s="68"/>
      <c r="LE2" s="68"/>
      <c r="LF2" s="68"/>
      <c r="LG2" s="68" t="s">
        <v>22</v>
      </c>
      <c r="LH2" s="68"/>
      <c r="LI2" s="68"/>
      <c r="LJ2" s="68"/>
      <c r="LK2" s="68"/>
      <c r="LL2" s="14" t="s">
        <v>97</v>
      </c>
      <c r="LM2" s="14" t="s">
        <v>129</v>
      </c>
      <c r="LN2" s="14" t="s">
        <v>20</v>
      </c>
      <c r="LO2" s="14" t="s">
        <v>77</v>
      </c>
      <c r="LP2" s="14" t="s">
        <v>128</v>
      </c>
      <c r="LQ2" s="14" t="s">
        <v>21</v>
      </c>
      <c r="LR2" s="14" t="s">
        <v>23</v>
      </c>
      <c r="LS2" s="14" t="s">
        <v>103</v>
      </c>
      <c r="LT2" s="14" t="s">
        <v>131</v>
      </c>
      <c r="LU2" s="14" t="s">
        <v>102</v>
      </c>
      <c r="LV2" s="14" t="s">
        <v>100</v>
      </c>
      <c r="LW2" s="14" t="s">
        <v>130</v>
      </c>
      <c r="LX2" s="14" t="s">
        <v>22</v>
      </c>
      <c r="LY2" s="14" t="s">
        <v>17</v>
      </c>
      <c r="LZ2" s="71" t="s">
        <v>18</v>
      </c>
      <c r="MA2" s="71"/>
      <c r="MB2" s="71"/>
      <c r="MC2" s="71"/>
      <c r="MD2" s="71"/>
      <c r="ME2" s="71" t="s">
        <v>19</v>
      </c>
      <c r="MF2" s="71"/>
      <c r="MG2" s="71"/>
      <c r="MH2" s="71"/>
      <c r="MI2" s="71"/>
      <c r="MJ2" s="71" t="s">
        <v>102</v>
      </c>
      <c r="MK2" s="71"/>
      <c r="ML2" s="71"/>
      <c r="MM2" s="71"/>
      <c r="MN2" s="71"/>
      <c r="MO2" s="71" t="s">
        <v>22</v>
      </c>
      <c r="MP2" s="71"/>
      <c r="MQ2" s="71"/>
      <c r="MR2" s="71"/>
      <c r="MS2" s="71"/>
      <c r="MT2" s="13" t="s">
        <v>97</v>
      </c>
      <c r="MU2" s="13" t="s">
        <v>129</v>
      </c>
      <c r="MV2" s="13" t="s">
        <v>20</v>
      </c>
      <c r="MW2" s="13" t="s">
        <v>77</v>
      </c>
      <c r="MX2" s="13" t="s">
        <v>128</v>
      </c>
      <c r="MY2" s="13" t="s">
        <v>21</v>
      </c>
      <c r="MZ2" s="13" t="s">
        <v>23</v>
      </c>
      <c r="NA2" s="13" t="s">
        <v>103</v>
      </c>
      <c r="NB2" s="13" t="s">
        <v>131</v>
      </c>
      <c r="NC2" s="13" t="s">
        <v>102</v>
      </c>
      <c r="ND2" s="13" t="s">
        <v>100</v>
      </c>
      <c r="NE2" s="13" t="s">
        <v>130</v>
      </c>
      <c r="NF2" s="13" t="s">
        <v>22</v>
      </c>
      <c r="NG2" s="13" t="s">
        <v>17</v>
      </c>
      <c r="NH2" s="68" t="s">
        <v>18</v>
      </c>
      <c r="NI2" s="68"/>
      <c r="NJ2" s="68"/>
      <c r="NK2" s="68"/>
      <c r="NL2" s="68"/>
      <c r="NM2" s="68" t="s">
        <v>19</v>
      </c>
      <c r="NN2" s="68"/>
      <c r="NO2" s="68"/>
      <c r="NP2" s="68"/>
      <c r="NQ2" s="68"/>
      <c r="NR2" s="68" t="s">
        <v>102</v>
      </c>
      <c r="NS2" s="68"/>
      <c r="NT2" s="68"/>
      <c r="NU2" s="68"/>
      <c r="NV2" s="68"/>
      <c r="NW2" s="68" t="s">
        <v>22</v>
      </c>
      <c r="NX2" s="68"/>
      <c r="NY2" s="68"/>
      <c r="NZ2" s="68"/>
      <c r="OA2" s="68"/>
      <c r="OB2" s="14" t="s">
        <v>97</v>
      </c>
      <c r="OC2" s="14" t="s">
        <v>129</v>
      </c>
      <c r="OD2" s="14" t="s">
        <v>20</v>
      </c>
      <c r="OE2" s="14" t="s">
        <v>77</v>
      </c>
      <c r="OF2" s="14" t="s">
        <v>128</v>
      </c>
      <c r="OG2" s="14" t="s">
        <v>21</v>
      </c>
      <c r="OH2" s="14" t="s">
        <v>23</v>
      </c>
      <c r="OI2" s="14" t="s">
        <v>103</v>
      </c>
      <c r="OJ2" s="14" t="s">
        <v>131</v>
      </c>
      <c r="OK2" s="14" t="s">
        <v>102</v>
      </c>
      <c r="OL2" s="14" t="s">
        <v>100</v>
      </c>
      <c r="OM2" s="14" t="s">
        <v>130</v>
      </c>
      <c r="ON2" s="14" t="s">
        <v>22</v>
      </c>
      <c r="OO2" s="14" t="s">
        <v>17</v>
      </c>
      <c r="OP2" s="71" t="s">
        <v>18</v>
      </c>
      <c r="OQ2" s="71"/>
      <c r="OR2" s="71"/>
      <c r="OS2" s="71"/>
      <c r="OT2" s="71"/>
      <c r="OU2" s="71" t="s">
        <v>19</v>
      </c>
      <c r="OV2" s="71"/>
      <c r="OW2" s="71"/>
      <c r="OX2" s="71"/>
      <c r="OY2" s="71"/>
      <c r="OZ2" s="71" t="s">
        <v>102</v>
      </c>
      <c r="PA2" s="71"/>
      <c r="PB2" s="71"/>
      <c r="PC2" s="71"/>
      <c r="PD2" s="71"/>
      <c r="PE2" s="71" t="s">
        <v>22</v>
      </c>
      <c r="PF2" s="71"/>
      <c r="PG2" s="71"/>
      <c r="PH2" s="71"/>
      <c r="PI2" s="71"/>
      <c r="PJ2" s="13" t="s">
        <v>97</v>
      </c>
      <c r="PK2" s="13" t="s">
        <v>129</v>
      </c>
      <c r="PL2" s="13" t="s">
        <v>20</v>
      </c>
      <c r="PM2" s="13" t="s">
        <v>77</v>
      </c>
      <c r="PN2" s="13" t="s">
        <v>128</v>
      </c>
      <c r="PO2" s="13" t="s">
        <v>21</v>
      </c>
      <c r="PP2" s="13" t="s">
        <v>23</v>
      </c>
      <c r="PQ2" s="13" t="s">
        <v>103</v>
      </c>
      <c r="PR2" s="13" t="s">
        <v>131</v>
      </c>
      <c r="PS2" s="13" t="s">
        <v>102</v>
      </c>
      <c r="PT2" s="13" t="s">
        <v>100</v>
      </c>
      <c r="PU2" s="13" t="s">
        <v>130</v>
      </c>
      <c r="PV2" s="13" t="s">
        <v>22</v>
      </c>
      <c r="PW2" s="13" t="s">
        <v>17</v>
      </c>
      <c r="PX2" s="68" t="s">
        <v>18</v>
      </c>
      <c r="PY2" s="68"/>
      <c r="PZ2" s="68"/>
      <c r="QA2" s="68"/>
      <c r="QB2" s="68"/>
      <c r="QC2" s="68" t="s">
        <v>19</v>
      </c>
      <c r="QD2" s="68"/>
      <c r="QE2" s="68"/>
      <c r="QF2" s="68"/>
      <c r="QG2" s="68"/>
      <c r="QH2" s="68" t="s">
        <v>102</v>
      </c>
      <c r="QI2" s="68"/>
      <c r="QJ2" s="68"/>
      <c r="QK2" s="68"/>
      <c r="QL2" s="68"/>
      <c r="QM2" s="68" t="s">
        <v>22</v>
      </c>
      <c r="QN2" s="68"/>
      <c r="QO2" s="68"/>
      <c r="QP2" s="68"/>
      <c r="QQ2" s="68"/>
      <c r="QR2" s="14" t="s">
        <v>97</v>
      </c>
      <c r="QS2" s="14" t="s">
        <v>129</v>
      </c>
      <c r="QT2" s="14" t="s">
        <v>20</v>
      </c>
      <c r="QU2" s="14" t="s">
        <v>77</v>
      </c>
      <c r="QV2" s="14" t="s">
        <v>128</v>
      </c>
      <c r="QW2" s="14" t="s">
        <v>21</v>
      </c>
      <c r="QX2" s="14" t="s">
        <v>23</v>
      </c>
      <c r="QY2" s="14" t="s">
        <v>103</v>
      </c>
      <c r="QZ2" s="14" t="s">
        <v>131</v>
      </c>
      <c r="RA2" s="14" t="s">
        <v>102</v>
      </c>
      <c r="RB2" s="14" t="s">
        <v>100</v>
      </c>
      <c r="RC2" s="14" t="s">
        <v>130</v>
      </c>
      <c r="RD2" s="14" t="s">
        <v>22</v>
      </c>
      <c r="RE2" s="14" t="s">
        <v>17</v>
      </c>
      <c r="RF2" s="71" t="s">
        <v>18</v>
      </c>
      <c r="RG2" s="71"/>
      <c r="RH2" s="71"/>
      <c r="RI2" s="71"/>
      <c r="RJ2" s="71"/>
      <c r="RK2" s="71" t="s">
        <v>19</v>
      </c>
      <c r="RL2" s="71"/>
      <c r="RM2" s="71"/>
      <c r="RN2" s="71"/>
      <c r="RO2" s="71"/>
      <c r="RP2" s="71" t="s">
        <v>102</v>
      </c>
      <c r="RQ2" s="71"/>
      <c r="RR2" s="71"/>
      <c r="RS2" s="71"/>
      <c r="RT2" s="71"/>
      <c r="RU2" s="71" t="s">
        <v>22</v>
      </c>
      <c r="RV2" s="71"/>
      <c r="RW2" s="71"/>
      <c r="RX2" s="71"/>
      <c r="RY2" s="71"/>
      <c r="RZ2" s="13" t="s">
        <v>97</v>
      </c>
      <c r="SA2" s="13" t="s">
        <v>129</v>
      </c>
      <c r="SB2" s="13" t="s">
        <v>20</v>
      </c>
      <c r="SC2" s="13" t="s">
        <v>77</v>
      </c>
      <c r="SD2" s="13" t="s">
        <v>128</v>
      </c>
      <c r="SE2" s="13" t="s">
        <v>21</v>
      </c>
      <c r="SF2" s="13" t="s">
        <v>23</v>
      </c>
      <c r="SG2" s="13" t="s">
        <v>103</v>
      </c>
      <c r="SH2" s="13" t="s">
        <v>131</v>
      </c>
      <c r="SI2" s="13" t="s">
        <v>102</v>
      </c>
      <c r="SJ2" s="13" t="s">
        <v>100</v>
      </c>
      <c r="SK2" s="13" t="s">
        <v>130</v>
      </c>
      <c r="SL2" s="13" t="s">
        <v>22</v>
      </c>
      <c r="SM2" s="13" t="s">
        <v>17</v>
      </c>
      <c r="SN2" s="68" t="s">
        <v>18</v>
      </c>
      <c r="SO2" s="68"/>
      <c r="SP2" s="68"/>
      <c r="SQ2" s="68"/>
      <c r="SR2" s="68"/>
      <c r="SS2" s="68" t="s">
        <v>19</v>
      </c>
      <c r="ST2" s="68"/>
      <c r="SU2" s="68"/>
      <c r="SV2" s="68"/>
      <c r="SW2" s="68"/>
      <c r="SX2" s="68" t="s">
        <v>102</v>
      </c>
      <c r="SY2" s="68"/>
      <c r="SZ2" s="68"/>
      <c r="TA2" s="68"/>
      <c r="TB2" s="68"/>
      <c r="TC2" s="68" t="s">
        <v>22</v>
      </c>
      <c r="TD2" s="68"/>
      <c r="TE2" s="68"/>
      <c r="TF2" s="68"/>
      <c r="TG2" s="68"/>
      <c r="TH2" s="14" t="s">
        <v>97</v>
      </c>
      <c r="TI2" s="14" t="s">
        <v>129</v>
      </c>
      <c r="TJ2" s="14" t="s">
        <v>20</v>
      </c>
      <c r="TK2" s="14" t="s">
        <v>77</v>
      </c>
      <c r="TL2" s="14" t="s">
        <v>128</v>
      </c>
      <c r="TM2" s="14" t="s">
        <v>21</v>
      </c>
      <c r="TN2" s="14" t="s">
        <v>23</v>
      </c>
      <c r="TO2" s="14" t="s">
        <v>103</v>
      </c>
      <c r="TP2" s="14" t="s">
        <v>131</v>
      </c>
      <c r="TQ2" s="14" t="s">
        <v>102</v>
      </c>
      <c r="TR2" s="14" t="s">
        <v>100</v>
      </c>
      <c r="TS2" s="14" t="s">
        <v>130</v>
      </c>
      <c r="TT2" s="14" t="s">
        <v>22</v>
      </c>
      <c r="TU2" s="14" t="s">
        <v>17</v>
      </c>
      <c r="TV2" s="71" t="s">
        <v>18</v>
      </c>
      <c r="TW2" s="71"/>
      <c r="TX2" s="71"/>
      <c r="TY2" s="71"/>
      <c r="TZ2" s="71"/>
      <c r="UA2" s="71" t="s">
        <v>19</v>
      </c>
      <c r="UB2" s="71"/>
      <c r="UC2" s="71"/>
      <c r="UD2" s="71"/>
      <c r="UE2" s="71"/>
      <c r="UF2" s="71" t="s">
        <v>102</v>
      </c>
      <c r="UG2" s="71"/>
      <c r="UH2" s="71"/>
      <c r="UI2" s="71"/>
      <c r="UJ2" s="71"/>
      <c r="UK2" s="71" t="s">
        <v>22</v>
      </c>
      <c r="UL2" s="71"/>
      <c r="UM2" s="71"/>
      <c r="UN2" s="71"/>
      <c r="UO2" s="71"/>
      <c r="UP2" s="13" t="s">
        <v>97</v>
      </c>
      <c r="UQ2" s="13" t="s">
        <v>129</v>
      </c>
      <c r="UR2" s="13" t="s">
        <v>20</v>
      </c>
      <c r="US2" s="13" t="s">
        <v>77</v>
      </c>
      <c r="UT2" s="13" t="s">
        <v>128</v>
      </c>
      <c r="UU2" s="13" t="s">
        <v>21</v>
      </c>
      <c r="UV2" s="13" t="s">
        <v>23</v>
      </c>
      <c r="UW2" s="13" t="s">
        <v>103</v>
      </c>
      <c r="UX2" s="13" t="s">
        <v>131</v>
      </c>
      <c r="UY2" s="13" t="s">
        <v>102</v>
      </c>
      <c r="UZ2" s="13" t="s">
        <v>100</v>
      </c>
      <c r="VA2" s="13" t="s">
        <v>130</v>
      </c>
      <c r="VB2" s="13" t="s">
        <v>22</v>
      </c>
      <c r="VC2" s="13" t="s">
        <v>17</v>
      </c>
      <c r="VD2" s="68" t="s">
        <v>18</v>
      </c>
      <c r="VE2" s="68"/>
      <c r="VF2" s="68"/>
      <c r="VG2" s="68"/>
      <c r="VH2" s="68"/>
      <c r="VI2" s="68" t="s">
        <v>19</v>
      </c>
      <c r="VJ2" s="68"/>
      <c r="VK2" s="68"/>
      <c r="VL2" s="68"/>
      <c r="VM2" s="68"/>
      <c r="VN2" s="68" t="s">
        <v>102</v>
      </c>
      <c r="VO2" s="68"/>
      <c r="VP2" s="68"/>
      <c r="VQ2" s="68"/>
      <c r="VR2" s="68"/>
      <c r="VS2" s="68" t="s">
        <v>22</v>
      </c>
      <c r="VT2" s="68"/>
      <c r="VU2" s="68"/>
      <c r="VV2" s="68"/>
      <c r="VW2" s="68"/>
      <c r="VX2" s="14" t="s">
        <v>97</v>
      </c>
      <c r="VY2" s="14" t="s">
        <v>129</v>
      </c>
      <c r="VZ2" s="14" t="s">
        <v>20</v>
      </c>
      <c r="WA2" s="14" t="s">
        <v>77</v>
      </c>
      <c r="WB2" s="14" t="s">
        <v>128</v>
      </c>
      <c r="WC2" s="14" t="s">
        <v>21</v>
      </c>
      <c r="WD2" s="14" t="s">
        <v>23</v>
      </c>
      <c r="WE2" s="14" t="s">
        <v>103</v>
      </c>
      <c r="WF2" s="14" t="s">
        <v>131</v>
      </c>
      <c r="WG2" s="14" t="s">
        <v>102</v>
      </c>
      <c r="WH2" s="14" t="s">
        <v>100</v>
      </c>
      <c r="WI2" s="14" t="s">
        <v>130</v>
      </c>
      <c r="WJ2" s="14" t="s">
        <v>22</v>
      </c>
      <c r="WK2" s="14" t="s">
        <v>17</v>
      </c>
      <c r="WL2" s="71" t="s">
        <v>18</v>
      </c>
      <c r="WM2" s="71"/>
      <c r="WN2" s="71"/>
      <c r="WO2" s="71"/>
      <c r="WP2" s="71"/>
      <c r="WQ2" s="71" t="s">
        <v>19</v>
      </c>
      <c r="WR2" s="71"/>
      <c r="WS2" s="71"/>
      <c r="WT2" s="71"/>
      <c r="WU2" s="71"/>
      <c r="WV2" s="71" t="s">
        <v>22</v>
      </c>
      <c r="WW2" s="71"/>
      <c r="WX2" s="71"/>
      <c r="WY2" s="71"/>
      <c r="WZ2" s="71"/>
      <c r="XA2" s="13"/>
      <c r="XB2" s="13" t="s">
        <v>97</v>
      </c>
      <c r="XC2" s="13" t="s">
        <v>129</v>
      </c>
      <c r="XD2" s="13" t="s">
        <v>20</v>
      </c>
      <c r="XE2" s="13" t="s">
        <v>77</v>
      </c>
      <c r="XF2" s="13" t="s">
        <v>128</v>
      </c>
      <c r="XG2" s="13" t="s">
        <v>21</v>
      </c>
      <c r="XH2" s="13" t="s">
        <v>23</v>
      </c>
      <c r="XI2" s="13" t="s">
        <v>100</v>
      </c>
      <c r="XJ2" s="13" t="s">
        <v>130</v>
      </c>
      <c r="XK2" s="13" t="s">
        <v>22</v>
      </c>
      <c r="XL2" s="13" t="s">
        <v>17</v>
      </c>
    </row>
    <row r="3" spans="1:636" x14ac:dyDescent="0.2">
      <c r="A3" s="64"/>
      <c r="B3" s="64"/>
      <c r="C3" s="64"/>
      <c r="D3" s="64"/>
      <c r="E3" s="64"/>
      <c r="F3" s="65"/>
      <c r="G3" s="64"/>
      <c r="H3" s="64"/>
      <c r="I3" s="64"/>
      <c r="J3" s="70"/>
      <c r="K3" s="66"/>
      <c r="L3" s="70"/>
      <c r="M3" s="66"/>
      <c r="N3" s="69"/>
      <c r="O3" s="66"/>
      <c r="P3" s="66"/>
      <c r="Q3" s="14" t="s">
        <v>14</v>
      </c>
      <c r="R3" s="14" t="s">
        <v>15</v>
      </c>
      <c r="S3" s="14" t="s">
        <v>9</v>
      </c>
      <c r="T3" s="14" t="s">
        <v>127</v>
      </c>
      <c r="U3" s="14" t="s">
        <v>28</v>
      </c>
      <c r="V3" s="14" t="s">
        <v>14</v>
      </c>
      <c r="W3" s="14" t="s">
        <v>15</v>
      </c>
      <c r="X3" s="14" t="s">
        <v>9</v>
      </c>
      <c r="Y3" s="14" t="s">
        <v>127</v>
      </c>
      <c r="Z3" s="14" t="s">
        <v>28</v>
      </c>
      <c r="AA3" s="14" t="s">
        <v>14</v>
      </c>
      <c r="AB3" s="14" t="s">
        <v>15</v>
      </c>
      <c r="AC3" s="14" t="s">
        <v>9</v>
      </c>
      <c r="AD3" s="14" t="s">
        <v>127</v>
      </c>
      <c r="AE3" s="14" t="s">
        <v>28</v>
      </c>
      <c r="AF3" s="14" t="s">
        <v>52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14</v>
      </c>
      <c r="AS3" s="13" t="s">
        <v>15</v>
      </c>
      <c r="AT3" s="13" t="s">
        <v>9</v>
      </c>
      <c r="AU3" s="13" t="s">
        <v>127</v>
      </c>
      <c r="AV3" s="13" t="s">
        <v>28</v>
      </c>
      <c r="AW3" s="13" t="s">
        <v>14</v>
      </c>
      <c r="AX3" s="13" t="s">
        <v>15</v>
      </c>
      <c r="AY3" s="13" t="s">
        <v>9</v>
      </c>
      <c r="AZ3" s="13" t="s">
        <v>127</v>
      </c>
      <c r="BA3" s="13" t="s">
        <v>28</v>
      </c>
      <c r="BB3" s="13" t="s">
        <v>14</v>
      </c>
      <c r="BC3" s="13" t="s">
        <v>15</v>
      </c>
      <c r="BD3" s="13" t="s">
        <v>9</v>
      </c>
      <c r="BE3" s="13" t="s">
        <v>127</v>
      </c>
      <c r="BF3" s="13" t="s">
        <v>28</v>
      </c>
      <c r="BG3" s="13" t="s">
        <v>52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14</v>
      </c>
      <c r="BT3" s="14" t="s">
        <v>15</v>
      </c>
      <c r="BU3" s="14" t="s">
        <v>9</v>
      </c>
      <c r="BV3" s="14" t="s">
        <v>127</v>
      </c>
      <c r="BW3" s="14" t="s">
        <v>28</v>
      </c>
      <c r="BX3" s="14" t="s">
        <v>14</v>
      </c>
      <c r="BY3" s="14" t="s">
        <v>15</v>
      </c>
      <c r="BZ3" s="14" t="s">
        <v>9</v>
      </c>
      <c r="CA3" s="14" t="s">
        <v>127</v>
      </c>
      <c r="CB3" s="14" t="s">
        <v>28</v>
      </c>
      <c r="CC3" s="14" t="s">
        <v>14</v>
      </c>
      <c r="CD3" s="14" t="s">
        <v>15</v>
      </c>
      <c r="CE3" s="14" t="s">
        <v>9</v>
      </c>
      <c r="CF3" s="14" t="s">
        <v>127</v>
      </c>
      <c r="CG3" s="14" t="s">
        <v>28</v>
      </c>
      <c r="CH3" s="14" t="s">
        <v>52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0"/>
      <c r="CU3" s="50"/>
      <c r="CV3" s="14" t="s">
        <v>14</v>
      </c>
      <c r="CW3" s="14" t="s">
        <v>15</v>
      </c>
      <c r="CX3" s="14" t="s">
        <v>9</v>
      </c>
      <c r="CY3" s="14" t="s">
        <v>127</v>
      </c>
      <c r="CZ3" s="14" t="s">
        <v>28</v>
      </c>
      <c r="DA3" s="14" t="s">
        <v>14</v>
      </c>
      <c r="DB3" s="14" t="s">
        <v>15</v>
      </c>
      <c r="DC3" s="14" t="s">
        <v>9</v>
      </c>
      <c r="DD3" s="14" t="s">
        <v>127</v>
      </c>
      <c r="DE3" s="14" t="s">
        <v>28</v>
      </c>
      <c r="DF3" s="14" t="s">
        <v>14</v>
      </c>
      <c r="DG3" s="14" t="s">
        <v>15</v>
      </c>
      <c r="DH3" s="14" t="s">
        <v>9</v>
      </c>
      <c r="DI3" s="14" t="s">
        <v>127</v>
      </c>
      <c r="DJ3" s="14" t="s">
        <v>28</v>
      </c>
      <c r="DK3" s="14" t="s">
        <v>14</v>
      </c>
      <c r="DL3" s="14" t="s">
        <v>15</v>
      </c>
      <c r="DM3" s="14" t="s">
        <v>9</v>
      </c>
      <c r="DN3" s="14" t="s">
        <v>127</v>
      </c>
      <c r="DO3" s="14" t="s">
        <v>28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14</v>
      </c>
      <c r="EE3" s="13" t="s">
        <v>15</v>
      </c>
      <c r="EF3" s="13" t="s">
        <v>9</v>
      </c>
      <c r="EG3" s="13" t="s">
        <v>127</v>
      </c>
      <c r="EH3" s="13" t="s">
        <v>28</v>
      </c>
      <c r="EI3" s="13" t="s">
        <v>14</v>
      </c>
      <c r="EJ3" s="13" t="s">
        <v>15</v>
      </c>
      <c r="EK3" s="13" t="s">
        <v>9</v>
      </c>
      <c r="EL3" s="13" t="s">
        <v>127</v>
      </c>
      <c r="EM3" s="13" t="s">
        <v>28</v>
      </c>
      <c r="EN3" s="13" t="s">
        <v>14</v>
      </c>
      <c r="EO3" s="13" t="s">
        <v>15</v>
      </c>
      <c r="EP3" s="13" t="s">
        <v>9</v>
      </c>
      <c r="EQ3" s="13" t="s">
        <v>127</v>
      </c>
      <c r="ER3" s="13" t="s">
        <v>28</v>
      </c>
      <c r="ES3" s="13" t="s">
        <v>14</v>
      </c>
      <c r="ET3" s="13" t="s">
        <v>15</v>
      </c>
      <c r="EU3" s="13" t="s">
        <v>9</v>
      </c>
      <c r="EV3" s="13" t="s">
        <v>127</v>
      </c>
      <c r="EW3" s="13" t="s">
        <v>28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14</v>
      </c>
      <c r="FM3" s="14" t="s">
        <v>15</v>
      </c>
      <c r="FN3" s="14" t="s">
        <v>9</v>
      </c>
      <c r="FO3" s="14" t="s">
        <v>127</v>
      </c>
      <c r="FP3" s="14" t="s">
        <v>28</v>
      </c>
      <c r="FQ3" s="14" t="s">
        <v>14</v>
      </c>
      <c r="FR3" s="14" t="s">
        <v>15</v>
      </c>
      <c r="FS3" s="14" t="s">
        <v>9</v>
      </c>
      <c r="FT3" s="14" t="s">
        <v>127</v>
      </c>
      <c r="FU3" s="14" t="s">
        <v>28</v>
      </c>
      <c r="FV3" s="14" t="s">
        <v>14</v>
      </c>
      <c r="FW3" s="14" t="s">
        <v>15</v>
      </c>
      <c r="FX3" s="14" t="s">
        <v>9</v>
      </c>
      <c r="FY3" s="14" t="s">
        <v>127</v>
      </c>
      <c r="FZ3" s="14" t="s">
        <v>28</v>
      </c>
      <c r="GA3" s="14" t="s">
        <v>14</v>
      </c>
      <c r="GB3" s="14" t="s">
        <v>15</v>
      </c>
      <c r="GC3" s="14" t="s">
        <v>9</v>
      </c>
      <c r="GD3" s="14" t="s">
        <v>127</v>
      </c>
      <c r="GE3" s="14" t="s">
        <v>28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14</v>
      </c>
      <c r="GU3" s="13" t="s">
        <v>15</v>
      </c>
      <c r="GV3" s="13" t="s">
        <v>9</v>
      </c>
      <c r="GW3" s="13" t="s">
        <v>127</v>
      </c>
      <c r="GX3" s="13" t="s">
        <v>28</v>
      </c>
      <c r="GY3" s="13" t="s">
        <v>14</v>
      </c>
      <c r="GZ3" s="13" t="s">
        <v>15</v>
      </c>
      <c r="HA3" s="13" t="s">
        <v>9</v>
      </c>
      <c r="HB3" s="13" t="s">
        <v>127</v>
      </c>
      <c r="HC3" s="13" t="s">
        <v>28</v>
      </c>
      <c r="HD3" s="13" t="s">
        <v>14</v>
      </c>
      <c r="HE3" s="13" t="s">
        <v>15</v>
      </c>
      <c r="HF3" s="13" t="s">
        <v>9</v>
      </c>
      <c r="HG3" s="13" t="s">
        <v>127</v>
      </c>
      <c r="HH3" s="13" t="s">
        <v>28</v>
      </c>
      <c r="HI3" s="13" t="s">
        <v>14</v>
      </c>
      <c r="HJ3" s="13" t="s">
        <v>15</v>
      </c>
      <c r="HK3" s="13" t="s">
        <v>9</v>
      </c>
      <c r="HL3" s="13" t="s">
        <v>127</v>
      </c>
      <c r="HM3" s="13" t="s">
        <v>28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14</v>
      </c>
      <c r="IC3" s="14" t="s">
        <v>15</v>
      </c>
      <c r="ID3" s="14" t="s">
        <v>9</v>
      </c>
      <c r="IE3" s="14" t="s">
        <v>127</v>
      </c>
      <c r="IF3" s="14" t="s">
        <v>28</v>
      </c>
      <c r="IG3" s="14" t="s">
        <v>14</v>
      </c>
      <c r="IH3" s="14" t="s">
        <v>15</v>
      </c>
      <c r="II3" s="14" t="s">
        <v>9</v>
      </c>
      <c r="IJ3" s="14" t="s">
        <v>127</v>
      </c>
      <c r="IK3" s="14" t="s">
        <v>28</v>
      </c>
      <c r="IL3" s="14" t="s">
        <v>14</v>
      </c>
      <c r="IM3" s="14" t="s">
        <v>15</v>
      </c>
      <c r="IN3" s="14" t="s">
        <v>9</v>
      </c>
      <c r="IO3" s="14" t="s">
        <v>127</v>
      </c>
      <c r="IP3" s="14" t="s">
        <v>28</v>
      </c>
      <c r="IQ3" s="14" t="s">
        <v>14</v>
      </c>
      <c r="IR3" s="14" t="s">
        <v>15</v>
      </c>
      <c r="IS3" s="14" t="s">
        <v>9</v>
      </c>
      <c r="IT3" s="14" t="s">
        <v>127</v>
      </c>
      <c r="IU3" s="14" t="s">
        <v>28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14</v>
      </c>
      <c r="JK3" s="13" t="s">
        <v>15</v>
      </c>
      <c r="JL3" s="13" t="s">
        <v>9</v>
      </c>
      <c r="JM3" s="13" t="s">
        <v>127</v>
      </c>
      <c r="JN3" s="13" t="s">
        <v>28</v>
      </c>
      <c r="JO3" s="13" t="s">
        <v>14</v>
      </c>
      <c r="JP3" s="13" t="s">
        <v>15</v>
      </c>
      <c r="JQ3" s="13" t="s">
        <v>9</v>
      </c>
      <c r="JR3" s="13" t="s">
        <v>127</v>
      </c>
      <c r="JS3" s="13" t="s">
        <v>28</v>
      </c>
      <c r="JT3" s="13" t="s">
        <v>14</v>
      </c>
      <c r="JU3" s="13" t="s">
        <v>15</v>
      </c>
      <c r="JV3" s="13" t="s">
        <v>9</v>
      </c>
      <c r="JW3" s="13" t="s">
        <v>127</v>
      </c>
      <c r="JX3" s="13" t="s">
        <v>28</v>
      </c>
      <c r="JY3" s="13" t="s">
        <v>14</v>
      </c>
      <c r="JZ3" s="13" t="s">
        <v>15</v>
      </c>
      <c r="KA3" s="13" t="s">
        <v>9</v>
      </c>
      <c r="KB3" s="13" t="s">
        <v>127</v>
      </c>
      <c r="KC3" s="13" t="s">
        <v>28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14</v>
      </c>
      <c r="KS3" s="14" t="s">
        <v>15</v>
      </c>
      <c r="KT3" s="14" t="s">
        <v>9</v>
      </c>
      <c r="KU3" s="14" t="s">
        <v>127</v>
      </c>
      <c r="KV3" s="14" t="s">
        <v>28</v>
      </c>
      <c r="KW3" s="14" t="s">
        <v>14</v>
      </c>
      <c r="KX3" s="14" t="s">
        <v>15</v>
      </c>
      <c r="KY3" s="14" t="s">
        <v>9</v>
      </c>
      <c r="KZ3" s="14" t="s">
        <v>127</v>
      </c>
      <c r="LA3" s="14" t="s">
        <v>28</v>
      </c>
      <c r="LB3" s="14" t="s">
        <v>14</v>
      </c>
      <c r="LC3" s="14" t="s">
        <v>15</v>
      </c>
      <c r="LD3" s="14" t="s">
        <v>9</v>
      </c>
      <c r="LE3" s="14" t="s">
        <v>127</v>
      </c>
      <c r="LF3" s="14" t="s">
        <v>28</v>
      </c>
      <c r="LG3" s="14" t="s">
        <v>14</v>
      </c>
      <c r="LH3" s="14" t="s">
        <v>15</v>
      </c>
      <c r="LI3" s="14" t="s">
        <v>9</v>
      </c>
      <c r="LJ3" s="14" t="s">
        <v>127</v>
      </c>
      <c r="LK3" s="14" t="s">
        <v>28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14</v>
      </c>
      <c r="MA3" s="13" t="s">
        <v>15</v>
      </c>
      <c r="MB3" s="13" t="s">
        <v>9</v>
      </c>
      <c r="MC3" s="13" t="s">
        <v>127</v>
      </c>
      <c r="MD3" s="13" t="s">
        <v>28</v>
      </c>
      <c r="ME3" s="13" t="s">
        <v>14</v>
      </c>
      <c r="MF3" s="13" t="s">
        <v>15</v>
      </c>
      <c r="MG3" s="13" t="s">
        <v>9</v>
      </c>
      <c r="MH3" s="13" t="s">
        <v>127</v>
      </c>
      <c r="MI3" s="13" t="s">
        <v>28</v>
      </c>
      <c r="MJ3" s="13" t="s">
        <v>14</v>
      </c>
      <c r="MK3" s="13" t="s">
        <v>15</v>
      </c>
      <c r="ML3" s="13" t="s">
        <v>9</v>
      </c>
      <c r="MM3" s="13" t="s">
        <v>127</v>
      </c>
      <c r="MN3" s="13" t="s">
        <v>28</v>
      </c>
      <c r="MO3" s="13" t="s">
        <v>14</v>
      </c>
      <c r="MP3" s="13" t="s">
        <v>15</v>
      </c>
      <c r="MQ3" s="13" t="s">
        <v>9</v>
      </c>
      <c r="MR3" s="13" t="s">
        <v>127</v>
      </c>
      <c r="MS3" s="13" t="s">
        <v>28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14</v>
      </c>
      <c r="NI3" s="14" t="s">
        <v>15</v>
      </c>
      <c r="NJ3" s="14" t="s">
        <v>9</v>
      </c>
      <c r="NK3" s="14" t="s">
        <v>127</v>
      </c>
      <c r="NL3" s="14" t="s">
        <v>28</v>
      </c>
      <c r="NM3" s="14" t="s">
        <v>14</v>
      </c>
      <c r="NN3" s="14" t="s">
        <v>15</v>
      </c>
      <c r="NO3" s="14" t="s">
        <v>9</v>
      </c>
      <c r="NP3" s="14" t="s">
        <v>127</v>
      </c>
      <c r="NQ3" s="14" t="s">
        <v>28</v>
      </c>
      <c r="NR3" s="14" t="s">
        <v>14</v>
      </c>
      <c r="NS3" s="14" t="s">
        <v>15</v>
      </c>
      <c r="NT3" s="14" t="s">
        <v>9</v>
      </c>
      <c r="NU3" s="14" t="s">
        <v>127</v>
      </c>
      <c r="NV3" s="14" t="s">
        <v>28</v>
      </c>
      <c r="NW3" s="14" t="s">
        <v>14</v>
      </c>
      <c r="NX3" s="14" t="s">
        <v>15</v>
      </c>
      <c r="NY3" s="14" t="s">
        <v>9</v>
      </c>
      <c r="NZ3" s="14" t="s">
        <v>127</v>
      </c>
      <c r="OA3" s="14" t="s">
        <v>28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14</v>
      </c>
      <c r="OQ3" s="13" t="s">
        <v>15</v>
      </c>
      <c r="OR3" s="13" t="s">
        <v>9</v>
      </c>
      <c r="OS3" s="13" t="s">
        <v>127</v>
      </c>
      <c r="OT3" s="13" t="s">
        <v>28</v>
      </c>
      <c r="OU3" s="13" t="s">
        <v>14</v>
      </c>
      <c r="OV3" s="13" t="s">
        <v>15</v>
      </c>
      <c r="OW3" s="13" t="s">
        <v>9</v>
      </c>
      <c r="OX3" s="13" t="s">
        <v>127</v>
      </c>
      <c r="OY3" s="13" t="s">
        <v>28</v>
      </c>
      <c r="OZ3" s="13" t="s">
        <v>14</v>
      </c>
      <c r="PA3" s="13" t="s">
        <v>15</v>
      </c>
      <c r="PB3" s="13" t="s">
        <v>9</v>
      </c>
      <c r="PC3" s="13" t="s">
        <v>127</v>
      </c>
      <c r="PD3" s="13" t="s">
        <v>28</v>
      </c>
      <c r="PE3" s="13" t="s">
        <v>14</v>
      </c>
      <c r="PF3" s="13" t="s">
        <v>15</v>
      </c>
      <c r="PG3" s="13" t="s">
        <v>9</v>
      </c>
      <c r="PH3" s="13" t="s">
        <v>127</v>
      </c>
      <c r="PI3" s="13" t="s">
        <v>28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14</v>
      </c>
      <c r="PY3" s="14" t="s">
        <v>15</v>
      </c>
      <c r="PZ3" s="14" t="s">
        <v>9</v>
      </c>
      <c r="QA3" s="14" t="s">
        <v>127</v>
      </c>
      <c r="QB3" s="14" t="s">
        <v>28</v>
      </c>
      <c r="QC3" s="14" t="s">
        <v>14</v>
      </c>
      <c r="QD3" s="14" t="s">
        <v>15</v>
      </c>
      <c r="QE3" s="14" t="s">
        <v>9</v>
      </c>
      <c r="QF3" s="14" t="s">
        <v>127</v>
      </c>
      <c r="QG3" s="14" t="s">
        <v>28</v>
      </c>
      <c r="QH3" s="14" t="s">
        <v>14</v>
      </c>
      <c r="QI3" s="14" t="s">
        <v>15</v>
      </c>
      <c r="QJ3" s="14" t="s">
        <v>9</v>
      </c>
      <c r="QK3" s="14" t="s">
        <v>127</v>
      </c>
      <c r="QL3" s="14" t="s">
        <v>28</v>
      </c>
      <c r="QM3" s="14" t="s">
        <v>14</v>
      </c>
      <c r="QN3" s="14" t="s">
        <v>15</v>
      </c>
      <c r="QO3" s="14" t="s">
        <v>9</v>
      </c>
      <c r="QP3" s="14" t="s">
        <v>127</v>
      </c>
      <c r="QQ3" s="14" t="s">
        <v>28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14</v>
      </c>
      <c r="RG3" s="13" t="s">
        <v>15</v>
      </c>
      <c r="RH3" s="13" t="s">
        <v>9</v>
      </c>
      <c r="RI3" s="13" t="s">
        <v>127</v>
      </c>
      <c r="RJ3" s="13" t="s">
        <v>28</v>
      </c>
      <c r="RK3" s="13" t="s">
        <v>14</v>
      </c>
      <c r="RL3" s="13" t="s">
        <v>15</v>
      </c>
      <c r="RM3" s="13" t="s">
        <v>9</v>
      </c>
      <c r="RN3" s="13" t="s">
        <v>127</v>
      </c>
      <c r="RO3" s="13" t="s">
        <v>28</v>
      </c>
      <c r="RP3" s="13" t="s">
        <v>14</v>
      </c>
      <c r="RQ3" s="13" t="s">
        <v>15</v>
      </c>
      <c r="RR3" s="13" t="s">
        <v>9</v>
      </c>
      <c r="RS3" s="13" t="s">
        <v>127</v>
      </c>
      <c r="RT3" s="13" t="s">
        <v>28</v>
      </c>
      <c r="RU3" s="13" t="s">
        <v>14</v>
      </c>
      <c r="RV3" s="13" t="s">
        <v>15</v>
      </c>
      <c r="RW3" s="13" t="s">
        <v>9</v>
      </c>
      <c r="RX3" s="13" t="s">
        <v>127</v>
      </c>
      <c r="RY3" s="13" t="s">
        <v>28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14</v>
      </c>
      <c r="SO3" s="14" t="s">
        <v>15</v>
      </c>
      <c r="SP3" s="14" t="s">
        <v>9</v>
      </c>
      <c r="SQ3" s="14" t="s">
        <v>127</v>
      </c>
      <c r="SR3" s="14" t="s">
        <v>28</v>
      </c>
      <c r="SS3" s="14" t="s">
        <v>14</v>
      </c>
      <c r="ST3" s="14" t="s">
        <v>15</v>
      </c>
      <c r="SU3" s="14" t="s">
        <v>9</v>
      </c>
      <c r="SV3" s="14" t="s">
        <v>127</v>
      </c>
      <c r="SW3" s="14" t="s">
        <v>28</v>
      </c>
      <c r="SX3" s="14" t="s">
        <v>14</v>
      </c>
      <c r="SY3" s="14" t="s">
        <v>15</v>
      </c>
      <c r="SZ3" s="14" t="s">
        <v>9</v>
      </c>
      <c r="TA3" s="14" t="s">
        <v>127</v>
      </c>
      <c r="TB3" s="14" t="s">
        <v>28</v>
      </c>
      <c r="TC3" s="14" t="s">
        <v>14</v>
      </c>
      <c r="TD3" s="14" t="s">
        <v>15</v>
      </c>
      <c r="TE3" s="14" t="s">
        <v>9</v>
      </c>
      <c r="TF3" s="14" t="s">
        <v>127</v>
      </c>
      <c r="TG3" s="14" t="s">
        <v>28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14</v>
      </c>
      <c r="TW3" s="13" t="s">
        <v>15</v>
      </c>
      <c r="TX3" s="13" t="s">
        <v>9</v>
      </c>
      <c r="TY3" s="13" t="s">
        <v>127</v>
      </c>
      <c r="TZ3" s="13" t="s">
        <v>28</v>
      </c>
      <c r="UA3" s="13" t="s">
        <v>14</v>
      </c>
      <c r="UB3" s="13" t="s">
        <v>15</v>
      </c>
      <c r="UC3" s="13" t="s">
        <v>9</v>
      </c>
      <c r="UD3" s="13" t="s">
        <v>127</v>
      </c>
      <c r="UE3" s="13" t="s">
        <v>28</v>
      </c>
      <c r="UF3" s="13" t="s">
        <v>14</v>
      </c>
      <c r="UG3" s="13" t="s">
        <v>15</v>
      </c>
      <c r="UH3" s="13" t="s">
        <v>9</v>
      </c>
      <c r="UI3" s="13" t="s">
        <v>127</v>
      </c>
      <c r="UJ3" s="13" t="s">
        <v>28</v>
      </c>
      <c r="UK3" s="13" t="s">
        <v>14</v>
      </c>
      <c r="UL3" s="13" t="s">
        <v>15</v>
      </c>
      <c r="UM3" s="13" t="s">
        <v>9</v>
      </c>
      <c r="UN3" s="13" t="s">
        <v>127</v>
      </c>
      <c r="UO3" s="13" t="s">
        <v>28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14</v>
      </c>
      <c r="VE3" s="14" t="s">
        <v>15</v>
      </c>
      <c r="VF3" s="14" t="s">
        <v>9</v>
      </c>
      <c r="VG3" s="14" t="s">
        <v>127</v>
      </c>
      <c r="VH3" s="14" t="s">
        <v>28</v>
      </c>
      <c r="VI3" s="14" t="s">
        <v>14</v>
      </c>
      <c r="VJ3" s="14" t="s">
        <v>15</v>
      </c>
      <c r="VK3" s="14" t="s">
        <v>9</v>
      </c>
      <c r="VL3" s="14" t="s">
        <v>127</v>
      </c>
      <c r="VM3" s="14" t="s">
        <v>28</v>
      </c>
      <c r="VN3" s="14" t="s">
        <v>14</v>
      </c>
      <c r="VO3" s="14" t="s">
        <v>15</v>
      </c>
      <c r="VP3" s="14" t="s">
        <v>9</v>
      </c>
      <c r="VQ3" s="14" t="s">
        <v>127</v>
      </c>
      <c r="VR3" s="14" t="s">
        <v>28</v>
      </c>
      <c r="VS3" s="14" t="s">
        <v>14</v>
      </c>
      <c r="VT3" s="14" t="s">
        <v>15</v>
      </c>
      <c r="VU3" s="14" t="s">
        <v>9</v>
      </c>
      <c r="VV3" s="14" t="s">
        <v>127</v>
      </c>
      <c r="VW3" s="14" t="s">
        <v>28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14</v>
      </c>
      <c r="WM3" s="13" t="s">
        <v>15</v>
      </c>
      <c r="WN3" s="13" t="s">
        <v>9</v>
      </c>
      <c r="WO3" s="13" t="s">
        <v>127</v>
      </c>
      <c r="WP3" s="13" t="s">
        <v>28</v>
      </c>
      <c r="WQ3" s="13" t="s">
        <v>14</v>
      </c>
      <c r="WR3" s="13" t="s">
        <v>15</v>
      </c>
      <c r="WS3" s="13" t="s">
        <v>9</v>
      </c>
      <c r="WT3" s="13" t="s">
        <v>127</v>
      </c>
      <c r="WU3" s="13" t="s">
        <v>28</v>
      </c>
      <c r="WV3" s="13" t="s">
        <v>14</v>
      </c>
      <c r="WW3" s="13" t="s">
        <v>15</v>
      </c>
      <c r="WX3" s="13" t="s">
        <v>9</v>
      </c>
      <c r="WY3" s="13" t="s">
        <v>127</v>
      </c>
      <c r="WZ3" s="13" t="s">
        <v>28</v>
      </c>
      <c r="XA3" s="13" t="s">
        <v>52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DD"),SUMPRODUCT((H$4:H$19&lt;&gt;"")*(H$4:H$19&lt;&gt;"No DD")*(E$4:E$19&gt;E4))+1,IF(H4="No DD",SUMPRODUCT((H$4:H$19="No DD")*(E$4:E$19&gt;E4))+1+SUMPRODUCT((H$4:H$19&lt;&gt;"")*(H$4:H$19&lt;&gt;"No DD")),""))</f>
        <v>1</v>
      </c>
      <c r="B4" s="5" t="s">
        <v>173</v>
      </c>
      <c r="C4" s="4" t="s">
        <v>172</v>
      </c>
      <c r="D4" s="4" t="s">
        <v>171</v>
      </c>
      <c r="E4" s="9">
        <f t="shared" ref="E4:E18" si="0">SUM(J4,L4,N4)</f>
        <v>100.51000000000002</v>
      </c>
      <c r="F4" s="3" t="str">
        <f t="shared" ref="F4:F18" si="1">IF(OR(AND(AG4&gt;=AQ$21,AG4&lt;&gt;"",AI4&gt;=AQ$25,AI4&lt;&gt;"",AF4=""),AND(AJ4&gt;=AQ$21,AJ4&lt;&gt;"",AL4&gt;=AQ$25,AL4&lt;&gt;"",AF4=""),AND(AN4&gt;=AQ$21,AN4&lt;&gt;"",AP4&gt;=AQ$25,AP4&lt;&gt;"",AF4=""),AND(BH4&gt;=BR$21,BH4&lt;&gt;"",BJ4&gt;=BR$25,BJ4&lt;&gt;"",BG4=""),AND(BK4&gt;=BR$21,BK4&lt;&gt;"",BM4&gt;=BR$25,BM4&lt;&gt;"",BG4=""),AND(BO4&gt;=BR$21,BO4&lt;&gt;"",BQ4&gt;=BR$25,BQ4&lt;&gt;"",BG4=""),AND(CI4&gt;=CS$21,CI4&lt;&gt;"",CK4&gt;=CS$25,CK4&lt;&gt;"",CH4=""),AND(CL4&gt;=CS$21,CL4&lt;&gt;"",CN4&gt;=CS$25,CN4&lt;&gt;"",CH4=""),AND(CP4&gt;=CS$21,CP4&lt;&gt;"",CR4&gt;=CS$25,CR4&lt;&gt;"",CH4=""),AND(DP4&gt;=EC$21,DP4&lt;&gt;"",DR4&gt;=EC$25,DR4&lt;&gt;""),AND(DS4&gt;=EC$21,DS4&lt;&gt;"",DU4&gt;=EC$25,DU4&lt;&gt;""),AND(DW4&gt;=EC$21,DW4&lt;&gt;"",DY4&gt;=EC$25,DY4&lt;&gt;""),AND(DZ4&gt;=EC$21,DZ4&lt;&gt;"",EB4&gt;=EC$25,EB4&lt;&gt;""),AND(EX4&gt;=FK$21,EX4&lt;&gt;"",EZ4&gt;=FK$25,EZ4&lt;&gt;""),AND(FA4&gt;=FK$21,FA4&lt;&gt;"",FC4&gt;=FK$25,FC4&lt;&gt;""),AND(FE4&gt;=FK$21,FE4&lt;&gt;"",FG4&gt;=FK$25,FG4&lt;&gt;""),AND(FH4&gt;=FK$21,FH4&lt;&gt;"",FJ4&gt;=FK$25,FJ4&lt;&gt;""),AND(GF4&gt;=GS$21,GF4&lt;&gt;"",GH4&gt;=GS$25,GH4&lt;&gt;""),AND(GI4&gt;=GS$21,GI4&lt;&gt;"",GK4&gt;=GS$25,GK4&lt;&gt;""),AND(GM4&gt;=GS$21,GM4&lt;&gt;"",GO4&gt;=GS$25,GO4&lt;&gt;""),AND(GP4&gt;=GS$21,GP4&lt;&gt;"",GR4&gt;=GS$25,GR4&lt;&gt;""),AND(HN4&gt;=IA$21,HN4&lt;&gt;"",HP4&gt;=IA$25,HP4&lt;&gt;""),AND(HQ4&gt;=IA$21,HQ4&lt;&gt;"",HS4&gt;=IA$25,HS4&lt;&gt;""),AND(HU4&gt;=IA$21,HU4&lt;&gt;"",HW4&gt;=IA$25,HW4&lt;&gt;""),AND(HX4&gt;=IA$21,HX4&lt;&gt;"",HZ4&gt;=IA$25,HZ4&lt;&gt;""),AND(IV4&gt;=JI$21,IV4&lt;&gt;"",IX4&gt;=JI$25,IX4&lt;&gt;""),AND(IY4&gt;=JI$21,IY4&lt;&gt;"",JA4&gt;=JI$25,JA4&lt;&gt;""),AND(JC4&gt;=JI$21,JC4&lt;&gt;"",JE4&gt;=JI$25,JE4&lt;&gt;""),AND(JF4&gt;=JI$21,JF4&lt;&gt;"",JH4&gt;=JI$25,JH4&lt;&gt;""),AND(KD4&gt;=KQ$21,KD4&lt;&gt;"",KF4&gt;=KQ$25,KF4&lt;&gt;""),AND(KG4&gt;=KQ$21,KG4&lt;&gt;"",KI4&gt;=KQ$25,KI4&lt;&gt;""),AND(KK4&gt;=KQ$21,KK4&lt;&gt;"",KM4&gt;=KQ$25,KM4&lt;&gt;""),AND(KN4&gt;=KQ$21,KN4&lt;&gt;"",KP4&gt;=KQ$25,KP4&lt;&gt;""),AND(LL4&gt;=LY$21,LL4&lt;&gt;"",LN4&gt;=LY$25,LN4&lt;&gt;""),AND(LO4&gt;=LY$21,LO4&lt;&gt;"",LQ4&gt;=LY$25,LQ4&lt;&gt;""),AND(LS4&gt;=LY$21,LS4&lt;&gt;"",LU4&gt;=LY$25,LU4&lt;&gt;""),AND(LV4&gt;=LY$21,LV4&lt;&gt;"",LX4&gt;=LY$25,LX4&lt;&gt;""),AND(MT4&gt;=NG$21,MT4&lt;&gt;"",MV4&gt;=NG$25,MV4&lt;&gt;""),AND(MW4&gt;=NG$21,MW4&lt;&gt;"",MY4&gt;=NG$25,MY4&lt;&gt;""),AND(NA4&gt;=NG$21,NA4&lt;&gt;"",NC4&gt;=NG$25,NC4&lt;&gt;""),AND(ND4&gt;=NG$21,ND4&lt;&gt;"",NF4&gt;=NG$25,NF4&lt;&gt;""),AND(OB4&gt;=OO$21,OB4&lt;&gt;"",OD4&gt;=OO$25,OD4&lt;&gt;""),AND(OE4&gt;=OO$21,OE4&lt;&gt;"",OG4&gt;=OO$25,OG4&lt;&gt;""),AND(OI4&gt;=OO$21,OI4&lt;&gt;"",OK4&gt;=OO$25,OK4&lt;&gt;""),AND(OL4&gt;=OO$21,OL4&lt;&gt;"",ON4&gt;=OO$25,ON4&lt;&gt;""),AND(PJ4&gt;=PW$21,PJ4&lt;&gt;"",PL4&gt;=PW$25,PL4&lt;&gt;""),AND(PM4&gt;=PW$21,PM4&lt;&gt;"",PO4&gt;=PW$25,PO4&lt;&gt;""),AND(PQ4&gt;=PW$21,PQ4&lt;&gt;"",PS4&gt;=PW$25,PS4&lt;&gt;""),AND(PT4&gt;=PW$21,PT4&lt;&gt;"",PV4&gt;=PW$25,PV4&lt;&gt;""),AND(QR4&gt;=RE$21,QR4&lt;&gt;"",QT4&gt;=RE$25,QT4&lt;&gt;""),AND(QU4&gt;=RE$21,QU4&lt;&gt;"",QW4&gt;=RE$25,QW4&lt;&gt;""),AND(QY4&gt;=RE$21,QY4&lt;&gt;"",RA4&gt;=RE$25,RA4&lt;&gt;""),AND(RB4&gt;=RE$21,RB4&lt;&gt;"",RD4&gt;=RE$25,RD4&lt;&gt;""),AND(RZ4&gt;=SM$21,RZ4&lt;&gt;"",SB4&gt;=SM$25,SB4&lt;&gt;""),AND(SC4&gt;=SM$21,SC4&lt;&gt;"",SE4&gt;=SM$25,SE4&lt;&gt;""),AND(SG4&gt;=SM$21,SG4&lt;&gt;"",SI4&gt;=SM$25,SI4&lt;&gt;""),AND(SJ4&gt;=SM$21,SJ4&lt;&gt;"",SL4&gt;=SM$25,SL4&lt;&gt;""),AND(TH4&gt;=TU$21,TH4&lt;&gt;"",TJ4&gt;=TU$25,TJ4&lt;&gt;""),AND(TK4&gt;=TU$21,TK4&lt;&gt;"",TM4&gt;=TU$25,TM4&lt;&gt;""),AND(TO4&gt;=TU$21,TO4&lt;&gt;"",TQ4&gt;=TU$25,TQ4&lt;&gt;""),AND(TR4&gt;=TU$21,TR4&lt;&gt;"",TT4&gt;=TU$25,TT4&lt;&gt;""),AND(UP4&gt;=VC$21,UP4&lt;&gt;"",UR4&gt;=VC$25,UR4&lt;&gt;""),AND(US4&gt;=VC$21,US4&lt;&gt;"",UU4&gt;=VC$25,UU4&lt;&gt;""),AND(UW4&gt;=VC$21,UW4&lt;&gt;"",UY4&gt;=VC$25,UY4&lt;&gt;""),AND(UZ4&gt;=VC$21,UZ4&lt;&gt;"",VB4&gt;=VC$25,VB4&lt;&gt;""),AND(VX4&gt;=WK$21,VX4&lt;&gt;"",VZ4&gt;=WK$25,VZ4&lt;&gt;""),AND(WA4&gt;=WK$21,WA4&lt;&gt;"",WC4&gt;=WK$25,WC4&lt;&gt;""),AND(WE4&gt;=WK$21,WE4&lt;&gt;"",WG4&gt;=WK$25,WG4&lt;&gt;""),AND(WH4&gt;=WK$21,WH4&lt;&gt;"",WJ4&gt;=WK$25,WJ4&lt;&gt;"")),"P","")</f>
        <v>P</v>
      </c>
      <c r="G4" s="3" t="str">
        <f t="shared" ref="G4:G18" si="2">IF(OR(AND(AI4&gt;=AQ$25,AI4&lt;&gt;"",AF4=""),AND(AL4&gt;=AQ$25,AL4&lt;&gt;"",AF4=""),AND(AP4&gt;=AQ$25,AP4&lt;&gt;"",AF4=""),AND(BJ4&gt;=BR$25,BJ4&lt;&gt;"",BG4=""),AND(BM4&gt;=BR$25,BM4&lt;&gt;"",BG4=""),AND(BQ4&gt;=BR$25,BQ4&lt;&gt;"",BG4=""),AND(CK4&gt;=CS$25,CK4&lt;&gt;"",CH4=""),AND(CN4&gt;=CS$25,CN4&lt;&gt;"",CH4=""),AND(CR4&gt;=CS$25,CR4&lt;&gt;"",CH4=""),AND(DR4&gt;=EC$25,DR4&lt;&gt;""),AND(DU4&gt;=EC$25,DU4&lt;&gt;""),AND(DY4&gt;=EC$25,DY4&lt;&gt;""),AND(EB4&gt;=EC$25,EB4&lt;&gt;""),AND(EZ4&gt;=FK$25,EZ4&lt;&gt;""),AND(FC4&gt;=FK$25,FC4&lt;&gt;""),AND(FG4&gt;=FK$25,FG4&lt;&gt;""),AND(FJ4&gt;=FK$25,FJ4&lt;&gt;""),AND(GH4&gt;=GS$25,GH4&lt;&gt;""),AND(GK4&gt;=GS$25,GK4&lt;&gt;""),AND(GO4&gt;=GS$25,GO4&lt;&gt;""),AND(GR4&gt;=GS$25,GR4&lt;&gt;""),AND(HP4&gt;=IA$25,HP4&lt;&gt;""),AND(HS4&gt;=IA$25,HS4&lt;&gt;""),AND(HW4&gt;=IA$25,HW4&lt;&gt;""),AND(HZ4&gt;=IA$25,HZ4&lt;&gt;""),AND(IX4&gt;=JI$25,IX4&lt;&gt;""),AND(JA4&gt;=JI$25,JA4&lt;&gt;""),AND(JE4&gt;=JI$25,JE4&lt;&gt;""),AND(JH4&gt;=JI$25,JH4&lt;&gt;""),AND(KF4&gt;=KQ$25,KF4&lt;&gt;""),AND(KI4&gt;=KQ$25,KI4&lt;&gt;""),AND(KM4&gt;=KQ$25,KM4&lt;&gt;""),AND(KP4&gt;=KQ$25,KP4&lt;&gt;""),AND(LN4&gt;=LY$25,LN4&lt;&gt;""),AND(LQ4&gt;=LY$25,LQ4&lt;&gt;""),AND(LU4&gt;=LY$25,LU4&lt;&gt;""),AND(LX4&gt;=LY$25,LX4&lt;&gt;""),AND(MV4&gt;=NG$25,MV4&lt;&gt;""),AND(MY4&gt;=NG$25,MY4&lt;&gt;""),AND(NC4&gt;=NG$25,NC4&lt;&gt;""),AND(NF4&gt;=NG$25,NF4&lt;&gt;""),AND(OD4&gt;=OO$25,OD4&lt;&gt;""),AND(OG4&gt;=OO$25,OG4&lt;&gt;""),AND(OK4&gt;=OO$25,OK4&lt;&gt;""),AND(ON4&gt;=OO$25,ON4&lt;&gt;""),AND(PL4&gt;=PW$25,PL4&lt;&gt;""),AND(PO4&gt;=PW$25,PO4&lt;&gt;""),AND(PS4&gt;=PW$25,PS4&lt;&gt;""),AND(PV4&gt;=PW$25,PV4&lt;&gt;""),AND(QT4&gt;=RE$25,QT4&lt;&gt;""),AND(QW4&gt;=RE$25,QW4&lt;&gt;""),AND(RA4&gt;=RE$25,RA4&lt;&gt;""),AND(RD4&gt;=RE$25,RD4&lt;&gt;""),AND(SB4&gt;=SM$25,SB4&lt;&gt;""),AND(SE4&gt;=SM$25,SE4&lt;&gt;""),AND(SI4&gt;=SM$25,SI4&lt;&gt;""),AND(SL4&gt;=SM$25,SL4&lt;&gt;""),AND(TJ4&gt;=TU$25,TJ4&lt;&gt;""),AND(TM4&gt;=TU$25,TM4&lt;&gt;""),AND(TQ4&gt;=TU$25,TQ4&lt;&gt;""),AND(TT4&gt;=TU$25,TT4&lt;&gt;""),AND(UR4&gt;=VC$25,UR4&lt;&gt;""),AND(UU4&gt;=VC$25,UU4&lt;&gt;""),AND(UY4&gt;=VC$25,UY4&lt;&gt;""),AND(VB4&gt;=VC$25,VB4&lt;&gt;""),AND(VZ4&gt;=WK$25,VZ4&lt;&gt;""),AND(WC4&gt;=WK$25,WC4&lt;&gt;""),AND(WG4&gt;=WK$25,WG4&lt;&gt;""),AND(WJ4&gt;=WK$25,WJ4&lt;&gt;"")),"P","")</f>
        <v>P</v>
      </c>
      <c r="H4" s="36" t="str">
        <f t="shared" ref="H4:H18" si="3">IF(AND(G4="P",F4=""),"No DD",IF(OR(AND(AG4&gt;=AQ$24,AG4&lt;&gt;"",AI4&gt;=AQ$28,AI4&lt;&gt;"",AF4=""),AND(AJ4&gt;=AQ$24,AJ4&lt;&gt;"",AL4&gt;=AQ$28,AL4&lt;&gt;"",AF4=""),AND(AN4&gt;=AQ$24,AN4&lt;&gt;"",AP4&gt;=AQ$28,AP4&lt;&gt;"",AF4=""),AND(BH4&gt;=BR$24,BH4&lt;&gt;"",BJ4&gt;=BR$28,BJ4&lt;&gt;"",BG4=""),AND(BK4&gt;=BR$24,BK4&lt;&gt;"",BM4&gt;=BR$28,BM4&lt;&gt;"",BG4=""),AND(BO4&gt;=BR$24,BO4&lt;&gt;"",BQ4&gt;=BR$28,BQ4&lt;&gt;"",BG4=""),AND(CI4&gt;=CS$24,CI4&lt;&gt;"",CK4&gt;=CS$28,CK4&lt;&gt;"",CH4=""),AND(CL4&gt;=CS$24,CL4&lt;&gt;"",CN4&gt;=CS$28,CN4&lt;&gt;"",CH4=""),AND(CP4&gt;=CS$24,CP4&lt;&gt;"",CR4&gt;=CS$28,CR4&lt;&gt;"",CH4=""),AND(DP4&gt;=EC$24,DP4&lt;&gt;"",DR4&gt;=EC$28,DR4&lt;&gt;""),AND(DS4&gt;=EC$24,DS4&lt;&gt;"",DU4&gt;=EC$28,DU4&lt;&gt;""),AND(DW4&gt;=EC$24,DW4&lt;&gt;"",DY4&gt;=EC$28,DY4&lt;&gt;""),AND(DZ4&gt;=EC$24,DZ4&lt;&gt;"",EB4&gt;=EC$28,EB4&lt;&gt;""),AND(EX4&gt;=FK$24,EX4&lt;&gt;"",EZ4&gt;=FK$28,EZ4&lt;&gt;""),AND(FA4&gt;=FK$24,FA4&lt;&gt;"",FC4&gt;=FK$28,FC4&lt;&gt;""),AND(FE4&gt;=FK$24,FE4&lt;&gt;"",FG4&gt;=FK$28,FG4&lt;&gt;""),AND(FH4&gt;=FK$24,FH4&lt;&gt;"",FJ4&gt;=FK$28,FJ4&lt;&gt;""),AND(GF4&gt;=GS$24,GF4&lt;&gt;"",GH4&gt;=GS$28,GH4&lt;&gt;""),AND(GI4&gt;=GS$24,GI4&lt;&gt;"",GK4&gt;=GS$28,GK4&lt;&gt;""),AND(GM4&gt;=GS$24,GM4&lt;&gt;"",GO4&gt;=GS$28,GO4&lt;&gt;""),AND(GP4&gt;=GS$24,GP4&lt;&gt;"",GR4&gt;=GS$28,GR4&lt;&gt;""),AND(HN4&gt;=IA$24,HN4&lt;&gt;"",HP4&gt;=IA$28,HP4&lt;&gt;""),AND(HQ4&gt;=IA$24,HQ4&lt;&gt;"",HS4&gt;=IA$28,HS4&lt;&gt;""),AND(HU4&gt;=IA$24,HU4&lt;&gt;"",HW4&gt;=IA$28,HW4&lt;&gt;""),AND(HX4&gt;=IA$24,HX4&lt;&gt;"",HZ4&gt;=IA$28,HZ4&lt;&gt;""),AND(IV4&gt;=JI$24,IV4&lt;&gt;"",IX4&gt;=JI$28,IX4&lt;&gt;""),AND(IY4&gt;=JI$24,IY4&lt;&gt;"",JA4&gt;=JI$28,JA4&lt;&gt;""),AND(JC4&gt;=JI$24,JC4&lt;&gt;"",JE4&gt;=JI$28,JE4&lt;&gt;""),AND(JF4&gt;=JI$24,JF4&lt;&gt;"",JH4&gt;=JI$28,JH4&lt;&gt;""),AND(KD4&gt;=KQ$24,KD4&lt;&gt;"",KF4&gt;=KQ$28,KF4&lt;&gt;""),AND(KG4&gt;=KQ$24,KG4&lt;&gt;"",KI4&gt;=KQ$28,KI4&lt;&gt;""),AND(KK4&gt;=KQ$24,KK4&lt;&gt;"",KM4&gt;=KQ$28,KM4&lt;&gt;""),AND(KN4&gt;=KQ$24,KN4&lt;&gt;"",KP4&gt;=KQ$28,KP4&lt;&gt;""),AND(LL4&gt;=LY$24,LL4&lt;&gt;"",LN4&gt;=LY$28,LN4&lt;&gt;""),AND(LO4&gt;=LY$24,LO4&lt;&gt;"",LQ4&gt;=LY$28,LQ4&lt;&gt;""),AND(LS4&gt;=LY$24,LS4&lt;&gt;"",LU4&gt;=LY$28,LU4&lt;&gt;""),AND(LV4&gt;=LY$24,LV4&lt;&gt;"",LX4&gt;=LY$28,LX4&lt;&gt;""),AND(MT4&gt;=NG$24,MT4&lt;&gt;"",MV4&gt;=NG$28,MV4&lt;&gt;""),AND(MW4&gt;=NG$24,MW4&lt;&gt;"",MY4&gt;=NG$28,MY4&lt;&gt;""),AND(NA4&gt;=NG$24,NA4&lt;&gt;"",NC4&gt;=NG$28,NC4&lt;&gt;""),AND(ND4&gt;=NG$24,ND4&lt;&gt;"",NF4&gt;=NG$28,NF4&lt;&gt;""),AND(OB4&gt;=OO$24,OB4&lt;&gt;"",OD4&gt;=OO$28,OD4&lt;&gt;""),AND(OE4&gt;=OO$24,OE4&lt;&gt;"",OG4&gt;=OO$28,OG4&lt;&gt;""),AND(OI4&gt;=OO$24,OI4&lt;&gt;"",OK4&gt;=OO$28,OK4&lt;&gt;""),AND(OL4&gt;=OO$24,OL4&lt;&gt;"",ON4&gt;=OO$28,ON4&lt;&gt;""),AND(PJ4&gt;=PW$24,PJ4&lt;&gt;"",PL4&gt;=PW$28,PL4&lt;&gt;""),AND(PM4&gt;=PW$24,PM4&lt;&gt;"",PO4&gt;=PW$28,PO4&lt;&gt;""),AND(PQ4&gt;=PW$24,PQ4&lt;&gt;"",PS4&gt;=PW$28,PS4&lt;&gt;""),AND(PT4&gt;=PW$24,PT4&lt;&gt;"",PV4&gt;=PW$28,PV4&lt;&gt;""),AND(QR4&gt;=RE$24,QR4&lt;&gt;"",QT4&gt;=RE$28,QT4&lt;&gt;""),AND(QU4&gt;=RE$24,QU4&lt;&gt;"",QW4&gt;=RE$28,QW4&lt;&gt;""),AND(QY4&gt;=RE$24,QY4&lt;&gt;"",RA4&gt;=RE$28,RA4&lt;&gt;""),AND(RB4&gt;=RE$24,RB4&lt;&gt;"",RD4&gt;=RE$28,RD4&lt;&gt;""),AND(RZ4&gt;=SM$24,RZ4&lt;&gt;"",SB4&gt;=SM$28,SB4&lt;&gt;""),AND(SC4&gt;=SM$24,SC4&lt;&gt;"",SE4&gt;=SM$28,SE4&lt;&gt;""),AND(SG4&gt;=SM$24,SG4&lt;&gt;"",SI4&gt;=SM$28,SI4&lt;&gt;""),AND(SJ4&gt;=SM$24,SJ4&lt;&gt;"",SL4&gt;=SM$28,SL4&lt;&gt;""),AND(TH4&gt;=TU$24,TH4&lt;&gt;"",TJ4&gt;=TU$28,TJ4&lt;&gt;""),AND(TK4&gt;=TU$24,TK4&lt;&gt;"",TM4&gt;=TU$28,TM4&lt;&gt;""),AND(TO4&gt;=TU$24,TO4&lt;&gt;"",TQ4&gt;=TU$28,TQ4&lt;&gt;""),AND(TR4&gt;=TU$24,TR4&lt;&gt;"",TT4&gt;=TU$28,TT4&lt;&gt;""),AND(UP4&gt;=VC$24,UP4&lt;&gt;"",UR4&gt;=VC$28,UR4&lt;&gt;""),AND(US4&gt;=VC$24,US4&lt;&gt;"",UU4&gt;=VC$28,UU4&lt;&gt;""),AND(UW4&gt;=VC$24,UW4&lt;&gt;"",UY4&gt;=VC$28,UY4&lt;&gt;""),AND(UZ4&gt;=VC$24,UZ4&lt;&gt;"",VB4&gt;=VC$28,VB4&lt;&gt;""),AND(VX4&gt;=WK$24,VX4&lt;&gt;"",VZ4&gt;=WK$28,VZ4&lt;&gt;""),AND(WA4&gt;=WK$24,WA4&lt;&gt;"",WC4&gt;=WK$28,WC4&lt;&gt;""),AND(WE4&gt;=WK$24,WE4&lt;&gt;"",WG4&gt;=WK$28,WG4&lt;&gt;""),AND(WH4&gt;=WK$24,WH4&lt;&gt;"",WJ4&gt;=WK$28,WJ4&lt;&gt;"")),"Merit",IF(OR(AND(AG4&gt;=AQ$23,AG4&lt;&gt;"",AI4&gt;=AQ$27,AI4&lt;&gt;"",AF4=""),AND(AJ4&gt;=AQ$23,AJ4&lt;&gt;"",AL4&gt;=AQ$27,AL4&lt;&gt;"",AF4=""),AND(AN4&gt;=AQ$23,AN4&lt;&gt;"",AP4&gt;=AQ$27,AP4&lt;&gt;"",AF4=""),AND(BH4&gt;=BR$23,BH4&lt;&gt;"",BJ4&gt;=BR$27,BJ4&lt;&gt;"",BG4=""),AND(BK4&gt;=BR$23,BK4&lt;&gt;"",BM4&gt;=BR$27,BM4&lt;&gt;"",BG4=""),AND(BO4&gt;=BR$23,BO4&lt;&gt;"",BQ4&gt;=BR$27,BQ4&lt;&gt;"",BG4=""),AND(CI4&gt;=CS$23,CI4&lt;&gt;"",CK4&gt;=CS$27,CK4&lt;&gt;"",CH4=""),AND(CL4&gt;=CS$23,CL4&lt;&gt;"",CN4&gt;=CS$27,CN4&lt;&gt;"",CH4=""),AND(CP4&gt;=CS$23,CP4&lt;&gt;"",CR4&gt;=CS$27,CR4&lt;&gt;"",CH4=""),AND(DP4&gt;=EC$23,DP4&lt;&gt;"",DR4&gt;=EC$27,DR4&lt;&gt;""),AND(DS4&gt;=EC$23,DS4&lt;&gt;"",DU4&gt;=EC$27,DU4&lt;&gt;""),AND(DW4&gt;=EC$23,DW4&lt;&gt;"",DY4&gt;=EC$27,DY4&lt;&gt;""),AND(DZ4&gt;=EC$23,DZ4&lt;&gt;"",EB4&gt;=EC$27,EB4&lt;&gt;""),AND(EX4&gt;=FK$23,EX4&lt;&gt;"",EZ4&gt;=FK$27,EZ4&lt;&gt;""),AND(FA4&gt;=FK$23,FA4&lt;&gt;"",FC4&gt;=FK$27,FC4&lt;&gt;""),AND(FE4&gt;=FK$23,FE4&lt;&gt;"",FG4&gt;=FK$27,FG4&lt;&gt;""),AND(FH4&gt;=FK$23,FH4&lt;&gt;"",FJ4&gt;=FK$27,FJ4&lt;&gt;""),AND(GF4&gt;=GS$23,GF4&lt;&gt;"",GH4&gt;=GS$27,GH4&lt;&gt;""),AND(GI4&gt;=GS$23,GI4&lt;&gt;"",GK4&gt;=GS$27,GK4&lt;&gt;""),AND(GM4&gt;=GS$23,GM4&lt;&gt;"",GO4&gt;=GS$27,GO4&lt;&gt;""),AND(GP4&gt;=GS$23,GP4&lt;&gt;"",GR4&gt;=GS$27,GR4&lt;&gt;""),AND(HN4&gt;=IA$23,HN4&lt;&gt;"",HP4&gt;=IA$27,HP4&lt;&gt;""),AND(HQ4&gt;=IA$23,HQ4&lt;&gt;"",HS4&gt;=IA$27,HS4&lt;&gt;""),AND(HU4&gt;=IA$23,HU4&lt;&gt;"",HW4&gt;=IA$27,HW4&lt;&gt;""),AND(HX4&gt;=IA$23,HX4&lt;&gt;"",HZ4&gt;=IA$27,HZ4&lt;&gt;""),AND(IV4&gt;=JI$23,IV4&lt;&gt;"",IX4&gt;=JI$27,IX4&lt;&gt;""),AND(IY4&gt;=JI$23,IY4&lt;&gt;"",JA4&gt;=JI$27,JA4&lt;&gt;""),AND(JC4&gt;=JI$23,JC4&lt;&gt;"",JE4&gt;=JI$27,JE4&lt;&gt;""),AND(JF4&gt;=JI$23,JF4&lt;&gt;"",JH4&gt;=JI$27,JH4&lt;&gt;""),AND(KD4&gt;=KQ$23,KD4&lt;&gt;"",KF4&gt;=KQ$27,KF4&lt;&gt;""),AND(KG4&gt;=KQ$23,KG4&lt;&gt;"",KI4&gt;=KQ$27,KI4&lt;&gt;""),AND(KK4&gt;=KQ$23,KK4&lt;&gt;"",KM4&gt;=KQ$27,KM4&lt;&gt;""),AND(KN4&gt;=KQ$23,KN4&lt;&gt;"",KP4&gt;=KQ$27,KP4&lt;&gt;""),AND(LL4&gt;=LY$23,LL4&lt;&gt;"",LN4&gt;=LY$27,LN4&lt;&gt;""),AND(LO4&gt;=LY$23,LO4&lt;&gt;"",LQ4&gt;=LY$27,LQ4&lt;&gt;""),AND(LS4&gt;=LY$23,LS4&lt;&gt;"",LU4&gt;=LY$27,LU4&lt;&gt;""),AND(LV4&gt;=LY$23,LV4&lt;&gt;"",LX4&gt;=LY$27,LX4&lt;&gt;""),AND(MT4&gt;=NG$23,MT4&lt;&gt;"",MV4&gt;=NG$27,MV4&lt;&gt;""),AND(MW4&gt;=NG$23,MW4&lt;&gt;"",MY4&gt;=NG$27,MY4&lt;&gt;""),AND(NA4&gt;=NG$23,NA4&lt;&gt;"",NC4&gt;=NG$27,NC4&lt;&gt;""),AND(ND4&gt;=NG$23,ND4&lt;&gt;"",NF4&gt;=NG$27,NF4&lt;&gt;""),AND(OB4&gt;=OO$23,OB4&lt;&gt;"",OD4&gt;=OO$27,OD4&lt;&gt;""),AND(OE4&gt;=OO$23,OE4&lt;&gt;"",OG4&gt;=OO$27,OG4&lt;&gt;""),AND(OI4&gt;=OO$23,OI4&lt;&gt;"",OK4&gt;=OO$27,OK4&lt;&gt;""),AND(OL4&gt;=OO$23,OL4&lt;&gt;"",ON4&gt;=OO$27,ON4&lt;&gt;""),AND(PJ4&gt;=PW$23,PJ4&lt;&gt;"",PL4&gt;=PW$27,PL4&lt;&gt;""),AND(PM4&gt;=PW$23,PM4&lt;&gt;"",PO4&gt;=PW$27,PO4&lt;&gt;""),AND(PQ4&gt;=PW$23,PQ4&lt;&gt;"",PS4&gt;=PW$27,PS4&lt;&gt;""),AND(PT4&gt;=PW$23,PT4&lt;&gt;"",PV4&gt;=PW$27,PV4&lt;&gt;""),AND(QR4&gt;=RE$23,QR4&lt;&gt;"",QT4&gt;=RE$27,QT4&lt;&gt;""),AND(QU4&gt;=RE$23,QU4&lt;&gt;"",QW4&gt;=RE$27,QW4&lt;&gt;""),AND(QY4&gt;=RE$23,QY4&lt;&gt;"",RA4&gt;=RE$27,RA4&lt;&gt;""),AND(RB4&gt;=RE$23,RB4&lt;&gt;"",RD4&gt;=RE$27,RD4&lt;&gt;""),AND(RZ4&gt;=SM$23,RZ4&lt;&gt;"",SB4&gt;=SM$27,SB4&lt;&gt;""),AND(SC4&gt;=SM$23,SC4&lt;&gt;"",SE4&gt;=SM$27,SE4&lt;&gt;""),AND(SG4&gt;=SM$23,SG4&lt;&gt;"",SI4&gt;=SM$27,SI4&lt;&gt;""),AND(SJ4&gt;=SM$23,SJ4&lt;&gt;"",SL4&gt;=SM$27,SL4&lt;&gt;""),AND(TH4&gt;=TU$23,TH4&lt;&gt;"",TJ4&gt;=TU$27,TJ4&lt;&gt;""),AND(TK4&gt;=TU$23,TK4&lt;&gt;"",TM4&gt;=TU$27,TM4&lt;&gt;""),AND(TO4&gt;=TU$23,TO4&lt;&gt;"",TQ4&gt;=TU$27,TQ4&lt;&gt;""),AND(TR4&gt;=TU$23,TR4&lt;&gt;"",TT4&gt;=TU$27,TT4&lt;&gt;""),AND(UP4&gt;=VC$23,UP4&lt;&gt;"",UR4&gt;=VC$27,UR4&lt;&gt;""),AND(US4&gt;=VC$23,US4&lt;&gt;"",UU4&gt;=VC$27,UU4&lt;&gt;""),AND(UW4&gt;=VC$23,UW4&lt;&gt;"",UY4&gt;=VC$27,UY4&lt;&gt;""),AND(UZ4&gt;=VC$23,UZ4&lt;&gt;"",VB4&gt;=VC$27,VB4&lt;&gt;""),AND(VX4&gt;=WK$23,VX4&lt;&gt;"",VZ4&gt;=WK$27,VZ4&lt;&gt;""),AND(WA4&gt;=WK$23,WA4&lt;&gt;"",WC4&gt;=WK$27,WC4&lt;&gt;""),AND(WE4&gt;=WK$23,WE4&lt;&gt;"",WG4&gt;=WK$27,WG4&lt;&gt;""),AND(WH4&gt;=WK$23,WH4&lt;&gt;"",WJ4&gt;=WK$27,WJ4&lt;&gt;"")),"Excellence",IF(I4="P","Worlds Team",IF(F4="P","National Team","")))))</f>
        <v>Excellence</v>
      </c>
      <c r="I4" s="3" t="str">
        <f t="shared" ref="I4:I18" si="4">IF(OR(AND(AG4&gt;=AQ$22,AG4&lt;&gt;"",AI4&gt;=AQ$26,AI4&lt;&gt;"",AF4=""),AND(AJ4&gt;=AQ$22,AJ4&lt;&gt;"",AL4&gt;=AQ$26,AL4&lt;&gt;"",AF4=""),AND(AN4&gt;=AQ$22,AN4&lt;&gt;"",AP4&gt;=AQ$26,AP4&lt;&gt;"",AF4=""),AND(BH4&gt;=BR$22,BH4&lt;&gt;"",BJ4&gt;=BR$26,BJ4&lt;&gt;"",BG4=""),AND(BK4&gt;=BR$22,BK4&lt;&gt;"",BM4&gt;=BR$26,BM4&lt;&gt;"",BG4=""),AND(BO4&gt;=BR$22,BO4&lt;&gt;"",BQ4&gt;=BR$26,BQ4&lt;&gt;"",BG4=""),AND(CI4&gt;=CS$22,CI4&lt;&gt;"",CK4&gt;=CS$26,CK4&lt;&gt;"",CH4=""),AND(CL4&gt;=CS$22,CL4&lt;&gt;"",CN4&gt;=CS$26,CN4&lt;&gt;"",CH4=""),AND(CP4&gt;=CS$22,CP4&lt;&gt;"",CR4&gt;=CS$26,CR4&lt;&gt;"",CH4=""),AND(DP4&gt;=EC$22,DP4&lt;&gt;"",DR4&gt;=EC$26,DR4&lt;&gt;""),AND(DS4&gt;=EC$22,DS4&lt;&gt;"",DU4&gt;=EC$26,DU4&lt;&gt;""),AND(DW4&gt;=EC$22,DW4&lt;&gt;"",DY4&gt;=EC$26,DY4&lt;&gt;""),AND(DZ4&gt;=EC$22,DZ4&lt;&gt;"",EB4&gt;=EC$26,EB4&lt;&gt;""),AND(EX4&gt;=FK$22,EX4&lt;&gt;"",EZ4&gt;=FK$26,EZ4&lt;&gt;""),AND(FA4&gt;=FK$22,FA4&lt;&gt;"",FC4&gt;=FK$26,FC4&lt;&gt;""),AND(FE4&gt;=FK$22,FE4&lt;&gt;"",FG4&gt;=FK$26,FG4&lt;&gt;""),AND(FH4&gt;=FK$22,FH4&lt;&gt;"",FJ4&gt;=FK$26,FJ4&lt;&gt;""),AND(GF4&gt;=GS$22,GF4&lt;&gt;"",GH4&gt;=GS$26,GH4&lt;&gt;""),AND(GI4&gt;=GS$22,GI4&lt;&gt;"",GK4&gt;=GS$26,GK4&lt;&gt;""),AND(GM4&gt;=GS$22,GM4&lt;&gt;"",GO4&gt;=GS$26,GO4&lt;&gt;""),AND(GP4&gt;=GS$22,GP4&lt;&gt;"",GR4&gt;=GS$26,GR4&lt;&gt;""),AND(HN4&gt;=IA$22,HN4&lt;&gt;"",HP4&gt;=IA$26,HP4&lt;&gt;""),AND(HQ4&gt;=IA$22,HQ4&lt;&gt;"",HS4&gt;=IA$26,HS4&lt;&gt;""),AND(HU4&gt;=IA$22,HU4&lt;&gt;"",HW4&gt;=IA$26,HW4&lt;&gt;""),AND(HX4&gt;=IA$22,HX4&lt;&gt;"",HZ4&gt;=IA$26,HZ4&lt;&gt;""),AND(IV4&gt;=JI$22,IV4&lt;&gt;"",IX4&gt;=JI$26,IX4&lt;&gt;""),AND(IY4&gt;=JI$22,IY4&lt;&gt;"",JA4&gt;=JI$26,JA4&lt;&gt;""),AND(JC4&gt;=JI$22,JC4&lt;&gt;"",JE4&gt;=JI$26,JE4&lt;&gt;""),AND(JF4&gt;=JI$22,JF4&lt;&gt;"",JH4&gt;=JI$26,JH4&lt;&gt;""),AND(KD4&gt;=KQ$22,KD4&lt;&gt;"",KF4&gt;=KQ$26,KF4&lt;&gt;""),AND(KG4&gt;=KQ$22,KG4&lt;&gt;"",KI4&gt;=KQ$26,KI4&lt;&gt;""),AND(KK4&gt;=KQ$22,KK4&lt;&gt;"",KM4&gt;=KQ$26,KM4&lt;&gt;""),AND(KN4&gt;=KQ$22,KN4&lt;&gt;"",KP4&gt;=KQ$26,KP4&lt;&gt;""),AND(LL4&gt;=LY$22,LL4&lt;&gt;"",LN4&gt;=LY$26,LN4&lt;&gt;""),AND(LO4&gt;=LY$22,LO4&lt;&gt;"",LQ4&gt;=LY$26,LQ4&lt;&gt;""),AND(LS4&gt;=LY$22,LS4&lt;&gt;"",LU4&gt;=LY$26,LU4&lt;&gt;""),AND(LV4&gt;=LY$22,LV4&lt;&gt;"",LX4&gt;=LY$26,LX4&lt;&gt;""),AND(MT4&gt;=NG$22,MT4&lt;&gt;"",MV4&gt;=NG$26,MV4&lt;&gt;""),AND(MW4&gt;=NG$22,MW4&lt;&gt;"",MY4&gt;=NG$26,MY4&lt;&gt;""),AND(NA4&gt;=NG$22,NA4&lt;&gt;"",NC4&gt;=NG$26,NC4&lt;&gt;""),AND(ND4&gt;=NG$22,ND4&lt;&gt;"",NF4&gt;=NG$26,NF4&lt;&gt;""),AND(OB4&gt;=OO$22,OB4&lt;&gt;"",OD4&gt;=OO$26,OD4&lt;&gt;""),AND(OE4&gt;=OO$22,OE4&lt;&gt;"",OG4&gt;=OO$26,OG4&lt;&gt;""),AND(OI4&gt;=OO$22,OI4&lt;&gt;"",OK4&gt;=OO$26,OK4&lt;&gt;""),AND(OL4&gt;=OO$22,OL4&lt;&gt;"",ON4&gt;=OO$26,ON4&lt;&gt;""),AND(PJ4&gt;=PW$22,PJ4&lt;&gt;"",PL4&gt;=PW$26,PL4&lt;&gt;""),AND(PM4&gt;=PW$22,PM4&lt;&gt;"",PO4&gt;=PW$26,PO4&lt;&gt;""),AND(PQ4&gt;=PW$22,PQ4&lt;&gt;"",PS4&gt;=PW$26,PS4&lt;&gt;""),AND(PT4&gt;=PW$22,PT4&lt;&gt;"",PV4&gt;=PW$26,PV4&lt;&gt;""),AND(QR4&gt;=RE$22,QR4&lt;&gt;"",QT4&gt;=RE$26,QT4&lt;&gt;""),AND(QU4&gt;=RE$22,QU4&lt;&gt;"",QW4&gt;=RE$26,QW4&lt;&gt;""),AND(QY4&gt;=RE$22,QY4&lt;&gt;"",RA4&gt;=RE$26,RA4&lt;&gt;""),AND(RB4&gt;=RE$22,RB4&lt;&gt;"",RD4&gt;=RE$26,RD4&lt;&gt;""),AND(RZ4&gt;=SM$22,RZ4&lt;&gt;"",SB4&gt;=SM$26,SB4&lt;&gt;""),AND(SC4&gt;=SM$22,SC4&lt;&gt;"",SE4&gt;=SM$26,SE4&lt;&gt;""),AND(SG4&gt;=SM$22,SG4&lt;&gt;"",SI4&gt;=SM$26,SI4&lt;&gt;""),AND(SJ4&gt;=SM$22,SJ4&lt;&gt;"",SL4&gt;=SM$26,SL4&lt;&gt;""),AND(TH4&gt;=TU$22,TH4&lt;&gt;"",TJ4&gt;=TU$26,TJ4&lt;&gt;""),AND(TK4&gt;=TU$22,TK4&lt;&gt;"",TM4&gt;=TU$26,TM4&lt;&gt;""),AND(TO4&gt;=TU$22,TO4&lt;&gt;"",TQ4&gt;=TU$26,TQ4&lt;&gt;""),AND(TR4&gt;=TU$22,TR4&lt;&gt;"",TT4&gt;=TU$26,TT4&lt;&gt;""),AND(UP4&gt;=VC$22,UP4&lt;&gt;"",UR4&gt;=VC$26,UR4&lt;&gt;""),AND(US4&gt;=VC$22,US4&lt;&gt;"",UU4&gt;=VC$26,UU4&lt;&gt;""),AND(UW4&gt;=VC$22,UW4&lt;&gt;"",UY4&gt;=VC$26,UY4&lt;&gt;""),AND(UZ4&gt;=VC$22,UZ4&lt;&gt;"",VB4&gt;=VC$26,VB4&lt;&gt;""),AND(VX4&gt;=WK$22,VX4&lt;&gt;"",VZ4&gt;=WK$26,VZ4&lt;&gt;""),AND(WA4&gt;=WK$22,WA4&lt;&gt;"",WC4&gt;=WK$26,WC4&lt;&gt;""),AND(WE4&gt;=WK$22,WE4&lt;&gt;"",WG4&gt;=WK$26,WG4&lt;&gt;""),AND(WH4&gt;=WK$22,WH4&lt;&gt;"",WJ4&gt;=WK$26,WJ4&lt;&gt;"")),"P","")</f>
        <v>P</v>
      </c>
      <c r="J4" s="8">
        <f>IF(COUNT(AI4,AL4,AP4,BJ4,BM4,BQ4,CK4,CN4,CR4)&gt;0,LARGE((AI4,AL4,AP4,BJ4,BM4,BQ4,CK4,CN4,CR4),1),0)</f>
        <v>50.02</v>
      </c>
      <c r="K4" s="8" t="str">
        <f t="shared" ref="K4:K18" si="5">IF(J4="","",IF(OR(J4=CK4,J4=CN4,J4=CR4),$BS$1,IF(OR(J4=BJ4,J4=BM4,J4=BQ4),$AR$1,IF(OR(J4=AI4,J4=AL4,J4=AP4),$Q$1,""))))</f>
        <v>2024 Nationals</v>
      </c>
      <c r="L4" s="8">
        <f>IF(COUNT(AI4,AL4,AP4,BJ4,BM4,BQ4,CK4,CN4,CR4)&gt;1,LARGE((AI4,AL4,AP4,BJ4,BM4,BQ4,CK4,CN4,CR4),2),0)</f>
        <v>48.150000000000006</v>
      </c>
      <c r="M4" s="8" t="str">
        <f t="shared" ref="M4:M18" si="6">IF(L4="","",IF(OR(L4=CK4,L4=CN4,L4=CR4),$BS$1,IF(OR(L4=BJ4,L4=BM4,L4=BQ4),$AR$1,IF(OR(L4=AI4,L4=AL4,L4=AP4),$Q$1,""))))</f>
        <v>2024 Nationals</v>
      </c>
      <c r="N4" s="8">
        <f t="shared" ref="N4:N18" si="7">IF(MAX(CT4,CU4)&gt;0,MAX(CT4,CU4),"")</f>
        <v>2.3399999999999963</v>
      </c>
      <c r="O4" s="11" t="str">
        <f t="shared" ref="O4:O18" si="8">IF(N4="","",IF(N4=CT4,"("&amp;CT$2&amp;")",IF(N4=CU4,"("&amp;CU$2&amp;")")))</f>
        <v>(Final)</v>
      </c>
      <c r="P4" s="8" t="str">
        <f t="shared" ref="P4:P18" si="9"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>2024 World Cup SUI (Jun 29)</v>
      </c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7"/>
      <c r="AG4" s="38" t="str">
        <f t="shared" ref="AG4:AG18" si="10">IF(S4&gt;0,S4,"")</f>
        <v/>
      </c>
      <c r="AH4" s="38" t="str">
        <f t="shared" ref="AH4:AH18" si="11">IF(T4&gt;0,T4,"")</f>
        <v/>
      </c>
      <c r="AI4" s="40" t="str">
        <f t="shared" ref="AI4:AI18" si="12">IF(SUM(Q4:T4)-U4&gt;0,SUM(Q4:T4)-U4,"")</f>
        <v/>
      </c>
      <c r="AJ4" s="40" t="str">
        <f t="shared" ref="AJ4:AJ18" si="13">IF(X4&gt;0,X4,"")</f>
        <v/>
      </c>
      <c r="AK4" s="40" t="str">
        <f t="shared" ref="AK4:AK18" si="14">IF(Y4&gt;0,Y4,"")</f>
        <v/>
      </c>
      <c r="AL4" s="40" t="str">
        <f t="shared" ref="AL4:AL18" si="15">IF(SUM(V4:Y4)-Z4&gt;0,SUM(V4:Y4)-Z4,"")</f>
        <v/>
      </c>
      <c r="AM4" s="40" t="str">
        <f t="shared" ref="AM4:AM18" si="16">IF(AI4="","",MAX(AI4,AL4))</f>
        <v/>
      </c>
      <c r="AN4" s="40" t="str">
        <f t="shared" ref="AN4:AN18" si="17">IF(AC4&gt;0,AC4,"")</f>
        <v/>
      </c>
      <c r="AO4" s="40" t="str">
        <f t="shared" ref="AO4:AO18" si="18">IF(AD4&gt;0,AD4,"")</f>
        <v/>
      </c>
      <c r="AP4" s="40" t="str">
        <f t="shared" ref="AP4:AP18" si="19">IF(SUM(AA4:AD4)-AE4&gt;0,SUM(AA4:AD4)-AE4,"")</f>
        <v/>
      </c>
      <c r="AQ4" s="40" t="str">
        <f t="shared" ref="AQ4:AQ18" si="20">IF(SUM(AM4,AP4)&gt;0,SUM(AM4,AP4),"")</f>
        <v/>
      </c>
      <c r="AR4" s="26">
        <v>8.5</v>
      </c>
      <c r="AS4" s="26">
        <v>9.1999999999999993</v>
      </c>
      <c r="AT4" s="26">
        <v>14.6</v>
      </c>
      <c r="AU4" s="26">
        <v>18.12</v>
      </c>
      <c r="AV4" s="26">
        <v>0.4</v>
      </c>
      <c r="AW4" s="26">
        <v>2.35</v>
      </c>
      <c r="AX4" s="26">
        <v>2.8</v>
      </c>
      <c r="AY4" s="26">
        <v>5.5</v>
      </c>
      <c r="AZ4" s="26">
        <v>5.2</v>
      </c>
      <c r="BA4" s="26">
        <v>0</v>
      </c>
      <c r="BB4" s="26">
        <v>8.15</v>
      </c>
      <c r="BC4" s="26">
        <v>9.3000000000000007</v>
      </c>
      <c r="BD4" s="26">
        <v>14.6</v>
      </c>
      <c r="BE4" s="26">
        <v>16.100000000000001</v>
      </c>
      <c r="BF4" s="26">
        <v>0</v>
      </c>
      <c r="BG4" s="28"/>
      <c r="BH4" s="39">
        <f t="shared" ref="BH4:BH18" si="21">IF(AT4&gt;0,AT4,"")</f>
        <v>14.6</v>
      </c>
      <c r="BI4" s="39">
        <f t="shared" ref="BI4:BI18" si="22">IF(AU4&gt;0,AU4,"")</f>
        <v>18.12</v>
      </c>
      <c r="BJ4" s="11">
        <f t="shared" ref="BJ4:BJ18" si="23">IF(SUM(AR4:AU4)-AV4&gt;0,SUM(AR4:AU4)-AV4,"")</f>
        <v>50.02</v>
      </c>
      <c r="BK4" s="11">
        <f t="shared" ref="BK4:BK18" si="24">IF(AY4&gt;0,AY4,"")</f>
        <v>5.5</v>
      </c>
      <c r="BL4" s="11">
        <f t="shared" ref="BL4:BL18" si="25">IF(AZ4&gt;0,AZ4,"")</f>
        <v>5.2</v>
      </c>
      <c r="BM4" s="11">
        <f t="shared" ref="BM4:BM18" si="26">IF(SUM(AW4:AZ4)-BA4&gt;0,SUM(AW4:AZ4)-BA4,"")</f>
        <v>15.850000000000001</v>
      </c>
      <c r="BN4" s="11">
        <f t="shared" ref="BN4:BN18" si="27">IF(BJ4="","",MAX(BJ4,BM4))</f>
        <v>50.02</v>
      </c>
      <c r="BO4" s="11">
        <f t="shared" ref="BO4:BO18" si="28">IF(BD4&gt;0,BD4,"")</f>
        <v>14.6</v>
      </c>
      <c r="BP4" s="11">
        <f t="shared" ref="BP4:BP18" si="29">IF(BE4&gt;0,BE4,"")</f>
        <v>16.100000000000001</v>
      </c>
      <c r="BQ4" s="11">
        <f t="shared" ref="BQ4:BQ18" si="30">IF(SUM(BB4:BE4)-BF4&gt;0,SUM(BB4:BE4)-BF4,"")</f>
        <v>48.150000000000006</v>
      </c>
      <c r="BR4" s="11">
        <f t="shared" ref="BR4:BR18" si="31">IF(SUM(BN4,BQ4)&gt;0,SUM(BN4,BQ4),"")</f>
        <v>98.170000000000016</v>
      </c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7"/>
      <c r="CI4" s="38" t="str">
        <f t="shared" ref="CI4:CI18" si="32">IF(BU4&gt;0,BU4,"")</f>
        <v/>
      </c>
      <c r="CJ4" s="38" t="str">
        <f t="shared" ref="CJ4:CJ18" si="33">IF(BV4&gt;0,BV4,"")</f>
        <v/>
      </c>
      <c r="CK4" s="40" t="str">
        <f t="shared" ref="CK4:CK18" si="34">IF(SUM(BS4:BV4)-BW4&gt;0,SUM(BS4:BV4)-BW4,"")</f>
        <v/>
      </c>
      <c r="CL4" s="40" t="str">
        <f t="shared" ref="CL4:CL18" si="35">IF(BZ4&gt;0,BZ4,"")</f>
        <v/>
      </c>
      <c r="CM4" s="40" t="str">
        <f t="shared" ref="CM4:CM18" si="36">IF(CA4&gt;0,CA4,"")</f>
        <v/>
      </c>
      <c r="CN4" s="40" t="str">
        <f t="shared" ref="CN4:CN18" si="37">IF(SUM(BX4:CA4)-CB4&gt;0,SUM(BX4:CA4)-CB4,"")</f>
        <v/>
      </c>
      <c r="CO4" s="40" t="str">
        <f t="shared" ref="CO4:CO18" si="38">IF(CK4="","",MAX(CK4,CN4))</f>
        <v/>
      </c>
      <c r="CP4" s="40" t="str">
        <f t="shared" ref="CP4:CP18" si="39">IF(CE4&gt;0,CE4,"")</f>
        <v/>
      </c>
      <c r="CQ4" s="40" t="str">
        <f t="shared" ref="CQ4:CQ18" si="40">IF(CF4&gt;0,CF4,"")</f>
        <v/>
      </c>
      <c r="CR4" s="40" t="str">
        <f t="shared" ref="CR4:CR18" si="41">IF(SUM(CC4:CF4)-CG4&gt;0,SUM(CC4:CF4)-CG4,"")</f>
        <v/>
      </c>
      <c r="CS4" s="40" t="str">
        <f t="shared" ref="CS4:CS18" si="42">IF(SUM(CO4,CR4)&gt;0,SUM(CO4,CR4),"")</f>
        <v/>
      </c>
      <c r="CT4" s="51">
        <f t="shared" ref="CT4:CT18" si="43">IF(MAX(DV4,FD4,GL4,HT4,JB4,KJ4,LR4,MZ4,OH4,PP4,QX4,SF4,TN4,UV4,WD4)-IF(L4="",0,L4)&gt;0.001,MAX(DV4,FD4,GL4,HT4,JB4,KJ4,LR4,MZ4,OH4,PP4,QX4,SF4,TN4,UV4,WD4)-IF(L4="",0,L4),"")</f>
        <v>2.1399999999999935</v>
      </c>
      <c r="CU4" s="51">
        <f t="shared" ref="CU4:CU18" si="44"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>2.3399999999999963</v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0" t="str">
        <f t="shared" ref="DP4:DP18" si="45">IF(CX4&gt;0,CX4,"")</f>
        <v/>
      </c>
      <c r="DQ4" s="40" t="str">
        <f t="shared" ref="DQ4:DQ18" si="46">IF(CY4&gt;0,CY4,"")</f>
        <v/>
      </c>
      <c r="DR4" s="40" t="str">
        <f t="shared" ref="DR4:DR18" si="47">IF(SUM(CV4:CY4)-CZ4&gt;0,SUM(CV4:CY4)-CZ4,"")</f>
        <v/>
      </c>
      <c r="DS4" s="40" t="str">
        <f t="shared" ref="DS4:DS18" si="48">IF(DC4&gt;0,DC4,"")</f>
        <v/>
      </c>
      <c r="DT4" s="40" t="str">
        <f t="shared" ref="DT4:DT18" si="49">IF(DD4&gt;0,DD4,"")</f>
        <v/>
      </c>
      <c r="DU4" s="40" t="str">
        <f t="shared" ref="DU4:DU18" si="50">IF(SUM(DA4:DD4)-DE4&gt;0,SUM(DA4:DD4)-DE4,"")</f>
        <v/>
      </c>
      <c r="DV4" s="40" t="str">
        <f t="shared" ref="DV4:DV18" si="51">IF(MAX(DR4,DU4)&gt;0,MAX(DR4,DU4),"")</f>
        <v/>
      </c>
      <c r="DW4" s="40" t="str">
        <f t="shared" ref="DW4:DW18" si="52">IF(DH4&gt;0,DH4,"")</f>
        <v/>
      </c>
      <c r="DX4" s="40" t="str">
        <f t="shared" ref="DX4:DX18" si="53">IF(DI4&gt;0,DI4,"")</f>
        <v/>
      </c>
      <c r="DY4" s="40" t="str">
        <f t="shared" ref="DY4:DY18" si="54">IF(SUM(DF4:DI4)-DJ4&gt;0,SUM(DF4:DI4)-DJ4,"")</f>
        <v/>
      </c>
      <c r="DZ4" s="40" t="str">
        <f t="shared" ref="DZ4:DZ18" si="55">IF(DM4&gt;0,DM4,"")</f>
        <v/>
      </c>
      <c r="EA4" s="40" t="str">
        <f t="shared" ref="EA4:EA18" si="56">IF(DN4&gt;0,DN4,"")</f>
        <v/>
      </c>
      <c r="EB4" s="40" t="str">
        <f t="shared" ref="EB4:EB18" si="57">IF(SUM(DK4:DN4)-DO4&gt;0,SUM(DK4:DN4)-DO4,"")</f>
        <v/>
      </c>
      <c r="EC4" s="40" t="str">
        <f t="shared" ref="EC4:EC18" si="58">IF(SUM(DV4,EB4)&gt;0,SUM(DV4,EB4),"")</f>
        <v/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 t="shared" ref="EX4:EX18" si="59">IF(EF4&gt;0,EF4,"")</f>
        <v/>
      </c>
      <c r="EY4" s="11" t="str">
        <f t="shared" ref="EY4:EY18" si="60">IF(EG4&gt;0,EG4,"")</f>
        <v/>
      </c>
      <c r="EZ4" s="11" t="str">
        <f t="shared" ref="EZ4:EZ18" si="61">IF(SUM(ED4:EG4)-EH4&gt;0,SUM(ED4:EG4)-EH4,"")</f>
        <v/>
      </c>
      <c r="FA4" s="11" t="str">
        <f t="shared" ref="FA4:FA18" si="62">IF(EK4&gt;0,EK4,"")</f>
        <v/>
      </c>
      <c r="FB4" s="11" t="str">
        <f t="shared" ref="FB4:FB18" si="63">IF(EL4&gt;0,EL4,"")</f>
        <v/>
      </c>
      <c r="FC4" s="11" t="str">
        <f t="shared" ref="FC4:FC18" si="64">IF(SUM(EI4:EL4)-EM4&gt;0,SUM(EI4:EL4)-EM4,"")</f>
        <v/>
      </c>
      <c r="FD4" s="11" t="str">
        <f t="shared" ref="FD4:FD18" si="65">IF(MAX(EZ4,FC4)&gt;0,MAX(EZ4,FC4),"")</f>
        <v/>
      </c>
      <c r="FE4" s="11" t="str">
        <f t="shared" ref="FE4:FE18" si="66">IF(EP4&gt;0,EP4,"")</f>
        <v/>
      </c>
      <c r="FF4" s="11" t="str">
        <f t="shared" ref="FF4:FF18" si="67">IF(EQ4&gt;0,EQ4,"")</f>
        <v/>
      </c>
      <c r="FG4" s="11" t="str">
        <f t="shared" ref="FG4:FG18" si="68">IF(SUM(EN4:EQ4)-ER4&gt;0,SUM(EN4:EQ4)-ER4,"")</f>
        <v/>
      </c>
      <c r="FH4" s="11" t="str">
        <f t="shared" ref="FH4:FH18" si="69">IF(EU4&gt;0,EU4,"")</f>
        <v/>
      </c>
      <c r="FI4" s="11" t="str">
        <f t="shared" ref="FI4:FI18" si="70">IF(EV4&gt;0,EV4,"")</f>
        <v/>
      </c>
      <c r="FJ4" s="11" t="str">
        <f t="shared" ref="FJ4:FJ18" si="71">IF(SUM(ES4:EV4)-EW4&gt;0,SUM(ES4:EV4)-EW4,"")</f>
        <v/>
      </c>
      <c r="FK4" s="11" t="str">
        <f t="shared" ref="FK4:FK18" si="72">IF(SUM(FD4,FJ4)&gt;0,SUM(FD4,FJ4),"")</f>
        <v/>
      </c>
      <c r="FL4" s="17">
        <v>7.6</v>
      </c>
      <c r="FM4" s="17">
        <v>8.9499999999999993</v>
      </c>
      <c r="FN4" s="17">
        <v>15.6</v>
      </c>
      <c r="FO4" s="17">
        <v>18.14</v>
      </c>
      <c r="FP4" s="17">
        <v>0</v>
      </c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>
        <v>7.75</v>
      </c>
      <c r="GB4" s="17">
        <v>9.1</v>
      </c>
      <c r="GC4" s="17">
        <v>15.6</v>
      </c>
      <c r="GD4" s="17">
        <v>18.04</v>
      </c>
      <c r="GE4" s="17">
        <v>0</v>
      </c>
      <c r="GF4" s="40">
        <f t="shared" ref="GF4:GF18" si="73">IF(FN4&gt;0,FN4,"")</f>
        <v>15.6</v>
      </c>
      <c r="GG4" s="40">
        <f t="shared" ref="GG4:GG18" si="74">IF(FO4&gt;0,FO4,"")</f>
        <v>18.14</v>
      </c>
      <c r="GH4" s="40">
        <f t="shared" ref="GH4:GH18" si="75">IF(SUM(FL4:FO4)-FP4&gt;0,SUM(FL4:FO4)-FP4,"")</f>
        <v>50.29</v>
      </c>
      <c r="GI4" s="40" t="str">
        <f t="shared" ref="GI4:GI18" si="76">IF(FS4&gt;0,FS4,"")</f>
        <v/>
      </c>
      <c r="GJ4" s="40" t="str">
        <f t="shared" ref="GJ4:GJ18" si="77">IF(FT4&gt;0,FT4,"")</f>
        <v/>
      </c>
      <c r="GK4" s="40" t="str">
        <f t="shared" ref="GK4:GK18" si="78">IF(SUM(FQ4:FT4)-FU4&gt;0,SUM(FQ4:FT4)-FU4,"")</f>
        <v/>
      </c>
      <c r="GL4" s="40">
        <f t="shared" ref="GL4:GL18" si="79">IF(MAX(GH4,GK4)&gt;0,MAX(GH4,GK4),"")</f>
        <v>50.29</v>
      </c>
      <c r="GM4" s="40" t="str">
        <f t="shared" ref="GM4:GM18" si="80">IF(FX4&gt;0,FX4,"")</f>
        <v/>
      </c>
      <c r="GN4" s="40" t="str">
        <f t="shared" ref="GN4:GN18" si="81">IF(FY4&gt;0,FY4,"")</f>
        <v/>
      </c>
      <c r="GO4" s="40" t="str">
        <f t="shared" ref="GO4:GO18" si="82">IF(SUM(FV4:FY4)-FZ4&gt;0,SUM(FV4:FY4)-FZ4,"")</f>
        <v/>
      </c>
      <c r="GP4" s="40">
        <f t="shared" ref="GP4:GP18" si="83">IF(GC4&gt;0,GC4,"")</f>
        <v>15.6</v>
      </c>
      <c r="GQ4" s="40">
        <f t="shared" ref="GQ4:GQ18" si="84">IF(GD4&gt;0,GD4,"")</f>
        <v>18.04</v>
      </c>
      <c r="GR4" s="40">
        <f t="shared" ref="GR4:GR18" si="85">IF(SUM(GA4:GD4)-GE4&gt;0,SUM(GA4:GD4)-GE4,"")</f>
        <v>50.49</v>
      </c>
      <c r="GS4" s="40">
        <f t="shared" ref="GS4:GS18" si="86">IF(SUM(GL4,GR4)&gt;0,SUM(GL4,GR4),"")</f>
        <v>100.78</v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 t="shared" ref="HN4:HN18" si="87">IF(GV4&gt;0,GV4,"")</f>
        <v/>
      </c>
      <c r="HO4" s="11" t="str">
        <f t="shared" ref="HO4:HO18" si="88">IF(GW4&gt;0,GW4,"")</f>
        <v/>
      </c>
      <c r="HP4" s="11" t="str">
        <f t="shared" ref="HP4:HP18" si="89">IF(SUM(GT4:GW4)-GX4&gt;0,SUM(GT4:GW4)-GX4,"")</f>
        <v/>
      </c>
      <c r="HQ4" s="11" t="str">
        <f t="shared" ref="HQ4:HQ18" si="90">IF(HA4&gt;0,HA4,"")</f>
        <v/>
      </c>
      <c r="HR4" s="11" t="str">
        <f t="shared" ref="HR4:HR18" si="91">IF(HB4&gt;0,HB4,"")</f>
        <v/>
      </c>
      <c r="HS4" s="11" t="str">
        <f t="shared" ref="HS4:HS18" si="92">IF(SUM(GY4:HB4)-HC4&gt;0,SUM(GY4:HB4)-HC4,"")</f>
        <v/>
      </c>
      <c r="HT4" s="11" t="str">
        <f t="shared" ref="HT4:HT18" si="93">IF(MAX(HP4,HS4)&gt;0,MAX(HP4,HS4),"")</f>
        <v/>
      </c>
      <c r="HU4" s="11" t="str">
        <f t="shared" ref="HU4:HU18" si="94">IF(HF4&gt;0,HF4,"")</f>
        <v/>
      </c>
      <c r="HV4" s="11" t="str">
        <f t="shared" ref="HV4:HV18" si="95">IF(HG4&gt;0,HG4,"")</f>
        <v/>
      </c>
      <c r="HW4" s="11" t="str">
        <f t="shared" ref="HW4:HW18" si="96">IF(SUM(HD4:HG4)-HH4&gt;0,SUM(HD4:HG4)-HH4,"")</f>
        <v/>
      </c>
      <c r="HX4" s="11" t="str">
        <f t="shared" ref="HX4:HX18" si="97">IF(HK4&gt;0,HK4,"")</f>
        <v/>
      </c>
      <c r="HY4" s="11" t="str">
        <f t="shared" ref="HY4:HY18" si="98">IF(HL4&gt;0,HL4,"")</f>
        <v/>
      </c>
      <c r="HZ4" s="11" t="str">
        <f t="shared" ref="HZ4:HZ18" si="99">IF(SUM(HI4:HL4)-HM4&gt;0,SUM(HI4:HL4)-HM4,"")</f>
        <v/>
      </c>
      <c r="IA4" s="11" t="str">
        <f t="shared" ref="IA4:IA18" si="100">IF(SUM(HT4,HZ4)&gt;0,SUM(HT4,HZ4),"")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0" t="str">
        <f t="shared" ref="IV4:IV18" si="101">IF(ID4&gt;0,ID4,"")</f>
        <v/>
      </c>
      <c r="IW4" s="40" t="str">
        <f t="shared" ref="IW4:IW18" si="102">IF(IE4&gt;0,IE4,"")</f>
        <v/>
      </c>
      <c r="IX4" s="40" t="str">
        <f t="shared" ref="IX4:IX18" si="103">IF(SUM(IB4:IE4)-IF4&gt;0,SUM(IB4:IE4)-IF4,"")</f>
        <v/>
      </c>
      <c r="IY4" s="40" t="str">
        <f t="shared" ref="IY4:IY18" si="104">IF(II4&gt;0,II4,"")</f>
        <v/>
      </c>
      <c r="IZ4" s="40" t="str">
        <f t="shared" ref="IZ4:IZ18" si="105">IF(IJ4&gt;0,IJ4,"")</f>
        <v/>
      </c>
      <c r="JA4" s="40" t="str">
        <f t="shared" ref="JA4:JA18" si="106">IF(SUM(IG4:IJ4)-IK4&gt;0,SUM(IG4:IJ4)-IK4,"")</f>
        <v/>
      </c>
      <c r="JB4" s="40" t="str">
        <f t="shared" ref="JB4:JB18" si="107">IF(MAX(IX4,JA4)&gt;0,MAX(IX4,JA4),"")</f>
        <v/>
      </c>
      <c r="JC4" s="40" t="str">
        <f t="shared" ref="JC4:JC18" si="108">IF(IN4&gt;0,IN4,"")</f>
        <v/>
      </c>
      <c r="JD4" s="40" t="str">
        <f t="shared" ref="JD4:JD18" si="109">IF(IO4&gt;0,IO4,"")</f>
        <v/>
      </c>
      <c r="JE4" s="40" t="str">
        <f t="shared" ref="JE4:JE18" si="110">IF(SUM(IL4:IO4)-IP4&gt;0,SUM(IL4:IO4)-IP4,"")</f>
        <v/>
      </c>
      <c r="JF4" s="40" t="str">
        <f t="shared" ref="JF4:JF18" si="111">IF(IS4&gt;0,IS4,"")</f>
        <v/>
      </c>
      <c r="JG4" s="40" t="str">
        <f t="shared" ref="JG4:JG18" si="112">IF(IT4&gt;0,IT4,"")</f>
        <v/>
      </c>
      <c r="JH4" s="40" t="str">
        <f t="shared" ref="JH4:JH18" si="113">IF(SUM(IQ4:IT4)-IU4&gt;0,SUM(IQ4:IT4)-IU4,"")</f>
        <v/>
      </c>
      <c r="JI4" s="40" t="str">
        <f t="shared" ref="JI4:JI18" si="114">IF(SUM(JB4,JH4)&gt;0,SUM(JB4,JH4),"")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 t="shared" ref="KD4:KD18" si="115">IF(JL4&gt;0,JL4,"")</f>
        <v/>
      </c>
      <c r="KE4" s="11" t="str">
        <f t="shared" ref="KE4:KE18" si="116">IF(JM4&gt;0,JM4,"")</f>
        <v/>
      </c>
      <c r="KF4" s="11" t="str">
        <f t="shared" ref="KF4:KF18" si="117">IF(SUM(JJ4:JM4)-JN4&gt;0,SUM(JJ4:JM4)-JN4,"")</f>
        <v/>
      </c>
      <c r="KG4" s="11" t="str">
        <f t="shared" ref="KG4:KG18" si="118">IF(JQ4&gt;0,JQ4,"")</f>
        <v/>
      </c>
      <c r="KH4" s="11" t="str">
        <f t="shared" ref="KH4:KH18" si="119">IF(JR4&gt;0,JR4,"")</f>
        <v/>
      </c>
      <c r="KI4" s="11" t="str">
        <f t="shared" ref="KI4:KI18" si="120">IF(SUM(JO4:JR4)-JS4&gt;0,SUM(JO4:JR4)-JS4,"")</f>
        <v/>
      </c>
      <c r="KJ4" s="11" t="str">
        <f t="shared" ref="KJ4:KJ18" si="121">IF(MAX(KF4,KI4)&gt;0,MAX(KF4,KI4),"")</f>
        <v/>
      </c>
      <c r="KK4" s="11" t="str">
        <f t="shared" ref="KK4:KK18" si="122">IF(JV4&gt;0,JV4,"")</f>
        <v/>
      </c>
      <c r="KL4" s="11" t="str">
        <f t="shared" ref="KL4:KL18" si="123">IF(JW4&gt;0,JW4,"")</f>
        <v/>
      </c>
      <c r="KM4" s="11" t="str">
        <f t="shared" ref="KM4:KM18" si="124">IF(SUM(JT4:JW4)-JX4&gt;0,SUM(JT4:JW4)-JX4,"")</f>
        <v/>
      </c>
      <c r="KN4" s="11" t="str">
        <f t="shared" ref="KN4:KN18" si="125">IF(KA4&gt;0,KA4,"")</f>
        <v/>
      </c>
      <c r="KO4" s="11" t="str">
        <f t="shared" ref="KO4:KO18" si="126">IF(KB4&gt;0,KB4,"")</f>
        <v/>
      </c>
      <c r="KP4" s="11" t="str">
        <f t="shared" ref="KP4:KP18" si="127">IF(SUM(JY4:KB4)-KC4&gt;0,SUM(JY4:KB4)-KC4,"")</f>
        <v/>
      </c>
      <c r="KQ4" s="11" t="str">
        <f t="shared" ref="KQ4:KQ18" si="128">IF(SUM(KJ4,KP4)&gt;0,SUM(KJ4,KP4),"")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0" t="str">
        <f t="shared" ref="LL4:LL18" si="129">IF(KT4&gt;0,KT4,"")</f>
        <v/>
      </c>
      <c r="LM4" s="40" t="str">
        <f t="shared" ref="LM4:LM18" si="130">IF(KU4&gt;0,KU4,"")</f>
        <v/>
      </c>
      <c r="LN4" s="40" t="str">
        <f t="shared" ref="LN4:LN18" si="131">IF(SUM(KR4:KU4)-KV4&gt;0,SUM(KR4:KU4)-KV4,"")</f>
        <v/>
      </c>
      <c r="LO4" s="40" t="str">
        <f t="shared" ref="LO4:LO18" si="132">IF(KY4&gt;0,KY4,"")</f>
        <v/>
      </c>
      <c r="LP4" s="40" t="str">
        <f t="shared" ref="LP4:LP18" si="133">IF(KZ4&gt;0,KZ4,"")</f>
        <v/>
      </c>
      <c r="LQ4" s="40" t="str">
        <f t="shared" ref="LQ4:LQ18" si="134">IF(SUM(KW4:KZ4)-LA4&gt;0,SUM(KW4:KZ4)-LA4,"")</f>
        <v/>
      </c>
      <c r="LR4" s="40" t="str">
        <f t="shared" ref="LR4:LR18" si="135">IF(MAX(LN4,LQ4)&gt;0,MAX(LN4,LQ4),"")</f>
        <v/>
      </c>
      <c r="LS4" s="40" t="str">
        <f t="shared" ref="LS4:LS18" si="136">IF(LD4&gt;0,LD4,"")</f>
        <v/>
      </c>
      <c r="LT4" s="40" t="str">
        <f t="shared" ref="LT4:LT18" si="137">IF(LE4&gt;0,LE4,"")</f>
        <v/>
      </c>
      <c r="LU4" s="40" t="str">
        <f t="shared" ref="LU4:LU18" si="138">IF(SUM(LB4:LE4)-LF4&gt;0,SUM(LB4:LE4)-LF4,"")</f>
        <v/>
      </c>
      <c r="LV4" s="40" t="str">
        <f t="shared" ref="LV4:LV18" si="139">IF(LI4&gt;0,LI4,"")</f>
        <v/>
      </c>
      <c r="LW4" s="40" t="str">
        <f t="shared" ref="LW4:LW18" si="140">IF(LJ4&gt;0,LJ4,"")</f>
        <v/>
      </c>
      <c r="LX4" s="40" t="str">
        <f t="shared" ref="LX4:LX18" si="141">IF(SUM(LG4:LJ4)-LK4&gt;0,SUM(LG4:LJ4)-LK4,"")</f>
        <v/>
      </c>
      <c r="LY4" s="40" t="str">
        <f t="shared" ref="LY4:LY18" si="142">IF(SUM(LR4,LX4)&gt;0,SUM(LR4,LX4),"")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 t="shared" ref="MT4:MT18" si="143">IF(MB4&gt;0,MB4,"")</f>
        <v/>
      </c>
      <c r="MU4" s="11" t="str">
        <f t="shared" ref="MU4:MU18" si="144">IF(MC4&gt;0,MC4,"")</f>
        <v/>
      </c>
      <c r="MV4" s="11" t="str">
        <f t="shared" ref="MV4:MV18" si="145">IF(SUM(LZ4:MC4)-MD4&gt;0,SUM(LZ4:MC4)-MD4,"")</f>
        <v/>
      </c>
      <c r="MW4" s="11" t="str">
        <f t="shared" ref="MW4:MW18" si="146">IF(MG4&gt;0,MG4,"")</f>
        <v/>
      </c>
      <c r="MX4" s="11" t="str">
        <f t="shared" ref="MX4:MX18" si="147">IF(MH4&gt;0,MH4,"")</f>
        <v/>
      </c>
      <c r="MY4" s="11" t="str">
        <f t="shared" ref="MY4:MY18" si="148">IF(SUM(ME4:MH4)-MI4&gt;0,SUM(ME4:MH4)-MI4,"")</f>
        <v/>
      </c>
      <c r="MZ4" s="11" t="str">
        <f t="shared" ref="MZ4:MZ18" si="149">IF(MAX(MV4,MY4)&gt;0,MAX(MV4,MY4),"")</f>
        <v/>
      </c>
      <c r="NA4" s="11" t="str">
        <f t="shared" ref="NA4:NA18" si="150">IF(ML4&gt;0,ML4,"")</f>
        <v/>
      </c>
      <c r="NB4" s="11" t="str">
        <f t="shared" ref="NB4:NB18" si="151">IF(MM4&gt;0,MM4,"")</f>
        <v/>
      </c>
      <c r="NC4" s="11" t="str">
        <f t="shared" ref="NC4:NC18" si="152">IF(SUM(MJ4:MM4)-MN4&gt;0,SUM(MJ4:MM4)-MN4,"")</f>
        <v/>
      </c>
      <c r="ND4" s="11" t="str">
        <f t="shared" ref="ND4:ND18" si="153">IF(MQ4&gt;0,MQ4,"")</f>
        <v/>
      </c>
      <c r="NE4" s="11" t="str">
        <f t="shared" ref="NE4:NE18" si="154">IF(MR4&gt;0,MR4,"")</f>
        <v/>
      </c>
      <c r="NF4" s="11" t="str">
        <f t="shared" ref="NF4:NF18" si="155">IF(SUM(MO4:MR4)-MS4&gt;0,SUM(MO4:MR4)-MS4,"")</f>
        <v/>
      </c>
      <c r="NG4" s="11" t="str">
        <f t="shared" ref="NG4:NG18" si="156">IF(SUM(MZ4,NF4)&gt;0,SUM(MZ4,NF4),"")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0" t="str">
        <f t="shared" ref="OB4:OB18" si="157">IF(NJ4&gt;0,NJ4,"")</f>
        <v/>
      </c>
      <c r="OC4" s="40" t="str">
        <f t="shared" ref="OC4:OC18" si="158">IF(NK4&gt;0,NK4,"")</f>
        <v/>
      </c>
      <c r="OD4" s="40" t="str">
        <f t="shared" ref="OD4:OD18" si="159">IF(SUM(NH4:NK4)-NL4&gt;0,SUM(NH4:NK4)-NL4,"")</f>
        <v/>
      </c>
      <c r="OE4" s="40" t="str">
        <f t="shared" ref="OE4:OE18" si="160">IF(NO4&gt;0,NO4,"")</f>
        <v/>
      </c>
      <c r="OF4" s="40" t="str">
        <f t="shared" ref="OF4:OF18" si="161">IF(NP4&gt;0,NP4,"")</f>
        <v/>
      </c>
      <c r="OG4" s="40" t="str">
        <f t="shared" ref="OG4:OG18" si="162">IF(SUM(NM4:NP4)-NQ4&gt;0,SUM(NM4:NP4)-NQ4,"")</f>
        <v/>
      </c>
      <c r="OH4" s="40" t="str">
        <f t="shared" ref="OH4:OH18" si="163">IF(MAX(OD4,OG4)&gt;0,MAX(OD4,OG4),"")</f>
        <v/>
      </c>
      <c r="OI4" s="40" t="str">
        <f t="shared" ref="OI4:OI18" si="164">IF(NT4&gt;0,NT4,"")</f>
        <v/>
      </c>
      <c r="OJ4" s="40" t="str">
        <f t="shared" ref="OJ4:OJ18" si="165">IF(NU4&gt;0,NU4,"")</f>
        <v/>
      </c>
      <c r="OK4" s="40" t="str">
        <f t="shared" ref="OK4:OK18" si="166">IF(SUM(NR4:NU4)-NV4&gt;0,SUM(NR4:NU4)-NV4,"")</f>
        <v/>
      </c>
      <c r="OL4" s="40" t="str">
        <f t="shared" ref="OL4:OL18" si="167">IF(NY4&gt;0,NY4,"")</f>
        <v/>
      </c>
      <c r="OM4" s="40" t="str">
        <f t="shared" ref="OM4:OM18" si="168">IF(NZ4&gt;0,NZ4,"")</f>
        <v/>
      </c>
      <c r="ON4" s="40" t="str">
        <f t="shared" ref="ON4:ON18" si="169">IF(SUM(NW4:NZ4)-OA4&gt;0,SUM(NW4:NZ4)-OA4,"")</f>
        <v/>
      </c>
      <c r="OO4" s="40" t="str">
        <f t="shared" ref="OO4:OO18" si="170">IF(SUM(OH4,ON4)&gt;0,SUM(OH4,ON4),"")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 t="shared" ref="PJ4:PJ18" si="171">IF(OR4&gt;0,OR4,"")</f>
        <v/>
      </c>
      <c r="PK4" s="11" t="str">
        <f t="shared" ref="PK4:PK18" si="172">IF(OS4&gt;0,OS4,"")</f>
        <v/>
      </c>
      <c r="PL4" s="11" t="str">
        <f t="shared" ref="PL4:PL18" si="173">IF(SUM(OP4:OS4)-OT4&gt;0,SUM(OP4:OS4)-OT4,"")</f>
        <v/>
      </c>
      <c r="PM4" s="11" t="str">
        <f t="shared" ref="PM4:PM18" si="174">IF(OW4&gt;0,OW4,"")</f>
        <v/>
      </c>
      <c r="PN4" s="11" t="str">
        <f t="shared" ref="PN4:PN18" si="175">IF(OX4&gt;0,OX4,"")</f>
        <v/>
      </c>
      <c r="PO4" s="11" t="str">
        <f t="shared" ref="PO4:PO18" si="176">IF(SUM(OU4:OX4)-OY4&gt;0,SUM(OU4:OX4)-OY4,"")</f>
        <v/>
      </c>
      <c r="PP4" s="11" t="str">
        <f t="shared" ref="PP4:PP18" si="177">IF(MAX(PL4,PO4)&gt;0,MAX(PL4,PO4),"")</f>
        <v/>
      </c>
      <c r="PQ4" s="11" t="str">
        <f t="shared" ref="PQ4:PQ18" si="178">IF(PB4&gt;0,PB4,"")</f>
        <v/>
      </c>
      <c r="PR4" s="11" t="str">
        <f t="shared" ref="PR4:PR18" si="179">IF(PC4&gt;0,PC4,"")</f>
        <v/>
      </c>
      <c r="PS4" s="11" t="str">
        <f t="shared" ref="PS4:PS18" si="180">IF(SUM(OZ4:PC4)-PD4&gt;0,SUM(OZ4:PC4)-PD4,"")</f>
        <v/>
      </c>
      <c r="PT4" s="11" t="str">
        <f t="shared" ref="PT4:PT18" si="181">IF(PG4&gt;0,PG4,"")</f>
        <v/>
      </c>
      <c r="PU4" s="11" t="str">
        <f t="shared" ref="PU4:PU18" si="182">IF(PH4&gt;0,PH4,"")</f>
        <v/>
      </c>
      <c r="PV4" s="11" t="str">
        <f t="shared" ref="PV4:PV18" si="183">IF(SUM(PE4:PH4)-PI4&gt;0,SUM(PE4:PH4)-PI4,"")</f>
        <v/>
      </c>
      <c r="PW4" s="11" t="str">
        <f t="shared" ref="PW4:PW18" si="184">IF(SUM(PP4,PV4)&gt;0,SUM(PP4,PV4),"")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0" t="str">
        <f t="shared" ref="QR4:QR18" si="185">IF(PZ4&gt;0,PZ4,"")</f>
        <v/>
      </c>
      <c r="QS4" s="40" t="str">
        <f t="shared" ref="QS4:QS18" si="186">IF(QA4&gt;0,QA4,"")</f>
        <v/>
      </c>
      <c r="QT4" s="40" t="str">
        <f t="shared" ref="QT4:QT18" si="187">IF(SUM(PX4:QA4)-QB4&gt;0,SUM(PX4:QA4)-QB4,"")</f>
        <v/>
      </c>
      <c r="QU4" s="40" t="str">
        <f t="shared" ref="QU4:QU18" si="188">IF(QE4&gt;0,QE4,"")</f>
        <v/>
      </c>
      <c r="QV4" s="40" t="str">
        <f t="shared" ref="QV4:QV18" si="189">IF(QF4&gt;0,QF4,"")</f>
        <v/>
      </c>
      <c r="QW4" s="40" t="str">
        <f t="shared" ref="QW4:QW18" si="190">IF(SUM(QC4:QF4)-QG4&gt;0,SUM(QC4:QF4)-QG4,"")</f>
        <v/>
      </c>
      <c r="QX4" s="40" t="str">
        <f t="shared" ref="QX4:QX18" si="191">IF(MAX(QT4,QW4)&gt;0,MAX(QT4,QW4),"")</f>
        <v/>
      </c>
      <c r="QY4" s="40" t="str">
        <f t="shared" ref="QY4:QY18" si="192">IF(QJ4&gt;0,QJ4,"")</f>
        <v/>
      </c>
      <c r="QZ4" s="40" t="str">
        <f t="shared" ref="QZ4:QZ18" si="193">IF(QK4&gt;0,QK4,"")</f>
        <v/>
      </c>
      <c r="RA4" s="40" t="str">
        <f t="shared" ref="RA4:RA18" si="194">IF(SUM(QH4:QK4)-QL4&gt;0,SUM(QH4:QK4)-QL4,"")</f>
        <v/>
      </c>
      <c r="RB4" s="40" t="str">
        <f t="shared" ref="RB4:RB18" si="195">IF(QO4&gt;0,QO4,"")</f>
        <v/>
      </c>
      <c r="RC4" s="40" t="str">
        <f t="shared" ref="RC4:RC18" si="196">IF(QP4&gt;0,QP4,"")</f>
        <v/>
      </c>
      <c r="RD4" s="40" t="str">
        <f t="shared" ref="RD4:RD18" si="197">IF(SUM(QM4:QP4)-QQ4&gt;0,SUM(QM4:QP4)-QQ4,"")</f>
        <v/>
      </c>
      <c r="RE4" s="40" t="str">
        <f t="shared" ref="RE4:RE18" si="198">IF(SUM(QX4,RD4)&gt;0,SUM(QX4,RD4),"")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 t="shared" ref="RZ4:RZ18" si="199">IF(RH4&gt;0,RH4,"")</f>
        <v/>
      </c>
      <c r="SA4" s="11" t="str">
        <f t="shared" ref="SA4:SA18" si="200">IF(RI4&gt;0,RI4,"")</f>
        <v/>
      </c>
      <c r="SB4" s="11" t="str">
        <f t="shared" ref="SB4:SB18" si="201">IF(SUM(RF4:RI4)-RJ4&gt;0,SUM(RF4:RI4)-RJ4,"")</f>
        <v/>
      </c>
      <c r="SC4" s="11" t="str">
        <f t="shared" ref="SC4:SC18" si="202">IF(RM4&gt;0,RM4,"")</f>
        <v/>
      </c>
      <c r="SD4" s="11" t="str">
        <f t="shared" ref="SD4:SD18" si="203">IF(RN4&gt;0,RN4,"")</f>
        <v/>
      </c>
      <c r="SE4" s="11" t="str">
        <f t="shared" ref="SE4:SE18" si="204">IF(SUM(RK4:RN4)-RO4&gt;0,SUM(RK4:RN4)-RO4,"")</f>
        <v/>
      </c>
      <c r="SF4" s="11" t="str">
        <f t="shared" ref="SF4:SF18" si="205">IF(MAX(SB4,SE4)&gt;0,MAX(SB4,SE4),"")</f>
        <v/>
      </c>
      <c r="SG4" s="11" t="str">
        <f t="shared" ref="SG4:SG18" si="206">IF(RR4&gt;0,RR4,"")</f>
        <v/>
      </c>
      <c r="SH4" s="11" t="str">
        <f t="shared" ref="SH4:SH18" si="207">IF(RS4&gt;0,RS4,"")</f>
        <v/>
      </c>
      <c r="SI4" s="11" t="str">
        <f t="shared" ref="SI4:SI18" si="208">IF(SUM(RP4:RS4)-RT4&gt;0,SUM(RP4:RS4)-RT4,"")</f>
        <v/>
      </c>
      <c r="SJ4" s="11" t="str">
        <f t="shared" ref="SJ4:SJ18" si="209">IF(RW4&gt;0,RW4,"")</f>
        <v/>
      </c>
      <c r="SK4" s="11" t="str">
        <f t="shared" ref="SK4:SK18" si="210">IF(RX4&gt;0,RX4,"")</f>
        <v/>
      </c>
      <c r="SL4" s="11" t="str">
        <f t="shared" ref="SL4:SL18" si="211">IF(SUM(RU4:RX4)-RY4&gt;0,SUM(RU4:RX4)-RY4,"")</f>
        <v/>
      </c>
      <c r="SM4" s="11" t="str">
        <f t="shared" ref="SM4:SM18" si="212">IF(SUM(SF4,SL4)&gt;0,SUM(SF4,SL4),"")</f>
        <v/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0" t="str">
        <f t="shared" ref="TH4:TH18" si="213">IF(SP4&gt;0,SP4,"")</f>
        <v/>
      </c>
      <c r="TI4" s="40" t="str">
        <f t="shared" ref="TI4:TI18" si="214">IF(SQ4&gt;0,SQ4,"")</f>
        <v/>
      </c>
      <c r="TJ4" s="40" t="str">
        <f t="shared" ref="TJ4:TJ18" si="215">IF(SUM(SN4:SQ4)-SR4&gt;0,SUM(SN4:SQ4)-SR4,"")</f>
        <v/>
      </c>
      <c r="TK4" s="40" t="str">
        <f t="shared" ref="TK4:TK18" si="216">IF(SU4&gt;0,SU4,"")</f>
        <v/>
      </c>
      <c r="TL4" s="40" t="str">
        <f t="shared" ref="TL4:TL18" si="217">IF(SV4&gt;0,SV4,"")</f>
        <v/>
      </c>
      <c r="TM4" s="40" t="str">
        <f t="shared" ref="TM4:TM18" si="218">IF(SUM(SS4:SV4)-SW4&gt;0,SUM(SS4:SV4)-SW4,"")</f>
        <v/>
      </c>
      <c r="TN4" s="40" t="str">
        <f t="shared" ref="TN4:TN18" si="219">IF(MAX(TJ4,TM4)&gt;0,MAX(TJ4,TM4),"")</f>
        <v/>
      </c>
      <c r="TO4" s="40" t="str">
        <f t="shared" ref="TO4:TO18" si="220">IF(SZ4&gt;0,SZ4,"")</f>
        <v/>
      </c>
      <c r="TP4" s="40" t="str">
        <f t="shared" ref="TP4:TP18" si="221">IF(TA4&gt;0,TA4,"")</f>
        <v/>
      </c>
      <c r="TQ4" s="40" t="str">
        <f t="shared" ref="TQ4:TQ18" si="222">IF(SUM(SX4:TA4)-TB4&gt;0,SUM(SX4:TA4)-TB4,"")</f>
        <v/>
      </c>
      <c r="TR4" s="40" t="str">
        <f t="shared" ref="TR4:TR18" si="223">IF(TE4&gt;0,TE4,"")</f>
        <v/>
      </c>
      <c r="TS4" s="40" t="str">
        <f t="shared" ref="TS4:TS18" si="224">IF(TF4&gt;0,TF4,"")</f>
        <v/>
      </c>
      <c r="TT4" s="40" t="str">
        <f t="shared" ref="TT4:TT18" si="225">IF(SUM(TC4:TF4)-TG4&gt;0,SUM(TC4:TF4)-TG4,"")</f>
        <v/>
      </c>
      <c r="TU4" s="40" t="str">
        <f t="shared" ref="TU4:TU18" si="226">IF(SUM(TN4,TT4)&gt;0,SUM(TN4,TT4),"")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 t="shared" ref="UP4:UP18" si="227">IF(TX4&gt;0,TX4,"")</f>
        <v/>
      </c>
      <c r="UQ4" s="11" t="str">
        <f t="shared" ref="UQ4:UQ18" si="228">IF(TY4&gt;0,TY4,"")</f>
        <v/>
      </c>
      <c r="UR4" s="11" t="str">
        <f t="shared" ref="UR4:UR18" si="229">IF(SUM(TV4:TY4)-TZ4&gt;0,SUM(TV4:TY4)-TZ4,"")</f>
        <v/>
      </c>
      <c r="US4" s="11" t="str">
        <f t="shared" ref="US4:US18" si="230">IF(UC4&gt;0,UC4,"")</f>
        <v/>
      </c>
      <c r="UT4" s="11" t="str">
        <f t="shared" ref="UT4:UT18" si="231">IF(UD4&gt;0,UD4,"")</f>
        <v/>
      </c>
      <c r="UU4" s="11" t="str">
        <f t="shared" ref="UU4:UU18" si="232">IF(SUM(UA4:UD4)-UE4&gt;0,SUM(UA4:UD4)-UE4,"")</f>
        <v/>
      </c>
      <c r="UV4" s="11" t="str">
        <f t="shared" ref="UV4:UV18" si="233">IF(MAX(UR4,UU4)&gt;0,MAX(UR4,UU4),"")</f>
        <v/>
      </c>
      <c r="UW4" s="11" t="str">
        <f t="shared" ref="UW4:UW18" si="234">IF(UH4&gt;0,UH4,"")</f>
        <v/>
      </c>
      <c r="UX4" s="11" t="str">
        <f t="shared" ref="UX4:UX18" si="235">IF(UI4&gt;0,UI4,"")</f>
        <v/>
      </c>
      <c r="UY4" s="11" t="str">
        <f t="shared" ref="UY4:UY18" si="236">IF(SUM(UF4:UI4)-UJ4&gt;0,SUM(UF4:UI4)-UJ4,"")</f>
        <v/>
      </c>
      <c r="UZ4" s="11" t="str">
        <f t="shared" ref="UZ4:UZ18" si="237">IF(UM4&gt;0,UM4,"")</f>
        <v/>
      </c>
      <c r="VA4" s="11" t="str">
        <f t="shared" ref="VA4:VA18" si="238">IF(UN4&gt;0,UN4,"")</f>
        <v/>
      </c>
      <c r="VB4" s="11" t="str">
        <f t="shared" ref="VB4:VB18" si="239">IF(SUM(UK4:UN4)-UO4&gt;0,SUM(UK4:UN4)-UO4,"")</f>
        <v/>
      </c>
      <c r="VC4" s="11" t="str">
        <f t="shared" ref="VC4:VC18" si="240">IF(SUM(UV4,VB4)&gt;0,SUM(UV4,VB4),"")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0" t="str">
        <f t="shared" ref="VX4:VX18" si="241">IF(VF4&gt;0,VF4,"")</f>
        <v/>
      </c>
      <c r="VY4" s="40" t="str">
        <f t="shared" ref="VY4:VY18" si="242">IF(VG4&gt;0,VG4,"")</f>
        <v/>
      </c>
      <c r="VZ4" s="40" t="str">
        <f t="shared" ref="VZ4:VZ18" si="243">IF(SUM(VD4:VG4)-VH4&gt;0,SUM(VD4:VG4)-VH4,"")</f>
        <v/>
      </c>
      <c r="WA4" s="40" t="str">
        <f t="shared" ref="WA4:WA18" si="244">IF(VK4&gt;0,VK4,"")</f>
        <v/>
      </c>
      <c r="WB4" s="40" t="str">
        <f t="shared" ref="WB4:WB18" si="245">IF(VL4&gt;0,VL4,"")</f>
        <v/>
      </c>
      <c r="WC4" s="40" t="str">
        <f t="shared" ref="WC4:WC18" si="246">IF(SUM(VI4:VL4)-VM4&gt;0,SUM(VI4:VL4)-VM4,"")</f>
        <v/>
      </c>
      <c r="WD4" s="40" t="str">
        <f t="shared" ref="WD4:WD18" si="247">IF(MAX(VZ4,WC4)&gt;0,MAX(VZ4,WC4),"")</f>
        <v/>
      </c>
      <c r="WE4" s="40" t="str">
        <f t="shared" ref="WE4:WE18" si="248">IF(VP4&gt;0,VP4,"")</f>
        <v/>
      </c>
      <c r="WF4" s="40" t="str">
        <f t="shared" ref="WF4:WF18" si="249">IF(VQ4&gt;0,VQ4,"")</f>
        <v/>
      </c>
      <c r="WG4" s="40" t="str">
        <f t="shared" ref="WG4:WG18" si="250">IF(SUM(VN4:VQ4)-VR4&gt;0,SUM(VN4:VQ4)-VR4,"")</f>
        <v/>
      </c>
      <c r="WH4" s="40" t="str">
        <f t="shared" ref="WH4:WH18" si="251">IF(VU4&gt;0,VU4,"")</f>
        <v/>
      </c>
      <c r="WI4" s="40" t="str">
        <f t="shared" ref="WI4:WI18" si="252">IF(VV4&gt;0,VV4,"")</f>
        <v/>
      </c>
      <c r="WJ4" s="40" t="str">
        <f t="shared" ref="WJ4:WJ18" si="253">IF(SUM(VS4:VV4)-VW4&gt;0,SUM(VS4:VV4)-VW4,"")</f>
        <v/>
      </c>
      <c r="WK4" s="40" t="str">
        <f t="shared" ref="WK4:WK18" si="254">IF(SUM(WD4,WJ4)&gt;0,SUM(WD4,WJ4),"")</f>
        <v/>
      </c>
      <c r="WL4" s="26">
        <f t="shared" ref="WL4:WL18" si="255">IF($CH4="P",BS4,(BS4+AR4)/2)</f>
        <v>4.25</v>
      </c>
      <c r="WM4" s="26">
        <f t="shared" ref="WM4:WM18" si="256">IF($CH4="P",BT4,(BT4+AS4)/2)</f>
        <v>4.5999999999999996</v>
      </c>
      <c r="WN4" s="26">
        <f t="shared" ref="WN4:WN18" si="257">IF($CH4="P",BU4,(BU4+AT4)/2)</f>
        <v>7.3</v>
      </c>
      <c r="WO4" s="26">
        <f t="shared" ref="WO4:WO18" si="258">IF($CH4="P",BV4,(BV4+AU4)/2)</f>
        <v>9.06</v>
      </c>
      <c r="WP4" s="26">
        <f t="shared" ref="WP4:WP18" si="259">IF($CH4="P",BW4,(BW4+AV4)/2)</f>
        <v>0.2</v>
      </c>
      <c r="WQ4" s="26">
        <f t="shared" ref="WQ4:WQ18" si="260">IF($CH4="P",BX4,(BX4+AW4)/2)</f>
        <v>1.175</v>
      </c>
      <c r="WR4" s="26">
        <f t="shared" ref="WR4:WR18" si="261">IF($CH4="P",BY4,(BY4+AX4)/2)</f>
        <v>1.4</v>
      </c>
      <c r="WS4" s="26">
        <f t="shared" ref="WS4:WS18" si="262">IF($CH4="P",BZ4,(BZ4+AY4)/2)</f>
        <v>2.75</v>
      </c>
      <c r="WT4" s="26">
        <f t="shared" ref="WT4:WT18" si="263">IF($CH4="P",CA4,(CA4+AZ4)/2)</f>
        <v>2.6</v>
      </c>
      <c r="WU4" s="26">
        <f t="shared" ref="WU4:WU18" si="264">IF($CH4="P",CB4,(CB4+BA4)/2)</f>
        <v>0</v>
      </c>
      <c r="WV4" s="26">
        <f t="shared" ref="WV4:WV18" si="265">IF($CH4="P",CC4,(CC4+BB4)/2)</f>
        <v>4.0750000000000002</v>
      </c>
      <c r="WW4" s="26">
        <f t="shared" ref="WW4:WW18" si="266">IF($CH4="P",CD4,(CD4+BC4)/2)</f>
        <v>4.6500000000000004</v>
      </c>
      <c r="WX4" s="26">
        <f t="shared" ref="WX4:WX18" si="267">IF($CH4="P",CE4,(CE4+BD4)/2)</f>
        <v>7.3</v>
      </c>
      <c r="WY4" s="26">
        <f t="shared" ref="WY4:WY18" si="268">IF($CH4="P",CF4,(CF4+BE4)/2)</f>
        <v>8.0500000000000007</v>
      </c>
      <c r="WZ4" s="26">
        <f t="shared" ref="WZ4:WZ18" si="269">IF($CH4="P",CG4,(CG4+BF4)/2)</f>
        <v>0</v>
      </c>
      <c r="XA4" s="28" t="s">
        <v>53</v>
      </c>
      <c r="XB4" s="11">
        <f t="shared" ref="XB4:XB18" si="270">IF(WN4&gt;0,WN4,"")</f>
        <v>7.3</v>
      </c>
      <c r="XC4" s="11">
        <f t="shared" ref="XC4:XC18" si="271">IF(WO4&gt;0,WO4,"")</f>
        <v>9.06</v>
      </c>
      <c r="XD4" s="11">
        <f t="shared" ref="XD4:XD18" si="272">IF(SUM(WL4:WO4)-WP4&gt;0,SUM(WL4:WO4)-WP4,"")</f>
        <v>25.01</v>
      </c>
      <c r="XE4" s="11">
        <f t="shared" ref="XE4:XE18" si="273">IF(WS4&gt;0,WS4,"")</f>
        <v>2.75</v>
      </c>
      <c r="XF4" s="11">
        <f t="shared" ref="XF4:XF18" si="274">IF(WT4&gt;0,WT4,"")</f>
        <v>2.6</v>
      </c>
      <c r="XG4" s="11">
        <f t="shared" ref="XG4:XG18" si="275">IF(SUM(WQ4:WT4)-WU4&gt;0,SUM(WQ4:WT4)-WU4,"")</f>
        <v>7.9250000000000007</v>
      </c>
      <c r="XH4" s="11">
        <f t="shared" ref="XH4:XH18" si="276">IF(MAX(XD4,XG4)&gt;0,MAX(XD4,XG4),"")</f>
        <v>25.01</v>
      </c>
      <c r="XI4" s="11">
        <f t="shared" ref="XI4:XI18" si="277">IF(WX4&gt;0,WX4,"")</f>
        <v>7.3</v>
      </c>
      <c r="XJ4" s="11">
        <f t="shared" ref="XJ4:XJ18" si="278">IF(WY4&gt;0,WY4,"")</f>
        <v>8.0500000000000007</v>
      </c>
      <c r="XK4" s="11">
        <f t="shared" ref="XK4:XK18" si="279">IF(SUM(WV4:WY4)-WZ4&gt;0,SUM(WV4:WY4)-WZ4,"")</f>
        <v>24.075000000000003</v>
      </c>
      <c r="XL4" s="11">
        <f t="shared" ref="XL4:XL18" si="280">IF(SUM(XH4,XK4)&gt;0,SUM(XH4,XK4),"")</f>
        <v>49.085000000000008</v>
      </c>
    </row>
    <row r="5" spans="1:636" x14ac:dyDescent="0.2">
      <c r="A5" s="4" cm="1">
        <f t="array" ref="A5">IF(AND(H5&lt;&gt;"",H5&lt;&gt;"No DD"),SUMPRODUCT((H$4:H$19&lt;&gt;"")*(H$4:H$19&lt;&gt;"No DD")*(E$4:E$19&gt;E5))+1,IF(H5="No DD",SUMPRODUCT((H$4:H$19="No DD")*(E$4:E$19&gt;E5))+1+SUMPRODUCT((H$4:H$19&lt;&gt;"")*(H$4:H$19&lt;&gt;"No DD")),""))</f>
        <v>2</v>
      </c>
      <c r="B5" s="5" t="s">
        <v>198</v>
      </c>
      <c r="C5" s="4" t="s">
        <v>197</v>
      </c>
      <c r="D5" s="4" t="s">
        <v>247</v>
      </c>
      <c r="E5" s="9">
        <f t="shared" si="0"/>
        <v>89.25</v>
      </c>
      <c r="F5" s="3" t="str">
        <f t="shared" si="1"/>
        <v>P</v>
      </c>
      <c r="G5" s="3" t="str">
        <f t="shared" si="2"/>
        <v>P</v>
      </c>
      <c r="H5" s="36" t="str">
        <f t="shared" si="3"/>
        <v>National Team</v>
      </c>
      <c r="I5" s="3" t="str">
        <f t="shared" si="4"/>
        <v/>
      </c>
      <c r="J5" s="8">
        <f>IF(COUNT(AI5,AL5,AP5,BJ5,BM5,BQ5,CK5,CN5,CR5)&gt;0,LARGE((AI5,AL5,AP5,BJ5,BM5,BQ5,CK5,CN5,CR5),1),0)</f>
        <v>49.849999999999994</v>
      </c>
      <c r="K5" s="8" t="str">
        <f t="shared" si="5"/>
        <v>2024 Elite Canada</v>
      </c>
      <c r="L5" s="8">
        <f>IF(COUNT(AI5,AL5,AP5,BJ5,BM5,BQ5,CK5,CN5,CR5)&gt;1,LARGE((AI5,AL5,AP5,BJ5,BM5,BQ5,CK5,CN5,CR5),2),0)</f>
        <v>39.4</v>
      </c>
      <c r="M5" s="8" t="str">
        <f t="shared" si="6"/>
        <v>2024 Elite Canada</v>
      </c>
      <c r="N5" s="8" t="str">
        <f t="shared" si="7"/>
        <v/>
      </c>
      <c r="O5" s="11" t="str">
        <f t="shared" si="8"/>
        <v/>
      </c>
      <c r="P5" s="8" t="str">
        <f t="shared" si="9"/>
        <v/>
      </c>
      <c r="Q5" s="22">
        <v>5.75</v>
      </c>
      <c r="R5" s="22">
        <v>6.6</v>
      </c>
      <c r="S5" s="22">
        <v>10.3</v>
      </c>
      <c r="T5" s="22">
        <v>11.84</v>
      </c>
      <c r="U5" s="22">
        <v>0</v>
      </c>
      <c r="V5" s="22">
        <v>8.4499999999999993</v>
      </c>
      <c r="W5" s="22">
        <v>9.3000000000000007</v>
      </c>
      <c r="X5" s="22">
        <v>14.2</v>
      </c>
      <c r="Y5" s="22">
        <v>17.899999999999999</v>
      </c>
      <c r="Z5" s="22">
        <v>0</v>
      </c>
      <c r="AA5" s="22">
        <v>6.95</v>
      </c>
      <c r="AB5" s="22">
        <v>7.75</v>
      </c>
      <c r="AC5" s="22">
        <v>9.8000000000000007</v>
      </c>
      <c r="AD5" s="22">
        <v>14.9</v>
      </c>
      <c r="AE5" s="22">
        <v>0</v>
      </c>
      <c r="AF5" s="27"/>
      <c r="AG5" s="38">
        <f t="shared" si="10"/>
        <v>10.3</v>
      </c>
      <c r="AH5" s="38">
        <f t="shared" si="11"/>
        <v>11.84</v>
      </c>
      <c r="AI5" s="40">
        <f t="shared" si="12"/>
        <v>34.489999999999995</v>
      </c>
      <c r="AJ5" s="40">
        <f t="shared" si="13"/>
        <v>14.2</v>
      </c>
      <c r="AK5" s="40">
        <f t="shared" si="14"/>
        <v>17.899999999999999</v>
      </c>
      <c r="AL5" s="40">
        <f t="shared" si="15"/>
        <v>49.849999999999994</v>
      </c>
      <c r="AM5" s="40">
        <f t="shared" si="16"/>
        <v>49.849999999999994</v>
      </c>
      <c r="AN5" s="40">
        <f t="shared" si="17"/>
        <v>9.8000000000000007</v>
      </c>
      <c r="AO5" s="40">
        <f t="shared" si="18"/>
        <v>14.9</v>
      </c>
      <c r="AP5" s="40">
        <f t="shared" si="19"/>
        <v>39.4</v>
      </c>
      <c r="AQ5" s="40">
        <f t="shared" si="20"/>
        <v>89.25</v>
      </c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8"/>
      <c r="BH5" s="39" t="str">
        <f t="shared" si="21"/>
        <v/>
      </c>
      <c r="BI5" s="39" t="str">
        <f t="shared" si="22"/>
        <v/>
      </c>
      <c r="BJ5" s="11" t="str">
        <f t="shared" si="23"/>
        <v/>
      </c>
      <c r="BK5" s="11" t="str">
        <f t="shared" si="24"/>
        <v/>
      </c>
      <c r="BL5" s="11" t="str">
        <f t="shared" si="25"/>
        <v/>
      </c>
      <c r="BM5" s="11" t="str">
        <f t="shared" si="26"/>
        <v/>
      </c>
      <c r="BN5" s="11" t="str">
        <f t="shared" si="27"/>
        <v/>
      </c>
      <c r="BO5" s="11" t="str">
        <f t="shared" si="28"/>
        <v/>
      </c>
      <c r="BP5" s="11" t="str">
        <f t="shared" si="29"/>
        <v/>
      </c>
      <c r="BQ5" s="11" t="str">
        <f t="shared" si="30"/>
        <v/>
      </c>
      <c r="BR5" s="11" t="str">
        <f t="shared" si="31"/>
        <v/>
      </c>
      <c r="BS5" s="22"/>
      <c r="BT5" s="22"/>
      <c r="BU5" s="22"/>
      <c r="BV5" s="22"/>
      <c r="BW5" s="22"/>
      <c r="BX5" s="22"/>
      <c r="BY5" s="22"/>
      <c r="BZ5" s="22"/>
      <c r="CA5" s="22"/>
      <c r="CB5" s="22"/>
      <c r="CC5" s="22"/>
      <c r="CD5" s="22"/>
      <c r="CE5" s="22"/>
      <c r="CF5" s="22"/>
      <c r="CG5" s="22"/>
      <c r="CH5" s="27"/>
      <c r="CI5" s="38" t="str">
        <f t="shared" si="32"/>
        <v/>
      </c>
      <c r="CJ5" s="38" t="str">
        <f t="shared" si="33"/>
        <v/>
      </c>
      <c r="CK5" s="40" t="str">
        <f t="shared" si="34"/>
        <v/>
      </c>
      <c r="CL5" s="40" t="str">
        <f t="shared" si="35"/>
        <v/>
      </c>
      <c r="CM5" s="40" t="str">
        <f t="shared" si="36"/>
        <v/>
      </c>
      <c r="CN5" s="40" t="str">
        <f t="shared" si="37"/>
        <v/>
      </c>
      <c r="CO5" s="40" t="str">
        <f t="shared" si="38"/>
        <v/>
      </c>
      <c r="CP5" s="40" t="str">
        <f t="shared" si="39"/>
        <v/>
      </c>
      <c r="CQ5" s="40" t="str">
        <f t="shared" si="40"/>
        <v/>
      </c>
      <c r="CR5" s="40" t="str">
        <f t="shared" si="41"/>
        <v/>
      </c>
      <c r="CS5" s="40" t="str">
        <f t="shared" si="42"/>
        <v/>
      </c>
      <c r="CT5" s="51" t="str">
        <f t="shared" si="43"/>
        <v/>
      </c>
      <c r="CU5" s="51" t="str">
        <f t="shared" si="44"/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0" t="str">
        <f t="shared" si="45"/>
        <v/>
      </c>
      <c r="DQ5" s="40" t="str">
        <f t="shared" si="46"/>
        <v/>
      </c>
      <c r="DR5" s="40" t="str">
        <f t="shared" si="47"/>
        <v/>
      </c>
      <c r="DS5" s="40" t="str">
        <f t="shared" si="48"/>
        <v/>
      </c>
      <c r="DT5" s="40" t="str">
        <f t="shared" si="49"/>
        <v/>
      </c>
      <c r="DU5" s="40" t="str">
        <f t="shared" si="50"/>
        <v/>
      </c>
      <c r="DV5" s="40" t="str">
        <f t="shared" si="51"/>
        <v/>
      </c>
      <c r="DW5" s="40" t="str">
        <f t="shared" si="52"/>
        <v/>
      </c>
      <c r="DX5" s="40" t="str">
        <f t="shared" si="53"/>
        <v/>
      </c>
      <c r="DY5" s="40" t="str">
        <f t="shared" si="54"/>
        <v/>
      </c>
      <c r="DZ5" s="40" t="str">
        <f t="shared" si="55"/>
        <v/>
      </c>
      <c r="EA5" s="40" t="str">
        <f t="shared" si="56"/>
        <v/>
      </c>
      <c r="EB5" s="40" t="str">
        <f t="shared" si="57"/>
        <v/>
      </c>
      <c r="EC5" s="40" t="str">
        <f t="shared" si="58"/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 t="shared" si="59"/>
        <v/>
      </c>
      <c r="EY5" s="11" t="str">
        <f t="shared" si="60"/>
        <v/>
      </c>
      <c r="EZ5" s="11" t="str">
        <f t="shared" si="61"/>
        <v/>
      </c>
      <c r="FA5" s="11" t="str">
        <f t="shared" si="62"/>
        <v/>
      </c>
      <c r="FB5" s="11" t="str">
        <f t="shared" si="63"/>
        <v/>
      </c>
      <c r="FC5" s="11" t="str">
        <f t="shared" si="64"/>
        <v/>
      </c>
      <c r="FD5" s="11" t="str">
        <f t="shared" si="65"/>
        <v/>
      </c>
      <c r="FE5" s="11" t="str">
        <f t="shared" si="66"/>
        <v/>
      </c>
      <c r="FF5" s="11" t="str">
        <f t="shared" si="67"/>
        <v/>
      </c>
      <c r="FG5" s="11" t="str">
        <f t="shared" si="68"/>
        <v/>
      </c>
      <c r="FH5" s="11" t="str">
        <f t="shared" si="69"/>
        <v/>
      </c>
      <c r="FI5" s="11" t="str">
        <f t="shared" si="70"/>
        <v/>
      </c>
      <c r="FJ5" s="11" t="str">
        <f t="shared" si="71"/>
        <v/>
      </c>
      <c r="FK5" s="11" t="str">
        <f t="shared" si="72"/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0" t="str">
        <f t="shared" si="73"/>
        <v/>
      </c>
      <c r="GG5" s="40" t="str">
        <f t="shared" si="74"/>
        <v/>
      </c>
      <c r="GH5" s="40" t="str">
        <f t="shared" si="75"/>
        <v/>
      </c>
      <c r="GI5" s="40" t="str">
        <f t="shared" si="76"/>
        <v/>
      </c>
      <c r="GJ5" s="40" t="str">
        <f t="shared" si="77"/>
        <v/>
      </c>
      <c r="GK5" s="40" t="str">
        <f t="shared" si="78"/>
        <v/>
      </c>
      <c r="GL5" s="40" t="str">
        <f t="shared" si="79"/>
        <v/>
      </c>
      <c r="GM5" s="40" t="str">
        <f t="shared" si="80"/>
        <v/>
      </c>
      <c r="GN5" s="40" t="str">
        <f t="shared" si="81"/>
        <v/>
      </c>
      <c r="GO5" s="40" t="str">
        <f t="shared" si="82"/>
        <v/>
      </c>
      <c r="GP5" s="40" t="str">
        <f t="shared" si="83"/>
        <v/>
      </c>
      <c r="GQ5" s="40" t="str">
        <f t="shared" si="84"/>
        <v/>
      </c>
      <c r="GR5" s="40" t="str">
        <f t="shared" si="85"/>
        <v/>
      </c>
      <c r="GS5" s="40" t="str">
        <f t="shared" si="86"/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 t="shared" si="87"/>
        <v/>
      </c>
      <c r="HO5" s="11" t="str">
        <f t="shared" si="88"/>
        <v/>
      </c>
      <c r="HP5" s="11" t="str">
        <f t="shared" si="89"/>
        <v/>
      </c>
      <c r="HQ5" s="11" t="str">
        <f t="shared" si="90"/>
        <v/>
      </c>
      <c r="HR5" s="11" t="str">
        <f t="shared" si="91"/>
        <v/>
      </c>
      <c r="HS5" s="11" t="str">
        <f t="shared" si="92"/>
        <v/>
      </c>
      <c r="HT5" s="11" t="str">
        <f t="shared" si="93"/>
        <v/>
      </c>
      <c r="HU5" s="11" t="str">
        <f t="shared" si="94"/>
        <v/>
      </c>
      <c r="HV5" s="11" t="str">
        <f t="shared" si="95"/>
        <v/>
      </c>
      <c r="HW5" s="11" t="str">
        <f t="shared" si="96"/>
        <v/>
      </c>
      <c r="HX5" s="11" t="str">
        <f t="shared" si="97"/>
        <v/>
      </c>
      <c r="HY5" s="11" t="str">
        <f t="shared" si="98"/>
        <v/>
      </c>
      <c r="HZ5" s="11" t="str">
        <f t="shared" si="99"/>
        <v/>
      </c>
      <c r="IA5" s="11" t="str">
        <f t="shared" si="100"/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0" t="str">
        <f t="shared" si="101"/>
        <v/>
      </c>
      <c r="IW5" s="40" t="str">
        <f t="shared" si="102"/>
        <v/>
      </c>
      <c r="IX5" s="40" t="str">
        <f t="shared" si="103"/>
        <v/>
      </c>
      <c r="IY5" s="40" t="str">
        <f t="shared" si="104"/>
        <v/>
      </c>
      <c r="IZ5" s="40" t="str">
        <f t="shared" si="105"/>
        <v/>
      </c>
      <c r="JA5" s="40" t="str">
        <f t="shared" si="106"/>
        <v/>
      </c>
      <c r="JB5" s="40" t="str">
        <f t="shared" si="107"/>
        <v/>
      </c>
      <c r="JC5" s="40" t="str">
        <f t="shared" si="108"/>
        <v/>
      </c>
      <c r="JD5" s="40" t="str">
        <f t="shared" si="109"/>
        <v/>
      </c>
      <c r="JE5" s="40" t="str">
        <f t="shared" si="110"/>
        <v/>
      </c>
      <c r="JF5" s="40" t="str">
        <f t="shared" si="111"/>
        <v/>
      </c>
      <c r="JG5" s="40" t="str">
        <f t="shared" si="112"/>
        <v/>
      </c>
      <c r="JH5" s="40" t="str">
        <f t="shared" si="113"/>
        <v/>
      </c>
      <c r="JI5" s="40" t="str">
        <f t="shared" si="114"/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 t="shared" si="115"/>
        <v/>
      </c>
      <c r="KE5" s="11" t="str">
        <f t="shared" si="116"/>
        <v/>
      </c>
      <c r="KF5" s="11" t="str">
        <f t="shared" si="117"/>
        <v/>
      </c>
      <c r="KG5" s="11" t="str">
        <f t="shared" si="118"/>
        <v/>
      </c>
      <c r="KH5" s="11" t="str">
        <f t="shared" si="119"/>
        <v/>
      </c>
      <c r="KI5" s="11" t="str">
        <f t="shared" si="120"/>
        <v/>
      </c>
      <c r="KJ5" s="11" t="str">
        <f t="shared" si="121"/>
        <v/>
      </c>
      <c r="KK5" s="11" t="str">
        <f t="shared" si="122"/>
        <v/>
      </c>
      <c r="KL5" s="11" t="str">
        <f t="shared" si="123"/>
        <v/>
      </c>
      <c r="KM5" s="11" t="str">
        <f t="shared" si="124"/>
        <v/>
      </c>
      <c r="KN5" s="11" t="str">
        <f t="shared" si="125"/>
        <v/>
      </c>
      <c r="KO5" s="11" t="str">
        <f t="shared" si="126"/>
        <v/>
      </c>
      <c r="KP5" s="11" t="str">
        <f t="shared" si="127"/>
        <v/>
      </c>
      <c r="KQ5" s="11" t="str">
        <f t="shared" si="128"/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0" t="str">
        <f t="shared" si="129"/>
        <v/>
      </c>
      <c r="LM5" s="40" t="str">
        <f t="shared" si="130"/>
        <v/>
      </c>
      <c r="LN5" s="40" t="str">
        <f t="shared" si="131"/>
        <v/>
      </c>
      <c r="LO5" s="40" t="str">
        <f t="shared" si="132"/>
        <v/>
      </c>
      <c r="LP5" s="40" t="str">
        <f t="shared" si="133"/>
        <v/>
      </c>
      <c r="LQ5" s="40" t="str">
        <f t="shared" si="134"/>
        <v/>
      </c>
      <c r="LR5" s="40" t="str">
        <f t="shared" si="135"/>
        <v/>
      </c>
      <c r="LS5" s="40" t="str">
        <f t="shared" si="136"/>
        <v/>
      </c>
      <c r="LT5" s="40" t="str">
        <f t="shared" si="137"/>
        <v/>
      </c>
      <c r="LU5" s="40" t="str">
        <f t="shared" si="138"/>
        <v/>
      </c>
      <c r="LV5" s="40" t="str">
        <f t="shared" si="139"/>
        <v/>
      </c>
      <c r="LW5" s="40" t="str">
        <f t="shared" si="140"/>
        <v/>
      </c>
      <c r="LX5" s="40" t="str">
        <f t="shared" si="141"/>
        <v/>
      </c>
      <c r="LY5" s="40" t="str">
        <f t="shared" si="142"/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 t="shared" si="143"/>
        <v/>
      </c>
      <c r="MU5" s="11" t="str">
        <f t="shared" si="144"/>
        <v/>
      </c>
      <c r="MV5" s="11" t="str">
        <f t="shared" si="145"/>
        <v/>
      </c>
      <c r="MW5" s="11" t="str">
        <f t="shared" si="146"/>
        <v/>
      </c>
      <c r="MX5" s="11" t="str">
        <f t="shared" si="147"/>
        <v/>
      </c>
      <c r="MY5" s="11" t="str">
        <f t="shared" si="148"/>
        <v/>
      </c>
      <c r="MZ5" s="11" t="str">
        <f t="shared" si="149"/>
        <v/>
      </c>
      <c r="NA5" s="11" t="str">
        <f t="shared" si="150"/>
        <v/>
      </c>
      <c r="NB5" s="11" t="str">
        <f t="shared" si="151"/>
        <v/>
      </c>
      <c r="NC5" s="11" t="str">
        <f t="shared" si="152"/>
        <v/>
      </c>
      <c r="ND5" s="11" t="str">
        <f t="shared" si="153"/>
        <v/>
      </c>
      <c r="NE5" s="11" t="str">
        <f t="shared" si="154"/>
        <v/>
      </c>
      <c r="NF5" s="11" t="str">
        <f t="shared" si="155"/>
        <v/>
      </c>
      <c r="NG5" s="11" t="str">
        <f t="shared" si="156"/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0" t="str">
        <f t="shared" si="157"/>
        <v/>
      </c>
      <c r="OC5" s="40" t="str">
        <f t="shared" si="158"/>
        <v/>
      </c>
      <c r="OD5" s="40" t="str">
        <f t="shared" si="159"/>
        <v/>
      </c>
      <c r="OE5" s="40" t="str">
        <f t="shared" si="160"/>
        <v/>
      </c>
      <c r="OF5" s="40" t="str">
        <f t="shared" si="161"/>
        <v/>
      </c>
      <c r="OG5" s="40" t="str">
        <f t="shared" si="162"/>
        <v/>
      </c>
      <c r="OH5" s="40" t="str">
        <f t="shared" si="163"/>
        <v/>
      </c>
      <c r="OI5" s="40" t="str">
        <f t="shared" si="164"/>
        <v/>
      </c>
      <c r="OJ5" s="40" t="str">
        <f t="shared" si="165"/>
        <v/>
      </c>
      <c r="OK5" s="40" t="str">
        <f t="shared" si="166"/>
        <v/>
      </c>
      <c r="OL5" s="40" t="str">
        <f t="shared" si="167"/>
        <v/>
      </c>
      <c r="OM5" s="40" t="str">
        <f t="shared" si="168"/>
        <v/>
      </c>
      <c r="ON5" s="40" t="str">
        <f t="shared" si="169"/>
        <v/>
      </c>
      <c r="OO5" s="40" t="str">
        <f t="shared" si="170"/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 t="shared" si="171"/>
        <v/>
      </c>
      <c r="PK5" s="11" t="str">
        <f t="shared" si="172"/>
        <v/>
      </c>
      <c r="PL5" s="11" t="str">
        <f t="shared" si="173"/>
        <v/>
      </c>
      <c r="PM5" s="11" t="str">
        <f t="shared" si="174"/>
        <v/>
      </c>
      <c r="PN5" s="11" t="str">
        <f t="shared" si="175"/>
        <v/>
      </c>
      <c r="PO5" s="11" t="str">
        <f t="shared" si="176"/>
        <v/>
      </c>
      <c r="PP5" s="11" t="str">
        <f t="shared" si="177"/>
        <v/>
      </c>
      <c r="PQ5" s="11" t="str">
        <f t="shared" si="178"/>
        <v/>
      </c>
      <c r="PR5" s="11" t="str">
        <f t="shared" si="179"/>
        <v/>
      </c>
      <c r="PS5" s="11" t="str">
        <f t="shared" si="180"/>
        <v/>
      </c>
      <c r="PT5" s="11" t="str">
        <f t="shared" si="181"/>
        <v/>
      </c>
      <c r="PU5" s="11" t="str">
        <f t="shared" si="182"/>
        <v/>
      </c>
      <c r="PV5" s="11" t="str">
        <f t="shared" si="183"/>
        <v/>
      </c>
      <c r="PW5" s="11" t="str">
        <f t="shared" si="184"/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0" t="str">
        <f t="shared" si="185"/>
        <v/>
      </c>
      <c r="QS5" s="40" t="str">
        <f t="shared" si="186"/>
        <v/>
      </c>
      <c r="QT5" s="40" t="str">
        <f t="shared" si="187"/>
        <v/>
      </c>
      <c r="QU5" s="40" t="str">
        <f t="shared" si="188"/>
        <v/>
      </c>
      <c r="QV5" s="40" t="str">
        <f t="shared" si="189"/>
        <v/>
      </c>
      <c r="QW5" s="40" t="str">
        <f t="shared" si="190"/>
        <v/>
      </c>
      <c r="QX5" s="40" t="str">
        <f t="shared" si="191"/>
        <v/>
      </c>
      <c r="QY5" s="40" t="str">
        <f t="shared" si="192"/>
        <v/>
      </c>
      <c r="QZ5" s="40" t="str">
        <f t="shared" si="193"/>
        <v/>
      </c>
      <c r="RA5" s="40" t="str">
        <f t="shared" si="194"/>
        <v/>
      </c>
      <c r="RB5" s="40" t="str">
        <f t="shared" si="195"/>
        <v/>
      </c>
      <c r="RC5" s="40" t="str">
        <f t="shared" si="196"/>
        <v/>
      </c>
      <c r="RD5" s="40" t="str">
        <f t="shared" si="197"/>
        <v/>
      </c>
      <c r="RE5" s="40" t="str">
        <f t="shared" si="198"/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 t="shared" si="199"/>
        <v/>
      </c>
      <c r="SA5" s="11" t="str">
        <f t="shared" si="200"/>
        <v/>
      </c>
      <c r="SB5" s="11" t="str">
        <f t="shared" si="201"/>
        <v/>
      </c>
      <c r="SC5" s="11" t="str">
        <f t="shared" si="202"/>
        <v/>
      </c>
      <c r="SD5" s="11" t="str">
        <f t="shared" si="203"/>
        <v/>
      </c>
      <c r="SE5" s="11" t="str">
        <f t="shared" si="204"/>
        <v/>
      </c>
      <c r="SF5" s="11" t="str">
        <f t="shared" si="205"/>
        <v/>
      </c>
      <c r="SG5" s="11" t="str">
        <f t="shared" si="206"/>
        <v/>
      </c>
      <c r="SH5" s="11" t="str">
        <f t="shared" si="207"/>
        <v/>
      </c>
      <c r="SI5" s="11" t="str">
        <f t="shared" si="208"/>
        <v/>
      </c>
      <c r="SJ5" s="11" t="str">
        <f t="shared" si="209"/>
        <v/>
      </c>
      <c r="SK5" s="11" t="str">
        <f t="shared" si="210"/>
        <v/>
      </c>
      <c r="SL5" s="11" t="str">
        <f t="shared" si="211"/>
        <v/>
      </c>
      <c r="SM5" s="11" t="str">
        <f t="shared" si="212"/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0" t="str">
        <f t="shared" si="213"/>
        <v/>
      </c>
      <c r="TI5" s="40" t="str">
        <f t="shared" si="214"/>
        <v/>
      </c>
      <c r="TJ5" s="40" t="str">
        <f t="shared" si="215"/>
        <v/>
      </c>
      <c r="TK5" s="40" t="str">
        <f t="shared" si="216"/>
        <v/>
      </c>
      <c r="TL5" s="40" t="str">
        <f t="shared" si="217"/>
        <v/>
      </c>
      <c r="TM5" s="40" t="str">
        <f t="shared" si="218"/>
        <v/>
      </c>
      <c r="TN5" s="40" t="str">
        <f t="shared" si="219"/>
        <v/>
      </c>
      <c r="TO5" s="40" t="str">
        <f t="shared" si="220"/>
        <v/>
      </c>
      <c r="TP5" s="40" t="str">
        <f t="shared" si="221"/>
        <v/>
      </c>
      <c r="TQ5" s="40" t="str">
        <f t="shared" si="222"/>
        <v/>
      </c>
      <c r="TR5" s="40" t="str">
        <f t="shared" si="223"/>
        <v/>
      </c>
      <c r="TS5" s="40" t="str">
        <f t="shared" si="224"/>
        <v/>
      </c>
      <c r="TT5" s="40" t="str">
        <f t="shared" si="225"/>
        <v/>
      </c>
      <c r="TU5" s="40" t="str">
        <f t="shared" si="226"/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 t="shared" si="227"/>
        <v/>
      </c>
      <c r="UQ5" s="11" t="str">
        <f t="shared" si="228"/>
        <v/>
      </c>
      <c r="UR5" s="11" t="str">
        <f t="shared" si="229"/>
        <v/>
      </c>
      <c r="US5" s="11" t="str">
        <f t="shared" si="230"/>
        <v/>
      </c>
      <c r="UT5" s="11" t="str">
        <f t="shared" si="231"/>
        <v/>
      </c>
      <c r="UU5" s="11" t="str">
        <f t="shared" si="232"/>
        <v/>
      </c>
      <c r="UV5" s="11" t="str">
        <f t="shared" si="233"/>
        <v/>
      </c>
      <c r="UW5" s="11" t="str">
        <f t="shared" si="234"/>
        <v/>
      </c>
      <c r="UX5" s="11" t="str">
        <f t="shared" si="235"/>
        <v/>
      </c>
      <c r="UY5" s="11" t="str">
        <f t="shared" si="236"/>
        <v/>
      </c>
      <c r="UZ5" s="11" t="str">
        <f t="shared" si="237"/>
        <v/>
      </c>
      <c r="VA5" s="11" t="str">
        <f t="shared" si="238"/>
        <v/>
      </c>
      <c r="VB5" s="11" t="str">
        <f t="shared" si="239"/>
        <v/>
      </c>
      <c r="VC5" s="11" t="str">
        <f t="shared" si="240"/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0" t="str">
        <f t="shared" si="241"/>
        <v/>
      </c>
      <c r="VY5" s="40" t="str">
        <f t="shared" si="242"/>
        <v/>
      </c>
      <c r="VZ5" s="40" t="str">
        <f t="shared" si="243"/>
        <v/>
      </c>
      <c r="WA5" s="40" t="str">
        <f t="shared" si="244"/>
        <v/>
      </c>
      <c r="WB5" s="40" t="str">
        <f t="shared" si="245"/>
        <v/>
      </c>
      <c r="WC5" s="40" t="str">
        <f t="shared" si="246"/>
        <v/>
      </c>
      <c r="WD5" s="40" t="str">
        <f t="shared" si="247"/>
        <v/>
      </c>
      <c r="WE5" s="40" t="str">
        <f t="shared" si="248"/>
        <v/>
      </c>
      <c r="WF5" s="40" t="str">
        <f t="shared" si="249"/>
        <v/>
      </c>
      <c r="WG5" s="40" t="str">
        <f t="shared" si="250"/>
        <v/>
      </c>
      <c r="WH5" s="40" t="str">
        <f t="shared" si="251"/>
        <v/>
      </c>
      <c r="WI5" s="40" t="str">
        <f t="shared" si="252"/>
        <v/>
      </c>
      <c r="WJ5" s="40" t="str">
        <f t="shared" si="253"/>
        <v/>
      </c>
      <c r="WK5" s="40" t="str">
        <f t="shared" si="254"/>
        <v/>
      </c>
      <c r="WL5" s="26">
        <f t="shared" si="255"/>
        <v>0</v>
      </c>
      <c r="WM5" s="26">
        <f t="shared" si="256"/>
        <v>0</v>
      </c>
      <c r="WN5" s="26">
        <f t="shared" si="257"/>
        <v>0</v>
      </c>
      <c r="WO5" s="26">
        <f t="shared" si="258"/>
        <v>0</v>
      </c>
      <c r="WP5" s="26">
        <f t="shared" si="259"/>
        <v>0</v>
      </c>
      <c r="WQ5" s="26">
        <f t="shared" si="260"/>
        <v>0</v>
      </c>
      <c r="WR5" s="26">
        <f t="shared" si="261"/>
        <v>0</v>
      </c>
      <c r="WS5" s="26">
        <f t="shared" si="262"/>
        <v>0</v>
      </c>
      <c r="WT5" s="26">
        <f t="shared" si="263"/>
        <v>0</v>
      </c>
      <c r="WU5" s="26">
        <f t="shared" si="264"/>
        <v>0</v>
      </c>
      <c r="WV5" s="26">
        <f t="shared" si="265"/>
        <v>0</v>
      </c>
      <c r="WW5" s="26">
        <f t="shared" si="266"/>
        <v>0</v>
      </c>
      <c r="WX5" s="26">
        <f t="shared" si="267"/>
        <v>0</v>
      </c>
      <c r="WY5" s="26">
        <f t="shared" si="268"/>
        <v>0</v>
      </c>
      <c r="WZ5" s="26">
        <f t="shared" si="269"/>
        <v>0</v>
      </c>
      <c r="XA5" s="28" t="s">
        <v>53</v>
      </c>
      <c r="XB5" s="11" t="str">
        <f t="shared" si="270"/>
        <v/>
      </c>
      <c r="XC5" s="11" t="str">
        <f t="shared" si="271"/>
        <v/>
      </c>
      <c r="XD5" s="11" t="str">
        <f t="shared" si="272"/>
        <v/>
      </c>
      <c r="XE5" s="11" t="str">
        <f t="shared" si="273"/>
        <v/>
      </c>
      <c r="XF5" s="11" t="str">
        <f t="shared" si="274"/>
        <v/>
      </c>
      <c r="XG5" s="11" t="str">
        <f t="shared" si="275"/>
        <v/>
      </c>
      <c r="XH5" s="11" t="str">
        <f t="shared" si="276"/>
        <v/>
      </c>
      <c r="XI5" s="11" t="str">
        <f t="shared" si="277"/>
        <v/>
      </c>
      <c r="XJ5" s="11" t="str">
        <f t="shared" si="278"/>
        <v/>
      </c>
      <c r="XK5" s="11" t="str">
        <f t="shared" si="279"/>
        <v/>
      </c>
      <c r="XL5" s="11" t="str">
        <f t="shared" si="280"/>
        <v/>
      </c>
    </row>
    <row r="6" spans="1:636" x14ac:dyDescent="0.2">
      <c r="A6" s="4" cm="1">
        <f t="array" ref="A6">IF(AND(H6&lt;&gt;"",H6&lt;&gt;"No DD"),SUMPRODUCT((H$4:H$19&lt;&gt;"")*(H$4:H$19&lt;&gt;"No DD")*(E$4:E$19&gt;E6))+1,IF(H6="No DD",SUMPRODUCT((H$4:H$19="No DD")*(E$4:E$19&gt;E6))+1+SUMPRODUCT((H$4:H$19&lt;&gt;"")*(H$4:H$19&lt;&gt;"No DD")),""))</f>
        <v>3</v>
      </c>
      <c r="B6" s="5" t="s">
        <v>199</v>
      </c>
      <c r="C6" s="4" t="s">
        <v>7</v>
      </c>
      <c r="D6" s="4" t="s">
        <v>200</v>
      </c>
      <c r="E6" s="9">
        <f t="shared" si="0"/>
        <v>95.11</v>
      </c>
      <c r="F6" s="3" t="str">
        <f t="shared" si="1"/>
        <v/>
      </c>
      <c r="G6" s="3" t="str">
        <f t="shared" si="2"/>
        <v>P</v>
      </c>
      <c r="H6" s="36" t="str">
        <f t="shared" si="3"/>
        <v>No DD</v>
      </c>
      <c r="I6" s="3" t="str">
        <f t="shared" si="4"/>
        <v/>
      </c>
      <c r="J6" s="8">
        <f>IF(COUNT(AI6,AL6,AP6,BJ6,BM6,BQ6,CK6,CN6,CR6)&gt;0,LARGE((AI6,AL6,AP6,BJ6,BM6,BQ6,CK6,CN6,CR6),1),0)</f>
        <v>47.7</v>
      </c>
      <c r="K6" s="8" t="str">
        <f t="shared" si="5"/>
        <v>2024 Nationals</v>
      </c>
      <c r="L6" s="8">
        <f>IF(COUNT(AI6,AL6,AP6,BJ6,BM6,BQ6,CK6,CN6,CR6)&gt;1,LARGE((AI6,AL6,AP6,BJ6,BM6,BQ6,CK6,CN6,CR6),2),0)</f>
        <v>47.41</v>
      </c>
      <c r="M6" s="8" t="str">
        <f t="shared" si="6"/>
        <v>2024 Elite Canada</v>
      </c>
      <c r="N6" s="8" t="str">
        <f t="shared" si="7"/>
        <v/>
      </c>
      <c r="O6" s="11" t="str">
        <f t="shared" si="8"/>
        <v/>
      </c>
      <c r="P6" s="8" t="str">
        <f t="shared" si="9"/>
        <v/>
      </c>
      <c r="Q6" s="22">
        <v>4.95</v>
      </c>
      <c r="R6" s="22">
        <v>5.6</v>
      </c>
      <c r="S6" s="22">
        <v>6.2</v>
      </c>
      <c r="T6" s="22">
        <v>10.78</v>
      </c>
      <c r="U6" s="22">
        <v>0</v>
      </c>
      <c r="V6" s="22">
        <v>8.25</v>
      </c>
      <c r="W6" s="22">
        <v>9.3000000000000007</v>
      </c>
      <c r="X6" s="22">
        <v>11.2</v>
      </c>
      <c r="Y6" s="22">
        <v>18.66</v>
      </c>
      <c r="Z6" s="22">
        <v>0</v>
      </c>
      <c r="AA6" s="22">
        <v>6.6</v>
      </c>
      <c r="AB6" s="22">
        <v>7.65</v>
      </c>
      <c r="AC6" s="22">
        <v>8.6999999999999993</v>
      </c>
      <c r="AD6" s="22">
        <v>13.36</v>
      </c>
      <c r="AE6" s="22">
        <v>0</v>
      </c>
      <c r="AF6" s="27"/>
      <c r="AG6" s="38">
        <f t="shared" si="10"/>
        <v>6.2</v>
      </c>
      <c r="AH6" s="38">
        <f t="shared" si="11"/>
        <v>10.78</v>
      </c>
      <c r="AI6" s="40">
        <f t="shared" si="12"/>
        <v>27.53</v>
      </c>
      <c r="AJ6" s="40">
        <f t="shared" si="13"/>
        <v>11.2</v>
      </c>
      <c r="AK6" s="40">
        <f t="shared" si="14"/>
        <v>18.66</v>
      </c>
      <c r="AL6" s="40">
        <f t="shared" si="15"/>
        <v>47.41</v>
      </c>
      <c r="AM6" s="40">
        <f t="shared" si="16"/>
        <v>47.41</v>
      </c>
      <c r="AN6" s="40">
        <f t="shared" si="17"/>
        <v>8.6999999999999993</v>
      </c>
      <c r="AO6" s="40">
        <f t="shared" si="18"/>
        <v>13.36</v>
      </c>
      <c r="AP6" s="40">
        <f t="shared" si="19"/>
        <v>36.31</v>
      </c>
      <c r="AQ6" s="40">
        <f t="shared" si="20"/>
        <v>83.72</v>
      </c>
      <c r="AR6" s="26">
        <v>2.4500000000000002</v>
      </c>
      <c r="AS6" s="26">
        <v>2.75</v>
      </c>
      <c r="AT6" s="26">
        <v>3.8</v>
      </c>
      <c r="AU6" s="26">
        <v>3.7</v>
      </c>
      <c r="AV6" s="26">
        <v>0</v>
      </c>
      <c r="AW6" s="26">
        <v>8.0500000000000007</v>
      </c>
      <c r="AX6" s="26">
        <v>9.25</v>
      </c>
      <c r="AY6" s="26">
        <v>11.2</v>
      </c>
      <c r="AZ6" s="26">
        <v>18.32</v>
      </c>
      <c r="BA6" s="26">
        <v>0</v>
      </c>
      <c r="BB6" s="26">
        <v>8.1</v>
      </c>
      <c r="BC6" s="26">
        <v>9.4</v>
      </c>
      <c r="BD6" s="26">
        <v>11.2</v>
      </c>
      <c r="BE6" s="26">
        <v>19</v>
      </c>
      <c r="BF6" s="26">
        <v>0</v>
      </c>
      <c r="BG6" s="28"/>
      <c r="BH6" s="39">
        <f t="shared" si="21"/>
        <v>3.8</v>
      </c>
      <c r="BI6" s="39">
        <f t="shared" si="22"/>
        <v>3.7</v>
      </c>
      <c r="BJ6" s="11">
        <f t="shared" si="23"/>
        <v>12.7</v>
      </c>
      <c r="BK6" s="11">
        <f t="shared" si="24"/>
        <v>11.2</v>
      </c>
      <c r="BL6" s="11">
        <f t="shared" si="25"/>
        <v>18.32</v>
      </c>
      <c r="BM6" s="11">
        <f t="shared" si="26"/>
        <v>46.82</v>
      </c>
      <c r="BN6" s="11">
        <f t="shared" si="27"/>
        <v>46.82</v>
      </c>
      <c r="BO6" s="11">
        <f t="shared" si="28"/>
        <v>11.2</v>
      </c>
      <c r="BP6" s="11">
        <f t="shared" si="29"/>
        <v>19</v>
      </c>
      <c r="BQ6" s="11">
        <f t="shared" si="30"/>
        <v>47.7</v>
      </c>
      <c r="BR6" s="11">
        <f t="shared" si="31"/>
        <v>94.52000000000001</v>
      </c>
      <c r="BS6" s="22"/>
      <c r="BT6" s="22"/>
      <c r="BU6" s="22"/>
      <c r="BV6" s="22"/>
      <c r="BW6" s="22"/>
      <c r="BX6" s="22"/>
      <c r="BY6" s="22"/>
      <c r="BZ6" s="22"/>
      <c r="CA6" s="22"/>
      <c r="CB6" s="22"/>
      <c r="CC6" s="22"/>
      <c r="CD6" s="22"/>
      <c r="CE6" s="22"/>
      <c r="CF6" s="22"/>
      <c r="CG6" s="22"/>
      <c r="CH6" s="27"/>
      <c r="CI6" s="38" t="str">
        <f t="shared" si="32"/>
        <v/>
      </c>
      <c r="CJ6" s="38" t="str">
        <f t="shared" si="33"/>
        <v/>
      </c>
      <c r="CK6" s="40" t="str">
        <f t="shared" si="34"/>
        <v/>
      </c>
      <c r="CL6" s="40" t="str">
        <f t="shared" si="35"/>
        <v/>
      </c>
      <c r="CM6" s="40" t="str">
        <f t="shared" si="36"/>
        <v/>
      </c>
      <c r="CN6" s="40" t="str">
        <f t="shared" si="37"/>
        <v/>
      </c>
      <c r="CO6" s="40" t="str">
        <f t="shared" si="38"/>
        <v/>
      </c>
      <c r="CP6" s="40" t="str">
        <f t="shared" si="39"/>
        <v/>
      </c>
      <c r="CQ6" s="40" t="str">
        <f t="shared" si="40"/>
        <v/>
      </c>
      <c r="CR6" s="40" t="str">
        <f t="shared" si="41"/>
        <v/>
      </c>
      <c r="CS6" s="40" t="str">
        <f t="shared" si="42"/>
        <v/>
      </c>
      <c r="CT6" s="51" t="str">
        <f t="shared" si="43"/>
        <v/>
      </c>
      <c r="CU6" s="51" t="str">
        <f t="shared" si="44"/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0" t="str">
        <f t="shared" si="45"/>
        <v/>
      </c>
      <c r="DQ6" s="40" t="str">
        <f t="shared" si="46"/>
        <v/>
      </c>
      <c r="DR6" s="40" t="str">
        <f t="shared" si="47"/>
        <v/>
      </c>
      <c r="DS6" s="40" t="str">
        <f t="shared" si="48"/>
        <v/>
      </c>
      <c r="DT6" s="40" t="str">
        <f t="shared" si="49"/>
        <v/>
      </c>
      <c r="DU6" s="40" t="str">
        <f t="shared" si="50"/>
        <v/>
      </c>
      <c r="DV6" s="40" t="str">
        <f t="shared" si="51"/>
        <v/>
      </c>
      <c r="DW6" s="40" t="str">
        <f t="shared" si="52"/>
        <v/>
      </c>
      <c r="DX6" s="40" t="str">
        <f t="shared" si="53"/>
        <v/>
      </c>
      <c r="DY6" s="40" t="str">
        <f t="shared" si="54"/>
        <v/>
      </c>
      <c r="DZ6" s="40" t="str">
        <f t="shared" si="55"/>
        <v/>
      </c>
      <c r="EA6" s="40" t="str">
        <f t="shared" si="56"/>
        <v/>
      </c>
      <c r="EB6" s="40" t="str">
        <f t="shared" si="57"/>
        <v/>
      </c>
      <c r="EC6" s="40" t="str">
        <f t="shared" si="58"/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 t="shared" si="59"/>
        <v/>
      </c>
      <c r="EY6" s="11" t="str">
        <f t="shared" si="60"/>
        <v/>
      </c>
      <c r="EZ6" s="11" t="str">
        <f t="shared" si="61"/>
        <v/>
      </c>
      <c r="FA6" s="11" t="str">
        <f t="shared" si="62"/>
        <v/>
      </c>
      <c r="FB6" s="11" t="str">
        <f t="shared" si="63"/>
        <v/>
      </c>
      <c r="FC6" s="11" t="str">
        <f t="shared" si="64"/>
        <v/>
      </c>
      <c r="FD6" s="11" t="str">
        <f t="shared" si="65"/>
        <v/>
      </c>
      <c r="FE6" s="11" t="str">
        <f t="shared" si="66"/>
        <v/>
      </c>
      <c r="FF6" s="11" t="str">
        <f t="shared" si="67"/>
        <v/>
      </c>
      <c r="FG6" s="11" t="str">
        <f t="shared" si="68"/>
        <v/>
      </c>
      <c r="FH6" s="11" t="str">
        <f t="shared" si="69"/>
        <v/>
      </c>
      <c r="FI6" s="11" t="str">
        <f t="shared" si="70"/>
        <v/>
      </c>
      <c r="FJ6" s="11" t="str">
        <f t="shared" si="71"/>
        <v/>
      </c>
      <c r="FK6" s="11" t="str">
        <f t="shared" si="72"/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0" t="str">
        <f t="shared" si="73"/>
        <v/>
      </c>
      <c r="GG6" s="40" t="str">
        <f t="shared" si="74"/>
        <v/>
      </c>
      <c r="GH6" s="40" t="str">
        <f t="shared" si="75"/>
        <v/>
      </c>
      <c r="GI6" s="40" t="str">
        <f t="shared" si="76"/>
        <v/>
      </c>
      <c r="GJ6" s="40" t="str">
        <f t="shared" si="77"/>
        <v/>
      </c>
      <c r="GK6" s="40" t="str">
        <f t="shared" si="78"/>
        <v/>
      </c>
      <c r="GL6" s="40" t="str">
        <f t="shared" si="79"/>
        <v/>
      </c>
      <c r="GM6" s="40" t="str">
        <f t="shared" si="80"/>
        <v/>
      </c>
      <c r="GN6" s="40" t="str">
        <f t="shared" si="81"/>
        <v/>
      </c>
      <c r="GO6" s="40" t="str">
        <f t="shared" si="82"/>
        <v/>
      </c>
      <c r="GP6" s="40" t="str">
        <f t="shared" si="83"/>
        <v/>
      </c>
      <c r="GQ6" s="40" t="str">
        <f t="shared" si="84"/>
        <v/>
      </c>
      <c r="GR6" s="40" t="str">
        <f t="shared" si="85"/>
        <v/>
      </c>
      <c r="GS6" s="40" t="str">
        <f t="shared" si="86"/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 t="shared" si="87"/>
        <v/>
      </c>
      <c r="HO6" s="11" t="str">
        <f t="shared" si="88"/>
        <v/>
      </c>
      <c r="HP6" s="11" t="str">
        <f t="shared" si="89"/>
        <v/>
      </c>
      <c r="HQ6" s="11" t="str">
        <f t="shared" si="90"/>
        <v/>
      </c>
      <c r="HR6" s="11" t="str">
        <f t="shared" si="91"/>
        <v/>
      </c>
      <c r="HS6" s="11" t="str">
        <f t="shared" si="92"/>
        <v/>
      </c>
      <c r="HT6" s="11" t="str">
        <f t="shared" si="93"/>
        <v/>
      </c>
      <c r="HU6" s="11" t="str">
        <f t="shared" si="94"/>
        <v/>
      </c>
      <c r="HV6" s="11" t="str">
        <f t="shared" si="95"/>
        <v/>
      </c>
      <c r="HW6" s="11" t="str">
        <f t="shared" si="96"/>
        <v/>
      </c>
      <c r="HX6" s="11" t="str">
        <f t="shared" si="97"/>
        <v/>
      </c>
      <c r="HY6" s="11" t="str">
        <f t="shared" si="98"/>
        <v/>
      </c>
      <c r="HZ6" s="11" t="str">
        <f t="shared" si="99"/>
        <v/>
      </c>
      <c r="IA6" s="11" t="str">
        <f t="shared" si="100"/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0" t="str">
        <f t="shared" si="101"/>
        <v/>
      </c>
      <c r="IW6" s="40" t="str">
        <f t="shared" si="102"/>
        <v/>
      </c>
      <c r="IX6" s="40" t="str">
        <f t="shared" si="103"/>
        <v/>
      </c>
      <c r="IY6" s="40" t="str">
        <f t="shared" si="104"/>
        <v/>
      </c>
      <c r="IZ6" s="40" t="str">
        <f t="shared" si="105"/>
        <v/>
      </c>
      <c r="JA6" s="40" t="str">
        <f t="shared" si="106"/>
        <v/>
      </c>
      <c r="JB6" s="40" t="str">
        <f t="shared" si="107"/>
        <v/>
      </c>
      <c r="JC6" s="40" t="str">
        <f t="shared" si="108"/>
        <v/>
      </c>
      <c r="JD6" s="40" t="str">
        <f t="shared" si="109"/>
        <v/>
      </c>
      <c r="JE6" s="40" t="str">
        <f t="shared" si="110"/>
        <v/>
      </c>
      <c r="JF6" s="40" t="str">
        <f t="shared" si="111"/>
        <v/>
      </c>
      <c r="JG6" s="40" t="str">
        <f t="shared" si="112"/>
        <v/>
      </c>
      <c r="JH6" s="40" t="str">
        <f t="shared" si="113"/>
        <v/>
      </c>
      <c r="JI6" s="40" t="str">
        <f t="shared" si="114"/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 t="shared" si="115"/>
        <v/>
      </c>
      <c r="KE6" s="11" t="str">
        <f t="shared" si="116"/>
        <v/>
      </c>
      <c r="KF6" s="11" t="str">
        <f t="shared" si="117"/>
        <v/>
      </c>
      <c r="KG6" s="11" t="str">
        <f t="shared" si="118"/>
        <v/>
      </c>
      <c r="KH6" s="11" t="str">
        <f t="shared" si="119"/>
        <v/>
      </c>
      <c r="KI6" s="11" t="str">
        <f t="shared" si="120"/>
        <v/>
      </c>
      <c r="KJ6" s="11" t="str">
        <f t="shared" si="121"/>
        <v/>
      </c>
      <c r="KK6" s="11" t="str">
        <f t="shared" si="122"/>
        <v/>
      </c>
      <c r="KL6" s="11" t="str">
        <f t="shared" si="123"/>
        <v/>
      </c>
      <c r="KM6" s="11" t="str">
        <f t="shared" si="124"/>
        <v/>
      </c>
      <c r="KN6" s="11" t="str">
        <f t="shared" si="125"/>
        <v/>
      </c>
      <c r="KO6" s="11" t="str">
        <f t="shared" si="126"/>
        <v/>
      </c>
      <c r="KP6" s="11" t="str">
        <f t="shared" si="127"/>
        <v/>
      </c>
      <c r="KQ6" s="11" t="str">
        <f t="shared" si="128"/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0" t="str">
        <f t="shared" si="129"/>
        <v/>
      </c>
      <c r="LM6" s="40" t="str">
        <f t="shared" si="130"/>
        <v/>
      </c>
      <c r="LN6" s="40" t="str">
        <f t="shared" si="131"/>
        <v/>
      </c>
      <c r="LO6" s="40" t="str">
        <f t="shared" si="132"/>
        <v/>
      </c>
      <c r="LP6" s="40" t="str">
        <f t="shared" si="133"/>
        <v/>
      </c>
      <c r="LQ6" s="40" t="str">
        <f t="shared" si="134"/>
        <v/>
      </c>
      <c r="LR6" s="40" t="str">
        <f t="shared" si="135"/>
        <v/>
      </c>
      <c r="LS6" s="40" t="str">
        <f t="shared" si="136"/>
        <v/>
      </c>
      <c r="LT6" s="40" t="str">
        <f t="shared" si="137"/>
        <v/>
      </c>
      <c r="LU6" s="40" t="str">
        <f t="shared" si="138"/>
        <v/>
      </c>
      <c r="LV6" s="40" t="str">
        <f t="shared" si="139"/>
        <v/>
      </c>
      <c r="LW6" s="40" t="str">
        <f t="shared" si="140"/>
        <v/>
      </c>
      <c r="LX6" s="40" t="str">
        <f t="shared" si="141"/>
        <v/>
      </c>
      <c r="LY6" s="40" t="str">
        <f t="shared" si="142"/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 t="shared" si="143"/>
        <v/>
      </c>
      <c r="MU6" s="11" t="str">
        <f t="shared" si="144"/>
        <v/>
      </c>
      <c r="MV6" s="11" t="str">
        <f t="shared" si="145"/>
        <v/>
      </c>
      <c r="MW6" s="11" t="str">
        <f t="shared" si="146"/>
        <v/>
      </c>
      <c r="MX6" s="11" t="str">
        <f t="shared" si="147"/>
        <v/>
      </c>
      <c r="MY6" s="11" t="str">
        <f t="shared" si="148"/>
        <v/>
      </c>
      <c r="MZ6" s="11" t="str">
        <f t="shared" si="149"/>
        <v/>
      </c>
      <c r="NA6" s="11" t="str">
        <f t="shared" si="150"/>
        <v/>
      </c>
      <c r="NB6" s="11" t="str">
        <f t="shared" si="151"/>
        <v/>
      </c>
      <c r="NC6" s="11" t="str">
        <f t="shared" si="152"/>
        <v/>
      </c>
      <c r="ND6" s="11" t="str">
        <f t="shared" si="153"/>
        <v/>
      </c>
      <c r="NE6" s="11" t="str">
        <f t="shared" si="154"/>
        <v/>
      </c>
      <c r="NF6" s="11" t="str">
        <f t="shared" si="155"/>
        <v/>
      </c>
      <c r="NG6" s="11" t="str">
        <f t="shared" si="156"/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0" t="str">
        <f t="shared" si="157"/>
        <v/>
      </c>
      <c r="OC6" s="40" t="str">
        <f t="shared" si="158"/>
        <v/>
      </c>
      <c r="OD6" s="40" t="str">
        <f t="shared" si="159"/>
        <v/>
      </c>
      <c r="OE6" s="40" t="str">
        <f t="shared" si="160"/>
        <v/>
      </c>
      <c r="OF6" s="40" t="str">
        <f t="shared" si="161"/>
        <v/>
      </c>
      <c r="OG6" s="40" t="str">
        <f t="shared" si="162"/>
        <v/>
      </c>
      <c r="OH6" s="40" t="str">
        <f t="shared" si="163"/>
        <v/>
      </c>
      <c r="OI6" s="40" t="str">
        <f t="shared" si="164"/>
        <v/>
      </c>
      <c r="OJ6" s="40" t="str">
        <f t="shared" si="165"/>
        <v/>
      </c>
      <c r="OK6" s="40" t="str">
        <f t="shared" si="166"/>
        <v/>
      </c>
      <c r="OL6" s="40" t="str">
        <f t="shared" si="167"/>
        <v/>
      </c>
      <c r="OM6" s="40" t="str">
        <f t="shared" si="168"/>
        <v/>
      </c>
      <c r="ON6" s="40" t="str">
        <f t="shared" si="169"/>
        <v/>
      </c>
      <c r="OO6" s="40" t="str">
        <f t="shared" si="170"/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 t="shared" si="171"/>
        <v/>
      </c>
      <c r="PK6" s="11" t="str">
        <f t="shared" si="172"/>
        <v/>
      </c>
      <c r="PL6" s="11" t="str">
        <f t="shared" si="173"/>
        <v/>
      </c>
      <c r="PM6" s="11" t="str">
        <f t="shared" si="174"/>
        <v/>
      </c>
      <c r="PN6" s="11" t="str">
        <f t="shared" si="175"/>
        <v/>
      </c>
      <c r="PO6" s="11" t="str">
        <f t="shared" si="176"/>
        <v/>
      </c>
      <c r="PP6" s="11" t="str">
        <f t="shared" si="177"/>
        <v/>
      </c>
      <c r="PQ6" s="11" t="str">
        <f t="shared" si="178"/>
        <v/>
      </c>
      <c r="PR6" s="11" t="str">
        <f t="shared" si="179"/>
        <v/>
      </c>
      <c r="PS6" s="11" t="str">
        <f t="shared" si="180"/>
        <v/>
      </c>
      <c r="PT6" s="11" t="str">
        <f t="shared" si="181"/>
        <v/>
      </c>
      <c r="PU6" s="11" t="str">
        <f t="shared" si="182"/>
        <v/>
      </c>
      <c r="PV6" s="11" t="str">
        <f t="shared" si="183"/>
        <v/>
      </c>
      <c r="PW6" s="11" t="str">
        <f t="shared" si="184"/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0" t="str">
        <f t="shared" si="185"/>
        <v/>
      </c>
      <c r="QS6" s="40" t="str">
        <f t="shared" si="186"/>
        <v/>
      </c>
      <c r="QT6" s="40" t="str">
        <f t="shared" si="187"/>
        <v/>
      </c>
      <c r="QU6" s="40" t="str">
        <f t="shared" si="188"/>
        <v/>
      </c>
      <c r="QV6" s="40" t="str">
        <f t="shared" si="189"/>
        <v/>
      </c>
      <c r="QW6" s="40" t="str">
        <f t="shared" si="190"/>
        <v/>
      </c>
      <c r="QX6" s="40" t="str">
        <f t="shared" si="191"/>
        <v/>
      </c>
      <c r="QY6" s="40" t="str">
        <f t="shared" si="192"/>
        <v/>
      </c>
      <c r="QZ6" s="40" t="str">
        <f t="shared" si="193"/>
        <v/>
      </c>
      <c r="RA6" s="40" t="str">
        <f t="shared" si="194"/>
        <v/>
      </c>
      <c r="RB6" s="40" t="str">
        <f t="shared" si="195"/>
        <v/>
      </c>
      <c r="RC6" s="40" t="str">
        <f t="shared" si="196"/>
        <v/>
      </c>
      <c r="RD6" s="40" t="str">
        <f t="shared" si="197"/>
        <v/>
      </c>
      <c r="RE6" s="40" t="str">
        <f t="shared" si="198"/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 t="shared" si="199"/>
        <v/>
      </c>
      <c r="SA6" s="11" t="str">
        <f t="shared" si="200"/>
        <v/>
      </c>
      <c r="SB6" s="11" t="str">
        <f t="shared" si="201"/>
        <v/>
      </c>
      <c r="SC6" s="11" t="str">
        <f t="shared" si="202"/>
        <v/>
      </c>
      <c r="SD6" s="11" t="str">
        <f t="shared" si="203"/>
        <v/>
      </c>
      <c r="SE6" s="11" t="str">
        <f t="shared" si="204"/>
        <v/>
      </c>
      <c r="SF6" s="11" t="str">
        <f t="shared" si="205"/>
        <v/>
      </c>
      <c r="SG6" s="11" t="str">
        <f t="shared" si="206"/>
        <v/>
      </c>
      <c r="SH6" s="11" t="str">
        <f t="shared" si="207"/>
        <v/>
      </c>
      <c r="SI6" s="11" t="str">
        <f t="shared" si="208"/>
        <v/>
      </c>
      <c r="SJ6" s="11" t="str">
        <f t="shared" si="209"/>
        <v/>
      </c>
      <c r="SK6" s="11" t="str">
        <f t="shared" si="210"/>
        <v/>
      </c>
      <c r="SL6" s="11" t="str">
        <f t="shared" si="211"/>
        <v/>
      </c>
      <c r="SM6" s="11" t="str">
        <f t="shared" si="212"/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0" t="str">
        <f t="shared" si="213"/>
        <v/>
      </c>
      <c r="TI6" s="40" t="str">
        <f t="shared" si="214"/>
        <v/>
      </c>
      <c r="TJ6" s="40" t="str">
        <f t="shared" si="215"/>
        <v/>
      </c>
      <c r="TK6" s="40" t="str">
        <f t="shared" si="216"/>
        <v/>
      </c>
      <c r="TL6" s="40" t="str">
        <f t="shared" si="217"/>
        <v/>
      </c>
      <c r="TM6" s="40" t="str">
        <f t="shared" si="218"/>
        <v/>
      </c>
      <c r="TN6" s="40" t="str">
        <f t="shared" si="219"/>
        <v/>
      </c>
      <c r="TO6" s="40" t="str">
        <f t="shared" si="220"/>
        <v/>
      </c>
      <c r="TP6" s="40" t="str">
        <f t="shared" si="221"/>
        <v/>
      </c>
      <c r="TQ6" s="40" t="str">
        <f t="shared" si="222"/>
        <v/>
      </c>
      <c r="TR6" s="40" t="str">
        <f t="shared" si="223"/>
        <v/>
      </c>
      <c r="TS6" s="40" t="str">
        <f t="shared" si="224"/>
        <v/>
      </c>
      <c r="TT6" s="40" t="str">
        <f t="shared" si="225"/>
        <v/>
      </c>
      <c r="TU6" s="40" t="str">
        <f t="shared" si="226"/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 t="shared" si="227"/>
        <v/>
      </c>
      <c r="UQ6" s="11" t="str">
        <f t="shared" si="228"/>
        <v/>
      </c>
      <c r="UR6" s="11" t="str">
        <f t="shared" si="229"/>
        <v/>
      </c>
      <c r="US6" s="11" t="str">
        <f t="shared" si="230"/>
        <v/>
      </c>
      <c r="UT6" s="11" t="str">
        <f t="shared" si="231"/>
        <v/>
      </c>
      <c r="UU6" s="11" t="str">
        <f t="shared" si="232"/>
        <v/>
      </c>
      <c r="UV6" s="11" t="str">
        <f t="shared" si="233"/>
        <v/>
      </c>
      <c r="UW6" s="11" t="str">
        <f t="shared" si="234"/>
        <v/>
      </c>
      <c r="UX6" s="11" t="str">
        <f t="shared" si="235"/>
        <v/>
      </c>
      <c r="UY6" s="11" t="str">
        <f t="shared" si="236"/>
        <v/>
      </c>
      <c r="UZ6" s="11" t="str">
        <f t="shared" si="237"/>
        <v/>
      </c>
      <c r="VA6" s="11" t="str">
        <f t="shared" si="238"/>
        <v/>
      </c>
      <c r="VB6" s="11" t="str">
        <f t="shared" si="239"/>
        <v/>
      </c>
      <c r="VC6" s="11" t="str">
        <f t="shared" si="240"/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0" t="str">
        <f t="shared" si="241"/>
        <v/>
      </c>
      <c r="VY6" s="40" t="str">
        <f t="shared" si="242"/>
        <v/>
      </c>
      <c r="VZ6" s="40" t="str">
        <f t="shared" si="243"/>
        <v/>
      </c>
      <c r="WA6" s="40" t="str">
        <f t="shared" si="244"/>
        <v/>
      </c>
      <c r="WB6" s="40" t="str">
        <f t="shared" si="245"/>
        <v/>
      </c>
      <c r="WC6" s="40" t="str">
        <f t="shared" si="246"/>
        <v/>
      </c>
      <c r="WD6" s="40" t="str">
        <f t="shared" si="247"/>
        <v/>
      </c>
      <c r="WE6" s="40" t="str">
        <f t="shared" si="248"/>
        <v/>
      </c>
      <c r="WF6" s="40" t="str">
        <f t="shared" si="249"/>
        <v/>
      </c>
      <c r="WG6" s="40" t="str">
        <f t="shared" si="250"/>
        <v/>
      </c>
      <c r="WH6" s="40" t="str">
        <f t="shared" si="251"/>
        <v/>
      </c>
      <c r="WI6" s="40" t="str">
        <f t="shared" si="252"/>
        <v/>
      </c>
      <c r="WJ6" s="40" t="str">
        <f t="shared" si="253"/>
        <v/>
      </c>
      <c r="WK6" s="40" t="str">
        <f t="shared" si="254"/>
        <v/>
      </c>
      <c r="WL6" s="26">
        <f t="shared" si="255"/>
        <v>1.2250000000000001</v>
      </c>
      <c r="WM6" s="26">
        <f t="shared" si="256"/>
        <v>1.375</v>
      </c>
      <c r="WN6" s="26">
        <f t="shared" si="257"/>
        <v>1.9</v>
      </c>
      <c r="WO6" s="26">
        <f t="shared" si="258"/>
        <v>1.85</v>
      </c>
      <c r="WP6" s="26">
        <f t="shared" si="259"/>
        <v>0</v>
      </c>
      <c r="WQ6" s="26">
        <f t="shared" si="260"/>
        <v>4.0250000000000004</v>
      </c>
      <c r="WR6" s="26">
        <f t="shared" si="261"/>
        <v>4.625</v>
      </c>
      <c r="WS6" s="26">
        <f t="shared" si="262"/>
        <v>5.6</v>
      </c>
      <c r="WT6" s="26">
        <f t="shared" si="263"/>
        <v>9.16</v>
      </c>
      <c r="WU6" s="26">
        <f t="shared" si="264"/>
        <v>0</v>
      </c>
      <c r="WV6" s="26">
        <f t="shared" si="265"/>
        <v>4.05</v>
      </c>
      <c r="WW6" s="26">
        <f t="shared" si="266"/>
        <v>4.7</v>
      </c>
      <c r="WX6" s="26">
        <f t="shared" si="267"/>
        <v>5.6</v>
      </c>
      <c r="WY6" s="26">
        <f t="shared" si="268"/>
        <v>9.5</v>
      </c>
      <c r="WZ6" s="26">
        <f t="shared" si="269"/>
        <v>0</v>
      </c>
      <c r="XA6" s="28" t="s">
        <v>53</v>
      </c>
      <c r="XB6" s="11">
        <f t="shared" si="270"/>
        <v>1.9</v>
      </c>
      <c r="XC6" s="11">
        <f t="shared" si="271"/>
        <v>1.85</v>
      </c>
      <c r="XD6" s="11">
        <f t="shared" si="272"/>
        <v>6.35</v>
      </c>
      <c r="XE6" s="11">
        <f t="shared" si="273"/>
        <v>5.6</v>
      </c>
      <c r="XF6" s="11">
        <f t="shared" si="274"/>
        <v>9.16</v>
      </c>
      <c r="XG6" s="11">
        <f t="shared" si="275"/>
        <v>23.41</v>
      </c>
      <c r="XH6" s="11">
        <f t="shared" si="276"/>
        <v>23.41</v>
      </c>
      <c r="XI6" s="11">
        <f t="shared" si="277"/>
        <v>5.6</v>
      </c>
      <c r="XJ6" s="11">
        <f t="shared" si="278"/>
        <v>9.5</v>
      </c>
      <c r="XK6" s="11">
        <f t="shared" si="279"/>
        <v>23.85</v>
      </c>
      <c r="XL6" s="11">
        <f t="shared" si="280"/>
        <v>47.260000000000005</v>
      </c>
    </row>
    <row r="7" spans="1:636" x14ac:dyDescent="0.2">
      <c r="A7" s="4" cm="1">
        <f t="array" ref="A7">IF(AND(H7&lt;&gt;"",H7&lt;&gt;"No DD"),SUMPRODUCT((H$4:H$19&lt;&gt;"")*(H$4:H$19&lt;&gt;"No DD")*(E$4:E$19&gt;E7))+1,IF(H7="No DD",SUMPRODUCT((H$4:H$19="No DD")*(E$4:E$19&gt;E7))+1+SUMPRODUCT((H$4:H$19&lt;&gt;"")*(H$4:H$19&lt;&gt;"No DD")),""))</f>
        <v>4</v>
      </c>
      <c r="B7" s="5" t="s">
        <v>166</v>
      </c>
      <c r="C7" s="4" t="s">
        <v>165</v>
      </c>
      <c r="D7" s="4" t="s">
        <v>164</v>
      </c>
      <c r="E7" s="9">
        <f t="shared" si="0"/>
        <v>92.2</v>
      </c>
      <c r="F7" s="3" t="str">
        <f t="shared" si="1"/>
        <v/>
      </c>
      <c r="G7" s="3" t="str">
        <f t="shared" si="2"/>
        <v>P</v>
      </c>
      <c r="H7" s="36" t="str">
        <f t="shared" si="3"/>
        <v>No DD</v>
      </c>
      <c r="I7" s="3" t="str">
        <f t="shared" si="4"/>
        <v/>
      </c>
      <c r="J7" s="8">
        <f>IF(COUNT(AI7,AL7,AP7,BJ7,BM7,BQ7,CK7,CN7,CR7)&gt;0,LARGE((AI7,AL7,AP7,BJ7,BM7,BQ7,CK7,CN7,CR7),1),0)</f>
        <v>47.73</v>
      </c>
      <c r="K7" s="8" t="str">
        <f t="shared" si="5"/>
        <v>2024 Elite Canada</v>
      </c>
      <c r="L7" s="8">
        <f>IF(COUNT(AI7,AL7,AP7,BJ7,BM7,BQ7,CK7,CN7,CR7)&gt;1,LARGE((AI7,AL7,AP7,BJ7,BM7,BQ7,CK7,CN7,CR7),2),0)</f>
        <v>44.470000000000006</v>
      </c>
      <c r="M7" s="8" t="str">
        <f t="shared" si="6"/>
        <v>2024 Elite Canada</v>
      </c>
      <c r="N7" s="8" t="str">
        <f t="shared" si="7"/>
        <v/>
      </c>
      <c r="O7" s="11" t="str">
        <f t="shared" si="8"/>
        <v/>
      </c>
      <c r="P7" s="8" t="str">
        <f t="shared" si="9"/>
        <v/>
      </c>
      <c r="Q7" s="22">
        <v>8.3000000000000007</v>
      </c>
      <c r="R7" s="22">
        <v>9.35</v>
      </c>
      <c r="S7" s="22">
        <v>11.1</v>
      </c>
      <c r="T7" s="22">
        <v>16.12</v>
      </c>
      <c r="U7" s="22">
        <v>0.4</v>
      </c>
      <c r="V7" s="22">
        <v>8.6</v>
      </c>
      <c r="W7" s="22">
        <v>9.4499999999999993</v>
      </c>
      <c r="X7" s="22">
        <v>11.1</v>
      </c>
      <c r="Y7" s="22">
        <v>18.579999999999998</v>
      </c>
      <c r="Z7" s="22">
        <v>0</v>
      </c>
      <c r="AA7" s="22">
        <v>1.8</v>
      </c>
      <c r="AB7" s="22">
        <v>1.85</v>
      </c>
      <c r="AC7" s="22">
        <v>2.7</v>
      </c>
      <c r="AD7" s="22">
        <v>3.38</v>
      </c>
      <c r="AE7" s="22">
        <v>0</v>
      </c>
      <c r="AF7" s="27"/>
      <c r="AG7" s="38">
        <f t="shared" si="10"/>
        <v>11.1</v>
      </c>
      <c r="AH7" s="38">
        <f t="shared" si="11"/>
        <v>16.12</v>
      </c>
      <c r="AI7" s="40">
        <f t="shared" si="12"/>
        <v>44.470000000000006</v>
      </c>
      <c r="AJ7" s="40">
        <f t="shared" si="13"/>
        <v>11.1</v>
      </c>
      <c r="AK7" s="40">
        <f t="shared" si="14"/>
        <v>18.579999999999998</v>
      </c>
      <c r="AL7" s="40">
        <f t="shared" si="15"/>
        <v>47.73</v>
      </c>
      <c r="AM7" s="40">
        <f t="shared" si="16"/>
        <v>47.73</v>
      </c>
      <c r="AN7" s="40">
        <f t="shared" si="17"/>
        <v>2.7</v>
      </c>
      <c r="AO7" s="40">
        <f t="shared" si="18"/>
        <v>3.38</v>
      </c>
      <c r="AP7" s="40">
        <f t="shared" si="19"/>
        <v>9.73</v>
      </c>
      <c r="AQ7" s="40">
        <f t="shared" si="20"/>
        <v>57.459999999999994</v>
      </c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8"/>
      <c r="BH7" s="39" t="str">
        <f t="shared" si="21"/>
        <v/>
      </c>
      <c r="BI7" s="39" t="str">
        <f t="shared" si="22"/>
        <v/>
      </c>
      <c r="BJ7" s="11" t="str">
        <f t="shared" si="23"/>
        <v/>
      </c>
      <c r="BK7" s="11" t="str">
        <f t="shared" si="24"/>
        <v/>
      </c>
      <c r="BL7" s="11" t="str">
        <f t="shared" si="25"/>
        <v/>
      </c>
      <c r="BM7" s="11" t="str">
        <f t="shared" si="26"/>
        <v/>
      </c>
      <c r="BN7" s="11" t="str">
        <f t="shared" si="27"/>
        <v/>
      </c>
      <c r="BO7" s="11" t="str">
        <f t="shared" si="28"/>
        <v/>
      </c>
      <c r="BP7" s="11" t="str">
        <f t="shared" si="29"/>
        <v/>
      </c>
      <c r="BQ7" s="11" t="str">
        <f t="shared" si="30"/>
        <v/>
      </c>
      <c r="BR7" s="11" t="str">
        <f t="shared" si="31"/>
        <v/>
      </c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  <c r="CD7" s="22"/>
      <c r="CE7" s="22"/>
      <c r="CF7" s="22"/>
      <c r="CG7" s="22"/>
      <c r="CH7" s="27"/>
      <c r="CI7" s="38" t="str">
        <f t="shared" si="32"/>
        <v/>
      </c>
      <c r="CJ7" s="38" t="str">
        <f t="shared" si="33"/>
        <v/>
      </c>
      <c r="CK7" s="40" t="str">
        <f t="shared" si="34"/>
        <v/>
      </c>
      <c r="CL7" s="40" t="str">
        <f t="shared" si="35"/>
        <v/>
      </c>
      <c r="CM7" s="40" t="str">
        <f t="shared" si="36"/>
        <v/>
      </c>
      <c r="CN7" s="40" t="str">
        <f t="shared" si="37"/>
        <v/>
      </c>
      <c r="CO7" s="40" t="str">
        <f t="shared" si="38"/>
        <v/>
      </c>
      <c r="CP7" s="40" t="str">
        <f t="shared" si="39"/>
        <v/>
      </c>
      <c r="CQ7" s="40" t="str">
        <f t="shared" si="40"/>
        <v/>
      </c>
      <c r="CR7" s="40" t="str">
        <f t="shared" si="41"/>
        <v/>
      </c>
      <c r="CS7" s="40" t="str">
        <f t="shared" si="42"/>
        <v/>
      </c>
      <c r="CT7" s="51" t="str">
        <f t="shared" si="43"/>
        <v/>
      </c>
      <c r="CU7" s="51" t="str">
        <f t="shared" si="44"/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0" t="str">
        <f t="shared" si="45"/>
        <v/>
      </c>
      <c r="DQ7" s="40" t="str">
        <f t="shared" si="46"/>
        <v/>
      </c>
      <c r="DR7" s="40" t="str">
        <f t="shared" si="47"/>
        <v/>
      </c>
      <c r="DS7" s="40" t="str">
        <f t="shared" si="48"/>
        <v/>
      </c>
      <c r="DT7" s="40" t="str">
        <f t="shared" si="49"/>
        <v/>
      </c>
      <c r="DU7" s="40" t="str">
        <f t="shared" si="50"/>
        <v/>
      </c>
      <c r="DV7" s="40" t="str">
        <f t="shared" si="51"/>
        <v/>
      </c>
      <c r="DW7" s="40" t="str">
        <f t="shared" si="52"/>
        <v/>
      </c>
      <c r="DX7" s="40" t="str">
        <f t="shared" si="53"/>
        <v/>
      </c>
      <c r="DY7" s="40" t="str">
        <f t="shared" si="54"/>
        <v/>
      </c>
      <c r="DZ7" s="40" t="str">
        <f t="shared" si="55"/>
        <v/>
      </c>
      <c r="EA7" s="40" t="str">
        <f t="shared" si="56"/>
        <v/>
      </c>
      <c r="EB7" s="40" t="str">
        <f t="shared" si="57"/>
        <v/>
      </c>
      <c r="EC7" s="40" t="str">
        <f t="shared" si="58"/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 t="shared" si="59"/>
        <v/>
      </c>
      <c r="EY7" s="11" t="str">
        <f t="shared" si="60"/>
        <v/>
      </c>
      <c r="EZ7" s="11" t="str">
        <f t="shared" si="61"/>
        <v/>
      </c>
      <c r="FA7" s="11" t="str">
        <f t="shared" si="62"/>
        <v/>
      </c>
      <c r="FB7" s="11" t="str">
        <f t="shared" si="63"/>
        <v/>
      </c>
      <c r="FC7" s="11" t="str">
        <f t="shared" si="64"/>
        <v/>
      </c>
      <c r="FD7" s="11" t="str">
        <f t="shared" si="65"/>
        <v/>
      </c>
      <c r="FE7" s="11" t="str">
        <f t="shared" si="66"/>
        <v/>
      </c>
      <c r="FF7" s="11" t="str">
        <f t="shared" si="67"/>
        <v/>
      </c>
      <c r="FG7" s="11" t="str">
        <f t="shared" si="68"/>
        <v/>
      </c>
      <c r="FH7" s="11" t="str">
        <f t="shared" si="69"/>
        <v/>
      </c>
      <c r="FI7" s="11" t="str">
        <f t="shared" si="70"/>
        <v/>
      </c>
      <c r="FJ7" s="11" t="str">
        <f t="shared" si="71"/>
        <v/>
      </c>
      <c r="FK7" s="11" t="str">
        <f t="shared" si="72"/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0" t="str">
        <f t="shared" si="73"/>
        <v/>
      </c>
      <c r="GG7" s="40" t="str">
        <f t="shared" si="74"/>
        <v/>
      </c>
      <c r="GH7" s="40" t="str">
        <f t="shared" si="75"/>
        <v/>
      </c>
      <c r="GI7" s="40" t="str">
        <f t="shared" si="76"/>
        <v/>
      </c>
      <c r="GJ7" s="40" t="str">
        <f t="shared" si="77"/>
        <v/>
      </c>
      <c r="GK7" s="40" t="str">
        <f t="shared" si="78"/>
        <v/>
      </c>
      <c r="GL7" s="40" t="str">
        <f t="shared" si="79"/>
        <v/>
      </c>
      <c r="GM7" s="40" t="str">
        <f t="shared" si="80"/>
        <v/>
      </c>
      <c r="GN7" s="40" t="str">
        <f t="shared" si="81"/>
        <v/>
      </c>
      <c r="GO7" s="40" t="str">
        <f t="shared" si="82"/>
        <v/>
      </c>
      <c r="GP7" s="40" t="str">
        <f t="shared" si="83"/>
        <v/>
      </c>
      <c r="GQ7" s="40" t="str">
        <f t="shared" si="84"/>
        <v/>
      </c>
      <c r="GR7" s="40" t="str">
        <f t="shared" si="85"/>
        <v/>
      </c>
      <c r="GS7" s="40" t="str">
        <f t="shared" si="86"/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 t="shared" si="87"/>
        <v/>
      </c>
      <c r="HO7" s="11" t="str">
        <f t="shared" si="88"/>
        <v/>
      </c>
      <c r="HP7" s="11" t="str">
        <f t="shared" si="89"/>
        <v/>
      </c>
      <c r="HQ7" s="11" t="str">
        <f t="shared" si="90"/>
        <v/>
      </c>
      <c r="HR7" s="11" t="str">
        <f t="shared" si="91"/>
        <v/>
      </c>
      <c r="HS7" s="11" t="str">
        <f t="shared" si="92"/>
        <v/>
      </c>
      <c r="HT7" s="11" t="str">
        <f t="shared" si="93"/>
        <v/>
      </c>
      <c r="HU7" s="11" t="str">
        <f t="shared" si="94"/>
        <v/>
      </c>
      <c r="HV7" s="11" t="str">
        <f t="shared" si="95"/>
        <v/>
      </c>
      <c r="HW7" s="11" t="str">
        <f t="shared" si="96"/>
        <v/>
      </c>
      <c r="HX7" s="11" t="str">
        <f t="shared" si="97"/>
        <v/>
      </c>
      <c r="HY7" s="11" t="str">
        <f t="shared" si="98"/>
        <v/>
      </c>
      <c r="HZ7" s="11" t="str">
        <f t="shared" si="99"/>
        <v/>
      </c>
      <c r="IA7" s="11" t="str">
        <f t="shared" si="100"/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0" t="str">
        <f t="shared" si="101"/>
        <v/>
      </c>
      <c r="IW7" s="40" t="str">
        <f t="shared" si="102"/>
        <v/>
      </c>
      <c r="IX7" s="40" t="str">
        <f t="shared" si="103"/>
        <v/>
      </c>
      <c r="IY7" s="40" t="str">
        <f t="shared" si="104"/>
        <v/>
      </c>
      <c r="IZ7" s="40" t="str">
        <f t="shared" si="105"/>
        <v/>
      </c>
      <c r="JA7" s="40" t="str">
        <f t="shared" si="106"/>
        <v/>
      </c>
      <c r="JB7" s="40" t="str">
        <f t="shared" si="107"/>
        <v/>
      </c>
      <c r="JC7" s="40" t="str">
        <f t="shared" si="108"/>
        <v/>
      </c>
      <c r="JD7" s="40" t="str">
        <f t="shared" si="109"/>
        <v/>
      </c>
      <c r="JE7" s="40" t="str">
        <f t="shared" si="110"/>
        <v/>
      </c>
      <c r="JF7" s="40" t="str">
        <f t="shared" si="111"/>
        <v/>
      </c>
      <c r="JG7" s="40" t="str">
        <f t="shared" si="112"/>
        <v/>
      </c>
      <c r="JH7" s="40" t="str">
        <f t="shared" si="113"/>
        <v/>
      </c>
      <c r="JI7" s="40" t="str">
        <f t="shared" si="114"/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 t="shared" si="115"/>
        <v/>
      </c>
      <c r="KE7" s="11" t="str">
        <f t="shared" si="116"/>
        <v/>
      </c>
      <c r="KF7" s="11" t="str">
        <f t="shared" si="117"/>
        <v/>
      </c>
      <c r="KG7" s="11" t="str">
        <f t="shared" si="118"/>
        <v/>
      </c>
      <c r="KH7" s="11" t="str">
        <f t="shared" si="119"/>
        <v/>
      </c>
      <c r="KI7" s="11" t="str">
        <f t="shared" si="120"/>
        <v/>
      </c>
      <c r="KJ7" s="11" t="str">
        <f t="shared" si="121"/>
        <v/>
      </c>
      <c r="KK7" s="11" t="str">
        <f t="shared" si="122"/>
        <v/>
      </c>
      <c r="KL7" s="11" t="str">
        <f t="shared" si="123"/>
        <v/>
      </c>
      <c r="KM7" s="11" t="str">
        <f t="shared" si="124"/>
        <v/>
      </c>
      <c r="KN7" s="11" t="str">
        <f t="shared" si="125"/>
        <v/>
      </c>
      <c r="KO7" s="11" t="str">
        <f t="shared" si="126"/>
        <v/>
      </c>
      <c r="KP7" s="11" t="str">
        <f t="shared" si="127"/>
        <v/>
      </c>
      <c r="KQ7" s="11" t="str">
        <f t="shared" si="128"/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0" t="str">
        <f t="shared" si="129"/>
        <v/>
      </c>
      <c r="LM7" s="40" t="str">
        <f t="shared" si="130"/>
        <v/>
      </c>
      <c r="LN7" s="40" t="str">
        <f t="shared" si="131"/>
        <v/>
      </c>
      <c r="LO7" s="40" t="str">
        <f t="shared" si="132"/>
        <v/>
      </c>
      <c r="LP7" s="40" t="str">
        <f t="shared" si="133"/>
        <v/>
      </c>
      <c r="LQ7" s="40" t="str">
        <f t="shared" si="134"/>
        <v/>
      </c>
      <c r="LR7" s="40" t="str">
        <f t="shared" si="135"/>
        <v/>
      </c>
      <c r="LS7" s="40" t="str">
        <f t="shared" si="136"/>
        <v/>
      </c>
      <c r="LT7" s="40" t="str">
        <f t="shared" si="137"/>
        <v/>
      </c>
      <c r="LU7" s="40" t="str">
        <f t="shared" si="138"/>
        <v/>
      </c>
      <c r="LV7" s="40" t="str">
        <f t="shared" si="139"/>
        <v/>
      </c>
      <c r="LW7" s="40" t="str">
        <f t="shared" si="140"/>
        <v/>
      </c>
      <c r="LX7" s="40" t="str">
        <f t="shared" si="141"/>
        <v/>
      </c>
      <c r="LY7" s="40" t="str">
        <f t="shared" si="142"/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 t="shared" si="143"/>
        <v/>
      </c>
      <c r="MU7" s="11" t="str">
        <f t="shared" si="144"/>
        <v/>
      </c>
      <c r="MV7" s="11" t="str">
        <f t="shared" si="145"/>
        <v/>
      </c>
      <c r="MW7" s="11" t="str">
        <f t="shared" si="146"/>
        <v/>
      </c>
      <c r="MX7" s="11" t="str">
        <f t="shared" si="147"/>
        <v/>
      </c>
      <c r="MY7" s="11" t="str">
        <f t="shared" si="148"/>
        <v/>
      </c>
      <c r="MZ7" s="11" t="str">
        <f t="shared" si="149"/>
        <v/>
      </c>
      <c r="NA7" s="11" t="str">
        <f t="shared" si="150"/>
        <v/>
      </c>
      <c r="NB7" s="11" t="str">
        <f t="shared" si="151"/>
        <v/>
      </c>
      <c r="NC7" s="11" t="str">
        <f t="shared" si="152"/>
        <v/>
      </c>
      <c r="ND7" s="11" t="str">
        <f t="shared" si="153"/>
        <v/>
      </c>
      <c r="NE7" s="11" t="str">
        <f t="shared" si="154"/>
        <v/>
      </c>
      <c r="NF7" s="11" t="str">
        <f t="shared" si="155"/>
        <v/>
      </c>
      <c r="NG7" s="11" t="str">
        <f t="shared" si="156"/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0" t="str">
        <f t="shared" si="157"/>
        <v/>
      </c>
      <c r="OC7" s="40" t="str">
        <f t="shared" si="158"/>
        <v/>
      </c>
      <c r="OD7" s="40" t="str">
        <f t="shared" si="159"/>
        <v/>
      </c>
      <c r="OE7" s="40" t="str">
        <f t="shared" si="160"/>
        <v/>
      </c>
      <c r="OF7" s="40" t="str">
        <f t="shared" si="161"/>
        <v/>
      </c>
      <c r="OG7" s="40" t="str">
        <f t="shared" si="162"/>
        <v/>
      </c>
      <c r="OH7" s="40" t="str">
        <f t="shared" si="163"/>
        <v/>
      </c>
      <c r="OI7" s="40" t="str">
        <f t="shared" si="164"/>
        <v/>
      </c>
      <c r="OJ7" s="40" t="str">
        <f t="shared" si="165"/>
        <v/>
      </c>
      <c r="OK7" s="40" t="str">
        <f t="shared" si="166"/>
        <v/>
      </c>
      <c r="OL7" s="40" t="str">
        <f t="shared" si="167"/>
        <v/>
      </c>
      <c r="OM7" s="40" t="str">
        <f t="shared" si="168"/>
        <v/>
      </c>
      <c r="ON7" s="40" t="str">
        <f t="shared" si="169"/>
        <v/>
      </c>
      <c r="OO7" s="40" t="str">
        <f t="shared" si="170"/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 t="shared" si="171"/>
        <v/>
      </c>
      <c r="PK7" s="11" t="str">
        <f t="shared" si="172"/>
        <v/>
      </c>
      <c r="PL7" s="11" t="str">
        <f t="shared" si="173"/>
        <v/>
      </c>
      <c r="PM7" s="11" t="str">
        <f t="shared" si="174"/>
        <v/>
      </c>
      <c r="PN7" s="11" t="str">
        <f t="shared" si="175"/>
        <v/>
      </c>
      <c r="PO7" s="11" t="str">
        <f t="shared" si="176"/>
        <v/>
      </c>
      <c r="PP7" s="11" t="str">
        <f t="shared" si="177"/>
        <v/>
      </c>
      <c r="PQ7" s="11" t="str">
        <f t="shared" si="178"/>
        <v/>
      </c>
      <c r="PR7" s="11" t="str">
        <f t="shared" si="179"/>
        <v/>
      </c>
      <c r="PS7" s="11" t="str">
        <f t="shared" si="180"/>
        <v/>
      </c>
      <c r="PT7" s="11" t="str">
        <f t="shared" si="181"/>
        <v/>
      </c>
      <c r="PU7" s="11" t="str">
        <f t="shared" si="182"/>
        <v/>
      </c>
      <c r="PV7" s="11" t="str">
        <f t="shared" si="183"/>
        <v/>
      </c>
      <c r="PW7" s="11" t="str">
        <f t="shared" si="184"/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0" t="str">
        <f t="shared" si="185"/>
        <v/>
      </c>
      <c r="QS7" s="40" t="str">
        <f t="shared" si="186"/>
        <v/>
      </c>
      <c r="QT7" s="40" t="str">
        <f t="shared" si="187"/>
        <v/>
      </c>
      <c r="QU7" s="40" t="str">
        <f t="shared" si="188"/>
        <v/>
      </c>
      <c r="QV7" s="40" t="str">
        <f t="shared" si="189"/>
        <v/>
      </c>
      <c r="QW7" s="40" t="str">
        <f t="shared" si="190"/>
        <v/>
      </c>
      <c r="QX7" s="40" t="str">
        <f t="shared" si="191"/>
        <v/>
      </c>
      <c r="QY7" s="40" t="str">
        <f t="shared" si="192"/>
        <v/>
      </c>
      <c r="QZ7" s="40" t="str">
        <f t="shared" si="193"/>
        <v/>
      </c>
      <c r="RA7" s="40" t="str">
        <f t="shared" si="194"/>
        <v/>
      </c>
      <c r="RB7" s="40" t="str">
        <f t="shared" si="195"/>
        <v/>
      </c>
      <c r="RC7" s="40" t="str">
        <f t="shared" si="196"/>
        <v/>
      </c>
      <c r="RD7" s="40" t="str">
        <f t="shared" si="197"/>
        <v/>
      </c>
      <c r="RE7" s="40" t="str">
        <f t="shared" si="198"/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 t="shared" si="199"/>
        <v/>
      </c>
      <c r="SA7" s="11" t="str">
        <f t="shared" si="200"/>
        <v/>
      </c>
      <c r="SB7" s="11" t="str">
        <f t="shared" si="201"/>
        <v/>
      </c>
      <c r="SC7" s="11" t="str">
        <f t="shared" si="202"/>
        <v/>
      </c>
      <c r="SD7" s="11" t="str">
        <f t="shared" si="203"/>
        <v/>
      </c>
      <c r="SE7" s="11" t="str">
        <f t="shared" si="204"/>
        <v/>
      </c>
      <c r="SF7" s="11" t="str">
        <f t="shared" si="205"/>
        <v/>
      </c>
      <c r="SG7" s="11" t="str">
        <f t="shared" si="206"/>
        <v/>
      </c>
      <c r="SH7" s="11" t="str">
        <f t="shared" si="207"/>
        <v/>
      </c>
      <c r="SI7" s="11" t="str">
        <f t="shared" si="208"/>
        <v/>
      </c>
      <c r="SJ7" s="11" t="str">
        <f t="shared" si="209"/>
        <v/>
      </c>
      <c r="SK7" s="11" t="str">
        <f t="shared" si="210"/>
        <v/>
      </c>
      <c r="SL7" s="11" t="str">
        <f t="shared" si="211"/>
        <v/>
      </c>
      <c r="SM7" s="11" t="str">
        <f t="shared" si="212"/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0" t="str">
        <f t="shared" si="213"/>
        <v/>
      </c>
      <c r="TI7" s="40" t="str">
        <f t="shared" si="214"/>
        <v/>
      </c>
      <c r="TJ7" s="40" t="str">
        <f t="shared" si="215"/>
        <v/>
      </c>
      <c r="TK7" s="40" t="str">
        <f t="shared" si="216"/>
        <v/>
      </c>
      <c r="TL7" s="40" t="str">
        <f t="shared" si="217"/>
        <v/>
      </c>
      <c r="TM7" s="40" t="str">
        <f t="shared" si="218"/>
        <v/>
      </c>
      <c r="TN7" s="40" t="str">
        <f t="shared" si="219"/>
        <v/>
      </c>
      <c r="TO7" s="40" t="str">
        <f t="shared" si="220"/>
        <v/>
      </c>
      <c r="TP7" s="40" t="str">
        <f t="shared" si="221"/>
        <v/>
      </c>
      <c r="TQ7" s="40" t="str">
        <f t="shared" si="222"/>
        <v/>
      </c>
      <c r="TR7" s="40" t="str">
        <f t="shared" si="223"/>
        <v/>
      </c>
      <c r="TS7" s="40" t="str">
        <f t="shared" si="224"/>
        <v/>
      </c>
      <c r="TT7" s="40" t="str">
        <f t="shared" si="225"/>
        <v/>
      </c>
      <c r="TU7" s="40" t="str">
        <f t="shared" si="226"/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 t="shared" si="227"/>
        <v/>
      </c>
      <c r="UQ7" s="11" t="str">
        <f t="shared" si="228"/>
        <v/>
      </c>
      <c r="UR7" s="11" t="str">
        <f t="shared" si="229"/>
        <v/>
      </c>
      <c r="US7" s="11" t="str">
        <f t="shared" si="230"/>
        <v/>
      </c>
      <c r="UT7" s="11" t="str">
        <f t="shared" si="231"/>
        <v/>
      </c>
      <c r="UU7" s="11" t="str">
        <f t="shared" si="232"/>
        <v/>
      </c>
      <c r="UV7" s="11" t="str">
        <f t="shared" si="233"/>
        <v/>
      </c>
      <c r="UW7" s="11" t="str">
        <f t="shared" si="234"/>
        <v/>
      </c>
      <c r="UX7" s="11" t="str">
        <f t="shared" si="235"/>
        <v/>
      </c>
      <c r="UY7" s="11" t="str">
        <f t="shared" si="236"/>
        <v/>
      </c>
      <c r="UZ7" s="11" t="str">
        <f t="shared" si="237"/>
        <v/>
      </c>
      <c r="VA7" s="11" t="str">
        <f t="shared" si="238"/>
        <v/>
      </c>
      <c r="VB7" s="11" t="str">
        <f t="shared" si="239"/>
        <v/>
      </c>
      <c r="VC7" s="11" t="str">
        <f t="shared" si="240"/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0" t="str">
        <f t="shared" si="241"/>
        <v/>
      </c>
      <c r="VY7" s="40" t="str">
        <f t="shared" si="242"/>
        <v/>
      </c>
      <c r="VZ7" s="40" t="str">
        <f t="shared" si="243"/>
        <v/>
      </c>
      <c r="WA7" s="40" t="str">
        <f t="shared" si="244"/>
        <v/>
      </c>
      <c r="WB7" s="40" t="str">
        <f t="shared" si="245"/>
        <v/>
      </c>
      <c r="WC7" s="40" t="str">
        <f t="shared" si="246"/>
        <v/>
      </c>
      <c r="WD7" s="40" t="str">
        <f t="shared" si="247"/>
        <v/>
      </c>
      <c r="WE7" s="40" t="str">
        <f t="shared" si="248"/>
        <v/>
      </c>
      <c r="WF7" s="40" t="str">
        <f t="shared" si="249"/>
        <v/>
      </c>
      <c r="WG7" s="40" t="str">
        <f t="shared" si="250"/>
        <v/>
      </c>
      <c r="WH7" s="40" t="str">
        <f t="shared" si="251"/>
        <v/>
      </c>
      <c r="WI7" s="40" t="str">
        <f t="shared" si="252"/>
        <v/>
      </c>
      <c r="WJ7" s="40" t="str">
        <f t="shared" si="253"/>
        <v/>
      </c>
      <c r="WK7" s="40" t="str">
        <f t="shared" si="254"/>
        <v/>
      </c>
      <c r="WL7" s="26">
        <f t="shared" si="255"/>
        <v>0</v>
      </c>
      <c r="WM7" s="26">
        <f t="shared" si="256"/>
        <v>0</v>
      </c>
      <c r="WN7" s="26">
        <f t="shared" si="257"/>
        <v>0</v>
      </c>
      <c r="WO7" s="26">
        <f t="shared" si="258"/>
        <v>0</v>
      </c>
      <c r="WP7" s="26">
        <f t="shared" si="259"/>
        <v>0</v>
      </c>
      <c r="WQ7" s="26">
        <f t="shared" si="260"/>
        <v>0</v>
      </c>
      <c r="WR7" s="26">
        <f t="shared" si="261"/>
        <v>0</v>
      </c>
      <c r="WS7" s="26">
        <f t="shared" si="262"/>
        <v>0</v>
      </c>
      <c r="WT7" s="26">
        <f t="shared" si="263"/>
        <v>0</v>
      </c>
      <c r="WU7" s="26">
        <f t="shared" si="264"/>
        <v>0</v>
      </c>
      <c r="WV7" s="26">
        <f t="shared" si="265"/>
        <v>0</v>
      </c>
      <c r="WW7" s="26">
        <f t="shared" si="266"/>
        <v>0</v>
      </c>
      <c r="WX7" s="26">
        <f t="shared" si="267"/>
        <v>0</v>
      </c>
      <c r="WY7" s="26">
        <f t="shared" si="268"/>
        <v>0</v>
      </c>
      <c r="WZ7" s="26">
        <f t="shared" si="269"/>
        <v>0</v>
      </c>
      <c r="XA7" s="28" t="s">
        <v>53</v>
      </c>
      <c r="XB7" s="11" t="str">
        <f t="shared" si="270"/>
        <v/>
      </c>
      <c r="XC7" s="11" t="str">
        <f t="shared" si="271"/>
        <v/>
      </c>
      <c r="XD7" s="11" t="str">
        <f t="shared" si="272"/>
        <v/>
      </c>
      <c r="XE7" s="11" t="str">
        <f t="shared" si="273"/>
        <v/>
      </c>
      <c r="XF7" s="11" t="str">
        <f t="shared" si="274"/>
        <v/>
      </c>
      <c r="XG7" s="11" t="str">
        <f t="shared" si="275"/>
        <v/>
      </c>
      <c r="XH7" s="11" t="str">
        <f t="shared" si="276"/>
        <v/>
      </c>
      <c r="XI7" s="11" t="str">
        <f t="shared" si="277"/>
        <v/>
      </c>
      <c r="XJ7" s="11" t="str">
        <f t="shared" si="278"/>
        <v/>
      </c>
      <c r="XK7" s="11" t="str">
        <f t="shared" si="279"/>
        <v/>
      </c>
      <c r="XL7" s="11" t="str">
        <f t="shared" si="280"/>
        <v/>
      </c>
    </row>
    <row r="8" spans="1:636" x14ac:dyDescent="0.2">
      <c r="A8" s="4" t="str" cm="1">
        <f t="array" ref="A8">IF(AND(H8&lt;&gt;"",H8&lt;&gt;"No DD"),SUMPRODUCT((H$4:H$19&lt;&gt;"")*(H$4:H$19&lt;&gt;"No DD")*(E$4:E$19&gt;E8))+1,IF(H8="No DD",SUMPRODUCT((H$4:H$19="No DD")*(E$4:E$19&gt;E8))+1+SUMPRODUCT((H$4:H$19&lt;&gt;"")*(H$4:H$19&lt;&gt;"No DD")),""))</f>
        <v/>
      </c>
      <c r="B8" s="5" t="s">
        <v>175</v>
      </c>
      <c r="C8" s="4" t="s">
        <v>5</v>
      </c>
      <c r="D8" s="4" t="s">
        <v>174</v>
      </c>
      <c r="E8" s="9">
        <f t="shared" si="0"/>
        <v>89.96</v>
      </c>
      <c r="F8" s="3" t="str">
        <f t="shared" si="1"/>
        <v/>
      </c>
      <c r="G8" s="3" t="str">
        <f t="shared" si="2"/>
        <v/>
      </c>
      <c r="H8" s="36" t="str">
        <f t="shared" si="3"/>
        <v/>
      </c>
      <c r="I8" s="3" t="str">
        <f t="shared" si="4"/>
        <v/>
      </c>
      <c r="J8" s="8">
        <f>IF(COUNT(AI8,AL8,AP8,BJ8,BM8,BQ8,CK8,CN8,CR8)&gt;0,LARGE((AI8,AL8,AP8,BJ8,BM8,BQ8,CK8,CN8,CR8),1),0)</f>
        <v>45.8</v>
      </c>
      <c r="K8" s="8" t="str">
        <f t="shared" si="5"/>
        <v>2024 Nationals</v>
      </c>
      <c r="L8" s="8">
        <f>IF(COUNT(AI8,AL8,AP8,BJ8,BM8,BQ8,CK8,CN8,CR8)&gt;1,LARGE((AI8,AL8,AP8,BJ8,BM8,BQ8,CK8,CN8,CR8),2),0)</f>
        <v>44.16</v>
      </c>
      <c r="M8" s="8" t="str">
        <f t="shared" si="6"/>
        <v>2024 Nationals</v>
      </c>
      <c r="N8" s="8" t="str">
        <f t="shared" si="7"/>
        <v/>
      </c>
      <c r="O8" s="11" t="str">
        <f t="shared" si="8"/>
        <v/>
      </c>
      <c r="P8" s="8" t="str">
        <f t="shared" si="9"/>
        <v/>
      </c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7"/>
      <c r="AG8" s="38" t="str">
        <f t="shared" si="10"/>
        <v/>
      </c>
      <c r="AH8" s="38" t="str">
        <f t="shared" si="11"/>
        <v/>
      </c>
      <c r="AI8" s="40" t="str">
        <f t="shared" si="12"/>
        <v/>
      </c>
      <c r="AJ8" s="40" t="str">
        <f t="shared" si="13"/>
        <v/>
      </c>
      <c r="AK8" s="40" t="str">
        <f t="shared" si="14"/>
        <v/>
      </c>
      <c r="AL8" s="40" t="str">
        <f t="shared" si="15"/>
        <v/>
      </c>
      <c r="AM8" s="40" t="str">
        <f t="shared" si="16"/>
        <v/>
      </c>
      <c r="AN8" s="40" t="str">
        <f t="shared" si="17"/>
        <v/>
      </c>
      <c r="AO8" s="40" t="str">
        <f t="shared" si="18"/>
        <v/>
      </c>
      <c r="AP8" s="40" t="str">
        <f t="shared" si="19"/>
        <v/>
      </c>
      <c r="AQ8" s="40" t="str">
        <f t="shared" si="20"/>
        <v/>
      </c>
      <c r="AR8" s="26">
        <v>2.35</v>
      </c>
      <c r="AS8" s="26">
        <v>2.95</v>
      </c>
      <c r="AT8" s="26">
        <v>3.8</v>
      </c>
      <c r="AU8" s="26">
        <v>4.92</v>
      </c>
      <c r="AV8" s="26">
        <v>0</v>
      </c>
      <c r="AW8" s="26">
        <v>6.85</v>
      </c>
      <c r="AX8" s="26">
        <v>9.4499999999999993</v>
      </c>
      <c r="AY8" s="26">
        <v>11.1</v>
      </c>
      <c r="AZ8" s="26">
        <v>16.760000000000002</v>
      </c>
      <c r="BA8" s="26">
        <v>0</v>
      </c>
      <c r="BB8" s="26">
        <v>6.75</v>
      </c>
      <c r="BC8" s="26">
        <v>9.15</v>
      </c>
      <c r="BD8" s="26">
        <v>12.2</v>
      </c>
      <c r="BE8" s="26">
        <v>17.7</v>
      </c>
      <c r="BF8" s="26">
        <v>0</v>
      </c>
      <c r="BG8" s="28"/>
      <c r="BH8" s="39">
        <f t="shared" si="21"/>
        <v>3.8</v>
      </c>
      <c r="BI8" s="39">
        <f t="shared" si="22"/>
        <v>4.92</v>
      </c>
      <c r="BJ8" s="11">
        <f t="shared" si="23"/>
        <v>14.020000000000001</v>
      </c>
      <c r="BK8" s="11">
        <f t="shared" si="24"/>
        <v>11.1</v>
      </c>
      <c r="BL8" s="11">
        <f t="shared" si="25"/>
        <v>16.760000000000002</v>
      </c>
      <c r="BM8" s="11">
        <f t="shared" si="26"/>
        <v>44.16</v>
      </c>
      <c r="BN8" s="11">
        <f t="shared" si="27"/>
        <v>44.16</v>
      </c>
      <c r="BO8" s="11">
        <f t="shared" si="28"/>
        <v>12.2</v>
      </c>
      <c r="BP8" s="11">
        <f t="shared" si="29"/>
        <v>17.7</v>
      </c>
      <c r="BQ8" s="11">
        <f t="shared" si="30"/>
        <v>45.8</v>
      </c>
      <c r="BR8" s="11">
        <f t="shared" si="31"/>
        <v>89.96</v>
      </c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7"/>
      <c r="CI8" s="38" t="str">
        <f t="shared" si="32"/>
        <v/>
      </c>
      <c r="CJ8" s="38" t="str">
        <f t="shared" si="33"/>
        <v/>
      </c>
      <c r="CK8" s="40" t="str">
        <f t="shared" si="34"/>
        <v/>
      </c>
      <c r="CL8" s="40" t="str">
        <f t="shared" si="35"/>
        <v/>
      </c>
      <c r="CM8" s="40" t="str">
        <f t="shared" si="36"/>
        <v/>
      </c>
      <c r="CN8" s="40" t="str">
        <f t="shared" si="37"/>
        <v/>
      </c>
      <c r="CO8" s="40" t="str">
        <f t="shared" si="38"/>
        <v/>
      </c>
      <c r="CP8" s="40" t="str">
        <f t="shared" si="39"/>
        <v/>
      </c>
      <c r="CQ8" s="40" t="str">
        <f t="shared" si="40"/>
        <v/>
      </c>
      <c r="CR8" s="40" t="str">
        <f t="shared" si="41"/>
        <v/>
      </c>
      <c r="CS8" s="40" t="str">
        <f t="shared" si="42"/>
        <v/>
      </c>
      <c r="CT8" s="51" t="str">
        <f t="shared" si="43"/>
        <v/>
      </c>
      <c r="CU8" s="51" t="str">
        <f t="shared" si="44"/>
        <v/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0" t="str">
        <f t="shared" si="45"/>
        <v/>
      </c>
      <c r="DQ8" s="40" t="str">
        <f t="shared" si="46"/>
        <v/>
      </c>
      <c r="DR8" s="40" t="str">
        <f t="shared" si="47"/>
        <v/>
      </c>
      <c r="DS8" s="40" t="str">
        <f t="shared" si="48"/>
        <v/>
      </c>
      <c r="DT8" s="40" t="str">
        <f t="shared" si="49"/>
        <v/>
      </c>
      <c r="DU8" s="40" t="str">
        <f t="shared" si="50"/>
        <v/>
      </c>
      <c r="DV8" s="40" t="str">
        <f t="shared" si="51"/>
        <v/>
      </c>
      <c r="DW8" s="40" t="str">
        <f t="shared" si="52"/>
        <v/>
      </c>
      <c r="DX8" s="40" t="str">
        <f t="shared" si="53"/>
        <v/>
      </c>
      <c r="DY8" s="40" t="str">
        <f t="shared" si="54"/>
        <v/>
      </c>
      <c r="DZ8" s="40" t="str">
        <f t="shared" si="55"/>
        <v/>
      </c>
      <c r="EA8" s="40" t="str">
        <f t="shared" si="56"/>
        <v/>
      </c>
      <c r="EB8" s="40" t="str">
        <f t="shared" si="57"/>
        <v/>
      </c>
      <c r="EC8" s="40" t="str">
        <f t="shared" si="58"/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 t="shared" si="59"/>
        <v/>
      </c>
      <c r="EY8" s="11" t="str">
        <f t="shared" si="60"/>
        <v/>
      </c>
      <c r="EZ8" s="11" t="str">
        <f t="shared" si="61"/>
        <v/>
      </c>
      <c r="FA8" s="11" t="str">
        <f t="shared" si="62"/>
        <v/>
      </c>
      <c r="FB8" s="11" t="str">
        <f t="shared" si="63"/>
        <v/>
      </c>
      <c r="FC8" s="11" t="str">
        <f t="shared" si="64"/>
        <v/>
      </c>
      <c r="FD8" s="11" t="str">
        <f t="shared" si="65"/>
        <v/>
      </c>
      <c r="FE8" s="11" t="str">
        <f t="shared" si="66"/>
        <v/>
      </c>
      <c r="FF8" s="11" t="str">
        <f t="shared" si="67"/>
        <v/>
      </c>
      <c r="FG8" s="11" t="str">
        <f t="shared" si="68"/>
        <v/>
      </c>
      <c r="FH8" s="11" t="str">
        <f t="shared" si="69"/>
        <v/>
      </c>
      <c r="FI8" s="11" t="str">
        <f t="shared" si="70"/>
        <v/>
      </c>
      <c r="FJ8" s="11" t="str">
        <f t="shared" si="71"/>
        <v/>
      </c>
      <c r="FK8" s="11" t="str">
        <f t="shared" si="72"/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0" t="str">
        <f t="shared" si="73"/>
        <v/>
      </c>
      <c r="GG8" s="40" t="str">
        <f t="shared" si="74"/>
        <v/>
      </c>
      <c r="GH8" s="40" t="str">
        <f t="shared" si="75"/>
        <v/>
      </c>
      <c r="GI8" s="40" t="str">
        <f t="shared" si="76"/>
        <v/>
      </c>
      <c r="GJ8" s="40" t="str">
        <f t="shared" si="77"/>
        <v/>
      </c>
      <c r="GK8" s="40" t="str">
        <f t="shared" si="78"/>
        <v/>
      </c>
      <c r="GL8" s="40" t="str">
        <f t="shared" si="79"/>
        <v/>
      </c>
      <c r="GM8" s="40" t="str">
        <f t="shared" si="80"/>
        <v/>
      </c>
      <c r="GN8" s="40" t="str">
        <f t="shared" si="81"/>
        <v/>
      </c>
      <c r="GO8" s="40" t="str">
        <f t="shared" si="82"/>
        <v/>
      </c>
      <c r="GP8" s="40" t="str">
        <f t="shared" si="83"/>
        <v/>
      </c>
      <c r="GQ8" s="40" t="str">
        <f t="shared" si="84"/>
        <v/>
      </c>
      <c r="GR8" s="40" t="str">
        <f t="shared" si="85"/>
        <v/>
      </c>
      <c r="GS8" s="40" t="str">
        <f t="shared" si="86"/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 t="shared" si="87"/>
        <v/>
      </c>
      <c r="HO8" s="11" t="str">
        <f t="shared" si="88"/>
        <v/>
      </c>
      <c r="HP8" s="11" t="str">
        <f t="shared" si="89"/>
        <v/>
      </c>
      <c r="HQ8" s="11" t="str">
        <f t="shared" si="90"/>
        <v/>
      </c>
      <c r="HR8" s="11" t="str">
        <f t="shared" si="91"/>
        <v/>
      </c>
      <c r="HS8" s="11" t="str">
        <f t="shared" si="92"/>
        <v/>
      </c>
      <c r="HT8" s="11" t="str">
        <f t="shared" si="93"/>
        <v/>
      </c>
      <c r="HU8" s="11" t="str">
        <f t="shared" si="94"/>
        <v/>
      </c>
      <c r="HV8" s="11" t="str">
        <f t="shared" si="95"/>
        <v/>
      </c>
      <c r="HW8" s="11" t="str">
        <f t="shared" si="96"/>
        <v/>
      </c>
      <c r="HX8" s="11" t="str">
        <f t="shared" si="97"/>
        <v/>
      </c>
      <c r="HY8" s="11" t="str">
        <f t="shared" si="98"/>
        <v/>
      </c>
      <c r="HZ8" s="11" t="str">
        <f t="shared" si="99"/>
        <v/>
      </c>
      <c r="IA8" s="11" t="str">
        <f t="shared" si="100"/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0" t="str">
        <f t="shared" si="101"/>
        <v/>
      </c>
      <c r="IW8" s="40" t="str">
        <f t="shared" si="102"/>
        <v/>
      </c>
      <c r="IX8" s="40" t="str">
        <f t="shared" si="103"/>
        <v/>
      </c>
      <c r="IY8" s="40" t="str">
        <f t="shared" si="104"/>
        <v/>
      </c>
      <c r="IZ8" s="40" t="str">
        <f t="shared" si="105"/>
        <v/>
      </c>
      <c r="JA8" s="40" t="str">
        <f t="shared" si="106"/>
        <v/>
      </c>
      <c r="JB8" s="40" t="str">
        <f t="shared" si="107"/>
        <v/>
      </c>
      <c r="JC8" s="40" t="str">
        <f t="shared" si="108"/>
        <v/>
      </c>
      <c r="JD8" s="40" t="str">
        <f t="shared" si="109"/>
        <v/>
      </c>
      <c r="JE8" s="40" t="str">
        <f t="shared" si="110"/>
        <v/>
      </c>
      <c r="JF8" s="40" t="str">
        <f t="shared" si="111"/>
        <v/>
      </c>
      <c r="JG8" s="40" t="str">
        <f t="shared" si="112"/>
        <v/>
      </c>
      <c r="JH8" s="40" t="str">
        <f t="shared" si="113"/>
        <v/>
      </c>
      <c r="JI8" s="40" t="str">
        <f t="shared" si="114"/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 t="shared" si="115"/>
        <v/>
      </c>
      <c r="KE8" s="11" t="str">
        <f t="shared" si="116"/>
        <v/>
      </c>
      <c r="KF8" s="11" t="str">
        <f t="shared" si="117"/>
        <v/>
      </c>
      <c r="KG8" s="11" t="str">
        <f t="shared" si="118"/>
        <v/>
      </c>
      <c r="KH8" s="11" t="str">
        <f t="shared" si="119"/>
        <v/>
      </c>
      <c r="KI8" s="11" t="str">
        <f t="shared" si="120"/>
        <v/>
      </c>
      <c r="KJ8" s="11" t="str">
        <f t="shared" si="121"/>
        <v/>
      </c>
      <c r="KK8" s="11" t="str">
        <f t="shared" si="122"/>
        <v/>
      </c>
      <c r="KL8" s="11" t="str">
        <f t="shared" si="123"/>
        <v/>
      </c>
      <c r="KM8" s="11" t="str">
        <f t="shared" si="124"/>
        <v/>
      </c>
      <c r="KN8" s="11" t="str">
        <f t="shared" si="125"/>
        <v/>
      </c>
      <c r="KO8" s="11" t="str">
        <f t="shared" si="126"/>
        <v/>
      </c>
      <c r="KP8" s="11" t="str">
        <f t="shared" si="127"/>
        <v/>
      </c>
      <c r="KQ8" s="11" t="str">
        <f t="shared" si="128"/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0" t="str">
        <f t="shared" si="129"/>
        <v/>
      </c>
      <c r="LM8" s="40" t="str">
        <f t="shared" si="130"/>
        <v/>
      </c>
      <c r="LN8" s="40" t="str">
        <f t="shared" si="131"/>
        <v/>
      </c>
      <c r="LO8" s="40" t="str">
        <f t="shared" si="132"/>
        <v/>
      </c>
      <c r="LP8" s="40" t="str">
        <f t="shared" si="133"/>
        <v/>
      </c>
      <c r="LQ8" s="40" t="str">
        <f t="shared" si="134"/>
        <v/>
      </c>
      <c r="LR8" s="40" t="str">
        <f t="shared" si="135"/>
        <v/>
      </c>
      <c r="LS8" s="40" t="str">
        <f t="shared" si="136"/>
        <v/>
      </c>
      <c r="LT8" s="40" t="str">
        <f t="shared" si="137"/>
        <v/>
      </c>
      <c r="LU8" s="40" t="str">
        <f t="shared" si="138"/>
        <v/>
      </c>
      <c r="LV8" s="40" t="str">
        <f t="shared" si="139"/>
        <v/>
      </c>
      <c r="LW8" s="40" t="str">
        <f t="shared" si="140"/>
        <v/>
      </c>
      <c r="LX8" s="40" t="str">
        <f t="shared" si="141"/>
        <v/>
      </c>
      <c r="LY8" s="40" t="str">
        <f t="shared" si="142"/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 t="shared" si="143"/>
        <v/>
      </c>
      <c r="MU8" s="11" t="str">
        <f t="shared" si="144"/>
        <v/>
      </c>
      <c r="MV8" s="11" t="str">
        <f t="shared" si="145"/>
        <v/>
      </c>
      <c r="MW8" s="11" t="str">
        <f t="shared" si="146"/>
        <v/>
      </c>
      <c r="MX8" s="11" t="str">
        <f t="shared" si="147"/>
        <v/>
      </c>
      <c r="MY8" s="11" t="str">
        <f t="shared" si="148"/>
        <v/>
      </c>
      <c r="MZ8" s="11" t="str">
        <f t="shared" si="149"/>
        <v/>
      </c>
      <c r="NA8" s="11" t="str">
        <f t="shared" si="150"/>
        <v/>
      </c>
      <c r="NB8" s="11" t="str">
        <f t="shared" si="151"/>
        <v/>
      </c>
      <c r="NC8" s="11" t="str">
        <f t="shared" si="152"/>
        <v/>
      </c>
      <c r="ND8" s="11" t="str">
        <f t="shared" si="153"/>
        <v/>
      </c>
      <c r="NE8" s="11" t="str">
        <f t="shared" si="154"/>
        <v/>
      </c>
      <c r="NF8" s="11" t="str">
        <f t="shared" si="155"/>
        <v/>
      </c>
      <c r="NG8" s="11" t="str">
        <f t="shared" si="156"/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0" t="str">
        <f t="shared" si="157"/>
        <v/>
      </c>
      <c r="OC8" s="40" t="str">
        <f t="shared" si="158"/>
        <v/>
      </c>
      <c r="OD8" s="40" t="str">
        <f t="shared" si="159"/>
        <v/>
      </c>
      <c r="OE8" s="40" t="str">
        <f t="shared" si="160"/>
        <v/>
      </c>
      <c r="OF8" s="40" t="str">
        <f t="shared" si="161"/>
        <v/>
      </c>
      <c r="OG8" s="40" t="str">
        <f t="shared" si="162"/>
        <v/>
      </c>
      <c r="OH8" s="40" t="str">
        <f t="shared" si="163"/>
        <v/>
      </c>
      <c r="OI8" s="40" t="str">
        <f t="shared" si="164"/>
        <v/>
      </c>
      <c r="OJ8" s="40" t="str">
        <f t="shared" si="165"/>
        <v/>
      </c>
      <c r="OK8" s="40" t="str">
        <f t="shared" si="166"/>
        <v/>
      </c>
      <c r="OL8" s="40" t="str">
        <f t="shared" si="167"/>
        <v/>
      </c>
      <c r="OM8" s="40" t="str">
        <f t="shared" si="168"/>
        <v/>
      </c>
      <c r="ON8" s="40" t="str">
        <f t="shared" si="169"/>
        <v/>
      </c>
      <c r="OO8" s="40" t="str">
        <f t="shared" si="170"/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 t="shared" si="171"/>
        <v/>
      </c>
      <c r="PK8" s="11" t="str">
        <f t="shared" si="172"/>
        <v/>
      </c>
      <c r="PL8" s="11" t="str">
        <f t="shared" si="173"/>
        <v/>
      </c>
      <c r="PM8" s="11" t="str">
        <f t="shared" si="174"/>
        <v/>
      </c>
      <c r="PN8" s="11" t="str">
        <f t="shared" si="175"/>
        <v/>
      </c>
      <c r="PO8" s="11" t="str">
        <f t="shared" si="176"/>
        <v/>
      </c>
      <c r="PP8" s="11" t="str">
        <f t="shared" si="177"/>
        <v/>
      </c>
      <c r="PQ8" s="11" t="str">
        <f t="shared" si="178"/>
        <v/>
      </c>
      <c r="PR8" s="11" t="str">
        <f t="shared" si="179"/>
        <v/>
      </c>
      <c r="PS8" s="11" t="str">
        <f t="shared" si="180"/>
        <v/>
      </c>
      <c r="PT8" s="11" t="str">
        <f t="shared" si="181"/>
        <v/>
      </c>
      <c r="PU8" s="11" t="str">
        <f t="shared" si="182"/>
        <v/>
      </c>
      <c r="PV8" s="11" t="str">
        <f t="shared" si="183"/>
        <v/>
      </c>
      <c r="PW8" s="11" t="str">
        <f t="shared" si="184"/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0" t="str">
        <f t="shared" si="185"/>
        <v/>
      </c>
      <c r="QS8" s="40" t="str">
        <f t="shared" si="186"/>
        <v/>
      </c>
      <c r="QT8" s="40" t="str">
        <f t="shared" si="187"/>
        <v/>
      </c>
      <c r="QU8" s="40" t="str">
        <f t="shared" si="188"/>
        <v/>
      </c>
      <c r="QV8" s="40" t="str">
        <f t="shared" si="189"/>
        <v/>
      </c>
      <c r="QW8" s="40" t="str">
        <f t="shared" si="190"/>
        <v/>
      </c>
      <c r="QX8" s="40" t="str">
        <f t="shared" si="191"/>
        <v/>
      </c>
      <c r="QY8" s="40" t="str">
        <f t="shared" si="192"/>
        <v/>
      </c>
      <c r="QZ8" s="40" t="str">
        <f t="shared" si="193"/>
        <v/>
      </c>
      <c r="RA8" s="40" t="str">
        <f t="shared" si="194"/>
        <v/>
      </c>
      <c r="RB8" s="40" t="str">
        <f t="shared" si="195"/>
        <v/>
      </c>
      <c r="RC8" s="40" t="str">
        <f t="shared" si="196"/>
        <v/>
      </c>
      <c r="RD8" s="40" t="str">
        <f t="shared" si="197"/>
        <v/>
      </c>
      <c r="RE8" s="40" t="str">
        <f t="shared" si="198"/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 t="shared" si="199"/>
        <v/>
      </c>
      <c r="SA8" s="11" t="str">
        <f t="shared" si="200"/>
        <v/>
      </c>
      <c r="SB8" s="11" t="str">
        <f t="shared" si="201"/>
        <v/>
      </c>
      <c r="SC8" s="11" t="str">
        <f t="shared" si="202"/>
        <v/>
      </c>
      <c r="SD8" s="11" t="str">
        <f t="shared" si="203"/>
        <v/>
      </c>
      <c r="SE8" s="11" t="str">
        <f t="shared" si="204"/>
        <v/>
      </c>
      <c r="SF8" s="11" t="str">
        <f t="shared" si="205"/>
        <v/>
      </c>
      <c r="SG8" s="11" t="str">
        <f t="shared" si="206"/>
        <v/>
      </c>
      <c r="SH8" s="11" t="str">
        <f t="shared" si="207"/>
        <v/>
      </c>
      <c r="SI8" s="11" t="str">
        <f t="shared" si="208"/>
        <v/>
      </c>
      <c r="SJ8" s="11" t="str">
        <f t="shared" si="209"/>
        <v/>
      </c>
      <c r="SK8" s="11" t="str">
        <f t="shared" si="210"/>
        <v/>
      </c>
      <c r="SL8" s="11" t="str">
        <f t="shared" si="211"/>
        <v/>
      </c>
      <c r="SM8" s="11" t="str">
        <f t="shared" si="212"/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0" t="str">
        <f t="shared" si="213"/>
        <v/>
      </c>
      <c r="TI8" s="40" t="str">
        <f t="shared" si="214"/>
        <v/>
      </c>
      <c r="TJ8" s="40" t="str">
        <f t="shared" si="215"/>
        <v/>
      </c>
      <c r="TK8" s="40" t="str">
        <f t="shared" si="216"/>
        <v/>
      </c>
      <c r="TL8" s="40" t="str">
        <f t="shared" si="217"/>
        <v/>
      </c>
      <c r="TM8" s="40" t="str">
        <f t="shared" si="218"/>
        <v/>
      </c>
      <c r="TN8" s="40" t="str">
        <f t="shared" si="219"/>
        <v/>
      </c>
      <c r="TO8" s="40" t="str">
        <f t="shared" si="220"/>
        <v/>
      </c>
      <c r="TP8" s="40" t="str">
        <f t="shared" si="221"/>
        <v/>
      </c>
      <c r="TQ8" s="40" t="str">
        <f t="shared" si="222"/>
        <v/>
      </c>
      <c r="TR8" s="40" t="str">
        <f t="shared" si="223"/>
        <v/>
      </c>
      <c r="TS8" s="40" t="str">
        <f t="shared" si="224"/>
        <v/>
      </c>
      <c r="TT8" s="40" t="str">
        <f t="shared" si="225"/>
        <v/>
      </c>
      <c r="TU8" s="40" t="str">
        <f t="shared" si="226"/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 t="shared" si="227"/>
        <v/>
      </c>
      <c r="UQ8" s="11" t="str">
        <f t="shared" si="228"/>
        <v/>
      </c>
      <c r="UR8" s="11" t="str">
        <f t="shared" si="229"/>
        <v/>
      </c>
      <c r="US8" s="11" t="str">
        <f t="shared" si="230"/>
        <v/>
      </c>
      <c r="UT8" s="11" t="str">
        <f t="shared" si="231"/>
        <v/>
      </c>
      <c r="UU8" s="11" t="str">
        <f t="shared" si="232"/>
        <v/>
      </c>
      <c r="UV8" s="11" t="str">
        <f t="shared" si="233"/>
        <v/>
      </c>
      <c r="UW8" s="11" t="str">
        <f t="shared" si="234"/>
        <v/>
      </c>
      <c r="UX8" s="11" t="str">
        <f t="shared" si="235"/>
        <v/>
      </c>
      <c r="UY8" s="11" t="str">
        <f t="shared" si="236"/>
        <v/>
      </c>
      <c r="UZ8" s="11" t="str">
        <f t="shared" si="237"/>
        <v/>
      </c>
      <c r="VA8" s="11" t="str">
        <f t="shared" si="238"/>
        <v/>
      </c>
      <c r="VB8" s="11" t="str">
        <f t="shared" si="239"/>
        <v/>
      </c>
      <c r="VC8" s="11" t="str">
        <f t="shared" si="240"/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0" t="str">
        <f t="shared" si="241"/>
        <v/>
      </c>
      <c r="VY8" s="40" t="str">
        <f t="shared" si="242"/>
        <v/>
      </c>
      <c r="VZ8" s="40" t="str">
        <f t="shared" si="243"/>
        <v/>
      </c>
      <c r="WA8" s="40" t="str">
        <f t="shared" si="244"/>
        <v/>
      </c>
      <c r="WB8" s="40" t="str">
        <f t="shared" si="245"/>
        <v/>
      </c>
      <c r="WC8" s="40" t="str">
        <f t="shared" si="246"/>
        <v/>
      </c>
      <c r="WD8" s="40" t="str">
        <f t="shared" si="247"/>
        <v/>
      </c>
      <c r="WE8" s="40" t="str">
        <f t="shared" si="248"/>
        <v/>
      </c>
      <c r="WF8" s="40" t="str">
        <f t="shared" si="249"/>
        <v/>
      </c>
      <c r="WG8" s="40" t="str">
        <f t="shared" si="250"/>
        <v/>
      </c>
      <c r="WH8" s="40" t="str">
        <f t="shared" si="251"/>
        <v/>
      </c>
      <c r="WI8" s="40" t="str">
        <f t="shared" si="252"/>
        <v/>
      </c>
      <c r="WJ8" s="40" t="str">
        <f t="shared" si="253"/>
        <v/>
      </c>
      <c r="WK8" s="40" t="str">
        <f t="shared" si="254"/>
        <v/>
      </c>
      <c r="WL8" s="26">
        <f t="shared" si="255"/>
        <v>1.175</v>
      </c>
      <c r="WM8" s="26">
        <f t="shared" si="256"/>
        <v>1.4750000000000001</v>
      </c>
      <c r="WN8" s="26">
        <f t="shared" si="257"/>
        <v>1.9</v>
      </c>
      <c r="WO8" s="26">
        <f t="shared" si="258"/>
        <v>2.46</v>
      </c>
      <c r="WP8" s="26">
        <f t="shared" si="259"/>
        <v>0</v>
      </c>
      <c r="WQ8" s="26">
        <f t="shared" si="260"/>
        <v>3.4249999999999998</v>
      </c>
      <c r="WR8" s="26">
        <f t="shared" si="261"/>
        <v>4.7249999999999996</v>
      </c>
      <c r="WS8" s="26">
        <f t="shared" si="262"/>
        <v>5.55</v>
      </c>
      <c r="WT8" s="26">
        <f t="shared" si="263"/>
        <v>8.3800000000000008</v>
      </c>
      <c r="WU8" s="26">
        <f t="shared" si="264"/>
        <v>0</v>
      </c>
      <c r="WV8" s="26">
        <f t="shared" si="265"/>
        <v>3.375</v>
      </c>
      <c r="WW8" s="26">
        <f t="shared" si="266"/>
        <v>4.5750000000000002</v>
      </c>
      <c r="WX8" s="26">
        <f t="shared" si="267"/>
        <v>6.1</v>
      </c>
      <c r="WY8" s="26">
        <f t="shared" si="268"/>
        <v>8.85</v>
      </c>
      <c r="WZ8" s="26">
        <f t="shared" si="269"/>
        <v>0</v>
      </c>
      <c r="XA8" s="28" t="s">
        <v>53</v>
      </c>
      <c r="XB8" s="11">
        <f t="shared" si="270"/>
        <v>1.9</v>
      </c>
      <c r="XC8" s="11">
        <f t="shared" si="271"/>
        <v>2.46</v>
      </c>
      <c r="XD8" s="11">
        <f t="shared" si="272"/>
        <v>7.0100000000000007</v>
      </c>
      <c r="XE8" s="11">
        <f t="shared" si="273"/>
        <v>5.55</v>
      </c>
      <c r="XF8" s="11">
        <f t="shared" si="274"/>
        <v>8.3800000000000008</v>
      </c>
      <c r="XG8" s="11">
        <f t="shared" si="275"/>
        <v>22.08</v>
      </c>
      <c r="XH8" s="11">
        <f t="shared" si="276"/>
        <v>22.08</v>
      </c>
      <c r="XI8" s="11">
        <f t="shared" si="277"/>
        <v>6.1</v>
      </c>
      <c r="XJ8" s="11">
        <f t="shared" si="278"/>
        <v>8.85</v>
      </c>
      <c r="XK8" s="11">
        <f t="shared" si="279"/>
        <v>22.9</v>
      </c>
      <c r="XL8" s="11">
        <f t="shared" si="280"/>
        <v>44.98</v>
      </c>
    </row>
    <row r="9" spans="1:636" x14ac:dyDescent="0.2">
      <c r="A9" s="4" t="str" cm="1">
        <f t="array" ref="A9">IF(AND(H9&lt;&gt;"",H9&lt;&gt;"No DD"),SUMPRODUCT((H$4:H$19&lt;&gt;"")*(H$4:H$19&lt;&gt;"No DD")*(E$4:E$19&gt;E9))+1,IF(H9="No DD",SUMPRODUCT((H$4:H$19="No DD")*(E$4:E$19&gt;E9))+1+SUMPRODUCT((H$4:H$19&lt;&gt;"")*(H$4:H$19&lt;&gt;"No DD")),""))</f>
        <v/>
      </c>
      <c r="B9" s="5" t="s">
        <v>233</v>
      </c>
      <c r="C9" s="4" t="s">
        <v>234</v>
      </c>
      <c r="D9" s="4" t="s">
        <v>235</v>
      </c>
      <c r="E9" s="9">
        <f t="shared" si="0"/>
        <v>85.31</v>
      </c>
      <c r="F9" s="3" t="str">
        <f t="shared" si="1"/>
        <v/>
      </c>
      <c r="G9" s="3" t="str">
        <f t="shared" si="2"/>
        <v/>
      </c>
      <c r="H9" s="36" t="str">
        <f t="shared" si="3"/>
        <v/>
      </c>
      <c r="I9" s="3" t="str">
        <f t="shared" si="4"/>
        <v/>
      </c>
      <c r="J9" s="8">
        <f>IF(COUNT(AI9,AL9,AP9,BJ9,BM9,BQ9,CK9,CN9,CR9)&gt;0,LARGE((AI9,AL9,AP9,BJ9,BM9,BQ9,CK9,CN9,CR9),1),0)</f>
        <v>45.08</v>
      </c>
      <c r="K9" s="8" t="str">
        <f t="shared" si="5"/>
        <v>2024 Nationals</v>
      </c>
      <c r="L9" s="8">
        <f>IF(COUNT(AI9,AL9,AP9,BJ9,BM9,BQ9,CK9,CN9,CR9)&gt;1,LARGE((AI9,AL9,AP9,BJ9,BM9,BQ9,CK9,CN9,CR9),2),0)</f>
        <v>40.230000000000004</v>
      </c>
      <c r="M9" s="8" t="str">
        <f t="shared" si="6"/>
        <v>2024 Nationals</v>
      </c>
      <c r="N9" s="8" t="str">
        <f t="shared" si="7"/>
        <v/>
      </c>
      <c r="O9" s="11" t="str">
        <f t="shared" si="8"/>
        <v/>
      </c>
      <c r="P9" s="8" t="str">
        <f t="shared" si="9"/>
        <v/>
      </c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7"/>
      <c r="AG9" s="38" t="str">
        <f t="shared" si="10"/>
        <v/>
      </c>
      <c r="AH9" s="38" t="str">
        <f t="shared" si="11"/>
        <v/>
      </c>
      <c r="AI9" s="40" t="str">
        <f t="shared" si="12"/>
        <v/>
      </c>
      <c r="AJ9" s="40" t="str">
        <f t="shared" si="13"/>
        <v/>
      </c>
      <c r="AK9" s="40" t="str">
        <f t="shared" si="14"/>
        <v/>
      </c>
      <c r="AL9" s="40" t="str">
        <f t="shared" si="15"/>
        <v/>
      </c>
      <c r="AM9" s="40" t="str">
        <f t="shared" si="16"/>
        <v/>
      </c>
      <c r="AN9" s="40" t="str">
        <f t="shared" si="17"/>
        <v/>
      </c>
      <c r="AO9" s="40" t="str">
        <f t="shared" si="18"/>
        <v/>
      </c>
      <c r="AP9" s="40" t="str">
        <f t="shared" si="19"/>
        <v/>
      </c>
      <c r="AQ9" s="40" t="str">
        <f t="shared" si="20"/>
        <v/>
      </c>
      <c r="AR9" s="26">
        <v>7.45</v>
      </c>
      <c r="AS9" s="26">
        <v>9.25</v>
      </c>
      <c r="AT9" s="26">
        <v>12.6</v>
      </c>
      <c r="AU9" s="26">
        <v>15.78</v>
      </c>
      <c r="AV9" s="26">
        <v>0</v>
      </c>
      <c r="AW9" s="26">
        <v>6.6</v>
      </c>
      <c r="AX9" s="26">
        <v>8.15</v>
      </c>
      <c r="AY9" s="26">
        <v>11</v>
      </c>
      <c r="AZ9" s="26">
        <v>14.48</v>
      </c>
      <c r="BA9" s="26">
        <v>0</v>
      </c>
      <c r="BB9" s="26">
        <v>1.55</v>
      </c>
      <c r="BC9" s="26">
        <v>1.75</v>
      </c>
      <c r="BD9" s="26">
        <v>3.1</v>
      </c>
      <c r="BE9" s="26">
        <v>3.22</v>
      </c>
      <c r="BF9" s="26">
        <v>0</v>
      </c>
      <c r="BG9" s="28"/>
      <c r="BH9" s="39">
        <f t="shared" si="21"/>
        <v>12.6</v>
      </c>
      <c r="BI9" s="39">
        <f t="shared" si="22"/>
        <v>15.78</v>
      </c>
      <c r="BJ9" s="11">
        <f t="shared" si="23"/>
        <v>45.08</v>
      </c>
      <c r="BK9" s="11">
        <f t="shared" si="24"/>
        <v>11</v>
      </c>
      <c r="BL9" s="11">
        <f t="shared" si="25"/>
        <v>14.48</v>
      </c>
      <c r="BM9" s="11">
        <f t="shared" si="26"/>
        <v>40.230000000000004</v>
      </c>
      <c r="BN9" s="11">
        <f t="shared" si="27"/>
        <v>45.08</v>
      </c>
      <c r="BO9" s="11">
        <f t="shared" si="28"/>
        <v>3.1</v>
      </c>
      <c r="BP9" s="11">
        <f t="shared" si="29"/>
        <v>3.22</v>
      </c>
      <c r="BQ9" s="11">
        <f t="shared" si="30"/>
        <v>9.620000000000001</v>
      </c>
      <c r="BR9" s="11">
        <f t="shared" si="31"/>
        <v>54.7</v>
      </c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7"/>
      <c r="CI9" s="38" t="str">
        <f t="shared" si="32"/>
        <v/>
      </c>
      <c r="CJ9" s="38" t="str">
        <f t="shared" si="33"/>
        <v/>
      </c>
      <c r="CK9" s="40" t="str">
        <f t="shared" si="34"/>
        <v/>
      </c>
      <c r="CL9" s="40" t="str">
        <f t="shared" si="35"/>
        <v/>
      </c>
      <c r="CM9" s="40" t="str">
        <f t="shared" si="36"/>
        <v/>
      </c>
      <c r="CN9" s="40" t="str">
        <f t="shared" si="37"/>
        <v/>
      </c>
      <c r="CO9" s="40" t="str">
        <f t="shared" si="38"/>
        <v/>
      </c>
      <c r="CP9" s="40" t="str">
        <f t="shared" si="39"/>
        <v/>
      </c>
      <c r="CQ9" s="40" t="str">
        <f t="shared" si="40"/>
        <v/>
      </c>
      <c r="CR9" s="40" t="str">
        <f t="shared" si="41"/>
        <v/>
      </c>
      <c r="CS9" s="40" t="str">
        <f t="shared" si="42"/>
        <v/>
      </c>
      <c r="CT9" s="51" t="str">
        <f t="shared" si="43"/>
        <v/>
      </c>
      <c r="CU9" s="51" t="str">
        <f t="shared" si="44"/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0" t="str">
        <f t="shared" si="45"/>
        <v/>
      </c>
      <c r="DQ9" s="40" t="str">
        <f t="shared" si="46"/>
        <v/>
      </c>
      <c r="DR9" s="40" t="str">
        <f t="shared" si="47"/>
        <v/>
      </c>
      <c r="DS9" s="40" t="str">
        <f t="shared" si="48"/>
        <v/>
      </c>
      <c r="DT9" s="40" t="str">
        <f t="shared" si="49"/>
        <v/>
      </c>
      <c r="DU9" s="40" t="str">
        <f t="shared" si="50"/>
        <v/>
      </c>
      <c r="DV9" s="40" t="str">
        <f t="shared" si="51"/>
        <v/>
      </c>
      <c r="DW9" s="40" t="str">
        <f t="shared" si="52"/>
        <v/>
      </c>
      <c r="DX9" s="40" t="str">
        <f t="shared" si="53"/>
        <v/>
      </c>
      <c r="DY9" s="40" t="str">
        <f t="shared" si="54"/>
        <v/>
      </c>
      <c r="DZ9" s="40" t="str">
        <f t="shared" si="55"/>
        <v/>
      </c>
      <c r="EA9" s="40" t="str">
        <f t="shared" si="56"/>
        <v/>
      </c>
      <c r="EB9" s="40" t="str">
        <f t="shared" si="57"/>
        <v/>
      </c>
      <c r="EC9" s="40" t="str">
        <f t="shared" si="58"/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 t="shared" si="59"/>
        <v/>
      </c>
      <c r="EY9" s="11" t="str">
        <f t="shared" si="60"/>
        <v/>
      </c>
      <c r="EZ9" s="11" t="str">
        <f t="shared" si="61"/>
        <v/>
      </c>
      <c r="FA9" s="11" t="str">
        <f t="shared" si="62"/>
        <v/>
      </c>
      <c r="FB9" s="11" t="str">
        <f t="shared" si="63"/>
        <v/>
      </c>
      <c r="FC9" s="11" t="str">
        <f t="shared" si="64"/>
        <v/>
      </c>
      <c r="FD9" s="11" t="str">
        <f t="shared" si="65"/>
        <v/>
      </c>
      <c r="FE9" s="11" t="str">
        <f t="shared" si="66"/>
        <v/>
      </c>
      <c r="FF9" s="11" t="str">
        <f t="shared" si="67"/>
        <v/>
      </c>
      <c r="FG9" s="11" t="str">
        <f t="shared" si="68"/>
        <v/>
      </c>
      <c r="FH9" s="11" t="str">
        <f t="shared" si="69"/>
        <v/>
      </c>
      <c r="FI9" s="11" t="str">
        <f t="shared" si="70"/>
        <v/>
      </c>
      <c r="FJ9" s="11" t="str">
        <f t="shared" si="71"/>
        <v/>
      </c>
      <c r="FK9" s="11" t="str">
        <f t="shared" si="72"/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0" t="str">
        <f t="shared" si="73"/>
        <v/>
      </c>
      <c r="GG9" s="40" t="str">
        <f t="shared" si="74"/>
        <v/>
      </c>
      <c r="GH9" s="40" t="str">
        <f t="shared" si="75"/>
        <v/>
      </c>
      <c r="GI9" s="40" t="str">
        <f t="shared" si="76"/>
        <v/>
      </c>
      <c r="GJ9" s="40" t="str">
        <f t="shared" si="77"/>
        <v/>
      </c>
      <c r="GK9" s="40" t="str">
        <f t="shared" si="78"/>
        <v/>
      </c>
      <c r="GL9" s="40" t="str">
        <f t="shared" si="79"/>
        <v/>
      </c>
      <c r="GM9" s="40" t="str">
        <f t="shared" si="80"/>
        <v/>
      </c>
      <c r="GN9" s="40" t="str">
        <f t="shared" si="81"/>
        <v/>
      </c>
      <c r="GO9" s="40" t="str">
        <f t="shared" si="82"/>
        <v/>
      </c>
      <c r="GP9" s="40" t="str">
        <f t="shared" si="83"/>
        <v/>
      </c>
      <c r="GQ9" s="40" t="str">
        <f t="shared" si="84"/>
        <v/>
      </c>
      <c r="GR9" s="40" t="str">
        <f t="shared" si="85"/>
        <v/>
      </c>
      <c r="GS9" s="40" t="str">
        <f t="shared" si="86"/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 t="shared" si="87"/>
        <v/>
      </c>
      <c r="HO9" s="11" t="str">
        <f t="shared" si="88"/>
        <v/>
      </c>
      <c r="HP9" s="11" t="str">
        <f t="shared" si="89"/>
        <v/>
      </c>
      <c r="HQ9" s="11" t="str">
        <f t="shared" si="90"/>
        <v/>
      </c>
      <c r="HR9" s="11" t="str">
        <f t="shared" si="91"/>
        <v/>
      </c>
      <c r="HS9" s="11" t="str">
        <f t="shared" si="92"/>
        <v/>
      </c>
      <c r="HT9" s="11" t="str">
        <f t="shared" si="93"/>
        <v/>
      </c>
      <c r="HU9" s="11" t="str">
        <f t="shared" si="94"/>
        <v/>
      </c>
      <c r="HV9" s="11" t="str">
        <f t="shared" si="95"/>
        <v/>
      </c>
      <c r="HW9" s="11" t="str">
        <f t="shared" si="96"/>
        <v/>
      </c>
      <c r="HX9" s="11" t="str">
        <f t="shared" si="97"/>
        <v/>
      </c>
      <c r="HY9" s="11" t="str">
        <f t="shared" si="98"/>
        <v/>
      </c>
      <c r="HZ9" s="11" t="str">
        <f t="shared" si="99"/>
        <v/>
      </c>
      <c r="IA9" s="11" t="str">
        <f t="shared" si="100"/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0" t="str">
        <f t="shared" si="101"/>
        <v/>
      </c>
      <c r="IW9" s="40" t="str">
        <f t="shared" si="102"/>
        <v/>
      </c>
      <c r="IX9" s="40" t="str">
        <f t="shared" si="103"/>
        <v/>
      </c>
      <c r="IY9" s="40" t="str">
        <f t="shared" si="104"/>
        <v/>
      </c>
      <c r="IZ9" s="40" t="str">
        <f t="shared" si="105"/>
        <v/>
      </c>
      <c r="JA9" s="40" t="str">
        <f t="shared" si="106"/>
        <v/>
      </c>
      <c r="JB9" s="40" t="str">
        <f t="shared" si="107"/>
        <v/>
      </c>
      <c r="JC9" s="40" t="str">
        <f t="shared" si="108"/>
        <v/>
      </c>
      <c r="JD9" s="40" t="str">
        <f t="shared" si="109"/>
        <v/>
      </c>
      <c r="JE9" s="40" t="str">
        <f t="shared" si="110"/>
        <v/>
      </c>
      <c r="JF9" s="40" t="str">
        <f t="shared" si="111"/>
        <v/>
      </c>
      <c r="JG9" s="40" t="str">
        <f t="shared" si="112"/>
        <v/>
      </c>
      <c r="JH9" s="40" t="str">
        <f t="shared" si="113"/>
        <v/>
      </c>
      <c r="JI9" s="40" t="str">
        <f t="shared" si="114"/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 t="shared" si="115"/>
        <v/>
      </c>
      <c r="KE9" s="11" t="str">
        <f t="shared" si="116"/>
        <v/>
      </c>
      <c r="KF9" s="11" t="str">
        <f t="shared" si="117"/>
        <v/>
      </c>
      <c r="KG9" s="11" t="str">
        <f t="shared" si="118"/>
        <v/>
      </c>
      <c r="KH9" s="11" t="str">
        <f t="shared" si="119"/>
        <v/>
      </c>
      <c r="KI9" s="11" t="str">
        <f t="shared" si="120"/>
        <v/>
      </c>
      <c r="KJ9" s="11" t="str">
        <f t="shared" si="121"/>
        <v/>
      </c>
      <c r="KK9" s="11" t="str">
        <f t="shared" si="122"/>
        <v/>
      </c>
      <c r="KL9" s="11" t="str">
        <f t="shared" si="123"/>
        <v/>
      </c>
      <c r="KM9" s="11" t="str">
        <f t="shared" si="124"/>
        <v/>
      </c>
      <c r="KN9" s="11" t="str">
        <f t="shared" si="125"/>
        <v/>
      </c>
      <c r="KO9" s="11" t="str">
        <f t="shared" si="126"/>
        <v/>
      </c>
      <c r="KP9" s="11" t="str">
        <f t="shared" si="127"/>
        <v/>
      </c>
      <c r="KQ9" s="11" t="str">
        <f t="shared" si="128"/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0" t="str">
        <f t="shared" si="129"/>
        <v/>
      </c>
      <c r="LM9" s="40" t="str">
        <f t="shared" si="130"/>
        <v/>
      </c>
      <c r="LN9" s="40" t="str">
        <f t="shared" si="131"/>
        <v/>
      </c>
      <c r="LO9" s="40" t="str">
        <f t="shared" si="132"/>
        <v/>
      </c>
      <c r="LP9" s="40" t="str">
        <f t="shared" si="133"/>
        <v/>
      </c>
      <c r="LQ9" s="40" t="str">
        <f t="shared" si="134"/>
        <v/>
      </c>
      <c r="LR9" s="40" t="str">
        <f t="shared" si="135"/>
        <v/>
      </c>
      <c r="LS9" s="40" t="str">
        <f t="shared" si="136"/>
        <v/>
      </c>
      <c r="LT9" s="40" t="str">
        <f t="shared" si="137"/>
        <v/>
      </c>
      <c r="LU9" s="40" t="str">
        <f t="shared" si="138"/>
        <v/>
      </c>
      <c r="LV9" s="40" t="str">
        <f t="shared" si="139"/>
        <v/>
      </c>
      <c r="LW9" s="40" t="str">
        <f t="shared" si="140"/>
        <v/>
      </c>
      <c r="LX9" s="40" t="str">
        <f t="shared" si="141"/>
        <v/>
      </c>
      <c r="LY9" s="40" t="str">
        <f t="shared" si="142"/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 t="shared" si="143"/>
        <v/>
      </c>
      <c r="MU9" s="11" t="str">
        <f t="shared" si="144"/>
        <v/>
      </c>
      <c r="MV9" s="11" t="str">
        <f t="shared" si="145"/>
        <v/>
      </c>
      <c r="MW9" s="11" t="str">
        <f t="shared" si="146"/>
        <v/>
      </c>
      <c r="MX9" s="11" t="str">
        <f t="shared" si="147"/>
        <v/>
      </c>
      <c r="MY9" s="11" t="str">
        <f t="shared" si="148"/>
        <v/>
      </c>
      <c r="MZ9" s="11" t="str">
        <f t="shared" si="149"/>
        <v/>
      </c>
      <c r="NA9" s="11" t="str">
        <f t="shared" si="150"/>
        <v/>
      </c>
      <c r="NB9" s="11" t="str">
        <f t="shared" si="151"/>
        <v/>
      </c>
      <c r="NC9" s="11" t="str">
        <f t="shared" si="152"/>
        <v/>
      </c>
      <c r="ND9" s="11" t="str">
        <f t="shared" si="153"/>
        <v/>
      </c>
      <c r="NE9" s="11" t="str">
        <f t="shared" si="154"/>
        <v/>
      </c>
      <c r="NF9" s="11" t="str">
        <f t="shared" si="155"/>
        <v/>
      </c>
      <c r="NG9" s="11" t="str">
        <f t="shared" si="156"/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0" t="str">
        <f t="shared" si="157"/>
        <v/>
      </c>
      <c r="OC9" s="40" t="str">
        <f t="shared" si="158"/>
        <v/>
      </c>
      <c r="OD9" s="40" t="str">
        <f t="shared" si="159"/>
        <v/>
      </c>
      <c r="OE9" s="40" t="str">
        <f t="shared" si="160"/>
        <v/>
      </c>
      <c r="OF9" s="40" t="str">
        <f t="shared" si="161"/>
        <v/>
      </c>
      <c r="OG9" s="40" t="str">
        <f t="shared" si="162"/>
        <v/>
      </c>
      <c r="OH9" s="40" t="str">
        <f t="shared" si="163"/>
        <v/>
      </c>
      <c r="OI9" s="40" t="str">
        <f t="shared" si="164"/>
        <v/>
      </c>
      <c r="OJ9" s="40" t="str">
        <f t="shared" si="165"/>
        <v/>
      </c>
      <c r="OK9" s="40" t="str">
        <f t="shared" si="166"/>
        <v/>
      </c>
      <c r="OL9" s="40" t="str">
        <f t="shared" si="167"/>
        <v/>
      </c>
      <c r="OM9" s="40" t="str">
        <f t="shared" si="168"/>
        <v/>
      </c>
      <c r="ON9" s="40" t="str">
        <f t="shared" si="169"/>
        <v/>
      </c>
      <c r="OO9" s="40" t="str">
        <f t="shared" si="170"/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 t="shared" si="171"/>
        <v/>
      </c>
      <c r="PK9" s="11" t="str">
        <f t="shared" si="172"/>
        <v/>
      </c>
      <c r="PL9" s="11" t="str">
        <f t="shared" si="173"/>
        <v/>
      </c>
      <c r="PM9" s="11" t="str">
        <f t="shared" si="174"/>
        <v/>
      </c>
      <c r="PN9" s="11" t="str">
        <f t="shared" si="175"/>
        <v/>
      </c>
      <c r="PO9" s="11" t="str">
        <f t="shared" si="176"/>
        <v/>
      </c>
      <c r="PP9" s="11" t="str">
        <f t="shared" si="177"/>
        <v/>
      </c>
      <c r="PQ9" s="11" t="str">
        <f t="shared" si="178"/>
        <v/>
      </c>
      <c r="PR9" s="11" t="str">
        <f t="shared" si="179"/>
        <v/>
      </c>
      <c r="PS9" s="11" t="str">
        <f t="shared" si="180"/>
        <v/>
      </c>
      <c r="PT9" s="11" t="str">
        <f t="shared" si="181"/>
        <v/>
      </c>
      <c r="PU9" s="11" t="str">
        <f t="shared" si="182"/>
        <v/>
      </c>
      <c r="PV9" s="11" t="str">
        <f t="shared" si="183"/>
        <v/>
      </c>
      <c r="PW9" s="11" t="str">
        <f t="shared" si="184"/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0" t="str">
        <f t="shared" si="185"/>
        <v/>
      </c>
      <c r="QS9" s="40" t="str">
        <f t="shared" si="186"/>
        <v/>
      </c>
      <c r="QT9" s="40" t="str">
        <f t="shared" si="187"/>
        <v/>
      </c>
      <c r="QU9" s="40" t="str">
        <f t="shared" si="188"/>
        <v/>
      </c>
      <c r="QV9" s="40" t="str">
        <f t="shared" si="189"/>
        <v/>
      </c>
      <c r="QW9" s="40" t="str">
        <f t="shared" si="190"/>
        <v/>
      </c>
      <c r="QX9" s="40" t="str">
        <f t="shared" si="191"/>
        <v/>
      </c>
      <c r="QY9" s="40" t="str">
        <f t="shared" si="192"/>
        <v/>
      </c>
      <c r="QZ9" s="40" t="str">
        <f t="shared" si="193"/>
        <v/>
      </c>
      <c r="RA9" s="40" t="str">
        <f t="shared" si="194"/>
        <v/>
      </c>
      <c r="RB9" s="40" t="str">
        <f t="shared" si="195"/>
        <v/>
      </c>
      <c r="RC9" s="40" t="str">
        <f t="shared" si="196"/>
        <v/>
      </c>
      <c r="RD9" s="40" t="str">
        <f t="shared" si="197"/>
        <v/>
      </c>
      <c r="RE9" s="40" t="str">
        <f t="shared" si="198"/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 t="shared" si="199"/>
        <v/>
      </c>
      <c r="SA9" s="11" t="str">
        <f t="shared" si="200"/>
        <v/>
      </c>
      <c r="SB9" s="11" t="str">
        <f t="shared" si="201"/>
        <v/>
      </c>
      <c r="SC9" s="11" t="str">
        <f t="shared" si="202"/>
        <v/>
      </c>
      <c r="SD9" s="11" t="str">
        <f t="shared" si="203"/>
        <v/>
      </c>
      <c r="SE9" s="11" t="str">
        <f t="shared" si="204"/>
        <v/>
      </c>
      <c r="SF9" s="11" t="str">
        <f t="shared" si="205"/>
        <v/>
      </c>
      <c r="SG9" s="11" t="str">
        <f t="shared" si="206"/>
        <v/>
      </c>
      <c r="SH9" s="11" t="str">
        <f t="shared" si="207"/>
        <v/>
      </c>
      <c r="SI9" s="11" t="str">
        <f t="shared" si="208"/>
        <v/>
      </c>
      <c r="SJ9" s="11" t="str">
        <f t="shared" si="209"/>
        <v/>
      </c>
      <c r="SK9" s="11" t="str">
        <f t="shared" si="210"/>
        <v/>
      </c>
      <c r="SL9" s="11" t="str">
        <f t="shared" si="211"/>
        <v/>
      </c>
      <c r="SM9" s="11" t="str">
        <f t="shared" si="212"/>
        <v/>
      </c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40" t="str">
        <f t="shared" si="213"/>
        <v/>
      </c>
      <c r="TI9" s="40" t="str">
        <f t="shared" si="214"/>
        <v/>
      </c>
      <c r="TJ9" s="40" t="str">
        <f t="shared" si="215"/>
        <v/>
      </c>
      <c r="TK9" s="40" t="str">
        <f t="shared" si="216"/>
        <v/>
      </c>
      <c r="TL9" s="40" t="str">
        <f t="shared" si="217"/>
        <v/>
      </c>
      <c r="TM9" s="40" t="str">
        <f t="shared" si="218"/>
        <v/>
      </c>
      <c r="TN9" s="40" t="str">
        <f t="shared" si="219"/>
        <v/>
      </c>
      <c r="TO9" s="40" t="str">
        <f t="shared" si="220"/>
        <v/>
      </c>
      <c r="TP9" s="40" t="str">
        <f t="shared" si="221"/>
        <v/>
      </c>
      <c r="TQ9" s="40" t="str">
        <f t="shared" si="222"/>
        <v/>
      </c>
      <c r="TR9" s="40" t="str">
        <f t="shared" si="223"/>
        <v/>
      </c>
      <c r="TS9" s="40" t="str">
        <f t="shared" si="224"/>
        <v/>
      </c>
      <c r="TT9" s="40" t="str">
        <f t="shared" si="225"/>
        <v/>
      </c>
      <c r="TU9" s="40" t="str">
        <f t="shared" si="226"/>
        <v/>
      </c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1" t="str">
        <f t="shared" si="227"/>
        <v/>
      </c>
      <c r="UQ9" s="11" t="str">
        <f t="shared" si="228"/>
        <v/>
      </c>
      <c r="UR9" s="11" t="str">
        <f t="shared" si="229"/>
        <v/>
      </c>
      <c r="US9" s="11" t="str">
        <f t="shared" si="230"/>
        <v/>
      </c>
      <c r="UT9" s="11" t="str">
        <f t="shared" si="231"/>
        <v/>
      </c>
      <c r="UU9" s="11" t="str">
        <f t="shared" si="232"/>
        <v/>
      </c>
      <c r="UV9" s="11" t="str">
        <f t="shared" si="233"/>
        <v/>
      </c>
      <c r="UW9" s="11" t="str">
        <f t="shared" si="234"/>
        <v/>
      </c>
      <c r="UX9" s="11" t="str">
        <f t="shared" si="235"/>
        <v/>
      </c>
      <c r="UY9" s="11" t="str">
        <f t="shared" si="236"/>
        <v/>
      </c>
      <c r="UZ9" s="11" t="str">
        <f t="shared" si="237"/>
        <v/>
      </c>
      <c r="VA9" s="11" t="str">
        <f t="shared" si="238"/>
        <v/>
      </c>
      <c r="VB9" s="11" t="str">
        <f t="shared" si="239"/>
        <v/>
      </c>
      <c r="VC9" s="11" t="str">
        <f t="shared" si="240"/>
        <v/>
      </c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40" t="str">
        <f t="shared" si="241"/>
        <v/>
      </c>
      <c r="VY9" s="40" t="str">
        <f t="shared" si="242"/>
        <v/>
      </c>
      <c r="VZ9" s="40" t="str">
        <f t="shared" si="243"/>
        <v/>
      </c>
      <c r="WA9" s="40" t="str">
        <f t="shared" si="244"/>
        <v/>
      </c>
      <c r="WB9" s="40" t="str">
        <f t="shared" si="245"/>
        <v/>
      </c>
      <c r="WC9" s="40" t="str">
        <f t="shared" si="246"/>
        <v/>
      </c>
      <c r="WD9" s="40" t="str">
        <f t="shared" si="247"/>
        <v/>
      </c>
      <c r="WE9" s="40" t="str">
        <f t="shared" si="248"/>
        <v/>
      </c>
      <c r="WF9" s="40" t="str">
        <f t="shared" si="249"/>
        <v/>
      </c>
      <c r="WG9" s="40" t="str">
        <f t="shared" si="250"/>
        <v/>
      </c>
      <c r="WH9" s="40" t="str">
        <f t="shared" si="251"/>
        <v/>
      </c>
      <c r="WI9" s="40" t="str">
        <f t="shared" si="252"/>
        <v/>
      </c>
      <c r="WJ9" s="40" t="str">
        <f t="shared" si="253"/>
        <v/>
      </c>
      <c r="WK9" s="40" t="str">
        <f t="shared" si="254"/>
        <v/>
      </c>
      <c r="WL9" s="26">
        <f t="shared" si="255"/>
        <v>3.7250000000000001</v>
      </c>
      <c r="WM9" s="26">
        <f t="shared" si="256"/>
        <v>4.625</v>
      </c>
      <c r="WN9" s="26">
        <f t="shared" si="257"/>
        <v>6.3</v>
      </c>
      <c r="WO9" s="26">
        <f t="shared" si="258"/>
        <v>7.89</v>
      </c>
      <c r="WP9" s="26">
        <f t="shared" si="259"/>
        <v>0</v>
      </c>
      <c r="WQ9" s="26">
        <f t="shared" si="260"/>
        <v>3.3</v>
      </c>
      <c r="WR9" s="26">
        <f t="shared" si="261"/>
        <v>4.0750000000000002</v>
      </c>
      <c r="WS9" s="26">
        <f t="shared" si="262"/>
        <v>5.5</v>
      </c>
      <c r="WT9" s="26">
        <f t="shared" si="263"/>
        <v>7.24</v>
      </c>
      <c r="WU9" s="26">
        <f t="shared" si="264"/>
        <v>0</v>
      </c>
      <c r="WV9" s="26">
        <f t="shared" si="265"/>
        <v>0.77500000000000002</v>
      </c>
      <c r="WW9" s="26">
        <f t="shared" si="266"/>
        <v>0.875</v>
      </c>
      <c r="WX9" s="26">
        <f t="shared" si="267"/>
        <v>1.55</v>
      </c>
      <c r="WY9" s="26">
        <f t="shared" si="268"/>
        <v>1.61</v>
      </c>
      <c r="WZ9" s="26">
        <f t="shared" si="269"/>
        <v>0</v>
      </c>
      <c r="XA9" s="28" t="s">
        <v>53</v>
      </c>
      <c r="XB9" s="11">
        <f t="shared" si="270"/>
        <v>6.3</v>
      </c>
      <c r="XC9" s="11">
        <f t="shared" si="271"/>
        <v>7.89</v>
      </c>
      <c r="XD9" s="11">
        <f t="shared" si="272"/>
        <v>22.54</v>
      </c>
      <c r="XE9" s="11">
        <f t="shared" si="273"/>
        <v>5.5</v>
      </c>
      <c r="XF9" s="11">
        <f t="shared" si="274"/>
        <v>7.24</v>
      </c>
      <c r="XG9" s="11">
        <f t="shared" si="275"/>
        <v>20.115000000000002</v>
      </c>
      <c r="XH9" s="11">
        <f t="shared" si="276"/>
        <v>22.54</v>
      </c>
      <c r="XI9" s="11">
        <f t="shared" si="277"/>
        <v>1.55</v>
      </c>
      <c r="XJ9" s="11">
        <f t="shared" si="278"/>
        <v>1.61</v>
      </c>
      <c r="XK9" s="11">
        <f t="shared" si="279"/>
        <v>4.8100000000000005</v>
      </c>
      <c r="XL9" s="11">
        <f t="shared" si="280"/>
        <v>27.35</v>
      </c>
    </row>
    <row r="10" spans="1:636" x14ac:dyDescent="0.2">
      <c r="A10" s="4" t="str" cm="1">
        <f t="array" ref="A10">IF(AND(H10&lt;&gt;"",H10&lt;&gt;"No DD"),SUMPRODUCT((H$4:H$19&lt;&gt;"")*(H$4:H$19&lt;&gt;"No DD")*(E$4:E$19&gt;E10))+1,IF(H10="No DD",SUMPRODUCT((H$4:H$19="No DD")*(E$4:E$19&gt;E10))+1+SUMPRODUCT((H$4:H$19&lt;&gt;"")*(H$4:H$19&lt;&gt;"No DD")),""))</f>
        <v/>
      </c>
      <c r="B10" s="5" t="s">
        <v>204</v>
      </c>
      <c r="C10" s="4" t="s">
        <v>5</v>
      </c>
      <c r="D10" s="4" t="s">
        <v>203</v>
      </c>
      <c r="E10" s="9">
        <f t="shared" si="0"/>
        <v>73.400000000000006</v>
      </c>
      <c r="F10" s="3" t="str">
        <f t="shared" si="1"/>
        <v/>
      </c>
      <c r="G10" s="3" t="str">
        <f t="shared" si="2"/>
        <v/>
      </c>
      <c r="H10" s="36" t="str">
        <f t="shared" si="3"/>
        <v/>
      </c>
      <c r="I10" s="3" t="str">
        <f t="shared" si="4"/>
        <v/>
      </c>
      <c r="J10" s="8">
        <f>IF(COUNT(AI10,AL10,AP10,BJ10,BM10,BQ10,CK10,CN10,CR10)&gt;0,LARGE((AI10,AL10,AP10,BJ10,BM10,BQ10,CK10,CN10,CR10),1),0)</f>
        <v>37.769999999999996</v>
      </c>
      <c r="K10" s="8" t="str">
        <f t="shared" si="5"/>
        <v>2024 Nationals</v>
      </c>
      <c r="L10" s="8">
        <f>IF(COUNT(AI10,AL10,AP10,BJ10,BM10,BQ10,CK10,CN10,CR10)&gt;1,LARGE((AI10,AL10,AP10,BJ10,BM10,BQ10,CK10,CN10,CR10),2),0)</f>
        <v>35.630000000000003</v>
      </c>
      <c r="M10" s="8" t="str">
        <f t="shared" si="6"/>
        <v>2024 Elite Canada</v>
      </c>
      <c r="N10" s="8" t="str">
        <f t="shared" si="7"/>
        <v/>
      </c>
      <c r="O10" s="11" t="str">
        <f t="shared" si="8"/>
        <v/>
      </c>
      <c r="P10" s="8" t="str">
        <f t="shared" si="9"/>
        <v/>
      </c>
      <c r="Q10" s="22">
        <v>5.15</v>
      </c>
      <c r="R10" s="22">
        <v>7.6</v>
      </c>
      <c r="S10" s="22">
        <v>11.5</v>
      </c>
      <c r="T10" s="22">
        <v>11.78</v>
      </c>
      <c r="U10" s="22">
        <v>0.4</v>
      </c>
      <c r="V10" s="22">
        <v>1.3</v>
      </c>
      <c r="W10" s="22">
        <v>1.8</v>
      </c>
      <c r="X10" s="22">
        <v>3.2</v>
      </c>
      <c r="Y10" s="22">
        <v>2.04</v>
      </c>
      <c r="Z10" s="22">
        <v>0.2</v>
      </c>
      <c r="AA10" s="22">
        <v>0.7</v>
      </c>
      <c r="AB10" s="22">
        <v>1</v>
      </c>
      <c r="AC10" s="22">
        <v>2</v>
      </c>
      <c r="AD10" s="22">
        <v>1.06</v>
      </c>
      <c r="AE10" s="22">
        <v>0.4</v>
      </c>
      <c r="AF10" s="27"/>
      <c r="AG10" s="38">
        <f t="shared" si="10"/>
        <v>11.5</v>
      </c>
      <c r="AH10" s="38">
        <f t="shared" si="11"/>
        <v>11.78</v>
      </c>
      <c r="AI10" s="40">
        <f t="shared" si="12"/>
        <v>35.630000000000003</v>
      </c>
      <c r="AJ10" s="40">
        <f t="shared" si="13"/>
        <v>3.2</v>
      </c>
      <c r="AK10" s="40">
        <f t="shared" si="14"/>
        <v>2.04</v>
      </c>
      <c r="AL10" s="40">
        <f t="shared" si="15"/>
        <v>8.14</v>
      </c>
      <c r="AM10" s="40">
        <f t="shared" si="16"/>
        <v>35.630000000000003</v>
      </c>
      <c r="AN10" s="40">
        <f t="shared" si="17"/>
        <v>2</v>
      </c>
      <c r="AO10" s="40">
        <f t="shared" si="18"/>
        <v>1.06</v>
      </c>
      <c r="AP10" s="40">
        <f t="shared" si="19"/>
        <v>4.3599999999999994</v>
      </c>
      <c r="AQ10" s="40">
        <f t="shared" si="20"/>
        <v>39.99</v>
      </c>
      <c r="AR10" s="26">
        <v>2.2000000000000002</v>
      </c>
      <c r="AS10" s="26">
        <v>2.65</v>
      </c>
      <c r="AT10" s="26">
        <v>4</v>
      </c>
      <c r="AU10" s="26">
        <v>2.42</v>
      </c>
      <c r="AV10" s="26">
        <v>0</v>
      </c>
      <c r="AW10" s="26">
        <v>6.5</v>
      </c>
      <c r="AX10" s="26">
        <v>8.5500000000000007</v>
      </c>
      <c r="AY10" s="26">
        <v>10.199999999999999</v>
      </c>
      <c r="AZ10" s="26">
        <v>12.52</v>
      </c>
      <c r="BA10" s="26">
        <v>0</v>
      </c>
      <c r="BB10" s="26">
        <v>6.3</v>
      </c>
      <c r="BC10" s="26">
        <v>8.4</v>
      </c>
      <c r="BD10" s="26">
        <v>10.199999999999999</v>
      </c>
      <c r="BE10" s="26">
        <v>7.32</v>
      </c>
      <c r="BF10" s="26">
        <v>0</v>
      </c>
      <c r="BG10" s="28"/>
      <c r="BH10" s="39">
        <f t="shared" si="21"/>
        <v>4</v>
      </c>
      <c r="BI10" s="39">
        <f t="shared" si="22"/>
        <v>2.42</v>
      </c>
      <c r="BJ10" s="11">
        <f t="shared" si="23"/>
        <v>11.27</v>
      </c>
      <c r="BK10" s="11">
        <f t="shared" si="24"/>
        <v>10.199999999999999</v>
      </c>
      <c r="BL10" s="11">
        <f t="shared" si="25"/>
        <v>12.52</v>
      </c>
      <c r="BM10" s="11">
        <f t="shared" si="26"/>
        <v>37.769999999999996</v>
      </c>
      <c r="BN10" s="11">
        <f t="shared" si="27"/>
        <v>37.769999999999996</v>
      </c>
      <c r="BO10" s="11">
        <f t="shared" si="28"/>
        <v>10.199999999999999</v>
      </c>
      <c r="BP10" s="11">
        <f t="shared" si="29"/>
        <v>7.32</v>
      </c>
      <c r="BQ10" s="11">
        <f t="shared" si="30"/>
        <v>32.22</v>
      </c>
      <c r="BR10" s="11">
        <f t="shared" si="31"/>
        <v>69.989999999999995</v>
      </c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  <c r="CD10" s="22"/>
      <c r="CE10" s="22"/>
      <c r="CF10" s="22"/>
      <c r="CG10" s="22"/>
      <c r="CH10" s="27"/>
      <c r="CI10" s="38" t="str">
        <f t="shared" si="32"/>
        <v/>
      </c>
      <c r="CJ10" s="38" t="str">
        <f t="shared" si="33"/>
        <v/>
      </c>
      <c r="CK10" s="40" t="str">
        <f t="shared" si="34"/>
        <v/>
      </c>
      <c r="CL10" s="40" t="str">
        <f t="shared" si="35"/>
        <v/>
      </c>
      <c r="CM10" s="40" t="str">
        <f t="shared" si="36"/>
        <v/>
      </c>
      <c r="CN10" s="40" t="str">
        <f t="shared" si="37"/>
        <v/>
      </c>
      <c r="CO10" s="40" t="str">
        <f t="shared" si="38"/>
        <v/>
      </c>
      <c r="CP10" s="40" t="str">
        <f t="shared" si="39"/>
        <v/>
      </c>
      <c r="CQ10" s="40" t="str">
        <f t="shared" si="40"/>
        <v/>
      </c>
      <c r="CR10" s="40" t="str">
        <f t="shared" si="41"/>
        <v/>
      </c>
      <c r="CS10" s="40" t="str">
        <f t="shared" si="42"/>
        <v/>
      </c>
      <c r="CT10" s="51" t="str">
        <f t="shared" si="43"/>
        <v/>
      </c>
      <c r="CU10" s="51" t="str">
        <f t="shared" si="44"/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0" t="str">
        <f t="shared" si="45"/>
        <v/>
      </c>
      <c r="DQ10" s="40" t="str">
        <f t="shared" si="46"/>
        <v/>
      </c>
      <c r="DR10" s="40" t="str">
        <f t="shared" si="47"/>
        <v/>
      </c>
      <c r="DS10" s="40" t="str">
        <f t="shared" si="48"/>
        <v/>
      </c>
      <c r="DT10" s="40" t="str">
        <f t="shared" si="49"/>
        <v/>
      </c>
      <c r="DU10" s="40" t="str">
        <f t="shared" si="50"/>
        <v/>
      </c>
      <c r="DV10" s="40" t="str">
        <f t="shared" si="51"/>
        <v/>
      </c>
      <c r="DW10" s="40" t="str">
        <f t="shared" si="52"/>
        <v/>
      </c>
      <c r="DX10" s="40" t="str">
        <f t="shared" si="53"/>
        <v/>
      </c>
      <c r="DY10" s="40" t="str">
        <f t="shared" si="54"/>
        <v/>
      </c>
      <c r="DZ10" s="40" t="str">
        <f t="shared" si="55"/>
        <v/>
      </c>
      <c r="EA10" s="40" t="str">
        <f t="shared" si="56"/>
        <v/>
      </c>
      <c r="EB10" s="40" t="str">
        <f t="shared" si="57"/>
        <v/>
      </c>
      <c r="EC10" s="40" t="str">
        <f t="shared" si="58"/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 t="shared" si="59"/>
        <v/>
      </c>
      <c r="EY10" s="11" t="str">
        <f t="shared" si="60"/>
        <v/>
      </c>
      <c r="EZ10" s="11" t="str">
        <f t="shared" si="61"/>
        <v/>
      </c>
      <c r="FA10" s="11" t="str">
        <f t="shared" si="62"/>
        <v/>
      </c>
      <c r="FB10" s="11" t="str">
        <f t="shared" si="63"/>
        <v/>
      </c>
      <c r="FC10" s="11" t="str">
        <f t="shared" si="64"/>
        <v/>
      </c>
      <c r="FD10" s="11" t="str">
        <f t="shared" si="65"/>
        <v/>
      </c>
      <c r="FE10" s="11" t="str">
        <f t="shared" si="66"/>
        <v/>
      </c>
      <c r="FF10" s="11" t="str">
        <f t="shared" si="67"/>
        <v/>
      </c>
      <c r="FG10" s="11" t="str">
        <f t="shared" si="68"/>
        <v/>
      </c>
      <c r="FH10" s="11" t="str">
        <f t="shared" si="69"/>
        <v/>
      </c>
      <c r="FI10" s="11" t="str">
        <f t="shared" si="70"/>
        <v/>
      </c>
      <c r="FJ10" s="11" t="str">
        <f t="shared" si="71"/>
        <v/>
      </c>
      <c r="FK10" s="11" t="str">
        <f t="shared" si="72"/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0" t="str">
        <f t="shared" si="73"/>
        <v/>
      </c>
      <c r="GG10" s="40" t="str">
        <f t="shared" si="74"/>
        <v/>
      </c>
      <c r="GH10" s="40" t="str">
        <f t="shared" si="75"/>
        <v/>
      </c>
      <c r="GI10" s="40" t="str">
        <f t="shared" si="76"/>
        <v/>
      </c>
      <c r="GJ10" s="40" t="str">
        <f t="shared" si="77"/>
        <v/>
      </c>
      <c r="GK10" s="40" t="str">
        <f t="shared" si="78"/>
        <v/>
      </c>
      <c r="GL10" s="40" t="str">
        <f t="shared" si="79"/>
        <v/>
      </c>
      <c r="GM10" s="40" t="str">
        <f t="shared" si="80"/>
        <v/>
      </c>
      <c r="GN10" s="40" t="str">
        <f t="shared" si="81"/>
        <v/>
      </c>
      <c r="GO10" s="40" t="str">
        <f t="shared" si="82"/>
        <v/>
      </c>
      <c r="GP10" s="40" t="str">
        <f t="shared" si="83"/>
        <v/>
      </c>
      <c r="GQ10" s="40" t="str">
        <f t="shared" si="84"/>
        <v/>
      </c>
      <c r="GR10" s="40" t="str">
        <f t="shared" si="85"/>
        <v/>
      </c>
      <c r="GS10" s="40" t="str">
        <f t="shared" si="86"/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 t="shared" si="87"/>
        <v/>
      </c>
      <c r="HO10" s="11" t="str">
        <f t="shared" si="88"/>
        <v/>
      </c>
      <c r="HP10" s="11" t="str">
        <f t="shared" si="89"/>
        <v/>
      </c>
      <c r="HQ10" s="11" t="str">
        <f t="shared" si="90"/>
        <v/>
      </c>
      <c r="HR10" s="11" t="str">
        <f t="shared" si="91"/>
        <v/>
      </c>
      <c r="HS10" s="11" t="str">
        <f t="shared" si="92"/>
        <v/>
      </c>
      <c r="HT10" s="11" t="str">
        <f t="shared" si="93"/>
        <v/>
      </c>
      <c r="HU10" s="11" t="str">
        <f t="shared" si="94"/>
        <v/>
      </c>
      <c r="HV10" s="11" t="str">
        <f t="shared" si="95"/>
        <v/>
      </c>
      <c r="HW10" s="11" t="str">
        <f t="shared" si="96"/>
        <v/>
      </c>
      <c r="HX10" s="11" t="str">
        <f t="shared" si="97"/>
        <v/>
      </c>
      <c r="HY10" s="11" t="str">
        <f t="shared" si="98"/>
        <v/>
      </c>
      <c r="HZ10" s="11" t="str">
        <f t="shared" si="99"/>
        <v/>
      </c>
      <c r="IA10" s="11" t="str">
        <f t="shared" si="100"/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0" t="str">
        <f t="shared" si="101"/>
        <v/>
      </c>
      <c r="IW10" s="40" t="str">
        <f t="shared" si="102"/>
        <v/>
      </c>
      <c r="IX10" s="40" t="str">
        <f t="shared" si="103"/>
        <v/>
      </c>
      <c r="IY10" s="40" t="str">
        <f t="shared" si="104"/>
        <v/>
      </c>
      <c r="IZ10" s="40" t="str">
        <f t="shared" si="105"/>
        <v/>
      </c>
      <c r="JA10" s="40" t="str">
        <f t="shared" si="106"/>
        <v/>
      </c>
      <c r="JB10" s="40" t="str">
        <f t="shared" si="107"/>
        <v/>
      </c>
      <c r="JC10" s="40" t="str">
        <f t="shared" si="108"/>
        <v/>
      </c>
      <c r="JD10" s="40" t="str">
        <f t="shared" si="109"/>
        <v/>
      </c>
      <c r="JE10" s="40" t="str">
        <f t="shared" si="110"/>
        <v/>
      </c>
      <c r="JF10" s="40" t="str">
        <f t="shared" si="111"/>
        <v/>
      </c>
      <c r="JG10" s="40" t="str">
        <f t="shared" si="112"/>
        <v/>
      </c>
      <c r="JH10" s="40" t="str">
        <f t="shared" si="113"/>
        <v/>
      </c>
      <c r="JI10" s="40" t="str">
        <f t="shared" si="114"/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 t="shared" si="115"/>
        <v/>
      </c>
      <c r="KE10" s="11" t="str">
        <f t="shared" si="116"/>
        <v/>
      </c>
      <c r="KF10" s="11" t="str">
        <f t="shared" si="117"/>
        <v/>
      </c>
      <c r="KG10" s="11" t="str">
        <f t="shared" si="118"/>
        <v/>
      </c>
      <c r="KH10" s="11" t="str">
        <f t="shared" si="119"/>
        <v/>
      </c>
      <c r="KI10" s="11" t="str">
        <f t="shared" si="120"/>
        <v/>
      </c>
      <c r="KJ10" s="11" t="str">
        <f t="shared" si="121"/>
        <v/>
      </c>
      <c r="KK10" s="11" t="str">
        <f t="shared" si="122"/>
        <v/>
      </c>
      <c r="KL10" s="11" t="str">
        <f t="shared" si="123"/>
        <v/>
      </c>
      <c r="KM10" s="11" t="str">
        <f t="shared" si="124"/>
        <v/>
      </c>
      <c r="KN10" s="11" t="str">
        <f t="shared" si="125"/>
        <v/>
      </c>
      <c r="KO10" s="11" t="str">
        <f t="shared" si="126"/>
        <v/>
      </c>
      <c r="KP10" s="11" t="str">
        <f t="shared" si="127"/>
        <v/>
      </c>
      <c r="KQ10" s="11" t="str">
        <f t="shared" si="128"/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0" t="str">
        <f t="shared" si="129"/>
        <v/>
      </c>
      <c r="LM10" s="40" t="str">
        <f t="shared" si="130"/>
        <v/>
      </c>
      <c r="LN10" s="40" t="str">
        <f t="shared" si="131"/>
        <v/>
      </c>
      <c r="LO10" s="40" t="str">
        <f t="shared" si="132"/>
        <v/>
      </c>
      <c r="LP10" s="40" t="str">
        <f t="shared" si="133"/>
        <v/>
      </c>
      <c r="LQ10" s="40" t="str">
        <f t="shared" si="134"/>
        <v/>
      </c>
      <c r="LR10" s="40" t="str">
        <f t="shared" si="135"/>
        <v/>
      </c>
      <c r="LS10" s="40" t="str">
        <f t="shared" si="136"/>
        <v/>
      </c>
      <c r="LT10" s="40" t="str">
        <f t="shared" si="137"/>
        <v/>
      </c>
      <c r="LU10" s="40" t="str">
        <f t="shared" si="138"/>
        <v/>
      </c>
      <c r="LV10" s="40" t="str">
        <f t="shared" si="139"/>
        <v/>
      </c>
      <c r="LW10" s="40" t="str">
        <f t="shared" si="140"/>
        <v/>
      </c>
      <c r="LX10" s="40" t="str">
        <f t="shared" si="141"/>
        <v/>
      </c>
      <c r="LY10" s="40" t="str">
        <f t="shared" si="142"/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 t="shared" si="143"/>
        <v/>
      </c>
      <c r="MU10" s="11" t="str">
        <f t="shared" si="144"/>
        <v/>
      </c>
      <c r="MV10" s="11" t="str">
        <f t="shared" si="145"/>
        <v/>
      </c>
      <c r="MW10" s="11" t="str">
        <f t="shared" si="146"/>
        <v/>
      </c>
      <c r="MX10" s="11" t="str">
        <f t="shared" si="147"/>
        <v/>
      </c>
      <c r="MY10" s="11" t="str">
        <f t="shared" si="148"/>
        <v/>
      </c>
      <c r="MZ10" s="11" t="str">
        <f t="shared" si="149"/>
        <v/>
      </c>
      <c r="NA10" s="11" t="str">
        <f t="shared" si="150"/>
        <v/>
      </c>
      <c r="NB10" s="11" t="str">
        <f t="shared" si="151"/>
        <v/>
      </c>
      <c r="NC10" s="11" t="str">
        <f t="shared" si="152"/>
        <v/>
      </c>
      <c r="ND10" s="11" t="str">
        <f t="shared" si="153"/>
        <v/>
      </c>
      <c r="NE10" s="11" t="str">
        <f t="shared" si="154"/>
        <v/>
      </c>
      <c r="NF10" s="11" t="str">
        <f t="shared" si="155"/>
        <v/>
      </c>
      <c r="NG10" s="11" t="str">
        <f t="shared" si="156"/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0" t="str">
        <f t="shared" si="157"/>
        <v/>
      </c>
      <c r="OC10" s="40" t="str">
        <f t="shared" si="158"/>
        <v/>
      </c>
      <c r="OD10" s="40" t="str">
        <f t="shared" si="159"/>
        <v/>
      </c>
      <c r="OE10" s="40" t="str">
        <f t="shared" si="160"/>
        <v/>
      </c>
      <c r="OF10" s="40" t="str">
        <f t="shared" si="161"/>
        <v/>
      </c>
      <c r="OG10" s="40" t="str">
        <f t="shared" si="162"/>
        <v/>
      </c>
      <c r="OH10" s="40" t="str">
        <f t="shared" si="163"/>
        <v/>
      </c>
      <c r="OI10" s="40" t="str">
        <f t="shared" si="164"/>
        <v/>
      </c>
      <c r="OJ10" s="40" t="str">
        <f t="shared" si="165"/>
        <v/>
      </c>
      <c r="OK10" s="40" t="str">
        <f t="shared" si="166"/>
        <v/>
      </c>
      <c r="OL10" s="40" t="str">
        <f t="shared" si="167"/>
        <v/>
      </c>
      <c r="OM10" s="40" t="str">
        <f t="shared" si="168"/>
        <v/>
      </c>
      <c r="ON10" s="40" t="str">
        <f t="shared" si="169"/>
        <v/>
      </c>
      <c r="OO10" s="40" t="str">
        <f t="shared" si="170"/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 t="shared" si="171"/>
        <v/>
      </c>
      <c r="PK10" s="11" t="str">
        <f t="shared" si="172"/>
        <v/>
      </c>
      <c r="PL10" s="11" t="str">
        <f t="shared" si="173"/>
        <v/>
      </c>
      <c r="PM10" s="11" t="str">
        <f t="shared" si="174"/>
        <v/>
      </c>
      <c r="PN10" s="11" t="str">
        <f t="shared" si="175"/>
        <v/>
      </c>
      <c r="PO10" s="11" t="str">
        <f t="shared" si="176"/>
        <v/>
      </c>
      <c r="PP10" s="11" t="str">
        <f t="shared" si="177"/>
        <v/>
      </c>
      <c r="PQ10" s="11" t="str">
        <f t="shared" si="178"/>
        <v/>
      </c>
      <c r="PR10" s="11" t="str">
        <f t="shared" si="179"/>
        <v/>
      </c>
      <c r="PS10" s="11" t="str">
        <f t="shared" si="180"/>
        <v/>
      </c>
      <c r="PT10" s="11" t="str">
        <f t="shared" si="181"/>
        <v/>
      </c>
      <c r="PU10" s="11" t="str">
        <f t="shared" si="182"/>
        <v/>
      </c>
      <c r="PV10" s="11" t="str">
        <f t="shared" si="183"/>
        <v/>
      </c>
      <c r="PW10" s="11" t="str">
        <f t="shared" si="184"/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0" t="str">
        <f t="shared" si="185"/>
        <v/>
      </c>
      <c r="QS10" s="40" t="str">
        <f t="shared" si="186"/>
        <v/>
      </c>
      <c r="QT10" s="40" t="str">
        <f t="shared" si="187"/>
        <v/>
      </c>
      <c r="QU10" s="40" t="str">
        <f t="shared" si="188"/>
        <v/>
      </c>
      <c r="QV10" s="40" t="str">
        <f t="shared" si="189"/>
        <v/>
      </c>
      <c r="QW10" s="40" t="str">
        <f t="shared" si="190"/>
        <v/>
      </c>
      <c r="QX10" s="40" t="str">
        <f t="shared" si="191"/>
        <v/>
      </c>
      <c r="QY10" s="40" t="str">
        <f t="shared" si="192"/>
        <v/>
      </c>
      <c r="QZ10" s="40" t="str">
        <f t="shared" si="193"/>
        <v/>
      </c>
      <c r="RA10" s="40" t="str">
        <f t="shared" si="194"/>
        <v/>
      </c>
      <c r="RB10" s="40" t="str">
        <f t="shared" si="195"/>
        <v/>
      </c>
      <c r="RC10" s="40" t="str">
        <f t="shared" si="196"/>
        <v/>
      </c>
      <c r="RD10" s="40" t="str">
        <f t="shared" si="197"/>
        <v/>
      </c>
      <c r="RE10" s="40" t="str">
        <f t="shared" si="198"/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 t="shared" si="199"/>
        <v/>
      </c>
      <c r="SA10" s="11" t="str">
        <f t="shared" si="200"/>
        <v/>
      </c>
      <c r="SB10" s="11" t="str">
        <f t="shared" si="201"/>
        <v/>
      </c>
      <c r="SC10" s="11" t="str">
        <f t="shared" si="202"/>
        <v/>
      </c>
      <c r="SD10" s="11" t="str">
        <f t="shared" si="203"/>
        <v/>
      </c>
      <c r="SE10" s="11" t="str">
        <f t="shared" si="204"/>
        <v/>
      </c>
      <c r="SF10" s="11" t="str">
        <f t="shared" si="205"/>
        <v/>
      </c>
      <c r="SG10" s="11" t="str">
        <f t="shared" si="206"/>
        <v/>
      </c>
      <c r="SH10" s="11" t="str">
        <f t="shared" si="207"/>
        <v/>
      </c>
      <c r="SI10" s="11" t="str">
        <f t="shared" si="208"/>
        <v/>
      </c>
      <c r="SJ10" s="11" t="str">
        <f t="shared" si="209"/>
        <v/>
      </c>
      <c r="SK10" s="11" t="str">
        <f t="shared" si="210"/>
        <v/>
      </c>
      <c r="SL10" s="11" t="str">
        <f t="shared" si="211"/>
        <v/>
      </c>
      <c r="SM10" s="11" t="str">
        <f t="shared" si="212"/>
        <v/>
      </c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40" t="str">
        <f t="shared" si="213"/>
        <v/>
      </c>
      <c r="TI10" s="40" t="str">
        <f t="shared" si="214"/>
        <v/>
      </c>
      <c r="TJ10" s="40" t="str">
        <f t="shared" si="215"/>
        <v/>
      </c>
      <c r="TK10" s="40" t="str">
        <f t="shared" si="216"/>
        <v/>
      </c>
      <c r="TL10" s="40" t="str">
        <f t="shared" si="217"/>
        <v/>
      </c>
      <c r="TM10" s="40" t="str">
        <f t="shared" si="218"/>
        <v/>
      </c>
      <c r="TN10" s="40" t="str">
        <f t="shared" si="219"/>
        <v/>
      </c>
      <c r="TO10" s="40" t="str">
        <f t="shared" si="220"/>
        <v/>
      </c>
      <c r="TP10" s="40" t="str">
        <f t="shared" si="221"/>
        <v/>
      </c>
      <c r="TQ10" s="40" t="str">
        <f t="shared" si="222"/>
        <v/>
      </c>
      <c r="TR10" s="40" t="str">
        <f t="shared" si="223"/>
        <v/>
      </c>
      <c r="TS10" s="40" t="str">
        <f t="shared" si="224"/>
        <v/>
      </c>
      <c r="TT10" s="40" t="str">
        <f t="shared" si="225"/>
        <v/>
      </c>
      <c r="TU10" s="40" t="str">
        <f t="shared" si="226"/>
        <v/>
      </c>
      <c r="TV10" s="18"/>
      <c r="TW10" s="18"/>
      <c r="TX10" s="18"/>
      <c r="TY10" s="18"/>
      <c r="TZ10" s="18"/>
      <c r="UA10" s="18"/>
      <c r="UB10" s="18"/>
      <c r="UC10" s="18"/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1" t="str">
        <f t="shared" si="227"/>
        <v/>
      </c>
      <c r="UQ10" s="11" t="str">
        <f t="shared" si="228"/>
        <v/>
      </c>
      <c r="UR10" s="11" t="str">
        <f t="shared" si="229"/>
        <v/>
      </c>
      <c r="US10" s="11" t="str">
        <f t="shared" si="230"/>
        <v/>
      </c>
      <c r="UT10" s="11" t="str">
        <f t="shared" si="231"/>
        <v/>
      </c>
      <c r="UU10" s="11" t="str">
        <f t="shared" si="232"/>
        <v/>
      </c>
      <c r="UV10" s="11" t="str">
        <f t="shared" si="233"/>
        <v/>
      </c>
      <c r="UW10" s="11" t="str">
        <f t="shared" si="234"/>
        <v/>
      </c>
      <c r="UX10" s="11" t="str">
        <f t="shared" si="235"/>
        <v/>
      </c>
      <c r="UY10" s="11" t="str">
        <f t="shared" si="236"/>
        <v/>
      </c>
      <c r="UZ10" s="11" t="str">
        <f t="shared" si="237"/>
        <v/>
      </c>
      <c r="VA10" s="11" t="str">
        <f t="shared" si="238"/>
        <v/>
      </c>
      <c r="VB10" s="11" t="str">
        <f t="shared" si="239"/>
        <v/>
      </c>
      <c r="VC10" s="11" t="str">
        <f t="shared" si="240"/>
        <v/>
      </c>
      <c r="VD10" s="17"/>
      <c r="VE10" s="17"/>
      <c r="VF10" s="17"/>
      <c r="VG10" s="17"/>
      <c r="VH10" s="17"/>
      <c r="VI10" s="17"/>
      <c r="VJ10" s="17"/>
      <c r="VK10" s="17"/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40" t="str">
        <f t="shared" si="241"/>
        <v/>
      </c>
      <c r="VY10" s="40" t="str">
        <f t="shared" si="242"/>
        <v/>
      </c>
      <c r="VZ10" s="40" t="str">
        <f t="shared" si="243"/>
        <v/>
      </c>
      <c r="WA10" s="40" t="str">
        <f t="shared" si="244"/>
        <v/>
      </c>
      <c r="WB10" s="40" t="str">
        <f t="shared" si="245"/>
        <v/>
      </c>
      <c r="WC10" s="40" t="str">
        <f t="shared" si="246"/>
        <v/>
      </c>
      <c r="WD10" s="40" t="str">
        <f t="shared" si="247"/>
        <v/>
      </c>
      <c r="WE10" s="40" t="str">
        <f t="shared" si="248"/>
        <v/>
      </c>
      <c r="WF10" s="40" t="str">
        <f t="shared" si="249"/>
        <v/>
      </c>
      <c r="WG10" s="40" t="str">
        <f t="shared" si="250"/>
        <v/>
      </c>
      <c r="WH10" s="40" t="str">
        <f t="shared" si="251"/>
        <v/>
      </c>
      <c r="WI10" s="40" t="str">
        <f t="shared" si="252"/>
        <v/>
      </c>
      <c r="WJ10" s="40" t="str">
        <f t="shared" si="253"/>
        <v/>
      </c>
      <c r="WK10" s="40" t="str">
        <f t="shared" si="254"/>
        <v/>
      </c>
      <c r="WL10" s="26">
        <f t="shared" si="255"/>
        <v>1.1000000000000001</v>
      </c>
      <c r="WM10" s="26">
        <f t="shared" si="256"/>
        <v>1.325</v>
      </c>
      <c r="WN10" s="26">
        <f t="shared" si="257"/>
        <v>2</v>
      </c>
      <c r="WO10" s="26">
        <f t="shared" si="258"/>
        <v>1.21</v>
      </c>
      <c r="WP10" s="26">
        <f t="shared" si="259"/>
        <v>0</v>
      </c>
      <c r="WQ10" s="26">
        <f t="shared" si="260"/>
        <v>3.25</v>
      </c>
      <c r="WR10" s="26">
        <f t="shared" si="261"/>
        <v>4.2750000000000004</v>
      </c>
      <c r="WS10" s="26">
        <f t="shared" si="262"/>
        <v>5.0999999999999996</v>
      </c>
      <c r="WT10" s="26">
        <f t="shared" si="263"/>
        <v>6.26</v>
      </c>
      <c r="WU10" s="26">
        <f t="shared" si="264"/>
        <v>0</v>
      </c>
      <c r="WV10" s="26">
        <f t="shared" si="265"/>
        <v>3.15</v>
      </c>
      <c r="WW10" s="26">
        <f t="shared" si="266"/>
        <v>4.2</v>
      </c>
      <c r="WX10" s="26">
        <f t="shared" si="267"/>
        <v>5.0999999999999996</v>
      </c>
      <c r="WY10" s="26">
        <f t="shared" si="268"/>
        <v>3.66</v>
      </c>
      <c r="WZ10" s="26">
        <f t="shared" si="269"/>
        <v>0</v>
      </c>
      <c r="XA10" s="28" t="s">
        <v>53</v>
      </c>
      <c r="XB10" s="11">
        <f t="shared" si="270"/>
        <v>2</v>
      </c>
      <c r="XC10" s="11">
        <f t="shared" si="271"/>
        <v>1.21</v>
      </c>
      <c r="XD10" s="11">
        <f t="shared" si="272"/>
        <v>5.6349999999999998</v>
      </c>
      <c r="XE10" s="11">
        <f t="shared" si="273"/>
        <v>5.0999999999999996</v>
      </c>
      <c r="XF10" s="11">
        <f t="shared" si="274"/>
        <v>6.26</v>
      </c>
      <c r="XG10" s="11">
        <f t="shared" si="275"/>
        <v>18.884999999999998</v>
      </c>
      <c r="XH10" s="11">
        <f t="shared" si="276"/>
        <v>18.884999999999998</v>
      </c>
      <c r="XI10" s="11">
        <f t="shared" si="277"/>
        <v>5.0999999999999996</v>
      </c>
      <c r="XJ10" s="11">
        <f t="shared" si="278"/>
        <v>3.66</v>
      </c>
      <c r="XK10" s="11">
        <f t="shared" si="279"/>
        <v>16.11</v>
      </c>
      <c r="XL10" s="11">
        <f t="shared" si="280"/>
        <v>34.994999999999997</v>
      </c>
    </row>
    <row r="11" spans="1:636" x14ac:dyDescent="0.2">
      <c r="A11" s="4" t="str" cm="1">
        <f t="array" ref="A11">IF(AND(H11&lt;&gt;"",H11&lt;&gt;"No DD"),SUMPRODUCT((H$4:H$19&lt;&gt;"")*(H$4:H$19&lt;&gt;"No DD")*(E$4:E$19&gt;E11))+1,IF(H11="No DD",SUMPRODUCT((H$4:H$19="No DD")*(E$4:E$19&gt;E11))+1+SUMPRODUCT((H$4:H$19&lt;&gt;"")*(H$4:H$19&lt;&gt;"No DD")),""))</f>
        <v/>
      </c>
      <c r="B11" s="5" t="s">
        <v>202</v>
      </c>
      <c r="C11" s="4" t="s">
        <v>5</v>
      </c>
      <c r="D11" s="4" t="s">
        <v>201</v>
      </c>
      <c r="E11" s="9">
        <f t="shared" si="0"/>
        <v>68.02</v>
      </c>
      <c r="F11" s="3" t="str">
        <f t="shared" si="1"/>
        <v/>
      </c>
      <c r="G11" s="3" t="str">
        <f t="shared" si="2"/>
        <v/>
      </c>
      <c r="H11" s="36" t="str">
        <f t="shared" si="3"/>
        <v/>
      </c>
      <c r="I11" s="3" t="str">
        <f t="shared" si="4"/>
        <v/>
      </c>
      <c r="J11" s="8">
        <f>IF(COUNT(AI11,AL11,AP11,BJ11,BM11,BQ11,CK11,CN11,CR11)&gt;0,LARGE((AI11,AL11,AP11,BJ11,BM11,BQ11,CK11,CN11,CR11),1),0)</f>
        <v>36.29</v>
      </c>
      <c r="K11" s="8" t="str">
        <f t="shared" si="5"/>
        <v>2024 Elite Canada</v>
      </c>
      <c r="L11" s="8">
        <f>IF(COUNT(AI11,AL11,AP11,BJ11,BM11,BQ11,CK11,CN11,CR11)&gt;1,LARGE((AI11,AL11,AP11,BJ11,BM11,BQ11,CK11,CN11,CR11),2),0)</f>
        <v>31.73</v>
      </c>
      <c r="M11" s="8" t="str">
        <f t="shared" si="6"/>
        <v>2024 Elite Canada</v>
      </c>
      <c r="N11" s="8" t="str">
        <f t="shared" si="7"/>
        <v/>
      </c>
      <c r="O11" s="11" t="str">
        <f t="shared" si="8"/>
        <v/>
      </c>
      <c r="P11" s="8" t="str">
        <f t="shared" si="9"/>
        <v/>
      </c>
      <c r="Q11" s="22">
        <v>5.7</v>
      </c>
      <c r="R11" s="22">
        <v>7.25</v>
      </c>
      <c r="S11" s="22">
        <v>8.1999999999999993</v>
      </c>
      <c r="T11" s="22">
        <v>15.14</v>
      </c>
      <c r="U11" s="22">
        <v>0</v>
      </c>
      <c r="V11" s="22">
        <v>2</v>
      </c>
      <c r="W11" s="22">
        <v>2.75</v>
      </c>
      <c r="X11" s="22">
        <v>3.1</v>
      </c>
      <c r="Y11" s="22">
        <v>5.26</v>
      </c>
      <c r="Z11" s="22">
        <v>0</v>
      </c>
      <c r="AA11" s="22">
        <v>5.0999999999999996</v>
      </c>
      <c r="AB11" s="22">
        <v>6.65</v>
      </c>
      <c r="AC11" s="22">
        <v>7</v>
      </c>
      <c r="AD11" s="22">
        <v>12.98</v>
      </c>
      <c r="AE11" s="22">
        <v>0</v>
      </c>
      <c r="AF11" s="27"/>
      <c r="AG11" s="38">
        <f t="shared" si="10"/>
        <v>8.1999999999999993</v>
      </c>
      <c r="AH11" s="38">
        <f t="shared" si="11"/>
        <v>15.14</v>
      </c>
      <c r="AI11" s="40">
        <f t="shared" si="12"/>
        <v>36.29</v>
      </c>
      <c r="AJ11" s="40">
        <f t="shared" si="13"/>
        <v>3.1</v>
      </c>
      <c r="AK11" s="40">
        <f t="shared" si="14"/>
        <v>5.26</v>
      </c>
      <c r="AL11" s="40">
        <f t="shared" si="15"/>
        <v>13.11</v>
      </c>
      <c r="AM11" s="40">
        <f t="shared" si="16"/>
        <v>36.29</v>
      </c>
      <c r="AN11" s="40">
        <f t="shared" si="17"/>
        <v>7</v>
      </c>
      <c r="AO11" s="40">
        <f t="shared" si="18"/>
        <v>12.98</v>
      </c>
      <c r="AP11" s="40">
        <f t="shared" si="19"/>
        <v>31.73</v>
      </c>
      <c r="AQ11" s="40">
        <f t="shared" si="20"/>
        <v>68.02</v>
      </c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8"/>
      <c r="BH11" s="39" t="str">
        <f t="shared" si="21"/>
        <v/>
      </c>
      <c r="BI11" s="39" t="str">
        <f t="shared" si="22"/>
        <v/>
      </c>
      <c r="BJ11" s="11" t="str">
        <f t="shared" si="23"/>
        <v/>
      </c>
      <c r="BK11" s="11" t="str">
        <f t="shared" si="24"/>
        <v/>
      </c>
      <c r="BL11" s="11" t="str">
        <f t="shared" si="25"/>
        <v/>
      </c>
      <c r="BM11" s="11" t="str">
        <f t="shared" si="26"/>
        <v/>
      </c>
      <c r="BN11" s="11" t="str">
        <f t="shared" si="27"/>
        <v/>
      </c>
      <c r="BO11" s="11" t="str">
        <f t="shared" si="28"/>
        <v/>
      </c>
      <c r="BP11" s="11" t="str">
        <f t="shared" si="29"/>
        <v/>
      </c>
      <c r="BQ11" s="11" t="str">
        <f t="shared" si="30"/>
        <v/>
      </c>
      <c r="BR11" s="11" t="str">
        <f t="shared" si="31"/>
        <v/>
      </c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  <c r="CD11" s="22"/>
      <c r="CE11" s="22"/>
      <c r="CF11" s="22"/>
      <c r="CG11" s="22"/>
      <c r="CH11" s="27"/>
      <c r="CI11" s="38" t="str">
        <f t="shared" si="32"/>
        <v/>
      </c>
      <c r="CJ11" s="38" t="str">
        <f t="shared" si="33"/>
        <v/>
      </c>
      <c r="CK11" s="40" t="str">
        <f t="shared" si="34"/>
        <v/>
      </c>
      <c r="CL11" s="40" t="str">
        <f t="shared" si="35"/>
        <v/>
      </c>
      <c r="CM11" s="40" t="str">
        <f t="shared" si="36"/>
        <v/>
      </c>
      <c r="CN11" s="40" t="str">
        <f t="shared" si="37"/>
        <v/>
      </c>
      <c r="CO11" s="40" t="str">
        <f t="shared" si="38"/>
        <v/>
      </c>
      <c r="CP11" s="40" t="str">
        <f t="shared" si="39"/>
        <v/>
      </c>
      <c r="CQ11" s="40" t="str">
        <f t="shared" si="40"/>
        <v/>
      </c>
      <c r="CR11" s="40" t="str">
        <f t="shared" si="41"/>
        <v/>
      </c>
      <c r="CS11" s="40" t="str">
        <f t="shared" si="42"/>
        <v/>
      </c>
      <c r="CT11" s="51" t="str">
        <f t="shared" si="43"/>
        <v/>
      </c>
      <c r="CU11" s="51" t="str">
        <f t="shared" si="44"/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0" t="str">
        <f t="shared" si="45"/>
        <v/>
      </c>
      <c r="DQ11" s="40" t="str">
        <f t="shared" si="46"/>
        <v/>
      </c>
      <c r="DR11" s="40" t="str">
        <f t="shared" si="47"/>
        <v/>
      </c>
      <c r="DS11" s="40" t="str">
        <f t="shared" si="48"/>
        <v/>
      </c>
      <c r="DT11" s="40" t="str">
        <f t="shared" si="49"/>
        <v/>
      </c>
      <c r="DU11" s="40" t="str">
        <f t="shared" si="50"/>
        <v/>
      </c>
      <c r="DV11" s="40" t="str">
        <f t="shared" si="51"/>
        <v/>
      </c>
      <c r="DW11" s="40" t="str">
        <f t="shared" si="52"/>
        <v/>
      </c>
      <c r="DX11" s="40" t="str">
        <f t="shared" si="53"/>
        <v/>
      </c>
      <c r="DY11" s="40" t="str">
        <f t="shared" si="54"/>
        <v/>
      </c>
      <c r="DZ11" s="40" t="str">
        <f t="shared" si="55"/>
        <v/>
      </c>
      <c r="EA11" s="40" t="str">
        <f t="shared" si="56"/>
        <v/>
      </c>
      <c r="EB11" s="40" t="str">
        <f t="shared" si="57"/>
        <v/>
      </c>
      <c r="EC11" s="40" t="str">
        <f t="shared" si="58"/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 t="shared" si="59"/>
        <v/>
      </c>
      <c r="EY11" s="11" t="str">
        <f t="shared" si="60"/>
        <v/>
      </c>
      <c r="EZ11" s="11" t="str">
        <f t="shared" si="61"/>
        <v/>
      </c>
      <c r="FA11" s="11" t="str">
        <f t="shared" si="62"/>
        <v/>
      </c>
      <c r="FB11" s="11" t="str">
        <f t="shared" si="63"/>
        <v/>
      </c>
      <c r="FC11" s="11" t="str">
        <f t="shared" si="64"/>
        <v/>
      </c>
      <c r="FD11" s="11" t="str">
        <f t="shared" si="65"/>
        <v/>
      </c>
      <c r="FE11" s="11" t="str">
        <f t="shared" si="66"/>
        <v/>
      </c>
      <c r="FF11" s="11" t="str">
        <f t="shared" si="67"/>
        <v/>
      </c>
      <c r="FG11" s="11" t="str">
        <f t="shared" si="68"/>
        <v/>
      </c>
      <c r="FH11" s="11" t="str">
        <f t="shared" si="69"/>
        <v/>
      </c>
      <c r="FI11" s="11" t="str">
        <f t="shared" si="70"/>
        <v/>
      </c>
      <c r="FJ11" s="11" t="str">
        <f t="shared" si="71"/>
        <v/>
      </c>
      <c r="FK11" s="11" t="str">
        <f t="shared" si="72"/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0" t="str">
        <f t="shared" si="73"/>
        <v/>
      </c>
      <c r="GG11" s="40" t="str">
        <f t="shared" si="74"/>
        <v/>
      </c>
      <c r="GH11" s="40" t="str">
        <f t="shared" si="75"/>
        <v/>
      </c>
      <c r="GI11" s="40" t="str">
        <f t="shared" si="76"/>
        <v/>
      </c>
      <c r="GJ11" s="40" t="str">
        <f t="shared" si="77"/>
        <v/>
      </c>
      <c r="GK11" s="40" t="str">
        <f t="shared" si="78"/>
        <v/>
      </c>
      <c r="GL11" s="40" t="str">
        <f t="shared" si="79"/>
        <v/>
      </c>
      <c r="GM11" s="40" t="str">
        <f t="shared" si="80"/>
        <v/>
      </c>
      <c r="GN11" s="40" t="str">
        <f t="shared" si="81"/>
        <v/>
      </c>
      <c r="GO11" s="40" t="str">
        <f t="shared" si="82"/>
        <v/>
      </c>
      <c r="GP11" s="40" t="str">
        <f t="shared" si="83"/>
        <v/>
      </c>
      <c r="GQ11" s="40" t="str">
        <f t="shared" si="84"/>
        <v/>
      </c>
      <c r="GR11" s="40" t="str">
        <f t="shared" si="85"/>
        <v/>
      </c>
      <c r="GS11" s="40" t="str">
        <f t="shared" si="86"/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 t="shared" si="87"/>
        <v/>
      </c>
      <c r="HO11" s="11" t="str">
        <f t="shared" si="88"/>
        <v/>
      </c>
      <c r="HP11" s="11" t="str">
        <f t="shared" si="89"/>
        <v/>
      </c>
      <c r="HQ11" s="11" t="str">
        <f t="shared" si="90"/>
        <v/>
      </c>
      <c r="HR11" s="11" t="str">
        <f t="shared" si="91"/>
        <v/>
      </c>
      <c r="HS11" s="11" t="str">
        <f t="shared" si="92"/>
        <v/>
      </c>
      <c r="HT11" s="11" t="str">
        <f t="shared" si="93"/>
        <v/>
      </c>
      <c r="HU11" s="11" t="str">
        <f t="shared" si="94"/>
        <v/>
      </c>
      <c r="HV11" s="11" t="str">
        <f t="shared" si="95"/>
        <v/>
      </c>
      <c r="HW11" s="11" t="str">
        <f t="shared" si="96"/>
        <v/>
      </c>
      <c r="HX11" s="11" t="str">
        <f t="shared" si="97"/>
        <v/>
      </c>
      <c r="HY11" s="11" t="str">
        <f t="shared" si="98"/>
        <v/>
      </c>
      <c r="HZ11" s="11" t="str">
        <f t="shared" si="99"/>
        <v/>
      </c>
      <c r="IA11" s="11" t="str">
        <f t="shared" si="100"/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0" t="str">
        <f t="shared" si="101"/>
        <v/>
      </c>
      <c r="IW11" s="40" t="str">
        <f t="shared" si="102"/>
        <v/>
      </c>
      <c r="IX11" s="40" t="str">
        <f t="shared" si="103"/>
        <v/>
      </c>
      <c r="IY11" s="40" t="str">
        <f t="shared" si="104"/>
        <v/>
      </c>
      <c r="IZ11" s="40" t="str">
        <f t="shared" si="105"/>
        <v/>
      </c>
      <c r="JA11" s="40" t="str">
        <f t="shared" si="106"/>
        <v/>
      </c>
      <c r="JB11" s="40" t="str">
        <f t="shared" si="107"/>
        <v/>
      </c>
      <c r="JC11" s="40" t="str">
        <f t="shared" si="108"/>
        <v/>
      </c>
      <c r="JD11" s="40" t="str">
        <f t="shared" si="109"/>
        <v/>
      </c>
      <c r="JE11" s="40" t="str">
        <f t="shared" si="110"/>
        <v/>
      </c>
      <c r="JF11" s="40" t="str">
        <f t="shared" si="111"/>
        <v/>
      </c>
      <c r="JG11" s="40" t="str">
        <f t="shared" si="112"/>
        <v/>
      </c>
      <c r="JH11" s="40" t="str">
        <f t="shared" si="113"/>
        <v/>
      </c>
      <c r="JI11" s="40" t="str">
        <f t="shared" si="114"/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 t="shared" si="115"/>
        <v/>
      </c>
      <c r="KE11" s="11" t="str">
        <f t="shared" si="116"/>
        <v/>
      </c>
      <c r="KF11" s="11" t="str">
        <f t="shared" si="117"/>
        <v/>
      </c>
      <c r="KG11" s="11" t="str">
        <f t="shared" si="118"/>
        <v/>
      </c>
      <c r="KH11" s="11" t="str">
        <f t="shared" si="119"/>
        <v/>
      </c>
      <c r="KI11" s="11" t="str">
        <f t="shared" si="120"/>
        <v/>
      </c>
      <c r="KJ11" s="11" t="str">
        <f t="shared" si="121"/>
        <v/>
      </c>
      <c r="KK11" s="11" t="str">
        <f t="shared" si="122"/>
        <v/>
      </c>
      <c r="KL11" s="11" t="str">
        <f t="shared" si="123"/>
        <v/>
      </c>
      <c r="KM11" s="11" t="str">
        <f t="shared" si="124"/>
        <v/>
      </c>
      <c r="KN11" s="11" t="str">
        <f t="shared" si="125"/>
        <v/>
      </c>
      <c r="KO11" s="11" t="str">
        <f t="shared" si="126"/>
        <v/>
      </c>
      <c r="KP11" s="11" t="str">
        <f t="shared" si="127"/>
        <v/>
      </c>
      <c r="KQ11" s="11" t="str">
        <f t="shared" si="128"/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0" t="str">
        <f t="shared" si="129"/>
        <v/>
      </c>
      <c r="LM11" s="40" t="str">
        <f t="shared" si="130"/>
        <v/>
      </c>
      <c r="LN11" s="40" t="str">
        <f t="shared" si="131"/>
        <v/>
      </c>
      <c r="LO11" s="40" t="str">
        <f t="shared" si="132"/>
        <v/>
      </c>
      <c r="LP11" s="40" t="str">
        <f t="shared" si="133"/>
        <v/>
      </c>
      <c r="LQ11" s="40" t="str">
        <f t="shared" si="134"/>
        <v/>
      </c>
      <c r="LR11" s="40" t="str">
        <f t="shared" si="135"/>
        <v/>
      </c>
      <c r="LS11" s="40" t="str">
        <f t="shared" si="136"/>
        <v/>
      </c>
      <c r="LT11" s="40" t="str">
        <f t="shared" si="137"/>
        <v/>
      </c>
      <c r="LU11" s="40" t="str">
        <f t="shared" si="138"/>
        <v/>
      </c>
      <c r="LV11" s="40" t="str">
        <f t="shared" si="139"/>
        <v/>
      </c>
      <c r="LW11" s="40" t="str">
        <f t="shared" si="140"/>
        <v/>
      </c>
      <c r="LX11" s="40" t="str">
        <f t="shared" si="141"/>
        <v/>
      </c>
      <c r="LY11" s="40" t="str">
        <f t="shared" si="142"/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 t="shared" si="143"/>
        <v/>
      </c>
      <c r="MU11" s="11" t="str">
        <f t="shared" si="144"/>
        <v/>
      </c>
      <c r="MV11" s="11" t="str">
        <f t="shared" si="145"/>
        <v/>
      </c>
      <c r="MW11" s="11" t="str">
        <f t="shared" si="146"/>
        <v/>
      </c>
      <c r="MX11" s="11" t="str">
        <f t="shared" si="147"/>
        <v/>
      </c>
      <c r="MY11" s="11" t="str">
        <f t="shared" si="148"/>
        <v/>
      </c>
      <c r="MZ11" s="11" t="str">
        <f t="shared" si="149"/>
        <v/>
      </c>
      <c r="NA11" s="11" t="str">
        <f t="shared" si="150"/>
        <v/>
      </c>
      <c r="NB11" s="11" t="str">
        <f t="shared" si="151"/>
        <v/>
      </c>
      <c r="NC11" s="11" t="str">
        <f t="shared" si="152"/>
        <v/>
      </c>
      <c r="ND11" s="11" t="str">
        <f t="shared" si="153"/>
        <v/>
      </c>
      <c r="NE11" s="11" t="str">
        <f t="shared" si="154"/>
        <v/>
      </c>
      <c r="NF11" s="11" t="str">
        <f t="shared" si="155"/>
        <v/>
      </c>
      <c r="NG11" s="11" t="str">
        <f t="shared" si="156"/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0" t="str">
        <f t="shared" si="157"/>
        <v/>
      </c>
      <c r="OC11" s="40" t="str">
        <f t="shared" si="158"/>
        <v/>
      </c>
      <c r="OD11" s="40" t="str">
        <f t="shared" si="159"/>
        <v/>
      </c>
      <c r="OE11" s="40" t="str">
        <f t="shared" si="160"/>
        <v/>
      </c>
      <c r="OF11" s="40" t="str">
        <f t="shared" si="161"/>
        <v/>
      </c>
      <c r="OG11" s="40" t="str">
        <f t="shared" si="162"/>
        <v/>
      </c>
      <c r="OH11" s="40" t="str">
        <f t="shared" si="163"/>
        <v/>
      </c>
      <c r="OI11" s="40" t="str">
        <f t="shared" si="164"/>
        <v/>
      </c>
      <c r="OJ11" s="40" t="str">
        <f t="shared" si="165"/>
        <v/>
      </c>
      <c r="OK11" s="40" t="str">
        <f t="shared" si="166"/>
        <v/>
      </c>
      <c r="OL11" s="40" t="str">
        <f t="shared" si="167"/>
        <v/>
      </c>
      <c r="OM11" s="40" t="str">
        <f t="shared" si="168"/>
        <v/>
      </c>
      <c r="ON11" s="40" t="str">
        <f t="shared" si="169"/>
        <v/>
      </c>
      <c r="OO11" s="40" t="str">
        <f t="shared" si="170"/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 t="shared" si="171"/>
        <v/>
      </c>
      <c r="PK11" s="11" t="str">
        <f t="shared" si="172"/>
        <v/>
      </c>
      <c r="PL11" s="11" t="str">
        <f t="shared" si="173"/>
        <v/>
      </c>
      <c r="PM11" s="11" t="str">
        <f t="shared" si="174"/>
        <v/>
      </c>
      <c r="PN11" s="11" t="str">
        <f t="shared" si="175"/>
        <v/>
      </c>
      <c r="PO11" s="11" t="str">
        <f t="shared" si="176"/>
        <v/>
      </c>
      <c r="PP11" s="11" t="str">
        <f t="shared" si="177"/>
        <v/>
      </c>
      <c r="PQ11" s="11" t="str">
        <f t="shared" si="178"/>
        <v/>
      </c>
      <c r="PR11" s="11" t="str">
        <f t="shared" si="179"/>
        <v/>
      </c>
      <c r="PS11" s="11" t="str">
        <f t="shared" si="180"/>
        <v/>
      </c>
      <c r="PT11" s="11" t="str">
        <f t="shared" si="181"/>
        <v/>
      </c>
      <c r="PU11" s="11" t="str">
        <f t="shared" si="182"/>
        <v/>
      </c>
      <c r="PV11" s="11" t="str">
        <f t="shared" si="183"/>
        <v/>
      </c>
      <c r="PW11" s="11" t="str">
        <f t="shared" si="184"/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0" t="str">
        <f t="shared" si="185"/>
        <v/>
      </c>
      <c r="QS11" s="40" t="str">
        <f t="shared" si="186"/>
        <v/>
      </c>
      <c r="QT11" s="40" t="str">
        <f t="shared" si="187"/>
        <v/>
      </c>
      <c r="QU11" s="40" t="str">
        <f t="shared" si="188"/>
        <v/>
      </c>
      <c r="QV11" s="40" t="str">
        <f t="shared" si="189"/>
        <v/>
      </c>
      <c r="QW11" s="40" t="str">
        <f t="shared" si="190"/>
        <v/>
      </c>
      <c r="QX11" s="40" t="str">
        <f t="shared" si="191"/>
        <v/>
      </c>
      <c r="QY11" s="40" t="str">
        <f t="shared" si="192"/>
        <v/>
      </c>
      <c r="QZ11" s="40" t="str">
        <f t="shared" si="193"/>
        <v/>
      </c>
      <c r="RA11" s="40" t="str">
        <f t="shared" si="194"/>
        <v/>
      </c>
      <c r="RB11" s="40" t="str">
        <f t="shared" si="195"/>
        <v/>
      </c>
      <c r="RC11" s="40" t="str">
        <f t="shared" si="196"/>
        <v/>
      </c>
      <c r="RD11" s="40" t="str">
        <f t="shared" si="197"/>
        <v/>
      </c>
      <c r="RE11" s="40" t="str">
        <f t="shared" si="198"/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 t="shared" si="199"/>
        <v/>
      </c>
      <c r="SA11" s="11" t="str">
        <f t="shared" si="200"/>
        <v/>
      </c>
      <c r="SB11" s="11" t="str">
        <f t="shared" si="201"/>
        <v/>
      </c>
      <c r="SC11" s="11" t="str">
        <f t="shared" si="202"/>
        <v/>
      </c>
      <c r="SD11" s="11" t="str">
        <f t="shared" si="203"/>
        <v/>
      </c>
      <c r="SE11" s="11" t="str">
        <f t="shared" si="204"/>
        <v/>
      </c>
      <c r="SF11" s="11" t="str">
        <f t="shared" si="205"/>
        <v/>
      </c>
      <c r="SG11" s="11" t="str">
        <f t="shared" si="206"/>
        <v/>
      </c>
      <c r="SH11" s="11" t="str">
        <f t="shared" si="207"/>
        <v/>
      </c>
      <c r="SI11" s="11" t="str">
        <f t="shared" si="208"/>
        <v/>
      </c>
      <c r="SJ11" s="11" t="str">
        <f t="shared" si="209"/>
        <v/>
      </c>
      <c r="SK11" s="11" t="str">
        <f t="shared" si="210"/>
        <v/>
      </c>
      <c r="SL11" s="11" t="str">
        <f t="shared" si="211"/>
        <v/>
      </c>
      <c r="SM11" s="11" t="str">
        <f t="shared" si="212"/>
        <v/>
      </c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40" t="str">
        <f t="shared" si="213"/>
        <v/>
      </c>
      <c r="TI11" s="40" t="str">
        <f t="shared" si="214"/>
        <v/>
      </c>
      <c r="TJ11" s="40" t="str">
        <f t="shared" si="215"/>
        <v/>
      </c>
      <c r="TK11" s="40" t="str">
        <f t="shared" si="216"/>
        <v/>
      </c>
      <c r="TL11" s="40" t="str">
        <f t="shared" si="217"/>
        <v/>
      </c>
      <c r="TM11" s="40" t="str">
        <f t="shared" si="218"/>
        <v/>
      </c>
      <c r="TN11" s="40" t="str">
        <f t="shared" si="219"/>
        <v/>
      </c>
      <c r="TO11" s="40" t="str">
        <f t="shared" si="220"/>
        <v/>
      </c>
      <c r="TP11" s="40" t="str">
        <f t="shared" si="221"/>
        <v/>
      </c>
      <c r="TQ11" s="40" t="str">
        <f t="shared" si="222"/>
        <v/>
      </c>
      <c r="TR11" s="40" t="str">
        <f t="shared" si="223"/>
        <v/>
      </c>
      <c r="TS11" s="40" t="str">
        <f t="shared" si="224"/>
        <v/>
      </c>
      <c r="TT11" s="40" t="str">
        <f t="shared" si="225"/>
        <v/>
      </c>
      <c r="TU11" s="40" t="str">
        <f t="shared" si="226"/>
        <v/>
      </c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1" t="str">
        <f t="shared" si="227"/>
        <v/>
      </c>
      <c r="UQ11" s="11" t="str">
        <f t="shared" si="228"/>
        <v/>
      </c>
      <c r="UR11" s="11" t="str">
        <f t="shared" si="229"/>
        <v/>
      </c>
      <c r="US11" s="11" t="str">
        <f t="shared" si="230"/>
        <v/>
      </c>
      <c r="UT11" s="11" t="str">
        <f t="shared" si="231"/>
        <v/>
      </c>
      <c r="UU11" s="11" t="str">
        <f t="shared" si="232"/>
        <v/>
      </c>
      <c r="UV11" s="11" t="str">
        <f t="shared" si="233"/>
        <v/>
      </c>
      <c r="UW11" s="11" t="str">
        <f t="shared" si="234"/>
        <v/>
      </c>
      <c r="UX11" s="11" t="str">
        <f t="shared" si="235"/>
        <v/>
      </c>
      <c r="UY11" s="11" t="str">
        <f t="shared" si="236"/>
        <v/>
      </c>
      <c r="UZ11" s="11" t="str">
        <f t="shared" si="237"/>
        <v/>
      </c>
      <c r="VA11" s="11" t="str">
        <f t="shared" si="238"/>
        <v/>
      </c>
      <c r="VB11" s="11" t="str">
        <f t="shared" si="239"/>
        <v/>
      </c>
      <c r="VC11" s="11" t="str">
        <f t="shared" si="240"/>
        <v/>
      </c>
      <c r="VD11" s="17"/>
      <c r="VE11" s="17"/>
      <c r="VF11" s="17"/>
      <c r="VG11" s="17"/>
      <c r="VH11" s="17"/>
      <c r="VI11" s="17"/>
      <c r="VJ11" s="17"/>
      <c r="VK11" s="17"/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40" t="str">
        <f t="shared" si="241"/>
        <v/>
      </c>
      <c r="VY11" s="40" t="str">
        <f t="shared" si="242"/>
        <v/>
      </c>
      <c r="VZ11" s="40" t="str">
        <f t="shared" si="243"/>
        <v/>
      </c>
      <c r="WA11" s="40" t="str">
        <f t="shared" si="244"/>
        <v/>
      </c>
      <c r="WB11" s="40" t="str">
        <f t="shared" si="245"/>
        <v/>
      </c>
      <c r="WC11" s="40" t="str">
        <f t="shared" si="246"/>
        <v/>
      </c>
      <c r="WD11" s="40" t="str">
        <f t="shared" si="247"/>
        <v/>
      </c>
      <c r="WE11" s="40" t="str">
        <f t="shared" si="248"/>
        <v/>
      </c>
      <c r="WF11" s="40" t="str">
        <f t="shared" si="249"/>
        <v/>
      </c>
      <c r="WG11" s="40" t="str">
        <f t="shared" si="250"/>
        <v/>
      </c>
      <c r="WH11" s="40" t="str">
        <f t="shared" si="251"/>
        <v/>
      </c>
      <c r="WI11" s="40" t="str">
        <f t="shared" si="252"/>
        <v/>
      </c>
      <c r="WJ11" s="40" t="str">
        <f t="shared" si="253"/>
        <v/>
      </c>
      <c r="WK11" s="40" t="str">
        <f t="shared" si="254"/>
        <v/>
      </c>
      <c r="WL11" s="26">
        <f t="shared" si="255"/>
        <v>0</v>
      </c>
      <c r="WM11" s="26">
        <f t="shared" si="256"/>
        <v>0</v>
      </c>
      <c r="WN11" s="26">
        <f t="shared" si="257"/>
        <v>0</v>
      </c>
      <c r="WO11" s="26">
        <f t="shared" si="258"/>
        <v>0</v>
      </c>
      <c r="WP11" s="26">
        <f t="shared" si="259"/>
        <v>0</v>
      </c>
      <c r="WQ11" s="26">
        <f t="shared" si="260"/>
        <v>0</v>
      </c>
      <c r="WR11" s="26">
        <f t="shared" si="261"/>
        <v>0</v>
      </c>
      <c r="WS11" s="26">
        <f t="shared" si="262"/>
        <v>0</v>
      </c>
      <c r="WT11" s="26">
        <f t="shared" si="263"/>
        <v>0</v>
      </c>
      <c r="WU11" s="26">
        <f t="shared" si="264"/>
        <v>0</v>
      </c>
      <c r="WV11" s="26">
        <f t="shared" si="265"/>
        <v>0</v>
      </c>
      <c r="WW11" s="26">
        <f t="shared" si="266"/>
        <v>0</v>
      </c>
      <c r="WX11" s="26">
        <f t="shared" si="267"/>
        <v>0</v>
      </c>
      <c r="WY11" s="26">
        <f t="shared" si="268"/>
        <v>0</v>
      </c>
      <c r="WZ11" s="26">
        <f t="shared" si="269"/>
        <v>0</v>
      </c>
      <c r="XA11" s="28" t="s">
        <v>53</v>
      </c>
      <c r="XB11" s="11" t="str">
        <f t="shared" si="270"/>
        <v/>
      </c>
      <c r="XC11" s="11" t="str">
        <f t="shared" si="271"/>
        <v/>
      </c>
      <c r="XD11" s="11" t="str">
        <f t="shared" si="272"/>
        <v/>
      </c>
      <c r="XE11" s="11" t="str">
        <f t="shared" si="273"/>
        <v/>
      </c>
      <c r="XF11" s="11" t="str">
        <f t="shared" si="274"/>
        <v/>
      </c>
      <c r="XG11" s="11" t="str">
        <f t="shared" si="275"/>
        <v/>
      </c>
      <c r="XH11" s="11" t="str">
        <f t="shared" si="276"/>
        <v/>
      </c>
      <c r="XI11" s="11" t="str">
        <f t="shared" si="277"/>
        <v/>
      </c>
      <c r="XJ11" s="11" t="str">
        <f t="shared" si="278"/>
        <v/>
      </c>
      <c r="XK11" s="11" t="str">
        <f t="shared" si="279"/>
        <v/>
      </c>
      <c r="XL11" s="11" t="str">
        <f t="shared" si="280"/>
        <v/>
      </c>
    </row>
    <row r="12" spans="1:636" x14ac:dyDescent="0.2">
      <c r="A12" s="4" cm="1">
        <f t="array" ref="A12">IF(AND(H12&lt;&gt;"",H12&lt;&gt;"No DD"),SUMPRODUCT((H$4:H$19&lt;&gt;"")*(H$4:H$19&lt;&gt;"No DD")*(E$4:E$19&gt;E12))+1,IF(H12="No DD",SUMPRODUCT((H$4:H$19="No DD")*(E$4:E$19&gt;E12))+1+SUMPRODUCT((H$4:H$19&lt;&gt;"")*(H$4:H$19&lt;&gt;"No DD")),""))</f>
        <v>5</v>
      </c>
      <c r="B12" s="5" t="s">
        <v>184</v>
      </c>
      <c r="C12" s="4" t="s">
        <v>7</v>
      </c>
      <c r="D12" s="4" t="s">
        <v>183</v>
      </c>
      <c r="E12" s="9">
        <f t="shared" si="0"/>
        <v>49.5</v>
      </c>
      <c r="F12" s="3" t="str">
        <f t="shared" si="1"/>
        <v/>
      </c>
      <c r="G12" s="3" t="str">
        <f t="shared" si="2"/>
        <v>P</v>
      </c>
      <c r="H12" s="36" t="str">
        <f t="shared" si="3"/>
        <v>No DD</v>
      </c>
      <c r="I12" s="3" t="str">
        <f t="shared" si="4"/>
        <v/>
      </c>
      <c r="J12" s="8">
        <f>IF(COUNT(AI12,AL12,AP12,BJ12,BM12,BQ12,CK12,CN12,CR12)&gt;0,LARGE((AI12,AL12,AP12,BJ12,BM12,BQ12,CK12,CN12,CR12),1),0)</f>
        <v>0</v>
      </c>
      <c r="K12" s="8" t="str">
        <f t="shared" si="5"/>
        <v/>
      </c>
      <c r="L12" s="8">
        <f>IF(COUNT(AI12,AL12,AP12,BJ12,BM12,BQ12,CK12,CN12,CR12)&gt;1,LARGE((AI12,AL12,AP12,BJ12,BM12,BQ12,CK12,CN12,CR12),2),0)</f>
        <v>0</v>
      </c>
      <c r="M12" s="8" t="str">
        <f t="shared" si="6"/>
        <v/>
      </c>
      <c r="N12" s="8">
        <f t="shared" si="7"/>
        <v>49.5</v>
      </c>
      <c r="O12" s="11" t="str">
        <f t="shared" si="8"/>
        <v>(Final)</v>
      </c>
      <c r="P12" s="8" t="str">
        <f t="shared" si="9"/>
        <v>2024 World Cup POR (July 7)</v>
      </c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7"/>
      <c r="AG12" s="38" t="str">
        <f t="shared" si="10"/>
        <v/>
      </c>
      <c r="AH12" s="38" t="str">
        <f t="shared" si="11"/>
        <v/>
      </c>
      <c r="AI12" s="40" t="str">
        <f t="shared" si="12"/>
        <v/>
      </c>
      <c r="AJ12" s="40" t="str">
        <f t="shared" si="13"/>
        <v/>
      </c>
      <c r="AK12" s="40" t="str">
        <f t="shared" si="14"/>
        <v/>
      </c>
      <c r="AL12" s="40" t="str">
        <f t="shared" si="15"/>
        <v/>
      </c>
      <c r="AM12" s="40" t="str">
        <f t="shared" si="16"/>
        <v/>
      </c>
      <c r="AN12" s="40" t="str">
        <f t="shared" si="17"/>
        <v/>
      </c>
      <c r="AO12" s="40" t="str">
        <f t="shared" si="18"/>
        <v/>
      </c>
      <c r="AP12" s="40" t="str">
        <f t="shared" si="19"/>
        <v/>
      </c>
      <c r="AQ12" s="40" t="str">
        <f t="shared" si="20"/>
        <v/>
      </c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8"/>
      <c r="BH12" s="39" t="str">
        <f t="shared" si="21"/>
        <v/>
      </c>
      <c r="BI12" s="39" t="str">
        <f t="shared" si="22"/>
        <v/>
      </c>
      <c r="BJ12" s="11" t="str">
        <f t="shared" si="23"/>
        <v/>
      </c>
      <c r="BK12" s="11" t="str">
        <f t="shared" si="24"/>
        <v/>
      </c>
      <c r="BL12" s="11" t="str">
        <f t="shared" si="25"/>
        <v/>
      </c>
      <c r="BM12" s="11" t="str">
        <f t="shared" si="26"/>
        <v/>
      </c>
      <c r="BN12" s="11" t="str">
        <f t="shared" si="27"/>
        <v/>
      </c>
      <c r="BO12" s="11" t="str">
        <f t="shared" si="28"/>
        <v/>
      </c>
      <c r="BP12" s="11" t="str">
        <f t="shared" si="29"/>
        <v/>
      </c>
      <c r="BQ12" s="11" t="str">
        <f t="shared" si="30"/>
        <v/>
      </c>
      <c r="BR12" s="11" t="str">
        <f t="shared" si="31"/>
        <v/>
      </c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  <c r="CD12" s="22"/>
      <c r="CE12" s="22"/>
      <c r="CF12" s="22"/>
      <c r="CG12" s="22"/>
      <c r="CH12" s="27"/>
      <c r="CI12" s="38" t="str">
        <f t="shared" si="32"/>
        <v/>
      </c>
      <c r="CJ12" s="38" t="str">
        <f t="shared" si="33"/>
        <v/>
      </c>
      <c r="CK12" s="40" t="str">
        <f t="shared" si="34"/>
        <v/>
      </c>
      <c r="CL12" s="40" t="str">
        <f t="shared" si="35"/>
        <v/>
      </c>
      <c r="CM12" s="40" t="str">
        <f t="shared" si="36"/>
        <v/>
      </c>
      <c r="CN12" s="40" t="str">
        <f t="shared" si="37"/>
        <v/>
      </c>
      <c r="CO12" s="40" t="str">
        <f t="shared" si="38"/>
        <v/>
      </c>
      <c r="CP12" s="40" t="str">
        <f t="shared" si="39"/>
        <v/>
      </c>
      <c r="CQ12" s="40" t="str">
        <f t="shared" si="40"/>
        <v/>
      </c>
      <c r="CR12" s="40" t="str">
        <f t="shared" si="41"/>
        <v/>
      </c>
      <c r="CS12" s="40" t="str">
        <f t="shared" si="42"/>
        <v/>
      </c>
      <c r="CT12" s="51">
        <f t="shared" si="43"/>
        <v>48.74</v>
      </c>
      <c r="CU12" s="51">
        <f t="shared" si="44"/>
        <v>49.5</v>
      </c>
      <c r="CV12" s="17">
        <v>7.75</v>
      </c>
      <c r="CW12" s="17">
        <v>9.1999999999999993</v>
      </c>
      <c r="CX12" s="17">
        <v>12.2</v>
      </c>
      <c r="CY12" s="17">
        <v>16.420000000000002</v>
      </c>
      <c r="CZ12" s="17">
        <v>0</v>
      </c>
      <c r="DA12" s="17">
        <v>2.2999999999999998</v>
      </c>
      <c r="DB12" s="17">
        <v>2.65</v>
      </c>
      <c r="DC12" s="17">
        <v>4.4000000000000004</v>
      </c>
      <c r="DD12" s="17">
        <v>4.7</v>
      </c>
      <c r="DE12" s="17">
        <v>0</v>
      </c>
      <c r="DF12" s="17"/>
      <c r="DG12" s="17"/>
      <c r="DH12" s="17"/>
      <c r="DI12" s="17"/>
      <c r="DJ12" s="17"/>
      <c r="DK12" s="17">
        <v>7.75</v>
      </c>
      <c r="DL12" s="17">
        <v>9.1999999999999993</v>
      </c>
      <c r="DM12" s="17">
        <v>12.2</v>
      </c>
      <c r="DN12" s="17">
        <v>17.64</v>
      </c>
      <c r="DO12" s="17">
        <v>0</v>
      </c>
      <c r="DP12" s="40">
        <f t="shared" si="45"/>
        <v>12.2</v>
      </c>
      <c r="DQ12" s="40">
        <f t="shared" si="46"/>
        <v>16.420000000000002</v>
      </c>
      <c r="DR12" s="40">
        <f t="shared" si="47"/>
        <v>45.57</v>
      </c>
      <c r="DS12" s="40">
        <f t="shared" si="48"/>
        <v>4.4000000000000004</v>
      </c>
      <c r="DT12" s="40">
        <f t="shared" si="49"/>
        <v>4.7</v>
      </c>
      <c r="DU12" s="40">
        <f t="shared" si="50"/>
        <v>14.05</v>
      </c>
      <c r="DV12" s="40">
        <f t="shared" si="51"/>
        <v>45.57</v>
      </c>
      <c r="DW12" s="40" t="str">
        <f t="shared" si="52"/>
        <v/>
      </c>
      <c r="DX12" s="40" t="str">
        <f t="shared" si="53"/>
        <v/>
      </c>
      <c r="DY12" s="40" t="str">
        <f t="shared" si="54"/>
        <v/>
      </c>
      <c r="DZ12" s="40">
        <f t="shared" si="55"/>
        <v>12.2</v>
      </c>
      <c r="EA12" s="40">
        <f t="shared" si="56"/>
        <v>17.64</v>
      </c>
      <c r="EB12" s="40">
        <f t="shared" si="57"/>
        <v>46.79</v>
      </c>
      <c r="EC12" s="40">
        <f t="shared" si="58"/>
        <v>92.36</v>
      </c>
      <c r="ED12" s="18">
        <v>7.8</v>
      </c>
      <c r="EE12" s="18">
        <v>12.2</v>
      </c>
      <c r="EF12" s="18">
        <v>9.1</v>
      </c>
      <c r="EG12" s="18">
        <v>18.46</v>
      </c>
      <c r="EH12" s="18">
        <v>0</v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>
        <v>7.9</v>
      </c>
      <c r="ET12" s="18">
        <v>9.5</v>
      </c>
      <c r="EU12" s="18">
        <v>12.2</v>
      </c>
      <c r="EV12" s="18">
        <v>17.8</v>
      </c>
      <c r="EW12" s="18">
        <v>0</v>
      </c>
      <c r="EX12" s="11">
        <f t="shared" si="59"/>
        <v>9.1</v>
      </c>
      <c r="EY12" s="11">
        <f t="shared" si="60"/>
        <v>18.46</v>
      </c>
      <c r="EZ12" s="11">
        <f t="shared" si="61"/>
        <v>47.56</v>
      </c>
      <c r="FA12" s="11" t="str">
        <f t="shared" si="62"/>
        <v/>
      </c>
      <c r="FB12" s="11" t="str">
        <f t="shared" si="63"/>
        <v/>
      </c>
      <c r="FC12" s="11" t="str">
        <f t="shared" si="64"/>
        <v/>
      </c>
      <c r="FD12" s="11">
        <f t="shared" si="65"/>
        <v>47.56</v>
      </c>
      <c r="FE12" s="11" t="str">
        <f t="shared" si="66"/>
        <v/>
      </c>
      <c r="FF12" s="11" t="str">
        <f t="shared" si="67"/>
        <v/>
      </c>
      <c r="FG12" s="11" t="str">
        <f t="shared" si="68"/>
        <v/>
      </c>
      <c r="FH12" s="11">
        <f t="shared" si="69"/>
        <v>12.2</v>
      </c>
      <c r="FI12" s="11">
        <f t="shared" si="70"/>
        <v>17.8</v>
      </c>
      <c r="FJ12" s="11">
        <f t="shared" si="71"/>
        <v>47.4</v>
      </c>
      <c r="FK12" s="11">
        <f t="shared" si="72"/>
        <v>94.960000000000008</v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0" t="str">
        <f t="shared" si="73"/>
        <v/>
      </c>
      <c r="GG12" s="40" t="str">
        <f t="shared" si="74"/>
        <v/>
      </c>
      <c r="GH12" s="40" t="str">
        <f t="shared" si="75"/>
        <v/>
      </c>
      <c r="GI12" s="40" t="str">
        <f t="shared" si="76"/>
        <v/>
      </c>
      <c r="GJ12" s="40" t="str">
        <f t="shared" si="77"/>
        <v/>
      </c>
      <c r="GK12" s="40" t="str">
        <f t="shared" si="78"/>
        <v/>
      </c>
      <c r="GL12" s="40" t="str">
        <f t="shared" si="79"/>
        <v/>
      </c>
      <c r="GM12" s="40" t="str">
        <f t="shared" si="80"/>
        <v/>
      </c>
      <c r="GN12" s="40" t="str">
        <f t="shared" si="81"/>
        <v/>
      </c>
      <c r="GO12" s="40" t="str">
        <f t="shared" si="82"/>
        <v/>
      </c>
      <c r="GP12" s="40" t="str">
        <f t="shared" si="83"/>
        <v/>
      </c>
      <c r="GQ12" s="40" t="str">
        <f t="shared" si="84"/>
        <v/>
      </c>
      <c r="GR12" s="40" t="str">
        <f t="shared" si="85"/>
        <v/>
      </c>
      <c r="GS12" s="40" t="str">
        <f t="shared" si="86"/>
        <v/>
      </c>
      <c r="GT12" s="18">
        <v>7.6</v>
      </c>
      <c r="GU12" s="18">
        <v>9.5</v>
      </c>
      <c r="GV12" s="18">
        <v>13.8</v>
      </c>
      <c r="GW12" s="18">
        <v>17.84</v>
      </c>
      <c r="GX12" s="18">
        <v>0</v>
      </c>
      <c r="GY12" s="18">
        <v>7.6</v>
      </c>
      <c r="GZ12" s="18">
        <v>8.85</v>
      </c>
      <c r="HA12" s="18">
        <v>13.8</v>
      </c>
      <c r="HB12" s="18">
        <v>18.3</v>
      </c>
      <c r="HC12" s="18">
        <v>0</v>
      </c>
      <c r="HD12" s="18"/>
      <c r="HE12" s="18"/>
      <c r="HF12" s="18"/>
      <c r="HG12" s="18"/>
      <c r="HH12" s="18"/>
      <c r="HI12" s="18">
        <v>7.75</v>
      </c>
      <c r="HJ12" s="18">
        <v>9.15</v>
      </c>
      <c r="HK12" s="18">
        <v>13.8</v>
      </c>
      <c r="HL12" s="18">
        <v>18.8</v>
      </c>
      <c r="HM12" s="18">
        <v>0</v>
      </c>
      <c r="HN12" s="11">
        <f t="shared" si="87"/>
        <v>13.8</v>
      </c>
      <c r="HO12" s="11">
        <f t="shared" si="88"/>
        <v>17.84</v>
      </c>
      <c r="HP12" s="11">
        <f t="shared" si="89"/>
        <v>48.74</v>
      </c>
      <c r="HQ12" s="11">
        <f t="shared" si="90"/>
        <v>13.8</v>
      </c>
      <c r="HR12" s="11">
        <f t="shared" si="91"/>
        <v>18.3</v>
      </c>
      <c r="HS12" s="11">
        <f t="shared" si="92"/>
        <v>48.55</v>
      </c>
      <c r="HT12" s="11">
        <f t="shared" si="93"/>
        <v>48.74</v>
      </c>
      <c r="HU12" s="11" t="str">
        <f t="shared" si="94"/>
        <v/>
      </c>
      <c r="HV12" s="11" t="str">
        <f t="shared" si="95"/>
        <v/>
      </c>
      <c r="HW12" s="11" t="str">
        <f t="shared" si="96"/>
        <v/>
      </c>
      <c r="HX12" s="11">
        <f t="shared" si="97"/>
        <v>13.8</v>
      </c>
      <c r="HY12" s="11">
        <f t="shared" si="98"/>
        <v>18.8</v>
      </c>
      <c r="HZ12" s="11">
        <f t="shared" si="99"/>
        <v>49.5</v>
      </c>
      <c r="IA12" s="11">
        <f t="shared" si="100"/>
        <v>98.240000000000009</v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0" t="str">
        <f t="shared" si="101"/>
        <v/>
      </c>
      <c r="IW12" s="40" t="str">
        <f t="shared" si="102"/>
        <v/>
      </c>
      <c r="IX12" s="40" t="str">
        <f t="shared" si="103"/>
        <v/>
      </c>
      <c r="IY12" s="40" t="str">
        <f t="shared" si="104"/>
        <v/>
      </c>
      <c r="IZ12" s="40" t="str">
        <f t="shared" si="105"/>
        <v/>
      </c>
      <c r="JA12" s="40" t="str">
        <f t="shared" si="106"/>
        <v/>
      </c>
      <c r="JB12" s="40" t="str">
        <f t="shared" si="107"/>
        <v/>
      </c>
      <c r="JC12" s="40" t="str">
        <f t="shared" si="108"/>
        <v/>
      </c>
      <c r="JD12" s="40" t="str">
        <f t="shared" si="109"/>
        <v/>
      </c>
      <c r="JE12" s="40" t="str">
        <f t="shared" si="110"/>
        <v/>
      </c>
      <c r="JF12" s="40" t="str">
        <f t="shared" si="111"/>
        <v/>
      </c>
      <c r="JG12" s="40" t="str">
        <f t="shared" si="112"/>
        <v/>
      </c>
      <c r="JH12" s="40" t="str">
        <f t="shared" si="113"/>
        <v/>
      </c>
      <c r="JI12" s="40" t="str">
        <f t="shared" si="114"/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 t="shared" si="115"/>
        <v/>
      </c>
      <c r="KE12" s="11" t="str">
        <f t="shared" si="116"/>
        <v/>
      </c>
      <c r="KF12" s="11" t="str">
        <f t="shared" si="117"/>
        <v/>
      </c>
      <c r="KG12" s="11" t="str">
        <f t="shared" si="118"/>
        <v/>
      </c>
      <c r="KH12" s="11" t="str">
        <f t="shared" si="119"/>
        <v/>
      </c>
      <c r="KI12" s="11" t="str">
        <f t="shared" si="120"/>
        <v/>
      </c>
      <c r="KJ12" s="11" t="str">
        <f t="shared" si="121"/>
        <v/>
      </c>
      <c r="KK12" s="11" t="str">
        <f t="shared" si="122"/>
        <v/>
      </c>
      <c r="KL12" s="11" t="str">
        <f t="shared" si="123"/>
        <v/>
      </c>
      <c r="KM12" s="11" t="str">
        <f t="shared" si="124"/>
        <v/>
      </c>
      <c r="KN12" s="11" t="str">
        <f t="shared" si="125"/>
        <v/>
      </c>
      <c r="KO12" s="11" t="str">
        <f t="shared" si="126"/>
        <v/>
      </c>
      <c r="KP12" s="11" t="str">
        <f t="shared" si="127"/>
        <v/>
      </c>
      <c r="KQ12" s="11" t="str">
        <f t="shared" si="128"/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0" t="str">
        <f t="shared" si="129"/>
        <v/>
      </c>
      <c r="LM12" s="40" t="str">
        <f t="shared" si="130"/>
        <v/>
      </c>
      <c r="LN12" s="40" t="str">
        <f t="shared" si="131"/>
        <v/>
      </c>
      <c r="LO12" s="40" t="str">
        <f t="shared" si="132"/>
        <v/>
      </c>
      <c r="LP12" s="40" t="str">
        <f t="shared" si="133"/>
        <v/>
      </c>
      <c r="LQ12" s="40" t="str">
        <f t="shared" si="134"/>
        <v/>
      </c>
      <c r="LR12" s="40" t="str">
        <f t="shared" si="135"/>
        <v/>
      </c>
      <c r="LS12" s="40" t="str">
        <f t="shared" si="136"/>
        <v/>
      </c>
      <c r="LT12" s="40" t="str">
        <f t="shared" si="137"/>
        <v/>
      </c>
      <c r="LU12" s="40" t="str">
        <f t="shared" si="138"/>
        <v/>
      </c>
      <c r="LV12" s="40" t="str">
        <f t="shared" si="139"/>
        <v/>
      </c>
      <c r="LW12" s="40" t="str">
        <f t="shared" si="140"/>
        <v/>
      </c>
      <c r="LX12" s="40" t="str">
        <f t="shared" si="141"/>
        <v/>
      </c>
      <c r="LY12" s="40" t="str">
        <f t="shared" si="142"/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 t="shared" si="143"/>
        <v/>
      </c>
      <c r="MU12" s="11" t="str">
        <f t="shared" si="144"/>
        <v/>
      </c>
      <c r="MV12" s="11" t="str">
        <f t="shared" si="145"/>
        <v/>
      </c>
      <c r="MW12" s="11" t="str">
        <f t="shared" si="146"/>
        <v/>
      </c>
      <c r="MX12" s="11" t="str">
        <f t="shared" si="147"/>
        <v/>
      </c>
      <c r="MY12" s="11" t="str">
        <f t="shared" si="148"/>
        <v/>
      </c>
      <c r="MZ12" s="11" t="str">
        <f t="shared" si="149"/>
        <v/>
      </c>
      <c r="NA12" s="11" t="str">
        <f t="shared" si="150"/>
        <v/>
      </c>
      <c r="NB12" s="11" t="str">
        <f t="shared" si="151"/>
        <v/>
      </c>
      <c r="NC12" s="11" t="str">
        <f t="shared" si="152"/>
        <v/>
      </c>
      <c r="ND12" s="11" t="str">
        <f t="shared" si="153"/>
        <v/>
      </c>
      <c r="NE12" s="11" t="str">
        <f t="shared" si="154"/>
        <v/>
      </c>
      <c r="NF12" s="11" t="str">
        <f t="shared" si="155"/>
        <v/>
      </c>
      <c r="NG12" s="11" t="str">
        <f t="shared" si="156"/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0" t="str">
        <f t="shared" si="157"/>
        <v/>
      </c>
      <c r="OC12" s="40" t="str">
        <f t="shared" si="158"/>
        <v/>
      </c>
      <c r="OD12" s="40" t="str">
        <f t="shared" si="159"/>
        <v/>
      </c>
      <c r="OE12" s="40" t="str">
        <f t="shared" si="160"/>
        <v/>
      </c>
      <c r="OF12" s="40" t="str">
        <f t="shared" si="161"/>
        <v/>
      </c>
      <c r="OG12" s="40" t="str">
        <f t="shared" si="162"/>
        <v/>
      </c>
      <c r="OH12" s="40" t="str">
        <f t="shared" si="163"/>
        <v/>
      </c>
      <c r="OI12" s="40" t="str">
        <f t="shared" si="164"/>
        <v/>
      </c>
      <c r="OJ12" s="40" t="str">
        <f t="shared" si="165"/>
        <v/>
      </c>
      <c r="OK12" s="40" t="str">
        <f t="shared" si="166"/>
        <v/>
      </c>
      <c r="OL12" s="40" t="str">
        <f t="shared" si="167"/>
        <v/>
      </c>
      <c r="OM12" s="40" t="str">
        <f t="shared" si="168"/>
        <v/>
      </c>
      <c r="ON12" s="40" t="str">
        <f t="shared" si="169"/>
        <v/>
      </c>
      <c r="OO12" s="40" t="str">
        <f t="shared" si="170"/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 t="shared" si="171"/>
        <v/>
      </c>
      <c r="PK12" s="11" t="str">
        <f t="shared" si="172"/>
        <v/>
      </c>
      <c r="PL12" s="11" t="str">
        <f t="shared" si="173"/>
        <v/>
      </c>
      <c r="PM12" s="11" t="str">
        <f t="shared" si="174"/>
        <v/>
      </c>
      <c r="PN12" s="11" t="str">
        <f t="shared" si="175"/>
        <v/>
      </c>
      <c r="PO12" s="11" t="str">
        <f t="shared" si="176"/>
        <v/>
      </c>
      <c r="PP12" s="11" t="str">
        <f t="shared" si="177"/>
        <v/>
      </c>
      <c r="PQ12" s="11" t="str">
        <f t="shared" si="178"/>
        <v/>
      </c>
      <c r="PR12" s="11" t="str">
        <f t="shared" si="179"/>
        <v/>
      </c>
      <c r="PS12" s="11" t="str">
        <f t="shared" si="180"/>
        <v/>
      </c>
      <c r="PT12" s="11" t="str">
        <f t="shared" si="181"/>
        <v/>
      </c>
      <c r="PU12" s="11" t="str">
        <f t="shared" si="182"/>
        <v/>
      </c>
      <c r="PV12" s="11" t="str">
        <f t="shared" si="183"/>
        <v/>
      </c>
      <c r="PW12" s="11" t="str">
        <f t="shared" si="184"/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0" t="str">
        <f t="shared" si="185"/>
        <v/>
      </c>
      <c r="QS12" s="40" t="str">
        <f t="shared" si="186"/>
        <v/>
      </c>
      <c r="QT12" s="40" t="str">
        <f t="shared" si="187"/>
        <v/>
      </c>
      <c r="QU12" s="40" t="str">
        <f t="shared" si="188"/>
        <v/>
      </c>
      <c r="QV12" s="40" t="str">
        <f t="shared" si="189"/>
        <v/>
      </c>
      <c r="QW12" s="40" t="str">
        <f t="shared" si="190"/>
        <v/>
      </c>
      <c r="QX12" s="40" t="str">
        <f t="shared" si="191"/>
        <v/>
      </c>
      <c r="QY12" s="40" t="str">
        <f t="shared" si="192"/>
        <v/>
      </c>
      <c r="QZ12" s="40" t="str">
        <f t="shared" si="193"/>
        <v/>
      </c>
      <c r="RA12" s="40" t="str">
        <f t="shared" si="194"/>
        <v/>
      </c>
      <c r="RB12" s="40" t="str">
        <f t="shared" si="195"/>
        <v/>
      </c>
      <c r="RC12" s="40" t="str">
        <f t="shared" si="196"/>
        <v/>
      </c>
      <c r="RD12" s="40" t="str">
        <f t="shared" si="197"/>
        <v/>
      </c>
      <c r="RE12" s="40" t="str">
        <f t="shared" si="198"/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 t="shared" si="199"/>
        <v/>
      </c>
      <c r="SA12" s="11" t="str">
        <f t="shared" si="200"/>
        <v/>
      </c>
      <c r="SB12" s="11" t="str">
        <f t="shared" si="201"/>
        <v/>
      </c>
      <c r="SC12" s="11" t="str">
        <f t="shared" si="202"/>
        <v/>
      </c>
      <c r="SD12" s="11" t="str">
        <f t="shared" si="203"/>
        <v/>
      </c>
      <c r="SE12" s="11" t="str">
        <f t="shared" si="204"/>
        <v/>
      </c>
      <c r="SF12" s="11" t="str">
        <f t="shared" si="205"/>
        <v/>
      </c>
      <c r="SG12" s="11" t="str">
        <f t="shared" si="206"/>
        <v/>
      </c>
      <c r="SH12" s="11" t="str">
        <f t="shared" si="207"/>
        <v/>
      </c>
      <c r="SI12" s="11" t="str">
        <f t="shared" si="208"/>
        <v/>
      </c>
      <c r="SJ12" s="11" t="str">
        <f t="shared" si="209"/>
        <v/>
      </c>
      <c r="SK12" s="11" t="str">
        <f t="shared" si="210"/>
        <v/>
      </c>
      <c r="SL12" s="11" t="str">
        <f t="shared" si="211"/>
        <v/>
      </c>
      <c r="SM12" s="11" t="str">
        <f t="shared" si="212"/>
        <v/>
      </c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40" t="str">
        <f t="shared" si="213"/>
        <v/>
      </c>
      <c r="TI12" s="40" t="str">
        <f t="shared" si="214"/>
        <v/>
      </c>
      <c r="TJ12" s="40" t="str">
        <f t="shared" si="215"/>
        <v/>
      </c>
      <c r="TK12" s="40" t="str">
        <f t="shared" si="216"/>
        <v/>
      </c>
      <c r="TL12" s="40" t="str">
        <f t="shared" si="217"/>
        <v/>
      </c>
      <c r="TM12" s="40" t="str">
        <f t="shared" si="218"/>
        <v/>
      </c>
      <c r="TN12" s="40" t="str">
        <f t="shared" si="219"/>
        <v/>
      </c>
      <c r="TO12" s="40" t="str">
        <f t="shared" si="220"/>
        <v/>
      </c>
      <c r="TP12" s="40" t="str">
        <f t="shared" si="221"/>
        <v/>
      </c>
      <c r="TQ12" s="40" t="str">
        <f t="shared" si="222"/>
        <v/>
      </c>
      <c r="TR12" s="40" t="str">
        <f t="shared" si="223"/>
        <v/>
      </c>
      <c r="TS12" s="40" t="str">
        <f t="shared" si="224"/>
        <v/>
      </c>
      <c r="TT12" s="40" t="str">
        <f t="shared" si="225"/>
        <v/>
      </c>
      <c r="TU12" s="40" t="str">
        <f t="shared" si="226"/>
        <v/>
      </c>
      <c r="TV12" s="18"/>
      <c r="TW12" s="18"/>
      <c r="TX12" s="18"/>
      <c r="TY12" s="18"/>
      <c r="TZ12" s="18"/>
      <c r="UA12" s="18"/>
      <c r="UB12" s="18"/>
      <c r="UC12" s="18"/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1" t="str">
        <f t="shared" si="227"/>
        <v/>
      </c>
      <c r="UQ12" s="11" t="str">
        <f t="shared" si="228"/>
        <v/>
      </c>
      <c r="UR12" s="11" t="str">
        <f t="shared" si="229"/>
        <v/>
      </c>
      <c r="US12" s="11" t="str">
        <f t="shared" si="230"/>
        <v/>
      </c>
      <c r="UT12" s="11" t="str">
        <f t="shared" si="231"/>
        <v/>
      </c>
      <c r="UU12" s="11" t="str">
        <f t="shared" si="232"/>
        <v/>
      </c>
      <c r="UV12" s="11" t="str">
        <f t="shared" si="233"/>
        <v/>
      </c>
      <c r="UW12" s="11" t="str">
        <f t="shared" si="234"/>
        <v/>
      </c>
      <c r="UX12" s="11" t="str">
        <f t="shared" si="235"/>
        <v/>
      </c>
      <c r="UY12" s="11" t="str">
        <f t="shared" si="236"/>
        <v/>
      </c>
      <c r="UZ12" s="11" t="str">
        <f t="shared" si="237"/>
        <v/>
      </c>
      <c r="VA12" s="11" t="str">
        <f t="shared" si="238"/>
        <v/>
      </c>
      <c r="VB12" s="11" t="str">
        <f t="shared" si="239"/>
        <v/>
      </c>
      <c r="VC12" s="11" t="str">
        <f t="shared" si="240"/>
        <v/>
      </c>
      <c r="VD12" s="17"/>
      <c r="VE12" s="17"/>
      <c r="VF12" s="17"/>
      <c r="VG12" s="17"/>
      <c r="VH12" s="17"/>
      <c r="VI12" s="17"/>
      <c r="VJ12" s="17"/>
      <c r="VK12" s="17"/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40" t="str">
        <f t="shared" si="241"/>
        <v/>
      </c>
      <c r="VY12" s="40" t="str">
        <f t="shared" si="242"/>
        <v/>
      </c>
      <c r="VZ12" s="40" t="str">
        <f t="shared" si="243"/>
        <v/>
      </c>
      <c r="WA12" s="40" t="str">
        <f t="shared" si="244"/>
        <v/>
      </c>
      <c r="WB12" s="40" t="str">
        <f t="shared" si="245"/>
        <v/>
      </c>
      <c r="WC12" s="40" t="str">
        <f t="shared" si="246"/>
        <v/>
      </c>
      <c r="WD12" s="40" t="str">
        <f t="shared" si="247"/>
        <v/>
      </c>
      <c r="WE12" s="40" t="str">
        <f t="shared" si="248"/>
        <v/>
      </c>
      <c r="WF12" s="40" t="str">
        <f t="shared" si="249"/>
        <v/>
      </c>
      <c r="WG12" s="40" t="str">
        <f t="shared" si="250"/>
        <v/>
      </c>
      <c r="WH12" s="40" t="str">
        <f t="shared" si="251"/>
        <v/>
      </c>
      <c r="WI12" s="40" t="str">
        <f t="shared" si="252"/>
        <v/>
      </c>
      <c r="WJ12" s="40" t="str">
        <f t="shared" si="253"/>
        <v/>
      </c>
      <c r="WK12" s="40" t="str">
        <f t="shared" si="254"/>
        <v/>
      </c>
      <c r="WL12" s="26">
        <f t="shared" si="255"/>
        <v>0</v>
      </c>
      <c r="WM12" s="26">
        <f t="shared" si="256"/>
        <v>0</v>
      </c>
      <c r="WN12" s="26">
        <f t="shared" si="257"/>
        <v>0</v>
      </c>
      <c r="WO12" s="26">
        <f t="shared" si="258"/>
        <v>0</v>
      </c>
      <c r="WP12" s="26">
        <f t="shared" si="259"/>
        <v>0</v>
      </c>
      <c r="WQ12" s="26">
        <f t="shared" si="260"/>
        <v>0</v>
      </c>
      <c r="WR12" s="26">
        <f t="shared" si="261"/>
        <v>0</v>
      </c>
      <c r="WS12" s="26">
        <f t="shared" si="262"/>
        <v>0</v>
      </c>
      <c r="WT12" s="26">
        <f t="shared" si="263"/>
        <v>0</v>
      </c>
      <c r="WU12" s="26">
        <f t="shared" si="264"/>
        <v>0</v>
      </c>
      <c r="WV12" s="26">
        <f t="shared" si="265"/>
        <v>0</v>
      </c>
      <c r="WW12" s="26">
        <f t="shared" si="266"/>
        <v>0</v>
      </c>
      <c r="WX12" s="26">
        <f t="shared" si="267"/>
        <v>0</v>
      </c>
      <c r="WY12" s="26">
        <f t="shared" si="268"/>
        <v>0</v>
      </c>
      <c r="WZ12" s="26">
        <f t="shared" si="269"/>
        <v>0</v>
      </c>
      <c r="XA12" s="28" t="s">
        <v>53</v>
      </c>
      <c r="XB12" s="11" t="str">
        <f t="shared" si="270"/>
        <v/>
      </c>
      <c r="XC12" s="11" t="str">
        <f t="shared" si="271"/>
        <v/>
      </c>
      <c r="XD12" s="11" t="str">
        <f t="shared" si="272"/>
        <v/>
      </c>
      <c r="XE12" s="11" t="str">
        <f t="shared" si="273"/>
        <v/>
      </c>
      <c r="XF12" s="11" t="str">
        <f t="shared" si="274"/>
        <v/>
      </c>
      <c r="XG12" s="11" t="str">
        <f t="shared" si="275"/>
        <v/>
      </c>
      <c r="XH12" s="11" t="str">
        <f t="shared" si="276"/>
        <v/>
      </c>
      <c r="XI12" s="11" t="str">
        <f t="shared" si="277"/>
        <v/>
      </c>
      <c r="XJ12" s="11" t="str">
        <f t="shared" si="278"/>
        <v/>
      </c>
      <c r="XK12" s="11" t="str">
        <f t="shared" si="279"/>
        <v/>
      </c>
      <c r="XL12" s="11" t="str">
        <f t="shared" si="280"/>
        <v/>
      </c>
    </row>
    <row r="13" spans="1:636" x14ac:dyDescent="0.2">
      <c r="A13" s="4" t="str" cm="1">
        <f t="array" ref="A13">IF(AND(H13&lt;&gt;"",H13&lt;&gt;"No DD"),SUMPRODUCT((H$4:H$19&lt;&gt;"")*(H$4:H$19&lt;&gt;"No DD")*(E$4:E$19&gt;E13))+1,IF(H13="No DD",SUMPRODUCT((H$4:H$19="No DD")*(E$4:E$19&gt;E13))+1+SUMPRODUCT((H$4:H$19&lt;&gt;"")*(H$4:H$19&lt;&gt;"No DD")),""))</f>
        <v/>
      </c>
      <c r="B13" s="5" t="s">
        <v>228</v>
      </c>
      <c r="C13" s="4" t="s">
        <v>227</v>
      </c>
      <c r="D13" s="4" t="s">
        <v>203</v>
      </c>
      <c r="E13" s="9">
        <f t="shared" si="0"/>
        <v>39.33</v>
      </c>
      <c r="F13" s="3" t="str">
        <f t="shared" si="1"/>
        <v/>
      </c>
      <c r="G13" s="3" t="str">
        <f t="shared" si="2"/>
        <v/>
      </c>
      <c r="H13" s="36" t="str">
        <f t="shared" si="3"/>
        <v/>
      </c>
      <c r="I13" s="3" t="str">
        <f t="shared" si="4"/>
        <v/>
      </c>
      <c r="J13" s="8">
        <f>IF(COUNT(AI13,AL13,AP13,BJ13,BM13,BQ13,CK13,CN13,CR13)&gt;0,LARGE((AI13,AL13,AP13,BJ13,BM13,BQ13,CK13,CN13,CR13),1),0)</f>
        <v>0</v>
      </c>
      <c r="K13" s="8" t="str">
        <f t="shared" si="5"/>
        <v/>
      </c>
      <c r="L13" s="8">
        <f>IF(COUNT(AI13,AL13,AP13,BJ13,BM13,BQ13,CK13,CN13,CR13)&gt;1,LARGE((AI13,AL13,AP13,BJ13,BM13,BQ13,CK13,CN13,CR13),2),0)</f>
        <v>0</v>
      </c>
      <c r="M13" s="8" t="str">
        <f t="shared" si="6"/>
        <v/>
      </c>
      <c r="N13" s="8">
        <f t="shared" si="7"/>
        <v>39.33</v>
      </c>
      <c r="O13" s="11" t="str">
        <f t="shared" si="8"/>
        <v>(Prelim)</v>
      </c>
      <c r="P13" s="8" t="str">
        <f t="shared" si="9"/>
        <v>2024 Pan Am Club Championships (May 19)</v>
      </c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7"/>
      <c r="AG13" s="38" t="str">
        <f t="shared" si="10"/>
        <v/>
      </c>
      <c r="AH13" s="38" t="str">
        <f t="shared" si="11"/>
        <v/>
      </c>
      <c r="AI13" s="40" t="str">
        <f t="shared" si="12"/>
        <v/>
      </c>
      <c r="AJ13" s="40" t="str">
        <f t="shared" si="13"/>
        <v/>
      </c>
      <c r="AK13" s="40" t="str">
        <f t="shared" si="14"/>
        <v/>
      </c>
      <c r="AL13" s="40" t="str">
        <f t="shared" si="15"/>
        <v/>
      </c>
      <c r="AM13" s="40" t="str">
        <f t="shared" si="16"/>
        <v/>
      </c>
      <c r="AN13" s="40" t="str">
        <f t="shared" si="17"/>
        <v/>
      </c>
      <c r="AO13" s="40" t="str">
        <f t="shared" si="18"/>
        <v/>
      </c>
      <c r="AP13" s="40" t="str">
        <f t="shared" si="19"/>
        <v/>
      </c>
      <c r="AQ13" s="40" t="str">
        <f t="shared" si="20"/>
        <v/>
      </c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8"/>
      <c r="BH13" s="39" t="str">
        <f t="shared" si="21"/>
        <v/>
      </c>
      <c r="BI13" s="39" t="str">
        <f t="shared" si="22"/>
        <v/>
      </c>
      <c r="BJ13" s="11" t="str">
        <f t="shared" si="23"/>
        <v/>
      </c>
      <c r="BK13" s="11" t="str">
        <f t="shared" si="24"/>
        <v/>
      </c>
      <c r="BL13" s="11" t="str">
        <f t="shared" si="25"/>
        <v/>
      </c>
      <c r="BM13" s="11" t="str">
        <f t="shared" si="26"/>
        <v/>
      </c>
      <c r="BN13" s="11" t="str">
        <f t="shared" si="27"/>
        <v/>
      </c>
      <c r="BO13" s="11" t="str">
        <f t="shared" si="28"/>
        <v/>
      </c>
      <c r="BP13" s="11" t="str">
        <f t="shared" si="29"/>
        <v/>
      </c>
      <c r="BQ13" s="11" t="str">
        <f t="shared" si="30"/>
        <v/>
      </c>
      <c r="BR13" s="11" t="str">
        <f t="shared" si="31"/>
        <v/>
      </c>
      <c r="BS13" s="22"/>
      <c r="BT13" s="22"/>
      <c r="BU13" s="22"/>
      <c r="BV13" s="22"/>
      <c r="BW13" s="22"/>
      <c r="BX13" s="22"/>
      <c r="BY13" s="22"/>
      <c r="BZ13" s="22"/>
      <c r="CA13" s="22"/>
      <c r="CB13" s="22"/>
      <c r="CC13" s="22"/>
      <c r="CD13" s="22"/>
      <c r="CE13" s="22"/>
      <c r="CF13" s="22"/>
      <c r="CG13" s="22"/>
      <c r="CH13" s="27"/>
      <c r="CI13" s="38" t="str">
        <f t="shared" si="32"/>
        <v/>
      </c>
      <c r="CJ13" s="38" t="str">
        <f t="shared" si="33"/>
        <v/>
      </c>
      <c r="CK13" s="40" t="str">
        <f t="shared" si="34"/>
        <v/>
      </c>
      <c r="CL13" s="40" t="str">
        <f t="shared" si="35"/>
        <v/>
      </c>
      <c r="CM13" s="40" t="str">
        <f t="shared" si="36"/>
        <v/>
      </c>
      <c r="CN13" s="40" t="str">
        <f t="shared" si="37"/>
        <v/>
      </c>
      <c r="CO13" s="40" t="str">
        <f t="shared" si="38"/>
        <v/>
      </c>
      <c r="CP13" s="40" t="str">
        <f t="shared" si="39"/>
        <v/>
      </c>
      <c r="CQ13" s="40" t="str">
        <f t="shared" si="40"/>
        <v/>
      </c>
      <c r="CR13" s="40" t="str">
        <f t="shared" si="41"/>
        <v/>
      </c>
      <c r="CS13" s="40" t="str">
        <f t="shared" si="42"/>
        <v/>
      </c>
      <c r="CT13" s="51">
        <f t="shared" si="43"/>
        <v>39.33</v>
      </c>
      <c r="CU13" s="51" t="str">
        <f t="shared" si="44"/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0" t="str">
        <f t="shared" si="45"/>
        <v/>
      </c>
      <c r="DQ13" s="40" t="str">
        <f t="shared" si="46"/>
        <v/>
      </c>
      <c r="DR13" s="40" t="str">
        <f t="shared" si="47"/>
        <v/>
      </c>
      <c r="DS13" s="40" t="str">
        <f t="shared" si="48"/>
        <v/>
      </c>
      <c r="DT13" s="40" t="str">
        <f t="shared" si="49"/>
        <v/>
      </c>
      <c r="DU13" s="40" t="str">
        <f t="shared" si="50"/>
        <v/>
      </c>
      <c r="DV13" s="40" t="str">
        <f t="shared" si="51"/>
        <v/>
      </c>
      <c r="DW13" s="40" t="str">
        <f t="shared" si="52"/>
        <v/>
      </c>
      <c r="DX13" s="40" t="str">
        <f t="shared" si="53"/>
        <v/>
      </c>
      <c r="DY13" s="40" t="str">
        <f t="shared" si="54"/>
        <v/>
      </c>
      <c r="DZ13" s="40" t="str">
        <f t="shared" si="55"/>
        <v/>
      </c>
      <c r="EA13" s="40" t="str">
        <f t="shared" si="56"/>
        <v/>
      </c>
      <c r="EB13" s="40" t="str">
        <f t="shared" si="57"/>
        <v/>
      </c>
      <c r="EC13" s="40" t="str">
        <f t="shared" si="58"/>
        <v/>
      </c>
      <c r="ED13" s="18">
        <v>7.35</v>
      </c>
      <c r="EE13" s="18">
        <v>9.1</v>
      </c>
      <c r="EF13" s="18">
        <v>10.7</v>
      </c>
      <c r="EG13" s="18">
        <v>12.18</v>
      </c>
      <c r="EH13" s="18">
        <v>0</v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>
        <f t="shared" si="59"/>
        <v>10.7</v>
      </c>
      <c r="EY13" s="11">
        <f t="shared" si="60"/>
        <v>12.18</v>
      </c>
      <c r="EZ13" s="11">
        <f t="shared" si="61"/>
        <v>39.33</v>
      </c>
      <c r="FA13" s="11" t="str">
        <f t="shared" si="62"/>
        <v/>
      </c>
      <c r="FB13" s="11" t="str">
        <f t="shared" si="63"/>
        <v/>
      </c>
      <c r="FC13" s="11" t="str">
        <f t="shared" si="64"/>
        <v/>
      </c>
      <c r="FD13" s="11">
        <f t="shared" si="65"/>
        <v>39.33</v>
      </c>
      <c r="FE13" s="11" t="str">
        <f t="shared" si="66"/>
        <v/>
      </c>
      <c r="FF13" s="11" t="str">
        <f t="shared" si="67"/>
        <v/>
      </c>
      <c r="FG13" s="11" t="str">
        <f t="shared" si="68"/>
        <v/>
      </c>
      <c r="FH13" s="11" t="str">
        <f t="shared" si="69"/>
        <v/>
      </c>
      <c r="FI13" s="11" t="str">
        <f t="shared" si="70"/>
        <v/>
      </c>
      <c r="FJ13" s="11" t="str">
        <f t="shared" si="71"/>
        <v/>
      </c>
      <c r="FK13" s="11">
        <f t="shared" si="72"/>
        <v>39.33</v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0" t="str">
        <f t="shared" si="73"/>
        <v/>
      </c>
      <c r="GG13" s="40" t="str">
        <f t="shared" si="74"/>
        <v/>
      </c>
      <c r="GH13" s="40" t="str">
        <f t="shared" si="75"/>
        <v/>
      </c>
      <c r="GI13" s="40" t="str">
        <f t="shared" si="76"/>
        <v/>
      </c>
      <c r="GJ13" s="40" t="str">
        <f t="shared" si="77"/>
        <v/>
      </c>
      <c r="GK13" s="40" t="str">
        <f t="shared" si="78"/>
        <v/>
      </c>
      <c r="GL13" s="40" t="str">
        <f t="shared" si="79"/>
        <v/>
      </c>
      <c r="GM13" s="40" t="str">
        <f t="shared" si="80"/>
        <v/>
      </c>
      <c r="GN13" s="40" t="str">
        <f t="shared" si="81"/>
        <v/>
      </c>
      <c r="GO13" s="40" t="str">
        <f t="shared" si="82"/>
        <v/>
      </c>
      <c r="GP13" s="40" t="str">
        <f t="shared" si="83"/>
        <v/>
      </c>
      <c r="GQ13" s="40" t="str">
        <f t="shared" si="84"/>
        <v/>
      </c>
      <c r="GR13" s="40" t="str">
        <f t="shared" si="85"/>
        <v/>
      </c>
      <c r="GS13" s="40" t="str">
        <f t="shared" si="86"/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 t="shared" si="87"/>
        <v/>
      </c>
      <c r="HO13" s="11" t="str">
        <f t="shared" si="88"/>
        <v/>
      </c>
      <c r="HP13" s="11" t="str">
        <f t="shared" si="89"/>
        <v/>
      </c>
      <c r="HQ13" s="11" t="str">
        <f t="shared" si="90"/>
        <v/>
      </c>
      <c r="HR13" s="11" t="str">
        <f t="shared" si="91"/>
        <v/>
      </c>
      <c r="HS13" s="11" t="str">
        <f t="shared" si="92"/>
        <v/>
      </c>
      <c r="HT13" s="11" t="str">
        <f t="shared" si="93"/>
        <v/>
      </c>
      <c r="HU13" s="11" t="str">
        <f t="shared" si="94"/>
        <v/>
      </c>
      <c r="HV13" s="11" t="str">
        <f t="shared" si="95"/>
        <v/>
      </c>
      <c r="HW13" s="11" t="str">
        <f t="shared" si="96"/>
        <v/>
      </c>
      <c r="HX13" s="11" t="str">
        <f t="shared" si="97"/>
        <v/>
      </c>
      <c r="HY13" s="11" t="str">
        <f t="shared" si="98"/>
        <v/>
      </c>
      <c r="HZ13" s="11" t="str">
        <f t="shared" si="99"/>
        <v/>
      </c>
      <c r="IA13" s="11" t="str">
        <f t="shared" si="100"/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0" t="str">
        <f t="shared" si="101"/>
        <v/>
      </c>
      <c r="IW13" s="40" t="str">
        <f t="shared" si="102"/>
        <v/>
      </c>
      <c r="IX13" s="40" t="str">
        <f t="shared" si="103"/>
        <v/>
      </c>
      <c r="IY13" s="40" t="str">
        <f t="shared" si="104"/>
        <v/>
      </c>
      <c r="IZ13" s="40" t="str">
        <f t="shared" si="105"/>
        <v/>
      </c>
      <c r="JA13" s="40" t="str">
        <f t="shared" si="106"/>
        <v/>
      </c>
      <c r="JB13" s="40" t="str">
        <f t="shared" si="107"/>
        <v/>
      </c>
      <c r="JC13" s="40" t="str">
        <f t="shared" si="108"/>
        <v/>
      </c>
      <c r="JD13" s="40" t="str">
        <f t="shared" si="109"/>
        <v/>
      </c>
      <c r="JE13" s="40" t="str">
        <f t="shared" si="110"/>
        <v/>
      </c>
      <c r="JF13" s="40" t="str">
        <f t="shared" si="111"/>
        <v/>
      </c>
      <c r="JG13" s="40" t="str">
        <f t="shared" si="112"/>
        <v/>
      </c>
      <c r="JH13" s="40" t="str">
        <f t="shared" si="113"/>
        <v/>
      </c>
      <c r="JI13" s="40" t="str">
        <f t="shared" si="114"/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 t="shared" si="115"/>
        <v/>
      </c>
      <c r="KE13" s="11" t="str">
        <f t="shared" si="116"/>
        <v/>
      </c>
      <c r="KF13" s="11" t="str">
        <f t="shared" si="117"/>
        <v/>
      </c>
      <c r="KG13" s="11" t="str">
        <f t="shared" si="118"/>
        <v/>
      </c>
      <c r="KH13" s="11" t="str">
        <f t="shared" si="119"/>
        <v/>
      </c>
      <c r="KI13" s="11" t="str">
        <f t="shared" si="120"/>
        <v/>
      </c>
      <c r="KJ13" s="11" t="str">
        <f t="shared" si="121"/>
        <v/>
      </c>
      <c r="KK13" s="11" t="str">
        <f t="shared" si="122"/>
        <v/>
      </c>
      <c r="KL13" s="11" t="str">
        <f t="shared" si="123"/>
        <v/>
      </c>
      <c r="KM13" s="11" t="str">
        <f t="shared" si="124"/>
        <v/>
      </c>
      <c r="KN13" s="11" t="str">
        <f t="shared" si="125"/>
        <v/>
      </c>
      <c r="KO13" s="11" t="str">
        <f t="shared" si="126"/>
        <v/>
      </c>
      <c r="KP13" s="11" t="str">
        <f t="shared" si="127"/>
        <v/>
      </c>
      <c r="KQ13" s="11" t="str">
        <f t="shared" si="128"/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0" t="str">
        <f t="shared" si="129"/>
        <v/>
      </c>
      <c r="LM13" s="40" t="str">
        <f t="shared" si="130"/>
        <v/>
      </c>
      <c r="LN13" s="40" t="str">
        <f t="shared" si="131"/>
        <v/>
      </c>
      <c r="LO13" s="40" t="str">
        <f t="shared" si="132"/>
        <v/>
      </c>
      <c r="LP13" s="40" t="str">
        <f t="shared" si="133"/>
        <v/>
      </c>
      <c r="LQ13" s="40" t="str">
        <f t="shared" si="134"/>
        <v/>
      </c>
      <c r="LR13" s="40" t="str">
        <f t="shared" si="135"/>
        <v/>
      </c>
      <c r="LS13" s="40" t="str">
        <f t="shared" si="136"/>
        <v/>
      </c>
      <c r="LT13" s="40" t="str">
        <f t="shared" si="137"/>
        <v/>
      </c>
      <c r="LU13" s="40" t="str">
        <f t="shared" si="138"/>
        <v/>
      </c>
      <c r="LV13" s="40" t="str">
        <f t="shared" si="139"/>
        <v/>
      </c>
      <c r="LW13" s="40" t="str">
        <f t="shared" si="140"/>
        <v/>
      </c>
      <c r="LX13" s="40" t="str">
        <f t="shared" si="141"/>
        <v/>
      </c>
      <c r="LY13" s="40" t="str">
        <f t="shared" si="142"/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 t="shared" si="143"/>
        <v/>
      </c>
      <c r="MU13" s="11" t="str">
        <f t="shared" si="144"/>
        <v/>
      </c>
      <c r="MV13" s="11" t="str">
        <f t="shared" si="145"/>
        <v/>
      </c>
      <c r="MW13" s="11" t="str">
        <f t="shared" si="146"/>
        <v/>
      </c>
      <c r="MX13" s="11" t="str">
        <f t="shared" si="147"/>
        <v/>
      </c>
      <c r="MY13" s="11" t="str">
        <f t="shared" si="148"/>
        <v/>
      </c>
      <c r="MZ13" s="11" t="str">
        <f t="shared" si="149"/>
        <v/>
      </c>
      <c r="NA13" s="11" t="str">
        <f t="shared" si="150"/>
        <v/>
      </c>
      <c r="NB13" s="11" t="str">
        <f t="shared" si="151"/>
        <v/>
      </c>
      <c r="NC13" s="11" t="str">
        <f t="shared" si="152"/>
        <v/>
      </c>
      <c r="ND13" s="11" t="str">
        <f t="shared" si="153"/>
        <v/>
      </c>
      <c r="NE13" s="11" t="str">
        <f t="shared" si="154"/>
        <v/>
      </c>
      <c r="NF13" s="11" t="str">
        <f t="shared" si="155"/>
        <v/>
      </c>
      <c r="NG13" s="11" t="str">
        <f t="shared" si="156"/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0" t="str">
        <f t="shared" si="157"/>
        <v/>
      </c>
      <c r="OC13" s="40" t="str">
        <f t="shared" si="158"/>
        <v/>
      </c>
      <c r="OD13" s="40" t="str">
        <f t="shared" si="159"/>
        <v/>
      </c>
      <c r="OE13" s="40" t="str">
        <f t="shared" si="160"/>
        <v/>
      </c>
      <c r="OF13" s="40" t="str">
        <f t="shared" si="161"/>
        <v/>
      </c>
      <c r="OG13" s="40" t="str">
        <f t="shared" si="162"/>
        <v/>
      </c>
      <c r="OH13" s="40" t="str">
        <f t="shared" si="163"/>
        <v/>
      </c>
      <c r="OI13" s="40" t="str">
        <f t="shared" si="164"/>
        <v/>
      </c>
      <c r="OJ13" s="40" t="str">
        <f t="shared" si="165"/>
        <v/>
      </c>
      <c r="OK13" s="40" t="str">
        <f t="shared" si="166"/>
        <v/>
      </c>
      <c r="OL13" s="40" t="str">
        <f t="shared" si="167"/>
        <v/>
      </c>
      <c r="OM13" s="40" t="str">
        <f t="shared" si="168"/>
        <v/>
      </c>
      <c r="ON13" s="40" t="str">
        <f t="shared" si="169"/>
        <v/>
      </c>
      <c r="OO13" s="40" t="str">
        <f t="shared" si="170"/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 t="shared" si="171"/>
        <v/>
      </c>
      <c r="PK13" s="11" t="str">
        <f t="shared" si="172"/>
        <v/>
      </c>
      <c r="PL13" s="11" t="str">
        <f t="shared" si="173"/>
        <v/>
      </c>
      <c r="PM13" s="11" t="str">
        <f t="shared" si="174"/>
        <v/>
      </c>
      <c r="PN13" s="11" t="str">
        <f t="shared" si="175"/>
        <v/>
      </c>
      <c r="PO13" s="11" t="str">
        <f t="shared" si="176"/>
        <v/>
      </c>
      <c r="PP13" s="11" t="str">
        <f t="shared" si="177"/>
        <v/>
      </c>
      <c r="PQ13" s="11" t="str">
        <f t="shared" si="178"/>
        <v/>
      </c>
      <c r="PR13" s="11" t="str">
        <f t="shared" si="179"/>
        <v/>
      </c>
      <c r="PS13" s="11" t="str">
        <f t="shared" si="180"/>
        <v/>
      </c>
      <c r="PT13" s="11" t="str">
        <f t="shared" si="181"/>
        <v/>
      </c>
      <c r="PU13" s="11" t="str">
        <f t="shared" si="182"/>
        <v/>
      </c>
      <c r="PV13" s="11" t="str">
        <f t="shared" si="183"/>
        <v/>
      </c>
      <c r="PW13" s="11" t="str">
        <f t="shared" si="184"/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0" t="str">
        <f t="shared" si="185"/>
        <v/>
      </c>
      <c r="QS13" s="40" t="str">
        <f t="shared" si="186"/>
        <v/>
      </c>
      <c r="QT13" s="40" t="str">
        <f t="shared" si="187"/>
        <v/>
      </c>
      <c r="QU13" s="40" t="str">
        <f t="shared" si="188"/>
        <v/>
      </c>
      <c r="QV13" s="40" t="str">
        <f t="shared" si="189"/>
        <v/>
      </c>
      <c r="QW13" s="40" t="str">
        <f t="shared" si="190"/>
        <v/>
      </c>
      <c r="QX13" s="40" t="str">
        <f t="shared" si="191"/>
        <v/>
      </c>
      <c r="QY13" s="40" t="str">
        <f t="shared" si="192"/>
        <v/>
      </c>
      <c r="QZ13" s="40" t="str">
        <f t="shared" si="193"/>
        <v/>
      </c>
      <c r="RA13" s="40" t="str">
        <f t="shared" si="194"/>
        <v/>
      </c>
      <c r="RB13" s="40" t="str">
        <f t="shared" si="195"/>
        <v/>
      </c>
      <c r="RC13" s="40" t="str">
        <f t="shared" si="196"/>
        <v/>
      </c>
      <c r="RD13" s="40" t="str">
        <f t="shared" si="197"/>
        <v/>
      </c>
      <c r="RE13" s="40" t="str">
        <f t="shared" si="198"/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 t="shared" si="199"/>
        <v/>
      </c>
      <c r="SA13" s="11" t="str">
        <f t="shared" si="200"/>
        <v/>
      </c>
      <c r="SB13" s="11" t="str">
        <f t="shared" si="201"/>
        <v/>
      </c>
      <c r="SC13" s="11" t="str">
        <f t="shared" si="202"/>
        <v/>
      </c>
      <c r="SD13" s="11" t="str">
        <f t="shared" si="203"/>
        <v/>
      </c>
      <c r="SE13" s="11" t="str">
        <f t="shared" si="204"/>
        <v/>
      </c>
      <c r="SF13" s="11" t="str">
        <f t="shared" si="205"/>
        <v/>
      </c>
      <c r="SG13" s="11" t="str">
        <f t="shared" si="206"/>
        <v/>
      </c>
      <c r="SH13" s="11" t="str">
        <f t="shared" si="207"/>
        <v/>
      </c>
      <c r="SI13" s="11" t="str">
        <f t="shared" si="208"/>
        <v/>
      </c>
      <c r="SJ13" s="11" t="str">
        <f t="shared" si="209"/>
        <v/>
      </c>
      <c r="SK13" s="11" t="str">
        <f t="shared" si="210"/>
        <v/>
      </c>
      <c r="SL13" s="11" t="str">
        <f t="shared" si="211"/>
        <v/>
      </c>
      <c r="SM13" s="11" t="str">
        <f t="shared" si="212"/>
        <v/>
      </c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40" t="str">
        <f t="shared" si="213"/>
        <v/>
      </c>
      <c r="TI13" s="40" t="str">
        <f t="shared" si="214"/>
        <v/>
      </c>
      <c r="TJ13" s="40" t="str">
        <f t="shared" si="215"/>
        <v/>
      </c>
      <c r="TK13" s="40" t="str">
        <f t="shared" si="216"/>
        <v/>
      </c>
      <c r="TL13" s="40" t="str">
        <f t="shared" si="217"/>
        <v/>
      </c>
      <c r="TM13" s="40" t="str">
        <f t="shared" si="218"/>
        <v/>
      </c>
      <c r="TN13" s="40" t="str">
        <f t="shared" si="219"/>
        <v/>
      </c>
      <c r="TO13" s="40" t="str">
        <f t="shared" si="220"/>
        <v/>
      </c>
      <c r="TP13" s="40" t="str">
        <f t="shared" si="221"/>
        <v/>
      </c>
      <c r="TQ13" s="40" t="str">
        <f t="shared" si="222"/>
        <v/>
      </c>
      <c r="TR13" s="40" t="str">
        <f t="shared" si="223"/>
        <v/>
      </c>
      <c r="TS13" s="40" t="str">
        <f t="shared" si="224"/>
        <v/>
      </c>
      <c r="TT13" s="40" t="str">
        <f t="shared" si="225"/>
        <v/>
      </c>
      <c r="TU13" s="40" t="str">
        <f t="shared" si="226"/>
        <v/>
      </c>
      <c r="TV13" s="18"/>
      <c r="TW13" s="18"/>
      <c r="TX13" s="18"/>
      <c r="TY13" s="18"/>
      <c r="TZ13" s="18"/>
      <c r="UA13" s="18"/>
      <c r="UB13" s="18"/>
      <c r="UC13" s="18"/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1" t="str">
        <f t="shared" si="227"/>
        <v/>
      </c>
      <c r="UQ13" s="11" t="str">
        <f t="shared" si="228"/>
        <v/>
      </c>
      <c r="UR13" s="11" t="str">
        <f t="shared" si="229"/>
        <v/>
      </c>
      <c r="US13" s="11" t="str">
        <f t="shared" si="230"/>
        <v/>
      </c>
      <c r="UT13" s="11" t="str">
        <f t="shared" si="231"/>
        <v/>
      </c>
      <c r="UU13" s="11" t="str">
        <f t="shared" si="232"/>
        <v/>
      </c>
      <c r="UV13" s="11" t="str">
        <f t="shared" si="233"/>
        <v/>
      </c>
      <c r="UW13" s="11" t="str">
        <f t="shared" si="234"/>
        <v/>
      </c>
      <c r="UX13" s="11" t="str">
        <f t="shared" si="235"/>
        <v/>
      </c>
      <c r="UY13" s="11" t="str">
        <f t="shared" si="236"/>
        <v/>
      </c>
      <c r="UZ13" s="11" t="str">
        <f t="shared" si="237"/>
        <v/>
      </c>
      <c r="VA13" s="11" t="str">
        <f t="shared" si="238"/>
        <v/>
      </c>
      <c r="VB13" s="11" t="str">
        <f t="shared" si="239"/>
        <v/>
      </c>
      <c r="VC13" s="11" t="str">
        <f t="shared" si="240"/>
        <v/>
      </c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40" t="str">
        <f t="shared" si="241"/>
        <v/>
      </c>
      <c r="VY13" s="40" t="str">
        <f t="shared" si="242"/>
        <v/>
      </c>
      <c r="VZ13" s="40" t="str">
        <f t="shared" si="243"/>
        <v/>
      </c>
      <c r="WA13" s="40" t="str">
        <f t="shared" si="244"/>
        <v/>
      </c>
      <c r="WB13" s="40" t="str">
        <f t="shared" si="245"/>
        <v/>
      </c>
      <c r="WC13" s="40" t="str">
        <f t="shared" si="246"/>
        <v/>
      </c>
      <c r="WD13" s="40" t="str">
        <f t="shared" si="247"/>
        <v/>
      </c>
      <c r="WE13" s="40" t="str">
        <f t="shared" si="248"/>
        <v/>
      </c>
      <c r="WF13" s="40" t="str">
        <f t="shared" si="249"/>
        <v/>
      </c>
      <c r="WG13" s="40" t="str">
        <f t="shared" si="250"/>
        <v/>
      </c>
      <c r="WH13" s="40" t="str">
        <f t="shared" si="251"/>
        <v/>
      </c>
      <c r="WI13" s="40" t="str">
        <f t="shared" si="252"/>
        <v/>
      </c>
      <c r="WJ13" s="40" t="str">
        <f t="shared" si="253"/>
        <v/>
      </c>
      <c r="WK13" s="40" t="str">
        <f t="shared" si="254"/>
        <v/>
      </c>
      <c r="WL13" s="26">
        <f t="shared" si="255"/>
        <v>0</v>
      </c>
      <c r="WM13" s="26">
        <f t="shared" si="256"/>
        <v>0</v>
      </c>
      <c r="WN13" s="26">
        <f t="shared" si="257"/>
        <v>0</v>
      </c>
      <c r="WO13" s="26">
        <f t="shared" si="258"/>
        <v>0</v>
      </c>
      <c r="WP13" s="26">
        <f t="shared" si="259"/>
        <v>0</v>
      </c>
      <c r="WQ13" s="26">
        <f t="shared" si="260"/>
        <v>0</v>
      </c>
      <c r="WR13" s="26">
        <f t="shared" si="261"/>
        <v>0</v>
      </c>
      <c r="WS13" s="26">
        <f t="shared" si="262"/>
        <v>0</v>
      </c>
      <c r="WT13" s="26">
        <f t="shared" si="263"/>
        <v>0</v>
      </c>
      <c r="WU13" s="26">
        <f t="shared" si="264"/>
        <v>0</v>
      </c>
      <c r="WV13" s="26">
        <f t="shared" si="265"/>
        <v>0</v>
      </c>
      <c r="WW13" s="26">
        <f t="shared" si="266"/>
        <v>0</v>
      </c>
      <c r="WX13" s="26">
        <f t="shared" si="267"/>
        <v>0</v>
      </c>
      <c r="WY13" s="26">
        <f t="shared" si="268"/>
        <v>0</v>
      </c>
      <c r="WZ13" s="26">
        <f t="shared" si="269"/>
        <v>0</v>
      </c>
      <c r="XA13" s="28" t="s">
        <v>53</v>
      </c>
      <c r="XB13" s="11" t="str">
        <f t="shared" si="270"/>
        <v/>
      </c>
      <c r="XC13" s="11" t="str">
        <f t="shared" si="271"/>
        <v/>
      </c>
      <c r="XD13" s="11" t="str">
        <f t="shared" si="272"/>
        <v/>
      </c>
      <c r="XE13" s="11" t="str">
        <f t="shared" si="273"/>
        <v/>
      </c>
      <c r="XF13" s="11" t="str">
        <f t="shared" si="274"/>
        <v/>
      </c>
      <c r="XG13" s="11" t="str">
        <f t="shared" si="275"/>
        <v/>
      </c>
      <c r="XH13" s="11" t="str">
        <f t="shared" si="276"/>
        <v/>
      </c>
      <c r="XI13" s="11" t="str">
        <f t="shared" si="277"/>
        <v/>
      </c>
      <c r="XJ13" s="11" t="str">
        <f t="shared" si="278"/>
        <v/>
      </c>
      <c r="XK13" s="11" t="str">
        <f t="shared" si="279"/>
        <v/>
      </c>
      <c r="XL13" s="11" t="str">
        <f t="shared" si="280"/>
        <v/>
      </c>
    </row>
    <row r="14" spans="1:636" x14ac:dyDescent="0.2">
      <c r="A14" s="4" t="str" cm="1">
        <f t="array" ref="A14">IF(AND(H14&lt;&gt;"",H14&lt;&gt;"No DD"),SUMPRODUCT((H$4:H$19&lt;&gt;"")*(H$4:H$19&lt;&gt;"No DD")*(E$4:E$19&gt;E14))+1,IF(H14="No DD",SUMPRODUCT((H$4:H$19="No DD")*(E$4:E$19&gt;E14))+1+SUMPRODUCT((H$4:H$19&lt;&gt;"")*(H$4:H$19&lt;&gt;"No DD")),""))</f>
        <v/>
      </c>
      <c r="B14" s="5" t="s">
        <v>205</v>
      </c>
      <c r="C14" s="4" t="s">
        <v>5</v>
      </c>
      <c r="D14" s="4" t="s">
        <v>206</v>
      </c>
      <c r="E14" s="9">
        <f t="shared" si="0"/>
        <v>32.28</v>
      </c>
      <c r="F14" s="3" t="str">
        <f t="shared" si="1"/>
        <v/>
      </c>
      <c r="G14" s="3" t="str">
        <f t="shared" si="2"/>
        <v/>
      </c>
      <c r="H14" s="36" t="str">
        <f t="shared" si="3"/>
        <v/>
      </c>
      <c r="I14" s="3" t="str">
        <f t="shared" si="4"/>
        <v/>
      </c>
      <c r="J14" s="8">
        <f>IF(COUNT(AI14,AL14,AP14,BJ14,BM14,BQ14,CK14,CN14,CR14)&gt;0,LARGE((AI14,AL14,AP14,BJ14,BM14,BQ14,CK14,CN14,CR14),1),0)</f>
        <v>17.48</v>
      </c>
      <c r="K14" s="8" t="str">
        <f t="shared" si="5"/>
        <v>2024 Elite Canada</v>
      </c>
      <c r="L14" s="8">
        <f>IF(COUNT(AI14,AL14,AP14,BJ14,BM14,BQ14,CK14,CN14,CR14)&gt;1,LARGE((AI14,AL14,AP14,BJ14,BM14,BQ14,CK14,CN14,CR14),2),0)</f>
        <v>14.8</v>
      </c>
      <c r="M14" s="8" t="str">
        <f t="shared" si="6"/>
        <v>2024 Elite Canada</v>
      </c>
      <c r="N14" s="8" t="str">
        <f t="shared" si="7"/>
        <v/>
      </c>
      <c r="O14" s="11" t="str">
        <f t="shared" si="8"/>
        <v/>
      </c>
      <c r="P14" s="8" t="str">
        <f t="shared" si="9"/>
        <v/>
      </c>
      <c r="Q14" s="22">
        <v>2.95</v>
      </c>
      <c r="R14" s="22">
        <v>3.55</v>
      </c>
      <c r="S14" s="22">
        <v>5.4</v>
      </c>
      <c r="T14" s="22">
        <v>5.58</v>
      </c>
      <c r="U14" s="22">
        <v>0</v>
      </c>
      <c r="V14" s="22">
        <v>2.4500000000000002</v>
      </c>
      <c r="W14" s="22">
        <v>2.85</v>
      </c>
      <c r="X14" s="22">
        <v>4.2</v>
      </c>
      <c r="Y14" s="22">
        <v>5.3</v>
      </c>
      <c r="Z14" s="22">
        <v>0</v>
      </c>
      <c r="AA14" s="22"/>
      <c r="AB14" s="22"/>
      <c r="AC14" s="22"/>
      <c r="AD14" s="22"/>
      <c r="AE14" s="22"/>
      <c r="AF14" s="27"/>
      <c r="AG14" s="38">
        <f t="shared" si="10"/>
        <v>5.4</v>
      </c>
      <c r="AH14" s="38">
        <f t="shared" si="11"/>
        <v>5.58</v>
      </c>
      <c r="AI14" s="40">
        <f t="shared" si="12"/>
        <v>17.48</v>
      </c>
      <c r="AJ14" s="40">
        <f t="shared" si="13"/>
        <v>4.2</v>
      </c>
      <c r="AK14" s="40">
        <f t="shared" si="14"/>
        <v>5.3</v>
      </c>
      <c r="AL14" s="40">
        <f t="shared" si="15"/>
        <v>14.8</v>
      </c>
      <c r="AM14" s="40">
        <f t="shared" si="16"/>
        <v>17.48</v>
      </c>
      <c r="AN14" s="40" t="str">
        <f t="shared" si="17"/>
        <v/>
      </c>
      <c r="AO14" s="40" t="str">
        <f t="shared" si="18"/>
        <v/>
      </c>
      <c r="AP14" s="40" t="str">
        <f t="shared" si="19"/>
        <v/>
      </c>
      <c r="AQ14" s="40">
        <f t="shared" si="20"/>
        <v>17.48</v>
      </c>
      <c r="AR14" s="26">
        <v>2.2999999999999998</v>
      </c>
      <c r="AS14" s="26">
        <v>2.85</v>
      </c>
      <c r="AT14" s="26">
        <v>4.2</v>
      </c>
      <c r="AU14" s="26">
        <v>3.48</v>
      </c>
      <c r="AV14" s="26">
        <v>0</v>
      </c>
      <c r="AW14" s="26">
        <v>2.2000000000000002</v>
      </c>
      <c r="AX14" s="26">
        <v>2.8</v>
      </c>
      <c r="AY14" s="26">
        <v>4.2</v>
      </c>
      <c r="AZ14" s="26">
        <v>2.34</v>
      </c>
      <c r="BA14" s="26">
        <v>0</v>
      </c>
      <c r="BB14" s="26"/>
      <c r="BC14" s="26"/>
      <c r="BD14" s="26"/>
      <c r="BE14" s="26"/>
      <c r="BF14" s="26"/>
      <c r="BG14" s="28"/>
      <c r="BH14" s="39">
        <f t="shared" si="21"/>
        <v>4.2</v>
      </c>
      <c r="BI14" s="39">
        <f t="shared" si="22"/>
        <v>3.48</v>
      </c>
      <c r="BJ14" s="11">
        <f t="shared" si="23"/>
        <v>12.830000000000002</v>
      </c>
      <c r="BK14" s="11">
        <f t="shared" si="24"/>
        <v>4.2</v>
      </c>
      <c r="BL14" s="11">
        <f t="shared" si="25"/>
        <v>2.34</v>
      </c>
      <c r="BM14" s="11">
        <f t="shared" si="26"/>
        <v>11.54</v>
      </c>
      <c r="BN14" s="11">
        <f t="shared" si="27"/>
        <v>12.830000000000002</v>
      </c>
      <c r="BO14" s="11" t="str">
        <f t="shared" si="28"/>
        <v/>
      </c>
      <c r="BP14" s="11" t="str">
        <f t="shared" si="29"/>
        <v/>
      </c>
      <c r="BQ14" s="11" t="str">
        <f t="shared" si="30"/>
        <v/>
      </c>
      <c r="BR14" s="11">
        <f t="shared" si="31"/>
        <v>12.830000000000002</v>
      </c>
      <c r="BS14" s="22"/>
      <c r="BT14" s="22"/>
      <c r="BU14" s="22"/>
      <c r="BV14" s="22"/>
      <c r="BW14" s="22"/>
      <c r="BX14" s="22"/>
      <c r="BY14" s="22"/>
      <c r="BZ14" s="22"/>
      <c r="CA14" s="22"/>
      <c r="CB14" s="22"/>
      <c r="CC14" s="22"/>
      <c r="CD14" s="22"/>
      <c r="CE14" s="22"/>
      <c r="CF14" s="22"/>
      <c r="CG14" s="22"/>
      <c r="CH14" s="27"/>
      <c r="CI14" s="38" t="str">
        <f t="shared" si="32"/>
        <v/>
      </c>
      <c r="CJ14" s="38" t="str">
        <f t="shared" si="33"/>
        <v/>
      </c>
      <c r="CK14" s="40" t="str">
        <f t="shared" si="34"/>
        <v/>
      </c>
      <c r="CL14" s="40" t="str">
        <f t="shared" si="35"/>
        <v/>
      </c>
      <c r="CM14" s="40" t="str">
        <f t="shared" si="36"/>
        <v/>
      </c>
      <c r="CN14" s="40" t="str">
        <f t="shared" si="37"/>
        <v/>
      </c>
      <c r="CO14" s="40" t="str">
        <f t="shared" si="38"/>
        <v/>
      </c>
      <c r="CP14" s="40" t="str">
        <f t="shared" si="39"/>
        <v/>
      </c>
      <c r="CQ14" s="40" t="str">
        <f t="shared" si="40"/>
        <v/>
      </c>
      <c r="CR14" s="40" t="str">
        <f t="shared" si="41"/>
        <v/>
      </c>
      <c r="CS14" s="40" t="str">
        <f t="shared" si="42"/>
        <v/>
      </c>
      <c r="CT14" s="51" t="str">
        <f t="shared" si="43"/>
        <v/>
      </c>
      <c r="CU14" s="51" t="str">
        <f t="shared" si="44"/>
        <v/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0" t="str">
        <f t="shared" si="45"/>
        <v/>
      </c>
      <c r="DQ14" s="40" t="str">
        <f t="shared" si="46"/>
        <v/>
      </c>
      <c r="DR14" s="40" t="str">
        <f t="shared" si="47"/>
        <v/>
      </c>
      <c r="DS14" s="40" t="str">
        <f t="shared" si="48"/>
        <v/>
      </c>
      <c r="DT14" s="40" t="str">
        <f t="shared" si="49"/>
        <v/>
      </c>
      <c r="DU14" s="40" t="str">
        <f t="shared" si="50"/>
        <v/>
      </c>
      <c r="DV14" s="40" t="str">
        <f t="shared" si="51"/>
        <v/>
      </c>
      <c r="DW14" s="40" t="str">
        <f t="shared" si="52"/>
        <v/>
      </c>
      <c r="DX14" s="40" t="str">
        <f t="shared" si="53"/>
        <v/>
      </c>
      <c r="DY14" s="40" t="str">
        <f t="shared" si="54"/>
        <v/>
      </c>
      <c r="DZ14" s="40" t="str">
        <f t="shared" si="55"/>
        <v/>
      </c>
      <c r="EA14" s="40" t="str">
        <f t="shared" si="56"/>
        <v/>
      </c>
      <c r="EB14" s="40" t="str">
        <f t="shared" si="57"/>
        <v/>
      </c>
      <c r="EC14" s="40" t="str">
        <f t="shared" si="58"/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 t="shared" si="59"/>
        <v/>
      </c>
      <c r="EY14" s="11" t="str">
        <f t="shared" si="60"/>
        <v/>
      </c>
      <c r="EZ14" s="11" t="str">
        <f t="shared" si="61"/>
        <v/>
      </c>
      <c r="FA14" s="11" t="str">
        <f t="shared" si="62"/>
        <v/>
      </c>
      <c r="FB14" s="11" t="str">
        <f t="shared" si="63"/>
        <v/>
      </c>
      <c r="FC14" s="11" t="str">
        <f t="shared" si="64"/>
        <v/>
      </c>
      <c r="FD14" s="11" t="str">
        <f t="shared" si="65"/>
        <v/>
      </c>
      <c r="FE14" s="11" t="str">
        <f t="shared" si="66"/>
        <v/>
      </c>
      <c r="FF14" s="11" t="str">
        <f t="shared" si="67"/>
        <v/>
      </c>
      <c r="FG14" s="11" t="str">
        <f t="shared" si="68"/>
        <v/>
      </c>
      <c r="FH14" s="11" t="str">
        <f t="shared" si="69"/>
        <v/>
      </c>
      <c r="FI14" s="11" t="str">
        <f t="shared" si="70"/>
        <v/>
      </c>
      <c r="FJ14" s="11" t="str">
        <f t="shared" si="71"/>
        <v/>
      </c>
      <c r="FK14" s="11" t="str">
        <f t="shared" si="72"/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0" t="str">
        <f t="shared" si="73"/>
        <v/>
      </c>
      <c r="GG14" s="40" t="str">
        <f t="shared" si="74"/>
        <v/>
      </c>
      <c r="GH14" s="40" t="str">
        <f t="shared" si="75"/>
        <v/>
      </c>
      <c r="GI14" s="40" t="str">
        <f t="shared" si="76"/>
        <v/>
      </c>
      <c r="GJ14" s="40" t="str">
        <f t="shared" si="77"/>
        <v/>
      </c>
      <c r="GK14" s="40" t="str">
        <f t="shared" si="78"/>
        <v/>
      </c>
      <c r="GL14" s="40" t="str">
        <f t="shared" si="79"/>
        <v/>
      </c>
      <c r="GM14" s="40" t="str">
        <f t="shared" si="80"/>
        <v/>
      </c>
      <c r="GN14" s="40" t="str">
        <f t="shared" si="81"/>
        <v/>
      </c>
      <c r="GO14" s="40" t="str">
        <f t="shared" si="82"/>
        <v/>
      </c>
      <c r="GP14" s="40" t="str">
        <f t="shared" si="83"/>
        <v/>
      </c>
      <c r="GQ14" s="40" t="str">
        <f t="shared" si="84"/>
        <v/>
      </c>
      <c r="GR14" s="40" t="str">
        <f t="shared" si="85"/>
        <v/>
      </c>
      <c r="GS14" s="40" t="str">
        <f t="shared" si="86"/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 t="shared" si="87"/>
        <v/>
      </c>
      <c r="HO14" s="11" t="str">
        <f t="shared" si="88"/>
        <v/>
      </c>
      <c r="HP14" s="11" t="str">
        <f t="shared" si="89"/>
        <v/>
      </c>
      <c r="HQ14" s="11" t="str">
        <f t="shared" si="90"/>
        <v/>
      </c>
      <c r="HR14" s="11" t="str">
        <f t="shared" si="91"/>
        <v/>
      </c>
      <c r="HS14" s="11" t="str">
        <f t="shared" si="92"/>
        <v/>
      </c>
      <c r="HT14" s="11" t="str">
        <f t="shared" si="93"/>
        <v/>
      </c>
      <c r="HU14" s="11" t="str">
        <f t="shared" si="94"/>
        <v/>
      </c>
      <c r="HV14" s="11" t="str">
        <f t="shared" si="95"/>
        <v/>
      </c>
      <c r="HW14" s="11" t="str">
        <f t="shared" si="96"/>
        <v/>
      </c>
      <c r="HX14" s="11" t="str">
        <f t="shared" si="97"/>
        <v/>
      </c>
      <c r="HY14" s="11" t="str">
        <f t="shared" si="98"/>
        <v/>
      </c>
      <c r="HZ14" s="11" t="str">
        <f t="shared" si="99"/>
        <v/>
      </c>
      <c r="IA14" s="11" t="str">
        <f t="shared" si="100"/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0" t="str">
        <f t="shared" si="101"/>
        <v/>
      </c>
      <c r="IW14" s="40" t="str">
        <f t="shared" si="102"/>
        <v/>
      </c>
      <c r="IX14" s="40" t="str">
        <f t="shared" si="103"/>
        <v/>
      </c>
      <c r="IY14" s="40" t="str">
        <f t="shared" si="104"/>
        <v/>
      </c>
      <c r="IZ14" s="40" t="str">
        <f t="shared" si="105"/>
        <v/>
      </c>
      <c r="JA14" s="40" t="str">
        <f t="shared" si="106"/>
        <v/>
      </c>
      <c r="JB14" s="40" t="str">
        <f t="shared" si="107"/>
        <v/>
      </c>
      <c r="JC14" s="40" t="str">
        <f t="shared" si="108"/>
        <v/>
      </c>
      <c r="JD14" s="40" t="str">
        <f t="shared" si="109"/>
        <v/>
      </c>
      <c r="JE14" s="40" t="str">
        <f t="shared" si="110"/>
        <v/>
      </c>
      <c r="JF14" s="40" t="str">
        <f t="shared" si="111"/>
        <v/>
      </c>
      <c r="JG14" s="40" t="str">
        <f t="shared" si="112"/>
        <v/>
      </c>
      <c r="JH14" s="40" t="str">
        <f t="shared" si="113"/>
        <v/>
      </c>
      <c r="JI14" s="40" t="str">
        <f t="shared" si="114"/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 t="shared" si="115"/>
        <v/>
      </c>
      <c r="KE14" s="11" t="str">
        <f t="shared" si="116"/>
        <v/>
      </c>
      <c r="KF14" s="11" t="str">
        <f t="shared" si="117"/>
        <v/>
      </c>
      <c r="KG14" s="11" t="str">
        <f t="shared" si="118"/>
        <v/>
      </c>
      <c r="KH14" s="11" t="str">
        <f t="shared" si="119"/>
        <v/>
      </c>
      <c r="KI14" s="11" t="str">
        <f t="shared" si="120"/>
        <v/>
      </c>
      <c r="KJ14" s="11" t="str">
        <f t="shared" si="121"/>
        <v/>
      </c>
      <c r="KK14" s="11" t="str">
        <f t="shared" si="122"/>
        <v/>
      </c>
      <c r="KL14" s="11" t="str">
        <f t="shared" si="123"/>
        <v/>
      </c>
      <c r="KM14" s="11" t="str">
        <f t="shared" si="124"/>
        <v/>
      </c>
      <c r="KN14" s="11" t="str">
        <f t="shared" si="125"/>
        <v/>
      </c>
      <c r="KO14" s="11" t="str">
        <f t="shared" si="126"/>
        <v/>
      </c>
      <c r="KP14" s="11" t="str">
        <f t="shared" si="127"/>
        <v/>
      </c>
      <c r="KQ14" s="11" t="str">
        <f t="shared" si="128"/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0" t="str">
        <f t="shared" si="129"/>
        <v/>
      </c>
      <c r="LM14" s="40" t="str">
        <f t="shared" si="130"/>
        <v/>
      </c>
      <c r="LN14" s="40" t="str">
        <f t="shared" si="131"/>
        <v/>
      </c>
      <c r="LO14" s="40" t="str">
        <f t="shared" si="132"/>
        <v/>
      </c>
      <c r="LP14" s="40" t="str">
        <f t="shared" si="133"/>
        <v/>
      </c>
      <c r="LQ14" s="40" t="str">
        <f t="shared" si="134"/>
        <v/>
      </c>
      <c r="LR14" s="40" t="str">
        <f t="shared" si="135"/>
        <v/>
      </c>
      <c r="LS14" s="40" t="str">
        <f t="shared" si="136"/>
        <v/>
      </c>
      <c r="LT14" s="40" t="str">
        <f t="shared" si="137"/>
        <v/>
      </c>
      <c r="LU14" s="40" t="str">
        <f t="shared" si="138"/>
        <v/>
      </c>
      <c r="LV14" s="40" t="str">
        <f t="shared" si="139"/>
        <v/>
      </c>
      <c r="LW14" s="40" t="str">
        <f t="shared" si="140"/>
        <v/>
      </c>
      <c r="LX14" s="40" t="str">
        <f t="shared" si="141"/>
        <v/>
      </c>
      <c r="LY14" s="40" t="str">
        <f t="shared" si="142"/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 t="shared" si="143"/>
        <v/>
      </c>
      <c r="MU14" s="11" t="str">
        <f t="shared" si="144"/>
        <v/>
      </c>
      <c r="MV14" s="11" t="str">
        <f t="shared" si="145"/>
        <v/>
      </c>
      <c r="MW14" s="11" t="str">
        <f t="shared" si="146"/>
        <v/>
      </c>
      <c r="MX14" s="11" t="str">
        <f t="shared" si="147"/>
        <v/>
      </c>
      <c r="MY14" s="11" t="str">
        <f t="shared" si="148"/>
        <v/>
      </c>
      <c r="MZ14" s="11" t="str">
        <f t="shared" si="149"/>
        <v/>
      </c>
      <c r="NA14" s="11" t="str">
        <f t="shared" si="150"/>
        <v/>
      </c>
      <c r="NB14" s="11" t="str">
        <f t="shared" si="151"/>
        <v/>
      </c>
      <c r="NC14" s="11" t="str">
        <f t="shared" si="152"/>
        <v/>
      </c>
      <c r="ND14" s="11" t="str">
        <f t="shared" si="153"/>
        <v/>
      </c>
      <c r="NE14" s="11" t="str">
        <f t="shared" si="154"/>
        <v/>
      </c>
      <c r="NF14" s="11" t="str">
        <f t="shared" si="155"/>
        <v/>
      </c>
      <c r="NG14" s="11" t="str">
        <f t="shared" si="156"/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0" t="str">
        <f t="shared" si="157"/>
        <v/>
      </c>
      <c r="OC14" s="40" t="str">
        <f t="shared" si="158"/>
        <v/>
      </c>
      <c r="OD14" s="40" t="str">
        <f t="shared" si="159"/>
        <v/>
      </c>
      <c r="OE14" s="40" t="str">
        <f t="shared" si="160"/>
        <v/>
      </c>
      <c r="OF14" s="40" t="str">
        <f t="shared" si="161"/>
        <v/>
      </c>
      <c r="OG14" s="40" t="str">
        <f t="shared" si="162"/>
        <v/>
      </c>
      <c r="OH14" s="40" t="str">
        <f t="shared" si="163"/>
        <v/>
      </c>
      <c r="OI14" s="40" t="str">
        <f t="shared" si="164"/>
        <v/>
      </c>
      <c r="OJ14" s="40" t="str">
        <f t="shared" si="165"/>
        <v/>
      </c>
      <c r="OK14" s="40" t="str">
        <f t="shared" si="166"/>
        <v/>
      </c>
      <c r="OL14" s="40" t="str">
        <f t="shared" si="167"/>
        <v/>
      </c>
      <c r="OM14" s="40" t="str">
        <f t="shared" si="168"/>
        <v/>
      </c>
      <c r="ON14" s="40" t="str">
        <f t="shared" si="169"/>
        <v/>
      </c>
      <c r="OO14" s="40" t="str">
        <f t="shared" si="170"/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 t="shared" si="171"/>
        <v/>
      </c>
      <c r="PK14" s="11" t="str">
        <f t="shared" si="172"/>
        <v/>
      </c>
      <c r="PL14" s="11" t="str">
        <f t="shared" si="173"/>
        <v/>
      </c>
      <c r="PM14" s="11" t="str">
        <f t="shared" si="174"/>
        <v/>
      </c>
      <c r="PN14" s="11" t="str">
        <f t="shared" si="175"/>
        <v/>
      </c>
      <c r="PO14" s="11" t="str">
        <f t="shared" si="176"/>
        <v/>
      </c>
      <c r="PP14" s="11" t="str">
        <f t="shared" si="177"/>
        <v/>
      </c>
      <c r="PQ14" s="11" t="str">
        <f t="shared" si="178"/>
        <v/>
      </c>
      <c r="PR14" s="11" t="str">
        <f t="shared" si="179"/>
        <v/>
      </c>
      <c r="PS14" s="11" t="str">
        <f t="shared" si="180"/>
        <v/>
      </c>
      <c r="PT14" s="11" t="str">
        <f t="shared" si="181"/>
        <v/>
      </c>
      <c r="PU14" s="11" t="str">
        <f t="shared" si="182"/>
        <v/>
      </c>
      <c r="PV14" s="11" t="str">
        <f t="shared" si="183"/>
        <v/>
      </c>
      <c r="PW14" s="11" t="str">
        <f t="shared" si="184"/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0" t="str">
        <f t="shared" si="185"/>
        <v/>
      </c>
      <c r="QS14" s="40" t="str">
        <f t="shared" si="186"/>
        <v/>
      </c>
      <c r="QT14" s="40" t="str">
        <f t="shared" si="187"/>
        <v/>
      </c>
      <c r="QU14" s="40" t="str">
        <f t="shared" si="188"/>
        <v/>
      </c>
      <c r="QV14" s="40" t="str">
        <f t="shared" si="189"/>
        <v/>
      </c>
      <c r="QW14" s="40" t="str">
        <f t="shared" si="190"/>
        <v/>
      </c>
      <c r="QX14" s="40" t="str">
        <f t="shared" si="191"/>
        <v/>
      </c>
      <c r="QY14" s="40" t="str">
        <f t="shared" si="192"/>
        <v/>
      </c>
      <c r="QZ14" s="40" t="str">
        <f t="shared" si="193"/>
        <v/>
      </c>
      <c r="RA14" s="40" t="str">
        <f t="shared" si="194"/>
        <v/>
      </c>
      <c r="RB14" s="40" t="str">
        <f t="shared" si="195"/>
        <v/>
      </c>
      <c r="RC14" s="40" t="str">
        <f t="shared" si="196"/>
        <v/>
      </c>
      <c r="RD14" s="40" t="str">
        <f t="shared" si="197"/>
        <v/>
      </c>
      <c r="RE14" s="40" t="str">
        <f t="shared" si="198"/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 t="shared" si="199"/>
        <v/>
      </c>
      <c r="SA14" s="11" t="str">
        <f t="shared" si="200"/>
        <v/>
      </c>
      <c r="SB14" s="11" t="str">
        <f t="shared" si="201"/>
        <v/>
      </c>
      <c r="SC14" s="11" t="str">
        <f t="shared" si="202"/>
        <v/>
      </c>
      <c r="SD14" s="11" t="str">
        <f t="shared" si="203"/>
        <v/>
      </c>
      <c r="SE14" s="11" t="str">
        <f t="shared" si="204"/>
        <v/>
      </c>
      <c r="SF14" s="11" t="str">
        <f t="shared" si="205"/>
        <v/>
      </c>
      <c r="SG14" s="11" t="str">
        <f t="shared" si="206"/>
        <v/>
      </c>
      <c r="SH14" s="11" t="str">
        <f t="shared" si="207"/>
        <v/>
      </c>
      <c r="SI14" s="11" t="str">
        <f t="shared" si="208"/>
        <v/>
      </c>
      <c r="SJ14" s="11" t="str">
        <f t="shared" si="209"/>
        <v/>
      </c>
      <c r="SK14" s="11" t="str">
        <f t="shared" si="210"/>
        <v/>
      </c>
      <c r="SL14" s="11" t="str">
        <f t="shared" si="211"/>
        <v/>
      </c>
      <c r="SM14" s="11" t="str">
        <f t="shared" si="212"/>
        <v/>
      </c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40" t="str">
        <f t="shared" si="213"/>
        <v/>
      </c>
      <c r="TI14" s="40" t="str">
        <f t="shared" si="214"/>
        <v/>
      </c>
      <c r="TJ14" s="40" t="str">
        <f t="shared" si="215"/>
        <v/>
      </c>
      <c r="TK14" s="40" t="str">
        <f t="shared" si="216"/>
        <v/>
      </c>
      <c r="TL14" s="40" t="str">
        <f t="shared" si="217"/>
        <v/>
      </c>
      <c r="TM14" s="40" t="str">
        <f t="shared" si="218"/>
        <v/>
      </c>
      <c r="TN14" s="40" t="str">
        <f t="shared" si="219"/>
        <v/>
      </c>
      <c r="TO14" s="40" t="str">
        <f t="shared" si="220"/>
        <v/>
      </c>
      <c r="TP14" s="40" t="str">
        <f t="shared" si="221"/>
        <v/>
      </c>
      <c r="TQ14" s="40" t="str">
        <f t="shared" si="222"/>
        <v/>
      </c>
      <c r="TR14" s="40" t="str">
        <f t="shared" si="223"/>
        <v/>
      </c>
      <c r="TS14" s="40" t="str">
        <f t="shared" si="224"/>
        <v/>
      </c>
      <c r="TT14" s="40" t="str">
        <f t="shared" si="225"/>
        <v/>
      </c>
      <c r="TU14" s="40" t="str">
        <f t="shared" si="226"/>
        <v/>
      </c>
      <c r="TV14" s="18"/>
      <c r="TW14" s="18"/>
      <c r="TX14" s="18"/>
      <c r="TY14" s="18"/>
      <c r="TZ14" s="18"/>
      <c r="UA14" s="18"/>
      <c r="UB14" s="18"/>
      <c r="UC14" s="18"/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1" t="str">
        <f t="shared" si="227"/>
        <v/>
      </c>
      <c r="UQ14" s="11" t="str">
        <f t="shared" si="228"/>
        <v/>
      </c>
      <c r="UR14" s="11" t="str">
        <f t="shared" si="229"/>
        <v/>
      </c>
      <c r="US14" s="11" t="str">
        <f t="shared" si="230"/>
        <v/>
      </c>
      <c r="UT14" s="11" t="str">
        <f t="shared" si="231"/>
        <v/>
      </c>
      <c r="UU14" s="11" t="str">
        <f t="shared" si="232"/>
        <v/>
      </c>
      <c r="UV14" s="11" t="str">
        <f t="shared" si="233"/>
        <v/>
      </c>
      <c r="UW14" s="11" t="str">
        <f t="shared" si="234"/>
        <v/>
      </c>
      <c r="UX14" s="11" t="str">
        <f t="shared" si="235"/>
        <v/>
      </c>
      <c r="UY14" s="11" t="str">
        <f t="shared" si="236"/>
        <v/>
      </c>
      <c r="UZ14" s="11" t="str">
        <f t="shared" si="237"/>
        <v/>
      </c>
      <c r="VA14" s="11" t="str">
        <f t="shared" si="238"/>
        <v/>
      </c>
      <c r="VB14" s="11" t="str">
        <f t="shared" si="239"/>
        <v/>
      </c>
      <c r="VC14" s="11" t="str">
        <f t="shared" si="240"/>
        <v/>
      </c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40" t="str">
        <f t="shared" si="241"/>
        <v/>
      </c>
      <c r="VY14" s="40" t="str">
        <f t="shared" si="242"/>
        <v/>
      </c>
      <c r="VZ14" s="40" t="str">
        <f t="shared" si="243"/>
        <v/>
      </c>
      <c r="WA14" s="40" t="str">
        <f t="shared" si="244"/>
        <v/>
      </c>
      <c r="WB14" s="40" t="str">
        <f t="shared" si="245"/>
        <v/>
      </c>
      <c r="WC14" s="40" t="str">
        <f t="shared" si="246"/>
        <v/>
      </c>
      <c r="WD14" s="40" t="str">
        <f t="shared" si="247"/>
        <v/>
      </c>
      <c r="WE14" s="40" t="str">
        <f t="shared" si="248"/>
        <v/>
      </c>
      <c r="WF14" s="40" t="str">
        <f t="shared" si="249"/>
        <v/>
      </c>
      <c r="WG14" s="40" t="str">
        <f t="shared" si="250"/>
        <v/>
      </c>
      <c r="WH14" s="40" t="str">
        <f t="shared" si="251"/>
        <v/>
      </c>
      <c r="WI14" s="40" t="str">
        <f t="shared" si="252"/>
        <v/>
      </c>
      <c r="WJ14" s="40" t="str">
        <f t="shared" si="253"/>
        <v/>
      </c>
      <c r="WK14" s="40" t="str">
        <f t="shared" si="254"/>
        <v/>
      </c>
      <c r="WL14" s="26">
        <f t="shared" si="255"/>
        <v>1.1499999999999999</v>
      </c>
      <c r="WM14" s="26">
        <f t="shared" si="256"/>
        <v>1.425</v>
      </c>
      <c r="WN14" s="26">
        <f t="shared" si="257"/>
        <v>2.1</v>
      </c>
      <c r="WO14" s="26">
        <f t="shared" si="258"/>
        <v>1.74</v>
      </c>
      <c r="WP14" s="26">
        <f t="shared" si="259"/>
        <v>0</v>
      </c>
      <c r="WQ14" s="26">
        <f t="shared" si="260"/>
        <v>1.1000000000000001</v>
      </c>
      <c r="WR14" s="26">
        <f t="shared" si="261"/>
        <v>1.4</v>
      </c>
      <c r="WS14" s="26">
        <f t="shared" si="262"/>
        <v>2.1</v>
      </c>
      <c r="WT14" s="26">
        <f t="shared" si="263"/>
        <v>1.17</v>
      </c>
      <c r="WU14" s="26">
        <f t="shared" si="264"/>
        <v>0</v>
      </c>
      <c r="WV14" s="26">
        <f t="shared" si="265"/>
        <v>0</v>
      </c>
      <c r="WW14" s="26">
        <f t="shared" si="266"/>
        <v>0</v>
      </c>
      <c r="WX14" s="26">
        <f t="shared" si="267"/>
        <v>0</v>
      </c>
      <c r="WY14" s="26">
        <f t="shared" si="268"/>
        <v>0</v>
      </c>
      <c r="WZ14" s="26">
        <f t="shared" si="269"/>
        <v>0</v>
      </c>
      <c r="XA14" s="28" t="s">
        <v>53</v>
      </c>
      <c r="XB14" s="11">
        <f t="shared" si="270"/>
        <v>2.1</v>
      </c>
      <c r="XC14" s="11">
        <f t="shared" si="271"/>
        <v>1.74</v>
      </c>
      <c r="XD14" s="11">
        <f t="shared" si="272"/>
        <v>6.4150000000000009</v>
      </c>
      <c r="XE14" s="11">
        <f t="shared" si="273"/>
        <v>2.1</v>
      </c>
      <c r="XF14" s="11">
        <f t="shared" si="274"/>
        <v>1.17</v>
      </c>
      <c r="XG14" s="11">
        <f t="shared" si="275"/>
        <v>5.77</v>
      </c>
      <c r="XH14" s="11">
        <f t="shared" si="276"/>
        <v>6.4150000000000009</v>
      </c>
      <c r="XI14" s="11" t="str">
        <f t="shared" si="277"/>
        <v/>
      </c>
      <c r="XJ14" s="11" t="str">
        <f t="shared" si="278"/>
        <v/>
      </c>
      <c r="XK14" s="11" t="str">
        <f t="shared" si="279"/>
        <v/>
      </c>
      <c r="XL14" s="11">
        <f t="shared" si="280"/>
        <v>6.4150000000000009</v>
      </c>
    </row>
    <row r="15" spans="1:636" x14ac:dyDescent="0.2">
      <c r="A15" s="4" t="str" cm="1">
        <f t="array" ref="A15">IF(AND(H15&lt;&gt;"",H15&lt;&gt;"No DD"),SUMPRODUCT((H$4:H$19&lt;&gt;"")*(H$4:H$19&lt;&gt;"No DD")*(E$4:E$19&gt;E15))+1,IF(H15="No DD",SUMPRODUCT((H$4:H$19="No DD")*(E$4:E$19&gt;E15))+1+SUMPRODUCT((H$4:H$19&lt;&gt;"")*(H$4:H$19&lt;&gt;"No DD")),""))</f>
        <v/>
      </c>
      <c r="B15" s="5" t="s">
        <v>241</v>
      </c>
      <c r="C15" s="4" t="s">
        <v>168</v>
      </c>
      <c r="D15" s="4" t="s">
        <v>242</v>
      </c>
      <c r="E15" s="9">
        <f t="shared" si="0"/>
        <v>31.119999999999997</v>
      </c>
      <c r="F15" s="3" t="str">
        <f t="shared" si="1"/>
        <v/>
      </c>
      <c r="G15" s="3" t="str">
        <f t="shared" si="2"/>
        <v/>
      </c>
      <c r="H15" s="36" t="str">
        <f t="shared" si="3"/>
        <v/>
      </c>
      <c r="I15" s="3" t="str">
        <f t="shared" si="4"/>
        <v/>
      </c>
      <c r="J15" s="8">
        <f>IF(COUNT(AI15,AL15,AP15,BJ15,BM15,BQ15,CK15,CN15,CR15)&gt;0,LARGE((AI15,AL15,AP15,BJ15,BM15,BQ15,CK15,CN15,CR15),1),0)</f>
        <v>0</v>
      </c>
      <c r="K15" s="8" t="str">
        <f t="shared" si="5"/>
        <v/>
      </c>
      <c r="L15" s="8">
        <f>IF(COUNT(AI15,AL15,AP15,BJ15,BM15,BQ15,CK15,CN15,CR15)&gt;1,LARGE((AI15,AL15,AP15,BJ15,BM15,BQ15,CK15,CN15,CR15),2),0)</f>
        <v>0</v>
      </c>
      <c r="M15" s="8" t="str">
        <f t="shared" si="6"/>
        <v/>
      </c>
      <c r="N15" s="8">
        <f t="shared" si="7"/>
        <v>31.119999999999997</v>
      </c>
      <c r="O15" s="11" t="str">
        <f t="shared" si="8"/>
        <v>(Prelim)</v>
      </c>
      <c r="P15" s="8" t="str">
        <f t="shared" si="9"/>
        <v>2024 World Cup SUI (Jun 29)</v>
      </c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7"/>
      <c r="AG15" s="38" t="str">
        <f t="shared" si="10"/>
        <v/>
      </c>
      <c r="AH15" s="38" t="str">
        <f t="shared" si="11"/>
        <v/>
      </c>
      <c r="AI15" s="40" t="str">
        <f t="shared" si="12"/>
        <v/>
      </c>
      <c r="AJ15" s="40" t="str">
        <f t="shared" si="13"/>
        <v/>
      </c>
      <c r="AK15" s="40" t="str">
        <f t="shared" si="14"/>
        <v/>
      </c>
      <c r="AL15" s="40" t="str">
        <f t="shared" si="15"/>
        <v/>
      </c>
      <c r="AM15" s="40" t="str">
        <f t="shared" si="16"/>
        <v/>
      </c>
      <c r="AN15" s="40" t="str">
        <f t="shared" si="17"/>
        <v/>
      </c>
      <c r="AO15" s="40" t="str">
        <f t="shared" si="18"/>
        <v/>
      </c>
      <c r="AP15" s="40" t="str">
        <f t="shared" si="19"/>
        <v/>
      </c>
      <c r="AQ15" s="40" t="str">
        <f t="shared" si="20"/>
        <v/>
      </c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8"/>
      <c r="BH15" s="39" t="str">
        <f t="shared" si="21"/>
        <v/>
      </c>
      <c r="BI15" s="39" t="str">
        <f t="shared" si="22"/>
        <v/>
      </c>
      <c r="BJ15" s="11" t="str">
        <f t="shared" si="23"/>
        <v/>
      </c>
      <c r="BK15" s="11" t="str">
        <f t="shared" si="24"/>
        <v/>
      </c>
      <c r="BL15" s="11" t="str">
        <f t="shared" si="25"/>
        <v/>
      </c>
      <c r="BM15" s="11" t="str">
        <f t="shared" si="26"/>
        <v/>
      </c>
      <c r="BN15" s="11" t="str">
        <f t="shared" si="27"/>
        <v/>
      </c>
      <c r="BO15" s="11" t="str">
        <f t="shared" si="28"/>
        <v/>
      </c>
      <c r="BP15" s="11" t="str">
        <f t="shared" si="29"/>
        <v/>
      </c>
      <c r="BQ15" s="11" t="str">
        <f t="shared" si="30"/>
        <v/>
      </c>
      <c r="BR15" s="11" t="str">
        <f t="shared" si="31"/>
        <v/>
      </c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  <c r="CE15" s="22"/>
      <c r="CF15" s="22"/>
      <c r="CG15" s="22"/>
      <c r="CH15" s="27"/>
      <c r="CI15" s="38" t="str">
        <f t="shared" si="32"/>
        <v/>
      </c>
      <c r="CJ15" s="38" t="str">
        <f t="shared" si="33"/>
        <v/>
      </c>
      <c r="CK15" s="40" t="str">
        <f t="shared" si="34"/>
        <v/>
      </c>
      <c r="CL15" s="40" t="str">
        <f t="shared" si="35"/>
        <v/>
      </c>
      <c r="CM15" s="40" t="str">
        <f t="shared" si="36"/>
        <v/>
      </c>
      <c r="CN15" s="40" t="str">
        <f t="shared" si="37"/>
        <v/>
      </c>
      <c r="CO15" s="40" t="str">
        <f t="shared" si="38"/>
        <v/>
      </c>
      <c r="CP15" s="40" t="str">
        <f t="shared" si="39"/>
        <v/>
      </c>
      <c r="CQ15" s="40" t="str">
        <f t="shared" si="40"/>
        <v/>
      </c>
      <c r="CR15" s="40" t="str">
        <f t="shared" si="41"/>
        <v/>
      </c>
      <c r="CS15" s="40" t="str">
        <f t="shared" si="42"/>
        <v/>
      </c>
      <c r="CT15" s="51">
        <f t="shared" si="43"/>
        <v>31.119999999999997</v>
      </c>
      <c r="CU15" s="51" t="str">
        <f t="shared" si="44"/>
        <v/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0" t="str">
        <f t="shared" si="45"/>
        <v/>
      </c>
      <c r="DQ15" s="40" t="str">
        <f t="shared" si="46"/>
        <v/>
      </c>
      <c r="DR15" s="40" t="str">
        <f t="shared" si="47"/>
        <v/>
      </c>
      <c r="DS15" s="40" t="str">
        <f t="shared" si="48"/>
        <v/>
      </c>
      <c r="DT15" s="40" t="str">
        <f t="shared" si="49"/>
        <v/>
      </c>
      <c r="DU15" s="40" t="str">
        <f t="shared" si="50"/>
        <v/>
      </c>
      <c r="DV15" s="40" t="str">
        <f t="shared" si="51"/>
        <v/>
      </c>
      <c r="DW15" s="40" t="str">
        <f t="shared" si="52"/>
        <v/>
      </c>
      <c r="DX15" s="40" t="str">
        <f t="shared" si="53"/>
        <v/>
      </c>
      <c r="DY15" s="40" t="str">
        <f t="shared" si="54"/>
        <v/>
      </c>
      <c r="DZ15" s="40" t="str">
        <f t="shared" si="55"/>
        <v/>
      </c>
      <c r="EA15" s="40" t="str">
        <f t="shared" si="56"/>
        <v/>
      </c>
      <c r="EB15" s="40" t="str">
        <f t="shared" si="57"/>
        <v/>
      </c>
      <c r="EC15" s="40" t="str">
        <f t="shared" si="58"/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 t="shared" si="59"/>
        <v/>
      </c>
      <c r="EY15" s="11" t="str">
        <f t="shared" si="60"/>
        <v/>
      </c>
      <c r="EZ15" s="11" t="str">
        <f t="shared" si="61"/>
        <v/>
      </c>
      <c r="FA15" s="11" t="str">
        <f t="shared" si="62"/>
        <v/>
      </c>
      <c r="FB15" s="11" t="str">
        <f t="shared" si="63"/>
        <v/>
      </c>
      <c r="FC15" s="11" t="str">
        <f t="shared" si="64"/>
        <v/>
      </c>
      <c r="FD15" s="11" t="str">
        <f t="shared" si="65"/>
        <v/>
      </c>
      <c r="FE15" s="11" t="str">
        <f t="shared" si="66"/>
        <v/>
      </c>
      <c r="FF15" s="11" t="str">
        <f t="shared" si="67"/>
        <v/>
      </c>
      <c r="FG15" s="11" t="str">
        <f t="shared" si="68"/>
        <v/>
      </c>
      <c r="FH15" s="11" t="str">
        <f t="shared" si="69"/>
        <v/>
      </c>
      <c r="FI15" s="11" t="str">
        <f t="shared" si="70"/>
        <v/>
      </c>
      <c r="FJ15" s="11" t="str">
        <f t="shared" si="71"/>
        <v/>
      </c>
      <c r="FK15" s="11" t="str">
        <f t="shared" si="72"/>
        <v/>
      </c>
      <c r="FL15" s="17">
        <v>0</v>
      </c>
      <c r="FM15" s="17">
        <v>0</v>
      </c>
      <c r="FN15" s="17">
        <v>0</v>
      </c>
      <c r="FO15" s="17">
        <v>0</v>
      </c>
      <c r="FP15" s="17">
        <v>0</v>
      </c>
      <c r="FQ15" s="17">
        <v>5.0999999999999996</v>
      </c>
      <c r="FR15" s="17">
        <v>6.3</v>
      </c>
      <c r="FS15" s="17">
        <v>9.5</v>
      </c>
      <c r="FT15" s="17">
        <v>10.220000000000001</v>
      </c>
      <c r="FU15" s="17">
        <v>0</v>
      </c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0" t="str">
        <f t="shared" si="73"/>
        <v/>
      </c>
      <c r="GG15" s="40" t="str">
        <f t="shared" si="74"/>
        <v/>
      </c>
      <c r="GH15" s="40" t="str">
        <f t="shared" si="75"/>
        <v/>
      </c>
      <c r="GI15" s="40">
        <f t="shared" si="76"/>
        <v>9.5</v>
      </c>
      <c r="GJ15" s="40">
        <f t="shared" si="77"/>
        <v>10.220000000000001</v>
      </c>
      <c r="GK15" s="40">
        <f t="shared" si="78"/>
        <v>31.119999999999997</v>
      </c>
      <c r="GL15" s="40">
        <f t="shared" si="79"/>
        <v>31.119999999999997</v>
      </c>
      <c r="GM15" s="40" t="str">
        <f t="shared" si="80"/>
        <v/>
      </c>
      <c r="GN15" s="40" t="str">
        <f t="shared" si="81"/>
        <v/>
      </c>
      <c r="GO15" s="40" t="str">
        <f t="shared" si="82"/>
        <v/>
      </c>
      <c r="GP15" s="40" t="str">
        <f t="shared" si="83"/>
        <v/>
      </c>
      <c r="GQ15" s="40" t="str">
        <f t="shared" si="84"/>
        <v/>
      </c>
      <c r="GR15" s="40" t="str">
        <f t="shared" si="85"/>
        <v/>
      </c>
      <c r="GS15" s="40">
        <f t="shared" si="86"/>
        <v>31.119999999999997</v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 t="shared" si="87"/>
        <v/>
      </c>
      <c r="HO15" s="11" t="str">
        <f t="shared" si="88"/>
        <v/>
      </c>
      <c r="HP15" s="11" t="str">
        <f t="shared" si="89"/>
        <v/>
      </c>
      <c r="HQ15" s="11" t="str">
        <f t="shared" si="90"/>
        <v/>
      </c>
      <c r="HR15" s="11" t="str">
        <f t="shared" si="91"/>
        <v/>
      </c>
      <c r="HS15" s="11" t="str">
        <f t="shared" si="92"/>
        <v/>
      </c>
      <c r="HT15" s="11" t="str">
        <f t="shared" si="93"/>
        <v/>
      </c>
      <c r="HU15" s="11" t="str">
        <f t="shared" si="94"/>
        <v/>
      </c>
      <c r="HV15" s="11" t="str">
        <f t="shared" si="95"/>
        <v/>
      </c>
      <c r="HW15" s="11" t="str">
        <f t="shared" si="96"/>
        <v/>
      </c>
      <c r="HX15" s="11" t="str">
        <f t="shared" si="97"/>
        <v/>
      </c>
      <c r="HY15" s="11" t="str">
        <f t="shared" si="98"/>
        <v/>
      </c>
      <c r="HZ15" s="11" t="str">
        <f t="shared" si="99"/>
        <v/>
      </c>
      <c r="IA15" s="11" t="str">
        <f t="shared" si="100"/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0" t="str">
        <f t="shared" si="101"/>
        <v/>
      </c>
      <c r="IW15" s="40" t="str">
        <f t="shared" si="102"/>
        <v/>
      </c>
      <c r="IX15" s="40" t="str">
        <f t="shared" si="103"/>
        <v/>
      </c>
      <c r="IY15" s="40" t="str">
        <f t="shared" si="104"/>
        <v/>
      </c>
      <c r="IZ15" s="40" t="str">
        <f t="shared" si="105"/>
        <v/>
      </c>
      <c r="JA15" s="40" t="str">
        <f t="shared" si="106"/>
        <v/>
      </c>
      <c r="JB15" s="40" t="str">
        <f t="shared" si="107"/>
        <v/>
      </c>
      <c r="JC15" s="40" t="str">
        <f t="shared" si="108"/>
        <v/>
      </c>
      <c r="JD15" s="40" t="str">
        <f t="shared" si="109"/>
        <v/>
      </c>
      <c r="JE15" s="40" t="str">
        <f t="shared" si="110"/>
        <v/>
      </c>
      <c r="JF15" s="40" t="str">
        <f t="shared" si="111"/>
        <v/>
      </c>
      <c r="JG15" s="40" t="str">
        <f t="shared" si="112"/>
        <v/>
      </c>
      <c r="JH15" s="40" t="str">
        <f t="shared" si="113"/>
        <v/>
      </c>
      <c r="JI15" s="40" t="str">
        <f t="shared" si="114"/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 t="shared" si="115"/>
        <v/>
      </c>
      <c r="KE15" s="11" t="str">
        <f t="shared" si="116"/>
        <v/>
      </c>
      <c r="KF15" s="11" t="str">
        <f t="shared" si="117"/>
        <v/>
      </c>
      <c r="KG15" s="11" t="str">
        <f t="shared" si="118"/>
        <v/>
      </c>
      <c r="KH15" s="11" t="str">
        <f t="shared" si="119"/>
        <v/>
      </c>
      <c r="KI15" s="11" t="str">
        <f t="shared" si="120"/>
        <v/>
      </c>
      <c r="KJ15" s="11" t="str">
        <f t="shared" si="121"/>
        <v/>
      </c>
      <c r="KK15" s="11" t="str">
        <f t="shared" si="122"/>
        <v/>
      </c>
      <c r="KL15" s="11" t="str">
        <f t="shared" si="123"/>
        <v/>
      </c>
      <c r="KM15" s="11" t="str">
        <f t="shared" si="124"/>
        <v/>
      </c>
      <c r="KN15" s="11" t="str">
        <f t="shared" si="125"/>
        <v/>
      </c>
      <c r="KO15" s="11" t="str">
        <f t="shared" si="126"/>
        <v/>
      </c>
      <c r="KP15" s="11" t="str">
        <f t="shared" si="127"/>
        <v/>
      </c>
      <c r="KQ15" s="11" t="str">
        <f t="shared" si="128"/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0" t="str">
        <f t="shared" si="129"/>
        <v/>
      </c>
      <c r="LM15" s="40" t="str">
        <f t="shared" si="130"/>
        <v/>
      </c>
      <c r="LN15" s="40" t="str">
        <f t="shared" si="131"/>
        <v/>
      </c>
      <c r="LO15" s="40" t="str">
        <f t="shared" si="132"/>
        <v/>
      </c>
      <c r="LP15" s="40" t="str">
        <f t="shared" si="133"/>
        <v/>
      </c>
      <c r="LQ15" s="40" t="str">
        <f t="shared" si="134"/>
        <v/>
      </c>
      <c r="LR15" s="40" t="str">
        <f t="shared" si="135"/>
        <v/>
      </c>
      <c r="LS15" s="40" t="str">
        <f t="shared" si="136"/>
        <v/>
      </c>
      <c r="LT15" s="40" t="str">
        <f t="shared" si="137"/>
        <v/>
      </c>
      <c r="LU15" s="40" t="str">
        <f t="shared" si="138"/>
        <v/>
      </c>
      <c r="LV15" s="40" t="str">
        <f t="shared" si="139"/>
        <v/>
      </c>
      <c r="LW15" s="40" t="str">
        <f t="shared" si="140"/>
        <v/>
      </c>
      <c r="LX15" s="40" t="str">
        <f t="shared" si="141"/>
        <v/>
      </c>
      <c r="LY15" s="40" t="str">
        <f t="shared" si="142"/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 t="shared" si="143"/>
        <v/>
      </c>
      <c r="MU15" s="11" t="str">
        <f t="shared" si="144"/>
        <v/>
      </c>
      <c r="MV15" s="11" t="str">
        <f t="shared" si="145"/>
        <v/>
      </c>
      <c r="MW15" s="11" t="str">
        <f t="shared" si="146"/>
        <v/>
      </c>
      <c r="MX15" s="11" t="str">
        <f t="shared" si="147"/>
        <v/>
      </c>
      <c r="MY15" s="11" t="str">
        <f t="shared" si="148"/>
        <v/>
      </c>
      <c r="MZ15" s="11" t="str">
        <f t="shared" si="149"/>
        <v/>
      </c>
      <c r="NA15" s="11" t="str">
        <f t="shared" si="150"/>
        <v/>
      </c>
      <c r="NB15" s="11" t="str">
        <f t="shared" si="151"/>
        <v/>
      </c>
      <c r="NC15" s="11" t="str">
        <f t="shared" si="152"/>
        <v/>
      </c>
      <c r="ND15" s="11" t="str">
        <f t="shared" si="153"/>
        <v/>
      </c>
      <c r="NE15" s="11" t="str">
        <f t="shared" si="154"/>
        <v/>
      </c>
      <c r="NF15" s="11" t="str">
        <f t="shared" si="155"/>
        <v/>
      </c>
      <c r="NG15" s="11" t="str">
        <f t="shared" si="156"/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0" t="str">
        <f t="shared" si="157"/>
        <v/>
      </c>
      <c r="OC15" s="40" t="str">
        <f t="shared" si="158"/>
        <v/>
      </c>
      <c r="OD15" s="40" t="str">
        <f t="shared" si="159"/>
        <v/>
      </c>
      <c r="OE15" s="40" t="str">
        <f t="shared" si="160"/>
        <v/>
      </c>
      <c r="OF15" s="40" t="str">
        <f t="shared" si="161"/>
        <v/>
      </c>
      <c r="OG15" s="40" t="str">
        <f t="shared" si="162"/>
        <v/>
      </c>
      <c r="OH15" s="40" t="str">
        <f t="shared" si="163"/>
        <v/>
      </c>
      <c r="OI15" s="40" t="str">
        <f t="shared" si="164"/>
        <v/>
      </c>
      <c r="OJ15" s="40" t="str">
        <f t="shared" si="165"/>
        <v/>
      </c>
      <c r="OK15" s="40" t="str">
        <f t="shared" si="166"/>
        <v/>
      </c>
      <c r="OL15" s="40" t="str">
        <f t="shared" si="167"/>
        <v/>
      </c>
      <c r="OM15" s="40" t="str">
        <f t="shared" si="168"/>
        <v/>
      </c>
      <c r="ON15" s="40" t="str">
        <f t="shared" si="169"/>
        <v/>
      </c>
      <c r="OO15" s="40" t="str">
        <f t="shared" si="170"/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 t="shared" si="171"/>
        <v/>
      </c>
      <c r="PK15" s="11" t="str">
        <f t="shared" si="172"/>
        <v/>
      </c>
      <c r="PL15" s="11" t="str">
        <f t="shared" si="173"/>
        <v/>
      </c>
      <c r="PM15" s="11" t="str">
        <f t="shared" si="174"/>
        <v/>
      </c>
      <c r="PN15" s="11" t="str">
        <f t="shared" si="175"/>
        <v/>
      </c>
      <c r="PO15" s="11" t="str">
        <f t="shared" si="176"/>
        <v/>
      </c>
      <c r="PP15" s="11" t="str">
        <f t="shared" si="177"/>
        <v/>
      </c>
      <c r="PQ15" s="11" t="str">
        <f t="shared" si="178"/>
        <v/>
      </c>
      <c r="PR15" s="11" t="str">
        <f t="shared" si="179"/>
        <v/>
      </c>
      <c r="PS15" s="11" t="str">
        <f t="shared" si="180"/>
        <v/>
      </c>
      <c r="PT15" s="11" t="str">
        <f t="shared" si="181"/>
        <v/>
      </c>
      <c r="PU15" s="11" t="str">
        <f t="shared" si="182"/>
        <v/>
      </c>
      <c r="PV15" s="11" t="str">
        <f t="shared" si="183"/>
        <v/>
      </c>
      <c r="PW15" s="11" t="str">
        <f t="shared" si="184"/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0" t="str">
        <f t="shared" si="185"/>
        <v/>
      </c>
      <c r="QS15" s="40" t="str">
        <f t="shared" si="186"/>
        <v/>
      </c>
      <c r="QT15" s="40" t="str">
        <f t="shared" si="187"/>
        <v/>
      </c>
      <c r="QU15" s="40" t="str">
        <f t="shared" si="188"/>
        <v/>
      </c>
      <c r="QV15" s="40" t="str">
        <f t="shared" si="189"/>
        <v/>
      </c>
      <c r="QW15" s="40" t="str">
        <f t="shared" si="190"/>
        <v/>
      </c>
      <c r="QX15" s="40" t="str">
        <f t="shared" si="191"/>
        <v/>
      </c>
      <c r="QY15" s="40" t="str">
        <f t="shared" si="192"/>
        <v/>
      </c>
      <c r="QZ15" s="40" t="str">
        <f t="shared" si="193"/>
        <v/>
      </c>
      <c r="RA15" s="40" t="str">
        <f t="shared" si="194"/>
        <v/>
      </c>
      <c r="RB15" s="40" t="str">
        <f t="shared" si="195"/>
        <v/>
      </c>
      <c r="RC15" s="40" t="str">
        <f t="shared" si="196"/>
        <v/>
      </c>
      <c r="RD15" s="40" t="str">
        <f t="shared" si="197"/>
        <v/>
      </c>
      <c r="RE15" s="40" t="str">
        <f t="shared" si="198"/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 t="shared" si="199"/>
        <v/>
      </c>
      <c r="SA15" s="11" t="str">
        <f t="shared" si="200"/>
        <v/>
      </c>
      <c r="SB15" s="11" t="str">
        <f t="shared" si="201"/>
        <v/>
      </c>
      <c r="SC15" s="11" t="str">
        <f t="shared" si="202"/>
        <v/>
      </c>
      <c r="SD15" s="11" t="str">
        <f t="shared" si="203"/>
        <v/>
      </c>
      <c r="SE15" s="11" t="str">
        <f t="shared" si="204"/>
        <v/>
      </c>
      <c r="SF15" s="11" t="str">
        <f t="shared" si="205"/>
        <v/>
      </c>
      <c r="SG15" s="11" t="str">
        <f t="shared" si="206"/>
        <v/>
      </c>
      <c r="SH15" s="11" t="str">
        <f t="shared" si="207"/>
        <v/>
      </c>
      <c r="SI15" s="11" t="str">
        <f t="shared" si="208"/>
        <v/>
      </c>
      <c r="SJ15" s="11" t="str">
        <f t="shared" si="209"/>
        <v/>
      </c>
      <c r="SK15" s="11" t="str">
        <f t="shared" si="210"/>
        <v/>
      </c>
      <c r="SL15" s="11" t="str">
        <f t="shared" si="211"/>
        <v/>
      </c>
      <c r="SM15" s="11" t="str">
        <f t="shared" si="212"/>
        <v/>
      </c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40" t="str">
        <f t="shared" si="213"/>
        <v/>
      </c>
      <c r="TI15" s="40" t="str">
        <f t="shared" si="214"/>
        <v/>
      </c>
      <c r="TJ15" s="40" t="str">
        <f t="shared" si="215"/>
        <v/>
      </c>
      <c r="TK15" s="40" t="str">
        <f t="shared" si="216"/>
        <v/>
      </c>
      <c r="TL15" s="40" t="str">
        <f t="shared" si="217"/>
        <v/>
      </c>
      <c r="TM15" s="40" t="str">
        <f t="shared" si="218"/>
        <v/>
      </c>
      <c r="TN15" s="40" t="str">
        <f t="shared" si="219"/>
        <v/>
      </c>
      <c r="TO15" s="40" t="str">
        <f t="shared" si="220"/>
        <v/>
      </c>
      <c r="TP15" s="40" t="str">
        <f t="shared" si="221"/>
        <v/>
      </c>
      <c r="TQ15" s="40" t="str">
        <f t="shared" si="222"/>
        <v/>
      </c>
      <c r="TR15" s="40" t="str">
        <f t="shared" si="223"/>
        <v/>
      </c>
      <c r="TS15" s="40" t="str">
        <f t="shared" si="224"/>
        <v/>
      </c>
      <c r="TT15" s="40" t="str">
        <f t="shared" si="225"/>
        <v/>
      </c>
      <c r="TU15" s="40" t="str">
        <f t="shared" si="226"/>
        <v/>
      </c>
      <c r="TV15" s="18"/>
      <c r="TW15" s="18"/>
      <c r="TX15" s="18"/>
      <c r="TY15" s="18"/>
      <c r="TZ15" s="18"/>
      <c r="UA15" s="18"/>
      <c r="UB15" s="18"/>
      <c r="UC15" s="18"/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1" t="str">
        <f t="shared" si="227"/>
        <v/>
      </c>
      <c r="UQ15" s="11" t="str">
        <f t="shared" si="228"/>
        <v/>
      </c>
      <c r="UR15" s="11" t="str">
        <f t="shared" si="229"/>
        <v/>
      </c>
      <c r="US15" s="11" t="str">
        <f t="shared" si="230"/>
        <v/>
      </c>
      <c r="UT15" s="11" t="str">
        <f t="shared" si="231"/>
        <v/>
      </c>
      <c r="UU15" s="11" t="str">
        <f t="shared" si="232"/>
        <v/>
      </c>
      <c r="UV15" s="11" t="str">
        <f t="shared" si="233"/>
        <v/>
      </c>
      <c r="UW15" s="11" t="str">
        <f t="shared" si="234"/>
        <v/>
      </c>
      <c r="UX15" s="11" t="str">
        <f t="shared" si="235"/>
        <v/>
      </c>
      <c r="UY15" s="11" t="str">
        <f t="shared" si="236"/>
        <v/>
      </c>
      <c r="UZ15" s="11" t="str">
        <f t="shared" si="237"/>
        <v/>
      </c>
      <c r="VA15" s="11" t="str">
        <f t="shared" si="238"/>
        <v/>
      </c>
      <c r="VB15" s="11" t="str">
        <f t="shared" si="239"/>
        <v/>
      </c>
      <c r="VC15" s="11" t="str">
        <f t="shared" si="240"/>
        <v/>
      </c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40" t="str">
        <f t="shared" si="241"/>
        <v/>
      </c>
      <c r="VY15" s="40" t="str">
        <f t="shared" si="242"/>
        <v/>
      </c>
      <c r="VZ15" s="40" t="str">
        <f t="shared" si="243"/>
        <v/>
      </c>
      <c r="WA15" s="40" t="str">
        <f t="shared" si="244"/>
        <v/>
      </c>
      <c r="WB15" s="40" t="str">
        <f t="shared" si="245"/>
        <v/>
      </c>
      <c r="WC15" s="40" t="str">
        <f t="shared" si="246"/>
        <v/>
      </c>
      <c r="WD15" s="40" t="str">
        <f t="shared" si="247"/>
        <v/>
      </c>
      <c r="WE15" s="40" t="str">
        <f t="shared" si="248"/>
        <v/>
      </c>
      <c r="WF15" s="40" t="str">
        <f t="shared" si="249"/>
        <v/>
      </c>
      <c r="WG15" s="40" t="str">
        <f t="shared" si="250"/>
        <v/>
      </c>
      <c r="WH15" s="40" t="str">
        <f t="shared" si="251"/>
        <v/>
      </c>
      <c r="WI15" s="40" t="str">
        <f t="shared" si="252"/>
        <v/>
      </c>
      <c r="WJ15" s="40" t="str">
        <f t="shared" si="253"/>
        <v/>
      </c>
      <c r="WK15" s="40" t="str">
        <f t="shared" si="254"/>
        <v/>
      </c>
      <c r="WL15" s="26">
        <f t="shared" si="255"/>
        <v>0</v>
      </c>
      <c r="WM15" s="26">
        <f t="shared" si="256"/>
        <v>0</v>
      </c>
      <c r="WN15" s="26">
        <f t="shared" si="257"/>
        <v>0</v>
      </c>
      <c r="WO15" s="26">
        <f t="shared" si="258"/>
        <v>0</v>
      </c>
      <c r="WP15" s="26">
        <f t="shared" si="259"/>
        <v>0</v>
      </c>
      <c r="WQ15" s="26">
        <f t="shared" si="260"/>
        <v>0</v>
      </c>
      <c r="WR15" s="26">
        <f t="shared" si="261"/>
        <v>0</v>
      </c>
      <c r="WS15" s="26">
        <f t="shared" si="262"/>
        <v>0</v>
      </c>
      <c r="WT15" s="26">
        <f t="shared" si="263"/>
        <v>0</v>
      </c>
      <c r="WU15" s="26">
        <f t="shared" si="264"/>
        <v>0</v>
      </c>
      <c r="WV15" s="26">
        <f t="shared" si="265"/>
        <v>0</v>
      </c>
      <c r="WW15" s="26">
        <f t="shared" si="266"/>
        <v>0</v>
      </c>
      <c r="WX15" s="26">
        <f t="shared" si="267"/>
        <v>0</v>
      </c>
      <c r="WY15" s="26">
        <f t="shared" si="268"/>
        <v>0</v>
      </c>
      <c r="WZ15" s="26">
        <f t="shared" si="269"/>
        <v>0</v>
      </c>
      <c r="XA15" s="28" t="s">
        <v>53</v>
      </c>
      <c r="XB15" s="11" t="str">
        <f t="shared" si="270"/>
        <v/>
      </c>
      <c r="XC15" s="11" t="str">
        <f t="shared" si="271"/>
        <v/>
      </c>
      <c r="XD15" s="11" t="str">
        <f t="shared" si="272"/>
        <v/>
      </c>
      <c r="XE15" s="11" t="str">
        <f t="shared" si="273"/>
        <v/>
      </c>
      <c r="XF15" s="11" t="str">
        <f t="shared" si="274"/>
        <v/>
      </c>
      <c r="XG15" s="11" t="str">
        <f t="shared" si="275"/>
        <v/>
      </c>
      <c r="XH15" s="11" t="str">
        <f t="shared" si="276"/>
        <v/>
      </c>
      <c r="XI15" s="11" t="str">
        <f t="shared" si="277"/>
        <v/>
      </c>
      <c r="XJ15" s="11" t="str">
        <f t="shared" si="278"/>
        <v/>
      </c>
      <c r="XK15" s="11" t="str">
        <f t="shared" si="279"/>
        <v/>
      </c>
      <c r="XL15" s="11" t="str">
        <f t="shared" si="280"/>
        <v/>
      </c>
    </row>
    <row r="16" spans="1:636" x14ac:dyDescent="0.2">
      <c r="A16" s="4" t="str" cm="1">
        <f t="array" ref="A16">IF(AND(H16&lt;&gt;"",H16&lt;&gt;"No DD"),SUMPRODUCT((H$4:H$19&lt;&gt;"")*(H$4:H$19&lt;&gt;"No DD")*(E$4:E$19&gt;E16))+1,IF(H16="No DD",SUMPRODUCT((H$4:H$19="No DD")*(E$4:E$19&gt;E16))+1+SUMPRODUCT((H$4:H$19&lt;&gt;"")*(H$4:H$19&lt;&gt;"No DD")),""))</f>
        <v/>
      </c>
      <c r="B16" s="5" t="s">
        <v>142</v>
      </c>
      <c r="C16" s="4" t="s">
        <v>5</v>
      </c>
      <c r="D16" s="4" t="s">
        <v>141</v>
      </c>
      <c r="E16" s="9">
        <f t="shared" si="0"/>
        <v>17.869999999999997</v>
      </c>
      <c r="F16" s="3" t="str">
        <f t="shared" si="1"/>
        <v/>
      </c>
      <c r="G16" s="3" t="str">
        <f t="shared" si="2"/>
        <v/>
      </c>
      <c r="H16" s="36" t="str">
        <f t="shared" si="3"/>
        <v/>
      </c>
      <c r="I16" s="3" t="str">
        <f t="shared" si="4"/>
        <v/>
      </c>
      <c r="J16" s="8">
        <f>IF(COUNT(AI16,AL16,AP16,BJ16,BM16,BQ16,CK16,CN16,CR16)&gt;0,LARGE((AI16,AL16,AP16,BJ16,BM16,BQ16,CK16,CN16,CR16),1),0)</f>
        <v>9.0399999999999991</v>
      </c>
      <c r="K16" s="8" t="str">
        <f t="shared" si="5"/>
        <v>2024 Nationals</v>
      </c>
      <c r="L16" s="8">
        <f>IF(COUNT(AI16,AL16,AP16,BJ16,BM16,BQ16,CK16,CN16,CR16)&gt;1,LARGE((AI16,AL16,AP16,BJ16,BM16,BQ16,CK16,CN16,CR16),2),0)</f>
        <v>8.83</v>
      </c>
      <c r="M16" s="8" t="str">
        <f t="shared" si="6"/>
        <v>2024 Nationals</v>
      </c>
      <c r="N16" s="8" t="str">
        <f t="shared" si="7"/>
        <v/>
      </c>
      <c r="O16" s="11" t="str">
        <f t="shared" si="8"/>
        <v/>
      </c>
      <c r="P16" s="8" t="str">
        <f t="shared" si="9"/>
        <v/>
      </c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7"/>
      <c r="AG16" s="38" t="str">
        <f t="shared" si="10"/>
        <v/>
      </c>
      <c r="AH16" s="38" t="str">
        <f t="shared" si="11"/>
        <v/>
      </c>
      <c r="AI16" s="40" t="str">
        <f t="shared" si="12"/>
        <v/>
      </c>
      <c r="AJ16" s="40" t="str">
        <f t="shared" si="13"/>
        <v/>
      </c>
      <c r="AK16" s="40" t="str">
        <f t="shared" si="14"/>
        <v/>
      </c>
      <c r="AL16" s="40" t="str">
        <f t="shared" si="15"/>
        <v/>
      </c>
      <c r="AM16" s="40" t="str">
        <f t="shared" si="16"/>
        <v/>
      </c>
      <c r="AN16" s="40" t="str">
        <f t="shared" si="17"/>
        <v/>
      </c>
      <c r="AO16" s="40" t="str">
        <f t="shared" si="18"/>
        <v/>
      </c>
      <c r="AP16" s="40" t="str">
        <f t="shared" si="19"/>
        <v/>
      </c>
      <c r="AQ16" s="40" t="str">
        <f t="shared" si="20"/>
        <v/>
      </c>
      <c r="AR16" s="26">
        <v>1.3</v>
      </c>
      <c r="AS16" s="26">
        <v>1.75</v>
      </c>
      <c r="AT16" s="26">
        <v>2.7</v>
      </c>
      <c r="AU16" s="26">
        <v>3.08</v>
      </c>
      <c r="AV16" s="26">
        <v>0</v>
      </c>
      <c r="AW16" s="26">
        <v>1.35</v>
      </c>
      <c r="AX16" s="26">
        <v>1.65</v>
      </c>
      <c r="AY16" s="26">
        <v>2.7</v>
      </c>
      <c r="AZ16" s="26">
        <v>3.34</v>
      </c>
      <c r="BA16" s="26">
        <v>0</v>
      </c>
      <c r="BB16" s="26"/>
      <c r="BC16" s="26"/>
      <c r="BD16" s="26"/>
      <c r="BE16" s="26"/>
      <c r="BF16" s="26"/>
      <c r="BG16" s="28"/>
      <c r="BH16" s="39">
        <f t="shared" si="21"/>
        <v>2.7</v>
      </c>
      <c r="BI16" s="39">
        <f t="shared" si="22"/>
        <v>3.08</v>
      </c>
      <c r="BJ16" s="11">
        <f t="shared" si="23"/>
        <v>8.83</v>
      </c>
      <c r="BK16" s="11">
        <f t="shared" si="24"/>
        <v>2.7</v>
      </c>
      <c r="BL16" s="11">
        <f t="shared" si="25"/>
        <v>3.34</v>
      </c>
      <c r="BM16" s="11">
        <f t="shared" si="26"/>
        <v>9.0399999999999991</v>
      </c>
      <c r="BN16" s="11">
        <f t="shared" si="27"/>
        <v>9.0399999999999991</v>
      </c>
      <c r="BO16" s="11" t="str">
        <f t="shared" si="28"/>
        <v/>
      </c>
      <c r="BP16" s="11" t="str">
        <f t="shared" si="29"/>
        <v/>
      </c>
      <c r="BQ16" s="11" t="str">
        <f t="shared" si="30"/>
        <v/>
      </c>
      <c r="BR16" s="11">
        <f t="shared" si="31"/>
        <v>9.0399999999999991</v>
      </c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  <c r="CE16" s="22"/>
      <c r="CF16" s="22"/>
      <c r="CG16" s="22"/>
      <c r="CH16" s="27"/>
      <c r="CI16" s="38" t="str">
        <f t="shared" si="32"/>
        <v/>
      </c>
      <c r="CJ16" s="38" t="str">
        <f t="shared" si="33"/>
        <v/>
      </c>
      <c r="CK16" s="40" t="str">
        <f t="shared" si="34"/>
        <v/>
      </c>
      <c r="CL16" s="40" t="str">
        <f t="shared" si="35"/>
        <v/>
      </c>
      <c r="CM16" s="40" t="str">
        <f t="shared" si="36"/>
        <v/>
      </c>
      <c r="CN16" s="40" t="str">
        <f t="shared" si="37"/>
        <v/>
      </c>
      <c r="CO16" s="40" t="str">
        <f t="shared" si="38"/>
        <v/>
      </c>
      <c r="CP16" s="40" t="str">
        <f t="shared" si="39"/>
        <v/>
      </c>
      <c r="CQ16" s="40" t="str">
        <f t="shared" si="40"/>
        <v/>
      </c>
      <c r="CR16" s="40" t="str">
        <f t="shared" si="41"/>
        <v/>
      </c>
      <c r="CS16" s="40" t="str">
        <f t="shared" si="42"/>
        <v/>
      </c>
      <c r="CT16" s="51" t="str">
        <f t="shared" si="43"/>
        <v/>
      </c>
      <c r="CU16" s="51" t="str">
        <f t="shared" si="44"/>
        <v/>
      </c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40" t="str">
        <f t="shared" si="45"/>
        <v/>
      </c>
      <c r="DQ16" s="40" t="str">
        <f t="shared" si="46"/>
        <v/>
      </c>
      <c r="DR16" s="40" t="str">
        <f t="shared" si="47"/>
        <v/>
      </c>
      <c r="DS16" s="40" t="str">
        <f t="shared" si="48"/>
        <v/>
      </c>
      <c r="DT16" s="40" t="str">
        <f t="shared" si="49"/>
        <v/>
      </c>
      <c r="DU16" s="40" t="str">
        <f t="shared" si="50"/>
        <v/>
      </c>
      <c r="DV16" s="40" t="str">
        <f t="shared" si="51"/>
        <v/>
      </c>
      <c r="DW16" s="40" t="str">
        <f t="shared" si="52"/>
        <v/>
      </c>
      <c r="DX16" s="40" t="str">
        <f t="shared" si="53"/>
        <v/>
      </c>
      <c r="DY16" s="40" t="str">
        <f t="shared" si="54"/>
        <v/>
      </c>
      <c r="DZ16" s="40" t="str">
        <f t="shared" si="55"/>
        <v/>
      </c>
      <c r="EA16" s="40" t="str">
        <f t="shared" si="56"/>
        <v/>
      </c>
      <c r="EB16" s="40" t="str">
        <f t="shared" si="57"/>
        <v/>
      </c>
      <c r="EC16" s="40" t="str">
        <f t="shared" si="58"/>
        <v/>
      </c>
      <c r="ED16" s="18"/>
      <c r="EE16" s="18"/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1" t="str">
        <f t="shared" si="59"/>
        <v/>
      </c>
      <c r="EY16" s="11" t="str">
        <f t="shared" si="60"/>
        <v/>
      </c>
      <c r="EZ16" s="11" t="str">
        <f t="shared" si="61"/>
        <v/>
      </c>
      <c r="FA16" s="11" t="str">
        <f t="shared" si="62"/>
        <v/>
      </c>
      <c r="FB16" s="11" t="str">
        <f t="shared" si="63"/>
        <v/>
      </c>
      <c r="FC16" s="11" t="str">
        <f t="shared" si="64"/>
        <v/>
      </c>
      <c r="FD16" s="11" t="str">
        <f t="shared" si="65"/>
        <v/>
      </c>
      <c r="FE16" s="11" t="str">
        <f t="shared" si="66"/>
        <v/>
      </c>
      <c r="FF16" s="11" t="str">
        <f t="shared" si="67"/>
        <v/>
      </c>
      <c r="FG16" s="11" t="str">
        <f t="shared" si="68"/>
        <v/>
      </c>
      <c r="FH16" s="11" t="str">
        <f t="shared" si="69"/>
        <v/>
      </c>
      <c r="FI16" s="11" t="str">
        <f t="shared" si="70"/>
        <v/>
      </c>
      <c r="FJ16" s="11" t="str">
        <f t="shared" si="71"/>
        <v/>
      </c>
      <c r="FK16" s="11" t="str">
        <f t="shared" si="72"/>
        <v/>
      </c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40" t="str">
        <f t="shared" si="73"/>
        <v/>
      </c>
      <c r="GG16" s="40" t="str">
        <f t="shared" si="74"/>
        <v/>
      </c>
      <c r="GH16" s="40" t="str">
        <f t="shared" si="75"/>
        <v/>
      </c>
      <c r="GI16" s="40" t="str">
        <f t="shared" si="76"/>
        <v/>
      </c>
      <c r="GJ16" s="40" t="str">
        <f t="shared" si="77"/>
        <v/>
      </c>
      <c r="GK16" s="40" t="str">
        <f t="shared" si="78"/>
        <v/>
      </c>
      <c r="GL16" s="40" t="str">
        <f t="shared" si="79"/>
        <v/>
      </c>
      <c r="GM16" s="40" t="str">
        <f t="shared" si="80"/>
        <v/>
      </c>
      <c r="GN16" s="40" t="str">
        <f t="shared" si="81"/>
        <v/>
      </c>
      <c r="GO16" s="40" t="str">
        <f t="shared" si="82"/>
        <v/>
      </c>
      <c r="GP16" s="40" t="str">
        <f t="shared" si="83"/>
        <v/>
      </c>
      <c r="GQ16" s="40" t="str">
        <f t="shared" si="84"/>
        <v/>
      </c>
      <c r="GR16" s="40" t="str">
        <f t="shared" si="85"/>
        <v/>
      </c>
      <c r="GS16" s="40" t="str">
        <f t="shared" si="86"/>
        <v/>
      </c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1" t="str">
        <f t="shared" si="87"/>
        <v/>
      </c>
      <c r="HO16" s="11" t="str">
        <f t="shared" si="88"/>
        <v/>
      </c>
      <c r="HP16" s="11" t="str">
        <f t="shared" si="89"/>
        <v/>
      </c>
      <c r="HQ16" s="11" t="str">
        <f t="shared" si="90"/>
        <v/>
      </c>
      <c r="HR16" s="11" t="str">
        <f t="shared" si="91"/>
        <v/>
      </c>
      <c r="HS16" s="11" t="str">
        <f t="shared" si="92"/>
        <v/>
      </c>
      <c r="HT16" s="11" t="str">
        <f t="shared" si="93"/>
        <v/>
      </c>
      <c r="HU16" s="11" t="str">
        <f t="shared" si="94"/>
        <v/>
      </c>
      <c r="HV16" s="11" t="str">
        <f t="shared" si="95"/>
        <v/>
      </c>
      <c r="HW16" s="11" t="str">
        <f t="shared" si="96"/>
        <v/>
      </c>
      <c r="HX16" s="11" t="str">
        <f t="shared" si="97"/>
        <v/>
      </c>
      <c r="HY16" s="11" t="str">
        <f t="shared" si="98"/>
        <v/>
      </c>
      <c r="HZ16" s="11" t="str">
        <f t="shared" si="99"/>
        <v/>
      </c>
      <c r="IA16" s="11" t="str">
        <f t="shared" si="100"/>
        <v/>
      </c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40" t="str">
        <f t="shared" si="101"/>
        <v/>
      </c>
      <c r="IW16" s="40" t="str">
        <f t="shared" si="102"/>
        <v/>
      </c>
      <c r="IX16" s="40" t="str">
        <f t="shared" si="103"/>
        <v/>
      </c>
      <c r="IY16" s="40" t="str">
        <f t="shared" si="104"/>
        <v/>
      </c>
      <c r="IZ16" s="40" t="str">
        <f t="shared" si="105"/>
        <v/>
      </c>
      <c r="JA16" s="40" t="str">
        <f t="shared" si="106"/>
        <v/>
      </c>
      <c r="JB16" s="40" t="str">
        <f t="shared" si="107"/>
        <v/>
      </c>
      <c r="JC16" s="40" t="str">
        <f t="shared" si="108"/>
        <v/>
      </c>
      <c r="JD16" s="40" t="str">
        <f t="shared" si="109"/>
        <v/>
      </c>
      <c r="JE16" s="40" t="str">
        <f t="shared" si="110"/>
        <v/>
      </c>
      <c r="JF16" s="40" t="str">
        <f t="shared" si="111"/>
        <v/>
      </c>
      <c r="JG16" s="40" t="str">
        <f t="shared" si="112"/>
        <v/>
      </c>
      <c r="JH16" s="40" t="str">
        <f t="shared" si="113"/>
        <v/>
      </c>
      <c r="JI16" s="40" t="str">
        <f t="shared" si="114"/>
        <v/>
      </c>
      <c r="JJ16" s="18"/>
      <c r="JK16" s="18"/>
      <c r="JL16" s="18"/>
      <c r="JM16" s="18"/>
      <c r="JN16" s="18"/>
      <c r="JO16" s="18"/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1" t="str">
        <f t="shared" si="115"/>
        <v/>
      </c>
      <c r="KE16" s="11" t="str">
        <f t="shared" si="116"/>
        <v/>
      </c>
      <c r="KF16" s="11" t="str">
        <f t="shared" si="117"/>
        <v/>
      </c>
      <c r="KG16" s="11" t="str">
        <f t="shared" si="118"/>
        <v/>
      </c>
      <c r="KH16" s="11" t="str">
        <f t="shared" si="119"/>
        <v/>
      </c>
      <c r="KI16" s="11" t="str">
        <f t="shared" si="120"/>
        <v/>
      </c>
      <c r="KJ16" s="11" t="str">
        <f t="shared" si="121"/>
        <v/>
      </c>
      <c r="KK16" s="11" t="str">
        <f t="shared" si="122"/>
        <v/>
      </c>
      <c r="KL16" s="11" t="str">
        <f t="shared" si="123"/>
        <v/>
      </c>
      <c r="KM16" s="11" t="str">
        <f t="shared" si="124"/>
        <v/>
      </c>
      <c r="KN16" s="11" t="str">
        <f t="shared" si="125"/>
        <v/>
      </c>
      <c r="KO16" s="11" t="str">
        <f t="shared" si="126"/>
        <v/>
      </c>
      <c r="KP16" s="11" t="str">
        <f t="shared" si="127"/>
        <v/>
      </c>
      <c r="KQ16" s="11" t="str">
        <f t="shared" si="128"/>
        <v/>
      </c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40" t="str">
        <f t="shared" si="129"/>
        <v/>
      </c>
      <c r="LM16" s="40" t="str">
        <f t="shared" si="130"/>
        <v/>
      </c>
      <c r="LN16" s="40" t="str">
        <f t="shared" si="131"/>
        <v/>
      </c>
      <c r="LO16" s="40" t="str">
        <f t="shared" si="132"/>
        <v/>
      </c>
      <c r="LP16" s="40" t="str">
        <f t="shared" si="133"/>
        <v/>
      </c>
      <c r="LQ16" s="40" t="str">
        <f t="shared" si="134"/>
        <v/>
      </c>
      <c r="LR16" s="40" t="str">
        <f t="shared" si="135"/>
        <v/>
      </c>
      <c r="LS16" s="40" t="str">
        <f t="shared" si="136"/>
        <v/>
      </c>
      <c r="LT16" s="40" t="str">
        <f t="shared" si="137"/>
        <v/>
      </c>
      <c r="LU16" s="40" t="str">
        <f t="shared" si="138"/>
        <v/>
      </c>
      <c r="LV16" s="40" t="str">
        <f t="shared" si="139"/>
        <v/>
      </c>
      <c r="LW16" s="40" t="str">
        <f t="shared" si="140"/>
        <v/>
      </c>
      <c r="LX16" s="40" t="str">
        <f t="shared" si="141"/>
        <v/>
      </c>
      <c r="LY16" s="40" t="str">
        <f t="shared" si="142"/>
        <v/>
      </c>
      <c r="LZ16" s="18"/>
      <c r="MA16" s="18"/>
      <c r="MB16" s="18"/>
      <c r="MC16" s="18"/>
      <c r="MD16" s="18"/>
      <c r="ME16" s="18"/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1" t="str">
        <f t="shared" si="143"/>
        <v/>
      </c>
      <c r="MU16" s="11" t="str">
        <f t="shared" si="144"/>
        <v/>
      </c>
      <c r="MV16" s="11" t="str">
        <f t="shared" si="145"/>
        <v/>
      </c>
      <c r="MW16" s="11" t="str">
        <f t="shared" si="146"/>
        <v/>
      </c>
      <c r="MX16" s="11" t="str">
        <f t="shared" si="147"/>
        <v/>
      </c>
      <c r="MY16" s="11" t="str">
        <f t="shared" si="148"/>
        <v/>
      </c>
      <c r="MZ16" s="11" t="str">
        <f t="shared" si="149"/>
        <v/>
      </c>
      <c r="NA16" s="11" t="str">
        <f t="shared" si="150"/>
        <v/>
      </c>
      <c r="NB16" s="11" t="str">
        <f t="shared" si="151"/>
        <v/>
      </c>
      <c r="NC16" s="11" t="str">
        <f t="shared" si="152"/>
        <v/>
      </c>
      <c r="ND16" s="11" t="str">
        <f t="shared" si="153"/>
        <v/>
      </c>
      <c r="NE16" s="11" t="str">
        <f t="shared" si="154"/>
        <v/>
      </c>
      <c r="NF16" s="11" t="str">
        <f t="shared" si="155"/>
        <v/>
      </c>
      <c r="NG16" s="11" t="str">
        <f t="shared" si="156"/>
        <v/>
      </c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40" t="str">
        <f t="shared" si="157"/>
        <v/>
      </c>
      <c r="OC16" s="40" t="str">
        <f t="shared" si="158"/>
        <v/>
      </c>
      <c r="OD16" s="40" t="str">
        <f t="shared" si="159"/>
        <v/>
      </c>
      <c r="OE16" s="40" t="str">
        <f t="shared" si="160"/>
        <v/>
      </c>
      <c r="OF16" s="40" t="str">
        <f t="shared" si="161"/>
        <v/>
      </c>
      <c r="OG16" s="40" t="str">
        <f t="shared" si="162"/>
        <v/>
      </c>
      <c r="OH16" s="40" t="str">
        <f t="shared" si="163"/>
        <v/>
      </c>
      <c r="OI16" s="40" t="str">
        <f t="shared" si="164"/>
        <v/>
      </c>
      <c r="OJ16" s="40" t="str">
        <f t="shared" si="165"/>
        <v/>
      </c>
      <c r="OK16" s="40" t="str">
        <f t="shared" si="166"/>
        <v/>
      </c>
      <c r="OL16" s="40" t="str">
        <f t="shared" si="167"/>
        <v/>
      </c>
      <c r="OM16" s="40" t="str">
        <f t="shared" si="168"/>
        <v/>
      </c>
      <c r="ON16" s="40" t="str">
        <f t="shared" si="169"/>
        <v/>
      </c>
      <c r="OO16" s="40" t="str">
        <f t="shared" si="170"/>
        <v/>
      </c>
      <c r="OP16" s="18"/>
      <c r="OQ16" s="18"/>
      <c r="OR16" s="18"/>
      <c r="OS16" s="18"/>
      <c r="OT16" s="18"/>
      <c r="OU16" s="18"/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1" t="str">
        <f t="shared" si="171"/>
        <v/>
      </c>
      <c r="PK16" s="11" t="str">
        <f t="shared" si="172"/>
        <v/>
      </c>
      <c r="PL16" s="11" t="str">
        <f t="shared" si="173"/>
        <v/>
      </c>
      <c r="PM16" s="11" t="str">
        <f t="shared" si="174"/>
        <v/>
      </c>
      <c r="PN16" s="11" t="str">
        <f t="shared" si="175"/>
        <v/>
      </c>
      <c r="PO16" s="11" t="str">
        <f t="shared" si="176"/>
        <v/>
      </c>
      <c r="PP16" s="11" t="str">
        <f t="shared" si="177"/>
        <v/>
      </c>
      <c r="PQ16" s="11" t="str">
        <f t="shared" si="178"/>
        <v/>
      </c>
      <c r="PR16" s="11" t="str">
        <f t="shared" si="179"/>
        <v/>
      </c>
      <c r="PS16" s="11" t="str">
        <f t="shared" si="180"/>
        <v/>
      </c>
      <c r="PT16" s="11" t="str">
        <f t="shared" si="181"/>
        <v/>
      </c>
      <c r="PU16" s="11" t="str">
        <f t="shared" si="182"/>
        <v/>
      </c>
      <c r="PV16" s="11" t="str">
        <f t="shared" si="183"/>
        <v/>
      </c>
      <c r="PW16" s="11" t="str">
        <f t="shared" si="184"/>
        <v/>
      </c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40" t="str">
        <f t="shared" si="185"/>
        <v/>
      </c>
      <c r="QS16" s="40" t="str">
        <f t="shared" si="186"/>
        <v/>
      </c>
      <c r="QT16" s="40" t="str">
        <f t="shared" si="187"/>
        <v/>
      </c>
      <c r="QU16" s="40" t="str">
        <f t="shared" si="188"/>
        <v/>
      </c>
      <c r="QV16" s="40" t="str">
        <f t="shared" si="189"/>
        <v/>
      </c>
      <c r="QW16" s="40" t="str">
        <f t="shared" si="190"/>
        <v/>
      </c>
      <c r="QX16" s="40" t="str">
        <f t="shared" si="191"/>
        <v/>
      </c>
      <c r="QY16" s="40" t="str">
        <f t="shared" si="192"/>
        <v/>
      </c>
      <c r="QZ16" s="40" t="str">
        <f t="shared" si="193"/>
        <v/>
      </c>
      <c r="RA16" s="40" t="str">
        <f t="shared" si="194"/>
        <v/>
      </c>
      <c r="RB16" s="40" t="str">
        <f t="shared" si="195"/>
        <v/>
      </c>
      <c r="RC16" s="40" t="str">
        <f t="shared" si="196"/>
        <v/>
      </c>
      <c r="RD16" s="40" t="str">
        <f t="shared" si="197"/>
        <v/>
      </c>
      <c r="RE16" s="40" t="str">
        <f t="shared" si="198"/>
        <v/>
      </c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1" t="str">
        <f t="shared" si="199"/>
        <v/>
      </c>
      <c r="SA16" s="11" t="str">
        <f t="shared" si="200"/>
        <v/>
      </c>
      <c r="SB16" s="11" t="str">
        <f t="shared" si="201"/>
        <v/>
      </c>
      <c r="SC16" s="11" t="str">
        <f t="shared" si="202"/>
        <v/>
      </c>
      <c r="SD16" s="11" t="str">
        <f t="shared" si="203"/>
        <v/>
      </c>
      <c r="SE16" s="11" t="str">
        <f t="shared" si="204"/>
        <v/>
      </c>
      <c r="SF16" s="11" t="str">
        <f t="shared" si="205"/>
        <v/>
      </c>
      <c r="SG16" s="11" t="str">
        <f t="shared" si="206"/>
        <v/>
      </c>
      <c r="SH16" s="11" t="str">
        <f t="shared" si="207"/>
        <v/>
      </c>
      <c r="SI16" s="11" t="str">
        <f t="shared" si="208"/>
        <v/>
      </c>
      <c r="SJ16" s="11" t="str">
        <f t="shared" si="209"/>
        <v/>
      </c>
      <c r="SK16" s="11" t="str">
        <f t="shared" si="210"/>
        <v/>
      </c>
      <c r="SL16" s="11" t="str">
        <f t="shared" si="211"/>
        <v/>
      </c>
      <c r="SM16" s="11" t="str">
        <f t="shared" si="212"/>
        <v/>
      </c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40" t="str">
        <f t="shared" si="213"/>
        <v/>
      </c>
      <c r="TI16" s="40" t="str">
        <f t="shared" si="214"/>
        <v/>
      </c>
      <c r="TJ16" s="40" t="str">
        <f t="shared" si="215"/>
        <v/>
      </c>
      <c r="TK16" s="40" t="str">
        <f t="shared" si="216"/>
        <v/>
      </c>
      <c r="TL16" s="40" t="str">
        <f t="shared" si="217"/>
        <v/>
      </c>
      <c r="TM16" s="40" t="str">
        <f t="shared" si="218"/>
        <v/>
      </c>
      <c r="TN16" s="40" t="str">
        <f t="shared" si="219"/>
        <v/>
      </c>
      <c r="TO16" s="40" t="str">
        <f t="shared" si="220"/>
        <v/>
      </c>
      <c r="TP16" s="40" t="str">
        <f t="shared" si="221"/>
        <v/>
      </c>
      <c r="TQ16" s="40" t="str">
        <f t="shared" si="222"/>
        <v/>
      </c>
      <c r="TR16" s="40" t="str">
        <f t="shared" si="223"/>
        <v/>
      </c>
      <c r="TS16" s="40" t="str">
        <f t="shared" si="224"/>
        <v/>
      </c>
      <c r="TT16" s="40" t="str">
        <f t="shared" si="225"/>
        <v/>
      </c>
      <c r="TU16" s="40" t="str">
        <f t="shared" si="226"/>
        <v/>
      </c>
      <c r="TV16" s="18"/>
      <c r="TW16" s="18"/>
      <c r="TX16" s="18"/>
      <c r="TY16" s="18"/>
      <c r="TZ16" s="18"/>
      <c r="UA16" s="18"/>
      <c r="UB16" s="18"/>
      <c r="UC16" s="18"/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1" t="str">
        <f t="shared" si="227"/>
        <v/>
      </c>
      <c r="UQ16" s="11" t="str">
        <f t="shared" si="228"/>
        <v/>
      </c>
      <c r="UR16" s="11" t="str">
        <f t="shared" si="229"/>
        <v/>
      </c>
      <c r="US16" s="11" t="str">
        <f t="shared" si="230"/>
        <v/>
      </c>
      <c r="UT16" s="11" t="str">
        <f t="shared" si="231"/>
        <v/>
      </c>
      <c r="UU16" s="11" t="str">
        <f t="shared" si="232"/>
        <v/>
      </c>
      <c r="UV16" s="11" t="str">
        <f t="shared" si="233"/>
        <v/>
      </c>
      <c r="UW16" s="11" t="str">
        <f t="shared" si="234"/>
        <v/>
      </c>
      <c r="UX16" s="11" t="str">
        <f t="shared" si="235"/>
        <v/>
      </c>
      <c r="UY16" s="11" t="str">
        <f t="shared" si="236"/>
        <v/>
      </c>
      <c r="UZ16" s="11" t="str">
        <f t="shared" si="237"/>
        <v/>
      </c>
      <c r="VA16" s="11" t="str">
        <f t="shared" si="238"/>
        <v/>
      </c>
      <c r="VB16" s="11" t="str">
        <f t="shared" si="239"/>
        <v/>
      </c>
      <c r="VC16" s="11" t="str">
        <f t="shared" si="240"/>
        <v/>
      </c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40" t="str">
        <f t="shared" si="241"/>
        <v/>
      </c>
      <c r="VY16" s="40" t="str">
        <f t="shared" si="242"/>
        <v/>
      </c>
      <c r="VZ16" s="40" t="str">
        <f t="shared" si="243"/>
        <v/>
      </c>
      <c r="WA16" s="40" t="str">
        <f t="shared" si="244"/>
        <v/>
      </c>
      <c r="WB16" s="40" t="str">
        <f t="shared" si="245"/>
        <v/>
      </c>
      <c r="WC16" s="40" t="str">
        <f t="shared" si="246"/>
        <v/>
      </c>
      <c r="WD16" s="40" t="str">
        <f t="shared" si="247"/>
        <v/>
      </c>
      <c r="WE16" s="40" t="str">
        <f t="shared" si="248"/>
        <v/>
      </c>
      <c r="WF16" s="40" t="str">
        <f t="shared" si="249"/>
        <v/>
      </c>
      <c r="WG16" s="40" t="str">
        <f t="shared" si="250"/>
        <v/>
      </c>
      <c r="WH16" s="40" t="str">
        <f t="shared" si="251"/>
        <v/>
      </c>
      <c r="WI16" s="40" t="str">
        <f t="shared" si="252"/>
        <v/>
      </c>
      <c r="WJ16" s="40" t="str">
        <f t="shared" si="253"/>
        <v/>
      </c>
      <c r="WK16" s="40" t="str">
        <f t="shared" si="254"/>
        <v/>
      </c>
      <c r="WL16" s="26">
        <f t="shared" si="255"/>
        <v>0.65</v>
      </c>
      <c r="WM16" s="26">
        <f t="shared" si="256"/>
        <v>0.875</v>
      </c>
      <c r="WN16" s="26">
        <f t="shared" si="257"/>
        <v>1.35</v>
      </c>
      <c r="WO16" s="26">
        <f t="shared" si="258"/>
        <v>1.54</v>
      </c>
      <c r="WP16" s="26">
        <f t="shared" si="259"/>
        <v>0</v>
      </c>
      <c r="WQ16" s="26">
        <f t="shared" si="260"/>
        <v>0.67500000000000004</v>
      </c>
      <c r="WR16" s="26">
        <f t="shared" si="261"/>
        <v>0.82499999999999996</v>
      </c>
      <c r="WS16" s="26">
        <f t="shared" si="262"/>
        <v>1.35</v>
      </c>
      <c r="WT16" s="26">
        <f t="shared" si="263"/>
        <v>1.67</v>
      </c>
      <c r="WU16" s="26">
        <f t="shared" si="264"/>
        <v>0</v>
      </c>
      <c r="WV16" s="26">
        <f t="shared" si="265"/>
        <v>0</v>
      </c>
      <c r="WW16" s="26">
        <f t="shared" si="266"/>
        <v>0</v>
      </c>
      <c r="WX16" s="26">
        <f t="shared" si="267"/>
        <v>0</v>
      </c>
      <c r="WY16" s="26">
        <f t="shared" si="268"/>
        <v>0</v>
      </c>
      <c r="WZ16" s="26">
        <f t="shared" si="269"/>
        <v>0</v>
      </c>
      <c r="XA16" s="28" t="s">
        <v>53</v>
      </c>
      <c r="XB16" s="11">
        <f t="shared" si="270"/>
        <v>1.35</v>
      </c>
      <c r="XC16" s="11">
        <f t="shared" si="271"/>
        <v>1.54</v>
      </c>
      <c r="XD16" s="11">
        <f t="shared" si="272"/>
        <v>4.415</v>
      </c>
      <c r="XE16" s="11">
        <f t="shared" si="273"/>
        <v>1.35</v>
      </c>
      <c r="XF16" s="11">
        <f t="shared" si="274"/>
        <v>1.67</v>
      </c>
      <c r="XG16" s="11">
        <f t="shared" si="275"/>
        <v>4.5199999999999996</v>
      </c>
      <c r="XH16" s="11">
        <f t="shared" si="276"/>
        <v>4.5199999999999996</v>
      </c>
      <c r="XI16" s="11" t="str">
        <f t="shared" si="277"/>
        <v/>
      </c>
      <c r="XJ16" s="11" t="str">
        <f t="shared" si="278"/>
        <v/>
      </c>
      <c r="XK16" s="11" t="str">
        <f t="shared" si="279"/>
        <v/>
      </c>
      <c r="XL16" s="11">
        <f t="shared" si="280"/>
        <v>4.5199999999999996</v>
      </c>
    </row>
    <row r="17" spans="1:636" x14ac:dyDescent="0.2">
      <c r="A17" s="4" t="str" cm="1">
        <f t="array" ref="A17">IF(AND(H17&lt;&gt;"",H17&lt;&gt;"No DD"),SUMPRODUCT((H$4:H$19&lt;&gt;"")*(H$4:H$19&lt;&gt;"No DD")*(E$4:E$19&gt;E17))+1,IF(H17="No DD",SUMPRODUCT((H$4:H$19="No DD")*(E$4:E$19&gt;E17))+1+SUMPRODUCT((H$4:H$19&lt;&gt;"")*(H$4:H$19&lt;&gt;"No DD")),""))</f>
        <v/>
      </c>
      <c r="B17" s="5" t="s">
        <v>246</v>
      </c>
      <c r="C17" s="4" t="s">
        <v>168</v>
      </c>
      <c r="D17" s="4" t="s">
        <v>248</v>
      </c>
      <c r="E17" s="9">
        <f t="shared" si="0"/>
        <v>16.009999999999998</v>
      </c>
      <c r="F17" s="3" t="str">
        <f t="shared" si="1"/>
        <v/>
      </c>
      <c r="G17" s="3" t="str">
        <f t="shared" si="2"/>
        <v/>
      </c>
      <c r="H17" s="36" t="str">
        <f t="shared" si="3"/>
        <v/>
      </c>
      <c r="I17" s="3" t="str">
        <f t="shared" si="4"/>
        <v/>
      </c>
      <c r="J17" s="8">
        <f>IF(COUNT(AI17,AL17,AP17,BJ17,BM17,BQ17,CK17,CN17,CR17)&gt;0,LARGE((AI17,AL17,AP17,BJ17,BM17,BQ17,CK17,CN17,CR17),1),0)</f>
        <v>0</v>
      </c>
      <c r="K17" s="8" t="str">
        <f t="shared" si="5"/>
        <v/>
      </c>
      <c r="L17" s="8">
        <f>IF(COUNT(AI17,AL17,AP17,BJ17,BM17,BQ17,CK17,CN17,CR17)&gt;1,LARGE((AI17,AL17,AP17,BJ17,BM17,BQ17,CK17,CN17,CR17),2),0)</f>
        <v>0</v>
      </c>
      <c r="M17" s="8" t="str">
        <f t="shared" si="6"/>
        <v/>
      </c>
      <c r="N17" s="8">
        <f t="shared" si="7"/>
        <v>16.009999999999998</v>
      </c>
      <c r="O17" s="11" t="str">
        <f t="shared" si="8"/>
        <v>(Prelim)</v>
      </c>
      <c r="P17" s="8" t="str">
        <f t="shared" si="9"/>
        <v>2024 World Cup POR (July 7)</v>
      </c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7"/>
      <c r="AG17" s="38" t="str">
        <f t="shared" si="10"/>
        <v/>
      </c>
      <c r="AH17" s="38" t="str">
        <f t="shared" si="11"/>
        <v/>
      </c>
      <c r="AI17" s="40" t="str">
        <f t="shared" si="12"/>
        <v/>
      </c>
      <c r="AJ17" s="40" t="str">
        <f t="shared" si="13"/>
        <v/>
      </c>
      <c r="AK17" s="40" t="str">
        <f t="shared" si="14"/>
        <v/>
      </c>
      <c r="AL17" s="40" t="str">
        <f t="shared" si="15"/>
        <v/>
      </c>
      <c r="AM17" s="40" t="str">
        <f t="shared" si="16"/>
        <v/>
      </c>
      <c r="AN17" s="40" t="str">
        <f t="shared" si="17"/>
        <v/>
      </c>
      <c r="AO17" s="40" t="str">
        <f t="shared" si="18"/>
        <v/>
      </c>
      <c r="AP17" s="40" t="str">
        <f t="shared" si="19"/>
        <v/>
      </c>
      <c r="AQ17" s="40" t="str">
        <f t="shared" si="20"/>
        <v/>
      </c>
      <c r="AR17" s="26"/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8"/>
      <c r="BH17" s="39" t="str">
        <f t="shared" si="21"/>
        <v/>
      </c>
      <c r="BI17" s="39" t="str">
        <f t="shared" si="22"/>
        <v/>
      </c>
      <c r="BJ17" s="11" t="str">
        <f t="shared" si="23"/>
        <v/>
      </c>
      <c r="BK17" s="11" t="str">
        <f t="shared" si="24"/>
        <v/>
      </c>
      <c r="BL17" s="11" t="str">
        <f t="shared" si="25"/>
        <v/>
      </c>
      <c r="BM17" s="11" t="str">
        <f t="shared" si="26"/>
        <v/>
      </c>
      <c r="BN17" s="11" t="str">
        <f t="shared" si="27"/>
        <v/>
      </c>
      <c r="BO17" s="11" t="str">
        <f t="shared" si="28"/>
        <v/>
      </c>
      <c r="BP17" s="11" t="str">
        <f t="shared" si="29"/>
        <v/>
      </c>
      <c r="BQ17" s="11" t="str">
        <f t="shared" si="30"/>
        <v/>
      </c>
      <c r="BR17" s="11" t="str">
        <f t="shared" si="31"/>
        <v/>
      </c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  <c r="CE17" s="22"/>
      <c r="CF17" s="22"/>
      <c r="CG17" s="22"/>
      <c r="CH17" s="27"/>
      <c r="CI17" s="38" t="str">
        <f t="shared" si="32"/>
        <v/>
      </c>
      <c r="CJ17" s="38" t="str">
        <f t="shared" si="33"/>
        <v/>
      </c>
      <c r="CK17" s="40" t="str">
        <f t="shared" si="34"/>
        <v/>
      </c>
      <c r="CL17" s="40" t="str">
        <f t="shared" si="35"/>
        <v/>
      </c>
      <c r="CM17" s="40" t="str">
        <f t="shared" si="36"/>
        <v/>
      </c>
      <c r="CN17" s="40" t="str">
        <f t="shared" si="37"/>
        <v/>
      </c>
      <c r="CO17" s="40" t="str">
        <f t="shared" si="38"/>
        <v/>
      </c>
      <c r="CP17" s="40" t="str">
        <f t="shared" si="39"/>
        <v/>
      </c>
      <c r="CQ17" s="40" t="str">
        <f t="shared" si="40"/>
        <v/>
      </c>
      <c r="CR17" s="40" t="str">
        <f t="shared" si="41"/>
        <v/>
      </c>
      <c r="CS17" s="40" t="str">
        <f t="shared" si="42"/>
        <v/>
      </c>
      <c r="CT17" s="51">
        <f t="shared" si="43"/>
        <v>16.009999999999998</v>
      </c>
      <c r="CU17" s="51" t="str">
        <f t="shared" si="44"/>
        <v/>
      </c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40" t="str">
        <f t="shared" si="45"/>
        <v/>
      </c>
      <c r="DQ17" s="40" t="str">
        <f t="shared" si="46"/>
        <v/>
      </c>
      <c r="DR17" s="40" t="str">
        <f t="shared" si="47"/>
        <v/>
      </c>
      <c r="DS17" s="40" t="str">
        <f t="shared" si="48"/>
        <v/>
      </c>
      <c r="DT17" s="40" t="str">
        <f t="shared" si="49"/>
        <v/>
      </c>
      <c r="DU17" s="40" t="str">
        <f t="shared" si="50"/>
        <v/>
      </c>
      <c r="DV17" s="40" t="str">
        <f t="shared" si="51"/>
        <v/>
      </c>
      <c r="DW17" s="40" t="str">
        <f t="shared" si="52"/>
        <v/>
      </c>
      <c r="DX17" s="40" t="str">
        <f t="shared" si="53"/>
        <v/>
      </c>
      <c r="DY17" s="40" t="str">
        <f t="shared" si="54"/>
        <v/>
      </c>
      <c r="DZ17" s="40" t="str">
        <f t="shared" si="55"/>
        <v/>
      </c>
      <c r="EA17" s="40" t="str">
        <f t="shared" si="56"/>
        <v/>
      </c>
      <c r="EB17" s="40" t="str">
        <f t="shared" si="57"/>
        <v/>
      </c>
      <c r="EC17" s="40" t="str">
        <f t="shared" si="58"/>
        <v/>
      </c>
      <c r="ED17" s="18"/>
      <c r="EE17" s="18"/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1" t="str">
        <f t="shared" si="59"/>
        <v/>
      </c>
      <c r="EY17" s="11" t="str">
        <f t="shared" si="60"/>
        <v/>
      </c>
      <c r="EZ17" s="11" t="str">
        <f t="shared" si="61"/>
        <v/>
      </c>
      <c r="FA17" s="11" t="str">
        <f t="shared" si="62"/>
        <v/>
      </c>
      <c r="FB17" s="11" t="str">
        <f t="shared" si="63"/>
        <v/>
      </c>
      <c r="FC17" s="11" t="str">
        <f t="shared" si="64"/>
        <v/>
      </c>
      <c r="FD17" s="11" t="str">
        <f t="shared" si="65"/>
        <v/>
      </c>
      <c r="FE17" s="11" t="str">
        <f t="shared" si="66"/>
        <v/>
      </c>
      <c r="FF17" s="11" t="str">
        <f t="shared" si="67"/>
        <v/>
      </c>
      <c r="FG17" s="11" t="str">
        <f t="shared" si="68"/>
        <v/>
      </c>
      <c r="FH17" s="11" t="str">
        <f t="shared" si="69"/>
        <v/>
      </c>
      <c r="FI17" s="11" t="str">
        <f t="shared" si="70"/>
        <v/>
      </c>
      <c r="FJ17" s="11" t="str">
        <f t="shared" si="71"/>
        <v/>
      </c>
      <c r="FK17" s="11" t="str">
        <f t="shared" si="72"/>
        <v/>
      </c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40" t="str">
        <f t="shared" si="73"/>
        <v/>
      </c>
      <c r="GG17" s="40" t="str">
        <f t="shared" si="74"/>
        <v/>
      </c>
      <c r="GH17" s="40" t="str">
        <f t="shared" si="75"/>
        <v/>
      </c>
      <c r="GI17" s="40" t="str">
        <f t="shared" si="76"/>
        <v/>
      </c>
      <c r="GJ17" s="40" t="str">
        <f t="shared" si="77"/>
        <v/>
      </c>
      <c r="GK17" s="40" t="str">
        <f t="shared" si="78"/>
        <v/>
      </c>
      <c r="GL17" s="40" t="str">
        <f t="shared" si="79"/>
        <v/>
      </c>
      <c r="GM17" s="40" t="str">
        <f t="shared" si="80"/>
        <v/>
      </c>
      <c r="GN17" s="40" t="str">
        <f t="shared" si="81"/>
        <v/>
      </c>
      <c r="GO17" s="40" t="str">
        <f t="shared" si="82"/>
        <v/>
      </c>
      <c r="GP17" s="40" t="str">
        <f t="shared" si="83"/>
        <v/>
      </c>
      <c r="GQ17" s="40" t="str">
        <f t="shared" si="84"/>
        <v/>
      </c>
      <c r="GR17" s="40" t="str">
        <f t="shared" si="85"/>
        <v/>
      </c>
      <c r="GS17" s="40" t="str">
        <f t="shared" si="86"/>
        <v/>
      </c>
      <c r="GT17" s="18">
        <v>0.8</v>
      </c>
      <c r="GU17" s="18">
        <v>1</v>
      </c>
      <c r="GV17" s="18">
        <v>2</v>
      </c>
      <c r="GW17" s="18">
        <v>1.84</v>
      </c>
      <c r="GX17" s="18">
        <v>0</v>
      </c>
      <c r="GY17" s="18">
        <v>2.4</v>
      </c>
      <c r="GZ17" s="18">
        <v>2.75</v>
      </c>
      <c r="HA17" s="18">
        <v>5.0999999999999996</v>
      </c>
      <c r="HB17" s="18">
        <v>5.76</v>
      </c>
      <c r="HC17" s="18">
        <v>0</v>
      </c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1">
        <f t="shared" si="87"/>
        <v>2</v>
      </c>
      <c r="HO17" s="11">
        <f t="shared" si="88"/>
        <v>1.84</v>
      </c>
      <c r="HP17" s="11">
        <f t="shared" si="89"/>
        <v>5.64</v>
      </c>
      <c r="HQ17" s="11">
        <f t="shared" si="90"/>
        <v>5.0999999999999996</v>
      </c>
      <c r="HR17" s="11">
        <f t="shared" si="91"/>
        <v>5.76</v>
      </c>
      <c r="HS17" s="11">
        <f t="shared" si="92"/>
        <v>16.009999999999998</v>
      </c>
      <c r="HT17" s="11">
        <f t="shared" si="93"/>
        <v>16.009999999999998</v>
      </c>
      <c r="HU17" s="11" t="str">
        <f t="shared" si="94"/>
        <v/>
      </c>
      <c r="HV17" s="11" t="str">
        <f t="shared" si="95"/>
        <v/>
      </c>
      <c r="HW17" s="11" t="str">
        <f t="shared" si="96"/>
        <v/>
      </c>
      <c r="HX17" s="11" t="str">
        <f t="shared" si="97"/>
        <v/>
      </c>
      <c r="HY17" s="11" t="str">
        <f t="shared" si="98"/>
        <v/>
      </c>
      <c r="HZ17" s="11" t="str">
        <f t="shared" si="99"/>
        <v/>
      </c>
      <c r="IA17" s="11">
        <f t="shared" si="100"/>
        <v>16.009999999999998</v>
      </c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40" t="str">
        <f t="shared" si="101"/>
        <v/>
      </c>
      <c r="IW17" s="40" t="str">
        <f t="shared" si="102"/>
        <v/>
      </c>
      <c r="IX17" s="40" t="str">
        <f t="shared" si="103"/>
        <v/>
      </c>
      <c r="IY17" s="40" t="str">
        <f t="shared" si="104"/>
        <v/>
      </c>
      <c r="IZ17" s="40" t="str">
        <f t="shared" si="105"/>
        <v/>
      </c>
      <c r="JA17" s="40" t="str">
        <f t="shared" si="106"/>
        <v/>
      </c>
      <c r="JB17" s="40" t="str">
        <f t="shared" si="107"/>
        <v/>
      </c>
      <c r="JC17" s="40" t="str">
        <f t="shared" si="108"/>
        <v/>
      </c>
      <c r="JD17" s="40" t="str">
        <f t="shared" si="109"/>
        <v/>
      </c>
      <c r="JE17" s="40" t="str">
        <f t="shared" si="110"/>
        <v/>
      </c>
      <c r="JF17" s="40" t="str">
        <f t="shared" si="111"/>
        <v/>
      </c>
      <c r="JG17" s="40" t="str">
        <f t="shared" si="112"/>
        <v/>
      </c>
      <c r="JH17" s="40" t="str">
        <f t="shared" si="113"/>
        <v/>
      </c>
      <c r="JI17" s="40" t="str">
        <f t="shared" si="114"/>
        <v/>
      </c>
      <c r="JJ17" s="18"/>
      <c r="JK17" s="18"/>
      <c r="JL17" s="18"/>
      <c r="JM17" s="18"/>
      <c r="JN17" s="18"/>
      <c r="JO17" s="18"/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1" t="str">
        <f t="shared" si="115"/>
        <v/>
      </c>
      <c r="KE17" s="11" t="str">
        <f t="shared" si="116"/>
        <v/>
      </c>
      <c r="KF17" s="11" t="str">
        <f t="shared" si="117"/>
        <v/>
      </c>
      <c r="KG17" s="11" t="str">
        <f t="shared" si="118"/>
        <v/>
      </c>
      <c r="KH17" s="11" t="str">
        <f t="shared" si="119"/>
        <v/>
      </c>
      <c r="KI17" s="11" t="str">
        <f t="shared" si="120"/>
        <v/>
      </c>
      <c r="KJ17" s="11" t="str">
        <f t="shared" si="121"/>
        <v/>
      </c>
      <c r="KK17" s="11" t="str">
        <f t="shared" si="122"/>
        <v/>
      </c>
      <c r="KL17" s="11" t="str">
        <f t="shared" si="123"/>
        <v/>
      </c>
      <c r="KM17" s="11" t="str">
        <f t="shared" si="124"/>
        <v/>
      </c>
      <c r="KN17" s="11" t="str">
        <f t="shared" si="125"/>
        <v/>
      </c>
      <c r="KO17" s="11" t="str">
        <f t="shared" si="126"/>
        <v/>
      </c>
      <c r="KP17" s="11" t="str">
        <f t="shared" si="127"/>
        <v/>
      </c>
      <c r="KQ17" s="11" t="str">
        <f t="shared" si="128"/>
        <v/>
      </c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40" t="str">
        <f t="shared" si="129"/>
        <v/>
      </c>
      <c r="LM17" s="40" t="str">
        <f t="shared" si="130"/>
        <v/>
      </c>
      <c r="LN17" s="40" t="str">
        <f t="shared" si="131"/>
        <v/>
      </c>
      <c r="LO17" s="40" t="str">
        <f t="shared" si="132"/>
        <v/>
      </c>
      <c r="LP17" s="40" t="str">
        <f t="shared" si="133"/>
        <v/>
      </c>
      <c r="LQ17" s="40" t="str">
        <f t="shared" si="134"/>
        <v/>
      </c>
      <c r="LR17" s="40" t="str">
        <f t="shared" si="135"/>
        <v/>
      </c>
      <c r="LS17" s="40" t="str">
        <f t="shared" si="136"/>
        <v/>
      </c>
      <c r="LT17" s="40" t="str">
        <f t="shared" si="137"/>
        <v/>
      </c>
      <c r="LU17" s="40" t="str">
        <f t="shared" si="138"/>
        <v/>
      </c>
      <c r="LV17" s="40" t="str">
        <f t="shared" si="139"/>
        <v/>
      </c>
      <c r="LW17" s="40" t="str">
        <f t="shared" si="140"/>
        <v/>
      </c>
      <c r="LX17" s="40" t="str">
        <f t="shared" si="141"/>
        <v/>
      </c>
      <c r="LY17" s="40" t="str">
        <f t="shared" si="142"/>
        <v/>
      </c>
      <c r="LZ17" s="18"/>
      <c r="MA17" s="18"/>
      <c r="MB17" s="18"/>
      <c r="MC17" s="18"/>
      <c r="MD17" s="18"/>
      <c r="ME17" s="18"/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1" t="str">
        <f t="shared" si="143"/>
        <v/>
      </c>
      <c r="MU17" s="11" t="str">
        <f t="shared" si="144"/>
        <v/>
      </c>
      <c r="MV17" s="11" t="str">
        <f t="shared" si="145"/>
        <v/>
      </c>
      <c r="MW17" s="11" t="str">
        <f t="shared" si="146"/>
        <v/>
      </c>
      <c r="MX17" s="11" t="str">
        <f t="shared" si="147"/>
        <v/>
      </c>
      <c r="MY17" s="11" t="str">
        <f t="shared" si="148"/>
        <v/>
      </c>
      <c r="MZ17" s="11" t="str">
        <f t="shared" si="149"/>
        <v/>
      </c>
      <c r="NA17" s="11" t="str">
        <f t="shared" si="150"/>
        <v/>
      </c>
      <c r="NB17" s="11" t="str">
        <f t="shared" si="151"/>
        <v/>
      </c>
      <c r="NC17" s="11" t="str">
        <f t="shared" si="152"/>
        <v/>
      </c>
      <c r="ND17" s="11" t="str">
        <f t="shared" si="153"/>
        <v/>
      </c>
      <c r="NE17" s="11" t="str">
        <f t="shared" si="154"/>
        <v/>
      </c>
      <c r="NF17" s="11" t="str">
        <f t="shared" si="155"/>
        <v/>
      </c>
      <c r="NG17" s="11" t="str">
        <f t="shared" si="156"/>
        <v/>
      </c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40" t="str">
        <f t="shared" si="157"/>
        <v/>
      </c>
      <c r="OC17" s="40" t="str">
        <f t="shared" si="158"/>
        <v/>
      </c>
      <c r="OD17" s="40" t="str">
        <f t="shared" si="159"/>
        <v/>
      </c>
      <c r="OE17" s="40" t="str">
        <f t="shared" si="160"/>
        <v/>
      </c>
      <c r="OF17" s="40" t="str">
        <f t="shared" si="161"/>
        <v/>
      </c>
      <c r="OG17" s="40" t="str">
        <f t="shared" si="162"/>
        <v/>
      </c>
      <c r="OH17" s="40" t="str">
        <f t="shared" si="163"/>
        <v/>
      </c>
      <c r="OI17" s="40" t="str">
        <f t="shared" si="164"/>
        <v/>
      </c>
      <c r="OJ17" s="40" t="str">
        <f t="shared" si="165"/>
        <v/>
      </c>
      <c r="OK17" s="40" t="str">
        <f t="shared" si="166"/>
        <v/>
      </c>
      <c r="OL17" s="40" t="str">
        <f t="shared" si="167"/>
        <v/>
      </c>
      <c r="OM17" s="40" t="str">
        <f t="shared" si="168"/>
        <v/>
      </c>
      <c r="ON17" s="40" t="str">
        <f t="shared" si="169"/>
        <v/>
      </c>
      <c r="OO17" s="40" t="str">
        <f t="shared" si="170"/>
        <v/>
      </c>
      <c r="OP17" s="18"/>
      <c r="OQ17" s="18"/>
      <c r="OR17" s="18"/>
      <c r="OS17" s="18"/>
      <c r="OT17" s="18"/>
      <c r="OU17" s="18"/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1" t="str">
        <f t="shared" si="171"/>
        <v/>
      </c>
      <c r="PK17" s="11" t="str">
        <f t="shared" si="172"/>
        <v/>
      </c>
      <c r="PL17" s="11" t="str">
        <f t="shared" si="173"/>
        <v/>
      </c>
      <c r="PM17" s="11" t="str">
        <f t="shared" si="174"/>
        <v/>
      </c>
      <c r="PN17" s="11" t="str">
        <f t="shared" si="175"/>
        <v/>
      </c>
      <c r="PO17" s="11" t="str">
        <f t="shared" si="176"/>
        <v/>
      </c>
      <c r="PP17" s="11" t="str">
        <f t="shared" si="177"/>
        <v/>
      </c>
      <c r="PQ17" s="11" t="str">
        <f t="shared" si="178"/>
        <v/>
      </c>
      <c r="PR17" s="11" t="str">
        <f t="shared" si="179"/>
        <v/>
      </c>
      <c r="PS17" s="11" t="str">
        <f t="shared" si="180"/>
        <v/>
      </c>
      <c r="PT17" s="11" t="str">
        <f t="shared" si="181"/>
        <v/>
      </c>
      <c r="PU17" s="11" t="str">
        <f t="shared" si="182"/>
        <v/>
      </c>
      <c r="PV17" s="11" t="str">
        <f t="shared" si="183"/>
        <v/>
      </c>
      <c r="PW17" s="11" t="str">
        <f t="shared" si="184"/>
        <v/>
      </c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40" t="str">
        <f t="shared" si="185"/>
        <v/>
      </c>
      <c r="QS17" s="40" t="str">
        <f t="shared" si="186"/>
        <v/>
      </c>
      <c r="QT17" s="40" t="str">
        <f t="shared" si="187"/>
        <v/>
      </c>
      <c r="QU17" s="40" t="str">
        <f t="shared" si="188"/>
        <v/>
      </c>
      <c r="QV17" s="40" t="str">
        <f t="shared" si="189"/>
        <v/>
      </c>
      <c r="QW17" s="40" t="str">
        <f t="shared" si="190"/>
        <v/>
      </c>
      <c r="QX17" s="40" t="str">
        <f t="shared" si="191"/>
        <v/>
      </c>
      <c r="QY17" s="40" t="str">
        <f t="shared" si="192"/>
        <v/>
      </c>
      <c r="QZ17" s="40" t="str">
        <f t="shared" si="193"/>
        <v/>
      </c>
      <c r="RA17" s="40" t="str">
        <f t="shared" si="194"/>
        <v/>
      </c>
      <c r="RB17" s="40" t="str">
        <f t="shared" si="195"/>
        <v/>
      </c>
      <c r="RC17" s="40" t="str">
        <f t="shared" si="196"/>
        <v/>
      </c>
      <c r="RD17" s="40" t="str">
        <f t="shared" si="197"/>
        <v/>
      </c>
      <c r="RE17" s="40" t="str">
        <f t="shared" si="198"/>
        <v/>
      </c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1" t="str">
        <f t="shared" si="199"/>
        <v/>
      </c>
      <c r="SA17" s="11" t="str">
        <f t="shared" si="200"/>
        <v/>
      </c>
      <c r="SB17" s="11" t="str">
        <f t="shared" si="201"/>
        <v/>
      </c>
      <c r="SC17" s="11" t="str">
        <f t="shared" si="202"/>
        <v/>
      </c>
      <c r="SD17" s="11" t="str">
        <f t="shared" si="203"/>
        <v/>
      </c>
      <c r="SE17" s="11" t="str">
        <f t="shared" si="204"/>
        <v/>
      </c>
      <c r="SF17" s="11" t="str">
        <f t="shared" si="205"/>
        <v/>
      </c>
      <c r="SG17" s="11" t="str">
        <f t="shared" si="206"/>
        <v/>
      </c>
      <c r="SH17" s="11" t="str">
        <f t="shared" si="207"/>
        <v/>
      </c>
      <c r="SI17" s="11" t="str">
        <f t="shared" si="208"/>
        <v/>
      </c>
      <c r="SJ17" s="11" t="str">
        <f t="shared" si="209"/>
        <v/>
      </c>
      <c r="SK17" s="11" t="str">
        <f t="shared" si="210"/>
        <v/>
      </c>
      <c r="SL17" s="11" t="str">
        <f t="shared" si="211"/>
        <v/>
      </c>
      <c r="SM17" s="11" t="str">
        <f t="shared" si="212"/>
        <v/>
      </c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40" t="str">
        <f t="shared" si="213"/>
        <v/>
      </c>
      <c r="TI17" s="40" t="str">
        <f t="shared" si="214"/>
        <v/>
      </c>
      <c r="TJ17" s="40" t="str">
        <f t="shared" si="215"/>
        <v/>
      </c>
      <c r="TK17" s="40" t="str">
        <f t="shared" si="216"/>
        <v/>
      </c>
      <c r="TL17" s="40" t="str">
        <f t="shared" si="217"/>
        <v/>
      </c>
      <c r="TM17" s="40" t="str">
        <f t="shared" si="218"/>
        <v/>
      </c>
      <c r="TN17" s="40" t="str">
        <f t="shared" si="219"/>
        <v/>
      </c>
      <c r="TO17" s="40" t="str">
        <f t="shared" si="220"/>
        <v/>
      </c>
      <c r="TP17" s="40" t="str">
        <f t="shared" si="221"/>
        <v/>
      </c>
      <c r="TQ17" s="40" t="str">
        <f t="shared" si="222"/>
        <v/>
      </c>
      <c r="TR17" s="40" t="str">
        <f t="shared" si="223"/>
        <v/>
      </c>
      <c r="TS17" s="40" t="str">
        <f t="shared" si="224"/>
        <v/>
      </c>
      <c r="TT17" s="40" t="str">
        <f t="shared" si="225"/>
        <v/>
      </c>
      <c r="TU17" s="40" t="str">
        <f t="shared" si="226"/>
        <v/>
      </c>
      <c r="TV17" s="18"/>
      <c r="TW17" s="18"/>
      <c r="TX17" s="18"/>
      <c r="TY17" s="18"/>
      <c r="TZ17" s="18"/>
      <c r="UA17" s="18"/>
      <c r="UB17" s="18"/>
      <c r="UC17" s="18"/>
      <c r="UD17" s="18"/>
      <c r="UE17" s="18"/>
      <c r="UF17" s="18"/>
      <c r="UG17" s="18"/>
      <c r="UH17" s="18"/>
      <c r="UI17" s="18"/>
      <c r="UJ17" s="18"/>
      <c r="UK17" s="18"/>
      <c r="UL17" s="18"/>
      <c r="UM17" s="18"/>
      <c r="UN17" s="18"/>
      <c r="UO17" s="18"/>
      <c r="UP17" s="11" t="str">
        <f t="shared" si="227"/>
        <v/>
      </c>
      <c r="UQ17" s="11" t="str">
        <f t="shared" si="228"/>
        <v/>
      </c>
      <c r="UR17" s="11" t="str">
        <f t="shared" si="229"/>
        <v/>
      </c>
      <c r="US17" s="11" t="str">
        <f t="shared" si="230"/>
        <v/>
      </c>
      <c r="UT17" s="11" t="str">
        <f t="shared" si="231"/>
        <v/>
      </c>
      <c r="UU17" s="11" t="str">
        <f t="shared" si="232"/>
        <v/>
      </c>
      <c r="UV17" s="11" t="str">
        <f t="shared" si="233"/>
        <v/>
      </c>
      <c r="UW17" s="11" t="str">
        <f t="shared" si="234"/>
        <v/>
      </c>
      <c r="UX17" s="11" t="str">
        <f t="shared" si="235"/>
        <v/>
      </c>
      <c r="UY17" s="11" t="str">
        <f t="shared" si="236"/>
        <v/>
      </c>
      <c r="UZ17" s="11" t="str">
        <f t="shared" si="237"/>
        <v/>
      </c>
      <c r="VA17" s="11" t="str">
        <f t="shared" si="238"/>
        <v/>
      </c>
      <c r="VB17" s="11" t="str">
        <f t="shared" si="239"/>
        <v/>
      </c>
      <c r="VC17" s="11" t="str">
        <f t="shared" si="240"/>
        <v/>
      </c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40" t="str">
        <f t="shared" si="241"/>
        <v/>
      </c>
      <c r="VY17" s="40" t="str">
        <f t="shared" si="242"/>
        <v/>
      </c>
      <c r="VZ17" s="40" t="str">
        <f t="shared" si="243"/>
        <v/>
      </c>
      <c r="WA17" s="40" t="str">
        <f t="shared" si="244"/>
        <v/>
      </c>
      <c r="WB17" s="40" t="str">
        <f t="shared" si="245"/>
        <v/>
      </c>
      <c r="WC17" s="40" t="str">
        <f t="shared" si="246"/>
        <v/>
      </c>
      <c r="WD17" s="40" t="str">
        <f t="shared" si="247"/>
        <v/>
      </c>
      <c r="WE17" s="40" t="str">
        <f t="shared" si="248"/>
        <v/>
      </c>
      <c r="WF17" s="40" t="str">
        <f t="shared" si="249"/>
        <v/>
      </c>
      <c r="WG17" s="40" t="str">
        <f t="shared" si="250"/>
        <v/>
      </c>
      <c r="WH17" s="40" t="str">
        <f t="shared" si="251"/>
        <v/>
      </c>
      <c r="WI17" s="40" t="str">
        <f t="shared" si="252"/>
        <v/>
      </c>
      <c r="WJ17" s="40" t="str">
        <f t="shared" si="253"/>
        <v/>
      </c>
      <c r="WK17" s="40" t="str">
        <f t="shared" si="254"/>
        <v/>
      </c>
      <c r="WL17" s="26">
        <f t="shared" si="255"/>
        <v>0</v>
      </c>
      <c r="WM17" s="26">
        <f t="shared" si="256"/>
        <v>0</v>
      </c>
      <c r="WN17" s="26">
        <f t="shared" si="257"/>
        <v>0</v>
      </c>
      <c r="WO17" s="26">
        <f t="shared" si="258"/>
        <v>0</v>
      </c>
      <c r="WP17" s="26">
        <f t="shared" si="259"/>
        <v>0</v>
      </c>
      <c r="WQ17" s="26">
        <f t="shared" si="260"/>
        <v>0</v>
      </c>
      <c r="WR17" s="26">
        <f t="shared" si="261"/>
        <v>0</v>
      </c>
      <c r="WS17" s="26">
        <f t="shared" si="262"/>
        <v>0</v>
      </c>
      <c r="WT17" s="26">
        <f t="shared" si="263"/>
        <v>0</v>
      </c>
      <c r="WU17" s="26">
        <f t="shared" si="264"/>
        <v>0</v>
      </c>
      <c r="WV17" s="26">
        <f t="shared" si="265"/>
        <v>0</v>
      </c>
      <c r="WW17" s="26">
        <f t="shared" si="266"/>
        <v>0</v>
      </c>
      <c r="WX17" s="26">
        <f t="shared" si="267"/>
        <v>0</v>
      </c>
      <c r="WY17" s="26">
        <f t="shared" si="268"/>
        <v>0</v>
      </c>
      <c r="WZ17" s="26">
        <f t="shared" si="269"/>
        <v>0</v>
      </c>
      <c r="XA17" s="28" t="s">
        <v>53</v>
      </c>
      <c r="XB17" s="11" t="str">
        <f t="shared" si="270"/>
        <v/>
      </c>
      <c r="XC17" s="11" t="str">
        <f t="shared" si="271"/>
        <v/>
      </c>
      <c r="XD17" s="11" t="str">
        <f t="shared" si="272"/>
        <v/>
      </c>
      <c r="XE17" s="11" t="str">
        <f t="shared" si="273"/>
        <v/>
      </c>
      <c r="XF17" s="11" t="str">
        <f t="shared" si="274"/>
        <v/>
      </c>
      <c r="XG17" s="11" t="str">
        <f t="shared" si="275"/>
        <v/>
      </c>
      <c r="XH17" s="11" t="str">
        <f t="shared" si="276"/>
        <v/>
      </c>
      <c r="XI17" s="11" t="str">
        <f t="shared" si="277"/>
        <v/>
      </c>
      <c r="XJ17" s="11" t="str">
        <f t="shared" si="278"/>
        <v/>
      </c>
      <c r="XK17" s="11" t="str">
        <f t="shared" si="279"/>
        <v/>
      </c>
      <c r="XL17" s="11" t="str">
        <f t="shared" si="280"/>
        <v/>
      </c>
    </row>
    <row r="18" spans="1:636" x14ac:dyDescent="0.2">
      <c r="A18" s="4" t="str" cm="1">
        <f t="array" ref="A18">IF(AND(H18&lt;&gt;"",H18&lt;&gt;"No DD"),SUMPRODUCT((H$4:H$19&lt;&gt;"")*(H$4:H$19&lt;&gt;"No DD")*(E$4:E$19&gt;E18))+1,IF(H18="No DD",SUMPRODUCT((H$4:H$19="No DD")*(E$4:E$19&gt;E18))+1+SUMPRODUCT((H$4:H$19&lt;&gt;"")*(H$4:H$19&lt;&gt;"No DD")),""))</f>
        <v/>
      </c>
      <c r="B18" s="5" t="s">
        <v>236</v>
      </c>
      <c r="C18" s="4" t="s">
        <v>3</v>
      </c>
      <c r="D18" s="4" t="s">
        <v>206</v>
      </c>
      <c r="E18" s="9">
        <f t="shared" si="0"/>
        <v>4.75</v>
      </c>
      <c r="F18" s="3" t="str">
        <f t="shared" si="1"/>
        <v/>
      </c>
      <c r="G18" s="3" t="str">
        <f t="shared" si="2"/>
        <v/>
      </c>
      <c r="H18" s="36" t="str">
        <f t="shared" si="3"/>
        <v/>
      </c>
      <c r="I18" s="3" t="str">
        <f t="shared" si="4"/>
        <v/>
      </c>
      <c r="J18" s="8">
        <f>IF(COUNT(AI18,AL18,AP18,BJ18,BM18,BQ18,CK18,CN18,CR18)&gt;0,LARGE((AI18,AL18,AP18,BJ18,BM18,BQ18,CK18,CN18,CR18),1),0)</f>
        <v>4.75</v>
      </c>
      <c r="K18" s="8" t="str">
        <f t="shared" si="5"/>
        <v>2024 Nationals</v>
      </c>
      <c r="L18" s="8">
        <f>IF(COUNT(AI18,AL18,AP18,BJ18,BM18,BQ18,CK18,CN18,CR18)&gt;1,LARGE((AI18,AL18,AP18,BJ18,BM18,BQ18,CK18,CN18,CR18),2),0)</f>
        <v>0</v>
      </c>
      <c r="M18" s="8" t="str">
        <f t="shared" si="6"/>
        <v/>
      </c>
      <c r="N18" s="8" t="str">
        <f t="shared" si="7"/>
        <v/>
      </c>
      <c r="O18" s="11" t="str">
        <f t="shared" si="8"/>
        <v/>
      </c>
      <c r="P18" s="8" t="str">
        <f t="shared" si="9"/>
        <v/>
      </c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7"/>
      <c r="AG18" s="38" t="str">
        <f t="shared" si="10"/>
        <v/>
      </c>
      <c r="AH18" s="38" t="str">
        <f t="shared" si="11"/>
        <v/>
      </c>
      <c r="AI18" s="40" t="str">
        <f t="shared" si="12"/>
        <v/>
      </c>
      <c r="AJ18" s="40" t="str">
        <f t="shared" si="13"/>
        <v/>
      </c>
      <c r="AK18" s="40" t="str">
        <f t="shared" si="14"/>
        <v/>
      </c>
      <c r="AL18" s="40" t="str">
        <f t="shared" si="15"/>
        <v/>
      </c>
      <c r="AM18" s="40" t="str">
        <f t="shared" si="16"/>
        <v/>
      </c>
      <c r="AN18" s="40" t="str">
        <f t="shared" si="17"/>
        <v/>
      </c>
      <c r="AO18" s="40" t="str">
        <f t="shared" si="18"/>
        <v/>
      </c>
      <c r="AP18" s="40" t="str">
        <f t="shared" si="19"/>
        <v/>
      </c>
      <c r="AQ18" s="40" t="str">
        <f t="shared" si="20"/>
        <v/>
      </c>
      <c r="AR18" s="26">
        <v>0.65</v>
      </c>
      <c r="AS18" s="26">
        <v>1</v>
      </c>
      <c r="AT18" s="26">
        <v>1.5</v>
      </c>
      <c r="AU18" s="26">
        <v>1.6</v>
      </c>
      <c r="AV18" s="26">
        <v>0</v>
      </c>
      <c r="AW18" s="26">
        <v>0</v>
      </c>
      <c r="AX18" s="26">
        <v>0</v>
      </c>
      <c r="AY18" s="26">
        <v>0</v>
      </c>
      <c r="AZ18" s="26">
        <v>0</v>
      </c>
      <c r="BA18" s="26">
        <v>0</v>
      </c>
      <c r="BB18" s="26"/>
      <c r="BC18" s="26"/>
      <c r="BD18" s="26"/>
      <c r="BE18" s="26"/>
      <c r="BF18" s="26"/>
      <c r="BG18" s="28"/>
      <c r="BH18" s="39">
        <f t="shared" si="21"/>
        <v>1.5</v>
      </c>
      <c r="BI18" s="39">
        <f t="shared" si="22"/>
        <v>1.6</v>
      </c>
      <c r="BJ18" s="11">
        <f t="shared" si="23"/>
        <v>4.75</v>
      </c>
      <c r="BK18" s="11" t="str">
        <f t="shared" si="24"/>
        <v/>
      </c>
      <c r="BL18" s="11" t="str">
        <f t="shared" si="25"/>
        <v/>
      </c>
      <c r="BM18" s="11" t="str">
        <f t="shared" si="26"/>
        <v/>
      </c>
      <c r="BN18" s="11">
        <f t="shared" si="27"/>
        <v>4.75</v>
      </c>
      <c r="BO18" s="11" t="str">
        <f t="shared" si="28"/>
        <v/>
      </c>
      <c r="BP18" s="11" t="str">
        <f t="shared" si="29"/>
        <v/>
      </c>
      <c r="BQ18" s="11" t="str">
        <f t="shared" si="30"/>
        <v/>
      </c>
      <c r="BR18" s="11">
        <f t="shared" si="31"/>
        <v>4.75</v>
      </c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7"/>
      <c r="CI18" s="38" t="str">
        <f t="shared" si="32"/>
        <v/>
      </c>
      <c r="CJ18" s="38" t="str">
        <f t="shared" si="33"/>
        <v/>
      </c>
      <c r="CK18" s="40" t="str">
        <f t="shared" si="34"/>
        <v/>
      </c>
      <c r="CL18" s="40" t="str">
        <f t="shared" si="35"/>
        <v/>
      </c>
      <c r="CM18" s="40" t="str">
        <f t="shared" si="36"/>
        <v/>
      </c>
      <c r="CN18" s="40" t="str">
        <f t="shared" si="37"/>
        <v/>
      </c>
      <c r="CO18" s="40" t="str">
        <f t="shared" si="38"/>
        <v/>
      </c>
      <c r="CP18" s="40" t="str">
        <f t="shared" si="39"/>
        <v/>
      </c>
      <c r="CQ18" s="40" t="str">
        <f t="shared" si="40"/>
        <v/>
      </c>
      <c r="CR18" s="40" t="str">
        <f t="shared" si="41"/>
        <v/>
      </c>
      <c r="CS18" s="40" t="str">
        <f t="shared" si="42"/>
        <v/>
      </c>
      <c r="CT18" s="51" t="str">
        <f t="shared" si="43"/>
        <v/>
      </c>
      <c r="CU18" s="51" t="str">
        <f t="shared" si="44"/>
        <v/>
      </c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40" t="str">
        <f t="shared" si="45"/>
        <v/>
      </c>
      <c r="DQ18" s="40" t="str">
        <f t="shared" si="46"/>
        <v/>
      </c>
      <c r="DR18" s="40" t="str">
        <f t="shared" si="47"/>
        <v/>
      </c>
      <c r="DS18" s="40" t="str">
        <f t="shared" si="48"/>
        <v/>
      </c>
      <c r="DT18" s="40" t="str">
        <f t="shared" si="49"/>
        <v/>
      </c>
      <c r="DU18" s="40" t="str">
        <f t="shared" si="50"/>
        <v/>
      </c>
      <c r="DV18" s="40" t="str">
        <f t="shared" si="51"/>
        <v/>
      </c>
      <c r="DW18" s="40" t="str">
        <f t="shared" si="52"/>
        <v/>
      </c>
      <c r="DX18" s="40" t="str">
        <f t="shared" si="53"/>
        <v/>
      </c>
      <c r="DY18" s="40" t="str">
        <f t="shared" si="54"/>
        <v/>
      </c>
      <c r="DZ18" s="40" t="str">
        <f t="shared" si="55"/>
        <v/>
      </c>
      <c r="EA18" s="40" t="str">
        <f t="shared" si="56"/>
        <v/>
      </c>
      <c r="EB18" s="40" t="str">
        <f t="shared" si="57"/>
        <v/>
      </c>
      <c r="EC18" s="40" t="str">
        <f t="shared" si="58"/>
        <v/>
      </c>
      <c r="ED18" s="18"/>
      <c r="EE18" s="18"/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1" t="str">
        <f t="shared" si="59"/>
        <v/>
      </c>
      <c r="EY18" s="11" t="str">
        <f t="shared" si="60"/>
        <v/>
      </c>
      <c r="EZ18" s="11" t="str">
        <f t="shared" si="61"/>
        <v/>
      </c>
      <c r="FA18" s="11" t="str">
        <f t="shared" si="62"/>
        <v/>
      </c>
      <c r="FB18" s="11" t="str">
        <f t="shared" si="63"/>
        <v/>
      </c>
      <c r="FC18" s="11" t="str">
        <f t="shared" si="64"/>
        <v/>
      </c>
      <c r="FD18" s="11" t="str">
        <f t="shared" si="65"/>
        <v/>
      </c>
      <c r="FE18" s="11" t="str">
        <f t="shared" si="66"/>
        <v/>
      </c>
      <c r="FF18" s="11" t="str">
        <f t="shared" si="67"/>
        <v/>
      </c>
      <c r="FG18" s="11" t="str">
        <f t="shared" si="68"/>
        <v/>
      </c>
      <c r="FH18" s="11" t="str">
        <f t="shared" si="69"/>
        <v/>
      </c>
      <c r="FI18" s="11" t="str">
        <f t="shared" si="70"/>
        <v/>
      </c>
      <c r="FJ18" s="11" t="str">
        <f t="shared" si="71"/>
        <v/>
      </c>
      <c r="FK18" s="11" t="str">
        <f t="shared" si="72"/>
        <v/>
      </c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40" t="str">
        <f t="shared" si="73"/>
        <v/>
      </c>
      <c r="GG18" s="40" t="str">
        <f t="shared" si="74"/>
        <v/>
      </c>
      <c r="GH18" s="40" t="str">
        <f t="shared" si="75"/>
        <v/>
      </c>
      <c r="GI18" s="40" t="str">
        <f t="shared" si="76"/>
        <v/>
      </c>
      <c r="GJ18" s="40" t="str">
        <f t="shared" si="77"/>
        <v/>
      </c>
      <c r="GK18" s="40" t="str">
        <f t="shared" si="78"/>
        <v/>
      </c>
      <c r="GL18" s="40" t="str">
        <f t="shared" si="79"/>
        <v/>
      </c>
      <c r="GM18" s="40" t="str">
        <f t="shared" si="80"/>
        <v/>
      </c>
      <c r="GN18" s="40" t="str">
        <f t="shared" si="81"/>
        <v/>
      </c>
      <c r="GO18" s="40" t="str">
        <f t="shared" si="82"/>
        <v/>
      </c>
      <c r="GP18" s="40" t="str">
        <f t="shared" si="83"/>
        <v/>
      </c>
      <c r="GQ18" s="40" t="str">
        <f t="shared" si="84"/>
        <v/>
      </c>
      <c r="GR18" s="40" t="str">
        <f t="shared" si="85"/>
        <v/>
      </c>
      <c r="GS18" s="40" t="str">
        <f t="shared" si="86"/>
        <v/>
      </c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1" t="str">
        <f t="shared" si="87"/>
        <v/>
      </c>
      <c r="HO18" s="11" t="str">
        <f t="shared" si="88"/>
        <v/>
      </c>
      <c r="HP18" s="11" t="str">
        <f t="shared" si="89"/>
        <v/>
      </c>
      <c r="HQ18" s="11" t="str">
        <f t="shared" si="90"/>
        <v/>
      </c>
      <c r="HR18" s="11" t="str">
        <f t="shared" si="91"/>
        <v/>
      </c>
      <c r="HS18" s="11" t="str">
        <f t="shared" si="92"/>
        <v/>
      </c>
      <c r="HT18" s="11" t="str">
        <f t="shared" si="93"/>
        <v/>
      </c>
      <c r="HU18" s="11" t="str">
        <f t="shared" si="94"/>
        <v/>
      </c>
      <c r="HV18" s="11" t="str">
        <f t="shared" si="95"/>
        <v/>
      </c>
      <c r="HW18" s="11" t="str">
        <f t="shared" si="96"/>
        <v/>
      </c>
      <c r="HX18" s="11" t="str">
        <f t="shared" si="97"/>
        <v/>
      </c>
      <c r="HY18" s="11" t="str">
        <f t="shared" si="98"/>
        <v/>
      </c>
      <c r="HZ18" s="11" t="str">
        <f t="shared" si="99"/>
        <v/>
      </c>
      <c r="IA18" s="11" t="str">
        <f t="shared" si="100"/>
        <v/>
      </c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40" t="str">
        <f t="shared" si="101"/>
        <v/>
      </c>
      <c r="IW18" s="40" t="str">
        <f t="shared" si="102"/>
        <v/>
      </c>
      <c r="IX18" s="40" t="str">
        <f t="shared" si="103"/>
        <v/>
      </c>
      <c r="IY18" s="40" t="str">
        <f t="shared" si="104"/>
        <v/>
      </c>
      <c r="IZ18" s="40" t="str">
        <f t="shared" si="105"/>
        <v/>
      </c>
      <c r="JA18" s="40" t="str">
        <f t="shared" si="106"/>
        <v/>
      </c>
      <c r="JB18" s="40" t="str">
        <f t="shared" si="107"/>
        <v/>
      </c>
      <c r="JC18" s="40" t="str">
        <f t="shared" si="108"/>
        <v/>
      </c>
      <c r="JD18" s="40" t="str">
        <f t="shared" si="109"/>
        <v/>
      </c>
      <c r="JE18" s="40" t="str">
        <f t="shared" si="110"/>
        <v/>
      </c>
      <c r="JF18" s="40" t="str">
        <f t="shared" si="111"/>
        <v/>
      </c>
      <c r="JG18" s="40" t="str">
        <f t="shared" si="112"/>
        <v/>
      </c>
      <c r="JH18" s="40" t="str">
        <f t="shared" si="113"/>
        <v/>
      </c>
      <c r="JI18" s="40" t="str">
        <f t="shared" si="114"/>
        <v/>
      </c>
      <c r="JJ18" s="18"/>
      <c r="JK18" s="18"/>
      <c r="JL18" s="18"/>
      <c r="JM18" s="18"/>
      <c r="JN18" s="18"/>
      <c r="JO18" s="18"/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1" t="str">
        <f t="shared" si="115"/>
        <v/>
      </c>
      <c r="KE18" s="11" t="str">
        <f t="shared" si="116"/>
        <v/>
      </c>
      <c r="KF18" s="11" t="str">
        <f t="shared" si="117"/>
        <v/>
      </c>
      <c r="KG18" s="11" t="str">
        <f t="shared" si="118"/>
        <v/>
      </c>
      <c r="KH18" s="11" t="str">
        <f t="shared" si="119"/>
        <v/>
      </c>
      <c r="KI18" s="11" t="str">
        <f t="shared" si="120"/>
        <v/>
      </c>
      <c r="KJ18" s="11" t="str">
        <f t="shared" si="121"/>
        <v/>
      </c>
      <c r="KK18" s="11" t="str">
        <f t="shared" si="122"/>
        <v/>
      </c>
      <c r="KL18" s="11" t="str">
        <f t="shared" si="123"/>
        <v/>
      </c>
      <c r="KM18" s="11" t="str">
        <f t="shared" si="124"/>
        <v/>
      </c>
      <c r="KN18" s="11" t="str">
        <f t="shared" si="125"/>
        <v/>
      </c>
      <c r="KO18" s="11" t="str">
        <f t="shared" si="126"/>
        <v/>
      </c>
      <c r="KP18" s="11" t="str">
        <f t="shared" si="127"/>
        <v/>
      </c>
      <c r="KQ18" s="11" t="str">
        <f t="shared" si="128"/>
        <v/>
      </c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40" t="str">
        <f t="shared" si="129"/>
        <v/>
      </c>
      <c r="LM18" s="40" t="str">
        <f t="shared" si="130"/>
        <v/>
      </c>
      <c r="LN18" s="40" t="str">
        <f t="shared" si="131"/>
        <v/>
      </c>
      <c r="LO18" s="40" t="str">
        <f t="shared" si="132"/>
        <v/>
      </c>
      <c r="LP18" s="40" t="str">
        <f t="shared" si="133"/>
        <v/>
      </c>
      <c r="LQ18" s="40" t="str">
        <f t="shared" si="134"/>
        <v/>
      </c>
      <c r="LR18" s="40" t="str">
        <f t="shared" si="135"/>
        <v/>
      </c>
      <c r="LS18" s="40" t="str">
        <f t="shared" si="136"/>
        <v/>
      </c>
      <c r="LT18" s="40" t="str">
        <f t="shared" si="137"/>
        <v/>
      </c>
      <c r="LU18" s="40" t="str">
        <f t="shared" si="138"/>
        <v/>
      </c>
      <c r="LV18" s="40" t="str">
        <f t="shared" si="139"/>
        <v/>
      </c>
      <c r="LW18" s="40" t="str">
        <f t="shared" si="140"/>
        <v/>
      </c>
      <c r="LX18" s="40" t="str">
        <f t="shared" si="141"/>
        <v/>
      </c>
      <c r="LY18" s="40" t="str">
        <f t="shared" si="142"/>
        <v/>
      </c>
      <c r="LZ18" s="18"/>
      <c r="MA18" s="18"/>
      <c r="MB18" s="18"/>
      <c r="MC18" s="18"/>
      <c r="MD18" s="18"/>
      <c r="ME18" s="18"/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1" t="str">
        <f t="shared" si="143"/>
        <v/>
      </c>
      <c r="MU18" s="11" t="str">
        <f t="shared" si="144"/>
        <v/>
      </c>
      <c r="MV18" s="11" t="str">
        <f t="shared" si="145"/>
        <v/>
      </c>
      <c r="MW18" s="11" t="str">
        <f t="shared" si="146"/>
        <v/>
      </c>
      <c r="MX18" s="11" t="str">
        <f t="shared" si="147"/>
        <v/>
      </c>
      <c r="MY18" s="11" t="str">
        <f t="shared" si="148"/>
        <v/>
      </c>
      <c r="MZ18" s="11" t="str">
        <f t="shared" si="149"/>
        <v/>
      </c>
      <c r="NA18" s="11" t="str">
        <f t="shared" si="150"/>
        <v/>
      </c>
      <c r="NB18" s="11" t="str">
        <f t="shared" si="151"/>
        <v/>
      </c>
      <c r="NC18" s="11" t="str">
        <f t="shared" si="152"/>
        <v/>
      </c>
      <c r="ND18" s="11" t="str">
        <f t="shared" si="153"/>
        <v/>
      </c>
      <c r="NE18" s="11" t="str">
        <f t="shared" si="154"/>
        <v/>
      </c>
      <c r="NF18" s="11" t="str">
        <f t="shared" si="155"/>
        <v/>
      </c>
      <c r="NG18" s="11" t="str">
        <f t="shared" si="156"/>
        <v/>
      </c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40" t="str">
        <f t="shared" si="157"/>
        <v/>
      </c>
      <c r="OC18" s="40" t="str">
        <f t="shared" si="158"/>
        <v/>
      </c>
      <c r="OD18" s="40" t="str">
        <f t="shared" si="159"/>
        <v/>
      </c>
      <c r="OE18" s="40" t="str">
        <f t="shared" si="160"/>
        <v/>
      </c>
      <c r="OF18" s="40" t="str">
        <f t="shared" si="161"/>
        <v/>
      </c>
      <c r="OG18" s="40" t="str">
        <f t="shared" si="162"/>
        <v/>
      </c>
      <c r="OH18" s="40" t="str">
        <f t="shared" si="163"/>
        <v/>
      </c>
      <c r="OI18" s="40" t="str">
        <f t="shared" si="164"/>
        <v/>
      </c>
      <c r="OJ18" s="40" t="str">
        <f t="shared" si="165"/>
        <v/>
      </c>
      <c r="OK18" s="40" t="str">
        <f t="shared" si="166"/>
        <v/>
      </c>
      <c r="OL18" s="40" t="str">
        <f t="shared" si="167"/>
        <v/>
      </c>
      <c r="OM18" s="40" t="str">
        <f t="shared" si="168"/>
        <v/>
      </c>
      <c r="ON18" s="40" t="str">
        <f t="shared" si="169"/>
        <v/>
      </c>
      <c r="OO18" s="40" t="str">
        <f t="shared" si="170"/>
        <v/>
      </c>
      <c r="OP18" s="18"/>
      <c r="OQ18" s="18"/>
      <c r="OR18" s="18"/>
      <c r="OS18" s="18"/>
      <c r="OT18" s="18"/>
      <c r="OU18" s="18"/>
      <c r="OV18" s="18"/>
      <c r="OW18" s="18"/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1" t="str">
        <f t="shared" si="171"/>
        <v/>
      </c>
      <c r="PK18" s="11" t="str">
        <f t="shared" si="172"/>
        <v/>
      </c>
      <c r="PL18" s="11" t="str">
        <f t="shared" si="173"/>
        <v/>
      </c>
      <c r="PM18" s="11" t="str">
        <f t="shared" si="174"/>
        <v/>
      </c>
      <c r="PN18" s="11" t="str">
        <f t="shared" si="175"/>
        <v/>
      </c>
      <c r="PO18" s="11" t="str">
        <f t="shared" si="176"/>
        <v/>
      </c>
      <c r="PP18" s="11" t="str">
        <f t="shared" si="177"/>
        <v/>
      </c>
      <c r="PQ18" s="11" t="str">
        <f t="shared" si="178"/>
        <v/>
      </c>
      <c r="PR18" s="11" t="str">
        <f t="shared" si="179"/>
        <v/>
      </c>
      <c r="PS18" s="11" t="str">
        <f t="shared" si="180"/>
        <v/>
      </c>
      <c r="PT18" s="11" t="str">
        <f t="shared" si="181"/>
        <v/>
      </c>
      <c r="PU18" s="11" t="str">
        <f t="shared" si="182"/>
        <v/>
      </c>
      <c r="PV18" s="11" t="str">
        <f t="shared" si="183"/>
        <v/>
      </c>
      <c r="PW18" s="11" t="str">
        <f t="shared" si="184"/>
        <v/>
      </c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40" t="str">
        <f t="shared" si="185"/>
        <v/>
      </c>
      <c r="QS18" s="40" t="str">
        <f t="shared" si="186"/>
        <v/>
      </c>
      <c r="QT18" s="40" t="str">
        <f t="shared" si="187"/>
        <v/>
      </c>
      <c r="QU18" s="40" t="str">
        <f t="shared" si="188"/>
        <v/>
      </c>
      <c r="QV18" s="40" t="str">
        <f t="shared" si="189"/>
        <v/>
      </c>
      <c r="QW18" s="40" t="str">
        <f t="shared" si="190"/>
        <v/>
      </c>
      <c r="QX18" s="40" t="str">
        <f t="shared" si="191"/>
        <v/>
      </c>
      <c r="QY18" s="40" t="str">
        <f t="shared" si="192"/>
        <v/>
      </c>
      <c r="QZ18" s="40" t="str">
        <f t="shared" si="193"/>
        <v/>
      </c>
      <c r="RA18" s="40" t="str">
        <f t="shared" si="194"/>
        <v/>
      </c>
      <c r="RB18" s="40" t="str">
        <f t="shared" si="195"/>
        <v/>
      </c>
      <c r="RC18" s="40" t="str">
        <f t="shared" si="196"/>
        <v/>
      </c>
      <c r="RD18" s="40" t="str">
        <f t="shared" si="197"/>
        <v/>
      </c>
      <c r="RE18" s="40" t="str">
        <f t="shared" si="198"/>
        <v/>
      </c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1" t="str">
        <f t="shared" si="199"/>
        <v/>
      </c>
      <c r="SA18" s="11" t="str">
        <f t="shared" si="200"/>
        <v/>
      </c>
      <c r="SB18" s="11" t="str">
        <f t="shared" si="201"/>
        <v/>
      </c>
      <c r="SC18" s="11" t="str">
        <f t="shared" si="202"/>
        <v/>
      </c>
      <c r="SD18" s="11" t="str">
        <f t="shared" si="203"/>
        <v/>
      </c>
      <c r="SE18" s="11" t="str">
        <f t="shared" si="204"/>
        <v/>
      </c>
      <c r="SF18" s="11" t="str">
        <f t="shared" si="205"/>
        <v/>
      </c>
      <c r="SG18" s="11" t="str">
        <f t="shared" si="206"/>
        <v/>
      </c>
      <c r="SH18" s="11" t="str">
        <f t="shared" si="207"/>
        <v/>
      </c>
      <c r="SI18" s="11" t="str">
        <f t="shared" si="208"/>
        <v/>
      </c>
      <c r="SJ18" s="11" t="str">
        <f t="shared" si="209"/>
        <v/>
      </c>
      <c r="SK18" s="11" t="str">
        <f t="shared" si="210"/>
        <v/>
      </c>
      <c r="SL18" s="11" t="str">
        <f t="shared" si="211"/>
        <v/>
      </c>
      <c r="SM18" s="11" t="str">
        <f t="shared" si="212"/>
        <v/>
      </c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40" t="str">
        <f t="shared" si="213"/>
        <v/>
      </c>
      <c r="TI18" s="40" t="str">
        <f t="shared" si="214"/>
        <v/>
      </c>
      <c r="TJ18" s="40" t="str">
        <f t="shared" si="215"/>
        <v/>
      </c>
      <c r="TK18" s="40" t="str">
        <f t="shared" si="216"/>
        <v/>
      </c>
      <c r="TL18" s="40" t="str">
        <f t="shared" si="217"/>
        <v/>
      </c>
      <c r="TM18" s="40" t="str">
        <f t="shared" si="218"/>
        <v/>
      </c>
      <c r="TN18" s="40" t="str">
        <f t="shared" si="219"/>
        <v/>
      </c>
      <c r="TO18" s="40" t="str">
        <f t="shared" si="220"/>
        <v/>
      </c>
      <c r="TP18" s="40" t="str">
        <f t="shared" si="221"/>
        <v/>
      </c>
      <c r="TQ18" s="40" t="str">
        <f t="shared" si="222"/>
        <v/>
      </c>
      <c r="TR18" s="40" t="str">
        <f t="shared" si="223"/>
        <v/>
      </c>
      <c r="TS18" s="40" t="str">
        <f t="shared" si="224"/>
        <v/>
      </c>
      <c r="TT18" s="40" t="str">
        <f t="shared" si="225"/>
        <v/>
      </c>
      <c r="TU18" s="40" t="str">
        <f t="shared" si="226"/>
        <v/>
      </c>
      <c r="TV18" s="18"/>
      <c r="TW18" s="18"/>
      <c r="TX18" s="18"/>
      <c r="TY18" s="18"/>
      <c r="TZ18" s="18"/>
      <c r="UA18" s="18"/>
      <c r="UB18" s="18"/>
      <c r="UC18" s="18"/>
      <c r="UD18" s="18"/>
      <c r="UE18" s="18"/>
      <c r="UF18" s="18"/>
      <c r="UG18" s="18"/>
      <c r="UH18" s="18"/>
      <c r="UI18" s="18"/>
      <c r="UJ18" s="18"/>
      <c r="UK18" s="18"/>
      <c r="UL18" s="18"/>
      <c r="UM18" s="18"/>
      <c r="UN18" s="18"/>
      <c r="UO18" s="18"/>
      <c r="UP18" s="11" t="str">
        <f t="shared" si="227"/>
        <v/>
      </c>
      <c r="UQ18" s="11" t="str">
        <f t="shared" si="228"/>
        <v/>
      </c>
      <c r="UR18" s="11" t="str">
        <f t="shared" si="229"/>
        <v/>
      </c>
      <c r="US18" s="11" t="str">
        <f t="shared" si="230"/>
        <v/>
      </c>
      <c r="UT18" s="11" t="str">
        <f t="shared" si="231"/>
        <v/>
      </c>
      <c r="UU18" s="11" t="str">
        <f t="shared" si="232"/>
        <v/>
      </c>
      <c r="UV18" s="11" t="str">
        <f t="shared" si="233"/>
        <v/>
      </c>
      <c r="UW18" s="11" t="str">
        <f t="shared" si="234"/>
        <v/>
      </c>
      <c r="UX18" s="11" t="str">
        <f t="shared" si="235"/>
        <v/>
      </c>
      <c r="UY18" s="11" t="str">
        <f t="shared" si="236"/>
        <v/>
      </c>
      <c r="UZ18" s="11" t="str">
        <f t="shared" si="237"/>
        <v/>
      </c>
      <c r="VA18" s="11" t="str">
        <f t="shared" si="238"/>
        <v/>
      </c>
      <c r="VB18" s="11" t="str">
        <f t="shared" si="239"/>
        <v/>
      </c>
      <c r="VC18" s="11" t="str">
        <f t="shared" si="240"/>
        <v/>
      </c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40" t="str">
        <f t="shared" si="241"/>
        <v/>
      </c>
      <c r="VY18" s="40" t="str">
        <f t="shared" si="242"/>
        <v/>
      </c>
      <c r="VZ18" s="40" t="str">
        <f t="shared" si="243"/>
        <v/>
      </c>
      <c r="WA18" s="40" t="str">
        <f t="shared" si="244"/>
        <v/>
      </c>
      <c r="WB18" s="40" t="str">
        <f t="shared" si="245"/>
        <v/>
      </c>
      <c r="WC18" s="40" t="str">
        <f t="shared" si="246"/>
        <v/>
      </c>
      <c r="WD18" s="40" t="str">
        <f t="shared" si="247"/>
        <v/>
      </c>
      <c r="WE18" s="40" t="str">
        <f t="shared" si="248"/>
        <v/>
      </c>
      <c r="WF18" s="40" t="str">
        <f t="shared" si="249"/>
        <v/>
      </c>
      <c r="WG18" s="40" t="str">
        <f t="shared" si="250"/>
        <v/>
      </c>
      <c r="WH18" s="40" t="str">
        <f t="shared" si="251"/>
        <v/>
      </c>
      <c r="WI18" s="40" t="str">
        <f t="shared" si="252"/>
        <v/>
      </c>
      <c r="WJ18" s="40" t="str">
        <f t="shared" si="253"/>
        <v/>
      </c>
      <c r="WK18" s="40" t="str">
        <f t="shared" si="254"/>
        <v/>
      </c>
      <c r="WL18" s="26">
        <f t="shared" si="255"/>
        <v>0.32500000000000001</v>
      </c>
      <c r="WM18" s="26">
        <f t="shared" si="256"/>
        <v>0.5</v>
      </c>
      <c r="WN18" s="26">
        <f t="shared" si="257"/>
        <v>0.75</v>
      </c>
      <c r="WO18" s="26">
        <f t="shared" si="258"/>
        <v>0.8</v>
      </c>
      <c r="WP18" s="26">
        <f t="shared" si="259"/>
        <v>0</v>
      </c>
      <c r="WQ18" s="26">
        <f t="shared" si="260"/>
        <v>0</v>
      </c>
      <c r="WR18" s="26">
        <f t="shared" si="261"/>
        <v>0</v>
      </c>
      <c r="WS18" s="26">
        <f t="shared" si="262"/>
        <v>0</v>
      </c>
      <c r="WT18" s="26">
        <f t="shared" si="263"/>
        <v>0</v>
      </c>
      <c r="WU18" s="26">
        <f t="shared" si="264"/>
        <v>0</v>
      </c>
      <c r="WV18" s="26">
        <f t="shared" si="265"/>
        <v>0</v>
      </c>
      <c r="WW18" s="26">
        <f t="shared" si="266"/>
        <v>0</v>
      </c>
      <c r="WX18" s="26">
        <f t="shared" si="267"/>
        <v>0</v>
      </c>
      <c r="WY18" s="26">
        <f t="shared" si="268"/>
        <v>0</v>
      </c>
      <c r="WZ18" s="26">
        <f t="shared" si="269"/>
        <v>0</v>
      </c>
      <c r="XA18" s="28" t="s">
        <v>53</v>
      </c>
      <c r="XB18" s="11">
        <f t="shared" si="270"/>
        <v>0.75</v>
      </c>
      <c r="XC18" s="11">
        <f t="shared" si="271"/>
        <v>0.8</v>
      </c>
      <c r="XD18" s="11">
        <f t="shared" si="272"/>
        <v>2.375</v>
      </c>
      <c r="XE18" s="11" t="str">
        <f t="shared" si="273"/>
        <v/>
      </c>
      <c r="XF18" s="11" t="str">
        <f t="shared" si="274"/>
        <v/>
      </c>
      <c r="XG18" s="11" t="str">
        <f t="shared" si="275"/>
        <v/>
      </c>
      <c r="XH18" s="11">
        <f t="shared" si="276"/>
        <v>2.375</v>
      </c>
      <c r="XI18" s="11" t="str">
        <f t="shared" si="277"/>
        <v/>
      </c>
      <c r="XJ18" s="11" t="str">
        <f t="shared" si="278"/>
        <v/>
      </c>
      <c r="XK18" s="11" t="str">
        <f t="shared" si="279"/>
        <v/>
      </c>
      <c r="XL18" s="11">
        <f t="shared" si="280"/>
        <v>2.375</v>
      </c>
    </row>
    <row r="19" spans="1:636" x14ac:dyDescent="0.2">
      <c r="B19" s="5"/>
      <c r="D19" s="1"/>
    </row>
    <row r="20" spans="1:636" x14ac:dyDescent="0.2">
      <c r="G20" s="36"/>
      <c r="I20" s="36"/>
    </row>
    <row r="21" spans="1:636" x14ac:dyDescent="0.2">
      <c r="B21" s="23" t="s">
        <v>51</v>
      </c>
      <c r="C21" s="5"/>
      <c r="G21" s="3"/>
      <c r="AJ21" s="41"/>
      <c r="AK21" s="41"/>
      <c r="AL21" s="41"/>
      <c r="AN21" s="32"/>
      <c r="AO21" s="32"/>
      <c r="AQ21" s="53">
        <v>14.2</v>
      </c>
      <c r="BK21" s="41"/>
      <c r="BL21" s="41"/>
      <c r="BM21" s="41"/>
      <c r="BO21" s="32"/>
      <c r="BP21" s="32"/>
      <c r="BR21" s="53">
        <v>14.2</v>
      </c>
      <c r="CL21" s="41"/>
      <c r="CM21" s="41"/>
      <c r="CN21" s="41"/>
      <c r="CP21" s="32"/>
      <c r="CQ21" s="32"/>
      <c r="CS21" s="53">
        <v>14.2</v>
      </c>
      <c r="DP21" s="5"/>
      <c r="DQ21" s="5"/>
      <c r="DZ21" s="2"/>
      <c r="EA21" s="2"/>
      <c r="EC21" s="42">
        <v>14.2</v>
      </c>
      <c r="EX21" s="5"/>
      <c r="EY21" s="5"/>
      <c r="FH21" s="2"/>
      <c r="FI21" s="2"/>
      <c r="FK21" s="42">
        <v>14.2</v>
      </c>
      <c r="GF21" s="5"/>
      <c r="GG21" s="5"/>
      <c r="GP21" s="2"/>
      <c r="GQ21" s="2"/>
      <c r="GS21" s="53">
        <v>14.2</v>
      </c>
      <c r="HN21" s="5"/>
      <c r="HO21" s="5"/>
      <c r="HX21" s="2"/>
      <c r="HY21" s="2"/>
      <c r="IA21" s="53">
        <v>14.2</v>
      </c>
      <c r="IV21" s="5"/>
      <c r="IW21" s="5"/>
      <c r="JF21" s="2"/>
      <c r="JG21" s="2"/>
      <c r="JI21" s="53">
        <v>14.2</v>
      </c>
      <c r="KD21" s="5"/>
      <c r="KE21" s="5"/>
      <c r="KN21" s="2"/>
      <c r="KO21" s="2"/>
      <c r="KQ21" s="53">
        <v>14.2</v>
      </c>
      <c r="LL21" s="5"/>
      <c r="LM21" s="5"/>
      <c r="LV21" s="2"/>
      <c r="LW21" s="2"/>
      <c r="LY21" s="53">
        <v>14.2</v>
      </c>
      <c r="MT21" s="5"/>
      <c r="MU21" s="5"/>
      <c r="ND21" s="2"/>
      <c r="NE21" s="2"/>
      <c r="NG21" s="53">
        <v>14.2</v>
      </c>
      <c r="OB21" s="5"/>
      <c r="OC21" s="5"/>
      <c r="OL21" s="2"/>
      <c r="OM21" s="2"/>
      <c r="OO21" s="53">
        <v>14.2</v>
      </c>
      <c r="PJ21" s="5"/>
      <c r="PK21" s="5"/>
      <c r="PT21" s="2"/>
      <c r="PU21" s="2"/>
      <c r="PW21" s="53">
        <v>14.2</v>
      </c>
      <c r="QR21" s="5"/>
      <c r="QS21" s="5"/>
      <c r="RB21" s="2"/>
      <c r="RC21" s="2"/>
      <c r="RE21" s="53">
        <v>14.2</v>
      </c>
      <c r="RZ21" s="5"/>
      <c r="SA21" s="5"/>
      <c r="SJ21" s="2"/>
      <c r="SK21" s="2"/>
      <c r="SM21" s="53">
        <v>14.2</v>
      </c>
      <c r="TH21" s="5"/>
      <c r="TI21" s="5"/>
      <c r="TR21" s="2"/>
      <c r="TS21" s="2"/>
      <c r="TU21" s="53">
        <v>14.2</v>
      </c>
      <c r="UP21" s="5"/>
      <c r="UQ21" s="5"/>
      <c r="UZ21" s="2"/>
      <c r="VA21" s="2"/>
      <c r="VC21" s="53">
        <v>14.2</v>
      </c>
      <c r="VX21" s="5"/>
      <c r="VY21" s="5"/>
      <c r="WH21" s="2"/>
      <c r="WI21" s="2"/>
      <c r="WK21" s="53">
        <v>14.2</v>
      </c>
    </row>
    <row r="22" spans="1:636" x14ac:dyDescent="0.2">
      <c r="B22" s="30" t="s">
        <v>50</v>
      </c>
      <c r="C22" s="5"/>
      <c r="P22" s="2"/>
      <c r="AJ22" s="41"/>
      <c r="AK22" s="41"/>
      <c r="AL22" s="41"/>
      <c r="AN22" s="32"/>
      <c r="AO22" s="32"/>
      <c r="AQ22" s="43">
        <v>14.6</v>
      </c>
      <c r="BK22" s="41"/>
      <c r="BL22" s="41"/>
      <c r="BM22" s="41"/>
      <c r="BO22" s="32"/>
      <c r="BP22" s="32"/>
      <c r="BR22" s="43">
        <v>14.6</v>
      </c>
      <c r="CL22" s="41"/>
      <c r="CM22" s="41"/>
      <c r="CN22" s="41"/>
      <c r="CP22" s="32"/>
      <c r="CQ22" s="32"/>
      <c r="CS22" s="43">
        <v>14.6</v>
      </c>
      <c r="DP22" s="5"/>
      <c r="DQ22" s="5"/>
      <c r="DZ22" s="2"/>
      <c r="EA22" s="2"/>
      <c r="EC22" s="43">
        <v>14.6</v>
      </c>
      <c r="EX22" s="5"/>
      <c r="EY22" s="5"/>
      <c r="FH22" s="2"/>
      <c r="FI22" s="2"/>
      <c r="FK22" s="43">
        <v>14.6</v>
      </c>
      <c r="GF22" s="5"/>
      <c r="GG22" s="5"/>
      <c r="GP22" s="2"/>
      <c r="GQ22" s="2"/>
      <c r="GS22" s="43">
        <v>14.6</v>
      </c>
      <c r="HN22" s="5"/>
      <c r="HO22" s="5"/>
      <c r="HX22" s="2"/>
      <c r="HY22" s="2"/>
      <c r="IA22" s="43">
        <v>14.6</v>
      </c>
      <c r="IV22" s="5"/>
      <c r="IW22" s="5"/>
      <c r="JF22" s="2"/>
      <c r="JG22" s="2"/>
      <c r="JI22" s="43">
        <v>14.6</v>
      </c>
      <c r="KD22" s="5"/>
      <c r="KE22" s="5"/>
      <c r="KN22" s="2"/>
      <c r="KO22" s="2"/>
      <c r="KQ22" s="43">
        <v>14.6</v>
      </c>
      <c r="LL22" s="5"/>
      <c r="LM22" s="5"/>
      <c r="LV22" s="2"/>
      <c r="LW22" s="2"/>
      <c r="LY22" s="43">
        <v>14.6</v>
      </c>
      <c r="MT22" s="5"/>
      <c r="MU22" s="5"/>
      <c r="ND22" s="2"/>
      <c r="NE22" s="2"/>
      <c r="NG22" s="43">
        <v>14.6</v>
      </c>
      <c r="OB22" s="5"/>
      <c r="OC22" s="5"/>
      <c r="OL22" s="2"/>
      <c r="OM22" s="2"/>
      <c r="OO22" s="43">
        <v>14.6</v>
      </c>
      <c r="PJ22" s="5"/>
      <c r="PK22" s="5"/>
      <c r="PT22" s="2"/>
      <c r="PU22" s="2"/>
      <c r="PW22" s="43">
        <v>14.6</v>
      </c>
      <c r="QR22" s="5"/>
      <c r="QS22" s="5"/>
      <c r="RB22" s="2"/>
      <c r="RC22" s="2"/>
      <c r="RE22" s="43">
        <v>14.6</v>
      </c>
      <c r="RZ22" s="5"/>
      <c r="SA22" s="5"/>
      <c r="SJ22" s="2"/>
      <c r="SK22" s="2"/>
      <c r="SM22" s="43">
        <v>14.6</v>
      </c>
      <c r="TH22" s="5"/>
      <c r="TI22" s="5"/>
      <c r="TR22" s="2"/>
      <c r="TS22" s="2"/>
      <c r="TU22" s="43">
        <v>14.6</v>
      </c>
      <c r="UP22" s="5"/>
      <c r="UQ22" s="5"/>
      <c r="UZ22" s="2"/>
      <c r="VA22" s="2"/>
      <c r="VC22" s="43">
        <v>14.6</v>
      </c>
      <c r="VX22" s="5"/>
      <c r="VY22" s="5"/>
      <c r="WH22" s="2"/>
      <c r="WI22" s="2"/>
      <c r="WK22" s="43">
        <v>14.6</v>
      </c>
    </row>
    <row r="23" spans="1:636" x14ac:dyDescent="0.2">
      <c r="A23" s="5"/>
      <c r="B23" s="31" t="s">
        <v>63</v>
      </c>
      <c r="C23" s="5"/>
      <c r="E23" s="2"/>
      <c r="AJ23" s="41"/>
      <c r="AK23" s="41"/>
      <c r="AL23" s="41"/>
      <c r="AM23" s="32"/>
      <c r="AN23" s="32"/>
      <c r="AO23" s="32"/>
      <c r="AP23" s="32"/>
      <c r="AQ23" s="54">
        <v>15.2</v>
      </c>
      <c r="BK23" s="41"/>
      <c r="BL23" s="41"/>
      <c r="BM23" s="41"/>
      <c r="BO23" s="32"/>
      <c r="BP23" s="32"/>
      <c r="BR23" s="54">
        <v>15.2</v>
      </c>
      <c r="CL23" s="41"/>
      <c r="CM23" s="41"/>
      <c r="CN23" s="41"/>
      <c r="CO23" s="32"/>
      <c r="CP23" s="32"/>
      <c r="CQ23" s="32"/>
      <c r="CR23" s="32"/>
      <c r="CS23" s="54">
        <v>15.2</v>
      </c>
      <c r="DP23" s="5"/>
      <c r="DQ23" s="5"/>
      <c r="DZ23" s="2"/>
      <c r="EA23" s="2"/>
      <c r="EC23" s="44">
        <v>15.2</v>
      </c>
      <c r="EX23" s="5"/>
      <c r="EY23" s="5"/>
      <c r="FH23" s="2"/>
      <c r="FI23" s="2"/>
      <c r="FK23" s="44">
        <v>15.2</v>
      </c>
      <c r="GF23" s="5"/>
      <c r="GG23" s="5"/>
      <c r="GP23" s="2"/>
      <c r="GQ23" s="2"/>
      <c r="GS23" s="54">
        <v>15.2</v>
      </c>
      <c r="HN23" s="5"/>
      <c r="HO23" s="5"/>
      <c r="HX23" s="2"/>
      <c r="HY23" s="2"/>
      <c r="IA23" s="54">
        <v>15.2</v>
      </c>
      <c r="IV23" s="5"/>
      <c r="IW23" s="5"/>
      <c r="JF23" s="2"/>
      <c r="JG23" s="2"/>
      <c r="JI23" s="54">
        <v>15.2</v>
      </c>
      <c r="KD23" s="5"/>
      <c r="KE23" s="5"/>
      <c r="KN23" s="2"/>
      <c r="KO23" s="2"/>
      <c r="KQ23" s="54">
        <v>15.2</v>
      </c>
      <c r="LL23" s="5"/>
      <c r="LM23" s="5"/>
      <c r="LV23" s="2"/>
      <c r="LW23" s="2"/>
      <c r="LY23" s="54">
        <v>15.2</v>
      </c>
      <c r="MT23" s="5"/>
      <c r="MU23" s="5"/>
      <c r="ND23" s="2"/>
      <c r="NE23" s="2"/>
      <c r="NG23" s="54">
        <v>15.2</v>
      </c>
      <c r="OB23" s="5"/>
      <c r="OC23" s="5"/>
      <c r="OL23" s="2"/>
      <c r="OM23" s="2"/>
      <c r="OO23" s="54">
        <v>15.2</v>
      </c>
      <c r="PJ23" s="5"/>
      <c r="PK23" s="5"/>
      <c r="PT23" s="2"/>
      <c r="PU23" s="2"/>
      <c r="PW23" s="54">
        <v>15.2</v>
      </c>
      <c r="QR23" s="5"/>
      <c r="QS23" s="5"/>
      <c r="RB23" s="2"/>
      <c r="RC23" s="2"/>
      <c r="RE23" s="54">
        <v>15.2</v>
      </c>
      <c r="RZ23" s="5"/>
      <c r="SA23" s="5"/>
      <c r="SJ23" s="2"/>
      <c r="SK23" s="2"/>
      <c r="SM23" s="54">
        <v>15.2</v>
      </c>
      <c r="TH23" s="5"/>
      <c r="TI23" s="5"/>
      <c r="TR23" s="2"/>
      <c r="TS23" s="2"/>
      <c r="TU23" s="54">
        <v>15.2</v>
      </c>
      <c r="UP23" s="5"/>
      <c r="UQ23" s="5"/>
      <c r="UZ23" s="2"/>
      <c r="VA23" s="2"/>
      <c r="VC23" s="54">
        <v>15.2</v>
      </c>
      <c r="VX23" s="5"/>
      <c r="VY23" s="5"/>
      <c r="WH23" s="2"/>
      <c r="WI23" s="2"/>
      <c r="WK23" s="54">
        <v>15.2</v>
      </c>
    </row>
    <row r="24" spans="1:636" x14ac:dyDescent="0.2">
      <c r="A24" s="5"/>
      <c r="B24" s="35" t="s">
        <v>76</v>
      </c>
      <c r="C24" s="5"/>
      <c r="E24" s="2"/>
      <c r="AJ24" s="41"/>
      <c r="AK24" s="41"/>
      <c r="AL24" s="41"/>
      <c r="AM24" s="32"/>
      <c r="AN24" s="32"/>
      <c r="AO24" s="32"/>
      <c r="AP24" s="32"/>
      <c r="AQ24" s="55">
        <v>16</v>
      </c>
      <c r="BK24" s="41"/>
      <c r="BL24" s="41"/>
      <c r="BM24" s="41"/>
      <c r="BO24" s="32"/>
      <c r="BP24" s="32"/>
      <c r="BR24" s="55">
        <v>16</v>
      </c>
      <c r="CL24" s="41"/>
      <c r="CM24" s="41"/>
      <c r="CN24" s="41"/>
      <c r="CO24" s="32"/>
      <c r="CP24" s="32"/>
      <c r="CQ24" s="32"/>
      <c r="CR24" s="32"/>
      <c r="CS24" s="55">
        <v>16</v>
      </c>
      <c r="DP24" s="5"/>
      <c r="DQ24" s="5"/>
      <c r="DZ24" s="2"/>
      <c r="EA24" s="2"/>
      <c r="EC24" s="45">
        <v>16</v>
      </c>
      <c r="EX24" s="5"/>
      <c r="EY24" s="5"/>
      <c r="FH24" s="2"/>
      <c r="FI24" s="2"/>
      <c r="FK24" s="45">
        <v>16</v>
      </c>
      <c r="GF24" s="5"/>
      <c r="GG24" s="5"/>
      <c r="GP24" s="2"/>
      <c r="GQ24" s="2"/>
      <c r="GS24" s="55">
        <v>16</v>
      </c>
      <c r="HN24" s="5"/>
      <c r="HO24" s="5"/>
      <c r="HX24" s="2"/>
      <c r="HY24" s="2"/>
      <c r="IA24" s="55">
        <v>16</v>
      </c>
      <c r="IV24" s="5"/>
      <c r="IW24" s="5"/>
      <c r="JF24" s="2"/>
      <c r="JG24" s="2"/>
      <c r="JI24" s="55">
        <v>16</v>
      </c>
      <c r="KD24" s="5"/>
      <c r="KE24" s="5"/>
      <c r="KN24" s="2"/>
      <c r="KO24" s="2"/>
      <c r="KQ24" s="55">
        <v>16</v>
      </c>
      <c r="LL24" s="5"/>
      <c r="LM24" s="5"/>
      <c r="LV24" s="2"/>
      <c r="LW24" s="2"/>
      <c r="LY24" s="55">
        <v>16</v>
      </c>
      <c r="MT24" s="5"/>
      <c r="MU24" s="5"/>
      <c r="ND24" s="2"/>
      <c r="NE24" s="2"/>
      <c r="NG24" s="55">
        <v>16</v>
      </c>
      <c r="OB24" s="5"/>
      <c r="OC24" s="5"/>
      <c r="OL24" s="2"/>
      <c r="OM24" s="2"/>
      <c r="OO24" s="55">
        <v>16</v>
      </c>
      <c r="PJ24" s="5"/>
      <c r="PK24" s="5"/>
      <c r="PT24" s="2"/>
      <c r="PU24" s="2"/>
      <c r="PW24" s="55">
        <v>16</v>
      </c>
      <c r="QR24" s="5"/>
      <c r="QS24" s="5"/>
      <c r="RB24" s="2"/>
      <c r="RC24" s="2"/>
      <c r="RE24" s="55">
        <v>16</v>
      </c>
      <c r="RZ24" s="5"/>
      <c r="SA24" s="5"/>
      <c r="SJ24" s="2"/>
      <c r="SK24" s="2"/>
      <c r="SM24" s="55">
        <v>16</v>
      </c>
      <c r="TH24" s="5"/>
      <c r="TI24" s="5"/>
      <c r="TR24" s="2"/>
      <c r="TS24" s="2"/>
      <c r="TU24" s="55">
        <v>16</v>
      </c>
      <c r="UP24" s="5"/>
      <c r="UQ24" s="5"/>
      <c r="UZ24" s="2"/>
      <c r="VA24" s="2"/>
      <c r="VC24" s="55">
        <v>16</v>
      </c>
      <c r="VX24" s="5"/>
      <c r="VY24" s="5"/>
      <c r="WH24" s="2"/>
      <c r="WI24" s="2"/>
      <c r="WK24" s="55">
        <v>16</v>
      </c>
    </row>
    <row r="25" spans="1:636" x14ac:dyDescent="0.2">
      <c r="A25" s="5"/>
      <c r="B25" s="34" t="s">
        <v>48</v>
      </c>
      <c r="C25" s="5"/>
      <c r="AJ25" s="41"/>
      <c r="AK25" s="41"/>
      <c r="AL25" s="41"/>
      <c r="AM25" s="32"/>
      <c r="AN25" s="32"/>
      <c r="AO25" s="32"/>
      <c r="AP25" s="32"/>
      <c r="AQ25" s="56">
        <v>47.2</v>
      </c>
      <c r="BK25" s="41"/>
      <c r="BL25" s="41"/>
      <c r="BM25" s="41"/>
      <c r="BO25" s="32"/>
      <c r="BP25" s="32"/>
      <c r="BR25" s="56">
        <v>47.2</v>
      </c>
      <c r="CL25" s="41"/>
      <c r="CM25" s="41"/>
      <c r="CN25" s="41"/>
      <c r="CO25" s="32"/>
      <c r="CP25" s="32"/>
      <c r="CQ25" s="32"/>
      <c r="CR25" s="32"/>
      <c r="CS25" s="56">
        <v>47.2</v>
      </c>
      <c r="DP25" s="5"/>
      <c r="DQ25" s="5"/>
      <c r="DZ25" s="2"/>
      <c r="EA25" s="2"/>
      <c r="EC25" s="46">
        <v>47.2</v>
      </c>
      <c r="EX25" s="5"/>
      <c r="EY25" s="5"/>
      <c r="FH25" s="2"/>
      <c r="FI25" s="2"/>
      <c r="FK25" s="46">
        <v>47.2</v>
      </c>
      <c r="GF25" s="5"/>
      <c r="GG25" s="5"/>
      <c r="GP25" s="2"/>
      <c r="GQ25" s="2"/>
      <c r="GS25" s="56">
        <v>47.2</v>
      </c>
      <c r="HN25" s="5"/>
      <c r="HO25" s="5"/>
      <c r="HX25" s="2"/>
      <c r="HY25" s="2"/>
      <c r="IA25" s="56">
        <v>47.2</v>
      </c>
      <c r="IV25" s="5"/>
      <c r="IW25" s="5"/>
      <c r="JF25" s="2"/>
      <c r="JG25" s="2"/>
      <c r="JI25" s="56">
        <v>47.2</v>
      </c>
      <c r="KD25" s="5"/>
      <c r="KE25" s="5"/>
      <c r="KN25" s="2"/>
      <c r="KO25" s="2"/>
      <c r="KQ25" s="56">
        <v>47.2</v>
      </c>
      <c r="LL25" s="5"/>
      <c r="LM25" s="5"/>
      <c r="LV25" s="2"/>
      <c r="LW25" s="2"/>
      <c r="LY25" s="56">
        <v>47.2</v>
      </c>
      <c r="MT25" s="5"/>
      <c r="MU25" s="5"/>
      <c r="ND25" s="2"/>
      <c r="NE25" s="2"/>
      <c r="NG25" s="56">
        <v>47.2</v>
      </c>
      <c r="OB25" s="5"/>
      <c r="OC25" s="5"/>
      <c r="OL25" s="2"/>
      <c r="OM25" s="2"/>
      <c r="OO25" s="56">
        <v>47.2</v>
      </c>
      <c r="PJ25" s="5"/>
      <c r="PK25" s="5"/>
      <c r="PT25" s="2"/>
      <c r="PU25" s="2"/>
      <c r="PW25" s="56">
        <v>47.2</v>
      </c>
      <c r="QR25" s="5"/>
      <c r="QS25" s="5"/>
      <c r="RB25" s="2"/>
      <c r="RC25" s="2"/>
      <c r="RE25" s="56">
        <v>47.2</v>
      </c>
      <c r="RZ25" s="5"/>
      <c r="SA25" s="5"/>
      <c r="SJ25" s="2"/>
      <c r="SK25" s="2"/>
      <c r="SM25" s="56">
        <v>47.2</v>
      </c>
      <c r="TH25" s="5"/>
      <c r="TI25" s="5"/>
      <c r="TR25" s="2"/>
      <c r="TS25" s="2"/>
      <c r="TU25" s="56">
        <v>47.2</v>
      </c>
      <c r="UP25" s="5"/>
      <c r="UQ25" s="5"/>
      <c r="UZ25" s="2"/>
      <c r="VA25" s="2"/>
      <c r="VC25" s="56">
        <v>47.2</v>
      </c>
      <c r="VX25" s="5"/>
      <c r="VY25" s="5"/>
      <c r="WH25" s="2"/>
      <c r="WI25" s="2"/>
      <c r="WK25" s="56">
        <v>47.2</v>
      </c>
    </row>
    <row r="26" spans="1:636" x14ac:dyDescent="0.2">
      <c r="A26" s="5"/>
      <c r="B26" s="24" t="s">
        <v>49</v>
      </c>
      <c r="C26" s="5"/>
      <c r="AJ26" s="41"/>
      <c r="AK26" s="41"/>
      <c r="AL26" s="41"/>
      <c r="AM26" s="32"/>
      <c r="AN26" s="32"/>
      <c r="AO26" s="32"/>
      <c r="AP26" s="32"/>
      <c r="AQ26" s="57">
        <v>48.5</v>
      </c>
      <c r="BK26" s="41"/>
      <c r="BL26" s="41"/>
      <c r="BM26" s="41"/>
      <c r="BO26" s="32"/>
      <c r="BP26" s="32"/>
      <c r="BR26" s="57">
        <v>48.5</v>
      </c>
      <c r="CL26" s="41"/>
      <c r="CM26" s="41"/>
      <c r="CN26" s="41"/>
      <c r="CO26" s="32"/>
      <c r="CP26" s="32"/>
      <c r="CQ26" s="32"/>
      <c r="CR26" s="32"/>
      <c r="CS26" s="57">
        <v>48.5</v>
      </c>
      <c r="DP26" s="5"/>
      <c r="DQ26" s="5"/>
      <c r="DZ26" s="2"/>
      <c r="EA26" s="2"/>
      <c r="EC26" s="47">
        <v>48.5</v>
      </c>
      <c r="EX26" s="5"/>
      <c r="EY26" s="5"/>
      <c r="FH26" s="2"/>
      <c r="FI26" s="2"/>
      <c r="FK26" s="47">
        <v>48.5</v>
      </c>
      <c r="GF26" s="5"/>
      <c r="GG26" s="5"/>
      <c r="GP26" s="2"/>
      <c r="GQ26" s="2"/>
      <c r="GS26" s="57">
        <v>48.5</v>
      </c>
      <c r="HN26" s="5"/>
      <c r="HO26" s="5"/>
      <c r="HX26" s="2"/>
      <c r="HY26" s="2"/>
      <c r="IA26" s="57">
        <v>48.5</v>
      </c>
      <c r="IV26" s="5"/>
      <c r="IW26" s="5"/>
      <c r="JF26" s="2"/>
      <c r="JG26" s="2"/>
      <c r="JI26" s="57">
        <v>48.5</v>
      </c>
      <c r="KD26" s="5"/>
      <c r="KE26" s="5"/>
      <c r="KN26" s="2"/>
      <c r="KO26" s="2"/>
      <c r="KQ26" s="57">
        <v>48.5</v>
      </c>
      <c r="LL26" s="5"/>
      <c r="LM26" s="5"/>
      <c r="LV26" s="2"/>
      <c r="LW26" s="2"/>
      <c r="LY26" s="57">
        <v>48.5</v>
      </c>
      <c r="MT26" s="5"/>
      <c r="MU26" s="5"/>
      <c r="ND26" s="2"/>
      <c r="NE26" s="2"/>
      <c r="NG26" s="57">
        <v>48.5</v>
      </c>
      <c r="OB26" s="5"/>
      <c r="OC26" s="5"/>
      <c r="OL26" s="2"/>
      <c r="OM26" s="2"/>
      <c r="OO26" s="57">
        <v>48.5</v>
      </c>
      <c r="PJ26" s="5"/>
      <c r="PK26" s="5"/>
      <c r="PT26" s="2"/>
      <c r="PU26" s="2"/>
      <c r="PW26" s="57">
        <v>48.5</v>
      </c>
      <c r="QR26" s="5"/>
      <c r="QS26" s="5"/>
      <c r="RB26" s="2"/>
      <c r="RC26" s="2"/>
      <c r="RE26" s="57">
        <v>48.5</v>
      </c>
      <c r="RZ26" s="5"/>
      <c r="SA26" s="5"/>
      <c r="SJ26" s="2"/>
      <c r="SK26" s="2"/>
      <c r="SM26" s="57">
        <v>48.5</v>
      </c>
      <c r="TH26" s="5"/>
      <c r="TI26" s="5"/>
      <c r="TR26" s="2"/>
      <c r="TS26" s="2"/>
      <c r="TU26" s="57">
        <v>48.5</v>
      </c>
      <c r="UP26" s="5"/>
      <c r="UQ26" s="5"/>
      <c r="UZ26" s="2"/>
      <c r="VA26" s="2"/>
      <c r="VC26" s="57">
        <v>48.5</v>
      </c>
      <c r="VX26" s="5"/>
      <c r="VY26" s="5"/>
      <c r="WH26" s="2"/>
      <c r="WI26" s="2"/>
      <c r="WK26" s="57">
        <v>48.5</v>
      </c>
    </row>
    <row r="27" spans="1:636" x14ac:dyDescent="0.2">
      <c r="A27" s="5"/>
      <c r="B27" s="33" t="s">
        <v>62</v>
      </c>
      <c r="C27" s="5"/>
      <c r="AJ27" s="41"/>
      <c r="AK27" s="41"/>
      <c r="AL27" s="41"/>
      <c r="AM27" s="32"/>
      <c r="AN27" s="32"/>
      <c r="AO27" s="32"/>
      <c r="AP27" s="32"/>
      <c r="AQ27" s="58">
        <v>49.2</v>
      </c>
      <c r="BK27" s="41"/>
      <c r="BL27" s="41"/>
      <c r="BM27" s="41"/>
      <c r="BO27" s="32"/>
      <c r="BP27" s="32"/>
      <c r="BR27" s="58">
        <v>49.2</v>
      </c>
      <c r="CL27" s="41"/>
      <c r="CM27" s="41"/>
      <c r="CN27" s="41"/>
      <c r="CO27" s="32"/>
      <c r="CP27" s="32"/>
      <c r="CQ27" s="32"/>
      <c r="CR27" s="32"/>
      <c r="CS27" s="58">
        <v>49.2</v>
      </c>
      <c r="DP27" s="5"/>
      <c r="DQ27" s="5"/>
      <c r="DZ27" s="2"/>
      <c r="EA27" s="2"/>
      <c r="EB27" s="37"/>
      <c r="EC27" s="48">
        <v>49.2</v>
      </c>
      <c r="EX27" s="5"/>
      <c r="EY27" s="5"/>
      <c r="FH27" s="2"/>
      <c r="FI27" s="2"/>
      <c r="FJ27" s="37"/>
      <c r="FK27" s="48">
        <v>49.2</v>
      </c>
      <c r="GF27" s="5"/>
      <c r="GG27" s="5"/>
      <c r="GP27" s="2"/>
      <c r="GQ27" s="2"/>
      <c r="GR27" s="37"/>
      <c r="GS27" s="58">
        <v>49.2</v>
      </c>
      <c r="HN27" s="5"/>
      <c r="HO27" s="5"/>
      <c r="HX27" s="2"/>
      <c r="HY27" s="2"/>
      <c r="HZ27" s="37"/>
      <c r="IA27" s="58">
        <v>49.2</v>
      </c>
      <c r="IV27" s="5"/>
      <c r="IW27" s="5"/>
      <c r="JF27" s="2"/>
      <c r="JG27" s="2"/>
      <c r="JH27" s="37"/>
      <c r="JI27" s="58">
        <v>49.2</v>
      </c>
      <c r="KD27" s="5"/>
      <c r="KE27" s="5"/>
      <c r="KN27" s="2"/>
      <c r="KO27" s="2"/>
      <c r="KP27" s="37"/>
      <c r="KQ27" s="58">
        <v>49.2</v>
      </c>
      <c r="LL27" s="5"/>
      <c r="LM27" s="5"/>
      <c r="LV27" s="2"/>
      <c r="LW27" s="2"/>
      <c r="LX27" s="37"/>
      <c r="LY27" s="58">
        <v>49.2</v>
      </c>
      <c r="MT27" s="5"/>
      <c r="MU27" s="5"/>
      <c r="ND27" s="2"/>
      <c r="NE27" s="2"/>
      <c r="NF27" s="37"/>
      <c r="NG27" s="58">
        <v>49.2</v>
      </c>
      <c r="OB27" s="5"/>
      <c r="OC27" s="5"/>
      <c r="OL27" s="2"/>
      <c r="OM27" s="2"/>
      <c r="ON27" s="37"/>
      <c r="OO27" s="58">
        <v>49.2</v>
      </c>
      <c r="PJ27" s="5"/>
      <c r="PK27" s="5"/>
      <c r="PT27" s="2"/>
      <c r="PU27" s="2"/>
      <c r="PV27" s="37"/>
      <c r="PW27" s="58">
        <v>49.2</v>
      </c>
      <c r="QR27" s="5"/>
      <c r="QS27" s="5"/>
      <c r="RB27" s="2"/>
      <c r="RC27" s="2"/>
      <c r="RD27" s="37"/>
      <c r="RE27" s="58">
        <v>49.2</v>
      </c>
      <c r="RZ27" s="5"/>
      <c r="SA27" s="5"/>
      <c r="SJ27" s="2"/>
      <c r="SK27" s="2"/>
      <c r="SL27" s="37"/>
      <c r="SM27" s="58">
        <v>49.2</v>
      </c>
      <c r="TH27" s="5"/>
      <c r="TI27" s="5"/>
      <c r="TR27" s="2"/>
      <c r="TS27" s="2"/>
      <c r="TT27" s="37"/>
      <c r="TU27" s="58">
        <v>49.2</v>
      </c>
      <c r="UP27" s="5"/>
      <c r="UQ27" s="5"/>
      <c r="UZ27" s="2"/>
      <c r="VA27" s="2"/>
      <c r="VB27" s="37"/>
      <c r="VC27" s="58">
        <v>49.2</v>
      </c>
      <c r="VX27" s="5"/>
      <c r="VY27" s="5"/>
      <c r="WH27" s="2"/>
      <c r="WI27" s="2"/>
      <c r="WJ27" s="37"/>
      <c r="WK27" s="58">
        <v>49.2</v>
      </c>
    </row>
    <row r="28" spans="1:636" x14ac:dyDescent="0.2">
      <c r="A28" s="5"/>
      <c r="B28" s="25" t="s">
        <v>32</v>
      </c>
      <c r="C28" s="5"/>
      <c r="AJ28" s="41"/>
      <c r="AK28" s="41"/>
      <c r="AL28" s="41"/>
      <c r="AM28" s="32"/>
      <c r="AN28" s="41"/>
      <c r="AO28" s="41"/>
      <c r="AP28" s="32"/>
      <c r="AQ28" s="59">
        <v>50</v>
      </c>
      <c r="BK28" s="41"/>
      <c r="BL28" s="41"/>
      <c r="BM28" s="41"/>
      <c r="BO28" s="41"/>
      <c r="BP28" s="32"/>
      <c r="BR28" s="59">
        <v>50</v>
      </c>
      <c r="CL28" s="41"/>
      <c r="CM28" s="41"/>
      <c r="CN28" s="41"/>
      <c r="CO28" s="32"/>
      <c r="CP28" s="41"/>
      <c r="CQ28" s="32"/>
      <c r="CR28" s="32"/>
      <c r="CS28" s="59">
        <v>50</v>
      </c>
      <c r="DP28" s="5"/>
      <c r="DQ28" s="5"/>
      <c r="DZ28" s="41"/>
      <c r="EA28" s="2"/>
      <c r="EC28" s="49">
        <v>50</v>
      </c>
      <c r="EX28" s="5"/>
      <c r="EY28" s="5"/>
      <c r="FH28" s="41"/>
      <c r="FI28" s="2"/>
      <c r="FK28" s="49">
        <v>50</v>
      </c>
      <c r="GF28" s="5"/>
      <c r="GG28" s="5"/>
      <c r="GP28" s="2"/>
      <c r="GQ28" s="2"/>
      <c r="GS28" s="59">
        <v>50</v>
      </c>
      <c r="HN28" s="5"/>
      <c r="HO28" s="5"/>
      <c r="HX28" s="41"/>
      <c r="HY28" s="2"/>
      <c r="IA28" s="59">
        <v>50</v>
      </c>
      <c r="IV28" s="5"/>
      <c r="IW28" s="5"/>
      <c r="JF28" s="2"/>
      <c r="JG28" s="2"/>
      <c r="JI28" s="59">
        <v>50</v>
      </c>
      <c r="KD28" s="5"/>
      <c r="KE28" s="5"/>
      <c r="KN28" s="2"/>
      <c r="KO28" s="2"/>
      <c r="KQ28" s="59">
        <v>50</v>
      </c>
      <c r="LL28" s="5"/>
      <c r="LM28" s="5"/>
      <c r="LV28" s="2"/>
      <c r="LW28" s="2"/>
      <c r="LY28" s="59">
        <v>50</v>
      </c>
      <c r="MT28" s="5"/>
      <c r="MU28" s="5"/>
      <c r="ND28" s="2"/>
      <c r="NE28" s="2"/>
      <c r="NG28" s="59">
        <v>50</v>
      </c>
      <c r="OB28" s="5"/>
      <c r="OC28" s="5"/>
      <c r="OL28" s="2"/>
      <c r="OM28" s="2"/>
      <c r="OO28" s="59">
        <v>50</v>
      </c>
      <c r="PJ28" s="5"/>
      <c r="PK28" s="5"/>
      <c r="PT28" s="2"/>
      <c r="PU28" s="2"/>
      <c r="PW28" s="59">
        <v>50</v>
      </c>
      <c r="QR28" s="5"/>
      <c r="QS28" s="5"/>
      <c r="RB28" s="2"/>
      <c r="RC28" s="2"/>
      <c r="RE28" s="59">
        <v>50</v>
      </c>
      <c r="RZ28" s="5"/>
      <c r="SA28" s="5"/>
      <c r="SJ28" s="2"/>
      <c r="SK28" s="2"/>
      <c r="SM28" s="59">
        <v>50</v>
      </c>
      <c r="TH28" s="5"/>
      <c r="TI28" s="5"/>
      <c r="TR28" s="2"/>
      <c r="TS28" s="2"/>
      <c r="TU28" s="59">
        <v>50</v>
      </c>
      <c r="UP28" s="5"/>
      <c r="UQ28" s="5"/>
      <c r="UZ28" s="2"/>
      <c r="VA28" s="2"/>
      <c r="VC28" s="59">
        <v>50</v>
      </c>
      <c r="VX28" s="5"/>
      <c r="VY28" s="5"/>
      <c r="WH28" s="2"/>
      <c r="WI28" s="2"/>
      <c r="WK28" s="59">
        <v>50</v>
      </c>
    </row>
    <row r="29" spans="1:636" s="36" customFormat="1" x14ac:dyDescent="0.2">
      <c r="A29"/>
      <c r="B29" s="29" t="s">
        <v>54</v>
      </c>
      <c r="C29" s="2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M29" s="32"/>
      <c r="AP29" s="32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O29" s="32"/>
      <c r="CR29" s="32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636" s="36" customFormat="1" x14ac:dyDescent="0.2">
      <c r="A30" s="5"/>
      <c r="B30" s="5"/>
      <c r="C30" s="2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2"/>
      <c r="AJ30" s="32"/>
      <c r="AK30" s="32"/>
      <c r="AL30" s="32"/>
      <c r="AM30" s="32"/>
      <c r="AP30" s="32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2"/>
      <c r="CL30" s="32"/>
      <c r="CM30" s="32"/>
      <c r="CN30" s="32"/>
      <c r="CO30" s="32"/>
      <c r="CR30" s="32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636" s="36" customFormat="1" ht="17" x14ac:dyDescent="0.2">
      <c r="A31" s="5"/>
      <c r="B31" s="5"/>
      <c r="C31" s="20"/>
      <c r="D31"/>
      <c r="E31"/>
      <c r="F31"/>
      <c r="G31"/>
      <c r="H31"/>
      <c r="I31"/>
      <c r="J31"/>
      <c r="K31"/>
      <c r="L31"/>
      <c r="M31"/>
      <c r="N31" s="10"/>
      <c r="O31" s="1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2"/>
      <c r="AJ31" s="32"/>
      <c r="AK31" s="32"/>
      <c r="AL31" s="32"/>
      <c r="AM31" s="32"/>
      <c r="AP31" s="32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2"/>
      <c r="CL31" s="32"/>
      <c r="CM31" s="32"/>
      <c r="CN31" s="32"/>
      <c r="CO31" s="32"/>
      <c r="CR31" s="32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636" s="36" customFormat="1" ht="17" x14ac:dyDescent="0.2">
      <c r="A32" s="5"/>
      <c r="B32" s="5"/>
      <c r="C32" s="20"/>
      <c r="D32"/>
      <c r="E32"/>
      <c r="F32"/>
      <c r="G32"/>
      <c r="H32"/>
      <c r="I32"/>
      <c r="J32"/>
      <c r="K32"/>
      <c r="L32"/>
      <c r="M32"/>
      <c r="N32" s="10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2"/>
      <c r="AJ32" s="32"/>
      <c r="AK32" s="32"/>
      <c r="AL32" s="32"/>
      <c r="AM32" s="32"/>
      <c r="AP32" s="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2"/>
      <c r="CL32" s="32"/>
      <c r="CM32" s="32"/>
      <c r="CN32" s="32"/>
      <c r="CO32" s="32"/>
      <c r="CR32" s="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I33" s="32"/>
      <c r="AJ33" s="32"/>
      <c r="AK33" s="32"/>
      <c r="AL33" s="32"/>
      <c r="AM33" s="32"/>
      <c r="AP33" s="32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K33" s="32"/>
      <c r="CL33" s="32"/>
      <c r="CM33" s="32"/>
      <c r="CN33" s="32"/>
      <c r="CO33" s="32"/>
      <c r="CR33" s="32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I34" s="32"/>
      <c r="AJ34" s="32"/>
      <c r="AK34" s="32"/>
      <c r="AL34" s="32"/>
      <c r="AM34" s="32"/>
      <c r="AP34" s="32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K34" s="32"/>
      <c r="CL34" s="32"/>
      <c r="CM34" s="32"/>
      <c r="CN34" s="32"/>
      <c r="CO34" s="32"/>
      <c r="CR34" s="32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</row>
    <row r="35" spans="1:536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I35" s="32"/>
      <c r="AJ35" s="32"/>
      <c r="AK35" s="32"/>
      <c r="AL35" s="32"/>
      <c r="AM35" s="32"/>
      <c r="AP35" s="32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K35" s="32"/>
      <c r="CL35" s="32"/>
      <c r="CM35" s="32"/>
      <c r="CN35" s="32"/>
      <c r="CO35" s="32"/>
      <c r="CR35" s="32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</row>
    <row r="36" spans="1:536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</row>
    <row r="37" spans="1:536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</row>
    <row r="38" spans="1:536" s="36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</row>
    <row r="39" spans="1:536" s="36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</row>
    <row r="40" spans="1:536" s="36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</row>
    <row r="41" spans="1:536" s="36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</row>
    <row r="42" spans="1:536" s="36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 s="10"/>
      <c r="O42" s="10"/>
      <c r="P42" s="10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</row>
    <row r="43" spans="1:536" s="36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 s="10"/>
      <c r="O43" s="10"/>
      <c r="P43" s="10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</row>
    <row r="44" spans="1:536" s="36" customFormat="1" ht="17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 s="10"/>
      <c r="O44" s="10"/>
      <c r="P44" s="10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</row>
    <row r="45" spans="1:536" ht="17" x14ac:dyDescent="0.2">
      <c r="N45" s="10"/>
      <c r="O45" s="10"/>
      <c r="P45" s="10"/>
    </row>
    <row r="46" spans="1:536" ht="17" x14ac:dyDescent="0.2">
      <c r="N46" s="10"/>
      <c r="O46" s="10"/>
      <c r="P46" s="10"/>
    </row>
    <row r="47" spans="1:536" ht="17" x14ac:dyDescent="0.2">
      <c r="N47" s="10"/>
      <c r="O47" s="10"/>
      <c r="P47" s="10"/>
    </row>
    <row r="48" spans="1:536" ht="17" x14ac:dyDescent="0.2">
      <c r="N48" s="10"/>
      <c r="O48" s="10"/>
      <c r="P48" s="10"/>
    </row>
    <row r="49" spans="14:16" ht="17" x14ac:dyDescent="0.2">
      <c r="N49" s="10"/>
      <c r="O49" s="10"/>
      <c r="P49" s="10"/>
    </row>
    <row r="50" spans="14:16" ht="17" x14ac:dyDescent="0.2">
      <c r="N50" s="10"/>
      <c r="O50" s="10"/>
      <c r="P50" s="10"/>
    </row>
  </sheetData>
  <sheetProtection sheet="1" formatCells="0" formatColumns="0" formatRows="0"/>
  <autoFilter ref="A1:XL1" xr:uid="{E319C473-9D8E-AB4D-B4A3-4790997227E5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6:XL18">
      <sortCondition descending="1" ref="F1:F19"/>
    </sortState>
  </autoFilter>
  <mergeCells count="108">
    <mergeCell ref="LZ1:NG1"/>
    <mergeCell ref="Q1:AQ1"/>
    <mergeCell ref="AR1:BR1"/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Q2:U2"/>
    <mergeCell ref="V2:Z2"/>
    <mergeCell ref="AA2:AE2"/>
    <mergeCell ref="AR2:AV2"/>
    <mergeCell ref="AW2:BA2"/>
    <mergeCell ref="HI2:HM2"/>
    <mergeCell ref="IB2:IF2"/>
    <mergeCell ref="IG2:IK2"/>
    <mergeCell ref="IL2:IP2"/>
    <mergeCell ref="NH1:OO1"/>
    <mergeCell ref="OP1:PW1"/>
    <mergeCell ref="PX1:RE1"/>
    <mergeCell ref="RF1:SM1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GY2:HC2"/>
    <mergeCell ref="HD2:HH2"/>
    <mergeCell ref="WL1:XL1"/>
    <mergeCell ref="SN1:TU1"/>
    <mergeCell ref="SN2:SR2"/>
    <mergeCell ref="SS2:SW2"/>
    <mergeCell ref="SX2:TB2"/>
    <mergeCell ref="TC2:TG2"/>
    <mergeCell ref="TV1:VC1"/>
    <mergeCell ref="TV2:TZ2"/>
    <mergeCell ref="UA2:UE2"/>
    <mergeCell ref="UF2:UJ2"/>
    <mergeCell ref="UK2:UO2"/>
    <mergeCell ref="WV2:WZ2"/>
    <mergeCell ref="VD1:WK1"/>
    <mergeCell ref="VD2:VH2"/>
    <mergeCell ref="VI2:VM2"/>
    <mergeCell ref="VN2:VR2"/>
    <mergeCell ref="VS2:VW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RF2:RJ2"/>
    <mergeCell ref="RK2:RO2"/>
    <mergeCell ref="RP2:RT2"/>
    <mergeCell ref="RU2:RY2"/>
    <mergeCell ref="WL2:WP2"/>
    <mergeCell ref="WQ2:WU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</mergeCells>
  <phoneticPr fontId="21" type="noConversion"/>
  <conditionalFormatting sqref="H1:H1048576">
    <cfRule type="containsText" dxfId="473" priority="64" operator="containsText" text="No DD">
      <formula>NOT(ISERROR(SEARCH("No DD",H1)))</formula>
    </cfRule>
    <cfRule type="containsText" dxfId="472" priority="65" operator="containsText" text="Merit">
      <formula>NOT(ISERROR(SEARCH("Merit",H1)))</formula>
    </cfRule>
    <cfRule type="containsText" dxfId="471" priority="66" operator="containsText" text="Excellence">
      <formula>NOT(ISERROR(SEARCH("Excellence",H1)))</formula>
    </cfRule>
    <cfRule type="containsText" dxfId="470" priority="67" operator="containsText" text="Worlds Team">
      <formula>NOT(ISERROR(SEARCH("Worlds Team",H1)))</formula>
    </cfRule>
    <cfRule type="containsText" dxfId="469" priority="68" operator="containsText" text="National Team">
      <formula>NOT(ISERROR(SEARCH("National Team",H1)))</formula>
    </cfRule>
  </conditionalFormatting>
  <conditionalFormatting sqref="A4:A1048576">
    <cfRule type="expression" dxfId="468" priority="29">
      <formula>AND(G4&lt;&gt;"",F4="")</formula>
    </cfRule>
    <cfRule type="expression" dxfId="467" priority="69">
      <formula>IF(A4&gt;4,1,0)</formula>
    </cfRule>
  </conditionalFormatting>
  <conditionalFormatting sqref="Q4:AQ18">
    <cfRule type="expression" dxfId="466" priority="70" stopIfTrue="1">
      <formula>IF($AF4&lt;&gt;"",1,0)</formula>
    </cfRule>
  </conditionalFormatting>
  <conditionalFormatting sqref="AR4:BR18">
    <cfRule type="expression" dxfId="465" priority="63" stopIfTrue="1">
      <formula>IF($BG4&lt;&gt;"",1,0)</formula>
    </cfRule>
  </conditionalFormatting>
  <conditionalFormatting sqref="BS4:CS18">
    <cfRule type="expression" dxfId="464" priority="62" stopIfTrue="1">
      <formula>IF($CH4&lt;&gt;"",1,0)</formula>
    </cfRule>
  </conditionalFormatting>
  <conditionalFormatting sqref="BO29:BO1048576 BH1:BH1048576 BK1:BK1048576 BO1:BO27">
    <cfRule type="cellIs" dxfId="463" priority="75" operator="between">
      <formula>$BR$24</formula>
      <formula>1000</formula>
    </cfRule>
    <cfRule type="cellIs" dxfId="462" priority="76" operator="between">
      <formula>$BR$23</formula>
      <formula>$BR$24</formula>
    </cfRule>
    <cfRule type="cellIs" dxfId="461" priority="77" operator="between">
      <formula>$BR$22</formula>
      <formula>$BR$23</formula>
    </cfRule>
    <cfRule type="cellIs" dxfId="460" priority="78" operator="between">
      <formula>$BR$21</formula>
      <formula>$BR$22</formula>
    </cfRule>
  </conditionalFormatting>
  <conditionalFormatting sqref="CP29:CP1048576 CI1:CI1048576 CL1:CL1048576 CP1:CP27">
    <cfRule type="cellIs" dxfId="459" priority="71" operator="between">
      <formula>$CS$24</formula>
      <formula>1000</formula>
    </cfRule>
    <cfRule type="cellIs" dxfId="458" priority="72" operator="between">
      <formula>$CS$23</formula>
      <formula>$CS$24</formula>
    </cfRule>
    <cfRule type="cellIs" dxfId="457" priority="73" operator="between">
      <formula>$CS$22</formula>
      <formula>$CS$23</formula>
    </cfRule>
    <cfRule type="cellIs" dxfId="456" priority="74" operator="between">
      <formula>$CS$21</formula>
      <formula>$CS$22</formula>
    </cfRule>
  </conditionalFormatting>
  <conditionalFormatting sqref="DZ29:DZ1048576 DP1:DP1048576 DS1:DS1048576 DW1:DW1048576 DZ1:DZ27">
    <cfRule type="cellIs" dxfId="455" priority="82" operator="between">
      <formula>$EC$24</formula>
      <formula>1000</formula>
    </cfRule>
    <cfRule type="cellIs" dxfId="454" priority="83" operator="between">
      <formula>$EC$23</formula>
      <formula>$EC$24</formula>
    </cfRule>
    <cfRule type="cellIs" dxfId="453" priority="84" operator="between">
      <formula>$EC$22</formula>
      <formula>$EC$23</formula>
    </cfRule>
    <cfRule type="cellIs" dxfId="452" priority="85" operator="between">
      <formula>$EC$21</formula>
      <formula>$EC$22</formula>
    </cfRule>
  </conditionalFormatting>
  <conditionalFormatting sqref="FH29:FH1048576 EX1:EX1048576 FA1:FA1048576 FE1:FE1048576 FH1:FH27">
    <cfRule type="cellIs" dxfId="451" priority="58" operator="between">
      <formula>$FK$24</formula>
      <formula>1000</formula>
    </cfRule>
    <cfRule type="cellIs" dxfId="450" priority="59" operator="between">
      <formula>$FK$23</formula>
      <formula>$FK$24</formula>
    </cfRule>
    <cfRule type="cellIs" dxfId="449" priority="60" operator="between">
      <formula>$FK$22</formula>
      <formula>$FK$23</formula>
    </cfRule>
    <cfRule type="cellIs" dxfId="448" priority="61" operator="between">
      <formula>$FK$21</formula>
      <formula>$FK$22</formula>
    </cfRule>
  </conditionalFormatting>
  <conditionalFormatting sqref="HX29:HX1048576 HN1:HN1048576 HQ1:HQ1048576 HU1:HU1048576 HX1:HX27">
    <cfRule type="cellIs" dxfId="447" priority="54" operator="between">
      <formula>$IA$24</formula>
      <formula>1000</formula>
    </cfRule>
    <cfRule type="cellIs" dxfId="446" priority="55" operator="between">
      <formula>$IA$23</formula>
      <formula>$IA$24</formula>
    </cfRule>
    <cfRule type="cellIs" dxfId="445" priority="56" operator="between">
      <formula>$IA$22</formula>
      <formula>$IA$23</formula>
    </cfRule>
    <cfRule type="cellIs" dxfId="444" priority="57" operator="between">
      <formula>$IA$21</formula>
      <formula>$IA$22</formula>
    </cfRule>
  </conditionalFormatting>
  <conditionalFormatting sqref="AO28 AG1:AG1048576 AJ1:AJ1048576 AN1:AN1048576">
    <cfRule type="cellIs" dxfId="443" priority="50" operator="between">
      <formula>$AQ$24</formula>
      <formula>1000</formula>
    </cfRule>
    <cfRule type="cellIs" dxfId="442" priority="51" operator="between">
      <formula>$AQ$23</formula>
      <formula>$AQ$24</formula>
    </cfRule>
    <cfRule type="cellIs" dxfId="441" priority="52" operator="between">
      <formula>$AQ$22</formula>
      <formula>$AQ$23</formula>
    </cfRule>
    <cfRule type="cellIs" dxfId="440" priority="53" operator="between">
      <formula>$AQ$21</formula>
      <formula>$AQ$22</formula>
    </cfRule>
  </conditionalFormatting>
  <conditionalFormatting sqref="BO28">
    <cfRule type="cellIs" dxfId="439" priority="46" operator="between">
      <formula>$AQ$24</formula>
      <formula>1000</formula>
    </cfRule>
    <cfRule type="cellIs" dxfId="438" priority="47" operator="between">
      <formula>$AQ$23</formula>
      <formula>$AQ$24</formula>
    </cfRule>
    <cfRule type="cellIs" dxfId="437" priority="48" operator="between">
      <formula>$AQ$22</formula>
      <formula>$AQ$23</formula>
    </cfRule>
    <cfRule type="cellIs" dxfId="436" priority="49" operator="between">
      <formula>$AQ$21</formula>
      <formula>$AQ$22</formula>
    </cfRule>
  </conditionalFormatting>
  <conditionalFormatting sqref="CP28">
    <cfRule type="cellIs" dxfId="435" priority="42" operator="between">
      <formula>$AQ$24</formula>
      <formula>1000</formula>
    </cfRule>
    <cfRule type="cellIs" dxfId="434" priority="43" operator="between">
      <formula>$AQ$23</formula>
      <formula>$AQ$24</formula>
    </cfRule>
    <cfRule type="cellIs" dxfId="433" priority="44" operator="between">
      <formula>$AQ$22</formula>
      <formula>$AQ$23</formula>
    </cfRule>
    <cfRule type="cellIs" dxfId="432" priority="45" operator="between">
      <formula>$AQ$21</formula>
      <formula>$AQ$22</formula>
    </cfRule>
  </conditionalFormatting>
  <conditionalFormatting sqref="DZ28">
    <cfRule type="cellIs" dxfId="431" priority="38" operator="between">
      <formula>$AQ$24</formula>
      <formula>1000</formula>
    </cfRule>
    <cfRule type="cellIs" dxfId="430" priority="39" operator="between">
      <formula>$AQ$23</formula>
      <formula>$AQ$24</formula>
    </cfRule>
    <cfRule type="cellIs" dxfId="429" priority="40" operator="between">
      <formula>$AQ$22</formula>
      <formula>$AQ$23</formula>
    </cfRule>
    <cfRule type="cellIs" dxfId="428" priority="41" operator="between">
      <formula>$AQ$21</formula>
      <formula>$AQ$22</formula>
    </cfRule>
  </conditionalFormatting>
  <conditionalFormatting sqref="FH28">
    <cfRule type="cellIs" dxfId="427" priority="34" operator="between">
      <formula>$AQ$24</formula>
      <formula>1000</formula>
    </cfRule>
    <cfRule type="cellIs" dxfId="426" priority="35" operator="between">
      <formula>$AQ$23</formula>
      <formula>$AQ$24</formula>
    </cfRule>
    <cfRule type="cellIs" dxfId="425" priority="36" operator="between">
      <formula>$AQ$22</formula>
      <formula>$AQ$23</formula>
    </cfRule>
    <cfRule type="cellIs" dxfId="424" priority="37" operator="between">
      <formula>$AQ$21</formula>
      <formula>$AQ$22</formula>
    </cfRule>
  </conditionalFormatting>
  <conditionalFormatting sqref="HX28">
    <cfRule type="cellIs" dxfId="423" priority="30" operator="between">
      <formula>$AQ$24</formula>
      <formula>1000</formula>
    </cfRule>
    <cfRule type="cellIs" dxfId="422" priority="31" operator="between">
      <formula>$AQ$23</formula>
      <formula>$AQ$24</formula>
    </cfRule>
    <cfRule type="cellIs" dxfId="421" priority="32" operator="between">
      <formula>$AQ$22</formula>
      <formula>$AQ$23</formula>
    </cfRule>
    <cfRule type="cellIs" dxfId="420" priority="33" operator="between">
      <formula>$AQ$21</formula>
      <formula>$AQ$22</formula>
    </cfRule>
  </conditionalFormatting>
  <conditionalFormatting sqref="K1:K1048576 M1:M1048576">
    <cfRule type="expression" dxfId="419" priority="79">
      <formula>IF(K1=$BS$1,1,0)</formula>
    </cfRule>
    <cfRule type="expression" dxfId="418" priority="80">
      <formula>IF(K1=$AR$1,1,0)</formula>
    </cfRule>
    <cfRule type="expression" dxfId="417" priority="81">
      <formula>IF(K1=$Q$1,1,0)</formula>
    </cfRule>
  </conditionalFormatting>
  <conditionalFormatting sqref="CN1:CN1048576 AL1:AL1048576">
    <cfRule type="cellIs" dxfId="416" priority="116965" operator="between">
      <formula>AQ$28</formula>
      <formula>1000</formula>
    </cfRule>
    <cfRule type="cellIs" dxfId="415" priority="116966" operator="between">
      <formula>AQ$27</formula>
      <formula>AQ$28</formula>
    </cfRule>
  </conditionalFormatting>
  <conditionalFormatting sqref="DU1:DU1048576 FC1:FC1048576 GK1:GK1048576 HS1:HS1048576 JA1:JA1048576 KI1:KI1048576 LQ1:LQ1048576 MY1:MY1048576 OG1:OG1048576 PO1:PO1048576 QW1:QW1048576 SE1:SE1048576 UU1:UU28 TM1:TM28 WC1:WC28">
    <cfRule type="cellIs" dxfId="414" priority="116977" operator="between">
      <formula>EC$28</formula>
      <formula>1000</formula>
    </cfRule>
    <cfRule type="cellIs" dxfId="413" priority="116978" operator="between">
      <formula>EC$27</formula>
      <formula>EC$28</formula>
    </cfRule>
  </conditionalFormatting>
  <conditionalFormatting sqref="AI1:AI1048576 AL1:AL1048576 AP1:AP1048576">
    <cfRule type="cellIs" dxfId="412" priority="117061" operator="between">
      <formula>$AQ$28</formula>
      <formula>1000</formula>
    </cfRule>
    <cfRule type="cellIs" dxfId="411" priority="117062" operator="between">
      <formula>$AQ$27</formula>
      <formula>$AQ$28</formula>
    </cfRule>
    <cfRule type="cellIs" dxfId="410" priority="117063" operator="between">
      <formula>$AQ$26</formula>
      <formula>$AQ$27</formula>
    </cfRule>
    <cfRule type="cellIs" dxfId="409" priority="117064" operator="between">
      <formula>$AQ$25</formula>
      <formula>$AQ$26</formula>
    </cfRule>
  </conditionalFormatting>
  <conditionalFormatting sqref="BJ1:BJ1048576 BM1:BM1048576 BQ1:BQ1048576">
    <cfRule type="cellIs" dxfId="408" priority="117097" operator="between">
      <formula>$BR$28</formula>
      <formula>1000</formula>
    </cfRule>
    <cfRule type="cellIs" dxfId="407" priority="117098" operator="between">
      <formula>$BR$27</formula>
      <formula>$BR$28</formula>
    </cfRule>
    <cfRule type="cellIs" dxfId="406" priority="117099" operator="between">
      <formula>$BR$26</formula>
      <formula>$BR$27</formula>
    </cfRule>
    <cfRule type="cellIs" dxfId="405" priority="117100" operator="between">
      <formula>$BR$25</formula>
      <formula>$BR$26</formula>
    </cfRule>
  </conditionalFormatting>
  <conditionalFormatting sqref="CK1:CK1048576 CN1:CN1048576 CR1:CR1048576">
    <cfRule type="cellIs" dxfId="404" priority="117133" operator="between">
      <formula>$CS$28</formula>
      <formula>1000</formula>
    </cfRule>
    <cfRule type="cellIs" dxfId="403" priority="117134" operator="between">
      <formula>$CS$27</formula>
      <formula>$CS$28</formula>
    </cfRule>
    <cfRule type="cellIs" dxfId="402" priority="117135" operator="between">
      <formula>$CS$26</formula>
      <formula>$CS$27</formula>
    </cfRule>
    <cfRule type="cellIs" dxfId="401" priority="117136" operator="between">
      <formula>$CS$25</formula>
      <formula>$CS$26</formula>
    </cfRule>
  </conditionalFormatting>
  <conditionalFormatting sqref="MT1:MT1048576 MW1:MW1048576 NA1:NA1048576 ND1:ND1048576">
    <cfRule type="cellIs" dxfId="400" priority="117169" operator="between">
      <formula>$NG$21</formula>
      <formula>$NG$22</formula>
    </cfRule>
  </conditionalFormatting>
  <conditionalFormatting sqref="DR1:DR1048576 DU1:DU1048576 DY1:DY1048576 EB1:EB1048576">
    <cfRule type="cellIs" dxfId="399" priority="117181" operator="between">
      <formula>$EC$28</formula>
      <formula>1000</formula>
    </cfRule>
    <cfRule type="cellIs" dxfId="398" priority="117182" operator="between">
      <formula>$EC$27</formula>
      <formula>$EC$28</formula>
    </cfRule>
    <cfRule type="cellIs" dxfId="397" priority="117183" operator="between">
      <formula>$EC$26</formula>
      <formula>$EC$27</formula>
    </cfRule>
    <cfRule type="cellIs" dxfId="396" priority="117184" operator="between">
      <formula>$EC$25</formula>
      <formula>$EC$26</formula>
    </cfRule>
  </conditionalFormatting>
  <conditionalFormatting sqref="EZ1:EZ1048576 FC1:FC1048576 FG1:FG1048576 FJ1:FJ1048576">
    <cfRule type="cellIs" dxfId="395" priority="117229" operator="between">
      <formula>$FK$28</formula>
      <formula>1000</formula>
    </cfRule>
    <cfRule type="cellIs" dxfId="394" priority="117230" operator="between">
      <formula>$FK$27</formula>
      <formula>$FK$28</formula>
    </cfRule>
    <cfRule type="cellIs" dxfId="393" priority="117231" operator="between">
      <formula>$FK$26</formula>
      <formula>$FK$27</formula>
    </cfRule>
    <cfRule type="cellIs" dxfId="392" priority="117232" operator="between">
      <formula>$FK$25</formula>
      <formula>$FK$26</formula>
    </cfRule>
  </conditionalFormatting>
  <conditionalFormatting sqref="GF1:GF1048576 GI1:GI1048576 GM1:GM1048576 GP1:GP1048576">
    <cfRule type="cellIs" dxfId="391" priority="117277" operator="between">
      <formula>$GS$24</formula>
      <formula>1000</formula>
    </cfRule>
    <cfRule type="cellIs" dxfId="390" priority="117278" operator="between">
      <formula>$GS$23</formula>
      <formula>$GS$24</formula>
    </cfRule>
    <cfRule type="cellIs" dxfId="389" priority="117279" operator="between">
      <formula>$GS$22</formula>
      <formula>$GS$23</formula>
    </cfRule>
    <cfRule type="cellIs" dxfId="388" priority="117280" operator="between">
      <formula>$GS$21</formula>
      <formula>$GS$22</formula>
    </cfRule>
  </conditionalFormatting>
  <conditionalFormatting sqref="GH1:GH1048576 GK1:GK1048576 GO1:GO1048576 GR1:GR1048576">
    <cfRule type="cellIs" dxfId="387" priority="117325" operator="between">
      <formula>$GS$28</formula>
      <formula>1000</formula>
    </cfRule>
    <cfRule type="cellIs" dxfId="386" priority="117326" operator="between">
      <formula>$GS$27</formula>
      <formula>$GS$28</formula>
    </cfRule>
    <cfRule type="cellIs" dxfId="385" priority="117327" operator="between">
      <formula>$GS$26</formula>
      <formula>$GS$27</formula>
    </cfRule>
    <cfRule type="cellIs" dxfId="384" priority="117328" operator="between">
      <formula>$GS$25</formula>
      <formula>$GS$26</formula>
    </cfRule>
  </conditionalFormatting>
  <conditionalFormatting sqref="HP1:HP1048576 HS1:HS1048576 HW1:HW1048576 HZ1:HZ1048576">
    <cfRule type="cellIs" dxfId="383" priority="117373" operator="between">
      <formula>$IA$28</formula>
      <formula>1000</formula>
    </cfRule>
    <cfRule type="cellIs" dxfId="382" priority="117374" operator="between">
      <formula>$IA$27</formula>
      <formula>$IA$28</formula>
    </cfRule>
    <cfRule type="cellIs" dxfId="381" priority="117375" operator="between">
      <formula>$IA$26</formula>
      <formula>$IA$27</formula>
    </cfRule>
    <cfRule type="cellIs" dxfId="380" priority="117376" operator="between">
      <formula>$IA$25</formula>
      <formula>$IA$26</formula>
    </cfRule>
  </conditionalFormatting>
  <conditionalFormatting sqref="IV1:IV1048576 IY1:IY1048576 JC1:JC1048576 JF1:JF1048576">
    <cfRule type="cellIs" dxfId="379" priority="117421" operator="between">
      <formula>$JI$24</formula>
      <formula>1000</formula>
    </cfRule>
    <cfRule type="cellIs" dxfId="378" priority="117422" operator="between">
      <formula>$JI$23</formula>
      <formula>$JI$24</formula>
    </cfRule>
    <cfRule type="cellIs" dxfId="377" priority="117423" operator="between">
      <formula>$JI$22</formula>
      <formula>$JI$23</formula>
    </cfRule>
    <cfRule type="cellIs" dxfId="376" priority="117424" operator="between">
      <formula>$JI$21</formula>
      <formula>$JI$22</formula>
    </cfRule>
  </conditionalFormatting>
  <conditionalFormatting sqref="IX1:IX1048576 JA1:JA1048576 JE1:JE1048576 JH1:JH1048576">
    <cfRule type="cellIs" dxfId="375" priority="117469" operator="between">
      <formula>$JI$28</formula>
      <formula>1000</formula>
    </cfRule>
    <cfRule type="cellIs" dxfId="374" priority="117470" operator="between">
      <formula>$JI$27</formula>
      <formula>$JI$28</formula>
    </cfRule>
    <cfRule type="cellIs" dxfId="373" priority="117471" operator="between">
      <formula>$JI$26</formula>
      <formula>$JI$27</formula>
    </cfRule>
    <cfRule type="cellIs" dxfId="372" priority="117472" operator="between">
      <formula>$JI$25</formula>
      <formula>$JI$26</formula>
    </cfRule>
  </conditionalFormatting>
  <conditionalFormatting sqref="KD1:KD1048576 KG1:KG1048576 KK1:KK1048576 KN1:KN1048576">
    <cfRule type="cellIs" dxfId="371" priority="117517" operator="between">
      <formula>$KQ$24</formula>
      <formula>1000</formula>
    </cfRule>
    <cfRule type="cellIs" dxfId="370" priority="117518" operator="between">
      <formula>$KQ$23</formula>
      <formula>$KQ$24</formula>
    </cfRule>
    <cfRule type="cellIs" dxfId="369" priority="117519" operator="between">
      <formula>$KQ$22</formula>
      <formula>$KQ$23</formula>
    </cfRule>
    <cfRule type="cellIs" dxfId="368" priority="117520" operator="between">
      <formula>$KQ$21</formula>
      <formula>$KQ$22</formula>
    </cfRule>
  </conditionalFormatting>
  <conditionalFormatting sqref="KF1:KF1048576 KI1:KI1048576 KM1:KM1048576 KP1:KP1048576">
    <cfRule type="cellIs" dxfId="367" priority="117565" operator="between">
      <formula>$KQ$28</formula>
      <formula>1000</formula>
    </cfRule>
    <cfRule type="cellIs" dxfId="366" priority="117566" operator="between">
      <formula>$KQ$27</formula>
      <formula>$KQ$28</formula>
    </cfRule>
    <cfRule type="cellIs" dxfId="365" priority="117567" operator="between">
      <formula>$KQ$26</formula>
      <formula>$KQ$27</formula>
    </cfRule>
    <cfRule type="cellIs" dxfId="364" priority="117568" operator="between">
      <formula>$KQ$25</formula>
      <formula>$KQ$26</formula>
    </cfRule>
  </conditionalFormatting>
  <conditionalFormatting sqref="LL1:LL1048576 LO1:LO1048576 LS1:LS1048576 LV1:LV1048576">
    <cfRule type="cellIs" dxfId="363" priority="117613" operator="between">
      <formula>$LY$24</formula>
      <formula>1000</formula>
    </cfRule>
    <cfRule type="cellIs" dxfId="362" priority="117614" operator="between">
      <formula>$LY$23</formula>
      <formula>$LY$24</formula>
    </cfRule>
    <cfRule type="cellIs" dxfId="361" priority="117615" operator="between">
      <formula>$LY$22</formula>
      <formula>$LY$23</formula>
    </cfRule>
    <cfRule type="cellIs" dxfId="360" priority="117616" operator="between">
      <formula>$LY$21</formula>
      <formula>$LY$22</formula>
    </cfRule>
  </conditionalFormatting>
  <conditionalFormatting sqref="LN1:LN1048576 LQ1:LQ1048576 LU1:LU1048576 LX1:LX1048576">
    <cfRule type="cellIs" dxfId="359" priority="117661" operator="between">
      <formula>$LY$28</formula>
      <formula>1000</formula>
    </cfRule>
    <cfRule type="cellIs" dxfId="358" priority="117662" operator="between">
      <formula>$LY$27</formula>
      <formula>$LY$28</formula>
    </cfRule>
    <cfRule type="cellIs" dxfId="357" priority="117663" operator="between">
      <formula>$LY$26</formula>
      <formula>$LY$27</formula>
    </cfRule>
    <cfRule type="cellIs" dxfId="356" priority="117664" operator="between">
      <formula>$LY$25</formula>
      <formula>$LY$26</formula>
    </cfRule>
  </conditionalFormatting>
  <conditionalFormatting sqref="MT1:MT1048576 MW1:MW1048576 NA1:NA1048576">
    <cfRule type="cellIs" dxfId="355" priority="117709" operator="between">
      <formula>$NG$24</formula>
      <formula>1000</formula>
    </cfRule>
    <cfRule type="cellIs" dxfId="354" priority="117710" operator="between">
      <formula>$NG$23</formula>
      <formula>$NG$24</formula>
    </cfRule>
    <cfRule type="cellIs" dxfId="353" priority="117711" operator="between">
      <formula>$NG$22</formula>
      <formula>$NG$23</formula>
    </cfRule>
  </conditionalFormatting>
  <conditionalFormatting sqref="MV1:MV1048576 MY1:MY1048576 NC1:NC1048576 NF1:NF1048576">
    <cfRule type="cellIs" dxfId="352" priority="117736" operator="between">
      <formula>$NG$28</formula>
      <formula>1000</formula>
    </cfRule>
    <cfRule type="cellIs" dxfId="351" priority="117737" operator="between">
      <formula>$NG$27</formula>
      <formula>$NG$28</formula>
    </cfRule>
    <cfRule type="cellIs" dxfId="350" priority="117738" operator="between">
      <formula>$NG$26</formula>
      <formula>$NG$27</formula>
    </cfRule>
    <cfRule type="cellIs" dxfId="349" priority="117739" operator="between">
      <formula>$NG$25</formula>
      <formula>$NG$26</formula>
    </cfRule>
  </conditionalFormatting>
  <conditionalFormatting sqref="OB1:OB1048576 OE1:OE1048576 OI1:OI1048576 OL1:OL1048576">
    <cfRule type="cellIs" dxfId="348" priority="117784" operator="between">
      <formula>$OO$24</formula>
      <formula>1000</formula>
    </cfRule>
    <cfRule type="cellIs" dxfId="347" priority="117785" operator="between">
      <formula>$OO$23</formula>
      <formula>$OO$24</formula>
    </cfRule>
    <cfRule type="cellIs" dxfId="346" priority="117786" operator="between">
      <formula>$OO$22</formula>
      <formula>$OO$23</formula>
    </cfRule>
    <cfRule type="cellIs" dxfId="345" priority="117787" operator="between">
      <formula>$OO$21</formula>
      <formula>$OO$22</formula>
    </cfRule>
  </conditionalFormatting>
  <conditionalFormatting sqref="OD1:OD1048576 OG1:OG1048576 OK1:OK1048576 ON1:ON1048576">
    <cfRule type="cellIs" dxfId="344" priority="117832" operator="between">
      <formula>$OO$28</formula>
      <formula>1000</formula>
    </cfRule>
    <cfRule type="cellIs" dxfId="343" priority="117833" operator="between">
      <formula>$OO$27</formula>
      <formula>$OO$28</formula>
    </cfRule>
    <cfRule type="cellIs" dxfId="342" priority="117834" operator="between">
      <formula>$OO$26</formula>
      <formula>$OO$27</formula>
    </cfRule>
    <cfRule type="cellIs" dxfId="341" priority="117835" operator="between">
      <formula>$OO$25</formula>
      <formula>$OO$26</formula>
    </cfRule>
  </conditionalFormatting>
  <conditionalFormatting sqref="PJ1:PJ1048576 PM1:PM1048576 PQ1:PQ1048576 PT1:PT1048576">
    <cfRule type="cellIs" dxfId="340" priority="117880" operator="between">
      <formula>$PW$24</formula>
      <formula>1000</formula>
    </cfRule>
    <cfRule type="cellIs" dxfId="339" priority="117881" operator="between">
      <formula>$PW$23</formula>
      <formula>$PW$24</formula>
    </cfRule>
    <cfRule type="cellIs" dxfId="338" priority="117882" operator="between">
      <formula>$PW$22</formula>
      <formula>$PW$23</formula>
    </cfRule>
    <cfRule type="cellIs" dxfId="337" priority="117883" operator="between">
      <formula>$PW$21</formula>
      <formula>$PW$22</formula>
    </cfRule>
  </conditionalFormatting>
  <conditionalFormatting sqref="PL1:PL1048576 PO1:PO1048576 PS1:PS1048576 PV1:PV1048576">
    <cfRule type="cellIs" dxfId="336" priority="117928" operator="between">
      <formula>$PW$28</formula>
      <formula>1000</formula>
    </cfRule>
    <cfRule type="cellIs" dxfId="335" priority="117929" operator="between">
      <formula>$PW$27</formula>
      <formula>$PW$28</formula>
    </cfRule>
    <cfRule type="cellIs" dxfId="334" priority="117930" operator="between">
      <formula>$PW$26</formula>
      <formula>$PW$27</formula>
    </cfRule>
    <cfRule type="cellIs" dxfId="333" priority="117931" operator="between">
      <formula>$PW$25</formula>
      <formula>$PW$26</formula>
    </cfRule>
  </conditionalFormatting>
  <conditionalFormatting sqref="QR1:QR1048576 QU1:QU1048576 QY1:QY1048576 RB1:RB1048576 TK1:TK28 TO1:TO28 TR1:TR28 WA1:WA28 WE1:WE28 WH1:WH28 TH1:TH28 VX1:VX28">
    <cfRule type="cellIs" dxfId="332" priority="117976" operator="between">
      <formula>$RE$24</formula>
      <formula>1000</formula>
    </cfRule>
    <cfRule type="cellIs" dxfId="331" priority="117977" operator="between">
      <formula>$RE$23</formula>
      <formula>$RE$24</formula>
    </cfRule>
    <cfRule type="cellIs" dxfId="330" priority="117978" operator="between">
      <formula>$RE$22</formula>
      <formula>$RE$23</formula>
    </cfRule>
    <cfRule type="cellIs" dxfId="329" priority="117979" operator="between">
      <formula>$RE$21</formula>
      <formula>$RE$22</formula>
    </cfRule>
  </conditionalFormatting>
  <conditionalFormatting sqref="QT1:QT1048576 QW1:QW1048576 RA1:RA1048576 RD1:RD1048576 TM1:TM28 TQ1:TQ28 TT1:TT28 WC1:WC28 WG1:WG28 WJ1:WJ28 TJ1:TJ28 VZ1:VZ28">
    <cfRule type="cellIs" dxfId="328" priority="118088" operator="between">
      <formula>$RE$28</formula>
      <formula>1000</formula>
    </cfRule>
    <cfRule type="cellIs" dxfId="327" priority="118089" operator="between">
      <formula>$RE$27</formula>
      <formula>$RE$28</formula>
    </cfRule>
    <cfRule type="cellIs" dxfId="326" priority="118090" operator="between">
      <formula>$RE$26</formula>
      <formula>$RE$27</formula>
    </cfRule>
    <cfRule type="cellIs" dxfId="325" priority="118091" operator="between">
      <formula>$RE$25</formula>
      <formula>$RE$26</formula>
    </cfRule>
  </conditionalFormatting>
  <conditionalFormatting sqref="RZ1:RZ1048576 SC1:SC1048576 SG1:SG1048576 SJ1:SJ1048576 US1:US28 UW1:UW28 UZ1:UZ28 UP1:UP28">
    <cfRule type="cellIs" dxfId="324" priority="118200" operator="between">
      <formula>$SM$24</formula>
      <formula>1000</formula>
    </cfRule>
    <cfRule type="cellIs" dxfId="323" priority="118201" operator="between">
      <formula>$SM$23</formula>
      <formula>$SM$24</formula>
    </cfRule>
    <cfRule type="cellIs" dxfId="322" priority="118202" operator="between">
      <formula>$SM$22</formula>
      <formula>$SM$23</formula>
    </cfRule>
    <cfRule type="cellIs" dxfId="321" priority="118203" operator="between">
      <formula>$SM$21</formula>
      <formula>$SM$22</formula>
    </cfRule>
  </conditionalFormatting>
  <conditionalFormatting sqref="SB1:SB1048576 SE1:SE1048576 SI1:SI1048576 SL1:SL1048576 UU1:UU28 UY1:UY28 VB1:VB28 UR1:UR28">
    <cfRule type="cellIs" dxfId="320" priority="118280" operator="between">
      <formula>$SM$28</formula>
      <formula>1000</formula>
    </cfRule>
    <cfRule type="cellIs" dxfId="319" priority="118281" operator="between">
      <formula>$SM$27</formula>
      <formula>$SM$28</formula>
    </cfRule>
    <cfRule type="cellIs" dxfId="318" priority="118282" operator="between">
      <formula>$SM$26</formula>
      <formula>$SM$27</formula>
    </cfRule>
    <cfRule type="cellIs" dxfId="317" priority="118283" operator="between">
      <formula>$SM$25</formula>
      <formula>$SM$26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460FC-9A04-AF46-8AD4-107EFB400784}">
  <sheetPr codeName="Sheet4"/>
  <dimension ref="A1:XL47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7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6" customWidth="1"/>
    <col min="44" max="59" width="10.83203125" hidden="1" customWidth="1"/>
    <col min="60" max="70" width="10.83203125" style="36" customWidth="1"/>
    <col min="71" max="86" width="10.83203125" hidden="1" customWidth="1"/>
    <col min="87" max="97" width="10.83203125" style="36" customWidth="1"/>
    <col min="98" max="99" width="12.83203125" style="36" customWidth="1"/>
    <col min="100" max="119" width="10.83203125" hidden="1" customWidth="1"/>
    <col min="120" max="132" width="10.83203125" customWidth="1"/>
    <col min="133" max="133" width="10.83203125" style="36" customWidth="1"/>
    <col min="134" max="153" width="10.83203125" hidden="1" customWidth="1"/>
    <col min="154" max="166" width="10.83203125" customWidth="1"/>
    <col min="167" max="167" width="10.83203125" style="36" customWidth="1"/>
    <col min="168" max="187" width="10.83203125" hidden="1" customWidth="1"/>
    <col min="188" max="200" width="10.83203125" customWidth="1"/>
    <col min="201" max="201" width="10.83203125" style="36" customWidth="1"/>
    <col min="202" max="221" width="10.83203125" hidden="1" customWidth="1"/>
    <col min="222" max="234" width="10.83203125" customWidth="1"/>
    <col min="235" max="235" width="10.83203125" style="36" customWidth="1"/>
    <col min="236" max="255" width="10.83203125" hidden="1" customWidth="1"/>
    <col min="256" max="268" width="10.83203125" customWidth="1"/>
    <col min="269" max="269" width="10.83203125" style="36" customWidth="1"/>
    <col min="270" max="467" width="10.83203125" hidden="1" customWidth="1"/>
    <col min="468" max="468" width="12.83203125" hidden="1" customWidth="1"/>
    <col min="469" max="534" width="10.83203125" hidden="1" customWidth="1"/>
    <col min="535" max="535" width="11.83203125" hidden="1" customWidth="1"/>
    <col min="536" max="536" width="12.83203125" hidden="1" customWidth="1"/>
    <col min="537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64" t="s">
        <v>1</v>
      </c>
      <c r="B1" s="64" t="s">
        <v>27</v>
      </c>
      <c r="C1" s="64" t="s">
        <v>0</v>
      </c>
      <c r="D1" s="64" t="s">
        <v>55</v>
      </c>
      <c r="E1" s="64" t="s">
        <v>2</v>
      </c>
      <c r="F1" s="65" t="s">
        <v>61</v>
      </c>
      <c r="G1" s="64" t="s">
        <v>10</v>
      </c>
      <c r="H1" s="64" t="s">
        <v>11</v>
      </c>
      <c r="I1" s="64" t="s">
        <v>83</v>
      </c>
      <c r="J1" s="70" t="s">
        <v>105</v>
      </c>
      <c r="K1" s="66" t="s">
        <v>30</v>
      </c>
      <c r="L1" s="70" t="s">
        <v>153</v>
      </c>
      <c r="M1" s="66" t="s">
        <v>30</v>
      </c>
      <c r="N1" s="69" t="s">
        <v>13</v>
      </c>
      <c r="O1" s="66" t="s">
        <v>31</v>
      </c>
      <c r="P1" s="66" t="s">
        <v>30</v>
      </c>
      <c r="Q1" s="67" t="s">
        <v>193</v>
      </c>
      <c r="R1" s="67"/>
      <c r="S1" s="67"/>
      <c r="T1" s="67"/>
      <c r="U1" s="67"/>
      <c r="V1" s="67"/>
      <c r="W1" s="67"/>
      <c r="X1" s="67"/>
      <c r="Y1" s="67"/>
      <c r="Z1" s="67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72" t="s">
        <v>232</v>
      </c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67" t="s">
        <v>253</v>
      </c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7"/>
      <c r="CJ1" s="67"/>
      <c r="CK1" s="67"/>
      <c r="CL1" s="67"/>
      <c r="CM1" s="67"/>
      <c r="CN1" s="67"/>
      <c r="CO1" s="67"/>
      <c r="CP1" s="67"/>
      <c r="CQ1" s="67"/>
      <c r="CR1" s="67"/>
      <c r="CS1" s="67"/>
      <c r="CT1" s="73" t="s">
        <v>13</v>
      </c>
      <c r="CU1" s="73"/>
      <c r="CV1" s="67" t="s">
        <v>189</v>
      </c>
      <c r="CW1" s="67"/>
      <c r="CX1" s="67"/>
      <c r="CY1" s="67"/>
      <c r="CZ1" s="67"/>
      <c r="DA1" s="67"/>
      <c r="DB1" s="67"/>
      <c r="DC1" s="67"/>
      <c r="DD1" s="67"/>
      <c r="DE1" s="67"/>
      <c r="DF1" s="67"/>
      <c r="DG1" s="67"/>
      <c r="DH1" s="67"/>
      <c r="DI1" s="67"/>
      <c r="DJ1" s="67"/>
      <c r="DK1" s="67"/>
      <c r="DL1" s="67"/>
      <c r="DM1" s="67"/>
      <c r="DN1" s="67"/>
      <c r="DO1" s="67"/>
      <c r="DP1" s="67"/>
      <c r="DQ1" s="67"/>
      <c r="DR1" s="67"/>
      <c r="DS1" s="67"/>
      <c r="DT1" s="67"/>
      <c r="DU1" s="67"/>
      <c r="DV1" s="67"/>
      <c r="DW1" s="67"/>
      <c r="DX1" s="67"/>
      <c r="DY1" s="67"/>
      <c r="DZ1" s="67"/>
      <c r="EA1" s="67"/>
      <c r="EB1" s="67"/>
      <c r="EC1" s="67"/>
      <c r="ED1" s="72" t="s">
        <v>192</v>
      </c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67" t="s">
        <v>222</v>
      </c>
      <c r="FM1" s="67"/>
      <c r="FN1" s="67"/>
      <c r="FO1" s="67"/>
      <c r="FP1" s="67"/>
      <c r="FQ1" s="67"/>
      <c r="FR1" s="67"/>
      <c r="FS1" s="67"/>
      <c r="FT1" s="67"/>
      <c r="FU1" s="67"/>
      <c r="FV1" s="67"/>
      <c r="FW1" s="67"/>
      <c r="FX1" s="67"/>
      <c r="FY1" s="67"/>
      <c r="FZ1" s="67"/>
      <c r="GA1" s="67"/>
      <c r="GB1" s="67"/>
      <c r="GC1" s="67"/>
      <c r="GD1" s="67"/>
      <c r="GE1" s="67"/>
      <c r="GF1" s="67"/>
      <c r="GG1" s="67"/>
      <c r="GH1" s="67"/>
      <c r="GI1" s="67"/>
      <c r="GJ1" s="67"/>
      <c r="GK1" s="67"/>
      <c r="GL1" s="67"/>
      <c r="GM1" s="67"/>
      <c r="GN1" s="67"/>
      <c r="GO1" s="67"/>
      <c r="GP1" s="67"/>
      <c r="GQ1" s="67"/>
      <c r="GR1" s="67"/>
      <c r="GS1" s="67"/>
      <c r="GT1" s="72" t="s">
        <v>240</v>
      </c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67" t="s">
        <v>244</v>
      </c>
      <c r="IC1" s="67"/>
      <c r="ID1" s="67"/>
      <c r="IE1" s="67"/>
      <c r="IF1" s="67"/>
      <c r="IG1" s="67"/>
      <c r="IH1" s="67"/>
      <c r="II1" s="67"/>
      <c r="IJ1" s="67"/>
      <c r="IK1" s="67"/>
      <c r="IL1" s="67"/>
      <c r="IM1" s="67"/>
      <c r="IN1" s="67"/>
      <c r="IO1" s="67"/>
      <c r="IP1" s="67"/>
      <c r="IQ1" s="67"/>
      <c r="IR1" s="67"/>
      <c r="IS1" s="67"/>
      <c r="IT1" s="67"/>
      <c r="IU1" s="67"/>
      <c r="IV1" s="67"/>
      <c r="IW1" s="67"/>
      <c r="IX1" s="67"/>
      <c r="IY1" s="67"/>
      <c r="IZ1" s="67"/>
      <c r="JA1" s="67"/>
      <c r="JB1" s="67"/>
      <c r="JC1" s="67"/>
      <c r="JD1" s="67"/>
      <c r="JE1" s="67"/>
      <c r="JF1" s="67"/>
      <c r="JG1" s="67"/>
      <c r="JH1" s="67"/>
      <c r="JI1" s="67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67"/>
      <c r="KS1" s="67"/>
      <c r="KT1" s="67"/>
      <c r="KU1" s="67"/>
      <c r="KV1" s="67"/>
      <c r="KW1" s="67"/>
      <c r="KX1" s="67"/>
      <c r="KY1" s="67"/>
      <c r="KZ1" s="67"/>
      <c r="LA1" s="67"/>
      <c r="LB1" s="67"/>
      <c r="LC1" s="67"/>
      <c r="LD1" s="67"/>
      <c r="LE1" s="67"/>
      <c r="LF1" s="67"/>
      <c r="LG1" s="67"/>
      <c r="LH1" s="67"/>
      <c r="LI1" s="67"/>
      <c r="LJ1" s="67"/>
      <c r="LK1" s="67"/>
      <c r="LL1" s="67"/>
      <c r="LM1" s="67"/>
      <c r="LN1" s="67"/>
      <c r="LO1" s="67"/>
      <c r="LP1" s="67"/>
      <c r="LQ1" s="67"/>
      <c r="LR1" s="67"/>
      <c r="LS1" s="67"/>
      <c r="LT1" s="67"/>
      <c r="LU1" s="67"/>
      <c r="LV1" s="67"/>
      <c r="LW1" s="67"/>
      <c r="LX1" s="67"/>
      <c r="LY1" s="67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67"/>
      <c r="NI1" s="67"/>
      <c r="NJ1" s="67"/>
      <c r="NK1" s="67"/>
      <c r="NL1" s="67"/>
      <c r="NM1" s="67"/>
      <c r="NN1" s="67"/>
      <c r="NO1" s="67"/>
      <c r="NP1" s="67"/>
      <c r="NQ1" s="67"/>
      <c r="NR1" s="67"/>
      <c r="NS1" s="67"/>
      <c r="NT1" s="67"/>
      <c r="NU1" s="67"/>
      <c r="NV1" s="67"/>
      <c r="NW1" s="67"/>
      <c r="NX1" s="67"/>
      <c r="NY1" s="67"/>
      <c r="NZ1" s="67"/>
      <c r="OA1" s="67"/>
      <c r="OB1" s="67"/>
      <c r="OC1" s="67"/>
      <c r="OD1" s="67"/>
      <c r="OE1" s="67"/>
      <c r="OF1" s="67"/>
      <c r="OG1" s="67"/>
      <c r="OH1" s="67"/>
      <c r="OI1" s="67"/>
      <c r="OJ1" s="67"/>
      <c r="OK1" s="67"/>
      <c r="OL1" s="67"/>
      <c r="OM1" s="67"/>
      <c r="ON1" s="67"/>
      <c r="OO1" s="67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67"/>
      <c r="PY1" s="67"/>
      <c r="PZ1" s="67"/>
      <c r="QA1" s="67"/>
      <c r="QB1" s="67"/>
      <c r="QC1" s="67"/>
      <c r="QD1" s="67"/>
      <c r="QE1" s="67"/>
      <c r="QF1" s="67"/>
      <c r="QG1" s="67"/>
      <c r="QH1" s="67"/>
      <c r="QI1" s="67"/>
      <c r="QJ1" s="67"/>
      <c r="QK1" s="67"/>
      <c r="QL1" s="67"/>
      <c r="QM1" s="67"/>
      <c r="QN1" s="67"/>
      <c r="QO1" s="67"/>
      <c r="QP1" s="67"/>
      <c r="QQ1" s="67"/>
      <c r="QR1" s="67"/>
      <c r="QS1" s="67"/>
      <c r="QT1" s="67"/>
      <c r="QU1" s="67"/>
      <c r="QV1" s="67"/>
      <c r="QW1" s="67"/>
      <c r="QX1" s="67"/>
      <c r="QY1" s="67"/>
      <c r="QZ1" s="67"/>
      <c r="RA1" s="67"/>
      <c r="RB1" s="67"/>
      <c r="RC1" s="67"/>
      <c r="RD1" s="67"/>
      <c r="RE1" s="67"/>
      <c r="RF1" s="72"/>
      <c r="RG1" s="72"/>
      <c r="RH1" s="72"/>
      <c r="RI1" s="72"/>
      <c r="RJ1" s="72"/>
      <c r="RK1" s="72"/>
      <c r="RL1" s="72"/>
      <c r="RM1" s="72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67"/>
      <c r="SO1" s="67"/>
      <c r="SP1" s="67"/>
      <c r="SQ1" s="67"/>
      <c r="SR1" s="67"/>
      <c r="SS1" s="67"/>
      <c r="ST1" s="67"/>
      <c r="SU1" s="67"/>
      <c r="SV1" s="67"/>
      <c r="SW1" s="67"/>
      <c r="SX1" s="67"/>
      <c r="SY1" s="67"/>
      <c r="SZ1" s="67"/>
      <c r="TA1" s="67"/>
      <c r="TB1" s="67"/>
      <c r="TC1" s="67"/>
      <c r="TD1" s="67"/>
      <c r="TE1" s="67"/>
      <c r="TF1" s="67"/>
      <c r="TG1" s="67"/>
      <c r="TH1" s="67"/>
      <c r="TI1" s="67"/>
      <c r="TJ1" s="67"/>
      <c r="TK1" s="67"/>
      <c r="TL1" s="67"/>
      <c r="TM1" s="67"/>
      <c r="TN1" s="67"/>
      <c r="TO1" s="67"/>
      <c r="TP1" s="67"/>
      <c r="TQ1" s="67"/>
      <c r="TR1" s="67"/>
      <c r="TS1" s="67"/>
      <c r="TT1" s="67"/>
      <c r="TU1" s="67"/>
      <c r="TV1" s="72"/>
      <c r="TW1" s="72"/>
      <c r="TX1" s="72"/>
      <c r="TY1" s="72"/>
      <c r="TZ1" s="72"/>
      <c r="UA1" s="72"/>
      <c r="UB1" s="72"/>
      <c r="UC1" s="72"/>
      <c r="UD1" s="72"/>
      <c r="UE1" s="72"/>
      <c r="UF1" s="72"/>
      <c r="UG1" s="72"/>
      <c r="UH1" s="72"/>
      <c r="UI1" s="72"/>
      <c r="UJ1" s="72"/>
      <c r="UK1" s="72"/>
      <c r="UL1" s="72"/>
      <c r="UM1" s="72"/>
      <c r="UN1" s="72"/>
      <c r="UO1" s="72"/>
      <c r="UP1" s="72"/>
      <c r="UQ1" s="72"/>
      <c r="UR1" s="72"/>
      <c r="US1" s="72"/>
      <c r="UT1" s="72"/>
      <c r="UU1" s="72"/>
      <c r="UV1" s="72"/>
      <c r="UW1" s="72"/>
      <c r="UX1" s="72"/>
      <c r="UY1" s="72"/>
      <c r="UZ1" s="72"/>
      <c r="VA1" s="72"/>
      <c r="VB1" s="72"/>
      <c r="VC1" s="72"/>
      <c r="VD1" s="67"/>
      <c r="VE1" s="67"/>
      <c r="VF1" s="67"/>
      <c r="VG1" s="67"/>
      <c r="VH1" s="67"/>
      <c r="VI1" s="67"/>
      <c r="VJ1" s="67"/>
      <c r="VK1" s="67"/>
      <c r="VL1" s="67"/>
      <c r="VM1" s="67"/>
      <c r="VN1" s="67"/>
      <c r="VO1" s="67"/>
      <c r="VP1" s="67"/>
      <c r="VQ1" s="67"/>
      <c r="VR1" s="67"/>
      <c r="VS1" s="67"/>
      <c r="VT1" s="67"/>
      <c r="VU1" s="67"/>
      <c r="VV1" s="67"/>
      <c r="VW1" s="67"/>
      <c r="VX1" s="67"/>
      <c r="VY1" s="67"/>
      <c r="VZ1" s="67"/>
      <c r="WA1" s="67"/>
      <c r="WB1" s="67"/>
      <c r="WC1" s="67"/>
      <c r="WD1" s="67"/>
      <c r="WE1" s="67"/>
      <c r="WF1" s="67"/>
      <c r="WG1" s="67"/>
      <c r="WH1" s="67"/>
      <c r="WI1" s="67"/>
      <c r="WJ1" s="67"/>
      <c r="WK1" s="67"/>
      <c r="WL1" s="72" t="s">
        <v>64</v>
      </c>
      <c r="WM1" s="72"/>
      <c r="WN1" s="72"/>
      <c r="WO1" s="72"/>
      <c r="WP1" s="72"/>
      <c r="WQ1" s="72"/>
      <c r="WR1" s="72"/>
      <c r="WS1" s="72"/>
      <c r="WT1" s="72"/>
      <c r="WU1" s="72"/>
      <c r="WV1" s="72"/>
      <c r="WW1" s="72"/>
      <c r="WX1" s="72"/>
      <c r="WY1" s="72"/>
      <c r="WZ1" s="72"/>
      <c r="XA1" s="72"/>
      <c r="XB1" s="72"/>
      <c r="XC1" s="72"/>
      <c r="XD1" s="72"/>
      <c r="XE1" s="72"/>
      <c r="XF1" s="72"/>
      <c r="XG1" s="72"/>
      <c r="XH1" s="72"/>
      <c r="XI1" s="72"/>
      <c r="XJ1" s="72"/>
      <c r="XK1" s="72"/>
      <c r="XL1" s="72"/>
    </row>
    <row r="2" spans="1:636" x14ac:dyDescent="0.2">
      <c r="A2" s="64"/>
      <c r="B2" s="64"/>
      <c r="C2" s="64"/>
      <c r="D2" s="64"/>
      <c r="E2" s="64"/>
      <c r="F2" s="65"/>
      <c r="G2" s="64"/>
      <c r="H2" s="64"/>
      <c r="I2" s="64"/>
      <c r="J2" s="70"/>
      <c r="K2" s="66"/>
      <c r="L2" s="70"/>
      <c r="M2" s="66"/>
      <c r="N2" s="69"/>
      <c r="O2" s="66"/>
      <c r="P2" s="66"/>
      <c r="Q2" s="68" t="s">
        <v>18</v>
      </c>
      <c r="R2" s="68"/>
      <c r="S2" s="68"/>
      <c r="T2" s="68"/>
      <c r="U2" s="68"/>
      <c r="V2" s="68" t="s">
        <v>19</v>
      </c>
      <c r="W2" s="68"/>
      <c r="X2" s="68"/>
      <c r="Y2" s="68"/>
      <c r="Z2" s="68"/>
      <c r="AA2" s="68" t="s">
        <v>22</v>
      </c>
      <c r="AB2" s="68"/>
      <c r="AC2" s="68"/>
      <c r="AD2" s="68"/>
      <c r="AE2" s="68"/>
      <c r="AF2" s="14"/>
      <c r="AG2" s="14" t="s">
        <v>97</v>
      </c>
      <c r="AH2" s="14" t="s">
        <v>129</v>
      </c>
      <c r="AI2" s="14" t="s">
        <v>20</v>
      </c>
      <c r="AJ2" s="14" t="s">
        <v>77</v>
      </c>
      <c r="AK2" s="14" t="s">
        <v>128</v>
      </c>
      <c r="AL2" s="14" t="s">
        <v>21</v>
      </c>
      <c r="AM2" s="14" t="s">
        <v>23</v>
      </c>
      <c r="AN2" s="14" t="s">
        <v>100</v>
      </c>
      <c r="AO2" s="14" t="s">
        <v>130</v>
      </c>
      <c r="AP2" s="14" t="s">
        <v>22</v>
      </c>
      <c r="AQ2" s="14" t="s">
        <v>17</v>
      </c>
      <c r="AR2" s="71" t="s">
        <v>18</v>
      </c>
      <c r="AS2" s="71"/>
      <c r="AT2" s="71"/>
      <c r="AU2" s="71"/>
      <c r="AV2" s="71"/>
      <c r="AW2" s="71" t="s">
        <v>19</v>
      </c>
      <c r="AX2" s="71"/>
      <c r="AY2" s="71"/>
      <c r="AZ2" s="71"/>
      <c r="BA2" s="71"/>
      <c r="BB2" s="71" t="s">
        <v>22</v>
      </c>
      <c r="BC2" s="71"/>
      <c r="BD2" s="71"/>
      <c r="BE2" s="71"/>
      <c r="BF2" s="71"/>
      <c r="BG2" s="13"/>
      <c r="BH2" s="13" t="s">
        <v>97</v>
      </c>
      <c r="BI2" s="13" t="s">
        <v>129</v>
      </c>
      <c r="BJ2" s="13" t="s">
        <v>20</v>
      </c>
      <c r="BK2" s="13" t="s">
        <v>77</v>
      </c>
      <c r="BL2" s="13" t="s">
        <v>128</v>
      </c>
      <c r="BM2" s="13" t="s">
        <v>21</v>
      </c>
      <c r="BN2" s="13" t="s">
        <v>23</v>
      </c>
      <c r="BO2" s="13" t="s">
        <v>100</v>
      </c>
      <c r="BP2" s="13" t="s">
        <v>130</v>
      </c>
      <c r="BQ2" s="13" t="s">
        <v>22</v>
      </c>
      <c r="BR2" s="13" t="s">
        <v>17</v>
      </c>
      <c r="BS2" s="68" t="s">
        <v>18</v>
      </c>
      <c r="BT2" s="68"/>
      <c r="BU2" s="68"/>
      <c r="BV2" s="68"/>
      <c r="BW2" s="68"/>
      <c r="BX2" s="68" t="s">
        <v>19</v>
      </c>
      <c r="BY2" s="68"/>
      <c r="BZ2" s="68"/>
      <c r="CA2" s="68"/>
      <c r="CB2" s="68"/>
      <c r="CC2" s="68" t="s">
        <v>22</v>
      </c>
      <c r="CD2" s="68"/>
      <c r="CE2" s="68"/>
      <c r="CF2" s="68"/>
      <c r="CG2" s="68"/>
      <c r="CH2" s="14"/>
      <c r="CI2" s="14" t="s">
        <v>97</v>
      </c>
      <c r="CJ2" s="14" t="s">
        <v>129</v>
      </c>
      <c r="CK2" s="14" t="s">
        <v>20</v>
      </c>
      <c r="CL2" s="14" t="s">
        <v>77</v>
      </c>
      <c r="CM2" s="14" t="s">
        <v>128</v>
      </c>
      <c r="CN2" s="14" t="s">
        <v>21</v>
      </c>
      <c r="CO2" s="14" t="s">
        <v>23</v>
      </c>
      <c r="CP2" s="14" t="s">
        <v>100</v>
      </c>
      <c r="CQ2" s="14" t="s">
        <v>130</v>
      </c>
      <c r="CR2" s="14" t="s">
        <v>22</v>
      </c>
      <c r="CS2" s="14" t="s">
        <v>17</v>
      </c>
      <c r="CT2" s="50" t="s">
        <v>23</v>
      </c>
      <c r="CU2" s="50" t="s">
        <v>22</v>
      </c>
      <c r="CV2" s="68" t="s">
        <v>18</v>
      </c>
      <c r="CW2" s="68"/>
      <c r="CX2" s="68"/>
      <c r="CY2" s="68"/>
      <c r="CZ2" s="68"/>
      <c r="DA2" s="68" t="s">
        <v>19</v>
      </c>
      <c r="DB2" s="68"/>
      <c r="DC2" s="68"/>
      <c r="DD2" s="68"/>
      <c r="DE2" s="68"/>
      <c r="DF2" s="68" t="s">
        <v>102</v>
      </c>
      <c r="DG2" s="68"/>
      <c r="DH2" s="68"/>
      <c r="DI2" s="68"/>
      <c r="DJ2" s="68"/>
      <c r="DK2" s="68" t="s">
        <v>22</v>
      </c>
      <c r="DL2" s="68"/>
      <c r="DM2" s="68"/>
      <c r="DN2" s="68"/>
      <c r="DO2" s="68"/>
      <c r="DP2" s="14" t="s">
        <v>97</v>
      </c>
      <c r="DQ2" s="14" t="s">
        <v>129</v>
      </c>
      <c r="DR2" s="14" t="s">
        <v>20</v>
      </c>
      <c r="DS2" s="14" t="s">
        <v>77</v>
      </c>
      <c r="DT2" s="14" t="s">
        <v>128</v>
      </c>
      <c r="DU2" s="14" t="s">
        <v>21</v>
      </c>
      <c r="DV2" s="14" t="s">
        <v>23</v>
      </c>
      <c r="DW2" s="14" t="s">
        <v>103</v>
      </c>
      <c r="DX2" s="14" t="s">
        <v>131</v>
      </c>
      <c r="DY2" s="14" t="s">
        <v>102</v>
      </c>
      <c r="DZ2" s="14" t="s">
        <v>100</v>
      </c>
      <c r="EA2" s="14" t="s">
        <v>130</v>
      </c>
      <c r="EB2" s="14" t="s">
        <v>22</v>
      </c>
      <c r="EC2" s="14" t="s">
        <v>17</v>
      </c>
      <c r="ED2" s="71" t="s">
        <v>18</v>
      </c>
      <c r="EE2" s="71"/>
      <c r="EF2" s="71"/>
      <c r="EG2" s="71"/>
      <c r="EH2" s="71"/>
      <c r="EI2" s="71" t="s">
        <v>19</v>
      </c>
      <c r="EJ2" s="71"/>
      <c r="EK2" s="71"/>
      <c r="EL2" s="71"/>
      <c r="EM2" s="71"/>
      <c r="EN2" s="71" t="s">
        <v>102</v>
      </c>
      <c r="EO2" s="71"/>
      <c r="EP2" s="71"/>
      <c r="EQ2" s="71"/>
      <c r="ER2" s="71"/>
      <c r="ES2" s="71" t="s">
        <v>22</v>
      </c>
      <c r="ET2" s="71"/>
      <c r="EU2" s="71"/>
      <c r="EV2" s="71"/>
      <c r="EW2" s="71"/>
      <c r="EX2" s="13" t="s">
        <v>97</v>
      </c>
      <c r="EY2" s="13" t="s">
        <v>129</v>
      </c>
      <c r="EZ2" s="13" t="s">
        <v>20</v>
      </c>
      <c r="FA2" s="13" t="s">
        <v>77</v>
      </c>
      <c r="FB2" s="13" t="s">
        <v>128</v>
      </c>
      <c r="FC2" s="13" t="s">
        <v>21</v>
      </c>
      <c r="FD2" s="13" t="s">
        <v>23</v>
      </c>
      <c r="FE2" s="13" t="s">
        <v>103</v>
      </c>
      <c r="FF2" s="13" t="s">
        <v>131</v>
      </c>
      <c r="FG2" s="13" t="s">
        <v>102</v>
      </c>
      <c r="FH2" s="13" t="s">
        <v>100</v>
      </c>
      <c r="FI2" s="13" t="s">
        <v>130</v>
      </c>
      <c r="FJ2" s="13" t="s">
        <v>22</v>
      </c>
      <c r="FK2" s="13" t="s">
        <v>17</v>
      </c>
      <c r="FL2" s="68" t="s">
        <v>18</v>
      </c>
      <c r="FM2" s="68"/>
      <c r="FN2" s="68"/>
      <c r="FO2" s="68"/>
      <c r="FP2" s="68"/>
      <c r="FQ2" s="68" t="s">
        <v>19</v>
      </c>
      <c r="FR2" s="68"/>
      <c r="FS2" s="68"/>
      <c r="FT2" s="68"/>
      <c r="FU2" s="68"/>
      <c r="FV2" s="68" t="s">
        <v>102</v>
      </c>
      <c r="FW2" s="68"/>
      <c r="FX2" s="68"/>
      <c r="FY2" s="68"/>
      <c r="FZ2" s="68"/>
      <c r="GA2" s="68" t="s">
        <v>22</v>
      </c>
      <c r="GB2" s="68"/>
      <c r="GC2" s="68"/>
      <c r="GD2" s="68"/>
      <c r="GE2" s="68"/>
      <c r="GF2" s="14" t="s">
        <v>97</v>
      </c>
      <c r="GG2" s="14" t="s">
        <v>129</v>
      </c>
      <c r="GH2" s="14" t="s">
        <v>20</v>
      </c>
      <c r="GI2" s="14" t="s">
        <v>77</v>
      </c>
      <c r="GJ2" s="14" t="s">
        <v>128</v>
      </c>
      <c r="GK2" s="14" t="s">
        <v>21</v>
      </c>
      <c r="GL2" s="14" t="s">
        <v>23</v>
      </c>
      <c r="GM2" s="14" t="s">
        <v>103</v>
      </c>
      <c r="GN2" s="14" t="s">
        <v>131</v>
      </c>
      <c r="GO2" s="14" t="s">
        <v>102</v>
      </c>
      <c r="GP2" s="14" t="s">
        <v>100</v>
      </c>
      <c r="GQ2" s="14" t="s">
        <v>130</v>
      </c>
      <c r="GR2" s="14" t="s">
        <v>22</v>
      </c>
      <c r="GS2" s="14" t="s">
        <v>17</v>
      </c>
      <c r="GT2" s="71" t="s">
        <v>18</v>
      </c>
      <c r="GU2" s="71"/>
      <c r="GV2" s="71"/>
      <c r="GW2" s="71"/>
      <c r="GX2" s="71"/>
      <c r="GY2" s="71" t="s">
        <v>19</v>
      </c>
      <c r="GZ2" s="71"/>
      <c r="HA2" s="71"/>
      <c r="HB2" s="71"/>
      <c r="HC2" s="71"/>
      <c r="HD2" s="71" t="s">
        <v>102</v>
      </c>
      <c r="HE2" s="71"/>
      <c r="HF2" s="71"/>
      <c r="HG2" s="71"/>
      <c r="HH2" s="71"/>
      <c r="HI2" s="71" t="s">
        <v>22</v>
      </c>
      <c r="HJ2" s="71"/>
      <c r="HK2" s="71"/>
      <c r="HL2" s="71"/>
      <c r="HM2" s="71"/>
      <c r="HN2" s="13" t="s">
        <v>97</v>
      </c>
      <c r="HO2" s="13" t="s">
        <v>129</v>
      </c>
      <c r="HP2" s="13" t="s">
        <v>20</v>
      </c>
      <c r="HQ2" s="13" t="s">
        <v>77</v>
      </c>
      <c r="HR2" s="13" t="s">
        <v>128</v>
      </c>
      <c r="HS2" s="13" t="s">
        <v>21</v>
      </c>
      <c r="HT2" s="13" t="s">
        <v>23</v>
      </c>
      <c r="HU2" s="13" t="s">
        <v>103</v>
      </c>
      <c r="HV2" s="13" t="s">
        <v>131</v>
      </c>
      <c r="HW2" s="13" t="s">
        <v>102</v>
      </c>
      <c r="HX2" s="13" t="s">
        <v>100</v>
      </c>
      <c r="HY2" s="13" t="s">
        <v>130</v>
      </c>
      <c r="HZ2" s="13" t="s">
        <v>22</v>
      </c>
      <c r="IA2" s="13" t="s">
        <v>17</v>
      </c>
      <c r="IB2" s="68" t="s">
        <v>18</v>
      </c>
      <c r="IC2" s="68"/>
      <c r="ID2" s="68"/>
      <c r="IE2" s="68"/>
      <c r="IF2" s="68"/>
      <c r="IG2" s="68" t="s">
        <v>19</v>
      </c>
      <c r="IH2" s="68"/>
      <c r="II2" s="68"/>
      <c r="IJ2" s="68"/>
      <c r="IK2" s="68"/>
      <c r="IL2" s="68" t="s">
        <v>102</v>
      </c>
      <c r="IM2" s="68"/>
      <c r="IN2" s="68"/>
      <c r="IO2" s="68"/>
      <c r="IP2" s="68"/>
      <c r="IQ2" s="68" t="s">
        <v>22</v>
      </c>
      <c r="IR2" s="68"/>
      <c r="IS2" s="68"/>
      <c r="IT2" s="68"/>
      <c r="IU2" s="68"/>
      <c r="IV2" s="14" t="s">
        <v>97</v>
      </c>
      <c r="IW2" s="14" t="s">
        <v>129</v>
      </c>
      <c r="IX2" s="14" t="s">
        <v>20</v>
      </c>
      <c r="IY2" s="14" t="s">
        <v>77</v>
      </c>
      <c r="IZ2" s="14" t="s">
        <v>128</v>
      </c>
      <c r="JA2" s="14" t="s">
        <v>21</v>
      </c>
      <c r="JB2" s="14" t="s">
        <v>23</v>
      </c>
      <c r="JC2" s="14" t="s">
        <v>103</v>
      </c>
      <c r="JD2" s="14" t="s">
        <v>131</v>
      </c>
      <c r="JE2" s="14" t="s">
        <v>102</v>
      </c>
      <c r="JF2" s="14" t="s">
        <v>100</v>
      </c>
      <c r="JG2" s="14" t="s">
        <v>130</v>
      </c>
      <c r="JH2" s="14" t="s">
        <v>22</v>
      </c>
      <c r="JI2" s="14" t="s">
        <v>17</v>
      </c>
      <c r="JJ2" s="71" t="s">
        <v>18</v>
      </c>
      <c r="JK2" s="71"/>
      <c r="JL2" s="71"/>
      <c r="JM2" s="71"/>
      <c r="JN2" s="71"/>
      <c r="JO2" s="71" t="s">
        <v>19</v>
      </c>
      <c r="JP2" s="71"/>
      <c r="JQ2" s="71"/>
      <c r="JR2" s="71"/>
      <c r="JS2" s="71"/>
      <c r="JT2" s="71" t="s">
        <v>102</v>
      </c>
      <c r="JU2" s="71"/>
      <c r="JV2" s="71"/>
      <c r="JW2" s="71"/>
      <c r="JX2" s="71"/>
      <c r="JY2" s="71" t="s">
        <v>22</v>
      </c>
      <c r="JZ2" s="71"/>
      <c r="KA2" s="71"/>
      <c r="KB2" s="71"/>
      <c r="KC2" s="71"/>
      <c r="KD2" s="13" t="s">
        <v>97</v>
      </c>
      <c r="KE2" s="13" t="s">
        <v>129</v>
      </c>
      <c r="KF2" s="13" t="s">
        <v>20</v>
      </c>
      <c r="KG2" s="13" t="s">
        <v>77</v>
      </c>
      <c r="KH2" s="13" t="s">
        <v>128</v>
      </c>
      <c r="KI2" s="13" t="s">
        <v>21</v>
      </c>
      <c r="KJ2" s="13" t="s">
        <v>23</v>
      </c>
      <c r="KK2" s="13" t="s">
        <v>103</v>
      </c>
      <c r="KL2" s="13" t="s">
        <v>131</v>
      </c>
      <c r="KM2" s="13" t="s">
        <v>102</v>
      </c>
      <c r="KN2" s="13" t="s">
        <v>100</v>
      </c>
      <c r="KO2" s="13" t="s">
        <v>130</v>
      </c>
      <c r="KP2" s="13" t="s">
        <v>22</v>
      </c>
      <c r="KQ2" s="13" t="s">
        <v>17</v>
      </c>
      <c r="KR2" s="68" t="s">
        <v>18</v>
      </c>
      <c r="KS2" s="68"/>
      <c r="KT2" s="68"/>
      <c r="KU2" s="68"/>
      <c r="KV2" s="68"/>
      <c r="KW2" s="68" t="s">
        <v>19</v>
      </c>
      <c r="KX2" s="68"/>
      <c r="KY2" s="68"/>
      <c r="KZ2" s="68"/>
      <c r="LA2" s="68"/>
      <c r="LB2" s="68" t="s">
        <v>102</v>
      </c>
      <c r="LC2" s="68"/>
      <c r="LD2" s="68"/>
      <c r="LE2" s="68"/>
      <c r="LF2" s="68"/>
      <c r="LG2" s="68" t="s">
        <v>22</v>
      </c>
      <c r="LH2" s="68"/>
      <c r="LI2" s="68"/>
      <c r="LJ2" s="68"/>
      <c r="LK2" s="68"/>
      <c r="LL2" s="14" t="s">
        <v>97</v>
      </c>
      <c r="LM2" s="14" t="s">
        <v>129</v>
      </c>
      <c r="LN2" s="14" t="s">
        <v>20</v>
      </c>
      <c r="LO2" s="14" t="s">
        <v>77</v>
      </c>
      <c r="LP2" s="14" t="s">
        <v>128</v>
      </c>
      <c r="LQ2" s="14" t="s">
        <v>21</v>
      </c>
      <c r="LR2" s="14" t="s">
        <v>23</v>
      </c>
      <c r="LS2" s="14" t="s">
        <v>103</v>
      </c>
      <c r="LT2" s="14" t="s">
        <v>131</v>
      </c>
      <c r="LU2" s="14" t="s">
        <v>102</v>
      </c>
      <c r="LV2" s="14" t="s">
        <v>100</v>
      </c>
      <c r="LW2" s="14" t="s">
        <v>130</v>
      </c>
      <c r="LX2" s="14" t="s">
        <v>22</v>
      </c>
      <c r="LY2" s="14" t="s">
        <v>17</v>
      </c>
      <c r="LZ2" s="71" t="s">
        <v>18</v>
      </c>
      <c r="MA2" s="71"/>
      <c r="MB2" s="71"/>
      <c r="MC2" s="71"/>
      <c r="MD2" s="71"/>
      <c r="ME2" s="71" t="s">
        <v>19</v>
      </c>
      <c r="MF2" s="71"/>
      <c r="MG2" s="71"/>
      <c r="MH2" s="71"/>
      <c r="MI2" s="71"/>
      <c r="MJ2" s="71" t="s">
        <v>102</v>
      </c>
      <c r="MK2" s="71"/>
      <c r="ML2" s="71"/>
      <c r="MM2" s="71"/>
      <c r="MN2" s="71"/>
      <c r="MO2" s="71" t="s">
        <v>22</v>
      </c>
      <c r="MP2" s="71"/>
      <c r="MQ2" s="71"/>
      <c r="MR2" s="71"/>
      <c r="MS2" s="71"/>
      <c r="MT2" s="13" t="s">
        <v>97</v>
      </c>
      <c r="MU2" s="13" t="s">
        <v>129</v>
      </c>
      <c r="MV2" s="13" t="s">
        <v>20</v>
      </c>
      <c r="MW2" s="13" t="s">
        <v>77</v>
      </c>
      <c r="MX2" s="13" t="s">
        <v>128</v>
      </c>
      <c r="MY2" s="13" t="s">
        <v>21</v>
      </c>
      <c r="MZ2" s="13" t="s">
        <v>23</v>
      </c>
      <c r="NA2" s="13" t="s">
        <v>103</v>
      </c>
      <c r="NB2" s="13" t="s">
        <v>131</v>
      </c>
      <c r="NC2" s="13" t="s">
        <v>102</v>
      </c>
      <c r="ND2" s="13" t="s">
        <v>100</v>
      </c>
      <c r="NE2" s="13" t="s">
        <v>130</v>
      </c>
      <c r="NF2" s="13" t="s">
        <v>22</v>
      </c>
      <c r="NG2" s="13" t="s">
        <v>17</v>
      </c>
      <c r="NH2" s="68" t="s">
        <v>18</v>
      </c>
      <c r="NI2" s="68"/>
      <c r="NJ2" s="68"/>
      <c r="NK2" s="68"/>
      <c r="NL2" s="68"/>
      <c r="NM2" s="68" t="s">
        <v>19</v>
      </c>
      <c r="NN2" s="68"/>
      <c r="NO2" s="68"/>
      <c r="NP2" s="68"/>
      <c r="NQ2" s="68"/>
      <c r="NR2" s="68" t="s">
        <v>102</v>
      </c>
      <c r="NS2" s="68"/>
      <c r="NT2" s="68"/>
      <c r="NU2" s="68"/>
      <c r="NV2" s="68"/>
      <c r="NW2" s="68" t="s">
        <v>22</v>
      </c>
      <c r="NX2" s="68"/>
      <c r="NY2" s="68"/>
      <c r="NZ2" s="68"/>
      <c r="OA2" s="68"/>
      <c r="OB2" s="14" t="s">
        <v>97</v>
      </c>
      <c r="OC2" s="14" t="s">
        <v>129</v>
      </c>
      <c r="OD2" s="14" t="s">
        <v>20</v>
      </c>
      <c r="OE2" s="14" t="s">
        <v>77</v>
      </c>
      <c r="OF2" s="14" t="s">
        <v>128</v>
      </c>
      <c r="OG2" s="14" t="s">
        <v>21</v>
      </c>
      <c r="OH2" s="14" t="s">
        <v>23</v>
      </c>
      <c r="OI2" s="14" t="s">
        <v>103</v>
      </c>
      <c r="OJ2" s="14" t="s">
        <v>131</v>
      </c>
      <c r="OK2" s="14" t="s">
        <v>102</v>
      </c>
      <c r="OL2" s="14" t="s">
        <v>100</v>
      </c>
      <c r="OM2" s="14" t="s">
        <v>130</v>
      </c>
      <c r="ON2" s="14" t="s">
        <v>22</v>
      </c>
      <c r="OO2" s="14" t="s">
        <v>17</v>
      </c>
      <c r="OP2" s="71" t="s">
        <v>18</v>
      </c>
      <c r="OQ2" s="71"/>
      <c r="OR2" s="71"/>
      <c r="OS2" s="71"/>
      <c r="OT2" s="71"/>
      <c r="OU2" s="71" t="s">
        <v>19</v>
      </c>
      <c r="OV2" s="71"/>
      <c r="OW2" s="71"/>
      <c r="OX2" s="71"/>
      <c r="OY2" s="71"/>
      <c r="OZ2" s="71" t="s">
        <v>102</v>
      </c>
      <c r="PA2" s="71"/>
      <c r="PB2" s="71"/>
      <c r="PC2" s="71"/>
      <c r="PD2" s="71"/>
      <c r="PE2" s="71" t="s">
        <v>22</v>
      </c>
      <c r="PF2" s="71"/>
      <c r="PG2" s="71"/>
      <c r="PH2" s="71"/>
      <c r="PI2" s="71"/>
      <c r="PJ2" s="13" t="s">
        <v>97</v>
      </c>
      <c r="PK2" s="13" t="s">
        <v>129</v>
      </c>
      <c r="PL2" s="13" t="s">
        <v>20</v>
      </c>
      <c r="PM2" s="13" t="s">
        <v>77</v>
      </c>
      <c r="PN2" s="13" t="s">
        <v>128</v>
      </c>
      <c r="PO2" s="13" t="s">
        <v>21</v>
      </c>
      <c r="PP2" s="13" t="s">
        <v>23</v>
      </c>
      <c r="PQ2" s="13" t="s">
        <v>103</v>
      </c>
      <c r="PR2" s="13" t="s">
        <v>131</v>
      </c>
      <c r="PS2" s="13" t="s">
        <v>102</v>
      </c>
      <c r="PT2" s="13" t="s">
        <v>100</v>
      </c>
      <c r="PU2" s="13" t="s">
        <v>130</v>
      </c>
      <c r="PV2" s="13" t="s">
        <v>22</v>
      </c>
      <c r="PW2" s="13" t="s">
        <v>17</v>
      </c>
      <c r="PX2" s="68" t="s">
        <v>18</v>
      </c>
      <c r="PY2" s="68"/>
      <c r="PZ2" s="68"/>
      <c r="QA2" s="68"/>
      <c r="QB2" s="68"/>
      <c r="QC2" s="68" t="s">
        <v>19</v>
      </c>
      <c r="QD2" s="68"/>
      <c r="QE2" s="68"/>
      <c r="QF2" s="68"/>
      <c r="QG2" s="68"/>
      <c r="QH2" s="68" t="s">
        <v>102</v>
      </c>
      <c r="QI2" s="68"/>
      <c r="QJ2" s="68"/>
      <c r="QK2" s="68"/>
      <c r="QL2" s="68"/>
      <c r="QM2" s="68" t="s">
        <v>22</v>
      </c>
      <c r="QN2" s="68"/>
      <c r="QO2" s="68"/>
      <c r="QP2" s="68"/>
      <c r="QQ2" s="68"/>
      <c r="QR2" s="14" t="s">
        <v>97</v>
      </c>
      <c r="QS2" s="14" t="s">
        <v>129</v>
      </c>
      <c r="QT2" s="14" t="s">
        <v>20</v>
      </c>
      <c r="QU2" s="14" t="s">
        <v>77</v>
      </c>
      <c r="QV2" s="14" t="s">
        <v>128</v>
      </c>
      <c r="QW2" s="14" t="s">
        <v>21</v>
      </c>
      <c r="QX2" s="14" t="s">
        <v>23</v>
      </c>
      <c r="QY2" s="14" t="s">
        <v>103</v>
      </c>
      <c r="QZ2" s="14" t="s">
        <v>131</v>
      </c>
      <c r="RA2" s="14" t="s">
        <v>102</v>
      </c>
      <c r="RB2" s="14" t="s">
        <v>100</v>
      </c>
      <c r="RC2" s="14" t="s">
        <v>130</v>
      </c>
      <c r="RD2" s="14" t="s">
        <v>22</v>
      </c>
      <c r="RE2" s="14" t="s">
        <v>17</v>
      </c>
      <c r="RF2" s="71" t="s">
        <v>18</v>
      </c>
      <c r="RG2" s="71"/>
      <c r="RH2" s="71"/>
      <c r="RI2" s="71"/>
      <c r="RJ2" s="71"/>
      <c r="RK2" s="71" t="s">
        <v>19</v>
      </c>
      <c r="RL2" s="71"/>
      <c r="RM2" s="71"/>
      <c r="RN2" s="71"/>
      <c r="RO2" s="71"/>
      <c r="RP2" s="71" t="s">
        <v>102</v>
      </c>
      <c r="RQ2" s="71"/>
      <c r="RR2" s="71"/>
      <c r="RS2" s="71"/>
      <c r="RT2" s="71"/>
      <c r="RU2" s="71" t="s">
        <v>22</v>
      </c>
      <c r="RV2" s="71"/>
      <c r="RW2" s="71"/>
      <c r="RX2" s="71"/>
      <c r="RY2" s="71"/>
      <c r="RZ2" s="13" t="s">
        <v>97</v>
      </c>
      <c r="SA2" s="13" t="s">
        <v>129</v>
      </c>
      <c r="SB2" s="13" t="s">
        <v>20</v>
      </c>
      <c r="SC2" s="13" t="s">
        <v>77</v>
      </c>
      <c r="SD2" s="13" t="s">
        <v>128</v>
      </c>
      <c r="SE2" s="13" t="s">
        <v>21</v>
      </c>
      <c r="SF2" s="13" t="s">
        <v>23</v>
      </c>
      <c r="SG2" s="13" t="s">
        <v>103</v>
      </c>
      <c r="SH2" s="13" t="s">
        <v>131</v>
      </c>
      <c r="SI2" s="13" t="s">
        <v>102</v>
      </c>
      <c r="SJ2" s="13" t="s">
        <v>100</v>
      </c>
      <c r="SK2" s="13" t="s">
        <v>130</v>
      </c>
      <c r="SL2" s="13" t="s">
        <v>22</v>
      </c>
      <c r="SM2" s="13" t="s">
        <v>17</v>
      </c>
      <c r="SN2" s="68" t="s">
        <v>18</v>
      </c>
      <c r="SO2" s="68"/>
      <c r="SP2" s="68"/>
      <c r="SQ2" s="68"/>
      <c r="SR2" s="68"/>
      <c r="SS2" s="68" t="s">
        <v>19</v>
      </c>
      <c r="ST2" s="68"/>
      <c r="SU2" s="68"/>
      <c r="SV2" s="68"/>
      <c r="SW2" s="68"/>
      <c r="SX2" s="68" t="s">
        <v>102</v>
      </c>
      <c r="SY2" s="68"/>
      <c r="SZ2" s="68"/>
      <c r="TA2" s="68"/>
      <c r="TB2" s="68"/>
      <c r="TC2" s="68" t="s">
        <v>22</v>
      </c>
      <c r="TD2" s="68"/>
      <c r="TE2" s="68"/>
      <c r="TF2" s="68"/>
      <c r="TG2" s="68"/>
      <c r="TH2" s="14" t="s">
        <v>97</v>
      </c>
      <c r="TI2" s="14" t="s">
        <v>129</v>
      </c>
      <c r="TJ2" s="14" t="s">
        <v>20</v>
      </c>
      <c r="TK2" s="14" t="s">
        <v>77</v>
      </c>
      <c r="TL2" s="14" t="s">
        <v>128</v>
      </c>
      <c r="TM2" s="14" t="s">
        <v>21</v>
      </c>
      <c r="TN2" s="14" t="s">
        <v>23</v>
      </c>
      <c r="TO2" s="14" t="s">
        <v>103</v>
      </c>
      <c r="TP2" s="14" t="s">
        <v>131</v>
      </c>
      <c r="TQ2" s="14" t="s">
        <v>102</v>
      </c>
      <c r="TR2" s="14" t="s">
        <v>100</v>
      </c>
      <c r="TS2" s="14" t="s">
        <v>130</v>
      </c>
      <c r="TT2" s="14" t="s">
        <v>22</v>
      </c>
      <c r="TU2" s="14" t="s">
        <v>17</v>
      </c>
      <c r="TV2" s="71" t="s">
        <v>18</v>
      </c>
      <c r="TW2" s="71"/>
      <c r="TX2" s="71"/>
      <c r="TY2" s="71"/>
      <c r="TZ2" s="71"/>
      <c r="UA2" s="71" t="s">
        <v>19</v>
      </c>
      <c r="UB2" s="71"/>
      <c r="UC2" s="71"/>
      <c r="UD2" s="71"/>
      <c r="UE2" s="71"/>
      <c r="UF2" s="71" t="s">
        <v>102</v>
      </c>
      <c r="UG2" s="71"/>
      <c r="UH2" s="71"/>
      <c r="UI2" s="71"/>
      <c r="UJ2" s="71"/>
      <c r="UK2" s="71" t="s">
        <v>22</v>
      </c>
      <c r="UL2" s="71"/>
      <c r="UM2" s="71"/>
      <c r="UN2" s="71"/>
      <c r="UO2" s="71"/>
      <c r="UP2" s="13" t="s">
        <v>97</v>
      </c>
      <c r="UQ2" s="13" t="s">
        <v>129</v>
      </c>
      <c r="UR2" s="13" t="s">
        <v>20</v>
      </c>
      <c r="US2" s="13" t="s">
        <v>77</v>
      </c>
      <c r="UT2" s="13" t="s">
        <v>128</v>
      </c>
      <c r="UU2" s="13" t="s">
        <v>21</v>
      </c>
      <c r="UV2" s="13" t="s">
        <v>23</v>
      </c>
      <c r="UW2" s="13" t="s">
        <v>103</v>
      </c>
      <c r="UX2" s="13" t="s">
        <v>131</v>
      </c>
      <c r="UY2" s="13" t="s">
        <v>102</v>
      </c>
      <c r="UZ2" s="13" t="s">
        <v>100</v>
      </c>
      <c r="VA2" s="13" t="s">
        <v>130</v>
      </c>
      <c r="VB2" s="13" t="s">
        <v>22</v>
      </c>
      <c r="VC2" s="13" t="s">
        <v>17</v>
      </c>
      <c r="VD2" s="68" t="s">
        <v>18</v>
      </c>
      <c r="VE2" s="68"/>
      <c r="VF2" s="68"/>
      <c r="VG2" s="68"/>
      <c r="VH2" s="68"/>
      <c r="VI2" s="68" t="s">
        <v>19</v>
      </c>
      <c r="VJ2" s="68"/>
      <c r="VK2" s="68"/>
      <c r="VL2" s="68"/>
      <c r="VM2" s="68"/>
      <c r="VN2" s="68" t="s">
        <v>102</v>
      </c>
      <c r="VO2" s="68"/>
      <c r="VP2" s="68"/>
      <c r="VQ2" s="68"/>
      <c r="VR2" s="68"/>
      <c r="VS2" s="68" t="s">
        <v>22</v>
      </c>
      <c r="VT2" s="68"/>
      <c r="VU2" s="68"/>
      <c r="VV2" s="68"/>
      <c r="VW2" s="68"/>
      <c r="VX2" s="14" t="s">
        <v>97</v>
      </c>
      <c r="VY2" s="14" t="s">
        <v>129</v>
      </c>
      <c r="VZ2" s="14" t="s">
        <v>20</v>
      </c>
      <c r="WA2" s="14" t="s">
        <v>77</v>
      </c>
      <c r="WB2" s="14" t="s">
        <v>128</v>
      </c>
      <c r="WC2" s="14" t="s">
        <v>21</v>
      </c>
      <c r="WD2" s="14" t="s">
        <v>23</v>
      </c>
      <c r="WE2" s="14" t="s">
        <v>103</v>
      </c>
      <c r="WF2" s="14" t="s">
        <v>131</v>
      </c>
      <c r="WG2" s="14" t="s">
        <v>102</v>
      </c>
      <c r="WH2" s="14" t="s">
        <v>100</v>
      </c>
      <c r="WI2" s="14" t="s">
        <v>130</v>
      </c>
      <c r="WJ2" s="14" t="s">
        <v>22</v>
      </c>
      <c r="WK2" s="14" t="s">
        <v>17</v>
      </c>
      <c r="WL2" s="71" t="s">
        <v>18</v>
      </c>
      <c r="WM2" s="71"/>
      <c r="WN2" s="71"/>
      <c r="WO2" s="71"/>
      <c r="WP2" s="71"/>
      <c r="WQ2" s="71" t="s">
        <v>19</v>
      </c>
      <c r="WR2" s="71"/>
      <c r="WS2" s="71"/>
      <c r="WT2" s="71"/>
      <c r="WU2" s="71"/>
      <c r="WV2" s="71" t="s">
        <v>22</v>
      </c>
      <c r="WW2" s="71"/>
      <c r="WX2" s="71"/>
      <c r="WY2" s="71"/>
      <c r="WZ2" s="71"/>
      <c r="XA2" s="13"/>
      <c r="XB2" s="13" t="s">
        <v>97</v>
      </c>
      <c r="XC2" s="13" t="s">
        <v>129</v>
      </c>
      <c r="XD2" s="13" t="s">
        <v>20</v>
      </c>
      <c r="XE2" s="13" t="s">
        <v>77</v>
      </c>
      <c r="XF2" s="13" t="s">
        <v>128</v>
      </c>
      <c r="XG2" s="13" t="s">
        <v>21</v>
      </c>
      <c r="XH2" s="13" t="s">
        <v>23</v>
      </c>
      <c r="XI2" s="13" t="s">
        <v>100</v>
      </c>
      <c r="XJ2" s="13" t="s">
        <v>130</v>
      </c>
      <c r="XK2" s="13" t="s">
        <v>22</v>
      </c>
      <c r="XL2" s="13" t="s">
        <v>17</v>
      </c>
    </row>
    <row r="3" spans="1:636" x14ac:dyDescent="0.2">
      <c r="A3" s="64"/>
      <c r="B3" s="64"/>
      <c r="C3" s="64"/>
      <c r="D3" s="64"/>
      <c r="E3" s="64"/>
      <c r="F3" s="65"/>
      <c r="G3" s="64"/>
      <c r="H3" s="64"/>
      <c r="I3" s="64"/>
      <c r="J3" s="70"/>
      <c r="K3" s="66"/>
      <c r="L3" s="70"/>
      <c r="M3" s="66"/>
      <c r="N3" s="69"/>
      <c r="O3" s="66"/>
      <c r="P3" s="66"/>
      <c r="Q3" s="14" t="s">
        <v>14</v>
      </c>
      <c r="R3" s="14" t="s">
        <v>15</v>
      </c>
      <c r="S3" s="14" t="s">
        <v>9</v>
      </c>
      <c r="T3" s="14" t="s">
        <v>127</v>
      </c>
      <c r="U3" s="14" t="s">
        <v>28</v>
      </c>
      <c r="V3" s="14" t="s">
        <v>14</v>
      </c>
      <c r="W3" s="14" t="s">
        <v>15</v>
      </c>
      <c r="X3" s="14" t="s">
        <v>9</v>
      </c>
      <c r="Y3" s="14" t="s">
        <v>127</v>
      </c>
      <c r="Z3" s="14" t="s">
        <v>28</v>
      </c>
      <c r="AA3" s="14" t="s">
        <v>14</v>
      </c>
      <c r="AB3" s="14" t="s">
        <v>15</v>
      </c>
      <c r="AC3" s="14" t="s">
        <v>9</v>
      </c>
      <c r="AD3" s="14" t="s">
        <v>127</v>
      </c>
      <c r="AE3" s="14" t="s">
        <v>28</v>
      </c>
      <c r="AF3" s="14" t="s">
        <v>52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14</v>
      </c>
      <c r="AS3" s="13" t="s">
        <v>15</v>
      </c>
      <c r="AT3" s="13" t="s">
        <v>9</v>
      </c>
      <c r="AU3" s="13" t="s">
        <v>127</v>
      </c>
      <c r="AV3" s="13" t="s">
        <v>28</v>
      </c>
      <c r="AW3" s="13" t="s">
        <v>14</v>
      </c>
      <c r="AX3" s="13" t="s">
        <v>15</v>
      </c>
      <c r="AY3" s="13" t="s">
        <v>9</v>
      </c>
      <c r="AZ3" s="13" t="s">
        <v>127</v>
      </c>
      <c r="BA3" s="13" t="s">
        <v>28</v>
      </c>
      <c r="BB3" s="13" t="s">
        <v>14</v>
      </c>
      <c r="BC3" s="13" t="s">
        <v>15</v>
      </c>
      <c r="BD3" s="13" t="s">
        <v>9</v>
      </c>
      <c r="BE3" s="13" t="s">
        <v>127</v>
      </c>
      <c r="BF3" s="13" t="s">
        <v>28</v>
      </c>
      <c r="BG3" s="13" t="s">
        <v>52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14</v>
      </c>
      <c r="BT3" s="14" t="s">
        <v>15</v>
      </c>
      <c r="BU3" s="14" t="s">
        <v>9</v>
      </c>
      <c r="BV3" s="14" t="s">
        <v>127</v>
      </c>
      <c r="BW3" s="14" t="s">
        <v>28</v>
      </c>
      <c r="BX3" s="14" t="s">
        <v>14</v>
      </c>
      <c r="BY3" s="14" t="s">
        <v>15</v>
      </c>
      <c r="BZ3" s="14" t="s">
        <v>9</v>
      </c>
      <c r="CA3" s="14" t="s">
        <v>127</v>
      </c>
      <c r="CB3" s="14" t="s">
        <v>28</v>
      </c>
      <c r="CC3" s="14" t="s">
        <v>14</v>
      </c>
      <c r="CD3" s="14" t="s">
        <v>15</v>
      </c>
      <c r="CE3" s="14" t="s">
        <v>9</v>
      </c>
      <c r="CF3" s="14" t="s">
        <v>127</v>
      </c>
      <c r="CG3" s="14" t="s">
        <v>28</v>
      </c>
      <c r="CH3" s="14" t="s">
        <v>52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0"/>
      <c r="CU3" s="50"/>
      <c r="CV3" s="14" t="s">
        <v>14</v>
      </c>
      <c r="CW3" s="14" t="s">
        <v>15</v>
      </c>
      <c r="CX3" s="14" t="s">
        <v>9</v>
      </c>
      <c r="CY3" s="14" t="s">
        <v>127</v>
      </c>
      <c r="CZ3" s="14" t="s">
        <v>28</v>
      </c>
      <c r="DA3" s="14" t="s">
        <v>14</v>
      </c>
      <c r="DB3" s="14" t="s">
        <v>15</v>
      </c>
      <c r="DC3" s="14" t="s">
        <v>9</v>
      </c>
      <c r="DD3" s="14" t="s">
        <v>127</v>
      </c>
      <c r="DE3" s="14" t="s">
        <v>28</v>
      </c>
      <c r="DF3" s="14" t="s">
        <v>14</v>
      </c>
      <c r="DG3" s="14" t="s">
        <v>15</v>
      </c>
      <c r="DH3" s="14" t="s">
        <v>9</v>
      </c>
      <c r="DI3" s="14" t="s">
        <v>127</v>
      </c>
      <c r="DJ3" s="14" t="s">
        <v>28</v>
      </c>
      <c r="DK3" s="14" t="s">
        <v>14</v>
      </c>
      <c r="DL3" s="14" t="s">
        <v>15</v>
      </c>
      <c r="DM3" s="14" t="s">
        <v>9</v>
      </c>
      <c r="DN3" s="14" t="s">
        <v>127</v>
      </c>
      <c r="DO3" s="14" t="s">
        <v>28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14</v>
      </c>
      <c r="EE3" s="13" t="s">
        <v>15</v>
      </c>
      <c r="EF3" s="13" t="s">
        <v>9</v>
      </c>
      <c r="EG3" s="13" t="s">
        <v>127</v>
      </c>
      <c r="EH3" s="13" t="s">
        <v>28</v>
      </c>
      <c r="EI3" s="13" t="s">
        <v>14</v>
      </c>
      <c r="EJ3" s="13" t="s">
        <v>15</v>
      </c>
      <c r="EK3" s="13" t="s">
        <v>9</v>
      </c>
      <c r="EL3" s="13" t="s">
        <v>127</v>
      </c>
      <c r="EM3" s="13" t="s">
        <v>28</v>
      </c>
      <c r="EN3" s="13" t="s">
        <v>14</v>
      </c>
      <c r="EO3" s="13" t="s">
        <v>15</v>
      </c>
      <c r="EP3" s="13" t="s">
        <v>9</v>
      </c>
      <c r="EQ3" s="13" t="s">
        <v>127</v>
      </c>
      <c r="ER3" s="13" t="s">
        <v>28</v>
      </c>
      <c r="ES3" s="13" t="s">
        <v>14</v>
      </c>
      <c r="ET3" s="13" t="s">
        <v>15</v>
      </c>
      <c r="EU3" s="13" t="s">
        <v>9</v>
      </c>
      <c r="EV3" s="13" t="s">
        <v>127</v>
      </c>
      <c r="EW3" s="13" t="s">
        <v>28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14</v>
      </c>
      <c r="FM3" s="14" t="s">
        <v>15</v>
      </c>
      <c r="FN3" s="14" t="s">
        <v>9</v>
      </c>
      <c r="FO3" s="14" t="s">
        <v>127</v>
      </c>
      <c r="FP3" s="14" t="s">
        <v>28</v>
      </c>
      <c r="FQ3" s="14" t="s">
        <v>14</v>
      </c>
      <c r="FR3" s="14" t="s">
        <v>15</v>
      </c>
      <c r="FS3" s="14" t="s">
        <v>9</v>
      </c>
      <c r="FT3" s="14" t="s">
        <v>127</v>
      </c>
      <c r="FU3" s="14" t="s">
        <v>28</v>
      </c>
      <c r="FV3" s="14" t="s">
        <v>14</v>
      </c>
      <c r="FW3" s="14" t="s">
        <v>15</v>
      </c>
      <c r="FX3" s="14" t="s">
        <v>9</v>
      </c>
      <c r="FY3" s="14" t="s">
        <v>127</v>
      </c>
      <c r="FZ3" s="14" t="s">
        <v>28</v>
      </c>
      <c r="GA3" s="14" t="s">
        <v>14</v>
      </c>
      <c r="GB3" s="14" t="s">
        <v>15</v>
      </c>
      <c r="GC3" s="14" t="s">
        <v>9</v>
      </c>
      <c r="GD3" s="14" t="s">
        <v>127</v>
      </c>
      <c r="GE3" s="14" t="s">
        <v>28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14</v>
      </c>
      <c r="GU3" s="13" t="s">
        <v>15</v>
      </c>
      <c r="GV3" s="13" t="s">
        <v>9</v>
      </c>
      <c r="GW3" s="13" t="s">
        <v>127</v>
      </c>
      <c r="GX3" s="13" t="s">
        <v>28</v>
      </c>
      <c r="GY3" s="13" t="s">
        <v>14</v>
      </c>
      <c r="GZ3" s="13" t="s">
        <v>15</v>
      </c>
      <c r="HA3" s="13" t="s">
        <v>9</v>
      </c>
      <c r="HB3" s="13" t="s">
        <v>127</v>
      </c>
      <c r="HC3" s="13" t="s">
        <v>28</v>
      </c>
      <c r="HD3" s="13" t="s">
        <v>14</v>
      </c>
      <c r="HE3" s="13" t="s">
        <v>15</v>
      </c>
      <c r="HF3" s="13" t="s">
        <v>9</v>
      </c>
      <c r="HG3" s="13" t="s">
        <v>127</v>
      </c>
      <c r="HH3" s="13" t="s">
        <v>28</v>
      </c>
      <c r="HI3" s="13" t="s">
        <v>14</v>
      </c>
      <c r="HJ3" s="13" t="s">
        <v>15</v>
      </c>
      <c r="HK3" s="13" t="s">
        <v>9</v>
      </c>
      <c r="HL3" s="13" t="s">
        <v>127</v>
      </c>
      <c r="HM3" s="13" t="s">
        <v>28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14</v>
      </c>
      <c r="IC3" s="14" t="s">
        <v>15</v>
      </c>
      <c r="ID3" s="14" t="s">
        <v>9</v>
      </c>
      <c r="IE3" s="14" t="s">
        <v>127</v>
      </c>
      <c r="IF3" s="14" t="s">
        <v>28</v>
      </c>
      <c r="IG3" s="14" t="s">
        <v>14</v>
      </c>
      <c r="IH3" s="14" t="s">
        <v>15</v>
      </c>
      <c r="II3" s="14" t="s">
        <v>9</v>
      </c>
      <c r="IJ3" s="14" t="s">
        <v>127</v>
      </c>
      <c r="IK3" s="14" t="s">
        <v>28</v>
      </c>
      <c r="IL3" s="14" t="s">
        <v>14</v>
      </c>
      <c r="IM3" s="14" t="s">
        <v>15</v>
      </c>
      <c r="IN3" s="14" t="s">
        <v>9</v>
      </c>
      <c r="IO3" s="14" t="s">
        <v>127</v>
      </c>
      <c r="IP3" s="14" t="s">
        <v>28</v>
      </c>
      <c r="IQ3" s="14" t="s">
        <v>14</v>
      </c>
      <c r="IR3" s="14" t="s">
        <v>15</v>
      </c>
      <c r="IS3" s="14" t="s">
        <v>9</v>
      </c>
      <c r="IT3" s="14" t="s">
        <v>127</v>
      </c>
      <c r="IU3" s="14" t="s">
        <v>28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14</v>
      </c>
      <c r="JK3" s="13" t="s">
        <v>15</v>
      </c>
      <c r="JL3" s="13" t="s">
        <v>9</v>
      </c>
      <c r="JM3" s="13" t="s">
        <v>127</v>
      </c>
      <c r="JN3" s="13" t="s">
        <v>28</v>
      </c>
      <c r="JO3" s="13" t="s">
        <v>14</v>
      </c>
      <c r="JP3" s="13" t="s">
        <v>15</v>
      </c>
      <c r="JQ3" s="13" t="s">
        <v>9</v>
      </c>
      <c r="JR3" s="13" t="s">
        <v>127</v>
      </c>
      <c r="JS3" s="13" t="s">
        <v>28</v>
      </c>
      <c r="JT3" s="13" t="s">
        <v>14</v>
      </c>
      <c r="JU3" s="13" t="s">
        <v>15</v>
      </c>
      <c r="JV3" s="13" t="s">
        <v>9</v>
      </c>
      <c r="JW3" s="13" t="s">
        <v>127</v>
      </c>
      <c r="JX3" s="13" t="s">
        <v>28</v>
      </c>
      <c r="JY3" s="13" t="s">
        <v>14</v>
      </c>
      <c r="JZ3" s="13" t="s">
        <v>15</v>
      </c>
      <c r="KA3" s="13" t="s">
        <v>9</v>
      </c>
      <c r="KB3" s="13" t="s">
        <v>127</v>
      </c>
      <c r="KC3" s="13" t="s">
        <v>28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14</v>
      </c>
      <c r="KS3" s="14" t="s">
        <v>15</v>
      </c>
      <c r="KT3" s="14" t="s">
        <v>9</v>
      </c>
      <c r="KU3" s="14" t="s">
        <v>127</v>
      </c>
      <c r="KV3" s="14" t="s">
        <v>28</v>
      </c>
      <c r="KW3" s="14" t="s">
        <v>14</v>
      </c>
      <c r="KX3" s="14" t="s">
        <v>15</v>
      </c>
      <c r="KY3" s="14" t="s">
        <v>9</v>
      </c>
      <c r="KZ3" s="14" t="s">
        <v>127</v>
      </c>
      <c r="LA3" s="14" t="s">
        <v>28</v>
      </c>
      <c r="LB3" s="14" t="s">
        <v>14</v>
      </c>
      <c r="LC3" s="14" t="s">
        <v>15</v>
      </c>
      <c r="LD3" s="14" t="s">
        <v>9</v>
      </c>
      <c r="LE3" s="14" t="s">
        <v>127</v>
      </c>
      <c r="LF3" s="14" t="s">
        <v>28</v>
      </c>
      <c r="LG3" s="14" t="s">
        <v>14</v>
      </c>
      <c r="LH3" s="14" t="s">
        <v>15</v>
      </c>
      <c r="LI3" s="14" t="s">
        <v>9</v>
      </c>
      <c r="LJ3" s="14" t="s">
        <v>127</v>
      </c>
      <c r="LK3" s="14" t="s">
        <v>28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14</v>
      </c>
      <c r="MA3" s="13" t="s">
        <v>15</v>
      </c>
      <c r="MB3" s="13" t="s">
        <v>9</v>
      </c>
      <c r="MC3" s="13" t="s">
        <v>127</v>
      </c>
      <c r="MD3" s="13" t="s">
        <v>28</v>
      </c>
      <c r="ME3" s="13" t="s">
        <v>14</v>
      </c>
      <c r="MF3" s="13" t="s">
        <v>15</v>
      </c>
      <c r="MG3" s="13" t="s">
        <v>9</v>
      </c>
      <c r="MH3" s="13" t="s">
        <v>127</v>
      </c>
      <c r="MI3" s="13" t="s">
        <v>28</v>
      </c>
      <c r="MJ3" s="13" t="s">
        <v>14</v>
      </c>
      <c r="MK3" s="13" t="s">
        <v>15</v>
      </c>
      <c r="ML3" s="13" t="s">
        <v>9</v>
      </c>
      <c r="MM3" s="13" t="s">
        <v>127</v>
      </c>
      <c r="MN3" s="13" t="s">
        <v>28</v>
      </c>
      <c r="MO3" s="13" t="s">
        <v>14</v>
      </c>
      <c r="MP3" s="13" t="s">
        <v>15</v>
      </c>
      <c r="MQ3" s="13" t="s">
        <v>9</v>
      </c>
      <c r="MR3" s="13" t="s">
        <v>127</v>
      </c>
      <c r="MS3" s="13" t="s">
        <v>28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14</v>
      </c>
      <c r="NI3" s="14" t="s">
        <v>15</v>
      </c>
      <c r="NJ3" s="14" t="s">
        <v>9</v>
      </c>
      <c r="NK3" s="14" t="s">
        <v>127</v>
      </c>
      <c r="NL3" s="14" t="s">
        <v>28</v>
      </c>
      <c r="NM3" s="14" t="s">
        <v>14</v>
      </c>
      <c r="NN3" s="14" t="s">
        <v>15</v>
      </c>
      <c r="NO3" s="14" t="s">
        <v>9</v>
      </c>
      <c r="NP3" s="14" t="s">
        <v>127</v>
      </c>
      <c r="NQ3" s="14" t="s">
        <v>28</v>
      </c>
      <c r="NR3" s="14" t="s">
        <v>14</v>
      </c>
      <c r="NS3" s="14" t="s">
        <v>15</v>
      </c>
      <c r="NT3" s="14" t="s">
        <v>9</v>
      </c>
      <c r="NU3" s="14" t="s">
        <v>127</v>
      </c>
      <c r="NV3" s="14" t="s">
        <v>28</v>
      </c>
      <c r="NW3" s="14" t="s">
        <v>14</v>
      </c>
      <c r="NX3" s="14" t="s">
        <v>15</v>
      </c>
      <c r="NY3" s="14" t="s">
        <v>9</v>
      </c>
      <c r="NZ3" s="14" t="s">
        <v>127</v>
      </c>
      <c r="OA3" s="14" t="s">
        <v>28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14</v>
      </c>
      <c r="OQ3" s="13" t="s">
        <v>15</v>
      </c>
      <c r="OR3" s="13" t="s">
        <v>9</v>
      </c>
      <c r="OS3" s="13" t="s">
        <v>127</v>
      </c>
      <c r="OT3" s="13" t="s">
        <v>28</v>
      </c>
      <c r="OU3" s="13" t="s">
        <v>14</v>
      </c>
      <c r="OV3" s="13" t="s">
        <v>15</v>
      </c>
      <c r="OW3" s="13" t="s">
        <v>9</v>
      </c>
      <c r="OX3" s="13" t="s">
        <v>127</v>
      </c>
      <c r="OY3" s="13" t="s">
        <v>28</v>
      </c>
      <c r="OZ3" s="13" t="s">
        <v>14</v>
      </c>
      <c r="PA3" s="13" t="s">
        <v>15</v>
      </c>
      <c r="PB3" s="13" t="s">
        <v>9</v>
      </c>
      <c r="PC3" s="13" t="s">
        <v>127</v>
      </c>
      <c r="PD3" s="13" t="s">
        <v>28</v>
      </c>
      <c r="PE3" s="13" t="s">
        <v>14</v>
      </c>
      <c r="PF3" s="13" t="s">
        <v>15</v>
      </c>
      <c r="PG3" s="13" t="s">
        <v>9</v>
      </c>
      <c r="PH3" s="13" t="s">
        <v>127</v>
      </c>
      <c r="PI3" s="13" t="s">
        <v>28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14</v>
      </c>
      <c r="PY3" s="14" t="s">
        <v>15</v>
      </c>
      <c r="PZ3" s="14" t="s">
        <v>9</v>
      </c>
      <c r="QA3" s="14" t="s">
        <v>127</v>
      </c>
      <c r="QB3" s="14" t="s">
        <v>28</v>
      </c>
      <c r="QC3" s="14" t="s">
        <v>14</v>
      </c>
      <c r="QD3" s="14" t="s">
        <v>15</v>
      </c>
      <c r="QE3" s="14" t="s">
        <v>9</v>
      </c>
      <c r="QF3" s="14" t="s">
        <v>127</v>
      </c>
      <c r="QG3" s="14" t="s">
        <v>28</v>
      </c>
      <c r="QH3" s="14" t="s">
        <v>14</v>
      </c>
      <c r="QI3" s="14" t="s">
        <v>15</v>
      </c>
      <c r="QJ3" s="14" t="s">
        <v>9</v>
      </c>
      <c r="QK3" s="14" t="s">
        <v>127</v>
      </c>
      <c r="QL3" s="14" t="s">
        <v>28</v>
      </c>
      <c r="QM3" s="14" t="s">
        <v>14</v>
      </c>
      <c r="QN3" s="14" t="s">
        <v>15</v>
      </c>
      <c r="QO3" s="14" t="s">
        <v>9</v>
      </c>
      <c r="QP3" s="14" t="s">
        <v>127</v>
      </c>
      <c r="QQ3" s="14" t="s">
        <v>28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14</v>
      </c>
      <c r="RG3" s="13" t="s">
        <v>15</v>
      </c>
      <c r="RH3" s="13" t="s">
        <v>9</v>
      </c>
      <c r="RI3" s="13" t="s">
        <v>127</v>
      </c>
      <c r="RJ3" s="13" t="s">
        <v>28</v>
      </c>
      <c r="RK3" s="13" t="s">
        <v>14</v>
      </c>
      <c r="RL3" s="13" t="s">
        <v>15</v>
      </c>
      <c r="RM3" s="13" t="s">
        <v>9</v>
      </c>
      <c r="RN3" s="13" t="s">
        <v>127</v>
      </c>
      <c r="RO3" s="13" t="s">
        <v>28</v>
      </c>
      <c r="RP3" s="13" t="s">
        <v>14</v>
      </c>
      <c r="RQ3" s="13" t="s">
        <v>15</v>
      </c>
      <c r="RR3" s="13" t="s">
        <v>9</v>
      </c>
      <c r="RS3" s="13" t="s">
        <v>127</v>
      </c>
      <c r="RT3" s="13" t="s">
        <v>28</v>
      </c>
      <c r="RU3" s="13" t="s">
        <v>14</v>
      </c>
      <c r="RV3" s="13" t="s">
        <v>15</v>
      </c>
      <c r="RW3" s="13" t="s">
        <v>9</v>
      </c>
      <c r="RX3" s="13" t="s">
        <v>127</v>
      </c>
      <c r="RY3" s="13" t="s">
        <v>28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14</v>
      </c>
      <c r="SO3" s="14" t="s">
        <v>15</v>
      </c>
      <c r="SP3" s="14" t="s">
        <v>9</v>
      </c>
      <c r="SQ3" s="14" t="s">
        <v>127</v>
      </c>
      <c r="SR3" s="14" t="s">
        <v>28</v>
      </c>
      <c r="SS3" s="14" t="s">
        <v>14</v>
      </c>
      <c r="ST3" s="14" t="s">
        <v>15</v>
      </c>
      <c r="SU3" s="14" t="s">
        <v>9</v>
      </c>
      <c r="SV3" s="14" t="s">
        <v>127</v>
      </c>
      <c r="SW3" s="14" t="s">
        <v>28</v>
      </c>
      <c r="SX3" s="14" t="s">
        <v>14</v>
      </c>
      <c r="SY3" s="14" t="s">
        <v>15</v>
      </c>
      <c r="SZ3" s="14" t="s">
        <v>9</v>
      </c>
      <c r="TA3" s="14" t="s">
        <v>127</v>
      </c>
      <c r="TB3" s="14" t="s">
        <v>28</v>
      </c>
      <c r="TC3" s="14" t="s">
        <v>14</v>
      </c>
      <c r="TD3" s="14" t="s">
        <v>15</v>
      </c>
      <c r="TE3" s="14" t="s">
        <v>9</v>
      </c>
      <c r="TF3" s="14" t="s">
        <v>127</v>
      </c>
      <c r="TG3" s="14" t="s">
        <v>28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14</v>
      </c>
      <c r="TW3" s="13" t="s">
        <v>15</v>
      </c>
      <c r="TX3" s="13" t="s">
        <v>9</v>
      </c>
      <c r="TY3" s="13" t="s">
        <v>127</v>
      </c>
      <c r="TZ3" s="13" t="s">
        <v>28</v>
      </c>
      <c r="UA3" s="13" t="s">
        <v>14</v>
      </c>
      <c r="UB3" s="13" t="s">
        <v>15</v>
      </c>
      <c r="UC3" s="13" t="s">
        <v>9</v>
      </c>
      <c r="UD3" s="13" t="s">
        <v>127</v>
      </c>
      <c r="UE3" s="13" t="s">
        <v>28</v>
      </c>
      <c r="UF3" s="13" t="s">
        <v>14</v>
      </c>
      <c r="UG3" s="13" t="s">
        <v>15</v>
      </c>
      <c r="UH3" s="13" t="s">
        <v>9</v>
      </c>
      <c r="UI3" s="13" t="s">
        <v>127</v>
      </c>
      <c r="UJ3" s="13" t="s">
        <v>28</v>
      </c>
      <c r="UK3" s="13" t="s">
        <v>14</v>
      </c>
      <c r="UL3" s="13" t="s">
        <v>15</v>
      </c>
      <c r="UM3" s="13" t="s">
        <v>9</v>
      </c>
      <c r="UN3" s="13" t="s">
        <v>127</v>
      </c>
      <c r="UO3" s="13" t="s">
        <v>28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14</v>
      </c>
      <c r="VE3" s="14" t="s">
        <v>15</v>
      </c>
      <c r="VF3" s="14" t="s">
        <v>9</v>
      </c>
      <c r="VG3" s="14" t="s">
        <v>127</v>
      </c>
      <c r="VH3" s="14" t="s">
        <v>28</v>
      </c>
      <c r="VI3" s="14" t="s">
        <v>14</v>
      </c>
      <c r="VJ3" s="14" t="s">
        <v>15</v>
      </c>
      <c r="VK3" s="14" t="s">
        <v>9</v>
      </c>
      <c r="VL3" s="14" t="s">
        <v>127</v>
      </c>
      <c r="VM3" s="14" t="s">
        <v>28</v>
      </c>
      <c r="VN3" s="14" t="s">
        <v>14</v>
      </c>
      <c r="VO3" s="14" t="s">
        <v>15</v>
      </c>
      <c r="VP3" s="14" t="s">
        <v>9</v>
      </c>
      <c r="VQ3" s="14" t="s">
        <v>127</v>
      </c>
      <c r="VR3" s="14" t="s">
        <v>28</v>
      </c>
      <c r="VS3" s="14" t="s">
        <v>14</v>
      </c>
      <c r="VT3" s="14" t="s">
        <v>15</v>
      </c>
      <c r="VU3" s="14" t="s">
        <v>9</v>
      </c>
      <c r="VV3" s="14" t="s">
        <v>127</v>
      </c>
      <c r="VW3" s="14" t="s">
        <v>28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14</v>
      </c>
      <c r="WM3" s="13" t="s">
        <v>15</v>
      </c>
      <c r="WN3" s="13" t="s">
        <v>9</v>
      </c>
      <c r="WO3" s="13" t="s">
        <v>127</v>
      </c>
      <c r="WP3" s="13" t="s">
        <v>28</v>
      </c>
      <c r="WQ3" s="13" t="s">
        <v>14</v>
      </c>
      <c r="WR3" s="13" t="s">
        <v>15</v>
      </c>
      <c r="WS3" s="13" t="s">
        <v>9</v>
      </c>
      <c r="WT3" s="13" t="s">
        <v>127</v>
      </c>
      <c r="WU3" s="13" t="s">
        <v>28</v>
      </c>
      <c r="WV3" s="13" t="s">
        <v>14</v>
      </c>
      <c r="WW3" s="13" t="s">
        <v>15</v>
      </c>
      <c r="WX3" s="13" t="s">
        <v>9</v>
      </c>
      <c r="WY3" s="13" t="s">
        <v>127</v>
      </c>
      <c r="WZ3" s="13" t="s">
        <v>28</v>
      </c>
      <c r="XA3" s="13" t="s">
        <v>52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DD"),SUMPRODUCT((H$4:H$16&lt;&gt;"")*(H$4:H$16&lt;&gt;"No DD")*(E$4:E$16&gt;E4))+1,IF(H4="No DD",SUMPRODUCT((H$4:H$16="No DD")*(E$4:E$16&gt;E4))+1+SUMPRODUCT((H$4:H$16&lt;&gt;"")*(H$4:H$16&lt;&gt;"No DD")),""))</f>
        <v>1</v>
      </c>
      <c r="B4" s="5" t="s">
        <v>92</v>
      </c>
      <c r="C4" s="4" t="s">
        <v>7</v>
      </c>
      <c r="D4" s="4" t="s">
        <v>91</v>
      </c>
      <c r="E4" s="9">
        <f t="shared" ref="E4:E15" si="0">SUM(J4,L4,N4)</f>
        <v>95.03</v>
      </c>
      <c r="F4" s="3" t="str">
        <f t="shared" ref="F4:F15" si="1">IF(OR(AND(AG4&gt;=AQ$18,AG4&lt;&gt;"",AI4&gt;=AQ$22,AI4&lt;&gt;"",AF4=""),AND(AJ4&gt;=AQ$18,AJ4&lt;&gt;"",AL4&gt;=AQ$22,AL4&lt;&gt;"",AF4=""),AND(AN4&gt;=AQ$18,AN4&lt;&gt;"",AP4&gt;=AQ$22,AP4&lt;&gt;"",AF4=""),AND(BH4&gt;=BR$18,BH4&lt;&gt;"",BJ4&gt;=BR$22,BJ4&lt;&gt;"",BG4=""),AND(BK4&gt;=BR$18,BK4&lt;&gt;"",BM4&gt;=BR$22,BM4&lt;&gt;"",BG4=""),AND(BO4&gt;=BR$18,BO4&lt;&gt;"",BQ4&gt;=BR$22,BQ4&lt;&gt;"",BG4=""),AND(CI4&gt;=CS$18,CI4&lt;&gt;"",CK4&gt;=CS$22,CK4&lt;&gt;"",CH4=""),AND(CL4&gt;=CS$18,CL4&lt;&gt;"",CN4&gt;=CS$22,CN4&lt;&gt;"",CH4=""),AND(CP4&gt;=CS$18,CP4&lt;&gt;"",CR4&gt;=CS$22,CR4&lt;&gt;"",CH4=""),AND(DP4&gt;=EC$18,DP4&lt;&gt;"",DR4&gt;=EC$22,DR4&lt;&gt;""),AND(DS4&gt;=EC$18,DS4&lt;&gt;"",DU4&gt;=EC$22,DU4&lt;&gt;""),AND(DW4&gt;=EC$18,DW4&lt;&gt;"",DY4&gt;=EC$22,DY4&lt;&gt;""),AND(DZ4&gt;=EC$18,DZ4&lt;&gt;"",EB4&gt;=EC$22,EB4&lt;&gt;""),AND(EX4&gt;=FK$18,EX4&lt;&gt;"",EZ4&gt;=FK$22,EZ4&lt;&gt;""),AND(FA4&gt;=FK$18,FA4&lt;&gt;"",FC4&gt;=FK$22,FC4&lt;&gt;""),AND(FE4&gt;=FK$18,FE4&lt;&gt;"",FG4&gt;=FK$22,FG4&lt;&gt;""),AND(FH4&gt;=FK$18,FH4&lt;&gt;"",FJ4&gt;=FK$22,FJ4&lt;&gt;""),AND(GF4&gt;=GS$18,GF4&lt;&gt;"",GH4&gt;=GS$22,GH4&lt;&gt;""),AND(GI4&gt;=GS$18,GI4&lt;&gt;"",GK4&gt;=GS$22,GK4&lt;&gt;""),AND(GM4&gt;=GS$18,GM4&lt;&gt;"",GO4&gt;=GS$22,GO4&lt;&gt;""),AND(GP4&gt;=GS$18,GP4&lt;&gt;"",GR4&gt;=GS$22,GR4&lt;&gt;""),AND(HN4&gt;=IA$18,HN4&lt;&gt;"",HP4&gt;=IA$22,HP4&lt;&gt;""),AND(HQ4&gt;=IA$18,HQ4&lt;&gt;"",HS4&gt;=IA$22,HS4&lt;&gt;""),AND(HU4&gt;=IA$18,HU4&lt;&gt;"",HW4&gt;=IA$22,HW4&lt;&gt;""),AND(HX4&gt;=IA$18,HX4&lt;&gt;"",HZ4&gt;=IA$22,HZ4&lt;&gt;""),AND(IV4&gt;=JI$18,IV4&lt;&gt;"",IX4&gt;=JI$22,IX4&lt;&gt;""),AND(IY4&gt;=JI$18,IY4&lt;&gt;"",JA4&gt;=JI$22,JA4&lt;&gt;""),AND(JC4&gt;=JI$18,JC4&lt;&gt;"",JE4&gt;=JI$22,JE4&lt;&gt;""),AND(JF4&gt;=JI$18,JF4&lt;&gt;"",JH4&gt;=JI$22,JH4&lt;&gt;""),AND(KD4&gt;=KQ$18,KD4&lt;&gt;"",KF4&gt;=KQ$22,KF4&lt;&gt;""),AND(KG4&gt;=KQ$18,KG4&lt;&gt;"",KI4&gt;=KQ$22,KI4&lt;&gt;""),AND(KK4&gt;=KQ$18,KK4&lt;&gt;"",KM4&gt;=KQ$22,KM4&lt;&gt;""),AND(KN4&gt;=KQ$18,KN4&lt;&gt;"",KP4&gt;=KQ$22,KP4&lt;&gt;""),AND(LL4&gt;=LY$18,LL4&lt;&gt;"",LN4&gt;=LY$22,LN4&lt;&gt;""),AND(LO4&gt;=LY$18,LO4&lt;&gt;"",LQ4&gt;=LY$22,LQ4&lt;&gt;""),AND(LS4&gt;=LY$18,LS4&lt;&gt;"",LU4&gt;=LY$22,LU4&lt;&gt;""),AND(LV4&gt;=LY$18,LV4&lt;&gt;"",LX4&gt;=LY$22,LX4&lt;&gt;""),AND(MT4&gt;=NG$18,MT4&lt;&gt;"",MV4&gt;=NG$22,MV4&lt;&gt;""),AND(MW4&gt;=NG$18,MW4&lt;&gt;"",MY4&gt;=NG$22,MY4&lt;&gt;""),AND(NA4&gt;=NG$18,NA4&lt;&gt;"",NC4&gt;=NG$22,NC4&lt;&gt;""),AND(ND4&gt;=NG$18,ND4&lt;&gt;"",NF4&gt;=NG$22,NF4&lt;&gt;""),AND(OB4&gt;=OO$18,OB4&lt;&gt;"",OD4&gt;=OO$22,OD4&lt;&gt;""),AND(OE4&gt;=OO$18,OE4&lt;&gt;"",OG4&gt;=OO$22,OG4&lt;&gt;""),AND(OI4&gt;=OO$18,OI4&lt;&gt;"",OK4&gt;=OO$22,OK4&lt;&gt;""),AND(OL4&gt;=OO$18,OL4&lt;&gt;"",ON4&gt;=OO$22,ON4&lt;&gt;""),AND(PJ4&gt;=PW$18,PJ4&lt;&gt;"",PL4&gt;=PW$22,PL4&lt;&gt;""),AND(PM4&gt;=PW$18,PM4&lt;&gt;"",PO4&gt;=PW$22,PO4&lt;&gt;""),AND(PQ4&gt;=PW$18,PQ4&lt;&gt;"",PS4&gt;=PW$22,PS4&lt;&gt;""),AND(PT4&gt;=PW$18,PT4&lt;&gt;"",PV4&gt;=PW$22,PV4&lt;&gt;""),AND(QR4&gt;=RE$18,QR4&lt;&gt;"",QT4&gt;=RE$22,QT4&lt;&gt;""),AND(QU4&gt;=RE$18,QU4&lt;&gt;"",QW4&gt;=RE$22,QW4&lt;&gt;""),AND(QY4&gt;=RE$18,QY4&lt;&gt;"",RA4&gt;=RE$22,RA4&lt;&gt;""),AND(RB4&gt;=RE$18,RB4&lt;&gt;"",RD4&gt;=RE$22,RD4&lt;&gt;""),AND(RZ4&gt;=SM$18,RZ4&lt;&gt;"",SB4&gt;=SM$22,SB4&lt;&gt;""),AND(SC4&gt;=SM$18,SC4&lt;&gt;"",SE4&gt;=SM$22,SE4&lt;&gt;""),AND(SG4&gt;=SM$18,SG4&lt;&gt;"",SI4&gt;=SM$22,SI4&lt;&gt;""),AND(SJ4&gt;=SM$18,SJ4&lt;&gt;"",SL4&gt;=SM$22,SL4&lt;&gt;""),AND(TH4&gt;=TU$18,TH4&lt;&gt;"",TJ4&gt;=TU$22,TJ4&lt;&gt;""),AND(TK4&gt;=TU$18,TK4&lt;&gt;"",TM4&gt;=TU$22,TM4&lt;&gt;""),AND(TO4&gt;=TU$18,TO4&lt;&gt;"",TQ4&gt;=TU$22,TQ4&lt;&gt;""),AND(TR4&gt;=TU$18,TR4&lt;&gt;"",TT4&gt;=TU$22,TT4&lt;&gt;""),AND(UP4&gt;=VC$18,UP4&lt;&gt;"",UR4&gt;=VC$22,UR4&lt;&gt;""),AND(US4&gt;=VC$18,US4&lt;&gt;"",UU4&gt;=VC$22,UU4&lt;&gt;""),AND(UW4&gt;=VC$18,UW4&lt;&gt;"",UY4&gt;=VC$22,UY4&lt;&gt;""),AND(UZ4&gt;=VC$18,UZ4&lt;&gt;"",VB4&gt;=VC$22,VB4&lt;&gt;""),AND(VX4&gt;=WK$18,VX4&lt;&gt;"",VZ4&gt;=WK$22,VZ4&lt;&gt;""),AND(WA4&gt;=WK$18,WA4&lt;&gt;"",WC4&gt;=WK$22,WC4&lt;&gt;""),AND(WE4&gt;=WK$18,WE4&lt;&gt;"",WG4&gt;=WK$22,WG4&lt;&gt;""),AND(WH4&gt;=WK$18,WH4&lt;&gt;"",WJ4&gt;=WK$22,WJ4&lt;&gt;"")),"P","")</f>
        <v>P</v>
      </c>
      <c r="G4" s="3" t="str">
        <f t="shared" ref="G4:G15" si="2">IF(OR(AND(AI4&gt;=AQ$22,AI4&lt;&gt;"",AF4=""),AND(AL4&gt;=AQ$22,AL4&lt;&gt;"",AF4=""),AND(AP4&gt;=AQ$22,AP4&lt;&gt;"",AF4=""),AND(BJ4&gt;=BR$22,BJ4&lt;&gt;"",BG4=""),AND(BM4&gt;=BR$22,BM4&lt;&gt;"",BG4=""),AND(BQ4&gt;=BR$22,BQ4&lt;&gt;"",BG4=""),AND(CK4&gt;=CS$22,CK4&lt;&gt;"",CH4=""),AND(CN4&gt;=CS$22,CN4&lt;&gt;"",CH4=""),AND(CR4&gt;=CS$22,CR4&lt;&gt;"",CH4=""),AND(DR4&gt;=EC$22,DR4&lt;&gt;""),AND(DU4&gt;=EC$22,DU4&lt;&gt;""),AND(DY4&gt;=EC$22,DY4&lt;&gt;""),AND(EB4&gt;=EC$22,EB4&lt;&gt;""),AND(EZ4&gt;=FK$22,EZ4&lt;&gt;""),AND(FC4&gt;=FK$22,FC4&lt;&gt;""),AND(FG4&gt;=FK$22,FG4&lt;&gt;""),AND(FJ4&gt;=FK$22,FJ4&lt;&gt;""),AND(GH4&gt;=GS$22,GH4&lt;&gt;""),AND(GK4&gt;=GS$22,GK4&lt;&gt;""),AND(GO4&gt;=GS$22,GO4&lt;&gt;""),AND(GR4&gt;=GS$22,GR4&lt;&gt;""),AND(HP4&gt;=IA$22,HP4&lt;&gt;""),AND(HS4&gt;=IA$22,HS4&lt;&gt;""),AND(HW4&gt;=IA$22,HW4&lt;&gt;""),AND(HZ4&gt;=IA$22,HZ4&lt;&gt;""),AND(IX4&gt;=JI$22,IX4&lt;&gt;""),AND(JA4&gt;=JI$22,JA4&lt;&gt;""),AND(JE4&gt;=JI$22,JE4&lt;&gt;""),AND(JH4&gt;=JI$22,JH4&lt;&gt;""),AND(KF4&gt;=KQ$22,KF4&lt;&gt;""),AND(KI4&gt;=KQ$22,KI4&lt;&gt;""),AND(KM4&gt;=KQ$22,KM4&lt;&gt;""),AND(KP4&gt;=KQ$22,KP4&lt;&gt;""),AND(LN4&gt;=LY$22,LN4&lt;&gt;""),AND(LQ4&gt;=LY$22,LQ4&lt;&gt;""),AND(LU4&gt;=LY$22,LU4&lt;&gt;""),AND(LX4&gt;=LY$22,LX4&lt;&gt;""),AND(MV4&gt;=NG$22,MV4&lt;&gt;""),AND(MY4&gt;=NG$22,MY4&lt;&gt;""),AND(NC4&gt;=NG$22,NC4&lt;&gt;""),AND(NF4&gt;=NG$22,NF4&lt;&gt;""),AND(OD4&gt;=OO$22,OD4&lt;&gt;""),AND(OG4&gt;=OO$22,OG4&lt;&gt;""),AND(OK4&gt;=OO$22,OK4&lt;&gt;""),AND(ON4&gt;=OO$22,ON4&lt;&gt;""),AND(PL4&gt;=PW$22,PL4&lt;&gt;""),AND(PO4&gt;=PW$22,PO4&lt;&gt;""),AND(PS4&gt;=PW$22,PS4&lt;&gt;""),AND(PV4&gt;=PW$22,PV4&lt;&gt;""),AND(QT4&gt;=RE$22,QT4&lt;&gt;""),AND(QW4&gt;=RE$22,QW4&lt;&gt;""),AND(RA4&gt;=RE$22,RA4&lt;&gt;""),AND(RD4&gt;=RE$22,RD4&lt;&gt;""),AND(SB4&gt;=SM$22,SB4&lt;&gt;""),AND(SE4&gt;=SM$22,SE4&lt;&gt;""),AND(SI4&gt;=SM$22,SI4&lt;&gt;""),AND(SL4&gt;=SM$22,SL4&lt;&gt;""),AND(TJ4&gt;=TU$22,TJ4&lt;&gt;""),AND(TM4&gt;=TU$22,TM4&lt;&gt;""),AND(TQ4&gt;=TU$22,TQ4&lt;&gt;""),AND(TT4&gt;=TU$22,TT4&lt;&gt;""),AND(UR4&gt;=VC$22,UR4&lt;&gt;""),AND(UU4&gt;=VC$22,UU4&lt;&gt;""),AND(UY4&gt;=VC$22,UY4&lt;&gt;""),AND(VB4&gt;=VC$22,VB4&lt;&gt;""),AND(VZ4&gt;=WK$22,VZ4&lt;&gt;""),AND(WC4&gt;=WK$22,WC4&lt;&gt;""),AND(WG4&gt;=WK$22,WG4&lt;&gt;""),AND(WJ4&gt;=WK$22,WJ4&lt;&gt;"")),"P","")</f>
        <v>P</v>
      </c>
      <c r="H4" s="36" t="str">
        <f t="shared" ref="H4:H15" si="3">IF(AND(G4="P",F4=""),"No DD",IF(OR(AND(AG4&gt;=AQ$21,AG4&lt;&gt;"",AI4&gt;=AQ$25,AI4&lt;&gt;"",AF4=""),AND(AJ4&gt;=AQ$21,AJ4&lt;&gt;"",AL4&gt;=AQ$25,AL4&lt;&gt;"",AF4=""),AND(AN4&gt;=AQ$21,AN4&lt;&gt;"",AP4&gt;=AQ$25,AP4&lt;&gt;"",AF4=""),AND(BH4&gt;=BR$21,BH4&lt;&gt;"",BJ4&gt;=BR$25,BJ4&lt;&gt;"",BG4=""),AND(BK4&gt;=BR$21,BK4&lt;&gt;"",BM4&gt;=BR$25,BM4&lt;&gt;"",BG4=""),AND(BO4&gt;=BR$21,BO4&lt;&gt;"",BQ4&gt;=BR$25,BQ4&lt;&gt;"",BG4=""),AND(CI4&gt;=CS$21,CI4&lt;&gt;"",CK4&gt;=CS$25,CK4&lt;&gt;"",CH4=""),AND(CL4&gt;=CS$21,CL4&lt;&gt;"",CN4&gt;=CS$25,CN4&lt;&gt;"",CH4=""),AND(CP4&gt;=CS$21,CP4&lt;&gt;"",CR4&gt;=CS$25,CR4&lt;&gt;"",CH4=""),AND(DP4&gt;=EC$21,DP4&lt;&gt;"",DR4&gt;=EC$25,DR4&lt;&gt;""),AND(DS4&gt;=EC$21,DS4&lt;&gt;"",DU4&gt;=EC$25,DU4&lt;&gt;""),AND(DW4&gt;=EC$21,DW4&lt;&gt;"",DY4&gt;=EC$25,DY4&lt;&gt;""),AND(DZ4&gt;=EC$21,DZ4&lt;&gt;"",EB4&gt;=EC$25,EB4&lt;&gt;""),AND(EX4&gt;=FK$21,EX4&lt;&gt;"",EZ4&gt;=FK$25,EZ4&lt;&gt;""),AND(FA4&gt;=FK$21,FA4&lt;&gt;"",FC4&gt;=FK$25,FC4&lt;&gt;""),AND(FE4&gt;=FK$21,FE4&lt;&gt;"",FG4&gt;=FK$25,FG4&lt;&gt;""),AND(FH4&gt;=FK$21,FH4&lt;&gt;"",FJ4&gt;=FK$25,FJ4&lt;&gt;""),AND(GF4&gt;=GS$21,GF4&lt;&gt;"",GH4&gt;=GS$25,GH4&lt;&gt;""),AND(GI4&gt;=GS$21,GI4&lt;&gt;"",GK4&gt;=GS$25,GK4&lt;&gt;""),AND(GM4&gt;=GS$21,GM4&lt;&gt;"",GO4&gt;=GS$25,GO4&lt;&gt;""),AND(GP4&gt;=GS$21,GP4&lt;&gt;"",GR4&gt;=GS$25,GR4&lt;&gt;""),AND(HN4&gt;=IA$21,HN4&lt;&gt;"",HP4&gt;=IA$25,HP4&lt;&gt;""),AND(HQ4&gt;=IA$21,HQ4&lt;&gt;"",HS4&gt;=IA$25,HS4&lt;&gt;""),AND(HU4&gt;=IA$21,HU4&lt;&gt;"",HW4&gt;=IA$25,HW4&lt;&gt;""),AND(HX4&gt;=IA$21,HX4&lt;&gt;"",HZ4&gt;=IA$25,HZ4&lt;&gt;""),AND(IV4&gt;=JI$21,IV4&lt;&gt;"",IX4&gt;=JI$25,IX4&lt;&gt;""),AND(IY4&gt;=JI$21,IY4&lt;&gt;"",JA4&gt;=JI$25,JA4&lt;&gt;""),AND(JC4&gt;=JI$21,JC4&lt;&gt;"",JE4&gt;=JI$25,JE4&lt;&gt;""),AND(JF4&gt;=JI$21,JF4&lt;&gt;"",JH4&gt;=JI$25,JH4&lt;&gt;""),AND(KD4&gt;=KQ$21,KD4&lt;&gt;"",KF4&gt;=KQ$25,KF4&lt;&gt;""),AND(KG4&gt;=KQ$21,KG4&lt;&gt;"",KI4&gt;=KQ$25,KI4&lt;&gt;""),AND(KK4&gt;=KQ$21,KK4&lt;&gt;"",KM4&gt;=KQ$25,KM4&lt;&gt;""),AND(KN4&gt;=KQ$21,KN4&lt;&gt;"",KP4&gt;=KQ$25,KP4&lt;&gt;""),AND(LL4&gt;=LY$21,LL4&lt;&gt;"",LN4&gt;=LY$25,LN4&lt;&gt;""),AND(LO4&gt;=LY$21,LO4&lt;&gt;"",LQ4&gt;=LY$25,LQ4&lt;&gt;""),AND(LS4&gt;=LY$21,LS4&lt;&gt;"",LU4&gt;=LY$25,LU4&lt;&gt;""),AND(LV4&gt;=LY$21,LV4&lt;&gt;"",LX4&gt;=LY$25,LX4&lt;&gt;""),AND(MT4&gt;=NG$21,MT4&lt;&gt;"",MV4&gt;=NG$25,MV4&lt;&gt;""),AND(MW4&gt;=NG$21,MW4&lt;&gt;"",MY4&gt;=NG$25,MY4&lt;&gt;""),AND(NA4&gt;=NG$21,NA4&lt;&gt;"",NC4&gt;=NG$25,NC4&lt;&gt;""),AND(ND4&gt;=NG$21,ND4&lt;&gt;"",NF4&gt;=NG$25,NF4&lt;&gt;""),AND(OB4&gt;=OO$21,OB4&lt;&gt;"",OD4&gt;=OO$25,OD4&lt;&gt;""),AND(OE4&gt;=OO$21,OE4&lt;&gt;"",OG4&gt;=OO$25,OG4&lt;&gt;""),AND(OI4&gt;=OO$21,OI4&lt;&gt;"",OK4&gt;=OO$25,OK4&lt;&gt;""),AND(OL4&gt;=OO$21,OL4&lt;&gt;"",ON4&gt;=OO$25,ON4&lt;&gt;""),AND(PJ4&gt;=PW$21,PJ4&lt;&gt;"",PL4&gt;=PW$25,PL4&lt;&gt;""),AND(PM4&gt;=PW$21,PM4&lt;&gt;"",PO4&gt;=PW$25,PO4&lt;&gt;""),AND(PQ4&gt;=PW$21,PQ4&lt;&gt;"",PS4&gt;=PW$25,PS4&lt;&gt;""),AND(PT4&gt;=PW$21,PT4&lt;&gt;"",PV4&gt;=PW$25,PV4&lt;&gt;""),AND(QR4&gt;=RE$21,QR4&lt;&gt;"",QT4&gt;=RE$25,QT4&lt;&gt;""),AND(QU4&gt;=RE$21,QU4&lt;&gt;"",QW4&gt;=RE$25,QW4&lt;&gt;""),AND(QY4&gt;=RE$21,QY4&lt;&gt;"",RA4&gt;=RE$25,RA4&lt;&gt;""),AND(RB4&gt;=RE$21,RB4&lt;&gt;"",RD4&gt;=RE$25,RD4&lt;&gt;""),AND(RZ4&gt;=SM$21,RZ4&lt;&gt;"",SB4&gt;=SM$25,SB4&lt;&gt;""),AND(SC4&gt;=SM$21,SC4&lt;&gt;"",SE4&gt;=SM$25,SE4&lt;&gt;""),AND(SG4&gt;=SM$21,SG4&lt;&gt;"",SI4&gt;=SM$25,SI4&lt;&gt;""),AND(SJ4&gt;=SM$21,SJ4&lt;&gt;"",SL4&gt;=SM$25,SL4&lt;&gt;""),AND(TH4&gt;=TU$21,TH4&lt;&gt;"",TJ4&gt;=TU$25,TJ4&lt;&gt;""),AND(TK4&gt;=TU$21,TK4&lt;&gt;"",TM4&gt;=TU$25,TM4&lt;&gt;""),AND(TO4&gt;=TU$21,TO4&lt;&gt;"",TQ4&gt;=TU$25,TQ4&lt;&gt;""),AND(TR4&gt;=TU$21,TR4&lt;&gt;"",TT4&gt;=TU$25,TT4&lt;&gt;""),AND(UP4&gt;=VC$21,UP4&lt;&gt;"",UR4&gt;=VC$25,UR4&lt;&gt;""),AND(US4&gt;=VC$21,US4&lt;&gt;"",UU4&gt;=VC$25,UU4&lt;&gt;""),AND(UW4&gt;=VC$21,UW4&lt;&gt;"",UY4&gt;=VC$25,UY4&lt;&gt;""),AND(UZ4&gt;=VC$21,UZ4&lt;&gt;"",VB4&gt;=VC$25,VB4&lt;&gt;""),AND(VX4&gt;=WK$21,VX4&lt;&gt;"",VZ4&gt;=WK$25,VZ4&lt;&gt;""),AND(WA4&gt;=WK$21,WA4&lt;&gt;"",WC4&gt;=WK$25,WC4&lt;&gt;""),AND(WE4&gt;=WK$21,WE4&lt;&gt;"",WG4&gt;=WK$25,WG4&lt;&gt;""),AND(WH4&gt;=WK$21,WH4&lt;&gt;"",WJ4&gt;=WK$25,WJ4&lt;&gt;"")),"Merit",IF(OR(AND(AG4&gt;=AQ$20,AG4&lt;&gt;"",AI4&gt;=AQ$24,AI4&lt;&gt;"",AF4=""),AND(AJ4&gt;=AQ$20,AJ4&lt;&gt;"",AL4&gt;=AQ$24,AL4&lt;&gt;"",AF4=""),AND(AN4&gt;=AQ$20,AN4&lt;&gt;"",AP4&gt;=AQ$24,AP4&lt;&gt;"",AF4=""),AND(BH4&gt;=BR$20,BH4&lt;&gt;"",BJ4&gt;=BR$24,BJ4&lt;&gt;"",BG4=""),AND(BK4&gt;=BR$20,BK4&lt;&gt;"",BM4&gt;=BR$24,BM4&lt;&gt;"",BG4=""),AND(BO4&gt;=BR$20,BO4&lt;&gt;"",BQ4&gt;=BR$24,BQ4&lt;&gt;"",BG4=""),AND(CI4&gt;=CS$20,CI4&lt;&gt;"",CK4&gt;=CS$24,CK4&lt;&gt;"",CH4=""),AND(CL4&gt;=CS$20,CL4&lt;&gt;"",CN4&gt;=CS$24,CN4&lt;&gt;"",CH4=""),AND(CP4&gt;=CS$20,CP4&lt;&gt;"",CR4&gt;=CS$24,CR4&lt;&gt;"",CH4=""),AND(DP4&gt;=EC$20,DP4&lt;&gt;"",DR4&gt;=EC$24,DR4&lt;&gt;""),AND(DS4&gt;=EC$20,DS4&lt;&gt;"",DU4&gt;=EC$24,DU4&lt;&gt;""),AND(DW4&gt;=EC$20,DW4&lt;&gt;"",DY4&gt;=EC$24,DY4&lt;&gt;""),AND(DZ4&gt;=EC$20,DZ4&lt;&gt;"",EB4&gt;=EC$24,EB4&lt;&gt;""),AND(EX4&gt;=FK$20,EX4&lt;&gt;"",EZ4&gt;=FK$24,EZ4&lt;&gt;""),AND(FA4&gt;=FK$20,FA4&lt;&gt;"",FC4&gt;=FK$24,FC4&lt;&gt;""),AND(FE4&gt;=FK$20,FE4&lt;&gt;"",FG4&gt;=FK$24,FG4&lt;&gt;""),AND(FH4&gt;=FK$20,FH4&lt;&gt;"",FJ4&gt;=FK$24,FJ4&lt;&gt;""),AND(GF4&gt;=GS$20,GF4&lt;&gt;"",GH4&gt;=GS$24,GH4&lt;&gt;""),AND(GI4&gt;=GS$20,GI4&lt;&gt;"",GK4&gt;=GS$24,GK4&lt;&gt;""),AND(GM4&gt;=GS$20,GM4&lt;&gt;"",GO4&gt;=GS$24,GO4&lt;&gt;""),AND(GP4&gt;=GS$20,GP4&lt;&gt;"",GR4&gt;=GS$24,GR4&lt;&gt;""),AND(HN4&gt;=IA$20,HN4&lt;&gt;"",HP4&gt;=IA$24,HP4&lt;&gt;""),AND(HQ4&gt;=IA$20,HQ4&lt;&gt;"",HS4&gt;=IA$24,HS4&lt;&gt;""),AND(HU4&gt;=IA$20,HU4&lt;&gt;"",HW4&gt;=IA$24,HW4&lt;&gt;""),AND(HX4&gt;=IA$20,HX4&lt;&gt;"",HZ4&gt;=IA$24,HZ4&lt;&gt;""),AND(IV4&gt;=JI$20,IV4&lt;&gt;"",IX4&gt;=JI$24,IX4&lt;&gt;""),AND(IY4&gt;=JI$20,IY4&lt;&gt;"",JA4&gt;=JI$24,JA4&lt;&gt;""),AND(JC4&gt;=JI$20,JC4&lt;&gt;"",JE4&gt;=JI$24,JE4&lt;&gt;""),AND(JF4&gt;=JI$20,JF4&lt;&gt;"",JH4&gt;=JI$24,JH4&lt;&gt;""),AND(KD4&gt;=KQ$20,KD4&lt;&gt;"",KF4&gt;=KQ$24,KF4&lt;&gt;""),AND(KG4&gt;=KQ$20,KG4&lt;&gt;"",KI4&gt;=KQ$24,KI4&lt;&gt;""),AND(KK4&gt;=KQ$20,KK4&lt;&gt;"",KM4&gt;=KQ$24,KM4&lt;&gt;""),AND(KN4&gt;=KQ$20,KN4&lt;&gt;"",KP4&gt;=KQ$24,KP4&lt;&gt;""),AND(LL4&gt;=LY$20,LL4&lt;&gt;"",LN4&gt;=LY$24,LN4&lt;&gt;""),AND(LO4&gt;=LY$20,LO4&lt;&gt;"",LQ4&gt;=LY$24,LQ4&lt;&gt;""),AND(LS4&gt;=LY$20,LS4&lt;&gt;"",LU4&gt;=LY$24,LU4&lt;&gt;""),AND(LV4&gt;=LY$20,LV4&lt;&gt;"",LX4&gt;=LY$24,LX4&lt;&gt;""),AND(MT4&gt;=NG$20,MT4&lt;&gt;"",MV4&gt;=NG$24,MV4&lt;&gt;""),AND(MW4&gt;=NG$20,MW4&lt;&gt;"",MY4&gt;=NG$24,MY4&lt;&gt;""),AND(NA4&gt;=NG$20,NA4&lt;&gt;"",NC4&gt;=NG$24,NC4&lt;&gt;""),AND(ND4&gt;=NG$20,ND4&lt;&gt;"",NF4&gt;=NG$24,NF4&lt;&gt;""),AND(OB4&gt;=OO$20,OB4&lt;&gt;"",OD4&gt;=OO$24,OD4&lt;&gt;""),AND(OE4&gt;=OO$20,OE4&lt;&gt;"",OG4&gt;=OO$24,OG4&lt;&gt;""),AND(OI4&gt;=OO$20,OI4&lt;&gt;"",OK4&gt;=OO$24,OK4&lt;&gt;""),AND(OL4&gt;=OO$20,OL4&lt;&gt;"",ON4&gt;=OO$24,ON4&lt;&gt;""),AND(PJ4&gt;=PW$20,PJ4&lt;&gt;"",PL4&gt;=PW$24,PL4&lt;&gt;""),AND(PM4&gt;=PW$20,PM4&lt;&gt;"",PO4&gt;=PW$24,PO4&lt;&gt;""),AND(PQ4&gt;=PW$20,PQ4&lt;&gt;"",PS4&gt;=PW$24,PS4&lt;&gt;""),AND(PT4&gt;=PW$20,PT4&lt;&gt;"",PV4&gt;=PW$24,PV4&lt;&gt;""),AND(QR4&gt;=RE$20,QR4&lt;&gt;"",QT4&gt;=RE$24,QT4&lt;&gt;""),AND(QU4&gt;=RE$20,QU4&lt;&gt;"",QW4&gt;=RE$24,QW4&lt;&gt;""),AND(QY4&gt;=RE$20,QY4&lt;&gt;"",RA4&gt;=RE$24,RA4&lt;&gt;""),AND(RB4&gt;=RE$20,RB4&lt;&gt;"",RD4&gt;=RE$24,RD4&lt;&gt;""),AND(RZ4&gt;=SM$20,RZ4&lt;&gt;"",SB4&gt;=SM$24,SB4&lt;&gt;""),AND(SC4&gt;=SM$20,SC4&lt;&gt;"",SE4&gt;=SM$24,SE4&lt;&gt;""),AND(SG4&gt;=SM$20,SG4&lt;&gt;"",SI4&gt;=SM$24,SI4&lt;&gt;""),AND(SJ4&gt;=SM$20,SJ4&lt;&gt;"",SL4&gt;=SM$24,SL4&lt;&gt;""),AND(TH4&gt;=TU$20,TH4&lt;&gt;"",TJ4&gt;=TU$24,TJ4&lt;&gt;""),AND(TK4&gt;=TU$20,TK4&lt;&gt;"",TM4&gt;=TU$24,TM4&lt;&gt;""),AND(TO4&gt;=TU$20,TO4&lt;&gt;"",TQ4&gt;=TU$24,TQ4&lt;&gt;""),AND(TR4&gt;=TU$20,TR4&lt;&gt;"",TT4&gt;=TU$24,TT4&lt;&gt;""),AND(UP4&gt;=VC$20,UP4&lt;&gt;"",UR4&gt;=VC$24,UR4&lt;&gt;""),AND(US4&gt;=VC$20,US4&lt;&gt;"",UU4&gt;=VC$24,UU4&lt;&gt;""),AND(UW4&gt;=VC$20,UW4&lt;&gt;"",UY4&gt;=VC$24,UY4&lt;&gt;""),AND(UZ4&gt;=VC$20,UZ4&lt;&gt;"",VB4&gt;=VC$24,VB4&lt;&gt;""),AND(VX4&gt;=WK$20,VX4&lt;&gt;"",VZ4&gt;=WK$24,VZ4&lt;&gt;""),AND(WA4&gt;=WK$20,WA4&lt;&gt;"",WC4&gt;=WK$24,WC4&lt;&gt;""),AND(WE4&gt;=WK$20,WE4&lt;&gt;"",WG4&gt;=WK$24,WG4&lt;&gt;""),AND(WH4&gt;=WK$20,WH4&lt;&gt;"",WJ4&gt;=WK$24,WJ4&lt;&gt;"")),"Excellence",IF(I4="P","Worlds Team",IF(F4="P","National Team","")))))</f>
        <v>Worlds Team</v>
      </c>
      <c r="I4" s="3" t="str">
        <f t="shared" ref="I4:I15" si="4">IF(OR(AND(AG4&gt;=AQ$19,AG4&lt;&gt;"",AI4&gt;=AQ$23,AI4&lt;&gt;"",AF4=""),AND(AJ4&gt;=AQ$19,AJ4&lt;&gt;"",AL4&gt;=AQ$23,AL4&lt;&gt;"",AF4=""),AND(AN4&gt;=AQ$19,AN4&lt;&gt;"",AP4&gt;=AQ$23,AP4&lt;&gt;"",AF4=""),AND(BH4&gt;=BR$19,BH4&lt;&gt;"",BJ4&gt;=BR$23,BJ4&lt;&gt;"",BG4=""),AND(BK4&gt;=BR$19,BK4&lt;&gt;"",BM4&gt;=BR$23,BM4&lt;&gt;"",BG4=""),AND(BO4&gt;=BR$19,BO4&lt;&gt;"",BQ4&gt;=BR$23,BQ4&lt;&gt;"",BG4=""),AND(CI4&gt;=CS$19,CI4&lt;&gt;"",CK4&gt;=CS$23,CK4&lt;&gt;"",CH4=""),AND(CL4&gt;=CS$19,CL4&lt;&gt;"",CN4&gt;=CS$23,CN4&lt;&gt;"",CH4=""),AND(CP4&gt;=CS$19,CP4&lt;&gt;"",CR4&gt;=CS$23,CR4&lt;&gt;"",CH4=""),AND(DP4&gt;=EC$19,DP4&lt;&gt;"",DR4&gt;=EC$23,DR4&lt;&gt;""),AND(DS4&gt;=EC$19,DS4&lt;&gt;"",DU4&gt;=EC$23,DU4&lt;&gt;""),AND(DW4&gt;=EC$19,DW4&lt;&gt;"",DY4&gt;=EC$23,DY4&lt;&gt;""),AND(DZ4&gt;=EC$19,DZ4&lt;&gt;"",EB4&gt;=EC$23,EB4&lt;&gt;""),AND(EX4&gt;=FK$19,EX4&lt;&gt;"",EZ4&gt;=FK$23,EZ4&lt;&gt;""),AND(FA4&gt;=FK$19,FA4&lt;&gt;"",FC4&gt;=FK$23,FC4&lt;&gt;""),AND(FE4&gt;=FK$19,FE4&lt;&gt;"",FG4&gt;=FK$23,FG4&lt;&gt;""),AND(FH4&gt;=FK$19,FH4&lt;&gt;"",FJ4&gt;=FK$23,FJ4&lt;&gt;""),AND(GF4&gt;=GS$19,GF4&lt;&gt;"",GH4&gt;=GS$23,GH4&lt;&gt;""),AND(GI4&gt;=GS$19,GI4&lt;&gt;"",GK4&gt;=GS$23,GK4&lt;&gt;""),AND(GM4&gt;=GS$19,GM4&lt;&gt;"",GO4&gt;=GS$23,GO4&lt;&gt;""),AND(GP4&gt;=GS$19,GP4&lt;&gt;"",GR4&gt;=GS$23,GR4&lt;&gt;""),AND(HN4&gt;=IA$19,HN4&lt;&gt;"",HP4&gt;=IA$23,HP4&lt;&gt;""),AND(HQ4&gt;=IA$19,HQ4&lt;&gt;"",HS4&gt;=IA$23,HS4&lt;&gt;""),AND(HU4&gt;=IA$19,HU4&lt;&gt;"",HW4&gt;=IA$23,HW4&lt;&gt;""),AND(HX4&gt;=IA$19,HX4&lt;&gt;"",HZ4&gt;=IA$23,HZ4&lt;&gt;""),AND(IV4&gt;=JI$19,IV4&lt;&gt;"",IX4&gt;=JI$23,IX4&lt;&gt;""),AND(IY4&gt;=JI$19,IY4&lt;&gt;"",JA4&gt;=JI$23,JA4&lt;&gt;""),AND(JC4&gt;=JI$19,JC4&lt;&gt;"",JE4&gt;=JI$23,JE4&lt;&gt;""),AND(JF4&gt;=JI$19,JF4&lt;&gt;"",JH4&gt;=JI$23,JH4&lt;&gt;""),AND(KD4&gt;=KQ$19,KD4&lt;&gt;"",KF4&gt;=KQ$23,KF4&lt;&gt;""),AND(KG4&gt;=KQ$19,KG4&lt;&gt;"",KI4&gt;=KQ$23,KI4&lt;&gt;""),AND(KK4&gt;=KQ$19,KK4&lt;&gt;"",KM4&gt;=KQ$23,KM4&lt;&gt;""),AND(KN4&gt;=KQ$19,KN4&lt;&gt;"",KP4&gt;=KQ$23,KP4&lt;&gt;""),AND(LL4&gt;=LY$19,LL4&lt;&gt;"",LN4&gt;=LY$23,LN4&lt;&gt;""),AND(LO4&gt;=LY$19,LO4&lt;&gt;"",LQ4&gt;=LY$23,LQ4&lt;&gt;""),AND(LS4&gt;=LY$19,LS4&lt;&gt;"",LU4&gt;=LY$23,LU4&lt;&gt;""),AND(LV4&gt;=LY$19,LV4&lt;&gt;"",LX4&gt;=LY$23,LX4&lt;&gt;""),AND(MT4&gt;=NG$19,MT4&lt;&gt;"",MV4&gt;=NG$23,MV4&lt;&gt;""),AND(MW4&gt;=NG$19,MW4&lt;&gt;"",MY4&gt;=NG$23,MY4&lt;&gt;""),AND(NA4&gt;=NG$19,NA4&lt;&gt;"",NC4&gt;=NG$23,NC4&lt;&gt;""),AND(ND4&gt;=NG$19,ND4&lt;&gt;"",NF4&gt;=NG$23,NF4&lt;&gt;""),AND(OB4&gt;=OO$19,OB4&lt;&gt;"",OD4&gt;=OO$23,OD4&lt;&gt;""),AND(OE4&gt;=OO$19,OE4&lt;&gt;"",OG4&gt;=OO$23,OG4&lt;&gt;""),AND(OI4&gt;=OO$19,OI4&lt;&gt;"",OK4&gt;=OO$23,OK4&lt;&gt;""),AND(OL4&gt;=OO$19,OL4&lt;&gt;"",ON4&gt;=OO$23,ON4&lt;&gt;""),AND(PJ4&gt;=PW$19,PJ4&lt;&gt;"",PL4&gt;=PW$23,PL4&lt;&gt;""),AND(PM4&gt;=PW$19,PM4&lt;&gt;"",PO4&gt;=PW$23,PO4&lt;&gt;""),AND(PQ4&gt;=PW$19,PQ4&lt;&gt;"",PS4&gt;=PW$23,PS4&lt;&gt;""),AND(PT4&gt;=PW$19,PT4&lt;&gt;"",PV4&gt;=PW$23,PV4&lt;&gt;""),AND(QR4&gt;=RE$19,QR4&lt;&gt;"",QT4&gt;=RE$23,QT4&lt;&gt;""),AND(QU4&gt;=RE$19,QU4&lt;&gt;"",QW4&gt;=RE$23,QW4&lt;&gt;""),AND(QY4&gt;=RE$19,QY4&lt;&gt;"",RA4&gt;=RE$23,RA4&lt;&gt;""),AND(RB4&gt;=RE$19,RB4&lt;&gt;"",RD4&gt;=RE$23,RD4&lt;&gt;""),AND(RZ4&gt;=SM$19,RZ4&lt;&gt;"",SB4&gt;=SM$23,SB4&lt;&gt;""),AND(SC4&gt;=SM$19,SC4&lt;&gt;"",SE4&gt;=SM$23,SE4&lt;&gt;""),AND(SG4&gt;=SM$19,SG4&lt;&gt;"",SI4&gt;=SM$23,SI4&lt;&gt;""),AND(SJ4&gt;=SM$19,SJ4&lt;&gt;"",SL4&gt;=SM$23,SL4&lt;&gt;""),AND(TH4&gt;=TU$19,TH4&lt;&gt;"",TJ4&gt;=TU$23,TJ4&lt;&gt;""),AND(TK4&gt;=TU$19,TK4&lt;&gt;"",TM4&gt;=TU$23,TM4&lt;&gt;""),AND(TO4&gt;=TU$19,TO4&lt;&gt;"",TQ4&gt;=TU$23,TQ4&lt;&gt;""),AND(TR4&gt;=TU$19,TR4&lt;&gt;"",TT4&gt;=TU$23,TT4&lt;&gt;""),AND(UP4&gt;=VC$19,UP4&lt;&gt;"",UR4&gt;=VC$23,UR4&lt;&gt;""),AND(US4&gt;=VC$19,US4&lt;&gt;"",UU4&gt;=VC$23,UU4&lt;&gt;""),AND(UW4&gt;=VC$19,UW4&lt;&gt;"",UY4&gt;=VC$23,UY4&lt;&gt;""),AND(UZ4&gt;=VC$19,UZ4&lt;&gt;"",VB4&gt;=VC$23,VB4&lt;&gt;""),AND(VX4&gt;=WK$19,VX4&lt;&gt;"",VZ4&gt;=WK$23,VZ4&lt;&gt;""),AND(WA4&gt;=WK$19,WA4&lt;&gt;"",WC4&gt;=WK$23,WC4&lt;&gt;""),AND(WE4&gt;=WK$19,WE4&lt;&gt;"",WG4&gt;=WK$23,WG4&lt;&gt;""),AND(WH4&gt;=WK$19,WH4&lt;&gt;"",WJ4&gt;=WK$23,WJ4&lt;&gt;"")),"P","")</f>
        <v>P</v>
      </c>
      <c r="J4" s="8">
        <f>IF(COUNT(AI4,AL4,AP4,BJ4,BM4,BQ4,CK4,CN4,CR4)&gt;0,LARGE((AI4,AL4,AP4,BJ4,BM4,BQ4,CK4,CN4,CR4),1),0)</f>
        <v>47.82</v>
      </c>
      <c r="K4" s="8" t="str">
        <f t="shared" ref="K4:K15" si="5">IF(J4="","",IF(OR(J4=CK4,J4=CN4,J4=CR4),$BS$1,IF(OR(J4=BJ4,J4=BM4,J4=BQ4),$AR$1,IF(OR(J4=AI4,J4=AL4,J4=AP4),$Q$1,""))))</f>
        <v>2024 Nationals</v>
      </c>
      <c r="L4" s="8">
        <f>IF(COUNT(AI4,AL4,AP4,BJ4,BM4,BQ4,CK4,CN4,CR4)&gt;1,LARGE((AI4,AL4,AP4,BJ4,BM4,BQ4,CK4,CN4,CR4),2),0)</f>
        <v>47.21</v>
      </c>
      <c r="M4" s="8" t="str">
        <f t="shared" ref="M4:M15" si="6">IF(L4="","",IF(OR(L4=CK4,L4=CN4,L4=CR4),$BS$1,IF(OR(L4=BJ4,L4=BM4,L4=BQ4),$AR$1,IF(OR(L4=AI4,L4=AL4,L4=AP4),$Q$1,""))))</f>
        <v>2024 Elite Canada</v>
      </c>
      <c r="N4" s="8" t="str">
        <f t="shared" ref="N4:N15" si="7">IF(MAX(CT4,CU4)&gt;0,MAX(CT4,CU4),"")</f>
        <v/>
      </c>
      <c r="O4" s="11" t="str">
        <f t="shared" ref="O4:O15" si="8">IF(N4="","",IF(N4=CT4,"("&amp;CT$2&amp;")",IF(N4=CU4,"("&amp;CU$2&amp;")")))</f>
        <v/>
      </c>
      <c r="P4" s="8" t="str">
        <f t="shared" ref="P4:P15" si="9"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/>
      </c>
      <c r="Q4" s="22">
        <v>8.9</v>
      </c>
      <c r="R4" s="22">
        <v>9.4499999999999993</v>
      </c>
      <c r="S4" s="22">
        <v>11.8</v>
      </c>
      <c r="T4" s="22">
        <v>17.059999999999999</v>
      </c>
      <c r="U4" s="22">
        <v>0</v>
      </c>
      <c r="V4" s="22">
        <v>8.6</v>
      </c>
      <c r="W4" s="22">
        <v>9.15</v>
      </c>
      <c r="X4" s="22">
        <v>12.4</v>
      </c>
      <c r="Y4" s="22">
        <v>16.04</v>
      </c>
      <c r="Z4" s="22">
        <v>0.2</v>
      </c>
      <c r="AA4" s="22">
        <v>9</v>
      </c>
      <c r="AB4" s="22">
        <v>9.1999999999999993</v>
      </c>
      <c r="AC4" s="22">
        <v>11.8</v>
      </c>
      <c r="AD4" s="22">
        <v>17.100000000000001</v>
      </c>
      <c r="AE4" s="22">
        <v>0</v>
      </c>
      <c r="AF4" s="27"/>
      <c r="AG4" s="38">
        <f t="shared" ref="AG4:AG15" si="10">IF(S4&gt;0,S4,"")</f>
        <v>11.8</v>
      </c>
      <c r="AH4" s="38">
        <f t="shared" ref="AH4:AH15" si="11">IF(T4&gt;0,T4,"")</f>
        <v>17.059999999999999</v>
      </c>
      <c r="AI4" s="40">
        <f t="shared" ref="AI4:AI15" si="12">IF(SUM(Q4:T4)-U4&gt;0,SUM(Q4:T4)-U4,"")</f>
        <v>47.21</v>
      </c>
      <c r="AJ4" s="40">
        <f t="shared" ref="AJ4:AJ15" si="13">IF(X4&gt;0,X4,"")</f>
        <v>12.4</v>
      </c>
      <c r="AK4" s="40">
        <f t="shared" ref="AK4:AK15" si="14">IF(Y4&gt;0,Y4,"")</f>
        <v>16.04</v>
      </c>
      <c r="AL4" s="40">
        <f t="shared" ref="AL4:AL15" si="15">IF(SUM(V4:Y4)-Z4&gt;0,SUM(V4:Y4)-Z4,"")</f>
        <v>45.989999999999995</v>
      </c>
      <c r="AM4" s="40">
        <f t="shared" ref="AM4:AM15" si="16">IF(AI4="","",MAX(AI4,AL4))</f>
        <v>47.21</v>
      </c>
      <c r="AN4" s="40">
        <f t="shared" ref="AN4:AN15" si="17">IF(AC4&gt;0,AC4,"")</f>
        <v>11.8</v>
      </c>
      <c r="AO4" s="40">
        <f t="shared" ref="AO4:AO15" si="18">IF(AD4&gt;0,AD4,"")</f>
        <v>17.100000000000001</v>
      </c>
      <c r="AP4" s="40">
        <f t="shared" ref="AP4:AP15" si="19">IF(SUM(AA4:AD4)-AE4&gt;0,SUM(AA4:AD4)-AE4,"")</f>
        <v>47.1</v>
      </c>
      <c r="AQ4" s="40">
        <f t="shared" ref="AQ4:AQ15" si="20">IF(SUM(AM4,AP4)&gt;0,SUM(AM4,AP4),"")</f>
        <v>94.31</v>
      </c>
      <c r="AR4" s="26">
        <v>3.35</v>
      </c>
      <c r="AS4" s="26">
        <v>3.45</v>
      </c>
      <c r="AT4" s="26">
        <v>5.4</v>
      </c>
      <c r="AU4" s="26">
        <v>7.12</v>
      </c>
      <c r="AV4" s="26">
        <v>0</v>
      </c>
      <c r="AW4" s="26">
        <v>9</v>
      </c>
      <c r="AX4" s="26">
        <v>9.4</v>
      </c>
      <c r="AY4" s="26">
        <v>11.8</v>
      </c>
      <c r="AZ4" s="26">
        <v>17.62</v>
      </c>
      <c r="BA4" s="26">
        <v>0</v>
      </c>
      <c r="BB4" s="26">
        <v>0.85</v>
      </c>
      <c r="BC4" s="26">
        <v>0.8</v>
      </c>
      <c r="BD4" s="26">
        <v>1.5</v>
      </c>
      <c r="BE4" s="26">
        <v>1.84</v>
      </c>
      <c r="BF4" s="26">
        <v>0</v>
      </c>
      <c r="BG4" s="28"/>
      <c r="BH4" s="39">
        <f t="shared" ref="BH4:BH15" si="21">IF(AT4&gt;0,AT4,"")</f>
        <v>5.4</v>
      </c>
      <c r="BI4" s="39">
        <f t="shared" ref="BI4:BI15" si="22">IF(AU4&gt;0,AU4,"")</f>
        <v>7.12</v>
      </c>
      <c r="BJ4" s="11">
        <f t="shared" ref="BJ4:BJ15" si="23">IF(SUM(AR4:AU4)-AV4&gt;0,SUM(AR4:AU4)-AV4,"")</f>
        <v>19.32</v>
      </c>
      <c r="BK4" s="11">
        <f t="shared" ref="BK4:BK15" si="24">IF(AY4&gt;0,AY4,"")</f>
        <v>11.8</v>
      </c>
      <c r="BL4" s="11">
        <f t="shared" ref="BL4:BL15" si="25">IF(AZ4&gt;0,AZ4,"")</f>
        <v>17.62</v>
      </c>
      <c r="BM4" s="11">
        <f t="shared" ref="BM4:BM15" si="26">IF(SUM(AW4:AZ4)-BA4&gt;0,SUM(AW4:AZ4)-BA4,"")</f>
        <v>47.82</v>
      </c>
      <c r="BN4" s="11">
        <f t="shared" ref="BN4:BN15" si="27">IF(BJ4="","",MAX(BJ4,BM4))</f>
        <v>47.82</v>
      </c>
      <c r="BO4" s="11">
        <f t="shared" ref="BO4:BO15" si="28">IF(BD4&gt;0,BD4,"")</f>
        <v>1.5</v>
      </c>
      <c r="BP4" s="11">
        <f t="shared" ref="BP4:BP15" si="29">IF(BE4&gt;0,BE4,"")</f>
        <v>1.84</v>
      </c>
      <c r="BQ4" s="11">
        <f t="shared" ref="BQ4:BQ15" si="30">IF(SUM(BB4:BE4)-BF4&gt;0,SUM(BB4:BE4)-BF4,"")</f>
        <v>4.99</v>
      </c>
      <c r="BR4" s="11">
        <f t="shared" ref="BR4:BR15" si="31">IF(SUM(BN4,BQ4)&gt;0,SUM(BN4,BQ4),"")</f>
        <v>52.81</v>
      </c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7"/>
      <c r="CI4" s="38" t="str">
        <f t="shared" ref="CI4:CI15" si="32">IF(BU4&gt;0,BU4,"")</f>
        <v/>
      </c>
      <c r="CJ4" s="38" t="str">
        <f t="shared" ref="CJ4:CJ15" si="33">IF(BV4&gt;0,BV4,"")</f>
        <v/>
      </c>
      <c r="CK4" s="40" t="str">
        <f t="shared" ref="CK4:CK15" si="34">IF(SUM(BS4:BV4)-BW4&gt;0,SUM(BS4:BV4)-BW4,"")</f>
        <v/>
      </c>
      <c r="CL4" s="40" t="str">
        <f t="shared" ref="CL4:CL15" si="35">IF(BZ4&gt;0,BZ4,"")</f>
        <v/>
      </c>
      <c r="CM4" s="40" t="str">
        <f t="shared" ref="CM4:CM15" si="36">IF(CA4&gt;0,CA4,"")</f>
        <v/>
      </c>
      <c r="CN4" s="40" t="str">
        <f t="shared" ref="CN4:CN15" si="37">IF(SUM(BX4:CA4)-CB4&gt;0,SUM(BX4:CA4)-CB4,"")</f>
        <v/>
      </c>
      <c r="CO4" s="40" t="str">
        <f t="shared" ref="CO4:CO15" si="38">IF(CK4="","",MAX(CK4,CN4))</f>
        <v/>
      </c>
      <c r="CP4" s="40" t="str">
        <f t="shared" ref="CP4:CP15" si="39">IF(CE4&gt;0,CE4,"")</f>
        <v/>
      </c>
      <c r="CQ4" s="40" t="str">
        <f t="shared" ref="CQ4:CQ15" si="40">IF(CF4&gt;0,CF4,"")</f>
        <v/>
      </c>
      <c r="CR4" s="40" t="str">
        <f t="shared" ref="CR4:CR15" si="41">IF(SUM(CC4:CF4)-CG4&gt;0,SUM(CC4:CF4)-CG4,"")</f>
        <v/>
      </c>
      <c r="CS4" s="40" t="str">
        <f t="shared" ref="CS4:CS15" si="42">IF(SUM(CO4,CR4)&gt;0,SUM(CO4,CR4),"")</f>
        <v/>
      </c>
      <c r="CT4" s="51" t="str">
        <f t="shared" ref="CT4:CT15" si="43">IF(MAX(DV4,FD4,GL4,HT4,JB4,KJ4,LR4,MZ4,OH4,PP4,QX4,SF4,TN4,UV4,WD4)-IF(L4="",0,L4)&gt;0.001,MAX(DV4,FD4,GL4,HT4,JB4,KJ4,LR4,MZ4,OH4,PP4,QX4,SF4,TN4,UV4,WD4)-IF(L4="",0,L4),"")</f>
        <v/>
      </c>
      <c r="CU4" s="51" t="str">
        <f t="shared" ref="CU4:CU15" si="44"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/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0" t="str">
        <f t="shared" ref="DP4:DP15" si="45">IF(CX4&gt;0,CX4,"")</f>
        <v/>
      </c>
      <c r="DQ4" s="40" t="str">
        <f t="shared" ref="DQ4:DQ15" si="46">IF(CY4&gt;0,CY4,"")</f>
        <v/>
      </c>
      <c r="DR4" s="40" t="str">
        <f t="shared" ref="DR4:DR15" si="47">IF(SUM(CV4:CY4)-CZ4&gt;0,SUM(CV4:CY4)-CZ4,"")</f>
        <v/>
      </c>
      <c r="DS4" s="40" t="str">
        <f t="shared" ref="DS4:DS15" si="48">IF(DC4&gt;0,DC4,"")</f>
        <v/>
      </c>
      <c r="DT4" s="40" t="str">
        <f t="shared" ref="DT4:DT15" si="49">IF(DD4&gt;0,DD4,"")</f>
        <v/>
      </c>
      <c r="DU4" s="40" t="str">
        <f t="shared" ref="DU4:DU15" si="50">IF(SUM(DA4:DD4)-DE4&gt;0,SUM(DA4:DD4)-DE4,"")</f>
        <v/>
      </c>
      <c r="DV4" s="40" t="str">
        <f t="shared" ref="DV4:DV15" si="51">IF(MAX(DR4,DU4)&gt;0,MAX(DR4,DU4),"")</f>
        <v/>
      </c>
      <c r="DW4" s="40" t="str">
        <f t="shared" ref="DW4:DW15" si="52">IF(DH4&gt;0,DH4,"")</f>
        <v/>
      </c>
      <c r="DX4" s="40" t="str">
        <f t="shared" ref="DX4:DX15" si="53">IF(DI4&gt;0,DI4,"")</f>
        <v/>
      </c>
      <c r="DY4" s="40" t="str">
        <f t="shared" ref="DY4:DY15" si="54">IF(SUM(DF4:DI4)-DJ4&gt;0,SUM(DF4:DI4)-DJ4,"")</f>
        <v/>
      </c>
      <c r="DZ4" s="40" t="str">
        <f t="shared" ref="DZ4:DZ15" si="55">IF(DM4&gt;0,DM4,"")</f>
        <v/>
      </c>
      <c r="EA4" s="40" t="str">
        <f t="shared" ref="EA4:EA15" si="56">IF(DN4&gt;0,DN4,"")</f>
        <v/>
      </c>
      <c r="EB4" s="40" t="str">
        <f t="shared" ref="EB4:EB15" si="57">IF(SUM(DK4:DN4)-DO4&gt;0,SUM(DK4:DN4)-DO4,"")</f>
        <v/>
      </c>
      <c r="EC4" s="40" t="str">
        <f t="shared" ref="EC4:EC15" si="58">IF(SUM(DV4,DY4,EB4)&gt;0,SUM(DV4,DY4,EB4),"")</f>
        <v/>
      </c>
      <c r="ED4" s="18">
        <v>8.0500000000000007</v>
      </c>
      <c r="EE4" s="18">
        <v>9.4</v>
      </c>
      <c r="EF4" s="18">
        <v>11.8</v>
      </c>
      <c r="EG4" s="18">
        <v>16.2</v>
      </c>
      <c r="EH4" s="18">
        <v>0</v>
      </c>
      <c r="EI4" s="18">
        <v>8.0500000000000007</v>
      </c>
      <c r="EJ4" s="18">
        <v>9.1</v>
      </c>
      <c r="EK4" s="18">
        <v>11.8</v>
      </c>
      <c r="EL4" s="18">
        <v>16.239999999999998</v>
      </c>
      <c r="EM4" s="18">
        <v>0</v>
      </c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>
        <f t="shared" ref="EX4:EX15" si="59">IF(EF4&gt;0,EF4,"")</f>
        <v>11.8</v>
      </c>
      <c r="EY4" s="11">
        <f t="shared" ref="EY4:EY15" si="60">IF(EG4&gt;0,EG4,"")</f>
        <v>16.2</v>
      </c>
      <c r="EZ4" s="11">
        <f t="shared" ref="EZ4:EZ15" si="61">IF(SUM(ED4:EG4)-EH4&gt;0,SUM(ED4:EG4)-EH4,"")</f>
        <v>45.45</v>
      </c>
      <c r="FA4" s="11">
        <f t="shared" ref="FA4:FA15" si="62">IF(EK4&gt;0,EK4,"")</f>
        <v>11.8</v>
      </c>
      <c r="FB4" s="11">
        <f t="shared" ref="FB4:FB15" si="63">IF(EL4&gt;0,EL4,"")</f>
        <v>16.239999999999998</v>
      </c>
      <c r="FC4" s="11">
        <f t="shared" ref="FC4:FC15" si="64">IF(SUM(EI4:EL4)-EM4&gt;0,SUM(EI4:EL4)-EM4,"")</f>
        <v>45.19</v>
      </c>
      <c r="FD4" s="11">
        <f t="shared" ref="FD4:FD15" si="65">IF(MAX(EZ4,FC4)&gt;0,MAX(EZ4,FC4),"")</f>
        <v>45.45</v>
      </c>
      <c r="FE4" s="11" t="str">
        <f t="shared" ref="FE4:FE15" si="66">IF(EP4&gt;0,EP4,"")</f>
        <v/>
      </c>
      <c r="FF4" s="11" t="str">
        <f t="shared" ref="FF4:FF15" si="67">IF(EQ4&gt;0,EQ4,"")</f>
        <v/>
      </c>
      <c r="FG4" s="11" t="str">
        <f t="shared" ref="FG4:FG15" si="68">IF(SUM(EN4:EQ4)-ER4&gt;0,SUM(EN4:EQ4)-ER4,"")</f>
        <v/>
      </c>
      <c r="FH4" s="11" t="str">
        <f t="shared" ref="FH4:FH15" si="69">IF(EU4&gt;0,EU4,"")</f>
        <v/>
      </c>
      <c r="FI4" s="11" t="str">
        <f t="shared" ref="FI4:FI15" si="70">IF(EV4&gt;0,EV4,"")</f>
        <v/>
      </c>
      <c r="FJ4" s="11" t="str">
        <f t="shared" ref="FJ4:FJ15" si="71">IF(SUM(ES4:EV4)-EW4&gt;0,SUM(ES4:EV4)-EW4,"")</f>
        <v/>
      </c>
      <c r="FK4" s="11">
        <f t="shared" ref="FK4:FK15" si="72">IF(SUM(FD4,FG4,FJ4)&gt;0,SUM(FD4,FG4,FJ4),"")</f>
        <v>45.45</v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0" t="str">
        <f t="shared" ref="GF4:GF15" si="73">IF(FN4&gt;0,FN4,"")</f>
        <v/>
      </c>
      <c r="GG4" s="40" t="str">
        <f t="shared" ref="GG4:GG15" si="74">IF(FO4&gt;0,FO4,"")</f>
        <v/>
      </c>
      <c r="GH4" s="40" t="str">
        <f t="shared" ref="GH4:GH15" si="75">IF(SUM(FL4:FO4)-FP4&gt;0,SUM(FL4:FO4)-FP4,"")</f>
        <v/>
      </c>
      <c r="GI4" s="40" t="str">
        <f t="shared" ref="GI4:GI15" si="76">IF(FS4&gt;0,FS4,"")</f>
        <v/>
      </c>
      <c r="GJ4" s="40" t="str">
        <f t="shared" ref="GJ4:GJ15" si="77">IF(FT4&gt;0,FT4,"")</f>
        <v/>
      </c>
      <c r="GK4" s="40" t="str">
        <f t="shared" ref="GK4:GK15" si="78">IF(SUM(FQ4:FT4)-FU4&gt;0,SUM(FQ4:FT4)-FU4,"")</f>
        <v/>
      </c>
      <c r="GL4" s="40" t="str">
        <f t="shared" ref="GL4:GL15" si="79">IF(MAX(GH4,GK4)&gt;0,MAX(GH4,GK4),"")</f>
        <v/>
      </c>
      <c r="GM4" s="40" t="str">
        <f t="shared" ref="GM4:GM15" si="80">IF(FX4&gt;0,FX4,"")</f>
        <v/>
      </c>
      <c r="GN4" s="40" t="str">
        <f t="shared" ref="GN4:GN15" si="81">IF(FY4&gt;0,FY4,"")</f>
        <v/>
      </c>
      <c r="GO4" s="40" t="str">
        <f t="shared" ref="GO4:GO15" si="82">IF(SUM(FV4:FY4)-FZ4&gt;0,SUM(FV4:FY4)-FZ4,"")</f>
        <v/>
      </c>
      <c r="GP4" s="40" t="str">
        <f t="shared" ref="GP4:GP15" si="83">IF(GC4&gt;0,GC4,"")</f>
        <v/>
      </c>
      <c r="GQ4" s="40" t="str">
        <f t="shared" ref="GQ4:GQ15" si="84">IF(GD4&gt;0,GD4,"")</f>
        <v/>
      </c>
      <c r="GR4" s="40" t="str">
        <f t="shared" ref="GR4:GR15" si="85">IF(SUM(GA4:GD4)-GE4&gt;0,SUM(GA4:GD4)-GE4,"")</f>
        <v/>
      </c>
      <c r="GS4" s="40" t="str">
        <f t="shared" ref="GS4:GS15" si="86">IF(SUM(GL4,GO4,GR4)&gt;0,SUM(GL4,GO4,GR4),"")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 t="shared" ref="HN4:HN15" si="87">IF(GV4&gt;0,GV4,"")</f>
        <v/>
      </c>
      <c r="HO4" s="11" t="str">
        <f t="shared" ref="HO4:HO15" si="88">IF(GW4&gt;0,GW4,"")</f>
        <v/>
      </c>
      <c r="HP4" s="11" t="str">
        <f t="shared" ref="HP4:HP15" si="89">IF(SUM(GT4:GW4)-GX4&gt;0,SUM(GT4:GW4)-GX4,"")</f>
        <v/>
      </c>
      <c r="HQ4" s="11" t="str">
        <f t="shared" ref="HQ4:HQ15" si="90">IF(HA4&gt;0,HA4,"")</f>
        <v/>
      </c>
      <c r="HR4" s="11" t="str">
        <f t="shared" ref="HR4:HR15" si="91">IF(HB4&gt;0,HB4,"")</f>
        <v/>
      </c>
      <c r="HS4" s="11" t="str">
        <f t="shared" ref="HS4:HS15" si="92">IF(SUM(GY4:HB4)-HC4&gt;0,SUM(GY4:HB4)-HC4,"")</f>
        <v/>
      </c>
      <c r="HT4" s="11" t="str">
        <f t="shared" ref="HT4:HT15" si="93">IF(MAX(HP4,HS4)&gt;0,MAX(HP4,HS4),"")</f>
        <v/>
      </c>
      <c r="HU4" s="11" t="str">
        <f t="shared" ref="HU4:HU15" si="94">IF(HF4&gt;0,HF4,"")</f>
        <v/>
      </c>
      <c r="HV4" s="11" t="str">
        <f t="shared" ref="HV4:HV15" si="95">IF(HG4&gt;0,HG4,"")</f>
        <v/>
      </c>
      <c r="HW4" s="11" t="str">
        <f t="shared" ref="HW4:HW15" si="96">IF(SUM(HD4:HG4)-HH4&gt;0,SUM(HD4:HG4)-HH4,"")</f>
        <v/>
      </c>
      <c r="HX4" s="11" t="str">
        <f t="shared" ref="HX4:HX15" si="97">IF(HK4&gt;0,HK4,"")</f>
        <v/>
      </c>
      <c r="HY4" s="11" t="str">
        <f t="shared" ref="HY4:HY15" si="98">IF(HL4&gt;0,HL4,"")</f>
        <v/>
      </c>
      <c r="HZ4" s="11" t="str">
        <f t="shared" ref="HZ4:HZ15" si="99">IF(SUM(HI4:HL4)-HM4&gt;0,SUM(HI4:HL4)-HM4,"")</f>
        <v/>
      </c>
      <c r="IA4" s="11" t="str">
        <f t="shared" ref="IA4:IA15" si="100">IF(SUM(HT4,HW4,HZ4)&gt;0,SUM(HT4,HW4,HZ4),"")</f>
        <v/>
      </c>
      <c r="IB4" s="17">
        <v>8.3000000000000007</v>
      </c>
      <c r="IC4" s="17">
        <v>8.9499999999999993</v>
      </c>
      <c r="ID4" s="17">
        <v>11.8</v>
      </c>
      <c r="IE4" s="17">
        <v>16.54</v>
      </c>
      <c r="IF4" s="17">
        <v>0</v>
      </c>
      <c r="IG4" s="17">
        <v>8.4</v>
      </c>
      <c r="IH4" s="17">
        <v>8.9499999999999993</v>
      </c>
      <c r="II4" s="17">
        <v>11.8</v>
      </c>
      <c r="IJ4" s="17">
        <v>15.8</v>
      </c>
      <c r="IK4" s="17">
        <v>0</v>
      </c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0">
        <f t="shared" ref="IV4:IV15" si="101">IF(ID4&gt;0,ID4,"")</f>
        <v>11.8</v>
      </c>
      <c r="IW4" s="40">
        <f t="shared" ref="IW4:IW15" si="102">IF(IE4&gt;0,IE4,"")</f>
        <v>16.54</v>
      </c>
      <c r="IX4" s="40">
        <f t="shared" ref="IX4:IX15" si="103">IF(SUM(IB4:IE4)-IF4&gt;0,SUM(IB4:IE4)-IF4,"")</f>
        <v>45.59</v>
      </c>
      <c r="IY4" s="40">
        <f t="shared" ref="IY4:IY15" si="104">IF(II4&gt;0,II4,"")</f>
        <v>11.8</v>
      </c>
      <c r="IZ4" s="40">
        <f t="shared" ref="IZ4:IZ15" si="105">IF(IJ4&gt;0,IJ4,"")</f>
        <v>15.8</v>
      </c>
      <c r="JA4" s="40">
        <f t="shared" ref="JA4:JA15" si="106">IF(SUM(IG4:IJ4)-IK4&gt;0,SUM(IG4:IJ4)-IK4,"")</f>
        <v>44.95</v>
      </c>
      <c r="JB4" s="40">
        <f t="shared" ref="JB4:JB15" si="107">IF(MAX(IX4,JA4)&gt;0,MAX(IX4,JA4),"")</f>
        <v>45.59</v>
      </c>
      <c r="JC4" s="40" t="str">
        <f t="shared" ref="JC4:JC15" si="108">IF(IN4&gt;0,IN4,"")</f>
        <v/>
      </c>
      <c r="JD4" s="40" t="str">
        <f t="shared" ref="JD4:JD15" si="109">IF(IO4&gt;0,IO4,"")</f>
        <v/>
      </c>
      <c r="JE4" s="40" t="str">
        <f t="shared" ref="JE4:JE15" si="110">IF(SUM(IL4:IO4)-IP4&gt;0,SUM(IL4:IO4)-IP4,"")</f>
        <v/>
      </c>
      <c r="JF4" s="40" t="str">
        <f t="shared" ref="JF4:JF15" si="111">IF(IS4&gt;0,IS4,"")</f>
        <v/>
      </c>
      <c r="JG4" s="40" t="str">
        <f t="shared" ref="JG4:JG15" si="112">IF(IT4&gt;0,IT4,"")</f>
        <v/>
      </c>
      <c r="JH4" s="40" t="str">
        <f t="shared" ref="JH4:JH15" si="113">IF(SUM(IQ4:IT4)-IU4&gt;0,SUM(IQ4:IT4)-IU4,"")</f>
        <v/>
      </c>
      <c r="JI4" s="40">
        <f t="shared" ref="JI4:JI15" si="114">IF(SUM(JB4,JE4,JH4)&gt;0,SUM(JB4,JE4,JH4),"")</f>
        <v>45.59</v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 t="shared" ref="KD4:KD15" si="115">IF(JL4&gt;0,JL4,"")</f>
        <v/>
      </c>
      <c r="KE4" s="11" t="str">
        <f t="shared" ref="KE4:KE15" si="116">IF(JM4&gt;0,JM4,"")</f>
        <v/>
      </c>
      <c r="KF4" s="11" t="str">
        <f t="shared" ref="KF4:KF15" si="117">IF(SUM(JJ4:JM4)-JN4&gt;0,SUM(JJ4:JM4)-JN4,"")</f>
        <v/>
      </c>
      <c r="KG4" s="11" t="str">
        <f t="shared" ref="KG4:KG15" si="118">IF(JQ4&gt;0,JQ4,"")</f>
        <v/>
      </c>
      <c r="KH4" s="11" t="str">
        <f t="shared" ref="KH4:KH15" si="119">IF(JR4&gt;0,JR4,"")</f>
        <v/>
      </c>
      <c r="KI4" s="11" t="str">
        <f t="shared" ref="KI4:KI15" si="120">IF(SUM(JO4:JR4)-JS4&gt;0,SUM(JO4:JR4)-JS4,"")</f>
        <v/>
      </c>
      <c r="KJ4" s="11" t="str">
        <f t="shared" ref="KJ4:KJ15" si="121">IF(MAX(KF4,KI4)&gt;0,MAX(KF4,KI4),"")</f>
        <v/>
      </c>
      <c r="KK4" s="11" t="str">
        <f t="shared" ref="KK4:KK15" si="122">IF(JV4&gt;0,JV4,"")</f>
        <v/>
      </c>
      <c r="KL4" s="11" t="str">
        <f t="shared" ref="KL4:KL15" si="123">IF(JW4&gt;0,JW4,"")</f>
        <v/>
      </c>
      <c r="KM4" s="11" t="str">
        <f t="shared" ref="KM4:KM15" si="124">IF(SUM(JT4:JW4)-JX4&gt;0,SUM(JT4:JW4)-JX4,"")</f>
        <v/>
      </c>
      <c r="KN4" s="11" t="str">
        <f t="shared" ref="KN4:KN15" si="125">IF(KA4&gt;0,KA4,"")</f>
        <v/>
      </c>
      <c r="KO4" s="11" t="str">
        <f t="shared" ref="KO4:KO15" si="126">IF(KB4&gt;0,KB4,"")</f>
        <v/>
      </c>
      <c r="KP4" s="11" t="str">
        <f t="shared" ref="KP4:KP15" si="127">IF(SUM(JY4:KB4)-KC4&gt;0,SUM(JY4:KB4)-KC4,"")</f>
        <v/>
      </c>
      <c r="KQ4" s="11" t="str">
        <f t="shared" ref="KQ4:KQ15" si="128">IF(SUM(KJ4,KM4,KP4)&gt;0,SUM(KJ4,KM4,KP4),"")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0" t="str">
        <f t="shared" ref="LL4:LL15" si="129">IF(KT4&gt;0,KT4,"")</f>
        <v/>
      </c>
      <c r="LM4" s="40" t="str">
        <f t="shared" ref="LM4:LM15" si="130">IF(KU4&gt;0,KU4,"")</f>
        <v/>
      </c>
      <c r="LN4" s="40" t="str">
        <f t="shared" ref="LN4:LN15" si="131">IF(SUM(KR4:KU4)-KV4&gt;0,SUM(KR4:KU4)-KV4,"")</f>
        <v/>
      </c>
      <c r="LO4" s="40" t="str">
        <f t="shared" ref="LO4:LO15" si="132">IF(KY4&gt;0,KY4,"")</f>
        <v/>
      </c>
      <c r="LP4" s="40" t="str">
        <f t="shared" ref="LP4:LP15" si="133">IF(KZ4&gt;0,KZ4,"")</f>
        <v/>
      </c>
      <c r="LQ4" s="40" t="str">
        <f t="shared" ref="LQ4:LQ15" si="134">IF(SUM(KW4:KZ4)-LA4&gt;0,SUM(KW4:KZ4)-LA4,"")</f>
        <v/>
      </c>
      <c r="LR4" s="40" t="str">
        <f t="shared" ref="LR4:LR15" si="135">IF(MAX(LN4,LQ4)&gt;0,MAX(LN4,LQ4),"")</f>
        <v/>
      </c>
      <c r="LS4" s="40" t="str">
        <f t="shared" ref="LS4:LS15" si="136">IF(LD4&gt;0,LD4,"")</f>
        <v/>
      </c>
      <c r="LT4" s="40" t="str">
        <f t="shared" ref="LT4:LT15" si="137">IF(LE4&gt;0,LE4,"")</f>
        <v/>
      </c>
      <c r="LU4" s="40" t="str">
        <f t="shared" ref="LU4:LU15" si="138">IF(SUM(LB4:LE4)-LF4&gt;0,SUM(LB4:LE4)-LF4,"")</f>
        <v/>
      </c>
      <c r="LV4" s="40" t="str">
        <f t="shared" ref="LV4:LV15" si="139">IF(LI4&gt;0,LI4,"")</f>
        <v/>
      </c>
      <c r="LW4" s="40" t="str">
        <f t="shared" ref="LW4:LW15" si="140">IF(LJ4&gt;0,LJ4,"")</f>
        <v/>
      </c>
      <c r="LX4" s="40" t="str">
        <f t="shared" ref="LX4:LX15" si="141">IF(SUM(LG4:LJ4)-LK4&gt;0,SUM(LG4:LJ4)-LK4,"")</f>
        <v/>
      </c>
      <c r="LY4" s="40" t="str">
        <f t="shared" ref="LY4:LY15" si="142">IF(SUM(LR4,LU4,LX4)&gt;0,SUM(LR4,LU4,LX4),"")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 t="shared" ref="MT4:MT15" si="143">IF(MB4&gt;0,MB4,"")</f>
        <v/>
      </c>
      <c r="MU4" s="11" t="str">
        <f t="shared" ref="MU4:MU15" si="144">IF(MC4&gt;0,MC4,"")</f>
        <v/>
      </c>
      <c r="MV4" s="11" t="str">
        <f t="shared" ref="MV4:MV15" si="145">IF(SUM(LZ4:MC4)-MD4&gt;0,SUM(LZ4:MC4)-MD4,"")</f>
        <v/>
      </c>
      <c r="MW4" s="11" t="str">
        <f t="shared" ref="MW4:MW15" si="146">IF(MG4&gt;0,MG4,"")</f>
        <v/>
      </c>
      <c r="MX4" s="11" t="str">
        <f t="shared" ref="MX4:MX15" si="147">IF(MH4&gt;0,MH4,"")</f>
        <v/>
      </c>
      <c r="MY4" s="11" t="str">
        <f t="shared" ref="MY4:MY15" si="148">IF(SUM(ME4:MH4)-MI4&gt;0,SUM(ME4:MH4)-MI4,"")</f>
        <v/>
      </c>
      <c r="MZ4" s="11" t="str">
        <f t="shared" ref="MZ4:MZ15" si="149">IF(MAX(MV4,MY4)&gt;0,MAX(MV4,MY4),"")</f>
        <v/>
      </c>
      <c r="NA4" s="11" t="str">
        <f t="shared" ref="NA4:NA15" si="150">IF(ML4&gt;0,ML4,"")</f>
        <v/>
      </c>
      <c r="NB4" s="11" t="str">
        <f t="shared" ref="NB4:NB15" si="151">IF(MM4&gt;0,MM4,"")</f>
        <v/>
      </c>
      <c r="NC4" s="11" t="str">
        <f t="shared" ref="NC4:NC15" si="152">IF(SUM(MJ4:MM4)-MN4&gt;0,SUM(MJ4:MM4)-MN4,"")</f>
        <v/>
      </c>
      <c r="ND4" s="11" t="str">
        <f t="shared" ref="ND4:ND15" si="153">IF(MQ4&gt;0,MQ4,"")</f>
        <v/>
      </c>
      <c r="NE4" s="11" t="str">
        <f t="shared" ref="NE4:NE15" si="154">IF(MR4&gt;0,MR4,"")</f>
        <v/>
      </c>
      <c r="NF4" s="11" t="str">
        <f t="shared" ref="NF4:NF15" si="155">IF(SUM(MO4:MR4)-MS4&gt;0,SUM(MO4:MR4)-MS4,"")</f>
        <v/>
      </c>
      <c r="NG4" s="11" t="str">
        <f t="shared" ref="NG4:NG15" si="156">IF(SUM(MZ4,NC4,NF4)&gt;0,SUM(MZ4,NC4,NF4),"")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0" t="str">
        <f t="shared" ref="OB4:OB15" si="157">IF(NJ4&gt;0,NJ4,"")</f>
        <v/>
      </c>
      <c r="OC4" s="40" t="str">
        <f t="shared" ref="OC4:OC15" si="158">IF(NK4&gt;0,NK4,"")</f>
        <v/>
      </c>
      <c r="OD4" s="40" t="str">
        <f t="shared" ref="OD4:OD15" si="159">IF(SUM(NH4:NK4)-NL4&gt;0,SUM(NH4:NK4)-NL4,"")</f>
        <v/>
      </c>
      <c r="OE4" s="40" t="str">
        <f t="shared" ref="OE4:OE15" si="160">IF(NO4&gt;0,NO4,"")</f>
        <v/>
      </c>
      <c r="OF4" s="40" t="str">
        <f t="shared" ref="OF4:OF15" si="161">IF(NP4&gt;0,NP4,"")</f>
        <v/>
      </c>
      <c r="OG4" s="40" t="str">
        <f t="shared" ref="OG4:OG15" si="162">IF(SUM(NM4:NP4)-NQ4&gt;0,SUM(NM4:NP4)-NQ4,"")</f>
        <v/>
      </c>
      <c r="OH4" s="40" t="str">
        <f t="shared" ref="OH4:OH15" si="163">IF(MAX(OD4,OG4)&gt;0,MAX(OD4,OG4),"")</f>
        <v/>
      </c>
      <c r="OI4" s="40" t="str">
        <f t="shared" ref="OI4:OI15" si="164">IF(NT4&gt;0,NT4,"")</f>
        <v/>
      </c>
      <c r="OJ4" s="40" t="str">
        <f t="shared" ref="OJ4:OJ15" si="165">IF(NU4&gt;0,NU4,"")</f>
        <v/>
      </c>
      <c r="OK4" s="40" t="str">
        <f t="shared" ref="OK4:OK15" si="166">IF(SUM(NR4:NU4)-NV4&gt;0,SUM(NR4:NU4)-NV4,"")</f>
        <v/>
      </c>
      <c r="OL4" s="40" t="str">
        <f t="shared" ref="OL4:OL15" si="167">IF(NY4&gt;0,NY4,"")</f>
        <v/>
      </c>
      <c r="OM4" s="40" t="str">
        <f t="shared" ref="OM4:OM15" si="168">IF(NZ4&gt;0,NZ4,"")</f>
        <v/>
      </c>
      <c r="ON4" s="40" t="str">
        <f t="shared" ref="ON4:ON15" si="169">IF(SUM(NW4:NZ4)-OA4&gt;0,SUM(NW4:NZ4)-OA4,"")</f>
        <v/>
      </c>
      <c r="OO4" s="40" t="str">
        <f t="shared" ref="OO4:OO15" si="170">IF(SUM(OH4,OK4,ON4)&gt;0,SUM(OH4,OK4,ON4),"")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 t="shared" ref="PJ4:PJ15" si="171">IF(OR4&gt;0,OR4,"")</f>
        <v/>
      </c>
      <c r="PK4" s="11" t="str">
        <f t="shared" ref="PK4:PK15" si="172">IF(OS4&gt;0,OS4,"")</f>
        <v/>
      </c>
      <c r="PL4" s="11" t="str">
        <f t="shared" ref="PL4:PL15" si="173">IF(SUM(OP4:OS4)-OT4&gt;0,SUM(OP4:OS4)-OT4,"")</f>
        <v/>
      </c>
      <c r="PM4" s="11" t="str">
        <f t="shared" ref="PM4:PM15" si="174">IF(OW4&gt;0,OW4,"")</f>
        <v/>
      </c>
      <c r="PN4" s="11" t="str">
        <f t="shared" ref="PN4:PN15" si="175">IF(OX4&gt;0,OX4,"")</f>
        <v/>
      </c>
      <c r="PO4" s="11" t="str">
        <f t="shared" ref="PO4:PO15" si="176">IF(SUM(OU4:OX4)-OY4&gt;0,SUM(OU4:OX4)-OY4,"")</f>
        <v/>
      </c>
      <c r="PP4" s="11" t="str">
        <f t="shared" ref="PP4:PP15" si="177">IF(MAX(PL4,PO4)&gt;0,MAX(PL4,PO4),"")</f>
        <v/>
      </c>
      <c r="PQ4" s="11" t="str">
        <f t="shared" ref="PQ4:PQ15" si="178">IF(PB4&gt;0,PB4,"")</f>
        <v/>
      </c>
      <c r="PR4" s="11" t="str">
        <f t="shared" ref="PR4:PR15" si="179">IF(PC4&gt;0,PC4,"")</f>
        <v/>
      </c>
      <c r="PS4" s="11" t="str">
        <f t="shared" ref="PS4:PS15" si="180">IF(SUM(OZ4:PC4)-PD4&gt;0,SUM(OZ4:PC4)-PD4,"")</f>
        <v/>
      </c>
      <c r="PT4" s="11" t="str">
        <f t="shared" ref="PT4:PT15" si="181">IF(PG4&gt;0,PG4,"")</f>
        <v/>
      </c>
      <c r="PU4" s="11" t="str">
        <f t="shared" ref="PU4:PU15" si="182">IF(PH4&gt;0,PH4,"")</f>
        <v/>
      </c>
      <c r="PV4" s="11" t="str">
        <f t="shared" ref="PV4:PV15" si="183">IF(SUM(PE4:PH4)-PI4&gt;0,SUM(PE4:PH4)-PI4,"")</f>
        <v/>
      </c>
      <c r="PW4" s="11" t="str">
        <f t="shared" ref="PW4:PW15" si="184">IF(SUM(PP4,PS4,PV4)&gt;0,SUM(PP4,PS4,PV4),"")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0" t="str">
        <f t="shared" ref="QR4:QR15" si="185">IF(PZ4&gt;0,PZ4,"")</f>
        <v/>
      </c>
      <c r="QS4" s="40" t="str">
        <f t="shared" ref="QS4:QS15" si="186">IF(QA4&gt;0,QA4,"")</f>
        <v/>
      </c>
      <c r="QT4" s="40" t="str">
        <f t="shared" ref="QT4:QT15" si="187">IF(SUM(PX4:QA4)-QB4&gt;0,SUM(PX4:QA4)-QB4,"")</f>
        <v/>
      </c>
      <c r="QU4" s="40" t="str">
        <f t="shared" ref="QU4:QU15" si="188">IF(QE4&gt;0,QE4,"")</f>
        <v/>
      </c>
      <c r="QV4" s="40" t="str">
        <f t="shared" ref="QV4:QV15" si="189">IF(QF4&gt;0,QF4,"")</f>
        <v/>
      </c>
      <c r="QW4" s="40" t="str">
        <f t="shared" ref="QW4:QW15" si="190">IF(SUM(QC4:QF4)-QG4&gt;0,SUM(QC4:QF4)-QG4,"")</f>
        <v/>
      </c>
      <c r="QX4" s="40" t="str">
        <f t="shared" ref="QX4:QX15" si="191">IF(MAX(QT4,QW4)&gt;0,MAX(QT4,QW4),"")</f>
        <v/>
      </c>
      <c r="QY4" s="40" t="str">
        <f t="shared" ref="QY4:QY15" si="192">IF(QJ4&gt;0,QJ4,"")</f>
        <v/>
      </c>
      <c r="QZ4" s="40" t="str">
        <f t="shared" ref="QZ4:QZ15" si="193">IF(QK4&gt;0,QK4,"")</f>
        <v/>
      </c>
      <c r="RA4" s="40" t="str">
        <f t="shared" ref="RA4:RA15" si="194">IF(SUM(QH4:QK4)-QL4&gt;0,SUM(QH4:QK4)-QL4,"")</f>
        <v/>
      </c>
      <c r="RB4" s="40" t="str">
        <f t="shared" ref="RB4:RB15" si="195">IF(QO4&gt;0,QO4,"")</f>
        <v/>
      </c>
      <c r="RC4" s="40" t="str">
        <f t="shared" ref="RC4:RC15" si="196">IF(QP4&gt;0,QP4,"")</f>
        <v/>
      </c>
      <c r="RD4" s="40" t="str">
        <f t="shared" ref="RD4:RD15" si="197">IF(SUM(QM4:QP4)-QQ4&gt;0,SUM(QM4:QP4)-QQ4,"")</f>
        <v/>
      </c>
      <c r="RE4" s="40" t="str">
        <f t="shared" ref="RE4:RE15" si="198">IF(SUM(QX4,RA4,RD4)&gt;0,SUM(QX4,RA4,RD4),"")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 t="shared" ref="RZ4:RZ15" si="199">IF(RH4&gt;0,RH4,"")</f>
        <v/>
      </c>
      <c r="SA4" s="11" t="str">
        <f t="shared" ref="SA4:SA15" si="200">IF(RI4&gt;0,RI4,"")</f>
        <v/>
      </c>
      <c r="SB4" s="11" t="str">
        <f t="shared" ref="SB4:SB15" si="201">IF(SUM(RF4:RI4)-RJ4&gt;0,SUM(RF4:RI4)-RJ4,"")</f>
        <v/>
      </c>
      <c r="SC4" s="11" t="str">
        <f t="shared" ref="SC4:SC15" si="202">IF(RM4&gt;0,RM4,"")</f>
        <v/>
      </c>
      <c r="SD4" s="11" t="str">
        <f t="shared" ref="SD4:SD15" si="203">IF(RN4&gt;0,RN4,"")</f>
        <v/>
      </c>
      <c r="SE4" s="11" t="str">
        <f t="shared" ref="SE4:SE15" si="204">IF(SUM(RK4:RN4)-RO4&gt;0,SUM(RK4:RN4)-RO4,"")</f>
        <v/>
      </c>
      <c r="SF4" s="11" t="str">
        <f t="shared" ref="SF4:SF15" si="205">IF(MAX(SB4,SE4)&gt;0,MAX(SB4,SE4),"")</f>
        <v/>
      </c>
      <c r="SG4" s="11" t="str">
        <f t="shared" ref="SG4:SG15" si="206">IF(RR4&gt;0,RR4,"")</f>
        <v/>
      </c>
      <c r="SH4" s="11" t="str">
        <f t="shared" ref="SH4:SH15" si="207">IF(RS4&gt;0,RS4,"")</f>
        <v/>
      </c>
      <c r="SI4" s="11" t="str">
        <f t="shared" ref="SI4:SI15" si="208">IF(SUM(RP4:RS4)-RT4&gt;0,SUM(RP4:RS4)-RT4,"")</f>
        <v/>
      </c>
      <c r="SJ4" s="11" t="str">
        <f t="shared" ref="SJ4:SJ15" si="209">IF(RW4&gt;0,RW4,"")</f>
        <v/>
      </c>
      <c r="SK4" s="11" t="str">
        <f t="shared" ref="SK4:SK15" si="210">IF(RX4&gt;0,RX4,"")</f>
        <v/>
      </c>
      <c r="SL4" s="11" t="str">
        <f t="shared" ref="SL4:SL15" si="211">IF(SUM(RU4:RX4)-RY4&gt;0,SUM(RU4:RX4)-RY4,"")</f>
        <v/>
      </c>
      <c r="SM4" s="11" t="str">
        <f t="shared" ref="SM4:SM15" si="212">IF(SUM(SF4,SI4,SL4)&gt;0,SUM(SF4,SI4,SL4),"")</f>
        <v/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0" t="str">
        <f t="shared" ref="TH4:TH15" si="213">IF(SP4&gt;0,SP4,"")</f>
        <v/>
      </c>
      <c r="TI4" s="40" t="str">
        <f t="shared" ref="TI4:TI15" si="214">IF(SQ4&gt;0,SQ4,"")</f>
        <v/>
      </c>
      <c r="TJ4" s="40" t="str">
        <f t="shared" ref="TJ4:TJ15" si="215">IF(SUM(SN4:SQ4)-SR4&gt;0,SUM(SN4:SQ4)-SR4,"")</f>
        <v/>
      </c>
      <c r="TK4" s="40" t="str">
        <f t="shared" ref="TK4:TK15" si="216">IF(SU4&gt;0,SU4,"")</f>
        <v/>
      </c>
      <c r="TL4" s="40" t="str">
        <f t="shared" ref="TL4:TL15" si="217">IF(SV4&gt;0,SV4,"")</f>
        <v/>
      </c>
      <c r="TM4" s="40" t="str">
        <f t="shared" ref="TM4:TM15" si="218">IF(SUM(SS4:SV4)-SW4&gt;0,SUM(SS4:SV4)-SW4,"")</f>
        <v/>
      </c>
      <c r="TN4" s="40" t="str">
        <f t="shared" ref="TN4:TN15" si="219">IF(MAX(TJ4,TM4)&gt;0,MAX(TJ4,TM4),"")</f>
        <v/>
      </c>
      <c r="TO4" s="40" t="str">
        <f t="shared" ref="TO4:TO15" si="220">IF(SZ4&gt;0,SZ4,"")</f>
        <v/>
      </c>
      <c r="TP4" s="40" t="str">
        <f t="shared" ref="TP4:TP15" si="221">IF(TA4&gt;0,TA4,"")</f>
        <v/>
      </c>
      <c r="TQ4" s="40" t="str">
        <f t="shared" ref="TQ4:TQ15" si="222">IF(SUM(SX4:TA4)-TB4&gt;0,SUM(SX4:TA4)-TB4,"")</f>
        <v/>
      </c>
      <c r="TR4" s="40" t="str">
        <f t="shared" ref="TR4:TR15" si="223">IF(TE4&gt;0,TE4,"")</f>
        <v/>
      </c>
      <c r="TS4" s="40" t="str">
        <f t="shared" ref="TS4:TS15" si="224">IF(TF4&gt;0,TF4,"")</f>
        <v/>
      </c>
      <c r="TT4" s="40" t="str">
        <f t="shared" ref="TT4:TT15" si="225">IF(SUM(TC4:TF4)-TG4&gt;0,SUM(TC4:TF4)-TG4,"")</f>
        <v/>
      </c>
      <c r="TU4" s="40" t="str">
        <f t="shared" ref="TU4:TU15" si="226">IF(SUM(TN4,TQ4,TT4)&gt;0,SUM(TN4,TQ4,TT4),"")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 t="shared" ref="UP4:UP15" si="227">IF(TX4&gt;0,TX4,"")</f>
        <v/>
      </c>
      <c r="UQ4" s="11" t="str">
        <f t="shared" ref="UQ4:UQ15" si="228">IF(TY4&gt;0,TY4,"")</f>
        <v/>
      </c>
      <c r="UR4" s="11" t="str">
        <f t="shared" ref="UR4:UR15" si="229">IF(SUM(TV4:TY4)-TZ4&gt;0,SUM(TV4:TY4)-TZ4,"")</f>
        <v/>
      </c>
      <c r="US4" s="11" t="str">
        <f t="shared" ref="US4:US15" si="230">IF(UC4&gt;0,UC4,"")</f>
        <v/>
      </c>
      <c r="UT4" s="11" t="str">
        <f t="shared" ref="UT4:UT15" si="231">IF(UD4&gt;0,UD4,"")</f>
        <v/>
      </c>
      <c r="UU4" s="11" t="str">
        <f t="shared" ref="UU4:UU15" si="232">IF(SUM(UA4:UD4)-UE4&gt;0,SUM(UA4:UD4)-UE4,"")</f>
        <v/>
      </c>
      <c r="UV4" s="11" t="str">
        <f t="shared" ref="UV4:UV15" si="233">IF(MAX(UR4,UU4)&gt;0,MAX(UR4,UU4),"")</f>
        <v/>
      </c>
      <c r="UW4" s="11" t="str">
        <f t="shared" ref="UW4:UW15" si="234">IF(UH4&gt;0,UH4,"")</f>
        <v/>
      </c>
      <c r="UX4" s="11" t="str">
        <f t="shared" ref="UX4:UX15" si="235">IF(UI4&gt;0,UI4,"")</f>
        <v/>
      </c>
      <c r="UY4" s="11" t="str">
        <f t="shared" ref="UY4:UY15" si="236">IF(SUM(UF4:UI4)-UJ4&gt;0,SUM(UF4:UI4)-UJ4,"")</f>
        <v/>
      </c>
      <c r="UZ4" s="11" t="str">
        <f t="shared" ref="UZ4:UZ15" si="237">IF(UM4&gt;0,UM4,"")</f>
        <v/>
      </c>
      <c r="VA4" s="11" t="str">
        <f t="shared" ref="VA4:VA15" si="238">IF(UN4&gt;0,UN4,"")</f>
        <v/>
      </c>
      <c r="VB4" s="11" t="str">
        <f t="shared" ref="VB4:VB15" si="239">IF(SUM(UK4:UN4)-UO4&gt;0,SUM(UK4:UN4)-UO4,"")</f>
        <v/>
      </c>
      <c r="VC4" s="11" t="str">
        <f t="shared" ref="VC4:VC15" si="240">IF(SUM(UV4,UY4,VB4)&gt;0,SUM(UV4,UY4,VB4),"")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0" t="str">
        <f t="shared" ref="VX4:VX15" si="241">IF(VF4&gt;0,VF4,"")</f>
        <v/>
      </c>
      <c r="VY4" s="40" t="str">
        <f t="shared" ref="VY4:VY15" si="242">IF(VG4&gt;0,VG4,"")</f>
        <v/>
      </c>
      <c r="VZ4" s="40" t="str">
        <f t="shared" ref="VZ4:VZ15" si="243">IF(SUM(VD4:VG4)-VH4&gt;0,SUM(VD4:VG4)-VH4,"")</f>
        <v/>
      </c>
      <c r="WA4" s="40" t="str">
        <f t="shared" ref="WA4:WA15" si="244">IF(VK4&gt;0,VK4,"")</f>
        <v/>
      </c>
      <c r="WB4" s="40" t="str">
        <f t="shared" ref="WB4:WB15" si="245">IF(VL4&gt;0,VL4,"")</f>
        <v/>
      </c>
      <c r="WC4" s="40" t="str">
        <f t="shared" ref="WC4:WC15" si="246">IF(SUM(VI4:VL4)-VM4&gt;0,SUM(VI4:VL4)-VM4,"")</f>
        <v/>
      </c>
      <c r="WD4" s="40" t="str">
        <f t="shared" ref="WD4:WD15" si="247">IF(MAX(VZ4,WC4)&gt;0,MAX(VZ4,WC4),"")</f>
        <v/>
      </c>
      <c r="WE4" s="40" t="str">
        <f t="shared" ref="WE4:WE15" si="248">IF(VP4&gt;0,VP4,"")</f>
        <v/>
      </c>
      <c r="WF4" s="40" t="str">
        <f t="shared" ref="WF4:WF15" si="249">IF(VQ4&gt;0,VQ4,"")</f>
        <v/>
      </c>
      <c r="WG4" s="40" t="str">
        <f t="shared" ref="WG4:WG15" si="250">IF(SUM(VN4:VQ4)-VR4&gt;0,SUM(VN4:VQ4)-VR4,"")</f>
        <v/>
      </c>
      <c r="WH4" s="40" t="str">
        <f t="shared" ref="WH4:WH15" si="251">IF(VU4&gt;0,VU4,"")</f>
        <v/>
      </c>
      <c r="WI4" s="40" t="str">
        <f t="shared" ref="WI4:WI15" si="252">IF(VV4&gt;0,VV4,"")</f>
        <v/>
      </c>
      <c r="WJ4" s="40" t="str">
        <f t="shared" ref="WJ4:WJ15" si="253">IF(SUM(VS4:VV4)-VW4&gt;0,SUM(VS4:VV4)-VW4,"")</f>
        <v/>
      </c>
      <c r="WK4" s="40" t="str">
        <f t="shared" ref="WK4:WK15" si="254">IF(SUM(WD4,WG4,WJ4)&gt;0,SUM(WD4,WG4,WJ4),"")</f>
        <v/>
      </c>
      <c r="WL4" s="26">
        <f t="shared" ref="WL4:WL15" si="255">IF($CH4="P",BS4,(BS4+AR4)/2)</f>
        <v>1.675</v>
      </c>
      <c r="WM4" s="26">
        <f t="shared" ref="WM4:WM15" si="256">IF($CH4="P",BT4,(BT4+AS4)/2)</f>
        <v>1.7250000000000001</v>
      </c>
      <c r="WN4" s="26">
        <f t="shared" ref="WN4:WN15" si="257">IF($CH4="P",BU4,(BU4+AT4)/2)</f>
        <v>2.7</v>
      </c>
      <c r="WO4" s="26">
        <f t="shared" ref="WO4:WO15" si="258">IF($CH4="P",BV4,(BV4+AU4)/2)</f>
        <v>3.56</v>
      </c>
      <c r="WP4" s="26">
        <f t="shared" ref="WP4:WP15" si="259">IF($CH4="P",BW4,(BW4+AV4)/2)</f>
        <v>0</v>
      </c>
      <c r="WQ4" s="26">
        <f t="shared" ref="WQ4:WQ15" si="260">IF($CH4="P",BX4,(BX4+AW4)/2)</f>
        <v>4.5</v>
      </c>
      <c r="WR4" s="26">
        <f t="shared" ref="WR4:WR15" si="261">IF($CH4="P",BY4,(BY4+AX4)/2)</f>
        <v>4.7</v>
      </c>
      <c r="WS4" s="26">
        <f t="shared" ref="WS4:WS15" si="262">IF($CH4="P",BZ4,(BZ4+AY4)/2)</f>
        <v>5.9</v>
      </c>
      <c r="WT4" s="26">
        <f t="shared" ref="WT4:WT15" si="263">IF($CH4="P",CA4,(CA4+AZ4)/2)</f>
        <v>8.81</v>
      </c>
      <c r="WU4" s="26">
        <f t="shared" ref="WU4:WU15" si="264">IF($CH4="P",CB4,(CB4+BA4)/2)</f>
        <v>0</v>
      </c>
      <c r="WV4" s="26">
        <f t="shared" ref="WV4:WV15" si="265">IF($CH4="P",CC4,(CC4+BB4)/2)</f>
        <v>0.42499999999999999</v>
      </c>
      <c r="WW4" s="26">
        <f t="shared" ref="WW4:WW15" si="266">IF($CH4="P",CD4,(CD4+BC4)/2)</f>
        <v>0.4</v>
      </c>
      <c r="WX4" s="26">
        <f t="shared" ref="WX4:WX15" si="267">IF($CH4="P",CE4,(CE4+BD4)/2)</f>
        <v>0.75</v>
      </c>
      <c r="WY4" s="26">
        <f t="shared" ref="WY4:WY15" si="268">IF($CH4="P",CF4,(CF4+BE4)/2)</f>
        <v>0.92</v>
      </c>
      <c r="WZ4" s="26">
        <f t="shared" ref="WZ4:WZ15" si="269">IF($CH4="P",CG4,(CG4+BF4)/2)</f>
        <v>0</v>
      </c>
      <c r="XA4" s="28" t="s">
        <v>53</v>
      </c>
      <c r="XB4" s="11">
        <f t="shared" ref="XB4:XB15" si="270">IF(WN4&gt;0,WN4,"")</f>
        <v>2.7</v>
      </c>
      <c r="XC4" s="11">
        <f t="shared" ref="XC4:XC15" si="271">IF(WO4&gt;0,WO4,"")</f>
        <v>3.56</v>
      </c>
      <c r="XD4" s="11">
        <f t="shared" ref="XD4:XD15" si="272">IF(SUM(WL4:WO4)-WP4&gt;0,SUM(WL4:WO4)-WP4,"")</f>
        <v>9.66</v>
      </c>
      <c r="XE4" s="11">
        <f t="shared" ref="XE4:XE15" si="273">IF(WS4&gt;0,WS4,"")</f>
        <v>5.9</v>
      </c>
      <c r="XF4" s="11">
        <f t="shared" ref="XF4:XF15" si="274">IF(WT4&gt;0,WT4,"")</f>
        <v>8.81</v>
      </c>
      <c r="XG4" s="11">
        <f t="shared" ref="XG4:XG15" si="275">IF(SUM(WQ4:WT4)-WU4&gt;0,SUM(WQ4:WT4)-WU4,"")</f>
        <v>23.91</v>
      </c>
      <c r="XH4" s="11">
        <f t="shared" ref="XH4:XH15" si="276">IF(MAX(XD4,XG4)&gt;0,MAX(XD4,XG4),"")</f>
        <v>23.91</v>
      </c>
      <c r="XI4" s="11">
        <f t="shared" ref="XI4:XI15" si="277">IF(WX4&gt;0,WX4,"")</f>
        <v>0.75</v>
      </c>
      <c r="XJ4" s="11">
        <f t="shared" ref="XJ4:XJ15" si="278">IF(WY4&gt;0,WY4,"")</f>
        <v>0.92</v>
      </c>
      <c r="XK4" s="11">
        <f t="shared" ref="XK4:XK15" si="279">IF(SUM(WV4:WY4)-WZ4&gt;0,SUM(WV4:WY4)-WZ4,"")</f>
        <v>2.4950000000000001</v>
      </c>
      <c r="XL4" s="11">
        <f t="shared" ref="XL4:XL15" si="280">IF(SUM(XH4,XK4)&gt;0,SUM(XH4,XK4),"")</f>
        <v>26.405000000000001</v>
      </c>
    </row>
    <row r="5" spans="1:636" x14ac:dyDescent="0.2">
      <c r="A5" s="4" cm="1">
        <f t="array" ref="A5">IF(AND(H5&lt;&gt;"",H5&lt;&gt;"No DD"),SUMPRODUCT((H$4:H$16&lt;&gt;"")*(H$4:H$16&lt;&gt;"No DD")*(E$4:E$16&gt;E5))+1,IF(H5="No DD",SUMPRODUCT((H$4:H$16="No DD")*(E$4:E$16&gt;E5))+1+SUMPRODUCT((H$4:H$16&lt;&gt;"")*(H$4:H$16&lt;&gt;"No DD")),""))</f>
        <v>2</v>
      </c>
      <c r="B5" s="5" t="s">
        <v>145</v>
      </c>
      <c r="C5" s="4" t="s">
        <v>3</v>
      </c>
      <c r="D5" s="4" t="s">
        <v>146</v>
      </c>
      <c r="E5" s="9">
        <f t="shared" si="0"/>
        <v>93.314999999999998</v>
      </c>
      <c r="F5" s="3" t="str">
        <f t="shared" si="1"/>
        <v>P</v>
      </c>
      <c r="G5" s="3" t="str">
        <f t="shared" si="2"/>
        <v>P</v>
      </c>
      <c r="H5" s="36" t="str">
        <f t="shared" si="3"/>
        <v>Worlds Team</v>
      </c>
      <c r="I5" s="3" t="str">
        <f t="shared" si="4"/>
        <v>P</v>
      </c>
      <c r="J5" s="8">
        <f>IF(COUNT(AI5,AL5,AP5,BJ5,BM5,BQ5,CK5,CN5,CR5)&gt;0,LARGE((AI5,AL5,AP5,BJ5,BM5,BQ5,CK5,CN5,CR5),1),0)</f>
        <v>47.31</v>
      </c>
      <c r="K5" s="8" t="str">
        <f t="shared" si="5"/>
        <v>2024 Elite Canada</v>
      </c>
      <c r="L5" s="8">
        <f>IF(COUNT(AI5,AL5,AP5,BJ5,BM5,BQ5,CK5,CN5,CR5)&gt;1,LARGE((AI5,AL5,AP5,BJ5,BM5,BQ5,CK5,CN5,CR5),2),0)</f>
        <v>46.005000000000003</v>
      </c>
      <c r="M5" s="8" t="str">
        <f t="shared" si="6"/>
        <v>2024 Nationals</v>
      </c>
      <c r="N5" s="8" t="str">
        <f t="shared" si="7"/>
        <v/>
      </c>
      <c r="O5" s="11" t="str">
        <f t="shared" si="8"/>
        <v/>
      </c>
      <c r="P5" s="8" t="str">
        <f t="shared" si="9"/>
        <v/>
      </c>
      <c r="Q5" s="22">
        <v>7.9</v>
      </c>
      <c r="R5" s="22">
        <v>9.4</v>
      </c>
      <c r="S5" s="22">
        <v>11.3</v>
      </c>
      <c r="T5" s="22">
        <v>13.18</v>
      </c>
      <c r="U5" s="22">
        <v>0</v>
      </c>
      <c r="V5" s="22">
        <v>7.1</v>
      </c>
      <c r="W5" s="22">
        <v>8.4</v>
      </c>
      <c r="X5" s="22">
        <v>9.9</v>
      </c>
      <c r="Y5" s="22">
        <v>15.36</v>
      </c>
      <c r="Z5" s="22">
        <v>0</v>
      </c>
      <c r="AA5" s="22">
        <v>8.1999999999999993</v>
      </c>
      <c r="AB5" s="22">
        <v>9.25</v>
      </c>
      <c r="AC5" s="22">
        <v>11.3</v>
      </c>
      <c r="AD5" s="22">
        <v>18.760000000000002</v>
      </c>
      <c r="AE5" s="22">
        <v>0.2</v>
      </c>
      <c r="AF5" s="27"/>
      <c r="AG5" s="38">
        <f t="shared" si="10"/>
        <v>11.3</v>
      </c>
      <c r="AH5" s="38">
        <f t="shared" si="11"/>
        <v>13.18</v>
      </c>
      <c r="AI5" s="40">
        <f t="shared" si="12"/>
        <v>41.78</v>
      </c>
      <c r="AJ5" s="40">
        <f t="shared" si="13"/>
        <v>9.9</v>
      </c>
      <c r="AK5" s="40">
        <f t="shared" si="14"/>
        <v>15.36</v>
      </c>
      <c r="AL5" s="40">
        <f t="shared" si="15"/>
        <v>40.76</v>
      </c>
      <c r="AM5" s="40">
        <f t="shared" si="16"/>
        <v>41.78</v>
      </c>
      <c r="AN5" s="40">
        <f t="shared" si="17"/>
        <v>11.3</v>
      </c>
      <c r="AO5" s="40">
        <f t="shared" si="18"/>
        <v>18.760000000000002</v>
      </c>
      <c r="AP5" s="40">
        <f t="shared" si="19"/>
        <v>47.31</v>
      </c>
      <c r="AQ5" s="40">
        <f t="shared" si="20"/>
        <v>89.09</v>
      </c>
      <c r="AR5" s="26">
        <v>7.625</v>
      </c>
      <c r="AS5" s="26">
        <v>9.1999999999999993</v>
      </c>
      <c r="AT5" s="26">
        <v>11.3</v>
      </c>
      <c r="AU5" s="26">
        <v>14.36</v>
      </c>
      <c r="AV5" s="26">
        <v>0</v>
      </c>
      <c r="AW5" s="26">
        <v>7.15</v>
      </c>
      <c r="AX5" s="26">
        <v>8.9</v>
      </c>
      <c r="AY5" s="26">
        <v>10.600000000000001</v>
      </c>
      <c r="AZ5" s="26">
        <v>15.74</v>
      </c>
      <c r="BA5" s="26">
        <v>0</v>
      </c>
      <c r="BB5" s="26">
        <v>7.875</v>
      </c>
      <c r="BC5" s="26">
        <v>9.1</v>
      </c>
      <c r="BD5" s="26">
        <v>11.3</v>
      </c>
      <c r="BE5" s="26">
        <v>17.829999999999998</v>
      </c>
      <c r="BF5" s="26">
        <v>0.1</v>
      </c>
      <c r="BG5" s="28" t="s">
        <v>53</v>
      </c>
      <c r="BH5" s="39">
        <f t="shared" si="21"/>
        <v>11.3</v>
      </c>
      <c r="BI5" s="39">
        <f t="shared" si="22"/>
        <v>14.36</v>
      </c>
      <c r="BJ5" s="11">
        <f t="shared" si="23"/>
        <v>42.484999999999999</v>
      </c>
      <c r="BK5" s="11">
        <f t="shared" si="24"/>
        <v>10.600000000000001</v>
      </c>
      <c r="BL5" s="11">
        <f t="shared" si="25"/>
        <v>15.74</v>
      </c>
      <c r="BM5" s="11">
        <f t="shared" si="26"/>
        <v>42.39</v>
      </c>
      <c r="BN5" s="11">
        <f t="shared" si="27"/>
        <v>42.484999999999999</v>
      </c>
      <c r="BO5" s="11">
        <f t="shared" si="28"/>
        <v>11.3</v>
      </c>
      <c r="BP5" s="11">
        <f t="shared" si="29"/>
        <v>17.829999999999998</v>
      </c>
      <c r="BQ5" s="11">
        <f t="shared" si="30"/>
        <v>46.005000000000003</v>
      </c>
      <c r="BR5" s="11">
        <f t="shared" si="31"/>
        <v>88.490000000000009</v>
      </c>
      <c r="BS5" s="22"/>
      <c r="BT5" s="22"/>
      <c r="BU5" s="22"/>
      <c r="BV5" s="22"/>
      <c r="BW5" s="22"/>
      <c r="BX5" s="22"/>
      <c r="BY5" s="22"/>
      <c r="BZ5" s="22"/>
      <c r="CA5" s="22"/>
      <c r="CB5" s="22"/>
      <c r="CC5" s="22"/>
      <c r="CD5" s="22"/>
      <c r="CE5" s="22"/>
      <c r="CF5" s="22"/>
      <c r="CG5" s="22"/>
      <c r="CH5" s="27"/>
      <c r="CI5" s="38" t="str">
        <f t="shared" si="32"/>
        <v/>
      </c>
      <c r="CJ5" s="38" t="str">
        <f t="shared" si="33"/>
        <v/>
      </c>
      <c r="CK5" s="40" t="str">
        <f t="shared" si="34"/>
        <v/>
      </c>
      <c r="CL5" s="40" t="str">
        <f t="shared" si="35"/>
        <v/>
      </c>
      <c r="CM5" s="40" t="str">
        <f t="shared" si="36"/>
        <v/>
      </c>
      <c r="CN5" s="40" t="str">
        <f t="shared" si="37"/>
        <v/>
      </c>
      <c r="CO5" s="40" t="str">
        <f t="shared" si="38"/>
        <v/>
      </c>
      <c r="CP5" s="40" t="str">
        <f t="shared" si="39"/>
        <v/>
      </c>
      <c r="CQ5" s="40" t="str">
        <f t="shared" si="40"/>
        <v/>
      </c>
      <c r="CR5" s="40" t="str">
        <f t="shared" si="41"/>
        <v/>
      </c>
      <c r="CS5" s="40" t="str">
        <f t="shared" si="42"/>
        <v/>
      </c>
      <c r="CT5" s="51" t="str">
        <f t="shared" si="43"/>
        <v/>
      </c>
      <c r="CU5" s="51" t="str">
        <f t="shared" si="44"/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0" t="str">
        <f t="shared" si="45"/>
        <v/>
      </c>
      <c r="DQ5" s="40" t="str">
        <f t="shared" si="46"/>
        <v/>
      </c>
      <c r="DR5" s="40" t="str">
        <f t="shared" si="47"/>
        <v/>
      </c>
      <c r="DS5" s="40" t="str">
        <f t="shared" si="48"/>
        <v/>
      </c>
      <c r="DT5" s="40" t="str">
        <f t="shared" si="49"/>
        <v/>
      </c>
      <c r="DU5" s="40" t="str">
        <f t="shared" si="50"/>
        <v/>
      </c>
      <c r="DV5" s="40" t="str">
        <f t="shared" si="51"/>
        <v/>
      </c>
      <c r="DW5" s="40" t="str">
        <f t="shared" si="52"/>
        <v/>
      </c>
      <c r="DX5" s="40" t="str">
        <f t="shared" si="53"/>
        <v/>
      </c>
      <c r="DY5" s="40" t="str">
        <f t="shared" si="54"/>
        <v/>
      </c>
      <c r="DZ5" s="40" t="str">
        <f t="shared" si="55"/>
        <v/>
      </c>
      <c r="EA5" s="40" t="str">
        <f t="shared" si="56"/>
        <v/>
      </c>
      <c r="EB5" s="40" t="str">
        <f t="shared" si="57"/>
        <v/>
      </c>
      <c r="EC5" s="40" t="str">
        <f t="shared" si="58"/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 t="shared" si="59"/>
        <v/>
      </c>
      <c r="EY5" s="11" t="str">
        <f t="shared" si="60"/>
        <v/>
      </c>
      <c r="EZ5" s="11" t="str">
        <f t="shared" si="61"/>
        <v/>
      </c>
      <c r="FA5" s="11" t="str">
        <f t="shared" si="62"/>
        <v/>
      </c>
      <c r="FB5" s="11" t="str">
        <f t="shared" si="63"/>
        <v/>
      </c>
      <c r="FC5" s="11" t="str">
        <f t="shared" si="64"/>
        <v/>
      </c>
      <c r="FD5" s="11" t="str">
        <f t="shared" si="65"/>
        <v/>
      </c>
      <c r="FE5" s="11" t="str">
        <f t="shared" si="66"/>
        <v/>
      </c>
      <c r="FF5" s="11" t="str">
        <f t="shared" si="67"/>
        <v/>
      </c>
      <c r="FG5" s="11" t="str">
        <f t="shared" si="68"/>
        <v/>
      </c>
      <c r="FH5" s="11" t="str">
        <f t="shared" si="69"/>
        <v/>
      </c>
      <c r="FI5" s="11" t="str">
        <f t="shared" si="70"/>
        <v/>
      </c>
      <c r="FJ5" s="11" t="str">
        <f t="shared" si="71"/>
        <v/>
      </c>
      <c r="FK5" s="11" t="str">
        <f t="shared" si="72"/>
        <v/>
      </c>
      <c r="FL5" s="17">
        <v>7.25</v>
      </c>
      <c r="FM5" s="17">
        <v>9.3000000000000007</v>
      </c>
      <c r="FN5" s="17">
        <v>11.3</v>
      </c>
      <c r="FO5" s="17">
        <v>18.52</v>
      </c>
      <c r="FP5" s="17">
        <v>0.4</v>
      </c>
      <c r="FQ5" s="17">
        <v>1.35</v>
      </c>
      <c r="FR5" s="17">
        <v>1.75</v>
      </c>
      <c r="FS5" s="17">
        <v>2.9</v>
      </c>
      <c r="FT5" s="17">
        <v>3.1</v>
      </c>
      <c r="FU5" s="17">
        <v>0</v>
      </c>
      <c r="FV5" s="17"/>
      <c r="FW5" s="17"/>
      <c r="FX5" s="17"/>
      <c r="FY5" s="17"/>
      <c r="FZ5" s="17"/>
      <c r="GA5" s="17">
        <v>7.1</v>
      </c>
      <c r="GB5" s="17">
        <v>9.0500000000000007</v>
      </c>
      <c r="GC5" s="17">
        <v>11.3</v>
      </c>
      <c r="GD5" s="17">
        <v>15.7</v>
      </c>
      <c r="GE5" s="17">
        <v>0</v>
      </c>
      <c r="GF5" s="40">
        <f t="shared" si="73"/>
        <v>11.3</v>
      </c>
      <c r="GG5" s="40">
        <f t="shared" si="74"/>
        <v>18.52</v>
      </c>
      <c r="GH5" s="40">
        <f t="shared" si="75"/>
        <v>45.970000000000006</v>
      </c>
      <c r="GI5" s="40">
        <f t="shared" si="76"/>
        <v>2.9</v>
      </c>
      <c r="GJ5" s="40">
        <f t="shared" si="77"/>
        <v>3.1</v>
      </c>
      <c r="GK5" s="40">
        <f t="shared" si="78"/>
        <v>9.1</v>
      </c>
      <c r="GL5" s="40">
        <f t="shared" si="79"/>
        <v>45.970000000000006</v>
      </c>
      <c r="GM5" s="40" t="str">
        <f t="shared" si="80"/>
        <v/>
      </c>
      <c r="GN5" s="40" t="str">
        <f t="shared" si="81"/>
        <v/>
      </c>
      <c r="GO5" s="40" t="str">
        <f t="shared" si="82"/>
        <v/>
      </c>
      <c r="GP5" s="40">
        <f t="shared" si="83"/>
        <v>11.3</v>
      </c>
      <c r="GQ5" s="40">
        <f t="shared" si="84"/>
        <v>15.7</v>
      </c>
      <c r="GR5" s="40">
        <f t="shared" si="85"/>
        <v>43.15</v>
      </c>
      <c r="GS5" s="40">
        <f t="shared" si="86"/>
        <v>89.12</v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 t="shared" si="87"/>
        <v/>
      </c>
      <c r="HO5" s="11" t="str">
        <f t="shared" si="88"/>
        <v/>
      </c>
      <c r="HP5" s="11" t="str">
        <f t="shared" si="89"/>
        <v/>
      </c>
      <c r="HQ5" s="11" t="str">
        <f t="shared" si="90"/>
        <v/>
      </c>
      <c r="HR5" s="11" t="str">
        <f t="shared" si="91"/>
        <v/>
      </c>
      <c r="HS5" s="11" t="str">
        <f t="shared" si="92"/>
        <v/>
      </c>
      <c r="HT5" s="11" t="str">
        <f t="shared" si="93"/>
        <v/>
      </c>
      <c r="HU5" s="11" t="str">
        <f t="shared" si="94"/>
        <v/>
      </c>
      <c r="HV5" s="11" t="str">
        <f t="shared" si="95"/>
        <v/>
      </c>
      <c r="HW5" s="11" t="str">
        <f t="shared" si="96"/>
        <v/>
      </c>
      <c r="HX5" s="11" t="str">
        <f t="shared" si="97"/>
        <v/>
      </c>
      <c r="HY5" s="11" t="str">
        <f t="shared" si="98"/>
        <v/>
      </c>
      <c r="HZ5" s="11" t="str">
        <f t="shared" si="99"/>
        <v/>
      </c>
      <c r="IA5" s="11" t="str">
        <f t="shared" si="100"/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0" t="str">
        <f t="shared" si="101"/>
        <v/>
      </c>
      <c r="IW5" s="40" t="str">
        <f t="shared" si="102"/>
        <v/>
      </c>
      <c r="IX5" s="40" t="str">
        <f t="shared" si="103"/>
        <v/>
      </c>
      <c r="IY5" s="40" t="str">
        <f t="shared" si="104"/>
        <v/>
      </c>
      <c r="IZ5" s="40" t="str">
        <f t="shared" si="105"/>
        <v/>
      </c>
      <c r="JA5" s="40" t="str">
        <f t="shared" si="106"/>
        <v/>
      </c>
      <c r="JB5" s="40" t="str">
        <f t="shared" si="107"/>
        <v/>
      </c>
      <c r="JC5" s="40" t="str">
        <f t="shared" si="108"/>
        <v/>
      </c>
      <c r="JD5" s="40" t="str">
        <f t="shared" si="109"/>
        <v/>
      </c>
      <c r="JE5" s="40" t="str">
        <f t="shared" si="110"/>
        <v/>
      </c>
      <c r="JF5" s="40" t="str">
        <f t="shared" si="111"/>
        <v/>
      </c>
      <c r="JG5" s="40" t="str">
        <f t="shared" si="112"/>
        <v/>
      </c>
      <c r="JH5" s="40" t="str">
        <f t="shared" si="113"/>
        <v/>
      </c>
      <c r="JI5" s="40" t="str">
        <f t="shared" si="114"/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 t="shared" si="115"/>
        <v/>
      </c>
      <c r="KE5" s="11" t="str">
        <f t="shared" si="116"/>
        <v/>
      </c>
      <c r="KF5" s="11" t="str">
        <f t="shared" si="117"/>
        <v/>
      </c>
      <c r="KG5" s="11" t="str">
        <f t="shared" si="118"/>
        <v/>
      </c>
      <c r="KH5" s="11" t="str">
        <f t="shared" si="119"/>
        <v/>
      </c>
      <c r="KI5" s="11" t="str">
        <f t="shared" si="120"/>
        <v/>
      </c>
      <c r="KJ5" s="11" t="str">
        <f t="shared" si="121"/>
        <v/>
      </c>
      <c r="KK5" s="11" t="str">
        <f t="shared" si="122"/>
        <v/>
      </c>
      <c r="KL5" s="11" t="str">
        <f t="shared" si="123"/>
        <v/>
      </c>
      <c r="KM5" s="11" t="str">
        <f t="shared" si="124"/>
        <v/>
      </c>
      <c r="KN5" s="11" t="str">
        <f t="shared" si="125"/>
        <v/>
      </c>
      <c r="KO5" s="11" t="str">
        <f t="shared" si="126"/>
        <v/>
      </c>
      <c r="KP5" s="11" t="str">
        <f t="shared" si="127"/>
        <v/>
      </c>
      <c r="KQ5" s="11" t="str">
        <f t="shared" si="128"/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0" t="str">
        <f t="shared" si="129"/>
        <v/>
      </c>
      <c r="LM5" s="40" t="str">
        <f t="shared" si="130"/>
        <v/>
      </c>
      <c r="LN5" s="40" t="str">
        <f t="shared" si="131"/>
        <v/>
      </c>
      <c r="LO5" s="40" t="str">
        <f t="shared" si="132"/>
        <v/>
      </c>
      <c r="LP5" s="40" t="str">
        <f t="shared" si="133"/>
        <v/>
      </c>
      <c r="LQ5" s="40" t="str">
        <f t="shared" si="134"/>
        <v/>
      </c>
      <c r="LR5" s="40" t="str">
        <f t="shared" si="135"/>
        <v/>
      </c>
      <c r="LS5" s="40" t="str">
        <f t="shared" si="136"/>
        <v/>
      </c>
      <c r="LT5" s="40" t="str">
        <f t="shared" si="137"/>
        <v/>
      </c>
      <c r="LU5" s="40" t="str">
        <f t="shared" si="138"/>
        <v/>
      </c>
      <c r="LV5" s="40" t="str">
        <f t="shared" si="139"/>
        <v/>
      </c>
      <c r="LW5" s="40" t="str">
        <f t="shared" si="140"/>
        <v/>
      </c>
      <c r="LX5" s="40" t="str">
        <f t="shared" si="141"/>
        <v/>
      </c>
      <c r="LY5" s="40" t="str">
        <f t="shared" si="142"/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 t="shared" si="143"/>
        <v/>
      </c>
      <c r="MU5" s="11" t="str">
        <f t="shared" si="144"/>
        <v/>
      </c>
      <c r="MV5" s="11" t="str">
        <f t="shared" si="145"/>
        <v/>
      </c>
      <c r="MW5" s="11" t="str">
        <f t="shared" si="146"/>
        <v/>
      </c>
      <c r="MX5" s="11" t="str">
        <f t="shared" si="147"/>
        <v/>
      </c>
      <c r="MY5" s="11" t="str">
        <f t="shared" si="148"/>
        <v/>
      </c>
      <c r="MZ5" s="11" t="str">
        <f t="shared" si="149"/>
        <v/>
      </c>
      <c r="NA5" s="11" t="str">
        <f t="shared" si="150"/>
        <v/>
      </c>
      <c r="NB5" s="11" t="str">
        <f t="shared" si="151"/>
        <v/>
      </c>
      <c r="NC5" s="11" t="str">
        <f t="shared" si="152"/>
        <v/>
      </c>
      <c r="ND5" s="11" t="str">
        <f t="shared" si="153"/>
        <v/>
      </c>
      <c r="NE5" s="11" t="str">
        <f t="shared" si="154"/>
        <v/>
      </c>
      <c r="NF5" s="11" t="str">
        <f t="shared" si="155"/>
        <v/>
      </c>
      <c r="NG5" s="11" t="str">
        <f t="shared" si="156"/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0" t="str">
        <f t="shared" si="157"/>
        <v/>
      </c>
      <c r="OC5" s="40" t="str">
        <f t="shared" si="158"/>
        <v/>
      </c>
      <c r="OD5" s="40" t="str">
        <f t="shared" si="159"/>
        <v/>
      </c>
      <c r="OE5" s="40" t="str">
        <f t="shared" si="160"/>
        <v/>
      </c>
      <c r="OF5" s="40" t="str">
        <f t="shared" si="161"/>
        <v/>
      </c>
      <c r="OG5" s="40" t="str">
        <f t="shared" si="162"/>
        <v/>
      </c>
      <c r="OH5" s="40" t="str">
        <f t="shared" si="163"/>
        <v/>
      </c>
      <c r="OI5" s="40" t="str">
        <f t="shared" si="164"/>
        <v/>
      </c>
      <c r="OJ5" s="40" t="str">
        <f t="shared" si="165"/>
        <v/>
      </c>
      <c r="OK5" s="40" t="str">
        <f t="shared" si="166"/>
        <v/>
      </c>
      <c r="OL5" s="40" t="str">
        <f t="shared" si="167"/>
        <v/>
      </c>
      <c r="OM5" s="40" t="str">
        <f t="shared" si="168"/>
        <v/>
      </c>
      <c r="ON5" s="40" t="str">
        <f t="shared" si="169"/>
        <v/>
      </c>
      <c r="OO5" s="40" t="str">
        <f t="shared" si="170"/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 t="shared" si="171"/>
        <v/>
      </c>
      <c r="PK5" s="11" t="str">
        <f t="shared" si="172"/>
        <v/>
      </c>
      <c r="PL5" s="11" t="str">
        <f t="shared" si="173"/>
        <v/>
      </c>
      <c r="PM5" s="11" t="str">
        <f t="shared" si="174"/>
        <v/>
      </c>
      <c r="PN5" s="11" t="str">
        <f t="shared" si="175"/>
        <v/>
      </c>
      <c r="PO5" s="11" t="str">
        <f t="shared" si="176"/>
        <v/>
      </c>
      <c r="PP5" s="11" t="str">
        <f t="shared" si="177"/>
        <v/>
      </c>
      <c r="PQ5" s="11" t="str">
        <f t="shared" si="178"/>
        <v/>
      </c>
      <c r="PR5" s="11" t="str">
        <f t="shared" si="179"/>
        <v/>
      </c>
      <c r="PS5" s="11" t="str">
        <f t="shared" si="180"/>
        <v/>
      </c>
      <c r="PT5" s="11" t="str">
        <f t="shared" si="181"/>
        <v/>
      </c>
      <c r="PU5" s="11" t="str">
        <f t="shared" si="182"/>
        <v/>
      </c>
      <c r="PV5" s="11" t="str">
        <f t="shared" si="183"/>
        <v/>
      </c>
      <c r="PW5" s="11" t="str">
        <f t="shared" si="184"/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0" t="str">
        <f t="shared" si="185"/>
        <v/>
      </c>
      <c r="QS5" s="40" t="str">
        <f t="shared" si="186"/>
        <v/>
      </c>
      <c r="QT5" s="40" t="str">
        <f t="shared" si="187"/>
        <v/>
      </c>
      <c r="QU5" s="40" t="str">
        <f t="shared" si="188"/>
        <v/>
      </c>
      <c r="QV5" s="40" t="str">
        <f t="shared" si="189"/>
        <v/>
      </c>
      <c r="QW5" s="40" t="str">
        <f t="shared" si="190"/>
        <v/>
      </c>
      <c r="QX5" s="40" t="str">
        <f t="shared" si="191"/>
        <v/>
      </c>
      <c r="QY5" s="40" t="str">
        <f t="shared" si="192"/>
        <v/>
      </c>
      <c r="QZ5" s="40" t="str">
        <f t="shared" si="193"/>
        <v/>
      </c>
      <c r="RA5" s="40" t="str">
        <f t="shared" si="194"/>
        <v/>
      </c>
      <c r="RB5" s="40" t="str">
        <f t="shared" si="195"/>
        <v/>
      </c>
      <c r="RC5" s="40" t="str">
        <f t="shared" si="196"/>
        <v/>
      </c>
      <c r="RD5" s="40" t="str">
        <f t="shared" si="197"/>
        <v/>
      </c>
      <c r="RE5" s="40" t="str">
        <f t="shared" si="198"/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 t="shared" si="199"/>
        <v/>
      </c>
      <c r="SA5" s="11" t="str">
        <f t="shared" si="200"/>
        <v/>
      </c>
      <c r="SB5" s="11" t="str">
        <f t="shared" si="201"/>
        <v/>
      </c>
      <c r="SC5" s="11" t="str">
        <f t="shared" si="202"/>
        <v/>
      </c>
      <c r="SD5" s="11" t="str">
        <f t="shared" si="203"/>
        <v/>
      </c>
      <c r="SE5" s="11" t="str">
        <f t="shared" si="204"/>
        <v/>
      </c>
      <c r="SF5" s="11" t="str">
        <f t="shared" si="205"/>
        <v/>
      </c>
      <c r="SG5" s="11" t="str">
        <f t="shared" si="206"/>
        <v/>
      </c>
      <c r="SH5" s="11" t="str">
        <f t="shared" si="207"/>
        <v/>
      </c>
      <c r="SI5" s="11" t="str">
        <f t="shared" si="208"/>
        <v/>
      </c>
      <c r="SJ5" s="11" t="str">
        <f t="shared" si="209"/>
        <v/>
      </c>
      <c r="SK5" s="11" t="str">
        <f t="shared" si="210"/>
        <v/>
      </c>
      <c r="SL5" s="11" t="str">
        <f t="shared" si="211"/>
        <v/>
      </c>
      <c r="SM5" s="11" t="str">
        <f t="shared" si="212"/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0" t="str">
        <f t="shared" si="213"/>
        <v/>
      </c>
      <c r="TI5" s="40" t="str">
        <f t="shared" si="214"/>
        <v/>
      </c>
      <c r="TJ5" s="40" t="str">
        <f t="shared" si="215"/>
        <v/>
      </c>
      <c r="TK5" s="40" t="str">
        <f t="shared" si="216"/>
        <v/>
      </c>
      <c r="TL5" s="40" t="str">
        <f t="shared" si="217"/>
        <v/>
      </c>
      <c r="TM5" s="40" t="str">
        <f t="shared" si="218"/>
        <v/>
      </c>
      <c r="TN5" s="40" t="str">
        <f t="shared" si="219"/>
        <v/>
      </c>
      <c r="TO5" s="40" t="str">
        <f t="shared" si="220"/>
        <v/>
      </c>
      <c r="TP5" s="40" t="str">
        <f t="shared" si="221"/>
        <v/>
      </c>
      <c r="TQ5" s="40" t="str">
        <f t="shared" si="222"/>
        <v/>
      </c>
      <c r="TR5" s="40" t="str">
        <f t="shared" si="223"/>
        <v/>
      </c>
      <c r="TS5" s="40" t="str">
        <f t="shared" si="224"/>
        <v/>
      </c>
      <c r="TT5" s="40" t="str">
        <f t="shared" si="225"/>
        <v/>
      </c>
      <c r="TU5" s="40" t="str">
        <f t="shared" si="226"/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 t="shared" si="227"/>
        <v/>
      </c>
      <c r="UQ5" s="11" t="str">
        <f t="shared" si="228"/>
        <v/>
      </c>
      <c r="UR5" s="11" t="str">
        <f t="shared" si="229"/>
        <v/>
      </c>
      <c r="US5" s="11" t="str">
        <f t="shared" si="230"/>
        <v/>
      </c>
      <c r="UT5" s="11" t="str">
        <f t="shared" si="231"/>
        <v/>
      </c>
      <c r="UU5" s="11" t="str">
        <f t="shared" si="232"/>
        <v/>
      </c>
      <c r="UV5" s="11" t="str">
        <f t="shared" si="233"/>
        <v/>
      </c>
      <c r="UW5" s="11" t="str">
        <f t="shared" si="234"/>
        <v/>
      </c>
      <c r="UX5" s="11" t="str">
        <f t="shared" si="235"/>
        <v/>
      </c>
      <c r="UY5" s="11" t="str">
        <f t="shared" si="236"/>
        <v/>
      </c>
      <c r="UZ5" s="11" t="str">
        <f t="shared" si="237"/>
        <v/>
      </c>
      <c r="VA5" s="11" t="str">
        <f t="shared" si="238"/>
        <v/>
      </c>
      <c r="VB5" s="11" t="str">
        <f t="shared" si="239"/>
        <v/>
      </c>
      <c r="VC5" s="11" t="str">
        <f t="shared" si="240"/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0" t="str">
        <f t="shared" si="241"/>
        <v/>
      </c>
      <c r="VY5" s="40" t="str">
        <f t="shared" si="242"/>
        <v/>
      </c>
      <c r="VZ5" s="40" t="str">
        <f t="shared" si="243"/>
        <v/>
      </c>
      <c r="WA5" s="40" t="str">
        <f t="shared" si="244"/>
        <v/>
      </c>
      <c r="WB5" s="40" t="str">
        <f t="shared" si="245"/>
        <v/>
      </c>
      <c r="WC5" s="40" t="str">
        <f t="shared" si="246"/>
        <v/>
      </c>
      <c r="WD5" s="40" t="str">
        <f t="shared" si="247"/>
        <v/>
      </c>
      <c r="WE5" s="40" t="str">
        <f t="shared" si="248"/>
        <v/>
      </c>
      <c r="WF5" s="40" t="str">
        <f t="shared" si="249"/>
        <v/>
      </c>
      <c r="WG5" s="40" t="str">
        <f t="shared" si="250"/>
        <v/>
      </c>
      <c r="WH5" s="40" t="str">
        <f t="shared" si="251"/>
        <v/>
      </c>
      <c r="WI5" s="40" t="str">
        <f t="shared" si="252"/>
        <v/>
      </c>
      <c r="WJ5" s="40" t="str">
        <f t="shared" si="253"/>
        <v/>
      </c>
      <c r="WK5" s="40" t="str">
        <f t="shared" si="254"/>
        <v/>
      </c>
      <c r="WL5" s="26">
        <f t="shared" si="255"/>
        <v>3.8125</v>
      </c>
      <c r="WM5" s="26">
        <f t="shared" si="256"/>
        <v>4.5999999999999996</v>
      </c>
      <c r="WN5" s="26">
        <f t="shared" si="257"/>
        <v>5.65</v>
      </c>
      <c r="WO5" s="26">
        <f t="shared" si="258"/>
        <v>7.18</v>
      </c>
      <c r="WP5" s="26">
        <f t="shared" si="259"/>
        <v>0</v>
      </c>
      <c r="WQ5" s="26">
        <f t="shared" si="260"/>
        <v>3.5750000000000002</v>
      </c>
      <c r="WR5" s="26">
        <f t="shared" si="261"/>
        <v>4.45</v>
      </c>
      <c r="WS5" s="26">
        <f t="shared" si="262"/>
        <v>5.3000000000000007</v>
      </c>
      <c r="WT5" s="26">
        <f t="shared" si="263"/>
        <v>7.87</v>
      </c>
      <c r="WU5" s="26">
        <f t="shared" si="264"/>
        <v>0</v>
      </c>
      <c r="WV5" s="26">
        <f t="shared" si="265"/>
        <v>3.9375</v>
      </c>
      <c r="WW5" s="26">
        <f t="shared" si="266"/>
        <v>4.55</v>
      </c>
      <c r="WX5" s="26">
        <f t="shared" si="267"/>
        <v>5.65</v>
      </c>
      <c r="WY5" s="26">
        <f t="shared" si="268"/>
        <v>8.9149999999999991</v>
      </c>
      <c r="WZ5" s="26">
        <f t="shared" si="269"/>
        <v>0.05</v>
      </c>
      <c r="XA5" s="28" t="s">
        <v>53</v>
      </c>
      <c r="XB5" s="11">
        <f t="shared" si="270"/>
        <v>5.65</v>
      </c>
      <c r="XC5" s="11">
        <f t="shared" si="271"/>
        <v>7.18</v>
      </c>
      <c r="XD5" s="11">
        <f t="shared" si="272"/>
        <v>21.2425</v>
      </c>
      <c r="XE5" s="11">
        <f t="shared" si="273"/>
        <v>5.3000000000000007</v>
      </c>
      <c r="XF5" s="11">
        <f t="shared" si="274"/>
        <v>7.87</v>
      </c>
      <c r="XG5" s="11">
        <f t="shared" si="275"/>
        <v>21.195</v>
      </c>
      <c r="XH5" s="11">
        <f t="shared" si="276"/>
        <v>21.2425</v>
      </c>
      <c r="XI5" s="11">
        <f t="shared" si="277"/>
        <v>5.65</v>
      </c>
      <c r="XJ5" s="11">
        <f t="shared" si="278"/>
        <v>8.9149999999999991</v>
      </c>
      <c r="XK5" s="11">
        <f t="shared" si="279"/>
        <v>23.002500000000001</v>
      </c>
      <c r="XL5" s="11">
        <f t="shared" si="280"/>
        <v>44.245000000000005</v>
      </c>
    </row>
    <row r="6" spans="1:636" x14ac:dyDescent="0.2">
      <c r="A6" s="4" cm="1">
        <f t="array" ref="A6">IF(AND(H6&lt;&gt;"",H6&lt;&gt;"No DD"),SUMPRODUCT((H$4:H$16&lt;&gt;"")*(H$4:H$16&lt;&gt;"No DD")*(E$4:E$16&gt;E6))+1,IF(H6="No DD",SUMPRODUCT((H$4:H$16="No DD")*(E$4:E$16&gt;E6))+1+SUMPRODUCT((H$4:H$16&lt;&gt;"")*(H$4:H$16&lt;&gt;"No DD")),""))</f>
        <v>3</v>
      </c>
      <c r="B6" s="5" t="s">
        <v>135</v>
      </c>
      <c r="C6" s="4" t="s">
        <v>6</v>
      </c>
      <c r="D6" s="4" t="s">
        <v>134</v>
      </c>
      <c r="E6" s="9">
        <f t="shared" si="0"/>
        <v>86.63</v>
      </c>
      <c r="F6" s="3" t="str">
        <f t="shared" si="1"/>
        <v>P</v>
      </c>
      <c r="G6" s="3" t="str">
        <f t="shared" si="2"/>
        <v>P</v>
      </c>
      <c r="H6" s="36" t="str">
        <f t="shared" si="3"/>
        <v>National Team</v>
      </c>
      <c r="I6" s="3" t="str">
        <f t="shared" si="4"/>
        <v/>
      </c>
      <c r="J6" s="8">
        <f>IF(COUNT(AI6,AL6,AP6,BJ6,BM6,BQ6,CK6,CN6,CR6)&gt;0,LARGE((AI6,AL6,AP6,BJ6,BM6,BQ6,CK6,CN6,CR6),1),0)</f>
        <v>46.91</v>
      </c>
      <c r="K6" s="8" t="str">
        <f t="shared" si="5"/>
        <v>2024 Nationals</v>
      </c>
      <c r="L6" s="8">
        <f>IF(COUNT(AI6,AL6,AP6,BJ6,BM6,BQ6,CK6,CN6,CR6)&gt;1,LARGE((AI6,AL6,AP6,BJ6,BM6,BQ6,CK6,CN6,CR6),2),0)</f>
        <v>39.72</v>
      </c>
      <c r="M6" s="8" t="str">
        <f t="shared" si="6"/>
        <v>2024 Nationals</v>
      </c>
      <c r="N6" s="8" t="str">
        <f t="shared" si="7"/>
        <v/>
      </c>
      <c r="O6" s="11" t="str">
        <f t="shared" si="8"/>
        <v/>
      </c>
      <c r="P6" s="8" t="str">
        <f t="shared" si="9"/>
        <v/>
      </c>
      <c r="Q6" s="22">
        <v>3.25</v>
      </c>
      <c r="R6" s="22">
        <v>3.45</v>
      </c>
      <c r="S6" s="22">
        <v>4.7</v>
      </c>
      <c r="T6" s="22">
        <v>6.32</v>
      </c>
      <c r="U6" s="22">
        <v>0</v>
      </c>
      <c r="V6" s="22">
        <v>0</v>
      </c>
      <c r="W6" s="22">
        <v>0</v>
      </c>
      <c r="X6" s="22">
        <v>0</v>
      </c>
      <c r="Y6" s="22">
        <v>0</v>
      </c>
      <c r="Z6" s="22">
        <v>0</v>
      </c>
      <c r="AA6" s="22"/>
      <c r="AB6" s="22"/>
      <c r="AC6" s="22"/>
      <c r="AD6" s="22"/>
      <c r="AE6" s="22"/>
      <c r="AF6" s="27"/>
      <c r="AG6" s="38">
        <f t="shared" si="10"/>
        <v>4.7</v>
      </c>
      <c r="AH6" s="38">
        <f t="shared" si="11"/>
        <v>6.32</v>
      </c>
      <c r="AI6" s="40">
        <f t="shared" si="12"/>
        <v>17.72</v>
      </c>
      <c r="AJ6" s="40" t="str">
        <f t="shared" si="13"/>
        <v/>
      </c>
      <c r="AK6" s="40" t="str">
        <f t="shared" si="14"/>
        <v/>
      </c>
      <c r="AL6" s="40" t="str">
        <f t="shared" si="15"/>
        <v/>
      </c>
      <c r="AM6" s="40">
        <f t="shared" si="16"/>
        <v>17.72</v>
      </c>
      <c r="AN6" s="40" t="str">
        <f t="shared" si="17"/>
        <v/>
      </c>
      <c r="AO6" s="40" t="str">
        <f t="shared" si="18"/>
        <v/>
      </c>
      <c r="AP6" s="40" t="str">
        <f t="shared" si="19"/>
        <v/>
      </c>
      <c r="AQ6" s="40">
        <f t="shared" si="20"/>
        <v>17.72</v>
      </c>
      <c r="AR6" s="26">
        <v>2.5</v>
      </c>
      <c r="AS6" s="26">
        <v>2.8</v>
      </c>
      <c r="AT6" s="26">
        <v>3.5</v>
      </c>
      <c r="AU6" s="26">
        <v>5.7</v>
      </c>
      <c r="AV6" s="26">
        <v>0</v>
      </c>
      <c r="AW6" s="26">
        <v>7.95</v>
      </c>
      <c r="AX6" s="26">
        <v>9.1999999999999993</v>
      </c>
      <c r="AY6" s="26">
        <v>11.1</v>
      </c>
      <c r="AZ6" s="26">
        <v>18.66</v>
      </c>
      <c r="BA6" s="26">
        <v>0</v>
      </c>
      <c r="BB6" s="26">
        <v>6.55</v>
      </c>
      <c r="BC6" s="26">
        <v>9.15</v>
      </c>
      <c r="BD6" s="26">
        <v>11.1</v>
      </c>
      <c r="BE6" s="26">
        <v>12.92</v>
      </c>
      <c r="BF6" s="26">
        <v>0</v>
      </c>
      <c r="BG6" s="28"/>
      <c r="BH6" s="39">
        <f t="shared" si="21"/>
        <v>3.5</v>
      </c>
      <c r="BI6" s="39">
        <f t="shared" si="22"/>
        <v>5.7</v>
      </c>
      <c r="BJ6" s="11">
        <f t="shared" si="23"/>
        <v>14.5</v>
      </c>
      <c r="BK6" s="11">
        <f t="shared" si="24"/>
        <v>11.1</v>
      </c>
      <c r="BL6" s="11">
        <f t="shared" si="25"/>
        <v>18.66</v>
      </c>
      <c r="BM6" s="11">
        <f t="shared" si="26"/>
        <v>46.91</v>
      </c>
      <c r="BN6" s="11">
        <f t="shared" si="27"/>
        <v>46.91</v>
      </c>
      <c r="BO6" s="11">
        <f t="shared" si="28"/>
        <v>11.1</v>
      </c>
      <c r="BP6" s="11">
        <f t="shared" si="29"/>
        <v>12.92</v>
      </c>
      <c r="BQ6" s="11">
        <f t="shared" si="30"/>
        <v>39.72</v>
      </c>
      <c r="BR6" s="11">
        <f t="shared" si="31"/>
        <v>86.63</v>
      </c>
      <c r="BS6" s="22"/>
      <c r="BT6" s="22"/>
      <c r="BU6" s="22"/>
      <c r="BV6" s="22"/>
      <c r="BW6" s="22"/>
      <c r="BX6" s="22"/>
      <c r="BY6" s="22"/>
      <c r="BZ6" s="22"/>
      <c r="CA6" s="22"/>
      <c r="CB6" s="22"/>
      <c r="CC6" s="22"/>
      <c r="CD6" s="22"/>
      <c r="CE6" s="22"/>
      <c r="CF6" s="22"/>
      <c r="CG6" s="22"/>
      <c r="CH6" s="27"/>
      <c r="CI6" s="38" t="str">
        <f t="shared" si="32"/>
        <v/>
      </c>
      <c r="CJ6" s="38" t="str">
        <f t="shared" si="33"/>
        <v/>
      </c>
      <c r="CK6" s="40" t="str">
        <f t="shared" si="34"/>
        <v/>
      </c>
      <c r="CL6" s="40" t="str">
        <f t="shared" si="35"/>
        <v/>
      </c>
      <c r="CM6" s="40" t="str">
        <f t="shared" si="36"/>
        <v/>
      </c>
      <c r="CN6" s="40" t="str">
        <f t="shared" si="37"/>
        <v/>
      </c>
      <c r="CO6" s="40" t="str">
        <f t="shared" si="38"/>
        <v/>
      </c>
      <c r="CP6" s="40" t="str">
        <f t="shared" si="39"/>
        <v/>
      </c>
      <c r="CQ6" s="40" t="str">
        <f t="shared" si="40"/>
        <v/>
      </c>
      <c r="CR6" s="40" t="str">
        <f t="shared" si="41"/>
        <v/>
      </c>
      <c r="CS6" s="40" t="str">
        <f t="shared" si="42"/>
        <v/>
      </c>
      <c r="CT6" s="51" t="str">
        <f t="shared" si="43"/>
        <v/>
      </c>
      <c r="CU6" s="51" t="str">
        <f t="shared" si="44"/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0" t="str">
        <f t="shared" si="45"/>
        <v/>
      </c>
      <c r="DQ6" s="40" t="str">
        <f t="shared" si="46"/>
        <v/>
      </c>
      <c r="DR6" s="40" t="str">
        <f t="shared" si="47"/>
        <v/>
      </c>
      <c r="DS6" s="40" t="str">
        <f t="shared" si="48"/>
        <v/>
      </c>
      <c r="DT6" s="40" t="str">
        <f t="shared" si="49"/>
        <v/>
      </c>
      <c r="DU6" s="40" t="str">
        <f t="shared" si="50"/>
        <v/>
      </c>
      <c r="DV6" s="40" t="str">
        <f t="shared" si="51"/>
        <v/>
      </c>
      <c r="DW6" s="40" t="str">
        <f t="shared" si="52"/>
        <v/>
      </c>
      <c r="DX6" s="40" t="str">
        <f t="shared" si="53"/>
        <v/>
      </c>
      <c r="DY6" s="40" t="str">
        <f t="shared" si="54"/>
        <v/>
      </c>
      <c r="DZ6" s="40" t="str">
        <f t="shared" si="55"/>
        <v/>
      </c>
      <c r="EA6" s="40" t="str">
        <f t="shared" si="56"/>
        <v/>
      </c>
      <c r="EB6" s="40" t="str">
        <f t="shared" si="57"/>
        <v/>
      </c>
      <c r="EC6" s="40" t="str">
        <f t="shared" si="58"/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 t="shared" si="59"/>
        <v/>
      </c>
      <c r="EY6" s="11" t="str">
        <f t="shared" si="60"/>
        <v/>
      </c>
      <c r="EZ6" s="11" t="str">
        <f t="shared" si="61"/>
        <v/>
      </c>
      <c r="FA6" s="11" t="str">
        <f t="shared" si="62"/>
        <v/>
      </c>
      <c r="FB6" s="11" t="str">
        <f t="shared" si="63"/>
        <v/>
      </c>
      <c r="FC6" s="11" t="str">
        <f t="shared" si="64"/>
        <v/>
      </c>
      <c r="FD6" s="11" t="str">
        <f t="shared" si="65"/>
        <v/>
      </c>
      <c r="FE6" s="11" t="str">
        <f t="shared" si="66"/>
        <v/>
      </c>
      <c r="FF6" s="11" t="str">
        <f t="shared" si="67"/>
        <v/>
      </c>
      <c r="FG6" s="11" t="str">
        <f t="shared" si="68"/>
        <v/>
      </c>
      <c r="FH6" s="11" t="str">
        <f t="shared" si="69"/>
        <v/>
      </c>
      <c r="FI6" s="11" t="str">
        <f t="shared" si="70"/>
        <v/>
      </c>
      <c r="FJ6" s="11" t="str">
        <f t="shared" si="71"/>
        <v/>
      </c>
      <c r="FK6" s="11" t="str">
        <f t="shared" si="72"/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0" t="str">
        <f t="shared" si="73"/>
        <v/>
      </c>
      <c r="GG6" s="40" t="str">
        <f t="shared" si="74"/>
        <v/>
      </c>
      <c r="GH6" s="40" t="str">
        <f t="shared" si="75"/>
        <v/>
      </c>
      <c r="GI6" s="40" t="str">
        <f t="shared" si="76"/>
        <v/>
      </c>
      <c r="GJ6" s="40" t="str">
        <f t="shared" si="77"/>
        <v/>
      </c>
      <c r="GK6" s="40" t="str">
        <f t="shared" si="78"/>
        <v/>
      </c>
      <c r="GL6" s="40" t="str">
        <f t="shared" si="79"/>
        <v/>
      </c>
      <c r="GM6" s="40" t="str">
        <f t="shared" si="80"/>
        <v/>
      </c>
      <c r="GN6" s="40" t="str">
        <f t="shared" si="81"/>
        <v/>
      </c>
      <c r="GO6" s="40" t="str">
        <f t="shared" si="82"/>
        <v/>
      </c>
      <c r="GP6" s="40" t="str">
        <f t="shared" si="83"/>
        <v/>
      </c>
      <c r="GQ6" s="40" t="str">
        <f t="shared" si="84"/>
        <v/>
      </c>
      <c r="GR6" s="40" t="str">
        <f t="shared" si="85"/>
        <v/>
      </c>
      <c r="GS6" s="40" t="str">
        <f t="shared" si="86"/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 t="shared" si="87"/>
        <v/>
      </c>
      <c r="HO6" s="11" t="str">
        <f t="shared" si="88"/>
        <v/>
      </c>
      <c r="HP6" s="11" t="str">
        <f t="shared" si="89"/>
        <v/>
      </c>
      <c r="HQ6" s="11" t="str">
        <f t="shared" si="90"/>
        <v/>
      </c>
      <c r="HR6" s="11" t="str">
        <f t="shared" si="91"/>
        <v/>
      </c>
      <c r="HS6" s="11" t="str">
        <f t="shared" si="92"/>
        <v/>
      </c>
      <c r="HT6" s="11" t="str">
        <f t="shared" si="93"/>
        <v/>
      </c>
      <c r="HU6" s="11" t="str">
        <f t="shared" si="94"/>
        <v/>
      </c>
      <c r="HV6" s="11" t="str">
        <f t="shared" si="95"/>
        <v/>
      </c>
      <c r="HW6" s="11" t="str">
        <f t="shared" si="96"/>
        <v/>
      </c>
      <c r="HX6" s="11" t="str">
        <f t="shared" si="97"/>
        <v/>
      </c>
      <c r="HY6" s="11" t="str">
        <f t="shared" si="98"/>
        <v/>
      </c>
      <c r="HZ6" s="11" t="str">
        <f t="shared" si="99"/>
        <v/>
      </c>
      <c r="IA6" s="11" t="str">
        <f t="shared" si="100"/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0" t="str">
        <f t="shared" si="101"/>
        <v/>
      </c>
      <c r="IW6" s="40" t="str">
        <f t="shared" si="102"/>
        <v/>
      </c>
      <c r="IX6" s="40" t="str">
        <f t="shared" si="103"/>
        <v/>
      </c>
      <c r="IY6" s="40" t="str">
        <f t="shared" si="104"/>
        <v/>
      </c>
      <c r="IZ6" s="40" t="str">
        <f t="shared" si="105"/>
        <v/>
      </c>
      <c r="JA6" s="40" t="str">
        <f t="shared" si="106"/>
        <v/>
      </c>
      <c r="JB6" s="40" t="str">
        <f t="shared" si="107"/>
        <v/>
      </c>
      <c r="JC6" s="40" t="str">
        <f t="shared" si="108"/>
        <v/>
      </c>
      <c r="JD6" s="40" t="str">
        <f t="shared" si="109"/>
        <v/>
      </c>
      <c r="JE6" s="40" t="str">
        <f t="shared" si="110"/>
        <v/>
      </c>
      <c r="JF6" s="40" t="str">
        <f t="shared" si="111"/>
        <v/>
      </c>
      <c r="JG6" s="40" t="str">
        <f t="shared" si="112"/>
        <v/>
      </c>
      <c r="JH6" s="40" t="str">
        <f t="shared" si="113"/>
        <v/>
      </c>
      <c r="JI6" s="40" t="str">
        <f t="shared" si="114"/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 t="shared" si="115"/>
        <v/>
      </c>
      <c r="KE6" s="11" t="str">
        <f t="shared" si="116"/>
        <v/>
      </c>
      <c r="KF6" s="11" t="str">
        <f t="shared" si="117"/>
        <v/>
      </c>
      <c r="KG6" s="11" t="str">
        <f t="shared" si="118"/>
        <v/>
      </c>
      <c r="KH6" s="11" t="str">
        <f t="shared" si="119"/>
        <v/>
      </c>
      <c r="KI6" s="11" t="str">
        <f t="shared" si="120"/>
        <v/>
      </c>
      <c r="KJ6" s="11" t="str">
        <f t="shared" si="121"/>
        <v/>
      </c>
      <c r="KK6" s="11" t="str">
        <f t="shared" si="122"/>
        <v/>
      </c>
      <c r="KL6" s="11" t="str">
        <f t="shared" si="123"/>
        <v/>
      </c>
      <c r="KM6" s="11" t="str">
        <f t="shared" si="124"/>
        <v/>
      </c>
      <c r="KN6" s="11" t="str">
        <f t="shared" si="125"/>
        <v/>
      </c>
      <c r="KO6" s="11" t="str">
        <f t="shared" si="126"/>
        <v/>
      </c>
      <c r="KP6" s="11" t="str">
        <f t="shared" si="127"/>
        <v/>
      </c>
      <c r="KQ6" s="11" t="str">
        <f t="shared" si="128"/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0" t="str">
        <f t="shared" si="129"/>
        <v/>
      </c>
      <c r="LM6" s="40" t="str">
        <f t="shared" si="130"/>
        <v/>
      </c>
      <c r="LN6" s="40" t="str">
        <f t="shared" si="131"/>
        <v/>
      </c>
      <c r="LO6" s="40" t="str">
        <f t="shared" si="132"/>
        <v/>
      </c>
      <c r="LP6" s="40" t="str">
        <f t="shared" si="133"/>
        <v/>
      </c>
      <c r="LQ6" s="40" t="str">
        <f t="shared" si="134"/>
        <v/>
      </c>
      <c r="LR6" s="40" t="str">
        <f t="shared" si="135"/>
        <v/>
      </c>
      <c r="LS6" s="40" t="str">
        <f t="shared" si="136"/>
        <v/>
      </c>
      <c r="LT6" s="40" t="str">
        <f t="shared" si="137"/>
        <v/>
      </c>
      <c r="LU6" s="40" t="str">
        <f t="shared" si="138"/>
        <v/>
      </c>
      <c r="LV6" s="40" t="str">
        <f t="shared" si="139"/>
        <v/>
      </c>
      <c r="LW6" s="40" t="str">
        <f t="shared" si="140"/>
        <v/>
      </c>
      <c r="LX6" s="40" t="str">
        <f t="shared" si="141"/>
        <v/>
      </c>
      <c r="LY6" s="40" t="str">
        <f t="shared" si="142"/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 t="shared" si="143"/>
        <v/>
      </c>
      <c r="MU6" s="11" t="str">
        <f t="shared" si="144"/>
        <v/>
      </c>
      <c r="MV6" s="11" t="str">
        <f t="shared" si="145"/>
        <v/>
      </c>
      <c r="MW6" s="11" t="str">
        <f t="shared" si="146"/>
        <v/>
      </c>
      <c r="MX6" s="11" t="str">
        <f t="shared" si="147"/>
        <v/>
      </c>
      <c r="MY6" s="11" t="str">
        <f t="shared" si="148"/>
        <v/>
      </c>
      <c r="MZ6" s="11" t="str">
        <f t="shared" si="149"/>
        <v/>
      </c>
      <c r="NA6" s="11" t="str">
        <f t="shared" si="150"/>
        <v/>
      </c>
      <c r="NB6" s="11" t="str">
        <f t="shared" si="151"/>
        <v/>
      </c>
      <c r="NC6" s="11" t="str">
        <f t="shared" si="152"/>
        <v/>
      </c>
      <c r="ND6" s="11" t="str">
        <f t="shared" si="153"/>
        <v/>
      </c>
      <c r="NE6" s="11" t="str">
        <f t="shared" si="154"/>
        <v/>
      </c>
      <c r="NF6" s="11" t="str">
        <f t="shared" si="155"/>
        <v/>
      </c>
      <c r="NG6" s="11" t="str">
        <f t="shared" si="156"/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0" t="str">
        <f t="shared" si="157"/>
        <v/>
      </c>
      <c r="OC6" s="40" t="str">
        <f t="shared" si="158"/>
        <v/>
      </c>
      <c r="OD6" s="40" t="str">
        <f t="shared" si="159"/>
        <v/>
      </c>
      <c r="OE6" s="40" t="str">
        <f t="shared" si="160"/>
        <v/>
      </c>
      <c r="OF6" s="40" t="str">
        <f t="shared" si="161"/>
        <v/>
      </c>
      <c r="OG6" s="40" t="str">
        <f t="shared" si="162"/>
        <v/>
      </c>
      <c r="OH6" s="40" t="str">
        <f t="shared" si="163"/>
        <v/>
      </c>
      <c r="OI6" s="40" t="str">
        <f t="shared" si="164"/>
        <v/>
      </c>
      <c r="OJ6" s="40" t="str">
        <f t="shared" si="165"/>
        <v/>
      </c>
      <c r="OK6" s="40" t="str">
        <f t="shared" si="166"/>
        <v/>
      </c>
      <c r="OL6" s="40" t="str">
        <f t="shared" si="167"/>
        <v/>
      </c>
      <c r="OM6" s="40" t="str">
        <f t="shared" si="168"/>
        <v/>
      </c>
      <c r="ON6" s="40" t="str">
        <f t="shared" si="169"/>
        <v/>
      </c>
      <c r="OO6" s="40" t="str">
        <f t="shared" si="170"/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 t="shared" si="171"/>
        <v/>
      </c>
      <c r="PK6" s="11" t="str">
        <f t="shared" si="172"/>
        <v/>
      </c>
      <c r="PL6" s="11" t="str">
        <f t="shared" si="173"/>
        <v/>
      </c>
      <c r="PM6" s="11" t="str">
        <f t="shared" si="174"/>
        <v/>
      </c>
      <c r="PN6" s="11" t="str">
        <f t="shared" si="175"/>
        <v/>
      </c>
      <c r="PO6" s="11" t="str">
        <f t="shared" si="176"/>
        <v/>
      </c>
      <c r="PP6" s="11" t="str">
        <f t="shared" si="177"/>
        <v/>
      </c>
      <c r="PQ6" s="11" t="str">
        <f t="shared" si="178"/>
        <v/>
      </c>
      <c r="PR6" s="11" t="str">
        <f t="shared" si="179"/>
        <v/>
      </c>
      <c r="PS6" s="11" t="str">
        <f t="shared" si="180"/>
        <v/>
      </c>
      <c r="PT6" s="11" t="str">
        <f t="shared" si="181"/>
        <v/>
      </c>
      <c r="PU6" s="11" t="str">
        <f t="shared" si="182"/>
        <v/>
      </c>
      <c r="PV6" s="11" t="str">
        <f t="shared" si="183"/>
        <v/>
      </c>
      <c r="PW6" s="11" t="str">
        <f t="shared" si="184"/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0" t="str">
        <f t="shared" si="185"/>
        <v/>
      </c>
      <c r="QS6" s="40" t="str">
        <f t="shared" si="186"/>
        <v/>
      </c>
      <c r="QT6" s="40" t="str">
        <f t="shared" si="187"/>
        <v/>
      </c>
      <c r="QU6" s="40" t="str">
        <f t="shared" si="188"/>
        <v/>
      </c>
      <c r="QV6" s="40" t="str">
        <f t="shared" si="189"/>
        <v/>
      </c>
      <c r="QW6" s="40" t="str">
        <f t="shared" si="190"/>
        <v/>
      </c>
      <c r="QX6" s="40" t="str">
        <f t="shared" si="191"/>
        <v/>
      </c>
      <c r="QY6" s="40" t="str">
        <f t="shared" si="192"/>
        <v/>
      </c>
      <c r="QZ6" s="40" t="str">
        <f t="shared" si="193"/>
        <v/>
      </c>
      <c r="RA6" s="40" t="str">
        <f t="shared" si="194"/>
        <v/>
      </c>
      <c r="RB6" s="40" t="str">
        <f t="shared" si="195"/>
        <v/>
      </c>
      <c r="RC6" s="40" t="str">
        <f t="shared" si="196"/>
        <v/>
      </c>
      <c r="RD6" s="40" t="str">
        <f t="shared" si="197"/>
        <v/>
      </c>
      <c r="RE6" s="40" t="str">
        <f t="shared" si="198"/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 t="shared" si="199"/>
        <v/>
      </c>
      <c r="SA6" s="11" t="str">
        <f t="shared" si="200"/>
        <v/>
      </c>
      <c r="SB6" s="11" t="str">
        <f t="shared" si="201"/>
        <v/>
      </c>
      <c r="SC6" s="11" t="str">
        <f t="shared" si="202"/>
        <v/>
      </c>
      <c r="SD6" s="11" t="str">
        <f t="shared" si="203"/>
        <v/>
      </c>
      <c r="SE6" s="11" t="str">
        <f t="shared" si="204"/>
        <v/>
      </c>
      <c r="SF6" s="11" t="str">
        <f t="shared" si="205"/>
        <v/>
      </c>
      <c r="SG6" s="11" t="str">
        <f t="shared" si="206"/>
        <v/>
      </c>
      <c r="SH6" s="11" t="str">
        <f t="shared" si="207"/>
        <v/>
      </c>
      <c r="SI6" s="11" t="str">
        <f t="shared" si="208"/>
        <v/>
      </c>
      <c r="SJ6" s="11" t="str">
        <f t="shared" si="209"/>
        <v/>
      </c>
      <c r="SK6" s="11" t="str">
        <f t="shared" si="210"/>
        <v/>
      </c>
      <c r="SL6" s="11" t="str">
        <f t="shared" si="211"/>
        <v/>
      </c>
      <c r="SM6" s="11" t="str">
        <f t="shared" si="212"/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0" t="str">
        <f t="shared" si="213"/>
        <v/>
      </c>
      <c r="TI6" s="40" t="str">
        <f t="shared" si="214"/>
        <v/>
      </c>
      <c r="TJ6" s="40" t="str">
        <f t="shared" si="215"/>
        <v/>
      </c>
      <c r="TK6" s="40" t="str">
        <f t="shared" si="216"/>
        <v/>
      </c>
      <c r="TL6" s="40" t="str">
        <f t="shared" si="217"/>
        <v/>
      </c>
      <c r="TM6" s="40" t="str">
        <f t="shared" si="218"/>
        <v/>
      </c>
      <c r="TN6" s="40" t="str">
        <f t="shared" si="219"/>
        <v/>
      </c>
      <c r="TO6" s="40" t="str">
        <f t="shared" si="220"/>
        <v/>
      </c>
      <c r="TP6" s="40" t="str">
        <f t="shared" si="221"/>
        <v/>
      </c>
      <c r="TQ6" s="40" t="str">
        <f t="shared" si="222"/>
        <v/>
      </c>
      <c r="TR6" s="40" t="str">
        <f t="shared" si="223"/>
        <v/>
      </c>
      <c r="TS6" s="40" t="str">
        <f t="shared" si="224"/>
        <v/>
      </c>
      <c r="TT6" s="40" t="str">
        <f t="shared" si="225"/>
        <v/>
      </c>
      <c r="TU6" s="40" t="str">
        <f t="shared" si="226"/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 t="shared" si="227"/>
        <v/>
      </c>
      <c r="UQ6" s="11" t="str">
        <f t="shared" si="228"/>
        <v/>
      </c>
      <c r="UR6" s="11" t="str">
        <f t="shared" si="229"/>
        <v/>
      </c>
      <c r="US6" s="11" t="str">
        <f t="shared" si="230"/>
        <v/>
      </c>
      <c r="UT6" s="11" t="str">
        <f t="shared" si="231"/>
        <v/>
      </c>
      <c r="UU6" s="11" t="str">
        <f t="shared" si="232"/>
        <v/>
      </c>
      <c r="UV6" s="11" t="str">
        <f t="shared" si="233"/>
        <v/>
      </c>
      <c r="UW6" s="11" t="str">
        <f t="shared" si="234"/>
        <v/>
      </c>
      <c r="UX6" s="11" t="str">
        <f t="shared" si="235"/>
        <v/>
      </c>
      <c r="UY6" s="11" t="str">
        <f t="shared" si="236"/>
        <v/>
      </c>
      <c r="UZ6" s="11" t="str">
        <f t="shared" si="237"/>
        <v/>
      </c>
      <c r="VA6" s="11" t="str">
        <f t="shared" si="238"/>
        <v/>
      </c>
      <c r="VB6" s="11" t="str">
        <f t="shared" si="239"/>
        <v/>
      </c>
      <c r="VC6" s="11" t="str">
        <f t="shared" si="240"/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0" t="str">
        <f t="shared" si="241"/>
        <v/>
      </c>
      <c r="VY6" s="40" t="str">
        <f t="shared" si="242"/>
        <v/>
      </c>
      <c r="VZ6" s="40" t="str">
        <f t="shared" si="243"/>
        <v/>
      </c>
      <c r="WA6" s="40" t="str">
        <f t="shared" si="244"/>
        <v/>
      </c>
      <c r="WB6" s="40" t="str">
        <f t="shared" si="245"/>
        <v/>
      </c>
      <c r="WC6" s="40" t="str">
        <f t="shared" si="246"/>
        <v/>
      </c>
      <c r="WD6" s="40" t="str">
        <f t="shared" si="247"/>
        <v/>
      </c>
      <c r="WE6" s="40" t="str">
        <f t="shared" si="248"/>
        <v/>
      </c>
      <c r="WF6" s="40" t="str">
        <f t="shared" si="249"/>
        <v/>
      </c>
      <c r="WG6" s="40" t="str">
        <f t="shared" si="250"/>
        <v/>
      </c>
      <c r="WH6" s="40" t="str">
        <f t="shared" si="251"/>
        <v/>
      </c>
      <c r="WI6" s="40" t="str">
        <f t="shared" si="252"/>
        <v/>
      </c>
      <c r="WJ6" s="40" t="str">
        <f t="shared" si="253"/>
        <v/>
      </c>
      <c r="WK6" s="40" t="str">
        <f t="shared" si="254"/>
        <v/>
      </c>
      <c r="WL6" s="26">
        <f t="shared" si="255"/>
        <v>1.25</v>
      </c>
      <c r="WM6" s="26">
        <f t="shared" si="256"/>
        <v>1.4</v>
      </c>
      <c r="WN6" s="26">
        <f t="shared" si="257"/>
        <v>1.75</v>
      </c>
      <c r="WO6" s="26">
        <f t="shared" si="258"/>
        <v>2.85</v>
      </c>
      <c r="WP6" s="26">
        <f t="shared" si="259"/>
        <v>0</v>
      </c>
      <c r="WQ6" s="26">
        <f t="shared" si="260"/>
        <v>3.9750000000000001</v>
      </c>
      <c r="WR6" s="26">
        <f t="shared" si="261"/>
        <v>4.5999999999999996</v>
      </c>
      <c r="WS6" s="26">
        <f t="shared" si="262"/>
        <v>5.55</v>
      </c>
      <c r="WT6" s="26">
        <f t="shared" si="263"/>
        <v>9.33</v>
      </c>
      <c r="WU6" s="26">
        <f t="shared" si="264"/>
        <v>0</v>
      </c>
      <c r="WV6" s="26">
        <f t="shared" si="265"/>
        <v>3.2749999999999999</v>
      </c>
      <c r="WW6" s="26">
        <f t="shared" si="266"/>
        <v>4.5750000000000002</v>
      </c>
      <c r="WX6" s="26">
        <f t="shared" si="267"/>
        <v>5.55</v>
      </c>
      <c r="WY6" s="26">
        <f t="shared" si="268"/>
        <v>6.46</v>
      </c>
      <c r="WZ6" s="26">
        <f t="shared" si="269"/>
        <v>0</v>
      </c>
      <c r="XA6" s="28" t="s">
        <v>53</v>
      </c>
      <c r="XB6" s="11">
        <f t="shared" si="270"/>
        <v>1.75</v>
      </c>
      <c r="XC6" s="11">
        <f t="shared" si="271"/>
        <v>2.85</v>
      </c>
      <c r="XD6" s="11">
        <f t="shared" si="272"/>
        <v>7.25</v>
      </c>
      <c r="XE6" s="11">
        <f t="shared" si="273"/>
        <v>5.55</v>
      </c>
      <c r="XF6" s="11">
        <f t="shared" si="274"/>
        <v>9.33</v>
      </c>
      <c r="XG6" s="11">
        <f t="shared" si="275"/>
        <v>23.454999999999998</v>
      </c>
      <c r="XH6" s="11">
        <f t="shared" si="276"/>
        <v>23.454999999999998</v>
      </c>
      <c r="XI6" s="11">
        <f t="shared" si="277"/>
        <v>5.55</v>
      </c>
      <c r="XJ6" s="11">
        <f t="shared" si="278"/>
        <v>6.46</v>
      </c>
      <c r="XK6" s="11">
        <f t="shared" si="279"/>
        <v>19.86</v>
      </c>
      <c r="XL6" s="11">
        <f t="shared" si="280"/>
        <v>43.314999999999998</v>
      </c>
    </row>
    <row r="7" spans="1:636" x14ac:dyDescent="0.2">
      <c r="A7" s="4" cm="1">
        <f t="array" ref="A7">IF(AND(H7&lt;&gt;"",H7&lt;&gt;"No DD"),SUMPRODUCT((H$4:H$16&lt;&gt;"")*(H$4:H$16&lt;&gt;"No DD")*(E$4:E$16&gt;E7))+1,IF(H7="No DD",SUMPRODUCT((H$4:H$16="No DD")*(E$4:E$16&gt;E7))+1+SUMPRODUCT((H$4:H$16&lt;&gt;"")*(H$4:H$16&lt;&gt;"No DD")),""))</f>
        <v>4</v>
      </c>
      <c r="B7" s="5" t="s">
        <v>170</v>
      </c>
      <c r="C7" s="4" t="s">
        <v>125</v>
      </c>
      <c r="D7" s="4" t="s">
        <v>169</v>
      </c>
      <c r="E7" s="9">
        <f t="shared" si="0"/>
        <v>47.56</v>
      </c>
      <c r="F7" s="3" t="str">
        <f t="shared" si="1"/>
        <v>P</v>
      </c>
      <c r="G7" s="3" t="str">
        <f t="shared" si="2"/>
        <v>P</v>
      </c>
      <c r="H7" s="36" t="str">
        <f t="shared" si="3"/>
        <v>Excellence</v>
      </c>
      <c r="I7" s="3" t="str">
        <f t="shared" si="4"/>
        <v>P</v>
      </c>
      <c r="J7" s="8">
        <f>IF(COUNT(AI7,AL7,AP7,BJ7,BM7,BQ7,CK7,CN7,CR7)&gt;0,LARGE((AI7,AL7,AP7,BJ7,BM7,BQ7,CK7,CN7,CR7),1),0)</f>
        <v>0</v>
      </c>
      <c r="K7" s="8" t="str">
        <f t="shared" si="5"/>
        <v/>
      </c>
      <c r="L7" s="8">
        <f>IF(COUNT(AI7,AL7,AP7,BJ7,BM7,BQ7,CK7,CN7,CR7)&gt;1,LARGE((AI7,AL7,AP7,BJ7,BM7,BQ7,CK7,CN7,CR7),2),0)</f>
        <v>0</v>
      </c>
      <c r="M7" s="8" t="str">
        <f t="shared" si="6"/>
        <v/>
      </c>
      <c r="N7" s="8">
        <f t="shared" si="7"/>
        <v>47.56</v>
      </c>
      <c r="O7" s="11" t="str">
        <f t="shared" si="8"/>
        <v>(Prelim)</v>
      </c>
      <c r="P7" s="8" t="str">
        <f t="shared" si="9"/>
        <v>2024 World Cup GER (Mar 24)</v>
      </c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7"/>
      <c r="AG7" s="38" t="str">
        <f t="shared" si="10"/>
        <v/>
      </c>
      <c r="AH7" s="38" t="str">
        <f t="shared" si="11"/>
        <v/>
      </c>
      <c r="AI7" s="40" t="str">
        <f t="shared" si="12"/>
        <v/>
      </c>
      <c r="AJ7" s="40" t="str">
        <f t="shared" si="13"/>
        <v/>
      </c>
      <c r="AK7" s="40" t="str">
        <f t="shared" si="14"/>
        <v/>
      </c>
      <c r="AL7" s="40" t="str">
        <f t="shared" si="15"/>
        <v/>
      </c>
      <c r="AM7" s="40" t="str">
        <f t="shared" si="16"/>
        <v/>
      </c>
      <c r="AN7" s="40" t="str">
        <f t="shared" si="17"/>
        <v/>
      </c>
      <c r="AO7" s="40" t="str">
        <f t="shared" si="18"/>
        <v/>
      </c>
      <c r="AP7" s="40" t="str">
        <f t="shared" si="19"/>
        <v/>
      </c>
      <c r="AQ7" s="40" t="str">
        <f t="shared" si="20"/>
        <v/>
      </c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8"/>
      <c r="BH7" s="39" t="str">
        <f t="shared" si="21"/>
        <v/>
      </c>
      <c r="BI7" s="39" t="str">
        <f t="shared" si="22"/>
        <v/>
      </c>
      <c r="BJ7" s="11" t="str">
        <f t="shared" si="23"/>
        <v/>
      </c>
      <c r="BK7" s="11" t="str">
        <f t="shared" si="24"/>
        <v/>
      </c>
      <c r="BL7" s="11" t="str">
        <f t="shared" si="25"/>
        <v/>
      </c>
      <c r="BM7" s="11" t="str">
        <f t="shared" si="26"/>
        <v/>
      </c>
      <c r="BN7" s="11" t="str">
        <f t="shared" si="27"/>
        <v/>
      </c>
      <c r="BO7" s="11" t="str">
        <f t="shared" si="28"/>
        <v/>
      </c>
      <c r="BP7" s="11" t="str">
        <f t="shared" si="29"/>
        <v/>
      </c>
      <c r="BQ7" s="11" t="str">
        <f t="shared" si="30"/>
        <v/>
      </c>
      <c r="BR7" s="11" t="str">
        <f t="shared" si="31"/>
        <v/>
      </c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  <c r="CD7" s="22"/>
      <c r="CE7" s="22"/>
      <c r="CF7" s="22"/>
      <c r="CG7" s="22"/>
      <c r="CH7" s="27"/>
      <c r="CI7" s="38" t="str">
        <f t="shared" si="32"/>
        <v/>
      </c>
      <c r="CJ7" s="38" t="str">
        <f t="shared" si="33"/>
        <v/>
      </c>
      <c r="CK7" s="40" t="str">
        <f t="shared" si="34"/>
        <v/>
      </c>
      <c r="CL7" s="40" t="str">
        <f t="shared" si="35"/>
        <v/>
      </c>
      <c r="CM7" s="40" t="str">
        <f t="shared" si="36"/>
        <v/>
      </c>
      <c r="CN7" s="40" t="str">
        <f t="shared" si="37"/>
        <v/>
      </c>
      <c r="CO7" s="40" t="str">
        <f t="shared" si="38"/>
        <v/>
      </c>
      <c r="CP7" s="40" t="str">
        <f t="shared" si="39"/>
        <v/>
      </c>
      <c r="CQ7" s="40" t="str">
        <f t="shared" si="40"/>
        <v/>
      </c>
      <c r="CR7" s="40" t="str">
        <f t="shared" si="41"/>
        <v/>
      </c>
      <c r="CS7" s="40" t="str">
        <f t="shared" si="42"/>
        <v/>
      </c>
      <c r="CT7" s="51">
        <f t="shared" si="43"/>
        <v>47.56</v>
      </c>
      <c r="CU7" s="51">
        <f t="shared" si="44"/>
        <v>46.91</v>
      </c>
      <c r="CV7" s="17">
        <v>6.8</v>
      </c>
      <c r="CW7" s="17">
        <v>8.9</v>
      </c>
      <c r="CX7" s="17">
        <v>12.1</v>
      </c>
      <c r="CY7" s="17">
        <v>17.399999999999999</v>
      </c>
      <c r="CZ7" s="17">
        <v>0.4</v>
      </c>
      <c r="DA7" s="17">
        <v>7.2</v>
      </c>
      <c r="DB7" s="17">
        <v>9.0500000000000007</v>
      </c>
      <c r="DC7" s="17">
        <v>12.1</v>
      </c>
      <c r="DD7" s="17">
        <v>18.34</v>
      </c>
      <c r="DE7" s="17">
        <v>0</v>
      </c>
      <c r="DF7" s="17"/>
      <c r="DG7" s="17"/>
      <c r="DH7" s="17"/>
      <c r="DI7" s="17"/>
      <c r="DJ7" s="17"/>
      <c r="DK7" s="17">
        <v>7.35</v>
      </c>
      <c r="DL7" s="17">
        <v>9.4</v>
      </c>
      <c r="DM7" s="17">
        <v>12.1</v>
      </c>
      <c r="DN7" s="17">
        <v>18.059999999999999</v>
      </c>
      <c r="DO7" s="17">
        <v>0</v>
      </c>
      <c r="DP7" s="40">
        <f t="shared" si="45"/>
        <v>12.1</v>
      </c>
      <c r="DQ7" s="40">
        <f t="shared" si="46"/>
        <v>17.399999999999999</v>
      </c>
      <c r="DR7" s="40">
        <f t="shared" si="47"/>
        <v>44.8</v>
      </c>
      <c r="DS7" s="40">
        <f t="shared" si="48"/>
        <v>12.1</v>
      </c>
      <c r="DT7" s="40">
        <f t="shared" si="49"/>
        <v>18.34</v>
      </c>
      <c r="DU7" s="40">
        <f t="shared" si="50"/>
        <v>46.69</v>
      </c>
      <c r="DV7" s="40">
        <f t="shared" si="51"/>
        <v>46.69</v>
      </c>
      <c r="DW7" s="40" t="str">
        <f t="shared" si="52"/>
        <v/>
      </c>
      <c r="DX7" s="40" t="str">
        <f t="shared" si="53"/>
        <v/>
      </c>
      <c r="DY7" s="40" t="str">
        <f t="shared" si="54"/>
        <v/>
      </c>
      <c r="DZ7" s="40">
        <f t="shared" si="55"/>
        <v>12.1</v>
      </c>
      <c r="EA7" s="40">
        <f t="shared" si="56"/>
        <v>18.059999999999999</v>
      </c>
      <c r="EB7" s="40">
        <f t="shared" si="57"/>
        <v>46.91</v>
      </c>
      <c r="EC7" s="40">
        <f t="shared" si="58"/>
        <v>93.6</v>
      </c>
      <c r="ED7" s="18">
        <v>7.2</v>
      </c>
      <c r="EE7" s="18">
        <v>9.15</v>
      </c>
      <c r="EF7" s="18">
        <v>12.1</v>
      </c>
      <c r="EG7" s="18">
        <v>17.940000000000001</v>
      </c>
      <c r="EH7" s="18">
        <v>0</v>
      </c>
      <c r="EI7" s="18">
        <v>7.6</v>
      </c>
      <c r="EJ7" s="18">
        <v>9.4</v>
      </c>
      <c r="EK7" s="18">
        <v>12.1</v>
      </c>
      <c r="EL7" s="18">
        <v>18.46</v>
      </c>
      <c r="EM7" s="18">
        <v>0</v>
      </c>
      <c r="EN7" s="18"/>
      <c r="EO7" s="18"/>
      <c r="EP7" s="18"/>
      <c r="EQ7" s="18"/>
      <c r="ER7" s="18"/>
      <c r="ES7" s="18">
        <v>7.15</v>
      </c>
      <c r="ET7" s="18">
        <v>9.0500000000000007</v>
      </c>
      <c r="EU7" s="18">
        <v>12.1</v>
      </c>
      <c r="EV7" s="18">
        <v>17.48</v>
      </c>
      <c r="EW7" s="18">
        <v>0</v>
      </c>
      <c r="EX7" s="11">
        <f t="shared" si="59"/>
        <v>12.1</v>
      </c>
      <c r="EY7" s="11">
        <f t="shared" si="60"/>
        <v>17.940000000000001</v>
      </c>
      <c r="EZ7" s="11">
        <f t="shared" si="61"/>
        <v>46.39</v>
      </c>
      <c r="FA7" s="11">
        <f t="shared" si="62"/>
        <v>12.1</v>
      </c>
      <c r="FB7" s="11">
        <f t="shared" si="63"/>
        <v>18.46</v>
      </c>
      <c r="FC7" s="11">
        <f t="shared" si="64"/>
        <v>47.56</v>
      </c>
      <c r="FD7" s="11">
        <f t="shared" si="65"/>
        <v>47.56</v>
      </c>
      <c r="FE7" s="11" t="str">
        <f t="shared" si="66"/>
        <v/>
      </c>
      <c r="FF7" s="11" t="str">
        <f t="shared" si="67"/>
        <v/>
      </c>
      <c r="FG7" s="11" t="str">
        <f t="shared" si="68"/>
        <v/>
      </c>
      <c r="FH7" s="11">
        <f t="shared" si="69"/>
        <v>12.1</v>
      </c>
      <c r="FI7" s="11">
        <f t="shared" si="70"/>
        <v>17.48</v>
      </c>
      <c r="FJ7" s="11">
        <f t="shared" si="71"/>
        <v>45.78</v>
      </c>
      <c r="FK7" s="11">
        <f t="shared" si="72"/>
        <v>93.34</v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0" t="str">
        <f t="shared" si="73"/>
        <v/>
      </c>
      <c r="GG7" s="40" t="str">
        <f t="shared" si="74"/>
        <v/>
      </c>
      <c r="GH7" s="40" t="str">
        <f t="shared" si="75"/>
        <v/>
      </c>
      <c r="GI7" s="40" t="str">
        <f t="shared" si="76"/>
        <v/>
      </c>
      <c r="GJ7" s="40" t="str">
        <f t="shared" si="77"/>
        <v/>
      </c>
      <c r="GK7" s="40" t="str">
        <f t="shared" si="78"/>
        <v/>
      </c>
      <c r="GL7" s="40" t="str">
        <f t="shared" si="79"/>
        <v/>
      </c>
      <c r="GM7" s="40" t="str">
        <f t="shared" si="80"/>
        <v/>
      </c>
      <c r="GN7" s="40" t="str">
        <f t="shared" si="81"/>
        <v/>
      </c>
      <c r="GO7" s="40" t="str">
        <f t="shared" si="82"/>
        <v/>
      </c>
      <c r="GP7" s="40" t="str">
        <f t="shared" si="83"/>
        <v/>
      </c>
      <c r="GQ7" s="40" t="str">
        <f t="shared" si="84"/>
        <v/>
      </c>
      <c r="GR7" s="40" t="str">
        <f t="shared" si="85"/>
        <v/>
      </c>
      <c r="GS7" s="40" t="str">
        <f t="shared" si="86"/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 t="shared" si="87"/>
        <v/>
      </c>
      <c r="HO7" s="11" t="str">
        <f t="shared" si="88"/>
        <v/>
      </c>
      <c r="HP7" s="11" t="str">
        <f t="shared" si="89"/>
        <v/>
      </c>
      <c r="HQ7" s="11" t="str">
        <f t="shared" si="90"/>
        <v/>
      </c>
      <c r="HR7" s="11" t="str">
        <f t="shared" si="91"/>
        <v/>
      </c>
      <c r="HS7" s="11" t="str">
        <f t="shared" si="92"/>
        <v/>
      </c>
      <c r="HT7" s="11" t="str">
        <f t="shared" si="93"/>
        <v/>
      </c>
      <c r="HU7" s="11" t="str">
        <f t="shared" si="94"/>
        <v/>
      </c>
      <c r="HV7" s="11" t="str">
        <f t="shared" si="95"/>
        <v/>
      </c>
      <c r="HW7" s="11" t="str">
        <f t="shared" si="96"/>
        <v/>
      </c>
      <c r="HX7" s="11" t="str">
        <f t="shared" si="97"/>
        <v/>
      </c>
      <c r="HY7" s="11" t="str">
        <f t="shared" si="98"/>
        <v/>
      </c>
      <c r="HZ7" s="11" t="str">
        <f t="shared" si="99"/>
        <v/>
      </c>
      <c r="IA7" s="11" t="str">
        <f t="shared" si="100"/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0" t="str">
        <f t="shared" si="101"/>
        <v/>
      </c>
      <c r="IW7" s="40" t="str">
        <f t="shared" si="102"/>
        <v/>
      </c>
      <c r="IX7" s="40" t="str">
        <f t="shared" si="103"/>
        <v/>
      </c>
      <c r="IY7" s="40" t="str">
        <f t="shared" si="104"/>
        <v/>
      </c>
      <c r="IZ7" s="40" t="str">
        <f t="shared" si="105"/>
        <v/>
      </c>
      <c r="JA7" s="40" t="str">
        <f t="shared" si="106"/>
        <v/>
      </c>
      <c r="JB7" s="40" t="str">
        <f t="shared" si="107"/>
        <v/>
      </c>
      <c r="JC7" s="40" t="str">
        <f t="shared" si="108"/>
        <v/>
      </c>
      <c r="JD7" s="40" t="str">
        <f t="shared" si="109"/>
        <v/>
      </c>
      <c r="JE7" s="40" t="str">
        <f t="shared" si="110"/>
        <v/>
      </c>
      <c r="JF7" s="40" t="str">
        <f t="shared" si="111"/>
        <v/>
      </c>
      <c r="JG7" s="40" t="str">
        <f t="shared" si="112"/>
        <v/>
      </c>
      <c r="JH7" s="40" t="str">
        <f t="shared" si="113"/>
        <v/>
      </c>
      <c r="JI7" s="40" t="str">
        <f t="shared" si="114"/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 t="shared" si="115"/>
        <v/>
      </c>
      <c r="KE7" s="11" t="str">
        <f t="shared" si="116"/>
        <v/>
      </c>
      <c r="KF7" s="11" t="str">
        <f t="shared" si="117"/>
        <v/>
      </c>
      <c r="KG7" s="11" t="str">
        <f t="shared" si="118"/>
        <v/>
      </c>
      <c r="KH7" s="11" t="str">
        <f t="shared" si="119"/>
        <v/>
      </c>
      <c r="KI7" s="11" t="str">
        <f t="shared" si="120"/>
        <v/>
      </c>
      <c r="KJ7" s="11" t="str">
        <f t="shared" si="121"/>
        <v/>
      </c>
      <c r="KK7" s="11" t="str">
        <f t="shared" si="122"/>
        <v/>
      </c>
      <c r="KL7" s="11" t="str">
        <f t="shared" si="123"/>
        <v/>
      </c>
      <c r="KM7" s="11" t="str">
        <f t="shared" si="124"/>
        <v/>
      </c>
      <c r="KN7" s="11" t="str">
        <f t="shared" si="125"/>
        <v/>
      </c>
      <c r="KO7" s="11" t="str">
        <f t="shared" si="126"/>
        <v/>
      </c>
      <c r="KP7" s="11" t="str">
        <f t="shared" si="127"/>
        <v/>
      </c>
      <c r="KQ7" s="11" t="str">
        <f t="shared" si="128"/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0" t="str">
        <f t="shared" si="129"/>
        <v/>
      </c>
      <c r="LM7" s="40" t="str">
        <f t="shared" si="130"/>
        <v/>
      </c>
      <c r="LN7" s="40" t="str">
        <f t="shared" si="131"/>
        <v/>
      </c>
      <c r="LO7" s="40" t="str">
        <f t="shared" si="132"/>
        <v/>
      </c>
      <c r="LP7" s="40" t="str">
        <f t="shared" si="133"/>
        <v/>
      </c>
      <c r="LQ7" s="40" t="str">
        <f t="shared" si="134"/>
        <v/>
      </c>
      <c r="LR7" s="40" t="str">
        <f t="shared" si="135"/>
        <v/>
      </c>
      <c r="LS7" s="40" t="str">
        <f t="shared" si="136"/>
        <v/>
      </c>
      <c r="LT7" s="40" t="str">
        <f t="shared" si="137"/>
        <v/>
      </c>
      <c r="LU7" s="40" t="str">
        <f t="shared" si="138"/>
        <v/>
      </c>
      <c r="LV7" s="40" t="str">
        <f t="shared" si="139"/>
        <v/>
      </c>
      <c r="LW7" s="40" t="str">
        <f t="shared" si="140"/>
        <v/>
      </c>
      <c r="LX7" s="40" t="str">
        <f t="shared" si="141"/>
        <v/>
      </c>
      <c r="LY7" s="40" t="str">
        <f t="shared" si="142"/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 t="shared" si="143"/>
        <v/>
      </c>
      <c r="MU7" s="11" t="str">
        <f t="shared" si="144"/>
        <v/>
      </c>
      <c r="MV7" s="11" t="str">
        <f t="shared" si="145"/>
        <v/>
      </c>
      <c r="MW7" s="11" t="str">
        <f t="shared" si="146"/>
        <v/>
      </c>
      <c r="MX7" s="11" t="str">
        <f t="shared" si="147"/>
        <v/>
      </c>
      <c r="MY7" s="11" t="str">
        <f t="shared" si="148"/>
        <v/>
      </c>
      <c r="MZ7" s="11" t="str">
        <f t="shared" si="149"/>
        <v/>
      </c>
      <c r="NA7" s="11" t="str">
        <f t="shared" si="150"/>
        <v/>
      </c>
      <c r="NB7" s="11" t="str">
        <f t="shared" si="151"/>
        <v/>
      </c>
      <c r="NC7" s="11" t="str">
        <f t="shared" si="152"/>
        <v/>
      </c>
      <c r="ND7" s="11" t="str">
        <f t="shared" si="153"/>
        <v/>
      </c>
      <c r="NE7" s="11" t="str">
        <f t="shared" si="154"/>
        <v/>
      </c>
      <c r="NF7" s="11" t="str">
        <f t="shared" si="155"/>
        <v/>
      </c>
      <c r="NG7" s="11" t="str">
        <f t="shared" si="156"/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0" t="str">
        <f t="shared" si="157"/>
        <v/>
      </c>
      <c r="OC7" s="40" t="str">
        <f t="shared" si="158"/>
        <v/>
      </c>
      <c r="OD7" s="40" t="str">
        <f t="shared" si="159"/>
        <v/>
      </c>
      <c r="OE7" s="40" t="str">
        <f t="shared" si="160"/>
        <v/>
      </c>
      <c r="OF7" s="40" t="str">
        <f t="shared" si="161"/>
        <v/>
      </c>
      <c r="OG7" s="40" t="str">
        <f t="shared" si="162"/>
        <v/>
      </c>
      <c r="OH7" s="40" t="str">
        <f t="shared" si="163"/>
        <v/>
      </c>
      <c r="OI7" s="40" t="str">
        <f t="shared" si="164"/>
        <v/>
      </c>
      <c r="OJ7" s="40" t="str">
        <f t="shared" si="165"/>
        <v/>
      </c>
      <c r="OK7" s="40" t="str">
        <f t="shared" si="166"/>
        <v/>
      </c>
      <c r="OL7" s="40" t="str">
        <f t="shared" si="167"/>
        <v/>
      </c>
      <c r="OM7" s="40" t="str">
        <f t="shared" si="168"/>
        <v/>
      </c>
      <c r="ON7" s="40" t="str">
        <f t="shared" si="169"/>
        <v/>
      </c>
      <c r="OO7" s="40" t="str">
        <f t="shared" si="170"/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 t="shared" si="171"/>
        <v/>
      </c>
      <c r="PK7" s="11" t="str">
        <f t="shared" si="172"/>
        <v/>
      </c>
      <c r="PL7" s="11" t="str">
        <f t="shared" si="173"/>
        <v/>
      </c>
      <c r="PM7" s="11" t="str">
        <f t="shared" si="174"/>
        <v/>
      </c>
      <c r="PN7" s="11" t="str">
        <f t="shared" si="175"/>
        <v/>
      </c>
      <c r="PO7" s="11" t="str">
        <f t="shared" si="176"/>
        <v/>
      </c>
      <c r="PP7" s="11" t="str">
        <f t="shared" si="177"/>
        <v/>
      </c>
      <c r="PQ7" s="11" t="str">
        <f t="shared" si="178"/>
        <v/>
      </c>
      <c r="PR7" s="11" t="str">
        <f t="shared" si="179"/>
        <v/>
      </c>
      <c r="PS7" s="11" t="str">
        <f t="shared" si="180"/>
        <v/>
      </c>
      <c r="PT7" s="11" t="str">
        <f t="shared" si="181"/>
        <v/>
      </c>
      <c r="PU7" s="11" t="str">
        <f t="shared" si="182"/>
        <v/>
      </c>
      <c r="PV7" s="11" t="str">
        <f t="shared" si="183"/>
        <v/>
      </c>
      <c r="PW7" s="11" t="str">
        <f t="shared" si="184"/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0" t="str">
        <f t="shared" si="185"/>
        <v/>
      </c>
      <c r="QS7" s="40" t="str">
        <f t="shared" si="186"/>
        <v/>
      </c>
      <c r="QT7" s="40" t="str">
        <f t="shared" si="187"/>
        <v/>
      </c>
      <c r="QU7" s="40" t="str">
        <f t="shared" si="188"/>
        <v/>
      </c>
      <c r="QV7" s="40" t="str">
        <f t="shared" si="189"/>
        <v/>
      </c>
      <c r="QW7" s="40" t="str">
        <f t="shared" si="190"/>
        <v/>
      </c>
      <c r="QX7" s="40" t="str">
        <f t="shared" si="191"/>
        <v/>
      </c>
      <c r="QY7" s="40" t="str">
        <f t="shared" si="192"/>
        <v/>
      </c>
      <c r="QZ7" s="40" t="str">
        <f t="shared" si="193"/>
        <v/>
      </c>
      <c r="RA7" s="40" t="str">
        <f t="shared" si="194"/>
        <v/>
      </c>
      <c r="RB7" s="40" t="str">
        <f t="shared" si="195"/>
        <v/>
      </c>
      <c r="RC7" s="40" t="str">
        <f t="shared" si="196"/>
        <v/>
      </c>
      <c r="RD7" s="40" t="str">
        <f t="shared" si="197"/>
        <v/>
      </c>
      <c r="RE7" s="40" t="str">
        <f t="shared" si="198"/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 t="shared" si="199"/>
        <v/>
      </c>
      <c r="SA7" s="11" t="str">
        <f t="shared" si="200"/>
        <v/>
      </c>
      <c r="SB7" s="11" t="str">
        <f t="shared" si="201"/>
        <v/>
      </c>
      <c r="SC7" s="11" t="str">
        <f t="shared" si="202"/>
        <v/>
      </c>
      <c r="SD7" s="11" t="str">
        <f t="shared" si="203"/>
        <v/>
      </c>
      <c r="SE7" s="11" t="str">
        <f t="shared" si="204"/>
        <v/>
      </c>
      <c r="SF7" s="11" t="str">
        <f t="shared" si="205"/>
        <v/>
      </c>
      <c r="SG7" s="11" t="str">
        <f t="shared" si="206"/>
        <v/>
      </c>
      <c r="SH7" s="11" t="str">
        <f t="shared" si="207"/>
        <v/>
      </c>
      <c r="SI7" s="11" t="str">
        <f t="shared" si="208"/>
        <v/>
      </c>
      <c r="SJ7" s="11" t="str">
        <f t="shared" si="209"/>
        <v/>
      </c>
      <c r="SK7" s="11" t="str">
        <f t="shared" si="210"/>
        <v/>
      </c>
      <c r="SL7" s="11" t="str">
        <f t="shared" si="211"/>
        <v/>
      </c>
      <c r="SM7" s="11" t="str">
        <f t="shared" si="212"/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0" t="str">
        <f t="shared" si="213"/>
        <v/>
      </c>
      <c r="TI7" s="40" t="str">
        <f t="shared" si="214"/>
        <v/>
      </c>
      <c r="TJ7" s="40" t="str">
        <f t="shared" si="215"/>
        <v/>
      </c>
      <c r="TK7" s="40" t="str">
        <f t="shared" si="216"/>
        <v/>
      </c>
      <c r="TL7" s="40" t="str">
        <f t="shared" si="217"/>
        <v/>
      </c>
      <c r="TM7" s="40" t="str">
        <f t="shared" si="218"/>
        <v/>
      </c>
      <c r="TN7" s="40" t="str">
        <f t="shared" si="219"/>
        <v/>
      </c>
      <c r="TO7" s="40" t="str">
        <f t="shared" si="220"/>
        <v/>
      </c>
      <c r="TP7" s="40" t="str">
        <f t="shared" si="221"/>
        <v/>
      </c>
      <c r="TQ7" s="40" t="str">
        <f t="shared" si="222"/>
        <v/>
      </c>
      <c r="TR7" s="40" t="str">
        <f t="shared" si="223"/>
        <v/>
      </c>
      <c r="TS7" s="40" t="str">
        <f t="shared" si="224"/>
        <v/>
      </c>
      <c r="TT7" s="40" t="str">
        <f t="shared" si="225"/>
        <v/>
      </c>
      <c r="TU7" s="40" t="str">
        <f t="shared" si="226"/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 t="shared" si="227"/>
        <v/>
      </c>
      <c r="UQ7" s="11" t="str">
        <f t="shared" si="228"/>
        <v/>
      </c>
      <c r="UR7" s="11" t="str">
        <f t="shared" si="229"/>
        <v/>
      </c>
      <c r="US7" s="11" t="str">
        <f t="shared" si="230"/>
        <v/>
      </c>
      <c r="UT7" s="11" t="str">
        <f t="shared" si="231"/>
        <v/>
      </c>
      <c r="UU7" s="11" t="str">
        <f t="shared" si="232"/>
        <v/>
      </c>
      <c r="UV7" s="11" t="str">
        <f t="shared" si="233"/>
        <v/>
      </c>
      <c r="UW7" s="11" t="str">
        <f t="shared" si="234"/>
        <v/>
      </c>
      <c r="UX7" s="11" t="str">
        <f t="shared" si="235"/>
        <v/>
      </c>
      <c r="UY7" s="11" t="str">
        <f t="shared" si="236"/>
        <v/>
      </c>
      <c r="UZ7" s="11" t="str">
        <f t="shared" si="237"/>
        <v/>
      </c>
      <c r="VA7" s="11" t="str">
        <f t="shared" si="238"/>
        <v/>
      </c>
      <c r="VB7" s="11" t="str">
        <f t="shared" si="239"/>
        <v/>
      </c>
      <c r="VC7" s="11" t="str">
        <f t="shared" si="240"/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0" t="str">
        <f t="shared" si="241"/>
        <v/>
      </c>
      <c r="VY7" s="40" t="str">
        <f t="shared" si="242"/>
        <v/>
      </c>
      <c r="VZ7" s="40" t="str">
        <f t="shared" si="243"/>
        <v/>
      </c>
      <c r="WA7" s="40" t="str">
        <f t="shared" si="244"/>
        <v/>
      </c>
      <c r="WB7" s="40" t="str">
        <f t="shared" si="245"/>
        <v/>
      </c>
      <c r="WC7" s="40" t="str">
        <f t="shared" si="246"/>
        <v/>
      </c>
      <c r="WD7" s="40" t="str">
        <f t="shared" si="247"/>
        <v/>
      </c>
      <c r="WE7" s="40" t="str">
        <f t="shared" si="248"/>
        <v/>
      </c>
      <c r="WF7" s="40" t="str">
        <f t="shared" si="249"/>
        <v/>
      </c>
      <c r="WG7" s="40" t="str">
        <f t="shared" si="250"/>
        <v/>
      </c>
      <c r="WH7" s="40" t="str">
        <f t="shared" si="251"/>
        <v/>
      </c>
      <c r="WI7" s="40" t="str">
        <f t="shared" si="252"/>
        <v/>
      </c>
      <c r="WJ7" s="40" t="str">
        <f t="shared" si="253"/>
        <v/>
      </c>
      <c r="WK7" s="40" t="str">
        <f t="shared" si="254"/>
        <v/>
      </c>
      <c r="WL7" s="26">
        <f t="shared" si="255"/>
        <v>0</v>
      </c>
      <c r="WM7" s="26">
        <f t="shared" si="256"/>
        <v>0</v>
      </c>
      <c r="WN7" s="26">
        <f t="shared" si="257"/>
        <v>0</v>
      </c>
      <c r="WO7" s="26">
        <f t="shared" si="258"/>
        <v>0</v>
      </c>
      <c r="WP7" s="26">
        <f t="shared" si="259"/>
        <v>0</v>
      </c>
      <c r="WQ7" s="26">
        <f t="shared" si="260"/>
        <v>0</v>
      </c>
      <c r="WR7" s="26">
        <f t="shared" si="261"/>
        <v>0</v>
      </c>
      <c r="WS7" s="26">
        <f t="shared" si="262"/>
        <v>0</v>
      </c>
      <c r="WT7" s="26">
        <f t="shared" si="263"/>
        <v>0</v>
      </c>
      <c r="WU7" s="26">
        <f t="shared" si="264"/>
        <v>0</v>
      </c>
      <c r="WV7" s="26">
        <f t="shared" si="265"/>
        <v>0</v>
      </c>
      <c r="WW7" s="26">
        <f t="shared" si="266"/>
        <v>0</v>
      </c>
      <c r="WX7" s="26">
        <f t="shared" si="267"/>
        <v>0</v>
      </c>
      <c r="WY7" s="26">
        <f t="shared" si="268"/>
        <v>0</v>
      </c>
      <c r="WZ7" s="26">
        <f t="shared" si="269"/>
        <v>0</v>
      </c>
      <c r="XA7" s="28" t="s">
        <v>53</v>
      </c>
      <c r="XB7" s="11" t="str">
        <f t="shared" si="270"/>
        <v/>
      </c>
      <c r="XC7" s="11" t="str">
        <f t="shared" si="271"/>
        <v/>
      </c>
      <c r="XD7" s="11" t="str">
        <f t="shared" si="272"/>
        <v/>
      </c>
      <c r="XE7" s="11" t="str">
        <f t="shared" si="273"/>
        <v/>
      </c>
      <c r="XF7" s="11" t="str">
        <f t="shared" si="274"/>
        <v/>
      </c>
      <c r="XG7" s="11" t="str">
        <f t="shared" si="275"/>
        <v/>
      </c>
      <c r="XH7" s="11" t="str">
        <f t="shared" si="276"/>
        <v/>
      </c>
      <c r="XI7" s="11" t="str">
        <f t="shared" si="277"/>
        <v/>
      </c>
      <c r="XJ7" s="11" t="str">
        <f t="shared" si="278"/>
        <v/>
      </c>
      <c r="XK7" s="11" t="str">
        <f t="shared" si="279"/>
        <v/>
      </c>
      <c r="XL7" s="11" t="str">
        <f t="shared" si="280"/>
        <v/>
      </c>
    </row>
    <row r="8" spans="1:636" x14ac:dyDescent="0.2">
      <c r="A8" s="4" cm="1">
        <f t="array" ref="A8">IF(AND(H8&lt;&gt;"",H8&lt;&gt;"No DD"),SUMPRODUCT((H$4:H$16&lt;&gt;"")*(H$4:H$16&lt;&gt;"No DD")*(E$4:E$16&gt;E8))+1,IF(H8="No DD",SUMPRODUCT((H$4:H$16="No DD")*(E$4:E$16&gt;E8))+1+SUMPRODUCT((H$4:H$16&lt;&gt;"")*(H$4:H$16&lt;&gt;"No DD")),""))</f>
        <v>5</v>
      </c>
      <c r="B8" s="5" t="s">
        <v>250</v>
      </c>
      <c r="C8" s="4" t="s">
        <v>207</v>
      </c>
      <c r="D8" s="4" t="s">
        <v>249</v>
      </c>
      <c r="E8" s="9">
        <f t="shared" si="0"/>
        <v>46.32</v>
      </c>
      <c r="F8" s="3" t="str">
        <f t="shared" si="1"/>
        <v>P</v>
      </c>
      <c r="G8" s="3" t="str">
        <f t="shared" si="2"/>
        <v>P</v>
      </c>
      <c r="H8" s="36" t="str">
        <f t="shared" si="3"/>
        <v>Worlds Team</v>
      </c>
      <c r="I8" s="3" t="str">
        <f t="shared" si="4"/>
        <v>P</v>
      </c>
      <c r="J8" s="8">
        <f>IF(COUNT(AI8,AL8,AP8,BJ8,BM8,BQ8,CK8,CN8,CR8)&gt;0,LARGE((AI8,AL8,AP8,BJ8,BM8,BQ8,CK8,CN8,CR8),1),0)</f>
        <v>0</v>
      </c>
      <c r="K8" s="8" t="str">
        <f t="shared" si="5"/>
        <v/>
      </c>
      <c r="L8" s="8">
        <f>IF(COUNT(AI8,AL8,AP8,BJ8,BM8,BQ8,CK8,CN8,CR8)&gt;1,LARGE((AI8,AL8,AP8,BJ8,BM8,BQ8,CK8,CN8,CR8),2),0)</f>
        <v>0</v>
      </c>
      <c r="M8" s="8" t="str">
        <f t="shared" si="6"/>
        <v/>
      </c>
      <c r="N8" s="8">
        <f t="shared" si="7"/>
        <v>46.32</v>
      </c>
      <c r="O8" s="11" t="str">
        <f t="shared" si="8"/>
        <v>(Prelim)</v>
      </c>
      <c r="P8" s="8" t="str">
        <f t="shared" si="9"/>
        <v>2024 World Cup POR (July 7)</v>
      </c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7"/>
      <c r="AG8" s="38" t="str">
        <f t="shared" si="10"/>
        <v/>
      </c>
      <c r="AH8" s="38" t="str">
        <f t="shared" si="11"/>
        <v/>
      </c>
      <c r="AI8" s="40" t="str">
        <f t="shared" si="12"/>
        <v/>
      </c>
      <c r="AJ8" s="40" t="str">
        <f t="shared" si="13"/>
        <v/>
      </c>
      <c r="AK8" s="40" t="str">
        <f t="shared" si="14"/>
        <v/>
      </c>
      <c r="AL8" s="40" t="str">
        <f t="shared" si="15"/>
        <v/>
      </c>
      <c r="AM8" s="40" t="str">
        <f t="shared" si="16"/>
        <v/>
      </c>
      <c r="AN8" s="40" t="str">
        <f t="shared" si="17"/>
        <v/>
      </c>
      <c r="AO8" s="40" t="str">
        <f t="shared" si="18"/>
        <v/>
      </c>
      <c r="AP8" s="40" t="str">
        <f t="shared" si="19"/>
        <v/>
      </c>
      <c r="AQ8" s="40" t="str">
        <f t="shared" si="20"/>
        <v/>
      </c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8"/>
      <c r="BH8" s="39" t="str">
        <f t="shared" si="21"/>
        <v/>
      </c>
      <c r="BI8" s="39" t="str">
        <f t="shared" si="22"/>
        <v/>
      </c>
      <c r="BJ8" s="11" t="str">
        <f t="shared" si="23"/>
        <v/>
      </c>
      <c r="BK8" s="11" t="str">
        <f t="shared" si="24"/>
        <v/>
      </c>
      <c r="BL8" s="11" t="str">
        <f t="shared" si="25"/>
        <v/>
      </c>
      <c r="BM8" s="11" t="str">
        <f t="shared" si="26"/>
        <v/>
      </c>
      <c r="BN8" s="11" t="str">
        <f t="shared" si="27"/>
        <v/>
      </c>
      <c r="BO8" s="11" t="str">
        <f t="shared" si="28"/>
        <v/>
      </c>
      <c r="BP8" s="11" t="str">
        <f t="shared" si="29"/>
        <v/>
      </c>
      <c r="BQ8" s="11" t="str">
        <f t="shared" si="30"/>
        <v/>
      </c>
      <c r="BR8" s="11" t="str">
        <f t="shared" si="31"/>
        <v/>
      </c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7"/>
      <c r="CI8" s="38" t="str">
        <f t="shared" si="32"/>
        <v/>
      </c>
      <c r="CJ8" s="38" t="str">
        <f t="shared" si="33"/>
        <v/>
      </c>
      <c r="CK8" s="40" t="str">
        <f t="shared" si="34"/>
        <v/>
      </c>
      <c r="CL8" s="40" t="str">
        <f t="shared" si="35"/>
        <v/>
      </c>
      <c r="CM8" s="40" t="str">
        <f t="shared" si="36"/>
        <v/>
      </c>
      <c r="CN8" s="40" t="str">
        <f t="shared" si="37"/>
        <v/>
      </c>
      <c r="CO8" s="40" t="str">
        <f t="shared" si="38"/>
        <v/>
      </c>
      <c r="CP8" s="40" t="str">
        <f t="shared" si="39"/>
        <v/>
      </c>
      <c r="CQ8" s="40" t="str">
        <f t="shared" si="40"/>
        <v/>
      </c>
      <c r="CR8" s="40" t="str">
        <f t="shared" si="41"/>
        <v/>
      </c>
      <c r="CS8" s="40" t="str">
        <f t="shared" si="42"/>
        <v/>
      </c>
      <c r="CT8" s="51">
        <f t="shared" si="43"/>
        <v>46.32</v>
      </c>
      <c r="CU8" s="51">
        <f t="shared" si="44"/>
        <v>45.06</v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0" t="str">
        <f t="shared" si="45"/>
        <v/>
      </c>
      <c r="DQ8" s="40" t="str">
        <f t="shared" si="46"/>
        <v/>
      </c>
      <c r="DR8" s="40" t="str">
        <f t="shared" si="47"/>
        <v/>
      </c>
      <c r="DS8" s="40" t="str">
        <f t="shared" si="48"/>
        <v/>
      </c>
      <c r="DT8" s="40" t="str">
        <f t="shared" si="49"/>
        <v/>
      </c>
      <c r="DU8" s="40" t="str">
        <f t="shared" si="50"/>
        <v/>
      </c>
      <c r="DV8" s="40" t="str">
        <f t="shared" si="51"/>
        <v/>
      </c>
      <c r="DW8" s="40" t="str">
        <f t="shared" si="52"/>
        <v/>
      </c>
      <c r="DX8" s="40" t="str">
        <f t="shared" si="53"/>
        <v/>
      </c>
      <c r="DY8" s="40" t="str">
        <f t="shared" si="54"/>
        <v/>
      </c>
      <c r="DZ8" s="40" t="str">
        <f t="shared" si="55"/>
        <v/>
      </c>
      <c r="EA8" s="40" t="str">
        <f t="shared" si="56"/>
        <v/>
      </c>
      <c r="EB8" s="40" t="str">
        <f t="shared" si="57"/>
        <v/>
      </c>
      <c r="EC8" s="40" t="str">
        <f t="shared" si="58"/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 t="shared" si="59"/>
        <v/>
      </c>
      <c r="EY8" s="11" t="str">
        <f t="shared" si="60"/>
        <v/>
      </c>
      <c r="EZ8" s="11" t="str">
        <f t="shared" si="61"/>
        <v/>
      </c>
      <c r="FA8" s="11" t="str">
        <f t="shared" si="62"/>
        <v/>
      </c>
      <c r="FB8" s="11" t="str">
        <f t="shared" si="63"/>
        <v/>
      </c>
      <c r="FC8" s="11" t="str">
        <f t="shared" si="64"/>
        <v/>
      </c>
      <c r="FD8" s="11" t="str">
        <f t="shared" si="65"/>
        <v/>
      </c>
      <c r="FE8" s="11" t="str">
        <f t="shared" si="66"/>
        <v/>
      </c>
      <c r="FF8" s="11" t="str">
        <f t="shared" si="67"/>
        <v/>
      </c>
      <c r="FG8" s="11" t="str">
        <f t="shared" si="68"/>
        <v/>
      </c>
      <c r="FH8" s="11" t="str">
        <f t="shared" si="69"/>
        <v/>
      </c>
      <c r="FI8" s="11" t="str">
        <f t="shared" si="70"/>
        <v/>
      </c>
      <c r="FJ8" s="11" t="str">
        <f t="shared" si="71"/>
        <v/>
      </c>
      <c r="FK8" s="11" t="str">
        <f t="shared" si="72"/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0" t="str">
        <f t="shared" si="73"/>
        <v/>
      </c>
      <c r="GG8" s="40" t="str">
        <f t="shared" si="74"/>
        <v/>
      </c>
      <c r="GH8" s="40" t="str">
        <f t="shared" si="75"/>
        <v/>
      </c>
      <c r="GI8" s="40" t="str">
        <f t="shared" si="76"/>
        <v/>
      </c>
      <c r="GJ8" s="40" t="str">
        <f t="shared" si="77"/>
        <v/>
      </c>
      <c r="GK8" s="40" t="str">
        <f t="shared" si="78"/>
        <v/>
      </c>
      <c r="GL8" s="40" t="str">
        <f t="shared" si="79"/>
        <v/>
      </c>
      <c r="GM8" s="40" t="str">
        <f t="shared" si="80"/>
        <v/>
      </c>
      <c r="GN8" s="40" t="str">
        <f t="shared" si="81"/>
        <v/>
      </c>
      <c r="GO8" s="40" t="str">
        <f t="shared" si="82"/>
        <v/>
      </c>
      <c r="GP8" s="40" t="str">
        <f t="shared" si="83"/>
        <v/>
      </c>
      <c r="GQ8" s="40" t="str">
        <f t="shared" si="84"/>
        <v/>
      </c>
      <c r="GR8" s="40" t="str">
        <f t="shared" si="85"/>
        <v/>
      </c>
      <c r="GS8" s="40" t="str">
        <f t="shared" si="86"/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 t="shared" si="87"/>
        <v/>
      </c>
      <c r="HO8" s="11" t="str">
        <f t="shared" si="88"/>
        <v/>
      </c>
      <c r="HP8" s="11" t="str">
        <f t="shared" si="89"/>
        <v/>
      </c>
      <c r="HQ8" s="11" t="str">
        <f t="shared" si="90"/>
        <v/>
      </c>
      <c r="HR8" s="11" t="str">
        <f t="shared" si="91"/>
        <v/>
      </c>
      <c r="HS8" s="11" t="str">
        <f t="shared" si="92"/>
        <v/>
      </c>
      <c r="HT8" s="11" t="str">
        <f t="shared" si="93"/>
        <v/>
      </c>
      <c r="HU8" s="11" t="str">
        <f t="shared" si="94"/>
        <v/>
      </c>
      <c r="HV8" s="11" t="str">
        <f t="shared" si="95"/>
        <v/>
      </c>
      <c r="HW8" s="11" t="str">
        <f t="shared" si="96"/>
        <v/>
      </c>
      <c r="HX8" s="11" t="str">
        <f t="shared" si="97"/>
        <v/>
      </c>
      <c r="HY8" s="11" t="str">
        <f t="shared" si="98"/>
        <v/>
      </c>
      <c r="HZ8" s="11" t="str">
        <f t="shared" si="99"/>
        <v/>
      </c>
      <c r="IA8" s="11" t="str">
        <f t="shared" si="100"/>
        <v/>
      </c>
      <c r="IB8" s="17">
        <v>7.5</v>
      </c>
      <c r="IC8" s="17">
        <v>9.1999999999999993</v>
      </c>
      <c r="ID8" s="17">
        <v>11.4</v>
      </c>
      <c r="IE8" s="17">
        <v>18.22</v>
      </c>
      <c r="IF8" s="17">
        <v>0</v>
      </c>
      <c r="IG8" s="17">
        <v>7.6</v>
      </c>
      <c r="IH8" s="17">
        <v>9.25</v>
      </c>
      <c r="II8" s="17">
        <v>11.4</v>
      </c>
      <c r="IJ8" s="17">
        <v>17.16</v>
      </c>
      <c r="IK8" s="17">
        <v>0</v>
      </c>
      <c r="IL8" s="17"/>
      <c r="IM8" s="17"/>
      <c r="IN8" s="17"/>
      <c r="IO8" s="17"/>
      <c r="IP8" s="17"/>
      <c r="IQ8" s="17">
        <v>7.1</v>
      </c>
      <c r="IR8" s="17">
        <v>9.3000000000000007</v>
      </c>
      <c r="IS8" s="17">
        <v>11.4</v>
      </c>
      <c r="IT8" s="17">
        <v>17.260000000000002</v>
      </c>
      <c r="IU8" s="17">
        <v>0</v>
      </c>
      <c r="IV8" s="40">
        <f t="shared" si="101"/>
        <v>11.4</v>
      </c>
      <c r="IW8" s="40">
        <f t="shared" si="102"/>
        <v>18.22</v>
      </c>
      <c r="IX8" s="40">
        <f t="shared" si="103"/>
        <v>46.32</v>
      </c>
      <c r="IY8" s="40">
        <f t="shared" si="104"/>
        <v>11.4</v>
      </c>
      <c r="IZ8" s="40">
        <f t="shared" si="105"/>
        <v>17.16</v>
      </c>
      <c r="JA8" s="40">
        <f t="shared" si="106"/>
        <v>45.41</v>
      </c>
      <c r="JB8" s="40">
        <f t="shared" si="107"/>
        <v>46.32</v>
      </c>
      <c r="JC8" s="40" t="str">
        <f t="shared" si="108"/>
        <v/>
      </c>
      <c r="JD8" s="40" t="str">
        <f t="shared" si="109"/>
        <v/>
      </c>
      <c r="JE8" s="40" t="str">
        <f t="shared" si="110"/>
        <v/>
      </c>
      <c r="JF8" s="40">
        <f t="shared" si="111"/>
        <v>11.4</v>
      </c>
      <c r="JG8" s="40">
        <f t="shared" si="112"/>
        <v>17.260000000000002</v>
      </c>
      <c r="JH8" s="40">
        <f t="shared" si="113"/>
        <v>45.06</v>
      </c>
      <c r="JI8" s="40">
        <f t="shared" si="114"/>
        <v>91.38</v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 t="shared" si="115"/>
        <v/>
      </c>
      <c r="KE8" s="11" t="str">
        <f t="shared" si="116"/>
        <v/>
      </c>
      <c r="KF8" s="11" t="str">
        <f t="shared" si="117"/>
        <v/>
      </c>
      <c r="KG8" s="11" t="str">
        <f t="shared" si="118"/>
        <v/>
      </c>
      <c r="KH8" s="11" t="str">
        <f t="shared" si="119"/>
        <v/>
      </c>
      <c r="KI8" s="11" t="str">
        <f t="shared" si="120"/>
        <v/>
      </c>
      <c r="KJ8" s="11" t="str">
        <f t="shared" si="121"/>
        <v/>
      </c>
      <c r="KK8" s="11" t="str">
        <f t="shared" si="122"/>
        <v/>
      </c>
      <c r="KL8" s="11" t="str">
        <f t="shared" si="123"/>
        <v/>
      </c>
      <c r="KM8" s="11" t="str">
        <f t="shared" si="124"/>
        <v/>
      </c>
      <c r="KN8" s="11" t="str">
        <f t="shared" si="125"/>
        <v/>
      </c>
      <c r="KO8" s="11" t="str">
        <f t="shared" si="126"/>
        <v/>
      </c>
      <c r="KP8" s="11" t="str">
        <f t="shared" si="127"/>
        <v/>
      </c>
      <c r="KQ8" s="11" t="str">
        <f t="shared" si="128"/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0" t="str">
        <f t="shared" si="129"/>
        <v/>
      </c>
      <c r="LM8" s="40" t="str">
        <f t="shared" si="130"/>
        <v/>
      </c>
      <c r="LN8" s="40" t="str">
        <f t="shared" si="131"/>
        <v/>
      </c>
      <c r="LO8" s="40" t="str">
        <f t="shared" si="132"/>
        <v/>
      </c>
      <c r="LP8" s="40" t="str">
        <f t="shared" si="133"/>
        <v/>
      </c>
      <c r="LQ8" s="40" t="str">
        <f t="shared" si="134"/>
        <v/>
      </c>
      <c r="LR8" s="40" t="str">
        <f t="shared" si="135"/>
        <v/>
      </c>
      <c r="LS8" s="40" t="str">
        <f t="shared" si="136"/>
        <v/>
      </c>
      <c r="LT8" s="40" t="str">
        <f t="shared" si="137"/>
        <v/>
      </c>
      <c r="LU8" s="40" t="str">
        <f t="shared" si="138"/>
        <v/>
      </c>
      <c r="LV8" s="40" t="str">
        <f t="shared" si="139"/>
        <v/>
      </c>
      <c r="LW8" s="40" t="str">
        <f t="shared" si="140"/>
        <v/>
      </c>
      <c r="LX8" s="40" t="str">
        <f t="shared" si="141"/>
        <v/>
      </c>
      <c r="LY8" s="40" t="str">
        <f t="shared" si="142"/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 t="shared" si="143"/>
        <v/>
      </c>
      <c r="MU8" s="11" t="str">
        <f t="shared" si="144"/>
        <v/>
      </c>
      <c r="MV8" s="11" t="str">
        <f t="shared" si="145"/>
        <v/>
      </c>
      <c r="MW8" s="11" t="str">
        <f t="shared" si="146"/>
        <v/>
      </c>
      <c r="MX8" s="11" t="str">
        <f t="shared" si="147"/>
        <v/>
      </c>
      <c r="MY8" s="11" t="str">
        <f t="shared" si="148"/>
        <v/>
      </c>
      <c r="MZ8" s="11" t="str">
        <f t="shared" si="149"/>
        <v/>
      </c>
      <c r="NA8" s="11" t="str">
        <f t="shared" si="150"/>
        <v/>
      </c>
      <c r="NB8" s="11" t="str">
        <f t="shared" si="151"/>
        <v/>
      </c>
      <c r="NC8" s="11" t="str">
        <f t="shared" si="152"/>
        <v/>
      </c>
      <c r="ND8" s="11" t="str">
        <f t="shared" si="153"/>
        <v/>
      </c>
      <c r="NE8" s="11" t="str">
        <f t="shared" si="154"/>
        <v/>
      </c>
      <c r="NF8" s="11" t="str">
        <f t="shared" si="155"/>
        <v/>
      </c>
      <c r="NG8" s="11" t="str">
        <f t="shared" si="156"/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0" t="str">
        <f t="shared" si="157"/>
        <v/>
      </c>
      <c r="OC8" s="40" t="str">
        <f t="shared" si="158"/>
        <v/>
      </c>
      <c r="OD8" s="40" t="str">
        <f t="shared" si="159"/>
        <v/>
      </c>
      <c r="OE8" s="40" t="str">
        <f t="shared" si="160"/>
        <v/>
      </c>
      <c r="OF8" s="40" t="str">
        <f t="shared" si="161"/>
        <v/>
      </c>
      <c r="OG8" s="40" t="str">
        <f t="shared" si="162"/>
        <v/>
      </c>
      <c r="OH8" s="40" t="str">
        <f t="shared" si="163"/>
        <v/>
      </c>
      <c r="OI8" s="40" t="str">
        <f t="shared" si="164"/>
        <v/>
      </c>
      <c r="OJ8" s="40" t="str">
        <f t="shared" si="165"/>
        <v/>
      </c>
      <c r="OK8" s="40" t="str">
        <f t="shared" si="166"/>
        <v/>
      </c>
      <c r="OL8" s="40" t="str">
        <f t="shared" si="167"/>
        <v/>
      </c>
      <c r="OM8" s="40" t="str">
        <f t="shared" si="168"/>
        <v/>
      </c>
      <c r="ON8" s="40" t="str">
        <f t="shared" si="169"/>
        <v/>
      </c>
      <c r="OO8" s="40" t="str">
        <f t="shared" si="170"/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 t="shared" si="171"/>
        <v/>
      </c>
      <c r="PK8" s="11" t="str">
        <f t="shared" si="172"/>
        <v/>
      </c>
      <c r="PL8" s="11" t="str">
        <f t="shared" si="173"/>
        <v/>
      </c>
      <c r="PM8" s="11" t="str">
        <f t="shared" si="174"/>
        <v/>
      </c>
      <c r="PN8" s="11" t="str">
        <f t="shared" si="175"/>
        <v/>
      </c>
      <c r="PO8" s="11" t="str">
        <f t="shared" si="176"/>
        <v/>
      </c>
      <c r="PP8" s="11" t="str">
        <f t="shared" si="177"/>
        <v/>
      </c>
      <c r="PQ8" s="11" t="str">
        <f t="shared" si="178"/>
        <v/>
      </c>
      <c r="PR8" s="11" t="str">
        <f t="shared" si="179"/>
        <v/>
      </c>
      <c r="PS8" s="11" t="str">
        <f t="shared" si="180"/>
        <v/>
      </c>
      <c r="PT8" s="11" t="str">
        <f t="shared" si="181"/>
        <v/>
      </c>
      <c r="PU8" s="11" t="str">
        <f t="shared" si="182"/>
        <v/>
      </c>
      <c r="PV8" s="11" t="str">
        <f t="shared" si="183"/>
        <v/>
      </c>
      <c r="PW8" s="11" t="str">
        <f t="shared" si="184"/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0" t="str">
        <f t="shared" si="185"/>
        <v/>
      </c>
      <c r="QS8" s="40" t="str">
        <f t="shared" si="186"/>
        <v/>
      </c>
      <c r="QT8" s="40" t="str">
        <f t="shared" si="187"/>
        <v/>
      </c>
      <c r="QU8" s="40" t="str">
        <f t="shared" si="188"/>
        <v/>
      </c>
      <c r="QV8" s="40" t="str">
        <f t="shared" si="189"/>
        <v/>
      </c>
      <c r="QW8" s="40" t="str">
        <f t="shared" si="190"/>
        <v/>
      </c>
      <c r="QX8" s="40" t="str">
        <f t="shared" si="191"/>
        <v/>
      </c>
      <c r="QY8" s="40" t="str">
        <f t="shared" si="192"/>
        <v/>
      </c>
      <c r="QZ8" s="40" t="str">
        <f t="shared" si="193"/>
        <v/>
      </c>
      <c r="RA8" s="40" t="str">
        <f t="shared" si="194"/>
        <v/>
      </c>
      <c r="RB8" s="40" t="str">
        <f t="shared" si="195"/>
        <v/>
      </c>
      <c r="RC8" s="40" t="str">
        <f t="shared" si="196"/>
        <v/>
      </c>
      <c r="RD8" s="40" t="str">
        <f t="shared" si="197"/>
        <v/>
      </c>
      <c r="RE8" s="40" t="str">
        <f t="shared" si="198"/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 t="shared" si="199"/>
        <v/>
      </c>
      <c r="SA8" s="11" t="str">
        <f t="shared" si="200"/>
        <v/>
      </c>
      <c r="SB8" s="11" t="str">
        <f t="shared" si="201"/>
        <v/>
      </c>
      <c r="SC8" s="11" t="str">
        <f t="shared" si="202"/>
        <v/>
      </c>
      <c r="SD8" s="11" t="str">
        <f t="shared" si="203"/>
        <v/>
      </c>
      <c r="SE8" s="11" t="str">
        <f t="shared" si="204"/>
        <v/>
      </c>
      <c r="SF8" s="11" t="str">
        <f t="shared" si="205"/>
        <v/>
      </c>
      <c r="SG8" s="11" t="str">
        <f t="shared" si="206"/>
        <v/>
      </c>
      <c r="SH8" s="11" t="str">
        <f t="shared" si="207"/>
        <v/>
      </c>
      <c r="SI8" s="11" t="str">
        <f t="shared" si="208"/>
        <v/>
      </c>
      <c r="SJ8" s="11" t="str">
        <f t="shared" si="209"/>
        <v/>
      </c>
      <c r="SK8" s="11" t="str">
        <f t="shared" si="210"/>
        <v/>
      </c>
      <c r="SL8" s="11" t="str">
        <f t="shared" si="211"/>
        <v/>
      </c>
      <c r="SM8" s="11" t="str">
        <f t="shared" si="212"/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0" t="str">
        <f t="shared" si="213"/>
        <v/>
      </c>
      <c r="TI8" s="40" t="str">
        <f t="shared" si="214"/>
        <v/>
      </c>
      <c r="TJ8" s="40" t="str">
        <f t="shared" si="215"/>
        <v/>
      </c>
      <c r="TK8" s="40" t="str">
        <f t="shared" si="216"/>
        <v/>
      </c>
      <c r="TL8" s="40" t="str">
        <f t="shared" si="217"/>
        <v/>
      </c>
      <c r="TM8" s="40" t="str">
        <f t="shared" si="218"/>
        <v/>
      </c>
      <c r="TN8" s="40" t="str">
        <f t="shared" si="219"/>
        <v/>
      </c>
      <c r="TO8" s="40" t="str">
        <f t="shared" si="220"/>
        <v/>
      </c>
      <c r="TP8" s="40" t="str">
        <f t="shared" si="221"/>
        <v/>
      </c>
      <c r="TQ8" s="40" t="str">
        <f t="shared" si="222"/>
        <v/>
      </c>
      <c r="TR8" s="40" t="str">
        <f t="shared" si="223"/>
        <v/>
      </c>
      <c r="TS8" s="40" t="str">
        <f t="shared" si="224"/>
        <v/>
      </c>
      <c r="TT8" s="40" t="str">
        <f t="shared" si="225"/>
        <v/>
      </c>
      <c r="TU8" s="40" t="str">
        <f t="shared" si="226"/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 t="shared" si="227"/>
        <v/>
      </c>
      <c r="UQ8" s="11" t="str">
        <f t="shared" si="228"/>
        <v/>
      </c>
      <c r="UR8" s="11" t="str">
        <f t="shared" si="229"/>
        <v/>
      </c>
      <c r="US8" s="11" t="str">
        <f t="shared" si="230"/>
        <v/>
      </c>
      <c r="UT8" s="11" t="str">
        <f t="shared" si="231"/>
        <v/>
      </c>
      <c r="UU8" s="11" t="str">
        <f t="shared" si="232"/>
        <v/>
      </c>
      <c r="UV8" s="11" t="str">
        <f t="shared" si="233"/>
        <v/>
      </c>
      <c r="UW8" s="11" t="str">
        <f t="shared" si="234"/>
        <v/>
      </c>
      <c r="UX8" s="11" t="str">
        <f t="shared" si="235"/>
        <v/>
      </c>
      <c r="UY8" s="11" t="str">
        <f t="shared" si="236"/>
        <v/>
      </c>
      <c r="UZ8" s="11" t="str">
        <f t="shared" si="237"/>
        <v/>
      </c>
      <c r="VA8" s="11" t="str">
        <f t="shared" si="238"/>
        <v/>
      </c>
      <c r="VB8" s="11" t="str">
        <f t="shared" si="239"/>
        <v/>
      </c>
      <c r="VC8" s="11" t="str">
        <f t="shared" si="240"/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0" t="str">
        <f t="shared" si="241"/>
        <v/>
      </c>
      <c r="VY8" s="40" t="str">
        <f t="shared" si="242"/>
        <v/>
      </c>
      <c r="VZ8" s="40" t="str">
        <f t="shared" si="243"/>
        <v/>
      </c>
      <c r="WA8" s="40" t="str">
        <f t="shared" si="244"/>
        <v/>
      </c>
      <c r="WB8" s="40" t="str">
        <f t="shared" si="245"/>
        <v/>
      </c>
      <c r="WC8" s="40" t="str">
        <f t="shared" si="246"/>
        <v/>
      </c>
      <c r="WD8" s="40" t="str">
        <f t="shared" si="247"/>
        <v/>
      </c>
      <c r="WE8" s="40" t="str">
        <f t="shared" si="248"/>
        <v/>
      </c>
      <c r="WF8" s="40" t="str">
        <f t="shared" si="249"/>
        <v/>
      </c>
      <c r="WG8" s="40" t="str">
        <f t="shared" si="250"/>
        <v/>
      </c>
      <c r="WH8" s="40" t="str">
        <f t="shared" si="251"/>
        <v/>
      </c>
      <c r="WI8" s="40" t="str">
        <f t="shared" si="252"/>
        <v/>
      </c>
      <c r="WJ8" s="40" t="str">
        <f t="shared" si="253"/>
        <v/>
      </c>
      <c r="WK8" s="40" t="str">
        <f t="shared" si="254"/>
        <v/>
      </c>
      <c r="WL8" s="26">
        <f t="shared" si="255"/>
        <v>0</v>
      </c>
      <c r="WM8" s="26">
        <f t="shared" si="256"/>
        <v>0</v>
      </c>
      <c r="WN8" s="26">
        <f t="shared" si="257"/>
        <v>0</v>
      </c>
      <c r="WO8" s="26">
        <f t="shared" si="258"/>
        <v>0</v>
      </c>
      <c r="WP8" s="26">
        <f t="shared" si="259"/>
        <v>0</v>
      </c>
      <c r="WQ8" s="26">
        <f t="shared" si="260"/>
        <v>0</v>
      </c>
      <c r="WR8" s="26">
        <f t="shared" si="261"/>
        <v>0</v>
      </c>
      <c r="WS8" s="26">
        <f t="shared" si="262"/>
        <v>0</v>
      </c>
      <c r="WT8" s="26">
        <f t="shared" si="263"/>
        <v>0</v>
      </c>
      <c r="WU8" s="26">
        <f t="shared" si="264"/>
        <v>0</v>
      </c>
      <c r="WV8" s="26">
        <f t="shared" si="265"/>
        <v>0</v>
      </c>
      <c r="WW8" s="26">
        <f t="shared" si="266"/>
        <v>0</v>
      </c>
      <c r="WX8" s="26">
        <f t="shared" si="267"/>
        <v>0</v>
      </c>
      <c r="WY8" s="26">
        <f t="shared" si="268"/>
        <v>0</v>
      </c>
      <c r="WZ8" s="26">
        <f t="shared" si="269"/>
        <v>0</v>
      </c>
      <c r="XA8" s="28" t="s">
        <v>53</v>
      </c>
      <c r="XB8" s="11" t="str">
        <f t="shared" si="270"/>
        <v/>
      </c>
      <c r="XC8" s="11" t="str">
        <f t="shared" si="271"/>
        <v/>
      </c>
      <c r="XD8" s="11" t="str">
        <f t="shared" si="272"/>
        <v/>
      </c>
      <c r="XE8" s="11" t="str">
        <f t="shared" si="273"/>
        <v/>
      </c>
      <c r="XF8" s="11" t="str">
        <f t="shared" si="274"/>
        <v/>
      </c>
      <c r="XG8" s="11" t="str">
        <f t="shared" si="275"/>
        <v/>
      </c>
      <c r="XH8" s="11" t="str">
        <f t="shared" si="276"/>
        <v/>
      </c>
      <c r="XI8" s="11" t="str">
        <f t="shared" si="277"/>
        <v/>
      </c>
      <c r="XJ8" s="11" t="str">
        <f t="shared" si="278"/>
        <v/>
      </c>
      <c r="XK8" s="11" t="str">
        <f t="shared" si="279"/>
        <v/>
      </c>
      <c r="XL8" s="11" t="str">
        <f t="shared" si="280"/>
        <v/>
      </c>
    </row>
    <row r="9" spans="1:636" x14ac:dyDescent="0.2">
      <c r="A9" s="4" cm="1">
        <f t="array" ref="A9">IF(AND(H9&lt;&gt;"",H9&lt;&gt;"No DD"),SUMPRODUCT((H$4:H$16&lt;&gt;"")*(H$4:H$16&lt;&gt;"No DD")*(E$4:E$16&gt;E9))+1,IF(H9="No DD",SUMPRODUCT((H$4:H$16="No DD")*(E$4:E$16&gt;E9))+1+SUMPRODUCT((H$4:H$16&lt;&gt;"")*(H$4:H$16&lt;&gt;"No DD")),""))</f>
        <v>6</v>
      </c>
      <c r="B9" s="5" t="s">
        <v>243</v>
      </c>
      <c r="C9" s="4" t="s">
        <v>3</v>
      </c>
      <c r="D9" s="4" t="s">
        <v>169</v>
      </c>
      <c r="E9" s="9">
        <f t="shared" si="0"/>
        <v>45.25</v>
      </c>
      <c r="F9" s="3" t="str">
        <f t="shared" si="1"/>
        <v>P</v>
      </c>
      <c r="G9" s="3" t="str">
        <f t="shared" si="2"/>
        <v>P</v>
      </c>
      <c r="H9" s="36" t="str">
        <f t="shared" si="3"/>
        <v>National Team</v>
      </c>
      <c r="I9" s="3" t="str">
        <f t="shared" si="4"/>
        <v/>
      </c>
      <c r="J9" s="8">
        <f>IF(COUNT(AI9,AL9,AP9,BJ9,BM9,BQ9,CK9,CN9,CR9)&gt;0,LARGE((AI9,AL9,AP9,BJ9,BM9,BQ9,CK9,CN9,CR9),1),0)</f>
        <v>0</v>
      </c>
      <c r="K9" s="8" t="str">
        <f t="shared" si="5"/>
        <v/>
      </c>
      <c r="L9" s="8">
        <f>IF(COUNT(AI9,AL9,AP9,BJ9,BM9,BQ9,CK9,CN9,CR9)&gt;1,LARGE((AI9,AL9,AP9,BJ9,BM9,BQ9,CK9,CN9,CR9),2),0)</f>
        <v>0</v>
      </c>
      <c r="M9" s="8" t="str">
        <f t="shared" si="6"/>
        <v/>
      </c>
      <c r="N9" s="8">
        <f t="shared" si="7"/>
        <v>45.25</v>
      </c>
      <c r="O9" s="11" t="str">
        <f t="shared" si="8"/>
        <v>(Prelim)</v>
      </c>
      <c r="P9" s="8" t="str">
        <f t="shared" si="9"/>
        <v>2024 World Cup SUI (Jun 29)</v>
      </c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7"/>
      <c r="AG9" s="38" t="str">
        <f t="shared" si="10"/>
        <v/>
      </c>
      <c r="AH9" s="38" t="str">
        <f t="shared" si="11"/>
        <v/>
      </c>
      <c r="AI9" s="40" t="str">
        <f t="shared" si="12"/>
        <v/>
      </c>
      <c r="AJ9" s="40" t="str">
        <f t="shared" si="13"/>
        <v/>
      </c>
      <c r="AK9" s="40" t="str">
        <f t="shared" si="14"/>
        <v/>
      </c>
      <c r="AL9" s="40" t="str">
        <f t="shared" si="15"/>
        <v/>
      </c>
      <c r="AM9" s="40" t="str">
        <f t="shared" si="16"/>
        <v/>
      </c>
      <c r="AN9" s="40" t="str">
        <f t="shared" si="17"/>
        <v/>
      </c>
      <c r="AO9" s="40" t="str">
        <f t="shared" si="18"/>
        <v/>
      </c>
      <c r="AP9" s="40" t="str">
        <f t="shared" si="19"/>
        <v/>
      </c>
      <c r="AQ9" s="40" t="str">
        <f t="shared" si="20"/>
        <v/>
      </c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8"/>
      <c r="BH9" s="39" t="str">
        <f t="shared" si="21"/>
        <v/>
      </c>
      <c r="BI9" s="39" t="str">
        <f t="shared" si="22"/>
        <v/>
      </c>
      <c r="BJ9" s="11" t="str">
        <f t="shared" si="23"/>
        <v/>
      </c>
      <c r="BK9" s="11" t="str">
        <f t="shared" si="24"/>
        <v/>
      </c>
      <c r="BL9" s="11" t="str">
        <f t="shared" si="25"/>
        <v/>
      </c>
      <c r="BM9" s="11" t="str">
        <f t="shared" si="26"/>
        <v/>
      </c>
      <c r="BN9" s="11" t="str">
        <f t="shared" si="27"/>
        <v/>
      </c>
      <c r="BO9" s="11" t="str">
        <f t="shared" si="28"/>
        <v/>
      </c>
      <c r="BP9" s="11" t="str">
        <f t="shared" si="29"/>
        <v/>
      </c>
      <c r="BQ9" s="11" t="str">
        <f t="shared" si="30"/>
        <v/>
      </c>
      <c r="BR9" s="11" t="str">
        <f t="shared" si="31"/>
        <v/>
      </c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7"/>
      <c r="CI9" s="38" t="str">
        <f t="shared" si="32"/>
        <v/>
      </c>
      <c r="CJ9" s="38" t="str">
        <f t="shared" si="33"/>
        <v/>
      </c>
      <c r="CK9" s="40" t="str">
        <f t="shared" si="34"/>
        <v/>
      </c>
      <c r="CL9" s="40" t="str">
        <f t="shared" si="35"/>
        <v/>
      </c>
      <c r="CM9" s="40" t="str">
        <f t="shared" si="36"/>
        <v/>
      </c>
      <c r="CN9" s="40" t="str">
        <f t="shared" si="37"/>
        <v/>
      </c>
      <c r="CO9" s="40" t="str">
        <f t="shared" si="38"/>
        <v/>
      </c>
      <c r="CP9" s="40" t="str">
        <f t="shared" si="39"/>
        <v/>
      </c>
      <c r="CQ9" s="40" t="str">
        <f t="shared" si="40"/>
        <v/>
      </c>
      <c r="CR9" s="40" t="str">
        <f t="shared" si="41"/>
        <v/>
      </c>
      <c r="CS9" s="40" t="str">
        <f t="shared" si="42"/>
        <v/>
      </c>
      <c r="CT9" s="51">
        <f t="shared" si="43"/>
        <v>45.25</v>
      </c>
      <c r="CU9" s="51">
        <f t="shared" si="44"/>
        <v>7.86</v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0" t="str">
        <f t="shared" si="45"/>
        <v/>
      </c>
      <c r="DQ9" s="40" t="str">
        <f t="shared" si="46"/>
        <v/>
      </c>
      <c r="DR9" s="40" t="str">
        <f t="shared" si="47"/>
        <v/>
      </c>
      <c r="DS9" s="40" t="str">
        <f t="shared" si="48"/>
        <v/>
      </c>
      <c r="DT9" s="40" t="str">
        <f t="shared" si="49"/>
        <v/>
      </c>
      <c r="DU9" s="40" t="str">
        <f t="shared" si="50"/>
        <v/>
      </c>
      <c r="DV9" s="40" t="str">
        <f t="shared" si="51"/>
        <v/>
      </c>
      <c r="DW9" s="40" t="str">
        <f t="shared" si="52"/>
        <v/>
      </c>
      <c r="DX9" s="40" t="str">
        <f t="shared" si="53"/>
        <v/>
      </c>
      <c r="DY9" s="40" t="str">
        <f t="shared" si="54"/>
        <v/>
      </c>
      <c r="DZ9" s="40" t="str">
        <f t="shared" si="55"/>
        <v/>
      </c>
      <c r="EA9" s="40" t="str">
        <f t="shared" si="56"/>
        <v/>
      </c>
      <c r="EB9" s="40" t="str">
        <f t="shared" si="57"/>
        <v/>
      </c>
      <c r="EC9" s="40" t="str">
        <f t="shared" si="58"/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 t="shared" si="59"/>
        <v/>
      </c>
      <c r="EY9" s="11" t="str">
        <f t="shared" si="60"/>
        <v/>
      </c>
      <c r="EZ9" s="11" t="str">
        <f t="shared" si="61"/>
        <v/>
      </c>
      <c r="FA9" s="11" t="str">
        <f t="shared" si="62"/>
        <v/>
      </c>
      <c r="FB9" s="11" t="str">
        <f t="shared" si="63"/>
        <v/>
      </c>
      <c r="FC9" s="11" t="str">
        <f t="shared" si="64"/>
        <v/>
      </c>
      <c r="FD9" s="11" t="str">
        <f t="shared" si="65"/>
        <v/>
      </c>
      <c r="FE9" s="11" t="str">
        <f t="shared" si="66"/>
        <v/>
      </c>
      <c r="FF9" s="11" t="str">
        <f t="shared" si="67"/>
        <v/>
      </c>
      <c r="FG9" s="11" t="str">
        <f t="shared" si="68"/>
        <v/>
      </c>
      <c r="FH9" s="11" t="str">
        <f t="shared" si="69"/>
        <v/>
      </c>
      <c r="FI9" s="11" t="str">
        <f t="shared" si="70"/>
        <v/>
      </c>
      <c r="FJ9" s="11" t="str">
        <f t="shared" si="71"/>
        <v/>
      </c>
      <c r="FK9" s="11" t="str">
        <f t="shared" si="72"/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0" t="str">
        <f t="shared" si="73"/>
        <v/>
      </c>
      <c r="GG9" s="40" t="str">
        <f t="shared" si="74"/>
        <v/>
      </c>
      <c r="GH9" s="40" t="str">
        <f t="shared" si="75"/>
        <v/>
      </c>
      <c r="GI9" s="40" t="str">
        <f t="shared" si="76"/>
        <v/>
      </c>
      <c r="GJ9" s="40" t="str">
        <f t="shared" si="77"/>
        <v/>
      </c>
      <c r="GK9" s="40" t="str">
        <f t="shared" si="78"/>
        <v/>
      </c>
      <c r="GL9" s="40" t="str">
        <f t="shared" si="79"/>
        <v/>
      </c>
      <c r="GM9" s="40" t="str">
        <f t="shared" si="80"/>
        <v/>
      </c>
      <c r="GN9" s="40" t="str">
        <f t="shared" si="81"/>
        <v/>
      </c>
      <c r="GO9" s="40" t="str">
        <f t="shared" si="82"/>
        <v/>
      </c>
      <c r="GP9" s="40" t="str">
        <f t="shared" si="83"/>
        <v/>
      </c>
      <c r="GQ9" s="40" t="str">
        <f t="shared" si="84"/>
        <v/>
      </c>
      <c r="GR9" s="40" t="str">
        <f t="shared" si="85"/>
        <v/>
      </c>
      <c r="GS9" s="40" t="str">
        <f t="shared" si="86"/>
        <v/>
      </c>
      <c r="GT9" s="18">
        <v>7.2</v>
      </c>
      <c r="GU9" s="18">
        <v>9.25</v>
      </c>
      <c r="GV9" s="18">
        <v>12.2</v>
      </c>
      <c r="GW9" s="18">
        <v>16.600000000000001</v>
      </c>
      <c r="GX9" s="18">
        <v>0</v>
      </c>
      <c r="GY9" s="18">
        <v>2.25</v>
      </c>
      <c r="GZ9" s="18">
        <v>2.75</v>
      </c>
      <c r="HA9" s="18">
        <v>3.5</v>
      </c>
      <c r="HB9" s="18">
        <v>5.0199999999999996</v>
      </c>
      <c r="HC9" s="18">
        <v>0.2</v>
      </c>
      <c r="HD9" s="18"/>
      <c r="HE9" s="18"/>
      <c r="HF9" s="18"/>
      <c r="HG9" s="18"/>
      <c r="HH9" s="18"/>
      <c r="HI9" s="18">
        <v>1.3</v>
      </c>
      <c r="HJ9" s="18">
        <v>1.8</v>
      </c>
      <c r="HK9" s="18">
        <v>2.9</v>
      </c>
      <c r="HL9" s="18">
        <v>1.86</v>
      </c>
      <c r="HM9" s="18">
        <v>0</v>
      </c>
      <c r="HN9" s="11">
        <f t="shared" si="87"/>
        <v>12.2</v>
      </c>
      <c r="HO9" s="11">
        <f t="shared" si="88"/>
        <v>16.600000000000001</v>
      </c>
      <c r="HP9" s="11">
        <f t="shared" si="89"/>
        <v>45.25</v>
      </c>
      <c r="HQ9" s="11">
        <f t="shared" si="90"/>
        <v>3.5</v>
      </c>
      <c r="HR9" s="11">
        <f t="shared" si="91"/>
        <v>5.0199999999999996</v>
      </c>
      <c r="HS9" s="11">
        <f t="shared" si="92"/>
        <v>13.32</v>
      </c>
      <c r="HT9" s="11">
        <f t="shared" si="93"/>
        <v>45.25</v>
      </c>
      <c r="HU9" s="11" t="str">
        <f t="shared" si="94"/>
        <v/>
      </c>
      <c r="HV9" s="11" t="str">
        <f t="shared" si="95"/>
        <v/>
      </c>
      <c r="HW9" s="11" t="str">
        <f t="shared" si="96"/>
        <v/>
      </c>
      <c r="HX9" s="11">
        <f t="shared" si="97"/>
        <v>2.9</v>
      </c>
      <c r="HY9" s="11">
        <f t="shared" si="98"/>
        <v>1.86</v>
      </c>
      <c r="HZ9" s="11">
        <f t="shared" si="99"/>
        <v>7.86</v>
      </c>
      <c r="IA9" s="11">
        <f t="shared" si="100"/>
        <v>53.11</v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0" t="str">
        <f t="shared" si="101"/>
        <v/>
      </c>
      <c r="IW9" s="40" t="str">
        <f t="shared" si="102"/>
        <v/>
      </c>
      <c r="IX9" s="40" t="str">
        <f t="shared" si="103"/>
        <v/>
      </c>
      <c r="IY9" s="40" t="str">
        <f t="shared" si="104"/>
        <v/>
      </c>
      <c r="IZ9" s="40" t="str">
        <f t="shared" si="105"/>
        <v/>
      </c>
      <c r="JA9" s="40" t="str">
        <f t="shared" si="106"/>
        <v/>
      </c>
      <c r="JB9" s="40" t="str">
        <f t="shared" si="107"/>
        <v/>
      </c>
      <c r="JC9" s="40" t="str">
        <f t="shared" si="108"/>
        <v/>
      </c>
      <c r="JD9" s="40" t="str">
        <f t="shared" si="109"/>
        <v/>
      </c>
      <c r="JE9" s="40" t="str">
        <f t="shared" si="110"/>
        <v/>
      </c>
      <c r="JF9" s="40" t="str">
        <f t="shared" si="111"/>
        <v/>
      </c>
      <c r="JG9" s="40" t="str">
        <f t="shared" si="112"/>
        <v/>
      </c>
      <c r="JH9" s="40" t="str">
        <f t="shared" si="113"/>
        <v/>
      </c>
      <c r="JI9" s="40" t="str">
        <f t="shared" si="114"/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 t="shared" si="115"/>
        <v/>
      </c>
      <c r="KE9" s="11" t="str">
        <f t="shared" si="116"/>
        <v/>
      </c>
      <c r="KF9" s="11" t="str">
        <f t="shared" si="117"/>
        <v/>
      </c>
      <c r="KG9" s="11" t="str">
        <f t="shared" si="118"/>
        <v/>
      </c>
      <c r="KH9" s="11" t="str">
        <f t="shared" si="119"/>
        <v/>
      </c>
      <c r="KI9" s="11" t="str">
        <f t="shared" si="120"/>
        <v/>
      </c>
      <c r="KJ9" s="11" t="str">
        <f t="shared" si="121"/>
        <v/>
      </c>
      <c r="KK9" s="11" t="str">
        <f t="shared" si="122"/>
        <v/>
      </c>
      <c r="KL9" s="11" t="str">
        <f t="shared" si="123"/>
        <v/>
      </c>
      <c r="KM9" s="11" t="str">
        <f t="shared" si="124"/>
        <v/>
      </c>
      <c r="KN9" s="11" t="str">
        <f t="shared" si="125"/>
        <v/>
      </c>
      <c r="KO9" s="11" t="str">
        <f t="shared" si="126"/>
        <v/>
      </c>
      <c r="KP9" s="11" t="str">
        <f t="shared" si="127"/>
        <v/>
      </c>
      <c r="KQ9" s="11" t="str">
        <f t="shared" si="128"/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0" t="str">
        <f t="shared" si="129"/>
        <v/>
      </c>
      <c r="LM9" s="40" t="str">
        <f t="shared" si="130"/>
        <v/>
      </c>
      <c r="LN9" s="40" t="str">
        <f t="shared" si="131"/>
        <v/>
      </c>
      <c r="LO9" s="40" t="str">
        <f t="shared" si="132"/>
        <v/>
      </c>
      <c r="LP9" s="40" t="str">
        <f t="shared" si="133"/>
        <v/>
      </c>
      <c r="LQ9" s="40" t="str">
        <f t="shared" si="134"/>
        <v/>
      </c>
      <c r="LR9" s="40" t="str">
        <f t="shared" si="135"/>
        <v/>
      </c>
      <c r="LS9" s="40" t="str">
        <f t="shared" si="136"/>
        <v/>
      </c>
      <c r="LT9" s="40" t="str">
        <f t="shared" si="137"/>
        <v/>
      </c>
      <c r="LU9" s="40" t="str">
        <f t="shared" si="138"/>
        <v/>
      </c>
      <c r="LV9" s="40" t="str">
        <f t="shared" si="139"/>
        <v/>
      </c>
      <c r="LW9" s="40" t="str">
        <f t="shared" si="140"/>
        <v/>
      </c>
      <c r="LX9" s="40" t="str">
        <f t="shared" si="141"/>
        <v/>
      </c>
      <c r="LY9" s="40" t="str">
        <f t="shared" si="142"/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 t="shared" si="143"/>
        <v/>
      </c>
      <c r="MU9" s="11" t="str">
        <f t="shared" si="144"/>
        <v/>
      </c>
      <c r="MV9" s="11" t="str">
        <f t="shared" si="145"/>
        <v/>
      </c>
      <c r="MW9" s="11" t="str">
        <f t="shared" si="146"/>
        <v/>
      </c>
      <c r="MX9" s="11" t="str">
        <f t="shared" si="147"/>
        <v/>
      </c>
      <c r="MY9" s="11" t="str">
        <f t="shared" si="148"/>
        <v/>
      </c>
      <c r="MZ9" s="11" t="str">
        <f t="shared" si="149"/>
        <v/>
      </c>
      <c r="NA9" s="11" t="str">
        <f t="shared" si="150"/>
        <v/>
      </c>
      <c r="NB9" s="11" t="str">
        <f t="shared" si="151"/>
        <v/>
      </c>
      <c r="NC9" s="11" t="str">
        <f t="shared" si="152"/>
        <v/>
      </c>
      <c r="ND9" s="11" t="str">
        <f t="shared" si="153"/>
        <v/>
      </c>
      <c r="NE9" s="11" t="str">
        <f t="shared" si="154"/>
        <v/>
      </c>
      <c r="NF9" s="11" t="str">
        <f t="shared" si="155"/>
        <v/>
      </c>
      <c r="NG9" s="11" t="str">
        <f t="shared" si="156"/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0" t="str">
        <f t="shared" si="157"/>
        <v/>
      </c>
      <c r="OC9" s="40" t="str">
        <f t="shared" si="158"/>
        <v/>
      </c>
      <c r="OD9" s="40" t="str">
        <f t="shared" si="159"/>
        <v/>
      </c>
      <c r="OE9" s="40" t="str">
        <f t="shared" si="160"/>
        <v/>
      </c>
      <c r="OF9" s="40" t="str">
        <f t="shared" si="161"/>
        <v/>
      </c>
      <c r="OG9" s="40" t="str">
        <f t="shared" si="162"/>
        <v/>
      </c>
      <c r="OH9" s="40" t="str">
        <f t="shared" si="163"/>
        <v/>
      </c>
      <c r="OI9" s="40" t="str">
        <f t="shared" si="164"/>
        <v/>
      </c>
      <c r="OJ9" s="40" t="str">
        <f t="shared" si="165"/>
        <v/>
      </c>
      <c r="OK9" s="40" t="str">
        <f t="shared" si="166"/>
        <v/>
      </c>
      <c r="OL9" s="40" t="str">
        <f t="shared" si="167"/>
        <v/>
      </c>
      <c r="OM9" s="40" t="str">
        <f t="shared" si="168"/>
        <v/>
      </c>
      <c r="ON9" s="40" t="str">
        <f t="shared" si="169"/>
        <v/>
      </c>
      <c r="OO9" s="40" t="str">
        <f t="shared" si="170"/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 t="shared" si="171"/>
        <v/>
      </c>
      <c r="PK9" s="11" t="str">
        <f t="shared" si="172"/>
        <v/>
      </c>
      <c r="PL9" s="11" t="str">
        <f t="shared" si="173"/>
        <v/>
      </c>
      <c r="PM9" s="11" t="str">
        <f t="shared" si="174"/>
        <v/>
      </c>
      <c r="PN9" s="11" t="str">
        <f t="shared" si="175"/>
        <v/>
      </c>
      <c r="PO9" s="11" t="str">
        <f t="shared" si="176"/>
        <v/>
      </c>
      <c r="PP9" s="11" t="str">
        <f t="shared" si="177"/>
        <v/>
      </c>
      <c r="PQ9" s="11" t="str">
        <f t="shared" si="178"/>
        <v/>
      </c>
      <c r="PR9" s="11" t="str">
        <f t="shared" si="179"/>
        <v/>
      </c>
      <c r="PS9" s="11" t="str">
        <f t="shared" si="180"/>
        <v/>
      </c>
      <c r="PT9" s="11" t="str">
        <f t="shared" si="181"/>
        <v/>
      </c>
      <c r="PU9" s="11" t="str">
        <f t="shared" si="182"/>
        <v/>
      </c>
      <c r="PV9" s="11" t="str">
        <f t="shared" si="183"/>
        <v/>
      </c>
      <c r="PW9" s="11" t="str">
        <f t="shared" si="184"/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0" t="str">
        <f t="shared" si="185"/>
        <v/>
      </c>
      <c r="QS9" s="40" t="str">
        <f t="shared" si="186"/>
        <v/>
      </c>
      <c r="QT9" s="40" t="str">
        <f t="shared" si="187"/>
        <v/>
      </c>
      <c r="QU9" s="40" t="str">
        <f t="shared" si="188"/>
        <v/>
      </c>
      <c r="QV9" s="40" t="str">
        <f t="shared" si="189"/>
        <v/>
      </c>
      <c r="QW9" s="40" t="str">
        <f t="shared" si="190"/>
        <v/>
      </c>
      <c r="QX9" s="40" t="str">
        <f t="shared" si="191"/>
        <v/>
      </c>
      <c r="QY9" s="40" t="str">
        <f t="shared" si="192"/>
        <v/>
      </c>
      <c r="QZ9" s="40" t="str">
        <f t="shared" si="193"/>
        <v/>
      </c>
      <c r="RA9" s="40" t="str">
        <f t="shared" si="194"/>
        <v/>
      </c>
      <c r="RB9" s="40" t="str">
        <f t="shared" si="195"/>
        <v/>
      </c>
      <c r="RC9" s="40" t="str">
        <f t="shared" si="196"/>
        <v/>
      </c>
      <c r="RD9" s="40" t="str">
        <f t="shared" si="197"/>
        <v/>
      </c>
      <c r="RE9" s="40" t="str">
        <f t="shared" si="198"/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 t="shared" si="199"/>
        <v/>
      </c>
      <c r="SA9" s="11" t="str">
        <f t="shared" si="200"/>
        <v/>
      </c>
      <c r="SB9" s="11" t="str">
        <f t="shared" si="201"/>
        <v/>
      </c>
      <c r="SC9" s="11" t="str">
        <f t="shared" si="202"/>
        <v/>
      </c>
      <c r="SD9" s="11" t="str">
        <f t="shared" si="203"/>
        <v/>
      </c>
      <c r="SE9" s="11" t="str">
        <f t="shared" si="204"/>
        <v/>
      </c>
      <c r="SF9" s="11" t="str">
        <f t="shared" si="205"/>
        <v/>
      </c>
      <c r="SG9" s="11" t="str">
        <f t="shared" si="206"/>
        <v/>
      </c>
      <c r="SH9" s="11" t="str">
        <f t="shared" si="207"/>
        <v/>
      </c>
      <c r="SI9" s="11" t="str">
        <f t="shared" si="208"/>
        <v/>
      </c>
      <c r="SJ9" s="11" t="str">
        <f t="shared" si="209"/>
        <v/>
      </c>
      <c r="SK9" s="11" t="str">
        <f t="shared" si="210"/>
        <v/>
      </c>
      <c r="SL9" s="11" t="str">
        <f t="shared" si="211"/>
        <v/>
      </c>
      <c r="SM9" s="11" t="str">
        <f t="shared" si="212"/>
        <v/>
      </c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40" t="str">
        <f t="shared" si="213"/>
        <v/>
      </c>
      <c r="TI9" s="40" t="str">
        <f t="shared" si="214"/>
        <v/>
      </c>
      <c r="TJ9" s="40" t="str">
        <f t="shared" si="215"/>
        <v/>
      </c>
      <c r="TK9" s="40" t="str">
        <f t="shared" si="216"/>
        <v/>
      </c>
      <c r="TL9" s="40" t="str">
        <f t="shared" si="217"/>
        <v/>
      </c>
      <c r="TM9" s="40" t="str">
        <f t="shared" si="218"/>
        <v/>
      </c>
      <c r="TN9" s="40" t="str">
        <f t="shared" si="219"/>
        <v/>
      </c>
      <c r="TO9" s="40" t="str">
        <f t="shared" si="220"/>
        <v/>
      </c>
      <c r="TP9" s="40" t="str">
        <f t="shared" si="221"/>
        <v/>
      </c>
      <c r="TQ9" s="40" t="str">
        <f t="shared" si="222"/>
        <v/>
      </c>
      <c r="TR9" s="40" t="str">
        <f t="shared" si="223"/>
        <v/>
      </c>
      <c r="TS9" s="40" t="str">
        <f t="shared" si="224"/>
        <v/>
      </c>
      <c r="TT9" s="40" t="str">
        <f t="shared" si="225"/>
        <v/>
      </c>
      <c r="TU9" s="40" t="str">
        <f t="shared" si="226"/>
        <v/>
      </c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1" t="str">
        <f t="shared" si="227"/>
        <v/>
      </c>
      <c r="UQ9" s="11" t="str">
        <f t="shared" si="228"/>
        <v/>
      </c>
      <c r="UR9" s="11" t="str">
        <f t="shared" si="229"/>
        <v/>
      </c>
      <c r="US9" s="11" t="str">
        <f t="shared" si="230"/>
        <v/>
      </c>
      <c r="UT9" s="11" t="str">
        <f t="shared" si="231"/>
        <v/>
      </c>
      <c r="UU9" s="11" t="str">
        <f t="shared" si="232"/>
        <v/>
      </c>
      <c r="UV9" s="11" t="str">
        <f t="shared" si="233"/>
        <v/>
      </c>
      <c r="UW9" s="11" t="str">
        <f t="shared" si="234"/>
        <v/>
      </c>
      <c r="UX9" s="11" t="str">
        <f t="shared" si="235"/>
        <v/>
      </c>
      <c r="UY9" s="11" t="str">
        <f t="shared" si="236"/>
        <v/>
      </c>
      <c r="UZ9" s="11" t="str">
        <f t="shared" si="237"/>
        <v/>
      </c>
      <c r="VA9" s="11" t="str">
        <f t="shared" si="238"/>
        <v/>
      </c>
      <c r="VB9" s="11" t="str">
        <f t="shared" si="239"/>
        <v/>
      </c>
      <c r="VC9" s="11" t="str">
        <f t="shared" si="240"/>
        <v/>
      </c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40" t="str">
        <f t="shared" si="241"/>
        <v/>
      </c>
      <c r="VY9" s="40" t="str">
        <f t="shared" si="242"/>
        <v/>
      </c>
      <c r="VZ9" s="40" t="str">
        <f t="shared" si="243"/>
        <v/>
      </c>
      <c r="WA9" s="40" t="str">
        <f t="shared" si="244"/>
        <v/>
      </c>
      <c r="WB9" s="40" t="str">
        <f t="shared" si="245"/>
        <v/>
      </c>
      <c r="WC9" s="40" t="str">
        <f t="shared" si="246"/>
        <v/>
      </c>
      <c r="WD9" s="40" t="str">
        <f t="shared" si="247"/>
        <v/>
      </c>
      <c r="WE9" s="40" t="str">
        <f t="shared" si="248"/>
        <v/>
      </c>
      <c r="WF9" s="40" t="str">
        <f t="shared" si="249"/>
        <v/>
      </c>
      <c r="WG9" s="40" t="str">
        <f t="shared" si="250"/>
        <v/>
      </c>
      <c r="WH9" s="40" t="str">
        <f t="shared" si="251"/>
        <v/>
      </c>
      <c r="WI9" s="40" t="str">
        <f t="shared" si="252"/>
        <v/>
      </c>
      <c r="WJ9" s="40" t="str">
        <f t="shared" si="253"/>
        <v/>
      </c>
      <c r="WK9" s="40" t="str">
        <f t="shared" si="254"/>
        <v/>
      </c>
      <c r="WL9" s="26">
        <f t="shared" si="255"/>
        <v>0</v>
      </c>
      <c r="WM9" s="26">
        <f t="shared" si="256"/>
        <v>0</v>
      </c>
      <c r="WN9" s="26">
        <f t="shared" si="257"/>
        <v>0</v>
      </c>
      <c r="WO9" s="26">
        <f t="shared" si="258"/>
        <v>0</v>
      </c>
      <c r="WP9" s="26">
        <f t="shared" si="259"/>
        <v>0</v>
      </c>
      <c r="WQ9" s="26">
        <f t="shared" si="260"/>
        <v>0</v>
      </c>
      <c r="WR9" s="26">
        <f t="shared" si="261"/>
        <v>0</v>
      </c>
      <c r="WS9" s="26">
        <f t="shared" si="262"/>
        <v>0</v>
      </c>
      <c r="WT9" s="26">
        <f t="shared" si="263"/>
        <v>0</v>
      </c>
      <c r="WU9" s="26">
        <f t="shared" si="264"/>
        <v>0</v>
      </c>
      <c r="WV9" s="26">
        <f t="shared" si="265"/>
        <v>0</v>
      </c>
      <c r="WW9" s="26">
        <f t="shared" si="266"/>
        <v>0</v>
      </c>
      <c r="WX9" s="26">
        <f t="shared" si="267"/>
        <v>0</v>
      </c>
      <c r="WY9" s="26">
        <f t="shared" si="268"/>
        <v>0</v>
      </c>
      <c r="WZ9" s="26">
        <f t="shared" si="269"/>
        <v>0</v>
      </c>
      <c r="XA9" s="28" t="s">
        <v>53</v>
      </c>
      <c r="XB9" s="11" t="str">
        <f t="shared" si="270"/>
        <v/>
      </c>
      <c r="XC9" s="11" t="str">
        <f t="shared" si="271"/>
        <v/>
      </c>
      <c r="XD9" s="11" t="str">
        <f t="shared" si="272"/>
        <v/>
      </c>
      <c r="XE9" s="11" t="str">
        <f t="shared" si="273"/>
        <v/>
      </c>
      <c r="XF9" s="11" t="str">
        <f t="shared" si="274"/>
        <v/>
      </c>
      <c r="XG9" s="11" t="str">
        <f t="shared" si="275"/>
        <v/>
      </c>
      <c r="XH9" s="11" t="str">
        <f t="shared" si="276"/>
        <v/>
      </c>
      <c r="XI9" s="11" t="str">
        <f t="shared" si="277"/>
        <v/>
      </c>
      <c r="XJ9" s="11" t="str">
        <f t="shared" si="278"/>
        <v/>
      </c>
      <c r="XK9" s="11" t="str">
        <f t="shared" si="279"/>
        <v/>
      </c>
      <c r="XL9" s="11" t="str">
        <f t="shared" si="280"/>
        <v/>
      </c>
    </row>
    <row r="10" spans="1:636" x14ac:dyDescent="0.2">
      <c r="A10" s="4" cm="1">
        <f t="array" ref="A10">IF(AND(H10&lt;&gt;"",H10&lt;&gt;"No DD"),SUMPRODUCT((H$4:H$16&lt;&gt;"")*(H$4:H$16&lt;&gt;"No DD")*(E$4:E$16&gt;E10))+1,IF(H10="No DD",SUMPRODUCT((H$4:H$16="No DD")*(E$4:E$16&gt;E10))+1+SUMPRODUCT((H$4:H$16&lt;&gt;"")*(H$4:H$16&lt;&gt;"No DD")),""))</f>
        <v>7</v>
      </c>
      <c r="B10" s="5" t="s">
        <v>209</v>
      </c>
      <c r="C10" s="4" t="s">
        <v>6</v>
      </c>
      <c r="D10" s="4" t="s">
        <v>210</v>
      </c>
      <c r="E10" s="9">
        <f t="shared" si="0"/>
        <v>88.2</v>
      </c>
      <c r="F10" s="3" t="str">
        <f t="shared" si="1"/>
        <v/>
      </c>
      <c r="G10" s="3" t="str">
        <f t="shared" si="2"/>
        <v>P</v>
      </c>
      <c r="H10" s="36" t="str">
        <f t="shared" si="3"/>
        <v>No DD</v>
      </c>
      <c r="I10" s="3" t="str">
        <f t="shared" si="4"/>
        <v/>
      </c>
      <c r="J10" s="8">
        <f>IF(COUNT(AI10,AL10,AP10,BJ10,BM10,BQ10,CK10,CN10,CR10)&gt;0,LARGE((AI10,AL10,AP10,BJ10,BM10,BQ10,CK10,CN10,CR10),1),0)</f>
        <v>44.34</v>
      </c>
      <c r="K10" s="8" t="str">
        <f t="shared" si="5"/>
        <v>2024 Nationals</v>
      </c>
      <c r="L10" s="8">
        <f>IF(COUNT(AI10,AL10,AP10,BJ10,BM10,BQ10,CK10,CN10,CR10)&gt;1,LARGE((AI10,AL10,AP10,BJ10,BM10,BQ10,CK10,CN10,CR10),2),0)</f>
        <v>43.86</v>
      </c>
      <c r="M10" s="8" t="str">
        <f t="shared" si="6"/>
        <v>2024 Nationals</v>
      </c>
      <c r="N10" s="8" t="str">
        <f t="shared" si="7"/>
        <v/>
      </c>
      <c r="O10" s="11" t="str">
        <f t="shared" si="8"/>
        <v/>
      </c>
      <c r="P10" s="8" t="str">
        <f t="shared" si="9"/>
        <v/>
      </c>
      <c r="Q10" s="22">
        <v>2.4</v>
      </c>
      <c r="R10" s="22">
        <v>2.85</v>
      </c>
      <c r="S10" s="22">
        <v>3.4</v>
      </c>
      <c r="T10" s="22">
        <v>4.68</v>
      </c>
      <c r="U10" s="22">
        <v>0</v>
      </c>
      <c r="V10" s="22">
        <v>7.75</v>
      </c>
      <c r="W10" s="22">
        <v>9.3000000000000007</v>
      </c>
      <c r="X10" s="22">
        <v>9.1</v>
      </c>
      <c r="Y10" s="22">
        <v>17.600000000000001</v>
      </c>
      <c r="Z10" s="22">
        <v>0</v>
      </c>
      <c r="AA10" s="22">
        <v>5.25</v>
      </c>
      <c r="AB10" s="22">
        <v>6.35</v>
      </c>
      <c r="AC10" s="22">
        <v>6.7</v>
      </c>
      <c r="AD10" s="22">
        <v>12.14</v>
      </c>
      <c r="AE10" s="22">
        <v>0</v>
      </c>
      <c r="AF10" s="27"/>
      <c r="AG10" s="38">
        <f t="shared" si="10"/>
        <v>3.4</v>
      </c>
      <c r="AH10" s="38">
        <f t="shared" si="11"/>
        <v>4.68</v>
      </c>
      <c r="AI10" s="40">
        <f t="shared" si="12"/>
        <v>13.33</v>
      </c>
      <c r="AJ10" s="40">
        <f t="shared" si="13"/>
        <v>9.1</v>
      </c>
      <c r="AK10" s="40">
        <f t="shared" si="14"/>
        <v>17.600000000000001</v>
      </c>
      <c r="AL10" s="40">
        <f t="shared" si="15"/>
        <v>43.75</v>
      </c>
      <c r="AM10" s="40">
        <f t="shared" si="16"/>
        <v>43.75</v>
      </c>
      <c r="AN10" s="40">
        <f t="shared" si="17"/>
        <v>6.7</v>
      </c>
      <c r="AO10" s="40">
        <f t="shared" si="18"/>
        <v>12.14</v>
      </c>
      <c r="AP10" s="40">
        <f t="shared" si="19"/>
        <v>30.44</v>
      </c>
      <c r="AQ10" s="40">
        <f t="shared" si="20"/>
        <v>74.19</v>
      </c>
      <c r="AR10" s="26">
        <v>7.8</v>
      </c>
      <c r="AS10" s="26">
        <v>9.5</v>
      </c>
      <c r="AT10" s="26">
        <v>9.1</v>
      </c>
      <c r="AU10" s="26">
        <v>16.420000000000002</v>
      </c>
      <c r="AV10" s="26">
        <v>0</v>
      </c>
      <c r="AW10" s="26">
        <v>8.0500000000000007</v>
      </c>
      <c r="AX10" s="26">
        <v>9.15</v>
      </c>
      <c r="AY10" s="26">
        <v>9.1</v>
      </c>
      <c r="AZ10" s="26">
        <v>18.04</v>
      </c>
      <c r="BA10" s="26">
        <v>0</v>
      </c>
      <c r="BB10" s="26">
        <v>7.6</v>
      </c>
      <c r="BC10" s="26">
        <v>9.4</v>
      </c>
      <c r="BD10" s="26">
        <v>9.1</v>
      </c>
      <c r="BE10" s="26">
        <v>17.760000000000002</v>
      </c>
      <c r="BF10" s="26">
        <v>0</v>
      </c>
      <c r="BG10" s="28"/>
      <c r="BH10" s="39">
        <f t="shared" si="21"/>
        <v>9.1</v>
      </c>
      <c r="BI10" s="39">
        <f t="shared" si="22"/>
        <v>16.420000000000002</v>
      </c>
      <c r="BJ10" s="11">
        <f t="shared" si="23"/>
        <v>42.82</v>
      </c>
      <c r="BK10" s="11">
        <f t="shared" si="24"/>
        <v>9.1</v>
      </c>
      <c r="BL10" s="11">
        <f t="shared" si="25"/>
        <v>18.04</v>
      </c>
      <c r="BM10" s="11">
        <f t="shared" si="26"/>
        <v>44.34</v>
      </c>
      <c r="BN10" s="11">
        <f t="shared" si="27"/>
        <v>44.34</v>
      </c>
      <c r="BO10" s="11">
        <f t="shared" si="28"/>
        <v>9.1</v>
      </c>
      <c r="BP10" s="11">
        <f t="shared" si="29"/>
        <v>17.760000000000002</v>
      </c>
      <c r="BQ10" s="11">
        <f t="shared" si="30"/>
        <v>43.86</v>
      </c>
      <c r="BR10" s="11">
        <f t="shared" si="31"/>
        <v>88.2</v>
      </c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  <c r="CD10" s="22"/>
      <c r="CE10" s="22"/>
      <c r="CF10" s="22"/>
      <c r="CG10" s="22"/>
      <c r="CH10" s="27"/>
      <c r="CI10" s="38" t="str">
        <f t="shared" si="32"/>
        <v/>
      </c>
      <c r="CJ10" s="38" t="str">
        <f t="shared" si="33"/>
        <v/>
      </c>
      <c r="CK10" s="40" t="str">
        <f t="shared" si="34"/>
        <v/>
      </c>
      <c r="CL10" s="40" t="str">
        <f t="shared" si="35"/>
        <v/>
      </c>
      <c r="CM10" s="40" t="str">
        <f t="shared" si="36"/>
        <v/>
      </c>
      <c r="CN10" s="40" t="str">
        <f t="shared" si="37"/>
        <v/>
      </c>
      <c r="CO10" s="40" t="str">
        <f t="shared" si="38"/>
        <v/>
      </c>
      <c r="CP10" s="40" t="str">
        <f t="shared" si="39"/>
        <v/>
      </c>
      <c r="CQ10" s="40" t="str">
        <f t="shared" si="40"/>
        <v/>
      </c>
      <c r="CR10" s="40" t="str">
        <f t="shared" si="41"/>
        <v/>
      </c>
      <c r="CS10" s="40" t="str">
        <f t="shared" si="42"/>
        <v/>
      </c>
      <c r="CT10" s="51" t="str">
        <f t="shared" si="43"/>
        <v/>
      </c>
      <c r="CU10" s="51" t="str">
        <f t="shared" si="44"/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0" t="str">
        <f t="shared" si="45"/>
        <v/>
      </c>
      <c r="DQ10" s="40" t="str">
        <f t="shared" si="46"/>
        <v/>
      </c>
      <c r="DR10" s="40" t="str">
        <f t="shared" si="47"/>
        <v/>
      </c>
      <c r="DS10" s="40" t="str">
        <f t="shared" si="48"/>
        <v/>
      </c>
      <c r="DT10" s="40" t="str">
        <f t="shared" si="49"/>
        <v/>
      </c>
      <c r="DU10" s="40" t="str">
        <f t="shared" si="50"/>
        <v/>
      </c>
      <c r="DV10" s="40" t="str">
        <f t="shared" si="51"/>
        <v/>
      </c>
      <c r="DW10" s="40" t="str">
        <f t="shared" si="52"/>
        <v/>
      </c>
      <c r="DX10" s="40" t="str">
        <f t="shared" si="53"/>
        <v/>
      </c>
      <c r="DY10" s="40" t="str">
        <f t="shared" si="54"/>
        <v/>
      </c>
      <c r="DZ10" s="40" t="str">
        <f t="shared" si="55"/>
        <v/>
      </c>
      <c r="EA10" s="40" t="str">
        <f t="shared" si="56"/>
        <v/>
      </c>
      <c r="EB10" s="40" t="str">
        <f t="shared" si="57"/>
        <v/>
      </c>
      <c r="EC10" s="40" t="str">
        <f t="shared" si="58"/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 t="shared" si="59"/>
        <v/>
      </c>
      <c r="EY10" s="11" t="str">
        <f t="shared" si="60"/>
        <v/>
      </c>
      <c r="EZ10" s="11" t="str">
        <f t="shared" si="61"/>
        <v/>
      </c>
      <c r="FA10" s="11" t="str">
        <f t="shared" si="62"/>
        <v/>
      </c>
      <c r="FB10" s="11" t="str">
        <f t="shared" si="63"/>
        <v/>
      </c>
      <c r="FC10" s="11" t="str">
        <f t="shared" si="64"/>
        <v/>
      </c>
      <c r="FD10" s="11" t="str">
        <f t="shared" si="65"/>
        <v/>
      </c>
      <c r="FE10" s="11" t="str">
        <f t="shared" si="66"/>
        <v/>
      </c>
      <c r="FF10" s="11" t="str">
        <f t="shared" si="67"/>
        <v/>
      </c>
      <c r="FG10" s="11" t="str">
        <f t="shared" si="68"/>
        <v/>
      </c>
      <c r="FH10" s="11" t="str">
        <f t="shared" si="69"/>
        <v/>
      </c>
      <c r="FI10" s="11" t="str">
        <f t="shared" si="70"/>
        <v/>
      </c>
      <c r="FJ10" s="11" t="str">
        <f t="shared" si="71"/>
        <v/>
      </c>
      <c r="FK10" s="11" t="str">
        <f t="shared" si="72"/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0" t="str">
        <f t="shared" si="73"/>
        <v/>
      </c>
      <c r="GG10" s="40" t="str">
        <f t="shared" si="74"/>
        <v/>
      </c>
      <c r="GH10" s="40" t="str">
        <f t="shared" si="75"/>
        <v/>
      </c>
      <c r="GI10" s="40" t="str">
        <f t="shared" si="76"/>
        <v/>
      </c>
      <c r="GJ10" s="40" t="str">
        <f t="shared" si="77"/>
        <v/>
      </c>
      <c r="GK10" s="40" t="str">
        <f t="shared" si="78"/>
        <v/>
      </c>
      <c r="GL10" s="40" t="str">
        <f t="shared" si="79"/>
        <v/>
      </c>
      <c r="GM10" s="40" t="str">
        <f t="shared" si="80"/>
        <v/>
      </c>
      <c r="GN10" s="40" t="str">
        <f t="shared" si="81"/>
        <v/>
      </c>
      <c r="GO10" s="40" t="str">
        <f t="shared" si="82"/>
        <v/>
      </c>
      <c r="GP10" s="40" t="str">
        <f t="shared" si="83"/>
        <v/>
      </c>
      <c r="GQ10" s="40" t="str">
        <f t="shared" si="84"/>
        <v/>
      </c>
      <c r="GR10" s="40" t="str">
        <f t="shared" si="85"/>
        <v/>
      </c>
      <c r="GS10" s="40" t="str">
        <f t="shared" si="86"/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 t="shared" si="87"/>
        <v/>
      </c>
      <c r="HO10" s="11" t="str">
        <f t="shared" si="88"/>
        <v/>
      </c>
      <c r="HP10" s="11" t="str">
        <f t="shared" si="89"/>
        <v/>
      </c>
      <c r="HQ10" s="11" t="str">
        <f t="shared" si="90"/>
        <v/>
      </c>
      <c r="HR10" s="11" t="str">
        <f t="shared" si="91"/>
        <v/>
      </c>
      <c r="HS10" s="11" t="str">
        <f t="shared" si="92"/>
        <v/>
      </c>
      <c r="HT10" s="11" t="str">
        <f t="shared" si="93"/>
        <v/>
      </c>
      <c r="HU10" s="11" t="str">
        <f t="shared" si="94"/>
        <v/>
      </c>
      <c r="HV10" s="11" t="str">
        <f t="shared" si="95"/>
        <v/>
      </c>
      <c r="HW10" s="11" t="str">
        <f t="shared" si="96"/>
        <v/>
      </c>
      <c r="HX10" s="11" t="str">
        <f t="shared" si="97"/>
        <v/>
      </c>
      <c r="HY10" s="11" t="str">
        <f t="shared" si="98"/>
        <v/>
      </c>
      <c r="HZ10" s="11" t="str">
        <f t="shared" si="99"/>
        <v/>
      </c>
      <c r="IA10" s="11" t="str">
        <f t="shared" si="100"/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0" t="str">
        <f t="shared" si="101"/>
        <v/>
      </c>
      <c r="IW10" s="40" t="str">
        <f t="shared" si="102"/>
        <v/>
      </c>
      <c r="IX10" s="40" t="str">
        <f t="shared" si="103"/>
        <v/>
      </c>
      <c r="IY10" s="40" t="str">
        <f t="shared" si="104"/>
        <v/>
      </c>
      <c r="IZ10" s="40" t="str">
        <f t="shared" si="105"/>
        <v/>
      </c>
      <c r="JA10" s="40" t="str">
        <f t="shared" si="106"/>
        <v/>
      </c>
      <c r="JB10" s="40" t="str">
        <f t="shared" si="107"/>
        <v/>
      </c>
      <c r="JC10" s="40" t="str">
        <f t="shared" si="108"/>
        <v/>
      </c>
      <c r="JD10" s="40" t="str">
        <f t="shared" si="109"/>
        <v/>
      </c>
      <c r="JE10" s="40" t="str">
        <f t="shared" si="110"/>
        <v/>
      </c>
      <c r="JF10" s="40" t="str">
        <f t="shared" si="111"/>
        <v/>
      </c>
      <c r="JG10" s="40" t="str">
        <f t="shared" si="112"/>
        <v/>
      </c>
      <c r="JH10" s="40" t="str">
        <f t="shared" si="113"/>
        <v/>
      </c>
      <c r="JI10" s="40" t="str">
        <f t="shared" si="114"/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 t="shared" si="115"/>
        <v/>
      </c>
      <c r="KE10" s="11" t="str">
        <f t="shared" si="116"/>
        <v/>
      </c>
      <c r="KF10" s="11" t="str">
        <f t="shared" si="117"/>
        <v/>
      </c>
      <c r="KG10" s="11" t="str">
        <f t="shared" si="118"/>
        <v/>
      </c>
      <c r="KH10" s="11" t="str">
        <f t="shared" si="119"/>
        <v/>
      </c>
      <c r="KI10" s="11" t="str">
        <f t="shared" si="120"/>
        <v/>
      </c>
      <c r="KJ10" s="11" t="str">
        <f t="shared" si="121"/>
        <v/>
      </c>
      <c r="KK10" s="11" t="str">
        <f t="shared" si="122"/>
        <v/>
      </c>
      <c r="KL10" s="11" t="str">
        <f t="shared" si="123"/>
        <v/>
      </c>
      <c r="KM10" s="11" t="str">
        <f t="shared" si="124"/>
        <v/>
      </c>
      <c r="KN10" s="11" t="str">
        <f t="shared" si="125"/>
        <v/>
      </c>
      <c r="KO10" s="11" t="str">
        <f t="shared" si="126"/>
        <v/>
      </c>
      <c r="KP10" s="11" t="str">
        <f t="shared" si="127"/>
        <v/>
      </c>
      <c r="KQ10" s="11" t="str">
        <f t="shared" si="128"/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0" t="str">
        <f t="shared" si="129"/>
        <v/>
      </c>
      <c r="LM10" s="40" t="str">
        <f t="shared" si="130"/>
        <v/>
      </c>
      <c r="LN10" s="40" t="str">
        <f t="shared" si="131"/>
        <v/>
      </c>
      <c r="LO10" s="40" t="str">
        <f t="shared" si="132"/>
        <v/>
      </c>
      <c r="LP10" s="40" t="str">
        <f t="shared" si="133"/>
        <v/>
      </c>
      <c r="LQ10" s="40" t="str">
        <f t="shared" si="134"/>
        <v/>
      </c>
      <c r="LR10" s="40" t="str">
        <f t="shared" si="135"/>
        <v/>
      </c>
      <c r="LS10" s="40" t="str">
        <f t="shared" si="136"/>
        <v/>
      </c>
      <c r="LT10" s="40" t="str">
        <f t="shared" si="137"/>
        <v/>
      </c>
      <c r="LU10" s="40" t="str">
        <f t="shared" si="138"/>
        <v/>
      </c>
      <c r="LV10" s="40" t="str">
        <f t="shared" si="139"/>
        <v/>
      </c>
      <c r="LW10" s="40" t="str">
        <f t="shared" si="140"/>
        <v/>
      </c>
      <c r="LX10" s="40" t="str">
        <f t="shared" si="141"/>
        <v/>
      </c>
      <c r="LY10" s="40" t="str">
        <f t="shared" si="142"/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 t="shared" si="143"/>
        <v/>
      </c>
      <c r="MU10" s="11" t="str">
        <f t="shared" si="144"/>
        <v/>
      </c>
      <c r="MV10" s="11" t="str">
        <f t="shared" si="145"/>
        <v/>
      </c>
      <c r="MW10" s="11" t="str">
        <f t="shared" si="146"/>
        <v/>
      </c>
      <c r="MX10" s="11" t="str">
        <f t="shared" si="147"/>
        <v/>
      </c>
      <c r="MY10" s="11" t="str">
        <f t="shared" si="148"/>
        <v/>
      </c>
      <c r="MZ10" s="11" t="str">
        <f t="shared" si="149"/>
        <v/>
      </c>
      <c r="NA10" s="11" t="str">
        <f t="shared" si="150"/>
        <v/>
      </c>
      <c r="NB10" s="11" t="str">
        <f t="shared" si="151"/>
        <v/>
      </c>
      <c r="NC10" s="11" t="str">
        <f t="shared" si="152"/>
        <v/>
      </c>
      <c r="ND10" s="11" t="str">
        <f t="shared" si="153"/>
        <v/>
      </c>
      <c r="NE10" s="11" t="str">
        <f t="shared" si="154"/>
        <v/>
      </c>
      <c r="NF10" s="11" t="str">
        <f t="shared" si="155"/>
        <v/>
      </c>
      <c r="NG10" s="11" t="str">
        <f t="shared" si="156"/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0" t="str">
        <f t="shared" si="157"/>
        <v/>
      </c>
      <c r="OC10" s="40" t="str">
        <f t="shared" si="158"/>
        <v/>
      </c>
      <c r="OD10" s="40" t="str">
        <f t="shared" si="159"/>
        <v/>
      </c>
      <c r="OE10" s="40" t="str">
        <f t="shared" si="160"/>
        <v/>
      </c>
      <c r="OF10" s="40" t="str">
        <f t="shared" si="161"/>
        <v/>
      </c>
      <c r="OG10" s="40" t="str">
        <f t="shared" si="162"/>
        <v/>
      </c>
      <c r="OH10" s="40" t="str">
        <f t="shared" si="163"/>
        <v/>
      </c>
      <c r="OI10" s="40" t="str">
        <f t="shared" si="164"/>
        <v/>
      </c>
      <c r="OJ10" s="40" t="str">
        <f t="shared" si="165"/>
        <v/>
      </c>
      <c r="OK10" s="40" t="str">
        <f t="shared" si="166"/>
        <v/>
      </c>
      <c r="OL10" s="40" t="str">
        <f t="shared" si="167"/>
        <v/>
      </c>
      <c r="OM10" s="40" t="str">
        <f t="shared" si="168"/>
        <v/>
      </c>
      <c r="ON10" s="40" t="str">
        <f t="shared" si="169"/>
        <v/>
      </c>
      <c r="OO10" s="40" t="str">
        <f t="shared" si="170"/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 t="shared" si="171"/>
        <v/>
      </c>
      <c r="PK10" s="11" t="str">
        <f t="shared" si="172"/>
        <v/>
      </c>
      <c r="PL10" s="11" t="str">
        <f t="shared" si="173"/>
        <v/>
      </c>
      <c r="PM10" s="11" t="str">
        <f t="shared" si="174"/>
        <v/>
      </c>
      <c r="PN10" s="11" t="str">
        <f t="shared" si="175"/>
        <v/>
      </c>
      <c r="PO10" s="11" t="str">
        <f t="shared" si="176"/>
        <v/>
      </c>
      <c r="PP10" s="11" t="str">
        <f t="shared" si="177"/>
        <v/>
      </c>
      <c r="PQ10" s="11" t="str">
        <f t="shared" si="178"/>
        <v/>
      </c>
      <c r="PR10" s="11" t="str">
        <f t="shared" si="179"/>
        <v/>
      </c>
      <c r="PS10" s="11" t="str">
        <f t="shared" si="180"/>
        <v/>
      </c>
      <c r="PT10" s="11" t="str">
        <f t="shared" si="181"/>
        <v/>
      </c>
      <c r="PU10" s="11" t="str">
        <f t="shared" si="182"/>
        <v/>
      </c>
      <c r="PV10" s="11" t="str">
        <f t="shared" si="183"/>
        <v/>
      </c>
      <c r="PW10" s="11" t="str">
        <f t="shared" si="184"/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0" t="str">
        <f t="shared" si="185"/>
        <v/>
      </c>
      <c r="QS10" s="40" t="str">
        <f t="shared" si="186"/>
        <v/>
      </c>
      <c r="QT10" s="40" t="str">
        <f t="shared" si="187"/>
        <v/>
      </c>
      <c r="QU10" s="40" t="str">
        <f t="shared" si="188"/>
        <v/>
      </c>
      <c r="QV10" s="40" t="str">
        <f t="shared" si="189"/>
        <v/>
      </c>
      <c r="QW10" s="40" t="str">
        <f t="shared" si="190"/>
        <v/>
      </c>
      <c r="QX10" s="40" t="str">
        <f t="shared" si="191"/>
        <v/>
      </c>
      <c r="QY10" s="40" t="str">
        <f t="shared" si="192"/>
        <v/>
      </c>
      <c r="QZ10" s="40" t="str">
        <f t="shared" si="193"/>
        <v/>
      </c>
      <c r="RA10" s="40" t="str">
        <f t="shared" si="194"/>
        <v/>
      </c>
      <c r="RB10" s="40" t="str">
        <f t="shared" si="195"/>
        <v/>
      </c>
      <c r="RC10" s="40" t="str">
        <f t="shared" si="196"/>
        <v/>
      </c>
      <c r="RD10" s="40" t="str">
        <f t="shared" si="197"/>
        <v/>
      </c>
      <c r="RE10" s="40" t="str">
        <f t="shared" si="198"/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 t="shared" si="199"/>
        <v/>
      </c>
      <c r="SA10" s="11" t="str">
        <f t="shared" si="200"/>
        <v/>
      </c>
      <c r="SB10" s="11" t="str">
        <f t="shared" si="201"/>
        <v/>
      </c>
      <c r="SC10" s="11" t="str">
        <f t="shared" si="202"/>
        <v/>
      </c>
      <c r="SD10" s="11" t="str">
        <f t="shared" si="203"/>
        <v/>
      </c>
      <c r="SE10" s="11" t="str">
        <f t="shared" si="204"/>
        <v/>
      </c>
      <c r="SF10" s="11" t="str">
        <f t="shared" si="205"/>
        <v/>
      </c>
      <c r="SG10" s="11" t="str">
        <f t="shared" si="206"/>
        <v/>
      </c>
      <c r="SH10" s="11" t="str">
        <f t="shared" si="207"/>
        <v/>
      </c>
      <c r="SI10" s="11" t="str">
        <f t="shared" si="208"/>
        <v/>
      </c>
      <c r="SJ10" s="11" t="str">
        <f t="shared" si="209"/>
        <v/>
      </c>
      <c r="SK10" s="11" t="str">
        <f t="shared" si="210"/>
        <v/>
      </c>
      <c r="SL10" s="11" t="str">
        <f t="shared" si="211"/>
        <v/>
      </c>
      <c r="SM10" s="11" t="str">
        <f t="shared" si="212"/>
        <v/>
      </c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40" t="str">
        <f t="shared" si="213"/>
        <v/>
      </c>
      <c r="TI10" s="40" t="str">
        <f t="shared" si="214"/>
        <v/>
      </c>
      <c r="TJ10" s="40" t="str">
        <f t="shared" si="215"/>
        <v/>
      </c>
      <c r="TK10" s="40" t="str">
        <f t="shared" si="216"/>
        <v/>
      </c>
      <c r="TL10" s="40" t="str">
        <f t="shared" si="217"/>
        <v/>
      </c>
      <c r="TM10" s="40" t="str">
        <f t="shared" si="218"/>
        <v/>
      </c>
      <c r="TN10" s="40" t="str">
        <f t="shared" si="219"/>
        <v/>
      </c>
      <c r="TO10" s="40" t="str">
        <f t="shared" si="220"/>
        <v/>
      </c>
      <c r="TP10" s="40" t="str">
        <f t="shared" si="221"/>
        <v/>
      </c>
      <c r="TQ10" s="40" t="str">
        <f t="shared" si="222"/>
        <v/>
      </c>
      <c r="TR10" s="40" t="str">
        <f t="shared" si="223"/>
        <v/>
      </c>
      <c r="TS10" s="40" t="str">
        <f t="shared" si="224"/>
        <v/>
      </c>
      <c r="TT10" s="40" t="str">
        <f t="shared" si="225"/>
        <v/>
      </c>
      <c r="TU10" s="40" t="str">
        <f t="shared" si="226"/>
        <v/>
      </c>
      <c r="TV10" s="18"/>
      <c r="TW10" s="18"/>
      <c r="TX10" s="18"/>
      <c r="TY10" s="18"/>
      <c r="TZ10" s="18"/>
      <c r="UA10" s="18"/>
      <c r="UB10" s="18"/>
      <c r="UC10" s="18"/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1" t="str">
        <f t="shared" si="227"/>
        <v/>
      </c>
      <c r="UQ10" s="11" t="str">
        <f t="shared" si="228"/>
        <v/>
      </c>
      <c r="UR10" s="11" t="str">
        <f t="shared" si="229"/>
        <v/>
      </c>
      <c r="US10" s="11" t="str">
        <f t="shared" si="230"/>
        <v/>
      </c>
      <c r="UT10" s="11" t="str">
        <f t="shared" si="231"/>
        <v/>
      </c>
      <c r="UU10" s="11" t="str">
        <f t="shared" si="232"/>
        <v/>
      </c>
      <c r="UV10" s="11" t="str">
        <f t="shared" si="233"/>
        <v/>
      </c>
      <c r="UW10" s="11" t="str">
        <f t="shared" si="234"/>
        <v/>
      </c>
      <c r="UX10" s="11" t="str">
        <f t="shared" si="235"/>
        <v/>
      </c>
      <c r="UY10" s="11" t="str">
        <f t="shared" si="236"/>
        <v/>
      </c>
      <c r="UZ10" s="11" t="str">
        <f t="shared" si="237"/>
        <v/>
      </c>
      <c r="VA10" s="11" t="str">
        <f t="shared" si="238"/>
        <v/>
      </c>
      <c r="VB10" s="11" t="str">
        <f t="shared" si="239"/>
        <v/>
      </c>
      <c r="VC10" s="11" t="str">
        <f t="shared" si="240"/>
        <v/>
      </c>
      <c r="VD10" s="17"/>
      <c r="VE10" s="17"/>
      <c r="VF10" s="17"/>
      <c r="VG10" s="17"/>
      <c r="VH10" s="17"/>
      <c r="VI10" s="17"/>
      <c r="VJ10" s="17"/>
      <c r="VK10" s="17"/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40" t="str">
        <f t="shared" si="241"/>
        <v/>
      </c>
      <c r="VY10" s="40" t="str">
        <f t="shared" si="242"/>
        <v/>
      </c>
      <c r="VZ10" s="40" t="str">
        <f t="shared" si="243"/>
        <v/>
      </c>
      <c r="WA10" s="40" t="str">
        <f t="shared" si="244"/>
        <v/>
      </c>
      <c r="WB10" s="40" t="str">
        <f t="shared" si="245"/>
        <v/>
      </c>
      <c r="WC10" s="40" t="str">
        <f t="shared" si="246"/>
        <v/>
      </c>
      <c r="WD10" s="40" t="str">
        <f t="shared" si="247"/>
        <v/>
      </c>
      <c r="WE10" s="40" t="str">
        <f t="shared" si="248"/>
        <v/>
      </c>
      <c r="WF10" s="40" t="str">
        <f t="shared" si="249"/>
        <v/>
      </c>
      <c r="WG10" s="40" t="str">
        <f t="shared" si="250"/>
        <v/>
      </c>
      <c r="WH10" s="40" t="str">
        <f t="shared" si="251"/>
        <v/>
      </c>
      <c r="WI10" s="40" t="str">
        <f t="shared" si="252"/>
        <v/>
      </c>
      <c r="WJ10" s="40" t="str">
        <f t="shared" si="253"/>
        <v/>
      </c>
      <c r="WK10" s="40" t="str">
        <f t="shared" si="254"/>
        <v/>
      </c>
      <c r="WL10" s="26">
        <f t="shared" si="255"/>
        <v>3.9</v>
      </c>
      <c r="WM10" s="26">
        <f t="shared" si="256"/>
        <v>4.75</v>
      </c>
      <c r="WN10" s="26">
        <f t="shared" si="257"/>
        <v>4.55</v>
      </c>
      <c r="WO10" s="26">
        <f t="shared" si="258"/>
        <v>8.2100000000000009</v>
      </c>
      <c r="WP10" s="26">
        <f t="shared" si="259"/>
        <v>0</v>
      </c>
      <c r="WQ10" s="26">
        <f t="shared" si="260"/>
        <v>4.0250000000000004</v>
      </c>
      <c r="WR10" s="26">
        <f t="shared" si="261"/>
        <v>4.5750000000000002</v>
      </c>
      <c r="WS10" s="26">
        <f t="shared" si="262"/>
        <v>4.55</v>
      </c>
      <c r="WT10" s="26">
        <f t="shared" si="263"/>
        <v>9.02</v>
      </c>
      <c r="WU10" s="26">
        <f t="shared" si="264"/>
        <v>0</v>
      </c>
      <c r="WV10" s="26">
        <f t="shared" si="265"/>
        <v>3.8</v>
      </c>
      <c r="WW10" s="26">
        <f t="shared" si="266"/>
        <v>4.7</v>
      </c>
      <c r="WX10" s="26">
        <f t="shared" si="267"/>
        <v>4.55</v>
      </c>
      <c r="WY10" s="26">
        <f t="shared" si="268"/>
        <v>8.8800000000000008</v>
      </c>
      <c r="WZ10" s="26">
        <f t="shared" si="269"/>
        <v>0</v>
      </c>
      <c r="XA10" s="28" t="s">
        <v>53</v>
      </c>
      <c r="XB10" s="11">
        <f t="shared" si="270"/>
        <v>4.55</v>
      </c>
      <c r="XC10" s="11">
        <f t="shared" si="271"/>
        <v>8.2100000000000009</v>
      </c>
      <c r="XD10" s="11">
        <f t="shared" si="272"/>
        <v>21.41</v>
      </c>
      <c r="XE10" s="11">
        <f t="shared" si="273"/>
        <v>4.55</v>
      </c>
      <c r="XF10" s="11">
        <f t="shared" si="274"/>
        <v>9.02</v>
      </c>
      <c r="XG10" s="11">
        <f t="shared" si="275"/>
        <v>22.17</v>
      </c>
      <c r="XH10" s="11">
        <f t="shared" si="276"/>
        <v>22.17</v>
      </c>
      <c r="XI10" s="11">
        <f t="shared" si="277"/>
        <v>4.55</v>
      </c>
      <c r="XJ10" s="11">
        <f t="shared" si="278"/>
        <v>8.8800000000000008</v>
      </c>
      <c r="XK10" s="11">
        <f t="shared" si="279"/>
        <v>21.93</v>
      </c>
      <c r="XL10" s="11">
        <f t="shared" si="280"/>
        <v>44.1</v>
      </c>
    </row>
    <row r="11" spans="1:636" x14ac:dyDescent="0.2">
      <c r="A11" s="4" cm="1">
        <f t="array" ref="A11">IF(AND(H11&lt;&gt;"",H11&lt;&gt;"No DD"),SUMPRODUCT((H$4:H$16&lt;&gt;"")*(H$4:H$16&lt;&gt;"No DD")*(E$4:E$16&gt;E11))+1,IF(H11="No DD",SUMPRODUCT((H$4:H$16="No DD")*(E$4:E$16&gt;E11))+1+SUMPRODUCT((H$4:H$16&lt;&gt;"")*(H$4:H$16&lt;&gt;"No DD")),""))</f>
        <v>8</v>
      </c>
      <c r="B11" s="5" t="s">
        <v>208</v>
      </c>
      <c r="C11" s="4" t="s">
        <v>207</v>
      </c>
      <c r="D11" s="4" t="s">
        <v>163</v>
      </c>
      <c r="E11" s="9">
        <f t="shared" si="0"/>
        <v>80.67</v>
      </c>
      <c r="F11" s="3" t="str">
        <f t="shared" si="1"/>
        <v/>
      </c>
      <c r="G11" s="3" t="str">
        <f t="shared" si="2"/>
        <v>P</v>
      </c>
      <c r="H11" s="36" t="str">
        <f t="shared" si="3"/>
        <v>No DD</v>
      </c>
      <c r="I11" s="3" t="str">
        <f t="shared" si="4"/>
        <v/>
      </c>
      <c r="J11" s="8">
        <f>IF(COUNT(AI11,AL11,AP11,BJ11,BM11,BQ11,CK11,CN11,CR11)&gt;0,LARGE((AI11,AL11,AP11,BJ11,BM11,BQ11,CK11,CN11,CR11),1),0)</f>
        <v>44.78</v>
      </c>
      <c r="K11" s="8" t="str">
        <f t="shared" si="5"/>
        <v>2024 Nationals</v>
      </c>
      <c r="L11" s="8">
        <f>IF(COUNT(AI11,AL11,AP11,BJ11,BM11,BQ11,CK11,CN11,CR11)&gt;1,LARGE((AI11,AL11,AP11,BJ11,BM11,BQ11,CK11,CN11,CR11),2),0)</f>
        <v>35.89</v>
      </c>
      <c r="M11" s="8" t="str">
        <f t="shared" si="6"/>
        <v>2024 Nationals</v>
      </c>
      <c r="N11" s="8" t="str">
        <f t="shared" si="7"/>
        <v/>
      </c>
      <c r="O11" s="11" t="str">
        <f t="shared" si="8"/>
        <v/>
      </c>
      <c r="P11" s="8" t="str">
        <f t="shared" si="9"/>
        <v/>
      </c>
      <c r="Q11" s="22">
        <v>0.7</v>
      </c>
      <c r="R11" s="22">
        <v>1</v>
      </c>
      <c r="S11" s="22">
        <v>1.5</v>
      </c>
      <c r="T11" s="22">
        <v>1.74</v>
      </c>
      <c r="U11" s="22">
        <v>0</v>
      </c>
      <c r="V11" s="22">
        <v>1.6</v>
      </c>
      <c r="W11" s="22">
        <v>1.9</v>
      </c>
      <c r="X11" s="22">
        <v>2.5</v>
      </c>
      <c r="Y11" s="22">
        <v>3.3</v>
      </c>
      <c r="Z11" s="22">
        <v>0</v>
      </c>
      <c r="AA11" s="22"/>
      <c r="AB11" s="22"/>
      <c r="AC11" s="22"/>
      <c r="AD11" s="22"/>
      <c r="AE11" s="22"/>
      <c r="AF11" s="27"/>
      <c r="AG11" s="38">
        <f t="shared" si="10"/>
        <v>1.5</v>
      </c>
      <c r="AH11" s="38">
        <f t="shared" si="11"/>
        <v>1.74</v>
      </c>
      <c r="AI11" s="40">
        <f t="shared" si="12"/>
        <v>4.9400000000000004</v>
      </c>
      <c r="AJ11" s="40">
        <f t="shared" si="13"/>
        <v>2.5</v>
      </c>
      <c r="AK11" s="40">
        <f t="shared" si="14"/>
        <v>3.3</v>
      </c>
      <c r="AL11" s="40">
        <f t="shared" si="15"/>
        <v>9.3000000000000007</v>
      </c>
      <c r="AM11" s="40">
        <f t="shared" si="16"/>
        <v>9.3000000000000007</v>
      </c>
      <c r="AN11" s="40" t="str">
        <f t="shared" si="17"/>
        <v/>
      </c>
      <c r="AO11" s="40" t="str">
        <f t="shared" si="18"/>
        <v/>
      </c>
      <c r="AP11" s="40" t="str">
        <f t="shared" si="19"/>
        <v/>
      </c>
      <c r="AQ11" s="40">
        <f t="shared" si="20"/>
        <v>9.3000000000000007</v>
      </c>
      <c r="AR11" s="26">
        <v>7.85</v>
      </c>
      <c r="AS11" s="26">
        <v>9.25</v>
      </c>
      <c r="AT11" s="26">
        <v>9.6</v>
      </c>
      <c r="AU11" s="26">
        <v>18.079999999999998</v>
      </c>
      <c r="AV11" s="26">
        <v>0</v>
      </c>
      <c r="AW11" s="26">
        <v>6.55</v>
      </c>
      <c r="AX11" s="26">
        <v>7.2</v>
      </c>
      <c r="AY11" s="26">
        <v>7.6</v>
      </c>
      <c r="AZ11" s="26">
        <v>14.54</v>
      </c>
      <c r="BA11" s="26">
        <v>0</v>
      </c>
      <c r="BB11" s="26">
        <v>4</v>
      </c>
      <c r="BC11" s="26">
        <v>4.3499999999999996</v>
      </c>
      <c r="BD11" s="26">
        <v>5.4</v>
      </c>
      <c r="BE11" s="26">
        <v>9.26</v>
      </c>
      <c r="BF11" s="26">
        <v>0</v>
      </c>
      <c r="BG11" s="28"/>
      <c r="BH11" s="39">
        <f t="shared" si="21"/>
        <v>9.6</v>
      </c>
      <c r="BI11" s="39">
        <f t="shared" si="22"/>
        <v>18.079999999999998</v>
      </c>
      <c r="BJ11" s="11">
        <f t="shared" si="23"/>
        <v>44.78</v>
      </c>
      <c r="BK11" s="11">
        <f t="shared" si="24"/>
        <v>7.6</v>
      </c>
      <c r="BL11" s="11">
        <f t="shared" si="25"/>
        <v>14.54</v>
      </c>
      <c r="BM11" s="11">
        <f t="shared" si="26"/>
        <v>35.89</v>
      </c>
      <c r="BN11" s="11">
        <f t="shared" si="27"/>
        <v>44.78</v>
      </c>
      <c r="BO11" s="11">
        <f t="shared" si="28"/>
        <v>5.4</v>
      </c>
      <c r="BP11" s="11">
        <f t="shared" si="29"/>
        <v>9.26</v>
      </c>
      <c r="BQ11" s="11">
        <f t="shared" si="30"/>
        <v>23.009999999999998</v>
      </c>
      <c r="BR11" s="11">
        <f t="shared" si="31"/>
        <v>67.789999999999992</v>
      </c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  <c r="CD11" s="22"/>
      <c r="CE11" s="22"/>
      <c r="CF11" s="22"/>
      <c r="CG11" s="22"/>
      <c r="CH11" s="27"/>
      <c r="CI11" s="38" t="str">
        <f t="shared" si="32"/>
        <v/>
      </c>
      <c r="CJ11" s="38" t="str">
        <f t="shared" si="33"/>
        <v/>
      </c>
      <c r="CK11" s="40" t="str">
        <f t="shared" si="34"/>
        <v/>
      </c>
      <c r="CL11" s="40" t="str">
        <f t="shared" si="35"/>
        <v/>
      </c>
      <c r="CM11" s="40" t="str">
        <f t="shared" si="36"/>
        <v/>
      </c>
      <c r="CN11" s="40" t="str">
        <f t="shared" si="37"/>
        <v/>
      </c>
      <c r="CO11" s="40" t="str">
        <f t="shared" si="38"/>
        <v/>
      </c>
      <c r="CP11" s="40" t="str">
        <f t="shared" si="39"/>
        <v/>
      </c>
      <c r="CQ11" s="40" t="str">
        <f t="shared" si="40"/>
        <v/>
      </c>
      <c r="CR11" s="40" t="str">
        <f t="shared" si="41"/>
        <v/>
      </c>
      <c r="CS11" s="40" t="str">
        <f t="shared" si="42"/>
        <v/>
      </c>
      <c r="CT11" s="51" t="str">
        <f t="shared" si="43"/>
        <v/>
      </c>
      <c r="CU11" s="51" t="str">
        <f t="shared" si="44"/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0" t="str">
        <f t="shared" si="45"/>
        <v/>
      </c>
      <c r="DQ11" s="40" t="str">
        <f t="shared" si="46"/>
        <v/>
      </c>
      <c r="DR11" s="40" t="str">
        <f t="shared" si="47"/>
        <v/>
      </c>
      <c r="DS11" s="40" t="str">
        <f t="shared" si="48"/>
        <v/>
      </c>
      <c r="DT11" s="40" t="str">
        <f t="shared" si="49"/>
        <v/>
      </c>
      <c r="DU11" s="40" t="str">
        <f t="shared" si="50"/>
        <v/>
      </c>
      <c r="DV11" s="40" t="str">
        <f t="shared" si="51"/>
        <v/>
      </c>
      <c r="DW11" s="40" t="str">
        <f t="shared" si="52"/>
        <v/>
      </c>
      <c r="DX11" s="40" t="str">
        <f t="shared" si="53"/>
        <v/>
      </c>
      <c r="DY11" s="40" t="str">
        <f t="shared" si="54"/>
        <v/>
      </c>
      <c r="DZ11" s="40" t="str">
        <f t="shared" si="55"/>
        <v/>
      </c>
      <c r="EA11" s="40" t="str">
        <f t="shared" si="56"/>
        <v/>
      </c>
      <c r="EB11" s="40" t="str">
        <f t="shared" si="57"/>
        <v/>
      </c>
      <c r="EC11" s="40" t="str">
        <f t="shared" si="58"/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 t="shared" si="59"/>
        <v/>
      </c>
      <c r="EY11" s="11" t="str">
        <f t="shared" si="60"/>
        <v/>
      </c>
      <c r="EZ11" s="11" t="str">
        <f t="shared" si="61"/>
        <v/>
      </c>
      <c r="FA11" s="11" t="str">
        <f t="shared" si="62"/>
        <v/>
      </c>
      <c r="FB11" s="11" t="str">
        <f t="shared" si="63"/>
        <v/>
      </c>
      <c r="FC11" s="11" t="str">
        <f t="shared" si="64"/>
        <v/>
      </c>
      <c r="FD11" s="11" t="str">
        <f t="shared" si="65"/>
        <v/>
      </c>
      <c r="FE11" s="11" t="str">
        <f t="shared" si="66"/>
        <v/>
      </c>
      <c r="FF11" s="11" t="str">
        <f t="shared" si="67"/>
        <v/>
      </c>
      <c r="FG11" s="11" t="str">
        <f t="shared" si="68"/>
        <v/>
      </c>
      <c r="FH11" s="11" t="str">
        <f t="shared" si="69"/>
        <v/>
      </c>
      <c r="FI11" s="11" t="str">
        <f t="shared" si="70"/>
        <v/>
      </c>
      <c r="FJ11" s="11" t="str">
        <f t="shared" si="71"/>
        <v/>
      </c>
      <c r="FK11" s="11" t="str">
        <f t="shared" si="72"/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0" t="str">
        <f t="shared" si="73"/>
        <v/>
      </c>
      <c r="GG11" s="40" t="str">
        <f t="shared" si="74"/>
        <v/>
      </c>
      <c r="GH11" s="40" t="str">
        <f t="shared" si="75"/>
        <v/>
      </c>
      <c r="GI11" s="40" t="str">
        <f t="shared" si="76"/>
        <v/>
      </c>
      <c r="GJ11" s="40" t="str">
        <f t="shared" si="77"/>
        <v/>
      </c>
      <c r="GK11" s="40" t="str">
        <f t="shared" si="78"/>
        <v/>
      </c>
      <c r="GL11" s="40" t="str">
        <f t="shared" si="79"/>
        <v/>
      </c>
      <c r="GM11" s="40" t="str">
        <f t="shared" si="80"/>
        <v/>
      </c>
      <c r="GN11" s="40" t="str">
        <f t="shared" si="81"/>
        <v/>
      </c>
      <c r="GO11" s="40" t="str">
        <f t="shared" si="82"/>
        <v/>
      </c>
      <c r="GP11" s="40" t="str">
        <f t="shared" si="83"/>
        <v/>
      </c>
      <c r="GQ11" s="40" t="str">
        <f t="shared" si="84"/>
        <v/>
      </c>
      <c r="GR11" s="40" t="str">
        <f t="shared" si="85"/>
        <v/>
      </c>
      <c r="GS11" s="40" t="str">
        <f t="shared" si="86"/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 t="shared" si="87"/>
        <v/>
      </c>
      <c r="HO11" s="11" t="str">
        <f t="shared" si="88"/>
        <v/>
      </c>
      <c r="HP11" s="11" t="str">
        <f t="shared" si="89"/>
        <v/>
      </c>
      <c r="HQ11" s="11" t="str">
        <f t="shared" si="90"/>
        <v/>
      </c>
      <c r="HR11" s="11" t="str">
        <f t="shared" si="91"/>
        <v/>
      </c>
      <c r="HS11" s="11" t="str">
        <f t="shared" si="92"/>
        <v/>
      </c>
      <c r="HT11" s="11" t="str">
        <f t="shared" si="93"/>
        <v/>
      </c>
      <c r="HU11" s="11" t="str">
        <f t="shared" si="94"/>
        <v/>
      </c>
      <c r="HV11" s="11" t="str">
        <f t="shared" si="95"/>
        <v/>
      </c>
      <c r="HW11" s="11" t="str">
        <f t="shared" si="96"/>
        <v/>
      </c>
      <c r="HX11" s="11" t="str">
        <f t="shared" si="97"/>
        <v/>
      </c>
      <c r="HY11" s="11" t="str">
        <f t="shared" si="98"/>
        <v/>
      </c>
      <c r="HZ11" s="11" t="str">
        <f t="shared" si="99"/>
        <v/>
      </c>
      <c r="IA11" s="11" t="str">
        <f t="shared" si="100"/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0" t="str">
        <f t="shared" si="101"/>
        <v/>
      </c>
      <c r="IW11" s="40" t="str">
        <f t="shared" si="102"/>
        <v/>
      </c>
      <c r="IX11" s="40" t="str">
        <f t="shared" si="103"/>
        <v/>
      </c>
      <c r="IY11" s="40" t="str">
        <f t="shared" si="104"/>
        <v/>
      </c>
      <c r="IZ11" s="40" t="str">
        <f t="shared" si="105"/>
        <v/>
      </c>
      <c r="JA11" s="40" t="str">
        <f t="shared" si="106"/>
        <v/>
      </c>
      <c r="JB11" s="40" t="str">
        <f t="shared" si="107"/>
        <v/>
      </c>
      <c r="JC11" s="40" t="str">
        <f t="shared" si="108"/>
        <v/>
      </c>
      <c r="JD11" s="40" t="str">
        <f t="shared" si="109"/>
        <v/>
      </c>
      <c r="JE11" s="40" t="str">
        <f t="shared" si="110"/>
        <v/>
      </c>
      <c r="JF11" s="40" t="str">
        <f t="shared" si="111"/>
        <v/>
      </c>
      <c r="JG11" s="40" t="str">
        <f t="shared" si="112"/>
        <v/>
      </c>
      <c r="JH11" s="40" t="str">
        <f t="shared" si="113"/>
        <v/>
      </c>
      <c r="JI11" s="40" t="str">
        <f t="shared" si="114"/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 t="shared" si="115"/>
        <v/>
      </c>
      <c r="KE11" s="11" t="str">
        <f t="shared" si="116"/>
        <v/>
      </c>
      <c r="KF11" s="11" t="str">
        <f t="shared" si="117"/>
        <v/>
      </c>
      <c r="KG11" s="11" t="str">
        <f t="shared" si="118"/>
        <v/>
      </c>
      <c r="KH11" s="11" t="str">
        <f t="shared" si="119"/>
        <v/>
      </c>
      <c r="KI11" s="11" t="str">
        <f t="shared" si="120"/>
        <v/>
      </c>
      <c r="KJ11" s="11" t="str">
        <f t="shared" si="121"/>
        <v/>
      </c>
      <c r="KK11" s="11" t="str">
        <f t="shared" si="122"/>
        <v/>
      </c>
      <c r="KL11" s="11" t="str">
        <f t="shared" si="123"/>
        <v/>
      </c>
      <c r="KM11" s="11" t="str">
        <f t="shared" si="124"/>
        <v/>
      </c>
      <c r="KN11" s="11" t="str">
        <f t="shared" si="125"/>
        <v/>
      </c>
      <c r="KO11" s="11" t="str">
        <f t="shared" si="126"/>
        <v/>
      </c>
      <c r="KP11" s="11" t="str">
        <f t="shared" si="127"/>
        <v/>
      </c>
      <c r="KQ11" s="11" t="str">
        <f t="shared" si="128"/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0" t="str">
        <f t="shared" si="129"/>
        <v/>
      </c>
      <c r="LM11" s="40" t="str">
        <f t="shared" si="130"/>
        <v/>
      </c>
      <c r="LN11" s="40" t="str">
        <f t="shared" si="131"/>
        <v/>
      </c>
      <c r="LO11" s="40" t="str">
        <f t="shared" si="132"/>
        <v/>
      </c>
      <c r="LP11" s="40" t="str">
        <f t="shared" si="133"/>
        <v/>
      </c>
      <c r="LQ11" s="40" t="str">
        <f t="shared" si="134"/>
        <v/>
      </c>
      <c r="LR11" s="40" t="str">
        <f t="shared" si="135"/>
        <v/>
      </c>
      <c r="LS11" s="40" t="str">
        <f t="shared" si="136"/>
        <v/>
      </c>
      <c r="LT11" s="40" t="str">
        <f t="shared" si="137"/>
        <v/>
      </c>
      <c r="LU11" s="40" t="str">
        <f t="shared" si="138"/>
        <v/>
      </c>
      <c r="LV11" s="40" t="str">
        <f t="shared" si="139"/>
        <v/>
      </c>
      <c r="LW11" s="40" t="str">
        <f t="shared" si="140"/>
        <v/>
      </c>
      <c r="LX11" s="40" t="str">
        <f t="shared" si="141"/>
        <v/>
      </c>
      <c r="LY11" s="40" t="str">
        <f t="shared" si="142"/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 t="shared" si="143"/>
        <v/>
      </c>
      <c r="MU11" s="11" t="str">
        <f t="shared" si="144"/>
        <v/>
      </c>
      <c r="MV11" s="11" t="str">
        <f t="shared" si="145"/>
        <v/>
      </c>
      <c r="MW11" s="11" t="str">
        <f t="shared" si="146"/>
        <v/>
      </c>
      <c r="MX11" s="11" t="str">
        <f t="shared" si="147"/>
        <v/>
      </c>
      <c r="MY11" s="11" t="str">
        <f t="shared" si="148"/>
        <v/>
      </c>
      <c r="MZ11" s="11" t="str">
        <f t="shared" si="149"/>
        <v/>
      </c>
      <c r="NA11" s="11" t="str">
        <f t="shared" si="150"/>
        <v/>
      </c>
      <c r="NB11" s="11" t="str">
        <f t="shared" si="151"/>
        <v/>
      </c>
      <c r="NC11" s="11" t="str">
        <f t="shared" si="152"/>
        <v/>
      </c>
      <c r="ND11" s="11" t="str">
        <f t="shared" si="153"/>
        <v/>
      </c>
      <c r="NE11" s="11" t="str">
        <f t="shared" si="154"/>
        <v/>
      </c>
      <c r="NF11" s="11" t="str">
        <f t="shared" si="155"/>
        <v/>
      </c>
      <c r="NG11" s="11" t="str">
        <f t="shared" si="156"/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0" t="str">
        <f t="shared" si="157"/>
        <v/>
      </c>
      <c r="OC11" s="40" t="str">
        <f t="shared" si="158"/>
        <v/>
      </c>
      <c r="OD11" s="40" t="str">
        <f t="shared" si="159"/>
        <v/>
      </c>
      <c r="OE11" s="40" t="str">
        <f t="shared" si="160"/>
        <v/>
      </c>
      <c r="OF11" s="40" t="str">
        <f t="shared" si="161"/>
        <v/>
      </c>
      <c r="OG11" s="40" t="str">
        <f t="shared" si="162"/>
        <v/>
      </c>
      <c r="OH11" s="40" t="str">
        <f t="shared" si="163"/>
        <v/>
      </c>
      <c r="OI11" s="40" t="str">
        <f t="shared" si="164"/>
        <v/>
      </c>
      <c r="OJ11" s="40" t="str">
        <f t="shared" si="165"/>
        <v/>
      </c>
      <c r="OK11" s="40" t="str">
        <f t="shared" si="166"/>
        <v/>
      </c>
      <c r="OL11" s="40" t="str">
        <f t="shared" si="167"/>
        <v/>
      </c>
      <c r="OM11" s="40" t="str">
        <f t="shared" si="168"/>
        <v/>
      </c>
      <c r="ON11" s="40" t="str">
        <f t="shared" si="169"/>
        <v/>
      </c>
      <c r="OO11" s="40" t="str">
        <f t="shared" si="170"/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 t="shared" si="171"/>
        <v/>
      </c>
      <c r="PK11" s="11" t="str">
        <f t="shared" si="172"/>
        <v/>
      </c>
      <c r="PL11" s="11" t="str">
        <f t="shared" si="173"/>
        <v/>
      </c>
      <c r="PM11" s="11" t="str">
        <f t="shared" si="174"/>
        <v/>
      </c>
      <c r="PN11" s="11" t="str">
        <f t="shared" si="175"/>
        <v/>
      </c>
      <c r="PO11" s="11" t="str">
        <f t="shared" si="176"/>
        <v/>
      </c>
      <c r="PP11" s="11" t="str">
        <f t="shared" si="177"/>
        <v/>
      </c>
      <c r="PQ11" s="11" t="str">
        <f t="shared" si="178"/>
        <v/>
      </c>
      <c r="PR11" s="11" t="str">
        <f t="shared" si="179"/>
        <v/>
      </c>
      <c r="PS11" s="11" t="str">
        <f t="shared" si="180"/>
        <v/>
      </c>
      <c r="PT11" s="11" t="str">
        <f t="shared" si="181"/>
        <v/>
      </c>
      <c r="PU11" s="11" t="str">
        <f t="shared" si="182"/>
        <v/>
      </c>
      <c r="PV11" s="11" t="str">
        <f t="shared" si="183"/>
        <v/>
      </c>
      <c r="PW11" s="11" t="str">
        <f t="shared" si="184"/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0" t="str">
        <f t="shared" si="185"/>
        <v/>
      </c>
      <c r="QS11" s="40" t="str">
        <f t="shared" si="186"/>
        <v/>
      </c>
      <c r="QT11" s="40" t="str">
        <f t="shared" si="187"/>
        <v/>
      </c>
      <c r="QU11" s="40" t="str">
        <f t="shared" si="188"/>
        <v/>
      </c>
      <c r="QV11" s="40" t="str">
        <f t="shared" si="189"/>
        <v/>
      </c>
      <c r="QW11" s="40" t="str">
        <f t="shared" si="190"/>
        <v/>
      </c>
      <c r="QX11" s="40" t="str">
        <f t="shared" si="191"/>
        <v/>
      </c>
      <c r="QY11" s="40" t="str">
        <f t="shared" si="192"/>
        <v/>
      </c>
      <c r="QZ11" s="40" t="str">
        <f t="shared" si="193"/>
        <v/>
      </c>
      <c r="RA11" s="40" t="str">
        <f t="shared" si="194"/>
        <v/>
      </c>
      <c r="RB11" s="40" t="str">
        <f t="shared" si="195"/>
        <v/>
      </c>
      <c r="RC11" s="40" t="str">
        <f t="shared" si="196"/>
        <v/>
      </c>
      <c r="RD11" s="40" t="str">
        <f t="shared" si="197"/>
        <v/>
      </c>
      <c r="RE11" s="40" t="str">
        <f t="shared" si="198"/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 t="shared" si="199"/>
        <v/>
      </c>
      <c r="SA11" s="11" t="str">
        <f t="shared" si="200"/>
        <v/>
      </c>
      <c r="SB11" s="11" t="str">
        <f t="shared" si="201"/>
        <v/>
      </c>
      <c r="SC11" s="11" t="str">
        <f t="shared" si="202"/>
        <v/>
      </c>
      <c r="SD11" s="11" t="str">
        <f t="shared" si="203"/>
        <v/>
      </c>
      <c r="SE11" s="11" t="str">
        <f t="shared" si="204"/>
        <v/>
      </c>
      <c r="SF11" s="11" t="str">
        <f t="shared" si="205"/>
        <v/>
      </c>
      <c r="SG11" s="11" t="str">
        <f t="shared" si="206"/>
        <v/>
      </c>
      <c r="SH11" s="11" t="str">
        <f t="shared" si="207"/>
        <v/>
      </c>
      <c r="SI11" s="11" t="str">
        <f t="shared" si="208"/>
        <v/>
      </c>
      <c r="SJ11" s="11" t="str">
        <f t="shared" si="209"/>
        <v/>
      </c>
      <c r="SK11" s="11" t="str">
        <f t="shared" si="210"/>
        <v/>
      </c>
      <c r="SL11" s="11" t="str">
        <f t="shared" si="211"/>
        <v/>
      </c>
      <c r="SM11" s="11" t="str">
        <f t="shared" si="212"/>
        <v/>
      </c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40" t="str">
        <f t="shared" si="213"/>
        <v/>
      </c>
      <c r="TI11" s="40" t="str">
        <f t="shared" si="214"/>
        <v/>
      </c>
      <c r="TJ11" s="40" t="str">
        <f t="shared" si="215"/>
        <v/>
      </c>
      <c r="TK11" s="40" t="str">
        <f t="shared" si="216"/>
        <v/>
      </c>
      <c r="TL11" s="40" t="str">
        <f t="shared" si="217"/>
        <v/>
      </c>
      <c r="TM11" s="40" t="str">
        <f t="shared" si="218"/>
        <v/>
      </c>
      <c r="TN11" s="40" t="str">
        <f t="shared" si="219"/>
        <v/>
      </c>
      <c r="TO11" s="40" t="str">
        <f t="shared" si="220"/>
        <v/>
      </c>
      <c r="TP11" s="40" t="str">
        <f t="shared" si="221"/>
        <v/>
      </c>
      <c r="TQ11" s="40" t="str">
        <f t="shared" si="222"/>
        <v/>
      </c>
      <c r="TR11" s="40" t="str">
        <f t="shared" si="223"/>
        <v/>
      </c>
      <c r="TS11" s="40" t="str">
        <f t="shared" si="224"/>
        <v/>
      </c>
      <c r="TT11" s="40" t="str">
        <f t="shared" si="225"/>
        <v/>
      </c>
      <c r="TU11" s="40" t="str">
        <f t="shared" si="226"/>
        <v/>
      </c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1" t="str">
        <f t="shared" si="227"/>
        <v/>
      </c>
      <c r="UQ11" s="11" t="str">
        <f t="shared" si="228"/>
        <v/>
      </c>
      <c r="UR11" s="11" t="str">
        <f t="shared" si="229"/>
        <v/>
      </c>
      <c r="US11" s="11" t="str">
        <f t="shared" si="230"/>
        <v/>
      </c>
      <c r="UT11" s="11" t="str">
        <f t="shared" si="231"/>
        <v/>
      </c>
      <c r="UU11" s="11" t="str">
        <f t="shared" si="232"/>
        <v/>
      </c>
      <c r="UV11" s="11" t="str">
        <f t="shared" si="233"/>
        <v/>
      </c>
      <c r="UW11" s="11" t="str">
        <f t="shared" si="234"/>
        <v/>
      </c>
      <c r="UX11" s="11" t="str">
        <f t="shared" si="235"/>
        <v/>
      </c>
      <c r="UY11" s="11" t="str">
        <f t="shared" si="236"/>
        <v/>
      </c>
      <c r="UZ11" s="11" t="str">
        <f t="shared" si="237"/>
        <v/>
      </c>
      <c r="VA11" s="11" t="str">
        <f t="shared" si="238"/>
        <v/>
      </c>
      <c r="VB11" s="11" t="str">
        <f t="shared" si="239"/>
        <v/>
      </c>
      <c r="VC11" s="11" t="str">
        <f t="shared" si="240"/>
        <v/>
      </c>
      <c r="VD11" s="17"/>
      <c r="VE11" s="17"/>
      <c r="VF11" s="17"/>
      <c r="VG11" s="17"/>
      <c r="VH11" s="17"/>
      <c r="VI11" s="17"/>
      <c r="VJ11" s="17"/>
      <c r="VK11" s="17"/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40" t="str">
        <f t="shared" si="241"/>
        <v/>
      </c>
      <c r="VY11" s="40" t="str">
        <f t="shared" si="242"/>
        <v/>
      </c>
      <c r="VZ11" s="40" t="str">
        <f t="shared" si="243"/>
        <v/>
      </c>
      <c r="WA11" s="40" t="str">
        <f t="shared" si="244"/>
        <v/>
      </c>
      <c r="WB11" s="40" t="str">
        <f t="shared" si="245"/>
        <v/>
      </c>
      <c r="WC11" s="40" t="str">
        <f t="shared" si="246"/>
        <v/>
      </c>
      <c r="WD11" s="40" t="str">
        <f t="shared" si="247"/>
        <v/>
      </c>
      <c r="WE11" s="40" t="str">
        <f t="shared" si="248"/>
        <v/>
      </c>
      <c r="WF11" s="40" t="str">
        <f t="shared" si="249"/>
        <v/>
      </c>
      <c r="WG11" s="40" t="str">
        <f t="shared" si="250"/>
        <v/>
      </c>
      <c r="WH11" s="40" t="str">
        <f t="shared" si="251"/>
        <v/>
      </c>
      <c r="WI11" s="40" t="str">
        <f t="shared" si="252"/>
        <v/>
      </c>
      <c r="WJ11" s="40" t="str">
        <f t="shared" si="253"/>
        <v/>
      </c>
      <c r="WK11" s="40" t="str">
        <f t="shared" si="254"/>
        <v/>
      </c>
      <c r="WL11" s="26">
        <f t="shared" si="255"/>
        <v>3.9249999999999998</v>
      </c>
      <c r="WM11" s="26">
        <f t="shared" si="256"/>
        <v>4.625</v>
      </c>
      <c r="WN11" s="26">
        <f t="shared" si="257"/>
        <v>4.8</v>
      </c>
      <c r="WO11" s="26">
        <f t="shared" si="258"/>
        <v>9.0399999999999991</v>
      </c>
      <c r="WP11" s="26">
        <f t="shared" si="259"/>
        <v>0</v>
      </c>
      <c r="WQ11" s="26">
        <f t="shared" si="260"/>
        <v>3.2749999999999999</v>
      </c>
      <c r="WR11" s="26">
        <f t="shared" si="261"/>
        <v>3.6</v>
      </c>
      <c r="WS11" s="26">
        <f t="shared" si="262"/>
        <v>3.8</v>
      </c>
      <c r="WT11" s="26">
        <f t="shared" si="263"/>
        <v>7.27</v>
      </c>
      <c r="WU11" s="26">
        <f t="shared" si="264"/>
        <v>0</v>
      </c>
      <c r="WV11" s="26">
        <f t="shared" si="265"/>
        <v>2</v>
      </c>
      <c r="WW11" s="26">
        <f t="shared" si="266"/>
        <v>2.1749999999999998</v>
      </c>
      <c r="WX11" s="26">
        <f t="shared" si="267"/>
        <v>2.7</v>
      </c>
      <c r="WY11" s="26">
        <f t="shared" si="268"/>
        <v>4.63</v>
      </c>
      <c r="WZ11" s="26">
        <f t="shared" si="269"/>
        <v>0</v>
      </c>
      <c r="XA11" s="28" t="s">
        <v>53</v>
      </c>
      <c r="XB11" s="11">
        <f t="shared" si="270"/>
        <v>4.8</v>
      </c>
      <c r="XC11" s="11">
        <f t="shared" si="271"/>
        <v>9.0399999999999991</v>
      </c>
      <c r="XD11" s="11">
        <f t="shared" si="272"/>
        <v>22.39</v>
      </c>
      <c r="XE11" s="11">
        <f t="shared" si="273"/>
        <v>3.8</v>
      </c>
      <c r="XF11" s="11">
        <f t="shared" si="274"/>
        <v>7.27</v>
      </c>
      <c r="XG11" s="11">
        <f t="shared" si="275"/>
        <v>17.945</v>
      </c>
      <c r="XH11" s="11">
        <f t="shared" si="276"/>
        <v>22.39</v>
      </c>
      <c r="XI11" s="11">
        <f t="shared" si="277"/>
        <v>2.7</v>
      </c>
      <c r="XJ11" s="11">
        <f t="shared" si="278"/>
        <v>4.63</v>
      </c>
      <c r="XK11" s="11">
        <f t="shared" si="279"/>
        <v>11.504999999999999</v>
      </c>
      <c r="XL11" s="11">
        <f t="shared" si="280"/>
        <v>33.894999999999996</v>
      </c>
    </row>
    <row r="12" spans="1:636" x14ac:dyDescent="0.2">
      <c r="A12" s="4" cm="1">
        <f t="array" ref="A12">IF(AND(H12&lt;&gt;"",H12&lt;&gt;"No DD"),SUMPRODUCT((H$4:H$16&lt;&gt;"")*(H$4:H$16&lt;&gt;"No DD")*(E$4:E$16&gt;E12))+1,IF(H12="No DD",SUMPRODUCT((H$4:H$16="No DD")*(E$4:E$16&gt;E12))+1+SUMPRODUCT((H$4:H$16&lt;&gt;"")*(H$4:H$16&lt;&gt;"No DD")),""))</f>
        <v>9</v>
      </c>
      <c r="B12" s="5" t="s">
        <v>144</v>
      </c>
      <c r="C12" s="4" t="s">
        <v>5</v>
      </c>
      <c r="D12" s="4" t="s">
        <v>143</v>
      </c>
      <c r="E12" s="9">
        <f t="shared" si="0"/>
        <v>75.100000000000009</v>
      </c>
      <c r="F12" s="3" t="str">
        <f t="shared" si="1"/>
        <v/>
      </c>
      <c r="G12" s="3" t="str">
        <f t="shared" si="2"/>
        <v>P</v>
      </c>
      <c r="H12" s="36" t="str">
        <f t="shared" si="3"/>
        <v>No DD</v>
      </c>
      <c r="I12" s="3" t="str">
        <f t="shared" si="4"/>
        <v/>
      </c>
      <c r="J12" s="8">
        <f>IF(COUNT(AI12,AL12,AP12,BJ12,BM12,BQ12,CK12,CN12,CR12)&gt;0,LARGE((AI12,AL12,AP12,BJ12,BM12,BQ12,CK12,CN12,CR12),1),0)</f>
        <v>44.370000000000005</v>
      </c>
      <c r="K12" s="8" t="str">
        <f t="shared" si="5"/>
        <v>2024 Nationals</v>
      </c>
      <c r="L12" s="8">
        <f>IF(COUNT(AI12,AL12,AP12,BJ12,BM12,BQ12,CK12,CN12,CR12)&gt;1,LARGE((AI12,AL12,AP12,BJ12,BM12,BQ12,CK12,CN12,CR12),2),0)</f>
        <v>30.730000000000004</v>
      </c>
      <c r="M12" s="8" t="str">
        <f t="shared" si="6"/>
        <v>2024 Nationals</v>
      </c>
      <c r="N12" s="8" t="str">
        <f t="shared" si="7"/>
        <v/>
      </c>
      <c r="O12" s="11" t="str">
        <f t="shared" si="8"/>
        <v/>
      </c>
      <c r="P12" s="8" t="str">
        <f t="shared" si="9"/>
        <v/>
      </c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7"/>
      <c r="AG12" s="38" t="str">
        <f t="shared" si="10"/>
        <v/>
      </c>
      <c r="AH12" s="38" t="str">
        <f t="shared" si="11"/>
        <v/>
      </c>
      <c r="AI12" s="40" t="str">
        <f t="shared" si="12"/>
        <v/>
      </c>
      <c r="AJ12" s="40" t="str">
        <f t="shared" si="13"/>
        <v/>
      </c>
      <c r="AK12" s="40" t="str">
        <f t="shared" si="14"/>
        <v/>
      </c>
      <c r="AL12" s="40" t="str">
        <f t="shared" si="15"/>
        <v/>
      </c>
      <c r="AM12" s="40" t="str">
        <f t="shared" si="16"/>
        <v/>
      </c>
      <c r="AN12" s="40" t="str">
        <f t="shared" si="17"/>
        <v/>
      </c>
      <c r="AO12" s="40" t="str">
        <f t="shared" si="18"/>
        <v/>
      </c>
      <c r="AP12" s="40" t="str">
        <f t="shared" si="19"/>
        <v/>
      </c>
      <c r="AQ12" s="40" t="str">
        <f t="shared" si="20"/>
        <v/>
      </c>
      <c r="AR12" s="26">
        <v>8.3000000000000007</v>
      </c>
      <c r="AS12" s="26">
        <v>9.25</v>
      </c>
      <c r="AT12" s="26">
        <v>9</v>
      </c>
      <c r="AU12" s="26">
        <v>17.82</v>
      </c>
      <c r="AV12" s="26">
        <v>0</v>
      </c>
      <c r="AW12" s="26">
        <v>5.85</v>
      </c>
      <c r="AX12" s="26">
        <v>6.6</v>
      </c>
      <c r="AY12" s="26">
        <v>6.4</v>
      </c>
      <c r="AZ12" s="26">
        <v>11.88</v>
      </c>
      <c r="BA12" s="26">
        <v>0</v>
      </c>
      <c r="BB12" s="26">
        <v>1.7</v>
      </c>
      <c r="BC12" s="26">
        <v>1.95</v>
      </c>
      <c r="BD12" s="26">
        <v>2.2999999999999998</v>
      </c>
      <c r="BE12" s="26">
        <v>3.04</v>
      </c>
      <c r="BF12" s="26">
        <v>0</v>
      </c>
      <c r="BG12" s="28"/>
      <c r="BH12" s="39">
        <f t="shared" si="21"/>
        <v>9</v>
      </c>
      <c r="BI12" s="39">
        <f t="shared" si="22"/>
        <v>17.82</v>
      </c>
      <c r="BJ12" s="11">
        <f t="shared" si="23"/>
        <v>44.370000000000005</v>
      </c>
      <c r="BK12" s="11">
        <f t="shared" si="24"/>
        <v>6.4</v>
      </c>
      <c r="BL12" s="11">
        <f t="shared" si="25"/>
        <v>11.88</v>
      </c>
      <c r="BM12" s="11">
        <f t="shared" si="26"/>
        <v>30.730000000000004</v>
      </c>
      <c r="BN12" s="11">
        <f t="shared" si="27"/>
        <v>44.370000000000005</v>
      </c>
      <c r="BO12" s="11">
        <f t="shared" si="28"/>
        <v>2.2999999999999998</v>
      </c>
      <c r="BP12" s="11">
        <f t="shared" si="29"/>
        <v>3.04</v>
      </c>
      <c r="BQ12" s="11">
        <f t="shared" si="30"/>
        <v>8.9899999999999984</v>
      </c>
      <c r="BR12" s="11">
        <f t="shared" si="31"/>
        <v>53.36</v>
      </c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  <c r="CD12" s="22"/>
      <c r="CE12" s="22"/>
      <c r="CF12" s="22"/>
      <c r="CG12" s="22"/>
      <c r="CH12" s="27"/>
      <c r="CI12" s="38" t="str">
        <f t="shared" si="32"/>
        <v/>
      </c>
      <c r="CJ12" s="38" t="str">
        <f t="shared" si="33"/>
        <v/>
      </c>
      <c r="CK12" s="40" t="str">
        <f t="shared" si="34"/>
        <v/>
      </c>
      <c r="CL12" s="40" t="str">
        <f t="shared" si="35"/>
        <v/>
      </c>
      <c r="CM12" s="40" t="str">
        <f t="shared" si="36"/>
        <v/>
      </c>
      <c r="CN12" s="40" t="str">
        <f t="shared" si="37"/>
        <v/>
      </c>
      <c r="CO12" s="40" t="str">
        <f t="shared" si="38"/>
        <v/>
      </c>
      <c r="CP12" s="40" t="str">
        <f t="shared" si="39"/>
        <v/>
      </c>
      <c r="CQ12" s="40" t="str">
        <f t="shared" si="40"/>
        <v/>
      </c>
      <c r="CR12" s="40" t="str">
        <f t="shared" si="41"/>
        <v/>
      </c>
      <c r="CS12" s="40" t="str">
        <f t="shared" si="42"/>
        <v/>
      </c>
      <c r="CT12" s="51" t="str">
        <f t="shared" si="43"/>
        <v/>
      </c>
      <c r="CU12" s="51" t="str">
        <f t="shared" si="44"/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0" t="str">
        <f t="shared" si="45"/>
        <v/>
      </c>
      <c r="DQ12" s="40" t="str">
        <f t="shared" si="46"/>
        <v/>
      </c>
      <c r="DR12" s="40" t="str">
        <f t="shared" si="47"/>
        <v/>
      </c>
      <c r="DS12" s="40" t="str">
        <f t="shared" si="48"/>
        <v/>
      </c>
      <c r="DT12" s="40" t="str">
        <f t="shared" si="49"/>
        <v/>
      </c>
      <c r="DU12" s="40" t="str">
        <f t="shared" si="50"/>
        <v/>
      </c>
      <c r="DV12" s="40" t="str">
        <f t="shared" si="51"/>
        <v/>
      </c>
      <c r="DW12" s="40" t="str">
        <f t="shared" si="52"/>
        <v/>
      </c>
      <c r="DX12" s="40" t="str">
        <f t="shared" si="53"/>
        <v/>
      </c>
      <c r="DY12" s="40" t="str">
        <f t="shared" si="54"/>
        <v/>
      </c>
      <c r="DZ12" s="40" t="str">
        <f t="shared" si="55"/>
        <v/>
      </c>
      <c r="EA12" s="40" t="str">
        <f t="shared" si="56"/>
        <v/>
      </c>
      <c r="EB12" s="40" t="str">
        <f t="shared" si="57"/>
        <v/>
      </c>
      <c r="EC12" s="40" t="str">
        <f t="shared" si="58"/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 t="shared" si="59"/>
        <v/>
      </c>
      <c r="EY12" s="11" t="str">
        <f t="shared" si="60"/>
        <v/>
      </c>
      <c r="EZ12" s="11" t="str">
        <f t="shared" si="61"/>
        <v/>
      </c>
      <c r="FA12" s="11" t="str">
        <f t="shared" si="62"/>
        <v/>
      </c>
      <c r="FB12" s="11" t="str">
        <f t="shared" si="63"/>
        <v/>
      </c>
      <c r="FC12" s="11" t="str">
        <f t="shared" si="64"/>
        <v/>
      </c>
      <c r="FD12" s="11" t="str">
        <f t="shared" si="65"/>
        <v/>
      </c>
      <c r="FE12" s="11" t="str">
        <f t="shared" si="66"/>
        <v/>
      </c>
      <c r="FF12" s="11" t="str">
        <f t="shared" si="67"/>
        <v/>
      </c>
      <c r="FG12" s="11" t="str">
        <f t="shared" si="68"/>
        <v/>
      </c>
      <c r="FH12" s="11" t="str">
        <f t="shared" si="69"/>
        <v/>
      </c>
      <c r="FI12" s="11" t="str">
        <f t="shared" si="70"/>
        <v/>
      </c>
      <c r="FJ12" s="11" t="str">
        <f t="shared" si="71"/>
        <v/>
      </c>
      <c r="FK12" s="11" t="str">
        <f t="shared" si="72"/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0" t="str">
        <f t="shared" si="73"/>
        <v/>
      </c>
      <c r="GG12" s="40" t="str">
        <f t="shared" si="74"/>
        <v/>
      </c>
      <c r="GH12" s="40" t="str">
        <f t="shared" si="75"/>
        <v/>
      </c>
      <c r="GI12" s="40" t="str">
        <f t="shared" si="76"/>
        <v/>
      </c>
      <c r="GJ12" s="40" t="str">
        <f t="shared" si="77"/>
        <v/>
      </c>
      <c r="GK12" s="40" t="str">
        <f t="shared" si="78"/>
        <v/>
      </c>
      <c r="GL12" s="40" t="str">
        <f t="shared" si="79"/>
        <v/>
      </c>
      <c r="GM12" s="40" t="str">
        <f t="shared" si="80"/>
        <v/>
      </c>
      <c r="GN12" s="40" t="str">
        <f t="shared" si="81"/>
        <v/>
      </c>
      <c r="GO12" s="40" t="str">
        <f t="shared" si="82"/>
        <v/>
      </c>
      <c r="GP12" s="40" t="str">
        <f t="shared" si="83"/>
        <v/>
      </c>
      <c r="GQ12" s="40" t="str">
        <f t="shared" si="84"/>
        <v/>
      </c>
      <c r="GR12" s="40" t="str">
        <f t="shared" si="85"/>
        <v/>
      </c>
      <c r="GS12" s="40" t="str">
        <f t="shared" si="86"/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 t="shared" si="87"/>
        <v/>
      </c>
      <c r="HO12" s="11" t="str">
        <f t="shared" si="88"/>
        <v/>
      </c>
      <c r="HP12" s="11" t="str">
        <f t="shared" si="89"/>
        <v/>
      </c>
      <c r="HQ12" s="11" t="str">
        <f t="shared" si="90"/>
        <v/>
      </c>
      <c r="HR12" s="11" t="str">
        <f t="shared" si="91"/>
        <v/>
      </c>
      <c r="HS12" s="11" t="str">
        <f t="shared" si="92"/>
        <v/>
      </c>
      <c r="HT12" s="11" t="str">
        <f t="shared" si="93"/>
        <v/>
      </c>
      <c r="HU12" s="11" t="str">
        <f t="shared" si="94"/>
        <v/>
      </c>
      <c r="HV12" s="11" t="str">
        <f t="shared" si="95"/>
        <v/>
      </c>
      <c r="HW12" s="11" t="str">
        <f t="shared" si="96"/>
        <v/>
      </c>
      <c r="HX12" s="11" t="str">
        <f t="shared" si="97"/>
        <v/>
      </c>
      <c r="HY12" s="11" t="str">
        <f t="shared" si="98"/>
        <v/>
      </c>
      <c r="HZ12" s="11" t="str">
        <f t="shared" si="99"/>
        <v/>
      </c>
      <c r="IA12" s="11" t="str">
        <f t="shared" si="100"/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0" t="str">
        <f t="shared" si="101"/>
        <v/>
      </c>
      <c r="IW12" s="40" t="str">
        <f t="shared" si="102"/>
        <v/>
      </c>
      <c r="IX12" s="40" t="str">
        <f t="shared" si="103"/>
        <v/>
      </c>
      <c r="IY12" s="40" t="str">
        <f t="shared" si="104"/>
        <v/>
      </c>
      <c r="IZ12" s="40" t="str">
        <f t="shared" si="105"/>
        <v/>
      </c>
      <c r="JA12" s="40" t="str">
        <f t="shared" si="106"/>
        <v/>
      </c>
      <c r="JB12" s="40" t="str">
        <f t="shared" si="107"/>
        <v/>
      </c>
      <c r="JC12" s="40" t="str">
        <f t="shared" si="108"/>
        <v/>
      </c>
      <c r="JD12" s="40" t="str">
        <f t="shared" si="109"/>
        <v/>
      </c>
      <c r="JE12" s="40" t="str">
        <f t="shared" si="110"/>
        <v/>
      </c>
      <c r="JF12" s="40" t="str">
        <f t="shared" si="111"/>
        <v/>
      </c>
      <c r="JG12" s="40" t="str">
        <f t="shared" si="112"/>
        <v/>
      </c>
      <c r="JH12" s="40" t="str">
        <f t="shared" si="113"/>
        <v/>
      </c>
      <c r="JI12" s="40" t="str">
        <f t="shared" si="114"/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 t="shared" si="115"/>
        <v/>
      </c>
      <c r="KE12" s="11" t="str">
        <f t="shared" si="116"/>
        <v/>
      </c>
      <c r="KF12" s="11" t="str">
        <f t="shared" si="117"/>
        <v/>
      </c>
      <c r="KG12" s="11" t="str">
        <f t="shared" si="118"/>
        <v/>
      </c>
      <c r="KH12" s="11" t="str">
        <f t="shared" si="119"/>
        <v/>
      </c>
      <c r="KI12" s="11" t="str">
        <f t="shared" si="120"/>
        <v/>
      </c>
      <c r="KJ12" s="11" t="str">
        <f t="shared" si="121"/>
        <v/>
      </c>
      <c r="KK12" s="11" t="str">
        <f t="shared" si="122"/>
        <v/>
      </c>
      <c r="KL12" s="11" t="str">
        <f t="shared" si="123"/>
        <v/>
      </c>
      <c r="KM12" s="11" t="str">
        <f t="shared" si="124"/>
        <v/>
      </c>
      <c r="KN12" s="11" t="str">
        <f t="shared" si="125"/>
        <v/>
      </c>
      <c r="KO12" s="11" t="str">
        <f t="shared" si="126"/>
        <v/>
      </c>
      <c r="KP12" s="11" t="str">
        <f t="shared" si="127"/>
        <v/>
      </c>
      <c r="KQ12" s="11" t="str">
        <f t="shared" si="128"/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0" t="str">
        <f t="shared" si="129"/>
        <v/>
      </c>
      <c r="LM12" s="40" t="str">
        <f t="shared" si="130"/>
        <v/>
      </c>
      <c r="LN12" s="40" t="str">
        <f t="shared" si="131"/>
        <v/>
      </c>
      <c r="LO12" s="40" t="str">
        <f t="shared" si="132"/>
        <v/>
      </c>
      <c r="LP12" s="40" t="str">
        <f t="shared" si="133"/>
        <v/>
      </c>
      <c r="LQ12" s="40" t="str">
        <f t="shared" si="134"/>
        <v/>
      </c>
      <c r="LR12" s="40" t="str">
        <f t="shared" si="135"/>
        <v/>
      </c>
      <c r="LS12" s="40" t="str">
        <f t="shared" si="136"/>
        <v/>
      </c>
      <c r="LT12" s="40" t="str">
        <f t="shared" si="137"/>
        <v/>
      </c>
      <c r="LU12" s="40" t="str">
        <f t="shared" si="138"/>
        <v/>
      </c>
      <c r="LV12" s="40" t="str">
        <f t="shared" si="139"/>
        <v/>
      </c>
      <c r="LW12" s="40" t="str">
        <f t="shared" si="140"/>
        <v/>
      </c>
      <c r="LX12" s="40" t="str">
        <f t="shared" si="141"/>
        <v/>
      </c>
      <c r="LY12" s="40" t="str">
        <f t="shared" si="142"/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 t="shared" si="143"/>
        <v/>
      </c>
      <c r="MU12" s="11" t="str">
        <f t="shared" si="144"/>
        <v/>
      </c>
      <c r="MV12" s="11" t="str">
        <f t="shared" si="145"/>
        <v/>
      </c>
      <c r="MW12" s="11" t="str">
        <f t="shared" si="146"/>
        <v/>
      </c>
      <c r="MX12" s="11" t="str">
        <f t="shared" si="147"/>
        <v/>
      </c>
      <c r="MY12" s="11" t="str">
        <f t="shared" si="148"/>
        <v/>
      </c>
      <c r="MZ12" s="11" t="str">
        <f t="shared" si="149"/>
        <v/>
      </c>
      <c r="NA12" s="11" t="str">
        <f t="shared" si="150"/>
        <v/>
      </c>
      <c r="NB12" s="11" t="str">
        <f t="shared" si="151"/>
        <v/>
      </c>
      <c r="NC12" s="11" t="str">
        <f t="shared" si="152"/>
        <v/>
      </c>
      <c r="ND12" s="11" t="str">
        <f t="shared" si="153"/>
        <v/>
      </c>
      <c r="NE12" s="11" t="str">
        <f t="shared" si="154"/>
        <v/>
      </c>
      <c r="NF12" s="11" t="str">
        <f t="shared" si="155"/>
        <v/>
      </c>
      <c r="NG12" s="11" t="str">
        <f t="shared" si="156"/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0" t="str">
        <f t="shared" si="157"/>
        <v/>
      </c>
      <c r="OC12" s="40" t="str">
        <f t="shared" si="158"/>
        <v/>
      </c>
      <c r="OD12" s="40" t="str">
        <f t="shared" si="159"/>
        <v/>
      </c>
      <c r="OE12" s="40" t="str">
        <f t="shared" si="160"/>
        <v/>
      </c>
      <c r="OF12" s="40" t="str">
        <f t="shared" si="161"/>
        <v/>
      </c>
      <c r="OG12" s="40" t="str">
        <f t="shared" si="162"/>
        <v/>
      </c>
      <c r="OH12" s="40" t="str">
        <f t="shared" si="163"/>
        <v/>
      </c>
      <c r="OI12" s="40" t="str">
        <f t="shared" si="164"/>
        <v/>
      </c>
      <c r="OJ12" s="40" t="str">
        <f t="shared" si="165"/>
        <v/>
      </c>
      <c r="OK12" s="40" t="str">
        <f t="shared" si="166"/>
        <v/>
      </c>
      <c r="OL12" s="40" t="str">
        <f t="shared" si="167"/>
        <v/>
      </c>
      <c r="OM12" s="40" t="str">
        <f t="shared" si="168"/>
        <v/>
      </c>
      <c r="ON12" s="40" t="str">
        <f t="shared" si="169"/>
        <v/>
      </c>
      <c r="OO12" s="40" t="str">
        <f t="shared" si="170"/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 t="shared" si="171"/>
        <v/>
      </c>
      <c r="PK12" s="11" t="str">
        <f t="shared" si="172"/>
        <v/>
      </c>
      <c r="PL12" s="11" t="str">
        <f t="shared" si="173"/>
        <v/>
      </c>
      <c r="PM12" s="11" t="str">
        <f t="shared" si="174"/>
        <v/>
      </c>
      <c r="PN12" s="11" t="str">
        <f t="shared" si="175"/>
        <v/>
      </c>
      <c r="PO12" s="11" t="str">
        <f t="shared" si="176"/>
        <v/>
      </c>
      <c r="PP12" s="11" t="str">
        <f t="shared" si="177"/>
        <v/>
      </c>
      <c r="PQ12" s="11" t="str">
        <f t="shared" si="178"/>
        <v/>
      </c>
      <c r="PR12" s="11" t="str">
        <f t="shared" si="179"/>
        <v/>
      </c>
      <c r="PS12" s="11" t="str">
        <f t="shared" si="180"/>
        <v/>
      </c>
      <c r="PT12" s="11" t="str">
        <f t="shared" si="181"/>
        <v/>
      </c>
      <c r="PU12" s="11" t="str">
        <f t="shared" si="182"/>
        <v/>
      </c>
      <c r="PV12" s="11" t="str">
        <f t="shared" si="183"/>
        <v/>
      </c>
      <c r="PW12" s="11" t="str">
        <f t="shared" si="184"/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0" t="str">
        <f t="shared" si="185"/>
        <v/>
      </c>
      <c r="QS12" s="40" t="str">
        <f t="shared" si="186"/>
        <v/>
      </c>
      <c r="QT12" s="40" t="str">
        <f t="shared" si="187"/>
        <v/>
      </c>
      <c r="QU12" s="40" t="str">
        <f t="shared" si="188"/>
        <v/>
      </c>
      <c r="QV12" s="40" t="str">
        <f t="shared" si="189"/>
        <v/>
      </c>
      <c r="QW12" s="40" t="str">
        <f t="shared" si="190"/>
        <v/>
      </c>
      <c r="QX12" s="40" t="str">
        <f t="shared" si="191"/>
        <v/>
      </c>
      <c r="QY12" s="40" t="str">
        <f t="shared" si="192"/>
        <v/>
      </c>
      <c r="QZ12" s="40" t="str">
        <f t="shared" si="193"/>
        <v/>
      </c>
      <c r="RA12" s="40" t="str">
        <f t="shared" si="194"/>
        <v/>
      </c>
      <c r="RB12" s="40" t="str">
        <f t="shared" si="195"/>
        <v/>
      </c>
      <c r="RC12" s="40" t="str">
        <f t="shared" si="196"/>
        <v/>
      </c>
      <c r="RD12" s="40" t="str">
        <f t="shared" si="197"/>
        <v/>
      </c>
      <c r="RE12" s="40" t="str">
        <f t="shared" si="198"/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 t="shared" si="199"/>
        <v/>
      </c>
      <c r="SA12" s="11" t="str">
        <f t="shared" si="200"/>
        <v/>
      </c>
      <c r="SB12" s="11" t="str">
        <f t="shared" si="201"/>
        <v/>
      </c>
      <c r="SC12" s="11" t="str">
        <f t="shared" si="202"/>
        <v/>
      </c>
      <c r="SD12" s="11" t="str">
        <f t="shared" si="203"/>
        <v/>
      </c>
      <c r="SE12" s="11" t="str">
        <f t="shared" si="204"/>
        <v/>
      </c>
      <c r="SF12" s="11" t="str">
        <f t="shared" si="205"/>
        <v/>
      </c>
      <c r="SG12" s="11" t="str">
        <f t="shared" si="206"/>
        <v/>
      </c>
      <c r="SH12" s="11" t="str">
        <f t="shared" si="207"/>
        <v/>
      </c>
      <c r="SI12" s="11" t="str">
        <f t="shared" si="208"/>
        <v/>
      </c>
      <c r="SJ12" s="11" t="str">
        <f t="shared" si="209"/>
        <v/>
      </c>
      <c r="SK12" s="11" t="str">
        <f t="shared" si="210"/>
        <v/>
      </c>
      <c r="SL12" s="11" t="str">
        <f t="shared" si="211"/>
        <v/>
      </c>
      <c r="SM12" s="11" t="str">
        <f t="shared" si="212"/>
        <v/>
      </c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40" t="str">
        <f t="shared" si="213"/>
        <v/>
      </c>
      <c r="TI12" s="40" t="str">
        <f t="shared" si="214"/>
        <v/>
      </c>
      <c r="TJ12" s="40" t="str">
        <f t="shared" si="215"/>
        <v/>
      </c>
      <c r="TK12" s="40" t="str">
        <f t="shared" si="216"/>
        <v/>
      </c>
      <c r="TL12" s="40" t="str">
        <f t="shared" si="217"/>
        <v/>
      </c>
      <c r="TM12" s="40" t="str">
        <f t="shared" si="218"/>
        <v/>
      </c>
      <c r="TN12" s="40" t="str">
        <f t="shared" si="219"/>
        <v/>
      </c>
      <c r="TO12" s="40" t="str">
        <f t="shared" si="220"/>
        <v/>
      </c>
      <c r="TP12" s="40" t="str">
        <f t="shared" si="221"/>
        <v/>
      </c>
      <c r="TQ12" s="40" t="str">
        <f t="shared" si="222"/>
        <v/>
      </c>
      <c r="TR12" s="40" t="str">
        <f t="shared" si="223"/>
        <v/>
      </c>
      <c r="TS12" s="40" t="str">
        <f t="shared" si="224"/>
        <v/>
      </c>
      <c r="TT12" s="40" t="str">
        <f t="shared" si="225"/>
        <v/>
      </c>
      <c r="TU12" s="40" t="str">
        <f t="shared" si="226"/>
        <v/>
      </c>
      <c r="TV12" s="18"/>
      <c r="TW12" s="18"/>
      <c r="TX12" s="18"/>
      <c r="TY12" s="18"/>
      <c r="TZ12" s="18"/>
      <c r="UA12" s="18"/>
      <c r="UB12" s="18"/>
      <c r="UC12" s="18"/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1" t="str">
        <f t="shared" si="227"/>
        <v/>
      </c>
      <c r="UQ12" s="11" t="str">
        <f t="shared" si="228"/>
        <v/>
      </c>
      <c r="UR12" s="11" t="str">
        <f t="shared" si="229"/>
        <v/>
      </c>
      <c r="US12" s="11" t="str">
        <f t="shared" si="230"/>
        <v/>
      </c>
      <c r="UT12" s="11" t="str">
        <f t="shared" si="231"/>
        <v/>
      </c>
      <c r="UU12" s="11" t="str">
        <f t="shared" si="232"/>
        <v/>
      </c>
      <c r="UV12" s="11" t="str">
        <f t="shared" si="233"/>
        <v/>
      </c>
      <c r="UW12" s="11" t="str">
        <f t="shared" si="234"/>
        <v/>
      </c>
      <c r="UX12" s="11" t="str">
        <f t="shared" si="235"/>
        <v/>
      </c>
      <c r="UY12" s="11" t="str">
        <f t="shared" si="236"/>
        <v/>
      </c>
      <c r="UZ12" s="11" t="str">
        <f t="shared" si="237"/>
        <v/>
      </c>
      <c r="VA12" s="11" t="str">
        <f t="shared" si="238"/>
        <v/>
      </c>
      <c r="VB12" s="11" t="str">
        <f t="shared" si="239"/>
        <v/>
      </c>
      <c r="VC12" s="11" t="str">
        <f t="shared" si="240"/>
        <v/>
      </c>
      <c r="VD12" s="17"/>
      <c r="VE12" s="17"/>
      <c r="VF12" s="17"/>
      <c r="VG12" s="17"/>
      <c r="VH12" s="17"/>
      <c r="VI12" s="17"/>
      <c r="VJ12" s="17"/>
      <c r="VK12" s="17"/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40" t="str">
        <f t="shared" si="241"/>
        <v/>
      </c>
      <c r="VY12" s="40" t="str">
        <f t="shared" si="242"/>
        <v/>
      </c>
      <c r="VZ12" s="40" t="str">
        <f t="shared" si="243"/>
        <v/>
      </c>
      <c r="WA12" s="40" t="str">
        <f t="shared" si="244"/>
        <v/>
      </c>
      <c r="WB12" s="40" t="str">
        <f t="shared" si="245"/>
        <v/>
      </c>
      <c r="WC12" s="40" t="str">
        <f t="shared" si="246"/>
        <v/>
      </c>
      <c r="WD12" s="40" t="str">
        <f t="shared" si="247"/>
        <v/>
      </c>
      <c r="WE12" s="40" t="str">
        <f t="shared" si="248"/>
        <v/>
      </c>
      <c r="WF12" s="40" t="str">
        <f t="shared" si="249"/>
        <v/>
      </c>
      <c r="WG12" s="40" t="str">
        <f t="shared" si="250"/>
        <v/>
      </c>
      <c r="WH12" s="40" t="str">
        <f t="shared" si="251"/>
        <v/>
      </c>
      <c r="WI12" s="40" t="str">
        <f t="shared" si="252"/>
        <v/>
      </c>
      <c r="WJ12" s="40" t="str">
        <f t="shared" si="253"/>
        <v/>
      </c>
      <c r="WK12" s="40" t="str">
        <f t="shared" si="254"/>
        <v/>
      </c>
      <c r="WL12" s="26">
        <f t="shared" si="255"/>
        <v>4.1500000000000004</v>
      </c>
      <c r="WM12" s="26">
        <f t="shared" si="256"/>
        <v>4.625</v>
      </c>
      <c r="WN12" s="26">
        <f t="shared" si="257"/>
        <v>4.5</v>
      </c>
      <c r="WO12" s="26">
        <f t="shared" si="258"/>
        <v>8.91</v>
      </c>
      <c r="WP12" s="26">
        <f t="shared" si="259"/>
        <v>0</v>
      </c>
      <c r="WQ12" s="26">
        <f t="shared" si="260"/>
        <v>2.9249999999999998</v>
      </c>
      <c r="WR12" s="26">
        <f t="shared" si="261"/>
        <v>3.3</v>
      </c>
      <c r="WS12" s="26">
        <f t="shared" si="262"/>
        <v>3.2</v>
      </c>
      <c r="WT12" s="26">
        <f t="shared" si="263"/>
        <v>5.94</v>
      </c>
      <c r="WU12" s="26">
        <f t="shared" si="264"/>
        <v>0</v>
      </c>
      <c r="WV12" s="26">
        <f t="shared" si="265"/>
        <v>0.85</v>
      </c>
      <c r="WW12" s="26">
        <f t="shared" si="266"/>
        <v>0.97499999999999998</v>
      </c>
      <c r="WX12" s="26">
        <f t="shared" si="267"/>
        <v>1.1499999999999999</v>
      </c>
      <c r="WY12" s="26">
        <f t="shared" si="268"/>
        <v>1.52</v>
      </c>
      <c r="WZ12" s="26">
        <f t="shared" si="269"/>
        <v>0</v>
      </c>
      <c r="XA12" s="28" t="s">
        <v>53</v>
      </c>
      <c r="XB12" s="11">
        <f t="shared" si="270"/>
        <v>4.5</v>
      </c>
      <c r="XC12" s="11">
        <f t="shared" si="271"/>
        <v>8.91</v>
      </c>
      <c r="XD12" s="11">
        <f t="shared" si="272"/>
        <v>22.185000000000002</v>
      </c>
      <c r="XE12" s="11">
        <f t="shared" si="273"/>
        <v>3.2</v>
      </c>
      <c r="XF12" s="11">
        <f t="shared" si="274"/>
        <v>5.94</v>
      </c>
      <c r="XG12" s="11">
        <f t="shared" si="275"/>
        <v>15.365000000000002</v>
      </c>
      <c r="XH12" s="11">
        <f t="shared" si="276"/>
        <v>22.185000000000002</v>
      </c>
      <c r="XI12" s="11">
        <f t="shared" si="277"/>
        <v>1.1499999999999999</v>
      </c>
      <c r="XJ12" s="11">
        <f t="shared" si="278"/>
        <v>1.52</v>
      </c>
      <c r="XK12" s="11">
        <f t="shared" si="279"/>
        <v>4.4949999999999992</v>
      </c>
      <c r="XL12" s="11">
        <f t="shared" si="280"/>
        <v>26.68</v>
      </c>
    </row>
    <row r="13" spans="1:636" x14ac:dyDescent="0.2">
      <c r="A13" s="4" cm="1">
        <f t="array" ref="A13">IF(AND(H13&lt;&gt;"",H13&lt;&gt;"No DD"),SUMPRODUCT((H$4:H$16&lt;&gt;"")*(H$4:H$16&lt;&gt;"No DD")*(E$4:E$16&gt;E13))+1,IF(H13="No DD",SUMPRODUCT((H$4:H$16="No DD")*(E$4:E$16&gt;E13))+1+SUMPRODUCT((H$4:H$16&lt;&gt;"")*(H$4:H$16&lt;&gt;"No DD")),""))</f>
        <v>10</v>
      </c>
      <c r="B13" s="5" t="s">
        <v>229</v>
      </c>
      <c r="C13" s="4" t="s">
        <v>3</v>
      </c>
      <c r="D13" s="4" t="s">
        <v>230</v>
      </c>
      <c r="E13" s="9">
        <f t="shared" si="0"/>
        <v>44.349999999999994</v>
      </c>
      <c r="F13" s="3" t="str">
        <f t="shared" si="1"/>
        <v/>
      </c>
      <c r="G13" s="3" t="str">
        <f t="shared" si="2"/>
        <v>P</v>
      </c>
      <c r="H13" s="36" t="str">
        <f t="shared" si="3"/>
        <v>No DD</v>
      </c>
      <c r="I13" s="3" t="str">
        <f t="shared" si="4"/>
        <v/>
      </c>
      <c r="J13" s="8">
        <f>IF(COUNT(AI13,AL13,AP13,BJ13,BM13,BQ13,CK13,CN13,CR13)&gt;0,LARGE((AI13,AL13,AP13,BJ13,BM13,BQ13,CK13,CN13,CR13),1),0)</f>
        <v>0</v>
      </c>
      <c r="K13" s="8" t="str">
        <f t="shared" si="5"/>
        <v/>
      </c>
      <c r="L13" s="8">
        <f>IF(COUNT(AI13,AL13,AP13,BJ13,BM13,BQ13,CK13,CN13,CR13)&gt;1,LARGE((AI13,AL13,AP13,BJ13,BM13,BQ13,CK13,CN13,CR13),2),0)</f>
        <v>0</v>
      </c>
      <c r="M13" s="8" t="str">
        <f t="shared" si="6"/>
        <v/>
      </c>
      <c r="N13" s="8">
        <f t="shared" si="7"/>
        <v>44.349999999999994</v>
      </c>
      <c r="O13" s="11" t="str">
        <f t="shared" si="8"/>
        <v>(Final)</v>
      </c>
      <c r="P13" s="8" t="str">
        <f t="shared" si="9"/>
        <v>2024 Pan Am [Club] Championships (May 19)</v>
      </c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7"/>
      <c r="AG13" s="38" t="str">
        <f t="shared" si="10"/>
        <v/>
      </c>
      <c r="AH13" s="38" t="str">
        <f t="shared" si="11"/>
        <v/>
      </c>
      <c r="AI13" s="40" t="str">
        <f t="shared" si="12"/>
        <v/>
      </c>
      <c r="AJ13" s="40" t="str">
        <f t="shared" si="13"/>
        <v/>
      </c>
      <c r="AK13" s="40" t="str">
        <f t="shared" si="14"/>
        <v/>
      </c>
      <c r="AL13" s="40" t="str">
        <f t="shared" si="15"/>
        <v/>
      </c>
      <c r="AM13" s="40" t="str">
        <f t="shared" si="16"/>
        <v/>
      </c>
      <c r="AN13" s="40" t="str">
        <f t="shared" si="17"/>
        <v/>
      </c>
      <c r="AO13" s="40" t="str">
        <f t="shared" si="18"/>
        <v/>
      </c>
      <c r="AP13" s="40" t="str">
        <f t="shared" si="19"/>
        <v/>
      </c>
      <c r="AQ13" s="40" t="str">
        <f t="shared" si="20"/>
        <v/>
      </c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8"/>
      <c r="BH13" s="39" t="str">
        <f t="shared" si="21"/>
        <v/>
      </c>
      <c r="BI13" s="39" t="str">
        <f t="shared" si="22"/>
        <v/>
      </c>
      <c r="BJ13" s="11" t="str">
        <f t="shared" si="23"/>
        <v/>
      </c>
      <c r="BK13" s="11" t="str">
        <f t="shared" si="24"/>
        <v/>
      </c>
      <c r="BL13" s="11" t="str">
        <f t="shared" si="25"/>
        <v/>
      </c>
      <c r="BM13" s="11" t="str">
        <f t="shared" si="26"/>
        <v/>
      </c>
      <c r="BN13" s="11" t="str">
        <f t="shared" si="27"/>
        <v/>
      </c>
      <c r="BO13" s="11" t="str">
        <f t="shared" si="28"/>
        <v/>
      </c>
      <c r="BP13" s="11" t="str">
        <f t="shared" si="29"/>
        <v/>
      </c>
      <c r="BQ13" s="11" t="str">
        <f t="shared" si="30"/>
        <v/>
      </c>
      <c r="BR13" s="11" t="str">
        <f t="shared" si="31"/>
        <v/>
      </c>
      <c r="BS13" s="22"/>
      <c r="BT13" s="22"/>
      <c r="BU13" s="22"/>
      <c r="BV13" s="22"/>
      <c r="BW13" s="22"/>
      <c r="BX13" s="22"/>
      <c r="BY13" s="22"/>
      <c r="BZ13" s="22"/>
      <c r="CA13" s="22"/>
      <c r="CB13" s="22"/>
      <c r="CC13" s="22"/>
      <c r="CD13" s="22"/>
      <c r="CE13" s="22"/>
      <c r="CF13" s="22"/>
      <c r="CG13" s="22"/>
      <c r="CH13" s="27"/>
      <c r="CI13" s="38" t="str">
        <f t="shared" si="32"/>
        <v/>
      </c>
      <c r="CJ13" s="38" t="str">
        <f t="shared" si="33"/>
        <v/>
      </c>
      <c r="CK13" s="40" t="str">
        <f t="shared" si="34"/>
        <v/>
      </c>
      <c r="CL13" s="40" t="str">
        <f t="shared" si="35"/>
        <v/>
      </c>
      <c r="CM13" s="40" t="str">
        <f t="shared" si="36"/>
        <v/>
      </c>
      <c r="CN13" s="40" t="str">
        <f t="shared" si="37"/>
        <v/>
      </c>
      <c r="CO13" s="40" t="str">
        <f t="shared" si="38"/>
        <v/>
      </c>
      <c r="CP13" s="40" t="str">
        <f t="shared" si="39"/>
        <v/>
      </c>
      <c r="CQ13" s="40" t="str">
        <f t="shared" si="40"/>
        <v/>
      </c>
      <c r="CR13" s="40" t="str">
        <f t="shared" si="41"/>
        <v/>
      </c>
      <c r="CS13" s="40" t="str">
        <f t="shared" si="42"/>
        <v/>
      </c>
      <c r="CT13" s="51">
        <f t="shared" si="43"/>
        <v>43.33</v>
      </c>
      <c r="CU13" s="51">
        <f t="shared" si="44"/>
        <v>44.349999999999994</v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0" t="str">
        <f t="shared" si="45"/>
        <v/>
      </c>
      <c r="DQ13" s="40" t="str">
        <f t="shared" si="46"/>
        <v/>
      </c>
      <c r="DR13" s="40" t="str">
        <f t="shared" si="47"/>
        <v/>
      </c>
      <c r="DS13" s="40" t="str">
        <f t="shared" si="48"/>
        <v/>
      </c>
      <c r="DT13" s="40" t="str">
        <f t="shared" si="49"/>
        <v/>
      </c>
      <c r="DU13" s="40" t="str">
        <f t="shared" si="50"/>
        <v/>
      </c>
      <c r="DV13" s="40" t="str">
        <f t="shared" si="51"/>
        <v/>
      </c>
      <c r="DW13" s="40" t="str">
        <f t="shared" si="52"/>
        <v/>
      </c>
      <c r="DX13" s="40" t="str">
        <f t="shared" si="53"/>
        <v/>
      </c>
      <c r="DY13" s="40" t="str">
        <f t="shared" si="54"/>
        <v/>
      </c>
      <c r="DZ13" s="40" t="str">
        <f t="shared" si="55"/>
        <v/>
      </c>
      <c r="EA13" s="40" t="str">
        <f t="shared" si="56"/>
        <v/>
      </c>
      <c r="EB13" s="40" t="str">
        <f t="shared" si="57"/>
        <v/>
      </c>
      <c r="EC13" s="40" t="str">
        <f t="shared" si="58"/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 t="shared" si="59"/>
        <v/>
      </c>
      <c r="EY13" s="11" t="str">
        <f t="shared" si="60"/>
        <v/>
      </c>
      <c r="EZ13" s="11" t="str">
        <f t="shared" si="61"/>
        <v/>
      </c>
      <c r="FA13" s="11" t="str">
        <f t="shared" si="62"/>
        <v/>
      </c>
      <c r="FB13" s="11" t="str">
        <f t="shared" si="63"/>
        <v/>
      </c>
      <c r="FC13" s="11" t="str">
        <f t="shared" si="64"/>
        <v/>
      </c>
      <c r="FD13" s="11" t="str">
        <f t="shared" si="65"/>
        <v/>
      </c>
      <c r="FE13" s="11" t="str">
        <f t="shared" si="66"/>
        <v/>
      </c>
      <c r="FF13" s="11" t="str">
        <f t="shared" si="67"/>
        <v/>
      </c>
      <c r="FG13" s="11" t="str">
        <f t="shared" si="68"/>
        <v/>
      </c>
      <c r="FH13" s="11" t="str">
        <f t="shared" si="69"/>
        <v/>
      </c>
      <c r="FI13" s="11" t="str">
        <f t="shared" si="70"/>
        <v/>
      </c>
      <c r="FJ13" s="11" t="str">
        <f t="shared" si="71"/>
        <v/>
      </c>
      <c r="FK13" s="11" t="str">
        <f t="shared" si="72"/>
        <v/>
      </c>
      <c r="FL13" s="17">
        <v>7.15</v>
      </c>
      <c r="FM13" s="17">
        <v>9.5</v>
      </c>
      <c r="FN13" s="17">
        <v>9</v>
      </c>
      <c r="FO13" s="17">
        <v>17.68</v>
      </c>
      <c r="FP13" s="17">
        <v>0</v>
      </c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>
        <v>7.45</v>
      </c>
      <c r="GB13" s="17">
        <v>9.1999999999999993</v>
      </c>
      <c r="GC13" s="17">
        <v>9</v>
      </c>
      <c r="GD13" s="17">
        <v>18.7</v>
      </c>
      <c r="GE13" s="17">
        <v>0</v>
      </c>
      <c r="GF13" s="40">
        <f t="shared" si="73"/>
        <v>9</v>
      </c>
      <c r="GG13" s="40">
        <f t="shared" si="74"/>
        <v>17.68</v>
      </c>
      <c r="GH13" s="40">
        <f t="shared" si="75"/>
        <v>43.33</v>
      </c>
      <c r="GI13" s="40" t="str">
        <f t="shared" si="76"/>
        <v/>
      </c>
      <c r="GJ13" s="40" t="str">
        <f t="shared" si="77"/>
        <v/>
      </c>
      <c r="GK13" s="40" t="str">
        <f t="shared" si="78"/>
        <v/>
      </c>
      <c r="GL13" s="40">
        <f t="shared" si="79"/>
        <v>43.33</v>
      </c>
      <c r="GM13" s="40" t="str">
        <f t="shared" si="80"/>
        <v/>
      </c>
      <c r="GN13" s="40" t="str">
        <f t="shared" si="81"/>
        <v/>
      </c>
      <c r="GO13" s="40" t="str">
        <f t="shared" si="82"/>
        <v/>
      </c>
      <c r="GP13" s="40">
        <f t="shared" si="83"/>
        <v>9</v>
      </c>
      <c r="GQ13" s="40">
        <f t="shared" si="84"/>
        <v>18.7</v>
      </c>
      <c r="GR13" s="40">
        <f t="shared" si="85"/>
        <v>44.349999999999994</v>
      </c>
      <c r="GS13" s="40">
        <f t="shared" si="86"/>
        <v>87.679999999999993</v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 t="shared" si="87"/>
        <v/>
      </c>
      <c r="HO13" s="11" t="str">
        <f t="shared" si="88"/>
        <v/>
      </c>
      <c r="HP13" s="11" t="str">
        <f t="shared" si="89"/>
        <v/>
      </c>
      <c r="HQ13" s="11" t="str">
        <f t="shared" si="90"/>
        <v/>
      </c>
      <c r="HR13" s="11" t="str">
        <f t="shared" si="91"/>
        <v/>
      </c>
      <c r="HS13" s="11" t="str">
        <f t="shared" si="92"/>
        <v/>
      </c>
      <c r="HT13" s="11" t="str">
        <f t="shared" si="93"/>
        <v/>
      </c>
      <c r="HU13" s="11" t="str">
        <f t="shared" si="94"/>
        <v/>
      </c>
      <c r="HV13" s="11" t="str">
        <f t="shared" si="95"/>
        <v/>
      </c>
      <c r="HW13" s="11" t="str">
        <f t="shared" si="96"/>
        <v/>
      </c>
      <c r="HX13" s="11" t="str">
        <f t="shared" si="97"/>
        <v/>
      </c>
      <c r="HY13" s="11" t="str">
        <f t="shared" si="98"/>
        <v/>
      </c>
      <c r="HZ13" s="11" t="str">
        <f t="shared" si="99"/>
        <v/>
      </c>
      <c r="IA13" s="11" t="str">
        <f t="shared" si="100"/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0" t="str">
        <f t="shared" si="101"/>
        <v/>
      </c>
      <c r="IW13" s="40" t="str">
        <f t="shared" si="102"/>
        <v/>
      </c>
      <c r="IX13" s="40" t="str">
        <f t="shared" si="103"/>
        <v/>
      </c>
      <c r="IY13" s="40" t="str">
        <f t="shared" si="104"/>
        <v/>
      </c>
      <c r="IZ13" s="40" t="str">
        <f t="shared" si="105"/>
        <v/>
      </c>
      <c r="JA13" s="40" t="str">
        <f t="shared" si="106"/>
        <v/>
      </c>
      <c r="JB13" s="40" t="str">
        <f t="shared" si="107"/>
        <v/>
      </c>
      <c r="JC13" s="40" t="str">
        <f t="shared" si="108"/>
        <v/>
      </c>
      <c r="JD13" s="40" t="str">
        <f t="shared" si="109"/>
        <v/>
      </c>
      <c r="JE13" s="40" t="str">
        <f t="shared" si="110"/>
        <v/>
      </c>
      <c r="JF13" s="40" t="str">
        <f t="shared" si="111"/>
        <v/>
      </c>
      <c r="JG13" s="40" t="str">
        <f t="shared" si="112"/>
        <v/>
      </c>
      <c r="JH13" s="40" t="str">
        <f t="shared" si="113"/>
        <v/>
      </c>
      <c r="JI13" s="40" t="str">
        <f t="shared" si="114"/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 t="shared" si="115"/>
        <v/>
      </c>
      <c r="KE13" s="11" t="str">
        <f t="shared" si="116"/>
        <v/>
      </c>
      <c r="KF13" s="11" t="str">
        <f t="shared" si="117"/>
        <v/>
      </c>
      <c r="KG13" s="11" t="str">
        <f t="shared" si="118"/>
        <v/>
      </c>
      <c r="KH13" s="11" t="str">
        <f t="shared" si="119"/>
        <v/>
      </c>
      <c r="KI13" s="11" t="str">
        <f t="shared" si="120"/>
        <v/>
      </c>
      <c r="KJ13" s="11" t="str">
        <f t="shared" si="121"/>
        <v/>
      </c>
      <c r="KK13" s="11" t="str">
        <f t="shared" si="122"/>
        <v/>
      </c>
      <c r="KL13" s="11" t="str">
        <f t="shared" si="123"/>
        <v/>
      </c>
      <c r="KM13" s="11" t="str">
        <f t="shared" si="124"/>
        <v/>
      </c>
      <c r="KN13" s="11" t="str">
        <f t="shared" si="125"/>
        <v/>
      </c>
      <c r="KO13" s="11" t="str">
        <f t="shared" si="126"/>
        <v/>
      </c>
      <c r="KP13" s="11" t="str">
        <f t="shared" si="127"/>
        <v/>
      </c>
      <c r="KQ13" s="11" t="str">
        <f t="shared" si="128"/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0" t="str">
        <f t="shared" si="129"/>
        <v/>
      </c>
      <c r="LM13" s="40" t="str">
        <f t="shared" si="130"/>
        <v/>
      </c>
      <c r="LN13" s="40" t="str">
        <f t="shared" si="131"/>
        <v/>
      </c>
      <c r="LO13" s="40" t="str">
        <f t="shared" si="132"/>
        <v/>
      </c>
      <c r="LP13" s="40" t="str">
        <f t="shared" si="133"/>
        <v/>
      </c>
      <c r="LQ13" s="40" t="str">
        <f t="shared" si="134"/>
        <v/>
      </c>
      <c r="LR13" s="40" t="str">
        <f t="shared" si="135"/>
        <v/>
      </c>
      <c r="LS13" s="40" t="str">
        <f t="shared" si="136"/>
        <v/>
      </c>
      <c r="LT13" s="40" t="str">
        <f t="shared" si="137"/>
        <v/>
      </c>
      <c r="LU13" s="40" t="str">
        <f t="shared" si="138"/>
        <v/>
      </c>
      <c r="LV13" s="40" t="str">
        <f t="shared" si="139"/>
        <v/>
      </c>
      <c r="LW13" s="40" t="str">
        <f t="shared" si="140"/>
        <v/>
      </c>
      <c r="LX13" s="40" t="str">
        <f t="shared" si="141"/>
        <v/>
      </c>
      <c r="LY13" s="40" t="str">
        <f t="shared" si="142"/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 t="shared" si="143"/>
        <v/>
      </c>
      <c r="MU13" s="11" t="str">
        <f t="shared" si="144"/>
        <v/>
      </c>
      <c r="MV13" s="11" t="str">
        <f t="shared" si="145"/>
        <v/>
      </c>
      <c r="MW13" s="11" t="str">
        <f t="shared" si="146"/>
        <v/>
      </c>
      <c r="MX13" s="11" t="str">
        <f t="shared" si="147"/>
        <v/>
      </c>
      <c r="MY13" s="11" t="str">
        <f t="shared" si="148"/>
        <v/>
      </c>
      <c r="MZ13" s="11" t="str">
        <f t="shared" si="149"/>
        <v/>
      </c>
      <c r="NA13" s="11" t="str">
        <f t="shared" si="150"/>
        <v/>
      </c>
      <c r="NB13" s="11" t="str">
        <f t="shared" si="151"/>
        <v/>
      </c>
      <c r="NC13" s="11" t="str">
        <f t="shared" si="152"/>
        <v/>
      </c>
      <c r="ND13" s="11" t="str">
        <f t="shared" si="153"/>
        <v/>
      </c>
      <c r="NE13" s="11" t="str">
        <f t="shared" si="154"/>
        <v/>
      </c>
      <c r="NF13" s="11" t="str">
        <f t="shared" si="155"/>
        <v/>
      </c>
      <c r="NG13" s="11" t="str">
        <f t="shared" si="156"/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0" t="str">
        <f t="shared" si="157"/>
        <v/>
      </c>
      <c r="OC13" s="40" t="str">
        <f t="shared" si="158"/>
        <v/>
      </c>
      <c r="OD13" s="40" t="str">
        <f t="shared" si="159"/>
        <v/>
      </c>
      <c r="OE13" s="40" t="str">
        <f t="shared" si="160"/>
        <v/>
      </c>
      <c r="OF13" s="40" t="str">
        <f t="shared" si="161"/>
        <v/>
      </c>
      <c r="OG13" s="40" t="str">
        <f t="shared" si="162"/>
        <v/>
      </c>
      <c r="OH13" s="40" t="str">
        <f t="shared" si="163"/>
        <v/>
      </c>
      <c r="OI13" s="40" t="str">
        <f t="shared" si="164"/>
        <v/>
      </c>
      <c r="OJ13" s="40" t="str">
        <f t="shared" si="165"/>
        <v/>
      </c>
      <c r="OK13" s="40" t="str">
        <f t="shared" si="166"/>
        <v/>
      </c>
      <c r="OL13" s="40" t="str">
        <f t="shared" si="167"/>
        <v/>
      </c>
      <c r="OM13" s="40" t="str">
        <f t="shared" si="168"/>
        <v/>
      </c>
      <c r="ON13" s="40" t="str">
        <f t="shared" si="169"/>
        <v/>
      </c>
      <c r="OO13" s="40" t="str">
        <f t="shared" si="170"/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 t="shared" si="171"/>
        <v/>
      </c>
      <c r="PK13" s="11" t="str">
        <f t="shared" si="172"/>
        <v/>
      </c>
      <c r="PL13" s="11" t="str">
        <f t="shared" si="173"/>
        <v/>
      </c>
      <c r="PM13" s="11" t="str">
        <f t="shared" si="174"/>
        <v/>
      </c>
      <c r="PN13" s="11" t="str">
        <f t="shared" si="175"/>
        <v/>
      </c>
      <c r="PO13" s="11" t="str">
        <f t="shared" si="176"/>
        <v/>
      </c>
      <c r="PP13" s="11" t="str">
        <f t="shared" si="177"/>
        <v/>
      </c>
      <c r="PQ13" s="11" t="str">
        <f t="shared" si="178"/>
        <v/>
      </c>
      <c r="PR13" s="11" t="str">
        <f t="shared" si="179"/>
        <v/>
      </c>
      <c r="PS13" s="11" t="str">
        <f t="shared" si="180"/>
        <v/>
      </c>
      <c r="PT13" s="11" t="str">
        <f t="shared" si="181"/>
        <v/>
      </c>
      <c r="PU13" s="11" t="str">
        <f t="shared" si="182"/>
        <v/>
      </c>
      <c r="PV13" s="11" t="str">
        <f t="shared" si="183"/>
        <v/>
      </c>
      <c r="PW13" s="11" t="str">
        <f t="shared" si="184"/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0" t="str">
        <f t="shared" si="185"/>
        <v/>
      </c>
      <c r="QS13" s="40" t="str">
        <f t="shared" si="186"/>
        <v/>
      </c>
      <c r="QT13" s="40" t="str">
        <f t="shared" si="187"/>
        <v/>
      </c>
      <c r="QU13" s="40" t="str">
        <f t="shared" si="188"/>
        <v/>
      </c>
      <c r="QV13" s="40" t="str">
        <f t="shared" si="189"/>
        <v/>
      </c>
      <c r="QW13" s="40" t="str">
        <f t="shared" si="190"/>
        <v/>
      </c>
      <c r="QX13" s="40" t="str">
        <f t="shared" si="191"/>
        <v/>
      </c>
      <c r="QY13" s="40" t="str">
        <f t="shared" si="192"/>
        <v/>
      </c>
      <c r="QZ13" s="40" t="str">
        <f t="shared" si="193"/>
        <v/>
      </c>
      <c r="RA13" s="40" t="str">
        <f t="shared" si="194"/>
        <v/>
      </c>
      <c r="RB13" s="40" t="str">
        <f t="shared" si="195"/>
        <v/>
      </c>
      <c r="RC13" s="40" t="str">
        <f t="shared" si="196"/>
        <v/>
      </c>
      <c r="RD13" s="40" t="str">
        <f t="shared" si="197"/>
        <v/>
      </c>
      <c r="RE13" s="40" t="str">
        <f t="shared" si="198"/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 t="shared" si="199"/>
        <v/>
      </c>
      <c r="SA13" s="11" t="str">
        <f t="shared" si="200"/>
        <v/>
      </c>
      <c r="SB13" s="11" t="str">
        <f t="shared" si="201"/>
        <v/>
      </c>
      <c r="SC13" s="11" t="str">
        <f t="shared" si="202"/>
        <v/>
      </c>
      <c r="SD13" s="11" t="str">
        <f t="shared" si="203"/>
        <v/>
      </c>
      <c r="SE13" s="11" t="str">
        <f t="shared" si="204"/>
        <v/>
      </c>
      <c r="SF13" s="11" t="str">
        <f t="shared" si="205"/>
        <v/>
      </c>
      <c r="SG13" s="11" t="str">
        <f t="shared" si="206"/>
        <v/>
      </c>
      <c r="SH13" s="11" t="str">
        <f t="shared" si="207"/>
        <v/>
      </c>
      <c r="SI13" s="11" t="str">
        <f t="shared" si="208"/>
        <v/>
      </c>
      <c r="SJ13" s="11" t="str">
        <f t="shared" si="209"/>
        <v/>
      </c>
      <c r="SK13" s="11" t="str">
        <f t="shared" si="210"/>
        <v/>
      </c>
      <c r="SL13" s="11" t="str">
        <f t="shared" si="211"/>
        <v/>
      </c>
      <c r="SM13" s="11" t="str">
        <f t="shared" si="212"/>
        <v/>
      </c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40" t="str">
        <f t="shared" si="213"/>
        <v/>
      </c>
      <c r="TI13" s="40" t="str">
        <f t="shared" si="214"/>
        <v/>
      </c>
      <c r="TJ13" s="40" t="str">
        <f t="shared" si="215"/>
        <v/>
      </c>
      <c r="TK13" s="40" t="str">
        <f t="shared" si="216"/>
        <v/>
      </c>
      <c r="TL13" s="40" t="str">
        <f t="shared" si="217"/>
        <v/>
      </c>
      <c r="TM13" s="40" t="str">
        <f t="shared" si="218"/>
        <v/>
      </c>
      <c r="TN13" s="40" t="str">
        <f t="shared" si="219"/>
        <v/>
      </c>
      <c r="TO13" s="40" t="str">
        <f t="shared" si="220"/>
        <v/>
      </c>
      <c r="TP13" s="40" t="str">
        <f t="shared" si="221"/>
        <v/>
      </c>
      <c r="TQ13" s="40" t="str">
        <f t="shared" si="222"/>
        <v/>
      </c>
      <c r="TR13" s="40" t="str">
        <f t="shared" si="223"/>
        <v/>
      </c>
      <c r="TS13" s="40" t="str">
        <f t="shared" si="224"/>
        <v/>
      </c>
      <c r="TT13" s="40" t="str">
        <f t="shared" si="225"/>
        <v/>
      </c>
      <c r="TU13" s="40" t="str">
        <f t="shared" si="226"/>
        <v/>
      </c>
      <c r="TV13" s="18"/>
      <c r="TW13" s="18"/>
      <c r="TX13" s="18"/>
      <c r="TY13" s="18"/>
      <c r="TZ13" s="18"/>
      <c r="UA13" s="18"/>
      <c r="UB13" s="18"/>
      <c r="UC13" s="18"/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1" t="str">
        <f t="shared" si="227"/>
        <v/>
      </c>
      <c r="UQ13" s="11" t="str">
        <f t="shared" si="228"/>
        <v/>
      </c>
      <c r="UR13" s="11" t="str">
        <f t="shared" si="229"/>
        <v/>
      </c>
      <c r="US13" s="11" t="str">
        <f t="shared" si="230"/>
        <v/>
      </c>
      <c r="UT13" s="11" t="str">
        <f t="shared" si="231"/>
        <v/>
      </c>
      <c r="UU13" s="11" t="str">
        <f t="shared" si="232"/>
        <v/>
      </c>
      <c r="UV13" s="11" t="str">
        <f t="shared" si="233"/>
        <v/>
      </c>
      <c r="UW13" s="11" t="str">
        <f t="shared" si="234"/>
        <v/>
      </c>
      <c r="UX13" s="11" t="str">
        <f t="shared" si="235"/>
        <v/>
      </c>
      <c r="UY13" s="11" t="str">
        <f t="shared" si="236"/>
        <v/>
      </c>
      <c r="UZ13" s="11" t="str">
        <f t="shared" si="237"/>
        <v/>
      </c>
      <c r="VA13" s="11" t="str">
        <f t="shared" si="238"/>
        <v/>
      </c>
      <c r="VB13" s="11" t="str">
        <f t="shared" si="239"/>
        <v/>
      </c>
      <c r="VC13" s="11" t="str">
        <f t="shared" si="240"/>
        <v/>
      </c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40" t="str">
        <f t="shared" si="241"/>
        <v/>
      </c>
      <c r="VY13" s="40" t="str">
        <f t="shared" si="242"/>
        <v/>
      </c>
      <c r="VZ13" s="40" t="str">
        <f t="shared" si="243"/>
        <v/>
      </c>
      <c r="WA13" s="40" t="str">
        <f t="shared" si="244"/>
        <v/>
      </c>
      <c r="WB13" s="40" t="str">
        <f t="shared" si="245"/>
        <v/>
      </c>
      <c r="WC13" s="40" t="str">
        <f t="shared" si="246"/>
        <v/>
      </c>
      <c r="WD13" s="40" t="str">
        <f t="shared" si="247"/>
        <v/>
      </c>
      <c r="WE13" s="40" t="str">
        <f t="shared" si="248"/>
        <v/>
      </c>
      <c r="WF13" s="40" t="str">
        <f t="shared" si="249"/>
        <v/>
      </c>
      <c r="WG13" s="40" t="str">
        <f t="shared" si="250"/>
        <v/>
      </c>
      <c r="WH13" s="40" t="str">
        <f t="shared" si="251"/>
        <v/>
      </c>
      <c r="WI13" s="40" t="str">
        <f t="shared" si="252"/>
        <v/>
      </c>
      <c r="WJ13" s="40" t="str">
        <f t="shared" si="253"/>
        <v/>
      </c>
      <c r="WK13" s="40" t="str">
        <f t="shared" si="254"/>
        <v/>
      </c>
      <c r="WL13" s="26">
        <f t="shared" si="255"/>
        <v>0</v>
      </c>
      <c r="WM13" s="26">
        <f t="shared" si="256"/>
        <v>0</v>
      </c>
      <c r="WN13" s="26">
        <f t="shared" si="257"/>
        <v>0</v>
      </c>
      <c r="WO13" s="26">
        <f t="shared" si="258"/>
        <v>0</v>
      </c>
      <c r="WP13" s="26">
        <f t="shared" si="259"/>
        <v>0</v>
      </c>
      <c r="WQ13" s="26">
        <f t="shared" si="260"/>
        <v>0</v>
      </c>
      <c r="WR13" s="26">
        <f t="shared" si="261"/>
        <v>0</v>
      </c>
      <c r="WS13" s="26">
        <f t="shared" si="262"/>
        <v>0</v>
      </c>
      <c r="WT13" s="26">
        <f t="shared" si="263"/>
        <v>0</v>
      </c>
      <c r="WU13" s="26">
        <f t="shared" si="264"/>
        <v>0</v>
      </c>
      <c r="WV13" s="26">
        <f t="shared" si="265"/>
        <v>0</v>
      </c>
      <c r="WW13" s="26">
        <f t="shared" si="266"/>
        <v>0</v>
      </c>
      <c r="WX13" s="26">
        <f t="shared" si="267"/>
        <v>0</v>
      </c>
      <c r="WY13" s="26">
        <f t="shared" si="268"/>
        <v>0</v>
      </c>
      <c r="WZ13" s="26">
        <f t="shared" si="269"/>
        <v>0</v>
      </c>
      <c r="XA13" s="28" t="s">
        <v>53</v>
      </c>
      <c r="XB13" s="11" t="str">
        <f t="shared" si="270"/>
        <v/>
      </c>
      <c r="XC13" s="11" t="str">
        <f t="shared" si="271"/>
        <v/>
      </c>
      <c r="XD13" s="11" t="str">
        <f t="shared" si="272"/>
        <v/>
      </c>
      <c r="XE13" s="11" t="str">
        <f t="shared" si="273"/>
        <v/>
      </c>
      <c r="XF13" s="11" t="str">
        <f t="shared" si="274"/>
        <v/>
      </c>
      <c r="XG13" s="11" t="str">
        <f t="shared" si="275"/>
        <v/>
      </c>
      <c r="XH13" s="11" t="str">
        <f t="shared" si="276"/>
        <v/>
      </c>
      <c r="XI13" s="11" t="str">
        <f t="shared" si="277"/>
        <v/>
      </c>
      <c r="XJ13" s="11" t="str">
        <f t="shared" si="278"/>
        <v/>
      </c>
      <c r="XK13" s="11" t="str">
        <f t="shared" si="279"/>
        <v/>
      </c>
      <c r="XL13" s="11" t="str">
        <f t="shared" si="280"/>
        <v/>
      </c>
    </row>
    <row r="14" spans="1:636" x14ac:dyDescent="0.2">
      <c r="A14" s="4" t="str" cm="1">
        <f t="array" ref="A14">IF(AND(H14&lt;&gt;"",H14&lt;&gt;"No DD"),SUMPRODUCT((H$4:H$16&lt;&gt;"")*(H$4:H$16&lt;&gt;"No DD")*(E$4:E$16&gt;E14))+1,IF(H14="No DD",SUMPRODUCT((H$4:H$16="No DD")*(E$4:E$16&gt;E14))+1+SUMPRODUCT((H$4:H$16&lt;&gt;"")*(H$4:H$16&lt;&gt;"No DD")),""))</f>
        <v/>
      </c>
      <c r="B14" s="5" t="s">
        <v>231</v>
      </c>
      <c r="C14" s="4" t="s">
        <v>168</v>
      </c>
      <c r="D14" s="4">
        <v>2009</v>
      </c>
      <c r="E14" s="9">
        <f t="shared" si="0"/>
        <v>43.05</v>
      </c>
      <c r="F14" s="3" t="str">
        <f t="shared" si="1"/>
        <v/>
      </c>
      <c r="G14" s="3" t="str">
        <f t="shared" si="2"/>
        <v/>
      </c>
      <c r="H14" s="36" t="str">
        <f t="shared" si="3"/>
        <v/>
      </c>
      <c r="I14" s="3" t="str">
        <f t="shared" si="4"/>
        <v/>
      </c>
      <c r="J14" s="8">
        <f>IF(COUNT(AI14,AL14,AP14,BJ14,BM14,BQ14,CK14,CN14,CR14)&gt;0,LARGE((AI14,AL14,AP14,BJ14,BM14,BQ14,CK14,CN14,CR14),1),0)</f>
        <v>0</v>
      </c>
      <c r="K14" s="8" t="str">
        <f t="shared" si="5"/>
        <v/>
      </c>
      <c r="L14" s="8">
        <f>IF(COUNT(AI14,AL14,AP14,BJ14,BM14,BQ14,CK14,CN14,CR14)&gt;1,LARGE((AI14,AL14,AP14,BJ14,BM14,BQ14,CK14,CN14,CR14),2),0)</f>
        <v>0</v>
      </c>
      <c r="M14" s="8" t="str">
        <f t="shared" si="6"/>
        <v/>
      </c>
      <c r="N14" s="8">
        <f t="shared" si="7"/>
        <v>43.05</v>
      </c>
      <c r="O14" s="11" t="str">
        <f t="shared" si="8"/>
        <v>(Final)</v>
      </c>
      <c r="P14" s="8" t="str">
        <f t="shared" si="9"/>
        <v>2024 Pan Am [Club] Championships (May 19)</v>
      </c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7"/>
      <c r="AG14" s="38" t="str">
        <f t="shared" si="10"/>
        <v/>
      </c>
      <c r="AH14" s="38" t="str">
        <f t="shared" si="11"/>
        <v/>
      </c>
      <c r="AI14" s="40" t="str">
        <f t="shared" si="12"/>
        <v/>
      </c>
      <c r="AJ14" s="40" t="str">
        <f t="shared" si="13"/>
        <v/>
      </c>
      <c r="AK14" s="40" t="str">
        <f t="shared" si="14"/>
        <v/>
      </c>
      <c r="AL14" s="40" t="str">
        <f t="shared" si="15"/>
        <v/>
      </c>
      <c r="AM14" s="40" t="str">
        <f t="shared" si="16"/>
        <v/>
      </c>
      <c r="AN14" s="40" t="str">
        <f t="shared" si="17"/>
        <v/>
      </c>
      <c r="AO14" s="40" t="str">
        <f t="shared" si="18"/>
        <v/>
      </c>
      <c r="AP14" s="40" t="str">
        <f t="shared" si="19"/>
        <v/>
      </c>
      <c r="AQ14" s="40" t="str">
        <f t="shared" si="20"/>
        <v/>
      </c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8"/>
      <c r="BH14" s="39" t="str">
        <f t="shared" si="21"/>
        <v/>
      </c>
      <c r="BI14" s="39" t="str">
        <f t="shared" si="22"/>
        <v/>
      </c>
      <c r="BJ14" s="11" t="str">
        <f t="shared" si="23"/>
        <v/>
      </c>
      <c r="BK14" s="11" t="str">
        <f t="shared" si="24"/>
        <v/>
      </c>
      <c r="BL14" s="11" t="str">
        <f t="shared" si="25"/>
        <v/>
      </c>
      <c r="BM14" s="11" t="str">
        <f t="shared" si="26"/>
        <v/>
      </c>
      <c r="BN14" s="11" t="str">
        <f t="shared" si="27"/>
        <v/>
      </c>
      <c r="BO14" s="11" t="str">
        <f t="shared" si="28"/>
        <v/>
      </c>
      <c r="BP14" s="11" t="str">
        <f t="shared" si="29"/>
        <v/>
      </c>
      <c r="BQ14" s="11" t="str">
        <f t="shared" si="30"/>
        <v/>
      </c>
      <c r="BR14" s="11" t="str">
        <f t="shared" si="31"/>
        <v/>
      </c>
      <c r="BS14" s="22"/>
      <c r="BT14" s="22"/>
      <c r="BU14" s="22"/>
      <c r="BV14" s="22"/>
      <c r="BW14" s="22"/>
      <c r="BX14" s="22"/>
      <c r="BY14" s="22"/>
      <c r="BZ14" s="22"/>
      <c r="CA14" s="22"/>
      <c r="CB14" s="22"/>
      <c r="CC14" s="22"/>
      <c r="CD14" s="22"/>
      <c r="CE14" s="22"/>
      <c r="CF14" s="22"/>
      <c r="CG14" s="22"/>
      <c r="CH14" s="27"/>
      <c r="CI14" s="38" t="str">
        <f t="shared" si="32"/>
        <v/>
      </c>
      <c r="CJ14" s="38" t="str">
        <f t="shared" si="33"/>
        <v/>
      </c>
      <c r="CK14" s="40" t="str">
        <f t="shared" si="34"/>
        <v/>
      </c>
      <c r="CL14" s="40" t="str">
        <f t="shared" si="35"/>
        <v/>
      </c>
      <c r="CM14" s="40" t="str">
        <f t="shared" si="36"/>
        <v/>
      </c>
      <c r="CN14" s="40" t="str">
        <f t="shared" si="37"/>
        <v/>
      </c>
      <c r="CO14" s="40" t="str">
        <f t="shared" si="38"/>
        <v/>
      </c>
      <c r="CP14" s="40" t="str">
        <f t="shared" si="39"/>
        <v/>
      </c>
      <c r="CQ14" s="40" t="str">
        <f t="shared" si="40"/>
        <v/>
      </c>
      <c r="CR14" s="40" t="str">
        <f t="shared" si="41"/>
        <v/>
      </c>
      <c r="CS14" s="40" t="str">
        <f t="shared" si="42"/>
        <v/>
      </c>
      <c r="CT14" s="51">
        <f t="shared" si="43"/>
        <v>42.42</v>
      </c>
      <c r="CU14" s="51">
        <f t="shared" si="44"/>
        <v>43.05</v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0" t="str">
        <f t="shared" si="45"/>
        <v/>
      </c>
      <c r="DQ14" s="40" t="str">
        <f t="shared" si="46"/>
        <v/>
      </c>
      <c r="DR14" s="40" t="str">
        <f t="shared" si="47"/>
        <v/>
      </c>
      <c r="DS14" s="40" t="str">
        <f t="shared" si="48"/>
        <v/>
      </c>
      <c r="DT14" s="40" t="str">
        <f t="shared" si="49"/>
        <v/>
      </c>
      <c r="DU14" s="40" t="str">
        <f t="shared" si="50"/>
        <v/>
      </c>
      <c r="DV14" s="40" t="str">
        <f t="shared" si="51"/>
        <v/>
      </c>
      <c r="DW14" s="40" t="str">
        <f t="shared" si="52"/>
        <v/>
      </c>
      <c r="DX14" s="40" t="str">
        <f t="shared" si="53"/>
        <v/>
      </c>
      <c r="DY14" s="40" t="str">
        <f t="shared" si="54"/>
        <v/>
      </c>
      <c r="DZ14" s="40" t="str">
        <f t="shared" si="55"/>
        <v/>
      </c>
      <c r="EA14" s="40" t="str">
        <f t="shared" si="56"/>
        <v/>
      </c>
      <c r="EB14" s="40" t="str">
        <f t="shared" si="57"/>
        <v/>
      </c>
      <c r="EC14" s="40" t="str">
        <f t="shared" si="58"/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 t="shared" si="59"/>
        <v/>
      </c>
      <c r="EY14" s="11" t="str">
        <f t="shared" si="60"/>
        <v/>
      </c>
      <c r="EZ14" s="11" t="str">
        <f t="shared" si="61"/>
        <v/>
      </c>
      <c r="FA14" s="11" t="str">
        <f t="shared" si="62"/>
        <v/>
      </c>
      <c r="FB14" s="11" t="str">
        <f t="shared" si="63"/>
        <v/>
      </c>
      <c r="FC14" s="11" t="str">
        <f t="shared" si="64"/>
        <v/>
      </c>
      <c r="FD14" s="11" t="str">
        <f t="shared" si="65"/>
        <v/>
      </c>
      <c r="FE14" s="11" t="str">
        <f t="shared" si="66"/>
        <v/>
      </c>
      <c r="FF14" s="11" t="str">
        <f t="shared" si="67"/>
        <v/>
      </c>
      <c r="FG14" s="11" t="str">
        <f t="shared" si="68"/>
        <v/>
      </c>
      <c r="FH14" s="11" t="str">
        <f t="shared" si="69"/>
        <v/>
      </c>
      <c r="FI14" s="11" t="str">
        <f t="shared" si="70"/>
        <v/>
      </c>
      <c r="FJ14" s="11" t="str">
        <f t="shared" si="71"/>
        <v/>
      </c>
      <c r="FK14" s="11" t="str">
        <f t="shared" si="72"/>
        <v/>
      </c>
      <c r="FL14" s="17">
        <v>7.35</v>
      </c>
      <c r="FM14" s="17">
        <v>9.4499999999999993</v>
      </c>
      <c r="FN14" s="17">
        <v>8.3000000000000007</v>
      </c>
      <c r="FO14" s="17">
        <v>17.32</v>
      </c>
      <c r="FP14" s="17">
        <v>0</v>
      </c>
      <c r="FQ14" s="17"/>
      <c r="FR14" s="17"/>
      <c r="FS14" s="17"/>
      <c r="FT14" s="17"/>
      <c r="FU14" s="17"/>
      <c r="FV14" s="17">
        <v>7.25</v>
      </c>
      <c r="FW14" s="17">
        <v>8.9</v>
      </c>
      <c r="FX14" s="17">
        <v>8.3000000000000007</v>
      </c>
      <c r="FY14" s="17">
        <v>18.600000000000001</v>
      </c>
      <c r="FZ14" s="17">
        <v>0</v>
      </c>
      <c r="GA14" s="17">
        <v>7</v>
      </c>
      <c r="GB14" s="17">
        <v>9.25</v>
      </c>
      <c r="GC14" s="17">
        <v>8.3000000000000007</v>
      </c>
      <c r="GD14" s="17">
        <v>16.440000000000001</v>
      </c>
      <c r="GE14" s="17">
        <v>0</v>
      </c>
      <c r="GF14" s="40">
        <f t="shared" si="73"/>
        <v>8.3000000000000007</v>
      </c>
      <c r="GG14" s="40">
        <f t="shared" si="74"/>
        <v>17.32</v>
      </c>
      <c r="GH14" s="40">
        <f t="shared" si="75"/>
        <v>42.42</v>
      </c>
      <c r="GI14" s="40" t="str">
        <f t="shared" si="76"/>
        <v/>
      </c>
      <c r="GJ14" s="40" t="str">
        <f t="shared" si="77"/>
        <v/>
      </c>
      <c r="GK14" s="40" t="str">
        <f t="shared" si="78"/>
        <v/>
      </c>
      <c r="GL14" s="40">
        <f t="shared" si="79"/>
        <v>42.42</v>
      </c>
      <c r="GM14" s="40">
        <f t="shared" si="80"/>
        <v>8.3000000000000007</v>
      </c>
      <c r="GN14" s="40">
        <f t="shared" si="81"/>
        <v>18.600000000000001</v>
      </c>
      <c r="GO14" s="40">
        <f t="shared" si="82"/>
        <v>43.05</v>
      </c>
      <c r="GP14" s="40">
        <f t="shared" si="83"/>
        <v>8.3000000000000007</v>
      </c>
      <c r="GQ14" s="40">
        <f t="shared" si="84"/>
        <v>16.440000000000001</v>
      </c>
      <c r="GR14" s="40">
        <f t="shared" si="85"/>
        <v>40.99</v>
      </c>
      <c r="GS14" s="40">
        <f t="shared" si="86"/>
        <v>126.46000000000001</v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 t="shared" si="87"/>
        <v/>
      </c>
      <c r="HO14" s="11" t="str">
        <f t="shared" si="88"/>
        <v/>
      </c>
      <c r="HP14" s="11" t="str">
        <f t="shared" si="89"/>
        <v/>
      </c>
      <c r="HQ14" s="11" t="str">
        <f t="shared" si="90"/>
        <v/>
      </c>
      <c r="HR14" s="11" t="str">
        <f t="shared" si="91"/>
        <v/>
      </c>
      <c r="HS14" s="11" t="str">
        <f t="shared" si="92"/>
        <v/>
      </c>
      <c r="HT14" s="11" t="str">
        <f t="shared" si="93"/>
        <v/>
      </c>
      <c r="HU14" s="11" t="str">
        <f t="shared" si="94"/>
        <v/>
      </c>
      <c r="HV14" s="11" t="str">
        <f t="shared" si="95"/>
        <v/>
      </c>
      <c r="HW14" s="11" t="str">
        <f t="shared" si="96"/>
        <v/>
      </c>
      <c r="HX14" s="11" t="str">
        <f t="shared" si="97"/>
        <v/>
      </c>
      <c r="HY14" s="11" t="str">
        <f t="shared" si="98"/>
        <v/>
      </c>
      <c r="HZ14" s="11" t="str">
        <f t="shared" si="99"/>
        <v/>
      </c>
      <c r="IA14" s="11" t="str">
        <f t="shared" si="100"/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0" t="str">
        <f t="shared" si="101"/>
        <v/>
      </c>
      <c r="IW14" s="40" t="str">
        <f t="shared" si="102"/>
        <v/>
      </c>
      <c r="IX14" s="40" t="str">
        <f t="shared" si="103"/>
        <v/>
      </c>
      <c r="IY14" s="40" t="str">
        <f t="shared" si="104"/>
        <v/>
      </c>
      <c r="IZ14" s="40" t="str">
        <f t="shared" si="105"/>
        <v/>
      </c>
      <c r="JA14" s="40" t="str">
        <f t="shared" si="106"/>
        <v/>
      </c>
      <c r="JB14" s="40" t="str">
        <f t="shared" si="107"/>
        <v/>
      </c>
      <c r="JC14" s="40" t="str">
        <f t="shared" si="108"/>
        <v/>
      </c>
      <c r="JD14" s="40" t="str">
        <f t="shared" si="109"/>
        <v/>
      </c>
      <c r="JE14" s="40" t="str">
        <f t="shared" si="110"/>
        <v/>
      </c>
      <c r="JF14" s="40" t="str">
        <f t="shared" si="111"/>
        <v/>
      </c>
      <c r="JG14" s="40" t="str">
        <f t="shared" si="112"/>
        <v/>
      </c>
      <c r="JH14" s="40" t="str">
        <f t="shared" si="113"/>
        <v/>
      </c>
      <c r="JI14" s="40" t="str">
        <f t="shared" si="114"/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 t="shared" si="115"/>
        <v/>
      </c>
      <c r="KE14" s="11" t="str">
        <f t="shared" si="116"/>
        <v/>
      </c>
      <c r="KF14" s="11" t="str">
        <f t="shared" si="117"/>
        <v/>
      </c>
      <c r="KG14" s="11" t="str">
        <f t="shared" si="118"/>
        <v/>
      </c>
      <c r="KH14" s="11" t="str">
        <f t="shared" si="119"/>
        <v/>
      </c>
      <c r="KI14" s="11" t="str">
        <f t="shared" si="120"/>
        <v/>
      </c>
      <c r="KJ14" s="11" t="str">
        <f t="shared" si="121"/>
        <v/>
      </c>
      <c r="KK14" s="11" t="str">
        <f t="shared" si="122"/>
        <v/>
      </c>
      <c r="KL14" s="11" t="str">
        <f t="shared" si="123"/>
        <v/>
      </c>
      <c r="KM14" s="11" t="str">
        <f t="shared" si="124"/>
        <v/>
      </c>
      <c r="KN14" s="11" t="str">
        <f t="shared" si="125"/>
        <v/>
      </c>
      <c r="KO14" s="11" t="str">
        <f t="shared" si="126"/>
        <v/>
      </c>
      <c r="KP14" s="11" t="str">
        <f t="shared" si="127"/>
        <v/>
      </c>
      <c r="KQ14" s="11" t="str">
        <f t="shared" si="128"/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0" t="str">
        <f t="shared" si="129"/>
        <v/>
      </c>
      <c r="LM14" s="40" t="str">
        <f t="shared" si="130"/>
        <v/>
      </c>
      <c r="LN14" s="40" t="str">
        <f t="shared" si="131"/>
        <v/>
      </c>
      <c r="LO14" s="40" t="str">
        <f t="shared" si="132"/>
        <v/>
      </c>
      <c r="LP14" s="40" t="str">
        <f t="shared" si="133"/>
        <v/>
      </c>
      <c r="LQ14" s="40" t="str">
        <f t="shared" si="134"/>
        <v/>
      </c>
      <c r="LR14" s="40" t="str">
        <f t="shared" si="135"/>
        <v/>
      </c>
      <c r="LS14" s="40" t="str">
        <f t="shared" si="136"/>
        <v/>
      </c>
      <c r="LT14" s="40" t="str">
        <f t="shared" si="137"/>
        <v/>
      </c>
      <c r="LU14" s="40" t="str">
        <f t="shared" si="138"/>
        <v/>
      </c>
      <c r="LV14" s="40" t="str">
        <f t="shared" si="139"/>
        <v/>
      </c>
      <c r="LW14" s="40" t="str">
        <f t="shared" si="140"/>
        <v/>
      </c>
      <c r="LX14" s="40" t="str">
        <f t="shared" si="141"/>
        <v/>
      </c>
      <c r="LY14" s="40" t="str">
        <f t="shared" si="142"/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 t="shared" si="143"/>
        <v/>
      </c>
      <c r="MU14" s="11" t="str">
        <f t="shared" si="144"/>
        <v/>
      </c>
      <c r="MV14" s="11" t="str">
        <f t="shared" si="145"/>
        <v/>
      </c>
      <c r="MW14" s="11" t="str">
        <f t="shared" si="146"/>
        <v/>
      </c>
      <c r="MX14" s="11" t="str">
        <f t="shared" si="147"/>
        <v/>
      </c>
      <c r="MY14" s="11" t="str">
        <f t="shared" si="148"/>
        <v/>
      </c>
      <c r="MZ14" s="11" t="str">
        <f t="shared" si="149"/>
        <v/>
      </c>
      <c r="NA14" s="11" t="str">
        <f t="shared" si="150"/>
        <v/>
      </c>
      <c r="NB14" s="11" t="str">
        <f t="shared" si="151"/>
        <v/>
      </c>
      <c r="NC14" s="11" t="str">
        <f t="shared" si="152"/>
        <v/>
      </c>
      <c r="ND14" s="11" t="str">
        <f t="shared" si="153"/>
        <v/>
      </c>
      <c r="NE14" s="11" t="str">
        <f t="shared" si="154"/>
        <v/>
      </c>
      <c r="NF14" s="11" t="str">
        <f t="shared" si="155"/>
        <v/>
      </c>
      <c r="NG14" s="11" t="str">
        <f t="shared" si="156"/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0" t="str">
        <f t="shared" si="157"/>
        <v/>
      </c>
      <c r="OC14" s="40" t="str">
        <f t="shared" si="158"/>
        <v/>
      </c>
      <c r="OD14" s="40" t="str">
        <f t="shared" si="159"/>
        <v/>
      </c>
      <c r="OE14" s="40" t="str">
        <f t="shared" si="160"/>
        <v/>
      </c>
      <c r="OF14" s="40" t="str">
        <f t="shared" si="161"/>
        <v/>
      </c>
      <c r="OG14" s="40" t="str">
        <f t="shared" si="162"/>
        <v/>
      </c>
      <c r="OH14" s="40" t="str">
        <f t="shared" si="163"/>
        <v/>
      </c>
      <c r="OI14" s="40" t="str">
        <f t="shared" si="164"/>
        <v/>
      </c>
      <c r="OJ14" s="40" t="str">
        <f t="shared" si="165"/>
        <v/>
      </c>
      <c r="OK14" s="40" t="str">
        <f t="shared" si="166"/>
        <v/>
      </c>
      <c r="OL14" s="40" t="str">
        <f t="shared" si="167"/>
        <v/>
      </c>
      <c r="OM14" s="40" t="str">
        <f t="shared" si="168"/>
        <v/>
      </c>
      <c r="ON14" s="40" t="str">
        <f t="shared" si="169"/>
        <v/>
      </c>
      <c r="OO14" s="40" t="str">
        <f t="shared" si="170"/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 t="shared" si="171"/>
        <v/>
      </c>
      <c r="PK14" s="11" t="str">
        <f t="shared" si="172"/>
        <v/>
      </c>
      <c r="PL14" s="11" t="str">
        <f t="shared" si="173"/>
        <v/>
      </c>
      <c r="PM14" s="11" t="str">
        <f t="shared" si="174"/>
        <v/>
      </c>
      <c r="PN14" s="11" t="str">
        <f t="shared" si="175"/>
        <v/>
      </c>
      <c r="PO14" s="11" t="str">
        <f t="shared" si="176"/>
        <v/>
      </c>
      <c r="PP14" s="11" t="str">
        <f t="shared" si="177"/>
        <v/>
      </c>
      <c r="PQ14" s="11" t="str">
        <f t="shared" si="178"/>
        <v/>
      </c>
      <c r="PR14" s="11" t="str">
        <f t="shared" si="179"/>
        <v/>
      </c>
      <c r="PS14" s="11" t="str">
        <f t="shared" si="180"/>
        <v/>
      </c>
      <c r="PT14" s="11" t="str">
        <f t="shared" si="181"/>
        <v/>
      </c>
      <c r="PU14" s="11" t="str">
        <f t="shared" si="182"/>
        <v/>
      </c>
      <c r="PV14" s="11" t="str">
        <f t="shared" si="183"/>
        <v/>
      </c>
      <c r="PW14" s="11" t="str">
        <f t="shared" si="184"/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0" t="str">
        <f t="shared" si="185"/>
        <v/>
      </c>
      <c r="QS14" s="40" t="str">
        <f t="shared" si="186"/>
        <v/>
      </c>
      <c r="QT14" s="40" t="str">
        <f t="shared" si="187"/>
        <v/>
      </c>
      <c r="QU14" s="40" t="str">
        <f t="shared" si="188"/>
        <v/>
      </c>
      <c r="QV14" s="40" t="str">
        <f t="shared" si="189"/>
        <v/>
      </c>
      <c r="QW14" s="40" t="str">
        <f t="shared" si="190"/>
        <v/>
      </c>
      <c r="QX14" s="40" t="str">
        <f t="shared" si="191"/>
        <v/>
      </c>
      <c r="QY14" s="40" t="str">
        <f t="shared" si="192"/>
        <v/>
      </c>
      <c r="QZ14" s="40" t="str">
        <f t="shared" si="193"/>
        <v/>
      </c>
      <c r="RA14" s="40" t="str">
        <f t="shared" si="194"/>
        <v/>
      </c>
      <c r="RB14" s="40" t="str">
        <f t="shared" si="195"/>
        <v/>
      </c>
      <c r="RC14" s="40" t="str">
        <f t="shared" si="196"/>
        <v/>
      </c>
      <c r="RD14" s="40" t="str">
        <f t="shared" si="197"/>
        <v/>
      </c>
      <c r="RE14" s="40" t="str">
        <f t="shared" si="198"/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 t="shared" si="199"/>
        <v/>
      </c>
      <c r="SA14" s="11" t="str">
        <f t="shared" si="200"/>
        <v/>
      </c>
      <c r="SB14" s="11" t="str">
        <f t="shared" si="201"/>
        <v/>
      </c>
      <c r="SC14" s="11" t="str">
        <f t="shared" si="202"/>
        <v/>
      </c>
      <c r="SD14" s="11" t="str">
        <f t="shared" si="203"/>
        <v/>
      </c>
      <c r="SE14" s="11" t="str">
        <f t="shared" si="204"/>
        <v/>
      </c>
      <c r="SF14" s="11" t="str">
        <f t="shared" si="205"/>
        <v/>
      </c>
      <c r="SG14" s="11" t="str">
        <f t="shared" si="206"/>
        <v/>
      </c>
      <c r="SH14" s="11" t="str">
        <f t="shared" si="207"/>
        <v/>
      </c>
      <c r="SI14" s="11" t="str">
        <f t="shared" si="208"/>
        <v/>
      </c>
      <c r="SJ14" s="11" t="str">
        <f t="shared" si="209"/>
        <v/>
      </c>
      <c r="SK14" s="11" t="str">
        <f t="shared" si="210"/>
        <v/>
      </c>
      <c r="SL14" s="11" t="str">
        <f t="shared" si="211"/>
        <v/>
      </c>
      <c r="SM14" s="11" t="str">
        <f t="shared" si="212"/>
        <v/>
      </c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40" t="str">
        <f t="shared" si="213"/>
        <v/>
      </c>
      <c r="TI14" s="40" t="str">
        <f t="shared" si="214"/>
        <v/>
      </c>
      <c r="TJ14" s="40" t="str">
        <f t="shared" si="215"/>
        <v/>
      </c>
      <c r="TK14" s="40" t="str">
        <f t="shared" si="216"/>
        <v/>
      </c>
      <c r="TL14" s="40" t="str">
        <f t="shared" si="217"/>
        <v/>
      </c>
      <c r="TM14" s="40" t="str">
        <f t="shared" si="218"/>
        <v/>
      </c>
      <c r="TN14" s="40" t="str">
        <f t="shared" si="219"/>
        <v/>
      </c>
      <c r="TO14" s="40" t="str">
        <f t="shared" si="220"/>
        <v/>
      </c>
      <c r="TP14" s="40" t="str">
        <f t="shared" si="221"/>
        <v/>
      </c>
      <c r="TQ14" s="40" t="str">
        <f t="shared" si="222"/>
        <v/>
      </c>
      <c r="TR14" s="40" t="str">
        <f t="shared" si="223"/>
        <v/>
      </c>
      <c r="TS14" s="40" t="str">
        <f t="shared" si="224"/>
        <v/>
      </c>
      <c r="TT14" s="40" t="str">
        <f t="shared" si="225"/>
        <v/>
      </c>
      <c r="TU14" s="40" t="str">
        <f t="shared" si="226"/>
        <v/>
      </c>
      <c r="TV14" s="18"/>
      <c r="TW14" s="18"/>
      <c r="TX14" s="18"/>
      <c r="TY14" s="18"/>
      <c r="TZ14" s="18"/>
      <c r="UA14" s="18"/>
      <c r="UB14" s="18"/>
      <c r="UC14" s="18"/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1" t="str">
        <f t="shared" si="227"/>
        <v/>
      </c>
      <c r="UQ14" s="11" t="str">
        <f t="shared" si="228"/>
        <v/>
      </c>
      <c r="UR14" s="11" t="str">
        <f t="shared" si="229"/>
        <v/>
      </c>
      <c r="US14" s="11" t="str">
        <f t="shared" si="230"/>
        <v/>
      </c>
      <c r="UT14" s="11" t="str">
        <f t="shared" si="231"/>
        <v/>
      </c>
      <c r="UU14" s="11" t="str">
        <f t="shared" si="232"/>
        <v/>
      </c>
      <c r="UV14" s="11" t="str">
        <f t="shared" si="233"/>
        <v/>
      </c>
      <c r="UW14" s="11" t="str">
        <f t="shared" si="234"/>
        <v/>
      </c>
      <c r="UX14" s="11" t="str">
        <f t="shared" si="235"/>
        <v/>
      </c>
      <c r="UY14" s="11" t="str">
        <f t="shared" si="236"/>
        <v/>
      </c>
      <c r="UZ14" s="11" t="str">
        <f t="shared" si="237"/>
        <v/>
      </c>
      <c r="VA14" s="11" t="str">
        <f t="shared" si="238"/>
        <v/>
      </c>
      <c r="VB14" s="11" t="str">
        <f t="shared" si="239"/>
        <v/>
      </c>
      <c r="VC14" s="11" t="str">
        <f t="shared" si="240"/>
        <v/>
      </c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40" t="str">
        <f t="shared" si="241"/>
        <v/>
      </c>
      <c r="VY14" s="40" t="str">
        <f t="shared" si="242"/>
        <v/>
      </c>
      <c r="VZ14" s="40" t="str">
        <f t="shared" si="243"/>
        <v/>
      </c>
      <c r="WA14" s="40" t="str">
        <f t="shared" si="244"/>
        <v/>
      </c>
      <c r="WB14" s="40" t="str">
        <f t="shared" si="245"/>
        <v/>
      </c>
      <c r="WC14" s="40" t="str">
        <f t="shared" si="246"/>
        <v/>
      </c>
      <c r="WD14" s="40" t="str">
        <f t="shared" si="247"/>
        <v/>
      </c>
      <c r="WE14" s="40" t="str">
        <f t="shared" si="248"/>
        <v/>
      </c>
      <c r="WF14" s="40" t="str">
        <f t="shared" si="249"/>
        <v/>
      </c>
      <c r="WG14" s="40" t="str">
        <f t="shared" si="250"/>
        <v/>
      </c>
      <c r="WH14" s="40" t="str">
        <f t="shared" si="251"/>
        <v/>
      </c>
      <c r="WI14" s="40" t="str">
        <f t="shared" si="252"/>
        <v/>
      </c>
      <c r="WJ14" s="40" t="str">
        <f t="shared" si="253"/>
        <v/>
      </c>
      <c r="WK14" s="40" t="str">
        <f t="shared" si="254"/>
        <v/>
      </c>
      <c r="WL14" s="26">
        <f t="shared" si="255"/>
        <v>0</v>
      </c>
      <c r="WM14" s="26">
        <f t="shared" si="256"/>
        <v>0</v>
      </c>
      <c r="WN14" s="26">
        <f t="shared" si="257"/>
        <v>0</v>
      </c>
      <c r="WO14" s="26">
        <f t="shared" si="258"/>
        <v>0</v>
      </c>
      <c r="WP14" s="26">
        <f t="shared" si="259"/>
        <v>0</v>
      </c>
      <c r="WQ14" s="26">
        <f t="shared" si="260"/>
        <v>0</v>
      </c>
      <c r="WR14" s="26">
        <f t="shared" si="261"/>
        <v>0</v>
      </c>
      <c r="WS14" s="26">
        <f t="shared" si="262"/>
        <v>0</v>
      </c>
      <c r="WT14" s="26">
        <f t="shared" si="263"/>
        <v>0</v>
      </c>
      <c r="WU14" s="26">
        <f t="shared" si="264"/>
        <v>0</v>
      </c>
      <c r="WV14" s="26">
        <f t="shared" si="265"/>
        <v>0</v>
      </c>
      <c r="WW14" s="26">
        <f t="shared" si="266"/>
        <v>0</v>
      </c>
      <c r="WX14" s="26">
        <f t="shared" si="267"/>
        <v>0</v>
      </c>
      <c r="WY14" s="26">
        <f t="shared" si="268"/>
        <v>0</v>
      </c>
      <c r="WZ14" s="26">
        <f t="shared" si="269"/>
        <v>0</v>
      </c>
      <c r="XA14" s="28" t="s">
        <v>53</v>
      </c>
      <c r="XB14" s="11" t="str">
        <f t="shared" si="270"/>
        <v/>
      </c>
      <c r="XC14" s="11" t="str">
        <f t="shared" si="271"/>
        <v/>
      </c>
      <c r="XD14" s="11" t="str">
        <f t="shared" si="272"/>
        <v/>
      </c>
      <c r="XE14" s="11" t="str">
        <f t="shared" si="273"/>
        <v/>
      </c>
      <c r="XF14" s="11" t="str">
        <f t="shared" si="274"/>
        <v/>
      </c>
      <c r="XG14" s="11" t="str">
        <f t="shared" si="275"/>
        <v/>
      </c>
      <c r="XH14" s="11" t="str">
        <f t="shared" si="276"/>
        <v/>
      </c>
      <c r="XI14" s="11" t="str">
        <f t="shared" si="277"/>
        <v/>
      </c>
      <c r="XJ14" s="11" t="str">
        <f t="shared" si="278"/>
        <v/>
      </c>
      <c r="XK14" s="11" t="str">
        <f t="shared" si="279"/>
        <v/>
      </c>
      <c r="XL14" s="11" t="str">
        <f t="shared" si="280"/>
        <v/>
      </c>
    </row>
    <row r="15" spans="1:636" x14ac:dyDescent="0.2">
      <c r="A15" s="4" t="str" cm="1">
        <f t="array" ref="A15">IF(AND(H15&lt;&gt;"",H15&lt;&gt;"No DD"),SUMPRODUCT((H$4:H$16&lt;&gt;"")*(H$4:H$16&lt;&gt;"No DD")*(E$4:E$16&gt;E15))+1,IF(H15="No DD",SUMPRODUCT((H$4:H$16="No DD")*(E$4:E$16&gt;E15))+1+SUMPRODUCT((H$4:H$16&lt;&gt;"")*(H$4:H$16&lt;&gt;"No DD")),""))</f>
        <v/>
      </c>
      <c r="B15" s="5" t="s">
        <v>226</v>
      </c>
      <c r="C15" s="4" t="s">
        <v>126</v>
      </c>
      <c r="D15" s="4" t="s">
        <v>143</v>
      </c>
      <c r="E15" s="9">
        <f t="shared" si="0"/>
        <v>35.349999999999994</v>
      </c>
      <c r="F15" s="3" t="str">
        <f t="shared" si="1"/>
        <v/>
      </c>
      <c r="G15" s="3" t="str">
        <f t="shared" si="2"/>
        <v/>
      </c>
      <c r="H15" s="36" t="str">
        <f t="shared" si="3"/>
        <v/>
      </c>
      <c r="I15" s="3" t="str">
        <f t="shared" si="4"/>
        <v/>
      </c>
      <c r="J15" s="8">
        <f>IF(COUNT(AI15,AL15,AP15,BJ15,BM15,BQ15,CK15,CN15,CR15)&gt;0,LARGE((AI15,AL15,AP15,BJ15,BM15,BQ15,CK15,CN15,CR15),1),0)</f>
        <v>0</v>
      </c>
      <c r="K15" s="8" t="str">
        <f t="shared" si="5"/>
        <v/>
      </c>
      <c r="L15" s="8">
        <f>IF(COUNT(AI15,AL15,AP15,BJ15,BM15,BQ15,CK15,CN15,CR15)&gt;1,LARGE((AI15,AL15,AP15,BJ15,BM15,BQ15,CK15,CN15,CR15),2),0)</f>
        <v>0</v>
      </c>
      <c r="M15" s="8" t="str">
        <f t="shared" si="6"/>
        <v/>
      </c>
      <c r="N15" s="8">
        <f t="shared" si="7"/>
        <v>35.349999999999994</v>
      </c>
      <c r="O15" s="11" t="str">
        <f t="shared" si="8"/>
        <v>(Prelim)</v>
      </c>
      <c r="P15" s="8" t="str">
        <f t="shared" si="9"/>
        <v>2024 Pan Am [Club] Championships (May 19)</v>
      </c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7"/>
      <c r="AG15" s="38" t="str">
        <f t="shared" si="10"/>
        <v/>
      </c>
      <c r="AH15" s="38" t="str">
        <f t="shared" si="11"/>
        <v/>
      </c>
      <c r="AI15" s="40" t="str">
        <f t="shared" si="12"/>
        <v/>
      </c>
      <c r="AJ15" s="40" t="str">
        <f t="shared" si="13"/>
        <v/>
      </c>
      <c r="AK15" s="40" t="str">
        <f t="shared" si="14"/>
        <v/>
      </c>
      <c r="AL15" s="40" t="str">
        <f t="shared" si="15"/>
        <v/>
      </c>
      <c r="AM15" s="40" t="str">
        <f t="shared" si="16"/>
        <v/>
      </c>
      <c r="AN15" s="40" t="str">
        <f t="shared" si="17"/>
        <v/>
      </c>
      <c r="AO15" s="40" t="str">
        <f t="shared" si="18"/>
        <v/>
      </c>
      <c r="AP15" s="40" t="str">
        <f t="shared" si="19"/>
        <v/>
      </c>
      <c r="AQ15" s="40" t="str">
        <f t="shared" si="20"/>
        <v/>
      </c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8"/>
      <c r="BH15" s="39" t="str">
        <f t="shared" si="21"/>
        <v/>
      </c>
      <c r="BI15" s="39" t="str">
        <f t="shared" si="22"/>
        <v/>
      </c>
      <c r="BJ15" s="11" t="str">
        <f t="shared" si="23"/>
        <v/>
      </c>
      <c r="BK15" s="11" t="str">
        <f t="shared" si="24"/>
        <v/>
      </c>
      <c r="BL15" s="11" t="str">
        <f t="shared" si="25"/>
        <v/>
      </c>
      <c r="BM15" s="11" t="str">
        <f t="shared" si="26"/>
        <v/>
      </c>
      <c r="BN15" s="11" t="str">
        <f t="shared" si="27"/>
        <v/>
      </c>
      <c r="BO15" s="11" t="str">
        <f t="shared" si="28"/>
        <v/>
      </c>
      <c r="BP15" s="11" t="str">
        <f t="shared" si="29"/>
        <v/>
      </c>
      <c r="BQ15" s="11" t="str">
        <f t="shared" si="30"/>
        <v/>
      </c>
      <c r="BR15" s="11" t="str">
        <f t="shared" si="31"/>
        <v/>
      </c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  <c r="CE15" s="22"/>
      <c r="CF15" s="22"/>
      <c r="CG15" s="22"/>
      <c r="CH15" s="27"/>
      <c r="CI15" s="38" t="str">
        <f t="shared" si="32"/>
        <v/>
      </c>
      <c r="CJ15" s="38" t="str">
        <f t="shared" si="33"/>
        <v/>
      </c>
      <c r="CK15" s="40" t="str">
        <f t="shared" si="34"/>
        <v/>
      </c>
      <c r="CL15" s="40" t="str">
        <f t="shared" si="35"/>
        <v/>
      </c>
      <c r="CM15" s="40" t="str">
        <f t="shared" si="36"/>
        <v/>
      </c>
      <c r="CN15" s="40" t="str">
        <f t="shared" si="37"/>
        <v/>
      </c>
      <c r="CO15" s="40" t="str">
        <f t="shared" si="38"/>
        <v/>
      </c>
      <c r="CP15" s="40" t="str">
        <f t="shared" si="39"/>
        <v/>
      </c>
      <c r="CQ15" s="40" t="str">
        <f t="shared" si="40"/>
        <v/>
      </c>
      <c r="CR15" s="40" t="str">
        <f t="shared" si="41"/>
        <v/>
      </c>
      <c r="CS15" s="40" t="str">
        <f t="shared" si="42"/>
        <v/>
      </c>
      <c r="CT15" s="51">
        <f t="shared" si="43"/>
        <v>35.349999999999994</v>
      </c>
      <c r="CU15" s="51" t="str">
        <f t="shared" si="44"/>
        <v/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0" t="str">
        <f t="shared" si="45"/>
        <v/>
      </c>
      <c r="DQ15" s="40" t="str">
        <f t="shared" si="46"/>
        <v/>
      </c>
      <c r="DR15" s="40" t="str">
        <f t="shared" si="47"/>
        <v/>
      </c>
      <c r="DS15" s="40" t="str">
        <f t="shared" si="48"/>
        <v/>
      </c>
      <c r="DT15" s="40" t="str">
        <f t="shared" si="49"/>
        <v/>
      </c>
      <c r="DU15" s="40" t="str">
        <f t="shared" si="50"/>
        <v/>
      </c>
      <c r="DV15" s="40" t="str">
        <f t="shared" si="51"/>
        <v/>
      </c>
      <c r="DW15" s="40" t="str">
        <f t="shared" si="52"/>
        <v/>
      </c>
      <c r="DX15" s="40" t="str">
        <f t="shared" si="53"/>
        <v/>
      </c>
      <c r="DY15" s="40" t="str">
        <f t="shared" si="54"/>
        <v/>
      </c>
      <c r="DZ15" s="40" t="str">
        <f t="shared" si="55"/>
        <v/>
      </c>
      <c r="EA15" s="40" t="str">
        <f t="shared" si="56"/>
        <v/>
      </c>
      <c r="EB15" s="40" t="str">
        <f t="shared" si="57"/>
        <v/>
      </c>
      <c r="EC15" s="40" t="str">
        <f t="shared" si="58"/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 t="shared" si="59"/>
        <v/>
      </c>
      <c r="EY15" s="11" t="str">
        <f t="shared" si="60"/>
        <v/>
      </c>
      <c r="EZ15" s="11" t="str">
        <f t="shared" si="61"/>
        <v/>
      </c>
      <c r="FA15" s="11" t="str">
        <f t="shared" si="62"/>
        <v/>
      </c>
      <c r="FB15" s="11" t="str">
        <f t="shared" si="63"/>
        <v/>
      </c>
      <c r="FC15" s="11" t="str">
        <f t="shared" si="64"/>
        <v/>
      </c>
      <c r="FD15" s="11" t="str">
        <f t="shared" si="65"/>
        <v/>
      </c>
      <c r="FE15" s="11" t="str">
        <f t="shared" si="66"/>
        <v/>
      </c>
      <c r="FF15" s="11" t="str">
        <f t="shared" si="67"/>
        <v/>
      </c>
      <c r="FG15" s="11" t="str">
        <f t="shared" si="68"/>
        <v/>
      </c>
      <c r="FH15" s="11" t="str">
        <f t="shared" si="69"/>
        <v/>
      </c>
      <c r="FI15" s="11" t="str">
        <f t="shared" si="70"/>
        <v/>
      </c>
      <c r="FJ15" s="11" t="str">
        <f t="shared" si="71"/>
        <v/>
      </c>
      <c r="FK15" s="11" t="str">
        <f t="shared" si="72"/>
        <v/>
      </c>
      <c r="FL15" s="17">
        <v>0.7</v>
      </c>
      <c r="FM15" s="17">
        <v>1</v>
      </c>
      <c r="FN15" s="17">
        <v>1.5</v>
      </c>
      <c r="FO15" s="17">
        <v>1.74</v>
      </c>
      <c r="FP15" s="17">
        <v>0</v>
      </c>
      <c r="FQ15" s="17">
        <v>5.6</v>
      </c>
      <c r="FR15" s="17">
        <v>7.25</v>
      </c>
      <c r="FS15" s="17">
        <v>8.8000000000000007</v>
      </c>
      <c r="FT15" s="17">
        <v>13.7</v>
      </c>
      <c r="FU15" s="17">
        <v>0</v>
      </c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0">
        <f t="shared" si="73"/>
        <v>1.5</v>
      </c>
      <c r="GG15" s="40">
        <f t="shared" si="74"/>
        <v>1.74</v>
      </c>
      <c r="GH15" s="40">
        <f t="shared" si="75"/>
        <v>4.9400000000000004</v>
      </c>
      <c r="GI15" s="40">
        <f t="shared" si="76"/>
        <v>8.8000000000000007</v>
      </c>
      <c r="GJ15" s="40">
        <f t="shared" si="77"/>
        <v>13.7</v>
      </c>
      <c r="GK15" s="40">
        <f t="shared" si="78"/>
        <v>35.349999999999994</v>
      </c>
      <c r="GL15" s="40">
        <f t="shared" si="79"/>
        <v>35.349999999999994</v>
      </c>
      <c r="GM15" s="40" t="str">
        <f t="shared" si="80"/>
        <v/>
      </c>
      <c r="GN15" s="40" t="str">
        <f t="shared" si="81"/>
        <v/>
      </c>
      <c r="GO15" s="40" t="str">
        <f t="shared" si="82"/>
        <v/>
      </c>
      <c r="GP15" s="40" t="str">
        <f t="shared" si="83"/>
        <v/>
      </c>
      <c r="GQ15" s="40" t="str">
        <f t="shared" si="84"/>
        <v/>
      </c>
      <c r="GR15" s="40" t="str">
        <f t="shared" si="85"/>
        <v/>
      </c>
      <c r="GS15" s="40">
        <f t="shared" si="86"/>
        <v>35.349999999999994</v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 t="shared" si="87"/>
        <v/>
      </c>
      <c r="HO15" s="11" t="str">
        <f t="shared" si="88"/>
        <v/>
      </c>
      <c r="HP15" s="11" t="str">
        <f t="shared" si="89"/>
        <v/>
      </c>
      <c r="HQ15" s="11" t="str">
        <f t="shared" si="90"/>
        <v/>
      </c>
      <c r="HR15" s="11" t="str">
        <f t="shared" si="91"/>
        <v/>
      </c>
      <c r="HS15" s="11" t="str">
        <f t="shared" si="92"/>
        <v/>
      </c>
      <c r="HT15" s="11" t="str">
        <f t="shared" si="93"/>
        <v/>
      </c>
      <c r="HU15" s="11" t="str">
        <f t="shared" si="94"/>
        <v/>
      </c>
      <c r="HV15" s="11" t="str">
        <f t="shared" si="95"/>
        <v/>
      </c>
      <c r="HW15" s="11" t="str">
        <f t="shared" si="96"/>
        <v/>
      </c>
      <c r="HX15" s="11" t="str">
        <f t="shared" si="97"/>
        <v/>
      </c>
      <c r="HY15" s="11" t="str">
        <f t="shared" si="98"/>
        <v/>
      </c>
      <c r="HZ15" s="11" t="str">
        <f t="shared" si="99"/>
        <v/>
      </c>
      <c r="IA15" s="11" t="str">
        <f t="shared" si="100"/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0" t="str">
        <f t="shared" si="101"/>
        <v/>
      </c>
      <c r="IW15" s="40" t="str">
        <f t="shared" si="102"/>
        <v/>
      </c>
      <c r="IX15" s="40" t="str">
        <f t="shared" si="103"/>
        <v/>
      </c>
      <c r="IY15" s="40" t="str">
        <f t="shared" si="104"/>
        <v/>
      </c>
      <c r="IZ15" s="40" t="str">
        <f t="shared" si="105"/>
        <v/>
      </c>
      <c r="JA15" s="40" t="str">
        <f t="shared" si="106"/>
        <v/>
      </c>
      <c r="JB15" s="40" t="str">
        <f t="shared" si="107"/>
        <v/>
      </c>
      <c r="JC15" s="40" t="str">
        <f t="shared" si="108"/>
        <v/>
      </c>
      <c r="JD15" s="40" t="str">
        <f t="shared" si="109"/>
        <v/>
      </c>
      <c r="JE15" s="40" t="str">
        <f t="shared" si="110"/>
        <v/>
      </c>
      <c r="JF15" s="40" t="str">
        <f t="shared" si="111"/>
        <v/>
      </c>
      <c r="JG15" s="40" t="str">
        <f t="shared" si="112"/>
        <v/>
      </c>
      <c r="JH15" s="40" t="str">
        <f t="shared" si="113"/>
        <v/>
      </c>
      <c r="JI15" s="40" t="str">
        <f t="shared" si="114"/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 t="shared" si="115"/>
        <v/>
      </c>
      <c r="KE15" s="11" t="str">
        <f t="shared" si="116"/>
        <v/>
      </c>
      <c r="KF15" s="11" t="str">
        <f t="shared" si="117"/>
        <v/>
      </c>
      <c r="KG15" s="11" t="str">
        <f t="shared" si="118"/>
        <v/>
      </c>
      <c r="KH15" s="11" t="str">
        <f t="shared" si="119"/>
        <v/>
      </c>
      <c r="KI15" s="11" t="str">
        <f t="shared" si="120"/>
        <v/>
      </c>
      <c r="KJ15" s="11" t="str">
        <f t="shared" si="121"/>
        <v/>
      </c>
      <c r="KK15" s="11" t="str">
        <f t="shared" si="122"/>
        <v/>
      </c>
      <c r="KL15" s="11" t="str">
        <f t="shared" si="123"/>
        <v/>
      </c>
      <c r="KM15" s="11" t="str">
        <f t="shared" si="124"/>
        <v/>
      </c>
      <c r="KN15" s="11" t="str">
        <f t="shared" si="125"/>
        <v/>
      </c>
      <c r="KO15" s="11" t="str">
        <f t="shared" si="126"/>
        <v/>
      </c>
      <c r="KP15" s="11" t="str">
        <f t="shared" si="127"/>
        <v/>
      </c>
      <c r="KQ15" s="11" t="str">
        <f t="shared" si="128"/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0" t="str">
        <f t="shared" si="129"/>
        <v/>
      </c>
      <c r="LM15" s="40" t="str">
        <f t="shared" si="130"/>
        <v/>
      </c>
      <c r="LN15" s="40" t="str">
        <f t="shared" si="131"/>
        <v/>
      </c>
      <c r="LO15" s="40" t="str">
        <f t="shared" si="132"/>
        <v/>
      </c>
      <c r="LP15" s="40" t="str">
        <f t="shared" si="133"/>
        <v/>
      </c>
      <c r="LQ15" s="40" t="str">
        <f t="shared" si="134"/>
        <v/>
      </c>
      <c r="LR15" s="40" t="str">
        <f t="shared" si="135"/>
        <v/>
      </c>
      <c r="LS15" s="40" t="str">
        <f t="shared" si="136"/>
        <v/>
      </c>
      <c r="LT15" s="40" t="str">
        <f t="shared" si="137"/>
        <v/>
      </c>
      <c r="LU15" s="40" t="str">
        <f t="shared" si="138"/>
        <v/>
      </c>
      <c r="LV15" s="40" t="str">
        <f t="shared" si="139"/>
        <v/>
      </c>
      <c r="LW15" s="40" t="str">
        <f t="shared" si="140"/>
        <v/>
      </c>
      <c r="LX15" s="40" t="str">
        <f t="shared" si="141"/>
        <v/>
      </c>
      <c r="LY15" s="40" t="str">
        <f t="shared" si="142"/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 t="shared" si="143"/>
        <v/>
      </c>
      <c r="MU15" s="11" t="str">
        <f t="shared" si="144"/>
        <v/>
      </c>
      <c r="MV15" s="11" t="str">
        <f t="shared" si="145"/>
        <v/>
      </c>
      <c r="MW15" s="11" t="str">
        <f t="shared" si="146"/>
        <v/>
      </c>
      <c r="MX15" s="11" t="str">
        <f t="shared" si="147"/>
        <v/>
      </c>
      <c r="MY15" s="11" t="str">
        <f t="shared" si="148"/>
        <v/>
      </c>
      <c r="MZ15" s="11" t="str">
        <f t="shared" si="149"/>
        <v/>
      </c>
      <c r="NA15" s="11" t="str">
        <f t="shared" si="150"/>
        <v/>
      </c>
      <c r="NB15" s="11" t="str">
        <f t="shared" si="151"/>
        <v/>
      </c>
      <c r="NC15" s="11" t="str">
        <f t="shared" si="152"/>
        <v/>
      </c>
      <c r="ND15" s="11" t="str">
        <f t="shared" si="153"/>
        <v/>
      </c>
      <c r="NE15" s="11" t="str">
        <f t="shared" si="154"/>
        <v/>
      </c>
      <c r="NF15" s="11" t="str">
        <f t="shared" si="155"/>
        <v/>
      </c>
      <c r="NG15" s="11" t="str">
        <f t="shared" si="156"/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0" t="str">
        <f t="shared" si="157"/>
        <v/>
      </c>
      <c r="OC15" s="40" t="str">
        <f t="shared" si="158"/>
        <v/>
      </c>
      <c r="OD15" s="40" t="str">
        <f t="shared" si="159"/>
        <v/>
      </c>
      <c r="OE15" s="40" t="str">
        <f t="shared" si="160"/>
        <v/>
      </c>
      <c r="OF15" s="40" t="str">
        <f t="shared" si="161"/>
        <v/>
      </c>
      <c r="OG15" s="40" t="str">
        <f t="shared" si="162"/>
        <v/>
      </c>
      <c r="OH15" s="40" t="str">
        <f t="shared" si="163"/>
        <v/>
      </c>
      <c r="OI15" s="40" t="str">
        <f t="shared" si="164"/>
        <v/>
      </c>
      <c r="OJ15" s="40" t="str">
        <f t="shared" si="165"/>
        <v/>
      </c>
      <c r="OK15" s="40" t="str">
        <f t="shared" si="166"/>
        <v/>
      </c>
      <c r="OL15" s="40" t="str">
        <f t="shared" si="167"/>
        <v/>
      </c>
      <c r="OM15" s="40" t="str">
        <f t="shared" si="168"/>
        <v/>
      </c>
      <c r="ON15" s="40" t="str">
        <f t="shared" si="169"/>
        <v/>
      </c>
      <c r="OO15" s="40" t="str">
        <f t="shared" si="170"/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 t="shared" si="171"/>
        <v/>
      </c>
      <c r="PK15" s="11" t="str">
        <f t="shared" si="172"/>
        <v/>
      </c>
      <c r="PL15" s="11" t="str">
        <f t="shared" si="173"/>
        <v/>
      </c>
      <c r="PM15" s="11" t="str">
        <f t="shared" si="174"/>
        <v/>
      </c>
      <c r="PN15" s="11" t="str">
        <f t="shared" si="175"/>
        <v/>
      </c>
      <c r="PO15" s="11" t="str">
        <f t="shared" si="176"/>
        <v/>
      </c>
      <c r="PP15" s="11" t="str">
        <f t="shared" si="177"/>
        <v/>
      </c>
      <c r="PQ15" s="11" t="str">
        <f t="shared" si="178"/>
        <v/>
      </c>
      <c r="PR15" s="11" t="str">
        <f t="shared" si="179"/>
        <v/>
      </c>
      <c r="PS15" s="11" t="str">
        <f t="shared" si="180"/>
        <v/>
      </c>
      <c r="PT15" s="11" t="str">
        <f t="shared" si="181"/>
        <v/>
      </c>
      <c r="PU15" s="11" t="str">
        <f t="shared" si="182"/>
        <v/>
      </c>
      <c r="PV15" s="11" t="str">
        <f t="shared" si="183"/>
        <v/>
      </c>
      <c r="PW15" s="11" t="str">
        <f t="shared" si="184"/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0" t="str">
        <f t="shared" si="185"/>
        <v/>
      </c>
      <c r="QS15" s="40" t="str">
        <f t="shared" si="186"/>
        <v/>
      </c>
      <c r="QT15" s="40" t="str">
        <f t="shared" si="187"/>
        <v/>
      </c>
      <c r="QU15" s="40" t="str">
        <f t="shared" si="188"/>
        <v/>
      </c>
      <c r="QV15" s="40" t="str">
        <f t="shared" si="189"/>
        <v/>
      </c>
      <c r="QW15" s="40" t="str">
        <f t="shared" si="190"/>
        <v/>
      </c>
      <c r="QX15" s="40" t="str">
        <f t="shared" si="191"/>
        <v/>
      </c>
      <c r="QY15" s="40" t="str">
        <f t="shared" si="192"/>
        <v/>
      </c>
      <c r="QZ15" s="40" t="str">
        <f t="shared" si="193"/>
        <v/>
      </c>
      <c r="RA15" s="40" t="str">
        <f t="shared" si="194"/>
        <v/>
      </c>
      <c r="RB15" s="40" t="str">
        <f t="shared" si="195"/>
        <v/>
      </c>
      <c r="RC15" s="40" t="str">
        <f t="shared" si="196"/>
        <v/>
      </c>
      <c r="RD15" s="40" t="str">
        <f t="shared" si="197"/>
        <v/>
      </c>
      <c r="RE15" s="40" t="str">
        <f t="shared" si="198"/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 t="shared" si="199"/>
        <v/>
      </c>
      <c r="SA15" s="11" t="str">
        <f t="shared" si="200"/>
        <v/>
      </c>
      <c r="SB15" s="11" t="str">
        <f t="shared" si="201"/>
        <v/>
      </c>
      <c r="SC15" s="11" t="str">
        <f t="shared" si="202"/>
        <v/>
      </c>
      <c r="SD15" s="11" t="str">
        <f t="shared" si="203"/>
        <v/>
      </c>
      <c r="SE15" s="11" t="str">
        <f t="shared" si="204"/>
        <v/>
      </c>
      <c r="SF15" s="11" t="str">
        <f t="shared" si="205"/>
        <v/>
      </c>
      <c r="SG15" s="11" t="str">
        <f t="shared" si="206"/>
        <v/>
      </c>
      <c r="SH15" s="11" t="str">
        <f t="shared" si="207"/>
        <v/>
      </c>
      <c r="SI15" s="11" t="str">
        <f t="shared" si="208"/>
        <v/>
      </c>
      <c r="SJ15" s="11" t="str">
        <f t="shared" si="209"/>
        <v/>
      </c>
      <c r="SK15" s="11" t="str">
        <f t="shared" si="210"/>
        <v/>
      </c>
      <c r="SL15" s="11" t="str">
        <f t="shared" si="211"/>
        <v/>
      </c>
      <c r="SM15" s="11" t="str">
        <f t="shared" si="212"/>
        <v/>
      </c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40" t="str">
        <f t="shared" si="213"/>
        <v/>
      </c>
      <c r="TI15" s="40" t="str">
        <f t="shared" si="214"/>
        <v/>
      </c>
      <c r="TJ15" s="40" t="str">
        <f t="shared" si="215"/>
        <v/>
      </c>
      <c r="TK15" s="40" t="str">
        <f t="shared" si="216"/>
        <v/>
      </c>
      <c r="TL15" s="40" t="str">
        <f t="shared" si="217"/>
        <v/>
      </c>
      <c r="TM15" s="40" t="str">
        <f t="shared" si="218"/>
        <v/>
      </c>
      <c r="TN15" s="40" t="str">
        <f t="shared" si="219"/>
        <v/>
      </c>
      <c r="TO15" s="40" t="str">
        <f t="shared" si="220"/>
        <v/>
      </c>
      <c r="TP15" s="40" t="str">
        <f t="shared" si="221"/>
        <v/>
      </c>
      <c r="TQ15" s="40" t="str">
        <f t="shared" si="222"/>
        <v/>
      </c>
      <c r="TR15" s="40" t="str">
        <f t="shared" si="223"/>
        <v/>
      </c>
      <c r="TS15" s="40" t="str">
        <f t="shared" si="224"/>
        <v/>
      </c>
      <c r="TT15" s="40" t="str">
        <f t="shared" si="225"/>
        <v/>
      </c>
      <c r="TU15" s="40" t="str">
        <f t="shared" si="226"/>
        <v/>
      </c>
      <c r="TV15" s="18"/>
      <c r="TW15" s="18"/>
      <c r="TX15" s="18"/>
      <c r="TY15" s="18"/>
      <c r="TZ15" s="18"/>
      <c r="UA15" s="18"/>
      <c r="UB15" s="18"/>
      <c r="UC15" s="18"/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1" t="str">
        <f t="shared" si="227"/>
        <v/>
      </c>
      <c r="UQ15" s="11" t="str">
        <f t="shared" si="228"/>
        <v/>
      </c>
      <c r="UR15" s="11" t="str">
        <f t="shared" si="229"/>
        <v/>
      </c>
      <c r="US15" s="11" t="str">
        <f t="shared" si="230"/>
        <v/>
      </c>
      <c r="UT15" s="11" t="str">
        <f t="shared" si="231"/>
        <v/>
      </c>
      <c r="UU15" s="11" t="str">
        <f t="shared" si="232"/>
        <v/>
      </c>
      <c r="UV15" s="11" t="str">
        <f t="shared" si="233"/>
        <v/>
      </c>
      <c r="UW15" s="11" t="str">
        <f t="shared" si="234"/>
        <v/>
      </c>
      <c r="UX15" s="11" t="str">
        <f t="shared" si="235"/>
        <v/>
      </c>
      <c r="UY15" s="11" t="str">
        <f t="shared" si="236"/>
        <v/>
      </c>
      <c r="UZ15" s="11" t="str">
        <f t="shared" si="237"/>
        <v/>
      </c>
      <c r="VA15" s="11" t="str">
        <f t="shared" si="238"/>
        <v/>
      </c>
      <c r="VB15" s="11" t="str">
        <f t="shared" si="239"/>
        <v/>
      </c>
      <c r="VC15" s="11" t="str">
        <f t="shared" si="240"/>
        <v/>
      </c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40" t="str">
        <f t="shared" si="241"/>
        <v/>
      </c>
      <c r="VY15" s="40" t="str">
        <f t="shared" si="242"/>
        <v/>
      </c>
      <c r="VZ15" s="40" t="str">
        <f t="shared" si="243"/>
        <v/>
      </c>
      <c r="WA15" s="40" t="str">
        <f t="shared" si="244"/>
        <v/>
      </c>
      <c r="WB15" s="40" t="str">
        <f t="shared" si="245"/>
        <v/>
      </c>
      <c r="WC15" s="40" t="str">
        <f t="shared" si="246"/>
        <v/>
      </c>
      <c r="WD15" s="40" t="str">
        <f t="shared" si="247"/>
        <v/>
      </c>
      <c r="WE15" s="40" t="str">
        <f t="shared" si="248"/>
        <v/>
      </c>
      <c r="WF15" s="40" t="str">
        <f t="shared" si="249"/>
        <v/>
      </c>
      <c r="WG15" s="40" t="str">
        <f t="shared" si="250"/>
        <v/>
      </c>
      <c r="WH15" s="40" t="str">
        <f t="shared" si="251"/>
        <v/>
      </c>
      <c r="WI15" s="40" t="str">
        <f t="shared" si="252"/>
        <v/>
      </c>
      <c r="WJ15" s="40" t="str">
        <f t="shared" si="253"/>
        <v/>
      </c>
      <c r="WK15" s="40" t="str">
        <f t="shared" si="254"/>
        <v/>
      </c>
      <c r="WL15" s="26">
        <f t="shared" si="255"/>
        <v>0</v>
      </c>
      <c r="WM15" s="26">
        <f t="shared" si="256"/>
        <v>0</v>
      </c>
      <c r="WN15" s="26">
        <f t="shared" si="257"/>
        <v>0</v>
      </c>
      <c r="WO15" s="26">
        <f t="shared" si="258"/>
        <v>0</v>
      </c>
      <c r="WP15" s="26">
        <f t="shared" si="259"/>
        <v>0</v>
      </c>
      <c r="WQ15" s="26">
        <f t="shared" si="260"/>
        <v>0</v>
      </c>
      <c r="WR15" s="26">
        <f t="shared" si="261"/>
        <v>0</v>
      </c>
      <c r="WS15" s="26">
        <f t="shared" si="262"/>
        <v>0</v>
      </c>
      <c r="WT15" s="26">
        <f t="shared" si="263"/>
        <v>0</v>
      </c>
      <c r="WU15" s="26">
        <f t="shared" si="264"/>
        <v>0</v>
      </c>
      <c r="WV15" s="26">
        <f t="shared" si="265"/>
        <v>0</v>
      </c>
      <c r="WW15" s="26">
        <f t="shared" si="266"/>
        <v>0</v>
      </c>
      <c r="WX15" s="26">
        <f t="shared" si="267"/>
        <v>0</v>
      </c>
      <c r="WY15" s="26">
        <f t="shared" si="268"/>
        <v>0</v>
      </c>
      <c r="WZ15" s="26">
        <f t="shared" si="269"/>
        <v>0</v>
      </c>
      <c r="XA15" s="28" t="s">
        <v>53</v>
      </c>
      <c r="XB15" s="11" t="str">
        <f t="shared" si="270"/>
        <v/>
      </c>
      <c r="XC15" s="11" t="str">
        <f t="shared" si="271"/>
        <v/>
      </c>
      <c r="XD15" s="11" t="str">
        <f t="shared" si="272"/>
        <v/>
      </c>
      <c r="XE15" s="11" t="str">
        <f t="shared" si="273"/>
        <v/>
      </c>
      <c r="XF15" s="11" t="str">
        <f t="shared" si="274"/>
        <v/>
      </c>
      <c r="XG15" s="11" t="str">
        <f t="shared" si="275"/>
        <v/>
      </c>
      <c r="XH15" s="11" t="str">
        <f t="shared" si="276"/>
        <v/>
      </c>
      <c r="XI15" s="11" t="str">
        <f t="shared" si="277"/>
        <v/>
      </c>
      <c r="XJ15" s="11" t="str">
        <f t="shared" si="278"/>
        <v/>
      </c>
      <c r="XK15" s="11" t="str">
        <f t="shared" si="279"/>
        <v/>
      </c>
      <c r="XL15" s="11" t="str">
        <f t="shared" si="280"/>
        <v/>
      </c>
    </row>
    <row r="16" spans="1:636" x14ac:dyDescent="0.2">
      <c r="B16" s="5"/>
      <c r="D16" s="1"/>
    </row>
    <row r="17" spans="1:609" x14ac:dyDescent="0.2">
      <c r="G17" s="36"/>
      <c r="I17" s="36"/>
    </row>
    <row r="18" spans="1:609" x14ac:dyDescent="0.2">
      <c r="B18" s="23" t="s">
        <v>51</v>
      </c>
      <c r="C18" s="5"/>
      <c r="G18" s="3"/>
      <c r="AJ18" s="41"/>
      <c r="AK18" s="41"/>
      <c r="AL18" s="41"/>
      <c r="AN18" s="32"/>
      <c r="AO18" s="32"/>
      <c r="AQ18" s="42">
        <v>10.4</v>
      </c>
      <c r="BK18" s="41"/>
      <c r="BL18" s="41"/>
      <c r="BM18" s="41"/>
      <c r="BO18" s="32"/>
      <c r="BP18" s="32"/>
      <c r="BR18" s="42">
        <v>10.4</v>
      </c>
      <c r="CL18" s="41"/>
      <c r="CM18" s="41"/>
      <c r="CN18" s="41"/>
      <c r="CP18" s="32"/>
      <c r="CQ18" s="32"/>
      <c r="CS18" s="42">
        <v>10.4</v>
      </c>
      <c r="DP18" s="5"/>
      <c r="DQ18" s="5"/>
      <c r="DZ18" s="2"/>
      <c r="EA18" s="2"/>
      <c r="EC18" s="42">
        <v>10.4</v>
      </c>
      <c r="EX18" s="5"/>
      <c r="EY18" s="5"/>
      <c r="FH18" s="2"/>
      <c r="FI18" s="2"/>
      <c r="FK18" s="42">
        <v>10.4</v>
      </c>
      <c r="GF18" s="5"/>
      <c r="GG18" s="5"/>
      <c r="GP18" s="2"/>
      <c r="GQ18" s="2"/>
      <c r="GS18" s="42">
        <v>10.4</v>
      </c>
      <c r="HN18" s="5"/>
      <c r="HO18" s="5"/>
      <c r="HX18" s="2"/>
      <c r="HY18" s="2"/>
      <c r="IA18" s="42">
        <v>10.4</v>
      </c>
      <c r="IV18" s="5"/>
      <c r="IW18" s="5"/>
      <c r="JF18" s="2"/>
      <c r="JG18" s="2"/>
      <c r="JI18" s="42">
        <v>10.4</v>
      </c>
      <c r="KD18" s="5"/>
      <c r="KE18" s="5"/>
      <c r="KN18" s="2"/>
      <c r="KO18" s="2"/>
      <c r="KQ18" s="42">
        <v>10.4</v>
      </c>
      <c r="LL18" s="5"/>
      <c r="LM18" s="5"/>
      <c r="LV18" s="2"/>
      <c r="LW18" s="2"/>
      <c r="LY18" s="42">
        <v>10.4</v>
      </c>
      <c r="MT18" s="5"/>
      <c r="MU18" s="5"/>
      <c r="ND18" s="2"/>
      <c r="NE18" s="2"/>
      <c r="NG18" s="42">
        <v>10.4</v>
      </c>
      <c r="OB18" s="5"/>
      <c r="OC18" s="5"/>
      <c r="OL18" s="2"/>
      <c r="OM18" s="2"/>
      <c r="OO18" s="42">
        <v>10.4</v>
      </c>
      <c r="PJ18" s="5"/>
      <c r="PK18" s="5"/>
      <c r="PT18" s="2"/>
      <c r="PU18" s="2"/>
      <c r="PW18" s="42">
        <v>10.4</v>
      </c>
      <c r="QR18" s="5"/>
      <c r="QS18" s="5"/>
      <c r="RB18" s="2"/>
      <c r="RC18" s="2"/>
      <c r="RE18" s="42">
        <v>10.4</v>
      </c>
      <c r="RZ18" s="5"/>
      <c r="SA18" s="5"/>
      <c r="SJ18" s="2"/>
      <c r="SK18" s="2"/>
      <c r="SM18" s="42">
        <v>10.4</v>
      </c>
      <c r="TH18" s="5"/>
      <c r="TI18" s="5"/>
      <c r="TR18" s="2"/>
      <c r="TS18" s="2"/>
      <c r="TU18" s="42">
        <v>10.4</v>
      </c>
      <c r="UP18" s="5"/>
      <c r="UQ18" s="5"/>
      <c r="UZ18" s="2"/>
      <c r="VA18" s="2"/>
      <c r="VC18" s="42">
        <v>10.4</v>
      </c>
      <c r="VX18" s="5"/>
      <c r="VY18" s="5"/>
      <c r="WH18" s="2"/>
      <c r="WI18" s="2"/>
      <c r="WK18" s="42">
        <v>10.4</v>
      </c>
    </row>
    <row r="19" spans="1:609" x14ac:dyDescent="0.2">
      <c r="B19" s="30" t="s">
        <v>50</v>
      </c>
      <c r="C19" s="5"/>
      <c r="P19" s="2"/>
      <c r="AJ19" s="41"/>
      <c r="AK19" s="41"/>
      <c r="AL19" s="41"/>
      <c r="AN19" s="32"/>
      <c r="AO19" s="32"/>
      <c r="AQ19" s="43">
        <v>11.2</v>
      </c>
      <c r="BK19" s="41"/>
      <c r="BL19" s="41"/>
      <c r="BM19" s="41"/>
      <c r="BO19" s="32"/>
      <c r="BP19" s="32"/>
      <c r="BR19" s="43">
        <v>11.2</v>
      </c>
      <c r="CL19" s="41"/>
      <c r="CM19" s="41"/>
      <c r="CN19" s="41"/>
      <c r="CP19" s="32"/>
      <c r="CQ19" s="32"/>
      <c r="CS19" s="43">
        <v>11.2</v>
      </c>
      <c r="DP19" s="5"/>
      <c r="DQ19" s="5"/>
      <c r="DZ19" s="2"/>
      <c r="EA19" s="2"/>
      <c r="EC19" s="43">
        <v>11.2</v>
      </c>
      <c r="EX19" s="5"/>
      <c r="EY19" s="5"/>
      <c r="FH19" s="2"/>
      <c r="FI19" s="2"/>
      <c r="FK19" s="43">
        <v>11.2</v>
      </c>
      <c r="GF19" s="5"/>
      <c r="GG19" s="5"/>
      <c r="GP19" s="2"/>
      <c r="GQ19" s="2"/>
      <c r="GS19" s="43">
        <v>11.2</v>
      </c>
      <c r="HN19" s="5"/>
      <c r="HO19" s="5"/>
      <c r="HX19" s="2"/>
      <c r="HY19" s="2"/>
      <c r="IA19" s="43">
        <v>11.2</v>
      </c>
      <c r="IV19" s="5"/>
      <c r="IW19" s="5"/>
      <c r="JF19" s="2"/>
      <c r="JG19" s="2"/>
      <c r="JI19" s="43">
        <v>11.2</v>
      </c>
      <c r="KD19" s="5"/>
      <c r="KE19" s="5"/>
      <c r="KN19" s="2"/>
      <c r="KO19" s="2"/>
      <c r="KQ19" s="43">
        <v>11.2</v>
      </c>
      <c r="LL19" s="5"/>
      <c r="LM19" s="5"/>
      <c r="LV19" s="2"/>
      <c r="LW19" s="2"/>
      <c r="LY19" s="43">
        <v>11.2</v>
      </c>
      <c r="MT19" s="5"/>
      <c r="MU19" s="5"/>
      <c r="ND19" s="2"/>
      <c r="NE19" s="2"/>
      <c r="NG19" s="43">
        <v>11.2</v>
      </c>
      <c r="OB19" s="5"/>
      <c r="OC19" s="5"/>
      <c r="OL19" s="2"/>
      <c r="OM19" s="2"/>
      <c r="OO19" s="43">
        <v>11.2</v>
      </c>
      <c r="PJ19" s="5"/>
      <c r="PK19" s="5"/>
      <c r="PT19" s="2"/>
      <c r="PU19" s="2"/>
      <c r="PW19" s="43">
        <v>11.2</v>
      </c>
      <c r="QR19" s="5"/>
      <c r="QS19" s="5"/>
      <c r="RB19" s="2"/>
      <c r="RC19" s="2"/>
      <c r="RE19" s="43">
        <v>11.2</v>
      </c>
      <c r="RZ19" s="5"/>
      <c r="SA19" s="5"/>
      <c r="SJ19" s="2"/>
      <c r="SK19" s="2"/>
      <c r="SM19" s="43">
        <v>11.2</v>
      </c>
      <c r="TH19" s="5"/>
      <c r="TI19" s="5"/>
      <c r="TR19" s="2"/>
      <c r="TS19" s="2"/>
      <c r="TU19" s="43">
        <v>11.2</v>
      </c>
      <c r="UP19" s="5"/>
      <c r="UQ19" s="5"/>
      <c r="UZ19" s="2"/>
      <c r="VA19" s="2"/>
      <c r="VC19" s="43">
        <v>11.2</v>
      </c>
      <c r="VX19" s="5"/>
      <c r="VY19" s="5"/>
      <c r="WH19" s="2"/>
      <c r="WI19" s="2"/>
      <c r="WK19" s="43">
        <v>11.2</v>
      </c>
    </row>
    <row r="20" spans="1:609" x14ac:dyDescent="0.2">
      <c r="A20" s="5"/>
      <c r="B20" s="31" t="s">
        <v>63</v>
      </c>
      <c r="C20" s="5"/>
      <c r="E20" s="2"/>
      <c r="AJ20" s="41"/>
      <c r="AK20" s="41"/>
      <c r="AL20" s="41"/>
      <c r="AM20" s="32"/>
      <c r="AN20" s="32"/>
      <c r="AO20" s="32"/>
      <c r="AP20" s="32"/>
      <c r="AQ20" s="44">
        <v>12</v>
      </c>
      <c r="BK20" s="41"/>
      <c r="BL20" s="41"/>
      <c r="BM20" s="41"/>
      <c r="BO20" s="32"/>
      <c r="BP20" s="32"/>
      <c r="BR20" s="44">
        <v>12</v>
      </c>
      <c r="CL20" s="41"/>
      <c r="CM20" s="41"/>
      <c r="CN20" s="41"/>
      <c r="CO20" s="32"/>
      <c r="CP20" s="32"/>
      <c r="CQ20" s="32"/>
      <c r="CR20" s="32"/>
      <c r="CS20" s="44">
        <v>12</v>
      </c>
      <c r="DP20" s="5"/>
      <c r="DQ20" s="5"/>
      <c r="DZ20" s="2"/>
      <c r="EA20" s="2"/>
      <c r="EC20" s="44">
        <v>12</v>
      </c>
      <c r="EX20" s="5"/>
      <c r="EY20" s="5"/>
      <c r="FH20" s="2"/>
      <c r="FI20" s="2"/>
      <c r="FK20" s="44">
        <v>12</v>
      </c>
      <c r="GF20" s="5"/>
      <c r="GG20" s="5"/>
      <c r="GP20" s="2"/>
      <c r="GQ20" s="2"/>
      <c r="GS20" s="44">
        <v>12</v>
      </c>
      <c r="HN20" s="5"/>
      <c r="HO20" s="5"/>
      <c r="HX20" s="2"/>
      <c r="HY20" s="2"/>
      <c r="IA20" s="44">
        <v>12</v>
      </c>
      <c r="IV20" s="5"/>
      <c r="IW20" s="5"/>
      <c r="JF20" s="2"/>
      <c r="JG20" s="2"/>
      <c r="JI20" s="44">
        <v>12</v>
      </c>
      <c r="KD20" s="5"/>
      <c r="KE20" s="5"/>
      <c r="KN20" s="2"/>
      <c r="KO20" s="2"/>
      <c r="KQ20" s="44">
        <v>12</v>
      </c>
      <c r="LL20" s="5"/>
      <c r="LM20" s="5"/>
      <c r="LV20" s="2"/>
      <c r="LW20" s="2"/>
      <c r="LY20" s="44">
        <v>12</v>
      </c>
      <c r="MT20" s="5"/>
      <c r="MU20" s="5"/>
      <c r="ND20" s="2"/>
      <c r="NE20" s="2"/>
      <c r="NG20" s="44">
        <v>12</v>
      </c>
      <c r="OB20" s="5"/>
      <c r="OC20" s="5"/>
      <c r="OL20" s="2"/>
      <c r="OM20" s="2"/>
      <c r="OO20" s="44">
        <v>12</v>
      </c>
      <c r="PJ20" s="5"/>
      <c r="PK20" s="5"/>
      <c r="PT20" s="2"/>
      <c r="PU20" s="2"/>
      <c r="PW20" s="44">
        <v>12</v>
      </c>
      <c r="QR20" s="5"/>
      <c r="QS20" s="5"/>
      <c r="RB20" s="2"/>
      <c r="RC20" s="2"/>
      <c r="RE20" s="44">
        <v>12</v>
      </c>
      <c r="RZ20" s="5"/>
      <c r="SA20" s="5"/>
      <c r="SJ20" s="2"/>
      <c r="SK20" s="2"/>
      <c r="SM20" s="44">
        <v>12</v>
      </c>
      <c r="TH20" s="5"/>
      <c r="TI20" s="5"/>
      <c r="TR20" s="2"/>
      <c r="TS20" s="2"/>
      <c r="TU20" s="44">
        <v>12</v>
      </c>
      <c r="UP20" s="5"/>
      <c r="UQ20" s="5"/>
      <c r="UZ20" s="2"/>
      <c r="VA20" s="2"/>
      <c r="VC20" s="44">
        <v>12</v>
      </c>
      <c r="VX20" s="5"/>
      <c r="VY20" s="5"/>
      <c r="WH20" s="2"/>
      <c r="WI20" s="2"/>
      <c r="WK20" s="44">
        <v>12</v>
      </c>
    </row>
    <row r="21" spans="1:609" x14ac:dyDescent="0.2">
      <c r="A21" s="5"/>
      <c r="B21" s="35" t="s">
        <v>76</v>
      </c>
      <c r="C21" s="5"/>
      <c r="E21" s="2"/>
      <c r="AJ21" s="41"/>
      <c r="AK21" s="41"/>
      <c r="AL21" s="41"/>
      <c r="AM21" s="32"/>
      <c r="AN21" s="32"/>
      <c r="AO21" s="32"/>
      <c r="AP21" s="32"/>
      <c r="AQ21" s="45">
        <v>12.4</v>
      </c>
      <c r="BK21" s="41"/>
      <c r="BL21" s="41"/>
      <c r="BM21" s="41"/>
      <c r="BO21" s="32"/>
      <c r="BP21" s="32"/>
      <c r="BR21" s="45">
        <v>12.4</v>
      </c>
      <c r="CL21" s="41"/>
      <c r="CM21" s="41"/>
      <c r="CN21" s="41"/>
      <c r="CO21" s="32"/>
      <c r="CP21" s="32"/>
      <c r="CQ21" s="32"/>
      <c r="CR21" s="32"/>
      <c r="CS21" s="45">
        <v>12.4</v>
      </c>
      <c r="DP21" s="5"/>
      <c r="DQ21" s="5"/>
      <c r="DZ21" s="2"/>
      <c r="EA21" s="2"/>
      <c r="EC21" s="45">
        <v>12.4</v>
      </c>
      <c r="EX21" s="5"/>
      <c r="EY21" s="5"/>
      <c r="FH21" s="2"/>
      <c r="FI21" s="2"/>
      <c r="FK21" s="45">
        <v>12.4</v>
      </c>
      <c r="GF21" s="5"/>
      <c r="GG21" s="5"/>
      <c r="GP21" s="2"/>
      <c r="GQ21" s="2"/>
      <c r="GS21" s="45">
        <v>12.4</v>
      </c>
      <c r="HN21" s="5"/>
      <c r="HO21" s="5"/>
      <c r="HX21" s="2"/>
      <c r="HY21" s="2"/>
      <c r="IA21" s="45">
        <v>12.4</v>
      </c>
      <c r="IV21" s="5"/>
      <c r="IW21" s="5"/>
      <c r="JF21" s="2"/>
      <c r="JG21" s="2"/>
      <c r="JI21" s="45">
        <v>12.4</v>
      </c>
      <c r="KD21" s="5"/>
      <c r="KE21" s="5"/>
      <c r="KN21" s="2"/>
      <c r="KO21" s="2"/>
      <c r="KQ21" s="45">
        <v>12.4</v>
      </c>
      <c r="LL21" s="5"/>
      <c r="LM21" s="5"/>
      <c r="LV21" s="2"/>
      <c r="LW21" s="2"/>
      <c r="LY21" s="45">
        <v>12.4</v>
      </c>
      <c r="MT21" s="5"/>
      <c r="MU21" s="5"/>
      <c r="ND21" s="2"/>
      <c r="NE21" s="2"/>
      <c r="NG21" s="45">
        <v>12.4</v>
      </c>
      <c r="OB21" s="5"/>
      <c r="OC21" s="5"/>
      <c r="OL21" s="2"/>
      <c r="OM21" s="2"/>
      <c r="OO21" s="45">
        <v>12.4</v>
      </c>
      <c r="PJ21" s="5"/>
      <c r="PK21" s="5"/>
      <c r="PT21" s="2"/>
      <c r="PU21" s="2"/>
      <c r="PW21" s="45">
        <v>12.4</v>
      </c>
      <c r="QR21" s="5"/>
      <c r="QS21" s="5"/>
      <c r="RB21" s="2"/>
      <c r="RC21" s="2"/>
      <c r="RE21" s="45">
        <v>12.4</v>
      </c>
      <c r="RZ21" s="5"/>
      <c r="SA21" s="5"/>
      <c r="SJ21" s="2"/>
      <c r="SK21" s="2"/>
      <c r="SM21" s="45">
        <v>12.4</v>
      </c>
      <c r="TH21" s="5"/>
      <c r="TI21" s="5"/>
      <c r="TR21" s="2"/>
      <c r="TS21" s="2"/>
      <c r="TU21" s="45">
        <v>12.4</v>
      </c>
      <c r="UP21" s="5"/>
      <c r="UQ21" s="5"/>
      <c r="UZ21" s="2"/>
      <c r="VA21" s="2"/>
      <c r="VC21" s="45">
        <v>12.4</v>
      </c>
      <c r="VX21" s="5"/>
      <c r="VY21" s="5"/>
      <c r="WH21" s="2"/>
      <c r="WI21" s="2"/>
      <c r="WK21" s="45">
        <v>12.4</v>
      </c>
    </row>
    <row r="22" spans="1:609" x14ac:dyDescent="0.2">
      <c r="A22" s="5"/>
      <c r="B22" s="34" t="s">
        <v>48</v>
      </c>
      <c r="C22" s="5"/>
      <c r="AJ22" s="41"/>
      <c r="AK22" s="41"/>
      <c r="AL22" s="41"/>
      <c r="AM22" s="32"/>
      <c r="AN22" s="32"/>
      <c r="AO22" s="32"/>
      <c r="AP22" s="32"/>
      <c r="AQ22" s="46">
        <v>44</v>
      </c>
      <c r="BK22" s="41"/>
      <c r="BL22" s="41"/>
      <c r="BM22" s="41"/>
      <c r="BO22" s="32"/>
      <c r="BP22" s="32"/>
      <c r="BR22" s="46">
        <v>44</v>
      </c>
      <c r="CL22" s="41"/>
      <c r="CM22" s="41"/>
      <c r="CN22" s="41"/>
      <c r="CO22" s="32"/>
      <c r="CP22" s="32"/>
      <c r="CQ22" s="32"/>
      <c r="CR22" s="32"/>
      <c r="CS22" s="46">
        <v>44</v>
      </c>
      <c r="DP22" s="5"/>
      <c r="DQ22" s="5"/>
      <c r="DZ22" s="2"/>
      <c r="EA22" s="2"/>
      <c r="EC22" s="46">
        <v>44</v>
      </c>
      <c r="EX22" s="5"/>
      <c r="EY22" s="5"/>
      <c r="FH22" s="2"/>
      <c r="FI22" s="2"/>
      <c r="FK22" s="46">
        <v>44</v>
      </c>
      <c r="GF22" s="5"/>
      <c r="GG22" s="5"/>
      <c r="GP22" s="2"/>
      <c r="GQ22" s="2"/>
      <c r="GS22" s="46">
        <v>44</v>
      </c>
      <c r="HN22" s="5"/>
      <c r="HO22" s="5"/>
      <c r="HX22" s="2"/>
      <c r="HY22" s="2"/>
      <c r="IA22" s="46">
        <v>44</v>
      </c>
      <c r="IV22" s="5"/>
      <c r="IW22" s="5"/>
      <c r="JF22" s="2"/>
      <c r="JG22" s="2"/>
      <c r="JI22" s="46">
        <v>44</v>
      </c>
      <c r="KD22" s="5"/>
      <c r="KE22" s="5"/>
      <c r="KN22" s="2"/>
      <c r="KO22" s="2"/>
      <c r="KQ22" s="46">
        <v>44</v>
      </c>
      <c r="LL22" s="5"/>
      <c r="LM22" s="5"/>
      <c r="LV22" s="2"/>
      <c r="LW22" s="2"/>
      <c r="LY22" s="46">
        <v>44</v>
      </c>
      <c r="MT22" s="5"/>
      <c r="MU22" s="5"/>
      <c r="ND22" s="2"/>
      <c r="NE22" s="2"/>
      <c r="NG22" s="46">
        <v>44</v>
      </c>
      <c r="OB22" s="5"/>
      <c r="OC22" s="5"/>
      <c r="OL22" s="2"/>
      <c r="OM22" s="2"/>
      <c r="OO22" s="46">
        <v>44</v>
      </c>
      <c r="PJ22" s="5"/>
      <c r="PK22" s="5"/>
      <c r="PT22" s="2"/>
      <c r="PU22" s="2"/>
      <c r="PW22" s="46">
        <v>44</v>
      </c>
      <c r="QR22" s="5"/>
      <c r="QS22" s="5"/>
      <c r="RB22" s="2"/>
      <c r="RC22" s="2"/>
      <c r="RE22" s="46">
        <v>44</v>
      </c>
      <c r="RZ22" s="5"/>
      <c r="SA22" s="5"/>
      <c r="SJ22" s="2"/>
      <c r="SK22" s="2"/>
      <c r="SM22" s="46">
        <v>44</v>
      </c>
      <c r="TH22" s="5"/>
      <c r="TI22" s="5"/>
      <c r="TR22" s="2"/>
      <c r="TS22" s="2"/>
      <c r="TU22" s="46">
        <v>44</v>
      </c>
      <c r="UP22" s="5"/>
      <c r="UQ22" s="5"/>
      <c r="UZ22" s="2"/>
      <c r="VA22" s="2"/>
      <c r="VC22" s="46">
        <v>44</v>
      </c>
      <c r="VX22" s="5"/>
      <c r="VY22" s="5"/>
      <c r="WH22" s="2"/>
      <c r="WI22" s="2"/>
      <c r="WK22" s="46">
        <v>44</v>
      </c>
    </row>
    <row r="23" spans="1:609" x14ac:dyDescent="0.2">
      <c r="A23" s="5"/>
      <c r="B23" s="24" t="s">
        <v>49</v>
      </c>
      <c r="C23" s="5"/>
      <c r="AJ23" s="41"/>
      <c r="AK23" s="41"/>
      <c r="AL23" s="41"/>
      <c r="AM23" s="32"/>
      <c r="AN23" s="32"/>
      <c r="AO23" s="32"/>
      <c r="AP23" s="32"/>
      <c r="AQ23" s="47">
        <v>45.3</v>
      </c>
      <c r="BK23" s="41"/>
      <c r="BL23" s="41"/>
      <c r="BM23" s="41"/>
      <c r="BO23" s="32"/>
      <c r="BP23" s="32"/>
      <c r="BR23" s="47">
        <v>45.3</v>
      </c>
      <c r="CL23" s="41"/>
      <c r="CM23" s="41"/>
      <c r="CN23" s="41"/>
      <c r="CO23" s="32"/>
      <c r="CP23" s="32"/>
      <c r="CQ23" s="32"/>
      <c r="CR23" s="32"/>
      <c r="CS23" s="47">
        <v>45.3</v>
      </c>
      <c r="DP23" s="5"/>
      <c r="DQ23" s="5"/>
      <c r="DZ23" s="2"/>
      <c r="EA23" s="2"/>
      <c r="EC23" s="47">
        <v>45.3</v>
      </c>
      <c r="EX23" s="5"/>
      <c r="EY23" s="5"/>
      <c r="FH23" s="2"/>
      <c r="FI23" s="2"/>
      <c r="FK23" s="47">
        <v>45.3</v>
      </c>
      <c r="GF23" s="5"/>
      <c r="GG23" s="5"/>
      <c r="GP23" s="2"/>
      <c r="GQ23" s="2"/>
      <c r="GS23" s="47">
        <v>45.3</v>
      </c>
      <c r="HN23" s="5"/>
      <c r="HO23" s="5"/>
      <c r="HX23" s="2"/>
      <c r="HY23" s="2"/>
      <c r="IA23" s="47">
        <v>45.3</v>
      </c>
      <c r="IV23" s="5"/>
      <c r="IW23" s="5"/>
      <c r="JF23" s="2"/>
      <c r="JG23" s="2"/>
      <c r="JI23" s="47">
        <v>45.3</v>
      </c>
      <c r="KD23" s="5"/>
      <c r="KE23" s="5"/>
      <c r="KN23" s="2"/>
      <c r="KO23" s="2"/>
      <c r="KQ23" s="47">
        <v>45.3</v>
      </c>
      <c r="LL23" s="5"/>
      <c r="LM23" s="5"/>
      <c r="LV23" s="2"/>
      <c r="LW23" s="2"/>
      <c r="LY23" s="47">
        <v>45.3</v>
      </c>
      <c r="MT23" s="5"/>
      <c r="MU23" s="5"/>
      <c r="ND23" s="2"/>
      <c r="NE23" s="2"/>
      <c r="NG23" s="47">
        <v>45.3</v>
      </c>
      <c r="OB23" s="5"/>
      <c r="OC23" s="5"/>
      <c r="OL23" s="2"/>
      <c r="OM23" s="2"/>
      <c r="OO23" s="47">
        <v>45.3</v>
      </c>
      <c r="PJ23" s="5"/>
      <c r="PK23" s="5"/>
      <c r="PT23" s="2"/>
      <c r="PU23" s="2"/>
      <c r="PW23" s="47">
        <v>45.3</v>
      </c>
      <c r="QR23" s="5"/>
      <c r="QS23" s="5"/>
      <c r="RB23" s="2"/>
      <c r="RC23" s="2"/>
      <c r="RE23" s="47">
        <v>45.3</v>
      </c>
      <c r="RZ23" s="5"/>
      <c r="SA23" s="5"/>
      <c r="SJ23" s="2"/>
      <c r="SK23" s="2"/>
      <c r="SM23" s="47">
        <v>45.3</v>
      </c>
      <c r="TH23" s="5"/>
      <c r="TI23" s="5"/>
      <c r="TR23" s="2"/>
      <c r="TS23" s="2"/>
      <c r="TU23" s="47">
        <v>45.3</v>
      </c>
      <c r="UP23" s="5"/>
      <c r="UQ23" s="5"/>
      <c r="UZ23" s="2"/>
      <c r="VA23" s="2"/>
      <c r="VC23" s="47">
        <v>45.3</v>
      </c>
      <c r="VX23" s="5"/>
      <c r="VY23" s="5"/>
      <c r="WH23" s="2"/>
      <c r="WI23" s="2"/>
      <c r="WK23" s="47">
        <v>45.3</v>
      </c>
    </row>
    <row r="24" spans="1:609" x14ac:dyDescent="0.2">
      <c r="A24" s="5"/>
      <c r="B24" s="33" t="s">
        <v>62</v>
      </c>
      <c r="C24" s="5"/>
      <c r="AJ24" s="41"/>
      <c r="AK24" s="41"/>
      <c r="AL24" s="41"/>
      <c r="AM24" s="32"/>
      <c r="AN24" s="32"/>
      <c r="AO24" s="32"/>
      <c r="AP24" s="32"/>
      <c r="AQ24" s="48">
        <v>46</v>
      </c>
      <c r="BK24" s="41"/>
      <c r="BL24" s="41"/>
      <c r="BM24" s="41"/>
      <c r="BO24" s="32"/>
      <c r="BP24" s="32"/>
      <c r="BR24" s="48">
        <v>46</v>
      </c>
      <c r="CL24" s="41"/>
      <c r="CM24" s="41"/>
      <c r="CN24" s="41"/>
      <c r="CO24" s="32"/>
      <c r="CP24" s="32"/>
      <c r="CQ24" s="32"/>
      <c r="CR24" s="32"/>
      <c r="CS24" s="48">
        <v>46</v>
      </c>
      <c r="DP24" s="5"/>
      <c r="DQ24" s="5"/>
      <c r="DZ24" s="2"/>
      <c r="EA24" s="2"/>
      <c r="EB24" s="37"/>
      <c r="EC24" s="48">
        <v>46</v>
      </c>
      <c r="EX24" s="5"/>
      <c r="EY24" s="5"/>
      <c r="FH24" s="2"/>
      <c r="FI24" s="2"/>
      <c r="FJ24" s="37"/>
      <c r="FK24" s="48">
        <v>46</v>
      </c>
      <c r="GF24" s="5"/>
      <c r="GG24" s="5"/>
      <c r="GP24" s="2"/>
      <c r="GQ24" s="2"/>
      <c r="GR24" s="37"/>
      <c r="GS24" s="48">
        <v>46</v>
      </c>
      <c r="HN24" s="5"/>
      <c r="HO24" s="5"/>
      <c r="HX24" s="2"/>
      <c r="HY24" s="2"/>
      <c r="HZ24" s="37"/>
      <c r="IA24" s="48">
        <v>46</v>
      </c>
      <c r="IV24" s="5"/>
      <c r="IW24" s="5"/>
      <c r="JF24" s="2"/>
      <c r="JG24" s="2"/>
      <c r="JH24" s="37"/>
      <c r="JI24" s="48">
        <v>46</v>
      </c>
      <c r="KD24" s="5"/>
      <c r="KE24" s="5"/>
      <c r="KN24" s="2"/>
      <c r="KO24" s="2"/>
      <c r="KP24" s="37"/>
      <c r="KQ24" s="48">
        <v>46</v>
      </c>
      <c r="LL24" s="5"/>
      <c r="LM24" s="5"/>
      <c r="LV24" s="2"/>
      <c r="LW24" s="2"/>
      <c r="LX24" s="37"/>
      <c r="LY24" s="48">
        <v>46</v>
      </c>
      <c r="MT24" s="5"/>
      <c r="MU24" s="5"/>
      <c r="ND24" s="2"/>
      <c r="NE24" s="2"/>
      <c r="NF24" s="37"/>
      <c r="NG24" s="48">
        <v>46</v>
      </c>
      <c r="OB24" s="5"/>
      <c r="OC24" s="5"/>
      <c r="OL24" s="2"/>
      <c r="OM24" s="2"/>
      <c r="ON24" s="37"/>
      <c r="OO24" s="48">
        <v>46</v>
      </c>
      <c r="PJ24" s="5"/>
      <c r="PK24" s="5"/>
      <c r="PT24" s="2"/>
      <c r="PU24" s="2"/>
      <c r="PV24" s="37"/>
      <c r="PW24" s="48">
        <v>46</v>
      </c>
      <c r="QR24" s="5"/>
      <c r="QS24" s="5"/>
      <c r="RB24" s="2"/>
      <c r="RC24" s="2"/>
      <c r="RD24" s="37"/>
      <c r="RE24" s="48">
        <v>46</v>
      </c>
      <c r="RZ24" s="5"/>
      <c r="SA24" s="5"/>
      <c r="SJ24" s="2"/>
      <c r="SK24" s="2"/>
      <c r="SL24" s="37"/>
      <c r="SM24" s="48">
        <v>46</v>
      </c>
      <c r="TH24" s="5"/>
      <c r="TI24" s="5"/>
      <c r="TR24" s="2"/>
      <c r="TS24" s="2"/>
      <c r="TT24" s="37"/>
      <c r="TU24" s="48">
        <v>46</v>
      </c>
      <c r="UP24" s="5"/>
      <c r="UQ24" s="5"/>
      <c r="UZ24" s="2"/>
      <c r="VA24" s="2"/>
      <c r="VB24" s="37"/>
      <c r="VC24" s="48">
        <v>46</v>
      </c>
      <c r="VX24" s="5"/>
      <c r="VY24" s="5"/>
      <c r="WH24" s="2"/>
      <c r="WI24" s="2"/>
      <c r="WJ24" s="37"/>
      <c r="WK24" s="48">
        <v>46</v>
      </c>
    </row>
    <row r="25" spans="1:609" x14ac:dyDescent="0.2">
      <c r="A25" s="5"/>
      <c r="B25" s="25" t="s">
        <v>32</v>
      </c>
      <c r="C25" s="5"/>
      <c r="AJ25" s="41"/>
      <c r="AK25" s="41"/>
      <c r="AL25" s="41"/>
      <c r="AM25" s="32"/>
      <c r="AN25" s="41"/>
      <c r="AO25" s="41"/>
      <c r="AP25" s="32"/>
      <c r="AQ25" s="49">
        <v>46.6</v>
      </c>
      <c r="BK25" s="41"/>
      <c r="BL25" s="41"/>
      <c r="BM25" s="41"/>
      <c r="BO25" s="41"/>
      <c r="BP25" s="32"/>
      <c r="BR25" s="49">
        <v>46.6</v>
      </c>
      <c r="CL25" s="41"/>
      <c r="CM25" s="41"/>
      <c r="CN25" s="41"/>
      <c r="CO25" s="32"/>
      <c r="CP25" s="41"/>
      <c r="CQ25" s="32"/>
      <c r="CR25" s="32"/>
      <c r="CS25" s="49">
        <v>46.6</v>
      </c>
      <c r="DP25" s="5"/>
      <c r="DQ25" s="5"/>
      <c r="DZ25" s="41"/>
      <c r="EA25" s="2"/>
      <c r="EC25" s="49">
        <v>46.6</v>
      </c>
      <c r="EX25" s="5"/>
      <c r="EY25" s="5"/>
      <c r="FH25" s="41"/>
      <c r="FI25" s="2"/>
      <c r="FK25" s="49">
        <v>46.6</v>
      </c>
      <c r="GF25" s="5"/>
      <c r="GG25" s="5"/>
      <c r="GP25" s="41"/>
      <c r="GQ25" s="2"/>
      <c r="GS25" s="49">
        <v>46.6</v>
      </c>
      <c r="HN25" s="5"/>
      <c r="HO25" s="5"/>
      <c r="HX25" s="41"/>
      <c r="HY25" s="2"/>
      <c r="IA25" s="49">
        <v>46.6</v>
      </c>
      <c r="IV25" s="5"/>
      <c r="IW25" s="5"/>
      <c r="JF25" s="2"/>
      <c r="JG25" s="2"/>
      <c r="JI25" s="49">
        <v>46.6</v>
      </c>
      <c r="KD25" s="5"/>
      <c r="KE25" s="5"/>
      <c r="KN25" s="2"/>
      <c r="KO25" s="2"/>
      <c r="KQ25" s="49">
        <v>46.6</v>
      </c>
      <c r="LL25" s="5"/>
      <c r="LM25" s="5"/>
      <c r="LV25" s="2"/>
      <c r="LW25" s="2"/>
      <c r="LY25" s="49">
        <v>46.6</v>
      </c>
      <c r="MT25" s="5"/>
      <c r="MU25" s="5"/>
      <c r="ND25" s="2"/>
      <c r="NE25" s="2"/>
      <c r="NG25" s="49">
        <v>46.6</v>
      </c>
      <c r="OB25" s="5"/>
      <c r="OC25" s="5"/>
      <c r="OL25" s="2"/>
      <c r="OM25" s="2"/>
      <c r="OO25" s="49">
        <v>46.6</v>
      </c>
      <c r="PJ25" s="5"/>
      <c r="PK25" s="5"/>
      <c r="PT25" s="2"/>
      <c r="PU25" s="2"/>
      <c r="PW25" s="49">
        <v>46.6</v>
      </c>
      <c r="QR25" s="5"/>
      <c r="QS25" s="5"/>
      <c r="RB25" s="2"/>
      <c r="RC25" s="2"/>
      <c r="RE25" s="49">
        <v>46.6</v>
      </c>
      <c r="RZ25" s="5"/>
      <c r="SA25" s="5"/>
      <c r="SJ25" s="2"/>
      <c r="SK25" s="2"/>
      <c r="SM25" s="49">
        <v>46.6</v>
      </c>
      <c r="TH25" s="5"/>
      <c r="TI25" s="5"/>
      <c r="TR25" s="2"/>
      <c r="TS25" s="2"/>
      <c r="TU25" s="49">
        <v>46.6</v>
      </c>
      <c r="UP25" s="5"/>
      <c r="UQ25" s="5"/>
      <c r="UZ25" s="2"/>
      <c r="VA25" s="2"/>
      <c r="VC25" s="49">
        <v>46.6</v>
      </c>
      <c r="VX25" s="5"/>
      <c r="VY25" s="5"/>
      <c r="WH25" s="2"/>
      <c r="WI25" s="2"/>
      <c r="WK25" s="49">
        <v>46.6</v>
      </c>
    </row>
    <row r="26" spans="1:609" s="36" customFormat="1" x14ac:dyDescent="0.2">
      <c r="A26"/>
      <c r="B26" s="29" t="s">
        <v>54</v>
      </c>
      <c r="C26" s="2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M26" s="32"/>
      <c r="AP26" s="32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O26" s="32"/>
      <c r="CR26" s="32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609" s="36" customFormat="1" x14ac:dyDescent="0.2">
      <c r="A27" s="5"/>
      <c r="B27" s="5"/>
      <c r="C27" s="20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I27" s="32"/>
      <c r="AJ27" s="32"/>
      <c r="AK27" s="32"/>
      <c r="AL27" s="32"/>
      <c r="AM27" s="32"/>
      <c r="AP27" s="32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K27" s="32"/>
      <c r="CL27" s="32"/>
      <c r="CM27" s="32"/>
      <c r="CN27" s="32"/>
      <c r="CO27" s="32"/>
      <c r="CR27" s="32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609" s="36" customFormat="1" ht="17" x14ac:dyDescent="0.2">
      <c r="A28" s="5"/>
      <c r="B28" s="5"/>
      <c r="C28" s="20"/>
      <c r="D28"/>
      <c r="E28"/>
      <c r="F28"/>
      <c r="G28"/>
      <c r="H28"/>
      <c r="I28"/>
      <c r="J28"/>
      <c r="K28"/>
      <c r="L28"/>
      <c r="M28"/>
      <c r="N28" s="10"/>
      <c r="O28" s="10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2"/>
      <c r="AJ28" s="32"/>
      <c r="AK28" s="32"/>
      <c r="AL28" s="32"/>
      <c r="AM28" s="32"/>
      <c r="AP28" s="32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2"/>
      <c r="CL28" s="32"/>
      <c r="CM28" s="32"/>
      <c r="CN28" s="32"/>
      <c r="CO28" s="32"/>
      <c r="CR28" s="32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609" s="36" customFormat="1" ht="17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 s="10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I29" s="32"/>
      <c r="AJ29" s="32"/>
      <c r="AK29" s="32"/>
      <c r="AL29" s="32"/>
      <c r="AM29" s="32"/>
      <c r="AP29" s="32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K29" s="32"/>
      <c r="CL29" s="32"/>
      <c r="CM29" s="32"/>
      <c r="CN29" s="32"/>
      <c r="CO29" s="32"/>
      <c r="CR29" s="32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609" s="36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2"/>
      <c r="AJ30" s="32"/>
      <c r="AK30" s="32"/>
      <c r="AL30" s="32"/>
      <c r="AM30" s="32"/>
      <c r="AP30" s="32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2"/>
      <c r="CL30" s="32"/>
      <c r="CM30" s="32"/>
      <c r="CN30" s="32"/>
      <c r="CO30" s="32"/>
      <c r="CR30" s="32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609" s="36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2"/>
      <c r="AJ31" s="32"/>
      <c r="AK31" s="32"/>
      <c r="AL31" s="32"/>
      <c r="AM31" s="32"/>
      <c r="AP31" s="32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2"/>
      <c r="CL31" s="32"/>
      <c r="CM31" s="32"/>
      <c r="CN31" s="32"/>
      <c r="CO31" s="32"/>
      <c r="CR31" s="32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609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2"/>
      <c r="AJ32" s="32"/>
      <c r="AK32" s="32"/>
      <c r="AL32" s="32"/>
      <c r="AM32" s="32"/>
      <c r="AP32" s="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2"/>
      <c r="CL32" s="32"/>
      <c r="CM32" s="32"/>
      <c r="CN32" s="32"/>
      <c r="CO32" s="32"/>
      <c r="CR32" s="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</row>
    <row r="36" spans="1:536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</row>
    <row r="37" spans="1:536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</row>
    <row r="38" spans="1:536" s="36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</row>
    <row r="39" spans="1:536" s="36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</row>
    <row r="40" spans="1:536" s="36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</row>
    <row r="41" spans="1:536" s="36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</row>
    <row r="42" spans="1:536" ht="17" x14ac:dyDescent="0.2">
      <c r="N42" s="10"/>
      <c r="O42" s="10"/>
      <c r="P42" s="10"/>
    </row>
    <row r="43" spans="1:536" ht="17" x14ac:dyDescent="0.2">
      <c r="N43" s="10"/>
      <c r="O43" s="10"/>
      <c r="P43" s="10"/>
    </row>
    <row r="44" spans="1:536" ht="17" x14ac:dyDescent="0.2">
      <c r="N44" s="10"/>
      <c r="O44" s="10"/>
      <c r="P44" s="10"/>
    </row>
    <row r="45" spans="1:536" ht="17" x14ac:dyDescent="0.2">
      <c r="N45" s="10"/>
      <c r="O45" s="10"/>
      <c r="P45" s="10"/>
    </row>
    <row r="46" spans="1:536" ht="17" x14ac:dyDescent="0.2">
      <c r="N46" s="10"/>
      <c r="O46" s="10"/>
      <c r="P46" s="10"/>
    </row>
    <row r="47" spans="1:536" ht="17" x14ac:dyDescent="0.2">
      <c r="N47" s="10"/>
      <c r="O47" s="10"/>
      <c r="P47" s="10"/>
    </row>
  </sheetData>
  <sheetProtection sheet="1" formatCells="0" formatColumns="0" formatRows="0"/>
  <autoFilter ref="A1:XL1" xr:uid="{79A460FC-9A04-AF46-8AD4-107EFB400784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6:XL15">
      <sortCondition descending="1" ref="F1:F16"/>
    </sortState>
  </autoFilter>
  <mergeCells count="108">
    <mergeCell ref="VD1:WK1"/>
    <mergeCell ref="VD2:VH2"/>
    <mergeCell ref="VI2:VM2"/>
    <mergeCell ref="VN2:VR2"/>
    <mergeCell ref="VS2:VW2"/>
    <mergeCell ref="TV1:VC1"/>
    <mergeCell ref="TV2:TZ2"/>
    <mergeCell ref="UA2:UE2"/>
    <mergeCell ref="UF2:UJ2"/>
    <mergeCell ref="UK2:UO2"/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Q2:U2"/>
    <mergeCell ref="V2:Z2"/>
    <mergeCell ref="AA2:AE2"/>
    <mergeCell ref="AR2:AV2"/>
    <mergeCell ref="AW2:BA2"/>
    <mergeCell ref="NH1:OO1"/>
    <mergeCell ref="OP1:PW1"/>
    <mergeCell ref="PX1:RE1"/>
    <mergeCell ref="RF1:SM1"/>
    <mergeCell ref="GY2:HC2"/>
    <mergeCell ref="HD2:HH2"/>
    <mergeCell ref="HI2:HM2"/>
    <mergeCell ref="IB2:IF2"/>
    <mergeCell ref="IG2:IK2"/>
    <mergeCell ref="IL2:IP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WL1:XL1"/>
    <mergeCell ref="SN1:TU1"/>
    <mergeCell ref="SN2:SR2"/>
    <mergeCell ref="SS2:SW2"/>
    <mergeCell ref="SX2:TB2"/>
    <mergeCell ref="TC2:TG2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WV2:WZ2"/>
    <mergeCell ref="RF2:RJ2"/>
    <mergeCell ref="RK2:RO2"/>
    <mergeCell ref="RP2:RT2"/>
    <mergeCell ref="RU2:RY2"/>
    <mergeCell ref="WL2:WP2"/>
    <mergeCell ref="WQ2:WU2"/>
    <mergeCell ref="LZ2:MD2"/>
    <mergeCell ref="ME2:MI2"/>
    <mergeCell ref="MJ2:MN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</mergeCells>
  <phoneticPr fontId="21" type="noConversion"/>
  <conditionalFormatting sqref="H1:H1048576">
    <cfRule type="containsText" dxfId="316" priority="70" operator="containsText" text="No DD">
      <formula>NOT(ISERROR(SEARCH("No DD",H1)))</formula>
    </cfRule>
    <cfRule type="containsText" dxfId="315" priority="71" operator="containsText" text="Merit">
      <formula>NOT(ISERROR(SEARCH("Merit",H1)))</formula>
    </cfRule>
    <cfRule type="containsText" dxfId="314" priority="72" operator="containsText" text="Excellence">
      <formula>NOT(ISERROR(SEARCH("Excellence",H1)))</formula>
    </cfRule>
    <cfRule type="containsText" dxfId="313" priority="73" operator="containsText" text="Worlds Team">
      <formula>NOT(ISERROR(SEARCH("Worlds Team",H1)))</formula>
    </cfRule>
    <cfRule type="containsText" dxfId="312" priority="74" operator="containsText" text="National Team">
      <formula>NOT(ISERROR(SEARCH("National Team",H1)))</formula>
    </cfRule>
  </conditionalFormatting>
  <conditionalFormatting sqref="A4:A1048576">
    <cfRule type="expression" dxfId="311" priority="31">
      <formula>AND(G4&lt;&gt;"",F4="")</formula>
    </cfRule>
    <cfRule type="expression" dxfId="310" priority="75">
      <formula>IF(A4&gt;4,1,0)</formula>
    </cfRule>
  </conditionalFormatting>
  <conditionalFormatting sqref="Q4:AQ15">
    <cfRule type="expression" dxfId="309" priority="76" stopIfTrue="1">
      <formula>IF($AF4&lt;&gt;"",1,0)</formula>
    </cfRule>
  </conditionalFormatting>
  <conditionalFormatting sqref="AR4:BR15">
    <cfRule type="expression" dxfId="308" priority="69" stopIfTrue="1">
      <formula>IF($BG4&lt;&gt;"",1,0)</formula>
    </cfRule>
  </conditionalFormatting>
  <conditionalFormatting sqref="BS4:CS15">
    <cfRule type="expression" dxfId="307" priority="68" stopIfTrue="1">
      <formula>IF($CH4&lt;&gt;"",1,0)</formula>
    </cfRule>
  </conditionalFormatting>
  <conditionalFormatting sqref="BO26:BO1048576 BH1:BH1048576 BK1:BK1048576 BO1:BO24">
    <cfRule type="cellIs" dxfId="306" priority="81" operator="between">
      <formula>$BR$21</formula>
      <formula>1000</formula>
    </cfRule>
    <cfRule type="cellIs" dxfId="305" priority="82" operator="between">
      <formula>$BR$20</formula>
      <formula>$BR$21</formula>
    </cfRule>
    <cfRule type="cellIs" dxfId="304" priority="83" operator="between">
      <formula>$BR$19</formula>
      <formula>$BR$20</formula>
    </cfRule>
    <cfRule type="cellIs" dxfId="303" priority="84" operator="between">
      <formula>$BR$18</formula>
      <formula>$BR$19</formula>
    </cfRule>
  </conditionalFormatting>
  <conditionalFormatting sqref="CP26:CP1048576 CI1:CI1048576 CL1:CL1048576 CP1:CP24">
    <cfRule type="cellIs" dxfId="302" priority="77" operator="between">
      <formula>$CS$21</formula>
      <formula>1000</formula>
    </cfRule>
    <cfRule type="cellIs" dxfId="301" priority="78" operator="between">
      <formula>$CS$20</formula>
      <formula>$CS$21</formula>
    </cfRule>
    <cfRule type="cellIs" dxfId="300" priority="79" operator="between">
      <formula>$CS$19</formula>
      <formula>$CS$20</formula>
    </cfRule>
    <cfRule type="cellIs" dxfId="299" priority="80" operator="between">
      <formula>$CS$18</formula>
      <formula>$CS$19</formula>
    </cfRule>
  </conditionalFormatting>
  <conditionalFormatting sqref="DZ26:DZ1048576 DP1:DP1048576 DS1:DS1048576 DW1:DW1048576 DZ1:DZ24">
    <cfRule type="cellIs" dxfId="298" priority="88" operator="between">
      <formula>$EC$21</formula>
      <formula>1000</formula>
    </cfRule>
    <cfRule type="cellIs" dxfId="297" priority="89" operator="between">
      <formula>$EC$20</formula>
      <formula>$EC$21</formula>
    </cfRule>
    <cfRule type="cellIs" dxfId="296" priority="90" operator="between">
      <formula>$EC$19</formula>
      <formula>$EC$20</formula>
    </cfRule>
    <cfRule type="cellIs" dxfId="295" priority="91" operator="between">
      <formula>$EC$18</formula>
      <formula>$EC$19</formula>
    </cfRule>
  </conditionalFormatting>
  <conditionalFormatting sqref="FH26:FH1048576 EX1:EX1048576 FA1:FA1048576 FE1:FE1048576 FH1:FH24">
    <cfRule type="cellIs" dxfId="294" priority="64" operator="between">
      <formula>$FK$21</formula>
      <formula>1000</formula>
    </cfRule>
    <cfRule type="cellIs" dxfId="293" priority="65" operator="between">
      <formula>$FK$20</formula>
      <formula>$FK$21</formula>
    </cfRule>
    <cfRule type="cellIs" dxfId="292" priority="66" operator="between">
      <formula>$FK$19</formula>
      <formula>$FK$20</formula>
    </cfRule>
    <cfRule type="cellIs" dxfId="291" priority="67" operator="between">
      <formula>$FK$18</formula>
      <formula>$FK$19</formula>
    </cfRule>
  </conditionalFormatting>
  <conditionalFormatting sqref="HX26:HX1048576 HN1:HN1048576 HQ1:HQ1048576 HU1:HU1048576 HX1:HX24">
    <cfRule type="cellIs" dxfId="290" priority="60" operator="between">
      <formula>$IA$21</formula>
      <formula>1000</formula>
    </cfRule>
    <cfRule type="cellIs" dxfId="289" priority="61" operator="between">
      <formula>$IA$20</formula>
      <formula>$IA$21</formula>
    </cfRule>
    <cfRule type="cellIs" dxfId="288" priority="62" operator="between">
      <formula>$IA$19</formula>
      <formula>$IA$20</formula>
    </cfRule>
    <cfRule type="cellIs" dxfId="287" priority="63" operator="between">
      <formula>$IA$18</formula>
      <formula>$IA$19</formula>
    </cfRule>
  </conditionalFormatting>
  <conditionalFormatting sqref="AO25 AG1:AG1048576 AJ1:AJ1048576 AN1:AN1048576">
    <cfRule type="cellIs" dxfId="286" priority="56" operator="between">
      <formula>$AQ$21</formula>
      <formula>1000</formula>
    </cfRule>
    <cfRule type="cellIs" dxfId="285" priority="57" operator="between">
      <formula>$AQ$20</formula>
      <formula>$AQ$21</formula>
    </cfRule>
    <cfRule type="cellIs" dxfId="284" priority="58" operator="between">
      <formula>$AQ$19</formula>
      <formula>$AQ$20</formula>
    </cfRule>
    <cfRule type="cellIs" dxfId="283" priority="59" operator="between">
      <formula>$AQ$18</formula>
      <formula>$AQ$19</formula>
    </cfRule>
  </conditionalFormatting>
  <conditionalFormatting sqref="BO25">
    <cfRule type="cellIs" dxfId="282" priority="52" operator="between">
      <formula>$AQ$21</formula>
      <formula>1000</formula>
    </cfRule>
    <cfRule type="cellIs" dxfId="281" priority="53" operator="between">
      <formula>$AQ$20</formula>
      <formula>$AQ$21</formula>
    </cfRule>
    <cfRule type="cellIs" dxfId="280" priority="54" operator="between">
      <formula>$AQ$19</formula>
      <formula>$AQ$20</formula>
    </cfRule>
    <cfRule type="cellIs" dxfId="279" priority="55" operator="between">
      <formula>$AQ$18</formula>
      <formula>$AQ$19</formula>
    </cfRule>
  </conditionalFormatting>
  <conditionalFormatting sqref="CP25">
    <cfRule type="cellIs" dxfId="278" priority="48" operator="between">
      <formula>$AQ$21</formula>
      <formula>1000</formula>
    </cfRule>
    <cfRule type="cellIs" dxfId="277" priority="49" operator="between">
      <formula>$AQ$20</formula>
      <formula>$AQ$21</formula>
    </cfRule>
    <cfRule type="cellIs" dxfId="276" priority="50" operator="between">
      <formula>$AQ$19</formula>
      <formula>$AQ$20</formula>
    </cfRule>
    <cfRule type="cellIs" dxfId="275" priority="51" operator="between">
      <formula>$AQ$18</formula>
      <formula>$AQ$19</formula>
    </cfRule>
  </conditionalFormatting>
  <conditionalFormatting sqref="DZ25">
    <cfRule type="cellIs" dxfId="274" priority="44" operator="between">
      <formula>$AQ$21</formula>
      <formula>1000</formula>
    </cfRule>
    <cfRule type="cellIs" dxfId="273" priority="45" operator="between">
      <formula>$AQ$20</formula>
      <formula>$AQ$21</formula>
    </cfRule>
    <cfRule type="cellIs" dxfId="272" priority="46" operator="between">
      <formula>$AQ$19</formula>
      <formula>$AQ$20</formula>
    </cfRule>
    <cfRule type="cellIs" dxfId="271" priority="47" operator="between">
      <formula>$AQ$18</formula>
      <formula>$AQ$19</formula>
    </cfRule>
  </conditionalFormatting>
  <conditionalFormatting sqref="FH25">
    <cfRule type="cellIs" dxfId="270" priority="40" operator="between">
      <formula>$AQ$21</formula>
      <formula>1000</formula>
    </cfRule>
    <cfRule type="cellIs" dxfId="269" priority="41" operator="between">
      <formula>$AQ$20</formula>
      <formula>$AQ$21</formula>
    </cfRule>
    <cfRule type="cellIs" dxfId="268" priority="42" operator="between">
      <formula>$AQ$19</formula>
      <formula>$AQ$20</formula>
    </cfRule>
    <cfRule type="cellIs" dxfId="267" priority="43" operator="between">
      <formula>$AQ$18</formula>
      <formula>$AQ$19</formula>
    </cfRule>
  </conditionalFormatting>
  <conditionalFormatting sqref="HX25">
    <cfRule type="cellIs" dxfId="266" priority="36" operator="between">
      <formula>$AQ$21</formula>
      <formula>1000</formula>
    </cfRule>
    <cfRule type="cellIs" dxfId="265" priority="37" operator="between">
      <formula>$AQ$20</formula>
      <formula>$AQ$21</formula>
    </cfRule>
    <cfRule type="cellIs" dxfId="264" priority="38" operator="between">
      <formula>$AQ$19</formula>
      <formula>$AQ$20</formula>
    </cfRule>
    <cfRule type="cellIs" dxfId="263" priority="39" operator="between">
      <formula>$AQ$18</formula>
      <formula>$AQ$19</formula>
    </cfRule>
  </conditionalFormatting>
  <conditionalFormatting sqref="GP26:GP1048576 GF1:GF1048576 GI1:GI1048576 GM1:GM1048576 GP1:GP24">
    <cfRule type="cellIs" dxfId="262" priority="119" operator="between">
      <formula>$GS$21</formula>
      <formula>1000</formula>
    </cfRule>
    <cfRule type="cellIs" dxfId="261" priority="120" operator="between">
      <formula>$GS$20</formula>
      <formula>$GS$21</formula>
    </cfRule>
    <cfRule type="cellIs" dxfId="260" priority="121" operator="between">
      <formula>$GS$19</formula>
      <formula>$GS$20</formula>
    </cfRule>
    <cfRule type="cellIs" dxfId="259" priority="122" operator="between">
      <formula>$GS$18</formula>
      <formula>$GS$19</formula>
    </cfRule>
  </conditionalFormatting>
  <conditionalFormatting sqref="GP25">
    <cfRule type="cellIs" dxfId="258" priority="32" operator="between">
      <formula>$AQ$21</formula>
      <formula>1000</formula>
    </cfRule>
    <cfRule type="cellIs" dxfId="257" priority="33" operator="between">
      <formula>$AQ$20</formula>
      <formula>$AQ$21</formula>
    </cfRule>
    <cfRule type="cellIs" dxfId="256" priority="34" operator="between">
      <formula>$AQ$19</formula>
      <formula>$AQ$20</formula>
    </cfRule>
    <cfRule type="cellIs" dxfId="255" priority="35" operator="between">
      <formula>$AQ$18</formula>
      <formula>$AQ$19</formula>
    </cfRule>
  </conditionalFormatting>
  <conditionalFormatting sqref="K1:K1048576 M1:M1048576">
    <cfRule type="expression" dxfId="254" priority="85" stopIfTrue="1">
      <formula>IF(K1=$BS$1,1,0)</formula>
    </cfRule>
    <cfRule type="expression" dxfId="253" priority="86">
      <formula>IF(K1=$AR$1,1,0)</formula>
    </cfRule>
    <cfRule type="expression" dxfId="252" priority="87">
      <formula>IF(K1=$Q$1,1,0)</formula>
    </cfRule>
  </conditionalFormatting>
  <conditionalFormatting sqref="CN1:CN1048576 AL1:AL1048576">
    <cfRule type="cellIs" dxfId="251" priority="123204" operator="between">
      <formula>AQ$25</formula>
      <formula>1000</formula>
    </cfRule>
    <cfRule type="cellIs" dxfId="250" priority="123205" operator="between">
      <formula>AQ$24</formula>
      <formula>AQ$25</formula>
    </cfRule>
  </conditionalFormatting>
  <conditionalFormatting sqref="DU1:DU1048576 FC1:FC1048576 GK1:GK1048576 HS1:HS1048576 JA1:JA1048576 KI1:KI1048576 LQ1:LQ1048576 MY1:MY1048576 OG1:OG1048576 PO1:PO1048576 QW1:QW1048576 SE1:SE1048576 TM1:TM25 UU1:UU25 WC1:WC25">
    <cfRule type="cellIs" dxfId="249" priority="123216" operator="between">
      <formula>EC$25</formula>
      <formula>1000</formula>
    </cfRule>
    <cfRule type="cellIs" dxfId="248" priority="123217" operator="between">
      <formula>EC$24</formula>
      <formula>EC$25</formula>
    </cfRule>
  </conditionalFormatting>
  <conditionalFormatting sqref="AI1:AI1048576 AL1:AL1048576 AP1:AP1048576">
    <cfRule type="cellIs" dxfId="247" priority="123300" operator="between">
      <formula>$AQ$25</formula>
      <formula>1000</formula>
    </cfRule>
    <cfRule type="cellIs" dxfId="246" priority="123301" operator="between">
      <formula>$AQ$24</formula>
      <formula>$AQ$25</formula>
    </cfRule>
    <cfRule type="cellIs" dxfId="245" priority="123302" operator="between">
      <formula>$AQ$23</formula>
      <formula>$AQ$24</formula>
    </cfRule>
    <cfRule type="cellIs" dxfId="244" priority="123303" operator="between">
      <formula>$AQ$22</formula>
      <formula>$AQ$23</formula>
    </cfRule>
  </conditionalFormatting>
  <conditionalFormatting sqref="BJ1:BJ1048576 BM1:BM1048576 BQ1:BQ1048576">
    <cfRule type="cellIs" dxfId="243" priority="123336" operator="between">
      <formula>$BR$25</formula>
      <formula>1000</formula>
    </cfRule>
    <cfRule type="cellIs" dxfId="242" priority="123337" operator="between">
      <formula>$BR$24</formula>
      <formula>$BR$25</formula>
    </cfRule>
    <cfRule type="cellIs" dxfId="241" priority="123338" operator="between">
      <formula>$BR$23</formula>
      <formula>$BR$24</formula>
    </cfRule>
    <cfRule type="cellIs" dxfId="240" priority="123339" operator="between">
      <formula>$BR$22</formula>
      <formula>$BR$23</formula>
    </cfRule>
  </conditionalFormatting>
  <conditionalFormatting sqref="CK1:CK1048576 CN1:CN1048576 CR1:CR1048576">
    <cfRule type="cellIs" dxfId="239" priority="123372" operator="between">
      <formula>$CS$25</formula>
      <formula>1000</formula>
    </cfRule>
    <cfRule type="cellIs" dxfId="238" priority="123373" operator="between">
      <formula>$CS$24</formula>
      <formula>$CS$25</formula>
    </cfRule>
    <cfRule type="cellIs" dxfId="237" priority="123374" operator="between">
      <formula>$CS$23</formula>
      <formula>$CS$24</formula>
    </cfRule>
    <cfRule type="cellIs" dxfId="236" priority="123375" operator="between">
      <formula>$CS$22</formula>
      <formula>$CS$23</formula>
    </cfRule>
  </conditionalFormatting>
  <conditionalFormatting sqref="MT1:MT1048576 MW1:MW1048576 NA1:NA1048576 ND1:ND1048576">
    <cfRule type="cellIs" dxfId="235" priority="123408" operator="between">
      <formula>$NG$18</formula>
      <formula>$NG$19</formula>
    </cfRule>
    <cfRule type="cellIs" dxfId="234" priority="123409" operator="between">
      <formula>$NG$19</formula>
      <formula>$NG$20</formula>
    </cfRule>
    <cfRule type="cellIs" dxfId="233" priority="123410" stopIfTrue="1" operator="between">
      <formula>$NG$20</formula>
      <formula>$NG$21</formula>
    </cfRule>
    <cfRule type="cellIs" dxfId="232" priority="123411" stopIfTrue="1" operator="between">
      <formula>$NG$21</formula>
      <formula>1000</formula>
    </cfRule>
  </conditionalFormatting>
  <conditionalFormatting sqref="DR1:DR1048576 DU1:DU1048576 DY1:DY1048576 EB1:EB1048576">
    <cfRule type="cellIs" dxfId="231" priority="123456" operator="between">
      <formula>$EC$25</formula>
      <formula>1000</formula>
    </cfRule>
    <cfRule type="cellIs" dxfId="230" priority="123457" operator="between">
      <formula>$EC$24</formula>
      <formula>$EC$25</formula>
    </cfRule>
    <cfRule type="cellIs" dxfId="229" priority="123458" operator="between">
      <formula>$EC$23</formula>
      <formula>$EC$24</formula>
    </cfRule>
    <cfRule type="cellIs" dxfId="228" priority="123459" operator="between">
      <formula>$EC$22</formula>
      <formula>$EC$23</formula>
    </cfRule>
  </conditionalFormatting>
  <conditionalFormatting sqref="EZ1:EZ1048576 FC1:FC1048576 FG1:FG1048576 FJ1:FJ1048576">
    <cfRule type="cellIs" dxfId="227" priority="123504" operator="between">
      <formula>$FK$25</formula>
      <formula>1000</formula>
    </cfRule>
    <cfRule type="cellIs" dxfId="226" priority="123505" operator="between">
      <formula>$FK$24</formula>
      <formula>$FK$25</formula>
    </cfRule>
    <cfRule type="cellIs" dxfId="225" priority="123506" operator="between">
      <formula>$FK$23</formula>
      <formula>$FK$24</formula>
    </cfRule>
    <cfRule type="cellIs" dxfId="224" priority="123507" operator="between">
      <formula>$FK$22</formula>
      <formula>$FK$23</formula>
    </cfRule>
  </conditionalFormatting>
  <conditionalFormatting sqref="GH1:GH1048576 GK1:GK1048576 GO1:GO1048576 GR1:GR1048576">
    <cfRule type="cellIs" dxfId="223" priority="123552" operator="between">
      <formula>$GS$25</formula>
      <formula>1000</formula>
    </cfRule>
    <cfRule type="cellIs" dxfId="222" priority="123553" operator="between">
      <formula>$GS$24</formula>
      <formula>$GS$25</formula>
    </cfRule>
    <cfRule type="cellIs" dxfId="221" priority="123554" operator="between">
      <formula>$GS$23</formula>
      <formula>$GS$24</formula>
    </cfRule>
    <cfRule type="cellIs" dxfId="220" priority="123555" operator="between">
      <formula>$GS$22</formula>
      <formula>$GS$23</formula>
    </cfRule>
  </conditionalFormatting>
  <conditionalFormatting sqref="HP1:HP1048576 HS1:HS1048576 HW1:HW1048576 HZ1:HZ1048576">
    <cfRule type="cellIs" dxfId="219" priority="123600" operator="between">
      <formula>$IA$25</formula>
      <formula>1000</formula>
    </cfRule>
    <cfRule type="cellIs" dxfId="218" priority="123601" operator="between">
      <formula>$IA$24</formula>
      <formula>$IA$25</formula>
    </cfRule>
    <cfRule type="cellIs" dxfId="217" priority="123602" operator="between">
      <formula>$IA$23</formula>
      <formula>$IA$24</formula>
    </cfRule>
    <cfRule type="cellIs" dxfId="216" priority="123603" operator="between">
      <formula>$IA$22</formula>
      <formula>$IA$23</formula>
    </cfRule>
  </conditionalFormatting>
  <conditionalFormatting sqref="IV1:IV1048576 IY1:IY1048576 JC1:JC1048576 JF1:JF1048576">
    <cfRule type="cellIs" dxfId="215" priority="123648" operator="between">
      <formula>$JI$21</formula>
      <formula>1000</formula>
    </cfRule>
    <cfRule type="cellIs" dxfId="214" priority="123649" operator="between">
      <formula>$JI$20</formula>
      <formula>$JI$21</formula>
    </cfRule>
    <cfRule type="cellIs" dxfId="213" priority="123650" operator="between">
      <formula>$JI$19</formula>
      <formula>$JI$20</formula>
    </cfRule>
    <cfRule type="cellIs" dxfId="212" priority="123651" operator="between">
      <formula>$JI$18</formula>
      <formula>$JI$19</formula>
    </cfRule>
  </conditionalFormatting>
  <conditionalFormatting sqref="IX1:IX1048576 JA1:JA1048576 JE1:JE1048576 JH1:JH1048576">
    <cfRule type="cellIs" dxfId="211" priority="123696" operator="between">
      <formula>$JI$25</formula>
      <formula>1000</formula>
    </cfRule>
    <cfRule type="cellIs" dxfId="210" priority="123697" operator="between">
      <formula>$JI$24</formula>
      <formula>$JI$25</formula>
    </cfRule>
    <cfRule type="cellIs" dxfId="209" priority="123698" operator="between">
      <formula>$JI$23</formula>
      <formula>$JI$24</formula>
    </cfRule>
    <cfRule type="cellIs" dxfId="208" priority="123699" operator="between">
      <formula>$JI$22</formula>
      <formula>$JI$23</formula>
    </cfRule>
  </conditionalFormatting>
  <conditionalFormatting sqref="KD1:KD1048576 KG1:KG1048576 KK1:KK1048576 KN1:KN1048576">
    <cfRule type="cellIs" dxfId="207" priority="123744" operator="between">
      <formula>$KQ$21</formula>
      <formula>1000</formula>
    </cfRule>
    <cfRule type="cellIs" dxfId="206" priority="123745" operator="between">
      <formula>$KQ$20</formula>
      <formula>$KQ$21</formula>
    </cfRule>
    <cfRule type="cellIs" dxfId="205" priority="123746" operator="between">
      <formula>$KQ$19</formula>
      <formula>$KQ$20</formula>
    </cfRule>
    <cfRule type="cellIs" dxfId="204" priority="123747" operator="between">
      <formula>$KQ$18</formula>
      <formula>$KQ$19</formula>
    </cfRule>
  </conditionalFormatting>
  <conditionalFormatting sqref="KF1:KF1048576 KI1:KI1048576 KM1:KM1048576 KP1:KP1048576">
    <cfRule type="cellIs" dxfId="203" priority="123792" operator="between">
      <formula>$KQ$25</formula>
      <formula>1000</formula>
    </cfRule>
    <cfRule type="cellIs" dxfId="202" priority="123793" operator="between">
      <formula>$KQ$24</formula>
      <formula>$KQ$25</formula>
    </cfRule>
    <cfRule type="cellIs" dxfId="201" priority="123794" operator="between">
      <formula>$KQ$23</formula>
      <formula>$KQ$24</formula>
    </cfRule>
    <cfRule type="cellIs" dxfId="200" priority="123795" operator="between">
      <formula>$KQ$22</formula>
      <formula>$KQ$23</formula>
    </cfRule>
  </conditionalFormatting>
  <conditionalFormatting sqref="LL1:LL1048576 LO1:LO1048576 LS1:LS1048576 LV1:LV1048576">
    <cfRule type="cellIs" dxfId="199" priority="123840" operator="between">
      <formula>$LY$21</formula>
      <formula>1000</formula>
    </cfRule>
    <cfRule type="cellIs" dxfId="198" priority="123841" operator="between">
      <formula>$LY$20</formula>
      <formula>$LY$21</formula>
    </cfRule>
    <cfRule type="cellIs" dxfId="197" priority="123842" operator="between">
      <formula>$LY$19</formula>
      <formula>$LY$20</formula>
    </cfRule>
    <cfRule type="cellIs" dxfId="196" priority="123843" operator="between">
      <formula>$LY$18</formula>
      <formula>$LY$19</formula>
    </cfRule>
  </conditionalFormatting>
  <conditionalFormatting sqref="LN1:LN1048576 LQ1:LQ1048576 LU1:LU1048576 LX1:LX1048576">
    <cfRule type="cellIs" dxfId="195" priority="123888" operator="between">
      <formula>$LY$25</formula>
      <formula>1000</formula>
    </cfRule>
    <cfRule type="cellIs" dxfId="194" priority="123889" operator="between">
      <formula>$LY$24</formula>
      <formula>$LY$25</formula>
    </cfRule>
    <cfRule type="cellIs" dxfId="193" priority="123890" operator="between">
      <formula>$LY$23</formula>
      <formula>$LY$24</formula>
    </cfRule>
    <cfRule type="cellIs" dxfId="192" priority="123891" operator="between">
      <formula>$LY$22</formula>
      <formula>$LY$23</formula>
    </cfRule>
  </conditionalFormatting>
  <conditionalFormatting sqref="MV1:MV1048576 MY1:MY1048576 NC1:NC1048576 NF1:NF1048576">
    <cfRule type="cellIs" dxfId="191" priority="123936" operator="between">
      <formula>$NG$25</formula>
      <formula>1000</formula>
    </cfRule>
    <cfRule type="cellIs" dxfId="190" priority="123937" operator="between">
      <formula>$NG$24</formula>
      <formula>$NG$25</formula>
    </cfRule>
    <cfRule type="cellIs" dxfId="189" priority="123938" operator="between">
      <formula>$NG$23</formula>
      <formula>$NG$24</formula>
    </cfRule>
    <cfRule type="cellIs" dxfId="188" priority="123939" operator="between">
      <formula>$NG$22</formula>
      <formula>$NG$23</formula>
    </cfRule>
  </conditionalFormatting>
  <conditionalFormatting sqref="OB1:OB1048576 OE1:OE1048576 OI1:OI1048576 OL1:OL1048576">
    <cfRule type="cellIs" dxfId="187" priority="123984" operator="between">
      <formula>$OO$21</formula>
      <formula>1000</formula>
    </cfRule>
    <cfRule type="cellIs" dxfId="186" priority="123985" operator="between">
      <formula>$OO$20</formula>
      <formula>$OO$21</formula>
    </cfRule>
    <cfRule type="cellIs" dxfId="185" priority="123986" operator="between">
      <formula>$OO$19</formula>
      <formula>$OO$20</formula>
    </cfRule>
    <cfRule type="cellIs" dxfId="184" priority="123987" operator="between">
      <formula>$OO$18</formula>
      <formula>$OO$19</formula>
    </cfRule>
  </conditionalFormatting>
  <conditionalFormatting sqref="OD1:OD1048576 OG1:OG1048576 OK1:OK1048576 ON1:ON1048576">
    <cfRule type="cellIs" dxfId="183" priority="124032" operator="between">
      <formula>$OO$25</formula>
      <formula>1000</formula>
    </cfRule>
    <cfRule type="cellIs" dxfId="182" priority="124033" operator="between">
      <formula>$OO$24</formula>
      <formula>$OO$25</formula>
    </cfRule>
    <cfRule type="cellIs" dxfId="181" priority="124034" operator="between">
      <formula>$OO$23</formula>
      <formula>$OO$24</formula>
    </cfRule>
    <cfRule type="cellIs" dxfId="180" priority="124035" operator="between">
      <formula>$OO$22</formula>
      <formula>$OO$23</formula>
    </cfRule>
  </conditionalFormatting>
  <conditionalFormatting sqref="PJ1:PJ1048576 PM1:PM1048576 PQ1:PQ1048576 PT1:PT1048576">
    <cfRule type="cellIs" dxfId="179" priority="124080" operator="between">
      <formula>$PW$21</formula>
      <formula>1000</formula>
    </cfRule>
    <cfRule type="cellIs" dxfId="178" priority="124081" operator="between">
      <formula>$PW$20</formula>
      <formula>$PW$21</formula>
    </cfRule>
    <cfRule type="cellIs" dxfId="177" priority="124082" operator="between">
      <formula>$PW$19</formula>
      <formula>$PW$20</formula>
    </cfRule>
    <cfRule type="cellIs" dxfId="176" priority="124083" operator="between">
      <formula>$PW$18</formula>
      <formula>$PW$19</formula>
    </cfRule>
  </conditionalFormatting>
  <conditionalFormatting sqref="PL1:PL1048576 PO1:PO1048576 PS1:PS1048576 PV1:PV1048576">
    <cfRule type="cellIs" dxfId="175" priority="124128" operator="between">
      <formula>$PW$25</formula>
      <formula>1000</formula>
    </cfRule>
    <cfRule type="cellIs" dxfId="174" priority="124129" operator="between">
      <formula>$PW$24</formula>
      <formula>$PW$25</formula>
    </cfRule>
    <cfRule type="cellIs" dxfId="173" priority="124130" operator="between">
      <formula>$PW$23</formula>
      <formula>$PW$24</formula>
    </cfRule>
    <cfRule type="cellIs" dxfId="172" priority="124131" operator="between">
      <formula>$PW$22</formula>
      <formula>$PW$23</formula>
    </cfRule>
  </conditionalFormatting>
  <conditionalFormatting sqref="QR1:QR1048576 QU1:QU1048576 QY1:QY1048576 RB1:RB1048576">
    <cfRule type="cellIs" dxfId="171" priority="124176" operator="between">
      <formula>$RE$21</formula>
      <formula>1000</formula>
    </cfRule>
    <cfRule type="cellIs" dxfId="170" priority="124177" operator="between">
      <formula>$RE$20</formula>
      <formula>$RE$21</formula>
    </cfRule>
    <cfRule type="cellIs" dxfId="169" priority="124178" operator="between">
      <formula>$RE$19</formula>
      <formula>$RE$20</formula>
    </cfRule>
    <cfRule type="cellIs" dxfId="168" priority="124179" operator="between">
      <formula>$RE$18</formula>
      <formula>$RE$19</formula>
    </cfRule>
  </conditionalFormatting>
  <conditionalFormatting sqref="QT1:QT1048576 QW1:QW1048576 RA1:RA1048576 RD1:RD1048576">
    <cfRule type="cellIs" dxfId="167" priority="124224" operator="between">
      <formula>$RE$25</formula>
      <formula>1000</formula>
    </cfRule>
    <cfRule type="cellIs" dxfId="166" priority="124225" operator="between">
      <formula>$RE$24</formula>
      <formula>$RE$25</formula>
    </cfRule>
    <cfRule type="cellIs" dxfId="165" priority="124226" operator="between">
      <formula>$RE$23</formula>
      <formula>$RE$24</formula>
    </cfRule>
    <cfRule type="cellIs" dxfId="164" priority="124227" operator="between">
      <formula>$RE$22</formula>
      <formula>$RE$23</formula>
    </cfRule>
  </conditionalFormatting>
  <conditionalFormatting sqref="RZ1:RZ1048576 SC1:SC1048576 SG1:SG1048576 SJ1:SJ1048576 TK1:TK25 TO1:TO25 TR1:TR25 US1:US25 UW1:UW25 UZ1:UZ25 WA1:WA25 WE1:WE25 WH1:WH25 TH1:TH25 UP1:UP25 VX1:VX25">
    <cfRule type="cellIs" dxfId="163" priority="124272" operator="between">
      <formula>$SM$21</formula>
      <formula>1000</formula>
    </cfRule>
    <cfRule type="cellIs" dxfId="162" priority="124273" operator="between">
      <formula>$SM$20</formula>
      <formula>$SM$21</formula>
    </cfRule>
    <cfRule type="cellIs" dxfId="161" priority="124274" operator="between">
      <formula>$SM$19</formula>
      <formula>$SM$20</formula>
    </cfRule>
    <cfRule type="cellIs" dxfId="160" priority="124275" operator="between">
      <formula>$SM$18</formula>
      <formula>$SM$19</formula>
    </cfRule>
  </conditionalFormatting>
  <conditionalFormatting sqref="SB1:SB1048576 SE1:SE1048576 SI1:SI1048576 SL1:SL1048576 TM1:TM25 TQ1:TQ25 TT1:TT25 UU1:UU25 UY1:UY25 VB1:VB25 WC1:WC25 WG1:WG25 WJ1:WJ25 TJ1:TJ25 UR1:UR25 VZ1:VZ25">
    <cfRule type="cellIs" dxfId="159" priority="124416" operator="between">
      <formula>$SM$25</formula>
      <formula>1000</formula>
    </cfRule>
    <cfRule type="cellIs" dxfId="158" priority="124417" operator="between">
      <formula>$SM$24</formula>
      <formula>$SM$25</formula>
    </cfRule>
    <cfRule type="cellIs" dxfId="157" priority="124418" operator="between">
      <formula>$SM$23</formula>
      <formula>$SM$24</formula>
    </cfRule>
    <cfRule type="cellIs" dxfId="156" priority="124419" operator="between">
      <formula>$SM$22</formula>
      <formula>$SM$23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UM2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hidden="1" customWidth="1"/>
    <col min="195" max="214" width="10.83203125" hidden="1" customWidth="1"/>
    <col min="215" max="222" width="10.83203125" style="36" hidden="1" customWidth="1"/>
    <col min="223" max="242" width="10.83203125" hidden="1" customWidth="1"/>
    <col min="243" max="250" width="10.83203125" style="36" hidden="1" customWidth="1"/>
    <col min="251" max="270" width="10.83203125" hidden="1" customWidth="1"/>
    <col min="271" max="278" width="10.83203125" style="36" hidden="1" customWidth="1"/>
    <col min="279" max="298" width="10.83203125" hidden="1" customWidth="1"/>
    <col min="299" max="306" width="10.83203125" style="36" hidden="1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  <col min="476" max="559" width="10.83203125" hidden="1" customWidth="1"/>
  </cols>
  <sheetData>
    <row r="1" spans="1:559" ht="16" customHeight="1" x14ac:dyDescent="0.2">
      <c r="A1" s="64" t="s">
        <v>1</v>
      </c>
      <c r="B1" s="64" t="s">
        <v>27</v>
      </c>
      <c r="C1" s="64" t="s">
        <v>0</v>
      </c>
      <c r="D1" s="64" t="s">
        <v>55</v>
      </c>
      <c r="E1" s="64" t="s">
        <v>2</v>
      </c>
      <c r="F1" s="65" t="s">
        <v>61</v>
      </c>
      <c r="G1" s="65" t="s">
        <v>10</v>
      </c>
      <c r="H1" s="64" t="s">
        <v>11</v>
      </c>
      <c r="I1" s="65" t="s">
        <v>83</v>
      </c>
      <c r="J1" s="70" t="s">
        <v>114</v>
      </c>
      <c r="K1" s="66" t="s">
        <v>30</v>
      </c>
      <c r="L1" s="70" t="s">
        <v>115</v>
      </c>
      <c r="M1" s="66" t="s">
        <v>30</v>
      </c>
      <c r="N1" s="70" t="s">
        <v>116</v>
      </c>
      <c r="O1" s="66" t="s">
        <v>30</v>
      </c>
      <c r="P1" s="66" t="s">
        <v>12</v>
      </c>
      <c r="Q1" s="66" t="s">
        <v>30</v>
      </c>
      <c r="R1" s="69" t="s">
        <v>13</v>
      </c>
      <c r="S1" s="66" t="s">
        <v>31</v>
      </c>
      <c r="T1" s="66" t="s">
        <v>30</v>
      </c>
      <c r="U1" s="67" t="s">
        <v>193</v>
      </c>
      <c r="V1" s="67"/>
      <c r="W1" s="67"/>
      <c r="X1" s="67"/>
      <c r="Y1" s="67"/>
      <c r="Z1" s="67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7"/>
      <c r="AT1" s="67"/>
      <c r="AU1" s="67"/>
      <c r="AV1" s="67"/>
      <c r="AW1" s="67"/>
      <c r="AX1" s="72" t="s">
        <v>232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67" t="s">
        <v>253</v>
      </c>
      <c r="CB1" s="67"/>
      <c r="CC1" s="67"/>
      <c r="CD1" s="67"/>
      <c r="CE1" s="67"/>
      <c r="CF1" s="67"/>
      <c r="CG1" s="67"/>
      <c r="CH1" s="67"/>
      <c r="CI1" s="67"/>
      <c r="CJ1" s="67"/>
      <c r="CK1" s="67"/>
      <c r="CL1" s="67"/>
      <c r="CM1" s="67"/>
      <c r="CN1" s="67"/>
      <c r="CO1" s="67"/>
      <c r="CP1" s="67"/>
      <c r="CQ1" s="67"/>
      <c r="CR1" s="67"/>
      <c r="CS1" s="67"/>
      <c r="CT1" s="67"/>
      <c r="CU1" s="67"/>
      <c r="CV1" s="67"/>
      <c r="CW1" s="67"/>
      <c r="CX1" s="67"/>
      <c r="CY1" s="67"/>
      <c r="CZ1" s="67"/>
      <c r="DA1" s="67"/>
      <c r="DB1" s="67"/>
      <c r="DC1" s="67"/>
      <c r="DD1" s="73" t="s">
        <v>60</v>
      </c>
      <c r="DE1" s="73"/>
      <c r="DF1" s="73"/>
      <c r="DG1" s="67" t="s">
        <v>245</v>
      </c>
      <c r="DH1" s="67"/>
      <c r="DI1" s="67"/>
      <c r="DJ1" s="67"/>
      <c r="DK1" s="67"/>
      <c r="DL1" s="67"/>
      <c r="DM1" s="67"/>
      <c r="DN1" s="67"/>
      <c r="DO1" s="67"/>
      <c r="DP1" s="67"/>
      <c r="DQ1" s="67"/>
      <c r="DR1" s="67"/>
      <c r="DS1" s="67"/>
      <c r="DT1" s="67"/>
      <c r="DU1" s="67"/>
      <c r="DV1" s="67"/>
      <c r="DW1" s="67"/>
      <c r="DX1" s="67"/>
      <c r="DY1" s="67"/>
      <c r="DZ1" s="67"/>
      <c r="EA1" s="67"/>
      <c r="EB1" s="67"/>
      <c r="EC1" s="67"/>
      <c r="ED1" s="67"/>
      <c r="EE1" s="67"/>
      <c r="EF1" s="67"/>
      <c r="EG1" s="67"/>
      <c r="EH1" s="67"/>
      <c r="EI1" s="72" t="s">
        <v>244</v>
      </c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67"/>
      <c r="FL1" s="67"/>
      <c r="FM1" s="67"/>
      <c r="FN1" s="67"/>
      <c r="FO1" s="67"/>
      <c r="FP1" s="67"/>
      <c r="FQ1" s="67"/>
      <c r="FR1" s="67"/>
      <c r="FS1" s="67"/>
      <c r="FT1" s="67"/>
      <c r="FU1" s="67"/>
      <c r="FV1" s="67"/>
      <c r="FW1" s="67"/>
      <c r="FX1" s="67"/>
      <c r="FY1" s="67"/>
      <c r="FZ1" s="67"/>
      <c r="GA1" s="67"/>
      <c r="GB1" s="67"/>
      <c r="GC1" s="67"/>
      <c r="GD1" s="67"/>
      <c r="GE1" s="67"/>
      <c r="GF1" s="67"/>
      <c r="GG1" s="67"/>
      <c r="GH1" s="67"/>
      <c r="GI1" s="67"/>
      <c r="GJ1" s="67"/>
      <c r="GK1" s="67"/>
      <c r="GL1" s="67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67"/>
      <c r="HP1" s="67"/>
      <c r="HQ1" s="67"/>
      <c r="HR1" s="67"/>
      <c r="HS1" s="67"/>
      <c r="HT1" s="67"/>
      <c r="HU1" s="67"/>
      <c r="HV1" s="67"/>
      <c r="HW1" s="67"/>
      <c r="HX1" s="67"/>
      <c r="HY1" s="67"/>
      <c r="HZ1" s="67"/>
      <c r="IA1" s="67"/>
      <c r="IB1" s="67"/>
      <c r="IC1" s="67"/>
      <c r="ID1" s="67"/>
      <c r="IE1" s="67"/>
      <c r="IF1" s="67"/>
      <c r="IG1" s="67"/>
      <c r="IH1" s="67"/>
      <c r="II1" s="67"/>
      <c r="IJ1" s="67"/>
      <c r="IK1" s="67"/>
      <c r="IL1" s="67"/>
      <c r="IM1" s="67"/>
      <c r="IN1" s="67"/>
      <c r="IO1" s="67"/>
      <c r="IP1" s="67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67"/>
      <c r="JT1" s="67"/>
      <c r="JU1" s="67"/>
      <c r="JV1" s="67"/>
      <c r="JW1" s="67"/>
      <c r="JX1" s="67"/>
      <c r="JY1" s="67"/>
      <c r="JZ1" s="67"/>
      <c r="KA1" s="67"/>
      <c r="KB1" s="67"/>
      <c r="KC1" s="67"/>
      <c r="KD1" s="67"/>
      <c r="KE1" s="67"/>
      <c r="KF1" s="67"/>
      <c r="KG1" s="67"/>
      <c r="KH1" s="67"/>
      <c r="KI1" s="67"/>
      <c r="KJ1" s="67"/>
      <c r="KK1" s="67"/>
      <c r="KL1" s="67"/>
      <c r="KM1" s="67"/>
      <c r="KN1" s="67"/>
      <c r="KO1" s="67"/>
      <c r="KP1" s="67"/>
      <c r="KQ1" s="67"/>
      <c r="KR1" s="67"/>
      <c r="KS1" s="67"/>
      <c r="KT1" s="67"/>
      <c r="KU1" s="72"/>
      <c r="KV1" s="72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67"/>
      <c r="LX1" s="67"/>
      <c r="LY1" s="67"/>
      <c r="LZ1" s="67"/>
      <c r="MA1" s="67"/>
      <c r="MB1" s="67"/>
      <c r="MC1" s="67"/>
      <c r="MD1" s="67"/>
      <c r="ME1" s="67"/>
      <c r="MF1" s="67"/>
      <c r="MG1" s="67"/>
      <c r="MH1" s="67"/>
      <c r="MI1" s="67"/>
      <c r="MJ1" s="67"/>
      <c r="MK1" s="67"/>
      <c r="ML1" s="67"/>
      <c r="MM1" s="67"/>
      <c r="MN1" s="67"/>
      <c r="MO1" s="67"/>
      <c r="MP1" s="67"/>
      <c r="MQ1" s="67"/>
      <c r="MR1" s="67"/>
      <c r="MS1" s="67"/>
      <c r="MT1" s="67"/>
      <c r="MU1" s="67"/>
      <c r="MV1" s="67"/>
      <c r="MW1" s="67"/>
      <c r="MX1" s="67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67"/>
      <c r="OB1" s="67"/>
      <c r="OC1" s="67"/>
      <c r="OD1" s="67"/>
      <c r="OE1" s="67"/>
      <c r="OF1" s="67"/>
      <c r="OG1" s="67"/>
      <c r="OH1" s="67"/>
      <c r="OI1" s="67"/>
      <c r="OJ1" s="67"/>
      <c r="OK1" s="67"/>
      <c r="OL1" s="67"/>
      <c r="OM1" s="67"/>
      <c r="ON1" s="67"/>
      <c r="OO1" s="67"/>
      <c r="OP1" s="67"/>
      <c r="OQ1" s="67"/>
      <c r="OR1" s="67"/>
      <c r="OS1" s="67"/>
      <c r="OT1" s="67"/>
      <c r="OU1" s="67"/>
      <c r="OV1" s="67"/>
      <c r="OW1" s="67"/>
      <c r="OX1" s="67"/>
      <c r="OY1" s="67"/>
      <c r="OZ1" s="67"/>
      <c r="PA1" s="67"/>
      <c r="PB1" s="67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67"/>
      <c r="QF1" s="67"/>
      <c r="QG1" s="67"/>
      <c r="QH1" s="67"/>
      <c r="QI1" s="67"/>
      <c r="QJ1" s="67"/>
      <c r="QK1" s="67"/>
      <c r="QL1" s="67"/>
      <c r="QM1" s="67"/>
      <c r="QN1" s="67"/>
      <c r="QO1" s="67"/>
      <c r="QP1" s="67"/>
      <c r="QQ1" s="67"/>
      <c r="QR1" s="67"/>
      <c r="QS1" s="67"/>
      <c r="QT1" s="67"/>
      <c r="QU1" s="67"/>
      <c r="QV1" s="67"/>
      <c r="QW1" s="67"/>
      <c r="QX1" s="67"/>
      <c r="QY1" s="67"/>
      <c r="QZ1" s="67"/>
      <c r="RA1" s="67"/>
      <c r="RB1" s="67"/>
      <c r="RC1" s="67"/>
      <c r="RD1" s="67"/>
      <c r="RE1" s="67"/>
      <c r="RF1" s="67"/>
      <c r="RG1" s="72"/>
      <c r="RH1" s="72"/>
      <c r="RI1" s="72"/>
      <c r="RJ1" s="72"/>
      <c r="RK1" s="72"/>
      <c r="RL1" s="72"/>
      <c r="RM1" s="72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67"/>
      <c r="SJ1" s="67"/>
      <c r="SK1" s="67"/>
      <c r="SL1" s="67"/>
      <c r="SM1" s="67"/>
      <c r="SN1" s="67"/>
      <c r="SO1" s="67"/>
      <c r="SP1" s="67"/>
      <c r="SQ1" s="67"/>
      <c r="SR1" s="67"/>
      <c r="SS1" s="67"/>
      <c r="ST1" s="67"/>
      <c r="SU1" s="67"/>
      <c r="SV1" s="67"/>
      <c r="SW1" s="67"/>
      <c r="SX1" s="67"/>
      <c r="SY1" s="67"/>
      <c r="SZ1" s="67"/>
      <c r="TA1" s="67"/>
      <c r="TB1" s="67"/>
      <c r="TC1" s="67"/>
      <c r="TD1" s="67"/>
      <c r="TE1" s="67"/>
      <c r="TF1" s="67"/>
      <c r="TG1" s="67"/>
      <c r="TH1" s="67"/>
      <c r="TI1" s="67"/>
      <c r="TJ1" s="67"/>
      <c r="TK1" s="72" t="s">
        <v>64</v>
      </c>
      <c r="TL1" s="72"/>
      <c r="TM1" s="72"/>
      <c r="TN1" s="72"/>
      <c r="TO1" s="72"/>
      <c r="TP1" s="72"/>
      <c r="TQ1" s="72"/>
      <c r="TR1" s="72"/>
      <c r="TS1" s="72"/>
      <c r="TT1" s="72"/>
      <c r="TU1" s="72"/>
      <c r="TV1" s="72"/>
      <c r="TW1" s="72"/>
      <c r="TX1" s="72"/>
      <c r="TY1" s="72"/>
      <c r="TZ1" s="72"/>
      <c r="UA1" s="72"/>
      <c r="UB1" s="72"/>
      <c r="UC1" s="72"/>
      <c r="UD1" s="72"/>
      <c r="UE1" s="72"/>
      <c r="UF1" s="72"/>
      <c r="UG1" s="72"/>
      <c r="UH1" s="72"/>
      <c r="UI1" s="72"/>
      <c r="UJ1" s="72"/>
      <c r="UK1" s="72"/>
      <c r="UL1" s="72"/>
      <c r="UM1" s="72"/>
    </row>
    <row r="2" spans="1:559" x14ac:dyDescent="0.2">
      <c r="A2" s="64"/>
      <c r="B2" s="64"/>
      <c r="C2" s="64"/>
      <c r="D2" s="64"/>
      <c r="E2" s="64"/>
      <c r="F2" s="65"/>
      <c r="G2" s="65"/>
      <c r="H2" s="64"/>
      <c r="I2" s="65"/>
      <c r="J2" s="70"/>
      <c r="K2" s="66"/>
      <c r="L2" s="70"/>
      <c r="M2" s="66"/>
      <c r="N2" s="70"/>
      <c r="O2" s="66"/>
      <c r="P2" s="66"/>
      <c r="Q2" s="66"/>
      <c r="R2" s="69"/>
      <c r="S2" s="66"/>
      <c r="T2" s="66"/>
      <c r="U2" s="68" t="s">
        <v>106</v>
      </c>
      <c r="V2" s="68"/>
      <c r="W2" s="68"/>
      <c r="X2" s="68"/>
      <c r="Y2" s="68" t="s">
        <v>107</v>
      </c>
      <c r="Z2" s="68"/>
      <c r="AA2" s="68"/>
      <c r="AB2" s="68"/>
      <c r="AC2" s="68" t="s">
        <v>108</v>
      </c>
      <c r="AD2" s="68"/>
      <c r="AE2" s="68"/>
      <c r="AF2" s="68"/>
      <c r="AG2" s="68" t="s">
        <v>109</v>
      </c>
      <c r="AH2" s="68"/>
      <c r="AI2" s="68"/>
      <c r="AJ2" s="68"/>
      <c r="AK2" s="75" t="s">
        <v>110</v>
      </c>
      <c r="AL2" s="75"/>
      <c r="AM2" s="75"/>
      <c r="AN2" s="75"/>
      <c r="AO2" s="14"/>
      <c r="AP2" s="14" t="s">
        <v>111</v>
      </c>
      <c r="AQ2" s="14" t="s">
        <v>112</v>
      </c>
      <c r="AR2" s="14" t="s">
        <v>108</v>
      </c>
      <c r="AS2" s="14" t="s">
        <v>117</v>
      </c>
      <c r="AT2" s="14" t="s">
        <v>23</v>
      </c>
      <c r="AU2" s="14" t="s">
        <v>66</v>
      </c>
      <c r="AV2" s="14" t="s">
        <v>113</v>
      </c>
      <c r="AW2" s="14" t="s">
        <v>17</v>
      </c>
      <c r="AX2" s="71" t="s">
        <v>106</v>
      </c>
      <c r="AY2" s="71"/>
      <c r="AZ2" s="71"/>
      <c r="BA2" s="71"/>
      <c r="BB2" s="71" t="s">
        <v>107</v>
      </c>
      <c r="BC2" s="71"/>
      <c r="BD2" s="71"/>
      <c r="BE2" s="71"/>
      <c r="BF2" s="71" t="s">
        <v>108</v>
      </c>
      <c r="BG2" s="71"/>
      <c r="BH2" s="71"/>
      <c r="BI2" s="71"/>
      <c r="BJ2" s="71" t="s">
        <v>109</v>
      </c>
      <c r="BK2" s="71"/>
      <c r="BL2" s="71"/>
      <c r="BM2" s="71"/>
      <c r="BN2" s="74" t="s">
        <v>110</v>
      </c>
      <c r="BO2" s="74"/>
      <c r="BP2" s="74"/>
      <c r="BQ2" s="74"/>
      <c r="BR2" s="13"/>
      <c r="BS2" s="13" t="s">
        <v>111</v>
      </c>
      <c r="BT2" s="13" t="s">
        <v>112</v>
      </c>
      <c r="BU2" s="13" t="s">
        <v>108</v>
      </c>
      <c r="BV2" s="13" t="s">
        <v>117</v>
      </c>
      <c r="BW2" s="13" t="s">
        <v>23</v>
      </c>
      <c r="BX2" s="13" t="s">
        <v>66</v>
      </c>
      <c r="BY2" s="13" t="s">
        <v>113</v>
      </c>
      <c r="BZ2" s="13" t="s">
        <v>17</v>
      </c>
      <c r="CA2" s="68" t="s">
        <v>106</v>
      </c>
      <c r="CB2" s="68"/>
      <c r="CC2" s="68"/>
      <c r="CD2" s="68"/>
      <c r="CE2" s="68" t="s">
        <v>107</v>
      </c>
      <c r="CF2" s="68"/>
      <c r="CG2" s="68"/>
      <c r="CH2" s="68"/>
      <c r="CI2" s="68" t="s">
        <v>108</v>
      </c>
      <c r="CJ2" s="68"/>
      <c r="CK2" s="68"/>
      <c r="CL2" s="68"/>
      <c r="CM2" s="68" t="s">
        <v>109</v>
      </c>
      <c r="CN2" s="68"/>
      <c r="CO2" s="68"/>
      <c r="CP2" s="68"/>
      <c r="CQ2" s="75" t="s">
        <v>110</v>
      </c>
      <c r="CR2" s="75"/>
      <c r="CS2" s="75"/>
      <c r="CT2" s="75"/>
      <c r="CU2" s="14"/>
      <c r="CV2" s="14" t="s">
        <v>111</v>
      </c>
      <c r="CW2" s="14" t="s">
        <v>112</v>
      </c>
      <c r="CX2" s="14" t="s">
        <v>108</v>
      </c>
      <c r="CY2" s="14" t="s">
        <v>117</v>
      </c>
      <c r="CZ2" s="14" t="s">
        <v>23</v>
      </c>
      <c r="DA2" s="14" t="s">
        <v>66</v>
      </c>
      <c r="DB2" s="14" t="s">
        <v>113</v>
      </c>
      <c r="DC2" s="14" t="s">
        <v>17</v>
      </c>
      <c r="DD2" s="50" t="s">
        <v>112</v>
      </c>
      <c r="DE2" s="50" t="s">
        <v>108</v>
      </c>
      <c r="DF2" s="50" t="s">
        <v>22</v>
      </c>
      <c r="DG2" s="68" t="s">
        <v>106</v>
      </c>
      <c r="DH2" s="68"/>
      <c r="DI2" s="68"/>
      <c r="DJ2" s="68"/>
      <c r="DK2" s="68" t="s">
        <v>107</v>
      </c>
      <c r="DL2" s="68"/>
      <c r="DM2" s="68"/>
      <c r="DN2" s="68"/>
      <c r="DO2" s="68" t="s">
        <v>108</v>
      </c>
      <c r="DP2" s="68"/>
      <c r="DQ2" s="68"/>
      <c r="DR2" s="68"/>
      <c r="DS2" s="68" t="s">
        <v>109</v>
      </c>
      <c r="DT2" s="68"/>
      <c r="DU2" s="68"/>
      <c r="DV2" s="68"/>
      <c r="DW2" s="76" t="s">
        <v>110</v>
      </c>
      <c r="DX2" s="76"/>
      <c r="DY2" s="76"/>
      <c r="DZ2" s="76"/>
      <c r="EA2" s="14" t="s">
        <v>111</v>
      </c>
      <c r="EB2" s="14" t="s">
        <v>112</v>
      </c>
      <c r="EC2" s="14" t="s">
        <v>108</v>
      </c>
      <c r="ED2" s="14" t="s">
        <v>117</v>
      </c>
      <c r="EE2" s="14" t="s">
        <v>23</v>
      </c>
      <c r="EF2" s="14" t="s">
        <v>66</v>
      </c>
      <c r="EG2" s="14" t="s">
        <v>113</v>
      </c>
      <c r="EH2" s="14" t="s">
        <v>17</v>
      </c>
      <c r="EI2" s="71" t="s">
        <v>106</v>
      </c>
      <c r="EJ2" s="71"/>
      <c r="EK2" s="71"/>
      <c r="EL2" s="71"/>
      <c r="EM2" s="71" t="s">
        <v>107</v>
      </c>
      <c r="EN2" s="71"/>
      <c r="EO2" s="71"/>
      <c r="EP2" s="71"/>
      <c r="EQ2" s="71" t="s">
        <v>108</v>
      </c>
      <c r="ER2" s="71"/>
      <c r="ES2" s="71"/>
      <c r="ET2" s="71"/>
      <c r="EU2" s="71" t="s">
        <v>109</v>
      </c>
      <c r="EV2" s="71"/>
      <c r="EW2" s="71"/>
      <c r="EX2" s="71"/>
      <c r="EY2" s="74" t="s">
        <v>110</v>
      </c>
      <c r="EZ2" s="74"/>
      <c r="FA2" s="74"/>
      <c r="FB2" s="74"/>
      <c r="FC2" s="13" t="s">
        <v>111</v>
      </c>
      <c r="FD2" s="13" t="s">
        <v>112</v>
      </c>
      <c r="FE2" s="13" t="s">
        <v>108</v>
      </c>
      <c r="FF2" s="13" t="s">
        <v>117</v>
      </c>
      <c r="FG2" s="13" t="s">
        <v>23</v>
      </c>
      <c r="FH2" s="13" t="s">
        <v>66</v>
      </c>
      <c r="FI2" s="13" t="s">
        <v>113</v>
      </c>
      <c r="FJ2" s="13" t="s">
        <v>17</v>
      </c>
      <c r="FK2" s="68" t="s">
        <v>106</v>
      </c>
      <c r="FL2" s="68"/>
      <c r="FM2" s="68"/>
      <c r="FN2" s="68"/>
      <c r="FO2" s="68" t="s">
        <v>107</v>
      </c>
      <c r="FP2" s="68"/>
      <c r="FQ2" s="68"/>
      <c r="FR2" s="68"/>
      <c r="FS2" s="68" t="s">
        <v>108</v>
      </c>
      <c r="FT2" s="68"/>
      <c r="FU2" s="68"/>
      <c r="FV2" s="68"/>
      <c r="FW2" s="68" t="s">
        <v>109</v>
      </c>
      <c r="FX2" s="68"/>
      <c r="FY2" s="68"/>
      <c r="FZ2" s="68"/>
      <c r="GA2" s="76" t="s">
        <v>110</v>
      </c>
      <c r="GB2" s="76"/>
      <c r="GC2" s="76"/>
      <c r="GD2" s="76"/>
      <c r="GE2" s="14" t="s">
        <v>111</v>
      </c>
      <c r="GF2" s="14" t="s">
        <v>112</v>
      </c>
      <c r="GG2" s="14" t="s">
        <v>108</v>
      </c>
      <c r="GH2" s="14" t="s">
        <v>117</v>
      </c>
      <c r="GI2" s="14" t="s">
        <v>23</v>
      </c>
      <c r="GJ2" s="14" t="s">
        <v>66</v>
      </c>
      <c r="GK2" s="14" t="s">
        <v>113</v>
      </c>
      <c r="GL2" s="14" t="s">
        <v>17</v>
      </c>
      <c r="GM2" s="71" t="s">
        <v>106</v>
      </c>
      <c r="GN2" s="71"/>
      <c r="GO2" s="71"/>
      <c r="GP2" s="71"/>
      <c r="GQ2" s="71" t="s">
        <v>107</v>
      </c>
      <c r="GR2" s="71"/>
      <c r="GS2" s="71"/>
      <c r="GT2" s="71"/>
      <c r="GU2" s="71" t="s">
        <v>108</v>
      </c>
      <c r="GV2" s="71"/>
      <c r="GW2" s="71"/>
      <c r="GX2" s="71"/>
      <c r="GY2" s="71" t="s">
        <v>109</v>
      </c>
      <c r="GZ2" s="71"/>
      <c r="HA2" s="71"/>
      <c r="HB2" s="71"/>
      <c r="HC2" s="74" t="s">
        <v>110</v>
      </c>
      <c r="HD2" s="74"/>
      <c r="HE2" s="74"/>
      <c r="HF2" s="74"/>
      <c r="HG2" s="13" t="s">
        <v>111</v>
      </c>
      <c r="HH2" s="13" t="s">
        <v>112</v>
      </c>
      <c r="HI2" s="13" t="s">
        <v>108</v>
      </c>
      <c r="HJ2" s="13" t="s">
        <v>117</v>
      </c>
      <c r="HK2" s="13" t="s">
        <v>23</v>
      </c>
      <c r="HL2" s="13" t="s">
        <v>66</v>
      </c>
      <c r="HM2" s="13" t="s">
        <v>113</v>
      </c>
      <c r="HN2" s="13" t="s">
        <v>17</v>
      </c>
      <c r="HO2" s="68" t="s">
        <v>106</v>
      </c>
      <c r="HP2" s="68"/>
      <c r="HQ2" s="68"/>
      <c r="HR2" s="68"/>
      <c r="HS2" s="68" t="s">
        <v>107</v>
      </c>
      <c r="HT2" s="68"/>
      <c r="HU2" s="68"/>
      <c r="HV2" s="68"/>
      <c r="HW2" s="68" t="s">
        <v>108</v>
      </c>
      <c r="HX2" s="68"/>
      <c r="HY2" s="68"/>
      <c r="HZ2" s="68"/>
      <c r="IA2" s="68" t="s">
        <v>109</v>
      </c>
      <c r="IB2" s="68"/>
      <c r="IC2" s="68"/>
      <c r="ID2" s="68"/>
      <c r="IE2" s="76" t="s">
        <v>110</v>
      </c>
      <c r="IF2" s="76"/>
      <c r="IG2" s="76"/>
      <c r="IH2" s="76"/>
      <c r="II2" s="14" t="s">
        <v>111</v>
      </c>
      <c r="IJ2" s="14" t="s">
        <v>112</v>
      </c>
      <c r="IK2" s="14" t="s">
        <v>108</v>
      </c>
      <c r="IL2" s="14" t="s">
        <v>117</v>
      </c>
      <c r="IM2" s="14" t="s">
        <v>23</v>
      </c>
      <c r="IN2" s="14" t="s">
        <v>66</v>
      </c>
      <c r="IO2" s="14" t="s">
        <v>113</v>
      </c>
      <c r="IP2" s="14" t="s">
        <v>17</v>
      </c>
      <c r="IQ2" s="71" t="s">
        <v>106</v>
      </c>
      <c r="IR2" s="71"/>
      <c r="IS2" s="71"/>
      <c r="IT2" s="71"/>
      <c r="IU2" s="71" t="s">
        <v>107</v>
      </c>
      <c r="IV2" s="71"/>
      <c r="IW2" s="71"/>
      <c r="IX2" s="71"/>
      <c r="IY2" s="71" t="s">
        <v>108</v>
      </c>
      <c r="IZ2" s="71"/>
      <c r="JA2" s="71"/>
      <c r="JB2" s="71"/>
      <c r="JC2" s="71" t="s">
        <v>109</v>
      </c>
      <c r="JD2" s="71"/>
      <c r="JE2" s="71"/>
      <c r="JF2" s="71"/>
      <c r="JG2" s="74" t="s">
        <v>110</v>
      </c>
      <c r="JH2" s="74"/>
      <c r="JI2" s="74"/>
      <c r="JJ2" s="74"/>
      <c r="JK2" s="13" t="s">
        <v>111</v>
      </c>
      <c r="JL2" s="13" t="s">
        <v>112</v>
      </c>
      <c r="JM2" s="13" t="s">
        <v>108</v>
      </c>
      <c r="JN2" s="13" t="s">
        <v>117</v>
      </c>
      <c r="JO2" s="13" t="s">
        <v>23</v>
      </c>
      <c r="JP2" s="13" t="s">
        <v>66</v>
      </c>
      <c r="JQ2" s="13" t="s">
        <v>113</v>
      </c>
      <c r="JR2" s="13" t="s">
        <v>17</v>
      </c>
      <c r="JS2" s="68" t="s">
        <v>106</v>
      </c>
      <c r="JT2" s="68"/>
      <c r="JU2" s="68"/>
      <c r="JV2" s="68"/>
      <c r="JW2" s="68" t="s">
        <v>107</v>
      </c>
      <c r="JX2" s="68"/>
      <c r="JY2" s="68"/>
      <c r="JZ2" s="68"/>
      <c r="KA2" s="68" t="s">
        <v>108</v>
      </c>
      <c r="KB2" s="68"/>
      <c r="KC2" s="68"/>
      <c r="KD2" s="68"/>
      <c r="KE2" s="68" t="s">
        <v>109</v>
      </c>
      <c r="KF2" s="68"/>
      <c r="KG2" s="68"/>
      <c r="KH2" s="68"/>
      <c r="KI2" s="76" t="s">
        <v>110</v>
      </c>
      <c r="KJ2" s="76"/>
      <c r="KK2" s="76"/>
      <c r="KL2" s="76"/>
      <c r="KM2" s="14" t="s">
        <v>111</v>
      </c>
      <c r="KN2" s="14" t="s">
        <v>112</v>
      </c>
      <c r="KO2" s="14" t="s">
        <v>108</v>
      </c>
      <c r="KP2" s="14" t="s">
        <v>117</v>
      </c>
      <c r="KQ2" s="14" t="s">
        <v>23</v>
      </c>
      <c r="KR2" s="14" t="s">
        <v>66</v>
      </c>
      <c r="KS2" s="14" t="s">
        <v>113</v>
      </c>
      <c r="KT2" s="14" t="s">
        <v>17</v>
      </c>
      <c r="KU2" s="71" t="s">
        <v>106</v>
      </c>
      <c r="KV2" s="71"/>
      <c r="KW2" s="71"/>
      <c r="KX2" s="71"/>
      <c r="KY2" s="71" t="s">
        <v>107</v>
      </c>
      <c r="KZ2" s="71"/>
      <c r="LA2" s="71"/>
      <c r="LB2" s="71"/>
      <c r="LC2" s="71" t="s">
        <v>108</v>
      </c>
      <c r="LD2" s="71"/>
      <c r="LE2" s="71"/>
      <c r="LF2" s="71"/>
      <c r="LG2" s="71" t="s">
        <v>109</v>
      </c>
      <c r="LH2" s="71"/>
      <c r="LI2" s="71"/>
      <c r="LJ2" s="71"/>
      <c r="LK2" s="74" t="s">
        <v>110</v>
      </c>
      <c r="LL2" s="74"/>
      <c r="LM2" s="74"/>
      <c r="LN2" s="74"/>
      <c r="LO2" s="13" t="s">
        <v>111</v>
      </c>
      <c r="LP2" s="13" t="s">
        <v>112</v>
      </c>
      <c r="LQ2" s="13" t="s">
        <v>108</v>
      </c>
      <c r="LR2" s="13" t="s">
        <v>117</v>
      </c>
      <c r="LS2" s="13" t="s">
        <v>23</v>
      </c>
      <c r="LT2" s="13" t="s">
        <v>66</v>
      </c>
      <c r="LU2" s="13" t="s">
        <v>113</v>
      </c>
      <c r="LV2" s="13" t="s">
        <v>17</v>
      </c>
      <c r="LW2" s="68" t="s">
        <v>106</v>
      </c>
      <c r="LX2" s="68"/>
      <c r="LY2" s="68"/>
      <c r="LZ2" s="68"/>
      <c r="MA2" s="68" t="s">
        <v>107</v>
      </c>
      <c r="MB2" s="68"/>
      <c r="MC2" s="68"/>
      <c r="MD2" s="68"/>
      <c r="ME2" s="68" t="s">
        <v>108</v>
      </c>
      <c r="MF2" s="68"/>
      <c r="MG2" s="68"/>
      <c r="MH2" s="68"/>
      <c r="MI2" s="68" t="s">
        <v>109</v>
      </c>
      <c r="MJ2" s="68"/>
      <c r="MK2" s="68"/>
      <c r="ML2" s="68"/>
      <c r="MM2" s="76" t="s">
        <v>110</v>
      </c>
      <c r="MN2" s="76"/>
      <c r="MO2" s="76"/>
      <c r="MP2" s="76"/>
      <c r="MQ2" s="14" t="s">
        <v>111</v>
      </c>
      <c r="MR2" s="14" t="s">
        <v>112</v>
      </c>
      <c r="MS2" s="14" t="s">
        <v>108</v>
      </c>
      <c r="MT2" s="14" t="s">
        <v>117</v>
      </c>
      <c r="MU2" s="14" t="s">
        <v>23</v>
      </c>
      <c r="MV2" s="14" t="s">
        <v>66</v>
      </c>
      <c r="MW2" s="14" t="s">
        <v>113</v>
      </c>
      <c r="MX2" s="14" t="s">
        <v>17</v>
      </c>
      <c r="MY2" s="71" t="s">
        <v>106</v>
      </c>
      <c r="MZ2" s="71"/>
      <c r="NA2" s="71"/>
      <c r="NB2" s="71"/>
      <c r="NC2" s="71" t="s">
        <v>107</v>
      </c>
      <c r="ND2" s="71"/>
      <c r="NE2" s="71"/>
      <c r="NF2" s="71"/>
      <c r="NG2" s="71" t="s">
        <v>108</v>
      </c>
      <c r="NH2" s="71"/>
      <c r="NI2" s="71"/>
      <c r="NJ2" s="71"/>
      <c r="NK2" s="71" t="s">
        <v>109</v>
      </c>
      <c r="NL2" s="71"/>
      <c r="NM2" s="71"/>
      <c r="NN2" s="71"/>
      <c r="NO2" s="74" t="s">
        <v>110</v>
      </c>
      <c r="NP2" s="74"/>
      <c r="NQ2" s="74"/>
      <c r="NR2" s="74"/>
      <c r="NS2" s="13" t="s">
        <v>111</v>
      </c>
      <c r="NT2" s="13" t="s">
        <v>112</v>
      </c>
      <c r="NU2" s="13" t="s">
        <v>108</v>
      </c>
      <c r="NV2" s="13" t="s">
        <v>117</v>
      </c>
      <c r="NW2" s="13" t="s">
        <v>23</v>
      </c>
      <c r="NX2" s="13" t="s">
        <v>66</v>
      </c>
      <c r="NY2" s="13" t="s">
        <v>113</v>
      </c>
      <c r="NZ2" s="13" t="s">
        <v>17</v>
      </c>
      <c r="OA2" s="68" t="s">
        <v>106</v>
      </c>
      <c r="OB2" s="68"/>
      <c r="OC2" s="68"/>
      <c r="OD2" s="68"/>
      <c r="OE2" s="68" t="s">
        <v>107</v>
      </c>
      <c r="OF2" s="68"/>
      <c r="OG2" s="68"/>
      <c r="OH2" s="68"/>
      <c r="OI2" s="68" t="s">
        <v>108</v>
      </c>
      <c r="OJ2" s="68"/>
      <c r="OK2" s="68"/>
      <c r="OL2" s="68"/>
      <c r="OM2" s="68" t="s">
        <v>109</v>
      </c>
      <c r="ON2" s="68"/>
      <c r="OO2" s="68"/>
      <c r="OP2" s="68"/>
      <c r="OQ2" s="76" t="s">
        <v>110</v>
      </c>
      <c r="OR2" s="76"/>
      <c r="OS2" s="76"/>
      <c r="OT2" s="76"/>
      <c r="OU2" s="14" t="s">
        <v>111</v>
      </c>
      <c r="OV2" s="14" t="s">
        <v>112</v>
      </c>
      <c r="OW2" s="14" t="s">
        <v>108</v>
      </c>
      <c r="OX2" s="14" t="s">
        <v>117</v>
      </c>
      <c r="OY2" s="14" t="s">
        <v>23</v>
      </c>
      <c r="OZ2" s="14" t="s">
        <v>66</v>
      </c>
      <c r="PA2" s="14" t="s">
        <v>113</v>
      </c>
      <c r="PB2" s="14" t="s">
        <v>17</v>
      </c>
      <c r="PC2" s="71" t="s">
        <v>106</v>
      </c>
      <c r="PD2" s="71"/>
      <c r="PE2" s="71"/>
      <c r="PF2" s="71"/>
      <c r="PG2" s="71" t="s">
        <v>107</v>
      </c>
      <c r="PH2" s="71"/>
      <c r="PI2" s="71"/>
      <c r="PJ2" s="71"/>
      <c r="PK2" s="71" t="s">
        <v>108</v>
      </c>
      <c r="PL2" s="71"/>
      <c r="PM2" s="71"/>
      <c r="PN2" s="71"/>
      <c r="PO2" s="71" t="s">
        <v>109</v>
      </c>
      <c r="PP2" s="71"/>
      <c r="PQ2" s="71"/>
      <c r="PR2" s="71"/>
      <c r="PS2" s="74" t="s">
        <v>110</v>
      </c>
      <c r="PT2" s="74"/>
      <c r="PU2" s="74"/>
      <c r="PV2" s="74"/>
      <c r="PW2" s="13" t="s">
        <v>111</v>
      </c>
      <c r="PX2" s="13" t="s">
        <v>112</v>
      </c>
      <c r="PY2" s="13" t="s">
        <v>108</v>
      </c>
      <c r="PZ2" s="13" t="s">
        <v>117</v>
      </c>
      <c r="QA2" s="13" t="s">
        <v>23</v>
      </c>
      <c r="QB2" s="13" t="s">
        <v>66</v>
      </c>
      <c r="QC2" s="13" t="s">
        <v>113</v>
      </c>
      <c r="QD2" s="13" t="s">
        <v>17</v>
      </c>
      <c r="QE2" s="68" t="s">
        <v>106</v>
      </c>
      <c r="QF2" s="68"/>
      <c r="QG2" s="68"/>
      <c r="QH2" s="68"/>
      <c r="QI2" s="68" t="s">
        <v>107</v>
      </c>
      <c r="QJ2" s="68"/>
      <c r="QK2" s="68"/>
      <c r="QL2" s="68"/>
      <c r="QM2" s="68" t="s">
        <v>108</v>
      </c>
      <c r="QN2" s="68"/>
      <c r="QO2" s="68"/>
      <c r="QP2" s="68"/>
      <c r="QQ2" s="68" t="s">
        <v>109</v>
      </c>
      <c r="QR2" s="68"/>
      <c r="QS2" s="68"/>
      <c r="QT2" s="68"/>
      <c r="QU2" s="76" t="s">
        <v>110</v>
      </c>
      <c r="QV2" s="76"/>
      <c r="QW2" s="76"/>
      <c r="QX2" s="76"/>
      <c r="QY2" s="14" t="s">
        <v>111</v>
      </c>
      <c r="QZ2" s="14" t="s">
        <v>112</v>
      </c>
      <c r="RA2" s="14" t="s">
        <v>108</v>
      </c>
      <c r="RB2" s="14" t="s">
        <v>117</v>
      </c>
      <c r="RC2" s="14" t="s">
        <v>23</v>
      </c>
      <c r="RD2" s="14" t="s">
        <v>66</v>
      </c>
      <c r="RE2" s="14" t="s">
        <v>113</v>
      </c>
      <c r="RF2" s="14" t="s">
        <v>17</v>
      </c>
      <c r="RG2" s="71" t="s">
        <v>106</v>
      </c>
      <c r="RH2" s="71"/>
      <c r="RI2" s="71"/>
      <c r="RJ2" s="71"/>
      <c r="RK2" s="71" t="s">
        <v>107</v>
      </c>
      <c r="RL2" s="71"/>
      <c r="RM2" s="71"/>
      <c r="RN2" s="71"/>
      <c r="RO2" s="71" t="s">
        <v>108</v>
      </c>
      <c r="RP2" s="71"/>
      <c r="RQ2" s="71"/>
      <c r="RR2" s="71"/>
      <c r="RS2" s="71" t="s">
        <v>109</v>
      </c>
      <c r="RT2" s="71"/>
      <c r="RU2" s="71"/>
      <c r="RV2" s="71"/>
      <c r="RW2" s="74" t="s">
        <v>110</v>
      </c>
      <c r="RX2" s="74"/>
      <c r="RY2" s="74"/>
      <c r="RZ2" s="74"/>
      <c r="SA2" s="13" t="s">
        <v>111</v>
      </c>
      <c r="SB2" s="13" t="s">
        <v>112</v>
      </c>
      <c r="SC2" s="13" t="s">
        <v>108</v>
      </c>
      <c r="SD2" s="13" t="s">
        <v>117</v>
      </c>
      <c r="SE2" s="13" t="s">
        <v>23</v>
      </c>
      <c r="SF2" s="13" t="s">
        <v>66</v>
      </c>
      <c r="SG2" s="13" t="s">
        <v>113</v>
      </c>
      <c r="SH2" s="13" t="s">
        <v>17</v>
      </c>
      <c r="SI2" s="68" t="s">
        <v>106</v>
      </c>
      <c r="SJ2" s="68"/>
      <c r="SK2" s="68"/>
      <c r="SL2" s="68"/>
      <c r="SM2" s="68" t="s">
        <v>107</v>
      </c>
      <c r="SN2" s="68"/>
      <c r="SO2" s="68"/>
      <c r="SP2" s="68"/>
      <c r="SQ2" s="68" t="s">
        <v>108</v>
      </c>
      <c r="SR2" s="68"/>
      <c r="SS2" s="68"/>
      <c r="ST2" s="68"/>
      <c r="SU2" s="68" t="s">
        <v>109</v>
      </c>
      <c r="SV2" s="68"/>
      <c r="SW2" s="68"/>
      <c r="SX2" s="68"/>
      <c r="SY2" s="76" t="s">
        <v>110</v>
      </c>
      <c r="SZ2" s="76"/>
      <c r="TA2" s="76"/>
      <c r="TB2" s="76"/>
      <c r="TC2" s="14" t="s">
        <v>111</v>
      </c>
      <c r="TD2" s="14" t="s">
        <v>112</v>
      </c>
      <c r="TE2" s="14" t="s">
        <v>108</v>
      </c>
      <c r="TF2" s="14" t="s">
        <v>117</v>
      </c>
      <c r="TG2" s="14" t="s">
        <v>23</v>
      </c>
      <c r="TH2" s="14" t="s">
        <v>66</v>
      </c>
      <c r="TI2" s="14" t="s">
        <v>113</v>
      </c>
      <c r="TJ2" s="14" t="s">
        <v>17</v>
      </c>
      <c r="TK2" s="71" t="s">
        <v>106</v>
      </c>
      <c r="TL2" s="71"/>
      <c r="TM2" s="71"/>
      <c r="TN2" s="71"/>
      <c r="TO2" s="71" t="s">
        <v>107</v>
      </c>
      <c r="TP2" s="71"/>
      <c r="TQ2" s="71"/>
      <c r="TR2" s="71"/>
      <c r="TS2" s="71" t="s">
        <v>108</v>
      </c>
      <c r="TT2" s="71"/>
      <c r="TU2" s="71"/>
      <c r="TV2" s="71"/>
      <c r="TW2" s="71" t="s">
        <v>109</v>
      </c>
      <c r="TX2" s="71"/>
      <c r="TY2" s="71"/>
      <c r="TZ2" s="71"/>
      <c r="UA2" s="77" t="s">
        <v>110</v>
      </c>
      <c r="UB2" s="77"/>
      <c r="UC2" s="77"/>
      <c r="UD2" s="77"/>
      <c r="UE2" s="13"/>
      <c r="UF2" s="13" t="s">
        <v>111</v>
      </c>
      <c r="UG2" s="13" t="s">
        <v>112</v>
      </c>
      <c r="UH2" s="13" t="s">
        <v>108</v>
      </c>
      <c r="UI2" s="13" t="s">
        <v>117</v>
      </c>
      <c r="UJ2" s="13" t="s">
        <v>23</v>
      </c>
      <c r="UK2" s="13" t="s">
        <v>66</v>
      </c>
      <c r="UL2" s="13" t="s">
        <v>113</v>
      </c>
      <c r="UM2" s="13" t="s">
        <v>17</v>
      </c>
    </row>
    <row r="3" spans="1:559" x14ac:dyDescent="0.2">
      <c r="A3" s="64"/>
      <c r="B3" s="64"/>
      <c r="C3" s="64"/>
      <c r="D3" s="64"/>
      <c r="E3" s="64"/>
      <c r="F3" s="65"/>
      <c r="G3" s="65"/>
      <c r="H3" s="64"/>
      <c r="I3" s="65"/>
      <c r="J3" s="70"/>
      <c r="K3" s="66"/>
      <c r="L3" s="70"/>
      <c r="M3" s="66"/>
      <c r="N3" s="70"/>
      <c r="O3" s="66"/>
      <c r="P3" s="66"/>
      <c r="Q3" s="66"/>
      <c r="R3" s="69"/>
      <c r="S3" s="66"/>
      <c r="T3" s="66"/>
      <c r="U3" s="14" t="s">
        <v>14</v>
      </c>
      <c r="V3" s="14" t="s">
        <v>9</v>
      </c>
      <c r="W3" s="14" t="s">
        <v>28</v>
      </c>
      <c r="X3" s="14" t="s">
        <v>29</v>
      </c>
      <c r="Y3" s="14" t="s">
        <v>14</v>
      </c>
      <c r="Z3" s="14" t="s">
        <v>9</v>
      </c>
      <c r="AA3" s="14" t="s">
        <v>28</v>
      </c>
      <c r="AB3" s="14" t="s">
        <v>29</v>
      </c>
      <c r="AC3" s="14" t="s">
        <v>14</v>
      </c>
      <c r="AD3" s="14" t="s">
        <v>9</v>
      </c>
      <c r="AE3" s="14" t="s">
        <v>28</v>
      </c>
      <c r="AF3" s="14" t="s">
        <v>29</v>
      </c>
      <c r="AG3" s="14" t="s">
        <v>14</v>
      </c>
      <c r="AH3" s="14" t="s">
        <v>9</v>
      </c>
      <c r="AI3" s="14" t="s">
        <v>28</v>
      </c>
      <c r="AJ3" s="14" t="s">
        <v>29</v>
      </c>
      <c r="AK3" s="21" t="s">
        <v>14</v>
      </c>
      <c r="AL3" s="21" t="s">
        <v>9</v>
      </c>
      <c r="AM3" s="21" t="s">
        <v>28</v>
      </c>
      <c r="AN3" s="21" t="s">
        <v>29</v>
      </c>
      <c r="AO3" s="14" t="s">
        <v>52</v>
      </c>
      <c r="AP3" s="14"/>
      <c r="AQ3" s="14"/>
      <c r="AR3" s="14"/>
      <c r="AS3" s="14"/>
      <c r="AT3" s="14"/>
      <c r="AU3" s="14"/>
      <c r="AV3" s="14"/>
      <c r="AW3" s="14"/>
      <c r="AX3" s="13" t="s">
        <v>14</v>
      </c>
      <c r="AY3" s="13" t="s">
        <v>9</v>
      </c>
      <c r="AZ3" s="13" t="s">
        <v>28</v>
      </c>
      <c r="BA3" s="13" t="s">
        <v>29</v>
      </c>
      <c r="BB3" s="13" t="s">
        <v>14</v>
      </c>
      <c r="BC3" s="13" t="s">
        <v>9</v>
      </c>
      <c r="BD3" s="13" t="s">
        <v>28</v>
      </c>
      <c r="BE3" s="13" t="s">
        <v>29</v>
      </c>
      <c r="BF3" s="13" t="s">
        <v>14</v>
      </c>
      <c r="BG3" s="13" t="s">
        <v>9</v>
      </c>
      <c r="BH3" s="13" t="s">
        <v>28</v>
      </c>
      <c r="BI3" s="13" t="s">
        <v>29</v>
      </c>
      <c r="BJ3" s="13" t="s">
        <v>14</v>
      </c>
      <c r="BK3" s="13" t="s">
        <v>9</v>
      </c>
      <c r="BL3" s="13" t="s">
        <v>28</v>
      </c>
      <c r="BM3" s="13" t="s">
        <v>29</v>
      </c>
      <c r="BN3" s="16" t="s">
        <v>14</v>
      </c>
      <c r="BO3" s="16" t="s">
        <v>9</v>
      </c>
      <c r="BP3" s="16" t="s">
        <v>28</v>
      </c>
      <c r="BQ3" s="16" t="s">
        <v>29</v>
      </c>
      <c r="BR3" s="13" t="s">
        <v>52</v>
      </c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9</v>
      </c>
      <c r="CC3" s="14" t="s">
        <v>28</v>
      </c>
      <c r="CD3" s="14" t="s">
        <v>29</v>
      </c>
      <c r="CE3" s="14" t="s">
        <v>14</v>
      </c>
      <c r="CF3" s="14" t="s">
        <v>9</v>
      </c>
      <c r="CG3" s="14" t="s">
        <v>28</v>
      </c>
      <c r="CH3" s="14" t="s">
        <v>29</v>
      </c>
      <c r="CI3" s="14" t="s">
        <v>14</v>
      </c>
      <c r="CJ3" s="14" t="s">
        <v>9</v>
      </c>
      <c r="CK3" s="14" t="s">
        <v>28</v>
      </c>
      <c r="CL3" s="14" t="s">
        <v>29</v>
      </c>
      <c r="CM3" s="14" t="s">
        <v>14</v>
      </c>
      <c r="CN3" s="14" t="s">
        <v>9</v>
      </c>
      <c r="CO3" s="14" t="s">
        <v>28</v>
      </c>
      <c r="CP3" s="14" t="s">
        <v>29</v>
      </c>
      <c r="CQ3" s="21" t="s">
        <v>14</v>
      </c>
      <c r="CR3" s="21" t="s">
        <v>9</v>
      </c>
      <c r="CS3" s="21" t="s">
        <v>28</v>
      </c>
      <c r="CT3" s="21" t="s">
        <v>29</v>
      </c>
      <c r="CU3" s="14" t="s">
        <v>52</v>
      </c>
      <c r="CV3" s="14"/>
      <c r="CW3" s="14"/>
      <c r="CX3" s="14"/>
      <c r="CY3" s="14"/>
      <c r="CZ3" s="14"/>
      <c r="DA3" s="14"/>
      <c r="DB3" s="14"/>
      <c r="DC3" s="14"/>
      <c r="DD3" s="50"/>
      <c r="DE3" s="50"/>
      <c r="DF3" s="50"/>
      <c r="DG3" s="14" t="s">
        <v>14</v>
      </c>
      <c r="DH3" s="14" t="s">
        <v>9</v>
      </c>
      <c r="DI3" s="14" t="s">
        <v>28</v>
      </c>
      <c r="DJ3" s="14" t="s">
        <v>29</v>
      </c>
      <c r="DK3" s="14" t="s">
        <v>14</v>
      </c>
      <c r="DL3" s="14" t="s">
        <v>9</v>
      </c>
      <c r="DM3" s="14" t="s">
        <v>28</v>
      </c>
      <c r="DN3" s="14" t="s">
        <v>29</v>
      </c>
      <c r="DO3" s="14" t="s">
        <v>14</v>
      </c>
      <c r="DP3" s="14" t="s">
        <v>9</v>
      </c>
      <c r="DQ3" s="14" t="s">
        <v>28</v>
      </c>
      <c r="DR3" s="14" t="s">
        <v>29</v>
      </c>
      <c r="DS3" s="14" t="s">
        <v>14</v>
      </c>
      <c r="DT3" s="14" t="s">
        <v>9</v>
      </c>
      <c r="DU3" s="14" t="s">
        <v>28</v>
      </c>
      <c r="DV3" s="14" t="s">
        <v>29</v>
      </c>
      <c r="DW3" s="15" t="s">
        <v>14</v>
      </c>
      <c r="DX3" s="15" t="s">
        <v>9</v>
      </c>
      <c r="DY3" s="15" t="s">
        <v>28</v>
      </c>
      <c r="DZ3" s="15" t="s">
        <v>29</v>
      </c>
      <c r="EA3" s="14"/>
      <c r="EB3" s="14"/>
      <c r="EC3" s="14"/>
      <c r="ED3" s="14"/>
      <c r="EE3" s="14"/>
      <c r="EF3" s="14"/>
      <c r="EG3" s="14"/>
      <c r="EH3" s="14"/>
      <c r="EI3" s="13" t="s">
        <v>14</v>
      </c>
      <c r="EJ3" s="13" t="s">
        <v>9</v>
      </c>
      <c r="EK3" s="13" t="s">
        <v>28</v>
      </c>
      <c r="EL3" s="13" t="s">
        <v>29</v>
      </c>
      <c r="EM3" s="13" t="s">
        <v>14</v>
      </c>
      <c r="EN3" s="13" t="s">
        <v>9</v>
      </c>
      <c r="EO3" s="13" t="s">
        <v>28</v>
      </c>
      <c r="EP3" s="13" t="s">
        <v>29</v>
      </c>
      <c r="EQ3" s="13" t="s">
        <v>14</v>
      </c>
      <c r="ER3" s="13" t="s">
        <v>9</v>
      </c>
      <c r="ES3" s="13" t="s">
        <v>28</v>
      </c>
      <c r="ET3" s="13" t="s">
        <v>29</v>
      </c>
      <c r="EU3" s="13" t="s">
        <v>14</v>
      </c>
      <c r="EV3" s="13" t="s">
        <v>9</v>
      </c>
      <c r="EW3" s="13" t="s">
        <v>28</v>
      </c>
      <c r="EX3" s="13" t="s">
        <v>29</v>
      </c>
      <c r="EY3" s="16" t="s">
        <v>14</v>
      </c>
      <c r="EZ3" s="16" t="s">
        <v>9</v>
      </c>
      <c r="FA3" s="16" t="s">
        <v>28</v>
      </c>
      <c r="FB3" s="16" t="s">
        <v>29</v>
      </c>
      <c r="FC3" s="13"/>
      <c r="FD3" s="13"/>
      <c r="FE3" s="13"/>
      <c r="FF3" s="13"/>
      <c r="FG3" s="13"/>
      <c r="FH3" s="13"/>
      <c r="FI3" s="13"/>
      <c r="FJ3" s="13"/>
      <c r="FK3" s="14" t="s">
        <v>14</v>
      </c>
      <c r="FL3" s="14" t="s">
        <v>9</v>
      </c>
      <c r="FM3" s="14" t="s">
        <v>28</v>
      </c>
      <c r="FN3" s="14" t="s">
        <v>29</v>
      </c>
      <c r="FO3" s="14" t="s">
        <v>14</v>
      </c>
      <c r="FP3" s="14" t="s">
        <v>9</v>
      </c>
      <c r="FQ3" s="14" t="s">
        <v>28</v>
      </c>
      <c r="FR3" s="14" t="s">
        <v>29</v>
      </c>
      <c r="FS3" s="14" t="s">
        <v>14</v>
      </c>
      <c r="FT3" s="14" t="s">
        <v>9</v>
      </c>
      <c r="FU3" s="14" t="s">
        <v>28</v>
      </c>
      <c r="FV3" s="14" t="s">
        <v>29</v>
      </c>
      <c r="FW3" s="14" t="s">
        <v>14</v>
      </c>
      <c r="FX3" s="14" t="s">
        <v>9</v>
      </c>
      <c r="FY3" s="14" t="s">
        <v>28</v>
      </c>
      <c r="FZ3" s="14" t="s">
        <v>29</v>
      </c>
      <c r="GA3" s="15" t="s">
        <v>14</v>
      </c>
      <c r="GB3" s="15" t="s">
        <v>9</v>
      </c>
      <c r="GC3" s="15" t="s">
        <v>28</v>
      </c>
      <c r="GD3" s="15" t="s">
        <v>29</v>
      </c>
      <c r="GE3" s="14"/>
      <c r="GF3" s="14"/>
      <c r="GG3" s="14"/>
      <c r="GH3" s="14"/>
      <c r="GI3" s="14"/>
      <c r="GJ3" s="14"/>
      <c r="GK3" s="14"/>
      <c r="GL3" s="14"/>
      <c r="GM3" s="13" t="s">
        <v>14</v>
      </c>
      <c r="GN3" s="13" t="s">
        <v>9</v>
      </c>
      <c r="GO3" s="13" t="s">
        <v>28</v>
      </c>
      <c r="GP3" s="13" t="s">
        <v>29</v>
      </c>
      <c r="GQ3" s="13" t="s">
        <v>14</v>
      </c>
      <c r="GR3" s="13" t="s">
        <v>9</v>
      </c>
      <c r="GS3" s="13" t="s">
        <v>28</v>
      </c>
      <c r="GT3" s="13" t="s">
        <v>29</v>
      </c>
      <c r="GU3" s="13" t="s">
        <v>14</v>
      </c>
      <c r="GV3" s="13" t="s">
        <v>9</v>
      </c>
      <c r="GW3" s="13" t="s">
        <v>28</v>
      </c>
      <c r="GX3" s="13" t="s">
        <v>29</v>
      </c>
      <c r="GY3" s="13" t="s">
        <v>14</v>
      </c>
      <c r="GZ3" s="13" t="s">
        <v>9</v>
      </c>
      <c r="HA3" s="13" t="s">
        <v>28</v>
      </c>
      <c r="HB3" s="13" t="s">
        <v>29</v>
      </c>
      <c r="HC3" s="16" t="s">
        <v>14</v>
      </c>
      <c r="HD3" s="16" t="s">
        <v>9</v>
      </c>
      <c r="HE3" s="16" t="s">
        <v>28</v>
      </c>
      <c r="HF3" s="16" t="s">
        <v>29</v>
      </c>
      <c r="HG3" s="13"/>
      <c r="HH3" s="13"/>
      <c r="HI3" s="13"/>
      <c r="HJ3" s="13"/>
      <c r="HK3" s="13"/>
      <c r="HL3" s="13"/>
      <c r="HM3" s="13"/>
      <c r="HN3" s="13"/>
      <c r="HO3" s="14" t="s">
        <v>14</v>
      </c>
      <c r="HP3" s="14" t="s">
        <v>9</v>
      </c>
      <c r="HQ3" s="14" t="s">
        <v>28</v>
      </c>
      <c r="HR3" s="14" t="s">
        <v>29</v>
      </c>
      <c r="HS3" s="14" t="s">
        <v>14</v>
      </c>
      <c r="HT3" s="14" t="s">
        <v>9</v>
      </c>
      <c r="HU3" s="14" t="s">
        <v>28</v>
      </c>
      <c r="HV3" s="14" t="s">
        <v>29</v>
      </c>
      <c r="HW3" s="14" t="s">
        <v>14</v>
      </c>
      <c r="HX3" s="14" t="s">
        <v>9</v>
      </c>
      <c r="HY3" s="14" t="s">
        <v>28</v>
      </c>
      <c r="HZ3" s="14" t="s">
        <v>29</v>
      </c>
      <c r="IA3" s="14" t="s">
        <v>14</v>
      </c>
      <c r="IB3" s="14" t="s">
        <v>9</v>
      </c>
      <c r="IC3" s="14" t="s">
        <v>28</v>
      </c>
      <c r="ID3" s="14" t="s">
        <v>29</v>
      </c>
      <c r="IE3" s="15" t="s">
        <v>14</v>
      </c>
      <c r="IF3" s="15" t="s">
        <v>9</v>
      </c>
      <c r="IG3" s="15" t="s">
        <v>28</v>
      </c>
      <c r="IH3" s="15" t="s">
        <v>29</v>
      </c>
      <c r="II3" s="14"/>
      <c r="IJ3" s="14"/>
      <c r="IK3" s="14"/>
      <c r="IL3" s="14"/>
      <c r="IM3" s="14"/>
      <c r="IN3" s="14"/>
      <c r="IO3" s="14"/>
      <c r="IP3" s="14"/>
      <c r="IQ3" s="13" t="s">
        <v>14</v>
      </c>
      <c r="IR3" s="13" t="s">
        <v>9</v>
      </c>
      <c r="IS3" s="13" t="s">
        <v>28</v>
      </c>
      <c r="IT3" s="13" t="s">
        <v>29</v>
      </c>
      <c r="IU3" s="13" t="s">
        <v>14</v>
      </c>
      <c r="IV3" s="13" t="s">
        <v>9</v>
      </c>
      <c r="IW3" s="13" t="s">
        <v>28</v>
      </c>
      <c r="IX3" s="13" t="s">
        <v>29</v>
      </c>
      <c r="IY3" s="13" t="s">
        <v>14</v>
      </c>
      <c r="IZ3" s="13" t="s">
        <v>9</v>
      </c>
      <c r="JA3" s="13" t="s">
        <v>28</v>
      </c>
      <c r="JB3" s="13" t="s">
        <v>29</v>
      </c>
      <c r="JC3" s="13" t="s">
        <v>14</v>
      </c>
      <c r="JD3" s="13" t="s">
        <v>9</v>
      </c>
      <c r="JE3" s="13" t="s">
        <v>28</v>
      </c>
      <c r="JF3" s="13" t="s">
        <v>29</v>
      </c>
      <c r="JG3" s="16" t="s">
        <v>14</v>
      </c>
      <c r="JH3" s="16" t="s">
        <v>9</v>
      </c>
      <c r="JI3" s="16" t="s">
        <v>28</v>
      </c>
      <c r="JJ3" s="16" t="s">
        <v>29</v>
      </c>
      <c r="JK3" s="13"/>
      <c r="JL3" s="13"/>
      <c r="JM3" s="13"/>
      <c r="JN3" s="13"/>
      <c r="JO3" s="13"/>
      <c r="JP3" s="13"/>
      <c r="JQ3" s="13"/>
      <c r="JR3" s="13"/>
      <c r="JS3" s="14" t="s">
        <v>14</v>
      </c>
      <c r="JT3" s="14" t="s">
        <v>9</v>
      </c>
      <c r="JU3" s="14" t="s">
        <v>28</v>
      </c>
      <c r="JV3" s="14" t="s">
        <v>29</v>
      </c>
      <c r="JW3" s="14" t="s">
        <v>14</v>
      </c>
      <c r="JX3" s="14" t="s">
        <v>9</v>
      </c>
      <c r="JY3" s="14" t="s">
        <v>28</v>
      </c>
      <c r="JZ3" s="14" t="s">
        <v>29</v>
      </c>
      <c r="KA3" s="14" t="s">
        <v>14</v>
      </c>
      <c r="KB3" s="14" t="s">
        <v>9</v>
      </c>
      <c r="KC3" s="14" t="s">
        <v>28</v>
      </c>
      <c r="KD3" s="14" t="s">
        <v>29</v>
      </c>
      <c r="KE3" s="14" t="s">
        <v>14</v>
      </c>
      <c r="KF3" s="14" t="s">
        <v>9</v>
      </c>
      <c r="KG3" s="14" t="s">
        <v>28</v>
      </c>
      <c r="KH3" s="14" t="s">
        <v>29</v>
      </c>
      <c r="KI3" s="15" t="s">
        <v>14</v>
      </c>
      <c r="KJ3" s="15" t="s">
        <v>9</v>
      </c>
      <c r="KK3" s="15" t="s">
        <v>28</v>
      </c>
      <c r="KL3" s="15" t="s">
        <v>29</v>
      </c>
      <c r="KM3" s="14"/>
      <c r="KN3" s="14"/>
      <c r="KO3" s="14"/>
      <c r="KP3" s="14"/>
      <c r="KQ3" s="14"/>
      <c r="KR3" s="14"/>
      <c r="KS3" s="14"/>
      <c r="KT3" s="14"/>
      <c r="KU3" s="13" t="s">
        <v>14</v>
      </c>
      <c r="KV3" s="13" t="s">
        <v>9</v>
      </c>
      <c r="KW3" s="13" t="s">
        <v>28</v>
      </c>
      <c r="KX3" s="13" t="s">
        <v>29</v>
      </c>
      <c r="KY3" s="13" t="s">
        <v>14</v>
      </c>
      <c r="KZ3" s="13" t="s">
        <v>9</v>
      </c>
      <c r="LA3" s="13" t="s">
        <v>28</v>
      </c>
      <c r="LB3" s="13" t="s">
        <v>29</v>
      </c>
      <c r="LC3" s="13" t="s">
        <v>14</v>
      </c>
      <c r="LD3" s="13" t="s">
        <v>9</v>
      </c>
      <c r="LE3" s="13" t="s">
        <v>28</v>
      </c>
      <c r="LF3" s="13" t="s">
        <v>29</v>
      </c>
      <c r="LG3" s="13" t="s">
        <v>14</v>
      </c>
      <c r="LH3" s="13" t="s">
        <v>9</v>
      </c>
      <c r="LI3" s="13" t="s">
        <v>28</v>
      </c>
      <c r="LJ3" s="13" t="s">
        <v>29</v>
      </c>
      <c r="LK3" s="16" t="s">
        <v>14</v>
      </c>
      <c r="LL3" s="16" t="s">
        <v>9</v>
      </c>
      <c r="LM3" s="16" t="s">
        <v>28</v>
      </c>
      <c r="LN3" s="16" t="s">
        <v>29</v>
      </c>
      <c r="LO3" s="13"/>
      <c r="LP3" s="13"/>
      <c r="LQ3" s="13"/>
      <c r="LR3" s="13"/>
      <c r="LS3" s="13"/>
      <c r="LT3" s="13"/>
      <c r="LU3" s="13"/>
      <c r="LV3" s="13"/>
      <c r="LW3" s="14" t="s">
        <v>14</v>
      </c>
      <c r="LX3" s="14" t="s">
        <v>9</v>
      </c>
      <c r="LY3" s="14" t="s">
        <v>28</v>
      </c>
      <c r="LZ3" s="14" t="s">
        <v>29</v>
      </c>
      <c r="MA3" s="14" t="s">
        <v>14</v>
      </c>
      <c r="MB3" s="14" t="s">
        <v>9</v>
      </c>
      <c r="MC3" s="14" t="s">
        <v>28</v>
      </c>
      <c r="MD3" s="14" t="s">
        <v>29</v>
      </c>
      <c r="ME3" s="14" t="s">
        <v>14</v>
      </c>
      <c r="MF3" s="14" t="s">
        <v>9</v>
      </c>
      <c r="MG3" s="14" t="s">
        <v>28</v>
      </c>
      <c r="MH3" s="14" t="s">
        <v>29</v>
      </c>
      <c r="MI3" s="14" t="s">
        <v>14</v>
      </c>
      <c r="MJ3" s="14" t="s">
        <v>9</v>
      </c>
      <c r="MK3" s="14" t="s">
        <v>28</v>
      </c>
      <c r="ML3" s="14" t="s">
        <v>29</v>
      </c>
      <c r="MM3" s="15" t="s">
        <v>14</v>
      </c>
      <c r="MN3" s="15" t="s">
        <v>9</v>
      </c>
      <c r="MO3" s="15" t="s">
        <v>28</v>
      </c>
      <c r="MP3" s="15" t="s">
        <v>29</v>
      </c>
      <c r="MQ3" s="14"/>
      <c r="MR3" s="14"/>
      <c r="MS3" s="14"/>
      <c r="MT3" s="14"/>
      <c r="MU3" s="14"/>
      <c r="MV3" s="14"/>
      <c r="MW3" s="14"/>
      <c r="MX3" s="14"/>
      <c r="MY3" s="13" t="s">
        <v>14</v>
      </c>
      <c r="MZ3" s="13" t="s">
        <v>9</v>
      </c>
      <c r="NA3" s="13" t="s">
        <v>28</v>
      </c>
      <c r="NB3" s="13" t="s">
        <v>29</v>
      </c>
      <c r="NC3" s="13" t="s">
        <v>14</v>
      </c>
      <c r="ND3" s="13" t="s">
        <v>9</v>
      </c>
      <c r="NE3" s="13" t="s">
        <v>28</v>
      </c>
      <c r="NF3" s="13" t="s">
        <v>29</v>
      </c>
      <c r="NG3" s="13" t="s">
        <v>14</v>
      </c>
      <c r="NH3" s="13" t="s">
        <v>9</v>
      </c>
      <c r="NI3" s="13" t="s">
        <v>28</v>
      </c>
      <c r="NJ3" s="13" t="s">
        <v>29</v>
      </c>
      <c r="NK3" s="13" t="s">
        <v>14</v>
      </c>
      <c r="NL3" s="13" t="s">
        <v>9</v>
      </c>
      <c r="NM3" s="13" t="s">
        <v>28</v>
      </c>
      <c r="NN3" s="13" t="s">
        <v>29</v>
      </c>
      <c r="NO3" s="16" t="s">
        <v>14</v>
      </c>
      <c r="NP3" s="16" t="s">
        <v>9</v>
      </c>
      <c r="NQ3" s="16" t="s">
        <v>28</v>
      </c>
      <c r="NR3" s="16" t="s">
        <v>29</v>
      </c>
      <c r="NS3" s="13"/>
      <c r="NT3" s="13"/>
      <c r="NU3" s="13"/>
      <c r="NV3" s="13"/>
      <c r="NW3" s="13"/>
      <c r="NX3" s="13"/>
      <c r="NY3" s="13"/>
      <c r="NZ3" s="13"/>
      <c r="OA3" s="14" t="s">
        <v>14</v>
      </c>
      <c r="OB3" s="14" t="s">
        <v>9</v>
      </c>
      <c r="OC3" s="14" t="s">
        <v>28</v>
      </c>
      <c r="OD3" s="14" t="s">
        <v>29</v>
      </c>
      <c r="OE3" s="14" t="s">
        <v>14</v>
      </c>
      <c r="OF3" s="14" t="s">
        <v>9</v>
      </c>
      <c r="OG3" s="14" t="s">
        <v>28</v>
      </c>
      <c r="OH3" s="14" t="s">
        <v>29</v>
      </c>
      <c r="OI3" s="14" t="s">
        <v>14</v>
      </c>
      <c r="OJ3" s="14" t="s">
        <v>9</v>
      </c>
      <c r="OK3" s="14" t="s">
        <v>28</v>
      </c>
      <c r="OL3" s="14" t="s">
        <v>29</v>
      </c>
      <c r="OM3" s="14" t="s">
        <v>14</v>
      </c>
      <c r="ON3" s="14" t="s">
        <v>9</v>
      </c>
      <c r="OO3" s="14" t="s">
        <v>28</v>
      </c>
      <c r="OP3" s="14" t="s">
        <v>29</v>
      </c>
      <c r="OQ3" s="15" t="s">
        <v>14</v>
      </c>
      <c r="OR3" s="15" t="s">
        <v>9</v>
      </c>
      <c r="OS3" s="15" t="s">
        <v>28</v>
      </c>
      <c r="OT3" s="15" t="s">
        <v>29</v>
      </c>
      <c r="OU3" s="14"/>
      <c r="OV3" s="14"/>
      <c r="OW3" s="14"/>
      <c r="OX3" s="14"/>
      <c r="OY3" s="14"/>
      <c r="OZ3" s="14"/>
      <c r="PA3" s="14"/>
      <c r="PB3" s="14"/>
      <c r="PC3" s="13" t="s">
        <v>14</v>
      </c>
      <c r="PD3" s="13" t="s">
        <v>9</v>
      </c>
      <c r="PE3" s="13" t="s">
        <v>28</v>
      </c>
      <c r="PF3" s="13" t="s">
        <v>29</v>
      </c>
      <c r="PG3" s="13" t="s">
        <v>14</v>
      </c>
      <c r="PH3" s="13" t="s">
        <v>9</v>
      </c>
      <c r="PI3" s="13" t="s">
        <v>28</v>
      </c>
      <c r="PJ3" s="13" t="s">
        <v>29</v>
      </c>
      <c r="PK3" s="13" t="s">
        <v>14</v>
      </c>
      <c r="PL3" s="13" t="s">
        <v>9</v>
      </c>
      <c r="PM3" s="13" t="s">
        <v>28</v>
      </c>
      <c r="PN3" s="13" t="s">
        <v>29</v>
      </c>
      <c r="PO3" s="13" t="s">
        <v>14</v>
      </c>
      <c r="PP3" s="13" t="s">
        <v>9</v>
      </c>
      <c r="PQ3" s="13" t="s">
        <v>28</v>
      </c>
      <c r="PR3" s="13" t="s">
        <v>29</v>
      </c>
      <c r="PS3" s="16" t="s">
        <v>14</v>
      </c>
      <c r="PT3" s="16" t="s">
        <v>9</v>
      </c>
      <c r="PU3" s="16" t="s">
        <v>28</v>
      </c>
      <c r="PV3" s="16" t="s">
        <v>29</v>
      </c>
      <c r="PW3" s="13"/>
      <c r="PX3" s="13"/>
      <c r="PY3" s="13"/>
      <c r="PZ3" s="13"/>
      <c r="QA3" s="13"/>
      <c r="QB3" s="13"/>
      <c r="QC3" s="13"/>
      <c r="QD3" s="13"/>
      <c r="QE3" s="14" t="s">
        <v>14</v>
      </c>
      <c r="QF3" s="14" t="s">
        <v>9</v>
      </c>
      <c r="QG3" s="14" t="s">
        <v>28</v>
      </c>
      <c r="QH3" s="14" t="s">
        <v>29</v>
      </c>
      <c r="QI3" s="14" t="s">
        <v>14</v>
      </c>
      <c r="QJ3" s="14" t="s">
        <v>9</v>
      </c>
      <c r="QK3" s="14" t="s">
        <v>28</v>
      </c>
      <c r="QL3" s="14" t="s">
        <v>29</v>
      </c>
      <c r="QM3" s="14" t="s">
        <v>14</v>
      </c>
      <c r="QN3" s="14" t="s">
        <v>9</v>
      </c>
      <c r="QO3" s="14" t="s">
        <v>28</v>
      </c>
      <c r="QP3" s="14" t="s">
        <v>29</v>
      </c>
      <c r="QQ3" s="14" t="s">
        <v>14</v>
      </c>
      <c r="QR3" s="14" t="s">
        <v>9</v>
      </c>
      <c r="QS3" s="14" t="s">
        <v>28</v>
      </c>
      <c r="QT3" s="14" t="s">
        <v>29</v>
      </c>
      <c r="QU3" s="15" t="s">
        <v>14</v>
      </c>
      <c r="QV3" s="15" t="s">
        <v>9</v>
      </c>
      <c r="QW3" s="15" t="s">
        <v>28</v>
      </c>
      <c r="QX3" s="15" t="s">
        <v>29</v>
      </c>
      <c r="QY3" s="14"/>
      <c r="QZ3" s="14"/>
      <c r="RA3" s="14"/>
      <c r="RB3" s="14"/>
      <c r="RC3" s="14"/>
      <c r="RD3" s="14"/>
      <c r="RE3" s="14"/>
      <c r="RF3" s="14"/>
      <c r="RG3" s="13" t="s">
        <v>14</v>
      </c>
      <c r="RH3" s="13" t="s">
        <v>9</v>
      </c>
      <c r="RI3" s="13" t="s">
        <v>28</v>
      </c>
      <c r="RJ3" s="13" t="s">
        <v>29</v>
      </c>
      <c r="RK3" s="13" t="s">
        <v>14</v>
      </c>
      <c r="RL3" s="13" t="s">
        <v>9</v>
      </c>
      <c r="RM3" s="13" t="s">
        <v>28</v>
      </c>
      <c r="RN3" s="13" t="s">
        <v>29</v>
      </c>
      <c r="RO3" s="13" t="s">
        <v>14</v>
      </c>
      <c r="RP3" s="13" t="s">
        <v>9</v>
      </c>
      <c r="RQ3" s="13" t="s">
        <v>28</v>
      </c>
      <c r="RR3" s="13" t="s">
        <v>29</v>
      </c>
      <c r="RS3" s="13" t="s">
        <v>14</v>
      </c>
      <c r="RT3" s="13" t="s">
        <v>9</v>
      </c>
      <c r="RU3" s="13" t="s">
        <v>28</v>
      </c>
      <c r="RV3" s="13" t="s">
        <v>29</v>
      </c>
      <c r="RW3" s="16" t="s">
        <v>14</v>
      </c>
      <c r="RX3" s="16" t="s">
        <v>9</v>
      </c>
      <c r="RY3" s="16" t="s">
        <v>28</v>
      </c>
      <c r="RZ3" s="16" t="s">
        <v>29</v>
      </c>
      <c r="SA3" s="13"/>
      <c r="SB3" s="13"/>
      <c r="SC3" s="13"/>
      <c r="SD3" s="13"/>
      <c r="SE3" s="13"/>
      <c r="SF3" s="13"/>
      <c r="SG3" s="13"/>
      <c r="SH3" s="13"/>
      <c r="SI3" s="14" t="s">
        <v>14</v>
      </c>
      <c r="SJ3" s="14" t="s">
        <v>9</v>
      </c>
      <c r="SK3" s="14" t="s">
        <v>28</v>
      </c>
      <c r="SL3" s="14" t="s">
        <v>29</v>
      </c>
      <c r="SM3" s="14" t="s">
        <v>14</v>
      </c>
      <c r="SN3" s="14" t="s">
        <v>9</v>
      </c>
      <c r="SO3" s="14" t="s">
        <v>28</v>
      </c>
      <c r="SP3" s="14" t="s">
        <v>29</v>
      </c>
      <c r="SQ3" s="14" t="s">
        <v>14</v>
      </c>
      <c r="SR3" s="14" t="s">
        <v>9</v>
      </c>
      <c r="SS3" s="14" t="s">
        <v>28</v>
      </c>
      <c r="ST3" s="14" t="s">
        <v>29</v>
      </c>
      <c r="SU3" s="14" t="s">
        <v>14</v>
      </c>
      <c r="SV3" s="14" t="s">
        <v>9</v>
      </c>
      <c r="SW3" s="14" t="s">
        <v>28</v>
      </c>
      <c r="SX3" s="14" t="s">
        <v>29</v>
      </c>
      <c r="SY3" s="15" t="s">
        <v>14</v>
      </c>
      <c r="SZ3" s="15" t="s">
        <v>9</v>
      </c>
      <c r="TA3" s="15" t="s">
        <v>28</v>
      </c>
      <c r="TB3" s="15" t="s">
        <v>29</v>
      </c>
      <c r="TC3" s="14"/>
      <c r="TD3" s="14"/>
      <c r="TE3" s="14"/>
      <c r="TF3" s="14"/>
      <c r="TG3" s="14"/>
      <c r="TH3" s="14"/>
      <c r="TI3" s="14"/>
      <c r="TJ3" s="14"/>
      <c r="TK3" s="13" t="s">
        <v>14</v>
      </c>
      <c r="TL3" s="13" t="s">
        <v>9</v>
      </c>
      <c r="TM3" s="13" t="s">
        <v>28</v>
      </c>
      <c r="TN3" s="13" t="s">
        <v>29</v>
      </c>
      <c r="TO3" s="13" t="s">
        <v>14</v>
      </c>
      <c r="TP3" s="13" t="s">
        <v>9</v>
      </c>
      <c r="TQ3" s="13" t="s">
        <v>28</v>
      </c>
      <c r="TR3" s="13" t="s">
        <v>29</v>
      </c>
      <c r="TS3" s="13" t="s">
        <v>14</v>
      </c>
      <c r="TT3" s="13" t="s">
        <v>9</v>
      </c>
      <c r="TU3" s="13" t="s">
        <v>28</v>
      </c>
      <c r="TV3" s="13" t="s">
        <v>29</v>
      </c>
      <c r="TW3" s="13" t="s">
        <v>14</v>
      </c>
      <c r="TX3" s="13" t="s">
        <v>9</v>
      </c>
      <c r="TY3" s="13" t="s">
        <v>28</v>
      </c>
      <c r="TZ3" s="13" t="s">
        <v>29</v>
      </c>
      <c r="UA3" s="62" t="s">
        <v>14</v>
      </c>
      <c r="UB3" s="62" t="s">
        <v>9</v>
      </c>
      <c r="UC3" s="62" t="s">
        <v>28</v>
      </c>
      <c r="UD3" s="62" t="s">
        <v>29</v>
      </c>
      <c r="UE3" s="13" t="s">
        <v>52</v>
      </c>
      <c r="UF3" s="13"/>
      <c r="UG3" s="13"/>
      <c r="UH3" s="13"/>
      <c r="UI3" s="13"/>
      <c r="UJ3" s="13"/>
      <c r="UK3" s="13"/>
      <c r="UL3" s="13"/>
      <c r="UM3" s="13"/>
    </row>
    <row r="4" spans="1:559" x14ac:dyDescent="0.2">
      <c r="A4" s="4" cm="1">
        <f t="array" ref="A4">IF(AND(H4&lt;&gt;"",H4&lt;&gt;"No DD"),SUMPRODUCT((H$4:H$12&lt;&gt;"")*(H$4:H$12&lt;&gt;"No DD")*(E$4:E$12&gt;E4))+1,IF(H4="No DD",SUMPRODUCT((H$4:H$12="No DD")*(E$4:E$12&gt;E4))+1+SUMPRODUCT((H$4:H$12&lt;&gt;"")*(H$4:H$12&lt;&gt;"No DD")),""))</f>
        <v>1</v>
      </c>
      <c r="B4" s="5" t="s">
        <v>156</v>
      </c>
      <c r="C4" s="4" t="s">
        <v>3</v>
      </c>
      <c r="D4" s="4">
        <v>2006</v>
      </c>
      <c r="E4" s="9">
        <f t="shared" ref="E4:E11" si="0">SUM(J4:R4)+SUM(J4:N4)*0.0000001+SUM(J4)*0.0000000000001</f>
        <v>184.90001320000519</v>
      </c>
      <c r="F4" s="3" t="str">
        <f t="shared" ref="F4:F11" si="1">IF(OR(AND(AP4&gt;=AW$14,AQ4&gt;=AW$18,AP4&lt;&gt;"",AO4=""),AND(AU4&gt;=AW$14,AV4&gt;=AW$18,AU4&lt;&gt;"",AO4=""),AND(BS4&gt;=BZ$14,BT4&gt;=BZ$18,BS4&lt;&gt;"",BR4=""),AND(BX4&gt;=BZ$14,BY4&gt;=BZ$18,BX4&lt;&gt;"",BR4=""),AND(CV4&gt;=DC$14,CW4&gt;=DC$18,CV4&lt;&gt;"",CU4=""),AND(DA4&gt;=DC$14,DB4&gt;=DC$18,DA4&lt;&gt;""),AND(EA4&gt;=EH$14,EB4&gt;=EH$18,EA4&lt;&gt;""),AND(EF4&gt;=EH$14,EG4&gt;=EH$18,EF4&lt;&gt;""),AND(FC4&gt;=FJ$14,FD4&gt;=FJ$18,FC4&lt;&gt;""),AND(FH4&gt;=FJ$14,FI4&gt;=FJ$18,FH4&lt;&gt;""),AND(GE4&gt;=GL$14,GF4&gt;=GL$18,GE4&lt;&gt;""),AND(GJ4&gt;=GL$14,GK4&gt;=GL$18,GJ4&lt;&gt;""),AND(HG4&gt;=HN$14,HH4&gt;=HN$18,HG4&lt;&gt;""),AND(HL4&gt;=HN$14,HM4&gt;=HN$18,HL4&lt;&gt;""),AND(II4&gt;=IP$14,IJ4&gt;=IP$18,II4&lt;&gt;""),AND(IN4&gt;=IP$14,IO4&gt;=IP$18,IN4&lt;&gt;""),AND(JK4&gt;=JR$14,JL4&gt;=JR$18,JK4&lt;&gt;""),AND(JP4&gt;=JR$14,JQ4&gt;=JR$18,JP4&lt;&gt;""),AND(KM4&gt;=KT$14,KN4&gt;=KT$18,KM4&lt;&gt;""),AND(KR4&gt;=KT$14,KS4&gt;=KT$18,KR4&lt;&gt;""),AND(LO4&gt;=LV$14,LP4&gt;=LV$18,LO4&lt;&gt;""),AND(LT4&gt;=LV$14,LU4&gt;=LV$18,LT4&lt;&gt;""),AND(MQ4&gt;=MX$14,MR4&gt;=MX$18,MQ4&lt;&gt;""),AND(MV4&gt;=MX$14,MW4&gt;=MX$18,MV4&lt;&gt;""),AND(NS4&gt;=NZ$14,NT4&gt;=NZ$18,NS4&lt;&gt;""),AND(NX4&gt;=NZ$14,NY4&gt;=NZ$18,NX4&lt;&gt;""),AND(OU4&gt;=PB$14,OV4&gt;=PB$18,OU4&lt;&gt;""),AND(OZ4&gt;=PB$14,PA4&gt;=PB$18,OZ4&lt;&gt;""),AND(PW4&gt;=QD$14,PX4&gt;=QD$18,PW4&lt;&gt;""),AND(QB4&gt;=QD$14,QC4&gt;=QD$18,QB4&lt;&gt;""),AND(QY4&gt;=RF$14,QZ4&gt;=RF$18,QY4&lt;&gt;""),AND(RD4&gt;=RF$14,RE4&gt;=RF$18,RD4&lt;&gt;""),AND(SA4&gt;=SH$14,SB4&gt;=SH$18,SA4&lt;&gt;""),AND(SF4&gt;=SH$14,SG4&gt;=SH$18,SF4&lt;&gt;""),AND(TC4&gt;=TJ$14,TD4&gt;=TJ$18,TC4&lt;&gt;""),AND(TI4&gt;=TJ$14,TJ4&gt;=TJ$18,TI4&lt;&gt;"")),"P","")</f>
        <v>P</v>
      </c>
      <c r="G4" s="3" t="str">
        <f t="shared" ref="G4:G11" si="2">IF(OR(AND(AQ4&gt;=AW$18,AQ4&lt;&gt;"",AO4=""),AND(AV4&gt;=AW$18,AV4&lt;&gt;"",AO4=""),AND(BT4&gt;=BZ$18,BT4&lt;&gt;"",BR4=""),AND(BY4&gt;=BZ$18,BY4&lt;&gt;"",BR4=""),AND(CW4&gt;=DC$18,CW4&lt;&gt;"",CU4=""),AND(DB4&gt;=DC$18,DB4&lt;&gt;"",CU4=""),AND(EB4&gt;=EH$18,EB4&lt;&gt;""),AND(EG4&gt;=EH$18,EG4&lt;&gt;""),AND(FD4&gt;=FJ$18,FD4&lt;&gt;""),AND(FI4&gt;=FJ$18,FI4&lt;&gt;""),AND(GF4&gt;=GL$18,GF4&lt;&gt;""),AND(GK4&gt;=GL$18,GK4&lt;&gt;""),AND(HH4&gt;=HN$18,HH4&lt;&gt;""),AND(HM4&gt;=HN$18,HM4&lt;&gt;""),AND(IJ4&gt;=IP$18,IJ4&lt;&gt;""),AND(IO4&gt;=IP$18,IO4&lt;&gt;""),AND(JL4&gt;=JR$18,JL4&lt;&gt;""),AND(JQ4&gt;=JR$18,JQ4&lt;&gt;""),AND(KN4&gt;=KT$18,KN4&lt;&gt;""),AND(KS4&gt;=KT$18,KS4&lt;&gt;""),AND(LP4&gt;=LV$18,LP4&lt;&gt;""),AND(LU4&gt;=LV$18,LU4&lt;&gt;""),AND(MR4&gt;=MX$18,MR4&lt;&gt;""),AND(MW4&gt;=MX$18,MW4&lt;&gt;""),AND(NT4&gt;=NZ$18,NT4&lt;&gt;""),AND(NY4&gt;=NZ$18,NY4&lt;&gt;""),AND(OV4&gt;=PB$18,OV4&lt;&gt;""),AND(PA4&gt;=PB$18,PA4&lt;&gt;""),AND(PX4&gt;=QD$18,PX4&lt;&gt;""),AND(QC4&gt;=QD$18,QC4&lt;&gt;""),AND(QZ4&gt;=RF$18,QZ4&lt;&gt;""),AND(RE4&gt;=RF$18,RE4&lt;&gt;""),AND(SB4&gt;=SH$18,SB4&lt;&gt;""),AND(SG4&gt;=SH$18,SG4&lt;&gt;""),AND(TD4&gt;=TJ$18,TD4&lt;&gt;""),AND(TJ4&gt;=TJ$18,TJ4&lt;&gt;"")),"P","")</f>
        <v>P</v>
      </c>
      <c r="H4" s="36" t="str">
        <f t="shared" ref="H4:H11" si="3">IF(AND(G4="P",F4=""),"No DD",IF(OR(AND(AS4&gt;=AW$17,AT4&gt;=AW$21,AS4&lt;&gt;"",AO4=""),AND(BV4&gt;=BZ$17,BW4&gt;=BZ$21,BV4&lt;&gt;"",BR4=""),AND(CY4&gt;=DC$17,CZ4&gt;=DC$21,CY4&lt;&gt;"",CU4=""),AND(ED4&gt;=EH$17,EE4&gt;=EH$21,ED4&lt;&gt;""),AND(FF4&gt;=FJ$17,FG4&gt;=FJ$21,FF4&lt;&gt;""),AND(GH4&gt;=GL$17,GI4&gt;=GL$21,GH4&lt;&gt;""),AND(HJ4&gt;=HN$17,HK4&gt;=HN$21,HJ4&lt;&gt;""),AND(IL4&gt;=IP$17,IM4&gt;=IP$21,IL4&lt;&gt;""),AND(JN4&gt;=JR$17,JO4&gt;=JR$21,JN4&lt;&gt;""),AND(KP4&gt;=KT$17,KQ4&gt;=KT$21,KP4&lt;&gt;""),AND(LR4&gt;=LV$17,LS4&gt;=LV$21,LR4&lt;&gt;""),AND(MT4&gt;=MX$17,MU4&gt;=MX$21,MT4&lt;&gt;""),AND(NV4&gt;=NZ$17,NW4&gt;=NZ$21,NV4&lt;&gt;""),AND(OX4&gt;=PB$17,OY4&gt;=PB$21,OX4&lt;&gt;""),AND(PZ4&gt;=QD$17,QA4&gt;=QD$21,PZ4&lt;&gt;""),AND(RB4&gt;=RF$17,RC4&gt;=RF$21,RB4&lt;&gt;""),AND(SD4&gt;=SH$17,SE4&gt;=SH$21,SD4&lt;&gt;""),AND(TF4&gt;=TJ$17,TG4&gt;=TJ$21,TF4&lt;&gt;"")),"Merit",IF(OR(AND(AS4&gt;=AW$16,AT4&gt;=AW$20,AS4&lt;&gt;"",AO4=""),AND(BV4&gt;=BZ$16,BW4&gt;=BZ$20,BV4&lt;&gt;"",BR4=""),AND(CY4&gt;=DC$16,CZ4&gt;=DC$20,CY4&lt;&gt;"",CU4=""),AND(ED4&gt;=EH$16,EE4&gt;=EH$20,ED4&lt;&gt;""),AND(FF4&gt;=FJ$16,FG4&gt;=FJ$20,FF4&lt;&gt;""),AND(GH4&gt;=GL$16,GI4&gt;=GL$20,GH4&lt;&gt;""),AND(HJ4&gt;=HN$16,HK4&gt;=HN$20,HJ4&lt;&gt;""),AND(IL4&gt;=IP$16,IM4&gt;=IP$20,IL4&lt;&gt;""),AND(JN4&gt;=JR$16,JO4&gt;=JR$20,JN4&lt;&gt;""),AND(KP4&gt;=KT$16,KQ4&gt;=KT$20,KP4&lt;&gt;""),AND(LR4&gt;=LV$16,LS4&gt;=LV$20,LR4&lt;&gt;""),AND(MT4&gt;=MX$16,MU4&gt;=MX$20,MT4&lt;&gt;""),AND(NV4&gt;=NZ$16,NW4&gt;=NZ$20,NV4&lt;&gt;""),AND(OX4&gt;=PB$16,OY4&gt;=PB$20,OX4&lt;&gt;""),AND(PZ4&gt;=QD$16,QA4&gt;=QD$20,PZ4&lt;&gt;""),AND(RB4&gt;=RF$16,RC4&gt;=RF$20,RB4&lt;&gt;""),AND(SD4&gt;=SH$16,SE4&gt;=SH$20,SD4&lt;&gt;""),AND(TF4&gt;=TJ$16,TG4&gt;=TJ$20,TF4&lt;&gt;"")),"Excellence",IF(I4="P","Worlds Team",IF(F4="P","National Team","")))))</f>
        <v>Merit</v>
      </c>
      <c r="I4" s="3" t="str">
        <f t="shared" ref="I4:I11" si="4">IF(OR(AND(AS4&gt;=AW$15,AT4&gt;=AW$19,AS4&lt;&gt;"",AO4=""),AND(BV4&gt;=BZ$15,BW4&gt;=BZ$19,BV4&lt;&gt;"",BR4=""),AND(CY4&gt;=DC$15,CZ4&gt;=DC$19,CY4&lt;&gt;"",CU4=""),AND(ED4&gt;=EH$15,EE4&gt;=EH$19,ED4&lt;&gt;""),AND(FF4&gt;=FJ$15,FG4&gt;=FJ$19,FF4&lt;&gt;""),AND(GH4&gt;=GL$15,GI4&gt;=GL$19,GH4&lt;&gt;""),AND(HJ4&gt;=HN$15,HK4&gt;=HN$19,HJ4&lt;&gt;""),AND(IL4&gt;=IP$15,IM4&gt;=IP$19,IL4&lt;&gt;""),AND(JN4&gt;=JR$15,JO4&gt;=JR$19,JN4&lt;&gt;""),AND(KP4&gt;=KT$15,KQ4&gt;=KT$19,KP4&lt;&gt;""),AND(LR4&gt;=LV$15,LS4&gt;=LV$19,LR4&lt;&gt;""),AND(MT4&gt;=MX$15,MU4&gt;=MX$19,MT4&lt;&gt;""),AND(NV4&gt;=NZ$15,NW4&gt;=NZ$19,NV4&lt;&gt;""),AND(OX4&gt;=PB$15,OY4&gt;=PB$19,OX4&lt;&gt;""),AND(PZ4&gt;=QD$15,QA4&gt;=QD$19,PZ4&lt;&gt;""),AND(RB4&gt;=RF$15,RC4&gt;=RF$19,RB4&lt;&gt;""),AND(SD4&gt;=SH$15,SE4&gt;=SH$19,SD4&lt;&gt;""),AND(TF4&gt;=TJ$15,TG4&gt;=TJ$19,TF4&lt;&gt;"")),"P","")</f>
        <v>P</v>
      </c>
      <c r="J4" s="8">
        <f>IF(COUNT(AQ4,BT4,CW4)&gt;0,LARGE((AQ4,BT4,CW4),1),0)</f>
        <v>51.8</v>
      </c>
      <c r="K4" s="8" t="str">
        <f t="shared" ref="K4:K11" si="5">IF(J4=0,"",IF(J4=CW4,$CA$1,IF(J4=BT4,$AX$1,IF(J4=AQ4,$U$1,""))))</f>
        <v>2024 Nationals</v>
      </c>
      <c r="L4" s="8">
        <f>IF(COUNT(AQ4,BT4,CW4)&gt;1,LARGE((AQ4,BT4,CW4),2),0)</f>
        <v>51.7</v>
      </c>
      <c r="M4" s="8" t="str">
        <f t="shared" ref="M4:M11" si="6">IF(K4=0,"",IF(AND(L4=J4,L4=AQ4,K4=BT4),$U$1,IF(AND(L4=J4,L4=AQ4,L4=CW4),$U$1,IF(AND(L4=J4,L4=CW4,L4=BT4),$AX$1,IF(L4=CW4,$CA$1,IF(L4=BT4,$AX$1,IF(L4=AQ4,$U$1,"")))))))</f>
        <v>2024 Elite Canada</v>
      </c>
      <c r="N4" s="8">
        <f>IF(COUNT(AR4,BU4,CX4)&gt;0,LARGE((AR4,BU4,CX4),1),0)</f>
        <v>28.5</v>
      </c>
      <c r="O4" s="8" t="str">
        <f t="shared" ref="O4:O11" si="7">IF(N4=0,"",IF(N4=CX4,$CA$1,IF(N4=BU4,$AX$1,IF(N4=AR4,$U$1,""))))</f>
        <v>2024 Elite Canada</v>
      </c>
      <c r="P4" s="8">
        <f t="shared" ref="P4:P11" si="8">IF(MAX(AV4,BY4,DB4)&gt;0,MAX(AV4,BY4,DB4),0)</f>
        <v>52.900000000000006</v>
      </c>
      <c r="Q4" s="8" t="str">
        <f t="shared" ref="Q4:Q11" si="9">IF(P4=0,"",IF(P4=DB4,$CA$1,IF(P4=BY4,$AX$1,IF(P4=AV4,$U$1,""))))</f>
        <v>2024 Elite Canada</v>
      </c>
      <c r="R4" s="8" t="str">
        <f t="shared" ref="R4:R11" si="10">IF(MAX(DD4:DF4)&gt;0,MAX(DD4:DF4),"")</f>
        <v/>
      </c>
      <c r="S4" s="11" t="str">
        <f t="shared" ref="S4:S11" si="11">IF(R4="","",IF(R4=DD4,"("&amp;DD$2&amp;")",IF(R4=DE4,"("&amp;DE$2&amp;")",IF(R4=DF4,"("&amp;DF$2&amp;")"))))</f>
        <v/>
      </c>
      <c r="T4" s="8" t="str">
        <f t="shared" ref="T4:T11" si="12">IF(R4="","",IF(R4=DD4,IF(R4+IF(L4="",0,L4)=TD4,$SI$1,IF(R4+IF(L4="",0,L4)=SB4,$RG$1,IF(R4+IF(L4="",0,L4)=QZ4,$QE$1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))),IF(R4=DE4,IF(R4+IF(N4="",0,N4)=TE4,$SI$1,IF(R4+IF(N4="",0,N4)=SC4,$RG$1,IF(R4+IF(N4="",0,N4)=RA4,$QE$1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))),IF(R4=DF4,IF(R4+IF(P4="",0,P4)=TI4,$SI$1,IF(R4+IF(P4="",0,P4)=SG4,$RG$1,IF(R4+IF(P4="",0,P4)=RE4,$QE$1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)))</f>
        <v/>
      </c>
      <c r="U4" s="19">
        <v>18.600000000000001</v>
      </c>
      <c r="V4" s="19">
        <v>8.1999999999999993</v>
      </c>
      <c r="W4" s="19">
        <v>0</v>
      </c>
      <c r="X4" s="19">
        <v>0</v>
      </c>
      <c r="Y4" s="19">
        <v>18.399999999999999</v>
      </c>
      <c r="Z4" s="19">
        <v>6.5</v>
      </c>
      <c r="AA4" s="19">
        <v>0</v>
      </c>
      <c r="AB4" s="19">
        <v>0</v>
      </c>
      <c r="AC4" s="19">
        <v>19.2</v>
      </c>
      <c r="AD4" s="19">
        <v>9.3000000000000007</v>
      </c>
      <c r="AE4" s="19">
        <v>0</v>
      </c>
      <c r="AF4" s="19">
        <v>0</v>
      </c>
      <c r="AG4" s="19">
        <v>18.5</v>
      </c>
      <c r="AH4" s="19">
        <v>8.1999999999999993</v>
      </c>
      <c r="AI4" s="19">
        <v>0</v>
      </c>
      <c r="AJ4" s="19">
        <v>0</v>
      </c>
      <c r="AK4" s="19">
        <v>18.5</v>
      </c>
      <c r="AL4" s="19">
        <v>7.7</v>
      </c>
      <c r="AM4" s="19">
        <v>0</v>
      </c>
      <c r="AN4" s="19">
        <v>0</v>
      </c>
      <c r="AO4" s="27"/>
      <c r="AP4" s="40">
        <f t="shared" ref="AP4:AP11" si="13">IF(SUM(V4,Z4)&gt;0,SUM(V4,Z4),"")</f>
        <v>14.7</v>
      </c>
      <c r="AQ4" s="40">
        <f t="shared" ref="AQ4:AQ11" si="14">IF(SUM(U4:V4,X4:Z4,AB4)-W4-AA4&gt;0,SUM(U4:V4,X4:Z4,AB4)-W4-AA4,"")</f>
        <v>51.7</v>
      </c>
      <c r="AR4" s="40">
        <f t="shared" ref="AR4:AR11" si="15">IF(SUM(AC4:AD4,AF4)-AE4&gt;0,SUM(AC4:AD4,AF4)-AE4,"")</f>
        <v>28.5</v>
      </c>
      <c r="AS4" s="40">
        <f t="shared" ref="AS4:AS11" si="16">IF(SUM(V4,Z4,AD4)&gt;0,SUM(V4,Z4,AD4),"")</f>
        <v>24</v>
      </c>
      <c r="AT4" s="40">
        <f t="shared" ref="AT4:AT11" si="17">IF(SUM(AQ4,AR4)&gt;0,SUM(AQ4,AR4),"")</f>
        <v>80.2</v>
      </c>
      <c r="AU4" s="40">
        <f t="shared" ref="AU4:AU11" si="18">IF(SUM(AH4,AL4)&gt;0,SUM(AH4,AL4),"")</f>
        <v>15.899999999999999</v>
      </c>
      <c r="AV4" s="40">
        <f t="shared" ref="AV4:AV11" si="19">IF(SUM(AG4:AH4,AJ4:AL4,AN4)-SUM(AI4,AM4)&gt;0,SUM(AG4:AH4,AJ4:AL4,AN4)-SUM(AI4,AM4),"")</f>
        <v>52.900000000000006</v>
      </c>
      <c r="AW4" s="40">
        <f t="shared" ref="AW4:AW11" si="20">IF(SUM(AQ4,AR4,AV4)&gt;0,SUM(AQ4,AR4,AV4),"")</f>
        <v>133.10000000000002</v>
      </c>
      <c r="AX4" s="18">
        <v>18.600000000000001</v>
      </c>
      <c r="AY4" s="18">
        <v>8.5</v>
      </c>
      <c r="AZ4" s="18">
        <v>0</v>
      </c>
      <c r="BA4" s="18">
        <v>0</v>
      </c>
      <c r="BB4" s="18">
        <v>18.2</v>
      </c>
      <c r="BC4" s="18">
        <v>6.5</v>
      </c>
      <c r="BD4" s="18">
        <v>0</v>
      </c>
      <c r="BE4" s="18">
        <v>0</v>
      </c>
      <c r="BF4" s="18">
        <v>18.399999999999999</v>
      </c>
      <c r="BG4" s="18">
        <v>7.7</v>
      </c>
      <c r="BH4" s="18">
        <v>0</v>
      </c>
      <c r="BI4" s="18">
        <v>0</v>
      </c>
      <c r="BJ4" s="18">
        <v>18.600000000000001</v>
      </c>
      <c r="BK4" s="18">
        <v>6.9</v>
      </c>
      <c r="BL4" s="18">
        <v>0</v>
      </c>
      <c r="BM4" s="18">
        <v>0</v>
      </c>
      <c r="BN4" s="18">
        <v>18.600000000000001</v>
      </c>
      <c r="BO4" s="18">
        <v>6.9</v>
      </c>
      <c r="BP4" s="18">
        <v>0</v>
      </c>
      <c r="BQ4" s="18">
        <v>0</v>
      </c>
      <c r="BR4" s="28"/>
      <c r="BS4" s="11">
        <f t="shared" ref="BS4:BS11" si="21">IF(SUM(AY4,BC4)&gt;0,SUM(AY4,BC4),"")</f>
        <v>15</v>
      </c>
      <c r="BT4" s="11">
        <f t="shared" ref="BT4:BT11" si="22">IF(SUM(AX4:AY4,BA4:BC4,BE4)-AZ4-BD4&gt;0,SUM(AX4:AY4,BA4:BC4,BE4)-AZ4-BD4,"")</f>
        <v>51.8</v>
      </c>
      <c r="BU4" s="11">
        <f t="shared" ref="BU4:BU11" si="23">IF(SUM(BF4:BG4,BI4)-BH4&gt;0,SUM(BF4:BG4,BI4)-BH4,"")</f>
        <v>26.099999999999998</v>
      </c>
      <c r="BV4" s="11">
        <f t="shared" ref="BV4:BV11" si="24">IF(SUM(AY4,BC4,BG4)&gt;0,SUM(AY4,BC4,BG4),"")</f>
        <v>22.7</v>
      </c>
      <c r="BW4" s="11">
        <f t="shared" ref="BW4:BW11" si="25">IF(SUM(BT4,BU4)&gt;0,SUM(BT4,BU4),"")</f>
        <v>77.899999999999991</v>
      </c>
      <c r="BX4" s="11">
        <f t="shared" ref="BX4:BX11" si="26">IF(SUM(BK4,BO4)&gt;0,SUM(BK4,BO4),"")</f>
        <v>13.8</v>
      </c>
      <c r="BY4" s="11">
        <f t="shared" ref="BY4:BY11" si="27">IF(SUM(BJ4:BK4,BM4:BO4,BQ4)-SUM(BL4,BP4)&gt;0,SUM(BJ4:BK4,BM4:BO4,BQ4)-SUM(BL4,BP4),"")</f>
        <v>51</v>
      </c>
      <c r="BZ4" s="11">
        <f t="shared" ref="BZ4:BZ11" si="28">IF(SUM(BT4,BU4,BY4)&gt;0,SUM(BT4,BU4,BY4),"")</f>
        <v>128.89999999999998</v>
      </c>
      <c r="CA4" s="19">
        <v>18.3</v>
      </c>
      <c r="CB4" s="19">
        <v>8.5</v>
      </c>
      <c r="CC4" s="19">
        <v>0</v>
      </c>
      <c r="CD4" s="19">
        <v>0</v>
      </c>
      <c r="CE4" s="19">
        <v>18.3</v>
      </c>
      <c r="CF4" s="19">
        <v>6.5</v>
      </c>
      <c r="CG4" s="19">
        <v>0</v>
      </c>
      <c r="CH4" s="19">
        <v>0</v>
      </c>
      <c r="CI4" s="19">
        <v>18.3</v>
      </c>
      <c r="CJ4" s="19">
        <v>8.5</v>
      </c>
      <c r="CK4" s="19">
        <v>0</v>
      </c>
      <c r="CL4" s="19">
        <v>0</v>
      </c>
      <c r="CM4" s="19">
        <v>18.399999999999999</v>
      </c>
      <c r="CN4" s="19">
        <v>8.5</v>
      </c>
      <c r="CO4" s="19">
        <v>0</v>
      </c>
      <c r="CP4" s="19">
        <v>0</v>
      </c>
      <c r="CQ4" s="19">
        <v>18.2</v>
      </c>
      <c r="CR4" s="19">
        <v>7.7</v>
      </c>
      <c r="CS4" s="19">
        <v>0</v>
      </c>
      <c r="CT4" s="19">
        <v>0</v>
      </c>
      <c r="CU4" s="27"/>
      <c r="CV4" s="40">
        <f t="shared" ref="CV4:CV11" si="29">IF(SUM(CB4,CF4)&gt;0,SUM(CB4,CF4),"")</f>
        <v>15</v>
      </c>
      <c r="CW4" s="40">
        <f t="shared" ref="CW4:CW11" si="30">IF(SUM(CA4:CB4,CD4:CF4,CH4)-CC4-CG4&gt;0,SUM(CA4:CB4,CD4:CF4,CH4)-CC4-CG4,"")</f>
        <v>51.6</v>
      </c>
      <c r="CX4" s="40">
        <f t="shared" ref="CX4:CX11" si="31">IF(SUM(CI4:CJ4,CL4)-CK4&gt;0,SUM(CI4:CJ4,CL4)-CK4,"")</f>
        <v>26.8</v>
      </c>
      <c r="CY4" s="40">
        <f t="shared" ref="CY4:CY11" si="32">IF(SUM(CB4,CF4,CJ4)&gt;0,SUM(CB4,CF4,CJ4),"")</f>
        <v>23.5</v>
      </c>
      <c r="CZ4" s="40">
        <f t="shared" ref="CZ4:CZ11" si="33">IF(SUM(CW4,CX4)&gt;0,SUM(CW4,CX4),"")</f>
        <v>78.400000000000006</v>
      </c>
      <c r="DA4" s="40">
        <f t="shared" ref="DA4:DA11" si="34">IF(SUM(CN4,CR4)&gt;0,SUM(CN4,CR4),"")</f>
        <v>16.2</v>
      </c>
      <c r="DB4" s="40">
        <f t="shared" ref="DB4:DB11" si="35">IF(SUM(CM4:CN4,CP4:CR4,CT4)-SUM(CO4,CS4)&gt;0,SUM(CM4:CN4,CP4:CR4,CT4)-SUM(CO4,CS4),"")</f>
        <v>52.8</v>
      </c>
      <c r="DC4" s="40">
        <f t="shared" ref="DC4:DC11" si="36">IF(SUM(CW4,CX4,DB4)&gt;0,SUM(CW4,CX4,DB4),"")</f>
        <v>131.19999999999999</v>
      </c>
      <c r="DD4" s="51" t="str">
        <f t="shared" ref="DD4:DD11" si="37">IF(MAX(EB4,FD4,GF4,HH4,IJ4,JL4,KN4,LP4,MR4,NT4,OV4,PX4,QZ4,SB4,TD4)-IF(L4="",0,L4)&gt;0.001,MAX(EB4,FD4,GF4,HH4,IJ4,JL4,KN4,LP4,MR4,NT4,OV4,PX4,QZ4,SB4,TD4)-IF(L4="",0,L4),"")</f>
        <v/>
      </c>
      <c r="DE4" s="51" t="str">
        <f t="shared" ref="DE4:DE11" si="38">IF(MAX(EC4,FE4,GG4,HI4,IK4,JM4,KO4,LQ4,MS4,NU4,OW4,PY4,RA4,SC4,TE4)-IF(N4="",0,N4)&gt;0.001,MAX(EC4,FE4,GG4,HI4,IK4,JM4,KO4,LQ4,MS4,NU4,OW4,PY4,RA4,SC4,TE4)-IF(N4="",0,N4),"")</f>
        <v/>
      </c>
      <c r="DF4" s="51" t="str">
        <f t="shared" ref="DF4:DF11" si="39">IF(MAX(EG4,FI4,GK4,HM4,IO4,JQ4,KS4,LU4,MW4,NY4,PA4,QC4,RE4,SG4,TI4)-IF(P4="",0,P4)&gt;0.001,MAX(EG4,FI4,GK4,HM4,IO4,JQ4,KS4,LU4,MW4,NY4,PA4,QC4,RE4,SG4,TI4)-IF(P4="",0,P4),"")</f>
        <v/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0" t="str">
        <f t="shared" ref="EA4:EA11" si="40">IF(SUM(DH4,DL4)&gt;0,SUM(DH4,DL4),"")</f>
        <v/>
      </c>
      <c r="EB4" s="40" t="str">
        <f t="shared" ref="EB4:EB11" si="41">IF(SUM(DG4:DH4,DJ4:DL4,DN4)-DI4-DM4&gt;0,SUM(DG4:DH4,DJ4:DL4,DN4)-DI4-DM4,"")</f>
        <v/>
      </c>
      <c r="EC4" s="40" t="str">
        <f t="shared" ref="EC4:EC11" si="42">IF(SUM(DO4:DP4,DR4)-DQ4&gt;0,SUM(DO4:DP4,DR4)-DQ4,"")</f>
        <v/>
      </c>
      <c r="ED4" s="40" t="str">
        <f t="shared" ref="ED4:ED11" si="43">IF(SUM(DH4,DL4,DP4)&gt;0,SUM(DH4,DL4,DP4),"")</f>
        <v/>
      </c>
      <c r="EE4" s="40" t="str">
        <f t="shared" ref="EE4:EE11" si="44">IF(SUM(EB4,EC4)&gt;0,SUM(EB4,EC4),"")</f>
        <v/>
      </c>
      <c r="EF4" s="40" t="str">
        <f t="shared" ref="EF4:EF11" si="45">IF(SUM(DT4,DX4)&gt;0,SUM(DT4,DX4),"")</f>
        <v/>
      </c>
      <c r="EG4" s="40" t="str">
        <f t="shared" ref="EG4:EG11" si="46">IF(SUM(DS4:DT4,DV4:DX4,DZ4)-SUM(DU4,DY4)&gt;0,SUM(DS4:DT4,DV4:DX4,DZ4)-SUM(DU4,DY4),"")</f>
        <v/>
      </c>
      <c r="EH4" s="40" t="str">
        <f t="shared" ref="EH4:EH11" si="47">IF(SUM(EB4,EC4,EG4)&gt;0,SUM(EB4,EC4,EG4),"")</f>
        <v/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 t="shared" ref="FC4:FC11" si="48">IF(SUM(EJ4,EN4)&gt;0,SUM(EJ4,EN4),"")</f>
        <v/>
      </c>
      <c r="FD4" s="11" t="str">
        <f t="shared" ref="FD4:FD11" si="49">IF(SUM(EI4:EJ4,EL4:EN4,EP4)-EK4-EO4&gt;0,SUM(EI4:EJ4,EL4:EN4,EP4)-EK4-EO4,"")</f>
        <v/>
      </c>
      <c r="FE4" s="11" t="str">
        <f t="shared" ref="FE4:FE11" si="50">IF(SUM(EQ4:ER4,ET4)-ES4&gt;0,SUM(EQ4:ER4,ET4)-ES4,"")</f>
        <v/>
      </c>
      <c r="FF4" s="11" t="str">
        <f t="shared" ref="FF4:FF11" si="51">IF(SUM(EJ4,EN4,ER4)&gt;0,SUM(EJ4,EN4,ER4),"")</f>
        <v/>
      </c>
      <c r="FG4" s="11" t="str">
        <f t="shared" ref="FG4:FG11" si="52">IF(SUM(FD4,FE4)&gt;0,SUM(FD4,FE4),"")</f>
        <v/>
      </c>
      <c r="FH4" s="11" t="str">
        <f t="shared" ref="FH4:FH11" si="53">IF(SUM(EV4,EZ4)&gt;0,SUM(EV4,EZ4),"")</f>
        <v/>
      </c>
      <c r="FI4" s="11" t="str">
        <f t="shared" ref="FI4:FI11" si="54">IF(SUM(EU4:EV4,EX4:EZ4,FB4)-SUM(EW4,FA4)&gt;0,SUM(EU4:EV4,EX4:EZ4,FB4)-SUM(EW4,FA4),"")</f>
        <v/>
      </c>
      <c r="FJ4" s="11" t="str">
        <f t="shared" ref="FJ4:FJ11" si="55">IF(SUM(FD4,FE4,FI4)&gt;0,SUM(FD4,FE4,FI4),"")</f>
        <v/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 t="str">
        <f t="shared" ref="GE4:GE11" si="56">IF(SUM(FL4,FP4)&gt;0,SUM(FL4,FP4),"")</f>
        <v/>
      </c>
      <c r="GF4" s="40" t="str">
        <f t="shared" ref="GF4:GF11" si="57">IF(SUM(FK4:FL4,FN4:FP4,FR4)-FM4-FQ4&gt;0,SUM(FK4:FL4,FN4:FP4,FR4)-FM4-FQ4,"")</f>
        <v/>
      </c>
      <c r="GG4" s="40" t="str">
        <f t="shared" ref="GG4:GG11" si="58">IF(SUM(FS4:FT4,FV4)-FU4&gt;0,SUM(FS4:FT4,FV4)-FU4,"")</f>
        <v/>
      </c>
      <c r="GH4" s="40" t="str">
        <f t="shared" ref="GH4:GH11" si="59">IF(SUM(FL4,FP4,FT4)&gt;0,SUM(FL4,FP4,FT4),"")</f>
        <v/>
      </c>
      <c r="GI4" s="40" t="str">
        <f t="shared" ref="GI4:GI11" si="60">IF(SUM(GF4,GG4)&gt;0,SUM(GF4,GG4),"")</f>
        <v/>
      </c>
      <c r="GJ4" s="40" t="str">
        <f t="shared" ref="GJ4:GJ11" si="61">IF(SUM(FX4,GB4)&gt;0,SUM(FX4,GB4),"")</f>
        <v/>
      </c>
      <c r="GK4" s="40" t="str">
        <f t="shared" ref="GK4:GK11" si="62">IF(SUM(FW4:FX4,FZ4:GB4,GD4)-SUM(FY4,GC4)&gt;0,SUM(FW4:FX4,FZ4:GB4,GD4)-SUM(FY4,GC4),"")</f>
        <v/>
      </c>
      <c r="GL4" s="40" t="str">
        <f t="shared" ref="GL4:GL11" si="63">IF(SUM(GF4,GG4,GK4)&gt;0,SUM(GF4,GG4,GK4),"")</f>
        <v/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 t="shared" ref="HG4:HG11" si="64">IF(SUM(GN4,GR4)&gt;0,SUM(GN4,GR4),"")</f>
        <v/>
      </c>
      <c r="HH4" s="11" t="str">
        <f t="shared" ref="HH4:HH11" si="65">IF(SUM(GM4:GN4,GP4:GR4,GT4)-GO4-GS4&gt;0,SUM(GM4:GN4,GP4:GR4,GT4)-GO4-GS4,"")</f>
        <v/>
      </c>
      <c r="HI4" s="11" t="str">
        <f t="shared" ref="HI4:HI11" si="66">IF(SUM(GU4:GV4,GX4)-GW4&gt;0,SUM(GU4:GV4,GX4)-GW4,"")</f>
        <v/>
      </c>
      <c r="HJ4" s="11" t="str">
        <f t="shared" ref="HJ4:HJ11" si="67">IF(SUM(GN4,GR4,GV4)&gt;0,SUM(GN4,GR4,GV4),"")</f>
        <v/>
      </c>
      <c r="HK4" s="11" t="str">
        <f t="shared" ref="HK4:HK11" si="68">IF(SUM(HH4,HI4)&gt;0,SUM(HH4,HI4),"")</f>
        <v/>
      </c>
      <c r="HL4" s="11" t="str">
        <f t="shared" ref="HL4:HL11" si="69">IF(SUM(GZ4,HD4)&gt;0,SUM(GZ4,HD4),"")</f>
        <v/>
      </c>
      <c r="HM4" s="11" t="str">
        <f t="shared" ref="HM4:HM11" si="70">IF(SUM(GY4:GZ4,HB4:HD4,HF4)-SUM(HA4,HE4)&gt;0,SUM(GY4:GZ4,HB4:HD4,HF4)-SUM(HA4,HE4),"")</f>
        <v/>
      </c>
      <c r="HN4" s="11" t="str">
        <f t="shared" ref="HN4:HN11" si="71"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 t="str">
        <f t="shared" ref="II4:II11" si="72">IF(SUM(HP4,HT4)&gt;0,SUM(HP4,HT4),"")</f>
        <v/>
      </c>
      <c r="IJ4" s="40" t="str">
        <f t="shared" ref="IJ4:IJ11" si="73">IF(SUM(HO4:HP4,HR4:HT4,HV4)-HQ4-HU4&gt;0,SUM(HO4:HP4,HR4:HT4,HV4)-HQ4-HU4,"")</f>
        <v/>
      </c>
      <c r="IK4" s="40" t="str">
        <f t="shared" ref="IK4:IK11" si="74">IF(SUM(HW4:HX4,HZ4)-HY4&gt;0,SUM(HW4:HX4,HZ4)-HY4,"")</f>
        <v/>
      </c>
      <c r="IL4" s="40" t="str">
        <f t="shared" ref="IL4:IL11" si="75">IF(SUM(HP4,HT4,HX4)&gt;0,SUM(HP4,HT4,HX4),"")</f>
        <v/>
      </c>
      <c r="IM4" s="40" t="str">
        <f t="shared" ref="IM4:IM11" si="76">IF(SUM(IJ4,IK4)&gt;0,SUM(IJ4,IK4),"")</f>
        <v/>
      </c>
      <c r="IN4" s="40" t="str">
        <f t="shared" ref="IN4:IN11" si="77">IF(SUM(IB4,IF4)&gt;0,SUM(IB4,IF4),"")</f>
        <v/>
      </c>
      <c r="IO4" s="40" t="str">
        <f t="shared" ref="IO4:IO11" si="78">IF(SUM(IA4:IB4,ID4:IF4,IH4)-SUM(IC4,IG4)&gt;0,SUM(IA4:IB4,ID4:IF4,IH4)-SUM(IC4,IG4),"")</f>
        <v/>
      </c>
      <c r="IP4" s="40" t="str">
        <f t="shared" ref="IP4:IP11" si="79"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 t="shared" ref="JK4:JK11" si="80">IF(SUM(IR4,IV4)&gt;0,SUM(IR4,IV4),"")</f>
        <v/>
      </c>
      <c r="JL4" s="11" t="str">
        <f t="shared" ref="JL4:JL11" si="81">IF(SUM(IQ4:IR4,IT4:IV4,IX4)-IS4-IW4&gt;0,SUM(IQ4:IR4,IT4:IV4,IX4)-IS4-IW4,"")</f>
        <v/>
      </c>
      <c r="JM4" s="11" t="str">
        <f t="shared" ref="JM4:JM11" si="82">IF(SUM(IY4:IZ4,JB4)-JA4&gt;0,SUM(IY4:IZ4,JB4)-JA4,"")</f>
        <v/>
      </c>
      <c r="JN4" s="11" t="str">
        <f t="shared" ref="JN4:JN11" si="83">IF(SUM(IR4,IV4,IZ4)&gt;0,SUM(IR4,IV4,IZ4),"")</f>
        <v/>
      </c>
      <c r="JO4" s="11" t="str">
        <f t="shared" ref="JO4:JO11" si="84">IF(SUM(JL4,JM4)&gt;0,SUM(JL4,JM4),"")</f>
        <v/>
      </c>
      <c r="JP4" s="11" t="str">
        <f t="shared" ref="JP4:JP11" si="85">IF(SUM(JD4,JH4)&gt;0,SUM(JD4,JH4),"")</f>
        <v/>
      </c>
      <c r="JQ4" s="11" t="str">
        <f t="shared" ref="JQ4:JQ11" si="86">IF(SUM(JC4:JD4,JF4:JH4,JJ4)-SUM(JE4,JI4)&gt;0,SUM(JC4:JD4,JF4:JH4,JJ4)-SUM(JE4,JI4),"")</f>
        <v/>
      </c>
      <c r="JR4" s="11" t="str">
        <f t="shared" ref="JR4:JR11" si="87"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0" t="str">
        <f t="shared" ref="KM4:KM11" si="88">IF(SUM(JT4,JX4)&gt;0,SUM(JT4,JX4),"")</f>
        <v/>
      </c>
      <c r="KN4" s="40" t="str">
        <f t="shared" ref="KN4:KN11" si="89">IF(SUM(JS4:JT4,JV4:JX4,JZ4)-JU4-JY4&gt;0,SUM(JS4:JT4,JV4:JX4,JZ4)-JU4-JY4,"")</f>
        <v/>
      </c>
      <c r="KO4" s="40" t="str">
        <f t="shared" ref="KO4:KO11" si="90">IF(SUM(KA4:KB4,KD4)-KC4&gt;0,SUM(KA4:KB4,KD4)-KC4,"")</f>
        <v/>
      </c>
      <c r="KP4" s="40" t="str">
        <f t="shared" ref="KP4:KP11" si="91">IF(SUM(JT4,JX4,KB4)&gt;0,SUM(JT4,JX4,KB4),"")</f>
        <v/>
      </c>
      <c r="KQ4" s="40" t="str">
        <f t="shared" ref="KQ4:KQ11" si="92">IF(SUM(KN4,KO4)&gt;0,SUM(KN4,KO4),"")</f>
        <v/>
      </c>
      <c r="KR4" s="40" t="str">
        <f t="shared" ref="KR4:KR11" si="93">IF(SUM(KF4,KJ4)&gt;0,SUM(KF4,KJ4),"")</f>
        <v/>
      </c>
      <c r="KS4" s="40" t="str">
        <f t="shared" ref="KS4:KS11" si="94">IF(SUM(KE4:KF4,KH4:KJ4,KL4)-SUM(KG4,KK4)&gt;0,SUM(KE4:KF4,KH4:KJ4,KL4)-SUM(KG4,KK4),"")</f>
        <v/>
      </c>
      <c r="KT4" s="40" t="str">
        <f t="shared" ref="KT4:KT11" si="95"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 t="shared" ref="LO4:LO11" si="96">IF(SUM(KV4,KZ4)&gt;0,SUM(KV4,KZ4),"")</f>
        <v/>
      </c>
      <c r="LP4" s="11" t="str">
        <f t="shared" ref="LP4:LP11" si="97">IF(SUM(KU4:KV4,KX4:KZ4,LB4)-KW4-LA4&gt;0,SUM(KU4:KV4,KX4:KZ4,LB4)-KW4-LA4,"")</f>
        <v/>
      </c>
      <c r="LQ4" s="11" t="str">
        <f t="shared" ref="LQ4:LQ11" si="98">IF(SUM(LC4:LD4,LF4)-LE4&gt;0,SUM(LC4:LD4,LF4)-LE4,"")</f>
        <v/>
      </c>
      <c r="LR4" s="11" t="str">
        <f t="shared" ref="LR4:LR11" si="99">IF(SUM(KV4,KZ4,LD4)&gt;0,SUM(KV4,KZ4,LD4),"")</f>
        <v/>
      </c>
      <c r="LS4" s="11" t="str">
        <f t="shared" ref="LS4:LS11" si="100">IF(SUM(LP4,LQ4)&gt;0,SUM(LP4,LQ4),"")</f>
        <v/>
      </c>
      <c r="LT4" s="11" t="str">
        <f t="shared" ref="LT4:LT11" si="101">IF(SUM(LH4,LL4)&gt;0,SUM(LH4,LL4),"")</f>
        <v/>
      </c>
      <c r="LU4" s="11" t="str">
        <f t="shared" ref="LU4:LU11" si="102">IF(SUM(LG4:LH4,LJ4:LL4,LN4)-SUM(LI4,LM4)&gt;0,SUM(LG4:LH4,LJ4:LL4,LN4)-SUM(LI4,LM4),"")</f>
        <v/>
      </c>
      <c r="LV4" s="11" t="str">
        <f t="shared" ref="LV4:LV11" si="103"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 t="shared" ref="MQ4:MQ11" si="104">IF(SUM(LX4,MB4)&gt;0,SUM(LX4,MB4),"")</f>
        <v/>
      </c>
      <c r="MR4" s="40" t="str">
        <f t="shared" ref="MR4:MR11" si="105">IF(SUM(LW4:LX4,LZ4:MB4,MD4)-LY4-MC4&gt;0,SUM(LW4:LX4,LZ4:MB4,MD4)-LY4-MC4,"")</f>
        <v/>
      </c>
      <c r="MS4" s="40" t="str">
        <f t="shared" ref="MS4:MS11" si="106">IF(SUM(ME4:MF4,MH4)-MG4&gt;0,SUM(ME4:MF4,MH4)-MG4,"")</f>
        <v/>
      </c>
      <c r="MT4" s="40" t="str">
        <f t="shared" ref="MT4:MT11" si="107">IF(SUM(LX4,MB4,MF4)&gt;0,SUM(LX4,MB4,MF4),"")</f>
        <v/>
      </c>
      <c r="MU4" s="40" t="str">
        <f t="shared" ref="MU4:MU11" si="108">IF(SUM(MR4,MS4)&gt;0,SUM(MR4,MS4),"")</f>
        <v/>
      </c>
      <c r="MV4" s="40" t="str">
        <f t="shared" ref="MV4:MV11" si="109">IF(SUM(MJ4,MN4)&gt;0,SUM(MJ4,MN4),"")</f>
        <v/>
      </c>
      <c r="MW4" s="40" t="str">
        <f t="shared" ref="MW4:MW11" si="110">IF(SUM(MI4:MJ4,ML4:MN4,MP4)-SUM(MK4,MO4)&gt;0,SUM(MI4:MJ4,ML4:MN4,MP4)-SUM(MK4,MO4),"")</f>
        <v/>
      </c>
      <c r="MX4" s="40" t="str">
        <f t="shared" ref="MX4:MX11" si="111"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11" si="112">IF(SUM(MZ4,ND4)&gt;0,SUM(MZ4,ND4),"")</f>
        <v/>
      </c>
      <c r="NT4" s="11" t="str">
        <f t="shared" ref="NT4:NT11" si="113">IF(SUM(MY4:MZ4,NB4:ND4,NF4)-NA4-NE4&gt;0,SUM(MY4:MZ4,NB4:ND4,NF4)-NA4-NE4,"")</f>
        <v/>
      </c>
      <c r="NU4" s="11" t="str">
        <f t="shared" ref="NU4:NU11" si="114">IF(SUM(NG4:NH4,NJ4)-NI4&gt;0,SUM(NG4:NH4,NJ4)-NI4,"")</f>
        <v/>
      </c>
      <c r="NV4" s="11" t="str">
        <f t="shared" ref="NV4:NV11" si="115">IF(SUM(MZ4,ND4,NH4)&gt;0,SUM(MZ4,ND4,NH4),"")</f>
        <v/>
      </c>
      <c r="NW4" s="11" t="str">
        <f t="shared" ref="NW4:NW11" si="116">IF(SUM(NT4,NU4)&gt;0,SUM(NT4,NU4),"")</f>
        <v/>
      </c>
      <c r="NX4" s="11" t="str">
        <f t="shared" ref="NX4:NX11" si="117">IF(SUM(NL4,NP4)&gt;0,SUM(NL4,NP4),"")</f>
        <v/>
      </c>
      <c r="NY4" s="11" t="str">
        <f t="shared" ref="NY4:NY11" si="118">IF(SUM(NK4:NL4,NN4:NP4,NR4)-SUM(NM4,NQ4)&gt;0,SUM(NK4:NL4,NN4:NP4,NR4)-SUM(NM4,NQ4),"")</f>
        <v/>
      </c>
      <c r="NZ4" s="11" t="str">
        <f t="shared" ref="NZ4:NZ11" si="119"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 t="shared" ref="OU4:OU11" si="120">IF(SUM(OB4,OF4)&gt;0,SUM(OB4,OF4),"")</f>
        <v/>
      </c>
      <c r="OV4" s="40" t="str">
        <f t="shared" ref="OV4:OV11" si="121">IF(SUM(OA4:OB4,OD4:OF4,OH4)-OC4-OG4&gt;0,SUM(OA4:OB4,OD4:OF4,OH4)-OC4-OG4,"")</f>
        <v/>
      </c>
      <c r="OW4" s="40" t="str">
        <f t="shared" ref="OW4:OW11" si="122">IF(SUM(OI4:OJ4,OL4)-OK4&gt;0,SUM(OI4:OJ4,OL4)-OK4,"")</f>
        <v/>
      </c>
      <c r="OX4" s="40" t="str">
        <f t="shared" ref="OX4:OX11" si="123">IF(SUM(OB4,OF4,OJ4)&gt;0,SUM(OB4,OF4,OJ4),"")</f>
        <v/>
      </c>
      <c r="OY4" s="40" t="str">
        <f t="shared" ref="OY4:OY11" si="124">IF(SUM(OV4,OW4)&gt;0,SUM(OV4,OW4),"")</f>
        <v/>
      </c>
      <c r="OZ4" s="40" t="str">
        <f t="shared" ref="OZ4:OZ11" si="125">IF(SUM(ON4,OR4)&gt;0,SUM(ON4,OR4),"")</f>
        <v/>
      </c>
      <c r="PA4" s="40" t="str">
        <f t="shared" ref="PA4:PA11" si="126">IF(SUM(OM4:ON4,OP4:OR4,OT4)-SUM(OO4,OS4)&gt;0,SUM(OM4:ON4,OP4:OR4,OT4)-SUM(OO4,OS4),"")</f>
        <v/>
      </c>
      <c r="PB4" s="40" t="str">
        <f t="shared" ref="PB4:PB11" si="127"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11" si="128">IF(SUM(PD4,PH4)&gt;0,SUM(PD4,PH4),"")</f>
        <v/>
      </c>
      <c r="PX4" s="11" t="str">
        <f t="shared" ref="PX4:PX11" si="129">IF(SUM(PC4:PD4,PF4:PH4,PJ4)-PE4-PI4&gt;0,SUM(PC4:PD4,PF4:PH4,PJ4)-PE4-PI4,"")</f>
        <v/>
      </c>
      <c r="PY4" s="11" t="str">
        <f t="shared" ref="PY4:PY11" si="130">IF(SUM(PK4:PL4,PN4)-PM4&gt;0,SUM(PK4:PL4,PN4)-PM4,"")</f>
        <v/>
      </c>
      <c r="PZ4" s="11" t="str">
        <f t="shared" ref="PZ4:PZ11" si="131">IF(SUM(PD4,PH4,PL4)&gt;0,SUM(PD4,PH4,PL4),"")</f>
        <v/>
      </c>
      <c r="QA4" s="11" t="str">
        <f t="shared" ref="QA4:QA11" si="132">IF(SUM(PX4,PY4)&gt;0,SUM(PX4,PY4),"")</f>
        <v/>
      </c>
      <c r="QB4" s="11" t="str">
        <f t="shared" ref="QB4:QB11" si="133">IF(SUM(PP4,PT4)&gt;0,SUM(PP4,PT4),"")</f>
        <v/>
      </c>
      <c r="QC4" s="11" t="str">
        <f t="shared" ref="QC4:QC11" si="134">IF(SUM(PO4:PP4,PR4:PT4,PV4)-SUM(PQ4,PU4)&gt;0,SUM(PO4:PP4,PR4:PT4,PV4)-SUM(PQ4,PU4),"")</f>
        <v/>
      </c>
      <c r="QD4" s="11" t="str">
        <f t="shared" ref="QD4:QD11" si="135">IF(SUM(PX4,PY4,QC4)&gt;0,SUM(PX4,PY4,QC4),"")</f>
        <v/>
      </c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40" t="str">
        <f t="shared" ref="QY4:QY11" si="136">IF(SUM(QF4,QJ4)&gt;0,SUM(QF4,QJ4),"")</f>
        <v/>
      </c>
      <c r="QZ4" s="40" t="str">
        <f t="shared" ref="QZ4:QZ11" si="137">IF(SUM(QE4:QF4,QH4:QJ4,QL4)-QG4-QK4&gt;0,SUM(QE4:QF4,QH4:QJ4,QL4)-QG4-QK4,"")</f>
        <v/>
      </c>
      <c r="RA4" s="40" t="str">
        <f t="shared" ref="RA4:RA11" si="138">IF(SUM(QM4:QN4,QP4)-QO4&gt;0,SUM(QM4:QN4,QP4)-QO4,"")</f>
        <v/>
      </c>
      <c r="RB4" s="40" t="str">
        <f t="shared" ref="RB4:RB11" si="139">IF(SUM(QF4,QJ4,QN4)&gt;0,SUM(QF4,QJ4,QN4),"")</f>
        <v/>
      </c>
      <c r="RC4" s="40" t="str">
        <f t="shared" ref="RC4:RC11" si="140">IF(SUM(QZ4,RA4)&gt;0,SUM(QZ4,RA4),"")</f>
        <v/>
      </c>
      <c r="RD4" s="40" t="str">
        <f t="shared" ref="RD4:RD11" si="141">IF(SUM(QR4,QV4)&gt;0,SUM(QR4,QV4),"")</f>
        <v/>
      </c>
      <c r="RE4" s="40" t="str">
        <f t="shared" ref="RE4:RE11" si="142">IF(SUM(QQ4:QR4,QT4:QV4,QX4)-SUM(QS4,QW4)&gt;0,SUM(QQ4:QR4,QT4:QV4,QX4)-SUM(QS4,QW4),"")</f>
        <v/>
      </c>
      <c r="RF4" s="40" t="str">
        <f t="shared" ref="RF4:RF11" si="143">IF(SUM(QZ4,RA4,RE4)&gt;0,SUM(QZ4,RA4,RE4),"")</f>
        <v/>
      </c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1" t="str">
        <f t="shared" ref="SA4:SA11" si="144">IF(SUM(RH4,RL4)&gt;0,SUM(RH4,RL4),"")</f>
        <v/>
      </c>
      <c r="SB4" s="11" t="str">
        <f t="shared" ref="SB4:SB11" si="145">IF(SUM(RG4:RH4,RJ4:RL4,RN4)-RI4-RM4&gt;0,SUM(RG4:RH4,RJ4:RL4,RN4)-RI4-RM4,"")</f>
        <v/>
      </c>
      <c r="SC4" s="11" t="str">
        <f t="shared" ref="SC4:SC11" si="146">IF(SUM(RO4:RP4,RR4)-RQ4&gt;0,SUM(RO4:RP4,RR4)-RQ4,"")</f>
        <v/>
      </c>
      <c r="SD4" s="11" t="str">
        <f t="shared" ref="SD4:SD11" si="147">IF(SUM(RH4,RL4,RP4)&gt;0,SUM(RH4,RL4,RP4),"")</f>
        <v/>
      </c>
      <c r="SE4" s="11" t="str">
        <f t="shared" ref="SE4:SE11" si="148">IF(SUM(SB4,SC4)&gt;0,SUM(SB4,SC4),"")</f>
        <v/>
      </c>
      <c r="SF4" s="11" t="str">
        <f t="shared" ref="SF4:SF11" si="149">IF(SUM(RT4,RX4)&gt;0,SUM(RT4,RX4),"")</f>
        <v/>
      </c>
      <c r="SG4" s="11" t="str">
        <f t="shared" ref="SG4:SG11" si="150">IF(SUM(RS4:RT4,RV4:RX4,RZ4)-SUM(RU4,RY4)&gt;0,SUM(RS4:RT4,RV4:RX4,RZ4)-SUM(RU4,RY4),"")</f>
        <v/>
      </c>
      <c r="SH4" s="11" t="str">
        <f t="shared" ref="SH4:SH11" si="151">IF(SUM(SB4,SC4,SG4)&gt;0,SUM(SB4,SC4,SG4),"")</f>
        <v/>
      </c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40" t="str">
        <f t="shared" ref="TC4:TC11" si="152">IF(SUM(SJ4,SN4)&gt;0,SUM(SJ4,SN4),"")</f>
        <v/>
      </c>
      <c r="TD4" s="40" t="str">
        <f t="shared" ref="TD4:TD11" si="153">IF(SUM(SI4:SJ4,SL4:SN4,SP4)-SK4-SO4&gt;0,SUM(SI4:SJ4,SL4:SN4,SP4)-SK4-SO4,"")</f>
        <v/>
      </c>
      <c r="TE4" s="40" t="str">
        <f t="shared" ref="TE4:TE11" si="154">IF(SUM(SQ4:SR4,ST4)-SS4&gt;0,SUM(SQ4:SR4,ST4)-SS4,"")</f>
        <v/>
      </c>
      <c r="TF4" s="40" t="str">
        <f t="shared" ref="TF4:TF11" si="155">IF(SUM(SJ4,SN4,SR4)&gt;0,SUM(SJ4,SN4,SR4),"")</f>
        <v/>
      </c>
      <c r="TG4" s="40" t="str">
        <f t="shared" ref="TG4:TG11" si="156">IF(SUM(TD4,TE4)&gt;0,SUM(TD4,TE4),"")</f>
        <v/>
      </c>
      <c r="TH4" s="40" t="str">
        <f t="shared" ref="TH4:TH11" si="157">IF(SUM(SV4,SZ4)&gt;0,SUM(SV4,SZ4),"")</f>
        <v/>
      </c>
      <c r="TI4" s="40" t="str">
        <f t="shared" ref="TI4:TI11" si="158">IF(SUM(SU4:SV4,SX4:SZ4,TB4)-SUM(SW4,TA4)&gt;0,SUM(SU4:SV4,SX4:SZ4,TB4)-SUM(SW4,TA4),"")</f>
        <v/>
      </c>
      <c r="TJ4" s="40" t="str">
        <f t="shared" ref="TJ4:TJ11" si="159">IF(SUM(TD4,TE4,TI4)&gt;0,SUM(TD4,TE4,TI4),"")</f>
        <v/>
      </c>
      <c r="TK4" s="26">
        <f t="shared" ref="TK4:TT11" si="160">IF($CU4="P",CA4,(CA4+AX4)/2)</f>
        <v>18.450000000000003</v>
      </c>
      <c r="TL4" s="26">
        <f t="shared" si="160"/>
        <v>8.5</v>
      </c>
      <c r="TM4" s="26">
        <f t="shared" si="160"/>
        <v>0</v>
      </c>
      <c r="TN4" s="26">
        <f t="shared" si="160"/>
        <v>0</v>
      </c>
      <c r="TO4" s="26">
        <f t="shared" si="160"/>
        <v>18.25</v>
      </c>
      <c r="TP4" s="26">
        <f t="shared" si="160"/>
        <v>6.5</v>
      </c>
      <c r="TQ4" s="26">
        <f t="shared" si="160"/>
        <v>0</v>
      </c>
      <c r="TR4" s="26">
        <f t="shared" si="160"/>
        <v>0</v>
      </c>
      <c r="TS4" s="26">
        <f t="shared" si="160"/>
        <v>18.350000000000001</v>
      </c>
      <c r="TT4" s="26">
        <f t="shared" si="160"/>
        <v>8.1</v>
      </c>
      <c r="TU4" s="26">
        <f t="shared" ref="TU4:UD11" si="161">IF($CU4="P",CK4,(CK4+BH4)/2)</f>
        <v>0</v>
      </c>
      <c r="TV4" s="26">
        <f t="shared" si="161"/>
        <v>0</v>
      </c>
      <c r="TW4" s="26">
        <f t="shared" si="161"/>
        <v>18.5</v>
      </c>
      <c r="TX4" s="26">
        <f t="shared" si="161"/>
        <v>7.7</v>
      </c>
      <c r="TY4" s="26">
        <f t="shared" si="161"/>
        <v>0</v>
      </c>
      <c r="TZ4" s="26">
        <f t="shared" si="161"/>
        <v>0</v>
      </c>
      <c r="UA4" s="26">
        <f t="shared" si="161"/>
        <v>18.399999999999999</v>
      </c>
      <c r="UB4" s="26">
        <f t="shared" si="161"/>
        <v>7.3000000000000007</v>
      </c>
      <c r="UC4" s="26">
        <f t="shared" si="161"/>
        <v>0</v>
      </c>
      <c r="UD4" s="26">
        <f t="shared" si="161"/>
        <v>0</v>
      </c>
      <c r="UE4" s="28" t="s">
        <v>53</v>
      </c>
      <c r="UF4" s="11">
        <f t="shared" ref="UF4:UF11" si="162">IF(SUM(TL4,TP4)&gt;0,SUM(TL4,TP4),"")</f>
        <v>15</v>
      </c>
      <c r="UG4" s="11">
        <f t="shared" ref="UG4:UG11" si="163">IF(SUM(TK4:TL4,TN4:TP4,TR4)-TM4-TQ4&gt;0,SUM(TK4:TL4,TN4:TP4,TR4)-TM4-TQ4,"")</f>
        <v>51.7</v>
      </c>
      <c r="UH4" s="11">
        <f t="shared" ref="UH4:UH11" si="164">IF(SUM(TS4:TT4,TV4)-TU4&gt;0,SUM(TS4:TT4,TV4)-TU4,"")</f>
        <v>26.450000000000003</v>
      </c>
      <c r="UI4" s="11">
        <f t="shared" ref="UI4:UI11" si="165">IF(SUM(TL4,TP4,TT4)&gt;0,SUM(TL4,TP4,TT4),"")</f>
        <v>23.1</v>
      </c>
      <c r="UJ4" s="11">
        <f t="shared" ref="UJ4:UJ11" si="166">IF(SUM(UG4,UH4)&gt;0,SUM(UG4,UH4),"")</f>
        <v>78.150000000000006</v>
      </c>
      <c r="UK4" s="11">
        <f t="shared" ref="UK4:UK11" si="167">IF(SUM(TX4,UB4)&gt;0,SUM(TX4,UB4),"")</f>
        <v>15</v>
      </c>
      <c r="UL4" s="11">
        <f t="shared" ref="UL4:UL11" si="168">IF(SUM(TW4:TX4,TZ4:UB4,UD4)-SUM(TY4,UC4)&gt;0,SUM(TW4:TX4,TZ4:UB4,UD4)-SUM(TY4,UC4),"")</f>
        <v>51.899999999999991</v>
      </c>
      <c r="UM4" s="11">
        <f t="shared" ref="UM4:UM11" si="169">IF(SUM(UG4,UH4,UL4)&gt;0,SUM(UG4,UH4,UL4),"")</f>
        <v>130.05000000000001</v>
      </c>
    </row>
    <row r="5" spans="1:559" x14ac:dyDescent="0.2">
      <c r="A5" s="4" cm="1">
        <f t="array" ref="A5">IF(AND(H5&lt;&gt;"",H5&lt;&gt;"No DD"),SUMPRODUCT((H$4:H$12&lt;&gt;"")*(H$4:H$12&lt;&gt;"No DD")*(E$4:E$12&gt;E5))+1,IF(H5="No DD",SUMPRODUCT((H$4:H$12="No DD")*(E$4:E$12&gt;E5))+1+SUMPRODUCT((H$4:H$12&lt;&gt;"")*(H$4:H$12&lt;&gt;"No DD")),""))</f>
        <v>2</v>
      </c>
      <c r="B5" s="5" t="s">
        <v>181</v>
      </c>
      <c r="C5" s="4" t="s">
        <v>7</v>
      </c>
      <c r="D5" s="4">
        <v>2006</v>
      </c>
      <c r="E5" s="9">
        <f t="shared" si="0"/>
        <v>178.2000126900052</v>
      </c>
      <c r="F5" s="3" t="str">
        <f t="shared" si="1"/>
        <v>P</v>
      </c>
      <c r="G5" s="3" t="str">
        <f t="shared" si="2"/>
        <v>P</v>
      </c>
      <c r="H5" s="36" t="str">
        <f t="shared" si="3"/>
        <v>Merit</v>
      </c>
      <c r="I5" s="3" t="str">
        <f t="shared" si="4"/>
        <v>P</v>
      </c>
      <c r="J5" s="8">
        <f>IF(COUNT(AQ5,BT5,CW5)&gt;0,LARGE((AQ5,BT5,CW5),1),0)</f>
        <v>51.900000000000006</v>
      </c>
      <c r="K5" s="8" t="str">
        <f t="shared" si="5"/>
        <v>2024 3rd Domestic Trial</v>
      </c>
      <c r="L5" s="8">
        <f>IF(COUNT(AQ5,BT5,CW5)&gt;1,LARGE((AQ5,BT5,CW5),2),0)</f>
        <v>49.4</v>
      </c>
      <c r="M5" s="8" t="str">
        <f t="shared" si="6"/>
        <v>2024 Nationals</v>
      </c>
      <c r="N5" s="8">
        <f>IF(COUNT(AR5,BU5,CX5)&gt;0,LARGE((AR5,BU5,CX5),1),0)</f>
        <v>25.6</v>
      </c>
      <c r="O5" s="8" t="str">
        <f t="shared" si="7"/>
        <v>2024 3rd Domestic Trial</v>
      </c>
      <c r="P5" s="8">
        <f t="shared" si="8"/>
        <v>50.8</v>
      </c>
      <c r="Q5" s="8" t="str">
        <f t="shared" si="9"/>
        <v>2024 3rd Domestic Trial</v>
      </c>
      <c r="R5" s="8">
        <f t="shared" si="10"/>
        <v>0.50000000000000711</v>
      </c>
      <c r="S5" s="11" t="str">
        <f t="shared" si="11"/>
        <v>(Q1)</v>
      </c>
      <c r="T5" s="8" t="str">
        <f t="shared" si="12"/>
        <v>2024 World Cup POR (July 7)</v>
      </c>
      <c r="U5" s="19">
        <v>17.2</v>
      </c>
      <c r="V5" s="19">
        <v>5.3</v>
      </c>
      <c r="W5" s="19">
        <v>0.30000000000000004</v>
      </c>
      <c r="X5" s="19">
        <v>0.15</v>
      </c>
      <c r="Y5" s="19">
        <v>17.3</v>
      </c>
      <c r="Z5" s="19">
        <v>5.3</v>
      </c>
      <c r="AA5" s="19">
        <v>0</v>
      </c>
      <c r="AB5" s="19">
        <v>0.15</v>
      </c>
      <c r="AC5" s="19">
        <v>17.7</v>
      </c>
      <c r="AD5" s="19">
        <v>5.5</v>
      </c>
      <c r="AE5" s="19">
        <v>0.1</v>
      </c>
      <c r="AF5" s="19">
        <v>0.15</v>
      </c>
      <c r="AG5" s="19">
        <v>17.5</v>
      </c>
      <c r="AH5" s="19">
        <v>6</v>
      </c>
      <c r="AI5" s="19">
        <v>0</v>
      </c>
      <c r="AJ5" s="19">
        <v>0.15</v>
      </c>
      <c r="AK5" s="19">
        <v>17.700000000000003</v>
      </c>
      <c r="AL5" s="19">
        <v>5.3</v>
      </c>
      <c r="AM5" s="19">
        <v>0</v>
      </c>
      <c r="AN5" s="19">
        <v>0.15</v>
      </c>
      <c r="AO5" s="27" t="s">
        <v>53</v>
      </c>
      <c r="AP5" s="40">
        <f t="shared" si="13"/>
        <v>10.6</v>
      </c>
      <c r="AQ5" s="40">
        <f t="shared" si="14"/>
        <v>45.1</v>
      </c>
      <c r="AR5" s="40">
        <f t="shared" si="15"/>
        <v>23.249999999999996</v>
      </c>
      <c r="AS5" s="40">
        <f t="shared" si="16"/>
        <v>16.100000000000001</v>
      </c>
      <c r="AT5" s="40">
        <f t="shared" si="17"/>
        <v>68.349999999999994</v>
      </c>
      <c r="AU5" s="40">
        <f t="shared" si="18"/>
        <v>11.3</v>
      </c>
      <c r="AV5" s="40">
        <f t="shared" si="19"/>
        <v>46.8</v>
      </c>
      <c r="AW5" s="40">
        <f t="shared" si="20"/>
        <v>115.14999999999999</v>
      </c>
      <c r="AX5" s="18">
        <v>18.100000000000001</v>
      </c>
      <c r="AY5" s="18">
        <v>7.1</v>
      </c>
      <c r="AZ5" s="18">
        <v>0.2</v>
      </c>
      <c r="BA5" s="18">
        <v>0</v>
      </c>
      <c r="BB5" s="18">
        <v>17.8</v>
      </c>
      <c r="BC5" s="18">
        <v>6.6</v>
      </c>
      <c r="BD5" s="18">
        <v>0</v>
      </c>
      <c r="BE5" s="18">
        <v>0</v>
      </c>
      <c r="BF5" s="18">
        <v>18.3</v>
      </c>
      <c r="BG5" s="18">
        <v>7.1</v>
      </c>
      <c r="BH5" s="18">
        <v>0.2</v>
      </c>
      <c r="BI5" s="18">
        <v>0</v>
      </c>
      <c r="BJ5" s="18">
        <v>18.399999999999999</v>
      </c>
      <c r="BK5" s="18">
        <v>7.2</v>
      </c>
      <c r="BL5" s="18">
        <v>0</v>
      </c>
      <c r="BM5" s="18">
        <v>0</v>
      </c>
      <c r="BN5" s="18">
        <v>18.3</v>
      </c>
      <c r="BO5" s="18">
        <v>6.5</v>
      </c>
      <c r="BP5" s="18">
        <v>0</v>
      </c>
      <c r="BQ5" s="18">
        <v>0</v>
      </c>
      <c r="BR5" s="28"/>
      <c r="BS5" s="11">
        <f t="shared" si="21"/>
        <v>13.7</v>
      </c>
      <c r="BT5" s="11">
        <f t="shared" si="22"/>
        <v>49.4</v>
      </c>
      <c r="BU5" s="11">
        <f t="shared" si="23"/>
        <v>25.2</v>
      </c>
      <c r="BV5" s="11">
        <f t="shared" si="24"/>
        <v>20.799999999999997</v>
      </c>
      <c r="BW5" s="11">
        <f t="shared" si="25"/>
        <v>74.599999999999994</v>
      </c>
      <c r="BX5" s="11">
        <f t="shared" si="26"/>
        <v>13.7</v>
      </c>
      <c r="BY5" s="11">
        <f t="shared" si="27"/>
        <v>50.4</v>
      </c>
      <c r="BZ5" s="11">
        <f t="shared" si="28"/>
        <v>125</v>
      </c>
      <c r="CA5" s="19">
        <v>18.100000000000001</v>
      </c>
      <c r="CB5" s="19">
        <v>7.5</v>
      </c>
      <c r="CC5" s="19">
        <v>0</v>
      </c>
      <c r="CD5" s="19">
        <v>0</v>
      </c>
      <c r="CE5" s="19">
        <v>18.8</v>
      </c>
      <c r="CF5" s="19">
        <v>7.5</v>
      </c>
      <c r="CG5" s="19">
        <v>0</v>
      </c>
      <c r="CH5" s="19">
        <v>0</v>
      </c>
      <c r="CI5" s="19">
        <v>18.3</v>
      </c>
      <c r="CJ5" s="19">
        <v>7.3</v>
      </c>
      <c r="CK5" s="19">
        <v>0</v>
      </c>
      <c r="CL5" s="19">
        <v>0</v>
      </c>
      <c r="CM5" s="19">
        <v>18.3</v>
      </c>
      <c r="CN5" s="19">
        <v>7.5</v>
      </c>
      <c r="CO5" s="19">
        <v>0.2</v>
      </c>
      <c r="CP5" s="19">
        <v>0</v>
      </c>
      <c r="CQ5" s="19">
        <v>18.3</v>
      </c>
      <c r="CR5" s="19">
        <v>6.9</v>
      </c>
      <c r="CS5" s="19">
        <v>0</v>
      </c>
      <c r="CT5" s="19">
        <v>0</v>
      </c>
      <c r="CU5" s="27"/>
      <c r="CV5" s="40">
        <f t="shared" si="29"/>
        <v>15</v>
      </c>
      <c r="CW5" s="40">
        <f t="shared" si="30"/>
        <v>51.900000000000006</v>
      </c>
      <c r="CX5" s="40">
        <f t="shared" si="31"/>
        <v>25.6</v>
      </c>
      <c r="CY5" s="40">
        <f t="shared" si="32"/>
        <v>22.3</v>
      </c>
      <c r="CZ5" s="40">
        <f t="shared" si="33"/>
        <v>77.5</v>
      </c>
      <c r="DA5" s="40">
        <f t="shared" si="34"/>
        <v>14.4</v>
      </c>
      <c r="DB5" s="40">
        <f t="shared" si="35"/>
        <v>50.8</v>
      </c>
      <c r="DC5" s="40">
        <f t="shared" si="36"/>
        <v>128.30000000000001</v>
      </c>
      <c r="DD5" s="51">
        <f t="shared" si="37"/>
        <v>0.50000000000000711</v>
      </c>
      <c r="DE5" s="51" t="str">
        <f t="shared" si="38"/>
        <v/>
      </c>
      <c r="DF5" s="51" t="str">
        <f t="shared" si="39"/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 t="str">
        <f t="shared" si="40"/>
        <v/>
      </c>
      <c r="EB5" s="40" t="str">
        <f t="shared" si="41"/>
        <v/>
      </c>
      <c r="EC5" s="40" t="str">
        <f t="shared" si="42"/>
        <v/>
      </c>
      <c r="ED5" s="40" t="str">
        <f t="shared" si="43"/>
        <v/>
      </c>
      <c r="EE5" s="40" t="str">
        <f t="shared" si="44"/>
        <v/>
      </c>
      <c r="EF5" s="40" t="str">
        <f t="shared" si="45"/>
        <v/>
      </c>
      <c r="EG5" s="40" t="str">
        <f t="shared" si="46"/>
        <v/>
      </c>
      <c r="EH5" s="40" t="str">
        <f t="shared" si="47"/>
        <v/>
      </c>
      <c r="EI5" s="18">
        <v>17.5</v>
      </c>
      <c r="EJ5" s="18">
        <v>7.3</v>
      </c>
      <c r="EK5" s="18">
        <v>0</v>
      </c>
      <c r="EL5" s="18">
        <v>0</v>
      </c>
      <c r="EM5" s="18">
        <v>17.600000000000001</v>
      </c>
      <c r="EN5" s="18">
        <v>7.5</v>
      </c>
      <c r="EO5" s="18">
        <v>0</v>
      </c>
      <c r="EP5" s="18">
        <v>0</v>
      </c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>
        <f t="shared" si="48"/>
        <v>14.8</v>
      </c>
      <c r="FD5" s="11">
        <f t="shared" si="49"/>
        <v>49.900000000000006</v>
      </c>
      <c r="FE5" s="11" t="str">
        <f t="shared" si="50"/>
        <v/>
      </c>
      <c r="FF5" s="11">
        <f t="shared" si="51"/>
        <v>14.8</v>
      </c>
      <c r="FG5" s="11">
        <f t="shared" si="52"/>
        <v>49.900000000000006</v>
      </c>
      <c r="FH5" s="11" t="str">
        <f t="shared" si="53"/>
        <v/>
      </c>
      <c r="FI5" s="11" t="str">
        <f t="shared" si="54"/>
        <v/>
      </c>
      <c r="FJ5" s="11">
        <f t="shared" si="55"/>
        <v>49.900000000000006</v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 t="str">
        <f t="shared" si="56"/>
        <v/>
      </c>
      <c r="GF5" s="40" t="str">
        <f t="shared" si="57"/>
        <v/>
      </c>
      <c r="GG5" s="40" t="str">
        <f t="shared" si="58"/>
        <v/>
      </c>
      <c r="GH5" s="40" t="str">
        <f t="shared" si="59"/>
        <v/>
      </c>
      <c r="GI5" s="40" t="str">
        <f t="shared" si="60"/>
        <v/>
      </c>
      <c r="GJ5" s="40" t="str">
        <f t="shared" si="61"/>
        <v/>
      </c>
      <c r="GK5" s="40" t="str">
        <f t="shared" si="62"/>
        <v/>
      </c>
      <c r="GL5" s="40" t="str">
        <f t="shared" si="63"/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 t="shared" si="64"/>
        <v/>
      </c>
      <c r="HH5" s="11" t="str">
        <f t="shared" si="65"/>
        <v/>
      </c>
      <c r="HI5" s="11" t="str">
        <f t="shared" si="66"/>
        <v/>
      </c>
      <c r="HJ5" s="11" t="str">
        <f t="shared" si="67"/>
        <v/>
      </c>
      <c r="HK5" s="11" t="str">
        <f t="shared" si="68"/>
        <v/>
      </c>
      <c r="HL5" s="11" t="str">
        <f t="shared" si="69"/>
        <v/>
      </c>
      <c r="HM5" s="11" t="str">
        <f t="shared" si="70"/>
        <v/>
      </c>
      <c r="HN5" s="11" t="str">
        <f t="shared" si="71"/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 t="shared" si="72"/>
        <v/>
      </c>
      <c r="IJ5" s="40" t="str">
        <f t="shared" si="73"/>
        <v/>
      </c>
      <c r="IK5" s="40" t="str">
        <f t="shared" si="74"/>
        <v/>
      </c>
      <c r="IL5" s="40" t="str">
        <f t="shared" si="75"/>
        <v/>
      </c>
      <c r="IM5" s="40" t="str">
        <f t="shared" si="76"/>
        <v/>
      </c>
      <c r="IN5" s="40" t="str">
        <f t="shared" si="77"/>
        <v/>
      </c>
      <c r="IO5" s="40" t="str">
        <f t="shared" si="78"/>
        <v/>
      </c>
      <c r="IP5" s="40" t="str">
        <f t="shared" si="79"/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 t="shared" si="80"/>
        <v/>
      </c>
      <c r="JL5" s="11" t="str">
        <f t="shared" si="81"/>
        <v/>
      </c>
      <c r="JM5" s="11" t="str">
        <f t="shared" si="82"/>
        <v/>
      </c>
      <c r="JN5" s="11" t="str">
        <f t="shared" si="83"/>
        <v/>
      </c>
      <c r="JO5" s="11" t="str">
        <f t="shared" si="84"/>
        <v/>
      </c>
      <c r="JP5" s="11" t="str">
        <f t="shared" si="85"/>
        <v/>
      </c>
      <c r="JQ5" s="11" t="str">
        <f t="shared" si="86"/>
        <v/>
      </c>
      <c r="JR5" s="11" t="str">
        <f t="shared" si="87"/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 t="shared" si="88"/>
        <v/>
      </c>
      <c r="KN5" s="40" t="str">
        <f t="shared" si="89"/>
        <v/>
      </c>
      <c r="KO5" s="40" t="str">
        <f t="shared" si="90"/>
        <v/>
      </c>
      <c r="KP5" s="40" t="str">
        <f t="shared" si="91"/>
        <v/>
      </c>
      <c r="KQ5" s="40" t="str">
        <f t="shared" si="92"/>
        <v/>
      </c>
      <c r="KR5" s="40" t="str">
        <f t="shared" si="93"/>
        <v/>
      </c>
      <c r="KS5" s="40" t="str">
        <f t="shared" si="94"/>
        <v/>
      </c>
      <c r="KT5" s="40" t="str">
        <f t="shared" si="95"/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6"/>
        <v/>
      </c>
      <c r="LP5" s="11" t="str">
        <f t="shared" si="97"/>
        <v/>
      </c>
      <c r="LQ5" s="11" t="str">
        <f t="shared" si="98"/>
        <v/>
      </c>
      <c r="LR5" s="11" t="str">
        <f t="shared" si="99"/>
        <v/>
      </c>
      <c r="LS5" s="11" t="str">
        <f t="shared" si="100"/>
        <v/>
      </c>
      <c r="LT5" s="11" t="str">
        <f t="shared" si="101"/>
        <v/>
      </c>
      <c r="LU5" s="11" t="str">
        <f t="shared" si="102"/>
        <v/>
      </c>
      <c r="LV5" s="11" t="str">
        <f t="shared" si="103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 t="shared" si="104"/>
        <v/>
      </c>
      <c r="MR5" s="40" t="str">
        <f t="shared" si="105"/>
        <v/>
      </c>
      <c r="MS5" s="40" t="str">
        <f t="shared" si="106"/>
        <v/>
      </c>
      <c r="MT5" s="40" t="str">
        <f t="shared" si="107"/>
        <v/>
      </c>
      <c r="MU5" s="40" t="str">
        <f t="shared" si="108"/>
        <v/>
      </c>
      <c r="MV5" s="40" t="str">
        <f t="shared" si="109"/>
        <v/>
      </c>
      <c r="MW5" s="40" t="str">
        <f t="shared" si="110"/>
        <v/>
      </c>
      <c r="MX5" s="40" t="str">
        <f t="shared" si="111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2"/>
        <v/>
      </c>
      <c r="NT5" s="11" t="str">
        <f t="shared" si="113"/>
        <v/>
      </c>
      <c r="NU5" s="11" t="str">
        <f t="shared" si="114"/>
        <v/>
      </c>
      <c r="NV5" s="11" t="str">
        <f t="shared" si="115"/>
        <v/>
      </c>
      <c r="NW5" s="11" t="str">
        <f t="shared" si="116"/>
        <v/>
      </c>
      <c r="NX5" s="11" t="str">
        <f t="shared" si="117"/>
        <v/>
      </c>
      <c r="NY5" s="11" t="str">
        <f t="shared" si="118"/>
        <v/>
      </c>
      <c r="NZ5" s="11" t="str">
        <f t="shared" si="119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 t="shared" si="120"/>
        <v/>
      </c>
      <c r="OV5" s="40" t="str">
        <f t="shared" si="121"/>
        <v/>
      </c>
      <c r="OW5" s="40" t="str">
        <f t="shared" si="122"/>
        <v/>
      </c>
      <c r="OX5" s="40" t="str">
        <f t="shared" si="123"/>
        <v/>
      </c>
      <c r="OY5" s="40" t="str">
        <f t="shared" si="124"/>
        <v/>
      </c>
      <c r="OZ5" s="40" t="str">
        <f t="shared" si="125"/>
        <v/>
      </c>
      <c r="PA5" s="40" t="str">
        <f t="shared" si="126"/>
        <v/>
      </c>
      <c r="PB5" s="40" t="str">
        <f t="shared" si="127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8"/>
        <v/>
      </c>
      <c r="PX5" s="11" t="str">
        <f t="shared" si="129"/>
        <v/>
      </c>
      <c r="PY5" s="11" t="str">
        <f t="shared" si="130"/>
        <v/>
      </c>
      <c r="PZ5" s="11" t="str">
        <f t="shared" si="131"/>
        <v/>
      </c>
      <c r="QA5" s="11" t="str">
        <f t="shared" si="132"/>
        <v/>
      </c>
      <c r="QB5" s="11" t="str">
        <f t="shared" si="133"/>
        <v/>
      </c>
      <c r="QC5" s="11" t="str">
        <f t="shared" si="134"/>
        <v/>
      </c>
      <c r="QD5" s="11" t="str">
        <f t="shared" si="135"/>
        <v/>
      </c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40" t="str">
        <f t="shared" si="136"/>
        <v/>
      </c>
      <c r="QZ5" s="40" t="str">
        <f t="shared" si="137"/>
        <v/>
      </c>
      <c r="RA5" s="40" t="str">
        <f t="shared" si="138"/>
        <v/>
      </c>
      <c r="RB5" s="40" t="str">
        <f t="shared" si="139"/>
        <v/>
      </c>
      <c r="RC5" s="40" t="str">
        <f t="shared" si="140"/>
        <v/>
      </c>
      <c r="RD5" s="40" t="str">
        <f t="shared" si="141"/>
        <v/>
      </c>
      <c r="RE5" s="40" t="str">
        <f t="shared" si="142"/>
        <v/>
      </c>
      <c r="RF5" s="40" t="str">
        <f t="shared" si="143"/>
        <v/>
      </c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1" t="str">
        <f t="shared" si="144"/>
        <v/>
      </c>
      <c r="SB5" s="11" t="str">
        <f t="shared" si="145"/>
        <v/>
      </c>
      <c r="SC5" s="11" t="str">
        <f t="shared" si="146"/>
        <v/>
      </c>
      <c r="SD5" s="11" t="str">
        <f t="shared" si="147"/>
        <v/>
      </c>
      <c r="SE5" s="11" t="str">
        <f t="shared" si="148"/>
        <v/>
      </c>
      <c r="SF5" s="11" t="str">
        <f t="shared" si="149"/>
        <v/>
      </c>
      <c r="SG5" s="11" t="str">
        <f t="shared" si="150"/>
        <v/>
      </c>
      <c r="SH5" s="11" t="str">
        <f t="shared" si="151"/>
        <v/>
      </c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40" t="str">
        <f t="shared" si="152"/>
        <v/>
      </c>
      <c r="TD5" s="40" t="str">
        <f t="shared" si="153"/>
        <v/>
      </c>
      <c r="TE5" s="40" t="str">
        <f t="shared" si="154"/>
        <v/>
      </c>
      <c r="TF5" s="40" t="str">
        <f t="shared" si="155"/>
        <v/>
      </c>
      <c r="TG5" s="40" t="str">
        <f t="shared" si="156"/>
        <v/>
      </c>
      <c r="TH5" s="40" t="str">
        <f t="shared" si="157"/>
        <v/>
      </c>
      <c r="TI5" s="40" t="str">
        <f t="shared" si="158"/>
        <v/>
      </c>
      <c r="TJ5" s="40" t="str">
        <f t="shared" si="159"/>
        <v/>
      </c>
      <c r="TK5" s="26">
        <f t="shared" si="160"/>
        <v>18.100000000000001</v>
      </c>
      <c r="TL5" s="26">
        <f t="shared" si="160"/>
        <v>7.3</v>
      </c>
      <c r="TM5" s="26">
        <f t="shared" si="160"/>
        <v>0.1</v>
      </c>
      <c r="TN5" s="26">
        <f t="shared" si="160"/>
        <v>0</v>
      </c>
      <c r="TO5" s="26">
        <f t="shared" si="160"/>
        <v>18.3</v>
      </c>
      <c r="TP5" s="26">
        <f t="shared" si="160"/>
        <v>7.05</v>
      </c>
      <c r="TQ5" s="26">
        <f t="shared" si="160"/>
        <v>0</v>
      </c>
      <c r="TR5" s="26">
        <f t="shared" si="160"/>
        <v>0</v>
      </c>
      <c r="TS5" s="26">
        <f t="shared" si="160"/>
        <v>18.3</v>
      </c>
      <c r="TT5" s="26">
        <f t="shared" si="160"/>
        <v>7.1999999999999993</v>
      </c>
      <c r="TU5" s="26">
        <f t="shared" si="161"/>
        <v>0.1</v>
      </c>
      <c r="TV5" s="26">
        <f t="shared" si="161"/>
        <v>0</v>
      </c>
      <c r="TW5" s="26">
        <f t="shared" si="161"/>
        <v>18.350000000000001</v>
      </c>
      <c r="TX5" s="26">
        <f t="shared" si="161"/>
        <v>7.35</v>
      </c>
      <c r="TY5" s="26">
        <f t="shared" si="161"/>
        <v>0.1</v>
      </c>
      <c r="TZ5" s="26">
        <f t="shared" si="161"/>
        <v>0</v>
      </c>
      <c r="UA5" s="26">
        <f t="shared" si="161"/>
        <v>18.3</v>
      </c>
      <c r="UB5" s="26">
        <f t="shared" si="161"/>
        <v>6.7</v>
      </c>
      <c r="UC5" s="26">
        <f t="shared" si="161"/>
        <v>0</v>
      </c>
      <c r="UD5" s="26">
        <f t="shared" si="161"/>
        <v>0</v>
      </c>
      <c r="UE5" s="28" t="s">
        <v>53</v>
      </c>
      <c r="UF5" s="11">
        <f t="shared" si="162"/>
        <v>14.35</v>
      </c>
      <c r="UG5" s="11">
        <f t="shared" si="163"/>
        <v>50.65</v>
      </c>
      <c r="UH5" s="11">
        <f t="shared" si="164"/>
        <v>25.4</v>
      </c>
      <c r="UI5" s="11">
        <f t="shared" si="165"/>
        <v>21.549999999999997</v>
      </c>
      <c r="UJ5" s="11">
        <f t="shared" si="166"/>
        <v>76.05</v>
      </c>
      <c r="UK5" s="11">
        <f t="shared" si="167"/>
        <v>14.05</v>
      </c>
      <c r="UL5" s="11">
        <f t="shared" si="168"/>
        <v>50.6</v>
      </c>
      <c r="UM5" s="11">
        <f t="shared" si="169"/>
        <v>126.65</v>
      </c>
    </row>
    <row r="6" spans="1:559" x14ac:dyDescent="0.2">
      <c r="A6" s="4" cm="1">
        <f t="array" ref="A6">IF(AND(H6&lt;&gt;"",H6&lt;&gt;"No DD"),SUMPRODUCT((H$4:H$12&lt;&gt;"")*(H$4:H$12&lt;&gt;"No DD")*(E$4:E$12&gt;E6))+1,IF(H6="No DD",SUMPRODUCT((H$4:H$12="No DD")*(E$4:E$12&gt;E6))+1+SUMPRODUCT((H$4:H$12&lt;&gt;"")*(H$4:H$12&lt;&gt;"No DD")),""))</f>
        <v>3</v>
      </c>
      <c r="B6" s="5" t="s">
        <v>122</v>
      </c>
      <c r="C6" s="4" t="s">
        <v>5</v>
      </c>
      <c r="D6" s="4">
        <v>2004</v>
      </c>
      <c r="E6" s="9">
        <f t="shared" si="0"/>
        <v>169.7000109000048</v>
      </c>
      <c r="F6" s="3" t="str">
        <f t="shared" si="1"/>
        <v>P</v>
      </c>
      <c r="G6" s="3" t="str">
        <f t="shared" si="2"/>
        <v>P</v>
      </c>
      <c r="H6" s="36" t="str">
        <f t="shared" si="3"/>
        <v>Worlds Team</v>
      </c>
      <c r="I6" s="3" t="str">
        <f t="shared" si="4"/>
        <v>P</v>
      </c>
      <c r="J6" s="8">
        <f>IF(COUNT(AQ6,BT6,CW6)&gt;0,LARGE((AQ6,BT6,CW6),1),0)</f>
        <v>47.900000000000006</v>
      </c>
      <c r="K6" s="8" t="str">
        <f t="shared" si="5"/>
        <v>2024 Elite Canada</v>
      </c>
      <c r="L6" s="8">
        <f>IF(COUNT(AQ6,BT6,CW6)&gt;1,LARGE((AQ6,BT6,CW6),2),0)</f>
        <v>36.5</v>
      </c>
      <c r="M6" s="8" t="str">
        <f t="shared" si="6"/>
        <v>2024 Nationals</v>
      </c>
      <c r="N6" s="8">
        <f>IF(COUNT(AR6,BU6,CX6)&gt;0,LARGE((AR6,BU6,CX6),1),0)</f>
        <v>24.6</v>
      </c>
      <c r="O6" s="8" t="str">
        <f t="shared" si="7"/>
        <v>2024 Elite Canada</v>
      </c>
      <c r="P6" s="8">
        <f t="shared" si="8"/>
        <v>49</v>
      </c>
      <c r="Q6" s="8" t="str">
        <f t="shared" si="9"/>
        <v>2024 Elite Canada</v>
      </c>
      <c r="R6" s="8">
        <f t="shared" si="10"/>
        <v>11.699999999999996</v>
      </c>
      <c r="S6" s="11" t="str">
        <f t="shared" si="11"/>
        <v>(Q1)</v>
      </c>
      <c r="T6" s="8" t="str">
        <f t="shared" si="12"/>
        <v>2024 World Cup POR (July 7)</v>
      </c>
      <c r="U6" s="19">
        <v>18.3</v>
      </c>
      <c r="V6" s="19">
        <v>6.9</v>
      </c>
      <c r="W6" s="19">
        <v>0</v>
      </c>
      <c r="X6" s="19">
        <v>0</v>
      </c>
      <c r="Y6" s="19">
        <v>16.7</v>
      </c>
      <c r="Z6" s="19">
        <v>6</v>
      </c>
      <c r="AA6" s="19">
        <v>0</v>
      </c>
      <c r="AB6" s="19">
        <v>0</v>
      </c>
      <c r="AC6" s="19">
        <v>18.100000000000001</v>
      </c>
      <c r="AD6" s="19">
        <v>6.5</v>
      </c>
      <c r="AE6" s="19">
        <v>0</v>
      </c>
      <c r="AF6" s="19">
        <v>0</v>
      </c>
      <c r="AG6" s="19">
        <v>17.7</v>
      </c>
      <c r="AH6" s="19">
        <v>6.9</v>
      </c>
      <c r="AI6" s="19">
        <v>0</v>
      </c>
      <c r="AJ6" s="19">
        <v>0</v>
      </c>
      <c r="AK6" s="19">
        <v>17.5</v>
      </c>
      <c r="AL6" s="19">
        <v>6.9</v>
      </c>
      <c r="AM6" s="19">
        <v>0</v>
      </c>
      <c r="AN6" s="19">
        <v>0</v>
      </c>
      <c r="AO6" s="27"/>
      <c r="AP6" s="40">
        <f t="shared" si="13"/>
        <v>12.9</v>
      </c>
      <c r="AQ6" s="40">
        <f t="shared" si="14"/>
        <v>47.900000000000006</v>
      </c>
      <c r="AR6" s="40">
        <f t="shared" si="15"/>
        <v>24.6</v>
      </c>
      <c r="AS6" s="40">
        <f t="shared" si="16"/>
        <v>19.399999999999999</v>
      </c>
      <c r="AT6" s="40">
        <f t="shared" si="17"/>
        <v>72.5</v>
      </c>
      <c r="AU6" s="40">
        <f t="shared" si="18"/>
        <v>13.8</v>
      </c>
      <c r="AV6" s="40">
        <f t="shared" si="19"/>
        <v>49</v>
      </c>
      <c r="AW6" s="40">
        <f t="shared" si="20"/>
        <v>121.5</v>
      </c>
      <c r="AX6" s="18">
        <v>15.2</v>
      </c>
      <c r="AY6" s="18">
        <v>3.4</v>
      </c>
      <c r="AZ6" s="18">
        <v>0</v>
      </c>
      <c r="BA6" s="18">
        <v>0</v>
      </c>
      <c r="BB6" s="18">
        <v>15.2</v>
      </c>
      <c r="BC6" s="18">
        <v>2.7</v>
      </c>
      <c r="BD6" s="18">
        <v>0</v>
      </c>
      <c r="BE6" s="18">
        <v>0</v>
      </c>
      <c r="BF6" s="18">
        <v>17.399999999999999</v>
      </c>
      <c r="BG6" s="18">
        <v>5.6</v>
      </c>
      <c r="BH6" s="18">
        <v>0.4</v>
      </c>
      <c r="BI6" s="18">
        <v>0</v>
      </c>
      <c r="BJ6" s="18"/>
      <c r="BK6" s="18"/>
      <c r="BL6" s="18"/>
      <c r="BM6" s="18"/>
      <c r="BN6" s="18"/>
      <c r="BO6" s="18"/>
      <c r="BP6" s="18"/>
      <c r="BQ6" s="18"/>
      <c r="BR6" s="28"/>
      <c r="BS6" s="11">
        <f t="shared" si="21"/>
        <v>6.1</v>
      </c>
      <c r="BT6" s="11">
        <f t="shared" si="22"/>
        <v>36.5</v>
      </c>
      <c r="BU6" s="11">
        <f t="shared" si="23"/>
        <v>22.6</v>
      </c>
      <c r="BV6" s="11">
        <f t="shared" si="24"/>
        <v>11.7</v>
      </c>
      <c r="BW6" s="11">
        <f t="shared" si="25"/>
        <v>59.1</v>
      </c>
      <c r="BX6" s="11" t="str">
        <f t="shared" si="26"/>
        <v/>
      </c>
      <c r="BY6" s="11" t="str">
        <f t="shared" si="27"/>
        <v/>
      </c>
      <c r="BZ6" s="11">
        <f t="shared" si="28"/>
        <v>59.1</v>
      </c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27"/>
      <c r="CV6" s="40" t="str">
        <f t="shared" si="29"/>
        <v/>
      </c>
      <c r="CW6" s="40" t="str">
        <f t="shared" si="30"/>
        <v/>
      </c>
      <c r="CX6" s="40" t="str">
        <f t="shared" si="31"/>
        <v/>
      </c>
      <c r="CY6" s="40" t="str">
        <f t="shared" si="32"/>
        <v/>
      </c>
      <c r="CZ6" s="40" t="str">
        <f t="shared" si="33"/>
        <v/>
      </c>
      <c r="DA6" s="40" t="str">
        <f t="shared" si="34"/>
        <v/>
      </c>
      <c r="DB6" s="40" t="str">
        <f t="shared" si="35"/>
        <v/>
      </c>
      <c r="DC6" s="40" t="str">
        <f t="shared" si="36"/>
        <v/>
      </c>
      <c r="DD6" s="51">
        <f t="shared" si="37"/>
        <v>11.699999999999996</v>
      </c>
      <c r="DE6" s="51" t="str">
        <f t="shared" si="38"/>
        <v/>
      </c>
      <c r="DF6" s="51" t="str">
        <f t="shared" si="39"/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 t="str">
        <f t="shared" si="40"/>
        <v/>
      </c>
      <c r="EB6" s="40" t="str">
        <f t="shared" si="41"/>
        <v/>
      </c>
      <c r="EC6" s="40" t="str">
        <f t="shared" si="42"/>
        <v/>
      </c>
      <c r="ED6" s="40" t="str">
        <f t="shared" si="43"/>
        <v/>
      </c>
      <c r="EE6" s="40" t="str">
        <f t="shared" si="44"/>
        <v/>
      </c>
      <c r="EF6" s="40" t="str">
        <f t="shared" si="45"/>
        <v/>
      </c>
      <c r="EG6" s="40" t="str">
        <f t="shared" si="46"/>
        <v/>
      </c>
      <c r="EH6" s="40" t="str">
        <f t="shared" si="47"/>
        <v/>
      </c>
      <c r="EI6" s="18">
        <v>17.399999999999999</v>
      </c>
      <c r="EJ6" s="18">
        <v>6.9</v>
      </c>
      <c r="EK6" s="18">
        <v>0</v>
      </c>
      <c r="EL6" s="18">
        <v>0</v>
      </c>
      <c r="EM6" s="18">
        <v>17</v>
      </c>
      <c r="EN6" s="18">
        <v>6.9</v>
      </c>
      <c r="EO6" s="18">
        <v>0</v>
      </c>
      <c r="EP6" s="18">
        <v>0</v>
      </c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>
        <f t="shared" si="48"/>
        <v>13.8</v>
      </c>
      <c r="FD6" s="11">
        <f t="shared" si="49"/>
        <v>48.199999999999996</v>
      </c>
      <c r="FE6" s="11" t="str">
        <f t="shared" si="50"/>
        <v/>
      </c>
      <c r="FF6" s="11">
        <f t="shared" si="51"/>
        <v>13.8</v>
      </c>
      <c r="FG6" s="11">
        <f t="shared" si="52"/>
        <v>48.199999999999996</v>
      </c>
      <c r="FH6" s="11" t="str">
        <f t="shared" si="53"/>
        <v/>
      </c>
      <c r="FI6" s="11" t="str">
        <f t="shared" si="54"/>
        <v/>
      </c>
      <c r="FJ6" s="11">
        <f t="shared" si="55"/>
        <v>48.199999999999996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 t="str">
        <f t="shared" si="56"/>
        <v/>
      </c>
      <c r="GF6" s="40" t="str">
        <f t="shared" si="57"/>
        <v/>
      </c>
      <c r="GG6" s="40" t="str">
        <f t="shared" si="58"/>
        <v/>
      </c>
      <c r="GH6" s="40" t="str">
        <f t="shared" si="59"/>
        <v/>
      </c>
      <c r="GI6" s="40" t="str">
        <f t="shared" si="60"/>
        <v/>
      </c>
      <c r="GJ6" s="40" t="str">
        <f t="shared" si="61"/>
        <v/>
      </c>
      <c r="GK6" s="40" t="str">
        <f t="shared" si="62"/>
        <v/>
      </c>
      <c r="GL6" s="40" t="str">
        <f t="shared" si="63"/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 t="shared" si="64"/>
        <v/>
      </c>
      <c r="HH6" s="11" t="str">
        <f t="shared" si="65"/>
        <v/>
      </c>
      <c r="HI6" s="11" t="str">
        <f t="shared" si="66"/>
        <v/>
      </c>
      <c r="HJ6" s="11" t="str">
        <f t="shared" si="67"/>
        <v/>
      </c>
      <c r="HK6" s="11" t="str">
        <f t="shared" si="68"/>
        <v/>
      </c>
      <c r="HL6" s="11" t="str">
        <f t="shared" si="69"/>
        <v/>
      </c>
      <c r="HM6" s="11" t="str">
        <f t="shared" si="70"/>
        <v/>
      </c>
      <c r="HN6" s="11" t="str">
        <f t="shared" si="71"/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 t="shared" si="72"/>
        <v/>
      </c>
      <c r="IJ6" s="40" t="str">
        <f t="shared" si="73"/>
        <v/>
      </c>
      <c r="IK6" s="40" t="str">
        <f t="shared" si="74"/>
        <v/>
      </c>
      <c r="IL6" s="40" t="str">
        <f t="shared" si="75"/>
        <v/>
      </c>
      <c r="IM6" s="40" t="str">
        <f t="shared" si="76"/>
        <v/>
      </c>
      <c r="IN6" s="40" t="str">
        <f t="shared" si="77"/>
        <v/>
      </c>
      <c r="IO6" s="40" t="str">
        <f t="shared" si="78"/>
        <v/>
      </c>
      <c r="IP6" s="40" t="str">
        <f t="shared" si="79"/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 t="shared" si="80"/>
        <v/>
      </c>
      <c r="JL6" s="11" t="str">
        <f t="shared" si="81"/>
        <v/>
      </c>
      <c r="JM6" s="11" t="str">
        <f t="shared" si="82"/>
        <v/>
      </c>
      <c r="JN6" s="11" t="str">
        <f t="shared" si="83"/>
        <v/>
      </c>
      <c r="JO6" s="11" t="str">
        <f t="shared" si="84"/>
        <v/>
      </c>
      <c r="JP6" s="11" t="str">
        <f t="shared" si="85"/>
        <v/>
      </c>
      <c r="JQ6" s="11" t="str">
        <f t="shared" si="86"/>
        <v/>
      </c>
      <c r="JR6" s="11" t="str">
        <f t="shared" si="87"/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 t="shared" si="88"/>
        <v/>
      </c>
      <c r="KN6" s="40" t="str">
        <f t="shared" si="89"/>
        <v/>
      </c>
      <c r="KO6" s="40" t="str">
        <f t="shared" si="90"/>
        <v/>
      </c>
      <c r="KP6" s="40" t="str">
        <f t="shared" si="91"/>
        <v/>
      </c>
      <c r="KQ6" s="40" t="str">
        <f t="shared" si="92"/>
        <v/>
      </c>
      <c r="KR6" s="40" t="str">
        <f t="shared" si="93"/>
        <v/>
      </c>
      <c r="KS6" s="40" t="str">
        <f t="shared" si="94"/>
        <v/>
      </c>
      <c r="KT6" s="40" t="str">
        <f t="shared" si="95"/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6"/>
        <v/>
      </c>
      <c r="LP6" s="11" t="str">
        <f t="shared" si="97"/>
        <v/>
      </c>
      <c r="LQ6" s="11" t="str">
        <f t="shared" si="98"/>
        <v/>
      </c>
      <c r="LR6" s="11" t="str">
        <f t="shared" si="99"/>
        <v/>
      </c>
      <c r="LS6" s="11" t="str">
        <f t="shared" si="100"/>
        <v/>
      </c>
      <c r="LT6" s="11" t="str">
        <f t="shared" si="101"/>
        <v/>
      </c>
      <c r="LU6" s="11" t="str">
        <f t="shared" si="102"/>
        <v/>
      </c>
      <c r="LV6" s="11" t="str">
        <f t="shared" si="103"/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 t="shared" si="104"/>
        <v/>
      </c>
      <c r="MR6" s="40" t="str">
        <f t="shared" si="105"/>
        <v/>
      </c>
      <c r="MS6" s="40" t="str">
        <f t="shared" si="106"/>
        <v/>
      </c>
      <c r="MT6" s="40" t="str">
        <f t="shared" si="107"/>
        <v/>
      </c>
      <c r="MU6" s="40" t="str">
        <f t="shared" si="108"/>
        <v/>
      </c>
      <c r="MV6" s="40" t="str">
        <f t="shared" si="109"/>
        <v/>
      </c>
      <c r="MW6" s="40" t="str">
        <f t="shared" si="110"/>
        <v/>
      </c>
      <c r="MX6" s="40" t="str">
        <f t="shared" si="111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2"/>
        <v/>
      </c>
      <c r="NT6" s="11" t="str">
        <f t="shared" si="113"/>
        <v/>
      </c>
      <c r="NU6" s="11" t="str">
        <f t="shared" si="114"/>
        <v/>
      </c>
      <c r="NV6" s="11" t="str">
        <f t="shared" si="115"/>
        <v/>
      </c>
      <c r="NW6" s="11" t="str">
        <f t="shared" si="116"/>
        <v/>
      </c>
      <c r="NX6" s="11" t="str">
        <f t="shared" si="117"/>
        <v/>
      </c>
      <c r="NY6" s="11" t="str">
        <f t="shared" si="118"/>
        <v/>
      </c>
      <c r="NZ6" s="11" t="str">
        <f t="shared" si="119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 t="shared" si="120"/>
        <v/>
      </c>
      <c r="OV6" s="40" t="str">
        <f t="shared" si="121"/>
        <v/>
      </c>
      <c r="OW6" s="40" t="str">
        <f t="shared" si="122"/>
        <v/>
      </c>
      <c r="OX6" s="40" t="str">
        <f t="shared" si="123"/>
        <v/>
      </c>
      <c r="OY6" s="40" t="str">
        <f t="shared" si="124"/>
        <v/>
      </c>
      <c r="OZ6" s="40" t="str">
        <f t="shared" si="125"/>
        <v/>
      </c>
      <c r="PA6" s="40" t="str">
        <f t="shared" si="126"/>
        <v/>
      </c>
      <c r="PB6" s="40" t="str">
        <f t="shared" si="127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8"/>
        <v/>
      </c>
      <c r="PX6" s="11" t="str">
        <f t="shared" si="129"/>
        <v/>
      </c>
      <c r="PY6" s="11" t="str">
        <f t="shared" si="130"/>
        <v/>
      </c>
      <c r="PZ6" s="11" t="str">
        <f t="shared" si="131"/>
        <v/>
      </c>
      <c r="QA6" s="11" t="str">
        <f t="shared" si="132"/>
        <v/>
      </c>
      <c r="QB6" s="11" t="str">
        <f t="shared" si="133"/>
        <v/>
      </c>
      <c r="QC6" s="11" t="str">
        <f t="shared" si="134"/>
        <v/>
      </c>
      <c r="QD6" s="11" t="str">
        <f t="shared" si="135"/>
        <v/>
      </c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40" t="str">
        <f t="shared" si="136"/>
        <v/>
      </c>
      <c r="QZ6" s="40" t="str">
        <f t="shared" si="137"/>
        <v/>
      </c>
      <c r="RA6" s="40" t="str">
        <f t="shared" si="138"/>
        <v/>
      </c>
      <c r="RB6" s="40" t="str">
        <f t="shared" si="139"/>
        <v/>
      </c>
      <c r="RC6" s="40" t="str">
        <f t="shared" si="140"/>
        <v/>
      </c>
      <c r="RD6" s="40" t="str">
        <f t="shared" si="141"/>
        <v/>
      </c>
      <c r="RE6" s="40" t="str">
        <f t="shared" si="142"/>
        <v/>
      </c>
      <c r="RF6" s="40" t="str">
        <f t="shared" si="143"/>
        <v/>
      </c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1" t="str">
        <f t="shared" si="144"/>
        <v/>
      </c>
      <c r="SB6" s="11" t="str">
        <f t="shared" si="145"/>
        <v/>
      </c>
      <c r="SC6" s="11" t="str">
        <f t="shared" si="146"/>
        <v/>
      </c>
      <c r="SD6" s="11" t="str">
        <f t="shared" si="147"/>
        <v/>
      </c>
      <c r="SE6" s="11" t="str">
        <f t="shared" si="148"/>
        <v/>
      </c>
      <c r="SF6" s="11" t="str">
        <f t="shared" si="149"/>
        <v/>
      </c>
      <c r="SG6" s="11" t="str">
        <f t="shared" si="150"/>
        <v/>
      </c>
      <c r="SH6" s="11" t="str">
        <f t="shared" si="151"/>
        <v/>
      </c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40" t="str">
        <f t="shared" si="152"/>
        <v/>
      </c>
      <c r="TD6" s="40" t="str">
        <f t="shared" si="153"/>
        <v/>
      </c>
      <c r="TE6" s="40" t="str">
        <f t="shared" si="154"/>
        <v/>
      </c>
      <c r="TF6" s="40" t="str">
        <f t="shared" si="155"/>
        <v/>
      </c>
      <c r="TG6" s="40" t="str">
        <f t="shared" si="156"/>
        <v/>
      </c>
      <c r="TH6" s="40" t="str">
        <f t="shared" si="157"/>
        <v/>
      </c>
      <c r="TI6" s="40" t="str">
        <f t="shared" si="158"/>
        <v/>
      </c>
      <c r="TJ6" s="40" t="str">
        <f t="shared" si="159"/>
        <v/>
      </c>
      <c r="TK6" s="26">
        <f t="shared" si="160"/>
        <v>7.6</v>
      </c>
      <c r="TL6" s="26">
        <f t="shared" si="160"/>
        <v>1.7</v>
      </c>
      <c r="TM6" s="26">
        <f t="shared" si="160"/>
        <v>0</v>
      </c>
      <c r="TN6" s="26">
        <f t="shared" si="160"/>
        <v>0</v>
      </c>
      <c r="TO6" s="26">
        <f t="shared" si="160"/>
        <v>7.6</v>
      </c>
      <c r="TP6" s="26">
        <f t="shared" si="160"/>
        <v>1.35</v>
      </c>
      <c r="TQ6" s="26">
        <f t="shared" si="160"/>
        <v>0</v>
      </c>
      <c r="TR6" s="26">
        <f t="shared" si="160"/>
        <v>0</v>
      </c>
      <c r="TS6" s="26">
        <f t="shared" si="160"/>
        <v>8.6999999999999993</v>
      </c>
      <c r="TT6" s="26">
        <f t="shared" si="160"/>
        <v>2.8</v>
      </c>
      <c r="TU6" s="26">
        <f t="shared" si="161"/>
        <v>0.2</v>
      </c>
      <c r="TV6" s="26">
        <f t="shared" si="161"/>
        <v>0</v>
      </c>
      <c r="TW6" s="26">
        <f t="shared" si="161"/>
        <v>0</v>
      </c>
      <c r="TX6" s="26">
        <f t="shared" si="161"/>
        <v>0</v>
      </c>
      <c r="TY6" s="26">
        <f t="shared" si="161"/>
        <v>0</v>
      </c>
      <c r="TZ6" s="26">
        <f t="shared" si="161"/>
        <v>0</v>
      </c>
      <c r="UA6" s="26">
        <f t="shared" si="161"/>
        <v>0</v>
      </c>
      <c r="UB6" s="26">
        <f t="shared" si="161"/>
        <v>0</v>
      </c>
      <c r="UC6" s="26">
        <f t="shared" si="161"/>
        <v>0</v>
      </c>
      <c r="UD6" s="26">
        <f t="shared" si="161"/>
        <v>0</v>
      </c>
      <c r="UE6" s="28" t="s">
        <v>53</v>
      </c>
      <c r="UF6" s="11">
        <f t="shared" si="162"/>
        <v>3.05</v>
      </c>
      <c r="UG6" s="11">
        <f t="shared" si="163"/>
        <v>18.25</v>
      </c>
      <c r="UH6" s="11">
        <f t="shared" si="164"/>
        <v>11.3</v>
      </c>
      <c r="UI6" s="11">
        <f t="shared" si="165"/>
        <v>5.85</v>
      </c>
      <c r="UJ6" s="11">
        <f t="shared" si="166"/>
        <v>29.55</v>
      </c>
      <c r="UK6" s="11" t="str">
        <f t="shared" si="167"/>
        <v/>
      </c>
      <c r="UL6" s="11" t="str">
        <f t="shared" si="168"/>
        <v/>
      </c>
      <c r="UM6" s="11">
        <f t="shared" si="169"/>
        <v>29.55</v>
      </c>
    </row>
    <row r="7" spans="1:559" x14ac:dyDescent="0.2">
      <c r="A7" s="4" cm="1">
        <f t="array" ref="A7">IF(AND(H7&lt;&gt;"",H7&lt;&gt;"No DD"),SUMPRODUCT((H$4:H$12&lt;&gt;"")*(H$4:H$12&lt;&gt;"No DD")*(E$4:E$12&gt;E7))+1,IF(H7="No DD",SUMPRODUCT((H$4:H$12="No DD")*(E$4:E$12&gt;E7))+1+SUMPRODUCT((H$4:H$12&lt;&gt;"")*(H$4:H$12&lt;&gt;"No DD")),""))</f>
        <v>4</v>
      </c>
      <c r="B7" s="5" t="s">
        <v>120</v>
      </c>
      <c r="C7" s="4" t="s">
        <v>3</v>
      </c>
      <c r="D7" s="4">
        <v>2003</v>
      </c>
      <c r="E7" s="9">
        <f t="shared" si="0"/>
        <v>167.72501159000473</v>
      </c>
      <c r="F7" s="3" t="str">
        <f t="shared" si="1"/>
        <v>P</v>
      </c>
      <c r="G7" s="3" t="str">
        <f t="shared" si="2"/>
        <v>P</v>
      </c>
      <c r="H7" s="36" t="str">
        <f t="shared" si="3"/>
        <v>National Team</v>
      </c>
      <c r="I7" s="3" t="str">
        <f t="shared" si="4"/>
        <v/>
      </c>
      <c r="J7" s="8">
        <f>IF(COUNT(AQ7,BT7,CW7)&gt;0,LARGE((AQ7,BT7,CW7),1),0)</f>
        <v>46.8</v>
      </c>
      <c r="K7" s="8" t="str">
        <f t="shared" si="5"/>
        <v>2024 Nationals</v>
      </c>
      <c r="L7" s="8">
        <f>IF(COUNT(AQ7,BT7,CW7)&gt;1,LARGE((AQ7,BT7,CW7),2),0)</f>
        <v>42.1</v>
      </c>
      <c r="M7" s="8" t="str">
        <f t="shared" si="6"/>
        <v>2024 Elite Canada</v>
      </c>
      <c r="N7" s="8">
        <f>IF(COUNT(AR7,BU7,CX7)&gt;0,LARGE((AR7,BU7,CX7),1),0)</f>
        <v>27</v>
      </c>
      <c r="O7" s="8" t="str">
        <f t="shared" si="7"/>
        <v>2024 Elite Canada</v>
      </c>
      <c r="P7" s="8">
        <f t="shared" si="8"/>
        <v>51.825000000000003</v>
      </c>
      <c r="Q7" s="8" t="str">
        <f t="shared" si="9"/>
        <v>2024 Nationals</v>
      </c>
      <c r="R7" s="8" t="str">
        <f t="shared" si="10"/>
        <v/>
      </c>
      <c r="S7" s="11" t="str">
        <f t="shared" si="11"/>
        <v/>
      </c>
      <c r="T7" s="8" t="str">
        <f t="shared" si="12"/>
        <v/>
      </c>
      <c r="U7" s="19">
        <v>17.2</v>
      </c>
      <c r="V7" s="19">
        <v>3.7</v>
      </c>
      <c r="W7" s="19">
        <v>0</v>
      </c>
      <c r="X7" s="19">
        <v>0</v>
      </c>
      <c r="Y7" s="19">
        <v>16.100000000000001</v>
      </c>
      <c r="Z7" s="19">
        <v>5.0999999999999996</v>
      </c>
      <c r="AA7" s="19">
        <v>0</v>
      </c>
      <c r="AB7" s="19">
        <v>0</v>
      </c>
      <c r="AC7" s="19">
        <v>18.3</v>
      </c>
      <c r="AD7" s="19">
        <v>8.6999999999999993</v>
      </c>
      <c r="AE7" s="19">
        <v>0</v>
      </c>
      <c r="AF7" s="19">
        <v>0</v>
      </c>
      <c r="AG7" s="19">
        <v>17.3</v>
      </c>
      <c r="AH7" s="19">
        <v>8.3000000000000007</v>
      </c>
      <c r="AI7" s="19">
        <v>0</v>
      </c>
      <c r="AJ7" s="19">
        <v>0</v>
      </c>
      <c r="AK7" s="19">
        <v>18.600000000000001</v>
      </c>
      <c r="AL7" s="19">
        <v>6.1</v>
      </c>
      <c r="AM7" s="19">
        <v>0</v>
      </c>
      <c r="AN7" s="19">
        <v>0</v>
      </c>
      <c r="AO7" s="27"/>
      <c r="AP7" s="40">
        <f t="shared" si="13"/>
        <v>8.8000000000000007</v>
      </c>
      <c r="AQ7" s="40">
        <f t="shared" si="14"/>
        <v>42.1</v>
      </c>
      <c r="AR7" s="40">
        <f t="shared" si="15"/>
        <v>27</v>
      </c>
      <c r="AS7" s="40">
        <f t="shared" si="16"/>
        <v>17.5</v>
      </c>
      <c r="AT7" s="40">
        <f t="shared" si="17"/>
        <v>69.099999999999994</v>
      </c>
      <c r="AU7" s="40">
        <f t="shared" si="18"/>
        <v>14.4</v>
      </c>
      <c r="AV7" s="40">
        <f t="shared" si="19"/>
        <v>50.300000000000004</v>
      </c>
      <c r="AW7" s="40">
        <f t="shared" si="20"/>
        <v>119.4</v>
      </c>
      <c r="AX7" s="18">
        <v>17.649999999999999</v>
      </c>
      <c r="AY7" s="18">
        <v>6.1999999999999993</v>
      </c>
      <c r="AZ7" s="18">
        <v>0</v>
      </c>
      <c r="BA7" s="18">
        <v>0</v>
      </c>
      <c r="BB7" s="18">
        <v>17.05</v>
      </c>
      <c r="BC7" s="18">
        <v>5.9</v>
      </c>
      <c r="BD7" s="18">
        <v>0</v>
      </c>
      <c r="BE7" s="18">
        <v>0</v>
      </c>
      <c r="BF7" s="18">
        <v>18.350000000000001</v>
      </c>
      <c r="BG7" s="18">
        <v>8.5</v>
      </c>
      <c r="BH7" s="18">
        <v>0</v>
      </c>
      <c r="BI7" s="18">
        <v>0</v>
      </c>
      <c r="BJ7" s="18">
        <v>18.024999999999999</v>
      </c>
      <c r="BK7" s="18">
        <v>8.4</v>
      </c>
      <c r="BL7" s="18">
        <v>0</v>
      </c>
      <c r="BM7" s="18">
        <v>0</v>
      </c>
      <c r="BN7" s="18">
        <v>18.700000000000003</v>
      </c>
      <c r="BO7" s="18">
        <v>6.7</v>
      </c>
      <c r="BP7" s="18">
        <v>0</v>
      </c>
      <c r="BQ7" s="18">
        <v>0</v>
      </c>
      <c r="BR7" s="28" t="s">
        <v>53</v>
      </c>
      <c r="BS7" s="11">
        <f t="shared" si="21"/>
        <v>12.1</v>
      </c>
      <c r="BT7" s="11">
        <f t="shared" si="22"/>
        <v>46.8</v>
      </c>
      <c r="BU7" s="11">
        <f t="shared" si="23"/>
        <v>26.85</v>
      </c>
      <c r="BV7" s="11">
        <f t="shared" si="24"/>
        <v>20.6</v>
      </c>
      <c r="BW7" s="11">
        <f t="shared" si="25"/>
        <v>73.650000000000006</v>
      </c>
      <c r="BX7" s="11">
        <f t="shared" si="26"/>
        <v>15.100000000000001</v>
      </c>
      <c r="BY7" s="11">
        <f t="shared" si="27"/>
        <v>51.825000000000003</v>
      </c>
      <c r="BZ7" s="11">
        <f t="shared" si="28"/>
        <v>125.47500000000001</v>
      </c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27"/>
      <c r="CV7" s="40" t="str">
        <f t="shared" si="29"/>
        <v/>
      </c>
      <c r="CW7" s="40" t="str">
        <f t="shared" si="30"/>
        <v/>
      </c>
      <c r="CX7" s="40" t="str">
        <f t="shared" si="31"/>
        <v/>
      </c>
      <c r="CY7" s="40" t="str">
        <f t="shared" si="32"/>
        <v/>
      </c>
      <c r="CZ7" s="40" t="str">
        <f t="shared" si="33"/>
        <v/>
      </c>
      <c r="DA7" s="40" t="str">
        <f t="shared" si="34"/>
        <v/>
      </c>
      <c r="DB7" s="40" t="str">
        <f t="shared" si="35"/>
        <v/>
      </c>
      <c r="DC7" s="40" t="str">
        <f t="shared" si="36"/>
        <v/>
      </c>
      <c r="DD7" s="51" t="str">
        <f t="shared" si="37"/>
        <v/>
      </c>
      <c r="DE7" s="51" t="str">
        <f t="shared" si="38"/>
        <v/>
      </c>
      <c r="DF7" s="51" t="str">
        <f t="shared" si="39"/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 t="str">
        <f t="shared" si="40"/>
        <v/>
      </c>
      <c r="EB7" s="40" t="str">
        <f t="shared" si="41"/>
        <v/>
      </c>
      <c r="EC7" s="40" t="str">
        <f t="shared" si="42"/>
        <v/>
      </c>
      <c r="ED7" s="40" t="str">
        <f t="shared" si="43"/>
        <v/>
      </c>
      <c r="EE7" s="40" t="str">
        <f t="shared" si="44"/>
        <v/>
      </c>
      <c r="EF7" s="40" t="str">
        <f t="shared" si="45"/>
        <v/>
      </c>
      <c r="EG7" s="40" t="str">
        <f t="shared" si="46"/>
        <v/>
      </c>
      <c r="EH7" s="40" t="str">
        <f t="shared" si="47"/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 t="shared" si="48"/>
        <v/>
      </c>
      <c r="FD7" s="11" t="str">
        <f t="shared" si="49"/>
        <v/>
      </c>
      <c r="FE7" s="11" t="str">
        <f t="shared" si="50"/>
        <v/>
      </c>
      <c r="FF7" s="11" t="str">
        <f t="shared" si="51"/>
        <v/>
      </c>
      <c r="FG7" s="11" t="str">
        <f t="shared" si="52"/>
        <v/>
      </c>
      <c r="FH7" s="11" t="str">
        <f t="shared" si="53"/>
        <v/>
      </c>
      <c r="FI7" s="11" t="str">
        <f t="shared" si="54"/>
        <v/>
      </c>
      <c r="FJ7" s="11" t="str">
        <f t="shared" si="55"/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 t="str">
        <f t="shared" si="56"/>
        <v/>
      </c>
      <c r="GF7" s="40" t="str">
        <f t="shared" si="57"/>
        <v/>
      </c>
      <c r="GG7" s="40" t="str">
        <f t="shared" si="58"/>
        <v/>
      </c>
      <c r="GH7" s="40" t="str">
        <f t="shared" si="59"/>
        <v/>
      </c>
      <c r="GI7" s="40" t="str">
        <f t="shared" si="60"/>
        <v/>
      </c>
      <c r="GJ7" s="40" t="str">
        <f t="shared" si="61"/>
        <v/>
      </c>
      <c r="GK7" s="40" t="str">
        <f t="shared" si="62"/>
        <v/>
      </c>
      <c r="GL7" s="40" t="str">
        <f t="shared" si="63"/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 t="shared" si="64"/>
        <v/>
      </c>
      <c r="HH7" s="11" t="str">
        <f t="shared" si="65"/>
        <v/>
      </c>
      <c r="HI7" s="11" t="str">
        <f t="shared" si="66"/>
        <v/>
      </c>
      <c r="HJ7" s="11" t="str">
        <f t="shared" si="67"/>
        <v/>
      </c>
      <c r="HK7" s="11" t="str">
        <f t="shared" si="68"/>
        <v/>
      </c>
      <c r="HL7" s="11" t="str">
        <f t="shared" si="69"/>
        <v/>
      </c>
      <c r="HM7" s="11" t="str">
        <f t="shared" si="70"/>
        <v/>
      </c>
      <c r="HN7" s="11" t="str">
        <f t="shared" si="71"/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 t="shared" si="72"/>
        <v/>
      </c>
      <c r="IJ7" s="40" t="str">
        <f t="shared" si="73"/>
        <v/>
      </c>
      <c r="IK7" s="40" t="str">
        <f t="shared" si="74"/>
        <v/>
      </c>
      <c r="IL7" s="40" t="str">
        <f t="shared" si="75"/>
        <v/>
      </c>
      <c r="IM7" s="40" t="str">
        <f t="shared" si="76"/>
        <v/>
      </c>
      <c r="IN7" s="40" t="str">
        <f t="shared" si="77"/>
        <v/>
      </c>
      <c r="IO7" s="40" t="str">
        <f t="shared" si="78"/>
        <v/>
      </c>
      <c r="IP7" s="40" t="str">
        <f t="shared" si="79"/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80"/>
        <v/>
      </c>
      <c r="JL7" s="11" t="str">
        <f t="shared" si="81"/>
        <v/>
      </c>
      <c r="JM7" s="11" t="str">
        <f t="shared" si="82"/>
        <v/>
      </c>
      <c r="JN7" s="11" t="str">
        <f t="shared" si="83"/>
        <v/>
      </c>
      <c r="JO7" s="11" t="str">
        <f t="shared" si="84"/>
        <v/>
      </c>
      <c r="JP7" s="11" t="str">
        <f t="shared" si="85"/>
        <v/>
      </c>
      <c r="JQ7" s="11" t="str">
        <f t="shared" si="86"/>
        <v/>
      </c>
      <c r="JR7" s="11" t="str">
        <f t="shared" si="87"/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 t="shared" si="88"/>
        <v/>
      </c>
      <c r="KN7" s="40" t="str">
        <f t="shared" si="89"/>
        <v/>
      </c>
      <c r="KO7" s="40" t="str">
        <f t="shared" si="90"/>
        <v/>
      </c>
      <c r="KP7" s="40" t="str">
        <f t="shared" si="91"/>
        <v/>
      </c>
      <c r="KQ7" s="40" t="str">
        <f t="shared" si="92"/>
        <v/>
      </c>
      <c r="KR7" s="40" t="str">
        <f t="shared" si="93"/>
        <v/>
      </c>
      <c r="KS7" s="40" t="str">
        <f t="shared" si="94"/>
        <v/>
      </c>
      <c r="KT7" s="40" t="str">
        <f t="shared" si="95"/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6"/>
        <v/>
      </c>
      <c r="LP7" s="11" t="str">
        <f t="shared" si="97"/>
        <v/>
      </c>
      <c r="LQ7" s="11" t="str">
        <f t="shared" si="98"/>
        <v/>
      </c>
      <c r="LR7" s="11" t="str">
        <f t="shared" si="99"/>
        <v/>
      </c>
      <c r="LS7" s="11" t="str">
        <f t="shared" si="100"/>
        <v/>
      </c>
      <c r="LT7" s="11" t="str">
        <f t="shared" si="101"/>
        <v/>
      </c>
      <c r="LU7" s="11" t="str">
        <f t="shared" si="102"/>
        <v/>
      </c>
      <c r="LV7" s="11" t="str">
        <f t="shared" si="103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 t="shared" si="104"/>
        <v/>
      </c>
      <c r="MR7" s="40" t="str">
        <f t="shared" si="105"/>
        <v/>
      </c>
      <c r="MS7" s="40" t="str">
        <f t="shared" si="106"/>
        <v/>
      </c>
      <c r="MT7" s="40" t="str">
        <f t="shared" si="107"/>
        <v/>
      </c>
      <c r="MU7" s="40" t="str">
        <f t="shared" si="108"/>
        <v/>
      </c>
      <c r="MV7" s="40" t="str">
        <f t="shared" si="109"/>
        <v/>
      </c>
      <c r="MW7" s="40" t="str">
        <f t="shared" si="110"/>
        <v/>
      </c>
      <c r="MX7" s="40" t="str">
        <f t="shared" si="111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2"/>
        <v/>
      </c>
      <c r="NT7" s="11" t="str">
        <f t="shared" si="113"/>
        <v/>
      </c>
      <c r="NU7" s="11" t="str">
        <f t="shared" si="114"/>
        <v/>
      </c>
      <c r="NV7" s="11" t="str">
        <f t="shared" si="115"/>
        <v/>
      </c>
      <c r="NW7" s="11" t="str">
        <f t="shared" si="116"/>
        <v/>
      </c>
      <c r="NX7" s="11" t="str">
        <f t="shared" si="117"/>
        <v/>
      </c>
      <c r="NY7" s="11" t="str">
        <f t="shared" si="118"/>
        <v/>
      </c>
      <c r="NZ7" s="11" t="str">
        <f t="shared" si="119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 t="shared" si="120"/>
        <v/>
      </c>
      <c r="OV7" s="40" t="str">
        <f t="shared" si="121"/>
        <v/>
      </c>
      <c r="OW7" s="40" t="str">
        <f t="shared" si="122"/>
        <v/>
      </c>
      <c r="OX7" s="40" t="str">
        <f t="shared" si="123"/>
        <v/>
      </c>
      <c r="OY7" s="40" t="str">
        <f t="shared" si="124"/>
        <v/>
      </c>
      <c r="OZ7" s="40" t="str">
        <f t="shared" si="125"/>
        <v/>
      </c>
      <c r="PA7" s="40" t="str">
        <f t="shared" si="126"/>
        <v/>
      </c>
      <c r="PB7" s="40" t="str">
        <f t="shared" si="127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8"/>
        <v/>
      </c>
      <c r="PX7" s="11" t="str">
        <f t="shared" si="129"/>
        <v/>
      </c>
      <c r="PY7" s="11" t="str">
        <f t="shared" si="130"/>
        <v/>
      </c>
      <c r="PZ7" s="11" t="str">
        <f t="shared" si="131"/>
        <v/>
      </c>
      <c r="QA7" s="11" t="str">
        <f t="shared" si="132"/>
        <v/>
      </c>
      <c r="QB7" s="11" t="str">
        <f t="shared" si="133"/>
        <v/>
      </c>
      <c r="QC7" s="11" t="str">
        <f t="shared" si="134"/>
        <v/>
      </c>
      <c r="QD7" s="11" t="str">
        <f t="shared" si="135"/>
        <v/>
      </c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40" t="str">
        <f t="shared" si="136"/>
        <v/>
      </c>
      <c r="QZ7" s="40" t="str">
        <f t="shared" si="137"/>
        <v/>
      </c>
      <c r="RA7" s="40" t="str">
        <f t="shared" si="138"/>
        <v/>
      </c>
      <c r="RB7" s="40" t="str">
        <f t="shared" si="139"/>
        <v/>
      </c>
      <c r="RC7" s="40" t="str">
        <f t="shared" si="140"/>
        <v/>
      </c>
      <c r="RD7" s="40" t="str">
        <f t="shared" si="141"/>
        <v/>
      </c>
      <c r="RE7" s="40" t="str">
        <f t="shared" si="142"/>
        <v/>
      </c>
      <c r="RF7" s="40" t="str">
        <f t="shared" si="143"/>
        <v/>
      </c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1" t="str">
        <f t="shared" si="144"/>
        <v/>
      </c>
      <c r="SB7" s="11" t="str">
        <f t="shared" si="145"/>
        <v/>
      </c>
      <c r="SC7" s="11" t="str">
        <f t="shared" si="146"/>
        <v/>
      </c>
      <c r="SD7" s="11" t="str">
        <f t="shared" si="147"/>
        <v/>
      </c>
      <c r="SE7" s="11" t="str">
        <f t="shared" si="148"/>
        <v/>
      </c>
      <c r="SF7" s="11" t="str">
        <f t="shared" si="149"/>
        <v/>
      </c>
      <c r="SG7" s="11" t="str">
        <f t="shared" si="150"/>
        <v/>
      </c>
      <c r="SH7" s="11" t="str">
        <f t="shared" si="151"/>
        <v/>
      </c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40" t="str">
        <f t="shared" si="152"/>
        <v/>
      </c>
      <c r="TD7" s="40" t="str">
        <f t="shared" si="153"/>
        <v/>
      </c>
      <c r="TE7" s="40" t="str">
        <f t="shared" si="154"/>
        <v/>
      </c>
      <c r="TF7" s="40" t="str">
        <f t="shared" si="155"/>
        <v/>
      </c>
      <c r="TG7" s="40" t="str">
        <f t="shared" si="156"/>
        <v/>
      </c>
      <c r="TH7" s="40" t="str">
        <f t="shared" si="157"/>
        <v/>
      </c>
      <c r="TI7" s="40" t="str">
        <f t="shared" si="158"/>
        <v/>
      </c>
      <c r="TJ7" s="40" t="str">
        <f t="shared" si="159"/>
        <v/>
      </c>
      <c r="TK7" s="26">
        <f t="shared" si="160"/>
        <v>8.8249999999999993</v>
      </c>
      <c r="TL7" s="26">
        <f t="shared" si="160"/>
        <v>3.0999999999999996</v>
      </c>
      <c r="TM7" s="26">
        <f t="shared" si="160"/>
        <v>0</v>
      </c>
      <c r="TN7" s="26">
        <f t="shared" si="160"/>
        <v>0</v>
      </c>
      <c r="TO7" s="26">
        <f t="shared" si="160"/>
        <v>8.5250000000000004</v>
      </c>
      <c r="TP7" s="26">
        <f t="shared" si="160"/>
        <v>2.95</v>
      </c>
      <c r="TQ7" s="26">
        <f t="shared" si="160"/>
        <v>0</v>
      </c>
      <c r="TR7" s="26">
        <f t="shared" si="160"/>
        <v>0</v>
      </c>
      <c r="TS7" s="26">
        <f t="shared" si="160"/>
        <v>9.1750000000000007</v>
      </c>
      <c r="TT7" s="26">
        <f t="shared" si="160"/>
        <v>4.25</v>
      </c>
      <c r="TU7" s="26">
        <f t="shared" si="161"/>
        <v>0</v>
      </c>
      <c r="TV7" s="26">
        <f t="shared" si="161"/>
        <v>0</v>
      </c>
      <c r="TW7" s="26">
        <f t="shared" si="161"/>
        <v>9.0124999999999993</v>
      </c>
      <c r="TX7" s="26">
        <f t="shared" si="161"/>
        <v>4.2</v>
      </c>
      <c r="TY7" s="26">
        <f t="shared" si="161"/>
        <v>0</v>
      </c>
      <c r="TZ7" s="26">
        <f t="shared" si="161"/>
        <v>0</v>
      </c>
      <c r="UA7" s="26">
        <f t="shared" si="161"/>
        <v>9.3500000000000014</v>
      </c>
      <c r="UB7" s="26">
        <f t="shared" si="161"/>
        <v>3.35</v>
      </c>
      <c r="UC7" s="26">
        <f t="shared" si="161"/>
        <v>0</v>
      </c>
      <c r="UD7" s="26">
        <f t="shared" si="161"/>
        <v>0</v>
      </c>
      <c r="UE7" s="28" t="s">
        <v>53</v>
      </c>
      <c r="UF7" s="11">
        <f t="shared" si="162"/>
        <v>6.05</v>
      </c>
      <c r="UG7" s="11">
        <f t="shared" si="163"/>
        <v>23.4</v>
      </c>
      <c r="UH7" s="11">
        <f t="shared" si="164"/>
        <v>13.425000000000001</v>
      </c>
      <c r="UI7" s="11">
        <f t="shared" si="165"/>
        <v>10.3</v>
      </c>
      <c r="UJ7" s="11">
        <f t="shared" si="166"/>
        <v>36.825000000000003</v>
      </c>
      <c r="UK7" s="11">
        <f t="shared" si="167"/>
        <v>7.5500000000000007</v>
      </c>
      <c r="UL7" s="11">
        <f t="shared" si="168"/>
        <v>25.912500000000001</v>
      </c>
      <c r="UM7" s="11">
        <f t="shared" si="169"/>
        <v>62.737500000000004</v>
      </c>
    </row>
    <row r="8" spans="1:559" x14ac:dyDescent="0.2">
      <c r="A8" s="4" cm="1">
        <f t="array" ref="A8">IF(AND(H8&lt;&gt;"",H8&lt;&gt;"No DD"),SUMPRODUCT((H$4:H$12&lt;&gt;"")*(H$4:H$12&lt;&gt;"No DD")*(E$4:E$12&gt;E8))+1,IF(H8="No DD",SUMPRODUCT((H$4:H$12="No DD")*(E$4:E$12&gt;E8))+1+SUMPRODUCT((H$4:H$12&lt;&gt;"")*(H$4:H$12&lt;&gt;"No DD")),""))</f>
        <v>5</v>
      </c>
      <c r="B8" s="5" t="s">
        <v>79</v>
      </c>
      <c r="C8" s="4" t="s">
        <v>5</v>
      </c>
      <c r="D8" s="4">
        <v>2002</v>
      </c>
      <c r="E8" s="9">
        <f t="shared" si="0"/>
        <v>165.40001191000474</v>
      </c>
      <c r="F8" s="3" t="str">
        <f t="shared" si="1"/>
        <v>P</v>
      </c>
      <c r="G8" s="3" t="str">
        <f t="shared" si="2"/>
        <v>P</v>
      </c>
      <c r="H8" s="36" t="str">
        <f t="shared" si="3"/>
        <v>National Team</v>
      </c>
      <c r="I8" s="3" t="str">
        <f t="shared" si="4"/>
        <v/>
      </c>
      <c r="J8" s="8">
        <f>IF(COUNT(AQ8,BT8,CW8)&gt;0,LARGE((AQ8,BT8,CW8),1),0)</f>
        <v>47.1</v>
      </c>
      <c r="K8" s="8" t="str">
        <f t="shared" si="5"/>
        <v>2024 3rd Domestic Trial</v>
      </c>
      <c r="L8" s="8">
        <f>IF(COUNT(AQ8,BT8,CW8)&gt;1,LARGE((AQ8,BT8,CW8),2),0)</f>
        <v>47.099999999999994</v>
      </c>
      <c r="M8" s="8" t="str">
        <f t="shared" si="6"/>
        <v>2024 Nationals</v>
      </c>
      <c r="N8" s="8">
        <f>IF(COUNT(AR8,BU8,CX8)&gt;0,LARGE((AR8,BU8,CX8),1),0)</f>
        <v>24.900000000000002</v>
      </c>
      <c r="O8" s="8" t="str">
        <f t="shared" si="7"/>
        <v>2024 Elite Canada</v>
      </c>
      <c r="P8" s="8">
        <f t="shared" si="8"/>
        <v>46.300000000000004</v>
      </c>
      <c r="Q8" s="8" t="str">
        <f t="shared" si="9"/>
        <v>2024 3rd Domestic Trial</v>
      </c>
      <c r="R8" s="8" t="str">
        <f t="shared" si="10"/>
        <v/>
      </c>
      <c r="S8" s="11" t="str">
        <f t="shared" si="11"/>
        <v/>
      </c>
      <c r="T8" s="8" t="str">
        <f t="shared" si="12"/>
        <v/>
      </c>
      <c r="U8" s="19">
        <v>18.399999999999999</v>
      </c>
      <c r="V8" s="19">
        <v>6</v>
      </c>
      <c r="W8" s="19">
        <v>0</v>
      </c>
      <c r="X8" s="19">
        <v>0</v>
      </c>
      <c r="Y8" s="19">
        <v>16.8</v>
      </c>
      <c r="Z8" s="19">
        <v>3.9</v>
      </c>
      <c r="AA8" s="19">
        <v>2.9</v>
      </c>
      <c r="AB8" s="19">
        <v>0</v>
      </c>
      <c r="AC8" s="19">
        <v>18.600000000000001</v>
      </c>
      <c r="AD8" s="19">
        <v>6.5</v>
      </c>
      <c r="AE8" s="19">
        <v>0.2</v>
      </c>
      <c r="AF8" s="19">
        <v>0</v>
      </c>
      <c r="AG8" s="19">
        <v>17.8</v>
      </c>
      <c r="AH8" s="19">
        <v>5.9</v>
      </c>
      <c r="AI8" s="19">
        <v>0</v>
      </c>
      <c r="AJ8" s="19">
        <v>0</v>
      </c>
      <c r="AK8" s="19">
        <v>17.899999999999999</v>
      </c>
      <c r="AL8" s="19">
        <v>3.3</v>
      </c>
      <c r="AM8" s="19">
        <v>1.2</v>
      </c>
      <c r="AN8" s="19">
        <v>0</v>
      </c>
      <c r="AO8" s="27"/>
      <c r="AP8" s="40">
        <f t="shared" si="13"/>
        <v>9.9</v>
      </c>
      <c r="AQ8" s="40">
        <f t="shared" si="14"/>
        <v>42.2</v>
      </c>
      <c r="AR8" s="40">
        <f t="shared" si="15"/>
        <v>24.900000000000002</v>
      </c>
      <c r="AS8" s="40">
        <f t="shared" si="16"/>
        <v>16.399999999999999</v>
      </c>
      <c r="AT8" s="40">
        <f t="shared" si="17"/>
        <v>67.100000000000009</v>
      </c>
      <c r="AU8" s="40">
        <f t="shared" si="18"/>
        <v>9.1999999999999993</v>
      </c>
      <c r="AV8" s="40">
        <f t="shared" si="19"/>
        <v>43.699999999999996</v>
      </c>
      <c r="AW8" s="40">
        <f t="shared" si="20"/>
        <v>110.80000000000001</v>
      </c>
      <c r="AX8" s="18">
        <v>17.600000000000001</v>
      </c>
      <c r="AY8" s="18">
        <v>6.1</v>
      </c>
      <c r="AZ8" s="18">
        <v>0</v>
      </c>
      <c r="BA8" s="18">
        <v>0</v>
      </c>
      <c r="BB8" s="18">
        <v>17.899999999999999</v>
      </c>
      <c r="BC8" s="18">
        <v>5.5</v>
      </c>
      <c r="BD8" s="18">
        <v>0</v>
      </c>
      <c r="BE8" s="18">
        <v>0</v>
      </c>
      <c r="BF8" s="18">
        <v>18.3</v>
      </c>
      <c r="BG8" s="18">
        <v>5.9</v>
      </c>
      <c r="BH8" s="18">
        <v>0</v>
      </c>
      <c r="BI8" s="18">
        <v>0</v>
      </c>
      <c r="BJ8" s="18">
        <v>16</v>
      </c>
      <c r="BK8" s="18">
        <v>5.7</v>
      </c>
      <c r="BL8" s="18">
        <v>0</v>
      </c>
      <c r="BM8" s="18">
        <v>0</v>
      </c>
      <c r="BN8" s="18">
        <v>18.2</v>
      </c>
      <c r="BO8" s="18">
        <v>6.1</v>
      </c>
      <c r="BP8" s="18">
        <v>0</v>
      </c>
      <c r="BQ8" s="18">
        <v>0</v>
      </c>
      <c r="BR8" s="28"/>
      <c r="BS8" s="11">
        <f t="shared" si="21"/>
        <v>11.6</v>
      </c>
      <c r="BT8" s="11">
        <f t="shared" si="22"/>
        <v>47.1</v>
      </c>
      <c r="BU8" s="11">
        <f t="shared" si="23"/>
        <v>24.200000000000003</v>
      </c>
      <c r="BV8" s="11">
        <f t="shared" si="24"/>
        <v>17.5</v>
      </c>
      <c r="BW8" s="11">
        <f t="shared" si="25"/>
        <v>71.300000000000011</v>
      </c>
      <c r="BX8" s="11">
        <f t="shared" si="26"/>
        <v>11.8</v>
      </c>
      <c r="BY8" s="11">
        <f t="shared" si="27"/>
        <v>46</v>
      </c>
      <c r="BZ8" s="11">
        <f t="shared" si="28"/>
        <v>117.30000000000001</v>
      </c>
      <c r="CA8" s="19">
        <v>17.3</v>
      </c>
      <c r="CB8" s="19">
        <v>5.5</v>
      </c>
      <c r="CC8" s="19">
        <v>0.2</v>
      </c>
      <c r="CD8" s="19">
        <v>0</v>
      </c>
      <c r="CE8" s="19">
        <v>17.399999999999999</v>
      </c>
      <c r="CF8" s="19">
        <v>7.3</v>
      </c>
      <c r="CG8" s="19">
        <v>0.2</v>
      </c>
      <c r="CH8" s="19">
        <v>0</v>
      </c>
      <c r="CI8" s="19">
        <v>17.5</v>
      </c>
      <c r="CJ8" s="19">
        <v>5.5</v>
      </c>
      <c r="CK8" s="19">
        <v>0</v>
      </c>
      <c r="CL8" s="19">
        <v>0</v>
      </c>
      <c r="CM8" s="19">
        <v>17.3</v>
      </c>
      <c r="CN8" s="19">
        <v>5.9</v>
      </c>
      <c r="CO8" s="19">
        <v>0</v>
      </c>
      <c r="CP8" s="19">
        <v>0</v>
      </c>
      <c r="CQ8" s="19">
        <v>17.2</v>
      </c>
      <c r="CR8" s="19">
        <v>5.9</v>
      </c>
      <c r="CS8" s="19">
        <v>0</v>
      </c>
      <c r="CT8" s="19">
        <v>0</v>
      </c>
      <c r="CU8" s="27"/>
      <c r="CV8" s="40">
        <f t="shared" si="29"/>
        <v>12.8</v>
      </c>
      <c r="CW8" s="40">
        <f t="shared" si="30"/>
        <v>47.099999999999994</v>
      </c>
      <c r="CX8" s="40">
        <f t="shared" si="31"/>
        <v>23</v>
      </c>
      <c r="CY8" s="40">
        <f t="shared" si="32"/>
        <v>18.3</v>
      </c>
      <c r="CZ8" s="40">
        <f t="shared" si="33"/>
        <v>70.099999999999994</v>
      </c>
      <c r="DA8" s="40">
        <f t="shared" si="34"/>
        <v>11.8</v>
      </c>
      <c r="DB8" s="40">
        <f t="shared" si="35"/>
        <v>46.300000000000004</v>
      </c>
      <c r="DC8" s="40">
        <f t="shared" si="36"/>
        <v>116.4</v>
      </c>
      <c r="DD8" s="51" t="str">
        <f t="shared" si="37"/>
        <v/>
      </c>
      <c r="DE8" s="51" t="str">
        <f t="shared" si="38"/>
        <v/>
      </c>
      <c r="DF8" s="51" t="str">
        <f t="shared" si="39"/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 t="shared" si="40"/>
        <v/>
      </c>
      <c r="EB8" s="40" t="str">
        <f t="shared" si="41"/>
        <v/>
      </c>
      <c r="EC8" s="40" t="str">
        <f t="shared" si="42"/>
        <v/>
      </c>
      <c r="ED8" s="40" t="str">
        <f t="shared" si="43"/>
        <v/>
      </c>
      <c r="EE8" s="40" t="str">
        <f t="shared" si="44"/>
        <v/>
      </c>
      <c r="EF8" s="40" t="str">
        <f t="shared" si="45"/>
        <v/>
      </c>
      <c r="EG8" s="40" t="str">
        <f t="shared" si="46"/>
        <v/>
      </c>
      <c r="EH8" s="40" t="str">
        <f t="shared" si="47"/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 t="shared" si="48"/>
        <v/>
      </c>
      <c r="FD8" s="11" t="str">
        <f t="shared" si="49"/>
        <v/>
      </c>
      <c r="FE8" s="11" t="str">
        <f t="shared" si="50"/>
        <v/>
      </c>
      <c r="FF8" s="11" t="str">
        <f t="shared" si="51"/>
        <v/>
      </c>
      <c r="FG8" s="11" t="str">
        <f t="shared" si="52"/>
        <v/>
      </c>
      <c r="FH8" s="11" t="str">
        <f t="shared" si="53"/>
        <v/>
      </c>
      <c r="FI8" s="11" t="str">
        <f t="shared" si="54"/>
        <v/>
      </c>
      <c r="FJ8" s="11" t="str">
        <f t="shared" si="55"/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 t="shared" si="56"/>
        <v/>
      </c>
      <c r="GF8" s="40" t="str">
        <f t="shared" si="57"/>
        <v/>
      </c>
      <c r="GG8" s="40" t="str">
        <f t="shared" si="58"/>
        <v/>
      </c>
      <c r="GH8" s="40" t="str">
        <f t="shared" si="59"/>
        <v/>
      </c>
      <c r="GI8" s="40" t="str">
        <f t="shared" si="60"/>
        <v/>
      </c>
      <c r="GJ8" s="40" t="str">
        <f t="shared" si="61"/>
        <v/>
      </c>
      <c r="GK8" s="40" t="str">
        <f t="shared" si="62"/>
        <v/>
      </c>
      <c r="GL8" s="40" t="str">
        <f t="shared" si="63"/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 t="shared" si="64"/>
        <v/>
      </c>
      <c r="HH8" s="11" t="str">
        <f t="shared" si="65"/>
        <v/>
      </c>
      <c r="HI8" s="11" t="str">
        <f t="shared" si="66"/>
        <v/>
      </c>
      <c r="HJ8" s="11" t="str">
        <f t="shared" si="67"/>
        <v/>
      </c>
      <c r="HK8" s="11" t="str">
        <f t="shared" si="68"/>
        <v/>
      </c>
      <c r="HL8" s="11" t="str">
        <f t="shared" si="69"/>
        <v/>
      </c>
      <c r="HM8" s="11" t="str">
        <f t="shared" si="70"/>
        <v/>
      </c>
      <c r="HN8" s="11" t="str">
        <f t="shared" si="71"/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 t="shared" si="72"/>
        <v/>
      </c>
      <c r="IJ8" s="40" t="str">
        <f t="shared" si="73"/>
        <v/>
      </c>
      <c r="IK8" s="40" t="str">
        <f t="shared" si="74"/>
        <v/>
      </c>
      <c r="IL8" s="40" t="str">
        <f t="shared" si="75"/>
        <v/>
      </c>
      <c r="IM8" s="40" t="str">
        <f t="shared" si="76"/>
        <v/>
      </c>
      <c r="IN8" s="40" t="str">
        <f t="shared" si="77"/>
        <v/>
      </c>
      <c r="IO8" s="40" t="str">
        <f t="shared" si="78"/>
        <v/>
      </c>
      <c r="IP8" s="40" t="str">
        <f t="shared" si="79"/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80"/>
        <v/>
      </c>
      <c r="JL8" s="11" t="str">
        <f t="shared" si="81"/>
        <v/>
      </c>
      <c r="JM8" s="11" t="str">
        <f t="shared" si="82"/>
        <v/>
      </c>
      <c r="JN8" s="11" t="str">
        <f t="shared" si="83"/>
        <v/>
      </c>
      <c r="JO8" s="11" t="str">
        <f t="shared" si="84"/>
        <v/>
      </c>
      <c r="JP8" s="11" t="str">
        <f t="shared" si="85"/>
        <v/>
      </c>
      <c r="JQ8" s="11" t="str">
        <f t="shared" si="86"/>
        <v/>
      </c>
      <c r="JR8" s="11" t="str">
        <f t="shared" si="87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 t="shared" si="88"/>
        <v/>
      </c>
      <c r="KN8" s="40" t="str">
        <f t="shared" si="89"/>
        <v/>
      </c>
      <c r="KO8" s="40" t="str">
        <f t="shared" si="90"/>
        <v/>
      </c>
      <c r="KP8" s="40" t="str">
        <f t="shared" si="91"/>
        <v/>
      </c>
      <c r="KQ8" s="40" t="str">
        <f t="shared" si="92"/>
        <v/>
      </c>
      <c r="KR8" s="40" t="str">
        <f t="shared" si="93"/>
        <v/>
      </c>
      <c r="KS8" s="40" t="str">
        <f t="shared" si="94"/>
        <v/>
      </c>
      <c r="KT8" s="40" t="str">
        <f t="shared" si="95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6"/>
        <v/>
      </c>
      <c r="LP8" s="11" t="str">
        <f t="shared" si="97"/>
        <v/>
      </c>
      <c r="LQ8" s="11" t="str">
        <f t="shared" si="98"/>
        <v/>
      </c>
      <c r="LR8" s="11" t="str">
        <f t="shared" si="99"/>
        <v/>
      </c>
      <c r="LS8" s="11" t="str">
        <f t="shared" si="100"/>
        <v/>
      </c>
      <c r="LT8" s="11" t="str">
        <f t="shared" si="101"/>
        <v/>
      </c>
      <c r="LU8" s="11" t="str">
        <f t="shared" si="102"/>
        <v/>
      </c>
      <c r="LV8" s="11" t="str">
        <f t="shared" si="103"/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 t="shared" si="104"/>
        <v/>
      </c>
      <c r="MR8" s="40" t="str">
        <f t="shared" si="105"/>
        <v/>
      </c>
      <c r="MS8" s="40" t="str">
        <f t="shared" si="106"/>
        <v/>
      </c>
      <c r="MT8" s="40" t="str">
        <f t="shared" si="107"/>
        <v/>
      </c>
      <c r="MU8" s="40" t="str">
        <f t="shared" si="108"/>
        <v/>
      </c>
      <c r="MV8" s="40" t="str">
        <f t="shared" si="109"/>
        <v/>
      </c>
      <c r="MW8" s="40" t="str">
        <f t="shared" si="110"/>
        <v/>
      </c>
      <c r="MX8" s="40" t="str">
        <f t="shared" si="111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2"/>
        <v/>
      </c>
      <c r="NT8" s="11" t="str">
        <f t="shared" si="113"/>
        <v/>
      </c>
      <c r="NU8" s="11" t="str">
        <f t="shared" si="114"/>
        <v/>
      </c>
      <c r="NV8" s="11" t="str">
        <f t="shared" si="115"/>
        <v/>
      </c>
      <c r="NW8" s="11" t="str">
        <f t="shared" si="116"/>
        <v/>
      </c>
      <c r="NX8" s="11" t="str">
        <f t="shared" si="117"/>
        <v/>
      </c>
      <c r="NY8" s="11" t="str">
        <f t="shared" si="118"/>
        <v/>
      </c>
      <c r="NZ8" s="11" t="str">
        <f t="shared" si="119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 t="shared" si="120"/>
        <v/>
      </c>
      <c r="OV8" s="40" t="str">
        <f t="shared" si="121"/>
        <v/>
      </c>
      <c r="OW8" s="40" t="str">
        <f t="shared" si="122"/>
        <v/>
      </c>
      <c r="OX8" s="40" t="str">
        <f t="shared" si="123"/>
        <v/>
      </c>
      <c r="OY8" s="40" t="str">
        <f t="shared" si="124"/>
        <v/>
      </c>
      <c r="OZ8" s="40" t="str">
        <f t="shared" si="125"/>
        <v/>
      </c>
      <c r="PA8" s="40" t="str">
        <f t="shared" si="126"/>
        <v/>
      </c>
      <c r="PB8" s="40" t="str">
        <f t="shared" si="127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8"/>
        <v/>
      </c>
      <c r="PX8" s="11" t="str">
        <f t="shared" si="129"/>
        <v/>
      </c>
      <c r="PY8" s="11" t="str">
        <f t="shared" si="130"/>
        <v/>
      </c>
      <c r="PZ8" s="11" t="str">
        <f t="shared" si="131"/>
        <v/>
      </c>
      <c r="QA8" s="11" t="str">
        <f t="shared" si="132"/>
        <v/>
      </c>
      <c r="QB8" s="11" t="str">
        <f t="shared" si="133"/>
        <v/>
      </c>
      <c r="QC8" s="11" t="str">
        <f t="shared" si="134"/>
        <v/>
      </c>
      <c r="QD8" s="11" t="str">
        <f t="shared" si="135"/>
        <v/>
      </c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40" t="str">
        <f t="shared" si="136"/>
        <v/>
      </c>
      <c r="QZ8" s="40" t="str">
        <f t="shared" si="137"/>
        <v/>
      </c>
      <c r="RA8" s="40" t="str">
        <f t="shared" si="138"/>
        <v/>
      </c>
      <c r="RB8" s="40" t="str">
        <f t="shared" si="139"/>
        <v/>
      </c>
      <c r="RC8" s="40" t="str">
        <f t="shared" si="140"/>
        <v/>
      </c>
      <c r="RD8" s="40" t="str">
        <f t="shared" si="141"/>
        <v/>
      </c>
      <c r="RE8" s="40" t="str">
        <f t="shared" si="142"/>
        <v/>
      </c>
      <c r="RF8" s="40" t="str">
        <f t="shared" si="143"/>
        <v/>
      </c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1" t="str">
        <f t="shared" si="144"/>
        <v/>
      </c>
      <c r="SB8" s="11" t="str">
        <f t="shared" si="145"/>
        <v/>
      </c>
      <c r="SC8" s="11" t="str">
        <f t="shared" si="146"/>
        <v/>
      </c>
      <c r="SD8" s="11" t="str">
        <f t="shared" si="147"/>
        <v/>
      </c>
      <c r="SE8" s="11" t="str">
        <f t="shared" si="148"/>
        <v/>
      </c>
      <c r="SF8" s="11" t="str">
        <f t="shared" si="149"/>
        <v/>
      </c>
      <c r="SG8" s="11" t="str">
        <f t="shared" si="150"/>
        <v/>
      </c>
      <c r="SH8" s="11" t="str">
        <f t="shared" si="151"/>
        <v/>
      </c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40" t="str">
        <f t="shared" si="152"/>
        <v/>
      </c>
      <c r="TD8" s="40" t="str">
        <f t="shared" si="153"/>
        <v/>
      </c>
      <c r="TE8" s="40" t="str">
        <f t="shared" si="154"/>
        <v/>
      </c>
      <c r="TF8" s="40" t="str">
        <f t="shared" si="155"/>
        <v/>
      </c>
      <c r="TG8" s="40" t="str">
        <f t="shared" si="156"/>
        <v/>
      </c>
      <c r="TH8" s="40" t="str">
        <f t="shared" si="157"/>
        <v/>
      </c>
      <c r="TI8" s="40" t="str">
        <f t="shared" si="158"/>
        <v/>
      </c>
      <c r="TJ8" s="40" t="str">
        <f t="shared" si="159"/>
        <v/>
      </c>
      <c r="TK8" s="26">
        <f t="shared" si="160"/>
        <v>17.450000000000003</v>
      </c>
      <c r="TL8" s="26">
        <f t="shared" si="160"/>
        <v>5.8</v>
      </c>
      <c r="TM8" s="26">
        <f t="shared" si="160"/>
        <v>0.1</v>
      </c>
      <c r="TN8" s="26">
        <f t="shared" si="160"/>
        <v>0</v>
      </c>
      <c r="TO8" s="26">
        <f t="shared" si="160"/>
        <v>17.649999999999999</v>
      </c>
      <c r="TP8" s="26">
        <f t="shared" si="160"/>
        <v>6.4</v>
      </c>
      <c r="TQ8" s="26">
        <f t="shared" si="160"/>
        <v>0.1</v>
      </c>
      <c r="TR8" s="26">
        <f t="shared" si="160"/>
        <v>0</v>
      </c>
      <c r="TS8" s="26">
        <f t="shared" si="160"/>
        <v>17.899999999999999</v>
      </c>
      <c r="TT8" s="26">
        <f t="shared" si="160"/>
        <v>5.7</v>
      </c>
      <c r="TU8" s="26">
        <f t="shared" si="161"/>
        <v>0</v>
      </c>
      <c r="TV8" s="26">
        <f t="shared" si="161"/>
        <v>0</v>
      </c>
      <c r="TW8" s="26">
        <f t="shared" si="161"/>
        <v>16.649999999999999</v>
      </c>
      <c r="TX8" s="26">
        <f t="shared" si="161"/>
        <v>5.8000000000000007</v>
      </c>
      <c r="TY8" s="26">
        <f t="shared" si="161"/>
        <v>0</v>
      </c>
      <c r="TZ8" s="26">
        <f t="shared" si="161"/>
        <v>0</v>
      </c>
      <c r="UA8" s="26">
        <f t="shared" si="161"/>
        <v>17.7</v>
      </c>
      <c r="UB8" s="26">
        <f t="shared" si="161"/>
        <v>6</v>
      </c>
      <c r="UC8" s="26">
        <f t="shared" si="161"/>
        <v>0</v>
      </c>
      <c r="UD8" s="26">
        <f t="shared" si="161"/>
        <v>0</v>
      </c>
      <c r="UE8" s="28" t="s">
        <v>53</v>
      </c>
      <c r="UF8" s="11">
        <f t="shared" si="162"/>
        <v>12.2</v>
      </c>
      <c r="UG8" s="11">
        <f t="shared" si="163"/>
        <v>47.1</v>
      </c>
      <c r="UH8" s="11">
        <f t="shared" si="164"/>
        <v>23.599999999999998</v>
      </c>
      <c r="UI8" s="11">
        <f t="shared" si="165"/>
        <v>17.899999999999999</v>
      </c>
      <c r="UJ8" s="11">
        <f t="shared" si="166"/>
        <v>70.7</v>
      </c>
      <c r="UK8" s="11">
        <f t="shared" si="167"/>
        <v>11.8</v>
      </c>
      <c r="UL8" s="11">
        <f t="shared" si="168"/>
        <v>46.15</v>
      </c>
      <c r="UM8" s="11">
        <f t="shared" si="169"/>
        <v>116.85</v>
      </c>
    </row>
    <row r="9" spans="1:559" x14ac:dyDescent="0.2">
      <c r="A9" s="4" cm="1">
        <f t="array" ref="A9">IF(AND(H9&lt;&gt;"",H9&lt;&gt;"No DD"),SUMPRODUCT((H$4:H$12&lt;&gt;"")*(H$4:H$12&lt;&gt;"No DD")*(E$4:E$12&gt;E9))+1,IF(H9="No DD",SUMPRODUCT((H$4:H$12="No DD")*(E$4:E$12&gt;E9))+1+SUMPRODUCT((H$4:H$12&lt;&gt;"")*(H$4:H$12&lt;&gt;"No DD")),""))</f>
        <v>6</v>
      </c>
      <c r="B9" s="5" t="s">
        <v>147</v>
      </c>
      <c r="C9" s="4" t="s">
        <v>5</v>
      </c>
      <c r="D9" s="4">
        <v>2003</v>
      </c>
      <c r="E9" s="9">
        <f t="shared" si="0"/>
        <v>159.20001104000474</v>
      </c>
      <c r="F9" s="3" t="str">
        <f t="shared" si="1"/>
        <v>P</v>
      </c>
      <c r="G9" s="3" t="str">
        <f t="shared" si="2"/>
        <v>P</v>
      </c>
      <c r="H9" s="36" t="str">
        <f t="shared" si="3"/>
        <v>Worlds Team</v>
      </c>
      <c r="I9" s="3" t="str">
        <f t="shared" si="4"/>
        <v>P</v>
      </c>
      <c r="J9" s="8">
        <f>IF(COUNT(AQ9,BT9,CW9)&gt;0,LARGE((AQ9,BT9,CW9),1),0)</f>
        <v>47.4</v>
      </c>
      <c r="K9" s="8" t="str">
        <f t="shared" si="5"/>
        <v>2024 Elite Canada</v>
      </c>
      <c r="L9" s="8">
        <f>IF(COUNT(AQ9,BT9,CW9)&gt;1,LARGE((AQ9,BT9,CW9),2),0)</f>
        <v>37.9</v>
      </c>
      <c r="M9" s="8" t="str">
        <f t="shared" si="6"/>
        <v>2024 3rd Domestic Trial</v>
      </c>
      <c r="N9" s="8">
        <f>IF(COUNT(AR9,BU9,CX9)&gt;0,LARGE((AR9,BU9,CX9),1),0)</f>
        <v>25.1</v>
      </c>
      <c r="O9" s="8" t="str">
        <f t="shared" si="7"/>
        <v>2024 Elite Canada</v>
      </c>
      <c r="P9" s="8">
        <f t="shared" si="8"/>
        <v>48.8</v>
      </c>
      <c r="Q9" s="8" t="str">
        <f t="shared" si="9"/>
        <v>2024 3rd Domestic Trial</v>
      </c>
      <c r="R9" s="8" t="str">
        <f t="shared" si="10"/>
        <v/>
      </c>
      <c r="S9" s="11" t="str">
        <f t="shared" si="11"/>
        <v/>
      </c>
      <c r="T9" s="8" t="str">
        <f t="shared" si="12"/>
        <v/>
      </c>
      <c r="U9" s="19">
        <v>18</v>
      </c>
      <c r="V9" s="19">
        <v>5.5</v>
      </c>
      <c r="W9" s="19">
        <v>0</v>
      </c>
      <c r="X9" s="19">
        <v>0</v>
      </c>
      <c r="Y9" s="19">
        <v>17.2</v>
      </c>
      <c r="Z9" s="19">
        <v>6.9</v>
      </c>
      <c r="AA9" s="19">
        <v>0.2</v>
      </c>
      <c r="AB9" s="19">
        <v>0</v>
      </c>
      <c r="AC9" s="19">
        <v>18.2</v>
      </c>
      <c r="AD9" s="19">
        <v>6.9</v>
      </c>
      <c r="AE9" s="19">
        <v>0</v>
      </c>
      <c r="AF9" s="19">
        <v>0</v>
      </c>
      <c r="AG9" s="19">
        <v>18</v>
      </c>
      <c r="AH9" s="19">
        <v>5.5</v>
      </c>
      <c r="AI9" s="19">
        <v>0</v>
      </c>
      <c r="AJ9" s="19">
        <v>0</v>
      </c>
      <c r="AK9" s="19">
        <v>17.399999999999999</v>
      </c>
      <c r="AL9" s="19">
        <v>6.9</v>
      </c>
      <c r="AM9" s="19">
        <v>0</v>
      </c>
      <c r="AN9" s="19">
        <v>0</v>
      </c>
      <c r="AO9" s="27"/>
      <c r="AP9" s="40">
        <f t="shared" si="13"/>
        <v>12.4</v>
      </c>
      <c r="AQ9" s="40">
        <f t="shared" si="14"/>
        <v>47.4</v>
      </c>
      <c r="AR9" s="40">
        <f t="shared" si="15"/>
        <v>25.1</v>
      </c>
      <c r="AS9" s="40">
        <f t="shared" si="16"/>
        <v>19.3</v>
      </c>
      <c r="AT9" s="40">
        <f t="shared" si="17"/>
        <v>72.5</v>
      </c>
      <c r="AU9" s="40">
        <f t="shared" si="18"/>
        <v>12.4</v>
      </c>
      <c r="AV9" s="40">
        <f t="shared" si="19"/>
        <v>47.8</v>
      </c>
      <c r="AW9" s="40">
        <f t="shared" si="20"/>
        <v>120.3</v>
      </c>
      <c r="AX9" s="18">
        <v>15.2</v>
      </c>
      <c r="AY9" s="18">
        <v>5.7</v>
      </c>
      <c r="AZ9" s="18">
        <v>0.2</v>
      </c>
      <c r="BA9" s="18">
        <v>0</v>
      </c>
      <c r="BB9" s="18">
        <v>11.3</v>
      </c>
      <c r="BC9" s="18">
        <v>3.6</v>
      </c>
      <c r="BD9" s="18">
        <v>0</v>
      </c>
      <c r="BE9" s="18">
        <v>0</v>
      </c>
      <c r="BF9" s="18">
        <v>16.5</v>
      </c>
      <c r="BG9" s="18">
        <v>3.3</v>
      </c>
      <c r="BH9" s="18">
        <v>0</v>
      </c>
      <c r="BI9" s="18">
        <v>0</v>
      </c>
      <c r="BJ9" s="18"/>
      <c r="BK9" s="18"/>
      <c r="BL9" s="18"/>
      <c r="BM9" s="18"/>
      <c r="BN9" s="18"/>
      <c r="BO9" s="18"/>
      <c r="BP9" s="18"/>
      <c r="BQ9" s="18"/>
      <c r="BR9" s="28"/>
      <c r="BS9" s="11">
        <f t="shared" si="21"/>
        <v>9.3000000000000007</v>
      </c>
      <c r="BT9" s="11">
        <f t="shared" si="22"/>
        <v>35.6</v>
      </c>
      <c r="BU9" s="11">
        <f t="shared" si="23"/>
        <v>19.8</v>
      </c>
      <c r="BV9" s="11">
        <f t="shared" si="24"/>
        <v>12.600000000000001</v>
      </c>
      <c r="BW9" s="11">
        <f t="shared" si="25"/>
        <v>55.400000000000006</v>
      </c>
      <c r="BX9" s="11" t="str">
        <f t="shared" si="26"/>
        <v/>
      </c>
      <c r="BY9" s="11" t="str">
        <f t="shared" si="27"/>
        <v/>
      </c>
      <c r="BZ9" s="11">
        <f t="shared" si="28"/>
        <v>55.400000000000006</v>
      </c>
      <c r="CA9" s="19">
        <v>17.399999999999999</v>
      </c>
      <c r="CB9" s="19">
        <v>6.9</v>
      </c>
      <c r="CC9" s="19">
        <v>0</v>
      </c>
      <c r="CD9" s="19">
        <v>0</v>
      </c>
      <c r="CE9" s="19">
        <v>10.4</v>
      </c>
      <c r="CF9" s="19">
        <v>3.2</v>
      </c>
      <c r="CG9" s="19">
        <v>0</v>
      </c>
      <c r="CH9" s="19">
        <v>0</v>
      </c>
      <c r="CI9" s="19">
        <v>16.7</v>
      </c>
      <c r="CJ9" s="19">
        <v>6.9</v>
      </c>
      <c r="CK9" s="19">
        <v>0</v>
      </c>
      <c r="CL9" s="19">
        <v>0</v>
      </c>
      <c r="CM9" s="19">
        <v>18.100000000000001</v>
      </c>
      <c r="CN9" s="19">
        <v>6.9</v>
      </c>
      <c r="CO9" s="19">
        <v>0</v>
      </c>
      <c r="CP9" s="19">
        <v>0</v>
      </c>
      <c r="CQ9" s="19">
        <v>17.3</v>
      </c>
      <c r="CR9" s="19">
        <v>6.5</v>
      </c>
      <c r="CS9" s="19">
        <v>0</v>
      </c>
      <c r="CT9" s="19">
        <v>0</v>
      </c>
      <c r="CU9" s="27"/>
      <c r="CV9" s="40">
        <f t="shared" si="29"/>
        <v>10.100000000000001</v>
      </c>
      <c r="CW9" s="40">
        <f t="shared" si="30"/>
        <v>37.9</v>
      </c>
      <c r="CX9" s="40">
        <f t="shared" si="31"/>
        <v>23.6</v>
      </c>
      <c r="CY9" s="40">
        <f t="shared" si="32"/>
        <v>17</v>
      </c>
      <c r="CZ9" s="40">
        <f t="shared" si="33"/>
        <v>61.5</v>
      </c>
      <c r="DA9" s="40">
        <f t="shared" si="34"/>
        <v>13.4</v>
      </c>
      <c r="DB9" s="40">
        <f t="shared" si="35"/>
        <v>48.8</v>
      </c>
      <c r="DC9" s="40">
        <f t="shared" si="36"/>
        <v>110.3</v>
      </c>
      <c r="DD9" s="51" t="str">
        <f t="shared" si="37"/>
        <v/>
      </c>
      <c r="DE9" s="51" t="str">
        <f t="shared" si="38"/>
        <v/>
      </c>
      <c r="DF9" s="51" t="str">
        <f t="shared" si="39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 t="shared" si="40"/>
        <v/>
      </c>
      <c r="EB9" s="40" t="str">
        <f t="shared" si="41"/>
        <v/>
      </c>
      <c r="EC9" s="40" t="str">
        <f t="shared" si="42"/>
        <v/>
      </c>
      <c r="ED9" s="40" t="str">
        <f t="shared" si="43"/>
        <v/>
      </c>
      <c r="EE9" s="40" t="str">
        <f t="shared" si="44"/>
        <v/>
      </c>
      <c r="EF9" s="40" t="str">
        <f t="shared" si="45"/>
        <v/>
      </c>
      <c r="EG9" s="40" t="str">
        <f t="shared" si="46"/>
        <v/>
      </c>
      <c r="EH9" s="40" t="str">
        <f t="shared" si="47"/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 t="shared" si="48"/>
        <v/>
      </c>
      <c r="FD9" s="11" t="str">
        <f t="shared" si="49"/>
        <v/>
      </c>
      <c r="FE9" s="11" t="str">
        <f t="shared" si="50"/>
        <v/>
      </c>
      <c r="FF9" s="11" t="str">
        <f t="shared" si="51"/>
        <v/>
      </c>
      <c r="FG9" s="11" t="str">
        <f t="shared" si="52"/>
        <v/>
      </c>
      <c r="FH9" s="11" t="str">
        <f t="shared" si="53"/>
        <v/>
      </c>
      <c r="FI9" s="11" t="str">
        <f t="shared" si="54"/>
        <v/>
      </c>
      <c r="FJ9" s="11" t="str">
        <f t="shared" si="55"/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 t="shared" si="56"/>
        <v/>
      </c>
      <c r="GF9" s="40" t="str">
        <f t="shared" si="57"/>
        <v/>
      </c>
      <c r="GG9" s="40" t="str">
        <f t="shared" si="58"/>
        <v/>
      </c>
      <c r="GH9" s="40" t="str">
        <f t="shared" si="59"/>
        <v/>
      </c>
      <c r="GI9" s="40" t="str">
        <f t="shared" si="60"/>
        <v/>
      </c>
      <c r="GJ9" s="40" t="str">
        <f t="shared" si="61"/>
        <v/>
      </c>
      <c r="GK9" s="40" t="str">
        <f t="shared" si="62"/>
        <v/>
      </c>
      <c r="GL9" s="40" t="str">
        <f t="shared" si="63"/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4"/>
        <v/>
      </c>
      <c r="HH9" s="11" t="str">
        <f t="shared" si="65"/>
        <v/>
      </c>
      <c r="HI9" s="11" t="str">
        <f t="shared" si="66"/>
        <v/>
      </c>
      <c r="HJ9" s="11" t="str">
        <f t="shared" si="67"/>
        <v/>
      </c>
      <c r="HK9" s="11" t="str">
        <f t="shared" si="68"/>
        <v/>
      </c>
      <c r="HL9" s="11" t="str">
        <f t="shared" si="69"/>
        <v/>
      </c>
      <c r="HM9" s="11" t="str">
        <f t="shared" si="70"/>
        <v/>
      </c>
      <c r="HN9" s="11" t="str">
        <f t="shared" si="71"/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 t="shared" si="72"/>
        <v/>
      </c>
      <c r="IJ9" s="40" t="str">
        <f t="shared" si="73"/>
        <v/>
      </c>
      <c r="IK9" s="40" t="str">
        <f t="shared" si="74"/>
        <v/>
      </c>
      <c r="IL9" s="40" t="str">
        <f t="shared" si="75"/>
        <v/>
      </c>
      <c r="IM9" s="40" t="str">
        <f t="shared" si="76"/>
        <v/>
      </c>
      <c r="IN9" s="40" t="str">
        <f t="shared" si="77"/>
        <v/>
      </c>
      <c r="IO9" s="40" t="str">
        <f t="shared" si="78"/>
        <v/>
      </c>
      <c r="IP9" s="40" t="str">
        <f t="shared" si="79"/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80"/>
        <v/>
      </c>
      <c r="JL9" s="11" t="str">
        <f t="shared" si="81"/>
        <v/>
      </c>
      <c r="JM9" s="11" t="str">
        <f t="shared" si="82"/>
        <v/>
      </c>
      <c r="JN9" s="11" t="str">
        <f t="shared" si="83"/>
        <v/>
      </c>
      <c r="JO9" s="11" t="str">
        <f t="shared" si="84"/>
        <v/>
      </c>
      <c r="JP9" s="11" t="str">
        <f t="shared" si="85"/>
        <v/>
      </c>
      <c r="JQ9" s="11" t="str">
        <f t="shared" si="86"/>
        <v/>
      </c>
      <c r="JR9" s="11" t="str">
        <f t="shared" si="87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 t="shared" si="88"/>
        <v/>
      </c>
      <c r="KN9" s="40" t="str">
        <f t="shared" si="89"/>
        <v/>
      </c>
      <c r="KO9" s="40" t="str">
        <f t="shared" si="90"/>
        <v/>
      </c>
      <c r="KP9" s="40" t="str">
        <f t="shared" si="91"/>
        <v/>
      </c>
      <c r="KQ9" s="40" t="str">
        <f t="shared" si="92"/>
        <v/>
      </c>
      <c r="KR9" s="40" t="str">
        <f t="shared" si="93"/>
        <v/>
      </c>
      <c r="KS9" s="40" t="str">
        <f t="shared" si="94"/>
        <v/>
      </c>
      <c r="KT9" s="40" t="str">
        <f t="shared" si="95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6"/>
        <v/>
      </c>
      <c r="LP9" s="11" t="str">
        <f t="shared" si="97"/>
        <v/>
      </c>
      <c r="LQ9" s="11" t="str">
        <f t="shared" si="98"/>
        <v/>
      </c>
      <c r="LR9" s="11" t="str">
        <f t="shared" si="99"/>
        <v/>
      </c>
      <c r="LS9" s="11" t="str">
        <f t="shared" si="100"/>
        <v/>
      </c>
      <c r="LT9" s="11" t="str">
        <f t="shared" si="101"/>
        <v/>
      </c>
      <c r="LU9" s="11" t="str">
        <f t="shared" si="102"/>
        <v/>
      </c>
      <c r="LV9" s="11" t="str">
        <f t="shared" si="103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 t="shared" si="104"/>
        <v/>
      </c>
      <c r="MR9" s="40" t="str">
        <f t="shared" si="105"/>
        <v/>
      </c>
      <c r="MS9" s="40" t="str">
        <f t="shared" si="106"/>
        <v/>
      </c>
      <c r="MT9" s="40" t="str">
        <f t="shared" si="107"/>
        <v/>
      </c>
      <c r="MU9" s="40" t="str">
        <f t="shared" si="108"/>
        <v/>
      </c>
      <c r="MV9" s="40" t="str">
        <f t="shared" si="109"/>
        <v/>
      </c>
      <c r="MW9" s="40" t="str">
        <f t="shared" si="110"/>
        <v/>
      </c>
      <c r="MX9" s="40" t="str">
        <f t="shared" si="111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2"/>
        <v/>
      </c>
      <c r="NT9" s="11" t="str">
        <f t="shared" si="113"/>
        <v/>
      </c>
      <c r="NU9" s="11" t="str">
        <f t="shared" si="114"/>
        <v/>
      </c>
      <c r="NV9" s="11" t="str">
        <f t="shared" si="115"/>
        <v/>
      </c>
      <c r="NW9" s="11" t="str">
        <f t="shared" si="116"/>
        <v/>
      </c>
      <c r="NX9" s="11" t="str">
        <f t="shared" si="117"/>
        <v/>
      </c>
      <c r="NY9" s="11" t="str">
        <f t="shared" si="118"/>
        <v/>
      </c>
      <c r="NZ9" s="11" t="str">
        <f t="shared" si="119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 t="shared" si="120"/>
        <v/>
      </c>
      <c r="OV9" s="40" t="str">
        <f t="shared" si="121"/>
        <v/>
      </c>
      <c r="OW9" s="40" t="str">
        <f t="shared" si="122"/>
        <v/>
      </c>
      <c r="OX9" s="40" t="str">
        <f t="shared" si="123"/>
        <v/>
      </c>
      <c r="OY9" s="40" t="str">
        <f t="shared" si="124"/>
        <v/>
      </c>
      <c r="OZ9" s="40" t="str">
        <f t="shared" si="125"/>
        <v/>
      </c>
      <c r="PA9" s="40" t="str">
        <f t="shared" si="126"/>
        <v/>
      </c>
      <c r="PB9" s="40" t="str">
        <f t="shared" si="127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8"/>
        <v/>
      </c>
      <c r="PX9" s="11" t="str">
        <f t="shared" si="129"/>
        <v/>
      </c>
      <c r="PY9" s="11" t="str">
        <f t="shared" si="130"/>
        <v/>
      </c>
      <c r="PZ9" s="11" t="str">
        <f t="shared" si="131"/>
        <v/>
      </c>
      <c r="QA9" s="11" t="str">
        <f t="shared" si="132"/>
        <v/>
      </c>
      <c r="QB9" s="11" t="str">
        <f t="shared" si="133"/>
        <v/>
      </c>
      <c r="QC9" s="11" t="str">
        <f t="shared" si="134"/>
        <v/>
      </c>
      <c r="QD9" s="11" t="str">
        <f t="shared" si="135"/>
        <v/>
      </c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40" t="str">
        <f t="shared" si="136"/>
        <v/>
      </c>
      <c r="QZ9" s="40" t="str">
        <f t="shared" si="137"/>
        <v/>
      </c>
      <c r="RA9" s="40" t="str">
        <f t="shared" si="138"/>
        <v/>
      </c>
      <c r="RB9" s="40" t="str">
        <f t="shared" si="139"/>
        <v/>
      </c>
      <c r="RC9" s="40" t="str">
        <f t="shared" si="140"/>
        <v/>
      </c>
      <c r="RD9" s="40" t="str">
        <f t="shared" si="141"/>
        <v/>
      </c>
      <c r="RE9" s="40" t="str">
        <f t="shared" si="142"/>
        <v/>
      </c>
      <c r="RF9" s="40" t="str">
        <f t="shared" si="143"/>
        <v/>
      </c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1" t="str">
        <f t="shared" si="144"/>
        <v/>
      </c>
      <c r="SB9" s="11" t="str">
        <f t="shared" si="145"/>
        <v/>
      </c>
      <c r="SC9" s="11" t="str">
        <f t="shared" si="146"/>
        <v/>
      </c>
      <c r="SD9" s="11" t="str">
        <f t="shared" si="147"/>
        <v/>
      </c>
      <c r="SE9" s="11" t="str">
        <f t="shared" si="148"/>
        <v/>
      </c>
      <c r="SF9" s="11" t="str">
        <f t="shared" si="149"/>
        <v/>
      </c>
      <c r="SG9" s="11" t="str">
        <f t="shared" si="150"/>
        <v/>
      </c>
      <c r="SH9" s="11" t="str">
        <f t="shared" si="151"/>
        <v/>
      </c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40" t="str">
        <f t="shared" si="152"/>
        <v/>
      </c>
      <c r="TD9" s="40" t="str">
        <f t="shared" si="153"/>
        <v/>
      </c>
      <c r="TE9" s="40" t="str">
        <f t="shared" si="154"/>
        <v/>
      </c>
      <c r="TF9" s="40" t="str">
        <f t="shared" si="155"/>
        <v/>
      </c>
      <c r="TG9" s="40" t="str">
        <f t="shared" si="156"/>
        <v/>
      </c>
      <c r="TH9" s="40" t="str">
        <f t="shared" si="157"/>
        <v/>
      </c>
      <c r="TI9" s="40" t="str">
        <f t="shared" si="158"/>
        <v/>
      </c>
      <c r="TJ9" s="40" t="str">
        <f t="shared" si="159"/>
        <v/>
      </c>
      <c r="TK9" s="26">
        <f t="shared" si="160"/>
        <v>16.299999999999997</v>
      </c>
      <c r="TL9" s="26">
        <f t="shared" si="160"/>
        <v>6.3000000000000007</v>
      </c>
      <c r="TM9" s="26">
        <f t="shared" si="160"/>
        <v>0.1</v>
      </c>
      <c r="TN9" s="26">
        <f t="shared" si="160"/>
        <v>0</v>
      </c>
      <c r="TO9" s="26">
        <f t="shared" si="160"/>
        <v>10.850000000000001</v>
      </c>
      <c r="TP9" s="26">
        <f t="shared" si="160"/>
        <v>3.4000000000000004</v>
      </c>
      <c r="TQ9" s="26">
        <f t="shared" si="160"/>
        <v>0</v>
      </c>
      <c r="TR9" s="26">
        <f t="shared" si="160"/>
        <v>0</v>
      </c>
      <c r="TS9" s="26">
        <f t="shared" si="160"/>
        <v>16.600000000000001</v>
      </c>
      <c r="TT9" s="26">
        <f t="shared" si="160"/>
        <v>5.0999999999999996</v>
      </c>
      <c r="TU9" s="26">
        <f t="shared" si="161"/>
        <v>0</v>
      </c>
      <c r="TV9" s="26">
        <f t="shared" si="161"/>
        <v>0</v>
      </c>
      <c r="TW9" s="26">
        <f t="shared" si="161"/>
        <v>9.0500000000000007</v>
      </c>
      <c r="TX9" s="26">
        <f t="shared" si="161"/>
        <v>3.45</v>
      </c>
      <c r="TY9" s="26">
        <f t="shared" si="161"/>
        <v>0</v>
      </c>
      <c r="TZ9" s="26">
        <f t="shared" si="161"/>
        <v>0</v>
      </c>
      <c r="UA9" s="26">
        <f t="shared" si="161"/>
        <v>8.65</v>
      </c>
      <c r="UB9" s="26">
        <f t="shared" si="161"/>
        <v>3.25</v>
      </c>
      <c r="UC9" s="26">
        <f t="shared" si="161"/>
        <v>0</v>
      </c>
      <c r="UD9" s="26">
        <f t="shared" si="161"/>
        <v>0</v>
      </c>
      <c r="UE9" s="28" t="s">
        <v>53</v>
      </c>
      <c r="UF9" s="11">
        <f t="shared" si="162"/>
        <v>9.7000000000000011</v>
      </c>
      <c r="UG9" s="11">
        <f t="shared" si="163"/>
        <v>36.75</v>
      </c>
      <c r="UH9" s="11">
        <f t="shared" si="164"/>
        <v>21.700000000000003</v>
      </c>
      <c r="UI9" s="11">
        <f t="shared" si="165"/>
        <v>14.8</v>
      </c>
      <c r="UJ9" s="11">
        <f t="shared" si="166"/>
        <v>58.45</v>
      </c>
      <c r="UK9" s="11">
        <f t="shared" si="167"/>
        <v>6.7</v>
      </c>
      <c r="UL9" s="11">
        <f t="shared" si="168"/>
        <v>24.4</v>
      </c>
      <c r="UM9" s="11">
        <f t="shared" si="169"/>
        <v>82.85</v>
      </c>
    </row>
    <row r="10" spans="1:559" x14ac:dyDescent="0.2">
      <c r="A10" s="4" t="str" cm="1">
        <f t="array" ref="A10">IF(AND(H10&lt;&gt;"",H10&lt;&gt;"No DD"),SUMPRODUCT((H$4:H$12&lt;&gt;"")*(H$4:H$12&lt;&gt;"No DD")*(E$4:E$12&gt;E10))+1,IF(H10="No DD",SUMPRODUCT((H$4:H$12="No DD")*(E$4:E$12&gt;E10))+1+SUMPRODUCT((H$4:H$12&lt;&gt;"")*(H$4:H$12&lt;&gt;"No DD")),""))</f>
        <v/>
      </c>
      <c r="B10" s="5" t="s">
        <v>159</v>
      </c>
      <c r="C10" s="4" t="s">
        <v>7</v>
      </c>
      <c r="D10" s="4">
        <v>2006</v>
      </c>
      <c r="E10" s="9">
        <f t="shared" si="0"/>
        <v>155.30001105000443</v>
      </c>
      <c r="F10" s="3" t="str">
        <f t="shared" si="1"/>
        <v/>
      </c>
      <c r="G10" s="3" t="str">
        <f t="shared" si="2"/>
        <v/>
      </c>
      <c r="H10" s="36" t="str">
        <f t="shared" si="3"/>
        <v/>
      </c>
      <c r="I10" s="3" t="str">
        <f t="shared" si="4"/>
        <v/>
      </c>
      <c r="J10" s="8">
        <f>IF(COUNT(AQ10,BT10,CW10)&gt;0,LARGE((AQ10,BT10,CW10),1),0)</f>
        <v>44.1</v>
      </c>
      <c r="K10" s="8" t="str">
        <f t="shared" si="5"/>
        <v>2024 Nationals</v>
      </c>
      <c r="L10" s="8">
        <f>IF(COUNT(AQ10,BT10,CW10)&gt;1,LARGE((AQ10,BT10,CW10),2),0)</f>
        <v>44.1</v>
      </c>
      <c r="M10" s="8" t="str">
        <f t="shared" si="6"/>
        <v>2024 Nationals</v>
      </c>
      <c r="N10" s="8">
        <f>IF(COUNT(AR10,BU10,CX10)&gt;0,LARGE((AR10,BU10,CX10),1),0)</f>
        <v>22.3</v>
      </c>
      <c r="O10" s="8" t="str">
        <f t="shared" si="7"/>
        <v>2024 Elite Canada</v>
      </c>
      <c r="P10" s="8">
        <f t="shared" si="8"/>
        <v>44.800000000000004</v>
      </c>
      <c r="Q10" s="8" t="str">
        <f t="shared" si="9"/>
        <v>2024 Elite Canada</v>
      </c>
      <c r="R10" s="8" t="str">
        <f t="shared" si="10"/>
        <v/>
      </c>
      <c r="S10" s="11" t="str">
        <f t="shared" si="11"/>
        <v/>
      </c>
      <c r="T10" s="8" t="str">
        <f t="shared" si="12"/>
        <v/>
      </c>
      <c r="U10" s="19">
        <v>17.3</v>
      </c>
      <c r="V10" s="19">
        <v>4.8</v>
      </c>
      <c r="W10" s="19">
        <v>0</v>
      </c>
      <c r="X10" s="19">
        <v>0.6</v>
      </c>
      <c r="Y10" s="19">
        <v>15.5</v>
      </c>
      <c r="Z10" s="19">
        <v>5.3</v>
      </c>
      <c r="AA10" s="19">
        <v>0</v>
      </c>
      <c r="AB10" s="19">
        <v>0.6</v>
      </c>
      <c r="AC10" s="19">
        <v>16.399999999999999</v>
      </c>
      <c r="AD10" s="19">
        <v>5.3</v>
      </c>
      <c r="AE10" s="19">
        <v>0</v>
      </c>
      <c r="AF10" s="19">
        <v>0.6</v>
      </c>
      <c r="AG10" s="19">
        <v>17.100000000000001</v>
      </c>
      <c r="AH10" s="19">
        <v>4.5999999999999996</v>
      </c>
      <c r="AI10" s="19">
        <v>0</v>
      </c>
      <c r="AJ10" s="19">
        <v>0.6</v>
      </c>
      <c r="AK10" s="19">
        <v>16.399999999999999</v>
      </c>
      <c r="AL10" s="19">
        <v>5.5</v>
      </c>
      <c r="AM10" s="19">
        <v>0</v>
      </c>
      <c r="AN10" s="19">
        <v>0.6</v>
      </c>
      <c r="AO10" s="27"/>
      <c r="AP10" s="40">
        <f t="shared" si="13"/>
        <v>10.1</v>
      </c>
      <c r="AQ10" s="40">
        <f t="shared" si="14"/>
        <v>44.1</v>
      </c>
      <c r="AR10" s="40">
        <f t="shared" si="15"/>
        <v>22.3</v>
      </c>
      <c r="AS10" s="40">
        <f t="shared" si="16"/>
        <v>15.399999999999999</v>
      </c>
      <c r="AT10" s="40">
        <f t="shared" si="17"/>
        <v>66.400000000000006</v>
      </c>
      <c r="AU10" s="40">
        <f t="shared" si="18"/>
        <v>10.1</v>
      </c>
      <c r="AV10" s="40">
        <f t="shared" si="19"/>
        <v>44.800000000000004</v>
      </c>
      <c r="AW10" s="40">
        <f t="shared" si="20"/>
        <v>111.20000000000002</v>
      </c>
      <c r="AX10" s="18">
        <v>16.399999999999999</v>
      </c>
      <c r="AY10" s="18">
        <v>5</v>
      </c>
      <c r="AZ10" s="18">
        <v>0.2</v>
      </c>
      <c r="BA10" s="18">
        <v>0.6</v>
      </c>
      <c r="BB10" s="18">
        <v>16.2</v>
      </c>
      <c r="BC10" s="18">
        <v>5.5</v>
      </c>
      <c r="BD10" s="18">
        <v>0</v>
      </c>
      <c r="BE10" s="18">
        <v>0.6</v>
      </c>
      <c r="BF10" s="18">
        <v>15.4</v>
      </c>
      <c r="BG10" s="18">
        <v>4.8</v>
      </c>
      <c r="BH10" s="18">
        <v>0.2</v>
      </c>
      <c r="BI10" s="18">
        <v>0.6</v>
      </c>
      <c r="BJ10" s="18">
        <v>16.5</v>
      </c>
      <c r="BK10" s="18">
        <v>5</v>
      </c>
      <c r="BL10" s="18">
        <v>0.2</v>
      </c>
      <c r="BM10" s="18">
        <v>0.6</v>
      </c>
      <c r="BN10" s="18">
        <v>16.5</v>
      </c>
      <c r="BO10" s="18">
        <v>5.5</v>
      </c>
      <c r="BP10" s="18">
        <v>0</v>
      </c>
      <c r="BQ10" s="18">
        <v>0.6</v>
      </c>
      <c r="BR10" s="28"/>
      <c r="BS10" s="11">
        <f t="shared" si="21"/>
        <v>10.5</v>
      </c>
      <c r="BT10" s="11">
        <f t="shared" si="22"/>
        <v>44.1</v>
      </c>
      <c r="BU10" s="11">
        <f t="shared" si="23"/>
        <v>20.6</v>
      </c>
      <c r="BV10" s="11">
        <f t="shared" si="24"/>
        <v>15.3</v>
      </c>
      <c r="BW10" s="11">
        <f t="shared" si="25"/>
        <v>64.7</v>
      </c>
      <c r="BX10" s="11">
        <f t="shared" si="26"/>
        <v>10.5</v>
      </c>
      <c r="BY10" s="11">
        <f t="shared" si="27"/>
        <v>44.5</v>
      </c>
      <c r="BZ10" s="11">
        <f t="shared" si="28"/>
        <v>109.2</v>
      </c>
      <c r="CA10" s="19">
        <v>16.8</v>
      </c>
      <c r="CB10" s="19">
        <v>5</v>
      </c>
      <c r="CC10" s="19">
        <v>0.5</v>
      </c>
      <c r="CD10" s="19">
        <v>0</v>
      </c>
      <c r="CE10" s="19">
        <v>16.7</v>
      </c>
      <c r="CF10" s="19">
        <v>2.6</v>
      </c>
      <c r="CG10" s="19">
        <v>3</v>
      </c>
      <c r="CH10" s="19">
        <v>0</v>
      </c>
      <c r="CI10" s="19">
        <v>16.899999999999999</v>
      </c>
      <c r="CJ10" s="19">
        <v>5.2</v>
      </c>
      <c r="CK10" s="19">
        <v>0</v>
      </c>
      <c r="CL10" s="19">
        <v>0</v>
      </c>
      <c r="CM10" s="19">
        <v>16.5</v>
      </c>
      <c r="CN10" s="19">
        <v>5.2</v>
      </c>
      <c r="CO10" s="19">
        <v>0</v>
      </c>
      <c r="CP10" s="19">
        <v>0</v>
      </c>
      <c r="CQ10" s="19">
        <v>17.100000000000001</v>
      </c>
      <c r="CR10" s="19">
        <v>5</v>
      </c>
      <c r="CS10" s="19">
        <v>0</v>
      </c>
      <c r="CT10" s="19">
        <v>0</v>
      </c>
      <c r="CU10" s="27"/>
      <c r="CV10" s="40">
        <f t="shared" si="29"/>
        <v>7.6</v>
      </c>
      <c r="CW10" s="40">
        <f t="shared" si="30"/>
        <v>37.6</v>
      </c>
      <c r="CX10" s="40">
        <f t="shared" si="31"/>
        <v>22.099999999999998</v>
      </c>
      <c r="CY10" s="40">
        <f t="shared" si="32"/>
        <v>12.8</v>
      </c>
      <c r="CZ10" s="40">
        <f t="shared" si="33"/>
        <v>59.7</v>
      </c>
      <c r="DA10" s="40">
        <f t="shared" si="34"/>
        <v>10.199999999999999</v>
      </c>
      <c r="DB10" s="40">
        <f t="shared" si="35"/>
        <v>43.8</v>
      </c>
      <c r="DC10" s="40">
        <f t="shared" si="36"/>
        <v>103.5</v>
      </c>
      <c r="DD10" s="51" t="str">
        <f t="shared" si="37"/>
        <v/>
      </c>
      <c r="DE10" s="51" t="str">
        <f t="shared" si="38"/>
        <v/>
      </c>
      <c r="DF10" s="51" t="str">
        <f t="shared" si="39"/>
        <v/>
      </c>
      <c r="DG10" s="17">
        <v>16.899999999999999</v>
      </c>
      <c r="DH10" s="17">
        <v>5.2</v>
      </c>
      <c r="DI10" s="17">
        <v>0</v>
      </c>
      <c r="DJ10" s="17">
        <v>0</v>
      </c>
      <c r="DK10" s="17">
        <v>16.3</v>
      </c>
      <c r="DL10" s="17">
        <v>5.5</v>
      </c>
      <c r="DM10" s="17">
        <v>0</v>
      </c>
      <c r="DN10" s="17">
        <v>0</v>
      </c>
      <c r="DO10" s="17"/>
      <c r="DP10" s="17"/>
      <c r="DQ10" s="17"/>
      <c r="DR10" s="17"/>
      <c r="DS10" s="17">
        <v>17</v>
      </c>
      <c r="DT10" s="17">
        <v>5.3</v>
      </c>
      <c r="DU10" s="17">
        <v>0</v>
      </c>
      <c r="DV10" s="17">
        <v>0</v>
      </c>
      <c r="DW10" s="17"/>
      <c r="DX10" s="17"/>
      <c r="DY10" s="17"/>
      <c r="DZ10" s="17"/>
      <c r="EA10" s="40">
        <f t="shared" si="40"/>
        <v>10.7</v>
      </c>
      <c r="EB10" s="40">
        <f t="shared" si="41"/>
        <v>43.9</v>
      </c>
      <c r="EC10" s="40" t="str">
        <f t="shared" si="42"/>
        <v/>
      </c>
      <c r="ED10" s="40">
        <f t="shared" si="43"/>
        <v>10.7</v>
      </c>
      <c r="EE10" s="40">
        <f t="shared" si="44"/>
        <v>43.9</v>
      </c>
      <c r="EF10" s="40">
        <f t="shared" si="45"/>
        <v>5.3</v>
      </c>
      <c r="EG10" s="40">
        <f t="shared" si="46"/>
        <v>22.3</v>
      </c>
      <c r="EH10" s="40">
        <f t="shared" si="47"/>
        <v>66.2</v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 t="shared" si="48"/>
        <v/>
      </c>
      <c r="FD10" s="11" t="str">
        <f t="shared" si="49"/>
        <v/>
      </c>
      <c r="FE10" s="11" t="str">
        <f t="shared" si="50"/>
        <v/>
      </c>
      <c r="FF10" s="11" t="str">
        <f t="shared" si="51"/>
        <v/>
      </c>
      <c r="FG10" s="11" t="str">
        <f t="shared" si="52"/>
        <v/>
      </c>
      <c r="FH10" s="11" t="str">
        <f t="shared" si="53"/>
        <v/>
      </c>
      <c r="FI10" s="11" t="str">
        <f t="shared" si="54"/>
        <v/>
      </c>
      <c r="FJ10" s="11" t="str">
        <f t="shared" si="55"/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 t="shared" si="56"/>
        <v/>
      </c>
      <c r="GF10" s="40" t="str">
        <f t="shared" si="57"/>
        <v/>
      </c>
      <c r="GG10" s="40" t="str">
        <f t="shared" si="58"/>
        <v/>
      </c>
      <c r="GH10" s="40" t="str">
        <f t="shared" si="59"/>
        <v/>
      </c>
      <c r="GI10" s="40" t="str">
        <f t="shared" si="60"/>
        <v/>
      </c>
      <c r="GJ10" s="40" t="str">
        <f t="shared" si="61"/>
        <v/>
      </c>
      <c r="GK10" s="40" t="str">
        <f t="shared" si="62"/>
        <v/>
      </c>
      <c r="GL10" s="40" t="str">
        <f t="shared" si="63"/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 t="shared" si="64"/>
        <v/>
      </c>
      <c r="HH10" s="11" t="str">
        <f t="shared" si="65"/>
        <v/>
      </c>
      <c r="HI10" s="11" t="str">
        <f t="shared" si="66"/>
        <v/>
      </c>
      <c r="HJ10" s="11" t="str">
        <f t="shared" si="67"/>
        <v/>
      </c>
      <c r="HK10" s="11" t="str">
        <f t="shared" si="68"/>
        <v/>
      </c>
      <c r="HL10" s="11" t="str">
        <f t="shared" si="69"/>
        <v/>
      </c>
      <c r="HM10" s="11" t="str">
        <f t="shared" si="70"/>
        <v/>
      </c>
      <c r="HN10" s="11" t="str">
        <f t="shared" si="71"/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 t="shared" si="72"/>
        <v/>
      </c>
      <c r="IJ10" s="40" t="str">
        <f t="shared" si="73"/>
        <v/>
      </c>
      <c r="IK10" s="40" t="str">
        <f t="shared" si="74"/>
        <v/>
      </c>
      <c r="IL10" s="40" t="str">
        <f t="shared" si="75"/>
        <v/>
      </c>
      <c r="IM10" s="40" t="str">
        <f t="shared" si="76"/>
        <v/>
      </c>
      <c r="IN10" s="40" t="str">
        <f t="shared" si="77"/>
        <v/>
      </c>
      <c r="IO10" s="40" t="str">
        <f t="shared" si="78"/>
        <v/>
      </c>
      <c r="IP10" s="40" t="str">
        <f t="shared" si="79"/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80"/>
        <v/>
      </c>
      <c r="JL10" s="11" t="str">
        <f t="shared" si="81"/>
        <v/>
      </c>
      <c r="JM10" s="11" t="str">
        <f t="shared" si="82"/>
        <v/>
      </c>
      <c r="JN10" s="11" t="str">
        <f t="shared" si="83"/>
        <v/>
      </c>
      <c r="JO10" s="11" t="str">
        <f t="shared" si="84"/>
        <v/>
      </c>
      <c r="JP10" s="11" t="str">
        <f t="shared" si="85"/>
        <v/>
      </c>
      <c r="JQ10" s="11" t="str">
        <f t="shared" si="86"/>
        <v/>
      </c>
      <c r="JR10" s="11" t="str">
        <f t="shared" si="87"/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 t="shared" si="88"/>
        <v/>
      </c>
      <c r="KN10" s="40" t="str">
        <f t="shared" si="89"/>
        <v/>
      </c>
      <c r="KO10" s="40" t="str">
        <f t="shared" si="90"/>
        <v/>
      </c>
      <c r="KP10" s="40" t="str">
        <f t="shared" si="91"/>
        <v/>
      </c>
      <c r="KQ10" s="40" t="str">
        <f t="shared" si="92"/>
        <v/>
      </c>
      <c r="KR10" s="40" t="str">
        <f t="shared" si="93"/>
        <v/>
      </c>
      <c r="KS10" s="40" t="str">
        <f t="shared" si="94"/>
        <v/>
      </c>
      <c r="KT10" s="40" t="str">
        <f t="shared" si="95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6"/>
        <v/>
      </c>
      <c r="LP10" s="11" t="str">
        <f t="shared" si="97"/>
        <v/>
      </c>
      <c r="LQ10" s="11" t="str">
        <f t="shared" si="98"/>
        <v/>
      </c>
      <c r="LR10" s="11" t="str">
        <f t="shared" si="99"/>
        <v/>
      </c>
      <c r="LS10" s="11" t="str">
        <f t="shared" si="100"/>
        <v/>
      </c>
      <c r="LT10" s="11" t="str">
        <f t="shared" si="101"/>
        <v/>
      </c>
      <c r="LU10" s="11" t="str">
        <f t="shared" si="102"/>
        <v/>
      </c>
      <c r="LV10" s="11" t="str">
        <f t="shared" si="103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 t="shared" si="104"/>
        <v/>
      </c>
      <c r="MR10" s="40" t="str">
        <f t="shared" si="105"/>
        <v/>
      </c>
      <c r="MS10" s="40" t="str">
        <f t="shared" si="106"/>
        <v/>
      </c>
      <c r="MT10" s="40" t="str">
        <f t="shared" si="107"/>
        <v/>
      </c>
      <c r="MU10" s="40" t="str">
        <f t="shared" si="108"/>
        <v/>
      </c>
      <c r="MV10" s="40" t="str">
        <f t="shared" si="109"/>
        <v/>
      </c>
      <c r="MW10" s="40" t="str">
        <f t="shared" si="110"/>
        <v/>
      </c>
      <c r="MX10" s="40" t="str">
        <f t="shared" si="111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2"/>
        <v/>
      </c>
      <c r="NT10" s="11" t="str">
        <f t="shared" si="113"/>
        <v/>
      </c>
      <c r="NU10" s="11" t="str">
        <f t="shared" si="114"/>
        <v/>
      </c>
      <c r="NV10" s="11" t="str">
        <f t="shared" si="115"/>
        <v/>
      </c>
      <c r="NW10" s="11" t="str">
        <f t="shared" si="116"/>
        <v/>
      </c>
      <c r="NX10" s="11" t="str">
        <f t="shared" si="117"/>
        <v/>
      </c>
      <c r="NY10" s="11" t="str">
        <f t="shared" si="118"/>
        <v/>
      </c>
      <c r="NZ10" s="11" t="str">
        <f t="shared" si="119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 t="shared" si="120"/>
        <v/>
      </c>
      <c r="OV10" s="40" t="str">
        <f t="shared" si="121"/>
        <v/>
      </c>
      <c r="OW10" s="40" t="str">
        <f t="shared" si="122"/>
        <v/>
      </c>
      <c r="OX10" s="40" t="str">
        <f t="shared" si="123"/>
        <v/>
      </c>
      <c r="OY10" s="40" t="str">
        <f t="shared" si="124"/>
        <v/>
      </c>
      <c r="OZ10" s="40" t="str">
        <f t="shared" si="125"/>
        <v/>
      </c>
      <c r="PA10" s="40" t="str">
        <f t="shared" si="126"/>
        <v/>
      </c>
      <c r="PB10" s="40" t="str">
        <f t="shared" si="127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8"/>
        <v/>
      </c>
      <c r="PX10" s="11" t="str">
        <f t="shared" si="129"/>
        <v/>
      </c>
      <c r="PY10" s="11" t="str">
        <f t="shared" si="130"/>
        <v/>
      </c>
      <c r="PZ10" s="11" t="str">
        <f t="shared" si="131"/>
        <v/>
      </c>
      <c r="QA10" s="11" t="str">
        <f t="shared" si="132"/>
        <v/>
      </c>
      <c r="QB10" s="11" t="str">
        <f t="shared" si="133"/>
        <v/>
      </c>
      <c r="QC10" s="11" t="str">
        <f t="shared" si="134"/>
        <v/>
      </c>
      <c r="QD10" s="11" t="str">
        <f t="shared" si="135"/>
        <v/>
      </c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40" t="str">
        <f t="shared" si="136"/>
        <v/>
      </c>
      <c r="QZ10" s="40" t="str">
        <f t="shared" si="137"/>
        <v/>
      </c>
      <c r="RA10" s="40" t="str">
        <f t="shared" si="138"/>
        <v/>
      </c>
      <c r="RB10" s="40" t="str">
        <f t="shared" si="139"/>
        <v/>
      </c>
      <c r="RC10" s="40" t="str">
        <f t="shared" si="140"/>
        <v/>
      </c>
      <c r="RD10" s="40" t="str">
        <f t="shared" si="141"/>
        <v/>
      </c>
      <c r="RE10" s="40" t="str">
        <f t="shared" si="142"/>
        <v/>
      </c>
      <c r="RF10" s="40" t="str">
        <f t="shared" si="143"/>
        <v/>
      </c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1" t="str">
        <f t="shared" si="144"/>
        <v/>
      </c>
      <c r="SB10" s="11" t="str">
        <f t="shared" si="145"/>
        <v/>
      </c>
      <c r="SC10" s="11" t="str">
        <f t="shared" si="146"/>
        <v/>
      </c>
      <c r="SD10" s="11" t="str">
        <f t="shared" si="147"/>
        <v/>
      </c>
      <c r="SE10" s="11" t="str">
        <f t="shared" si="148"/>
        <v/>
      </c>
      <c r="SF10" s="11" t="str">
        <f t="shared" si="149"/>
        <v/>
      </c>
      <c r="SG10" s="11" t="str">
        <f t="shared" si="150"/>
        <v/>
      </c>
      <c r="SH10" s="11" t="str">
        <f t="shared" si="151"/>
        <v/>
      </c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40" t="str">
        <f t="shared" si="152"/>
        <v/>
      </c>
      <c r="TD10" s="40" t="str">
        <f t="shared" si="153"/>
        <v/>
      </c>
      <c r="TE10" s="40" t="str">
        <f t="shared" si="154"/>
        <v/>
      </c>
      <c r="TF10" s="40" t="str">
        <f t="shared" si="155"/>
        <v/>
      </c>
      <c r="TG10" s="40" t="str">
        <f t="shared" si="156"/>
        <v/>
      </c>
      <c r="TH10" s="40" t="str">
        <f t="shared" si="157"/>
        <v/>
      </c>
      <c r="TI10" s="40" t="str">
        <f t="shared" si="158"/>
        <v/>
      </c>
      <c r="TJ10" s="40" t="str">
        <f t="shared" si="159"/>
        <v/>
      </c>
      <c r="TK10" s="26">
        <f t="shared" si="160"/>
        <v>16.600000000000001</v>
      </c>
      <c r="TL10" s="26">
        <f t="shared" si="160"/>
        <v>5</v>
      </c>
      <c r="TM10" s="26">
        <f t="shared" si="160"/>
        <v>0.35</v>
      </c>
      <c r="TN10" s="26">
        <f t="shared" si="160"/>
        <v>0.3</v>
      </c>
      <c r="TO10" s="26">
        <f t="shared" si="160"/>
        <v>16.45</v>
      </c>
      <c r="TP10" s="26">
        <f t="shared" si="160"/>
        <v>4.05</v>
      </c>
      <c r="TQ10" s="26">
        <f t="shared" si="160"/>
        <v>1.5</v>
      </c>
      <c r="TR10" s="26">
        <f t="shared" si="160"/>
        <v>0.3</v>
      </c>
      <c r="TS10" s="26">
        <f t="shared" si="160"/>
        <v>16.149999999999999</v>
      </c>
      <c r="TT10" s="26">
        <f t="shared" si="160"/>
        <v>5</v>
      </c>
      <c r="TU10" s="26">
        <f t="shared" si="161"/>
        <v>0.1</v>
      </c>
      <c r="TV10" s="26">
        <f t="shared" si="161"/>
        <v>0.3</v>
      </c>
      <c r="TW10" s="26">
        <f t="shared" si="161"/>
        <v>16.5</v>
      </c>
      <c r="TX10" s="26">
        <f t="shared" si="161"/>
        <v>5.0999999999999996</v>
      </c>
      <c r="TY10" s="26">
        <f t="shared" si="161"/>
        <v>0.1</v>
      </c>
      <c r="TZ10" s="26">
        <f t="shared" si="161"/>
        <v>0.3</v>
      </c>
      <c r="UA10" s="26">
        <f t="shared" si="161"/>
        <v>16.8</v>
      </c>
      <c r="UB10" s="26">
        <f t="shared" si="161"/>
        <v>5.25</v>
      </c>
      <c r="UC10" s="26">
        <f t="shared" si="161"/>
        <v>0</v>
      </c>
      <c r="UD10" s="26">
        <f t="shared" si="161"/>
        <v>0.3</v>
      </c>
      <c r="UE10" s="28" t="s">
        <v>53</v>
      </c>
      <c r="UF10" s="11">
        <f t="shared" si="162"/>
        <v>9.0500000000000007</v>
      </c>
      <c r="UG10" s="11">
        <f t="shared" si="163"/>
        <v>40.849999999999994</v>
      </c>
      <c r="UH10" s="11">
        <f t="shared" si="164"/>
        <v>21.349999999999998</v>
      </c>
      <c r="UI10" s="11">
        <f t="shared" si="165"/>
        <v>14.05</v>
      </c>
      <c r="UJ10" s="11">
        <f t="shared" si="166"/>
        <v>62.199999999999989</v>
      </c>
      <c r="UK10" s="11">
        <f t="shared" si="167"/>
        <v>10.35</v>
      </c>
      <c r="UL10" s="11">
        <f t="shared" si="168"/>
        <v>44.15</v>
      </c>
      <c r="UM10" s="11">
        <f t="shared" si="169"/>
        <v>106.35</v>
      </c>
    </row>
    <row r="11" spans="1:559" x14ac:dyDescent="0.2">
      <c r="A11" s="4" t="str" cm="1">
        <f t="array" ref="A11">IF(AND(H11&lt;&gt;"",H11&lt;&gt;"No DD"),SUMPRODUCT((H$4:H$12&lt;&gt;"")*(H$4:H$12&lt;&gt;"No DD")*(E$4:E$12&gt;E11))+1,IF(H11="No DD",SUMPRODUCT((H$4:H$12="No DD")*(E$4:E$12&gt;E11))+1+SUMPRODUCT((H$4:H$12&lt;&gt;"")*(H$4:H$12&lt;&gt;"No DD")),""))</f>
        <v/>
      </c>
      <c r="B11" s="5" t="s">
        <v>82</v>
      </c>
      <c r="C11" s="4" t="s">
        <v>5</v>
      </c>
      <c r="D11" s="4">
        <v>2003</v>
      </c>
      <c r="E11" s="9">
        <f t="shared" si="0"/>
        <v>151.60001001000444</v>
      </c>
      <c r="F11" s="3" t="str">
        <f t="shared" si="1"/>
        <v/>
      </c>
      <c r="G11" s="3" t="str">
        <f t="shared" si="2"/>
        <v/>
      </c>
      <c r="H11" s="36" t="str">
        <f t="shared" si="3"/>
        <v/>
      </c>
      <c r="I11" s="3" t="str">
        <f t="shared" si="4"/>
        <v/>
      </c>
      <c r="J11" s="8">
        <f>IF(COUNT(AQ11,BT11,CW11)&gt;0,LARGE((AQ11,BT11,CW11),1),0)</f>
        <v>44.2</v>
      </c>
      <c r="K11" s="8" t="str">
        <f t="shared" si="5"/>
        <v>2024 Elite Canada</v>
      </c>
      <c r="L11" s="8">
        <f>IF(COUNT(AQ11,BT11,CW11)&gt;1,LARGE((AQ11,BT11,CW11),2),0)</f>
        <v>34.200000000000003</v>
      </c>
      <c r="M11" s="8" t="str">
        <f t="shared" si="6"/>
        <v>2024 Nationals</v>
      </c>
      <c r="N11" s="8">
        <f>IF(COUNT(AR11,BU11,CX11)&gt;0,LARGE((AR11,BU11,CX11),1),0)</f>
        <v>21.7</v>
      </c>
      <c r="O11" s="8" t="str">
        <f t="shared" si="7"/>
        <v>2024 Nationals</v>
      </c>
      <c r="P11" s="8">
        <f t="shared" si="8"/>
        <v>42.8</v>
      </c>
      <c r="Q11" s="8" t="str">
        <f t="shared" si="9"/>
        <v>2024 Elite Canada</v>
      </c>
      <c r="R11" s="8">
        <f t="shared" si="10"/>
        <v>8.6999999999999957</v>
      </c>
      <c r="S11" s="11" t="str">
        <f t="shared" si="11"/>
        <v>(Q1)</v>
      </c>
      <c r="T11" s="8" t="str">
        <f t="shared" si="12"/>
        <v>2024 Coimbra Gym Fest (July 7)</v>
      </c>
      <c r="U11" s="19">
        <v>16.8</v>
      </c>
      <c r="V11" s="19">
        <v>5.3</v>
      </c>
      <c r="W11" s="19">
        <v>0.2</v>
      </c>
      <c r="X11" s="19">
        <v>0</v>
      </c>
      <c r="Y11" s="19">
        <v>17.3</v>
      </c>
      <c r="Z11" s="19">
        <v>5</v>
      </c>
      <c r="AA11" s="19">
        <v>0</v>
      </c>
      <c r="AB11" s="19">
        <v>0</v>
      </c>
      <c r="AC11" s="19">
        <v>15.8</v>
      </c>
      <c r="AD11" s="19">
        <v>5.3</v>
      </c>
      <c r="AE11" s="19">
        <v>0.4</v>
      </c>
      <c r="AF11" s="19">
        <v>0</v>
      </c>
      <c r="AG11" s="19">
        <v>14.8</v>
      </c>
      <c r="AH11" s="19">
        <v>6.1</v>
      </c>
      <c r="AI11" s="19">
        <v>0.4</v>
      </c>
      <c r="AJ11" s="19">
        <v>0</v>
      </c>
      <c r="AK11" s="19">
        <v>16.5</v>
      </c>
      <c r="AL11" s="19">
        <v>5.8</v>
      </c>
      <c r="AM11" s="19">
        <v>0</v>
      </c>
      <c r="AN11" s="19">
        <v>0</v>
      </c>
      <c r="AO11" s="27"/>
      <c r="AP11" s="40">
        <f t="shared" si="13"/>
        <v>10.3</v>
      </c>
      <c r="AQ11" s="40">
        <f t="shared" si="14"/>
        <v>44.2</v>
      </c>
      <c r="AR11" s="40">
        <f t="shared" si="15"/>
        <v>20.700000000000003</v>
      </c>
      <c r="AS11" s="40">
        <f t="shared" si="16"/>
        <v>15.600000000000001</v>
      </c>
      <c r="AT11" s="40">
        <f t="shared" si="17"/>
        <v>64.900000000000006</v>
      </c>
      <c r="AU11" s="40">
        <f t="shared" si="18"/>
        <v>11.899999999999999</v>
      </c>
      <c r="AV11" s="40">
        <f t="shared" si="19"/>
        <v>42.8</v>
      </c>
      <c r="AW11" s="40">
        <f t="shared" si="20"/>
        <v>107.7</v>
      </c>
      <c r="AX11" s="18">
        <v>15.8</v>
      </c>
      <c r="AY11" s="18">
        <v>4.9000000000000004</v>
      </c>
      <c r="AZ11" s="18">
        <v>4.5999999999999996</v>
      </c>
      <c r="BA11" s="18">
        <v>0</v>
      </c>
      <c r="BB11" s="18">
        <v>14.4</v>
      </c>
      <c r="BC11" s="18">
        <v>8.1</v>
      </c>
      <c r="BD11" s="18">
        <v>4.4000000000000004</v>
      </c>
      <c r="BE11" s="18">
        <v>0</v>
      </c>
      <c r="BF11" s="18">
        <v>16.7</v>
      </c>
      <c r="BG11" s="18">
        <v>5</v>
      </c>
      <c r="BH11" s="18">
        <v>0</v>
      </c>
      <c r="BI11" s="18">
        <v>0</v>
      </c>
      <c r="BJ11" s="18"/>
      <c r="BK11" s="18"/>
      <c r="BL11" s="18"/>
      <c r="BM11" s="18"/>
      <c r="BN11" s="18"/>
      <c r="BO11" s="18"/>
      <c r="BP11" s="18"/>
      <c r="BQ11" s="18"/>
      <c r="BR11" s="28"/>
      <c r="BS11" s="11">
        <f t="shared" si="21"/>
        <v>13</v>
      </c>
      <c r="BT11" s="11">
        <f t="shared" si="22"/>
        <v>34.200000000000003</v>
      </c>
      <c r="BU11" s="11">
        <f t="shared" si="23"/>
        <v>21.7</v>
      </c>
      <c r="BV11" s="11">
        <f t="shared" si="24"/>
        <v>18</v>
      </c>
      <c r="BW11" s="11">
        <f t="shared" si="25"/>
        <v>55.900000000000006</v>
      </c>
      <c r="BX11" s="11" t="str">
        <f t="shared" si="26"/>
        <v/>
      </c>
      <c r="BY11" s="11" t="str">
        <f t="shared" si="27"/>
        <v/>
      </c>
      <c r="BZ11" s="11">
        <f t="shared" si="28"/>
        <v>55.900000000000006</v>
      </c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7"/>
      <c r="CV11" s="40" t="str">
        <f t="shared" si="29"/>
        <v/>
      </c>
      <c r="CW11" s="40" t="str">
        <f t="shared" si="30"/>
        <v/>
      </c>
      <c r="CX11" s="40" t="str">
        <f t="shared" si="31"/>
        <v/>
      </c>
      <c r="CY11" s="40" t="str">
        <f t="shared" si="32"/>
        <v/>
      </c>
      <c r="CZ11" s="40" t="str">
        <f t="shared" si="33"/>
        <v/>
      </c>
      <c r="DA11" s="40" t="str">
        <f t="shared" si="34"/>
        <v/>
      </c>
      <c r="DB11" s="40" t="str">
        <f t="shared" si="35"/>
        <v/>
      </c>
      <c r="DC11" s="40" t="str">
        <f t="shared" si="36"/>
        <v/>
      </c>
      <c r="DD11" s="51">
        <f t="shared" si="37"/>
        <v>8.6999999999999957</v>
      </c>
      <c r="DE11" s="51" t="str">
        <f t="shared" si="38"/>
        <v/>
      </c>
      <c r="DF11" s="51">
        <f t="shared" si="39"/>
        <v>3.2000000000000028</v>
      </c>
      <c r="DG11" s="17">
        <v>15.6</v>
      </c>
      <c r="DH11" s="17">
        <v>5.5</v>
      </c>
      <c r="DI11" s="17">
        <v>0</v>
      </c>
      <c r="DJ11" s="17">
        <v>0</v>
      </c>
      <c r="DK11" s="17">
        <v>14.5</v>
      </c>
      <c r="DL11" s="17">
        <v>7.3</v>
      </c>
      <c r="DM11" s="17">
        <v>0</v>
      </c>
      <c r="DN11" s="17">
        <v>0</v>
      </c>
      <c r="DO11" s="17"/>
      <c r="DP11" s="17"/>
      <c r="DQ11" s="17"/>
      <c r="DR11" s="17"/>
      <c r="DS11" s="17">
        <v>14.9</v>
      </c>
      <c r="DT11" s="17">
        <v>7.7</v>
      </c>
      <c r="DU11" s="17">
        <v>0</v>
      </c>
      <c r="DV11" s="17">
        <v>0</v>
      </c>
      <c r="DW11" s="17">
        <v>17</v>
      </c>
      <c r="DX11" s="17">
        <v>6.4</v>
      </c>
      <c r="DY11" s="17">
        <v>0</v>
      </c>
      <c r="DZ11" s="17">
        <v>0</v>
      </c>
      <c r="EA11" s="40">
        <f t="shared" si="40"/>
        <v>12.8</v>
      </c>
      <c r="EB11" s="40">
        <f t="shared" si="41"/>
        <v>42.9</v>
      </c>
      <c r="EC11" s="40" t="str">
        <f t="shared" si="42"/>
        <v/>
      </c>
      <c r="ED11" s="40">
        <f t="shared" si="43"/>
        <v>12.8</v>
      </c>
      <c r="EE11" s="40">
        <f t="shared" si="44"/>
        <v>42.9</v>
      </c>
      <c r="EF11" s="40">
        <f t="shared" si="45"/>
        <v>14.100000000000001</v>
      </c>
      <c r="EG11" s="40">
        <f t="shared" si="46"/>
        <v>46</v>
      </c>
      <c r="EH11" s="40">
        <f t="shared" si="47"/>
        <v>88.9</v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8"/>
        <v/>
      </c>
      <c r="FD11" s="11" t="str">
        <f t="shared" si="49"/>
        <v/>
      </c>
      <c r="FE11" s="11" t="str">
        <f t="shared" si="50"/>
        <v/>
      </c>
      <c r="FF11" s="11" t="str">
        <f t="shared" si="51"/>
        <v/>
      </c>
      <c r="FG11" s="11" t="str">
        <f t="shared" si="52"/>
        <v/>
      </c>
      <c r="FH11" s="11" t="str">
        <f t="shared" si="53"/>
        <v/>
      </c>
      <c r="FI11" s="11" t="str">
        <f t="shared" si="54"/>
        <v/>
      </c>
      <c r="FJ11" s="11" t="str">
        <f t="shared" si="55"/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 t="shared" si="56"/>
        <v/>
      </c>
      <c r="GF11" s="40" t="str">
        <f t="shared" si="57"/>
        <v/>
      </c>
      <c r="GG11" s="40" t="str">
        <f t="shared" si="58"/>
        <v/>
      </c>
      <c r="GH11" s="40" t="str">
        <f t="shared" si="59"/>
        <v/>
      </c>
      <c r="GI11" s="40" t="str">
        <f t="shared" si="60"/>
        <v/>
      </c>
      <c r="GJ11" s="40" t="str">
        <f t="shared" si="61"/>
        <v/>
      </c>
      <c r="GK11" s="40" t="str">
        <f t="shared" si="62"/>
        <v/>
      </c>
      <c r="GL11" s="40" t="str">
        <f t="shared" si="63"/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 t="shared" si="64"/>
        <v/>
      </c>
      <c r="HH11" s="11" t="str">
        <f t="shared" si="65"/>
        <v/>
      </c>
      <c r="HI11" s="11" t="str">
        <f t="shared" si="66"/>
        <v/>
      </c>
      <c r="HJ11" s="11" t="str">
        <f t="shared" si="67"/>
        <v/>
      </c>
      <c r="HK11" s="11" t="str">
        <f t="shared" si="68"/>
        <v/>
      </c>
      <c r="HL11" s="11" t="str">
        <f t="shared" si="69"/>
        <v/>
      </c>
      <c r="HM11" s="11" t="str">
        <f t="shared" si="70"/>
        <v/>
      </c>
      <c r="HN11" s="11" t="str">
        <f t="shared" si="71"/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 t="shared" si="72"/>
        <v/>
      </c>
      <c r="IJ11" s="40" t="str">
        <f t="shared" si="73"/>
        <v/>
      </c>
      <c r="IK11" s="40" t="str">
        <f t="shared" si="74"/>
        <v/>
      </c>
      <c r="IL11" s="40" t="str">
        <f t="shared" si="75"/>
        <v/>
      </c>
      <c r="IM11" s="40" t="str">
        <f t="shared" si="76"/>
        <v/>
      </c>
      <c r="IN11" s="40" t="str">
        <f t="shared" si="77"/>
        <v/>
      </c>
      <c r="IO11" s="40" t="str">
        <f t="shared" si="78"/>
        <v/>
      </c>
      <c r="IP11" s="40" t="str">
        <f t="shared" si="79"/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80"/>
        <v/>
      </c>
      <c r="JL11" s="11" t="str">
        <f t="shared" si="81"/>
        <v/>
      </c>
      <c r="JM11" s="11" t="str">
        <f t="shared" si="82"/>
        <v/>
      </c>
      <c r="JN11" s="11" t="str">
        <f t="shared" si="83"/>
        <v/>
      </c>
      <c r="JO11" s="11" t="str">
        <f t="shared" si="84"/>
        <v/>
      </c>
      <c r="JP11" s="11" t="str">
        <f t="shared" si="85"/>
        <v/>
      </c>
      <c r="JQ11" s="11" t="str">
        <f t="shared" si="86"/>
        <v/>
      </c>
      <c r="JR11" s="11" t="str">
        <f t="shared" si="87"/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 t="shared" si="88"/>
        <v/>
      </c>
      <c r="KN11" s="40" t="str">
        <f t="shared" si="89"/>
        <v/>
      </c>
      <c r="KO11" s="40" t="str">
        <f t="shared" si="90"/>
        <v/>
      </c>
      <c r="KP11" s="40" t="str">
        <f t="shared" si="91"/>
        <v/>
      </c>
      <c r="KQ11" s="40" t="str">
        <f t="shared" si="92"/>
        <v/>
      </c>
      <c r="KR11" s="40" t="str">
        <f t="shared" si="93"/>
        <v/>
      </c>
      <c r="KS11" s="40" t="str">
        <f t="shared" si="94"/>
        <v/>
      </c>
      <c r="KT11" s="40" t="str">
        <f t="shared" si="95"/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6"/>
        <v/>
      </c>
      <c r="LP11" s="11" t="str">
        <f t="shared" si="97"/>
        <v/>
      </c>
      <c r="LQ11" s="11" t="str">
        <f t="shared" si="98"/>
        <v/>
      </c>
      <c r="LR11" s="11" t="str">
        <f t="shared" si="99"/>
        <v/>
      </c>
      <c r="LS11" s="11" t="str">
        <f t="shared" si="100"/>
        <v/>
      </c>
      <c r="LT11" s="11" t="str">
        <f t="shared" si="101"/>
        <v/>
      </c>
      <c r="LU11" s="11" t="str">
        <f t="shared" si="102"/>
        <v/>
      </c>
      <c r="LV11" s="11" t="str">
        <f t="shared" si="103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 t="shared" si="104"/>
        <v/>
      </c>
      <c r="MR11" s="40" t="str">
        <f t="shared" si="105"/>
        <v/>
      </c>
      <c r="MS11" s="40" t="str">
        <f t="shared" si="106"/>
        <v/>
      </c>
      <c r="MT11" s="40" t="str">
        <f t="shared" si="107"/>
        <v/>
      </c>
      <c r="MU11" s="40" t="str">
        <f t="shared" si="108"/>
        <v/>
      </c>
      <c r="MV11" s="40" t="str">
        <f t="shared" si="109"/>
        <v/>
      </c>
      <c r="MW11" s="40" t="str">
        <f t="shared" si="110"/>
        <v/>
      </c>
      <c r="MX11" s="40" t="str">
        <f t="shared" si="111"/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2"/>
        <v/>
      </c>
      <c r="NT11" s="11" t="str">
        <f t="shared" si="113"/>
        <v/>
      </c>
      <c r="NU11" s="11" t="str">
        <f t="shared" si="114"/>
        <v/>
      </c>
      <c r="NV11" s="11" t="str">
        <f t="shared" si="115"/>
        <v/>
      </c>
      <c r="NW11" s="11" t="str">
        <f t="shared" si="116"/>
        <v/>
      </c>
      <c r="NX11" s="11" t="str">
        <f t="shared" si="117"/>
        <v/>
      </c>
      <c r="NY11" s="11" t="str">
        <f t="shared" si="118"/>
        <v/>
      </c>
      <c r="NZ11" s="11" t="str">
        <f t="shared" si="119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 t="shared" si="120"/>
        <v/>
      </c>
      <c r="OV11" s="40" t="str">
        <f t="shared" si="121"/>
        <v/>
      </c>
      <c r="OW11" s="40" t="str">
        <f t="shared" si="122"/>
        <v/>
      </c>
      <c r="OX11" s="40" t="str">
        <f t="shared" si="123"/>
        <v/>
      </c>
      <c r="OY11" s="40" t="str">
        <f t="shared" si="124"/>
        <v/>
      </c>
      <c r="OZ11" s="40" t="str">
        <f t="shared" si="125"/>
        <v/>
      </c>
      <c r="PA11" s="40" t="str">
        <f t="shared" si="126"/>
        <v/>
      </c>
      <c r="PB11" s="40" t="str">
        <f t="shared" si="127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8"/>
        <v/>
      </c>
      <c r="PX11" s="11" t="str">
        <f t="shared" si="129"/>
        <v/>
      </c>
      <c r="PY11" s="11" t="str">
        <f t="shared" si="130"/>
        <v/>
      </c>
      <c r="PZ11" s="11" t="str">
        <f t="shared" si="131"/>
        <v/>
      </c>
      <c r="QA11" s="11" t="str">
        <f t="shared" si="132"/>
        <v/>
      </c>
      <c r="QB11" s="11" t="str">
        <f t="shared" si="133"/>
        <v/>
      </c>
      <c r="QC11" s="11" t="str">
        <f t="shared" si="134"/>
        <v/>
      </c>
      <c r="QD11" s="11" t="str">
        <f t="shared" si="135"/>
        <v/>
      </c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40" t="str">
        <f t="shared" si="136"/>
        <v/>
      </c>
      <c r="QZ11" s="40" t="str">
        <f t="shared" si="137"/>
        <v/>
      </c>
      <c r="RA11" s="40" t="str">
        <f t="shared" si="138"/>
        <v/>
      </c>
      <c r="RB11" s="40" t="str">
        <f t="shared" si="139"/>
        <v/>
      </c>
      <c r="RC11" s="40" t="str">
        <f t="shared" si="140"/>
        <v/>
      </c>
      <c r="RD11" s="40" t="str">
        <f t="shared" si="141"/>
        <v/>
      </c>
      <c r="RE11" s="40" t="str">
        <f t="shared" si="142"/>
        <v/>
      </c>
      <c r="RF11" s="40" t="str">
        <f t="shared" si="143"/>
        <v/>
      </c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1" t="str">
        <f t="shared" si="144"/>
        <v/>
      </c>
      <c r="SB11" s="11" t="str">
        <f t="shared" si="145"/>
        <v/>
      </c>
      <c r="SC11" s="11" t="str">
        <f t="shared" si="146"/>
        <v/>
      </c>
      <c r="SD11" s="11" t="str">
        <f t="shared" si="147"/>
        <v/>
      </c>
      <c r="SE11" s="11" t="str">
        <f t="shared" si="148"/>
        <v/>
      </c>
      <c r="SF11" s="11" t="str">
        <f t="shared" si="149"/>
        <v/>
      </c>
      <c r="SG11" s="11" t="str">
        <f t="shared" si="150"/>
        <v/>
      </c>
      <c r="SH11" s="11" t="str">
        <f t="shared" si="151"/>
        <v/>
      </c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40" t="str">
        <f t="shared" si="152"/>
        <v/>
      </c>
      <c r="TD11" s="40" t="str">
        <f t="shared" si="153"/>
        <v/>
      </c>
      <c r="TE11" s="40" t="str">
        <f t="shared" si="154"/>
        <v/>
      </c>
      <c r="TF11" s="40" t="str">
        <f t="shared" si="155"/>
        <v/>
      </c>
      <c r="TG11" s="40" t="str">
        <f t="shared" si="156"/>
        <v/>
      </c>
      <c r="TH11" s="40" t="str">
        <f t="shared" si="157"/>
        <v/>
      </c>
      <c r="TI11" s="40" t="str">
        <f t="shared" si="158"/>
        <v/>
      </c>
      <c r="TJ11" s="40" t="str">
        <f t="shared" si="159"/>
        <v/>
      </c>
      <c r="TK11" s="26">
        <f t="shared" si="160"/>
        <v>7.9</v>
      </c>
      <c r="TL11" s="26">
        <f t="shared" si="160"/>
        <v>2.4500000000000002</v>
      </c>
      <c r="TM11" s="26">
        <f t="shared" si="160"/>
        <v>2.2999999999999998</v>
      </c>
      <c r="TN11" s="26">
        <f t="shared" si="160"/>
        <v>0</v>
      </c>
      <c r="TO11" s="26">
        <f t="shared" si="160"/>
        <v>7.2</v>
      </c>
      <c r="TP11" s="26">
        <f t="shared" si="160"/>
        <v>4.05</v>
      </c>
      <c r="TQ11" s="26">
        <f t="shared" si="160"/>
        <v>2.2000000000000002</v>
      </c>
      <c r="TR11" s="26">
        <f t="shared" si="160"/>
        <v>0</v>
      </c>
      <c r="TS11" s="26">
        <f t="shared" si="160"/>
        <v>8.35</v>
      </c>
      <c r="TT11" s="26">
        <f t="shared" si="160"/>
        <v>2.5</v>
      </c>
      <c r="TU11" s="26">
        <f t="shared" si="161"/>
        <v>0</v>
      </c>
      <c r="TV11" s="26">
        <f t="shared" si="161"/>
        <v>0</v>
      </c>
      <c r="TW11" s="26">
        <f t="shared" si="161"/>
        <v>0</v>
      </c>
      <c r="TX11" s="26">
        <f t="shared" si="161"/>
        <v>0</v>
      </c>
      <c r="TY11" s="26">
        <f t="shared" si="161"/>
        <v>0</v>
      </c>
      <c r="TZ11" s="26">
        <f t="shared" si="161"/>
        <v>0</v>
      </c>
      <c r="UA11" s="26">
        <f t="shared" si="161"/>
        <v>0</v>
      </c>
      <c r="UB11" s="26">
        <f t="shared" si="161"/>
        <v>0</v>
      </c>
      <c r="UC11" s="26">
        <f t="shared" si="161"/>
        <v>0</v>
      </c>
      <c r="UD11" s="26">
        <f t="shared" si="161"/>
        <v>0</v>
      </c>
      <c r="UE11" s="28" t="s">
        <v>53</v>
      </c>
      <c r="UF11" s="11">
        <f t="shared" si="162"/>
        <v>6.5</v>
      </c>
      <c r="UG11" s="11">
        <f t="shared" si="163"/>
        <v>17.100000000000001</v>
      </c>
      <c r="UH11" s="11">
        <f t="shared" si="164"/>
        <v>10.85</v>
      </c>
      <c r="UI11" s="11">
        <f t="shared" si="165"/>
        <v>9</v>
      </c>
      <c r="UJ11" s="11">
        <f t="shared" si="166"/>
        <v>27.950000000000003</v>
      </c>
      <c r="UK11" s="11" t="str">
        <f t="shared" si="167"/>
        <v/>
      </c>
      <c r="UL11" s="11" t="str">
        <f t="shared" si="168"/>
        <v/>
      </c>
      <c r="UM11" s="11">
        <f t="shared" si="169"/>
        <v>27.950000000000003</v>
      </c>
    </row>
    <row r="12" spans="1:559" ht="17" x14ac:dyDescent="0.2">
      <c r="R12" s="10"/>
      <c r="S12" s="10"/>
      <c r="T12" s="10"/>
      <c r="QY12" s="36"/>
      <c r="RG12"/>
      <c r="SA12" s="36"/>
      <c r="SB12" s="36"/>
      <c r="SC12" s="36"/>
      <c r="SD12" s="36"/>
      <c r="SE12" s="36"/>
      <c r="SF12" s="36"/>
      <c r="SG12" s="36"/>
      <c r="SH12" s="36"/>
      <c r="TC12" s="36"/>
      <c r="TD12" s="36"/>
      <c r="TE12" s="36"/>
      <c r="TF12" s="36"/>
      <c r="TG12" s="36"/>
      <c r="TH12" s="36"/>
      <c r="TI12" s="36"/>
      <c r="TJ12" s="36"/>
    </row>
    <row r="13" spans="1:559" ht="17" x14ac:dyDescent="0.2">
      <c r="R13" s="10"/>
      <c r="S13" s="10"/>
      <c r="T13" s="10"/>
      <c r="QY13" s="36"/>
      <c r="RG13"/>
      <c r="SA13" s="36"/>
      <c r="SB13" s="36"/>
      <c r="SC13" s="36"/>
      <c r="SD13" s="36"/>
      <c r="SE13" s="36"/>
      <c r="SF13" s="36"/>
      <c r="SG13" s="36"/>
      <c r="SH13" s="36"/>
      <c r="TC13" s="36"/>
      <c r="TD13" s="36"/>
      <c r="TE13" s="36"/>
      <c r="TF13" s="36"/>
      <c r="TG13" s="36"/>
      <c r="TH13" s="36"/>
      <c r="TI13" s="36"/>
      <c r="TJ13" s="36"/>
    </row>
    <row r="14" spans="1:559" ht="17" x14ac:dyDescent="0.2">
      <c r="B14" s="23" t="s">
        <v>51</v>
      </c>
      <c r="R14" s="10"/>
      <c r="S14" s="10"/>
      <c r="T14" s="10"/>
      <c r="AP14" s="4"/>
      <c r="AW14" s="42">
        <v>11.4</v>
      </c>
      <c r="BS14" s="4"/>
      <c r="BZ14" s="42">
        <v>11.4</v>
      </c>
      <c r="CV14" s="4"/>
      <c r="DC14" s="42">
        <v>11.4</v>
      </c>
      <c r="EA14" s="4"/>
      <c r="EH14" s="42">
        <v>11.4</v>
      </c>
      <c r="FC14" s="4"/>
      <c r="FJ14" s="42">
        <v>11.4</v>
      </c>
      <c r="GE14" s="4"/>
      <c r="GL14" s="42">
        <v>11.4</v>
      </c>
      <c r="HG14" s="4"/>
      <c r="HN14" s="42">
        <v>11.4</v>
      </c>
      <c r="II14" s="4"/>
      <c r="IP14" s="42">
        <v>11.4</v>
      </c>
      <c r="JK14" s="4"/>
      <c r="JR14" s="42">
        <v>11.4</v>
      </c>
      <c r="KM14" s="4"/>
      <c r="KT14" s="42">
        <v>11.4</v>
      </c>
      <c r="LO14" s="4"/>
      <c r="LV14" s="42">
        <v>11.4</v>
      </c>
      <c r="MQ14" s="4"/>
      <c r="MX14" s="42">
        <v>11.4</v>
      </c>
      <c r="NS14" s="4"/>
      <c r="NZ14" s="42">
        <v>11.4</v>
      </c>
      <c r="OU14" s="4"/>
      <c r="PB14" s="42">
        <v>11.4</v>
      </c>
      <c r="PW14" s="4"/>
      <c r="QD14" s="42">
        <v>11.4</v>
      </c>
      <c r="QY14" s="4"/>
      <c r="RF14" s="42">
        <v>11.4</v>
      </c>
      <c r="RG14"/>
      <c r="SA14" s="4"/>
      <c r="SB14" s="36"/>
      <c r="SC14" s="36"/>
      <c r="SD14" s="36"/>
      <c r="SE14" s="36"/>
      <c r="SF14" s="36"/>
      <c r="SG14" s="36"/>
      <c r="SH14" s="42">
        <v>11.4</v>
      </c>
      <c r="TC14" s="4"/>
      <c r="TD14" s="36"/>
      <c r="TE14" s="36"/>
      <c r="TF14" s="36"/>
      <c r="TG14" s="36"/>
      <c r="TH14" s="36"/>
      <c r="TI14" s="36"/>
      <c r="TJ14" s="42">
        <v>11.4</v>
      </c>
    </row>
    <row r="15" spans="1:559" ht="17" x14ac:dyDescent="0.2">
      <c r="B15" s="30" t="s">
        <v>50</v>
      </c>
      <c r="R15" s="10"/>
      <c r="S15" s="10"/>
      <c r="T15" s="10"/>
      <c r="AP15" s="4"/>
      <c r="AW15" s="52">
        <v>17.7</v>
      </c>
      <c r="BS15" s="4"/>
      <c r="BZ15" s="52">
        <v>17.7</v>
      </c>
      <c r="CV15" s="4"/>
      <c r="DC15" s="52">
        <v>17.7</v>
      </c>
      <c r="EA15" s="4"/>
      <c r="EH15" s="52">
        <v>17.7</v>
      </c>
      <c r="FC15" s="4"/>
      <c r="FJ15" s="52">
        <v>17.7</v>
      </c>
      <c r="GE15" s="4"/>
      <c r="GL15" s="52">
        <v>17.7</v>
      </c>
      <c r="HG15" s="4"/>
      <c r="HN15" s="52">
        <v>17.7</v>
      </c>
      <c r="II15" s="4"/>
      <c r="IP15" s="52">
        <v>17.7</v>
      </c>
      <c r="JK15" s="4"/>
      <c r="JR15" s="52">
        <v>17.7</v>
      </c>
      <c r="KM15" s="4"/>
      <c r="KT15" s="52">
        <v>17.7</v>
      </c>
      <c r="LO15" s="4"/>
      <c r="LV15" s="52">
        <v>17.7</v>
      </c>
      <c r="MQ15" s="4"/>
      <c r="MX15" s="52">
        <v>17.7</v>
      </c>
      <c r="NS15" s="4"/>
      <c r="NZ15" s="52">
        <v>17.7</v>
      </c>
      <c r="OU15" s="4"/>
      <c r="PB15" s="52">
        <v>17.7</v>
      </c>
      <c r="PW15" s="4"/>
      <c r="QD15" s="52">
        <v>17.7</v>
      </c>
      <c r="QY15" s="4"/>
      <c r="RF15" s="52">
        <v>17.7</v>
      </c>
      <c r="RG15"/>
      <c r="SA15" s="4"/>
      <c r="SB15" s="36"/>
      <c r="SC15" s="36"/>
      <c r="SD15" s="36"/>
      <c r="SE15" s="36"/>
      <c r="SF15" s="36"/>
      <c r="SG15" s="36"/>
      <c r="SH15" s="52">
        <v>17.7</v>
      </c>
      <c r="TC15" s="4"/>
      <c r="TD15" s="36"/>
      <c r="TE15" s="36"/>
      <c r="TF15" s="36"/>
      <c r="TG15" s="36"/>
      <c r="TH15" s="36"/>
      <c r="TI15" s="36"/>
      <c r="TJ15" s="52">
        <v>17.7</v>
      </c>
    </row>
    <row r="16" spans="1:559" ht="17" x14ac:dyDescent="0.2">
      <c r="A16" s="5"/>
      <c r="B16" s="31" t="s">
        <v>63</v>
      </c>
      <c r="C16" s="20"/>
      <c r="R16" s="10"/>
      <c r="S16" s="10"/>
      <c r="T16" s="10"/>
      <c r="AP16" s="4"/>
      <c r="AW16" s="44">
        <v>20.7</v>
      </c>
      <c r="BS16" s="4"/>
      <c r="BZ16" s="44">
        <v>20.7</v>
      </c>
      <c r="CV16" s="4"/>
      <c r="DC16" s="44">
        <v>20.7</v>
      </c>
      <c r="EA16" s="4"/>
      <c r="EH16" s="44">
        <v>20.7</v>
      </c>
      <c r="FC16" s="4"/>
      <c r="FJ16" s="44">
        <v>20.7</v>
      </c>
      <c r="GE16" s="4"/>
      <c r="GL16" s="44">
        <v>20.7</v>
      </c>
      <c r="HG16" s="4"/>
      <c r="HN16" s="44">
        <v>20.7</v>
      </c>
      <c r="II16" s="4"/>
      <c r="IP16" s="44">
        <v>20.7</v>
      </c>
      <c r="JK16" s="4"/>
      <c r="JR16" s="44">
        <v>20.7</v>
      </c>
      <c r="KM16" s="4"/>
      <c r="KT16" s="44">
        <v>20.7</v>
      </c>
      <c r="LO16" s="4"/>
      <c r="LV16" s="44">
        <v>20.7</v>
      </c>
      <c r="MQ16" s="4"/>
      <c r="MX16" s="44">
        <v>20.7</v>
      </c>
      <c r="NS16" s="4"/>
      <c r="NZ16" s="44">
        <v>20.7</v>
      </c>
      <c r="OU16" s="4"/>
      <c r="PB16" s="44">
        <v>20.7</v>
      </c>
      <c r="PW16" s="4"/>
      <c r="QD16" s="44">
        <v>20.7</v>
      </c>
      <c r="QY16" s="4"/>
      <c r="RF16" s="44">
        <v>20.7</v>
      </c>
      <c r="RG16"/>
      <c r="SA16" s="4"/>
      <c r="SB16" s="36"/>
      <c r="SC16" s="36"/>
      <c r="SD16" s="36"/>
      <c r="SE16" s="36"/>
      <c r="SF16" s="36"/>
      <c r="SG16" s="36"/>
      <c r="SH16" s="44">
        <v>20.7</v>
      </c>
      <c r="TC16" s="4"/>
      <c r="TD16" s="36"/>
      <c r="TE16" s="36"/>
      <c r="TF16" s="36"/>
      <c r="TG16" s="36"/>
      <c r="TH16" s="36"/>
      <c r="TI16" s="36"/>
      <c r="TJ16" s="44">
        <v>20.7</v>
      </c>
    </row>
    <row r="17" spans="1:530" ht="17" x14ac:dyDescent="0.2">
      <c r="A17" s="5"/>
      <c r="B17" s="35" t="s">
        <v>76</v>
      </c>
      <c r="C17" s="20"/>
      <c r="R17" s="10"/>
      <c r="S17" s="10"/>
      <c r="T17" s="10"/>
      <c r="AP17" s="4"/>
      <c r="AW17" s="45">
        <v>20.7</v>
      </c>
      <c r="BS17" s="4"/>
      <c r="BZ17" s="45">
        <v>20.7</v>
      </c>
      <c r="CV17" s="4"/>
      <c r="DC17" s="45">
        <v>20.7</v>
      </c>
      <c r="EA17" s="4"/>
      <c r="EH17" s="45">
        <v>20.7</v>
      </c>
      <c r="FC17" s="4"/>
      <c r="FJ17" s="45">
        <v>20.7</v>
      </c>
      <c r="GE17" s="4"/>
      <c r="GL17" s="45">
        <v>20.7</v>
      </c>
      <c r="HG17" s="4"/>
      <c r="HN17" s="45">
        <v>20.7</v>
      </c>
      <c r="II17" s="4"/>
      <c r="IP17" s="45">
        <v>20.7</v>
      </c>
      <c r="JK17" s="4"/>
      <c r="JR17" s="45">
        <v>20.7</v>
      </c>
      <c r="KM17" s="4"/>
      <c r="KT17" s="45">
        <v>20.7</v>
      </c>
      <c r="LO17" s="4"/>
      <c r="LV17" s="45">
        <v>20.7</v>
      </c>
      <c r="MQ17" s="4"/>
      <c r="MX17" s="45">
        <v>20.7</v>
      </c>
      <c r="NS17" s="4"/>
      <c r="NZ17" s="45">
        <v>20.7</v>
      </c>
      <c r="OU17" s="4"/>
      <c r="PB17" s="45">
        <v>20.7</v>
      </c>
      <c r="PW17" s="4"/>
      <c r="QD17" s="45">
        <v>20.7</v>
      </c>
      <c r="QY17" s="4"/>
      <c r="RF17" s="45">
        <v>20.7</v>
      </c>
      <c r="RG17"/>
      <c r="SA17" s="4"/>
      <c r="SB17" s="36"/>
      <c r="SC17" s="36"/>
      <c r="SD17" s="36"/>
      <c r="SE17" s="36"/>
      <c r="SF17" s="36"/>
      <c r="SG17" s="36"/>
      <c r="SH17" s="45">
        <v>20.7</v>
      </c>
      <c r="TC17" s="4"/>
      <c r="TD17" s="36"/>
      <c r="TE17" s="36"/>
      <c r="TF17" s="36"/>
      <c r="TG17" s="36"/>
      <c r="TH17" s="36"/>
      <c r="TI17" s="36"/>
      <c r="TJ17" s="45">
        <v>20.7</v>
      </c>
    </row>
    <row r="18" spans="1:530" ht="17" x14ac:dyDescent="0.2">
      <c r="A18" s="5"/>
      <c r="B18" s="34" t="s">
        <v>48</v>
      </c>
      <c r="C18" s="20"/>
      <c r="R18" s="10"/>
      <c r="S18" s="10"/>
      <c r="T18" s="10"/>
      <c r="AP18" s="4"/>
      <c r="AW18" s="46">
        <v>46.2</v>
      </c>
      <c r="BS18" s="4"/>
      <c r="BZ18" s="46">
        <v>46.2</v>
      </c>
      <c r="CV18" s="4"/>
      <c r="DC18" s="46">
        <v>46.2</v>
      </c>
      <c r="EA18" s="4"/>
      <c r="EH18" s="46">
        <v>46.2</v>
      </c>
      <c r="FC18" s="4"/>
      <c r="FJ18" s="46">
        <v>46.2</v>
      </c>
      <c r="GE18" s="4"/>
      <c r="GL18" s="46">
        <v>46.2</v>
      </c>
      <c r="HG18" s="4"/>
      <c r="HN18" s="46">
        <v>46.2</v>
      </c>
      <c r="II18" s="4"/>
      <c r="IP18" s="46">
        <v>46.2</v>
      </c>
      <c r="JK18" s="4"/>
      <c r="JR18" s="46">
        <v>46.2</v>
      </c>
      <c r="KM18" s="4"/>
      <c r="KT18" s="46">
        <v>46.2</v>
      </c>
      <c r="LO18" s="4"/>
      <c r="LV18" s="46">
        <v>46.2</v>
      </c>
      <c r="MQ18" s="4"/>
      <c r="MX18" s="46">
        <v>46.2</v>
      </c>
      <c r="NS18" s="4"/>
      <c r="NZ18" s="46">
        <v>46.2</v>
      </c>
      <c r="OU18" s="4"/>
      <c r="PB18" s="46">
        <v>46.2</v>
      </c>
      <c r="PW18" s="4"/>
      <c r="QD18" s="46">
        <v>46.2</v>
      </c>
      <c r="QY18" s="4"/>
      <c r="RF18" s="46">
        <v>46.2</v>
      </c>
      <c r="RG18"/>
      <c r="SA18" s="4"/>
      <c r="SB18" s="36"/>
      <c r="SC18" s="36"/>
      <c r="SD18" s="36"/>
      <c r="SE18" s="36"/>
      <c r="SF18" s="36"/>
      <c r="SG18" s="36"/>
      <c r="SH18" s="46">
        <v>46.2</v>
      </c>
      <c r="TC18" s="4"/>
      <c r="TD18" s="36"/>
      <c r="TE18" s="36"/>
      <c r="TF18" s="36"/>
      <c r="TG18" s="36"/>
      <c r="TH18" s="36"/>
      <c r="TI18" s="36"/>
      <c r="TJ18" s="46">
        <v>46.2</v>
      </c>
    </row>
    <row r="19" spans="1:530" ht="17" x14ac:dyDescent="0.2">
      <c r="A19" s="5"/>
      <c r="B19" s="24" t="s">
        <v>49</v>
      </c>
      <c r="C19" s="20"/>
      <c r="R19" s="10"/>
      <c r="S19" s="10"/>
      <c r="T19" s="10"/>
      <c r="AP19" s="4"/>
      <c r="AW19" s="47">
        <v>70.5</v>
      </c>
      <c r="BS19" s="4"/>
      <c r="BZ19" s="47">
        <v>70.5</v>
      </c>
      <c r="CV19" s="4"/>
      <c r="DC19" s="47">
        <v>70.5</v>
      </c>
      <c r="EA19" s="4"/>
      <c r="EH19" s="47">
        <v>70.5</v>
      </c>
      <c r="FC19" s="4"/>
      <c r="FJ19" s="47">
        <v>70.5</v>
      </c>
      <c r="GE19" s="4"/>
      <c r="GL19" s="47">
        <v>70.5</v>
      </c>
      <c r="HG19" s="4"/>
      <c r="HN19" s="47">
        <v>70.5</v>
      </c>
      <c r="II19" s="4"/>
      <c r="IP19" s="47">
        <v>70.5</v>
      </c>
      <c r="JK19" s="4"/>
      <c r="JR19" s="47">
        <v>70.5</v>
      </c>
      <c r="KM19" s="4"/>
      <c r="KT19" s="47">
        <v>70.5</v>
      </c>
      <c r="LO19" s="4"/>
      <c r="LV19" s="47">
        <v>70.5</v>
      </c>
      <c r="MQ19" s="4"/>
      <c r="MX19" s="47">
        <v>70.5</v>
      </c>
      <c r="NS19" s="4"/>
      <c r="NZ19" s="47">
        <v>70.5</v>
      </c>
      <c r="OU19" s="4"/>
      <c r="PB19" s="47">
        <v>70.5</v>
      </c>
      <c r="PW19" s="4"/>
      <c r="QD19" s="47">
        <v>70.5</v>
      </c>
      <c r="QY19" s="4"/>
      <c r="RF19" s="47">
        <v>70.5</v>
      </c>
      <c r="RG19"/>
      <c r="SA19" s="4"/>
      <c r="SB19" s="36"/>
      <c r="SC19" s="36"/>
      <c r="SD19" s="36"/>
      <c r="SE19" s="36"/>
      <c r="SF19" s="36"/>
      <c r="SG19" s="36"/>
      <c r="SH19" s="47">
        <v>70.5</v>
      </c>
      <c r="TC19" s="4"/>
      <c r="TD19" s="36"/>
      <c r="TE19" s="36"/>
      <c r="TF19" s="36"/>
      <c r="TG19" s="36"/>
      <c r="TH19" s="36"/>
      <c r="TI19" s="36"/>
      <c r="TJ19" s="47">
        <v>70.5</v>
      </c>
    </row>
    <row r="20" spans="1:530" ht="17" x14ac:dyDescent="0.2">
      <c r="A20" s="5"/>
      <c r="B20" s="33" t="s">
        <v>62</v>
      </c>
      <c r="C20" s="20"/>
      <c r="R20" s="10"/>
      <c r="S20" s="10"/>
      <c r="T20" s="10"/>
      <c r="AP20" s="4"/>
      <c r="AW20" s="48">
        <v>74.400000000000006</v>
      </c>
      <c r="BS20" s="4"/>
      <c r="BZ20" s="48">
        <v>74.400000000000006</v>
      </c>
      <c r="CV20" s="4"/>
      <c r="DC20" s="48">
        <v>74.400000000000006</v>
      </c>
      <c r="EA20" s="4"/>
      <c r="EH20" s="48">
        <v>74.400000000000006</v>
      </c>
      <c r="FC20" s="4"/>
      <c r="FJ20" s="48">
        <v>74.400000000000006</v>
      </c>
      <c r="GE20" s="4"/>
      <c r="GL20" s="48">
        <v>74.400000000000006</v>
      </c>
      <c r="HG20" s="4"/>
      <c r="HN20" s="48">
        <v>74.400000000000006</v>
      </c>
      <c r="II20" s="4"/>
      <c r="IP20" s="48">
        <v>74.400000000000006</v>
      </c>
      <c r="JK20" s="4"/>
      <c r="JR20" s="48">
        <v>74.400000000000006</v>
      </c>
      <c r="KM20" s="4"/>
      <c r="KT20" s="48">
        <v>74.400000000000006</v>
      </c>
      <c r="LO20" s="4"/>
      <c r="LV20" s="48">
        <v>74.400000000000006</v>
      </c>
      <c r="MQ20" s="4"/>
      <c r="MX20" s="48">
        <v>74.400000000000006</v>
      </c>
      <c r="NS20" s="4"/>
      <c r="NZ20" s="48">
        <v>74.400000000000006</v>
      </c>
      <c r="OU20" s="4"/>
      <c r="PB20" s="48">
        <v>74.400000000000006</v>
      </c>
      <c r="PW20" s="4"/>
      <c r="QD20" s="48">
        <v>74.400000000000006</v>
      </c>
      <c r="QY20" s="4"/>
      <c r="RF20" s="48">
        <v>74.400000000000006</v>
      </c>
      <c r="RG20"/>
      <c r="SA20" s="4"/>
      <c r="SB20" s="36"/>
      <c r="SC20" s="36"/>
      <c r="SD20" s="36"/>
      <c r="SE20" s="36"/>
      <c r="SF20" s="36"/>
      <c r="SG20" s="36"/>
      <c r="SH20" s="48">
        <v>74.400000000000006</v>
      </c>
      <c r="TC20" s="4"/>
      <c r="TD20" s="36"/>
      <c r="TE20" s="36"/>
      <c r="TF20" s="36"/>
      <c r="TG20" s="36"/>
      <c r="TH20" s="36"/>
      <c r="TI20" s="36"/>
      <c r="TJ20" s="48">
        <v>74.400000000000006</v>
      </c>
    </row>
    <row r="21" spans="1:530" ht="17" x14ac:dyDescent="0.2">
      <c r="A21" s="5"/>
      <c r="B21" s="25" t="s">
        <v>32</v>
      </c>
      <c r="C21" s="20"/>
      <c r="R21" s="10"/>
      <c r="S21" s="10"/>
      <c r="T21" s="10"/>
      <c r="AP21" s="4"/>
      <c r="AW21" s="49">
        <v>76.7</v>
      </c>
      <c r="BS21" s="4"/>
      <c r="BZ21" s="49">
        <v>76.7</v>
      </c>
      <c r="CV21" s="4"/>
      <c r="DC21" s="49">
        <v>76.7</v>
      </c>
      <c r="EA21" s="4"/>
      <c r="EH21" s="49">
        <v>76.7</v>
      </c>
      <c r="FC21" s="4"/>
      <c r="FJ21" s="49">
        <v>76.7</v>
      </c>
      <c r="GE21" s="4"/>
      <c r="GL21" s="49">
        <v>76.7</v>
      </c>
      <c r="HG21" s="4"/>
      <c r="HN21" s="49">
        <v>76.7</v>
      </c>
      <c r="II21" s="4"/>
      <c r="IP21" s="49">
        <v>76.7</v>
      </c>
      <c r="JK21" s="4"/>
      <c r="JR21" s="49">
        <v>76.7</v>
      </c>
      <c r="KM21" s="4"/>
      <c r="KT21" s="49">
        <v>76.7</v>
      </c>
      <c r="LO21" s="4"/>
      <c r="LV21" s="49">
        <v>76.7</v>
      </c>
      <c r="MQ21" s="4"/>
      <c r="MX21" s="49">
        <v>76.7</v>
      </c>
      <c r="NS21" s="4"/>
      <c r="NZ21" s="49">
        <v>76.7</v>
      </c>
      <c r="OU21" s="4"/>
      <c r="PB21" s="49">
        <v>76.7</v>
      </c>
      <c r="PW21" s="4"/>
      <c r="QD21" s="49">
        <v>76.7</v>
      </c>
      <c r="QY21" s="4"/>
      <c r="RF21" s="49">
        <v>76.7</v>
      </c>
      <c r="RG21"/>
      <c r="SA21" s="4"/>
      <c r="SB21" s="36"/>
      <c r="SC21" s="36"/>
      <c r="SD21" s="36"/>
      <c r="SE21" s="36"/>
      <c r="SF21" s="36"/>
      <c r="SG21" s="36"/>
      <c r="SH21" s="49">
        <v>76.7</v>
      </c>
      <c r="TC21" s="4"/>
      <c r="TD21" s="36"/>
      <c r="TE21" s="36"/>
      <c r="TF21" s="36"/>
      <c r="TG21" s="36"/>
      <c r="TH21" s="36"/>
      <c r="TI21" s="36"/>
      <c r="TJ21" s="49">
        <v>76.7</v>
      </c>
    </row>
    <row r="22" spans="1:530" x14ac:dyDescent="0.2">
      <c r="B22" s="29" t="s">
        <v>54</v>
      </c>
      <c r="C22" s="2"/>
    </row>
    <row r="23" spans="1:530" x14ac:dyDescent="0.2">
      <c r="A23" s="5"/>
      <c r="B23" s="5"/>
      <c r="C23" s="20"/>
      <c r="QF23" s="2"/>
      <c r="QG23" s="2"/>
      <c r="QH23" s="2"/>
      <c r="QI23" s="2"/>
      <c r="QJ23" s="2"/>
      <c r="QK23" s="2"/>
      <c r="QL23" s="2"/>
      <c r="QM23" s="2"/>
      <c r="QN23" s="2"/>
    </row>
    <row r="24" spans="1:530" x14ac:dyDescent="0.2">
      <c r="A24" s="5"/>
      <c r="B24" s="5"/>
      <c r="C24" s="20"/>
    </row>
    <row r="25" spans="1:530" x14ac:dyDescent="0.2">
      <c r="A25" s="5"/>
      <c r="B25" s="5"/>
      <c r="C25" s="20"/>
    </row>
    <row r="26" spans="1:530" x14ac:dyDescent="0.2">
      <c r="A26" s="5"/>
      <c r="B26" s="5"/>
      <c r="C26" s="5"/>
    </row>
    <row r="29" spans="1:530" x14ac:dyDescent="0.2">
      <c r="B29" s="60"/>
    </row>
  </sheetData>
  <sheetProtection sheet="1" formatCells="0" formatColumns="0" formatRows="0"/>
  <autoFilter ref="A1:UM1" xr:uid="{562C6DCA-CC42-3044-B5F7-4065DAFFC028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sortState xmlns:xlrd2="http://schemas.microsoft.com/office/spreadsheetml/2017/richdata2" ref="A6:UM11">
      <sortCondition descending="1" ref="F1:F12"/>
    </sortState>
  </autoFilter>
  <mergeCells count="135">
    <mergeCell ref="SI1:TJ1"/>
    <mergeCell ref="SI2:SL2"/>
    <mergeCell ref="SM2:SP2"/>
    <mergeCell ref="SQ2:ST2"/>
    <mergeCell ref="SU2:SX2"/>
    <mergeCell ref="SY2:TB2"/>
    <mergeCell ref="QE1:RF1"/>
    <mergeCell ref="RG1:SH1"/>
    <mergeCell ref="QE2:QH2"/>
    <mergeCell ref="QI2:QL2"/>
    <mergeCell ref="QM2:QP2"/>
    <mergeCell ref="QQ2:QT2"/>
    <mergeCell ref="QU2:QX2"/>
    <mergeCell ref="RG2:RJ2"/>
    <mergeCell ref="RK2:RN2"/>
    <mergeCell ref="RO2:RR2"/>
    <mergeCell ref="RS2:RV2"/>
    <mergeCell ref="RW2:RZ2"/>
    <mergeCell ref="UA2:UD2"/>
    <mergeCell ref="PO2:PR2"/>
    <mergeCell ref="PS2:PV2"/>
    <mergeCell ref="TK2:TN2"/>
    <mergeCell ref="TO2:TR2"/>
    <mergeCell ref="TS2:TV2"/>
    <mergeCell ref="TW2:TZ2"/>
    <mergeCell ref="OI2:OL2"/>
    <mergeCell ref="OM2:OP2"/>
    <mergeCell ref="OQ2:OT2"/>
    <mergeCell ref="PC2:PF2"/>
    <mergeCell ref="PG2:PJ2"/>
    <mergeCell ref="PK2:PN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TK1:UM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11">
    <cfRule type="expression" dxfId="155" priority="61" stopIfTrue="1">
      <formula>IF($AO4&lt;&gt;"",1,0)</formula>
    </cfRule>
  </conditionalFormatting>
  <conditionalFormatting sqref="AX4:BZ11">
    <cfRule type="expression" dxfId="154" priority="60" stopIfTrue="1">
      <formula>IF($BR4&lt;&gt;"",1,0)</formula>
    </cfRule>
  </conditionalFormatting>
  <conditionalFormatting sqref="M1:M3 O1:O3 K1:K1048576 Q1:Q1048576 M4:O1048576">
    <cfRule type="expression" dxfId="153" priority="57">
      <formula>IF(K1=$CA$1,1,0)</formula>
    </cfRule>
    <cfRule type="expression" dxfId="152" priority="58">
      <formula>IF(K1=$AX$1,1,0)</formula>
    </cfRule>
    <cfRule type="expression" dxfId="151" priority="59">
      <formula>IF(K1=$U$1,1,0)</formula>
    </cfRule>
  </conditionalFormatting>
  <conditionalFormatting sqref="CA4:DC11">
    <cfRule type="expression" dxfId="150" priority="47" stopIfTrue="1">
      <formula>IF($CU4&lt;&gt;"",1,0)</formula>
    </cfRule>
  </conditionalFormatting>
  <conditionalFormatting sqref="A4:A1048576">
    <cfRule type="expression" dxfId="149" priority="33">
      <formula>AND(G4="P",F4="")</formula>
    </cfRule>
    <cfRule type="expression" dxfId="148" priority="55" stopIfTrue="1">
      <formula>IF(A4&gt;8,1,0)</formula>
    </cfRule>
  </conditionalFormatting>
  <conditionalFormatting sqref="H1:H1048576">
    <cfRule type="containsText" dxfId="147" priority="50" operator="containsText" text="No DD">
      <formula>NOT(ISERROR(SEARCH("No DD",H1)))</formula>
    </cfRule>
    <cfRule type="containsText" dxfId="146" priority="51" operator="containsText" text="Merit">
      <formula>NOT(ISERROR(SEARCH("Merit",H1)))</formula>
    </cfRule>
    <cfRule type="containsText" dxfId="145" priority="52" operator="containsText" text="Excellence">
      <formula>NOT(ISERROR(SEARCH("Excellence",H1)))</formula>
    </cfRule>
    <cfRule type="containsText" dxfId="144" priority="53" operator="containsText" text="Worlds Team">
      <formula>NOT(ISERROR(SEARCH("Worlds Team",H1)))</formula>
    </cfRule>
    <cfRule type="containsText" dxfId="143" priority="54" operator="containsText" text="National Team">
      <formula>NOT(ISERROR(SEARCH("National Team",H1)))</formula>
    </cfRule>
  </conditionalFormatting>
  <conditionalFormatting sqref="AT22:AT1048576 BW22:BW1048576 EE22:EE1048576 BW1:BW20 CZ1:CZ1048576 EE1:EE20 FG1:FG1048576 GI1:GI1048576 HK1:HK1048576 IM1:IM1048576 JO1:JO1048576 KQ1:KQ1048576 LS1:LS1048576 MU1:MU1048576 NW1:NW1048576 OY1:OY1048576 QA1:QA1048576 AT1:AT20 SE1:SE21 RC1:RC21 TG1:TG21">
    <cfRule type="cellIs" dxfId="142" priority="48" operator="between">
      <formula>AW$21</formula>
      <formula>1000</formula>
    </cfRule>
    <cfRule type="cellIs" dxfId="141" priority="49" operator="between">
      <formula>AW$20</formula>
      <formula>AW$21</formula>
    </cfRule>
    <cfRule type="cellIs" dxfId="140" priority="56" operator="between">
      <formula>AW$19</formula>
      <formula>AW$20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 QY1:QY21 SA1:SA21 TC1:TC21">
    <cfRule type="cellIs" dxfId="139" priority="124621" operator="between">
      <formula>AW$14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 QZ1:QZ21 SB1:SB21 TD1:TD21">
    <cfRule type="cellIs" dxfId="138" priority="124672" operator="between">
      <formula>AW$18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 SF1:SF21 RD1:RD21 TH1:TH21">
    <cfRule type="cellIs" dxfId="137" priority="124723" operator="between">
      <formula>AW$14</formula>
      <formula>AW$15</formula>
    </cfRule>
    <cfRule type="cellIs" dxfId="136" priority="124724" operator="between">
      <formula>AW$15</formula>
      <formula>AW$16</formula>
    </cfRule>
    <cfRule type="cellIs" dxfId="135" priority="124725" operator="between">
      <formula>AW$16</formula>
      <formula>AW$17</formula>
    </cfRule>
    <cfRule type="cellIs" dxfId="134" priority="124726" operator="between">
      <formula>AW$17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 SG1:SG21 RE1:RE21 TI1:TI21">
    <cfRule type="cellIs" dxfId="133" priority="124927" operator="between">
      <formula>AW$18</formula>
      <formula>AW$19</formula>
    </cfRule>
    <cfRule type="cellIs" dxfId="132" priority="124928" operator="between">
      <formula>AW$19</formula>
      <formula>AW$20</formula>
    </cfRule>
    <cfRule type="cellIs" dxfId="131" priority="124929" operator="between">
      <formula>AW$20</formula>
      <formula>AW$21</formula>
    </cfRule>
    <cfRule type="cellIs" dxfId="130" priority="124930" operator="between">
      <formula>AW$21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 SD1:SD21 RB1:RB21 TF1:TF21">
    <cfRule type="cellIs" dxfId="129" priority="125131" operator="between">
      <formula>AW$17</formula>
      <formula>1000</formula>
    </cfRule>
    <cfRule type="cellIs" dxfId="128" priority="125132" operator="between">
      <formula>AW$16</formula>
      <formula>AW$17</formula>
    </cfRule>
    <cfRule type="cellIs" dxfId="127" priority="125133" operator="between">
      <formula>AW$15</formula>
      <formula>AW$16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UM3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hidden="1" customWidth="1"/>
    <col min="195" max="214" width="10.83203125" hidden="1" customWidth="1"/>
    <col min="215" max="222" width="10.83203125" style="36" hidden="1" customWidth="1"/>
    <col min="223" max="242" width="10.83203125" hidden="1" customWidth="1"/>
    <col min="243" max="250" width="10.83203125" style="36" hidden="1" customWidth="1"/>
    <col min="251" max="270" width="10.83203125" hidden="1" customWidth="1"/>
    <col min="271" max="278" width="10.83203125" style="36" hidden="1" customWidth="1"/>
    <col min="279" max="298" width="10.83203125" hidden="1" customWidth="1"/>
    <col min="299" max="306" width="10.83203125" style="36" hidden="1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  <col min="476" max="559" width="10.83203125" hidden="1" customWidth="1"/>
  </cols>
  <sheetData>
    <row r="1" spans="1:559" ht="16" customHeight="1" x14ac:dyDescent="0.2">
      <c r="A1" s="64" t="s">
        <v>1</v>
      </c>
      <c r="B1" s="64" t="s">
        <v>27</v>
      </c>
      <c r="C1" s="64" t="s">
        <v>0</v>
      </c>
      <c r="D1" s="64" t="s">
        <v>55</v>
      </c>
      <c r="E1" s="64" t="s">
        <v>2</v>
      </c>
      <c r="F1" s="65" t="s">
        <v>61</v>
      </c>
      <c r="G1" s="65" t="s">
        <v>10</v>
      </c>
      <c r="H1" s="64" t="s">
        <v>11</v>
      </c>
      <c r="I1" s="65" t="s">
        <v>83</v>
      </c>
      <c r="J1" s="70" t="s">
        <v>114</v>
      </c>
      <c r="K1" s="66" t="s">
        <v>30</v>
      </c>
      <c r="L1" s="70" t="s">
        <v>115</v>
      </c>
      <c r="M1" s="66" t="s">
        <v>30</v>
      </c>
      <c r="N1" s="70" t="s">
        <v>116</v>
      </c>
      <c r="O1" s="66" t="s">
        <v>30</v>
      </c>
      <c r="P1" s="66" t="s">
        <v>12</v>
      </c>
      <c r="Q1" s="66" t="s">
        <v>30</v>
      </c>
      <c r="R1" s="69" t="s">
        <v>13</v>
      </c>
      <c r="S1" s="66" t="s">
        <v>31</v>
      </c>
      <c r="T1" s="66" t="s">
        <v>30</v>
      </c>
      <c r="U1" s="67" t="s">
        <v>193</v>
      </c>
      <c r="V1" s="67"/>
      <c r="W1" s="67"/>
      <c r="X1" s="67"/>
      <c r="Y1" s="67"/>
      <c r="Z1" s="67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7"/>
      <c r="AT1" s="67"/>
      <c r="AU1" s="67"/>
      <c r="AV1" s="67"/>
      <c r="AW1" s="67"/>
      <c r="AX1" s="72" t="s">
        <v>232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67" t="s">
        <v>253</v>
      </c>
      <c r="CB1" s="67"/>
      <c r="CC1" s="67"/>
      <c r="CD1" s="67"/>
      <c r="CE1" s="67"/>
      <c r="CF1" s="67"/>
      <c r="CG1" s="67"/>
      <c r="CH1" s="67"/>
      <c r="CI1" s="67"/>
      <c r="CJ1" s="67"/>
      <c r="CK1" s="67"/>
      <c r="CL1" s="67"/>
      <c r="CM1" s="67"/>
      <c r="CN1" s="67"/>
      <c r="CO1" s="67"/>
      <c r="CP1" s="67"/>
      <c r="CQ1" s="67"/>
      <c r="CR1" s="67"/>
      <c r="CS1" s="67"/>
      <c r="CT1" s="67"/>
      <c r="CU1" s="67"/>
      <c r="CV1" s="67"/>
      <c r="CW1" s="67"/>
      <c r="CX1" s="67"/>
      <c r="CY1" s="67"/>
      <c r="CZ1" s="67"/>
      <c r="DA1" s="67"/>
      <c r="DB1" s="67"/>
      <c r="DC1" s="67"/>
      <c r="DD1" s="73" t="s">
        <v>60</v>
      </c>
      <c r="DE1" s="73"/>
      <c r="DF1" s="73"/>
      <c r="DG1" s="67" t="s">
        <v>245</v>
      </c>
      <c r="DH1" s="67"/>
      <c r="DI1" s="67"/>
      <c r="DJ1" s="67"/>
      <c r="DK1" s="67"/>
      <c r="DL1" s="67"/>
      <c r="DM1" s="67"/>
      <c r="DN1" s="67"/>
      <c r="DO1" s="67"/>
      <c r="DP1" s="67"/>
      <c r="DQ1" s="67"/>
      <c r="DR1" s="67"/>
      <c r="DS1" s="67"/>
      <c r="DT1" s="67"/>
      <c r="DU1" s="67"/>
      <c r="DV1" s="67"/>
      <c r="DW1" s="67"/>
      <c r="DX1" s="67"/>
      <c r="DY1" s="67"/>
      <c r="DZ1" s="67"/>
      <c r="EA1" s="67"/>
      <c r="EB1" s="67"/>
      <c r="EC1" s="67"/>
      <c r="ED1" s="67"/>
      <c r="EE1" s="67"/>
      <c r="EF1" s="67"/>
      <c r="EG1" s="67"/>
      <c r="EH1" s="67"/>
      <c r="EI1" s="72" t="s">
        <v>244</v>
      </c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67"/>
      <c r="FL1" s="67"/>
      <c r="FM1" s="67"/>
      <c r="FN1" s="67"/>
      <c r="FO1" s="67"/>
      <c r="FP1" s="67"/>
      <c r="FQ1" s="67"/>
      <c r="FR1" s="67"/>
      <c r="FS1" s="67"/>
      <c r="FT1" s="67"/>
      <c r="FU1" s="67"/>
      <c r="FV1" s="67"/>
      <c r="FW1" s="67"/>
      <c r="FX1" s="67"/>
      <c r="FY1" s="67"/>
      <c r="FZ1" s="67"/>
      <c r="GA1" s="67"/>
      <c r="GB1" s="67"/>
      <c r="GC1" s="67"/>
      <c r="GD1" s="67"/>
      <c r="GE1" s="67"/>
      <c r="GF1" s="67"/>
      <c r="GG1" s="67"/>
      <c r="GH1" s="67"/>
      <c r="GI1" s="67"/>
      <c r="GJ1" s="67"/>
      <c r="GK1" s="67"/>
      <c r="GL1" s="67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67"/>
      <c r="HP1" s="67"/>
      <c r="HQ1" s="67"/>
      <c r="HR1" s="67"/>
      <c r="HS1" s="67"/>
      <c r="HT1" s="67"/>
      <c r="HU1" s="67"/>
      <c r="HV1" s="67"/>
      <c r="HW1" s="67"/>
      <c r="HX1" s="67"/>
      <c r="HY1" s="67"/>
      <c r="HZ1" s="67"/>
      <c r="IA1" s="67"/>
      <c r="IB1" s="67"/>
      <c r="IC1" s="67"/>
      <c r="ID1" s="67"/>
      <c r="IE1" s="67"/>
      <c r="IF1" s="67"/>
      <c r="IG1" s="67"/>
      <c r="IH1" s="67"/>
      <c r="II1" s="67"/>
      <c r="IJ1" s="67"/>
      <c r="IK1" s="67"/>
      <c r="IL1" s="67"/>
      <c r="IM1" s="67"/>
      <c r="IN1" s="67"/>
      <c r="IO1" s="67"/>
      <c r="IP1" s="67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67"/>
      <c r="JT1" s="67"/>
      <c r="JU1" s="67"/>
      <c r="JV1" s="67"/>
      <c r="JW1" s="67"/>
      <c r="JX1" s="67"/>
      <c r="JY1" s="67"/>
      <c r="JZ1" s="67"/>
      <c r="KA1" s="67"/>
      <c r="KB1" s="67"/>
      <c r="KC1" s="67"/>
      <c r="KD1" s="67"/>
      <c r="KE1" s="67"/>
      <c r="KF1" s="67"/>
      <c r="KG1" s="67"/>
      <c r="KH1" s="67"/>
      <c r="KI1" s="67"/>
      <c r="KJ1" s="67"/>
      <c r="KK1" s="67"/>
      <c r="KL1" s="67"/>
      <c r="KM1" s="67"/>
      <c r="KN1" s="67"/>
      <c r="KO1" s="67"/>
      <c r="KP1" s="67"/>
      <c r="KQ1" s="67"/>
      <c r="KR1" s="67"/>
      <c r="KS1" s="67"/>
      <c r="KT1" s="67"/>
      <c r="KU1" s="72"/>
      <c r="KV1" s="72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67"/>
      <c r="LX1" s="67"/>
      <c r="LY1" s="67"/>
      <c r="LZ1" s="67"/>
      <c r="MA1" s="67"/>
      <c r="MB1" s="67"/>
      <c r="MC1" s="67"/>
      <c r="MD1" s="67"/>
      <c r="ME1" s="67"/>
      <c r="MF1" s="67"/>
      <c r="MG1" s="67"/>
      <c r="MH1" s="67"/>
      <c r="MI1" s="67"/>
      <c r="MJ1" s="67"/>
      <c r="MK1" s="67"/>
      <c r="ML1" s="67"/>
      <c r="MM1" s="67"/>
      <c r="MN1" s="67"/>
      <c r="MO1" s="67"/>
      <c r="MP1" s="67"/>
      <c r="MQ1" s="67"/>
      <c r="MR1" s="67"/>
      <c r="MS1" s="67"/>
      <c r="MT1" s="67"/>
      <c r="MU1" s="67"/>
      <c r="MV1" s="67"/>
      <c r="MW1" s="67"/>
      <c r="MX1" s="67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67"/>
      <c r="OB1" s="67"/>
      <c r="OC1" s="67"/>
      <c r="OD1" s="67"/>
      <c r="OE1" s="67"/>
      <c r="OF1" s="67"/>
      <c r="OG1" s="67"/>
      <c r="OH1" s="67"/>
      <c r="OI1" s="67"/>
      <c r="OJ1" s="67"/>
      <c r="OK1" s="67"/>
      <c r="OL1" s="67"/>
      <c r="OM1" s="67"/>
      <c r="ON1" s="67"/>
      <c r="OO1" s="67"/>
      <c r="OP1" s="67"/>
      <c r="OQ1" s="67"/>
      <c r="OR1" s="67"/>
      <c r="OS1" s="67"/>
      <c r="OT1" s="67"/>
      <c r="OU1" s="67"/>
      <c r="OV1" s="67"/>
      <c r="OW1" s="67"/>
      <c r="OX1" s="67"/>
      <c r="OY1" s="67"/>
      <c r="OZ1" s="67"/>
      <c r="PA1" s="67"/>
      <c r="PB1" s="67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67"/>
      <c r="QF1" s="67"/>
      <c r="QG1" s="67"/>
      <c r="QH1" s="67"/>
      <c r="QI1" s="67"/>
      <c r="QJ1" s="67"/>
      <c r="QK1" s="67"/>
      <c r="QL1" s="67"/>
      <c r="QM1" s="67"/>
      <c r="QN1" s="67"/>
      <c r="QO1" s="67"/>
      <c r="QP1" s="67"/>
      <c r="QQ1" s="67"/>
      <c r="QR1" s="67"/>
      <c r="QS1" s="67"/>
      <c r="QT1" s="67"/>
      <c r="QU1" s="67"/>
      <c r="QV1" s="67"/>
      <c r="QW1" s="67"/>
      <c r="QX1" s="67"/>
      <c r="QY1" s="67"/>
      <c r="QZ1" s="67"/>
      <c r="RA1" s="67"/>
      <c r="RB1" s="67"/>
      <c r="RC1" s="67"/>
      <c r="RD1" s="67"/>
      <c r="RE1" s="67"/>
      <c r="RF1" s="67"/>
      <c r="RG1" s="72"/>
      <c r="RH1" s="72"/>
      <c r="RI1" s="72"/>
      <c r="RJ1" s="72"/>
      <c r="RK1" s="72"/>
      <c r="RL1" s="72"/>
      <c r="RM1" s="72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67"/>
      <c r="SJ1" s="67"/>
      <c r="SK1" s="67"/>
      <c r="SL1" s="67"/>
      <c r="SM1" s="67"/>
      <c r="SN1" s="67"/>
      <c r="SO1" s="67"/>
      <c r="SP1" s="67"/>
      <c r="SQ1" s="67"/>
      <c r="SR1" s="67"/>
      <c r="SS1" s="67"/>
      <c r="ST1" s="67"/>
      <c r="SU1" s="67"/>
      <c r="SV1" s="67"/>
      <c r="SW1" s="67"/>
      <c r="SX1" s="67"/>
      <c r="SY1" s="67"/>
      <c r="SZ1" s="67"/>
      <c r="TA1" s="67"/>
      <c r="TB1" s="67"/>
      <c r="TC1" s="67"/>
      <c r="TD1" s="67"/>
      <c r="TE1" s="67"/>
      <c r="TF1" s="67"/>
      <c r="TG1" s="67"/>
      <c r="TH1" s="67"/>
      <c r="TI1" s="67"/>
      <c r="TJ1" s="67"/>
      <c r="TK1" s="72" t="s">
        <v>64</v>
      </c>
      <c r="TL1" s="72"/>
      <c r="TM1" s="72"/>
      <c r="TN1" s="72"/>
      <c r="TO1" s="72"/>
      <c r="TP1" s="72"/>
      <c r="TQ1" s="72"/>
      <c r="TR1" s="72"/>
      <c r="TS1" s="72"/>
      <c r="TT1" s="72"/>
      <c r="TU1" s="72"/>
      <c r="TV1" s="72"/>
      <c r="TW1" s="72"/>
      <c r="TX1" s="72"/>
      <c r="TY1" s="72"/>
      <c r="TZ1" s="72"/>
      <c r="UA1" s="72"/>
      <c r="UB1" s="72"/>
      <c r="UC1" s="72"/>
      <c r="UD1" s="72"/>
      <c r="UE1" s="72"/>
      <c r="UF1" s="72"/>
      <c r="UG1" s="72"/>
      <c r="UH1" s="72"/>
      <c r="UI1" s="72"/>
      <c r="UJ1" s="72"/>
      <c r="UK1" s="72"/>
      <c r="UL1" s="72"/>
      <c r="UM1" s="72"/>
    </row>
    <row r="2" spans="1:559" x14ac:dyDescent="0.2">
      <c r="A2" s="64"/>
      <c r="B2" s="64"/>
      <c r="C2" s="64"/>
      <c r="D2" s="64"/>
      <c r="E2" s="64"/>
      <c r="F2" s="65"/>
      <c r="G2" s="65"/>
      <c r="H2" s="64"/>
      <c r="I2" s="65"/>
      <c r="J2" s="70"/>
      <c r="K2" s="66"/>
      <c r="L2" s="70"/>
      <c r="M2" s="66"/>
      <c r="N2" s="70"/>
      <c r="O2" s="66"/>
      <c r="P2" s="66"/>
      <c r="Q2" s="66"/>
      <c r="R2" s="69"/>
      <c r="S2" s="66"/>
      <c r="T2" s="66"/>
      <c r="U2" s="68" t="s">
        <v>106</v>
      </c>
      <c r="V2" s="68"/>
      <c r="W2" s="68"/>
      <c r="X2" s="68"/>
      <c r="Y2" s="68" t="s">
        <v>107</v>
      </c>
      <c r="Z2" s="68"/>
      <c r="AA2" s="68"/>
      <c r="AB2" s="68"/>
      <c r="AC2" s="68" t="s">
        <v>108</v>
      </c>
      <c r="AD2" s="68"/>
      <c r="AE2" s="68"/>
      <c r="AF2" s="68"/>
      <c r="AG2" s="68" t="s">
        <v>109</v>
      </c>
      <c r="AH2" s="68"/>
      <c r="AI2" s="68"/>
      <c r="AJ2" s="68"/>
      <c r="AK2" s="75" t="s">
        <v>110</v>
      </c>
      <c r="AL2" s="75"/>
      <c r="AM2" s="75"/>
      <c r="AN2" s="75"/>
      <c r="AO2" s="14"/>
      <c r="AP2" s="14" t="s">
        <v>111</v>
      </c>
      <c r="AQ2" s="14" t="s">
        <v>112</v>
      </c>
      <c r="AR2" s="14" t="s">
        <v>108</v>
      </c>
      <c r="AS2" s="14" t="s">
        <v>117</v>
      </c>
      <c r="AT2" s="14" t="s">
        <v>23</v>
      </c>
      <c r="AU2" s="14" t="s">
        <v>66</v>
      </c>
      <c r="AV2" s="14" t="s">
        <v>113</v>
      </c>
      <c r="AW2" s="14" t="s">
        <v>17</v>
      </c>
      <c r="AX2" s="71" t="s">
        <v>106</v>
      </c>
      <c r="AY2" s="71"/>
      <c r="AZ2" s="71"/>
      <c r="BA2" s="71"/>
      <c r="BB2" s="71" t="s">
        <v>107</v>
      </c>
      <c r="BC2" s="71"/>
      <c r="BD2" s="71"/>
      <c r="BE2" s="71"/>
      <c r="BF2" s="71" t="s">
        <v>108</v>
      </c>
      <c r="BG2" s="71"/>
      <c r="BH2" s="71"/>
      <c r="BI2" s="71"/>
      <c r="BJ2" s="71" t="s">
        <v>109</v>
      </c>
      <c r="BK2" s="71"/>
      <c r="BL2" s="71"/>
      <c r="BM2" s="71"/>
      <c r="BN2" s="74" t="s">
        <v>110</v>
      </c>
      <c r="BO2" s="74"/>
      <c r="BP2" s="74"/>
      <c r="BQ2" s="74"/>
      <c r="BR2" s="13"/>
      <c r="BS2" s="13" t="s">
        <v>111</v>
      </c>
      <c r="BT2" s="13" t="s">
        <v>112</v>
      </c>
      <c r="BU2" s="13" t="s">
        <v>108</v>
      </c>
      <c r="BV2" s="13" t="s">
        <v>117</v>
      </c>
      <c r="BW2" s="13" t="s">
        <v>23</v>
      </c>
      <c r="BX2" s="13" t="s">
        <v>66</v>
      </c>
      <c r="BY2" s="13" t="s">
        <v>113</v>
      </c>
      <c r="BZ2" s="13" t="s">
        <v>17</v>
      </c>
      <c r="CA2" s="68" t="s">
        <v>106</v>
      </c>
      <c r="CB2" s="68"/>
      <c r="CC2" s="68"/>
      <c r="CD2" s="68"/>
      <c r="CE2" s="68" t="s">
        <v>107</v>
      </c>
      <c r="CF2" s="68"/>
      <c r="CG2" s="68"/>
      <c r="CH2" s="68"/>
      <c r="CI2" s="68" t="s">
        <v>108</v>
      </c>
      <c r="CJ2" s="68"/>
      <c r="CK2" s="68"/>
      <c r="CL2" s="68"/>
      <c r="CM2" s="68" t="s">
        <v>109</v>
      </c>
      <c r="CN2" s="68"/>
      <c r="CO2" s="68"/>
      <c r="CP2" s="68"/>
      <c r="CQ2" s="75" t="s">
        <v>110</v>
      </c>
      <c r="CR2" s="75"/>
      <c r="CS2" s="75"/>
      <c r="CT2" s="75"/>
      <c r="CU2" s="14"/>
      <c r="CV2" s="14" t="s">
        <v>111</v>
      </c>
      <c r="CW2" s="14" t="s">
        <v>112</v>
      </c>
      <c r="CX2" s="14" t="s">
        <v>108</v>
      </c>
      <c r="CY2" s="14" t="s">
        <v>117</v>
      </c>
      <c r="CZ2" s="14" t="s">
        <v>23</v>
      </c>
      <c r="DA2" s="14" t="s">
        <v>66</v>
      </c>
      <c r="DB2" s="14" t="s">
        <v>113</v>
      </c>
      <c r="DC2" s="14" t="s">
        <v>17</v>
      </c>
      <c r="DD2" s="50" t="s">
        <v>112</v>
      </c>
      <c r="DE2" s="50" t="s">
        <v>108</v>
      </c>
      <c r="DF2" s="50" t="s">
        <v>22</v>
      </c>
      <c r="DG2" s="68" t="s">
        <v>106</v>
      </c>
      <c r="DH2" s="68"/>
      <c r="DI2" s="68"/>
      <c r="DJ2" s="68"/>
      <c r="DK2" s="68" t="s">
        <v>107</v>
      </c>
      <c r="DL2" s="68"/>
      <c r="DM2" s="68"/>
      <c r="DN2" s="68"/>
      <c r="DO2" s="68" t="s">
        <v>108</v>
      </c>
      <c r="DP2" s="68"/>
      <c r="DQ2" s="68"/>
      <c r="DR2" s="68"/>
      <c r="DS2" s="68" t="s">
        <v>109</v>
      </c>
      <c r="DT2" s="68"/>
      <c r="DU2" s="68"/>
      <c r="DV2" s="68"/>
      <c r="DW2" s="76" t="s">
        <v>110</v>
      </c>
      <c r="DX2" s="76"/>
      <c r="DY2" s="76"/>
      <c r="DZ2" s="76"/>
      <c r="EA2" s="14" t="s">
        <v>111</v>
      </c>
      <c r="EB2" s="14" t="s">
        <v>112</v>
      </c>
      <c r="EC2" s="14" t="s">
        <v>108</v>
      </c>
      <c r="ED2" s="14" t="s">
        <v>117</v>
      </c>
      <c r="EE2" s="14" t="s">
        <v>23</v>
      </c>
      <c r="EF2" s="14" t="s">
        <v>66</v>
      </c>
      <c r="EG2" s="14" t="s">
        <v>113</v>
      </c>
      <c r="EH2" s="14" t="s">
        <v>17</v>
      </c>
      <c r="EI2" s="71" t="s">
        <v>106</v>
      </c>
      <c r="EJ2" s="71"/>
      <c r="EK2" s="71"/>
      <c r="EL2" s="71"/>
      <c r="EM2" s="71" t="s">
        <v>107</v>
      </c>
      <c r="EN2" s="71"/>
      <c r="EO2" s="71"/>
      <c r="EP2" s="71"/>
      <c r="EQ2" s="71" t="s">
        <v>108</v>
      </c>
      <c r="ER2" s="71"/>
      <c r="ES2" s="71"/>
      <c r="ET2" s="71"/>
      <c r="EU2" s="71" t="s">
        <v>109</v>
      </c>
      <c r="EV2" s="71"/>
      <c r="EW2" s="71"/>
      <c r="EX2" s="71"/>
      <c r="EY2" s="74" t="s">
        <v>110</v>
      </c>
      <c r="EZ2" s="74"/>
      <c r="FA2" s="74"/>
      <c r="FB2" s="74"/>
      <c r="FC2" s="13" t="s">
        <v>111</v>
      </c>
      <c r="FD2" s="13" t="s">
        <v>112</v>
      </c>
      <c r="FE2" s="13" t="s">
        <v>108</v>
      </c>
      <c r="FF2" s="13" t="s">
        <v>117</v>
      </c>
      <c r="FG2" s="13" t="s">
        <v>23</v>
      </c>
      <c r="FH2" s="13" t="s">
        <v>66</v>
      </c>
      <c r="FI2" s="13" t="s">
        <v>113</v>
      </c>
      <c r="FJ2" s="13" t="s">
        <v>17</v>
      </c>
      <c r="FK2" s="68" t="s">
        <v>106</v>
      </c>
      <c r="FL2" s="68"/>
      <c r="FM2" s="68"/>
      <c r="FN2" s="68"/>
      <c r="FO2" s="68" t="s">
        <v>107</v>
      </c>
      <c r="FP2" s="68"/>
      <c r="FQ2" s="68"/>
      <c r="FR2" s="68"/>
      <c r="FS2" s="68" t="s">
        <v>108</v>
      </c>
      <c r="FT2" s="68"/>
      <c r="FU2" s="68"/>
      <c r="FV2" s="68"/>
      <c r="FW2" s="68" t="s">
        <v>109</v>
      </c>
      <c r="FX2" s="68"/>
      <c r="FY2" s="68"/>
      <c r="FZ2" s="68"/>
      <c r="GA2" s="76" t="s">
        <v>110</v>
      </c>
      <c r="GB2" s="76"/>
      <c r="GC2" s="76"/>
      <c r="GD2" s="76"/>
      <c r="GE2" s="14" t="s">
        <v>111</v>
      </c>
      <c r="GF2" s="14" t="s">
        <v>112</v>
      </c>
      <c r="GG2" s="14" t="s">
        <v>108</v>
      </c>
      <c r="GH2" s="14" t="s">
        <v>117</v>
      </c>
      <c r="GI2" s="14" t="s">
        <v>23</v>
      </c>
      <c r="GJ2" s="14" t="s">
        <v>66</v>
      </c>
      <c r="GK2" s="14" t="s">
        <v>113</v>
      </c>
      <c r="GL2" s="14" t="s">
        <v>17</v>
      </c>
      <c r="GM2" s="71" t="s">
        <v>106</v>
      </c>
      <c r="GN2" s="71"/>
      <c r="GO2" s="71"/>
      <c r="GP2" s="71"/>
      <c r="GQ2" s="71" t="s">
        <v>107</v>
      </c>
      <c r="GR2" s="71"/>
      <c r="GS2" s="71"/>
      <c r="GT2" s="71"/>
      <c r="GU2" s="71" t="s">
        <v>108</v>
      </c>
      <c r="GV2" s="71"/>
      <c r="GW2" s="71"/>
      <c r="GX2" s="71"/>
      <c r="GY2" s="71" t="s">
        <v>109</v>
      </c>
      <c r="GZ2" s="71"/>
      <c r="HA2" s="71"/>
      <c r="HB2" s="71"/>
      <c r="HC2" s="74" t="s">
        <v>110</v>
      </c>
      <c r="HD2" s="74"/>
      <c r="HE2" s="74"/>
      <c r="HF2" s="74"/>
      <c r="HG2" s="13" t="s">
        <v>111</v>
      </c>
      <c r="HH2" s="13" t="s">
        <v>112</v>
      </c>
      <c r="HI2" s="13" t="s">
        <v>108</v>
      </c>
      <c r="HJ2" s="13" t="s">
        <v>117</v>
      </c>
      <c r="HK2" s="13" t="s">
        <v>23</v>
      </c>
      <c r="HL2" s="13" t="s">
        <v>66</v>
      </c>
      <c r="HM2" s="13" t="s">
        <v>113</v>
      </c>
      <c r="HN2" s="13" t="s">
        <v>17</v>
      </c>
      <c r="HO2" s="68" t="s">
        <v>106</v>
      </c>
      <c r="HP2" s="68"/>
      <c r="HQ2" s="68"/>
      <c r="HR2" s="68"/>
      <c r="HS2" s="68" t="s">
        <v>107</v>
      </c>
      <c r="HT2" s="68"/>
      <c r="HU2" s="68"/>
      <c r="HV2" s="68"/>
      <c r="HW2" s="68" t="s">
        <v>108</v>
      </c>
      <c r="HX2" s="68"/>
      <c r="HY2" s="68"/>
      <c r="HZ2" s="68"/>
      <c r="IA2" s="68" t="s">
        <v>109</v>
      </c>
      <c r="IB2" s="68"/>
      <c r="IC2" s="68"/>
      <c r="ID2" s="68"/>
      <c r="IE2" s="76" t="s">
        <v>110</v>
      </c>
      <c r="IF2" s="76"/>
      <c r="IG2" s="76"/>
      <c r="IH2" s="76"/>
      <c r="II2" s="14" t="s">
        <v>111</v>
      </c>
      <c r="IJ2" s="14" t="s">
        <v>112</v>
      </c>
      <c r="IK2" s="14" t="s">
        <v>108</v>
      </c>
      <c r="IL2" s="14" t="s">
        <v>117</v>
      </c>
      <c r="IM2" s="14" t="s">
        <v>23</v>
      </c>
      <c r="IN2" s="14" t="s">
        <v>66</v>
      </c>
      <c r="IO2" s="14" t="s">
        <v>113</v>
      </c>
      <c r="IP2" s="14" t="s">
        <v>17</v>
      </c>
      <c r="IQ2" s="71" t="s">
        <v>106</v>
      </c>
      <c r="IR2" s="71"/>
      <c r="IS2" s="71"/>
      <c r="IT2" s="71"/>
      <c r="IU2" s="71" t="s">
        <v>107</v>
      </c>
      <c r="IV2" s="71"/>
      <c r="IW2" s="71"/>
      <c r="IX2" s="71"/>
      <c r="IY2" s="71" t="s">
        <v>108</v>
      </c>
      <c r="IZ2" s="71"/>
      <c r="JA2" s="71"/>
      <c r="JB2" s="71"/>
      <c r="JC2" s="71" t="s">
        <v>109</v>
      </c>
      <c r="JD2" s="71"/>
      <c r="JE2" s="71"/>
      <c r="JF2" s="71"/>
      <c r="JG2" s="74" t="s">
        <v>110</v>
      </c>
      <c r="JH2" s="74"/>
      <c r="JI2" s="74"/>
      <c r="JJ2" s="74"/>
      <c r="JK2" s="13" t="s">
        <v>111</v>
      </c>
      <c r="JL2" s="13" t="s">
        <v>112</v>
      </c>
      <c r="JM2" s="13" t="s">
        <v>108</v>
      </c>
      <c r="JN2" s="13" t="s">
        <v>117</v>
      </c>
      <c r="JO2" s="13" t="s">
        <v>23</v>
      </c>
      <c r="JP2" s="13" t="s">
        <v>66</v>
      </c>
      <c r="JQ2" s="13" t="s">
        <v>113</v>
      </c>
      <c r="JR2" s="13" t="s">
        <v>17</v>
      </c>
      <c r="JS2" s="68" t="s">
        <v>106</v>
      </c>
      <c r="JT2" s="68"/>
      <c r="JU2" s="68"/>
      <c r="JV2" s="68"/>
      <c r="JW2" s="68" t="s">
        <v>107</v>
      </c>
      <c r="JX2" s="68"/>
      <c r="JY2" s="68"/>
      <c r="JZ2" s="68"/>
      <c r="KA2" s="68" t="s">
        <v>108</v>
      </c>
      <c r="KB2" s="68"/>
      <c r="KC2" s="68"/>
      <c r="KD2" s="68"/>
      <c r="KE2" s="68" t="s">
        <v>109</v>
      </c>
      <c r="KF2" s="68"/>
      <c r="KG2" s="68"/>
      <c r="KH2" s="68"/>
      <c r="KI2" s="76" t="s">
        <v>110</v>
      </c>
      <c r="KJ2" s="76"/>
      <c r="KK2" s="76"/>
      <c r="KL2" s="76"/>
      <c r="KM2" s="14" t="s">
        <v>111</v>
      </c>
      <c r="KN2" s="14" t="s">
        <v>112</v>
      </c>
      <c r="KO2" s="14" t="s">
        <v>108</v>
      </c>
      <c r="KP2" s="14" t="s">
        <v>117</v>
      </c>
      <c r="KQ2" s="14" t="s">
        <v>23</v>
      </c>
      <c r="KR2" s="14" t="s">
        <v>66</v>
      </c>
      <c r="KS2" s="14" t="s">
        <v>113</v>
      </c>
      <c r="KT2" s="14" t="s">
        <v>17</v>
      </c>
      <c r="KU2" s="71" t="s">
        <v>106</v>
      </c>
      <c r="KV2" s="71"/>
      <c r="KW2" s="71"/>
      <c r="KX2" s="71"/>
      <c r="KY2" s="71" t="s">
        <v>107</v>
      </c>
      <c r="KZ2" s="71"/>
      <c r="LA2" s="71"/>
      <c r="LB2" s="71"/>
      <c r="LC2" s="71" t="s">
        <v>108</v>
      </c>
      <c r="LD2" s="71"/>
      <c r="LE2" s="71"/>
      <c r="LF2" s="71"/>
      <c r="LG2" s="71" t="s">
        <v>109</v>
      </c>
      <c r="LH2" s="71"/>
      <c r="LI2" s="71"/>
      <c r="LJ2" s="71"/>
      <c r="LK2" s="74" t="s">
        <v>110</v>
      </c>
      <c r="LL2" s="74"/>
      <c r="LM2" s="74"/>
      <c r="LN2" s="74"/>
      <c r="LO2" s="13" t="s">
        <v>111</v>
      </c>
      <c r="LP2" s="13" t="s">
        <v>112</v>
      </c>
      <c r="LQ2" s="13" t="s">
        <v>108</v>
      </c>
      <c r="LR2" s="13" t="s">
        <v>117</v>
      </c>
      <c r="LS2" s="13" t="s">
        <v>23</v>
      </c>
      <c r="LT2" s="13" t="s">
        <v>66</v>
      </c>
      <c r="LU2" s="13" t="s">
        <v>113</v>
      </c>
      <c r="LV2" s="13" t="s">
        <v>17</v>
      </c>
      <c r="LW2" s="68" t="s">
        <v>106</v>
      </c>
      <c r="LX2" s="68"/>
      <c r="LY2" s="68"/>
      <c r="LZ2" s="68"/>
      <c r="MA2" s="68" t="s">
        <v>107</v>
      </c>
      <c r="MB2" s="68"/>
      <c r="MC2" s="68"/>
      <c r="MD2" s="68"/>
      <c r="ME2" s="68" t="s">
        <v>108</v>
      </c>
      <c r="MF2" s="68"/>
      <c r="MG2" s="68"/>
      <c r="MH2" s="68"/>
      <c r="MI2" s="68" t="s">
        <v>109</v>
      </c>
      <c r="MJ2" s="68"/>
      <c r="MK2" s="68"/>
      <c r="ML2" s="68"/>
      <c r="MM2" s="76" t="s">
        <v>110</v>
      </c>
      <c r="MN2" s="76"/>
      <c r="MO2" s="76"/>
      <c r="MP2" s="76"/>
      <c r="MQ2" s="14" t="s">
        <v>111</v>
      </c>
      <c r="MR2" s="14" t="s">
        <v>112</v>
      </c>
      <c r="MS2" s="14" t="s">
        <v>108</v>
      </c>
      <c r="MT2" s="14" t="s">
        <v>117</v>
      </c>
      <c r="MU2" s="14" t="s">
        <v>23</v>
      </c>
      <c r="MV2" s="14" t="s">
        <v>66</v>
      </c>
      <c r="MW2" s="14" t="s">
        <v>113</v>
      </c>
      <c r="MX2" s="14" t="s">
        <v>17</v>
      </c>
      <c r="MY2" s="71" t="s">
        <v>106</v>
      </c>
      <c r="MZ2" s="71"/>
      <c r="NA2" s="71"/>
      <c r="NB2" s="71"/>
      <c r="NC2" s="71" t="s">
        <v>107</v>
      </c>
      <c r="ND2" s="71"/>
      <c r="NE2" s="71"/>
      <c r="NF2" s="71"/>
      <c r="NG2" s="71" t="s">
        <v>108</v>
      </c>
      <c r="NH2" s="71"/>
      <c r="NI2" s="71"/>
      <c r="NJ2" s="71"/>
      <c r="NK2" s="71" t="s">
        <v>109</v>
      </c>
      <c r="NL2" s="71"/>
      <c r="NM2" s="71"/>
      <c r="NN2" s="71"/>
      <c r="NO2" s="74" t="s">
        <v>110</v>
      </c>
      <c r="NP2" s="74"/>
      <c r="NQ2" s="74"/>
      <c r="NR2" s="74"/>
      <c r="NS2" s="13" t="s">
        <v>111</v>
      </c>
      <c r="NT2" s="13" t="s">
        <v>112</v>
      </c>
      <c r="NU2" s="13" t="s">
        <v>108</v>
      </c>
      <c r="NV2" s="13" t="s">
        <v>117</v>
      </c>
      <c r="NW2" s="13" t="s">
        <v>23</v>
      </c>
      <c r="NX2" s="13" t="s">
        <v>66</v>
      </c>
      <c r="NY2" s="13" t="s">
        <v>113</v>
      </c>
      <c r="NZ2" s="13" t="s">
        <v>17</v>
      </c>
      <c r="OA2" s="68" t="s">
        <v>106</v>
      </c>
      <c r="OB2" s="68"/>
      <c r="OC2" s="68"/>
      <c r="OD2" s="68"/>
      <c r="OE2" s="68" t="s">
        <v>107</v>
      </c>
      <c r="OF2" s="68"/>
      <c r="OG2" s="68"/>
      <c r="OH2" s="68"/>
      <c r="OI2" s="68" t="s">
        <v>108</v>
      </c>
      <c r="OJ2" s="68"/>
      <c r="OK2" s="68"/>
      <c r="OL2" s="68"/>
      <c r="OM2" s="68" t="s">
        <v>109</v>
      </c>
      <c r="ON2" s="68"/>
      <c r="OO2" s="68"/>
      <c r="OP2" s="68"/>
      <c r="OQ2" s="76" t="s">
        <v>110</v>
      </c>
      <c r="OR2" s="76"/>
      <c r="OS2" s="76"/>
      <c r="OT2" s="76"/>
      <c r="OU2" s="14" t="s">
        <v>111</v>
      </c>
      <c r="OV2" s="14" t="s">
        <v>112</v>
      </c>
      <c r="OW2" s="14" t="s">
        <v>108</v>
      </c>
      <c r="OX2" s="14" t="s">
        <v>117</v>
      </c>
      <c r="OY2" s="14" t="s">
        <v>23</v>
      </c>
      <c r="OZ2" s="14" t="s">
        <v>66</v>
      </c>
      <c r="PA2" s="14" t="s">
        <v>113</v>
      </c>
      <c r="PB2" s="14" t="s">
        <v>17</v>
      </c>
      <c r="PC2" s="71" t="s">
        <v>106</v>
      </c>
      <c r="PD2" s="71"/>
      <c r="PE2" s="71"/>
      <c r="PF2" s="71"/>
      <c r="PG2" s="71" t="s">
        <v>107</v>
      </c>
      <c r="PH2" s="71"/>
      <c r="PI2" s="71"/>
      <c r="PJ2" s="71"/>
      <c r="PK2" s="71" t="s">
        <v>108</v>
      </c>
      <c r="PL2" s="71"/>
      <c r="PM2" s="71"/>
      <c r="PN2" s="71"/>
      <c r="PO2" s="71" t="s">
        <v>109</v>
      </c>
      <c r="PP2" s="71"/>
      <c r="PQ2" s="71"/>
      <c r="PR2" s="71"/>
      <c r="PS2" s="74" t="s">
        <v>110</v>
      </c>
      <c r="PT2" s="74"/>
      <c r="PU2" s="74"/>
      <c r="PV2" s="74"/>
      <c r="PW2" s="13" t="s">
        <v>111</v>
      </c>
      <c r="PX2" s="13" t="s">
        <v>112</v>
      </c>
      <c r="PY2" s="13" t="s">
        <v>108</v>
      </c>
      <c r="PZ2" s="13" t="s">
        <v>117</v>
      </c>
      <c r="QA2" s="13" t="s">
        <v>23</v>
      </c>
      <c r="QB2" s="13" t="s">
        <v>66</v>
      </c>
      <c r="QC2" s="13" t="s">
        <v>113</v>
      </c>
      <c r="QD2" s="13" t="s">
        <v>17</v>
      </c>
      <c r="QE2" s="68" t="s">
        <v>106</v>
      </c>
      <c r="QF2" s="68"/>
      <c r="QG2" s="68"/>
      <c r="QH2" s="68"/>
      <c r="QI2" s="68" t="s">
        <v>107</v>
      </c>
      <c r="QJ2" s="68"/>
      <c r="QK2" s="68"/>
      <c r="QL2" s="68"/>
      <c r="QM2" s="68" t="s">
        <v>108</v>
      </c>
      <c r="QN2" s="68"/>
      <c r="QO2" s="68"/>
      <c r="QP2" s="68"/>
      <c r="QQ2" s="68" t="s">
        <v>109</v>
      </c>
      <c r="QR2" s="68"/>
      <c r="QS2" s="68"/>
      <c r="QT2" s="68"/>
      <c r="QU2" s="76" t="s">
        <v>110</v>
      </c>
      <c r="QV2" s="76"/>
      <c r="QW2" s="76"/>
      <c r="QX2" s="76"/>
      <c r="QY2" s="14" t="s">
        <v>111</v>
      </c>
      <c r="QZ2" s="14" t="s">
        <v>112</v>
      </c>
      <c r="RA2" s="14" t="s">
        <v>108</v>
      </c>
      <c r="RB2" s="14" t="s">
        <v>117</v>
      </c>
      <c r="RC2" s="14" t="s">
        <v>23</v>
      </c>
      <c r="RD2" s="14" t="s">
        <v>66</v>
      </c>
      <c r="RE2" s="14" t="s">
        <v>113</v>
      </c>
      <c r="RF2" s="14" t="s">
        <v>17</v>
      </c>
      <c r="RG2" s="71" t="s">
        <v>106</v>
      </c>
      <c r="RH2" s="71"/>
      <c r="RI2" s="71"/>
      <c r="RJ2" s="71"/>
      <c r="RK2" s="71" t="s">
        <v>107</v>
      </c>
      <c r="RL2" s="71"/>
      <c r="RM2" s="71"/>
      <c r="RN2" s="71"/>
      <c r="RO2" s="71" t="s">
        <v>108</v>
      </c>
      <c r="RP2" s="71"/>
      <c r="RQ2" s="71"/>
      <c r="RR2" s="71"/>
      <c r="RS2" s="71" t="s">
        <v>109</v>
      </c>
      <c r="RT2" s="71"/>
      <c r="RU2" s="71"/>
      <c r="RV2" s="71"/>
      <c r="RW2" s="74" t="s">
        <v>110</v>
      </c>
      <c r="RX2" s="74"/>
      <c r="RY2" s="74"/>
      <c r="RZ2" s="74"/>
      <c r="SA2" s="13" t="s">
        <v>111</v>
      </c>
      <c r="SB2" s="13" t="s">
        <v>112</v>
      </c>
      <c r="SC2" s="13" t="s">
        <v>108</v>
      </c>
      <c r="SD2" s="13" t="s">
        <v>117</v>
      </c>
      <c r="SE2" s="13" t="s">
        <v>23</v>
      </c>
      <c r="SF2" s="13" t="s">
        <v>66</v>
      </c>
      <c r="SG2" s="13" t="s">
        <v>113</v>
      </c>
      <c r="SH2" s="13" t="s">
        <v>17</v>
      </c>
      <c r="SI2" s="68" t="s">
        <v>106</v>
      </c>
      <c r="SJ2" s="68"/>
      <c r="SK2" s="68"/>
      <c r="SL2" s="68"/>
      <c r="SM2" s="68" t="s">
        <v>107</v>
      </c>
      <c r="SN2" s="68"/>
      <c r="SO2" s="68"/>
      <c r="SP2" s="68"/>
      <c r="SQ2" s="68" t="s">
        <v>108</v>
      </c>
      <c r="SR2" s="68"/>
      <c r="SS2" s="68"/>
      <c r="ST2" s="68"/>
      <c r="SU2" s="68" t="s">
        <v>109</v>
      </c>
      <c r="SV2" s="68"/>
      <c r="SW2" s="68"/>
      <c r="SX2" s="68"/>
      <c r="SY2" s="76" t="s">
        <v>110</v>
      </c>
      <c r="SZ2" s="76"/>
      <c r="TA2" s="76"/>
      <c r="TB2" s="76"/>
      <c r="TC2" s="14" t="s">
        <v>111</v>
      </c>
      <c r="TD2" s="14" t="s">
        <v>112</v>
      </c>
      <c r="TE2" s="14" t="s">
        <v>108</v>
      </c>
      <c r="TF2" s="14" t="s">
        <v>117</v>
      </c>
      <c r="TG2" s="14" t="s">
        <v>23</v>
      </c>
      <c r="TH2" s="14" t="s">
        <v>66</v>
      </c>
      <c r="TI2" s="14" t="s">
        <v>113</v>
      </c>
      <c r="TJ2" s="14" t="s">
        <v>17</v>
      </c>
      <c r="TK2" s="71" t="s">
        <v>106</v>
      </c>
      <c r="TL2" s="71"/>
      <c r="TM2" s="71"/>
      <c r="TN2" s="71"/>
      <c r="TO2" s="71" t="s">
        <v>107</v>
      </c>
      <c r="TP2" s="71"/>
      <c r="TQ2" s="71"/>
      <c r="TR2" s="71"/>
      <c r="TS2" s="71" t="s">
        <v>108</v>
      </c>
      <c r="TT2" s="71"/>
      <c r="TU2" s="71"/>
      <c r="TV2" s="71"/>
      <c r="TW2" s="71" t="s">
        <v>109</v>
      </c>
      <c r="TX2" s="71"/>
      <c r="TY2" s="71"/>
      <c r="TZ2" s="71"/>
      <c r="UA2" s="77" t="s">
        <v>110</v>
      </c>
      <c r="UB2" s="77"/>
      <c r="UC2" s="77"/>
      <c r="UD2" s="77"/>
      <c r="UE2" s="13"/>
      <c r="UF2" s="13" t="s">
        <v>111</v>
      </c>
      <c r="UG2" s="13" t="s">
        <v>112</v>
      </c>
      <c r="UH2" s="13" t="s">
        <v>108</v>
      </c>
      <c r="UI2" s="13" t="s">
        <v>117</v>
      </c>
      <c r="UJ2" s="13" t="s">
        <v>23</v>
      </c>
      <c r="UK2" s="13" t="s">
        <v>66</v>
      </c>
      <c r="UL2" s="13" t="s">
        <v>113</v>
      </c>
      <c r="UM2" s="13" t="s">
        <v>17</v>
      </c>
    </row>
    <row r="3" spans="1:559" x14ac:dyDescent="0.2">
      <c r="A3" s="64"/>
      <c r="B3" s="64"/>
      <c r="C3" s="64"/>
      <c r="D3" s="64"/>
      <c r="E3" s="64"/>
      <c r="F3" s="65"/>
      <c r="G3" s="65"/>
      <c r="H3" s="64"/>
      <c r="I3" s="65"/>
      <c r="J3" s="70"/>
      <c r="K3" s="66"/>
      <c r="L3" s="70"/>
      <c r="M3" s="66"/>
      <c r="N3" s="70"/>
      <c r="O3" s="66"/>
      <c r="P3" s="66"/>
      <c r="Q3" s="66"/>
      <c r="R3" s="69"/>
      <c r="S3" s="66"/>
      <c r="T3" s="66"/>
      <c r="U3" s="14" t="s">
        <v>14</v>
      </c>
      <c r="V3" s="14" t="s">
        <v>9</v>
      </c>
      <c r="W3" s="14" t="s">
        <v>28</v>
      </c>
      <c r="X3" s="14" t="s">
        <v>29</v>
      </c>
      <c r="Y3" s="14" t="s">
        <v>14</v>
      </c>
      <c r="Z3" s="14" t="s">
        <v>9</v>
      </c>
      <c r="AA3" s="14" t="s">
        <v>28</v>
      </c>
      <c r="AB3" s="14" t="s">
        <v>29</v>
      </c>
      <c r="AC3" s="14" t="s">
        <v>14</v>
      </c>
      <c r="AD3" s="14" t="s">
        <v>9</v>
      </c>
      <c r="AE3" s="14" t="s">
        <v>28</v>
      </c>
      <c r="AF3" s="14" t="s">
        <v>29</v>
      </c>
      <c r="AG3" s="14" t="s">
        <v>14</v>
      </c>
      <c r="AH3" s="14" t="s">
        <v>9</v>
      </c>
      <c r="AI3" s="14" t="s">
        <v>28</v>
      </c>
      <c r="AJ3" s="14" t="s">
        <v>29</v>
      </c>
      <c r="AK3" s="21" t="s">
        <v>14</v>
      </c>
      <c r="AL3" s="21" t="s">
        <v>9</v>
      </c>
      <c r="AM3" s="21" t="s">
        <v>28</v>
      </c>
      <c r="AN3" s="21" t="s">
        <v>29</v>
      </c>
      <c r="AO3" s="14" t="s">
        <v>52</v>
      </c>
      <c r="AP3" s="14"/>
      <c r="AQ3" s="14"/>
      <c r="AR3" s="14"/>
      <c r="AS3" s="14"/>
      <c r="AT3" s="14"/>
      <c r="AU3" s="14"/>
      <c r="AV3" s="14"/>
      <c r="AW3" s="14"/>
      <c r="AX3" s="13" t="s">
        <v>14</v>
      </c>
      <c r="AY3" s="13" t="s">
        <v>9</v>
      </c>
      <c r="AZ3" s="13" t="s">
        <v>28</v>
      </c>
      <c r="BA3" s="13" t="s">
        <v>29</v>
      </c>
      <c r="BB3" s="13" t="s">
        <v>14</v>
      </c>
      <c r="BC3" s="13" t="s">
        <v>9</v>
      </c>
      <c r="BD3" s="13" t="s">
        <v>28</v>
      </c>
      <c r="BE3" s="13" t="s">
        <v>29</v>
      </c>
      <c r="BF3" s="13" t="s">
        <v>14</v>
      </c>
      <c r="BG3" s="13" t="s">
        <v>9</v>
      </c>
      <c r="BH3" s="13" t="s">
        <v>28</v>
      </c>
      <c r="BI3" s="13" t="s">
        <v>29</v>
      </c>
      <c r="BJ3" s="13" t="s">
        <v>14</v>
      </c>
      <c r="BK3" s="13" t="s">
        <v>9</v>
      </c>
      <c r="BL3" s="13" t="s">
        <v>28</v>
      </c>
      <c r="BM3" s="13" t="s">
        <v>29</v>
      </c>
      <c r="BN3" s="16" t="s">
        <v>14</v>
      </c>
      <c r="BO3" s="16" t="s">
        <v>9</v>
      </c>
      <c r="BP3" s="16" t="s">
        <v>28</v>
      </c>
      <c r="BQ3" s="16" t="s">
        <v>29</v>
      </c>
      <c r="BR3" s="13" t="s">
        <v>52</v>
      </c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9</v>
      </c>
      <c r="CC3" s="14" t="s">
        <v>28</v>
      </c>
      <c r="CD3" s="14" t="s">
        <v>29</v>
      </c>
      <c r="CE3" s="14" t="s">
        <v>14</v>
      </c>
      <c r="CF3" s="14" t="s">
        <v>9</v>
      </c>
      <c r="CG3" s="14" t="s">
        <v>28</v>
      </c>
      <c r="CH3" s="14" t="s">
        <v>29</v>
      </c>
      <c r="CI3" s="14" t="s">
        <v>14</v>
      </c>
      <c r="CJ3" s="14" t="s">
        <v>9</v>
      </c>
      <c r="CK3" s="14" t="s">
        <v>28</v>
      </c>
      <c r="CL3" s="14" t="s">
        <v>29</v>
      </c>
      <c r="CM3" s="14" t="s">
        <v>14</v>
      </c>
      <c r="CN3" s="14" t="s">
        <v>9</v>
      </c>
      <c r="CO3" s="14" t="s">
        <v>28</v>
      </c>
      <c r="CP3" s="14" t="s">
        <v>29</v>
      </c>
      <c r="CQ3" s="21" t="s">
        <v>14</v>
      </c>
      <c r="CR3" s="21" t="s">
        <v>9</v>
      </c>
      <c r="CS3" s="21" t="s">
        <v>28</v>
      </c>
      <c r="CT3" s="21" t="s">
        <v>29</v>
      </c>
      <c r="CU3" s="14" t="s">
        <v>52</v>
      </c>
      <c r="CV3" s="14"/>
      <c r="CW3" s="14"/>
      <c r="CX3" s="14"/>
      <c r="CY3" s="14"/>
      <c r="CZ3" s="14"/>
      <c r="DA3" s="14"/>
      <c r="DB3" s="14"/>
      <c r="DC3" s="14"/>
      <c r="DD3" s="50"/>
      <c r="DE3" s="50"/>
      <c r="DF3" s="50"/>
      <c r="DG3" s="14" t="s">
        <v>14</v>
      </c>
      <c r="DH3" s="14" t="s">
        <v>9</v>
      </c>
      <c r="DI3" s="14" t="s">
        <v>28</v>
      </c>
      <c r="DJ3" s="14" t="s">
        <v>29</v>
      </c>
      <c r="DK3" s="14" t="s">
        <v>14</v>
      </c>
      <c r="DL3" s="14" t="s">
        <v>9</v>
      </c>
      <c r="DM3" s="14" t="s">
        <v>28</v>
      </c>
      <c r="DN3" s="14" t="s">
        <v>29</v>
      </c>
      <c r="DO3" s="14" t="s">
        <v>14</v>
      </c>
      <c r="DP3" s="14" t="s">
        <v>9</v>
      </c>
      <c r="DQ3" s="14" t="s">
        <v>28</v>
      </c>
      <c r="DR3" s="14" t="s">
        <v>29</v>
      </c>
      <c r="DS3" s="14" t="s">
        <v>14</v>
      </c>
      <c r="DT3" s="14" t="s">
        <v>9</v>
      </c>
      <c r="DU3" s="14" t="s">
        <v>28</v>
      </c>
      <c r="DV3" s="14" t="s">
        <v>29</v>
      </c>
      <c r="DW3" s="15" t="s">
        <v>14</v>
      </c>
      <c r="DX3" s="15" t="s">
        <v>9</v>
      </c>
      <c r="DY3" s="15" t="s">
        <v>28</v>
      </c>
      <c r="DZ3" s="15" t="s">
        <v>29</v>
      </c>
      <c r="EA3" s="14"/>
      <c r="EB3" s="14"/>
      <c r="EC3" s="14"/>
      <c r="ED3" s="14"/>
      <c r="EE3" s="14"/>
      <c r="EF3" s="14"/>
      <c r="EG3" s="14"/>
      <c r="EH3" s="14"/>
      <c r="EI3" s="13" t="s">
        <v>14</v>
      </c>
      <c r="EJ3" s="13" t="s">
        <v>9</v>
      </c>
      <c r="EK3" s="13" t="s">
        <v>28</v>
      </c>
      <c r="EL3" s="13" t="s">
        <v>29</v>
      </c>
      <c r="EM3" s="13" t="s">
        <v>14</v>
      </c>
      <c r="EN3" s="13" t="s">
        <v>9</v>
      </c>
      <c r="EO3" s="13" t="s">
        <v>28</v>
      </c>
      <c r="EP3" s="13" t="s">
        <v>29</v>
      </c>
      <c r="EQ3" s="13" t="s">
        <v>14</v>
      </c>
      <c r="ER3" s="13" t="s">
        <v>9</v>
      </c>
      <c r="ES3" s="13" t="s">
        <v>28</v>
      </c>
      <c r="ET3" s="13" t="s">
        <v>29</v>
      </c>
      <c r="EU3" s="13" t="s">
        <v>14</v>
      </c>
      <c r="EV3" s="13" t="s">
        <v>9</v>
      </c>
      <c r="EW3" s="13" t="s">
        <v>28</v>
      </c>
      <c r="EX3" s="13" t="s">
        <v>29</v>
      </c>
      <c r="EY3" s="16" t="s">
        <v>14</v>
      </c>
      <c r="EZ3" s="16" t="s">
        <v>9</v>
      </c>
      <c r="FA3" s="16" t="s">
        <v>28</v>
      </c>
      <c r="FB3" s="16" t="s">
        <v>29</v>
      </c>
      <c r="FC3" s="13"/>
      <c r="FD3" s="13"/>
      <c r="FE3" s="13"/>
      <c r="FF3" s="13"/>
      <c r="FG3" s="13"/>
      <c r="FH3" s="13"/>
      <c r="FI3" s="13"/>
      <c r="FJ3" s="13"/>
      <c r="FK3" s="14" t="s">
        <v>14</v>
      </c>
      <c r="FL3" s="14" t="s">
        <v>9</v>
      </c>
      <c r="FM3" s="14" t="s">
        <v>28</v>
      </c>
      <c r="FN3" s="14" t="s">
        <v>29</v>
      </c>
      <c r="FO3" s="14" t="s">
        <v>14</v>
      </c>
      <c r="FP3" s="14" t="s">
        <v>9</v>
      </c>
      <c r="FQ3" s="14" t="s">
        <v>28</v>
      </c>
      <c r="FR3" s="14" t="s">
        <v>29</v>
      </c>
      <c r="FS3" s="14" t="s">
        <v>14</v>
      </c>
      <c r="FT3" s="14" t="s">
        <v>9</v>
      </c>
      <c r="FU3" s="14" t="s">
        <v>28</v>
      </c>
      <c r="FV3" s="14" t="s">
        <v>29</v>
      </c>
      <c r="FW3" s="14" t="s">
        <v>14</v>
      </c>
      <c r="FX3" s="14" t="s">
        <v>9</v>
      </c>
      <c r="FY3" s="14" t="s">
        <v>28</v>
      </c>
      <c r="FZ3" s="14" t="s">
        <v>29</v>
      </c>
      <c r="GA3" s="15" t="s">
        <v>14</v>
      </c>
      <c r="GB3" s="15" t="s">
        <v>9</v>
      </c>
      <c r="GC3" s="15" t="s">
        <v>28</v>
      </c>
      <c r="GD3" s="15" t="s">
        <v>29</v>
      </c>
      <c r="GE3" s="14"/>
      <c r="GF3" s="14"/>
      <c r="GG3" s="14"/>
      <c r="GH3" s="14"/>
      <c r="GI3" s="14"/>
      <c r="GJ3" s="14"/>
      <c r="GK3" s="14"/>
      <c r="GL3" s="14"/>
      <c r="GM3" s="13" t="s">
        <v>14</v>
      </c>
      <c r="GN3" s="13" t="s">
        <v>9</v>
      </c>
      <c r="GO3" s="13" t="s">
        <v>28</v>
      </c>
      <c r="GP3" s="13" t="s">
        <v>29</v>
      </c>
      <c r="GQ3" s="13" t="s">
        <v>14</v>
      </c>
      <c r="GR3" s="13" t="s">
        <v>9</v>
      </c>
      <c r="GS3" s="13" t="s">
        <v>28</v>
      </c>
      <c r="GT3" s="13" t="s">
        <v>29</v>
      </c>
      <c r="GU3" s="13" t="s">
        <v>14</v>
      </c>
      <c r="GV3" s="13" t="s">
        <v>9</v>
      </c>
      <c r="GW3" s="13" t="s">
        <v>28</v>
      </c>
      <c r="GX3" s="13" t="s">
        <v>29</v>
      </c>
      <c r="GY3" s="13" t="s">
        <v>14</v>
      </c>
      <c r="GZ3" s="13" t="s">
        <v>9</v>
      </c>
      <c r="HA3" s="13" t="s">
        <v>28</v>
      </c>
      <c r="HB3" s="13" t="s">
        <v>29</v>
      </c>
      <c r="HC3" s="16" t="s">
        <v>14</v>
      </c>
      <c r="HD3" s="16" t="s">
        <v>9</v>
      </c>
      <c r="HE3" s="16" t="s">
        <v>28</v>
      </c>
      <c r="HF3" s="16" t="s">
        <v>29</v>
      </c>
      <c r="HG3" s="13"/>
      <c r="HH3" s="13"/>
      <c r="HI3" s="13"/>
      <c r="HJ3" s="13"/>
      <c r="HK3" s="13"/>
      <c r="HL3" s="13"/>
      <c r="HM3" s="13"/>
      <c r="HN3" s="13"/>
      <c r="HO3" s="14" t="s">
        <v>14</v>
      </c>
      <c r="HP3" s="14" t="s">
        <v>9</v>
      </c>
      <c r="HQ3" s="14" t="s">
        <v>28</v>
      </c>
      <c r="HR3" s="14" t="s">
        <v>29</v>
      </c>
      <c r="HS3" s="14" t="s">
        <v>14</v>
      </c>
      <c r="HT3" s="14" t="s">
        <v>9</v>
      </c>
      <c r="HU3" s="14" t="s">
        <v>28</v>
      </c>
      <c r="HV3" s="14" t="s">
        <v>29</v>
      </c>
      <c r="HW3" s="14" t="s">
        <v>14</v>
      </c>
      <c r="HX3" s="14" t="s">
        <v>9</v>
      </c>
      <c r="HY3" s="14" t="s">
        <v>28</v>
      </c>
      <c r="HZ3" s="14" t="s">
        <v>29</v>
      </c>
      <c r="IA3" s="14" t="s">
        <v>14</v>
      </c>
      <c r="IB3" s="14" t="s">
        <v>9</v>
      </c>
      <c r="IC3" s="14" t="s">
        <v>28</v>
      </c>
      <c r="ID3" s="14" t="s">
        <v>29</v>
      </c>
      <c r="IE3" s="15" t="s">
        <v>14</v>
      </c>
      <c r="IF3" s="15" t="s">
        <v>9</v>
      </c>
      <c r="IG3" s="15" t="s">
        <v>28</v>
      </c>
      <c r="IH3" s="15" t="s">
        <v>29</v>
      </c>
      <c r="II3" s="14"/>
      <c r="IJ3" s="14"/>
      <c r="IK3" s="14"/>
      <c r="IL3" s="14"/>
      <c r="IM3" s="14"/>
      <c r="IN3" s="14"/>
      <c r="IO3" s="14"/>
      <c r="IP3" s="14"/>
      <c r="IQ3" s="13" t="s">
        <v>14</v>
      </c>
      <c r="IR3" s="13" t="s">
        <v>9</v>
      </c>
      <c r="IS3" s="13" t="s">
        <v>28</v>
      </c>
      <c r="IT3" s="13" t="s">
        <v>29</v>
      </c>
      <c r="IU3" s="13" t="s">
        <v>14</v>
      </c>
      <c r="IV3" s="13" t="s">
        <v>9</v>
      </c>
      <c r="IW3" s="13" t="s">
        <v>28</v>
      </c>
      <c r="IX3" s="13" t="s">
        <v>29</v>
      </c>
      <c r="IY3" s="13" t="s">
        <v>14</v>
      </c>
      <c r="IZ3" s="13" t="s">
        <v>9</v>
      </c>
      <c r="JA3" s="13" t="s">
        <v>28</v>
      </c>
      <c r="JB3" s="13" t="s">
        <v>29</v>
      </c>
      <c r="JC3" s="13" t="s">
        <v>14</v>
      </c>
      <c r="JD3" s="13" t="s">
        <v>9</v>
      </c>
      <c r="JE3" s="13" t="s">
        <v>28</v>
      </c>
      <c r="JF3" s="13" t="s">
        <v>29</v>
      </c>
      <c r="JG3" s="16" t="s">
        <v>14</v>
      </c>
      <c r="JH3" s="16" t="s">
        <v>9</v>
      </c>
      <c r="JI3" s="16" t="s">
        <v>28</v>
      </c>
      <c r="JJ3" s="16" t="s">
        <v>29</v>
      </c>
      <c r="JK3" s="13"/>
      <c r="JL3" s="13"/>
      <c r="JM3" s="13"/>
      <c r="JN3" s="13"/>
      <c r="JO3" s="13"/>
      <c r="JP3" s="13"/>
      <c r="JQ3" s="13"/>
      <c r="JR3" s="13"/>
      <c r="JS3" s="14" t="s">
        <v>14</v>
      </c>
      <c r="JT3" s="14" t="s">
        <v>9</v>
      </c>
      <c r="JU3" s="14" t="s">
        <v>28</v>
      </c>
      <c r="JV3" s="14" t="s">
        <v>29</v>
      </c>
      <c r="JW3" s="14" t="s">
        <v>14</v>
      </c>
      <c r="JX3" s="14" t="s">
        <v>9</v>
      </c>
      <c r="JY3" s="14" t="s">
        <v>28</v>
      </c>
      <c r="JZ3" s="14" t="s">
        <v>29</v>
      </c>
      <c r="KA3" s="14" t="s">
        <v>14</v>
      </c>
      <c r="KB3" s="14" t="s">
        <v>9</v>
      </c>
      <c r="KC3" s="14" t="s">
        <v>28</v>
      </c>
      <c r="KD3" s="14" t="s">
        <v>29</v>
      </c>
      <c r="KE3" s="14" t="s">
        <v>14</v>
      </c>
      <c r="KF3" s="14" t="s">
        <v>9</v>
      </c>
      <c r="KG3" s="14" t="s">
        <v>28</v>
      </c>
      <c r="KH3" s="14" t="s">
        <v>29</v>
      </c>
      <c r="KI3" s="15" t="s">
        <v>14</v>
      </c>
      <c r="KJ3" s="15" t="s">
        <v>9</v>
      </c>
      <c r="KK3" s="15" t="s">
        <v>28</v>
      </c>
      <c r="KL3" s="15" t="s">
        <v>29</v>
      </c>
      <c r="KM3" s="14"/>
      <c r="KN3" s="14"/>
      <c r="KO3" s="14"/>
      <c r="KP3" s="14"/>
      <c r="KQ3" s="14"/>
      <c r="KR3" s="14"/>
      <c r="KS3" s="14"/>
      <c r="KT3" s="14"/>
      <c r="KU3" s="13" t="s">
        <v>14</v>
      </c>
      <c r="KV3" s="13" t="s">
        <v>9</v>
      </c>
      <c r="KW3" s="13" t="s">
        <v>28</v>
      </c>
      <c r="KX3" s="13" t="s">
        <v>29</v>
      </c>
      <c r="KY3" s="13" t="s">
        <v>14</v>
      </c>
      <c r="KZ3" s="13" t="s">
        <v>9</v>
      </c>
      <c r="LA3" s="13" t="s">
        <v>28</v>
      </c>
      <c r="LB3" s="13" t="s">
        <v>29</v>
      </c>
      <c r="LC3" s="13" t="s">
        <v>14</v>
      </c>
      <c r="LD3" s="13" t="s">
        <v>9</v>
      </c>
      <c r="LE3" s="13" t="s">
        <v>28</v>
      </c>
      <c r="LF3" s="13" t="s">
        <v>29</v>
      </c>
      <c r="LG3" s="13" t="s">
        <v>14</v>
      </c>
      <c r="LH3" s="13" t="s">
        <v>9</v>
      </c>
      <c r="LI3" s="13" t="s">
        <v>28</v>
      </c>
      <c r="LJ3" s="13" t="s">
        <v>29</v>
      </c>
      <c r="LK3" s="16" t="s">
        <v>14</v>
      </c>
      <c r="LL3" s="16" t="s">
        <v>9</v>
      </c>
      <c r="LM3" s="16" t="s">
        <v>28</v>
      </c>
      <c r="LN3" s="16" t="s">
        <v>29</v>
      </c>
      <c r="LO3" s="13"/>
      <c r="LP3" s="13"/>
      <c r="LQ3" s="13"/>
      <c r="LR3" s="13"/>
      <c r="LS3" s="13"/>
      <c r="LT3" s="13"/>
      <c r="LU3" s="13"/>
      <c r="LV3" s="13"/>
      <c r="LW3" s="14" t="s">
        <v>14</v>
      </c>
      <c r="LX3" s="14" t="s">
        <v>9</v>
      </c>
      <c r="LY3" s="14" t="s">
        <v>28</v>
      </c>
      <c r="LZ3" s="14" t="s">
        <v>29</v>
      </c>
      <c r="MA3" s="14" t="s">
        <v>14</v>
      </c>
      <c r="MB3" s="14" t="s">
        <v>9</v>
      </c>
      <c r="MC3" s="14" t="s">
        <v>28</v>
      </c>
      <c r="MD3" s="14" t="s">
        <v>29</v>
      </c>
      <c r="ME3" s="14" t="s">
        <v>14</v>
      </c>
      <c r="MF3" s="14" t="s">
        <v>9</v>
      </c>
      <c r="MG3" s="14" t="s">
        <v>28</v>
      </c>
      <c r="MH3" s="14" t="s">
        <v>29</v>
      </c>
      <c r="MI3" s="14" t="s">
        <v>14</v>
      </c>
      <c r="MJ3" s="14" t="s">
        <v>9</v>
      </c>
      <c r="MK3" s="14" t="s">
        <v>28</v>
      </c>
      <c r="ML3" s="14" t="s">
        <v>29</v>
      </c>
      <c r="MM3" s="15" t="s">
        <v>14</v>
      </c>
      <c r="MN3" s="15" t="s">
        <v>9</v>
      </c>
      <c r="MO3" s="15" t="s">
        <v>28</v>
      </c>
      <c r="MP3" s="15" t="s">
        <v>29</v>
      </c>
      <c r="MQ3" s="14"/>
      <c r="MR3" s="14"/>
      <c r="MS3" s="14"/>
      <c r="MT3" s="14"/>
      <c r="MU3" s="14"/>
      <c r="MV3" s="14"/>
      <c r="MW3" s="14"/>
      <c r="MX3" s="14"/>
      <c r="MY3" s="13" t="s">
        <v>14</v>
      </c>
      <c r="MZ3" s="13" t="s">
        <v>9</v>
      </c>
      <c r="NA3" s="13" t="s">
        <v>28</v>
      </c>
      <c r="NB3" s="13" t="s">
        <v>29</v>
      </c>
      <c r="NC3" s="13" t="s">
        <v>14</v>
      </c>
      <c r="ND3" s="13" t="s">
        <v>9</v>
      </c>
      <c r="NE3" s="13" t="s">
        <v>28</v>
      </c>
      <c r="NF3" s="13" t="s">
        <v>29</v>
      </c>
      <c r="NG3" s="13" t="s">
        <v>14</v>
      </c>
      <c r="NH3" s="13" t="s">
        <v>9</v>
      </c>
      <c r="NI3" s="13" t="s">
        <v>28</v>
      </c>
      <c r="NJ3" s="13" t="s">
        <v>29</v>
      </c>
      <c r="NK3" s="13" t="s">
        <v>14</v>
      </c>
      <c r="NL3" s="13" t="s">
        <v>9</v>
      </c>
      <c r="NM3" s="13" t="s">
        <v>28</v>
      </c>
      <c r="NN3" s="13" t="s">
        <v>29</v>
      </c>
      <c r="NO3" s="16" t="s">
        <v>14</v>
      </c>
      <c r="NP3" s="16" t="s">
        <v>9</v>
      </c>
      <c r="NQ3" s="16" t="s">
        <v>28</v>
      </c>
      <c r="NR3" s="16" t="s">
        <v>29</v>
      </c>
      <c r="NS3" s="13"/>
      <c r="NT3" s="13"/>
      <c r="NU3" s="13"/>
      <c r="NV3" s="13"/>
      <c r="NW3" s="13"/>
      <c r="NX3" s="13"/>
      <c r="NY3" s="13"/>
      <c r="NZ3" s="13"/>
      <c r="OA3" s="14" t="s">
        <v>14</v>
      </c>
      <c r="OB3" s="14" t="s">
        <v>9</v>
      </c>
      <c r="OC3" s="14" t="s">
        <v>28</v>
      </c>
      <c r="OD3" s="14" t="s">
        <v>29</v>
      </c>
      <c r="OE3" s="14" t="s">
        <v>14</v>
      </c>
      <c r="OF3" s="14" t="s">
        <v>9</v>
      </c>
      <c r="OG3" s="14" t="s">
        <v>28</v>
      </c>
      <c r="OH3" s="14" t="s">
        <v>29</v>
      </c>
      <c r="OI3" s="14" t="s">
        <v>14</v>
      </c>
      <c r="OJ3" s="14" t="s">
        <v>9</v>
      </c>
      <c r="OK3" s="14" t="s">
        <v>28</v>
      </c>
      <c r="OL3" s="14" t="s">
        <v>29</v>
      </c>
      <c r="OM3" s="14" t="s">
        <v>14</v>
      </c>
      <c r="ON3" s="14" t="s">
        <v>9</v>
      </c>
      <c r="OO3" s="14" t="s">
        <v>28</v>
      </c>
      <c r="OP3" s="14" t="s">
        <v>29</v>
      </c>
      <c r="OQ3" s="15" t="s">
        <v>14</v>
      </c>
      <c r="OR3" s="15" t="s">
        <v>9</v>
      </c>
      <c r="OS3" s="15" t="s">
        <v>28</v>
      </c>
      <c r="OT3" s="15" t="s">
        <v>29</v>
      </c>
      <c r="OU3" s="14"/>
      <c r="OV3" s="14"/>
      <c r="OW3" s="14"/>
      <c r="OX3" s="14"/>
      <c r="OY3" s="14"/>
      <c r="OZ3" s="14"/>
      <c r="PA3" s="14"/>
      <c r="PB3" s="14"/>
      <c r="PC3" s="13" t="s">
        <v>14</v>
      </c>
      <c r="PD3" s="13" t="s">
        <v>9</v>
      </c>
      <c r="PE3" s="13" t="s">
        <v>28</v>
      </c>
      <c r="PF3" s="13" t="s">
        <v>29</v>
      </c>
      <c r="PG3" s="13" t="s">
        <v>14</v>
      </c>
      <c r="PH3" s="13" t="s">
        <v>9</v>
      </c>
      <c r="PI3" s="13" t="s">
        <v>28</v>
      </c>
      <c r="PJ3" s="13" t="s">
        <v>29</v>
      </c>
      <c r="PK3" s="13" t="s">
        <v>14</v>
      </c>
      <c r="PL3" s="13" t="s">
        <v>9</v>
      </c>
      <c r="PM3" s="13" t="s">
        <v>28</v>
      </c>
      <c r="PN3" s="13" t="s">
        <v>29</v>
      </c>
      <c r="PO3" s="13" t="s">
        <v>14</v>
      </c>
      <c r="PP3" s="13" t="s">
        <v>9</v>
      </c>
      <c r="PQ3" s="13" t="s">
        <v>28</v>
      </c>
      <c r="PR3" s="13" t="s">
        <v>29</v>
      </c>
      <c r="PS3" s="16" t="s">
        <v>14</v>
      </c>
      <c r="PT3" s="16" t="s">
        <v>9</v>
      </c>
      <c r="PU3" s="16" t="s">
        <v>28</v>
      </c>
      <c r="PV3" s="16" t="s">
        <v>29</v>
      </c>
      <c r="PW3" s="13"/>
      <c r="PX3" s="13"/>
      <c r="PY3" s="13"/>
      <c r="PZ3" s="13"/>
      <c r="QA3" s="13"/>
      <c r="QB3" s="13"/>
      <c r="QC3" s="13"/>
      <c r="QD3" s="13"/>
      <c r="QE3" s="14" t="s">
        <v>14</v>
      </c>
      <c r="QF3" s="14" t="s">
        <v>9</v>
      </c>
      <c r="QG3" s="14" t="s">
        <v>28</v>
      </c>
      <c r="QH3" s="14" t="s">
        <v>29</v>
      </c>
      <c r="QI3" s="14" t="s">
        <v>14</v>
      </c>
      <c r="QJ3" s="14" t="s">
        <v>9</v>
      </c>
      <c r="QK3" s="14" t="s">
        <v>28</v>
      </c>
      <c r="QL3" s="14" t="s">
        <v>29</v>
      </c>
      <c r="QM3" s="14" t="s">
        <v>14</v>
      </c>
      <c r="QN3" s="14" t="s">
        <v>9</v>
      </c>
      <c r="QO3" s="14" t="s">
        <v>28</v>
      </c>
      <c r="QP3" s="14" t="s">
        <v>29</v>
      </c>
      <c r="QQ3" s="14" t="s">
        <v>14</v>
      </c>
      <c r="QR3" s="14" t="s">
        <v>9</v>
      </c>
      <c r="QS3" s="14" t="s">
        <v>28</v>
      </c>
      <c r="QT3" s="14" t="s">
        <v>29</v>
      </c>
      <c r="QU3" s="15" t="s">
        <v>14</v>
      </c>
      <c r="QV3" s="15" t="s">
        <v>9</v>
      </c>
      <c r="QW3" s="15" t="s">
        <v>28</v>
      </c>
      <c r="QX3" s="15" t="s">
        <v>29</v>
      </c>
      <c r="QY3" s="14"/>
      <c r="QZ3" s="14"/>
      <c r="RA3" s="14"/>
      <c r="RB3" s="14"/>
      <c r="RC3" s="14"/>
      <c r="RD3" s="14"/>
      <c r="RE3" s="14"/>
      <c r="RF3" s="14"/>
      <c r="RG3" s="13" t="s">
        <v>14</v>
      </c>
      <c r="RH3" s="13" t="s">
        <v>9</v>
      </c>
      <c r="RI3" s="13" t="s">
        <v>28</v>
      </c>
      <c r="RJ3" s="13" t="s">
        <v>29</v>
      </c>
      <c r="RK3" s="13" t="s">
        <v>14</v>
      </c>
      <c r="RL3" s="13" t="s">
        <v>9</v>
      </c>
      <c r="RM3" s="13" t="s">
        <v>28</v>
      </c>
      <c r="RN3" s="13" t="s">
        <v>29</v>
      </c>
      <c r="RO3" s="13" t="s">
        <v>14</v>
      </c>
      <c r="RP3" s="13" t="s">
        <v>9</v>
      </c>
      <c r="RQ3" s="13" t="s">
        <v>28</v>
      </c>
      <c r="RR3" s="13" t="s">
        <v>29</v>
      </c>
      <c r="RS3" s="13" t="s">
        <v>14</v>
      </c>
      <c r="RT3" s="13" t="s">
        <v>9</v>
      </c>
      <c r="RU3" s="13" t="s">
        <v>28</v>
      </c>
      <c r="RV3" s="13" t="s">
        <v>29</v>
      </c>
      <c r="RW3" s="16" t="s">
        <v>14</v>
      </c>
      <c r="RX3" s="16" t="s">
        <v>9</v>
      </c>
      <c r="RY3" s="16" t="s">
        <v>28</v>
      </c>
      <c r="RZ3" s="16" t="s">
        <v>29</v>
      </c>
      <c r="SA3" s="13"/>
      <c r="SB3" s="13"/>
      <c r="SC3" s="13"/>
      <c r="SD3" s="13"/>
      <c r="SE3" s="13"/>
      <c r="SF3" s="13"/>
      <c r="SG3" s="13"/>
      <c r="SH3" s="13"/>
      <c r="SI3" s="14" t="s">
        <v>14</v>
      </c>
      <c r="SJ3" s="14" t="s">
        <v>9</v>
      </c>
      <c r="SK3" s="14" t="s">
        <v>28</v>
      </c>
      <c r="SL3" s="14" t="s">
        <v>29</v>
      </c>
      <c r="SM3" s="14" t="s">
        <v>14</v>
      </c>
      <c r="SN3" s="14" t="s">
        <v>9</v>
      </c>
      <c r="SO3" s="14" t="s">
        <v>28</v>
      </c>
      <c r="SP3" s="14" t="s">
        <v>29</v>
      </c>
      <c r="SQ3" s="14" t="s">
        <v>14</v>
      </c>
      <c r="SR3" s="14" t="s">
        <v>9</v>
      </c>
      <c r="SS3" s="14" t="s">
        <v>28</v>
      </c>
      <c r="ST3" s="14" t="s">
        <v>29</v>
      </c>
      <c r="SU3" s="14" t="s">
        <v>14</v>
      </c>
      <c r="SV3" s="14" t="s">
        <v>9</v>
      </c>
      <c r="SW3" s="14" t="s">
        <v>28</v>
      </c>
      <c r="SX3" s="14" t="s">
        <v>29</v>
      </c>
      <c r="SY3" s="15" t="s">
        <v>14</v>
      </c>
      <c r="SZ3" s="15" t="s">
        <v>9</v>
      </c>
      <c r="TA3" s="15" t="s">
        <v>28</v>
      </c>
      <c r="TB3" s="15" t="s">
        <v>29</v>
      </c>
      <c r="TC3" s="14"/>
      <c r="TD3" s="14"/>
      <c r="TE3" s="14"/>
      <c r="TF3" s="14"/>
      <c r="TG3" s="14"/>
      <c r="TH3" s="14"/>
      <c r="TI3" s="14"/>
      <c r="TJ3" s="14"/>
      <c r="TK3" s="13" t="s">
        <v>14</v>
      </c>
      <c r="TL3" s="13" t="s">
        <v>9</v>
      </c>
      <c r="TM3" s="13" t="s">
        <v>28</v>
      </c>
      <c r="TN3" s="13" t="s">
        <v>29</v>
      </c>
      <c r="TO3" s="13" t="s">
        <v>14</v>
      </c>
      <c r="TP3" s="13" t="s">
        <v>9</v>
      </c>
      <c r="TQ3" s="13" t="s">
        <v>28</v>
      </c>
      <c r="TR3" s="13" t="s">
        <v>29</v>
      </c>
      <c r="TS3" s="13" t="s">
        <v>14</v>
      </c>
      <c r="TT3" s="13" t="s">
        <v>9</v>
      </c>
      <c r="TU3" s="13" t="s">
        <v>28</v>
      </c>
      <c r="TV3" s="13" t="s">
        <v>29</v>
      </c>
      <c r="TW3" s="13" t="s">
        <v>14</v>
      </c>
      <c r="TX3" s="13" t="s">
        <v>9</v>
      </c>
      <c r="TY3" s="13" t="s">
        <v>28</v>
      </c>
      <c r="TZ3" s="13" t="s">
        <v>29</v>
      </c>
      <c r="UA3" s="62" t="s">
        <v>14</v>
      </c>
      <c r="UB3" s="62" t="s">
        <v>9</v>
      </c>
      <c r="UC3" s="62" t="s">
        <v>28</v>
      </c>
      <c r="UD3" s="62" t="s">
        <v>29</v>
      </c>
      <c r="UE3" s="13" t="s">
        <v>52</v>
      </c>
      <c r="UF3" s="13"/>
      <c r="UG3" s="13"/>
      <c r="UH3" s="13"/>
      <c r="UI3" s="13"/>
      <c r="UJ3" s="13"/>
      <c r="UK3" s="13"/>
      <c r="UL3" s="13"/>
      <c r="UM3" s="13"/>
    </row>
    <row r="4" spans="1:559" x14ac:dyDescent="0.2">
      <c r="A4" s="4" cm="1">
        <f t="array" ref="A4">IF(AND(H4&lt;&gt;"",H4&lt;&gt;"No DD"),SUMPRODUCT((H$4:H$17&lt;&gt;"")*(H$4:H$17&lt;&gt;"No DD")*(E$4:E$17&gt;E4))+1,IF(H4="No DD",SUMPRODUCT((H$4:H$17="No DD")*(E$4:E$17&gt;E4))+1+SUMPRODUCT((H$4:H$17&lt;&gt;"")*(H$4:H$17&lt;&gt;"No DD")),""))</f>
        <v>1</v>
      </c>
      <c r="B4" s="5" t="s">
        <v>237</v>
      </c>
      <c r="C4" s="4" t="s">
        <v>7</v>
      </c>
      <c r="D4" s="4">
        <v>2003</v>
      </c>
      <c r="E4" s="9">
        <f t="shared" ref="E4:E16" si="0">SUM(J4:R4)+SUM(J4:N4)*0.0000001+SUM(J4)*0.0000000000001</f>
        <v>155.90001122000453</v>
      </c>
      <c r="F4" s="3" t="str">
        <f t="shared" ref="F4:F16" si="1">IF(OR(AND(AP4&gt;=AW$19,AQ4&gt;=AW$23,AP4&lt;&gt;"",AO4=""),AND(AU4&gt;=AW$19,AV4&gt;=AW$23,AU4&lt;&gt;"",AO4=""),AND(BS4&gt;=BZ$19,BT4&gt;=BZ$23,BS4&lt;&gt;"",BR4=""),AND(BX4&gt;=BZ$19,BY4&gt;=BZ$23,BX4&lt;&gt;"",BR4=""),AND(CV4&gt;=DC$19,CW4&gt;=DC$23,CV4&lt;&gt;"",CU4=""),AND(DA4&gt;=DC$19,DB4&gt;=DC$23,DA4&lt;&gt;""),AND(EA4&gt;=EH$19,EB4&gt;=EH$23,EA4&lt;&gt;""),AND(EF4&gt;=EH$19,EG4&gt;=EH$23,EF4&lt;&gt;""),AND(FC4&gt;=FJ$19,FD4&gt;=FJ$23,FC4&lt;&gt;""),AND(FH4&gt;=FJ$19,FI4&gt;=FJ$23,FH4&lt;&gt;""),AND(GE4&gt;=GL$19,GF4&gt;=GL$23,GE4&lt;&gt;""),AND(GJ4&gt;=GL$19,GK4&gt;=GL$23,GJ4&lt;&gt;""),AND(HG4&gt;=HN$19,HH4&gt;=HN$23,HG4&lt;&gt;""),AND(HL4&gt;=HN$19,HM4&gt;=HN$23,HL4&lt;&gt;""),AND(II4&gt;=IP$19,IJ4&gt;=IP$23,II4&lt;&gt;""),AND(IN4&gt;=IP$19,IO4&gt;=IP$23,IN4&lt;&gt;""),AND(JK4&gt;=JR$19,JL4&gt;=JR$23,JK4&lt;&gt;""),AND(JP4&gt;=JR$19,JQ4&gt;=JR$23,JP4&lt;&gt;""),AND(KM4&gt;=KT$19,KN4&gt;=KT$23,KM4&lt;&gt;""),AND(KR4&gt;=KT$19,KS4&gt;=KT$23,KR4&lt;&gt;""),AND(LO4&gt;=LV$19,LP4&gt;=LV$23,LO4&lt;&gt;""),AND(LT4&gt;=LV$19,LU4&gt;=LV$23,LT4&lt;&gt;""),AND(MQ4&gt;=MX$19,MR4&gt;=MX$23,MQ4&lt;&gt;""),AND(MV4&gt;=MX$19,MW4&gt;=MX$23,MV4&lt;&gt;""),AND(NS4&gt;=NZ$19,NT4&gt;=NZ$23,NS4&lt;&gt;""),AND(NX4&gt;=NZ$19,NY4&gt;=NZ$23,NX4&lt;&gt;""),AND(OU4&gt;=PB$19,OV4&gt;=PB$23,OU4&lt;&gt;""),AND(OZ4&gt;=PB$19,PA4&gt;=PB$23,OZ4&lt;&gt;""),AND(PW4&gt;=QD$19,PX4&gt;=QD$23,PW4&lt;&gt;""),AND(QB4&gt;=QD$19,QC4&gt;=QD$23,QB4&lt;&gt;""),AND(QY4&gt;=RF$19,QZ4&gt;=RF$23,QY4&lt;&gt;""),AND(RD4&gt;=RF$19,RE4&gt;=RF$23,RD4&lt;&gt;""),AND(SA4&gt;=SH$19,SB4&gt;=SH$23,SA4&lt;&gt;""),AND(SF4&gt;=SH$19,SG4&gt;=SH$23,SF4&lt;&gt;""),AND(TC4&gt;=TJ$19,TD4&gt;=TJ$23,TC4&lt;&gt;""),AND(TI4&gt;=TJ$19,TJ4&gt;=TJ$23,TI4&lt;&gt;"")),"P","")</f>
        <v>P</v>
      </c>
      <c r="G4" s="3" t="str">
        <f t="shared" ref="G4:G16" si="2">IF(OR(AND(AQ4&gt;=AW$23,AQ4&lt;&gt;"",AO4=""),AND(AV4&gt;=AW$23,AV4&lt;&gt;"",AO4=""),AND(BT4&gt;=BZ$23,BT4&lt;&gt;"",BR4=""),AND(BY4&gt;=BZ$23,BY4&lt;&gt;"",BR4=""),AND(CW4&gt;=DC$23,CW4&lt;&gt;"",CU4=""),AND(DB4&gt;=DC$23,DB4&lt;&gt;"",CU4=""),AND(EB4&gt;=EH$23,EB4&lt;&gt;""),AND(EG4&gt;=EH$23,EG4&lt;&gt;""),AND(FD4&gt;=FJ$23,FD4&lt;&gt;""),AND(FI4&gt;=FJ$23,FI4&lt;&gt;""),AND(GF4&gt;=GL$23,GF4&lt;&gt;""),AND(GK4&gt;=GL$23,GK4&lt;&gt;""),AND(HH4&gt;=HN$23,HH4&lt;&gt;""),AND(HM4&gt;=HN$23,HM4&lt;&gt;""),AND(IJ4&gt;=IP$23,IJ4&lt;&gt;""),AND(IO4&gt;=IP$23,IO4&lt;&gt;""),AND(JL4&gt;=JR$23,JL4&lt;&gt;""),AND(JQ4&gt;=JR$23,JQ4&lt;&gt;""),AND(KN4&gt;=KT$23,KN4&lt;&gt;""),AND(KS4&gt;=KT$23,KS4&lt;&gt;""),AND(LP4&gt;=LV$23,LP4&lt;&gt;""),AND(LU4&gt;=LV$23,LU4&lt;&gt;""),AND(MR4&gt;=MX$23,MR4&lt;&gt;""),AND(MW4&gt;=MX$23,MW4&lt;&gt;""),AND(NT4&gt;=NZ$23,NT4&lt;&gt;""),AND(NY4&gt;=NZ$23,NY4&lt;&gt;""),AND(OV4&gt;=PB$23,OV4&lt;&gt;""),AND(PA4&gt;=PB$23,PA4&lt;&gt;""),AND(PX4&gt;=QD$23,PX4&lt;&gt;""),AND(QC4&gt;=QD$23,QC4&lt;&gt;""),AND(QZ4&gt;=RF$23,QZ4&lt;&gt;""),AND(RE4&gt;=RF$23,RE4&lt;&gt;""),AND(SB4&gt;=SH$23,SB4&lt;&gt;""),AND(SG4&gt;=SH$23,SG4&lt;&gt;""),AND(TD4&gt;=TJ$23,TD4&lt;&gt;""),AND(TJ4&gt;=TJ$23,TJ4&lt;&gt;"")),"P","")</f>
        <v>P</v>
      </c>
      <c r="H4" s="36" t="str">
        <f t="shared" ref="H4:H16" si="3">IF(AND(G4="P",F4=""),"No DD",IF(OR(AND(AS4&gt;=AW$22,AT4&gt;=AW$26,AS4&lt;&gt;"",AO4=""),AND(BV4&gt;=BZ$22,BW4&gt;=BZ$26,BV4&lt;&gt;"",BR4=""),AND(CY4&gt;=DC$22,CZ4&gt;=DC$26,CY4&lt;&gt;"",CU4=""),AND(ED4&gt;=EH$22,EE4&gt;=EH$26,ED4&lt;&gt;""),AND(FF4&gt;=FJ$22,FG4&gt;=FJ$26,FF4&lt;&gt;""),AND(GH4&gt;=GL$22,GI4&gt;=GL$26,GH4&lt;&gt;""),AND(HJ4&gt;=HN$22,HK4&gt;=HN$26,HJ4&lt;&gt;""),AND(IL4&gt;=IP$22,IM4&gt;=IP$26,IL4&lt;&gt;""),AND(JN4&gt;=JR$22,JO4&gt;=JR$26,JN4&lt;&gt;""),AND(KP4&gt;=KT$22,KQ4&gt;=KT$26,KP4&lt;&gt;""),AND(LR4&gt;=LV$22,LS4&gt;=LV$26,LR4&lt;&gt;""),AND(MT4&gt;=MX$22,MU4&gt;=MX$26,MT4&lt;&gt;""),AND(NV4&gt;=NZ$22,NW4&gt;=NZ$26,NV4&lt;&gt;""),AND(OX4&gt;=PB$22,OY4&gt;=PB$26,OX4&lt;&gt;""),AND(PZ4&gt;=QD$22,QA4&gt;=QD$26,PZ4&lt;&gt;""),AND(RB4&gt;=RF$22,RC4&gt;=RF$26,RB4&lt;&gt;""),AND(SD4&gt;=SH$22,SE4&gt;=SH$26,SD4&lt;&gt;""),AND(TF4&gt;=TJ$22,TG4&gt;=TJ$26,TF4&lt;&gt;"")),"Merit",IF(OR(AND(AS4&gt;=AW$21,AT4&gt;=AW$25,AS4&lt;&gt;"",AO4=""),AND(BV4&gt;=BZ$21,BW4&gt;=BZ$25,BV4&lt;&gt;"",BR4=""),AND(CY4&gt;=DC$21,CZ4&gt;=DC$25,CY4&lt;&gt;"",CU4=""),AND(ED4&gt;=EH$21,EE4&gt;=EH$25,ED4&lt;&gt;""),AND(FF4&gt;=FJ$21,FG4&gt;=FJ$25,FF4&lt;&gt;""),AND(GH4&gt;=GL$21,GI4&gt;=GL$25,GH4&lt;&gt;""),AND(HJ4&gt;=HN$21,HK4&gt;=HN$25,HJ4&lt;&gt;""),AND(IL4&gt;=IP$21,IM4&gt;=IP$25,IL4&lt;&gt;""),AND(JN4&gt;=JR$21,JO4&gt;=JR$25,JN4&lt;&gt;""),AND(KP4&gt;=KT$21,KQ4&gt;=KT$25,KP4&lt;&gt;""),AND(LR4&gt;=LV$21,LS4&gt;=LV$25,LR4&lt;&gt;""),AND(MT4&gt;=MX$21,MU4&gt;=MX$25,MT4&lt;&gt;""),AND(NV4&gt;=NZ$21,NW4&gt;=NZ$25,NV4&lt;&gt;""),AND(OX4&gt;=PB$21,OY4&gt;=PB$25,OX4&lt;&gt;""),AND(PZ4&gt;=QD$21,QA4&gt;=QD$25,PZ4&lt;&gt;""),AND(RB4&gt;=RF$21,RC4&gt;=RF$25,RB4&lt;&gt;""),AND(SD4&gt;=SH$21,SE4&gt;=SH$25,SD4&lt;&gt;""),AND(TF4&gt;=TJ$21,TG4&gt;=TJ$25,TF4&lt;&gt;"")),"Excellence",IF(I4="P","Worlds Team",IF(F4="P","National Team","")))))</f>
        <v>Worlds Team</v>
      </c>
      <c r="I4" s="3" t="str">
        <f t="shared" ref="I4:I16" si="4">IF(OR(AND(AS4&gt;=AW$20,AT4&gt;=AW$24,AS4&lt;&gt;"",AO4=""),AND(BV4&gt;=BZ$20,BW4&gt;=BZ$24,BV4&lt;&gt;"",BR4=""),AND(CY4&gt;=DC$20,CZ4&gt;=DC$24,CY4&lt;&gt;"",CU4=""),AND(ED4&gt;=EH$20,EE4&gt;=EH$24,ED4&lt;&gt;""),AND(FF4&gt;=FJ$20,FG4&gt;=FJ$24,FF4&lt;&gt;""),AND(GH4&gt;=GL$20,GI4&gt;=GL$24,GH4&lt;&gt;""),AND(HJ4&gt;=HN$20,HK4&gt;=HN$24,HJ4&lt;&gt;""),AND(IL4&gt;=IP$20,IM4&gt;=IP$24,IL4&lt;&gt;""),AND(JN4&gt;=JR$20,JO4&gt;=JR$24,JN4&lt;&gt;""),AND(KP4&gt;=KT$20,KQ4&gt;=KT$24,KP4&lt;&gt;""),AND(LR4&gt;=LV$20,LS4&gt;=LV$24,LR4&lt;&gt;""),AND(MT4&gt;=MX$20,MU4&gt;=MX$24,MT4&lt;&gt;""),AND(NV4&gt;=NZ$20,NW4&gt;=NZ$24,NV4&lt;&gt;""),AND(OX4&gt;=PB$20,OY4&gt;=PB$24,OX4&lt;&gt;""),AND(PZ4&gt;=QD$20,QA4&gt;=QD$24,PZ4&lt;&gt;""),AND(RB4&gt;=RF$20,RC4&gt;=RF$24,RB4&lt;&gt;""),AND(SD4&gt;=SH$20,SE4&gt;=SH$24,SD4&lt;&gt;""),AND(TF4&gt;=TJ$20,TG4&gt;=TJ$24,TF4&lt;&gt;"")),"P","")</f>
        <v>P</v>
      </c>
      <c r="J4" s="8">
        <f>IF(COUNT(AQ4,BT4,CW4)&gt;0,LARGE((AQ4,BT4,CW4),1),0)</f>
        <v>45.499999999999993</v>
      </c>
      <c r="K4" s="8" t="str">
        <f t="shared" ref="K4:K16" si="5">IF(J4=0,"",IF(J4=CW4,$CA$1,IF(J4=BT4,$AX$1,IF(J4=AQ4,$U$1,""))))</f>
        <v>2024 3rd Domestic Trial</v>
      </c>
      <c r="L4" s="8">
        <f>IF(COUNT(AQ4,BT4,CW4)&gt;1,LARGE((AQ4,BT4,CW4),2),0)</f>
        <v>44.399999999999991</v>
      </c>
      <c r="M4" s="8" t="str">
        <f t="shared" ref="M4:M16" si="6">IF(K4=0,"",IF(AND(L4=J4,L4=AQ4,K4=BT4),$U$1,IF(AND(L4=J4,L4=AQ4,L4=CW4),$U$1,IF(AND(L4=J4,L4=CW4,L4=BT4),$AX$1,IF(L4=CW4,$CA$1,IF(L4=BT4,$AX$1,IF(L4=AQ4,$U$1,"")))))))</f>
        <v>2024 Nationals</v>
      </c>
      <c r="N4" s="8">
        <f>IF(COUNT(AR4,BU4,CX4)&gt;0,LARGE((AR4,BU4,CX4),1),0)</f>
        <v>22.3</v>
      </c>
      <c r="O4" s="8" t="str">
        <f t="shared" ref="O4:O16" si="7">IF(N4=0,"",IF(N4=CX4,$CA$1,IF(N4=BU4,$AX$1,IF(N4=AR4,$U$1,""))))</f>
        <v>2024 3rd Domestic Trial</v>
      </c>
      <c r="P4" s="8">
        <f t="shared" ref="P4:P16" si="8">IF(MAX(AV4,BY4,DB4)&gt;0,MAX(AV4,BY4,DB4),0)</f>
        <v>43.699999999999996</v>
      </c>
      <c r="Q4" s="8" t="str">
        <f t="shared" ref="Q4:Q16" si="9">IF(P4=0,"",IF(P4=DB4,$CA$1,IF(P4=BY4,$AX$1,IF(P4=AV4,$U$1,""))))</f>
        <v>2024 Nationals</v>
      </c>
      <c r="R4" s="8" t="str">
        <f t="shared" ref="R4:R16" si="10">IF(MAX(DD4:DF4)&gt;0,MAX(DD4:DF4),"")</f>
        <v/>
      </c>
      <c r="S4" s="11" t="str">
        <f t="shared" ref="S4:S16" si="11">IF(R4="","",IF(R4=DD4,"("&amp;DD$2&amp;")",IF(R4=DE4,"("&amp;DE$2&amp;")",IF(R4=DF4,"("&amp;DF$2&amp;")"))))</f>
        <v/>
      </c>
      <c r="T4" s="8" t="str">
        <f t="shared" ref="T4:T16" si="12">IF(R4="","",IF(R4=DD4,IF(R4+IF(L4="",0,L4)=TD4,$SI$1,IF(R4+IF(L4="",0,L4)=SB4,$RG$1,IF(R4+IF(L4="",0,L4)=QZ4,$QE$1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))),IF(R4=DE4,IF(R4+IF(N4="",0,N4)=TE4,$SI$1,IF(R4+IF(N4="",0,N4)=SC4,$RG$1,IF(R4+IF(N4="",0,N4)=RA4,$QE$1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))),IF(R4=DF4,IF(R4+IF(P4="",0,P4)=TI4,$SI$1,IF(R4+IF(P4="",0,P4)=SG4,$RG$1,IF(R4+IF(P4="",0,P4)=RE4,$QE$1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)))</f>
        <v/>
      </c>
      <c r="U4" s="19">
        <v>16.7</v>
      </c>
      <c r="V4" s="19">
        <v>4.0999999999999996</v>
      </c>
      <c r="W4" s="19">
        <v>0</v>
      </c>
      <c r="X4" s="19">
        <v>0.3</v>
      </c>
      <c r="Y4" s="19">
        <v>17.5</v>
      </c>
      <c r="Z4" s="19">
        <v>3.9</v>
      </c>
      <c r="AA4" s="19">
        <v>0</v>
      </c>
      <c r="AB4" s="19">
        <v>0.3</v>
      </c>
      <c r="AC4" s="19">
        <v>17.8</v>
      </c>
      <c r="AD4" s="19">
        <v>3.9</v>
      </c>
      <c r="AE4" s="19">
        <v>0</v>
      </c>
      <c r="AF4" s="19">
        <v>0.3</v>
      </c>
      <c r="AG4" s="19">
        <v>17</v>
      </c>
      <c r="AH4" s="19">
        <v>3.9</v>
      </c>
      <c r="AI4" s="19">
        <v>0</v>
      </c>
      <c r="AJ4" s="19">
        <v>0.3</v>
      </c>
      <c r="AK4" s="19">
        <v>17.3</v>
      </c>
      <c r="AL4" s="19">
        <v>4.0999999999999996</v>
      </c>
      <c r="AM4" s="19">
        <v>0</v>
      </c>
      <c r="AN4" s="19">
        <v>0.3</v>
      </c>
      <c r="AO4" s="27"/>
      <c r="AP4" s="40">
        <f t="shared" ref="AP4:AP16" si="13">IF(SUM(V4,Z4)&gt;0,SUM(V4,Z4),"")</f>
        <v>8</v>
      </c>
      <c r="AQ4" s="40">
        <f t="shared" ref="AQ4:AQ16" si="14">IF(SUM(U4:V4,X4:Z4,AB4)-W4-AA4&gt;0,SUM(U4:V4,X4:Z4,AB4)-W4-AA4,"")</f>
        <v>42.79999999999999</v>
      </c>
      <c r="AR4" s="40">
        <f t="shared" ref="AR4:AR16" si="15">IF(SUM(AC4:AD4,AF4)-AE4&gt;0,SUM(AC4:AD4,AF4)-AE4,"")</f>
        <v>22</v>
      </c>
      <c r="AS4" s="40">
        <f t="shared" ref="AS4:AS16" si="16">IF(SUM(V4,Z4,AD4)&gt;0,SUM(V4,Z4,AD4),"")</f>
        <v>11.9</v>
      </c>
      <c r="AT4" s="40">
        <f t="shared" ref="AT4:AT16" si="17">IF(SUM(AQ4,AR4)&gt;0,SUM(AQ4,AR4),"")</f>
        <v>64.799999999999983</v>
      </c>
      <c r="AU4" s="40">
        <f t="shared" ref="AU4:AU16" si="18">IF(SUM(AH4,AL4)&gt;0,SUM(AH4,AL4),"")</f>
        <v>8</v>
      </c>
      <c r="AV4" s="40">
        <f t="shared" ref="AV4:AV16" si="19">IF(SUM(AG4:AH4,AJ4:AL4,AN4)-SUM(AI4,AM4)&gt;0,SUM(AG4:AH4,AJ4:AL4,AN4)-SUM(AI4,AM4),"")</f>
        <v>42.9</v>
      </c>
      <c r="AW4" s="40">
        <f t="shared" ref="AW4:AW16" si="20">IF(SUM(AQ4,AR4,AV4)&gt;0,SUM(AQ4,AR4,AV4),"")</f>
        <v>107.69999999999999</v>
      </c>
      <c r="AX4" s="18">
        <v>16.7</v>
      </c>
      <c r="AY4" s="18">
        <v>4.5999999999999996</v>
      </c>
      <c r="AZ4" s="18">
        <v>0</v>
      </c>
      <c r="BA4" s="18">
        <v>0.6</v>
      </c>
      <c r="BB4" s="18">
        <v>17.899999999999999</v>
      </c>
      <c r="BC4" s="18">
        <v>4.3</v>
      </c>
      <c r="BD4" s="18">
        <v>0</v>
      </c>
      <c r="BE4" s="18">
        <v>0.3</v>
      </c>
      <c r="BF4" s="18">
        <v>17.5</v>
      </c>
      <c r="BG4" s="18">
        <v>4.0999999999999996</v>
      </c>
      <c r="BH4" s="18">
        <v>0</v>
      </c>
      <c r="BI4" s="18">
        <v>0.3</v>
      </c>
      <c r="BJ4" s="18">
        <v>17.7</v>
      </c>
      <c r="BK4" s="18">
        <v>3.9</v>
      </c>
      <c r="BL4" s="18">
        <v>0</v>
      </c>
      <c r="BM4" s="18">
        <v>0.3</v>
      </c>
      <c r="BN4" s="18">
        <v>17.399999999999999</v>
      </c>
      <c r="BO4" s="18">
        <v>4.0999999999999996</v>
      </c>
      <c r="BP4" s="18">
        <v>0</v>
      </c>
      <c r="BQ4" s="18">
        <v>0.3</v>
      </c>
      <c r="BR4" s="28"/>
      <c r="BS4" s="11">
        <f t="shared" ref="BS4:BS16" si="21">IF(SUM(AY4,BC4)&gt;0,SUM(AY4,BC4),"")</f>
        <v>8.8999999999999986</v>
      </c>
      <c r="BT4" s="11">
        <f t="shared" ref="BT4:BT16" si="22">IF(SUM(AX4:AY4,BA4:BC4,BE4)-AZ4-BD4&gt;0,SUM(AX4:AY4,BA4:BC4,BE4)-AZ4-BD4,"")</f>
        <v>44.399999999999991</v>
      </c>
      <c r="BU4" s="11">
        <f t="shared" ref="BU4:BU16" si="23">IF(SUM(BF4:BG4,BI4)-BH4&gt;0,SUM(BF4:BG4,BI4)-BH4,"")</f>
        <v>21.900000000000002</v>
      </c>
      <c r="BV4" s="11">
        <f t="shared" ref="BV4:BV16" si="24">IF(SUM(AY4,BC4,BG4)&gt;0,SUM(AY4,BC4,BG4),"")</f>
        <v>12.999999999999998</v>
      </c>
      <c r="BW4" s="11">
        <f t="shared" ref="BW4:BW16" si="25">IF(SUM(BT4,BU4)&gt;0,SUM(BT4,BU4),"")</f>
        <v>66.3</v>
      </c>
      <c r="BX4" s="11">
        <f t="shared" ref="BX4:BX16" si="26">IF(SUM(BK4,BO4)&gt;0,SUM(BK4,BO4),"")</f>
        <v>8</v>
      </c>
      <c r="BY4" s="11">
        <f t="shared" ref="BY4:BY16" si="27">IF(SUM(BJ4:BK4,BM4:BO4,BQ4)-SUM(BL4,BP4)&gt;0,SUM(BJ4:BK4,BM4:BO4,BQ4)-SUM(BL4,BP4),"")</f>
        <v>43.699999999999996</v>
      </c>
      <c r="BZ4" s="11">
        <f t="shared" ref="BZ4:BZ16" si="28">IF(SUM(BT4,BU4,BY4)&gt;0,SUM(BT4,BU4,BY4),"")</f>
        <v>110</v>
      </c>
      <c r="CA4" s="19">
        <v>16.8</v>
      </c>
      <c r="CB4" s="19">
        <v>6.1</v>
      </c>
      <c r="CC4" s="19">
        <v>0</v>
      </c>
      <c r="CD4" s="19">
        <v>0.3</v>
      </c>
      <c r="CE4" s="19">
        <v>17.7</v>
      </c>
      <c r="CF4" s="19">
        <v>4.3</v>
      </c>
      <c r="CG4" s="19">
        <v>0</v>
      </c>
      <c r="CH4" s="19">
        <v>0.3</v>
      </c>
      <c r="CI4" s="19">
        <v>17.7</v>
      </c>
      <c r="CJ4" s="19">
        <v>4.3</v>
      </c>
      <c r="CK4" s="19">
        <v>0</v>
      </c>
      <c r="CL4" s="19">
        <v>0.3</v>
      </c>
      <c r="CM4" s="19">
        <v>16.3</v>
      </c>
      <c r="CN4" s="19">
        <v>3.8</v>
      </c>
      <c r="CO4" s="19">
        <v>0</v>
      </c>
      <c r="CP4" s="19">
        <v>0.3</v>
      </c>
      <c r="CQ4" s="19">
        <v>17.8</v>
      </c>
      <c r="CR4" s="19">
        <v>4.3</v>
      </c>
      <c r="CS4" s="19">
        <v>0</v>
      </c>
      <c r="CT4" s="19">
        <v>0.3</v>
      </c>
      <c r="CU4" s="27"/>
      <c r="CV4" s="40">
        <f t="shared" ref="CV4:CV16" si="29">IF(SUM(CB4,CF4)&gt;0,SUM(CB4,CF4),"")</f>
        <v>10.399999999999999</v>
      </c>
      <c r="CW4" s="40">
        <f t="shared" ref="CW4:CW16" si="30">IF(SUM(CA4:CB4,CD4:CF4,CH4)-CC4-CG4&gt;0,SUM(CA4:CB4,CD4:CF4,CH4)-CC4-CG4,"")</f>
        <v>45.499999999999993</v>
      </c>
      <c r="CX4" s="40">
        <f t="shared" ref="CX4:CX16" si="31">IF(SUM(CI4:CJ4,CL4)-CK4&gt;0,SUM(CI4:CJ4,CL4)-CK4,"")</f>
        <v>22.3</v>
      </c>
      <c r="CY4" s="40">
        <f t="shared" ref="CY4:CY16" si="32">IF(SUM(CB4,CF4,CJ4)&gt;0,SUM(CB4,CF4,CJ4),"")</f>
        <v>14.7</v>
      </c>
      <c r="CZ4" s="40">
        <f t="shared" ref="CZ4:CZ16" si="33">IF(SUM(CW4,CX4)&gt;0,SUM(CW4,CX4),"")</f>
        <v>67.8</v>
      </c>
      <c r="DA4" s="40">
        <f t="shared" ref="DA4:DA16" si="34">IF(SUM(CN4,CR4)&gt;0,SUM(CN4,CR4),"")</f>
        <v>8.1</v>
      </c>
      <c r="DB4" s="40">
        <f t="shared" ref="DB4:DB16" si="35">IF(SUM(CM4:CN4,CP4:CR4,CT4)-SUM(CO4,CS4)&gt;0,SUM(CM4:CN4,CP4:CR4,CT4)-SUM(CO4,CS4),"")</f>
        <v>42.8</v>
      </c>
      <c r="DC4" s="40">
        <f t="shared" ref="DC4:DC16" si="36">IF(SUM(CW4,CX4,DB4)&gt;0,SUM(CW4,CX4,DB4),"")</f>
        <v>110.6</v>
      </c>
      <c r="DD4" s="51" t="str">
        <f t="shared" ref="DD4:DD16" si="37">IF(MAX(EB4,FD4,GF4,HH4,IJ4,JL4,KN4,LP4,MR4,NT4,OV4,PX4,QZ4,SB4,TD4)-IF(L4="",0,L4)&gt;0.001,MAX(EB4,FD4,GF4,HH4,IJ4,JL4,KN4,LP4,MR4,NT4,OV4,PX4,QZ4,SB4,TD4)-IF(L4="",0,L4),"")</f>
        <v/>
      </c>
      <c r="DE4" s="51" t="str">
        <f t="shared" ref="DE4:DE16" si="38">IF(MAX(EC4,FE4,GG4,HI4,IK4,JM4,KO4,LQ4,MS4,NU4,OW4,PY4,RA4,SC4,TE4)-IF(N4="",0,N4)&gt;0.001,MAX(EC4,FE4,GG4,HI4,IK4,JM4,KO4,LQ4,MS4,NU4,OW4,PY4,RA4,SC4,TE4)-IF(N4="",0,N4),"")</f>
        <v/>
      </c>
      <c r="DF4" s="51" t="str">
        <f t="shared" ref="DF4:DF16" si="39">IF(MAX(EG4,FI4,GK4,HM4,IO4,JQ4,KS4,LU4,MW4,NY4,PA4,QC4,RE4,SG4,TI4)-IF(P4="",0,P4)&gt;0.001,MAX(EG4,FI4,GK4,HM4,IO4,JQ4,KS4,LU4,MW4,NY4,PA4,QC4,RE4,SG4,TI4)-IF(P4="",0,P4),"")</f>
        <v/>
      </c>
      <c r="DG4" s="17">
        <v>16.7</v>
      </c>
      <c r="DH4" s="17">
        <v>4.3</v>
      </c>
      <c r="DI4" s="17">
        <v>0</v>
      </c>
      <c r="DJ4" s="17">
        <v>0</v>
      </c>
      <c r="DK4" s="17">
        <v>16.600000000000001</v>
      </c>
      <c r="DL4" s="17">
        <v>4.0999999999999996</v>
      </c>
      <c r="DM4" s="17">
        <v>0.2</v>
      </c>
      <c r="DN4" s="17">
        <v>0</v>
      </c>
      <c r="DO4" s="17"/>
      <c r="DP4" s="17"/>
      <c r="DQ4" s="17"/>
      <c r="DR4" s="17"/>
      <c r="DS4" s="17">
        <v>16.899999999999999</v>
      </c>
      <c r="DT4" s="17">
        <v>3.9</v>
      </c>
      <c r="DU4" s="17">
        <v>0</v>
      </c>
      <c r="DV4" s="17">
        <v>0</v>
      </c>
      <c r="DW4" s="17"/>
      <c r="DX4" s="17"/>
      <c r="DY4" s="17"/>
      <c r="DZ4" s="17"/>
      <c r="EA4" s="40">
        <f t="shared" ref="EA4:EA16" si="40">IF(SUM(DH4,DL4)&gt;0,SUM(DH4,DL4),"")</f>
        <v>8.3999999999999986</v>
      </c>
      <c r="EB4" s="40">
        <f t="shared" ref="EB4:EB16" si="41">IF(SUM(DG4:DH4,DJ4:DL4,DN4)-DI4-DM4&gt;0,SUM(DG4:DH4,DJ4:DL4,DN4)-DI4-DM4,"")</f>
        <v>41.5</v>
      </c>
      <c r="EC4" s="40" t="str">
        <f t="shared" ref="EC4:EC16" si="42">IF(SUM(DO4:DP4,DR4)-DQ4&gt;0,SUM(DO4:DP4,DR4)-DQ4,"")</f>
        <v/>
      </c>
      <c r="ED4" s="40">
        <f t="shared" ref="ED4:ED16" si="43">IF(SUM(DH4,DL4,DP4)&gt;0,SUM(DH4,DL4,DP4),"")</f>
        <v>8.3999999999999986</v>
      </c>
      <c r="EE4" s="40">
        <f t="shared" ref="EE4:EE16" si="44">IF(SUM(EB4,EC4)&gt;0,SUM(EB4,EC4),"")</f>
        <v>41.5</v>
      </c>
      <c r="EF4" s="40">
        <f t="shared" ref="EF4:EF16" si="45">IF(SUM(DT4,DX4)&gt;0,SUM(DT4,DX4),"")</f>
        <v>3.9</v>
      </c>
      <c r="EG4" s="40">
        <f t="shared" ref="EG4:EG16" si="46">IF(SUM(DS4:DT4,DV4:DX4,DZ4)-SUM(DU4,DY4)&gt;0,SUM(DS4:DT4,DV4:DX4,DZ4)-SUM(DU4,DY4),"")</f>
        <v>20.799999999999997</v>
      </c>
      <c r="EH4" s="40">
        <f t="shared" ref="EH4:EH16" si="47">IF(SUM(EB4,EC4,EG4)&gt;0,SUM(EB4,EC4,EG4),"")</f>
        <v>62.3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 t="shared" ref="FC4:FC16" si="48">IF(SUM(EJ4,EN4)&gt;0,SUM(EJ4,EN4),"")</f>
        <v/>
      </c>
      <c r="FD4" s="11" t="str">
        <f t="shared" ref="FD4:FD16" si="49">IF(SUM(EI4:EJ4,EL4:EN4,EP4)-EK4-EO4&gt;0,SUM(EI4:EJ4,EL4:EN4,EP4)-EK4-EO4,"")</f>
        <v/>
      </c>
      <c r="FE4" s="11" t="str">
        <f t="shared" ref="FE4:FE16" si="50">IF(SUM(EQ4:ER4,ET4)-ES4&gt;0,SUM(EQ4:ER4,ET4)-ES4,"")</f>
        <v/>
      </c>
      <c r="FF4" s="11" t="str">
        <f t="shared" ref="FF4:FF16" si="51">IF(SUM(EJ4,EN4,ER4)&gt;0,SUM(EJ4,EN4,ER4),"")</f>
        <v/>
      </c>
      <c r="FG4" s="11" t="str">
        <f t="shared" ref="FG4:FG16" si="52">IF(SUM(FD4,FE4)&gt;0,SUM(FD4,FE4),"")</f>
        <v/>
      </c>
      <c r="FH4" s="11" t="str">
        <f t="shared" ref="FH4:FH16" si="53">IF(SUM(EV4,EZ4)&gt;0,SUM(EV4,EZ4),"")</f>
        <v/>
      </c>
      <c r="FI4" s="11" t="str">
        <f t="shared" ref="FI4:FI16" si="54">IF(SUM(EU4:EV4,EX4:EZ4,FB4)-SUM(EW4,FA4)&gt;0,SUM(EU4:EV4,EX4:EZ4,FB4)-SUM(EW4,FA4),"")</f>
        <v/>
      </c>
      <c r="FJ4" s="11" t="str">
        <f t="shared" ref="FJ4:FJ16" si="55">IF(SUM(FD4,FE4,FI4)&gt;0,SUM(FD4,FE4,FI4),"")</f>
        <v/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 t="str">
        <f t="shared" ref="GE4:GE16" si="56">IF(SUM(FL4,FP4)&gt;0,SUM(FL4,FP4),"")</f>
        <v/>
      </c>
      <c r="GF4" s="40" t="str">
        <f t="shared" ref="GF4:GF16" si="57">IF(SUM(FK4:FL4,FN4:FP4,FR4)-FM4-FQ4&gt;0,SUM(FK4:FL4,FN4:FP4,FR4)-FM4-FQ4,"")</f>
        <v/>
      </c>
      <c r="GG4" s="40" t="str">
        <f t="shared" ref="GG4:GG16" si="58">IF(SUM(FS4:FT4,FV4)-FU4&gt;0,SUM(FS4:FT4,FV4)-FU4,"")</f>
        <v/>
      </c>
      <c r="GH4" s="40" t="str">
        <f t="shared" ref="GH4:GH16" si="59">IF(SUM(FL4,FP4,FT4)&gt;0,SUM(FL4,FP4,FT4),"")</f>
        <v/>
      </c>
      <c r="GI4" s="40" t="str">
        <f t="shared" ref="GI4:GI16" si="60">IF(SUM(GF4,GG4)&gt;0,SUM(GF4,GG4),"")</f>
        <v/>
      </c>
      <c r="GJ4" s="40" t="str">
        <f t="shared" ref="GJ4:GJ16" si="61">IF(SUM(FX4,GB4)&gt;0,SUM(FX4,GB4),"")</f>
        <v/>
      </c>
      <c r="GK4" s="40" t="str">
        <f t="shared" ref="GK4:GK16" si="62">IF(SUM(FW4:FX4,FZ4:GB4,GD4)-SUM(FY4,GC4)&gt;0,SUM(FW4:FX4,FZ4:GB4,GD4)-SUM(FY4,GC4),"")</f>
        <v/>
      </c>
      <c r="GL4" s="40" t="str">
        <f t="shared" ref="GL4:GL16" si="63">IF(SUM(GF4,GG4,GK4)&gt;0,SUM(GF4,GG4,GK4),"")</f>
        <v/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 t="shared" ref="HG4:HG16" si="64">IF(SUM(GN4,GR4)&gt;0,SUM(GN4,GR4),"")</f>
        <v/>
      </c>
      <c r="HH4" s="11" t="str">
        <f t="shared" ref="HH4:HH16" si="65">IF(SUM(GM4:GN4,GP4:GR4,GT4)-GO4-GS4&gt;0,SUM(GM4:GN4,GP4:GR4,GT4)-GO4-GS4,"")</f>
        <v/>
      </c>
      <c r="HI4" s="11" t="str">
        <f t="shared" ref="HI4:HI16" si="66">IF(SUM(GU4:GV4,GX4)-GW4&gt;0,SUM(GU4:GV4,GX4)-GW4,"")</f>
        <v/>
      </c>
      <c r="HJ4" s="11" t="str">
        <f t="shared" ref="HJ4:HJ16" si="67">IF(SUM(GN4,GR4,GV4)&gt;0,SUM(GN4,GR4,GV4),"")</f>
        <v/>
      </c>
      <c r="HK4" s="11" t="str">
        <f t="shared" ref="HK4:HK16" si="68">IF(SUM(HH4,HI4)&gt;0,SUM(HH4,HI4),"")</f>
        <v/>
      </c>
      <c r="HL4" s="11" t="str">
        <f t="shared" ref="HL4:HL16" si="69">IF(SUM(GZ4,HD4)&gt;0,SUM(GZ4,HD4),"")</f>
        <v/>
      </c>
      <c r="HM4" s="11" t="str">
        <f t="shared" ref="HM4:HM16" si="70">IF(SUM(GY4:GZ4,HB4:HD4,HF4)-SUM(HA4,HE4)&gt;0,SUM(GY4:GZ4,HB4:HD4,HF4)-SUM(HA4,HE4),"")</f>
        <v/>
      </c>
      <c r="HN4" s="11" t="str">
        <f t="shared" ref="HN4:HN16" si="71"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 t="str">
        <f t="shared" ref="II4:II16" si="72">IF(SUM(HP4,HT4)&gt;0,SUM(HP4,HT4),"")</f>
        <v/>
      </c>
      <c r="IJ4" s="40" t="str">
        <f t="shared" ref="IJ4:IJ16" si="73">IF(SUM(HO4:HP4,HR4:HT4,HV4)-HQ4-HU4&gt;0,SUM(HO4:HP4,HR4:HT4,HV4)-HQ4-HU4,"")</f>
        <v/>
      </c>
      <c r="IK4" s="40" t="str">
        <f t="shared" ref="IK4:IK16" si="74">IF(SUM(HW4:HX4,HZ4)-HY4&gt;0,SUM(HW4:HX4,HZ4)-HY4,"")</f>
        <v/>
      </c>
      <c r="IL4" s="40" t="str">
        <f t="shared" ref="IL4:IL16" si="75">IF(SUM(HP4,HT4,HX4)&gt;0,SUM(HP4,HT4,HX4),"")</f>
        <v/>
      </c>
      <c r="IM4" s="40" t="str">
        <f t="shared" ref="IM4:IM16" si="76">IF(SUM(IJ4,IK4)&gt;0,SUM(IJ4,IK4),"")</f>
        <v/>
      </c>
      <c r="IN4" s="40" t="str">
        <f t="shared" ref="IN4:IN16" si="77">IF(SUM(IB4,IF4)&gt;0,SUM(IB4,IF4),"")</f>
        <v/>
      </c>
      <c r="IO4" s="40" t="str">
        <f t="shared" ref="IO4:IO16" si="78">IF(SUM(IA4:IB4,ID4:IF4,IH4)-SUM(IC4,IG4)&gt;0,SUM(IA4:IB4,ID4:IF4,IH4)-SUM(IC4,IG4),"")</f>
        <v/>
      </c>
      <c r="IP4" s="40" t="str">
        <f t="shared" ref="IP4:IP16" si="79"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 t="shared" ref="JK4:JK16" si="80">IF(SUM(IR4,IV4)&gt;0,SUM(IR4,IV4),"")</f>
        <v/>
      </c>
      <c r="JL4" s="11" t="str">
        <f t="shared" ref="JL4:JL16" si="81">IF(SUM(IQ4:IR4,IT4:IV4,IX4)-IS4-IW4&gt;0,SUM(IQ4:IR4,IT4:IV4,IX4)-IS4-IW4,"")</f>
        <v/>
      </c>
      <c r="JM4" s="11" t="str">
        <f t="shared" ref="JM4:JM16" si="82">IF(SUM(IY4:IZ4,JB4)-JA4&gt;0,SUM(IY4:IZ4,JB4)-JA4,"")</f>
        <v/>
      </c>
      <c r="JN4" s="11" t="str">
        <f t="shared" ref="JN4:JN16" si="83">IF(SUM(IR4,IV4,IZ4)&gt;0,SUM(IR4,IV4,IZ4),"")</f>
        <v/>
      </c>
      <c r="JO4" s="11" t="str">
        <f t="shared" ref="JO4:JO16" si="84">IF(SUM(JL4,JM4)&gt;0,SUM(JL4,JM4),"")</f>
        <v/>
      </c>
      <c r="JP4" s="11" t="str">
        <f t="shared" ref="JP4:JP16" si="85">IF(SUM(JD4,JH4)&gt;0,SUM(JD4,JH4),"")</f>
        <v/>
      </c>
      <c r="JQ4" s="11" t="str">
        <f t="shared" ref="JQ4:JQ16" si="86">IF(SUM(JC4:JD4,JF4:JH4,JJ4)-SUM(JE4,JI4)&gt;0,SUM(JC4:JD4,JF4:JH4,JJ4)-SUM(JE4,JI4),"")</f>
        <v/>
      </c>
      <c r="JR4" s="11" t="str">
        <f t="shared" ref="JR4:JR16" si="87"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0" t="str">
        <f t="shared" ref="KM4:KM16" si="88">IF(SUM(JT4,JX4)&gt;0,SUM(JT4,JX4),"")</f>
        <v/>
      </c>
      <c r="KN4" s="40" t="str">
        <f t="shared" ref="KN4:KN16" si="89">IF(SUM(JS4:JT4,JV4:JX4,JZ4)-JU4-JY4&gt;0,SUM(JS4:JT4,JV4:JX4,JZ4)-JU4-JY4,"")</f>
        <v/>
      </c>
      <c r="KO4" s="40" t="str">
        <f t="shared" ref="KO4:KO16" si="90">IF(SUM(KA4:KB4,KD4)-KC4&gt;0,SUM(KA4:KB4,KD4)-KC4,"")</f>
        <v/>
      </c>
      <c r="KP4" s="40" t="str">
        <f t="shared" ref="KP4:KP16" si="91">IF(SUM(JT4,JX4,KB4)&gt;0,SUM(JT4,JX4,KB4),"")</f>
        <v/>
      </c>
      <c r="KQ4" s="40" t="str">
        <f t="shared" ref="KQ4:KQ16" si="92">IF(SUM(KN4,KO4)&gt;0,SUM(KN4,KO4),"")</f>
        <v/>
      </c>
      <c r="KR4" s="40" t="str">
        <f t="shared" ref="KR4:KR16" si="93">IF(SUM(KF4,KJ4)&gt;0,SUM(KF4,KJ4),"")</f>
        <v/>
      </c>
      <c r="KS4" s="40" t="str">
        <f t="shared" ref="KS4:KS16" si="94">IF(SUM(KE4:KF4,KH4:KJ4,KL4)-SUM(KG4,KK4)&gt;0,SUM(KE4:KF4,KH4:KJ4,KL4)-SUM(KG4,KK4),"")</f>
        <v/>
      </c>
      <c r="KT4" s="40" t="str">
        <f t="shared" ref="KT4:KT16" si="95"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 t="shared" ref="LO4:LO16" si="96">IF(SUM(KV4,KZ4)&gt;0,SUM(KV4,KZ4),"")</f>
        <v/>
      </c>
      <c r="LP4" s="11" t="str">
        <f t="shared" ref="LP4:LP16" si="97">IF(SUM(KU4:KV4,KX4:KZ4,LB4)-KW4-LA4&gt;0,SUM(KU4:KV4,KX4:KZ4,LB4)-KW4-LA4,"")</f>
        <v/>
      </c>
      <c r="LQ4" s="11" t="str">
        <f t="shared" ref="LQ4:LQ16" si="98">IF(SUM(LC4:LD4,LF4)-LE4&gt;0,SUM(LC4:LD4,LF4)-LE4,"")</f>
        <v/>
      </c>
      <c r="LR4" s="11" t="str">
        <f t="shared" ref="LR4:LR16" si="99">IF(SUM(KV4,KZ4,LD4)&gt;0,SUM(KV4,KZ4,LD4),"")</f>
        <v/>
      </c>
      <c r="LS4" s="11" t="str">
        <f t="shared" ref="LS4:LS16" si="100">IF(SUM(LP4,LQ4)&gt;0,SUM(LP4,LQ4),"")</f>
        <v/>
      </c>
      <c r="LT4" s="11" t="str">
        <f t="shared" ref="LT4:LT16" si="101">IF(SUM(LH4,LL4)&gt;0,SUM(LH4,LL4),"")</f>
        <v/>
      </c>
      <c r="LU4" s="11" t="str">
        <f t="shared" ref="LU4:LU16" si="102">IF(SUM(LG4:LH4,LJ4:LL4,LN4)-SUM(LI4,LM4)&gt;0,SUM(LG4:LH4,LJ4:LL4,LN4)-SUM(LI4,LM4),"")</f>
        <v/>
      </c>
      <c r="LV4" s="11" t="str">
        <f t="shared" ref="LV4:LV16" si="103"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 t="shared" ref="MQ4:MQ16" si="104">IF(SUM(LX4,MB4)&gt;0,SUM(LX4,MB4),"")</f>
        <v/>
      </c>
      <c r="MR4" s="40" t="str">
        <f t="shared" ref="MR4:MR16" si="105">IF(SUM(LW4:LX4,LZ4:MB4,MD4)-LY4-MC4&gt;0,SUM(LW4:LX4,LZ4:MB4,MD4)-LY4-MC4,"")</f>
        <v/>
      </c>
      <c r="MS4" s="40" t="str">
        <f t="shared" ref="MS4:MS16" si="106">IF(SUM(ME4:MF4,MH4)-MG4&gt;0,SUM(ME4:MF4,MH4)-MG4,"")</f>
        <v/>
      </c>
      <c r="MT4" s="40" t="str">
        <f t="shared" ref="MT4:MT16" si="107">IF(SUM(LX4,MB4,MF4)&gt;0,SUM(LX4,MB4,MF4),"")</f>
        <v/>
      </c>
      <c r="MU4" s="40" t="str">
        <f t="shared" ref="MU4:MU16" si="108">IF(SUM(MR4,MS4)&gt;0,SUM(MR4,MS4),"")</f>
        <v/>
      </c>
      <c r="MV4" s="40" t="str">
        <f t="shared" ref="MV4:MV16" si="109">IF(SUM(MJ4,MN4)&gt;0,SUM(MJ4,MN4),"")</f>
        <v/>
      </c>
      <c r="MW4" s="40" t="str">
        <f t="shared" ref="MW4:MW16" si="110">IF(SUM(MI4:MJ4,ML4:MN4,MP4)-SUM(MK4,MO4)&gt;0,SUM(MI4:MJ4,ML4:MN4,MP4)-SUM(MK4,MO4),"")</f>
        <v/>
      </c>
      <c r="MX4" s="40" t="str">
        <f t="shared" ref="MX4:MX16" si="111"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16" si="112">IF(SUM(MZ4,ND4)&gt;0,SUM(MZ4,ND4),"")</f>
        <v/>
      </c>
      <c r="NT4" s="11" t="str">
        <f t="shared" ref="NT4:NT16" si="113">IF(SUM(MY4:MZ4,NB4:ND4,NF4)-NA4-NE4&gt;0,SUM(MY4:MZ4,NB4:ND4,NF4)-NA4-NE4,"")</f>
        <v/>
      </c>
      <c r="NU4" s="11" t="str">
        <f t="shared" ref="NU4:NU16" si="114">IF(SUM(NG4:NH4,NJ4)-NI4&gt;0,SUM(NG4:NH4,NJ4)-NI4,"")</f>
        <v/>
      </c>
      <c r="NV4" s="11" t="str">
        <f t="shared" ref="NV4:NV16" si="115">IF(SUM(MZ4,ND4,NH4)&gt;0,SUM(MZ4,ND4,NH4),"")</f>
        <v/>
      </c>
      <c r="NW4" s="11" t="str">
        <f t="shared" ref="NW4:NW16" si="116">IF(SUM(NT4,NU4)&gt;0,SUM(NT4,NU4),"")</f>
        <v/>
      </c>
      <c r="NX4" s="11" t="str">
        <f t="shared" ref="NX4:NX16" si="117">IF(SUM(NL4,NP4)&gt;0,SUM(NL4,NP4),"")</f>
        <v/>
      </c>
      <c r="NY4" s="11" t="str">
        <f t="shared" ref="NY4:NY16" si="118">IF(SUM(NK4:NL4,NN4:NP4,NR4)-SUM(NM4,NQ4)&gt;0,SUM(NK4:NL4,NN4:NP4,NR4)-SUM(NM4,NQ4),"")</f>
        <v/>
      </c>
      <c r="NZ4" s="11" t="str">
        <f t="shared" ref="NZ4:NZ16" si="119"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 t="shared" ref="OU4:OU16" si="120">IF(SUM(OB4,OF4)&gt;0,SUM(OB4,OF4),"")</f>
        <v/>
      </c>
      <c r="OV4" s="40" t="str">
        <f t="shared" ref="OV4:OV16" si="121">IF(SUM(OA4:OB4,OD4:OF4,OH4)-OC4-OG4&gt;0,SUM(OA4:OB4,OD4:OF4,OH4)-OC4-OG4,"")</f>
        <v/>
      </c>
      <c r="OW4" s="40" t="str">
        <f t="shared" ref="OW4:OW16" si="122">IF(SUM(OI4:OJ4,OL4)-OK4&gt;0,SUM(OI4:OJ4,OL4)-OK4,"")</f>
        <v/>
      </c>
      <c r="OX4" s="40" t="str">
        <f t="shared" ref="OX4:OX16" si="123">IF(SUM(OB4,OF4,OJ4)&gt;0,SUM(OB4,OF4,OJ4),"")</f>
        <v/>
      </c>
      <c r="OY4" s="40" t="str">
        <f t="shared" ref="OY4:OY16" si="124">IF(SUM(OV4,OW4)&gt;0,SUM(OV4,OW4),"")</f>
        <v/>
      </c>
      <c r="OZ4" s="40" t="str">
        <f t="shared" ref="OZ4:OZ16" si="125">IF(SUM(ON4,OR4)&gt;0,SUM(ON4,OR4),"")</f>
        <v/>
      </c>
      <c r="PA4" s="40" t="str">
        <f t="shared" ref="PA4:PA16" si="126">IF(SUM(OM4:ON4,OP4:OR4,OT4)-SUM(OO4,OS4)&gt;0,SUM(OM4:ON4,OP4:OR4,OT4)-SUM(OO4,OS4),"")</f>
        <v/>
      </c>
      <c r="PB4" s="40" t="str">
        <f t="shared" ref="PB4:PB16" si="127"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16" si="128">IF(SUM(PD4,PH4)&gt;0,SUM(PD4,PH4),"")</f>
        <v/>
      </c>
      <c r="PX4" s="11" t="str">
        <f t="shared" ref="PX4:PX16" si="129">IF(SUM(PC4:PD4,PF4:PH4,PJ4)-PE4-PI4&gt;0,SUM(PC4:PD4,PF4:PH4,PJ4)-PE4-PI4,"")</f>
        <v/>
      </c>
      <c r="PY4" s="11" t="str">
        <f t="shared" ref="PY4:PY16" si="130">IF(SUM(PK4:PL4,PN4)-PM4&gt;0,SUM(PK4:PL4,PN4)-PM4,"")</f>
        <v/>
      </c>
      <c r="PZ4" s="11" t="str">
        <f t="shared" ref="PZ4:PZ16" si="131">IF(SUM(PD4,PH4,PL4)&gt;0,SUM(PD4,PH4,PL4),"")</f>
        <v/>
      </c>
      <c r="QA4" s="11" t="str">
        <f t="shared" ref="QA4:QA16" si="132">IF(SUM(PX4,PY4)&gt;0,SUM(PX4,PY4),"")</f>
        <v/>
      </c>
      <c r="QB4" s="11" t="str">
        <f t="shared" ref="QB4:QB16" si="133">IF(SUM(PP4,PT4)&gt;0,SUM(PP4,PT4),"")</f>
        <v/>
      </c>
      <c r="QC4" s="11" t="str">
        <f t="shared" ref="QC4:QC16" si="134">IF(SUM(PO4:PP4,PR4:PT4,PV4)-SUM(PQ4,PU4)&gt;0,SUM(PO4:PP4,PR4:PT4,PV4)-SUM(PQ4,PU4),"")</f>
        <v/>
      </c>
      <c r="QD4" s="11" t="str">
        <f t="shared" ref="QD4:QD16" si="135">IF(SUM(PX4,PY4,QC4)&gt;0,SUM(PX4,PY4,QC4),"")</f>
        <v/>
      </c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40" t="str">
        <f t="shared" ref="QY4:QY16" si="136">IF(SUM(QF4,QJ4)&gt;0,SUM(QF4,QJ4),"")</f>
        <v/>
      </c>
      <c r="QZ4" s="40" t="str">
        <f t="shared" ref="QZ4:QZ16" si="137">IF(SUM(QE4:QF4,QH4:QJ4,QL4)-QG4-QK4&gt;0,SUM(QE4:QF4,QH4:QJ4,QL4)-QG4-QK4,"")</f>
        <v/>
      </c>
      <c r="RA4" s="40" t="str">
        <f t="shared" ref="RA4:RA16" si="138">IF(SUM(QM4:QN4,QP4)-QO4&gt;0,SUM(QM4:QN4,QP4)-QO4,"")</f>
        <v/>
      </c>
      <c r="RB4" s="40" t="str">
        <f t="shared" ref="RB4:RB16" si="139">IF(SUM(QF4,QJ4,QN4)&gt;0,SUM(QF4,QJ4,QN4),"")</f>
        <v/>
      </c>
      <c r="RC4" s="40" t="str">
        <f t="shared" ref="RC4:RC16" si="140">IF(SUM(QZ4,RA4)&gt;0,SUM(QZ4,RA4),"")</f>
        <v/>
      </c>
      <c r="RD4" s="40" t="str">
        <f t="shared" ref="RD4:RD16" si="141">IF(SUM(QR4,QV4)&gt;0,SUM(QR4,QV4),"")</f>
        <v/>
      </c>
      <c r="RE4" s="40" t="str">
        <f t="shared" ref="RE4:RE16" si="142">IF(SUM(QQ4:QR4,QT4:QV4,QX4)-SUM(QS4,QW4)&gt;0,SUM(QQ4:QR4,QT4:QV4,QX4)-SUM(QS4,QW4),"")</f>
        <v/>
      </c>
      <c r="RF4" s="40" t="str">
        <f t="shared" ref="RF4:RF16" si="143">IF(SUM(QZ4,RA4,RE4)&gt;0,SUM(QZ4,RA4,RE4),"")</f>
        <v/>
      </c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1" t="str">
        <f t="shared" ref="SA4:SA16" si="144">IF(SUM(RH4,RL4)&gt;0,SUM(RH4,RL4),"")</f>
        <v/>
      </c>
      <c r="SB4" s="11" t="str">
        <f t="shared" ref="SB4:SB16" si="145">IF(SUM(RG4:RH4,RJ4:RL4,RN4)-RI4-RM4&gt;0,SUM(RG4:RH4,RJ4:RL4,RN4)-RI4-RM4,"")</f>
        <v/>
      </c>
      <c r="SC4" s="11" t="str">
        <f t="shared" ref="SC4:SC16" si="146">IF(SUM(RO4:RP4,RR4)-RQ4&gt;0,SUM(RO4:RP4,RR4)-RQ4,"")</f>
        <v/>
      </c>
      <c r="SD4" s="11" t="str">
        <f t="shared" ref="SD4:SD16" si="147">IF(SUM(RH4,RL4,RP4)&gt;0,SUM(RH4,RL4,RP4),"")</f>
        <v/>
      </c>
      <c r="SE4" s="11" t="str">
        <f t="shared" ref="SE4:SE16" si="148">IF(SUM(SB4,SC4)&gt;0,SUM(SB4,SC4),"")</f>
        <v/>
      </c>
      <c r="SF4" s="11" t="str">
        <f t="shared" ref="SF4:SF16" si="149">IF(SUM(RT4,RX4)&gt;0,SUM(RT4,RX4),"")</f>
        <v/>
      </c>
      <c r="SG4" s="11" t="str">
        <f t="shared" ref="SG4:SG16" si="150">IF(SUM(RS4:RT4,RV4:RX4,RZ4)-SUM(RU4,RY4)&gt;0,SUM(RS4:RT4,RV4:RX4,RZ4)-SUM(RU4,RY4),"")</f>
        <v/>
      </c>
      <c r="SH4" s="11" t="str">
        <f t="shared" ref="SH4:SH16" si="151">IF(SUM(SB4,SC4,SG4)&gt;0,SUM(SB4,SC4,SG4),"")</f>
        <v/>
      </c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40" t="str">
        <f t="shared" ref="TC4:TC16" si="152">IF(SUM(SJ4,SN4)&gt;0,SUM(SJ4,SN4),"")</f>
        <v/>
      </c>
      <c r="TD4" s="40" t="str">
        <f t="shared" ref="TD4:TD16" si="153">IF(SUM(SI4:SJ4,SL4:SN4,SP4)-SK4-SO4&gt;0,SUM(SI4:SJ4,SL4:SN4,SP4)-SK4-SO4,"")</f>
        <v/>
      </c>
      <c r="TE4" s="40" t="str">
        <f t="shared" ref="TE4:TE16" si="154">IF(SUM(SQ4:SR4,ST4)-SS4&gt;0,SUM(SQ4:SR4,ST4)-SS4,"")</f>
        <v/>
      </c>
      <c r="TF4" s="40" t="str">
        <f t="shared" ref="TF4:TF16" si="155">IF(SUM(SJ4,SN4,SR4)&gt;0,SUM(SJ4,SN4,SR4),"")</f>
        <v/>
      </c>
      <c r="TG4" s="40" t="str">
        <f t="shared" ref="TG4:TG16" si="156">IF(SUM(TD4,TE4)&gt;0,SUM(TD4,TE4),"")</f>
        <v/>
      </c>
      <c r="TH4" s="40" t="str">
        <f t="shared" ref="TH4:TH16" si="157">IF(SUM(SV4,SZ4)&gt;0,SUM(SV4,SZ4),"")</f>
        <v/>
      </c>
      <c r="TI4" s="40" t="str">
        <f t="shared" ref="TI4:TI16" si="158">IF(SUM(SU4:SV4,SX4:SZ4,TB4)-SUM(SW4,TA4)&gt;0,SUM(SU4:SV4,SX4:SZ4,TB4)-SUM(SW4,TA4),"")</f>
        <v/>
      </c>
      <c r="TJ4" s="40" t="str">
        <f t="shared" ref="TJ4:TJ16" si="159">IF(SUM(TD4,TE4,TI4)&gt;0,SUM(TD4,TE4,TI4),"")</f>
        <v/>
      </c>
      <c r="TK4" s="26">
        <f t="shared" ref="TK4:TK16" si="160">IF($CU4="P",CA4,(CA4+AX4)/2)</f>
        <v>16.75</v>
      </c>
      <c r="TL4" s="26">
        <f t="shared" ref="TL4:TL16" si="161">IF($CU4="P",CB4,(CB4+AY4)/2)</f>
        <v>5.35</v>
      </c>
      <c r="TM4" s="26">
        <f t="shared" ref="TM4:TM16" si="162">IF($CU4="P",CC4,(CC4+AZ4)/2)</f>
        <v>0</v>
      </c>
      <c r="TN4" s="26">
        <f t="shared" ref="TN4:TN16" si="163">IF($CU4="P",CD4,(CD4+BA4)/2)</f>
        <v>0.44999999999999996</v>
      </c>
      <c r="TO4" s="26">
        <f t="shared" ref="TO4:TO16" si="164">IF($CU4="P",CE4,(CE4+BB4)/2)</f>
        <v>17.799999999999997</v>
      </c>
      <c r="TP4" s="26">
        <f t="shared" ref="TP4:TP16" si="165">IF($CU4="P",CF4,(CF4+BC4)/2)</f>
        <v>4.3</v>
      </c>
      <c r="TQ4" s="26">
        <f t="shared" ref="TQ4:TQ16" si="166">IF($CU4="P",CG4,(CG4+BD4)/2)</f>
        <v>0</v>
      </c>
      <c r="TR4" s="26">
        <f t="shared" ref="TR4:TR16" si="167">IF($CU4="P",CH4,(CH4+BE4)/2)</f>
        <v>0.3</v>
      </c>
      <c r="TS4" s="26">
        <f t="shared" ref="TS4:TS16" si="168">IF($CU4="P",CI4,(CI4+BF4)/2)</f>
        <v>17.600000000000001</v>
      </c>
      <c r="TT4" s="26">
        <f t="shared" ref="TT4:TT16" si="169">IF($CU4="P",CJ4,(CJ4+BG4)/2)</f>
        <v>4.1999999999999993</v>
      </c>
      <c r="TU4" s="26">
        <f t="shared" ref="TU4:TU16" si="170">IF($CU4="P",CK4,(CK4+BH4)/2)</f>
        <v>0</v>
      </c>
      <c r="TV4" s="26">
        <f t="shared" ref="TV4:TV16" si="171">IF($CU4="P",CL4,(CL4+BI4)/2)</f>
        <v>0.3</v>
      </c>
      <c r="TW4" s="26">
        <f t="shared" ref="TW4:TW16" si="172">IF($CU4="P",CM4,(CM4+BJ4)/2)</f>
        <v>17</v>
      </c>
      <c r="TX4" s="26">
        <f t="shared" ref="TX4:TX16" si="173">IF($CU4="P",CN4,(CN4+BK4)/2)</f>
        <v>3.8499999999999996</v>
      </c>
      <c r="TY4" s="26">
        <f t="shared" ref="TY4:TY16" si="174">IF($CU4="P",CO4,(CO4+BL4)/2)</f>
        <v>0</v>
      </c>
      <c r="TZ4" s="26">
        <f t="shared" ref="TZ4:TZ16" si="175">IF($CU4="P",CP4,(CP4+BM4)/2)</f>
        <v>0.3</v>
      </c>
      <c r="UA4" s="26">
        <f t="shared" ref="UA4:UA16" si="176">IF($CU4="P",CQ4,(CQ4+BN4)/2)</f>
        <v>17.600000000000001</v>
      </c>
      <c r="UB4" s="26">
        <f t="shared" ref="UB4:UB16" si="177">IF($CU4="P",CR4,(CR4+BO4)/2)</f>
        <v>4.1999999999999993</v>
      </c>
      <c r="UC4" s="26">
        <f t="shared" ref="UC4:UC16" si="178">IF($CU4="P",CS4,(CS4+BP4)/2)</f>
        <v>0</v>
      </c>
      <c r="UD4" s="26">
        <f t="shared" ref="UD4:UD16" si="179">IF($CU4="P",CT4,(CT4+BQ4)/2)</f>
        <v>0.3</v>
      </c>
      <c r="UE4" s="28" t="s">
        <v>53</v>
      </c>
      <c r="UF4" s="11">
        <f t="shared" ref="UF4:UF16" si="180">IF(SUM(TL4,TP4)&gt;0,SUM(TL4,TP4),"")</f>
        <v>9.6499999999999986</v>
      </c>
      <c r="UG4" s="11">
        <f t="shared" ref="UG4:UG16" si="181">IF(SUM(TK4:TL4,TN4:TP4,TR4)-TM4-TQ4&gt;0,SUM(TK4:TL4,TN4:TP4,TR4)-TM4-TQ4,"")</f>
        <v>44.949999999999989</v>
      </c>
      <c r="UH4" s="11">
        <f t="shared" ref="UH4:UH16" si="182">IF(SUM(TS4:TT4,TV4)-TU4&gt;0,SUM(TS4:TT4,TV4)-TU4,"")</f>
        <v>22.1</v>
      </c>
      <c r="UI4" s="11">
        <f t="shared" ref="UI4:UI16" si="183">IF(SUM(TL4,TP4,TT4)&gt;0,SUM(TL4,TP4,TT4),"")</f>
        <v>13.849999999999998</v>
      </c>
      <c r="UJ4" s="11">
        <f t="shared" ref="UJ4:UJ16" si="184">IF(SUM(UG4,UH4)&gt;0,SUM(UG4,UH4),"")</f>
        <v>67.049999999999983</v>
      </c>
      <c r="UK4" s="11">
        <f t="shared" ref="UK4:UK16" si="185">IF(SUM(TX4,UB4)&gt;0,SUM(TX4,UB4),"")</f>
        <v>8.0499999999999989</v>
      </c>
      <c r="UL4" s="11">
        <f t="shared" ref="UL4:UL16" si="186">IF(SUM(TW4:TX4,TZ4:UB4,UD4)-SUM(TY4,UC4)&gt;0,SUM(TW4:TX4,TZ4:UB4,UD4)-SUM(TY4,UC4),"")</f>
        <v>43.25</v>
      </c>
      <c r="UM4" s="11">
        <f t="shared" ref="UM4:UM16" si="187">IF(SUM(UG4,UH4,UL4)&gt;0,SUM(UG4,UH4,UL4),"")</f>
        <v>110.29999999999998</v>
      </c>
    </row>
    <row r="5" spans="1:559" x14ac:dyDescent="0.2">
      <c r="A5" s="4" cm="1">
        <f t="array" ref="A5">IF(AND(H5&lt;&gt;"",H5&lt;&gt;"No DD"),SUMPRODUCT((H$4:H$17&lt;&gt;"")*(H$4:H$17&lt;&gt;"No DD")*(E$4:E$17&gt;E5))+1,IF(H5="No DD",SUMPRODUCT((H$4:H$17="No DD")*(E$4:E$17&gt;E5))+1+SUMPRODUCT((H$4:H$17&lt;&gt;"")*(H$4:H$17&lt;&gt;"No DD")),""))</f>
        <v>2</v>
      </c>
      <c r="B5" s="5" t="s">
        <v>74</v>
      </c>
      <c r="C5" s="4" t="s">
        <v>6</v>
      </c>
      <c r="D5" s="4">
        <v>2003</v>
      </c>
      <c r="E5" s="9">
        <f t="shared" si="0"/>
        <v>155.5000110100045</v>
      </c>
      <c r="F5" s="3" t="str">
        <f t="shared" si="1"/>
        <v>P</v>
      </c>
      <c r="G5" s="3" t="str">
        <f t="shared" si="2"/>
        <v>P</v>
      </c>
      <c r="H5" s="36" t="str">
        <f t="shared" si="3"/>
        <v>Worlds Team</v>
      </c>
      <c r="I5" s="3" t="str">
        <f t="shared" si="4"/>
        <v>P</v>
      </c>
      <c r="J5" s="8">
        <f>IF(COUNT(AQ5,BT5,CW5)&gt;0,LARGE((AQ5,BT5,CW5),1),0)</f>
        <v>45</v>
      </c>
      <c r="K5" s="8" t="str">
        <f t="shared" si="5"/>
        <v>2024 Elite Canada</v>
      </c>
      <c r="L5" s="8">
        <f>IF(COUNT(AQ5,BT5,CW5)&gt;1,LARGE((AQ5,BT5,CW5),2),0)</f>
        <v>42.7</v>
      </c>
      <c r="M5" s="8" t="str">
        <f t="shared" si="6"/>
        <v>2024 3rd Domestic Trial</v>
      </c>
      <c r="N5" s="8">
        <f>IF(COUNT(AR5,BU5,CX5)&gt;0,LARGE((AR5,BU5,CX5),1),0)</f>
        <v>22.400000000000002</v>
      </c>
      <c r="O5" s="8" t="str">
        <f t="shared" si="7"/>
        <v>2024 3rd Domestic Trial</v>
      </c>
      <c r="P5" s="8">
        <f t="shared" si="8"/>
        <v>45.400000000000006</v>
      </c>
      <c r="Q5" s="8" t="str">
        <f t="shared" si="9"/>
        <v>2024 3rd Domestic Trial</v>
      </c>
      <c r="R5" s="8" t="str">
        <f t="shared" si="10"/>
        <v/>
      </c>
      <c r="S5" s="11" t="str">
        <f t="shared" si="11"/>
        <v/>
      </c>
      <c r="T5" s="8" t="str">
        <f t="shared" si="12"/>
        <v/>
      </c>
      <c r="U5" s="19">
        <v>17.100000000000001</v>
      </c>
      <c r="V5" s="19">
        <v>5</v>
      </c>
      <c r="W5" s="19">
        <v>0.2</v>
      </c>
      <c r="X5" s="19">
        <v>0.6</v>
      </c>
      <c r="Y5" s="19">
        <v>16.899999999999999</v>
      </c>
      <c r="Z5" s="19">
        <v>5.2</v>
      </c>
      <c r="AA5" s="19">
        <v>0.2</v>
      </c>
      <c r="AB5" s="19">
        <v>0.6</v>
      </c>
      <c r="AC5" s="19">
        <v>15.5</v>
      </c>
      <c r="AD5" s="19">
        <v>5</v>
      </c>
      <c r="AE5" s="19">
        <v>0.2</v>
      </c>
      <c r="AF5" s="19">
        <v>0.6</v>
      </c>
      <c r="AG5" s="19">
        <v>16.399999999999999</v>
      </c>
      <c r="AH5" s="19">
        <v>5</v>
      </c>
      <c r="AI5" s="19">
        <v>0</v>
      </c>
      <c r="AJ5" s="19">
        <v>0.6</v>
      </c>
      <c r="AK5" s="19">
        <v>16.7</v>
      </c>
      <c r="AL5" s="19">
        <v>5.2</v>
      </c>
      <c r="AM5" s="19">
        <v>0</v>
      </c>
      <c r="AN5" s="19">
        <v>0.6</v>
      </c>
      <c r="AO5" s="27"/>
      <c r="AP5" s="40">
        <f t="shared" si="13"/>
        <v>10.199999999999999</v>
      </c>
      <c r="AQ5" s="40">
        <f t="shared" si="14"/>
        <v>45</v>
      </c>
      <c r="AR5" s="40">
        <f t="shared" si="15"/>
        <v>20.900000000000002</v>
      </c>
      <c r="AS5" s="40">
        <f t="shared" si="16"/>
        <v>15.2</v>
      </c>
      <c r="AT5" s="40">
        <f t="shared" si="17"/>
        <v>65.900000000000006</v>
      </c>
      <c r="AU5" s="40">
        <f t="shared" si="18"/>
        <v>10.199999999999999</v>
      </c>
      <c r="AV5" s="40">
        <f t="shared" si="19"/>
        <v>44.500000000000007</v>
      </c>
      <c r="AW5" s="40">
        <f t="shared" si="20"/>
        <v>110.4</v>
      </c>
      <c r="AX5" s="18">
        <v>16.7</v>
      </c>
      <c r="AY5" s="18">
        <v>5</v>
      </c>
      <c r="AZ5" s="18">
        <v>0</v>
      </c>
      <c r="BA5" s="18">
        <v>0.6</v>
      </c>
      <c r="BB5" s="18">
        <v>16.100000000000001</v>
      </c>
      <c r="BC5" s="18">
        <v>2.6</v>
      </c>
      <c r="BD5" s="18">
        <v>0</v>
      </c>
      <c r="BE5" s="18">
        <v>0.6</v>
      </c>
      <c r="BF5" s="18">
        <v>15.6</v>
      </c>
      <c r="BG5" s="18">
        <v>2.6</v>
      </c>
      <c r="BH5" s="18">
        <v>0</v>
      </c>
      <c r="BI5" s="18">
        <v>0.6</v>
      </c>
      <c r="BJ5" s="18">
        <v>15.9</v>
      </c>
      <c r="BK5" s="18">
        <v>5.3</v>
      </c>
      <c r="BL5" s="18">
        <v>0</v>
      </c>
      <c r="BM5" s="18">
        <v>0.6</v>
      </c>
      <c r="BN5" s="18">
        <v>16.100000000000001</v>
      </c>
      <c r="BO5" s="18">
        <v>5.5</v>
      </c>
      <c r="BP5" s="18">
        <v>0</v>
      </c>
      <c r="BQ5" s="18">
        <v>0.6</v>
      </c>
      <c r="BR5" s="28"/>
      <c r="BS5" s="11">
        <f t="shared" si="21"/>
        <v>7.6</v>
      </c>
      <c r="BT5" s="11">
        <f t="shared" si="22"/>
        <v>41.600000000000009</v>
      </c>
      <c r="BU5" s="11">
        <f t="shared" si="23"/>
        <v>18.8</v>
      </c>
      <c r="BV5" s="11">
        <f t="shared" si="24"/>
        <v>10.199999999999999</v>
      </c>
      <c r="BW5" s="11">
        <f t="shared" si="25"/>
        <v>60.400000000000006</v>
      </c>
      <c r="BX5" s="11">
        <f t="shared" si="26"/>
        <v>10.8</v>
      </c>
      <c r="BY5" s="11">
        <f t="shared" si="27"/>
        <v>44.000000000000007</v>
      </c>
      <c r="BZ5" s="11">
        <f t="shared" si="28"/>
        <v>104.4</v>
      </c>
      <c r="CA5" s="19">
        <v>15</v>
      </c>
      <c r="CB5" s="19">
        <v>5</v>
      </c>
      <c r="CC5" s="19">
        <v>0.2</v>
      </c>
      <c r="CD5" s="19">
        <v>0.6</v>
      </c>
      <c r="CE5" s="19">
        <v>16.5</v>
      </c>
      <c r="CF5" s="19">
        <v>5.2</v>
      </c>
      <c r="CG5" s="19">
        <v>0</v>
      </c>
      <c r="CH5" s="19">
        <v>0.6</v>
      </c>
      <c r="CI5" s="19">
        <v>16.8</v>
      </c>
      <c r="CJ5" s="19">
        <v>5</v>
      </c>
      <c r="CK5" s="19">
        <v>0</v>
      </c>
      <c r="CL5" s="19">
        <v>0.6</v>
      </c>
      <c r="CM5" s="19">
        <v>17.100000000000001</v>
      </c>
      <c r="CN5" s="19">
        <v>5</v>
      </c>
      <c r="CO5" s="19">
        <v>0</v>
      </c>
      <c r="CP5" s="19">
        <v>0.6</v>
      </c>
      <c r="CQ5" s="19">
        <v>16.899999999999999</v>
      </c>
      <c r="CR5" s="19">
        <v>5.2</v>
      </c>
      <c r="CS5" s="19">
        <v>0</v>
      </c>
      <c r="CT5" s="19">
        <v>0.6</v>
      </c>
      <c r="CU5" s="27"/>
      <c r="CV5" s="40">
        <f t="shared" si="29"/>
        <v>10.199999999999999</v>
      </c>
      <c r="CW5" s="40">
        <f t="shared" si="30"/>
        <v>42.7</v>
      </c>
      <c r="CX5" s="40">
        <f t="shared" si="31"/>
        <v>22.400000000000002</v>
      </c>
      <c r="CY5" s="40">
        <f t="shared" si="32"/>
        <v>15.2</v>
      </c>
      <c r="CZ5" s="40">
        <f t="shared" si="33"/>
        <v>65.100000000000009</v>
      </c>
      <c r="DA5" s="40">
        <f t="shared" si="34"/>
        <v>10.199999999999999</v>
      </c>
      <c r="DB5" s="40">
        <f t="shared" si="35"/>
        <v>45.400000000000006</v>
      </c>
      <c r="DC5" s="40">
        <f t="shared" si="36"/>
        <v>110.50000000000001</v>
      </c>
      <c r="DD5" s="51" t="str">
        <f t="shared" si="37"/>
        <v/>
      </c>
      <c r="DE5" s="51" t="str">
        <f t="shared" si="38"/>
        <v/>
      </c>
      <c r="DF5" s="51" t="str">
        <f t="shared" si="39"/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 t="str">
        <f t="shared" si="40"/>
        <v/>
      </c>
      <c r="EB5" s="40" t="str">
        <f t="shared" si="41"/>
        <v/>
      </c>
      <c r="EC5" s="40" t="str">
        <f t="shared" si="42"/>
        <v/>
      </c>
      <c r="ED5" s="40" t="str">
        <f t="shared" si="43"/>
        <v/>
      </c>
      <c r="EE5" s="40" t="str">
        <f t="shared" si="44"/>
        <v/>
      </c>
      <c r="EF5" s="40" t="str">
        <f t="shared" si="45"/>
        <v/>
      </c>
      <c r="EG5" s="40" t="str">
        <f t="shared" si="46"/>
        <v/>
      </c>
      <c r="EH5" s="40" t="str">
        <f t="shared" si="47"/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 t="shared" si="48"/>
        <v/>
      </c>
      <c r="FD5" s="11" t="str">
        <f t="shared" si="49"/>
        <v/>
      </c>
      <c r="FE5" s="11" t="str">
        <f t="shared" si="50"/>
        <v/>
      </c>
      <c r="FF5" s="11" t="str">
        <f t="shared" si="51"/>
        <v/>
      </c>
      <c r="FG5" s="11" t="str">
        <f t="shared" si="52"/>
        <v/>
      </c>
      <c r="FH5" s="11" t="str">
        <f t="shared" si="53"/>
        <v/>
      </c>
      <c r="FI5" s="11" t="str">
        <f t="shared" si="54"/>
        <v/>
      </c>
      <c r="FJ5" s="11" t="str">
        <f t="shared" si="55"/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 t="str">
        <f t="shared" si="56"/>
        <v/>
      </c>
      <c r="GF5" s="40" t="str">
        <f t="shared" si="57"/>
        <v/>
      </c>
      <c r="GG5" s="40" t="str">
        <f t="shared" si="58"/>
        <v/>
      </c>
      <c r="GH5" s="40" t="str">
        <f t="shared" si="59"/>
        <v/>
      </c>
      <c r="GI5" s="40" t="str">
        <f t="shared" si="60"/>
        <v/>
      </c>
      <c r="GJ5" s="40" t="str">
        <f t="shared" si="61"/>
        <v/>
      </c>
      <c r="GK5" s="40" t="str">
        <f t="shared" si="62"/>
        <v/>
      </c>
      <c r="GL5" s="40" t="str">
        <f t="shared" si="63"/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 t="shared" si="64"/>
        <v/>
      </c>
      <c r="HH5" s="11" t="str">
        <f t="shared" si="65"/>
        <v/>
      </c>
      <c r="HI5" s="11" t="str">
        <f t="shared" si="66"/>
        <v/>
      </c>
      <c r="HJ5" s="11" t="str">
        <f t="shared" si="67"/>
        <v/>
      </c>
      <c r="HK5" s="11" t="str">
        <f t="shared" si="68"/>
        <v/>
      </c>
      <c r="HL5" s="11" t="str">
        <f t="shared" si="69"/>
        <v/>
      </c>
      <c r="HM5" s="11" t="str">
        <f t="shared" si="70"/>
        <v/>
      </c>
      <c r="HN5" s="11" t="str">
        <f t="shared" si="71"/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 t="shared" si="72"/>
        <v/>
      </c>
      <c r="IJ5" s="40" t="str">
        <f t="shared" si="73"/>
        <v/>
      </c>
      <c r="IK5" s="40" t="str">
        <f t="shared" si="74"/>
        <v/>
      </c>
      <c r="IL5" s="40" t="str">
        <f t="shared" si="75"/>
        <v/>
      </c>
      <c r="IM5" s="40" t="str">
        <f t="shared" si="76"/>
        <v/>
      </c>
      <c r="IN5" s="40" t="str">
        <f t="shared" si="77"/>
        <v/>
      </c>
      <c r="IO5" s="40" t="str">
        <f t="shared" si="78"/>
        <v/>
      </c>
      <c r="IP5" s="40" t="str">
        <f t="shared" si="79"/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 t="shared" si="80"/>
        <v/>
      </c>
      <c r="JL5" s="11" t="str">
        <f t="shared" si="81"/>
        <v/>
      </c>
      <c r="JM5" s="11" t="str">
        <f t="shared" si="82"/>
        <v/>
      </c>
      <c r="JN5" s="11" t="str">
        <f t="shared" si="83"/>
        <v/>
      </c>
      <c r="JO5" s="11" t="str">
        <f t="shared" si="84"/>
        <v/>
      </c>
      <c r="JP5" s="11" t="str">
        <f t="shared" si="85"/>
        <v/>
      </c>
      <c r="JQ5" s="11" t="str">
        <f t="shared" si="86"/>
        <v/>
      </c>
      <c r="JR5" s="11" t="str">
        <f t="shared" si="87"/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 t="shared" si="88"/>
        <v/>
      </c>
      <c r="KN5" s="40" t="str">
        <f t="shared" si="89"/>
        <v/>
      </c>
      <c r="KO5" s="40" t="str">
        <f t="shared" si="90"/>
        <v/>
      </c>
      <c r="KP5" s="40" t="str">
        <f t="shared" si="91"/>
        <v/>
      </c>
      <c r="KQ5" s="40" t="str">
        <f t="shared" si="92"/>
        <v/>
      </c>
      <c r="KR5" s="40" t="str">
        <f t="shared" si="93"/>
        <v/>
      </c>
      <c r="KS5" s="40" t="str">
        <f t="shared" si="94"/>
        <v/>
      </c>
      <c r="KT5" s="40" t="str">
        <f t="shared" si="95"/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6"/>
        <v/>
      </c>
      <c r="LP5" s="11" t="str">
        <f t="shared" si="97"/>
        <v/>
      </c>
      <c r="LQ5" s="11" t="str">
        <f t="shared" si="98"/>
        <v/>
      </c>
      <c r="LR5" s="11" t="str">
        <f t="shared" si="99"/>
        <v/>
      </c>
      <c r="LS5" s="11" t="str">
        <f t="shared" si="100"/>
        <v/>
      </c>
      <c r="LT5" s="11" t="str">
        <f t="shared" si="101"/>
        <v/>
      </c>
      <c r="LU5" s="11" t="str">
        <f t="shared" si="102"/>
        <v/>
      </c>
      <c r="LV5" s="11" t="str">
        <f t="shared" si="103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 t="shared" si="104"/>
        <v/>
      </c>
      <c r="MR5" s="40" t="str">
        <f t="shared" si="105"/>
        <v/>
      </c>
      <c r="MS5" s="40" t="str">
        <f t="shared" si="106"/>
        <v/>
      </c>
      <c r="MT5" s="40" t="str">
        <f t="shared" si="107"/>
        <v/>
      </c>
      <c r="MU5" s="40" t="str">
        <f t="shared" si="108"/>
        <v/>
      </c>
      <c r="MV5" s="40" t="str">
        <f t="shared" si="109"/>
        <v/>
      </c>
      <c r="MW5" s="40" t="str">
        <f t="shared" si="110"/>
        <v/>
      </c>
      <c r="MX5" s="40" t="str">
        <f t="shared" si="111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2"/>
        <v/>
      </c>
      <c r="NT5" s="11" t="str">
        <f t="shared" si="113"/>
        <v/>
      </c>
      <c r="NU5" s="11" t="str">
        <f t="shared" si="114"/>
        <v/>
      </c>
      <c r="NV5" s="11" t="str">
        <f t="shared" si="115"/>
        <v/>
      </c>
      <c r="NW5" s="11" t="str">
        <f t="shared" si="116"/>
        <v/>
      </c>
      <c r="NX5" s="11" t="str">
        <f t="shared" si="117"/>
        <v/>
      </c>
      <c r="NY5" s="11" t="str">
        <f t="shared" si="118"/>
        <v/>
      </c>
      <c r="NZ5" s="11" t="str">
        <f t="shared" si="119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 t="shared" si="120"/>
        <v/>
      </c>
      <c r="OV5" s="40" t="str">
        <f t="shared" si="121"/>
        <v/>
      </c>
      <c r="OW5" s="40" t="str">
        <f t="shared" si="122"/>
        <v/>
      </c>
      <c r="OX5" s="40" t="str">
        <f t="shared" si="123"/>
        <v/>
      </c>
      <c r="OY5" s="40" t="str">
        <f t="shared" si="124"/>
        <v/>
      </c>
      <c r="OZ5" s="40" t="str">
        <f t="shared" si="125"/>
        <v/>
      </c>
      <c r="PA5" s="40" t="str">
        <f t="shared" si="126"/>
        <v/>
      </c>
      <c r="PB5" s="40" t="str">
        <f t="shared" si="127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8"/>
        <v/>
      </c>
      <c r="PX5" s="11" t="str">
        <f t="shared" si="129"/>
        <v/>
      </c>
      <c r="PY5" s="11" t="str">
        <f t="shared" si="130"/>
        <v/>
      </c>
      <c r="PZ5" s="11" t="str">
        <f t="shared" si="131"/>
        <v/>
      </c>
      <c r="QA5" s="11" t="str">
        <f t="shared" si="132"/>
        <v/>
      </c>
      <c r="QB5" s="11" t="str">
        <f t="shared" si="133"/>
        <v/>
      </c>
      <c r="QC5" s="11" t="str">
        <f t="shared" si="134"/>
        <v/>
      </c>
      <c r="QD5" s="11" t="str">
        <f t="shared" si="135"/>
        <v/>
      </c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40" t="str">
        <f t="shared" si="136"/>
        <v/>
      </c>
      <c r="QZ5" s="40" t="str">
        <f t="shared" si="137"/>
        <v/>
      </c>
      <c r="RA5" s="40" t="str">
        <f t="shared" si="138"/>
        <v/>
      </c>
      <c r="RB5" s="40" t="str">
        <f t="shared" si="139"/>
        <v/>
      </c>
      <c r="RC5" s="40" t="str">
        <f t="shared" si="140"/>
        <v/>
      </c>
      <c r="RD5" s="40" t="str">
        <f t="shared" si="141"/>
        <v/>
      </c>
      <c r="RE5" s="40" t="str">
        <f t="shared" si="142"/>
        <v/>
      </c>
      <c r="RF5" s="40" t="str">
        <f t="shared" si="143"/>
        <v/>
      </c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1" t="str">
        <f t="shared" si="144"/>
        <v/>
      </c>
      <c r="SB5" s="11" t="str">
        <f t="shared" si="145"/>
        <v/>
      </c>
      <c r="SC5" s="11" t="str">
        <f t="shared" si="146"/>
        <v/>
      </c>
      <c r="SD5" s="11" t="str">
        <f t="shared" si="147"/>
        <v/>
      </c>
      <c r="SE5" s="11" t="str">
        <f t="shared" si="148"/>
        <v/>
      </c>
      <c r="SF5" s="11" t="str">
        <f t="shared" si="149"/>
        <v/>
      </c>
      <c r="SG5" s="11" t="str">
        <f t="shared" si="150"/>
        <v/>
      </c>
      <c r="SH5" s="11" t="str">
        <f t="shared" si="151"/>
        <v/>
      </c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40" t="str">
        <f t="shared" si="152"/>
        <v/>
      </c>
      <c r="TD5" s="40" t="str">
        <f t="shared" si="153"/>
        <v/>
      </c>
      <c r="TE5" s="40" t="str">
        <f t="shared" si="154"/>
        <v/>
      </c>
      <c r="TF5" s="40" t="str">
        <f t="shared" si="155"/>
        <v/>
      </c>
      <c r="TG5" s="40" t="str">
        <f t="shared" si="156"/>
        <v/>
      </c>
      <c r="TH5" s="40" t="str">
        <f t="shared" si="157"/>
        <v/>
      </c>
      <c r="TI5" s="40" t="str">
        <f t="shared" si="158"/>
        <v/>
      </c>
      <c r="TJ5" s="40" t="str">
        <f t="shared" si="159"/>
        <v/>
      </c>
      <c r="TK5" s="26">
        <f t="shared" si="160"/>
        <v>15.85</v>
      </c>
      <c r="TL5" s="26">
        <f t="shared" si="161"/>
        <v>5</v>
      </c>
      <c r="TM5" s="26">
        <f t="shared" si="162"/>
        <v>0.1</v>
      </c>
      <c r="TN5" s="26">
        <f t="shared" si="163"/>
        <v>0.6</v>
      </c>
      <c r="TO5" s="26">
        <f t="shared" si="164"/>
        <v>16.3</v>
      </c>
      <c r="TP5" s="26">
        <f t="shared" si="165"/>
        <v>3.9000000000000004</v>
      </c>
      <c r="TQ5" s="26">
        <f t="shared" si="166"/>
        <v>0</v>
      </c>
      <c r="TR5" s="26">
        <f t="shared" si="167"/>
        <v>0.6</v>
      </c>
      <c r="TS5" s="26">
        <f t="shared" si="168"/>
        <v>16.2</v>
      </c>
      <c r="TT5" s="26">
        <f t="shared" si="169"/>
        <v>3.8</v>
      </c>
      <c r="TU5" s="26">
        <f t="shared" si="170"/>
        <v>0</v>
      </c>
      <c r="TV5" s="26">
        <f t="shared" si="171"/>
        <v>0.6</v>
      </c>
      <c r="TW5" s="26">
        <f t="shared" si="172"/>
        <v>16.5</v>
      </c>
      <c r="TX5" s="26">
        <f t="shared" si="173"/>
        <v>5.15</v>
      </c>
      <c r="TY5" s="26">
        <f t="shared" si="174"/>
        <v>0</v>
      </c>
      <c r="TZ5" s="26">
        <f t="shared" si="175"/>
        <v>0.6</v>
      </c>
      <c r="UA5" s="26">
        <f t="shared" si="176"/>
        <v>16.5</v>
      </c>
      <c r="UB5" s="26">
        <f t="shared" si="177"/>
        <v>5.35</v>
      </c>
      <c r="UC5" s="26">
        <f t="shared" si="178"/>
        <v>0</v>
      </c>
      <c r="UD5" s="26">
        <f t="shared" si="179"/>
        <v>0.6</v>
      </c>
      <c r="UE5" s="28" t="s">
        <v>53</v>
      </c>
      <c r="UF5" s="11">
        <f t="shared" si="180"/>
        <v>8.9</v>
      </c>
      <c r="UG5" s="11">
        <f t="shared" si="181"/>
        <v>42.15</v>
      </c>
      <c r="UH5" s="11">
        <f t="shared" si="182"/>
        <v>20.6</v>
      </c>
      <c r="UI5" s="11">
        <f t="shared" si="183"/>
        <v>12.7</v>
      </c>
      <c r="UJ5" s="11">
        <f t="shared" si="184"/>
        <v>62.75</v>
      </c>
      <c r="UK5" s="11">
        <f t="shared" si="185"/>
        <v>10.5</v>
      </c>
      <c r="UL5" s="11">
        <f t="shared" si="186"/>
        <v>44.7</v>
      </c>
      <c r="UM5" s="11">
        <f t="shared" si="187"/>
        <v>107.45</v>
      </c>
    </row>
    <row r="6" spans="1:559" x14ac:dyDescent="0.2">
      <c r="A6" s="4" cm="1">
        <f t="array" ref="A6">IF(AND(H6&lt;&gt;"",H6&lt;&gt;"No DD"),SUMPRODUCT((H$4:H$17&lt;&gt;"")*(H$4:H$17&lt;&gt;"No DD")*(E$4:E$17&gt;E6))+1,IF(H6="No DD",SUMPRODUCT((H$4:H$17="No DD")*(E$4:E$17&gt;E6))+1+SUMPRODUCT((H$4:H$17&lt;&gt;"")*(H$4:H$17&lt;&gt;"No DD")),""))</f>
        <v>3</v>
      </c>
      <c r="B6" s="5" t="s">
        <v>176</v>
      </c>
      <c r="C6" s="4" t="s">
        <v>5</v>
      </c>
      <c r="D6" s="4">
        <v>2006</v>
      </c>
      <c r="E6" s="9">
        <f t="shared" si="0"/>
        <v>155.05001106500453</v>
      </c>
      <c r="F6" s="3" t="str">
        <f t="shared" si="1"/>
        <v>P</v>
      </c>
      <c r="G6" s="3" t="str">
        <f t="shared" si="2"/>
        <v>P</v>
      </c>
      <c r="H6" s="36" t="str">
        <f t="shared" si="3"/>
        <v>Worlds Team</v>
      </c>
      <c r="I6" s="3" t="str">
        <f t="shared" si="4"/>
        <v>P</v>
      </c>
      <c r="J6" s="8">
        <f>IF(COUNT(AQ6,BT6,CW6)&gt;0,LARGE((AQ6,BT6,CW6),1),0)</f>
        <v>45.199999999999996</v>
      </c>
      <c r="K6" s="8" t="str">
        <f t="shared" si="5"/>
        <v>2024 Nationals</v>
      </c>
      <c r="L6" s="8">
        <f>IF(COUNT(AQ6,BT6,CW6)&gt;1,LARGE((AQ6,BT6,CW6),2),0)</f>
        <v>43.250000000000007</v>
      </c>
      <c r="M6" s="8" t="str">
        <f t="shared" si="6"/>
        <v>2024 Elite Canada</v>
      </c>
      <c r="N6" s="8">
        <f>IF(COUNT(AR6,BU6,CX6)&gt;0,LARGE((AR6,BU6,CX6),1),0)</f>
        <v>22.200000000000003</v>
      </c>
      <c r="O6" s="8" t="str">
        <f t="shared" si="7"/>
        <v>2024 3rd Domestic Trial</v>
      </c>
      <c r="P6" s="8">
        <f t="shared" si="8"/>
        <v>44.4</v>
      </c>
      <c r="Q6" s="8" t="str">
        <f t="shared" si="9"/>
        <v>2024 Nationals</v>
      </c>
      <c r="R6" s="8" t="str">
        <f t="shared" si="10"/>
        <v/>
      </c>
      <c r="S6" s="11" t="str">
        <f t="shared" si="11"/>
        <v/>
      </c>
      <c r="T6" s="8" t="str">
        <f t="shared" si="12"/>
        <v/>
      </c>
      <c r="U6" s="19">
        <v>16.850000000000001</v>
      </c>
      <c r="V6" s="19">
        <v>4.6500000000000004</v>
      </c>
      <c r="W6" s="19">
        <v>0</v>
      </c>
      <c r="X6" s="19">
        <v>0.44999999999999996</v>
      </c>
      <c r="Y6" s="19">
        <v>16</v>
      </c>
      <c r="Z6" s="19">
        <v>4.6999999999999993</v>
      </c>
      <c r="AA6" s="19">
        <v>0</v>
      </c>
      <c r="AB6" s="19">
        <v>0.6</v>
      </c>
      <c r="AC6" s="19">
        <v>16.25</v>
      </c>
      <c r="AD6" s="19">
        <v>4.4000000000000004</v>
      </c>
      <c r="AE6" s="19">
        <v>0</v>
      </c>
      <c r="AF6" s="19">
        <v>0.44999999999999996</v>
      </c>
      <c r="AG6" s="19">
        <v>16.899999999999999</v>
      </c>
      <c r="AH6" s="19">
        <v>4.9000000000000004</v>
      </c>
      <c r="AI6" s="19">
        <v>0</v>
      </c>
      <c r="AJ6" s="19">
        <v>0.6</v>
      </c>
      <c r="AK6" s="19">
        <v>16.3</v>
      </c>
      <c r="AL6" s="19">
        <v>3.5999999999999996</v>
      </c>
      <c r="AM6" s="19">
        <v>0</v>
      </c>
      <c r="AN6" s="19">
        <v>0.6</v>
      </c>
      <c r="AO6" s="27" t="s">
        <v>53</v>
      </c>
      <c r="AP6" s="40">
        <f t="shared" si="13"/>
        <v>9.35</v>
      </c>
      <c r="AQ6" s="40">
        <f t="shared" si="14"/>
        <v>43.250000000000007</v>
      </c>
      <c r="AR6" s="40">
        <f t="shared" si="15"/>
        <v>21.099999999999998</v>
      </c>
      <c r="AS6" s="40">
        <f t="shared" si="16"/>
        <v>13.75</v>
      </c>
      <c r="AT6" s="40">
        <f t="shared" si="17"/>
        <v>64.350000000000009</v>
      </c>
      <c r="AU6" s="40">
        <f t="shared" si="18"/>
        <v>8.5</v>
      </c>
      <c r="AV6" s="40">
        <f t="shared" si="19"/>
        <v>42.900000000000006</v>
      </c>
      <c r="AW6" s="40">
        <f t="shared" si="20"/>
        <v>107.25000000000001</v>
      </c>
      <c r="AX6" s="18">
        <v>17.2</v>
      </c>
      <c r="AY6" s="18">
        <v>5</v>
      </c>
      <c r="AZ6" s="18">
        <v>0</v>
      </c>
      <c r="BA6" s="18">
        <v>0.6</v>
      </c>
      <c r="BB6" s="18">
        <v>17</v>
      </c>
      <c r="BC6" s="18">
        <v>4.8</v>
      </c>
      <c r="BD6" s="18">
        <v>0</v>
      </c>
      <c r="BE6" s="18">
        <v>0.6</v>
      </c>
      <c r="BF6" s="18">
        <v>16.5</v>
      </c>
      <c r="BG6" s="18">
        <v>4.8</v>
      </c>
      <c r="BH6" s="18">
        <v>0</v>
      </c>
      <c r="BI6" s="18">
        <v>0.6</v>
      </c>
      <c r="BJ6" s="18">
        <v>16.7</v>
      </c>
      <c r="BK6" s="18">
        <v>4.8</v>
      </c>
      <c r="BL6" s="18">
        <v>0</v>
      </c>
      <c r="BM6" s="18">
        <v>0.6</v>
      </c>
      <c r="BN6" s="18">
        <v>16.899999999999999</v>
      </c>
      <c r="BO6" s="18">
        <v>5</v>
      </c>
      <c r="BP6" s="18">
        <v>0.2</v>
      </c>
      <c r="BQ6" s="18">
        <v>0.6</v>
      </c>
      <c r="BR6" s="28"/>
      <c r="BS6" s="11">
        <f t="shared" si="21"/>
        <v>9.8000000000000007</v>
      </c>
      <c r="BT6" s="11">
        <f t="shared" si="22"/>
        <v>45.199999999999996</v>
      </c>
      <c r="BU6" s="11">
        <f t="shared" si="23"/>
        <v>21.900000000000002</v>
      </c>
      <c r="BV6" s="11">
        <f t="shared" si="24"/>
        <v>14.600000000000001</v>
      </c>
      <c r="BW6" s="11">
        <f t="shared" si="25"/>
        <v>67.099999999999994</v>
      </c>
      <c r="BX6" s="11">
        <f t="shared" si="26"/>
        <v>9.8000000000000007</v>
      </c>
      <c r="BY6" s="11">
        <f t="shared" si="27"/>
        <v>44.4</v>
      </c>
      <c r="BZ6" s="11">
        <f t="shared" si="28"/>
        <v>111.5</v>
      </c>
      <c r="CA6" s="19">
        <v>16.2</v>
      </c>
      <c r="CB6" s="19">
        <v>3.6</v>
      </c>
      <c r="CC6" s="19">
        <v>0.2</v>
      </c>
      <c r="CD6" s="19">
        <v>0</v>
      </c>
      <c r="CE6" s="19">
        <v>16.3</v>
      </c>
      <c r="CF6" s="19">
        <v>3.9</v>
      </c>
      <c r="CG6" s="19">
        <v>0</v>
      </c>
      <c r="CH6" s="19">
        <v>0.3</v>
      </c>
      <c r="CI6" s="19">
        <v>16.8</v>
      </c>
      <c r="CJ6" s="19">
        <v>4.8</v>
      </c>
      <c r="CK6" s="19">
        <v>0</v>
      </c>
      <c r="CL6" s="19">
        <v>0.6</v>
      </c>
      <c r="CM6" s="19">
        <v>18.100000000000001</v>
      </c>
      <c r="CN6" s="19">
        <v>3.6</v>
      </c>
      <c r="CO6" s="19">
        <v>0</v>
      </c>
      <c r="CP6" s="19">
        <v>0</v>
      </c>
      <c r="CQ6" s="19">
        <v>17.100000000000001</v>
      </c>
      <c r="CR6" s="19">
        <v>4.0999999999999996</v>
      </c>
      <c r="CS6" s="19">
        <v>0</v>
      </c>
      <c r="CT6" s="19">
        <v>0.3</v>
      </c>
      <c r="CU6" s="27"/>
      <c r="CV6" s="40">
        <f t="shared" si="29"/>
        <v>7.5</v>
      </c>
      <c r="CW6" s="40">
        <f t="shared" si="30"/>
        <v>40.099999999999994</v>
      </c>
      <c r="CX6" s="40">
        <f t="shared" si="31"/>
        <v>22.200000000000003</v>
      </c>
      <c r="CY6" s="40">
        <f t="shared" si="32"/>
        <v>12.3</v>
      </c>
      <c r="CZ6" s="40">
        <f t="shared" si="33"/>
        <v>62.3</v>
      </c>
      <c r="DA6" s="40">
        <f t="shared" si="34"/>
        <v>7.6999999999999993</v>
      </c>
      <c r="DB6" s="40">
        <f t="shared" si="35"/>
        <v>43.2</v>
      </c>
      <c r="DC6" s="40">
        <f t="shared" si="36"/>
        <v>105.5</v>
      </c>
      <c r="DD6" s="51" t="str">
        <f t="shared" si="37"/>
        <v/>
      </c>
      <c r="DE6" s="51" t="str">
        <f t="shared" si="38"/>
        <v/>
      </c>
      <c r="DF6" s="51" t="str">
        <f t="shared" si="39"/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 t="str">
        <f t="shared" si="40"/>
        <v/>
      </c>
      <c r="EB6" s="40" t="str">
        <f t="shared" si="41"/>
        <v/>
      </c>
      <c r="EC6" s="40" t="str">
        <f t="shared" si="42"/>
        <v/>
      </c>
      <c r="ED6" s="40" t="str">
        <f t="shared" si="43"/>
        <v/>
      </c>
      <c r="EE6" s="40" t="str">
        <f t="shared" si="44"/>
        <v/>
      </c>
      <c r="EF6" s="40" t="str">
        <f t="shared" si="45"/>
        <v/>
      </c>
      <c r="EG6" s="40" t="str">
        <f t="shared" si="46"/>
        <v/>
      </c>
      <c r="EH6" s="40" t="str">
        <f t="shared" si="47"/>
        <v/>
      </c>
      <c r="EI6" s="18">
        <v>16.600000000000001</v>
      </c>
      <c r="EJ6" s="18">
        <v>3.8</v>
      </c>
      <c r="EK6" s="18">
        <v>0</v>
      </c>
      <c r="EL6" s="18">
        <v>0</v>
      </c>
      <c r="EM6" s="18">
        <v>17</v>
      </c>
      <c r="EN6" s="18">
        <v>4.8</v>
      </c>
      <c r="EO6" s="18">
        <v>0</v>
      </c>
      <c r="EP6" s="18">
        <v>0</v>
      </c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>
        <f t="shared" si="48"/>
        <v>8.6</v>
      </c>
      <c r="FD6" s="11">
        <f t="shared" si="49"/>
        <v>42.2</v>
      </c>
      <c r="FE6" s="11" t="str">
        <f t="shared" si="50"/>
        <v/>
      </c>
      <c r="FF6" s="11">
        <f t="shared" si="51"/>
        <v>8.6</v>
      </c>
      <c r="FG6" s="11">
        <f t="shared" si="52"/>
        <v>42.2</v>
      </c>
      <c r="FH6" s="11" t="str">
        <f t="shared" si="53"/>
        <v/>
      </c>
      <c r="FI6" s="11" t="str">
        <f t="shared" si="54"/>
        <v/>
      </c>
      <c r="FJ6" s="11">
        <f t="shared" si="55"/>
        <v>42.2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 t="str">
        <f t="shared" si="56"/>
        <v/>
      </c>
      <c r="GF6" s="40" t="str">
        <f t="shared" si="57"/>
        <v/>
      </c>
      <c r="GG6" s="40" t="str">
        <f t="shared" si="58"/>
        <v/>
      </c>
      <c r="GH6" s="40" t="str">
        <f t="shared" si="59"/>
        <v/>
      </c>
      <c r="GI6" s="40" t="str">
        <f t="shared" si="60"/>
        <v/>
      </c>
      <c r="GJ6" s="40" t="str">
        <f t="shared" si="61"/>
        <v/>
      </c>
      <c r="GK6" s="40" t="str">
        <f t="shared" si="62"/>
        <v/>
      </c>
      <c r="GL6" s="40" t="str">
        <f t="shared" si="63"/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 t="shared" si="64"/>
        <v/>
      </c>
      <c r="HH6" s="11" t="str">
        <f t="shared" si="65"/>
        <v/>
      </c>
      <c r="HI6" s="11" t="str">
        <f t="shared" si="66"/>
        <v/>
      </c>
      <c r="HJ6" s="11" t="str">
        <f t="shared" si="67"/>
        <v/>
      </c>
      <c r="HK6" s="11" t="str">
        <f t="shared" si="68"/>
        <v/>
      </c>
      <c r="HL6" s="11" t="str">
        <f t="shared" si="69"/>
        <v/>
      </c>
      <c r="HM6" s="11" t="str">
        <f t="shared" si="70"/>
        <v/>
      </c>
      <c r="HN6" s="11" t="str">
        <f t="shared" si="71"/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 t="shared" si="72"/>
        <v/>
      </c>
      <c r="IJ6" s="40" t="str">
        <f t="shared" si="73"/>
        <v/>
      </c>
      <c r="IK6" s="40" t="str">
        <f t="shared" si="74"/>
        <v/>
      </c>
      <c r="IL6" s="40" t="str">
        <f t="shared" si="75"/>
        <v/>
      </c>
      <c r="IM6" s="40" t="str">
        <f t="shared" si="76"/>
        <v/>
      </c>
      <c r="IN6" s="40" t="str">
        <f t="shared" si="77"/>
        <v/>
      </c>
      <c r="IO6" s="40" t="str">
        <f t="shared" si="78"/>
        <v/>
      </c>
      <c r="IP6" s="40" t="str">
        <f t="shared" si="79"/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 t="shared" si="80"/>
        <v/>
      </c>
      <c r="JL6" s="11" t="str">
        <f t="shared" si="81"/>
        <v/>
      </c>
      <c r="JM6" s="11" t="str">
        <f t="shared" si="82"/>
        <v/>
      </c>
      <c r="JN6" s="11" t="str">
        <f t="shared" si="83"/>
        <v/>
      </c>
      <c r="JO6" s="11" t="str">
        <f t="shared" si="84"/>
        <v/>
      </c>
      <c r="JP6" s="11" t="str">
        <f t="shared" si="85"/>
        <v/>
      </c>
      <c r="JQ6" s="11" t="str">
        <f t="shared" si="86"/>
        <v/>
      </c>
      <c r="JR6" s="11" t="str">
        <f t="shared" si="87"/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 t="shared" si="88"/>
        <v/>
      </c>
      <c r="KN6" s="40" t="str">
        <f t="shared" si="89"/>
        <v/>
      </c>
      <c r="KO6" s="40" t="str">
        <f t="shared" si="90"/>
        <v/>
      </c>
      <c r="KP6" s="40" t="str">
        <f t="shared" si="91"/>
        <v/>
      </c>
      <c r="KQ6" s="40" t="str">
        <f t="shared" si="92"/>
        <v/>
      </c>
      <c r="KR6" s="40" t="str">
        <f t="shared" si="93"/>
        <v/>
      </c>
      <c r="KS6" s="40" t="str">
        <f t="shared" si="94"/>
        <v/>
      </c>
      <c r="KT6" s="40" t="str">
        <f t="shared" si="95"/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6"/>
        <v/>
      </c>
      <c r="LP6" s="11" t="str">
        <f t="shared" si="97"/>
        <v/>
      </c>
      <c r="LQ6" s="11" t="str">
        <f t="shared" si="98"/>
        <v/>
      </c>
      <c r="LR6" s="11" t="str">
        <f t="shared" si="99"/>
        <v/>
      </c>
      <c r="LS6" s="11" t="str">
        <f t="shared" si="100"/>
        <v/>
      </c>
      <c r="LT6" s="11" t="str">
        <f t="shared" si="101"/>
        <v/>
      </c>
      <c r="LU6" s="11" t="str">
        <f t="shared" si="102"/>
        <v/>
      </c>
      <c r="LV6" s="11" t="str">
        <f t="shared" si="103"/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 t="shared" si="104"/>
        <v/>
      </c>
      <c r="MR6" s="40" t="str">
        <f t="shared" si="105"/>
        <v/>
      </c>
      <c r="MS6" s="40" t="str">
        <f t="shared" si="106"/>
        <v/>
      </c>
      <c r="MT6" s="40" t="str">
        <f t="shared" si="107"/>
        <v/>
      </c>
      <c r="MU6" s="40" t="str">
        <f t="shared" si="108"/>
        <v/>
      </c>
      <c r="MV6" s="40" t="str">
        <f t="shared" si="109"/>
        <v/>
      </c>
      <c r="MW6" s="40" t="str">
        <f t="shared" si="110"/>
        <v/>
      </c>
      <c r="MX6" s="40" t="str">
        <f t="shared" si="111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2"/>
        <v/>
      </c>
      <c r="NT6" s="11" t="str">
        <f t="shared" si="113"/>
        <v/>
      </c>
      <c r="NU6" s="11" t="str">
        <f t="shared" si="114"/>
        <v/>
      </c>
      <c r="NV6" s="11" t="str">
        <f t="shared" si="115"/>
        <v/>
      </c>
      <c r="NW6" s="11" t="str">
        <f t="shared" si="116"/>
        <v/>
      </c>
      <c r="NX6" s="11" t="str">
        <f t="shared" si="117"/>
        <v/>
      </c>
      <c r="NY6" s="11" t="str">
        <f t="shared" si="118"/>
        <v/>
      </c>
      <c r="NZ6" s="11" t="str">
        <f t="shared" si="119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 t="shared" si="120"/>
        <v/>
      </c>
      <c r="OV6" s="40" t="str">
        <f t="shared" si="121"/>
        <v/>
      </c>
      <c r="OW6" s="40" t="str">
        <f t="shared" si="122"/>
        <v/>
      </c>
      <c r="OX6" s="40" t="str">
        <f t="shared" si="123"/>
        <v/>
      </c>
      <c r="OY6" s="40" t="str">
        <f t="shared" si="124"/>
        <v/>
      </c>
      <c r="OZ6" s="40" t="str">
        <f t="shared" si="125"/>
        <v/>
      </c>
      <c r="PA6" s="40" t="str">
        <f t="shared" si="126"/>
        <v/>
      </c>
      <c r="PB6" s="40" t="str">
        <f t="shared" si="127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8"/>
        <v/>
      </c>
      <c r="PX6" s="11" t="str">
        <f t="shared" si="129"/>
        <v/>
      </c>
      <c r="PY6" s="11" t="str">
        <f t="shared" si="130"/>
        <v/>
      </c>
      <c r="PZ6" s="11" t="str">
        <f t="shared" si="131"/>
        <v/>
      </c>
      <c r="QA6" s="11" t="str">
        <f t="shared" si="132"/>
        <v/>
      </c>
      <c r="QB6" s="11" t="str">
        <f t="shared" si="133"/>
        <v/>
      </c>
      <c r="QC6" s="11" t="str">
        <f t="shared" si="134"/>
        <v/>
      </c>
      <c r="QD6" s="11" t="str">
        <f t="shared" si="135"/>
        <v/>
      </c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40" t="str">
        <f t="shared" si="136"/>
        <v/>
      </c>
      <c r="QZ6" s="40" t="str">
        <f t="shared" si="137"/>
        <v/>
      </c>
      <c r="RA6" s="40" t="str">
        <f t="shared" si="138"/>
        <v/>
      </c>
      <c r="RB6" s="40" t="str">
        <f t="shared" si="139"/>
        <v/>
      </c>
      <c r="RC6" s="40" t="str">
        <f t="shared" si="140"/>
        <v/>
      </c>
      <c r="RD6" s="40" t="str">
        <f t="shared" si="141"/>
        <v/>
      </c>
      <c r="RE6" s="40" t="str">
        <f t="shared" si="142"/>
        <v/>
      </c>
      <c r="RF6" s="40" t="str">
        <f t="shared" si="143"/>
        <v/>
      </c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1" t="str">
        <f t="shared" si="144"/>
        <v/>
      </c>
      <c r="SB6" s="11" t="str">
        <f t="shared" si="145"/>
        <v/>
      </c>
      <c r="SC6" s="11" t="str">
        <f t="shared" si="146"/>
        <v/>
      </c>
      <c r="SD6" s="11" t="str">
        <f t="shared" si="147"/>
        <v/>
      </c>
      <c r="SE6" s="11" t="str">
        <f t="shared" si="148"/>
        <v/>
      </c>
      <c r="SF6" s="11" t="str">
        <f t="shared" si="149"/>
        <v/>
      </c>
      <c r="SG6" s="11" t="str">
        <f t="shared" si="150"/>
        <v/>
      </c>
      <c r="SH6" s="11" t="str">
        <f t="shared" si="151"/>
        <v/>
      </c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40" t="str">
        <f t="shared" si="152"/>
        <v/>
      </c>
      <c r="TD6" s="40" t="str">
        <f t="shared" si="153"/>
        <v/>
      </c>
      <c r="TE6" s="40" t="str">
        <f t="shared" si="154"/>
        <v/>
      </c>
      <c r="TF6" s="40" t="str">
        <f t="shared" si="155"/>
        <v/>
      </c>
      <c r="TG6" s="40" t="str">
        <f t="shared" si="156"/>
        <v/>
      </c>
      <c r="TH6" s="40" t="str">
        <f t="shared" si="157"/>
        <v/>
      </c>
      <c r="TI6" s="40" t="str">
        <f t="shared" si="158"/>
        <v/>
      </c>
      <c r="TJ6" s="40" t="str">
        <f t="shared" si="159"/>
        <v/>
      </c>
      <c r="TK6" s="26">
        <f t="shared" si="160"/>
        <v>16.7</v>
      </c>
      <c r="TL6" s="26">
        <f t="shared" si="161"/>
        <v>4.3</v>
      </c>
      <c r="TM6" s="26">
        <f t="shared" si="162"/>
        <v>0.1</v>
      </c>
      <c r="TN6" s="26">
        <f t="shared" si="163"/>
        <v>0.3</v>
      </c>
      <c r="TO6" s="26">
        <f t="shared" si="164"/>
        <v>16.649999999999999</v>
      </c>
      <c r="TP6" s="26">
        <f t="shared" si="165"/>
        <v>4.3499999999999996</v>
      </c>
      <c r="TQ6" s="26">
        <f t="shared" si="166"/>
        <v>0</v>
      </c>
      <c r="TR6" s="26">
        <f t="shared" si="167"/>
        <v>0.44999999999999996</v>
      </c>
      <c r="TS6" s="26">
        <f t="shared" si="168"/>
        <v>16.649999999999999</v>
      </c>
      <c r="TT6" s="26">
        <f t="shared" si="169"/>
        <v>4.8</v>
      </c>
      <c r="TU6" s="26">
        <f t="shared" si="170"/>
        <v>0</v>
      </c>
      <c r="TV6" s="26">
        <f t="shared" si="171"/>
        <v>0.6</v>
      </c>
      <c r="TW6" s="26">
        <f t="shared" si="172"/>
        <v>17.399999999999999</v>
      </c>
      <c r="TX6" s="26">
        <f t="shared" si="173"/>
        <v>4.2</v>
      </c>
      <c r="TY6" s="26">
        <f t="shared" si="174"/>
        <v>0</v>
      </c>
      <c r="TZ6" s="26">
        <f t="shared" si="175"/>
        <v>0.3</v>
      </c>
      <c r="UA6" s="26">
        <f t="shared" si="176"/>
        <v>17</v>
      </c>
      <c r="UB6" s="26">
        <f t="shared" si="177"/>
        <v>4.55</v>
      </c>
      <c r="UC6" s="26">
        <f t="shared" si="178"/>
        <v>0.1</v>
      </c>
      <c r="UD6" s="26">
        <f t="shared" si="179"/>
        <v>0.44999999999999996</v>
      </c>
      <c r="UE6" s="28" t="s">
        <v>53</v>
      </c>
      <c r="UF6" s="11">
        <f t="shared" si="180"/>
        <v>8.6499999999999986</v>
      </c>
      <c r="UG6" s="11">
        <f t="shared" si="181"/>
        <v>42.650000000000006</v>
      </c>
      <c r="UH6" s="11">
        <f t="shared" si="182"/>
        <v>22.05</v>
      </c>
      <c r="UI6" s="11">
        <f t="shared" si="183"/>
        <v>13.45</v>
      </c>
      <c r="UJ6" s="11">
        <f t="shared" si="184"/>
        <v>64.7</v>
      </c>
      <c r="UK6" s="11">
        <f t="shared" si="185"/>
        <v>8.75</v>
      </c>
      <c r="UL6" s="11">
        <f t="shared" si="186"/>
        <v>43.8</v>
      </c>
      <c r="UM6" s="11">
        <f t="shared" si="187"/>
        <v>108.5</v>
      </c>
    </row>
    <row r="7" spans="1:559" x14ac:dyDescent="0.2">
      <c r="A7" s="4" cm="1">
        <f t="array" ref="A7">IF(AND(H7&lt;&gt;"",H7&lt;&gt;"No DD"),SUMPRODUCT((H$4:H$17&lt;&gt;"")*(H$4:H$17&lt;&gt;"No DD")*(E$4:E$17&gt;E7))+1,IF(H7="No DD",SUMPRODUCT((H$4:H$17="No DD")*(E$4:E$17&gt;E7))+1+SUMPRODUCT((H$4:H$17&lt;&gt;"")*(H$4:H$17&lt;&gt;"No DD")),""))</f>
        <v>4</v>
      </c>
      <c r="B7" s="5" t="s">
        <v>211</v>
      </c>
      <c r="C7" s="4" t="s">
        <v>3</v>
      </c>
      <c r="D7" s="4">
        <v>2007</v>
      </c>
      <c r="E7" s="9">
        <f t="shared" si="0"/>
        <v>149.20001045000424</v>
      </c>
      <c r="F7" s="3" t="str">
        <f t="shared" si="1"/>
        <v>P</v>
      </c>
      <c r="G7" s="3" t="str">
        <f t="shared" si="2"/>
        <v>P</v>
      </c>
      <c r="H7" s="36" t="str">
        <f t="shared" si="3"/>
        <v>National Team</v>
      </c>
      <c r="I7" s="3" t="str">
        <f t="shared" si="4"/>
        <v/>
      </c>
      <c r="J7" s="8">
        <f>IF(COUNT(AQ7,BT7,CW7)&gt;0,LARGE((AQ7,BT7,CW7),1),0)</f>
        <v>42.6</v>
      </c>
      <c r="K7" s="8" t="str">
        <f t="shared" si="5"/>
        <v>2024 Nationals</v>
      </c>
      <c r="L7" s="8">
        <f>IF(COUNT(AQ7,BT7,CW7)&gt;1,LARGE((AQ7,BT7,CW7),2),0)</f>
        <v>39.599999999999994</v>
      </c>
      <c r="M7" s="8" t="str">
        <f t="shared" si="6"/>
        <v>2024 Elite Canada</v>
      </c>
      <c r="N7" s="8">
        <f>IF(COUNT(AR7,BU7,CX7)&gt;0,LARGE((AR7,BU7,CX7),1),0)</f>
        <v>22.300000000000004</v>
      </c>
      <c r="O7" s="8" t="str">
        <f t="shared" si="7"/>
        <v>2024 Elite Canada</v>
      </c>
      <c r="P7" s="8">
        <f t="shared" si="8"/>
        <v>42.1</v>
      </c>
      <c r="Q7" s="8" t="str">
        <f t="shared" si="9"/>
        <v>2024 Nationals</v>
      </c>
      <c r="R7" s="8">
        <f t="shared" si="10"/>
        <v>2.6000000000000085</v>
      </c>
      <c r="S7" s="11" t="str">
        <f t="shared" si="11"/>
        <v>(Q1)</v>
      </c>
      <c r="T7" s="8" t="str">
        <f t="shared" si="12"/>
        <v>2024 Coimbra Gym Fest (July 7)</v>
      </c>
      <c r="U7" s="19">
        <v>16.899999999999999</v>
      </c>
      <c r="V7" s="19">
        <v>3.9</v>
      </c>
      <c r="W7" s="19">
        <v>0</v>
      </c>
      <c r="X7" s="19">
        <v>0.3</v>
      </c>
      <c r="Y7" s="19">
        <v>16.3</v>
      </c>
      <c r="Z7" s="19">
        <v>1.9</v>
      </c>
      <c r="AA7" s="19">
        <v>0</v>
      </c>
      <c r="AB7" s="19">
        <v>0.3</v>
      </c>
      <c r="AC7" s="19">
        <v>17.100000000000001</v>
      </c>
      <c r="AD7" s="19">
        <v>4.5999999999999996</v>
      </c>
      <c r="AE7" s="19">
        <v>0</v>
      </c>
      <c r="AF7" s="19">
        <v>0.6</v>
      </c>
      <c r="AG7" s="19">
        <v>16.7</v>
      </c>
      <c r="AH7" s="19">
        <v>4.5999999999999996</v>
      </c>
      <c r="AI7" s="19">
        <v>0</v>
      </c>
      <c r="AJ7" s="19">
        <v>0.6</v>
      </c>
      <c r="AK7" s="19">
        <v>15.6</v>
      </c>
      <c r="AL7" s="19">
        <v>2.6</v>
      </c>
      <c r="AM7" s="19">
        <v>0</v>
      </c>
      <c r="AN7" s="19">
        <v>0.6</v>
      </c>
      <c r="AO7" s="27"/>
      <c r="AP7" s="40">
        <f t="shared" si="13"/>
        <v>5.8</v>
      </c>
      <c r="AQ7" s="40">
        <f t="shared" si="14"/>
        <v>39.599999999999994</v>
      </c>
      <c r="AR7" s="40">
        <f t="shared" si="15"/>
        <v>22.300000000000004</v>
      </c>
      <c r="AS7" s="40">
        <f t="shared" si="16"/>
        <v>10.399999999999999</v>
      </c>
      <c r="AT7" s="40">
        <f t="shared" si="17"/>
        <v>61.9</v>
      </c>
      <c r="AU7" s="40">
        <f t="shared" si="18"/>
        <v>7.1999999999999993</v>
      </c>
      <c r="AV7" s="40">
        <f t="shared" si="19"/>
        <v>40.700000000000003</v>
      </c>
      <c r="AW7" s="40">
        <f t="shared" si="20"/>
        <v>102.6</v>
      </c>
      <c r="AX7" s="18">
        <v>16.8</v>
      </c>
      <c r="AY7" s="18">
        <v>4.2</v>
      </c>
      <c r="AZ7" s="18">
        <v>0.2</v>
      </c>
      <c r="BA7" s="18">
        <v>0.3</v>
      </c>
      <c r="BB7" s="18">
        <v>16.3</v>
      </c>
      <c r="BC7" s="18">
        <v>4.5999999999999996</v>
      </c>
      <c r="BD7" s="18">
        <v>0</v>
      </c>
      <c r="BE7" s="18">
        <v>0.6</v>
      </c>
      <c r="BF7" s="18">
        <v>16.5</v>
      </c>
      <c r="BG7" s="18">
        <v>4.5999999999999996</v>
      </c>
      <c r="BH7" s="18">
        <v>0</v>
      </c>
      <c r="BI7" s="18">
        <v>0.6</v>
      </c>
      <c r="BJ7" s="18">
        <v>15.9</v>
      </c>
      <c r="BK7" s="18">
        <v>4.2</v>
      </c>
      <c r="BL7" s="18">
        <v>0.4</v>
      </c>
      <c r="BM7" s="18">
        <v>0.3</v>
      </c>
      <c r="BN7" s="18">
        <v>16.899999999999999</v>
      </c>
      <c r="BO7" s="18">
        <v>4.5999999999999996</v>
      </c>
      <c r="BP7" s="18">
        <v>0</v>
      </c>
      <c r="BQ7" s="18">
        <v>0.6</v>
      </c>
      <c r="BR7" s="28"/>
      <c r="BS7" s="11">
        <f t="shared" si="21"/>
        <v>8.8000000000000007</v>
      </c>
      <c r="BT7" s="11">
        <f t="shared" si="22"/>
        <v>42.6</v>
      </c>
      <c r="BU7" s="11">
        <f t="shared" si="23"/>
        <v>21.700000000000003</v>
      </c>
      <c r="BV7" s="11">
        <f t="shared" si="24"/>
        <v>13.4</v>
      </c>
      <c r="BW7" s="11">
        <f t="shared" si="25"/>
        <v>64.300000000000011</v>
      </c>
      <c r="BX7" s="11">
        <f t="shared" si="26"/>
        <v>8.8000000000000007</v>
      </c>
      <c r="BY7" s="11">
        <f t="shared" si="27"/>
        <v>42.1</v>
      </c>
      <c r="BZ7" s="11">
        <f t="shared" si="28"/>
        <v>106.4</v>
      </c>
      <c r="CA7" s="19">
        <v>11.7</v>
      </c>
      <c r="CB7" s="19">
        <v>3</v>
      </c>
      <c r="CC7" s="19">
        <v>0</v>
      </c>
      <c r="CD7" s="19">
        <v>0.6</v>
      </c>
      <c r="CE7" s="19">
        <v>16.399999999999999</v>
      </c>
      <c r="CF7" s="19">
        <v>4.5999999999999996</v>
      </c>
      <c r="CG7" s="19">
        <v>0</v>
      </c>
      <c r="CH7" s="19">
        <v>0.6</v>
      </c>
      <c r="CI7" s="19">
        <v>16.2</v>
      </c>
      <c r="CJ7" s="19">
        <v>4.5999999999999996</v>
      </c>
      <c r="CK7" s="19">
        <v>0</v>
      </c>
      <c r="CL7" s="19">
        <v>0.6</v>
      </c>
      <c r="CM7" s="19">
        <v>16.3</v>
      </c>
      <c r="CN7" s="19">
        <v>4.4000000000000004</v>
      </c>
      <c r="CO7" s="19">
        <v>0.2</v>
      </c>
      <c r="CP7" s="19">
        <v>0.44999999999999996</v>
      </c>
      <c r="CQ7" s="19">
        <v>16.25</v>
      </c>
      <c r="CR7" s="19">
        <v>3.5999999999999996</v>
      </c>
      <c r="CS7" s="19">
        <v>0</v>
      </c>
      <c r="CT7" s="19">
        <v>0.6</v>
      </c>
      <c r="CU7" s="27" t="s">
        <v>53</v>
      </c>
      <c r="CV7" s="40">
        <f t="shared" si="29"/>
        <v>7.6</v>
      </c>
      <c r="CW7" s="40">
        <f t="shared" si="30"/>
        <v>36.9</v>
      </c>
      <c r="CX7" s="40">
        <f t="shared" si="31"/>
        <v>21.4</v>
      </c>
      <c r="CY7" s="40">
        <f t="shared" si="32"/>
        <v>12.2</v>
      </c>
      <c r="CZ7" s="40">
        <f t="shared" si="33"/>
        <v>58.3</v>
      </c>
      <c r="DA7" s="40">
        <f t="shared" si="34"/>
        <v>8</v>
      </c>
      <c r="DB7" s="40">
        <f t="shared" si="35"/>
        <v>41.400000000000006</v>
      </c>
      <c r="DC7" s="40">
        <f t="shared" si="36"/>
        <v>99.7</v>
      </c>
      <c r="DD7" s="51">
        <f t="shared" si="37"/>
        <v>2.6000000000000085</v>
      </c>
      <c r="DE7" s="51" t="str">
        <f t="shared" si="38"/>
        <v/>
      </c>
      <c r="DF7" s="51">
        <f t="shared" si="39"/>
        <v>1.7999999999999972</v>
      </c>
      <c r="DG7" s="17">
        <v>16</v>
      </c>
      <c r="DH7" s="17">
        <v>5.3</v>
      </c>
      <c r="DI7" s="17">
        <v>0</v>
      </c>
      <c r="DJ7" s="17">
        <v>1</v>
      </c>
      <c r="DK7" s="17">
        <v>16.399999999999999</v>
      </c>
      <c r="DL7" s="17">
        <v>3.5</v>
      </c>
      <c r="DM7" s="17">
        <v>0</v>
      </c>
      <c r="DN7" s="17">
        <v>0</v>
      </c>
      <c r="DO7" s="17"/>
      <c r="DP7" s="17"/>
      <c r="DQ7" s="17"/>
      <c r="DR7" s="17"/>
      <c r="DS7" s="17">
        <v>16.899999999999999</v>
      </c>
      <c r="DT7" s="17">
        <v>4.5999999999999996</v>
      </c>
      <c r="DU7" s="17">
        <v>0</v>
      </c>
      <c r="DV7" s="17">
        <v>0</v>
      </c>
      <c r="DW7" s="17">
        <v>17.600000000000001</v>
      </c>
      <c r="DX7" s="17">
        <v>4.8</v>
      </c>
      <c r="DY7" s="17">
        <v>0</v>
      </c>
      <c r="DZ7" s="17">
        <v>0</v>
      </c>
      <c r="EA7" s="40">
        <f t="shared" si="40"/>
        <v>8.8000000000000007</v>
      </c>
      <c r="EB7" s="40">
        <f t="shared" si="41"/>
        <v>42.2</v>
      </c>
      <c r="EC7" s="40" t="str">
        <f t="shared" si="42"/>
        <v/>
      </c>
      <c r="ED7" s="40">
        <f t="shared" si="43"/>
        <v>8.8000000000000007</v>
      </c>
      <c r="EE7" s="40">
        <f t="shared" si="44"/>
        <v>42.2</v>
      </c>
      <c r="EF7" s="40">
        <f t="shared" si="45"/>
        <v>9.3999999999999986</v>
      </c>
      <c r="EG7" s="40">
        <f t="shared" si="46"/>
        <v>43.9</v>
      </c>
      <c r="EH7" s="40">
        <f t="shared" si="47"/>
        <v>86.1</v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 t="shared" si="48"/>
        <v/>
      </c>
      <c r="FD7" s="11" t="str">
        <f t="shared" si="49"/>
        <v/>
      </c>
      <c r="FE7" s="11" t="str">
        <f t="shared" si="50"/>
        <v/>
      </c>
      <c r="FF7" s="11" t="str">
        <f t="shared" si="51"/>
        <v/>
      </c>
      <c r="FG7" s="11" t="str">
        <f t="shared" si="52"/>
        <v/>
      </c>
      <c r="FH7" s="11" t="str">
        <f t="shared" si="53"/>
        <v/>
      </c>
      <c r="FI7" s="11" t="str">
        <f t="shared" si="54"/>
        <v/>
      </c>
      <c r="FJ7" s="11" t="str">
        <f t="shared" si="55"/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 t="str">
        <f t="shared" si="56"/>
        <v/>
      </c>
      <c r="GF7" s="40" t="str">
        <f t="shared" si="57"/>
        <v/>
      </c>
      <c r="GG7" s="40" t="str">
        <f t="shared" si="58"/>
        <v/>
      </c>
      <c r="GH7" s="40" t="str">
        <f t="shared" si="59"/>
        <v/>
      </c>
      <c r="GI7" s="40" t="str">
        <f t="shared" si="60"/>
        <v/>
      </c>
      <c r="GJ7" s="40" t="str">
        <f t="shared" si="61"/>
        <v/>
      </c>
      <c r="GK7" s="40" t="str">
        <f t="shared" si="62"/>
        <v/>
      </c>
      <c r="GL7" s="40" t="str">
        <f t="shared" si="63"/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 t="shared" si="64"/>
        <v/>
      </c>
      <c r="HH7" s="11" t="str">
        <f t="shared" si="65"/>
        <v/>
      </c>
      <c r="HI7" s="11" t="str">
        <f t="shared" si="66"/>
        <v/>
      </c>
      <c r="HJ7" s="11" t="str">
        <f t="shared" si="67"/>
        <v/>
      </c>
      <c r="HK7" s="11" t="str">
        <f t="shared" si="68"/>
        <v/>
      </c>
      <c r="HL7" s="11" t="str">
        <f t="shared" si="69"/>
        <v/>
      </c>
      <c r="HM7" s="11" t="str">
        <f t="shared" si="70"/>
        <v/>
      </c>
      <c r="HN7" s="11" t="str">
        <f t="shared" si="71"/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 t="shared" si="72"/>
        <v/>
      </c>
      <c r="IJ7" s="40" t="str">
        <f t="shared" si="73"/>
        <v/>
      </c>
      <c r="IK7" s="40" t="str">
        <f t="shared" si="74"/>
        <v/>
      </c>
      <c r="IL7" s="40" t="str">
        <f t="shared" si="75"/>
        <v/>
      </c>
      <c r="IM7" s="40" t="str">
        <f t="shared" si="76"/>
        <v/>
      </c>
      <c r="IN7" s="40" t="str">
        <f t="shared" si="77"/>
        <v/>
      </c>
      <c r="IO7" s="40" t="str">
        <f t="shared" si="78"/>
        <v/>
      </c>
      <c r="IP7" s="40" t="str">
        <f t="shared" si="79"/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80"/>
        <v/>
      </c>
      <c r="JL7" s="11" t="str">
        <f t="shared" si="81"/>
        <v/>
      </c>
      <c r="JM7" s="11" t="str">
        <f t="shared" si="82"/>
        <v/>
      </c>
      <c r="JN7" s="11" t="str">
        <f t="shared" si="83"/>
        <v/>
      </c>
      <c r="JO7" s="11" t="str">
        <f t="shared" si="84"/>
        <v/>
      </c>
      <c r="JP7" s="11" t="str">
        <f t="shared" si="85"/>
        <v/>
      </c>
      <c r="JQ7" s="11" t="str">
        <f t="shared" si="86"/>
        <v/>
      </c>
      <c r="JR7" s="11" t="str">
        <f t="shared" si="87"/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 t="shared" si="88"/>
        <v/>
      </c>
      <c r="KN7" s="40" t="str">
        <f t="shared" si="89"/>
        <v/>
      </c>
      <c r="KO7" s="40" t="str">
        <f t="shared" si="90"/>
        <v/>
      </c>
      <c r="KP7" s="40" t="str">
        <f t="shared" si="91"/>
        <v/>
      </c>
      <c r="KQ7" s="40" t="str">
        <f t="shared" si="92"/>
        <v/>
      </c>
      <c r="KR7" s="40" t="str">
        <f t="shared" si="93"/>
        <v/>
      </c>
      <c r="KS7" s="40" t="str">
        <f t="shared" si="94"/>
        <v/>
      </c>
      <c r="KT7" s="40" t="str">
        <f t="shared" si="95"/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6"/>
        <v/>
      </c>
      <c r="LP7" s="11" t="str">
        <f t="shared" si="97"/>
        <v/>
      </c>
      <c r="LQ7" s="11" t="str">
        <f t="shared" si="98"/>
        <v/>
      </c>
      <c r="LR7" s="11" t="str">
        <f t="shared" si="99"/>
        <v/>
      </c>
      <c r="LS7" s="11" t="str">
        <f t="shared" si="100"/>
        <v/>
      </c>
      <c r="LT7" s="11" t="str">
        <f t="shared" si="101"/>
        <v/>
      </c>
      <c r="LU7" s="11" t="str">
        <f t="shared" si="102"/>
        <v/>
      </c>
      <c r="LV7" s="11" t="str">
        <f t="shared" si="103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 t="shared" si="104"/>
        <v/>
      </c>
      <c r="MR7" s="40" t="str">
        <f t="shared" si="105"/>
        <v/>
      </c>
      <c r="MS7" s="40" t="str">
        <f t="shared" si="106"/>
        <v/>
      </c>
      <c r="MT7" s="40" t="str">
        <f t="shared" si="107"/>
        <v/>
      </c>
      <c r="MU7" s="40" t="str">
        <f t="shared" si="108"/>
        <v/>
      </c>
      <c r="MV7" s="40" t="str">
        <f t="shared" si="109"/>
        <v/>
      </c>
      <c r="MW7" s="40" t="str">
        <f t="shared" si="110"/>
        <v/>
      </c>
      <c r="MX7" s="40" t="str">
        <f t="shared" si="111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2"/>
        <v/>
      </c>
      <c r="NT7" s="11" t="str">
        <f t="shared" si="113"/>
        <v/>
      </c>
      <c r="NU7" s="11" t="str">
        <f t="shared" si="114"/>
        <v/>
      </c>
      <c r="NV7" s="11" t="str">
        <f t="shared" si="115"/>
        <v/>
      </c>
      <c r="NW7" s="11" t="str">
        <f t="shared" si="116"/>
        <v/>
      </c>
      <c r="NX7" s="11" t="str">
        <f t="shared" si="117"/>
        <v/>
      </c>
      <c r="NY7" s="11" t="str">
        <f t="shared" si="118"/>
        <v/>
      </c>
      <c r="NZ7" s="11" t="str">
        <f t="shared" si="119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 t="shared" si="120"/>
        <v/>
      </c>
      <c r="OV7" s="40" t="str">
        <f t="shared" si="121"/>
        <v/>
      </c>
      <c r="OW7" s="40" t="str">
        <f t="shared" si="122"/>
        <v/>
      </c>
      <c r="OX7" s="40" t="str">
        <f t="shared" si="123"/>
        <v/>
      </c>
      <c r="OY7" s="40" t="str">
        <f t="shared" si="124"/>
        <v/>
      </c>
      <c r="OZ7" s="40" t="str">
        <f t="shared" si="125"/>
        <v/>
      </c>
      <c r="PA7" s="40" t="str">
        <f t="shared" si="126"/>
        <v/>
      </c>
      <c r="PB7" s="40" t="str">
        <f t="shared" si="127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8"/>
        <v/>
      </c>
      <c r="PX7" s="11" t="str">
        <f t="shared" si="129"/>
        <v/>
      </c>
      <c r="PY7" s="11" t="str">
        <f t="shared" si="130"/>
        <v/>
      </c>
      <c r="PZ7" s="11" t="str">
        <f t="shared" si="131"/>
        <v/>
      </c>
      <c r="QA7" s="11" t="str">
        <f t="shared" si="132"/>
        <v/>
      </c>
      <c r="QB7" s="11" t="str">
        <f t="shared" si="133"/>
        <v/>
      </c>
      <c r="QC7" s="11" t="str">
        <f t="shared" si="134"/>
        <v/>
      </c>
      <c r="QD7" s="11" t="str">
        <f t="shared" si="135"/>
        <v/>
      </c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40" t="str">
        <f t="shared" si="136"/>
        <v/>
      </c>
      <c r="QZ7" s="40" t="str">
        <f t="shared" si="137"/>
        <v/>
      </c>
      <c r="RA7" s="40" t="str">
        <f t="shared" si="138"/>
        <v/>
      </c>
      <c r="RB7" s="40" t="str">
        <f t="shared" si="139"/>
        <v/>
      </c>
      <c r="RC7" s="40" t="str">
        <f t="shared" si="140"/>
        <v/>
      </c>
      <c r="RD7" s="40" t="str">
        <f t="shared" si="141"/>
        <v/>
      </c>
      <c r="RE7" s="40" t="str">
        <f t="shared" si="142"/>
        <v/>
      </c>
      <c r="RF7" s="40" t="str">
        <f t="shared" si="143"/>
        <v/>
      </c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1" t="str">
        <f t="shared" si="144"/>
        <v/>
      </c>
      <c r="SB7" s="11" t="str">
        <f t="shared" si="145"/>
        <v/>
      </c>
      <c r="SC7" s="11" t="str">
        <f t="shared" si="146"/>
        <v/>
      </c>
      <c r="SD7" s="11" t="str">
        <f t="shared" si="147"/>
        <v/>
      </c>
      <c r="SE7" s="11" t="str">
        <f t="shared" si="148"/>
        <v/>
      </c>
      <c r="SF7" s="11" t="str">
        <f t="shared" si="149"/>
        <v/>
      </c>
      <c r="SG7" s="11" t="str">
        <f t="shared" si="150"/>
        <v/>
      </c>
      <c r="SH7" s="11" t="str">
        <f t="shared" si="151"/>
        <v/>
      </c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40" t="str">
        <f t="shared" si="152"/>
        <v/>
      </c>
      <c r="TD7" s="40" t="str">
        <f t="shared" si="153"/>
        <v/>
      </c>
      <c r="TE7" s="40" t="str">
        <f t="shared" si="154"/>
        <v/>
      </c>
      <c r="TF7" s="40" t="str">
        <f t="shared" si="155"/>
        <v/>
      </c>
      <c r="TG7" s="40" t="str">
        <f t="shared" si="156"/>
        <v/>
      </c>
      <c r="TH7" s="40" t="str">
        <f t="shared" si="157"/>
        <v/>
      </c>
      <c r="TI7" s="40" t="str">
        <f t="shared" si="158"/>
        <v/>
      </c>
      <c r="TJ7" s="40" t="str">
        <f t="shared" si="159"/>
        <v/>
      </c>
      <c r="TK7" s="26">
        <f t="shared" si="160"/>
        <v>11.7</v>
      </c>
      <c r="TL7" s="26">
        <f t="shared" si="161"/>
        <v>3</v>
      </c>
      <c r="TM7" s="26">
        <f t="shared" si="162"/>
        <v>0</v>
      </c>
      <c r="TN7" s="26">
        <f t="shared" si="163"/>
        <v>0.6</v>
      </c>
      <c r="TO7" s="26">
        <f t="shared" si="164"/>
        <v>16.399999999999999</v>
      </c>
      <c r="TP7" s="26">
        <f t="shared" si="165"/>
        <v>4.5999999999999996</v>
      </c>
      <c r="TQ7" s="26">
        <f t="shared" si="166"/>
        <v>0</v>
      </c>
      <c r="TR7" s="26">
        <f t="shared" si="167"/>
        <v>0.6</v>
      </c>
      <c r="TS7" s="26">
        <f t="shared" si="168"/>
        <v>16.2</v>
      </c>
      <c r="TT7" s="26">
        <f t="shared" si="169"/>
        <v>4.5999999999999996</v>
      </c>
      <c r="TU7" s="26">
        <f t="shared" si="170"/>
        <v>0</v>
      </c>
      <c r="TV7" s="26">
        <f t="shared" si="171"/>
        <v>0.6</v>
      </c>
      <c r="TW7" s="26">
        <f t="shared" si="172"/>
        <v>16.3</v>
      </c>
      <c r="TX7" s="26">
        <f t="shared" si="173"/>
        <v>4.4000000000000004</v>
      </c>
      <c r="TY7" s="26">
        <f t="shared" si="174"/>
        <v>0.2</v>
      </c>
      <c r="TZ7" s="26">
        <f t="shared" si="175"/>
        <v>0.44999999999999996</v>
      </c>
      <c r="UA7" s="26">
        <f t="shared" si="176"/>
        <v>16.25</v>
      </c>
      <c r="UB7" s="26">
        <f t="shared" si="177"/>
        <v>3.5999999999999996</v>
      </c>
      <c r="UC7" s="26">
        <f t="shared" si="178"/>
        <v>0</v>
      </c>
      <c r="UD7" s="26">
        <f t="shared" si="179"/>
        <v>0.6</v>
      </c>
      <c r="UE7" s="28" t="s">
        <v>53</v>
      </c>
      <c r="UF7" s="11">
        <f t="shared" si="180"/>
        <v>7.6</v>
      </c>
      <c r="UG7" s="11">
        <f t="shared" si="181"/>
        <v>36.9</v>
      </c>
      <c r="UH7" s="11">
        <f t="shared" si="182"/>
        <v>21.4</v>
      </c>
      <c r="UI7" s="11">
        <f t="shared" si="183"/>
        <v>12.2</v>
      </c>
      <c r="UJ7" s="11">
        <f t="shared" si="184"/>
        <v>58.3</v>
      </c>
      <c r="UK7" s="11">
        <f t="shared" si="185"/>
        <v>8</v>
      </c>
      <c r="UL7" s="11">
        <f t="shared" si="186"/>
        <v>41.400000000000006</v>
      </c>
      <c r="UM7" s="11">
        <f t="shared" si="187"/>
        <v>99.7</v>
      </c>
    </row>
    <row r="8" spans="1:559" x14ac:dyDescent="0.2">
      <c r="A8" s="4" cm="1">
        <f t="array" ref="A8">IF(AND(H8&lt;&gt;"",H8&lt;&gt;"No DD"),SUMPRODUCT((H$4:H$17&lt;&gt;"")*(H$4:H$17&lt;&gt;"No DD")*(E$4:E$17&gt;E8))+1,IF(H8="No DD",SUMPRODUCT((H$4:H$17="No DD")*(E$4:E$17&gt;E8))+1+SUMPRODUCT((H$4:H$17&lt;&gt;"")*(H$4:H$17&lt;&gt;"No DD")),""))</f>
        <v>5</v>
      </c>
      <c r="B8" s="5" t="s">
        <v>255</v>
      </c>
      <c r="C8" s="4" t="s">
        <v>5</v>
      </c>
      <c r="D8" s="4">
        <v>2004</v>
      </c>
      <c r="E8" s="9">
        <f t="shared" si="0"/>
        <v>147.00001042000434</v>
      </c>
      <c r="F8" s="3" t="str">
        <f t="shared" si="1"/>
        <v>P</v>
      </c>
      <c r="G8" s="3" t="str">
        <f t="shared" si="2"/>
        <v>P</v>
      </c>
      <c r="H8" s="36" t="str">
        <f t="shared" si="3"/>
        <v>National Team</v>
      </c>
      <c r="I8" s="3" t="str">
        <f t="shared" si="4"/>
        <v/>
      </c>
      <c r="J8" s="8">
        <f>IF(COUNT(AQ8,BT8,CW8)&gt;0,LARGE((AQ8,BT8,CW8),1),0)</f>
        <v>43.300000000000004</v>
      </c>
      <c r="K8" s="8" t="str">
        <f t="shared" si="5"/>
        <v>2024 Nationals</v>
      </c>
      <c r="L8" s="8">
        <f>IF(COUNT(AQ8,BT8,CW8)&gt;1,LARGE((AQ8,BT8,CW8),2),0)</f>
        <v>39.000000000000007</v>
      </c>
      <c r="M8" s="8" t="str">
        <f t="shared" si="6"/>
        <v>2024 Elite Canada</v>
      </c>
      <c r="N8" s="8">
        <f>IF(COUNT(AR8,BU8,CX8)&gt;0,LARGE((AR8,BU8,CX8),1),0)</f>
        <v>21.900000000000002</v>
      </c>
      <c r="O8" s="8" t="str">
        <f t="shared" si="7"/>
        <v>2024 Nationals</v>
      </c>
      <c r="P8" s="8">
        <f t="shared" si="8"/>
        <v>42.800000000000004</v>
      </c>
      <c r="Q8" s="8" t="str">
        <f t="shared" si="9"/>
        <v>2024 Nationals</v>
      </c>
      <c r="R8" s="8" t="str">
        <f t="shared" si="10"/>
        <v/>
      </c>
      <c r="S8" s="11" t="str">
        <f t="shared" si="11"/>
        <v/>
      </c>
      <c r="T8" s="8" t="str">
        <f t="shared" si="12"/>
        <v/>
      </c>
      <c r="U8" s="19">
        <v>16.100000000000001</v>
      </c>
      <c r="V8" s="19">
        <v>4.0999999999999996</v>
      </c>
      <c r="W8" s="19">
        <v>0</v>
      </c>
      <c r="X8" s="19">
        <v>0.3</v>
      </c>
      <c r="Y8" s="19">
        <v>14.9</v>
      </c>
      <c r="Z8" s="19">
        <v>3.6</v>
      </c>
      <c r="AA8" s="19">
        <v>0</v>
      </c>
      <c r="AB8" s="19">
        <v>0</v>
      </c>
      <c r="AC8" s="19">
        <v>16.399999999999999</v>
      </c>
      <c r="AD8" s="19">
        <v>2.9</v>
      </c>
      <c r="AE8" s="19">
        <v>0.1</v>
      </c>
      <c r="AF8" s="19">
        <v>0.3</v>
      </c>
      <c r="AG8" s="19">
        <v>15.6</v>
      </c>
      <c r="AH8" s="19">
        <v>6.1</v>
      </c>
      <c r="AI8" s="19">
        <v>0</v>
      </c>
      <c r="AJ8" s="19">
        <v>0.3</v>
      </c>
      <c r="AK8" s="19">
        <v>16.7</v>
      </c>
      <c r="AL8" s="19">
        <v>1.2</v>
      </c>
      <c r="AM8" s="19">
        <v>0</v>
      </c>
      <c r="AN8" s="19">
        <v>0</v>
      </c>
      <c r="AO8" s="27"/>
      <c r="AP8" s="40">
        <f t="shared" si="13"/>
        <v>7.6999999999999993</v>
      </c>
      <c r="AQ8" s="40">
        <f t="shared" si="14"/>
        <v>39.000000000000007</v>
      </c>
      <c r="AR8" s="40">
        <f t="shared" si="15"/>
        <v>19.499999999999996</v>
      </c>
      <c r="AS8" s="40">
        <f t="shared" si="16"/>
        <v>10.6</v>
      </c>
      <c r="AT8" s="40">
        <f t="shared" si="17"/>
        <v>58.5</v>
      </c>
      <c r="AU8" s="40">
        <f t="shared" si="18"/>
        <v>7.3</v>
      </c>
      <c r="AV8" s="40">
        <f t="shared" si="19"/>
        <v>39.900000000000006</v>
      </c>
      <c r="AW8" s="40">
        <f t="shared" si="20"/>
        <v>98.4</v>
      </c>
      <c r="AX8" s="18">
        <v>16.399999999999999</v>
      </c>
      <c r="AY8" s="18">
        <v>6.1</v>
      </c>
      <c r="AZ8" s="18">
        <v>0</v>
      </c>
      <c r="BA8" s="18">
        <v>0.3</v>
      </c>
      <c r="BB8" s="18">
        <v>16.399999999999999</v>
      </c>
      <c r="BC8" s="18">
        <v>3.5</v>
      </c>
      <c r="BD8" s="18">
        <v>0</v>
      </c>
      <c r="BE8" s="18">
        <v>0.6</v>
      </c>
      <c r="BF8" s="18">
        <v>15.5</v>
      </c>
      <c r="BG8" s="18">
        <v>6.1</v>
      </c>
      <c r="BH8" s="18">
        <v>0</v>
      </c>
      <c r="BI8" s="18">
        <v>0.3</v>
      </c>
      <c r="BJ8" s="18">
        <v>15.9</v>
      </c>
      <c r="BK8" s="18">
        <v>6.1</v>
      </c>
      <c r="BL8" s="18">
        <v>0</v>
      </c>
      <c r="BM8" s="18">
        <v>0.3</v>
      </c>
      <c r="BN8" s="18">
        <v>16.399999999999999</v>
      </c>
      <c r="BO8" s="18">
        <v>3.5</v>
      </c>
      <c r="BP8" s="18">
        <v>0</v>
      </c>
      <c r="BQ8" s="18">
        <v>0.6</v>
      </c>
      <c r="BR8" s="28"/>
      <c r="BS8" s="11">
        <f t="shared" si="21"/>
        <v>9.6</v>
      </c>
      <c r="BT8" s="11">
        <f t="shared" si="22"/>
        <v>43.300000000000004</v>
      </c>
      <c r="BU8" s="11">
        <f t="shared" si="23"/>
        <v>21.900000000000002</v>
      </c>
      <c r="BV8" s="11">
        <f t="shared" si="24"/>
        <v>15.7</v>
      </c>
      <c r="BW8" s="11">
        <f t="shared" si="25"/>
        <v>65.2</v>
      </c>
      <c r="BX8" s="11">
        <f t="shared" si="26"/>
        <v>9.6</v>
      </c>
      <c r="BY8" s="11">
        <f t="shared" si="27"/>
        <v>42.800000000000004</v>
      </c>
      <c r="BZ8" s="11">
        <f t="shared" si="28"/>
        <v>108</v>
      </c>
      <c r="CA8" s="19">
        <v>14.4</v>
      </c>
      <c r="CB8" s="19">
        <v>3.4</v>
      </c>
      <c r="CC8" s="19">
        <v>0.6</v>
      </c>
      <c r="CD8" s="19">
        <v>0.3</v>
      </c>
      <c r="CE8" s="19">
        <v>15</v>
      </c>
      <c r="CF8" s="19">
        <v>4.3</v>
      </c>
      <c r="CG8" s="19">
        <v>4</v>
      </c>
      <c r="CH8" s="19">
        <v>0.6</v>
      </c>
      <c r="CI8" s="19">
        <v>14.6</v>
      </c>
      <c r="CJ8" s="19">
        <v>3.3</v>
      </c>
      <c r="CK8" s="19">
        <v>0.3</v>
      </c>
      <c r="CL8" s="19">
        <v>0.3</v>
      </c>
      <c r="CM8" s="19">
        <v>14.9</v>
      </c>
      <c r="CN8" s="19">
        <v>2.9</v>
      </c>
      <c r="CO8" s="19">
        <v>0</v>
      </c>
      <c r="CP8" s="19">
        <v>0.3</v>
      </c>
      <c r="CQ8" s="19">
        <v>14.1</v>
      </c>
      <c r="CR8" s="19">
        <v>3.9</v>
      </c>
      <c r="CS8" s="19">
        <v>0.4</v>
      </c>
      <c r="CT8" s="19">
        <v>0.6</v>
      </c>
      <c r="CU8" s="27"/>
      <c r="CV8" s="40">
        <f t="shared" si="29"/>
        <v>7.6999999999999993</v>
      </c>
      <c r="CW8" s="40">
        <f t="shared" si="30"/>
        <v>33.4</v>
      </c>
      <c r="CX8" s="40">
        <f t="shared" si="31"/>
        <v>17.899999999999999</v>
      </c>
      <c r="CY8" s="40">
        <f t="shared" si="32"/>
        <v>11</v>
      </c>
      <c r="CZ8" s="40">
        <f t="shared" si="33"/>
        <v>51.3</v>
      </c>
      <c r="DA8" s="40">
        <f t="shared" si="34"/>
        <v>6.8</v>
      </c>
      <c r="DB8" s="40">
        <f t="shared" si="35"/>
        <v>36.300000000000004</v>
      </c>
      <c r="DC8" s="40">
        <f t="shared" si="36"/>
        <v>87.6</v>
      </c>
      <c r="DD8" s="51" t="str">
        <f t="shared" si="37"/>
        <v/>
      </c>
      <c r="DE8" s="51" t="str">
        <f t="shared" si="38"/>
        <v/>
      </c>
      <c r="DF8" s="51" t="str">
        <f t="shared" si="39"/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 t="shared" si="40"/>
        <v/>
      </c>
      <c r="EB8" s="40" t="str">
        <f t="shared" si="41"/>
        <v/>
      </c>
      <c r="EC8" s="40" t="str">
        <f t="shared" si="42"/>
        <v/>
      </c>
      <c r="ED8" s="40" t="str">
        <f t="shared" si="43"/>
        <v/>
      </c>
      <c r="EE8" s="40" t="str">
        <f t="shared" si="44"/>
        <v/>
      </c>
      <c r="EF8" s="40" t="str">
        <f t="shared" si="45"/>
        <v/>
      </c>
      <c r="EG8" s="40" t="str">
        <f t="shared" si="46"/>
        <v/>
      </c>
      <c r="EH8" s="40" t="str">
        <f t="shared" si="47"/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 t="shared" si="48"/>
        <v/>
      </c>
      <c r="FD8" s="11" t="str">
        <f t="shared" si="49"/>
        <v/>
      </c>
      <c r="FE8" s="11" t="str">
        <f t="shared" si="50"/>
        <v/>
      </c>
      <c r="FF8" s="11" t="str">
        <f t="shared" si="51"/>
        <v/>
      </c>
      <c r="FG8" s="11" t="str">
        <f t="shared" si="52"/>
        <v/>
      </c>
      <c r="FH8" s="11" t="str">
        <f t="shared" si="53"/>
        <v/>
      </c>
      <c r="FI8" s="11" t="str">
        <f t="shared" si="54"/>
        <v/>
      </c>
      <c r="FJ8" s="11" t="str">
        <f t="shared" si="55"/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 t="shared" si="56"/>
        <v/>
      </c>
      <c r="GF8" s="40" t="str">
        <f t="shared" si="57"/>
        <v/>
      </c>
      <c r="GG8" s="40" t="str">
        <f t="shared" si="58"/>
        <v/>
      </c>
      <c r="GH8" s="40" t="str">
        <f t="shared" si="59"/>
        <v/>
      </c>
      <c r="GI8" s="40" t="str">
        <f t="shared" si="60"/>
        <v/>
      </c>
      <c r="GJ8" s="40" t="str">
        <f t="shared" si="61"/>
        <v/>
      </c>
      <c r="GK8" s="40" t="str">
        <f t="shared" si="62"/>
        <v/>
      </c>
      <c r="GL8" s="40" t="str">
        <f t="shared" si="63"/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 t="shared" si="64"/>
        <v/>
      </c>
      <c r="HH8" s="11" t="str">
        <f t="shared" si="65"/>
        <v/>
      </c>
      <c r="HI8" s="11" t="str">
        <f t="shared" si="66"/>
        <v/>
      </c>
      <c r="HJ8" s="11" t="str">
        <f t="shared" si="67"/>
        <v/>
      </c>
      <c r="HK8" s="11" t="str">
        <f t="shared" si="68"/>
        <v/>
      </c>
      <c r="HL8" s="11" t="str">
        <f t="shared" si="69"/>
        <v/>
      </c>
      <c r="HM8" s="11" t="str">
        <f t="shared" si="70"/>
        <v/>
      </c>
      <c r="HN8" s="11" t="str">
        <f t="shared" si="71"/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 t="shared" si="72"/>
        <v/>
      </c>
      <c r="IJ8" s="40" t="str">
        <f t="shared" si="73"/>
        <v/>
      </c>
      <c r="IK8" s="40" t="str">
        <f t="shared" si="74"/>
        <v/>
      </c>
      <c r="IL8" s="40" t="str">
        <f t="shared" si="75"/>
        <v/>
      </c>
      <c r="IM8" s="40" t="str">
        <f t="shared" si="76"/>
        <v/>
      </c>
      <c r="IN8" s="40" t="str">
        <f t="shared" si="77"/>
        <v/>
      </c>
      <c r="IO8" s="40" t="str">
        <f t="shared" si="78"/>
        <v/>
      </c>
      <c r="IP8" s="40" t="str">
        <f t="shared" si="79"/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80"/>
        <v/>
      </c>
      <c r="JL8" s="11" t="str">
        <f t="shared" si="81"/>
        <v/>
      </c>
      <c r="JM8" s="11" t="str">
        <f t="shared" si="82"/>
        <v/>
      </c>
      <c r="JN8" s="11" t="str">
        <f t="shared" si="83"/>
        <v/>
      </c>
      <c r="JO8" s="11" t="str">
        <f t="shared" si="84"/>
        <v/>
      </c>
      <c r="JP8" s="11" t="str">
        <f t="shared" si="85"/>
        <v/>
      </c>
      <c r="JQ8" s="11" t="str">
        <f t="shared" si="86"/>
        <v/>
      </c>
      <c r="JR8" s="11" t="str">
        <f t="shared" si="87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 t="shared" si="88"/>
        <v/>
      </c>
      <c r="KN8" s="40" t="str">
        <f t="shared" si="89"/>
        <v/>
      </c>
      <c r="KO8" s="40" t="str">
        <f t="shared" si="90"/>
        <v/>
      </c>
      <c r="KP8" s="40" t="str">
        <f t="shared" si="91"/>
        <v/>
      </c>
      <c r="KQ8" s="40" t="str">
        <f t="shared" si="92"/>
        <v/>
      </c>
      <c r="KR8" s="40" t="str">
        <f t="shared" si="93"/>
        <v/>
      </c>
      <c r="KS8" s="40" t="str">
        <f t="shared" si="94"/>
        <v/>
      </c>
      <c r="KT8" s="40" t="str">
        <f t="shared" si="95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6"/>
        <v/>
      </c>
      <c r="LP8" s="11" t="str">
        <f t="shared" si="97"/>
        <v/>
      </c>
      <c r="LQ8" s="11" t="str">
        <f t="shared" si="98"/>
        <v/>
      </c>
      <c r="LR8" s="11" t="str">
        <f t="shared" si="99"/>
        <v/>
      </c>
      <c r="LS8" s="11" t="str">
        <f t="shared" si="100"/>
        <v/>
      </c>
      <c r="LT8" s="11" t="str">
        <f t="shared" si="101"/>
        <v/>
      </c>
      <c r="LU8" s="11" t="str">
        <f t="shared" si="102"/>
        <v/>
      </c>
      <c r="LV8" s="11" t="str">
        <f t="shared" si="103"/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 t="shared" si="104"/>
        <v/>
      </c>
      <c r="MR8" s="40" t="str">
        <f t="shared" si="105"/>
        <v/>
      </c>
      <c r="MS8" s="40" t="str">
        <f t="shared" si="106"/>
        <v/>
      </c>
      <c r="MT8" s="40" t="str">
        <f t="shared" si="107"/>
        <v/>
      </c>
      <c r="MU8" s="40" t="str">
        <f t="shared" si="108"/>
        <v/>
      </c>
      <c r="MV8" s="40" t="str">
        <f t="shared" si="109"/>
        <v/>
      </c>
      <c r="MW8" s="40" t="str">
        <f t="shared" si="110"/>
        <v/>
      </c>
      <c r="MX8" s="40" t="str">
        <f t="shared" si="111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2"/>
        <v/>
      </c>
      <c r="NT8" s="11" t="str">
        <f t="shared" si="113"/>
        <v/>
      </c>
      <c r="NU8" s="11" t="str">
        <f t="shared" si="114"/>
        <v/>
      </c>
      <c r="NV8" s="11" t="str">
        <f t="shared" si="115"/>
        <v/>
      </c>
      <c r="NW8" s="11" t="str">
        <f t="shared" si="116"/>
        <v/>
      </c>
      <c r="NX8" s="11" t="str">
        <f t="shared" si="117"/>
        <v/>
      </c>
      <c r="NY8" s="11" t="str">
        <f t="shared" si="118"/>
        <v/>
      </c>
      <c r="NZ8" s="11" t="str">
        <f t="shared" si="119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 t="shared" si="120"/>
        <v/>
      </c>
      <c r="OV8" s="40" t="str">
        <f t="shared" si="121"/>
        <v/>
      </c>
      <c r="OW8" s="40" t="str">
        <f t="shared" si="122"/>
        <v/>
      </c>
      <c r="OX8" s="40" t="str">
        <f t="shared" si="123"/>
        <v/>
      </c>
      <c r="OY8" s="40" t="str">
        <f t="shared" si="124"/>
        <v/>
      </c>
      <c r="OZ8" s="40" t="str">
        <f t="shared" si="125"/>
        <v/>
      </c>
      <c r="PA8" s="40" t="str">
        <f t="shared" si="126"/>
        <v/>
      </c>
      <c r="PB8" s="40" t="str">
        <f t="shared" si="127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8"/>
        <v/>
      </c>
      <c r="PX8" s="11" t="str">
        <f t="shared" si="129"/>
        <v/>
      </c>
      <c r="PY8" s="11" t="str">
        <f t="shared" si="130"/>
        <v/>
      </c>
      <c r="PZ8" s="11" t="str">
        <f t="shared" si="131"/>
        <v/>
      </c>
      <c r="QA8" s="11" t="str">
        <f t="shared" si="132"/>
        <v/>
      </c>
      <c r="QB8" s="11" t="str">
        <f t="shared" si="133"/>
        <v/>
      </c>
      <c r="QC8" s="11" t="str">
        <f t="shared" si="134"/>
        <v/>
      </c>
      <c r="QD8" s="11" t="str">
        <f t="shared" si="135"/>
        <v/>
      </c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40" t="str">
        <f t="shared" si="136"/>
        <v/>
      </c>
      <c r="QZ8" s="40" t="str">
        <f t="shared" si="137"/>
        <v/>
      </c>
      <c r="RA8" s="40" t="str">
        <f t="shared" si="138"/>
        <v/>
      </c>
      <c r="RB8" s="40" t="str">
        <f t="shared" si="139"/>
        <v/>
      </c>
      <c r="RC8" s="40" t="str">
        <f t="shared" si="140"/>
        <v/>
      </c>
      <c r="RD8" s="40" t="str">
        <f t="shared" si="141"/>
        <v/>
      </c>
      <c r="RE8" s="40" t="str">
        <f t="shared" si="142"/>
        <v/>
      </c>
      <c r="RF8" s="40" t="str">
        <f t="shared" si="143"/>
        <v/>
      </c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1" t="str">
        <f t="shared" si="144"/>
        <v/>
      </c>
      <c r="SB8" s="11" t="str">
        <f t="shared" si="145"/>
        <v/>
      </c>
      <c r="SC8" s="11" t="str">
        <f t="shared" si="146"/>
        <v/>
      </c>
      <c r="SD8" s="11" t="str">
        <f t="shared" si="147"/>
        <v/>
      </c>
      <c r="SE8" s="11" t="str">
        <f t="shared" si="148"/>
        <v/>
      </c>
      <c r="SF8" s="11" t="str">
        <f t="shared" si="149"/>
        <v/>
      </c>
      <c r="SG8" s="11" t="str">
        <f t="shared" si="150"/>
        <v/>
      </c>
      <c r="SH8" s="11" t="str">
        <f t="shared" si="151"/>
        <v/>
      </c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40" t="str">
        <f t="shared" si="152"/>
        <v/>
      </c>
      <c r="TD8" s="40" t="str">
        <f t="shared" si="153"/>
        <v/>
      </c>
      <c r="TE8" s="40" t="str">
        <f t="shared" si="154"/>
        <v/>
      </c>
      <c r="TF8" s="40" t="str">
        <f t="shared" si="155"/>
        <v/>
      </c>
      <c r="TG8" s="40" t="str">
        <f t="shared" si="156"/>
        <v/>
      </c>
      <c r="TH8" s="40" t="str">
        <f t="shared" si="157"/>
        <v/>
      </c>
      <c r="TI8" s="40" t="str">
        <f t="shared" si="158"/>
        <v/>
      </c>
      <c r="TJ8" s="40" t="str">
        <f t="shared" si="159"/>
        <v/>
      </c>
      <c r="TK8" s="26">
        <f t="shared" si="160"/>
        <v>15.399999999999999</v>
      </c>
      <c r="TL8" s="26">
        <f t="shared" si="161"/>
        <v>4.75</v>
      </c>
      <c r="TM8" s="26">
        <f t="shared" si="162"/>
        <v>0.3</v>
      </c>
      <c r="TN8" s="26">
        <f t="shared" si="163"/>
        <v>0.3</v>
      </c>
      <c r="TO8" s="26">
        <f t="shared" si="164"/>
        <v>15.7</v>
      </c>
      <c r="TP8" s="26">
        <f t="shared" si="165"/>
        <v>3.9</v>
      </c>
      <c r="TQ8" s="26">
        <f t="shared" si="166"/>
        <v>2</v>
      </c>
      <c r="TR8" s="26">
        <f t="shared" si="167"/>
        <v>0.6</v>
      </c>
      <c r="TS8" s="26">
        <f t="shared" si="168"/>
        <v>15.05</v>
      </c>
      <c r="TT8" s="26">
        <f t="shared" si="169"/>
        <v>4.6999999999999993</v>
      </c>
      <c r="TU8" s="26">
        <f t="shared" si="170"/>
        <v>0.15</v>
      </c>
      <c r="TV8" s="26">
        <f t="shared" si="171"/>
        <v>0.3</v>
      </c>
      <c r="TW8" s="26">
        <f t="shared" si="172"/>
        <v>15.4</v>
      </c>
      <c r="TX8" s="26">
        <f t="shared" si="173"/>
        <v>4.5</v>
      </c>
      <c r="TY8" s="26">
        <f t="shared" si="174"/>
        <v>0</v>
      </c>
      <c r="TZ8" s="26">
        <f t="shared" si="175"/>
        <v>0.3</v>
      </c>
      <c r="UA8" s="26">
        <f t="shared" si="176"/>
        <v>15.25</v>
      </c>
      <c r="UB8" s="26">
        <f t="shared" si="177"/>
        <v>3.7</v>
      </c>
      <c r="UC8" s="26">
        <f t="shared" si="178"/>
        <v>0.2</v>
      </c>
      <c r="UD8" s="26">
        <f t="shared" si="179"/>
        <v>0.6</v>
      </c>
      <c r="UE8" s="28" t="s">
        <v>53</v>
      </c>
      <c r="UF8" s="11">
        <f t="shared" si="180"/>
        <v>8.65</v>
      </c>
      <c r="UG8" s="11">
        <f t="shared" si="181"/>
        <v>38.35</v>
      </c>
      <c r="UH8" s="11">
        <f t="shared" si="182"/>
        <v>19.900000000000002</v>
      </c>
      <c r="UI8" s="11">
        <f t="shared" si="183"/>
        <v>13.35</v>
      </c>
      <c r="UJ8" s="11">
        <f t="shared" si="184"/>
        <v>58.25</v>
      </c>
      <c r="UK8" s="11">
        <f t="shared" si="185"/>
        <v>8.1999999999999993</v>
      </c>
      <c r="UL8" s="11">
        <f t="shared" si="186"/>
        <v>39.550000000000004</v>
      </c>
      <c r="UM8" s="11">
        <f t="shared" si="187"/>
        <v>97.800000000000011</v>
      </c>
    </row>
    <row r="9" spans="1:559" x14ac:dyDescent="0.2">
      <c r="A9" s="4" cm="1">
        <f t="array" ref="A9">IF(AND(H9&lt;&gt;"",H9&lt;&gt;"No DD"),SUMPRODUCT((H$4:H$17&lt;&gt;"")*(H$4:H$17&lt;&gt;"No DD")*(E$4:E$17&gt;E9))+1,IF(H9="No DD",SUMPRODUCT((H$4:H$17="No DD")*(E$4:E$17&gt;E9))+1+SUMPRODUCT((H$4:H$17&lt;&gt;"")*(H$4:H$17&lt;&gt;"No DD")),""))</f>
        <v>6</v>
      </c>
      <c r="B9" s="5" t="s">
        <v>152</v>
      </c>
      <c r="C9" s="4" t="s">
        <v>5</v>
      </c>
      <c r="D9" s="4">
        <v>2003</v>
      </c>
      <c r="E9" s="9">
        <f t="shared" si="0"/>
        <v>143.90001025000439</v>
      </c>
      <c r="F9" s="3" t="str">
        <f t="shared" si="1"/>
        <v>P</v>
      </c>
      <c r="G9" s="3" t="str">
        <f t="shared" si="2"/>
        <v>P</v>
      </c>
      <c r="H9" s="36" t="str">
        <f t="shared" si="3"/>
        <v>National Team</v>
      </c>
      <c r="I9" s="3" t="str">
        <f t="shared" si="4"/>
        <v/>
      </c>
      <c r="J9" s="8">
        <f>IF(COUNT(AQ9,BT9,CW9)&gt;0,LARGE((AQ9,BT9,CW9),1),0)</f>
        <v>43.800000000000004</v>
      </c>
      <c r="K9" s="8" t="str">
        <f t="shared" si="5"/>
        <v>2024 3rd Domestic Trial</v>
      </c>
      <c r="L9" s="8">
        <f>IF(COUNT(AQ9,BT9,CW9)&gt;1,LARGE((AQ9,BT9,CW9),2),0)</f>
        <v>37.099999999999987</v>
      </c>
      <c r="M9" s="8" t="str">
        <f t="shared" si="6"/>
        <v>2024 Elite Canada</v>
      </c>
      <c r="N9" s="8">
        <f>IF(COUNT(AR9,BU9,CX9)&gt;0,LARGE((AR9,BU9,CX9),1),0)</f>
        <v>21.6</v>
      </c>
      <c r="O9" s="8" t="str">
        <f t="shared" si="7"/>
        <v>2024 3rd Domestic Trial</v>
      </c>
      <c r="P9" s="8">
        <f t="shared" si="8"/>
        <v>41.4</v>
      </c>
      <c r="Q9" s="8" t="str">
        <f t="shared" si="9"/>
        <v>2024 Elite Canada</v>
      </c>
      <c r="R9" s="8" t="str">
        <f t="shared" si="10"/>
        <v/>
      </c>
      <c r="S9" s="11" t="str">
        <f t="shared" si="11"/>
        <v/>
      </c>
      <c r="T9" s="8" t="str">
        <f t="shared" si="12"/>
        <v/>
      </c>
      <c r="U9" s="19">
        <v>16.5</v>
      </c>
      <c r="V9" s="19">
        <v>3.4</v>
      </c>
      <c r="W9" s="19">
        <v>0.2</v>
      </c>
      <c r="X9" s="19">
        <v>0.3</v>
      </c>
      <c r="Y9" s="19">
        <v>17.899999999999999</v>
      </c>
      <c r="Z9" s="19">
        <v>1.9</v>
      </c>
      <c r="AA9" s="19">
        <v>3</v>
      </c>
      <c r="AB9" s="19">
        <v>0.3</v>
      </c>
      <c r="AC9" s="19">
        <v>15.8</v>
      </c>
      <c r="AD9" s="19">
        <v>2.9</v>
      </c>
      <c r="AE9" s="19">
        <v>0</v>
      </c>
      <c r="AF9" s="19">
        <v>0.3</v>
      </c>
      <c r="AG9" s="19">
        <v>16.5</v>
      </c>
      <c r="AH9" s="19">
        <v>6.1</v>
      </c>
      <c r="AI9" s="19">
        <v>0</v>
      </c>
      <c r="AJ9" s="19">
        <v>0.3</v>
      </c>
      <c r="AK9" s="19">
        <v>17.3</v>
      </c>
      <c r="AL9" s="19">
        <v>1.9</v>
      </c>
      <c r="AM9" s="19">
        <v>1</v>
      </c>
      <c r="AN9" s="19">
        <v>0.3</v>
      </c>
      <c r="AO9" s="27"/>
      <c r="AP9" s="40">
        <f t="shared" si="13"/>
        <v>5.3</v>
      </c>
      <c r="AQ9" s="40">
        <f t="shared" si="14"/>
        <v>37.099999999999987</v>
      </c>
      <c r="AR9" s="40">
        <f t="shared" si="15"/>
        <v>19</v>
      </c>
      <c r="AS9" s="40">
        <f t="shared" si="16"/>
        <v>8.1999999999999993</v>
      </c>
      <c r="AT9" s="40">
        <f t="shared" si="17"/>
        <v>56.099999999999987</v>
      </c>
      <c r="AU9" s="40">
        <f t="shared" si="18"/>
        <v>8</v>
      </c>
      <c r="AV9" s="40">
        <f t="shared" si="19"/>
        <v>41.4</v>
      </c>
      <c r="AW9" s="40">
        <f t="shared" si="20"/>
        <v>97.499999999999986</v>
      </c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28"/>
      <c r="BS9" s="11" t="str">
        <f t="shared" si="21"/>
        <v/>
      </c>
      <c r="BT9" s="11" t="str">
        <f t="shared" si="22"/>
        <v/>
      </c>
      <c r="BU9" s="11" t="str">
        <f t="shared" si="23"/>
        <v/>
      </c>
      <c r="BV9" s="11" t="str">
        <f t="shared" si="24"/>
        <v/>
      </c>
      <c r="BW9" s="11" t="str">
        <f t="shared" si="25"/>
        <v/>
      </c>
      <c r="BX9" s="11" t="str">
        <f t="shared" si="26"/>
        <v/>
      </c>
      <c r="BY9" s="11" t="str">
        <f t="shared" si="27"/>
        <v/>
      </c>
      <c r="BZ9" s="11" t="str">
        <f t="shared" si="28"/>
        <v/>
      </c>
      <c r="CA9" s="19">
        <v>16.2</v>
      </c>
      <c r="CB9" s="19">
        <v>4.8</v>
      </c>
      <c r="CC9" s="19">
        <v>0</v>
      </c>
      <c r="CD9" s="19">
        <v>0.6</v>
      </c>
      <c r="CE9" s="19">
        <v>16.600000000000001</v>
      </c>
      <c r="CF9" s="19">
        <v>5</v>
      </c>
      <c r="CG9" s="19">
        <v>0</v>
      </c>
      <c r="CH9" s="19">
        <v>0.6</v>
      </c>
      <c r="CI9" s="19">
        <v>16.399999999999999</v>
      </c>
      <c r="CJ9" s="19">
        <v>4.5999999999999996</v>
      </c>
      <c r="CK9" s="19">
        <v>0</v>
      </c>
      <c r="CL9" s="19">
        <v>0.6</v>
      </c>
      <c r="CM9" s="19">
        <v>16.899999999999999</v>
      </c>
      <c r="CN9" s="19">
        <v>4.8</v>
      </c>
      <c r="CO9" s="19">
        <v>0</v>
      </c>
      <c r="CP9" s="19">
        <v>0.6</v>
      </c>
      <c r="CQ9" s="19">
        <v>15.7</v>
      </c>
      <c r="CR9" s="19">
        <v>2.6</v>
      </c>
      <c r="CS9" s="19">
        <v>0</v>
      </c>
      <c r="CT9" s="61">
        <v>0.6</v>
      </c>
      <c r="CU9" s="27"/>
      <c r="CV9" s="40">
        <f t="shared" si="29"/>
        <v>9.8000000000000007</v>
      </c>
      <c r="CW9" s="40">
        <f t="shared" si="30"/>
        <v>43.800000000000004</v>
      </c>
      <c r="CX9" s="40">
        <f t="shared" si="31"/>
        <v>21.6</v>
      </c>
      <c r="CY9" s="40">
        <f t="shared" si="32"/>
        <v>14.4</v>
      </c>
      <c r="CZ9" s="40">
        <f t="shared" si="33"/>
        <v>65.400000000000006</v>
      </c>
      <c r="DA9" s="40">
        <f t="shared" si="34"/>
        <v>7.4</v>
      </c>
      <c r="DB9" s="40">
        <f t="shared" si="35"/>
        <v>41.2</v>
      </c>
      <c r="DC9" s="40">
        <f t="shared" si="36"/>
        <v>106.60000000000001</v>
      </c>
      <c r="DD9" s="51" t="str">
        <f t="shared" si="37"/>
        <v/>
      </c>
      <c r="DE9" s="51" t="str">
        <f t="shared" si="38"/>
        <v/>
      </c>
      <c r="DF9" s="51" t="str">
        <f t="shared" si="39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 t="shared" si="40"/>
        <v/>
      </c>
      <c r="EB9" s="40" t="str">
        <f t="shared" si="41"/>
        <v/>
      </c>
      <c r="EC9" s="40" t="str">
        <f t="shared" si="42"/>
        <v/>
      </c>
      <c r="ED9" s="40" t="str">
        <f t="shared" si="43"/>
        <v/>
      </c>
      <c r="EE9" s="40" t="str">
        <f t="shared" si="44"/>
        <v/>
      </c>
      <c r="EF9" s="40" t="str">
        <f t="shared" si="45"/>
        <v/>
      </c>
      <c r="EG9" s="40" t="str">
        <f t="shared" si="46"/>
        <v/>
      </c>
      <c r="EH9" s="40" t="str">
        <f t="shared" si="47"/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 t="shared" si="48"/>
        <v/>
      </c>
      <c r="FD9" s="11" t="str">
        <f t="shared" si="49"/>
        <v/>
      </c>
      <c r="FE9" s="11" t="str">
        <f t="shared" si="50"/>
        <v/>
      </c>
      <c r="FF9" s="11" t="str">
        <f t="shared" si="51"/>
        <v/>
      </c>
      <c r="FG9" s="11" t="str">
        <f t="shared" si="52"/>
        <v/>
      </c>
      <c r="FH9" s="11" t="str">
        <f t="shared" si="53"/>
        <v/>
      </c>
      <c r="FI9" s="11" t="str">
        <f t="shared" si="54"/>
        <v/>
      </c>
      <c r="FJ9" s="11" t="str">
        <f t="shared" si="55"/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 t="shared" si="56"/>
        <v/>
      </c>
      <c r="GF9" s="40" t="str">
        <f t="shared" si="57"/>
        <v/>
      </c>
      <c r="GG9" s="40" t="str">
        <f t="shared" si="58"/>
        <v/>
      </c>
      <c r="GH9" s="40" t="str">
        <f t="shared" si="59"/>
        <v/>
      </c>
      <c r="GI9" s="40" t="str">
        <f t="shared" si="60"/>
        <v/>
      </c>
      <c r="GJ9" s="40" t="str">
        <f t="shared" si="61"/>
        <v/>
      </c>
      <c r="GK9" s="40" t="str">
        <f t="shared" si="62"/>
        <v/>
      </c>
      <c r="GL9" s="40" t="str">
        <f t="shared" si="63"/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4"/>
        <v/>
      </c>
      <c r="HH9" s="11" t="str">
        <f t="shared" si="65"/>
        <v/>
      </c>
      <c r="HI9" s="11" t="str">
        <f t="shared" si="66"/>
        <v/>
      </c>
      <c r="HJ9" s="11" t="str">
        <f t="shared" si="67"/>
        <v/>
      </c>
      <c r="HK9" s="11" t="str">
        <f t="shared" si="68"/>
        <v/>
      </c>
      <c r="HL9" s="11" t="str">
        <f t="shared" si="69"/>
        <v/>
      </c>
      <c r="HM9" s="11" t="str">
        <f t="shared" si="70"/>
        <v/>
      </c>
      <c r="HN9" s="11" t="str">
        <f t="shared" si="71"/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 t="shared" si="72"/>
        <v/>
      </c>
      <c r="IJ9" s="40" t="str">
        <f t="shared" si="73"/>
        <v/>
      </c>
      <c r="IK9" s="40" t="str">
        <f t="shared" si="74"/>
        <v/>
      </c>
      <c r="IL9" s="40" t="str">
        <f t="shared" si="75"/>
        <v/>
      </c>
      <c r="IM9" s="40" t="str">
        <f t="shared" si="76"/>
        <v/>
      </c>
      <c r="IN9" s="40" t="str">
        <f t="shared" si="77"/>
        <v/>
      </c>
      <c r="IO9" s="40" t="str">
        <f t="shared" si="78"/>
        <v/>
      </c>
      <c r="IP9" s="40" t="str">
        <f t="shared" si="79"/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80"/>
        <v/>
      </c>
      <c r="JL9" s="11" t="str">
        <f t="shared" si="81"/>
        <v/>
      </c>
      <c r="JM9" s="11" t="str">
        <f t="shared" si="82"/>
        <v/>
      </c>
      <c r="JN9" s="11" t="str">
        <f t="shared" si="83"/>
        <v/>
      </c>
      <c r="JO9" s="11" t="str">
        <f t="shared" si="84"/>
        <v/>
      </c>
      <c r="JP9" s="11" t="str">
        <f t="shared" si="85"/>
        <v/>
      </c>
      <c r="JQ9" s="11" t="str">
        <f t="shared" si="86"/>
        <v/>
      </c>
      <c r="JR9" s="11" t="str">
        <f t="shared" si="87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 t="shared" si="88"/>
        <v/>
      </c>
      <c r="KN9" s="40" t="str">
        <f t="shared" si="89"/>
        <v/>
      </c>
      <c r="KO9" s="40" t="str">
        <f t="shared" si="90"/>
        <v/>
      </c>
      <c r="KP9" s="40" t="str">
        <f t="shared" si="91"/>
        <v/>
      </c>
      <c r="KQ9" s="40" t="str">
        <f t="shared" si="92"/>
        <v/>
      </c>
      <c r="KR9" s="40" t="str">
        <f t="shared" si="93"/>
        <v/>
      </c>
      <c r="KS9" s="40" t="str">
        <f t="shared" si="94"/>
        <v/>
      </c>
      <c r="KT9" s="40" t="str">
        <f t="shared" si="95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6"/>
        <v/>
      </c>
      <c r="LP9" s="11" t="str">
        <f t="shared" si="97"/>
        <v/>
      </c>
      <c r="LQ9" s="11" t="str">
        <f t="shared" si="98"/>
        <v/>
      </c>
      <c r="LR9" s="11" t="str">
        <f t="shared" si="99"/>
        <v/>
      </c>
      <c r="LS9" s="11" t="str">
        <f t="shared" si="100"/>
        <v/>
      </c>
      <c r="LT9" s="11" t="str">
        <f t="shared" si="101"/>
        <v/>
      </c>
      <c r="LU9" s="11" t="str">
        <f t="shared" si="102"/>
        <v/>
      </c>
      <c r="LV9" s="11" t="str">
        <f t="shared" si="103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 t="shared" si="104"/>
        <v/>
      </c>
      <c r="MR9" s="40" t="str">
        <f t="shared" si="105"/>
        <v/>
      </c>
      <c r="MS9" s="40" t="str">
        <f t="shared" si="106"/>
        <v/>
      </c>
      <c r="MT9" s="40" t="str">
        <f t="shared" si="107"/>
        <v/>
      </c>
      <c r="MU9" s="40" t="str">
        <f t="shared" si="108"/>
        <v/>
      </c>
      <c r="MV9" s="40" t="str">
        <f t="shared" si="109"/>
        <v/>
      </c>
      <c r="MW9" s="40" t="str">
        <f t="shared" si="110"/>
        <v/>
      </c>
      <c r="MX9" s="40" t="str">
        <f t="shared" si="111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2"/>
        <v/>
      </c>
      <c r="NT9" s="11" t="str">
        <f t="shared" si="113"/>
        <v/>
      </c>
      <c r="NU9" s="11" t="str">
        <f t="shared" si="114"/>
        <v/>
      </c>
      <c r="NV9" s="11" t="str">
        <f t="shared" si="115"/>
        <v/>
      </c>
      <c r="NW9" s="11" t="str">
        <f t="shared" si="116"/>
        <v/>
      </c>
      <c r="NX9" s="11" t="str">
        <f t="shared" si="117"/>
        <v/>
      </c>
      <c r="NY9" s="11" t="str">
        <f t="shared" si="118"/>
        <v/>
      </c>
      <c r="NZ9" s="11" t="str">
        <f t="shared" si="119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 t="shared" si="120"/>
        <v/>
      </c>
      <c r="OV9" s="40" t="str">
        <f t="shared" si="121"/>
        <v/>
      </c>
      <c r="OW9" s="40" t="str">
        <f t="shared" si="122"/>
        <v/>
      </c>
      <c r="OX9" s="40" t="str">
        <f t="shared" si="123"/>
        <v/>
      </c>
      <c r="OY9" s="40" t="str">
        <f t="shared" si="124"/>
        <v/>
      </c>
      <c r="OZ9" s="40" t="str">
        <f t="shared" si="125"/>
        <v/>
      </c>
      <c r="PA9" s="40" t="str">
        <f t="shared" si="126"/>
        <v/>
      </c>
      <c r="PB9" s="40" t="str">
        <f t="shared" si="127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8"/>
        <v/>
      </c>
      <c r="PX9" s="11" t="str">
        <f t="shared" si="129"/>
        <v/>
      </c>
      <c r="PY9" s="11" t="str">
        <f t="shared" si="130"/>
        <v/>
      </c>
      <c r="PZ9" s="11" t="str">
        <f t="shared" si="131"/>
        <v/>
      </c>
      <c r="QA9" s="11" t="str">
        <f t="shared" si="132"/>
        <v/>
      </c>
      <c r="QB9" s="11" t="str">
        <f t="shared" si="133"/>
        <v/>
      </c>
      <c r="QC9" s="11" t="str">
        <f t="shared" si="134"/>
        <v/>
      </c>
      <c r="QD9" s="11" t="str">
        <f t="shared" si="135"/>
        <v/>
      </c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40" t="str">
        <f t="shared" si="136"/>
        <v/>
      </c>
      <c r="QZ9" s="40" t="str">
        <f t="shared" si="137"/>
        <v/>
      </c>
      <c r="RA9" s="40" t="str">
        <f t="shared" si="138"/>
        <v/>
      </c>
      <c r="RB9" s="40" t="str">
        <f t="shared" si="139"/>
        <v/>
      </c>
      <c r="RC9" s="40" t="str">
        <f t="shared" si="140"/>
        <v/>
      </c>
      <c r="RD9" s="40" t="str">
        <f t="shared" si="141"/>
        <v/>
      </c>
      <c r="RE9" s="40" t="str">
        <f t="shared" si="142"/>
        <v/>
      </c>
      <c r="RF9" s="40" t="str">
        <f t="shared" si="143"/>
        <v/>
      </c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1" t="str">
        <f t="shared" si="144"/>
        <v/>
      </c>
      <c r="SB9" s="11" t="str">
        <f t="shared" si="145"/>
        <v/>
      </c>
      <c r="SC9" s="11" t="str">
        <f t="shared" si="146"/>
        <v/>
      </c>
      <c r="SD9" s="11" t="str">
        <f t="shared" si="147"/>
        <v/>
      </c>
      <c r="SE9" s="11" t="str">
        <f t="shared" si="148"/>
        <v/>
      </c>
      <c r="SF9" s="11" t="str">
        <f t="shared" si="149"/>
        <v/>
      </c>
      <c r="SG9" s="11" t="str">
        <f t="shared" si="150"/>
        <v/>
      </c>
      <c r="SH9" s="11" t="str">
        <f t="shared" si="151"/>
        <v/>
      </c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40" t="str">
        <f t="shared" si="152"/>
        <v/>
      </c>
      <c r="TD9" s="40" t="str">
        <f t="shared" si="153"/>
        <v/>
      </c>
      <c r="TE9" s="40" t="str">
        <f t="shared" si="154"/>
        <v/>
      </c>
      <c r="TF9" s="40" t="str">
        <f t="shared" si="155"/>
        <v/>
      </c>
      <c r="TG9" s="40" t="str">
        <f t="shared" si="156"/>
        <v/>
      </c>
      <c r="TH9" s="40" t="str">
        <f t="shared" si="157"/>
        <v/>
      </c>
      <c r="TI9" s="40" t="str">
        <f t="shared" si="158"/>
        <v/>
      </c>
      <c r="TJ9" s="40" t="str">
        <f t="shared" si="159"/>
        <v/>
      </c>
      <c r="TK9" s="26">
        <f t="shared" si="160"/>
        <v>8.1</v>
      </c>
      <c r="TL9" s="26">
        <f t="shared" si="161"/>
        <v>2.4</v>
      </c>
      <c r="TM9" s="26">
        <f t="shared" si="162"/>
        <v>0</v>
      </c>
      <c r="TN9" s="26">
        <f t="shared" si="163"/>
        <v>0.3</v>
      </c>
      <c r="TO9" s="26">
        <f t="shared" si="164"/>
        <v>8.3000000000000007</v>
      </c>
      <c r="TP9" s="26">
        <f t="shared" si="165"/>
        <v>2.5</v>
      </c>
      <c r="TQ9" s="26">
        <f t="shared" si="166"/>
        <v>0</v>
      </c>
      <c r="TR9" s="26">
        <f t="shared" si="167"/>
        <v>0.3</v>
      </c>
      <c r="TS9" s="26">
        <f t="shared" si="168"/>
        <v>8.1999999999999993</v>
      </c>
      <c r="TT9" s="26">
        <f t="shared" si="169"/>
        <v>2.2999999999999998</v>
      </c>
      <c r="TU9" s="26">
        <f t="shared" si="170"/>
        <v>0</v>
      </c>
      <c r="TV9" s="26">
        <f t="shared" si="171"/>
        <v>0.3</v>
      </c>
      <c r="TW9" s="26">
        <f t="shared" si="172"/>
        <v>8.4499999999999993</v>
      </c>
      <c r="TX9" s="26">
        <f t="shared" si="173"/>
        <v>2.4</v>
      </c>
      <c r="TY9" s="26">
        <f t="shared" si="174"/>
        <v>0</v>
      </c>
      <c r="TZ9" s="26">
        <f t="shared" si="175"/>
        <v>0.3</v>
      </c>
      <c r="UA9" s="26">
        <f t="shared" si="176"/>
        <v>7.85</v>
      </c>
      <c r="UB9" s="26">
        <f t="shared" si="177"/>
        <v>1.3</v>
      </c>
      <c r="UC9" s="26">
        <f t="shared" si="178"/>
        <v>0</v>
      </c>
      <c r="UD9" s="26">
        <f t="shared" si="179"/>
        <v>0.3</v>
      </c>
      <c r="UE9" s="28" t="s">
        <v>53</v>
      </c>
      <c r="UF9" s="11">
        <f t="shared" si="180"/>
        <v>4.9000000000000004</v>
      </c>
      <c r="UG9" s="11">
        <f t="shared" si="181"/>
        <v>21.900000000000002</v>
      </c>
      <c r="UH9" s="11">
        <f t="shared" si="182"/>
        <v>10.8</v>
      </c>
      <c r="UI9" s="11">
        <f t="shared" si="183"/>
        <v>7.2</v>
      </c>
      <c r="UJ9" s="11">
        <f t="shared" si="184"/>
        <v>32.700000000000003</v>
      </c>
      <c r="UK9" s="11">
        <f t="shared" si="185"/>
        <v>3.7</v>
      </c>
      <c r="UL9" s="11">
        <f t="shared" si="186"/>
        <v>20.6</v>
      </c>
      <c r="UM9" s="11">
        <f t="shared" si="187"/>
        <v>53.300000000000004</v>
      </c>
    </row>
    <row r="10" spans="1:559" x14ac:dyDescent="0.2">
      <c r="A10" s="4" cm="1">
        <f t="array" ref="A10">IF(AND(H10&lt;&gt;"",H10&lt;&gt;"No DD"),SUMPRODUCT((H$4:H$17&lt;&gt;"")*(H$4:H$17&lt;&gt;"No DD")*(E$4:E$17&gt;E10))+1,IF(H10="No DD",SUMPRODUCT((H$4:H$17="No DD")*(E$4:E$17&gt;E10))+1+SUMPRODUCT((H$4:H$17&lt;&gt;"")*(H$4:H$17&lt;&gt;"No DD")),""))</f>
        <v>7</v>
      </c>
      <c r="B10" s="5" t="s">
        <v>133</v>
      </c>
      <c r="C10" s="4" t="s">
        <v>5</v>
      </c>
      <c r="D10" s="4">
        <v>2001</v>
      </c>
      <c r="E10" s="9">
        <f t="shared" si="0"/>
        <v>139.30000960000382</v>
      </c>
      <c r="F10" s="3" t="str">
        <f t="shared" si="1"/>
        <v>P</v>
      </c>
      <c r="G10" s="3" t="str">
        <f t="shared" si="2"/>
        <v>P</v>
      </c>
      <c r="H10" s="36" t="str">
        <f t="shared" si="3"/>
        <v>National Team</v>
      </c>
      <c r="I10" s="3" t="str">
        <f t="shared" si="4"/>
        <v/>
      </c>
      <c r="J10" s="8">
        <f>IF(COUNT(AQ10,BT10,CW10)&gt;0,LARGE((AQ10,BT10,CW10),1),0)</f>
        <v>37.70000000000001</v>
      </c>
      <c r="K10" s="8" t="str">
        <f t="shared" si="5"/>
        <v>2024 3rd Domestic Trial</v>
      </c>
      <c r="L10" s="8">
        <f>IF(COUNT(AQ10,BT10,CW10)&gt;1,LARGE((AQ10,BT10,CW10),2),0)</f>
        <v>36.5</v>
      </c>
      <c r="M10" s="8" t="str">
        <f t="shared" si="6"/>
        <v>2024 Elite Canada</v>
      </c>
      <c r="N10" s="8">
        <f>IF(COUNT(AR10,BU10,CX10)&gt;0,LARGE((AR10,BU10,CX10),1),0)</f>
        <v>21.800000000000004</v>
      </c>
      <c r="O10" s="8" t="str">
        <f t="shared" si="7"/>
        <v>2024 Nationals</v>
      </c>
      <c r="P10" s="8">
        <f t="shared" si="8"/>
        <v>43.300000000000004</v>
      </c>
      <c r="Q10" s="8" t="str">
        <f t="shared" si="9"/>
        <v>2024 3rd Domestic Trial</v>
      </c>
      <c r="R10" s="8" t="str">
        <f t="shared" si="10"/>
        <v/>
      </c>
      <c r="S10" s="11" t="str">
        <f t="shared" si="11"/>
        <v/>
      </c>
      <c r="T10" s="8" t="str">
        <f t="shared" si="12"/>
        <v/>
      </c>
      <c r="U10" s="19">
        <v>16.600000000000001</v>
      </c>
      <c r="V10" s="19">
        <v>1.2</v>
      </c>
      <c r="W10" s="19">
        <v>0</v>
      </c>
      <c r="X10" s="19">
        <v>0</v>
      </c>
      <c r="Y10" s="19">
        <v>15.5</v>
      </c>
      <c r="Z10" s="19">
        <v>2.6</v>
      </c>
      <c r="AA10" s="19">
        <v>0</v>
      </c>
      <c r="AB10" s="19">
        <v>0.6</v>
      </c>
      <c r="AC10" s="19">
        <v>17.399999999999999</v>
      </c>
      <c r="AD10" s="19">
        <v>4.0999999999999996</v>
      </c>
      <c r="AE10" s="19">
        <v>0</v>
      </c>
      <c r="AF10" s="19">
        <v>0.3</v>
      </c>
      <c r="AG10" s="19">
        <v>15.6</v>
      </c>
      <c r="AH10" s="19">
        <v>2.6</v>
      </c>
      <c r="AI10" s="19">
        <v>0</v>
      </c>
      <c r="AJ10" s="19">
        <v>0.6</v>
      </c>
      <c r="AK10" s="19">
        <v>17.2</v>
      </c>
      <c r="AL10" s="19">
        <v>4.0999999999999996</v>
      </c>
      <c r="AM10" s="19">
        <v>0</v>
      </c>
      <c r="AN10" s="19">
        <v>0.3</v>
      </c>
      <c r="AO10" s="27"/>
      <c r="AP10" s="40">
        <f t="shared" si="13"/>
        <v>3.8</v>
      </c>
      <c r="AQ10" s="40">
        <f t="shared" si="14"/>
        <v>36.5</v>
      </c>
      <c r="AR10" s="40">
        <f t="shared" si="15"/>
        <v>21.8</v>
      </c>
      <c r="AS10" s="40">
        <f t="shared" si="16"/>
        <v>7.8999999999999995</v>
      </c>
      <c r="AT10" s="40">
        <f t="shared" si="17"/>
        <v>58.3</v>
      </c>
      <c r="AU10" s="40">
        <f t="shared" si="18"/>
        <v>6.6999999999999993</v>
      </c>
      <c r="AV10" s="40">
        <f t="shared" si="19"/>
        <v>40.4</v>
      </c>
      <c r="AW10" s="40">
        <f t="shared" si="20"/>
        <v>98.699999999999989</v>
      </c>
      <c r="AX10" s="18">
        <v>17</v>
      </c>
      <c r="AY10" s="18">
        <v>3.5</v>
      </c>
      <c r="AZ10" s="18">
        <v>2.1</v>
      </c>
      <c r="BA10" s="18">
        <v>0.6</v>
      </c>
      <c r="BB10" s="18">
        <v>17.100000000000001</v>
      </c>
      <c r="BC10" s="18">
        <v>3.2</v>
      </c>
      <c r="BD10" s="18">
        <v>4.4000000000000004</v>
      </c>
      <c r="BE10" s="18">
        <v>0.6</v>
      </c>
      <c r="BF10" s="18">
        <v>16.600000000000001</v>
      </c>
      <c r="BG10" s="18">
        <v>4.5999999999999996</v>
      </c>
      <c r="BH10" s="18">
        <v>0</v>
      </c>
      <c r="BI10" s="18">
        <v>0.6</v>
      </c>
      <c r="BJ10" s="18"/>
      <c r="BK10" s="18"/>
      <c r="BL10" s="18"/>
      <c r="BM10" s="18"/>
      <c r="BN10" s="18"/>
      <c r="BO10" s="18"/>
      <c r="BP10" s="18"/>
      <c r="BQ10" s="18"/>
      <c r="BR10" s="28"/>
      <c r="BS10" s="11">
        <f t="shared" si="21"/>
        <v>6.7</v>
      </c>
      <c r="BT10" s="11">
        <f t="shared" si="22"/>
        <v>35.500000000000007</v>
      </c>
      <c r="BU10" s="11">
        <f t="shared" si="23"/>
        <v>21.800000000000004</v>
      </c>
      <c r="BV10" s="11">
        <f t="shared" si="24"/>
        <v>11.3</v>
      </c>
      <c r="BW10" s="11">
        <f t="shared" si="25"/>
        <v>57.300000000000011</v>
      </c>
      <c r="BX10" s="11" t="str">
        <f t="shared" si="26"/>
        <v/>
      </c>
      <c r="BY10" s="11" t="str">
        <f t="shared" si="27"/>
        <v/>
      </c>
      <c r="BZ10" s="11">
        <f t="shared" si="28"/>
        <v>57.300000000000011</v>
      </c>
      <c r="CA10" s="19">
        <v>16.8</v>
      </c>
      <c r="CB10" s="19">
        <v>3.2</v>
      </c>
      <c r="CC10" s="19">
        <v>2.4</v>
      </c>
      <c r="CD10" s="19">
        <v>0.6</v>
      </c>
      <c r="CE10" s="19">
        <v>16.3</v>
      </c>
      <c r="CF10" s="19">
        <v>4.5999999999999996</v>
      </c>
      <c r="CG10" s="19">
        <v>2</v>
      </c>
      <c r="CH10" s="19">
        <v>0.6</v>
      </c>
      <c r="CI10" s="19">
        <v>17</v>
      </c>
      <c r="CJ10" s="19">
        <v>3.2</v>
      </c>
      <c r="CK10" s="19">
        <v>0.4</v>
      </c>
      <c r="CL10" s="19">
        <v>0.6</v>
      </c>
      <c r="CM10" s="19">
        <v>16.5</v>
      </c>
      <c r="CN10" s="19">
        <v>4.8</v>
      </c>
      <c r="CO10" s="19">
        <v>0</v>
      </c>
      <c r="CP10" s="19">
        <v>0.6</v>
      </c>
      <c r="CQ10" s="19">
        <v>16.2</v>
      </c>
      <c r="CR10" s="19">
        <v>4.5999999999999996</v>
      </c>
      <c r="CS10" s="19">
        <v>0</v>
      </c>
      <c r="CT10" s="19">
        <v>0.6</v>
      </c>
      <c r="CU10" s="27"/>
      <c r="CV10" s="40">
        <f t="shared" si="29"/>
        <v>7.8</v>
      </c>
      <c r="CW10" s="40">
        <f t="shared" si="30"/>
        <v>37.70000000000001</v>
      </c>
      <c r="CX10" s="40">
        <f t="shared" si="31"/>
        <v>20.400000000000002</v>
      </c>
      <c r="CY10" s="40">
        <f t="shared" si="32"/>
        <v>11</v>
      </c>
      <c r="CZ10" s="40">
        <f t="shared" si="33"/>
        <v>58.100000000000009</v>
      </c>
      <c r="DA10" s="40">
        <f t="shared" si="34"/>
        <v>9.3999999999999986</v>
      </c>
      <c r="DB10" s="40">
        <f t="shared" si="35"/>
        <v>43.300000000000004</v>
      </c>
      <c r="DC10" s="40">
        <f t="shared" si="36"/>
        <v>101.4</v>
      </c>
      <c r="DD10" s="51" t="str">
        <f t="shared" si="37"/>
        <v/>
      </c>
      <c r="DE10" s="51" t="str">
        <f t="shared" si="38"/>
        <v/>
      </c>
      <c r="DF10" s="51" t="str">
        <f t="shared" si="39"/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 t="shared" si="40"/>
        <v/>
      </c>
      <c r="EB10" s="40" t="str">
        <f t="shared" si="41"/>
        <v/>
      </c>
      <c r="EC10" s="40" t="str">
        <f t="shared" si="42"/>
        <v/>
      </c>
      <c r="ED10" s="40" t="str">
        <f t="shared" si="43"/>
        <v/>
      </c>
      <c r="EE10" s="40" t="str">
        <f t="shared" si="44"/>
        <v/>
      </c>
      <c r="EF10" s="40" t="str">
        <f t="shared" si="45"/>
        <v/>
      </c>
      <c r="EG10" s="40" t="str">
        <f t="shared" si="46"/>
        <v/>
      </c>
      <c r="EH10" s="40" t="str">
        <f t="shared" si="47"/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 t="shared" si="48"/>
        <v/>
      </c>
      <c r="FD10" s="11" t="str">
        <f t="shared" si="49"/>
        <v/>
      </c>
      <c r="FE10" s="11" t="str">
        <f t="shared" si="50"/>
        <v/>
      </c>
      <c r="FF10" s="11" t="str">
        <f t="shared" si="51"/>
        <v/>
      </c>
      <c r="FG10" s="11" t="str">
        <f t="shared" si="52"/>
        <v/>
      </c>
      <c r="FH10" s="11" t="str">
        <f t="shared" si="53"/>
        <v/>
      </c>
      <c r="FI10" s="11" t="str">
        <f t="shared" si="54"/>
        <v/>
      </c>
      <c r="FJ10" s="11" t="str">
        <f t="shared" si="55"/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 t="shared" si="56"/>
        <v/>
      </c>
      <c r="GF10" s="40" t="str">
        <f t="shared" si="57"/>
        <v/>
      </c>
      <c r="GG10" s="40" t="str">
        <f t="shared" si="58"/>
        <v/>
      </c>
      <c r="GH10" s="40" t="str">
        <f t="shared" si="59"/>
        <v/>
      </c>
      <c r="GI10" s="40" t="str">
        <f t="shared" si="60"/>
        <v/>
      </c>
      <c r="GJ10" s="40" t="str">
        <f t="shared" si="61"/>
        <v/>
      </c>
      <c r="GK10" s="40" t="str">
        <f t="shared" si="62"/>
        <v/>
      </c>
      <c r="GL10" s="40" t="str">
        <f t="shared" si="63"/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 t="shared" si="64"/>
        <v/>
      </c>
      <c r="HH10" s="11" t="str">
        <f t="shared" si="65"/>
        <v/>
      </c>
      <c r="HI10" s="11" t="str">
        <f t="shared" si="66"/>
        <v/>
      </c>
      <c r="HJ10" s="11" t="str">
        <f t="shared" si="67"/>
        <v/>
      </c>
      <c r="HK10" s="11" t="str">
        <f t="shared" si="68"/>
        <v/>
      </c>
      <c r="HL10" s="11" t="str">
        <f t="shared" si="69"/>
        <v/>
      </c>
      <c r="HM10" s="11" t="str">
        <f t="shared" si="70"/>
        <v/>
      </c>
      <c r="HN10" s="11" t="str">
        <f t="shared" si="71"/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 t="shared" si="72"/>
        <v/>
      </c>
      <c r="IJ10" s="40" t="str">
        <f t="shared" si="73"/>
        <v/>
      </c>
      <c r="IK10" s="40" t="str">
        <f t="shared" si="74"/>
        <v/>
      </c>
      <c r="IL10" s="40" t="str">
        <f t="shared" si="75"/>
        <v/>
      </c>
      <c r="IM10" s="40" t="str">
        <f t="shared" si="76"/>
        <v/>
      </c>
      <c r="IN10" s="40" t="str">
        <f t="shared" si="77"/>
        <v/>
      </c>
      <c r="IO10" s="40" t="str">
        <f t="shared" si="78"/>
        <v/>
      </c>
      <c r="IP10" s="40" t="str">
        <f t="shared" si="79"/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80"/>
        <v/>
      </c>
      <c r="JL10" s="11" t="str">
        <f t="shared" si="81"/>
        <v/>
      </c>
      <c r="JM10" s="11" t="str">
        <f t="shared" si="82"/>
        <v/>
      </c>
      <c r="JN10" s="11" t="str">
        <f t="shared" si="83"/>
        <v/>
      </c>
      <c r="JO10" s="11" t="str">
        <f t="shared" si="84"/>
        <v/>
      </c>
      <c r="JP10" s="11" t="str">
        <f t="shared" si="85"/>
        <v/>
      </c>
      <c r="JQ10" s="11" t="str">
        <f t="shared" si="86"/>
        <v/>
      </c>
      <c r="JR10" s="11" t="str">
        <f t="shared" si="87"/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 t="shared" si="88"/>
        <v/>
      </c>
      <c r="KN10" s="40" t="str">
        <f t="shared" si="89"/>
        <v/>
      </c>
      <c r="KO10" s="40" t="str">
        <f t="shared" si="90"/>
        <v/>
      </c>
      <c r="KP10" s="40" t="str">
        <f t="shared" si="91"/>
        <v/>
      </c>
      <c r="KQ10" s="40" t="str">
        <f t="shared" si="92"/>
        <v/>
      </c>
      <c r="KR10" s="40" t="str">
        <f t="shared" si="93"/>
        <v/>
      </c>
      <c r="KS10" s="40" t="str">
        <f t="shared" si="94"/>
        <v/>
      </c>
      <c r="KT10" s="40" t="str">
        <f t="shared" si="95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6"/>
        <v/>
      </c>
      <c r="LP10" s="11" t="str">
        <f t="shared" si="97"/>
        <v/>
      </c>
      <c r="LQ10" s="11" t="str">
        <f t="shared" si="98"/>
        <v/>
      </c>
      <c r="LR10" s="11" t="str">
        <f t="shared" si="99"/>
        <v/>
      </c>
      <c r="LS10" s="11" t="str">
        <f t="shared" si="100"/>
        <v/>
      </c>
      <c r="LT10" s="11" t="str">
        <f t="shared" si="101"/>
        <v/>
      </c>
      <c r="LU10" s="11" t="str">
        <f t="shared" si="102"/>
        <v/>
      </c>
      <c r="LV10" s="11" t="str">
        <f t="shared" si="103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 t="shared" si="104"/>
        <v/>
      </c>
      <c r="MR10" s="40" t="str">
        <f t="shared" si="105"/>
        <v/>
      </c>
      <c r="MS10" s="40" t="str">
        <f t="shared" si="106"/>
        <v/>
      </c>
      <c r="MT10" s="40" t="str">
        <f t="shared" si="107"/>
        <v/>
      </c>
      <c r="MU10" s="40" t="str">
        <f t="shared" si="108"/>
        <v/>
      </c>
      <c r="MV10" s="40" t="str">
        <f t="shared" si="109"/>
        <v/>
      </c>
      <c r="MW10" s="40" t="str">
        <f t="shared" si="110"/>
        <v/>
      </c>
      <c r="MX10" s="40" t="str">
        <f t="shared" si="111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2"/>
        <v/>
      </c>
      <c r="NT10" s="11" t="str">
        <f t="shared" si="113"/>
        <v/>
      </c>
      <c r="NU10" s="11" t="str">
        <f t="shared" si="114"/>
        <v/>
      </c>
      <c r="NV10" s="11" t="str">
        <f t="shared" si="115"/>
        <v/>
      </c>
      <c r="NW10" s="11" t="str">
        <f t="shared" si="116"/>
        <v/>
      </c>
      <c r="NX10" s="11" t="str">
        <f t="shared" si="117"/>
        <v/>
      </c>
      <c r="NY10" s="11" t="str">
        <f t="shared" si="118"/>
        <v/>
      </c>
      <c r="NZ10" s="11" t="str">
        <f t="shared" si="119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 t="shared" si="120"/>
        <v/>
      </c>
      <c r="OV10" s="40" t="str">
        <f t="shared" si="121"/>
        <v/>
      </c>
      <c r="OW10" s="40" t="str">
        <f t="shared" si="122"/>
        <v/>
      </c>
      <c r="OX10" s="40" t="str">
        <f t="shared" si="123"/>
        <v/>
      </c>
      <c r="OY10" s="40" t="str">
        <f t="shared" si="124"/>
        <v/>
      </c>
      <c r="OZ10" s="40" t="str">
        <f t="shared" si="125"/>
        <v/>
      </c>
      <c r="PA10" s="40" t="str">
        <f t="shared" si="126"/>
        <v/>
      </c>
      <c r="PB10" s="40" t="str">
        <f t="shared" si="127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8"/>
        <v/>
      </c>
      <c r="PX10" s="11" t="str">
        <f t="shared" si="129"/>
        <v/>
      </c>
      <c r="PY10" s="11" t="str">
        <f t="shared" si="130"/>
        <v/>
      </c>
      <c r="PZ10" s="11" t="str">
        <f t="shared" si="131"/>
        <v/>
      </c>
      <c r="QA10" s="11" t="str">
        <f t="shared" si="132"/>
        <v/>
      </c>
      <c r="QB10" s="11" t="str">
        <f t="shared" si="133"/>
        <v/>
      </c>
      <c r="QC10" s="11" t="str">
        <f t="shared" si="134"/>
        <v/>
      </c>
      <c r="QD10" s="11" t="str">
        <f t="shared" si="135"/>
        <v/>
      </c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40" t="str">
        <f t="shared" si="136"/>
        <v/>
      </c>
      <c r="QZ10" s="40" t="str">
        <f t="shared" si="137"/>
        <v/>
      </c>
      <c r="RA10" s="40" t="str">
        <f t="shared" si="138"/>
        <v/>
      </c>
      <c r="RB10" s="40" t="str">
        <f t="shared" si="139"/>
        <v/>
      </c>
      <c r="RC10" s="40" t="str">
        <f t="shared" si="140"/>
        <v/>
      </c>
      <c r="RD10" s="40" t="str">
        <f t="shared" si="141"/>
        <v/>
      </c>
      <c r="RE10" s="40" t="str">
        <f t="shared" si="142"/>
        <v/>
      </c>
      <c r="RF10" s="40" t="str">
        <f t="shared" si="143"/>
        <v/>
      </c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1" t="str">
        <f t="shared" si="144"/>
        <v/>
      </c>
      <c r="SB10" s="11" t="str">
        <f t="shared" si="145"/>
        <v/>
      </c>
      <c r="SC10" s="11" t="str">
        <f t="shared" si="146"/>
        <v/>
      </c>
      <c r="SD10" s="11" t="str">
        <f t="shared" si="147"/>
        <v/>
      </c>
      <c r="SE10" s="11" t="str">
        <f t="shared" si="148"/>
        <v/>
      </c>
      <c r="SF10" s="11" t="str">
        <f t="shared" si="149"/>
        <v/>
      </c>
      <c r="SG10" s="11" t="str">
        <f t="shared" si="150"/>
        <v/>
      </c>
      <c r="SH10" s="11" t="str">
        <f t="shared" si="151"/>
        <v/>
      </c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40" t="str">
        <f t="shared" si="152"/>
        <v/>
      </c>
      <c r="TD10" s="40" t="str">
        <f t="shared" si="153"/>
        <v/>
      </c>
      <c r="TE10" s="40" t="str">
        <f t="shared" si="154"/>
        <v/>
      </c>
      <c r="TF10" s="40" t="str">
        <f t="shared" si="155"/>
        <v/>
      </c>
      <c r="TG10" s="40" t="str">
        <f t="shared" si="156"/>
        <v/>
      </c>
      <c r="TH10" s="40" t="str">
        <f t="shared" si="157"/>
        <v/>
      </c>
      <c r="TI10" s="40" t="str">
        <f t="shared" si="158"/>
        <v/>
      </c>
      <c r="TJ10" s="40" t="str">
        <f t="shared" si="159"/>
        <v/>
      </c>
      <c r="TK10" s="26">
        <f t="shared" si="160"/>
        <v>16.899999999999999</v>
      </c>
      <c r="TL10" s="26">
        <f t="shared" si="161"/>
        <v>3.35</v>
      </c>
      <c r="TM10" s="26">
        <f t="shared" si="162"/>
        <v>2.25</v>
      </c>
      <c r="TN10" s="26">
        <f t="shared" si="163"/>
        <v>0.6</v>
      </c>
      <c r="TO10" s="26">
        <f t="shared" si="164"/>
        <v>16.700000000000003</v>
      </c>
      <c r="TP10" s="26">
        <f t="shared" si="165"/>
        <v>3.9</v>
      </c>
      <c r="TQ10" s="26">
        <f t="shared" si="166"/>
        <v>3.2</v>
      </c>
      <c r="TR10" s="26">
        <f t="shared" si="167"/>
        <v>0.6</v>
      </c>
      <c r="TS10" s="26">
        <f t="shared" si="168"/>
        <v>16.8</v>
      </c>
      <c r="TT10" s="26">
        <f t="shared" si="169"/>
        <v>3.9</v>
      </c>
      <c r="TU10" s="26">
        <f t="shared" si="170"/>
        <v>0.2</v>
      </c>
      <c r="TV10" s="26">
        <f t="shared" si="171"/>
        <v>0.6</v>
      </c>
      <c r="TW10" s="26">
        <f t="shared" si="172"/>
        <v>8.25</v>
      </c>
      <c r="TX10" s="26">
        <f t="shared" si="173"/>
        <v>2.4</v>
      </c>
      <c r="TY10" s="26">
        <f t="shared" si="174"/>
        <v>0</v>
      </c>
      <c r="TZ10" s="26">
        <f t="shared" si="175"/>
        <v>0.3</v>
      </c>
      <c r="UA10" s="26">
        <f t="shared" si="176"/>
        <v>8.1</v>
      </c>
      <c r="UB10" s="26">
        <f t="shared" si="177"/>
        <v>2.2999999999999998</v>
      </c>
      <c r="UC10" s="26">
        <f t="shared" si="178"/>
        <v>0</v>
      </c>
      <c r="UD10" s="26">
        <f t="shared" si="179"/>
        <v>0.3</v>
      </c>
      <c r="UE10" s="28" t="s">
        <v>53</v>
      </c>
      <c r="UF10" s="11">
        <f t="shared" si="180"/>
        <v>7.25</v>
      </c>
      <c r="UG10" s="11">
        <f t="shared" si="181"/>
        <v>36.6</v>
      </c>
      <c r="UH10" s="11">
        <f t="shared" si="182"/>
        <v>21.1</v>
      </c>
      <c r="UI10" s="11">
        <f t="shared" si="183"/>
        <v>11.15</v>
      </c>
      <c r="UJ10" s="11">
        <f t="shared" si="184"/>
        <v>57.7</v>
      </c>
      <c r="UK10" s="11">
        <f t="shared" si="185"/>
        <v>4.6999999999999993</v>
      </c>
      <c r="UL10" s="11">
        <f t="shared" si="186"/>
        <v>21.650000000000002</v>
      </c>
      <c r="UM10" s="11">
        <f t="shared" si="187"/>
        <v>79.350000000000009</v>
      </c>
    </row>
    <row r="11" spans="1:559" x14ac:dyDescent="0.2">
      <c r="A11" s="4" cm="1">
        <f t="array" ref="A11">IF(AND(H11&lt;&gt;"",H11&lt;&gt;"No DD"),SUMPRODUCT((H$4:H$17&lt;&gt;"")*(H$4:H$17&lt;&gt;"No DD")*(E$4:E$17&gt;E11))+1,IF(H11="No DD",SUMPRODUCT((H$4:H$17="No DD")*(E$4:E$17&gt;E11))+1+SUMPRODUCT((H$4:H$17&lt;&gt;"")*(H$4:H$17&lt;&gt;"No DD")),""))</f>
        <v>8</v>
      </c>
      <c r="B11" s="5" t="s">
        <v>213</v>
      </c>
      <c r="C11" s="4" t="s">
        <v>5</v>
      </c>
      <c r="D11" s="4">
        <v>2002</v>
      </c>
      <c r="E11" s="9">
        <f t="shared" si="0"/>
        <v>133.80000905000426</v>
      </c>
      <c r="F11" s="3" t="str">
        <f t="shared" si="1"/>
        <v>P</v>
      </c>
      <c r="G11" s="3" t="str">
        <f t="shared" si="2"/>
        <v>P</v>
      </c>
      <c r="H11" s="36" t="str">
        <f t="shared" si="3"/>
        <v>National Team</v>
      </c>
      <c r="I11" s="3" t="str">
        <f t="shared" si="4"/>
        <v/>
      </c>
      <c r="J11" s="8">
        <f>IF(COUNT(AQ11,BT11,CW11)&gt;0,LARGE((AQ11,BT11,CW11),1),0)</f>
        <v>42.499999999999993</v>
      </c>
      <c r="K11" s="8" t="str">
        <f t="shared" si="5"/>
        <v>2024 3rd Domestic Trial</v>
      </c>
      <c r="L11" s="8">
        <f>IF(COUNT(AQ11,BT11,CW11)&gt;1,LARGE((AQ11,BT11,CW11),2),0)</f>
        <v>26.800000000000011</v>
      </c>
      <c r="M11" s="8" t="str">
        <f t="shared" si="6"/>
        <v>2024 Nationals</v>
      </c>
      <c r="N11" s="8">
        <f>IF(COUNT(AR11,BU11,CX11)&gt;0,LARGE((AR11,BU11,CX11),1),0)</f>
        <v>21.200000000000003</v>
      </c>
      <c r="O11" s="8" t="str">
        <f t="shared" si="7"/>
        <v>2024 3rd Domestic Trial</v>
      </c>
      <c r="P11" s="8">
        <f t="shared" si="8"/>
        <v>43.300000000000011</v>
      </c>
      <c r="Q11" s="8" t="str">
        <f t="shared" si="9"/>
        <v>2024 3rd Domestic Trial</v>
      </c>
      <c r="R11" s="8" t="str">
        <f t="shared" si="10"/>
        <v/>
      </c>
      <c r="S11" s="11" t="str">
        <f t="shared" si="11"/>
        <v/>
      </c>
      <c r="T11" s="8" t="str">
        <f t="shared" si="12"/>
        <v/>
      </c>
      <c r="U11" s="19">
        <v>16.7</v>
      </c>
      <c r="V11" s="19">
        <v>1.9</v>
      </c>
      <c r="W11" s="19">
        <v>0</v>
      </c>
      <c r="X11" s="19">
        <v>0.3</v>
      </c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7"/>
      <c r="AP11" s="40">
        <f t="shared" si="13"/>
        <v>1.9</v>
      </c>
      <c r="AQ11" s="40">
        <f t="shared" si="14"/>
        <v>18.899999999999999</v>
      </c>
      <c r="AR11" s="40" t="str">
        <f t="shared" si="15"/>
        <v/>
      </c>
      <c r="AS11" s="40">
        <f t="shared" si="16"/>
        <v>1.9</v>
      </c>
      <c r="AT11" s="40">
        <f t="shared" si="17"/>
        <v>18.899999999999999</v>
      </c>
      <c r="AU11" s="40" t="str">
        <f t="shared" si="18"/>
        <v/>
      </c>
      <c r="AV11" s="40" t="str">
        <f t="shared" si="19"/>
        <v/>
      </c>
      <c r="AW11" s="40">
        <f t="shared" si="20"/>
        <v>18.899999999999999</v>
      </c>
      <c r="AX11" s="18">
        <v>14.3</v>
      </c>
      <c r="AY11" s="18">
        <v>3.1</v>
      </c>
      <c r="AZ11" s="18">
        <v>2.9</v>
      </c>
      <c r="BA11" s="18">
        <v>0.6</v>
      </c>
      <c r="BB11" s="18">
        <v>13.9</v>
      </c>
      <c r="BC11" s="18">
        <v>2.6</v>
      </c>
      <c r="BD11" s="18">
        <v>5.4</v>
      </c>
      <c r="BE11" s="18">
        <v>0.6</v>
      </c>
      <c r="BF11" s="18">
        <v>14.8</v>
      </c>
      <c r="BG11" s="18">
        <v>3.5</v>
      </c>
      <c r="BH11" s="18">
        <v>0.5</v>
      </c>
      <c r="BI11" s="18">
        <v>0.6</v>
      </c>
      <c r="BJ11" s="18"/>
      <c r="BK11" s="18"/>
      <c r="BL11" s="18"/>
      <c r="BM11" s="18"/>
      <c r="BN11" s="18"/>
      <c r="BO11" s="18"/>
      <c r="BP11" s="18"/>
      <c r="BQ11" s="18"/>
      <c r="BR11" s="28"/>
      <c r="BS11" s="11">
        <f t="shared" si="21"/>
        <v>5.7</v>
      </c>
      <c r="BT11" s="11">
        <f t="shared" si="22"/>
        <v>26.800000000000011</v>
      </c>
      <c r="BU11" s="11">
        <f t="shared" si="23"/>
        <v>18.400000000000002</v>
      </c>
      <c r="BV11" s="11">
        <f t="shared" si="24"/>
        <v>9.1999999999999993</v>
      </c>
      <c r="BW11" s="11">
        <f t="shared" si="25"/>
        <v>45.200000000000017</v>
      </c>
      <c r="BX11" s="11" t="str">
        <f t="shared" si="26"/>
        <v/>
      </c>
      <c r="BY11" s="11" t="str">
        <f t="shared" si="27"/>
        <v/>
      </c>
      <c r="BZ11" s="11">
        <f t="shared" si="28"/>
        <v>45.200000000000017</v>
      </c>
      <c r="CA11" s="19">
        <v>17.3</v>
      </c>
      <c r="CB11" s="19">
        <v>3.6</v>
      </c>
      <c r="CC11" s="19">
        <v>0.2</v>
      </c>
      <c r="CD11" s="19">
        <v>0</v>
      </c>
      <c r="CE11" s="19">
        <v>16.399999999999999</v>
      </c>
      <c r="CF11" s="19">
        <v>4.8</v>
      </c>
      <c r="CG11" s="19">
        <v>0</v>
      </c>
      <c r="CH11" s="19">
        <v>0.6</v>
      </c>
      <c r="CI11" s="19">
        <v>16</v>
      </c>
      <c r="CJ11" s="19">
        <v>4.8</v>
      </c>
      <c r="CK11" s="19">
        <v>0.2</v>
      </c>
      <c r="CL11" s="19">
        <v>0.6</v>
      </c>
      <c r="CM11" s="19">
        <v>16.600000000000001</v>
      </c>
      <c r="CN11" s="19">
        <v>4.8</v>
      </c>
      <c r="CO11" s="19">
        <v>0</v>
      </c>
      <c r="CP11" s="19">
        <v>0.6</v>
      </c>
      <c r="CQ11" s="19">
        <v>16.100000000000001</v>
      </c>
      <c r="CR11" s="19">
        <v>4.5999999999999996</v>
      </c>
      <c r="CS11" s="19">
        <v>0</v>
      </c>
      <c r="CT11" s="19">
        <v>0.6</v>
      </c>
      <c r="CU11" s="27"/>
      <c r="CV11" s="40">
        <f t="shared" si="29"/>
        <v>8.4</v>
      </c>
      <c r="CW11" s="40">
        <f t="shared" si="30"/>
        <v>42.499999999999993</v>
      </c>
      <c r="CX11" s="40">
        <f t="shared" si="31"/>
        <v>21.200000000000003</v>
      </c>
      <c r="CY11" s="40">
        <f t="shared" si="32"/>
        <v>13.2</v>
      </c>
      <c r="CZ11" s="40">
        <f t="shared" si="33"/>
        <v>63.699999999999996</v>
      </c>
      <c r="DA11" s="40">
        <f t="shared" si="34"/>
        <v>9.3999999999999986</v>
      </c>
      <c r="DB11" s="40">
        <f t="shared" si="35"/>
        <v>43.300000000000011</v>
      </c>
      <c r="DC11" s="40">
        <f t="shared" si="36"/>
        <v>107</v>
      </c>
      <c r="DD11" s="51" t="str">
        <f t="shared" si="37"/>
        <v/>
      </c>
      <c r="DE11" s="51" t="str">
        <f t="shared" si="38"/>
        <v/>
      </c>
      <c r="DF11" s="51" t="str">
        <f t="shared" si="39"/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 t="shared" si="40"/>
        <v/>
      </c>
      <c r="EB11" s="40" t="str">
        <f t="shared" si="41"/>
        <v/>
      </c>
      <c r="EC11" s="40" t="str">
        <f t="shared" si="42"/>
        <v/>
      </c>
      <c r="ED11" s="40" t="str">
        <f t="shared" si="43"/>
        <v/>
      </c>
      <c r="EE11" s="40" t="str">
        <f t="shared" si="44"/>
        <v/>
      </c>
      <c r="EF11" s="40" t="str">
        <f t="shared" si="45"/>
        <v/>
      </c>
      <c r="EG11" s="40" t="str">
        <f t="shared" si="46"/>
        <v/>
      </c>
      <c r="EH11" s="40" t="str">
        <f t="shared" si="47"/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8"/>
        <v/>
      </c>
      <c r="FD11" s="11" t="str">
        <f t="shared" si="49"/>
        <v/>
      </c>
      <c r="FE11" s="11" t="str">
        <f t="shared" si="50"/>
        <v/>
      </c>
      <c r="FF11" s="11" t="str">
        <f t="shared" si="51"/>
        <v/>
      </c>
      <c r="FG11" s="11" t="str">
        <f t="shared" si="52"/>
        <v/>
      </c>
      <c r="FH11" s="11" t="str">
        <f t="shared" si="53"/>
        <v/>
      </c>
      <c r="FI11" s="11" t="str">
        <f t="shared" si="54"/>
        <v/>
      </c>
      <c r="FJ11" s="11" t="str">
        <f t="shared" si="55"/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 t="shared" si="56"/>
        <v/>
      </c>
      <c r="GF11" s="40" t="str">
        <f t="shared" si="57"/>
        <v/>
      </c>
      <c r="GG11" s="40" t="str">
        <f t="shared" si="58"/>
        <v/>
      </c>
      <c r="GH11" s="40" t="str">
        <f t="shared" si="59"/>
        <v/>
      </c>
      <c r="GI11" s="40" t="str">
        <f t="shared" si="60"/>
        <v/>
      </c>
      <c r="GJ11" s="40" t="str">
        <f t="shared" si="61"/>
        <v/>
      </c>
      <c r="GK11" s="40" t="str">
        <f t="shared" si="62"/>
        <v/>
      </c>
      <c r="GL11" s="40" t="str">
        <f t="shared" si="63"/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 t="shared" si="64"/>
        <v/>
      </c>
      <c r="HH11" s="11" t="str">
        <f t="shared" si="65"/>
        <v/>
      </c>
      <c r="HI11" s="11" t="str">
        <f t="shared" si="66"/>
        <v/>
      </c>
      <c r="HJ11" s="11" t="str">
        <f t="shared" si="67"/>
        <v/>
      </c>
      <c r="HK11" s="11" t="str">
        <f t="shared" si="68"/>
        <v/>
      </c>
      <c r="HL11" s="11" t="str">
        <f t="shared" si="69"/>
        <v/>
      </c>
      <c r="HM11" s="11" t="str">
        <f t="shared" si="70"/>
        <v/>
      </c>
      <c r="HN11" s="11" t="str">
        <f t="shared" si="71"/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 t="shared" si="72"/>
        <v/>
      </c>
      <c r="IJ11" s="40" t="str">
        <f t="shared" si="73"/>
        <v/>
      </c>
      <c r="IK11" s="40" t="str">
        <f t="shared" si="74"/>
        <v/>
      </c>
      <c r="IL11" s="40" t="str">
        <f t="shared" si="75"/>
        <v/>
      </c>
      <c r="IM11" s="40" t="str">
        <f t="shared" si="76"/>
        <v/>
      </c>
      <c r="IN11" s="40" t="str">
        <f t="shared" si="77"/>
        <v/>
      </c>
      <c r="IO11" s="40" t="str">
        <f t="shared" si="78"/>
        <v/>
      </c>
      <c r="IP11" s="40" t="str">
        <f t="shared" si="79"/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80"/>
        <v/>
      </c>
      <c r="JL11" s="11" t="str">
        <f t="shared" si="81"/>
        <v/>
      </c>
      <c r="JM11" s="11" t="str">
        <f t="shared" si="82"/>
        <v/>
      </c>
      <c r="JN11" s="11" t="str">
        <f t="shared" si="83"/>
        <v/>
      </c>
      <c r="JO11" s="11" t="str">
        <f t="shared" si="84"/>
        <v/>
      </c>
      <c r="JP11" s="11" t="str">
        <f t="shared" si="85"/>
        <v/>
      </c>
      <c r="JQ11" s="11" t="str">
        <f t="shared" si="86"/>
        <v/>
      </c>
      <c r="JR11" s="11" t="str">
        <f t="shared" si="87"/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 t="shared" si="88"/>
        <v/>
      </c>
      <c r="KN11" s="40" t="str">
        <f t="shared" si="89"/>
        <v/>
      </c>
      <c r="KO11" s="40" t="str">
        <f t="shared" si="90"/>
        <v/>
      </c>
      <c r="KP11" s="40" t="str">
        <f t="shared" si="91"/>
        <v/>
      </c>
      <c r="KQ11" s="40" t="str">
        <f t="shared" si="92"/>
        <v/>
      </c>
      <c r="KR11" s="40" t="str">
        <f t="shared" si="93"/>
        <v/>
      </c>
      <c r="KS11" s="40" t="str">
        <f t="shared" si="94"/>
        <v/>
      </c>
      <c r="KT11" s="40" t="str">
        <f t="shared" si="95"/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6"/>
        <v/>
      </c>
      <c r="LP11" s="11" t="str">
        <f t="shared" si="97"/>
        <v/>
      </c>
      <c r="LQ11" s="11" t="str">
        <f t="shared" si="98"/>
        <v/>
      </c>
      <c r="LR11" s="11" t="str">
        <f t="shared" si="99"/>
        <v/>
      </c>
      <c r="LS11" s="11" t="str">
        <f t="shared" si="100"/>
        <v/>
      </c>
      <c r="LT11" s="11" t="str">
        <f t="shared" si="101"/>
        <v/>
      </c>
      <c r="LU11" s="11" t="str">
        <f t="shared" si="102"/>
        <v/>
      </c>
      <c r="LV11" s="11" t="str">
        <f t="shared" si="103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 t="shared" si="104"/>
        <v/>
      </c>
      <c r="MR11" s="40" t="str">
        <f t="shared" si="105"/>
        <v/>
      </c>
      <c r="MS11" s="40" t="str">
        <f t="shared" si="106"/>
        <v/>
      </c>
      <c r="MT11" s="40" t="str">
        <f t="shared" si="107"/>
        <v/>
      </c>
      <c r="MU11" s="40" t="str">
        <f t="shared" si="108"/>
        <v/>
      </c>
      <c r="MV11" s="40" t="str">
        <f t="shared" si="109"/>
        <v/>
      </c>
      <c r="MW11" s="40" t="str">
        <f t="shared" si="110"/>
        <v/>
      </c>
      <c r="MX11" s="40" t="str">
        <f t="shared" si="111"/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2"/>
        <v/>
      </c>
      <c r="NT11" s="11" t="str">
        <f t="shared" si="113"/>
        <v/>
      </c>
      <c r="NU11" s="11" t="str">
        <f t="shared" si="114"/>
        <v/>
      </c>
      <c r="NV11" s="11" t="str">
        <f t="shared" si="115"/>
        <v/>
      </c>
      <c r="NW11" s="11" t="str">
        <f t="shared" si="116"/>
        <v/>
      </c>
      <c r="NX11" s="11" t="str">
        <f t="shared" si="117"/>
        <v/>
      </c>
      <c r="NY11" s="11" t="str">
        <f t="shared" si="118"/>
        <v/>
      </c>
      <c r="NZ11" s="11" t="str">
        <f t="shared" si="119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 t="shared" si="120"/>
        <v/>
      </c>
      <c r="OV11" s="40" t="str">
        <f t="shared" si="121"/>
        <v/>
      </c>
      <c r="OW11" s="40" t="str">
        <f t="shared" si="122"/>
        <v/>
      </c>
      <c r="OX11" s="40" t="str">
        <f t="shared" si="123"/>
        <v/>
      </c>
      <c r="OY11" s="40" t="str">
        <f t="shared" si="124"/>
        <v/>
      </c>
      <c r="OZ11" s="40" t="str">
        <f t="shared" si="125"/>
        <v/>
      </c>
      <c r="PA11" s="40" t="str">
        <f t="shared" si="126"/>
        <v/>
      </c>
      <c r="PB11" s="40" t="str">
        <f t="shared" si="127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8"/>
        <v/>
      </c>
      <c r="PX11" s="11" t="str">
        <f t="shared" si="129"/>
        <v/>
      </c>
      <c r="PY11" s="11" t="str">
        <f t="shared" si="130"/>
        <v/>
      </c>
      <c r="PZ11" s="11" t="str">
        <f t="shared" si="131"/>
        <v/>
      </c>
      <c r="QA11" s="11" t="str">
        <f t="shared" si="132"/>
        <v/>
      </c>
      <c r="QB11" s="11" t="str">
        <f t="shared" si="133"/>
        <v/>
      </c>
      <c r="QC11" s="11" t="str">
        <f t="shared" si="134"/>
        <v/>
      </c>
      <c r="QD11" s="11" t="str">
        <f t="shared" si="135"/>
        <v/>
      </c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40" t="str">
        <f t="shared" si="136"/>
        <v/>
      </c>
      <c r="QZ11" s="40" t="str">
        <f t="shared" si="137"/>
        <v/>
      </c>
      <c r="RA11" s="40" t="str">
        <f t="shared" si="138"/>
        <v/>
      </c>
      <c r="RB11" s="40" t="str">
        <f t="shared" si="139"/>
        <v/>
      </c>
      <c r="RC11" s="40" t="str">
        <f t="shared" si="140"/>
        <v/>
      </c>
      <c r="RD11" s="40" t="str">
        <f t="shared" si="141"/>
        <v/>
      </c>
      <c r="RE11" s="40" t="str">
        <f t="shared" si="142"/>
        <v/>
      </c>
      <c r="RF11" s="40" t="str">
        <f t="shared" si="143"/>
        <v/>
      </c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1" t="str">
        <f t="shared" si="144"/>
        <v/>
      </c>
      <c r="SB11" s="11" t="str">
        <f t="shared" si="145"/>
        <v/>
      </c>
      <c r="SC11" s="11" t="str">
        <f t="shared" si="146"/>
        <v/>
      </c>
      <c r="SD11" s="11" t="str">
        <f t="shared" si="147"/>
        <v/>
      </c>
      <c r="SE11" s="11" t="str">
        <f t="shared" si="148"/>
        <v/>
      </c>
      <c r="SF11" s="11" t="str">
        <f t="shared" si="149"/>
        <v/>
      </c>
      <c r="SG11" s="11" t="str">
        <f t="shared" si="150"/>
        <v/>
      </c>
      <c r="SH11" s="11" t="str">
        <f t="shared" si="151"/>
        <v/>
      </c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40" t="str">
        <f t="shared" si="152"/>
        <v/>
      </c>
      <c r="TD11" s="40" t="str">
        <f t="shared" si="153"/>
        <v/>
      </c>
      <c r="TE11" s="40" t="str">
        <f t="shared" si="154"/>
        <v/>
      </c>
      <c r="TF11" s="40" t="str">
        <f t="shared" si="155"/>
        <v/>
      </c>
      <c r="TG11" s="40" t="str">
        <f t="shared" si="156"/>
        <v/>
      </c>
      <c r="TH11" s="40" t="str">
        <f t="shared" si="157"/>
        <v/>
      </c>
      <c r="TI11" s="40" t="str">
        <f t="shared" si="158"/>
        <v/>
      </c>
      <c r="TJ11" s="40" t="str">
        <f t="shared" si="159"/>
        <v/>
      </c>
      <c r="TK11" s="26">
        <f t="shared" si="160"/>
        <v>15.8</v>
      </c>
      <c r="TL11" s="26">
        <f t="shared" si="161"/>
        <v>3.35</v>
      </c>
      <c r="TM11" s="26">
        <f t="shared" si="162"/>
        <v>1.55</v>
      </c>
      <c r="TN11" s="26">
        <f t="shared" si="163"/>
        <v>0.3</v>
      </c>
      <c r="TO11" s="26">
        <f t="shared" si="164"/>
        <v>15.149999999999999</v>
      </c>
      <c r="TP11" s="26">
        <f t="shared" si="165"/>
        <v>3.7</v>
      </c>
      <c r="TQ11" s="26">
        <f t="shared" si="166"/>
        <v>2.7</v>
      </c>
      <c r="TR11" s="26">
        <f t="shared" si="167"/>
        <v>0.6</v>
      </c>
      <c r="TS11" s="26">
        <f t="shared" si="168"/>
        <v>15.4</v>
      </c>
      <c r="TT11" s="26">
        <f t="shared" si="169"/>
        <v>4.1500000000000004</v>
      </c>
      <c r="TU11" s="26">
        <f t="shared" si="170"/>
        <v>0.35</v>
      </c>
      <c r="TV11" s="26">
        <f t="shared" si="171"/>
        <v>0.6</v>
      </c>
      <c r="TW11" s="26">
        <f t="shared" si="172"/>
        <v>8.3000000000000007</v>
      </c>
      <c r="TX11" s="26">
        <f t="shared" si="173"/>
        <v>2.4</v>
      </c>
      <c r="TY11" s="26">
        <f t="shared" si="174"/>
        <v>0</v>
      </c>
      <c r="TZ11" s="26">
        <f t="shared" si="175"/>
        <v>0.3</v>
      </c>
      <c r="UA11" s="26">
        <f t="shared" si="176"/>
        <v>8.0500000000000007</v>
      </c>
      <c r="UB11" s="26">
        <f t="shared" si="177"/>
        <v>2.2999999999999998</v>
      </c>
      <c r="UC11" s="26">
        <f t="shared" si="178"/>
        <v>0</v>
      </c>
      <c r="UD11" s="26">
        <f t="shared" si="179"/>
        <v>0.3</v>
      </c>
      <c r="UE11" s="28" t="s">
        <v>53</v>
      </c>
      <c r="UF11" s="11">
        <f t="shared" si="180"/>
        <v>7.0500000000000007</v>
      </c>
      <c r="UG11" s="11">
        <f t="shared" si="181"/>
        <v>34.650000000000006</v>
      </c>
      <c r="UH11" s="11">
        <f t="shared" si="182"/>
        <v>19.8</v>
      </c>
      <c r="UI11" s="11">
        <f t="shared" si="183"/>
        <v>11.200000000000001</v>
      </c>
      <c r="UJ11" s="11">
        <f t="shared" si="184"/>
        <v>54.45</v>
      </c>
      <c r="UK11" s="11">
        <f t="shared" si="185"/>
        <v>4.6999999999999993</v>
      </c>
      <c r="UL11" s="11">
        <f t="shared" si="186"/>
        <v>21.650000000000006</v>
      </c>
      <c r="UM11" s="11">
        <f t="shared" si="187"/>
        <v>76.100000000000009</v>
      </c>
    </row>
    <row r="12" spans="1:559" x14ac:dyDescent="0.2">
      <c r="A12" s="4" t="str" cm="1">
        <f t="array" ref="A12">IF(AND(H12&lt;&gt;"",H12&lt;&gt;"No DD"),SUMPRODUCT((H$4:H$17&lt;&gt;"")*(H$4:H$17&lt;&gt;"No DD")*(E$4:E$17&gt;E12))+1,IF(H12="No DD",SUMPRODUCT((H$4:H$17="No DD")*(E$4:E$17&gt;E12))+1+SUMPRODUCT((H$4:H$17&lt;&gt;"")*(H$4:H$17&lt;&gt;"No DD")),""))</f>
        <v/>
      </c>
      <c r="B12" s="5" t="s">
        <v>148</v>
      </c>
      <c r="C12" s="4" t="s">
        <v>3</v>
      </c>
      <c r="D12" s="4">
        <v>2004</v>
      </c>
      <c r="E12" s="9">
        <f t="shared" si="0"/>
        <v>145.52001021200419</v>
      </c>
      <c r="F12" s="3" t="str">
        <f t="shared" si="1"/>
        <v/>
      </c>
      <c r="G12" s="3" t="str">
        <f t="shared" si="2"/>
        <v/>
      </c>
      <c r="H12" s="36" t="str">
        <f t="shared" si="3"/>
        <v/>
      </c>
      <c r="I12" s="3" t="str">
        <f t="shared" si="4"/>
        <v/>
      </c>
      <c r="J12" s="8">
        <f>IF(COUNT(AQ12,BT12,CW12)&gt;0,LARGE((AQ12,BT12,CW12),1),0)</f>
        <v>41.65</v>
      </c>
      <c r="K12" s="8" t="str">
        <f t="shared" si="5"/>
        <v>2024 Elite Canada</v>
      </c>
      <c r="L12" s="8">
        <f>IF(COUNT(AQ12,BT12,CW12)&gt;1,LARGE((AQ12,BT12,CW12),2),0)</f>
        <v>39.400000000000006</v>
      </c>
      <c r="M12" s="8" t="str">
        <f t="shared" si="6"/>
        <v>2024 3rd Domestic Trial</v>
      </c>
      <c r="N12" s="8">
        <f>IF(COUNT(AR12,BU12,CX12)&gt;0,LARGE((AR12,BU12,CX12),1),0)</f>
        <v>21.070000000000004</v>
      </c>
      <c r="O12" s="8" t="str">
        <f t="shared" si="7"/>
        <v>2024 Elite Canada</v>
      </c>
      <c r="P12" s="8">
        <f t="shared" si="8"/>
        <v>43.4</v>
      </c>
      <c r="Q12" s="8" t="str">
        <f t="shared" si="9"/>
        <v>2024 Elite Canada</v>
      </c>
      <c r="R12" s="8" t="str">
        <f t="shared" si="10"/>
        <v/>
      </c>
      <c r="S12" s="11" t="str">
        <f t="shared" si="11"/>
        <v/>
      </c>
      <c r="T12" s="8" t="str">
        <f t="shared" si="12"/>
        <v/>
      </c>
      <c r="U12" s="19">
        <v>16.600000000000001</v>
      </c>
      <c r="V12" s="19">
        <v>3.95</v>
      </c>
      <c r="W12" s="19">
        <v>0.1</v>
      </c>
      <c r="X12" s="19">
        <v>0.15</v>
      </c>
      <c r="Y12" s="19">
        <v>16.75</v>
      </c>
      <c r="Z12" s="19">
        <v>4.0999999999999996</v>
      </c>
      <c r="AA12" s="19">
        <v>0.1</v>
      </c>
      <c r="AB12" s="19">
        <v>0.3</v>
      </c>
      <c r="AC12" s="19">
        <v>16.670000000000002</v>
      </c>
      <c r="AD12" s="19">
        <v>4.0999999999999996</v>
      </c>
      <c r="AE12" s="19">
        <v>0</v>
      </c>
      <c r="AF12" s="19">
        <v>0.3</v>
      </c>
      <c r="AG12" s="19">
        <v>17.3</v>
      </c>
      <c r="AH12" s="19">
        <v>4.1999999999999993</v>
      </c>
      <c r="AI12" s="19">
        <v>0.1</v>
      </c>
      <c r="AJ12" s="19">
        <v>0.3</v>
      </c>
      <c r="AK12" s="19">
        <v>17.399999999999999</v>
      </c>
      <c r="AL12" s="19">
        <v>4</v>
      </c>
      <c r="AM12" s="19">
        <v>0</v>
      </c>
      <c r="AN12" s="19">
        <v>0.3</v>
      </c>
      <c r="AO12" s="27" t="s">
        <v>53</v>
      </c>
      <c r="AP12" s="40">
        <f t="shared" si="13"/>
        <v>8.0500000000000007</v>
      </c>
      <c r="AQ12" s="40">
        <f t="shared" si="14"/>
        <v>41.65</v>
      </c>
      <c r="AR12" s="40">
        <f t="shared" si="15"/>
        <v>21.070000000000004</v>
      </c>
      <c r="AS12" s="40">
        <f t="shared" si="16"/>
        <v>12.15</v>
      </c>
      <c r="AT12" s="40">
        <f t="shared" si="17"/>
        <v>62.72</v>
      </c>
      <c r="AU12" s="40">
        <f t="shared" si="18"/>
        <v>8.1999999999999993</v>
      </c>
      <c r="AV12" s="40">
        <f t="shared" si="19"/>
        <v>43.4</v>
      </c>
      <c r="AW12" s="40">
        <f t="shared" si="20"/>
        <v>106.12</v>
      </c>
      <c r="AX12" s="18">
        <v>15.7</v>
      </c>
      <c r="AY12" s="18">
        <v>1.9</v>
      </c>
      <c r="AZ12" s="18">
        <v>0</v>
      </c>
      <c r="BA12" s="18">
        <v>0.3</v>
      </c>
      <c r="BB12" s="18">
        <v>15.6</v>
      </c>
      <c r="BC12" s="18">
        <v>1.9</v>
      </c>
      <c r="BD12" s="18">
        <v>0</v>
      </c>
      <c r="BE12" s="18">
        <v>0.3</v>
      </c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8"/>
      <c r="BS12" s="11">
        <f t="shared" si="21"/>
        <v>3.8</v>
      </c>
      <c r="BT12" s="11">
        <f t="shared" si="22"/>
        <v>35.699999999999996</v>
      </c>
      <c r="BU12" s="11" t="str">
        <f t="shared" si="23"/>
        <v/>
      </c>
      <c r="BV12" s="11">
        <f t="shared" si="24"/>
        <v>3.8</v>
      </c>
      <c r="BW12" s="11">
        <f t="shared" si="25"/>
        <v>35.699999999999996</v>
      </c>
      <c r="BX12" s="11" t="str">
        <f t="shared" si="26"/>
        <v/>
      </c>
      <c r="BY12" s="11" t="str">
        <f t="shared" si="27"/>
        <v/>
      </c>
      <c r="BZ12" s="11">
        <f t="shared" si="28"/>
        <v>35.699999999999996</v>
      </c>
      <c r="CA12" s="19">
        <v>16.100000000000001</v>
      </c>
      <c r="CB12" s="19">
        <v>4.3</v>
      </c>
      <c r="CC12" s="19">
        <v>0</v>
      </c>
      <c r="CD12" s="19">
        <v>0.3</v>
      </c>
      <c r="CE12" s="19">
        <v>15.5</v>
      </c>
      <c r="CF12" s="19">
        <v>2.6</v>
      </c>
      <c r="CG12" s="19">
        <v>0</v>
      </c>
      <c r="CH12" s="19">
        <v>0.6</v>
      </c>
      <c r="CI12" s="19">
        <v>13.5</v>
      </c>
      <c r="CJ12" s="19">
        <v>3.5</v>
      </c>
      <c r="CK12" s="19">
        <v>0.3</v>
      </c>
      <c r="CL12" s="19">
        <v>0.6</v>
      </c>
      <c r="CM12" s="19">
        <v>17.100000000000001</v>
      </c>
      <c r="CN12" s="19">
        <v>4.3</v>
      </c>
      <c r="CO12" s="19">
        <v>0</v>
      </c>
      <c r="CP12" s="19">
        <v>0.3</v>
      </c>
      <c r="CQ12" s="19">
        <v>16.600000000000001</v>
      </c>
      <c r="CR12" s="19">
        <v>4.0999999999999996</v>
      </c>
      <c r="CS12" s="19">
        <v>0</v>
      </c>
      <c r="CT12" s="19">
        <v>0.3</v>
      </c>
      <c r="CU12" s="27"/>
      <c r="CV12" s="40">
        <f t="shared" si="29"/>
        <v>6.9</v>
      </c>
      <c r="CW12" s="40">
        <f t="shared" si="30"/>
        <v>39.400000000000006</v>
      </c>
      <c r="CX12" s="40">
        <f t="shared" si="31"/>
        <v>17.3</v>
      </c>
      <c r="CY12" s="40">
        <f t="shared" si="32"/>
        <v>10.4</v>
      </c>
      <c r="CZ12" s="40">
        <f t="shared" si="33"/>
        <v>56.7</v>
      </c>
      <c r="DA12" s="40">
        <f t="shared" si="34"/>
        <v>8.3999999999999986</v>
      </c>
      <c r="DB12" s="40">
        <f t="shared" si="35"/>
        <v>42.7</v>
      </c>
      <c r="DC12" s="40">
        <f t="shared" si="36"/>
        <v>99.4</v>
      </c>
      <c r="DD12" s="51" t="str">
        <f t="shared" si="37"/>
        <v/>
      </c>
      <c r="DE12" s="51" t="str">
        <f t="shared" si="38"/>
        <v/>
      </c>
      <c r="DF12" s="51" t="str">
        <f t="shared" si="39"/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 t="shared" si="40"/>
        <v/>
      </c>
      <c r="EB12" s="40" t="str">
        <f t="shared" si="41"/>
        <v/>
      </c>
      <c r="EC12" s="40" t="str">
        <f t="shared" si="42"/>
        <v/>
      </c>
      <c r="ED12" s="40" t="str">
        <f t="shared" si="43"/>
        <v/>
      </c>
      <c r="EE12" s="40" t="str">
        <f t="shared" si="44"/>
        <v/>
      </c>
      <c r="EF12" s="40" t="str">
        <f t="shared" si="45"/>
        <v/>
      </c>
      <c r="EG12" s="40" t="str">
        <f t="shared" si="46"/>
        <v/>
      </c>
      <c r="EH12" s="40" t="str">
        <f t="shared" si="47"/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 t="shared" si="48"/>
        <v/>
      </c>
      <c r="FD12" s="11" t="str">
        <f t="shared" si="49"/>
        <v/>
      </c>
      <c r="FE12" s="11" t="str">
        <f t="shared" si="50"/>
        <v/>
      </c>
      <c r="FF12" s="11" t="str">
        <f t="shared" si="51"/>
        <v/>
      </c>
      <c r="FG12" s="11" t="str">
        <f t="shared" si="52"/>
        <v/>
      </c>
      <c r="FH12" s="11" t="str">
        <f t="shared" si="53"/>
        <v/>
      </c>
      <c r="FI12" s="11" t="str">
        <f t="shared" si="54"/>
        <v/>
      </c>
      <c r="FJ12" s="11" t="str">
        <f t="shared" si="55"/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 t="shared" si="56"/>
        <v/>
      </c>
      <c r="GF12" s="40" t="str">
        <f t="shared" si="57"/>
        <v/>
      </c>
      <c r="GG12" s="40" t="str">
        <f t="shared" si="58"/>
        <v/>
      </c>
      <c r="GH12" s="40" t="str">
        <f t="shared" si="59"/>
        <v/>
      </c>
      <c r="GI12" s="40" t="str">
        <f t="shared" si="60"/>
        <v/>
      </c>
      <c r="GJ12" s="40" t="str">
        <f t="shared" si="61"/>
        <v/>
      </c>
      <c r="GK12" s="40" t="str">
        <f t="shared" si="62"/>
        <v/>
      </c>
      <c r="GL12" s="40" t="str">
        <f t="shared" si="63"/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 t="shared" si="64"/>
        <v/>
      </c>
      <c r="HH12" s="11" t="str">
        <f t="shared" si="65"/>
        <v/>
      </c>
      <c r="HI12" s="11" t="str">
        <f t="shared" si="66"/>
        <v/>
      </c>
      <c r="HJ12" s="11" t="str">
        <f t="shared" si="67"/>
        <v/>
      </c>
      <c r="HK12" s="11" t="str">
        <f t="shared" si="68"/>
        <v/>
      </c>
      <c r="HL12" s="11" t="str">
        <f t="shared" si="69"/>
        <v/>
      </c>
      <c r="HM12" s="11" t="str">
        <f t="shared" si="70"/>
        <v/>
      </c>
      <c r="HN12" s="11" t="str">
        <f t="shared" si="71"/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 t="shared" si="72"/>
        <v/>
      </c>
      <c r="IJ12" s="40" t="str">
        <f t="shared" si="73"/>
        <v/>
      </c>
      <c r="IK12" s="40" t="str">
        <f t="shared" si="74"/>
        <v/>
      </c>
      <c r="IL12" s="40" t="str">
        <f t="shared" si="75"/>
        <v/>
      </c>
      <c r="IM12" s="40" t="str">
        <f t="shared" si="76"/>
        <v/>
      </c>
      <c r="IN12" s="40" t="str">
        <f t="shared" si="77"/>
        <v/>
      </c>
      <c r="IO12" s="40" t="str">
        <f t="shared" si="78"/>
        <v/>
      </c>
      <c r="IP12" s="40" t="str">
        <f t="shared" si="79"/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 t="shared" si="80"/>
        <v/>
      </c>
      <c r="JL12" s="11" t="str">
        <f t="shared" si="81"/>
        <v/>
      </c>
      <c r="JM12" s="11" t="str">
        <f t="shared" si="82"/>
        <v/>
      </c>
      <c r="JN12" s="11" t="str">
        <f t="shared" si="83"/>
        <v/>
      </c>
      <c r="JO12" s="11" t="str">
        <f t="shared" si="84"/>
        <v/>
      </c>
      <c r="JP12" s="11" t="str">
        <f t="shared" si="85"/>
        <v/>
      </c>
      <c r="JQ12" s="11" t="str">
        <f t="shared" si="86"/>
        <v/>
      </c>
      <c r="JR12" s="11" t="str">
        <f t="shared" si="87"/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 t="shared" si="88"/>
        <v/>
      </c>
      <c r="KN12" s="40" t="str">
        <f t="shared" si="89"/>
        <v/>
      </c>
      <c r="KO12" s="40" t="str">
        <f t="shared" si="90"/>
        <v/>
      </c>
      <c r="KP12" s="40" t="str">
        <f t="shared" si="91"/>
        <v/>
      </c>
      <c r="KQ12" s="40" t="str">
        <f t="shared" si="92"/>
        <v/>
      </c>
      <c r="KR12" s="40" t="str">
        <f t="shared" si="93"/>
        <v/>
      </c>
      <c r="KS12" s="40" t="str">
        <f t="shared" si="94"/>
        <v/>
      </c>
      <c r="KT12" s="40" t="str">
        <f t="shared" si="95"/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 t="shared" si="96"/>
        <v/>
      </c>
      <c r="LP12" s="11" t="str">
        <f t="shared" si="97"/>
        <v/>
      </c>
      <c r="LQ12" s="11" t="str">
        <f t="shared" si="98"/>
        <v/>
      </c>
      <c r="LR12" s="11" t="str">
        <f t="shared" si="99"/>
        <v/>
      </c>
      <c r="LS12" s="11" t="str">
        <f t="shared" si="100"/>
        <v/>
      </c>
      <c r="LT12" s="11" t="str">
        <f t="shared" si="101"/>
        <v/>
      </c>
      <c r="LU12" s="11" t="str">
        <f t="shared" si="102"/>
        <v/>
      </c>
      <c r="LV12" s="11" t="str">
        <f t="shared" si="103"/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 t="shared" si="104"/>
        <v/>
      </c>
      <c r="MR12" s="40" t="str">
        <f t="shared" si="105"/>
        <v/>
      </c>
      <c r="MS12" s="40" t="str">
        <f t="shared" si="106"/>
        <v/>
      </c>
      <c r="MT12" s="40" t="str">
        <f t="shared" si="107"/>
        <v/>
      </c>
      <c r="MU12" s="40" t="str">
        <f t="shared" si="108"/>
        <v/>
      </c>
      <c r="MV12" s="40" t="str">
        <f t="shared" si="109"/>
        <v/>
      </c>
      <c r="MW12" s="40" t="str">
        <f t="shared" si="110"/>
        <v/>
      </c>
      <c r="MX12" s="40" t="str">
        <f t="shared" si="111"/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 t="shared" si="112"/>
        <v/>
      </c>
      <c r="NT12" s="11" t="str">
        <f t="shared" si="113"/>
        <v/>
      </c>
      <c r="NU12" s="11" t="str">
        <f t="shared" si="114"/>
        <v/>
      </c>
      <c r="NV12" s="11" t="str">
        <f t="shared" si="115"/>
        <v/>
      </c>
      <c r="NW12" s="11" t="str">
        <f t="shared" si="116"/>
        <v/>
      </c>
      <c r="NX12" s="11" t="str">
        <f t="shared" si="117"/>
        <v/>
      </c>
      <c r="NY12" s="11" t="str">
        <f t="shared" si="118"/>
        <v/>
      </c>
      <c r="NZ12" s="11" t="str">
        <f t="shared" si="119"/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 t="shared" si="120"/>
        <v/>
      </c>
      <c r="OV12" s="40" t="str">
        <f t="shared" si="121"/>
        <v/>
      </c>
      <c r="OW12" s="40" t="str">
        <f t="shared" si="122"/>
        <v/>
      </c>
      <c r="OX12" s="40" t="str">
        <f t="shared" si="123"/>
        <v/>
      </c>
      <c r="OY12" s="40" t="str">
        <f t="shared" si="124"/>
        <v/>
      </c>
      <c r="OZ12" s="40" t="str">
        <f t="shared" si="125"/>
        <v/>
      </c>
      <c r="PA12" s="40" t="str">
        <f t="shared" si="126"/>
        <v/>
      </c>
      <c r="PB12" s="40" t="str">
        <f t="shared" si="127"/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 t="shared" si="128"/>
        <v/>
      </c>
      <c r="PX12" s="11" t="str">
        <f t="shared" si="129"/>
        <v/>
      </c>
      <c r="PY12" s="11" t="str">
        <f t="shared" si="130"/>
        <v/>
      </c>
      <c r="PZ12" s="11" t="str">
        <f t="shared" si="131"/>
        <v/>
      </c>
      <c r="QA12" s="11" t="str">
        <f t="shared" si="132"/>
        <v/>
      </c>
      <c r="QB12" s="11" t="str">
        <f t="shared" si="133"/>
        <v/>
      </c>
      <c r="QC12" s="11" t="str">
        <f t="shared" si="134"/>
        <v/>
      </c>
      <c r="QD12" s="11" t="str">
        <f t="shared" si="135"/>
        <v/>
      </c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40" t="str">
        <f t="shared" si="136"/>
        <v/>
      </c>
      <c r="QZ12" s="40" t="str">
        <f t="shared" si="137"/>
        <v/>
      </c>
      <c r="RA12" s="40" t="str">
        <f t="shared" si="138"/>
        <v/>
      </c>
      <c r="RB12" s="40" t="str">
        <f t="shared" si="139"/>
        <v/>
      </c>
      <c r="RC12" s="40" t="str">
        <f t="shared" si="140"/>
        <v/>
      </c>
      <c r="RD12" s="40" t="str">
        <f t="shared" si="141"/>
        <v/>
      </c>
      <c r="RE12" s="40" t="str">
        <f t="shared" si="142"/>
        <v/>
      </c>
      <c r="RF12" s="40" t="str">
        <f t="shared" si="143"/>
        <v/>
      </c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1" t="str">
        <f t="shared" si="144"/>
        <v/>
      </c>
      <c r="SB12" s="11" t="str">
        <f t="shared" si="145"/>
        <v/>
      </c>
      <c r="SC12" s="11" t="str">
        <f t="shared" si="146"/>
        <v/>
      </c>
      <c r="SD12" s="11" t="str">
        <f t="shared" si="147"/>
        <v/>
      </c>
      <c r="SE12" s="11" t="str">
        <f t="shared" si="148"/>
        <v/>
      </c>
      <c r="SF12" s="11" t="str">
        <f t="shared" si="149"/>
        <v/>
      </c>
      <c r="SG12" s="11" t="str">
        <f t="shared" si="150"/>
        <v/>
      </c>
      <c r="SH12" s="11" t="str">
        <f t="shared" si="151"/>
        <v/>
      </c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40" t="str">
        <f t="shared" si="152"/>
        <v/>
      </c>
      <c r="TD12" s="40" t="str">
        <f t="shared" si="153"/>
        <v/>
      </c>
      <c r="TE12" s="40" t="str">
        <f t="shared" si="154"/>
        <v/>
      </c>
      <c r="TF12" s="40" t="str">
        <f t="shared" si="155"/>
        <v/>
      </c>
      <c r="TG12" s="40" t="str">
        <f t="shared" si="156"/>
        <v/>
      </c>
      <c r="TH12" s="40" t="str">
        <f t="shared" si="157"/>
        <v/>
      </c>
      <c r="TI12" s="40" t="str">
        <f t="shared" si="158"/>
        <v/>
      </c>
      <c r="TJ12" s="40" t="str">
        <f t="shared" si="159"/>
        <v/>
      </c>
      <c r="TK12" s="26">
        <f t="shared" si="160"/>
        <v>15.9</v>
      </c>
      <c r="TL12" s="26">
        <f t="shared" si="161"/>
        <v>3.0999999999999996</v>
      </c>
      <c r="TM12" s="26">
        <f t="shared" si="162"/>
        <v>0</v>
      </c>
      <c r="TN12" s="26">
        <f t="shared" si="163"/>
        <v>0.3</v>
      </c>
      <c r="TO12" s="26">
        <f t="shared" si="164"/>
        <v>15.55</v>
      </c>
      <c r="TP12" s="26">
        <f t="shared" si="165"/>
        <v>2.25</v>
      </c>
      <c r="TQ12" s="26">
        <f t="shared" si="166"/>
        <v>0</v>
      </c>
      <c r="TR12" s="26">
        <f t="shared" si="167"/>
        <v>0.44999999999999996</v>
      </c>
      <c r="TS12" s="26">
        <f t="shared" si="168"/>
        <v>6.75</v>
      </c>
      <c r="TT12" s="26">
        <f t="shared" si="169"/>
        <v>1.75</v>
      </c>
      <c r="TU12" s="26">
        <f t="shared" si="170"/>
        <v>0.15</v>
      </c>
      <c r="TV12" s="26">
        <f t="shared" si="171"/>
        <v>0.3</v>
      </c>
      <c r="TW12" s="26">
        <f t="shared" si="172"/>
        <v>8.5500000000000007</v>
      </c>
      <c r="TX12" s="26">
        <f t="shared" si="173"/>
        <v>2.15</v>
      </c>
      <c r="TY12" s="26">
        <f t="shared" si="174"/>
        <v>0</v>
      </c>
      <c r="TZ12" s="26">
        <f t="shared" si="175"/>
        <v>0.15</v>
      </c>
      <c r="UA12" s="26">
        <f t="shared" si="176"/>
        <v>8.3000000000000007</v>
      </c>
      <c r="UB12" s="26">
        <f t="shared" si="177"/>
        <v>2.0499999999999998</v>
      </c>
      <c r="UC12" s="26">
        <f t="shared" si="178"/>
        <v>0</v>
      </c>
      <c r="UD12" s="26">
        <f t="shared" si="179"/>
        <v>0.15</v>
      </c>
      <c r="UE12" s="28" t="s">
        <v>53</v>
      </c>
      <c r="UF12" s="11">
        <f t="shared" si="180"/>
        <v>5.35</v>
      </c>
      <c r="UG12" s="11">
        <f t="shared" si="181"/>
        <v>37.550000000000004</v>
      </c>
      <c r="UH12" s="11">
        <f t="shared" si="182"/>
        <v>8.65</v>
      </c>
      <c r="UI12" s="11">
        <f t="shared" si="183"/>
        <v>7.1</v>
      </c>
      <c r="UJ12" s="11">
        <f t="shared" si="184"/>
        <v>46.2</v>
      </c>
      <c r="UK12" s="11">
        <f t="shared" si="185"/>
        <v>4.1999999999999993</v>
      </c>
      <c r="UL12" s="11">
        <f t="shared" si="186"/>
        <v>21.35</v>
      </c>
      <c r="UM12" s="11">
        <f t="shared" si="187"/>
        <v>67.550000000000011</v>
      </c>
    </row>
    <row r="13" spans="1:559" x14ac:dyDescent="0.2">
      <c r="A13" s="4" t="str" cm="1">
        <f t="array" ref="A13">IF(AND(H13&lt;&gt;"",H13&lt;&gt;"No DD"),SUMPRODUCT((H$4:H$17&lt;&gt;"")*(H$4:H$17&lt;&gt;"No DD")*(E$4:E$17&gt;E13))+1,IF(H13="No DD",SUMPRODUCT((H$4:H$17="No DD")*(E$4:E$17&gt;E13))+1+SUMPRODUCT((H$4:H$17&lt;&gt;"")*(H$4:H$17&lt;&gt;"No DD")),""))</f>
        <v/>
      </c>
      <c r="B13" s="5" t="s">
        <v>89</v>
      </c>
      <c r="C13" s="4" t="s">
        <v>6</v>
      </c>
      <c r="D13" s="4">
        <v>2004</v>
      </c>
      <c r="E13" s="9">
        <f t="shared" si="0"/>
        <v>143.90001012000414</v>
      </c>
      <c r="F13" s="3" t="str">
        <f t="shared" si="1"/>
        <v/>
      </c>
      <c r="G13" s="3" t="str">
        <f t="shared" si="2"/>
        <v/>
      </c>
      <c r="H13" s="36" t="str">
        <f t="shared" si="3"/>
        <v/>
      </c>
      <c r="I13" s="3" t="str">
        <f t="shared" si="4"/>
        <v/>
      </c>
      <c r="J13" s="8">
        <f>IF(COUNT(AQ13,BT13,CW13)&gt;0,LARGE((AQ13,BT13,CW13),1),0)</f>
        <v>41.499999999999993</v>
      </c>
      <c r="K13" s="8" t="str">
        <f t="shared" si="5"/>
        <v>2024 Elite Canada</v>
      </c>
      <c r="L13" s="8">
        <f>IF(COUNT(AQ13,BT13,CW13)&gt;1,LARGE((AQ13,BT13,CW13),2),0)</f>
        <v>37.9</v>
      </c>
      <c r="M13" s="8" t="str">
        <f t="shared" si="6"/>
        <v>2024 Nationals</v>
      </c>
      <c r="N13" s="8">
        <f>IF(COUNT(AR13,BU13,CX13)&gt;0,LARGE((AR13,BU13,CX13),1),0)</f>
        <v>21.800000000000004</v>
      </c>
      <c r="O13" s="8" t="str">
        <f t="shared" si="7"/>
        <v>2024 Elite Canada</v>
      </c>
      <c r="P13" s="8">
        <f t="shared" si="8"/>
        <v>39.5</v>
      </c>
      <c r="Q13" s="8" t="str">
        <f t="shared" si="9"/>
        <v>2024 Nationals</v>
      </c>
      <c r="R13" s="8">
        <f t="shared" si="10"/>
        <v>3.2000000000000028</v>
      </c>
      <c r="S13" s="11" t="str">
        <f t="shared" si="11"/>
        <v>(Q1)</v>
      </c>
      <c r="T13" s="8" t="str">
        <f t="shared" si="12"/>
        <v>2024 World Cup POR (July 7)</v>
      </c>
      <c r="U13" s="19">
        <v>15.8</v>
      </c>
      <c r="V13" s="19">
        <v>4.5</v>
      </c>
      <c r="W13" s="19">
        <v>0.2</v>
      </c>
      <c r="X13" s="19">
        <v>0.3</v>
      </c>
      <c r="Y13" s="19">
        <v>16.899999999999999</v>
      </c>
      <c r="Z13" s="19">
        <v>3.9</v>
      </c>
      <c r="AA13" s="19">
        <v>0</v>
      </c>
      <c r="AB13" s="19">
        <v>0.3</v>
      </c>
      <c r="AC13" s="19">
        <v>17.600000000000001</v>
      </c>
      <c r="AD13" s="19">
        <v>4.0999999999999996</v>
      </c>
      <c r="AE13" s="19">
        <v>0.2</v>
      </c>
      <c r="AF13" s="19">
        <v>0.3</v>
      </c>
      <c r="AG13" s="19"/>
      <c r="AH13" s="19"/>
      <c r="AI13" s="19"/>
      <c r="AJ13" s="19"/>
      <c r="AK13" s="19"/>
      <c r="AL13" s="19"/>
      <c r="AM13" s="19"/>
      <c r="AN13" s="19"/>
      <c r="AO13" s="27"/>
      <c r="AP13" s="40">
        <f t="shared" si="13"/>
        <v>8.4</v>
      </c>
      <c r="AQ13" s="40">
        <f t="shared" si="14"/>
        <v>41.499999999999993</v>
      </c>
      <c r="AR13" s="40">
        <f t="shared" si="15"/>
        <v>21.800000000000004</v>
      </c>
      <c r="AS13" s="40">
        <f t="shared" si="16"/>
        <v>12.5</v>
      </c>
      <c r="AT13" s="40">
        <f t="shared" si="17"/>
        <v>63.3</v>
      </c>
      <c r="AU13" s="40" t="str">
        <f t="shared" si="18"/>
        <v/>
      </c>
      <c r="AV13" s="40" t="str">
        <f t="shared" si="19"/>
        <v/>
      </c>
      <c r="AW13" s="40">
        <f t="shared" si="20"/>
        <v>63.3</v>
      </c>
      <c r="AX13" s="18">
        <v>16.5</v>
      </c>
      <c r="AY13" s="18">
        <v>3.4</v>
      </c>
      <c r="AZ13" s="18">
        <v>0.2</v>
      </c>
      <c r="BA13" s="18">
        <v>0</v>
      </c>
      <c r="BB13" s="18">
        <v>17.399999999999999</v>
      </c>
      <c r="BC13" s="18">
        <v>3.2</v>
      </c>
      <c r="BD13" s="18">
        <v>2.4</v>
      </c>
      <c r="BE13" s="18">
        <v>0</v>
      </c>
      <c r="BF13" s="18">
        <v>17.600000000000001</v>
      </c>
      <c r="BG13" s="18">
        <v>3.4</v>
      </c>
      <c r="BH13" s="18">
        <v>0.2</v>
      </c>
      <c r="BI13" s="18">
        <v>0</v>
      </c>
      <c r="BJ13" s="18">
        <v>15.8</v>
      </c>
      <c r="BK13" s="18">
        <v>3.4</v>
      </c>
      <c r="BL13" s="18">
        <v>0.2</v>
      </c>
      <c r="BM13" s="18">
        <v>0</v>
      </c>
      <c r="BN13" s="18">
        <v>17.7</v>
      </c>
      <c r="BO13" s="18">
        <v>3.2</v>
      </c>
      <c r="BP13" s="18">
        <v>0.4</v>
      </c>
      <c r="BQ13" s="18">
        <v>0</v>
      </c>
      <c r="BR13" s="28"/>
      <c r="BS13" s="11">
        <f t="shared" si="21"/>
        <v>6.6</v>
      </c>
      <c r="BT13" s="11">
        <f t="shared" si="22"/>
        <v>37.9</v>
      </c>
      <c r="BU13" s="11">
        <f t="shared" si="23"/>
        <v>20.8</v>
      </c>
      <c r="BV13" s="11">
        <f t="shared" si="24"/>
        <v>10</v>
      </c>
      <c r="BW13" s="11">
        <f t="shared" si="25"/>
        <v>58.7</v>
      </c>
      <c r="BX13" s="11">
        <f t="shared" si="26"/>
        <v>6.6</v>
      </c>
      <c r="BY13" s="11">
        <f t="shared" si="27"/>
        <v>39.5</v>
      </c>
      <c r="BZ13" s="11">
        <f t="shared" si="28"/>
        <v>98.2</v>
      </c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27"/>
      <c r="CV13" s="40" t="str">
        <f t="shared" si="29"/>
        <v/>
      </c>
      <c r="CW13" s="40" t="str">
        <f t="shared" si="30"/>
        <v/>
      </c>
      <c r="CX13" s="40" t="str">
        <f t="shared" si="31"/>
        <v/>
      </c>
      <c r="CY13" s="40" t="str">
        <f t="shared" si="32"/>
        <v/>
      </c>
      <c r="CZ13" s="40" t="str">
        <f t="shared" si="33"/>
        <v/>
      </c>
      <c r="DA13" s="40" t="str">
        <f t="shared" si="34"/>
        <v/>
      </c>
      <c r="DB13" s="40" t="str">
        <f t="shared" si="35"/>
        <v/>
      </c>
      <c r="DC13" s="40" t="str">
        <f t="shared" si="36"/>
        <v/>
      </c>
      <c r="DD13" s="51">
        <f t="shared" si="37"/>
        <v>3.2000000000000028</v>
      </c>
      <c r="DE13" s="51" t="str">
        <f t="shared" si="38"/>
        <v/>
      </c>
      <c r="DF13" s="51" t="str">
        <f t="shared" si="39"/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 t="shared" si="40"/>
        <v/>
      </c>
      <c r="EB13" s="40" t="str">
        <f t="shared" si="41"/>
        <v/>
      </c>
      <c r="EC13" s="40" t="str">
        <f t="shared" si="42"/>
        <v/>
      </c>
      <c r="ED13" s="40" t="str">
        <f t="shared" si="43"/>
        <v/>
      </c>
      <c r="EE13" s="40" t="str">
        <f t="shared" si="44"/>
        <v/>
      </c>
      <c r="EF13" s="40" t="str">
        <f t="shared" si="45"/>
        <v/>
      </c>
      <c r="EG13" s="40" t="str">
        <f t="shared" si="46"/>
        <v/>
      </c>
      <c r="EH13" s="40" t="str">
        <f t="shared" si="47"/>
        <v/>
      </c>
      <c r="EI13" s="18">
        <v>16.899999999999999</v>
      </c>
      <c r="EJ13" s="18">
        <v>3.5</v>
      </c>
      <c r="EK13" s="18">
        <v>0.4</v>
      </c>
      <c r="EL13" s="18">
        <v>0</v>
      </c>
      <c r="EM13" s="18">
        <v>17.3</v>
      </c>
      <c r="EN13" s="18">
        <v>3.8</v>
      </c>
      <c r="EO13" s="18">
        <v>0</v>
      </c>
      <c r="EP13" s="18">
        <v>0</v>
      </c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>
        <f t="shared" si="48"/>
        <v>7.3</v>
      </c>
      <c r="FD13" s="11">
        <f t="shared" si="49"/>
        <v>41.1</v>
      </c>
      <c r="FE13" s="11" t="str">
        <f t="shared" si="50"/>
        <v/>
      </c>
      <c r="FF13" s="11">
        <f t="shared" si="51"/>
        <v>7.3</v>
      </c>
      <c r="FG13" s="11">
        <f t="shared" si="52"/>
        <v>41.1</v>
      </c>
      <c r="FH13" s="11" t="str">
        <f t="shared" si="53"/>
        <v/>
      </c>
      <c r="FI13" s="11" t="str">
        <f t="shared" si="54"/>
        <v/>
      </c>
      <c r="FJ13" s="11">
        <f t="shared" si="55"/>
        <v>41.1</v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 t="shared" si="56"/>
        <v/>
      </c>
      <c r="GF13" s="40" t="str">
        <f t="shared" si="57"/>
        <v/>
      </c>
      <c r="GG13" s="40" t="str">
        <f t="shared" si="58"/>
        <v/>
      </c>
      <c r="GH13" s="40" t="str">
        <f t="shared" si="59"/>
        <v/>
      </c>
      <c r="GI13" s="40" t="str">
        <f t="shared" si="60"/>
        <v/>
      </c>
      <c r="GJ13" s="40" t="str">
        <f t="shared" si="61"/>
        <v/>
      </c>
      <c r="GK13" s="40" t="str">
        <f t="shared" si="62"/>
        <v/>
      </c>
      <c r="GL13" s="40" t="str">
        <f t="shared" si="63"/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 t="shared" si="64"/>
        <v/>
      </c>
      <c r="HH13" s="11" t="str">
        <f t="shared" si="65"/>
        <v/>
      </c>
      <c r="HI13" s="11" t="str">
        <f t="shared" si="66"/>
        <v/>
      </c>
      <c r="HJ13" s="11" t="str">
        <f t="shared" si="67"/>
        <v/>
      </c>
      <c r="HK13" s="11" t="str">
        <f t="shared" si="68"/>
        <v/>
      </c>
      <c r="HL13" s="11" t="str">
        <f t="shared" si="69"/>
        <v/>
      </c>
      <c r="HM13" s="11" t="str">
        <f t="shared" si="70"/>
        <v/>
      </c>
      <c r="HN13" s="11" t="str">
        <f t="shared" si="71"/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 t="shared" si="72"/>
        <v/>
      </c>
      <c r="IJ13" s="40" t="str">
        <f t="shared" si="73"/>
        <v/>
      </c>
      <c r="IK13" s="40" t="str">
        <f t="shared" si="74"/>
        <v/>
      </c>
      <c r="IL13" s="40" t="str">
        <f t="shared" si="75"/>
        <v/>
      </c>
      <c r="IM13" s="40" t="str">
        <f t="shared" si="76"/>
        <v/>
      </c>
      <c r="IN13" s="40" t="str">
        <f t="shared" si="77"/>
        <v/>
      </c>
      <c r="IO13" s="40" t="str">
        <f t="shared" si="78"/>
        <v/>
      </c>
      <c r="IP13" s="40" t="str">
        <f t="shared" si="79"/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 t="shared" si="80"/>
        <v/>
      </c>
      <c r="JL13" s="11" t="str">
        <f t="shared" si="81"/>
        <v/>
      </c>
      <c r="JM13" s="11" t="str">
        <f t="shared" si="82"/>
        <v/>
      </c>
      <c r="JN13" s="11" t="str">
        <f t="shared" si="83"/>
        <v/>
      </c>
      <c r="JO13" s="11" t="str">
        <f t="shared" si="84"/>
        <v/>
      </c>
      <c r="JP13" s="11" t="str">
        <f t="shared" si="85"/>
        <v/>
      </c>
      <c r="JQ13" s="11" t="str">
        <f t="shared" si="86"/>
        <v/>
      </c>
      <c r="JR13" s="11" t="str">
        <f t="shared" si="87"/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 t="shared" si="88"/>
        <v/>
      </c>
      <c r="KN13" s="40" t="str">
        <f t="shared" si="89"/>
        <v/>
      </c>
      <c r="KO13" s="40" t="str">
        <f t="shared" si="90"/>
        <v/>
      </c>
      <c r="KP13" s="40" t="str">
        <f t="shared" si="91"/>
        <v/>
      </c>
      <c r="KQ13" s="40" t="str">
        <f t="shared" si="92"/>
        <v/>
      </c>
      <c r="KR13" s="40" t="str">
        <f t="shared" si="93"/>
        <v/>
      </c>
      <c r="KS13" s="40" t="str">
        <f t="shared" si="94"/>
        <v/>
      </c>
      <c r="KT13" s="40" t="str">
        <f t="shared" si="95"/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 t="shared" si="96"/>
        <v/>
      </c>
      <c r="LP13" s="11" t="str">
        <f t="shared" si="97"/>
        <v/>
      </c>
      <c r="LQ13" s="11" t="str">
        <f t="shared" si="98"/>
        <v/>
      </c>
      <c r="LR13" s="11" t="str">
        <f t="shared" si="99"/>
        <v/>
      </c>
      <c r="LS13" s="11" t="str">
        <f t="shared" si="100"/>
        <v/>
      </c>
      <c r="LT13" s="11" t="str">
        <f t="shared" si="101"/>
        <v/>
      </c>
      <c r="LU13" s="11" t="str">
        <f t="shared" si="102"/>
        <v/>
      </c>
      <c r="LV13" s="11" t="str">
        <f t="shared" si="103"/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 t="shared" si="104"/>
        <v/>
      </c>
      <c r="MR13" s="40" t="str">
        <f t="shared" si="105"/>
        <v/>
      </c>
      <c r="MS13" s="40" t="str">
        <f t="shared" si="106"/>
        <v/>
      </c>
      <c r="MT13" s="40" t="str">
        <f t="shared" si="107"/>
        <v/>
      </c>
      <c r="MU13" s="40" t="str">
        <f t="shared" si="108"/>
        <v/>
      </c>
      <c r="MV13" s="40" t="str">
        <f t="shared" si="109"/>
        <v/>
      </c>
      <c r="MW13" s="40" t="str">
        <f t="shared" si="110"/>
        <v/>
      </c>
      <c r="MX13" s="40" t="str">
        <f t="shared" si="111"/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 t="shared" si="112"/>
        <v/>
      </c>
      <c r="NT13" s="11" t="str">
        <f t="shared" si="113"/>
        <v/>
      </c>
      <c r="NU13" s="11" t="str">
        <f t="shared" si="114"/>
        <v/>
      </c>
      <c r="NV13" s="11" t="str">
        <f t="shared" si="115"/>
        <v/>
      </c>
      <c r="NW13" s="11" t="str">
        <f t="shared" si="116"/>
        <v/>
      </c>
      <c r="NX13" s="11" t="str">
        <f t="shared" si="117"/>
        <v/>
      </c>
      <c r="NY13" s="11" t="str">
        <f t="shared" si="118"/>
        <v/>
      </c>
      <c r="NZ13" s="11" t="str">
        <f t="shared" si="119"/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 t="shared" si="120"/>
        <v/>
      </c>
      <c r="OV13" s="40" t="str">
        <f t="shared" si="121"/>
        <v/>
      </c>
      <c r="OW13" s="40" t="str">
        <f t="shared" si="122"/>
        <v/>
      </c>
      <c r="OX13" s="40" t="str">
        <f t="shared" si="123"/>
        <v/>
      </c>
      <c r="OY13" s="40" t="str">
        <f t="shared" si="124"/>
        <v/>
      </c>
      <c r="OZ13" s="40" t="str">
        <f t="shared" si="125"/>
        <v/>
      </c>
      <c r="PA13" s="40" t="str">
        <f t="shared" si="126"/>
        <v/>
      </c>
      <c r="PB13" s="40" t="str">
        <f t="shared" si="127"/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 t="shared" si="128"/>
        <v/>
      </c>
      <c r="PX13" s="11" t="str">
        <f t="shared" si="129"/>
        <v/>
      </c>
      <c r="PY13" s="11" t="str">
        <f t="shared" si="130"/>
        <v/>
      </c>
      <c r="PZ13" s="11" t="str">
        <f t="shared" si="131"/>
        <v/>
      </c>
      <c r="QA13" s="11" t="str">
        <f t="shared" si="132"/>
        <v/>
      </c>
      <c r="QB13" s="11" t="str">
        <f t="shared" si="133"/>
        <v/>
      </c>
      <c r="QC13" s="11" t="str">
        <f t="shared" si="134"/>
        <v/>
      </c>
      <c r="QD13" s="11" t="str">
        <f t="shared" si="135"/>
        <v/>
      </c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40" t="str">
        <f t="shared" si="136"/>
        <v/>
      </c>
      <c r="QZ13" s="40" t="str">
        <f t="shared" si="137"/>
        <v/>
      </c>
      <c r="RA13" s="40" t="str">
        <f t="shared" si="138"/>
        <v/>
      </c>
      <c r="RB13" s="40" t="str">
        <f t="shared" si="139"/>
        <v/>
      </c>
      <c r="RC13" s="40" t="str">
        <f t="shared" si="140"/>
        <v/>
      </c>
      <c r="RD13" s="40" t="str">
        <f t="shared" si="141"/>
        <v/>
      </c>
      <c r="RE13" s="40" t="str">
        <f t="shared" si="142"/>
        <v/>
      </c>
      <c r="RF13" s="40" t="str">
        <f t="shared" si="143"/>
        <v/>
      </c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1" t="str">
        <f t="shared" si="144"/>
        <v/>
      </c>
      <c r="SB13" s="11" t="str">
        <f t="shared" si="145"/>
        <v/>
      </c>
      <c r="SC13" s="11" t="str">
        <f t="shared" si="146"/>
        <v/>
      </c>
      <c r="SD13" s="11" t="str">
        <f t="shared" si="147"/>
        <v/>
      </c>
      <c r="SE13" s="11" t="str">
        <f t="shared" si="148"/>
        <v/>
      </c>
      <c r="SF13" s="11" t="str">
        <f t="shared" si="149"/>
        <v/>
      </c>
      <c r="SG13" s="11" t="str">
        <f t="shared" si="150"/>
        <v/>
      </c>
      <c r="SH13" s="11" t="str">
        <f t="shared" si="151"/>
        <v/>
      </c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40" t="str">
        <f t="shared" si="152"/>
        <v/>
      </c>
      <c r="TD13" s="40" t="str">
        <f t="shared" si="153"/>
        <v/>
      </c>
      <c r="TE13" s="40" t="str">
        <f t="shared" si="154"/>
        <v/>
      </c>
      <c r="TF13" s="40" t="str">
        <f t="shared" si="155"/>
        <v/>
      </c>
      <c r="TG13" s="40" t="str">
        <f t="shared" si="156"/>
        <v/>
      </c>
      <c r="TH13" s="40" t="str">
        <f t="shared" si="157"/>
        <v/>
      </c>
      <c r="TI13" s="40" t="str">
        <f t="shared" si="158"/>
        <v/>
      </c>
      <c r="TJ13" s="40" t="str">
        <f t="shared" si="159"/>
        <v/>
      </c>
      <c r="TK13" s="26">
        <f t="shared" si="160"/>
        <v>8.25</v>
      </c>
      <c r="TL13" s="26">
        <f t="shared" si="161"/>
        <v>1.7</v>
      </c>
      <c r="TM13" s="26">
        <f t="shared" si="162"/>
        <v>0.1</v>
      </c>
      <c r="TN13" s="26">
        <f t="shared" si="163"/>
        <v>0</v>
      </c>
      <c r="TO13" s="26">
        <f t="shared" si="164"/>
        <v>8.6999999999999993</v>
      </c>
      <c r="TP13" s="26">
        <f t="shared" si="165"/>
        <v>1.6</v>
      </c>
      <c r="TQ13" s="26">
        <f t="shared" si="166"/>
        <v>1.2</v>
      </c>
      <c r="TR13" s="26">
        <f t="shared" si="167"/>
        <v>0</v>
      </c>
      <c r="TS13" s="26">
        <f t="shared" si="168"/>
        <v>8.8000000000000007</v>
      </c>
      <c r="TT13" s="26">
        <f t="shared" si="169"/>
        <v>1.7</v>
      </c>
      <c r="TU13" s="26">
        <f t="shared" si="170"/>
        <v>0.1</v>
      </c>
      <c r="TV13" s="26">
        <f t="shared" si="171"/>
        <v>0</v>
      </c>
      <c r="TW13" s="26">
        <f t="shared" si="172"/>
        <v>7.9</v>
      </c>
      <c r="TX13" s="26">
        <f t="shared" si="173"/>
        <v>1.7</v>
      </c>
      <c r="TY13" s="26">
        <f t="shared" si="174"/>
        <v>0.1</v>
      </c>
      <c r="TZ13" s="26">
        <f t="shared" si="175"/>
        <v>0</v>
      </c>
      <c r="UA13" s="26">
        <f t="shared" si="176"/>
        <v>8.85</v>
      </c>
      <c r="UB13" s="26">
        <f t="shared" si="177"/>
        <v>1.6</v>
      </c>
      <c r="UC13" s="26">
        <f t="shared" si="178"/>
        <v>0.2</v>
      </c>
      <c r="UD13" s="26">
        <f t="shared" si="179"/>
        <v>0</v>
      </c>
      <c r="UE13" s="28" t="s">
        <v>53</v>
      </c>
      <c r="UF13" s="11">
        <f t="shared" si="180"/>
        <v>3.3</v>
      </c>
      <c r="UG13" s="11">
        <f t="shared" si="181"/>
        <v>18.95</v>
      </c>
      <c r="UH13" s="11">
        <f t="shared" si="182"/>
        <v>10.4</v>
      </c>
      <c r="UI13" s="11">
        <f t="shared" si="183"/>
        <v>5</v>
      </c>
      <c r="UJ13" s="11">
        <f t="shared" si="184"/>
        <v>29.35</v>
      </c>
      <c r="UK13" s="11">
        <f t="shared" si="185"/>
        <v>3.3</v>
      </c>
      <c r="UL13" s="11">
        <f t="shared" si="186"/>
        <v>19.75</v>
      </c>
      <c r="UM13" s="11">
        <f t="shared" si="187"/>
        <v>49.1</v>
      </c>
    </row>
    <row r="14" spans="1:559" x14ac:dyDescent="0.2">
      <c r="A14" s="4" t="str" cm="1">
        <f t="array" ref="A14">IF(AND(H14&lt;&gt;"",H14&lt;&gt;"No DD"),SUMPRODUCT((H$4:H$17&lt;&gt;"")*(H$4:H$17&lt;&gt;"No DD")*(E$4:E$17&gt;E14))+1,IF(H14="No DD",SUMPRODUCT((H$4:H$17="No DD")*(E$4:E$17&gt;E14))+1+SUMPRODUCT((H$4:H$17&lt;&gt;"")*(H$4:H$17&lt;&gt;"No DD")),""))</f>
        <v/>
      </c>
      <c r="B14" s="5" t="s">
        <v>212</v>
      </c>
      <c r="C14" s="4" t="s">
        <v>5</v>
      </c>
      <c r="D14" s="4">
        <v>2005</v>
      </c>
      <c r="E14" s="9">
        <f t="shared" si="0"/>
        <v>143.70001011000423</v>
      </c>
      <c r="F14" s="3" t="str">
        <f t="shared" si="1"/>
        <v/>
      </c>
      <c r="G14" s="3" t="str">
        <f t="shared" si="2"/>
        <v/>
      </c>
      <c r="H14" s="36" t="str">
        <f t="shared" si="3"/>
        <v/>
      </c>
      <c r="I14" s="3" t="str">
        <f t="shared" si="4"/>
        <v/>
      </c>
      <c r="J14" s="8">
        <f>IF(COUNT(AQ14,BT14,CW14)&gt;0,LARGE((AQ14,BT14,CW14),1),0)</f>
        <v>42.3</v>
      </c>
      <c r="K14" s="8" t="str">
        <f t="shared" si="5"/>
        <v>2024 Elite Canada</v>
      </c>
      <c r="L14" s="8">
        <f>IF(COUNT(AQ14,BT14,CW14)&gt;1,LARGE((AQ14,BT14,CW14),2),0)</f>
        <v>40.099999999999994</v>
      </c>
      <c r="M14" s="8" t="str">
        <f t="shared" si="6"/>
        <v>2024 3rd Domestic Trial</v>
      </c>
      <c r="N14" s="8">
        <f>IF(COUNT(AR14,BU14,CX14)&gt;0,LARGE((AR14,BU14,CX14),1),0)</f>
        <v>18.700000000000003</v>
      </c>
      <c r="O14" s="8" t="str">
        <f t="shared" si="7"/>
        <v>2024 Elite Canada</v>
      </c>
      <c r="P14" s="8">
        <f t="shared" si="8"/>
        <v>42.599999999999994</v>
      </c>
      <c r="Q14" s="8" t="str">
        <f t="shared" si="9"/>
        <v>2024 3rd Domestic Trial</v>
      </c>
      <c r="R14" s="8" t="str">
        <f t="shared" si="10"/>
        <v/>
      </c>
      <c r="S14" s="11" t="str">
        <f t="shared" si="11"/>
        <v/>
      </c>
      <c r="T14" s="8" t="str">
        <f t="shared" si="12"/>
        <v/>
      </c>
      <c r="U14" s="19">
        <v>16.899999999999999</v>
      </c>
      <c r="V14" s="19">
        <v>4.3</v>
      </c>
      <c r="W14" s="19">
        <v>0</v>
      </c>
      <c r="X14" s="19">
        <v>0.3</v>
      </c>
      <c r="Y14" s="19">
        <v>16.2</v>
      </c>
      <c r="Z14" s="19">
        <v>4.3</v>
      </c>
      <c r="AA14" s="19">
        <v>0</v>
      </c>
      <c r="AB14" s="19">
        <v>0.3</v>
      </c>
      <c r="AC14" s="19">
        <v>17.100000000000001</v>
      </c>
      <c r="AD14" s="19">
        <v>2.5</v>
      </c>
      <c r="AE14" s="19">
        <v>1.2</v>
      </c>
      <c r="AF14" s="19">
        <v>0.3</v>
      </c>
      <c r="AG14" s="19">
        <v>16</v>
      </c>
      <c r="AH14" s="19">
        <v>1.9</v>
      </c>
      <c r="AI14" s="19">
        <v>0</v>
      </c>
      <c r="AJ14" s="19">
        <v>0.3</v>
      </c>
      <c r="AK14" s="19">
        <v>15.9</v>
      </c>
      <c r="AL14" s="19">
        <v>3.9</v>
      </c>
      <c r="AM14" s="19">
        <v>0.4</v>
      </c>
      <c r="AN14" s="19">
        <v>0.3</v>
      </c>
      <c r="AO14" s="27"/>
      <c r="AP14" s="40">
        <f t="shared" si="13"/>
        <v>8.6</v>
      </c>
      <c r="AQ14" s="40">
        <f t="shared" si="14"/>
        <v>42.3</v>
      </c>
      <c r="AR14" s="40">
        <f t="shared" si="15"/>
        <v>18.700000000000003</v>
      </c>
      <c r="AS14" s="40">
        <f t="shared" si="16"/>
        <v>11.1</v>
      </c>
      <c r="AT14" s="40">
        <f t="shared" si="17"/>
        <v>61</v>
      </c>
      <c r="AU14" s="40">
        <f t="shared" si="18"/>
        <v>5.8</v>
      </c>
      <c r="AV14" s="40">
        <f t="shared" si="19"/>
        <v>37.9</v>
      </c>
      <c r="AW14" s="40">
        <f t="shared" si="20"/>
        <v>98.9</v>
      </c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28"/>
      <c r="BS14" s="11" t="str">
        <f t="shared" si="21"/>
        <v/>
      </c>
      <c r="BT14" s="11" t="str">
        <f t="shared" si="22"/>
        <v/>
      </c>
      <c r="BU14" s="11" t="str">
        <f t="shared" si="23"/>
        <v/>
      </c>
      <c r="BV14" s="11" t="str">
        <f t="shared" si="24"/>
        <v/>
      </c>
      <c r="BW14" s="11" t="str">
        <f t="shared" si="25"/>
        <v/>
      </c>
      <c r="BX14" s="11" t="str">
        <f t="shared" si="26"/>
        <v/>
      </c>
      <c r="BY14" s="11" t="str">
        <f t="shared" si="27"/>
        <v/>
      </c>
      <c r="BZ14" s="11" t="str">
        <f t="shared" si="28"/>
        <v/>
      </c>
      <c r="CA14" s="19">
        <v>16.899999999999999</v>
      </c>
      <c r="CB14" s="19">
        <v>4.3</v>
      </c>
      <c r="CC14" s="19">
        <v>0.2</v>
      </c>
      <c r="CD14" s="19">
        <v>0.3</v>
      </c>
      <c r="CE14" s="19">
        <v>15</v>
      </c>
      <c r="CF14" s="19">
        <v>3.9</v>
      </c>
      <c r="CG14" s="19">
        <v>0.4</v>
      </c>
      <c r="CH14" s="19">
        <v>0.3</v>
      </c>
      <c r="CI14" s="19">
        <v>16.100000000000001</v>
      </c>
      <c r="CJ14" s="19">
        <v>1.9</v>
      </c>
      <c r="CK14" s="19">
        <v>0</v>
      </c>
      <c r="CL14" s="19">
        <v>0.3</v>
      </c>
      <c r="CM14" s="19">
        <v>17.2</v>
      </c>
      <c r="CN14" s="19">
        <v>4.0999999999999996</v>
      </c>
      <c r="CO14" s="19">
        <v>0</v>
      </c>
      <c r="CP14" s="19">
        <v>0.3</v>
      </c>
      <c r="CQ14" s="19">
        <v>16.399999999999999</v>
      </c>
      <c r="CR14" s="19">
        <v>4.3</v>
      </c>
      <c r="CS14" s="19">
        <v>0</v>
      </c>
      <c r="CT14" s="19">
        <v>0.3</v>
      </c>
      <c r="CU14" s="27"/>
      <c r="CV14" s="40">
        <f t="shared" si="29"/>
        <v>8.1999999999999993</v>
      </c>
      <c r="CW14" s="40">
        <f t="shared" si="30"/>
        <v>40.099999999999994</v>
      </c>
      <c r="CX14" s="40">
        <f t="shared" si="31"/>
        <v>18.3</v>
      </c>
      <c r="CY14" s="40">
        <f t="shared" si="32"/>
        <v>10.1</v>
      </c>
      <c r="CZ14" s="40">
        <f t="shared" si="33"/>
        <v>58.399999999999991</v>
      </c>
      <c r="DA14" s="40">
        <f t="shared" si="34"/>
        <v>8.3999999999999986</v>
      </c>
      <c r="DB14" s="40">
        <f t="shared" si="35"/>
        <v>42.599999999999994</v>
      </c>
      <c r="DC14" s="40">
        <f t="shared" si="36"/>
        <v>100.99999999999999</v>
      </c>
      <c r="DD14" s="51" t="str">
        <f t="shared" si="37"/>
        <v/>
      </c>
      <c r="DE14" s="51" t="str">
        <f t="shared" si="38"/>
        <v/>
      </c>
      <c r="DF14" s="51" t="str">
        <f t="shared" si="39"/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 t="shared" si="40"/>
        <v/>
      </c>
      <c r="EB14" s="40" t="str">
        <f t="shared" si="41"/>
        <v/>
      </c>
      <c r="EC14" s="40" t="str">
        <f t="shared" si="42"/>
        <v/>
      </c>
      <c r="ED14" s="40" t="str">
        <f t="shared" si="43"/>
        <v/>
      </c>
      <c r="EE14" s="40" t="str">
        <f t="shared" si="44"/>
        <v/>
      </c>
      <c r="EF14" s="40" t="str">
        <f t="shared" si="45"/>
        <v/>
      </c>
      <c r="EG14" s="40" t="str">
        <f t="shared" si="46"/>
        <v/>
      </c>
      <c r="EH14" s="40" t="str">
        <f t="shared" si="47"/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 t="shared" si="48"/>
        <v/>
      </c>
      <c r="FD14" s="11" t="str">
        <f t="shared" si="49"/>
        <v/>
      </c>
      <c r="FE14" s="11" t="str">
        <f t="shared" si="50"/>
        <v/>
      </c>
      <c r="FF14" s="11" t="str">
        <f t="shared" si="51"/>
        <v/>
      </c>
      <c r="FG14" s="11" t="str">
        <f t="shared" si="52"/>
        <v/>
      </c>
      <c r="FH14" s="11" t="str">
        <f t="shared" si="53"/>
        <v/>
      </c>
      <c r="FI14" s="11" t="str">
        <f t="shared" si="54"/>
        <v/>
      </c>
      <c r="FJ14" s="11" t="str">
        <f t="shared" si="55"/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 t="shared" si="56"/>
        <v/>
      </c>
      <c r="GF14" s="40" t="str">
        <f t="shared" si="57"/>
        <v/>
      </c>
      <c r="GG14" s="40" t="str">
        <f t="shared" si="58"/>
        <v/>
      </c>
      <c r="GH14" s="40" t="str">
        <f t="shared" si="59"/>
        <v/>
      </c>
      <c r="GI14" s="40" t="str">
        <f t="shared" si="60"/>
        <v/>
      </c>
      <c r="GJ14" s="40" t="str">
        <f t="shared" si="61"/>
        <v/>
      </c>
      <c r="GK14" s="40" t="str">
        <f t="shared" si="62"/>
        <v/>
      </c>
      <c r="GL14" s="40" t="str">
        <f t="shared" si="63"/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 t="shared" si="64"/>
        <v/>
      </c>
      <c r="HH14" s="11" t="str">
        <f t="shared" si="65"/>
        <v/>
      </c>
      <c r="HI14" s="11" t="str">
        <f t="shared" si="66"/>
        <v/>
      </c>
      <c r="HJ14" s="11" t="str">
        <f t="shared" si="67"/>
        <v/>
      </c>
      <c r="HK14" s="11" t="str">
        <f t="shared" si="68"/>
        <v/>
      </c>
      <c r="HL14" s="11" t="str">
        <f t="shared" si="69"/>
        <v/>
      </c>
      <c r="HM14" s="11" t="str">
        <f t="shared" si="70"/>
        <v/>
      </c>
      <c r="HN14" s="11" t="str">
        <f t="shared" si="71"/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 t="shared" si="72"/>
        <v/>
      </c>
      <c r="IJ14" s="40" t="str">
        <f t="shared" si="73"/>
        <v/>
      </c>
      <c r="IK14" s="40" t="str">
        <f t="shared" si="74"/>
        <v/>
      </c>
      <c r="IL14" s="40" t="str">
        <f t="shared" si="75"/>
        <v/>
      </c>
      <c r="IM14" s="40" t="str">
        <f t="shared" si="76"/>
        <v/>
      </c>
      <c r="IN14" s="40" t="str">
        <f t="shared" si="77"/>
        <v/>
      </c>
      <c r="IO14" s="40" t="str">
        <f t="shared" si="78"/>
        <v/>
      </c>
      <c r="IP14" s="40" t="str">
        <f t="shared" si="79"/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 t="shared" si="80"/>
        <v/>
      </c>
      <c r="JL14" s="11" t="str">
        <f t="shared" si="81"/>
        <v/>
      </c>
      <c r="JM14" s="11" t="str">
        <f t="shared" si="82"/>
        <v/>
      </c>
      <c r="JN14" s="11" t="str">
        <f t="shared" si="83"/>
        <v/>
      </c>
      <c r="JO14" s="11" t="str">
        <f t="shared" si="84"/>
        <v/>
      </c>
      <c r="JP14" s="11" t="str">
        <f t="shared" si="85"/>
        <v/>
      </c>
      <c r="JQ14" s="11" t="str">
        <f t="shared" si="86"/>
        <v/>
      </c>
      <c r="JR14" s="11" t="str">
        <f t="shared" si="87"/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 t="shared" si="88"/>
        <v/>
      </c>
      <c r="KN14" s="40" t="str">
        <f t="shared" si="89"/>
        <v/>
      </c>
      <c r="KO14" s="40" t="str">
        <f t="shared" si="90"/>
        <v/>
      </c>
      <c r="KP14" s="40" t="str">
        <f t="shared" si="91"/>
        <v/>
      </c>
      <c r="KQ14" s="40" t="str">
        <f t="shared" si="92"/>
        <v/>
      </c>
      <c r="KR14" s="40" t="str">
        <f t="shared" si="93"/>
        <v/>
      </c>
      <c r="KS14" s="40" t="str">
        <f t="shared" si="94"/>
        <v/>
      </c>
      <c r="KT14" s="40" t="str">
        <f t="shared" si="95"/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 t="shared" si="96"/>
        <v/>
      </c>
      <c r="LP14" s="11" t="str">
        <f t="shared" si="97"/>
        <v/>
      </c>
      <c r="LQ14" s="11" t="str">
        <f t="shared" si="98"/>
        <v/>
      </c>
      <c r="LR14" s="11" t="str">
        <f t="shared" si="99"/>
        <v/>
      </c>
      <c r="LS14" s="11" t="str">
        <f t="shared" si="100"/>
        <v/>
      </c>
      <c r="LT14" s="11" t="str">
        <f t="shared" si="101"/>
        <v/>
      </c>
      <c r="LU14" s="11" t="str">
        <f t="shared" si="102"/>
        <v/>
      </c>
      <c r="LV14" s="11" t="str">
        <f t="shared" si="103"/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 t="shared" si="104"/>
        <v/>
      </c>
      <c r="MR14" s="40" t="str">
        <f t="shared" si="105"/>
        <v/>
      </c>
      <c r="MS14" s="40" t="str">
        <f t="shared" si="106"/>
        <v/>
      </c>
      <c r="MT14" s="40" t="str">
        <f t="shared" si="107"/>
        <v/>
      </c>
      <c r="MU14" s="40" t="str">
        <f t="shared" si="108"/>
        <v/>
      </c>
      <c r="MV14" s="40" t="str">
        <f t="shared" si="109"/>
        <v/>
      </c>
      <c r="MW14" s="40" t="str">
        <f t="shared" si="110"/>
        <v/>
      </c>
      <c r="MX14" s="40" t="str">
        <f t="shared" si="111"/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 t="shared" si="112"/>
        <v/>
      </c>
      <c r="NT14" s="11" t="str">
        <f t="shared" si="113"/>
        <v/>
      </c>
      <c r="NU14" s="11" t="str">
        <f t="shared" si="114"/>
        <v/>
      </c>
      <c r="NV14" s="11" t="str">
        <f t="shared" si="115"/>
        <v/>
      </c>
      <c r="NW14" s="11" t="str">
        <f t="shared" si="116"/>
        <v/>
      </c>
      <c r="NX14" s="11" t="str">
        <f t="shared" si="117"/>
        <v/>
      </c>
      <c r="NY14" s="11" t="str">
        <f t="shared" si="118"/>
        <v/>
      </c>
      <c r="NZ14" s="11" t="str">
        <f t="shared" si="119"/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 t="shared" si="120"/>
        <v/>
      </c>
      <c r="OV14" s="40" t="str">
        <f t="shared" si="121"/>
        <v/>
      </c>
      <c r="OW14" s="40" t="str">
        <f t="shared" si="122"/>
        <v/>
      </c>
      <c r="OX14" s="40" t="str">
        <f t="shared" si="123"/>
        <v/>
      </c>
      <c r="OY14" s="40" t="str">
        <f t="shared" si="124"/>
        <v/>
      </c>
      <c r="OZ14" s="40" t="str">
        <f t="shared" si="125"/>
        <v/>
      </c>
      <c r="PA14" s="40" t="str">
        <f t="shared" si="126"/>
        <v/>
      </c>
      <c r="PB14" s="40" t="str">
        <f t="shared" si="127"/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 t="shared" si="128"/>
        <v/>
      </c>
      <c r="PX14" s="11" t="str">
        <f t="shared" si="129"/>
        <v/>
      </c>
      <c r="PY14" s="11" t="str">
        <f t="shared" si="130"/>
        <v/>
      </c>
      <c r="PZ14" s="11" t="str">
        <f t="shared" si="131"/>
        <v/>
      </c>
      <c r="QA14" s="11" t="str">
        <f t="shared" si="132"/>
        <v/>
      </c>
      <c r="QB14" s="11" t="str">
        <f t="shared" si="133"/>
        <v/>
      </c>
      <c r="QC14" s="11" t="str">
        <f t="shared" si="134"/>
        <v/>
      </c>
      <c r="QD14" s="11" t="str">
        <f t="shared" si="135"/>
        <v/>
      </c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40" t="str">
        <f t="shared" si="136"/>
        <v/>
      </c>
      <c r="QZ14" s="40" t="str">
        <f t="shared" si="137"/>
        <v/>
      </c>
      <c r="RA14" s="40" t="str">
        <f t="shared" si="138"/>
        <v/>
      </c>
      <c r="RB14" s="40" t="str">
        <f t="shared" si="139"/>
        <v/>
      </c>
      <c r="RC14" s="40" t="str">
        <f t="shared" si="140"/>
        <v/>
      </c>
      <c r="RD14" s="40" t="str">
        <f t="shared" si="141"/>
        <v/>
      </c>
      <c r="RE14" s="40" t="str">
        <f t="shared" si="142"/>
        <v/>
      </c>
      <c r="RF14" s="40" t="str">
        <f t="shared" si="143"/>
        <v/>
      </c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1" t="str">
        <f t="shared" si="144"/>
        <v/>
      </c>
      <c r="SB14" s="11" t="str">
        <f t="shared" si="145"/>
        <v/>
      </c>
      <c r="SC14" s="11" t="str">
        <f t="shared" si="146"/>
        <v/>
      </c>
      <c r="SD14" s="11" t="str">
        <f t="shared" si="147"/>
        <v/>
      </c>
      <c r="SE14" s="11" t="str">
        <f t="shared" si="148"/>
        <v/>
      </c>
      <c r="SF14" s="11" t="str">
        <f t="shared" si="149"/>
        <v/>
      </c>
      <c r="SG14" s="11" t="str">
        <f t="shared" si="150"/>
        <v/>
      </c>
      <c r="SH14" s="11" t="str">
        <f t="shared" si="151"/>
        <v/>
      </c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40" t="str">
        <f t="shared" si="152"/>
        <v/>
      </c>
      <c r="TD14" s="40" t="str">
        <f t="shared" si="153"/>
        <v/>
      </c>
      <c r="TE14" s="40" t="str">
        <f t="shared" si="154"/>
        <v/>
      </c>
      <c r="TF14" s="40" t="str">
        <f t="shared" si="155"/>
        <v/>
      </c>
      <c r="TG14" s="40" t="str">
        <f t="shared" si="156"/>
        <v/>
      </c>
      <c r="TH14" s="40" t="str">
        <f t="shared" si="157"/>
        <v/>
      </c>
      <c r="TI14" s="40" t="str">
        <f t="shared" si="158"/>
        <v/>
      </c>
      <c r="TJ14" s="40" t="str">
        <f t="shared" si="159"/>
        <v/>
      </c>
      <c r="TK14" s="26">
        <f t="shared" si="160"/>
        <v>8.4499999999999993</v>
      </c>
      <c r="TL14" s="26">
        <f t="shared" si="161"/>
        <v>2.15</v>
      </c>
      <c r="TM14" s="26">
        <f t="shared" si="162"/>
        <v>0.1</v>
      </c>
      <c r="TN14" s="26">
        <f t="shared" si="163"/>
        <v>0.15</v>
      </c>
      <c r="TO14" s="26">
        <f t="shared" si="164"/>
        <v>7.5</v>
      </c>
      <c r="TP14" s="26">
        <f t="shared" si="165"/>
        <v>1.95</v>
      </c>
      <c r="TQ14" s="26">
        <f t="shared" si="166"/>
        <v>0.2</v>
      </c>
      <c r="TR14" s="26">
        <f t="shared" si="167"/>
        <v>0.15</v>
      </c>
      <c r="TS14" s="26">
        <f t="shared" si="168"/>
        <v>8.0500000000000007</v>
      </c>
      <c r="TT14" s="26">
        <f t="shared" si="169"/>
        <v>0.95</v>
      </c>
      <c r="TU14" s="26">
        <f t="shared" si="170"/>
        <v>0</v>
      </c>
      <c r="TV14" s="26">
        <f t="shared" si="171"/>
        <v>0.15</v>
      </c>
      <c r="TW14" s="26">
        <f t="shared" si="172"/>
        <v>8.6</v>
      </c>
      <c r="TX14" s="26">
        <f t="shared" si="173"/>
        <v>2.0499999999999998</v>
      </c>
      <c r="TY14" s="26">
        <f t="shared" si="174"/>
        <v>0</v>
      </c>
      <c r="TZ14" s="26">
        <f t="shared" si="175"/>
        <v>0.15</v>
      </c>
      <c r="UA14" s="26">
        <f t="shared" si="176"/>
        <v>8.1999999999999993</v>
      </c>
      <c r="UB14" s="26">
        <f t="shared" si="177"/>
        <v>2.15</v>
      </c>
      <c r="UC14" s="26">
        <f t="shared" si="178"/>
        <v>0</v>
      </c>
      <c r="UD14" s="26">
        <f t="shared" si="179"/>
        <v>0.15</v>
      </c>
      <c r="UE14" s="28" t="s">
        <v>53</v>
      </c>
      <c r="UF14" s="11">
        <f t="shared" si="180"/>
        <v>4.0999999999999996</v>
      </c>
      <c r="UG14" s="11">
        <f t="shared" si="181"/>
        <v>20.049999999999997</v>
      </c>
      <c r="UH14" s="11">
        <f t="shared" si="182"/>
        <v>9.15</v>
      </c>
      <c r="UI14" s="11">
        <f t="shared" si="183"/>
        <v>5.05</v>
      </c>
      <c r="UJ14" s="11">
        <f t="shared" si="184"/>
        <v>29.199999999999996</v>
      </c>
      <c r="UK14" s="11">
        <f t="shared" si="185"/>
        <v>4.1999999999999993</v>
      </c>
      <c r="UL14" s="11">
        <f t="shared" si="186"/>
        <v>21.299999999999997</v>
      </c>
      <c r="UM14" s="11">
        <f t="shared" si="187"/>
        <v>50.499999999999993</v>
      </c>
    </row>
    <row r="15" spans="1:559" x14ac:dyDescent="0.2">
      <c r="A15" s="4" t="str" cm="1">
        <f t="array" ref="A15">IF(AND(H15&lt;&gt;"",H15&lt;&gt;"No DD"),SUMPRODUCT((H$4:H$17&lt;&gt;"")*(H$4:H$17&lt;&gt;"No DD")*(E$4:E$17&gt;E15))+1,IF(H15="No DD",SUMPRODUCT((H$4:H$17="No DD")*(E$4:E$17&gt;E15))+1+SUMPRODUCT((H$4:H$17&lt;&gt;"")*(H$4:H$17&lt;&gt;"No DD")),""))</f>
        <v/>
      </c>
      <c r="B15" s="5" t="s">
        <v>71</v>
      </c>
      <c r="C15" s="4" t="s">
        <v>6</v>
      </c>
      <c r="D15" s="4">
        <v>2001</v>
      </c>
      <c r="E15" s="9">
        <f t="shared" si="0"/>
        <v>94.000008700003534</v>
      </c>
      <c r="F15" s="3" t="str">
        <f t="shared" si="1"/>
        <v/>
      </c>
      <c r="G15" s="3" t="str">
        <f t="shared" si="2"/>
        <v/>
      </c>
      <c r="H15" s="36" t="str">
        <f t="shared" si="3"/>
        <v/>
      </c>
      <c r="I15" s="3" t="str">
        <f t="shared" si="4"/>
        <v/>
      </c>
      <c r="J15" s="8">
        <f>IF(COUNT(AQ15,BT15,CW15)&gt;0,LARGE((AQ15,BT15,CW15),1),0)</f>
        <v>35.4</v>
      </c>
      <c r="K15" s="8" t="str">
        <f t="shared" si="5"/>
        <v>2024 3rd Domestic Trial</v>
      </c>
      <c r="L15" s="8">
        <f>IF(COUNT(AQ15,BT15,CW15)&gt;1,LARGE((AQ15,BT15,CW15),2),0)</f>
        <v>31.700000000000003</v>
      </c>
      <c r="M15" s="8" t="str">
        <f t="shared" si="6"/>
        <v>2024 Nationals</v>
      </c>
      <c r="N15" s="8">
        <f>IF(COUNT(AR15,BU15,CX15)&gt;0,LARGE((AR15,BU15,CX15),1),0)</f>
        <v>19.899999999999999</v>
      </c>
      <c r="O15" s="8" t="str">
        <f t="shared" si="7"/>
        <v>2024 3rd Domestic Trial</v>
      </c>
      <c r="P15" s="8">
        <f t="shared" si="8"/>
        <v>0</v>
      </c>
      <c r="Q15" s="8" t="str">
        <f t="shared" si="9"/>
        <v/>
      </c>
      <c r="R15" s="8">
        <f t="shared" si="10"/>
        <v>6.9999999999999929</v>
      </c>
      <c r="S15" s="11" t="str">
        <f t="shared" si="11"/>
        <v>(Q1)</v>
      </c>
      <c r="T15" s="8" t="str">
        <f t="shared" si="12"/>
        <v>2024 Coimbra Gym Fest (July 7)</v>
      </c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27"/>
      <c r="AP15" s="40" t="str">
        <f t="shared" si="13"/>
        <v/>
      </c>
      <c r="AQ15" s="40" t="str">
        <f t="shared" si="14"/>
        <v/>
      </c>
      <c r="AR15" s="40" t="str">
        <f t="shared" si="15"/>
        <v/>
      </c>
      <c r="AS15" s="40" t="str">
        <f t="shared" si="16"/>
        <v/>
      </c>
      <c r="AT15" s="40" t="str">
        <f t="shared" si="17"/>
        <v/>
      </c>
      <c r="AU15" s="40" t="str">
        <f t="shared" si="18"/>
        <v/>
      </c>
      <c r="AV15" s="40" t="str">
        <f t="shared" si="19"/>
        <v/>
      </c>
      <c r="AW15" s="40" t="str">
        <f t="shared" si="20"/>
        <v/>
      </c>
      <c r="AX15" s="18">
        <v>17.7</v>
      </c>
      <c r="AY15" s="18">
        <v>2.5</v>
      </c>
      <c r="AZ15" s="18">
        <v>3</v>
      </c>
      <c r="BA15" s="18">
        <v>0.3</v>
      </c>
      <c r="BB15" s="18">
        <v>18</v>
      </c>
      <c r="BC15" s="18">
        <v>1.2</v>
      </c>
      <c r="BD15" s="18">
        <v>5</v>
      </c>
      <c r="BE15" s="18">
        <v>0</v>
      </c>
      <c r="BF15" s="18">
        <v>16.7</v>
      </c>
      <c r="BG15" s="18">
        <v>2.5</v>
      </c>
      <c r="BH15" s="18">
        <v>1</v>
      </c>
      <c r="BI15" s="18">
        <v>0.3</v>
      </c>
      <c r="BJ15" s="18"/>
      <c r="BK15" s="18"/>
      <c r="BL15" s="18"/>
      <c r="BM15" s="18"/>
      <c r="BN15" s="18"/>
      <c r="BO15" s="18"/>
      <c r="BP15" s="18"/>
      <c r="BQ15" s="18"/>
      <c r="BR15" s="28"/>
      <c r="BS15" s="11">
        <f t="shared" si="21"/>
        <v>3.7</v>
      </c>
      <c r="BT15" s="11">
        <f t="shared" si="22"/>
        <v>31.700000000000003</v>
      </c>
      <c r="BU15" s="11">
        <f t="shared" si="23"/>
        <v>18.5</v>
      </c>
      <c r="BV15" s="11">
        <f t="shared" si="24"/>
        <v>6.2</v>
      </c>
      <c r="BW15" s="11">
        <f t="shared" si="25"/>
        <v>50.2</v>
      </c>
      <c r="BX15" s="11" t="str">
        <f t="shared" si="26"/>
        <v/>
      </c>
      <c r="BY15" s="11" t="str">
        <f t="shared" si="27"/>
        <v/>
      </c>
      <c r="BZ15" s="11">
        <f t="shared" si="28"/>
        <v>50.2</v>
      </c>
      <c r="CA15" s="19">
        <v>15.7</v>
      </c>
      <c r="CB15" s="19">
        <v>3.2</v>
      </c>
      <c r="CC15" s="19">
        <v>0.4</v>
      </c>
      <c r="CD15" s="19">
        <v>0</v>
      </c>
      <c r="CE15" s="19">
        <v>15.7</v>
      </c>
      <c r="CF15" s="19">
        <v>1.2</v>
      </c>
      <c r="CG15" s="19">
        <v>0</v>
      </c>
      <c r="CH15" s="19">
        <v>0</v>
      </c>
      <c r="CI15" s="19">
        <v>16.7</v>
      </c>
      <c r="CJ15" s="19">
        <v>3.4</v>
      </c>
      <c r="CK15" s="19">
        <v>0.2</v>
      </c>
      <c r="CL15" s="19">
        <v>0</v>
      </c>
      <c r="CM15" s="19"/>
      <c r="CN15" s="19"/>
      <c r="CO15" s="19"/>
      <c r="CP15" s="19"/>
      <c r="CQ15" s="19"/>
      <c r="CR15" s="19"/>
      <c r="CS15" s="19"/>
      <c r="CT15" s="19"/>
      <c r="CU15" s="27"/>
      <c r="CV15" s="40">
        <f t="shared" si="29"/>
        <v>4.4000000000000004</v>
      </c>
      <c r="CW15" s="40">
        <f t="shared" si="30"/>
        <v>35.4</v>
      </c>
      <c r="CX15" s="40">
        <f t="shared" si="31"/>
        <v>19.899999999999999</v>
      </c>
      <c r="CY15" s="40">
        <f t="shared" si="32"/>
        <v>7.8000000000000007</v>
      </c>
      <c r="CZ15" s="40">
        <f t="shared" si="33"/>
        <v>55.3</v>
      </c>
      <c r="DA15" s="40" t="str">
        <f t="shared" si="34"/>
        <v/>
      </c>
      <c r="DB15" s="40" t="str">
        <f t="shared" si="35"/>
        <v/>
      </c>
      <c r="DC15" s="40">
        <f t="shared" si="36"/>
        <v>55.3</v>
      </c>
      <c r="DD15" s="51">
        <f t="shared" si="37"/>
        <v>6.9999999999999929</v>
      </c>
      <c r="DE15" s="51" t="str">
        <f t="shared" si="38"/>
        <v/>
      </c>
      <c r="DF15" s="51" t="str">
        <f t="shared" si="39"/>
        <v/>
      </c>
      <c r="DG15" s="17">
        <v>14.6</v>
      </c>
      <c r="DH15" s="17">
        <v>4.0999999999999996</v>
      </c>
      <c r="DI15" s="17">
        <v>0</v>
      </c>
      <c r="DJ15" s="17">
        <v>0</v>
      </c>
      <c r="DK15" s="17">
        <v>16.100000000000001</v>
      </c>
      <c r="DL15" s="17">
        <v>3.9</v>
      </c>
      <c r="DM15" s="17">
        <v>0</v>
      </c>
      <c r="DN15" s="17">
        <v>0</v>
      </c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>
        <f t="shared" si="40"/>
        <v>8</v>
      </c>
      <c r="EB15" s="40">
        <f t="shared" si="41"/>
        <v>38.699999999999996</v>
      </c>
      <c r="EC15" s="40" t="str">
        <f t="shared" si="42"/>
        <v/>
      </c>
      <c r="ED15" s="40">
        <f t="shared" si="43"/>
        <v>8</v>
      </c>
      <c r="EE15" s="40">
        <f t="shared" si="44"/>
        <v>38.699999999999996</v>
      </c>
      <c r="EF15" s="40" t="str">
        <f t="shared" si="45"/>
        <v/>
      </c>
      <c r="EG15" s="40" t="str">
        <f t="shared" si="46"/>
        <v/>
      </c>
      <c r="EH15" s="40">
        <f t="shared" si="47"/>
        <v>38.699999999999996</v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 t="shared" si="48"/>
        <v/>
      </c>
      <c r="FD15" s="11" t="str">
        <f t="shared" si="49"/>
        <v/>
      </c>
      <c r="FE15" s="11" t="str">
        <f t="shared" si="50"/>
        <v/>
      </c>
      <c r="FF15" s="11" t="str">
        <f t="shared" si="51"/>
        <v/>
      </c>
      <c r="FG15" s="11" t="str">
        <f t="shared" si="52"/>
        <v/>
      </c>
      <c r="FH15" s="11" t="str">
        <f t="shared" si="53"/>
        <v/>
      </c>
      <c r="FI15" s="11" t="str">
        <f t="shared" si="54"/>
        <v/>
      </c>
      <c r="FJ15" s="11" t="str">
        <f t="shared" si="55"/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 t="shared" si="56"/>
        <v/>
      </c>
      <c r="GF15" s="40" t="str">
        <f t="shared" si="57"/>
        <v/>
      </c>
      <c r="GG15" s="40" t="str">
        <f t="shared" si="58"/>
        <v/>
      </c>
      <c r="GH15" s="40" t="str">
        <f t="shared" si="59"/>
        <v/>
      </c>
      <c r="GI15" s="40" t="str">
        <f t="shared" si="60"/>
        <v/>
      </c>
      <c r="GJ15" s="40" t="str">
        <f t="shared" si="61"/>
        <v/>
      </c>
      <c r="GK15" s="40" t="str">
        <f t="shared" si="62"/>
        <v/>
      </c>
      <c r="GL15" s="40" t="str">
        <f t="shared" si="63"/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 t="shared" si="64"/>
        <v/>
      </c>
      <c r="HH15" s="11" t="str">
        <f t="shared" si="65"/>
        <v/>
      </c>
      <c r="HI15" s="11" t="str">
        <f t="shared" si="66"/>
        <v/>
      </c>
      <c r="HJ15" s="11" t="str">
        <f t="shared" si="67"/>
        <v/>
      </c>
      <c r="HK15" s="11" t="str">
        <f t="shared" si="68"/>
        <v/>
      </c>
      <c r="HL15" s="11" t="str">
        <f t="shared" si="69"/>
        <v/>
      </c>
      <c r="HM15" s="11" t="str">
        <f t="shared" si="70"/>
        <v/>
      </c>
      <c r="HN15" s="11" t="str">
        <f t="shared" si="71"/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 t="shared" si="72"/>
        <v/>
      </c>
      <c r="IJ15" s="40" t="str">
        <f t="shared" si="73"/>
        <v/>
      </c>
      <c r="IK15" s="40" t="str">
        <f t="shared" si="74"/>
        <v/>
      </c>
      <c r="IL15" s="40" t="str">
        <f t="shared" si="75"/>
        <v/>
      </c>
      <c r="IM15" s="40" t="str">
        <f t="shared" si="76"/>
        <v/>
      </c>
      <c r="IN15" s="40" t="str">
        <f t="shared" si="77"/>
        <v/>
      </c>
      <c r="IO15" s="40" t="str">
        <f t="shared" si="78"/>
        <v/>
      </c>
      <c r="IP15" s="40" t="str">
        <f t="shared" si="79"/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 t="shared" si="80"/>
        <v/>
      </c>
      <c r="JL15" s="11" t="str">
        <f t="shared" si="81"/>
        <v/>
      </c>
      <c r="JM15" s="11" t="str">
        <f t="shared" si="82"/>
        <v/>
      </c>
      <c r="JN15" s="11" t="str">
        <f t="shared" si="83"/>
        <v/>
      </c>
      <c r="JO15" s="11" t="str">
        <f t="shared" si="84"/>
        <v/>
      </c>
      <c r="JP15" s="11" t="str">
        <f t="shared" si="85"/>
        <v/>
      </c>
      <c r="JQ15" s="11" t="str">
        <f t="shared" si="86"/>
        <v/>
      </c>
      <c r="JR15" s="11" t="str">
        <f t="shared" si="87"/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 t="shared" si="88"/>
        <v/>
      </c>
      <c r="KN15" s="40" t="str">
        <f t="shared" si="89"/>
        <v/>
      </c>
      <c r="KO15" s="40" t="str">
        <f t="shared" si="90"/>
        <v/>
      </c>
      <c r="KP15" s="40" t="str">
        <f t="shared" si="91"/>
        <v/>
      </c>
      <c r="KQ15" s="40" t="str">
        <f t="shared" si="92"/>
        <v/>
      </c>
      <c r="KR15" s="40" t="str">
        <f t="shared" si="93"/>
        <v/>
      </c>
      <c r="KS15" s="40" t="str">
        <f t="shared" si="94"/>
        <v/>
      </c>
      <c r="KT15" s="40" t="str">
        <f t="shared" si="95"/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 t="shared" si="96"/>
        <v/>
      </c>
      <c r="LP15" s="11" t="str">
        <f t="shared" si="97"/>
        <v/>
      </c>
      <c r="LQ15" s="11" t="str">
        <f t="shared" si="98"/>
        <v/>
      </c>
      <c r="LR15" s="11" t="str">
        <f t="shared" si="99"/>
        <v/>
      </c>
      <c r="LS15" s="11" t="str">
        <f t="shared" si="100"/>
        <v/>
      </c>
      <c r="LT15" s="11" t="str">
        <f t="shared" si="101"/>
        <v/>
      </c>
      <c r="LU15" s="11" t="str">
        <f t="shared" si="102"/>
        <v/>
      </c>
      <c r="LV15" s="11" t="str">
        <f t="shared" si="103"/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 t="shared" si="104"/>
        <v/>
      </c>
      <c r="MR15" s="40" t="str">
        <f t="shared" si="105"/>
        <v/>
      </c>
      <c r="MS15" s="40" t="str">
        <f t="shared" si="106"/>
        <v/>
      </c>
      <c r="MT15" s="40" t="str">
        <f t="shared" si="107"/>
        <v/>
      </c>
      <c r="MU15" s="40" t="str">
        <f t="shared" si="108"/>
        <v/>
      </c>
      <c r="MV15" s="40" t="str">
        <f t="shared" si="109"/>
        <v/>
      </c>
      <c r="MW15" s="40" t="str">
        <f t="shared" si="110"/>
        <v/>
      </c>
      <c r="MX15" s="40" t="str">
        <f t="shared" si="111"/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 t="shared" si="112"/>
        <v/>
      </c>
      <c r="NT15" s="11" t="str">
        <f t="shared" si="113"/>
        <v/>
      </c>
      <c r="NU15" s="11" t="str">
        <f t="shared" si="114"/>
        <v/>
      </c>
      <c r="NV15" s="11" t="str">
        <f t="shared" si="115"/>
        <v/>
      </c>
      <c r="NW15" s="11" t="str">
        <f t="shared" si="116"/>
        <v/>
      </c>
      <c r="NX15" s="11" t="str">
        <f t="shared" si="117"/>
        <v/>
      </c>
      <c r="NY15" s="11" t="str">
        <f t="shared" si="118"/>
        <v/>
      </c>
      <c r="NZ15" s="11" t="str">
        <f t="shared" si="119"/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 t="shared" si="120"/>
        <v/>
      </c>
      <c r="OV15" s="40" t="str">
        <f t="shared" si="121"/>
        <v/>
      </c>
      <c r="OW15" s="40" t="str">
        <f t="shared" si="122"/>
        <v/>
      </c>
      <c r="OX15" s="40" t="str">
        <f t="shared" si="123"/>
        <v/>
      </c>
      <c r="OY15" s="40" t="str">
        <f t="shared" si="124"/>
        <v/>
      </c>
      <c r="OZ15" s="40" t="str">
        <f t="shared" si="125"/>
        <v/>
      </c>
      <c r="PA15" s="40" t="str">
        <f t="shared" si="126"/>
        <v/>
      </c>
      <c r="PB15" s="40" t="str">
        <f t="shared" si="127"/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 t="shared" si="128"/>
        <v/>
      </c>
      <c r="PX15" s="11" t="str">
        <f t="shared" si="129"/>
        <v/>
      </c>
      <c r="PY15" s="11" t="str">
        <f t="shared" si="130"/>
        <v/>
      </c>
      <c r="PZ15" s="11" t="str">
        <f t="shared" si="131"/>
        <v/>
      </c>
      <c r="QA15" s="11" t="str">
        <f t="shared" si="132"/>
        <v/>
      </c>
      <c r="QB15" s="11" t="str">
        <f t="shared" si="133"/>
        <v/>
      </c>
      <c r="QC15" s="11" t="str">
        <f t="shared" si="134"/>
        <v/>
      </c>
      <c r="QD15" s="11" t="str">
        <f t="shared" si="135"/>
        <v/>
      </c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40" t="str">
        <f t="shared" si="136"/>
        <v/>
      </c>
      <c r="QZ15" s="40" t="str">
        <f t="shared" si="137"/>
        <v/>
      </c>
      <c r="RA15" s="40" t="str">
        <f t="shared" si="138"/>
        <v/>
      </c>
      <c r="RB15" s="40" t="str">
        <f t="shared" si="139"/>
        <v/>
      </c>
      <c r="RC15" s="40" t="str">
        <f t="shared" si="140"/>
        <v/>
      </c>
      <c r="RD15" s="40" t="str">
        <f t="shared" si="141"/>
        <v/>
      </c>
      <c r="RE15" s="40" t="str">
        <f t="shared" si="142"/>
        <v/>
      </c>
      <c r="RF15" s="40" t="str">
        <f t="shared" si="143"/>
        <v/>
      </c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1" t="str">
        <f t="shared" si="144"/>
        <v/>
      </c>
      <c r="SB15" s="11" t="str">
        <f t="shared" si="145"/>
        <v/>
      </c>
      <c r="SC15" s="11" t="str">
        <f t="shared" si="146"/>
        <v/>
      </c>
      <c r="SD15" s="11" t="str">
        <f t="shared" si="147"/>
        <v/>
      </c>
      <c r="SE15" s="11" t="str">
        <f t="shared" si="148"/>
        <v/>
      </c>
      <c r="SF15" s="11" t="str">
        <f t="shared" si="149"/>
        <v/>
      </c>
      <c r="SG15" s="11" t="str">
        <f t="shared" si="150"/>
        <v/>
      </c>
      <c r="SH15" s="11" t="str">
        <f t="shared" si="151"/>
        <v/>
      </c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40" t="str">
        <f t="shared" si="152"/>
        <v/>
      </c>
      <c r="TD15" s="40" t="str">
        <f t="shared" si="153"/>
        <v/>
      </c>
      <c r="TE15" s="40" t="str">
        <f t="shared" si="154"/>
        <v/>
      </c>
      <c r="TF15" s="40" t="str">
        <f t="shared" si="155"/>
        <v/>
      </c>
      <c r="TG15" s="40" t="str">
        <f t="shared" si="156"/>
        <v/>
      </c>
      <c r="TH15" s="40" t="str">
        <f t="shared" si="157"/>
        <v/>
      </c>
      <c r="TI15" s="40" t="str">
        <f t="shared" si="158"/>
        <v/>
      </c>
      <c r="TJ15" s="40" t="str">
        <f t="shared" si="159"/>
        <v/>
      </c>
      <c r="TK15" s="26">
        <f t="shared" si="160"/>
        <v>16.7</v>
      </c>
      <c r="TL15" s="26">
        <f t="shared" si="161"/>
        <v>2.85</v>
      </c>
      <c r="TM15" s="26">
        <f t="shared" si="162"/>
        <v>1.7</v>
      </c>
      <c r="TN15" s="26">
        <f t="shared" si="163"/>
        <v>0.15</v>
      </c>
      <c r="TO15" s="26">
        <f t="shared" si="164"/>
        <v>16.850000000000001</v>
      </c>
      <c r="TP15" s="26">
        <f t="shared" si="165"/>
        <v>1.2</v>
      </c>
      <c r="TQ15" s="26">
        <f t="shared" si="166"/>
        <v>2.5</v>
      </c>
      <c r="TR15" s="26">
        <f t="shared" si="167"/>
        <v>0</v>
      </c>
      <c r="TS15" s="26">
        <f t="shared" si="168"/>
        <v>16.7</v>
      </c>
      <c r="TT15" s="26">
        <f t="shared" si="169"/>
        <v>2.95</v>
      </c>
      <c r="TU15" s="26">
        <f t="shared" si="170"/>
        <v>0.6</v>
      </c>
      <c r="TV15" s="26">
        <f t="shared" si="171"/>
        <v>0.15</v>
      </c>
      <c r="TW15" s="26">
        <f t="shared" si="172"/>
        <v>0</v>
      </c>
      <c r="TX15" s="26">
        <f t="shared" si="173"/>
        <v>0</v>
      </c>
      <c r="TY15" s="26">
        <f t="shared" si="174"/>
        <v>0</v>
      </c>
      <c r="TZ15" s="26">
        <f t="shared" si="175"/>
        <v>0</v>
      </c>
      <c r="UA15" s="26">
        <f t="shared" si="176"/>
        <v>0</v>
      </c>
      <c r="UB15" s="26">
        <f t="shared" si="177"/>
        <v>0</v>
      </c>
      <c r="UC15" s="26">
        <f t="shared" si="178"/>
        <v>0</v>
      </c>
      <c r="UD15" s="26">
        <f t="shared" si="179"/>
        <v>0</v>
      </c>
      <c r="UE15" s="28" t="s">
        <v>53</v>
      </c>
      <c r="UF15" s="11">
        <f t="shared" si="180"/>
        <v>4.05</v>
      </c>
      <c r="UG15" s="11">
        <f t="shared" si="181"/>
        <v>33.549999999999997</v>
      </c>
      <c r="UH15" s="11">
        <f t="shared" si="182"/>
        <v>19.199999999999996</v>
      </c>
      <c r="UI15" s="11">
        <f t="shared" si="183"/>
        <v>7</v>
      </c>
      <c r="UJ15" s="11">
        <f t="shared" si="184"/>
        <v>52.749999999999993</v>
      </c>
      <c r="UK15" s="11" t="str">
        <f t="shared" si="185"/>
        <v/>
      </c>
      <c r="UL15" s="11" t="str">
        <f t="shared" si="186"/>
        <v/>
      </c>
      <c r="UM15" s="11">
        <f t="shared" si="187"/>
        <v>52.749999999999993</v>
      </c>
    </row>
    <row r="16" spans="1:559" x14ac:dyDescent="0.2">
      <c r="A16" s="4" t="str" cm="1">
        <f t="array" ref="A16">IF(AND(H16&lt;&gt;"",H16&lt;&gt;"No DD"),SUMPRODUCT((H$4:H$17&lt;&gt;"")*(H$4:H$17&lt;&gt;"No DD")*(E$4:E$17&gt;E16))+1,IF(H16="No DD",SUMPRODUCT((H$4:H$17="No DD")*(E$4:E$17&gt;E16))+1+SUMPRODUCT((H$4:H$17&lt;&gt;"")*(H$4:H$17&lt;&gt;"No DD")),""))</f>
        <v/>
      </c>
      <c r="B16" s="5" t="s">
        <v>157</v>
      </c>
      <c r="C16" s="4" t="s">
        <v>5</v>
      </c>
      <c r="D16" s="4">
        <v>1999</v>
      </c>
      <c r="E16" s="9">
        <f t="shared" si="0"/>
        <v>83.300004650003302</v>
      </c>
      <c r="F16" s="3" t="str">
        <f t="shared" si="1"/>
        <v/>
      </c>
      <c r="G16" s="3" t="str">
        <f t="shared" si="2"/>
        <v/>
      </c>
      <c r="H16" s="36" t="str">
        <f t="shared" si="3"/>
        <v/>
      </c>
      <c r="I16" s="3" t="str">
        <f t="shared" si="4"/>
        <v/>
      </c>
      <c r="J16" s="8">
        <f>IF(COUNT(AQ16,BT16,CW16)&gt;0,LARGE((AQ16,BT16,CW16),1),0)</f>
        <v>33</v>
      </c>
      <c r="K16" s="8" t="str">
        <f t="shared" si="5"/>
        <v>2024 Elite Canada</v>
      </c>
      <c r="L16" s="8">
        <f>IF(COUNT(AQ16,BT16,CW16)&gt;1,LARGE((AQ16,BT16,CW16),2),0)</f>
        <v>0</v>
      </c>
      <c r="M16" s="8" t="str">
        <f t="shared" si="6"/>
        <v/>
      </c>
      <c r="N16" s="8">
        <f>IF(COUNT(AR16,BU16,CX16)&gt;0,LARGE((AR16,BU16,CX16),1),0)</f>
        <v>13.500000000000002</v>
      </c>
      <c r="O16" s="8" t="str">
        <f t="shared" si="7"/>
        <v>2024 Elite Canada</v>
      </c>
      <c r="P16" s="8">
        <f t="shared" si="8"/>
        <v>36.800000000000004</v>
      </c>
      <c r="Q16" s="8" t="str">
        <f t="shared" si="9"/>
        <v>2024 Elite Canada</v>
      </c>
      <c r="R16" s="8" t="str">
        <f t="shared" si="10"/>
        <v/>
      </c>
      <c r="S16" s="11" t="str">
        <f t="shared" si="11"/>
        <v/>
      </c>
      <c r="T16" s="8" t="str">
        <f t="shared" si="12"/>
        <v/>
      </c>
      <c r="U16" s="19">
        <v>18.3</v>
      </c>
      <c r="V16" s="19">
        <v>1.7</v>
      </c>
      <c r="W16" s="19">
        <v>3</v>
      </c>
      <c r="X16" s="19">
        <v>0</v>
      </c>
      <c r="Y16" s="19">
        <v>16.100000000000001</v>
      </c>
      <c r="Z16" s="19">
        <v>2.9</v>
      </c>
      <c r="AA16" s="19">
        <v>3.3</v>
      </c>
      <c r="AB16" s="19">
        <v>0.3</v>
      </c>
      <c r="AC16" s="19">
        <v>10.8</v>
      </c>
      <c r="AD16" s="19">
        <v>2.4</v>
      </c>
      <c r="AE16" s="19">
        <v>0</v>
      </c>
      <c r="AF16" s="19">
        <v>0.3</v>
      </c>
      <c r="AG16" s="19">
        <v>15.6</v>
      </c>
      <c r="AH16" s="19">
        <v>3.2</v>
      </c>
      <c r="AI16" s="19">
        <v>0</v>
      </c>
      <c r="AJ16" s="19">
        <v>0.3</v>
      </c>
      <c r="AK16" s="19">
        <v>16.600000000000001</v>
      </c>
      <c r="AL16" s="19">
        <v>1.1000000000000001</v>
      </c>
      <c r="AM16" s="19">
        <v>0</v>
      </c>
      <c r="AN16" s="19">
        <v>0</v>
      </c>
      <c r="AO16" s="27"/>
      <c r="AP16" s="40">
        <f t="shared" si="13"/>
        <v>4.5999999999999996</v>
      </c>
      <c r="AQ16" s="40">
        <f t="shared" si="14"/>
        <v>33</v>
      </c>
      <c r="AR16" s="40">
        <f t="shared" si="15"/>
        <v>13.500000000000002</v>
      </c>
      <c r="AS16" s="40">
        <f t="shared" si="16"/>
        <v>7</v>
      </c>
      <c r="AT16" s="40">
        <f t="shared" si="17"/>
        <v>46.5</v>
      </c>
      <c r="AU16" s="40">
        <f t="shared" si="18"/>
        <v>4.3000000000000007</v>
      </c>
      <c r="AV16" s="40">
        <f t="shared" si="19"/>
        <v>36.800000000000004</v>
      </c>
      <c r="AW16" s="40">
        <f t="shared" si="20"/>
        <v>83.300000000000011</v>
      </c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8"/>
      <c r="BS16" s="11" t="str">
        <f t="shared" si="21"/>
        <v/>
      </c>
      <c r="BT16" s="11" t="str">
        <f t="shared" si="22"/>
        <v/>
      </c>
      <c r="BU16" s="11" t="str">
        <f t="shared" si="23"/>
        <v/>
      </c>
      <c r="BV16" s="11" t="str">
        <f t="shared" si="24"/>
        <v/>
      </c>
      <c r="BW16" s="11" t="str">
        <f t="shared" si="25"/>
        <v/>
      </c>
      <c r="BX16" s="11" t="str">
        <f t="shared" si="26"/>
        <v/>
      </c>
      <c r="BY16" s="11" t="str">
        <f t="shared" si="27"/>
        <v/>
      </c>
      <c r="BZ16" s="11" t="str">
        <f t="shared" si="28"/>
        <v/>
      </c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27"/>
      <c r="CV16" s="40" t="str">
        <f t="shared" si="29"/>
        <v/>
      </c>
      <c r="CW16" s="40" t="str">
        <f t="shared" si="30"/>
        <v/>
      </c>
      <c r="CX16" s="40" t="str">
        <f t="shared" si="31"/>
        <v/>
      </c>
      <c r="CY16" s="40" t="str">
        <f t="shared" si="32"/>
        <v/>
      </c>
      <c r="CZ16" s="40" t="str">
        <f t="shared" si="33"/>
        <v/>
      </c>
      <c r="DA16" s="40" t="str">
        <f t="shared" si="34"/>
        <v/>
      </c>
      <c r="DB16" s="40" t="str">
        <f t="shared" si="35"/>
        <v/>
      </c>
      <c r="DC16" s="40" t="str">
        <f t="shared" si="36"/>
        <v/>
      </c>
      <c r="DD16" s="51" t="str">
        <f t="shared" si="37"/>
        <v/>
      </c>
      <c r="DE16" s="51" t="str">
        <f t="shared" si="38"/>
        <v/>
      </c>
      <c r="DF16" s="51" t="str">
        <f t="shared" si="39"/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 t="shared" si="40"/>
        <v/>
      </c>
      <c r="EB16" s="40" t="str">
        <f t="shared" si="41"/>
        <v/>
      </c>
      <c r="EC16" s="40" t="str">
        <f t="shared" si="42"/>
        <v/>
      </c>
      <c r="ED16" s="40" t="str">
        <f t="shared" si="43"/>
        <v/>
      </c>
      <c r="EE16" s="40" t="str">
        <f t="shared" si="44"/>
        <v/>
      </c>
      <c r="EF16" s="40" t="str">
        <f t="shared" si="45"/>
        <v/>
      </c>
      <c r="EG16" s="40" t="str">
        <f t="shared" si="46"/>
        <v/>
      </c>
      <c r="EH16" s="40" t="str">
        <f t="shared" si="47"/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 t="shared" si="48"/>
        <v/>
      </c>
      <c r="FD16" s="11" t="str">
        <f t="shared" si="49"/>
        <v/>
      </c>
      <c r="FE16" s="11" t="str">
        <f t="shared" si="50"/>
        <v/>
      </c>
      <c r="FF16" s="11" t="str">
        <f t="shared" si="51"/>
        <v/>
      </c>
      <c r="FG16" s="11" t="str">
        <f t="shared" si="52"/>
        <v/>
      </c>
      <c r="FH16" s="11" t="str">
        <f t="shared" si="53"/>
        <v/>
      </c>
      <c r="FI16" s="11" t="str">
        <f t="shared" si="54"/>
        <v/>
      </c>
      <c r="FJ16" s="11" t="str">
        <f t="shared" si="55"/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 t="shared" si="56"/>
        <v/>
      </c>
      <c r="GF16" s="40" t="str">
        <f t="shared" si="57"/>
        <v/>
      </c>
      <c r="GG16" s="40" t="str">
        <f t="shared" si="58"/>
        <v/>
      </c>
      <c r="GH16" s="40" t="str">
        <f t="shared" si="59"/>
        <v/>
      </c>
      <c r="GI16" s="40" t="str">
        <f t="shared" si="60"/>
        <v/>
      </c>
      <c r="GJ16" s="40" t="str">
        <f t="shared" si="61"/>
        <v/>
      </c>
      <c r="GK16" s="40" t="str">
        <f t="shared" si="62"/>
        <v/>
      </c>
      <c r="GL16" s="40" t="str">
        <f t="shared" si="63"/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 t="shared" si="64"/>
        <v/>
      </c>
      <c r="HH16" s="11" t="str">
        <f t="shared" si="65"/>
        <v/>
      </c>
      <c r="HI16" s="11" t="str">
        <f t="shared" si="66"/>
        <v/>
      </c>
      <c r="HJ16" s="11" t="str">
        <f t="shared" si="67"/>
        <v/>
      </c>
      <c r="HK16" s="11" t="str">
        <f t="shared" si="68"/>
        <v/>
      </c>
      <c r="HL16" s="11" t="str">
        <f t="shared" si="69"/>
        <v/>
      </c>
      <c r="HM16" s="11" t="str">
        <f t="shared" si="70"/>
        <v/>
      </c>
      <c r="HN16" s="11" t="str">
        <f t="shared" si="71"/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 t="shared" si="72"/>
        <v/>
      </c>
      <c r="IJ16" s="40" t="str">
        <f t="shared" si="73"/>
        <v/>
      </c>
      <c r="IK16" s="40" t="str">
        <f t="shared" si="74"/>
        <v/>
      </c>
      <c r="IL16" s="40" t="str">
        <f t="shared" si="75"/>
        <v/>
      </c>
      <c r="IM16" s="40" t="str">
        <f t="shared" si="76"/>
        <v/>
      </c>
      <c r="IN16" s="40" t="str">
        <f t="shared" si="77"/>
        <v/>
      </c>
      <c r="IO16" s="40" t="str">
        <f t="shared" si="78"/>
        <v/>
      </c>
      <c r="IP16" s="40" t="str">
        <f t="shared" si="79"/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 t="shared" si="80"/>
        <v/>
      </c>
      <c r="JL16" s="11" t="str">
        <f t="shared" si="81"/>
        <v/>
      </c>
      <c r="JM16" s="11" t="str">
        <f t="shared" si="82"/>
        <v/>
      </c>
      <c r="JN16" s="11" t="str">
        <f t="shared" si="83"/>
        <v/>
      </c>
      <c r="JO16" s="11" t="str">
        <f t="shared" si="84"/>
        <v/>
      </c>
      <c r="JP16" s="11" t="str">
        <f t="shared" si="85"/>
        <v/>
      </c>
      <c r="JQ16" s="11" t="str">
        <f t="shared" si="86"/>
        <v/>
      </c>
      <c r="JR16" s="11" t="str">
        <f t="shared" si="87"/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 t="shared" si="88"/>
        <v/>
      </c>
      <c r="KN16" s="40" t="str">
        <f t="shared" si="89"/>
        <v/>
      </c>
      <c r="KO16" s="40" t="str">
        <f t="shared" si="90"/>
        <v/>
      </c>
      <c r="KP16" s="40" t="str">
        <f t="shared" si="91"/>
        <v/>
      </c>
      <c r="KQ16" s="40" t="str">
        <f t="shared" si="92"/>
        <v/>
      </c>
      <c r="KR16" s="40" t="str">
        <f t="shared" si="93"/>
        <v/>
      </c>
      <c r="KS16" s="40" t="str">
        <f t="shared" si="94"/>
        <v/>
      </c>
      <c r="KT16" s="40" t="str">
        <f t="shared" si="95"/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 t="shared" si="96"/>
        <v/>
      </c>
      <c r="LP16" s="11" t="str">
        <f t="shared" si="97"/>
        <v/>
      </c>
      <c r="LQ16" s="11" t="str">
        <f t="shared" si="98"/>
        <v/>
      </c>
      <c r="LR16" s="11" t="str">
        <f t="shared" si="99"/>
        <v/>
      </c>
      <c r="LS16" s="11" t="str">
        <f t="shared" si="100"/>
        <v/>
      </c>
      <c r="LT16" s="11" t="str">
        <f t="shared" si="101"/>
        <v/>
      </c>
      <c r="LU16" s="11" t="str">
        <f t="shared" si="102"/>
        <v/>
      </c>
      <c r="LV16" s="11" t="str">
        <f t="shared" si="103"/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 t="shared" si="104"/>
        <v/>
      </c>
      <c r="MR16" s="40" t="str">
        <f t="shared" si="105"/>
        <v/>
      </c>
      <c r="MS16" s="40" t="str">
        <f t="shared" si="106"/>
        <v/>
      </c>
      <c r="MT16" s="40" t="str">
        <f t="shared" si="107"/>
        <v/>
      </c>
      <c r="MU16" s="40" t="str">
        <f t="shared" si="108"/>
        <v/>
      </c>
      <c r="MV16" s="40" t="str">
        <f t="shared" si="109"/>
        <v/>
      </c>
      <c r="MW16" s="40" t="str">
        <f t="shared" si="110"/>
        <v/>
      </c>
      <c r="MX16" s="40" t="str">
        <f t="shared" si="111"/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 t="shared" si="112"/>
        <v/>
      </c>
      <c r="NT16" s="11" t="str">
        <f t="shared" si="113"/>
        <v/>
      </c>
      <c r="NU16" s="11" t="str">
        <f t="shared" si="114"/>
        <v/>
      </c>
      <c r="NV16" s="11" t="str">
        <f t="shared" si="115"/>
        <v/>
      </c>
      <c r="NW16" s="11" t="str">
        <f t="shared" si="116"/>
        <v/>
      </c>
      <c r="NX16" s="11" t="str">
        <f t="shared" si="117"/>
        <v/>
      </c>
      <c r="NY16" s="11" t="str">
        <f t="shared" si="118"/>
        <v/>
      </c>
      <c r="NZ16" s="11" t="str">
        <f t="shared" si="119"/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 t="shared" si="120"/>
        <v/>
      </c>
      <c r="OV16" s="40" t="str">
        <f t="shared" si="121"/>
        <v/>
      </c>
      <c r="OW16" s="40" t="str">
        <f t="shared" si="122"/>
        <v/>
      </c>
      <c r="OX16" s="40" t="str">
        <f t="shared" si="123"/>
        <v/>
      </c>
      <c r="OY16" s="40" t="str">
        <f t="shared" si="124"/>
        <v/>
      </c>
      <c r="OZ16" s="40" t="str">
        <f t="shared" si="125"/>
        <v/>
      </c>
      <c r="PA16" s="40" t="str">
        <f t="shared" si="126"/>
        <v/>
      </c>
      <c r="PB16" s="40" t="str">
        <f t="shared" si="127"/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 t="shared" si="128"/>
        <v/>
      </c>
      <c r="PX16" s="11" t="str">
        <f t="shared" si="129"/>
        <v/>
      </c>
      <c r="PY16" s="11" t="str">
        <f t="shared" si="130"/>
        <v/>
      </c>
      <c r="PZ16" s="11" t="str">
        <f t="shared" si="131"/>
        <v/>
      </c>
      <c r="QA16" s="11" t="str">
        <f t="shared" si="132"/>
        <v/>
      </c>
      <c r="QB16" s="11" t="str">
        <f t="shared" si="133"/>
        <v/>
      </c>
      <c r="QC16" s="11" t="str">
        <f t="shared" si="134"/>
        <v/>
      </c>
      <c r="QD16" s="11" t="str">
        <f t="shared" si="135"/>
        <v/>
      </c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40" t="str">
        <f t="shared" si="136"/>
        <v/>
      </c>
      <c r="QZ16" s="40" t="str">
        <f t="shared" si="137"/>
        <v/>
      </c>
      <c r="RA16" s="40" t="str">
        <f t="shared" si="138"/>
        <v/>
      </c>
      <c r="RB16" s="40" t="str">
        <f t="shared" si="139"/>
        <v/>
      </c>
      <c r="RC16" s="40" t="str">
        <f t="shared" si="140"/>
        <v/>
      </c>
      <c r="RD16" s="40" t="str">
        <f t="shared" si="141"/>
        <v/>
      </c>
      <c r="RE16" s="40" t="str">
        <f t="shared" si="142"/>
        <v/>
      </c>
      <c r="RF16" s="40" t="str">
        <f t="shared" si="143"/>
        <v/>
      </c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1" t="str">
        <f t="shared" si="144"/>
        <v/>
      </c>
      <c r="SB16" s="11" t="str">
        <f t="shared" si="145"/>
        <v/>
      </c>
      <c r="SC16" s="11" t="str">
        <f t="shared" si="146"/>
        <v/>
      </c>
      <c r="SD16" s="11" t="str">
        <f t="shared" si="147"/>
        <v/>
      </c>
      <c r="SE16" s="11" t="str">
        <f t="shared" si="148"/>
        <v/>
      </c>
      <c r="SF16" s="11" t="str">
        <f t="shared" si="149"/>
        <v/>
      </c>
      <c r="SG16" s="11" t="str">
        <f t="shared" si="150"/>
        <v/>
      </c>
      <c r="SH16" s="11" t="str">
        <f t="shared" si="151"/>
        <v/>
      </c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40" t="str">
        <f t="shared" si="152"/>
        <v/>
      </c>
      <c r="TD16" s="40" t="str">
        <f t="shared" si="153"/>
        <v/>
      </c>
      <c r="TE16" s="40" t="str">
        <f t="shared" si="154"/>
        <v/>
      </c>
      <c r="TF16" s="40" t="str">
        <f t="shared" si="155"/>
        <v/>
      </c>
      <c r="TG16" s="40" t="str">
        <f t="shared" si="156"/>
        <v/>
      </c>
      <c r="TH16" s="40" t="str">
        <f t="shared" si="157"/>
        <v/>
      </c>
      <c r="TI16" s="40" t="str">
        <f t="shared" si="158"/>
        <v/>
      </c>
      <c r="TJ16" s="40" t="str">
        <f t="shared" si="159"/>
        <v/>
      </c>
      <c r="TK16" s="26">
        <f t="shared" si="160"/>
        <v>0</v>
      </c>
      <c r="TL16" s="26">
        <f t="shared" si="161"/>
        <v>0</v>
      </c>
      <c r="TM16" s="26">
        <f t="shared" si="162"/>
        <v>0</v>
      </c>
      <c r="TN16" s="26">
        <f t="shared" si="163"/>
        <v>0</v>
      </c>
      <c r="TO16" s="26">
        <f t="shared" si="164"/>
        <v>0</v>
      </c>
      <c r="TP16" s="26">
        <f t="shared" si="165"/>
        <v>0</v>
      </c>
      <c r="TQ16" s="26">
        <f t="shared" si="166"/>
        <v>0</v>
      </c>
      <c r="TR16" s="26">
        <f t="shared" si="167"/>
        <v>0</v>
      </c>
      <c r="TS16" s="26">
        <f t="shared" si="168"/>
        <v>0</v>
      </c>
      <c r="TT16" s="26">
        <f t="shared" si="169"/>
        <v>0</v>
      </c>
      <c r="TU16" s="26">
        <f t="shared" si="170"/>
        <v>0</v>
      </c>
      <c r="TV16" s="26">
        <f t="shared" si="171"/>
        <v>0</v>
      </c>
      <c r="TW16" s="26">
        <f t="shared" si="172"/>
        <v>0</v>
      </c>
      <c r="TX16" s="26">
        <f t="shared" si="173"/>
        <v>0</v>
      </c>
      <c r="TY16" s="26">
        <f t="shared" si="174"/>
        <v>0</v>
      </c>
      <c r="TZ16" s="26">
        <f t="shared" si="175"/>
        <v>0</v>
      </c>
      <c r="UA16" s="26">
        <f t="shared" si="176"/>
        <v>0</v>
      </c>
      <c r="UB16" s="26">
        <f t="shared" si="177"/>
        <v>0</v>
      </c>
      <c r="UC16" s="26">
        <f t="shared" si="178"/>
        <v>0</v>
      </c>
      <c r="UD16" s="26">
        <f t="shared" si="179"/>
        <v>0</v>
      </c>
      <c r="UE16" s="28" t="s">
        <v>53</v>
      </c>
      <c r="UF16" s="11" t="str">
        <f t="shared" si="180"/>
        <v/>
      </c>
      <c r="UG16" s="11" t="str">
        <f t="shared" si="181"/>
        <v/>
      </c>
      <c r="UH16" s="11" t="str">
        <f t="shared" si="182"/>
        <v/>
      </c>
      <c r="UI16" s="11" t="str">
        <f t="shared" si="183"/>
        <v/>
      </c>
      <c r="UJ16" s="11" t="str">
        <f t="shared" si="184"/>
        <v/>
      </c>
      <c r="UK16" s="11" t="str">
        <f t="shared" si="185"/>
        <v/>
      </c>
      <c r="UL16" s="11" t="str">
        <f t="shared" si="186"/>
        <v/>
      </c>
      <c r="UM16" s="11" t="str">
        <f t="shared" si="187"/>
        <v/>
      </c>
    </row>
    <row r="17" spans="1:530" ht="17" x14ac:dyDescent="0.2">
      <c r="R17" s="10"/>
      <c r="S17" s="10"/>
      <c r="T17" s="10"/>
      <c r="QY17" s="36"/>
      <c r="RG17"/>
      <c r="SA17" s="36"/>
      <c r="SB17" s="36"/>
      <c r="SC17" s="36"/>
      <c r="SD17" s="36"/>
      <c r="SE17" s="36"/>
      <c r="SF17" s="36"/>
      <c r="SG17" s="36"/>
      <c r="SH17" s="36"/>
      <c r="TC17" s="36"/>
      <c r="TD17" s="36"/>
      <c r="TE17" s="36"/>
      <c r="TF17" s="36"/>
      <c r="TG17" s="36"/>
      <c r="TH17" s="36"/>
      <c r="TI17" s="36"/>
      <c r="TJ17" s="36"/>
    </row>
    <row r="18" spans="1:530" ht="17" x14ac:dyDescent="0.2">
      <c r="R18" s="10"/>
      <c r="S18" s="10"/>
      <c r="T18" s="10"/>
      <c r="QY18" s="36"/>
      <c r="RG18"/>
      <c r="SA18" s="36"/>
      <c r="SB18" s="36"/>
      <c r="SC18" s="36"/>
      <c r="SD18" s="36"/>
      <c r="SE18" s="36"/>
      <c r="SF18" s="36"/>
      <c r="SG18" s="36"/>
      <c r="SH18" s="36"/>
      <c r="TC18" s="36"/>
      <c r="TD18" s="36"/>
      <c r="TE18" s="36"/>
      <c r="TF18" s="36"/>
      <c r="TG18" s="36"/>
      <c r="TH18" s="36"/>
      <c r="TI18" s="36"/>
      <c r="TJ18" s="36"/>
    </row>
    <row r="19" spans="1:530" ht="17" x14ac:dyDescent="0.2">
      <c r="B19" s="23" t="s">
        <v>51</v>
      </c>
      <c r="R19" s="10"/>
      <c r="S19" s="10"/>
      <c r="T19" s="10"/>
      <c r="AP19" s="4"/>
      <c r="AW19" s="42">
        <v>8.6</v>
      </c>
      <c r="BS19" s="4"/>
      <c r="BZ19" s="42">
        <v>8.6</v>
      </c>
      <c r="CV19" s="4"/>
      <c r="DC19" s="42">
        <v>8.6</v>
      </c>
      <c r="EA19" s="4"/>
      <c r="EH19" s="42">
        <v>8.6</v>
      </c>
      <c r="FC19" s="4"/>
      <c r="FJ19" s="42">
        <v>8.6</v>
      </c>
      <c r="GE19" s="4"/>
      <c r="GL19" s="42">
        <v>8.6</v>
      </c>
      <c r="HG19" s="4"/>
      <c r="HN19" s="42">
        <v>8.6</v>
      </c>
      <c r="II19" s="4"/>
      <c r="IP19" s="42">
        <v>8.6</v>
      </c>
      <c r="JK19" s="4"/>
      <c r="JR19" s="42">
        <v>8.6</v>
      </c>
      <c r="KM19" s="4"/>
      <c r="KT19" s="42">
        <v>8.6</v>
      </c>
      <c r="LO19" s="4"/>
      <c r="LV19" s="42">
        <v>8.6</v>
      </c>
      <c r="MQ19" s="4"/>
      <c r="MX19" s="42">
        <v>8.6</v>
      </c>
      <c r="NS19" s="4"/>
      <c r="NZ19" s="42">
        <v>8.6</v>
      </c>
      <c r="OU19" s="4"/>
      <c r="PB19" s="42">
        <v>8.6</v>
      </c>
      <c r="PW19" s="4"/>
      <c r="QD19" s="42">
        <v>8.6</v>
      </c>
      <c r="QY19" s="4"/>
      <c r="RF19" s="42">
        <v>8.6</v>
      </c>
      <c r="RG19"/>
      <c r="SA19" s="4"/>
      <c r="SB19" s="36"/>
      <c r="SC19" s="36"/>
      <c r="SD19" s="36"/>
      <c r="SE19" s="36"/>
      <c r="SF19" s="36"/>
      <c r="SG19" s="36"/>
      <c r="SH19" s="42">
        <v>8.6</v>
      </c>
      <c r="TC19" s="4"/>
      <c r="TD19" s="36"/>
      <c r="TE19" s="36"/>
      <c r="TF19" s="36"/>
      <c r="TG19" s="36"/>
      <c r="TH19" s="36"/>
      <c r="TI19" s="36"/>
      <c r="TJ19" s="42">
        <v>8.6</v>
      </c>
    </row>
    <row r="20" spans="1:530" ht="17" x14ac:dyDescent="0.2">
      <c r="B20" s="30" t="s">
        <v>50</v>
      </c>
      <c r="R20" s="10"/>
      <c r="S20" s="10"/>
      <c r="T20" s="10"/>
      <c r="AP20" s="4"/>
      <c r="AW20" s="52">
        <v>12.9</v>
      </c>
      <c r="BS20" s="4"/>
      <c r="BZ20" s="52">
        <v>12.9</v>
      </c>
      <c r="CV20" s="4"/>
      <c r="DC20" s="52">
        <v>12.9</v>
      </c>
      <c r="EA20" s="4"/>
      <c r="EH20" s="52">
        <v>12.9</v>
      </c>
      <c r="FC20" s="4"/>
      <c r="FJ20" s="52">
        <v>12.9</v>
      </c>
      <c r="GE20" s="4"/>
      <c r="GL20" s="52">
        <v>12.9</v>
      </c>
      <c r="HG20" s="4"/>
      <c r="HN20" s="52">
        <v>12.9</v>
      </c>
      <c r="II20" s="4"/>
      <c r="IP20" s="52">
        <v>12.9</v>
      </c>
      <c r="JK20" s="4"/>
      <c r="JR20" s="52">
        <v>12.9</v>
      </c>
      <c r="KM20" s="4"/>
      <c r="KT20" s="52">
        <v>12.9</v>
      </c>
      <c r="LO20" s="4"/>
      <c r="LV20" s="52">
        <v>12.9</v>
      </c>
      <c r="MQ20" s="4"/>
      <c r="MX20" s="52">
        <v>12.9</v>
      </c>
      <c r="NS20" s="4"/>
      <c r="NZ20" s="52">
        <v>12.9</v>
      </c>
      <c r="OU20" s="4"/>
      <c r="PB20" s="52">
        <v>12.9</v>
      </c>
      <c r="PW20" s="4"/>
      <c r="QD20" s="52">
        <v>12.9</v>
      </c>
      <c r="QY20" s="4"/>
      <c r="RF20" s="52">
        <v>12.9</v>
      </c>
      <c r="RG20"/>
      <c r="SA20" s="4"/>
      <c r="SB20" s="36"/>
      <c r="SC20" s="36"/>
      <c r="SD20" s="36"/>
      <c r="SE20" s="36"/>
      <c r="SF20" s="36"/>
      <c r="SG20" s="36"/>
      <c r="SH20" s="52">
        <v>12.9</v>
      </c>
      <c r="TC20" s="4"/>
      <c r="TD20" s="36"/>
      <c r="TE20" s="36"/>
      <c r="TF20" s="36"/>
      <c r="TG20" s="36"/>
      <c r="TH20" s="36"/>
      <c r="TI20" s="36"/>
      <c r="TJ20" s="52">
        <v>12.9</v>
      </c>
    </row>
    <row r="21" spans="1:530" ht="17" x14ac:dyDescent="0.2">
      <c r="A21" s="5"/>
      <c r="B21" s="31" t="s">
        <v>63</v>
      </c>
      <c r="C21" s="20"/>
      <c r="R21" s="10"/>
      <c r="S21" s="10"/>
      <c r="T21" s="10"/>
      <c r="AP21" s="4"/>
      <c r="AW21" s="44">
        <v>15.1</v>
      </c>
      <c r="BS21" s="4"/>
      <c r="BZ21" s="44">
        <v>15.1</v>
      </c>
      <c r="CV21" s="4"/>
      <c r="DC21" s="44">
        <v>15.1</v>
      </c>
      <c r="EA21" s="4"/>
      <c r="EH21" s="44">
        <v>15.1</v>
      </c>
      <c r="FC21" s="4"/>
      <c r="FJ21" s="44">
        <v>15.1</v>
      </c>
      <c r="GE21" s="4"/>
      <c r="GL21" s="44">
        <v>15.1</v>
      </c>
      <c r="HG21" s="4"/>
      <c r="HN21" s="44">
        <v>15.1</v>
      </c>
      <c r="II21" s="4"/>
      <c r="IP21" s="44">
        <v>15.1</v>
      </c>
      <c r="JK21" s="4"/>
      <c r="JR21" s="44">
        <v>15.1</v>
      </c>
      <c r="KM21" s="4"/>
      <c r="KT21" s="44">
        <v>15.1</v>
      </c>
      <c r="LO21" s="4"/>
      <c r="LV21" s="44">
        <v>15.1</v>
      </c>
      <c r="MQ21" s="4"/>
      <c r="MX21" s="44">
        <v>15.1</v>
      </c>
      <c r="NS21" s="4"/>
      <c r="NZ21" s="44">
        <v>15.1</v>
      </c>
      <c r="OU21" s="4"/>
      <c r="PB21" s="44">
        <v>15.1</v>
      </c>
      <c r="PW21" s="4"/>
      <c r="QD21" s="44">
        <v>15.1</v>
      </c>
      <c r="QY21" s="4"/>
      <c r="RF21" s="44">
        <v>15.1</v>
      </c>
      <c r="RG21"/>
      <c r="SA21" s="4"/>
      <c r="SB21" s="36"/>
      <c r="SC21" s="36"/>
      <c r="SD21" s="36"/>
      <c r="SE21" s="36"/>
      <c r="SF21" s="36"/>
      <c r="SG21" s="36"/>
      <c r="SH21" s="44">
        <v>15.1</v>
      </c>
      <c r="TC21" s="4"/>
      <c r="TD21" s="36"/>
      <c r="TE21" s="36"/>
      <c r="TF21" s="36"/>
      <c r="TG21" s="36"/>
      <c r="TH21" s="36"/>
      <c r="TI21" s="36"/>
      <c r="TJ21" s="44">
        <v>15.1</v>
      </c>
    </row>
    <row r="22" spans="1:530" ht="17" x14ac:dyDescent="0.2">
      <c r="A22" s="5"/>
      <c r="B22" s="35" t="s">
        <v>76</v>
      </c>
      <c r="C22" s="20"/>
      <c r="R22" s="10"/>
      <c r="S22" s="10"/>
      <c r="T22" s="10"/>
      <c r="AP22" s="4"/>
      <c r="AW22" s="45">
        <v>15.1</v>
      </c>
      <c r="BS22" s="4"/>
      <c r="BZ22" s="45">
        <v>15.1</v>
      </c>
      <c r="CV22" s="4"/>
      <c r="DC22" s="45">
        <v>15.1</v>
      </c>
      <c r="EA22" s="4"/>
      <c r="EH22" s="45">
        <v>15.1</v>
      </c>
      <c r="FC22" s="4"/>
      <c r="FJ22" s="45">
        <v>15.1</v>
      </c>
      <c r="GE22" s="4"/>
      <c r="GL22" s="45">
        <v>15.1</v>
      </c>
      <c r="HG22" s="4"/>
      <c r="HN22" s="45">
        <v>15.1</v>
      </c>
      <c r="II22" s="4"/>
      <c r="IP22" s="45">
        <v>15.1</v>
      </c>
      <c r="JK22" s="4"/>
      <c r="JR22" s="45">
        <v>15.1</v>
      </c>
      <c r="KM22" s="4"/>
      <c r="KT22" s="45">
        <v>15.1</v>
      </c>
      <c r="LO22" s="4"/>
      <c r="LV22" s="45">
        <v>15.1</v>
      </c>
      <c r="MQ22" s="4"/>
      <c r="MX22" s="45">
        <v>15.1</v>
      </c>
      <c r="NS22" s="4"/>
      <c r="NZ22" s="45">
        <v>15.1</v>
      </c>
      <c r="OU22" s="4"/>
      <c r="PB22" s="45">
        <v>15.1</v>
      </c>
      <c r="PW22" s="4"/>
      <c r="QD22" s="45">
        <v>15.1</v>
      </c>
      <c r="QY22" s="4"/>
      <c r="RF22" s="45">
        <v>15.1</v>
      </c>
      <c r="RG22"/>
      <c r="SA22" s="4"/>
      <c r="SB22" s="36"/>
      <c r="SC22" s="36"/>
      <c r="SD22" s="36"/>
      <c r="SE22" s="36"/>
      <c r="SF22" s="36"/>
      <c r="SG22" s="36"/>
      <c r="SH22" s="45">
        <v>15.1</v>
      </c>
      <c r="TC22" s="4"/>
      <c r="TD22" s="36"/>
      <c r="TE22" s="36"/>
      <c r="TF22" s="36"/>
      <c r="TG22" s="36"/>
      <c r="TH22" s="36"/>
      <c r="TI22" s="36"/>
      <c r="TJ22" s="45">
        <v>15.1</v>
      </c>
    </row>
    <row r="23" spans="1:530" ht="17" x14ac:dyDescent="0.2">
      <c r="A23" s="5"/>
      <c r="B23" s="34" t="s">
        <v>48</v>
      </c>
      <c r="C23" s="20"/>
      <c r="R23" s="10"/>
      <c r="S23" s="10"/>
      <c r="T23" s="10"/>
      <c r="AP23" s="4"/>
      <c r="AW23" s="46">
        <v>43</v>
      </c>
      <c r="BS23" s="4"/>
      <c r="BZ23" s="46">
        <v>43</v>
      </c>
      <c r="CV23" s="4"/>
      <c r="DC23" s="46">
        <v>43</v>
      </c>
      <c r="EA23" s="4"/>
      <c r="EH23" s="46">
        <v>43</v>
      </c>
      <c r="FC23" s="4"/>
      <c r="FJ23" s="46">
        <v>43</v>
      </c>
      <c r="GE23" s="4"/>
      <c r="GL23" s="46">
        <v>43</v>
      </c>
      <c r="HG23" s="4"/>
      <c r="HN23" s="46">
        <v>43</v>
      </c>
      <c r="II23" s="4"/>
      <c r="IP23" s="46">
        <v>43</v>
      </c>
      <c r="JK23" s="4"/>
      <c r="JR23" s="46">
        <v>43</v>
      </c>
      <c r="KM23" s="4"/>
      <c r="KT23" s="46">
        <v>43</v>
      </c>
      <c r="LO23" s="4"/>
      <c r="LV23" s="46">
        <v>43</v>
      </c>
      <c r="MQ23" s="4"/>
      <c r="MX23" s="46">
        <v>43</v>
      </c>
      <c r="NS23" s="4"/>
      <c r="NZ23" s="46">
        <v>43</v>
      </c>
      <c r="OU23" s="4"/>
      <c r="PB23" s="46">
        <v>43</v>
      </c>
      <c r="PW23" s="4"/>
      <c r="QD23" s="46">
        <v>43</v>
      </c>
      <c r="QY23" s="4"/>
      <c r="RF23" s="46">
        <v>43</v>
      </c>
      <c r="RG23"/>
      <c r="SA23" s="4"/>
      <c r="SB23" s="36"/>
      <c r="SC23" s="36"/>
      <c r="SD23" s="36"/>
      <c r="SE23" s="36"/>
      <c r="SF23" s="36"/>
      <c r="SG23" s="36"/>
      <c r="SH23" s="46">
        <v>43</v>
      </c>
      <c r="TC23" s="4"/>
      <c r="TD23" s="36"/>
      <c r="TE23" s="36"/>
      <c r="TF23" s="36"/>
      <c r="TG23" s="36"/>
      <c r="TH23" s="36"/>
      <c r="TI23" s="36"/>
      <c r="TJ23" s="46">
        <v>43</v>
      </c>
    </row>
    <row r="24" spans="1:530" ht="17" x14ac:dyDescent="0.2">
      <c r="A24" s="5"/>
      <c r="B24" s="24" t="s">
        <v>49</v>
      </c>
      <c r="C24" s="20"/>
      <c r="R24" s="10"/>
      <c r="S24" s="10"/>
      <c r="T24" s="10"/>
      <c r="AP24" s="4"/>
      <c r="AW24" s="47">
        <v>65.7</v>
      </c>
      <c r="BS24" s="4"/>
      <c r="BZ24" s="47">
        <v>65.7</v>
      </c>
      <c r="CV24" s="4"/>
      <c r="DC24" s="47">
        <v>65.7</v>
      </c>
      <c r="EA24" s="4"/>
      <c r="EH24" s="47">
        <v>65.7</v>
      </c>
      <c r="FC24" s="4"/>
      <c r="FJ24" s="47">
        <v>65.7</v>
      </c>
      <c r="GE24" s="4"/>
      <c r="GL24" s="47">
        <v>65.7</v>
      </c>
      <c r="HG24" s="4"/>
      <c r="HN24" s="47">
        <v>65.7</v>
      </c>
      <c r="II24" s="4"/>
      <c r="IP24" s="47">
        <v>65.7</v>
      </c>
      <c r="JK24" s="4"/>
      <c r="JR24" s="47">
        <v>65.7</v>
      </c>
      <c r="KM24" s="4"/>
      <c r="KT24" s="47">
        <v>65.7</v>
      </c>
      <c r="LO24" s="4"/>
      <c r="LV24" s="47">
        <v>65.7</v>
      </c>
      <c r="MQ24" s="4"/>
      <c r="MX24" s="47">
        <v>65.7</v>
      </c>
      <c r="NS24" s="4"/>
      <c r="NZ24" s="47">
        <v>65.7</v>
      </c>
      <c r="OU24" s="4"/>
      <c r="PB24" s="47">
        <v>65.7</v>
      </c>
      <c r="PW24" s="4"/>
      <c r="QD24" s="47">
        <v>65.7</v>
      </c>
      <c r="QY24" s="4"/>
      <c r="RF24" s="47">
        <v>65.7</v>
      </c>
      <c r="RG24"/>
      <c r="SA24" s="4"/>
      <c r="SB24" s="36"/>
      <c r="SC24" s="36"/>
      <c r="SD24" s="36"/>
      <c r="SE24" s="36"/>
      <c r="SF24" s="36"/>
      <c r="SG24" s="36"/>
      <c r="SH24" s="47">
        <v>65.7</v>
      </c>
      <c r="TC24" s="4"/>
      <c r="TD24" s="36"/>
      <c r="TE24" s="36"/>
      <c r="TF24" s="36"/>
      <c r="TG24" s="36"/>
      <c r="TH24" s="36"/>
      <c r="TI24" s="36"/>
      <c r="TJ24" s="47">
        <v>65.7</v>
      </c>
    </row>
    <row r="25" spans="1:530" ht="17" x14ac:dyDescent="0.2">
      <c r="A25" s="5"/>
      <c r="B25" s="33" t="s">
        <v>62</v>
      </c>
      <c r="C25" s="20"/>
      <c r="R25" s="10"/>
      <c r="S25" s="10"/>
      <c r="T25" s="10"/>
      <c r="AP25" s="4"/>
      <c r="AW25" s="48">
        <v>68.099999999999994</v>
      </c>
      <c r="BS25" s="4"/>
      <c r="BZ25" s="48">
        <v>68.099999999999994</v>
      </c>
      <c r="CV25" s="4"/>
      <c r="DC25" s="48">
        <v>68.099999999999994</v>
      </c>
      <c r="EA25" s="4"/>
      <c r="EH25" s="48">
        <v>68.099999999999994</v>
      </c>
      <c r="FC25" s="4"/>
      <c r="FJ25" s="48">
        <v>68.099999999999994</v>
      </c>
      <c r="GE25" s="4"/>
      <c r="GL25" s="48">
        <v>68.099999999999994</v>
      </c>
      <c r="HG25" s="4"/>
      <c r="HN25" s="48">
        <v>68.099999999999994</v>
      </c>
      <c r="II25" s="4"/>
      <c r="IP25" s="48">
        <v>68.099999999999994</v>
      </c>
      <c r="JK25" s="4"/>
      <c r="JR25" s="48">
        <v>68.099999999999994</v>
      </c>
      <c r="KM25" s="4"/>
      <c r="KT25" s="48">
        <v>68.099999999999994</v>
      </c>
      <c r="LO25" s="4"/>
      <c r="LV25" s="48">
        <v>68.099999999999994</v>
      </c>
      <c r="MQ25" s="4"/>
      <c r="MX25" s="48">
        <v>68.099999999999994</v>
      </c>
      <c r="NS25" s="4"/>
      <c r="NZ25" s="48">
        <v>68.099999999999994</v>
      </c>
      <c r="OU25" s="4"/>
      <c r="PB25" s="48">
        <v>68.099999999999994</v>
      </c>
      <c r="PW25" s="4"/>
      <c r="QD25" s="48">
        <v>68.099999999999994</v>
      </c>
      <c r="QY25" s="4"/>
      <c r="RF25" s="48">
        <v>68.099999999999994</v>
      </c>
      <c r="RG25"/>
      <c r="SA25" s="4"/>
      <c r="SB25" s="36"/>
      <c r="SC25" s="36"/>
      <c r="SD25" s="36"/>
      <c r="SE25" s="36"/>
      <c r="SF25" s="36"/>
      <c r="SG25" s="36"/>
      <c r="SH25" s="48">
        <v>68.099999999999994</v>
      </c>
      <c r="TC25" s="4"/>
      <c r="TD25" s="36"/>
      <c r="TE25" s="36"/>
      <c r="TF25" s="36"/>
      <c r="TG25" s="36"/>
      <c r="TH25" s="36"/>
      <c r="TI25" s="36"/>
      <c r="TJ25" s="48">
        <v>68.099999999999994</v>
      </c>
    </row>
    <row r="26" spans="1:530" ht="17" x14ac:dyDescent="0.2">
      <c r="A26" s="5"/>
      <c r="B26" s="25" t="s">
        <v>32</v>
      </c>
      <c r="C26" s="20"/>
      <c r="R26" s="10"/>
      <c r="S26" s="10"/>
      <c r="T26" s="10"/>
      <c r="AP26" s="4"/>
      <c r="AW26" s="49">
        <v>69.900000000000006</v>
      </c>
      <c r="BS26" s="4"/>
      <c r="BZ26" s="49">
        <v>69.900000000000006</v>
      </c>
      <c r="CV26" s="4"/>
      <c r="DC26" s="49">
        <v>69.900000000000006</v>
      </c>
      <c r="EA26" s="4"/>
      <c r="EH26" s="49">
        <v>69.900000000000006</v>
      </c>
      <c r="FC26" s="4"/>
      <c r="FJ26" s="49">
        <v>69.900000000000006</v>
      </c>
      <c r="GE26" s="4"/>
      <c r="GL26" s="49">
        <v>69.900000000000006</v>
      </c>
      <c r="HG26" s="4"/>
      <c r="HN26" s="49">
        <v>69.900000000000006</v>
      </c>
      <c r="II26" s="4"/>
      <c r="IP26" s="49">
        <v>69.900000000000006</v>
      </c>
      <c r="JK26" s="4"/>
      <c r="JR26" s="49">
        <v>69.900000000000006</v>
      </c>
      <c r="KM26" s="4"/>
      <c r="KT26" s="49">
        <v>69.900000000000006</v>
      </c>
      <c r="LO26" s="4"/>
      <c r="LV26" s="49">
        <v>69.900000000000006</v>
      </c>
      <c r="MQ26" s="4"/>
      <c r="MX26" s="49">
        <v>69.900000000000006</v>
      </c>
      <c r="NS26" s="4"/>
      <c r="NZ26" s="49">
        <v>69.900000000000006</v>
      </c>
      <c r="OU26" s="4"/>
      <c r="PB26" s="49">
        <v>69.900000000000006</v>
      </c>
      <c r="PW26" s="4"/>
      <c r="QD26" s="49">
        <v>69.900000000000006</v>
      </c>
      <c r="QY26" s="4"/>
      <c r="RF26" s="49">
        <v>69.900000000000006</v>
      </c>
      <c r="RG26"/>
      <c r="SA26" s="4"/>
      <c r="SB26" s="36"/>
      <c r="SC26" s="36"/>
      <c r="SD26" s="36"/>
      <c r="SE26" s="36"/>
      <c r="SF26" s="36"/>
      <c r="SG26" s="36"/>
      <c r="SH26" s="49">
        <v>69.900000000000006</v>
      </c>
      <c r="TC26" s="4"/>
      <c r="TD26" s="36"/>
      <c r="TE26" s="36"/>
      <c r="TF26" s="36"/>
      <c r="TG26" s="36"/>
      <c r="TH26" s="36"/>
      <c r="TI26" s="36"/>
      <c r="TJ26" s="49">
        <v>69.900000000000006</v>
      </c>
    </row>
    <row r="27" spans="1:530" x14ac:dyDescent="0.2">
      <c r="B27" s="29" t="s">
        <v>54</v>
      </c>
      <c r="C27" s="2"/>
    </row>
    <row r="28" spans="1:530" x14ac:dyDescent="0.2">
      <c r="A28" s="5"/>
      <c r="B28" s="5"/>
      <c r="C28" s="20"/>
      <c r="QF28" s="2"/>
      <c r="QG28" s="2"/>
      <c r="QH28" s="2"/>
      <c r="QI28" s="2"/>
      <c r="QJ28" s="2"/>
      <c r="QK28" s="2"/>
      <c r="QL28" s="2"/>
      <c r="QM28" s="2"/>
      <c r="QN28" s="2"/>
    </row>
    <row r="29" spans="1:530" x14ac:dyDescent="0.2">
      <c r="A29" s="5"/>
      <c r="B29" s="5"/>
      <c r="C29" s="20"/>
    </row>
    <row r="30" spans="1:530" x14ac:dyDescent="0.2">
      <c r="A30" s="5"/>
      <c r="B30" s="5"/>
      <c r="C30" s="20"/>
    </row>
    <row r="31" spans="1:530" x14ac:dyDescent="0.2">
      <c r="A31" s="5"/>
      <c r="B31" s="5"/>
      <c r="C31" s="5"/>
    </row>
  </sheetData>
  <sheetProtection sheet="1" formatCells="0" formatColumns="0" formatRows="0"/>
  <autoFilter ref="A1:UM1" xr:uid="{172E3596-2F6A-9A40-8CEA-C9D4F0DC5B18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sortState xmlns:xlrd2="http://schemas.microsoft.com/office/spreadsheetml/2017/richdata2" ref="A6:UM16">
      <sortCondition descending="1" ref="F1:F17"/>
    </sortState>
  </autoFilter>
  <mergeCells count="135">
    <mergeCell ref="SI1:TJ1"/>
    <mergeCell ref="SI2:SL2"/>
    <mergeCell ref="SM2:SP2"/>
    <mergeCell ref="SQ2:ST2"/>
    <mergeCell ref="SU2:SX2"/>
    <mergeCell ref="SY2:TB2"/>
    <mergeCell ref="QE1:RF1"/>
    <mergeCell ref="RG1:SH1"/>
    <mergeCell ref="QE2:QH2"/>
    <mergeCell ref="QI2:QL2"/>
    <mergeCell ref="QM2:QP2"/>
    <mergeCell ref="QQ2:QT2"/>
    <mergeCell ref="QU2:QX2"/>
    <mergeCell ref="RG2:RJ2"/>
    <mergeCell ref="RK2:RN2"/>
    <mergeCell ref="RO2:RR2"/>
    <mergeCell ref="RS2:RV2"/>
    <mergeCell ref="RW2:RZ2"/>
    <mergeCell ref="UA2:UD2"/>
    <mergeCell ref="PO2:PR2"/>
    <mergeCell ref="PS2:PV2"/>
    <mergeCell ref="TK2:TN2"/>
    <mergeCell ref="TO2:TR2"/>
    <mergeCell ref="TS2:TV2"/>
    <mergeCell ref="TW2:TZ2"/>
    <mergeCell ref="OI2:OL2"/>
    <mergeCell ref="OM2:OP2"/>
    <mergeCell ref="OQ2:OT2"/>
    <mergeCell ref="PC2:PF2"/>
    <mergeCell ref="PG2:PJ2"/>
    <mergeCell ref="PK2:PN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TK1:UM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16">
    <cfRule type="expression" dxfId="126" priority="61" stopIfTrue="1">
      <formula>IF($AO4&lt;&gt;"",1,0)</formula>
    </cfRule>
  </conditionalFormatting>
  <conditionalFormatting sqref="AX4:BZ16">
    <cfRule type="expression" dxfId="125" priority="60" stopIfTrue="1">
      <formula>IF($BR4&lt;&gt;"",1,0)</formula>
    </cfRule>
  </conditionalFormatting>
  <conditionalFormatting sqref="M1:M3 O1:O3 K1:K1048576 Q1:Q1048576 M4:O1048576">
    <cfRule type="expression" dxfId="124" priority="57">
      <formula>IF(K1=$CA$1,1,0)</formula>
    </cfRule>
    <cfRule type="expression" dxfId="123" priority="58">
      <formula>IF(K1=$AX$1,1,0)</formula>
    </cfRule>
    <cfRule type="expression" dxfId="122" priority="59">
      <formula>IF(K1=$U$1,1,0)</formula>
    </cfRule>
  </conditionalFormatting>
  <conditionalFormatting sqref="CA4:DC16">
    <cfRule type="expression" dxfId="121" priority="56" stopIfTrue="1">
      <formula>IF($CU4&lt;&gt;"",1,0)</formula>
    </cfRule>
  </conditionalFormatting>
  <conditionalFormatting sqref="A4:A1048576">
    <cfRule type="expression" dxfId="120" priority="33">
      <formula>AND(G4="P",F4="")</formula>
    </cfRule>
    <cfRule type="expression" dxfId="119" priority="55" stopIfTrue="1">
      <formula>IF(A4&gt;8,1,0)</formula>
    </cfRule>
  </conditionalFormatting>
  <conditionalFormatting sqref="H1:H1048576">
    <cfRule type="containsText" dxfId="118" priority="50" operator="containsText" text="No DD">
      <formula>NOT(ISERROR(SEARCH("No DD",H1)))</formula>
    </cfRule>
    <cfRule type="containsText" dxfId="117" priority="51" operator="containsText" text="Merit">
      <formula>NOT(ISERROR(SEARCH("Merit",H1)))</formula>
    </cfRule>
    <cfRule type="containsText" dxfId="116" priority="52" operator="containsText" text="Excellence">
      <formula>NOT(ISERROR(SEARCH("Excellence",H1)))</formula>
    </cfRule>
    <cfRule type="containsText" dxfId="115" priority="53" operator="containsText" text="Worlds Team">
      <formula>NOT(ISERROR(SEARCH("Worlds Team",H1)))</formula>
    </cfRule>
    <cfRule type="containsText" dxfId="114" priority="54" operator="containsText" text="National Team">
      <formula>NOT(ISERROR(SEARCH("National Team",H1)))</formula>
    </cfRule>
  </conditionalFormatting>
  <conditionalFormatting sqref="AT27:AT1048576 BW27:BW1048576 EE27:EE1048576 BW1:BW25 CZ1:CZ1048576 EE1:EE25 FG1:FG1048576 GI1:GI1048576 HK1:HK1048576 IM1:IM1048576 JO1:JO1048576 KQ1:KQ1048576 LS1:LS1048576 MU1:MU1048576 NW1:NW1048576 OY1:OY1048576 QA1:QA1048576 AT1:AT25 SE1:SE26 RC1:RC26 TG1:TG26">
    <cfRule type="cellIs" dxfId="113" priority="47" operator="between">
      <formula>AW$26</formula>
      <formula>1000</formula>
    </cfRule>
    <cfRule type="cellIs" dxfId="112" priority="48" operator="between">
      <formula>AW$25</formula>
      <formula>AW$26</formula>
    </cfRule>
    <cfRule type="cellIs" dxfId="111" priority="49" operator="between">
      <formula>AW$24</formula>
      <formula>AW$25</formula>
    </cfRule>
  </conditionalFormatting>
  <conditionalFormatting sqref="QC48:QC1048576 AV1:AV1048576 BY1:BY1048576 DB1:DB1048576 EG1:EG1048576 FI1:FI1048576 GK1:GK1048576 HM1:HM1048576 IO1:IO1048576 JQ1:JQ1048576 KS1:KS1048576 LU1:LU1048576 MW1:MW1048576 NY1:NY1048576 PA1:PA1048576 QC1:QC31 SG1:SG26 RE1:RE26 TI1:TI26">
    <cfRule type="cellIs" dxfId="110" priority="89734" operator="between">
      <formula>AW$23</formula>
      <formula>AW$24</formula>
    </cfRule>
    <cfRule type="cellIs" dxfId="109" priority="89735" operator="between">
      <formula>AW$24</formula>
      <formula>AW$25</formula>
    </cfRule>
    <cfRule type="cellIs" dxfId="108" priority="89736" operator="between">
      <formula>AW$25</formula>
      <formula>AW$26</formula>
    </cfRule>
    <cfRule type="cellIs" dxfId="107" priority="89737" operator="between">
      <formula>AW$26</formula>
      <formula>1000</formula>
    </cfRule>
  </conditionalFormatting>
  <conditionalFormatting sqref="TK1:TK16">
    <cfRule type="cellIs" dxfId="106" priority="102448" operator="between">
      <formula>QD$23</formula>
      <formula>QD$24</formula>
    </cfRule>
    <cfRule type="cellIs" dxfId="105" priority="102449" operator="between">
      <formula>QD$24</formula>
      <formula>QD$25</formula>
    </cfRule>
    <cfRule type="cellIs" dxfId="104" priority="102450" operator="between">
      <formula>QD$25</formula>
      <formula>QD$26</formula>
    </cfRule>
    <cfRule type="cellIs" dxfId="103" priority="102451" operator="between">
      <formula>QD$26</formula>
      <formula>1000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 QY1:QY26 SA1:SA26 TC1:TC26">
    <cfRule type="cellIs" dxfId="102" priority="125323" operator="between">
      <formula>AW$19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 QZ1:QZ26 SB1:SB26 TD1:TD26">
    <cfRule type="cellIs" dxfId="101" priority="125370" operator="between">
      <formula>AW$23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 SF1:SF26 RD1:RD26 TH1:TH26">
    <cfRule type="cellIs" dxfId="100" priority="125417" operator="between">
      <formula>AW$19</formula>
      <formula>AW$20</formula>
    </cfRule>
    <cfRule type="cellIs" dxfId="99" priority="125418" operator="between">
      <formula>AW$20</formula>
      <formula>AW$21</formula>
    </cfRule>
    <cfRule type="cellIs" dxfId="98" priority="125419" operator="between">
      <formula>AW$21</formula>
      <formula>AW$22</formula>
    </cfRule>
    <cfRule type="cellIs" dxfId="97" priority="125420" operator="between">
      <formula>AW$22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 SD1:SD26 RB1:RB26 TF1:TF26">
    <cfRule type="cellIs" dxfId="96" priority="125789" operator="between">
      <formula>AW$22</formula>
      <formula>1000</formula>
    </cfRule>
    <cfRule type="cellIs" dxfId="95" priority="125790" operator="between">
      <formula>AW$21</formula>
      <formula>AW$22</formula>
    </cfRule>
    <cfRule type="cellIs" dxfId="94" priority="125791" operator="between">
      <formula>AW$20</formula>
      <formula>AW$21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UM42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hidden="1" customWidth="1"/>
    <col min="251" max="270" width="10.83203125" hidden="1" customWidth="1"/>
    <col min="271" max="278" width="10.83203125" style="36" hidden="1" customWidth="1"/>
    <col min="279" max="298" width="10.83203125" hidden="1" customWidth="1"/>
    <col min="299" max="306" width="10.83203125" style="36" hidden="1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  <col min="476" max="559" width="10.83203125" hidden="1" customWidth="1"/>
  </cols>
  <sheetData>
    <row r="1" spans="1:559" ht="16" customHeight="1" x14ac:dyDescent="0.2">
      <c r="A1" s="64" t="s">
        <v>1</v>
      </c>
      <c r="B1" s="64" t="s">
        <v>27</v>
      </c>
      <c r="C1" s="64" t="s">
        <v>0</v>
      </c>
      <c r="D1" s="64" t="s">
        <v>55</v>
      </c>
      <c r="E1" s="64" t="s">
        <v>2</v>
      </c>
      <c r="F1" s="65" t="s">
        <v>61</v>
      </c>
      <c r="G1" s="65" t="s">
        <v>10</v>
      </c>
      <c r="H1" s="64" t="s">
        <v>11</v>
      </c>
      <c r="I1" s="65" t="s">
        <v>83</v>
      </c>
      <c r="J1" s="70" t="s">
        <v>114</v>
      </c>
      <c r="K1" s="66" t="s">
        <v>30</v>
      </c>
      <c r="L1" s="70" t="s">
        <v>115</v>
      </c>
      <c r="M1" s="66" t="s">
        <v>30</v>
      </c>
      <c r="N1" s="70" t="s">
        <v>116</v>
      </c>
      <c r="O1" s="66" t="s">
        <v>30</v>
      </c>
      <c r="P1" s="66" t="s">
        <v>12</v>
      </c>
      <c r="Q1" s="66" t="s">
        <v>30</v>
      </c>
      <c r="R1" s="69" t="s">
        <v>13</v>
      </c>
      <c r="S1" s="66" t="s">
        <v>31</v>
      </c>
      <c r="T1" s="66" t="s">
        <v>30</v>
      </c>
      <c r="U1" s="67" t="s">
        <v>193</v>
      </c>
      <c r="V1" s="67"/>
      <c r="W1" s="67"/>
      <c r="X1" s="67"/>
      <c r="Y1" s="67"/>
      <c r="Z1" s="67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7"/>
      <c r="AT1" s="67"/>
      <c r="AU1" s="67"/>
      <c r="AV1" s="67"/>
      <c r="AW1" s="67"/>
      <c r="AX1" s="72" t="s">
        <v>232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67" t="s">
        <v>253</v>
      </c>
      <c r="CB1" s="67"/>
      <c r="CC1" s="67"/>
      <c r="CD1" s="67"/>
      <c r="CE1" s="67"/>
      <c r="CF1" s="67"/>
      <c r="CG1" s="67"/>
      <c r="CH1" s="67"/>
      <c r="CI1" s="67"/>
      <c r="CJ1" s="67"/>
      <c r="CK1" s="67"/>
      <c r="CL1" s="67"/>
      <c r="CM1" s="67"/>
      <c r="CN1" s="67"/>
      <c r="CO1" s="67"/>
      <c r="CP1" s="67"/>
      <c r="CQ1" s="67"/>
      <c r="CR1" s="67"/>
      <c r="CS1" s="67"/>
      <c r="CT1" s="67"/>
      <c r="CU1" s="67"/>
      <c r="CV1" s="67"/>
      <c r="CW1" s="67"/>
      <c r="CX1" s="67"/>
      <c r="CY1" s="67"/>
      <c r="CZ1" s="67"/>
      <c r="DA1" s="67"/>
      <c r="DB1" s="67"/>
      <c r="DC1" s="67"/>
      <c r="DD1" s="73" t="s">
        <v>60</v>
      </c>
      <c r="DE1" s="73"/>
      <c r="DF1" s="73"/>
      <c r="DG1" s="67" t="s">
        <v>223</v>
      </c>
      <c r="DH1" s="67"/>
      <c r="DI1" s="67"/>
      <c r="DJ1" s="67"/>
      <c r="DK1" s="67"/>
      <c r="DL1" s="67"/>
      <c r="DM1" s="67"/>
      <c r="DN1" s="67"/>
      <c r="DO1" s="67"/>
      <c r="DP1" s="67"/>
      <c r="DQ1" s="67"/>
      <c r="DR1" s="67"/>
      <c r="DS1" s="67"/>
      <c r="DT1" s="67"/>
      <c r="DU1" s="67"/>
      <c r="DV1" s="67"/>
      <c r="DW1" s="67"/>
      <c r="DX1" s="67"/>
      <c r="DY1" s="67"/>
      <c r="DZ1" s="67"/>
      <c r="EA1" s="67"/>
      <c r="EB1" s="67"/>
      <c r="EC1" s="67"/>
      <c r="ED1" s="67"/>
      <c r="EE1" s="67"/>
      <c r="EF1" s="67"/>
      <c r="EG1" s="67"/>
      <c r="EH1" s="67"/>
      <c r="EI1" s="72" t="s">
        <v>224</v>
      </c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67" t="s">
        <v>245</v>
      </c>
      <c r="FL1" s="67"/>
      <c r="FM1" s="67"/>
      <c r="FN1" s="67"/>
      <c r="FO1" s="67"/>
      <c r="FP1" s="67"/>
      <c r="FQ1" s="67"/>
      <c r="FR1" s="67"/>
      <c r="FS1" s="67"/>
      <c r="FT1" s="67"/>
      <c r="FU1" s="67"/>
      <c r="FV1" s="67"/>
      <c r="FW1" s="67"/>
      <c r="FX1" s="67"/>
      <c r="FY1" s="67"/>
      <c r="FZ1" s="67"/>
      <c r="GA1" s="67"/>
      <c r="GB1" s="67"/>
      <c r="GC1" s="67"/>
      <c r="GD1" s="67"/>
      <c r="GE1" s="67"/>
      <c r="GF1" s="67"/>
      <c r="GG1" s="67"/>
      <c r="GH1" s="67"/>
      <c r="GI1" s="67"/>
      <c r="GJ1" s="67"/>
      <c r="GK1" s="67"/>
      <c r="GL1" s="67"/>
      <c r="GM1" s="72" t="s">
        <v>244</v>
      </c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67"/>
      <c r="HP1" s="67"/>
      <c r="HQ1" s="67"/>
      <c r="HR1" s="67"/>
      <c r="HS1" s="67"/>
      <c r="HT1" s="67"/>
      <c r="HU1" s="67"/>
      <c r="HV1" s="67"/>
      <c r="HW1" s="67"/>
      <c r="HX1" s="67"/>
      <c r="HY1" s="67"/>
      <c r="HZ1" s="67"/>
      <c r="IA1" s="67"/>
      <c r="IB1" s="67"/>
      <c r="IC1" s="67"/>
      <c r="ID1" s="67"/>
      <c r="IE1" s="67"/>
      <c r="IF1" s="67"/>
      <c r="IG1" s="67"/>
      <c r="IH1" s="67"/>
      <c r="II1" s="67"/>
      <c r="IJ1" s="67"/>
      <c r="IK1" s="67"/>
      <c r="IL1" s="67"/>
      <c r="IM1" s="67"/>
      <c r="IN1" s="67"/>
      <c r="IO1" s="67"/>
      <c r="IP1" s="67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67"/>
      <c r="JT1" s="67"/>
      <c r="JU1" s="67"/>
      <c r="JV1" s="67"/>
      <c r="JW1" s="67"/>
      <c r="JX1" s="67"/>
      <c r="JY1" s="67"/>
      <c r="JZ1" s="67"/>
      <c r="KA1" s="67"/>
      <c r="KB1" s="67"/>
      <c r="KC1" s="67"/>
      <c r="KD1" s="67"/>
      <c r="KE1" s="67"/>
      <c r="KF1" s="67"/>
      <c r="KG1" s="67"/>
      <c r="KH1" s="67"/>
      <c r="KI1" s="67"/>
      <c r="KJ1" s="67"/>
      <c r="KK1" s="67"/>
      <c r="KL1" s="67"/>
      <c r="KM1" s="67"/>
      <c r="KN1" s="67"/>
      <c r="KO1" s="67"/>
      <c r="KP1" s="67"/>
      <c r="KQ1" s="67"/>
      <c r="KR1" s="67"/>
      <c r="KS1" s="67"/>
      <c r="KT1" s="67"/>
      <c r="KU1" s="72"/>
      <c r="KV1" s="72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67"/>
      <c r="LX1" s="67"/>
      <c r="LY1" s="67"/>
      <c r="LZ1" s="67"/>
      <c r="MA1" s="67"/>
      <c r="MB1" s="67"/>
      <c r="MC1" s="67"/>
      <c r="MD1" s="67"/>
      <c r="ME1" s="67"/>
      <c r="MF1" s="67"/>
      <c r="MG1" s="67"/>
      <c r="MH1" s="67"/>
      <c r="MI1" s="67"/>
      <c r="MJ1" s="67"/>
      <c r="MK1" s="67"/>
      <c r="ML1" s="67"/>
      <c r="MM1" s="67"/>
      <c r="MN1" s="67"/>
      <c r="MO1" s="67"/>
      <c r="MP1" s="67"/>
      <c r="MQ1" s="67"/>
      <c r="MR1" s="67"/>
      <c r="MS1" s="67"/>
      <c r="MT1" s="67"/>
      <c r="MU1" s="67"/>
      <c r="MV1" s="67"/>
      <c r="MW1" s="67"/>
      <c r="MX1" s="67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67"/>
      <c r="OB1" s="67"/>
      <c r="OC1" s="67"/>
      <c r="OD1" s="67"/>
      <c r="OE1" s="67"/>
      <c r="OF1" s="67"/>
      <c r="OG1" s="67"/>
      <c r="OH1" s="67"/>
      <c r="OI1" s="67"/>
      <c r="OJ1" s="67"/>
      <c r="OK1" s="67"/>
      <c r="OL1" s="67"/>
      <c r="OM1" s="67"/>
      <c r="ON1" s="67"/>
      <c r="OO1" s="67"/>
      <c r="OP1" s="67"/>
      <c r="OQ1" s="67"/>
      <c r="OR1" s="67"/>
      <c r="OS1" s="67"/>
      <c r="OT1" s="67"/>
      <c r="OU1" s="67"/>
      <c r="OV1" s="67"/>
      <c r="OW1" s="67"/>
      <c r="OX1" s="67"/>
      <c r="OY1" s="67"/>
      <c r="OZ1" s="67"/>
      <c r="PA1" s="67"/>
      <c r="PB1" s="67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67"/>
      <c r="QF1" s="67"/>
      <c r="QG1" s="67"/>
      <c r="QH1" s="67"/>
      <c r="QI1" s="67"/>
      <c r="QJ1" s="67"/>
      <c r="QK1" s="67"/>
      <c r="QL1" s="67"/>
      <c r="QM1" s="67"/>
      <c r="QN1" s="67"/>
      <c r="QO1" s="67"/>
      <c r="QP1" s="67"/>
      <c r="QQ1" s="67"/>
      <c r="QR1" s="67"/>
      <c r="QS1" s="67"/>
      <c r="QT1" s="67"/>
      <c r="QU1" s="67"/>
      <c r="QV1" s="67"/>
      <c r="QW1" s="67"/>
      <c r="QX1" s="67"/>
      <c r="QY1" s="67"/>
      <c r="QZ1" s="67"/>
      <c r="RA1" s="67"/>
      <c r="RB1" s="67"/>
      <c r="RC1" s="67"/>
      <c r="RD1" s="67"/>
      <c r="RE1" s="67"/>
      <c r="RF1" s="67"/>
      <c r="RG1" s="72"/>
      <c r="RH1" s="72"/>
      <c r="RI1" s="72"/>
      <c r="RJ1" s="72"/>
      <c r="RK1" s="72"/>
      <c r="RL1" s="72"/>
      <c r="RM1" s="72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67"/>
      <c r="SJ1" s="67"/>
      <c r="SK1" s="67"/>
      <c r="SL1" s="67"/>
      <c r="SM1" s="67"/>
      <c r="SN1" s="67"/>
      <c r="SO1" s="67"/>
      <c r="SP1" s="67"/>
      <c r="SQ1" s="67"/>
      <c r="SR1" s="67"/>
      <c r="SS1" s="67"/>
      <c r="ST1" s="67"/>
      <c r="SU1" s="67"/>
      <c r="SV1" s="67"/>
      <c r="SW1" s="67"/>
      <c r="SX1" s="67"/>
      <c r="SY1" s="67"/>
      <c r="SZ1" s="67"/>
      <c r="TA1" s="67"/>
      <c r="TB1" s="67"/>
      <c r="TC1" s="67"/>
      <c r="TD1" s="67"/>
      <c r="TE1" s="67"/>
      <c r="TF1" s="67"/>
      <c r="TG1" s="67"/>
      <c r="TH1" s="67"/>
      <c r="TI1" s="67"/>
      <c r="TJ1" s="67"/>
      <c r="TK1" s="72" t="s">
        <v>64</v>
      </c>
      <c r="TL1" s="72"/>
      <c r="TM1" s="72"/>
      <c r="TN1" s="72"/>
      <c r="TO1" s="72"/>
      <c r="TP1" s="72"/>
      <c r="TQ1" s="72"/>
      <c r="TR1" s="72"/>
      <c r="TS1" s="72"/>
      <c r="TT1" s="72"/>
      <c r="TU1" s="72"/>
      <c r="TV1" s="72"/>
      <c r="TW1" s="72"/>
      <c r="TX1" s="72"/>
      <c r="TY1" s="72"/>
      <c r="TZ1" s="72"/>
      <c r="UA1" s="72"/>
      <c r="UB1" s="72"/>
      <c r="UC1" s="72"/>
      <c r="UD1" s="72"/>
      <c r="UE1" s="72"/>
      <c r="UF1" s="72"/>
      <c r="UG1" s="72"/>
      <c r="UH1" s="72"/>
      <c r="UI1" s="72"/>
      <c r="UJ1" s="72"/>
      <c r="UK1" s="72"/>
      <c r="UL1" s="72"/>
      <c r="UM1" s="72"/>
    </row>
    <row r="2" spans="1:559" x14ac:dyDescent="0.2">
      <c r="A2" s="64"/>
      <c r="B2" s="64"/>
      <c r="C2" s="64"/>
      <c r="D2" s="64"/>
      <c r="E2" s="64"/>
      <c r="F2" s="65"/>
      <c r="G2" s="65"/>
      <c r="H2" s="64"/>
      <c r="I2" s="65"/>
      <c r="J2" s="70"/>
      <c r="K2" s="66"/>
      <c r="L2" s="70"/>
      <c r="M2" s="66"/>
      <c r="N2" s="70"/>
      <c r="O2" s="66"/>
      <c r="P2" s="66"/>
      <c r="Q2" s="66"/>
      <c r="R2" s="69"/>
      <c r="S2" s="66"/>
      <c r="T2" s="66"/>
      <c r="U2" s="68" t="s">
        <v>106</v>
      </c>
      <c r="V2" s="68"/>
      <c r="W2" s="68"/>
      <c r="X2" s="68"/>
      <c r="Y2" s="68" t="s">
        <v>107</v>
      </c>
      <c r="Z2" s="68"/>
      <c r="AA2" s="68"/>
      <c r="AB2" s="68"/>
      <c r="AC2" s="68" t="s">
        <v>108</v>
      </c>
      <c r="AD2" s="68"/>
      <c r="AE2" s="68"/>
      <c r="AF2" s="68"/>
      <c r="AG2" s="68" t="s">
        <v>109</v>
      </c>
      <c r="AH2" s="68"/>
      <c r="AI2" s="68"/>
      <c r="AJ2" s="68"/>
      <c r="AK2" s="75" t="s">
        <v>110</v>
      </c>
      <c r="AL2" s="75"/>
      <c r="AM2" s="75"/>
      <c r="AN2" s="75"/>
      <c r="AO2" s="14"/>
      <c r="AP2" s="14" t="s">
        <v>111</v>
      </c>
      <c r="AQ2" s="14" t="s">
        <v>112</v>
      </c>
      <c r="AR2" s="14" t="s">
        <v>108</v>
      </c>
      <c r="AS2" s="14" t="s">
        <v>117</v>
      </c>
      <c r="AT2" s="14" t="s">
        <v>23</v>
      </c>
      <c r="AU2" s="14" t="s">
        <v>66</v>
      </c>
      <c r="AV2" s="14" t="s">
        <v>113</v>
      </c>
      <c r="AW2" s="14" t="s">
        <v>17</v>
      </c>
      <c r="AX2" s="71" t="s">
        <v>106</v>
      </c>
      <c r="AY2" s="71"/>
      <c r="AZ2" s="71"/>
      <c r="BA2" s="71"/>
      <c r="BB2" s="71" t="s">
        <v>107</v>
      </c>
      <c r="BC2" s="71"/>
      <c r="BD2" s="71"/>
      <c r="BE2" s="71"/>
      <c r="BF2" s="71" t="s">
        <v>108</v>
      </c>
      <c r="BG2" s="71"/>
      <c r="BH2" s="71"/>
      <c r="BI2" s="71"/>
      <c r="BJ2" s="71" t="s">
        <v>109</v>
      </c>
      <c r="BK2" s="71"/>
      <c r="BL2" s="71"/>
      <c r="BM2" s="71"/>
      <c r="BN2" s="74" t="s">
        <v>110</v>
      </c>
      <c r="BO2" s="74"/>
      <c r="BP2" s="74"/>
      <c r="BQ2" s="74"/>
      <c r="BR2" s="13"/>
      <c r="BS2" s="13" t="s">
        <v>111</v>
      </c>
      <c r="BT2" s="13" t="s">
        <v>112</v>
      </c>
      <c r="BU2" s="13" t="s">
        <v>108</v>
      </c>
      <c r="BV2" s="13" t="s">
        <v>117</v>
      </c>
      <c r="BW2" s="13" t="s">
        <v>23</v>
      </c>
      <c r="BX2" s="13" t="s">
        <v>66</v>
      </c>
      <c r="BY2" s="13" t="s">
        <v>113</v>
      </c>
      <c r="BZ2" s="13" t="s">
        <v>17</v>
      </c>
      <c r="CA2" s="68" t="s">
        <v>106</v>
      </c>
      <c r="CB2" s="68"/>
      <c r="CC2" s="68"/>
      <c r="CD2" s="68"/>
      <c r="CE2" s="68" t="s">
        <v>107</v>
      </c>
      <c r="CF2" s="68"/>
      <c r="CG2" s="68"/>
      <c r="CH2" s="68"/>
      <c r="CI2" s="68" t="s">
        <v>108</v>
      </c>
      <c r="CJ2" s="68"/>
      <c r="CK2" s="68"/>
      <c r="CL2" s="68"/>
      <c r="CM2" s="68" t="s">
        <v>109</v>
      </c>
      <c r="CN2" s="68"/>
      <c r="CO2" s="68"/>
      <c r="CP2" s="68"/>
      <c r="CQ2" s="75" t="s">
        <v>110</v>
      </c>
      <c r="CR2" s="75"/>
      <c r="CS2" s="75"/>
      <c r="CT2" s="75"/>
      <c r="CU2" s="14"/>
      <c r="CV2" s="14" t="s">
        <v>111</v>
      </c>
      <c r="CW2" s="14" t="s">
        <v>112</v>
      </c>
      <c r="CX2" s="14" t="s">
        <v>108</v>
      </c>
      <c r="CY2" s="14" t="s">
        <v>117</v>
      </c>
      <c r="CZ2" s="14" t="s">
        <v>23</v>
      </c>
      <c r="DA2" s="14" t="s">
        <v>66</v>
      </c>
      <c r="DB2" s="14" t="s">
        <v>113</v>
      </c>
      <c r="DC2" s="14" t="s">
        <v>17</v>
      </c>
      <c r="DD2" s="50" t="s">
        <v>112</v>
      </c>
      <c r="DE2" s="50" t="s">
        <v>108</v>
      </c>
      <c r="DF2" s="50" t="s">
        <v>22</v>
      </c>
      <c r="DG2" s="68" t="s">
        <v>106</v>
      </c>
      <c r="DH2" s="68"/>
      <c r="DI2" s="68"/>
      <c r="DJ2" s="68"/>
      <c r="DK2" s="68" t="s">
        <v>107</v>
      </c>
      <c r="DL2" s="68"/>
      <c r="DM2" s="68"/>
      <c r="DN2" s="68"/>
      <c r="DO2" s="68" t="s">
        <v>108</v>
      </c>
      <c r="DP2" s="68"/>
      <c r="DQ2" s="68"/>
      <c r="DR2" s="68"/>
      <c r="DS2" s="68" t="s">
        <v>109</v>
      </c>
      <c r="DT2" s="68"/>
      <c r="DU2" s="68"/>
      <c r="DV2" s="68"/>
      <c r="DW2" s="76" t="s">
        <v>110</v>
      </c>
      <c r="DX2" s="76"/>
      <c r="DY2" s="76"/>
      <c r="DZ2" s="76"/>
      <c r="EA2" s="14" t="s">
        <v>111</v>
      </c>
      <c r="EB2" s="14" t="s">
        <v>112</v>
      </c>
      <c r="EC2" s="14" t="s">
        <v>108</v>
      </c>
      <c r="ED2" s="14" t="s">
        <v>117</v>
      </c>
      <c r="EE2" s="14" t="s">
        <v>23</v>
      </c>
      <c r="EF2" s="14" t="s">
        <v>66</v>
      </c>
      <c r="EG2" s="14" t="s">
        <v>113</v>
      </c>
      <c r="EH2" s="14" t="s">
        <v>17</v>
      </c>
      <c r="EI2" s="71" t="s">
        <v>106</v>
      </c>
      <c r="EJ2" s="71"/>
      <c r="EK2" s="71"/>
      <c r="EL2" s="71"/>
      <c r="EM2" s="71" t="s">
        <v>107</v>
      </c>
      <c r="EN2" s="71"/>
      <c r="EO2" s="71"/>
      <c r="EP2" s="71"/>
      <c r="EQ2" s="71" t="s">
        <v>108</v>
      </c>
      <c r="ER2" s="71"/>
      <c r="ES2" s="71"/>
      <c r="ET2" s="71"/>
      <c r="EU2" s="71" t="s">
        <v>109</v>
      </c>
      <c r="EV2" s="71"/>
      <c r="EW2" s="71"/>
      <c r="EX2" s="71"/>
      <c r="EY2" s="74" t="s">
        <v>110</v>
      </c>
      <c r="EZ2" s="74"/>
      <c r="FA2" s="74"/>
      <c r="FB2" s="74"/>
      <c r="FC2" s="13" t="s">
        <v>111</v>
      </c>
      <c r="FD2" s="13" t="s">
        <v>112</v>
      </c>
      <c r="FE2" s="13" t="s">
        <v>108</v>
      </c>
      <c r="FF2" s="13" t="s">
        <v>117</v>
      </c>
      <c r="FG2" s="13" t="s">
        <v>23</v>
      </c>
      <c r="FH2" s="13" t="s">
        <v>66</v>
      </c>
      <c r="FI2" s="13" t="s">
        <v>113</v>
      </c>
      <c r="FJ2" s="13" t="s">
        <v>17</v>
      </c>
      <c r="FK2" s="68" t="s">
        <v>106</v>
      </c>
      <c r="FL2" s="68"/>
      <c r="FM2" s="68"/>
      <c r="FN2" s="68"/>
      <c r="FO2" s="68" t="s">
        <v>107</v>
      </c>
      <c r="FP2" s="68"/>
      <c r="FQ2" s="68"/>
      <c r="FR2" s="68"/>
      <c r="FS2" s="68" t="s">
        <v>108</v>
      </c>
      <c r="FT2" s="68"/>
      <c r="FU2" s="68"/>
      <c r="FV2" s="68"/>
      <c r="FW2" s="68" t="s">
        <v>109</v>
      </c>
      <c r="FX2" s="68"/>
      <c r="FY2" s="68"/>
      <c r="FZ2" s="68"/>
      <c r="GA2" s="76" t="s">
        <v>110</v>
      </c>
      <c r="GB2" s="76"/>
      <c r="GC2" s="76"/>
      <c r="GD2" s="76"/>
      <c r="GE2" s="14" t="s">
        <v>111</v>
      </c>
      <c r="GF2" s="14" t="s">
        <v>112</v>
      </c>
      <c r="GG2" s="14" t="s">
        <v>108</v>
      </c>
      <c r="GH2" s="14" t="s">
        <v>117</v>
      </c>
      <c r="GI2" s="14" t="s">
        <v>23</v>
      </c>
      <c r="GJ2" s="14" t="s">
        <v>66</v>
      </c>
      <c r="GK2" s="14" t="s">
        <v>113</v>
      </c>
      <c r="GL2" s="14" t="s">
        <v>17</v>
      </c>
      <c r="GM2" s="71" t="s">
        <v>106</v>
      </c>
      <c r="GN2" s="71"/>
      <c r="GO2" s="71"/>
      <c r="GP2" s="71"/>
      <c r="GQ2" s="71" t="s">
        <v>107</v>
      </c>
      <c r="GR2" s="71"/>
      <c r="GS2" s="71"/>
      <c r="GT2" s="71"/>
      <c r="GU2" s="71" t="s">
        <v>108</v>
      </c>
      <c r="GV2" s="71"/>
      <c r="GW2" s="71"/>
      <c r="GX2" s="71"/>
      <c r="GY2" s="71" t="s">
        <v>109</v>
      </c>
      <c r="GZ2" s="71"/>
      <c r="HA2" s="71"/>
      <c r="HB2" s="71"/>
      <c r="HC2" s="74" t="s">
        <v>110</v>
      </c>
      <c r="HD2" s="74"/>
      <c r="HE2" s="74"/>
      <c r="HF2" s="74"/>
      <c r="HG2" s="13" t="s">
        <v>111</v>
      </c>
      <c r="HH2" s="13" t="s">
        <v>112</v>
      </c>
      <c r="HI2" s="13" t="s">
        <v>108</v>
      </c>
      <c r="HJ2" s="13" t="s">
        <v>117</v>
      </c>
      <c r="HK2" s="13" t="s">
        <v>23</v>
      </c>
      <c r="HL2" s="13" t="s">
        <v>66</v>
      </c>
      <c r="HM2" s="13" t="s">
        <v>113</v>
      </c>
      <c r="HN2" s="13" t="s">
        <v>17</v>
      </c>
      <c r="HO2" s="68" t="s">
        <v>106</v>
      </c>
      <c r="HP2" s="68"/>
      <c r="HQ2" s="68"/>
      <c r="HR2" s="68"/>
      <c r="HS2" s="68" t="s">
        <v>107</v>
      </c>
      <c r="HT2" s="68"/>
      <c r="HU2" s="68"/>
      <c r="HV2" s="68"/>
      <c r="HW2" s="68" t="s">
        <v>108</v>
      </c>
      <c r="HX2" s="68"/>
      <c r="HY2" s="68"/>
      <c r="HZ2" s="68"/>
      <c r="IA2" s="68" t="s">
        <v>109</v>
      </c>
      <c r="IB2" s="68"/>
      <c r="IC2" s="68"/>
      <c r="ID2" s="68"/>
      <c r="IE2" s="76" t="s">
        <v>110</v>
      </c>
      <c r="IF2" s="76"/>
      <c r="IG2" s="76"/>
      <c r="IH2" s="76"/>
      <c r="II2" s="14" t="s">
        <v>111</v>
      </c>
      <c r="IJ2" s="14" t="s">
        <v>112</v>
      </c>
      <c r="IK2" s="14" t="s">
        <v>108</v>
      </c>
      <c r="IL2" s="14" t="s">
        <v>117</v>
      </c>
      <c r="IM2" s="14" t="s">
        <v>23</v>
      </c>
      <c r="IN2" s="14" t="s">
        <v>66</v>
      </c>
      <c r="IO2" s="14" t="s">
        <v>113</v>
      </c>
      <c r="IP2" s="14" t="s">
        <v>17</v>
      </c>
      <c r="IQ2" s="71" t="s">
        <v>106</v>
      </c>
      <c r="IR2" s="71"/>
      <c r="IS2" s="71"/>
      <c r="IT2" s="71"/>
      <c r="IU2" s="71" t="s">
        <v>107</v>
      </c>
      <c r="IV2" s="71"/>
      <c r="IW2" s="71"/>
      <c r="IX2" s="71"/>
      <c r="IY2" s="71" t="s">
        <v>108</v>
      </c>
      <c r="IZ2" s="71"/>
      <c r="JA2" s="71"/>
      <c r="JB2" s="71"/>
      <c r="JC2" s="71" t="s">
        <v>109</v>
      </c>
      <c r="JD2" s="71"/>
      <c r="JE2" s="71"/>
      <c r="JF2" s="71"/>
      <c r="JG2" s="74" t="s">
        <v>110</v>
      </c>
      <c r="JH2" s="74"/>
      <c r="JI2" s="74"/>
      <c r="JJ2" s="74"/>
      <c r="JK2" s="13" t="s">
        <v>111</v>
      </c>
      <c r="JL2" s="13" t="s">
        <v>112</v>
      </c>
      <c r="JM2" s="13" t="s">
        <v>108</v>
      </c>
      <c r="JN2" s="13" t="s">
        <v>117</v>
      </c>
      <c r="JO2" s="13" t="s">
        <v>23</v>
      </c>
      <c r="JP2" s="13" t="s">
        <v>66</v>
      </c>
      <c r="JQ2" s="13" t="s">
        <v>113</v>
      </c>
      <c r="JR2" s="13" t="s">
        <v>17</v>
      </c>
      <c r="JS2" s="68" t="s">
        <v>106</v>
      </c>
      <c r="JT2" s="68"/>
      <c r="JU2" s="68"/>
      <c r="JV2" s="68"/>
      <c r="JW2" s="68" t="s">
        <v>107</v>
      </c>
      <c r="JX2" s="68"/>
      <c r="JY2" s="68"/>
      <c r="JZ2" s="68"/>
      <c r="KA2" s="68" t="s">
        <v>108</v>
      </c>
      <c r="KB2" s="68"/>
      <c r="KC2" s="68"/>
      <c r="KD2" s="68"/>
      <c r="KE2" s="68" t="s">
        <v>109</v>
      </c>
      <c r="KF2" s="68"/>
      <c r="KG2" s="68"/>
      <c r="KH2" s="68"/>
      <c r="KI2" s="76" t="s">
        <v>110</v>
      </c>
      <c r="KJ2" s="76"/>
      <c r="KK2" s="76"/>
      <c r="KL2" s="76"/>
      <c r="KM2" s="14" t="s">
        <v>111</v>
      </c>
      <c r="KN2" s="14" t="s">
        <v>112</v>
      </c>
      <c r="KO2" s="14" t="s">
        <v>108</v>
      </c>
      <c r="KP2" s="14" t="s">
        <v>117</v>
      </c>
      <c r="KQ2" s="14" t="s">
        <v>23</v>
      </c>
      <c r="KR2" s="14" t="s">
        <v>66</v>
      </c>
      <c r="KS2" s="14" t="s">
        <v>113</v>
      </c>
      <c r="KT2" s="14" t="s">
        <v>17</v>
      </c>
      <c r="KU2" s="71" t="s">
        <v>106</v>
      </c>
      <c r="KV2" s="71"/>
      <c r="KW2" s="71"/>
      <c r="KX2" s="71"/>
      <c r="KY2" s="71" t="s">
        <v>107</v>
      </c>
      <c r="KZ2" s="71"/>
      <c r="LA2" s="71"/>
      <c r="LB2" s="71"/>
      <c r="LC2" s="71" t="s">
        <v>108</v>
      </c>
      <c r="LD2" s="71"/>
      <c r="LE2" s="71"/>
      <c r="LF2" s="71"/>
      <c r="LG2" s="71" t="s">
        <v>109</v>
      </c>
      <c r="LH2" s="71"/>
      <c r="LI2" s="71"/>
      <c r="LJ2" s="71"/>
      <c r="LK2" s="74" t="s">
        <v>110</v>
      </c>
      <c r="LL2" s="74"/>
      <c r="LM2" s="74"/>
      <c r="LN2" s="74"/>
      <c r="LO2" s="13" t="s">
        <v>111</v>
      </c>
      <c r="LP2" s="13" t="s">
        <v>112</v>
      </c>
      <c r="LQ2" s="13" t="s">
        <v>108</v>
      </c>
      <c r="LR2" s="13" t="s">
        <v>117</v>
      </c>
      <c r="LS2" s="13" t="s">
        <v>23</v>
      </c>
      <c r="LT2" s="13" t="s">
        <v>66</v>
      </c>
      <c r="LU2" s="13" t="s">
        <v>113</v>
      </c>
      <c r="LV2" s="13" t="s">
        <v>17</v>
      </c>
      <c r="LW2" s="68" t="s">
        <v>106</v>
      </c>
      <c r="LX2" s="68"/>
      <c r="LY2" s="68"/>
      <c r="LZ2" s="68"/>
      <c r="MA2" s="68" t="s">
        <v>107</v>
      </c>
      <c r="MB2" s="68"/>
      <c r="MC2" s="68"/>
      <c r="MD2" s="68"/>
      <c r="ME2" s="68" t="s">
        <v>108</v>
      </c>
      <c r="MF2" s="68"/>
      <c r="MG2" s="68"/>
      <c r="MH2" s="68"/>
      <c r="MI2" s="68" t="s">
        <v>109</v>
      </c>
      <c r="MJ2" s="68"/>
      <c r="MK2" s="68"/>
      <c r="ML2" s="68"/>
      <c r="MM2" s="76" t="s">
        <v>110</v>
      </c>
      <c r="MN2" s="76"/>
      <c r="MO2" s="76"/>
      <c r="MP2" s="76"/>
      <c r="MQ2" s="14" t="s">
        <v>111</v>
      </c>
      <c r="MR2" s="14" t="s">
        <v>112</v>
      </c>
      <c r="MS2" s="14" t="s">
        <v>108</v>
      </c>
      <c r="MT2" s="14" t="s">
        <v>117</v>
      </c>
      <c r="MU2" s="14" t="s">
        <v>23</v>
      </c>
      <c r="MV2" s="14" t="s">
        <v>66</v>
      </c>
      <c r="MW2" s="14" t="s">
        <v>113</v>
      </c>
      <c r="MX2" s="14" t="s">
        <v>17</v>
      </c>
      <c r="MY2" s="71" t="s">
        <v>106</v>
      </c>
      <c r="MZ2" s="71"/>
      <c r="NA2" s="71"/>
      <c r="NB2" s="71"/>
      <c r="NC2" s="71" t="s">
        <v>107</v>
      </c>
      <c r="ND2" s="71"/>
      <c r="NE2" s="71"/>
      <c r="NF2" s="71"/>
      <c r="NG2" s="71" t="s">
        <v>108</v>
      </c>
      <c r="NH2" s="71"/>
      <c r="NI2" s="71"/>
      <c r="NJ2" s="71"/>
      <c r="NK2" s="71" t="s">
        <v>109</v>
      </c>
      <c r="NL2" s="71"/>
      <c r="NM2" s="71"/>
      <c r="NN2" s="71"/>
      <c r="NO2" s="74" t="s">
        <v>110</v>
      </c>
      <c r="NP2" s="74"/>
      <c r="NQ2" s="74"/>
      <c r="NR2" s="74"/>
      <c r="NS2" s="13" t="s">
        <v>111</v>
      </c>
      <c r="NT2" s="13" t="s">
        <v>112</v>
      </c>
      <c r="NU2" s="13" t="s">
        <v>108</v>
      </c>
      <c r="NV2" s="13" t="s">
        <v>117</v>
      </c>
      <c r="NW2" s="13" t="s">
        <v>23</v>
      </c>
      <c r="NX2" s="13" t="s">
        <v>66</v>
      </c>
      <c r="NY2" s="13" t="s">
        <v>113</v>
      </c>
      <c r="NZ2" s="13" t="s">
        <v>17</v>
      </c>
      <c r="OA2" s="68" t="s">
        <v>106</v>
      </c>
      <c r="OB2" s="68"/>
      <c r="OC2" s="68"/>
      <c r="OD2" s="68"/>
      <c r="OE2" s="68" t="s">
        <v>107</v>
      </c>
      <c r="OF2" s="68"/>
      <c r="OG2" s="68"/>
      <c r="OH2" s="68"/>
      <c r="OI2" s="68" t="s">
        <v>108</v>
      </c>
      <c r="OJ2" s="68"/>
      <c r="OK2" s="68"/>
      <c r="OL2" s="68"/>
      <c r="OM2" s="68" t="s">
        <v>109</v>
      </c>
      <c r="ON2" s="68"/>
      <c r="OO2" s="68"/>
      <c r="OP2" s="68"/>
      <c r="OQ2" s="76" t="s">
        <v>110</v>
      </c>
      <c r="OR2" s="76"/>
      <c r="OS2" s="76"/>
      <c r="OT2" s="76"/>
      <c r="OU2" s="14" t="s">
        <v>111</v>
      </c>
      <c r="OV2" s="14" t="s">
        <v>112</v>
      </c>
      <c r="OW2" s="14" t="s">
        <v>108</v>
      </c>
      <c r="OX2" s="14" t="s">
        <v>117</v>
      </c>
      <c r="OY2" s="14" t="s">
        <v>23</v>
      </c>
      <c r="OZ2" s="14" t="s">
        <v>66</v>
      </c>
      <c r="PA2" s="14" t="s">
        <v>113</v>
      </c>
      <c r="PB2" s="14" t="s">
        <v>17</v>
      </c>
      <c r="PC2" s="71" t="s">
        <v>106</v>
      </c>
      <c r="PD2" s="71"/>
      <c r="PE2" s="71"/>
      <c r="PF2" s="71"/>
      <c r="PG2" s="71" t="s">
        <v>107</v>
      </c>
      <c r="PH2" s="71"/>
      <c r="PI2" s="71"/>
      <c r="PJ2" s="71"/>
      <c r="PK2" s="71" t="s">
        <v>108</v>
      </c>
      <c r="PL2" s="71"/>
      <c r="PM2" s="71"/>
      <c r="PN2" s="71"/>
      <c r="PO2" s="71" t="s">
        <v>109</v>
      </c>
      <c r="PP2" s="71"/>
      <c r="PQ2" s="71"/>
      <c r="PR2" s="71"/>
      <c r="PS2" s="74" t="s">
        <v>110</v>
      </c>
      <c r="PT2" s="74"/>
      <c r="PU2" s="74"/>
      <c r="PV2" s="74"/>
      <c r="PW2" s="13" t="s">
        <v>111</v>
      </c>
      <c r="PX2" s="13" t="s">
        <v>112</v>
      </c>
      <c r="PY2" s="13" t="s">
        <v>108</v>
      </c>
      <c r="PZ2" s="13" t="s">
        <v>117</v>
      </c>
      <c r="QA2" s="13" t="s">
        <v>23</v>
      </c>
      <c r="QB2" s="13" t="s">
        <v>66</v>
      </c>
      <c r="QC2" s="13" t="s">
        <v>113</v>
      </c>
      <c r="QD2" s="13" t="s">
        <v>17</v>
      </c>
      <c r="QE2" s="68" t="s">
        <v>106</v>
      </c>
      <c r="QF2" s="68"/>
      <c r="QG2" s="68"/>
      <c r="QH2" s="68"/>
      <c r="QI2" s="68" t="s">
        <v>107</v>
      </c>
      <c r="QJ2" s="68"/>
      <c r="QK2" s="68"/>
      <c r="QL2" s="68"/>
      <c r="QM2" s="68" t="s">
        <v>108</v>
      </c>
      <c r="QN2" s="68"/>
      <c r="QO2" s="68"/>
      <c r="QP2" s="68"/>
      <c r="QQ2" s="68" t="s">
        <v>109</v>
      </c>
      <c r="QR2" s="68"/>
      <c r="QS2" s="68"/>
      <c r="QT2" s="68"/>
      <c r="QU2" s="76" t="s">
        <v>110</v>
      </c>
      <c r="QV2" s="76"/>
      <c r="QW2" s="76"/>
      <c r="QX2" s="76"/>
      <c r="QY2" s="14" t="s">
        <v>111</v>
      </c>
      <c r="QZ2" s="14" t="s">
        <v>112</v>
      </c>
      <c r="RA2" s="14" t="s">
        <v>108</v>
      </c>
      <c r="RB2" s="14" t="s">
        <v>117</v>
      </c>
      <c r="RC2" s="14" t="s">
        <v>23</v>
      </c>
      <c r="RD2" s="14" t="s">
        <v>66</v>
      </c>
      <c r="RE2" s="14" t="s">
        <v>113</v>
      </c>
      <c r="RF2" s="14" t="s">
        <v>17</v>
      </c>
      <c r="RG2" s="71" t="s">
        <v>106</v>
      </c>
      <c r="RH2" s="71"/>
      <c r="RI2" s="71"/>
      <c r="RJ2" s="71"/>
      <c r="RK2" s="71" t="s">
        <v>107</v>
      </c>
      <c r="RL2" s="71"/>
      <c r="RM2" s="71"/>
      <c r="RN2" s="71"/>
      <c r="RO2" s="71" t="s">
        <v>108</v>
      </c>
      <c r="RP2" s="71"/>
      <c r="RQ2" s="71"/>
      <c r="RR2" s="71"/>
      <c r="RS2" s="71" t="s">
        <v>109</v>
      </c>
      <c r="RT2" s="71"/>
      <c r="RU2" s="71"/>
      <c r="RV2" s="71"/>
      <c r="RW2" s="74" t="s">
        <v>110</v>
      </c>
      <c r="RX2" s="74"/>
      <c r="RY2" s="74"/>
      <c r="RZ2" s="74"/>
      <c r="SA2" s="13" t="s">
        <v>111</v>
      </c>
      <c r="SB2" s="13" t="s">
        <v>112</v>
      </c>
      <c r="SC2" s="13" t="s">
        <v>108</v>
      </c>
      <c r="SD2" s="13" t="s">
        <v>117</v>
      </c>
      <c r="SE2" s="13" t="s">
        <v>23</v>
      </c>
      <c r="SF2" s="13" t="s">
        <v>66</v>
      </c>
      <c r="SG2" s="13" t="s">
        <v>113</v>
      </c>
      <c r="SH2" s="13" t="s">
        <v>17</v>
      </c>
      <c r="SI2" s="68" t="s">
        <v>106</v>
      </c>
      <c r="SJ2" s="68"/>
      <c r="SK2" s="68"/>
      <c r="SL2" s="68"/>
      <c r="SM2" s="68" t="s">
        <v>107</v>
      </c>
      <c r="SN2" s="68"/>
      <c r="SO2" s="68"/>
      <c r="SP2" s="68"/>
      <c r="SQ2" s="68" t="s">
        <v>108</v>
      </c>
      <c r="SR2" s="68"/>
      <c r="SS2" s="68"/>
      <c r="ST2" s="68"/>
      <c r="SU2" s="68" t="s">
        <v>109</v>
      </c>
      <c r="SV2" s="68"/>
      <c r="SW2" s="68"/>
      <c r="SX2" s="68"/>
      <c r="SY2" s="76" t="s">
        <v>110</v>
      </c>
      <c r="SZ2" s="76"/>
      <c r="TA2" s="76"/>
      <c r="TB2" s="76"/>
      <c r="TC2" s="14" t="s">
        <v>111</v>
      </c>
      <c r="TD2" s="14" t="s">
        <v>112</v>
      </c>
      <c r="TE2" s="14" t="s">
        <v>108</v>
      </c>
      <c r="TF2" s="14" t="s">
        <v>117</v>
      </c>
      <c r="TG2" s="14" t="s">
        <v>23</v>
      </c>
      <c r="TH2" s="14" t="s">
        <v>66</v>
      </c>
      <c r="TI2" s="14" t="s">
        <v>113</v>
      </c>
      <c r="TJ2" s="14" t="s">
        <v>17</v>
      </c>
      <c r="TK2" s="71" t="s">
        <v>106</v>
      </c>
      <c r="TL2" s="71"/>
      <c r="TM2" s="71"/>
      <c r="TN2" s="71"/>
      <c r="TO2" s="71" t="s">
        <v>107</v>
      </c>
      <c r="TP2" s="71"/>
      <c r="TQ2" s="71"/>
      <c r="TR2" s="71"/>
      <c r="TS2" s="71" t="s">
        <v>108</v>
      </c>
      <c r="TT2" s="71"/>
      <c r="TU2" s="71"/>
      <c r="TV2" s="71"/>
      <c r="TW2" s="71" t="s">
        <v>109</v>
      </c>
      <c r="TX2" s="71"/>
      <c r="TY2" s="71"/>
      <c r="TZ2" s="71"/>
      <c r="UA2" s="77" t="s">
        <v>110</v>
      </c>
      <c r="UB2" s="77"/>
      <c r="UC2" s="77"/>
      <c r="UD2" s="77"/>
      <c r="UE2" s="13"/>
      <c r="UF2" s="13" t="s">
        <v>111</v>
      </c>
      <c r="UG2" s="13" t="s">
        <v>112</v>
      </c>
      <c r="UH2" s="13" t="s">
        <v>108</v>
      </c>
      <c r="UI2" s="13" t="s">
        <v>117</v>
      </c>
      <c r="UJ2" s="13" t="s">
        <v>23</v>
      </c>
      <c r="UK2" s="13" t="s">
        <v>66</v>
      </c>
      <c r="UL2" s="13" t="s">
        <v>113</v>
      </c>
      <c r="UM2" s="13" t="s">
        <v>17</v>
      </c>
    </row>
    <row r="3" spans="1:559" x14ac:dyDescent="0.2">
      <c r="A3" s="64"/>
      <c r="B3" s="64"/>
      <c r="C3" s="64"/>
      <c r="D3" s="64"/>
      <c r="E3" s="64"/>
      <c r="F3" s="65"/>
      <c r="G3" s="65"/>
      <c r="H3" s="64"/>
      <c r="I3" s="65"/>
      <c r="J3" s="70"/>
      <c r="K3" s="66"/>
      <c r="L3" s="70"/>
      <c r="M3" s="66"/>
      <c r="N3" s="70"/>
      <c r="O3" s="66"/>
      <c r="P3" s="66"/>
      <c r="Q3" s="66"/>
      <c r="R3" s="69"/>
      <c r="S3" s="66"/>
      <c r="T3" s="66"/>
      <c r="U3" s="14" t="s">
        <v>14</v>
      </c>
      <c r="V3" s="14" t="s">
        <v>9</v>
      </c>
      <c r="W3" s="14" t="s">
        <v>28</v>
      </c>
      <c r="X3" s="14" t="s">
        <v>29</v>
      </c>
      <c r="Y3" s="14" t="s">
        <v>14</v>
      </c>
      <c r="Z3" s="14" t="s">
        <v>9</v>
      </c>
      <c r="AA3" s="14" t="s">
        <v>28</v>
      </c>
      <c r="AB3" s="14" t="s">
        <v>29</v>
      </c>
      <c r="AC3" s="14" t="s">
        <v>14</v>
      </c>
      <c r="AD3" s="14" t="s">
        <v>9</v>
      </c>
      <c r="AE3" s="14" t="s">
        <v>28</v>
      </c>
      <c r="AF3" s="14" t="s">
        <v>29</v>
      </c>
      <c r="AG3" s="14" t="s">
        <v>14</v>
      </c>
      <c r="AH3" s="14" t="s">
        <v>9</v>
      </c>
      <c r="AI3" s="14" t="s">
        <v>28</v>
      </c>
      <c r="AJ3" s="14" t="s">
        <v>29</v>
      </c>
      <c r="AK3" s="21" t="s">
        <v>14</v>
      </c>
      <c r="AL3" s="21" t="s">
        <v>9</v>
      </c>
      <c r="AM3" s="21" t="s">
        <v>28</v>
      </c>
      <c r="AN3" s="21" t="s">
        <v>29</v>
      </c>
      <c r="AO3" s="14" t="s">
        <v>52</v>
      </c>
      <c r="AP3" s="14"/>
      <c r="AQ3" s="14"/>
      <c r="AR3" s="14"/>
      <c r="AS3" s="14"/>
      <c r="AT3" s="14"/>
      <c r="AU3" s="14"/>
      <c r="AV3" s="14"/>
      <c r="AW3" s="14"/>
      <c r="AX3" s="13" t="s">
        <v>14</v>
      </c>
      <c r="AY3" s="13" t="s">
        <v>9</v>
      </c>
      <c r="AZ3" s="13" t="s">
        <v>28</v>
      </c>
      <c r="BA3" s="13" t="s">
        <v>29</v>
      </c>
      <c r="BB3" s="13" t="s">
        <v>14</v>
      </c>
      <c r="BC3" s="13" t="s">
        <v>9</v>
      </c>
      <c r="BD3" s="13" t="s">
        <v>28</v>
      </c>
      <c r="BE3" s="13" t="s">
        <v>29</v>
      </c>
      <c r="BF3" s="13" t="s">
        <v>14</v>
      </c>
      <c r="BG3" s="13" t="s">
        <v>9</v>
      </c>
      <c r="BH3" s="13" t="s">
        <v>28</v>
      </c>
      <c r="BI3" s="13" t="s">
        <v>29</v>
      </c>
      <c r="BJ3" s="13" t="s">
        <v>14</v>
      </c>
      <c r="BK3" s="13" t="s">
        <v>9</v>
      </c>
      <c r="BL3" s="13" t="s">
        <v>28</v>
      </c>
      <c r="BM3" s="13" t="s">
        <v>29</v>
      </c>
      <c r="BN3" s="16" t="s">
        <v>14</v>
      </c>
      <c r="BO3" s="16" t="s">
        <v>9</v>
      </c>
      <c r="BP3" s="16" t="s">
        <v>28</v>
      </c>
      <c r="BQ3" s="16" t="s">
        <v>29</v>
      </c>
      <c r="BR3" s="13" t="s">
        <v>52</v>
      </c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9</v>
      </c>
      <c r="CC3" s="14" t="s">
        <v>28</v>
      </c>
      <c r="CD3" s="14" t="s">
        <v>29</v>
      </c>
      <c r="CE3" s="14" t="s">
        <v>14</v>
      </c>
      <c r="CF3" s="14" t="s">
        <v>9</v>
      </c>
      <c r="CG3" s="14" t="s">
        <v>28</v>
      </c>
      <c r="CH3" s="14" t="s">
        <v>29</v>
      </c>
      <c r="CI3" s="14" t="s">
        <v>14</v>
      </c>
      <c r="CJ3" s="14" t="s">
        <v>9</v>
      </c>
      <c r="CK3" s="14" t="s">
        <v>28</v>
      </c>
      <c r="CL3" s="14" t="s">
        <v>29</v>
      </c>
      <c r="CM3" s="14" t="s">
        <v>14</v>
      </c>
      <c r="CN3" s="14" t="s">
        <v>9</v>
      </c>
      <c r="CO3" s="14" t="s">
        <v>28</v>
      </c>
      <c r="CP3" s="14" t="s">
        <v>29</v>
      </c>
      <c r="CQ3" s="21" t="s">
        <v>14</v>
      </c>
      <c r="CR3" s="21" t="s">
        <v>9</v>
      </c>
      <c r="CS3" s="21" t="s">
        <v>28</v>
      </c>
      <c r="CT3" s="21" t="s">
        <v>29</v>
      </c>
      <c r="CU3" s="14" t="s">
        <v>52</v>
      </c>
      <c r="CV3" s="14"/>
      <c r="CW3" s="14"/>
      <c r="CX3" s="14"/>
      <c r="CY3" s="14"/>
      <c r="CZ3" s="14"/>
      <c r="DA3" s="14"/>
      <c r="DB3" s="14"/>
      <c r="DC3" s="14"/>
      <c r="DD3" s="50"/>
      <c r="DE3" s="50"/>
      <c r="DF3" s="50"/>
      <c r="DG3" s="14" t="s">
        <v>14</v>
      </c>
      <c r="DH3" s="14" t="s">
        <v>9</v>
      </c>
      <c r="DI3" s="14" t="s">
        <v>28</v>
      </c>
      <c r="DJ3" s="14" t="s">
        <v>29</v>
      </c>
      <c r="DK3" s="14" t="s">
        <v>14</v>
      </c>
      <c r="DL3" s="14" t="s">
        <v>9</v>
      </c>
      <c r="DM3" s="14" t="s">
        <v>28</v>
      </c>
      <c r="DN3" s="14" t="s">
        <v>29</v>
      </c>
      <c r="DO3" s="14" t="s">
        <v>14</v>
      </c>
      <c r="DP3" s="14" t="s">
        <v>9</v>
      </c>
      <c r="DQ3" s="14" t="s">
        <v>28</v>
      </c>
      <c r="DR3" s="14" t="s">
        <v>29</v>
      </c>
      <c r="DS3" s="14" t="s">
        <v>14</v>
      </c>
      <c r="DT3" s="14" t="s">
        <v>9</v>
      </c>
      <c r="DU3" s="14" t="s">
        <v>28</v>
      </c>
      <c r="DV3" s="14" t="s">
        <v>29</v>
      </c>
      <c r="DW3" s="15" t="s">
        <v>14</v>
      </c>
      <c r="DX3" s="15" t="s">
        <v>9</v>
      </c>
      <c r="DY3" s="15" t="s">
        <v>28</v>
      </c>
      <c r="DZ3" s="15" t="s">
        <v>29</v>
      </c>
      <c r="EA3" s="14"/>
      <c r="EB3" s="14"/>
      <c r="EC3" s="14"/>
      <c r="ED3" s="14"/>
      <c r="EE3" s="14"/>
      <c r="EF3" s="14"/>
      <c r="EG3" s="14"/>
      <c r="EH3" s="14"/>
      <c r="EI3" s="13" t="s">
        <v>14</v>
      </c>
      <c r="EJ3" s="13" t="s">
        <v>9</v>
      </c>
      <c r="EK3" s="13" t="s">
        <v>28</v>
      </c>
      <c r="EL3" s="13" t="s">
        <v>29</v>
      </c>
      <c r="EM3" s="13" t="s">
        <v>14</v>
      </c>
      <c r="EN3" s="13" t="s">
        <v>9</v>
      </c>
      <c r="EO3" s="13" t="s">
        <v>28</v>
      </c>
      <c r="EP3" s="13" t="s">
        <v>29</v>
      </c>
      <c r="EQ3" s="13" t="s">
        <v>14</v>
      </c>
      <c r="ER3" s="13" t="s">
        <v>9</v>
      </c>
      <c r="ES3" s="13" t="s">
        <v>28</v>
      </c>
      <c r="ET3" s="13" t="s">
        <v>29</v>
      </c>
      <c r="EU3" s="13" t="s">
        <v>14</v>
      </c>
      <c r="EV3" s="13" t="s">
        <v>9</v>
      </c>
      <c r="EW3" s="13" t="s">
        <v>28</v>
      </c>
      <c r="EX3" s="13" t="s">
        <v>29</v>
      </c>
      <c r="EY3" s="16" t="s">
        <v>14</v>
      </c>
      <c r="EZ3" s="16" t="s">
        <v>9</v>
      </c>
      <c r="FA3" s="16" t="s">
        <v>28</v>
      </c>
      <c r="FB3" s="16" t="s">
        <v>29</v>
      </c>
      <c r="FC3" s="13"/>
      <c r="FD3" s="13"/>
      <c r="FE3" s="13"/>
      <c r="FF3" s="13"/>
      <c r="FG3" s="13"/>
      <c r="FH3" s="13"/>
      <c r="FI3" s="13"/>
      <c r="FJ3" s="13"/>
      <c r="FK3" s="14" t="s">
        <v>14</v>
      </c>
      <c r="FL3" s="14" t="s">
        <v>9</v>
      </c>
      <c r="FM3" s="14" t="s">
        <v>28</v>
      </c>
      <c r="FN3" s="14" t="s">
        <v>29</v>
      </c>
      <c r="FO3" s="14" t="s">
        <v>14</v>
      </c>
      <c r="FP3" s="14" t="s">
        <v>9</v>
      </c>
      <c r="FQ3" s="14" t="s">
        <v>28</v>
      </c>
      <c r="FR3" s="14" t="s">
        <v>29</v>
      </c>
      <c r="FS3" s="14" t="s">
        <v>14</v>
      </c>
      <c r="FT3" s="14" t="s">
        <v>9</v>
      </c>
      <c r="FU3" s="14" t="s">
        <v>28</v>
      </c>
      <c r="FV3" s="14" t="s">
        <v>29</v>
      </c>
      <c r="FW3" s="14" t="s">
        <v>14</v>
      </c>
      <c r="FX3" s="14" t="s">
        <v>9</v>
      </c>
      <c r="FY3" s="14" t="s">
        <v>28</v>
      </c>
      <c r="FZ3" s="14" t="s">
        <v>29</v>
      </c>
      <c r="GA3" s="15" t="s">
        <v>14</v>
      </c>
      <c r="GB3" s="15" t="s">
        <v>9</v>
      </c>
      <c r="GC3" s="15" t="s">
        <v>28</v>
      </c>
      <c r="GD3" s="15" t="s">
        <v>29</v>
      </c>
      <c r="GE3" s="14"/>
      <c r="GF3" s="14"/>
      <c r="GG3" s="14"/>
      <c r="GH3" s="14"/>
      <c r="GI3" s="14"/>
      <c r="GJ3" s="14"/>
      <c r="GK3" s="14"/>
      <c r="GL3" s="14"/>
      <c r="GM3" s="13" t="s">
        <v>14</v>
      </c>
      <c r="GN3" s="13" t="s">
        <v>9</v>
      </c>
      <c r="GO3" s="13" t="s">
        <v>28</v>
      </c>
      <c r="GP3" s="13" t="s">
        <v>29</v>
      </c>
      <c r="GQ3" s="13" t="s">
        <v>14</v>
      </c>
      <c r="GR3" s="13" t="s">
        <v>9</v>
      </c>
      <c r="GS3" s="13" t="s">
        <v>28</v>
      </c>
      <c r="GT3" s="13" t="s">
        <v>29</v>
      </c>
      <c r="GU3" s="13" t="s">
        <v>14</v>
      </c>
      <c r="GV3" s="13" t="s">
        <v>9</v>
      </c>
      <c r="GW3" s="13" t="s">
        <v>28</v>
      </c>
      <c r="GX3" s="13" t="s">
        <v>29</v>
      </c>
      <c r="GY3" s="13" t="s">
        <v>14</v>
      </c>
      <c r="GZ3" s="13" t="s">
        <v>9</v>
      </c>
      <c r="HA3" s="13" t="s">
        <v>28</v>
      </c>
      <c r="HB3" s="13" t="s">
        <v>29</v>
      </c>
      <c r="HC3" s="16" t="s">
        <v>14</v>
      </c>
      <c r="HD3" s="16" t="s">
        <v>9</v>
      </c>
      <c r="HE3" s="16" t="s">
        <v>28</v>
      </c>
      <c r="HF3" s="16" t="s">
        <v>29</v>
      </c>
      <c r="HG3" s="13"/>
      <c r="HH3" s="13"/>
      <c r="HI3" s="13"/>
      <c r="HJ3" s="13"/>
      <c r="HK3" s="13"/>
      <c r="HL3" s="13"/>
      <c r="HM3" s="13"/>
      <c r="HN3" s="13"/>
      <c r="HO3" s="14" t="s">
        <v>14</v>
      </c>
      <c r="HP3" s="14" t="s">
        <v>9</v>
      </c>
      <c r="HQ3" s="14" t="s">
        <v>28</v>
      </c>
      <c r="HR3" s="14" t="s">
        <v>29</v>
      </c>
      <c r="HS3" s="14" t="s">
        <v>14</v>
      </c>
      <c r="HT3" s="14" t="s">
        <v>9</v>
      </c>
      <c r="HU3" s="14" t="s">
        <v>28</v>
      </c>
      <c r="HV3" s="14" t="s">
        <v>29</v>
      </c>
      <c r="HW3" s="14" t="s">
        <v>14</v>
      </c>
      <c r="HX3" s="14" t="s">
        <v>9</v>
      </c>
      <c r="HY3" s="14" t="s">
        <v>28</v>
      </c>
      <c r="HZ3" s="14" t="s">
        <v>29</v>
      </c>
      <c r="IA3" s="14" t="s">
        <v>14</v>
      </c>
      <c r="IB3" s="14" t="s">
        <v>9</v>
      </c>
      <c r="IC3" s="14" t="s">
        <v>28</v>
      </c>
      <c r="ID3" s="14" t="s">
        <v>29</v>
      </c>
      <c r="IE3" s="15" t="s">
        <v>14</v>
      </c>
      <c r="IF3" s="15" t="s">
        <v>9</v>
      </c>
      <c r="IG3" s="15" t="s">
        <v>28</v>
      </c>
      <c r="IH3" s="15" t="s">
        <v>29</v>
      </c>
      <c r="II3" s="14"/>
      <c r="IJ3" s="14"/>
      <c r="IK3" s="14"/>
      <c r="IL3" s="14"/>
      <c r="IM3" s="14"/>
      <c r="IN3" s="14"/>
      <c r="IO3" s="14"/>
      <c r="IP3" s="14"/>
      <c r="IQ3" s="13" t="s">
        <v>14</v>
      </c>
      <c r="IR3" s="13" t="s">
        <v>9</v>
      </c>
      <c r="IS3" s="13" t="s">
        <v>28</v>
      </c>
      <c r="IT3" s="13" t="s">
        <v>29</v>
      </c>
      <c r="IU3" s="13" t="s">
        <v>14</v>
      </c>
      <c r="IV3" s="13" t="s">
        <v>9</v>
      </c>
      <c r="IW3" s="13" t="s">
        <v>28</v>
      </c>
      <c r="IX3" s="13" t="s">
        <v>29</v>
      </c>
      <c r="IY3" s="13" t="s">
        <v>14</v>
      </c>
      <c r="IZ3" s="13" t="s">
        <v>9</v>
      </c>
      <c r="JA3" s="13" t="s">
        <v>28</v>
      </c>
      <c r="JB3" s="13" t="s">
        <v>29</v>
      </c>
      <c r="JC3" s="13" t="s">
        <v>14</v>
      </c>
      <c r="JD3" s="13" t="s">
        <v>9</v>
      </c>
      <c r="JE3" s="13" t="s">
        <v>28</v>
      </c>
      <c r="JF3" s="13" t="s">
        <v>29</v>
      </c>
      <c r="JG3" s="16" t="s">
        <v>14</v>
      </c>
      <c r="JH3" s="16" t="s">
        <v>9</v>
      </c>
      <c r="JI3" s="16" t="s">
        <v>28</v>
      </c>
      <c r="JJ3" s="16" t="s">
        <v>29</v>
      </c>
      <c r="JK3" s="13"/>
      <c r="JL3" s="13"/>
      <c r="JM3" s="13"/>
      <c r="JN3" s="13"/>
      <c r="JO3" s="13"/>
      <c r="JP3" s="13"/>
      <c r="JQ3" s="13"/>
      <c r="JR3" s="13"/>
      <c r="JS3" s="14" t="s">
        <v>14</v>
      </c>
      <c r="JT3" s="14" t="s">
        <v>9</v>
      </c>
      <c r="JU3" s="14" t="s">
        <v>28</v>
      </c>
      <c r="JV3" s="14" t="s">
        <v>29</v>
      </c>
      <c r="JW3" s="14" t="s">
        <v>14</v>
      </c>
      <c r="JX3" s="14" t="s">
        <v>9</v>
      </c>
      <c r="JY3" s="14" t="s">
        <v>28</v>
      </c>
      <c r="JZ3" s="14" t="s">
        <v>29</v>
      </c>
      <c r="KA3" s="14" t="s">
        <v>14</v>
      </c>
      <c r="KB3" s="14" t="s">
        <v>9</v>
      </c>
      <c r="KC3" s="14" t="s">
        <v>28</v>
      </c>
      <c r="KD3" s="14" t="s">
        <v>29</v>
      </c>
      <c r="KE3" s="14" t="s">
        <v>14</v>
      </c>
      <c r="KF3" s="14" t="s">
        <v>9</v>
      </c>
      <c r="KG3" s="14" t="s">
        <v>28</v>
      </c>
      <c r="KH3" s="14" t="s">
        <v>29</v>
      </c>
      <c r="KI3" s="15" t="s">
        <v>14</v>
      </c>
      <c r="KJ3" s="15" t="s">
        <v>9</v>
      </c>
      <c r="KK3" s="15" t="s">
        <v>28</v>
      </c>
      <c r="KL3" s="15" t="s">
        <v>29</v>
      </c>
      <c r="KM3" s="14"/>
      <c r="KN3" s="14"/>
      <c r="KO3" s="14"/>
      <c r="KP3" s="14"/>
      <c r="KQ3" s="14"/>
      <c r="KR3" s="14"/>
      <c r="KS3" s="14"/>
      <c r="KT3" s="14"/>
      <c r="KU3" s="13" t="s">
        <v>14</v>
      </c>
      <c r="KV3" s="13" t="s">
        <v>9</v>
      </c>
      <c r="KW3" s="13" t="s">
        <v>28</v>
      </c>
      <c r="KX3" s="13" t="s">
        <v>29</v>
      </c>
      <c r="KY3" s="13" t="s">
        <v>14</v>
      </c>
      <c r="KZ3" s="13" t="s">
        <v>9</v>
      </c>
      <c r="LA3" s="13" t="s">
        <v>28</v>
      </c>
      <c r="LB3" s="13" t="s">
        <v>29</v>
      </c>
      <c r="LC3" s="13" t="s">
        <v>14</v>
      </c>
      <c r="LD3" s="13" t="s">
        <v>9</v>
      </c>
      <c r="LE3" s="13" t="s">
        <v>28</v>
      </c>
      <c r="LF3" s="13" t="s">
        <v>29</v>
      </c>
      <c r="LG3" s="13" t="s">
        <v>14</v>
      </c>
      <c r="LH3" s="13" t="s">
        <v>9</v>
      </c>
      <c r="LI3" s="13" t="s">
        <v>28</v>
      </c>
      <c r="LJ3" s="13" t="s">
        <v>29</v>
      </c>
      <c r="LK3" s="16" t="s">
        <v>14</v>
      </c>
      <c r="LL3" s="16" t="s">
        <v>9</v>
      </c>
      <c r="LM3" s="16" t="s">
        <v>28</v>
      </c>
      <c r="LN3" s="16" t="s">
        <v>29</v>
      </c>
      <c r="LO3" s="13"/>
      <c r="LP3" s="13"/>
      <c r="LQ3" s="13"/>
      <c r="LR3" s="13"/>
      <c r="LS3" s="13"/>
      <c r="LT3" s="13"/>
      <c r="LU3" s="13"/>
      <c r="LV3" s="13"/>
      <c r="LW3" s="14" t="s">
        <v>14</v>
      </c>
      <c r="LX3" s="14" t="s">
        <v>9</v>
      </c>
      <c r="LY3" s="14" t="s">
        <v>28</v>
      </c>
      <c r="LZ3" s="14" t="s">
        <v>29</v>
      </c>
      <c r="MA3" s="14" t="s">
        <v>14</v>
      </c>
      <c r="MB3" s="14" t="s">
        <v>9</v>
      </c>
      <c r="MC3" s="14" t="s">
        <v>28</v>
      </c>
      <c r="MD3" s="14" t="s">
        <v>29</v>
      </c>
      <c r="ME3" s="14" t="s">
        <v>14</v>
      </c>
      <c r="MF3" s="14" t="s">
        <v>9</v>
      </c>
      <c r="MG3" s="14" t="s">
        <v>28</v>
      </c>
      <c r="MH3" s="14" t="s">
        <v>29</v>
      </c>
      <c r="MI3" s="14" t="s">
        <v>14</v>
      </c>
      <c r="MJ3" s="14" t="s">
        <v>9</v>
      </c>
      <c r="MK3" s="14" t="s">
        <v>28</v>
      </c>
      <c r="ML3" s="14" t="s">
        <v>29</v>
      </c>
      <c r="MM3" s="15" t="s">
        <v>14</v>
      </c>
      <c r="MN3" s="15" t="s">
        <v>9</v>
      </c>
      <c r="MO3" s="15" t="s">
        <v>28</v>
      </c>
      <c r="MP3" s="15" t="s">
        <v>29</v>
      </c>
      <c r="MQ3" s="14"/>
      <c r="MR3" s="14"/>
      <c r="MS3" s="14"/>
      <c r="MT3" s="14"/>
      <c r="MU3" s="14"/>
      <c r="MV3" s="14"/>
      <c r="MW3" s="14"/>
      <c r="MX3" s="14"/>
      <c r="MY3" s="13" t="s">
        <v>14</v>
      </c>
      <c r="MZ3" s="13" t="s">
        <v>9</v>
      </c>
      <c r="NA3" s="13" t="s">
        <v>28</v>
      </c>
      <c r="NB3" s="13" t="s">
        <v>29</v>
      </c>
      <c r="NC3" s="13" t="s">
        <v>14</v>
      </c>
      <c r="ND3" s="13" t="s">
        <v>9</v>
      </c>
      <c r="NE3" s="13" t="s">
        <v>28</v>
      </c>
      <c r="NF3" s="13" t="s">
        <v>29</v>
      </c>
      <c r="NG3" s="13" t="s">
        <v>14</v>
      </c>
      <c r="NH3" s="13" t="s">
        <v>9</v>
      </c>
      <c r="NI3" s="13" t="s">
        <v>28</v>
      </c>
      <c r="NJ3" s="13" t="s">
        <v>29</v>
      </c>
      <c r="NK3" s="13" t="s">
        <v>14</v>
      </c>
      <c r="NL3" s="13" t="s">
        <v>9</v>
      </c>
      <c r="NM3" s="13" t="s">
        <v>28</v>
      </c>
      <c r="NN3" s="13" t="s">
        <v>29</v>
      </c>
      <c r="NO3" s="16" t="s">
        <v>14</v>
      </c>
      <c r="NP3" s="16" t="s">
        <v>9</v>
      </c>
      <c r="NQ3" s="16" t="s">
        <v>28</v>
      </c>
      <c r="NR3" s="16" t="s">
        <v>29</v>
      </c>
      <c r="NS3" s="13"/>
      <c r="NT3" s="13"/>
      <c r="NU3" s="13"/>
      <c r="NV3" s="13"/>
      <c r="NW3" s="13"/>
      <c r="NX3" s="13"/>
      <c r="NY3" s="13"/>
      <c r="NZ3" s="13"/>
      <c r="OA3" s="14" t="s">
        <v>14</v>
      </c>
      <c r="OB3" s="14" t="s">
        <v>9</v>
      </c>
      <c r="OC3" s="14" t="s">
        <v>28</v>
      </c>
      <c r="OD3" s="14" t="s">
        <v>29</v>
      </c>
      <c r="OE3" s="14" t="s">
        <v>14</v>
      </c>
      <c r="OF3" s="14" t="s">
        <v>9</v>
      </c>
      <c r="OG3" s="14" t="s">
        <v>28</v>
      </c>
      <c r="OH3" s="14" t="s">
        <v>29</v>
      </c>
      <c r="OI3" s="14" t="s">
        <v>14</v>
      </c>
      <c r="OJ3" s="14" t="s">
        <v>9</v>
      </c>
      <c r="OK3" s="14" t="s">
        <v>28</v>
      </c>
      <c r="OL3" s="14" t="s">
        <v>29</v>
      </c>
      <c r="OM3" s="14" t="s">
        <v>14</v>
      </c>
      <c r="ON3" s="14" t="s">
        <v>9</v>
      </c>
      <c r="OO3" s="14" t="s">
        <v>28</v>
      </c>
      <c r="OP3" s="14" t="s">
        <v>29</v>
      </c>
      <c r="OQ3" s="15" t="s">
        <v>14</v>
      </c>
      <c r="OR3" s="15" t="s">
        <v>9</v>
      </c>
      <c r="OS3" s="15" t="s">
        <v>28</v>
      </c>
      <c r="OT3" s="15" t="s">
        <v>29</v>
      </c>
      <c r="OU3" s="14"/>
      <c r="OV3" s="14"/>
      <c r="OW3" s="14"/>
      <c r="OX3" s="14"/>
      <c r="OY3" s="14"/>
      <c r="OZ3" s="14"/>
      <c r="PA3" s="14"/>
      <c r="PB3" s="14"/>
      <c r="PC3" s="13" t="s">
        <v>14</v>
      </c>
      <c r="PD3" s="13" t="s">
        <v>9</v>
      </c>
      <c r="PE3" s="13" t="s">
        <v>28</v>
      </c>
      <c r="PF3" s="13" t="s">
        <v>29</v>
      </c>
      <c r="PG3" s="13" t="s">
        <v>14</v>
      </c>
      <c r="PH3" s="13" t="s">
        <v>9</v>
      </c>
      <c r="PI3" s="13" t="s">
        <v>28</v>
      </c>
      <c r="PJ3" s="13" t="s">
        <v>29</v>
      </c>
      <c r="PK3" s="13" t="s">
        <v>14</v>
      </c>
      <c r="PL3" s="13" t="s">
        <v>9</v>
      </c>
      <c r="PM3" s="13" t="s">
        <v>28</v>
      </c>
      <c r="PN3" s="13" t="s">
        <v>29</v>
      </c>
      <c r="PO3" s="13" t="s">
        <v>14</v>
      </c>
      <c r="PP3" s="13" t="s">
        <v>9</v>
      </c>
      <c r="PQ3" s="13" t="s">
        <v>28</v>
      </c>
      <c r="PR3" s="13" t="s">
        <v>29</v>
      </c>
      <c r="PS3" s="16" t="s">
        <v>14</v>
      </c>
      <c r="PT3" s="16" t="s">
        <v>9</v>
      </c>
      <c r="PU3" s="16" t="s">
        <v>28</v>
      </c>
      <c r="PV3" s="16" t="s">
        <v>29</v>
      </c>
      <c r="PW3" s="13"/>
      <c r="PX3" s="13"/>
      <c r="PY3" s="13"/>
      <c r="PZ3" s="13"/>
      <c r="QA3" s="13"/>
      <c r="QB3" s="13"/>
      <c r="QC3" s="13"/>
      <c r="QD3" s="13"/>
      <c r="QE3" s="14" t="s">
        <v>14</v>
      </c>
      <c r="QF3" s="14" t="s">
        <v>9</v>
      </c>
      <c r="QG3" s="14" t="s">
        <v>28</v>
      </c>
      <c r="QH3" s="14" t="s">
        <v>29</v>
      </c>
      <c r="QI3" s="14" t="s">
        <v>14</v>
      </c>
      <c r="QJ3" s="14" t="s">
        <v>9</v>
      </c>
      <c r="QK3" s="14" t="s">
        <v>28</v>
      </c>
      <c r="QL3" s="14" t="s">
        <v>29</v>
      </c>
      <c r="QM3" s="14" t="s">
        <v>14</v>
      </c>
      <c r="QN3" s="14" t="s">
        <v>9</v>
      </c>
      <c r="QO3" s="14" t="s">
        <v>28</v>
      </c>
      <c r="QP3" s="14" t="s">
        <v>29</v>
      </c>
      <c r="QQ3" s="14" t="s">
        <v>14</v>
      </c>
      <c r="QR3" s="14" t="s">
        <v>9</v>
      </c>
      <c r="QS3" s="14" t="s">
        <v>28</v>
      </c>
      <c r="QT3" s="14" t="s">
        <v>29</v>
      </c>
      <c r="QU3" s="15" t="s">
        <v>14</v>
      </c>
      <c r="QV3" s="15" t="s">
        <v>9</v>
      </c>
      <c r="QW3" s="15" t="s">
        <v>28</v>
      </c>
      <c r="QX3" s="15" t="s">
        <v>29</v>
      </c>
      <c r="QY3" s="14"/>
      <c r="QZ3" s="14"/>
      <c r="RA3" s="14"/>
      <c r="RB3" s="14"/>
      <c r="RC3" s="14"/>
      <c r="RD3" s="14"/>
      <c r="RE3" s="14"/>
      <c r="RF3" s="14"/>
      <c r="RG3" s="13" t="s">
        <v>14</v>
      </c>
      <c r="RH3" s="13" t="s">
        <v>9</v>
      </c>
      <c r="RI3" s="13" t="s">
        <v>28</v>
      </c>
      <c r="RJ3" s="13" t="s">
        <v>29</v>
      </c>
      <c r="RK3" s="13" t="s">
        <v>14</v>
      </c>
      <c r="RL3" s="13" t="s">
        <v>9</v>
      </c>
      <c r="RM3" s="13" t="s">
        <v>28</v>
      </c>
      <c r="RN3" s="13" t="s">
        <v>29</v>
      </c>
      <c r="RO3" s="13" t="s">
        <v>14</v>
      </c>
      <c r="RP3" s="13" t="s">
        <v>9</v>
      </c>
      <c r="RQ3" s="13" t="s">
        <v>28</v>
      </c>
      <c r="RR3" s="13" t="s">
        <v>29</v>
      </c>
      <c r="RS3" s="13" t="s">
        <v>14</v>
      </c>
      <c r="RT3" s="13" t="s">
        <v>9</v>
      </c>
      <c r="RU3" s="13" t="s">
        <v>28</v>
      </c>
      <c r="RV3" s="13" t="s">
        <v>29</v>
      </c>
      <c r="RW3" s="16" t="s">
        <v>14</v>
      </c>
      <c r="RX3" s="16" t="s">
        <v>9</v>
      </c>
      <c r="RY3" s="16" t="s">
        <v>28</v>
      </c>
      <c r="RZ3" s="16" t="s">
        <v>29</v>
      </c>
      <c r="SA3" s="13"/>
      <c r="SB3" s="13"/>
      <c r="SC3" s="13"/>
      <c r="SD3" s="13"/>
      <c r="SE3" s="13"/>
      <c r="SF3" s="13"/>
      <c r="SG3" s="13"/>
      <c r="SH3" s="13"/>
      <c r="SI3" s="14" t="s">
        <v>14</v>
      </c>
      <c r="SJ3" s="14" t="s">
        <v>9</v>
      </c>
      <c r="SK3" s="14" t="s">
        <v>28</v>
      </c>
      <c r="SL3" s="14" t="s">
        <v>29</v>
      </c>
      <c r="SM3" s="14" t="s">
        <v>14</v>
      </c>
      <c r="SN3" s="14" t="s">
        <v>9</v>
      </c>
      <c r="SO3" s="14" t="s">
        <v>28</v>
      </c>
      <c r="SP3" s="14" t="s">
        <v>29</v>
      </c>
      <c r="SQ3" s="14" t="s">
        <v>14</v>
      </c>
      <c r="SR3" s="14" t="s">
        <v>9</v>
      </c>
      <c r="SS3" s="14" t="s">
        <v>28</v>
      </c>
      <c r="ST3" s="14" t="s">
        <v>29</v>
      </c>
      <c r="SU3" s="14" t="s">
        <v>14</v>
      </c>
      <c r="SV3" s="14" t="s">
        <v>9</v>
      </c>
      <c r="SW3" s="14" t="s">
        <v>28</v>
      </c>
      <c r="SX3" s="14" t="s">
        <v>29</v>
      </c>
      <c r="SY3" s="15" t="s">
        <v>14</v>
      </c>
      <c r="SZ3" s="15" t="s">
        <v>9</v>
      </c>
      <c r="TA3" s="15" t="s">
        <v>28</v>
      </c>
      <c r="TB3" s="15" t="s">
        <v>29</v>
      </c>
      <c r="TC3" s="14"/>
      <c r="TD3" s="14"/>
      <c r="TE3" s="14"/>
      <c r="TF3" s="14"/>
      <c r="TG3" s="14"/>
      <c r="TH3" s="14"/>
      <c r="TI3" s="14"/>
      <c r="TJ3" s="14"/>
      <c r="TK3" s="13" t="s">
        <v>14</v>
      </c>
      <c r="TL3" s="13" t="s">
        <v>9</v>
      </c>
      <c r="TM3" s="13" t="s">
        <v>28</v>
      </c>
      <c r="TN3" s="13" t="s">
        <v>29</v>
      </c>
      <c r="TO3" s="13" t="s">
        <v>14</v>
      </c>
      <c r="TP3" s="13" t="s">
        <v>9</v>
      </c>
      <c r="TQ3" s="13" t="s">
        <v>28</v>
      </c>
      <c r="TR3" s="13" t="s">
        <v>29</v>
      </c>
      <c r="TS3" s="13" t="s">
        <v>14</v>
      </c>
      <c r="TT3" s="13" t="s">
        <v>9</v>
      </c>
      <c r="TU3" s="13" t="s">
        <v>28</v>
      </c>
      <c r="TV3" s="13" t="s">
        <v>29</v>
      </c>
      <c r="TW3" s="13" t="s">
        <v>14</v>
      </c>
      <c r="TX3" s="13" t="s">
        <v>9</v>
      </c>
      <c r="TY3" s="13" t="s">
        <v>28</v>
      </c>
      <c r="TZ3" s="13" t="s">
        <v>29</v>
      </c>
      <c r="UA3" s="62" t="s">
        <v>14</v>
      </c>
      <c r="UB3" s="62" t="s">
        <v>9</v>
      </c>
      <c r="UC3" s="62" t="s">
        <v>28</v>
      </c>
      <c r="UD3" s="62" t="s">
        <v>29</v>
      </c>
      <c r="UE3" s="13" t="s">
        <v>52</v>
      </c>
      <c r="UF3" s="13"/>
      <c r="UG3" s="13"/>
      <c r="UH3" s="13"/>
      <c r="UI3" s="13"/>
      <c r="UJ3" s="13"/>
      <c r="UK3" s="13"/>
      <c r="UL3" s="13"/>
      <c r="UM3" s="13"/>
    </row>
    <row r="4" spans="1:559" x14ac:dyDescent="0.2">
      <c r="A4" s="4" cm="1">
        <f t="array" ref="A4">IF(AND(H4&lt;&gt;"",H4&lt;&gt;"No DD"),SUMPRODUCT((H$4:H$28&lt;&gt;"")*(H$4:H$28&lt;&gt;"No DD")*(E$4:E$28&gt;E4))+1,IF(H4="No DD",SUMPRODUCT((H$4:H$28="No DD")*(E$4:E$28&gt;E4))+1+SUMPRODUCT((H$4:H$28&lt;&gt;"")*(H$4:H$28&lt;&gt;"No DD")),""))</f>
        <v>1</v>
      </c>
      <c r="B4" s="5" t="s">
        <v>84</v>
      </c>
      <c r="C4" s="4" t="s">
        <v>6</v>
      </c>
      <c r="D4" s="4">
        <v>2003</v>
      </c>
      <c r="E4" s="9">
        <f>SUM(J4:R4)+SUM(J4:N4)*0.0000001+SUM(J4)*0.0000000000001</f>
        <v>202.80001437000578</v>
      </c>
      <c r="F4" s="3" t="str">
        <f t="shared" ref="F4:F27" si="0">IF(OR(AND(AP4&gt;=AW$30,AQ4&gt;=AW$34,AP4&lt;&gt;"",AO4=""),AND(AU4&gt;=AW$30,AV4&gt;=AW$34,AU4&lt;&gt;"",AO4=""),AND(BS4&gt;=BZ$30,BT4&gt;=BZ$34,BS4&lt;&gt;"",BR4=""),AND(BX4&gt;=BZ$30,BY4&gt;=BZ$34,BX4&lt;&gt;"",BR4=""),AND(CV4&gt;=DC$30,CW4&gt;=DC$34,CV4&lt;&gt;"",CU4=""),AND(DA4&gt;=DC$30,DB4&gt;=DC$34,DA4&lt;&gt;""),AND(EA4&gt;=EH$30,EB4&gt;=EH$34,EA4&lt;&gt;""),AND(EF4&gt;=EH$30,EG4&gt;=EH$34,EF4&lt;&gt;""),AND(FC4&gt;=FJ$30,FD4&gt;=FJ$34,FC4&lt;&gt;""),AND(FH4&gt;=FJ$30,FI4&gt;=FJ$34,FH4&lt;&gt;""),AND(GE4&gt;=GL$30,GF4&gt;=GL$34,GE4&lt;&gt;""),AND(GJ4&gt;=GL$30,GK4&gt;=GL$34,GJ4&lt;&gt;""),AND(HG4&gt;=HN$30,HH4&gt;=HN$34,HG4&lt;&gt;""),AND(HL4&gt;=HN$30,HM4&gt;=HN$34,HL4&lt;&gt;""),AND(II4&gt;=IP$30,IJ4&gt;=IP$34,II4&lt;&gt;""),AND(IN4&gt;=IP$30,IO4&gt;=IP$34,IN4&lt;&gt;""),AND(JK4&gt;=JR$30,JL4&gt;=JR$34,JK4&lt;&gt;""),AND(JP4&gt;=JR$30,JQ4&gt;=JR$34,JP4&lt;&gt;""),AND(KM4&gt;=KT$30,KN4&gt;=KT$34,KM4&lt;&gt;""),AND(KR4&gt;=KT$30,KS4&gt;=KT$34,KR4&lt;&gt;""),AND(LO4&gt;=LV$30,LP4&gt;=LV$34,LO4&lt;&gt;""),AND(LT4&gt;=LV$30,LU4&gt;=LV$34,LT4&lt;&gt;""),AND(MQ4&gt;=MX$30,MR4&gt;=MX$34,MQ4&lt;&gt;""),AND(MV4&gt;=MX$30,MW4&gt;=MX$34,MV4&lt;&gt;""),AND(NS4&gt;=NZ$30,NT4&gt;=NZ$34,NS4&lt;&gt;""),AND(NX4&gt;=NZ$30,NY4&gt;=NZ$34,NX4&lt;&gt;""),AND(OU4&gt;=PB$30,OV4&gt;=PB$34,OU4&lt;&gt;""),AND(OZ4&gt;=PB$30,PA4&gt;=PB$34,OZ4&lt;&gt;""),AND(PW4&gt;=QD$30,PX4&gt;=QD$34,PW4&lt;&gt;""),AND(QB4&gt;=QD$30,QC4&gt;=QD$34,QB4&lt;&gt;""),AND(QY4&gt;=RF$30,QZ4&gt;=RF$34,QY4&lt;&gt;""),AND(RD4&gt;=RF$30,RE4&gt;=RF$34,RD4&lt;&gt;""),AND(SA4&gt;=SH$30,SB4&gt;=SH$34,SA4&lt;&gt;""),AND(SF4&gt;=SH$30,SG4&gt;=SH$34,SF4&lt;&gt;""),AND(TC4&gt;=TJ$30,TD4&gt;=TJ$34,TC4&lt;&gt;""),AND(TI4&gt;=TJ$30,TJ4&gt;=TJ$34,TI4&lt;&gt;"")),"P","")</f>
        <v>P</v>
      </c>
      <c r="G4" s="3" t="str">
        <f t="shared" ref="G4:G27" si="1">IF(OR(AND(AQ4&gt;=AW$34,AQ4&lt;&gt;"",AO4=""),AND(AV4&gt;=AW$34,AV4&lt;&gt;"",AO4=""),AND(BT4&gt;=BZ$34,BT4&lt;&gt;"",BR4=""),AND(BY4&gt;=BZ$34,BY4&lt;&gt;"",BR4=""),AND(CW4&gt;=DC$34,CW4&lt;&gt;"",CU4=""),AND(DB4&gt;=DC$34,DB4&lt;&gt;"",CU4=""),AND(EB4&gt;=EH$34,EB4&lt;&gt;""),AND(EG4&gt;=EH$34,EG4&lt;&gt;""),AND(FD4&gt;=FJ$34,FD4&lt;&gt;""),AND(FI4&gt;=FJ$34,FI4&lt;&gt;""),AND(GF4&gt;=GL$34,GF4&lt;&gt;""),AND(GK4&gt;=GL$34,GK4&lt;&gt;""),AND(HH4&gt;=HN$34,HH4&lt;&gt;""),AND(HM4&gt;=HN$34,HM4&lt;&gt;""),AND(IJ4&gt;=IP$34,IJ4&lt;&gt;""),AND(IO4&gt;=IP$34,IO4&lt;&gt;""),AND(JL4&gt;=JR$34,JL4&lt;&gt;""),AND(JQ4&gt;=JR$34,JQ4&lt;&gt;""),AND(KN4&gt;=KT$34,KN4&lt;&gt;""),AND(KS4&gt;=KT$34,KS4&lt;&gt;""),AND(LP4&gt;=LV$34,LP4&lt;&gt;""),AND(LU4&gt;=LV$34,LU4&lt;&gt;""),AND(MR4&gt;=MX$34,MR4&lt;&gt;""),AND(MW4&gt;=MX$34,MW4&lt;&gt;""),AND(NT4&gt;=NZ$34,NT4&lt;&gt;""),AND(NY4&gt;=NZ$34,NY4&lt;&gt;""),AND(OV4&gt;=PB$34,OV4&lt;&gt;""),AND(PA4&gt;=PB$34,PA4&lt;&gt;""),AND(PX4&gt;=QD$34,PX4&lt;&gt;""),AND(QC4&gt;=QD$34,QC4&lt;&gt;""),AND(QZ4&gt;=RF$34,QZ4&lt;&gt;""),AND(RE4&gt;=RF$34,RE4&lt;&gt;""),AND(SB4&gt;=SH$34,SB4&lt;&gt;""),AND(SG4&gt;=SH$34,SG4&lt;&gt;""),AND(TD4&gt;=TJ$34,TD4&lt;&gt;""),AND(TJ4&gt;=TJ$34,TJ4&lt;&gt;"")),"P","")</f>
        <v>P</v>
      </c>
      <c r="H4" s="36" t="str">
        <f t="shared" ref="H4:H27" si="2">IF(AND(G4="P",F4=""),"No DD",IF(OR(AND(AS4&gt;=AW$33,AT4&gt;=AW$37,AS4&lt;&gt;"",AO4=""),AND(BV4&gt;=BZ$33,BW4&gt;=BZ$37,BV4&lt;&gt;"",BR4=""),AND(CY4&gt;=DC$33,CZ4&gt;=DC$37,CY4&lt;&gt;"",CU4=""),AND(ED4&gt;=EH$33,EE4&gt;=EH$37,ED4&lt;&gt;""),AND(FF4&gt;=FJ$33,FG4&gt;=FJ$37,FF4&lt;&gt;""),AND(GH4&gt;=GL$33,GI4&gt;=GL$37,GH4&lt;&gt;""),AND(HJ4&gt;=HN$33,HK4&gt;=HN$37,HJ4&lt;&gt;""),AND(IL4&gt;=IP$33,IM4&gt;=IP$37,IL4&lt;&gt;""),AND(JN4&gt;=JR$33,JO4&gt;=JR$37,JN4&lt;&gt;""),AND(KP4&gt;=KT$33,KQ4&gt;=KT$37,KP4&lt;&gt;""),AND(LR4&gt;=LV$33,LS4&gt;=LV$37,LR4&lt;&gt;""),AND(MT4&gt;=MX$33,MU4&gt;=MX$37,MT4&lt;&gt;""),AND(NV4&gt;=NZ$33,NW4&gt;=NZ$37,NV4&lt;&gt;""),AND(OX4&gt;=PB$33,OY4&gt;=PB$37,OX4&lt;&gt;""),AND(PZ4&gt;=QD$33,QA4&gt;=QD$37,PZ4&lt;&gt;""),AND(RB4&gt;=RF$33,RC4&gt;=RF$37,RB4&lt;&gt;""),AND(SD4&gt;=SH$33,SE4&gt;=SH$37,SD4&lt;&gt;""),AND(TF4&gt;=TJ$33,TG4&gt;=TJ$37,TF4&lt;&gt;"")),"Merit",IF(OR(AND(AS4&gt;=AW$32,AT4&gt;=AW$36,AS4&lt;&gt;"",AO4=""),AND(BV4&gt;=BZ$32,BW4&gt;=BZ$36,BV4&lt;&gt;"",BR4=""),AND(CY4&gt;=DC$32,CZ4&gt;=DC$36,CY4&lt;&gt;"",CU4=""),AND(ED4&gt;=EH$32,EE4&gt;=EH$36,ED4&lt;&gt;""),AND(FF4&gt;=FJ$32,FG4&gt;=FJ$36,FF4&lt;&gt;""),AND(GH4&gt;=GL$32,GI4&gt;=GL$36,GH4&lt;&gt;""),AND(HJ4&gt;=HN$32,HK4&gt;=HN$36,HJ4&lt;&gt;""),AND(IL4&gt;=IP$32,IM4&gt;=IP$36,IL4&lt;&gt;""),AND(JN4&gt;=JR$32,JO4&gt;=JR$36,JN4&lt;&gt;""),AND(KP4&gt;=KT$32,KQ4&gt;=KT$36,KP4&lt;&gt;""),AND(LR4&gt;=LV$32,LS4&gt;=LV$36,LR4&lt;&gt;""),AND(MT4&gt;=MX$32,MU4&gt;=MX$36,MT4&lt;&gt;""),AND(NV4&gt;=NZ$32,NW4&gt;=NZ$36,NV4&lt;&gt;""),AND(OX4&gt;=PB$32,OY4&gt;=PB$36,OX4&lt;&gt;""),AND(PZ4&gt;=QD$32,QA4&gt;=QD$36,PZ4&lt;&gt;""),AND(RB4&gt;=RF$32,RC4&gt;=RF$36,RB4&lt;&gt;""),AND(SD4&gt;=SH$32,SE4&gt;=SH$36,SD4&lt;&gt;""),AND(TF4&gt;=TJ$32,TG4&gt;=TJ$36,TF4&lt;&gt;"")),"Excellence",IF(I4="P","Worlds Team",IF(F4="P","National Team","")))))</f>
        <v>Merit</v>
      </c>
      <c r="I4" s="3" t="str">
        <f t="shared" ref="I4:I27" si="3">IF(OR(AND(AS4&gt;=AW$31,AT4&gt;=AW$35,AS4&lt;&gt;"",AO4=""),AND(BV4&gt;=BZ$31,BW4&gt;=BZ$35,BV4&lt;&gt;"",BR4=""),AND(CY4&gt;=DC$31,CZ4&gt;=DC$35,CY4&lt;&gt;"",CU4=""),AND(ED4&gt;=EH$31,EE4&gt;=EH$35,ED4&lt;&gt;""),AND(FF4&gt;=FJ$31,FG4&gt;=FJ$35,FF4&lt;&gt;""),AND(GH4&gt;=GL$31,GI4&gt;=GL$35,GH4&lt;&gt;""),AND(HJ4&gt;=HN$31,HK4&gt;=HN$35,HJ4&lt;&gt;""),AND(IL4&gt;=IP$31,IM4&gt;=IP$35,IL4&lt;&gt;""),AND(JN4&gt;=JR$31,JO4&gt;=JR$35,JN4&lt;&gt;""),AND(KP4&gt;=KT$31,KQ4&gt;=KT$35,KP4&lt;&gt;""),AND(LR4&gt;=LV$31,LS4&gt;=LV$35,LR4&lt;&gt;""),AND(MT4&gt;=MX$31,MU4&gt;=MX$35,MT4&lt;&gt;""),AND(NV4&gt;=NZ$31,NW4&gt;=NZ$35,NV4&lt;&gt;""),AND(OX4&gt;=PB$31,OY4&gt;=PB$35,OX4&lt;&gt;""),AND(PZ4&gt;=QD$31,QA4&gt;=QD$35,PZ4&lt;&gt;""),AND(RB4&gt;=RF$31,RC4&gt;=RF$35,RB4&lt;&gt;""),AND(SD4&gt;=SH$31,SE4&gt;=SH$35,SD4&lt;&gt;""),AND(TF4&gt;=TJ$31,TG4&gt;=TJ$35,TF4&lt;&gt;"")),"P","")</f>
        <v>P</v>
      </c>
      <c r="J4" s="8">
        <f>IF(COUNT(AQ4,BT4,CW4)&gt;0,LARGE((AQ4,BT4,CW4),1),0)</f>
        <v>57.9</v>
      </c>
      <c r="K4" s="8" t="str">
        <f t="shared" ref="K4:K27" si="4">IF(J4=0,"",IF(J4=CW4,$CA$1,IF(J4=BT4,$AX$1,IF(J4=AQ4,$U$1,""))))</f>
        <v>2024 Elite Canada</v>
      </c>
      <c r="L4" s="8">
        <f>IF(COUNT(AQ4,BT4,CW4)&gt;1,LARGE((AQ4,BT4,CW4),2),0)</f>
        <v>57.800000000000004</v>
      </c>
      <c r="M4" s="8" t="str">
        <f t="shared" ref="M4:M27" si="5">IF(K4=0,"",IF(AND(L4=J4,L4=AQ4,K4=BT4),$U$1,IF(AND(L4=J4,L4=AQ4,L4=CW4),$U$1,IF(AND(L4=J4,L4=CW4,L4=BT4),$AX$1,IF(L4=CW4,$CA$1,IF(L4=BT4,$AX$1,IF(L4=AQ4,$U$1,"")))))))</f>
        <v>2024 3rd Domestic Trial</v>
      </c>
      <c r="N4" s="8">
        <f>IF(COUNT(AR4,BU4,CX4)&gt;0,LARGE((AR4,BU4,CX4),1),0)</f>
        <v>28</v>
      </c>
      <c r="O4" s="8" t="str">
        <f t="shared" ref="O4:O27" si="6">IF(N4=0,"",IF(N4=CX4,$CA$1,IF(N4=BU4,$AX$1,IF(N4=AR4,$U$1,""))))</f>
        <v>2024 3rd Domestic Trial</v>
      </c>
      <c r="P4" s="8">
        <f t="shared" ref="P4:P27" si="7">IF(MAX(AV4,BY4,DB4)&gt;0,MAX(AV4,BY4,DB4),0)</f>
        <v>59.1</v>
      </c>
      <c r="Q4" s="8" t="str">
        <f t="shared" ref="Q4:Q27" si="8">IF(P4=0,"",IF(P4=DB4,$CA$1,IF(P4=BY4,$AX$1,IF(P4=AV4,$U$1,""))))</f>
        <v>2024 3rd Domestic Trial</v>
      </c>
      <c r="R4" s="8" t="str">
        <f t="shared" ref="R4:R27" si="9">IF(MAX(DD4:DF4)&gt;0,MAX(DD4:DF4),"")</f>
        <v/>
      </c>
      <c r="S4" s="11" t="str">
        <f t="shared" ref="S4:S27" si="10">IF(R4="","",IF(R4=DD4,"("&amp;DD$2&amp;")",IF(R4=DE4,"("&amp;DE$2&amp;")",IF(R4=DF4,"("&amp;DF$2&amp;")"))))</f>
        <v/>
      </c>
      <c r="T4" s="8" t="str">
        <f t="shared" ref="T4:T27" si="11">IF(R4="","",IF(R4=DD4,IF(R4+IF(L4="",0,L4)=TD4,$SI$1,IF(R4+IF(L4="",0,L4)=SB4,$RG$1,IF(R4+IF(L4="",0,L4)=QZ4,$QE$1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))),IF(R4=DE4,IF(R4+IF(N4="",0,N4)=TE4,$SI$1,IF(R4+IF(N4="",0,N4)=SC4,$RG$1,IF(R4+IF(N4="",0,N4)=RA4,$QE$1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))),IF(R4=DF4,IF(R4+IF(P4="",0,P4)=TI4,$SI$1,IF(R4+IF(P4="",0,P4)=SG4,$RG$1,IF(R4+IF(P4="",0,P4)=RE4,$QE$1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)))</f>
        <v/>
      </c>
      <c r="U4" s="19">
        <v>18.600000000000001</v>
      </c>
      <c r="V4" s="19">
        <v>10</v>
      </c>
      <c r="W4" s="19">
        <v>0.8</v>
      </c>
      <c r="X4" s="19">
        <v>0.6</v>
      </c>
      <c r="Y4" s="19">
        <v>18.3</v>
      </c>
      <c r="Z4" s="19">
        <v>10.8</v>
      </c>
      <c r="AA4" s="19">
        <v>0.2</v>
      </c>
      <c r="AB4" s="19">
        <v>0.6</v>
      </c>
      <c r="AC4" s="19">
        <v>18.600000000000001</v>
      </c>
      <c r="AD4" s="19">
        <v>8.9</v>
      </c>
      <c r="AE4" s="19">
        <v>0.8</v>
      </c>
      <c r="AF4" s="19">
        <v>0.3</v>
      </c>
      <c r="AG4" s="19">
        <v>19.100000000000001</v>
      </c>
      <c r="AH4" s="19">
        <v>10</v>
      </c>
      <c r="AI4" s="19">
        <v>0</v>
      </c>
      <c r="AJ4" s="19">
        <v>0.6</v>
      </c>
      <c r="AK4" s="19">
        <v>18.2</v>
      </c>
      <c r="AL4" s="19">
        <v>10.8</v>
      </c>
      <c r="AM4" s="19">
        <v>0.2</v>
      </c>
      <c r="AN4" s="19">
        <v>0.6</v>
      </c>
      <c r="AO4" s="27"/>
      <c r="AP4" s="40">
        <f t="shared" ref="AP4:AP27" si="12">IF(SUM(V4,Z4)&gt;0,SUM(V4,Z4),"")</f>
        <v>20.8</v>
      </c>
      <c r="AQ4" s="40">
        <f t="shared" ref="AQ4:AQ27" si="13">IF(SUM(U4:V4,X4:Z4,AB4)-W4-AA4&gt;0,SUM(U4:V4,X4:Z4,AB4)-W4-AA4,"")</f>
        <v>57.9</v>
      </c>
      <c r="AR4" s="40">
        <f t="shared" ref="AR4:AR27" si="14">IF(SUM(AC4:AD4,AF4)-AE4&gt;0,SUM(AC4:AD4,AF4)-AE4,"")</f>
        <v>27</v>
      </c>
      <c r="AS4" s="40">
        <f t="shared" ref="AS4:AS27" si="15">IF(SUM(V4,Z4,AD4)&gt;0,SUM(V4,Z4,AD4),"")</f>
        <v>29.700000000000003</v>
      </c>
      <c r="AT4" s="40">
        <f t="shared" ref="AT4:AT27" si="16">IF(SUM(AQ4,AR4)&gt;0,SUM(AQ4,AR4),"")</f>
        <v>84.9</v>
      </c>
      <c r="AU4" s="40">
        <f t="shared" ref="AU4:AU27" si="17">IF(SUM(AH4,AL4)&gt;0,SUM(AH4,AL4),"")</f>
        <v>20.8</v>
      </c>
      <c r="AV4" s="40">
        <f t="shared" ref="AV4:AV27" si="18">IF(SUM(AG4:AH4,AJ4:AL4,AN4)-SUM(AI4,AM4)&gt;0,SUM(AG4:AH4,AJ4:AL4,AN4)-SUM(AI4,AM4),"")</f>
        <v>59.1</v>
      </c>
      <c r="AW4" s="40">
        <f t="shared" ref="AW4:AW27" si="19">IF(SUM(AQ4,AR4,AV4)&gt;0,SUM(AQ4,AR4,AV4),"")</f>
        <v>144</v>
      </c>
      <c r="AX4" s="18">
        <v>19.2</v>
      </c>
      <c r="AY4" s="18">
        <v>10</v>
      </c>
      <c r="AZ4" s="18">
        <v>0.6</v>
      </c>
      <c r="BA4" s="18">
        <v>0.6</v>
      </c>
      <c r="BB4" s="18">
        <v>17.399999999999999</v>
      </c>
      <c r="BC4" s="18">
        <v>5.0999999999999996</v>
      </c>
      <c r="BD4" s="18">
        <v>0</v>
      </c>
      <c r="BE4" s="18">
        <v>0.3</v>
      </c>
      <c r="BF4" s="18">
        <v>18.600000000000001</v>
      </c>
      <c r="BG4" s="18">
        <v>9.3000000000000007</v>
      </c>
      <c r="BH4" s="18">
        <v>0.8</v>
      </c>
      <c r="BI4" s="18">
        <v>0.3</v>
      </c>
      <c r="BJ4" s="18">
        <v>19</v>
      </c>
      <c r="BK4" s="18">
        <v>10</v>
      </c>
      <c r="BL4" s="18">
        <v>0.8</v>
      </c>
      <c r="BM4" s="18">
        <v>0.6</v>
      </c>
      <c r="BN4" s="18">
        <v>18.399999999999999</v>
      </c>
      <c r="BO4" s="18">
        <v>10.8</v>
      </c>
      <c r="BP4" s="18">
        <v>1</v>
      </c>
      <c r="BQ4" s="18">
        <v>0.6</v>
      </c>
      <c r="BR4" s="28"/>
      <c r="BS4" s="11">
        <f t="shared" ref="BS4:BS27" si="20">IF(SUM(AY4,BC4)&gt;0,SUM(AY4,BC4),"")</f>
        <v>15.1</v>
      </c>
      <c r="BT4" s="11">
        <f t="shared" ref="BT4:BT27" si="21">IF(SUM(AX4:AY4,BA4:BC4,BE4)-AZ4-BD4&gt;0,SUM(AX4:AY4,BA4:BC4,BE4)-AZ4-BD4,"")</f>
        <v>52</v>
      </c>
      <c r="BU4" s="11">
        <f t="shared" ref="BU4:BU27" si="22">IF(SUM(BF4:BG4,BI4)-BH4&gt;0,SUM(BF4:BG4,BI4)-BH4,"")</f>
        <v>27.400000000000002</v>
      </c>
      <c r="BV4" s="11">
        <f t="shared" ref="BV4:BV27" si="23">IF(SUM(AY4,BC4,BG4)&gt;0,SUM(AY4,BC4,BG4),"")</f>
        <v>24.4</v>
      </c>
      <c r="BW4" s="11">
        <f t="shared" ref="BW4:BW27" si="24">IF(SUM(BT4,BU4)&gt;0,SUM(BT4,BU4),"")</f>
        <v>79.400000000000006</v>
      </c>
      <c r="BX4" s="11">
        <f t="shared" ref="BX4:BX27" si="25">IF(SUM(BK4,BO4)&gt;0,SUM(BK4,BO4),"")</f>
        <v>20.8</v>
      </c>
      <c r="BY4" s="11">
        <f t="shared" ref="BY4:BY27" si="26">IF(SUM(BJ4:BK4,BM4:BO4,BQ4)-SUM(BL4,BP4)&gt;0,SUM(BJ4:BK4,BM4:BO4,BQ4)-SUM(BL4,BP4),"")</f>
        <v>57.6</v>
      </c>
      <c r="BZ4" s="11">
        <f t="shared" ref="BZ4:BZ27" si="27">IF(SUM(BT4,BU4,BY4)&gt;0,SUM(BT4,BU4,BY4),"")</f>
        <v>137</v>
      </c>
      <c r="CA4" s="19">
        <v>19.399999999999999</v>
      </c>
      <c r="CB4" s="19">
        <v>10</v>
      </c>
      <c r="CC4" s="19">
        <v>0</v>
      </c>
      <c r="CD4" s="19">
        <v>0.6</v>
      </c>
      <c r="CE4" s="19">
        <v>18.7</v>
      </c>
      <c r="CF4" s="19">
        <v>9.6</v>
      </c>
      <c r="CG4" s="19">
        <v>0.8</v>
      </c>
      <c r="CH4" s="19">
        <v>0.3</v>
      </c>
      <c r="CI4" s="19">
        <v>18.399999999999999</v>
      </c>
      <c r="CJ4" s="19">
        <v>9.3000000000000007</v>
      </c>
      <c r="CK4" s="19">
        <v>0</v>
      </c>
      <c r="CL4" s="19">
        <v>0.3</v>
      </c>
      <c r="CM4" s="19">
        <v>19.2</v>
      </c>
      <c r="CN4" s="19">
        <v>10</v>
      </c>
      <c r="CO4" s="19">
        <v>0.2</v>
      </c>
      <c r="CP4" s="19">
        <v>0.6</v>
      </c>
      <c r="CQ4" s="19">
        <v>18.399999999999999</v>
      </c>
      <c r="CR4" s="19">
        <v>10.8</v>
      </c>
      <c r="CS4" s="19">
        <v>0</v>
      </c>
      <c r="CT4" s="19">
        <v>0.3</v>
      </c>
      <c r="CU4" s="27"/>
      <c r="CV4" s="40">
        <f t="shared" ref="CV4:CV27" si="28">IF(SUM(CB4,CF4)&gt;0,SUM(CB4,CF4),"")</f>
        <v>19.600000000000001</v>
      </c>
      <c r="CW4" s="40">
        <f t="shared" ref="CW4:CW27" si="29">IF(SUM(CA4:CB4,CD4:CF4,CH4)-CC4-CG4&gt;0,SUM(CA4:CB4,CD4:CF4,CH4)-CC4-CG4,"")</f>
        <v>57.800000000000004</v>
      </c>
      <c r="CX4" s="40">
        <f t="shared" ref="CX4:CX27" si="30">IF(SUM(CI4:CJ4,CL4)-CK4&gt;0,SUM(CI4:CJ4,CL4)-CK4,"")</f>
        <v>28</v>
      </c>
      <c r="CY4" s="40">
        <f t="shared" ref="CY4:CY27" si="31">IF(SUM(CB4,CF4,CJ4)&gt;0,SUM(CB4,CF4,CJ4),"")</f>
        <v>28.900000000000002</v>
      </c>
      <c r="CZ4" s="40">
        <f t="shared" ref="CZ4:CZ27" si="32">IF(SUM(CW4,CX4)&gt;0,SUM(CW4,CX4),"")</f>
        <v>85.800000000000011</v>
      </c>
      <c r="DA4" s="40">
        <f t="shared" ref="DA4:DA27" si="33">IF(SUM(CN4,CR4)&gt;0,SUM(CN4,CR4),"")</f>
        <v>20.8</v>
      </c>
      <c r="DB4" s="40">
        <f t="shared" ref="DB4:DB27" si="34">IF(SUM(CM4:CN4,CP4:CR4,CT4)-SUM(CO4,CS4)&gt;0,SUM(CM4:CN4,CP4:CR4,CT4)-SUM(CO4,CS4),"")</f>
        <v>59.099999999999994</v>
      </c>
      <c r="DC4" s="40">
        <f t="shared" ref="DC4:DC27" si="35">IF(SUM(CW4,CX4,DB4)&gt;0,SUM(CW4,CX4,DB4),"")</f>
        <v>144.9</v>
      </c>
      <c r="DD4" s="51" t="str">
        <f t="shared" ref="DD4:DD27" si="36">IF(MAX(EB4,FD4,GF4,HH4,IJ4,JL4,KN4,LP4,MR4,NT4,OV4,PX4,QZ4,SB4,TD4)-IF(L4="",0,L4)&gt;0.001,MAX(EB4,FD4,GF4,HH4,IJ4,JL4,KN4,LP4,MR4,NT4,OV4,PX4,QZ4,SB4,TD4)-IF(L4="",0,L4),"")</f>
        <v/>
      </c>
      <c r="DE4" s="51" t="str">
        <f t="shared" ref="DE4:DE27" si="37">IF(MAX(EC4,FE4,GG4,HI4,IK4,JM4,KO4,LQ4,MS4,NU4,OW4,PY4,RA4,SC4,TE4)-IF(N4="",0,N4)&gt;0.001,MAX(EC4,FE4,GG4,HI4,IK4,JM4,KO4,LQ4,MS4,NU4,OW4,PY4,RA4,SC4,TE4)-IF(N4="",0,N4),"")</f>
        <v/>
      </c>
      <c r="DF4" s="51" t="str">
        <f t="shared" ref="DF4:DF27" si="38">IF(MAX(EG4,FI4,GK4,HM4,IO4,JQ4,KS4,LU4,MW4,NY4,PA4,QC4,RE4,SG4,TI4)-IF(P4="",0,P4)&gt;0.001,MAX(EG4,FI4,GK4,HM4,IO4,JQ4,KS4,LU4,MW4,NY4,PA4,QC4,RE4,SG4,TI4)-IF(P4="",0,P4),"")</f>
        <v/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0" t="str">
        <f t="shared" ref="EA4:EA27" si="39">IF(SUM(DH4,DL4)&gt;0,SUM(DH4,DL4),"")</f>
        <v/>
      </c>
      <c r="EB4" s="40" t="str">
        <f t="shared" ref="EB4:EB27" si="40">IF(SUM(DG4:DH4,DJ4:DL4,DN4)-DI4-DM4&gt;0,SUM(DG4:DH4,DJ4:DL4,DN4)-DI4-DM4,"")</f>
        <v/>
      </c>
      <c r="EC4" s="40" t="str">
        <f t="shared" ref="EC4:EC27" si="41">IF(SUM(DO4:DP4,DR4)-DQ4&gt;0,SUM(DO4:DP4,DR4)-DQ4,"")</f>
        <v/>
      </c>
      <c r="ED4" s="40" t="str">
        <f t="shared" ref="ED4:ED27" si="42">IF(SUM(DH4,DL4,DP4)&gt;0,SUM(DH4,DL4,DP4),"")</f>
        <v/>
      </c>
      <c r="EE4" s="40" t="str">
        <f t="shared" ref="EE4:EE27" si="43">IF(SUM(EB4,EC4)&gt;0,SUM(EB4,EC4),"")</f>
        <v/>
      </c>
      <c r="EF4" s="40" t="str">
        <f t="shared" ref="EF4:EF27" si="44">IF(SUM(DT4,DX4)&gt;0,SUM(DT4,DX4),"")</f>
        <v/>
      </c>
      <c r="EG4" s="40" t="str">
        <f t="shared" ref="EG4:EG27" si="45">IF(SUM(DS4:DT4,DV4:DX4,DZ4)-SUM(DU4,DY4)&gt;0,SUM(DS4:DT4,DV4:DX4,DZ4)-SUM(DU4,DY4),"")</f>
        <v/>
      </c>
      <c r="EH4" s="40" t="str">
        <f t="shared" ref="EH4:EH27" si="46">IF(SUM(EB4,EC4,EG4)&gt;0,SUM(EB4,EC4,EG4),"")</f>
        <v/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 t="shared" ref="FC4:FC27" si="47">IF(SUM(EJ4,EN4)&gt;0,SUM(EJ4,EN4),"")</f>
        <v/>
      </c>
      <c r="FD4" s="11" t="str">
        <f t="shared" ref="FD4:FD27" si="48">IF(SUM(EI4:EJ4,EL4:EN4,EP4)-EK4-EO4&gt;0,SUM(EI4:EJ4,EL4:EN4,EP4)-EK4-EO4,"")</f>
        <v/>
      </c>
      <c r="FE4" s="11" t="str">
        <f t="shared" ref="FE4:FE27" si="49">IF(SUM(EQ4:ER4,ET4)-ES4&gt;0,SUM(EQ4:ER4,ET4)-ES4,"")</f>
        <v/>
      </c>
      <c r="FF4" s="11" t="str">
        <f t="shared" ref="FF4:FF27" si="50">IF(SUM(EJ4,EN4,ER4)&gt;0,SUM(EJ4,EN4,ER4),"")</f>
        <v/>
      </c>
      <c r="FG4" s="11" t="str">
        <f t="shared" ref="FG4:FG27" si="51">IF(SUM(FD4,FE4)&gt;0,SUM(FD4,FE4),"")</f>
        <v/>
      </c>
      <c r="FH4" s="11" t="str">
        <f t="shared" ref="FH4:FH27" si="52">IF(SUM(EV4,EZ4)&gt;0,SUM(EV4,EZ4),"")</f>
        <v/>
      </c>
      <c r="FI4" s="11" t="str">
        <f t="shared" ref="FI4:FI27" si="53">IF(SUM(EU4:EV4,EX4:EZ4,FB4)-SUM(EW4,FA4)&gt;0,SUM(EU4:EV4,EX4:EZ4,FB4)-SUM(EW4,FA4),"")</f>
        <v/>
      </c>
      <c r="FJ4" s="11" t="str">
        <f t="shared" ref="FJ4:FJ27" si="54">IF(SUM(FD4,FE4,FI4)&gt;0,SUM(FD4,FE4,FI4),"")</f>
        <v/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 t="str">
        <f t="shared" ref="GE4:GE27" si="55">IF(SUM(FL4,FP4)&gt;0,SUM(FL4,FP4),"")</f>
        <v/>
      </c>
      <c r="GF4" s="40" t="str">
        <f t="shared" ref="GF4:GF27" si="56">IF(SUM(FK4:FL4,FN4:FP4,FR4)-FM4-FQ4&gt;0,SUM(FK4:FL4,FN4:FP4,FR4)-FM4-FQ4,"")</f>
        <v/>
      </c>
      <c r="GG4" s="40" t="str">
        <f t="shared" ref="GG4:GG27" si="57">IF(SUM(FS4:FT4,FV4)-FU4&gt;0,SUM(FS4:FT4,FV4)-FU4,"")</f>
        <v/>
      </c>
      <c r="GH4" s="40" t="str">
        <f t="shared" ref="GH4:GH27" si="58">IF(SUM(FL4,FP4,FT4)&gt;0,SUM(FL4,FP4,FT4),"")</f>
        <v/>
      </c>
      <c r="GI4" s="40" t="str">
        <f t="shared" ref="GI4:GI27" si="59">IF(SUM(GF4,GG4)&gt;0,SUM(GF4,GG4),"")</f>
        <v/>
      </c>
      <c r="GJ4" s="40" t="str">
        <f t="shared" ref="GJ4:GJ27" si="60">IF(SUM(FX4,GB4)&gt;0,SUM(FX4,GB4),"")</f>
        <v/>
      </c>
      <c r="GK4" s="40" t="str">
        <f t="shared" ref="GK4:GK27" si="61">IF(SUM(FW4:FX4,FZ4:GB4,GD4)-SUM(FY4,GC4)&gt;0,SUM(FW4:FX4,FZ4:GB4,GD4)-SUM(FY4,GC4),"")</f>
        <v/>
      </c>
      <c r="GL4" s="40" t="str">
        <f t="shared" ref="GL4:GL27" si="62">IF(SUM(GF4,GG4,GK4)&gt;0,SUM(GF4,GG4,GK4),"")</f>
        <v/>
      </c>
      <c r="GM4" s="18">
        <v>18.8</v>
      </c>
      <c r="GN4" s="18">
        <v>8.4</v>
      </c>
      <c r="GO4" s="18">
        <v>0.8</v>
      </c>
      <c r="GP4" s="18">
        <v>0</v>
      </c>
      <c r="GQ4" s="18">
        <v>18.600000000000001</v>
      </c>
      <c r="GR4" s="18">
        <v>10.8</v>
      </c>
      <c r="GS4" s="18">
        <v>0.8</v>
      </c>
      <c r="GT4" s="18">
        <v>0</v>
      </c>
      <c r="GU4" s="18"/>
      <c r="GV4" s="18"/>
      <c r="GW4" s="18"/>
      <c r="GX4" s="18"/>
      <c r="GY4" s="18">
        <v>16.8</v>
      </c>
      <c r="GZ4" s="18">
        <v>9.5</v>
      </c>
      <c r="HA4" s="18">
        <v>1</v>
      </c>
      <c r="HB4" s="18">
        <v>0</v>
      </c>
      <c r="HC4" s="18"/>
      <c r="HD4" s="18"/>
      <c r="HE4" s="18"/>
      <c r="HF4" s="18"/>
      <c r="HG4" s="11">
        <f t="shared" ref="HG4:HG27" si="63">IF(SUM(GN4,GR4)&gt;0,SUM(GN4,GR4),"")</f>
        <v>19.200000000000003</v>
      </c>
      <c r="HH4" s="11">
        <f t="shared" ref="HH4:HH27" si="64">IF(SUM(GM4:GN4,GP4:GR4,GT4)-GO4-GS4&gt;0,SUM(GM4:GN4,GP4:GR4,GT4)-GO4-GS4,"")</f>
        <v>55.000000000000014</v>
      </c>
      <c r="HI4" s="11" t="str">
        <f t="shared" ref="HI4:HI27" si="65">IF(SUM(GU4:GV4,GX4)-GW4&gt;0,SUM(GU4:GV4,GX4)-GW4,"")</f>
        <v/>
      </c>
      <c r="HJ4" s="11">
        <f t="shared" ref="HJ4:HJ27" si="66">IF(SUM(GN4,GR4,GV4)&gt;0,SUM(GN4,GR4,GV4),"")</f>
        <v>19.200000000000003</v>
      </c>
      <c r="HK4" s="11">
        <f t="shared" ref="HK4:HK27" si="67">IF(SUM(HH4,HI4)&gt;0,SUM(HH4,HI4),"")</f>
        <v>55.000000000000014</v>
      </c>
      <c r="HL4" s="11">
        <f t="shared" ref="HL4:HL27" si="68">IF(SUM(GZ4,HD4)&gt;0,SUM(GZ4,HD4),"")</f>
        <v>9.5</v>
      </c>
      <c r="HM4" s="11">
        <f t="shared" ref="HM4:HM27" si="69">IF(SUM(GY4:GZ4,HB4:HD4,HF4)-SUM(HA4,HE4)&gt;0,SUM(GY4:GZ4,HB4:HD4,HF4)-SUM(HA4,HE4),"")</f>
        <v>25.3</v>
      </c>
      <c r="HN4" s="11">
        <f t="shared" ref="HN4:HN27" si="70">IF(SUM(HH4,HI4,HM4)&gt;0,SUM(HH4,HI4,HM4),"")</f>
        <v>80.300000000000011</v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 t="str">
        <f t="shared" ref="II4:II27" si="71">IF(SUM(HP4,HT4)&gt;0,SUM(HP4,HT4),"")</f>
        <v/>
      </c>
      <c r="IJ4" s="40" t="str">
        <f t="shared" ref="IJ4:IJ27" si="72">IF(SUM(HO4:HP4,HR4:HT4,HV4)-HQ4-HU4&gt;0,SUM(HO4:HP4,HR4:HT4,HV4)-HQ4-HU4,"")</f>
        <v/>
      </c>
      <c r="IK4" s="40" t="str">
        <f t="shared" ref="IK4:IK27" si="73">IF(SUM(HW4:HX4,HZ4)-HY4&gt;0,SUM(HW4:HX4,HZ4)-HY4,"")</f>
        <v/>
      </c>
      <c r="IL4" s="40" t="str">
        <f t="shared" ref="IL4:IL27" si="74">IF(SUM(HP4,HT4,HX4)&gt;0,SUM(HP4,HT4,HX4),"")</f>
        <v/>
      </c>
      <c r="IM4" s="40" t="str">
        <f t="shared" ref="IM4:IM27" si="75">IF(SUM(IJ4,IK4)&gt;0,SUM(IJ4,IK4),"")</f>
        <v/>
      </c>
      <c r="IN4" s="40" t="str">
        <f t="shared" ref="IN4:IN27" si="76">IF(SUM(IB4,IF4)&gt;0,SUM(IB4,IF4),"")</f>
        <v/>
      </c>
      <c r="IO4" s="40" t="str">
        <f t="shared" ref="IO4:IO27" si="77">IF(SUM(IA4:IB4,ID4:IF4,IH4)-SUM(IC4,IG4)&gt;0,SUM(IA4:IB4,ID4:IF4,IH4)-SUM(IC4,IG4),"")</f>
        <v/>
      </c>
      <c r="IP4" s="40" t="str">
        <f t="shared" ref="IP4:IP27" si="78"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 t="shared" ref="JK4:JK27" si="79">IF(SUM(IR4,IV4)&gt;0,SUM(IR4,IV4),"")</f>
        <v/>
      </c>
      <c r="JL4" s="11" t="str">
        <f t="shared" ref="JL4:JL27" si="80">IF(SUM(IQ4:IR4,IT4:IV4,IX4)-IS4-IW4&gt;0,SUM(IQ4:IR4,IT4:IV4,IX4)-IS4-IW4,"")</f>
        <v/>
      </c>
      <c r="JM4" s="11" t="str">
        <f t="shared" ref="JM4:JM27" si="81">IF(SUM(IY4:IZ4,JB4)-JA4&gt;0,SUM(IY4:IZ4,JB4)-JA4,"")</f>
        <v/>
      </c>
      <c r="JN4" s="11" t="str">
        <f t="shared" ref="JN4:JN27" si="82">IF(SUM(IR4,IV4,IZ4)&gt;0,SUM(IR4,IV4,IZ4),"")</f>
        <v/>
      </c>
      <c r="JO4" s="11" t="str">
        <f t="shared" ref="JO4:JO27" si="83">IF(SUM(JL4,JM4)&gt;0,SUM(JL4,JM4),"")</f>
        <v/>
      </c>
      <c r="JP4" s="11" t="str">
        <f t="shared" ref="JP4:JP27" si="84">IF(SUM(JD4,JH4)&gt;0,SUM(JD4,JH4),"")</f>
        <v/>
      </c>
      <c r="JQ4" s="11" t="str">
        <f t="shared" ref="JQ4:JQ27" si="85">IF(SUM(JC4:JD4,JF4:JH4,JJ4)-SUM(JE4,JI4)&gt;0,SUM(JC4:JD4,JF4:JH4,JJ4)-SUM(JE4,JI4),"")</f>
        <v/>
      </c>
      <c r="JR4" s="11" t="str">
        <f t="shared" ref="JR4:JR27" si="86"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0" t="str">
        <f t="shared" ref="KM4:KM27" si="87">IF(SUM(JT4,JX4)&gt;0,SUM(JT4,JX4),"")</f>
        <v/>
      </c>
      <c r="KN4" s="40" t="str">
        <f t="shared" ref="KN4:KN27" si="88">IF(SUM(JS4:JT4,JV4:JX4,JZ4)-JU4-JY4&gt;0,SUM(JS4:JT4,JV4:JX4,JZ4)-JU4-JY4,"")</f>
        <v/>
      </c>
      <c r="KO4" s="40" t="str">
        <f t="shared" ref="KO4:KO27" si="89">IF(SUM(KA4:KB4,KD4)-KC4&gt;0,SUM(KA4:KB4,KD4)-KC4,"")</f>
        <v/>
      </c>
      <c r="KP4" s="40" t="str">
        <f t="shared" ref="KP4:KP27" si="90">IF(SUM(JT4,JX4,KB4)&gt;0,SUM(JT4,JX4,KB4),"")</f>
        <v/>
      </c>
      <c r="KQ4" s="40" t="str">
        <f t="shared" ref="KQ4:KQ27" si="91">IF(SUM(KN4,KO4)&gt;0,SUM(KN4,KO4),"")</f>
        <v/>
      </c>
      <c r="KR4" s="40" t="str">
        <f t="shared" ref="KR4:KR27" si="92">IF(SUM(KF4,KJ4)&gt;0,SUM(KF4,KJ4),"")</f>
        <v/>
      </c>
      <c r="KS4" s="40" t="str">
        <f t="shared" ref="KS4:KS27" si="93">IF(SUM(KE4:KF4,KH4:KJ4,KL4)-SUM(KG4,KK4)&gt;0,SUM(KE4:KF4,KH4:KJ4,KL4)-SUM(KG4,KK4),"")</f>
        <v/>
      </c>
      <c r="KT4" s="40" t="str">
        <f t="shared" ref="KT4:KT27" si="94"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 t="shared" ref="LO4:LO27" si="95">IF(SUM(KV4,KZ4)&gt;0,SUM(KV4,KZ4),"")</f>
        <v/>
      </c>
      <c r="LP4" s="11" t="str">
        <f t="shared" ref="LP4:LP27" si="96">IF(SUM(KU4:KV4,KX4:KZ4,LB4)-KW4-LA4&gt;0,SUM(KU4:KV4,KX4:KZ4,LB4)-KW4-LA4,"")</f>
        <v/>
      </c>
      <c r="LQ4" s="11" t="str">
        <f t="shared" ref="LQ4:LQ27" si="97">IF(SUM(LC4:LD4,LF4)-LE4&gt;0,SUM(LC4:LD4,LF4)-LE4,"")</f>
        <v/>
      </c>
      <c r="LR4" s="11" t="str">
        <f t="shared" ref="LR4:LR27" si="98">IF(SUM(KV4,KZ4,LD4)&gt;0,SUM(KV4,KZ4,LD4),"")</f>
        <v/>
      </c>
      <c r="LS4" s="11" t="str">
        <f t="shared" ref="LS4:LS27" si="99">IF(SUM(LP4,LQ4)&gt;0,SUM(LP4,LQ4),"")</f>
        <v/>
      </c>
      <c r="LT4" s="11" t="str">
        <f t="shared" ref="LT4:LT27" si="100">IF(SUM(LH4,LL4)&gt;0,SUM(LH4,LL4),"")</f>
        <v/>
      </c>
      <c r="LU4" s="11" t="str">
        <f t="shared" ref="LU4:LU27" si="101">IF(SUM(LG4:LH4,LJ4:LL4,LN4)-SUM(LI4,LM4)&gt;0,SUM(LG4:LH4,LJ4:LL4,LN4)-SUM(LI4,LM4),"")</f>
        <v/>
      </c>
      <c r="LV4" s="11" t="str">
        <f t="shared" ref="LV4:LV27" si="102"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 t="shared" ref="MQ4:MQ27" si="103">IF(SUM(LX4,MB4)&gt;0,SUM(LX4,MB4),"")</f>
        <v/>
      </c>
      <c r="MR4" s="40" t="str">
        <f t="shared" ref="MR4:MR27" si="104">IF(SUM(LW4:LX4,LZ4:MB4,MD4)-LY4-MC4&gt;0,SUM(LW4:LX4,LZ4:MB4,MD4)-LY4-MC4,"")</f>
        <v/>
      </c>
      <c r="MS4" s="40" t="str">
        <f t="shared" ref="MS4:MS27" si="105">IF(SUM(ME4:MF4,MH4)-MG4&gt;0,SUM(ME4:MF4,MH4)-MG4,"")</f>
        <v/>
      </c>
      <c r="MT4" s="40" t="str">
        <f t="shared" ref="MT4:MT27" si="106">IF(SUM(LX4,MB4,MF4)&gt;0,SUM(LX4,MB4,MF4),"")</f>
        <v/>
      </c>
      <c r="MU4" s="40" t="str">
        <f t="shared" ref="MU4:MU27" si="107">IF(SUM(MR4,MS4)&gt;0,SUM(MR4,MS4),"")</f>
        <v/>
      </c>
      <c r="MV4" s="40" t="str">
        <f t="shared" ref="MV4:MV27" si="108">IF(SUM(MJ4,MN4)&gt;0,SUM(MJ4,MN4),"")</f>
        <v/>
      </c>
      <c r="MW4" s="40" t="str">
        <f t="shared" ref="MW4:MW27" si="109">IF(SUM(MI4:MJ4,ML4:MN4,MP4)-SUM(MK4,MO4)&gt;0,SUM(MI4:MJ4,ML4:MN4,MP4)-SUM(MK4,MO4),"")</f>
        <v/>
      </c>
      <c r="MX4" s="40" t="str">
        <f t="shared" ref="MX4:MX27" si="110"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27" si="111">IF(SUM(MZ4,ND4)&gt;0,SUM(MZ4,ND4),"")</f>
        <v/>
      </c>
      <c r="NT4" s="11" t="str">
        <f t="shared" ref="NT4:NT27" si="112">IF(SUM(MY4:MZ4,NB4:ND4,NF4)-NA4-NE4&gt;0,SUM(MY4:MZ4,NB4:ND4,NF4)-NA4-NE4,"")</f>
        <v/>
      </c>
      <c r="NU4" s="11" t="str">
        <f t="shared" ref="NU4:NU27" si="113">IF(SUM(NG4:NH4,NJ4)-NI4&gt;0,SUM(NG4:NH4,NJ4)-NI4,"")</f>
        <v/>
      </c>
      <c r="NV4" s="11" t="str">
        <f t="shared" ref="NV4:NV27" si="114">IF(SUM(MZ4,ND4,NH4)&gt;0,SUM(MZ4,ND4,NH4),"")</f>
        <v/>
      </c>
      <c r="NW4" s="11" t="str">
        <f t="shared" ref="NW4:NW27" si="115">IF(SUM(NT4,NU4)&gt;0,SUM(NT4,NU4),"")</f>
        <v/>
      </c>
      <c r="NX4" s="11" t="str">
        <f t="shared" ref="NX4:NX27" si="116">IF(SUM(NL4,NP4)&gt;0,SUM(NL4,NP4),"")</f>
        <v/>
      </c>
      <c r="NY4" s="11" t="str">
        <f t="shared" ref="NY4:NY27" si="117">IF(SUM(NK4:NL4,NN4:NP4,NR4)-SUM(NM4,NQ4)&gt;0,SUM(NK4:NL4,NN4:NP4,NR4)-SUM(NM4,NQ4),"")</f>
        <v/>
      </c>
      <c r="NZ4" s="11" t="str">
        <f t="shared" ref="NZ4:NZ27" si="118"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 t="shared" ref="OU4:OU27" si="119">IF(SUM(OB4,OF4)&gt;0,SUM(OB4,OF4),"")</f>
        <v/>
      </c>
      <c r="OV4" s="40" t="str">
        <f t="shared" ref="OV4:OV27" si="120">IF(SUM(OA4:OB4,OD4:OF4,OH4)-OC4-OG4&gt;0,SUM(OA4:OB4,OD4:OF4,OH4)-OC4-OG4,"")</f>
        <v/>
      </c>
      <c r="OW4" s="40" t="str">
        <f t="shared" ref="OW4:OW27" si="121">IF(SUM(OI4:OJ4,OL4)-OK4&gt;0,SUM(OI4:OJ4,OL4)-OK4,"")</f>
        <v/>
      </c>
      <c r="OX4" s="40" t="str">
        <f t="shared" ref="OX4:OX27" si="122">IF(SUM(OB4,OF4,OJ4)&gt;0,SUM(OB4,OF4,OJ4),"")</f>
        <v/>
      </c>
      <c r="OY4" s="40" t="str">
        <f t="shared" ref="OY4:OY27" si="123">IF(SUM(OV4,OW4)&gt;0,SUM(OV4,OW4),"")</f>
        <v/>
      </c>
      <c r="OZ4" s="40" t="str">
        <f t="shared" ref="OZ4:OZ27" si="124">IF(SUM(ON4,OR4)&gt;0,SUM(ON4,OR4),"")</f>
        <v/>
      </c>
      <c r="PA4" s="40" t="str">
        <f t="shared" ref="PA4:PA27" si="125">IF(SUM(OM4:ON4,OP4:OR4,OT4)-SUM(OO4,OS4)&gt;0,SUM(OM4:ON4,OP4:OR4,OT4)-SUM(OO4,OS4),"")</f>
        <v/>
      </c>
      <c r="PB4" s="40" t="str">
        <f t="shared" ref="PB4:PB27" si="126"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27" si="127">IF(SUM(PD4,PH4)&gt;0,SUM(PD4,PH4),"")</f>
        <v/>
      </c>
      <c r="PX4" s="11" t="str">
        <f t="shared" ref="PX4:PX27" si="128">IF(SUM(PC4:PD4,PF4:PH4,PJ4)-PE4-PI4&gt;0,SUM(PC4:PD4,PF4:PH4,PJ4)-PE4-PI4,"")</f>
        <v/>
      </c>
      <c r="PY4" s="11" t="str">
        <f t="shared" ref="PY4:PY27" si="129">IF(SUM(PK4:PL4,PN4)-PM4&gt;0,SUM(PK4:PL4,PN4)-PM4,"")</f>
        <v/>
      </c>
      <c r="PZ4" s="11" t="str">
        <f t="shared" ref="PZ4:PZ27" si="130">IF(SUM(PD4,PH4,PL4)&gt;0,SUM(PD4,PH4,PL4),"")</f>
        <v/>
      </c>
      <c r="QA4" s="11" t="str">
        <f t="shared" ref="QA4:QA27" si="131">IF(SUM(PX4,PY4)&gt;0,SUM(PX4,PY4),"")</f>
        <v/>
      </c>
      <c r="QB4" s="11" t="str">
        <f t="shared" ref="QB4:QB27" si="132">IF(SUM(PP4,PT4)&gt;0,SUM(PP4,PT4),"")</f>
        <v/>
      </c>
      <c r="QC4" s="11" t="str">
        <f t="shared" ref="QC4:QC27" si="133">IF(SUM(PO4:PP4,PR4:PT4,PV4)-SUM(PQ4,PU4)&gt;0,SUM(PO4:PP4,PR4:PT4,PV4)-SUM(PQ4,PU4),"")</f>
        <v/>
      </c>
      <c r="QD4" s="11" t="str">
        <f t="shared" ref="QD4:QD27" si="134">IF(SUM(PX4,PY4,QC4)&gt;0,SUM(PX4,PY4,QC4),"")</f>
        <v/>
      </c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40" t="str">
        <f t="shared" ref="QY4:QY27" si="135">IF(SUM(QF4,QJ4)&gt;0,SUM(QF4,QJ4),"")</f>
        <v/>
      </c>
      <c r="QZ4" s="40" t="str">
        <f t="shared" ref="QZ4:QZ27" si="136">IF(SUM(QE4:QF4,QH4:QJ4,QL4)-QG4-QK4&gt;0,SUM(QE4:QF4,QH4:QJ4,QL4)-QG4-QK4,"")</f>
        <v/>
      </c>
      <c r="RA4" s="40" t="str">
        <f t="shared" ref="RA4:RA27" si="137">IF(SUM(QM4:QN4,QP4)-QO4&gt;0,SUM(QM4:QN4,QP4)-QO4,"")</f>
        <v/>
      </c>
      <c r="RB4" s="40" t="str">
        <f t="shared" ref="RB4:RB27" si="138">IF(SUM(QF4,QJ4,QN4)&gt;0,SUM(QF4,QJ4,QN4),"")</f>
        <v/>
      </c>
      <c r="RC4" s="40" t="str">
        <f t="shared" ref="RC4:RC27" si="139">IF(SUM(QZ4,RA4)&gt;0,SUM(QZ4,RA4),"")</f>
        <v/>
      </c>
      <c r="RD4" s="40" t="str">
        <f t="shared" ref="RD4:RD27" si="140">IF(SUM(QR4,QV4)&gt;0,SUM(QR4,QV4),"")</f>
        <v/>
      </c>
      <c r="RE4" s="40" t="str">
        <f t="shared" ref="RE4:RE27" si="141">IF(SUM(QQ4:QR4,QT4:QV4,QX4)-SUM(QS4,QW4)&gt;0,SUM(QQ4:QR4,QT4:QV4,QX4)-SUM(QS4,QW4),"")</f>
        <v/>
      </c>
      <c r="RF4" s="40" t="str">
        <f t="shared" ref="RF4:RF27" si="142">IF(SUM(QZ4,RA4,RE4)&gt;0,SUM(QZ4,RA4,RE4),"")</f>
        <v/>
      </c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1" t="str">
        <f t="shared" ref="SA4:SA27" si="143">IF(SUM(RH4,RL4)&gt;0,SUM(RH4,RL4),"")</f>
        <v/>
      </c>
      <c r="SB4" s="11" t="str">
        <f t="shared" ref="SB4:SB27" si="144">IF(SUM(RG4:RH4,RJ4:RL4,RN4)-RI4-RM4&gt;0,SUM(RG4:RH4,RJ4:RL4,RN4)-RI4-RM4,"")</f>
        <v/>
      </c>
      <c r="SC4" s="11" t="str">
        <f t="shared" ref="SC4:SC27" si="145">IF(SUM(RO4:RP4,RR4)-RQ4&gt;0,SUM(RO4:RP4,RR4)-RQ4,"")</f>
        <v/>
      </c>
      <c r="SD4" s="11" t="str">
        <f t="shared" ref="SD4:SD27" si="146">IF(SUM(RH4,RL4,RP4)&gt;0,SUM(RH4,RL4,RP4),"")</f>
        <v/>
      </c>
      <c r="SE4" s="11" t="str">
        <f t="shared" ref="SE4:SE27" si="147">IF(SUM(SB4,SC4)&gt;0,SUM(SB4,SC4),"")</f>
        <v/>
      </c>
      <c r="SF4" s="11" t="str">
        <f t="shared" ref="SF4:SF27" si="148">IF(SUM(RT4,RX4)&gt;0,SUM(RT4,RX4),"")</f>
        <v/>
      </c>
      <c r="SG4" s="11" t="str">
        <f t="shared" ref="SG4:SG27" si="149">IF(SUM(RS4:RT4,RV4:RX4,RZ4)-SUM(RU4,RY4)&gt;0,SUM(RS4:RT4,RV4:RX4,RZ4)-SUM(RU4,RY4),"")</f>
        <v/>
      </c>
      <c r="SH4" s="11" t="str">
        <f t="shared" ref="SH4:SH27" si="150">IF(SUM(SB4,SC4,SG4)&gt;0,SUM(SB4,SC4,SG4),"")</f>
        <v/>
      </c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40" t="str">
        <f t="shared" ref="TC4:TC27" si="151">IF(SUM(SJ4,SN4)&gt;0,SUM(SJ4,SN4),"")</f>
        <v/>
      </c>
      <c r="TD4" s="40" t="str">
        <f t="shared" ref="TD4:TD27" si="152">IF(SUM(SI4:SJ4,SL4:SN4,SP4)-SK4-SO4&gt;0,SUM(SI4:SJ4,SL4:SN4,SP4)-SK4-SO4,"")</f>
        <v/>
      </c>
      <c r="TE4" s="40" t="str">
        <f t="shared" ref="TE4:TE27" si="153">IF(SUM(SQ4:SR4,ST4)-SS4&gt;0,SUM(SQ4:SR4,ST4)-SS4,"")</f>
        <v/>
      </c>
      <c r="TF4" s="40" t="str">
        <f t="shared" ref="TF4:TF27" si="154">IF(SUM(SJ4,SN4,SR4)&gt;0,SUM(SJ4,SN4,SR4),"")</f>
        <v/>
      </c>
      <c r="TG4" s="40" t="str">
        <f t="shared" ref="TG4:TG27" si="155">IF(SUM(TD4,TE4)&gt;0,SUM(TD4,TE4),"")</f>
        <v/>
      </c>
      <c r="TH4" s="40" t="str">
        <f t="shared" ref="TH4:TH27" si="156">IF(SUM(SV4,SZ4)&gt;0,SUM(SV4,SZ4),"")</f>
        <v/>
      </c>
      <c r="TI4" s="40" t="str">
        <f t="shared" ref="TI4:TI27" si="157">IF(SUM(SU4:SV4,SX4:SZ4,TB4)-SUM(SW4,TA4)&gt;0,SUM(SU4:SV4,SX4:SZ4,TB4)-SUM(SW4,TA4),"")</f>
        <v/>
      </c>
      <c r="TJ4" s="40" t="str">
        <f t="shared" ref="TJ4:TJ27" si="158">IF(SUM(TD4,TE4,TI4)&gt;0,SUM(TD4,TE4,TI4),"")</f>
        <v/>
      </c>
      <c r="TK4" s="26">
        <f t="shared" ref="TK4:TK27" si="159">IF($CU4="P",CA4,(CA4+AX4)/2)</f>
        <v>19.299999999999997</v>
      </c>
      <c r="TL4" s="26">
        <f t="shared" ref="TL4:TL27" si="160">IF($CU4="P",CB4,(CB4+AY4)/2)</f>
        <v>10</v>
      </c>
      <c r="TM4" s="26">
        <f t="shared" ref="TM4:TM27" si="161">IF($CU4="P",CC4,(CC4+AZ4)/2)</f>
        <v>0.3</v>
      </c>
      <c r="TN4" s="26">
        <f t="shared" ref="TN4:TN27" si="162">IF($CU4="P",CD4,(CD4+BA4)/2)</f>
        <v>0.6</v>
      </c>
      <c r="TO4" s="26">
        <f t="shared" ref="TO4:TO27" si="163">IF($CU4="P",CE4,(CE4+BB4)/2)</f>
        <v>18.049999999999997</v>
      </c>
      <c r="TP4" s="26">
        <f t="shared" ref="TP4:TP27" si="164">IF($CU4="P",CF4,(CF4+BC4)/2)</f>
        <v>7.35</v>
      </c>
      <c r="TQ4" s="26">
        <f t="shared" ref="TQ4:TQ27" si="165">IF($CU4="P",CG4,(CG4+BD4)/2)</f>
        <v>0.4</v>
      </c>
      <c r="TR4" s="26">
        <f t="shared" ref="TR4:TR27" si="166">IF($CU4="P",CH4,(CH4+BE4)/2)</f>
        <v>0.3</v>
      </c>
      <c r="TS4" s="26">
        <f t="shared" ref="TS4:TS27" si="167">IF($CU4="P",CI4,(CI4+BF4)/2)</f>
        <v>18.5</v>
      </c>
      <c r="TT4" s="26">
        <f t="shared" ref="TT4:TT27" si="168">IF($CU4="P",CJ4,(CJ4+BG4)/2)</f>
        <v>9.3000000000000007</v>
      </c>
      <c r="TU4" s="26">
        <f t="shared" ref="TU4:TU27" si="169">IF($CU4="P",CK4,(CK4+BH4)/2)</f>
        <v>0.4</v>
      </c>
      <c r="TV4" s="26">
        <f t="shared" ref="TV4:TV27" si="170">IF($CU4="P",CL4,(CL4+BI4)/2)</f>
        <v>0.3</v>
      </c>
      <c r="TW4" s="26">
        <f t="shared" ref="TW4:TW27" si="171">IF($CU4="P",CM4,(CM4+BJ4)/2)</f>
        <v>19.100000000000001</v>
      </c>
      <c r="TX4" s="26">
        <f t="shared" ref="TX4:TX27" si="172">IF($CU4="P",CN4,(CN4+BK4)/2)</f>
        <v>10</v>
      </c>
      <c r="TY4" s="26">
        <f t="shared" ref="TY4:TY27" si="173">IF($CU4="P",CO4,(CO4+BL4)/2)</f>
        <v>0.5</v>
      </c>
      <c r="TZ4" s="26">
        <f t="shared" ref="TZ4:TZ27" si="174">IF($CU4="P",CP4,(CP4+BM4)/2)</f>
        <v>0.6</v>
      </c>
      <c r="UA4" s="26">
        <f t="shared" ref="UA4:UA27" si="175">IF($CU4="P",CQ4,(CQ4+BN4)/2)</f>
        <v>18.399999999999999</v>
      </c>
      <c r="UB4" s="26">
        <f t="shared" ref="UB4:UB27" si="176">IF($CU4="P",CR4,(CR4+BO4)/2)</f>
        <v>10.8</v>
      </c>
      <c r="UC4" s="26">
        <f t="shared" ref="UC4:UC27" si="177">IF($CU4="P",CS4,(CS4+BP4)/2)</f>
        <v>0.5</v>
      </c>
      <c r="UD4" s="26">
        <f t="shared" ref="UD4:UD27" si="178">IF($CU4="P",CT4,(CT4+BQ4)/2)</f>
        <v>0.44999999999999996</v>
      </c>
      <c r="UE4" s="28" t="s">
        <v>53</v>
      </c>
      <c r="UF4" s="11">
        <f t="shared" ref="UF4:UF27" si="179">IF(SUM(TL4,TP4)&gt;0,SUM(TL4,TP4),"")</f>
        <v>17.350000000000001</v>
      </c>
      <c r="UG4" s="11">
        <f t="shared" ref="UG4:UG27" si="180">IF(SUM(TK4:TL4,TN4:TP4,TR4)-TM4-TQ4&gt;0,SUM(TK4:TL4,TN4:TP4,TR4)-TM4-TQ4,"")</f>
        <v>54.9</v>
      </c>
      <c r="UH4" s="11">
        <f t="shared" ref="UH4:UH27" si="181">IF(SUM(TS4:TT4,TV4)-TU4&gt;0,SUM(TS4:TT4,TV4)-TU4,"")</f>
        <v>27.700000000000003</v>
      </c>
      <c r="UI4" s="11">
        <f t="shared" ref="UI4:UI27" si="182">IF(SUM(TL4,TP4,TT4)&gt;0,SUM(TL4,TP4,TT4),"")</f>
        <v>26.650000000000002</v>
      </c>
      <c r="UJ4" s="11">
        <f t="shared" ref="UJ4:UJ27" si="183">IF(SUM(UG4,UH4)&gt;0,SUM(UG4,UH4),"")</f>
        <v>82.6</v>
      </c>
      <c r="UK4" s="11">
        <f t="shared" ref="UK4:UK27" si="184">IF(SUM(TX4,UB4)&gt;0,SUM(TX4,UB4),"")</f>
        <v>20.8</v>
      </c>
      <c r="UL4" s="11">
        <f t="shared" ref="UL4:UL27" si="185">IF(SUM(TW4:TX4,TZ4:UB4,UD4)-SUM(TY4,UC4)&gt;0,SUM(TW4:TX4,TZ4:UB4,UD4)-SUM(TY4,UC4),"")</f>
        <v>58.350000000000009</v>
      </c>
      <c r="UM4" s="11">
        <f t="shared" ref="UM4:UM27" si="186">IF(SUM(UG4,UH4,UL4)&gt;0,SUM(UG4,UH4,UL4),"")</f>
        <v>140.94999999999999</v>
      </c>
    </row>
    <row r="5" spans="1:559" x14ac:dyDescent="0.2">
      <c r="A5" s="4" cm="1">
        <f t="array" ref="A5">IF(AND(H5&lt;&gt;"",H5&lt;&gt;"No DD"),SUMPRODUCT((H$4:H$28&lt;&gt;"")*(H$4:H$28&lt;&gt;"No DD")*(E$4:E$28&gt;E5))+1,IF(H5="No DD",SUMPRODUCT((H$4:H$28="No DD")*(E$4:E$28&gt;E5))+1+SUMPRODUCT((H$4:H$28&lt;&gt;"")*(H$4:H$28&lt;&gt;"No DD")),""))</f>
        <v>2</v>
      </c>
      <c r="B5" s="5" t="s">
        <v>122</v>
      </c>
      <c r="C5" s="4" t="s">
        <v>5</v>
      </c>
      <c r="D5" s="4">
        <v>2004</v>
      </c>
      <c r="E5" s="9">
        <f t="shared" ref="E5:E27" si="187">SUM(J5:R5)+SUM(J5:O5)*0.0000001+SUM(J5)*0.0000000000001</f>
        <v>188.4000129400053</v>
      </c>
      <c r="F5" s="3" t="str">
        <f t="shared" si="0"/>
        <v>P</v>
      </c>
      <c r="G5" s="3" t="str">
        <f t="shared" si="1"/>
        <v>P</v>
      </c>
      <c r="H5" s="36" t="str">
        <f t="shared" si="2"/>
        <v>National Team</v>
      </c>
      <c r="I5" s="3" t="str">
        <f t="shared" si="3"/>
        <v/>
      </c>
      <c r="J5" s="8">
        <f>IF(COUNT(AQ5,BT5,CW5)&gt;0,LARGE((AQ5,BT5,CW5),1),0)</f>
        <v>53</v>
      </c>
      <c r="K5" s="8" t="str">
        <f t="shared" si="4"/>
        <v>2024 Nationals</v>
      </c>
      <c r="L5" s="8">
        <f>IF(COUNT(AQ5,BT5,CW5)&gt;1,LARGE((AQ5,BT5,CW5),2),0)</f>
        <v>48.100000000000009</v>
      </c>
      <c r="M5" s="8" t="str">
        <f t="shared" si="5"/>
        <v>2024 3rd Domestic Trial</v>
      </c>
      <c r="N5" s="8">
        <f>IF(COUNT(AR5,BU5,CX5)&gt;0,LARGE((AR5,BU5,CX5),1),0)</f>
        <v>28.3</v>
      </c>
      <c r="O5" s="8" t="str">
        <f t="shared" si="6"/>
        <v>2024 Elite Canada</v>
      </c>
      <c r="P5" s="8">
        <f t="shared" si="7"/>
        <v>55.2</v>
      </c>
      <c r="Q5" s="8" t="str">
        <f t="shared" si="8"/>
        <v>2024 3rd Domestic Trial</v>
      </c>
      <c r="R5" s="8">
        <f t="shared" si="9"/>
        <v>3.7999999999999901</v>
      </c>
      <c r="S5" s="11" t="str">
        <f t="shared" si="10"/>
        <v>(Q1)</v>
      </c>
      <c r="T5" s="8" t="str">
        <f t="shared" si="11"/>
        <v>2024 Pan Am Championships (May 19)</v>
      </c>
      <c r="U5" s="19">
        <v>16.8</v>
      </c>
      <c r="V5" s="19">
        <v>8.1</v>
      </c>
      <c r="W5" s="19">
        <v>0.2</v>
      </c>
      <c r="X5" s="19">
        <v>0.3</v>
      </c>
      <c r="Y5" s="19">
        <v>17.399999999999999</v>
      </c>
      <c r="Z5" s="19">
        <v>3.6</v>
      </c>
      <c r="AA5" s="19">
        <v>0</v>
      </c>
      <c r="AB5" s="19">
        <v>0</v>
      </c>
      <c r="AC5" s="19">
        <v>18.8</v>
      </c>
      <c r="AD5" s="19">
        <v>9.1999999999999993</v>
      </c>
      <c r="AE5" s="19">
        <v>0</v>
      </c>
      <c r="AF5" s="19">
        <v>0.3</v>
      </c>
      <c r="AG5" s="19">
        <v>18.899999999999999</v>
      </c>
      <c r="AH5" s="19">
        <v>9.1999999999999993</v>
      </c>
      <c r="AI5" s="19">
        <v>0.2</v>
      </c>
      <c r="AJ5" s="19">
        <v>0.3</v>
      </c>
      <c r="AK5" s="19">
        <v>16.600000000000001</v>
      </c>
      <c r="AL5" s="19">
        <v>6</v>
      </c>
      <c r="AM5" s="19">
        <v>1</v>
      </c>
      <c r="AN5" s="19">
        <v>0</v>
      </c>
      <c r="AO5" s="27"/>
      <c r="AP5" s="40">
        <f t="shared" si="12"/>
        <v>11.7</v>
      </c>
      <c r="AQ5" s="40">
        <f t="shared" si="13"/>
        <v>45.999999999999993</v>
      </c>
      <c r="AR5" s="40">
        <f t="shared" si="14"/>
        <v>28.3</v>
      </c>
      <c r="AS5" s="40">
        <f t="shared" si="15"/>
        <v>20.9</v>
      </c>
      <c r="AT5" s="40">
        <f t="shared" si="16"/>
        <v>74.3</v>
      </c>
      <c r="AU5" s="40">
        <f t="shared" si="17"/>
        <v>15.2</v>
      </c>
      <c r="AV5" s="40">
        <f t="shared" si="18"/>
        <v>49.8</v>
      </c>
      <c r="AW5" s="40">
        <f t="shared" si="19"/>
        <v>124.1</v>
      </c>
      <c r="AX5" s="18">
        <v>16.600000000000001</v>
      </c>
      <c r="AY5" s="18">
        <v>8.9</v>
      </c>
      <c r="AZ5" s="18">
        <v>0.8</v>
      </c>
      <c r="BA5" s="18">
        <v>0.3</v>
      </c>
      <c r="BB5" s="18">
        <v>18.7</v>
      </c>
      <c r="BC5" s="18">
        <v>9.1999999999999993</v>
      </c>
      <c r="BD5" s="18">
        <v>0.2</v>
      </c>
      <c r="BE5" s="18">
        <v>0.3</v>
      </c>
      <c r="BF5" s="18">
        <v>0</v>
      </c>
      <c r="BG5" s="18">
        <v>0</v>
      </c>
      <c r="BH5" s="18">
        <v>0</v>
      </c>
      <c r="BI5" s="18">
        <v>0</v>
      </c>
      <c r="BJ5" s="18"/>
      <c r="BK5" s="18"/>
      <c r="BL5" s="18"/>
      <c r="BM5" s="18"/>
      <c r="BN5" s="18"/>
      <c r="BO5" s="18"/>
      <c r="BP5" s="18"/>
      <c r="BQ5" s="18"/>
      <c r="BR5" s="28"/>
      <c r="BS5" s="11">
        <f t="shared" si="20"/>
        <v>18.100000000000001</v>
      </c>
      <c r="BT5" s="11">
        <f t="shared" si="21"/>
        <v>53</v>
      </c>
      <c r="BU5" s="11" t="str">
        <f t="shared" si="22"/>
        <v/>
      </c>
      <c r="BV5" s="11">
        <f t="shared" si="23"/>
        <v>18.100000000000001</v>
      </c>
      <c r="BW5" s="11">
        <f t="shared" si="24"/>
        <v>53</v>
      </c>
      <c r="BX5" s="11" t="str">
        <f t="shared" si="25"/>
        <v/>
      </c>
      <c r="BY5" s="11" t="str">
        <f t="shared" si="26"/>
        <v/>
      </c>
      <c r="BZ5" s="11">
        <f t="shared" si="27"/>
        <v>53</v>
      </c>
      <c r="CA5" s="19">
        <v>17.2</v>
      </c>
      <c r="CB5" s="19">
        <v>3.6</v>
      </c>
      <c r="CC5" s="19">
        <v>0</v>
      </c>
      <c r="CD5" s="19">
        <v>0</v>
      </c>
      <c r="CE5" s="19">
        <v>18.600000000000001</v>
      </c>
      <c r="CF5" s="19">
        <v>9.1999999999999993</v>
      </c>
      <c r="CG5" s="19">
        <v>0.8</v>
      </c>
      <c r="CH5" s="19">
        <v>0.3</v>
      </c>
      <c r="CI5" s="19">
        <v>18.100000000000001</v>
      </c>
      <c r="CJ5" s="19">
        <v>9.3000000000000007</v>
      </c>
      <c r="CK5" s="19">
        <v>0.6</v>
      </c>
      <c r="CL5" s="19">
        <v>0.3</v>
      </c>
      <c r="CM5" s="19">
        <v>18.399999999999999</v>
      </c>
      <c r="CN5" s="19">
        <v>8.9</v>
      </c>
      <c r="CO5" s="19">
        <v>0.8</v>
      </c>
      <c r="CP5" s="19">
        <v>0.3</v>
      </c>
      <c r="CQ5" s="19">
        <v>19.100000000000001</v>
      </c>
      <c r="CR5" s="19">
        <v>9.1999999999999993</v>
      </c>
      <c r="CS5" s="19">
        <v>0.2</v>
      </c>
      <c r="CT5" s="19">
        <v>0.3</v>
      </c>
      <c r="CU5" s="27"/>
      <c r="CV5" s="40">
        <f t="shared" si="28"/>
        <v>12.799999999999999</v>
      </c>
      <c r="CW5" s="40">
        <f t="shared" si="29"/>
        <v>48.100000000000009</v>
      </c>
      <c r="CX5" s="40">
        <f t="shared" si="30"/>
        <v>27.1</v>
      </c>
      <c r="CY5" s="40">
        <f t="shared" si="31"/>
        <v>22.1</v>
      </c>
      <c r="CZ5" s="40">
        <f t="shared" si="32"/>
        <v>75.200000000000017</v>
      </c>
      <c r="DA5" s="40">
        <f t="shared" si="33"/>
        <v>18.100000000000001</v>
      </c>
      <c r="DB5" s="40">
        <f t="shared" si="34"/>
        <v>55.2</v>
      </c>
      <c r="DC5" s="40">
        <f t="shared" si="35"/>
        <v>130.40000000000003</v>
      </c>
      <c r="DD5" s="51">
        <f t="shared" si="36"/>
        <v>3.7999999999999901</v>
      </c>
      <c r="DE5" s="51" t="str">
        <f t="shared" si="37"/>
        <v/>
      </c>
      <c r="DF5" s="51" t="str">
        <f t="shared" si="38"/>
        <v/>
      </c>
      <c r="DG5" s="17">
        <v>18.8</v>
      </c>
      <c r="DH5" s="17">
        <v>9.1999999999999993</v>
      </c>
      <c r="DI5" s="17">
        <v>0.6</v>
      </c>
      <c r="DJ5" s="17">
        <v>0</v>
      </c>
      <c r="DK5" s="17">
        <v>16.399999999999999</v>
      </c>
      <c r="DL5" s="17">
        <v>8.9</v>
      </c>
      <c r="DM5" s="17">
        <v>0.8</v>
      </c>
      <c r="DN5" s="17">
        <v>0</v>
      </c>
      <c r="DO5" s="17"/>
      <c r="DP5" s="17"/>
      <c r="DQ5" s="17"/>
      <c r="DR5" s="17"/>
      <c r="DS5" s="17">
        <v>17.899999999999999</v>
      </c>
      <c r="DT5" s="17">
        <v>8.9</v>
      </c>
      <c r="DU5" s="17">
        <v>0.2</v>
      </c>
      <c r="DV5" s="17">
        <v>0</v>
      </c>
      <c r="DW5" s="17">
        <v>18.5</v>
      </c>
      <c r="DX5" s="17">
        <v>9.1999999999999993</v>
      </c>
      <c r="DY5" s="17">
        <v>0.6</v>
      </c>
      <c r="DZ5" s="17">
        <v>0</v>
      </c>
      <c r="EA5" s="40">
        <f t="shared" si="39"/>
        <v>18.100000000000001</v>
      </c>
      <c r="EB5" s="40">
        <f t="shared" si="40"/>
        <v>51.9</v>
      </c>
      <c r="EC5" s="40" t="str">
        <f t="shared" si="41"/>
        <v/>
      </c>
      <c r="ED5" s="40">
        <f t="shared" si="42"/>
        <v>18.100000000000001</v>
      </c>
      <c r="EE5" s="40">
        <f t="shared" si="43"/>
        <v>51.9</v>
      </c>
      <c r="EF5" s="40">
        <f t="shared" si="44"/>
        <v>18.100000000000001</v>
      </c>
      <c r="EG5" s="40">
        <f t="shared" si="45"/>
        <v>53.7</v>
      </c>
      <c r="EH5" s="40">
        <f t="shared" si="46"/>
        <v>105.6</v>
      </c>
      <c r="EI5" s="18">
        <v>18.3</v>
      </c>
      <c r="EJ5" s="18">
        <v>9.1999999999999993</v>
      </c>
      <c r="EK5" s="18">
        <v>0.4</v>
      </c>
      <c r="EL5" s="18">
        <v>0</v>
      </c>
      <c r="EM5" s="18">
        <v>18.2</v>
      </c>
      <c r="EN5" s="18">
        <v>6.8</v>
      </c>
      <c r="EO5" s="18">
        <v>0.6</v>
      </c>
      <c r="EP5" s="18">
        <v>0</v>
      </c>
      <c r="EQ5" s="18"/>
      <c r="ER5" s="18"/>
      <c r="ES5" s="18"/>
      <c r="ET5" s="18"/>
      <c r="EU5" s="18">
        <v>17.899999999999999</v>
      </c>
      <c r="EV5" s="18">
        <v>4.2</v>
      </c>
      <c r="EW5" s="18">
        <v>1</v>
      </c>
      <c r="EX5" s="18">
        <v>0</v>
      </c>
      <c r="EY5" s="18">
        <v>0</v>
      </c>
      <c r="EZ5" s="18">
        <v>0</v>
      </c>
      <c r="FA5" s="18">
        <v>0</v>
      </c>
      <c r="FB5" s="18">
        <v>0</v>
      </c>
      <c r="FC5" s="11">
        <f t="shared" si="47"/>
        <v>16</v>
      </c>
      <c r="FD5" s="11">
        <f t="shared" si="48"/>
        <v>51.5</v>
      </c>
      <c r="FE5" s="11" t="str">
        <f t="shared" si="49"/>
        <v/>
      </c>
      <c r="FF5" s="11">
        <f t="shared" si="50"/>
        <v>16</v>
      </c>
      <c r="FG5" s="11">
        <f t="shared" si="51"/>
        <v>51.5</v>
      </c>
      <c r="FH5" s="11">
        <f t="shared" si="52"/>
        <v>4.2</v>
      </c>
      <c r="FI5" s="11">
        <f t="shared" si="53"/>
        <v>21.099999999999998</v>
      </c>
      <c r="FJ5" s="11">
        <f t="shared" si="54"/>
        <v>72.599999999999994</v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 t="str">
        <f t="shared" si="55"/>
        <v/>
      </c>
      <c r="GF5" s="40" t="str">
        <f t="shared" si="56"/>
        <v/>
      </c>
      <c r="GG5" s="40" t="str">
        <f t="shared" si="57"/>
        <v/>
      </c>
      <c r="GH5" s="40" t="str">
        <f t="shared" si="58"/>
        <v/>
      </c>
      <c r="GI5" s="40" t="str">
        <f t="shared" si="59"/>
        <v/>
      </c>
      <c r="GJ5" s="40" t="str">
        <f t="shared" si="60"/>
        <v/>
      </c>
      <c r="GK5" s="40" t="str">
        <f t="shared" si="61"/>
        <v/>
      </c>
      <c r="GL5" s="40" t="str">
        <f t="shared" si="62"/>
        <v/>
      </c>
      <c r="GM5" s="18">
        <v>18.8</v>
      </c>
      <c r="GN5" s="18">
        <v>10</v>
      </c>
      <c r="GO5" s="18">
        <v>1</v>
      </c>
      <c r="GP5" s="18">
        <v>0</v>
      </c>
      <c r="GQ5" s="18">
        <v>0</v>
      </c>
      <c r="GR5" s="18">
        <v>0</v>
      </c>
      <c r="GS5" s="18">
        <v>0</v>
      </c>
      <c r="GT5" s="18">
        <v>0</v>
      </c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>
        <f t="shared" si="63"/>
        <v>10</v>
      </c>
      <c r="HH5" s="11">
        <f t="shared" si="64"/>
        <v>27.8</v>
      </c>
      <c r="HI5" s="11" t="str">
        <f t="shared" si="65"/>
        <v/>
      </c>
      <c r="HJ5" s="11">
        <f t="shared" si="66"/>
        <v>10</v>
      </c>
      <c r="HK5" s="11">
        <f t="shared" si="67"/>
        <v>27.8</v>
      </c>
      <c r="HL5" s="11" t="str">
        <f t="shared" si="68"/>
        <v/>
      </c>
      <c r="HM5" s="11" t="str">
        <f t="shared" si="69"/>
        <v/>
      </c>
      <c r="HN5" s="11">
        <f t="shared" si="70"/>
        <v>27.8</v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 t="shared" si="71"/>
        <v/>
      </c>
      <c r="IJ5" s="40" t="str">
        <f t="shared" si="72"/>
        <v/>
      </c>
      <c r="IK5" s="40" t="str">
        <f t="shared" si="73"/>
        <v/>
      </c>
      <c r="IL5" s="40" t="str">
        <f t="shared" si="74"/>
        <v/>
      </c>
      <c r="IM5" s="40" t="str">
        <f t="shared" si="75"/>
        <v/>
      </c>
      <c r="IN5" s="40" t="str">
        <f t="shared" si="76"/>
        <v/>
      </c>
      <c r="IO5" s="40" t="str">
        <f t="shared" si="77"/>
        <v/>
      </c>
      <c r="IP5" s="40" t="str">
        <f t="shared" si="78"/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 t="shared" si="79"/>
        <v/>
      </c>
      <c r="JL5" s="11" t="str">
        <f t="shared" si="80"/>
        <v/>
      </c>
      <c r="JM5" s="11" t="str">
        <f t="shared" si="81"/>
        <v/>
      </c>
      <c r="JN5" s="11" t="str">
        <f t="shared" si="82"/>
        <v/>
      </c>
      <c r="JO5" s="11" t="str">
        <f t="shared" si="83"/>
        <v/>
      </c>
      <c r="JP5" s="11" t="str">
        <f t="shared" si="84"/>
        <v/>
      </c>
      <c r="JQ5" s="11" t="str">
        <f t="shared" si="85"/>
        <v/>
      </c>
      <c r="JR5" s="11" t="str">
        <f t="shared" si="86"/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 t="shared" si="87"/>
        <v/>
      </c>
      <c r="KN5" s="40" t="str">
        <f t="shared" si="88"/>
        <v/>
      </c>
      <c r="KO5" s="40" t="str">
        <f t="shared" si="89"/>
        <v/>
      </c>
      <c r="KP5" s="40" t="str">
        <f t="shared" si="90"/>
        <v/>
      </c>
      <c r="KQ5" s="40" t="str">
        <f t="shared" si="91"/>
        <v/>
      </c>
      <c r="KR5" s="40" t="str">
        <f t="shared" si="92"/>
        <v/>
      </c>
      <c r="KS5" s="40" t="str">
        <f t="shared" si="93"/>
        <v/>
      </c>
      <c r="KT5" s="40" t="str">
        <f t="shared" si="94"/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5"/>
        <v/>
      </c>
      <c r="LP5" s="11" t="str">
        <f t="shared" si="96"/>
        <v/>
      </c>
      <c r="LQ5" s="11" t="str">
        <f t="shared" si="97"/>
        <v/>
      </c>
      <c r="LR5" s="11" t="str">
        <f t="shared" si="98"/>
        <v/>
      </c>
      <c r="LS5" s="11" t="str">
        <f t="shared" si="99"/>
        <v/>
      </c>
      <c r="LT5" s="11" t="str">
        <f t="shared" si="100"/>
        <v/>
      </c>
      <c r="LU5" s="11" t="str">
        <f t="shared" si="101"/>
        <v/>
      </c>
      <c r="LV5" s="11" t="str">
        <f t="shared" si="102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 t="shared" si="103"/>
        <v/>
      </c>
      <c r="MR5" s="40" t="str">
        <f t="shared" si="104"/>
        <v/>
      </c>
      <c r="MS5" s="40" t="str">
        <f t="shared" si="105"/>
        <v/>
      </c>
      <c r="MT5" s="40" t="str">
        <f t="shared" si="106"/>
        <v/>
      </c>
      <c r="MU5" s="40" t="str">
        <f t="shared" si="107"/>
        <v/>
      </c>
      <c r="MV5" s="40" t="str">
        <f t="shared" si="108"/>
        <v/>
      </c>
      <c r="MW5" s="40" t="str">
        <f t="shared" si="109"/>
        <v/>
      </c>
      <c r="MX5" s="40" t="str">
        <f t="shared" si="110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1"/>
        <v/>
      </c>
      <c r="NT5" s="11" t="str">
        <f t="shared" si="112"/>
        <v/>
      </c>
      <c r="NU5" s="11" t="str">
        <f t="shared" si="113"/>
        <v/>
      </c>
      <c r="NV5" s="11" t="str">
        <f t="shared" si="114"/>
        <v/>
      </c>
      <c r="NW5" s="11" t="str">
        <f t="shared" si="115"/>
        <v/>
      </c>
      <c r="NX5" s="11" t="str">
        <f t="shared" si="116"/>
        <v/>
      </c>
      <c r="NY5" s="11" t="str">
        <f t="shared" si="117"/>
        <v/>
      </c>
      <c r="NZ5" s="11" t="str">
        <f t="shared" si="118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 t="shared" si="119"/>
        <v/>
      </c>
      <c r="OV5" s="40" t="str">
        <f t="shared" si="120"/>
        <v/>
      </c>
      <c r="OW5" s="40" t="str">
        <f t="shared" si="121"/>
        <v/>
      </c>
      <c r="OX5" s="40" t="str">
        <f t="shared" si="122"/>
        <v/>
      </c>
      <c r="OY5" s="40" t="str">
        <f t="shared" si="123"/>
        <v/>
      </c>
      <c r="OZ5" s="40" t="str">
        <f t="shared" si="124"/>
        <v/>
      </c>
      <c r="PA5" s="40" t="str">
        <f t="shared" si="125"/>
        <v/>
      </c>
      <c r="PB5" s="40" t="str">
        <f t="shared" si="126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7"/>
        <v/>
      </c>
      <c r="PX5" s="11" t="str">
        <f t="shared" si="128"/>
        <v/>
      </c>
      <c r="PY5" s="11" t="str">
        <f t="shared" si="129"/>
        <v/>
      </c>
      <c r="PZ5" s="11" t="str">
        <f t="shared" si="130"/>
        <v/>
      </c>
      <c r="QA5" s="11" t="str">
        <f t="shared" si="131"/>
        <v/>
      </c>
      <c r="QB5" s="11" t="str">
        <f t="shared" si="132"/>
        <v/>
      </c>
      <c r="QC5" s="11" t="str">
        <f t="shared" si="133"/>
        <v/>
      </c>
      <c r="QD5" s="11" t="str">
        <f t="shared" si="134"/>
        <v/>
      </c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40" t="str">
        <f t="shared" si="135"/>
        <v/>
      </c>
      <c r="QZ5" s="40" t="str">
        <f t="shared" si="136"/>
        <v/>
      </c>
      <c r="RA5" s="40" t="str">
        <f t="shared" si="137"/>
        <v/>
      </c>
      <c r="RB5" s="40" t="str">
        <f t="shared" si="138"/>
        <v/>
      </c>
      <c r="RC5" s="40" t="str">
        <f t="shared" si="139"/>
        <v/>
      </c>
      <c r="RD5" s="40" t="str">
        <f t="shared" si="140"/>
        <v/>
      </c>
      <c r="RE5" s="40" t="str">
        <f t="shared" si="141"/>
        <v/>
      </c>
      <c r="RF5" s="40" t="str">
        <f t="shared" si="142"/>
        <v/>
      </c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1" t="str">
        <f t="shared" si="143"/>
        <v/>
      </c>
      <c r="SB5" s="11" t="str">
        <f t="shared" si="144"/>
        <v/>
      </c>
      <c r="SC5" s="11" t="str">
        <f t="shared" si="145"/>
        <v/>
      </c>
      <c r="SD5" s="11" t="str">
        <f t="shared" si="146"/>
        <v/>
      </c>
      <c r="SE5" s="11" t="str">
        <f t="shared" si="147"/>
        <v/>
      </c>
      <c r="SF5" s="11" t="str">
        <f t="shared" si="148"/>
        <v/>
      </c>
      <c r="SG5" s="11" t="str">
        <f t="shared" si="149"/>
        <v/>
      </c>
      <c r="SH5" s="11" t="str">
        <f t="shared" si="150"/>
        <v/>
      </c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40" t="str">
        <f t="shared" si="151"/>
        <v/>
      </c>
      <c r="TD5" s="40" t="str">
        <f t="shared" si="152"/>
        <v/>
      </c>
      <c r="TE5" s="40" t="str">
        <f t="shared" si="153"/>
        <v/>
      </c>
      <c r="TF5" s="40" t="str">
        <f t="shared" si="154"/>
        <v/>
      </c>
      <c r="TG5" s="40" t="str">
        <f t="shared" si="155"/>
        <v/>
      </c>
      <c r="TH5" s="40" t="str">
        <f t="shared" si="156"/>
        <v/>
      </c>
      <c r="TI5" s="40" t="str">
        <f t="shared" si="157"/>
        <v/>
      </c>
      <c r="TJ5" s="40" t="str">
        <f t="shared" si="158"/>
        <v/>
      </c>
      <c r="TK5" s="26">
        <f t="shared" si="159"/>
        <v>16.899999999999999</v>
      </c>
      <c r="TL5" s="26">
        <f t="shared" si="160"/>
        <v>6.25</v>
      </c>
      <c r="TM5" s="26">
        <f t="shared" si="161"/>
        <v>0.4</v>
      </c>
      <c r="TN5" s="26">
        <f t="shared" si="162"/>
        <v>0.15</v>
      </c>
      <c r="TO5" s="26">
        <f t="shared" si="163"/>
        <v>18.649999999999999</v>
      </c>
      <c r="TP5" s="26">
        <f t="shared" si="164"/>
        <v>9.1999999999999993</v>
      </c>
      <c r="TQ5" s="26">
        <f t="shared" si="165"/>
        <v>0.5</v>
      </c>
      <c r="TR5" s="26">
        <f t="shared" si="166"/>
        <v>0.3</v>
      </c>
      <c r="TS5" s="26">
        <f t="shared" si="167"/>
        <v>9.0500000000000007</v>
      </c>
      <c r="TT5" s="26">
        <f t="shared" si="168"/>
        <v>4.6500000000000004</v>
      </c>
      <c r="TU5" s="26">
        <f t="shared" si="169"/>
        <v>0.3</v>
      </c>
      <c r="TV5" s="26">
        <f t="shared" si="170"/>
        <v>0.15</v>
      </c>
      <c r="TW5" s="26">
        <f t="shared" si="171"/>
        <v>9.1999999999999993</v>
      </c>
      <c r="TX5" s="26">
        <f t="shared" si="172"/>
        <v>4.45</v>
      </c>
      <c r="TY5" s="26">
        <f t="shared" si="173"/>
        <v>0.4</v>
      </c>
      <c r="TZ5" s="26">
        <f t="shared" si="174"/>
        <v>0.15</v>
      </c>
      <c r="UA5" s="26">
        <f t="shared" si="175"/>
        <v>9.5500000000000007</v>
      </c>
      <c r="UB5" s="26">
        <f t="shared" si="176"/>
        <v>4.5999999999999996</v>
      </c>
      <c r="UC5" s="26">
        <f t="shared" si="177"/>
        <v>0.1</v>
      </c>
      <c r="UD5" s="26">
        <f t="shared" si="178"/>
        <v>0.15</v>
      </c>
      <c r="UE5" s="28" t="s">
        <v>53</v>
      </c>
      <c r="UF5" s="11">
        <f t="shared" si="179"/>
        <v>15.45</v>
      </c>
      <c r="UG5" s="11">
        <f t="shared" si="180"/>
        <v>50.54999999999999</v>
      </c>
      <c r="UH5" s="11">
        <f t="shared" si="181"/>
        <v>13.55</v>
      </c>
      <c r="UI5" s="11">
        <f t="shared" si="182"/>
        <v>20.100000000000001</v>
      </c>
      <c r="UJ5" s="11">
        <f t="shared" si="183"/>
        <v>64.099999999999994</v>
      </c>
      <c r="UK5" s="11">
        <f t="shared" si="184"/>
        <v>9.0500000000000007</v>
      </c>
      <c r="UL5" s="11">
        <f t="shared" si="185"/>
        <v>27.6</v>
      </c>
      <c r="UM5" s="11">
        <f t="shared" si="186"/>
        <v>91.699999999999989</v>
      </c>
    </row>
    <row r="6" spans="1:559" x14ac:dyDescent="0.2">
      <c r="A6" s="4" cm="1">
        <f t="array" ref="A6">IF(AND(H6&lt;&gt;"",H6&lt;&gt;"No DD"),SUMPRODUCT((H$4:H$28&lt;&gt;"")*(H$4:H$28&lt;&gt;"No DD")*(E$4:E$28&gt;E6))+1,IF(H6="No DD",SUMPRODUCT((H$4:H$28="No DD")*(E$4:E$28&gt;E6))+1+SUMPRODUCT((H$4:H$28&lt;&gt;"")*(H$4:H$28&lt;&gt;"No DD")),""))</f>
        <v>3</v>
      </c>
      <c r="B6" s="5" t="s">
        <v>75</v>
      </c>
      <c r="C6" s="4" t="s">
        <v>3</v>
      </c>
      <c r="D6" s="4">
        <v>2003</v>
      </c>
      <c r="E6" s="9">
        <f t="shared" si="187"/>
        <v>188.05001332500555</v>
      </c>
      <c r="F6" s="3" t="str">
        <f t="shared" si="0"/>
        <v>P</v>
      </c>
      <c r="G6" s="3" t="str">
        <f t="shared" si="1"/>
        <v>P</v>
      </c>
      <c r="H6" s="36" t="str">
        <f t="shared" si="2"/>
        <v>Excellence</v>
      </c>
      <c r="I6" s="3" t="str">
        <f t="shared" si="3"/>
        <v>P</v>
      </c>
      <c r="J6" s="8">
        <f>IF(COUNT(AQ6,BT6,CW6)&gt;0,LARGE((AQ6,BT6,CW6),1),0)</f>
        <v>55.4</v>
      </c>
      <c r="K6" s="8" t="str">
        <f t="shared" si="4"/>
        <v>2024 3rd Domestic Trial</v>
      </c>
      <c r="L6" s="8">
        <f>IF(COUNT(AQ6,BT6,CW6)&gt;1,LARGE((AQ6,BT6,CW6),2),0)</f>
        <v>51.35</v>
      </c>
      <c r="M6" s="8" t="str">
        <f t="shared" si="5"/>
        <v>2024 Elite Canada</v>
      </c>
      <c r="N6" s="8">
        <f>IF(COUNT(AR6,BU6,CX6)&gt;0,LARGE((AR6,BU6,CX6),1),0)</f>
        <v>26.500000000000004</v>
      </c>
      <c r="O6" s="8" t="str">
        <f t="shared" si="6"/>
        <v>2024 3rd Domestic Trial</v>
      </c>
      <c r="P6" s="8">
        <f t="shared" si="7"/>
        <v>54.8</v>
      </c>
      <c r="Q6" s="8" t="str">
        <f t="shared" si="8"/>
        <v>2024 3rd Domestic Trial</v>
      </c>
      <c r="R6" s="8" t="str">
        <f t="shared" si="9"/>
        <v/>
      </c>
      <c r="S6" s="11" t="str">
        <f t="shared" si="10"/>
        <v/>
      </c>
      <c r="T6" s="8" t="str">
        <f t="shared" si="11"/>
        <v/>
      </c>
      <c r="U6" s="19">
        <v>18.149999999999999</v>
      </c>
      <c r="V6" s="19">
        <v>8.6</v>
      </c>
      <c r="W6" s="19">
        <v>0.6</v>
      </c>
      <c r="X6" s="19">
        <v>0.3</v>
      </c>
      <c r="Y6" s="19">
        <v>18.350000000000001</v>
      </c>
      <c r="Z6" s="19">
        <v>6.6</v>
      </c>
      <c r="AA6" s="19">
        <v>0.2</v>
      </c>
      <c r="AB6" s="19">
        <v>0.15</v>
      </c>
      <c r="AC6" s="19">
        <v>18.3</v>
      </c>
      <c r="AD6" s="19">
        <v>6</v>
      </c>
      <c r="AE6" s="19">
        <v>0.2</v>
      </c>
      <c r="AF6" s="19">
        <v>0.15</v>
      </c>
      <c r="AG6" s="19">
        <v>9.5500000000000007</v>
      </c>
      <c r="AH6" s="19">
        <v>4</v>
      </c>
      <c r="AI6" s="19">
        <v>0.3</v>
      </c>
      <c r="AJ6" s="19">
        <v>0.15</v>
      </c>
      <c r="AK6" s="19">
        <v>9.5</v>
      </c>
      <c r="AL6" s="19">
        <v>3.8</v>
      </c>
      <c r="AM6" s="19">
        <v>0.4</v>
      </c>
      <c r="AN6" s="19">
        <v>0</v>
      </c>
      <c r="AO6" s="27" t="s">
        <v>53</v>
      </c>
      <c r="AP6" s="40">
        <f t="shared" si="12"/>
        <v>15.2</v>
      </c>
      <c r="AQ6" s="40">
        <f t="shared" si="13"/>
        <v>51.35</v>
      </c>
      <c r="AR6" s="40">
        <f t="shared" si="14"/>
        <v>24.25</v>
      </c>
      <c r="AS6" s="40">
        <f t="shared" si="15"/>
        <v>21.2</v>
      </c>
      <c r="AT6" s="40">
        <f t="shared" si="16"/>
        <v>75.599999999999994</v>
      </c>
      <c r="AU6" s="40">
        <f t="shared" si="17"/>
        <v>7.8</v>
      </c>
      <c r="AV6" s="40">
        <f t="shared" si="18"/>
        <v>26.300000000000004</v>
      </c>
      <c r="AW6" s="40">
        <f t="shared" si="19"/>
        <v>101.9</v>
      </c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28"/>
      <c r="BS6" s="11" t="str">
        <f t="shared" si="20"/>
        <v/>
      </c>
      <c r="BT6" s="11" t="str">
        <f t="shared" si="21"/>
        <v/>
      </c>
      <c r="BU6" s="11" t="str">
        <f t="shared" si="22"/>
        <v/>
      </c>
      <c r="BV6" s="11" t="str">
        <f t="shared" si="23"/>
        <v/>
      </c>
      <c r="BW6" s="11" t="str">
        <f t="shared" si="24"/>
        <v/>
      </c>
      <c r="BX6" s="11" t="str">
        <f t="shared" si="25"/>
        <v/>
      </c>
      <c r="BY6" s="11" t="str">
        <f t="shared" si="26"/>
        <v/>
      </c>
      <c r="BZ6" s="11" t="str">
        <f t="shared" si="27"/>
        <v/>
      </c>
      <c r="CA6" s="19">
        <v>19.3</v>
      </c>
      <c r="CB6" s="19">
        <v>8</v>
      </c>
      <c r="CC6" s="19">
        <v>0</v>
      </c>
      <c r="CD6" s="19">
        <v>0.3</v>
      </c>
      <c r="CE6" s="19">
        <v>19.399999999999999</v>
      </c>
      <c r="CF6" s="19">
        <v>8.4</v>
      </c>
      <c r="CG6" s="19">
        <v>0</v>
      </c>
      <c r="CH6" s="19">
        <v>0</v>
      </c>
      <c r="CI6" s="19">
        <v>18.600000000000001</v>
      </c>
      <c r="CJ6" s="19">
        <v>8.1</v>
      </c>
      <c r="CK6" s="19">
        <v>0.2</v>
      </c>
      <c r="CL6" s="19">
        <v>0</v>
      </c>
      <c r="CM6" s="19">
        <v>19.100000000000001</v>
      </c>
      <c r="CN6" s="19">
        <v>7.2</v>
      </c>
      <c r="CO6" s="19">
        <v>0</v>
      </c>
      <c r="CP6" s="19">
        <v>0</v>
      </c>
      <c r="CQ6" s="19">
        <v>19.2</v>
      </c>
      <c r="CR6" s="19">
        <v>9.1999999999999993</v>
      </c>
      <c r="CS6" s="19">
        <v>0.2</v>
      </c>
      <c r="CT6" s="19">
        <v>0.3</v>
      </c>
      <c r="CU6" s="27"/>
      <c r="CV6" s="40">
        <f t="shared" si="28"/>
        <v>16.399999999999999</v>
      </c>
      <c r="CW6" s="40">
        <f t="shared" si="29"/>
        <v>55.4</v>
      </c>
      <c r="CX6" s="40">
        <f t="shared" si="30"/>
        <v>26.500000000000004</v>
      </c>
      <c r="CY6" s="40">
        <f t="shared" si="31"/>
        <v>24.5</v>
      </c>
      <c r="CZ6" s="40">
        <f t="shared" si="32"/>
        <v>81.900000000000006</v>
      </c>
      <c r="DA6" s="40">
        <f t="shared" si="33"/>
        <v>16.399999999999999</v>
      </c>
      <c r="DB6" s="40">
        <f t="shared" si="34"/>
        <v>54.8</v>
      </c>
      <c r="DC6" s="40">
        <f t="shared" si="35"/>
        <v>136.69999999999999</v>
      </c>
      <c r="DD6" s="51" t="str">
        <f t="shared" si="36"/>
        <v/>
      </c>
      <c r="DE6" s="51" t="str">
        <f t="shared" si="37"/>
        <v/>
      </c>
      <c r="DF6" s="51" t="str">
        <f t="shared" si="38"/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 t="str">
        <f t="shared" si="39"/>
        <v/>
      </c>
      <c r="EB6" s="40" t="str">
        <f t="shared" si="40"/>
        <v/>
      </c>
      <c r="EC6" s="40" t="str">
        <f t="shared" si="41"/>
        <v/>
      </c>
      <c r="ED6" s="40" t="str">
        <f t="shared" si="42"/>
        <v/>
      </c>
      <c r="EE6" s="40" t="str">
        <f t="shared" si="43"/>
        <v/>
      </c>
      <c r="EF6" s="40" t="str">
        <f t="shared" si="44"/>
        <v/>
      </c>
      <c r="EG6" s="40" t="str">
        <f t="shared" si="45"/>
        <v/>
      </c>
      <c r="EH6" s="40" t="str">
        <f t="shared" si="46"/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 t="shared" si="47"/>
        <v/>
      </c>
      <c r="FD6" s="11" t="str">
        <f t="shared" si="48"/>
        <v/>
      </c>
      <c r="FE6" s="11" t="str">
        <f t="shared" si="49"/>
        <v/>
      </c>
      <c r="FF6" s="11" t="str">
        <f t="shared" si="50"/>
        <v/>
      </c>
      <c r="FG6" s="11" t="str">
        <f t="shared" si="51"/>
        <v/>
      </c>
      <c r="FH6" s="11" t="str">
        <f t="shared" si="52"/>
        <v/>
      </c>
      <c r="FI6" s="11" t="str">
        <f t="shared" si="53"/>
        <v/>
      </c>
      <c r="FJ6" s="11" t="str">
        <f t="shared" si="54"/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 t="str">
        <f t="shared" si="55"/>
        <v/>
      </c>
      <c r="GF6" s="40" t="str">
        <f t="shared" si="56"/>
        <v/>
      </c>
      <c r="GG6" s="40" t="str">
        <f t="shared" si="57"/>
        <v/>
      </c>
      <c r="GH6" s="40" t="str">
        <f t="shared" si="58"/>
        <v/>
      </c>
      <c r="GI6" s="40" t="str">
        <f t="shared" si="59"/>
        <v/>
      </c>
      <c r="GJ6" s="40" t="str">
        <f t="shared" si="60"/>
        <v/>
      </c>
      <c r="GK6" s="40" t="str">
        <f t="shared" si="61"/>
        <v/>
      </c>
      <c r="GL6" s="40" t="str">
        <f t="shared" si="62"/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 t="shared" si="63"/>
        <v/>
      </c>
      <c r="HH6" s="11" t="str">
        <f t="shared" si="64"/>
        <v/>
      </c>
      <c r="HI6" s="11" t="str">
        <f t="shared" si="65"/>
        <v/>
      </c>
      <c r="HJ6" s="11" t="str">
        <f t="shared" si="66"/>
        <v/>
      </c>
      <c r="HK6" s="11" t="str">
        <f t="shared" si="67"/>
        <v/>
      </c>
      <c r="HL6" s="11" t="str">
        <f t="shared" si="68"/>
        <v/>
      </c>
      <c r="HM6" s="11" t="str">
        <f t="shared" si="69"/>
        <v/>
      </c>
      <c r="HN6" s="11" t="str">
        <f t="shared" si="70"/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 t="shared" si="71"/>
        <v/>
      </c>
      <c r="IJ6" s="40" t="str">
        <f t="shared" si="72"/>
        <v/>
      </c>
      <c r="IK6" s="40" t="str">
        <f t="shared" si="73"/>
        <v/>
      </c>
      <c r="IL6" s="40" t="str">
        <f t="shared" si="74"/>
        <v/>
      </c>
      <c r="IM6" s="40" t="str">
        <f t="shared" si="75"/>
        <v/>
      </c>
      <c r="IN6" s="40" t="str">
        <f t="shared" si="76"/>
        <v/>
      </c>
      <c r="IO6" s="40" t="str">
        <f t="shared" si="77"/>
        <v/>
      </c>
      <c r="IP6" s="40" t="str">
        <f t="shared" si="78"/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 t="shared" si="79"/>
        <v/>
      </c>
      <c r="JL6" s="11" t="str">
        <f t="shared" si="80"/>
        <v/>
      </c>
      <c r="JM6" s="11" t="str">
        <f t="shared" si="81"/>
        <v/>
      </c>
      <c r="JN6" s="11" t="str">
        <f t="shared" si="82"/>
        <v/>
      </c>
      <c r="JO6" s="11" t="str">
        <f t="shared" si="83"/>
        <v/>
      </c>
      <c r="JP6" s="11" t="str">
        <f t="shared" si="84"/>
        <v/>
      </c>
      <c r="JQ6" s="11" t="str">
        <f t="shared" si="85"/>
        <v/>
      </c>
      <c r="JR6" s="11" t="str">
        <f t="shared" si="86"/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 t="shared" si="87"/>
        <v/>
      </c>
      <c r="KN6" s="40" t="str">
        <f t="shared" si="88"/>
        <v/>
      </c>
      <c r="KO6" s="40" t="str">
        <f t="shared" si="89"/>
        <v/>
      </c>
      <c r="KP6" s="40" t="str">
        <f t="shared" si="90"/>
        <v/>
      </c>
      <c r="KQ6" s="40" t="str">
        <f t="shared" si="91"/>
        <v/>
      </c>
      <c r="KR6" s="40" t="str">
        <f t="shared" si="92"/>
        <v/>
      </c>
      <c r="KS6" s="40" t="str">
        <f t="shared" si="93"/>
        <v/>
      </c>
      <c r="KT6" s="40" t="str">
        <f t="shared" si="94"/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5"/>
        <v/>
      </c>
      <c r="LP6" s="11" t="str">
        <f t="shared" si="96"/>
        <v/>
      </c>
      <c r="LQ6" s="11" t="str">
        <f t="shared" si="97"/>
        <v/>
      </c>
      <c r="LR6" s="11" t="str">
        <f t="shared" si="98"/>
        <v/>
      </c>
      <c r="LS6" s="11" t="str">
        <f t="shared" si="99"/>
        <v/>
      </c>
      <c r="LT6" s="11" t="str">
        <f t="shared" si="100"/>
        <v/>
      </c>
      <c r="LU6" s="11" t="str">
        <f t="shared" si="101"/>
        <v/>
      </c>
      <c r="LV6" s="11" t="str">
        <f t="shared" si="102"/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 t="shared" si="103"/>
        <v/>
      </c>
      <c r="MR6" s="40" t="str">
        <f t="shared" si="104"/>
        <v/>
      </c>
      <c r="MS6" s="40" t="str">
        <f t="shared" si="105"/>
        <v/>
      </c>
      <c r="MT6" s="40" t="str">
        <f t="shared" si="106"/>
        <v/>
      </c>
      <c r="MU6" s="40" t="str">
        <f t="shared" si="107"/>
        <v/>
      </c>
      <c r="MV6" s="40" t="str">
        <f t="shared" si="108"/>
        <v/>
      </c>
      <c r="MW6" s="40" t="str">
        <f t="shared" si="109"/>
        <v/>
      </c>
      <c r="MX6" s="40" t="str">
        <f t="shared" si="110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1"/>
        <v/>
      </c>
      <c r="NT6" s="11" t="str">
        <f t="shared" si="112"/>
        <v/>
      </c>
      <c r="NU6" s="11" t="str">
        <f t="shared" si="113"/>
        <v/>
      </c>
      <c r="NV6" s="11" t="str">
        <f t="shared" si="114"/>
        <v/>
      </c>
      <c r="NW6" s="11" t="str">
        <f t="shared" si="115"/>
        <v/>
      </c>
      <c r="NX6" s="11" t="str">
        <f t="shared" si="116"/>
        <v/>
      </c>
      <c r="NY6" s="11" t="str">
        <f t="shared" si="117"/>
        <v/>
      </c>
      <c r="NZ6" s="11" t="str">
        <f t="shared" si="118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 t="shared" si="119"/>
        <v/>
      </c>
      <c r="OV6" s="40" t="str">
        <f t="shared" si="120"/>
        <v/>
      </c>
      <c r="OW6" s="40" t="str">
        <f t="shared" si="121"/>
        <v/>
      </c>
      <c r="OX6" s="40" t="str">
        <f t="shared" si="122"/>
        <v/>
      </c>
      <c r="OY6" s="40" t="str">
        <f t="shared" si="123"/>
        <v/>
      </c>
      <c r="OZ6" s="40" t="str">
        <f t="shared" si="124"/>
        <v/>
      </c>
      <c r="PA6" s="40" t="str">
        <f t="shared" si="125"/>
        <v/>
      </c>
      <c r="PB6" s="40" t="str">
        <f t="shared" si="126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7"/>
        <v/>
      </c>
      <c r="PX6" s="11" t="str">
        <f t="shared" si="128"/>
        <v/>
      </c>
      <c r="PY6" s="11" t="str">
        <f t="shared" si="129"/>
        <v/>
      </c>
      <c r="PZ6" s="11" t="str">
        <f t="shared" si="130"/>
        <v/>
      </c>
      <c r="QA6" s="11" t="str">
        <f t="shared" si="131"/>
        <v/>
      </c>
      <c r="QB6" s="11" t="str">
        <f t="shared" si="132"/>
        <v/>
      </c>
      <c r="QC6" s="11" t="str">
        <f t="shared" si="133"/>
        <v/>
      </c>
      <c r="QD6" s="11" t="str">
        <f t="shared" si="134"/>
        <v/>
      </c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40" t="str">
        <f t="shared" si="135"/>
        <v/>
      </c>
      <c r="QZ6" s="40" t="str">
        <f t="shared" si="136"/>
        <v/>
      </c>
      <c r="RA6" s="40" t="str">
        <f t="shared" si="137"/>
        <v/>
      </c>
      <c r="RB6" s="40" t="str">
        <f t="shared" si="138"/>
        <v/>
      </c>
      <c r="RC6" s="40" t="str">
        <f t="shared" si="139"/>
        <v/>
      </c>
      <c r="RD6" s="40" t="str">
        <f t="shared" si="140"/>
        <v/>
      </c>
      <c r="RE6" s="40" t="str">
        <f t="shared" si="141"/>
        <v/>
      </c>
      <c r="RF6" s="40" t="str">
        <f t="shared" si="142"/>
        <v/>
      </c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1" t="str">
        <f t="shared" si="143"/>
        <v/>
      </c>
      <c r="SB6" s="11" t="str">
        <f t="shared" si="144"/>
        <v/>
      </c>
      <c r="SC6" s="11" t="str">
        <f t="shared" si="145"/>
        <v/>
      </c>
      <c r="SD6" s="11" t="str">
        <f t="shared" si="146"/>
        <v/>
      </c>
      <c r="SE6" s="11" t="str">
        <f t="shared" si="147"/>
        <v/>
      </c>
      <c r="SF6" s="11" t="str">
        <f t="shared" si="148"/>
        <v/>
      </c>
      <c r="SG6" s="11" t="str">
        <f t="shared" si="149"/>
        <v/>
      </c>
      <c r="SH6" s="11" t="str">
        <f t="shared" si="150"/>
        <v/>
      </c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40" t="str">
        <f t="shared" si="151"/>
        <v/>
      </c>
      <c r="TD6" s="40" t="str">
        <f t="shared" si="152"/>
        <v/>
      </c>
      <c r="TE6" s="40" t="str">
        <f t="shared" si="153"/>
        <v/>
      </c>
      <c r="TF6" s="40" t="str">
        <f t="shared" si="154"/>
        <v/>
      </c>
      <c r="TG6" s="40" t="str">
        <f t="shared" si="155"/>
        <v/>
      </c>
      <c r="TH6" s="40" t="str">
        <f t="shared" si="156"/>
        <v/>
      </c>
      <c r="TI6" s="40" t="str">
        <f t="shared" si="157"/>
        <v/>
      </c>
      <c r="TJ6" s="40" t="str">
        <f t="shared" si="158"/>
        <v/>
      </c>
      <c r="TK6" s="26">
        <f t="shared" si="159"/>
        <v>9.65</v>
      </c>
      <c r="TL6" s="26">
        <f t="shared" si="160"/>
        <v>4</v>
      </c>
      <c r="TM6" s="26">
        <f t="shared" si="161"/>
        <v>0</v>
      </c>
      <c r="TN6" s="26">
        <f t="shared" si="162"/>
        <v>0.15</v>
      </c>
      <c r="TO6" s="26">
        <f t="shared" si="163"/>
        <v>9.6999999999999993</v>
      </c>
      <c r="TP6" s="26">
        <f t="shared" si="164"/>
        <v>4.2</v>
      </c>
      <c r="TQ6" s="26">
        <f t="shared" si="165"/>
        <v>0</v>
      </c>
      <c r="TR6" s="26">
        <f t="shared" si="166"/>
        <v>0</v>
      </c>
      <c r="TS6" s="26">
        <f t="shared" si="167"/>
        <v>9.3000000000000007</v>
      </c>
      <c r="TT6" s="26">
        <f t="shared" si="168"/>
        <v>4.05</v>
      </c>
      <c r="TU6" s="26">
        <f t="shared" si="169"/>
        <v>0.1</v>
      </c>
      <c r="TV6" s="26">
        <f t="shared" si="170"/>
        <v>0</v>
      </c>
      <c r="TW6" s="26">
        <f t="shared" si="171"/>
        <v>9.5500000000000007</v>
      </c>
      <c r="TX6" s="26">
        <f t="shared" si="172"/>
        <v>3.6</v>
      </c>
      <c r="TY6" s="26">
        <f t="shared" si="173"/>
        <v>0</v>
      </c>
      <c r="TZ6" s="26">
        <f t="shared" si="174"/>
        <v>0</v>
      </c>
      <c r="UA6" s="26">
        <f t="shared" si="175"/>
        <v>9.6</v>
      </c>
      <c r="UB6" s="26">
        <f t="shared" si="176"/>
        <v>4.5999999999999996</v>
      </c>
      <c r="UC6" s="26">
        <f t="shared" si="177"/>
        <v>0.1</v>
      </c>
      <c r="UD6" s="26">
        <f t="shared" si="178"/>
        <v>0.15</v>
      </c>
      <c r="UE6" s="28" t="s">
        <v>53</v>
      </c>
      <c r="UF6" s="11">
        <f t="shared" si="179"/>
        <v>8.1999999999999993</v>
      </c>
      <c r="UG6" s="11">
        <f t="shared" si="180"/>
        <v>27.7</v>
      </c>
      <c r="UH6" s="11">
        <f t="shared" si="181"/>
        <v>13.250000000000002</v>
      </c>
      <c r="UI6" s="11">
        <f t="shared" si="182"/>
        <v>12.25</v>
      </c>
      <c r="UJ6" s="11">
        <f t="shared" si="183"/>
        <v>40.950000000000003</v>
      </c>
      <c r="UK6" s="11">
        <f t="shared" si="184"/>
        <v>8.1999999999999993</v>
      </c>
      <c r="UL6" s="11">
        <f t="shared" si="185"/>
        <v>27.4</v>
      </c>
      <c r="UM6" s="11">
        <f t="shared" si="186"/>
        <v>68.349999999999994</v>
      </c>
    </row>
    <row r="7" spans="1:559" x14ac:dyDescent="0.2">
      <c r="A7" s="4" cm="1">
        <f t="array" ref="A7">IF(AND(H7&lt;&gt;"",H7&lt;&gt;"No DD"),SUMPRODUCT((H$4:H$28&lt;&gt;"")*(H$4:H$28&lt;&gt;"No DD")*(E$4:E$28&gt;E7))+1,IF(H7="No DD",SUMPRODUCT((H$4:H$28="No DD")*(E$4:E$28&gt;E7))+1+SUMPRODUCT((H$4:H$28&lt;&gt;"")*(H$4:H$28&lt;&gt;"No DD")),""))</f>
        <v>4</v>
      </c>
      <c r="B7" s="5" t="s">
        <v>82</v>
      </c>
      <c r="C7" s="4" t="s">
        <v>5</v>
      </c>
      <c r="D7" s="4">
        <v>2003</v>
      </c>
      <c r="E7" s="9">
        <f t="shared" si="187"/>
        <v>186.10001320000524</v>
      </c>
      <c r="F7" s="3" t="str">
        <f t="shared" si="0"/>
        <v>P</v>
      </c>
      <c r="G7" s="3" t="str">
        <f t="shared" si="1"/>
        <v>P</v>
      </c>
      <c r="H7" s="36" t="str">
        <f t="shared" si="2"/>
        <v>National Team</v>
      </c>
      <c r="I7" s="3" t="str">
        <f t="shared" si="3"/>
        <v/>
      </c>
      <c r="J7" s="8">
        <f>IF(COUNT(AQ7,BT7,CW7)&gt;0,LARGE((AQ7,BT7,CW7),1),0)</f>
        <v>52.300000000000004</v>
      </c>
      <c r="K7" s="8" t="str">
        <f t="shared" si="4"/>
        <v>2024 3rd Domestic Trial</v>
      </c>
      <c r="L7" s="8">
        <f>IF(COUNT(AQ7,BT7,CW7)&gt;1,LARGE((AQ7,BT7,CW7),2),0)</f>
        <v>52.2</v>
      </c>
      <c r="M7" s="8" t="str">
        <f t="shared" si="5"/>
        <v>2024 Elite Canada</v>
      </c>
      <c r="N7" s="8">
        <f>IF(COUNT(AR7,BU7,CX7)&gt;0,LARGE((AR7,BU7,CX7),1),0)</f>
        <v>27.500000000000004</v>
      </c>
      <c r="O7" s="8" t="str">
        <f t="shared" si="6"/>
        <v>2024 Nationals</v>
      </c>
      <c r="P7" s="8">
        <f t="shared" si="7"/>
        <v>54.099999999999987</v>
      </c>
      <c r="Q7" s="8" t="str">
        <f t="shared" si="8"/>
        <v>2024 Nationals</v>
      </c>
      <c r="R7" s="8" t="str">
        <f t="shared" si="9"/>
        <v/>
      </c>
      <c r="S7" s="11" t="str">
        <f t="shared" si="10"/>
        <v/>
      </c>
      <c r="T7" s="8" t="str">
        <f t="shared" si="11"/>
        <v/>
      </c>
      <c r="U7" s="19">
        <v>18.399999999999999</v>
      </c>
      <c r="V7" s="19">
        <v>7.6</v>
      </c>
      <c r="W7" s="19">
        <v>0</v>
      </c>
      <c r="X7" s="19">
        <v>0</v>
      </c>
      <c r="Y7" s="19">
        <v>18.600000000000001</v>
      </c>
      <c r="Z7" s="19">
        <v>7.6</v>
      </c>
      <c r="AA7" s="19">
        <v>0</v>
      </c>
      <c r="AB7" s="19">
        <v>0</v>
      </c>
      <c r="AC7" s="19">
        <v>17.2</v>
      </c>
      <c r="AD7" s="19">
        <v>3.2</v>
      </c>
      <c r="AE7" s="19">
        <v>0</v>
      </c>
      <c r="AF7" s="19">
        <v>0</v>
      </c>
      <c r="AG7" s="19"/>
      <c r="AH7" s="19"/>
      <c r="AI7" s="19"/>
      <c r="AJ7" s="19"/>
      <c r="AK7" s="19"/>
      <c r="AL7" s="19"/>
      <c r="AM7" s="19"/>
      <c r="AN7" s="19"/>
      <c r="AO7" s="27"/>
      <c r="AP7" s="40">
        <f t="shared" si="12"/>
        <v>15.2</v>
      </c>
      <c r="AQ7" s="40">
        <f t="shared" si="13"/>
        <v>52.2</v>
      </c>
      <c r="AR7" s="40">
        <f t="shared" si="14"/>
        <v>20.399999999999999</v>
      </c>
      <c r="AS7" s="40">
        <f t="shared" si="15"/>
        <v>18.399999999999999</v>
      </c>
      <c r="AT7" s="40">
        <f t="shared" si="16"/>
        <v>72.599999999999994</v>
      </c>
      <c r="AU7" s="40" t="str">
        <f t="shared" si="17"/>
        <v/>
      </c>
      <c r="AV7" s="40" t="str">
        <f t="shared" si="18"/>
        <v/>
      </c>
      <c r="AW7" s="40">
        <f t="shared" si="19"/>
        <v>72.599999999999994</v>
      </c>
      <c r="AX7" s="18">
        <v>18.600000000000001</v>
      </c>
      <c r="AY7" s="18">
        <v>8.4</v>
      </c>
      <c r="AZ7" s="18">
        <v>0.6</v>
      </c>
      <c r="BA7" s="18">
        <v>0</v>
      </c>
      <c r="BB7" s="18">
        <v>17.3</v>
      </c>
      <c r="BC7" s="18">
        <v>3.6</v>
      </c>
      <c r="BD7" s="18">
        <v>0</v>
      </c>
      <c r="BE7" s="18">
        <v>0</v>
      </c>
      <c r="BF7" s="18">
        <v>18.8</v>
      </c>
      <c r="BG7" s="18">
        <v>8.4</v>
      </c>
      <c r="BH7" s="18">
        <v>0</v>
      </c>
      <c r="BI7" s="18">
        <v>0.3</v>
      </c>
      <c r="BJ7" s="18">
        <v>19</v>
      </c>
      <c r="BK7" s="18">
        <v>8.4</v>
      </c>
      <c r="BL7" s="18">
        <v>0.2</v>
      </c>
      <c r="BM7" s="18">
        <v>0</v>
      </c>
      <c r="BN7" s="18">
        <v>18.2</v>
      </c>
      <c r="BO7" s="18">
        <v>8.4</v>
      </c>
      <c r="BP7" s="18">
        <v>0</v>
      </c>
      <c r="BQ7" s="18">
        <v>0.3</v>
      </c>
      <c r="BR7" s="28"/>
      <c r="BS7" s="11">
        <f t="shared" si="20"/>
        <v>12</v>
      </c>
      <c r="BT7" s="11">
        <f t="shared" si="21"/>
        <v>47.3</v>
      </c>
      <c r="BU7" s="11">
        <f t="shared" si="22"/>
        <v>27.500000000000004</v>
      </c>
      <c r="BV7" s="11">
        <f t="shared" si="23"/>
        <v>20.399999999999999</v>
      </c>
      <c r="BW7" s="11">
        <f t="shared" si="24"/>
        <v>74.8</v>
      </c>
      <c r="BX7" s="11">
        <f t="shared" si="25"/>
        <v>16.8</v>
      </c>
      <c r="BY7" s="11">
        <f t="shared" si="26"/>
        <v>54.099999999999987</v>
      </c>
      <c r="BZ7" s="11">
        <f t="shared" si="27"/>
        <v>128.89999999999998</v>
      </c>
      <c r="CA7" s="19">
        <v>18.5</v>
      </c>
      <c r="CB7" s="19">
        <v>8.4</v>
      </c>
      <c r="CC7" s="19">
        <v>0.8</v>
      </c>
      <c r="CD7" s="19">
        <v>0.3</v>
      </c>
      <c r="CE7" s="19">
        <v>18.8</v>
      </c>
      <c r="CF7" s="19">
        <v>7.6</v>
      </c>
      <c r="CG7" s="19">
        <v>0.8</v>
      </c>
      <c r="CH7" s="19">
        <v>0.3</v>
      </c>
      <c r="CI7" s="19">
        <v>17.399999999999999</v>
      </c>
      <c r="CJ7" s="19">
        <v>4</v>
      </c>
      <c r="CK7" s="19">
        <v>0</v>
      </c>
      <c r="CL7" s="19">
        <v>0</v>
      </c>
      <c r="CM7" s="19"/>
      <c r="CN7" s="19"/>
      <c r="CO7" s="19"/>
      <c r="CP7" s="19"/>
      <c r="CQ7" s="19"/>
      <c r="CR7" s="19"/>
      <c r="CS7" s="19"/>
      <c r="CT7" s="19"/>
      <c r="CU7" s="27"/>
      <c r="CV7" s="40">
        <f t="shared" si="28"/>
        <v>16</v>
      </c>
      <c r="CW7" s="40">
        <f t="shared" si="29"/>
        <v>52.300000000000004</v>
      </c>
      <c r="CX7" s="40">
        <f t="shared" si="30"/>
        <v>21.4</v>
      </c>
      <c r="CY7" s="40">
        <f t="shared" si="31"/>
        <v>20</v>
      </c>
      <c r="CZ7" s="40">
        <f t="shared" si="32"/>
        <v>73.7</v>
      </c>
      <c r="DA7" s="40" t="str">
        <f t="shared" si="33"/>
        <v/>
      </c>
      <c r="DB7" s="40" t="str">
        <f t="shared" si="34"/>
        <v/>
      </c>
      <c r="DC7" s="40">
        <f t="shared" si="35"/>
        <v>73.7</v>
      </c>
      <c r="DD7" s="51" t="str">
        <f t="shared" si="36"/>
        <v/>
      </c>
      <c r="DE7" s="51" t="str">
        <f t="shared" si="37"/>
        <v/>
      </c>
      <c r="DF7" s="51" t="str">
        <f t="shared" si="38"/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 t="str">
        <f t="shared" si="39"/>
        <v/>
      </c>
      <c r="EB7" s="40" t="str">
        <f t="shared" si="40"/>
        <v/>
      </c>
      <c r="EC7" s="40" t="str">
        <f t="shared" si="41"/>
        <v/>
      </c>
      <c r="ED7" s="40" t="str">
        <f t="shared" si="42"/>
        <v/>
      </c>
      <c r="EE7" s="40" t="str">
        <f t="shared" si="43"/>
        <v/>
      </c>
      <c r="EF7" s="40" t="str">
        <f t="shared" si="44"/>
        <v/>
      </c>
      <c r="EG7" s="40" t="str">
        <f t="shared" si="45"/>
        <v/>
      </c>
      <c r="EH7" s="40" t="str">
        <f t="shared" si="46"/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 t="shared" si="47"/>
        <v/>
      </c>
      <c r="FD7" s="11" t="str">
        <f t="shared" si="48"/>
        <v/>
      </c>
      <c r="FE7" s="11" t="str">
        <f t="shared" si="49"/>
        <v/>
      </c>
      <c r="FF7" s="11" t="str">
        <f t="shared" si="50"/>
        <v/>
      </c>
      <c r="FG7" s="11" t="str">
        <f t="shared" si="51"/>
        <v/>
      </c>
      <c r="FH7" s="11" t="str">
        <f t="shared" si="52"/>
        <v/>
      </c>
      <c r="FI7" s="11" t="str">
        <f t="shared" si="53"/>
        <v/>
      </c>
      <c r="FJ7" s="11" t="str">
        <f t="shared" si="54"/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 t="str">
        <f t="shared" si="55"/>
        <v/>
      </c>
      <c r="GF7" s="40" t="str">
        <f t="shared" si="56"/>
        <v/>
      </c>
      <c r="GG7" s="40" t="str">
        <f t="shared" si="57"/>
        <v/>
      </c>
      <c r="GH7" s="40" t="str">
        <f t="shared" si="58"/>
        <v/>
      </c>
      <c r="GI7" s="40" t="str">
        <f t="shared" si="59"/>
        <v/>
      </c>
      <c r="GJ7" s="40" t="str">
        <f t="shared" si="60"/>
        <v/>
      </c>
      <c r="GK7" s="40" t="str">
        <f t="shared" si="61"/>
        <v/>
      </c>
      <c r="GL7" s="40" t="str">
        <f t="shared" si="62"/>
        <v/>
      </c>
      <c r="GM7" s="18">
        <v>16.3</v>
      </c>
      <c r="GN7" s="18">
        <v>8</v>
      </c>
      <c r="GO7" s="18">
        <v>0.8</v>
      </c>
      <c r="GP7" s="18">
        <v>0</v>
      </c>
      <c r="GQ7" s="18">
        <v>18.600000000000001</v>
      </c>
      <c r="GR7" s="18">
        <v>8.4</v>
      </c>
      <c r="GS7" s="18">
        <v>0.6</v>
      </c>
      <c r="GT7" s="18">
        <v>0</v>
      </c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>
        <f t="shared" si="63"/>
        <v>16.399999999999999</v>
      </c>
      <c r="HH7" s="11">
        <f t="shared" si="64"/>
        <v>49.900000000000006</v>
      </c>
      <c r="HI7" s="11" t="str">
        <f t="shared" si="65"/>
        <v/>
      </c>
      <c r="HJ7" s="11">
        <f t="shared" si="66"/>
        <v>16.399999999999999</v>
      </c>
      <c r="HK7" s="11">
        <f t="shared" si="67"/>
        <v>49.900000000000006</v>
      </c>
      <c r="HL7" s="11" t="str">
        <f t="shared" si="68"/>
        <v/>
      </c>
      <c r="HM7" s="11" t="str">
        <f t="shared" si="69"/>
        <v/>
      </c>
      <c r="HN7" s="11">
        <f t="shared" si="70"/>
        <v>49.900000000000006</v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 t="shared" si="71"/>
        <v/>
      </c>
      <c r="IJ7" s="40" t="str">
        <f t="shared" si="72"/>
        <v/>
      </c>
      <c r="IK7" s="40" t="str">
        <f t="shared" si="73"/>
        <v/>
      </c>
      <c r="IL7" s="40" t="str">
        <f t="shared" si="74"/>
        <v/>
      </c>
      <c r="IM7" s="40" t="str">
        <f t="shared" si="75"/>
        <v/>
      </c>
      <c r="IN7" s="40" t="str">
        <f t="shared" si="76"/>
        <v/>
      </c>
      <c r="IO7" s="40" t="str">
        <f t="shared" si="77"/>
        <v/>
      </c>
      <c r="IP7" s="40" t="str">
        <f t="shared" si="78"/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79"/>
        <v/>
      </c>
      <c r="JL7" s="11" t="str">
        <f t="shared" si="80"/>
        <v/>
      </c>
      <c r="JM7" s="11" t="str">
        <f t="shared" si="81"/>
        <v/>
      </c>
      <c r="JN7" s="11" t="str">
        <f t="shared" si="82"/>
        <v/>
      </c>
      <c r="JO7" s="11" t="str">
        <f t="shared" si="83"/>
        <v/>
      </c>
      <c r="JP7" s="11" t="str">
        <f t="shared" si="84"/>
        <v/>
      </c>
      <c r="JQ7" s="11" t="str">
        <f t="shared" si="85"/>
        <v/>
      </c>
      <c r="JR7" s="11" t="str">
        <f t="shared" si="86"/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 t="shared" si="87"/>
        <v/>
      </c>
      <c r="KN7" s="40" t="str">
        <f t="shared" si="88"/>
        <v/>
      </c>
      <c r="KO7" s="40" t="str">
        <f t="shared" si="89"/>
        <v/>
      </c>
      <c r="KP7" s="40" t="str">
        <f t="shared" si="90"/>
        <v/>
      </c>
      <c r="KQ7" s="40" t="str">
        <f t="shared" si="91"/>
        <v/>
      </c>
      <c r="KR7" s="40" t="str">
        <f t="shared" si="92"/>
        <v/>
      </c>
      <c r="KS7" s="40" t="str">
        <f t="shared" si="93"/>
        <v/>
      </c>
      <c r="KT7" s="40" t="str">
        <f t="shared" si="94"/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5"/>
        <v/>
      </c>
      <c r="LP7" s="11" t="str">
        <f t="shared" si="96"/>
        <v/>
      </c>
      <c r="LQ7" s="11" t="str">
        <f t="shared" si="97"/>
        <v/>
      </c>
      <c r="LR7" s="11" t="str">
        <f t="shared" si="98"/>
        <v/>
      </c>
      <c r="LS7" s="11" t="str">
        <f t="shared" si="99"/>
        <v/>
      </c>
      <c r="LT7" s="11" t="str">
        <f t="shared" si="100"/>
        <v/>
      </c>
      <c r="LU7" s="11" t="str">
        <f t="shared" si="101"/>
        <v/>
      </c>
      <c r="LV7" s="11" t="str">
        <f t="shared" si="102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 t="shared" si="103"/>
        <v/>
      </c>
      <c r="MR7" s="40" t="str">
        <f t="shared" si="104"/>
        <v/>
      </c>
      <c r="MS7" s="40" t="str">
        <f t="shared" si="105"/>
        <v/>
      </c>
      <c r="MT7" s="40" t="str">
        <f t="shared" si="106"/>
        <v/>
      </c>
      <c r="MU7" s="40" t="str">
        <f t="shared" si="107"/>
        <v/>
      </c>
      <c r="MV7" s="40" t="str">
        <f t="shared" si="108"/>
        <v/>
      </c>
      <c r="MW7" s="40" t="str">
        <f t="shared" si="109"/>
        <v/>
      </c>
      <c r="MX7" s="40" t="str">
        <f t="shared" si="110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1"/>
        <v/>
      </c>
      <c r="NT7" s="11" t="str">
        <f t="shared" si="112"/>
        <v/>
      </c>
      <c r="NU7" s="11" t="str">
        <f t="shared" si="113"/>
        <v/>
      </c>
      <c r="NV7" s="11" t="str">
        <f t="shared" si="114"/>
        <v/>
      </c>
      <c r="NW7" s="11" t="str">
        <f t="shared" si="115"/>
        <v/>
      </c>
      <c r="NX7" s="11" t="str">
        <f t="shared" si="116"/>
        <v/>
      </c>
      <c r="NY7" s="11" t="str">
        <f t="shared" si="117"/>
        <v/>
      </c>
      <c r="NZ7" s="11" t="str">
        <f t="shared" si="118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 t="shared" si="119"/>
        <v/>
      </c>
      <c r="OV7" s="40" t="str">
        <f t="shared" si="120"/>
        <v/>
      </c>
      <c r="OW7" s="40" t="str">
        <f t="shared" si="121"/>
        <v/>
      </c>
      <c r="OX7" s="40" t="str">
        <f t="shared" si="122"/>
        <v/>
      </c>
      <c r="OY7" s="40" t="str">
        <f t="shared" si="123"/>
        <v/>
      </c>
      <c r="OZ7" s="40" t="str">
        <f t="shared" si="124"/>
        <v/>
      </c>
      <c r="PA7" s="40" t="str">
        <f t="shared" si="125"/>
        <v/>
      </c>
      <c r="PB7" s="40" t="str">
        <f t="shared" si="126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7"/>
        <v/>
      </c>
      <c r="PX7" s="11" t="str">
        <f t="shared" si="128"/>
        <v/>
      </c>
      <c r="PY7" s="11" t="str">
        <f t="shared" si="129"/>
        <v/>
      </c>
      <c r="PZ7" s="11" t="str">
        <f t="shared" si="130"/>
        <v/>
      </c>
      <c r="QA7" s="11" t="str">
        <f t="shared" si="131"/>
        <v/>
      </c>
      <c r="QB7" s="11" t="str">
        <f t="shared" si="132"/>
        <v/>
      </c>
      <c r="QC7" s="11" t="str">
        <f t="shared" si="133"/>
        <v/>
      </c>
      <c r="QD7" s="11" t="str">
        <f t="shared" si="134"/>
        <v/>
      </c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40" t="str">
        <f t="shared" si="135"/>
        <v/>
      </c>
      <c r="QZ7" s="40" t="str">
        <f t="shared" si="136"/>
        <v/>
      </c>
      <c r="RA7" s="40" t="str">
        <f t="shared" si="137"/>
        <v/>
      </c>
      <c r="RB7" s="40" t="str">
        <f t="shared" si="138"/>
        <v/>
      </c>
      <c r="RC7" s="40" t="str">
        <f t="shared" si="139"/>
        <v/>
      </c>
      <c r="RD7" s="40" t="str">
        <f t="shared" si="140"/>
        <v/>
      </c>
      <c r="RE7" s="40" t="str">
        <f t="shared" si="141"/>
        <v/>
      </c>
      <c r="RF7" s="40" t="str">
        <f t="shared" si="142"/>
        <v/>
      </c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1" t="str">
        <f t="shared" si="143"/>
        <v/>
      </c>
      <c r="SB7" s="11" t="str">
        <f t="shared" si="144"/>
        <v/>
      </c>
      <c r="SC7" s="11" t="str">
        <f t="shared" si="145"/>
        <v/>
      </c>
      <c r="SD7" s="11" t="str">
        <f t="shared" si="146"/>
        <v/>
      </c>
      <c r="SE7" s="11" t="str">
        <f t="shared" si="147"/>
        <v/>
      </c>
      <c r="SF7" s="11" t="str">
        <f t="shared" si="148"/>
        <v/>
      </c>
      <c r="SG7" s="11" t="str">
        <f t="shared" si="149"/>
        <v/>
      </c>
      <c r="SH7" s="11" t="str">
        <f t="shared" si="150"/>
        <v/>
      </c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40" t="str">
        <f t="shared" si="151"/>
        <v/>
      </c>
      <c r="TD7" s="40" t="str">
        <f t="shared" si="152"/>
        <v/>
      </c>
      <c r="TE7" s="40" t="str">
        <f t="shared" si="153"/>
        <v/>
      </c>
      <c r="TF7" s="40" t="str">
        <f t="shared" si="154"/>
        <v/>
      </c>
      <c r="TG7" s="40" t="str">
        <f t="shared" si="155"/>
        <v/>
      </c>
      <c r="TH7" s="40" t="str">
        <f t="shared" si="156"/>
        <v/>
      </c>
      <c r="TI7" s="40" t="str">
        <f t="shared" si="157"/>
        <v/>
      </c>
      <c r="TJ7" s="40" t="str">
        <f t="shared" si="158"/>
        <v/>
      </c>
      <c r="TK7" s="26">
        <f t="shared" si="159"/>
        <v>18.55</v>
      </c>
      <c r="TL7" s="26">
        <f t="shared" si="160"/>
        <v>8.4</v>
      </c>
      <c r="TM7" s="26">
        <f t="shared" si="161"/>
        <v>0.7</v>
      </c>
      <c r="TN7" s="26">
        <f t="shared" si="162"/>
        <v>0.15</v>
      </c>
      <c r="TO7" s="26">
        <f t="shared" si="163"/>
        <v>18.05</v>
      </c>
      <c r="TP7" s="26">
        <f t="shared" si="164"/>
        <v>5.6</v>
      </c>
      <c r="TQ7" s="26">
        <f t="shared" si="165"/>
        <v>0.4</v>
      </c>
      <c r="TR7" s="26">
        <f t="shared" si="166"/>
        <v>0.15</v>
      </c>
      <c r="TS7" s="26">
        <f t="shared" si="167"/>
        <v>18.100000000000001</v>
      </c>
      <c r="TT7" s="26">
        <f t="shared" si="168"/>
        <v>6.2</v>
      </c>
      <c r="TU7" s="26">
        <f t="shared" si="169"/>
        <v>0</v>
      </c>
      <c r="TV7" s="26">
        <f t="shared" si="170"/>
        <v>0.15</v>
      </c>
      <c r="TW7" s="26">
        <f t="shared" si="171"/>
        <v>9.5</v>
      </c>
      <c r="TX7" s="26">
        <f t="shared" si="172"/>
        <v>4.2</v>
      </c>
      <c r="TY7" s="26">
        <f t="shared" si="173"/>
        <v>0.1</v>
      </c>
      <c r="TZ7" s="26">
        <f t="shared" si="174"/>
        <v>0</v>
      </c>
      <c r="UA7" s="26">
        <f t="shared" si="175"/>
        <v>9.1</v>
      </c>
      <c r="UB7" s="26">
        <f t="shared" si="176"/>
        <v>4.2</v>
      </c>
      <c r="UC7" s="26">
        <f t="shared" si="177"/>
        <v>0</v>
      </c>
      <c r="UD7" s="26">
        <f t="shared" si="178"/>
        <v>0.15</v>
      </c>
      <c r="UE7" s="28" t="s">
        <v>53</v>
      </c>
      <c r="UF7" s="11">
        <f t="shared" si="179"/>
        <v>14</v>
      </c>
      <c r="UG7" s="11">
        <f t="shared" si="180"/>
        <v>49.800000000000004</v>
      </c>
      <c r="UH7" s="11">
        <f t="shared" si="181"/>
        <v>24.45</v>
      </c>
      <c r="UI7" s="11">
        <f t="shared" si="182"/>
        <v>20.2</v>
      </c>
      <c r="UJ7" s="11">
        <f t="shared" si="183"/>
        <v>74.25</v>
      </c>
      <c r="UK7" s="11">
        <f t="shared" si="184"/>
        <v>8.4</v>
      </c>
      <c r="UL7" s="11">
        <f t="shared" si="185"/>
        <v>27.049999999999994</v>
      </c>
      <c r="UM7" s="11">
        <f t="shared" si="186"/>
        <v>101.3</v>
      </c>
    </row>
    <row r="8" spans="1:559" x14ac:dyDescent="0.2">
      <c r="A8" s="4" cm="1">
        <f t="array" ref="A8">IF(AND(H8&lt;&gt;"",H8&lt;&gt;"No DD"),SUMPRODUCT((H$4:H$28&lt;&gt;"")*(H$4:H$28&lt;&gt;"No DD")*(E$4:E$28&gt;E8))+1,IF(H8="No DD",SUMPRODUCT((H$4:H$28="No DD")*(E$4:E$28&gt;E8))+1+SUMPRODUCT((H$4:H$28&lt;&gt;"")*(H$4:H$28&lt;&gt;"No DD")),""))</f>
        <v>5</v>
      </c>
      <c r="B8" s="5" t="s">
        <v>8</v>
      </c>
      <c r="C8" s="4" t="s">
        <v>5</v>
      </c>
      <c r="D8" s="4">
        <v>1994</v>
      </c>
      <c r="E8" s="9">
        <f t="shared" si="187"/>
        <v>185.50001324000525</v>
      </c>
      <c r="F8" s="3" t="str">
        <f t="shared" si="0"/>
        <v>P</v>
      </c>
      <c r="G8" s="3" t="str">
        <f t="shared" si="1"/>
        <v>P</v>
      </c>
      <c r="H8" s="36" t="str">
        <f t="shared" si="2"/>
        <v>Worlds Team</v>
      </c>
      <c r="I8" s="3" t="str">
        <f t="shared" si="3"/>
        <v>P</v>
      </c>
      <c r="J8" s="8">
        <f>IF(COUNT(AQ8,BT8,CW8)&gt;0,LARGE((AQ8,BT8,CW8),1),0)</f>
        <v>52.5</v>
      </c>
      <c r="K8" s="8" t="str">
        <f t="shared" si="4"/>
        <v>2024 Elite Canada</v>
      </c>
      <c r="L8" s="8">
        <f>IF(COUNT(AQ8,BT8,CW8)&gt;1,LARGE((AQ8,BT8,CW8),2),0)</f>
        <v>52.4</v>
      </c>
      <c r="M8" s="8" t="str">
        <f t="shared" si="5"/>
        <v>2024 3rd Domestic Trial</v>
      </c>
      <c r="N8" s="8">
        <f>IF(COUNT(AR8,BU8,CX8)&gt;0,LARGE((AR8,BU8,CX8),1),0)</f>
        <v>27.5</v>
      </c>
      <c r="O8" s="8" t="str">
        <f t="shared" si="6"/>
        <v>2024 Nationals</v>
      </c>
      <c r="P8" s="8">
        <f t="shared" si="7"/>
        <v>53.1</v>
      </c>
      <c r="Q8" s="8" t="str">
        <f t="shared" si="8"/>
        <v>2024 Elite Canada</v>
      </c>
      <c r="R8" s="8" t="str">
        <f t="shared" si="9"/>
        <v/>
      </c>
      <c r="S8" s="11" t="str">
        <f t="shared" si="10"/>
        <v/>
      </c>
      <c r="T8" s="8" t="str">
        <f t="shared" si="11"/>
        <v/>
      </c>
      <c r="U8" s="19">
        <v>18.899999999999999</v>
      </c>
      <c r="V8" s="19">
        <v>7.6</v>
      </c>
      <c r="W8" s="19">
        <v>0.6</v>
      </c>
      <c r="X8" s="19">
        <v>0</v>
      </c>
      <c r="Y8" s="19">
        <v>18.600000000000001</v>
      </c>
      <c r="Z8" s="19">
        <v>8</v>
      </c>
      <c r="AA8" s="19">
        <v>0</v>
      </c>
      <c r="AB8" s="19">
        <v>0</v>
      </c>
      <c r="AC8" s="19">
        <v>18.600000000000001</v>
      </c>
      <c r="AD8" s="19">
        <v>6.4</v>
      </c>
      <c r="AE8" s="19">
        <v>0.2</v>
      </c>
      <c r="AF8" s="19">
        <v>0</v>
      </c>
      <c r="AG8" s="19">
        <v>18.2</v>
      </c>
      <c r="AH8" s="19">
        <v>8.4</v>
      </c>
      <c r="AI8" s="19">
        <v>1</v>
      </c>
      <c r="AJ8" s="19">
        <v>0.3</v>
      </c>
      <c r="AK8" s="19">
        <v>18.8</v>
      </c>
      <c r="AL8" s="19">
        <v>8.4</v>
      </c>
      <c r="AM8" s="19">
        <v>0</v>
      </c>
      <c r="AN8" s="19">
        <v>0</v>
      </c>
      <c r="AO8" s="27"/>
      <c r="AP8" s="40">
        <f t="shared" si="12"/>
        <v>15.6</v>
      </c>
      <c r="AQ8" s="40">
        <f t="shared" si="13"/>
        <v>52.5</v>
      </c>
      <c r="AR8" s="40">
        <f t="shared" si="14"/>
        <v>24.8</v>
      </c>
      <c r="AS8" s="40">
        <f t="shared" si="15"/>
        <v>22</v>
      </c>
      <c r="AT8" s="40">
        <f t="shared" si="16"/>
        <v>77.3</v>
      </c>
      <c r="AU8" s="40">
        <f t="shared" si="17"/>
        <v>16.8</v>
      </c>
      <c r="AV8" s="40">
        <f t="shared" si="18"/>
        <v>53.1</v>
      </c>
      <c r="AW8" s="40">
        <f t="shared" si="19"/>
        <v>130.4</v>
      </c>
      <c r="AX8" s="18">
        <v>16.600000000000001</v>
      </c>
      <c r="AY8" s="18">
        <v>7.6</v>
      </c>
      <c r="AZ8" s="18">
        <v>1</v>
      </c>
      <c r="BA8" s="18">
        <v>0.3</v>
      </c>
      <c r="BB8" s="18">
        <v>18.600000000000001</v>
      </c>
      <c r="BC8" s="18">
        <v>7.2</v>
      </c>
      <c r="BD8" s="18">
        <v>0.2</v>
      </c>
      <c r="BE8" s="18">
        <v>0</v>
      </c>
      <c r="BF8" s="18">
        <v>19.100000000000001</v>
      </c>
      <c r="BG8" s="18">
        <v>8.4</v>
      </c>
      <c r="BH8" s="18">
        <v>0</v>
      </c>
      <c r="BI8" s="18">
        <v>0</v>
      </c>
      <c r="BJ8" s="18">
        <v>16.600000000000001</v>
      </c>
      <c r="BK8" s="18">
        <v>7.6</v>
      </c>
      <c r="BL8" s="18">
        <v>0.8</v>
      </c>
      <c r="BM8" s="18">
        <v>0</v>
      </c>
      <c r="BN8" s="18">
        <v>17.5</v>
      </c>
      <c r="BO8" s="18">
        <v>3.6</v>
      </c>
      <c r="BP8" s="18">
        <v>0</v>
      </c>
      <c r="BQ8" s="18">
        <v>0</v>
      </c>
      <c r="BR8" s="28"/>
      <c r="BS8" s="11">
        <f t="shared" si="20"/>
        <v>14.8</v>
      </c>
      <c r="BT8" s="11">
        <f t="shared" si="21"/>
        <v>49.100000000000009</v>
      </c>
      <c r="BU8" s="11">
        <f t="shared" si="22"/>
        <v>27.5</v>
      </c>
      <c r="BV8" s="11">
        <f t="shared" si="23"/>
        <v>23.200000000000003</v>
      </c>
      <c r="BW8" s="11">
        <f t="shared" si="24"/>
        <v>76.600000000000009</v>
      </c>
      <c r="BX8" s="11">
        <f t="shared" si="25"/>
        <v>11.2</v>
      </c>
      <c r="BY8" s="11">
        <f t="shared" si="26"/>
        <v>44.500000000000007</v>
      </c>
      <c r="BZ8" s="11">
        <f t="shared" si="27"/>
        <v>121.10000000000002</v>
      </c>
      <c r="CA8" s="19">
        <v>18.899999999999999</v>
      </c>
      <c r="CB8" s="19">
        <v>8.4</v>
      </c>
      <c r="CC8" s="19">
        <v>0.2</v>
      </c>
      <c r="CD8" s="19">
        <v>0</v>
      </c>
      <c r="CE8" s="19">
        <v>18.899999999999999</v>
      </c>
      <c r="CF8" s="19">
        <v>7.2</v>
      </c>
      <c r="CG8" s="19">
        <v>0.8</v>
      </c>
      <c r="CH8" s="19">
        <v>0</v>
      </c>
      <c r="CI8" s="19">
        <v>17.5</v>
      </c>
      <c r="CJ8" s="19">
        <v>4.8</v>
      </c>
      <c r="CK8" s="19">
        <v>0</v>
      </c>
      <c r="CL8" s="19">
        <v>0</v>
      </c>
      <c r="CM8" s="19">
        <v>18.7</v>
      </c>
      <c r="CN8" s="19">
        <v>8.4</v>
      </c>
      <c r="CO8" s="19">
        <v>0.8</v>
      </c>
      <c r="CP8" s="19">
        <v>0.3</v>
      </c>
      <c r="CQ8" s="19">
        <v>17.600000000000001</v>
      </c>
      <c r="CR8" s="19">
        <v>4</v>
      </c>
      <c r="CS8" s="19">
        <v>0</v>
      </c>
      <c r="CT8" s="19">
        <v>0</v>
      </c>
      <c r="CU8" s="27"/>
      <c r="CV8" s="40">
        <f t="shared" si="28"/>
        <v>15.600000000000001</v>
      </c>
      <c r="CW8" s="40">
        <f t="shared" si="29"/>
        <v>52.4</v>
      </c>
      <c r="CX8" s="40">
        <f t="shared" si="30"/>
        <v>22.3</v>
      </c>
      <c r="CY8" s="40">
        <f t="shared" si="31"/>
        <v>20.400000000000002</v>
      </c>
      <c r="CZ8" s="40">
        <f t="shared" si="32"/>
        <v>74.7</v>
      </c>
      <c r="DA8" s="40">
        <f t="shared" si="33"/>
        <v>12.4</v>
      </c>
      <c r="DB8" s="40">
        <f t="shared" si="34"/>
        <v>48.2</v>
      </c>
      <c r="DC8" s="40">
        <f t="shared" si="35"/>
        <v>122.9</v>
      </c>
      <c r="DD8" s="51" t="str">
        <f t="shared" si="36"/>
        <v/>
      </c>
      <c r="DE8" s="51" t="str">
        <f t="shared" si="37"/>
        <v/>
      </c>
      <c r="DF8" s="51" t="str">
        <f t="shared" si="38"/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 t="shared" si="39"/>
        <v/>
      </c>
      <c r="EB8" s="40" t="str">
        <f t="shared" si="40"/>
        <v/>
      </c>
      <c r="EC8" s="40" t="str">
        <f t="shared" si="41"/>
        <v/>
      </c>
      <c r="ED8" s="40" t="str">
        <f t="shared" si="42"/>
        <v/>
      </c>
      <c r="EE8" s="40" t="str">
        <f t="shared" si="43"/>
        <v/>
      </c>
      <c r="EF8" s="40" t="str">
        <f t="shared" si="44"/>
        <v/>
      </c>
      <c r="EG8" s="40" t="str">
        <f t="shared" si="45"/>
        <v/>
      </c>
      <c r="EH8" s="40" t="str">
        <f t="shared" si="46"/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 t="shared" si="47"/>
        <v/>
      </c>
      <c r="FD8" s="11" t="str">
        <f t="shared" si="48"/>
        <v/>
      </c>
      <c r="FE8" s="11" t="str">
        <f t="shared" si="49"/>
        <v/>
      </c>
      <c r="FF8" s="11" t="str">
        <f t="shared" si="50"/>
        <v/>
      </c>
      <c r="FG8" s="11" t="str">
        <f t="shared" si="51"/>
        <v/>
      </c>
      <c r="FH8" s="11" t="str">
        <f t="shared" si="52"/>
        <v/>
      </c>
      <c r="FI8" s="11" t="str">
        <f t="shared" si="53"/>
        <v/>
      </c>
      <c r="FJ8" s="11" t="str">
        <f t="shared" si="54"/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 t="shared" si="55"/>
        <v/>
      </c>
      <c r="GF8" s="40" t="str">
        <f t="shared" si="56"/>
        <v/>
      </c>
      <c r="GG8" s="40" t="str">
        <f t="shared" si="57"/>
        <v/>
      </c>
      <c r="GH8" s="40" t="str">
        <f t="shared" si="58"/>
        <v/>
      </c>
      <c r="GI8" s="40" t="str">
        <f t="shared" si="59"/>
        <v/>
      </c>
      <c r="GJ8" s="40" t="str">
        <f t="shared" si="60"/>
        <v/>
      </c>
      <c r="GK8" s="40" t="str">
        <f t="shared" si="61"/>
        <v/>
      </c>
      <c r="GL8" s="40" t="str">
        <f t="shared" si="62"/>
        <v/>
      </c>
      <c r="GM8" s="18">
        <v>17.3</v>
      </c>
      <c r="GN8" s="18">
        <v>4</v>
      </c>
      <c r="GO8" s="18">
        <v>0</v>
      </c>
      <c r="GP8" s="18">
        <v>0</v>
      </c>
      <c r="GQ8" s="18">
        <v>18.399999999999999</v>
      </c>
      <c r="GR8" s="18">
        <v>8</v>
      </c>
      <c r="GS8" s="18">
        <v>0.6</v>
      </c>
      <c r="GT8" s="18">
        <v>0</v>
      </c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>
        <f t="shared" si="63"/>
        <v>12</v>
      </c>
      <c r="HH8" s="11">
        <f t="shared" si="64"/>
        <v>47.1</v>
      </c>
      <c r="HI8" s="11" t="str">
        <f t="shared" si="65"/>
        <v/>
      </c>
      <c r="HJ8" s="11">
        <f t="shared" si="66"/>
        <v>12</v>
      </c>
      <c r="HK8" s="11">
        <f t="shared" si="67"/>
        <v>47.1</v>
      </c>
      <c r="HL8" s="11" t="str">
        <f t="shared" si="68"/>
        <v/>
      </c>
      <c r="HM8" s="11" t="str">
        <f t="shared" si="69"/>
        <v/>
      </c>
      <c r="HN8" s="11">
        <f t="shared" si="70"/>
        <v>47.1</v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 t="shared" si="71"/>
        <v/>
      </c>
      <c r="IJ8" s="40" t="str">
        <f t="shared" si="72"/>
        <v/>
      </c>
      <c r="IK8" s="40" t="str">
        <f t="shared" si="73"/>
        <v/>
      </c>
      <c r="IL8" s="40" t="str">
        <f t="shared" si="74"/>
        <v/>
      </c>
      <c r="IM8" s="40" t="str">
        <f t="shared" si="75"/>
        <v/>
      </c>
      <c r="IN8" s="40" t="str">
        <f t="shared" si="76"/>
        <v/>
      </c>
      <c r="IO8" s="40" t="str">
        <f t="shared" si="77"/>
        <v/>
      </c>
      <c r="IP8" s="40" t="str">
        <f t="shared" si="78"/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79"/>
        <v/>
      </c>
      <c r="JL8" s="11" t="str">
        <f t="shared" si="80"/>
        <v/>
      </c>
      <c r="JM8" s="11" t="str">
        <f t="shared" si="81"/>
        <v/>
      </c>
      <c r="JN8" s="11" t="str">
        <f t="shared" si="82"/>
        <v/>
      </c>
      <c r="JO8" s="11" t="str">
        <f t="shared" si="83"/>
        <v/>
      </c>
      <c r="JP8" s="11" t="str">
        <f t="shared" si="84"/>
        <v/>
      </c>
      <c r="JQ8" s="11" t="str">
        <f t="shared" si="85"/>
        <v/>
      </c>
      <c r="JR8" s="11" t="str">
        <f t="shared" si="86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 t="shared" si="87"/>
        <v/>
      </c>
      <c r="KN8" s="40" t="str">
        <f t="shared" si="88"/>
        <v/>
      </c>
      <c r="KO8" s="40" t="str">
        <f t="shared" si="89"/>
        <v/>
      </c>
      <c r="KP8" s="40" t="str">
        <f t="shared" si="90"/>
        <v/>
      </c>
      <c r="KQ8" s="40" t="str">
        <f t="shared" si="91"/>
        <v/>
      </c>
      <c r="KR8" s="40" t="str">
        <f t="shared" si="92"/>
        <v/>
      </c>
      <c r="KS8" s="40" t="str">
        <f t="shared" si="93"/>
        <v/>
      </c>
      <c r="KT8" s="40" t="str">
        <f t="shared" si="94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5"/>
        <v/>
      </c>
      <c r="LP8" s="11" t="str">
        <f t="shared" si="96"/>
        <v/>
      </c>
      <c r="LQ8" s="11" t="str">
        <f t="shared" si="97"/>
        <v/>
      </c>
      <c r="LR8" s="11" t="str">
        <f t="shared" si="98"/>
        <v/>
      </c>
      <c r="LS8" s="11" t="str">
        <f t="shared" si="99"/>
        <v/>
      </c>
      <c r="LT8" s="11" t="str">
        <f t="shared" si="100"/>
        <v/>
      </c>
      <c r="LU8" s="11" t="str">
        <f t="shared" si="101"/>
        <v/>
      </c>
      <c r="LV8" s="11" t="str">
        <f t="shared" si="102"/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 t="shared" si="103"/>
        <v/>
      </c>
      <c r="MR8" s="40" t="str">
        <f t="shared" si="104"/>
        <v/>
      </c>
      <c r="MS8" s="40" t="str">
        <f t="shared" si="105"/>
        <v/>
      </c>
      <c r="MT8" s="40" t="str">
        <f t="shared" si="106"/>
        <v/>
      </c>
      <c r="MU8" s="40" t="str">
        <f t="shared" si="107"/>
        <v/>
      </c>
      <c r="MV8" s="40" t="str">
        <f t="shared" si="108"/>
        <v/>
      </c>
      <c r="MW8" s="40" t="str">
        <f t="shared" si="109"/>
        <v/>
      </c>
      <c r="MX8" s="40" t="str">
        <f t="shared" si="110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1"/>
        <v/>
      </c>
      <c r="NT8" s="11" t="str">
        <f t="shared" si="112"/>
        <v/>
      </c>
      <c r="NU8" s="11" t="str">
        <f t="shared" si="113"/>
        <v/>
      </c>
      <c r="NV8" s="11" t="str">
        <f t="shared" si="114"/>
        <v/>
      </c>
      <c r="NW8" s="11" t="str">
        <f t="shared" si="115"/>
        <v/>
      </c>
      <c r="NX8" s="11" t="str">
        <f t="shared" si="116"/>
        <v/>
      </c>
      <c r="NY8" s="11" t="str">
        <f t="shared" si="117"/>
        <v/>
      </c>
      <c r="NZ8" s="11" t="str">
        <f t="shared" si="118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 t="shared" si="119"/>
        <v/>
      </c>
      <c r="OV8" s="40" t="str">
        <f t="shared" si="120"/>
        <v/>
      </c>
      <c r="OW8" s="40" t="str">
        <f t="shared" si="121"/>
        <v/>
      </c>
      <c r="OX8" s="40" t="str">
        <f t="shared" si="122"/>
        <v/>
      </c>
      <c r="OY8" s="40" t="str">
        <f t="shared" si="123"/>
        <v/>
      </c>
      <c r="OZ8" s="40" t="str">
        <f t="shared" si="124"/>
        <v/>
      </c>
      <c r="PA8" s="40" t="str">
        <f t="shared" si="125"/>
        <v/>
      </c>
      <c r="PB8" s="40" t="str">
        <f t="shared" si="126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7"/>
        <v/>
      </c>
      <c r="PX8" s="11" t="str">
        <f t="shared" si="128"/>
        <v/>
      </c>
      <c r="PY8" s="11" t="str">
        <f t="shared" si="129"/>
        <v/>
      </c>
      <c r="PZ8" s="11" t="str">
        <f t="shared" si="130"/>
        <v/>
      </c>
      <c r="QA8" s="11" t="str">
        <f t="shared" si="131"/>
        <v/>
      </c>
      <c r="QB8" s="11" t="str">
        <f t="shared" si="132"/>
        <v/>
      </c>
      <c r="QC8" s="11" t="str">
        <f t="shared" si="133"/>
        <v/>
      </c>
      <c r="QD8" s="11" t="str">
        <f t="shared" si="134"/>
        <v/>
      </c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40" t="str">
        <f t="shared" si="135"/>
        <v/>
      </c>
      <c r="QZ8" s="40" t="str">
        <f t="shared" si="136"/>
        <v/>
      </c>
      <c r="RA8" s="40" t="str">
        <f t="shared" si="137"/>
        <v/>
      </c>
      <c r="RB8" s="40" t="str">
        <f t="shared" si="138"/>
        <v/>
      </c>
      <c r="RC8" s="40" t="str">
        <f t="shared" si="139"/>
        <v/>
      </c>
      <c r="RD8" s="40" t="str">
        <f t="shared" si="140"/>
        <v/>
      </c>
      <c r="RE8" s="40" t="str">
        <f t="shared" si="141"/>
        <v/>
      </c>
      <c r="RF8" s="40" t="str">
        <f t="shared" si="142"/>
        <v/>
      </c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1" t="str">
        <f t="shared" si="143"/>
        <v/>
      </c>
      <c r="SB8" s="11" t="str">
        <f t="shared" si="144"/>
        <v/>
      </c>
      <c r="SC8" s="11" t="str">
        <f t="shared" si="145"/>
        <v/>
      </c>
      <c r="SD8" s="11" t="str">
        <f t="shared" si="146"/>
        <v/>
      </c>
      <c r="SE8" s="11" t="str">
        <f t="shared" si="147"/>
        <v/>
      </c>
      <c r="SF8" s="11" t="str">
        <f t="shared" si="148"/>
        <v/>
      </c>
      <c r="SG8" s="11" t="str">
        <f t="shared" si="149"/>
        <v/>
      </c>
      <c r="SH8" s="11" t="str">
        <f t="shared" si="150"/>
        <v/>
      </c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40" t="str">
        <f t="shared" si="151"/>
        <v/>
      </c>
      <c r="TD8" s="40" t="str">
        <f t="shared" si="152"/>
        <v/>
      </c>
      <c r="TE8" s="40" t="str">
        <f t="shared" si="153"/>
        <v/>
      </c>
      <c r="TF8" s="40" t="str">
        <f t="shared" si="154"/>
        <v/>
      </c>
      <c r="TG8" s="40" t="str">
        <f t="shared" si="155"/>
        <v/>
      </c>
      <c r="TH8" s="40" t="str">
        <f t="shared" si="156"/>
        <v/>
      </c>
      <c r="TI8" s="40" t="str">
        <f t="shared" si="157"/>
        <v/>
      </c>
      <c r="TJ8" s="40" t="str">
        <f t="shared" si="158"/>
        <v/>
      </c>
      <c r="TK8" s="26">
        <f t="shared" si="159"/>
        <v>17.75</v>
      </c>
      <c r="TL8" s="26">
        <f t="shared" si="160"/>
        <v>8</v>
      </c>
      <c r="TM8" s="26">
        <f t="shared" si="161"/>
        <v>0.6</v>
      </c>
      <c r="TN8" s="26">
        <f t="shared" si="162"/>
        <v>0.15</v>
      </c>
      <c r="TO8" s="26">
        <f t="shared" si="163"/>
        <v>18.75</v>
      </c>
      <c r="TP8" s="26">
        <f t="shared" si="164"/>
        <v>7.2</v>
      </c>
      <c r="TQ8" s="26">
        <f t="shared" si="165"/>
        <v>0.5</v>
      </c>
      <c r="TR8" s="26">
        <f t="shared" si="166"/>
        <v>0</v>
      </c>
      <c r="TS8" s="26">
        <f t="shared" si="167"/>
        <v>18.3</v>
      </c>
      <c r="TT8" s="26">
        <f t="shared" si="168"/>
        <v>6.6</v>
      </c>
      <c r="TU8" s="26">
        <f t="shared" si="169"/>
        <v>0</v>
      </c>
      <c r="TV8" s="26">
        <f t="shared" si="170"/>
        <v>0</v>
      </c>
      <c r="TW8" s="26">
        <f t="shared" si="171"/>
        <v>17.649999999999999</v>
      </c>
      <c r="TX8" s="26">
        <f t="shared" si="172"/>
        <v>8</v>
      </c>
      <c r="TY8" s="26">
        <f t="shared" si="173"/>
        <v>0.8</v>
      </c>
      <c r="TZ8" s="26">
        <f t="shared" si="174"/>
        <v>0.15</v>
      </c>
      <c r="UA8" s="26">
        <f t="shared" si="175"/>
        <v>17.55</v>
      </c>
      <c r="UB8" s="26">
        <f t="shared" si="176"/>
        <v>3.8</v>
      </c>
      <c r="UC8" s="26">
        <f t="shared" si="177"/>
        <v>0</v>
      </c>
      <c r="UD8" s="26">
        <f t="shared" si="178"/>
        <v>0</v>
      </c>
      <c r="UE8" s="28" t="s">
        <v>53</v>
      </c>
      <c r="UF8" s="11">
        <f t="shared" si="179"/>
        <v>15.2</v>
      </c>
      <c r="UG8" s="11">
        <f t="shared" si="180"/>
        <v>50.75</v>
      </c>
      <c r="UH8" s="11">
        <f t="shared" si="181"/>
        <v>24.9</v>
      </c>
      <c r="UI8" s="11">
        <f t="shared" si="182"/>
        <v>21.799999999999997</v>
      </c>
      <c r="UJ8" s="11">
        <f t="shared" si="183"/>
        <v>75.650000000000006</v>
      </c>
      <c r="UK8" s="11">
        <f t="shared" si="184"/>
        <v>11.8</v>
      </c>
      <c r="UL8" s="11">
        <f t="shared" si="185"/>
        <v>46.349999999999994</v>
      </c>
      <c r="UM8" s="11">
        <f t="shared" si="186"/>
        <v>122</v>
      </c>
    </row>
    <row r="9" spans="1:559" x14ac:dyDescent="0.2">
      <c r="A9" s="4" cm="1">
        <f t="array" ref="A9">IF(AND(H9&lt;&gt;"",H9&lt;&gt;"No DD"),SUMPRODUCT((H$4:H$28&lt;&gt;"")*(H$4:H$28&lt;&gt;"No DD")*(E$4:E$28&gt;E9))+1,IF(H9="No DD",SUMPRODUCT((H$4:H$28="No DD")*(E$4:E$28&gt;E9))+1+SUMPRODUCT((H$4:H$28&lt;&gt;"")*(H$4:H$28&lt;&gt;"No DD")),""))</f>
        <v>6</v>
      </c>
      <c r="B9" s="5" t="s">
        <v>160</v>
      </c>
      <c r="C9" s="4" t="s">
        <v>6</v>
      </c>
      <c r="D9" s="4">
        <v>2005</v>
      </c>
      <c r="E9" s="9">
        <f t="shared" si="187"/>
        <v>184.50001316000532</v>
      </c>
      <c r="F9" s="3" t="str">
        <f t="shared" si="0"/>
        <v>P</v>
      </c>
      <c r="G9" s="3" t="str">
        <f t="shared" si="1"/>
        <v>P</v>
      </c>
      <c r="H9" s="36" t="str">
        <f t="shared" si="2"/>
        <v>Excellence</v>
      </c>
      <c r="I9" s="3" t="str">
        <f t="shared" si="3"/>
        <v>P</v>
      </c>
      <c r="J9" s="8">
        <f>IF(COUNT(AQ9,BT9,CW9)&gt;0,LARGE((AQ9,BT9,CW9),1),0)</f>
        <v>53.099999999999994</v>
      </c>
      <c r="K9" s="8" t="str">
        <f t="shared" si="4"/>
        <v>2024 3rd Domestic Trial</v>
      </c>
      <c r="L9" s="8">
        <f>IF(COUNT(AQ9,BT9,CW9)&gt;1,LARGE((AQ9,BT9,CW9),2),0)</f>
        <v>51.699999999999996</v>
      </c>
      <c r="M9" s="8" t="str">
        <f t="shared" si="5"/>
        <v>2024 Nationals</v>
      </c>
      <c r="N9" s="8">
        <f>IF(COUNT(AR9,BU9,CX9)&gt;0,LARGE((AR9,BU9,CX9),1),0)</f>
        <v>26.8</v>
      </c>
      <c r="O9" s="8" t="str">
        <f t="shared" si="6"/>
        <v>2024 3rd Domestic Trial</v>
      </c>
      <c r="P9" s="8">
        <f t="shared" si="7"/>
        <v>52.9</v>
      </c>
      <c r="Q9" s="8" t="str">
        <f t="shared" si="8"/>
        <v>2024 3rd Domestic Trial</v>
      </c>
      <c r="R9" s="8" t="str">
        <f t="shared" si="9"/>
        <v/>
      </c>
      <c r="S9" s="11" t="str">
        <f t="shared" si="10"/>
        <v/>
      </c>
      <c r="T9" s="8" t="str">
        <f t="shared" si="11"/>
        <v/>
      </c>
      <c r="U9" s="19">
        <v>16.7</v>
      </c>
      <c r="V9" s="19">
        <v>8</v>
      </c>
      <c r="W9" s="19">
        <v>0.8</v>
      </c>
      <c r="X9" s="19">
        <v>0.3</v>
      </c>
      <c r="Y9" s="19">
        <v>17.899999999999999</v>
      </c>
      <c r="Z9" s="19">
        <v>6.8</v>
      </c>
      <c r="AA9" s="19">
        <v>0</v>
      </c>
      <c r="AB9" s="19">
        <v>0</v>
      </c>
      <c r="AC9" s="19">
        <v>18</v>
      </c>
      <c r="AD9" s="19">
        <v>6.4</v>
      </c>
      <c r="AE9" s="19">
        <v>0.8</v>
      </c>
      <c r="AF9" s="19">
        <v>0</v>
      </c>
      <c r="AG9" s="19"/>
      <c r="AH9" s="19"/>
      <c r="AI9" s="19"/>
      <c r="AJ9" s="19"/>
      <c r="AK9" s="19"/>
      <c r="AL9" s="19"/>
      <c r="AM9" s="19"/>
      <c r="AN9" s="19"/>
      <c r="AO9" s="27"/>
      <c r="AP9" s="40">
        <f t="shared" si="12"/>
        <v>14.8</v>
      </c>
      <c r="AQ9" s="40">
        <f t="shared" si="13"/>
        <v>48.9</v>
      </c>
      <c r="AR9" s="40">
        <f t="shared" si="14"/>
        <v>23.599999999999998</v>
      </c>
      <c r="AS9" s="40">
        <f t="shared" si="15"/>
        <v>21.200000000000003</v>
      </c>
      <c r="AT9" s="40">
        <f t="shared" si="16"/>
        <v>72.5</v>
      </c>
      <c r="AU9" s="40" t="str">
        <f t="shared" si="17"/>
        <v/>
      </c>
      <c r="AV9" s="40" t="str">
        <f t="shared" si="18"/>
        <v/>
      </c>
      <c r="AW9" s="40">
        <f t="shared" si="19"/>
        <v>72.5</v>
      </c>
      <c r="AX9" s="18">
        <v>18.2</v>
      </c>
      <c r="AY9" s="18">
        <v>8.4</v>
      </c>
      <c r="AZ9" s="18">
        <v>0</v>
      </c>
      <c r="BA9" s="18">
        <v>0.3</v>
      </c>
      <c r="BB9" s="18">
        <v>18.2</v>
      </c>
      <c r="BC9" s="18">
        <v>6.8</v>
      </c>
      <c r="BD9" s="18">
        <v>0.2</v>
      </c>
      <c r="BE9" s="18">
        <v>0</v>
      </c>
      <c r="BF9" s="18">
        <v>17.399999999999999</v>
      </c>
      <c r="BG9" s="18">
        <v>2.8</v>
      </c>
      <c r="BH9" s="18">
        <v>0</v>
      </c>
      <c r="BI9" s="18">
        <v>0</v>
      </c>
      <c r="BJ9" s="18"/>
      <c r="BK9" s="18"/>
      <c r="BL9" s="18"/>
      <c r="BM9" s="18"/>
      <c r="BN9" s="18"/>
      <c r="BO9" s="18"/>
      <c r="BP9" s="18"/>
      <c r="BQ9" s="18"/>
      <c r="BR9" s="28"/>
      <c r="BS9" s="11">
        <f t="shared" si="20"/>
        <v>15.2</v>
      </c>
      <c r="BT9" s="11">
        <f t="shared" si="21"/>
        <v>51.699999999999996</v>
      </c>
      <c r="BU9" s="11">
        <f t="shared" si="22"/>
        <v>20.2</v>
      </c>
      <c r="BV9" s="11">
        <f t="shared" si="23"/>
        <v>18</v>
      </c>
      <c r="BW9" s="11">
        <f t="shared" si="24"/>
        <v>71.899999999999991</v>
      </c>
      <c r="BX9" s="11" t="str">
        <f t="shared" si="25"/>
        <v/>
      </c>
      <c r="BY9" s="11" t="str">
        <f t="shared" si="26"/>
        <v/>
      </c>
      <c r="BZ9" s="11">
        <f t="shared" si="27"/>
        <v>71.899999999999991</v>
      </c>
      <c r="CA9" s="19">
        <v>18.5</v>
      </c>
      <c r="CB9" s="19">
        <v>8.4</v>
      </c>
      <c r="CC9" s="19">
        <v>0.6</v>
      </c>
      <c r="CD9" s="19">
        <v>0.3</v>
      </c>
      <c r="CE9" s="19">
        <v>18.899999999999999</v>
      </c>
      <c r="CF9" s="19">
        <v>7.6</v>
      </c>
      <c r="CG9" s="19">
        <v>0</v>
      </c>
      <c r="CH9" s="19">
        <v>0</v>
      </c>
      <c r="CI9" s="19">
        <v>18.399999999999999</v>
      </c>
      <c r="CJ9" s="19">
        <v>8.1</v>
      </c>
      <c r="CK9" s="19">
        <v>0</v>
      </c>
      <c r="CL9" s="19">
        <v>0.3</v>
      </c>
      <c r="CM9" s="19">
        <v>18.399999999999999</v>
      </c>
      <c r="CN9" s="19">
        <v>8.4</v>
      </c>
      <c r="CO9" s="19">
        <v>0.8</v>
      </c>
      <c r="CP9" s="19">
        <v>0.3</v>
      </c>
      <c r="CQ9" s="19">
        <v>18.8</v>
      </c>
      <c r="CR9" s="19">
        <v>8</v>
      </c>
      <c r="CS9" s="19">
        <v>0.2</v>
      </c>
      <c r="CT9" s="19">
        <v>0</v>
      </c>
      <c r="CU9" s="27"/>
      <c r="CV9" s="40">
        <f t="shared" si="28"/>
        <v>16</v>
      </c>
      <c r="CW9" s="40">
        <f t="shared" si="29"/>
        <v>53.099999999999994</v>
      </c>
      <c r="CX9" s="40">
        <f t="shared" si="30"/>
        <v>26.8</v>
      </c>
      <c r="CY9" s="40">
        <f t="shared" si="31"/>
        <v>24.1</v>
      </c>
      <c r="CZ9" s="40">
        <f t="shared" si="32"/>
        <v>79.899999999999991</v>
      </c>
      <c r="DA9" s="40">
        <f t="shared" si="33"/>
        <v>16.399999999999999</v>
      </c>
      <c r="DB9" s="40">
        <f t="shared" si="34"/>
        <v>52.9</v>
      </c>
      <c r="DC9" s="40">
        <f t="shared" si="35"/>
        <v>132.79999999999998</v>
      </c>
      <c r="DD9" s="51" t="str">
        <f t="shared" si="36"/>
        <v/>
      </c>
      <c r="DE9" s="51" t="str">
        <f t="shared" si="37"/>
        <v/>
      </c>
      <c r="DF9" s="51" t="str">
        <f t="shared" si="38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 t="shared" si="39"/>
        <v/>
      </c>
      <c r="EB9" s="40" t="str">
        <f t="shared" si="40"/>
        <v/>
      </c>
      <c r="EC9" s="40" t="str">
        <f t="shared" si="41"/>
        <v/>
      </c>
      <c r="ED9" s="40" t="str">
        <f t="shared" si="42"/>
        <v/>
      </c>
      <c r="EE9" s="40" t="str">
        <f t="shared" si="43"/>
        <v/>
      </c>
      <c r="EF9" s="40" t="str">
        <f t="shared" si="44"/>
        <v/>
      </c>
      <c r="EG9" s="40" t="str">
        <f t="shared" si="45"/>
        <v/>
      </c>
      <c r="EH9" s="40" t="str">
        <f t="shared" si="46"/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 t="shared" si="47"/>
        <v/>
      </c>
      <c r="FD9" s="11" t="str">
        <f t="shared" si="48"/>
        <v/>
      </c>
      <c r="FE9" s="11" t="str">
        <f t="shared" si="49"/>
        <v/>
      </c>
      <c r="FF9" s="11" t="str">
        <f t="shared" si="50"/>
        <v/>
      </c>
      <c r="FG9" s="11" t="str">
        <f t="shared" si="51"/>
        <v/>
      </c>
      <c r="FH9" s="11" t="str">
        <f t="shared" si="52"/>
        <v/>
      </c>
      <c r="FI9" s="11" t="str">
        <f t="shared" si="53"/>
        <v/>
      </c>
      <c r="FJ9" s="11" t="str">
        <f t="shared" si="54"/>
        <v/>
      </c>
      <c r="FK9" s="17">
        <v>18.399999999999999</v>
      </c>
      <c r="FL9" s="17">
        <v>8.4</v>
      </c>
      <c r="FM9" s="17">
        <v>0.8</v>
      </c>
      <c r="FN9" s="17">
        <v>0</v>
      </c>
      <c r="FO9" s="17">
        <v>17.2</v>
      </c>
      <c r="FP9" s="17">
        <v>3.6</v>
      </c>
      <c r="FQ9" s="17">
        <v>0</v>
      </c>
      <c r="FR9" s="17">
        <v>0</v>
      </c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>
        <f t="shared" si="55"/>
        <v>12</v>
      </c>
      <c r="GF9" s="40">
        <f t="shared" si="56"/>
        <v>46.800000000000004</v>
      </c>
      <c r="GG9" s="40" t="str">
        <f t="shared" si="57"/>
        <v/>
      </c>
      <c r="GH9" s="40">
        <f t="shared" si="58"/>
        <v>12</v>
      </c>
      <c r="GI9" s="40">
        <f t="shared" si="59"/>
        <v>46.800000000000004</v>
      </c>
      <c r="GJ9" s="40" t="str">
        <f t="shared" si="60"/>
        <v/>
      </c>
      <c r="GK9" s="40" t="str">
        <f t="shared" si="61"/>
        <v/>
      </c>
      <c r="GL9" s="40">
        <f t="shared" si="62"/>
        <v>46.800000000000004</v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3"/>
        <v/>
      </c>
      <c r="HH9" s="11" t="str">
        <f t="shared" si="64"/>
        <v/>
      </c>
      <c r="HI9" s="11" t="str">
        <f t="shared" si="65"/>
        <v/>
      </c>
      <c r="HJ9" s="11" t="str">
        <f t="shared" si="66"/>
        <v/>
      </c>
      <c r="HK9" s="11" t="str">
        <f t="shared" si="67"/>
        <v/>
      </c>
      <c r="HL9" s="11" t="str">
        <f t="shared" si="68"/>
        <v/>
      </c>
      <c r="HM9" s="11" t="str">
        <f t="shared" si="69"/>
        <v/>
      </c>
      <c r="HN9" s="11" t="str">
        <f t="shared" si="70"/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 t="shared" si="71"/>
        <v/>
      </c>
      <c r="IJ9" s="40" t="str">
        <f t="shared" si="72"/>
        <v/>
      </c>
      <c r="IK9" s="40" t="str">
        <f t="shared" si="73"/>
        <v/>
      </c>
      <c r="IL9" s="40" t="str">
        <f t="shared" si="74"/>
        <v/>
      </c>
      <c r="IM9" s="40" t="str">
        <f t="shared" si="75"/>
        <v/>
      </c>
      <c r="IN9" s="40" t="str">
        <f t="shared" si="76"/>
        <v/>
      </c>
      <c r="IO9" s="40" t="str">
        <f t="shared" si="77"/>
        <v/>
      </c>
      <c r="IP9" s="40" t="str">
        <f t="shared" si="78"/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79"/>
        <v/>
      </c>
      <c r="JL9" s="11" t="str">
        <f t="shared" si="80"/>
        <v/>
      </c>
      <c r="JM9" s="11" t="str">
        <f t="shared" si="81"/>
        <v/>
      </c>
      <c r="JN9" s="11" t="str">
        <f t="shared" si="82"/>
        <v/>
      </c>
      <c r="JO9" s="11" t="str">
        <f t="shared" si="83"/>
        <v/>
      </c>
      <c r="JP9" s="11" t="str">
        <f t="shared" si="84"/>
        <v/>
      </c>
      <c r="JQ9" s="11" t="str">
        <f t="shared" si="85"/>
        <v/>
      </c>
      <c r="JR9" s="11" t="str">
        <f t="shared" si="86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 t="shared" si="87"/>
        <v/>
      </c>
      <c r="KN9" s="40" t="str">
        <f t="shared" si="88"/>
        <v/>
      </c>
      <c r="KO9" s="40" t="str">
        <f t="shared" si="89"/>
        <v/>
      </c>
      <c r="KP9" s="40" t="str">
        <f t="shared" si="90"/>
        <v/>
      </c>
      <c r="KQ9" s="40" t="str">
        <f t="shared" si="91"/>
        <v/>
      </c>
      <c r="KR9" s="40" t="str">
        <f t="shared" si="92"/>
        <v/>
      </c>
      <c r="KS9" s="40" t="str">
        <f t="shared" si="93"/>
        <v/>
      </c>
      <c r="KT9" s="40" t="str">
        <f t="shared" si="94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5"/>
        <v/>
      </c>
      <c r="LP9" s="11" t="str">
        <f t="shared" si="96"/>
        <v/>
      </c>
      <c r="LQ9" s="11" t="str">
        <f t="shared" si="97"/>
        <v/>
      </c>
      <c r="LR9" s="11" t="str">
        <f t="shared" si="98"/>
        <v/>
      </c>
      <c r="LS9" s="11" t="str">
        <f t="shared" si="99"/>
        <v/>
      </c>
      <c r="LT9" s="11" t="str">
        <f t="shared" si="100"/>
        <v/>
      </c>
      <c r="LU9" s="11" t="str">
        <f t="shared" si="101"/>
        <v/>
      </c>
      <c r="LV9" s="11" t="str">
        <f t="shared" si="102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 t="shared" si="103"/>
        <v/>
      </c>
      <c r="MR9" s="40" t="str">
        <f t="shared" si="104"/>
        <v/>
      </c>
      <c r="MS9" s="40" t="str">
        <f t="shared" si="105"/>
        <v/>
      </c>
      <c r="MT9" s="40" t="str">
        <f t="shared" si="106"/>
        <v/>
      </c>
      <c r="MU9" s="40" t="str">
        <f t="shared" si="107"/>
        <v/>
      </c>
      <c r="MV9" s="40" t="str">
        <f t="shared" si="108"/>
        <v/>
      </c>
      <c r="MW9" s="40" t="str">
        <f t="shared" si="109"/>
        <v/>
      </c>
      <c r="MX9" s="40" t="str">
        <f t="shared" si="110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1"/>
        <v/>
      </c>
      <c r="NT9" s="11" t="str">
        <f t="shared" si="112"/>
        <v/>
      </c>
      <c r="NU9" s="11" t="str">
        <f t="shared" si="113"/>
        <v/>
      </c>
      <c r="NV9" s="11" t="str">
        <f t="shared" si="114"/>
        <v/>
      </c>
      <c r="NW9" s="11" t="str">
        <f t="shared" si="115"/>
        <v/>
      </c>
      <c r="NX9" s="11" t="str">
        <f t="shared" si="116"/>
        <v/>
      </c>
      <c r="NY9" s="11" t="str">
        <f t="shared" si="117"/>
        <v/>
      </c>
      <c r="NZ9" s="11" t="str">
        <f t="shared" si="118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 t="shared" si="119"/>
        <v/>
      </c>
      <c r="OV9" s="40" t="str">
        <f t="shared" si="120"/>
        <v/>
      </c>
      <c r="OW9" s="40" t="str">
        <f t="shared" si="121"/>
        <v/>
      </c>
      <c r="OX9" s="40" t="str">
        <f t="shared" si="122"/>
        <v/>
      </c>
      <c r="OY9" s="40" t="str">
        <f t="shared" si="123"/>
        <v/>
      </c>
      <c r="OZ9" s="40" t="str">
        <f t="shared" si="124"/>
        <v/>
      </c>
      <c r="PA9" s="40" t="str">
        <f t="shared" si="125"/>
        <v/>
      </c>
      <c r="PB9" s="40" t="str">
        <f t="shared" si="126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7"/>
        <v/>
      </c>
      <c r="PX9" s="11" t="str">
        <f t="shared" si="128"/>
        <v/>
      </c>
      <c r="PY9" s="11" t="str">
        <f t="shared" si="129"/>
        <v/>
      </c>
      <c r="PZ9" s="11" t="str">
        <f t="shared" si="130"/>
        <v/>
      </c>
      <c r="QA9" s="11" t="str">
        <f t="shared" si="131"/>
        <v/>
      </c>
      <c r="QB9" s="11" t="str">
        <f t="shared" si="132"/>
        <v/>
      </c>
      <c r="QC9" s="11" t="str">
        <f t="shared" si="133"/>
        <v/>
      </c>
      <c r="QD9" s="11" t="str">
        <f t="shared" si="134"/>
        <v/>
      </c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40" t="str">
        <f t="shared" si="135"/>
        <v/>
      </c>
      <c r="QZ9" s="40" t="str">
        <f t="shared" si="136"/>
        <v/>
      </c>
      <c r="RA9" s="40" t="str">
        <f t="shared" si="137"/>
        <v/>
      </c>
      <c r="RB9" s="40" t="str">
        <f t="shared" si="138"/>
        <v/>
      </c>
      <c r="RC9" s="40" t="str">
        <f t="shared" si="139"/>
        <v/>
      </c>
      <c r="RD9" s="40" t="str">
        <f t="shared" si="140"/>
        <v/>
      </c>
      <c r="RE9" s="40" t="str">
        <f t="shared" si="141"/>
        <v/>
      </c>
      <c r="RF9" s="40" t="str">
        <f t="shared" si="142"/>
        <v/>
      </c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1" t="str">
        <f t="shared" si="143"/>
        <v/>
      </c>
      <c r="SB9" s="11" t="str">
        <f t="shared" si="144"/>
        <v/>
      </c>
      <c r="SC9" s="11" t="str">
        <f t="shared" si="145"/>
        <v/>
      </c>
      <c r="SD9" s="11" t="str">
        <f t="shared" si="146"/>
        <v/>
      </c>
      <c r="SE9" s="11" t="str">
        <f t="shared" si="147"/>
        <v/>
      </c>
      <c r="SF9" s="11" t="str">
        <f t="shared" si="148"/>
        <v/>
      </c>
      <c r="SG9" s="11" t="str">
        <f t="shared" si="149"/>
        <v/>
      </c>
      <c r="SH9" s="11" t="str">
        <f t="shared" si="150"/>
        <v/>
      </c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40" t="str">
        <f t="shared" si="151"/>
        <v/>
      </c>
      <c r="TD9" s="40" t="str">
        <f t="shared" si="152"/>
        <v/>
      </c>
      <c r="TE9" s="40" t="str">
        <f t="shared" si="153"/>
        <v/>
      </c>
      <c r="TF9" s="40" t="str">
        <f t="shared" si="154"/>
        <v/>
      </c>
      <c r="TG9" s="40" t="str">
        <f t="shared" si="155"/>
        <v/>
      </c>
      <c r="TH9" s="40" t="str">
        <f t="shared" si="156"/>
        <v/>
      </c>
      <c r="TI9" s="40" t="str">
        <f t="shared" si="157"/>
        <v/>
      </c>
      <c r="TJ9" s="40" t="str">
        <f t="shared" si="158"/>
        <v/>
      </c>
      <c r="TK9" s="26">
        <f t="shared" si="159"/>
        <v>18.350000000000001</v>
      </c>
      <c r="TL9" s="26">
        <f t="shared" si="160"/>
        <v>8.4</v>
      </c>
      <c r="TM9" s="26">
        <f t="shared" si="161"/>
        <v>0.3</v>
      </c>
      <c r="TN9" s="26">
        <f t="shared" si="162"/>
        <v>0.3</v>
      </c>
      <c r="TO9" s="26">
        <f t="shared" si="163"/>
        <v>18.549999999999997</v>
      </c>
      <c r="TP9" s="26">
        <f t="shared" si="164"/>
        <v>7.1999999999999993</v>
      </c>
      <c r="TQ9" s="26">
        <f t="shared" si="165"/>
        <v>0.1</v>
      </c>
      <c r="TR9" s="26">
        <f t="shared" si="166"/>
        <v>0</v>
      </c>
      <c r="TS9" s="26">
        <f t="shared" si="167"/>
        <v>17.899999999999999</v>
      </c>
      <c r="TT9" s="26">
        <f t="shared" si="168"/>
        <v>5.4499999999999993</v>
      </c>
      <c r="TU9" s="26">
        <f t="shared" si="169"/>
        <v>0</v>
      </c>
      <c r="TV9" s="26">
        <f t="shared" si="170"/>
        <v>0.15</v>
      </c>
      <c r="TW9" s="26">
        <f t="shared" si="171"/>
        <v>9.1999999999999993</v>
      </c>
      <c r="TX9" s="26">
        <f t="shared" si="172"/>
        <v>4.2</v>
      </c>
      <c r="TY9" s="26">
        <f t="shared" si="173"/>
        <v>0.4</v>
      </c>
      <c r="TZ9" s="26">
        <f t="shared" si="174"/>
        <v>0.15</v>
      </c>
      <c r="UA9" s="26">
        <f t="shared" si="175"/>
        <v>9.4</v>
      </c>
      <c r="UB9" s="26">
        <f t="shared" si="176"/>
        <v>4</v>
      </c>
      <c r="UC9" s="26">
        <f t="shared" si="177"/>
        <v>0.1</v>
      </c>
      <c r="UD9" s="26">
        <f t="shared" si="178"/>
        <v>0</v>
      </c>
      <c r="UE9" s="28" t="s">
        <v>53</v>
      </c>
      <c r="UF9" s="11">
        <f t="shared" si="179"/>
        <v>15.6</v>
      </c>
      <c r="UG9" s="11">
        <f t="shared" si="180"/>
        <v>52.4</v>
      </c>
      <c r="UH9" s="11">
        <f t="shared" si="181"/>
        <v>23.499999999999996</v>
      </c>
      <c r="UI9" s="11">
        <f t="shared" si="182"/>
        <v>21.049999999999997</v>
      </c>
      <c r="UJ9" s="11">
        <f t="shared" si="183"/>
        <v>75.899999999999991</v>
      </c>
      <c r="UK9" s="11">
        <f t="shared" si="184"/>
        <v>8.1999999999999993</v>
      </c>
      <c r="UL9" s="11">
        <f t="shared" si="185"/>
        <v>26.45</v>
      </c>
      <c r="UM9" s="11">
        <f t="shared" si="186"/>
        <v>102.35</v>
      </c>
    </row>
    <row r="10" spans="1:559" x14ac:dyDescent="0.2">
      <c r="A10" s="4" cm="1">
        <f t="array" ref="A10">IF(AND(H10&lt;&gt;"",H10&lt;&gt;"No DD"),SUMPRODUCT((H$4:H$28&lt;&gt;"")*(H$4:H$28&lt;&gt;"No DD")*(E$4:E$28&gt;E10))+1,IF(H10="No DD",SUMPRODUCT((H$4:H$28="No DD")*(E$4:E$28&gt;E10))+1+SUMPRODUCT((H$4:H$28&lt;&gt;"")*(H$4:H$28&lt;&gt;"No DD")),""))</f>
        <v>7</v>
      </c>
      <c r="B10" s="5" t="s">
        <v>186</v>
      </c>
      <c r="C10" s="4" t="s">
        <v>6</v>
      </c>
      <c r="D10" s="4">
        <v>2007</v>
      </c>
      <c r="E10" s="9">
        <f t="shared" si="187"/>
        <v>182.30001267000506</v>
      </c>
      <c r="F10" s="3" t="str">
        <f t="shared" si="0"/>
        <v>P</v>
      </c>
      <c r="G10" s="3" t="str">
        <f t="shared" si="1"/>
        <v>P</v>
      </c>
      <c r="H10" s="36" t="str">
        <f t="shared" si="2"/>
        <v>National Team</v>
      </c>
      <c r="I10" s="3" t="str">
        <f t="shared" si="3"/>
        <v/>
      </c>
      <c r="J10" s="8">
        <f>IF(COUNT(AQ10,BT10,CW10)&gt;0,LARGE((AQ10,BT10,CW10),1),0)</f>
        <v>50.5</v>
      </c>
      <c r="K10" s="8" t="str">
        <f t="shared" si="4"/>
        <v>2024 Nationals</v>
      </c>
      <c r="L10" s="8">
        <f>IF(COUNT(AQ10,BT10,CW10)&gt;1,LARGE((AQ10,BT10,CW10),2),0)</f>
        <v>50.099999999999994</v>
      </c>
      <c r="M10" s="8" t="str">
        <f t="shared" si="5"/>
        <v>2024 Elite Canada</v>
      </c>
      <c r="N10" s="8">
        <f>IF(COUNT(AR10,BU10,CX10)&gt;0,LARGE((AR10,BU10,CX10),1),0)</f>
        <v>26.099999999999998</v>
      </c>
      <c r="O10" s="8" t="str">
        <f t="shared" si="6"/>
        <v>2024 Elite Canada</v>
      </c>
      <c r="P10" s="8">
        <f t="shared" si="7"/>
        <v>52.400000000000006</v>
      </c>
      <c r="Q10" s="8" t="str">
        <f t="shared" si="8"/>
        <v>2024 Elite Canada</v>
      </c>
      <c r="R10" s="8">
        <f t="shared" si="9"/>
        <v>3.2000000000000028</v>
      </c>
      <c r="S10" s="11" t="str">
        <f t="shared" si="10"/>
        <v>(Q1)</v>
      </c>
      <c r="T10" s="8" t="str">
        <f t="shared" si="11"/>
        <v>2024 Coimbra Gym Fest (July 7)</v>
      </c>
      <c r="U10" s="19">
        <v>18.399999999999999</v>
      </c>
      <c r="V10" s="19">
        <v>7.2</v>
      </c>
      <c r="W10" s="19">
        <v>1</v>
      </c>
      <c r="X10" s="19">
        <v>0</v>
      </c>
      <c r="Y10" s="19">
        <v>18.5</v>
      </c>
      <c r="Z10" s="19">
        <v>7.2</v>
      </c>
      <c r="AA10" s="19">
        <v>0.2</v>
      </c>
      <c r="AB10" s="19">
        <v>0</v>
      </c>
      <c r="AC10" s="19">
        <v>18.899999999999999</v>
      </c>
      <c r="AD10" s="19">
        <v>7.2</v>
      </c>
      <c r="AE10" s="19">
        <v>0</v>
      </c>
      <c r="AF10" s="19">
        <v>0</v>
      </c>
      <c r="AG10" s="19">
        <v>18.600000000000001</v>
      </c>
      <c r="AH10" s="19">
        <v>7.2</v>
      </c>
      <c r="AI10" s="19">
        <v>0.2</v>
      </c>
      <c r="AJ10" s="19">
        <v>0</v>
      </c>
      <c r="AK10" s="19">
        <v>18.600000000000001</v>
      </c>
      <c r="AL10" s="19">
        <v>8.4</v>
      </c>
      <c r="AM10" s="19">
        <v>0.2</v>
      </c>
      <c r="AN10" s="19">
        <v>0</v>
      </c>
      <c r="AO10" s="27"/>
      <c r="AP10" s="40">
        <f t="shared" si="12"/>
        <v>14.4</v>
      </c>
      <c r="AQ10" s="40">
        <f t="shared" si="13"/>
        <v>50.099999999999994</v>
      </c>
      <c r="AR10" s="40">
        <f t="shared" si="14"/>
        <v>26.099999999999998</v>
      </c>
      <c r="AS10" s="40">
        <f t="shared" si="15"/>
        <v>21.6</v>
      </c>
      <c r="AT10" s="40">
        <f t="shared" si="16"/>
        <v>76.199999999999989</v>
      </c>
      <c r="AU10" s="40">
        <f t="shared" si="17"/>
        <v>15.600000000000001</v>
      </c>
      <c r="AV10" s="40">
        <f t="shared" si="18"/>
        <v>52.400000000000006</v>
      </c>
      <c r="AW10" s="40">
        <f t="shared" si="19"/>
        <v>128.6</v>
      </c>
      <c r="AX10" s="18">
        <v>16.5</v>
      </c>
      <c r="AY10" s="18">
        <v>8.1</v>
      </c>
      <c r="AZ10" s="18">
        <v>0.2</v>
      </c>
      <c r="BA10" s="18">
        <v>0</v>
      </c>
      <c r="BB10" s="18">
        <v>18.899999999999999</v>
      </c>
      <c r="BC10" s="18">
        <v>7.2</v>
      </c>
      <c r="BD10" s="18">
        <v>0</v>
      </c>
      <c r="BE10" s="18">
        <v>0</v>
      </c>
      <c r="BF10" s="18">
        <v>18.7</v>
      </c>
      <c r="BG10" s="18">
        <v>7.2</v>
      </c>
      <c r="BH10" s="18">
        <v>0.6</v>
      </c>
      <c r="BI10" s="18">
        <v>0.3</v>
      </c>
      <c r="BJ10" s="18">
        <v>18.600000000000001</v>
      </c>
      <c r="BK10" s="18">
        <v>7.2</v>
      </c>
      <c r="BL10" s="18">
        <v>1</v>
      </c>
      <c r="BM10" s="18">
        <v>0.3</v>
      </c>
      <c r="BN10" s="18">
        <v>0</v>
      </c>
      <c r="BO10" s="18">
        <v>0</v>
      </c>
      <c r="BP10" s="18">
        <v>0</v>
      </c>
      <c r="BQ10" s="18">
        <v>0</v>
      </c>
      <c r="BR10" s="28"/>
      <c r="BS10" s="11">
        <f t="shared" si="20"/>
        <v>15.3</v>
      </c>
      <c r="BT10" s="11">
        <f t="shared" si="21"/>
        <v>50.5</v>
      </c>
      <c r="BU10" s="11">
        <f t="shared" si="22"/>
        <v>25.599999999999998</v>
      </c>
      <c r="BV10" s="11">
        <f t="shared" si="23"/>
        <v>22.5</v>
      </c>
      <c r="BW10" s="11">
        <f t="shared" si="24"/>
        <v>76.099999999999994</v>
      </c>
      <c r="BX10" s="11">
        <f t="shared" si="25"/>
        <v>7.2</v>
      </c>
      <c r="BY10" s="11">
        <f t="shared" si="26"/>
        <v>25.1</v>
      </c>
      <c r="BZ10" s="11">
        <f t="shared" si="27"/>
        <v>101.19999999999999</v>
      </c>
      <c r="CA10" s="19">
        <v>0</v>
      </c>
      <c r="CB10" s="19">
        <v>0</v>
      </c>
      <c r="CC10" s="19">
        <v>0</v>
      </c>
      <c r="CD10" s="19">
        <v>0</v>
      </c>
      <c r="CE10" s="19">
        <v>17.600000000000001</v>
      </c>
      <c r="CF10" s="19">
        <v>4</v>
      </c>
      <c r="CG10" s="19">
        <v>0</v>
      </c>
      <c r="CH10" s="19">
        <v>0</v>
      </c>
      <c r="CI10" s="19">
        <v>18.399999999999999</v>
      </c>
      <c r="CJ10" s="19">
        <v>6</v>
      </c>
      <c r="CK10" s="19">
        <v>0.6</v>
      </c>
      <c r="CL10" s="19">
        <v>0</v>
      </c>
      <c r="CM10" s="19"/>
      <c r="CN10" s="19"/>
      <c r="CO10" s="19"/>
      <c r="CP10" s="19"/>
      <c r="CQ10" s="19"/>
      <c r="CR10" s="19"/>
      <c r="CS10" s="19"/>
      <c r="CT10" s="19"/>
      <c r="CU10" s="27"/>
      <c r="CV10" s="40">
        <f t="shared" si="28"/>
        <v>4</v>
      </c>
      <c r="CW10" s="40">
        <f t="shared" si="29"/>
        <v>21.6</v>
      </c>
      <c r="CX10" s="40">
        <f t="shared" si="30"/>
        <v>23.799999999999997</v>
      </c>
      <c r="CY10" s="40">
        <f t="shared" si="31"/>
        <v>10</v>
      </c>
      <c r="CZ10" s="40">
        <f t="shared" si="32"/>
        <v>45.4</v>
      </c>
      <c r="DA10" s="40" t="str">
        <f t="shared" si="33"/>
        <v/>
      </c>
      <c r="DB10" s="40" t="str">
        <f t="shared" si="34"/>
        <v/>
      </c>
      <c r="DC10" s="40">
        <f t="shared" si="35"/>
        <v>45.4</v>
      </c>
      <c r="DD10" s="51">
        <f t="shared" si="36"/>
        <v>3.2000000000000028</v>
      </c>
      <c r="DE10" s="51" t="str">
        <f t="shared" si="37"/>
        <v/>
      </c>
      <c r="DF10" s="51" t="str">
        <f t="shared" si="38"/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 t="shared" si="39"/>
        <v/>
      </c>
      <c r="EB10" s="40" t="str">
        <f t="shared" si="40"/>
        <v/>
      </c>
      <c r="EC10" s="40" t="str">
        <f t="shared" si="41"/>
        <v/>
      </c>
      <c r="ED10" s="40" t="str">
        <f t="shared" si="42"/>
        <v/>
      </c>
      <c r="EE10" s="40" t="str">
        <f t="shared" si="43"/>
        <v/>
      </c>
      <c r="EF10" s="40" t="str">
        <f t="shared" si="44"/>
        <v/>
      </c>
      <c r="EG10" s="40" t="str">
        <f t="shared" si="45"/>
        <v/>
      </c>
      <c r="EH10" s="40" t="str">
        <f t="shared" si="46"/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 t="shared" si="47"/>
        <v/>
      </c>
      <c r="FD10" s="11" t="str">
        <f t="shared" si="48"/>
        <v/>
      </c>
      <c r="FE10" s="11" t="str">
        <f t="shared" si="49"/>
        <v/>
      </c>
      <c r="FF10" s="11" t="str">
        <f t="shared" si="50"/>
        <v/>
      </c>
      <c r="FG10" s="11" t="str">
        <f t="shared" si="51"/>
        <v/>
      </c>
      <c r="FH10" s="11" t="str">
        <f t="shared" si="52"/>
        <v/>
      </c>
      <c r="FI10" s="11" t="str">
        <f t="shared" si="53"/>
        <v/>
      </c>
      <c r="FJ10" s="11" t="str">
        <f t="shared" si="54"/>
        <v/>
      </c>
      <c r="FK10" s="17">
        <v>18.399999999999999</v>
      </c>
      <c r="FL10" s="17">
        <v>8.8000000000000007</v>
      </c>
      <c r="FM10" s="17">
        <v>0.8</v>
      </c>
      <c r="FN10" s="17">
        <v>0</v>
      </c>
      <c r="FO10" s="17">
        <v>18.399999999999999</v>
      </c>
      <c r="FP10" s="17">
        <v>9.3000000000000007</v>
      </c>
      <c r="FQ10" s="17">
        <v>0.8</v>
      </c>
      <c r="FR10" s="17">
        <v>0</v>
      </c>
      <c r="FS10" s="17"/>
      <c r="FT10" s="17"/>
      <c r="FU10" s="17"/>
      <c r="FV10" s="17"/>
      <c r="FW10" s="17">
        <v>16.5</v>
      </c>
      <c r="FX10" s="17">
        <v>8.5</v>
      </c>
      <c r="FY10" s="17">
        <v>0.6</v>
      </c>
      <c r="FZ10" s="17">
        <v>0</v>
      </c>
      <c r="GA10" s="17"/>
      <c r="GB10" s="17"/>
      <c r="GC10" s="17"/>
      <c r="GD10" s="17"/>
      <c r="GE10" s="40">
        <f t="shared" si="55"/>
        <v>18.100000000000001</v>
      </c>
      <c r="GF10" s="40">
        <f t="shared" si="56"/>
        <v>53.3</v>
      </c>
      <c r="GG10" s="40" t="str">
        <f t="shared" si="57"/>
        <v/>
      </c>
      <c r="GH10" s="40">
        <f t="shared" si="58"/>
        <v>18.100000000000001</v>
      </c>
      <c r="GI10" s="40">
        <f t="shared" si="59"/>
        <v>53.3</v>
      </c>
      <c r="GJ10" s="40">
        <f t="shared" si="60"/>
        <v>8.5</v>
      </c>
      <c r="GK10" s="40">
        <f t="shared" si="61"/>
        <v>24.4</v>
      </c>
      <c r="GL10" s="40">
        <f t="shared" si="62"/>
        <v>77.699999999999989</v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 t="shared" si="63"/>
        <v/>
      </c>
      <c r="HH10" s="11" t="str">
        <f t="shared" si="64"/>
        <v/>
      </c>
      <c r="HI10" s="11" t="str">
        <f t="shared" si="65"/>
        <v/>
      </c>
      <c r="HJ10" s="11" t="str">
        <f t="shared" si="66"/>
        <v/>
      </c>
      <c r="HK10" s="11" t="str">
        <f t="shared" si="67"/>
        <v/>
      </c>
      <c r="HL10" s="11" t="str">
        <f t="shared" si="68"/>
        <v/>
      </c>
      <c r="HM10" s="11" t="str">
        <f t="shared" si="69"/>
        <v/>
      </c>
      <c r="HN10" s="11" t="str">
        <f t="shared" si="70"/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 t="shared" si="71"/>
        <v/>
      </c>
      <c r="IJ10" s="40" t="str">
        <f t="shared" si="72"/>
        <v/>
      </c>
      <c r="IK10" s="40" t="str">
        <f t="shared" si="73"/>
        <v/>
      </c>
      <c r="IL10" s="40" t="str">
        <f t="shared" si="74"/>
        <v/>
      </c>
      <c r="IM10" s="40" t="str">
        <f t="shared" si="75"/>
        <v/>
      </c>
      <c r="IN10" s="40" t="str">
        <f t="shared" si="76"/>
        <v/>
      </c>
      <c r="IO10" s="40" t="str">
        <f t="shared" si="77"/>
        <v/>
      </c>
      <c r="IP10" s="40" t="str">
        <f t="shared" si="78"/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79"/>
        <v/>
      </c>
      <c r="JL10" s="11" t="str">
        <f t="shared" si="80"/>
        <v/>
      </c>
      <c r="JM10" s="11" t="str">
        <f t="shared" si="81"/>
        <v/>
      </c>
      <c r="JN10" s="11" t="str">
        <f t="shared" si="82"/>
        <v/>
      </c>
      <c r="JO10" s="11" t="str">
        <f t="shared" si="83"/>
        <v/>
      </c>
      <c r="JP10" s="11" t="str">
        <f t="shared" si="84"/>
        <v/>
      </c>
      <c r="JQ10" s="11" t="str">
        <f t="shared" si="85"/>
        <v/>
      </c>
      <c r="JR10" s="11" t="str">
        <f t="shared" si="86"/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 t="shared" si="87"/>
        <v/>
      </c>
      <c r="KN10" s="40" t="str">
        <f t="shared" si="88"/>
        <v/>
      </c>
      <c r="KO10" s="40" t="str">
        <f t="shared" si="89"/>
        <v/>
      </c>
      <c r="KP10" s="40" t="str">
        <f t="shared" si="90"/>
        <v/>
      </c>
      <c r="KQ10" s="40" t="str">
        <f t="shared" si="91"/>
        <v/>
      </c>
      <c r="KR10" s="40" t="str">
        <f t="shared" si="92"/>
        <v/>
      </c>
      <c r="KS10" s="40" t="str">
        <f t="shared" si="93"/>
        <v/>
      </c>
      <c r="KT10" s="40" t="str">
        <f t="shared" si="94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5"/>
        <v/>
      </c>
      <c r="LP10" s="11" t="str">
        <f t="shared" si="96"/>
        <v/>
      </c>
      <c r="LQ10" s="11" t="str">
        <f t="shared" si="97"/>
        <v/>
      </c>
      <c r="LR10" s="11" t="str">
        <f t="shared" si="98"/>
        <v/>
      </c>
      <c r="LS10" s="11" t="str">
        <f t="shared" si="99"/>
        <v/>
      </c>
      <c r="LT10" s="11" t="str">
        <f t="shared" si="100"/>
        <v/>
      </c>
      <c r="LU10" s="11" t="str">
        <f t="shared" si="101"/>
        <v/>
      </c>
      <c r="LV10" s="11" t="str">
        <f t="shared" si="102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 t="shared" si="103"/>
        <v/>
      </c>
      <c r="MR10" s="40" t="str">
        <f t="shared" si="104"/>
        <v/>
      </c>
      <c r="MS10" s="40" t="str">
        <f t="shared" si="105"/>
        <v/>
      </c>
      <c r="MT10" s="40" t="str">
        <f t="shared" si="106"/>
        <v/>
      </c>
      <c r="MU10" s="40" t="str">
        <f t="shared" si="107"/>
        <v/>
      </c>
      <c r="MV10" s="40" t="str">
        <f t="shared" si="108"/>
        <v/>
      </c>
      <c r="MW10" s="40" t="str">
        <f t="shared" si="109"/>
        <v/>
      </c>
      <c r="MX10" s="40" t="str">
        <f t="shared" si="110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1"/>
        <v/>
      </c>
      <c r="NT10" s="11" t="str">
        <f t="shared" si="112"/>
        <v/>
      </c>
      <c r="NU10" s="11" t="str">
        <f t="shared" si="113"/>
        <v/>
      </c>
      <c r="NV10" s="11" t="str">
        <f t="shared" si="114"/>
        <v/>
      </c>
      <c r="NW10" s="11" t="str">
        <f t="shared" si="115"/>
        <v/>
      </c>
      <c r="NX10" s="11" t="str">
        <f t="shared" si="116"/>
        <v/>
      </c>
      <c r="NY10" s="11" t="str">
        <f t="shared" si="117"/>
        <v/>
      </c>
      <c r="NZ10" s="11" t="str">
        <f t="shared" si="118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 t="shared" si="119"/>
        <v/>
      </c>
      <c r="OV10" s="40" t="str">
        <f t="shared" si="120"/>
        <v/>
      </c>
      <c r="OW10" s="40" t="str">
        <f t="shared" si="121"/>
        <v/>
      </c>
      <c r="OX10" s="40" t="str">
        <f t="shared" si="122"/>
        <v/>
      </c>
      <c r="OY10" s="40" t="str">
        <f t="shared" si="123"/>
        <v/>
      </c>
      <c r="OZ10" s="40" t="str">
        <f t="shared" si="124"/>
        <v/>
      </c>
      <c r="PA10" s="40" t="str">
        <f t="shared" si="125"/>
        <v/>
      </c>
      <c r="PB10" s="40" t="str">
        <f t="shared" si="126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7"/>
        <v/>
      </c>
      <c r="PX10" s="11" t="str">
        <f t="shared" si="128"/>
        <v/>
      </c>
      <c r="PY10" s="11" t="str">
        <f t="shared" si="129"/>
        <v/>
      </c>
      <c r="PZ10" s="11" t="str">
        <f t="shared" si="130"/>
        <v/>
      </c>
      <c r="QA10" s="11" t="str">
        <f t="shared" si="131"/>
        <v/>
      </c>
      <c r="QB10" s="11" t="str">
        <f t="shared" si="132"/>
        <v/>
      </c>
      <c r="QC10" s="11" t="str">
        <f t="shared" si="133"/>
        <v/>
      </c>
      <c r="QD10" s="11" t="str">
        <f t="shared" si="134"/>
        <v/>
      </c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40" t="str">
        <f t="shared" si="135"/>
        <v/>
      </c>
      <c r="QZ10" s="40" t="str">
        <f t="shared" si="136"/>
        <v/>
      </c>
      <c r="RA10" s="40" t="str">
        <f t="shared" si="137"/>
        <v/>
      </c>
      <c r="RB10" s="40" t="str">
        <f t="shared" si="138"/>
        <v/>
      </c>
      <c r="RC10" s="40" t="str">
        <f t="shared" si="139"/>
        <v/>
      </c>
      <c r="RD10" s="40" t="str">
        <f t="shared" si="140"/>
        <v/>
      </c>
      <c r="RE10" s="40" t="str">
        <f t="shared" si="141"/>
        <v/>
      </c>
      <c r="RF10" s="40" t="str">
        <f t="shared" si="142"/>
        <v/>
      </c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1" t="str">
        <f t="shared" si="143"/>
        <v/>
      </c>
      <c r="SB10" s="11" t="str">
        <f t="shared" si="144"/>
        <v/>
      </c>
      <c r="SC10" s="11" t="str">
        <f t="shared" si="145"/>
        <v/>
      </c>
      <c r="SD10" s="11" t="str">
        <f t="shared" si="146"/>
        <v/>
      </c>
      <c r="SE10" s="11" t="str">
        <f t="shared" si="147"/>
        <v/>
      </c>
      <c r="SF10" s="11" t="str">
        <f t="shared" si="148"/>
        <v/>
      </c>
      <c r="SG10" s="11" t="str">
        <f t="shared" si="149"/>
        <v/>
      </c>
      <c r="SH10" s="11" t="str">
        <f t="shared" si="150"/>
        <v/>
      </c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40" t="str">
        <f t="shared" si="151"/>
        <v/>
      </c>
      <c r="TD10" s="40" t="str">
        <f t="shared" si="152"/>
        <v/>
      </c>
      <c r="TE10" s="40" t="str">
        <f t="shared" si="153"/>
        <v/>
      </c>
      <c r="TF10" s="40" t="str">
        <f t="shared" si="154"/>
        <v/>
      </c>
      <c r="TG10" s="40" t="str">
        <f t="shared" si="155"/>
        <v/>
      </c>
      <c r="TH10" s="40" t="str">
        <f t="shared" si="156"/>
        <v/>
      </c>
      <c r="TI10" s="40" t="str">
        <f t="shared" si="157"/>
        <v/>
      </c>
      <c r="TJ10" s="40" t="str">
        <f t="shared" si="158"/>
        <v/>
      </c>
      <c r="TK10" s="26">
        <f t="shared" si="159"/>
        <v>8.25</v>
      </c>
      <c r="TL10" s="26">
        <f t="shared" si="160"/>
        <v>4.05</v>
      </c>
      <c r="TM10" s="26">
        <f t="shared" si="161"/>
        <v>0.1</v>
      </c>
      <c r="TN10" s="26">
        <f t="shared" si="162"/>
        <v>0</v>
      </c>
      <c r="TO10" s="26">
        <f t="shared" si="163"/>
        <v>18.25</v>
      </c>
      <c r="TP10" s="26">
        <f t="shared" si="164"/>
        <v>5.6</v>
      </c>
      <c r="TQ10" s="26">
        <f t="shared" si="165"/>
        <v>0</v>
      </c>
      <c r="TR10" s="26">
        <f t="shared" si="166"/>
        <v>0</v>
      </c>
      <c r="TS10" s="26">
        <f t="shared" si="167"/>
        <v>18.549999999999997</v>
      </c>
      <c r="TT10" s="26">
        <f t="shared" si="168"/>
        <v>6.6</v>
      </c>
      <c r="TU10" s="26">
        <f t="shared" si="169"/>
        <v>0.6</v>
      </c>
      <c r="TV10" s="26">
        <f t="shared" si="170"/>
        <v>0.15</v>
      </c>
      <c r="TW10" s="26">
        <f t="shared" si="171"/>
        <v>9.3000000000000007</v>
      </c>
      <c r="TX10" s="26">
        <f t="shared" si="172"/>
        <v>3.6</v>
      </c>
      <c r="TY10" s="26">
        <f t="shared" si="173"/>
        <v>0.5</v>
      </c>
      <c r="TZ10" s="26">
        <f t="shared" si="174"/>
        <v>0.15</v>
      </c>
      <c r="UA10" s="26">
        <f t="shared" si="175"/>
        <v>0</v>
      </c>
      <c r="UB10" s="26">
        <f t="shared" si="176"/>
        <v>0</v>
      </c>
      <c r="UC10" s="26">
        <f t="shared" si="177"/>
        <v>0</v>
      </c>
      <c r="UD10" s="26">
        <f t="shared" si="178"/>
        <v>0</v>
      </c>
      <c r="UE10" s="28" t="s">
        <v>53</v>
      </c>
      <c r="UF10" s="11">
        <f t="shared" si="179"/>
        <v>9.6499999999999986</v>
      </c>
      <c r="UG10" s="11">
        <f t="shared" si="180"/>
        <v>36.049999999999997</v>
      </c>
      <c r="UH10" s="11">
        <f t="shared" si="181"/>
        <v>24.699999999999996</v>
      </c>
      <c r="UI10" s="11">
        <f t="shared" si="182"/>
        <v>16.25</v>
      </c>
      <c r="UJ10" s="11">
        <f t="shared" si="183"/>
        <v>60.749999999999993</v>
      </c>
      <c r="UK10" s="11">
        <f t="shared" si="184"/>
        <v>3.6</v>
      </c>
      <c r="UL10" s="11">
        <f t="shared" si="185"/>
        <v>12.55</v>
      </c>
      <c r="UM10" s="11">
        <f t="shared" si="186"/>
        <v>73.3</v>
      </c>
    </row>
    <row r="11" spans="1:559" x14ac:dyDescent="0.2">
      <c r="A11" s="4" cm="1">
        <f t="array" ref="A11">IF(AND(H11&lt;&gt;"",H11&lt;&gt;"No DD"),SUMPRODUCT((H$4:H$28&lt;&gt;"")*(H$4:H$28&lt;&gt;"No DD")*(E$4:E$28&gt;E11))+1,IF(H11="No DD",SUMPRODUCT((H$4:H$28="No DD")*(E$4:E$28&gt;E11))+1+SUMPRODUCT((H$4:H$28&lt;&gt;"")*(H$4:H$28&lt;&gt;"No DD")),""))</f>
        <v>8</v>
      </c>
      <c r="B11" s="5" t="s">
        <v>132</v>
      </c>
      <c r="C11" s="4" t="s">
        <v>5</v>
      </c>
      <c r="D11" s="4">
        <v>2004</v>
      </c>
      <c r="E11" s="9">
        <f t="shared" si="187"/>
        <v>182.10001300000519</v>
      </c>
      <c r="F11" s="3" t="str">
        <f t="shared" si="0"/>
        <v>P</v>
      </c>
      <c r="G11" s="3" t="str">
        <f t="shared" si="1"/>
        <v>P</v>
      </c>
      <c r="H11" s="36" t="str">
        <f t="shared" si="2"/>
        <v>Worlds Team</v>
      </c>
      <c r="I11" s="3" t="str">
        <f t="shared" si="3"/>
        <v>P</v>
      </c>
      <c r="J11" s="8">
        <f>IF(COUNT(AQ11,BT11,CW11)&gt;0,LARGE((AQ11,BT11,CW11),1),0)</f>
        <v>52.1</v>
      </c>
      <c r="K11" s="8" t="str">
        <f t="shared" si="4"/>
        <v>2024 Elite Canada</v>
      </c>
      <c r="L11" s="8">
        <f>IF(COUNT(AQ11,BT11,CW11)&gt;1,LARGE((AQ11,BT11,CW11),2),0)</f>
        <v>50.699999999999996</v>
      </c>
      <c r="M11" s="8" t="str">
        <f t="shared" si="5"/>
        <v>2024 Nationals</v>
      </c>
      <c r="N11" s="8">
        <f>IF(COUNT(AR11,BU11,CX11)&gt;0,LARGE((AR11,BU11,CX11),1),0)</f>
        <v>27.200000000000003</v>
      </c>
      <c r="O11" s="8" t="str">
        <f t="shared" si="6"/>
        <v>2024 Nationals</v>
      </c>
      <c r="P11" s="8">
        <f t="shared" si="7"/>
        <v>52.099999999999994</v>
      </c>
      <c r="Q11" s="8" t="str">
        <f t="shared" si="8"/>
        <v>2024 Nationals</v>
      </c>
      <c r="R11" s="8" t="str">
        <f t="shared" si="9"/>
        <v/>
      </c>
      <c r="S11" s="11" t="str">
        <f t="shared" si="10"/>
        <v/>
      </c>
      <c r="T11" s="8" t="str">
        <f t="shared" si="11"/>
        <v/>
      </c>
      <c r="U11" s="19">
        <v>18.5</v>
      </c>
      <c r="V11" s="19">
        <v>8.4</v>
      </c>
      <c r="W11" s="19">
        <v>0.6</v>
      </c>
      <c r="X11" s="19">
        <v>0</v>
      </c>
      <c r="Y11" s="19">
        <v>18.600000000000001</v>
      </c>
      <c r="Z11" s="19">
        <v>7.2</v>
      </c>
      <c r="AA11" s="19">
        <v>0</v>
      </c>
      <c r="AB11" s="19">
        <v>0</v>
      </c>
      <c r="AC11" s="19">
        <v>16.8</v>
      </c>
      <c r="AD11" s="19">
        <v>8.1</v>
      </c>
      <c r="AE11" s="19">
        <v>0.2</v>
      </c>
      <c r="AF11" s="19">
        <v>0.3</v>
      </c>
      <c r="AG11" s="19">
        <v>16.600000000000001</v>
      </c>
      <c r="AH11" s="19">
        <v>8.4</v>
      </c>
      <c r="AI11" s="19">
        <v>1</v>
      </c>
      <c r="AJ11" s="19">
        <v>0</v>
      </c>
      <c r="AK11" s="19">
        <v>17.100000000000001</v>
      </c>
      <c r="AL11" s="19">
        <v>5.0999999999999996</v>
      </c>
      <c r="AM11" s="19">
        <v>0</v>
      </c>
      <c r="AN11" s="19">
        <v>0.3</v>
      </c>
      <c r="AO11" s="27"/>
      <c r="AP11" s="40">
        <f t="shared" si="12"/>
        <v>15.600000000000001</v>
      </c>
      <c r="AQ11" s="40">
        <f t="shared" si="13"/>
        <v>52.1</v>
      </c>
      <c r="AR11" s="40">
        <f t="shared" si="14"/>
        <v>25</v>
      </c>
      <c r="AS11" s="40">
        <f t="shared" si="15"/>
        <v>23.700000000000003</v>
      </c>
      <c r="AT11" s="40">
        <f t="shared" si="16"/>
        <v>77.099999999999994</v>
      </c>
      <c r="AU11" s="40">
        <f t="shared" si="17"/>
        <v>13.5</v>
      </c>
      <c r="AV11" s="40">
        <f t="shared" si="18"/>
        <v>46.5</v>
      </c>
      <c r="AW11" s="40">
        <f t="shared" si="19"/>
        <v>123.6</v>
      </c>
      <c r="AX11" s="18">
        <v>18.5</v>
      </c>
      <c r="AY11" s="18">
        <v>7.3</v>
      </c>
      <c r="AZ11" s="18">
        <v>0.2</v>
      </c>
      <c r="BA11" s="18">
        <v>0</v>
      </c>
      <c r="BB11" s="18">
        <v>18.5</v>
      </c>
      <c r="BC11" s="18">
        <v>7.2</v>
      </c>
      <c r="BD11" s="18">
        <v>0.6</v>
      </c>
      <c r="BE11" s="18">
        <v>0</v>
      </c>
      <c r="BF11" s="18">
        <v>18.8</v>
      </c>
      <c r="BG11" s="18">
        <v>8.4</v>
      </c>
      <c r="BH11" s="18">
        <v>0</v>
      </c>
      <c r="BI11" s="18">
        <v>0</v>
      </c>
      <c r="BJ11" s="18">
        <v>18.2</v>
      </c>
      <c r="BK11" s="18">
        <v>7.6</v>
      </c>
      <c r="BL11" s="18">
        <v>0.2</v>
      </c>
      <c r="BM11" s="18">
        <v>0</v>
      </c>
      <c r="BN11" s="18">
        <v>18.899999999999999</v>
      </c>
      <c r="BO11" s="18">
        <v>7.6</v>
      </c>
      <c r="BP11" s="18">
        <v>0</v>
      </c>
      <c r="BQ11" s="18">
        <v>0</v>
      </c>
      <c r="BR11" s="28"/>
      <c r="BS11" s="11">
        <f t="shared" si="20"/>
        <v>14.5</v>
      </c>
      <c r="BT11" s="11">
        <f t="shared" si="21"/>
        <v>50.699999999999996</v>
      </c>
      <c r="BU11" s="11">
        <f t="shared" si="22"/>
        <v>27.200000000000003</v>
      </c>
      <c r="BV11" s="11">
        <f t="shared" si="23"/>
        <v>22.9</v>
      </c>
      <c r="BW11" s="11">
        <f t="shared" si="24"/>
        <v>77.900000000000006</v>
      </c>
      <c r="BX11" s="11">
        <f t="shared" si="25"/>
        <v>15.2</v>
      </c>
      <c r="BY11" s="11">
        <f t="shared" si="26"/>
        <v>52.099999999999994</v>
      </c>
      <c r="BZ11" s="11">
        <f t="shared" si="27"/>
        <v>130</v>
      </c>
      <c r="CA11" s="19">
        <v>16.399999999999999</v>
      </c>
      <c r="CB11" s="19">
        <v>8.4</v>
      </c>
      <c r="CC11" s="19">
        <v>1</v>
      </c>
      <c r="CD11" s="19">
        <v>0</v>
      </c>
      <c r="CE11" s="19">
        <v>16.2</v>
      </c>
      <c r="CF11" s="19">
        <v>7.2</v>
      </c>
      <c r="CG11" s="19">
        <v>1</v>
      </c>
      <c r="CH11" s="19">
        <v>0</v>
      </c>
      <c r="CI11" s="19">
        <v>19.2</v>
      </c>
      <c r="CJ11" s="19">
        <v>5.6</v>
      </c>
      <c r="CK11" s="19">
        <v>0.4</v>
      </c>
      <c r="CL11" s="19">
        <v>0</v>
      </c>
      <c r="CM11" s="19"/>
      <c r="CN11" s="19"/>
      <c r="CO11" s="19"/>
      <c r="CP11" s="19"/>
      <c r="CQ11" s="19"/>
      <c r="CR11" s="19"/>
      <c r="CS11" s="19"/>
      <c r="CT11" s="19"/>
      <c r="CU11" s="27"/>
      <c r="CV11" s="40">
        <f t="shared" si="28"/>
        <v>15.600000000000001</v>
      </c>
      <c r="CW11" s="40">
        <f t="shared" si="29"/>
        <v>46.2</v>
      </c>
      <c r="CX11" s="40">
        <f t="shared" si="30"/>
        <v>24.4</v>
      </c>
      <c r="CY11" s="40">
        <f t="shared" si="31"/>
        <v>21.200000000000003</v>
      </c>
      <c r="CZ11" s="40">
        <f t="shared" si="32"/>
        <v>70.599999999999994</v>
      </c>
      <c r="DA11" s="40" t="str">
        <f t="shared" si="33"/>
        <v/>
      </c>
      <c r="DB11" s="40" t="str">
        <f t="shared" si="34"/>
        <v/>
      </c>
      <c r="DC11" s="40">
        <f t="shared" si="35"/>
        <v>70.599999999999994</v>
      </c>
      <c r="DD11" s="51" t="str">
        <f t="shared" si="36"/>
        <v/>
      </c>
      <c r="DE11" s="51" t="str">
        <f t="shared" si="37"/>
        <v/>
      </c>
      <c r="DF11" s="51" t="str">
        <f t="shared" si="38"/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 t="shared" si="39"/>
        <v/>
      </c>
      <c r="EB11" s="40" t="str">
        <f t="shared" si="40"/>
        <v/>
      </c>
      <c r="EC11" s="40" t="str">
        <f t="shared" si="41"/>
        <v/>
      </c>
      <c r="ED11" s="40" t="str">
        <f t="shared" si="42"/>
        <v/>
      </c>
      <c r="EE11" s="40" t="str">
        <f t="shared" si="43"/>
        <v/>
      </c>
      <c r="EF11" s="40" t="str">
        <f t="shared" si="44"/>
        <v/>
      </c>
      <c r="EG11" s="40" t="str">
        <f t="shared" si="45"/>
        <v/>
      </c>
      <c r="EH11" s="40" t="str">
        <f t="shared" si="46"/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7"/>
        <v/>
      </c>
      <c r="FD11" s="11" t="str">
        <f t="shared" si="48"/>
        <v/>
      </c>
      <c r="FE11" s="11" t="str">
        <f t="shared" si="49"/>
        <v/>
      </c>
      <c r="FF11" s="11" t="str">
        <f t="shared" si="50"/>
        <v/>
      </c>
      <c r="FG11" s="11" t="str">
        <f t="shared" si="51"/>
        <v/>
      </c>
      <c r="FH11" s="11" t="str">
        <f t="shared" si="52"/>
        <v/>
      </c>
      <c r="FI11" s="11" t="str">
        <f t="shared" si="53"/>
        <v/>
      </c>
      <c r="FJ11" s="11" t="str">
        <f t="shared" si="54"/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 t="shared" si="55"/>
        <v/>
      </c>
      <c r="GF11" s="40" t="str">
        <f t="shared" si="56"/>
        <v/>
      </c>
      <c r="GG11" s="40" t="str">
        <f t="shared" si="57"/>
        <v/>
      </c>
      <c r="GH11" s="40" t="str">
        <f t="shared" si="58"/>
        <v/>
      </c>
      <c r="GI11" s="40" t="str">
        <f t="shared" si="59"/>
        <v/>
      </c>
      <c r="GJ11" s="40" t="str">
        <f t="shared" si="60"/>
        <v/>
      </c>
      <c r="GK11" s="40" t="str">
        <f t="shared" si="61"/>
        <v/>
      </c>
      <c r="GL11" s="40" t="str">
        <f t="shared" si="62"/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 t="shared" si="63"/>
        <v/>
      </c>
      <c r="HH11" s="11" t="str">
        <f t="shared" si="64"/>
        <v/>
      </c>
      <c r="HI11" s="11" t="str">
        <f t="shared" si="65"/>
        <v/>
      </c>
      <c r="HJ11" s="11" t="str">
        <f t="shared" si="66"/>
        <v/>
      </c>
      <c r="HK11" s="11" t="str">
        <f t="shared" si="67"/>
        <v/>
      </c>
      <c r="HL11" s="11" t="str">
        <f t="shared" si="68"/>
        <v/>
      </c>
      <c r="HM11" s="11" t="str">
        <f t="shared" si="69"/>
        <v/>
      </c>
      <c r="HN11" s="11" t="str">
        <f t="shared" si="70"/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 t="shared" si="71"/>
        <v/>
      </c>
      <c r="IJ11" s="40" t="str">
        <f t="shared" si="72"/>
        <v/>
      </c>
      <c r="IK11" s="40" t="str">
        <f t="shared" si="73"/>
        <v/>
      </c>
      <c r="IL11" s="40" t="str">
        <f t="shared" si="74"/>
        <v/>
      </c>
      <c r="IM11" s="40" t="str">
        <f t="shared" si="75"/>
        <v/>
      </c>
      <c r="IN11" s="40" t="str">
        <f t="shared" si="76"/>
        <v/>
      </c>
      <c r="IO11" s="40" t="str">
        <f t="shared" si="77"/>
        <v/>
      </c>
      <c r="IP11" s="40" t="str">
        <f t="shared" si="78"/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79"/>
        <v/>
      </c>
      <c r="JL11" s="11" t="str">
        <f t="shared" si="80"/>
        <v/>
      </c>
      <c r="JM11" s="11" t="str">
        <f t="shared" si="81"/>
        <v/>
      </c>
      <c r="JN11" s="11" t="str">
        <f t="shared" si="82"/>
        <v/>
      </c>
      <c r="JO11" s="11" t="str">
        <f t="shared" si="83"/>
        <v/>
      </c>
      <c r="JP11" s="11" t="str">
        <f t="shared" si="84"/>
        <v/>
      </c>
      <c r="JQ11" s="11" t="str">
        <f t="shared" si="85"/>
        <v/>
      </c>
      <c r="JR11" s="11" t="str">
        <f t="shared" si="86"/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 t="shared" si="87"/>
        <v/>
      </c>
      <c r="KN11" s="40" t="str">
        <f t="shared" si="88"/>
        <v/>
      </c>
      <c r="KO11" s="40" t="str">
        <f t="shared" si="89"/>
        <v/>
      </c>
      <c r="KP11" s="40" t="str">
        <f t="shared" si="90"/>
        <v/>
      </c>
      <c r="KQ11" s="40" t="str">
        <f t="shared" si="91"/>
        <v/>
      </c>
      <c r="KR11" s="40" t="str">
        <f t="shared" si="92"/>
        <v/>
      </c>
      <c r="KS11" s="40" t="str">
        <f t="shared" si="93"/>
        <v/>
      </c>
      <c r="KT11" s="40" t="str">
        <f t="shared" si="94"/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5"/>
        <v/>
      </c>
      <c r="LP11" s="11" t="str">
        <f t="shared" si="96"/>
        <v/>
      </c>
      <c r="LQ11" s="11" t="str">
        <f t="shared" si="97"/>
        <v/>
      </c>
      <c r="LR11" s="11" t="str">
        <f t="shared" si="98"/>
        <v/>
      </c>
      <c r="LS11" s="11" t="str">
        <f t="shared" si="99"/>
        <v/>
      </c>
      <c r="LT11" s="11" t="str">
        <f t="shared" si="100"/>
        <v/>
      </c>
      <c r="LU11" s="11" t="str">
        <f t="shared" si="101"/>
        <v/>
      </c>
      <c r="LV11" s="11" t="str">
        <f t="shared" si="102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 t="shared" si="103"/>
        <v/>
      </c>
      <c r="MR11" s="40" t="str">
        <f t="shared" si="104"/>
        <v/>
      </c>
      <c r="MS11" s="40" t="str">
        <f t="shared" si="105"/>
        <v/>
      </c>
      <c r="MT11" s="40" t="str">
        <f t="shared" si="106"/>
        <v/>
      </c>
      <c r="MU11" s="40" t="str">
        <f t="shared" si="107"/>
        <v/>
      </c>
      <c r="MV11" s="40" t="str">
        <f t="shared" si="108"/>
        <v/>
      </c>
      <c r="MW11" s="40" t="str">
        <f t="shared" si="109"/>
        <v/>
      </c>
      <c r="MX11" s="40" t="str">
        <f t="shared" si="110"/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1"/>
        <v/>
      </c>
      <c r="NT11" s="11" t="str">
        <f t="shared" si="112"/>
        <v/>
      </c>
      <c r="NU11" s="11" t="str">
        <f t="shared" si="113"/>
        <v/>
      </c>
      <c r="NV11" s="11" t="str">
        <f t="shared" si="114"/>
        <v/>
      </c>
      <c r="NW11" s="11" t="str">
        <f t="shared" si="115"/>
        <v/>
      </c>
      <c r="NX11" s="11" t="str">
        <f t="shared" si="116"/>
        <v/>
      </c>
      <c r="NY11" s="11" t="str">
        <f t="shared" si="117"/>
        <v/>
      </c>
      <c r="NZ11" s="11" t="str">
        <f t="shared" si="118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 t="shared" si="119"/>
        <v/>
      </c>
      <c r="OV11" s="40" t="str">
        <f t="shared" si="120"/>
        <v/>
      </c>
      <c r="OW11" s="40" t="str">
        <f t="shared" si="121"/>
        <v/>
      </c>
      <c r="OX11" s="40" t="str">
        <f t="shared" si="122"/>
        <v/>
      </c>
      <c r="OY11" s="40" t="str">
        <f t="shared" si="123"/>
        <v/>
      </c>
      <c r="OZ11" s="40" t="str">
        <f t="shared" si="124"/>
        <v/>
      </c>
      <c r="PA11" s="40" t="str">
        <f t="shared" si="125"/>
        <v/>
      </c>
      <c r="PB11" s="40" t="str">
        <f t="shared" si="126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7"/>
        <v/>
      </c>
      <c r="PX11" s="11" t="str">
        <f t="shared" si="128"/>
        <v/>
      </c>
      <c r="PY11" s="11" t="str">
        <f t="shared" si="129"/>
        <v/>
      </c>
      <c r="PZ11" s="11" t="str">
        <f t="shared" si="130"/>
        <v/>
      </c>
      <c r="QA11" s="11" t="str">
        <f t="shared" si="131"/>
        <v/>
      </c>
      <c r="QB11" s="11" t="str">
        <f t="shared" si="132"/>
        <v/>
      </c>
      <c r="QC11" s="11" t="str">
        <f t="shared" si="133"/>
        <v/>
      </c>
      <c r="QD11" s="11" t="str">
        <f t="shared" si="134"/>
        <v/>
      </c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40" t="str">
        <f t="shared" si="135"/>
        <v/>
      </c>
      <c r="QZ11" s="40" t="str">
        <f t="shared" si="136"/>
        <v/>
      </c>
      <c r="RA11" s="40" t="str">
        <f t="shared" si="137"/>
        <v/>
      </c>
      <c r="RB11" s="40" t="str">
        <f t="shared" si="138"/>
        <v/>
      </c>
      <c r="RC11" s="40" t="str">
        <f t="shared" si="139"/>
        <v/>
      </c>
      <c r="RD11" s="40" t="str">
        <f t="shared" si="140"/>
        <v/>
      </c>
      <c r="RE11" s="40" t="str">
        <f t="shared" si="141"/>
        <v/>
      </c>
      <c r="RF11" s="40" t="str">
        <f t="shared" si="142"/>
        <v/>
      </c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1" t="str">
        <f t="shared" si="143"/>
        <v/>
      </c>
      <c r="SB11" s="11" t="str">
        <f t="shared" si="144"/>
        <v/>
      </c>
      <c r="SC11" s="11" t="str">
        <f t="shared" si="145"/>
        <v/>
      </c>
      <c r="SD11" s="11" t="str">
        <f t="shared" si="146"/>
        <v/>
      </c>
      <c r="SE11" s="11" t="str">
        <f t="shared" si="147"/>
        <v/>
      </c>
      <c r="SF11" s="11" t="str">
        <f t="shared" si="148"/>
        <v/>
      </c>
      <c r="SG11" s="11" t="str">
        <f t="shared" si="149"/>
        <v/>
      </c>
      <c r="SH11" s="11" t="str">
        <f t="shared" si="150"/>
        <v/>
      </c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40" t="str">
        <f t="shared" si="151"/>
        <v/>
      </c>
      <c r="TD11" s="40" t="str">
        <f t="shared" si="152"/>
        <v/>
      </c>
      <c r="TE11" s="40" t="str">
        <f t="shared" si="153"/>
        <v/>
      </c>
      <c r="TF11" s="40" t="str">
        <f t="shared" si="154"/>
        <v/>
      </c>
      <c r="TG11" s="40" t="str">
        <f t="shared" si="155"/>
        <v/>
      </c>
      <c r="TH11" s="40" t="str">
        <f t="shared" si="156"/>
        <v/>
      </c>
      <c r="TI11" s="40" t="str">
        <f t="shared" si="157"/>
        <v/>
      </c>
      <c r="TJ11" s="40" t="str">
        <f t="shared" si="158"/>
        <v/>
      </c>
      <c r="TK11" s="26">
        <f t="shared" si="159"/>
        <v>17.45</v>
      </c>
      <c r="TL11" s="26">
        <f t="shared" si="160"/>
        <v>7.85</v>
      </c>
      <c r="TM11" s="26">
        <f t="shared" si="161"/>
        <v>0.6</v>
      </c>
      <c r="TN11" s="26">
        <f t="shared" si="162"/>
        <v>0</v>
      </c>
      <c r="TO11" s="26">
        <f t="shared" si="163"/>
        <v>17.350000000000001</v>
      </c>
      <c r="TP11" s="26">
        <f t="shared" si="164"/>
        <v>7.2</v>
      </c>
      <c r="TQ11" s="26">
        <f t="shared" si="165"/>
        <v>0.8</v>
      </c>
      <c r="TR11" s="26">
        <f t="shared" si="166"/>
        <v>0</v>
      </c>
      <c r="TS11" s="26">
        <f t="shared" si="167"/>
        <v>19</v>
      </c>
      <c r="TT11" s="26">
        <f t="shared" si="168"/>
        <v>7</v>
      </c>
      <c r="TU11" s="26">
        <f t="shared" si="169"/>
        <v>0.2</v>
      </c>
      <c r="TV11" s="26">
        <f t="shared" si="170"/>
        <v>0</v>
      </c>
      <c r="TW11" s="26">
        <f t="shared" si="171"/>
        <v>9.1</v>
      </c>
      <c r="TX11" s="26">
        <f t="shared" si="172"/>
        <v>3.8</v>
      </c>
      <c r="TY11" s="26">
        <f t="shared" si="173"/>
        <v>0.1</v>
      </c>
      <c r="TZ11" s="26">
        <f t="shared" si="174"/>
        <v>0</v>
      </c>
      <c r="UA11" s="26">
        <f t="shared" si="175"/>
        <v>9.4499999999999993</v>
      </c>
      <c r="UB11" s="26">
        <f t="shared" si="176"/>
        <v>3.8</v>
      </c>
      <c r="UC11" s="26">
        <f t="shared" si="177"/>
        <v>0</v>
      </c>
      <c r="UD11" s="26">
        <f t="shared" si="178"/>
        <v>0</v>
      </c>
      <c r="UE11" s="28" t="s">
        <v>53</v>
      </c>
      <c r="UF11" s="11">
        <f t="shared" si="179"/>
        <v>15.05</v>
      </c>
      <c r="UG11" s="11">
        <f t="shared" si="180"/>
        <v>48.45</v>
      </c>
      <c r="UH11" s="11">
        <f t="shared" si="181"/>
        <v>25.8</v>
      </c>
      <c r="UI11" s="11">
        <f t="shared" si="182"/>
        <v>22.05</v>
      </c>
      <c r="UJ11" s="11">
        <f t="shared" si="183"/>
        <v>74.25</v>
      </c>
      <c r="UK11" s="11">
        <f t="shared" si="184"/>
        <v>7.6</v>
      </c>
      <c r="UL11" s="11">
        <f t="shared" si="185"/>
        <v>26.049999999999997</v>
      </c>
      <c r="UM11" s="11">
        <f t="shared" si="186"/>
        <v>100.3</v>
      </c>
    </row>
    <row r="12" spans="1:559" x14ac:dyDescent="0.2">
      <c r="A12" s="4" cm="1">
        <f t="array" ref="A12">IF(AND(H12&lt;&gt;"",H12&lt;&gt;"No DD"),SUMPRODUCT((H$4:H$28&lt;&gt;"")*(H$4:H$28&lt;&gt;"No DD")*(E$4:E$28&gt;E12))+1,IF(H12="No DD",SUMPRODUCT((H$4:H$28="No DD")*(E$4:E$28&gt;E12))+1+SUMPRODUCT((H$4:H$28&lt;&gt;"")*(H$4:H$28&lt;&gt;"No DD")),""))</f>
        <v>9</v>
      </c>
      <c r="B12" s="5" t="s">
        <v>121</v>
      </c>
      <c r="C12" s="4" t="s">
        <v>6</v>
      </c>
      <c r="D12" s="4">
        <v>2003</v>
      </c>
      <c r="E12" s="9">
        <f t="shared" si="187"/>
        <v>180.50001287000512</v>
      </c>
      <c r="F12" s="3" t="str">
        <f t="shared" si="0"/>
        <v>P</v>
      </c>
      <c r="G12" s="3" t="str">
        <f t="shared" si="1"/>
        <v>P</v>
      </c>
      <c r="H12" s="36" t="str">
        <f t="shared" si="2"/>
        <v>Worlds Team</v>
      </c>
      <c r="I12" s="3" t="str">
        <f t="shared" si="3"/>
        <v>P</v>
      </c>
      <c r="J12" s="8">
        <f>IF(COUNT(AQ12,BT12,CW12)&gt;0,LARGE((AQ12,BT12,CW12),1),0)</f>
        <v>51.2</v>
      </c>
      <c r="K12" s="8" t="str">
        <f t="shared" si="4"/>
        <v>2024 Nationals</v>
      </c>
      <c r="L12" s="8">
        <f>IF(COUNT(AQ12,BT12,CW12)&gt;1,LARGE((AQ12,BT12,CW12),2),0)</f>
        <v>51.099999999999994</v>
      </c>
      <c r="M12" s="8" t="str">
        <f t="shared" si="5"/>
        <v>2024 Elite Canada</v>
      </c>
      <c r="N12" s="8">
        <f>IF(COUNT(AR12,BU12,CX12)&gt;0,LARGE((AR12,BU12,CX12),1),0)</f>
        <v>26.400000000000002</v>
      </c>
      <c r="O12" s="8" t="str">
        <f t="shared" si="6"/>
        <v>2024 Elite Canada</v>
      </c>
      <c r="P12" s="8">
        <f t="shared" si="7"/>
        <v>51.8</v>
      </c>
      <c r="Q12" s="8" t="str">
        <f t="shared" si="8"/>
        <v>2024 Nationals</v>
      </c>
      <c r="R12" s="8" t="str">
        <f t="shared" si="9"/>
        <v/>
      </c>
      <c r="S12" s="11" t="str">
        <f t="shared" si="10"/>
        <v/>
      </c>
      <c r="T12" s="8" t="str">
        <f t="shared" si="11"/>
        <v/>
      </c>
      <c r="U12" s="19">
        <v>17.8</v>
      </c>
      <c r="V12" s="19">
        <v>6.9</v>
      </c>
      <c r="W12" s="19">
        <v>0.2</v>
      </c>
      <c r="X12" s="19">
        <v>0</v>
      </c>
      <c r="Y12" s="19">
        <v>18.399999999999999</v>
      </c>
      <c r="Z12" s="19">
        <v>8.1</v>
      </c>
      <c r="AA12" s="19">
        <v>0.2</v>
      </c>
      <c r="AB12" s="19">
        <v>0.3</v>
      </c>
      <c r="AC12" s="19">
        <v>18.600000000000001</v>
      </c>
      <c r="AD12" s="19">
        <v>7.5</v>
      </c>
      <c r="AE12" s="19">
        <v>0</v>
      </c>
      <c r="AF12" s="19">
        <v>0.3</v>
      </c>
      <c r="AG12" s="19">
        <v>18.600000000000001</v>
      </c>
      <c r="AH12" s="19">
        <v>8.1</v>
      </c>
      <c r="AI12" s="19">
        <v>0.6</v>
      </c>
      <c r="AJ12" s="19">
        <v>0.3</v>
      </c>
      <c r="AK12" s="19">
        <v>16.3</v>
      </c>
      <c r="AL12" s="19">
        <v>9.6</v>
      </c>
      <c r="AM12" s="19">
        <v>1</v>
      </c>
      <c r="AN12" s="19">
        <v>0.3</v>
      </c>
      <c r="AO12" s="27"/>
      <c r="AP12" s="40">
        <f t="shared" si="12"/>
        <v>15</v>
      </c>
      <c r="AQ12" s="40">
        <f t="shared" si="13"/>
        <v>51.099999999999994</v>
      </c>
      <c r="AR12" s="40">
        <f t="shared" si="14"/>
        <v>26.400000000000002</v>
      </c>
      <c r="AS12" s="40">
        <f t="shared" si="15"/>
        <v>22.5</v>
      </c>
      <c r="AT12" s="40">
        <f t="shared" si="16"/>
        <v>77.5</v>
      </c>
      <c r="AU12" s="40">
        <f t="shared" si="17"/>
        <v>17.7</v>
      </c>
      <c r="AV12" s="40">
        <f t="shared" si="18"/>
        <v>51.6</v>
      </c>
      <c r="AW12" s="40">
        <f t="shared" si="19"/>
        <v>129.1</v>
      </c>
      <c r="AX12" s="18">
        <v>18.600000000000001</v>
      </c>
      <c r="AY12" s="18">
        <v>7.3</v>
      </c>
      <c r="AZ12" s="18">
        <v>0.2</v>
      </c>
      <c r="BA12" s="18">
        <v>0</v>
      </c>
      <c r="BB12" s="18">
        <v>18.5</v>
      </c>
      <c r="BC12" s="18">
        <v>7.5</v>
      </c>
      <c r="BD12" s="18">
        <v>0.8</v>
      </c>
      <c r="BE12" s="18">
        <v>0.3</v>
      </c>
      <c r="BF12" s="18">
        <v>18.600000000000001</v>
      </c>
      <c r="BG12" s="18">
        <v>4.4000000000000004</v>
      </c>
      <c r="BH12" s="18">
        <v>1</v>
      </c>
      <c r="BI12" s="18">
        <v>0</v>
      </c>
      <c r="BJ12" s="18">
        <v>18.3</v>
      </c>
      <c r="BK12" s="18">
        <v>7.3</v>
      </c>
      <c r="BL12" s="18">
        <v>0</v>
      </c>
      <c r="BM12" s="18">
        <v>0</v>
      </c>
      <c r="BN12" s="18">
        <v>18.399999999999999</v>
      </c>
      <c r="BO12" s="18">
        <v>7.5</v>
      </c>
      <c r="BP12" s="18">
        <v>0</v>
      </c>
      <c r="BQ12" s="18">
        <v>0.3</v>
      </c>
      <c r="BR12" s="28"/>
      <c r="BS12" s="11">
        <f t="shared" si="20"/>
        <v>14.8</v>
      </c>
      <c r="BT12" s="11">
        <f t="shared" si="21"/>
        <v>51.2</v>
      </c>
      <c r="BU12" s="11">
        <f t="shared" si="22"/>
        <v>22</v>
      </c>
      <c r="BV12" s="11">
        <f t="shared" si="23"/>
        <v>19.200000000000003</v>
      </c>
      <c r="BW12" s="11">
        <f t="shared" si="24"/>
        <v>73.2</v>
      </c>
      <c r="BX12" s="11">
        <f t="shared" si="25"/>
        <v>14.8</v>
      </c>
      <c r="BY12" s="11">
        <f t="shared" si="26"/>
        <v>51.8</v>
      </c>
      <c r="BZ12" s="11">
        <f t="shared" si="27"/>
        <v>125</v>
      </c>
      <c r="CA12" s="19">
        <v>17.600000000000001</v>
      </c>
      <c r="CB12" s="19">
        <v>2.4</v>
      </c>
      <c r="CC12" s="19">
        <v>0</v>
      </c>
      <c r="CD12" s="19">
        <v>0</v>
      </c>
      <c r="CE12" s="19">
        <v>17.600000000000001</v>
      </c>
      <c r="CF12" s="19">
        <v>2.8</v>
      </c>
      <c r="CG12" s="19">
        <v>0</v>
      </c>
      <c r="CH12" s="19">
        <v>0</v>
      </c>
      <c r="CI12" s="19">
        <v>18.5</v>
      </c>
      <c r="CJ12" s="19">
        <v>5.2</v>
      </c>
      <c r="CK12" s="19">
        <v>1</v>
      </c>
      <c r="CL12" s="19">
        <v>0</v>
      </c>
      <c r="CM12" s="19"/>
      <c r="CN12" s="19"/>
      <c r="CO12" s="19"/>
      <c r="CP12" s="19"/>
      <c r="CQ12" s="19"/>
      <c r="CR12" s="19"/>
      <c r="CS12" s="19"/>
      <c r="CT12" s="19"/>
      <c r="CU12" s="27"/>
      <c r="CV12" s="40">
        <f t="shared" si="28"/>
        <v>5.1999999999999993</v>
      </c>
      <c r="CW12" s="40">
        <f t="shared" si="29"/>
        <v>40.4</v>
      </c>
      <c r="CX12" s="40">
        <f t="shared" si="30"/>
        <v>22.7</v>
      </c>
      <c r="CY12" s="40">
        <f t="shared" si="31"/>
        <v>10.399999999999999</v>
      </c>
      <c r="CZ12" s="40">
        <f t="shared" si="32"/>
        <v>63.099999999999994</v>
      </c>
      <c r="DA12" s="40" t="str">
        <f t="shared" si="33"/>
        <v/>
      </c>
      <c r="DB12" s="40" t="str">
        <f t="shared" si="34"/>
        <v/>
      </c>
      <c r="DC12" s="40">
        <f t="shared" si="35"/>
        <v>63.099999999999994</v>
      </c>
      <c r="DD12" s="51" t="str">
        <f t="shared" si="36"/>
        <v/>
      </c>
      <c r="DE12" s="51" t="str">
        <f t="shared" si="37"/>
        <v/>
      </c>
      <c r="DF12" s="51" t="str">
        <f t="shared" si="38"/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 t="shared" si="39"/>
        <v/>
      </c>
      <c r="EB12" s="40" t="str">
        <f t="shared" si="40"/>
        <v/>
      </c>
      <c r="EC12" s="40" t="str">
        <f t="shared" si="41"/>
        <v/>
      </c>
      <c r="ED12" s="40" t="str">
        <f t="shared" si="42"/>
        <v/>
      </c>
      <c r="EE12" s="40" t="str">
        <f t="shared" si="43"/>
        <v/>
      </c>
      <c r="EF12" s="40" t="str">
        <f t="shared" si="44"/>
        <v/>
      </c>
      <c r="EG12" s="40" t="str">
        <f t="shared" si="45"/>
        <v/>
      </c>
      <c r="EH12" s="40" t="str">
        <f t="shared" si="46"/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 t="shared" si="47"/>
        <v/>
      </c>
      <c r="FD12" s="11" t="str">
        <f t="shared" si="48"/>
        <v/>
      </c>
      <c r="FE12" s="11" t="str">
        <f t="shared" si="49"/>
        <v/>
      </c>
      <c r="FF12" s="11" t="str">
        <f t="shared" si="50"/>
        <v/>
      </c>
      <c r="FG12" s="11" t="str">
        <f t="shared" si="51"/>
        <v/>
      </c>
      <c r="FH12" s="11" t="str">
        <f t="shared" si="52"/>
        <v/>
      </c>
      <c r="FI12" s="11" t="str">
        <f t="shared" si="53"/>
        <v/>
      </c>
      <c r="FJ12" s="11" t="str">
        <f t="shared" si="54"/>
        <v/>
      </c>
      <c r="FK12" s="17">
        <v>16.8</v>
      </c>
      <c r="FL12" s="17">
        <v>8.1</v>
      </c>
      <c r="FM12" s="17">
        <v>1</v>
      </c>
      <c r="FN12" s="17">
        <v>0</v>
      </c>
      <c r="FO12" s="17">
        <v>17.100000000000001</v>
      </c>
      <c r="FP12" s="17">
        <v>5.0999999999999996</v>
      </c>
      <c r="FQ12" s="17">
        <v>0</v>
      </c>
      <c r="FR12" s="17">
        <v>0</v>
      </c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>
        <f t="shared" si="55"/>
        <v>13.2</v>
      </c>
      <c r="GF12" s="40">
        <f t="shared" si="56"/>
        <v>46.1</v>
      </c>
      <c r="GG12" s="40" t="str">
        <f t="shared" si="57"/>
        <v/>
      </c>
      <c r="GH12" s="40">
        <f t="shared" si="58"/>
        <v>13.2</v>
      </c>
      <c r="GI12" s="40">
        <f t="shared" si="59"/>
        <v>46.1</v>
      </c>
      <c r="GJ12" s="40" t="str">
        <f t="shared" si="60"/>
        <v/>
      </c>
      <c r="GK12" s="40" t="str">
        <f t="shared" si="61"/>
        <v/>
      </c>
      <c r="GL12" s="40">
        <f t="shared" si="62"/>
        <v>46.1</v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 t="shared" si="63"/>
        <v/>
      </c>
      <c r="HH12" s="11" t="str">
        <f t="shared" si="64"/>
        <v/>
      </c>
      <c r="HI12" s="11" t="str">
        <f t="shared" si="65"/>
        <v/>
      </c>
      <c r="HJ12" s="11" t="str">
        <f t="shared" si="66"/>
        <v/>
      </c>
      <c r="HK12" s="11" t="str">
        <f t="shared" si="67"/>
        <v/>
      </c>
      <c r="HL12" s="11" t="str">
        <f t="shared" si="68"/>
        <v/>
      </c>
      <c r="HM12" s="11" t="str">
        <f t="shared" si="69"/>
        <v/>
      </c>
      <c r="HN12" s="11" t="str">
        <f t="shared" si="70"/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 t="shared" si="71"/>
        <v/>
      </c>
      <c r="IJ12" s="40" t="str">
        <f t="shared" si="72"/>
        <v/>
      </c>
      <c r="IK12" s="40" t="str">
        <f t="shared" si="73"/>
        <v/>
      </c>
      <c r="IL12" s="40" t="str">
        <f t="shared" si="74"/>
        <v/>
      </c>
      <c r="IM12" s="40" t="str">
        <f t="shared" si="75"/>
        <v/>
      </c>
      <c r="IN12" s="40" t="str">
        <f t="shared" si="76"/>
        <v/>
      </c>
      <c r="IO12" s="40" t="str">
        <f t="shared" si="77"/>
        <v/>
      </c>
      <c r="IP12" s="40" t="str">
        <f t="shared" si="78"/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 t="shared" si="79"/>
        <v/>
      </c>
      <c r="JL12" s="11" t="str">
        <f t="shared" si="80"/>
        <v/>
      </c>
      <c r="JM12" s="11" t="str">
        <f t="shared" si="81"/>
        <v/>
      </c>
      <c r="JN12" s="11" t="str">
        <f t="shared" si="82"/>
        <v/>
      </c>
      <c r="JO12" s="11" t="str">
        <f t="shared" si="83"/>
        <v/>
      </c>
      <c r="JP12" s="11" t="str">
        <f t="shared" si="84"/>
        <v/>
      </c>
      <c r="JQ12" s="11" t="str">
        <f t="shared" si="85"/>
        <v/>
      </c>
      <c r="JR12" s="11" t="str">
        <f t="shared" si="86"/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 t="shared" si="87"/>
        <v/>
      </c>
      <c r="KN12" s="40" t="str">
        <f t="shared" si="88"/>
        <v/>
      </c>
      <c r="KO12" s="40" t="str">
        <f t="shared" si="89"/>
        <v/>
      </c>
      <c r="KP12" s="40" t="str">
        <f t="shared" si="90"/>
        <v/>
      </c>
      <c r="KQ12" s="40" t="str">
        <f t="shared" si="91"/>
        <v/>
      </c>
      <c r="KR12" s="40" t="str">
        <f t="shared" si="92"/>
        <v/>
      </c>
      <c r="KS12" s="40" t="str">
        <f t="shared" si="93"/>
        <v/>
      </c>
      <c r="KT12" s="40" t="str">
        <f t="shared" si="94"/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 t="shared" si="95"/>
        <v/>
      </c>
      <c r="LP12" s="11" t="str">
        <f t="shared" si="96"/>
        <v/>
      </c>
      <c r="LQ12" s="11" t="str">
        <f t="shared" si="97"/>
        <v/>
      </c>
      <c r="LR12" s="11" t="str">
        <f t="shared" si="98"/>
        <v/>
      </c>
      <c r="LS12" s="11" t="str">
        <f t="shared" si="99"/>
        <v/>
      </c>
      <c r="LT12" s="11" t="str">
        <f t="shared" si="100"/>
        <v/>
      </c>
      <c r="LU12" s="11" t="str">
        <f t="shared" si="101"/>
        <v/>
      </c>
      <c r="LV12" s="11" t="str">
        <f t="shared" si="102"/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 t="shared" si="103"/>
        <v/>
      </c>
      <c r="MR12" s="40" t="str">
        <f t="shared" si="104"/>
        <v/>
      </c>
      <c r="MS12" s="40" t="str">
        <f t="shared" si="105"/>
        <v/>
      </c>
      <c r="MT12" s="40" t="str">
        <f t="shared" si="106"/>
        <v/>
      </c>
      <c r="MU12" s="40" t="str">
        <f t="shared" si="107"/>
        <v/>
      </c>
      <c r="MV12" s="40" t="str">
        <f t="shared" si="108"/>
        <v/>
      </c>
      <c r="MW12" s="40" t="str">
        <f t="shared" si="109"/>
        <v/>
      </c>
      <c r="MX12" s="40" t="str">
        <f t="shared" si="110"/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 t="shared" si="111"/>
        <v/>
      </c>
      <c r="NT12" s="11" t="str">
        <f t="shared" si="112"/>
        <v/>
      </c>
      <c r="NU12" s="11" t="str">
        <f t="shared" si="113"/>
        <v/>
      </c>
      <c r="NV12" s="11" t="str">
        <f t="shared" si="114"/>
        <v/>
      </c>
      <c r="NW12" s="11" t="str">
        <f t="shared" si="115"/>
        <v/>
      </c>
      <c r="NX12" s="11" t="str">
        <f t="shared" si="116"/>
        <v/>
      </c>
      <c r="NY12" s="11" t="str">
        <f t="shared" si="117"/>
        <v/>
      </c>
      <c r="NZ12" s="11" t="str">
        <f t="shared" si="118"/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 t="shared" si="119"/>
        <v/>
      </c>
      <c r="OV12" s="40" t="str">
        <f t="shared" si="120"/>
        <v/>
      </c>
      <c r="OW12" s="40" t="str">
        <f t="shared" si="121"/>
        <v/>
      </c>
      <c r="OX12" s="40" t="str">
        <f t="shared" si="122"/>
        <v/>
      </c>
      <c r="OY12" s="40" t="str">
        <f t="shared" si="123"/>
        <v/>
      </c>
      <c r="OZ12" s="40" t="str">
        <f t="shared" si="124"/>
        <v/>
      </c>
      <c r="PA12" s="40" t="str">
        <f t="shared" si="125"/>
        <v/>
      </c>
      <c r="PB12" s="40" t="str">
        <f t="shared" si="126"/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 t="shared" si="127"/>
        <v/>
      </c>
      <c r="PX12" s="11" t="str">
        <f t="shared" si="128"/>
        <v/>
      </c>
      <c r="PY12" s="11" t="str">
        <f t="shared" si="129"/>
        <v/>
      </c>
      <c r="PZ12" s="11" t="str">
        <f t="shared" si="130"/>
        <v/>
      </c>
      <c r="QA12" s="11" t="str">
        <f t="shared" si="131"/>
        <v/>
      </c>
      <c r="QB12" s="11" t="str">
        <f t="shared" si="132"/>
        <v/>
      </c>
      <c r="QC12" s="11" t="str">
        <f t="shared" si="133"/>
        <v/>
      </c>
      <c r="QD12" s="11" t="str">
        <f t="shared" si="134"/>
        <v/>
      </c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40" t="str">
        <f t="shared" si="135"/>
        <v/>
      </c>
      <c r="QZ12" s="40" t="str">
        <f t="shared" si="136"/>
        <v/>
      </c>
      <c r="RA12" s="40" t="str">
        <f t="shared" si="137"/>
        <v/>
      </c>
      <c r="RB12" s="40" t="str">
        <f t="shared" si="138"/>
        <v/>
      </c>
      <c r="RC12" s="40" t="str">
        <f t="shared" si="139"/>
        <v/>
      </c>
      <c r="RD12" s="40" t="str">
        <f t="shared" si="140"/>
        <v/>
      </c>
      <c r="RE12" s="40" t="str">
        <f t="shared" si="141"/>
        <v/>
      </c>
      <c r="RF12" s="40" t="str">
        <f t="shared" si="142"/>
        <v/>
      </c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1" t="str">
        <f t="shared" si="143"/>
        <v/>
      </c>
      <c r="SB12" s="11" t="str">
        <f t="shared" si="144"/>
        <v/>
      </c>
      <c r="SC12" s="11" t="str">
        <f t="shared" si="145"/>
        <v/>
      </c>
      <c r="SD12" s="11" t="str">
        <f t="shared" si="146"/>
        <v/>
      </c>
      <c r="SE12" s="11" t="str">
        <f t="shared" si="147"/>
        <v/>
      </c>
      <c r="SF12" s="11" t="str">
        <f t="shared" si="148"/>
        <v/>
      </c>
      <c r="SG12" s="11" t="str">
        <f t="shared" si="149"/>
        <v/>
      </c>
      <c r="SH12" s="11" t="str">
        <f t="shared" si="150"/>
        <v/>
      </c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40" t="str">
        <f t="shared" si="151"/>
        <v/>
      </c>
      <c r="TD12" s="40" t="str">
        <f t="shared" si="152"/>
        <v/>
      </c>
      <c r="TE12" s="40" t="str">
        <f t="shared" si="153"/>
        <v/>
      </c>
      <c r="TF12" s="40" t="str">
        <f t="shared" si="154"/>
        <v/>
      </c>
      <c r="TG12" s="40" t="str">
        <f t="shared" si="155"/>
        <v/>
      </c>
      <c r="TH12" s="40" t="str">
        <f t="shared" si="156"/>
        <v/>
      </c>
      <c r="TI12" s="40" t="str">
        <f t="shared" si="157"/>
        <v/>
      </c>
      <c r="TJ12" s="40" t="str">
        <f t="shared" si="158"/>
        <v/>
      </c>
      <c r="TK12" s="26">
        <f t="shared" si="159"/>
        <v>18.100000000000001</v>
      </c>
      <c r="TL12" s="26">
        <f t="shared" si="160"/>
        <v>4.8499999999999996</v>
      </c>
      <c r="TM12" s="26">
        <f t="shared" si="161"/>
        <v>0.1</v>
      </c>
      <c r="TN12" s="26">
        <f t="shared" si="162"/>
        <v>0</v>
      </c>
      <c r="TO12" s="26">
        <f t="shared" si="163"/>
        <v>18.05</v>
      </c>
      <c r="TP12" s="26">
        <f t="shared" si="164"/>
        <v>5.15</v>
      </c>
      <c r="TQ12" s="26">
        <f t="shared" si="165"/>
        <v>0.4</v>
      </c>
      <c r="TR12" s="26">
        <f t="shared" si="166"/>
        <v>0.15</v>
      </c>
      <c r="TS12" s="26">
        <f t="shared" si="167"/>
        <v>18.55</v>
      </c>
      <c r="TT12" s="26">
        <f t="shared" si="168"/>
        <v>4.8000000000000007</v>
      </c>
      <c r="TU12" s="26">
        <f t="shared" si="169"/>
        <v>1</v>
      </c>
      <c r="TV12" s="26">
        <f t="shared" si="170"/>
        <v>0</v>
      </c>
      <c r="TW12" s="26">
        <f t="shared" si="171"/>
        <v>9.15</v>
      </c>
      <c r="TX12" s="26">
        <f t="shared" si="172"/>
        <v>3.65</v>
      </c>
      <c r="TY12" s="26">
        <f t="shared" si="173"/>
        <v>0</v>
      </c>
      <c r="TZ12" s="26">
        <f t="shared" si="174"/>
        <v>0</v>
      </c>
      <c r="UA12" s="26">
        <f t="shared" si="175"/>
        <v>9.1999999999999993</v>
      </c>
      <c r="UB12" s="26">
        <f t="shared" si="176"/>
        <v>3.75</v>
      </c>
      <c r="UC12" s="26">
        <f t="shared" si="177"/>
        <v>0</v>
      </c>
      <c r="UD12" s="26">
        <f t="shared" si="178"/>
        <v>0.15</v>
      </c>
      <c r="UE12" s="28" t="s">
        <v>53</v>
      </c>
      <c r="UF12" s="11">
        <f t="shared" si="179"/>
        <v>10</v>
      </c>
      <c r="UG12" s="11">
        <f t="shared" si="180"/>
        <v>45.8</v>
      </c>
      <c r="UH12" s="11">
        <f t="shared" si="181"/>
        <v>22.35</v>
      </c>
      <c r="UI12" s="11">
        <f t="shared" si="182"/>
        <v>14.8</v>
      </c>
      <c r="UJ12" s="11">
        <f t="shared" si="183"/>
        <v>68.150000000000006</v>
      </c>
      <c r="UK12" s="11">
        <f t="shared" si="184"/>
        <v>7.4</v>
      </c>
      <c r="UL12" s="11">
        <f t="shared" si="185"/>
        <v>25.9</v>
      </c>
      <c r="UM12" s="11">
        <f t="shared" si="186"/>
        <v>94.050000000000011</v>
      </c>
    </row>
    <row r="13" spans="1:559" x14ac:dyDescent="0.2">
      <c r="A13" s="4" cm="1">
        <f t="array" ref="A13">IF(AND(H13&lt;&gt;"",H13&lt;&gt;"No DD"),SUMPRODUCT((H$4:H$28&lt;&gt;"")*(H$4:H$28&lt;&gt;"No DD")*(E$4:E$28&gt;E13))+1,IF(H13="No DD",SUMPRODUCT((H$4:H$28="No DD")*(E$4:E$28&gt;E13))+1+SUMPRODUCT((H$4:H$28&lt;&gt;"")*(H$4:H$28&lt;&gt;"No DD")),""))</f>
        <v>10</v>
      </c>
      <c r="B13" s="5" t="s">
        <v>79</v>
      </c>
      <c r="C13" s="4" t="s">
        <v>5</v>
      </c>
      <c r="D13" s="4">
        <v>2002</v>
      </c>
      <c r="E13" s="9">
        <f t="shared" si="187"/>
        <v>180.10001279000522</v>
      </c>
      <c r="F13" s="3" t="str">
        <f t="shared" si="0"/>
        <v>P</v>
      </c>
      <c r="G13" s="3" t="str">
        <f t="shared" si="1"/>
        <v>P</v>
      </c>
      <c r="H13" s="36" t="str">
        <f t="shared" si="2"/>
        <v>Worlds Team</v>
      </c>
      <c r="I13" s="3" t="str">
        <f t="shared" si="3"/>
        <v>P</v>
      </c>
      <c r="J13" s="8">
        <f>IF(COUNT(AQ13,BT13,CW13)&gt;0,LARGE((AQ13,BT13,CW13),1),0)</f>
        <v>52.2</v>
      </c>
      <c r="K13" s="8" t="str">
        <f t="shared" si="4"/>
        <v>2024 3rd Domestic Trial</v>
      </c>
      <c r="L13" s="8">
        <f>IF(COUNT(AQ13,BT13,CW13)&gt;1,LARGE((AQ13,BT13,CW13),2),0)</f>
        <v>50</v>
      </c>
      <c r="M13" s="8" t="str">
        <f t="shared" si="5"/>
        <v>2024 Nationals</v>
      </c>
      <c r="N13" s="8">
        <f>IF(COUNT(AR13,BU13,CX13)&gt;0,LARGE((AR13,BU13,CX13),1),0)</f>
        <v>25.7</v>
      </c>
      <c r="O13" s="8" t="str">
        <f t="shared" si="6"/>
        <v>2024 3rd Domestic Trial</v>
      </c>
      <c r="P13" s="8">
        <f t="shared" si="7"/>
        <v>52.199999999999996</v>
      </c>
      <c r="Q13" s="8" t="str">
        <f t="shared" si="8"/>
        <v>2024 3rd Domestic Trial</v>
      </c>
      <c r="R13" s="8" t="str">
        <f t="shared" si="9"/>
        <v/>
      </c>
      <c r="S13" s="11" t="str">
        <f t="shared" si="10"/>
        <v/>
      </c>
      <c r="T13" s="8" t="str">
        <f t="shared" si="11"/>
        <v/>
      </c>
      <c r="U13" s="19">
        <v>18.600000000000001</v>
      </c>
      <c r="V13" s="19">
        <v>6.4</v>
      </c>
      <c r="W13" s="19">
        <v>0</v>
      </c>
      <c r="X13" s="19">
        <v>0</v>
      </c>
      <c r="Y13" s="19">
        <v>17.600000000000001</v>
      </c>
      <c r="Z13" s="19">
        <v>4</v>
      </c>
      <c r="AA13" s="19">
        <v>0</v>
      </c>
      <c r="AB13" s="19">
        <v>0</v>
      </c>
      <c r="AC13" s="19">
        <v>18.5</v>
      </c>
      <c r="AD13" s="19">
        <v>3.6</v>
      </c>
      <c r="AE13" s="19">
        <v>1</v>
      </c>
      <c r="AF13" s="19">
        <v>0</v>
      </c>
      <c r="AG13" s="19"/>
      <c r="AH13" s="19"/>
      <c r="AI13" s="19"/>
      <c r="AJ13" s="19"/>
      <c r="AK13" s="19"/>
      <c r="AL13" s="19"/>
      <c r="AM13" s="19"/>
      <c r="AN13" s="19"/>
      <c r="AO13" s="27"/>
      <c r="AP13" s="40">
        <f t="shared" si="12"/>
        <v>10.4</v>
      </c>
      <c r="AQ13" s="40">
        <f t="shared" si="13"/>
        <v>46.6</v>
      </c>
      <c r="AR13" s="40">
        <f t="shared" si="14"/>
        <v>21.1</v>
      </c>
      <c r="AS13" s="40">
        <f t="shared" si="15"/>
        <v>14</v>
      </c>
      <c r="AT13" s="40">
        <f t="shared" si="16"/>
        <v>67.7</v>
      </c>
      <c r="AU13" s="40" t="str">
        <f t="shared" si="17"/>
        <v/>
      </c>
      <c r="AV13" s="40" t="str">
        <f t="shared" si="18"/>
        <v/>
      </c>
      <c r="AW13" s="40">
        <f t="shared" si="19"/>
        <v>67.7</v>
      </c>
      <c r="AX13" s="18">
        <v>18.600000000000001</v>
      </c>
      <c r="AY13" s="18">
        <v>5.6</v>
      </c>
      <c r="AZ13" s="18">
        <v>1.4</v>
      </c>
      <c r="BA13" s="18">
        <v>0</v>
      </c>
      <c r="BB13" s="18">
        <v>19</v>
      </c>
      <c r="BC13" s="18">
        <v>8.4</v>
      </c>
      <c r="BD13" s="18">
        <v>0.2</v>
      </c>
      <c r="BE13" s="18">
        <v>0</v>
      </c>
      <c r="BF13" s="18">
        <v>17.399999999999999</v>
      </c>
      <c r="BG13" s="18">
        <v>3.6</v>
      </c>
      <c r="BH13" s="18">
        <v>0</v>
      </c>
      <c r="BI13" s="18">
        <v>0</v>
      </c>
      <c r="BJ13" s="18"/>
      <c r="BK13" s="18"/>
      <c r="BL13" s="18"/>
      <c r="BM13" s="18"/>
      <c r="BN13" s="18"/>
      <c r="BO13" s="18"/>
      <c r="BP13" s="18"/>
      <c r="BQ13" s="18"/>
      <c r="BR13" s="28"/>
      <c r="BS13" s="11">
        <f t="shared" si="20"/>
        <v>14</v>
      </c>
      <c r="BT13" s="11">
        <f t="shared" si="21"/>
        <v>50</v>
      </c>
      <c r="BU13" s="11">
        <f t="shared" si="22"/>
        <v>21</v>
      </c>
      <c r="BV13" s="11">
        <f t="shared" si="23"/>
        <v>17.600000000000001</v>
      </c>
      <c r="BW13" s="11">
        <f t="shared" si="24"/>
        <v>71</v>
      </c>
      <c r="BX13" s="11" t="str">
        <f t="shared" si="25"/>
        <v/>
      </c>
      <c r="BY13" s="11" t="str">
        <f t="shared" si="26"/>
        <v/>
      </c>
      <c r="BZ13" s="11">
        <f t="shared" si="27"/>
        <v>71</v>
      </c>
      <c r="CA13" s="19">
        <v>18.8</v>
      </c>
      <c r="CB13" s="19">
        <v>7.2</v>
      </c>
      <c r="CC13" s="19">
        <v>0.8</v>
      </c>
      <c r="CD13" s="19">
        <v>0</v>
      </c>
      <c r="CE13" s="19">
        <v>18.600000000000001</v>
      </c>
      <c r="CF13" s="19">
        <v>8.4</v>
      </c>
      <c r="CG13" s="19">
        <v>0</v>
      </c>
      <c r="CH13" s="19">
        <v>0</v>
      </c>
      <c r="CI13" s="19">
        <v>18.399999999999999</v>
      </c>
      <c r="CJ13" s="19">
        <v>7.3</v>
      </c>
      <c r="CK13" s="19">
        <v>0</v>
      </c>
      <c r="CL13" s="19">
        <v>0</v>
      </c>
      <c r="CM13" s="19">
        <v>18.399999999999999</v>
      </c>
      <c r="CN13" s="19">
        <v>7.2</v>
      </c>
      <c r="CO13" s="19">
        <v>0</v>
      </c>
      <c r="CP13" s="19">
        <v>0</v>
      </c>
      <c r="CQ13" s="19">
        <v>18.8</v>
      </c>
      <c r="CR13" s="19">
        <v>8.4</v>
      </c>
      <c r="CS13" s="19">
        <v>0.6</v>
      </c>
      <c r="CT13" s="19">
        <v>0</v>
      </c>
      <c r="CU13" s="27"/>
      <c r="CV13" s="40">
        <f t="shared" si="28"/>
        <v>15.600000000000001</v>
      </c>
      <c r="CW13" s="40">
        <f t="shared" si="29"/>
        <v>52.2</v>
      </c>
      <c r="CX13" s="40">
        <f t="shared" si="30"/>
        <v>25.7</v>
      </c>
      <c r="CY13" s="40">
        <f t="shared" si="31"/>
        <v>22.900000000000002</v>
      </c>
      <c r="CZ13" s="40">
        <f t="shared" si="32"/>
        <v>77.900000000000006</v>
      </c>
      <c r="DA13" s="40">
        <f t="shared" si="33"/>
        <v>15.600000000000001</v>
      </c>
      <c r="DB13" s="40">
        <f t="shared" si="34"/>
        <v>52.199999999999996</v>
      </c>
      <c r="DC13" s="40">
        <f t="shared" si="35"/>
        <v>130.1</v>
      </c>
      <c r="DD13" s="51" t="str">
        <f t="shared" si="36"/>
        <v/>
      </c>
      <c r="DE13" s="51" t="str">
        <f t="shared" si="37"/>
        <v/>
      </c>
      <c r="DF13" s="51" t="str">
        <f t="shared" si="38"/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 t="shared" si="39"/>
        <v/>
      </c>
      <c r="EB13" s="40" t="str">
        <f t="shared" si="40"/>
        <v/>
      </c>
      <c r="EC13" s="40" t="str">
        <f t="shared" si="41"/>
        <v/>
      </c>
      <c r="ED13" s="40" t="str">
        <f t="shared" si="42"/>
        <v/>
      </c>
      <c r="EE13" s="40" t="str">
        <f t="shared" si="43"/>
        <v/>
      </c>
      <c r="EF13" s="40" t="str">
        <f t="shared" si="44"/>
        <v/>
      </c>
      <c r="EG13" s="40" t="str">
        <f t="shared" si="45"/>
        <v/>
      </c>
      <c r="EH13" s="40" t="str">
        <f t="shared" si="46"/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 t="shared" si="47"/>
        <v/>
      </c>
      <c r="FD13" s="11" t="str">
        <f t="shared" si="48"/>
        <v/>
      </c>
      <c r="FE13" s="11" t="str">
        <f t="shared" si="49"/>
        <v/>
      </c>
      <c r="FF13" s="11" t="str">
        <f t="shared" si="50"/>
        <v/>
      </c>
      <c r="FG13" s="11" t="str">
        <f t="shared" si="51"/>
        <v/>
      </c>
      <c r="FH13" s="11" t="str">
        <f t="shared" si="52"/>
        <v/>
      </c>
      <c r="FI13" s="11" t="str">
        <f t="shared" si="53"/>
        <v/>
      </c>
      <c r="FJ13" s="11" t="str">
        <f t="shared" si="54"/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 t="shared" si="55"/>
        <v/>
      </c>
      <c r="GF13" s="40" t="str">
        <f t="shared" si="56"/>
        <v/>
      </c>
      <c r="GG13" s="40" t="str">
        <f t="shared" si="57"/>
        <v/>
      </c>
      <c r="GH13" s="40" t="str">
        <f t="shared" si="58"/>
        <v/>
      </c>
      <c r="GI13" s="40" t="str">
        <f t="shared" si="59"/>
        <v/>
      </c>
      <c r="GJ13" s="40" t="str">
        <f t="shared" si="60"/>
        <v/>
      </c>
      <c r="GK13" s="40" t="str">
        <f t="shared" si="61"/>
        <v/>
      </c>
      <c r="GL13" s="40" t="str">
        <f t="shared" si="62"/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 t="shared" si="63"/>
        <v/>
      </c>
      <c r="HH13" s="11" t="str">
        <f t="shared" si="64"/>
        <v/>
      </c>
      <c r="HI13" s="11" t="str">
        <f t="shared" si="65"/>
        <v/>
      </c>
      <c r="HJ13" s="11" t="str">
        <f t="shared" si="66"/>
        <v/>
      </c>
      <c r="HK13" s="11" t="str">
        <f t="shared" si="67"/>
        <v/>
      </c>
      <c r="HL13" s="11" t="str">
        <f t="shared" si="68"/>
        <v/>
      </c>
      <c r="HM13" s="11" t="str">
        <f t="shared" si="69"/>
        <v/>
      </c>
      <c r="HN13" s="11" t="str">
        <f t="shared" si="70"/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 t="shared" si="71"/>
        <v/>
      </c>
      <c r="IJ13" s="40" t="str">
        <f t="shared" si="72"/>
        <v/>
      </c>
      <c r="IK13" s="40" t="str">
        <f t="shared" si="73"/>
        <v/>
      </c>
      <c r="IL13" s="40" t="str">
        <f t="shared" si="74"/>
        <v/>
      </c>
      <c r="IM13" s="40" t="str">
        <f t="shared" si="75"/>
        <v/>
      </c>
      <c r="IN13" s="40" t="str">
        <f t="shared" si="76"/>
        <v/>
      </c>
      <c r="IO13" s="40" t="str">
        <f t="shared" si="77"/>
        <v/>
      </c>
      <c r="IP13" s="40" t="str">
        <f t="shared" si="78"/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 t="shared" si="79"/>
        <v/>
      </c>
      <c r="JL13" s="11" t="str">
        <f t="shared" si="80"/>
        <v/>
      </c>
      <c r="JM13" s="11" t="str">
        <f t="shared" si="81"/>
        <v/>
      </c>
      <c r="JN13" s="11" t="str">
        <f t="shared" si="82"/>
        <v/>
      </c>
      <c r="JO13" s="11" t="str">
        <f t="shared" si="83"/>
        <v/>
      </c>
      <c r="JP13" s="11" t="str">
        <f t="shared" si="84"/>
        <v/>
      </c>
      <c r="JQ13" s="11" t="str">
        <f t="shared" si="85"/>
        <v/>
      </c>
      <c r="JR13" s="11" t="str">
        <f t="shared" si="86"/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 t="shared" si="87"/>
        <v/>
      </c>
      <c r="KN13" s="40" t="str">
        <f t="shared" si="88"/>
        <v/>
      </c>
      <c r="KO13" s="40" t="str">
        <f t="shared" si="89"/>
        <v/>
      </c>
      <c r="KP13" s="40" t="str">
        <f t="shared" si="90"/>
        <v/>
      </c>
      <c r="KQ13" s="40" t="str">
        <f t="shared" si="91"/>
        <v/>
      </c>
      <c r="KR13" s="40" t="str">
        <f t="shared" si="92"/>
        <v/>
      </c>
      <c r="KS13" s="40" t="str">
        <f t="shared" si="93"/>
        <v/>
      </c>
      <c r="KT13" s="40" t="str">
        <f t="shared" si="94"/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 t="shared" si="95"/>
        <v/>
      </c>
      <c r="LP13" s="11" t="str">
        <f t="shared" si="96"/>
        <v/>
      </c>
      <c r="LQ13" s="11" t="str">
        <f t="shared" si="97"/>
        <v/>
      </c>
      <c r="LR13" s="11" t="str">
        <f t="shared" si="98"/>
        <v/>
      </c>
      <c r="LS13" s="11" t="str">
        <f t="shared" si="99"/>
        <v/>
      </c>
      <c r="LT13" s="11" t="str">
        <f t="shared" si="100"/>
        <v/>
      </c>
      <c r="LU13" s="11" t="str">
        <f t="shared" si="101"/>
        <v/>
      </c>
      <c r="LV13" s="11" t="str">
        <f t="shared" si="102"/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 t="shared" si="103"/>
        <v/>
      </c>
      <c r="MR13" s="40" t="str">
        <f t="shared" si="104"/>
        <v/>
      </c>
      <c r="MS13" s="40" t="str">
        <f t="shared" si="105"/>
        <v/>
      </c>
      <c r="MT13" s="40" t="str">
        <f t="shared" si="106"/>
        <v/>
      </c>
      <c r="MU13" s="40" t="str">
        <f t="shared" si="107"/>
        <v/>
      </c>
      <c r="MV13" s="40" t="str">
        <f t="shared" si="108"/>
        <v/>
      </c>
      <c r="MW13" s="40" t="str">
        <f t="shared" si="109"/>
        <v/>
      </c>
      <c r="MX13" s="40" t="str">
        <f t="shared" si="110"/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 t="shared" si="111"/>
        <v/>
      </c>
      <c r="NT13" s="11" t="str">
        <f t="shared" si="112"/>
        <v/>
      </c>
      <c r="NU13" s="11" t="str">
        <f t="shared" si="113"/>
        <v/>
      </c>
      <c r="NV13" s="11" t="str">
        <f t="shared" si="114"/>
        <v/>
      </c>
      <c r="NW13" s="11" t="str">
        <f t="shared" si="115"/>
        <v/>
      </c>
      <c r="NX13" s="11" t="str">
        <f t="shared" si="116"/>
        <v/>
      </c>
      <c r="NY13" s="11" t="str">
        <f t="shared" si="117"/>
        <v/>
      </c>
      <c r="NZ13" s="11" t="str">
        <f t="shared" si="118"/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 t="shared" si="119"/>
        <v/>
      </c>
      <c r="OV13" s="40" t="str">
        <f t="shared" si="120"/>
        <v/>
      </c>
      <c r="OW13" s="40" t="str">
        <f t="shared" si="121"/>
        <v/>
      </c>
      <c r="OX13" s="40" t="str">
        <f t="shared" si="122"/>
        <v/>
      </c>
      <c r="OY13" s="40" t="str">
        <f t="shared" si="123"/>
        <v/>
      </c>
      <c r="OZ13" s="40" t="str">
        <f t="shared" si="124"/>
        <v/>
      </c>
      <c r="PA13" s="40" t="str">
        <f t="shared" si="125"/>
        <v/>
      </c>
      <c r="PB13" s="40" t="str">
        <f t="shared" si="126"/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 t="shared" si="127"/>
        <v/>
      </c>
      <c r="PX13" s="11" t="str">
        <f t="shared" si="128"/>
        <v/>
      </c>
      <c r="PY13" s="11" t="str">
        <f t="shared" si="129"/>
        <v/>
      </c>
      <c r="PZ13" s="11" t="str">
        <f t="shared" si="130"/>
        <v/>
      </c>
      <c r="QA13" s="11" t="str">
        <f t="shared" si="131"/>
        <v/>
      </c>
      <c r="QB13" s="11" t="str">
        <f t="shared" si="132"/>
        <v/>
      </c>
      <c r="QC13" s="11" t="str">
        <f t="shared" si="133"/>
        <v/>
      </c>
      <c r="QD13" s="11" t="str">
        <f t="shared" si="134"/>
        <v/>
      </c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40" t="str">
        <f t="shared" si="135"/>
        <v/>
      </c>
      <c r="QZ13" s="40" t="str">
        <f t="shared" si="136"/>
        <v/>
      </c>
      <c r="RA13" s="40" t="str">
        <f t="shared" si="137"/>
        <v/>
      </c>
      <c r="RB13" s="40" t="str">
        <f t="shared" si="138"/>
        <v/>
      </c>
      <c r="RC13" s="40" t="str">
        <f t="shared" si="139"/>
        <v/>
      </c>
      <c r="RD13" s="40" t="str">
        <f t="shared" si="140"/>
        <v/>
      </c>
      <c r="RE13" s="40" t="str">
        <f t="shared" si="141"/>
        <v/>
      </c>
      <c r="RF13" s="40" t="str">
        <f t="shared" si="142"/>
        <v/>
      </c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1" t="str">
        <f t="shared" si="143"/>
        <v/>
      </c>
      <c r="SB13" s="11" t="str">
        <f t="shared" si="144"/>
        <v/>
      </c>
      <c r="SC13" s="11" t="str">
        <f t="shared" si="145"/>
        <v/>
      </c>
      <c r="SD13" s="11" t="str">
        <f t="shared" si="146"/>
        <v/>
      </c>
      <c r="SE13" s="11" t="str">
        <f t="shared" si="147"/>
        <v/>
      </c>
      <c r="SF13" s="11" t="str">
        <f t="shared" si="148"/>
        <v/>
      </c>
      <c r="SG13" s="11" t="str">
        <f t="shared" si="149"/>
        <v/>
      </c>
      <c r="SH13" s="11" t="str">
        <f t="shared" si="150"/>
        <v/>
      </c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40" t="str">
        <f t="shared" si="151"/>
        <v/>
      </c>
      <c r="TD13" s="40" t="str">
        <f t="shared" si="152"/>
        <v/>
      </c>
      <c r="TE13" s="40" t="str">
        <f t="shared" si="153"/>
        <v/>
      </c>
      <c r="TF13" s="40" t="str">
        <f t="shared" si="154"/>
        <v/>
      </c>
      <c r="TG13" s="40" t="str">
        <f t="shared" si="155"/>
        <v/>
      </c>
      <c r="TH13" s="40" t="str">
        <f t="shared" si="156"/>
        <v/>
      </c>
      <c r="TI13" s="40" t="str">
        <f t="shared" si="157"/>
        <v/>
      </c>
      <c r="TJ13" s="40" t="str">
        <f t="shared" si="158"/>
        <v/>
      </c>
      <c r="TK13" s="26">
        <f t="shared" si="159"/>
        <v>18.700000000000003</v>
      </c>
      <c r="TL13" s="26">
        <f t="shared" si="160"/>
        <v>6.4</v>
      </c>
      <c r="TM13" s="26">
        <f t="shared" si="161"/>
        <v>1.1000000000000001</v>
      </c>
      <c r="TN13" s="26">
        <f t="shared" si="162"/>
        <v>0</v>
      </c>
      <c r="TO13" s="26">
        <f t="shared" si="163"/>
        <v>18.8</v>
      </c>
      <c r="TP13" s="26">
        <f t="shared" si="164"/>
        <v>8.4</v>
      </c>
      <c r="TQ13" s="26">
        <f t="shared" si="165"/>
        <v>0.1</v>
      </c>
      <c r="TR13" s="26">
        <f t="shared" si="166"/>
        <v>0</v>
      </c>
      <c r="TS13" s="26">
        <f t="shared" si="167"/>
        <v>17.899999999999999</v>
      </c>
      <c r="TT13" s="26">
        <f t="shared" si="168"/>
        <v>5.45</v>
      </c>
      <c r="TU13" s="26">
        <f t="shared" si="169"/>
        <v>0</v>
      </c>
      <c r="TV13" s="26">
        <f t="shared" si="170"/>
        <v>0</v>
      </c>
      <c r="TW13" s="26">
        <f t="shared" si="171"/>
        <v>9.1999999999999993</v>
      </c>
      <c r="TX13" s="26">
        <f t="shared" si="172"/>
        <v>3.6</v>
      </c>
      <c r="TY13" s="26">
        <f t="shared" si="173"/>
        <v>0</v>
      </c>
      <c r="TZ13" s="26">
        <f t="shared" si="174"/>
        <v>0</v>
      </c>
      <c r="UA13" s="26">
        <f t="shared" si="175"/>
        <v>9.4</v>
      </c>
      <c r="UB13" s="26">
        <f t="shared" si="176"/>
        <v>4.2</v>
      </c>
      <c r="UC13" s="26">
        <f t="shared" si="177"/>
        <v>0.3</v>
      </c>
      <c r="UD13" s="26">
        <f t="shared" si="178"/>
        <v>0</v>
      </c>
      <c r="UE13" s="28" t="s">
        <v>53</v>
      </c>
      <c r="UF13" s="11">
        <f t="shared" si="179"/>
        <v>14.8</v>
      </c>
      <c r="UG13" s="11">
        <f t="shared" si="180"/>
        <v>51.1</v>
      </c>
      <c r="UH13" s="11">
        <f t="shared" si="181"/>
        <v>23.349999999999998</v>
      </c>
      <c r="UI13" s="11">
        <f t="shared" si="182"/>
        <v>20.25</v>
      </c>
      <c r="UJ13" s="11">
        <f t="shared" si="183"/>
        <v>74.45</v>
      </c>
      <c r="UK13" s="11">
        <f t="shared" si="184"/>
        <v>7.8000000000000007</v>
      </c>
      <c r="UL13" s="11">
        <f t="shared" si="185"/>
        <v>26.099999999999998</v>
      </c>
      <c r="UM13" s="11">
        <f t="shared" si="186"/>
        <v>100.55</v>
      </c>
    </row>
    <row r="14" spans="1:559" x14ac:dyDescent="0.2">
      <c r="A14" s="4" cm="1">
        <f t="array" ref="A14">IF(AND(H14&lt;&gt;"",H14&lt;&gt;"No DD"),SUMPRODUCT((H$4:H$28&lt;&gt;"")*(H$4:H$28&lt;&gt;"No DD")*(E$4:E$28&gt;E14))+1,IF(H14="No DD",SUMPRODUCT((H$4:H$28="No DD")*(E$4:E$28&gt;E14))+1+SUMPRODUCT((H$4:H$28&lt;&gt;"")*(H$4:H$28&lt;&gt;"No DD")),""))</f>
        <v>11</v>
      </c>
      <c r="B14" s="5" t="s">
        <v>182</v>
      </c>
      <c r="C14" s="4" t="s">
        <v>5</v>
      </c>
      <c r="D14" s="4">
        <v>2005</v>
      </c>
      <c r="E14" s="9">
        <f t="shared" si="187"/>
        <v>179.6500129050053</v>
      </c>
      <c r="F14" s="3" t="str">
        <f t="shared" si="0"/>
        <v>P</v>
      </c>
      <c r="G14" s="3" t="str">
        <f t="shared" si="1"/>
        <v>P</v>
      </c>
      <c r="H14" s="36" t="str">
        <f t="shared" si="2"/>
        <v>Worlds Team</v>
      </c>
      <c r="I14" s="3" t="str">
        <f t="shared" si="3"/>
        <v>P</v>
      </c>
      <c r="J14" s="8">
        <f>IF(COUNT(AQ14,BT14,CW14)&gt;0,LARGE((AQ14,BT14,CW14),1),0)</f>
        <v>53.1</v>
      </c>
      <c r="K14" s="8" t="str">
        <f t="shared" si="4"/>
        <v>2024 3rd Domestic Trial</v>
      </c>
      <c r="L14" s="8">
        <f>IF(COUNT(AQ14,BT14,CW14)&gt;1,LARGE((AQ14,BT14,CW14),2),0)</f>
        <v>50.75</v>
      </c>
      <c r="M14" s="8" t="str">
        <f t="shared" si="5"/>
        <v>2024 Elite Canada</v>
      </c>
      <c r="N14" s="8">
        <f>IF(COUNT(AR14,BU14,CX14)&gt;0,LARGE((AR14,BU14,CX14),1),0)</f>
        <v>25.2</v>
      </c>
      <c r="O14" s="8" t="str">
        <f t="shared" si="6"/>
        <v>2024 3rd Domestic Trial</v>
      </c>
      <c r="P14" s="8">
        <f t="shared" si="7"/>
        <v>50.6</v>
      </c>
      <c r="Q14" s="8" t="str">
        <f t="shared" si="8"/>
        <v>2024 3rd Domestic Trial</v>
      </c>
      <c r="R14" s="8" t="str">
        <f t="shared" si="9"/>
        <v/>
      </c>
      <c r="S14" s="11" t="str">
        <f t="shared" si="10"/>
        <v/>
      </c>
      <c r="T14" s="8" t="str">
        <f t="shared" si="11"/>
        <v/>
      </c>
      <c r="U14" s="19">
        <v>18.149999999999999</v>
      </c>
      <c r="V14" s="19">
        <v>7.25</v>
      </c>
      <c r="W14" s="19">
        <v>0.1</v>
      </c>
      <c r="X14" s="19">
        <v>0.15</v>
      </c>
      <c r="Y14" s="19">
        <v>18.450000000000003</v>
      </c>
      <c r="Z14" s="19">
        <v>7.25</v>
      </c>
      <c r="AA14" s="19">
        <v>0.4</v>
      </c>
      <c r="AB14" s="19">
        <v>0</v>
      </c>
      <c r="AC14" s="19">
        <v>18.100000000000001</v>
      </c>
      <c r="AD14" s="19">
        <v>3.95</v>
      </c>
      <c r="AE14" s="19">
        <v>0</v>
      </c>
      <c r="AF14" s="19">
        <v>0</v>
      </c>
      <c r="AG14" s="19">
        <v>9.3000000000000007</v>
      </c>
      <c r="AH14" s="19">
        <v>3.4</v>
      </c>
      <c r="AI14" s="19">
        <v>0.3</v>
      </c>
      <c r="AJ14" s="19">
        <v>0</v>
      </c>
      <c r="AK14" s="19">
        <v>9</v>
      </c>
      <c r="AL14" s="19">
        <v>3.65</v>
      </c>
      <c r="AM14" s="19">
        <v>0.5</v>
      </c>
      <c r="AN14" s="19">
        <v>0</v>
      </c>
      <c r="AO14" s="27" t="s">
        <v>53</v>
      </c>
      <c r="AP14" s="40">
        <f t="shared" si="12"/>
        <v>14.5</v>
      </c>
      <c r="AQ14" s="40">
        <f t="shared" si="13"/>
        <v>50.75</v>
      </c>
      <c r="AR14" s="40">
        <f t="shared" si="14"/>
        <v>22.05</v>
      </c>
      <c r="AS14" s="40">
        <f t="shared" si="15"/>
        <v>18.45</v>
      </c>
      <c r="AT14" s="40">
        <f t="shared" si="16"/>
        <v>72.8</v>
      </c>
      <c r="AU14" s="40">
        <f t="shared" si="17"/>
        <v>7.05</v>
      </c>
      <c r="AV14" s="40">
        <f t="shared" si="18"/>
        <v>24.55</v>
      </c>
      <c r="AW14" s="40">
        <f t="shared" si="19"/>
        <v>97.35</v>
      </c>
      <c r="AX14" s="18">
        <v>16.3</v>
      </c>
      <c r="AY14" s="18">
        <v>2.9</v>
      </c>
      <c r="AZ14" s="18">
        <v>2</v>
      </c>
      <c r="BA14" s="18">
        <v>0</v>
      </c>
      <c r="BB14" s="18">
        <v>18.399999999999999</v>
      </c>
      <c r="BC14" s="18">
        <v>8.1</v>
      </c>
      <c r="BD14" s="18">
        <v>0</v>
      </c>
      <c r="BE14" s="18">
        <v>0.3</v>
      </c>
      <c r="BF14" s="18">
        <v>18.399999999999999</v>
      </c>
      <c r="BG14" s="18">
        <v>6</v>
      </c>
      <c r="BH14" s="18">
        <v>0.6</v>
      </c>
      <c r="BI14" s="18">
        <v>0</v>
      </c>
      <c r="BJ14" s="18"/>
      <c r="BK14" s="18"/>
      <c r="BL14" s="18"/>
      <c r="BM14" s="18"/>
      <c r="BN14" s="18"/>
      <c r="BO14" s="18"/>
      <c r="BP14" s="18"/>
      <c r="BQ14" s="18"/>
      <c r="BR14" s="28"/>
      <c r="BS14" s="11">
        <f t="shared" si="20"/>
        <v>11</v>
      </c>
      <c r="BT14" s="11">
        <f t="shared" si="21"/>
        <v>43.999999999999993</v>
      </c>
      <c r="BU14" s="11">
        <f t="shared" si="22"/>
        <v>23.799999999999997</v>
      </c>
      <c r="BV14" s="11">
        <f t="shared" si="23"/>
        <v>17</v>
      </c>
      <c r="BW14" s="11">
        <f t="shared" si="24"/>
        <v>67.799999999999983</v>
      </c>
      <c r="BX14" s="11" t="str">
        <f t="shared" si="25"/>
        <v/>
      </c>
      <c r="BY14" s="11" t="str">
        <f t="shared" si="26"/>
        <v/>
      </c>
      <c r="BZ14" s="11">
        <f t="shared" si="27"/>
        <v>67.799999999999983</v>
      </c>
      <c r="CA14" s="19">
        <v>18.899999999999999</v>
      </c>
      <c r="CB14" s="19">
        <v>7.7</v>
      </c>
      <c r="CC14" s="19">
        <v>0</v>
      </c>
      <c r="CD14" s="19">
        <v>0.3</v>
      </c>
      <c r="CE14" s="19">
        <v>19</v>
      </c>
      <c r="CF14" s="19">
        <v>7.2</v>
      </c>
      <c r="CG14" s="19">
        <v>0</v>
      </c>
      <c r="CH14" s="19">
        <v>0</v>
      </c>
      <c r="CI14" s="19">
        <v>18.600000000000001</v>
      </c>
      <c r="CJ14" s="19">
        <v>7.2</v>
      </c>
      <c r="CK14" s="19">
        <v>0.6</v>
      </c>
      <c r="CL14" s="19">
        <v>0</v>
      </c>
      <c r="CM14" s="19">
        <v>18.5</v>
      </c>
      <c r="CN14" s="19">
        <v>6.9</v>
      </c>
      <c r="CO14" s="19">
        <v>0.2</v>
      </c>
      <c r="CP14" s="19">
        <v>0</v>
      </c>
      <c r="CQ14" s="19">
        <v>18.399999999999999</v>
      </c>
      <c r="CR14" s="19">
        <v>7.2</v>
      </c>
      <c r="CS14" s="19">
        <v>0.2</v>
      </c>
      <c r="CT14" s="19">
        <v>0</v>
      </c>
      <c r="CU14" s="27"/>
      <c r="CV14" s="40">
        <f t="shared" si="28"/>
        <v>14.9</v>
      </c>
      <c r="CW14" s="40">
        <f t="shared" si="29"/>
        <v>53.1</v>
      </c>
      <c r="CX14" s="40">
        <f t="shared" si="30"/>
        <v>25.2</v>
      </c>
      <c r="CY14" s="40">
        <f t="shared" si="31"/>
        <v>22.1</v>
      </c>
      <c r="CZ14" s="40">
        <f t="shared" si="32"/>
        <v>78.3</v>
      </c>
      <c r="DA14" s="40">
        <f t="shared" si="33"/>
        <v>14.100000000000001</v>
      </c>
      <c r="DB14" s="40">
        <f t="shared" si="34"/>
        <v>50.6</v>
      </c>
      <c r="DC14" s="40">
        <f t="shared" si="35"/>
        <v>128.9</v>
      </c>
      <c r="DD14" s="51" t="str">
        <f t="shared" si="36"/>
        <v/>
      </c>
      <c r="DE14" s="51" t="str">
        <f t="shared" si="37"/>
        <v/>
      </c>
      <c r="DF14" s="51" t="str">
        <f t="shared" si="38"/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 t="shared" si="39"/>
        <v/>
      </c>
      <c r="EB14" s="40" t="str">
        <f t="shared" si="40"/>
        <v/>
      </c>
      <c r="EC14" s="40" t="str">
        <f t="shared" si="41"/>
        <v/>
      </c>
      <c r="ED14" s="40" t="str">
        <f t="shared" si="42"/>
        <v/>
      </c>
      <c r="EE14" s="40" t="str">
        <f t="shared" si="43"/>
        <v/>
      </c>
      <c r="EF14" s="40" t="str">
        <f t="shared" si="44"/>
        <v/>
      </c>
      <c r="EG14" s="40" t="str">
        <f t="shared" si="45"/>
        <v/>
      </c>
      <c r="EH14" s="40" t="str">
        <f t="shared" si="46"/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 t="shared" si="47"/>
        <v/>
      </c>
      <c r="FD14" s="11" t="str">
        <f t="shared" si="48"/>
        <v/>
      </c>
      <c r="FE14" s="11" t="str">
        <f t="shared" si="49"/>
        <v/>
      </c>
      <c r="FF14" s="11" t="str">
        <f t="shared" si="50"/>
        <v/>
      </c>
      <c r="FG14" s="11" t="str">
        <f t="shared" si="51"/>
        <v/>
      </c>
      <c r="FH14" s="11" t="str">
        <f t="shared" si="52"/>
        <v/>
      </c>
      <c r="FI14" s="11" t="str">
        <f t="shared" si="53"/>
        <v/>
      </c>
      <c r="FJ14" s="11" t="str">
        <f t="shared" si="54"/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 t="shared" si="55"/>
        <v/>
      </c>
      <c r="GF14" s="40" t="str">
        <f t="shared" si="56"/>
        <v/>
      </c>
      <c r="GG14" s="40" t="str">
        <f t="shared" si="57"/>
        <v/>
      </c>
      <c r="GH14" s="40" t="str">
        <f t="shared" si="58"/>
        <v/>
      </c>
      <c r="GI14" s="40" t="str">
        <f t="shared" si="59"/>
        <v/>
      </c>
      <c r="GJ14" s="40" t="str">
        <f t="shared" si="60"/>
        <v/>
      </c>
      <c r="GK14" s="40" t="str">
        <f t="shared" si="61"/>
        <v/>
      </c>
      <c r="GL14" s="40" t="str">
        <f t="shared" si="62"/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 t="shared" si="63"/>
        <v/>
      </c>
      <c r="HH14" s="11" t="str">
        <f t="shared" si="64"/>
        <v/>
      </c>
      <c r="HI14" s="11" t="str">
        <f t="shared" si="65"/>
        <v/>
      </c>
      <c r="HJ14" s="11" t="str">
        <f t="shared" si="66"/>
        <v/>
      </c>
      <c r="HK14" s="11" t="str">
        <f t="shared" si="67"/>
        <v/>
      </c>
      <c r="HL14" s="11" t="str">
        <f t="shared" si="68"/>
        <v/>
      </c>
      <c r="HM14" s="11" t="str">
        <f t="shared" si="69"/>
        <v/>
      </c>
      <c r="HN14" s="11" t="str">
        <f t="shared" si="70"/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 t="shared" si="71"/>
        <v/>
      </c>
      <c r="IJ14" s="40" t="str">
        <f t="shared" si="72"/>
        <v/>
      </c>
      <c r="IK14" s="40" t="str">
        <f t="shared" si="73"/>
        <v/>
      </c>
      <c r="IL14" s="40" t="str">
        <f t="shared" si="74"/>
        <v/>
      </c>
      <c r="IM14" s="40" t="str">
        <f t="shared" si="75"/>
        <v/>
      </c>
      <c r="IN14" s="40" t="str">
        <f t="shared" si="76"/>
        <v/>
      </c>
      <c r="IO14" s="40" t="str">
        <f t="shared" si="77"/>
        <v/>
      </c>
      <c r="IP14" s="40" t="str">
        <f t="shared" si="78"/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 t="shared" si="79"/>
        <v/>
      </c>
      <c r="JL14" s="11" t="str">
        <f t="shared" si="80"/>
        <v/>
      </c>
      <c r="JM14" s="11" t="str">
        <f t="shared" si="81"/>
        <v/>
      </c>
      <c r="JN14" s="11" t="str">
        <f t="shared" si="82"/>
        <v/>
      </c>
      <c r="JO14" s="11" t="str">
        <f t="shared" si="83"/>
        <v/>
      </c>
      <c r="JP14" s="11" t="str">
        <f t="shared" si="84"/>
        <v/>
      </c>
      <c r="JQ14" s="11" t="str">
        <f t="shared" si="85"/>
        <v/>
      </c>
      <c r="JR14" s="11" t="str">
        <f t="shared" si="86"/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 t="shared" si="87"/>
        <v/>
      </c>
      <c r="KN14" s="40" t="str">
        <f t="shared" si="88"/>
        <v/>
      </c>
      <c r="KO14" s="40" t="str">
        <f t="shared" si="89"/>
        <v/>
      </c>
      <c r="KP14" s="40" t="str">
        <f t="shared" si="90"/>
        <v/>
      </c>
      <c r="KQ14" s="40" t="str">
        <f t="shared" si="91"/>
        <v/>
      </c>
      <c r="KR14" s="40" t="str">
        <f t="shared" si="92"/>
        <v/>
      </c>
      <c r="KS14" s="40" t="str">
        <f t="shared" si="93"/>
        <v/>
      </c>
      <c r="KT14" s="40" t="str">
        <f t="shared" si="94"/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 t="shared" si="95"/>
        <v/>
      </c>
      <c r="LP14" s="11" t="str">
        <f t="shared" si="96"/>
        <v/>
      </c>
      <c r="LQ14" s="11" t="str">
        <f t="shared" si="97"/>
        <v/>
      </c>
      <c r="LR14" s="11" t="str">
        <f t="shared" si="98"/>
        <v/>
      </c>
      <c r="LS14" s="11" t="str">
        <f t="shared" si="99"/>
        <v/>
      </c>
      <c r="LT14" s="11" t="str">
        <f t="shared" si="100"/>
        <v/>
      </c>
      <c r="LU14" s="11" t="str">
        <f t="shared" si="101"/>
        <v/>
      </c>
      <c r="LV14" s="11" t="str">
        <f t="shared" si="102"/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 t="shared" si="103"/>
        <v/>
      </c>
      <c r="MR14" s="40" t="str">
        <f t="shared" si="104"/>
        <v/>
      </c>
      <c r="MS14" s="40" t="str">
        <f t="shared" si="105"/>
        <v/>
      </c>
      <c r="MT14" s="40" t="str">
        <f t="shared" si="106"/>
        <v/>
      </c>
      <c r="MU14" s="40" t="str">
        <f t="shared" si="107"/>
        <v/>
      </c>
      <c r="MV14" s="40" t="str">
        <f t="shared" si="108"/>
        <v/>
      </c>
      <c r="MW14" s="40" t="str">
        <f t="shared" si="109"/>
        <v/>
      </c>
      <c r="MX14" s="40" t="str">
        <f t="shared" si="110"/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 t="shared" si="111"/>
        <v/>
      </c>
      <c r="NT14" s="11" t="str">
        <f t="shared" si="112"/>
        <v/>
      </c>
      <c r="NU14" s="11" t="str">
        <f t="shared" si="113"/>
        <v/>
      </c>
      <c r="NV14" s="11" t="str">
        <f t="shared" si="114"/>
        <v/>
      </c>
      <c r="NW14" s="11" t="str">
        <f t="shared" si="115"/>
        <v/>
      </c>
      <c r="NX14" s="11" t="str">
        <f t="shared" si="116"/>
        <v/>
      </c>
      <c r="NY14" s="11" t="str">
        <f t="shared" si="117"/>
        <v/>
      </c>
      <c r="NZ14" s="11" t="str">
        <f t="shared" si="118"/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 t="shared" si="119"/>
        <v/>
      </c>
      <c r="OV14" s="40" t="str">
        <f t="shared" si="120"/>
        <v/>
      </c>
      <c r="OW14" s="40" t="str">
        <f t="shared" si="121"/>
        <v/>
      </c>
      <c r="OX14" s="40" t="str">
        <f t="shared" si="122"/>
        <v/>
      </c>
      <c r="OY14" s="40" t="str">
        <f t="shared" si="123"/>
        <v/>
      </c>
      <c r="OZ14" s="40" t="str">
        <f t="shared" si="124"/>
        <v/>
      </c>
      <c r="PA14" s="40" t="str">
        <f t="shared" si="125"/>
        <v/>
      </c>
      <c r="PB14" s="40" t="str">
        <f t="shared" si="126"/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 t="shared" si="127"/>
        <v/>
      </c>
      <c r="PX14" s="11" t="str">
        <f t="shared" si="128"/>
        <v/>
      </c>
      <c r="PY14" s="11" t="str">
        <f t="shared" si="129"/>
        <v/>
      </c>
      <c r="PZ14" s="11" t="str">
        <f t="shared" si="130"/>
        <v/>
      </c>
      <c r="QA14" s="11" t="str">
        <f t="shared" si="131"/>
        <v/>
      </c>
      <c r="QB14" s="11" t="str">
        <f t="shared" si="132"/>
        <v/>
      </c>
      <c r="QC14" s="11" t="str">
        <f t="shared" si="133"/>
        <v/>
      </c>
      <c r="QD14" s="11" t="str">
        <f t="shared" si="134"/>
        <v/>
      </c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40" t="str">
        <f t="shared" si="135"/>
        <v/>
      </c>
      <c r="QZ14" s="40" t="str">
        <f t="shared" si="136"/>
        <v/>
      </c>
      <c r="RA14" s="40" t="str">
        <f t="shared" si="137"/>
        <v/>
      </c>
      <c r="RB14" s="40" t="str">
        <f t="shared" si="138"/>
        <v/>
      </c>
      <c r="RC14" s="40" t="str">
        <f t="shared" si="139"/>
        <v/>
      </c>
      <c r="RD14" s="40" t="str">
        <f t="shared" si="140"/>
        <v/>
      </c>
      <c r="RE14" s="40" t="str">
        <f t="shared" si="141"/>
        <v/>
      </c>
      <c r="RF14" s="40" t="str">
        <f t="shared" si="142"/>
        <v/>
      </c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1" t="str">
        <f t="shared" si="143"/>
        <v/>
      </c>
      <c r="SB14" s="11" t="str">
        <f t="shared" si="144"/>
        <v/>
      </c>
      <c r="SC14" s="11" t="str">
        <f t="shared" si="145"/>
        <v/>
      </c>
      <c r="SD14" s="11" t="str">
        <f t="shared" si="146"/>
        <v/>
      </c>
      <c r="SE14" s="11" t="str">
        <f t="shared" si="147"/>
        <v/>
      </c>
      <c r="SF14" s="11" t="str">
        <f t="shared" si="148"/>
        <v/>
      </c>
      <c r="SG14" s="11" t="str">
        <f t="shared" si="149"/>
        <v/>
      </c>
      <c r="SH14" s="11" t="str">
        <f t="shared" si="150"/>
        <v/>
      </c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40" t="str">
        <f t="shared" si="151"/>
        <v/>
      </c>
      <c r="TD14" s="40" t="str">
        <f t="shared" si="152"/>
        <v/>
      </c>
      <c r="TE14" s="40" t="str">
        <f t="shared" si="153"/>
        <v/>
      </c>
      <c r="TF14" s="40" t="str">
        <f t="shared" si="154"/>
        <v/>
      </c>
      <c r="TG14" s="40" t="str">
        <f t="shared" si="155"/>
        <v/>
      </c>
      <c r="TH14" s="40" t="str">
        <f t="shared" si="156"/>
        <v/>
      </c>
      <c r="TI14" s="40" t="str">
        <f t="shared" si="157"/>
        <v/>
      </c>
      <c r="TJ14" s="40" t="str">
        <f t="shared" si="158"/>
        <v/>
      </c>
      <c r="TK14" s="26">
        <f t="shared" si="159"/>
        <v>17.600000000000001</v>
      </c>
      <c r="TL14" s="26">
        <f t="shared" si="160"/>
        <v>5.3</v>
      </c>
      <c r="TM14" s="26">
        <f t="shared" si="161"/>
        <v>1</v>
      </c>
      <c r="TN14" s="26">
        <f t="shared" si="162"/>
        <v>0.15</v>
      </c>
      <c r="TO14" s="26">
        <f t="shared" si="163"/>
        <v>18.7</v>
      </c>
      <c r="TP14" s="26">
        <f t="shared" si="164"/>
        <v>7.65</v>
      </c>
      <c r="TQ14" s="26">
        <f t="shared" si="165"/>
        <v>0</v>
      </c>
      <c r="TR14" s="26">
        <f t="shared" si="166"/>
        <v>0.15</v>
      </c>
      <c r="TS14" s="26">
        <f t="shared" si="167"/>
        <v>18.5</v>
      </c>
      <c r="TT14" s="26">
        <f t="shared" si="168"/>
        <v>6.6</v>
      </c>
      <c r="TU14" s="26">
        <f t="shared" si="169"/>
        <v>0.6</v>
      </c>
      <c r="TV14" s="26">
        <f t="shared" si="170"/>
        <v>0</v>
      </c>
      <c r="TW14" s="26">
        <f t="shared" si="171"/>
        <v>9.25</v>
      </c>
      <c r="TX14" s="26">
        <f t="shared" si="172"/>
        <v>3.45</v>
      </c>
      <c r="TY14" s="26">
        <f t="shared" si="173"/>
        <v>0.1</v>
      </c>
      <c r="TZ14" s="26">
        <f t="shared" si="174"/>
        <v>0</v>
      </c>
      <c r="UA14" s="26">
        <f t="shared" si="175"/>
        <v>9.1999999999999993</v>
      </c>
      <c r="UB14" s="26">
        <f t="shared" si="176"/>
        <v>3.6</v>
      </c>
      <c r="UC14" s="26">
        <f t="shared" si="177"/>
        <v>0.1</v>
      </c>
      <c r="UD14" s="26">
        <f t="shared" si="178"/>
        <v>0</v>
      </c>
      <c r="UE14" s="28" t="s">
        <v>53</v>
      </c>
      <c r="UF14" s="11">
        <f t="shared" si="179"/>
        <v>12.95</v>
      </c>
      <c r="UG14" s="11">
        <f t="shared" si="180"/>
        <v>48.55</v>
      </c>
      <c r="UH14" s="11">
        <f t="shared" si="181"/>
        <v>24.5</v>
      </c>
      <c r="UI14" s="11">
        <f t="shared" si="182"/>
        <v>19.549999999999997</v>
      </c>
      <c r="UJ14" s="11">
        <f t="shared" si="183"/>
        <v>73.05</v>
      </c>
      <c r="UK14" s="11">
        <f t="shared" si="184"/>
        <v>7.0500000000000007</v>
      </c>
      <c r="UL14" s="11">
        <f t="shared" si="185"/>
        <v>25.3</v>
      </c>
      <c r="UM14" s="11">
        <f t="shared" si="186"/>
        <v>98.35</v>
      </c>
    </row>
    <row r="15" spans="1:559" x14ac:dyDescent="0.2">
      <c r="A15" s="4" cm="1">
        <f t="array" ref="A15">IF(AND(H15&lt;&gt;"",H15&lt;&gt;"No DD"),SUMPRODUCT((H$4:H$28&lt;&gt;"")*(H$4:H$28&lt;&gt;"No DD")*(E$4:E$28&gt;E15))+1,IF(H15="No DD",SUMPRODUCT((H$4:H$28="No DD")*(E$4:E$28&gt;E15))+1+SUMPRODUCT((H$4:H$28&lt;&gt;"")*(H$4:H$28&lt;&gt;"No DD")),""))</f>
        <v>12</v>
      </c>
      <c r="B15" s="5" t="s">
        <v>159</v>
      </c>
      <c r="C15" s="4" t="s">
        <v>7</v>
      </c>
      <c r="D15" s="4">
        <v>2006</v>
      </c>
      <c r="E15" s="9">
        <f t="shared" si="187"/>
        <v>179.20001292000518</v>
      </c>
      <c r="F15" s="3" t="str">
        <f t="shared" si="0"/>
        <v>P</v>
      </c>
      <c r="G15" s="3" t="str">
        <f t="shared" si="1"/>
        <v>P</v>
      </c>
      <c r="H15" s="36" t="str">
        <f t="shared" si="2"/>
        <v>Worlds Team</v>
      </c>
      <c r="I15" s="3" t="str">
        <f t="shared" si="3"/>
        <v>P</v>
      </c>
      <c r="J15" s="8">
        <f>IF(COUNT(AQ15,BT15,CW15)&gt;0,LARGE((AQ15,BT15,CW15),1),0)</f>
        <v>52.099999999999994</v>
      </c>
      <c r="K15" s="8" t="str">
        <f t="shared" si="4"/>
        <v>2024 3rd Domestic Trial</v>
      </c>
      <c r="L15" s="8">
        <f>IF(COUNT(AQ15,BT15,CW15)&gt;1,LARGE((AQ15,BT15,CW15),2),0)</f>
        <v>51</v>
      </c>
      <c r="M15" s="8" t="str">
        <f t="shared" si="5"/>
        <v>2024 Elite Canada</v>
      </c>
      <c r="N15" s="8">
        <f>IF(COUNT(AR15,BU15,CX15)&gt;0,LARGE((AR15,BU15,CX15),1),0)</f>
        <v>26.1</v>
      </c>
      <c r="O15" s="8" t="str">
        <f t="shared" si="6"/>
        <v>2024 3rd Domestic Trial</v>
      </c>
      <c r="P15" s="8">
        <f t="shared" si="7"/>
        <v>46.699999999999996</v>
      </c>
      <c r="Q15" s="8" t="str">
        <f t="shared" si="8"/>
        <v>2024 3rd Domestic Trial</v>
      </c>
      <c r="R15" s="8">
        <f t="shared" si="9"/>
        <v>3.3000000000000043</v>
      </c>
      <c r="S15" s="11" t="str">
        <f t="shared" si="10"/>
        <v>(Final)</v>
      </c>
      <c r="T15" s="8" t="str">
        <f t="shared" si="11"/>
        <v>2024 Coimbra Gym Fest (July 7)</v>
      </c>
      <c r="U15" s="19">
        <v>18.7</v>
      </c>
      <c r="V15" s="19">
        <v>7.6</v>
      </c>
      <c r="W15" s="19">
        <v>0.6</v>
      </c>
      <c r="X15" s="19">
        <v>0</v>
      </c>
      <c r="Y15" s="19">
        <v>18.5</v>
      </c>
      <c r="Z15" s="19">
        <v>7.6</v>
      </c>
      <c r="AA15" s="19">
        <v>0.8</v>
      </c>
      <c r="AB15" s="19">
        <v>0</v>
      </c>
      <c r="AC15" s="19">
        <v>16.399999999999999</v>
      </c>
      <c r="AD15" s="19">
        <v>7.3</v>
      </c>
      <c r="AE15" s="19">
        <v>0.8</v>
      </c>
      <c r="AF15" s="19">
        <v>0</v>
      </c>
      <c r="AG15" s="19"/>
      <c r="AH15" s="19"/>
      <c r="AI15" s="19"/>
      <c r="AJ15" s="19"/>
      <c r="AK15" s="19"/>
      <c r="AL15" s="19"/>
      <c r="AM15" s="19"/>
      <c r="AN15" s="19"/>
      <c r="AO15" s="27"/>
      <c r="AP15" s="40">
        <f t="shared" si="12"/>
        <v>15.2</v>
      </c>
      <c r="AQ15" s="40">
        <f t="shared" si="13"/>
        <v>51</v>
      </c>
      <c r="AR15" s="40">
        <f t="shared" si="14"/>
        <v>22.9</v>
      </c>
      <c r="AS15" s="40">
        <f t="shared" si="15"/>
        <v>22.5</v>
      </c>
      <c r="AT15" s="40">
        <f t="shared" si="16"/>
        <v>73.900000000000006</v>
      </c>
      <c r="AU15" s="40" t="str">
        <f t="shared" si="17"/>
        <v/>
      </c>
      <c r="AV15" s="40" t="str">
        <f t="shared" si="18"/>
        <v/>
      </c>
      <c r="AW15" s="40">
        <f t="shared" si="19"/>
        <v>73.900000000000006</v>
      </c>
      <c r="AX15" s="18">
        <v>18.8</v>
      </c>
      <c r="AY15" s="18">
        <v>7.6</v>
      </c>
      <c r="AZ15" s="18">
        <v>0.6</v>
      </c>
      <c r="BA15" s="18">
        <v>0</v>
      </c>
      <c r="BB15" s="18">
        <v>18.2</v>
      </c>
      <c r="BC15" s="18">
        <v>3.2</v>
      </c>
      <c r="BD15" s="18">
        <v>1.6</v>
      </c>
      <c r="BE15" s="18">
        <v>0</v>
      </c>
      <c r="BF15" s="18">
        <v>16.600000000000001</v>
      </c>
      <c r="BG15" s="18">
        <v>7.3</v>
      </c>
      <c r="BH15" s="18">
        <v>0.2</v>
      </c>
      <c r="BI15" s="18">
        <v>0</v>
      </c>
      <c r="BJ15" s="18"/>
      <c r="BK15" s="18"/>
      <c r="BL15" s="18"/>
      <c r="BM15" s="18"/>
      <c r="BN15" s="18"/>
      <c r="BO15" s="18"/>
      <c r="BP15" s="18"/>
      <c r="BQ15" s="18"/>
      <c r="BR15" s="28"/>
      <c r="BS15" s="11">
        <f t="shared" si="20"/>
        <v>10.8</v>
      </c>
      <c r="BT15" s="11">
        <f t="shared" si="21"/>
        <v>45.599999999999994</v>
      </c>
      <c r="BU15" s="11">
        <f t="shared" si="22"/>
        <v>23.700000000000003</v>
      </c>
      <c r="BV15" s="11">
        <f t="shared" si="23"/>
        <v>18.100000000000001</v>
      </c>
      <c r="BW15" s="11">
        <f t="shared" si="24"/>
        <v>69.3</v>
      </c>
      <c r="BX15" s="11" t="str">
        <f t="shared" si="25"/>
        <v/>
      </c>
      <c r="BY15" s="11" t="str">
        <f t="shared" si="26"/>
        <v/>
      </c>
      <c r="BZ15" s="11">
        <f t="shared" si="27"/>
        <v>69.3</v>
      </c>
      <c r="CA15" s="19">
        <v>19</v>
      </c>
      <c r="CB15" s="19">
        <v>8.4</v>
      </c>
      <c r="CC15" s="19">
        <v>0</v>
      </c>
      <c r="CD15" s="19">
        <v>0</v>
      </c>
      <c r="CE15" s="19">
        <v>18.7</v>
      </c>
      <c r="CF15" s="19">
        <v>6</v>
      </c>
      <c r="CG15" s="19">
        <v>0</v>
      </c>
      <c r="CH15" s="19">
        <v>0</v>
      </c>
      <c r="CI15" s="19">
        <v>18.8</v>
      </c>
      <c r="CJ15" s="19">
        <v>7.3</v>
      </c>
      <c r="CK15" s="19">
        <v>0</v>
      </c>
      <c r="CL15" s="19">
        <v>0</v>
      </c>
      <c r="CM15" s="19">
        <v>17.2</v>
      </c>
      <c r="CN15" s="19">
        <v>4</v>
      </c>
      <c r="CO15" s="19">
        <v>0</v>
      </c>
      <c r="CP15" s="19">
        <v>0</v>
      </c>
      <c r="CQ15" s="19">
        <v>18.2</v>
      </c>
      <c r="CR15" s="19">
        <v>7.3</v>
      </c>
      <c r="CS15" s="19">
        <v>0</v>
      </c>
      <c r="CT15" s="19">
        <v>0</v>
      </c>
      <c r="CU15" s="27"/>
      <c r="CV15" s="40">
        <f t="shared" si="28"/>
        <v>14.4</v>
      </c>
      <c r="CW15" s="40">
        <f t="shared" si="29"/>
        <v>52.099999999999994</v>
      </c>
      <c r="CX15" s="40">
        <f t="shared" si="30"/>
        <v>26.1</v>
      </c>
      <c r="CY15" s="40">
        <f t="shared" si="31"/>
        <v>21.7</v>
      </c>
      <c r="CZ15" s="40">
        <f t="shared" si="32"/>
        <v>78.199999999999989</v>
      </c>
      <c r="DA15" s="40">
        <f t="shared" si="33"/>
        <v>11.3</v>
      </c>
      <c r="DB15" s="40">
        <f t="shared" si="34"/>
        <v>46.699999999999996</v>
      </c>
      <c r="DC15" s="40">
        <f t="shared" si="35"/>
        <v>124.89999999999998</v>
      </c>
      <c r="DD15" s="51">
        <f t="shared" si="36"/>
        <v>1.6000000000000085</v>
      </c>
      <c r="DE15" s="51" t="str">
        <f t="shared" si="37"/>
        <v/>
      </c>
      <c r="DF15" s="51">
        <f t="shared" si="38"/>
        <v>3.3000000000000043</v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 t="shared" si="39"/>
        <v/>
      </c>
      <c r="EB15" s="40" t="str">
        <f t="shared" si="40"/>
        <v/>
      </c>
      <c r="EC15" s="40" t="str">
        <f t="shared" si="41"/>
        <v/>
      </c>
      <c r="ED15" s="40" t="str">
        <f t="shared" si="42"/>
        <v/>
      </c>
      <c r="EE15" s="40" t="str">
        <f t="shared" si="43"/>
        <v/>
      </c>
      <c r="EF15" s="40" t="str">
        <f t="shared" si="44"/>
        <v/>
      </c>
      <c r="EG15" s="40" t="str">
        <f t="shared" si="45"/>
        <v/>
      </c>
      <c r="EH15" s="40" t="str">
        <f t="shared" si="46"/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 t="shared" si="47"/>
        <v/>
      </c>
      <c r="FD15" s="11" t="str">
        <f t="shared" si="48"/>
        <v/>
      </c>
      <c r="FE15" s="11" t="str">
        <f t="shared" si="49"/>
        <v/>
      </c>
      <c r="FF15" s="11" t="str">
        <f t="shared" si="50"/>
        <v/>
      </c>
      <c r="FG15" s="11" t="str">
        <f t="shared" si="51"/>
        <v/>
      </c>
      <c r="FH15" s="11" t="str">
        <f t="shared" si="52"/>
        <v/>
      </c>
      <c r="FI15" s="11" t="str">
        <f t="shared" si="53"/>
        <v/>
      </c>
      <c r="FJ15" s="11" t="str">
        <f t="shared" si="54"/>
        <v/>
      </c>
      <c r="FK15" s="17">
        <v>19</v>
      </c>
      <c r="FL15" s="17">
        <v>8.4</v>
      </c>
      <c r="FM15" s="17">
        <v>0</v>
      </c>
      <c r="FN15" s="17">
        <v>0</v>
      </c>
      <c r="FO15" s="17">
        <v>18.3</v>
      </c>
      <c r="FP15" s="17">
        <v>7.7</v>
      </c>
      <c r="FQ15" s="17">
        <v>0.8</v>
      </c>
      <c r="FR15" s="17">
        <v>0</v>
      </c>
      <c r="FS15" s="17"/>
      <c r="FT15" s="17"/>
      <c r="FU15" s="17"/>
      <c r="FV15" s="17"/>
      <c r="FW15" s="17">
        <v>18.899999999999999</v>
      </c>
      <c r="FX15" s="17">
        <v>8.4</v>
      </c>
      <c r="FY15" s="17">
        <v>0.6</v>
      </c>
      <c r="FZ15" s="17">
        <v>0</v>
      </c>
      <c r="GA15" s="17">
        <v>16.399999999999999</v>
      </c>
      <c r="GB15" s="17">
        <v>7.7</v>
      </c>
      <c r="GC15" s="17">
        <v>0.8</v>
      </c>
      <c r="GD15" s="17">
        <v>0</v>
      </c>
      <c r="GE15" s="40">
        <f t="shared" si="55"/>
        <v>16.100000000000001</v>
      </c>
      <c r="GF15" s="40">
        <f t="shared" si="56"/>
        <v>52.600000000000009</v>
      </c>
      <c r="GG15" s="40" t="str">
        <f t="shared" si="57"/>
        <v/>
      </c>
      <c r="GH15" s="40">
        <f t="shared" si="58"/>
        <v>16.100000000000001</v>
      </c>
      <c r="GI15" s="40">
        <f t="shared" si="59"/>
        <v>52.600000000000009</v>
      </c>
      <c r="GJ15" s="40">
        <f t="shared" si="60"/>
        <v>16.100000000000001</v>
      </c>
      <c r="GK15" s="40">
        <f t="shared" si="61"/>
        <v>50</v>
      </c>
      <c r="GL15" s="40">
        <f t="shared" si="62"/>
        <v>102.60000000000001</v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 t="shared" si="63"/>
        <v/>
      </c>
      <c r="HH15" s="11" t="str">
        <f t="shared" si="64"/>
        <v/>
      </c>
      <c r="HI15" s="11" t="str">
        <f t="shared" si="65"/>
        <v/>
      </c>
      <c r="HJ15" s="11" t="str">
        <f t="shared" si="66"/>
        <v/>
      </c>
      <c r="HK15" s="11" t="str">
        <f t="shared" si="67"/>
        <v/>
      </c>
      <c r="HL15" s="11" t="str">
        <f t="shared" si="68"/>
        <v/>
      </c>
      <c r="HM15" s="11" t="str">
        <f t="shared" si="69"/>
        <v/>
      </c>
      <c r="HN15" s="11" t="str">
        <f t="shared" si="70"/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 t="shared" si="71"/>
        <v/>
      </c>
      <c r="IJ15" s="40" t="str">
        <f t="shared" si="72"/>
        <v/>
      </c>
      <c r="IK15" s="40" t="str">
        <f t="shared" si="73"/>
        <v/>
      </c>
      <c r="IL15" s="40" t="str">
        <f t="shared" si="74"/>
        <v/>
      </c>
      <c r="IM15" s="40" t="str">
        <f t="shared" si="75"/>
        <v/>
      </c>
      <c r="IN15" s="40" t="str">
        <f t="shared" si="76"/>
        <v/>
      </c>
      <c r="IO15" s="40" t="str">
        <f t="shared" si="77"/>
        <v/>
      </c>
      <c r="IP15" s="40" t="str">
        <f t="shared" si="78"/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 t="shared" si="79"/>
        <v/>
      </c>
      <c r="JL15" s="11" t="str">
        <f t="shared" si="80"/>
        <v/>
      </c>
      <c r="JM15" s="11" t="str">
        <f t="shared" si="81"/>
        <v/>
      </c>
      <c r="JN15" s="11" t="str">
        <f t="shared" si="82"/>
        <v/>
      </c>
      <c r="JO15" s="11" t="str">
        <f t="shared" si="83"/>
        <v/>
      </c>
      <c r="JP15" s="11" t="str">
        <f t="shared" si="84"/>
        <v/>
      </c>
      <c r="JQ15" s="11" t="str">
        <f t="shared" si="85"/>
        <v/>
      </c>
      <c r="JR15" s="11" t="str">
        <f t="shared" si="86"/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 t="shared" si="87"/>
        <v/>
      </c>
      <c r="KN15" s="40" t="str">
        <f t="shared" si="88"/>
        <v/>
      </c>
      <c r="KO15" s="40" t="str">
        <f t="shared" si="89"/>
        <v/>
      </c>
      <c r="KP15" s="40" t="str">
        <f t="shared" si="90"/>
        <v/>
      </c>
      <c r="KQ15" s="40" t="str">
        <f t="shared" si="91"/>
        <v/>
      </c>
      <c r="KR15" s="40" t="str">
        <f t="shared" si="92"/>
        <v/>
      </c>
      <c r="KS15" s="40" t="str">
        <f t="shared" si="93"/>
        <v/>
      </c>
      <c r="KT15" s="40" t="str">
        <f t="shared" si="94"/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 t="shared" si="95"/>
        <v/>
      </c>
      <c r="LP15" s="11" t="str">
        <f t="shared" si="96"/>
        <v/>
      </c>
      <c r="LQ15" s="11" t="str">
        <f t="shared" si="97"/>
        <v/>
      </c>
      <c r="LR15" s="11" t="str">
        <f t="shared" si="98"/>
        <v/>
      </c>
      <c r="LS15" s="11" t="str">
        <f t="shared" si="99"/>
        <v/>
      </c>
      <c r="LT15" s="11" t="str">
        <f t="shared" si="100"/>
        <v/>
      </c>
      <c r="LU15" s="11" t="str">
        <f t="shared" si="101"/>
        <v/>
      </c>
      <c r="LV15" s="11" t="str">
        <f t="shared" si="102"/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 t="shared" si="103"/>
        <v/>
      </c>
      <c r="MR15" s="40" t="str">
        <f t="shared" si="104"/>
        <v/>
      </c>
      <c r="MS15" s="40" t="str">
        <f t="shared" si="105"/>
        <v/>
      </c>
      <c r="MT15" s="40" t="str">
        <f t="shared" si="106"/>
        <v/>
      </c>
      <c r="MU15" s="40" t="str">
        <f t="shared" si="107"/>
        <v/>
      </c>
      <c r="MV15" s="40" t="str">
        <f t="shared" si="108"/>
        <v/>
      </c>
      <c r="MW15" s="40" t="str">
        <f t="shared" si="109"/>
        <v/>
      </c>
      <c r="MX15" s="40" t="str">
        <f t="shared" si="110"/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 t="shared" si="111"/>
        <v/>
      </c>
      <c r="NT15" s="11" t="str">
        <f t="shared" si="112"/>
        <v/>
      </c>
      <c r="NU15" s="11" t="str">
        <f t="shared" si="113"/>
        <v/>
      </c>
      <c r="NV15" s="11" t="str">
        <f t="shared" si="114"/>
        <v/>
      </c>
      <c r="NW15" s="11" t="str">
        <f t="shared" si="115"/>
        <v/>
      </c>
      <c r="NX15" s="11" t="str">
        <f t="shared" si="116"/>
        <v/>
      </c>
      <c r="NY15" s="11" t="str">
        <f t="shared" si="117"/>
        <v/>
      </c>
      <c r="NZ15" s="11" t="str">
        <f t="shared" si="118"/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 t="shared" si="119"/>
        <v/>
      </c>
      <c r="OV15" s="40" t="str">
        <f t="shared" si="120"/>
        <v/>
      </c>
      <c r="OW15" s="40" t="str">
        <f t="shared" si="121"/>
        <v/>
      </c>
      <c r="OX15" s="40" t="str">
        <f t="shared" si="122"/>
        <v/>
      </c>
      <c r="OY15" s="40" t="str">
        <f t="shared" si="123"/>
        <v/>
      </c>
      <c r="OZ15" s="40" t="str">
        <f t="shared" si="124"/>
        <v/>
      </c>
      <c r="PA15" s="40" t="str">
        <f t="shared" si="125"/>
        <v/>
      </c>
      <c r="PB15" s="40" t="str">
        <f t="shared" si="126"/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 t="shared" si="127"/>
        <v/>
      </c>
      <c r="PX15" s="11" t="str">
        <f t="shared" si="128"/>
        <v/>
      </c>
      <c r="PY15" s="11" t="str">
        <f t="shared" si="129"/>
        <v/>
      </c>
      <c r="PZ15" s="11" t="str">
        <f t="shared" si="130"/>
        <v/>
      </c>
      <c r="QA15" s="11" t="str">
        <f t="shared" si="131"/>
        <v/>
      </c>
      <c r="QB15" s="11" t="str">
        <f t="shared" si="132"/>
        <v/>
      </c>
      <c r="QC15" s="11" t="str">
        <f t="shared" si="133"/>
        <v/>
      </c>
      <c r="QD15" s="11" t="str">
        <f t="shared" si="134"/>
        <v/>
      </c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40" t="str">
        <f t="shared" si="135"/>
        <v/>
      </c>
      <c r="QZ15" s="40" t="str">
        <f t="shared" si="136"/>
        <v/>
      </c>
      <c r="RA15" s="40" t="str">
        <f t="shared" si="137"/>
        <v/>
      </c>
      <c r="RB15" s="40" t="str">
        <f t="shared" si="138"/>
        <v/>
      </c>
      <c r="RC15" s="40" t="str">
        <f t="shared" si="139"/>
        <v/>
      </c>
      <c r="RD15" s="40" t="str">
        <f t="shared" si="140"/>
        <v/>
      </c>
      <c r="RE15" s="40" t="str">
        <f t="shared" si="141"/>
        <v/>
      </c>
      <c r="RF15" s="40" t="str">
        <f t="shared" si="142"/>
        <v/>
      </c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1" t="str">
        <f t="shared" si="143"/>
        <v/>
      </c>
      <c r="SB15" s="11" t="str">
        <f t="shared" si="144"/>
        <v/>
      </c>
      <c r="SC15" s="11" t="str">
        <f t="shared" si="145"/>
        <v/>
      </c>
      <c r="SD15" s="11" t="str">
        <f t="shared" si="146"/>
        <v/>
      </c>
      <c r="SE15" s="11" t="str">
        <f t="shared" si="147"/>
        <v/>
      </c>
      <c r="SF15" s="11" t="str">
        <f t="shared" si="148"/>
        <v/>
      </c>
      <c r="SG15" s="11" t="str">
        <f t="shared" si="149"/>
        <v/>
      </c>
      <c r="SH15" s="11" t="str">
        <f t="shared" si="150"/>
        <v/>
      </c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40" t="str">
        <f t="shared" si="151"/>
        <v/>
      </c>
      <c r="TD15" s="40" t="str">
        <f t="shared" si="152"/>
        <v/>
      </c>
      <c r="TE15" s="40" t="str">
        <f t="shared" si="153"/>
        <v/>
      </c>
      <c r="TF15" s="40" t="str">
        <f t="shared" si="154"/>
        <v/>
      </c>
      <c r="TG15" s="40" t="str">
        <f t="shared" si="155"/>
        <v/>
      </c>
      <c r="TH15" s="40" t="str">
        <f t="shared" si="156"/>
        <v/>
      </c>
      <c r="TI15" s="40" t="str">
        <f t="shared" si="157"/>
        <v/>
      </c>
      <c r="TJ15" s="40" t="str">
        <f t="shared" si="158"/>
        <v/>
      </c>
      <c r="TK15" s="26">
        <f t="shared" si="159"/>
        <v>18.899999999999999</v>
      </c>
      <c r="TL15" s="26">
        <f t="shared" si="160"/>
        <v>8</v>
      </c>
      <c r="TM15" s="26">
        <f t="shared" si="161"/>
        <v>0.3</v>
      </c>
      <c r="TN15" s="26">
        <f t="shared" si="162"/>
        <v>0</v>
      </c>
      <c r="TO15" s="26">
        <f t="shared" si="163"/>
        <v>18.45</v>
      </c>
      <c r="TP15" s="26">
        <f t="shared" si="164"/>
        <v>4.5999999999999996</v>
      </c>
      <c r="TQ15" s="26">
        <f t="shared" si="165"/>
        <v>0.8</v>
      </c>
      <c r="TR15" s="26">
        <f t="shared" si="166"/>
        <v>0</v>
      </c>
      <c r="TS15" s="26">
        <f t="shared" si="167"/>
        <v>17.700000000000003</v>
      </c>
      <c r="TT15" s="26">
        <f t="shared" si="168"/>
        <v>7.3</v>
      </c>
      <c r="TU15" s="26">
        <f t="shared" si="169"/>
        <v>0.1</v>
      </c>
      <c r="TV15" s="26">
        <f t="shared" si="170"/>
        <v>0</v>
      </c>
      <c r="TW15" s="26">
        <f t="shared" si="171"/>
        <v>8.6</v>
      </c>
      <c r="TX15" s="26">
        <f t="shared" si="172"/>
        <v>2</v>
      </c>
      <c r="TY15" s="26">
        <f t="shared" si="173"/>
        <v>0</v>
      </c>
      <c r="TZ15" s="26">
        <f t="shared" si="174"/>
        <v>0</v>
      </c>
      <c r="UA15" s="26">
        <f t="shared" si="175"/>
        <v>9.1</v>
      </c>
      <c r="UB15" s="26">
        <f t="shared" si="176"/>
        <v>3.65</v>
      </c>
      <c r="UC15" s="26">
        <f t="shared" si="177"/>
        <v>0</v>
      </c>
      <c r="UD15" s="26">
        <f t="shared" si="178"/>
        <v>0</v>
      </c>
      <c r="UE15" s="28" t="s">
        <v>53</v>
      </c>
      <c r="UF15" s="11">
        <f t="shared" si="179"/>
        <v>12.6</v>
      </c>
      <c r="UG15" s="11">
        <f t="shared" si="180"/>
        <v>48.85</v>
      </c>
      <c r="UH15" s="11">
        <f t="shared" si="181"/>
        <v>24.900000000000002</v>
      </c>
      <c r="UI15" s="11">
        <f t="shared" si="182"/>
        <v>19.899999999999999</v>
      </c>
      <c r="UJ15" s="11">
        <f t="shared" si="183"/>
        <v>73.75</v>
      </c>
      <c r="UK15" s="11">
        <f t="shared" si="184"/>
        <v>5.65</v>
      </c>
      <c r="UL15" s="11">
        <f t="shared" si="185"/>
        <v>23.349999999999998</v>
      </c>
      <c r="UM15" s="11">
        <f t="shared" si="186"/>
        <v>97.1</v>
      </c>
    </row>
    <row r="16" spans="1:559" x14ac:dyDescent="0.2">
      <c r="A16" s="4" cm="1">
        <f t="array" ref="A16">IF(AND(H16&lt;&gt;"",H16&lt;&gt;"No DD"),SUMPRODUCT((H$4:H$28&lt;&gt;"")*(H$4:H$28&lt;&gt;"No DD")*(E$4:E$28&gt;E16))+1,IF(H16="No DD",SUMPRODUCT((H$4:H$28="No DD")*(E$4:E$28&gt;E16))+1+SUMPRODUCT((H$4:H$28&lt;&gt;"")*(H$4:H$28&lt;&gt;"No DD")),""))</f>
        <v>13</v>
      </c>
      <c r="B16" s="5" t="s">
        <v>177</v>
      </c>
      <c r="C16" s="4" t="s">
        <v>149</v>
      </c>
      <c r="D16" s="4">
        <v>2005</v>
      </c>
      <c r="E16" s="9">
        <f t="shared" si="187"/>
        <v>178.80001284000528</v>
      </c>
      <c r="F16" s="3" t="str">
        <f t="shared" si="0"/>
        <v>P</v>
      </c>
      <c r="G16" s="3" t="str">
        <f t="shared" si="1"/>
        <v>P</v>
      </c>
      <c r="H16" s="36" t="str">
        <f t="shared" si="2"/>
        <v>National Team</v>
      </c>
      <c r="I16" s="3" t="str">
        <f t="shared" si="3"/>
        <v/>
      </c>
      <c r="J16" s="8">
        <f>IF(COUNT(AQ16,BT16,CW16)&gt;0,LARGE((AQ16,BT16,CW16),1),0)</f>
        <v>52.500000000000007</v>
      </c>
      <c r="K16" s="8" t="str">
        <f t="shared" si="4"/>
        <v>2024 Nationals</v>
      </c>
      <c r="L16" s="8">
        <f>IF(COUNT(AQ16,BT16,CW16)&gt;1,LARGE((AQ16,BT16,CW16),2),0)</f>
        <v>51.3</v>
      </c>
      <c r="M16" s="8" t="str">
        <f t="shared" si="5"/>
        <v>2024 3rd Domestic Trial</v>
      </c>
      <c r="N16" s="8">
        <f>IF(COUNT(AR16,BU16,CX16)&gt;0,LARGE((AR16,BU16,CX16),1),0)</f>
        <v>24.6</v>
      </c>
      <c r="O16" s="8" t="str">
        <f t="shared" si="6"/>
        <v>2024 Elite Canada</v>
      </c>
      <c r="P16" s="8">
        <f t="shared" si="7"/>
        <v>50.400000000000006</v>
      </c>
      <c r="Q16" s="8" t="str">
        <f t="shared" si="8"/>
        <v>2024 Elite Canada</v>
      </c>
      <c r="R16" s="8" t="str">
        <f t="shared" si="9"/>
        <v/>
      </c>
      <c r="S16" s="11" t="str">
        <f t="shared" si="10"/>
        <v/>
      </c>
      <c r="T16" s="8" t="str">
        <f t="shared" si="11"/>
        <v/>
      </c>
      <c r="U16" s="19">
        <v>18.3</v>
      </c>
      <c r="V16" s="19">
        <v>7.6</v>
      </c>
      <c r="W16" s="19">
        <v>0.6</v>
      </c>
      <c r="X16" s="19">
        <v>0</v>
      </c>
      <c r="Y16" s="19">
        <v>18.5</v>
      </c>
      <c r="Z16" s="19">
        <v>7.2</v>
      </c>
      <c r="AA16" s="19">
        <v>0</v>
      </c>
      <c r="AB16" s="19">
        <v>0</v>
      </c>
      <c r="AC16" s="19">
        <v>16.5</v>
      </c>
      <c r="AD16" s="19">
        <v>8</v>
      </c>
      <c r="AE16" s="19">
        <v>0.2</v>
      </c>
      <c r="AF16" s="19">
        <v>0.3</v>
      </c>
      <c r="AG16" s="19">
        <v>16.8</v>
      </c>
      <c r="AH16" s="19">
        <v>8</v>
      </c>
      <c r="AI16" s="19">
        <v>0.2</v>
      </c>
      <c r="AJ16" s="19">
        <v>0.3</v>
      </c>
      <c r="AK16" s="19">
        <v>18.100000000000001</v>
      </c>
      <c r="AL16" s="19">
        <v>7.6</v>
      </c>
      <c r="AM16" s="19">
        <v>0.2</v>
      </c>
      <c r="AN16" s="19">
        <v>0</v>
      </c>
      <c r="AO16" s="27"/>
      <c r="AP16" s="40">
        <f t="shared" si="12"/>
        <v>14.8</v>
      </c>
      <c r="AQ16" s="40">
        <f t="shared" si="13"/>
        <v>51</v>
      </c>
      <c r="AR16" s="40">
        <f t="shared" si="14"/>
        <v>24.6</v>
      </c>
      <c r="AS16" s="40">
        <f t="shared" si="15"/>
        <v>22.8</v>
      </c>
      <c r="AT16" s="40">
        <f t="shared" si="16"/>
        <v>75.599999999999994</v>
      </c>
      <c r="AU16" s="40">
        <f t="shared" si="17"/>
        <v>15.6</v>
      </c>
      <c r="AV16" s="40">
        <f t="shared" si="18"/>
        <v>50.400000000000006</v>
      </c>
      <c r="AW16" s="40">
        <f t="shared" si="19"/>
        <v>126</v>
      </c>
      <c r="AX16" s="18">
        <v>19.100000000000001</v>
      </c>
      <c r="AY16" s="18">
        <v>8</v>
      </c>
      <c r="AZ16" s="18">
        <v>0.2</v>
      </c>
      <c r="BA16" s="18">
        <v>0.3</v>
      </c>
      <c r="BB16" s="18">
        <v>18.5</v>
      </c>
      <c r="BC16" s="18">
        <v>7.6</v>
      </c>
      <c r="BD16" s="18">
        <v>0.8</v>
      </c>
      <c r="BE16" s="18">
        <v>0</v>
      </c>
      <c r="BF16" s="18">
        <v>17.7</v>
      </c>
      <c r="BG16" s="18">
        <v>2.4</v>
      </c>
      <c r="BH16" s="18">
        <v>0</v>
      </c>
      <c r="BI16" s="18">
        <v>0</v>
      </c>
      <c r="BJ16" s="18">
        <v>18.899999999999999</v>
      </c>
      <c r="BK16" s="18">
        <v>8</v>
      </c>
      <c r="BL16" s="18">
        <v>0.2</v>
      </c>
      <c r="BM16" s="18">
        <v>0.3</v>
      </c>
      <c r="BN16" s="18">
        <v>16.5</v>
      </c>
      <c r="BO16" s="18">
        <v>6.8</v>
      </c>
      <c r="BP16" s="18">
        <v>1</v>
      </c>
      <c r="BQ16" s="18">
        <v>0</v>
      </c>
      <c r="BR16" s="28"/>
      <c r="BS16" s="11">
        <f t="shared" si="20"/>
        <v>15.6</v>
      </c>
      <c r="BT16" s="11">
        <f t="shared" si="21"/>
        <v>52.500000000000007</v>
      </c>
      <c r="BU16" s="11">
        <f t="shared" si="22"/>
        <v>20.099999999999998</v>
      </c>
      <c r="BV16" s="11">
        <f t="shared" si="23"/>
        <v>18</v>
      </c>
      <c r="BW16" s="11">
        <f t="shared" si="24"/>
        <v>72.600000000000009</v>
      </c>
      <c r="BX16" s="11">
        <f t="shared" si="25"/>
        <v>14.8</v>
      </c>
      <c r="BY16" s="11">
        <f t="shared" si="26"/>
        <v>49.3</v>
      </c>
      <c r="BZ16" s="11">
        <f t="shared" si="27"/>
        <v>121.9</v>
      </c>
      <c r="CA16" s="19">
        <v>18.899999999999999</v>
      </c>
      <c r="CB16" s="19">
        <v>8</v>
      </c>
      <c r="CC16" s="19">
        <v>0.6</v>
      </c>
      <c r="CD16" s="19">
        <v>0.3</v>
      </c>
      <c r="CE16" s="19">
        <v>18.5</v>
      </c>
      <c r="CF16" s="19">
        <v>6.8</v>
      </c>
      <c r="CG16" s="19">
        <v>0.6</v>
      </c>
      <c r="CH16" s="19">
        <v>0</v>
      </c>
      <c r="CI16" s="19">
        <v>17.600000000000001</v>
      </c>
      <c r="CJ16" s="19">
        <v>2.4</v>
      </c>
      <c r="CK16" s="19">
        <v>0</v>
      </c>
      <c r="CL16" s="19">
        <v>0</v>
      </c>
      <c r="CM16" s="19"/>
      <c r="CN16" s="19"/>
      <c r="CO16" s="19"/>
      <c r="CP16" s="19"/>
      <c r="CQ16" s="19"/>
      <c r="CR16" s="19"/>
      <c r="CS16" s="19"/>
      <c r="CT16" s="19"/>
      <c r="CU16" s="27"/>
      <c r="CV16" s="40">
        <f t="shared" si="28"/>
        <v>14.8</v>
      </c>
      <c r="CW16" s="40">
        <f t="shared" si="29"/>
        <v>51.3</v>
      </c>
      <c r="CX16" s="40">
        <f t="shared" si="30"/>
        <v>20</v>
      </c>
      <c r="CY16" s="40">
        <f t="shared" si="31"/>
        <v>17.2</v>
      </c>
      <c r="CZ16" s="40">
        <f t="shared" si="32"/>
        <v>71.3</v>
      </c>
      <c r="DA16" s="40" t="str">
        <f t="shared" si="33"/>
        <v/>
      </c>
      <c r="DB16" s="40" t="str">
        <f t="shared" si="34"/>
        <v/>
      </c>
      <c r="DC16" s="40">
        <f t="shared" si="35"/>
        <v>71.3</v>
      </c>
      <c r="DD16" s="51" t="str">
        <f t="shared" si="36"/>
        <v/>
      </c>
      <c r="DE16" s="51" t="str">
        <f t="shared" si="37"/>
        <v/>
      </c>
      <c r="DF16" s="51" t="str">
        <f t="shared" si="38"/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 t="shared" si="39"/>
        <v/>
      </c>
      <c r="EB16" s="40" t="str">
        <f t="shared" si="40"/>
        <v/>
      </c>
      <c r="EC16" s="40" t="str">
        <f t="shared" si="41"/>
        <v/>
      </c>
      <c r="ED16" s="40" t="str">
        <f t="shared" si="42"/>
        <v/>
      </c>
      <c r="EE16" s="40" t="str">
        <f t="shared" si="43"/>
        <v/>
      </c>
      <c r="EF16" s="40" t="str">
        <f t="shared" si="44"/>
        <v/>
      </c>
      <c r="EG16" s="40" t="str">
        <f t="shared" si="45"/>
        <v/>
      </c>
      <c r="EH16" s="40" t="str">
        <f t="shared" si="46"/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 t="shared" si="47"/>
        <v/>
      </c>
      <c r="FD16" s="11" t="str">
        <f t="shared" si="48"/>
        <v/>
      </c>
      <c r="FE16" s="11" t="str">
        <f t="shared" si="49"/>
        <v/>
      </c>
      <c r="FF16" s="11" t="str">
        <f t="shared" si="50"/>
        <v/>
      </c>
      <c r="FG16" s="11" t="str">
        <f t="shared" si="51"/>
        <v/>
      </c>
      <c r="FH16" s="11" t="str">
        <f t="shared" si="52"/>
        <v/>
      </c>
      <c r="FI16" s="11" t="str">
        <f t="shared" si="53"/>
        <v/>
      </c>
      <c r="FJ16" s="11" t="str">
        <f t="shared" si="54"/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 t="shared" si="55"/>
        <v/>
      </c>
      <c r="GF16" s="40" t="str">
        <f t="shared" si="56"/>
        <v/>
      </c>
      <c r="GG16" s="40" t="str">
        <f t="shared" si="57"/>
        <v/>
      </c>
      <c r="GH16" s="40" t="str">
        <f t="shared" si="58"/>
        <v/>
      </c>
      <c r="GI16" s="40" t="str">
        <f t="shared" si="59"/>
        <v/>
      </c>
      <c r="GJ16" s="40" t="str">
        <f t="shared" si="60"/>
        <v/>
      </c>
      <c r="GK16" s="40" t="str">
        <f t="shared" si="61"/>
        <v/>
      </c>
      <c r="GL16" s="40" t="str">
        <f t="shared" si="62"/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 t="shared" si="63"/>
        <v/>
      </c>
      <c r="HH16" s="11" t="str">
        <f t="shared" si="64"/>
        <v/>
      </c>
      <c r="HI16" s="11" t="str">
        <f t="shared" si="65"/>
        <v/>
      </c>
      <c r="HJ16" s="11" t="str">
        <f t="shared" si="66"/>
        <v/>
      </c>
      <c r="HK16" s="11" t="str">
        <f t="shared" si="67"/>
        <v/>
      </c>
      <c r="HL16" s="11" t="str">
        <f t="shared" si="68"/>
        <v/>
      </c>
      <c r="HM16" s="11" t="str">
        <f t="shared" si="69"/>
        <v/>
      </c>
      <c r="HN16" s="11" t="str">
        <f t="shared" si="70"/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 t="shared" si="71"/>
        <v/>
      </c>
      <c r="IJ16" s="40" t="str">
        <f t="shared" si="72"/>
        <v/>
      </c>
      <c r="IK16" s="40" t="str">
        <f t="shared" si="73"/>
        <v/>
      </c>
      <c r="IL16" s="40" t="str">
        <f t="shared" si="74"/>
        <v/>
      </c>
      <c r="IM16" s="40" t="str">
        <f t="shared" si="75"/>
        <v/>
      </c>
      <c r="IN16" s="40" t="str">
        <f t="shared" si="76"/>
        <v/>
      </c>
      <c r="IO16" s="40" t="str">
        <f t="shared" si="77"/>
        <v/>
      </c>
      <c r="IP16" s="40" t="str">
        <f t="shared" si="78"/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 t="shared" si="79"/>
        <v/>
      </c>
      <c r="JL16" s="11" t="str">
        <f t="shared" si="80"/>
        <v/>
      </c>
      <c r="JM16" s="11" t="str">
        <f t="shared" si="81"/>
        <v/>
      </c>
      <c r="JN16" s="11" t="str">
        <f t="shared" si="82"/>
        <v/>
      </c>
      <c r="JO16" s="11" t="str">
        <f t="shared" si="83"/>
        <v/>
      </c>
      <c r="JP16" s="11" t="str">
        <f t="shared" si="84"/>
        <v/>
      </c>
      <c r="JQ16" s="11" t="str">
        <f t="shared" si="85"/>
        <v/>
      </c>
      <c r="JR16" s="11" t="str">
        <f t="shared" si="86"/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 t="shared" si="87"/>
        <v/>
      </c>
      <c r="KN16" s="40" t="str">
        <f t="shared" si="88"/>
        <v/>
      </c>
      <c r="KO16" s="40" t="str">
        <f t="shared" si="89"/>
        <v/>
      </c>
      <c r="KP16" s="40" t="str">
        <f t="shared" si="90"/>
        <v/>
      </c>
      <c r="KQ16" s="40" t="str">
        <f t="shared" si="91"/>
        <v/>
      </c>
      <c r="KR16" s="40" t="str">
        <f t="shared" si="92"/>
        <v/>
      </c>
      <c r="KS16" s="40" t="str">
        <f t="shared" si="93"/>
        <v/>
      </c>
      <c r="KT16" s="40" t="str">
        <f t="shared" si="94"/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 t="shared" si="95"/>
        <v/>
      </c>
      <c r="LP16" s="11" t="str">
        <f t="shared" si="96"/>
        <v/>
      </c>
      <c r="LQ16" s="11" t="str">
        <f t="shared" si="97"/>
        <v/>
      </c>
      <c r="LR16" s="11" t="str">
        <f t="shared" si="98"/>
        <v/>
      </c>
      <c r="LS16" s="11" t="str">
        <f t="shared" si="99"/>
        <v/>
      </c>
      <c r="LT16" s="11" t="str">
        <f t="shared" si="100"/>
        <v/>
      </c>
      <c r="LU16" s="11" t="str">
        <f t="shared" si="101"/>
        <v/>
      </c>
      <c r="LV16" s="11" t="str">
        <f t="shared" si="102"/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 t="shared" si="103"/>
        <v/>
      </c>
      <c r="MR16" s="40" t="str">
        <f t="shared" si="104"/>
        <v/>
      </c>
      <c r="MS16" s="40" t="str">
        <f t="shared" si="105"/>
        <v/>
      </c>
      <c r="MT16" s="40" t="str">
        <f t="shared" si="106"/>
        <v/>
      </c>
      <c r="MU16" s="40" t="str">
        <f t="shared" si="107"/>
        <v/>
      </c>
      <c r="MV16" s="40" t="str">
        <f t="shared" si="108"/>
        <v/>
      </c>
      <c r="MW16" s="40" t="str">
        <f t="shared" si="109"/>
        <v/>
      </c>
      <c r="MX16" s="40" t="str">
        <f t="shared" si="110"/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 t="shared" si="111"/>
        <v/>
      </c>
      <c r="NT16" s="11" t="str">
        <f t="shared" si="112"/>
        <v/>
      </c>
      <c r="NU16" s="11" t="str">
        <f t="shared" si="113"/>
        <v/>
      </c>
      <c r="NV16" s="11" t="str">
        <f t="shared" si="114"/>
        <v/>
      </c>
      <c r="NW16" s="11" t="str">
        <f t="shared" si="115"/>
        <v/>
      </c>
      <c r="NX16" s="11" t="str">
        <f t="shared" si="116"/>
        <v/>
      </c>
      <c r="NY16" s="11" t="str">
        <f t="shared" si="117"/>
        <v/>
      </c>
      <c r="NZ16" s="11" t="str">
        <f t="shared" si="118"/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 t="shared" si="119"/>
        <v/>
      </c>
      <c r="OV16" s="40" t="str">
        <f t="shared" si="120"/>
        <v/>
      </c>
      <c r="OW16" s="40" t="str">
        <f t="shared" si="121"/>
        <v/>
      </c>
      <c r="OX16" s="40" t="str">
        <f t="shared" si="122"/>
        <v/>
      </c>
      <c r="OY16" s="40" t="str">
        <f t="shared" si="123"/>
        <v/>
      </c>
      <c r="OZ16" s="40" t="str">
        <f t="shared" si="124"/>
        <v/>
      </c>
      <c r="PA16" s="40" t="str">
        <f t="shared" si="125"/>
        <v/>
      </c>
      <c r="PB16" s="40" t="str">
        <f t="shared" si="126"/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 t="shared" si="127"/>
        <v/>
      </c>
      <c r="PX16" s="11" t="str">
        <f t="shared" si="128"/>
        <v/>
      </c>
      <c r="PY16" s="11" t="str">
        <f t="shared" si="129"/>
        <v/>
      </c>
      <c r="PZ16" s="11" t="str">
        <f t="shared" si="130"/>
        <v/>
      </c>
      <c r="QA16" s="11" t="str">
        <f t="shared" si="131"/>
        <v/>
      </c>
      <c r="QB16" s="11" t="str">
        <f t="shared" si="132"/>
        <v/>
      </c>
      <c r="QC16" s="11" t="str">
        <f t="shared" si="133"/>
        <v/>
      </c>
      <c r="QD16" s="11" t="str">
        <f t="shared" si="134"/>
        <v/>
      </c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40" t="str">
        <f t="shared" si="135"/>
        <v/>
      </c>
      <c r="QZ16" s="40" t="str">
        <f t="shared" si="136"/>
        <v/>
      </c>
      <c r="RA16" s="40" t="str">
        <f t="shared" si="137"/>
        <v/>
      </c>
      <c r="RB16" s="40" t="str">
        <f t="shared" si="138"/>
        <v/>
      </c>
      <c r="RC16" s="40" t="str">
        <f t="shared" si="139"/>
        <v/>
      </c>
      <c r="RD16" s="40" t="str">
        <f t="shared" si="140"/>
        <v/>
      </c>
      <c r="RE16" s="40" t="str">
        <f t="shared" si="141"/>
        <v/>
      </c>
      <c r="RF16" s="40" t="str">
        <f t="shared" si="142"/>
        <v/>
      </c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1" t="str">
        <f t="shared" si="143"/>
        <v/>
      </c>
      <c r="SB16" s="11" t="str">
        <f t="shared" si="144"/>
        <v/>
      </c>
      <c r="SC16" s="11" t="str">
        <f t="shared" si="145"/>
        <v/>
      </c>
      <c r="SD16" s="11" t="str">
        <f t="shared" si="146"/>
        <v/>
      </c>
      <c r="SE16" s="11" t="str">
        <f t="shared" si="147"/>
        <v/>
      </c>
      <c r="SF16" s="11" t="str">
        <f t="shared" si="148"/>
        <v/>
      </c>
      <c r="SG16" s="11" t="str">
        <f t="shared" si="149"/>
        <v/>
      </c>
      <c r="SH16" s="11" t="str">
        <f t="shared" si="150"/>
        <v/>
      </c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40" t="str">
        <f t="shared" si="151"/>
        <v/>
      </c>
      <c r="TD16" s="40" t="str">
        <f t="shared" si="152"/>
        <v/>
      </c>
      <c r="TE16" s="40" t="str">
        <f t="shared" si="153"/>
        <v/>
      </c>
      <c r="TF16" s="40" t="str">
        <f t="shared" si="154"/>
        <v/>
      </c>
      <c r="TG16" s="40" t="str">
        <f t="shared" si="155"/>
        <v/>
      </c>
      <c r="TH16" s="40" t="str">
        <f t="shared" si="156"/>
        <v/>
      </c>
      <c r="TI16" s="40" t="str">
        <f t="shared" si="157"/>
        <v/>
      </c>
      <c r="TJ16" s="40" t="str">
        <f t="shared" si="158"/>
        <v/>
      </c>
      <c r="TK16" s="26">
        <f t="shared" si="159"/>
        <v>19</v>
      </c>
      <c r="TL16" s="26">
        <f t="shared" si="160"/>
        <v>8</v>
      </c>
      <c r="TM16" s="26">
        <f t="shared" si="161"/>
        <v>0.4</v>
      </c>
      <c r="TN16" s="26">
        <f t="shared" si="162"/>
        <v>0.3</v>
      </c>
      <c r="TO16" s="26">
        <f t="shared" si="163"/>
        <v>18.5</v>
      </c>
      <c r="TP16" s="26">
        <f t="shared" si="164"/>
        <v>7.1999999999999993</v>
      </c>
      <c r="TQ16" s="26">
        <f t="shared" si="165"/>
        <v>0.7</v>
      </c>
      <c r="TR16" s="26">
        <f t="shared" si="166"/>
        <v>0</v>
      </c>
      <c r="TS16" s="26">
        <f t="shared" si="167"/>
        <v>17.649999999999999</v>
      </c>
      <c r="TT16" s="26">
        <f t="shared" si="168"/>
        <v>2.4</v>
      </c>
      <c r="TU16" s="26">
        <f t="shared" si="169"/>
        <v>0</v>
      </c>
      <c r="TV16" s="26">
        <f t="shared" si="170"/>
        <v>0</v>
      </c>
      <c r="TW16" s="26">
        <f t="shared" si="171"/>
        <v>9.4499999999999993</v>
      </c>
      <c r="TX16" s="26">
        <f t="shared" si="172"/>
        <v>4</v>
      </c>
      <c r="TY16" s="26">
        <f t="shared" si="173"/>
        <v>0.1</v>
      </c>
      <c r="TZ16" s="26">
        <f t="shared" si="174"/>
        <v>0.15</v>
      </c>
      <c r="UA16" s="26">
        <f t="shared" si="175"/>
        <v>8.25</v>
      </c>
      <c r="UB16" s="26">
        <f t="shared" si="176"/>
        <v>3.4</v>
      </c>
      <c r="UC16" s="26">
        <f t="shared" si="177"/>
        <v>0.5</v>
      </c>
      <c r="UD16" s="26">
        <f t="shared" si="178"/>
        <v>0</v>
      </c>
      <c r="UE16" s="28" t="s">
        <v>53</v>
      </c>
      <c r="UF16" s="11">
        <f t="shared" si="179"/>
        <v>15.2</v>
      </c>
      <c r="UG16" s="11">
        <f t="shared" si="180"/>
        <v>51.9</v>
      </c>
      <c r="UH16" s="11">
        <f t="shared" si="181"/>
        <v>20.049999999999997</v>
      </c>
      <c r="UI16" s="11">
        <f t="shared" si="182"/>
        <v>17.599999999999998</v>
      </c>
      <c r="UJ16" s="11">
        <f t="shared" si="183"/>
        <v>71.949999999999989</v>
      </c>
      <c r="UK16" s="11">
        <f t="shared" si="184"/>
        <v>7.4</v>
      </c>
      <c r="UL16" s="11">
        <f t="shared" si="185"/>
        <v>24.65</v>
      </c>
      <c r="UM16" s="11">
        <f t="shared" si="186"/>
        <v>96.6</v>
      </c>
    </row>
    <row r="17" spans="1:559" x14ac:dyDescent="0.2">
      <c r="A17" s="4" t="str" cm="1">
        <f t="array" ref="A17">IF(AND(H17&lt;&gt;"",H17&lt;&gt;"No DD"),SUMPRODUCT((H$4:H$28&lt;&gt;"")*(H$4:H$28&lt;&gt;"No DD")*(E$4:E$28&gt;E17))+1,IF(H17="No DD",SUMPRODUCT((H$4:H$28="No DD")*(E$4:E$28&gt;E17))+1+SUMPRODUCT((H$4:H$28&lt;&gt;"")*(H$4:H$28&lt;&gt;"No DD")),""))</f>
        <v/>
      </c>
      <c r="B17" s="5" t="s">
        <v>73</v>
      </c>
      <c r="C17" s="4" t="s">
        <v>72</v>
      </c>
      <c r="D17" s="4">
        <v>2001</v>
      </c>
      <c r="E17" s="9">
        <f t="shared" si="187"/>
        <v>175.80001253000503</v>
      </c>
      <c r="F17" s="3" t="str">
        <f t="shared" si="0"/>
        <v/>
      </c>
      <c r="G17" s="3" t="str">
        <f t="shared" si="1"/>
        <v/>
      </c>
      <c r="H17" s="36" t="str">
        <f t="shared" si="2"/>
        <v/>
      </c>
      <c r="I17" s="3" t="str">
        <f t="shared" si="3"/>
        <v/>
      </c>
      <c r="J17" s="8">
        <f>IF(COUNT(AQ17,BT17,CW17)&gt;0,LARGE((AQ17,BT17,CW17),1),0)</f>
        <v>50.2</v>
      </c>
      <c r="K17" s="8" t="str">
        <f t="shared" si="4"/>
        <v>2024 Nationals</v>
      </c>
      <c r="L17" s="8">
        <f>IF(COUNT(AQ17,BT17,CW17)&gt;1,LARGE((AQ17,BT17,CW17),2),0)</f>
        <v>49.199999999999989</v>
      </c>
      <c r="M17" s="8" t="str">
        <f t="shared" si="5"/>
        <v>2024 Elite Canada</v>
      </c>
      <c r="N17" s="8">
        <f>IF(COUNT(AR17,BU17,CX17)&gt;0,LARGE((AR17,BU17,CX17),1),0)</f>
        <v>25.900000000000002</v>
      </c>
      <c r="O17" s="8" t="str">
        <f t="shared" si="6"/>
        <v>2024 Nationals</v>
      </c>
      <c r="P17" s="8">
        <f t="shared" si="7"/>
        <v>50.5</v>
      </c>
      <c r="Q17" s="8" t="str">
        <f t="shared" si="8"/>
        <v>2024 Nationals</v>
      </c>
      <c r="R17" s="8" t="str">
        <f t="shared" si="9"/>
        <v/>
      </c>
      <c r="S17" s="11" t="str">
        <f t="shared" si="10"/>
        <v/>
      </c>
      <c r="T17" s="8" t="str">
        <f t="shared" si="11"/>
        <v/>
      </c>
      <c r="U17" s="19">
        <v>18.5</v>
      </c>
      <c r="V17" s="19">
        <v>8.4</v>
      </c>
      <c r="W17" s="19">
        <v>0.2</v>
      </c>
      <c r="X17" s="19">
        <v>0</v>
      </c>
      <c r="Y17" s="19">
        <v>17.399999999999999</v>
      </c>
      <c r="Z17" s="19">
        <v>4.8</v>
      </c>
      <c r="AA17" s="19">
        <v>0</v>
      </c>
      <c r="AB17" s="19">
        <v>0.3</v>
      </c>
      <c r="AC17" s="19">
        <v>18.600000000000001</v>
      </c>
      <c r="AD17" s="19">
        <v>6.4</v>
      </c>
      <c r="AE17" s="19">
        <v>0.2</v>
      </c>
      <c r="AF17" s="19">
        <v>0</v>
      </c>
      <c r="AG17" s="19"/>
      <c r="AH17" s="19"/>
      <c r="AI17" s="19"/>
      <c r="AJ17" s="19"/>
      <c r="AK17" s="19"/>
      <c r="AL17" s="19"/>
      <c r="AM17" s="19"/>
      <c r="AN17" s="19"/>
      <c r="AO17" s="27"/>
      <c r="AP17" s="40">
        <f t="shared" si="12"/>
        <v>13.2</v>
      </c>
      <c r="AQ17" s="40">
        <f t="shared" si="13"/>
        <v>49.199999999999989</v>
      </c>
      <c r="AR17" s="40">
        <f t="shared" si="14"/>
        <v>24.8</v>
      </c>
      <c r="AS17" s="40">
        <f t="shared" si="15"/>
        <v>19.600000000000001</v>
      </c>
      <c r="AT17" s="40">
        <f t="shared" si="16"/>
        <v>73.999999999999986</v>
      </c>
      <c r="AU17" s="40" t="str">
        <f t="shared" si="17"/>
        <v/>
      </c>
      <c r="AV17" s="40" t="str">
        <f t="shared" si="18"/>
        <v/>
      </c>
      <c r="AW17" s="40">
        <f t="shared" si="19"/>
        <v>73.999999999999986</v>
      </c>
      <c r="AX17" s="18">
        <v>18.8</v>
      </c>
      <c r="AY17" s="18">
        <v>6.8</v>
      </c>
      <c r="AZ17" s="18">
        <v>0.2</v>
      </c>
      <c r="BA17" s="18">
        <v>0</v>
      </c>
      <c r="BB17" s="18">
        <v>18.8</v>
      </c>
      <c r="BC17" s="18">
        <v>6.8</v>
      </c>
      <c r="BD17" s="18">
        <v>0.8</v>
      </c>
      <c r="BE17" s="18">
        <v>0</v>
      </c>
      <c r="BF17" s="18">
        <v>18.600000000000001</v>
      </c>
      <c r="BG17" s="18">
        <v>8</v>
      </c>
      <c r="BH17" s="18">
        <v>1</v>
      </c>
      <c r="BI17" s="18">
        <v>0.3</v>
      </c>
      <c r="BJ17" s="18">
        <v>18.899999999999999</v>
      </c>
      <c r="BK17" s="18">
        <v>6</v>
      </c>
      <c r="BL17" s="18">
        <v>0.2</v>
      </c>
      <c r="BM17" s="18">
        <v>0</v>
      </c>
      <c r="BN17" s="18">
        <v>18.600000000000001</v>
      </c>
      <c r="BO17" s="18">
        <v>7.2</v>
      </c>
      <c r="BP17" s="18">
        <v>0</v>
      </c>
      <c r="BQ17" s="18">
        <v>0</v>
      </c>
      <c r="BR17" s="28"/>
      <c r="BS17" s="11">
        <f t="shared" si="20"/>
        <v>13.6</v>
      </c>
      <c r="BT17" s="11">
        <f t="shared" si="21"/>
        <v>50.2</v>
      </c>
      <c r="BU17" s="11">
        <f t="shared" si="22"/>
        <v>25.900000000000002</v>
      </c>
      <c r="BV17" s="11">
        <f t="shared" si="23"/>
        <v>21.6</v>
      </c>
      <c r="BW17" s="11">
        <f t="shared" si="24"/>
        <v>76.100000000000009</v>
      </c>
      <c r="BX17" s="11">
        <f t="shared" si="25"/>
        <v>13.2</v>
      </c>
      <c r="BY17" s="11">
        <f t="shared" si="26"/>
        <v>50.5</v>
      </c>
      <c r="BZ17" s="11">
        <f t="shared" si="27"/>
        <v>126.60000000000001</v>
      </c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27"/>
      <c r="CV17" s="40" t="str">
        <f t="shared" si="28"/>
        <v/>
      </c>
      <c r="CW17" s="40" t="str">
        <f t="shared" si="29"/>
        <v/>
      </c>
      <c r="CX17" s="40" t="str">
        <f t="shared" si="30"/>
        <v/>
      </c>
      <c r="CY17" s="40" t="str">
        <f t="shared" si="31"/>
        <v/>
      </c>
      <c r="CZ17" s="40" t="str">
        <f t="shared" si="32"/>
        <v/>
      </c>
      <c r="DA17" s="40" t="str">
        <f t="shared" si="33"/>
        <v/>
      </c>
      <c r="DB17" s="40" t="str">
        <f t="shared" si="34"/>
        <v/>
      </c>
      <c r="DC17" s="40" t="str">
        <f t="shared" si="35"/>
        <v/>
      </c>
      <c r="DD17" s="51" t="str">
        <f t="shared" si="36"/>
        <v/>
      </c>
      <c r="DE17" s="51" t="str">
        <f t="shared" si="37"/>
        <v/>
      </c>
      <c r="DF17" s="51" t="str">
        <f t="shared" si="38"/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 t="shared" si="39"/>
        <v/>
      </c>
      <c r="EB17" s="40" t="str">
        <f t="shared" si="40"/>
        <v/>
      </c>
      <c r="EC17" s="40" t="str">
        <f t="shared" si="41"/>
        <v/>
      </c>
      <c r="ED17" s="40" t="str">
        <f t="shared" si="42"/>
        <v/>
      </c>
      <c r="EE17" s="40" t="str">
        <f t="shared" si="43"/>
        <v/>
      </c>
      <c r="EF17" s="40" t="str">
        <f t="shared" si="44"/>
        <v/>
      </c>
      <c r="EG17" s="40" t="str">
        <f t="shared" si="45"/>
        <v/>
      </c>
      <c r="EH17" s="40" t="str">
        <f t="shared" si="46"/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 t="shared" si="47"/>
        <v/>
      </c>
      <c r="FD17" s="11" t="str">
        <f t="shared" si="48"/>
        <v/>
      </c>
      <c r="FE17" s="11" t="str">
        <f t="shared" si="49"/>
        <v/>
      </c>
      <c r="FF17" s="11" t="str">
        <f t="shared" si="50"/>
        <v/>
      </c>
      <c r="FG17" s="11" t="str">
        <f t="shared" si="51"/>
        <v/>
      </c>
      <c r="FH17" s="11" t="str">
        <f t="shared" si="52"/>
        <v/>
      </c>
      <c r="FI17" s="11" t="str">
        <f t="shared" si="53"/>
        <v/>
      </c>
      <c r="FJ17" s="11" t="str">
        <f t="shared" si="54"/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 t="shared" si="55"/>
        <v/>
      </c>
      <c r="GF17" s="40" t="str">
        <f t="shared" si="56"/>
        <v/>
      </c>
      <c r="GG17" s="40" t="str">
        <f t="shared" si="57"/>
        <v/>
      </c>
      <c r="GH17" s="40" t="str">
        <f t="shared" si="58"/>
        <v/>
      </c>
      <c r="GI17" s="40" t="str">
        <f t="shared" si="59"/>
        <v/>
      </c>
      <c r="GJ17" s="40" t="str">
        <f t="shared" si="60"/>
        <v/>
      </c>
      <c r="GK17" s="40" t="str">
        <f t="shared" si="61"/>
        <v/>
      </c>
      <c r="GL17" s="40" t="str">
        <f t="shared" si="62"/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 t="shared" si="63"/>
        <v/>
      </c>
      <c r="HH17" s="11" t="str">
        <f t="shared" si="64"/>
        <v/>
      </c>
      <c r="HI17" s="11" t="str">
        <f t="shared" si="65"/>
        <v/>
      </c>
      <c r="HJ17" s="11" t="str">
        <f t="shared" si="66"/>
        <v/>
      </c>
      <c r="HK17" s="11" t="str">
        <f t="shared" si="67"/>
        <v/>
      </c>
      <c r="HL17" s="11" t="str">
        <f t="shared" si="68"/>
        <v/>
      </c>
      <c r="HM17" s="11" t="str">
        <f t="shared" si="69"/>
        <v/>
      </c>
      <c r="HN17" s="11" t="str">
        <f t="shared" si="70"/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 t="shared" si="71"/>
        <v/>
      </c>
      <c r="IJ17" s="40" t="str">
        <f t="shared" si="72"/>
        <v/>
      </c>
      <c r="IK17" s="40" t="str">
        <f t="shared" si="73"/>
        <v/>
      </c>
      <c r="IL17" s="40" t="str">
        <f t="shared" si="74"/>
        <v/>
      </c>
      <c r="IM17" s="40" t="str">
        <f t="shared" si="75"/>
        <v/>
      </c>
      <c r="IN17" s="40" t="str">
        <f t="shared" si="76"/>
        <v/>
      </c>
      <c r="IO17" s="40" t="str">
        <f t="shared" si="77"/>
        <v/>
      </c>
      <c r="IP17" s="40" t="str">
        <f t="shared" si="78"/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 t="shared" si="79"/>
        <v/>
      </c>
      <c r="JL17" s="11" t="str">
        <f t="shared" si="80"/>
        <v/>
      </c>
      <c r="JM17" s="11" t="str">
        <f t="shared" si="81"/>
        <v/>
      </c>
      <c r="JN17" s="11" t="str">
        <f t="shared" si="82"/>
        <v/>
      </c>
      <c r="JO17" s="11" t="str">
        <f t="shared" si="83"/>
        <v/>
      </c>
      <c r="JP17" s="11" t="str">
        <f t="shared" si="84"/>
        <v/>
      </c>
      <c r="JQ17" s="11" t="str">
        <f t="shared" si="85"/>
        <v/>
      </c>
      <c r="JR17" s="11" t="str">
        <f t="shared" si="86"/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 t="shared" si="87"/>
        <v/>
      </c>
      <c r="KN17" s="40" t="str">
        <f t="shared" si="88"/>
        <v/>
      </c>
      <c r="KO17" s="40" t="str">
        <f t="shared" si="89"/>
        <v/>
      </c>
      <c r="KP17" s="40" t="str">
        <f t="shared" si="90"/>
        <v/>
      </c>
      <c r="KQ17" s="40" t="str">
        <f t="shared" si="91"/>
        <v/>
      </c>
      <c r="KR17" s="40" t="str">
        <f t="shared" si="92"/>
        <v/>
      </c>
      <c r="KS17" s="40" t="str">
        <f t="shared" si="93"/>
        <v/>
      </c>
      <c r="KT17" s="40" t="str">
        <f t="shared" si="94"/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 t="shared" si="95"/>
        <v/>
      </c>
      <c r="LP17" s="11" t="str">
        <f t="shared" si="96"/>
        <v/>
      </c>
      <c r="LQ17" s="11" t="str">
        <f t="shared" si="97"/>
        <v/>
      </c>
      <c r="LR17" s="11" t="str">
        <f t="shared" si="98"/>
        <v/>
      </c>
      <c r="LS17" s="11" t="str">
        <f t="shared" si="99"/>
        <v/>
      </c>
      <c r="LT17" s="11" t="str">
        <f t="shared" si="100"/>
        <v/>
      </c>
      <c r="LU17" s="11" t="str">
        <f t="shared" si="101"/>
        <v/>
      </c>
      <c r="LV17" s="11" t="str">
        <f t="shared" si="102"/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 t="shared" si="103"/>
        <v/>
      </c>
      <c r="MR17" s="40" t="str">
        <f t="shared" si="104"/>
        <v/>
      </c>
      <c r="MS17" s="40" t="str">
        <f t="shared" si="105"/>
        <v/>
      </c>
      <c r="MT17" s="40" t="str">
        <f t="shared" si="106"/>
        <v/>
      </c>
      <c r="MU17" s="40" t="str">
        <f t="shared" si="107"/>
        <v/>
      </c>
      <c r="MV17" s="40" t="str">
        <f t="shared" si="108"/>
        <v/>
      </c>
      <c r="MW17" s="40" t="str">
        <f t="shared" si="109"/>
        <v/>
      </c>
      <c r="MX17" s="40" t="str">
        <f t="shared" si="110"/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 t="shared" si="111"/>
        <v/>
      </c>
      <c r="NT17" s="11" t="str">
        <f t="shared" si="112"/>
        <v/>
      </c>
      <c r="NU17" s="11" t="str">
        <f t="shared" si="113"/>
        <v/>
      </c>
      <c r="NV17" s="11" t="str">
        <f t="shared" si="114"/>
        <v/>
      </c>
      <c r="NW17" s="11" t="str">
        <f t="shared" si="115"/>
        <v/>
      </c>
      <c r="NX17" s="11" t="str">
        <f t="shared" si="116"/>
        <v/>
      </c>
      <c r="NY17" s="11" t="str">
        <f t="shared" si="117"/>
        <v/>
      </c>
      <c r="NZ17" s="11" t="str">
        <f t="shared" si="118"/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 t="shared" si="119"/>
        <v/>
      </c>
      <c r="OV17" s="40" t="str">
        <f t="shared" si="120"/>
        <v/>
      </c>
      <c r="OW17" s="40" t="str">
        <f t="shared" si="121"/>
        <v/>
      </c>
      <c r="OX17" s="40" t="str">
        <f t="shared" si="122"/>
        <v/>
      </c>
      <c r="OY17" s="40" t="str">
        <f t="shared" si="123"/>
        <v/>
      </c>
      <c r="OZ17" s="40" t="str">
        <f t="shared" si="124"/>
        <v/>
      </c>
      <c r="PA17" s="40" t="str">
        <f t="shared" si="125"/>
        <v/>
      </c>
      <c r="PB17" s="40" t="str">
        <f t="shared" si="126"/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 t="shared" si="127"/>
        <v/>
      </c>
      <c r="PX17" s="11" t="str">
        <f t="shared" si="128"/>
        <v/>
      </c>
      <c r="PY17" s="11" t="str">
        <f t="shared" si="129"/>
        <v/>
      </c>
      <c r="PZ17" s="11" t="str">
        <f t="shared" si="130"/>
        <v/>
      </c>
      <c r="QA17" s="11" t="str">
        <f t="shared" si="131"/>
        <v/>
      </c>
      <c r="QB17" s="11" t="str">
        <f t="shared" si="132"/>
        <v/>
      </c>
      <c r="QC17" s="11" t="str">
        <f t="shared" si="133"/>
        <v/>
      </c>
      <c r="QD17" s="11" t="str">
        <f t="shared" si="134"/>
        <v/>
      </c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40" t="str">
        <f t="shared" si="135"/>
        <v/>
      </c>
      <c r="QZ17" s="40" t="str">
        <f t="shared" si="136"/>
        <v/>
      </c>
      <c r="RA17" s="40" t="str">
        <f t="shared" si="137"/>
        <v/>
      </c>
      <c r="RB17" s="40" t="str">
        <f t="shared" si="138"/>
        <v/>
      </c>
      <c r="RC17" s="40" t="str">
        <f t="shared" si="139"/>
        <v/>
      </c>
      <c r="RD17" s="40" t="str">
        <f t="shared" si="140"/>
        <v/>
      </c>
      <c r="RE17" s="40" t="str">
        <f t="shared" si="141"/>
        <v/>
      </c>
      <c r="RF17" s="40" t="str">
        <f t="shared" si="142"/>
        <v/>
      </c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1" t="str">
        <f t="shared" si="143"/>
        <v/>
      </c>
      <c r="SB17" s="11" t="str">
        <f t="shared" si="144"/>
        <v/>
      </c>
      <c r="SC17" s="11" t="str">
        <f t="shared" si="145"/>
        <v/>
      </c>
      <c r="SD17" s="11" t="str">
        <f t="shared" si="146"/>
        <v/>
      </c>
      <c r="SE17" s="11" t="str">
        <f t="shared" si="147"/>
        <v/>
      </c>
      <c r="SF17" s="11" t="str">
        <f t="shared" si="148"/>
        <v/>
      </c>
      <c r="SG17" s="11" t="str">
        <f t="shared" si="149"/>
        <v/>
      </c>
      <c r="SH17" s="11" t="str">
        <f t="shared" si="150"/>
        <v/>
      </c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40" t="str">
        <f t="shared" si="151"/>
        <v/>
      </c>
      <c r="TD17" s="40" t="str">
        <f t="shared" si="152"/>
        <v/>
      </c>
      <c r="TE17" s="40" t="str">
        <f t="shared" si="153"/>
        <v/>
      </c>
      <c r="TF17" s="40" t="str">
        <f t="shared" si="154"/>
        <v/>
      </c>
      <c r="TG17" s="40" t="str">
        <f t="shared" si="155"/>
        <v/>
      </c>
      <c r="TH17" s="40" t="str">
        <f t="shared" si="156"/>
        <v/>
      </c>
      <c r="TI17" s="40" t="str">
        <f t="shared" si="157"/>
        <v/>
      </c>
      <c r="TJ17" s="40" t="str">
        <f t="shared" si="158"/>
        <v/>
      </c>
      <c r="TK17" s="26">
        <f t="shared" si="159"/>
        <v>9.4</v>
      </c>
      <c r="TL17" s="26">
        <f t="shared" si="160"/>
        <v>3.4</v>
      </c>
      <c r="TM17" s="26">
        <f t="shared" si="161"/>
        <v>0.1</v>
      </c>
      <c r="TN17" s="26">
        <f t="shared" si="162"/>
        <v>0</v>
      </c>
      <c r="TO17" s="26">
        <f t="shared" si="163"/>
        <v>9.4</v>
      </c>
      <c r="TP17" s="26">
        <f t="shared" si="164"/>
        <v>3.4</v>
      </c>
      <c r="TQ17" s="26">
        <f t="shared" si="165"/>
        <v>0.4</v>
      </c>
      <c r="TR17" s="26">
        <f t="shared" si="166"/>
        <v>0</v>
      </c>
      <c r="TS17" s="26">
        <f t="shared" si="167"/>
        <v>9.3000000000000007</v>
      </c>
      <c r="TT17" s="26">
        <f t="shared" si="168"/>
        <v>4</v>
      </c>
      <c r="TU17" s="26">
        <f t="shared" si="169"/>
        <v>0.5</v>
      </c>
      <c r="TV17" s="26">
        <f t="shared" si="170"/>
        <v>0.15</v>
      </c>
      <c r="TW17" s="26">
        <f t="shared" si="171"/>
        <v>9.4499999999999993</v>
      </c>
      <c r="TX17" s="26">
        <f t="shared" si="172"/>
        <v>3</v>
      </c>
      <c r="TY17" s="26">
        <f t="shared" si="173"/>
        <v>0.1</v>
      </c>
      <c r="TZ17" s="26">
        <f t="shared" si="174"/>
        <v>0</v>
      </c>
      <c r="UA17" s="26">
        <f t="shared" si="175"/>
        <v>9.3000000000000007</v>
      </c>
      <c r="UB17" s="26">
        <f t="shared" si="176"/>
        <v>3.6</v>
      </c>
      <c r="UC17" s="26">
        <f t="shared" si="177"/>
        <v>0</v>
      </c>
      <c r="UD17" s="26">
        <f t="shared" si="178"/>
        <v>0</v>
      </c>
      <c r="UE17" s="28" t="s">
        <v>53</v>
      </c>
      <c r="UF17" s="11">
        <f t="shared" si="179"/>
        <v>6.8</v>
      </c>
      <c r="UG17" s="11">
        <f t="shared" si="180"/>
        <v>25.1</v>
      </c>
      <c r="UH17" s="11">
        <f t="shared" si="181"/>
        <v>12.950000000000001</v>
      </c>
      <c r="UI17" s="11">
        <f t="shared" si="182"/>
        <v>10.8</v>
      </c>
      <c r="UJ17" s="11">
        <f t="shared" si="183"/>
        <v>38.050000000000004</v>
      </c>
      <c r="UK17" s="11">
        <f t="shared" si="184"/>
        <v>6.6</v>
      </c>
      <c r="UL17" s="11">
        <f t="shared" si="185"/>
        <v>25.25</v>
      </c>
      <c r="UM17" s="11">
        <f t="shared" si="186"/>
        <v>63.300000000000004</v>
      </c>
    </row>
    <row r="18" spans="1:559" x14ac:dyDescent="0.2">
      <c r="A18" s="4" t="str" cm="1">
        <f t="array" ref="A18">IF(AND(H18&lt;&gt;"",H18&lt;&gt;"No DD"),SUMPRODUCT((H$4:H$28&lt;&gt;"")*(H$4:H$28&lt;&gt;"No DD")*(E$4:E$28&gt;E18))+1,IF(H18="No DD",SUMPRODUCT((H$4:H$28="No DD")*(E$4:E$28&gt;E18))+1+SUMPRODUCT((H$4:H$28&lt;&gt;"")*(H$4:H$28&lt;&gt;"No DD")),""))</f>
        <v/>
      </c>
      <c r="B18" s="5" t="s">
        <v>217</v>
      </c>
      <c r="C18" s="4" t="s">
        <v>6</v>
      </c>
      <c r="D18" s="4">
        <v>2007</v>
      </c>
      <c r="E18" s="9">
        <f t="shared" si="187"/>
        <v>173.90001241000505</v>
      </c>
      <c r="F18" s="3" t="str">
        <f t="shared" si="0"/>
        <v/>
      </c>
      <c r="G18" s="3" t="str">
        <f t="shared" si="1"/>
        <v/>
      </c>
      <c r="H18" s="36" t="str">
        <f t="shared" si="2"/>
        <v/>
      </c>
      <c r="I18" s="3" t="str">
        <f t="shared" si="3"/>
        <v/>
      </c>
      <c r="J18" s="8">
        <f>IF(COUNT(AQ18,BT18,CW18)&gt;0,LARGE((AQ18,BT18,CW18),1),0)</f>
        <v>50.4</v>
      </c>
      <c r="K18" s="8" t="str">
        <f t="shared" si="4"/>
        <v>2024 3rd Domestic Trial</v>
      </c>
      <c r="L18" s="8">
        <f>IF(COUNT(AQ18,BT18,CW18)&gt;1,LARGE((AQ18,BT18,CW18),2),0)</f>
        <v>49.29999999999999</v>
      </c>
      <c r="M18" s="8" t="str">
        <f t="shared" si="5"/>
        <v>2024 Nationals</v>
      </c>
      <c r="N18" s="8">
        <f>IF(COUNT(AR18,BU18,CX18)&gt;0,LARGE((AR18,BU18,CX18),1),0)</f>
        <v>24.4</v>
      </c>
      <c r="O18" s="8" t="str">
        <f t="shared" si="6"/>
        <v>2024 3rd Domestic Trial</v>
      </c>
      <c r="P18" s="8">
        <f t="shared" si="7"/>
        <v>49.800000000000004</v>
      </c>
      <c r="Q18" s="8" t="str">
        <f t="shared" si="8"/>
        <v>2024 3rd Domestic Trial</v>
      </c>
      <c r="R18" s="8" t="str">
        <f t="shared" si="9"/>
        <v/>
      </c>
      <c r="S18" s="11" t="str">
        <f t="shared" si="10"/>
        <v/>
      </c>
      <c r="T18" s="8" t="str">
        <f t="shared" si="11"/>
        <v/>
      </c>
      <c r="U18" s="19">
        <v>18.600000000000001</v>
      </c>
      <c r="V18" s="19">
        <v>6</v>
      </c>
      <c r="W18" s="19">
        <v>0.6</v>
      </c>
      <c r="X18" s="19">
        <v>0</v>
      </c>
      <c r="Y18" s="19">
        <v>18.100000000000001</v>
      </c>
      <c r="Z18" s="19">
        <v>6</v>
      </c>
      <c r="AA18" s="19">
        <v>0.8</v>
      </c>
      <c r="AB18" s="19">
        <v>0</v>
      </c>
      <c r="AC18" s="19">
        <v>18.100000000000001</v>
      </c>
      <c r="AD18" s="19">
        <v>6</v>
      </c>
      <c r="AE18" s="19">
        <v>0</v>
      </c>
      <c r="AF18" s="19">
        <v>0</v>
      </c>
      <c r="AG18" s="19"/>
      <c r="AH18" s="19"/>
      <c r="AI18" s="19"/>
      <c r="AJ18" s="19"/>
      <c r="AK18" s="19"/>
      <c r="AL18" s="19"/>
      <c r="AM18" s="19"/>
      <c r="AN18" s="19"/>
      <c r="AO18" s="27"/>
      <c r="AP18" s="40">
        <f t="shared" si="12"/>
        <v>12</v>
      </c>
      <c r="AQ18" s="40">
        <f t="shared" si="13"/>
        <v>47.300000000000004</v>
      </c>
      <c r="AR18" s="40">
        <f t="shared" si="14"/>
        <v>24.1</v>
      </c>
      <c r="AS18" s="40">
        <f t="shared" si="15"/>
        <v>18</v>
      </c>
      <c r="AT18" s="40">
        <f t="shared" si="16"/>
        <v>71.400000000000006</v>
      </c>
      <c r="AU18" s="40" t="str">
        <f t="shared" si="17"/>
        <v/>
      </c>
      <c r="AV18" s="40" t="str">
        <f t="shared" si="18"/>
        <v/>
      </c>
      <c r="AW18" s="40">
        <f t="shared" si="19"/>
        <v>71.400000000000006</v>
      </c>
      <c r="AX18" s="18">
        <v>18.2</v>
      </c>
      <c r="AY18" s="18">
        <v>6</v>
      </c>
      <c r="AZ18" s="18">
        <v>0.2</v>
      </c>
      <c r="BA18" s="18">
        <v>0</v>
      </c>
      <c r="BB18" s="18">
        <v>18.899999999999999</v>
      </c>
      <c r="BC18" s="18">
        <v>6.4</v>
      </c>
      <c r="BD18" s="18">
        <v>0</v>
      </c>
      <c r="BE18" s="18">
        <v>0</v>
      </c>
      <c r="BF18" s="18">
        <v>18.2</v>
      </c>
      <c r="BG18" s="18">
        <v>6</v>
      </c>
      <c r="BH18" s="18">
        <v>0</v>
      </c>
      <c r="BI18" s="18">
        <v>0</v>
      </c>
      <c r="BJ18" s="18">
        <v>17.899999999999999</v>
      </c>
      <c r="BK18" s="18">
        <v>6</v>
      </c>
      <c r="BL18" s="18">
        <v>0.8</v>
      </c>
      <c r="BM18" s="18">
        <v>0</v>
      </c>
      <c r="BN18" s="18">
        <v>18.8</v>
      </c>
      <c r="BO18" s="18">
        <v>6.4</v>
      </c>
      <c r="BP18" s="18">
        <v>0</v>
      </c>
      <c r="BQ18" s="18">
        <v>0</v>
      </c>
      <c r="BR18" s="28"/>
      <c r="BS18" s="11">
        <f t="shared" si="20"/>
        <v>12.4</v>
      </c>
      <c r="BT18" s="11">
        <f t="shared" si="21"/>
        <v>49.29999999999999</v>
      </c>
      <c r="BU18" s="11">
        <f t="shared" si="22"/>
        <v>24.2</v>
      </c>
      <c r="BV18" s="11">
        <f t="shared" si="23"/>
        <v>18.399999999999999</v>
      </c>
      <c r="BW18" s="11">
        <f t="shared" si="24"/>
        <v>73.499999999999986</v>
      </c>
      <c r="BX18" s="11">
        <f t="shared" si="25"/>
        <v>12.4</v>
      </c>
      <c r="BY18" s="11">
        <f t="shared" si="26"/>
        <v>48.300000000000004</v>
      </c>
      <c r="BZ18" s="11">
        <f t="shared" si="27"/>
        <v>121.79999999999998</v>
      </c>
      <c r="CA18" s="19">
        <v>18.7</v>
      </c>
      <c r="CB18" s="19">
        <v>6.8</v>
      </c>
      <c r="CC18" s="19">
        <v>0</v>
      </c>
      <c r="CD18" s="19">
        <v>0</v>
      </c>
      <c r="CE18" s="19">
        <v>18.5</v>
      </c>
      <c r="CF18" s="19">
        <v>6.4</v>
      </c>
      <c r="CG18" s="19">
        <v>0</v>
      </c>
      <c r="CH18" s="19">
        <v>0</v>
      </c>
      <c r="CI18" s="19">
        <v>18.399999999999999</v>
      </c>
      <c r="CJ18" s="19">
        <v>6</v>
      </c>
      <c r="CK18" s="19">
        <v>0</v>
      </c>
      <c r="CL18" s="19">
        <v>0</v>
      </c>
      <c r="CM18" s="19">
        <v>18.8</v>
      </c>
      <c r="CN18" s="19">
        <v>6.8</v>
      </c>
      <c r="CO18" s="19">
        <v>0.6</v>
      </c>
      <c r="CP18" s="19">
        <v>0</v>
      </c>
      <c r="CQ18" s="19">
        <v>18.600000000000001</v>
      </c>
      <c r="CR18" s="19">
        <v>6.4</v>
      </c>
      <c r="CS18" s="19">
        <v>0.2</v>
      </c>
      <c r="CT18" s="19">
        <v>0</v>
      </c>
      <c r="CU18" s="27"/>
      <c r="CV18" s="40">
        <f t="shared" si="28"/>
        <v>13.2</v>
      </c>
      <c r="CW18" s="40">
        <f t="shared" si="29"/>
        <v>50.4</v>
      </c>
      <c r="CX18" s="40">
        <f t="shared" si="30"/>
        <v>24.4</v>
      </c>
      <c r="CY18" s="40">
        <f t="shared" si="31"/>
        <v>19.2</v>
      </c>
      <c r="CZ18" s="40">
        <f t="shared" si="32"/>
        <v>74.8</v>
      </c>
      <c r="DA18" s="40">
        <f t="shared" si="33"/>
        <v>13.2</v>
      </c>
      <c r="DB18" s="40">
        <f t="shared" si="34"/>
        <v>49.800000000000004</v>
      </c>
      <c r="DC18" s="40">
        <f t="shared" si="35"/>
        <v>124.6</v>
      </c>
      <c r="DD18" s="51" t="str">
        <f t="shared" si="36"/>
        <v/>
      </c>
      <c r="DE18" s="51" t="str">
        <f t="shared" si="37"/>
        <v/>
      </c>
      <c r="DF18" s="51" t="str">
        <f t="shared" si="38"/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 t="shared" si="39"/>
        <v/>
      </c>
      <c r="EB18" s="40" t="str">
        <f t="shared" si="40"/>
        <v/>
      </c>
      <c r="EC18" s="40" t="str">
        <f t="shared" si="41"/>
        <v/>
      </c>
      <c r="ED18" s="40" t="str">
        <f t="shared" si="42"/>
        <v/>
      </c>
      <c r="EE18" s="40" t="str">
        <f t="shared" si="43"/>
        <v/>
      </c>
      <c r="EF18" s="40" t="str">
        <f t="shared" si="44"/>
        <v/>
      </c>
      <c r="EG18" s="40" t="str">
        <f t="shared" si="45"/>
        <v/>
      </c>
      <c r="EH18" s="40" t="str">
        <f t="shared" si="46"/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 t="shared" si="47"/>
        <v/>
      </c>
      <c r="FD18" s="11" t="str">
        <f t="shared" si="48"/>
        <v/>
      </c>
      <c r="FE18" s="11" t="str">
        <f t="shared" si="49"/>
        <v/>
      </c>
      <c r="FF18" s="11" t="str">
        <f t="shared" si="50"/>
        <v/>
      </c>
      <c r="FG18" s="11" t="str">
        <f t="shared" si="51"/>
        <v/>
      </c>
      <c r="FH18" s="11" t="str">
        <f t="shared" si="52"/>
        <v/>
      </c>
      <c r="FI18" s="11" t="str">
        <f t="shared" si="53"/>
        <v/>
      </c>
      <c r="FJ18" s="11" t="str">
        <f t="shared" si="54"/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 t="shared" si="55"/>
        <v/>
      </c>
      <c r="GF18" s="40" t="str">
        <f t="shared" si="56"/>
        <v/>
      </c>
      <c r="GG18" s="40" t="str">
        <f t="shared" si="57"/>
        <v/>
      </c>
      <c r="GH18" s="40" t="str">
        <f t="shared" si="58"/>
        <v/>
      </c>
      <c r="GI18" s="40" t="str">
        <f t="shared" si="59"/>
        <v/>
      </c>
      <c r="GJ18" s="40" t="str">
        <f t="shared" si="60"/>
        <v/>
      </c>
      <c r="GK18" s="40" t="str">
        <f t="shared" si="61"/>
        <v/>
      </c>
      <c r="GL18" s="40" t="str">
        <f t="shared" si="62"/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 t="shared" si="63"/>
        <v/>
      </c>
      <c r="HH18" s="11" t="str">
        <f t="shared" si="64"/>
        <v/>
      </c>
      <c r="HI18" s="11" t="str">
        <f t="shared" si="65"/>
        <v/>
      </c>
      <c r="HJ18" s="11" t="str">
        <f t="shared" si="66"/>
        <v/>
      </c>
      <c r="HK18" s="11" t="str">
        <f t="shared" si="67"/>
        <v/>
      </c>
      <c r="HL18" s="11" t="str">
        <f t="shared" si="68"/>
        <v/>
      </c>
      <c r="HM18" s="11" t="str">
        <f t="shared" si="69"/>
        <v/>
      </c>
      <c r="HN18" s="11" t="str">
        <f t="shared" si="70"/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 t="shared" si="71"/>
        <v/>
      </c>
      <c r="IJ18" s="40" t="str">
        <f t="shared" si="72"/>
        <v/>
      </c>
      <c r="IK18" s="40" t="str">
        <f t="shared" si="73"/>
        <v/>
      </c>
      <c r="IL18" s="40" t="str">
        <f t="shared" si="74"/>
        <v/>
      </c>
      <c r="IM18" s="40" t="str">
        <f t="shared" si="75"/>
        <v/>
      </c>
      <c r="IN18" s="40" t="str">
        <f t="shared" si="76"/>
        <v/>
      </c>
      <c r="IO18" s="40" t="str">
        <f t="shared" si="77"/>
        <v/>
      </c>
      <c r="IP18" s="40" t="str">
        <f t="shared" si="78"/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 t="shared" si="79"/>
        <v/>
      </c>
      <c r="JL18" s="11" t="str">
        <f t="shared" si="80"/>
        <v/>
      </c>
      <c r="JM18" s="11" t="str">
        <f t="shared" si="81"/>
        <v/>
      </c>
      <c r="JN18" s="11" t="str">
        <f t="shared" si="82"/>
        <v/>
      </c>
      <c r="JO18" s="11" t="str">
        <f t="shared" si="83"/>
        <v/>
      </c>
      <c r="JP18" s="11" t="str">
        <f t="shared" si="84"/>
        <v/>
      </c>
      <c r="JQ18" s="11" t="str">
        <f t="shared" si="85"/>
        <v/>
      </c>
      <c r="JR18" s="11" t="str">
        <f t="shared" si="86"/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 t="shared" si="87"/>
        <v/>
      </c>
      <c r="KN18" s="40" t="str">
        <f t="shared" si="88"/>
        <v/>
      </c>
      <c r="KO18" s="40" t="str">
        <f t="shared" si="89"/>
        <v/>
      </c>
      <c r="KP18" s="40" t="str">
        <f t="shared" si="90"/>
        <v/>
      </c>
      <c r="KQ18" s="40" t="str">
        <f t="shared" si="91"/>
        <v/>
      </c>
      <c r="KR18" s="40" t="str">
        <f t="shared" si="92"/>
        <v/>
      </c>
      <c r="KS18" s="40" t="str">
        <f t="shared" si="93"/>
        <v/>
      </c>
      <c r="KT18" s="40" t="str">
        <f t="shared" si="94"/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 t="shared" si="95"/>
        <v/>
      </c>
      <c r="LP18" s="11" t="str">
        <f t="shared" si="96"/>
        <v/>
      </c>
      <c r="LQ18" s="11" t="str">
        <f t="shared" si="97"/>
        <v/>
      </c>
      <c r="LR18" s="11" t="str">
        <f t="shared" si="98"/>
        <v/>
      </c>
      <c r="LS18" s="11" t="str">
        <f t="shared" si="99"/>
        <v/>
      </c>
      <c r="LT18" s="11" t="str">
        <f t="shared" si="100"/>
        <v/>
      </c>
      <c r="LU18" s="11" t="str">
        <f t="shared" si="101"/>
        <v/>
      </c>
      <c r="LV18" s="11" t="str">
        <f t="shared" si="102"/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 t="shared" si="103"/>
        <v/>
      </c>
      <c r="MR18" s="40" t="str">
        <f t="shared" si="104"/>
        <v/>
      </c>
      <c r="MS18" s="40" t="str">
        <f t="shared" si="105"/>
        <v/>
      </c>
      <c r="MT18" s="40" t="str">
        <f t="shared" si="106"/>
        <v/>
      </c>
      <c r="MU18" s="40" t="str">
        <f t="shared" si="107"/>
        <v/>
      </c>
      <c r="MV18" s="40" t="str">
        <f t="shared" si="108"/>
        <v/>
      </c>
      <c r="MW18" s="40" t="str">
        <f t="shared" si="109"/>
        <v/>
      </c>
      <c r="MX18" s="40" t="str">
        <f t="shared" si="110"/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 t="shared" si="111"/>
        <v/>
      </c>
      <c r="NT18" s="11" t="str">
        <f t="shared" si="112"/>
        <v/>
      </c>
      <c r="NU18" s="11" t="str">
        <f t="shared" si="113"/>
        <v/>
      </c>
      <c r="NV18" s="11" t="str">
        <f t="shared" si="114"/>
        <v/>
      </c>
      <c r="NW18" s="11" t="str">
        <f t="shared" si="115"/>
        <v/>
      </c>
      <c r="NX18" s="11" t="str">
        <f t="shared" si="116"/>
        <v/>
      </c>
      <c r="NY18" s="11" t="str">
        <f t="shared" si="117"/>
        <v/>
      </c>
      <c r="NZ18" s="11" t="str">
        <f t="shared" si="118"/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 t="shared" si="119"/>
        <v/>
      </c>
      <c r="OV18" s="40" t="str">
        <f t="shared" si="120"/>
        <v/>
      </c>
      <c r="OW18" s="40" t="str">
        <f t="shared" si="121"/>
        <v/>
      </c>
      <c r="OX18" s="40" t="str">
        <f t="shared" si="122"/>
        <v/>
      </c>
      <c r="OY18" s="40" t="str">
        <f t="shared" si="123"/>
        <v/>
      </c>
      <c r="OZ18" s="40" t="str">
        <f t="shared" si="124"/>
        <v/>
      </c>
      <c r="PA18" s="40" t="str">
        <f t="shared" si="125"/>
        <v/>
      </c>
      <c r="PB18" s="40" t="str">
        <f t="shared" si="126"/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 t="shared" si="127"/>
        <v/>
      </c>
      <c r="PX18" s="11" t="str">
        <f t="shared" si="128"/>
        <v/>
      </c>
      <c r="PY18" s="11" t="str">
        <f t="shared" si="129"/>
        <v/>
      </c>
      <c r="PZ18" s="11" t="str">
        <f t="shared" si="130"/>
        <v/>
      </c>
      <c r="QA18" s="11" t="str">
        <f t="shared" si="131"/>
        <v/>
      </c>
      <c r="QB18" s="11" t="str">
        <f t="shared" si="132"/>
        <v/>
      </c>
      <c r="QC18" s="11" t="str">
        <f t="shared" si="133"/>
        <v/>
      </c>
      <c r="QD18" s="11" t="str">
        <f t="shared" si="134"/>
        <v/>
      </c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40" t="str">
        <f t="shared" si="135"/>
        <v/>
      </c>
      <c r="QZ18" s="40" t="str">
        <f t="shared" si="136"/>
        <v/>
      </c>
      <c r="RA18" s="40" t="str">
        <f t="shared" si="137"/>
        <v/>
      </c>
      <c r="RB18" s="40" t="str">
        <f t="shared" si="138"/>
        <v/>
      </c>
      <c r="RC18" s="40" t="str">
        <f t="shared" si="139"/>
        <v/>
      </c>
      <c r="RD18" s="40" t="str">
        <f t="shared" si="140"/>
        <v/>
      </c>
      <c r="RE18" s="40" t="str">
        <f t="shared" si="141"/>
        <v/>
      </c>
      <c r="RF18" s="40" t="str">
        <f t="shared" si="142"/>
        <v/>
      </c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1" t="str">
        <f t="shared" si="143"/>
        <v/>
      </c>
      <c r="SB18" s="11" t="str">
        <f t="shared" si="144"/>
        <v/>
      </c>
      <c r="SC18" s="11" t="str">
        <f t="shared" si="145"/>
        <v/>
      </c>
      <c r="SD18" s="11" t="str">
        <f t="shared" si="146"/>
        <v/>
      </c>
      <c r="SE18" s="11" t="str">
        <f t="shared" si="147"/>
        <v/>
      </c>
      <c r="SF18" s="11" t="str">
        <f t="shared" si="148"/>
        <v/>
      </c>
      <c r="SG18" s="11" t="str">
        <f t="shared" si="149"/>
        <v/>
      </c>
      <c r="SH18" s="11" t="str">
        <f t="shared" si="150"/>
        <v/>
      </c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40" t="str">
        <f t="shared" si="151"/>
        <v/>
      </c>
      <c r="TD18" s="40" t="str">
        <f t="shared" si="152"/>
        <v/>
      </c>
      <c r="TE18" s="40" t="str">
        <f t="shared" si="153"/>
        <v/>
      </c>
      <c r="TF18" s="40" t="str">
        <f t="shared" si="154"/>
        <v/>
      </c>
      <c r="TG18" s="40" t="str">
        <f t="shared" si="155"/>
        <v/>
      </c>
      <c r="TH18" s="40" t="str">
        <f t="shared" si="156"/>
        <v/>
      </c>
      <c r="TI18" s="40" t="str">
        <f t="shared" si="157"/>
        <v/>
      </c>
      <c r="TJ18" s="40" t="str">
        <f t="shared" si="158"/>
        <v/>
      </c>
      <c r="TK18" s="26">
        <f t="shared" si="159"/>
        <v>18.45</v>
      </c>
      <c r="TL18" s="26">
        <f t="shared" si="160"/>
        <v>6.4</v>
      </c>
      <c r="TM18" s="26">
        <f t="shared" si="161"/>
        <v>0.1</v>
      </c>
      <c r="TN18" s="26">
        <f t="shared" si="162"/>
        <v>0</v>
      </c>
      <c r="TO18" s="26">
        <f t="shared" si="163"/>
        <v>18.7</v>
      </c>
      <c r="TP18" s="26">
        <f t="shared" si="164"/>
        <v>6.4</v>
      </c>
      <c r="TQ18" s="26">
        <f t="shared" si="165"/>
        <v>0</v>
      </c>
      <c r="TR18" s="26">
        <f t="shared" si="166"/>
        <v>0</v>
      </c>
      <c r="TS18" s="26">
        <f t="shared" si="167"/>
        <v>18.299999999999997</v>
      </c>
      <c r="TT18" s="26">
        <f t="shared" si="168"/>
        <v>6</v>
      </c>
      <c r="TU18" s="26">
        <f t="shared" si="169"/>
        <v>0</v>
      </c>
      <c r="TV18" s="26">
        <f t="shared" si="170"/>
        <v>0</v>
      </c>
      <c r="TW18" s="26">
        <f t="shared" si="171"/>
        <v>18.350000000000001</v>
      </c>
      <c r="TX18" s="26">
        <f t="shared" si="172"/>
        <v>6.4</v>
      </c>
      <c r="TY18" s="26">
        <f t="shared" si="173"/>
        <v>0.7</v>
      </c>
      <c r="TZ18" s="26">
        <f t="shared" si="174"/>
        <v>0</v>
      </c>
      <c r="UA18" s="26">
        <f t="shared" si="175"/>
        <v>18.700000000000003</v>
      </c>
      <c r="UB18" s="26">
        <f t="shared" si="176"/>
        <v>6.4</v>
      </c>
      <c r="UC18" s="26">
        <f t="shared" si="177"/>
        <v>0.1</v>
      </c>
      <c r="UD18" s="26">
        <f t="shared" si="178"/>
        <v>0</v>
      </c>
      <c r="UE18" s="28" t="s">
        <v>53</v>
      </c>
      <c r="UF18" s="11">
        <f t="shared" si="179"/>
        <v>12.8</v>
      </c>
      <c r="UG18" s="11">
        <f t="shared" si="180"/>
        <v>49.849999999999994</v>
      </c>
      <c r="UH18" s="11">
        <f t="shared" si="181"/>
        <v>24.299999999999997</v>
      </c>
      <c r="UI18" s="11">
        <f t="shared" si="182"/>
        <v>18.8</v>
      </c>
      <c r="UJ18" s="11">
        <f t="shared" si="183"/>
        <v>74.149999999999991</v>
      </c>
      <c r="UK18" s="11">
        <f t="shared" si="184"/>
        <v>12.8</v>
      </c>
      <c r="UL18" s="11">
        <f t="shared" si="185"/>
        <v>49.050000000000004</v>
      </c>
      <c r="UM18" s="11">
        <f t="shared" si="186"/>
        <v>123.19999999999999</v>
      </c>
    </row>
    <row r="19" spans="1:559" x14ac:dyDescent="0.2">
      <c r="A19" s="4" t="str" cm="1">
        <f t="array" ref="A19">IF(AND(H19&lt;&gt;"",H19&lt;&gt;"No DD"),SUMPRODUCT((H$4:H$28&lt;&gt;"")*(H$4:H$28&lt;&gt;"No DD")*(E$4:E$28&gt;E19))+1,IF(H19="No DD",SUMPRODUCT((H$4:H$28="No DD")*(E$4:E$28&gt;E19))+1+SUMPRODUCT((H$4:H$28&lt;&gt;"")*(H$4:H$28&lt;&gt;"No DD")),""))</f>
        <v/>
      </c>
      <c r="B19" s="5" t="s">
        <v>216</v>
      </c>
      <c r="C19" s="4" t="s">
        <v>6</v>
      </c>
      <c r="D19" s="4">
        <v>2007</v>
      </c>
      <c r="E19" s="9">
        <f t="shared" si="187"/>
        <v>172.60001228000505</v>
      </c>
      <c r="F19" s="3" t="str">
        <f t="shared" si="0"/>
        <v/>
      </c>
      <c r="G19" s="3" t="str">
        <f t="shared" si="1"/>
        <v/>
      </c>
      <c r="H19" s="36" t="str">
        <f t="shared" si="2"/>
        <v/>
      </c>
      <c r="I19" s="3" t="str">
        <f t="shared" si="3"/>
        <v/>
      </c>
      <c r="J19" s="8">
        <f>IF(COUNT(AQ19,BT19,CW19)&gt;0,LARGE((AQ19,BT19,CW19),1),0)</f>
        <v>50.4</v>
      </c>
      <c r="K19" s="8" t="str">
        <f t="shared" si="4"/>
        <v>2024 3rd Domestic Trial</v>
      </c>
      <c r="L19" s="8">
        <f>IF(COUNT(AQ19,BT19,CW19)&gt;1,LARGE((AQ19,BT19,CW19),2),0)</f>
        <v>48.6</v>
      </c>
      <c r="M19" s="8" t="str">
        <f t="shared" si="5"/>
        <v>2024 Nationals</v>
      </c>
      <c r="N19" s="8">
        <f>IF(COUNT(AR19,BU19,CX19)&gt;0,LARGE((AR19,BU19,CX19),1),0)</f>
        <v>23.800000000000004</v>
      </c>
      <c r="O19" s="8" t="str">
        <f t="shared" si="6"/>
        <v>2024 3rd Domestic Trial</v>
      </c>
      <c r="P19" s="8">
        <f t="shared" si="7"/>
        <v>49.800000000000004</v>
      </c>
      <c r="Q19" s="8" t="str">
        <f t="shared" si="8"/>
        <v>2024 3rd Domestic Trial</v>
      </c>
      <c r="R19" s="8" t="str">
        <f t="shared" si="9"/>
        <v/>
      </c>
      <c r="S19" s="11" t="str">
        <f t="shared" si="10"/>
        <v/>
      </c>
      <c r="T19" s="8" t="str">
        <f t="shared" si="11"/>
        <v/>
      </c>
      <c r="U19" s="19">
        <v>16.399999999999999</v>
      </c>
      <c r="V19" s="19">
        <v>6.8</v>
      </c>
      <c r="W19" s="19">
        <v>0.8</v>
      </c>
      <c r="X19" s="19">
        <v>0</v>
      </c>
      <c r="Y19" s="19">
        <v>18</v>
      </c>
      <c r="Z19" s="19">
        <v>3.4</v>
      </c>
      <c r="AA19" s="19">
        <v>1.8</v>
      </c>
      <c r="AB19" s="19">
        <v>0</v>
      </c>
      <c r="AC19" s="19">
        <v>18</v>
      </c>
      <c r="AD19" s="19">
        <v>4.4000000000000004</v>
      </c>
      <c r="AE19" s="19">
        <v>1.8</v>
      </c>
      <c r="AF19" s="19">
        <v>0</v>
      </c>
      <c r="AG19" s="19"/>
      <c r="AH19" s="19"/>
      <c r="AI19" s="19"/>
      <c r="AJ19" s="19"/>
      <c r="AK19" s="19"/>
      <c r="AL19" s="19"/>
      <c r="AM19" s="19"/>
      <c r="AN19" s="19"/>
      <c r="AO19" s="27"/>
      <c r="AP19" s="40">
        <f t="shared" si="12"/>
        <v>10.199999999999999</v>
      </c>
      <c r="AQ19" s="40">
        <f t="shared" si="13"/>
        <v>42.000000000000007</v>
      </c>
      <c r="AR19" s="40">
        <f t="shared" si="14"/>
        <v>20.599999999999998</v>
      </c>
      <c r="AS19" s="40">
        <f t="shared" si="15"/>
        <v>14.6</v>
      </c>
      <c r="AT19" s="40">
        <f t="shared" si="16"/>
        <v>62.600000000000009</v>
      </c>
      <c r="AU19" s="40" t="str">
        <f t="shared" si="17"/>
        <v/>
      </c>
      <c r="AV19" s="40" t="str">
        <f t="shared" si="18"/>
        <v/>
      </c>
      <c r="AW19" s="40">
        <f t="shared" si="19"/>
        <v>62.600000000000009</v>
      </c>
      <c r="AX19" s="18">
        <v>18.399999999999999</v>
      </c>
      <c r="AY19" s="18">
        <v>6.8</v>
      </c>
      <c r="AZ19" s="18">
        <v>0</v>
      </c>
      <c r="BA19" s="18">
        <v>0</v>
      </c>
      <c r="BB19" s="18">
        <v>18.2</v>
      </c>
      <c r="BC19" s="18">
        <v>5.6</v>
      </c>
      <c r="BD19" s="18">
        <v>0.4</v>
      </c>
      <c r="BE19" s="18">
        <v>0</v>
      </c>
      <c r="BF19" s="18">
        <v>17.2</v>
      </c>
      <c r="BG19" s="18">
        <v>3.2</v>
      </c>
      <c r="BH19" s="18">
        <v>0</v>
      </c>
      <c r="BI19" s="18">
        <v>0</v>
      </c>
      <c r="BJ19" s="18"/>
      <c r="BK19" s="18"/>
      <c r="BL19" s="18"/>
      <c r="BM19" s="18"/>
      <c r="BN19" s="18"/>
      <c r="BO19" s="18"/>
      <c r="BP19" s="18"/>
      <c r="BQ19" s="18"/>
      <c r="BR19" s="28"/>
      <c r="BS19" s="11">
        <f t="shared" si="20"/>
        <v>12.399999999999999</v>
      </c>
      <c r="BT19" s="11">
        <f t="shared" si="21"/>
        <v>48.6</v>
      </c>
      <c r="BU19" s="11">
        <f t="shared" si="22"/>
        <v>20.399999999999999</v>
      </c>
      <c r="BV19" s="11">
        <f t="shared" si="23"/>
        <v>15.599999999999998</v>
      </c>
      <c r="BW19" s="11">
        <f t="shared" si="24"/>
        <v>69</v>
      </c>
      <c r="BX19" s="11" t="str">
        <f t="shared" si="25"/>
        <v/>
      </c>
      <c r="BY19" s="11" t="str">
        <f t="shared" si="26"/>
        <v/>
      </c>
      <c r="BZ19" s="11">
        <f t="shared" si="27"/>
        <v>69</v>
      </c>
      <c r="CA19" s="19">
        <v>18.8</v>
      </c>
      <c r="CB19" s="19">
        <v>6</v>
      </c>
      <c r="CC19" s="19">
        <v>0.2</v>
      </c>
      <c r="CD19" s="19">
        <v>0</v>
      </c>
      <c r="CE19" s="19">
        <v>18.8</v>
      </c>
      <c r="CF19" s="19">
        <v>7.2</v>
      </c>
      <c r="CG19" s="19">
        <v>0.2</v>
      </c>
      <c r="CH19" s="19">
        <v>0</v>
      </c>
      <c r="CI19" s="19">
        <v>18.600000000000001</v>
      </c>
      <c r="CJ19" s="19">
        <v>5.6</v>
      </c>
      <c r="CK19" s="19">
        <v>0.4</v>
      </c>
      <c r="CL19" s="19">
        <v>0</v>
      </c>
      <c r="CM19" s="19">
        <v>19</v>
      </c>
      <c r="CN19" s="19">
        <v>6</v>
      </c>
      <c r="CO19" s="19">
        <v>0</v>
      </c>
      <c r="CP19" s="19">
        <v>0</v>
      </c>
      <c r="CQ19" s="19">
        <v>18.399999999999999</v>
      </c>
      <c r="CR19" s="19">
        <v>7.2</v>
      </c>
      <c r="CS19" s="19">
        <v>0.8</v>
      </c>
      <c r="CT19" s="19">
        <v>0</v>
      </c>
      <c r="CU19" s="27"/>
      <c r="CV19" s="40">
        <f t="shared" si="28"/>
        <v>13.2</v>
      </c>
      <c r="CW19" s="40">
        <f t="shared" si="29"/>
        <v>50.4</v>
      </c>
      <c r="CX19" s="40">
        <f t="shared" si="30"/>
        <v>23.800000000000004</v>
      </c>
      <c r="CY19" s="40">
        <f t="shared" si="31"/>
        <v>18.799999999999997</v>
      </c>
      <c r="CZ19" s="40">
        <f t="shared" si="32"/>
        <v>74.2</v>
      </c>
      <c r="DA19" s="40">
        <f t="shared" si="33"/>
        <v>13.2</v>
      </c>
      <c r="DB19" s="40">
        <f t="shared" si="34"/>
        <v>49.800000000000004</v>
      </c>
      <c r="DC19" s="40">
        <f t="shared" si="35"/>
        <v>124</v>
      </c>
      <c r="DD19" s="51" t="str">
        <f t="shared" si="36"/>
        <v/>
      </c>
      <c r="DE19" s="51" t="str">
        <f t="shared" si="37"/>
        <v/>
      </c>
      <c r="DF19" s="51" t="str">
        <f t="shared" si="38"/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 t="shared" si="39"/>
        <v/>
      </c>
      <c r="EB19" s="40" t="str">
        <f t="shared" si="40"/>
        <v/>
      </c>
      <c r="EC19" s="40" t="str">
        <f t="shared" si="41"/>
        <v/>
      </c>
      <c r="ED19" s="40" t="str">
        <f t="shared" si="42"/>
        <v/>
      </c>
      <c r="EE19" s="40" t="str">
        <f t="shared" si="43"/>
        <v/>
      </c>
      <c r="EF19" s="40" t="str">
        <f t="shared" si="44"/>
        <v/>
      </c>
      <c r="EG19" s="40" t="str">
        <f t="shared" si="45"/>
        <v/>
      </c>
      <c r="EH19" s="40" t="str">
        <f t="shared" si="46"/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 t="shared" si="47"/>
        <v/>
      </c>
      <c r="FD19" s="11" t="str">
        <f t="shared" si="48"/>
        <v/>
      </c>
      <c r="FE19" s="11" t="str">
        <f t="shared" si="49"/>
        <v/>
      </c>
      <c r="FF19" s="11" t="str">
        <f t="shared" si="50"/>
        <v/>
      </c>
      <c r="FG19" s="11" t="str">
        <f t="shared" si="51"/>
        <v/>
      </c>
      <c r="FH19" s="11" t="str">
        <f t="shared" si="52"/>
        <v/>
      </c>
      <c r="FI19" s="11" t="str">
        <f t="shared" si="53"/>
        <v/>
      </c>
      <c r="FJ19" s="11" t="str">
        <f t="shared" si="54"/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 t="str">
        <f t="shared" si="55"/>
        <v/>
      </c>
      <c r="GF19" s="40" t="str">
        <f t="shared" si="56"/>
        <v/>
      </c>
      <c r="GG19" s="40" t="str">
        <f t="shared" si="57"/>
        <v/>
      </c>
      <c r="GH19" s="40" t="str">
        <f t="shared" si="58"/>
        <v/>
      </c>
      <c r="GI19" s="40" t="str">
        <f t="shared" si="59"/>
        <v/>
      </c>
      <c r="GJ19" s="40" t="str">
        <f t="shared" si="60"/>
        <v/>
      </c>
      <c r="GK19" s="40" t="str">
        <f t="shared" si="61"/>
        <v/>
      </c>
      <c r="GL19" s="40" t="str">
        <f t="shared" si="62"/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 t="shared" si="63"/>
        <v/>
      </c>
      <c r="HH19" s="11" t="str">
        <f t="shared" si="64"/>
        <v/>
      </c>
      <c r="HI19" s="11" t="str">
        <f t="shared" si="65"/>
        <v/>
      </c>
      <c r="HJ19" s="11" t="str">
        <f t="shared" si="66"/>
        <v/>
      </c>
      <c r="HK19" s="11" t="str">
        <f t="shared" si="67"/>
        <v/>
      </c>
      <c r="HL19" s="11" t="str">
        <f t="shared" si="68"/>
        <v/>
      </c>
      <c r="HM19" s="11" t="str">
        <f t="shared" si="69"/>
        <v/>
      </c>
      <c r="HN19" s="11" t="str">
        <f t="shared" si="70"/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 t="shared" si="71"/>
        <v/>
      </c>
      <c r="IJ19" s="40" t="str">
        <f t="shared" si="72"/>
        <v/>
      </c>
      <c r="IK19" s="40" t="str">
        <f t="shared" si="73"/>
        <v/>
      </c>
      <c r="IL19" s="40" t="str">
        <f t="shared" si="74"/>
        <v/>
      </c>
      <c r="IM19" s="40" t="str">
        <f t="shared" si="75"/>
        <v/>
      </c>
      <c r="IN19" s="40" t="str">
        <f t="shared" si="76"/>
        <v/>
      </c>
      <c r="IO19" s="40" t="str">
        <f t="shared" si="77"/>
        <v/>
      </c>
      <c r="IP19" s="40" t="str">
        <f t="shared" si="78"/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 t="shared" si="79"/>
        <v/>
      </c>
      <c r="JL19" s="11" t="str">
        <f t="shared" si="80"/>
        <v/>
      </c>
      <c r="JM19" s="11" t="str">
        <f t="shared" si="81"/>
        <v/>
      </c>
      <c r="JN19" s="11" t="str">
        <f t="shared" si="82"/>
        <v/>
      </c>
      <c r="JO19" s="11" t="str">
        <f t="shared" si="83"/>
        <v/>
      </c>
      <c r="JP19" s="11" t="str">
        <f t="shared" si="84"/>
        <v/>
      </c>
      <c r="JQ19" s="11" t="str">
        <f t="shared" si="85"/>
        <v/>
      </c>
      <c r="JR19" s="11" t="str">
        <f t="shared" si="86"/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 t="shared" si="87"/>
        <v/>
      </c>
      <c r="KN19" s="40" t="str">
        <f t="shared" si="88"/>
        <v/>
      </c>
      <c r="KO19" s="40" t="str">
        <f t="shared" si="89"/>
        <v/>
      </c>
      <c r="KP19" s="40" t="str">
        <f t="shared" si="90"/>
        <v/>
      </c>
      <c r="KQ19" s="40" t="str">
        <f t="shared" si="91"/>
        <v/>
      </c>
      <c r="KR19" s="40" t="str">
        <f t="shared" si="92"/>
        <v/>
      </c>
      <c r="KS19" s="40" t="str">
        <f t="shared" si="93"/>
        <v/>
      </c>
      <c r="KT19" s="40" t="str">
        <f t="shared" si="94"/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 t="shared" si="95"/>
        <v/>
      </c>
      <c r="LP19" s="11" t="str">
        <f t="shared" si="96"/>
        <v/>
      </c>
      <c r="LQ19" s="11" t="str">
        <f t="shared" si="97"/>
        <v/>
      </c>
      <c r="LR19" s="11" t="str">
        <f t="shared" si="98"/>
        <v/>
      </c>
      <c r="LS19" s="11" t="str">
        <f t="shared" si="99"/>
        <v/>
      </c>
      <c r="LT19" s="11" t="str">
        <f t="shared" si="100"/>
        <v/>
      </c>
      <c r="LU19" s="11" t="str">
        <f t="shared" si="101"/>
        <v/>
      </c>
      <c r="LV19" s="11" t="str">
        <f t="shared" si="102"/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 t="shared" si="103"/>
        <v/>
      </c>
      <c r="MR19" s="40" t="str">
        <f t="shared" si="104"/>
        <v/>
      </c>
      <c r="MS19" s="40" t="str">
        <f t="shared" si="105"/>
        <v/>
      </c>
      <c r="MT19" s="40" t="str">
        <f t="shared" si="106"/>
        <v/>
      </c>
      <c r="MU19" s="40" t="str">
        <f t="shared" si="107"/>
        <v/>
      </c>
      <c r="MV19" s="40" t="str">
        <f t="shared" si="108"/>
        <v/>
      </c>
      <c r="MW19" s="40" t="str">
        <f t="shared" si="109"/>
        <v/>
      </c>
      <c r="MX19" s="40" t="str">
        <f t="shared" si="110"/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 t="shared" si="111"/>
        <v/>
      </c>
      <c r="NT19" s="11" t="str">
        <f t="shared" si="112"/>
        <v/>
      </c>
      <c r="NU19" s="11" t="str">
        <f t="shared" si="113"/>
        <v/>
      </c>
      <c r="NV19" s="11" t="str">
        <f t="shared" si="114"/>
        <v/>
      </c>
      <c r="NW19" s="11" t="str">
        <f t="shared" si="115"/>
        <v/>
      </c>
      <c r="NX19" s="11" t="str">
        <f t="shared" si="116"/>
        <v/>
      </c>
      <c r="NY19" s="11" t="str">
        <f t="shared" si="117"/>
        <v/>
      </c>
      <c r="NZ19" s="11" t="str">
        <f t="shared" si="118"/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 t="shared" si="119"/>
        <v/>
      </c>
      <c r="OV19" s="40" t="str">
        <f t="shared" si="120"/>
        <v/>
      </c>
      <c r="OW19" s="40" t="str">
        <f t="shared" si="121"/>
        <v/>
      </c>
      <c r="OX19" s="40" t="str">
        <f t="shared" si="122"/>
        <v/>
      </c>
      <c r="OY19" s="40" t="str">
        <f t="shared" si="123"/>
        <v/>
      </c>
      <c r="OZ19" s="40" t="str">
        <f t="shared" si="124"/>
        <v/>
      </c>
      <c r="PA19" s="40" t="str">
        <f t="shared" si="125"/>
        <v/>
      </c>
      <c r="PB19" s="40" t="str">
        <f t="shared" si="126"/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 t="shared" si="127"/>
        <v/>
      </c>
      <c r="PX19" s="11" t="str">
        <f t="shared" si="128"/>
        <v/>
      </c>
      <c r="PY19" s="11" t="str">
        <f t="shared" si="129"/>
        <v/>
      </c>
      <c r="PZ19" s="11" t="str">
        <f t="shared" si="130"/>
        <v/>
      </c>
      <c r="QA19" s="11" t="str">
        <f t="shared" si="131"/>
        <v/>
      </c>
      <c r="QB19" s="11" t="str">
        <f t="shared" si="132"/>
        <v/>
      </c>
      <c r="QC19" s="11" t="str">
        <f t="shared" si="133"/>
        <v/>
      </c>
      <c r="QD19" s="11" t="str">
        <f t="shared" si="134"/>
        <v/>
      </c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40" t="str">
        <f t="shared" si="135"/>
        <v/>
      </c>
      <c r="QZ19" s="40" t="str">
        <f t="shared" si="136"/>
        <v/>
      </c>
      <c r="RA19" s="40" t="str">
        <f t="shared" si="137"/>
        <v/>
      </c>
      <c r="RB19" s="40" t="str">
        <f t="shared" si="138"/>
        <v/>
      </c>
      <c r="RC19" s="40" t="str">
        <f t="shared" si="139"/>
        <v/>
      </c>
      <c r="RD19" s="40" t="str">
        <f t="shared" si="140"/>
        <v/>
      </c>
      <c r="RE19" s="40" t="str">
        <f t="shared" si="141"/>
        <v/>
      </c>
      <c r="RF19" s="40" t="str">
        <f t="shared" si="142"/>
        <v/>
      </c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1" t="str">
        <f t="shared" si="143"/>
        <v/>
      </c>
      <c r="SB19" s="11" t="str">
        <f t="shared" si="144"/>
        <v/>
      </c>
      <c r="SC19" s="11" t="str">
        <f t="shared" si="145"/>
        <v/>
      </c>
      <c r="SD19" s="11" t="str">
        <f t="shared" si="146"/>
        <v/>
      </c>
      <c r="SE19" s="11" t="str">
        <f t="shared" si="147"/>
        <v/>
      </c>
      <c r="SF19" s="11" t="str">
        <f t="shared" si="148"/>
        <v/>
      </c>
      <c r="SG19" s="11" t="str">
        <f t="shared" si="149"/>
        <v/>
      </c>
      <c r="SH19" s="11" t="str">
        <f t="shared" si="150"/>
        <v/>
      </c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40" t="str">
        <f t="shared" si="151"/>
        <v/>
      </c>
      <c r="TD19" s="40" t="str">
        <f t="shared" si="152"/>
        <v/>
      </c>
      <c r="TE19" s="40" t="str">
        <f t="shared" si="153"/>
        <v/>
      </c>
      <c r="TF19" s="40" t="str">
        <f t="shared" si="154"/>
        <v/>
      </c>
      <c r="TG19" s="40" t="str">
        <f t="shared" si="155"/>
        <v/>
      </c>
      <c r="TH19" s="40" t="str">
        <f t="shared" si="156"/>
        <v/>
      </c>
      <c r="TI19" s="40" t="str">
        <f t="shared" si="157"/>
        <v/>
      </c>
      <c r="TJ19" s="40" t="str">
        <f t="shared" si="158"/>
        <v/>
      </c>
      <c r="TK19" s="26">
        <f t="shared" si="159"/>
        <v>18.600000000000001</v>
      </c>
      <c r="TL19" s="26">
        <f t="shared" si="160"/>
        <v>6.4</v>
      </c>
      <c r="TM19" s="26">
        <f t="shared" si="161"/>
        <v>0.1</v>
      </c>
      <c r="TN19" s="26">
        <f t="shared" si="162"/>
        <v>0</v>
      </c>
      <c r="TO19" s="26">
        <f t="shared" si="163"/>
        <v>18.5</v>
      </c>
      <c r="TP19" s="26">
        <f t="shared" si="164"/>
        <v>6.4</v>
      </c>
      <c r="TQ19" s="26">
        <f t="shared" si="165"/>
        <v>0.30000000000000004</v>
      </c>
      <c r="TR19" s="26">
        <f t="shared" si="166"/>
        <v>0</v>
      </c>
      <c r="TS19" s="26">
        <f t="shared" si="167"/>
        <v>17.899999999999999</v>
      </c>
      <c r="TT19" s="26">
        <f t="shared" si="168"/>
        <v>4.4000000000000004</v>
      </c>
      <c r="TU19" s="26">
        <f t="shared" si="169"/>
        <v>0.2</v>
      </c>
      <c r="TV19" s="26">
        <f t="shared" si="170"/>
        <v>0</v>
      </c>
      <c r="TW19" s="26">
        <f t="shared" si="171"/>
        <v>9.5</v>
      </c>
      <c r="TX19" s="26">
        <f t="shared" si="172"/>
        <v>3</v>
      </c>
      <c r="TY19" s="26">
        <f t="shared" si="173"/>
        <v>0</v>
      </c>
      <c r="TZ19" s="26">
        <f t="shared" si="174"/>
        <v>0</v>
      </c>
      <c r="UA19" s="26">
        <f t="shared" si="175"/>
        <v>9.1999999999999993</v>
      </c>
      <c r="UB19" s="26">
        <f t="shared" si="176"/>
        <v>3.6</v>
      </c>
      <c r="UC19" s="26">
        <f t="shared" si="177"/>
        <v>0.4</v>
      </c>
      <c r="UD19" s="26">
        <f t="shared" si="178"/>
        <v>0</v>
      </c>
      <c r="UE19" s="28" t="s">
        <v>53</v>
      </c>
      <c r="UF19" s="11">
        <f t="shared" si="179"/>
        <v>12.8</v>
      </c>
      <c r="UG19" s="11">
        <f t="shared" si="180"/>
        <v>49.5</v>
      </c>
      <c r="UH19" s="11">
        <f t="shared" si="181"/>
        <v>22.099999999999998</v>
      </c>
      <c r="UI19" s="11">
        <f t="shared" si="182"/>
        <v>17.200000000000003</v>
      </c>
      <c r="UJ19" s="11">
        <f t="shared" si="183"/>
        <v>71.599999999999994</v>
      </c>
      <c r="UK19" s="11">
        <f t="shared" si="184"/>
        <v>6.6</v>
      </c>
      <c r="UL19" s="11">
        <f t="shared" si="185"/>
        <v>24.900000000000002</v>
      </c>
      <c r="UM19" s="11">
        <f t="shared" si="186"/>
        <v>96.5</v>
      </c>
    </row>
    <row r="20" spans="1:559" x14ac:dyDescent="0.2">
      <c r="A20" s="4" t="str" cm="1">
        <f t="array" ref="A20">IF(AND(H20&lt;&gt;"",H20&lt;&gt;"No DD"),SUMPRODUCT((H$4:H$28&lt;&gt;"")*(H$4:H$28&lt;&gt;"No DD")*(E$4:E$28&gt;E20))+1,IF(H20="No DD",SUMPRODUCT((H$4:H$28="No DD")*(E$4:E$28&gt;E20))+1+SUMPRODUCT((H$4:H$28&lt;&gt;"")*(H$4:H$28&lt;&gt;"No DD")),""))</f>
        <v/>
      </c>
      <c r="B20" s="5" t="s">
        <v>220</v>
      </c>
      <c r="C20" s="4" t="s">
        <v>6</v>
      </c>
      <c r="D20" s="4">
        <v>2004</v>
      </c>
      <c r="E20" s="9">
        <f t="shared" si="187"/>
        <v>172.10001215000497</v>
      </c>
      <c r="F20" s="3" t="str">
        <f t="shared" si="0"/>
        <v/>
      </c>
      <c r="G20" s="3" t="str">
        <f t="shared" si="1"/>
        <v/>
      </c>
      <c r="H20" s="36" t="str">
        <f t="shared" si="2"/>
        <v/>
      </c>
      <c r="I20" s="3" t="str">
        <f t="shared" si="3"/>
        <v/>
      </c>
      <c r="J20" s="8">
        <f>IF(COUNT(AQ20,BT20,CW20)&gt;0,LARGE((AQ20,BT20,CW20),1),0)</f>
        <v>49.6</v>
      </c>
      <c r="K20" s="8" t="str">
        <f t="shared" si="4"/>
        <v>2024 Elite Canada</v>
      </c>
      <c r="L20" s="8">
        <f>IF(COUNT(AQ20,BT20,CW20)&gt;1,LARGE((AQ20,BT20,CW20),2),0)</f>
        <v>46.3</v>
      </c>
      <c r="M20" s="8" t="str">
        <f t="shared" si="5"/>
        <v>2024 3rd Domestic Trial</v>
      </c>
      <c r="N20" s="8">
        <f>IF(COUNT(AR20,BU20,CX20)&gt;0,LARGE((AR20,BU20,CX20),1),0)</f>
        <v>25.599999999999998</v>
      </c>
      <c r="O20" s="8" t="str">
        <f t="shared" si="6"/>
        <v>2024 Elite Canada</v>
      </c>
      <c r="P20" s="8">
        <f t="shared" si="7"/>
        <v>50.6</v>
      </c>
      <c r="Q20" s="8" t="str">
        <f t="shared" si="8"/>
        <v>2024 Elite Canada</v>
      </c>
      <c r="R20" s="8" t="str">
        <f t="shared" si="9"/>
        <v/>
      </c>
      <c r="S20" s="11" t="str">
        <f t="shared" si="10"/>
        <v/>
      </c>
      <c r="T20" s="8" t="str">
        <f t="shared" si="11"/>
        <v/>
      </c>
      <c r="U20" s="19">
        <v>18.100000000000001</v>
      </c>
      <c r="V20" s="19">
        <v>6.8</v>
      </c>
      <c r="W20" s="19">
        <v>0.6</v>
      </c>
      <c r="X20" s="19">
        <v>0</v>
      </c>
      <c r="Y20" s="19">
        <v>18.7</v>
      </c>
      <c r="Z20" s="19">
        <v>7.2</v>
      </c>
      <c r="AA20" s="19">
        <v>0.6</v>
      </c>
      <c r="AB20" s="19">
        <v>0</v>
      </c>
      <c r="AC20" s="19">
        <v>18.399999999999999</v>
      </c>
      <c r="AD20" s="19">
        <v>7.2</v>
      </c>
      <c r="AE20" s="19">
        <v>0</v>
      </c>
      <c r="AF20" s="19">
        <v>0</v>
      </c>
      <c r="AG20" s="19">
        <v>18.3</v>
      </c>
      <c r="AH20" s="19">
        <v>7.2</v>
      </c>
      <c r="AI20" s="19">
        <v>0.6</v>
      </c>
      <c r="AJ20" s="19">
        <v>0</v>
      </c>
      <c r="AK20" s="19">
        <v>18.100000000000001</v>
      </c>
      <c r="AL20" s="19">
        <v>7.6</v>
      </c>
      <c r="AM20" s="19">
        <v>0</v>
      </c>
      <c r="AN20" s="19">
        <v>0</v>
      </c>
      <c r="AO20" s="27"/>
      <c r="AP20" s="40">
        <f t="shared" si="12"/>
        <v>14</v>
      </c>
      <c r="AQ20" s="40">
        <f t="shared" si="13"/>
        <v>49.6</v>
      </c>
      <c r="AR20" s="40">
        <f t="shared" si="14"/>
        <v>25.599999999999998</v>
      </c>
      <c r="AS20" s="40">
        <f t="shared" si="15"/>
        <v>21.2</v>
      </c>
      <c r="AT20" s="40">
        <f t="shared" si="16"/>
        <v>75.2</v>
      </c>
      <c r="AU20" s="40">
        <f t="shared" si="17"/>
        <v>14.8</v>
      </c>
      <c r="AV20" s="40">
        <f t="shared" si="18"/>
        <v>50.6</v>
      </c>
      <c r="AW20" s="40">
        <f t="shared" si="19"/>
        <v>125.80000000000001</v>
      </c>
      <c r="AX20" s="18">
        <v>0</v>
      </c>
      <c r="AY20" s="18">
        <v>0</v>
      </c>
      <c r="AZ20" s="18">
        <v>0</v>
      </c>
      <c r="BA20" s="18">
        <v>0</v>
      </c>
      <c r="BB20" s="18">
        <v>18</v>
      </c>
      <c r="BC20" s="18">
        <v>6.8</v>
      </c>
      <c r="BD20" s="18">
        <v>0.8</v>
      </c>
      <c r="BE20" s="18">
        <v>0</v>
      </c>
      <c r="BF20" s="18">
        <v>17.399999999999999</v>
      </c>
      <c r="BG20" s="18">
        <v>3.6</v>
      </c>
      <c r="BH20" s="18">
        <v>0</v>
      </c>
      <c r="BI20" s="18">
        <v>0</v>
      </c>
      <c r="BJ20" s="18"/>
      <c r="BK20" s="18"/>
      <c r="BL20" s="18"/>
      <c r="BM20" s="18"/>
      <c r="BN20" s="18"/>
      <c r="BO20" s="18"/>
      <c r="BP20" s="18"/>
      <c r="BQ20" s="18"/>
      <c r="BR20" s="28"/>
      <c r="BS20" s="11">
        <f t="shared" si="20"/>
        <v>6.8</v>
      </c>
      <c r="BT20" s="11">
        <f t="shared" si="21"/>
        <v>24</v>
      </c>
      <c r="BU20" s="11">
        <f t="shared" si="22"/>
        <v>21</v>
      </c>
      <c r="BV20" s="11">
        <f t="shared" si="23"/>
        <v>10.4</v>
      </c>
      <c r="BW20" s="11">
        <f t="shared" si="24"/>
        <v>45</v>
      </c>
      <c r="BX20" s="11" t="str">
        <f t="shared" si="25"/>
        <v/>
      </c>
      <c r="BY20" s="11" t="str">
        <f t="shared" si="26"/>
        <v/>
      </c>
      <c r="BZ20" s="11">
        <f t="shared" si="27"/>
        <v>45</v>
      </c>
      <c r="CA20" s="19">
        <v>16.7</v>
      </c>
      <c r="CB20" s="19">
        <v>6</v>
      </c>
      <c r="CC20" s="19">
        <v>1</v>
      </c>
      <c r="CD20" s="19">
        <v>0</v>
      </c>
      <c r="CE20" s="19">
        <v>18.8</v>
      </c>
      <c r="CF20" s="19">
        <v>6.4</v>
      </c>
      <c r="CG20" s="19">
        <v>0.6</v>
      </c>
      <c r="CH20" s="19">
        <v>0</v>
      </c>
      <c r="CI20" s="19">
        <v>18.8</v>
      </c>
      <c r="CJ20" s="19">
        <v>5.6</v>
      </c>
      <c r="CK20" s="19">
        <v>0.4</v>
      </c>
      <c r="CL20" s="19">
        <v>0</v>
      </c>
      <c r="CM20" s="19"/>
      <c r="CN20" s="19"/>
      <c r="CO20" s="19"/>
      <c r="CP20" s="19"/>
      <c r="CQ20" s="19"/>
      <c r="CR20" s="19"/>
      <c r="CS20" s="19"/>
      <c r="CT20" s="19"/>
      <c r="CU20" s="27"/>
      <c r="CV20" s="40">
        <f t="shared" si="28"/>
        <v>12.4</v>
      </c>
      <c r="CW20" s="40">
        <f t="shared" si="29"/>
        <v>46.3</v>
      </c>
      <c r="CX20" s="40">
        <f t="shared" si="30"/>
        <v>24</v>
      </c>
      <c r="CY20" s="40">
        <f t="shared" si="31"/>
        <v>18</v>
      </c>
      <c r="CZ20" s="40">
        <f t="shared" si="32"/>
        <v>70.3</v>
      </c>
      <c r="DA20" s="40" t="str">
        <f t="shared" si="33"/>
        <v/>
      </c>
      <c r="DB20" s="40" t="str">
        <f t="shared" si="34"/>
        <v/>
      </c>
      <c r="DC20" s="40">
        <f t="shared" si="35"/>
        <v>70.3</v>
      </c>
      <c r="DD20" s="51" t="str">
        <f t="shared" si="36"/>
        <v/>
      </c>
      <c r="DE20" s="51" t="str">
        <f t="shared" si="37"/>
        <v/>
      </c>
      <c r="DF20" s="51" t="str">
        <f t="shared" si="38"/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 t="shared" si="39"/>
        <v/>
      </c>
      <c r="EB20" s="40" t="str">
        <f t="shared" si="40"/>
        <v/>
      </c>
      <c r="EC20" s="40" t="str">
        <f t="shared" si="41"/>
        <v/>
      </c>
      <c r="ED20" s="40" t="str">
        <f t="shared" si="42"/>
        <v/>
      </c>
      <c r="EE20" s="40" t="str">
        <f t="shared" si="43"/>
        <v/>
      </c>
      <c r="EF20" s="40" t="str">
        <f t="shared" si="44"/>
        <v/>
      </c>
      <c r="EG20" s="40" t="str">
        <f t="shared" si="45"/>
        <v/>
      </c>
      <c r="EH20" s="40" t="str">
        <f t="shared" si="46"/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 t="shared" si="47"/>
        <v/>
      </c>
      <c r="FD20" s="11" t="str">
        <f t="shared" si="48"/>
        <v/>
      </c>
      <c r="FE20" s="11" t="str">
        <f t="shared" si="49"/>
        <v/>
      </c>
      <c r="FF20" s="11" t="str">
        <f t="shared" si="50"/>
        <v/>
      </c>
      <c r="FG20" s="11" t="str">
        <f t="shared" si="51"/>
        <v/>
      </c>
      <c r="FH20" s="11" t="str">
        <f t="shared" si="52"/>
        <v/>
      </c>
      <c r="FI20" s="11" t="str">
        <f t="shared" si="53"/>
        <v/>
      </c>
      <c r="FJ20" s="11" t="str">
        <f t="shared" si="54"/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 t="shared" si="55"/>
        <v/>
      </c>
      <c r="GF20" s="40" t="str">
        <f t="shared" si="56"/>
        <v/>
      </c>
      <c r="GG20" s="40" t="str">
        <f t="shared" si="57"/>
        <v/>
      </c>
      <c r="GH20" s="40" t="str">
        <f t="shared" si="58"/>
        <v/>
      </c>
      <c r="GI20" s="40" t="str">
        <f t="shared" si="59"/>
        <v/>
      </c>
      <c r="GJ20" s="40" t="str">
        <f t="shared" si="60"/>
        <v/>
      </c>
      <c r="GK20" s="40" t="str">
        <f t="shared" si="61"/>
        <v/>
      </c>
      <c r="GL20" s="40" t="str">
        <f t="shared" si="62"/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 t="shared" si="63"/>
        <v/>
      </c>
      <c r="HH20" s="11" t="str">
        <f t="shared" si="64"/>
        <v/>
      </c>
      <c r="HI20" s="11" t="str">
        <f t="shared" si="65"/>
        <v/>
      </c>
      <c r="HJ20" s="11" t="str">
        <f t="shared" si="66"/>
        <v/>
      </c>
      <c r="HK20" s="11" t="str">
        <f t="shared" si="67"/>
        <v/>
      </c>
      <c r="HL20" s="11" t="str">
        <f t="shared" si="68"/>
        <v/>
      </c>
      <c r="HM20" s="11" t="str">
        <f t="shared" si="69"/>
        <v/>
      </c>
      <c r="HN20" s="11" t="str">
        <f t="shared" si="70"/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 t="shared" si="71"/>
        <v/>
      </c>
      <c r="IJ20" s="40" t="str">
        <f t="shared" si="72"/>
        <v/>
      </c>
      <c r="IK20" s="40" t="str">
        <f t="shared" si="73"/>
        <v/>
      </c>
      <c r="IL20" s="40" t="str">
        <f t="shared" si="74"/>
        <v/>
      </c>
      <c r="IM20" s="40" t="str">
        <f t="shared" si="75"/>
        <v/>
      </c>
      <c r="IN20" s="40" t="str">
        <f t="shared" si="76"/>
        <v/>
      </c>
      <c r="IO20" s="40" t="str">
        <f t="shared" si="77"/>
        <v/>
      </c>
      <c r="IP20" s="40" t="str">
        <f t="shared" si="78"/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 t="shared" si="79"/>
        <v/>
      </c>
      <c r="JL20" s="11" t="str">
        <f t="shared" si="80"/>
        <v/>
      </c>
      <c r="JM20" s="11" t="str">
        <f t="shared" si="81"/>
        <v/>
      </c>
      <c r="JN20" s="11" t="str">
        <f t="shared" si="82"/>
        <v/>
      </c>
      <c r="JO20" s="11" t="str">
        <f t="shared" si="83"/>
        <v/>
      </c>
      <c r="JP20" s="11" t="str">
        <f t="shared" si="84"/>
        <v/>
      </c>
      <c r="JQ20" s="11" t="str">
        <f t="shared" si="85"/>
        <v/>
      </c>
      <c r="JR20" s="11" t="str">
        <f t="shared" si="86"/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 t="shared" si="87"/>
        <v/>
      </c>
      <c r="KN20" s="40" t="str">
        <f t="shared" si="88"/>
        <v/>
      </c>
      <c r="KO20" s="40" t="str">
        <f t="shared" si="89"/>
        <v/>
      </c>
      <c r="KP20" s="40" t="str">
        <f t="shared" si="90"/>
        <v/>
      </c>
      <c r="KQ20" s="40" t="str">
        <f t="shared" si="91"/>
        <v/>
      </c>
      <c r="KR20" s="40" t="str">
        <f t="shared" si="92"/>
        <v/>
      </c>
      <c r="KS20" s="40" t="str">
        <f t="shared" si="93"/>
        <v/>
      </c>
      <c r="KT20" s="40" t="str">
        <f t="shared" si="94"/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 t="shared" si="95"/>
        <v/>
      </c>
      <c r="LP20" s="11" t="str">
        <f t="shared" si="96"/>
        <v/>
      </c>
      <c r="LQ20" s="11" t="str">
        <f t="shared" si="97"/>
        <v/>
      </c>
      <c r="LR20" s="11" t="str">
        <f t="shared" si="98"/>
        <v/>
      </c>
      <c r="LS20" s="11" t="str">
        <f t="shared" si="99"/>
        <v/>
      </c>
      <c r="LT20" s="11" t="str">
        <f t="shared" si="100"/>
        <v/>
      </c>
      <c r="LU20" s="11" t="str">
        <f t="shared" si="101"/>
        <v/>
      </c>
      <c r="LV20" s="11" t="str">
        <f t="shared" si="102"/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 t="shared" si="103"/>
        <v/>
      </c>
      <c r="MR20" s="40" t="str">
        <f t="shared" si="104"/>
        <v/>
      </c>
      <c r="MS20" s="40" t="str">
        <f t="shared" si="105"/>
        <v/>
      </c>
      <c r="MT20" s="40" t="str">
        <f t="shared" si="106"/>
        <v/>
      </c>
      <c r="MU20" s="40" t="str">
        <f t="shared" si="107"/>
        <v/>
      </c>
      <c r="MV20" s="40" t="str">
        <f t="shared" si="108"/>
        <v/>
      </c>
      <c r="MW20" s="40" t="str">
        <f t="shared" si="109"/>
        <v/>
      </c>
      <c r="MX20" s="40" t="str">
        <f t="shared" si="110"/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 t="shared" si="111"/>
        <v/>
      </c>
      <c r="NT20" s="11" t="str">
        <f t="shared" si="112"/>
        <v/>
      </c>
      <c r="NU20" s="11" t="str">
        <f t="shared" si="113"/>
        <v/>
      </c>
      <c r="NV20" s="11" t="str">
        <f t="shared" si="114"/>
        <v/>
      </c>
      <c r="NW20" s="11" t="str">
        <f t="shared" si="115"/>
        <v/>
      </c>
      <c r="NX20" s="11" t="str">
        <f t="shared" si="116"/>
        <v/>
      </c>
      <c r="NY20" s="11" t="str">
        <f t="shared" si="117"/>
        <v/>
      </c>
      <c r="NZ20" s="11" t="str">
        <f t="shared" si="118"/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 t="shared" si="119"/>
        <v/>
      </c>
      <c r="OV20" s="40" t="str">
        <f t="shared" si="120"/>
        <v/>
      </c>
      <c r="OW20" s="40" t="str">
        <f t="shared" si="121"/>
        <v/>
      </c>
      <c r="OX20" s="40" t="str">
        <f t="shared" si="122"/>
        <v/>
      </c>
      <c r="OY20" s="40" t="str">
        <f t="shared" si="123"/>
        <v/>
      </c>
      <c r="OZ20" s="40" t="str">
        <f t="shared" si="124"/>
        <v/>
      </c>
      <c r="PA20" s="40" t="str">
        <f t="shared" si="125"/>
        <v/>
      </c>
      <c r="PB20" s="40" t="str">
        <f t="shared" si="126"/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 t="shared" si="127"/>
        <v/>
      </c>
      <c r="PX20" s="11" t="str">
        <f t="shared" si="128"/>
        <v/>
      </c>
      <c r="PY20" s="11" t="str">
        <f t="shared" si="129"/>
        <v/>
      </c>
      <c r="PZ20" s="11" t="str">
        <f t="shared" si="130"/>
        <v/>
      </c>
      <c r="QA20" s="11" t="str">
        <f t="shared" si="131"/>
        <v/>
      </c>
      <c r="QB20" s="11" t="str">
        <f t="shared" si="132"/>
        <v/>
      </c>
      <c r="QC20" s="11" t="str">
        <f t="shared" si="133"/>
        <v/>
      </c>
      <c r="QD20" s="11" t="str">
        <f t="shared" si="134"/>
        <v/>
      </c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40" t="str">
        <f t="shared" si="135"/>
        <v/>
      </c>
      <c r="QZ20" s="40" t="str">
        <f t="shared" si="136"/>
        <v/>
      </c>
      <c r="RA20" s="40" t="str">
        <f t="shared" si="137"/>
        <v/>
      </c>
      <c r="RB20" s="40" t="str">
        <f t="shared" si="138"/>
        <v/>
      </c>
      <c r="RC20" s="40" t="str">
        <f t="shared" si="139"/>
        <v/>
      </c>
      <c r="RD20" s="40" t="str">
        <f t="shared" si="140"/>
        <v/>
      </c>
      <c r="RE20" s="40" t="str">
        <f t="shared" si="141"/>
        <v/>
      </c>
      <c r="RF20" s="40" t="str">
        <f t="shared" si="142"/>
        <v/>
      </c>
      <c r="RG20" s="18"/>
      <c r="RH20" s="18"/>
      <c r="RI20" s="18"/>
      <c r="RJ20" s="18"/>
      <c r="RK20" s="18"/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1" t="str">
        <f t="shared" si="143"/>
        <v/>
      </c>
      <c r="SB20" s="11" t="str">
        <f t="shared" si="144"/>
        <v/>
      </c>
      <c r="SC20" s="11" t="str">
        <f t="shared" si="145"/>
        <v/>
      </c>
      <c r="SD20" s="11" t="str">
        <f t="shared" si="146"/>
        <v/>
      </c>
      <c r="SE20" s="11" t="str">
        <f t="shared" si="147"/>
        <v/>
      </c>
      <c r="SF20" s="11" t="str">
        <f t="shared" si="148"/>
        <v/>
      </c>
      <c r="SG20" s="11" t="str">
        <f t="shared" si="149"/>
        <v/>
      </c>
      <c r="SH20" s="11" t="str">
        <f t="shared" si="150"/>
        <v/>
      </c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40" t="str">
        <f t="shared" si="151"/>
        <v/>
      </c>
      <c r="TD20" s="40" t="str">
        <f t="shared" si="152"/>
        <v/>
      </c>
      <c r="TE20" s="40" t="str">
        <f t="shared" si="153"/>
        <v/>
      </c>
      <c r="TF20" s="40" t="str">
        <f t="shared" si="154"/>
        <v/>
      </c>
      <c r="TG20" s="40" t="str">
        <f t="shared" si="155"/>
        <v/>
      </c>
      <c r="TH20" s="40" t="str">
        <f t="shared" si="156"/>
        <v/>
      </c>
      <c r="TI20" s="40" t="str">
        <f t="shared" si="157"/>
        <v/>
      </c>
      <c r="TJ20" s="40" t="str">
        <f t="shared" si="158"/>
        <v/>
      </c>
      <c r="TK20" s="26">
        <f t="shared" si="159"/>
        <v>8.35</v>
      </c>
      <c r="TL20" s="26">
        <f t="shared" si="160"/>
        <v>3</v>
      </c>
      <c r="TM20" s="26">
        <f t="shared" si="161"/>
        <v>0.5</v>
      </c>
      <c r="TN20" s="26">
        <f t="shared" si="162"/>
        <v>0</v>
      </c>
      <c r="TO20" s="26">
        <f t="shared" si="163"/>
        <v>18.399999999999999</v>
      </c>
      <c r="TP20" s="26">
        <f t="shared" si="164"/>
        <v>6.6</v>
      </c>
      <c r="TQ20" s="26">
        <f t="shared" si="165"/>
        <v>0.7</v>
      </c>
      <c r="TR20" s="26">
        <f t="shared" si="166"/>
        <v>0</v>
      </c>
      <c r="TS20" s="26">
        <f t="shared" si="167"/>
        <v>18.100000000000001</v>
      </c>
      <c r="TT20" s="26">
        <f t="shared" si="168"/>
        <v>4.5999999999999996</v>
      </c>
      <c r="TU20" s="26">
        <f t="shared" si="169"/>
        <v>0.2</v>
      </c>
      <c r="TV20" s="26">
        <f t="shared" si="170"/>
        <v>0</v>
      </c>
      <c r="TW20" s="26">
        <f t="shared" si="171"/>
        <v>0</v>
      </c>
      <c r="TX20" s="26">
        <f t="shared" si="172"/>
        <v>0</v>
      </c>
      <c r="TY20" s="26">
        <f t="shared" si="173"/>
        <v>0</v>
      </c>
      <c r="TZ20" s="26">
        <f t="shared" si="174"/>
        <v>0</v>
      </c>
      <c r="UA20" s="26">
        <f t="shared" si="175"/>
        <v>0</v>
      </c>
      <c r="UB20" s="26">
        <f t="shared" si="176"/>
        <v>0</v>
      </c>
      <c r="UC20" s="26">
        <f t="shared" si="177"/>
        <v>0</v>
      </c>
      <c r="UD20" s="26">
        <f t="shared" si="178"/>
        <v>0</v>
      </c>
      <c r="UE20" s="28" t="s">
        <v>53</v>
      </c>
      <c r="UF20" s="11">
        <f t="shared" si="179"/>
        <v>9.6</v>
      </c>
      <c r="UG20" s="11">
        <f t="shared" si="180"/>
        <v>35.15</v>
      </c>
      <c r="UH20" s="11">
        <f t="shared" si="181"/>
        <v>22.500000000000004</v>
      </c>
      <c r="UI20" s="11">
        <f t="shared" si="182"/>
        <v>14.2</v>
      </c>
      <c r="UJ20" s="11">
        <f t="shared" si="183"/>
        <v>57.650000000000006</v>
      </c>
      <c r="UK20" s="11" t="str">
        <f t="shared" si="184"/>
        <v/>
      </c>
      <c r="UL20" s="11" t="str">
        <f t="shared" si="185"/>
        <v/>
      </c>
      <c r="UM20" s="11">
        <f t="shared" si="186"/>
        <v>57.650000000000006</v>
      </c>
    </row>
    <row r="21" spans="1:559" x14ac:dyDescent="0.2">
      <c r="A21" s="4" t="str" cm="1">
        <f t="array" ref="A21">IF(AND(H21&lt;&gt;"",H21&lt;&gt;"No DD"),SUMPRODUCT((H$4:H$28&lt;&gt;"")*(H$4:H$28&lt;&gt;"No DD")*(E$4:E$28&gt;E21))+1,IF(H21="No DD",SUMPRODUCT((H$4:H$28="No DD")*(E$4:E$28&gt;E21))+1+SUMPRODUCT((H$4:H$28&lt;&gt;"")*(H$4:H$28&lt;&gt;"No DD")),""))</f>
        <v/>
      </c>
      <c r="B21" s="5" t="s">
        <v>185</v>
      </c>
      <c r="C21" s="4" t="s">
        <v>5</v>
      </c>
      <c r="D21" s="4">
        <v>2007</v>
      </c>
      <c r="E21" s="9">
        <f t="shared" si="187"/>
        <v>170.10001205000486</v>
      </c>
      <c r="F21" s="3" t="str">
        <f t="shared" si="0"/>
        <v/>
      </c>
      <c r="G21" s="3" t="str">
        <f t="shared" si="1"/>
        <v/>
      </c>
      <c r="H21" s="36" t="str">
        <f t="shared" si="2"/>
        <v/>
      </c>
      <c r="I21" s="3" t="str">
        <f t="shared" si="3"/>
        <v/>
      </c>
      <c r="J21" s="8">
        <f>IF(COUNT(AQ21,BT21,CW21)&gt;0,LARGE((AQ21,BT21,CW21),1),0)</f>
        <v>48.999999999999993</v>
      </c>
      <c r="K21" s="8" t="str">
        <f t="shared" si="4"/>
        <v>2024 Nationals</v>
      </c>
      <c r="L21" s="8">
        <f>IF(COUNT(AQ21,BT21,CW21)&gt;1,LARGE((AQ21,BT21,CW21),2),0)</f>
        <v>46.8</v>
      </c>
      <c r="M21" s="8" t="str">
        <f t="shared" si="5"/>
        <v>2024 Elite Canada</v>
      </c>
      <c r="N21" s="8">
        <f>IF(COUNT(AR21,BU21,CX21)&gt;0,LARGE((AR21,BU21,CX21),1),0)</f>
        <v>24.699999999999996</v>
      </c>
      <c r="O21" s="8" t="str">
        <f t="shared" si="6"/>
        <v>2024 3rd Domestic Trial</v>
      </c>
      <c r="P21" s="8">
        <f t="shared" si="7"/>
        <v>49.6</v>
      </c>
      <c r="Q21" s="8" t="str">
        <f t="shared" si="8"/>
        <v>2024 Nationals</v>
      </c>
      <c r="R21" s="8" t="str">
        <f t="shared" si="9"/>
        <v/>
      </c>
      <c r="S21" s="11" t="str">
        <f t="shared" si="10"/>
        <v/>
      </c>
      <c r="T21" s="8" t="str">
        <f t="shared" si="11"/>
        <v/>
      </c>
      <c r="U21" s="19">
        <v>18.8</v>
      </c>
      <c r="V21" s="19">
        <v>4.8</v>
      </c>
      <c r="W21" s="19">
        <v>1.6</v>
      </c>
      <c r="X21" s="19">
        <v>0</v>
      </c>
      <c r="Y21" s="19">
        <v>18.600000000000001</v>
      </c>
      <c r="Z21" s="19">
        <v>6.4</v>
      </c>
      <c r="AA21" s="19">
        <v>0.2</v>
      </c>
      <c r="AB21" s="19">
        <v>0</v>
      </c>
      <c r="AC21" s="19">
        <v>18.899999999999999</v>
      </c>
      <c r="AD21" s="19">
        <v>5.6</v>
      </c>
      <c r="AE21" s="19">
        <v>1.2</v>
      </c>
      <c r="AF21" s="19">
        <v>0</v>
      </c>
      <c r="AG21" s="19"/>
      <c r="AH21" s="19"/>
      <c r="AI21" s="19"/>
      <c r="AJ21" s="19"/>
      <c r="AK21" s="19"/>
      <c r="AL21" s="19"/>
      <c r="AM21" s="19"/>
      <c r="AN21" s="19"/>
      <c r="AO21" s="27"/>
      <c r="AP21" s="40">
        <f t="shared" si="12"/>
        <v>11.2</v>
      </c>
      <c r="AQ21" s="40">
        <f t="shared" si="13"/>
        <v>46.8</v>
      </c>
      <c r="AR21" s="40">
        <f t="shared" si="14"/>
        <v>23.3</v>
      </c>
      <c r="AS21" s="40">
        <f t="shared" si="15"/>
        <v>16.799999999999997</v>
      </c>
      <c r="AT21" s="40">
        <f t="shared" si="16"/>
        <v>70.099999999999994</v>
      </c>
      <c r="AU21" s="40" t="str">
        <f t="shared" si="17"/>
        <v/>
      </c>
      <c r="AV21" s="40" t="str">
        <f t="shared" si="18"/>
        <v/>
      </c>
      <c r="AW21" s="40">
        <f t="shared" si="19"/>
        <v>70.099999999999994</v>
      </c>
      <c r="AX21" s="18">
        <v>18.600000000000001</v>
      </c>
      <c r="AY21" s="18">
        <v>6.4</v>
      </c>
      <c r="AZ21" s="18">
        <v>0.2</v>
      </c>
      <c r="BA21" s="18">
        <v>0</v>
      </c>
      <c r="BB21" s="18">
        <v>18.8</v>
      </c>
      <c r="BC21" s="18">
        <v>6</v>
      </c>
      <c r="BD21" s="18">
        <v>0.6</v>
      </c>
      <c r="BE21" s="18">
        <v>0</v>
      </c>
      <c r="BF21" s="18">
        <v>19.100000000000001</v>
      </c>
      <c r="BG21" s="18">
        <v>5.6</v>
      </c>
      <c r="BH21" s="18">
        <v>0.4</v>
      </c>
      <c r="BI21" s="18">
        <v>0</v>
      </c>
      <c r="BJ21" s="18">
        <v>18.8</v>
      </c>
      <c r="BK21" s="18">
        <v>6.4</v>
      </c>
      <c r="BL21" s="18">
        <v>0.6</v>
      </c>
      <c r="BM21" s="18">
        <v>0</v>
      </c>
      <c r="BN21" s="18">
        <v>19</v>
      </c>
      <c r="BO21" s="18">
        <v>6</v>
      </c>
      <c r="BP21" s="18">
        <v>0</v>
      </c>
      <c r="BQ21" s="18">
        <v>0</v>
      </c>
      <c r="BR21" s="28"/>
      <c r="BS21" s="11">
        <f t="shared" si="20"/>
        <v>12.4</v>
      </c>
      <c r="BT21" s="11">
        <f t="shared" si="21"/>
        <v>48.999999999999993</v>
      </c>
      <c r="BU21" s="11">
        <f t="shared" si="22"/>
        <v>24.300000000000004</v>
      </c>
      <c r="BV21" s="11">
        <f t="shared" si="23"/>
        <v>18</v>
      </c>
      <c r="BW21" s="11">
        <f t="shared" si="24"/>
        <v>73.3</v>
      </c>
      <c r="BX21" s="11">
        <f t="shared" si="25"/>
        <v>12.4</v>
      </c>
      <c r="BY21" s="11">
        <f t="shared" si="26"/>
        <v>49.6</v>
      </c>
      <c r="BZ21" s="11">
        <f t="shared" si="27"/>
        <v>122.9</v>
      </c>
      <c r="CA21" s="19">
        <v>19.2</v>
      </c>
      <c r="CB21" s="19">
        <v>6</v>
      </c>
      <c r="CC21" s="19">
        <v>0</v>
      </c>
      <c r="CD21" s="19">
        <v>0</v>
      </c>
      <c r="CE21" s="19">
        <v>17.399999999999999</v>
      </c>
      <c r="CF21" s="19">
        <v>3.2</v>
      </c>
      <c r="CG21" s="19">
        <v>0</v>
      </c>
      <c r="CH21" s="19">
        <v>0</v>
      </c>
      <c r="CI21" s="19">
        <v>18.899999999999999</v>
      </c>
      <c r="CJ21" s="19">
        <v>6.4</v>
      </c>
      <c r="CK21" s="19">
        <v>0.6</v>
      </c>
      <c r="CL21" s="19">
        <v>0</v>
      </c>
      <c r="CM21" s="19"/>
      <c r="CN21" s="19"/>
      <c r="CO21" s="19"/>
      <c r="CP21" s="19"/>
      <c r="CQ21" s="19"/>
      <c r="CR21" s="19"/>
      <c r="CS21" s="19"/>
      <c r="CT21" s="19"/>
      <c r="CU21" s="27"/>
      <c r="CV21" s="40">
        <f t="shared" si="28"/>
        <v>9.1999999999999993</v>
      </c>
      <c r="CW21" s="40">
        <f t="shared" si="29"/>
        <v>45.8</v>
      </c>
      <c r="CX21" s="40">
        <f t="shared" si="30"/>
        <v>24.699999999999996</v>
      </c>
      <c r="CY21" s="40">
        <f t="shared" si="31"/>
        <v>15.6</v>
      </c>
      <c r="CZ21" s="40">
        <f t="shared" si="32"/>
        <v>70.5</v>
      </c>
      <c r="DA21" s="40" t="str">
        <f t="shared" si="33"/>
        <v/>
      </c>
      <c r="DB21" s="40" t="str">
        <f t="shared" si="34"/>
        <v/>
      </c>
      <c r="DC21" s="40">
        <f t="shared" si="35"/>
        <v>70.5</v>
      </c>
      <c r="DD21" s="51" t="str">
        <f t="shared" si="36"/>
        <v/>
      </c>
      <c r="DE21" s="51" t="str">
        <f t="shared" si="37"/>
        <v/>
      </c>
      <c r="DF21" s="51" t="str">
        <f t="shared" si="38"/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0" t="str">
        <f t="shared" si="39"/>
        <v/>
      </c>
      <c r="EB21" s="40" t="str">
        <f t="shared" si="40"/>
        <v/>
      </c>
      <c r="EC21" s="40" t="str">
        <f t="shared" si="41"/>
        <v/>
      </c>
      <c r="ED21" s="40" t="str">
        <f t="shared" si="42"/>
        <v/>
      </c>
      <c r="EE21" s="40" t="str">
        <f t="shared" si="43"/>
        <v/>
      </c>
      <c r="EF21" s="40" t="str">
        <f t="shared" si="44"/>
        <v/>
      </c>
      <c r="EG21" s="40" t="str">
        <f t="shared" si="45"/>
        <v/>
      </c>
      <c r="EH21" s="40" t="str">
        <f t="shared" si="46"/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 t="shared" si="47"/>
        <v/>
      </c>
      <c r="FD21" s="11" t="str">
        <f t="shared" si="48"/>
        <v/>
      </c>
      <c r="FE21" s="11" t="str">
        <f t="shared" si="49"/>
        <v/>
      </c>
      <c r="FF21" s="11" t="str">
        <f t="shared" si="50"/>
        <v/>
      </c>
      <c r="FG21" s="11" t="str">
        <f t="shared" si="51"/>
        <v/>
      </c>
      <c r="FH21" s="11" t="str">
        <f t="shared" si="52"/>
        <v/>
      </c>
      <c r="FI21" s="11" t="str">
        <f t="shared" si="53"/>
        <v/>
      </c>
      <c r="FJ21" s="11" t="str">
        <f t="shared" si="54"/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0" t="str">
        <f t="shared" si="55"/>
        <v/>
      </c>
      <c r="GF21" s="40" t="str">
        <f t="shared" si="56"/>
        <v/>
      </c>
      <c r="GG21" s="40" t="str">
        <f t="shared" si="57"/>
        <v/>
      </c>
      <c r="GH21" s="40" t="str">
        <f t="shared" si="58"/>
        <v/>
      </c>
      <c r="GI21" s="40" t="str">
        <f t="shared" si="59"/>
        <v/>
      </c>
      <c r="GJ21" s="40" t="str">
        <f t="shared" si="60"/>
        <v/>
      </c>
      <c r="GK21" s="40" t="str">
        <f t="shared" si="61"/>
        <v/>
      </c>
      <c r="GL21" s="40" t="str">
        <f t="shared" si="62"/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 t="shared" si="63"/>
        <v/>
      </c>
      <c r="HH21" s="11" t="str">
        <f t="shared" si="64"/>
        <v/>
      </c>
      <c r="HI21" s="11" t="str">
        <f t="shared" si="65"/>
        <v/>
      </c>
      <c r="HJ21" s="11" t="str">
        <f t="shared" si="66"/>
        <v/>
      </c>
      <c r="HK21" s="11" t="str">
        <f t="shared" si="67"/>
        <v/>
      </c>
      <c r="HL21" s="11" t="str">
        <f t="shared" si="68"/>
        <v/>
      </c>
      <c r="HM21" s="11" t="str">
        <f t="shared" si="69"/>
        <v/>
      </c>
      <c r="HN21" s="11" t="str">
        <f t="shared" si="70"/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0" t="str">
        <f t="shared" si="71"/>
        <v/>
      </c>
      <c r="IJ21" s="40" t="str">
        <f t="shared" si="72"/>
        <v/>
      </c>
      <c r="IK21" s="40" t="str">
        <f t="shared" si="73"/>
        <v/>
      </c>
      <c r="IL21" s="40" t="str">
        <f t="shared" si="74"/>
        <v/>
      </c>
      <c r="IM21" s="40" t="str">
        <f t="shared" si="75"/>
        <v/>
      </c>
      <c r="IN21" s="40" t="str">
        <f t="shared" si="76"/>
        <v/>
      </c>
      <c r="IO21" s="40" t="str">
        <f t="shared" si="77"/>
        <v/>
      </c>
      <c r="IP21" s="40" t="str">
        <f t="shared" si="78"/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 t="shared" si="79"/>
        <v/>
      </c>
      <c r="JL21" s="11" t="str">
        <f t="shared" si="80"/>
        <v/>
      </c>
      <c r="JM21" s="11" t="str">
        <f t="shared" si="81"/>
        <v/>
      </c>
      <c r="JN21" s="11" t="str">
        <f t="shared" si="82"/>
        <v/>
      </c>
      <c r="JO21" s="11" t="str">
        <f t="shared" si="83"/>
        <v/>
      </c>
      <c r="JP21" s="11" t="str">
        <f t="shared" si="84"/>
        <v/>
      </c>
      <c r="JQ21" s="11" t="str">
        <f t="shared" si="85"/>
        <v/>
      </c>
      <c r="JR21" s="11" t="str">
        <f t="shared" si="86"/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0" t="str">
        <f t="shared" si="87"/>
        <v/>
      </c>
      <c r="KN21" s="40" t="str">
        <f t="shared" si="88"/>
        <v/>
      </c>
      <c r="KO21" s="40" t="str">
        <f t="shared" si="89"/>
        <v/>
      </c>
      <c r="KP21" s="40" t="str">
        <f t="shared" si="90"/>
        <v/>
      </c>
      <c r="KQ21" s="40" t="str">
        <f t="shared" si="91"/>
        <v/>
      </c>
      <c r="KR21" s="40" t="str">
        <f t="shared" si="92"/>
        <v/>
      </c>
      <c r="KS21" s="40" t="str">
        <f t="shared" si="93"/>
        <v/>
      </c>
      <c r="KT21" s="40" t="str">
        <f t="shared" si="94"/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 t="shared" si="95"/>
        <v/>
      </c>
      <c r="LP21" s="11" t="str">
        <f t="shared" si="96"/>
        <v/>
      </c>
      <c r="LQ21" s="11" t="str">
        <f t="shared" si="97"/>
        <v/>
      </c>
      <c r="LR21" s="11" t="str">
        <f t="shared" si="98"/>
        <v/>
      </c>
      <c r="LS21" s="11" t="str">
        <f t="shared" si="99"/>
        <v/>
      </c>
      <c r="LT21" s="11" t="str">
        <f t="shared" si="100"/>
        <v/>
      </c>
      <c r="LU21" s="11" t="str">
        <f t="shared" si="101"/>
        <v/>
      </c>
      <c r="LV21" s="11" t="str">
        <f t="shared" si="102"/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0" t="str">
        <f t="shared" si="103"/>
        <v/>
      </c>
      <c r="MR21" s="40" t="str">
        <f t="shared" si="104"/>
        <v/>
      </c>
      <c r="MS21" s="40" t="str">
        <f t="shared" si="105"/>
        <v/>
      </c>
      <c r="MT21" s="40" t="str">
        <f t="shared" si="106"/>
        <v/>
      </c>
      <c r="MU21" s="40" t="str">
        <f t="shared" si="107"/>
        <v/>
      </c>
      <c r="MV21" s="40" t="str">
        <f t="shared" si="108"/>
        <v/>
      </c>
      <c r="MW21" s="40" t="str">
        <f t="shared" si="109"/>
        <v/>
      </c>
      <c r="MX21" s="40" t="str">
        <f t="shared" si="110"/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 t="shared" si="111"/>
        <v/>
      </c>
      <c r="NT21" s="11" t="str">
        <f t="shared" si="112"/>
        <v/>
      </c>
      <c r="NU21" s="11" t="str">
        <f t="shared" si="113"/>
        <v/>
      </c>
      <c r="NV21" s="11" t="str">
        <f t="shared" si="114"/>
        <v/>
      </c>
      <c r="NW21" s="11" t="str">
        <f t="shared" si="115"/>
        <v/>
      </c>
      <c r="NX21" s="11" t="str">
        <f t="shared" si="116"/>
        <v/>
      </c>
      <c r="NY21" s="11" t="str">
        <f t="shared" si="117"/>
        <v/>
      </c>
      <c r="NZ21" s="11" t="str">
        <f t="shared" si="118"/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0" t="str">
        <f t="shared" si="119"/>
        <v/>
      </c>
      <c r="OV21" s="40" t="str">
        <f t="shared" si="120"/>
        <v/>
      </c>
      <c r="OW21" s="40" t="str">
        <f t="shared" si="121"/>
        <v/>
      </c>
      <c r="OX21" s="40" t="str">
        <f t="shared" si="122"/>
        <v/>
      </c>
      <c r="OY21" s="40" t="str">
        <f t="shared" si="123"/>
        <v/>
      </c>
      <c r="OZ21" s="40" t="str">
        <f t="shared" si="124"/>
        <v/>
      </c>
      <c r="PA21" s="40" t="str">
        <f t="shared" si="125"/>
        <v/>
      </c>
      <c r="PB21" s="40" t="str">
        <f t="shared" si="126"/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 t="shared" si="127"/>
        <v/>
      </c>
      <c r="PX21" s="11" t="str">
        <f t="shared" si="128"/>
        <v/>
      </c>
      <c r="PY21" s="11" t="str">
        <f t="shared" si="129"/>
        <v/>
      </c>
      <c r="PZ21" s="11" t="str">
        <f t="shared" si="130"/>
        <v/>
      </c>
      <c r="QA21" s="11" t="str">
        <f t="shared" si="131"/>
        <v/>
      </c>
      <c r="QB21" s="11" t="str">
        <f t="shared" si="132"/>
        <v/>
      </c>
      <c r="QC21" s="11" t="str">
        <f t="shared" si="133"/>
        <v/>
      </c>
      <c r="QD21" s="11" t="str">
        <f t="shared" si="134"/>
        <v/>
      </c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40" t="str">
        <f t="shared" si="135"/>
        <v/>
      </c>
      <c r="QZ21" s="40" t="str">
        <f t="shared" si="136"/>
        <v/>
      </c>
      <c r="RA21" s="40" t="str">
        <f t="shared" si="137"/>
        <v/>
      </c>
      <c r="RB21" s="40" t="str">
        <f t="shared" si="138"/>
        <v/>
      </c>
      <c r="RC21" s="40" t="str">
        <f t="shared" si="139"/>
        <v/>
      </c>
      <c r="RD21" s="40" t="str">
        <f t="shared" si="140"/>
        <v/>
      </c>
      <c r="RE21" s="40" t="str">
        <f t="shared" si="141"/>
        <v/>
      </c>
      <c r="RF21" s="40" t="str">
        <f t="shared" si="142"/>
        <v/>
      </c>
      <c r="RG21" s="18"/>
      <c r="RH21" s="18"/>
      <c r="RI21" s="18"/>
      <c r="RJ21" s="18"/>
      <c r="RK21" s="18"/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1" t="str">
        <f t="shared" si="143"/>
        <v/>
      </c>
      <c r="SB21" s="11" t="str">
        <f t="shared" si="144"/>
        <v/>
      </c>
      <c r="SC21" s="11" t="str">
        <f t="shared" si="145"/>
        <v/>
      </c>
      <c r="SD21" s="11" t="str">
        <f t="shared" si="146"/>
        <v/>
      </c>
      <c r="SE21" s="11" t="str">
        <f t="shared" si="147"/>
        <v/>
      </c>
      <c r="SF21" s="11" t="str">
        <f t="shared" si="148"/>
        <v/>
      </c>
      <c r="SG21" s="11" t="str">
        <f t="shared" si="149"/>
        <v/>
      </c>
      <c r="SH21" s="11" t="str">
        <f t="shared" si="150"/>
        <v/>
      </c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40" t="str">
        <f t="shared" si="151"/>
        <v/>
      </c>
      <c r="TD21" s="40" t="str">
        <f t="shared" si="152"/>
        <v/>
      </c>
      <c r="TE21" s="40" t="str">
        <f t="shared" si="153"/>
        <v/>
      </c>
      <c r="TF21" s="40" t="str">
        <f t="shared" si="154"/>
        <v/>
      </c>
      <c r="TG21" s="40" t="str">
        <f t="shared" si="155"/>
        <v/>
      </c>
      <c r="TH21" s="40" t="str">
        <f t="shared" si="156"/>
        <v/>
      </c>
      <c r="TI21" s="40" t="str">
        <f t="shared" si="157"/>
        <v/>
      </c>
      <c r="TJ21" s="40" t="str">
        <f t="shared" si="158"/>
        <v/>
      </c>
      <c r="TK21" s="26">
        <f t="shared" si="159"/>
        <v>18.899999999999999</v>
      </c>
      <c r="TL21" s="26">
        <f t="shared" si="160"/>
        <v>6.2</v>
      </c>
      <c r="TM21" s="26">
        <f t="shared" si="161"/>
        <v>0.1</v>
      </c>
      <c r="TN21" s="26">
        <f t="shared" si="162"/>
        <v>0</v>
      </c>
      <c r="TO21" s="26">
        <f t="shared" si="163"/>
        <v>18.100000000000001</v>
      </c>
      <c r="TP21" s="26">
        <f t="shared" si="164"/>
        <v>4.5999999999999996</v>
      </c>
      <c r="TQ21" s="26">
        <f t="shared" si="165"/>
        <v>0.3</v>
      </c>
      <c r="TR21" s="26">
        <f t="shared" si="166"/>
        <v>0</v>
      </c>
      <c r="TS21" s="26">
        <f t="shared" si="167"/>
        <v>19</v>
      </c>
      <c r="TT21" s="26">
        <f t="shared" si="168"/>
        <v>6</v>
      </c>
      <c r="TU21" s="26">
        <f t="shared" si="169"/>
        <v>0.5</v>
      </c>
      <c r="TV21" s="26">
        <f t="shared" si="170"/>
        <v>0</v>
      </c>
      <c r="TW21" s="26">
        <f t="shared" si="171"/>
        <v>9.4</v>
      </c>
      <c r="TX21" s="26">
        <f t="shared" si="172"/>
        <v>3.2</v>
      </c>
      <c r="TY21" s="26">
        <f t="shared" si="173"/>
        <v>0.3</v>
      </c>
      <c r="TZ21" s="26">
        <f t="shared" si="174"/>
        <v>0</v>
      </c>
      <c r="UA21" s="26">
        <f t="shared" si="175"/>
        <v>9.5</v>
      </c>
      <c r="UB21" s="26">
        <f t="shared" si="176"/>
        <v>3</v>
      </c>
      <c r="UC21" s="26">
        <f t="shared" si="177"/>
        <v>0</v>
      </c>
      <c r="UD21" s="26">
        <f t="shared" si="178"/>
        <v>0</v>
      </c>
      <c r="UE21" s="28" t="s">
        <v>53</v>
      </c>
      <c r="UF21" s="11">
        <f t="shared" si="179"/>
        <v>10.8</v>
      </c>
      <c r="UG21" s="11">
        <f t="shared" si="180"/>
        <v>47.400000000000006</v>
      </c>
      <c r="UH21" s="11">
        <f t="shared" si="181"/>
        <v>24.5</v>
      </c>
      <c r="UI21" s="11">
        <f t="shared" si="182"/>
        <v>16.8</v>
      </c>
      <c r="UJ21" s="11">
        <f t="shared" si="183"/>
        <v>71.900000000000006</v>
      </c>
      <c r="UK21" s="11">
        <f t="shared" si="184"/>
        <v>6.2</v>
      </c>
      <c r="UL21" s="11">
        <f t="shared" si="185"/>
        <v>24.8</v>
      </c>
      <c r="UM21" s="11">
        <f t="shared" si="186"/>
        <v>96.7</v>
      </c>
    </row>
    <row r="22" spans="1:559" x14ac:dyDescent="0.2">
      <c r="A22" s="4" t="str" cm="1">
        <f t="array" ref="A22">IF(AND(H22&lt;&gt;"",H22&lt;&gt;"No DD"),SUMPRODUCT((H$4:H$28&lt;&gt;"")*(H$4:H$28&lt;&gt;"No DD")*(E$4:E$28&gt;E22))+1,IF(H22="No DD",SUMPRODUCT((H$4:H$28="No DD")*(E$4:E$28&gt;E22))+1+SUMPRODUCT((H$4:H$28&lt;&gt;"")*(H$4:H$28&lt;&gt;"No DD")),""))</f>
        <v/>
      </c>
      <c r="B22" s="5" t="s">
        <v>151</v>
      </c>
      <c r="C22" s="4" t="s">
        <v>3</v>
      </c>
      <c r="D22" s="4">
        <v>2002</v>
      </c>
      <c r="E22" s="9">
        <f t="shared" si="187"/>
        <v>142.400012130005</v>
      </c>
      <c r="F22" s="3" t="str">
        <f t="shared" si="0"/>
        <v/>
      </c>
      <c r="G22" s="3" t="str">
        <f t="shared" si="1"/>
        <v/>
      </c>
      <c r="H22" s="36" t="str">
        <f t="shared" si="2"/>
        <v/>
      </c>
      <c r="I22" s="3" t="str">
        <f t="shared" si="3"/>
        <v/>
      </c>
      <c r="J22" s="8">
        <f>IF(COUNT(AQ22,BT22,CW22)&gt;0,LARGE((AQ22,BT22,CW22),1),0)</f>
        <v>50.4</v>
      </c>
      <c r="K22" s="8" t="str">
        <f t="shared" si="4"/>
        <v>2024 Elite Canada</v>
      </c>
      <c r="L22" s="8">
        <f>IF(COUNT(AQ22,BT22,CW22)&gt;1,LARGE((AQ22,BT22,CW22),2),0)</f>
        <v>44.499999999999993</v>
      </c>
      <c r="M22" s="8" t="str">
        <f t="shared" si="5"/>
        <v>2024 Nationals</v>
      </c>
      <c r="N22" s="8">
        <f>IF(COUNT(AR22,BU22,CX22)&gt;0,LARGE((AR22,BU22,CX22),1),0)</f>
        <v>26.4</v>
      </c>
      <c r="O22" s="8" t="str">
        <f t="shared" si="6"/>
        <v>2024 Nationals</v>
      </c>
      <c r="P22" s="8">
        <f t="shared" si="7"/>
        <v>21.1</v>
      </c>
      <c r="Q22" s="8" t="str">
        <f t="shared" si="8"/>
        <v>2024 Elite Canada</v>
      </c>
      <c r="R22" s="8" t="str">
        <f t="shared" si="9"/>
        <v/>
      </c>
      <c r="S22" s="11" t="str">
        <f t="shared" si="10"/>
        <v/>
      </c>
      <c r="T22" s="8" t="str">
        <f t="shared" si="11"/>
        <v/>
      </c>
      <c r="U22" s="19">
        <v>18.399999999999999</v>
      </c>
      <c r="V22" s="19">
        <v>6.8</v>
      </c>
      <c r="W22" s="19">
        <v>0.8</v>
      </c>
      <c r="X22" s="19">
        <v>0</v>
      </c>
      <c r="Y22" s="19">
        <v>18.600000000000001</v>
      </c>
      <c r="Z22" s="19">
        <v>7.6</v>
      </c>
      <c r="AA22" s="19">
        <v>0.2</v>
      </c>
      <c r="AB22" s="19">
        <v>0</v>
      </c>
      <c r="AC22" s="19">
        <v>18.100000000000001</v>
      </c>
      <c r="AD22" s="19">
        <v>6</v>
      </c>
      <c r="AE22" s="19">
        <v>0</v>
      </c>
      <c r="AF22" s="19">
        <v>0.3</v>
      </c>
      <c r="AG22" s="19">
        <v>18.100000000000001</v>
      </c>
      <c r="AH22" s="19">
        <v>4.5999999999999996</v>
      </c>
      <c r="AI22" s="19">
        <v>1.6</v>
      </c>
      <c r="AJ22" s="19">
        <v>0</v>
      </c>
      <c r="AK22" s="19">
        <v>0</v>
      </c>
      <c r="AL22" s="19">
        <v>0</v>
      </c>
      <c r="AM22" s="19">
        <v>0</v>
      </c>
      <c r="AN22" s="19">
        <v>0</v>
      </c>
      <c r="AO22" s="27"/>
      <c r="AP22" s="40">
        <f t="shared" si="12"/>
        <v>14.399999999999999</v>
      </c>
      <c r="AQ22" s="40">
        <f t="shared" si="13"/>
        <v>50.4</v>
      </c>
      <c r="AR22" s="40">
        <f t="shared" si="14"/>
        <v>24.400000000000002</v>
      </c>
      <c r="AS22" s="40">
        <f t="shared" si="15"/>
        <v>20.399999999999999</v>
      </c>
      <c r="AT22" s="40">
        <f t="shared" si="16"/>
        <v>74.8</v>
      </c>
      <c r="AU22" s="40">
        <f t="shared" si="17"/>
        <v>4.5999999999999996</v>
      </c>
      <c r="AV22" s="40">
        <f t="shared" si="18"/>
        <v>21.1</v>
      </c>
      <c r="AW22" s="40">
        <f t="shared" si="19"/>
        <v>95.9</v>
      </c>
      <c r="AX22" s="18">
        <v>17.5</v>
      </c>
      <c r="AY22" s="18">
        <v>3.2</v>
      </c>
      <c r="AZ22" s="18">
        <v>0</v>
      </c>
      <c r="BA22" s="18">
        <v>0</v>
      </c>
      <c r="BB22" s="18">
        <v>18.399999999999999</v>
      </c>
      <c r="BC22" s="18">
        <v>6.4</v>
      </c>
      <c r="BD22" s="18">
        <v>1</v>
      </c>
      <c r="BE22" s="18">
        <v>0</v>
      </c>
      <c r="BF22" s="18">
        <v>18.600000000000001</v>
      </c>
      <c r="BG22" s="18">
        <v>8.4</v>
      </c>
      <c r="BH22" s="18">
        <v>0.6</v>
      </c>
      <c r="BI22" s="18">
        <v>0</v>
      </c>
      <c r="BJ22" s="18"/>
      <c r="BK22" s="18"/>
      <c r="BL22" s="18"/>
      <c r="BM22" s="18"/>
      <c r="BN22" s="18"/>
      <c r="BO22" s="18"/>
      <c r="BP22" s="18"/>
      <c r="BQ22" s="18"/>
      <c r="BR22" s="28"/>
      <c r="BS22" s="11">
        <f t="shared" si="20"/>
        <v>9.6000000000000014</v>
      </c>
      <c r="BT22" s="11">
        <f t="shared" si="21"/>
        <v>44.499999999999993</v>
      </c>
      <c r="BU22" s="11">
        <f t="shared" si="22"/>
        <v>26.4</v>
      </c>
      <c r="BV22" s="11">
        <f t="shared" si="23"/>
        <v>18</v>
      </c>
      <c r="BW22" s="11">
        <f t="shared" si="24"/>
        <v>70.899999999999991</v>
      </c>
      <c r="BX22" s="11" t="str">
        <f t="shared" si="25"/>
        <v/>
      </c>
      <c r="BY22" s="11" t="str">
        <f t="shared" si="26"/>
        <v/>
      </c>
      <c r="BZ22" s="11">
        <f t="shared" si="27"/>
        <v>70.899999999999991</v>
      </c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27"/>
      <c r="CV22" s="40" t="str">
        <f t="shared" si="28"/>
        <v/>
      </c>
      <c r="CW22" s="40" t="str">
        <f t="shared" si="29"/>
        <v/>
      </c>
      <c r="CX22" s="40" t="str">
        <f t="shared" si="30"/>
        <v/>
      </c>
      <c r="CY22" s="40" t="str">
        <f t="shared" si="31"/>
        <v/>
      </c>
      <c r="CZ22" s="40" t="str">
        <f t="shared" si="32"/>
        <v/>
      </c>
      <c r="DA22" s="40" t="str">
        <f t="shared" si="33"/>
        <v/>
      </c>
      <c r="DB22" s="40" t="str">
        <f t="shared" si="34"/>
        <v/>
      </c>
      <c r="DC22" s="40" t="str">
        <f t="shared" si="35"/>
        <v/>
      </c>
      <c r="DD22" s="51" t="str">
        <f t="shared" si="36"/>
        <v/>
      </c>
      <c r="DE22" s="51" t="str">
        <f t="shared" si="37"/>
        <v/>
      </c>
      <c r="DF22" s="51" t="str">
        <f t="shared" si="38"/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0" t="str">
        <f t="shared" si="39"/>
        <v/>
      </c>
      <c r="EB22" s="40" t="str">
        <f t="shared" si="40"/>
        <v/>
      </c>
      <c r="EC22" s="40" t="str">
        <f t="shared" si="41"/>
        <v/>
      </c>
      <c r="ED22" s="40" t="str">
        <f t="shared" si="42"/>
        <v/>
      </c>
      <c r="EE22" s="40" t="str">
        <f t="shared" si="43"/>
        <v/>
      </c>
      <c r="EF22" s="40" t="str">
        <f t="shared" si="44"/>
        <v/>
      </c>
      <c r="EG22" s="40" t="str">
        <f t="shared" si="45"/>
        <v/>
      </c>
      <c r="EH22" s="40" t="str">
        <f t="shared" si="46"/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 t="shared" si="47"/>
        <v/>
      </c>
      <c r="FD22" s="11" t="str">
        <f t="shared" si="48"/>
        <v/>
      </c>
      <c r="FE22" s="11" t="str">
        <f t="shared" si="49"/>
        <v/>
      </c>
      <c r="FF22" s="11" t="str">
        <f t="shared" si="50"/>
        <v/>
      </c>
      <c r="FG22" s="11" t="str">
        <f t="shared" si="51"/>
        <v/>
      </c>
      <c r="FH22" s="11" t="str">
        <f t="shared" si="52"/>
        <v/>
      </c>
      <c r="FI22" s="11" t="str">
        <f t="shared" si="53"/>
        <v/>
      </c>
      <c r="FJ22" s="11" t="str">
        <f t="shared" si="54"/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0" t="str">
        <f t="shared" si="55"/>
        <v/>
      </c>
      <c r="GF22" s="40" t="str">
        <f t="shared" si="56"/>
        <v/>
      </c>
      <c r="GG22" s="40" t="str">
        <f t="shared" si="57"/>
        <v/>
      </c>
      <c r="GH22" s="40" t="str">
        <f t="shared" si="58"/>
        <v/>
      </c>
      <c r="GI22" s="40" t="str">
        <f t="shared" si="59"/>
        <v/>
      </c>
      <c r="GJ22" s="40" t="str">
        <f t="shared" si="60"/>
        <v/>
      </c>
      <c r="GK22" s="40" t="str">
        <f t="shared" si="61"/>
        <v/>
      </c>
      <c r="GL22" s="40" t="str">
        <f t="shared" si="62"/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 t="shared" si="63"/>
        <v/>
      </c>
      <c r="HH22" s="11" t="str">
        <f t="shared" si="64"/>
        <v/>
      </c>
      <c r="HI22" s="11" t="str">
        <f t="shared" si="65"/>
        <v/>
      </c>
      <c r="HJ22" s="11" t="str">
        <f t="shared" si="66"/>
        <v/>
      </c>
      <c r="HK22" s="11" t="str">
        <f t="shared" si="67"/>
        <v/>
      </c>
      <c r="HL22" s="11" t="str">
        <f t="shared" si="68"/>
        <v/>
      </c>
      <c r="HM22" s="11" t="str">
        <f t="shared" si="69"/>
        <v/>
      </c>
      <c r="HN22" s="11" t="str">
        <f t="shared" si="70"/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0" t="str">
        <f t="shared" si="71"/>
        <v/>
      </c>
      <c r="IJ22" s="40" t="str">
        <f t="shared" si="72"/>
        <v/>
      </c>
      <c r="IK22" s="40" t="str">
        <f t="shared" si="73"/>
        <v/>
      </c>
      <c r="IL22" s="40" t="str">
        <f t="shared" si="74"/>
        <v/>
      </c>
      <c r="IM22" s="40" t="str">
        <f t="shared" si="75"/>
        <v/>
      </c>
      <c r="IN22" s="40" t="str">
        <f t="shared" si="76"/>
        <v/>
      </c>
      <c r="IO22" s="40" t="str">
        <f t="shared" si="77"/>
        <v/>
      </c>
      <c r="IP22" s="40" t="str">
        <f t="shared" si="78"/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 t="shared" si="79"/>
        <v/>
      </c>
      <c r="JL22" s="11" t="str">
        <f t="shared" si="80"/>
        <v/>
      </c>
      <c r="JM22" s="11" t="str">
        <f t="shared" si="81"/>
        <v/>
      </c>
      <c r="JN22" s="11" t="str">
        <f t="shared" si="82"/>
        <v/>
      </c>
      <c r="JO22" s="11" t="str">
        <f t="shared" si="83"/>
        <v/>
      </c>
      <c r="JP22" s="11" t="str">
        <f t="shared" si="84"/>
        <v/>
      </c>
      <c r="JQ22" s="11" t="str">
        <f t="shared" si="85"/>
        <v/>
      </c>
      <c r="JR22" s="11" t="str">
        <f t="shared" si="86"/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0" t="str">
        <f t="shared" si="87"/>
        <v/>
      </c>
      <c r="KN22" s="40" t="str">
        <f t="shared" si="88"/>
        <v/>
      </c>
      <c r="KO22" s="40" t="str">
        <f t="shared" si="89"/>
        <v/>
      </c>
      <c r="KP22" s="40" t="str">
        <f t="shared" si="90"/>
        <v/>
      </c>
      <c r="KQ22" s="40" t="str">
        <f t="shared" si="91"/>
        <v/>
      </c>
      <c r="KR22" s="40" t="str">
        <f t="shared" si="92"/>
        <v/>
      </c>
      <c r="KS22" s="40" t="str">
        <f t="shared" si="93"/>
        <v/>
      </c>
      <c r="KT22" s="40" t="str">
        <f t="shared" si="94"/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 t="shared" si="95"/>
        <v/>
      </c>
      <c r="LP22" s="11" t="str">
        <f t="shared" si="96"/>
        <v/>
      </c>
      <c r="LQ22" s="11" t="str">
        <f t="shared" si="97"/>
        <v/>
      </c>
      <c r="LR22" s="11" t="str">
        <f t="shared" si="98"/>
        <v/>
      </c>
      <c r="LS22" s="11" t="str">
        <f t="shared" si="99"/>
        <v/>
      </c>
      <c r="LT22" s="11" t="str">
        <f t="shared" si="100"/>
        <v/>
      </c>
      <c r="LU22" s="11" t="str">
        <f t="shared" si="101"/>
        <v/>
      </c>
      <c r="LV22" s="11" t="str">
        <f t="shared" si="102"/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0" t="str">
        <f t="shared" si="103"/>
        <v/>
      </c>
      <c r="MR22" s="40" t="str">
        <f t="shared" si="104"/>
        <v/>
      </c>
      <c r="MS22" s="40" t="str">
        <f t="shared" si="105"/>
        <v/>
      </c>
      <c r="MT22" s="40" t="str">
        <f t="shared" si="106"/>
        <v/>
      </c>
      <c r="MU22" s="40" t="str">
        <f t="shared" si="107"/>
        <v/>
      </c>
      <c r="MV22" s="40" t="str">
        <f t="shared" si="108"/>
        <v/>
      </c>
      <c r="MW22" s="40" t="str">
        <f t="shared" si="109"/>
        <v/>
      </c>
      <c r="MX22" s="40" t="str">
        <f t="shared" si="110"/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 t="shared" si="111"/>
        <v/>
      </c>
      <c r="NT22" s="11" t="str">
        <f t="shared" si="112"/>
        <v/>
      </c>
      <c r="NU22" s="11" t="str">
        <f t="shared" si="113"/>
        <v/>
      </c>
      <c r="NV22" s="11" t="str">
        <f t="shared" si="114"/>
        <v/>
      </c>
      <c r="NW22" s="11" t="str">
        <f t="shared" si="115"/>
        <v/>
      </c>
      <c r="NX22" s="11" t="str">
        <f t="shared" si="116"/>
        <v/>
      </c>
      <c r="NY22" s="11" t="str">
        <f t="shared" si="117"/>
        <v/>
      </c>
      <c r="NZ22" s="11" t="str">
        <f t="shared" si="118"/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0" t="str">
        <f t="shared" si="119"/>
        <v/>
      </c>
      <c r="OV22" s="40" t="str">
        <f t="shared" si="120"/>
        <v/>
      </c>
      <c r="OW22" s="40" t="str">
        <f t="shared" si="121"/>
        <v/>
      </c>
      <c r="OX22" s="40" t="str">
        <f t="shared" si="122"/>
        <v/>
      </c>
      <c r="OY22" s="40" t="str">
        <f t="shared" si="123"/>
        <v/>
      </c>
      <c r="OZ22" s="40" t="str">
        <f t="shared" si="124"/>
        <v/>
      </c>
      <c r="PA22" s="40" t="str">
        <f t="shared" si="125"/>
        <v/>
      </c>
      <c r="PB22" s="40" t="str">
        <f t="shared" si="126"/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 t="shared" si="127"/>
        <v/>
      </c>
      <c r="PX22" s="11" t="str">
        <f t="shared" si="128"/>
        <v/>
      </c>
      <c r="PY22" s="11" t="str">
        <f t="shared" si="129"/>
        <v/>
      </c>
      <c r="PZ22" s="11" t="str">
        <f t="shared" si="130"/>
        <v/>
      </c>
      <c r="QA22" s="11" t="str">
        <f t="shared" si="131"/>
        <v/>
      </c>
      <c r="QB22" s="11" t="str">
        <f t="shared" si="132"/>
        <v/>
      </c>
      <c r="QC22" s="11" t="str">
        <f t="shared" si="133"/>
        <v/>
      </c>
      <c r="QD22" s="11" t="str">
        <f t="shared" si="134"/>
        <v/>
      </c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40" t="str">
        <f t="shared" si="135"/>
        <v/>
      </c>
      <c r="QZ22" s="40" t="str">
        <f t="shared" si="136"/>
        <v/>
      </c>
      <c r="RA22" s="40" t="str">
        <f t="shared" si="137"/>
        <v/>
      </c>
      <c r="RB22" s="40" t="str">
        <f t="shared" si="138"/>
        <v/>
      </c>
      <c r="RC22" s="40" t="str">
        <f t="shared" si="139"/>
        <v/>
      </c>
      <c r="RD22" s="40" t="str">
        <f t="shared" si="140"/>
        <v/>
      </c>
      <c r="RE22" s="40" t="str">
        <f t="shared" si="141"/>
        <v/>
      </c>
      <c r="RF22" s="40" t="str">
        <f t="shared" si="142"/>
        <v/>
      </c>
      <c r="RG22" s="18"/>
      <c r="RH22" s="18"/>
      <c r="RI22" s="18"/>
      <c r="RJ22" s="18"/>
      <c r="RK22" s="18"/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1" t="str">
        <f t="shared" si="143"/>
        <v/>
      </c>
      <c r="SB22" s="11" t="str">
        <f t="shared" si="144"/>
        <v/>
      </c>
      <c r="SC22" s="11" t="str">
        <f t="shared" si="145"/>
        <v/>
      </c>
      <c r="SD22" s="11" t="str">
        <f t="shared" si="146"/>
        <v/>
      </c>
      <c r="SE22" s="11" t="str">
        <f t="shared" si="147"/>
        <v/>
      </c>
      <c r="SF22" s="11" t="str">
        <f t="shared" si="148"/>
        <v/>
      </c>
      <c r="SG22" s="11" t="str">
        <f t="shared" si="149"/>
        <v/>
      </c>
      <c r="SH22" s="11" t="str">
        <f t="shared" si="150"/>
        <v/>
      </c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40" t="str">
        <f t="shared" si="151"/>
        <v/>
      </c>
      <c r="TD22" s="40" t="str">
        <f t="shared" si="152"/>
        <v/>
      </c>
      <c r="TE22" s="40" t="str">
        <f t="shared" si="153"/>
        <v/>
      </c>
      <c r="TF22" s="40" t="str">
        <f t="shared" si="154"/>
        <v/>
      </c>
      <c r="TG22" s="40" t="str">
        <f t="shared" si="155"/>
        <v/>
      </c>
      <c r="TH22" s="40" t="str">
        <f t="shared" si="156"/>
        <v/>
      </c>
      <c r="TI22" s="40" t="str">
        <f t="shared" si="157"/>
        <v/>
      </c>
      <c r="TJ22" s="40" t="str">
        <f t="shared" si="158"/>
        <v/>
      </c>
      <c r="TK22" s="26">
        <f t="shared" si="159"/>
        <v>8.75</v>
      </c>
      <c r="TL22" s="26">
        <f t="shared" si="160"/>
        <v>1.6</v>
      </c>
      <c r="TM22" s="26">
        <f t="shared" si="161"/>
        <v>0</v>
      </c>
      <c r="TN22" s="26">
        <f t="shared" si="162"/>
        <v>0</v>
      </c>
      <c r="TO22" s="26">
        <f t="shared" si="163"/>
        <v>9.1999999999999993</v>
      </c>
      <c r="TP22" s="26">
        <f t="shared" si="164"/>
        <v>3.2</v>
      </c>
      <c r="TQ22" s="26">
        <f t="shared" si="165"/>
        <v>0.5</v>
      </c>
      <c r="TR22" s="26">
        <f t="shared" si="166"/>
        <v>0</v>
      </c>
      <c r="TS22" s="26">
        <f t="shared" si="167"/>
        <v>9.3000000000000007</v>
      </c>
      <c r="TT22" s="26">
        <f t="shared" si="168"/>
        <v>4.2</v>
      </c>
      <c r="TU22" s="26">
        <f t="shared" si="169"/>
        <v>0.3</v>
      </c>
      <c r="TV22" s="26">
        <f t="shared" si="170"/>
        <v>0</v>
      </c>
      <c r="TW22" s="26">
        <f t="shared" si="171"/>
        <v>0</v>
      </c>
      <c r="TX22" s="26">
        <f t="shared" si="172"/>
        <v>0</v>
      </c>
      <c r="TY22" s="26">
        <f t="shared" si="173"/>
        <v>0</v>
      </c>
      <c r="TZ22" s="26">
        <f t="shared" si="174"/>
        <v>0</v>
      </c>
      <c r="UA22" s="26">
        <f t="shared" si="175"/>
        <v>0</v>
      </c>
      <c r="UB22" s="26">
        <f t="shared" si="176"/>
        <v>0</v>
      </c>
      <c r="UC22" s="26">
        <f t="shared" si="177"/>
        <v>0</v>
      </c>
      <c r="UD22" s="26">
        <f t="shared" si="178"/>
        <v>0</v>
      </c>
      <c r="UE22" s="28" t="s">
        <v>53</v>
      </c>
      <c r="UF22" s="11">
        <f t="shared" si="179"/>
        <v>4.8000000000000007</v>
      </c>
      <c r="UG22" s="11">
        <f t="shared" si="180"/>
        <v>22.249999999999996</v>
      </c>
      <c r="UH22" s="11">
        <f t="shared" si="181"/>
        <v>13.2</v>
      </c>
      <c r="UI22" s="11">
        <f t="shared" si="182"/>
        <v>9</v>
      </c>
      <c r="UJ22" s="11">
        <f t="shared" si="183"/>
        <v>35.449999999999996</v>
      </c>
      <c r="UK22" s="11" t="str">
        <f t="shared" si="184"/>
        <v/>
      </c>
      <c r="UL22" s="11" t="str">
        <f t="shared" si="185"/>
        <v/>
      </c>
      <c r="UM22" s="11">
        <f t="shared" si="186"/>
        <v>35.449999999999996</v>
      </c>
    </row>
    <row r="23" spans="1:559" x14ac:dyDescent="0.2">
      <c r="A23" s="4" t="str" cm="1">
        <f t="array" ref="A23">IF(AND(H23&lt;&gt;"",H23&lt;&gt;"No DD"),SUMPRODUCT((H$4:H$28&lt;&gt;"")*(H$4:H$28&lt;&gt;"No DD")*(E$4:E$28&gt;E23))+1,IF(H23="No DD",SUMPRODUCT((H$4:H$28="No DD")*(E$4:E$28&gt;E23))+1+SUMPRODUCT((H$4:H$28&lt;&gt;"")*(H$4:H$28&lt;&gt;"No DD")),""))</f>
        <v/>
      </c>
      <c r="B23" s="5" t="s">
        <v>150</v>
      </c>
      <c r="C23" s="4" t="s">
        <v>3</v>
      </c>
      <c r="D23" s="4">
        <v>2000</v>
      </c>
      <c r="E23" s="9">
        <f t="shared" si="187"/>
        <v>123.90001239000502</v>
      </c>
      <c r="F23" s="3" t="str">
        <f t="shared" si="0"/>
        <v/>
      </c>
      <c r="G23" s="3" t="str">
        <f t="shared" si="1"/>
        <v/>
      </c>
      <c r="H23" s="36" t="str">
        <f t="shared" si="2"/>
        <v/>
      </c>
      <c r="I23" s="3" t="str">
        <f t="shared" si="3"/>
        <v/>
      </c>
      <c r="J23" s="8">
        <f>IF(COUNT(AQ23,BT23,CW23)&gt;0,LARGE((AQ23,BT23,CW23),1),0)</f>
        <v>50.099999999999994</v>
      </c>
      <c r="K23" s="8" t="str">
        <f t="shared" si="4"/>
        <v>2024 3rd Domestic Trial</v>
      </c>
      <c r="L23" s="8">
        <f>IF(COUNT(AQ23,BT23,CW23)&gt;1,LARGE((AQ23,BT23,CW23),2),0)</f>
        <v>47.800000000000004</v>
      </c>
      <c r="M23" s="8" t="str">
        <f t="shared" si="5"/>
        <v>2024 Elite Canada</v>
      </c>
      <c r="N23" s="8">
        <f>IF(COUNT(AR23,BU23,CX23)&gt;0,LARGE((AR23,BU23,CX23),1),0)</f>
        <v>26</v>
      </c>
      <c r="O23" s="8" t="str">
        <f t="shared" si="6"/>
        <v>2024 Elite Canada</v>
      </c>
      <c r="P23" s="8">
        <f t="shared" si="7"/>
        <v>0</v>
      </c>
      <c r="Q23" s="8" t="str">
        <f t="shared" si="8"/>
        <v/>
      </c>
      <c r="R23" s="8" t="str">
        <f t="shared" si="9"/>
        <v/>
      </c>
      <c r="S23" s="11" t="str">
        <f t="shared" si="10"/>
        <v/>
      </c>
      <c r="T23" s="8" t="str">
        <f t="shared" si="11"/>
        <v/>
      </c>
      <c r="U23" s="19">
        <v>17.8</v>
      </c>
      <c r="V23" s="19">
        <v>6</v>
      </c>
      <c r="W23" s="19">
        <v>0.8</v>
      </c>
      <c r="X23" s="19">
        <v>0</v>
      </c>
      <c r="Y23" s="19">
        <v>18.8</v>
      </c>
      <c r="Z23" s="19">
        <v>6</v>
      </c>
      <c r="AA23" s="19">
        <v>0</v>
      </c>
      <c r="AB23" s="19">
        <v>0</v>
      </c>
      <c r="AC23" s="19">
        <v>18.8</v>
      </c>
      <c r="AD23" s="19">
        <v>7.2</v>
      </c>
      <c r="AE23" s="19">
        <v>0</v>
      </c>
      <c r="AF23" s="19">
        <v>0</v>
      </c>
      <c r="AG23" s="19"/>
      <c r="AH23" s="19"/>
      <c r="AI23" s="19"/>
      <c r="AJ23" s="19"/>
      <c r="AK23" s="19"/>
      <c r="AL23" s="19"/>
      <c r="AM23" s="19"/>
      <c r="AN23" s="19"/>
      <c r="AO23" s="27"/>
      <c r="AP23" s="40">
        <f t="shared" si="12"/>
        <v>12</v>
      </c>
      <c r="AQ23" s="40">
        <f t="shared" si="13"/>
        <v>47.800000000000004</v>
      </c>
      <c r="AR23" s="40">
        <f t="shared" si="14"/>
        <v>26</v>
      </c>
      <c r="AS23" s="40">
        <f t="shared" si="15"/>
        <v>19.2</v>
      </c>
      <c r="AT23" s="40">
        <f t="shared" si="16"/>
        <v>73.800000000000011</v>
      </c>
      <c r="AU23" s="40" t="str">
        <f t="shared" si="17"/>
        <v/>
      </c>
      <c r="AV23" s="40" t="str">
        <f t="shared" si="18"/>
        <v/>
      </c>
      <c r="AW23" s="40">
        <f t="shared" si="19"/>
        <v>73.800000000000011</v>
      </c>
      <c r="AX23" s="18">
        <v>18.600000000000001</v>
      </c>
      <c r="AY23" s="18">
        <v>6</v>
      </c>
      <c r="AZ23" s="18">
        <v>0</v>
      </c>
      <c r="BA23" s="18">
        <v>0</v>
      </c>
      <c r="BB23" s="18">
        <v>17</v>
      </c>
      <c r="BC23" s="18">
        <v>3.2</v>
      </c>
      <c r="BD23" s="18">
        <v>0</v>
      </c>
      <c r="BE23" s="18">
        <v>0</v>
      </c>
      <c r="BF23" s="18">
        <v>18.399999999999999</v>
      </c>
      <c r="BG23" s="18">
        <v>2.8</v>
      </c>
      <c r="BH23" s="18">
        <v>1.6</v>
      </c>
      <c r="BI23" s="18">
        <v>0</v>
      </c>
      <c r="BJ23" s="18"/>
      <c r="BK23" s="18"/>
      <c r="BL23" s="18"/>
      <c r="BM23" s="18"/>
      <c r="BN23" s="18"/>
      <c r="BO23" s="18"/>
      <c r="BP23" s="18"/>
      <c r="BQ23" s="18"/>
      <c r="BR23" s="28"/>
      <c r="BS23" s="11">
        <f t="shared" si="20"/>
        <v>9.1999999999999993</v>
      </c>
      <c r="BT23" s="11">
        <f t="shared" si="21"/>
        <v>44.800000000000004</v>
      </c>
      <c r="BU23" s="11">
        <f t="shared" si="22"/>
        <v>19.599999999999998</v>
      </c>
      <c r="BV23" s="11">
        <f t="shared" si="23"/>
        <v>12</v>
      </c>
      <c r="BW23" s="11">
        <f t="shared" si="24"/>
        <v>64.400000000000006</v>
      </c>
      <c r="BX23" s="11" t="str">
        <f t="shared" si="25"/>
        <v/>
      </c>
      <c r="BY23" s="11" t="str">
        <f t="shared" si="26"/>
        <v/>
      </c>
      <c r="BZ23" s="11">
        <f t="shared" si="27"/>
        <v>64.400000000000006</v>
      </c>
      <c r="CA23" s="19">
        <v>19.2</v>
      </c>
      <c r="CB23" s="19">
        <v>6</v>
      </c>
      <c r="CC23" s="19">
        <v>0</v>
      </c>
      <c r="CD23" s="19">
        <v>0</v>
      </c>
      <c r="CE23" s="19">
        <v>18.3</v>
      </c>
      <c r="CF23" s="19">
        <v>6.8</v>
      </c>
      <c r="CG23" s="19">
        <v>0.2</v>
      </c>
      <c r="CH23" s="19">
        <v>0</v>
      </c>
      <c r="CI23" s="19">
        <v>18.8</v>
      </c>
      <c r="CJ23" s="19">
        <v>5.6</v>
      </c>
      <c r="CK23" s="19">
        <v>0.6</v>
      </c>
      <c r="CL23" s="19">
        <v>0</v>
      </c>
      <c r="CM23" s="19"/>
      <c r="CN23" s="19"/>
      <c r="CO23" s="19"/>
      <c r="CP23" s="19"/>
      <c r="CQ23" s="19"/>
      <c r="CR23" s="19"/>
      <c r="CS23" s="19"/>
      <c r="CT23" s="19"/>
      <c r="CU23" s="27"/>
      <c r="CV23" s="40">
        <f t="shared" si="28"/>
        <v>12.8</v>
      </c>
      <c r="CW23" s="40">
        <f t="shared" si="29"/>
        <v>50.099999999999994</v>
      </c>
      <c r="CX23" s="40">
        <f t="shared" si="30"/>
        <v>23.799999999999997</v>
      </c>
      <c r="CY23" s="40">
        <f t="shared" si="31"/>
        <v>18.399999999999999</v>
      </c>
      <c r="CZ23" s="40">
        <f t="shared" si="32"/>
        <v>73.899999999999991</v>
      </c>
      <c r="DA23" s="40" t="str">
        <f t="shared" si="33"/>
        <v/>
      </c>
      <c r="DB23" s="40" t="str">
        <f t="shared" si="34"/>
        <v/>
      </c>
      <c r="DC23" s="40">
        <f t="shared" si="35"/>
        <v>73.899999999999991</v>
      </c>
      <c r="DD23" s="51" t="str">
        <f t="shared" si="36"/>
        <v/>
      </c>
      <c r="DE23" s="51" t="str">
        <f t="shared" si="37"/>
        <v/>
      </c>
      <c r="DF23" s="51" t="str">
        <f t="shared" si="38"/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0" t="str">
        <f t="shared" si="39"/>
        <v/>
      </c>
      <c r="EB23" s="40" t="str">
        <f t="shared" si="40"/>
        <v/>
      </c>
      <c r="EC23" s="40" t="str">
        <f t="shared" si="41"/>
        <v/>
      </c>
      <c r="ED23" s="40" t="str">
        <f t="shared" si="42"/>
        <v/>
      </c>
      <c r="EE23" s="40" t="str">
        <f t="shared" si="43"/>
        <v/>
      </c>
      <c r="EF23" s="40" t="str">
        <f t="shared" si="44"/>
        <v/>
      </c>
      <c r="EG23" s="40" t="str">
        <f t="shared" si="45"/>
        <v/>
      </c>
      <c r="EH23" s="40" t="str">
        <f t="shared" si="46"/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 t="shared" si="47"/>
        <v/>
      </c>
      <c r="FD23" s="11" t="str">
        <f t="shared" si="48"/>
        <v/>
      </c>
      <c r="FE23" s="11" t="str">
        <f t="shared" si="49"/>
        <v/>
      </c>
      <c r="FF23" s="11" t="str">
        <f t="shared" si="50"/>
        <v/>
      </c>
      <c r="FG23" s="11" t="str">
        <f t="shared" si="51"/>
        <v/>
      </c>
      <c r="FH23" s="11" t="str">
        <f t="shared" si="52"/>
        <v/>
      </c>
      <c r="FI23" s="11" t="str">
        <f t="shared" si="53"/>
        <v/>
      </c>
      <c r="FJ23" s="11" t="str">
        <f t="shared" si="54"/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0" t="str">
        <f t="shared" si="55"/>
        <v/>
      </c>
      <c r="GF23" s="40" t="str">
        <f t="shared" si="56"/>
        <v/>
      </c>
      <c r="GG23" s="40" t="str">
        <f t="shared" si="57"/>
        <v/>
      </c>
      <c r="GH23" s="40" t="str">
        <f t="shared" si="58"/>
        <v/>
      </c>
      <c r="GI23" s="40" t="str">
        <f t="shared" si="59"/>
        <v/>
      </c>
      <c r="GJ23" s="40" t="str">
        <f t="shared" si="60"/>
        <v/>
      </c>
      <c r="GK23" s="40" t="str">
        <f t="shared" si="61"/>
        <v/>
      </c>
      <c r="GL23" s="40" t="str">
        <f t="shared" si="62"/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 t="shared" si="63"/>
        <v/>
      </c>
      <c r="HH23" s="11" t="str">
        <f t="shared" si="64"/>
        <v/>
      </c>
      <c r="HI23" s="11" t="str">
        <f t="shared" si="65"/>
        <v/>
      </c>
      <c r="HJ23" s="11" t="str">
        <f t="shared" si="66"/>
        <v/>
      </c>
      <c r="HK23" s="11" t="str">
        <f t="shared" si="67"/>
        <v/>
      </c>
      <c r="HL23" s="11" t="str">
        <f t="shared" si="68"/>
        <v/>
      </c>
      <c r="HM23" s="11" t="str">
        <f t="shared" si="69"/>
        <v/>
      </c>
      <c r="HN23" s="11" t="str">
        <f t="shared" si="70"/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0" t="str">
        <f t="shared" si="71"/>
        <v/>
      </c>
      <c r="IJ23" s="40" t="str">
        <f t="shared" si="72"/>
        <v/>
      </c>
      <c r="IK23" s="40" t="str">
        <f t="shared" si="73"/>
        <v/>
      </c>
      <c r="IL23" s="40" t="str">
        <f t="shared" si="74"/>
        <v/>
      </c>
      <c r="IM23" s="40" t="str">
        <f t="shared" si="75"/>
        <v/>
      </c>
      <c r="IN23" s="40" t="str">
        <f t="shared" si="76"/>
        <v/>
      </c>
      <c r="IO23" s="40" t="str">
        <f t="shared" si="77"/>
        <v/>
      </c>
      <c r="IP23" s="40" t="str">
        <f t="shared" si="78"/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 t="shared" si="79"/>
        <v/>
      </c>
      <c r="JL23" s="11" t="str">
        <f t="shared" si="80"/>
        <v/>
      </c>
      <c r="JM23" s="11" t="str">
        <f t="shared" si="81"/>
        <v/>
      </c>
      <c r="JN23" s="11" t="str">
        <f t="shared" si="82"/>
        <v/>
      </c>
      <c r="JO23" s="11" t="str">
        <f t="shared" si="83"/>
        <v/>
      </c>
      <c r="JP23" s="11" t="str">
        <f t="shared" si="84"/>
        <v/>
      </c>
      <c r="JQ23" s="11" t="str">
        <f t="shared" si="85"/>
        <v/>
      </c>
      <c r="JR23" s="11" t="str">
        <f t="shared" si="86"/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0" t="str">
        <f t="shared" si="87"/>
        <v/>
      </c>
      <c r="KN23" s="40" t="str">
        <f t="shared" si="88"/>
        <v/>
      </c>
      <c r="KO23" s="40" t="str">
        <f t="shared" si="89"/>
        <v/>
      </c>
      <c r="KP23" s="40" t="str">
        <f t="shared" si="90"/>
        <v/>
      </c>
      <c r="KQ23" s="40" t="str">
        <f t="shared" si="91"/>
        <v/>
      </c>
      <c r="KR23" s="40" t="str">
        <f t="shared" si="92"/>
        <v/>
      </c>
      <c r="KS23" s="40" t="str">
        <f t="shared" si="93"/>
        <v/>
      </c>
      <c r="KT23" s="40" t="str">
        <f t="shared" si="94"/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 t="shared" si="95"/>
        <v/>
      </c>
      <c r="LP23" s="11" t="str">
        <f t="shared" si="96"/>
        <v/>
      </c>
      <c r="LQ23" s="11" t="str">
        <f t="shared" si="97"/>
        <v/>
      </c>
      <c r="LR23" s="11" t="str">
        <f t="shared" si="98"/>
        <v/>
      </c>
      <c r="LS23" s="11" t="str">
        <f t="shared" si="99"/>
        <v/>
      </c>
      <c r="LT23" s="11" t="str">
        <f t="shared" si="100"/>
        <v/>
      </c>
      <c r="LU23" s="11" t="str">
        <f t="shared" si="101"/>
        <v/>
      </c>
      <c r="LV23" s="11" t="str">
        <f t="shared" si="102"/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0" t="str">
        <f t="shared" si="103"/>
        <v/>
      </c>
      <c r="MR23" s="40" t="str">
        <f t="shared" si="104"/>
        <v/>
      </c>
      <c r="MS23" s="40" t="str">
        <f t="shared" si="105"/>
        <v/>
      </c>
      <c r="MT23" s="40" t="str">
        <f t="shared" si="106"/>
        <v/>
      </c>
      <c r="MU23" s="40" t="str">
        <f t="shared" si="107"/>
        <v/>
      </c>
      <c r="MV23" s="40" t="str">
        <f t="shared" si="108"/>
        <v/>
      </c>
      <c r="MW23" s="40" t="str">
        <f t="shared" si="109"/>
        <v/>
      </c>
      <c r="MX23" s="40" t="str">
        <f t="shared" si="110"/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 t="shared" si="111"/>
        <v/>
      </c>
      <c r="NT23" s="11" t="str">
        <f t="shared" si="112"/>
        <v/>
      </c>
      <c r="NU23" s="11" t="str">
        <f t="shared" si="113"/>
        <v/>
      </c>
      <c r="NV23" s="11" t="str">
        <f t="shared" si="114"/>
        <v/>
      </c>
      <c r="NW23" s="11" t="str">
        <f t="shared" si="115"/>
        <v/>
      </c>
      <c r="NX23" s="11" t="str">
        <f t="shared" si="116"/>
        <v/>
      </c>
      <c r="NY23" s="11" t="str">
        <f t="shared" si="117"/>
        <v/>
      </c>
      <c r="NZ23" s="11" t="str">
        <f t="shared" si="118"/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0" t="str">
        <f t="shared" si="119"/>
        <v/>
      </c>
      <c r="OV23" s="40" t="str">
        <f t="shared" si="120"/>
        <v/>
      </c>
      <c r="OW23" s="40" t="str">
        <f t="shared" si="121"/>
        <v/>
      </c>
      <c r="OX23" s="40" t="str">
        <f t="shared" si="122"/>
        <v/>
      </c>
      <c r="OY23" s="40" t="str">
        <f t="shared" si="123"/>
        <v/>
      </c>
      <c r="OZ23" s="40" t="str">
        <f t="shared" si="124"/>
        <v/>
      </c>
      <c r="PA23" s="40" t="str">
        <f t="shared" si="125"/>
        <v/>
      </c>
      <c r="PB23" s="40" t="str">
        <f t="shared" si="126"/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 t="shared" si="127"/>
        <v/>
      </c>
      <c r="PX23" s="11" t="str">
        <f t="shared" si="128"/>
        <v/>
      </c>
      <c r="PY23" s="11" t="str">
        <f t="shared" si="129"/>
        <v/>
      </c>
      <c r="PZ23" s="11" t="str">
        <f t="shared" si="130"/>
        <v/>
      </c>
      <c r="QA23" s="11" t="str">
        <f t="shared" si="131"/>
        <v/>
      </c>
      <c r="QB23" s="11" t="str">
        <f t="shared" si="132"/>
        <v/>
      </c>
      <c r="QC23" s="11" t="str">
        <f t="shared" si="133"/>
        <v/>
      </c>
      <c r="QD23" s="11" t="str">
        <f t="shared" si="134"/>
        <v/>
      </c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40" t="str">
        <f t="shared" si="135"/>
        <v/>
      </c>
      <c r="QZ23" s="40" t="str">
        <f t="shared" si="136"/>
        <v/>
      </c>
      <c r="RA23" s="40" t="str">
        <f t="shared" si="137"/>
        <v/>
      </c>
      <c r="RB23" s="40" t="str">
        <f t="shared" si="138"/>
        <v/>
      </c>
      <c r="RC23" s="40" t="str">
        <f t="shared" si="139"/>
        <v/>
      </c>
      <c r="RD23" s="40" t="str">
        <f t="shared" si="140"/>
        <v/>
      </c>
      <c r="RE23" s="40" t="str">
        <f t="shared" si="141"/>
        <v/>
      </c>
      <c r="RF23" s="40" t="str">
        <f t="shared" si="142"/>
        <v/>
      </c>
      <c r="RG23" s="18"/>
      <c r="RH23" s="18"/>
      <c r="RI23" s="18"/>
      <c r="RJ23" s="18"/>
      <c r="RK23" s="18"/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1" t="str">
        <f t="shared" si="143"/>
        <v/>
      </c>
      <c r="SB23" s="11" t="str">
        <f t="shared" si="144"/>
        <v/>
      </c>
      <c r="SC23" s="11" t="str">
        <f t="shared" si="145"/>
        <v/>
      </c>
      <c r="SD23" s="11" t="str">
        <f t="shared" si="146"/>
        <v/>
      </c>
      <c r="SE23" s="11" t="str">
        <f t="shared" si="147"/>
        <v/>
      </c>
      <c r="SF23" s="11" t="str">
        <f t="shared" si="148"/>
        <v/>
      </c>
      <c r="SG23" s="11" t="str">
        <f t="shared" si="149"/>
        <v/>
      </c>
      <c r="SH23" s="11" t="str">
        <f t="shared" si="150"/>
        <v/>
      </c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40" t="str">
        <f t="shared" si="151"/>
        <v/>
      </c>
      <c r="TD23" s="40" t="str">
        <f t="shared" si="152"/>
        <v/>
      </c>
      <c r="TE23" s="40" t="str">
        <f t="shared" si="153"/>
        <v/>
      </c>
      <c r="TF23" s="40" t="str">
        <f t="shared" si="154"/>
        <v/>
      </c>
      <c r="TG23" s="40" t="str">
        <f t="shared" si="155"/>
        <v/>
      </c>
      <c r="TH23" s="40" t="str">
        <f t="shared" si="156"/>
        <v/>
      </c>
      <c r="TI23" s="40" t="str">
        <f t="shared" si="157"/>
        <v/>
      </c>
      <c r="TJ23" s="40" t="str">
        <f t="shared" si="158"/>
        <v/>
      </c>
      <c r="TK23" s="26">
        <f t="shared" si="159"/>
        <v>18.899999999999999</v>
      </c>
      <c r="TL23" s="26">
        <f t="shared" si="160"/>
        <v>6</v>
      </c>
      <c r="TM23" s="26">
        <f t="shared" si="161"/>
        <v>0</v>
      </c>
      <c r="TN23" s="26">
        <f t="shared" si="162"/>
        <v>0</v>
      </c>
      <c r="TO23" s="26">
        <f t="shared" si="163"/>
        <v>17.649999999999999</v>
      </c>
      <c r="TP23" s="26">
        <f t="shared" si="164"/>
        <v>5</v>
      </c>
      <c r="TQ23" s="26">
        <f t="shared" si="165"/>
        <v>0.1</v>
      </c>
      <c r="TR23" s="26">
        <f t="shared" si="166"/>
        <v>0</v>
      </c>
      <c r="TS23" s="26">
        <f t="shared" si="167"/>
        <v>18.600000000000001</v>
      </c>
      <c r="TT23" s="26">
        <f t="shared" si="168"/>
        <v>4.1999999999999993</v>
      </c>
      <c r="TU23" s="26">
        <f t="shared" si="169"/>
        <v>1.1000000000000001</v>
      </c>
      <c r="TV23" s="26">
        <f t="shared" si="170"/>
        <v>0</v>
      </c>
      <c r="TW23" s="26">
        <f t="shared" si="171"/>
        <v>0</v>
      </c>
      <c r="TX23" s="26">
        <f t="shared" si="172"/>
        <v>0</v>
      </c>
      <c r="TY23" s="26">
        <f t="shared" si="173"/>
        <v>0</v>
      </c>
      <c r="TZ23" s="26">
        <f t="shared" si="174"/>
        <v>0</v>
      </c>
      <c r="UA23" s="26">
        <f t="shared" si="175"/>
        <v>0</v>
      </c>
      <c r="UB23" s="26">
        <f t="shared" si="176"/>
        <v>0</v>
      </c>
      <c r="UC23" s="26">
        <f t="shared" si="177"/>
        <v>0</v>
      </c>
      <c r="UD23" s="26">
        <f t="shared" si="178"/>
        <v>0</v>
      </c>
      <c r="UE23" s="28" t="s">
        <v>53</v>
      </c>
      <c r="UF23" s="11">
        <f t="shared" si="179"/>
        <v>11</v>
      </c>
      <c r="UG23" s="11">
        <f t="shared" si="180"/>
        <v>47.449999999999996</v>
      </c>
      <c r="UH23" s="11">
        <f t="shared" si="181"/>
        <v>21.7</v>
      </c>
      <c r="UI23" s="11">
        <f t="shared" si="182"/>
        <v>15.2</v>
      </c>
      <c r="UJ23" s="11">
        <f t="shared" si="183"/>
        <v>69.149999999999991</v>
      </c>
      <c r="UK23" s="11" t="str">
        <f t="shared" si="184"/>
        <v/>
      </c>
      <c r="UL23" s="11" t="str">
        <f t="shared" si="185"/>
        <v/>
      </c>
      <c r="UM23" s="11">
        <f t="shared" si="186"/>
        <v>69.149999999999991</v>
      </c>
    </row>
    <row r="24" spans="1:559" x14ac:dyDescent="0.2">
      <c r="A24" s="4" cm="1">
        <f t="array" ref="A24">IF(AND(H24&lt;&gt;"",H24&lt;&gt;"No DD"),SUMPRODUCT((H$4:H$28&lt;&gt;"")*(H$4:H$28&lt;&gt;"No DD")*(E$4:E$28&gt;E24))+1,IF(H24="No DD",SUMPRODUCT((H$4:H$28="No DD")*(E$4:E$28&gt;E24))+1+SUMPRODUCT((H$4:H$28&lt;&gt;"")*(H$4:H$28&lt;&gt;"No DD")),""))</f>
        <v>14</v>
      </c>
      <c r="B24" s="5" t="s">
        <v>239</v>
      </c>
      <c r="C24" s="4" t="s">
        <v>7</v>
      </c>
      <c r="D24" s="4">
        <v>2003</v>
      </c>
      <c r="E24" s="9">
        <f t="shared" si="187"/>
        <v>120.80000715000511</v>
      </c>
      <c r="F24" s="3" t="str">
        <f t="shared" si="0"/>
        <v/>
      </c>
      <c r="G24" s="3" t="str">
        <f t="shared" si="1"/>
        <v>P</v>
      </c>
      <c r="H24" s="36" t="str">
        <f t="shared" si="2"/>
        <v>No DD</v>
      </c>
      <c r="I24" s="3" t="str">
        <f t="shared" si="3"/>
        <v/>
      </c>
      <c r="J24" s="8">
        <f>IF(COUNT(AQ24,BT24,CW24)&gt;0,LARGE((AQ24,BT24,CW24),1),0)</f>
        <v>51.2</v>
      </c>
      <c r="K24" s="8" t="str">
        <f t="shared" si="4"/>
        <v>2024 Nationals</v>
      </c>
      <c r="L24" s="8">
        <f>IF(COUNT(AQ24,BT24,CW24)&gt;1,LARGE((AQ24,BT24,CW24),2),0)</f>
        <v>0</v>
      </c>
      <c r="M24" s="8" t="str">
        <f t="shared" si="5"/>
        <v/>
      </c>
      <c r="N24" s="8">
        <f>IF(COUNT(AR24,BU24,CX24)&gt;0,LARGE((AR24,BU24,CX24),1),0)</f>
        <v>20.3</v>
      </c>
      <c r="O24" s="8" t="str">
        <f t="shared" si="6"/>
        <v>2024 Nationals</v>
      </c>
      <c r="P24" s="8">
        <f t="shared" si="7"/>
        <v>0</v>
      </c>
      <c r="Q24" s="8" t="str">
        <f t="shared" si="8"/>
        <v/>
      </c>
      <c r="R24" s="8">
        <f t="shared" si="9"/>
        <v>49.3</v>
      </c>
      <c r="S24" s="11" t="str">
        <f t="shared" si="10"/>
        <v>(Q1)</v>
      </c>
      <c r="T24" s="8" t="str">
        <f t="shared" si="11"/>
        <v>2024 Coimbra Gym Fest (July 7)</v>
      </c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27"/>
      <c r="AP24" s="40" t="str">
        <f t="shared" si="12"/>
        <v/>
      </c>
      <c r="AQ24" s="40" t="str">
        <f t="shared" si="13"/>
        <v/>
      </c>
      <c r="AR24" s="40" t="str">
        <f t="shared" si="14"/>
        <v/>
      </c>
      <c r="AS24" s="40" t="str">
        <f t="shared" si="15"/>
        <v/>
      </c>
      <c r="AT24" s="40" t="str">
        <f t="shared" si="16"/>
        <v/>
      </c>
      <c r="AU24" s="40" t="str">
        <f t="shared" si="17"/>
        <v/>
      </c>
      <c r="AV24" s="40" t="str">
        <f t="shared" si="18"/>
        <v/>
      </c>
      <c r="AW24" s="40" t="str">
        <f t="shared" si="19"/>
        <v/>
      </c>
      <c r="AX24" s="18">
        <v>18.7</v>
      </c>
      <c r="AY24" s="18">
        <v>6.9</v>
      </c>
      <c r="AZ24" s="18">
        <v>0</v>
      </c>
      <c r="BA24" s="18">
        <v>0</v>
      </c>
      <c r="BB24" s="18">
        <v>19</v>
      </c>
      <c r="BC24" s="18">
        <v>7.2</v>
      </c>
      <c r="BD24" s="18">
        <v>0.6</v>
      </c>
      <c r="BE24" s="18">
        <v>0</v>
      </c>
      <c r="BF24" s="18">
        <v>17.3</v>
      </c>
      <c r="BG24" s="18">
        <v>3.2</v>
      </c>
      <c r="BH24" s="18">
        <v>0.2</v>
      </c>
      <c r="BI24" s="18">
        <v>0</v>
      </c>
      <c r="BJ24" s="18"/>
      <c r="BK24" s="18"/>
      <c r="BL24" s="18"/>
      <c r="BM24" s="18"/>
      <c r="BN24" s="18"/>
      <c r="BO24" s="18"/>
      <c r="BP24" s="18"/>
      <c r="BQ24" s="18"/>
      <c r="BR24" s="28"/>
      <c r="BS24" s="11">
        <f t="shared" si="20"/>
        <v>14.100000000000001</v>
      </c>
      <c r="BT24" s="11">
        <f t="shared" si="21"/>
        <v>51.2</v>
      </c>
      <c r="BU24" s="11">
        <f t="shared" si="22"/>
        <v>20.3</v>
      </c>
      <c r="BV24" s="11">
        <f t="shared" si="23"/>
        <v>17.3</v>
      </c>
      <c r="BW24" s="11">
        <f t="shared" si="24"/>
        <v>71.5</v>
      </c>
      <c r="BX24" s="11" t="str">
        <f t="shared" si="25"/>
        <v/>
      </c>
      <c r="BY24" s="11" t="str">
        <f t="shared" si="26"/>
        <v/>
      </c>
      <c r="BZ24" s="11">
        <f t="shared" si="27"/>
        <v>71.5</v>
      </c>
      <c r="CA24" s="19"/>
      <c r="CB24" s="19"/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27"/>
      <c r="CV24" s="40" t="str">
        <f t="shared" si="28"/>
        <v/>
      </c>
      <c r="CW24" s="40" t="str">
        <f t="shared" si="29"/>
        <v/>
      </c>
      <c r="CX24" s="40" t="str">
        <f t="shared" si="30"/>
        <v/>
      </c>
      <c r="CY24" s="40" t="str">
        <f t="shared" si="31"/>
        <v/>
      </c>
      <c r="CZ24" s="40" t="str">
        <f t="shared" si="32"/>
        <v/>
      </c>
      <c r="DA24" s="40" t="str">
        <f t="shared" si="33"/>
        <v/>
      </c>
      <c r="DB24" s="40" t="str">
        <f t="shared" si="34"/>
        <v/>
      </c>
      <c r="DC24" s="40" t="str">
        <f t="shared" si="35"/>
        <v/>
      </c>
      <c r="DD24" s="51">
        <f t="shared" si="36"/>
        <v>49.3</v>
      </c>
      <c r="DE24" s="51" t="str">
        <f t="shared" si="37"/>
        <v/>
      </c>
      <c r="DF24" s="51" t="str">
        <f t="shared" si="38"/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0" t="str">
        <f t="shared" si="39"/>
        <v/>
      </c>
      <c r="EB24" s="40" t="str">
        <f t="shared" si="40"/>
        <v/>
      </c>
      <c r="EC24" s="40" t="str">
        <f t="shared" si="41"/>
        <v/>
      </c>
      <c r="ED24" s="40" t="str">
        <f t="shared" si="42"/>
        <v/>
      </c>
      <c r="EE24" s="40" t="str">
        <f t="shared" si="43"/>
        <v/>
      </c>
      <c r="EF24" s="40" t="str">
        <f t="shared" si="44"/>
        <v/>
      </c>
      <c r="EG24" s="40" t="str">
        <f t="shared" si="45"/>
        <v/>
      </c>
      <c r="EH24" s="40" t="str">
        <f t="shared" si="46"/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 t="shared" si="47"/>
        <v/>
      </c>
      <c r="FD24" s="11" t="str">
        <f t="shared" si="48"/>
        <v/>
      </c>
      <c r="FE24" s="11" t="str">
        <f t="shared" si="49"/>
        <v/>
      </c>
      <c r="FF24" s="11" t="str">
        <f t="shared" si="50"/>
        <v/>
      </c>
      <c r="FG24" s="11" t="str">
        <f t="shared" si="51"/>
        <v/>
      </c>
      <c r="FH24" s="11" t="str">
        <f t="shared" si="52"/>
        <v/>
      </c>
      <c r="FI24" s="11" t="str">
        <f t="shared" si="53"/>
        <v/>
      </c>
      <c r="FJ24" s="11" t="str">
        <f t="shared" si="54"/>
        <v/>
      </c>
      <c r="FK24" s="17">
        <v>18.5</v>
      </c>
      <c r="FL24" s="17">
        <v>4.8</v>
      </c>
      <c r="FM24" s="17">
        <v>0</v>
      </c>
      <c r="FN24" s="17">
        <v>0</v>
      </c>
      <c r="FO24" s="17">
        <v>18.7</v>
      </c>
      <c r="FP24" s="17">
        <v>7.3</v>
      </c>
      <c r="FQ24" s="17">
        <v>0</v>
      </c>
      <c r="FR24" s="17">
        <v>0</v>
      </c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0">
        <f t="shared" si="55"/>
        <v>12.1</v>
      </c>
      <c r="GF24" s="40">
        <f t="shared" si="56"/>
        <v>49.3</v>
      </c>
      <c r="GG24" s="40" t="str">
        <f t="shared" si="57"/>
        <v/>
      </c>
      <c r="GH24" s="40">
        <f t="shared" si="58"/>
        <v>12.1</v>
      </c>
      <c r="GI24" s="40">
        <f t="shared" si="59"/>
        <v>49.3</v>
      </c>
      <c r="GJ24" s="40" t="str">
        <f t="shared" si="60"/>
        <v/>
      </c>
      <c r="GK24" s="40" t="str">
        <f t="shared" si="61"/>
        <v/>
      </c>
      <c r="GL24" s="40">
        <f t="shared" si="62"/>
        <v>49.3</v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 t="shared" si="63"/>
        <v/>
      </c>
      <c r="HH24" s="11" t="str">
        <f t="shared" si="64"/>
        <v/>
      </c>
      <c r="HI24" s="11" t="str">
        <f t="shared" si="65"/>
        <v/>
      </c>
      <c r="HJ24" s="11" t="str">
        <f t="shared" si="66"/>
        <v/>
      </c>
      <c r="HK24" s="11" t="str">
        <f t="shared" si="67"/>
        <v/>
      </c>
      <c r="HL24" s="11" t="str">
        <f t="shared" si="68"/>
        <v/>
      </c>
      <c r="HM24" s="11" t="str">
        <f t="shared" si="69"/>
        <v/>
      </c>
      <c r="HN24" s="11" t="str">
        <f t="shared" si="70"/>
        <v/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0" t="str">
        <f t="shared" si="71"/>
        <v/>
      </c>
      <c r="IJ24" s="40" t="str">
        <f t="shared" si="72"/>
        <v/>
      </c>
      <c r="IK24" s="40" t="str">
        <f t="shared" si="73"/>
        <v/>
      </c>
      <c r="IL24" s="40" t="str">
        <f t="shared" si="74"/>
        <v/>
      </c>
      <c r="IM24" s="40" t="str">
        <f t="shared" si="75"/>
        <v/>
      </c>
      <c r="IN24" s="40" t="str">
        <f t="shared" si="76"/>
        <v/>
      </c>
      <c r="IO24" s="40" t="str">
        <f t="shared" si="77"/>
        <v/>
      </c>
      <c r="IP24" s="40" t="str">
        <f t="shared" si="78"/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 t="shared" si="79"/>
        <v/>
      </c>
      <c r="JL24" s="11" t="str">
        <f t="shared" si="80"/>
        <v/>
      </c>
      <c r="JM24" s="11" t="str">
        <f t="shared" si="81"/>
        <v/>
      </c>
      <c r="JN24" s="11" t="str">
        <f t="shared" si="82"/>
        <v/>
      </c>
      <c r="JO24" s="11" t="str">
        <f t="shared" si="83"/>
        <v/>
      </c>
      <c r="JP24" s="11" t="str">
        <f t="shared" si="84"/>
        <v/>
      </c>
      <c r="JQ24" s="11" t="str">
        <f t="shared" si="85"/>
        <v/>
      </c>
      <c r="JR24" s="11" t="str">
        <f t="shared" si="86"/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0" t="str">
        <f t="shared" si="87"/>
        <v/>
      </c>
      <c r="KN24" s="40" t="str">
        <f t="shared" si="88"/>
        <v/>
      </c>
      <c r="KO24" s="40" t="str">
        <f t="shared" si="89"/>
        <v/>
      </c>
      <c r="KP24" s="40" t="str">
        <f t="shared" si="90"/>
        <v/>
      </c>
      <c r="KQ24" s="40" t="str">
        <f t="shared" si="91"/>
        <v/>
      </c>
      <c r="KR24" s="40" t="str">
        <f t="shared" si="92"/>
        <v/>
      </c>
      <c r="KS24" s="40" t="str">
        <f t="shared" si="93"/>
        <v/>
      </c>
      <c r="KT24" s="40" t="str">
        <f t="shared" si="94"/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 t="shared" si="95"/>
        <v/>
      </c>
      <c r="LP24" s="11" t="str">
        <f t="shared" si="96"/>
        <v/>
      </c>
      <c r="LQ24" s="11" t="str">
        <f t="shared" si="97"/>
        <v/>
      </c>
      <c r="LR24" s="11" t="str">
        <f t="shared" si="98"/>
        <v/>
      </c>
      <c r="LS24" s="11" t="str">
        <f t="shared" si="99"/>
        <v/>
      </c>
      <c r="LT24" s="11" t="str">
        <f t="shared" si="100"/>
        <v/>
      </c>
      <c r="LU24" s="11" t="str">
        <f t="shared" si="101"/>
        <v/>
      </c>
      <c r="LV24" s="11" t="str">
        <f t="shared" si="102"/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0" t="str">
        <f t="shared" si="103"/>
        <v/>
      </c>
      <c r="MR24" s="40" t="str">
        <f t="shared" si="104"/>
        <v/>
      </c>
      <c r="MS24" s="40" t="str">
        <f t="shared" si="105"/>
        <v/>
      </c>
      <c r="MT24" s="40" t="str">
        <f t="shared" si="106"/>
        <v/>
      </c>
      <c r="MU24" s="40" t="str">
        <f t="shared" si="107"/>
        <v/>
      </c>
      <c r="MV24" s="40" t="str">
        <f t="shared" si="108"/>
        <v/>
      </c>
      <c r="MW24" s="40" t="str">
        <f t="shared" si="109"/>
        <v/>
      </c>
      <c r="MX24" s="40" t="str">
        <f t="shared" si="110"/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 t="shared" si="111"/>
        <v/>
      </c>
      <c r="NT24" s="11" t="str">
        <f t="shared" si="112"/>
        <v/>
      </c>
      <c r="NU24" s="11" t="str">
        <f t="shared" si="113"/>
        <v/>
      </c>
      <c r="NV24" s="11" t="str">
        <f t="shared" si="114"/>
        <v/>
      </c>
      <c r="NW24" s="11" t="str">
        <f t="shared" si="115"/>
        <v/>
      </c>
      <c r="NX24" s="11" t="str">
        <f t="shared" si="116"/>
        <v/>
      </c>
      <c r="NY24" s="11" t="str">
        <f t="shared" si="117"/>
        <v/>
      </c>
      <c r="NZ24" s="11" t="str">
        <f t="shared" si="118"/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0" t="str">
        <f t="shared" si="119"/>
        <v/>
      </c>
      <c r="OV24" s="40" t="str">
        <f t="shared" si="120"/>
        <v/>
      </c>
      <c r="OW24" s="40" t="str">
        <f t="shared" si="121"/>
        <v/>
      </c>
      <c r="OX24" s="40" t="str">
        <f t="shared" si="122"/>
        <v/>
      </c>
      <c r="OY24" s="40" t="str">
        <f t="shared" si="123"/>
        <v/>
      </c>
      <c r="OZ24" s="40" t="str">
        <f t="shared" si="124"/>
        <v/>
      </c>
      <c r="PA24" s="40" t="str">
        <f t="shared" si="125"/>
        <v/>
      </c>
      <c r="PB24" s="40" t="str">
        <f t="shared" si="126"/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 t="shared" si="127"/>
        <v/>
      </c>
      <c r="PX24" s="11" t="str">
        <f t="shared" si="128"/>
        <v/>
      </c>
      <c r="PY24" s="11" t="str">
        <f t="shared" si="129"/>
        <v/>
      </c>
      <c r="PZ24" s="11" t="str">
        <f t="shared" si="130"/>
        <v/>
      </c>
      <c r="QA24" s="11" t="str">
        <f t="shared" si="131"/>
        <v/>
      </c>
      <c r="QB24" s="11" t="str">
        <f t="shared" si="132"/>
        <v/>
      </c>
      <c r="QC24" s="11" t="str">
        <f t="shared" si="133"/>
        <v/>
      </c>
      <c r="QD24" s="11" t="str">
        <f t="shared" si="134"/>
        <v/>
      </c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40" t="str">
        <f t="shared" si="135"/>
        <v/>
      </c>
      <c r="QZ24" s="40" t="str">
        <f t="shared" si="136"/>
        <v/>
      </c>
      <c r="RA24" s="40" t="str">
        <f t="shared" si="137"/>
        <v/>
      </c>
      <c r="RB24" s="40" t="str">
        <f t="shared" si="138"/>
        <v/>
      </c>
      <c r="RC24" s="40" t="str">
        <f t="shared" si="139"/>
        <v/>
      </c>
      <c r="RD24" s="40" t="str">
        <f t="shared" si="140"/>
        <v/>
      </c>
      <c r="RE24" s="40" t="str">
        <f t="shared" si="141"/>
        <v/>
      </c>
      <c r="RF24" s="40" t="str">
        <f t="shared" si="142"/>
        <v/>
      </c>
      <c r="RG24" s="18"/>
      <c r="RH24" s="18"/>
      <c r="RI24" s="18"/>
      <c r="RJ24" s="18"/>
      <c r="RK24" s="18"/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1" t="str">
        <f t="shared" si="143"/>
        <v/>
      </c>
      <c r="SB24" s="11" t="str">
        <f t="shared" si="144"/>
        <v/>
      </c>
      <c r="SC24" s="11" t="str">
        <f t="shared" si="145"/>
        <v/>
      </c>
      <c r="SD24" s="11" t="str">
        <f t="shared" si="146"/>
        <v/>
      </c>
      <c r="SE24" s="11" t="str">
        <f t="shared" si="147"/>
        <v/>
      </c>
      <c r="SF24" s="11" t="str">
        <f t="shared" si="148"/>
        <v/>
      </c>
      <c r="SG24" s="11" t="str">
        <f t="shared" si="149"/>
        <v/>
      </c>
      <c r="SH24" s="11" t="str">
        <f t="shared" si="150"/>
        <v/>
      </c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40" t="str">
        <f t="shared" si="151"/>
        <v/>
      </c>
      <c r="TD24" s="40" t="str">
        <f t="shared" si="152"/>
        <v/>
      </c>
      <c r="TE24" s="40" t="str">
        <f t="shared" si="153"/>
        <v/>
      </c>
      <c r="TF24" s="40" t="str">
        <f t="shared" si="154"/>
        <v/>
      </c>
      <c r="TG24" s="40" t="str">
        <f t="shared" si="155"/>
        <v/>
      </c>
      <c r="TH24" s="40" t="str">
        <f t="shared" si="156"/>
        <v/>
      </c>
      <c r="TI24" s="40" t="str">
        <f t="shared" si="157"/>
        <v/>
      </c>
      <c r="TJ24" s="40" t="str">
        <f t="shared" si="158"/>
        <v/>
      </c>
      <c r="TK24" s="26">
        <f t="shared" si="159"/>
        <v>9.35</v>
      </c>
      <c r="TL24" s="26">
        <f t="shared" si="160"/>
        <v>3.45</v>
      </c>
      <c r="TM24" s="26">
        <f t="shared" si="161"/>
        <v>0</v>
      </c>
      <c r="TN24" s="26">
        <f t="shared" si="162"/>
        <v>0</v>
      </c>
      <c r="TO24" s="26">
        <f t="shared" si="163"/>
        <v>9.5</v>
      </c>
      <c r="TP24" s="26">
        <f t="shared" si="164"/>
        <v>3.6</v>
      </c>
      <c r="TQ24" s="26">
        <f t="shared" si="165"/>
        <v>0.3</v>
      </c>
      <c r="TR24" s="26">
        <f t="shared" si="166"/>
        <v>0</v>
      </c>
      <c r="TS24" s="26">
        <f t="shared" si="167"/>
        <v>8.65</v>
      </c>
      <c r="TT24" s="26">
        <f t="shared" si="168"/>
        <v>1.6</v>
      </c>
      <c r="TU24" s="26">
        <f t="shared" si="169"/>
        <v>0.1</v>
      </c>
      <c r="TV24" s="26">
        <f t="shared" si="170"/>
        <v>0</v>
      </c>
      <c r="TW24" s="26">
        <f t="shared" si="171"/>
        <v>0</v>
      </c>
      <c r="TX24" s="26">
        <f t="shared" si="172"/>
        <v>0</v>
      </c>
      <c r="TY24" s="26">
        <f t="shared" si="173"/>
        <v>0</v>
      </c>
      <c r="TZ24" s="26">
        <f t="shared" si="174"/>
        <v>0</v>
      </c>
      <c r="UA24" s="26">
        <f t="shared" si="175"/>
        <v>0</v>
      </c>
      <c r="UB24" s="26">
        <f t="shared" si="176"/>
        <v>0</v>
      </c>
      <c r="UC24" s="26">
        <f t="shared" si="177"/>
        <v>0</v>
      </c>
      <c r="UD24" s="26">
        <f t="shared" si="178"/>
        <v>0</v>
      </c>
      <c r="UE24" s="28" t="s">
        <v>53</v>
      </c>
      <c r="UF24" s="11">
        <f t="shared" si="179"/>
        <v>7.0500000000000007</v>
      </c>
      <c r="UG24" s="11">
        <f t="shared" si="180"/>
        <v>25.6</v>
      </c>
      <c r="UH24" s="11">
        <f t="shared" si="181"/>
        <v>10.15</v>
      </c>
      <c r="UI24" s="11">
        <f t="shared" si="182"/>
        <v>8.65</v>
      </c>
      <c r="UJ24" s="11">
        <f t="shared" si="183"/>
        <v>35.75</v>
      </c>
      <c r="UK24" s="11" t="str">
        <f t="shared" si="184"/>
        <v/>
      </c>
      <c r="UL24" s="11" t="str">
        <f t="shared" si="185"/>
        <v/>
      </c>
      <c r="UM24" s="11">
        <f t="shared" si="186"/>
        <v>35.75</v>
      </c>
    </row>
    <row r="25" spans="1:559" x14ac:dyDescent="0.2">
      <c r="A25" s="4" t="str" cm="1">
        <f t="array" ref="A25">IF(AND(H25&lt;&gt;"",H25&lt;&gt;"No DD"),SUMPRODUCT((H$4:H$28&lt;&gt;"")*(H$4:H$28&lt;&gt;"No DD")*(E$4:E$28&gt;E25))+1,IF(H25="No DD",SUMPRODUCT((H$4:H$28="No DD")*(E$4:E$28&gt;E25))+1+SUMPRODUCT((H$4:H$28&lt;&gt;"")*(H$4:H$28&lt;&gt;"No DD")),""))</f>
        <v/>
      </c>
      <c r="B25" s="5" t="s">
        <v>215</v>
      </c>
      <c r="C25" s="4" t="s">
        <v>6</v>
      </c>
      <c r="D25" s="4">
        <v>2006</v>
      </c>
      <c r="E25" s="9">
        <f t="shared" si="187"/>
        <v>114.1000114100049</v>
      </c>
      <c r="F25" s="3" t="str">
        <f t="shared" si="0"/>
        <v/>
      </c>
      <c r="G25" s="3" t="str">
        <f t="shared" si="1"/>
        <v/>
      </c>
      <c r="H25" s="36" t="str">
        <f t="shared" si="2"/>
        <v/>
      </c>
      <c r="I25" s="3" t="str">
        <f t="shared" si="3"/>
        <v/>
      </c>
      <c r="J25" s="8">
        <f>IF(COUNT(AQ25,BT25,CW25)&gt;0,LARGE((AQ25,BT25,CW25),1),0)</f>
        <v>49.099999999999994</v>
      </c>
      <c r="K25" s="8" t="str">
        <f t="shared" si="4"/>
        <v>2024 3rd Domestic Trial</v>
      </c>
      <c r="L25" s="8">
        <f>IF(COUNT(AQ25,BT25,CW25)&gt;1,LARGE((AQ25,BT25,CW25),2),0)</f>
        <v>44.699999999999996</v>
      </c>
      <c r="M25" s="8" t="str">
        <f t="shared" si="5"/>
        <v>2024 Elite Canada</v>
      </c>
      <c r="N25" s="8">
        <f>IF(COUNT(AR25,BU25,CX25)&gt;0,LARGE((AR25,BU25,CX25),1),0)</f>
        <v>20.3</v>
      </c>
      <c r="O25" s="8" t="str">
        <f t="shared" si="6"/>
        <v>2024 3rd Domestic Trial</v>
      </c>
      <c r="P25" s="8">
        <f t="shared" si="7"/>
        <v>0</v>
      </c>
      <c r="Q25" s="8" t="str">
        <f t="shared" si="8"/>
        <v/>
      </c>
      <c r="R25" s="8" t="str">
        <f t="shared" si="9"/>
        <v/>
      </c>
      <c r="S25" s="11" t="str">
        <f t="shared" si="10"/>
        <v/>
      </c>
      <c r="T25" s="8" t="str">
        <f t="shared" si="11"/>
        <v/>
      </c>
      <c r="U25" s="19">
        <v>17.7</v>
      </c>
      <c r="V25" s="19">
        <v>3.4</v>
      </c>
      <c r="W25" s="19">
        <v>1.2</v>
      </c>
      <c r="X25" s="19">
        <v>0</v>
      </c>
      <c r="Y25" s="19">
        <v>17.5</v>
      </c>
      <c r="Z25" s="19">
        <v>8.1</v>
      </c>
      <c r="AA25" s="19">
        <v>0.8</v>
      </c>
      <c r="AB25" s="19">
        <v>0</v>
      </c>
      <c r="AC25" s="19">
        <v>17.3</v>
      </c>
      <c r="AD25" s="19">
        <v>2.4</v>
      </c>
      <c r="AE25" s="19">
        <v>0</v>
      </c>
      <c r="AF25" s="19">
        <v>0</v>
      </c>
      <c r="AG25" s="19"/>
      <c r="AH25" s="19"/>
      <c r="AI25" s="19"/>
      <c r="AJ25" s="19"/>
      <c r="AK25" s="19"/>
      <c r="AL25" s="19"/>
      <c r="AM25" s="19"/>
      <c r="AN25" s="19"/>
      <c r="AO25" s="27"/>
      <c r="AP25" s="40">
        <f t="shared" si="12"/>
        <v>11.5</v>
      </c>
      <c r="AQ25" s="40">
        <f t="shared" si="13"/>
        <v>44.699999999999996</v>
      </c>
      <c r="AR25" s="40">
        <f t="shared" si="14"/>
        <v>19.7</v>
      </c>
      <c r="AS25" s="40">
        <f t="shared" si="15"/>
        <v>13.9</v>
      </c>
      <c r="AT25" s="40">
        <f t="shared" si="16"/>
        <v>64.399999999999991</v>
      </c>
      <c r="AU25" s="40" t="str">
        <f t="shared" si="17"/>
        <v/>
      </c>
      <c r="AV25" s="40" t="str">
        <f t="shared" si="18"/>
        <v/>
      </c>
      <c r="AW25" s="40">
        <f t="shared" si="19"/>
        <v>64.399999999999991</v>
      </c>
      <c r="AX25" s="18">
        <v>18</v>
      </c>
      <c r="AY25" s="18">
        <v>4.4000000000000004</v>
      </c>
      <c r="AZ25" s="18">
        <v>1</v>
      </c>
      <c r="BA25" s="18">
        <v>0</v>
      </c>
      <c r="BB25" s="18">
        <v>17.399999999999999</v>
      </c>
      <c r="BC25" s="18">
        <v>2.8</v>
      </c>
      <c r="BD25" s="18">
        <v>0</v>
      </c>
      <c r="BE25" s="18">
        <v>0</v>
      </c>
      <c r="BF25" s="18">
        <v>17</v>
      </c>
      <c r="BG25" s="18">
        <v>3.2</v>
      </c>
      <c r="BH25" s="18">
        <v>0</v>
      </c>
      <c r="BI25" s="18">
        <v>0</v>
      </c>
      <c r="BJ25" s="18"/>
      <c r="BK25" s="18"/>
      <c r="BL25" s="18"/>
      <c r="BM25" s="18"/>
      <c r="BN25" s="18"/>
      <c r="BO25" s="18"/>
      <c r="BP25" s="18"/>
      <c r="BQ25" s="18"/>
      <c r="BR25" s="28"/>
      <c r="BS25" s="11">
        <f t="shared" si="20"/>
        <v>7.2</v>
      </c>
      <c r="BT25" s="11">
        <f t="shared" si="21"/>
        <v>41.599999999999994</v>
      </c>
      <c r="BU25" s="11">
        <f t="shared" si="22"/>
        <v>20.2</v>
      </c>
      <c r="BV25" s="11">
        <f t="shared" si="23"/>
        <v>10.4</v>
      </c>
      <c r="BW25" s="11">
        <f t="shared" si="24"/>
        <v>61.8</v>
      </c>
      <c r="BX25" s="11" t="str">
        <f t="shared" si="25"/>
        <v/>
      </c>
      <c r="BY25" s="11" t="str">
        <f t="shared" si="26"/>
        <v/>
      </c>
      <c r="BZ25" s="11">
        <f t="shared" si="27"/>
        <v>61.8</v>
      </c>
      <c r="CA25" s="19">
        <v>18.7</v>
      </c>
      <c r="CB25" s="19">
        <v>6</v>
      </c>
      <c r="CC25" s="19">
        <v>0</v>
      </c>
      <c r="CD25" s="19">
        <v>0</v>
      </c>
      <c r="CE25" s="19">
        <v>18.600000000000001</v>
      </c>
      <c r="CF25" s="19">
        <v>6</v>
      </c>
      <c r="CG25" s="19">
        <v>0.2</v>
      </c>
      <c r="CH25" s="19">
        <v>0</v>
      </c>
      <c r="CI25" s="19">
        <v>17.100000000000001</v>
      </c>
      <c r="CJ25" s="19">
        <v>3.2</v>
      </c>
      <c r="CK25" s="19">
        <v>0</v>
      </c>
      <c r="CL25" s="19">
        <v>0</v>
      </c>
      <c r="CM25" s="19"/>
      <c r="CN25" s="19"/>
      <c r="CO25" s="19"/>
      <c r="CP25" s="19"/>
      <c r="CQ25" s="19"/>
      <c r="CR25" s="19"/>
      <c r="CS25" s="19"/>
      <c r="CT25" s="19"/>
      <c r="CU25" s="27"/>
      <c r="CV25" s="40">
        <f t="shared" si="28"/>
        <v>12</v>
      </c>
      <c r="CW25" s="40">
        <f t="shared" si="29"/>
        <v>49.099999999999994</v>
      </c>
      <c r="CX25" s="40">
        <f t="shared" si="30"/>
        <v>20.3</v>
      </c>
      <c r="CY25" s="40">
        <f t="shared" si="31"/>
        <v>15.2</v>
      </c>
      <c r="CZ25" s="40">
        <f t="shared" si="32"/>
        <v>69.399999999999991</v>
      </c>
      <c r="DA25" s="40" t="str">
        <f t="shared" si="33"/>
        <v/>
      </c>
      <c r="DB25" s="40" t="str">
        <f t="shared" si="34"/>
        <v/>
      </c>
      <c r="DC25" s="40">
        <f t="shared" si="35"/>
        <v>69.399999999999991</v>
      </c>
      <c r="DD25" s="51" t="str">
        <f t="shared" si="36"/>
        <v/>
      </c>
      <c r="DE25" s="51" t="str">
        <f t="shared" si="37"/>
        <v/>
      </c>
      <c r="DF25" s="51" t="str">
        <f t="shared" si="38"/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0" t="str">
        <f t="shared" si="39"/>
        <v/>
      </c>
      <c r="EB25" s="40" t="str">
        <f t="shared" si="40"/>
        <v/>
      </c>
      <c r="EC25" s="40" t="str">
        <f t="shared" si="41"/>
        <v/>
      </c>
      <c r="ED25" s="40" t="str">
        <f t="shared" si="42"/>
        <v/>
      </c>
      <c r="EE25" s="40" t="str">
        <f t="shared" si="43"/>
        <v/>
      </c>
      <c r="EF25" s="40" t="str">
        <f t="shared" si="44"/>
        <v/>
      </c>
      <c r="EG25" s="40" t="str">
        <f t="shared" si="45"/>
        <v/>
      </c>
      <c r="EH25" s="40" t="str">
        <f t="shared" si="46"/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 t="shared" si="47"/>
        <v/>
      </c>
      <c r="FD25" s="11" t="str">
        <f t="shared" si="48"/>
        <v/>
      </c>
      <c r="FE25" s="11" t="str">
        <f t="shared" si="49"/>
        <v/>
      </c>
      <c r="FF25" s="11" t="str">
        <f t="shared" si="50"/>
        <v/>
      </c>
      <c r="FG25" s="11" t="str">
        <f t="shared" si="51"/>
        <v/>
      </c>
      <c r="FH25" s="11" t="str">
        <f t="shared" si="52"/>
        <v/>
      </c>
      <c r="FI25" s="11" t="str">
        <f t="shared" si="53"/>
        <v/>
      </c>
      <c r="FJ25" s="11" t="str">
        <f t="shared" si="54"/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0" t="str">
        <f t="shared" si="55"/>
        <v/>
      </c>
      <c r="GF25" s="40" t="str">
        <f t="shared" si="56"/>
        <v/>
      </c>
      <c r="GG25" s="40" t="str">
        <f t="shared" si="57"/>
        <v/>
      </c>
      <c r="GH25" s="40" t="str">
        <f t="shared" si="58"/>
        <v/>
      </c>
      <c r="GI25" s="40" t="str">
        <f t="shared" si="59"/>
        <v/>
      </c>
      <c r="GJ25" s="40" t="str">
        <f t="shared" si="60"/>
        <v/>
      </c>
      <c r="GK25" s="40" t="str">
        <f t="shared" si="61"/>
        <v/>
      </c>
      <c r="GL25" s="40" t="str">
        <f t="shared" si="62"/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 t="shared" si="63"/>
        <v/>
      </c>
      <c r="HH25" s="11" t="str">
        <f t="shared" si="64"/>
        <v/>
      </c>
      <c r="HI25" s="11" t="str">
        <f t="shared" si="65"/>
        <v/>
      </c>
      <c r="HJ25" s="11" t="str">
        <f t="shared" si="66"/>
        <v/>
      </c>
      <c r="HK25" s="11" t="str">
        <f t="shared" si="67"/>
        <v/>
      </c>
      <c r="HL25" s="11" t="str">
        <f t="shared" si="68"/>
        <v/>
      </c>
      <c r="HM25" s="11" t="str">
        <f t="shared" si="69"/>
        <v/>
      </c>
      <c r="HN25" s="11" t="str">
        <f t="shared" si="70"/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0" t="str">
        <f t="shared" si="71"/>
        <v/>
      </c>
      <c r="IJ25" s="40" t="str">
        <f t="shared" si="72"/>
        <v/>
      </c>
      <c r="IK25" s="40" t="str">
        <f t="shared" si="73"/>
        <v/>
      </c>
      <c r="IL25" s="40" t="str">
        <f t="shared" si="74"/>
        <v/>
      </c>
      <c r="IM25" s="40" t="str">
        <f t="shared" si="75"/>
        <v/>
      </c>
      <c r="IN25" s="40" t="str">
        <f t="shared" si="76"/>
        <v/>
      </c>
      <c r="IO25" s="40" t="str">
        <f t="shared" si="77"/>
        <v/>
      </c>
      <c r="IP25" s="40" t="str">
        <f t="shared" si="78"/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 t="shared" si="79"/>
        <v/>
      </c>
      <c r="JL25" s="11" t="str">
        <f t="shared" si="80"/>
        <v/>
      </c>
      <c r="JM25" s="11" t="str">
        <f t="shared" si="81"/>
        <v/>
      </c>
      <c r="JN25" s="11" t="str">
        <f t="shared" si="82"/>
        <v/>
      </c>
      <c r="JO25" s="11" t="str">
        <f t="shared" si="83"/>
        <v/>
      </c>
      <c r="JP25" s="11" t="str">
        <f t="shared" si="84"/>
        <v/>
      </c>
      <c r="JQ25" s="11" t="str">
        <f t="shared" si="85"/>
        <v/>
      </c>
      <c r="JR25" s="11" t="str">
        <f t="shared" si="86"/>
        <v/>
      </c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0" t="str">
        <f t="shared" si="87"/>
        <v/>
      </c>
      <c r="KN25" s="40" t="str">
        <f t="shared" si="88"/>
        <v/>
      </c>
      <c r="KO25" s="40" t="str">
        <f t="shared" si="89"/>
        <v/>
      </c>
      <c r="KP25" s="40" t="str">
        <f t="shared" si="90"/>
        <v/>
      </c>
      <c r="KQ25" s="40" t="str">
        <f t="shared" si="91"/>
        <v/>
      </c>
      <c r="KR25" s="40" t="str">
        <f t="shared" si="92"/>
        <v/>
      </c>
      <c r="KS25" s="40" t="str">
        <f t="shared" si="93"/>
        <v/>
      </c>
      <c r="KT25" s="40" t="str">
        <f t="shared" si="94"/>
        <v/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 t="shared" si="95"/>
        <v/>
      </c>
      <c r="LP25" s="11" t="str">
        <f t="shared" si="96"/>
        <v/>
      </c>
      <c r="LQ25" s="11" t="str">
        <f t="shared" si="97"/>
        <v/>
      </c>
      <c r="LR25" s="11" t="str">
        <f t="shared" si="98"/>
        <v/>
      </c>
      <c r="LS25" s="11" t="str">
        <f t="shared" si="99"/>
        <v/>
      </c>
      <c r="LT25" s="11" t="str">
        <f t="shared" si="100"/>
        <v/>
      </c>
      <c r="LU25" s="11" t="str">
        <f t="shared" si="101"/>
        <v/>
      </c>
      <c r="LV25" s="11" t="str">
        <f t="shared" si="102"/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0" t="str">
        <f t="shared" si="103"/>
        <v/>
      </c>
      <c r="MR25" s="40" t="str">
        <f t="shared" si="104"/>
        <v/>
      </c>
      <c r="MS25" s="40" t="str">
        <f t="shared" si="105"/>
        <v/>
      </c>
      <c r="MT25" s="40" t="str">
        <f t="shared" si="106"/>
        <v/>
      </c>
      <c r="MU25" s="40" t="str">
        <f t="shared" si="107"/>
        <v/>
      </c>
      <c r="MV25" s="40" t="str">
        <f t="shared" si="108"/>
        <v/>
      </c>
      <c r="MW25" s="40" t="str">
        <f t="shared" si="109"/>
        <v/>
      </c>
      <c r="MX25" s="40" t="str">
        <f t="shared" si="110"/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 t="shared" si="111"/>
        <v/>
      </c>
      <c r="NT25" s="11" t="str">
        <f t="shared" si="112"/>
        <v/>
      </c>
      <c r="NU25" s="11" t="str">
        <f t="shared" si="113"/>
        <v/>
      </c>
      <c r="NV25" s="11" t="str">
        <f t="shared" si="114"/>
        <v/>
      </c>
      <c r="NW25" s="11" t="str">
        <f t="shared" si="115"/>
        <v/>
      </c>
      <c r="NX25" s="11" t="str">
        <f t="shared" si="116"/>
        <v/>
      </c>
      <c r="NY25" s="11" t="str">
        <f t="shared" si="117"/>
        <v/>
      </c>
      <c r="NZ25" s="11" t="str">
        <f t="shared" si="118"/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0" t="str">
        <f t="shared" si="119"/>
        <v/>
      </c>
      <c r="OV25" s="40" t="str">
        <f t="shared" si="120"/>
        <v/>
      </c>
      <c r="OW25" s="40" t="str">
        <f t="shared" si="121"/>
        <v/>
      </c>
      <c r="OX25" s="40" t="str">
        <f t="shared" si="122"/>
        <v/>
      </c>
      <c r="OY25" s="40" t="str">
        <f t="shared" si="123"/>
        <v/>
      </c>
      <c r="OZ25" s="40" t="str">
        <f t="shared" si="124"/>
        <v/>
      </c>
      <c r="PA25" s="40" t="str">
        <f t="shared" si="125"/>
        <v/>
      </c>
      <c r="PB25" s="40" t="str">
        <f t="shared" si="126"/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 t="shared" si="127"/>
        <v/>
      </c>
      <c r="PX25" s="11" t="str">
        <f t="shared" si="128"/>
        <v/>
      </c>
      <c r="PY25" s="11" t="str">
        <f t="shared" si="129"/>
        <v/>
      </c>
      <c r="PZ25" s="11" t="str">
        <f t="shared" si="130"/>
        <v/>
      </c>
      <c r="QA25" s="11" t="str">
        <f t="shared" si="131"/>
        <v/>
      </c>
      <c r="QB25" s="11" t="str">
        <f t="shared" si="132"/>
        <v/>
      </c>
      <c r="QC25" s="11" t="str">
        <f t="shared" si="133"/>
        <v/>
      </c>
      <c r="QD25" s="11" t="str">
        <f t="shared" si="134"/>
        <v/>
      </c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40" t="str">
        <f t="shared" si="135"/>
        <v/>
      </c>
      <c r="QZ25" s="40" t="str">
        <f t="shared" si="136"/>
        <v/>
      </c>
      <c r="RA25" s="40" t="str">
        <f t="shared" si="137"/>
        <v/>
      </c>
      <c r="RB25" s="40" t="str">
        <f t="shared" si="138"/>
        <v/>
      </c>
      <c r="RC25" s="40" t="str">
        <f t="shared" si="139"/>
        <v/>
      </c>
      <c r="RD25" s="40" t="str">
        <f t="shared" si="140"/>
        <v/>
      </c>
      <c r="RE25" s="40" t="str">
        <f t="shared" si="141"/>
        <v/>
      </c>
      <c r="RF25" s="40" t="str">
        <f t="shared" si="142"/>
        <v/>
      </c>
      <c r="RG25" s="18"/>
      <c r="RH25" s="18"/>
      <c r="RI25" s="18"/>
      <c r="RJ25" s="18"/>
      <c r="RK25" s="18"/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1" t="str">
        <f t="shared" si="143"/>
        <v/>
      </c>
      <c r="SB25" s="11" t="str">
        <f t="shared" si="144"/>
        <v/>
      </c>
      <c r="SC25" s="11" t="str">
        <f t="shared" si="145"/>
        <v/>
      </c>
      <c r="SD25" s="11" t="str">
        <f t="shared" si="146"/>
        <v/>
      </c>
      <c r="SE25" s="11" t="str">
        <f t="shared" si="147"/>
        <v/>
      </c>
      <c r="SF25" s="11" t="str">
        <f t="shared" si="148"/>
        <v/>
      </c>
      <c r="SG25" s="11" t="str">
        <f t="shared" si="149"/>
        <v/>
      </c>
      <c r="SH25" s="11" t="str">
        <f t="shared" si="150"/>
        <v/>
      </c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40" t="str">
        <f t="shared" si="151"/>
        <v/>
      </c>
      <c r="TD25" s="40" t="str">
        <f t="shared" si="152"/>
        <v/>
      </c>
      <c r="TE25" s="40" t="str">
        <f t="shared" si="153"/>
        <v/>
      </c>
      <c r="TF25" s="40" t="str">
        <f t="shared" si="154"/>
        <v/>
      </c>
      <c r="TG25" s="40" t="str">
        <f t="shared" si="155"/>
        <v/>
      </c>
      <c r="TH25" s="40" t="str">
        <f t="shared" si="156"/>
        <v/>
      </c>
      <c r="TI25" s="40" t="str">
        <f t="shared" si="157"/>
        <v/>
      </c>
      <c r="TJ25" s="40" t="str">
        <f t="shared" si="158"/>
        <v/>
      </c>
      <c r="TK25" s="26">
        <f t="shared" si="159"/>
        <v>18.350000000000001</v>
      </c>
      <c r="TL25" s="26">
        <f t="shared" si="160"/>
        <v>5.2</v>
      </c>
      <c r="TM25" s="26">
        <f t="shared" si="161"/>
        <v>0.5</v>
      </c>
      <c r="TN25" s="26">
        <f t="shared" si="162"/>
        <v>0</v>
      </c>
      <c r="TO25" s="26">
        <f t="shared" si="163"/>
        <v>18</v>
      </c>
      <c r="TP25" s="26">
        <f t="shared" si="164"/>
        <v>4.4000000000000004</v>
      </c>
      <c r="TQ25" s="26">
        <f t="shared" si="165"/>
        <v>0.1</v>
      </c>
      <c r="TR25" s="26">
        <f t="shared" si="166"/>
        <v>0</v>
      </c>
      <c r="TS25" s="26">
        <f t="shared" si="167"/>
        <v>17.05</v>
      </c>
      <c r="TT25" s="26">
        <f t="shared" si="168"/>
        <v>3.2</v>
      </c>
      <c r="TU25" s="26">
        <f t="shared" si="169"/>
        <v>0</v>
      </c>
      <c r="TV25" s="26">
        <f t="shared" si="170"/>
        <v>0</v>
      </c>
      <c r="TW25" s="26">
        <f t="shared" si="171"/>
        <v>0</v>
      </c>
      <c r="TX25" s="26">
        <f t="shared" si="172"/>
        <v>0</v>
      </c>
      <c r="TY25" s="26">
        <f t="shared" si="173"/>
        <v>0</v>
      </c>
      <c r="TZ25" s="26">
        <f t="shared" si="174"/>
        <v>0</v>
      </c>
      <c r="UA25" s="26">
        <f t="shared" si="175"/>
        <v>0</v>
      </c>
      <c r="UB25" s="26">
        <f t="shared" si="176"/>
        <v>0</v>
      </c>
      <c r="UC25" s="26">
        <f t="shared" si="177"/>
        <v>0</v>
      </c>
      <c r="UD25" s="26">
        <f t="shared" si="178"/>
        <v>0</v>
      </c>
      <c r="UE25" s="28" t="s">
        <v>53</v>
      </c>
      <c r="UF25" s="11">
        <f t="shared" si="179"/>
        <v>9.6000000000000014</v>
      </c>
      <c r="UG25" s="11">
        <f t="shared" si="180"/>
        <v>45.349999999999994</v>
      </c>
      <c r="UH25" s="11">
        <f t="shared" si="181"/>
        <v>20.25</v>
      </c>
      <c r="UI25" s="11">
        <f t="shared" si="182"/>
        <v>12.8</v>
      </c>
      <c r="UJ25" s="11">
        <f t="shared" si="183"/>
        <v>65.599999999999994</v>
      </c>
      <c r="UK25" s="11" t="str">
        <f t="shared" si="184"/>
        <v/>
      </c>
      <c r="UL25" s="11" t="str">
        <f t="shared" si="185"/>
        <v/>
      </c>
      <c r="UM25" s="11">
        <f t="shared" si="186"/>
        <v>65.599999999999994</v>
      </c>
    </row>
    <row r="26" spans="1:559" x14ac:dyDescent="0.2">
      <c r="A26" s="4" t="str" cm="1">
        <f t="array" ref="A26">IF(AND(H26&lt;&gt;"",H26&lt;&gt;"No DD"),SUMPRODUCT((H$4:H$28&lt;&gt;"")*(H$4:H$28&lt;&gt;"No DD")*(E$4:E$28&gt;E26))+1,IF(H26="No DD",SUMPRODUCT((H$4:H$28="No DD")*(E$4:E$28&gt;E26))+1+SUMPRODUCT((H$4:H$28&lt;&gt;"")*(H$4:H$28&lt;&gt;"No DD")),""))</f>
        <v/>
      </c>
      <c r="B26" s="5" t="s">
        <v>158</v>
      </c>
      <c r="C26" s="4" t="s">
        <v>3</v>
      </c>
      <c r="D26" s="4">
        <v>2005</v>
      </c>
      <c r="E26" s="9">
        <f t="shared" si="187"/>
        <v>97.300009730004689</v>
      </c>
      <c r="F26" s="3" t="str">
        <f t="shared" si="0"/>
        <v/>
      </c>
      <c r="G26" s="3" t="str">
        <f t="shared" si="1"/>
        <v/>
      </c>
      <c r="H26" s="36" t="str">
        <f t="shared" si="2"/>
        <v/>
      </c>
      <c r="I26" s="3" t="str">
        <f t="shared" si="3"/>
        <v/>
      </c>
      <c r="J26" s="8">
        <f>IF(COUNT(AQ26,BT26,CW26)&gt;0,LARGE((AQ26,BT26,CW26),1),0)</f>
        <v>46.7</v>
      </c>
      <c r="K26" s="8" t="str">
        <f t="shared" si="4"/>
        <v>2024 3rd Domestic Trial</v>
      </c>
      <c r="L26" s="8">
        <f>IF(COUNT(AQ26,BT26,CW26)&gt;1,LARGE((AQ26,BT26,CW26),2),0)</f>
        <v>24.999999999999996</v>
      </c>
      <c r="M26" s="8" t="str">
        <f t="shared" si="5"/>
        <v>2024 Elite Canada</v>
      </c>
      <c r="N26" s="8">
        <f>IF(COUNT(AR26,BU26,CX26)&gt;0,LARGE((AR26,BU26,CX26),1),0)</f>
        <v>25.6</v>
      </c>
      <c r="O26" s="8" t="str">
        <f t="shared" si="6"/>
        <v>2024 Elite Canada</v>
      </c>
      <c r="P26" s="8">
        <f t="shared" si="7"/>
        <v>0</v>
      </c>
      <c r="Q26" s="8" t="str">
        <f t="shared" si="8"/>
        <v/>
      </c>
      <c r="R26" s="8" t="str">
        <f t="shared" si="9"/>
        <v/>
      </c>
      <c r="S26" s="11" t="str">
        <f t="shared" si="10"/>
        <v/>
      </c>
      <c r="T26" s="8" t="str">
        <f t="shared" si="11"/>
        <v/>
      </c>
      <c r="U26" s="19">
        <v>18.399999999999999</v>
      </c>
      <c r="V26" s="19">
        <v>7.2</v>
      </c>
      <c r="W26" s="19">
        <v>0.6</v>
      </c>
      <c r="X26" s="19">
        <v>0</v>
      </c>
      <c r="Y26" s="19">
        <v>0</v>
      </c>
      <c r="Z26" s="19">
        <v>0</v>
      </c>
      <c r="AA26" s="19">
        <v>0</v>
      </c>
      <c r="AB26" s="19">
        <v>0</v>
      </c>
      <c r="AC26" s="19">
        <v>18.8</v>
      </c>
      <c r="AD26" s="19">
        <v>6.8</v>
      </c>
      <c r="AE26" s="19">
        <v>0</v>
      </c>
      <c r="AF26" s="19">
        <v>0</v>
      </c>
      <c r="AG26" s="19"/>
      <c r="AH26" s="19"/>
      <c r="AI26" s="19"/>
      <c r="AJ26" s="19"/>
      <c r="AK26" s="19"/>
      <c r="AL26" s="19"/>
      <c r="AM26" s="19"/>
      <c r="AN26" s="19"/>
      <c r="AO26" s="27"/>
      <c r="AP26" s="40">
        <f t="shared" si="12"/>
        <v>7.2</v>
      </c>
      <c r="AQ26" s="40">
        <f t="shared" si="13"/>
        <v>24.999999999999996</v>
      </c>
      <c r="AR26" s="40">
        <f t="shared" si="14"/>
        <v>25.6</v>
      </c>
      <c r="AS26" s="40">
        <f t="shared" si="15"/>
        <v>14</v>
      </c>
      <c r="AT26" s="40">
        <f t="shared" si="16"/>
        <v>50.599999999999994</v>
      </c>
      <c r="AU26" s="40" t="str">
        <f t="shared" si="17"/>
        <v/>
      </c>
      <c r="AV26" s="40" t="str">
        <f t="shared" si="18"/>
        <v/>
      </c>
      <c r="AW26" s="40">
        <f t="shared" si="19"/>
        <v>50.599999999999994</v>
      </c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28"/>
      <c r="BS26" s="11" t="str">
        <f t="shared" si="20"/>
        <v/>
      </c>
      <c r="BT26" s="11" t="str">
        <f t="shared" si="21"/>
        <v/>
      </c>
      <c r="BU26" s="11" t="str">
        <f t="shared" si="22"/>
        <v/>
      </c>
      <c r="BV26" s="11" t="str">
        <f t="shared" si="23"/>
        <v/>
      </c>
      <c r="BW26" s="11" t="str">
        <f t="shared" si="24"/>
        <v/>
      </c>
      <c r="BX26" s="11" t="str">
        <f t="shared" si="25"/>
        <v/>
      </c>
      <c r="BY26" s="11" t="str">
        <f t="shared" si="26"/>
        <v/>
      </c>
      <c r="BZ26" s="11" t="str">
        <f t="shared" si="27"/>
        <v/>
      </c>
      <c r="CA26" s="19">
        <v>19</v>
      </c>
      <c r="CB26" s="19">
        <v>7.2</v>
      </c>
      <c r="CC26" s="19">
        <v>0</v>
      </c>
      <c r="CD26" s="19">
        <v>0</v>
      </c>
      <c r="CE26" s="19">
        <v>17.3</v>
      </c>
      <c r="CF26" s="19">
        <v>3.2</v>
      </c>
      <c r="CG26" s="19">
        <v>0</v>
      </c>
      <c r="CH26" s="19">
        <v>0</v>
      </c>
      <c r="CI26" s="19">
        <v>16.8</v>
      </c>
      <c r="CJ26" s="19">
        <v>6.9</v>
      </c>
      <c r="CK26" s="19">
        <v>0.2</v>
      </c>
      <c r="CL26" s="19">
        <v>0</v>
      </c>
      <c r="CM26" s="19"/>
      <c r="CN26" s="19"/>
      <c r="CO26" s="19"/>
      <c r="CP26" s="19"/>
      <c r="CQ26" s="19"/>
      <c r="CR26" s="19"/>
      <c r="CS26" s="19"/>
      <c r="CT26" s="19"/>
      <c r="CU26" s="27"/>
      <c r="CV26" s="40">
        <f t="shared" si="28"/>
        <v>10.4</v>
      </c>
      <c r="CW26" s="40">
        <f t="shared" si="29"/>
        <v>46.7</v>
      </c>
      <c r="CX26" s="40">
        <f t="shared" si="30"/>
        <v>23.500000000000004</v>
      </c>
      <c r="CY26" s="40">
        <f t="shared" si="31"/>
        <v>17.3</v>
      </c>
      <c r="CZ26" s="40">
        <f t="shared" si="32"/>
        <v>70.2</v>
      </c>
      <c r="DA26" s="40" t="str">
        <f t="shared" si="33"/>
        <v/>
      </c>
      <c r="DB26" s="40" t="str">
        <f t="shared" si="34"/>
        <v/>
      </c>
      <c r="DC26" s="40">
        <f t="shared" si="35"/>
        <v>70.2</v>
      </c>
      <c r="DD26" s="51" t="str">
        <f t="shared" si="36"/>
        <v/>
      </c>
      <c r="DE26" s="51" t="str">
        <f t="shared" si="37"/>
        <v/>
      </c>
      <c r="DF26" s="51" t="str">
        <f t="shared" si="38"/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0" t="str">
        <f t="shared" si="39"/>
        <v/>
      </c>
      <c r="EB26" s="40" t="str">
        <f t="shared" si="40"/>
        <v/>
      </c>
      <c r="EC26" s="40" t="str">
        <f t="shared" si="41"/>
        <v/>
      </c>
      <c r="ED26" s="40" t="str">
        <f t="shared" si="42"/>
        <v/>
      </c>
      <c r="EE26" s="40" t="str">
        <f t="shared" si="43"/>
        <v/>
      </c>
      <c r="EF26" s="40" t="str">
        <f t="shared" si="44"/>
        <v/>
      </c>
      <c r="EG26" s="40" t="str">
        <f t="shared" si="45"/>
        <v/>
      </c>
      <c r="EH26" s="40" t="str">
        <f t="shared" si="46"/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 t="shared" si="47"/>
        <v/>
      </c>
      <c r="FD26" s="11" t="str">
        <f t="shared" si="48"/>
        <v/>
      </c>
      <c r="FE26" s="11" t="str">
        <f t="shared" si="49"/>
        <v/>
      </c>
      <c r="FF26" s="11" t="str">
        <f t="shared" si="50"/>
        <v/>
      </c>
      <c r="FG26" s="11" t="str">
        <f t="shared" si="51"/>
        <v/>
      </c>
      <c r="FH26" s="11" t="str">
        <f t="shared" si="52"/>
        <v/>
      </c>
      <c r="FI26" s="11" t="str">
        <f t="shared" si="53"/>
        <v/>
      </c>
      <c r="FJ26" s="11" t="str">
        <f t="shared" si="54"/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0" t="str">
        <f t="shared" si="55"/>
        <v/>
      </c>
      <c r="GF26" s="40" t="str">
        <f t="shared" si="56"/>
        <v/>
      </c>
      <c r="GG26" s="40" t="str">
        <f t="shared" si="57"/>
        <v/>
      </c>
      <c r="GH26" s="40" t="str">
        <f t="shared" si="58"/>
        <v/>
      </c>
      <c r="GI26" s="40" t="str">
        <f t="shared" si="59"/>
        <v/>
      </c>
      <c r="GJ26" s="40" t="str">
        <f t="shared" si="60"/>
        <v/>
      </c>
      <c r="GK26" s="40" t="str">
        <f t="shared" si="61"/>
        <v/>
      </c>
      <c r="GL26" s="40" t="str">
        <f t="shared" si="62"/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 t="shared" si="63"/>
        <v/>
      </c>
      <c r="HH26" s="11" t="str">
        <f t="shared" si="64"/>
        <v/>
      </c>
      <c r="HI26" s="11" t="str">
        <f t="shared" si="65"/>
        <v/>
      </c>
      <c r="HJ26" s="11" t="str">
        <f t="shared" si="66"/>
        <v/>
      </c>
      <c r="HK26" s="11" t="str">
        <f t="shared" si="67"/>
        <v/>
      </c>
      <c r="HL26" s="11" t="str">
        <f t="shared" si="68"/>
        <v/>
      </c>
      <c r="HM26" s="11" t="str">
        <f t="shared" si="69"/>
        <v/>
      </c>
      <c r="HN26" s="11" t="str">
        <f t="shared" si="70"/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0" t="str">
        <f t="shared" si="71"/>
        <v/>
      </c>
      <c r="IJ26" s="40" t="str">
        <f t="shared" si="72"/>
        <v/>
      </c>
      <c r="IK26" s="40" t="str">
        <f t="shared" si="73"/>
        <v/>
      </c>
      <c r="IL26" s="40" t="str">
        <f t="shared" si="74"/>
        <v/>
      </c>
      <c r="IM26" s="40" t="str">
        <f t="shared" si="75"/>
        <v/>
      </c>
      <c r="IN26" s="40" t="str">
        <f t="shared" si="76"/>
        <v/>
      </c>
      <c r="IO26" s="40" t="str">
        <f t="shared" si="77"/>
        <v/>
      </c>
      <c r="IP26" s="40" t="str">
        <f t="shared" si="78"/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 t="shared" si="79"/>
        <v/>
      </c>
      <c r="JL26" s="11" t="str">
        <f t="shared" si="80"/>
        <v/>
      </c>
      <c r="JM26" s="11" t="str">
        <f t="shared" si="81"/>
        <v/>
      </c>
      <c r="JN26" s="11" t="str">
        <f t="shared" si="82"/>
        <v/>
      </c>
      <c r="JO26" s="11" t="str">
        <f t="shared" si="83"/>
        <v/>
      </c>
      <c r="JP26" s="11" t="str">
        <f t="shared" si="84"/>
        <v/>
      </c>
      <c r="JQ26" s="11" t="str">
        <f t="shared" si="85"/>
        <v/>
      </c>
      <c r="JR26" s="11" t="str">
        <f t="shared" si="86"/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0" t="str">
        <f t="shared" si="87"/>
        <v/>
      </c>
      <c r="KN26" s="40" t="str">
        <f t="shared" si="88"/>
        <v/>
      </c>
      <c r="KO26" s="40" t="str">
        <f t="shared" si="89"/>
        <v/>
      </c>
      <c r="KP26" s="40" t="str">
        <f t="shared" si="90"/>
        <v/>
      </c>
      <c r="KQ26" s="40" t="str">
        <f t="shared" si="91"/>
        <v/>
      </c>
      <c r="KR26" s="40" t="str">
        <f t="shared" si="92"/>
        <v/>
      </c>
      <c r="KS26" s="40" t="str">
        <f t="shared" si="93"/>
        <v/>
      </c>
      <c r="KT26" s="40" t="str">
        <f t="shared" si="94"/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 t="shared" si="95"/>
        <v/>
      </c>
      <c r="LP26" s="11" t="str">
        <f t="shared" si="96"/>
        <v/>
      </c>
      <c r="LQ26" s="11" t="str">
        <f t="shared" si="97"/>
        <v/>
      </c>
      <c r="LR26" s="11" t="str">
        <f t="shared" si="98"/>
        <v/>
      </c>
      <c r="LS26" s="11" t="str">
        <f t="shared" si="99"/>
        <v/>
      </c>
      <c r="LT26" s="11" t="str">
        <f t="shared" si="100"/>
        <v/>
      </c>
      <c r="LU26" s="11" t="str">
        <f t="shared" si="101"/>
        <v/>
      </c>
      <c r="LV26" s="11" t="str">
        <f t="shared" si="102"/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0" t="str">
        <f t="shared" si="103"/>
        <v/>
      </c>
      <c r="MR26" s="40" t="str">
        <f t="shared" si="104"/>
        <v/>
      </c>
      <c r="MS26" s="40" t="str">
        <f t="shared" si="105"/>
        <v/>
      </c>
      <c r="MT26" s="40" t="str">
        <f t="shared" si="106"/>
        <v/>
      </c>
      <c r="MU26" s="40" t="str">
        <f t="shared" si="107"/>
        <v/>
      </c>
      <c r="MV26" s="40" t="str">
        <f t="shared" si="108"/>
        <v/>
      </c>
      <c r="MW26" s="40" t="str">
        <f t="shared" si="109"/>
        <v/>
      </c>
      <c r="MX26" s="40" t="str">
        <f t="shared" si="110"/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 t="shared" si="111"/>
        <v/>
      </c>
      <c r="NT26" s="11" t="str">
        <f t="shared" si="112"/>
        <v/>
      </c>
      <c r="NU26" s="11" t="str">
        <f t="shared" si="113"/>
        <v/>
      </c>
      <c r="NV26" s="11" t="str">
        <f t="shared" si="114"/>
        <v/>
      </c>
      <c r="NW26" s="11" t="str">
        <f t="shared" si="115"/>
        <v/>
      </c>
      <c r="NX26" s="11" t="str">
        <f t="shared" si="116"/>
        <v/>
      </c>
      <c r="NY26" s="11" t="str">
        <f t="shared" si="117"/>
        <v/>
      </c>
      <c r="NZ26" s="11" t="str">
        <f t="shared" si="118"/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0" t="str">
        <f t="shared" si="119"/>
        <v/>
      </c>
      <c r="OV26" s="40" t="str">
        <f t="shared" si="120"/>
        <v/>
      </c>
      <c r="OW26" s="40" t="str">
        <f t="shared" si="121"/>
        <v/>
      </c>
      <c r="OX26" s="40" t="str">
        <f t="shared" si="122"/>
        <v/>
      </c>
      <c r="OY26" s="40" t="str">
        <f t="shared" si="123"/>
        <v/>
      </c>
      <c r="OZ26" s="40" t="str">
        <f t="shared" si="124"/>
        <v/>
      </c>
      <c r="PA26" s="40" t="str">
        <f t="shared" si="125"/>
        <v/>
      </c>
      <c r="PB26" s="40" t="str">
        <f t="shared" si="126"/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 t="shared" si="127"/>
        <v/>
      </c>
      <c r="PX26" s="11" t="str">
        <f t="shared" si="128"/>
        <v/>
      </c>
      <c r="PY26" s="11" t="str">
        <f t="shared" si="129"/>
        <v/>
      </c>
      <c r="PZ26" s="11" t="str">
        <f t="shared" si="130"/>
        <v/>
      </c>
      <c r="QA26" s="11" t="str">
        <f t="shared" si="131"/>
        <v/>
      </c>
      <c r="QB26" s="11" t="str">
        <f t="shared" si="132"/>
        <v/>
      </c>
      <c r="QC26" s="11" t="str">
        <f t="shared" si="133"/>
        <v/>
      </c>
      <c r="QD26" s="11" t="str">
        <f t="shared" si="134"/>
        <v/>
      </c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40" t="str">
        <f t="shared" si="135"/>
        <v/>
      </c>
      <c r="QZ26" s="40" t="str">
        <f t="shared" si="136"/>
        <v/>
      </c>
      <c r="RA26" s="40" t="str">
        <f t="shared" si="137"/>
        <v/>
      </c>
      <c r="RB26" s="40" t="str">
        <f t="shared" si="138"/>
        <v/>
      </c>
      <c r="RC26" s="40" t="str">
        <f t="shared" si="139"/>
        <v/>
      </c>
      <c r="RD26" s="40" t="str">
        <f t="shared" si="140"/>
        <v/>
      </c>
      <c r="RE26" s="40" t="str">
        <f t="shared" si="141"/>
        <v/>
      </c>
      <c r="RF26" s="40" t="str">
        <f t="shared" si="142"/>
        <v/>
      </c>
      <c r="RG26" s="18"/>
      <c r="RH26" s="18"/>
      <c r="RI26" s="18"/>
      <c r="RJ26" s="18"/>
      <c r="RK26" s="18"/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1" t="str">
        <f t="shared" si="143"/>
        <v/>
      </c>
      <c r="SB26" s="11" t="str">
        <f t="shared" si="144"/>
        <v/>
      </c>
      <c r="SC26" s="11" t="str">
        <f t="shared" si="145"/>
        <v/>
      </c>
      <c r="SD26" s="11" t="str">
        <f t="shared" si="146"/>
        <v/>
      </c>
      <c r="SE26" s="11" t="str">
        <f t="shared" si="147"/>
        <v/>
      </c>
      <c r="SF26" s="11" t="str">
        <f t="shared" si="148"/>
        <v/>
      </c>
      <c r="SG26" s="11" t="str">
        <f t="shared" si="149"/>
        <v/>
      </c>
      <c r="SH26" s="11" t="str">
        <f t="shared" si="150"/>
        <v/>
      </c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40" t="str">
        <f t="shared" si="151"/>
        <v/>
      </c>
      <c r="TD26" s="40" t="str">
        <f t="shared" si="152"/>
        <v/>
      </c>
      <c r="TE26" s="40" t="str">
        <f t="shared" si="153"/>
        <v/>
      </c>
      <c r="TF26" s="40" t="str">
        <f t="shared" si="154"/>
        <v/>
      </c>
      <c r="TG26" s="40" t="str">
        <f t="shared" si="155"/>
        <v/>
      </c>
      <c r="TH26" s="40" t="str">
        <f t="shared" si="156"/>
        <v/>
      </c>
      <c r="TI26" s="40" t="str">
        <f t="shared" si="157"/>
        <v/>
      </c>
      <c r="TJ26" s="40" t="str">
        <f t="shared" si="158"/>
        <v/>
      </c>
      <c r="TK26" s="26">
        <f t="shared" si="159"/>
        <v>9.5</v>
      </c>
      <c r="TL26" s="26">
        <f t="shared" si="160"/>
        <v>3.6</v>
      </c>
      <c r="TM26" s="26">
        <f t="shared" si="161"/>
        <v>0</v>
      </c>
      <c r="TN26" s="26">
        <f t="shared" si="162"/>
        <v>0</v>
      </c>
      <c r="TO26" s="26">
        <f t="shared" si="163"/>
        <v>8.65</v>
      </c>
      <c r="TP26" s="26">
        <f t="shared" si="164"/>
        <v>1.6</v>
      </c>
      <c r="TQ26" s="26">
        <f t="shared" si="165"/>
        <v>0</v>
      </c>
      <c r="TR26" s="26">
        <f t="shared" si="166"/>
        <v>0</v>
      </c>
      <c r="TS26" s="26">
        <f t="shared" si="167"/>
        <v>8.4</v>
      </c>
      <c r="TT26" s="26">
        <f t="shared" si="168"/>
        <v>3.45</v>
      </c>
      <c r="TU26" s="26">
        <f t="shared" si="169"/>
        <v>0.1</v>
      </c>
      <c r="TV26" s="26">
        <f t="shared" si="170"/>
        <v>0</v>
      </c>
      <c r="TW26" s="26">
        <f t="shared" si="171"/>
        <v>0</v>
      </c>
      <c r="TX26" s="26">
        <f t="shared" si="172"/>
        <v>0</v>
      </c>
      <c r="TY26" s="26">
        <f t="shared" si="173"/>
        <v>0</v>
      </c>
      <c r="TZ26" s="26">
        <f t="shared" si="174"/>
        <v>0</v>
      </c>
      <c r="UA26" s="26">
        <f t="shared" si="175"/>
        <v>0</v>
      </c>
      <c r="UB26" s="26">
        <f t="shared" si="176"/>
        <v>0</v>
      </c>
      <c r="UC26" s="26">
        <f t="shared" si="177"/>
        <v>0</v>
      </c>
      <c r="UD26" s="26">
        <f t="shared" si="178"/>
        <v>0</v>
      </c>
      <c r="UE26" s="28" t="s">
        <v>53</v>
      </c>
      <c r="UF26" s="11">
        <f t="shared" si="179"/>
        <v>5.2</v>
      </c>
      <c r="UG26" s="11">
        <f t="shared" si="180"/>
        <v>23.35</v>
      </c>
      <c r="UH26" s="11">
        <f t="shared" si="181"/>
        <v>11.750000000000002</v>
      </c>
      <c r="UI26" s="11">
        <f t="shared" si="182"/>
        <v>8.65</v>
      </c>
      <c r="UJ26" s="11">
        <f t="shared" si="183"/>
        <v>35.1</v>
      </c>
      <c r="UK26" s="11" t="str">
        <f t="shared" si="184"/>
        <v/>
      </c>
      <c r="UL26" s="11" t="str">
        <f t="shared" si="185"/>
        <v/>
      </c>
      <c r="UM26" s="11">
        <f t="shared" si="186"/>
        <v>35.1</v>
      </c>
    </row>
    <row r="27" spans="1:559" x14ac:dyDescent="0.2">
      <c r="A27" s="4" t="str" cm="1">
        <f t="array" ref="A27">IF(AND(H27&lt;&gt;"",H27&lt;&gt;"No DD"),SUMPRODUCT((H$4:H$28&lt;&gt;"")*(H$4:H$28&lt;&gt;"No DD")*(E$4:E$28&gt;E27))+1,IF(H27="No DD",SUMPRODUCT((H$4:H$28="No DD")*(E$4:E$28&gt;E27))+1+SUMPRODUCT((H$4:H$28&lt;&gt;"")*(H$4:H$28&lt;&gt;"No DD")),""))</f>
        <v/>
      </c>
      <c r="B27" s="5" t="s">
        <v>214</v>
      </c>
      <c r="C27" s="4" t="s">
        <v>7</v>
      </c>
      <c r="D27" s="4">
        <v>2004</v>
      </c>
      <c r="E27" s="9">
        <f t="shared" si="187"/>
        <v>74.000007400004989</v>
      </c>
      <c r="F27" s="3" t="str">
        <f t="shared" si="0"/>
        <v/>
      </c>
      <c r="G27" s="3" t="str">
        <f t="shared" si="1"/>
        <v/>
      </c>
      <c r="H27" s="36" t="str">
        <f t="shared" si="2"/>
        <v/>
      </c>
      <c r="I27" s="3" t="str">
        <f t="shared" si="3"/>
        <v/>
      </c>
      <c r="J27" s="8">
        <f>IF(COUNT(AQ27,BT27,CW27)&gt;0,LARGE((AQ27,BT27,CW27),1),0)</f>
        <v>49.9</v>
      </c>
      <c r="K27" s="8" t="str">
        <f t="shared" si="4"/>
        <v>2024 Elite Canada</v>
      </c>
      <c r="L27" s="8">
        <f>IF(COUNT(AQ27,BT27,CW27)&gt;1,LARGE((AQ27,BT27,CW27),2),0)</f>
        <v>0</v>
      </c>
      <c r="M27" s="8" t="str">
        <f t="shared" si="5"/>
        <v/>
      </c>
      <c r="N27" s="8">
        <f>IF(COUNT(AR27,BU27,CX27)&gt;0,LARGE((AR27,BU27,CX27),1),0)</f>
        <v>24.1</v>
      </c>
      <c r="O27" s="8" t="str">
        <f t="shared" si="6"/>
        <v>2024 Elite Canada</v>
      </c>
      <c r="P27" s="8">
        <f t="shared" si="7"/>
        <v>0</v>
      </c>
      <c r="Q27" s="8" t="str">
        <f t="shared" si="8"/>
        <v/>
      </c>
      <c r="R27" s="8" t="str">
        <f t="shared" si="9"/>
        <v/>
      </c>
      <c r="S27" s="11" t="str">
        <f t="shared" si="10"/>
        <v/>
      </c>
      <c r="T27" s="8" t="str">
        <f t="shared" si="11"/>
        <v/>
      </c>
      <c r="U27" s="19">
        <v>18.600000000000001</v>
      </c>
      <c r="V27" s="19">
        <v>6.8</v>
      </c>
      <c r="W27" s="19">
        <v>0.2</v>
      </c>
      <c r="X27" s="19">
        <v>0</v>
      </c>
      <c r="Y27" s="19">
        <v>18.5</v>
      </c>
      <c r="Z27" s="19">
        <v>6.4</v>
      </c>
      <c r="AA27" s="19">
        <v>0.2</v>
      </c>
      <c r="AB27" s="19">
        <v>0</v>
      </c>
      <c r="AC27" s="19">
        <v>18.3</v>
      </c>
      <c r="AD27" s="19">
        <v>6</v>
      </c>
      <c r="AE27" s="19">
        <v>0.2</v>
      </c>
      <c r="AF27" s="19">
        <v>0</v>
      </c>
      <c r="AG27" s="19">
        <v>0</v>
      </c>
      <c r="AH27" s="19">
        <v>0</v>
      </c>
      <c r="AI27" s="19">
        <v>0</v>
      </c>
      <c r="AJ27" s="19">
        <v>0</v>
      </c>
      <c r="AK27" s="19">
        <v>0</v>
      </c>
      <c r="AL27" s="19">
        <v>0</v>
      </c>
      <c r="AM27" s="19">
        <v>0</v>
      </c>
      <c r="AN27" s="19">
        <v>0</v>
      </c>
      <c r="AO27" s="27"/>
      <c r="AP27" s="40">
        <f t="shared" si="12"/>
        <v>13.2</v>
      </c>
      <c r="AQ27" s="40">
        <f t="shared" si="13"/>
        <v>49.9</v>
      </c>
      <c r="AR27" s="40">
        <f t="shared" si="14"/>
        <v>24.1</v>
      </c>
      <c r="AS27" s="40">
        <f t="shared" si="15"/>
        <v>19.2</v>
      </c>
      <c r="AT27" s="40">
        <f t="shared" si="16"/>
        <v>74</v>
      </c>
      <c r="AU27" s="40" t="str">
        <f t="shared" si="17"/>
        <v/>
      </c>
      <c r="AV27" s="40" t="str">
        <f t="shared" si="18"/>
        <v/>
      </c>
      <c r="AW27" s="40">
        <f t="shared" si="19"/>
        <v>74</v>
      </c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28"/>
      <c r="BS27" s="11" t="str">
        <f t="shared" si="20"/>
        <v/>
      </c>
      <c r="BT27" s="11" t="str">
        <f t="shared" si="21"/>
        <v/>
      </c>
      <c r="BU27" s="11" t="str">
        <f t="shared" si="22"/>
        <v/>
      </c>
      <c r="BV27" s="11" t="str">
        <f t="shared" si="23"/>
        <v/>
      </c>
      <c r="BW27" s="11" t="str">
        <f t="shared" si="24"/>
        <v/>
      </c>
      <c r="BX27" s="11" t="str">
        <f t="shared" si="25"/>
        <v/>
      </c>
      <c r="BY27" s="11" t="str">
        <f t="shared" si="26"/>
        <v/>
      </c>
      <c r="BZ27" s="11" t="str">
        <f t="shared" si="27"/>
        <v/>
      </c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27"/>
      <c r="CV27" s="40" t="str">
        <f t="shared" si="28"/>
        <v/>
      </c>
      <c r="CW27" s="40" t="str">
        <f t="shared" si="29"/>
        <v/>
      </c>
      <c r="CX27" s="40" t="str">
        <f t="shared" si="30"/>
        <v/>
      </c>
      <c r="CY27" s="40" t="str">
        <f t="shared" si="31"/>
        <v/>
      </c>
      <c r="CZ27" s="40" t="str">
        <f t="shared" si="32"/>
        <v/>
      </c>
      <c r="DA27" s="40" t="str">
        <f t="shared" si="33"/>
        <v/>
      </c>
      <c r="DB27" s="40" t="str">
        <f t="shared" si="34"/>
        <v/>
      </c>
      <c r="DC27" s="40" t="str">
        <f t="shared" si="35"/>
        <v/>
      </c>
      <c r="DD27" s="51" t="str">
        <f t="shared" si="36"/>
        <v/>
      </c>
      <c r="DE27" s="51" t="str">
        <f t="shared" si="37"/>
        <v/>
      </c>
      <c r="DF27" s="51" t="str">
        <f t="shared" si="38"/>
        <v/>
      </c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40" t="str">
        <f t="shared" si="39"/>
        <v/>
      </c>
      <c r="EB27" s="40" t="str">
        <f t="shared" si="40"/>
        <v/>
      </c>
      <c r="EC27" s="40" t="str">
        <f t="shared" si="41"/>
        <v/>
      </c>
      <c r="ED27" s="40" t="str">
        <f t="shared" si="42"/>
        <v/>
      </c>
      <c r="EE27" s="40" t="str">
        <f t="shared" si="43"/>
        <v/>
      </c>
      <c r="EF27" s="40" t="str">
        <f t="shared" si="44"/>
        <v/>
      </c>
      <c r="EG27" s="40" t="str">
        <f t="shared" si="45"/>
        <v/>
      </c>
      <c r="EH27" s="40" t="str">
        <f t="shared" si="46"/>
        <v/>
      </c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1" t="str">
        <f t="shared" si="47"/>
        <v/>
      </c>
      <c r="FD27" s="11" t="str">
        <f t="shared" si="48"/>
        <v/>
      </c>
      <c r="FE27" s="11" t="str">
        <f t="shared" si="49"/>
        <v/>
      </c>
      <c r="FF27" s="11" t="str">
        <f t="shared" si="50"/>
        <v/>
      </c>
      <c r="FG27" s="11" t="str">
        <f t="shared" si="51"/>
        <v/>
      </c>
      <c r="FH27" s="11" t="str">
        <f t="shared" si="52"/>
        <v/>
      </c>
      <c r="FI27" s="11" t="str">
        <f t="shared" si="53"/>
        <v/>
      </c>
      <c r="FJ27" s="11" t="str">
        <f t="shared" si="54"/>
        <v/>
      </c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40" t="str">
        <f t="shared" si="55"/>
        <v/>
      </c>
      <c r="GF27" s="40" t="str">
        <f t="shared" si="56"/>
        <v/>
      </c>
      <c r="GG27" s="40" t="str">
        <f t="shared" si="57"/>
        <v/>
      </c>
      <c r="GH27" s="40" t="str">
        <f t="shared" si="58"/>
        <v/>
      </c>
      <c r="GI27" s="40" t="str">
        <f t="shared" si="59"/>
        <v/>
      </c>
      <c r="GJ27" s="40" t="str">
        <f t="shared" si="60"/>
        <v/>
      </c>
      <c r="GK27" s="40" t="str">
        <f t="shared" si="61"/>
        <v/>
      </c>
      <c r="GL27" s="40" t="str">
        <f t="shared" si="62"/>
        <v/>
      </c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1" t="str">
        <f t="shared" si="63"/>
        <v/>
      </c>
      <c r="HH27" s="11" t="str">
        <f t="shared" si="64"/>
        <v/>
      </c>
      <c r="HI27" s="11" t="str">
        <f t="shared" si="65"/>
        <v/>
      </c>
      <c r="HJ27" s="11" t="str">
        <f t="shared" si="66"/>
        <v/>
      </c>
      <c r="HK27" s="11" t="str">
        <f t="shared" si="67"/>
        <v/>
      </c>
      <c r="HL27" s="11" t="str">
        <f t="shared" si="68"/>
        <v/>
      </c>
      <c r="HM27" s="11" t="str">
        <f t="shared" si="69"/>
        <v/>
      </c>
      <c r="HN27" s="11" t="str">
        <f t="shared" si="70"/>
        <v/>
      </c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40" t="str">
        <f t="shared" si="71"/>
        <v/>
      </c>
      <c r="IJ27" s="40" t="str">
        <f t="shared" si="72"/>
        <v/>
      </c>
      <c r="IK27" s="40" t="str">
        <f t="shared" si="73"/>
        <v/>
      </c>
      <c r="IL27" s="40" t="str">
        <f t="shared" si="74"/>
        <v/>
      </c>
      <c r="IM27" s="40" t="str">
        <f t="shared" si="75"/>
        <v/>
      </c>
      <c r="IN27" s="40" t="str">
        <f t="shared" si="76"/>
        <v/>
      </c>
      <c r="IO27" s="40" t="str">
        <f t="shared" si="77"/>
        <v/>
      </c>
      <c r="IP27" s="40" t="str">
        <f t="shared" si="78"/>
        <v/>
      </c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1" t="str">
        <f t="shared" si="79"/>
        <v/>
      </c>
      <c r="JL27" s="11" t="str">
        <f t="shared" si="80"/>
        <v/>
      </c>
      <c r="JM27" s="11" t="str">
        <f t="shared" si="81"/>
        <v/>
      </c>
      <c r="JN27" s="11" t="str">
        <f t="shared" si="82"/>
        <v/>
      </c>
      <c r="JO27" s="11" t="str">
        <f t="shared" si="83"/>
        <v/>
      </c>
      <c r="JP27" s="11" t="str">
        <f t="shared" si="84"/>
        <v/>
      </c>
      <c r="JQ27" s="11" t="str">
        <f t="shared" si="85"/>
        <v/>
      </c>
      <c r="JR27" s="11" t="str">
        <f t="shared" si="86"/>
        <v/>
      </c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40" t="str">
        <f t="shared" si="87"/>
        <v/>
      </c>
      <c r="KN27" s="40" t="str">
        <f t="shared" si="88"/>
        <v/>
      </c>
      <c r="KO27" s="40" t="str">
        <f t="shared" si="89"/>
        <v/>
      </c>
      <c r="KP27" s="40" t="str">
        <f t="shared" si="90"/>
        <v/>
      </c>
      <c r="KQ27" s="40" t="str">
        <f t="shared" si="91"/>
        <v/>
      </c>
      <c r="KR27" s="40" t="str">
        <f t="shared" si="92"/>
        <v/>
      </c>
      <c r="KS27" s="40" t="str">
        <f t="shared" si="93"/>
        <v/>
      </c>
      <c r="KT27" s="40" t="str">
        <f t="shared" si="94"/>
        <v/>
      </c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1" t="str">
        <f t="shared" si="95"/>
        <v/>
      </c>
      <c r="LP27" s="11" t="str">
        <f t="shared" si="96"/>
        <v/>
      </c>
      <c r="LQ27" s="11" t="str">
        <f t="shared" si="97"/>
        <v/>
      </c>
      <c r="LR27" s="11" t="str">
        <f t="shared" si="98"/>
        <v/>
      </c>
      <c r="LS27" s="11" t="str">
        <f t="shared" si="99"/>
        <v/>
      </c>
      <c r="LT27" s="11" t="str">
        <f t="shared" si="100"/>
        <v/>
      </c>
      <c r="LU27" s="11" t="str">
        <f t="shared" si="101"/>
        <v/>
      </c>
      <c r="LV27" s="11" t="str">
        <f t="shared" si="102"/>
        <v/>
      </c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40" t="str">
        <f t="shared" si="103"/>
        <v/>
      </c>
      <c r="MR27" s="40" t="str">
        <f t="shared" si="104"/>
        <v/>
      </c>
      <c r="MS27" s="40" t="str">
        <f t="shared" si="105"/>
        <v/>
      </c>
      <c r="MT27" s="40" t="str">
        <f t="shared" si="106"/>
        <v/>
      </c>
      <c r="MU27" s="40" t="str">
        <f t="shared" si="107"/>
        <v/>
      </c>
      <c r="MV27" s="40" t="str">
        <f t="shared" si="108"/>
        <v/>
      </c>
      <c r="MW27" s="40" t="str">
        <f t="shared" si="109"/>
        <v/>
      </c>
      <c r="MX27" s="40" t="str">
        <f t="shared" si="110"/>
        <v/>
      </c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1" t="str">
        <f t="shared" si="111"/>
        <v/>
      </c>
      <c r="NT27" s="11" t="str">
        <f t="shared" si="112"/>
        <v/>
      </c>
      <c r="NU27" s="11" t="str">
        <f t="shared" si="113"/>
        <v/>
      </c>
      <c r="NV27" s="11" t="str">
        <f t="shared" si="114"/>
        <v/>
      </c>
      <c r="NW27" s="11" t="str">
        <f t="shared" si="115"/>
        <v/>
      </c>
      <c r="NX27" s="11" t="str">
        <f t="shared" si="116"/>
        <v/>
      </c>
      <c r="NY27" s="11" t="str">
        <f t="shared" si="117"/>
        <v/>
      </c>
      <c r="NZ27" s="11" t="str">
        <f t="shared" si="118"/>
        <v/>
      </c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40" t="str">
        <f t="shared" si="119"/>
        <v/>
      </c>
      <c r="OV27" s="40" t="str">
        <f t="shared" si="120"/>
        <v/>
      </c>
      <c r="OW27" s="40" t="str">
        <f t="shared" si="121"/>
        <v/>
      </c>
      <c r="OX27" s="40" t="str">
        <f t="shared" si="122"/>
        <v/>
      </c>
      <c r="OY27" s="40" t="str">
        <f t="shared" si="123"/>
        <v/>
      </c>
      <c r="OZ27" s="40" t="str">
        <f t="shared" si="124"/>
        <v/>
      </c>
      <c r="PA27" s="40" t="str">
        <f t="shared" si="125"/>
        <v/>
      </c>
      <c r="PB27" s="40" t="str">
        <f t="shared" si="126"/>
        <v/>
      </c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1" t="str">
        <f t="shared" si="127"/>
        <v/>
      </c>
      <c r="PX27" s="11" t="str">
        <f t="shared" si="128"/>
        <v/>
      </c>
      <c r="PY27" s="11" t="str">
        <f t="shared" si="129"/>
        <v/>
      </c>
      <c r="PZ27" s="11" t="str">
        <f t="shared" si="130"/>
        <v/>
      </c>
      <c r="QA27" s="11" t="str">
        <f t="shared" si="131"/>
        <v/>
      </c>
      <c r="QB27" s="11" t="str">
        <f t="shared" si="132"/>
        <v/>
      </c>
      <c r="QC27" s="11" t="str">
        <f t="shared" si="133"/>
        <v/>
      </c>
      <c r="QD27" s="11" t="str">
        <f t="shared" si="134"/>
        <v/>
      </c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40" t="str">
        <f t="shared" si="135"/>
        <v/>
      </c>
      <c r="QZ27" s="40" t="str">
        <f t="shared" si="136"/>
        <v/>
      </c>
      <c r="RA27" s="40" t="str">
        <f t="shared" si="137"/>
        <v/>
      </c>
      <c r="RB27" s="40" t="str">
        <f t="shared" si="138"/>
        <v/>
      </c>
      <c r="RC27" s="40" t="str">
        <f t="shared" si="139"/>
        <v/>
      </c>
      <c r="RD27" s="40" t="str">
        <f t="shared" si="140"/>
        <v/>
      </c>
      <c r="RE27" s="40" t="str">
        <f t="shared" si="141"/>
        <v/>
      </c>
      <c r="RF27" s="40" t="str">
        <f t="shared" si="142"/>
        <v/>
      </c>
      <c r="RG27" s="18"/>
      <c r="RH27" s="18"/>
      <c r="RI27" s="18"/>
      <c r="RJ27" s="18"/>
      <c r="RK27" s="18"/>
      <c r="RL27" s="18"/>
      <c r="RM27" s="18"/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1" t="str">
        <f t="shared" si="143"/>
        <v/>
      </c>
      <c r="SB27" s="11" t="str">
        <f t="shared" si="144"/>
        <v/>
      </c>
      <c r="SC27" s="11" t="str">
        <f t="shared" si="145"/>
        <v/>
      </c>
      <c r="SD27" s="11" t="str">
        <f t="shared" si="146"/>
        <v/>
      </c>
      <c r="SE27" s="11" t="str">
        <f t="shared" si="147"/>
        <v/>
      </c>
      <c r="SF27" s="11" t="str">
        <f t="shared" si="148"/>
        <v/>
      </c>
      <c r="SG27" s="11" t="str">
        <f t="shared" si="149"/>
        <v/>
      </c>
      <c r="SH27" s="11" t="str">
        <f t="shared" si="150"/>
        <v/>
      </c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17"/>
      <c r="TA27" s="17"/>
      <c r="TB27" s="17"/>
      <c r="TC27" s="40" t="str">
        <f t="shared" si="151"/>
        <v/>
      </c>
      <c r="TD27" s="40" t="str">
        <f t="shared" si="152"/>
        <v/>
      </c>
      <c r="TE27" s="40" t="str">
        <f t="shared" si="153"/>
        <v/>
      </c>
      <c r="TF27" s="40" t="str">
        <f t="shared" si="154"/>
        <v/>
      </c>
      <c r="TG27" s="40" t="str">
        <f t="shared" si="155"/>
        <v/>
      </c>
      <c r="TH27" s="40" t="str">
        <f t="shared" si="156"/>
        <v/>
      </c>
      <c r="TI27" s="40" t="str">
        <f t="shared" si="157"/>
        <v/>
      </c>
      <c r="TJ27" s="40" t="str">
        <f t="shared" si="158"/>
        <v/>
      </c>
      <c r="TK27" s="26">
        <f t="shared" si="159"/>
        <v>0</v>
      </c>
      <c r="TL27" s="26">
        <f t="shared" si="160"/>
        <v>0</v>
      </c>
      <c r="TM27" s="26">
        <f t="shared" si="161"/>
        <v>0</v>
      </c>
      <c r="TN27" s="26">
        <f t="shared" si="162"/>
        <v>0</v>
      </c>
      <c r="TO27" s="26">
        <f t="shared" si="163"/>
        <v>0</v>
      </c>
      <c r="TP27" s="26">
        <f t="shared" si="164"/>
        <v>0</v>
      </c>
      <c r="TQ27" s="26">
        <f t="shared" si="165"/>
        <v>0</v>
      </c>
      <c r="TR27" s="26">
        <f t="shared" si="166"/>
        <v>0</v>
      </c>
      <c r="TS27" s="26">
        <f t="shared" si="167"/>
        <v>0</v>
      </c>
      <c r="TT27" s="26">
        <f t="shared" si="168"/>
        <v>0</v>
      </c>
      <c r="TU27" s="26">
        <f t="shared" si="169"/>
        <v>0</v>
      </c>
      <c r="TV27" s="26">
        <f t="shared" si="170"/>
        <v>0</v>
      </c>
      <c r="TW27" s="26">
        <f t="shared" si="171"/>
        <v>0</v>
      </c>
      <c r="TX27" s="26">
        <f t="shared" si="172"/>
        <v>0</v>
      </c>
      <c r="TY27" s="26">
        <f t="shared" si="173"/>
        <v>0</v>
      </c>
      <c r="TZ27" s="26">
        <f t="shared" si="174"/>
        <v>0</v>
      </c>
      <c r="UA27" s="26">
        <f t="shared" si="175"/>
        <v>0</v>
      </c>
      <c r="UB27" s="26">
        <f t="shared" si="176"/>
        <v>0</v>
      </c>
      <c r="UC27" s="26">
        <f t="shared" si="177"/>
        <v>0</v>
      </c>
      <c r="UD27" s="26">
        <f t="shared" si="178"/>
        <v>0</v>
      </c>
      <c r="UE27" s="28" t="s">
        <v>53</v>
      </c>
      <c r="UF27" s="11" t="str">
        <f t="shared" si="179"/>
        <v/>
      </c>
      <c r="UG27" s="11" t="str">
        <f t="shared" si="180"/>
        <v/>
      </c>
      <c r="UH27" s="11" t="str">
        <f t="shared" si="181"/>
        <v/>
      </c>
      <c r="UI27" s="11" t="str">
        <f t="shared" si="182"/>
        <v/>
      </c>
      <c r="UJ27" s="11" t="str">
        <f t="shared" si="183"/>
        <v/>
      </c>
      <c r="UK27" s="11" t="str">
        <f t="shared" si="184"/>
        <v/>
      </c>
      <c r="UL27" s="11" t="str">
        <f t="shared" si="185"/>
        <v/>
      </c>
      <c r="UM27" s="11" t="str">
        <f t="shared" si="186"/>
        <v/>
      </c>
    </row>
    <row r="28" spans="1:559" ht="17" x14ac:dyDescent="0.2">
      <c r="R28" s="10"/>
      <c r="S28" s="10"/>
      <c r="T28" s="10"/>
      <c r="QY28" s="36"/>
      <c r="RG28"/>
      <c r="SA28" s="36"/>
      <c r="SB28" s="36"/>
      <c r="SC28" s="36"/>
      <c r="SD28" s="36"/>
      <c r="SE28" s="36"/>
      <c r="SF28" s="36"/>
      <c r="SG28" s="36"/>
      <c r="SH28" s="36"/>
      <c r="TC28" s="36"/>
      <c r="TD28" s="36"/>
      <c r="TE28" s="36"/>
      <c r="TF28" s="36"/>
      <c r="TG28" s="36"/>
      <c r="TH28" s="36"/>
      <c r="TI28" s="36"/>
      <c r="TJ28" s="36"/>
    </row>
    <row r="29" spans="1:559" ht="17" x14ac:dyDescent="0.2">
      <c r="R29" s="10"/>
      <c r="S29" s="10"/>
      <c r="T29" s="10"/>
      <c r="QY29" s="36"/>
      <c r="RG29"/>
      <c r="SA29" s="36"/>
      <c r="SB29" s="36"/>
      <c r="SC29" s="36"/>
      <c r="SD29" s="36"/>
      <c r="SE29" s="36"/>
      <c r="SF29" s="36"/>
      <c r="SG29" s="36"/>
      <c r="SH29" s="36"/>
      <c r="TC29" s="36"/>
      <c r="TD29" s="36"/>
      <c r="TE29" s="36"/>
      <c r="TF29" s="36"/>
      <c r="TG29" s="36"/>
      <c r="TH29" s="36"/>
      <c r="TI29" s="36"/>
      <c r="TJ29" s="36"/>
    </row>
    <row r="30" spans="1:559" ht="17" x14ac:dyDescent="0.2">
      <c r="B30" s="23" t="s">
        <v>51</v>
      </c>
      <c r="R30" s="10"/>
      <c r="S30" s="10"/>
      <c r="T30" s="10"/>
      <c r="AP30" s="4"/>
      <c r="AW30" s="42">
        <v>14.4</v>
      </c>
      <c r="BS30" s="4"/>
      <c r="BZ30" s="42">
        <v>14.4</v>
      </c>
      <c r="CV30" s="4"/>
      <c r="DC30" s="42">
        <v>14.4</v>
      </c>
      <c r="EA30" s="4"/>
      <c r="EH30" s="42">
        <v>14.4</v>
      </c>
      <c r="FC30" s="4"/>
      <c r="FJ30" s="42">
        <v>14.4</v>
      </c>
      <c r="GE30" s="4"/>
      <c r="GL30" s="42">
        <v>14.4</v>
      </c>
      <c r="HG30" s="4"/>
      <c r="HN30" s="42">
        <v>14.4</v>
      </c>
      <c r="II30" s="4"/>
      <c r="IP30" s="42">
        <v>14.4</v>
      </c>
      <c r="JK30" s="4"/>
      <c r="JR30" s="42">
        <v>14.4</v>
      </c>
      <c r="KM30" s="4"/>
      <c r="KT30" s="42">
        <v>14.4</v>
      </c>
      <c r="LO30" s="4"/>
      <c r="LV30" s="42">
        <v>14.4</v>
      </c>
      <c r="MQ30" s="4"/>
      <c r="MX30" s="42">
        <v>14.4</v>
      </c>
      <c r="NS30" s="4"/>
      <c r="NZ30" s="42">
        <v>14.4</v>
      </c>
      <c r="OU30" s="4"/>
      <c r="PB30" s="42">
        <v>14.4</v>
      </c>
      <c r="PW30" s="4"/>
      <c r="QD30" s="42">
        <v>14.4</v>
      </c>
      <c r="QY30" s="4"/>
      <c r="RF30" s="42">
        <v>14.4</v>
      </c>
      <c r="RG30"/>
      <c r="SA30" s="4"/>
      <c r="SB30" s="36"/>
      <c r="SC30" s="36"/>
      <c r="SD30" s="36"/>
      <c r="SE30" s="36"/>
      <c r="SF30" s="36"/>
      <c r="SG30" s="36"/>
      <c r="SH30" s="42">
        <v>14.4</v>
      </c>
      <c r="TC30" s="4"/>
      <c r="TD30" s="36"/>
      <c r="TE30" s="36"/>
      <c r="TF30" s="36"/>
      <c r="TG30" s="36"/>
      <c r="TH30" s="36"/>
      <c r="TI30" s="36"/>
      <c r="TJ30" s="42">
        <v>14.4</v>
      </c>
    </row>
    <row r="31" spans="1:559" ht="17" x14ac:dyDescent="0.2">
      <c r="B31" s="30" t="s">
        <v>50</v>
      </c>
      <c r="R31" s="10"/>
      <c r="S31" s="10"/>
      <c r="T31" s="10"/>
      <c r="AP31" s="4"/>
      <c r="AW31" s="52">
        <v>21.6</v>
      </c>
      <c r="BS31" s="4"/>
      <c r="BZ31" s="52">
        <v>21.6</v>
      </c>
      <c r="CV31" s="4"/>
      <c r="DC31" s="52">
        <v>21.6</v>
      </c>
      <c r="EA31" s="4"/>
      <c r="EH31" s="52">
        <v>21.6</v>
      </c>
      <c r="FC31" s="4"/>
      <c r="FJ31" s="52">
        <v>21.6</v>
      </c>
      <c r="GE31" s="4"/>
      <c r="GL31" s="52">
        <v>21.6</v>
      </c>
      <c r="HG31" s="4"/>
      <c r="HN31" s="52">
        <v>21.6</v>
      </c>
      <c r="II31" s="4"/>
      <c r="IP31" s="52">
        <v>21.6</v>
      </c>
      <c r="JK31" s="4"/>
      <c r="JR31" s="52">
        <v>21.6</v>
      </c>
      <c r="KM31" s="4"/>
      <c r="KT31" s="52">
        <v>21.6</v>
      </c>
      <c r="LO31" s="4"/>
      <c r="LV31" s="52">
        <v>21.6</v>
      </c>
      <c r="MQ31" s="4"/>
      <c r="MX31" s="52">
        <v>21.6</v>
      </c>
      <c r="NS31" s="4"/>
      <c r="NZ31" s="52">
        <v>21.6</v>
      </c>
      <c r="OU31" s="4"/>
      <c r="PB31" s="52">
        <v>21.6</v>
      </c>
      <c r="PW31" s="4"/>
      <c r="QD31" s="52">
        <v>21.6</v>
      </c>
      <c r="QY31" s="4"/>
      <c r="RF31" s="52">
        <v>21.6</v>
      </c>
      <c r="RG31"/>
      <c r="SA31" s="4"/>
      <c r="SB31" s="36"/>
      <c r="SC31" s="36"/>
      <c r="SD31" s="36"/>
      <c r="SE31" s="36"/>
      <c r="SF31" s="36"/>
      <c r="SG31" s="36"/>
      <c r="SH31" s="52">
        <v>21.6</v>
      </c>
      <c r="TC31" s="4"/>
      <c r="TD31" s="36"/>
      <c r="TE31" s="36"/>
      <c r="TF31" s="36"/>
      <c r="TG31" s="36"/>
      <c r="TH31" s="36"/>
      <c r="TI31" s="36"/>
      <c r="TJ31" s="52">
        <v>21.6</v>
      </c>
    </row>
    <row r="32" spans="1:559" ht="17" x14ac:dyDescent="0.2">
      <c r="A32" s="5"/>
      <c r="B32" s="31" t="s">
        <v>63</v>
      </c>
      <c r="C32" s="20"/>
      <c r="R32" s="10"/>
      <c r="S32" s="10"/>
      <c r="T32" s="10"/>
      <c r="AP32" s="4"/>
      <c r="AW32" s="44">
        <v>23.2</v>
      </c>
      <c r="BS32" s="4"/>
      <c r="BZ32" s="44">
        <v>23.2</v>
      </c>
      <c r="CV32" s="4"/>
      <c r="DC32" s="44">
        <v>23.2</v>
      </c>
      <c r="EA32" s="4"/>
      <c r="EH32" s="44">
        <v>23.2</v>
      </c>
      <c r="FC32" s="4"/>
      <c r="FJ32" s="44">
        <v>23.2</v>
      </c>
      <c r="GE32" s="4"/>
      <c r="GL32" s="44">
        <v>23.2</v>
      </c>
      <c r="HG32" s="4"/>
      <c r="HN32" s="44">
        <v>23.2</v>
      </c>
      <c r="II32" s="4"/>
      <c r="IP32" s="44">
        <v>23.2</v>
      </c>
      <c r="JK32" s="4"/>
      <c r="JR32" s="44">
        <v>23.2</v>
      </c>
      <c r="KM32" s="4"/>
      <c r="KT32" s="44">
        <v>23.2</v>
      </c>
      <c r="LO32" s="4"/>
      <c r="LV32" s="44">
        <v>23.2</v>
      </c>
      <c r="MQ32" s="4"/>
      <c r="MX32" s="44">
        <v>23.2</v>
      </c>
      <c r="NS32" s="4"/>
      <c r="NZ32" s="44">
        <v>23.2</v>
      </c>
      <c r="OU32" s="4"/>
      <c r="PB32" s="44">
        <v>23.2</v>
      </c>
      <c r="PW32" s="4"/>
      <c r="QD32" s="44">
        <v>23.2</v>
      </c>
      <c r="QY32" s="4"/>
      <c r="RF32" s="44">
        <v>23.2</v>
      </c>
      <c r="RG32"/>
      <c r="SA32" s="4"/>
      <c r="SB32" s="36"/>
      <c r="SC32" s="36"/>
      <c r="SD32" s="36"/>
      <c r="SE32" s="36"/>
      <c r="SF32" s="36"/>
      <c r="SG32" s="36"/>
      <c r="SH32" s="44">
        <v>23.2</v>
      </c>
      <c r="TC32" s="4"/>
      <c r="TD32" s="36"/>
      <c r="TE32" s="36"/>
      <c r="TF32" s="36"/>
      <c r="TG32" s="36"/>
      <c r="TH32" s="36"/>
      <c r="TI32" s="36"/>
      <c r="TJ32" s="44">
        <v>23.2</v>
      </c>
    </row>
    <row r="33" spans="1:530" ht="17" x14ac:dyDescent="0.2">
      <c r="A33" s="5"/>
      <c r="B33" s="35" t="s">
        <v>76</v>
      </c>
      <c r="C33" s="20"/>
      <c r="R33" s="10"/>
      <c r="S33" s="10"/>
      <c r="T33" s="10"/>
      <c r="AP33" s="4"/>
      <c r="AW33" s="45">
        <v>25.6</v>
      </c>
      <c r="BS33" s="4"/>
      <c r="BZ33" s="45">
        <v>25.6</v>
      </c>
      <c r="CV33" s="4"/>
      <c r="DC33" s="45">
        <v>25.6</v>
      </c>
      <c r="EA33" s="4"/>
      <c r="EH33" s="45">
        <v>25.6</v>
      </c>
      <c r="FC33" s="4"/>
      <c r="FJ33" s="45">
        <v>25.6</v>
      </c>
      <c r="GE33" s="4"/>
      <c r="GL33" s="45">
        <v>25.6</v>
      </c>
      <c r="HG33" s="4"/>
      <c r="HN33" s="45">
        <v>25.6</v>
      </c>
      <c r="II33" s="4"/>
      <c r="IP33" s="45">
        <v>25.6</v>
      </c>
      <c r="JK33" s="4"/>
      <c r="JR33" s="45">
        <v>25.6</v>
      </c>
      <c r="KM33" s="4"/>
      <c r="KT33" s="45">
        <v>25.6</v>
      </c>
      <c r="LO33" s="4"/>
      <c r="LV33" s="45">
        <v>25.6</v>
      </c>
      <c r="MQ33" s="4"/>
      <c r="MX33" s="45">
        <v>25.6</v>
      </c>
      <c r="NS33" s="4"/>
      <c r="NZ33" s="45">
        <v>25.6</v>
      </c>
      <c r="OU33" s="4"/>
      <c r="PB33" s="45">
        <v>25.6</v>
      </c>
      <c r="PW33" s="4"/>
      <c r="QD33" s="45">
        <v>25.6</v>
      </c>
      <c r="QY33" s="4"/>
      <c r="RF33" s="45">
        <v>25.6</v>
      </c>
      <c r="RG33"/>
      <c r="SA33" s="4"/>
      <c r="SB33" s="36"/>
      <c r="SC33" s="36"/>
      <c r="SD33" s="36"/>
      <c r="SE33" s="36"/>
      <c r="SF33" s="36"/>
      <c r="SG33" s="36"/>
      <c r="SH33" s="45">
        <v>25.6</v>
      </c>
      <c r="TC33" s="4"/>
      <c r="TD33" s="36"/>
      <c r="TE33" s="36"/>
      <c r="TF33" s="36"/>
      <c r="TG33" s="36"/>
      <c r="TH33" s="36"/>
      <c r="TI33" s="36"/>
      <c r="TJ33" s="45">
        <v>25.6</v>
      </c>
    </row>
    <row r="34" spans="1:530" ht="17" x14ac:dyDescent="0.2">
      <c r="A34" s="5"/>
      <c r="B34" s="34" t="s">
        <v>48</v>
      </c>
      <c r="C34" s="20"/>
      <c r="R34" s="10"/>
      <c r="S34" s="10"/>
      <c r="T34" s="10"/>
      <c r="AP34" s="4"/>
      <c r="AW34" s="46">
        <v>51.2</v>
      </c>
      <c r="BS34" s="4"/>
      <c r="BZ34" s="46">
        <v>51.2</v>
      </c>
      <c r="CV34" s="4"/>
      <c r="DC34" s="46">
        <v>51.2</v>
      </c>
      <c r="EA34" s="4"/>
      <c r="EH34" s="46">
        <v>51.2</v>
      </c>
      <c r="FC34" s="4"/>
      <c r="FJ34" s="46">
        <v>51.2</v>
      </c>
      <c r="GE34" s="4"/>
      <c r="GL34" s="46">
        <v>51.2</v>
      </c>
      <c r="HG34" s="4"/>
      <c r="HN34" s="46">
        <v>51.2</v>
      </c>
      <c r="II34" s="4"/>
      <c r="IP34" s="46">
        <v>51.2</v>
      </c>
      <c r="JK34" s="4"/>
      <c r="JR34" s="46">
        <v>51.2</v>
      </c>
      <c r="KM34" s="4"/>
      <c r="KT34" s="46">
        <v>51.2</v>
      </c>
      <c r="LO34" s="4"/>
      <c r="LV34" s="46">
        <v>51.2</v>
      </c>
      <c r="MQ34" s="4"/>
      <c r="MX34" s="46">
        <v>51.2</v>
      </c>
      <c r="NS34" s="4"/>
      <c r="NZ34" s="46">
        <v>51.2</v>
      </c>
      <c r="OU34" s="4"/>
      <c r="PB34" s="46">
        <v>51.2</v>
      </c>
      <c r="PW34" s="4"/>
      <c r="QD34" s="46">
        <v>51.2</v>
      </c>
      <c r="QY34" s="4"/>
      <c r="RF34" s="46">
        <v>51.2</v>
      </c>
      <c r="RG34"/>
      <c r="SA34" s="4"/>
      <c r="SB34" s="36"/>
      <c r="SC34" s="36"/>
      <c r="SD34" s="36"/>
      <c r="SE34" s="36"/>
      <c r="SF34" s="36"/>
      <c r="SG34" s="36"/>
      <c r="SH34" s="46">
        <v>51.2</v>
      </c>
      <c r="TC34" s="4"/>
      <c r="TD34" s="36"/>
      <c r="TE34" s="36"/>
      <c r="TF34" s="36"/>
      <c r="TG34" s="36"/>
      <c r="TH34" s="36"/>
      <c r="TI34" s="36"/>
      <c r="TJ34" s="46">
        <v>51.2</v>
      </c>
    </row>
    <row r="35" spans="1:530" ht="17" x14ac:dyDescent="0.2">
      <c r="A35" s="5"/>
      <c r="B35" s="24" t="s">
        <v>49</v>
      </c>
      <c r="C35" s="20"/>
      <c r="R35" s="10"/>
      <c r="S35" s="10"/>
      <c r="T35" s="10"/>
      <c r="AP35" s="4"/>
      <c r="AW35" s="47">
        <v>77.2</v>
      </c>
      <c r="BS35" s="4"/>
      <c r="BZ35" s="47">
        <v>77.2</v>
      </c>
      <c r="CV35" s="4"/>
      <c r="DC35" s="47">
        <v>77.2</v>
      </c>
      <c r="EA35" s="4"/>
      <c r="EH35" s="47">
        <v>77.2</v>
      </c>
      <c r="FC35" s="4"/>
      <c r="FJ35" s="47">
        <v>77.2</v>
      </c>
      <c r="GE35" s="4"/>
      <c r="GL35" s="47">
        <v>77.2</v>
      </c>
      <c r="HG35" s="4"/>
      <c r="HN35" s="47">
        <v>77.2</v>
      </c>
      <c r="II35" s="4"/>
      <c r="IP35" s="47">
        <v>77.2</v>
      </c>
      <c r="JK35" s="4"/>
      <c r="JR35" s="47">
        <v>77.2</v>
      </c>
      <c r="KM35" s="4"/>
      <c r="KT35" s="47">
        <v>77.2</v>
      </c>
      <c r="LO35" s="4"/>
      <c r="LV35" s="47">
        <v>77.2</v>
      </c>
      <c r="MQ35" s="4"/>
      <c r="MX35" s="47">
        <v>77.2</v>
      </c>
      <c r="NS35" s="4"/>
      <c r="NZ35" s="47">
        <v>77.2</v>
      </c>
      <c r="OU35" s="4"/>
      <c r="PB35" s="47">
        <v>77.2</v>
      </c>
      <c r="PW35" s="4"/>
      <c r="QD35" s="47">
        <v>77.2</v>
      </c>
      <c r="QY35" s="4"/>
      <c r="RF35" s="47">
        <v>77.2</v>
      </c>
      <c r="RG35"/>
      <c r="SA35" s="4"/>
      <c r="SB35" s="36"/>
      <c r="SC35" s="36"/>
      <c r="SD35" s="36"/>
      <c r="SE35" s="36"/>
      <c r="SF35" s="36"/>
      <c r="SG35" s="36"/>
      <c r="SH35" s="47">
        <v>77.2</v>
      </c>
      <c r="TC35" s="4"/>
      <c r="TD35" s="36"/>
      <c r="TE35" s="36"/>
      <c r="TF35" s="36"/>
      <c r="TG35" s="36"/>
      <c r="TH35" s="36"/>
      <c r="TI35" s="36"/>
      <c r="TJ35" s="47">
        <v>77.2</v>
      </c>
    </row>
    <row r="36" spans="1:530" ht="17" x14ac:dyDescent="0.2">
      <c r="A36" s="5"/>
      <c r="B36" s="33" t="s">
        <v>62</v>
      </c>
      <c r="C36" s="20"/>
      <c r="R36" s="10"/>
      <c r="S36" s="10"/>
      <c r="T36" s="10"/>
      <c r="AP36" s="4"/>
      <c r="AW36" s="48">
        <v>79.8</v>
      </c>
      <c r="BS36" s="4"/>
      <c r="BZ36" s="48">
        <v>79.8</v>
      </c>
      <c r="CV36" s="4"/>
      <c r="DC36" s="48">
        <v>79.8</v>
      </c>
      <c r="EA36" s="4"/>
      <c r="EH36" s="48">
        <v>79.8</v>
      </c>
      <c r="FC36" s="4"/>
      <c r="FJ36" s="48">
        <v>79.8</v>
      </c>
      <c r="GE36" s="4"/>
      <c r="GL36" s="48">
        <v>79.8</v>
      </c>
      <c r="HG36" s="4"/>
      <c r="HN36" s="48">
        <v>79.8</v>
      </c>
      <c r="II36" s="4"/>
      <c r="IP36" s="48">
        <v>79.8</v>
      </c>
      <c r="JK36" s="4"/>
      <c r="JR36" s="48">
        <v>79.8</v>
      </c>
      <c r="KM36" s="4"/>
      <c r="KT36" s="48">
        <v>79.8</v>
      </c>
      <c r="LO36" s="4"/>
      <c r="LV36" s="48">
        <v>79.8</v>
      </c>
      <c r="MQ36" s="4"/>
      <c r="MX36" s="48">
        <v>79.8</v>
      </c>
      <c r="NS36" s="4"/>
      <c r="NZ36" s="48">
        <v>79.8</v>
      </c>
      <c r="OU36" s="4"/>
      <c r="PB36" s="48">
        <v>79.8</v>
      </c>
      <c r="PW36" s="4"/>
      <c r="QD36" s="48">
        <v>79.8</v>
      </c>
      <c r="QY36" s="4"/>
      <c r="RF36" s="48">
        <v>79.8</v>
      </c>
      <c r="RG36"/>
      <c r="SA36" s="4"/>
      <c r="SB36" s="36"/>
      <c r="SC36" s="36"/>
      <c r="SD36" s="36"/>
      <c r="SE36" s="36"/>
      <c r="SF36" s="36"/>
      <c r="SG36" s="36"/>
      <c r="SH36" s="48">
        <v>79.8</v>
      </c>
      <c r="TC36" s="4"/>
      <c r="TD36" s="36"/>
      <c r="TE36" s="36"/>
      <c r="TF36" s="36"/>
      <c r="TG36" s="36"/>
      <c r="TH36" s="36"/>
      <c r="TI36" s="36"/>
      <c r="TJ36" s="48">
        <v>79.8</v>
      </c>
    </row>
    <row r="37" spans="1:530" ht="17" x14ac:dyDescent="0.2">
      <c r="A37" s="5"/>
      <c r="B37" s="25" t="s">
        <v>32</v>
      </c>
      <c r="C37" s="20"/>
      <c r="R37" s="10"/>
      <c r="S37" s="10"/>
      <c r="T37" s="10"/>
      <c r="AP37" s="4"/>
      <c r="AW37" s="49">
        <v>82.2</v>
      </c>
      <c r="BS37" s="4"/>
      <c r="BZ37" s="49">
        <v>82.2</v>
      </c>
      <c r="CV37" s="4"/>
      <c r="DC37" s="49">
        <v>82.2</v>
      </c>
      <c r="EA37" s="4"/>
      <c r="EH37" s="49">
        <v>82.2</v>
      </c>
      <c r="FC37" s="4"/>
      <c r="FJ37" s="49">
        <v>82.2</v>
      </c>
      <c r="GE37" s="4"/>
      <c r="GL37" s="49">
        <v>82.2</v>
      </c>
      <c r="HG37" s="4"/>
      <c r="HN37" s="49">
        <v>82.2</v>
      </c>
      <c r="II37" s="4"/>
      <c r="IP37" s="49">
        <v>82.2</v>
      </c>
      <c r="JK37" s="4"/>
      <c r="JR37" s="49">
        <v>82.2</v>
      </c>
      <c r="KM37" s="4"/>
      <c r="KT37" s="49">
        <v>82.2</v>
      </c>
      <c r="LO37" s="4"/>
      <c r="LV37" s="49">
        <v>82.2</v>
      </c>
      <c r="MQ37" s="4"/>
      <c r="MX37" s="49">
        <v>82.2</v>
      </c>
      <c r="NS37" s="4"/>
      <c r="NZ37" s="49">
        <v>82.2</v>
      </c>
      <c r="OU37" s="4"/>
      <c r="PB37" s="49">
        <v>82.2</v>
      </c>
      <c r="PW37" s="4"/>
      <c r="QD37" s="49">
        <v>82.2</v>
      </c>
      <c r="QY37" s="4"/>
      <c r="RF37" s="49">
        <v>82.2</v>
      </c>
      <c r="RG37"/>
      <c r="SA37" s="4"/>
      <c r="SB37" s="36"/>
      <c r="SC37" s="36"/>
      <c r="SD37" s="36"/>
      <c r="SE37" s="36"/>
      <c r="SF37" s="36"/>
      <c r="SG37" s="36"/>
      <c r="SH37" s="49">
        <v>82.2</v>
      </c>
      <c r="TC37" s="4"/>
      <c r="TD37" s="36"/>
      <c r="TE37" s="36"/>
      <c r="TF37" s="36"/>
      <c r="TG37" s="36"/>
      <c r="TH37" s="36"/>
      <c r="TI37" s="36"/>
      <c r="TJ37" s="49">
        <v>82.2</v>
      </c>
    </row>
    <row r="38" spans="1:530" x14ac:dyDescent="0.2">
      <c r="B38" s="29" t="s">
        <v>54</v>
      </c>
      <c r="C38" s="2"/>
    </row>
    <row r="39" spans="1:530" x14ac:dyDescent="0.2">
      <c r="A39" s="5"/>
      <c r="B39" s="5"/>
      <c r="C39" s="20"/>
      <c r="QF39" s="2"/>
      <c r="QG39" s="2"/>
      <c r="QH39" s="2"/>
      <c r="QI39" s="2"/>
      <c r="QJ39" s="2"/>
      <c r="QK39" s="2"/>
      <c r="QL39" s="2"/>
      <c r="QM39" s="2"/>
      <c r="QN39" s="2"/>
    </row>
    <row r="40" spans="1:530" x14ac:dyDescent="0.2">
      <c r="A40" s="5"/>
      <c r="B40" s="5"/>
      <c r="C40" s="20"/>
    </row>
    <row r="41" spans="1:530" x14ac:dyDescent="0.2">
      <c r="A41" s="5"/>
      <c r="B41" s="5"/>
      <c r="C41" s="20"/>
    </row>
    <row r="42" spans="1:530" x14ac:dyDescent="0.2">
      <c r="A42" s="5"/>
      <c r="B42" s="5"/>
      <c r="C42" s="5"/>
    </row>
  </sheetData>
  <sheetProtection sheet="1" formatCells="0" formatColumns="0" formatRows="0"/>
  <autoFilter ref="A1:UM1" xr:uid="{BE900E07-0F8D-4D43-9400-0E253474C223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sortState xmlns:xlrd2="http://schemas.microsoft.com/office/spreadsheetml/2017/richdata2" ref="A6:UM27">
      <sortCondition descending="1" ref="F1:F28"/>
    </sortState>
  </autoFilter>
  <mergeCells count="135">
    <mergeCell ref="SI1:TJ1"/>
    <mergeCell ref="SI2:SL2"/>
    <mergeCell ref="SM2:SP2"/>
    <mergeCell ref="SQ2:ST2"/>
    <mergeCell ref="SU2:SX2"/>
    <mergeCell ref="SY2:TB2"/>
    <mergeCell ref="QE1:RF1"/>
    <mergeCell ref="RG1:SH1"/>
    <mergeCell ref="QE2:QH2"/>
    <mergeCell ref="QI2:QL2"/>
    <mergeCell ref="QM2:QP2"/>
    <mergeCell ref="QQ2:QT2"/>
    <mergeCell ref="QU2:QX2"/>
    <mergeCell ref="RG2:RJ2"/>
    <mergeCell ref="RK2:RN2"/>
    <mergeCell ref="RO2:RR2"/>
    <mergeCell ref="RS2:RV2"/>
    <mergeCell ref="RW2:RZ2"/>
    <mergeCell ref="A1:A3"/>
    <mergeCell ref="B1:B3"/>
    <mergeCell ref="C1:C3"/>
    <mergeCell ref="D1:D3"/>
    <mergeCell ref="E1:E3"/>
    <mergeCell ref="F1:F3"/>
    <mergeCell ref="M1:M3"/>
    <mergeCell ref="P1:P3"/>
    <mergeCell ref="Q1:Q3"/>
    <mergeCell ref="R1:R3"/>
    <mergeCell ref="S1:S3"/>
    <mergeCell ref="T1:T3"/>
    <mergeCell ref="G1:G3"/>
    <mergeCell ref="H1:H3"/>
    <mergeCell ref="I1:I3"/>
    <mergeCell ref="J1:J3"/>
    <mergeCell ref="K1:K3"/>
    <mergeCell ref="L1:L3"/>
    <mergeCell ref="PC1:QD1"/>
    <mergeCell ref="TK1:UM1"/>
    <mergeCell ref="U2:X2"/>
    <mergeCell ref="Y2:AB2"/>
    <mergeCell ref="AC2:AF2"/>
    <mergeCell ref="AG2:AJ2"/>
    <mergeCell ref="AK2:AN2"/>
    <mergeCell ref="FK1:GL1"/>
    <mergeCell ref="GM1:HN1"/>
    <mergeCell ref="HO1:IP1"/>
    <mergeCell ref="IQ1:JR1"/>
    <mergeCell ref="JS1:KT1"/>
    <mergeCell ref="KU1:LV1"/>
    <mergeCell ref="U1:AW1"/>
    <mergeCell ref="AX1:BZ1"/>
    <mergeCell ref="CA1:DC1"/>
    <mergeCell ref="DD1:DF1"/>
    <mergeCell ref="DG1:EH1"/>
    <mergeCell ref="EI1:FJ1"/>
    <mergeCell ref="AX2:BA2"/>
    <mergeCell ref="BB2:BE2"/>
    <mergeCell ref="BF2:BI2"/>
    <mergeCell ref="BJ2:BM2"/>
    <mergeCell ref="BN2:BQ2"/>
    <mergeCell ref="CA2:CD2"/>
    <mergeCell ref="LW1:MX1"/>
    <mergeCell ref="MY1:NZ1"/>
    <mergeCell ref="OA1:PB1"/>
    <mergeCell ref="DO2:DR2"/>
    <mergeCell ref="DS2:DV2"/>
    <mergeCell ref="DW2:DZ2"/>
    <mergeCell ref="EI2:EL2"/>
    <mergeCell ref="EM2:EP2"/>
    <mergeCell ref="EQ2:ET2"/>
    <mergeCell ref="CE2:CH2"/>
    <mergeCell ref="CI2:CL2"/>
    <mergeCell ref="CM2:CP2"/>
    <mergeCell ref="CQ2:CT2"/>
    <mergeCell ref="DG2:DJ2"/>
    <mergeCell ref="DK2:DN2"/>
    <mergeCell ref="GA2:GD2"/>
    <mergeCell ref="GM2:GP2"/>
    <mergeCell ref="GQ2:GT2"/>
    <mergeCell ref="GU2:GX2"/>
    <mergeCell ref="GY2:HB2"/>
    <mergeCell ref="HC2:HF2"/>
    <mergeCell ref="EU2:EX2"/>
    <mergeCell ref="EY2:FB2"/>
    <mergeCell ref="FK2:FN2"/>
    <mergeCell ref="FO2:FR2"/>
    <mergeCell ref="FS2:FV2"/>
    <mergeCell ref="FW2:FZ2"/>
    <mergeCell ref="IU2:IX2"/>
    <mergeCell ref="IY2:JB2"/>
    <mergeCell ref="JC2:JF2"/>
    <mergeCell ref="JG2:JJ2"/>
    <mergeCell ref="JS2:JV2"/>
    <mergeCell ref="HS2:HV2"/>
    <mergeCell ref="HW2:HZ2"/>
    <mergeCell ref="IA2:ID2"/>
    <mergeCell ref="IE2:IH2"/>
    <mergeCell ref="IQ2:IT2"/>
    <mergeCell ref="NO2:NR2"/>
    <mergeCell ref="LG2:LJ2"/>
    <mergeCell ref="LK2:LN2"/>
    <mergeCell ref="LW2:LZ2"/>
    <mergeCell ref="MA2:MD2"/>
    <mergeCell ref="ME2:MH2"/>
    <mergeCell ref="MI2:ML2"/>
    <mergeCell ref="KA2:KD2"/>
    <mergeCell ref="KE2:KH2"/>
    <mergeCell ref="KI2:KL2"/>
    <mergeCell ref="KU2:KX2"/>
    <mergeCell ref="KY2:LB2"/>
    <mergeCell ref="LC2:LF2"/>
    <mergeCell ref="TS2:TV2"/>
    <mergeCell ref="TW2:TZ2"/>
    <mergeCell ref="UA2:UD2"/>
    <mergeCell ref="N1:N3"/>
    <mergeCell ref="O1:O3"/>
    <mergeCell ref="PG2:PJ2"/>
    <mergeCell ref="PK2:PN2"/>
    <mergeCell ref="PO2:PR2"/>
    <mergeCell ref="PS2:PV2"/>
    <mergeCell ref="TK2:TN2"/>
    <mergeCell ref="TO2:TR2"/>
    <mergeCell ref="OA2:OD2"/>
    <mergeCell ref="OE2:OH2"/>
    <mergeCell ref="OI2:OL2"/>
    <mergeCell ref="OM2:OP2"/>
    <mergeCell ref="OQ2:OT2"/>
    <mergeCell ref="PC2:PF2"/>
    <mergeCell ref="MM2:MP2"/>
    <mergeCell ref="MY2:NB2"/>
    <mergeCell ref="NC2:NF2"/>
    <mergeCell ref="NG2:NJ2"/>
    <mergeCell ref="NK2:NN2"/>
    <mergeCell ref="JW2:JZ2"/>
    <mergeCell ref="HO2:HR2"/>
  </mergeCells>
  <conditionalFormatting sqref="U4:AW27">
    <cfRule type="expression" dxfId="93" priority="38" stopIfTrue="1">
      <formula>IF($AO4&lt;&gt;"",1,0)</formula>
    </cfRule>
  </conditionalFormatting>
  <conditionalFormatting sqref="AX4:BZ27">
    <cfRule type="expression" dxfId="92" priority="43" stopIfTrue="1">
      <formula>IF($BR4&lt;&gt;"",1,0)</formula>
    </cfRule>
  </conditionalFormatting>
  <conditionalFormatting sqref="M1:M3 O1:O3 K1:K1048576 Q1:Q1048576 M4:O1048576">
    <cfRule type="expression" dxfId="91" priority="50">
      <formula>IF(K1=$CA$1,1,0)</formula>
    </cfRule>
    <cfRule type="expression" dxfId="90" priority="51">
      <formula>IF(K1=$AX$1,1,0)</formula>
    </cfRule>
    <cfRule type="expression" dxfId="89" priority="52">
      <formula>IF(K1=$U$1,1,0)</formula>
    </cfRule>
  </conditionalFormatting>
  <conditionalFormatting sqref="CA4:DC27">
    <cfRule type="expression" dxfId="88" priority="44" stopIfTrue="1">
      <formula>IF($CU4&lt;&gt;"",1,0)</formula>
    </cfRule>
  </conditionalFormatting>
  <conditionalFormatting sqref="A4:A1048576">
    <cfRule type="expression" dxfId="87" priority="33">
      <formula>AND(G4="P",F4="")</formula>
    </cfRule>
    <cfRule type="expression" dxfId="86" priority="53" stopIfTrue="1">
      <formula>IF(A4&gt;8,1,0)</formula>
    </cfRule>
  </conditionalFormatting>
  <conditionalFormatting sqref="H1:H1048576">
    <cfRule type="containsText" dxfId="85" priority="45" operator="containsText" text="No DD">
      <formula>NOT(ISERROR(SEARCH("No DD",H1)))</formula>
    </cfRule>
    <cfRule type="containsText" dxfId="84" priority="46" operator="containsText" text="Merit">
      <formula>NOT(ISERROR(SEARCH("Merit",H1)))</formula>
    </cfRule>
    <cfRule type="containsText" dxfId="83" priority="47" operator="containsText" text="Excellence">
      <formula>NOT(ISERROR(SEARCH("Excellence",H1)))</formula>
    </cfRule>
    <cfRule type="containsText" dxfId="82" priority="48" operator="containsText" text="Worlds Team">
      <formula>NOT(ISERROR(SEARCH("Worlds Team",H1)))</formula>
    </cfRule>
    <cfRule type="containsText" dxfId="81" priority="49" operator="containsText" text="National Team">
      <formula>NOT(ISERROR(SEARCH("National Team",H1)))</formula>
    </cfRule>
  </conditionalFormatting>
  <conditionalFormatting sqref="AT38:AT1048576 BW38:BW1048576 EE38:EE1048576 FG38:FG1048576 BW1:BW36 CZ1:CZ1048576 EE1:EE36 FG1:FG36 GI1:GI1048576 HK1:HK1048576 IM1:IM1048576 JO1:JO1048576 KQ1:KQ1048576 LS1:LS1048576 MU1:MU1048576 NW1:NW1048576 OY1:OY1048576 QA1:QA1048576 AT1:AT36 RC1:RC37 SE1:SE37 TG1:TG37">
    <cfRule type="cellIs" dxfId="80" priority="59119" operator="between">
      <formula>AW$37</formula>
      <formula>1000</formula>
    </cfRule>
    <cfRule type="cellIs" dxfId="79" priority="59120" operator="between">
      <formula>AW$36</formula>
      <formula>AW$37</formula>
    </cfRule>
    <cfRule type="cellIs" dxfId="78" priority="59121" operator="between">
      <formula>AW$35</formula>
      <formula>AW$36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 SA1:SA37 QY1:QY37 TC1:TC37">
    <cfRule type="cellIs" dxfId="77" priority="127421" operator="between">
      <formula>AW$30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 SB1:SB37 QZ1:QZ37 TD1:TD37">
    <cfRule type="cellIs" dxfId="76" priority="127472" operator="between">
      <formula>AW$34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 RD1:RD37 SF1:SF37 TH1:TH37">
    <cfRule type="cellIs" dxfId="75" priority="127523" operator="between">
      <formula>AW$30</formula>
      <formula>AW$31</formula>
    </cfRule>
    <cfRule type="cellIs" dxfId="74" priority="127524" operator="between">
      <formula>AW$31</formula>
      <formula>AW$32</formula>
    </cfRule>
    <cfRule type="cellIs" dxfId="73" priority="127525" operator="between">
      <formula>AW$32</formula>
      <formula>AW$33</formula>
    </cfRule>
    <cfRule type="cellIs" dxfId="72" priority="127526" operator="between">
      <formula>AW$33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 RE1:RE37 SG1:SG37 TI1:TI37">
    <cfRule type="cellIs" dxfId="71" priority="127727" operator="between">
      <formula>AW$34</formula>
      <formula>AW$35</formula>
    </cfRule>
    <cfRule type="cellIs" dxfId="70" priority="127728" operator="between">
      <formula>AW$35</formula>
      <formula>AW$36</formula>
    </cfRule>
    <cfRule type="cellIs" dxfId="69" priority="127729" operator="between">
      <formula>AW$36</formula>
      <formula>AW$37</formula>
    </cfRule>
    <cfRule type="cellIs" dxfId="68" priority="127730" operator="between">
      <formula>AW$37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 RB1:RB37 SD1:SD37 TF1:TF37">
    <cfRule type="cellIs" dxfId="67" priority="127931" operator="between">
      <formula>AW$33</formula>
      <formula>1000</formula>
    </cfRule>
    <cfRule type="cellIs" dxfId="66" priority="127932" operator="between">
      <formula>AW$32</formula>
      <formula>AW$33</formula>
    </cfRule>
    <cfRule type="cellIs" dxfId="65" priority="127933" operator="between">
      <formula>AW$31</formula>
      <formula>AW$32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UM3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hidden="1" customWidth="1"/>
    <col min="223" max="242" width="10.83203125" hidden="1" customWidth="1"/>
    <col min="243" max="250" width="10.83203125" style="36" hidden="1" customWidth="1"/>
    <col min="251" max="270" width="10.83203125" hidden="1" customWidth="1"/>
    <col min="271" max="278" width="10.83203125" style="36" hidden="1" customWidth="1"/>
    <col min="279" max="298" width="10.83203125" hidden="1" customWidth="1"/>
    <col min="299" max="306" width="10.83203125" style="36" hidden="1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  <col min="476" max="559" width="10.83203125" hidden="1" customWidth="1"/>
  </cols>
  <sheetData>
    <row r="1" spans="1:559" ht="16" customHeight="1" x14ac:dyDescent="0.2">
      <c r="A1" s="64" t="s">
        <v>1</v>
      </c>
      <c r="B1" s="64" t="s">
        <v>27</v>
      </c>
      <c r="C1" s="64" t="s">
        <v>0</v>
      </c>
      <c r="D1" s="64" t="s">
        <v>55</v>
      </c>
      <c r="E1" s="64" t="s">
        <v>2</v>
      </c>
      <c r="F1" s="65" t="s">
        <v>61</v>
      </c>
      <c r="G1" s="65" t="s">
        <v>10</v>
      </c>
      <c r="H1" s="64" t="s">
        <v>11</v>
      </c>
      <c r="I1" s="65" t="s">
        <v>83</v>
      </c>
      <c r="J1" s="70" t="s">
        <v>114</v>
      </c>
      <c r="K1" s="66" t="s">
        <v>30</v>
      </c>
      <c r="L1" s="70" t="s">
        <v>115</v>
      </c>
      <c r="M1" s="66" t="s">
        <v>30</v>
      </c>
      <c r="N1" s="70" t="s">
        <v>116</v>
      </c>
      <c r="O1" s="66" t="s">
        <v>30</v>
      </c>
      <c r="P1" s="66" t="s">
        <v>12</v>
      </c>
      <c r="Q1" s="66" t="s">
        <v>30</v>
      </c>
      <c r="R1" s="69" t="s">
        <v>13</v>
      </c>
      <c r="S1" s="66" t="s">
        <v>31</v>
      </c>
      <c r="T1" s="66" t="s">
        <v>30</v>
      </c>
      <c r="U1" s="67" t="s">
        <v>193</v>
      </c>
      <c r="V1" s="67"/>
      <c r="W1" s="67"/>
      <c r="X1" s="67"/>
      <c r="Y1" s="67"/>
      <c r="Z1" s="67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7"/>
      <c r="AT1" s="67"/>
      <c r="AU1" s="67"/>
      <c r="AV1" s="67"/>
      <c r="AW1" s="67"/>
      <c r="AX1" s="72" t="s">
        <v>232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67" t="s">
        <v>253</v>
      </c>
      <c r="CB1" s="67"/>
      <c r="CC1" s="67"/>
      <c r="CD1" s="67"/>
      <c r="CE1" s="67"/>
      <c r="CF1" s="67"/>
      <c r="CG1" s="67"/>
      <c r="CH1" s="67"/>
      <c r="CI1" s="67"/>
      <c r="CJ1" s="67"/>
      <c r="CK1" s="67"/>
      <c r="CL1" s="67"/>
      <c r="CM1" s="67"/>
      <c r="CN1" s="67"/>
      <c r="CO1" s="67"/>
      <c r="CP1" s="67"/>
      <c r="CQ1" s="67"/>
      <c r="CR1" s="67"/>
      <c r="CS1" s="67"/>
      <c r="CT1" s="67"/>
      <c r="CU1" s="67"/>
      <c r="CV1" s="67"/>
      <c r="CW1" s="67"/>
      <c r="CX1" s="67"/>
      <c r="CY1" s="67"/>
      <c r="CZ1" s="67"/>
      <c r="DA1" s="67"/>
      <c r="DB1" s="67"/>
      <c r="DC1" s="67"/>
      <c r="DD1" s="73" t="s">
        <v>60</v>
      </c>
      <c r="DE1" s="73"/>
      <c r="DF1" s="73"/>
      <c r="DG1" s="67" t="s">
        <v>223</v>
      </c>
      <c r="DH1" s="67"/>
      <c r="DI1" s="67"/>
      <c r="DJ1" s="67"/>
      <c r="DK1" s="67"/>
      <c r="DL1" s="67"/>
      <c r="DM1" s="67"/>
      <c r="DN1" s="67"/>
      <c r="DO1" s="67"/>
      <c r="DP1" s="67"/>
      <c r="DQ1" s="67"/>
      <c r="DR1" s="67"/>
      <c r="DS1" s="67"/>
      <c r="DT1" s="67"/>
      <c r="DU1" s="67"/>
      <c r="DV1" s="67"/>
      <c r="DW1" s="67"/>
      <c r="DX1" s="67"/>
      <c r="DY1" s="67"/>
      <c r="DZ1" s="67"/>
      <c r="EA1" s="67"/>
      <c r="EB1" s="67"/>
      <c r="EC1" s="67"/>
      <c r="ED1" s="67"/>
      <c r="EE1" s="67"/>
      <c r="EF1" s="67"/>
      <c r="EG1" s="67"/>
      <c r="EH1" s="67"/>
      <c r="EI1" s="72" t="s">
        <v>245</v>
      </c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67" t="s">
        <v>244</v>
      </c>
      <c r="FL1" s="67"/>
      <c r="FM1" s="67"/>
      <c r="FN1" s="67"/>
      <c r="FO1" s="67"/>
      <c r="FP1" s="67"/>
      <c r="FQ1" s="67"/>
      <c r="FR1" s="67"/>
      <c r="FS1" s="67"/>
      <c r="FT1" s="67"/>
      <c r="FU1" s="67"/>
      <c r="FV1" s="67"/>
      <c r="FW1" s="67"/>
      <c r="FX1" s="67"/>
      <c r="FY1" s="67"/>
      <c r="FZ1" s="67"/>
      <c r="GA1" s="67"/>
      <c r="GB1" s="67"/>
      <c r="GC1" s="67"/>
      <c r="GD1" s="67"/>
      <c r="GE1" s="67"/>
      <c r="GF1" s="67"/>
      <c r="GG1" s="67"/>
      <c r="GH1" s="67"/>
      <c r="GI1" s="67"/>
      <c r="GJ1" s="67"/>
      <c r="GK1" s="67"/>
      <c r="GL1" s="67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67"/>
      <c r="HP1" s="67"/>
      <c r="HQ1" s="67"/>
      <c r="HR1" s="67"/>
      <c r="HS1" s="67"/>
      <c r="HT1" s="67"/>
      <c r="HU1" s="67"/>
      <c r="HV1" s="67"/>
      <c r="HW1" s="67"/>
      <c r="HX1" s="67"/>
      <c r="HY1" s="67"/>
      <c r="HZ1" s="67"/>
      <c r="IA1" s="67"/>
      <c r="IB1" s="67"/>
      <c r="IC1" s="67"/>
      <c r="ID1" s="67"/>
      <c r="IE1" s="67"/>
      <c r="IF1" s="67"/>
      <c r="IG1" s="67"/>
      <c r="IH1" s="67"/>
      <c r="II1" s="67"/>
      <c r="IJ1" s="67"/>
      <c r="IK1" s="67"/>
      <c r="IL1" s="67"/>
      <c r="IM1" s="67"/>
      <c r="IN1" s="67"/>
      <c r="IO1" s="67"/>
      <c r="IP1" s="67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67"/>
      <c r="JT1" s="67"/>
      <c r="JU1" s="67"/>
      <c r="JV1" s="67"/>
      <c r="JW1" s="67"/>
      <c r="JX1" s="67"/>
      <c r="JY1" s="67"/>
      <c r="JZ1" s="67"/>
      <c r="KA1" s="67"/>
      <c r="KB1" s="67"/>
      <c r="KC1" s="67"/>
      <c r="KD1" s="67"/>
      <c r="KE1" s="67"/>
      <c r="KF1" s="67"/>
      <c r="KG1" s="67"/>
      <c r="KH1" s="67"/>
      <c r="KI1" s="67"/>
      <c r="KJ1" s="67"/>
      <c r="KK1" s="67"/>
      <c r="KL1" s="67"/>
      <c r="KM1" s="67"/>
      <c r="KN1" s="67"/>
      <c r="KO1" s="67"/>
      <c r="KP1" s="67"/>
      <c r="KQ1" s="67"/>
      <c r="KR1" s="67"/>
      <c r="KS1" s="67"/>
      <c r="KT1" s="67"/>
      <c r="KU1" s="72"/>
      <c r="KV1" s="72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67"/>
      <c r="LX1" s="67"/>
      <c r="LY1" s="67"/>
      <c r="LZ1" s="67"/>
      <c r="MA1" s="67"/>
      <c r="MB1" s="67"/>
      <c r="MC1" s="67"/>
      <c r="MD1" s="67"/>
      <c r="ME1" s="67"/>
      <c r="MF1" s="67"/>
      <c r="MG1" s="67"/>
      <c r="MH1" s="67"/>
      <c r="MI1" s="67"/>
      <c r="MJ1" s="67"/>
      <c r="MK1" s="67"/>
      <c r="ML1" s="67"/>
      <c r="MM1" s="67"/>
      <c r="MN1" s="67"/>
      <c r="MO1" s="67"/>
      <c r="MP1" s="67"/>
      <c r="MQ1" s="67"/>
      <c r="MR1" s="67"/>
      <c r="MS1" s="67"/>
      <c r="MT1" s="67"/>
      <c r="MU1" s="67"/>
      <c r="MV1" s="67"/>
      <c r="MW1" s="67"/>
      <c r="MX1" s="67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67"/>
      <c r="OB1" s="67"/>
      <c r="OC1" s="67"/>
      <c r="OD1" s="67"/>
      <c r="OE1" s="67"/>
      <c r="OF1" s="67"/>
      <c r="OG1" s="67"/>
      <c r="OH1" s="67"/>
      <c r="OI1" s="67"/>
      <c r="OJ1" s="67"/>
      <c r="OK1" s="67"/>
      <c r="OL1" s="67"/>
      <c r="OM1" s="67"/>
      <c r="ON1" s="67"/>
      <c r="OO1" s="67"/>
      <c r="OP1" s="67"/>
      <c r="OQ1" s="67"/>
      <c r="OR1" s="67"/>
      <c r="OS1" s="67"/>
      <c r="OT1" s="67"/>
      <c r="OU1" s="67"/>
      <c r="OV1" s="67"/>
      <c r="OW1" s="67"/>
      <c r="OX1" s="67"/>
      <c r="OY1" s="67"/>
      <c r="OZ1" s="67"/>
      <c r="PA1" s="67"/>
      <c r="PB1" s="67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67"/>
      <c r="QF1" s="67"/>
      <c r="QG1" s="67"/>
      <c r="QH1" s="67"/>
      <c r="QI1" s="67"/>
      <c r="QJ1" s="67"/>
      <c r="QK1" s="67"/>
      <c r="QL1" s="67"/>
      <c r="QM1" s="67"/>
      <c r="QN1" s="67"/>
      <c r="QO1" s="67"/>
      <c r="QP1" s="67"/>
      <c r="QQ1" s="67"/>
      <c r="QR1" s="67"/>
      <c r="QS1" s="67"/>
      <c r="QT1" s="67"/>
      <c r="QU1" s="67"/>
      <c r="QV1" s="67"/>
      <c r="QW1" s="67"/>
      <c r="QX1" s="67"/>
      <c r="QY1" s="67"/>
      <c r="QZ1" s="67"/>
      <c r="RA1" s="67"/>
      <c r="RB1" s="67"/>
      <c r="RC1" s="67"/>
      <c r="RD1" s="67"/>
      <c r="RE1" s="67"/>
      <c r="RF1" s="67"/>
      <c r="RG1" s="72"/>
      <c r="RH1" s="72"/>
      <c r="RI1" s="72"/>
      <c r="RJ1" s="72"/>
      <c r="RK1" s="72"/>
      <c r="RL1" s="72"/>
      <c r="RM1" s="72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67"/>
      <c r="SJ1" s="67"/>
      <c r="SK1" s="67"/>
      <c r="SL1" s="67"/>
      <c r="SM1" s="67"/>
      <c r="SN1" s="67"/>
      <c r="SO1" s="67"/>
      <c r="SP1" s="67"/>
      <c r="SQ1" s="67"/>
      <c r="SR1" s="67"/>
      <c r="SS1" s="67"/>
      <c r="ST1" s="67"/>
      <c r="SU1" s="67"/>
      <c r="SV1" s="67"/>
      <c r="SW1" s="67"/>
      <c r="SX1" s="67"/>
      <c r="SY1" s="67"/>
      <c r="SZ1" s="67"/>
      <c r="TA1" s="67"/>
      <c r="TB1" s="67"/>
      <c r="TC1" s="67"/>
      <c r="TD1" s="67"/>
      <c r="TE1" s="67"/>
      <c r="TF1" s="67"/>
      <c r="TG1" s="67"/>
      <c r="TH1" s="67"/>
      <c r="TI1" s="67"/>
      <c r="TJ1" s="67"/>
      <c r="TK1" s="72" t="s">
        <v>64</v>
      </c>
      <c r="TL1" s="72"/>
      <c r="TM1" s="72"/>
      <c r="TN1" s="72"/>
      <c r="TO1" s="72"/>
      <c r="TP1" s="72"/>
      <c r="TQ1" s="72"/>
      <c r="TR1" s="72"/>
      <c r="TS1" s="72"/>
      <c r="TT1" s="72"/>
      <c r="TU1" s="72"/>
      <c r="TV1" s="72"/>
      <c r="TW1" s="72"/>
      <c r="TX1" s="72"/>
      <c r="TY1" s="72"/>
      <c r="TZ1" s="72"/>
      <c r="UA1" s="72"/>
      <c r="UB1" s="72"/>
      <c r="UC1" s="72"/>
      <c r="UD1" s="72"/>
      <c r="UE1" s="72"/>
      <c r="UF1" s="72"/>
      <c r="UG1" s="72"/>
      <c r="UH1" s="72"/>
      <c r="UI1" s="72"/>
      <c r="UJ1" s="72"/>
      <c r="UK1" s="72"/>
      <c r="UL1" s="72"/>
      <c r="UM1" s="72"/>
    </row>
    <row r="2" spans="1:559" x14ac:dyDescent="0.2">
      <c r="A2" s="64"/>
      <c r="B2" s="64"/>
      <c r="C2" s="64"/>
      <c r="D2" s="64"/>
      <c r="E2" s="64"/>
      <c r="F2" s="65"/>
      <c r="G2" s="65"/>
      <c r="H2" s="64"/>
      <c r="I2" s="65"/>
      <c r="J2" s="70"/>
      <c r="K2" s="66"/>
      <c r="L2" s="70"/>
      <c r="M2" s="66"/>
      <c r="N2" s="70"/>
      <c r="O2" s="66"/>
      <c r="P2" s="66"/>
      <c r="Q2" s="66"/>
      <c r="R2" s="69"/>
      <c r="S2" s="66"/>
      <c r="T2" s="66"/>
      <c r="U2" s="68" t="s">
        <v>106</v>
      </c>
      <c r="V2" s="68"/>
      <c r="W2" s="68"/>
      <c r="X2" s="68"/>
      <c r="Y2" s="68" t="s">
        <v>107</v>
      </c>
      <c r="Z2" s="68"/>
      <c r="AA2" s="68"/>
      <c r="AB2" s="68"/>
      <c r="AC2" s="68" t="s">
        <v>108</v>
      </c>
      <c r="AD2" s="68"/>
      <c r="AE2" s="68"/>
      <c r="AF2" s="68"/>
      <c r="AG2" s="68" t="s">
        <v>109</v>
      </c>
      <c r="AH2" s="68"/>
      <c r="AI2" s="68"/>
      <c r="AJ2" s="68"/>
      <c r="AK2" s="75" t="s">
        <v>110</v>
      </c>
      <c r="AL2" s="75"/>
      <c r="AM2" s="75"/>
      <c r="AN2" s="75"/>
      <c r="AO2" s="14"/>
      <c r="AP2" s="14" t="s">
        <v>111</v>
      </c>
      <c r="AQ2" s="14" t="s">
        <v>112</v>
      </c>
      <c r="AR2" s="14" t="s">
        <v>108</v>
      </c>
      <c r="AS2" s="14" t="s">
        <v>117</v>
      </c>
      <c r="AT2" s="14" t="s">
        <v>23</v>
      </c>
      <c r="AU2" s="14" t="s">
        <v>66</v>
      </c>
      <c r="AV2" s="14" t="s">
        <v>113</v>
      </c>
      <c r="AW2" s="14" t="s">
        <v>17</v>
      </c>
      <c r="AX2" s="71" t="s">
        <v>106</v>
      </c>
      <c r="AY2" s="71"/>
      <c r="AZ2" s="71"/>
      <c r="BA2" s="71"/>
      <c r="BB2" s="71" t="s">
        <v>107</v>
      </c>
      <c r="BC2" s="71"/>
      <c r="BD2" s="71"/>
      <c r="BE2" s="71"/>
      <c r="BF2" s="71" t="s">
        <v>108</v>
      </c>
      <c r="BG2" s="71"/>
      <c r="BH2" s="71"/>
      <c r="BI2" s="71"/>
      <c r="BJ2" s="71" t="s">
        <v>109</v>
      </c>
      <c r="BK2" s="71"/>
      <c r="BL2" s="71"/>
      <c r="BM2" s="71"/>
      <c r="BN2" s="74" t="s">
        <v>110</v>
      </c>
      <c r="BO2" s="74"/>
      <c r="BP2" s="74"/>
      <c r="BQ2" s="74"/>
      <c r="BR2" s="13"/>
      <c r="BS2" s="13" t="s">
        <v>111</v>
      </c>
      <c r="BT2" s="13" t="s">
        <v>112</v>
      </c>
      <c r="BU2" s="13" t="s">
        <v>108</v>
      </c>
      <c r="BV2" s="13" t="s">
        <v>117</v>
      </c>
      <c r="BW2" s="13" t="s">
        <v>23</v>
      </c>
      <c r="BX2" s="13" t="s">
        <v>66</v>
      </c>
      <c r="BY2" s="13" t="s">
        <v>113</v>
      </c>
      <c r="BZ2" s="13" t="s">
        <v>17</v>
      </c>
      <c r="CA2" s="68" t="s">
        <v>106</v>
      </c>
      <c r="CB2" s="68"/>
      <c r="CC2" s="68"/>
      <c r="CD2" s="68"/>
      <c r="CE2" s="68" t="s">
        <v>107</v>
      </c>
      <c r="CF2" s="68"/>
      <c r="CG2" s="68"/>
      <c r="CH2" s="68"/>
      <c r="CI2" s="68" t="s">
        <v>108</v>
      </c>
      <c r="CJ2" s="68"/>
      <c r="CK2" s="68"/>
      <c r="CL2" s="68"/>
      <c r="CM2" s="68" t="s">
        <v>109</v>
      </c>
      <c r="CN2" s="68"/>
      <c r="CO2" s="68"/>
      <c r="CP2" s="68"/>
      <c r="CQ2" s="75" t="s">
        <v>110</v>
      </c>
      <c r="CR2" s="75"/>
      <c r="CS2" s="75"/>
      <c r="CT2" s="75"/>
      <c r="CU2" s="14"/>
      <c r="CV2" s="14" t="s">
        <v>111</v>
      </c>
      <c r="CW2" s="14" t="s">
        <v>112</v>
      </c>
      <c r="CX2" s="14" t="s">
        <v>108</v>
      </c>
      <c r="CY2" s="14" t="s">
        <v>117</v>
      </c>
      <c r="CZ2" s="14" t="s">
        <v>23</v>
      </c>
      <c r="DA2" s="14" t="s">
        <v>66</v>
      </c>
      <c r="DB2" s="14" t="s">
        <v>113</v>
      </c>
      <c r="DC2" s="14" t="s">
        <v>17</v>
      </c>
      <c r="DD2" s="50" t="s">
        <v>112</v>
      </c>
      <c r="DE2" s="50" t="s">
        <v>108</v>
      </c>
      <c r="DF2" s="50" t="s">
        <v>22</v>
      </c>
      <c r="DG2" s="68" t="s">
        <v>106</v>
      </c>
      <c r="DH2" s="68"/>
      <c r="DI2" s="68"/>
      <c r="DJ2" s="68"/>
      <c r="DK2" s="68" t="s">
        <v>107</v>
      </c>
      <c r="DL2" s="68"/>
      <c r="DM2" s="68"/>
      <c r="DN2" s="68"/>
      <c r="DO2" s="68" t="s">
        <v>108</v>
      </c>
      <c r="DP2" s="68"/>
      <c r="DQ2" s="68"/>
      <c r="DR2" s="68"/>
      <c r="DS2" s="68" t="s">
        <v>109</v>
      </c>
      <c r="DT2" s="68"/>
      <c r="DU2" s="68"/>
      <c r="DV2" s="68"/>
      <c r="DW2" s="76" t="s">
        <v>110</v>
      </c>
      <c r="DX2" s="76"/>
      <c r="DY2" s="76"/>
      <c r="DZ2" s="76"/>
      <c r="EA2" s="14" t="s">
        <v>111</v>
      </c>
      <c r="EB2" s="14" t="s">
        <v>112</v>
      </c>
      <c r="EC2" s="14" t="s">
        <v>108</v>
      </c>
      <c r="ED2" s="14" t="s">
        <v>117</v>
      </c>
      <c r="EE2" s="14" t="s">
        <v>23</v>
      </c>
      <c r="EF2" s="14" t="s">
        <v>66</v>
      </c>
      <c r="EG2" s="14" t="s">
        <v>113</v>
      </c>
      <c r="EH2" s="14" t="s">
        <v>17</v>
      </c>
      <c r="EI2" s="71" t="s">
        <v>106</v>
      </c>
      <c r="EJ2" s="71"/>
      <c r="EK2" s="71"/>
      <c r="EL2" s="71"/>
      <c r="EM2" s="71" t="s">
        <v>107</v>
      </c>
      <c r="EN2" s="71"/>
      <c r="EO2" s="71"/>
      <c r="EP2" s="71"/>
      <c r="EQ2" s="71" t="s">
        <v>108</v>
      </c>
      <c r="ER2" s="71"/>
      <c r="ES2" s="71"/>
      <c r="ET2" s="71"/>
      <c r="EU2" s="71" t="s">
        <v>109</v>
      </c>
      <c r="EV2" s="71"/>
      <c r="EW2" s="71"/>
      <c r="EX2" s="71"/>
      <c r="EY2" s="74" t="s">
        <v>110</v>
      </c>
      <c r="EZ2" s="74"/>
      <c r="FA2" s="74"/>
      <c r="FB2" s="74"/>
      <c r="FC2" s="13" t="s">
        <v>111</v>
      </c>
      <c r="FD2" s="13" t="s">
        <v>112</v>
      </c>
      <c r="FE2" s="13" t="s">
        <v>108</v>
      </c>
      <c r="FF2" s="13" t="s">
        <v>117</v>
      </c>
      <c r="FG2" s="13" t="s">
        <v>23</v>
      </c>
      <c r="FH2" s="13" t="s">
        <v>66</v>
      </c>
      <c r="FI2" s="13" t="s">
        <v>113</v>
      </c>
      <c r="FJ2" s="13" t="s">
        <v>17</v>
      </c>
      <c r="FK2" s="68" t="s">
        <v>106</v>
      </c>
      <c r="FL2" s="68"/>
      <c r="FM2" s="68"/>
      <c r="FN2" s="68"/>
      <c r="FO2" s="68" t="s">
        <v>107</v>
      </c>
      <c r="FP2" s="68"/>
      <c r="FQ2" s="68"/>
      <c r="FR2" s="68"/>
      <c r="FS2" s="68" t="s">
        <v>108</v>
      </c>
      <c r="FT2" s="68"/>
      <c r="FU2" s="68"/>
      <c r="FV2" s="68"/>
      <c r="FW2" s="68" t="s">
        <v>109</v>
      </c>
      <c r="FX2" s="68"/>
      <c r="FY2" s="68"/>
      <c r="FZ2" s="68"/>
      <c r="GA2" s="76" t="s">
        <v>110</v>
      </c>
      <c r="GB2" s="76"/>
      <c r="GC2" s="76"/>
      <c r="GD2" s="76"/>
      <c r="GE2" s="14" t="s">
        <v>111</v>
      </c>
      <c r="GF2" s="14" t="s">
        <v>112</v>
      </c>
      <c r="GG2" s="14" t="s">
        <v>108</v>
      </c>
      <c r="GH2" s="14" t="s">
        <v>117</v>
      </c>
      <c r="GI2" s="14" t="s">
        <v>23</v>
      </c>
      <c r="GJ2" s="14" t="s">
        <v>66</v>
      </c>
      <c r="GK2" s="14" t="s">
        <v>113</v>
      </c>
      <c r="GL2" s="14" t="s">
        <v>17</v>
      </c>
      <c r="GM2" s="71" t="s">
        <v>106</v>
      </c>
      <c r="GN2" s="71"/>
      <c r="GO2" s="71"/>
      <c r="GP2" s="71"/>
      <c r="GQ2" s="71" t="s">
        <v>107</v>
      </c>
      <c r="GR2" s="71"/>
      <c r="GS2" s="71"/>
      <c r="GT2" s="71"/>
      <c r="GU2" s="71" t="s">
        <v>108</v>
      </c>
      <c r="GV2" s="71"/>
      <c r="GW2" s="71"/>
      <c r="GX2" s="71"/>
      <c r="GY2" s="71" t="s">
        <v>109</v>
      </c>
      <c r="GZ2" s="71"/>
      <c r="HA2" s="71"/>
      <c r="HB2" s="71"/>
      <c r="HC2" s="74" t="s">
        <v>110</v>
      </c>
      <c r="HD2" s="74"/>
      <c r="HE2" s="74"/>
      <c r="HF2" s="74"/>
      <c r="HG2" s="13" t="s">
        <v>111</v>
      </c>
      <c r="HH2" s="13" t="s">
        <v>112</v>
      </c>
      <c r="HI2" s="13" t="s">
        <v>108</v>
      </c>
      <c r="HJ2" s="13" t="s">
        <v>117</v>
      </c>
      <c r="HK2" s="13" t="s">
        <v>23</v>
      </c>
      <c r="HL2" s="13" t="s">
        <v>66</v>
      </c>
      <c r="HM2" s="13" t="s">
        <v>113</v>
      </c>
      <c r="HN2" s="13" t="s">
        <v>17</v>
      </c>
      <c r="HO2" s="68" t="s">
        <v>106</v>
      </c>
      <c r="HP2" s="68"/>
      <c r="HQ2" s="68"/>
      <c r="HR2" s="68"/>
      <c r="HS2" s="68" t="s">
        <v>107</v>
      </c>
      <c r="HT2" s="68"/>
      <c r="HU2" s="68"/>
      <c r="HV2" s="68"/>
      <c r="HW2" s="68" t="s">
        <v>108</v>
      </c>
      <c r="HX2" s="68"/>
      <c r="HY2" s="68"/>
      <c r="HZ2" s="68"/>
      <c r="IA2" s="68" t="s">
        <v>109</v>
      </c>
      <c r="IB2" s="68"/>
      <c r="IC2" s="68"/>
      <c r="ID2" s="68"/>
      <c r="IE2" s="76" t="s">
        <v>110</v>
      </c>
      <c r="IF2" s="76"/>
      <c r="IG2" s="76"/>
      <c r="IH2" s="76"/>
      <c r="II2" s="14" t="s">
        <v>111</v>
      </c>
      <c r="IJ2" s="14" t="s">
        <v>112</v>
      </c>
      <c r="IK2" s="14" t="s">
        <v>108</v>
      </c>
      <c r="IL2" s="14" t="s">
        <v>117</v>
      </c>
      <c r="IM2" s="14" t="s">
        <v>23</v>
      </c>
      <c r="IN2" s="14" t="s">
        <v>66</v>
      </c>
      <c r="IO2" s="14" t="s">
        <v>113</v>
      </c>
      <c r="IP2" s="14" t="s">
        <v>17</v>
      </c>
      <c r="IQ2" s="71" t="s">
        <v>106</v>
      </c>
      <c r="IR2" s="71"/>
      <c r="IS2" s="71"/>
      <c r="IT2" s="71"/>
      <c r="IU2" s="71" t="s">
        <v>107</v>
      </c>
      <c r="IV2" s="71"/>
      <c r="IW2" s="71"/>
      <c r="IX2" s="71"/>
      <c r="IY2" s="71" t="s">
        <v>108</v>
      </c>
      <c r="IZ2" s="71"/>
      <c r="JA2" s="71"/>
      <c r="JB2" s="71"/>
      <c r="JC2" s="71" t="s">
        <v>109</v>
      </c>
      <c r="JD2" s="71"/>
      <c r="JE2" s="71"/>
      <c r="JF2" s="71"/>
      <c r="JG2" s="74" t="s">
        <v>110</v>
      </c>
      <c r="JH2" s="74"/>
      <c r="JI2" s="74"/>
      <c r="JJ2" s="74"/>
      <c r="JK2" s="13" t="s">
        <v>111</v>
      </c>
      <c r="JL2" s="13" t="s">
        <v>112</v>
      </c>
      <c r="JM2" s="13" t="s">
        <v>108</v>
      </c>
      <c r="JN2" s="13" t="s">
        <v>117</v>
      </c>
      <c r="JO2" s="13" t="s">
        <v>23</v>
      </c>
      <c r="JP2" s="13" t="s">
        <v>66</v>
      </c>
      <c r="JQ2" s="13" t="s">
        <v>113</v>
      </c>
      <c r="JR2" s="13" t="s">
        <v>17</v>
      </c>
      <c r="JS2" s="68" t="s">
        <v>106</v>
      </c>
      <c r="JT2" s="68"/>
      <c r="JU2" s="68"/>
      <c r="JV2" s="68"/>
      <c r="JW2" s="68" t="s">
        <v>107</v>
      </c>
      <c r="JX2" s="68"/>
      <c r="JY2" s="68"/>
      <c r="JZ2" s="68"/>
      <c r="KA2" s="68" t="s">
        <v>108</v>
      </c>
      <c r="KB2" s="68"/>
      <c r="KC2" s="68"/>
      <c r="KD2" s="68"/>
      <c r="KE2" s="68" t="s">
        <v>109</v>
      </c>
      <c r="KF2" s="68"/>
      <c r="KG2" s="68"/>
      <c r="KH2" s="68"/>
      <c r="KI2" s="76" t="s">
        <v>110</v>
      </c>
      <c r="KJ2" s="76"/>
      <c r="KK2" s="76"/>
      <c r="KL2" s="76"/>
      <c r="KM2" s="14" t="s">
        <v>111</v>
      </c>
      <c r="KN2" s="14" t="s">
        <v>112</v>
      </c>
      <c r="KO2" s="14" t="s">
        <v>108</v>
      </c>
      <c r="KP2" s="14" t="s">
        <v>117</v>
      </c>
      <c r="KQ2" s="14" t="s">
        <v>23</v>
      </c>
      <c r="KR2" s="14" t="s">
        <v>66</v>
      </c>
      <c r="KS2" s="14" t="s">
        <v>113</v>
      </c>
      <c r="KT2" s="14" t="s">
        <v>17</v>
      </c>
      <c r="KU2" s="71" t="s">
        <v>106</v>
      </c>
      <c r="KV2" s="71"/>
      <c r="KW2" s="71"/>
      <c r="KX2" s="71"/>
      <c r="KY2" s="71" t="s">
        <v>107</v>
      </c>
      <c r="KZ2" s="71"/>
      <c r="LA2" s="71"/>
      <c r="LB2" s="71"/>
      <c r="LC2" s="71" t="s">
        <v>108</v>
      </c>
      <c r="LD2" s="71"/>
      <c r="LE2" s="71"/>
      <c r="LF2" s="71"/>
      <c r="LG2" s="71" t="s">
        <v>109</v>
      </c>
      <c r="LH2" s="71"/>
      <c r="LI2" s="71"/>
      <c r="LJ2" s="71"/>
      <c r="LK2" s="74" t="s">
        <v>110</v>
      </c>
      <c r="LL2" s="74"/>
      <c r="LM2" s="74"/>
      <c r="LN2" s="74"/>
      <c r="LO2" s="13" t="s">
        <v>111</v>
      </c>
      <c r="LP2" s="13" t="s">
        <v>112</v>
      </c>
      <c r="LQ2" s="13" t="s">
        <v>108</v>
      </c>
      <c r="LR2" s="13" t="s">
        <v>117</v>
      </c>
      <c r="LS2" s="13" t="s">
        <v>23</v>
      </c>
      <c r="LT2" s="13" t="s">
        <v>66</v>
      </c>
      <c r="LU2" s="13" t="s">
        <v>113</v>
      </c>
      <c r="LV2" s="13" t="s">
        <v>17</v>
      </c>
      <c r="LW2" s="68" t="s">
        <v>106</v>
      </c>
      <c r="LX2" s="68"/>
      <c r="LY2" s="68"/>
      <c r="LZ2" s="68"/>
      <c r="MA2" s="68" t="s">
        <v>107</v>
      </c>
      <c r="MB2" s="68"/>
      <c r="MC2" s="68"/>
      <c r="MD2" s="68"/>
      <c r="ME2" s="68" t="s">
        <v>108</v>
      </c>
      <c r="MF2" s="68"/>
      <c r="MG2" s="68"/>
      <c r="MH2" s="68"/>
      <c r="MI2" s="68" t="s">
        <v>109</v>
      </c>
      <c r="MJ2" s="68"/>
      <c r="MK2" s="68"/>
      <c r="ML2" s="68"/>
      <c r="MM2" s="76" t="s">
        <v>110</v>
      </c>
      <c r="MN2" s="76"/>
      <c r="MO2" s="76"/>
      <c r="MP2" s="76"/>
      <c r="MQ2" s="14" t="s">
        <v>111</v>
      </c>
      <c r="MR2" s="14" t="s">
        <v>112</v>
      </c>
      <c r="MS2" s="14" t="s">
        <v>108</v>
      </c>
      <c r="MT2" s="14" t="s">
        <v>117</v>
      </c>
      <c r="MU2" s="14" t="s">
        <v>23</v>
      </c>
      <c r="MV2" s="14" t="s">
        <v>66</v>
      </c>
      <c r="MW2" s="14" t="s">
        <v>113</v>
      </c>
      <c r="MX2" s="14" t="s">
        <v>17</v>
      </c>
      <c r="MY2" s="71" t="s">
        <v>106</v>
      </c>
      <c r="MZ2" s="71"/>
      <c r="NA2" s="71"/>
      <c r="NB2" s="71"/>
      <c r="NC2" s="71" t="s">
        <v>107</v>
      </c>
      <c r="ND2" s="71"/>
      <c r="NE2" s="71"/>
      <c r="NF2" s="71"/>
      <c r="NG2" s="71" t="s">
        <v>108</v>
      </c>
      <c r="NH2" s="71"/>
      <c r="NI2" s="71"/>
      <c r="NJ2" s="71"/>
      <c r="NK2" s="71" t="s">
        <v>109</v>
      </c>
      <c r="NL2" s="71"/>
      <c r="NM2" s="71"/>
      <c r="NN2" s="71"/>
      <c r="NO2" s="74" t="s">
        <v>110</v>
      </c>
      <c r="NP2" s="74"/>
      <c r="NQ2" s="74"/>
      <c r="NR2" s="74"/>
      <c r="NS2" s="13" t="s">
        <v>111</v>
      </c>
      <c r="NT2" s="13" t="s">
        <v>112</v>
      </c>
      <c r="NU2" s="13" t="s">
        <v>108</v>
      </c>
      <c r="NV2" s="13" t="s">
        <v>117</v>
      </c>
      <c r="NW2" s="13" t="s">
        <v>23</v>
      </c>
      <c r="NX2" s="13" t="s">
        <v>66</v>
      </c>
      <c r="NY2" s="13" t="s">
        <v>113</v>
      </c>
      <c r="NZ2" s="13" t="s">
        <v>17</v>
      </c>
      <c r="OA2" s="68" t="s">
        <v>106</v>
      </c>
      <c r="OB2" s="68"/>
      <c r="OC2" s="68"/>
      <c r="OD2" s="68"/>
      <c r="OE2" s="68" t="s">
        <v>107</v>
      </c>
      <c r="OF2" s="68"/>
      <c r="OG2" s="68"/>
      <c r="OH2" s="68"/>
      <c r="OI2" s="68" t="s">
        <v>108</v>
      </c>
      <c r="OJ2" s="68"/>
      <c r="OK2" s="68"/>
      <c r="OL2" s="68"/>
      <c r="OM2" s="68" t="s">
        <v>109</v>
      </c>
      <c r="ON2" s="68"/>
      <c r="OO2" s="68"/>
      <c r="OP2" s="68"/>
      <c r="OQ2" s="76" t="s">
        <v>110</v>
      </c>
      <c r="OR2" s="76"/>
      <c r="OS2" s="76"/>
      <c r="OT2" s="76"/>
      <c r="OU2" s="14" t="s">
        <v>111</v>
      </c>
      <c r="OV2" s="14" t="s">
        <v>112</v>
      </c>
      <c r="OW2" s="14" t="s">
        <v>108</v>
      </c>
      <c r="OX2" s="14" t="s">
        <v>117</v>
      </c>
      <c r="OY2" s="14" t="s">
        <v>23</v>
      </c>
      <c r="OZ2" s="14" t="s">
        <v>66</v>
      </c>
      <c r="PA2" s="14" t="s">
        <v>113</v>
      </c>
      <c r="PB2" s="14" t="s">
        <v>17</v>
      </c>
      <c r="PC2" s="71" t="s">
        <v>106</v>
      </c>
      <c r="PD2" s="71"/>
      <c r="PE2" s="71"/>
      <c r="PF2" s="71"/>
      <c r="PG2" s="71" t="s">
        <v>107</v>
      </c>
      <c r="PH2" s="71"/>
      <c r="PI2" s="71"/>
      <c r="PJ2" s="71"/>
      <c r="PK2" s="71" t="s">
        <v>108</v>
      </c>
      <c r="PL2" s="71"/>
      <c r="PM2" s="71"/>
      <c r="PN2" s="71"/>
      <c r="PO2" s="71" t="s">
        <v>109</v>
      </c>
      <c r="PP2" s="71"/>
      <c r="PQ2" s="71"/>
      <c r="PR2" s="71"/>
      <c r="PS2" s="74" t="s">
        <v>110</v>
      </c>
      <c r="PT2" s="74"/>
      <c r="PU2" s="74"/>
      <c r="PV2" s="74"/>
      <c r="PW2" s="13" t="s">
        <v>111</v>
      </c>
      <c r="PX2" s="13" t="s">
        <v>112</v>
      </c>
      <c r="PY2" s="13" t="s">
        <v>108</v>
      </c>
      <c r="PZ2" s="13" t="s">
        <v>117</v>
      </c>
      <c r="QA2" s="13" t="s">
        <v>23</v>
      </c>
      <c r="QB2" s="13" t="s">
        <v>66</v>
      </c>
      <c r="QC2" s="13" t="s">
        <v>113</v>
      </c>
      <c r="QD2" s="13" t="s">
        <v>17</v>
      </c>
      <c r="QE2" s="68" t="s">
        <v>106</v>
      </c>
      <c r="QF2" s="68"/>
      <c r="QG2" s="68"/>
      <c r="QH2" s="68"/>
      <c r="QI2" s="68" t="s">
        <v>107</v>
      </c>
      <c r="QJ2" s="68"/>
      <c r="QK2" s="68"/>
      <c r="QL2" s="68"/>
      <c r="QM2" s="68" t="s">
        <v>108</v>
      </c>
      <c r="QN2" s="68"/>
      <c r="QO2" s="68"/>
      <c r="QP2" s="68"/>
      <c r="QQ2" s="68" t="s">
        <v>109</v>
      </c>
      <c r="QR2" s="68"/>
      <c r="QS2" s="68"/>
      <c r="QT2" s="68"/>
      <c r="QU2" s="76" t="s">
        <v>110</v>
      </c>
      <c r="QV2" s="76"/>
      <c r="QW2" s="76"/>
      <c r="QX2" s="76"/>
      <c r="QY2" s="14" t="s">
        <v>111</v>
      </c>
      <c r="QZ2" s="14" t="s">
        <v>112</v>
      </c>
      <c r="RA2" s="14" t="s">
        <v>108</v>
      </c>
      <c r="RB2" s="14" t="s">
        <v>117</v>
      </c>
      <c r="RC2" s="14" t="s">
        <v>23</v>
      </c>
      <c r="RD2" s="14" t="s">
        <v>66</v>
      </c>
      <c r="RE2" s="14" t="s">
        <v>113</v>
      </c>
      <c r="RF2" s="14" t="s">
        <v>17</v>
      </c>
      <c r="RG2" s="71" t="s">
        <v>106</v>
      </c>
      <c r="RH2" s="71"/>
      <c r="RI2" s="71"/>
      <c r="RJ2" s="71"/>
      <c r="RK2" s="71" t="s">
        <v>107</v>
      </c>
      <c r="RL2" s="71"/>
      <c r="RM2" s="71"/>
      <c r="RN2" s="71"/>
      <c r="RO2" s="71" t="s">
        <v>108</v>
      </c>
      <c r="RP2" s="71"/>
      <c r="RQ2" s="71"/>
      <c r="RR2" s="71"/>
      <c r="RS2" s="71" t="s">
        <v>109</v>
      </c>
      <c r="RT2" s="71"/>
      <c r="RU2" s="71"/>
      <c r="RV2" s="71"/>
      <c r="RW2" s="74" t="s">
        <v>110</v>
      </c>
      <c r="RX2" s="74"/>
      <c r="RY2" s="74"/>
      <c r="RZ2" s="74"/>
      <c r="SA2" s="13" t="s">
        <v>111</v>
      </c>
      <c r="SB2" s="13" t="s">
        <v>112</v>
      </c>
      <c r="SC2" s="13" t="s">
        <v>108</v>
      </c>
      <c r="SD2" s="13" t="s">
        <v>117</v>
      </c>
      <c r="SE2" s="13" t="s">
        <v>23</v>
      </c>
      <c r="SF2" s="13" t="s">
        <v>66</v>
      </c>
      <c r="SG2" s="13" t="s">
        <v>113</v>
      </c>
      <c r="SH2" s="13" t="s">
        <v>17</v>
      </c>
      <c r="SI2" s="68" t="s">
        <v>106</v>
      </c>
      <c r="SJ2" s="68"/>
      <c r="SK2" s="68"/>
      <c r="SL2" s="68"/>
      <c r="SM2" s="68" t="s">
        <v>107</v>
      </c>
      <c r="SN2" s="68"/>
      <c r="SO2" s="68"/>
      <c r="SP2" s="68"/>
      <c r="SQ2" s="68" t="s">
        <v>108</v>
      </c>
      <c r="SR2" s="68"/>
      <c r="SS2" s="68"/>
      <c r="ST2" s="68"/>
      <c r="SU2" s="68" t="s">
        <v>109</v>
      </c>
      <c r="SV2" s="68"/>
      <c r="SW2" s="68"/>
      <c r="SX2" s="68"/>
      <c r="SY2" s="76" t="s">
        <v>110</v>
      </c>
      <c r="SZ2" s="76"/>
      <c r="TA2" s="76"/>
      <c r="TB2" s="76"/>
      <c r="TC2" s="14" t="s">
        <v>111</v>
      </c>
      <c r="TD2" s="14" t="s">
        <v>112</v>
      </c>
      <c r="TE2" s="14" t="s">
        <v>108</v>
      </c>
      <c r="TF2" s="14" t="s">
        <v>117</v>
      </c>
      <c r="TG2" s="14" t="s">
        <v>23</v>
      </c>
      <c r="TH2" s="14" t="s">
        <v>66</v>
      </c>
      <c r="TI2" s="14" t="s">
        <v>113</v>
      </c>
      <c r="TJ2" s="14" t="s">
        <v>17</v>
      </c>
      <c r="TK2" s="71" t="s">
        <v>106</v>
      </c>
      <c r="TL2" s="71"/>
      <c r="TM2" s="71"/>
      <c r="TN2" s="71"/>
      <c r="TO2" s="71" t="s">
        <v>107</v>
      </c>
      <c r="TP2" s="71"/>
      <c r="TQ2" s="71"/>
      <c r="TR2" s="71"/>
      <c r="TS2" s="71" t="s">
        <v>108</v>
      </c>
      <c r="TT2" s="71"/>
      <c r="TU2" s="71"/>
      <c r="TV2" s="71"/>
      <c r="TW2" s="71" t="s">
        <v>109</v>
      </c>
      <c r="TX2" s="71"/>
      <c r="TY2" s="71"/>
      <c r="TZ2" s="71"/>
      <c r="UA2" s="77" t="s">
        <v>110</v>
      </c>
      <c r="UB2" s="77"/>
      <c r="UC2" s="77"/>
      <c r="UD2" s="77"/>
      <c r="UE2" s="13"/>
      <c r="UF2" s="13" t="s">
        <v>111</v>
      </c>
      <c r="UG2" s="13" t="s">
        <v>112</v>
      </c>
      <c r="UH2" s="13" t="s">
        <v>108</v>
      </c>
      <c r="UI2" s="13" t="s">
        <v>117</v>
      </c>
      <c r="UJ2" s="13" t="s">
        <v>23</v>
      </c>
      <c r="UK2" s="13" t="s">
        <v>66</v>
      </c>
      <c r="UL2" s="13" t="s">
        <v>113</v>
      </c>
      <c r="UM2" s="13" t="s">
        <v>17</v>
      </c>
    </row>
    <row r="3" spans="1:559" x14ac:dyDescent="0.2">
      <c r="A3" s="64"/>
      <c r="B3" s="64"/>
      <c r="C3" s="64"/>
      <c r="D3" s="64"/>
      <c r="E3" s="64"/>
      <c r="F3" s="65"/>
      <c r="G3" s="65"/>
      <c r="H3" s="64"/>
      <c r="I3" s="65"/>
      <c r="J3" s="70"/>
      <c r="K3" s="66"/>
      <c r="L3" s="70"/>
      <c r="M3" s="66"/>
      <c r="N3" s="70"/>
      <c r="O3" s="66"/>
      <c r="P3" s="66"/>
      <c r="Q3" s="66"/>
      <c r="R3" s="69"/>
      <c r="S3" s="66"/>
      <c r="T3" s="66"/>
      <c r="U3" s="14" t="s">
        <v>14</v>
      </c>
      <c r="V3" s="14" t="s">
        <v>9</v>
      </c>
      <c r="W3" s="14" t="s">
        <v>28</v>
      </c>
      <c r="X3" s="14" t="s">
        <v>29</v>
      </c>
      <c r="Y3" s="14" t="s">
        <v>14</v>
      </c>
      <c r="Z3" s="14" t="s">
        <v>9</v>
      </c>
      <c r="AA3" s="14" t="s">
        <v>28</v>
      </c>
      <c r="AB3" s="14" t="s">
        <v>29</v>
      </c>
      <c r="AC3" s="14" t="s">
        <v>14</v>
      </c>
      <c r="AD3" s="14" t="s">
        <v>9</v>
      </c>
      <c r="AE3" s="14" t="s">
        <v>28</v>
      </c>
      <c r="AF3" s="14" t="s">
        <v>29</v>
      </c>
      <c r="AG3" s="14" t="s">
        <v>14</v>
      </c>
      <c r="AH3" s="14" t="s">
        <v>9</v>
      </c>
      <c r="AI3" s="14" t="s">
        <v>28</v>
      </c>
      <c r="AJ3" s="14" t="s">
        <v>29</v>
      </c>
      <c r="AK3" s="21" t="s">
        <v>14</v>
      </c>
      <c r="AL3" s="21" t="s">
        <v>9</v>
      </c>
      <c r="AM3" s="21" t="s">
        <v>28</v>
      </c>
      <c r="AN3" s="21" t="s">
        <v>29</v>
      </c>
      <c r="AO3" s="14" t="s">
        <v>52</v>
      </c>
      <c r="AP3" s="14"/>
      <c r="AQ3" s="14"/>
      <c r="AR3" s="14"/>
      <c r="AS3" s="14"/>
      <c r="AT3" s="14"/>
      <c r="AU3" s="14"/>
      <c r="AV3" s="14"/>
      <c r="AW3" s="14"/>
      <c r="AX3" s="13" t="s">
        <v>14</v>
      </c>
      <c r="AY3" s="13" t="s">
        <v>9</v>
      </c>
      <c r="AZ3" s="13" t="s">
        <v>28</v>
      </c>
      <c r="BA3" s="13" t="s">
        <v>29</v>
      </c>
      <c r="BB3" s="13" t="s">
        <v>14</v>
      </c>
      <c r="BC3" s="13" t="s">
        <v>9</v>
      </c>
      <c r="BD3" s="13" t="s">
        <v>28</v>
      </c>
      <c r="BE3" s="13" t="s">
        <v>29</v>
      </c>
      <c r="BF3" s="13" t="s">
        <v>14</v>
      </c>
      <c r="BG3" s="13" t="s">
        <v>9</v>
      </c>
      <c r="BH3" s="13" t="s">
        <v>28</v>
      </c>
      <c r="BI3" s="13" t="s">
        <v>29</v>
      </c>
      <c r="BJ3" s="13" t="s">
        <v>14</v>
      </c>
      <c r="BK3" s="13" t="s">
        <v>9</v>
      </c>
      <c r="BL3" s="13" t="s">
        <v>28</v>
      </c>
      <c r="BM3" s="13" t="s">
        <v>29</v>
      </c>
      <c r="BN3" s="16" t="s">
        <v>14</v>
      </c>
      <c r="BO3" s="16" t="s">
        <v>9</v>
      </c>
      <c r="BP3" s="16" t="s">
        <v>28</v>
      </c>
      <c r="BQ3" s="16" t="s">
        <v>29</v>
      </c>
      <c r="BR3" s="13" t="s">
        <v>52</v>
      </c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9</v>
      </c>
      <c r="CC3" s="14" t="s">
        <v>28</v>
      </c>
      <c r="CD3" s="14" t="s">
        <v>29</v>
      </c>
      <c r="CE3" s="14" t="s">
        <v>14</v>
      </c>
      <c r="CF3" s="14" t="s">
        <v>9</v>
      </c>
      <c r="CG3" s="14" t="s">
        <v>28</v>
      </c>
      <c r="CH3" s="14" t="s">
        <v>29</v>
      </c>
      <c r="CI3" s="14" t="s">
        <v>14</v>
      </c>
      <c r="CJ3" s="14" t="s">
        <v>9</v>
      </c>
      <c r="CK3" s="14" t="s">
        <v>28</v>
      </c>
      <c r="CL3" s="14" t="s">
        <v>29</v>
      </c>
      <c r="CM3" s="14" t="s">
        <v>14</v>
      </c>
      <c r="CN3" s="14" t="s">
        <v>9</v>
      </c>
      <c r="CO3" s="14" t="s">
        <v>28</v>
      </c>
      <c r="CP3" s="14" t="s">
        <v>29</v>
      </c>
      <c r="CQ3" s="21" t="s">
        <v>14</v>
      </c>
      <c r="CR3" s="21" t="s">
        <v>9</v>
      </c>
      <c r="CS3" s="21" t="s">
        <v>28</v>
      </c>
      <c r="CT3" s="21" t="s">
        <v>29</v>
      </c>
      <c r="CU3" s="14" t="s">
        <v>52</v>
      </c>
      <c r="CV3" s="14"/>
      <c r="CW3" s="14"/>
      <c r="CX3" s="14"/>
      <c r="CY3" s="14"/>
      <c r="CZ3" s="14"/>
      <c r="DA3" s="14"/>
      <c r="DB3" s="14"/>
      <c r="DC3" s="14"/>
      <c r="DD3" s="50"/>
      <c r="DE3" s="50"/>
      <c r="DF3" s="50"/>
      <c r="DG3" s="14" t="s">
        <v>14</v>
      </c>
      <c r="DH3" s="14" t="s">
        <v>9</v>
      </c>
      <c r="DI3" s="14" t="s">
        <v>28</v>
      </c>
      <c r="DJ3" s="14" t="s">
        <v>29</v>
      </c>
      <c r="DK3" s="14" t="s">
        <v>14</v>
      </c>
      <c r="DL3" s="14" t="s">
        <v>9</v>
      </c>
      <c r="DM3" s="14" t="s">
        <v>28</v>
      </c>
      <c r="DN3" s="14" t="s">
        <v>29</v>
      </c>
      <c r="DO3" s="14" t="s">
        <v>14</v>
      </c>
      <c r="DP3" s="14" t="s">
        <v>9</v>
      </c>
      <c r="DQ3" s="14" t="s">
        <v>28</v>
      </c>
      <c r="DR3" s="14" t="s">
        <v>29</v>
      </c>
      <c r="DS3" s="14" t="s">
        <v>14</v>
      </c>
      <c r="DT3" s="14" t="s">
        <v>9</v>
      </c>
      <c r="DU3" s="14" t="s">
        <v>28</v>
      </c>
      <c r="DV3" s="14" t="s">
        <v>29</v>
      </c>
      <c r="DW3" s="15" t="s">
        <v>14</v>
      </c>
      <c r="DX3" s="15" t="s">
        <v>9</v>
      </c>
      <c r="DY3" s="15" t="s">
        <v>28</v>
      </c>
      <c r="DZ3" s="15" t="s">
        <v>29</v>
      </c>
      <c r="EA3" s="14"/>
      <c r="EB3" s="14"/>
      <c r="EC3" s="14"/>
      <c r="ED3" s="14"/>
      <c r="EE3" s="14"/>
      <c r="EF3" s="14"/>
      <c r="EG3" s="14"/>
      <c r="EH3" s="14"/>
      <c r="EI3" s="13" t="s">
        <v>14</v>
      </c>
      <c r="EJ3" s="13" t="s">
        <v>9</v>
      </c>
      <c r="EK3" s="13" t="s">
        <v>28</v>
      </c>
      <c r="EL3" s="13" t="s">
        <v>29</v>
      </c>
      <c r="EM3" s="13" t="s">
        <v>14</v>
      </c>
      <c r="EN3" s="13" t="s">
        <v>9</v>
      </c>
      <c r="EO3" s="13" t="s">
        <v>28</v>
      </c>
      <c r="EP3" s="13" t="s">
        <v>29</v>
      </c>
      <c r="EQ3" s="13" t="s">
        <v>14</v>
      </c>
      <c r="ER3" s="13" t="s">
        <v>9</v>
      </c>
      <c r="ES3" s="13" t="s">
        <v>28</v>
      </c>
      <c r="ET3" s="13" t="s">
        <v>29</v>
      </c>
      <c r="EU3" s="13" t="s">
        <v>14</v>
      </c>
      <c r="EV3" s="13" t="s">
        <v>9</v>
      </c>
      <c r="EW3" s="13" t="s">
        <v>28</v>
      </c>
      <c r="EX3" s="13" t="s">
        <v>29</v>
      </c>
      <c r="EY3" s="16" t="s">
        <v>14</v>
      </c>
      <c r="EZ3" s="16" t="s">
        <v>9</v>
      </c>
      <c r="FA3" s="16" t="s">
        <v>28</v>
      </c>
      <c r="FB3" s="16" t="s">
        <v>29</v>
      </c>
      <c r="FC3" s="13"/>
      <c r="FD3" s="13"/>
      <c r="FE3" s="13"/>
      <c r="FF3" s="13"/>
      <c r="FG3" s="13"/>
      <c r="FH3" s="13"/>
      <c r="FI3" s="13"/>
      <c r="FJ3" s="13"/>
      <c r="FK3" s="14" t="s">
        <v>14</v>
      </c>
      <c r="FL3" s="14" t="s">
        <v>9</v>
      </c>
      <c r="FM3" s="14" t="s">
        <v>28</v>
      </c>
      <c r="FN3" s="14" t="s">
        <v>29</v>
      </c>
      <c r="FO3" s="14" t="s">
        <v>14</v>
      </c>
      <c r="FP3" s="14" t="s">
        <v>9</v>
      </c>
      <c r="FQ3" s="14" t="s">
        <v>28</v>
      </c>
      <c r="FR3" s="14" t="s">
        <v>29</v>
      </c>
      <c r="FS3" s="14" t="s">
        <v>14</v>
      </c>
      <c r="FT3" s="14" t="s">
        <v>9</v>
      </c>
      <c r="FU3" s="14" t="s">
        <v>28</v>
      </c>
      <c r="FV3" s="14" t="s">
        <v>29</v>
      </c>
      <c r="FW3" s="14" t="s">
        <v>14</v>
      </c>
      <c r="FX3" s="14" t="s">
        <v>9</v>
      </c>
      <c r="FY3" s="14" t="s">
        <v>28</v>
      </c>
      <c r="FZ3" s="14" t="s">
        <v>29</v>
      </c>
      <c r="GA3" s="15" t="s">
        <v>14</v>
      </c>
      <c r="GB3" s="15" t="s">
        <v>9</v>
      </c>
      <c r="GC3" s="15" t="s">
        <v>28</v>
      </c>
      <c r="GD3" s="15" t="s">
        <v>29</v>
      </c>
      <c r="GE3" s="14"/>
      <c r="GF3" s="14"/>
      <c r="GG3" s="14"/>
      <c r="GH3" s="14"/>
      <c r="GI3" s="14"/>
      <c r="GJ3" s="14"/>
      <c r="GK3" s="14"/>
      <c r="GL3" s="14"/>
      <c r="GM3" s="13" t="s">
        <v>14</v>
      </c>
      <c r="GN3" s="13" t="s">
        <v>9</v>
      </c>
      <c r="GO3" s="13" t="s">
        <v>28</v>
      </c>
      <c r="GP3" s="13" t="s">
        <v>29</v>
      </c>
      <c r="GQ3" s="13" t="s">
        <v>14</v>
      </c>
      <c r="GR3" s="13" t="s">
        <v>9</v>
      </c>
      <c r="GS3" s="13" t="s">
        <v>28</v>
      </c>
      <c r="GT3" s="13" t="s">
        <v>29</v>
      </c>
      <c r="GU3" s="13" t="s">
        <v>14</v>
      </c>
      <c r="GV3" s="13" t="s">
        <v>9</v>
      </c>
      <c r="GW3" s="13" t="s">
        <v>28</v>
      </c>
      <c r="GX3" s="13" t="s">
        <v>29</v>
      </c>
      <c r="GY3" s="13" t="s">
        <v>14</v>
      </c>
      <c r="GZ3" s="13" t="s">
        <v>9</v>
      </c>
      <c r="HA3" s="13" t="s">
        <v>28</v>
      </c>
      <c r="HB3" s="13" t="s">
        <v>29</v>
      </c>
      <c r="HC3" s="16" t="s">
        <v>14</v>
      </c>
      <c r="HD3" s="16" t="s">
        <v>9</v>
      </c>
      <c r="HE3" s="16" t="s">
        <v>28</v>
      </c>
      <c r="HF3" s="16" t="s">
        <v>29</v>
      </c>
      <c r="HG3" s="13"/>
      <c r="HH3" s="13"/>
      <c r="HI3" s="13"/>
      <c r="HJ3" s="13"/>
      <c r="HK3" s="13"/>
      <c r="HL3" s="13"/>
      <c r="HM3" s="13"/>
      <c r="HN3" s="13"/>
      <c r="HO3" s="14" t="s">
        <v>14</v>
      </c>
      <c r="HP3" s="14" t="s">
        <v>9</v>
      </c>
      <c r="HQ3" s="14" t="s">
        <v>28</v>
      </c>
      <c r="HR3" s="14" t="s">
        <v>29</v>
      </c>
      <c r="HS3" s="14" t="s">
        <v>14</v>
      </c>
      <c r="HT3" s="14" t="s">
        <v>9</v>
      </c>
      <c r="HU3" s="14" t="s">
        <v>28</v>
      </c>
      <c r="HV3" s="14" t="s">
        <v>29</v>
      </c>
      <c r="HW3" s="14" t="s">
        <v>14</v>
      </c>
      <c r="HX3" s="14" t="s">
        <v>9</v>
      </c>
      <c r="HY3" s="14" t="s">
        <v>28</v>
      </c>
      <c r="HZ3" s="14" t="s">
        <v>29</v>
      </c>
      <c r="IA3" s="14" t="s">
        <v>14</v>
      </c>
      <c r="IB3" s="14" t="s">
        <v>9</v>
      </c>
      <c r="IC3" s="14" t="s">
        <v>28</v>
      </c>
      <c r="ID3" s="14" t="s">
        <v>29</v>
      </c>
      <c r="IE3" s="15" t="s">
        <v>14</v>
      </c>
      <c r="IF3" s="15" t="s">
        <v>9</v>
      </c>
      <c r="IG3" s="15" t="s">
        <v>28</v>
      </c>
      <c r="IH3" s="15" t="s">
        <v>29</v>
      </c>
      <c r="II3" s="14"/>
      <c r="IJ3" s="14"/>
      <c r="IK3" s="14"/>
      <c r="IL3" s="14"/>
      <c r="IM3" s="14"/>
      <c r="IN3" s="14"/>
      <c r="IO3" s="14"/>
      <c r="IP3" s="14"/>
      <c r="IQ3" s="13" t="s">
        <v>14</v>
      </c>
      <c r="IR3" s="13" t="s">
        <v>9</v>
      </c>
      <c r="IS3" s="13" t="s">
        <v>28</v>
      </c>
      <c r="IT3" s="13" t="s">
        <v>29</v>
      </c>
      <c r="IU3" s="13" t="s">
        <v>14</v>
      </c>
      <c r="IV3" s="13" t="s">
        <v>9</v>
      </c>
      <c r="IW3" s="13" t="s">
        <v>28</v>
      </c>
      <c r="IX3" s="13" t="s">
        <v>29</v>
      </c>
      <c r="IY3" s="13" t="s">
        <v>14</v>
      </c>
      <c r="IZ3" s="13" t="s">
        <v>9</v>
      </c>
      <c r="JA3" s="13" t="s">
        <v>28</v>
      </c>
      <c r="JB3" s="13" t="s">
        <v>29</v>
      </c>
      <c r="JC3" s="13" t="s">
        <v>14</v>
      </c>
      <c r="JD3" s="13" t="s">
        <v>9</v>
      </c>
      <c r="JE3" s="13" t="s">
        <v>28</v>
      </c>
      <c r="JF3" s="13" t="s">
        <v>29</v>
      </c>
      <c r="JG3" s="16" t="s">
        <v>14</v>
      </c>
      <c r="JH3" s="16" t="s">
        <v>9</v>
      </c>
      <c r="JI3" s="16" t="s">
        <v>28</v>
      </c>
      <c r="JJ3" s="16" t="s">
        <v>29</v>
      </c>
      <c r="JK3" s="13"/>
      <c r="JL3" s="13"/>
      <c r="JM3" s="13"/>
      <c r="JN3" s="13"/>
      <c r="JO3" s="13"/>
      <c r="JP3" s="13"/>
      <c r="JQ3" s="13"/>
      <c r="JR3" s="13"/>
      <c r="JS3" s="14" t="s">
        <v>14</v>
      </c>
      <c r="JT3" s="14" t="s">
        <v>9</v>
      </c>
      <c r="JU3" s="14" t="s">
        <v>28</v>
      </c>
      <c r="JV3" s="14" t="s">
        <v>29</v>
      </c>
      <c r="JW3" s="14" t="s">
        <v>14</v>
      </c>
      <c r="JX3" s="14" t="s">
        <v>9</v>
      </c>
      <c r="JY3" s="14" t="s">
        <v>28</v>
      </c>
      <c r="JZ3" s="14" t="s">
        <v>29</v>
      </c>
      <c r="KA3" s="14" t="s">
        <v>14</v>
      </c>
      <c r="KB3" s="14" t="s">
        <v>9</v>
      </c>
      <c r="KC3" s="14" t="s">
        <v>28</v>
      </c>
      <c r="KD3" s="14" t="s">
        <v>29</v>
      </c>
      <c r="KE3" s="14" t="s">
        <v>14</v>
      </c>
      <c r="KF3" s="14" t="s">
        <v>9</v>
      </c>
      <c r="KG3" s="14" t="s">
        <v>28</v>
      </c>
      <c r="KH3" s="14" t="s">
        <v>29</v>
      </c>
      <c r="KI3" s="15" t="s">
        <v>14</v>
      </c>
      <c r="KJ3" s="15" t="s">
        <v>9</v>
      </c>
      <c r="KK3" s="15" t="s">
        <v>28</v>
      </c>
      <c r="KL3" s="15" t="s">
        <v>29</v>
      </c>
      <c r="KM3" s="14"/>
      <c r="KN3" s="14"/>
      <c r="KO3" s="14"/>
      <c r="KP3" s="14"/>
      <c r="KQ3" s="14"/>
      <c r="KR3" s="14"/>
      <c r="KS3" s="14"/>
      <c r="KT3" s="14"/>
      <c r="KU3" s="13" t="s">
        <v>14</v>
      </c>
      <c r="KV3" s="13" t="s">
        <v>9</v>
      </c>
      <c r="KW3" s="13" t="s">
        <v>28</v>
      </c>
      <c r="KX3" s="13" t="s">
        <v>29</v>
      </c>
      <c r="KY3" s="13" t="s">
        <v>14</v>
      </c>
      <c r="KZ3" s="13" t="s">
        <v>9</v>
      </c>
      <c r="LA3" s="13" t="s">
        <v>28</v>
      </c>
      <c r="LB3" s="13" t="s">
        <v>29</v>
      </c>
      <c r="LC3" s="13" t="s">
        <v>14</v>
      </c>
      <c r="LD3" s="13" t="s">
        <v>9</v>
      </c>
      <c r="LE3" s="13" t="s">
        <v>28</v>
      </c>
      <c r="LF3" s="13" t="s">
        <v>29</v>
      </c>
      <c r="LG3" s="13" t="s">
        <v>14</v>
      </c>
      <c r="LH3" s="13" t="s">
        <v>9</v>
      </c>
      <c r="LI3" s="13" t="s">
        <v>28</v>
      </c>
      <c r="LJ3" s="13" t="s">
        <v>29</v>
      </c>
      <c r="LK3" s="16" t="s">
        <v>14</v>
      </c>
      <c r="LL3" s="16" t="s">
        <v>9</v>
      </c>
      <c r="LM3" s="16" t="s">
        <v>28</v>
      </c>
      <c r="LN3" s="16" t="s">
        <v>29</v>
      </c>
      <c r="LO3" s="13"/>
      <c r="LP3" s="13"/>
      <c r="LQ3" s="13"/>
      <c r="LR3" s="13"/>
      <c r="LS3" s="13"/>
      <c r="LT3" s="13"/>
      <c r="LU3" s="13"/>
      <c r="LV3" s="13"/>
      <c r="LW3" s="14" t="s">
        <v>14</v>
      </c>
      <c r="LX3" s="14" t="s">
        <v>9</v>
      </c>
      <c r="LY3" s="14" t="s">
        <v>28</v>
      </c>
      <c r="LZ3" s="14" t="s">
        <v>29</v>
      </c>
      <c r="MA3" s="14" t="s">
        <v>14</v>
      </c>
      <c r="MB3" s="14" t="s">
        <v>9</v>
      </c>
      <c r="MC3" s="14" t="s">
        <v>28</v>
      </c>
      <c r="MD3" s="14" t="s">
        <v>29</v>
      </c>
      <c r="ME3" s="14" t="s">
        <v>14</v>
      </c>
      <c r="MF3" s="14" t="s">
        <v>9</v>
      </c>
      <c r="MG3" s="14" t="s">
        <v>28</v>
      </c>
      <c r="MH3" s="14" t="s">
        <v>29</v>
      </c>
      <c r="MI3" s="14" t="s">
        <v>14</v>
      </c>
      <c r="MJ3" s="14" t="s">
        <v>9</v>
      </c>
      <c r="MK3" s="14" t="s">
        <v>28</v>
      </c>
      <c r="ML3" s="14" t="s">
        <v>29</v>
      </c>
      <c r="MM3" s="15" t="s">
        <v>14</v>
      </c>
      <c r="MN3" s="15" t="s">
        <v>9</v>
      </c>
      <c r="MO3" s="15" t="s">
        <v>28</v>
      </c>
      <c r="MP3" s="15" t="s">
        <v>29</v>
      </c>
      <c r="MQ3" s="14"/>
      <c r="MR3" s="14"/>
      <c r="MS3" s="14"/>
      <c r="MT3" s="14"/>
      <c r="MU3" s="14"/>
      <c r="MV3" s="14"/>
      <c r="MW3" s="14"/>
      <c r="MX3" s="14"/>
      <c r="MY3" s="13" t="s">
        <v>14</v>
      </c>
      <c r="MZ3" s="13" t="s">
        <v>9</v>
      </c>
      <c r="NA3" s="13" t="s">
        <v>28</v>
      </c>
      <c r="NB3" s="13" t="s">
        <v>29</v>
      </c>
      <c r="NC3" s="13" t="s">
        <v>14</v>
      </c>
      <c r="ND3" s="13" t="s">
        <v>9</v>
      </c>
      <c r="NE3" s="13" t="s">
        <v>28</v>
      </c>
      <c r="NF3" s="13" t="s">
        <v>29</v>
      </c>
      <c r="NG3" s="13" t="s">
        <v>14</v>
      </c>
      <c r="NH3" s="13" t="s">
        <v>9</v>
      </c>
      <c r="NI3" s="13" t="s">
        <v>28</v>
      </c>
      <c r="NJ3" s="13" t="s">
        <v>29</v>
      </c>
      <c r="NK3" s="13" t="s">
        <v>14</v>
      </c>
      <c r="NL3" s="13" t="s">
        <v>9</v>
      </c>
      <c r="NM3" s="13" t="s">
        <v>28</v>
      </c>
      <c r="NN3" s="13" t="s">
        <v>29</v>
      </c>
      <c r="NO3" s="16" t="s">
        <v>14</v>
      </c>
      <c r="NP3" s="16" t="s">
        <v>9</v>
      </c>
      <c r="NQ3" s="16" t="s">
        <v>28</v>
      </c>
      <c r="NR3" s="16" t="s">
        <v>29</v>
      </c>
      <c r="NS3" s="13"/>
      <c r="NT3" s="13"/>
      <c r="NU3" s="13"/>
      <c r="NV3" s="13"/>
      <c r="NW3" s="13"/>
      <c r="NX3" s="13"/>
      <c r="NY3" s="13"/>
      <c r="NZ3" s="13"/>
      <c r="OA3" s="14" t="s">
        <v>14</v>
      </c>
      <c r="OB3" s="14" t="s">
        <v>9</v>
      </c>
      <c r="OC3" s="14" t="s">
        <v>28</v>
      </c>
      <c r="OD3" s="14" t="s">
        <v>29</v>
      </c>
      <c r="OE3" s="14" t="s">
        <v>14</v>
      </c>
      <c r="OF3" s="14" t="s">
        <v>9</v>
      </c>
      <c r="OG3" s="14" t="s">
        <v>28</v>
      </c>
      <c r="OH3" s="14" t="s">
        <v>29</v>
      </c>
      <c r="OI3" s="14" t="s">
        <v>14</v>
      </c>
      <c r="OJ3" s="14" t="s">
        <v>9</v>
      </c>
      <c r="OK3" s="14" t="s">
        <v>28</v>
      </c>
      <c r="OL3" s="14" t="s">
        <v>29</v>
      </c>
      <c r="OM3" s="14" t="s">
        <v>14</v>
      </c>
      <c r="ON3" s="14" t="s">
        <v>9</v>
      </c>
      <c r="OO3" s="14" t="s">
        <v>28</v>
      </c>
      <c r="OP3" s="14" t="s">
        <v>29</v>
      </c>
      <c r="OQ3" s="15" t="s">
        <v>14</v>
      </c>
      <c r="OR3" s="15" t="s">
        <v>9</v>
      </c>
      <c r="OS3" s="15" t="s">
        <v>28</v>
      </c>
      <c r="OT3" s="15" t="s">
        <v>29</v>
      </c>
      <c r="OU3" s="14"/>
      <c r="OV3" s="14"/>
      <c r="OW3" s="14"/>
      <c r="OX3" s="14"/>
      <c r="OY3" s="14"/>
      <c r="OZ3" s="14"/>
      <c r="PA3" s="14"/>
      <c r="PB3" s="14"/>
      <c r="PC3" s="13" t="s">
        <v>14</v>
      </c>
      <c r="PD3" s="13" t="s">
        <v>9</v>
      </c>
      <c r="PE3" s="13" t="s">
        <v>28</v>
      </c>
      <c r="PF3" s="13" t="s">
        <v>29</v>
      </c>
      <c r="PG3" s="13" t="s">
        <v>14</v>
      </c>
      <c r="PH3" s="13" t="s">
        <v>9</v>
      </c>
      <c r="PI3" s="13" t="s">
        <v>28</v>
      </c>
      <c r="PJ3" s="13" t="s">
        <v>29</v>
      </c>
      <c r="PK3" s="13" t="s">
        <v>14</v>
      </c>
      <c r="PL3" s="13" t="s">
        <v>9</v>
      </c>
      <c r="PM3" s="13" t="s">
        <v>28</v>
      </c>
      <c r="PN3" s="13" t="s">
        <v>29</v>
      </c>
      <c r="PO3" s="13" t="s">
        <v>14</v>
      </c>
      <c r="PP3" s="13" t="s">
        <v>9</v>
      </c>
      <c r="PQ3" s="13" t="s">
        <v>28</v>
      </c>
      <c r="PR3" s="13" t="s">
        <v>29</v>
      </c>
      <c r="PS3" s="16" t="s">
        <v>14</v>
      </c>
      <c r="PT3" s="16" t="s">
        <v>9</v>
      </c>
      <c r="PU3" s="16" t="s">
        <v>28</v>
      </c>
      <c r="PV3" s="16" t="s">
        <v>29</v>
      </c>
      <c r="PW3" s="13"/>
      <c r="PX3" s="13"/>
      <c r="PY3" s="13"/>
      <c r="PZ3" s="13"/>
      <c r="QA3" s="13"/>
      <c r="QB3" s="13"/>
      <c r="QC3" s="13"/>
      <c r="QD3" s="13"/>
      <c r="QE3" s="14" t="s">
        <v>14</v>
      </c>
      <c r="QF3" s="14" t="s">
        <v>9</v>
      </c>
      <c r="QG3" s="14" t="s">
        <v>28</v>
      </c>
      <c r="QH3" s="14" t="s">
        <v>29</v>
      </c>
      <c r="QI3" s="14" t="s">
        <v>14</v>
      </c>
      <c r="QJ3" s="14" t="s">
        <v>9</v>
      </c>
      <c r="QK3" s="14" t="s">
        <v>28</v>
      </c>
      <c r="QL3" s="14" t="s">
        <v>29</v>
      </c>
      <c r="QM3" s="14" t="s">
        <v>14</v>
      </c>
      <c r="QN3" s="14" t="s">
        <v>9</v>
      </c>
      <c r="QO3" s="14" t="s">
        <v>28</v>
      </c>
      <c r="QP3" s="14" t="s">
        <v>29</v>
      </c>
      <c r="QQ3" s="14" t="s">
        <v>14</v>
      </c>
      <c r="QR3" s="14" t="s">
        <v>9</v>
      </c>
      <c r="QS3" s="14" t="s">
        <v>28</v>
      </c>
      <c r="QT3" s="14" t="s">
        <v>29</v>
      </c>
      <c r="QU3" s="15" t="s">
        <v>14</v>
      </c>
      <c r="QV3" s="15" t="s">
        <v>9</v>
      </c>
      <c r="QW3" s="15" t="s">
        <v>28</v>
      </c>
      <c r="QX3" s="15" t="s">
        <v>29</v>
      </c>
      <c r="QY3" s="14"/>
      <c r="QZ3" s="14"/>
      <c r="RA3" s="14"/>
      <c r="RB3" s="14"/>
      <c r="RC3" s="14"/>
      <c r="RD3" s="14"/>
      <c r="RE3" s="14"/>
      <c r="RF3" s="14"/>
      <c r="RG3" s="13" t="s">
        <v>14</v>
      </c>
      <c r="RH3" s="13" t="s">
        <v>9</v>
      </c>
      <c r="RI3" s="13" t="s">
        <v>28</v>
      </c>
      <c r="RJ3" s="13" t="s">
        <v>29</v>
      </c>
      <c r="RK3" s="13" t="s">
        <v>14</v>
      </c>
      <c r="RL3" s="13" t="s">
        <v>9</v>
      </c>
      <c r="RM3" s="13" t="s">
        <v>28</v>
      </c>
      <c r="RN3" s="13" t="s">
        <v>29</v>
      </c>
      <c r="RO3" s="13" t="s">
        <v>14</v>
      </c>
      <c r="RP3" s="13" t="s">
        <v>9</v>
      </c>
      <c r="RQ3" s="13" t="s">
        <v>28</v>
      </c>
      <c r="RR3" s="13" t="s">
        <v>29</v>
      </c>
      <c r="RS3" s="13" t="s">
        <v>14</v>
      </c>
      <c r="RT3" s="13" t="s">
        <v>9</v>
      </c>
      <c r="RU3" s="13" t="s">
        <v>28</v>
      </c>
      <c r="RV3" s="13" t="s">
        <v>29</v>
      </c>
      <c r="RW3" s="16" t="s">
        <v>14</v>
      </c>
      <c r="RX3" s="16" t="s">
        <v>9</v>
      </c>
      <c r="RY3" s="16" t="s">
        <v>28</v>
      </c>
      <c r="RZ3" s="16" t="s">
        <v>29</v>
      </c>
      <c r="SA3" s="13"/>
      <c r="SB3" s="13"/>
      <c r="SC3" s="13"/>
      <c r="SD3" s="13"/>
      <c r="SE3" s="13"/>
      <c r="SF3" s="13"/>
      <c r="SG3" s="13"/>
      <c r="SH3" s="13"/>
      <c r="SI3" s="14" t="s">
        <v>14</v>
      </c>
      <c r="SJ3" s="14" t="s">
        <v>9</v>
      </c>
      <c r="SK3" s="14" t="s">
        <v>28</v>
      </c>
      <c r="SL3" s="14" t="s">
        <v>29</v>
      </c>
      <c r="SM3" s="14" t="s">
        <v>14</v>
      </c>
      <c r="SN3" s="14" t="s">
        <v>9</v>
      </c>
      <c r="SO3" s="14" t="s">
        <v>28</v>
      </c>
      <c r="SP3" s="14" t="s">
        <v>29</v>
      </c>
      <c r="SQ3" s="14" t="s">
        <v>14</v>
      </c>
      <c r="SR3" s="14" t="s">
        <v>9</v>
      </c>
      <c r="SS3" s="14" t="s">
        <v>28</v>
      </c>
      <c r="ST3" s="14" t="s">
        <v>29</v>
      </c>
      <c r="SU3" s="14" t="s">
        <v>14</v>
      </c>
      <c r="SV3" s="14" t="s">
        <v>9</v>
      </c>
      <c r="SW3" s="14" t="s">
        <v>28</v>
      </c>
      <c r="SX3" s="14" t="s">
        <v>29</v>
      </c>
      <c r="SY3" s="15" t="s">
        <v>14</v>
      </c>
      <c r="SZ3" s="15" t="s">
        <v>9</v>
      </c>
      <c r="TA3" s="15" t="s">
        <v>28</v>
      </c>
      <c r="TB3" s="15" t="s">
        <v>29</v>
      </c>
      <c r="TC3" s="14"/>
      <c r="TD3" s="14"/>
      <c r="TE3" s="14"/>
      <c r="TF3" s="14"/>
      <c r="TG3" s="14"/>
      <c r="TH3" s="14"/>
      <c r="TI3" s="14"/>
      <c r="TJ3" s="14"/>
      <c r="TK3" s="13" t="s">
        <v>14</v>
      </c>
      <c r="TL3" s="13" t="s">
        <v>9</v>
      </c>
      <c r="TM3" s="13" t="s">
        <v>28</v>
      </c>
      <c r="TN3" s="13" t="s">
        <v>29</v>
      </c>
      <c r="TO3" s="13" t="s">
        <v>14</v>
      </c>
      <c r="TP3" s="13" t="s">
        <v>9</v>
      </c>
      <c r="TQ3" s="13" t="s">
        <v>28</v>
      </c>
      <c r="TR3" s="13" t="s">
        <v>29</v>
      </c>
      <c r="TS3" s="13" t="s">
        <v>14</v>
      </c>
      <c r="TT3" s="13" t="s">
        <v>9</v>
      </c>
      <c r="TU3" s="13" t="s">
        <v>28</v>
      </c>
      <c r="TV3" s="13" t="s">
        <v>29</v>
      </c>
      <c r="TW3" s="13" t="s">
        <v>14</v>
      </c>
      <c r="TX3" s="13" t="s">
        <v>9</v>
      </c>
      <c r="TY3" s="13" t="s">
        <v>28</v>
      </c>
      <c r="TZ3" s="13" t="s">
        <v>29</v>
      </c>
      <c r="UA3" s="62" t="s">
        <v>14</v>
      </c>
      <c r="UB3" s="62" t="s">
        <v>9</v>
      </c>
      <c r="UC3" s="62" t="s">
        <v>28</v>
      </c>
      <c r="UD3" s="62" t="s">
        <v>29</v>
      </c>
      <c r="UE3" s="13" t="s">
        <v>52</v>
      </c>
      <c r="UF3" s="13"/>
      <c r="UG3" s="13"/>
      <c r="UH3" s="13"/>
      <c r="UI3" s="13"/>
      <c r="UJ3" s="13"/>
      <c r="UK3" s="13"/>
      <c r="UL3" s="13"/>
      <c r="UM3" s="13"/>
    </row>
    <row r="4" spans="1:559" x14ac:dyDescent="0.2">
      <c r="A4" s="4" cm="1">
        <f t="array" ref="A4">IF(AND(H4&lt;&gt;"",H4&lt;&gt;"No DD"),SUMPRODUCT((H$4:H$23&lt;&gt;"")*(H$4:H$23&lt;&gt;"No DD")*(E$4:E$23&gt;E4))+1,IF(H4="No DD",SUMPRODUCT((H$4:H$23="No DD")*(E$4:E$23&gt;E4))+1+SUMPRODUCT((H$4:H$23&lt;&gt;"")*(H$4:H$23&lt;&gt;"No DD")),""))</f>
        <v>1</v>
      </c>
      <c r="B4" s="5" t="s">
        <v>70</v>
      </c>
      <c r="C4" s="4" t="s">
        <v>6</v>
      </c>
      <c r="D4" s="4">
        <v>2001</v>
      </c>
      <c r="E4" s="9">
        <f t="shared" ref="E4:E22" si="0">SUM(J4:R4)+SUM(J4:N4)*0.0000001+SUM(J4)*0.0000000000001</f>
        <v>178.70001262000511</v>
      </c>
      <c r="F4" s="3" t="str">
        <f t="shared" ref="F4:F22" si="1">IF(OR(AND(AP4&gt;=AW$25,AQ4&gt;=AW$29,AP4&lt;&gt;"",AO4=""),AND(AU4&gt;=AW$25,AV4&gt;=AW$29,AU4&lt;&gt;"",AO4=""),AND(BS4&gt;=BZ$25,BT4&gt;=BZ$29,BS4&lt;&gt;"",BR4=""),AND(BX4&gt;=BZ$25,BY4&gt;=BZ$29,BX4&lt;&gt;"",BR4=""),AND(CV4&gt;=DC$25,CW4&gt;=DC$29,CV4&lt;&gt;"",CU4=""),AND(DA4&gt;=DC$25,DB4&gt;=DC$29,DA4&lt;&gt;""),AND(EA4&gt;=EH$25,EB4&gt;=EH$29,EA4&lt;&gt;""),AND(EF4&gt;=EH$25,EG4&gt;=EH$29,EF4&lt;&gt;""),AND(FC4&gt;=FJ$25,FD4&gt;=FJ$29,FC4&lt;&gt;""),AND(FH4&gt;=FJ$25,FI4&gt;=FJ$29,FH4&lt;&gt;""),AND(GE4&gt;=GL$25,GF4&gt;=GL$29,GE4&lt;&gt;""),AND(GJ4&gt;=GL$25,GK4&gt;=GL$29,GJ4&lt;&gt;""),AND(HG4&gt;=HN$25,HH4&gt;=HN$29,HG4&lt;&gt;""),AND(HL4&gt;=HN$25,HM4&gt;=HN$29,HL4&lt;&gt;""),AND(II4&gt;=IP$25,IJ4&gt;=IP$29,II4&lt;&gt;""),AND(IN4&gt;=IP$25,IO4&gt;=IP$29,IN4&lt;&gt;""),AND(JK4&gt;=JR$25,JL4&gt;=JR$29,JK4&lt;&gt;""),AND(JP4&gt;=JR$25,JQ4&gt;=JR$29,JP4&lt;&gt;""),AND(KM4&gt;=KT$25,KN4&gt;=KT$29,KM4&lt;&gt;""),AND(KR4&gt;=KT$25,KS4&gt;=KT$29,KR4&lt;&gt;""),AND(LO4&gt;=LV$25,LP4&gt;=LV$29,LO4&lt;&gt;""),AND(LT4&gt;=LV$25,LU4&gt;=LV$29,LT4&lt;&gt;""),AND(MQ4&gt;=MX$25,MR4&gt;=MX$29,MQ4&lt;&gt;""),AND(MV4&gt;=MX$25,MW4&gt;=MX$29,MV4&lt;&gt;""),AND(NS4&gt;=NZ$25,NT4&gt;=NZ$29,NS4&lt;&gt;""),AND(NX4&gt;=NZ$25,NY4&gt;=NZ$29,NX4&lt;&gt;""),AND(OU4&gt;=PB$25,OV4&gt;=PB$29,OU4&lt;&gt;""),AND(OZ4&gt;=PB$25,PA4&gt;=PB$29,OZ4&lt;&gt;""),AND(PW4&gt;=QD$25,PX4&gt;=QD$29,PW4&lt;&gt;""),AND(QB4&gt;=QD$25,QC4&gt;=QD$29,QB4&lt;&gt;""),AND(QY4&gt;=RF$25,QZ4&gt;=RF$29,QY4&lt;&gt;""),AND(RD4&gt;=RF$25,RE4&gt;=RF$29,RD4&lt;&gt;""),AND(SA4&gt;=SH$25,SB4&gt;=SH$29,SA4&lt;&gt;""),AND(SF4&gt;=SH$25,SG4&gt;=SH$29,SF4&lt;&gt;""),AND(TC4&gt;=TJ$25,TD4&gt;=TJ$29,TC4&lt;&gt;""),AND(TI4&gt;=TJ$25,TJ4&gt;=TJ$29,TI4&lt;&gt;"")),"P","")</f>
        <v>P</v>
      </c>
      <c r="G4" s="3" t="str">
        <f t="shared" ref="G4:G22" si="2">IF(OR(AND(AQ4&gt;=AW$29,AQ4&lt;&gt;"",AO4=""),AND(AV4&gt;=AW$29,AV4&lt;&gt;"",AO4=""),AND(BT4&gt;=BZ$29,BT4&lt;&gt;"",BR4=""),AND(BY4&gt;=BZ$29,BY4&lt;&gt;"",BR4=""),AND(CW4&gt;=DC$29,CW4&lt;&gt;"",CU4=""),AND(DB4&gt;=DC$29,DB4&lt;&gt;"",CU4=""),AND(EB4&gt;=EH$29,EB4&lt;&gt;""),AND(EG4&gt;=EH$29,EG4&lt;&gt;""),AND(FD4&gt;=FJ$29,FD4&lt;&gt;""),AND(FI4&gt;=FJ$29,FI4&lt;&gt;""),AND(GF4&gt;=GL$29,GF4&lt;&gt;""),AND(GK4&gt;=GL$29,GK4&lt;&gt;""),AND(HH4&gt;=HN$29,HH4&lt;&gt;""),AND(HM4&gt;=HN$29,HM4&lt;&gt;""),AND(IJ4&gt;=IP$29,IJ4&lt;&gt;""),AND(IO4&gt;=IP$29,IO4&lt;&gt;""),AND(JL4&gt;=JR$29,JL4&lt;&gt;""),AND(JQ4&gt;=JR$29,JQ4&lt;&gt;""),AND(KN4&gt;=KT$29,KN4&lt;&gt;""),AND(KS4&gt;=KT$29,KS4&lt;&gt;""),AND(LP4&gt;=LV$29,LP4&lt;&gt;""),AND(LU4&gt;=LV$29,LU4&lt;&gt;""),AND(MR4&gt;=MX$29,MR4&lt;&gt;""),AND(MW4&gt;=MX$29,MW4&lt;&gt;""),AND(NT4&gt;=NZ$29,NT4&lt;&gt;""),AND(NY4&gt;=NZ$29,NY4&lt;&gt;""),AND(OV4&gt;=PB$29,OV4&lt;&gt;""),AND(PA4&gt;=PB$29,PA4&lt;&gt;""),AND(PX4&gt;=QD$29,PX4&lt;&gt;""),AND(QC4&gt;=QD$29,QC4&lt;&gt;""),AND(QZ4&gt;=RF$29,QZ4&lt;&gt;""),AND(RE4&gt;=RF$29,RE4&lt;&gt;""),AND(SB4&gt;=SH$29,SB4&lt;&gt;""),AND(SG4&gt;=SH$29,SG4&lt;&gt;""),AND(TD4&gt;=TJ$29,TD4&lt;&gt;""),AND(TJ4&gt;=TJ$29,TJ4&lt;&gt;"")),"P","")</f>
        <v>P</v>
      </c>
      <c r="H4" s="36" t="str">
        <f t="shared" ref="H4:H22" si="3">IF(AND(G4="P",F4=""),"No DD",IF(OR(AND(AS4&gt;=AW$28,AT4&gt;=AW$32,AS4&lt;&gt;"",AO4=""),AND(BV4&gt;=BZ$28,BW4&gt;=BZ$32,BV4&lt;&gt;"",BR4=""),AND(CY4&gt;=DC$28,CZ4&gt;=DC$32,CY4&lt;&gt;"",CU4=""),AND(ED4&gt;=EH$28,EE4&gt;=EH$32,ED4&lt;&gt;""),AND(FF4&gt;=FJ$28,FG4&gt;=FJ$32,FF4&lt;&gt;""),AND(GH4&gt;=GL$28,GI4&gt;=GL$32,GH4&lt;&gt;""),AND(HJ4&gt;=HN$28,HK4&gt;=HN$32,HJ4&lt;&gt;""),AND(IL4&gt;=IP$28,IM4&gt;=IP$32,IL4&lt;&gt;""),AND(JN4&gt;=JR$28,JO4&gt;=JR$32,JN4&lt;&gt;""),AND(KP4&gt;=KT$28,KQ4&gt;=KT$32,KP4&lt;&gt;""),AND(LR4&gt;=LV$28,LS4&gt;=LV$32,LR4&lt;&gt;""),AND(MT4&gt;=MX$28,MU4&gt;=MX$32,MT4&lt;&gt;""),AND(NV4&gt;=NZ$28,NW4&gt;=NZ$32,NV4&lt;&gt;""),AND(OX4&gt;=PB$28,OY4&gt;=PB$32,OX4&lt;&gt;""),AND(PZ4&gt;=QD$28,QA4&gt;=QD$32,PZ4&lt;&gt;""),AND(RB4&gt;=RF$28,RC4&gt;=RF$32,RB4&lt;&gt;""),AND(SD4&gt;=SH$28,SE4&gt;=SH$32,SD4&lt;&gt;""),AND(TF4&gt;=TJ$28,TG4&gt;=TJ$32,TF4&lt;&gt;"")),"Merit",IF(OR(AND(AS4&gt;=AW$27,AT4&gt;=AW$31,AS4&lt;&gt;"",AO4=""),AND(BV4&gt;=BZ$27,BW4&gt;=BZ$31,BV4&lt;&gt;"",BR4=""),AND(CY4&gt;=DC$27,CZ4&gt;=DC$31,CY4&lt;&gt;"",CU4=""),AND(ED4&gt;=EH$27,EE4&gt;=EH$31,ED4&lt;&gt;""),AND(FF4&gt;=FJ$27,FG4&gt;=FJ$31,FF4&lt;&gt;""),AND(GH4&gt;=GL$27,GI4&gt;=GL$31,GH4&lt;&gt;""),AND(HJ4&gt;=HN$27,HK4&gt;=HN$31,HJ4&lt;&gt;""),AND(IL4&gt;=IP$27,IM4&gt;=IP$31,IL4&lt;&gt;""),AND(JN4&gt;=JR$27,JO4&gt;=JR$31,JN4&lt;&gt;""),AND(KP4&gt;=KT$27,KQ4&gt;=KT$31,KP4&lt;&gt;""),AND(LR4&gt;=LV$27,LS4&gt;=LV$31,LR4&lt;&gt;""),AND(MT4&gt;=MX$27,MU4&gt;=MX$31,MT4&lt;&gt;""),AND(NV4&gt;=NZ$27,NW4&gt;=NZ$31,NV4&lt;&gt;""),AND(OX4&gt;=PB$27,OY4&gt;=PB$31,OX4&lt;&gt;""),AND(PZ4&gt;=QD$27,QA4&gt;=QD$31,PZ4&lt;&gt;""),AND(RB4&gt;=RF$27,RC4&gt;=RF$31,RB4&lt;&gt;""),AND(SD4&gt;=SH$27,SE4&gt;=SH$31,SD4&lt;&gt;""),AND(TF4&gt;=TJ$27,TG4&gt;=TJ$31,TF4&lt;&gt;"")),"Excellence",IF(I4="P","Worlds Team",IF(F4="P","National Team","")))))</f>
        <v>Merit</v>
      </c>
      <c r="I4" s="3" t="str">
        <f t="shared" ref="I4:I22" si="4">IF(OR(AND(AS4&gt;=AW$26,AT4&gt;=AW$30,AS4&lt;&gt;"",AO4=""),AND(BV4&gt;=BZ$26,BW4&gt;=BZ$30,BV4&lt;&gt;"",BR4=""),AND(CY4&gt;=DC$26,CZ4&gt;=DC$30,CY4&lt;&gt;"",CU4=""),AND(ED4&gt;=EH$26,EE4&gt;=EH$30,ED4&lt;&gt;""),AND(FF4&gt;=FJ$26,FG4&gt;=FJ$30,FF4&lt;&gt;""),AND(GH4&gt;=GL$26,GI4&gt;=GL$30,GH4&lt;&gt;""),AND(HJ4&gt;=HN$26,HK4&gt;=HN$30,HJ4&lt;&gt;""),AND(IL4&gt;=IP$26,IM4&gt;=IP$30,IL4&lt;&gt;""),AND(JN4&gt;=JR$26,JO4&gt;=JR$30,JN4&lt;&gt;""),AND(KP4&gt;=KT$26,KQ4&gt;=KT$30,KP4&lt;&gt;""),AND(LR4&gt;=LV$26,LS4&gt;=LV$30,LR4&lt;&gt;""),AND(MT4&gt;=MX$26,MU4&gt;=MX$30,MT4&lt;&gt;""),AND(NV4&gt;=NZ$26,NW4&gt;=NZ$30,NV4&lt;&gt;""),AND(OX4&gt;=PB$26,OY4&gt;=PB$30,OX4&lt;&gt;""),AND(PZ4&gt;=QD$26,QA4&gt;=QD$30,PZ4&lt;&gt;""),AND(RB4&gt;=RF$26,RC4&gt;=RF$30,RB4&lt;&gt;""),AND(SD4&gt;=SH$26,SE4&gt;=SH$30,SD4&lt;&gt;""),AND(TF4&gt;=TJ$26,TG4&gt;=TJ$30,TF4&lt;&gt;"")),"P","")</f>
        <v>P</v>
      </c>
      <c r="J4" s="8">
        <f>IF(COUNT(AQ4,BT4,CW4)&gt;0,LARGE((AQ4,BT4,CW4),1),0)</f>
        <v>50.999999999999993</v>
      </c>
      <c r="K4" s="8" t="str">
        <f t="shared" ref="K4:K22" si="5">IF(J4=0,"",IF(J4=CW4,$CA$1,IF(J4=BT4,$AX$1,IF(J4=AQ4,$U$1,""))))</f>
        <v>2024 Elite Canada</v>
      </c>
      <c r="L4" s="8">
        <f>IF(COUNT(AQ4,BT4,CW4)&gt;1,LARGE((AQ4,BT4,CW4),2),0)</f>
        <v>49.5</v>
      </c>
      <c r="M4" s="8" t="str">
        <f t="shared" ref="M4:M22" si="6">IF(K4=0,"",IF(AND(L4=J4,L4=AQ4,K4=BT4),$U$1,IF(AND(L4=J4,L4=AQ4,L4=CW4),$U$1,IF(AND(L4=J4,L4=CW4,L4=BT4),$AX$1,IF(L4=CW4,$CA$1,IF(L4=BT4,$AX$1,IF(L4=AQ4,$U$1,"")))))))</f>
        <v>2024 3rd Domestic Trial</v>
      </c>
      <c r="N4" s="8">
        <f>IF(COUNT(AR4,BU4,CX4)&gt;0,LARGE((AR4,BU4,CX4),1),0)</f>
        <v>25.700000000000003</v>
      </c>
      <c r="O4" s="8" t="str">
        <f t="shared" ref="O4:O22" si="7">IF(N4=0,"",IF(N4=CX4,$CA$1,IF(N4=BU4,$AX$1,IF(N4=AR4,$U$1,""))))</f>
        <v>2024 Nationals</v>
      </c>
      <c r="P4" s="8">
        <f t="shared" ref="P4:P22" si="8">IF(MAX(AV4,BY4,DB4)&gt;0,MAX(AV4,BY4,DB4),0)</f>
        <v>51.599999999999994</v>
      </c>
      <c r="Q4" s="8" t="str">
        <f t="shared" ref="Q4:Q22" si="9">IF(P4=0,"",IF(P4=DB4,$CA$1,IF(P4=BY4,$AX$1,IF(P4=AV4,$U$1,""))))</f>
        <v>2024 Nationals</v>
      </c>
      <c r="R4" s="8">
        <f t="shared" ref="R4:R22" si="10">IF(MAX(DD4:DF4)&gt;0,MAX(DD4:DF4),"")</f>
        <v>0.89999999999999858</v>
      </c>
      <c r="S4" s="11" t="str">
        <f t="shared" ref="S4:S22" si="11">IF(R4="","",IF(R4=DD4,"("&amp;DD$2&amp;")",IF(R4=DE4,"("&amp;DE$2&amp;")",IF(R4=DF4,"("&amp;DF$2&amp;")"))))</f>
        <v>(Q1)</v>
      </c>
      <c r="T4" s="8" t="str">
        <f t="shared" ref="T4:T22" si="12">IF(R4="","",IF(R4=DD4,IF(R4+IF(L4="",0,L4)=TD4,$SI$1,IF(R4+IF(L4="",0,L4)=SB4,$RG$1,IF(R4+IF(L4="",0,L4)=QZ4,$QE$1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))),IF(R4=DE4,IF(R4+IF(N4="",0,N4)=TE4,$SI$1,IF(R4+IF(N4="",0,N4)=SC4,$RG$1,IF(R4+IF(N4="",0,N4)=RA4,$QE$1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))),IF(R4=DF4,IF(R4+IF(P4="",0,P4)=TI4,$SI$1,IF(R4+IF(P4="",0,P4)=SG4,$RG$1,IF(R4+IF(P4="",0,P4)=RE4,$QE$1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)))</f>
        <v>2024 World Cup POR (July 7)</v>
      </c>
      <c r="U4" s="19">
        <v>19</v>
      </c>
      <c r="V4" s="19">
        <v>7.2</v>
      </c>
      <c r="W4" s="19">
        <v>0</v>
      </c>
      <c r="X4" s="19">
        <v>0.3</v>
      </c>
      <c r="Y4" s="19">
        <v>18.3</v>
      </c>
      <c r="Z4" s="19">
        <v>6.8</v>
      </c>
      <c r="AA4" s="19">
        <v>0.6</v>
      </c>
      <c r="AB4" s="19">
        <v>0</v>
      </c>
      <c r="AC4" s="19">
        <v>18.3</v>
      </c>
      <c r="AD4" s="19">
        <v>6.8</v>
      </c>
      <c r="AE4" s="19">
        <v>0.2</v>
      </c>
      <c r="AF4" s="19">
        <v>0.3</v>
      </c>
      <c r="AG4" s="19">
        <v>18.8</v>
      </c>
      <c r="AH4" s="19">
        <v>6.4</v>
      </c>
      <c r="AI4" s="19">
        <v>0.2</v>
      </c>
      <c r="AJ4" s="19">
        <v>0.3</v>
      </c>
      <c r="AK4" s="19">
        <v>18.8</v>
      </c>
      <c r="AL4" s="19">
        <v>6.8</v>
      </c>
      <c r="AM4" s="19">
        <v>0</v>
      </c>
      <c r="AN4" s="19">
        <v>0.3</v>
      </c>
      <c r="AO4" s="27"/>
      <c r="AP4" s="40">
        <f t="shared" ref="AP4:AP22" si="13">IF(SUM(V4,Z4)&gt;0,SUM(V4,Z4),"")</f>
        <v>14</v>
      </c>
      <c r="AQ4" s="40">
        <f t="shared" ref="AQ4:AQ22" si="14">IF(SUM(U4:V4,X4:Z4,AB4)-W4-AA4&gt;0,SUM(U4:V4,X4:Z4,AB4)-W4-AA4,"")</f>
        <v>50.999999999999993</v>
      </c>
      <c r="AR4" s="40">
        <f t="shared" ref="AR4:AR22" si="15">IF(SUM(AC4:AD4,AF4)-AE4&gt;0,SUM(AC4:AD4,AF4)-AE4,"")</f>
        <v>25.200000000000003</v>
      </c>
      <c r="AS4" s="40">
        <f t="shared" ref="AS4:AS22" si="16">IF(SUM(V4,Z4,AD4)&gt;0,SUM(V4,Z4,AD4),"")</f>
        <v>20.8</v>
      </c>
      <c r="AT4" s="40">
        <f t="shared" ref="AT4:AT22" si="17">IF(SUM(AQ4,AR4)&gt;0,SUM(AQ4,AR4),"")</f>
        <v>76.199999999999989</v>
      </c>
      <c r="AU4" s="40">
        <f t="shared" ref="AU4:AU22" si="18">IF(SUM(AH4,AL4)&gt;0,SUM(AH4,AL4),"")</f>
        <v>13.2</v>
      </c>
      <c r="AV4" s="40">
        <f t="shared" ref="AV4:AV22" si="19">IF(SUM(AG4:AH4,AJ4:AL4,AN4)-SUM(AI4,AM4)&gt;0,SUM(AG4:AH4,AJ4:AL4,AN4)-SUM(AI4,AM4),"")</f>
        <v>51.199999999999996</v>
      </c>
      <c r="AW4" s="40">
        <f t="shared" ref="AW4:AW22" si="20">IF(SUM(AQ4,AR4,AV4)&gt;0,SUM(AQ4,AR4,AV4),"")</f>
        <v>127.39999999999998</v>
      </c>
      <c r="AX4" s="18">
        <v>18.5</v>
      </c>
      <c r="AY4" s="18">
        <v>7.2</v>
      </c>
      <c r="AZ4" s="18">
        <v>0</v>
      </c>
      <c r="BA4" s="18">
        <v>0.3</v>
      </c>
      <c r="BB4" s="18">
        <v>18.2</v>
      </c>
      <c r="BC4" s="18">
        <v>4.4000000000000004</v>
      </c>
      <c r="BD4" s="18">
        <v>0.6</v>
      </c>
      <c r="BE4" s="18">
        <v>0</v>
      </c>
      <c r="BF4" s="18">
        <v>18.8</v>
      </c>
      <c r="BG4" s="18">
        <v>6.8</v>
      </c>
      <c r="BH4" s="18">
        <v>0.2</v>
      </c>
      <c r="BI4" s="18">
        <v>0.3</v>
      </c>
      <c r="BJ4" s="18">
        <v>18.3</v>
      </c>
      <c r="BK4" s="18">
        <v>7.2</v>
      </c>
      <c r="BL4" s="18">
        <v>0.2</v>
      </c>
      <c r="BM4" s="18">
        <v>0.3</v>
      </c>
      <c r="BN4" s="18">
        <v>18.899999999999999</v>
      </c>
      <c r="BO4" s="18">
        <v>6.8</v>
      </c>
      <c r="BP4" s="18">
        <v>0</v>
      </c>
      <c r="BQ4" s="18">
        <v>0.3</v>
      </c>
      <c r="BR4" s="28"/>
      <c r="BS4" s="11">
        <f t="shared" ref="BS4:BS22" si="21">IF(SUM(AY4,BC4)&gt;0,SUM(AY4,BC4),"")</f>
        <v>11.600000000000001</v>
      </c>
      <c r="BT4" s="11">
        <f t="shared" ref="BT4:BT22" si="22">IF(SUM(AX4:AY4,BA4:BC4,BE4)-AZ4-BD4&gt;0,SUM(AX4:AY4,BA4:BC4,BE4)-AZ4-BD4,"")</f>
        <v>48</v>
      </c>
      <c r="BU4" s="11">
        <f t="shared" ref="BU4:BU22" si="23">IF(SUM(BF4:BG4,BI4)-BH4&gt;0,SUM(BF4:BG4,BI4)-BH4,"")</f>
        <v>25.700000000000003</v>
      </c>
      <c r="BV4" s="11">
        <f t="shared" ref="BV4:BV22" si="24">IF(SUM(AY4,BC4,BG4)&gt;0,SUM(AY4,BC4,BG4),"")</f>
        <v>18.400000000000002</v>
      </c>
      <c r="BW4" s="11">
        <f t="shared" ref="BW4:BW22" si="25">IF(SUM(BT4,BU4)&gt;0,SUM(BT4,BU4),"")</f>
        <v>73.7</v>
      </c>
      <c r="BX4" s="11">
        <f t="shared" ref="BX4:BX22" si="26">IF(SUM(BK4,BO4)&gt;0,SUM(BK4,BO4),"")</f>
        <v>14</v>
      </c>
      <c r="BY4" s="11">
        <f t="shared" ref="BY4:BY22" si="27">IF(SUM(BJ4:BK4,BM4:BO4,BQ4)-SUM(BL4,BP4)&gt;0,SUM(BJ4:BK4,BM4:BO4,BQ4)-SUM(BL4,BP4),"")</f>
        <v>51.599999999999994</v>
      </c>
      <c r="BZ4" s="11">
        <f t="shared" ref="BZ4:BZ22" si="28">IF(SUM(BT4,BU4,BY4)&gt;0,SUM(BT4,BU4,BY4),"")</f>
        <v>125.3</v>
      </c>
      <c r="CA4" s="19">
        <v>18.75</v>
      </c>
      <c r="CB4" s="19">
        <v>7.2</v>
      </c>
      <c r="CC4" s="19">
        <v>0</v>
      </c>
      <c r="CD4" s="19">
        <v>0.3</v>
      </c>
      <c r="CE4" s="19">
        <v>18.25</v>
      </c>
      <c r="CF4" s="19">
        <v>5.6</v>
      </c>
      <c r="CG4" s="19">
        <v>0.6</v>
      </c>
      <c r="CH4" s="19">
        <v>0</v>
      </c>
      <c r="CI4" s="19">
        <v>18.55</v>
      </c>
      <c r="CJ4" s="19">
        <v>6.8</v>
      </c>
      <c r="CK4" s="19">
        <v>0.2</v>
      </c>
      <c r="CL4" s="19">
        <v>0.3</v>
      </c>
      <c r="CM4" s="19">
        <v>18.55</v>
      </c>
      <c r="CN4" s="19">
        <v>6.8000000000000007</v>
      </c>
      <c r="CO4" s="19">
        <v>0.2</v>
      </c>
      <c r="CP4" s="19">
        <v>0.3</v>
      </c>
      <c r="CQ4" s="19">
        <v>18.850000000000001</v>
      </c>
      <c r="CR4" s="19">
        <v>6.8</v>
      </c>
      <c r="CS4" s="19">
        <v>0</v>
      </c>
      <c r="CT4" s="19">
        <v>0.3</v>
      </c>
      <c r="CU4" s="27" t="s">
        <v>53</v>
      </c>
      <c r="CV4" s="40">
        <f t="shared" ref="CV4:CV22" si="29">IF(SUM(CB4,CF4)&gt;0,SUM(CB4,CF4),"")</f>
        <v>12.8</v>
      </c>
      <c r="CW4" s="40">
        <f t="shared" ref="CW4:CW22" si="30">IF(SUM(CA4:CB4,CD4:CF4,CH4)-CC4-CG4&gt;0,SUM(CA4:CB4,CD4:CF4,CH4)-CC4-CG4,"")</f>
        <v>49.5</v>
      </c>
      <c r="CX4" s="40">
        <f t="shared" ref="CX4:CX22" si="31">IF(SUM(CI4:CJ4,CL4)-CK4&gt;0,SUM(CI4:CJ4,CL4)-CK4,"")</f>
        <v>25.450000000000003</v>
      </c>
      <c r="CY4" s="40">
        <f t="shared" ref="CY4:CY22" si="32">IF(SUM(CB4,CF4,CJ4)&gt;0,SUM(CB4,CF4,CJ4),"")</f>
        <v>19.600000000000001</v>
      </c>
      <c r="CZ4" s="40">
        <f t="shared" ref="CZ4:CZ22" si="33">IF(SUM(CW4,CX4)&gt;0,SUM(CW4,CX4),"")</f>
        <v>74.95</v>
      </c>
      <c r="DA4" s="40">
        <f t="shared" ref="DA4:DA22" si="34">IF(SUM(CN4,CR4)&gt;0,SUM(CN4,CR4),"")</f>
        <v>13.600000000000001</v>
      </c>
      <c r="DB4" s="40">
        <f t="shared" ref="DB4:DB22" si="35">IF(SUM(CM4:CN4,CP4:CR4,CT4)-SUM(CO4,CS4)&gt;0,SUM(CM4:CN4,CP4:CR4,CT4)-SUM(CO4,CS4),"")</f>
        <v>51.399999999999991</v>
      </c>
      <c r="DC4" s="40">
        <f t="shared" ref="DC4:DC22" si="36">IF(SUM(CW4,CX4,DB4)&gt;0,SUM(CW4,CX4,DB4),"")</f>
        <v>126.35</v>
      </c>
      <c r="DD4" s="51">
        <f t="shared" ref="DD4:DD22" si="37">IF(MAX(EB4,FD4,GF4,HH4,IJ4,JL4,KN4,LP4,MR4,NT4,OV4,PX4,QZ4,SB4,TD4)-IF(L4="",0,L4)&gt;0.001,MAX(EB4,FD4,GF4,HH4,IJ4,JL4,KN4,LP4,MR4,NT4,OV4,PX4,QZ4,SB4,TD4)-IF(L4="",0,L4),"")</f>
        <v>0.89999999999999858</v>
      </c>
      <c r="DE4" s="51" t="str">
        <f t="shared" ref="DE4:DE22" si="38">IF(MAX(EC4,FE4,GG4,HI4,IK4,JM4,KO4,LQ4,MS4,NU4,OW4,PY4,RA4,SC4,TE4)-IF(N4="",0,N4)&gt;0.001,MAX(EC4,FE4,GG4,HI4,IK4,JM4,KO4,LQ4,MS4,NU4,OW4,PY4,RA4,SC4,TE4)-IF(N4="",0,N4),"")</f>
        <v/>
      </c>
      <c r="DF4" s="51" t="str">
        <f t="shared" ref="DF4:DF22" si="39">IF(MAX(EG4,FI4,GK4,HM4,IO4,JQ4,KS4,LU4,MW4,NY4,PA4,QC4,RE4,SG4,TI4)-IF(P4="",0,P4)&gt;0.001,MAX(EG4,FI4,GK4,HM4,IO4,JQ4,KS4,LU4,MW4,NY4,PA4,QC4,RE4,SG4,TI4)-IF(P4="",0,P4),"")</f>
        <v/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0" t="str">
        <f t="shared" ref="EA4:EA22" si="40">IF(SUM(DH4,DL4)&gt;0,SUM(DH4,DL4),"")</f>
        <v/>
      </c>
      <c r="EB4" s="40" t="str">
        <f t="shared" ref="EB4:EB22" si="41">IF(SUM(DG4:DH4,DJ4:DL4,DN4)-DI4-DM4&gt;0,SUM(DG4:DH4,DJ4:DL4,DN4)-DI4-DM4,"")</f>
        <v/>
      </c>
      <c r="EC4" s="40" t="str">
        <f t="shared" ref="EC4:EC22" si="42">IF(SUM(DO4:DP4,DR4)-DQ4&gt;0,SUM(DO4:DP4,DR4)-DQ4,"")</f>
        <v/>
      </c>
      <c r="ED4" s="40" t="str">
        <f t="shared" ref="ED4:ED22" si="43">IF(SUM(DH4,DL4,DP4)&gt;0,SUM(DH4,DL4,DP4),"")</f>
        <v/>
      </c>
      <c r="EE4" s="40" t="str">
        <f t="shared" ref="EE4:EE22" si="44">IF(SUM(EB4,EC4)&gt;0,SUM(EB4,EC4),"")</f>
        <v/>
      </c>
      <c r="EF4" s="40" t="str">
        <f t="shared" ref="EF4:EF22" si="45">IF(SUM(DT4,DX4)&gt;0,SUM(DT4,DX4),"")</f>
        <v/>
      </c>
      <c r="EG4" s="40" t="str">
        <f t="shared" ref="EG4:EG22" si="46">IF(SUM(DS4:DT4,DV4:DX4,DZ4)-SUM(DU4,DY4)&gt;0,SUM(DS4:DT4,DV4:DX4,DZ4)-SUM(DU4,DY4),"")</f>
        <v/>
      </c>
      <c r="EH4" s="40" t="str">
        <f t="shared" ref="EH4:EH22" si="47">IF(SUM(EB4,EC4,EG4)&gt;0,SUM(EB4,EC4,EG4),"")</f>
        <v/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 t="shared" ref="FC4:FC22" si="48">IF(SUM(EJ4,EN4)&gt;0,SUM(EJ4,EN4),"")</f>
        <v/>
      </c>
      <c r="FD4" s="11" t="str">
        <f t="shared" ref="FD4:FD22" si="49">IF(SUM(EI4:EJ4,EL4:EN4,EP4)-EK4-EO4&gt;0,SUM(EI4:EJ4,EL4:EN4,EP4)-EK4-EO4,"")</f>
        <v/>
      </c>
      <c r="FE4" s="11" t="str">
        <f t="shared" ref="FE4:FE22" si="50">IF(SUM(EQ4:ER4,ET4)-ES4&gt;0,SUM(EQ4:ER4,ET4)-ES4,"")</f>
        <v/>
      </c>
      <c r="FF4" s="11" t="str">
        <f t="shared" ref="FF4:FF22" si="51">IF(SUM(EJ4,EN4,ER4)&gt;0,SUM(EJ4,EN4,ER4),"")</f>
        <v/>
      </c>
      <c r="FG4" s="11" t="str">
        <f t="shared" ref="FG4:FG22" si="52">IF(SUM(FD4,FE4)&gt;0,SUM(FD4,FE4),"")</f>
        <v/>
      </c>
      <c r="FH4" s="11" t="str">
        <f t="shared" ref="FH4:FH22" si="53">IF(SUM(EV4,EZ4)&gt;0,SUM(EV4,EZ4),"")</f>
        <v/>
      </c>
      <c r="FI4" s="11" t="str">
        <f t="shared" ref="FI4:FI22" si="54">IF(SUM(EU4:EV4,EX4:EZ4,FB4)-SUM(EW4,FA4)&gt;0,SUM(EU4:EV4,EX4:EZ4,FB4)-SUM(EW4,FA4),"")</f>
        <v/>
      </c>
      <c r="FJ4" s="11" t="str">
        <f t="shared" ref="FJ4:FJ22" si="55">IF(SUM(FD4,FE4,FI4)&gt;0,SUM(FD4,FE4,FI4),"")</f>
        <v/>
      </c>
      <c r="FK4" s="17">
        <v>18.600000000000001</v>
      </c>
      <c r="FL4" s="17">
        <v>7.2</v>
      </c>
      <c r="FM4" s="17">
        <v>0.6</v>
      </c>
      <c r="FN4" s="17">
        <v>0</v>
      </c>
      <c r="FO4" s="17">
        <v>18.600000000000001</v>
      </c>
      <c r="FP4" s="17">
        <v>6.8</v>
      </c>
      <c r="FQ4" s="17">
        <v>0.2</v>
      </c>
      <c r="FR4" s="17">
        <v>0</v>
      </c>
      <c r="FS4" s="17"/>
      <c r="FT4" s="17"/>
      <c r="FU4" s="17"/>
      <c r="FV4" s="17"/>
      <c r="FW4" s="17">
        <v>18.600000000000001</v>
      </c>
      <c r="FX4" s="17">
        <v>6.8</v>
      </c>
      <c r="FY4" s="17">
        <v>0</v>
      </c>
      <c r="FZ4" s="17">
        <v>0</v>
      </c>
      <c r="GA4" s="17"/>
      <c r="GB4" s="17"/>
      <c r="GC4" s="17"/>
      <c r="GD4" s="17"/>
      <c r="GE4" s="40">
        <f t="shared" ref="GE4:GE22" si="56">IF(SUM(FL4,FP4)&gt;0,SUM(FL4,FP4),"")</f>
        <v>14</v>
      </c>
      <c r="GF4" s="40">
        <f t="shared" ref="GF4:GF22" si="57">IF(SUM(FK4:FL4,FN4:FP4,FR4)-FM4-FQ4&gt;0,SUM(FK4:FL4,FN4:FP4,FR4)-FM4-FQ4,"")</f>
        <v>50.4</v>
      </c>
      <c r="GG4" s="40" t="str">
        <f t="shared" ref="GG4:GG22" si="58">IF(SUM(FS4:FT4,FV4)-FU4&gt;0,SUM(FS4:FT4,FV4)-FU4,"")</f>
        <v/>
      </c>
      <c r="GH4" s="40">
        <f t="shared" ref="GH4:GH22" si="59">IF(SUM(FL4,FP4,FT4)&gt;0,SUM(FL4,FP4,FT4),"")</f>
        <v>14</v>
      </c>
      <c r="GI4" s="40">
        <f t="shared" ref="GI4:GI22" si="60">IF(SUM(GF4,GG4)&gt;0,SUM(GF4,GG4),"")</f>
        <v>50.4</v>
      </c>
      <c r="GJ4" s="40">
        <f t="shared" ref="GJ4:GJ22" si="61">IF(SUM(FX4,GB4)&gt;0,SUM(FX4,GB4),"")</f>
        <v>6.8</v>
      </c>
      <c r="GK4" s="40">
        <f t="shared" ref="GK4:GK22" si="62">IF(SUM(FW4:FX4,FZ4:GB4,GD4)-SUM(FY4,GC4)&gt;0,SUM(FW4:FX4,FZ4:GB4,GD4)-SUM(FY4,GC4),"")</f>
        <v>25.400000000000002</v>
      </c>
      <c r="GL4" s="40">
        <f t="shared" ref="GL4:GL22" si="63">IF(SUM(GF4,GG4,GK4)&gt;0,SUM(GF4,GG4,GK4),"")</f>
        <v>75.8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 t="shared" ref="HG4:HG22" si="64">IF(SUM(GN4,GR4)&gt;0,SUM(GN4,GR4),"")</f>
        <v/>
      </c>
      <c r="HH4" s="11" t="str">
        <f t="shared" ref="HH4:HH22" si="65">IF(SUM(GM4:GN4,GP4:GR4,GT4)-GO4-GS4&gt;0,SUM(GM4:GN4,GP4:GR4,GT4)-GO4-GS4,"")</f>
        <v/>
      </c>
      <c r="HI4" s="11" t="str">
        <f t="shared" ref="HI4:HI22" si="66">IF(SUM(GU4:GV4,GX4)-GW4&gt;0,SUM(GU4:GV4,GX4)-GW4,"")</f>
        <v/>
      </c>
      <c r="HJ4" s="11" t="str">
        <f t="shared" ref="HJ4:HJ22" si="67">IF(SUM(GN4,GR4,GV4)&gt;0,SUM(GN4,GR4,GV4),"")</f>
        <v/>
      </c>
      <c r="HK4" s="11" t="str">
        <f t="shared" ref="HK4:HK22" si="68">IF(SUM(HH4,HI4)&gt;0,SUM(HH4,HI4),"")</f>
        <v/>
      </c>
      <c r="HL4" s="11" t="str">
        <f t="shared" ref="HL4:HL22" si="69">IF(SUM(GZ4,HD4)&gt;0,SUM(GZ4,HD4),"")</f>
        <v/>
      </c>
      <c r="HM4" s="11" t="str">
        <f t="shared" ref="HM4:HM22" si="70">IF(SUM(GY4:GZ4,HB4:HD4,HF4)-SUM(HA4,HE4)&gt;0,SUM(GY4:GZ4,HB4:HD4,HF4)-SUM(HA4,HE4),"")</f>
        <v/>
      </c>
      <c r="HN4" s="11" t="str">
        <f t="shared" ref="HN4:HN22" si="71"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 t="str">
        <f t="shared" ref="II4:II22" si="72">IF(SUM(HP4,HT4)&gt;0,SUM(HP4,HT4),"")</f>
        <v/>
      </c>
      <c r="IJ4" s="40" t="str">
        <f t="shared" ref="IJ4:IJ22" si="73">IF(SUM(HO4:HP4,HR4:HT4,HV4)-HQ4-HU4&gt;0,SUM(HO4:HP4,HR4:HT4,HV4)-HQ4-HU4,"")</f>
        <v/>
      </c>
      <c r="IK4" s="40" t="str">
        <f t="shared" ref="IK4:IK22" si="74">IF(SUM(HW4:HX4,HZ4)-HY4&gt;0,SUM(HW4:HX4,HZ4)-HY4,"")</f>
        <v/>
      </c>
      <c r="IL4" s="40" t="str">
        <f t="shared" ref="IL4:IL22" si="75">IF(SUM(HP4,HT4,HX4)&gt;0,SUM(HP4,HT4,HX4),"")</f>
        <v/>
      </c>
      <c r="IM4" s="40" t="str">
        <f t="shared" ref="IM4:IM22" si="76">IF(SUM(IJ4,IK4)&gt;0,SUM(IJ4,IK4),"")</f>
        <v/>
      </c>
      <c r="IN4" s="40" t="str">
        <f t="shared" ref="IN4:IN22" si="77">IF(SUM(IB4,IF4)&gt;0,SUM(IB4,IF4),"")</f>
        <v/>
      </c>
      <c r="IO4" s="40" t="str">
        <f t="shared" ref="IO4:IO22" si="78">IF(SUM(IA4:IB4,ID4:IF4,IH4)-SUM(IC4,IG4)&gt;0,SUM(IA4:IB4,ID4:IF4,IH4)-SUM(IC4,IG4),"")</f>
        <v/>
      </c>
      <c r="IP4" s="40" t="str">
        <f t="shared" ref="IP4:IP22" si="79"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 t="shared" ref="JK4:JK22" si="80">IF(SUM(IR4,IV4)&gt;0,SUM(IR4,IV4),"")</f>
        <v/>
      </c>
      <c r="JL4" s="11" t="str">
        <f t="shared" ref="JL4:JL22" si="81">IF(SUM(IQ4:IR4,IT4:IV4,IX4)-IS4-IW4&gt;0,SUM(IQ4:IR4,IT4:IV4,IX4)-IS4-IW4,"")</f>
        <v/>
      </c>
      <c r="JM4" s="11" t="str">
        <f t="shared" ref="JM4:JM22" si="82">IF(SUM(IY4:IZ4,JB4)-JA4&gt;0,SUM(IY4:IZ4,JB4)-JA4,"")</f>
        <v/>
      </c>
      <c r="JN4" s="11" t="str">
        <f t="shared" ref="JN4:JN22" si="83">IF(SUM(IR4,IV4,IZ4)&gt;0,SUM(IR4,IV4,IZ4),"")</f>
        <v/>
      </c>
      <c r="JO4" s="11" t="str">
        <f t="shared" ref="JO4:JO22" si="84">IF(SUM(JL4,JM4)&gt;0,SUM(JL4,JM4),"")</f>
        <v/>
      </c>
      <c r="JP4" s="11" t="str">
        <f t="shared" ref="JP4:JP22" si="85">IF(SUM(JD4,JH4)&gt;0,SUM(JD4,JH4),"")</f>
        <v/>
      </c>
      <c r="JQ4" s="11" t="str">
        <f t="shared" ref="JQ4:JQ22" si="86">IF(SUM(JC4:JD4,JF4:JH4,JJ4)-SUM(JE4,JI4)&gt;0,SUM(JC4:JD4,JF4:JH4,JJ4)-SUM(JE4,JI4),"")</f>
        <v/>
      </c>
      <c r="JR4" s="11" t="str">
        <f t="shared" ref="JR4:JR22" si="87"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0" t="str">
        <f t="shared" ref="KM4:KM22" si="88">IF(SUM(JT4,JX4)&gt;0,SUM(JT4,JX4),"")</f>
        <v/>
      </c>
      <c r="KN4" s="40" t="str">
        <f t="shared" ref="KN4:KN22" si="89">IF(SUM(JS4:JT4,JV4:JX4,JZ4)-JU4-JY4&gt;0,SUM(JS4:JT4,JV4:JX4,JZ4)-JU4-JY4,"")</f>
        <v/>
      </c>
      <c r="KO4" s="40" t="str">
        <f t="shared" ref="KO4:KO22" si="90">IF(SUM(KA4:KB4,KD4)-KC4&gt;0,SUM(KA4:KB4,KD4)-KC4,"")</f>
        <v/>
      </c>
      <c r="KP4" s="40" t="str">
        <f t="shared" ref="KP4:KP22" si="91">IF(SUM(JT4,JX4,KB4)&gt;0,SUM(JT4,JX4,KB4),"")</f>
        <v/>
      </c>
      <c r="KQ4" s="40" t="str">
        <f t="shared" ref="KQ4:KQ22" si="92">IF(SUM(KN4,KO4)&gt;0,SUM(KN4,KO4),"")</f>
        <v/>
      </c>
      <c r="KR4" s="40" t="str">
        <f t="shared" ref="KR4:KR22" si="93">IF(SUM(KF4,KJ4)&gt;0,SUM(KF4,KJ4),"")</f>
        <v/>
      </c>
      <c r="KS4" s="40" t="str">
        <f t="shared" ref="KS4:KS22" si="94">IF(SUM(KE4:KF4,KH4:KJ4,KL4)-SUM(KG4,KK4)&gt;0,SUM(KE4:KF4,KH4:KJ4,KL4)-SUM(KG4,KK4),"")</f>
        <v/>
      </c>
      <c r="KT4" s="40" t="str">
        <f t="shared" ref="KT4:KT22" si="95"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 t="shared" ref="LO4:LO22" si="96">IF(SUM(KV4,KZ4)&gt;0,SUM(KV4,KZ4),"")</f>
        <v/>
      </c>
      <c r="LP4" s="11" t="str">
        <f t="shared" ref="LP4:LP22" si="97">IF(SUM(KU4:KV4,KX4:KZ4,LB4)-KW4-LA4&gt;0,SUM(KU4:KV4,KX4:KZ4,LB4)-KW4-LA4,"")</f>
        <v/>
      </c>
      <c r="LQ4" s="11" t="str">
        <f t="shared" ref="LQ4:LQ22" si="98">IF(SUM(LC4:LD4,LF4)-LE4&gt;0,SUM(LC4:LD4,LF4)-LE4,"")</f>
        <v/>
      </c>
      <c r="LR4" s="11" t="str">
        <f t="shared" ref="LR4:LR22" si="99">IF(SUM(KV4,KZ4,LD4)&gt;0,SUM(KV4,KZ4,LD4),"")</f>
        <v/>
      </c>
      <c r="LS4" s="11" t="str">
        <f t="shared" ref="LS4:LS22" si="100">IF(SUM(LP4,LQ4)&gt;0,SUM(LP4,LQ4),"")</f>
        <v/>
      </c>
      <c r="LT4" s="11" t="str">
        <f t="shared" ref="LT4:LT22" si="101">IF(SUM(LH4,LL4)&gt;0,SUM(LH4,LL4),"")</f>
        <v/>
      </c>
      <c r="LU4" s="11" t="str">
        <f t="shared" ref="LU4:LU22" si="102">IF(SUM(LG4:LH4,LJ4:LL4,LN4)-SUM(LI4,LM4)&gt;0,SUM(LG4:LH4,LJ4:LL4,LN4)-SUM(LI4,LM4),"")</f>
        <v/>
      </c>
      <c r="LV4" s="11" t="str">
        <f t="shared" ref="LV4:LV22" si="103"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 t="shared" ref="MQ4:MQ22" si="104">IF(SUM(LX4,MB4)&gt;0,SUM(LX4,MB4),"")</f>
        <v/>
      </c>
      <c r="MR4" s="40" t="str">
        <f t="shared" ref="MR4:MR22" si="105">IF(SUM(LW4:LX4,LZ4:MB4,MD4)-LY4-MC4&gt;0,SUM(LW4:LX4,LZ4:MB4,MD4)-LY4-MC4,"")</f>
        <v/>
      </c>
      <c r="MS4" s="40" t="str">
        <f t="shared" ref="MS4:MS22" si="106">IF(SUM(ME4:MF4,MH4)-MG4&gt;0,SUM(ME4:MF4,MH4)-MG4,"")</f>
        <v/>
      </c>
      <c r="MT4" s="40" t="str">
        <f t="shared" ref="MT4:MT22" si="107">IF(SUM(LX4,MB4,MF4)&gt;0,SUM(LX4,MB4,MF4),"")</f>
        <v/>
      </c>
      <c r="MU4" s="40" t="str">
        <f t="shared" ref="MU4:MU22" si="108">IF(SUM(MR4,MS4)&gt;0,SUM(MR4,MS4),"")</f>
        <v/>
      </c>
      <c r="MV4" s="40" t="str">
        <f t="shared" ref="MV4:MV22" si="109">IF(SUM(MJ4,MN4)&gt;0,SUM(MJ4,MN4),"")</f>
        <v/>
      </c>
      <c r="MW4" s="40" t="str">
        <f t="shared" ref="MW4:MW22" si="110">IF(SUM(MI4:MJ4,ML4:MN4,MP4)-SUM(MK4,MO4)&gt;0,SUM(MI4:MJ4,ML4:MN4,MP4)-SUM(MK4,MO4),"")</f>
        <v/>
      </c>
      <c r="MX4" s="40" t="str">
        <f t="shared" ref="MX4:MX22" si="111"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22" si="112">IF(SUM(MZ4,ND4)&gt;0,SUM(MZ4,ND4),"")</f>
        <v/>
      </c>
      <c r="NT4" s="11" t="str">
        <f t="shared" ref="NT4:NT22" si="113">IF(SUM(MY4:MZ4,NB4:ND4,NF4)-NA4-NE4&gt;0,SUM(MY4:MZ4,NB4:ND4,NF4)-NA4-NE4,"")</f>
        <v/>
      </c>
      <c r="NU4" s="11" t="str">
        <f t="shared" ref="NU4:NU22" si="114">IF(SUM(NG4:NH4,NJ4)-NI4&gt;0,SUM(NG4:NH4,NJ4)-NI4,"")</f>
        <v/>
      </c>
      <c r="NV4" s="11" t="str">
        <f t="shared" ref="NV4:NV22" si="115">IF(SUM(MZ4,ND4,NH4)&gt;0,SUM(MZ4,ND4,NH4),"")</f>
        <v/>
      </c>
      <c r="NW4" s="11" t="str">
        <f t="shared" ref="NW4:NW22" si="116">IF(SUM(NT4,NU4)&gt;0,SUM(NT4,NU4),"")</f>
        <v/>
      </c>
      <c r="NX4" s="11" t="str">
        <f t="shared" ref="NX4:NX22" si="117">IF(SUM(NL4,NP4)&gt;0,SUM(NL4,NP4),"")</f>
        <v/>
      </c>
      <c r="NY4" s="11" t="str">
        <f t="shared" ref="NY4:NY22" si="118">IF(SUM(NK4:NL4,NN4:NP4,NR4)-SUM(NM4,NQ4)&gt;0,SUM(NK4:NL4,NN4:NP4,NR4)-SUM(NM4,NQ4),"")</f>
        <v/>
      </c>
      <c r="NZ4" s="11" t="str">
        <f t="shared" ref="NZ4:NZ22" si="119"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 t="shared" ref="OU4:OU22" si="120">IF(SUM(OB4,OF4)&gt;0,SUM(OB4,OF4),"")</f>
        <v/>
      </c>
      <c r="OV4" s="40" t="str">
        <f t="shared" ref="OV4:OV22" si="121">IF(SUM(OA4:OB4,OD4:OF4,OH4)-OC4-OG4&gt;0,SUM(OA4:OB4,OD4:OF4,OH4)-OC4-OG4,"")</f>
        <v/>
      </c>
      <c r="OW4" s="40" t="str">
        <f t="shared" ref="OW4:OW22" si="122">IF(SUM(OI4:OJ4,OL4)-OK4&gt;0,SUM(OI4:OJ4,OL4)-OK4,"")</f>
        <v/>
      </c>
      <c r="OX4" s="40" t="str">
        <f t="shared" ref="OX4:OX22" si="123">IF(SUM(OB4,OF4,OJ4)&gt;0,SUM(OB4,OF4,OJ4),"")</f>
        <v/>
      </c>
      <c r="OY4" s="40" t="str">
        <f t="shared" ref="OY4:OY22" si="124">IF(SUM(OV4,OW4)&gt;0,SUM(OV4,OW4),"")</f>
        <v/>
      </c>
      <c r="OZ4" s="40" t="str">
        <f t="shared" ref="OZ4:OZ22" si="125">IF(SUM(ON4,OR4)&gt;0,SUM(ON4,OR4),"")</f>
        <v/>
      </c>
      <c r="PA4" s="40" t="str">
        <f t="shared" ref="PA4:PA22" si="126">IF(SUM(OM4:ON4,OP4:OR4,OT4)-SUM(OO4,OS4)&gt;0,SUM(OM4:ON4,OP4:OR4,OT4)-SUM(OO4,OS4),"")</f>
        <v/>
      </c>
      <c r="PB4" s="40" t="str">
        <f t="shared" ref="PB4:PB22" si="127"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22" si="128">IF(SUM(PD4,PH4)&gt;0,SUM(PD4,PH4),"")</f>
        <v/>
      </c>
      <c r="PX4" s="11" t="str">
        <f t="shared" ref="PX4:PX22" si="129">IF(SUM(PC4:PD4,PF4:PH4,PJ4)-PE4-PI4&gt;0,SUM(PC4:PD4,PF4:PH4,PJ4)-PE4-PI4,"")</f>
        <v/>
      </c>
      <c r="PY4" s="11" t="str">
        <f t="shared" ref="PY4:PY22" si="130">IF(SUM(PK4:PL4,PN4)-PM4&gt;0,SUM(PK4:PL4,PN4)-PM4,"")</f>
        <v/>
      </c>
      <c r="PZ4" s="11" t="str">
        <f t="shared" ref="PZ4:PZ22" si="131">IF(SUM(PD4,PH4,PL4)&gt;0,SUM(PD4,PH4,PL4),"")</f>
        <v/>
      </c>
      <c r="QA4" s="11" t="str">
        <f t="shared" ref="QA4:QA22" si="132">IF(SUM(PX4,PY4)&gt;0,SUM(PX4,PY4),"")</f>
        <v/>
      </c>
      <c r="QB4" s="11" t="str">
        <f t="shared" ref="QB4:QB22" si="133">IF(SUM(PP4,PT4)&gt;0,SUM(PP4,PT4),"")</f>
        <v/>
      </c>
      <c r="QC4" s="11" t="str">
        <f t="shared" ref="QC4:QC22" si="134">IF(SUM(PO4:PP4,PR4:PT4,PV4)-SUM(PQ4,PU4)&gt;0,SUM(PO4:PP4,PR4:PT4,PV4)-SUM(PQ4,PU4),"")</f>
        <v/>
      </c>
      <c r="QD4" s="11" t="str">
        <f t="shared" ref="QD4:QD22" si="135">IF(SUM(PX4,PY4,QC4)&gt;0,SUM(PX4,PY4,QC4),"")</f>
        <v/>
      </c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40" t="str">
        <f t="shared" ref="QY4:QY22" si="136">IF(SUM(QF4,QJ4)&gt;0,SUM(QF4,QJ4),"")</f>
        <v/>
      </c>
      <c r="QZ4" s="40" t="str">
        <f t="shared" ref="QZ4:QZ22" si="137">IF(SUM(QE4:QF4,QH4:QJ4,QL4)-QG4-QK4&gt;0,SUM(QE4:QF4,QH4:QJ4,QL4)-QG4-QK4,"")</f>
        <v/>
      </c>
      <c r="RA4" s="40" t="str">
        <f t="shared" ref="RA4:RA22" si="138">IF(SUM(QM4:QN4,QP4)-QO4&gt;0,SUM(QM4:QN4,QP4)-QO4,"")</f>
        <v/>
      </c>
      <c r="RB4" s="40" t="str">
        <f t="shared" ref="RB4:RB22" si="139">IF(SUM(QF4,QJ4,QN4)&gt;0,SUM(QF4,QJ4,QN4),"")</f>
        <v/>
      </c>
      <c r="RC4" s="40" t="str">
        <f t="shared" ref="RC4:RC22" si="140">IF(SUM(QZ4,RA4)&gt;0,SUM(QZ4,RA4),"")</f>
        <v/>
      </c>
      <c r="RD4" s="40" t="str">
        <f t="shared" ref="RD4:RD22" si="141">IF(SUM(QR4,QV4)&gt;0,SUM(QR4,QV4),"")</f>
        <v/>
      </c>
      <c r="RE4" s="40" t="str">
        <f t="shared" ref="RE4:RE22" si="142">IF(SUM(QQ4:QR4,QT4:QV4,QX4)-SUM(QS4,QW4)&gt;0,SUM(QQ4:QR4,QT4:QV4,QX4)-SUM(QS4,QW4),"")</f>
        <v/>
      </c>
      <c r="RF4" s="40" t="str">
        <f t="shared" ref="RF4:RF22" si="143">IF(SUM(QZ4,RA4,RE4)&gt;0,SUM(QZ4,RA4,RE4),"")</f>
        <v/>
      </c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1" t="str">
        <f t="shared" ref="SA4:SA22" si="144">IF(SUM(RH4,RL4)&gt;0,SUM(RH4,RL4),"")</f>
        <v/>
      </c>
      <c r="SB4" s="11" t="str">
        <f t="shared" ref="SB4:SB22" si="145">IF(SUM(RG4:RH4,RJ4:RL4,RN4)-RI4-RM4&gt;0,SUM(RG4:RH4,RJ4:RL4,RN4)-RI4-RM4,"")</f>
        <v/>
      </c>
      <c r="SC4" s="11" t="str">
        <f t="shared" ref="SC4:SC22" si="146">IF(SUM(RO4:RP4,RR4)-RQ4&gt;0,SUM(RO4:RP4,RR4)-RQ4,"")</f>
        <v/>
      </c>
      <c r="SD4" s="11" t="str">
        <f t="shared" ref="SD4:SD22" si="147">IF(SUM(RH4,RL4,RP4)&gt;0,SUM(RH4,RL4,RP4),"")</f>
        <v/>
      </c>
      <c r="SE4" s="11" t="str">
        <f t="shared" ref="SE4:SE22" si="148">IF(SUM(SB4,SC4)&gt;0,SUM(SB4,SC4),"")</f>
        <v/>
      </c>
      <c r="SF4" s="11" t="str">
        <f t="shared" ref="SF4:SF22" si="149">IF(SUM(RT4,RX4)&gt;0,SUM(RT4,RX4),"")</f>
        <v/>
      </c>
      <c r="SG4" s="11" t="str">
        <f t="shared" ref="SG4:SG22" si="150">IF(SUM(RS4:RT4,RV4:RX4,RZ4)-SUM(RU4,RY4)&gt;0,SUM(RS4:RT4,RV4:RX4,RZ4)-SUM(RU4,RY4),"")</f>
        <v/>
      </c>
      <c r="SH4" s="11" t="str">
        <f t="shared" ref="SH4:SH22" si="151">IF(SUM(SB4,SC4,SG4)&gt;0,SUM(SB4,SC4,SG4),"")</f>
        <v/>
      </c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40" t="str">
        <f t="shared" ref="TC4:TC22" si="152">IF(SUM(SJ4,SN4)&gt;0,SUM(SJ4,SN4),"")</f>
        <v/>
      </c>
      <c r="TD4" s="40" t="str">
        <f t="shared" ref="TD4:TD22" si="153">IF(SUM(SI4:SJ4,SL4:SN4,SP4)-SK4-SO4&gt;0,SUM(SI4:SJ4,SL4:SN4,SP4)-SK4-SO4,"")</f>
        <v/>
      </c>
      <c r="TE4" s="40" t="str">
        <f t="shared" ref="TE4:TE22" si="154">IF(SUM(SQ4:SR4,ST4)-SS4&gt;0,SUM(SQ4:SR4,ST4)-SS4,"")</f>
        <v/>
      </c>
      <c r="TF4" s="40" t="str">
        <f t="shared" ref="TF4:TF22" si="155">IF(SUM(SJ4,SN4,SR4)&gt;0,SUM(SJ4,SN4,SR4),"")</f>
        <v/>
      </c>
      <c r="TG4" s="40" t="str">
        <f t="shared" ref="TG4:TG22" si="156">IF(SUM(TD4,TE4)&gt;0,SUM(TD4,TE4),"")</f>
        <v/>
      </c>
      <c r="TH4" s="40" t="str">
        <f t="shared" ref="TH4:TH22" si="157">IF(SUM(SV4,SZ4)&gt;0,SUM(SV4,SZ4),"")</f>
        <v/>
      </c>
      <c r="TI4" s="40" t="str">
        <f t="shared" ref="TI4:TI22" si="158">IF(SUM(SU4:SV4,SX4:SZ4,TB4)-SUM(SW4,TA4)&gt;0,SUM(SU4:SV4,SX4:SZ4,TB4)-SUM(SW4,TA4),"")</f>
        <v/>
      </c>
      <c r="TJ4" s="40" t="str">
        <f t="shared" ref="TJ4:TJ22" si="159">IF(SUM(TD4,TE4,TI4)&gt;0,SUM(TD4,TE4,TI4),"")</f>
        <v/>
      </c>
      <c r="TK4" s="26">
        <f t="shared" ref="TK4:TK22" si="160">IF($CU4="P",CA4,(CA4+AX4)/2)</f>
        <v>18.75</v>
      </c>
      <c r="TL4" s="26">
        <f t="shared" ref="TL4:TL22" si="161">IF($CU4="P",CB4,(CB4+AY4)/2)</f>
        <v>7.2</v>
      </c>
      <c r="TM4" s="26">
        <f t="shared" ref="TM4:TM22" si="162">IF($CU4="P",CC4,(CC4+AZ4)/2)</f>
        <v>0</v>
      </c>
      <c r="TN4" s="26">
        <f t="shared" ref="TN4:TN22" si="163">IF($CU4="P",CD4,(CD4+BA4)/2)</f>
        <v>0.3</v>
      </c>
      <c r="TO4" s="26">
        <f t="shared" ref="TO4:TO22" si="164">IF($CU4="P",CE4,(CE4+BB4)/2)</f>
        <v>18.25</v>
      </c>
      <c r="TP4" s="26">
        <f t="shared" ref="TP4:TP22" si="165">IF($CU4="P",CF4,(CF4+BC4)/2)</f>
        <v>5.6</v>
      </c>
      <c r="TQ4" s="26">
        <f t="shared" ref="TQ4:TQ22" si="166">IF($CU4="P",CG4,(CG4+BD4)/2)</f>
        <v>0.6</v>
      </c>
      <c r="TR4" s="26">
        <f t="shared" ref="TR4:TR22" si="167">IF($CU4="P",CH4,(CH4+BE4)/2)</f>
        <v>0</v>
      </c>
      <c r="TS4" s="26">
        <f t="shared" ref="TS4:TS22" si="168">IF($CU4="P",CI4,(CI4+BF4)/2)</f>
        <v>18.55</v>
      </c>
      <c r="TT4" s="26">
        <f t="shared" ref="TT4:TT22" si="169">IF($CU4="P",CJ4,(CJ4+BG4)/2)</f>
        <v>6.8</v>
      </c>
      <c r="TU4" s="26">
        <f t="shared" ref="TU4:TU22" si="170">IF($CU4="P",CK4,(CK4+BH4)/2)</f>
        <v>0.2</v>
      </c>
      <c r="TV4" s="26">
        <f t="shared" ref="TV4:TV22" si="171">IF($CU4="P",CL4,(CL4+BI4)/2)</f>
        <v>0.3</v>
      </c>
      <c r="TW4" s="26">
        <f t="shared" ref="TW4:TW22" si="172">IF($CU4="P",CM4,(CM4+BJ4)/2)</f>
        <v>18.55</v>
      </c>
      <c r="TX4" s="26">
        <f t="shared" ref="TX4:TX22" si="173">IF($CU4="P",CN4,(CN4+BK4)/2)</f>
        <v>6.8000000000000007</v>
      </c>
      <c r="TY4" s="26">
        <f t="shared" ref="TY4:TY22" si="174">IF($CU4="P",CO4,(CO4+BL4)/2)</f>
        <v>0.2</v>
      </c>
      <c r="TZ4" s="26">
        <f t="shared" ref="TZ4:TZ22" si="175">IF($CU4="P",CP4,(CP4+BM4)/2)</f>
        <v>0.3</v>
      </c>
      <c r="UA4" s="26">
        <f t="shared" ref="UA4:UA22" si="176">IF($CU4="P",CQ4,(CQ4+BN4)/2)</f>
        <v>18.850000000000001</v>
      </c>
      <c r="UB4" s="26">
        <f t="shared" ref="UB4:UB22" si="177">IF($CU4="P",CR4,(CR4+BO4)/2)</f>
        <v>6.8</v>
      </c>
      <c r="UC4" s="26">
        <f t="shared" ref="UC4:UC22" si="178">IF($CU4="P",CS4,(CS4+BP4)/2)</f>
        <v>0</v>
      </c>
      <c r="UD4" s="26">
        <f t="shared" ref="UD4:UD22" si="179">IF($CU4="P",CT4,(CT4+BQ4)/2)</f>
        <v>0.3</v>
      </c>
      <c r="UE4" s="28" t="s">
        <v>53</v>
      </c>
      <c r="UF4" s="11">
        <f t="shared" ref="UF4:UF22" si="180">IF(SUM(TL4,TP4)&gt;0,SUM(TL4,TP4),"")</f>
        <v>12.8</v>
      </c>
      <c r="UG4" s="11">
        <f t="shared" ref="UG4:UG22" si="181">IF(SUM(TK4:TL4,TN4:TP4,TR4)-TM4-TQ4&gt;0,SUM(TK4:TL4,TN4:TP4,TR4)-TM4-TQ4,"")</f>
        <v>49.5</v>
      </c>
      <c r="UH4" s="11">
        <f t="shared" ref="UH4:UH22" si="182">IF(SUM(TS4:TT4,TV4)-TU4&gt;0,SUM(TS4:TT4,TV4)-TU4,"")</f>
        <v>25.450000000000003</v>
      </c>
      <c r="UI4" s="11">
        <f t="shared" ref="UI4:UI22" si="183">IF(SUM(TL4,TP4,TT4)&gt;0,SUM(TL4,TP4,TT4),"")</f>
        <v>19.600000000000001</v>
      </c>
      <c r="UJ4" s="11">
        <f t="shared" ref="UJ4:UJ22" si="184">IF(SUM(UG4,UH4)&gt;0,SUM(UG4,UH4),"")</f>
        <v>74.95</v>
      </c>
      <c r="UK4" s="11">
        <f t="shared" ref="UK4:UK22" si="185">IF(SUM(TX4,UB4)&gt;0,SUM(TX4,UB4),"")</f>
        <v>13.600000000000001</v>
      </c>
      <c r="UL4" s="11">
        <f t="shared" ref="UL4:UL22" si="186">IF(SUM(TW4:TX4,TZ4:UB4,UD4)-SUM(TY4,UC4)&gt;0,SUM(TW4:TX4,TZ4:UB4,UD4)-SUM(TY4,UC4),"")</f>
        <v>51.399999999999991</v>
      </c>
      <c r="UM4" s="11">
        <f t="shared" ref="UM4:UM22" si="187">IF(SUM(UG4,UH4,UL4)&gt;0,SUM(UG4,UH4,UL4),"")</f>
        <v>126.35</v>
      </c>
    </row>
    <row r="5" spans="1:559" x14ac:dyDescent="0.2">
      <c r="A5" s="4" cm="1">
        <f t="array" ref="A5">IF(AND(H5&lt;&gt;"",H5&lt;&gt;"No DD"),SUMPRODUCT((H$4:H$23&lt;&gt;"")*(H$4:H$23&lt;&gt;"No DD")*(E$4:E$23&gt;E5))+1,IF(H5="No DD",SUMPRODUCT((H$4:H$23="No DD")*(E$4:E$23&gt;E5))+1+SUMPRODUCT((H$4:H$23&lt;&gt;"")*(H$4:H$23&lt;&gt;"No DD")),""))</f>
        <v>2</v>
      </c>
      <c r="B5" s="5" t="s">
        <v>187</v>
      </c>
      <c r="C5" s="4" t="s">
        <v>6</v>
      </c>
      <c r="D5" s="4">
        <v>2007</v>
      </c>
      <c r="E5" s="9">
        <f t="shared" si="0"/>
        <v>177.25001257500509</v>
      </c>
      <c r="F5" s="3" t="str">
        <f t="shared" si="1"/>
        <v>P</v>
      </c>
      <c r="G5" s="3" t="str">
        <f t="shared" si="2"/>
        <v>P</v>
      </c>
      <c r="H5" s="36" t="str">
        <f t="shared" si="3"/>
        <v>Excellence</v>
      </c>
      <c r="I5" s="3" t="str">
        <f t="shared" si="4"/>
        <v>P</v>
      </c>
      <c r="J5" s="8">
        <f>IF(COUNT(AQ5,BT5,CW5)&gt;0,LARGE((AQ5,BT5,CW5),1),0)</f>
        <v>51</v>
      </c>
      <c r="K5" s="8" t="str">
        <f t="shared" si="5"/>
        <v>2024 Nationals</v>
      </c>
      <c r="L5" s="8">
        <f>IF(COUNT(AQ5,BT5,CW5)&gt;1,LARGE((AQ5,BT5,CW5),2),0)</f>
        <v>50.65</v>
      </c>
      <c r="M5" s="8" t="str">
        <f t="shared" si="6"/>
        <v>2024 3rd Domestic Trial</v>
      </c>
      <c r="N5" s="8">
        <f>IF(COUNT(AR5,BU5,CX5)&gt;0,LARGE((AR5,BU5,CX5),1),0)</f>
        <v>24.099999999999998</v>
      </c>
      <c r="O5" s="8" t="str">
        <f t="shared" si="7"/>
        <v>2024 Elite Canada</v>
      </c>
      <c r="P5" s="8">
        <f t="shared" si="8"/>
        <v>51.5</v>
      </c>
      <c r="Q5" s="8" t="str">
        <f t="shared" si="9"/>
        <v>2024 Elite Canada</v>
      </c>
      <c r="R5" s="8" t="str">
        <f t="shared" si="10"/>
        <v/>
      </c>
      <c r="S5" s="11" t="str">
        <f t="shared" si="11"/>
        <v/>
      </c>
      <c r="T5" s="8" t="str">
        <f t="shared" si="12"/>
        <v/>
      </c>
      <c r="U5" s="19">
        <v>18.8</v>
      </c>
      <c r="V5" s="19">
        <v>6.8</v>
      </c>
      <c r="W5" s="19">
        <v>0</v>
      </c>
      <c r="X5" s="19">
        <v>0.3</v>
      </c>
      <c r="Y5" s="19">
        <v>18.600000000000001</v>
      </c>
      <c r="Z5" s="19">
        <v>6.4</v>
      </c>
      <c r="AA5" s="19">
        <v>0.6</v>
      </c>
      <c r="AB5" s="19">
        <v>0</v>
      </c>
      <c r="AC5" s="19">
        <v>18.399999999999999</v>
      </c>
      <c r="AD5" s="19">
        <v>6</v>
      </c>
      <c r="AE5" s="19">
        <v>0.6</v>
      </c>
      <c r="AF5" s="19">
        <v>0.3</v>
      </c>
      <c r="AG5" s="19">
        <v>19</v>
      </c>
      <c r="AH5" s="19">
        <v>6.8</v>
      </c>
      <c r="AI5" s="19">
        <v>0</v>
      </c>
      <c r="AJ5" s="19">
        <v>0.3</v>
      </c>
      <c r="AK5" s="19">
        <v>19</v>
      </c>
      <c r="AL5" s="19">
        <v>6.4</v>
      </c>
      <c r="AM5" s="19">
        <v>0</v>
      </c>
      <c r="AN5" s="19">
        <v>0</v>
      </c>
      <c r="AO5" s="27"/>
      <c r="AP5" s="40">
        <f t="shared" si="13"/>
        <v>13.2</v>
      </c>
      <c r="AQ5" s="40">
        <f t="shared" si="14"/>
        <v>50.3</v>
      </c>
      <c r="AR5" s="40">
        <f t="shared" si="15"/>
        <v>24.099999999999998</v>
      </c>
      <c r="AS5" s="40">
        <f t="shared" si="16"/>
        <v>19.2</v>
      </c>
      <c r="AT5" s="40">
        <f t="shared" si="17"/>
        <v>74.399999999999991</v>
      </c>
      <c r="AU5" s="40">
        <f t="shared" si="18"/>
        <v>13.2</v>
      </c>
      <c r="AV5" s="40">
        <f t="shared" si="19"/>
        <v>51.5</v>
      </c>
      <c r="AW5" s="40">
        <f t="shared" si="20"/>
        <v>125.89999999999999</v>
      </c>
      <c r="AX5" s="18">
        <v>19</v>
      </c>
      <c r="AY5" s="18">
        <v>6.8</v>
      </c>
      <c r="AZ5" s="18">
        <v>0</v>
      </c>
      <c r="BA5" s="18">
        <v>0.3</v>
      </c>
      <c r="BB5" s="18">
        <v>18.5</v>
      </c>
      <c r="BC5" s="18">
        <v>6.4</v>
      </c>
      <c r="BD5" s="18">
        <v>0</v>
      </c>
      <c r="BE5" s="18">
        <v>0</v>
      </c>
      <c r="BF5" s="18">
        <v>18.2</v>
      </c>
      <c r="BG5" s="18">
        <v>5.2</v>
      </c>
      <c r="BH5" s="18">
        <v>0.6</v>
      </c>
      <c r="BI5" s="18">
        <v>0.3</v>
      </c>
      <c r="BJ5" s="18">
        <v>18.8</v>
      </c>
      <c r="BK5" s="18">
        <v>6.8</v>
      </c>
      <c r="BL5" s="18">
        <v>0</v>
      </c>
      <c r="BM5" s="18">
        <v>0.3</v>
      </c>
      <c r="BN5" s="18">
        <v>18.899999999999999</v>
      </c>
      <c r="BO5" s="18">
        <v>6.4</v>
      </c>
      <c r="BP5" s="18">
        <v>0</v>
      </c>
      <c r="BQ5" s="18">
        <v>0</v>
      </c>
      <c r="BR5" s="28"/>
      <c r="BS5" s="11">
        <f t="shared" si="21"/>
        <v>13.2</v>
      </c>
      <c r="BT5" s="11">
        <f t="shared" si="22"/>
        <v>51</v>
      </c>
      <c r="BU5" s="11">
        <f t="shared" si="23"/>
        <v>23.099999999999998</v>
      </c>
      <c r="BV5" s="11">
        <f t="shared" si="24"/>
        <v>18.399999999999999</v>
      </c>
      <c r="BW5" s="11">
        <f t="shared" si="25"/>
        <v>74.099999999999994</v>
      </c>
      <c r="BX5" s="11">
        <f t="shared" si="26"/>
        <v>13.2</v>
      </c>
      <c r="BY5" s="11">
        <f t="shared" si="27"/>
        <v>51.199999999999996</v>
      </c>
      <c r="BZ5" s="11">
        <f t="shared" si="28"/>
        <v>125.29999999999998</v>
      </c>
      <c r="CA5" s="19">
        <v>18.899999999999999</v>
      </c>
      <c r="CB5" s="19">
        <v>6.8</v>
      </c>
      <c r="CC5" s="19">
        <v>0</v>
      </c>
      <c r="CD5" s="19">
        <v>0.3</v>
      </c>
      <c r="CE5" s="19">
        <v>18.55</v>
      </c>
      <c r="CF5" s="19">
        <v>6.4</v>
      </c>
      <c r="CG5" s="19">
        <v>0.3</v>
      </c>
      <c r="CH5" s="19">
        <v>0</v>
      </c>
      <c r="CI5" s="19">
        <v>18.299999999999997</v>
      </c>
      <c r="CJ5" s="19">
        <v>5.6</v>
      </c>
      <c r="CK5" s="19">
        <v>0.6</v>
      </c>
      <c r="CL5" s="19">
        <v>0.3</v>
      </c>
      <c r="CM5" s="19">
        <v>18.899999999999999</v>
      </c>
      <c r="CN5" s="19">
        <v>6.8</v>
      </c>
      <c r="CO5" s="19">
        <v>0</v>
      </c>
      <c r="CP5" s="19">
        <v>0.3</v>
      </c>
      <c r="CQ5" s="19">
        <v>18.95</v>
      </c>
      <c r="CR5" s="19">
        <v>6.4</v>
      </c>
      <c r="CS5" s="19">
        <v>0</v>
      </c>
      <c r="CT5" s="19">
        <v>0</v>
      </c>
      <c r="CU5" s="27" t="s">
        <v>53</v>
      </c>
      <c r="CV5" s="40">
        <f t="shared" si="29"/>
        <v>13.2</v>
      </c>
      <c r="CW5" s="40">
        <f t="shared" si="30"/>
        <v>50.65</v>
      </c>
      <c r="CX5" s="40">
        <f t="shared" si="31"/>
        <v>23.599999999999998</v>
      </c>
      <c r="CY5" s="40">
        <f t="shared" si="32"/>
        <v>18.799999999999997</v>
      </c>
      <c r="CZ5" s="40">
        <f t="shared" si="33"/>
        <v>74.25</v>
      </c>
      <c r="DA5" s="40">
        <f t="shared" si="34"/>
        <v>13.2</v>
      </c>
      <c r="DB5" s="40">
        <f t="shared" si="35"/>
        <v>51.35</v>
      </c>
      <c r="DC5" s="40">
        <f t="shared" si="36"/>
        <v>125.6</v>
      </c>
      <c r="DD5" s="51" t="str">
        <f t="shared" si="37"/>
        <v/>
      </c>
      <c r="DE5" s="51" t="str">
        <f t="shared" si="38"/>
        <v/>
      </c>
      <c r="DF5" s="51" t="str">
        <f t="shared" si="39"/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 t="str">
        <f t="shared" si="40"/>
        <v/>
      </c>
      <c r="EB5" s="40" t="str">
        <f t="shared" si="41"/>
        <v/>
      </c>
      <c r="EC5" s="40" t="str">
        <f t="shared" si="42"/>
        <v/>
      </c>
      <c r="ED5" s="40" t="str">
        <f t="shared" si="43"/>
        <v/>
      </c>
      <c r="EE5" s="40" t="str">
        <f t="shared" si="44"/>
        <v/>
      </c>
      <c r="EF5" s="40" t="str">
        <f t="shared" si="45"/>
        <v/>
      </c>
      <c r="EG5" s="40" t="str">
        <f t="shared" si="46"/>
        <v/>
      </c>
      <c r="EH5" s="40" t="str">
        <f t="shared" si="47"/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 t="shared" si="48"/>
        <v/>
      </c>
      <c r="FD5" s="11" t="str">
        <f t="shared" si="49"/>
        <v/>
      </c>
      <c r="FE5" s="11" t="str">
        <f t="shared" si="50"/>
        <v/>
      </c>
      <c r="FF5" s="11" t="str">
        <f t="shared" si="51"/>
        <v/>
      </c>
      <c r="FG5" s="11" t="str">
        <f t="shared" si="52"/>
        <v/>
      </c>
      <c r="FH5" s="11" t="str">
        <f t="shared" si="53"/>
        <v/>
      </c>
      <c r="FI5" s="11" t="str">
        <f t="shared" si="54"/>
        <v/>
      </c>
      <c r="FJ5" s="11" t="str">
        <f t="shared" si="55"/>
        <v/>
      </c>
      <c r="FK5" s="17">
        <v>18.8</v>
      </c>
      <c r="FL5" s="17">
        <v>7.2</v>
      </c>
      <c r="FM5" s="17">
        <v>0</v>
      </c>
      <c r="FN5" s="17">
        <v>0</v>
      </c>
      <c r="FO5" s="17">
        <v>18.600000000000001</v>
      </c>
      <c r="FP5" s="17">
        <v>6</v>
      </c>
      <c r="FQ5" s="17">
        <v>0.2</v>
      </c>
      <c r="FR5" s="17">
        <v>0</v>
      </c>
      <c r="FS5" s="17"/>
      <c r="FT5" s="17"/>
      <c r="FU5" s="17"/>
      <c r="FV5" s="17"/>
      <c r="FW5" s="17">
        <v>19</v>
      </c>
      <c r="FX5" s="17">
        <v>7.2</v>
      </c>
      <c r="FY5" s="17">
        <v>0</v>
      </c>
      <c r="FZ5" s="17">
        <v>0</v>
      </c>
      <c r="GA5" s="17">
        <v>18.600000000000001</v>
      </c>
      <c r="GB5" s="17">
        <v>6</v>
      </c>
      <c r="GC5" s="17">
        <v>0.6</v>
      </c>
      <c r="GD5" s="17">
        <v>0</v>
      </c>
      <c r="GE5" s="40">
        <f t="shared" si="56"/>
        <v>13.2</v>
      </c>
      <c r="GF5" s="40">
        <f t="shared" si="57"/>
        <v>50.4</v>
      </c>
      <c r="GG5" s="40" t="str">
        <f t="shared" si="58"/>
        <v/>
      </c>
      <c r="GH5" s="40">
        <f t="shared" si="59"/>
        <v>13.2</v>
      </c>
      <c r="GI5" s="40">
        <f t="shared" si="60"/>
        <v>50.4</v>
      </c>
      <c r="GJ5" s="40">
        <f t="shared" si="61"/>
        <v>13.2</v>
      </c>
      <c r="GK5" s="40">
        <f t="shared" si="62"/>
        <v>50.199999999999996</v>
      </c>
      <c r="GL5" s="40">
        <f t="shared" si="63"/>
        <v>100.6</v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 t="shared" si="64"/>
        <v/>
      </c>
      <c r="HH5" s="11" t="str">
        <f t="shared" si="65"/>
        <v/>
      </c>
      <c r="HI5" s="11" t="str">
        <f t="shared" si="66"/>
        <v/>
      </c>
      <c r="HJ5" s="11" t="str">
        <f t="shared" si="67"/>
        <v/>
      </c>
      <c r="HK5" s="11" t="str">
        <f t="shared" si="68"/>
        <v/>
      </c>
      <c r="HL5" s="11" t="str">
        <f t="shared" si="69"/>
        <v/>
      </c>
      <c r="HM5" s="11" t="str">
        <f t="shared" si="70"/>
        <v/>
      </c>
      <c r="HN5" s="11" t="str">
        <f t="shared" si="71"/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 t="shared" si="72"/>
        <v/>
      </c>
      <c r="IJ5" s="40" t="str">
        <f t="shared" si="73"/>
        <v/>
      </c>
      <c r="IK5" s="40" t="str">
        <f t="shared" si="74"/>
        <v/>
      </c>
      <c r="IL5" s="40" t="str">
        <f t="shared" si="75"/>
        <v/>
      </c>
      <c r="IM5" s="40" t="str">
        <f t="shared" si="76"/>
        <v/>
      </c>
      <c r="IN5" s="40" t="str">
        <f t="shared" si="77"/>
        <v/>
      </c>
      <c r="IO5" s="40" t="str">
        <f t="shared" si="78"/>
        <v/>
      </c>
      <c r="IP5" s="40" t="str">
        <f t="shared" si="79"/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 t="shared" si="80"/>
        <v/>
      </c>
      <c r="JL5" s="11" t="str">
        <f t="shared" si="81"/>
        <v/>
      </c>
      <c r="JM5" s="11" t="str">
        <f t="shared" si="82"/>
        <v/>
      </c>
      <c r="JN5" s="11" t="str">
        <f t="shared" si="83"/>
        <v/>
      </c>
      <c r="JO5" s="11" t="str">
        <f t="shared" si="84"/>
        <v/>
      </c>
      <c r="JP5" s="11" t="str">
        <f t="shared" si="85"/>
        <v/>
      </c>
      <c r="JQ5" s="11" t="str">
        <f t="shared" si="86"/>
        <v/>
      </c>
      <c r="JR5" s="11" t="str">
        <f t="shared" si="87"/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 t="shared" si="88"/>
        <v/>
      </c>
      <c r="KN5" s="40" t="str">
        <f t="shared" si="89"/>
        <v/>
      </c>
      <c r="KO5" s="40" t="str">
        <f t="shared" si="90"/>
        <v/>
      </c>
      <c r="KP5" s="40" t="str">
        <f t="shared" si="91"/>
        <v/>
      </c>
      <c r="KQ5" s="40" t="str">
        <f t="shared" si="92"/>
        <v/>
      </c>
      <c r="KR5" s="40" t="str">
        <f t="shared" si="93"/>
        <v/>
      </c>
      <c r="KS5" s="40" t="str">
        <f t="shared" si="94"/>
        <v/>
      </c>
      <c r="KT5" s="40" t="str">
        <f t="shared" si="95"/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6"/>
        <v/>
      </c>
      <c r="LP5" s="11" t="str">
        <f t="shared" si="97"/>
        <v/>
      </c>
      <c r="LQ5" s="11" t="str">
        <f t="shared" si="98"/>
        <v/>
      </c>
      <c r="LR5" s="11" t="str">
        <f t="shared" si="99"/>
        <v/>
      </c>
      <c r="LS5" s="11" t="str">
        <f t="shared" si="100"/>
        <v/>
      </c>
      <c r="LT5" s="11" t="str">
        <f t="shared" si="101"/>
        <v/>
      </c>
      <c r="LU5" s="11" t="str">
        <f t="shared" si="102"/>
        <v/>
      </c>
      <c r="LV5" s="11" t="str">
        <f t="shared" si="103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 t="shared" si="104"/>
        <v/>
      </c>
      <c r="MR5" s="40" t="str">
        <f t="shared" si="105"/>
        <v/>
      </c>
      <c r="MS5" s="40" t="str">
        <f t="shared" si="106"/>
        <v/>
      </c>
      <c r="MT5" s="40" t="str">
        <f t="shared" si="107"/>
        <v/>
      </c>
      <c r="MU5" s="40" t="str">
        <f t="shared" si="108"/>
        <v/>
      </c>
      <c r="MV5" s="40" t="str">
        <f t="shared" si="109"/>
        <v/>
      </c>
      <c r="MW5" s="40" t="str">
        <f t="shared" si="110"/>
        <v/>
      </c>
      <c r="MX5" s="40" t="str">
        <f t="shared" si="111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2"/>
        <v/>
      </c>
      <c r="NT5" s="11" t="str">
        <f t="shared" si="113"/>
        <v/>
      </c>
      <c r="NU5" s="11" t="str">
        <f t="shared" si="114"/>
        <v/>
      </c>
      <c r="NV5" s="11" t="str">
        <f t="shared" si="115"/>
        <v/>
      </c>
      <c r="NW5" s="11" t="str">
        <f t="shared" si="116"/>
        <v/>
      </c>
      <c r="NX5" s="11" t="str">
        <f t="shared" si="117"/>
        <v/>
      </c>
      <c r="NY5" s="11" t="str">
        <f t="shared" si="118"/>
        <v/>
      </c>
      <c r="NZ5" s="11" t="str">
        <f t="shared" si="119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 t="shared" si="120"/>
        <v/>
      </c>
      <c r="OV5" s="40" t="str">
        <f t="shared" si="121"/>
        <v/>
      </c>
      <c r="OW5" s="40" t="str">
        <f t="shared" si="122"/>
        <v/>
      </c>
      <c r="OX5" s="40" t="str">
        <f t="shared" si="123"/>
        <v/>
      </c>
      <c r="OY5" s="40" t="str">
        <f t="shared" si="124"/>
        <v/>
      </c>
      <c r="OZ5" s="40" t="str">
        <f t="shared" si="125"/>
        <v/>
      </c>
      <c r="PA5" s="40" t="str">
        <f t="shared" si="126"/>
        <v/>
      </c>
      <c r="PB5" s="40" t="str">
        <f t="shared" si="127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8"/>
        <v/>
      </c>
      <c r="PX5" s="11" t="str">
        <f t="shared" si="129"/>
        <v/>
      </c>
      <c r="PY5" s="11" t="str">
        <f t="shared" si="130"/>
        <v/>
      </c>
      <c r="PZ5" s="11" t="str">
        <f t="shared" si="131"/>
        <v/>
      </c>
      <c r="QA5" s="11" t="str">
        <f t="shared" si="132"/>
        <v/>
      </c>
      <c r="QB5" s="11" t="str">
        <f t="shared" si="133"/>
        <v/>
      </c>
      <c r="QC5" s="11" t="str">
        <f t="shared" si="134"/>
        <v/>
      </c>
      <c r="QD5" s="11" t="str">
        <f t="shared" si="135"/>
        <v/>
      </c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40" t="str">
        <f t="shared" si="136"/>
        <v/>
      </c>
      <c r="QZ5" s="40" t="str">
        <f t="shared" si="137"/>
        <v/>
      </c>
      <c r="RA5" s="40" t="str">
        <f t="shared" si="138"/>
        <v/>
      </c>
      <c r="RB5" s="40" t="str">
        <f t="shared" si="139"/>
        <v/>
      </c>
      <c r="RC5" s="40" t="str">
        <f t="shared" si="140"/>
        <v/>
      </c>
      <c r="RD5" s="40" t="str">
        <f t="shared" si="141"/>
        <v/>
      </c>
      <c r="RE5" s="40" t="str">
        <f t="shared" si="142"/>
        <v/>
      </c>
      <c r="RF5" s="40" t="str">
        <f t="shared" si="143"/>
        <v/>
      </c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1" t="str">
        <f t="shared" si="144"/>
        <v/>
      </c>
      <c r="SB5" s="11" t="str">
        <f t="shared" si="145"/>
        <v/>
      </c>
      <c r="SC5" s="11" t="str">
        <f t="shared" si="146"/>
        <v/>
      </c>
      <c r="SD5" s="11" t="str">
        <f t="shared" si="147"/>
        <v/>
      </c>
      <c r="SE5" s="11" t="str">
        <f t="shared" si="148"/>
        <v/>
      </c>
      <c r="SF5" s="11" t="str">
        <f t="shared" si="149"/>
        <v/>
      </c>
      <c r="SG5" s="11" t="str">
        <f t="shared" si="150"/>
        <v/>
      </c>
      <c r="SH5" s="11" t="str">
        <f t="shared" si="151"/>
        <v/>
      </c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40" t="str">
        <f t="shared" si="152"/>
        <v/>
      </c>
      <c r="TD5" s="40" t="str">
        <f t="shared" si="153"/>
        <v/>
      </c>
      <c r="TE5" s="40" t="str">
        <f t="shared" si="154"/>
        <v/>
      </c>
      <c r="TF5" s="40" t="str">
        <f t="shared" si="155"/>
        <v/>
      </c>
      <c r="TG5" s="40" t="str">
        <f t="shared" si="156"/>
        <v/>
      </c>
      <c r="TH5" s="40" t="str">
        <f t="shared" si="157"/>
        <v/>
      </c>
      <c r="TI5" s="40" t="str">
        <f t="shared" si="158"/>
        <v/>
      </c>
      <c r="TJ5" s="40" t="str">
        <f t="shared" si="159"/>
        <v/>
      </c>
      <c r="TK5" s="26">
        <f t="shared" si="160"/>
        <v>18.899999999999999</v>
      </c>
      <c r="TL5" s="26">
        <f t="shared" si="161"/>
        <v>6.8</v>
      </c>
      <c r="TM5" s="26">
        <f t="shared" si="162"/>
        <v>0</v>
      </c>
      <c r="TN5" s="26">
        <f t="shared" si="163"/>
        <v>0.3</v>
      </c>
      <c r="TO5" s="26">
        <f t="shared" si="164"/>
        <v>18.55</v>
      </c>
      <c r="TP5" s="26">
        <f t="shared" si="165"/>
        <v>6.4</v>
      </c>
      <c r="TQ5" s="26">
        <f t="shared" si="166"/>
        <v>0.3</v>
      </c>
      <c r="TR5" s="26">
        <f t="shared" si="167"/>
        <v>0</v>
      </c>
      <c r="TS5" s="26">
        <f t="shared" si="168"/>
        <v>18.299999999999997</v>
      </c>
      <c r="TT5" s="26">
        <f t="shared" si="169"/>
        <v>5.6</v>
      </c>
      <c r="TU5" s="26">
        <f t="shared" si="170"/>
        <v>0.6</v>
      </c>
      <c r="TV5" s="26">
        <f t="shared" si="171"/>
        <v>0.3</v>
      </c>
      <c r="TW5" s="26">
        <f t="shared" si="172"/>
        <v>18.899999999999999</v>
      </c>
      <c r="TX5" s="26">
        <f t="shared" si="173"/>
        <v>6.8</v>
      </c>
      <c r="TY5" s="26">
        <f t="shared" si="174"/>
        <v>0</v>
      </c>
      <c r="TZ5" s="26">
        <f t="shared" si="175"/>
        <v>0.3</v>
      </c>
      <c r="UA5" s="26">
        <f t="shared" si="176"/>
        <v>18.95</v>
      </c>
      <c r="UB5" s="26">
        <f t="shared" si="177"/>
        <v>6.4</v>
      </c>
      <c r="UC5" s="26">
        <f t="shared" si="178"/>
        <v>0</v>
      </c>
      <c r="UD5" s="26">
        <f t="shared" si="179"/>
        <v>0</v>
      </c>
      <c r="UE5" s="28" t="s">
        <v>53</v>
      </c>
      <c r="UF5" s="11">
        <f t="shared" si="180"/>
        <v>13.2</v>
      </c>
      <c r="UG5" s="11">
        <f t="shared" si="181"/>
        <v>50.65</v>
      </c>
      <c r="UH5" s="11">
        <f t="shared" si="182"/>
        <v>23.599999999999998</v>
      </c>
      <c r="UI5" s="11">
        <f t="shared" si="183"/>
        <v>18.799999999999997</v>
      </c>
      <c r="UJ5" s="11">
        <f t="shared" si="184"/>
        <v>74.25</v>
      </c>
      <c r="UK5" s="11">
        <f t="shared" si="185"/>
        <v>13.2</v>
      </c>
      <c r="UL5" s="11">
        <f t="shared" si="186"/>
        <v>51.35</v>
      </c>
      <c r="UM5" s="11">
        <f t="shared" si="187"/>
        <v>125.6</v>
      </c>
    </row>
    <row r="6" spans="1:559" x14ac:dyDescent="0.2">
      <c r="A6" s="4" cm="1">
        <f t="array" ref="A6">IF(AND(H6&lt;&gt;"",H6&lt;&gt;"No DD"),SUMPRODUCT((H$4:H$23&lt;&gt;"")*(H$4:H$23&lt;&gt;"No DD")*(E$4:E$23&gt;E6))+1,IF(H6="No DD",SUMPRODUCT((H$4:H$23="No DD")*(E$4:E$23&gt;E6))+1+SUMPRODUCT((H$4:H$23&lt;&gt;"")*(H$4:H$23&lt;&gt;"No DD")),""))</f>
        <v>3</v>
      </c>
      <c r="B6" s="5" t="s">
        <v>90</v>
      </c>
      <c r="C6" s="4" t="s">
        <v>5</v>
      </c>
      <c r="D6" s="4">
        <v>1999</v>
      </c>
      <c r="E6" s="9">
        <f t="shared" si="0"/>
        <v>173.7000123200049</v>
      </c>
      <c r="F6" s="3" t="str">
        <f t="shared" si="1"/>
        <v>P</v>
      </c>
      <c r="G6" s="3" t="str">
        <f t="shared" si="2"/>
        <v>P</v>
      </c>
      <c r="H6" s="36" t="str">
        <f t="shared" si="3"/>
        <v>Excellence</v>
      </c>
      <c r="I6" s="3" t="str">
        <f t="shared" si="4"/>
        <v>P</v>
      </c>
      <c r="J6" s="8">
        <f>IF(COUNT(AQ6,BT6,CW6)&gt;0,LARGE((AQ6,BT6,CW6),1),0)</f>
        <v>49.3</v>
      </c>
      <c r="K6" s="8" t="str">
        <f t="shared" si="5"/>
        <v>2024 3rd Domestic Trial</v>
      </c>
      <c r="L6" s="8">
        <f>IF(COUNT(AQ6,BT6,CW6)&gt;1,LARGE((AQ6,BT6,CW6),2),0)</f>
        <v>49.099999999999994</v>
      </c>
      <c r="M6" s="8" t="str">
        <f t="shared" si="6"/>
        <v>2024 Elite Canada</v>
      </c>
      <c r="N6" s="8">
        <f>IF(COUNT(AR6,BU6,CX6)&gt;0,LARGE((AR6,BU6,CX6),1),0)</f>
        <v>24.8</v>
      </c>
      <c r="O6" s="8" t="str">
        <f t="shared" si="7"/>
        <v>2024 Nationals</v>
      </c>
      <c r="P6" s="8">
        <f t="shared" si="8"/>
        <v>50.400000000000006</v>
      </c>
      <c r="Q6" s="8" t="str">
        <f t="shared" si="9"/>
        <v>2024 3rd Domestic Trial</v>
      </c>
      <c r="R6" s="8">
        <f t="shared" si="10"/>
        <v>0.10000000000000142</v>
      </c>
      <c r="S6" s="11" t="str">
        <f t="shared" si="11"/>
        <v>(Q1)</v>
      </c>
      <c r="T6" s="8" t="str">
        <f t="shared" si="12"/>
        <v>2024 World Cup POR (July 7)</v>
      </c>
      <c r="U6" s="19">
        <v>18.8</v>
      </c>
      <c r="V6" s="19">
        <v>6.1999999999999993</v>
      </c>
      <c r="W6" s="19">
        <v>0.3</v>
      </c>
      <c r="X6" s="19">
        <v>0.15</v>
      </c>
      <c r="Y6" s="19">
        <v>18</v>
      </c>
      <c r="Z6" s="19">
        <v>6.1999999999999993</v>
      </c>
      <c r="AA6" s="19">
        <v>0.1</v>
      </c>
      <c r="AB6" s="19">
        <v>0.15</v>
      </c>
      <c r="AC6" s="19">
        <v>18.8</v>
      </c>
      <c r="AD6" s="19">
        <v>6.2</v>
      </c>
      <c r="AE6" s="19">
        <v>0.4</v>
      </c>
      <c r="AF6" s="19">
        <v>0.15</v>
      </c>
      <c r="AG6" s="19">
        <v>18.600000000000001</v>
      </c>
      <c r="AH6" s="19">
        <v>6</v>
      </c>
      <c r="AI6" s="19">
        <v>0.3</v>
      </c>
      <c r="AJ6" s="19">
        <v>0.3</v>
      </c>
      <c r="AK6" s="19">
        <v>18.8</v>
      </c>
      <c r="AL6" s="19">
        <v>6.4</v>
      </c>
      <c r="AM6" s="19">
        <v>0.5</v>
      </c>
      <c r="AN6" s="19">
        <v>0.15</v>
      </c>
      <c r="AO6" s="27" t="s">
        <v>53</v>
      </c>
      <c r="AP6" s="40">
        <f t="shared" si="13"/>
        <v>12.399999999999999</v>
      </c>
      <c r="AQ6" s="40">
        <f t="shared" si="14"/>
        <v>49.099999999999994</v>
      </c>
      <c r="AR6" s="40">
        <f t="shared" si="15"/>
        <v>24.75</v>
      </c>
      <c r="AS6" s="40">
        <f t="shared" si="16"/>
        <v>18.599999999999998</v>
      </c>
      <c r="AT6" s="40">
        <f t="shared" si="17"/>
        <v>73.849999999999994</v>
      </c>
      <c r="AU6" s="40">
        <f t="shared" si="18"/>
        <v>12.4</v>
      </c>
      <c r="AV6" s="40">
        <f t="shared" si="19"/>
        <v>49.45</v>
      </c>
      <c r="AW6" s="40">
        <f t="shared" si="20"/>
        <v>123.3</v>
      </c>
      <c r="AX6" s="18">
        <v>17.600000000000001</v>
      </c>
      <c r="AY6" s="18">
        <v>4</v>
      </c>
      <c r="AZ6" s="18">
        <v>0</v>
      </c>
      <c r="BA6" s="18">
        <v>0.3</v>
      </c>
      <c r="BB6" s="18">
        <v>17.5</v>
      </c>
      <c r="BC6" s="18">
        <v>2.8</v>
      </c>
      <c r="BD6" s="18">
        <v>0</v>
      </c>
      <c r="BE6" s="18">
        <v>0</v>
      </c>
      <c r="BF6" s="18">
        <v>18.8</v>
      </c>
      <c r="BG6" s="18">
        <v>6</v>
      </c>
      <c r="BH6" s="18">
        <v>0</v>
      </c>
      <c r="BI6" s="18">
        <v>0</v>
      </c>
      <c r="BJ6" s="18"/>
      <c r="BK6" s="18"/>
      <c r="BL6" s="18"/>
      <c r="BM6" s="18"/>
      <c r="BN6" s="18"/>
      <c r="BO6" s="18"/>
      <c r="BP6" s="18"/>
      <c r="BQ6" s="18"/>
      <c r="BR6" s="28"/>
      <c r="BS6" s="11">
        <f t="shared" si="21"/>
        <v>6.8</v>
      </c>
      <c r="BT6" s="11">
        <f t="shared" si="22"/>
        <v>42.2</v>
      </c>
      <c r="BU6" s="11">
        <f t="shared" si="23"/>
        <v>24.8</v>
      </c>
      <c r="BV6" s="11">
        <f t="shared" si="24"/>
        <v>12.8</v>
      </c>
      <c r="BW6" s="11">
        <f t="shared" si="25"/>
        <v>67</v>
      </c>
      <c r="BX6" s="11" t="str">
        <f t="shared" si="26"/>
        <v/>
      </c>
      <c r="BY6" s="11" t="str">
        <f t="shared" si="27"/>
        <v/>
      </c>
      <c r="BZ6" s="11">
        <f t="shared" si="28"/>
        <v>67</v>
      </c>
      <c r="CA6" s="19">
        <v>18.5</v>
      </c>
      <c r="CB6" s="19">
        <v>6</v>
      </c>
      <c r="CC6" s="19">
        <v>0.6</v>
      </c>
      <c r="CD6" s="19">
        <v>0.3</v>
      </c>
      <c r="CE6" s="19">
        <v>18.899999999999999</v>
      </c>
      <c r="CF6" s="19">
        <v>6.4</v>
      </c>
      <c r="CG6" s="19">
        <v>0.2</v>
      </c>
      <c r="CH6" s="19">
        <v>0</v>
      </c>
      <c r="CI6" s="19">
        <v>18.7</v>
      </c>
      <c r="CJ6" s="19">
        <v>6</v>
      </c>
      <c r="CK6" s="19">
        <v>0</v>
      </c>
      <c r="CL6" s="19">
        <v>0</v>
      </c>
      <c r="CM6" s="19">
        <v>19.2</v>
      </c>
      <c r="CN6" s="19">
        <v>6.4</v>
      </c>
      <c r="CO6" s="19">
        <v>0</v>
      </c>
      <c r="CP6" s="19">
        <v>0</v>
      </c>
      <c r="CQ6" s="19">
        <v>18.8</v>
      </c>
      <c r="CR6" s="19">
        <v>6</v>
      </c>
      <c r="CS6" s="19">
        <v>0</v>
      </c>
      <c r="CT6" s="19">
        <v>0</v>
      </c>
      <c r="CU6" s="27"/>
      <c r="CV6" s="40">
        <f t="shared" si="29"/>
        <v>12.4</v>
      </c>
      <c r="CW6" s="40">
        <f t="shared" si="30"/>
        <v>49.3</v>
      </c>
      <c r="CX6" s="40">
        <f t="shared" si="31"/>
        <v>24.7</v>
      </c>
      <c r="CY6" s="40">
        <f t="shared" si="32"/>
        <v>18.399999999999999</v>
      </c>
      <c r="CZ6" s="40">
        <f t="shared" si="33"/>
        <v>74</v>
      </c>
      <c r="DA6" s="40">
        <f t="shared" si="34"/>
        <v>12.4</v>
      </c>
      <c r="DB6" s="40">
        <f t="shared" si="35"/>
        <v>50.400000000000006</v>
      </c>
      <c r="DC6" s="40">
        <f t="shared" si="36"/>
        <v>124.4</v>
      </c>
      <c r="DD6" s="51">
        <f t="shared" si="37"/>
        <v>0.10000000000000142</v>
      </c>
      <c r="DE6" s="51" t="str">
        <f t="shared" si="38"/>
        <v/>
      </c>
      <c r="DF6" s="51" t="str">
        <f t="shared" si="39"/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>
        <v>18.7</v>
      </c>
      <c r="DT6" s="17">
        <v>6</v>
      </c>
      <c r="DU6" s="17">
        <v>0</v>
      </c>
      <c r="DV6" s="17">
        <v>0</v>
      </c>
      <c r="DW6" s="17">
        <v>18.8</v>
      </c>
      <c r="DX6" s="17">
        <v>5.6</v>
      </c>
      <c r="DY6" s="17">
        <v>0</v>
      </c>
      <c r="DZ6" s="17">
        <v>0</v>
      </c>
      <c r="EA6" s="40" t="str">
        <f t="shared" si="40"/>
        <v/>
      </c>
      <c r="EB6" s="40" t="str">
        <f t="shared" si="41"/>
        <v/>
      </c>
      <c r="EC6" s="40" t="str">
        <f t="shared" si="42"/>
        <v/>
      </c>
      <c r="ED6" s="40" t="str">
        <f t="shared" si="43"/>
        <v/>
      </c>
      <c r="EE6" s="40" t="str">
        <f t="shared" si="44"/>
        <v/>
      </c>
      <c r="EF6" s="40">
        <f t="shared" si="45"/>
        <v>11.6</v>
      </c>
      <c r="EG6" s="40">
        <f t="shared" si="46"/>
        <v>49.1</v>
      </c>
      <c r="EH6" s="40">
        <f t="shared" si="47"/>
        <v>49.1</v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 t="shared" si="48"/>
        <v/>
      </c>
      <c r="FD6" s="11" t="str">
        <f t="shared" si="49"/>
        <v/>
      </c>
      <c r="FE6" s="11" t="str">
        <f t="shared" si="50"/>
        <v/>
      </c>
      <c r="FF6" s="11" t="str">
        <f t="shared" si="51"/>
        <v/>
      </c>
      <c r="FG6" s="11" t="str">
        <f t="shared" si="52"/>
        <v/>
      </c>
      <c r="FH6" s="11" t="str">
        <f t="shared" si="53"/>
        <v/>
      </c>
      <c r="FI6" s="11" t="str">
        <f t="shared" si="54"/>
        <v/>
      </c>
      <c r="FJ6" s="11" t="str">
        <f t="shared" si="55"/>
        <v/>
      </c>
      <c r="FK6" s="17">
        <v>19</v>
      </c>
      <c r="FL6" s="17">
        <v>6.4</v>
      </c>
      <c r="FM6" s="17">
        <v>0</v>
      </c>
      <c r="FN6" s="17">
        <v>0</v>
      </c>
      <c r="FO6" s="17">
        <v>18.399999999999999</v>
      </c>
      <c r="FP6" s="17">
        <v>6</v>
      </c>
      <c r="FQ6" s="17">
        <v>0.6</v>
      </c>
      <c r="FR6" s="17">
        <v>0</v>
      </c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>
        <f t="shared" si="56"/>
        <v>12.4</v>
      </c>
      <c r="GF6" s="40">
        <f t="shared" si="57"/>
        <v>49.199999999999996</v>
      </c>
      <c r="GG6" s="40" t="str">
        <f t="shared" si="58"/>
        <v/>
      </c>
      <c r="GH6" s="40">
        <f t="shared" si="59"/>
        <v>12.4</v>
      </c>
      <c r="GI6" s="40">
        <f t="shared" si="60"/>
        <v>49.199999999999996</v>
      </c>
      <c r="GJ6" s="40" t="str">
        <f t="shared" si="61"/>
        <v/>
      </c>
      <c r="GK6" s="40" t="str">
        <f t="shared" si="62"/>
        <v/>
      </c>
      <c r="GL6" s="40">
        <f t="shared" si="63"/>
        <v>49.199999999999996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 t="shared" si="64"/>
        <v/>
      </c>
      <c r="HH6" s="11" t="str">
        <f t="shared" si="65"/>
        <v/>
      </c>
      <c r="HI6" s="11" t="str">
        <f t="shared" si="66"/>
        <v/>
      </c>
      <c r="HJ6" s="11" t="str">
        <f t="shared" si="67"/>
        <v/>
      </c>
      <c r="HK6" s="11" t="str">
        <f t="shared" si="68"/>
        <v/>
      </c>
      <c r="HL6" s="11" t="str">
        <f t="shared" si="69"/>
        <v/>
      </c>
      <c r="HM6" s="11" t="str">
        <f t="shared" si="70"/>
        <v/>
      </c>
      <c r="HN6" s="11" t="str">
        <f t="shared" si="71"/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 t="shared" si="72"/>
        <v/>
      </c>
      <c r="IJ6" s="40" t="str">
        <f t="shared" si="73"/>
        <v/>
      </c>
      <c r="IK6" s="40" t="str">
        <f t="shared" si="74"/>
        <v/>
      </c>
      <c r="IL6" s="40" t="str">
        <f t="shared" si="75"/>
        <v/>
      </c>
      <c r="IM6" s="40" t="str">
        <f t="shared" si="76"/>
        <v/>
      </c>
      <c r="IN6" s="40" t="str">
        <f t="shared" si="77"/>
        <v/>
      </c>
      <c r="IO6" s="40" t="str">
        <f t="shared" si="78"/>
        <v/>
      </c>
      <c r="IP6" s="40" t="str">
        <f t="shared" si="79"/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 t="shared" si="80"/>
        <v/>
      </c>
      <c r="JL6" s="11" t="str">
        <f t="shared" si="81"/>
        <v/>
      </c>
      <c r="JM6" s="11" t="str">
        <f t="shared" si="82"/>
        <v/>
      </c>
      <c r="JN6" s="11" t="str">
        <f t="shared" si="83"/>
        <v/>
      </c>
      <c r="JO6" s="11" t="str">
        <f t="shared" si="84"/>
        <v/>
      </c>
      <c r="JP6" s="11" t="str">
        <f t="shared" si="85"/>
        <v/>
      </c>
      <c r="JQ6" s="11" t="str">
        <f t="shared" si="86"/>
        <v/>
      </c>
      <c r="JR6" s="11" t="str">
        <f t="shared" si="87"/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 t="shared" si="88"/>
        <v/>
      </c>
      <c r="KN6" s="40" t="str">
        <f t="shared" si="89"/>
        <v/>
      </c>
      <c r="KO6" s="40" t="str">
        <f t="shared" si="90"/>
        <v/>
      </c>
      <c r="KP6" s="40" t="str">
        <f t="shared" si="91"/>
        <v/>
      </c>
      <c r="KQ6" s="40" t="str">
        <f t="shared" si="92"/>
        <v/>
      </c>
      <c r="KR6" s="40" t="str">
        <f t="shared" si="93"/>
        <v/>
      </c>
      <c r="KS6" s="40" t="str">
        <f t="shared" si="94"/>
        <v/>
      </c>
      <c r="KT6" s="40" t="str">
        <f t="shared" si="95"/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6"/>
        <v/>
      </c>
      <c r="LP6" s="11" t="str">
        <f t="shared" si="97"/>
        <v/>
      </c>
      <c r="LQ6" s="11" t="str">
        <f t="shared" si="98"/>
        <v/>
      </c>
      <c r="LR6" s="11" t="str">
        <f t="shared" si="99"/>
        <v/>
      </c>
      <c r="LS6" s="11" t="str">
        <f t="shared" si="100"/>
        <v/>
      </c>
      <c r="LT6" s="11" t="str">
        <f t="shared" si="101"/>
        <v/>
      </c>
      <c r="LU6" s="11" t="str">
        <f t="shared" si="102"/>
        <v/>
      </c>
      <c r="LV6" s="11" t="str">
        <f t="shared" si="103"/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 t="shared" si="104"/>
        <v/>
      </c>
      <c r="MR6" s="40" t="str">
        <f t="shared" si="105"/>
        <v/>
      </c>
      <c r="MS6" s="40" t="str">
        <f t="shared" si="106"/>
        <v/>
      </c>
      <c r="MT6" s="40" t="str">
        <f t="shared" si="107"/>
        <v/>
      </c>
      <c r="MU6" s="40" t="str">
        <f t="shared" si="108"/>
        <v/>
      </c>
      <c r="MV6" s="40" t="str">
        <f t="shared" si="109"/>
        <v/>
      </c>
      <c r="MW6" s="40" t="str">
        <f t="shared" si="110"/>
        <v/>
      </c>
      <c r="MX6" s="40" t="str">
        <f t="shared" si="111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2"/>
        <v/>
      </c>
      <c r="NT6" s="11" t="str">
        <f t="shared" si="113"/>
        <v/>
      </c>
      <c r="NU6" s="11" t="str">
        <f t="shared" si="114"/>
        <v/>
      </c>
      <c r="NV6" s="11" t="str">
        <f t="shared" si="115"/>
        <v/>
      </c>
      <c r="NW6" s="11" t="str">
        <f t="shared" si="116"/>
        <v/>
      </c>
      <c r="NX6" s="11" t="str">
        <f t="shared" si="117"/>
        <v/>
      </c>
      <c r="NY6" s="11" t="str">
        <f t="shared" si="118"/>
        <v/>
      </c>
      <c r="NZ6" s="11" t="str">
        <f t="shared" si="119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 t="shared" si="120"/>
        <v/>
      </c>
      <c r="OV6" s="40" t="str">
        <f t="shared" si="121"/>
        <v/>
      </c>
      <c r="OW6" s="40" t="str">
        <f t="shared" si="122"/>
        <v/>
      </c>
      <c r="OX6" s="40" t="str">
        <f t="shared" si="123"/>
        <v/>
      </c>
      <c r="OY6" s="40" t="str">
        <f t="shared" si="124"/>
        <v/>
      </c>
      <c r="OZ6" s="40" t="str">
        <f t="shared" si="125"/>
        <v/>
      </c>
      <c r="PA6" s="40" t="str">
        <f t="shared" si="126"/>
        <v/>
      </c>
      <c r="PB6" s="40" t="str">
        <f t="shared" si="127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8"/>
        <v/>
      </c>
      <c r="PX6" s="11" t="str">
        <f t="shared" si="129"/>
        <v/>
      </c>
      <c r="PY6" s="11" t="str">
        <f t="shared" si="130"/>
        <v/>
      </c>
      <c r="PZ6" s="11" t="str">
        <f t="shared" si="131"/>
        <v/>
      </c>
      <c r="QA6" s="11" t="str">
        <f t="shared" si="132"/>
        <v/>
      </c>
      <c r="QB6" s="11" t="str">
        <f t="shared" si="133"/>
        <v/>
      </c>
      <c r="QC6" s="11" t="str">
        <f t="shared" si="134"/>
        <v/>
      </c>
      <c r="QD6" s="11" t="str">
        <f t="shared" si="135"/>
        <v/>
      </c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40" t="str">
        <f t="shared" si="136"/>
        <v/>
      </c>
      <c r="QZ6" s="40" t="str">
        <f t="shared" si="137"/>
        <v/>
      </c>
      <c r="RA6" s="40" t="str">
        <f t="shared" si="138"/>
        <v/>
      </c>
      <c r="RB6" s="40" t="str">
        <f t="shared" si="139"/>
        <v/>
      </c>
      <c r="RC6" s="40" t="str">
        <f t="shared" si="140"/>
        <v/>
      </c>
      <c r="RD6" s="40" t="str">
        <f t="shared" si="141"/>
        <v/>
      </c>
      <c r="RE6" s="40" t="str">
        <f t="shared" si="142"/>
        <v/>
      </c>
      <c r="RF6" s="40" t="str">
        <f t="shared" si="143"/>
        <v/>
      </c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1" t="str">
        <f t="shared" si="144"/>
        <v/>
      </c>
      <c r="SB6" s="11" t="str">
        <f t="shared" si="145"/>
        <v/>
      </c>
      <c r="SC6" s="11" t="str">
        <f t="shared" si="146"/>
        <v/>
      </c>
      <c r="SD6" s="11" t="str">
        <f t="shared" si="147"/>
        <v/>
      </c>
      <c r="SE6" s="11" t="str">
        <f t="shared" si="148"/>
        <v/>
      </c>
      <c r="SF6" s="11" t="str">
        <f t="shared" si="149"/>
        <v/>
      </c>
      <c r="SG6" s="11" t="str">
        <f t="shared" si="150"/>
        <v/>
      </c>
      <c r="SH6" s="11" t="str">
        <f t="shared" si="151"/>
        <v/>
      </c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40" t="str">
        <f t="shared" si="152"/>
        <v/>
      </c>
      <c r="TD6" s="40" t="str">
        <f t="shared" si="153"/>
        <v/>
      </c>
      <c r="TE6" s="40" t="str">
        <f t="shared" si="154"/>
        <v/>
      </c>
      <c r="TF6" s="40" t="str">
        <f t="shared" si="155"/>
        <v/>
      </c>
      <c r="TG6" s="40" t="str">
        <f t="shared" si="156"/>
        <v/>
      </c>
      <c r="TH6" s="40" t="str">
        <f t="shared" si="157"/>
        <v/>
      </c>
      <c r="TI6" s="40" t="str">
        <f t="shared" si="158"/>
        <v/>
      </c>
      <c r="TJ6" s="40" t="str">
        <f t="shared" si="159"/>
        <v/>
      </c>
      <c r="TK6" s="26">
        <f t="shared" si="160"/>
        <v>18.05</v>
      </c>
      <c r="TL6" s="26">
        <f t="shared" si="161"/>
        <v>5</v>
      </c>
      <c r="TM6" s="26">
        <f t="shared" si="162"/>
        <v>0.3</v>
      </c>
      <c r="TN6" s="26">
        <f t="shared" si="163"/>
        <v>0.3</v>
      </c>
      <c r="TO6" s="26">
        <f t="shared" si="164"/>
        <v>18.2</v>
      </c>
      <c r="TP6" s="26">
        <f t="shared" si="165"/>
        <v>4.5999999999999996</v>
      </c>
      <c r="TQ6" s="26">
        <f t="shared" si="166"/>
        <v>0.1</v>
      </c>
      <c r="TR6" s="26">
        <f t="shared" si="167"/>
        <v>0</v>
      </c>
      <c r="TS6" s="26">
        <f t="shared" si="168"/>
        <v>18.75</v>
      </c>
      <c r="TT6" s="26">
        <f t="shared" si="169"/>
        <v>6</v>
      </c>
      <c r="TU6" s="26">
        <f t="shared" si="170"/>
        <v>0</v>
      </c>
      <c r="TV6" s="26">
        <f t="shared" si="171"/>
        <v>0</v>
      </c>
      <c r="TW6" s="26">
        <f t="shared" si="172"/>
        <v>9.6</v>
      </c>
      <c r="TX6" s="26">
        <f t="shared" si="173"/>
        <v>3.2</v>
      </c>
      <c r="TY6" s="26">
        <f t="shared" si="174"/>
        <v>0</v>
      </c>
      <c r="TZ6" s="26">
        <f t="shared" si="175"/>
        <v>0</v>
      </c>
      <c r="UA6" s="26">
        <f t="shared" si="176"/>
        <v>9.4</v>
      </c>
      <c r="UB6" s="26">
        <f t="shared" si="177"/>
        <v>3</v>
      </c>
      <c r="UC6" s="26">
        <f t="shared" si="178"/>
        <v>0</v>
      </c>
      <c r="UD6" s="26">
        <f t="shared" si="179"/>
        <v>0</v>
      </c>
      <c r="UE6" s="28" t="s">
        <v>53</v>
      </c>
      <c r="UF6" s="11">
        <f t="shared" si="180"/>
        <v>9.6</v>
      </c>
      <c r="UG6" s="11">
        <f t="shared" si="181"/>
        <v>45.75</v>
      </c>
      <c r="UH6" s="11">
        <f t="shared" si="182"/>
        <v>24.75</v>
      </c>
      <c r="UI6" s="11">
        <f t="shared" si="183"/>
        <v>15.6</v>
      </c>
      <c r="UJ6" s="11">
        <f t="shared" si="184"/>
        <v>70.5</v>
      </c>
      <c r="UK6" s="11">
        <f t="shared" si="185"/>
        <v>6.2</v>
      </c>
      <c r="UL6" s="11">
        <f t="shared" si="186"/>
        <v>25.200000000000003</v>
      </c>
      <c r="UM6" s="11">
        <f t="shared" si="187"/>
        <v>95.7</v>
      </c>
    </row>
    <row r="7" spans="1:559" x14ac:dyDescent="0.2">
      <c r="A7" s="4" cm="1">
        <f t="array" ref="A7">IF(AND(H7&lt;&gt;"",H7&lt;&gt;"No DD"),SUMPRODUCT((H$4:H$23&lt;&gt;"")*(H$4:H$23&lt;&gt;"No DD")*(E$4:E$23&gt;E7))+1,IF(H7="No DD",SUMPRODUCT((H$4:H$23="No DD")*(E$4:E$23&gt;E7))+1+SUMPRODUCT((H$4:H$23&lt;&gt;"")*(H$4:H$23&lt;&gt;"No DD")),""))</f>
        <v>4</v>
      </c>
      <c r="B7" s="5" t="s">
        <v>89</v>
      </c>
      <c r="C7" s="4" t="s">
        <v>6</v>
      </c>
      <c r="D7" s="4">
        <v>2004</v>
      </c>
      <c r="E7" s="9">
        <f t="shared" si="0"/>
        <v>171.00001218000497</v>
      </c>
      <c r="F7" s="3" t="str">
        <f t="shared" si="1"/>
        <v>P</v>
      </c>
      <c r="G7" s="3" t="str">
        <f t="shared" si="2"/>
        <v>P</v>
      </c>
      <c r="H7" s="36" t="str">
        <f t="shared" si="3"/>
        <v>Excellence</v>
      </c>
      <c r="I7" s="3" t="str">
        <f t="shared" si="4"/>
        <v>P</v>
      </c>
      <c r="J7" s="8">
        <f>IF(COUNT(AQ7,BT7,CW7)&gt;0,LARGE((AQ7,BT7,CW7),1),0)</f>
        <v>49.699999999999996</v>
      </c>
      <c r="K7" s="8" t="str">
        <f t="shared" si="5"/>
        <v>2024 Elite Canada</v>
      </c>
      <c r="L7" s="8">
        <f>IF(COUNT(AQ7,BT7,CW7)&gt;1,LARGE((AQ7,BT7,CW7),2),0)</f>
        <v>48</v>
      </c>
      <c r="M7" s="8" t="str">
        <f t="shared" si="6"/>
        <v>2024 Nationals</v>
      </c>
      <c r="N7" s="8">
        <f>IF(COUNT(AR7,BU7,CX7)&gt;0,LARGE((AR7,BU7,CX7),1),0)</f>
        <v>24.1</v>
      </c>
      <c r="O7" s="8" t="str">
        <f t="shared" si="7"/>
        <v>2024 3rd Domestic Trial</v>
      </c>
      <c r="P7" s="8">
        <f t="shared" si="8"/>
        <v>47.5</v>
      </c>
      <c r="Q7" s="8" t="str">
        <f t="shared" si="9"/>
        <v>2024 Elite Canada</v>
      </c>
      <c r="R7" s="8">
        <f t="shared" si="10"/>
        <v>1.7000000000000028</v>
      </c>
      <c r="S7" s="11" t="str">
        <f t="shared" si="11"/>
        <v>(Q1)</v>
      </c>
      <c r="T7" s="8" t="str">
        <f t="shared" si="12"/>
        <v>2024 World Cup POR (July 7)</v>
      </c>
      <c r="U7" s="19">
        <v>18.600000000000001</v>
      </c>
      <c r="V7" s="19">
        <v>6.4</v>
      </c>
      <c r="W7" s="19">
        <v>0.8</v>
      </c>
      <c r="X7" s="19">
        <v>0</v>
      </c>
      <c r="Y7" s="19">
        <v>18.600000000000001</v>
      </c>
      <c r="Z7" s="19">
        <v>6.8</v>
      </c>
      <c r="AA7" s="19">
        <v>0.2</v>
      </c>
      <c r="AB7" s="19">
        <v>0.3</v>
      </c>
      <c r="AC7" s="19">
        <v>18.8</v>
      </c>
      <c r="AD7" s="19">
        <v>5.6</v>
      </c>
      <c r="AE7" s="19">
        <v>0.6</v>
      </c>
      <c r="AF7" s="19">
        <v>0</v>
      </c>
      <c r="AG7" s="19">
        <v>18</v>
      </c>
      <c r="AH7" s="19">
        <v>5.6</v>
      </c>
      <c r="AI7" s="19">
        <v>0.8</v>
      </c>
      <c r="AJ7" s="19">
        <v>0</v>
      </c>
      <c r="AK7" s="19">
        <v>18.399999999999999</v>
      </c>
      <c r="AL7" s="19">
        <v>6</v>
      </c>
      <c r="AM7" s="19">
        <v>0</v>
      </c>
      <c r="AN7" s="19">
        <v>0.3</v>
      </c>
      <c r="AO7" s="27"/>
      <c r="AP7" s="40">
        <f t="shared" si="13"/>
        <v>13.2</v>
      </c>
      <c r="AQ7" s="40">
        <f t="shared" si="14"/>
        <v>49.699999999999996</v>
      </c>
      <c r="AR7" s="40">
        <f t="shared" si="15"/>
        <v>23.799999999999997</v>
      </c>
      <c r="AS7" s="40">
        <f t="shared" si="16"/>
        <v>18.799999999999997</v>
      </c>
      <c r="AT7" s="40">
        <f t="shared" si="17"/>
        <v>73.5</v>
      </c>
      <c r="AU7" s="40">
        <f t="shared" si="18"/>
        <v>11.6</v>
      </c>
      <c r="AV7" s="40">
        <f t="shared" si="19"/>
        <v>47.5</v>
      </c>
      <c r="AW7" s="40">
        <f t="shared" si="20"/>
        <v>121</v>
      </c>
      <c r="AX7" s="18">
        <v>17</v>
      </c>
      <c r="AY7" s="18">
        <v>6.8</v>
      </c>
      <c r="AZ7" s="18">
        <v>0.8</v>
      </c>
      <c r="BA7" s="18">
        <v>0.3</v>
      </c>
      <c r="BB7" s="18">
        <v>18.600000000000001</v>
      </c>
      <c r="BC7" s="18">
        <v>6</v>
      </c>
      <c r="BD7" s="18">
        <v>0.2</v>
      </c>
      <c r="BE7" s="18">
        <v>0.3</v>
      </c>
      <c r="BF7" s="18">
        <v>18.399999999999999</v>
      </c>
      <c r="BG7" s="18">
        <v>5.6</v>
      </c>
      <c r="BH7" s="18">
        <v>0.2</v>
      </c>
      <c r="BI7" s="18">
        <v>0</v>
      </c>
      <c r="BJ7" s="18">
        <v>17.600000000000001</v>
      </c>
      <c r="BK7" s="18">
        <v>2.4</v>
      </c>
      <c r="BL7" s="18">
        <v>0</v>
      </c>
      <c r="BM7" s="18">
        <v>0</v>
      </c>
      <c r="BN7" s="18">
        <v>19.100000000000001</v>
      </c>
      <c r="BO7" s="18">
        <v>5.6</v>
      </c>
      <c r="BP7" s="18">
        <v>0</v>
      </c>
      <c r="BQ7" s="18">
        <v>0</v>
      </c>
      <c r="BR7" s="28"/>
      <c r="BS7" s="11">
        <f t="shared" si="21"/>
        <v>12.8</v>
      </c>
      <c r="BT7" s="11">
        <f t="shared" si="22"/>
        <v>48</v>
      </c>
      <c r="BU7" s="11">
        <f t="shared" si="23"/>
        <v>23.8</v>
      </c>
      <c r="BV7" s="11">
        <f t="shared" si="24"/>
        <v>18.399999999999999</v>
      </c>
      <c r="BW7" s="11">
        <f t="shared" si="25"/>
        <v>71.8</v>
      </c>
      <c r="BX7" s="11">
        <f t="shared" si="26"/>
        <v>8</v>
      </c>
      <c r="BY7" s="11">
        <f t="shared" si="27"/>
        <v>44.7</v>
      </c>
      <c r="BZ7" s="11">
        <f t="shared" si="28"/>
        <v>116.5</v>
      </c>
      <c r="CA7" s="19">
        <v>18.399999999999999</v>
      </c>
      <c r="CB7" s="19">
        <v>6.8</v>
      </c>
      <c r="CC7" s="19">
        <v>0</v>
      </c>
      <c r="CD7" s="19">
        <v>0.3</v>
      </c>
      <c r="CE7" s="19">
        <v>0</v>
      </c>
      <c r="CF7" s="19">
        <v>0</v>
      </c>
      <c r="CG7" s="19">
        <v>0</v>
      </c>
      <c r="CH7" s="19">
        <v>0</v>
      </c>
      <c r="CI7" s="19">
        <v>19.100000000000001</v>
      </c>
      <c r="CJ7" s="19">
        <v>5.6</v>
      </c>
      <c r="CK7" s="19">
        <v>0.6</v>
      </c>
      <c r="CL7" s="19">
        <v>0</v>
      </c>
      <c r="CM7" s="19"/>
      <c r="CN7" s="19"/>
      <c r="CO7" s="19"/>
      <c r="CP7" s="19"/>
      <c r="CQ7" s="19"/>
      <c r="CR7" s="19"/>
      <c r="CS7" s="19"/>
      <c r="CT7" s="19"/>
      <c r="CU7" s="27"/>
      <c r="CV7" s="40">
        <f t="shared" si="29"/>
        <v>6.8</v>
      </c>
      <c r="CW7" s="40">
        <f t="shared" si="30"/>
        <v>25.5</v>
      </c>
      <c r="CX7" s="40">
        <f t="shared" si="31"/>
        <v>24.1</v>
      </c>
      <c r="CY7" s="40">
        <f t="shared" si="32"/>
        <v>12.399999999999999</v>
      </c>
      <c r="CZ7" s="40">
        <f t="shared" si="33"/>
        <v>49.6</v>
      </c>
      <c r="DA7" s="40" t="str">
        <f t="shared" si="34"/>
        <v/>
      </c>
      <c r="DB7" s="40" t="str">
        <f t="shared" si="35"/>
        <v/>
      </c>
      <c r="DC7" s="40">
        <f t="shared" si="36"/>
        <v>49.6</v>
      </c>
      <c r="DD7" s="51">
        <f t="shared" si="37"/>
        <v>1.7000000000000028</v>
      </c>
      <c r="DE7" s="51" t="str">
        <f t="shared" si="38"/>
        <v/>
      </c>
      <c r="DF7" s="51" t="str">
        <f t="shared" si="39"/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 t="str">
        <f t="shared" si="40"/>
        <v/>
      </c>
      <c r="EB7" s="40" t="str">
        <f t="shared" si="41"/>
        <v/>
      </c>
      <c r="EC7" s="40" t="str">
        <f t="shared" si="42"/>
        <v/>
      </c>
      <c r="ED7" s="40" t="str">
        <f t="shared" si="43"/>
        <v/>
      </c>
      <c r="EE7" s="40" t="str">
        <f t="shared" si="44"/>
        <v/>
      </c>
      <c r="EF7" s="40" t="str">
        <f t="shared" si="45"/>
        <v/>
      </c>
      <c r="EG7" s="40" t="str">
        <f t="shared" si="46"/>
        <v/>
      </c>
      <c r="EH7" s="40" t="str">
        <f t="shared" si="47"/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 t="shared" si="48"/>
        <v/>
      </c>
      <c r="FD7" s="11" t="str">
        <f t="shared" si="49"/>
        <v/>
      </c>
      <c r="FE7" s="11" t="str">
        <f t="shared" si="50"/>
        <v/>
      </c>
      <c r="FF7" s="11" t="str">
        <f t="shared" si="51"/>
        <v/>
      </c>
      <c r="FG7" s="11" t="str">
        <f t="shared" si="52"/>
        <v/>
      </c>
      <c r="FH7" s="11" t="str">
        <f t="shared" si="53"/>
        <v/>
      </c>
      <c r="FI7" s="11" t="str">
        <f t="shared" si="54"/>
        <v/>
      </c>
      <c r="FJ7" s="11" t="str">
        <f t="shared" si="55"/>
        <v/>
      </c>
      <c r="FK7" s="17">
        <v>18.8</v>
      </c>
      <c r="FL7" s="17">
        <v>6.8</v>
      </c>
      <c r="FM7" s="17">
        <v>0.8</v>
      </c>
      <c r="FN7" s="17">
        <v>0</v>
      </c>
      <c r="FO7" s="17">
        <v>18.5</v>
      </c>
      <c r="FP7" s="17">
        <v>6.4</v>
      </c>
      <c r="FQ7" s="17">
        <v>0</v>
      </c>
      <c r="FR7" s="17">
        <v>0</v>
      </c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>
        <f t="shared" si="56"/>
        <v>13.2</v>
      </c>
      <c r="GF7" s="40">
        <f t="shared" si="57"/>
        <v>49.7</v>
      </c>
      <c r="GG7" s="40" t="str">
        <f t="shared" si="58"/>
        <v/>
      </c>
      <c r="GH7" s="40">
        <f t="shared" si="59"/>
        <v>13.2</v>
      </c>
      <c r="GI7" s="40">
        <f t="shared" si="60"/>
        <v>49.7</v>
      </c>
      <c r="GJ7" s="40" t="str">
        <f t="shared" si="61"/>
        <v/>
      </c>
      <c r="GK7" s="40" t="str">
        <f t="shared" si="62"/>
        <v/>
      </c>
      <c r="GL7" s="40">
        <f t="shared" si="63"/>
        <v>49.7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 t="shared" si="64"/>
        <v/>
      </c>
      <c r="HH7" s="11" t="str">
        <f t="shared" si="65"/>
        <v/>
      </c>
      <c r="HI7" s="11" t="str">
        <f t="shared" si="66"/>
        <v/>
      </c>
      <c r="HJ7" s="11" t="str">
        <f t="shared" si="67"/>
        <v/>
      </c>
      <c r="HK7" s="11" t="str">
        <f t="shared" si="68"/>
        <v/>
      </c>
      <c r="HL7" s="11" t="str">
        <f t="shared" si="69"/>
        <v/>
      </c>
      <c r="HM7" s="11" t="str">
        <f t="shared" si="70"/>
        <v/>
      </c>
      <c r="HN7" s="11" t="str">
        <f t="shared" si="71"/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 t="shared" si="72"/>
        <v/>
      </c>
      <c r="IJ7" s="40" t="str">
        <f t="shared" si="73"/>
        <v/>
      </c>
      <c r="IK7" s="40" t="str">
        <f t="shared" si="74"/>
        <v/>
      </c>
      <c r="IL7" s="40" t="str">
        <f t="shared" si="75"/>
        <v/>
      </c>
      <c r="IM7" s="40" t="str">
        <f t="shared" si="76"/>
        <v/>
      </c>
      <c r="IN7" s="40" t="str">
        <f t="shared" si="77"/>
        <v/>
      </c>
      <c r="IO7" s="40" t="str">
        <f t="shared" si="78"/>
        <v/>
      </c>
      <c r="IP7" s="40" t="str">
        <f t="shared" si="79"/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80"/>
        <v/>
      </c>
      <c r="JL7" s="11" t="str">
        <f t="shared" si="81"/>
        <v/>
      </c>
      <c r="JM7" s="11" t="str">
        <f t="shared" si="82"/>
        <v/>
      </c>
      <c r="JN7" s="11" t="str">
        <f t="shared" si="83"/>
        <v/>
      </c>
      <c r="JO7" s="11" t="str">
        <f t="shared" si="84"/>
        <v/>
      </c>
      <c r="JP7" s="11" t="str">
        <f t="shared" si="85"/>
        <v/>
      </c>
      <c r="JQ7" s="11" t="str">
        <f t="shared" si="86"/>
        <v/>
      </c>
      <c r="JR7" s="11" t="str">
        <f t="shared" si="87"/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 t="shared" si="88"/>
        <v/>
      </c>
      <c r="KN7" s="40" t="str">
        <f t="shared" si="89"/>
        <v/>
      </c>
      <c r="KO7" s="40" t="str">
        <f t="shared" si="90"/>
        <v/>
      </c>
      <c r="KP7" s="40" t="str">
        <f t="shared" si="91"/>
        <v/>
      </c>
      <c r="KQ7" s="40" t="str">
        <f t="shared" si="92"/>
        <v/>
      </c>
      <c r="KR7" s="40" t="str">
        <f t="shared" si="93"/>
        <v/>
      </c>
      <c r="KS7" s="40" t="str">
        <f t="shared" si="94"/>
        <v/>
      </c>
      <c r="KT7" s="40" t="str">
        <f t="shared" si="95"/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6"/>
        <v/>
      </c>
      <c r="LP7" s="11" t="str">
        <f t="shared" si="97"/>
        <v/>
      </c>
      <c r="LQ7" s="11" t="str">
        <f t="shared" si="98"/>
        <v/>
      </c>
      <c r="LR7" s="11" t="str">
        <f t="shared" si="99"/>
        <v/>
      </c>
      <c r="LS7" s="11" t="str">
        <f t="shared" si="100"/>
        <v/>
      </c>
      <c r="LT7" s="11" t="str">
        <f t="shared" si="101"/>
        <v/>
      </c>
      <c r="LU7" s="11" t="str">
        <f t="shared" si="102"/>
        <v/>
      </c>
      <c r="LV7" s="11" t="str">
        <f t="shared" si="103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 t="shared" si="104"/>
        <v/>
      </c>
      <c r="MR7" s="40" t="str">
        <f t="shared" si="105"/>
        <v/>
      </c>
      <c r="MS7" s="40" t="str">
        <f t="shared" si="106"/>
        <v/>
      </c>
      <c r="MT7" s="40" t="str">
        <f t="shared" si="107"/>
        <v/>
      </c>
      <c r="MU7" s="40" t="str">
        <f t="shared" si="108"/>
        <v/>
      </c>
      <c r="MV7" s="40" t="str">
        <f t="shared" si="109"/>
        <v/>
      </c>
      <c r="MW7" s="40" t="str">
        <f t="shared" si="110"/>
        <v/>
      </c>
      <c r="MX7" s="40" t="str">
        <f t="shared" si="111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2"/>
        <v/>
      </c>
      <c r="NT7" s="11" t="str">
        <f t="shared" si="113"/>
        <v/>
      </c>
      <c r="NU7" s="11" t="str">
        <f t="shared" si="114"/>
        <v/>
      </c>
      <c r="NV7" s="11" t="str">
        <f t="shared" si="115"/>
        <v/>
      </c>
      <c r="NW7" s="11" t="str">
        <f t="shared" si="116"/>
        <v/>
      </c>
      <c r="NX7" s="11" t="str">
        <f t="shared" si="117"/>
        <v/>
      </c>
      <c r="NY7" s="11" t="str">
        <f t="shared" si="118"/>
        <v/>
      </c>
      <c r="NZ7" s="11" t="str">
        <f t="shared" si="119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 t="shared" si="120"/>
        <v/>
      </c>
      <c r="OV7" s="40" t="str">
        <f t="shared" si="121"/>
        <v/>
      </c>
      <c r="OW7" s="40" t="str">
        <f t="shared" si="122"/>
        <v/>
      </c>
      <c r="OX7" s="40" t="str">
        <f t="shared" si="123"/>
        <v/>
      </c>
      <c r="OY7" s="40" t="str">
        <f t="shared" si="124"/>
        <v/>
      </c>
      <c r="OZ7" s="40" t="str">
        <f t="shared" si="125"/>
        <v/>
      </c>
      <c r="PA7" s="40" t="str">
        <f t="shared" si="126"/>
        <v/>
      </c>
      <c r="PB7" s="40" t="str">
        <f t="shared" si="127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8"/>
        <v/>
      </c>
      <c r="PX7" s="11" t="str">
        <f t="shared" si="129"/>
        <v/>
      </c>
      <c r="PY7" s="11" t="str">
        <f t="shared" si="130"/>
        <v/>
      </c>
      <c r="PZ7" s="11" t="str">
        <f t="shared" si="131"/>
        <v/>
      </c>
      <c r="QA7" s="11" t="str">
        <f t="shared" si="132"/>
        <v/>
      </c>
      <c r="QB7" s="11" t="str">
        <f t="shared" si="133"/>
        <v/>
      </c>
      <c r="QC7" s="11" t="str">
        <f t="shared" si="134"/>
        <v/>
      </c>
      <c r="QD7" s="11" t="str">
        <f t="shared" si="135"/>
        <v/>
      </c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40" t="str">
        <f t="shared" si="136"/>
        <v/>
      </c>
      <c r="QZ7" s="40" t="str">
        <f t="shared" si="137"/>
        <v/>
      </c>
      <c r="RA7" s="40" t="str">
        <f t="shared" si="138"/>
        <v/>
      </c>
      <c r="RB7" s="40" t="str">
        <f t="shared" si="139"/>
        <v/>
      </c>
      <c r="RC7" s="40" t="str">
        <f t="shared" si="140"/>
        <v/>
      </c>
      <c r="RD7" s="40" t="str">
        <f t="shared" si="141"/>
        <v/>
      </c>
      <c r="RE7" s="40" t="str">
        <f t="shared" si="142"/>
        <v/>
      </c>
      <c r="RF7" s="40" t="str">
        <f t="shared" si="143"/>
        <v/>
      </c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1" t="str">
        <f t="shared" si="144"/>
        <v/>
      </c>
      <c r="SB7" s="11" t="str">
        <f t="shared" si="145"/>
        <v/>
      </c>
      <c r="SC7" s="11" t="str">
        <f t="shared" si="146"/>
        <v/>
      </c>
      <c r="SD7" s="11" t="str">
        <f t="shared" si="147"/>
        <v/>
      </c>
      <c r="SE7" s="11" t="str">
        <f t="shared" si="148"/>
        <v/>
      </c>
      <c r="SF7" s="11" t="str">
        <f t="shared" si="149"/>
        <v/>
      </c>
      <c r="SG7" s="11" t="str">
        <f t="shared" si="150"/>
        <v/>
      </c>
      <c r="SH7" s="11" t="str">
        <f t="shared" si="151"/>
        <v/>
      </c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40" t="str">
        <f t="shared" si="152"/>
        <v/>
      </c>
      <c r="TD7" s="40" t="str">
        <f t="shared" si="153"/>
        <v/>
      </c>
      <c r="TE7" s="40" t="str">
        <f t="shared" si="154"/>
        <v/>
      </c>
      <c r="TF7" s="40" t="str">
        <f t="shared" si="155"/>
        <v/>
      </c>
      <c r="TG7" s="40" t="str">
        <f t="shared" si="156"/>
        <v/>
      </c>
      <c r="TH7" s="40" t="str">
        <f t="shared" si="157"/>
        <v/>
      </c>
      <c r="TI7" s="40" t="str">
        <f t="shared" si="158"/>
        <v/>
      </c>
      <c r="TJ7" s="40" t="str">
        <f t="shared" si="159"/>
        <v/>
      </c>
      <c r="TK7" s="26">
        <f t="shared" si="160"/>
        <v>17.7</v>
      </c>
      <c r="TL7" s="26">
        <f t="shared" si="161"/>
        <v>6.8</v>
      </c>
      <c r="TM7" s="26">
        <f t="shared" si="162"/>
        <v>0.4</v>
      </c>
      <c r="TN7" s="26">
        <f t="shared" si="163"/>
        <v>0.3</v>
      </c>
      <c r="TO7" s="26">
        <f t="shared" si="164"/>
        <v>9.3000000000000007</v>
      </c>
      <c r="TP7" s="26">
        <f t="shared" si="165"/>
        <v>3</v>
      </c>
      <c r="TQ7" s="26">
        <f t="shared" si="166"/>
        <v>0.1</v>
      </c>
      <c r="TR7" s="26">
        <f t="shared" si="167"/>
        <v>0.15</v>
      </c>
      <c r="TS7" s="26">
        <f t="shared" si="168"/>
        <v>18.75</v>
      </c>
      <c r="TT7" s="26">
        <f t="shared" si="169"/>
        <v>5.6</v>
      </c>
      <c r="TU7" s="26">
        <f t="shared" si="170"/>
        <v>0.4</v>
      </c>
      <c r="TV7" s="26">
        <f t="shared" si="171"/>
        <v>0</v>
      </c>
      <c r="TW7" s="26">
        <f t="shared" si="172"/>
        <v>8.8000000000000007</v>
      </c>
      <c r="TX7" s="26">
        <f t="shared" si="173"/>
        <v>1.2</v>
      </c>
      <c r="TY7" s="26">
        <f t="shared" si="174"/>
        <v>0</v>
      </c>
      <c r="TZ7" s="26">
        <f t="shared" si="175"/>
        <v>0</v>
      </c>
      <c r="UA7" s="26">
        <f t="shared" si="176"/>
        <v>9.5500000000000007</v>
      </c>
      <c r="UB7" s="26">
        <f t="shared" si="177"/>
        <v>2.8</v>
      </c>
      <c r="UC7" s="26">
        <f t="shared" si="178"/>
        <v>0</v>
      </c>
      <c r="UD7" s="26">
        <f t="shared" si="179"/>
        <v>0</v>
      </c>
      <c r="UE7" s="28" t="s">
        <v>53</v>
      </c>
      <c r="UF7" s="11">
        <f t="shared" si="180"/>
        <v>9.8000000000000007</v>
      </c>
      <c r="UG7" s="11">
        <f t="shared" si="181"/>
        <v>36.75</v>
      </c>
      <c r="UH7" s="11">
        <f t="shared" si="182"/>
        <v>23.950000000000003</v>
      </c>
      <c r="UI7" s="11">
        <f t="shared" si="183"/>
        <v>15.4</v>
      </c>
      <c r="UJ7" s="11">
        <f t="shared" si="184"/>
        <v>60.7</v>
      </c>
      <c r="UK7" s="11">
        <f t="shared" si="185"/>
        <v>4</v>
      </c>
      <c r="UL7" s="11">
        <f t="shared" si="186"/>
        <v>22.35</v>
      </c>
      <c r="UM7" s="11">
        <f t="shared" si="187"/>
        <v>83.050000000000011</v>
      </c>
    </row>
    <row r="8" spans="1:559" x14ac:dyDescent="0.2">
      <c r="A8" s="4" cm="1">
        <f t="array" ref="A8">IF(AND(H8&lt;&gt;"",H8&lt;&gt;"No DD"),SUMPRODUCT((H$4:H$23&lt;&gt;"")*(H$4:H$23&lt;&gt;"No DD")*(E$4:E$23&gt;E8))+1,IF(H8="No DD",SUMPRODUCT((H$4:H$23="No DD")*(E$4:E$23&gt;E8))+1+SUMPRODUCT((H$4:H$23&lt;&gt;"")*(H$4:H$23&lt;&gt;"No DD")),""))</f>
        <v>5</v>
      </c>
      <c r="B8" s="5" t="s">
        <v>133</v>
      </c>
      <c r="C8" s="4" t="s">
        <v>5</v>
      </c>
      <c r="D8" s="4">
        <v>2001</v>
      </c>
      <c r="E8" s="9">
        <f t="shared" si="0"/>
        <v>170.20001221000487</v>
      </c>
      <c r="F8" s="3" t="str">
        <f t="shared" si="1"/>
        <v>P</v>
      </c>
      <c r="G8" s="3" t="str">
        <f t="shared" si="2"/>
        <v>P</v>
      </c>
      <c r="H8" s="36" t="str">
        <f t="shared" si="3"/>
        <v>National Team</v>
      </c>
      <c r="I8" s="3" t="str">
        <f t="shared" si="4"/>
        <v/>
      </c>
      <c r="J8" s="8">
        <f>IF(COUNT(AQ8,BT8,CW8)&gt;0,LARGE((AQ8,BT8,CW8),1),0)</f>
        <v>48.9</v>
      </c>
      <c r="K8" s="8" t="str">
        <f t="shared" si="5"/>
        <v>2024 Nationals</v>
      </c>
      <c r="L8" s="8">
        <f>IF(COUNT(AQ8,BT8,CW8)&gt;1,LARGE((AQ8,BT8,CW8),2),0)</f>
        <v>48.699999999999996</v>
      </c>
      <c r="M8" s="8" t="str">
        <f t="shared" si="6"/>
        <v>2024 Elite Canada</v>
      </c>
      <c r="N8" s="8">
        <f>IF(COUNT(AR8,BU8,CX8)&gt;0,LARGE((AR8,BU8,CX8),1),0)</f>
        <v>24.5</v>
      </c>
      <c r="O8" s="8" t="str">
        <f t="shared" si="7"/>
        <v>2024 3rd Domestic Trial</v>
      </c>
      <c r="P8" s="8">
        <f t="shared" si="8"/>
        <v>48.099999999999994</v>
      </c>
      <c r="Q8" s="8" t="str">
        <f t="shared" si="9"/>
        <v>2024 Elite Canada</v>
      </c>
      <c r="R8" s="8" t="str">
        <f t="shared" si="10"/>
        <v/>
      </c>
      <c r="S8" s="11" t="str">
        <f t="shared" si="11"/>
        <v/>
      </c>
      <c r="T8" s="8" t="str">
        <f t="shared" si="12"/>
        <v/>
      </c>
      <c r="U8" s="19">
        <v>18.7</v>
      </c>
      <c r="V8" s="19">
        <v>5.2</v>
      </c>
      <c r="W8" s="19">
        <v>0</v>
      </c>
      <c r="X8" s="19">
        <v>0</v>
      </c>
      <c r="Y8" s="19">
        <v>18.399999999999999</v>
      </c>
      <c r="Z8" s="19">
        <v>6.4</v>
      </c>
      <c r="AA8" s="19">
        <v>0</v>
      </c>
      <c r="AB8" s="19">
        <v>0</v>
      </c>
      <c r="AC8" s="19">
        <v>19</v>
      </c>
      <c r="AD8" s="19">
        <v>3.1</v>
      </c>
      <c r="AE8" s="19">
        <v>1</v>
      </c>
      <c r="AF8" s="19">
        <v>0</v>
      </c>
      <c r="AG8" s="19">
        <v>18.5</v>
      </c>
      <c r="AH8" s="19">
        <v>5.2</v>
      </c>
      <c r="AI8" s="19">
        <v>0</v>
      </c>
      <c r="AJ8" s="19">
        <v>0</v>
      </c>
      <c r="AK8" s="19">
        <v>18.2</v>
      </c>
      <c r="AL8" s="19">
        <v>6.4</v>
      </c>
      <c r="AM8" s="19">
        <v>0.2</v>
      </c>
      <c r="AN8" s="19">
        <v>0</v>
      </c>
      <c r="AO8" s="27"/>
      <c r="AP8" s="40">
        <f t="shared" si="13"/>
        <v>11.600000000000001</v>
      </c>
      <c r="AQ8" s="40">
        <f t="shared" si="14"/>
        <v>48.699999999999996</v>
      </c>
      <c r="AR8" s="40">
        <f t="shared" si="15"/>
        <v>21.1</v>
      </c>
      <c r="AS8" s="40">
        <f t="shared" si="16"/>
        <v>14.700000000000001</v>
      </c>
      <c r="AT8" s="40">
        <f t="shared" si="17"/>
        <v>69.8</v>
      </c>
      <c r="AU8" s="40">
        <f t="shared" si="18"/>
        <v>11.600000000000001</v>
      </c>
      <c r="AV8" s="40">
        <f t="shared" si="19"/>
        <v>48.099999999999994</v>
      </c>
      <c r="AW8" s="40">
        <f t="shared" si="20"/>
        <v>117.89999999999999</v>
      </c>
      <c r="AX8" s="18">
        <v>18.7</v>
      </c>
      <c r="AY8" s="18">
        <v>5.6</v>
      </c>
      <c r="AZ8" s="18">
        <v>0</v>
      </c>
      <c r="BA8" s="18">
        <v>0</v>
      </c>
      <c r="BB8" s="18">
        <v>18.600000000000001</v>
      </c>
      <c r="BC8" s="18">
        <v>6</v>
      </c>
      <c r="BD8" s="18">
        <v>0</v>
      </c>
      <c r="BE8" s="18">
        <v>0</v>
      </c>
      <c r="BF8" s="18">
        <v>17.2</v>
      </c>
      <c r="BG8" s="18">
        <v>2.4</v>
      </c>
      <c r="BH8" s="18">
        <v>0</v>
      </c>
      <c r="BI8" s="18">
        <v>0</v>
      </c>
      <c r="BJ8" s="18">
        <v>18.399999999999999</v>
      </c>
      <c r="BK8" s="18">
        <v>5.6</v>
      </c>
      <c r="BL8" s="18">
        <v>0</v>
      </c>
      <c r="BM8" s="18">
        <v>0</v>
      </c>
      <c r="BN8" s="18">
        <v>18.100000000000001</v>
      </c>
      <c r="BO8" s="18">
        <v>5.2</v>
      </c>
      <c r="BP8" s="18">
        <v>0.2</v>
      </c>
      <c r="BQ8" s="18">
        <v>0</v>
      </c>
      <c r="BR8" s="28"/>
      <c r="BS8" s="11">
        <f t="shared" si="21"/>
        <v>11.6</v>
      </c>
      <c r="BT8" s="11">
        <f t="shared" si="22"/>
        <v>48.9</v>
      </c>
      <c r="BU8" s="11">
        <f t="shared" si="23"/>
        <v>19.599999999999998</v>
      </c>
      <c r="BV8" s="11">
        <f t="shared" si="24"/>
        <v>14</v>
      </c>
      <c r="BW8" s="11">
        <f t="shared" si="25"/>
        <v>68.5</v>
      </c>
      <c r="BX8" s="11">
        <f t="shared" si="26"/>
        <v>10.8</v>
      </c>
      <c r="BY8" s="11">
        <f t="shared" si="27"/>
        <v>47.1</v>
      </c>
      <c r="BZ8" s="11">
        <f t="shared" si="28"/>
        <v>115.6</v>
      </c>
      <c r="CA8" s="19">
        <v>18.600000000000001</v>
      </c>
      <c r="CB8" s="19">
        <v>4.4000000000000004</v>
      </c>
      <c r="CC8" s="19">
        <v>0.2</v>
      </c>
      <c r="CD8" s="19">
        <v>0</v>
      </c>
      <c r="CE8" s="19">
        <v>18.5</v>
      </c>
      <c r="CF8" s="19">
        <v>3.1</v>
      </c>
      <c r="CG8" s="19">
        <v>1</v>
      </c>
      <c r="CH8" s="19">
        <v>0</v>
      </c>
      <c r="CI8" s="19">
        <v>18.899999999999999</v>
      </c>
      <c r="CJ8" s="19">
        <v>5.6</v>
      </c>
      <c r="CK8" s="19">
        <v>0</v>
      </c>
      <c r="CL8" s="19">
        <v>0</v>
      </c>
      <c r="CM8" s="19">
        <v>18.8</v>
      </c>
      <c r="CN8" s="19">
        <v>4.8</v>
      </c>
      <c r="CO8" s="19">
        <v>0</v>
      </c>
      <c r="CP8" s="19">
        <v>0</v>
      </c>
      <c r="CQ8" s="19">
        <v>18.7</v>
      </c>
      <c r="CR8" s="19">
        <v>5.6</v>
      </c>
      <c r="CS8" s="19">
        <v>0.8</v>
      </c>
      <c r="CT8" s="19">
        <v>0</v>
      </c>
      <c r="CU8" s="27"/>
      <c r="CV8" s="40">
        <f t="shared" si="29"/>
        <v>7.5</v>
      </c>
      <c r="CW8" s="40">
        <f t="shared" si="30"/>
        <v>43.4</v>
      </c>
      <c r="CX8" s="40">
        <f t="shared" si="31"/>
        <v>24.5</v>
      </c>
      <c r="CY8" s="40">
        <f t="shared" si="32"/>
        <v>13.1</v>
      </c>
      <c r="CZ8" s="40">
        <f t="shared" si="33"/>
        <v>67.900000000000006</v>
      </c>
      <c r="DA8" s="40">
        <f t="shared" si="34"/>
        <v>10.399999999999999</v>
      </c>
      <c r="DB8" s="40">
        <f t="shared" si="35"/>
        <v>47.1</v>
      </c>
      <c r="DC8" s="40">
        <f t="shared" si="36"/>
        <v>115</v>
      </c>
      <c r="DD8" s="51" t="str">
        <f t="shared" si="37"/>
        <v/>
      </c>
      <c r="DE8" s="51" t="str">
        <f t="shared" si="38"/>
        <v/>
      </c>
      <c r="DF8" s="51" t="str">
        <f t="shared" si="39"/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>
        <v>18.600000000000001</v>
      </c>
      <c r="DT8" s="17">
        <v>5.6</v>
      </c>
      <c r="DU8" s="17">
        <v>0</v>
      </c>
      <c r="DV8" s="17">
        <v>0</v>
      </c>
      <c r="DW8" s="17">
        <v>18.5</v>
      </c>
      <c r="DX8" s="17">
        <v>6</v>
      </c>
      <c r="DY8" s="17">
        <v>0.8</v>
      </c>
      <c r="DZ8" s="17">
        <v>0</v>
      </c>
      <c r="EA8" s="40" t="str">
        <f t="shared" si="40"/>
        <v/>
      </c>
      <c r="EB8" s="40" t="str">
        <f t="shared" si="41"/>
        <v/>
      </c>
      <c r="EC8" s="40" t="str">
        <f t="shared" si="42"/>
        <v/>
      </c>
      <c r="ED8" s="40" t="str">
        <f t="shared" si="43"/>
        <v/>
      </c>
      <c r="EE8" s="40" t="str">
        <f t="shared" si="44"/>
        <v/>
      </c>
      <c r="EF8" s="40">
        <f t="shared" si="45"/>
        <v>11.6</v>
      </c>
      <c r="EG8" s="40">
        <f t="shared" si="46"/>
        <v>47.900000000000006</v>
      </c>
      <c r="EH8" s="40">
        <f t="shared" si="47"/>
        <v>47.900000000000006</v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 t="shared" si="48"/>
        <v/>
      </c>
      <c r="FD8" s="11" t="str">
        <f t="shared" si="49"/>
        <v/>
      </c>
      <c r="FE8" s="11" t="str">
        <f t="shared" si="50"/>
        <v/>
      </c>
      <c r="FF8" s="11" t="str">
        <f t="shared" si="51"/>
        <v/>
      </c>
      <c r="FG8" s="11" t="str">
        <f t="shared" si="52"/>
        <v/>
      </c>
      <c r="FH8" s="11" t="str">
        <f t="shared" si="53"/>
        <v/>
      </c>
      <c r="FI8" s="11" t="str">
        <f t="shared" si="54"/>
        <v/>
      </c>
      <c r="FJ8" s="11" t="str">
        <f t="shared" si="55"/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 t="shared" si="56"/>
        <v/>
      </c>
      <c r="GF8" s="40" t="str">
        <f t="shared" si="57"/>
        <v/>
      </c>
      <c r="GG8" s="40" t="str">
        <f t="shared" si="58"/>
        <v/>
      </c>
      <c r="GH8" s="40" t="str">
        <f t="shared" si="59"/>
        <v/>
      </c>
      <c r="GI8" s="40" t="str">
        <f t="shared" si="60"/>
        <v/>
      </c>
      <c r="GJ8" s="40" t="str">
        <f t="shared" si="61"/>
        <v/>
      </c>
      <c r="GK8" s="40" t="str">
        <f t="shared" si="62"/>
        <v/>
      </c>
      <c r="GL8" s="40" t="str">
        <f t="shared" si="63"/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 t="shared" si="64"/>
        <v/>
      </c>
      <c r="HH8" s="11" t="str">
        <f t="shared" si="65"/>
        <v/>
      </c>
      <c r="HI8" s="11" t="str">
        <f t="shared" si="66"/>
        <v/>
      </c>
      <c r="HJ8" s="11" t="str">
        <f t="shared" si="67"/>
        <v/>
      </c>
      <c r="HK8" s="11" t="str">
        <f t="shared" si="68"/>
        <v/>
      </c>
      <c r="HL8" s="11" t="str">
        <f t="shared" si="69"/>
        <v/>
      </c>
      <c r="HM8" s="11" t="str">
        <f t="shared" si="70"/>
        <v/>
      </c>
      <c r="HN8" s="11" t="str">
        <f t="shared" si="71"/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 t="shared" si="72"/>
        <v/>
      </c>
      <c r="IJ8" s="40" t="str">
        <f t="shared" si="73"/>
        <v/>
      </c>
      <c r="IK8" s="40" t="str">
        <f t="shared" si="74"/>
        <v/>
      </c>
      <c r="IL8" s="40" t="str">
        <f t="shared" si="75"/>
        <v/>
      </c>
      <c r="IM8" s="40" t="str">
        <f t="shared" si="76"/>
        <v/>
      </c>
      <c r="IN8" s="40" t="str">
        <f t="shared" si="77"/>
        <v/>
      </c>
      <c r="IO8" s="40" t="str">
        <f t="shared" si="78"/>
        <v/>
      </c>
      <c r="IP8" s="40" t="str">
        <f t="shared" si="79"/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80"/>
        <v/>
      </c>
      <c r="JL8" s="11" t="str">
        <f t="shared" si="81"/>
        <v/>
      </c>
      <c r="JM8" s="11" t="str">
        <f t="shared" si="82"/>
        <v/>
      </c>
      <c r="JN8" s="11" t="str">
        <f t="shared" si="83"/>
        <v/>
      </c>
      <c r="JO8" s="11" t="str">
        <f t="shared" si="84"/>
        <v/>
      </c>
      <c r="JP8" s="11" t="str">
        <f t="shared" si="85"/>
        <v/>
      </c>
      <c r="JQ8" s="11" t="str">
        <f t="shared" si="86"/>
        <v/>
      </c>
      <c r="JR8" s="11" t="str">
        <f t="shared" si="87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 t="shared" si="88"/>
        <v/>
      </c>
      <c r="KN8" s="40" t="str">
        <f t="shared" si="89"/>
        <v/>
      </c>
      <c r="KO8" s="40" t="str">
        <f t="shared" si="90"/>
        <v/>
      </c>
      <c r="KP8" s="40" t="str">
        <f t="shared" si="91"/>
        <v/>
      </c>
      <c r="KQ8" s="40" t="str">
        <f t="shared" si="92"/>
        <v/>
      </c>
      <c r="KR8" s="40" t="str">
        <f t="shared" si="93"/>
        <v/>
      </c>
      <c r="KS8" s="40" t="str">
        <f t="shared" si="94"/>
        <v/>
      </c>
      <c r="KT8" s="40" t="str">
        <f t="shared" si="95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6"/>
        <v/>
      </c>
      <c r="LP8" s="11" t="str">
        <f t="shared" si="97"/>
        <v/>
      </c>
      <c r="LQ8" s="11" t="str">
        <f t="shared" si="98"/>
        <v/>
      </c>
      <c r="LR8" s="11" t="str">
        <f t="shared" si="99"/>
        <v/>
      </c>
      <c r="LS8" s="11" t="str">
        <f t="shared" si="100"/>
        <v/>
      </c>
      <c r="LT8" s="11" t="str">
        <f t="shared" si="101"/>
        <v/>
      </c>
      <c r="LU8" s="11" t="str">
        <f t="shared" si="102"/>
        <v/>
      </c>
      <c r="LV8" s="11" t="str">
        <f t="shared" si="103"/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 t="shared" si="104"/>
        <v/>
      </c>
      <c r="MR8" s="40" t="str">
        <f t="shared" si="105"/>
        <v/>
      </c>
      <c r="MS8" s="40" t="str">
        <f t="shared" si="106"/>
        <v/>
      </c>
      <c r="MT8" s="40" t="str">
        <f t="shared" si="107"/>
        <v/>
      </c>
      <c r="MU8" s="40" t="str">
        <f t="shared" si="108"/>
        <v/>
      </c>
      <c r="MV8" s="40" t="str">
        <f t="shared" si="109"/>
        <v/>
      </c>
      <c r="MW8" s="40" t="str">
        <f t="shared" si="110"/>
        <v/>
      </c>
      <c r="MX8" s="40" t="str">
        <f t="shared" si="111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2"/>
        <v/>
      </c>
      <c r="NT8" s="11" t="str">
        <f t="shared" si="113"/>
        <v/>
      </c>
      <c r="NU8" s="11" t="str">
        <f t="shared" si="114"/>
        <v/>
      </c>
      <c r="NV8" s="11" t="str">
        <f t="shared" si="115"/>
        <v/>
      </c>
      <c r="NW8" s="11" t="str">
        <f t="shared" si="116"/>
        <v/>
      </c>
      <c r="NX8" s="11" t="str">
        <f t="shared" si="117"/>
        <v/>
      </c>
      <c r="NY8" s="11" t="str">
        <f t="shared" si="118"/>
        <v/>
      </c>
      <c r="NZ8" s="11" t="str">
        <f t="shared" si="119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 t="shared" si="120"/>
        <v/>
      </c>
      <c r="OV8" s="40" t="str">
        <f t="shared" si="121"/>
        <v/>
      </c>
      <c r="OW8" s="40" t="str">
        <f t="shared" si="122"/>
        <v/>
      </c>
      <c r="OX8" s="40" t="str">
        <f t="shared" si="123"/>
        <v/>
      </c>
      <c r="OY8" s="40" t="str">
        <f t="shared" si="124"/>
        <v/>
      </c>
      <c r="OZ8" s="40" t="str">
        <f t="shared" si="125"/>
        <v/>
      </c>
      <c r="PA8" s="40" t="str">
        <f t="shared" si="126"/>
        <v/>
      </c>
      <c r="PB8" s="40" t="str">
        <f t="shared" si="127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8"/>
        <v/>
      </c>
      <c r="PX8" s="11" t="str">
        <f t="shared" si="129"/>
        <v/>
      </c>
      <c r="PY8" s="11" t="str">
        <f t="shared" si="130"/>
        <v/>
      </c>
      <c r="PZ8" s="11" t="str">
        <f t="shared" si="131"/>
        <v/>
      </c>
      <c r="QA8" s="11" t="str">
        <f t="shared" si="132"/>
        <v/>
      </c>
      <c r="QB8" s="11" t="str">
        <f t="shared" si="133"/>
        <v/>
      </c>
      <c r="QC8" s="11" t="str">
        <f t="shared" si="134"/>
        <v/>
      </c>
      <c r="QD8" s="11" t="str">
        <f t="shared" si="135"/>
        <v/>
      </c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40" t="str">
        <f t="shared" si="136"/>
        <v/>
      </c>
      <c r="QZ8" s="40" t="str">
        <f t="shared" si="137"/>
        <v/>
      </c>
      <c r="RA8" s="40" t="str">
        <f t="shared" si="138"/>
        <v/>
      </c>
      <c r="RB8" s="40" t="str">
        <f t="shared" si="139"/>
        <v/>
      </c>
      <c r="RC8" s="40" t="str">
        <f t="shared" si="140"/>
        <v/>
      </c>
      <c r="RD8" s="40" t="str">
        <f t="shared" si="141"/>
        <v/>
      </c>
      <c r="RE8" s="40" t="str">
        <f t="shared" si="142"/>
        <v/>
      </c>
      <c r="RF8" s="40" t="str">
        <f t="shared" si="143"/>
        <v/>
      </c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1" t="str">
        <f t="shared" si="144"/>
        <v/>
      </c>
      <c r="SB8" s="11" t="str">
        <f t="shared" si="145"/>
        <v/>
      </c>
      <c r="SC8" s="11" t="str">
        <f t="shared" si="146"/>
        <v/>
      </c>
      <c r="SD8" s="11" t="str">
        <f t="shared" si="147"/>
        <v/>
      </c>
      <c r="SE8" s="11" t="str">
        <f t="shared" si="148"/>
        <v/>
      </c>
      <c r="SF8" s="11" t="str">
        <f t="shared" si="149"/>
        <v/>
      </c>
      <c r="SG8" s="11" t="str">
        <f t="shared" si="150"/>
        <v/>
      </c>
      <c r="SH8" s="11" t="str">
        <f t="shared" si="151"/>
        <v/>
      </c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40" t="str">
        <f t="shared" si="152"/>
        <v/>
      </c>
      <c r="TD8" s="40" t="str">
        <f t="shared" si="153"/>
        <v/>
      </c>
      <c r="TE8" s="40" t="str">
        <f t="shared" si="154"/>
        <v/>
      </c>
      <c r="TF8" s="40" t="str">
        <f t="shared" si="155"/>
        <v/>
      </c>
      <c r="TG8" s="40" t="str">
        <f t="shared" si="156"/>
        <v/>
      </c>
      <c r="TH8" s="40" t="str">
        <f t="shared" si="157"/>
        <v/>
      </c>
      <c r="TI8" s="40" t="str">
        <f t="shared" si="158"/>
        <v/>
      </c>
      <c r="TJ8" s="40" t="str">
        <f t="shared" si="159"/>
        <v/>
      </c>
      <c r="TK8" s="26">
        <f t="shared" si="160"/>
        <v>18.649999999999999</v>
      </c>
      <c r="TL8" s="26">
        <f t="shared" si="161"/>
        <v>5</v>
      </c>
      <c r="TM8" s="26">
        <f t="shared" si="162"/>
        <v>0.1</v>
      </c>
      <c r="TN8" s="26">
        <f t="shared" si="163"/>
        <v>0</v>
      </c>
      <c r="TO8" s="26">
        <f t="shared" si="164"/>
        <v>18.55</v>
      </c>
      <c r="TP8" s="26">
        <f t="shared" si="165"/>
        <v>4.55</v>
      </c>
      <c r="TQ8" s="26">
        <f t="shared" si="166"/>
        <v>0.5</v>
      </c>
      <c r="TR8" s="26">
        <f t="shared" si="167"/>
        <v>0</v>
      </c>
      <c r="TS8" s="26">
        <f t="shared" si="168"/>
        <v>18.049999999999997</v>
      </c>
      <c r="TT8" s="26">
        <f t="shared" si="169"/>
        <v>4</v>
      </c>
      <c r="TU8" s="26">
        <f t="shared" si="170"/>
        <v>0</v>
      </c>
      <c r="TV8" s="26">
        <f t="shared" si="171"/>
        <v>0</v>
      </c>
      <c r="TW8" s="26">
        <f t="shared" si="172"/>
        <v>18.600000000000001</v>
      </c>
      <c r="TX8" s="26">
        <f t="shared" si="173"/>
        <v>5.1999999999999993</v>
      </c>
      <c r="TY8" s="26">
        <f t="shared" si="174"/>
        <v>0</v>
      </c>
      <c r="TZ8" s="26">
        <f t="shared" si="175"/>
        <v>0</v>
      </c>
      <c r="UA8" s="26">
        <f t="shared" si="176"/>
        <v>18.399999999999999</v>
      </c>
      <c r="UB8" s="26">
        <f t="shared" si="177"/>
        <v>5.4</v>
      </c>
      <c r="UC8" s="26">
        <f t="shared" si="178"/>
        <v>0.5</v>
      </c>
      <c r="UD8" s="26">
        <f t="shared" si="179"/>
        <v>0</v>
      </c>
      <c r="UE8" s="28" t="s">
        <v>53</v>
      </c>
      <c r="UF8" s="11">
        <f t="shared" si="180"/>
        <v>9.5500000000000007</v>
      </c>
      <c r="UG8" s="11">
        <f t="shared" si="181"/>
        <v>46.15</v>
      </c>
      <c r="UH8" s="11">
        <f t="shared" si="182"/>
        <v>22.049999999999997</v>
      </c>
      <c r="UI8" s="11">
        <f t="shared" si="183"/>
        <v>13.55</v>
      </c>
      <c r="UJ8" s="11">
        <f t="shared" si="184"/>
        <v>68.199999999999989</v>
      </c>
      <c r="UK8" s="11">
        <f t="shared" si="185"/>
        <v>10.6</v>
      </c>
      <c r="UL8" s="11">
        <f t="shared" si="186"/>
        <v>47.1</v>
      </c>
      <c r="UM8" s="11">
        <f t="shared" si="187"/>
        <v>115.29999999999998</v>
      </c>
    </row>
    <row r="9" spans="1:559" x14ac:dyDescent="0.2">
      <c r="A9" s="4" cm="1">
        <f t="array" ref="A9">IF(AND(H9&lt;&gt;"",H9&lt;&gt;"No DD"),SUMPRODUCT((H$4:H$23&lt;&gt;"")*(H$4:H$23&lt;&gt;"No DD")*(E$4:E$23&gt;E9))+1,IF(H9="No DD",SUMPRODUCT((H$4:H$23="No DD")*(E$4:E$23&gt;E9))+1+SUMPRODUCT((H$4:H$23&lt;&gt;"")*(H$4:H$23&lt;&gt;"No DD")),""))</f>
        <v>6</v>
      </c>
      <c r="B9" s="5" t="s">
        <v>80</v>
      </c>
      <c r="C9" s="4" t="s">
        <v>5</v>
      </c>
      <c r="D9" s="4">
        <v>2003</v>
      </c>
      <c r="E9" s="9">
        <f t="shared" si="0"/>
        <v>169.40001199000483</v>
      </c>
      <c r="F9" s="3" t="str">
        <f t="shared" si="1"/>
        <v>P</v>
      </c>
      <c r="G9" s="3" t="str">
        <f t="shared" si="2"/>
        <v>P</v>
      </c>
      <c r="H9" s="36" t="str">
        <f t="shared" si="3"/>
        <v>National Team</v>
      </c>
      <c r="I9" s="3" t="str">
        <f t="shared" si="4"/>
        <v/>
      </c>
      <c r="J9" s="8">
        <f>IF(COUNT(AQ9,BT9,CW9)&gt;0,LARGE((AQ9,BT9,CW9),1),0)</f>
        <v>48.3</v>
      </c>
      <c r="K9" s="8" t="str">
        <f t="shared" si="5"/>
        <v>2024 Nationals</v>
      </c>
      <c r="L9" s="8">
        <f>IF(COUNT(AQ9,BT9,CW9)&gt;1,LARGE((AQ9,BT9,CW9),2),0)</f>
        <v>48</v>
      </c>
      <c r="M9" s="8" t="str">
        <f t="shared" si="6"/>
        <v>2024 3rd Domestic Trial</v>
      </c>
      <c r="N9" s="8">
        <f>IF(COUNT(AR9,BU9,CX9)&gt;0,LARGE((AR9,BU9,CX9),1),0)</f>
        <v>23.6</v>
      </c>
      <c r="O9" s="8" t="str">
        <f t="shared" si="7"/>
        <v>2024 3rd Domestic Trial</v>
      </c>
      <c r="P9" s="8">
        <f t="shared" si="8"/>
        <v>49.5</v>
      </c>
      <c r="Q9" s="8" t="str">
        <f t="shared" si="9"/>
        <v>2024 Nationals</v>
      </c>
      <c r="R9" s="8" t="str">
        <f t="shared" si="10"/>
        <v/>
      </c>
      <c r="S9" s="11" t="str">
        <f t="shared" si="11"/>
        <v/>
      </c>
      <c r="T9" s="8" t="str">
        <f t="shared" si="12"/>
        <v/>
      </c>
      <c r="U9" s="19">
        <v>18.5</v>
      </c>
      <c r="V9" s="19">
        <v>6.4</v>
      </c>
      <c r="W9" s="19">
        <v>0.6</v>
      </c>
      <c r="X9" s="19">
        <v>0</v>
      </c>
      <c r="Y9" s="19">
        <v>17.2</v>
      </c>
      <c r="Z9" s="19">
        <v>2.4</v>
      </c>
      <c r="AA9" s="19">
        <v>0</v>
      </c>
      <c r="AB9" s="19">
        <v>0</v>
      </c>
      <c r="AC9" s="19">
        <v>16.399999999999999</v>
      </c>
      <c r="AD9" s="19">
        <v>5.2</v>
      </c>
      <c r="AE9" s="19">
        <v>0.8</v>
      </c>
      <c r="AF9" s="19">
        <v>0.3</v>
      </c>
      <c r="AG9" s="19">
        <v>18.399999999999999</v>
      </c>
      <c r="AH9" s="19">
        <v>6.4</v>
      </c>
      <c r="AI9" s="19">
        <v>0</v>
      </c>
      <c r="AJ9" s="19">
        <v>0.3</v>
      </c>
      <c r="AK9" s="19">
        <v>16.100000000000001</v>
      </c>
      <c r="AL9" s="19">
        <v>4.4000000000000004</v>
      </c>
      <c r="AM9" s="19">
        <v>0.8</v>
      </c>
      <c r="AN9" s="19">
        <v>0</v>
      </c>
      <c r="AO9" s="27"/>
      <c r="AP9" s="40">
        <f t="shared" si="13"/>
        <v>8.8000000000000007</v>
      </c>
      <c r="AQ9" s="40">
        <f t="shared" si="14"/>
        <v>43.899999999999991</v>
      </c>
      <c r="AR9" s="40">
        <f t="shared" si="15"/>
        <v>21.099999999999998</v>
      </c>
      <c r="AS9" s="40">
        <f t="shared" si="16"/>
        <v>14</v>
      </c>
      <c r="AT9" s="40">
        <f t="shared" si="17"/>
        <v>64.999999999999986</v>
      </c>
      <c r="AU9" s="40">
        <f t="shared" si="18"/>
        <v>10.8</v>
      </c>
      <c r="AV9" s="40">
        <f t="shared" si="19"/>
        <v>44.800000000000004</v>
      </c>
      <c r="AW9" s="40">
        <f t="shared" si="20"/>
        <v>109.79999999999998</v>
      </c>
      <c r="AX9" s="18">
        <v>18.100000000000001</v>
      </c>
      <c r="AY9" s="18">
        <v>6.4</v>
      </c>
      <c r="AZ9" s="18">
        <v>0.2</v>
      </c>
      <c r="BA9" s="18">
        <v>0</v>
      </c>
      <c r="BB9" s="18">
        <v>18.600000000000001</v>
      </c>
      <c r="BC9" s="18">
        <v>6</v>
      </c>
      <c r="BD9" s="18">
        <v>0.6</v>
      </c>
      <c r="BE9" s="18">
        <v>0</v>
      </c>
      <c r="BF9" s="18">
        <v>18.3</v>
      </c>
      <c r="BG9" s="18">
        <v>5.2</v>
      </c>
      <c r="BH9" s="18">
        <v>0.6</v>
      </c>
      <c r="BI9" s="18">
        <v>0.3</v>
      </c>
      <c r="BJ9" s="18">
        <v>18.5</v>
      </c>
      <c r="BK9" s="18">
        <v>6.4</v>
      </c>
      <c r="BL9" s="18">
        <v>0</v>
      </c>
      <c r="BM9" s="18">
        <v>0</v>
      </c>
      <c r="BN9" s="18">
        <v>18.600000000000001</v>
      </c>
      <c r="BO9" s="18">
        <v>6</v>
      </c>
      <c r="BP9" s="18">
        <v>0</v>
      </c>
      <c r="BQ9" s="18">
        <v>0</v>
      </c>
      <c r="BR9" s="28"/>
      <c r="BS9" s="11">
        <f t="shared" si="21"/>
        <v>12.4</v>
      </c>
      <c r="BT9" s="11">
        <f t="shared" si="22"/>
        <v>48.3</v>
      </c>
      <c r="BU9" s="11">
        <f t="shared" si="23"/>
        <v>23.2</v>
      </c>
      <c r="BV9" s="11">
        <f t="shared" si="24"/>
        <v>17.600000000000001</v>
      </c>
      <c r="BW9" s="11">
        <f t="shared" si="25"/>
        <v>71.5</v>
      </c>
      <c r="BX9" s="11">
        <f t="shared" si="26"/>
        <v>12.4</v>
      </c>
      <c r="BY9" s="11">
        <f t="shared" si="27"/>
        <v>49.5</v>
      </c>
      <c r="BZ9" s="11">
        <f t="shared" si="28"/>
        <v>121</v>
      </c>
      <c r="CA9" s="19">
        <v>18.7</v>
      </c>
      <c r="CB9" s="19">
        <v>6.4</v>
      </c>
      <c r="CC9" s="19">
        <v>0.6</v>
      </c>
      <c r="CD9" s="19">
        <v>0</v>
      </c>
      <c r="CE9" s="19">
        <v>18.5</v>
      </c>
      <c r="CF9" s="19">
        <v>5.2</v>
      </c>
      <c r="CG9" s="19">
        <v>0.2</v>
      </c>
      <c r="CH9" s="19">
        <v>0</v>
      </c>
      <c r="CI9" s="19">
        <v>18.5</v>
      </c>
      <c r="CJ9" s="19">
        <v>4.8</v>
      </c>
      <c r="CK9" s="19">
        <v>0</v>
      </c>
      <c r="CL9" s="19">
        <v>0.3</v>
      </c>
      <c r="CM9" s="19">
        <v>18.899999999999999</v>
      </c>
      <c r="CN9" s="19">
        <v>6.4</v>
      </c>
      <c r="CO9" s="19">
        <v>0.8</v>
      </c>
      <c r="CP9" s="19">
        <v>0</v>
      </c>
      <c r="CQ9" s="19">
        <v>19</v>
      </c>
      <c r="CR9" s="19">
        <v>5.2</v>
      </c>
      <c r="CS9" s="19">
        <v>0</v>
      </c>
      <c r="CT9" s="19">
        <v>0</v>
      </c>
      <c r="CU9" s="27"/>
      <c r="CV9" s="40">
        <f t="shared" si="29"/>
        <v>11.600000000000001</v>
      </c>
      <c r="CW9" s="40">
        <f t="shared" si="30"/>
        <v>48</v>
      </c>
      <c r="CX9" s="40">
        <f t="shared" si="31"/>
        <v>23.6</v>
      </c>
      <c r="CY9" s="40">
        <f t="shared" si="32"/>
        <v>16.400000000000002</v>
      </c>
      <c r="CZ9" s="40">
        <f t="shared" si="33"/>
        <v>71.599999999999994</v>
      </c>
      <c r="DA9" s="40">
        <f t="shared" si="34"/>
        <v>11.600000000000001</v>
      </c>
      <c r="DB9" s="40">
        <f t="shared" si="35"/>
        <v>48.7</v>
      </c>
      <c r="DC9" s="40">
        <f t="shared" si="36"/>
        <v>120.3</v>
      </c>
      <c r="DD9" s="51" t="str">
        <f t="shared" si="37"/>
        <v/>
      </c>
      <c r="DE9" s="51" t="str">
        <f t="shared" si="38"/>
        <v/>
      </c>
      <c r="DF9" s="51" t="str">
        <f t="shared" si="39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 t="shared" si="40"/>
        <v/>
      </c>
      <c r="EB9" s="40" t="str">
        <f t="shared" si="41"/>
        <v/>
      </c>
      <c r="EC9" s="40" t="str">
        <f t="shared" si="42"/>
        <v/>
      </c>
      <c r="ED9" s="40" t="str">
        <f t="shared" si="43"/>
        <v/>
      </c>
      <c r="EE9" s="40" t="str">
        <f t="shared" si="44"/>
        <v/>
      </c>
      <c r="EF9" s="40" t="str">
        <f t="shared" si="45"/>
        <v/>
      </c>
      <c r="EG9" s="40" t="str">
        <f t="shared" si="46"/>
        <v/>
      </c>
      <c r="EH9" s="40" t="str">
        <f t="shared" si="47"/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 t="shared" si="48"/>
        <v/>
      </c>
      <c r="FD9" s="11" t="str">
        <f t="shared" si="49"/>
        <v/>
      </c>
      <c r="FE9" s="11" t="str">
        <f t="shared" si="50"/>
        <v/>
      </c>
      <c r="FF9" s="11" t="str">
        <f t="shared" si="51"/>
        <v/>
      </c>
      <c r="FG9" s="11" t="str">
        <f t="shared" si="52"/>
        <v/>
      </c>
      <c r="FH9" s="11" t="str">
        <f t="shared" si="53"/>
        <v/>
      </c>
      <c r="FI9" s="11" t="str">
        <f t="shared" si="54"/>
        <v/>
      </c>
      <c r="FJ9" s="11" t="str">
        <f t="shared" si="55"/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 t="shared" si="56"/>
        <v/>
      </c>
      <c r="GF9" s="40" t="str">
        <f t="shared" si="57"/>
        <v/>
      </c>
      <c r="GG9" s="40" t="str">
        <f t="shared" si="58"/>
        <v/>
      </c>
      <c r="GH9" s="40" t="str">
        <f t="shared" si="59"/>
        <v/>
      </c>
      <c r="GI9" s="40" t="str">
        <f t="shared" si="60"/>
        <v/>
      </c>
      <c r="GJ9" s="40" t="str">
        <f t="shared" si="61"/>
        <v/>
      </c>
      <c r="GK9" s="40" t="str">
        <f t="shared" si="62"/>
        <v/>
      </c>
      <c r="GL9" s="40" t="str">
        <f t="shared" si="63"/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4"/>
        <v/>
      </c>
      <c r="HH9" s="11" t="str">
        <f t="shared" si="65"/>
        <v/>
      </c>
      <c r="HI9" s="11" t="str">
        <f t="shared" si="66"/>
        <v/>
      </c>
      <c r="HJ9" s="11" t="str">
        <f t="shared" si="67"/>
        <v/>
      </c>
      <c r="HK9" s="11" t="str">
        <f t="shared" si="68"/>
        <v/>
      </c>
      <c r="HL9" s="11" t="str">
        <f t="shared" si="69"/>
        <v/>
      </c>
      <c r="HM9" s="11" t="str">
        <f t="shared" si="70"/>
        <v/>
      </c>
      <c r="HN9" s="11" t="str">
        <f t="shared" si="71"/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 t="shared" si="72"/>
        <v/>
      </c>
      <c r="IJ9" s="40" t="str">
        <f t="shared" si="73"/>
        <v/>
      </c>
      <c r="IK9" s="40" t="str">
        <f t="shared" si="74"/>
        <v/>
      </c>
      <c r="IL9" s="40" t="str">
        <f t="shared" si="75"/>
        <v/>
      </c>
      <c r="IM9" s="40" t="str">
        <f t="shared" si="76"/>
        <v/>
      </c>
      <c r="IN9" s="40" t="str">
        <f t="shared" si="77"/>
        <v/>
      </c>
      <c r="IO9" s="40" t="str">
        <f t="shared" si="78"/>
        <v/>
      </c>
      <c r="IP9" s="40" t="str">
        <f t="shared" si="79"/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80"/>
        <v/>
      </c>
      <c r="JL9" s="11" t="str">
        <f t="shared" si="81"/>
        <v/>
      </c>
      <c r="JM9" s="11" t="str">
        <f t="shared" si="82"/>
        <v/>
      </c>
      <c r="JN9" s="11" t="str">
        <f t="shared" si="83"/>
        <v/>
      </c>
      <c r="JO9" s="11" t="str">
        <f t="shared" si="84"/>
        <v/>
      </c>
      <c r="JP9" s="11" t="str">
        <f t="shared" si="85"/>
        <v/>
      </c>
      <c r="JQ9" s="11" t="str">
        <f t="shared" si="86"/>
        <v/>
      </c>
      <c r="JR9" s="11" t="str">
        <f t="shared" si="87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 t="shared" si="88"/>
        <v/>
      </c>
      <c r="KN9" s="40" t="str">
        <f t="shared" si="89"/>
        <v/>
      </c>
      <c r="KO9" s="40" t="str">
        <f t="shared" si="90"/>
        <v/>
      </c>
      <c r="KP9" s="40" t="str">
        <f t="shared" si="91"/>
        <v/>
      </c>
      <c r="KQ9" s="40" t="str">
        <f t="shared" si="92"/>
        <v/>
      </c>
      <c r="KR9" s="40" t="str">
        <f t="shared" si="93"/>
        <v/>
      </c>
      <c r="KS9" s="40" t="str">
        <f t="shared" si="94"/>
        <v/>
      </c>
      <c r="KT9" s="40" t="str">
        <f t="shared" si="95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6"/>
        <v/>
      </c>
      <c r="LP9" s="11" t="str">
        <f t="shared" si="97"/>
        <v/>
      </c>
      <c r="LQ9" s="11" t="str">
        <f t="shared" si="98"/>
        <v/>
      </c>
      <c r="LR9" s="11" t="str">
        <f t="shared" si="99"/>
        <v/>
      </c>
      <c r="LS9" s="11" t="str">
        <f t="shared" si="100"/>
        <v/>
      </c>
      <c r="LT9" s="11" t="str">
        <f t="shared" si="101"/>
        <v/>
      </c>
      <c r="LU9" s="11" t="str">
        <f t="shared" si="102"/>
        <v/>
      </c>
      <c r="LV9" s="11" t="str">
        <f t="shared" si="103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 t="shared" si="104"/>
        <v/>
      </c>
      <c r="MR9" s="40" t="str">
        <f t="shared" si="105"/>
        <v/>
      </c>
      <c r="MS9" s="40" t="str">
        <f t="shared" si="106"/>
        <v/>
      </c>
      <c r="MT9" s="40" t="str">
        <f t="shared" si="107"/>
        <v/>
      </c>
      <c r="MU9" s="40" t="str">
        <f t="shared" si="108"/>
        <v/>
      </c>
      <c r="MV9" s="40" t="str">
        <f t="shared" si="109"/>
        <v/>
      </c>
      <c r="MW9" s="40" t="str">
        <f t="shared" si="110"/>
        <v/>
      </c>
      <c r="MX9" s="40" t="str">
        <f t="shared" si="111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2"/>
        <v/>
      </c>
      <c r="NT9" s="11" t="str">
        <f t="shared" si="113"/>
        <v/>
      </c>
      <c r="NU9" s="11" t="str">
        <f t="shared" si="114"/>
        <v/>
      </c>
      <c r="NV9" s="11" t="str">
        <f t="shared" si="115"/>
        <v/>
      </c>
      <c r="NW9" s="11" t="str">
        <f t="shared" si="116"/>
        <v/>
      </c>
      <c r="NX9" s="11" t="str">
        <f t="shared" si="117"/>
        <v/>
      </c>
      <c r="NY9" s="11" t="str">
        <f t="shared" si="118"/>
        <v/>
      </c>
      <c r="NZ9" s="11" t="str">
        <f t="shared" si="119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 t="shared" si="120"/>
        <v/>
      </c>
      <c r="OV9" s="40" t="str">
        <f t="shared" si="121"/>
        <v/>
      </c>
      <c r="OW9" s="40" t="str">
        <f t="shared" si="122"/>
        <v/>
      </c>
      <c r="OX9" s="40" t="str">
        <f t="shared" si="123"/>
        <v/>
      </c>
      <c r="OY9" s="40" t="str">
        <f t="shared" si="124"/>
        <v/>
      </c>
      <c r="OZ9" s="40" t="str">
        <f t="shared" si="125"/>
        <v/>
      </c>
      <c r="PA9" s="40" t="str">
        <f t="shared" si="126"/>
        <v/>
      </c>
      <c r="PB9" s="40" t="str">
        <f t="shared" si="127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8"/>
        <v/>
      </c>
      <c r="PX9" s="11" t="str">
        <f t="shared" si="129"/>
        <v/>
      </c>
      <c r="PY9" s="11" t="str">
        <f t="shared" si="130"/>
        <v/>
      </c>
      <c r="PZ9" s="11" t="str">
        <f t="shared" si="131"/>
        <v/>
      </c>
      <c r="QA9" s="11" t="str">
        <f t="shared" si="132"/>
        <v/>
      </c>
      <c r="QB9" s="11" t="str">
        <f t="shared" si="133"/>
        <v/>
      </c>
      <c r="QC9" s="11" t="str">
        <f t="shared" si="134"/>
        <v/>
      </c>
      <c r="QD9" s="11" t="str">
        <f t="shared" si="135"/>
        <v/>
      </c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40" t="str">
        <f t="shared" si="136"/>
        <v/>
      </c>
      <c r="QZ9" s="40" t="str">
        <f t="shared" si="137"/>
        <v/>
      </c>
      <c r="RA9" s="40" t="str">
        <f t="shared" si="138"/>
        <v/>
      </c>
      <c r="RB9" s="40" t="str">
        <f t="shared" si="139"/>
        <v/>
      </c>
      <c r="RC9" s="40" t="str">
        <f t="shared" si="140"/>
        <v/>
      </c>
      <c r="RD9" s="40" t="str">
        <f t="shared" si="141"/>
        <v/>
      </c>
      <c r="RE9" s="40" t="str">
        <f t="shared" si="142"/>
        <v/>
      </c>
      <c r="RF9" s="40" t="str">
        <f t="shared" si="143"/>
        <v/>
      </c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1" t="str">
        <f t="shared" si="144"/>
        <v/>
      </c>
      <c r="SB9" s="11" t="str">
        <f t="shared" si="145"/>
        <v/>
      </c>
      <c r="SC9" s="11" t="str">
        <f t="shared" si="146"/>
        <v/>
      </c>
      <c r="SD9" s="11" t="str">
        <f t="shared" si="147"/>
        <v/>
      </c>
      <c r="SE9" s="11" t="str">
        <f t="shared" si="148"/>
        <v/>
      </c>
      <c r="SF9" s="11" t="str">
        <f t="shared" si="149"/>
        <v/>
      </c>
      <c r="SG9" s="11" t="str">
        <f t="shared" si="150"/>
        <v/>
      </c>
      <c r="SH9" s="11" t="str">
        <f t="shared" si="151"/>
        <v/>
      </c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40" t="str">
        <f t="shared" si="152"/>
        <v/>
      </c>
      <c r="TD9" s="40" t="str">
        <f t="shared" si="153"/>
        <v/>
      </c>
      <c r="TE9" s="40" t="str">
        <f t="shared" si="154"/>
        <v/>
      </c>
      <c r="TF9" s="40" t="str">
        <f t="shared" si="155"/>
        <v/>
      </c>
      <c r="TG9" s="40" t="str">
        <f t="shared" si="156"/>
        <v/>
      </c>
      <c r="TH9" s="40" t="str">
        <f t="shared" si="157"/>
        <v/>
      </c>
      <c r="TI9" s="40" t="str">
        <f t="shared" si="158"/>
        <v/>
      </c>
      <c r="TJ9" s="40" t="str">
        <f t="shared" si="159"/>
        <v/>
      </c>
      <c r="TK9" s="26">
        <f t="shared" si="160"/>
        <v>18.399999999999999</v>
      </c>
      <c r="TL9" s="26">
        <f t="shared" si="161"/>
        <v>6.4</v>
      </c>
      <c r="TM9" s="26">
        <f t="shared" si="162"/>
        <v>0.4</v>
      </c>
      <c r="TN9" s="26">
        <f t="shared" si="163"/>
        <v>0</v>
      </c>
      <c r="TO9" s="26">
        <f t="shared" si="164"/>
        <v>18.55</v>
      </c>
      <c r="TP9" s="26">
        <f t="shared" si="165"/>
        <v>5.6</v>
      </c>
      <c r="TQ9" s="26">
        <f t="shared" si="166"/>
        <v>0.4</v>
      </c>
      <c r="TR9" s="26">
        <f t="shared" si="167"/>
        <v>0</v>
      </c>
      <c r="TS9" s="26">
        <f t="shared" si="168"/>
        <v>18.399999999999999</v>
      </c>
      <c r="TT9" s="26">
        <f t="shared" si="169"/>
        <v>5</v>
      </c>
      <c r="TU9" s="26">
        <f t="shared" si="170"/>
        <v>0.3</v>
      </c>
      <c r="TV9" s="26">
        <f t="shared" si="171"/>
        <v>0.3</v>
      </c>
      <c r="TW9" s="26">
        <f t="shared" si="172"/>
        <v>18.7</v>
      </c>
      <c r="TX9" s="26">
        <f t="shared" si="173"/>
        <v>6.4</v>
      </c>
      <c r="TY9" s="26">
        <f t="shared" si="174"/>
        <v>0.4</v>
      </c>
      <c r="TZ9" s="26">
        <f t="shared" si="175"/>
        <v>0</v>
      </c>
      <c r="UA9" s="26">
        <f t="shared" si="176"/>
        <v>18.8</v>
      </c>
      <c r="UB9" s="26">
        <f t="shared" si="177"/>
        <v>5.6</v>
      </c>
      <c r="UC9" s="26">
        <f t="shared" si="178"/>
        <v>0</v>
      </c>
      <c r="UD9" s="26">
        <f t="shared" si="179"/>
        <v>0</v>
      </c>
      <c r="UE9" s="28" t="s">
        <v>53</v>
      </c>
      <c r="UF9" s="11">
        <f t="shared" si="180"/>
        <v>12</v>
      </c>
      <c r="UG9" s="11">
        <f t="shared" si="181"/>
        <v>48.15</v>
      </c>
      <c r="UH9" s="11">
        <f t="shared" si="182"/>
        <v>23.4</v>
      </c>
      <c r="UI9" s="11">
        <f t="shared" si="183"/>
        <v>17</v>
      </c>
      <c r="UJ9" s="11">
        <f t="shared" si="184"/>
        <v>71.55</v>
      </c>
      <c r="UK9" s="11">
        <f t="shared" si="185"/>
        <v>12</v>
      </c>
      <c r="UL9" s="11">
        <f t="shared" si="186"/>
        <v>49.100000000000009</v>
      </c>
      <c r="UM9" s="11">
        <f t="shared" si="187"/>
        <v>120.65</v>
      </c>
    </row>
    <row r="10" spans="1:559" x14ac:dyDescent="0.2">
      <c r="A10" s="4" cm="1">
        <f t="array" ref="A10">IF(AND(H10&lt;&gt;"",H10&lt;&gt;"No DD"),SUMPRODUCT((H$4:H$23&lt;&gt;"")*(H$4:H$23&lt;&gt;"No DD")*(E$4:E$23&gt;E10))+1,IF(H10="No DD",SUMPRODUCT((H$4:H$23="No DD")*(E$4:E$23&gt;E10))+1+SUMPRODUCT((H$4:H$23&lt;&gt;"")*(H$4:H$23&lt;&gt;"No DD")),""))</f>
        <v>7</v>
      </c>
      <c r="B10" s="5" t="s">
        <v>71</v>
      </c>
      <c r="C10" s="4" t="s">
        <v>6</v>
      </c>
      <c r="D10" s="4">
        <v>2001</v>
      </c>
      <c r="E10" s="9">
        <f t="shared" si="0"/>
        <v>168.90001159000488</v>
      </c>
      <c r="F10" s="3" t="str">
        <f t="shared" si="1"/>
        <v>P</v>
      </c>
      <c r="G10" s="3" t="str">
        <f t="shared" si="2"/>
        <v>P</v>
      </c>
      <c r="H10" s="36" t="str">
        <f t="shared" si="3"/>
        <v>National Team</v>
      </c>
      <c r="I10" s="3" t="str">
        <f t="shared" si="4"/>
        <v/>
      </c>
      <c r="J10" s="8">
        <f>IF(COUNT(AQ10,BT10,CW10)&gt;0,LARGE((AQ10,BT10,CW10),1),0)</f>
        <v>48.9</v>
      </c>
      <c r="K10" s="8" t="str">
        <f t="shared" si="5"/>
        <v>2024 Nationals</v>
      </c>
      <c r="L10" s="8">
        <f>IF(COUNT(AQ10,BT10,CW10)&gt;1,LARGE((AQ10,BT10,CW10),2),0)</f>
        <v>44.3</v>
      </c>
      <c r="M10" s="8" t="str">
        <f t="shared" si="6"/>
        <v>2024 3rd Domestic Trial</v>
      </c>
      <c r="N10" s="8">
        <f>IF(COUNT(AR10,BU10,CX10)&gt;0,LARGE((AR10,BU10,CX10),1),0)</f>
        <v>22.700000000000003</v>
      </c>
      <c r="O10" s="8" t="str">
        <f t="shared" si="7"/>
        <v>2024 3rd Domestic Trial</v>
      </c>
      <c r="P10" s="8">
        <f t="shared" si="8"/>
        <v>49.3</v>
      </c>
      <c r="Q10" s="8" t="str">
        <f t="shared" si="9"/>
        <v>2024 3rd Domestic Trial</v>
      </c>
      <c r="R10" s="8">
        <f t="shared" si="10"/>
        <v>3.7000000000000028</v>
      </c>
      <c r="S10" s="11" t="str">
        <f t="shared" si="11"/>
        <v>(Q1)</v>
      </c>
      <c r="T10" s="8" t="str">
        <f t="shared" si="12"/>
        <v>2024 Coimbra Gym Fest (July 7)</v>
      </c>
      <c r="U10" s="19">
        <v>18.100000000000001</v>
      </c>
      <c r="V10" s="19">
        <v>4.1999999999999993</v>
      </c>
      <c r="W10" s="19">
        <v>0</v>
      </c>
      <c r="X10" s="19">
        <v>0</v>
      </c>
      <c r="Y10" s="19">
        <v>9.15</v>
      </c>
      <c r="Z10" s="19">
        <v>3</v>
      </c>
      <c r="AA10" s="19">
        <v>0</v>
      </c>
      <c r="AB10" s="19">
        <v>0</v>
      </c>
      <c r="AC10" s="19">
        <v>9</v>
      </c>
      <c r="AD10" s="19">
        <v>2.4</v>
      </c>
      <c r="AE10" s="19">
        <v>0.3</v>
      </c>
      <c r="AF10" s="19">
        <v>0</v>
      </c>
      <c r="AG10" s="19">
        <v>9.35</v>
      </c>
      <c r="AH10" s="19">
        <v>2.8</v>
      </c>
      <c r="AI10" s="19">
        <v>0.3</v>
      </c>
      <c r="AJ10" s="19">
        <v>0</v>
      </c>
      <c r="AK10" s="19">
        <v>9.1</v>
      </c>
      <c r="AL10" s="19">
        <v>2.6</v>
      </c>
      <c r="AM10" s="19">
        <v>0</v>
      </c>
      <c r="AN10" s="19">
        <v>0</v>
      </c>
      <c r="AO10" s="27" t="s">
        <v>53</v>
      </c>
      <c r="AP10" s="40">
        <f t="shared" si="13"/>
        <v>7.1999999999999993</v>
      </c>
      <c r="AQ10" s="40">
        <f t="shared" si="14"/>
        <v>34.450000000000003</v>
      </c>
      <c r="AR10" s="40">
        <f t="shared" si="15"/>
        <v>11.1</v>
      </c>
      <c r="AS10" s="40">
        <f t="shared" si="16"/>
        <v>9.6</v>
      </c>
      <c r="AT10" s="40">
        <f t="shared" si="17"/>
        <v>45.550000000000004</v>
      </c>
      <c r="AU10" s="40">
        <f t="shared" si="18"/>
        <v>5.4</v>
      </c>
      <c r="AV10" s="40">
        <f t="shared" si="19"/>
        <v>23.55</v>
      </c>
      <c r="AW10" s="40">
        <f t="shared" si="20"/>
        <v>69.100000000000009</v>
      </c>
      <c r="AX10" s="18">
        <v>18.7</v>
      </c>
      <c r="AY10" s="18">
        <v>5.6</v>
      </c>
      <c r="AZ10" s="18">
        <v>0</v>
      </c>
      <c r="BA10" s="18">
        <v>0</v>
      </c>
      <c r="BB10" s="18">
        <v>18.600000000000001</v>
      </c>
      <c r="BC10" s="18">
        <v>6</v>
      </c>
      <c r="BD10" s="18">
        <v>0</v>
      </c>
      <c r="BE10" s="18">
        <v>0</v>
      </c>
      <c r="BF10" s="18">
        <v>18</v>
      </c>
      <c r="BG10" s="18">
        <v>4.8</v>
      </c>
      <c r="BH10" s="18">
        <v>0.6</v>
      </c>
      <c r="BI10" s="18">
        <v>0</v>
      </c>
      <c r="BJ10" s="18">
        <v>18.600000000000001</v>
      </c>
      <c r="BK10" s="18">
        <v>5.6</v>
      </c>
      <c r="BL10" s="18">
        <v>0</v>
      </c>
      <c r="BM10" s="18">
        <v>0</v>
      </c>
      <c r="BN10" s="18">
        <v>18.5</v>
      </c>
      <c r="BO10" s="18">
        <v>6</v>
      </c>
      <c r="BP10" s="18">
        <v>0</v>
      </c>
      <c r="BQ10" s="18">
        <v>0</v>
      </c>
      <c r="BR10" s="28"/>
      <c r="BS10" s="11">
        <f t="shared" si="21"/>
        <v>11.6</v>
      </c>
      <c r="BT10" s="11">
        <f t="shared" si="22"/>
        <v>48.9</v>
      </c>
      <c r="BU10" s="11">
        <f t="shared" si="23"/>
        <v>22.2</v>
      </c>
      <c r="BV10" s="11">
        <f t="shared" si="24"/>
        <v>16.399999999999999</v>
      </c>
      <c r="BW10" s="11">
        <f t="shared" si="25"/>
        <v>71.099999999999994</v>
      </c>
      <c r="BX10" s="11">
        <f t="shared" si="26"/>
        <v>11.6</v>
      </c>
      <c r="BY10" s="11">
        <f t="shared" si="27"/>
        <v>48.7</v>
      </c>
      <c r="BZ10" s="11">
        <f t="shared" si="28"/>
        <v>119.8</v>
      </c>
      <c r="CA10" s="19">
        <v>18.899999999999999</v>
      </c>
      <c r="CB10" s="19">
        <v>5.6</v>
      </c>
      <c r="CC10" s="19">
        <v>0</v>
      </c>
      <c r="CD10" s="19">
        <v>0</v>
      </c>
      <c r="CE10" s="19">
        <v>17.399999999999999</v>
      </c>
      <c r="CF10" s="19">
        <v>2.4</v>
      </c>
      <c r="CG10" s="19">
        <v>0</v>
      </c>
      <c r="CH10" s="19">
        <v>0</v>
      </c>
      <c r="CI10" s="19">
        <v>18.3</v>
      </c>
      <c r="CJ10" s="19">
        <v>4.4000000000000004</v>
      </c>
      <c r="CK10" s="19">
        <v>0</v>
      </c>
      <c r="CL10" s="19">
        <v>0</v>
      </c>
      <c r="CM10" s="19">
        <v>19</v>
      </c>
      <c r="CN10" s="19">
        <v>5.6</v>
      </c>
      <c r="CO10" s="19">
        <v>0</v>
      </c>
      <c r="CP10" s="19">
        <v>0</v>
      </c>
      <c r="CQ10" s="19">
        <v>18.7</v>
      </c>
      <c r="CR10" s="19">
        <v>6</v>
      </c>
      <c r="CS10" s="19">
        <v>0</v>
      </c>
      <c r="CT10" s="19">
        <v>0</v>
      </c>
      <c r="CU10" s="27"/>
      <c r="CV10" s="40">
        <f t="shared" si="29"/>
        <v>8</v>
      </c>
      <c r="CW10" s="40">
        <f t="shared" si="30"/>
        <v>44.3</v>
      </c>
      <c r="CX10" s="40">
        <f t="shared" si="31"/>
        <v>22.700000000000003</v>
      </c>
      <c r="CY10" s="40">
        <f t="shared" si="32"/>
        <v>12.4</v>
      </c>
      <c r="CZ10" s="40">
        <f t="shared" si="33"/>
        <v>67</v>
      </c>
      <c r="DA10" s="40">
        <f t="shared" si="34"/>
        <v>11.6</v>
      </c>
      <c r="DB10" s="40">
        <f t="shared" si="35"/>
        <v>49.3</v>
      </c>
      <c r="DC10" s="40">
        <f t="shared" si="36"/>
        <v>116.3</v>
      </c>
      <c r="DD10" s="51">
        <f t="shared" si="37"/>
        <v>3.7000000000000028</v>
      </c>
      <c r="DE10" s="51" t="str">
        <f t="shared" si="38"/>
        <v/>
      </c>
      <c r="DF10" s="51" t="str">
        <f t="shared" si="39"/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 t="shared" si="40"/>
        <v/>
      </c>
      <c r="EB10" s="40" t="str">
        <f t="shared" si="41"/>
        <v/>
      </c>
      <c r="EC10" s="40" t="str">
        <f t="shared" si="42"/>
        <v/>
      </c>
      <c r="ED10" s="40" t="str">
        <f t="shared" si="43"/>
        <v/>
      </c>
      <c r="EE10" s="40" t="str">
        <f t="shared" si="44"/>
        <v/>
      </c>
      <c r="EF10" s="40" t="str">
        <f t="shared" si="45"/>
        <v/>
      </c>
      <c r="EG10" s="40" t="str">
        <f t="shared" si="46"/>
        <v/>
      </c>
      <c r="EH10" s="40" t="str">
        <f t="shared" si="47"/>
        <v/>
      </c>
      <c r="EI10" s="18">
        <v>18.399999999999999</v>
      </c>
      <c r="EJ10" s="18">
        <v>5.6</v>
      </c>
      <c r="EK10" s="18">
        <v>0.6</v>
      </c>
      <c r="EL10" s="18">
        <v>0</v>
      </c>
      <c r="EM10" s="18">
        <v>18.600000000000001</v>
      </c>
      <c r="EN10" s="18">
        <v>6</v>
      </c>
      <c r="EO10" s="18">
        <v>0</v>
      </c>
      <c r="EP10" s="18">
        <v>0</v>
      </c>
      <c r="EQ10" s="18"/>
      <c r="ER10" s="18"/>
      <c r="ES10" s="18"/>
      <c r="ET10" s="18"/>
      <c r="EU10" s="18">
        <v>18.600000000000001</v>
      </c>
      <c r="EV10" s="18">
        <v>5.6</v>
      </c>
      <c r="EW10" s="18">
        <v>0.6</v>
      </c>
      <c r="EX10" s="18">
        <v>0</v>
      </c>
      <c r="EY10" s="18">
        <v>18.600000000000001</v>
      </c>
      <c r="EZ10" s="18">
        <v>6</v>
      </c>
      <c r="FA10" s="18">
        <v>0.6</v>
      </c>
      <c r="FB10" s="18">
        <v>0</v>
      </c>
      <c r="FC10" s="11">
        <f t="shared" si="48"/>
        <v>11.6</v>
      </c>
      <c r="FD10" s="11">
        <f t="shared" si="49"/>
        <v>48</v>
      </c>
      <c r="FE10" s="11" t="str">
        <f t="shared" si="50"/>
        <v/>
      </c>
      <c r="FF10" s="11">
        <f t="shared" si="51"/>
        <v>11.6</v>
      </c>
      <c r="FG10" s="11">
        <f t="shared" si="52"/>
        <v>48</v>
      </c>
      <c r="FH10" s="11">
        <f t="shared" si="53"/>
        <v>11.6</v>
      </c>
      <c r="FI10" s="11">
        <f t="shared" si="54"/>
        <v>47.6</v>
      </c>
      <c r="FJ10" s="11">
        <f t="shared" si="55"/>
        <v>95.6</v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 t="shared" si="56"/>
        <v/>
      </c>
      <c r="GF10" s="40" t="str">
        <f t="shared" si="57"/>
        <v/>
      </c>
      <c r="GG10" s="40" t="str">
        <f t="shared" si="58"/>
        <v/>
      </c>
      <c r="GH10" s="40" t="str">
        <f t="shared" si="59"/>
        <v/>
      </c>
      <c r="GI10" s="40" t="str">
        <f t="shared" si="60"/>
        <v/>
      </c>
      <c r="GJ10" s="40" t="str">
        <f t="shared" si="61"/>
        <v/>
      </c>
      <c r="GK10" s="40" t="str">
        <f t="shared" si="62"/>
        <v/>
      </c>
      <c r="GL10" s="40" t="str">
        <f t="shared" si="63"/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 t="shared" si="64"/>
        <v/>
      </c>
      <c r="HH10" s="11" t="str">
        <f t="shared" si="65"/>
        <v/>
      </c>
      <c r="HI10" s="11" t="str">
        <f t="shared" si="66"/>
        <v/>
      </c>
      <c r="HJ10" s="11" t="str">
        <f t="shared" si="67"/>
        <v/>
      </c>
      <c r="HK10" s="11" t="str">
        <f t="shared" si="68"/>
        <v/>
      </c>
      <c r="HL10" s="11" t="str">
        <f t="shared" si="69"/>
        <v/>
      </c>
      <c r="HM10" s="11" t="str">
        <f t="shared" si="70"/>
        <v/>
      </c>
      <c r="HN10" s="11" t="str">
        <f t="shared" si="71"/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 t="shared" si="72"/>
        <v/>
      </c>
      <c r="IJ10" s="40" t="str">
        <f t="shared" si="73"/>
        <v/>
      </c>
      <c r="IK10" s="40" t="str">
        <f t="shared" si="74"/>
        <v/>
      </c>
      <c r="IL10" s="40" t="str">
        <f t="shared" si="75"/>
        <v/>
      </c>
      <c r="IM10" s="40" t="str">
        <f t="shared" si="76"/>
        <v/>
      </c>
      <c r="IN10" s="40" t="str">
        <f t="shared" si="77"/>
        <v/>
      </c>
      <c r="IO10" s="40" t="str">
        <f t="shared" si="78"/>
        <v/>
      </c>
      <c r="IP10" s="40" t="str">
        <f t="shared" si="79"/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80"/>
        <v/>
      </c>
      <c r="JL10" s="11" t="str">
        <f t="shared" si="81"/>
        <v/>
      </c>
      <c r="JM10" s="11" t="str">
        <f t="shared" si="82"/>
        <v/>
      </c>
      <c r="JN10" s="11" t="str">
        <f t="shared" si="83"/>
        <v/>
      </c>
      <c r="JO10" s="11" t="str">
        <f t="shared" si="84"/>
        <v/>
      </c>
      <c r="JP10" s="11" t="str">
        <f t="shared" si="85"/>
        <v/>
      </c>
      <c r="JQ10" s="11" t="str">
        <f t="shared" si="86"/>
        <v/>
      </c>
      <c r="JR10" s="11" t="str">
        <f t="shared" si="87"/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 t="shared" si="88"/>
        <v/>
      </c>
      <c r="KN10" s="40" t="str">
        <f t="shared" si="89"/>
        <v/>
      </c>
      <c r="KO10" s="40" t="str">
        <f t="shared" si="90"/>
        <v/>
      </c>
      <c r="KP10" s="40" t="str">
        <f t="shared" si="91"/>
        <v/>
      </c>
      <c r="KQ10" s="40" t="str">
        <f t="shared" si="92"/>
        <v/>
      </c>
      <c r="KR10" s="40" t="str">
        <f t="shared" si="93"/>
        <v/>
      </c>
      <c r="KS10" s="40" t="str">
        <f t="shared" si="94"/>
        <v/>
      </c>
      <c r="KT10" s="40" t="str">
        <f t="shared" si="95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6"/>
        <v/>
      </c>
      <c r="LP10" s="11" t="str">
        <f t="shared" si="97"/>
        <v/>
      </c>
      <c r="LQ10" s="11" t="str">
        <f t="shared" si="98"/>
        <v/>
      </c>
      <c r="LR10" s="11" t="str">
        <f t="shared" si="99"/>
        <v/>
      </c>
      <c r="LS10" s="11" t="str">
        <f t="shared" si="100"/>
        <v/>
      </c>
      <c r="LT10" s="11" t="str">
        <f t="shared" si="101"/>
        <v/>
      </c>
      <c r="LU10" s="11" t="str">
        <f t="shared" si="102"/>
        <v/>
      </c>
      <c r="LV10" s="11" t="str">
        <f t="shared" si="103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 t="shared" si="104"/>
        <v/>
      </c>
      <c r="MR10" s="40" t="str">
        <f t="shared" si="105"/>
        <v/>
      </c>
      <c r="MS10" s="40" t="str">
        <f t="shared" si="106"/>
        <v/>
      </c>
      <c r="MT10" s="40" t="str">
        <f t="shared" si="107"/>
        <v/>
      </c>
      <c r="MU10" s="40" t="str">
        <f t="shared" si="108"/>
        <v/>
      </c>
      <c r="MV10" s="40" t="str">
        <f t="shared" si="109"/>
        <v/>
      </c>
      <c r="MW10" s="40" t="str">
        <f t="shared" si="110"/>
        <v/>
      </c>
      <c r="MX10" s="40" t="str">
        <f t="shared" si="111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2"/>
        <v/>
      </c>
      <c r="NT10" s="11" t="str">
        <f t="shared" si="113"/>
        <v/>
      </c>
      <c r="NU10" s="11" t="str">
        <f t="shared" si="114"/>
        <v/>
      </c>
      <c r="NV10" s="11" t="str">
        <f t="shared" si="115"/>
        <v/>
      </c>
      <c r="NW10" s="11" t="str">
        <f t="shared" si="116"/>
        <v/>
      </c>
      <c r="NX10" s="11" t="str">
        <f t="shared" si="117"/>
        <v/>
      </c>
      <c r="NY10" s="11" t="str">
        <f t="shared" si="118"/>
        <v/>
      </c>
      <c r="NZ10" s="11" t="str">
        <f t="shared" si="119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 t="shared" si="120"/>
        <v/>
      </c>
      <c r="OV10" s="40" t="str">
        <f t="shared" si="121"/>
        <v/>
      </c>
      <c r="OW10" s="40" t="str">
        <f t="shared" si="122"/>
        <v/>
      </c>
      <c r="OX10" s="40" t="str">
        <f t="shared" si="123"/>
        <v/>
      </c>
      <c r="OY10" s="40" t="str">
        <f t="shared" si="124"/>
        <v/>
      </c>
      <c r="OZ10" s="40" t="str">
        <f t="shared" si="125"/>
        <v/>
      </c>
      <c r="PA10" s="40" t="str">
        <f t="shared" si="126"/>
        <v/>
      </c>
      <c r="PB10" s="40" t="str">
        <f t="shared" si="127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8"/>
        <v/>
      </c>
      <c r="PX10" s="11" t="str">
        <f t="shared" si="129"/>
        <v/>
      </c>
      <c r="PY10" s="11" t="str">
        <f t="shared" si="130"/>
        <v/>
      </c>
      <c r="PZ10" s="11" t="str">
        <f t="shared" si="131"/>
        <v/>
      </c>
      <c r="QA10" s="11" t="str">
        <f t="shared" si="132"/>
        <v/>
      </c>
      <c r="QB10" s="11" t="str">
        <f t="shared" si="133"/>
        <v/>
      </c>
      <c r="QC10" s="11" t="str">
        <f t="shared" si="134"/>
        <v/>
      </c>
      <c r="QD10" s="11" t="str">
        <f t="shared" si="135"/>
        <v/>
      </c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40" t="str">
        <f t="shared" si="136"/>
        <v/>
      </c>
      <c r="QZ10" s="40" t="str">
        <f t="shared" si="137"/>
        <v/>
      </c>
      <c r="RA10" s="40" t="str">
        <f t="shared" si="138"/>
        <v/>
      </c>
      <c r="RB10" s="40" t="str">
        <f t="shared" si="139"/>
        <v/>
      </c>
      <c r="RC10" s="40" t="str">
        <f t="shared" si="140"/>
        <v/>
      </c>
      <c r="RD10" s="40" t="str">
        <f t="shared" si="141"/>
        <v/>
      </c>
      <c r="RE10" s="40" t="str">
        <f t="shared" si="142"/>
        <v/>
      </c>
      <c r="RF10" s="40" t="str">
        <f t="shared" si="143"/>
        <v/>
      </c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1" t="str">
        <f t="shared" si="144"/>
        <v/>
      </c>
      <c r="SB10" s="11" t="str">
        <f t="shared" si="145"/>
        <v/>
      </c>
      <c r="SC10" s="11" t="str">
        <f t="shared" si="146"/>
        <v/>
      </c>
      <c r="SD10" s="11" t="str">
        <f t="shared" si="147"/>
        <v/>
      </c>
      <c r="SE10" s="11" t="str">
        <f t="shared" si="148"/>
        <v/>
      </c>
      <c r="SF10" s="11" t="str">
        <f t="shared" si="149"/>
        <v/>
      </c>
      <c r="SG10" s="11" t="str">
        <f t="shared" si="150"/>
        <v/>
      </c>
      <c r="SH10" s="11" t="str">
        <f t="shared" si="151"/>
        <v/>
      </c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40" t="str">
        <f t="shared" si="152"/>
        <v/>
      </c>
      <c r="TD10" s="40" t="str">
        <f t="shared" si="153"/>
        <v/>
      </c>
      <c r="TE10" s="40" t="str">
        <f t="shared" si="154"/>
        <v/>
      </c>
      <c r="TF10" s="40" t="str">
        <f t="shared" si="155"/>
        <v/>
      </c>
      <c r="TG10" s="40" t="str">
        <f t="shared" si="156"/>
        <v/>
      </c>
      <c r="TH10" s="40" t="str">
        <f t="shared" si="157"/>
        <v/>
      </c>
      <c r="TI10" s="40" t="str">
        <f t="shared" si="158"/>
        <v/>
      </c>
      <c r="TJ10" s="40" t="str">
        <f t="shared" si="159"/>
        <v/>
      </c>
      <c r="TK10" s="26">
        <f t="shared" si="160"/>
        <v>18.799999999999997</v>
      </c>
      <c r="TL10" s="26">
        <f t="shared" si="161"/>
        <v>5.6</v>
      </c>
      <c r="TM10" s="26">
        <f t="shared" si="162"/>
        <v>0</v>
      </c>
      <c r="TN10" s="26">
        <f t="shared" si="163"/>
        <v>0</v>
      </c>
      <c r="TO10" s="26">
        <f t="shared" si="164"/>
        <v>18</v>
      </c>
      <c r="TP10" s="26">
        <f t="shared" si="165"/>
        <v>4.2</v>
      </c>
      <c r="TQ10" s="26">
        <f t="shared" si="166"/>
        <v>0</v>
      </c>
      <c r="TR10" s="26">
        <f t="shared" si="167"/>
        <v>0</v>
      </c>
      <c r="TS10" s="26">
        <f t="shared" si="168"/>
        <v>18.149999999999999</v>
      </c>
      <c r="TT10" s="26">
        <f t="shared" si="169"/>
        <v>4.5999999999999996</v>
      </c>
      <c r="TU10" s="26">
        <f t="shared" si="170"/>
        <v>0.3</v>
      </c>
      <c r="TV10" s="26">
        <f t="shared" si="171"/>
        <v>0</v>
      </c>
      <c r="TW10" s="26">
        <f t="shared" si="172"/>
        <v>18.8</v>
      </c>
      <c r="TX10" s="26">
        <f t="shared" si="173"/>
        <v>5.6</v>
      </c>
      <c r="TY10" s="26">
        <f t="shared" si="174"/>
        <v>0</v>
      </c>
      <c r="TZ10" s="26">
        <f t="shared" si="175"/>
        <v>0</v>
      </c>
      <c r="UA10" s="26">
        <f t="shared" si="176"/>
        <v>18.600000000000001</v>
      </c>
      <c r="UB10" s="26">
        <f t="shared" si="177"/>
        <v>6</v>
      </c>
      <c r="UC10" s="26">
        <f t="shared" si="178"/>
        <v>0</v>
      </c>
      <c r="UD10" s="26">
        <f t="shared" si="179"/>
        <v>0</v>
      </c>
      <c r="UE10" s="28" t="s">
        <v>53</v>
      </c>
      <c r="UF10" s="11">
        <f t="shared" si="180"/>
        <v>9.8000000000000007</v>
      </c>
      <c r="UG10" s="11">
        <f t="shared" si="181"/>
        <v>46.6</v>
      </c>
      <c r="UH10" s="11">
        <f t="shared" si="182"/>
        <v>22.45</v>
      </c>
      <c r="UI10" s="11">
        <f t="shared" si="183"/>
        <v>14.4</v>
      </c>
      <c r="UJ10" s="11">
        <f t="shared" si="184"/>
        <v>69.05</v>
      </c>
      <c r="UK10" s="11">
        <f t="shared" si="185"/>
        <v>11.6</v>
      </c>
      <c r="UL10" s="11">
        <f t="shared" si="186"/>
        <v>49</v>
      </c>
      <c r="UM10" s="11">
        <f t="shared" si="187"/>
        <v>118.05</v>
      </c>
    </row>
    <row r="11" spans="1:559" x14ac:dyDescent="0.2">
      <c r="A11" s="4" cm="1">
        <f t="array" ref="A11">IF(AND(H11&lt;&gt;"",H11&lt;&gt;"No DD"),SUMPRODUCT((H$4:H$23&lt;&gt;"")*(H$4:H$23&lt;&gt;"No DD")*(E$4:E$23&gt;E11))+1,IF(H11="No DD",SUMPRODUCT((H$4:H$23="No DD")*(E$4:E$23&gt;E11))+1+SUMPRODUCT((H$4:H$23&lt;&gt;"")*(H$4:H$23&lt;&gt;"No DD")),""))</f>
        <v>8</v>
      </c>
      <c r="B11" s="5" t="s">
        <v>161</v>
      </c>
      <c r="C11" s="4" t="s">
        <v>7</v>
      </c>
      <c r="D11" s="4">
        <v>2002</v>
      </c>
      <c r="E11" s="9">
        <f t="shared" si="0"/>
        <v>166.90001184000491</v>
      </c>
      <c r="F11" s="3" t="str">
        <f t="shared" si="1"/>
        <v>P</v>
      </c>
      <c r="G11" s="3" t="str">
        <f t="shared" si="2"/>
        <v>P</v>
      </c>
      <c r="H11" s="36" t="str">
        <f t="shared" si="3"/>
        <v>Worlds Team</v>
      </c>
      <c r="I11" s="3" t="str">
        <f t="shared" si="4"/>
        <v>P</v>
      </c>
      <c r="J11" s="8">
        <f>IF(COUNT(AQ11,BT11,CW11)&gt;0,LARGE((AQ11,BT11,CW11),1),0)</f>
        <v>48.8</v>
      </c>
      <c r="K11" s="8" t="str">
        <f t="shared" si="5"/>
        <v>2024 Nationals</v>
      </c>
      <c r="L11" s="8">
        <f>IF(COUNT(AQ11,BT11,CW11)&gt;1,LARGE((AQ11,BT11,CW11),2),0)</f>
        <v>46.199999999999996</v>
      </c>
      <c r="M11" s="8" t="str">
        <f t="shared" si="6"/>
        <v>2024 3rd Domestic Trial</v>
      </c>
      <c r="N11" s="8">
        <f>IF(COUNT(AR11,BU11,CX11)&gt;0,LARGE((AR11,BU11,CX11),1),0)</f>
        <v>23.400000000000002</v>
      </c>
      <c r="O11" s="8" t="str">
        <f t="shared" si="7"/>
        <v>2024 Nationals</v>
      </c>
      <c r="P11" s="8">
        <f t="shared" si="8"/>
        <v>48.5</v>
      </c>
      <c r="Q11" s="8" t="str">
        <f t="shared" si="9"/>
        <v>2024 Elite Canada</v>
      </c>
      <c r="R11" s="8" t="str">
        <f t="shared" si="10"/>
        <v/>
      </c>
      <c r="S11" s="11" t="str">
        <f t="shared" si="11"/>
        <v/>
      </c>
      <c r="T11" s="8" t="str">
        <f t="shared" si="12"/>
        <v/>
      </c>
      <c r="U11" s="19">
        <v>17.600000000000001</v>
      </c>
      <c r="V11" s="19">
        <v>4.8</v>
      </c>
      <c r="W11" s="19">
        <v>1</v>
      </c>
      <c r="X11" s="19">
        <v>0</v>
      </c>
      <c r="Y11" s="19">
        <v>18.5</v>
      </c>
      <c r="Z11" s="19">
        <v>5.2</v>
      </c>
      <c r="AA11" s="19">
        <v>0.2</v>
      </c>
      <c r="AB11" s="19">
        <v>0</v>
      </c>
      <c r="AC11" s="19">
        <v>18.2</v>
      </c>
      <c r="AD11" s="19">
        <v>4.3</v>
      </c>
      <c r="AE11" s="19">
        <v>0.3</v>
      </c>
      <c r="AF11" s="19">
        <v>0</v>
      </c>
      <c r="AG11" s="19">
        <v>18.399999999999999</v>
      </c>
      <c r="AH11" s="19">
        <v>5.6</v>
      </c>
      <c r="AI11" s="19">
        <v>0.2</v>
      </c>
      <c r="AJ11" s="19">
        <v>0</v>
      </c>
      <c r="AK11" s="19">
        <v>18.899999999999999</v>
      </c>
      <c r="AL11" s="19">
        <v>6</v>
      </c>
      <c r="AM11" s="19">
        <v>0.2</v>
      </c>
      <c r="AN11" s="19">
        <v>0</v>
      </c>
      <c r="AO11" s="27"/>
      <c r="AP11" s="40">
        <f t="shared" si="13"/>
        <v>10</v>
      </c>
      <c r="AQ11" s="40">
        <f t="shared" si="14"/>
        <v>44.900000000000006</v>
      </c>
      <c r="AR11" s="40">
        <f t="shared" si="15"/>
        <v>22.2</v>
      </c>
      <c r="AS11" s="40">
        <f t="shared" si="16"/>
        <v>14.3</v>
      </c>
      <c r="AT11" s="40">
        <f t="shared" si="17"/>
        <v>67.100000000000009</v>
      </c>
      <c r="AU11" s="40">
        <f t="shared" si="18"/>
        <v>11.6</v>
      </c>
      <c r="AV11" s="40">
        <f t="shared" si="19"/>
        <v>48.5</v>
      </c>
      <c r="AW11" s="40">
        <f t="shared" si="20"/>
        <v>115.60000000000001</v>
      </c>
      <c r="AX11" s="18">
        <v>18.8</v>
      </c>
      <c r="AY11" s="18">
        <v>5.6</v>
      </c>
      <c r="AZ11" s="18">
        <v>0.2</v>
      </c>
      <c r="BA11" s="18">
        <v>0</v>
      </c>
      <c r="BB11" s="18">
        <v>18.8</v>
      </c>
      <c r="BC11" s="18">
        <v>6</v>
      </c>
      <c r="BD11" s="18">
        <v>0.2</v>
      </c>
      <c r="BE11" s="18">
        <v>0</v>
      </c>
      <c r="BF11" s="18">
        <v>18.600000000000001</v>
      </c>
      <c r="BG11" s="18">
        <v>5.0999999999999996</v>
      </c>
      <c r="BH11" s="18">
        <v>0.6</v>
      </c>
      <c r="BI11" s="18">
        <v>0.3</v>
      </c>
      <c r="BJ11" s="18">
        <v>18.7</v>
      </c>
      <c r="BK11" s="18">
        <v>6.8</v>
      </c>
      <c r="BL11" s="18">
        <v>0.2</v>
      </c>
      <c r="BM11" s="18">
        <v>0.3</v>
      </c>
      <c r="BN11" s="18">
        <v>0</v>
      </c>
      <c r="BO11" s="18">
        <v>0</v>
      </c>
      <c r="BP11" s="18">
        <v>0</v>
      </c>
      <c r="BQ11" s="18">
        <v>0</v>
      </c>
      <c r="BR11" s="28"/>
      <c r="BS11" s="11">
        <f t="shared" si="21"/>
        <v>11.6</v>
      </c>
      <c r="BT11" s="11">
        <f t="shared" si="22"/>
        <v>48.8</v>
      </c>
      <c r="BU11" s="11">
        <f t="shared" si="23"/>
        <v>23.400000000000002</v>
      </c>
      <c r="BV11" s="11">
        <f t="shared" si="24"/>
        <v>16.7</v>
      </c>
      <c r="BW11" s="11">
        <f t="shared" si="25"/>
        <v>72.2</v>
      </c>
      <c r="BX11" s="11">
        <f t="shared" si="26"/>
        <v>6.8</v>
      </c>
      <c r="BY11" s="11">
        <f t="shared" si="27"/>
        <v>25.6</v>
      </c>
      <c r="BZ11" s="11">
        <f t="shared" si="28"/>
        <v>97.800000000000011</v>
      </c>
      <c r="CA11" s="19">
        <v>18.399999999999999</v>
      </c>
      <c r="CB11" s="19">
        <v>5.6</v>
      </c>
      <c r="CC11" s="19">
        <v>0</v>
      </c>
      <c r="CD11" s="19">
        <v>0</v>
      </c>
      <c r="CE11" s="19">
        <v>18.399999999999999</v>
      </c>
      <c r="CF11" s="19">
        <v>4.4000000000000004</v>
      </c>
      <c r="CG11" s="19">
        <v>0.6</v>
      </c>
      <c r="CH11" s="19">
        <v>0</v>
      </c>
      <c r="CI11" s="19">
        <v>19.2</v>
      </c>
      <c r="CJ11" s="19">
        <v>4.3</v>
      </c>
      <c r="CK11" s="19">
        <v>0.3</v>
      </c>
      <c r="CL11" s="19">
        <v>0</v>
      </c>
      <c r="CM11" s="19">
        <v>16.5</v>
      </c>
      <c r="CN11" s="19">
        <v>4.8</v>
      </c>
      <c r="CO11" s="19">
        <v>0.2</v>
      </c>
      <c r="CP11" s="19">
        <v>0</v>
      </c>
      <c r="CQ11" s="19">
        <v>18.399999999999999</v>
      </c>
      <c r="CR11" s="19">
        <v>5.2</v>
      </c>
      <c r="CS11" s="19">
        <v>0.2</v>
      </c>
      <c r="CT11" s="19">
        <v>0</v>
      </c>
      <c r="CU11" s="27"/>
      <c r="CV11" s="40">
        <f t="shared" si="29"/>
        <v>10</v>
      </c>
      <c r="CW11" s="40">
        <f t="shared" si="30"/>
        <v>46.199999999999996</v>
      </c>
      <c r="CX11" s="40">
        <f t="shared" si="31"/>
        <v>23.2</v>
      </c>
      <c r="CY11" s="40">
        <f t="shared" si="32"/>
        <v>14.3</v>
      </c>
      <c r="CZ11" s="40">
        <f t="shared" si="33"/>
        <v>69.399999999999991</v>
      </c>
      <c r="DA11" s="40">
        <f t="shared" si="34"/>
        <v>10</v>
      </c>
      <c r="DB11" s="40">
        <f t="shared" si="35"/>
        <v>44.500000000000007</v>
      </c>
      <c r="DC11" s="40">
        <f t="shared" si="36"/>
        <v>113.9</v>
      </c>
      <c r="DD11" s="51" t="str">
        <f t="shared" si="37"/>
        <v/>
      </c>
      <c r="DE11" s="51" t="str">
        <f t="shared" si="38"/>
        <v/>
      </c>
      <c r="DF11" s="51" t="str">
        <f t="shared" si="39"/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 t="shared" si="40"/>
        <v/>
      </c>
      <c r="EB11" s="40" t="str">
        <f t="shared" si="41"/>
        <v/>
      </c>
      <c r="EC11" s="40" t="str">
        <f t="shared" si="42"/>
        <v/>
      </c>
      <c r="ED11" s="40" t="str">
        <f t="shared" si="43"/>
        <v/>
      </c>
      <c r="EE11" s="40" t="str">
        <f t="shared" si="44"/>
        <v/>
      </c>
      <c r="EF11" s="40" t="str">
        <f t="shared" si="45"/>
        <v/>
      </c>
      <c r="EG11" s="40" t="str">
        <f t="shared" si="46"/>
        <v/>
      </c>
      <c r="EH11" s="40" t="str">
        <f t="shared" si="47"/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8"/>
        <v/>
      </c>
      <c r="FD11" s="11" t="str">
        <f t="shared" si="49"/>
        <v/>
      </c>
      <c r="FE11" s="11" t="str">
        <f t="shared" si="50"/>
        <v/>
      </c>
      <c r="FF11" s="11" t="str">
        <f t="shared" si="51"/>
        <v/>
      </c>
      <c r="FG11" s="11" t="str">
        <f t="shared" si="52"/>
        <v/>
      </c>
      <c r="FH11" s="11" t="str">
        <f t="shared" si="53"/>
        <v/>
      </c>
      <c r="FI11" s="11" t="str">
        <f t="shared" si="54"/>
        <v/>
      </c>
      <c r="FJ11" s="11" t="str">
        <f t="shared" si="55"/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 t="shared" si="56"/>
        <v/>
      </c>
      <c r="GF11" s="40" t="str">
        <f t="shared" si="57"/>
        <v/>
      </c>
      <c r="GG11" s="40" t="str">
        <f t="shared" si="58"/>
        <v/>
      </c>
      <c r="GH11" s="40" t="str">
        <f t="shared" si="59"/>
        <v/>
      </c>
      <c r="GI11" s="40" t="str">
        <f t="shared" si="60"/>
        <v/>
      </c>
      <c r="GJ11" s="40" t="str">
        <f t="shared" si="61"/>
        <v/>
      </c>
      <c r="GK11" s="40" t="str">
        <f t="shared" si="62"/>
        <v/>
      </c>
      <c r="GL11" s="40" t="str">
        <f t="shared" si="63"/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 t="shared" si="64"/>
        <v/>
      </c>
      <c r="HH11" s="11" t="str">
        <f t="shared" si="65"/>
        <v/>
      </c>
      <c r="HI11" s="11" t="str">
        <f t="shared" si="66"/>
        <v/>
      </c>
      <c r="HJ11" s="11" t="str">
        <f t="shared" si="67"/>
        <v/>
      </c>
      <c r="HK11" s="11" t="str">
        <f t="shared" si="68"/>
        <v/>
      </c>
      <c r="HL11" s="11" t="str">
        <f t="shared" si="69"/>
        <v/>
      </c>
      <c r="HM11" s="11" t="str">
        <f t="shared" si="70"/>
        <v/>
      </c>
      <c r="HN11" s="11" t="str">
        <f t="shared" si="71"/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 t="shared" si="72"/>
        <v/>
      </c>
      <c r="IJ11" s="40" t="str">
        <f t="shared" si="73"/>
        <v/>
      </c>
      <c r="IK11" s="40" t="str">
        <f t="shared" si="74"/>
        <v/>
      </c>
      <c r="IL11" s="40" t="str">
        <f t="shared" si="75"/>
        <v/>
      </c>
      <c r="IM11" s="40" t="str">
        <f t="shared" si="76"/>
        <v/>
      </c>
      <c r="IN11" s="40" t="str">
        <f t="shared" si="77"/>
        <v/>
      </c>
      <c r="IO11" s="40" t="str">
        <f t="shared" si="78"/>
        <v/>
      </c>
      <c r="IP11" s="40" t="str">
        <f t="shared" si="79"/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80"/>
        <v/>
      </c>
      <c r="JL11" s="11" t="str">
        <f t="shared" si="81"/>
        <v/>
      </c>
      <c r="JM11" s="11" t="str">
        <f t="shared" si="82"/>
        <v/>
      </c>
      <c r="JN11" s="11" t="str">
        <f t="shared" si="83"/>
        <v/>
      </c>
      <c r="JO11" s="11" t="str">
        <f t="shared" si="84"/>
        <v/>
      </c>
      <c r="JP11" s="11" t="str">
        <f t="shared" si="85"/>
        <v/>
      </c>
      <c r="JQ11" s="11" t="str">
        <f t="shared" si="86"/>
        <v/>
      </c>
      <c r="JR11" s="11" t="str">
        <f t="shared" si="87"/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 t="shared" si="88"/>
        <v/>
      </c>
      <c r="KN11" s="40" t="str">
        <f t="shared" si="89"/>
        <v/>
      </c>
      <c r="KO11" s="40" t="str">
        <f t="shared" si="90"/>
        <v/>
      </c>
      <c r="KP11" s="40" t="str">
        <f t="shared" si="91"/>
        <v/>
      </c>
      <c r="KQ11" s="40" t="str">
        <f t="shared" si="92"/>
        <v/>
      </c>
      <c r="KR11" s="40" t="str">
        <f t="shared" si="93"/>
        <v/>
      </c>
      <c r="KS11" s="40" t="str">
        <f t="shared" si="94"/>
        <v/>
      </c>
      <c r="KT11" s="40" t="str">
        <f t="shared" si="95"/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6"/>
        <v/>
      </c>
      <c r="LP11" s="11" t="str">
        <f t="shared" si="97"/>
        <v/>
      </c>
      <c r="LQ11" s="11" t="str">
        <f t="shared" si="98"/>
        <v/>
      </c>
      <c r="LR11" s="11" t="str">
        <f t="shared" si="99"/>
        <v/>
      </c>
      <c r="LS11" s="11" t="str">
        <f t="shared" si="100"/>
        <v/>
      </c>
      <c r="LT11" s="11" t="str">
        <f t="shared" si="101"/>
        <v/>
      </c>
      <c r="LU11" s="11" t="str">
        <f t="shared" si="102"/>
        <v/>
      </c>
      <c r="LV11" s="11" t="str">
        <f t="shared" si="103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 t="shared" si="104"/>
        <v/>
      </c>
      <c r="MR11" s="40" t="str">
        <f t="shared" si="105"/>
        <v/>
      </c>
      <c r="MS11" s="40" t="str">
        <f t="shared" si="106"/>
        <v/>
      </c>
      <c r="MT11" s="40" t="str">
        <f t="shared" si="107"/>
        <v/>
      </c>
      <c r="MU11" s="40" t="str">
        <f t="shared" si="108"/>
        <v/>
      </c>
      <c r="MV11" s="40" t="str">
        <f t="shared" si="109"/>
        <v/>
      </c>
      <c r="MW11" s="40" t="str">
        <f t="shared" si="110"/>
        <v/>
      </c>
      <c r="MX11" s="40" t="str">
        <f t="shared" si="111"/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2"/>
        <v/>
      </c>
      <c r="NT11" s="11" t="str">
        <f t="shared" si="113"/>
        <v/>
      </c>
      <c r="NU11" s="11" t="str">
        <f t="shared" si="114"/>
        <v/>
      </c>
      <c r="NV11" s="11" t="str">
        <f t="shared" si="115"/>
        <v/>
      </c>
      <c r="NW11" s="11" t="str">
        <f t="shared" si="116"/>
        <v/>
      </c>
      <c r="NX11" s="11" t="str">
        <f t="shared" si="117"/>
        <v/>
      </c>
      <c r="NY11" s="11" t="str">
        <f t="shared" si="118"/>
        <v/>
      </c>
      <c r="NZ11" s="11" t="str">
        <f t="shared" si="119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 t="shared" si="120"/>
        <v/>
      </c>
      <c r="OV11" s="40" t="str">
        <f t="shared" si="121"/>
        <v/>
      </c>
      <c r="OW11" s="40" t="str">
        <f t="shared" si="122"/>
        <v/>
      </c>
      <c r="OX11" s="40" t="str">
        <f t="shared" si="123"/>
        <v/>
      </c>
      <c r="OY11" s="40" t="str">
        <f t="shared" si="124"/>
        <v/>
      </c>
      <c r="OZ11" s="40" t="str">
        <f t="shared" si="125"/>
        <v/>
      </c>
      <c r="PA11" s="40" t="str">
        <f t="shared" si="126"/>
        <v/>
      </c>
      <c r="PB11" s="40" t="str">
        <f t="shared" si="127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8"/>
        <v/>
      </c>
      <c r="PX11" s="11" t="str">
        <f t="shared" si="129"/>
        <v/>
      </c>
      <c r="PY11" s="11" t="str">
        <f t="shared" si="130"/>
        <v/>
      </c>
      <c r="PZ11" s="11" t="str">
        <f t="shared" si="131"/>
        <v/>
      </c>
      <c r="QA11" s="11" t="str">
        <f t="shared" si="132"/>
        <v/>
      </c>
      <c r="QB11" s="11" t="str">
        <f t="shared" si="133"/>
        <v/>
      </c>
      <c r="QC11" s="11" t="str">
        <f t="shared" si="134"/>
        <v/>
      </c>
      <c r="QD11" s="11" t="str">
        <f t="shared" si="135"/>
        <v/>
      </c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40" t="str">
        <f t="shared" si="136"/>
        <v/>
      </c>
      <c r="QZ11" s="40" t="str">
        <f t="shared" si="137"/>
        <v/>
      </c>
      <c r="RA11" s="40" t="str">
        <f t="shared" si="138"/>
        <v/>
      </c>
      <c r="RB11" s="40" t="str">
        <f t="shared" si="139"/>
        <v/>
      </c>
      <c r="RC11" s="40" t="str">
        <f t="shared" si="140"/>
        <v/>
      </c>
      <c r="RD11" s="40" t="str">
        <f t="shared" si="141"/>
        <v/>
      </c>
      <c r="RE11" s="40" t="str">
        <f t="shared" si="142"/>
        <v/>
      </c>
      <c r="RF11" s="40" t="str">
        <f t="shared" si="143"/>
        <v/>
      </c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1" t="str">
        <f t="shared" si="144"/>
        <v/>
      </c>
      <c r="SB11" s="11" t="str">
        <f t="shared" si="145"/>
        <v/>
      </c>
      <c r="SC11" s="11" t="str">
        <f t="shared" si="146"/>
        <v/>
      </c>
      <c r="SD11" s="11" t="str">
        <f t="shared" si="147"/>
        <v/>
      </c>
      <c r="SE11" s="11" t="str">
        <f t="shared" si="148"/>
        <v/>
      </c>
      <c r="SF11" s="11" t="str">
        <f t="shared" si="149"/>
        <v/>
      </c>
      <c r="SG11" s="11" t="str">
        <f t="shared" si="150"/>
        <v/>
      </c>
      <c r="SH11" s="11" t="str">
        <f t="shared" si="151"/>
        <v/>
      </c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40" t="str">
        <f t="shared" si="152"/>
        <v/>
      </c>
      <c r="TD11" s="40" t="str">
        <f t="shared" si="153"/>
        <v/>
      </c>
      <c r="TE11" s="40" t="str">
        <f t="shared" si="154"/>
        <v/>
      </c>
      <c r="TF11" s="40" t="str">
        <f t="shared" si="155"/>
        <v/>
      </c>
      <c r="TG11" s="40" t="str">
        <f t="shared" si="156"/>
        <v/>
      </c>
      <c r="TH11" s="40" t="str">
        <f t="shared" si="157"/>
        <v/>
      </c>
      <c r="TI11" s="40" t="str">
        <f t="shared" si="158"/>
        <v/>
      </c>
      <c r="TJ11" s="40" t="str">
        <f t="shared" si="159"/>
        <v/>
      </c>
      <c r="TK11" s="26">
        <f t="shared" si="160"/>
        <v>18.600000000000001</v>
      </c>
      <c r="TL11" s="26">
        <f t="shared" si="161"/>
        <v>5.6</v>
      </c>
      <c r="TM11" s="26">
        <f t="shared" si="162"/>
        <v>0.1</v>
      </c>
      <c r="TN11" s="26">
        <f t="shared" si="163"/>
        <v>0</v>
      </c>
      <c r="TO11" s="26">
        <f t="shared" si="164"/>
        <v>18.600000000000001</v>
      </c>
      <c r="TP11" s="26">
        <f t="shared" si="165"/>
        <v>5.2</v>
      </c>
      <c r="TQ11" s="26">
        <f t="shared" si="166"/>
        <v>0.4</v>
      </c>
      <c r="TR11" s="26">
        <f t="shared" si="167"/>
        <v>0</v>
      </c>
      <c r="TS11" s="26">
        <f t="shared" si="168"/>
        <v>18.899999999999999</v>
      </c>
      <c r="TT11" s="26">
        <f t="shared" si="169"/>
        <v>4.6999999999999993</v>
      </c>
      <c r="TU11" s="26">
        <f t="shared" si="170"/>
        <v>0.44999999999999996</v>
      </c>
      <c r="TV11" s="26">
        <f t="shared" si="171"/>
        <v>0.15</v>
      </c>
      <c r="TW11" s="26">
        <f t="shared" si="172"/>
        <v>17.600000000000001</v>
      </c>
      <c r="TX11" s="26">
        <f t="shared" si="173"/>
        <v>5.8</v>
      </c>
      <c r="TY11" s="26">
        <f t="shared" si="174"/>
        <v>0.2</v>
      </c>
      <c r="TZ11" s="26">
        <f t="shared" si="175"/>
        <v>0.15</v>
      </c>
      <c r="UA11" s="26">
        <f t="shared" si="176"/>
        <v>9.1999999999999993</v>
      </c>
      <c r="UB11" s="26">
        <f t="shared" si="177"/>
        <v>2.6</v>
      </c>
      <c r="UC11" s="26">
        <f t="shared" si="178"/>
        <v>0.1</v>
      </c>
      <c r="UD11" s="26">
        <f t="shared" si="179"/>
        <v>0</v>
      </c>
      <c r="UE11" s="28" t="s">
        <v>53</v>
      </c>
      <c r="UF11" s="11">
        <f t="shared" si="180"/>
        <v>10.8</v>
      </c>
      <c r="UG11" s="11">
        <f t="shared" si="181"/>
        <v>47.500000000000007</v>
      </c>
      <c r="UH11" s="11">
        <f t="shared" si="182"/>
        <v>23.299999999999997</v>
      </c>
      <c r="UI11" s="11">
        <f t="shared" si="183"/>
        <v>15.5</v>
      </c>
      <c r="UJ11" s="11">
        <f t="shared" si="184"/>
        <v>70.800000000000011</v>
      </c>
      <c r="UK11" s="11">
        <f t="shared" si="185"/>
        <v>8.4</v>
      </c>
      <c r="UL11" s="11">
        <f t="shared" si="186"/>
        <v>35.050000000000004</v>
      </c>
      <c r="UM11" s="11">
        <f t="shared" si="187"/>
        <v>105.85000000000002</v>
      </c>
    </row>
    <row r="12" spans="1:559" x14ac:dyDescent="0.2">
      <c r="A12" s="4" cm="1">
        <f t="array" ref="A12">IF(AND(H12&lt;&gt;"",H12&lt;&gt;"No DD"),SUMPRODUCT((H$4:H$23&lt;&gt;"")*(H$4:H$23&lt;&gt;"No DD")*(E$4:E$23&gt;E12))+1,IF(H12="No DD",SUMPRODUCT((H$4:H$23="No DD")*(E$4:E$23&gt;E12))+1+SUMPRODUCT((H$4:H$23&lt;&gt;"")*(H$4:H$23&lt;&gt;"No DD")),""))</f>
        <v>9</v>
      </c>
      <c r="B12" s="5" t="s">
        <v>218</v>
      </c>
      <c r="C12" s="4" t="s">
        <v>3</v>
      </c>
      <c r="D12" s="4">
        <v>2002</v>
      </c>
      <c r="E12" s="9">
        <f t="shared" si="0"/>
        <v>166.80001180000491</v>
      </c>
      <c r="F12" s="3" t="str">
        <f t="shared" si="1"/>
        <v>P</v>
      </c>
      <c r="G12" s="3" t="str">
        <f t="shared" si="2"/>
        <v>P</v>
      </c>
      <c r="H12" s="36" t="str">
        <f t="shared" si="3"/>
        <v>Worlds Team</v>
      </c>
      <c r="I12" s="3" t="str">
        <f t="shared" si="4"/>
        <v>P</v>
      </c>
      <c r="J12" s="8">
        <f>IF(COUNT(AQ12,BT12,CW12)&gt;0,LARGE((AQ12,BT12,CW12),1),0)</f>
        <v>48.899999999999991</v>
      </c>
      <c r="K12" s="8" t="str">
        <f t="shared" si="5"/>
        <v>2024 3rd Domestic Trial</v>
      </c>
      <c r="L12" s="8">
        <f>IF(COUNT(AQ12,BT12,CW12)&gt;1,LARGE((AQ12,BT12,CW12),2),0)</f>
        <v>45.6</v>
      </c>
      <c r="M12" s="8" t="str">
        <f t="shared" si="6"/>
        <v>2024 Elite Canada</v>
      </c>
      <c r="N12" s="8">
        <f>IF(COUNT(AR12,BU12,CX12)&gt;0,LARGE((AR12,BU12,CX12),1),0)</f>
        <v>23.5</v>
      </c>
      <c r="O12" s="8" t="str">
        <f t="shared" si="7"/>
        <v>2024 3rd Domestic Trial</v>
      </c>
      <c r="P12" s="8">
        <f t="shared" si="8"/>
        <v>48.800000000000004</v>
      </c>
      <c r="Q12" s="8" t="str">
        <f t="shared" si="9"/>
        <v>2024 3rd Domestic Trial</v>
      </c>
      <c r="R12" s="8" t="str">
        <f t="shared" si="10"/>
        <v/>
      </c>
      <c r="S12" s="11" t="str">
        <f t="shared" si="11"/>
        <v/>
      </c>
      <c r="T12" s="8" t="str">
        <f t="shared" si="12"/>
        <v/>
      </c>
      <c r="U12" s="19">
        <v>17.8</v>
      </c>
      <c r="V12" s="19">
        <v>5.6</v>
      </c>
      <c r="W12" s="19">
        <v>0.6</v>
      </c>
      <c r="X12" s="19">
        <v>0</v>
      </c>
      <c r="Y12" s="19">
        <v>17.8</v>
      </c>
      <c r="Z12" s="19">
        <v>5.2</v>
      </c>
      <c r="AA12" s="19">
        <v>0.2</v>
      </c>
      <c r="AB12" s="19">
        <v>0</v>
      </c>
      <c r="AC12" s="19">
        <v>18.8</v>
      </c>
      <c r="AD12" s="19">
        <v>3.9</v>
      </c>
      <c r="AE12" s="19">
        <v>1.1000000000000001</v>
      </c>
      <c r="AF12" s="19">
        <v>0</v>
      </c>
      <c r="AG12" s="19">
        <v>18.2</v>
      </c>
      <c r="AH12" s="19">
        <v>5.6</v>
      </c>
      <c r="AI12" s="19">
        <v>0</v>
      </c>
      <c r="AJ12" s="19">
        <v>0</v>
      </c>
      <c r="AK12" s="19">
        <v>17.2</v>
      </c>
      <c r="AL12" s="19">
        <v>2.4</v>
      </c>
      <c r="AM12" s="19">
        <v>0</v>
      </c>
      <c r="AN12" s="19">
        <v>0</v>
      </c>
      <c r="AO12" s="27"/>
      <c r="AP12" s="40">
        <f t="shared" si="13"/>
        <v>10.8</v>
      </c>
      <c r="AQ12" s="40">
        <f t="shared" si="14"/>
        <v>45.6</v>
      </c>
      <c r="AR12" s="40">
        <f t="shared" si="15"/>
        <v>21.599999999999998</v>
      </c>
      <c r="AS12" s="40">
        <f t="shared" si="16"/>
        <v>14.700000000000001</v>
      </c>
      <c r="AT12" s="40">
        <f t="shared" si="17"/>
        <v>67.2</v>
      </c>
      <c r="AU12" s="40">
        <f t="shared" si="18"/>
        <v>8</v>
      </c>
      <c r="AV12" s="40">
        <f t="shared" si="19"/>
        <v>43.4</v>
      </c>
      <c r="AW12" s="40">
        <f t="shared" si="20"/>
        <v>110.6</v>
      </c>
      <c r="AX12" s="18">
        <v>17.899999999999999</v>
      </c>
      <c r="AY12" s="18">
        <v>5.6</v>
      </c>
      <c r="AZ12" s="18">
        <v>0.8</v>
      </c>
      <c r="BA12" s="18">
        <v>0</v>
      </c>
      <c r="BB12" s="18">
        <v>18.7</v>
      </c>
      <c r="BC12" s="18">
        <v>2.8</v>
      </c>
      <c r="BD12" s="18">
        <v>1</v>
      </c>
      <c r="BE12" s="18">
        <v>0</v>
      </c>
      <c r="BF12" s="18">
        <v>0</v>
      </c>
      <c r="BG12" s="18">
        <v>0</v>
      </c>
      <c r="BH12" s="18">
        <v>0</v>
      </c>
      <c r="BI12" s="18">
        <v>0</v>
      </c>
      <c r="BJ12" s="18"/>
      <c r="BK12" s="18"/>
      <c r="BL12" s="18"/>
      <c r="BM12" s="18"/>
      <c r="BN12" s="18"/>
      <c r="BO12" s="18"/>
      <c r="BP12" s="18"/>
      <c r="BQ12" s="18"/>
      <c r="BR12" s="28"/>
      <c r="BS12" s="11">
        <f t="shared" si="21"/>
        <v>8.3999999999999986</v>
      </c>
      <c r="BT12" s="11">
        <f t="shared" si="22"/>
        <v>43.2</v>
      </c>
      <c r="BU12" s="11" t="str">
        <f t="shared" si="23"/>
        <v/>
      </c>
      <c r="BV12" s="11">
        <f t="shared" si="24"/>
        <v>8.3999999999999986</v>
      </c>
      <c r="BW12" s="11">
        <f t="shared" si="25"/>
        <v>43.2</v>
      </c>
      <c r="BX12" s="11" t="str">
        <f t="shared" si="26"/>
        <v/>
      </c>
      <c r="BY12" s="11" t="str">
        <f t="shared" si="27"/>
        <v/>
      </c>
      <c r="BZ12" s="11">
        <f t="shared" si="28"/>
        <v>43.2</v>
      </c>
      <c r="CA12" s="19">
        <v>18.600000000000001</v>
      </c>
      <c r="CB12" s="19">
        <v>6.4</v>
      </c>
      <c r="CC12" s="19">
        <v>0.2</v>
      </c>
      <c r="CD12" s="19">
        <v>0</v>
      </c>
      <c r="CE12" s="19">
        <v>18.399999999999999</v>
      </c>
      <c r="CF12" s="19">
        <v>6</v>
      </c>
      <c r="CG12" s="19">
        <v>0.6</v>
      </c>
      <c r="CH12" s="19">
        <v>0.3</v>
      </c>
      <c r="CI12" s="19">
        <v>18.2</v>
      </c>
      <c r="CJ12" s="19">
        <v>5.2</v>
      </c>
      <c r="CK12" s="19">
        <v>0.2</v>
      </c>
      <c r="CL12" s="19">
        <v>0.3</v>
      </c>
      <c r="CM12" s="19">
        <v>19</v>
      </c>
      <c r="CN12" s="19">
        <v>6.4</v>
      </c>
      <c r="CO12" s="19">
        <v>0</v>
      </c>
      <c r="CP12" s="19">
        <v>0</v>
      </c>
      <c r="CQ12" s="19">
        <v>18.8</v>
      </c>
      <c r="CR12" s="19">
        <v>5.2</v>
      </c>
      <c r="CS12" s="19">
        <v>0.6</v>
      </c>
      <c r="CT12" s="19">
        <v>0</v>
      </c>
      <c r="CU12" s="27"/>
      <c r="CV12" s="40">
        <f t="shared" si="29"/>
        <v>12.4</v>
      </c>
      <c r="CW12" s="40">
        <f t="shared" si="30"/>
        <v>48.899999999999991</v>
      </c>
      <c r="CX12" s="40">
        <f t="shared" si="31"/>
        <v>23.5</v>
      </c>
      <c r="CY12" s="40">
        <f t="shared" si="32"/>
        <v>17.600000000000001</v>
      </c>
      <c r="CZ12" s="40">
        <f t="shared" si="33"/>
        <v>72.399999999999991</v>
      </c>
      <c r="DA12" s="40">
        <f t="shared" si="34"/>
        <v>11.600000000000001</v>
      </c>
      <c r="DB12" s="40">
        <f t="shared" si="35"/>
        <v>48.800000000000004</v>
      </c>
      <c r="DC12" s="40">
        <f t="shared" si="36"/>
        <v>121.19999999999999</v>
      </c>
      <c r="DD12" s="51" t="str">
        <f t="shared" si="37"/>
        <v/>
      </c>
      <c r="DE12" s="51" t="str">
        <f t="shared" si="38"/>
        <v/>
      </c>
      <c r="DF12" s="51" t="str">
        <f t="shared" si="39"/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 t="shared" si="40"/>
        <v/>
      </c>
      <c r="EB12" s="40" t="str">
        <f t="shared" si="41"/>
        <v/>
      </c>
      <c r="EC12" s="40" t="str">
        <f t="shared" si="42"/>
        <v/>
      </c>
      <c r="ED12" s="40" t="str">
        <f t="shared" si="43"/>
        <v/>
      </c>
      <c r="EE12" s="40" t="str">
        <f t="shared" si="44"/>
        <v/>
      </c>
      <c r="EF12" s="40" t="str">
        <f t="shared" si="45"/>
        <v/>
      </c>
      <c r="EG12" s="40" t="str">
        <f t="shared" si="46"/>
        <v/>
      </c>
      <c r="EH12" s="40" t="str">
        <f t="shared" si="47"/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 t="shared" si="48"/>
        <v/>
      </c>
      <c r="FD12" s="11" t="str">
        <f t="shared" si="49"/>
        <v/>
      </c>
      <c r="FE12" s="11" t="str">
        <f t="shared" si="50"/>
        <v/>
      </c>
      <c r="FF12" s="11" t="str">
        <f t="shared" si="51"/>
        <v/>
      </c>
      <c r="FG12" s="11" t="str">
        <f t="shared" si="52"/>
        <v/>
      </c>
      <c r="FH12" s="11" t="str">
        <f t="shared" si="53"/>
        <v/>
      </c>
      <c r="FI12" s="11" t="str">
        <f t="shared" si="54"/>
        <v/>
      </c>
      <c r="FJ12" s="11" t="str">
        <f t="shared" si="55"/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 t="shared" si="56"/>
        <v/>
      </c>
      <c r="GF12" s="40" t="str">
        <f t="shared" si="57"/>
        <v/>
      </c>
      <c r="GG12" s="40" t="str">
        <f t="shared" si="58"/>
        <v/>
      </c>
      <c r="GH12" s="40" t="str">
        <f t="shared" si="59"/>
        <v/>
      </c>
      <c r="GI12" s="40" t="str">
        <f t="shared" si="60"/>
        <v/>
      </c>
      <c r="GJ12" s="40" t="str">
        <f t="shared" si="61"/>
        <v/>
      </c>
      <c r="GK12" s="40" t="str">
        <f t="shared" si="62"/>
        <v/>
      </c>
      <c r="GL12" s="40" t="str">
        <f t="shared" si="63"/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 t="shared" si="64"/>
        <v/>
      </c>
      <c r="HH12" s="11" t="str">
        <f t="shared" si="65"/>
        <v/>
      </c>
      <c r="HI12" s="11" t="str">
        <f t="shared" si="66"/>
        <v/>
      </c>
      <c r="HJ12" s="11" t="str">
        <f t="shared" si="67"/>
        <v/>
      </c>
      <c r="HK12" s="11" t="str">
        <f t="shared" si="68"/>
        <v/>
      </c>
      <c r="HL12" s="11" t="str">
        <f t="shared" si="69"/>
        <v/>
      </c>
      <c r="HM12" s="11" t="str">
        <f t="shared" si="70"/>
        <v/>
      </c>
      <c r="HN12" s="11" t="str">
        <f t="shared" si="71"/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 t="shared" si="72"/>
        <v/>
      </c>
      <c r="IJ12" s="40" t="str">
        <f t="shared" si="73"/>
        <v/>
      </c>
      <c r="IK12" s="40" t="str">
        <f t="shared" si="74"/>
        <v/>
      </c>
      <c r="IL12" s="40" t="str">
        <f t="shared" si="75"/>
        <v/>
      </c>
      <c r="IM12" s="40" t="str">
        <f t="shared" si="76"/>
        <v/>
      </c>
      <c r="IN12" s="40" t="str">
        <f t="shared" si="77"/>
        <v/>
      </c>
      <c r="IO12" s="40" t="str">
        <f t="shared" si="78"/>
        <v/>
      </c>
      <c r="IP12" s="40" t="str">
        <f t="shared" si="79"/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 t="shared" si="80"/>
        <v/>
      </c>
      <c r="JL12" s="11" t="str">
        <f t="shared" si="81"/>
        <v/>
      </c>
      <c r="JM12" s="11" t="str">
        <f t="shared" si="82"/>
        <v/>
      </c>
      <c r="JN12" s="11" t="str">
        <f t="shared" si="83"/>
        <v/>
      </c>
      <c r="JO12" s="11" t="str">
        <f t="shared" si="84"/>
        <v/>
      </c>
      <c r="JP12" s="11" t="str">
        <f t="shared" si="85"/>
        <v/>
      </c>
      <c r="JQ12" s="11" t="str">
        <f t="shared" si="86"/>
        <v/>
      </c>
      <c r="JR12" s="11" t="str">
        <f t="shared" si="87"/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 t="shared" si="88"/>
        <v/>
      </c>
      <c r="KN12" s="40" t="str">
        <f t="shared" si="89"/>
        <v/>
      </c>
      <c r="KO12" s="40" t="str">
        <f t="shared" si="90"/>
        <v/>
      </c>
      <c r="KP12" s="40" t="str">
        <f t="shared" si="91"/>
        <v/>
      </c>
      <c r="KQ12" s="40" t="str">
        <f t="shared" si="92"/>
        <v/>
      </c>
      <c r="KR12" s="40" t="str">
        <f t="shared" si="93"/>
        <v/>
      </c>
      <c r="KS12" s="40" t="str">
        <f t="shared" si="94"/>
        <v/>
      </c>
      <c r="KT12" s="40" t="str">
        <f t="shared" si="95"/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 t="shared" si="96"/>
        <v/>
      </c>
      <c r="LP12" s="11" t="str">
        <f t="shared" si="97"/>
        <v/>
      </c>
      <c r="LQ12" s="11" t="str">
        <f t="shared" si="98"/>
        <v/>
      </c>
      <c r="LR12" s="11" t="str">
        <f t="shared" si="99"/>
        <v/>
      </c>
      <c r="LS12" s="11" t="str">
        <f t="shared" si="100"/>
        <v/>
      </c>
      <c r="LT12" s="11" t="str">
        <f t="shared" si="101"/>
        <v/>
      </c>
      <c r="LU12" s="11" t="str">
        <f t="shared" si="102"/>
        <v/>
      </c>
      <c r="LV12" s="11" t="str">
        <f t="shared" si="103"/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 t="shared" si="104"/>
        <v/>
      </c>
      <c r="MR12" s="40" t="str">
        <f t="shared" si="105"/>
        <v/>
      </c>
      <c r="MS12" s="40" t="str">
        <f t="shared" si="106"/>
        <v/>
      </c>
      <c r="MT12" s="40" t="str">
        <f t="shared" si="107"/>
        <v/>
      </c>
      <c r="MU12" s="40" t="str">
        <f t="shared" si="108"/>
        <v/>
      </c>
      <c r="MV12" s="40" t="str">
        <f t="shared" si="109"/>
        <v/>
      </c>
      <c r="MW12" s="40" t="str">
        <f t="shared" si="110"/>
        <v/>
      </c>
      <c r="MX12" s="40" t="str">
        <f t="shared" si="111"/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 t="shared" si="112"/>
        <v/>
      </c>
      <c r="NT12" s="11" t="str">
        <f t="shared" si="113"/>
        <v/>
      </c>
      <c r="NU12" s="11" t="str">
        <f t="shared" si="114"/>
        <v/>
      </c>
      <c r="NV12" s="11" t="str">
        <f t="shared" si="115"/>
        <v/>
      </c>
      <c r="NW12" s="11" t="str">
        <f t="shared" si="116"/>
        <v/>
      </c>
      <c r="NX12" s="11" t="str">
        <f t="shared" si="117"/>
        <v/>
      </c>
      <c r="NY12" s="11" t="str">
        <f t="shared" si="118"/>
        <v/>
      </c>
      <c r="NZ12" s="11" t="str">
        <f t="shared" si="119"/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 t="shared" si="120"/>
        <v/>
      </c>
      <c r="OV12" s="40" t="str">
        <f t="shared" si="121"/>
        <v/>
      </c>
      <c r="OW12" s="40" t="str">
        <f t="shared" si="122"/>
        <v/>
      </c>
      <c r="OX12" s="40" t="str">
        <f t="shared" si="123"/>
        <v/>
      </c>
      <c r="OY12" s="40" t="str">
        <f t="shared" si="124"/>
        <v/>
      </c>
      <c r="OZ12" s="40" t="str">
        <f t="shared" si="125"/>
        <v/>
      </c>
      <c r="PA12" s="40" t="str">
        <f t="shared" si="126"/>
        <v/>
      </c>
      <c r="PB12" s="40" t="str">
        <f t="shared" si="127"/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 t="shared" si="128"/>
        <v/>
      </c>
      <c r="PX12" s="11" t="str">
        <f t="shared" si="129"/>
        <v/>
      </c>
      <c r="PY12" s="11" t="str">
        <f t="shared" si="130"/>
        <v/>
      </c>
      <c r="PZ12" s="11" t="str">
        <f t="shared" si="131"/>
        <v/>
      </c>
      <c r="QA12" s="11" t="str">
        <f t="shared" si="132"/>
        <v/>
      </c>
      <c r="QB12" s="11" t="str">
        <f t="shared" si="133"/>
        <v/>
      </c>
      <c r="QC12" s="11" t="str">
        <f t="shared" si="134"/>
        <v/>
      </c>
      <c r="QD12" s="11" t="str">
        <f t="shared" si="135"/>
        <v/>
      </c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40" t="str">
        <f t="shared" si="136"/>
        <v/>
      </c>
      <c r="QZ12" s="40" t="str">
        <f t="shared" si="137"/>
        <v/>
      </c>
      <c r="RA12" s="40" t="str">
        <f t="shared" si="138"/>
        <v/>
      </c>
      <c r="RB12" s="40" t="str">
        <f t="shared" si="139"/>
        <v/>
      </c>
      <c r="RC12" s="40" t="str">
        <f t="shared" si="140"/>
        <v/>
      </c>
      <c r="RD12" s="40" t="str">
        <f t="shared" si="141"/>
        <v/>
      </c>
      <c r="RE12" s="40" t="str">
        <f t="shared" si="142"/>
        <v/>
      </c>
      <c r="RF12" s="40" t="str">
        <f t="shared" si="143"/>
        <v/>
      </c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1" t="str">
        <f t="shared" si="144"/>
        <v/>
      </c>
      <c r="SB12" s="11" t="str">
        <f t="shared" si="145"/>
        <v/>
      </c>
      <c r="SC12" s="11" t="str">
        <f t="shared" si="146"/>
        <v/>
      </c>
      <c r="SD12" s="11" t="str">
        <f t="shared" si="147"/>
        <v/>
      </c>
      <c r="SE12" s="11" t="str">
        <f t="shared" si="148"/>
        <v/>
      </c>
      <c r="SF12" s="11" t="str">
        <f t="shared" si="149"/>
        <v/>
      </c>
      <c r="SG12" s="11" t="str">
        <f t="shared" si="150"/>
        <v/>
      </c>
      <c r="SH12" s="11" t="str">
        <f t="shared" si="151"/>
        <v/>
      </c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40" t="str">
        <f t="shared" si="152"/>
        <v/>
      </c>
      <c r="TD12" s="40" t="str">
        <f t="shared" si="153"/>
        <v/>
      </c>
      <c r="TE12" s="40" t="str">
        <f t="shared" si="154"/>
        <v/>
      </c>
      <c r="TF12" s="40" t="str">
        <f t="shared" si="155"/>
        <v/>
      </c>
      <c r="TG12" s="40" t="str">
        <f t="shared" si="156"/>
        <v/>
      </c>
      <c r="TH12" s="40" t="str">
        <f t="shared" si="157"/>
        <v/>
      </c>
      <c r="TI12" s="40" t="str">
        <f t="shared" si="158"/>
        <v/>
      </c>
      <c r="TJ12" s="40" t="str">
        <f t="shared" si="159"/>
        <v/>
      </c>
      <c r="TK12" s="26">
        <f t="shared" si="160"/>
        <v>18.25</v>
      </c>
      <c r="TL12" s="26">
        <f t="shared" si="161"/>
        <v>6</v>
      </c>
      <c r="TM12" s="26">
        <f t="shared" si="162"/>
        <v>0.5</v>
      </c>
      <c r="TN12" s="26">
        <f t="shared" si="163"/>
        <v>0</v>
      </c>
      <c r="TO12" s="26">
        <f t="shared" si="164"/>
        <v>18.549999999999997</v>
      </c>
      <c r="TP12" s="26">
        <f t="shared" si="165"/>
        <v>4.4000000000000004</v>
      </c>
      <c r="TQ12" s="26">
        <f t="shared" si="166"/>
        <v>0.8</v>
      </c>
      <c r="TR12" s="26">
        <f t="shared" si="167"/>
        <v>0.15</v>
      </c>
      <c r="TS12" s="26">
        <f t="shared" si="168"/>
        <v>9.1</v>
      </c>
      <c r="TT12" s="26">
        <f t="shared" si="169"/>
        <v>2.6</v>
      </c>
      <c r="TU12" s="26">
        <f t="shared" si="170"/>
        <v>0.1</v>
      </c>
      <c r="TV12" s="26">
        <f t="shared" si="171"/>
        <v>0.15</v>
      </c>
      <c r="TW12" s="26">
        <f t="shared" si="172"/>
        <v>9.5</v>
      </c>
      <c r="TX12" s="26">
        <f t="shared" si="173"/>
        <v>3.2</v>
      </c>
      <c r="TY12" s="26">
        <f t="shared" si="174"/>
        <v>0</v>
      </c>
      <c r="TZ12" s="26">
        <f t="shared" si="175"/>
        <v>0</v>
      </c>
      <c r="UA12" s="26">
        <f t="shared" si="176"/>
        <v>9.4</v>
      </c>
      <c r="UB12" s="26">
        <f t="shared" si="177"/>
        <v>2.6</v>
      </c>
      <c r="UC12" s="26">
        <f t="shared" si="178"/>
        <v>0.3</v>
      </c>
      <c r="UD12" s="26">
        <f t="shared" si="179"/>
        <v>0</v>
      </c>
      <c r="UE12" s="28" t="s">
        <v>53</v>
      </c>
      <c r="UF12" s="11">
        <f t="shared" si="180"/>
        <v>10.4</v>
      </c>
      <c r="UG12" s="11">
        <f t="shared" si="181"/>
        <v>46.05</v>
      </c>
      <c r="UH12" s="11">
        <f t="shared" si="182"/>
        <v>11.75</v>
      </c>
      <c r="UI12" s="11">
        <f t="shared" si="183"/>
        <v>13</v>
      </c>
      <c r="UJ12" s="11">
        <f t="shared" si="184"/>
        <v>57.8</v>
      </c>
      <c r="UK12" s="11">
        <f t="shared" si="185"/>
        <v>5.8000000000000007</v>
      </c>
      <c r="UL12" s="11">
        <f t="shared" si="186"/>
        <v>24.400000000000002</v>
      </c>
      <c r="UM12" s="11">
        <f t="shared" si="187"/>
        <v>82.2</v>
      </c>
    </row>
    <row r="13" spans="1:559" x14ac:dyDescent="0.2">
      <c r="A13" s="4" cm="1">
        <f t="array" ref="A13">IF(AND(H13&lt;&gt;"",H13&lt;&gt;"No DD"),SUMPRODUCT((H$4:H$23&lt;&gt;"")*(H$4:H$23&lt;&gt;"No DD")*(E$4:E$23&gt;E13))+1,IF(H13="No DD",SUMPRODUCT((H$4:H$23="No DD")*(E$4:E$23&gt;E13))+1+SUMPRODUCT((H$4:H$23&lt;&gt;"")*(H$4:H$23&lt;&gt;"No DD")),""))</f>
        <v>10</v>
      </c>
      <c r="B13" s="5" t="s">
        <v>88</v>
      </c>
      <c r="C13" s="4" t="s">
        <v>36</v>
      </c>
      <c r="D13" s="4">
        <v>2002</v>
      </c>
      <c r="E13" s="9">
        <f t="shared" si="0"/>
        <v>165.50001160000463</v>
      </c>
      <c r="F13" s="3" t="str">
        <f t="shared" si="1"/>
        <v>P</v>
      </c>
      <c r="G13" s="3" t="str">
        <f t="shared" si="2"/>
        <v/>
      </c>
      <c r="H13" s="36" t="str">
        <f t="shared" si="3"/>
        <v>National Team</v>
      </c>
      <c r="I13" s="3" t="str">
        <f t="shared" si="4"/>
        <v/>
      </c>
      <c r="J13" s="8">
        <f>IF(COUNT(AQ13,BT13,CW13)&gt;0,LARGE((AQ13,BT13,CW13),1),0)</f>
        <v>46.249999999999993</v>
      </c>
      <c r="K13" s="8" t="str">
        <f t="shared" si="5"/>
        <v>2024 Elite Canada</v>
      </c>
      <c r="L13" s="8">
        <f>IF(COUNT(AQ13,BT13,CW13)&gt;1,LARGE((AQ13,BT13,CW13),2),0)</f>
        <v>45.274999999999999</v>
      </c>
      <c r="M13" s="8" t="str">
        <f t="shared" si="6"/>
        <v>2024 3rd Domestic Trial</v>
      </c>
      <c r="N13" s="8">
        <f>IF(COUNT(AR13,BU13,CX13)&gt;0,LARGE((AR13,BU13,CX13),1),0)</f>
        <v>24.475000000000005</v>
      </c>
      <c r="O13" s="8" t="str">
        <f t="shared" si="7"/>
        <v>2024 3rd Domestic Trial</v>
      </c>
      <c r="P13" s="8">
        <f t="shared" si="8"/>
        <v>49.499999999999993</v>
      </c>
      <c r="Q13" s="8" t="str">
        <f t="shared" si="9"/>
        <v>2024 3rd Domestic Trial</v>
      </c>
      <c r="R13" s="8" t="str">
        <f t="shared" si="10"/>
        <v/>
      </c>
      <c r="S13" s="11" t="str">
        <f t="shared" si="11"/>
        <v/>
      </c>
      <c r="T13" s="8" t="str">
        <f t="shared" si="12"/>
        <v/>
      </c>
      <c r="U13" s="19">
        <v>18.049999999999997</v>
      </c>
      <c r="V13" s="19">
        <v>5.8</v>
      </c>
      <c r="W13" s="19">
        <v>0.1</v>
      </c>
      <c r="X13" s="19">
        <v>0.15</v>
      </c>
      <c r="Y13" s="19">
        <v>18.149999999999999</v>
      </c>
      <c r="Z13" s="19">
        <v>4.2</v>
      </c>
      <c r="AA13" s="19">
        <v>0</v>
      </c>
      <c r="AB13" s="19">
        <v>0</v>
      </c>
      <c r="AC13" s="19">
        <v>18.3</v>
      </c>
      <c r="AD13" s="19">
        <v>5.8000000000000007</v>
      </c>
      <c r="AE13" s="19">
        <v>0.3</v>
      </c>
      <c r="AF13" s="19">
        <v>0.15</v>
      </c>
      <c r="AG13" s="19">
        <v>18.649999999999999</v>
      </c>
      <c r="AH13" s="19">
        <v>6.2</v>
      </c>
      <c r="AI13" s="19">
        <v>0.1</v>
      </c>
      <c r="AJ13" s="19">
        <v>0</v>
      </c>
      <c r="AK13" s="19">
        <v>18.399999999999999</v>
      </c>
      <c r="AL13" s="19">
        <v>6.1999999999999993</v>
      </c>
      <c r="AM13" s="19">
        <v>0.3</v>
      </c>
      <c r="AN13" s="19">
        <v>0.15</v>
      </c>
      <c r="AO13" s="27" t="s">
        <v>53</v>
      </c>
      <c r="AP13" s="40">
        <f t="shared" si="13"/>
        <v>10</v>
      </c>
      <c r="AQ13" s="40">
        <f t="shared" si="14"/>
        <v>46.249999999999993</v>
      </c>
      <c r="AR13" s="40">
        <f t="shared" si="15"/>
        <v>23.95</v>
      </c>
      <c r="AS13" s="40">
        <f t="shared" si="16"/>
        <v>15.8</v>
      </c>
      <c r="AT13" s="40">
        <f t="shared" si="17"/>
        <v>70.199999999999989</v>
      </c>
      <c r="AU13" s="40">
        <f t="shared" si="18"/>
        <v>12.399999999999999</v>
      </c>
      <c r="AV13" s="40">
        <f t="shared" si="19"/>
        <v>49.2</v>
      </c>
      <c r="AW13" s="40">
        <f t="shared" si="20"/>
        <v>119.39999999999999</v>
      </c>
      <c r="AX13" s="18">
        <v>18.125</v>
      </c>
      <c r="AY13" s="18">
        <v>5.9</v>
      </c>
      <c r="AZ13" s="18">
        <v>0.15000000000000002</v>
      </c>
      <c r="BA13" s="18">
        <v>0.22499999999999998</v>
      </c>
      <c r="BB13" s="18">
        <v>17.875</v>
      </c>
      <c r="BC13" s="18">
        <v>3.3</v>
      </c>
      <c r="BD13" s="18">
        <v>0</v>
      </c>
      <c r="BE13" s="18">
        <v>0</v>
      </c>
      <c r="BF13" s="18">
        <v>18.450000000000003</v>
      </c>
      <c r="BG13" s="18">
        <v>6.1000000000000005</v>
      </c>
      <c r="BH13" s="18">
        <v>0.15</v>
      </c>
      <c r="BI13" s="18">
        <v>7.4999999999999997E-2</v>
      </c>
      <c r="BJ13" s="18">
        <v>18.674999999999997</v>
      </c>
      <c r="BK13" s="18">
        <v>6.3000000000000007</v>
      </c>
      <c r="BL13" s="18">
        <v>0.05</v>
      </c>
      <c r="BM13" s="18">
        <v>0</v>
      </c>
      <c r="BN13" s="18">
        <v>18.299999999999997</v>
      </c>
      <c r="BO13" s="18">
        <v>6.5</v>
      </c>
      <c r="BP13" s="18">
        <v>0.44999999999999996</v>
      </c>
      <c r="BQ13" s="18">
        <v>0.22499999999999998</v>
      </c>
      <c r="BR13" s="28" t="s">
        <v>53</v>
      </c>
      <c r="BS13" s="11">
        <f t="shared" si="21"/>
        <v>9.1999999999999993</v>
      </c>
      <c r="BT13" s="11">
        <f t="shared" si="22"/>
        <v>45.274999999999999</v>
      </c>
      <c r="BU13" s="11">
        <f t="shared" si="23"/>
        <v>24.475000000000005</v>
      </c>
      <c r="BV13" s="11">
        <f t="shared" si="24"/>
        <v>15.3</v>
      </c>
      <c r="BW13" s="11">
        <f t="shared" si="25"/>
        <v>69.75</v>
      </c>
      <c r="BX13" s="11">
        <f t="shared" si="26"/>
        <v>12.8</v>
      </c>
      <c r="BY13" s="11">
        <f t="shared" si="27"/>
        <v>49.499999999999993</v>
      </c>
      <c r="BZ13" s="11">
        <f t="shared" si="28"/>
        <v>119.25</v>
      </c>
      <c r="CA13" s="19">
        <v>18.125</v>
      </c>
      <c r="CB13" s="19">
        <v>5.9</v>
      </c>
      <c r="CC13" s="19">
        <v>0.15000000000000002</v>
      </c>
      <c r="CD13" s="19">
        <v>0.22499999999999998</v>
      </c>
      <c r="CE13" s="19">
        <v>17.875</v>
      </c>
      <c r="CF13" s="19">
        <v>3.3</v>
      </c>
      <c r="CG13" s="19">
        <v>0</v>
      </c>
      <c r="CH13" s="19">
        <v>0</v>
      </c>
      <c r="CI13" s="19">
        <v>18.450000000000003</v>
      </c>
      <c r="CJ13" s="19">
        <v>6.1000000000000005</v>
      </c>
      <c r="CK13" s="19">
        <v>0.15</v>
      </c>
      <c r="CL13" s="19">
        <v>7.4999999999999997E-2</v>
      </c>
      <c r="CM13" s="19">
        <v>18.674999999999997</v>
      </c>
      <c r="CN13" s="19">
        <v>6.3000000000000007</v>
      </c>
      <c r="CO13" s="19">
        <v>0.05</v>
      </c>
      <c r="CP13" s="19">
        <v>0</v>
      </c>
      <c r="CQ13" s="19">
        <v>18.299999999999997</v>
      </c>
      <c r="CR13" s="19">
        <v>6.5</v>
      </c>
      <c r="CS13" s="19">
        <v>0.44999999999999996</v>
      </c>
      <c r="CT13" s="19">
        <v>0.22499999999999998</v>
      </c>
      <c r="CU13" s="27" t="s">
        <v>53</v>
      </c>
      <c r="CV13" s="40">
        <f t="shared" si="29"/>
        <v>9.1999999999999993</v>
      </c>
      <c r="CW13" s="40">
        <f t="shared" si="30"/>
        <v>45.274999999999999</v>
      </c>
      <c r="CX13" s="40">
        <f t="shared" si="31"/>
        <v>24.475000000000005</v>
      </c>
      <c r="CY13" s="40">
        <f t="shared" si="32"/>
        <v>15.3</v>
      </c>
      <c r="CZ13" s="40">
        <f t="shared" si="33"/>
        <v>69.75</v>
      </c>
      <c r="DA13" s="40">
        <f t="shared" si="34"/>
        <v>12.8</v>
      </c>
      <c r="DB13" s="40">
        <f t="shared" si="35"/>
        <v>49.499999999999993</v>
      </c>
      <c r="DC13" s="40">
        <f t="shared" si="36"/>
        <v>119.25</v>
      </c>
      <c r="DD13" s="51" t="str">
        <f t="shared" si="37"/>
        <v/>
      </c>
      <c r="DE13" s="51" t="str">
        <f t="shared" si="38"/>
        <v/>
      </c>
      <c r="DF13" s="51" t="str">
        <f t="shared" si="39"/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 t="shared" si="40"/>
        <v/>
      </c>
      <c r="EB13" s="40" t="str">
        <f t="shared" si="41"/>
        <v/>
      </c>
      <c r="EC13" s="40" t="str">
        <f t="shared" si="42"/>
        <v/>
      </c>
      <c r="ED13" s="40" t="str">
        <f t="shared" si="43"/>
        <v/>
      </c>
      <c r="EE13" s="40" t="str">
        <f t="shared" si="44"/>
        <v/>
      </c>
      <c r="EF13" s="40" t="str">
        <f t="shared" si="45"/>
        <v/>
      </c>
      <c r="EG13" s="40" t="str">
        <f t="shared" si="46"/>
        <v/>
      </c>
      <c r="EH13" s="40" t="str">
        <f t="shared" si="47"/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 t="shared" si="48"/>
        <v/>
      </c>
      <c r="FD13" s="11" t="str">
        <f t="shared" si="49"/>
        <v/>
      </c>
      <c r="FE13" s="11" t="str">
        <f t="shared" si="50"/>
        <v/>
      </c>
      <c r="FF13" s="11" t="str">
        <f t="shared" si="51"/>
        <v/>
      </c>
      <c r="FG13" s="11" t="str">
        <f t="shared" si="52"/>
        <v/>
      </c>
      <c r="FH13" s="11" t="str">
        <f t="shared" si="53"/>
        <v/>
      </c>
      <c r="FI13" s="11" t="str">
        <f t="shared" si="54"/>
        <v/>
      </c>
      <c r="FJ13" s="11" t="str">
        <f t="shared" si="55"/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 t="shared" si="56"/>
        <v/>
      </c>
      <c r="GF13" s="40" t="str">
        <f t="shared" si="57"/>
        <v/>
      </c>
      <c r="GG13" s="40" t="str">
        <f t="shared" si="58"/>
        <v/>
      </c>
      <c r="GH13" s="40" t="str">
        <f t="shared" si="59"/>
        <v/>
      </c>
      <c r="GI13" s="40" t="str">
        <f t="shared" si="60"/>
        <v/>
      </c>
      <c r="GJ13" s="40" t="str">
        <f t="shared" si="61"/>
        <v/>
      </c>
      <c r="GK13" s="40" t="str">
        <f t="shared" si="62"/>
        <v/>
      </c>
      <c r="GL13" s="40" t="str">
        <f t="shared" si="63"/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 t="shared" si="64"/>
        <v/>
      </c>
      <c r="HH13" s="11" t="str">
        <f t="shared" si="65"/>
        <v/>
      </c>
      <c r="HI13" s="11" t="str">
        <f t="shared" si="66"/>
        <v/>
      </c>
      <c r="HJ13" s="11" t="str">
        <f t="shared" si="67"/>
        <v/>
      </c>
      <c r="HK13" s="11" t="str">
        <f t="shared" si="68"/>
        <v/>
      </c>
      <c r="HL13" s="11" t="str">
        <f t="shared" si="69"/>
        <v/>
      </c>
      <c r="HM13" s="11" t="str">
        <f t="shared" si="70"/>
        <v/>
      </c>
      <c r="HN13" s="11" t="str">
        <f t="shared" si="71"/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 t="shared" si="72"/>
        <v/>
      </c>
      <c r="IJ13" s="40" t="str">
        <f t="shared" si="73"/>
        <v/>
      </c>
      <c r="IK13" s="40" t="str">
        <f t="shared" si="74"/>
        <v/>
      </c>
      <c r="IL13" s="40" t="str">
        <f t="shared" si="75"/>
        <v/>
      </c>
      <c r="IM13" s="40" t="str">
        <f t="shared" si="76"/>
        <v/>
      </c>
      <c r="IN13" s="40" t="str">
        <f t="shared" si="77"/>
        <v/>
      </c>
      <c r="IO13" s="40" t="str">
        <f t="shared" si="78"/>
        <v/>
      </c>
      <c r="IP13" s="40" t="str">
        <f t="shared" si="79"/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 t="shared" si="80"/>
        <v/>
      </c>
      <c r="JL13" s="11" t="str">
        <f t="shared" si="81"/>
        <v/>
      </c>
      <c r="JM13" s="11" t="str">
        <f t="shared" si="82"/>
        <v/>
      </c>
      <c r="JN13" s="11" t="str">
        <f t="shared" si="83"/>
        <v/>
      </c>
      <c r="JO13" s="11" t="str">
        <f t="shared" si="84"/>
        <v/>
      </c>
      <c r="JP13" s="11" t="str">
        <f t="shared" si="85"/>
        <v/>
      </c>
      <c r="JQ13" s="11" t="str">
        <f t="shared" si="86"/>
        <v/>
      </c>
      <c r="JR13" s="11" t="str">
        <f t="shared" si="87"/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 t="shared" si="88"/>
        <v/>
      </c>
      <c r="KN13" s="40" t="str">
        <f t="shared" si="89"/>
        <v/>
      </c>
      <c r="KO13" s="40" t="str">
        <f t="shared" si="90"/>
        <v/>
      </c>
      <c r="KP13" s="40" t="str">
        <f t="shared" si="91"/>
        <v/>
      </c>
      <c r="KQ13" s="40" t="str">
        <f t="shared" si="92"/>
        <v/>
      </c>
      <c r="KR13" s="40" t="str">
        <f t="shared" si="93"/>
        <v/>
      </c>
      <c r="KS13" s="40" t="str">
        <f t="shared" si="94"/>
        <v/>
      </c>
      <c r="KT13" s="40" t="str">
        <f t="shared" si="95"/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 t="shared" si="96"/>
        <v/>
      </c>
      <c r="LP13" s="11" t="str">
        <f t="shared" si="97"/>
        <v/>
      </c>
      <c r="LQ13" s="11" t="str">
        <f t="shared" si="98"/>
        <v/>
      </c>
      <c r="LR13" s="11" t="str">
        <f t="shared" si="99"/>
        <v/>
      </c>
      <c r="LS13" s="11" t="str">
        <f t="shared" si="100"/>
        <v/>
      </c>
      <c r="LT13" s="11" t="str">
        <f t="shared" si="101"/>
        <v/>
      </c>
      <c r="LU13" s="11" t="str">
        <f t="shared" si="102"/>
        <v/>
      </c>
      <c r="LV13" s="11" t="str">
        <f t="shared" si="103"/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 t="shared" si="104"/>
        <v/>
      </c>
      <c r="MR13" s="40" t="str">
        <f t="shared" si="105"/>
        <v/>
      </c>
      <c r="MS13" s="40" t="str">
        <f t="shared" si="106"/>
        <v/>
      </c>
      <c r="MT13" s="40" t="str">
        <f t="shared" si="107"/>
        <v/>
      </c>
      <c r="MU13" s="40" t="str">
        <f t="shared" si="108"/>
        <v/>
      </c>
      <c r="MV13" s="40" t="str">
        <f t="shared" si="109"/>
        <v/>
      </c>
      <c r="MW13" s="40" t="str">
        <f t="shared" si="110"/>
        <v/>
      </c>
      <c r="MX13" s="40" t="str">
        <f t="shared" si="111"/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 t="shared" si="112"/>
        <v/>
      </c>
      <c r="NT13" s="11" t="str">
        <f t="shared" si="113"/>
        <v/>
      </c>
      <c r="NU13" s="11" t="str">
        <f t="shared" si="114"/>
        <v/>
      </c>
      <c r="NV13" s="11" t="str">
        <f t="shared" si="115"/>
        <v/>
      </c>
      <c r="NW13" s="11" t="str">
        <f t="shared" si="116"/>
        <v/>
      </c>
      <c r="NX13" s="11" t="str">
        <f t="shared" si="117"/>
        <v/>
      </c>
      <c r="NY13" s="11" t="str">
        <f t="shared" si="118"/>
        <v/>
      </c>
      <c r="NZ13" s="11" t="str">
        <f t="shared" si="119"/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 t="shared" si="120"/>
        <v/>
      </c>
      <c r="OV13" s="40" t="str">
        <f t="shared" si="121"/>
        <v/>
      </c>
      <c r="OW13" s="40" t="str">
        <f t="shared" si="122"/>
        <v/>
      </c>
      <c r="OX13" s="40" t="str">
        <f t="shared" si="123"/>
        <v/>
      </c>
      <c r="OY13" s="40" t="str">
        <f t="shared" si="124"/>
        <v/>
      </c>
      <c r="OZ13" s="40" t="str">
        <f t="shared" si="125"/>
        <v/>
      </c>
      <c r="PA13" s="40" t="str">
        <f t="shared" si="126"/>
        <v/>
      </c>
      <c r="PB13" s="40" t="str">
        <f t="shared" si="127"/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 t="shared" si="128"/>
        <v/>
      </c>
      <c r="PX13" s="11" t="str">
        <f t="shared" si="129"/>
        <v/>
      </c>
      <c r="PY13" s="11" t="str">
        <f t="shared" si="130"/>
        <v/>
      </c>
      <c r="PZ13" s="11" t="str">
        <f t="shared" si="131"/>
        <v/>
      </c>
      <c r="QA13" s="11" t="str">
        <f t="shared" si="132"/>
        <v/>
      </c>
      <c r="QB13" s="11" t="str">
        <f t="shared" si="133"/>
        <v/>
      </c>
      <c r="QC13" s="11" t="str">
        <f t="shared" si="134"/>
        <v/>
      </c>
      <c r="QD13" s="11" t="str">
        <f t="shared" si="135"/>
        <v/>
      </c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40" t="str">
        <f t="shared" si="136"/>
        <v/>
      </c>
      <c r="QZ13" s="40" t="str">
        <f t="shared" si="137"/>
        <v/>
      </c>
      <c r="RA13" s="40" t="str">
        <f t="shared" si="138"/>
        <v/>
      </c>
      <c r="RB13" s="40" t="str">
        <f t="shared" si="139"/>
        <v/>
      </c>
      <c r="RC13" s="40" t="str">
        <f t="shared" si="140"/>
        <v/>
      </c>
      <c r="RD13" s="40" t="str">
        <f t="shared" si="141"/>
        <v/>
      </c>
      <c r="RE13" s="40" t="str">
        <f t="shared" si="142"/>
        <v/>
      </c>
      <c r="RF13" s="40" t="str">
        <f t="shared" si="143"/>
        <v/>
      </c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1" t="str">
        <f t="shared" si="144"/>
        <v/>
      </c>
      <c r="SB13" s="11" t="str">
        <f t="shared" si="145"/>
        <v/>
      </c>
      <c r="SC13" s="11" t="str">
        <f t="shared" si="146"/>
        <v/>
      </c>
      <c r="SD13" s="11" t="str">
        <f t="shared" si="147"/>
        <v/>
      </c>
      <c r="SE13" s="11" t="str">
        <f t="shared" si="148"/>
        <v/>
      </c>
      <c r="SF13" s="11" t="str">
        <f t="shared" si="149"/>
        <v/>
      </c>
      <c r="SG13" s="11" t="str">
        <f t="shared" si="150"/>
        <v/>
      </c>
      <c r="SH13" s="11" t="str">
        <f t="shared" si="151"/>
        <v/>
      </c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40" t="str">
        <f t="shared" si="152"/>
        <v/>
      </c>
      <c r="TD13" s="40" t="str">
        <f t="shared" si="153"/>
        <v/>
      </c>
      <c r="TE13" s="40" t="str">
        <f t="shared" si="154"/>
        <v/>
      </c>
      <c r="TF13" s="40" t="str">
        <f t="shared" si="155"/>
        <v/>
      </c>
      <c r="TG13" s="40" t="str">
        <f t="shared" si="156"/>
        <v/>
      </c>
      <c r="TH13" s="40" t="str">
        <f t="shared" si="157"/>
        <v/>
      </c>
      <c r="TI13" s="40" t="str">
        <f t="shared" si="158"/>
        <v/>
      </c>
      <c r="TJ13" s="40" t="str">
        <f t="shared" si="159"/>
        <v/>
      </c>
      <c r="TK13" s="26">
        <f t="shared" si="160"/>
        <v>18.125</v>
      </c>
      <c r="TL13" s="26">
        <f t="shared" si="161"/>
        <v>5.9</v>
      </c>
      <c r="TM13" s="26">
        <f t="shared" si="162"/>
        <v>0.15000000000000002</v>
      </c>
      <c r="TN13" s="26">
        <f t="shared" si="163"/>
        <v>0.22499999999999998</v>
      </c>
      <c r="TO13" s="26">
        <f t="shared" si="164"/>
        <v>17.875</v>
      </c>
      <c r="TP13" s="26">
        <f t="shared" si="165"/>
        <v>3.3</v>
      </c>
      <c r="TQ13" s="26">
        <f t="shared" si="166"/>
        <v>0</v>
      </c>
      <c r="TR13" s="26">
        <f t="shared" si="167"/>
        <v>0</v>
      </c>
      <c r="TS13" s="26">
        <f t="shared" si="168"/>
        <v>18.450000000000003</v>
      </c>
      <c r="TT13" s="26">
        <f t="shared" si="169"/>
        <v>6.1000000000000005</v>
      </c>
      <c r="TU13" s="26">
        <f t="shared" si="170"/>
        <v>0.15</v>
      </c>
      <c r="TV13" s="26">
        <f t="shared" si="171"/>
        <v>7.4999999999999997E-2</v>
      </c>
      <c r="TW13" s="26">
        <f t="shared" si="172"/>
        <v>18.674999999999997</v>
      </c>
      <c r="TX13" s="26">
        <f t="shared" si="173"/>
        <v>6.3000000000000007</v>
      </c>
      <c r="TY13" s="26">
        <f t="shared" si="174"/>
        <v>0.05</v>
      </c>
      <c r="TZ13" s="26">
        <f t="shared" si="175"/>
        <v>0</v>
      </c>
      <c r="UA13" s="26">
        <f t="shared" si="176"/>
        <v>18.299999999999997</v>
      </c>
      <c r="UB13" s="26">
        <f t="shared" si="177"/>
        <v>6.5</v>
      </c>
      <c r="UC13" s="26">
        <f t="shared" si="178"/>
        <v>0.44999999999999996</v>
      </c>
      <c r="UD13" s="26">
        <f t="shared" si="179"/>
        <v>0.22499999999999998</v>
      </c>
      <c r="UE13" s="28" t="s">
        <v>53</v>
      </c>
      <c r="UF13" s="11">
        <f t="shared" si="180"/>
        <v>9.1999999999999993</v>
      </c>
      <c r="UG13" s="11">
        <f t="shared" si="181"/>
        <v>45.274999999999999</v>
      </c>
      <c r="UH13" s="11">
        <f t="shared" si="182"/>
        <v>24.475000000000005</v>
      </c>
      <c r="UI13" s="11">
        <f t="shared" si="183"/>
        <v>15.3</v>
      </c>
      <c r="UJ13" s="11">
        <f t="shared" si="184"/>
        <v>69.75</v>
      </c>
      <c r="UK13" s="11">
        <f t="shared" si="185"/>
        <v>12.8</v>
      </c>
      <c r="UL13" s="11">
        <f t="shared" si="186"/>
        <v>49.499999999999993</v>
      </c>
      <c r="UM13" s="11">
        <f t="shared" si="187"/>
        <v>119.25</v>
      </c>
    </row>
    <row r="14" spans="1:559" x14ac:dyDescent="0.2">
      <c r="A14" s="4" cm="1">
        <f t="array" ref="A14">IF(AND(H14&lt;&gt;"",H14&lt;&gt;"No DD"),SUMPRODUCT((H$4:H$23&lt;&gt;"")*(H$4:H$23&lt;&gt;"No DD")*(E$4:E$23&gt;E14))+1,IF(H14="No DD",SUMPRODUCT((H$4:H$23="No DD")*(E$4:E$23&gt;E14))+1+SUMPRODUCT((H$4:H$23&lt;&gt;"")*(H$4:H$23&lt;&gt;"No DD")),""))</f>
        <v>11</v>
      </c>
      <c r="B14" s="5" t="s">
        <v>212</v>
      </c>
      <c r="C14" s="4" t="s">
        <v>5</v>
      </c>
      <c r="D14" s="4">
        <v>2005</v>
      </c>
      <c r="E14" s="9">
        <f t="shared" si="0"/>
        <v>148.80000995000506</v>
      </c>
      <c r="F14" s="3" t="str">
        <f t="shared" si="1"/>
        <v>P</v>
      </c>
      <c r="G14" s="3" t="str">
        <f t="shared" si="2"/>
        <v>P</v>
      </c>
      <c r="H14" s="36" t="str">
        <f t="shared" si="3"/>
        <v>Excellence</v>
      </c>
      <c r="I14" s="3" t="str">
        <f t="shared" si="4"/>
        <v>P</v>
      </c>
      <c r="J14" s="8">
        <f>IF(COUNT(AQ14,BT14,CW14)&gt;0,LARGE((AQ14,BT14,CW14),1),0)</f>
        <v>50.599999999999994</v>
      </c>
      <c r="K14" s="8" t="str">
        <f t="shared" si="5"/>
        <v>2024 3rd Domestic Trial</v>
      </c>
      <c r="L14" s="8">
        <f>IF(COUNT(AQ14,BT14,CW14)&gt;1,LARGE((AQ14,BT14,CW14),2),0)</f>
        <v>24.7</v>
      </c>
      <c r="M14" s="8" t="str">
        <f t="shared" si="6"/>
        <v>2024 Elite Canada</v>
      </c>
      <c r="N14" s="8">
        <f>IF(COUNT(AR14,BU14,CX14)&gt;0,LARGE((AR14,BU14,CX14),1),0)</f>
        <v>24.2</v>
      </c>
      <c r="O14" s="8" t="str">
        <f t="shared" si="7"/>
        <v>2024 Elite Canada</v>
      </c>
      <c r="P14" s="8">
        <f t="shared" si="8"/>
        <v>49.300000000000004</v>
      </c>
      <c r="Q14" s="8" t="str">
        <f t="shared" si="9"/>
        <v>2024 3rd Domestic Trial</v>
      </c>
      <c r="R14" s="8" t="str">
        <f t="shared" si="10"/>
        <v/>
      </c>
      <c r="S14" s="11" t="str">
        <f t="shared" si="11"/>
        <v/>
      </c>
      <c r="T14" s="8" t="str">
        <f t="shared" si="12"/>
        <v/>
      </c>
      <c r="U14" s="19">
        <v>0</v>
      </c>
      <c r="V14" s="19">
        <v>0</v>
      </c>
      <c r="W14" s="19">
        <v>0</v>
      </c>
      <c r="X14" s="19">
        <v>0</v>
      </c>
      <c r="Y14" s="19">
        <v>18.399999999999999</v>
      </c>
      <c r="Z14" s="19">
        <v>6.8</v>
      </c>
      <c r="AA14" s="19">
        <v>0.8</v>
      </c>
      <c r="AB14" s="19">
        <v>0.3</v>
      </c>
      <c r="AC14" s="19">
        <v>18.600000000000001</v>
      </c>
      <c r="AD14" s="19">
        <v>6.4</v>
      </c>
      <c r="AE14" s="19">
        <v>0.8</v>
      </c>
      <c r="AF14" s="19">
        <v>0</v>
      </c>
      <c r="AG14" s="19">
        <v>16.600000000000001</v>
      </c>
      <c r="AH14" s="19">
        <v>6.8</v>
      </c>
      <c r="AI14" s="19">
        <v>0.8</v>
      </c>
      <c r="AJ14" s="19">
        <v>0.3</v>
      </c>
      <c r="AK14" s="19">
        <v>18.600000000000001</v>
      </c>
      <c r="AL14" s="19">
        <v>6.4</v>
      </c>
      <c r="AM14" s="19">
        <v>0.6</v>
      </c>
      <c r="AN14" s="19">
        <v>0</v>
      </c>
      <c r="AO14" s="27"/>
      <c r="AP14" s="40">
        <f t="shared" si="13"/>
        <v>6.8</v>
      </c>
      <c r="AQ14" s="40">
        <f t="shared" si="14"/>
        <v>24.7</v>
      </c>
      <c r="AR14" s="40">
        <f t="shared" si="15"/>
        <v>24.2</v>
      </c>
      <c r="AS14" s="40">
        <f t="shared" si="16"/>
        <v>13.2</v>
      </c>
      <c r="AT14" s="40">
        <f t="shared" si="17"/>
        <v>48.9</v>
      </c>
      <c r="AU14" s="40">
        <f t="shared" si="18"/>
        <v>13.2</v>
      </c>
      <c r="AV14" s="40">
        <f t="shared" si="19"/>
        <v>47.300000000000004</v>
      </c>
      <c r="AW14" s="40">
        <f t="shared" si="20"/>
        <v>96.2</v>
      </c>
      <c r="AX14" s="18">
        <v>17.399999999999999</v>
      </c>
      <c r="AY14" s="18">
        <v>2.4</v>
      </c>
      <c r="AZ14" s="18">
        <v>0</v>
      </c>
      <c r="BA14" s="18">
        <v>0</v>
      </c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28"/>
      <c r="BS14" s="11">
        <f t="shared" si="21"/>
        <v>2.4</v>
      </c>
      <c r="BT14" s="11">
        <f t="shared" si="22"/>
        <v>19.799999999999997</v>
      </c>
      <c r="BU14" s="11" t="str">
        <f t="shared" si="23"/>
        <v/>
      </c>
      <c r="BV14" s="11">
        <f t="shared" si="24"/>
        <v>2.4</v>
      </c>
      <c r="BW14" s="11">
        <f t="shared" si="25"/>
        <v>19.799999999999997</v>
      </c>
      <c r="BX14" s="11" t="str">
        <f t="shared" si="26"/>
        <v/>
      </c>
      <c r="BY14" s="11" t="str">
        <f t="shared" si="27"/>
        <v/>
      </c>
      <c r="BZ14" s="11">
        <f t="shared" si="28"/>
        <v>19.799999999999997</v>
      </c>
      <c r="CA14" s="19">
        <v>18.7</v>
      </c>
      <c r="CB14" s="19">
        <v>6.8</v>
      </c>
      <c r="CC14" s="19">
        <v>0.6</v>
      </c>
      <c r="CD14" s="19">
        <v>0.3</v>
      </c>
      <c r="CE14" s="19">
        <v>19</v>
      </c>
      <c r="CF14" s="19">
        <v>6.4</v>
      </c>
      <c r="CG14" s="19">
        <v>0</v>
      </c>
      <c r="CH14" s="19">
        <v>0</v>
      </c>
      <c r="CI14" s="19">
        <v>18.600000000000001</v>
      </c>
      <c r="CJ14" s="19">
        <v>5.2</v>
      </c>
      <c r="CK14" s="19">
        <v>0.6</v>
      </c>
      <c r="CL14" s="19">
        <v>0</v>
      </c>
      <c r="CM14" s="19">
        <v>18.2</v>
      </c>
      <c r="CN14" s="19">
        <v>6.8</v>
      </c>
      <c r="CO14" s="19">
        <v>0.2</v>
      </c>
      <c r="CP14" s="19">
        <v>0.3</v>
      </c>
      <c r="CQ14" s="19">
        <v>18.399999999999999</v>
      </c>
      <c r="CR14" s="19">
        <v>6.4</v>
      </c>
      <c r="CS14" s="19">
        <v>0.6</v>
      </c>
      <c r="CT14" s="19">
        <v>0</v>
      </c>
      <c r="CU14" s="27"/>
      <c r="CV14" s="40">
        <f t="shared" si="29"/>
        <v>13.2</v>
      </c>
      <c r="CW14" s="40">
        <f t="shared" si="30"/>
        <v>50.599999999999994</v>
      </c>
      <c r="CX14" s="40">
        <f t="shared" si="31"/>
        <v>23.2</v>
      </c>
      <c r="CY14" s="40">
        <f t="shared" si="32"/>
        <v>18.399999999999999</v>
      </c>
      <c r="CZ14" s="40">
        <f t="shared" si="33"/>
        <v>73.8</v>
      </c>
      <c r="DA14" s="40">
        <f t="shared" si="34"/>
        <v>13.2</v>
      </c>
      <c r="DB14" s="40">
        <f t="shared" si="35"/>
        <v>49.300000000000004</v>
      </c>
      <c r="DC14" s="40">
        <f t="shared" si="36"/>
        <v>123.1</v>
      </c>
      <c r="DD14" s="51" t="str">
        <f t="shared" si="37"/>
        <v/>
      </c>
      <c r="DE14" s="51" t="str">
        <f t="shared" si="38"/>
        <v/>
      </c>
      <c r="DF14" s="51" t="str">
        <f t="shared" si="39"/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 t="shared" si="40"/>
        <v/>
      </c>
      <c r="EB14" s="40" t="str">
        <f t="shared" si="41"/>
        <v/>
      </c>
      <c r="EC14" s="40" t="str">
        <f t="shared" si="42"/>
        <v/>
      </c>
      <c r="ED14" s="40" t="str">
        <f t="shared" si="43"/>
        <v/>
      </c>
      <c r="EE14" s="40" t="str">
        <f t="shared" si="44"/>
        <v/>
      </c>
      <c r="EF14" s="40" t="str">
        <f t="shared" si="45"/>
        <v/>
      </c>
      <c r="EG14" s="40" t="str">
        <f t="shared" si="46"/>
        <v/>
      </c>
      <c r="EH14" s="40" t="str">
        <f t="shared" si="47"/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 t="shared" si="48"/>
        <v/>
      </c>
      <c r="FD14" s="11" t="str">
        <f t="shared" si="49"/>
        <v/>
      </c>
      <c r="FE14" s="11" t="str">
        <f t="shared" si="50"/>
        <v/>
      </c>
      <c r="FF14" s="11" t="str">
        <f t="shared" si="51"/>
        <v/>
      </c>
      <c r="FG14" s="11" t="str">
        <f t="shared" si="52"/>
        <v/>
      </c>
      <c r="FH14" s="11" t="str">
        <f t="shared" si="53"/>
        <v/>
      </c>
      <c r="FI14" s="11" t="str">
        <f t="shared" si="54"/>
        <v/>
      </c>
      <c r="FJ14" s="11" t="str">
        <f t="shared" si="55"/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 t="shared" si="56"/>
        <v/>
      </c>
      <c r="GF14" s="40" t="str">
        <f t="shared" si="57"/>
        <v/>
      </c>
      <c r="GG14" s="40" t="str">
        <f t="shared" si="58"/>
        <v/>
      </c>
      <c r="GH14" s="40" t="str">
        <f t="shared" si="59"/>
        <v/>
      </c>
      <c r="GI14" s="40" t="str">
        <f t="shared" si="60"/>
        <v/>
      </c>
      <c r="GJ14" s="40" t="str">
        <f t="shared" si="61"/>
        <v/>
      </c>
      <c r="GK14" s="40" t="str">
        <f t="shared" si="62"/>
        <v/>
      </c>
      <c r="GL14" s="40" t="str">
        <f t="shared" si="63"/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 t="shared" si="64"/>
        <v/>
      </c>
      <c r="HH14" s="11" t="str">
        <f t="shared" si="65"/>
        <v/>
      </c>
      <c r="HI14" s="11" t="str">
        <f t="shared" si="66"/>
        <v/>
      </c>
      <c r="HJ14" s="11" t="str">
        <f t="shared" si="67"/>
        <v/>
      </c>
      <c r="HK14" s="11" t="str">
        <f t="shared" si="68"/>
        <v/>
      </c>
      <c r="HL14" s="11" t="str">
        <f t="shared" si="69"/>
        <v/>
      </c>
      <c r="HM14" s="11" t="str">
        <f t="shared" si="70"/>
        <v/>
      </c>
      <c r="HN14" s="11" t="str">
        <f t="shared" si="71"/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 t="shared" si="72"/>
        <v/>
      </c>
      <c r="IJ14" s="40" t="str">
        <f t="shared" si="73"/>
        <v/>
      </c>
      <c r="IK14" s="40" t="str">
        <f t="shared" si="74"/>
        <v/>
      </c>
      <c r="IL14" s="40" t="str">
        <f t="shared" si="75"/>
        <v/>
      </c>
      <c r="IM14" s="40" t="str">
        <f t="shared" si="76"/>
        <v/>
      </c>
      <c r="IN14" s="40" t="str">
        <f t="shared" si="77"/>
        <v/>
      </c>
      <c r="IO14" s="40" t="str">
        <f t="shared" si="78"/>
        <v/>
      </c>
      <c r="IP14" s="40" t="str">
        <f t="shared" si="79"/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 t="shared" si="80"/>
        <v/>
      </c>
      <c r="JL14" s="11" t="str">
        <f t="shared" si="81"/>
        <v/>
      </c>
      <c r="JM14" s="11" t="str">
        <f t="shared" si="82"/>
        <v/>
      </c>
      <c r="JN14" s="11" t="str">
        <f t="shared" si="83"/>
        <v/>
      </c>
      <c r="JO14" s="11" t="str">
        <f t="shared" si="84"/>
        <v/>
      </c>
      <c r="JP14" s="11" t="str">
        <f t="shared" si="85"/>
        <v/>
      </c>
      <c r="JQ14" s="11" t="str">
        <f t="shared" si="86"/>
        <v/>
      </c>
      <c r="JR14" s="11" t="str">
        <f t="shared" si="87"/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 t="shared" si="88"/>
        <v/>
      </c>
      <c r="KN14" s="40" t="str">
        <f t="shared" si="89"/>
        <v/>
      </c>
      <c r="KO14" s="40" t="str">
        <f t="shared" si="90"/>
        <v/>
      </c>
      <c r="KP14" s="40" t="str">
        <f t="shared" si="91"/>
        <v/>
      </c>
      <c r="KQ14" s="40" t="str">
        <f t="shared" si="92"/>
        <v/>
      </c>
      <c r="KR14" s="40" t="str">
        <f t="shared" si="93"/>
        <v/>
      </c>
      <c r="KS14" s="40" t="str">
        <f t="shared" si="94"/>
        <v/>
      </c>
      <c r="KT14" s="40" t="str">
        <f t="shared" si="95"/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 t="shared" si="96"/>
        <v/>
      </c>
      <c r="LP14" s="11" t="str">
        <f t="shared" si="97"/>
        <v/>
      </c>
      <c r="LQ14" s="11" t="str">
        <f t="shared" si="98"/>
        <v/>
      </c>
      <c r="LR14" s="11" t="str">
        <f t="shared" si="99"/>
        <v/>
      </c>
      <c r="LS14" s="11" t="str">
        <f t="shared" si="100"/>
        <v/>
      </c>
      <c r="LT14" s="11" t="str">
        <f t="shared" si="101"/>
        <v/>
      </c>
      <c r="LU14" s="11" t="str">
        <f t="shared" si="102"/>
        <v/>
      </c>
      <c r="LV14" s="11" t="str">
        <f t="shared" si="103"/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 t="shared" si="104"/>
        <v/>
      </c>
      <c r="MR14" s="40" t="str">
        <f t="shared" si="105"/>
        <v/>
      </c>
      <c r="MS14" s="40" t="str">
        <f t="shared" si="106"/>
        <v/>
      </c>
      <c r="MT14" s="40" t="str">
        <f t="shared" si="107"/>
        <v/>
      </c>
      <c r="MU14" s="40" t="str">
        <f t="shared" si="108"/>
        <v/>
      </c>
      <c r="MV14" s="40" t="str">
        <f t="shared" si="109"/>
        <v/>
      </c>
      <c r="MW14" s="40" t="str">
        <f t="shared" si="110"/>
        <v/>
      </c>
      <c r="MX14" s="40" t="str">
        <f t="shared" si="111"/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 t="shared" si="112"/>
        <v/>
      </c>
      <c r="NT14" s="11" t="str">
        <f t="shared" si="113"/>
        <v/>
      </c>
      <c r="NU14" s="11" t="str">
        <f t="shared" si="114"/>
        <v/>
      </c>
      <c r="NV14" s="11" t="str">
        <f t="shared" si="115"/>
        <v/>
      </c>
      <c r="NW14" s="11" t="str">
        <f t="shared" si="116"/>
        <v/>
      </c>
      <c r="NX14" s="11" t="str">
        <f t="shared" si="117"/>
        <v/>
      </c>
      <c r="NY14" s="11" t="str">
        <f t="shared" si="118"/>
        <v/>
      </c>
      <c r="NZ14" s="11" t="str">
        <f t="shared" si="119"/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 t="shared" si="120"/>
        <v/>
      </c>
      <c r="OV14" s="40" t="str">
        <f t="shared" si="121"/>
        <v/>
      </c>
      <c r="OW14" s="40" t="str">
        <f t="shared" si="122"/>
        <v/>
      </c>
      <c r="OX14" s="40" t="str">
        <f t="shared" si="123"/>
        <v/>
      </c>
      <c r="OY14" s="40" t="str">
        <f t="shared" si="124"/>
        <v/>
      </c>
      <c r="OZ14" s="40" t="str">
        <f t="shared" si="125"/>
        <v/>
      </c>
      <c r="PA14" s="40" t="str">
        <f t="shared" si="126"/>
        <v/>
      </c>
      <c r="PB14" s="40" t="str">
        <f t="shared" si="127"/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 t="shared" si="128"/>
        <v/>
      </c>
      <c r="PX14" s="11" t="str">
        <f t="shared" si="129"/>
        <v/>
      </c>
      <c r="PY14" s="11" t="str">
        <f t="shared" si="130"/>
        <v/>
      </c>
      <c r="PZ14" s="11" t="str">
        <f t="shared" si="131"/>
        <v/>
      </c>
      <c r="QA14" s="11" t="str">
        <f t="shared" si="132"/>
        <v/>
      </c>
      <c r="QB14" s="11" t="str">
        <f t="shared" si="133"/>
        <v/>
      </c>
      <c r="QC14" s="11" t="str">
        <f t="shared" si="134"/>
        <v/>
      </c>
      <c r="QD14" s="11" t="str">
        <f t="shared" si="135"/>
        <v/>
      </c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40" t="str">
        <f t="shared" si="136"/>
        <v/>
      </c>
      <c r="QZ14" s="40" t="str">
        <f t="shared" si="137"/>
        <v/>
      </c>
      <c r="RA14" s="40" t="str">
        <f t="shared" si="138"/>
        <v/>
      </c>
      <c r="RB14" s="40" t="str">
        <f t="shared" si="139"/>
        <v/>
      </c>
      <c r="RC14" s="40" t="str">
        <f t="shared" si="140"/>
        <v/>
      </c>
      <c r="RD14" s="40" t="str">
        <f t="shared" si="141"/>
        <v/>
      </c>
      <c r="RE14" s="40" t="str">
        <f t="shared" si="142"/>
        <v/>
      </c>
      <c r="RF14" s="40" t="str">
        <f t="shared" si="143"/>
        <v/>
      </c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1" t="str">
        <f t="shared" si="144"/>
        <v/>
      </c>
      <c r="SB14" s="11" t="str">
        <f t="shared" si="145"/>
        <v/>
      </c>
      <c r="SC14" s="11" t="str">
        <f t="shared" si="146"/>
        <v/>
      </c>
      <c r="SD14" s="11" t="str">
        <f t="shared" si="147"/>
        <v/>
      </c>
      <c r="SE14" s="11" t="str">
        <f t="shared" si="148"/>
        <v/>
      </c>
      <c r="SF14" s="11" t="str">
        <f t="shared" si="149"/>
        <v/>
      </c>
      <c r="SG14" s="11" t="str">
        <f t="shared" si="150"/>
        <v/>
      </c>
      <c r="SH14" s="11" t="str">
        <f t="shared" si="151"/>
        <v/>
      </c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40" t="str">
        <f t="shared" si="152"/>
        <v/>
      </c>
      <c r="TD14" s="40" t="str">
        <f t="shared" si="153"/>
        <v/>
      </c>
      <c r="TE14" s="40" t="str">
        <f t="shared" si="154"/>
        <v/>
      </c>
      <c r="TF14" s="40" t="str">
        <f t="shared" si="155"/>
        <v/>
      </c>
      <c r="TG14" s="40" t="str">
        <f t="shared" si="156"/>
        <v/>
      </c>
      <c r="TH14" s="40" t="str">
        <f t="shared" si="157"/>
        <v/>
      </c>
      <c r="TI14" s="40" t="str">
        <f t="shared" si="158"/>
        <v/>
      </c>
      <c r="TJ14" s="40" t="str">
        <f t="shared" si="159"/>
        <v/>
      </c>
      <c r="TK14" s="26">
        <f t="shared" si="160"/>
        <v>18.049999999999997</v>
      </c>
      <c r="TL14" s="26">
        <f t="shared" si="161"/>
        <v>4.5999999999999996</v>
      </c>
      <c r="TM14" s="26">
        <f t="shared" si="162"/>
        <v>0.3</v>
      </c>
      <c r="TN14" s="26">
        <f t="shared" si="163"/>
        <v>0.15</v>
      </c>
      <c r="TO14" s="26">
        <f t="shared" si="164"/>
        <v>9.5</v>
      </c>
      <c r="TP14" s="26">
        <f t="shared" si="165"/>
        <v>3.2</v>
      </c>
      <c r="TQ14" s="26">
        <f t="shared" si="166"/>
        <v>0</v>
      </c>
      <c r="TR14" s="26">
        <f t="shared" si="167"/>
        <v>0</v>
      </c>
      <c r="TS14" s="26">
        <f t="shared" si="168"/>
        <v>9.3000000000000007</v>
      </c>
      <c r="TT14" s="26">
        <f t="shared" si="169"/>
        <v>2.6</v>
      </c>
      <c r="TU14" s="26">
        <f t="shared" si="170"/>
        <v>0.3</v>
      </c>
      <c r="TV14" s="26">
        <f t="shared" si="171"/>
        <v>0</v>
      </c>
      <c r="TW14" s="26">
        <f t="shared" si="172"/>
        <v>9.1</v>
      </c>
      <c r="TX14" s="26">
        <f t="shared" si="173"/>
        <v>3.4</v>
      </c>
      <c r="TY14" s="26">
        <f t="shared" si="174"/>
        <v>0.1</v>
      </c>
      <c r="TZ14" s="26">
        <f t="shared" si="175"/>
        <v>0.15</v>
      </c>
      <c r="UA14" s="26">
        <f t="shared" si="176"/>
        <v>9.1999999999999993</v>
      </c>
      <c r="UB14" s="26">
        <f t="shared" si="177"/>
        <v>3.2</v>
      </c>
      <c r="UC14" s="26">
        <f t="shared" si="178"/>
        <v>0.3</v>
      </c>
      <c r="UD14" s="26">
        <f t="shared" si="179"/>
        <v>0</v>
      </c>
      <c r="UE14" s="28" t="s">
        <v>53</v>
      </c>
      <c r="UF14" s="11">
        <f t="shared" si="180"/>
        <v>7.8</v>
      </c>
      <c r="UG14" s="11">
        <f t="shared" si="181"/>
        <v>35.200000000000003</v>
      </c>
      <c r="UH14" s="11">
        <f t="shared" si="182"/>
        <v>11.6</v>
      </c>
      <c r="UI14" s="11">
        <f t="shared" si="183"/>
        <v>10.4</v>
      </c>
      <c r="UJ14" s="11">
        <f t="shared" si="184"/>
        <v>46.800000000000004</v>
      </c>
      <c r="UK14" s="11">
        <f t="shared" si="185"/>
        <v>6.6</v>
      </c>
      <c r="UL14" s="11">
        <f t="shared" si="186"/>
        <v>24.650000000000002</v>
      </c>
      <c r="UM14" s="11">
        <f t="shared" si="187"/>
        <v>71.45</v>
      </c>
    </row>
    <row r="15" spans="1:559" x14ac:dyDescent="0.2">
      <c r="A15" s="4" t="str" cm="1">
        <f t="array" ref="A15">IF(AND(H15&lt;&gt;"",H15&lt;&gt;"No DD"),SUMPRODUCT((H$4:H$23&lt;&gt;"")*(H$4:H$23&lt;&gt;"No DD")*(E$4:E$23&gt;E15))+1,IF(H15="No DD",SUMPRODUCT((H$4:H$23="No DD")*(E$4:E$23&gt;E15))+1+SUMPRODUCT((H$4:H$23&lt;&gt;"")*(H$4:H$23&lt;&gt;"No DD")),""))</f>
        <v/>
      </c>
      <c r="B15" s="5" t="s">
        <v>178</v>
      </c>
      <c r="C15" s="4" t="s">
        <v>5</v>
      </c>
      <c r="D15" s="4">
        <v>1999</v>
      </c>
      <c r="E15" s="9">
        <f t="shared" si="0"/>
        <v>161.70001150000462</v>
      </c>
      <c r="F15" s="3" t="str">
        <f t="shared" si="1"/>
        <v/>
      </c>
      <c r="G15" s="3" t="str">
        <f t="shared" si="2"/>
        <v/>
      </c>
      <c r="H15" s="36" t="str">
        <f t="shared" si="3"/>
        <v/>
      </c>
      <c r="I15" s="3" t="str">
        <f t="shared" si="4"/>
        <v/>
      </c>
      <c r="J15" s="8">
        <f>IF(COUNT(AQ15,BT15,CW15)&gt;0,LARGE((AQ15,BT15,CW15),1),0)</f>
        <v>46.2</v>
      </c>
      <c r="K15" s="8" t="str">
        <f t="shared" si="5"/>
        <v>2024 3rd Domestic Trial</v>
      </c>
      <c r="L15" s="8">
        <f>IF(COUNT(AQ15,BT15,CW15)&gt;1,LARGE((AQ15,BT15,CW15),2),0)</f>
        <v>45.8</v>
      </c>
      <c r="M15" s="8" t="str">
        <f t="shared" si="6"/>
        <v>2024 Elite Canada</v>
      </c>
      <c r="N15" s="8">
        <f>IF(COUNT(AR15,BU15,CX15)&gt;0,LARGE((AR15,BU15,CX15),1),0)</f>
        <v>23</v>
      </c>
      <c r="O15" s="8" t="str">
        <f t="shared" si="7"/>
        <v>2024 Elite Canada</v>
      </c>
      <c r="P15" s="8">
        <f t="shared" si="8"/>
        <v>46.699999999999996</v>
      </c>
      <c r="Q15" s="8" t="str">
        <f t="shared" si="9"/>
        <v>2024 3rd Domestic Trial</v>
      </c>
      <c r="R15" s="8" t="str">
        <f t="shared" si="10"/>
        <v/>
      </c>
      <c r="S15" s="11" t="str">
        <f t="shared" si="11"/>
        <v/>
      </c>
      <c r="T15" s="8" t="str">
        <f t="shared" si="12"/>
        <v/>
      </c>
      <c r="U15" s="19">
        <v>18.399999999999999</v>
      </c>
      <c r="V15" s="19">
        <v>5.2</v>
      </c>
      <c r="W15" s="19">
        <v>0</v>
      </c>
      <c r="X15" s="19">
        <v>0</v>
      </c>
      <c r="Y15" s="19">
        <v>17.8</v>
      </c>
      <c r="Z15" s="19">
        <v>4.8</v>
      </c>
      <c r="AA15" s="19">
        <v>0.4</v>
      </c>
      <c r="AB15" s="19">
        <v>0</v>
      </c>
      <c r="AC15" s="19">
        <v>18.2</v>
      </c>
      <c r="AD15" s="19">
        <v>4.8</v>
      </c>
      <c r="AE15" s="19">
        <v>0</v>
      </c>
      <c r="AF15" s="19">
        <v>0</v>
      </c>
      <c r="AG15" s="19">
        <v>18.399999999999999</v>
      </c>
      <c r="AH15" s="19">
        <v>5.2</v>
      </c>
      <c r="AI15" s="19">
        <v>0.4</v>
      </c>
      <c r="AJ15" s="19">
        <v>0</v>
      </c>
      <c r="AK15" s="19">
        <v>17.8</v>
      </c>
      <c r="AL15" s="19">
        <v>5.2</v>
      </c>
      <c r="AM15" s="19">
        <v>0.6</v>
      </c>
      <c r="AN15" s="19">
        <v>0</v>
      </c>
      <c r="AO15" s="27"/>
      <c r="AP15" s="40">
        <f t="shared" si="13"/>
        <v>10</v>
      </c>
      <c r="AQ15" s="40">
        <f t="shared" si="14"/>
        <v>45.8</v>
      </c>
      <c r="AR15" s="40">
        <f t="shared" si="15"/>
        <v>23</v>
      </c>
      <c r="AS15" s="40">
        <f t="shared" si="16"/>
        <v>14.8</v>
      </c>
      <c r="AT15" s="40">
        <f t="shared" si="17"/>
        <v>68.8</v>
      </c>
      <c r="AU15" s="40">
        <f t="shared" si="18"/>
        <v>10.4</v>
      </c>
      <c r="AV15" s="40">
        <f t="shared" si="19"/>
        <v>45.6</v>
      </c>
      <c r="AW15" s="40">
        <f t="shared" si="20"/>
        <v>114.4</v>
      </c>
      <c r="AX15" s="18">
        <v>18.600000000000001</v>
      </c>
      <c r="AY15" s="18">
        <v>5.2</v>
      </c>
      <c r="AZ15" s="18">
        <v>0</v>
      </c>
      <c r="BA15" s="18">
        <v>0</v>
      </c>
      <c r="BB15" s="18">
        <v>16.399999999999999</v>
      </c>
      <c r="BC15" s="18">
        <v>5.2</v>
      </c>
      <c r="BD15" s="18">
        <v>1.2</v>
      </c>
      <c r="BE15" s="18">
        <v>0</v>
      </c>
      <c r="BF15" s="18">
        <v>18.2</v>
      </c>
      <c r="BG15" s="18">
        <v>4.4000000000000004</v>
      </c>
      <c r="BH15" s="18">
        <v>0</v>
      </c>
      <c r="BI15" s="18">
        <v>0</v>
      </c>
      <c r="BJ15" s="18">
        <v>18.5</v>
      </c>
      <c r="BK15" s="18">
        <v>5.6</v>
      </c>
      <c r="BL15" s="18">
        <v>0.6</v>
      </c>
      <c r="BM15" s="18">
        <v>0</v>
      </c>
      <c r="BN15" s="18">
        <v>18.2</v>
      </c>
      <c r="BO15" s="18">
        <v>4.8</v>
      </c>
      <c r="BP15" s="18">
        <v>0</v>
      </c>
      <c r="BQ15" s="18">
        <v>0</v>
      </c>
      <c r="BR15" s="28"/>
      <c r="BS15" s="11">
        <f t="shared" si="21"/>
        <v>10.4</v>
      </c>
      <c r="BT15" s="11">
        <f t="shared" si="22"/>
        <v>44.2</v>
      </c>
      <c r="BU15" s="11">
        <f t="shared" si="23"/>
        <v>22.6</v>
      </c>
      <c r="BV15" s="11">
        <f t="shared" si="24"/>
        <v>14.8</v>
      </c>
      <c r="BW15" s="11">
        <f t="shared" si="25"/>
        <v>66.800000000000011</v>
      </c>
      <c r="BX15" s="11">
        <f t="shared" si="26"/>
        <v>10.399999999999999</v>
      </c>
      <c r="BY15" s="11">
        <f t="shared" si="27"/>
        <v>46.499999999999993</v>
      </c>
      <c r="BZ15" s="11">
        <f t="shared" si="28"/>
        <v>113.30000000000001</v>
      </c>
      <c r="CA15" s="19">
        <v>18.3</v>
      </c>
      <c r="CB15" s="19">
        <v>5.2</v>
      </c>
      <c r="CC15" s="19">
        <v>0.2</v>
      </c>
      <c r="CD15" s="19">
        <v>0</v>
      </c>
      <c r="CE15" s="19">
        <v>18.5</v>
      </c>
      <c r="CF15" s="19">
        <v>5.2</v>
      </c>
      <c r="CG15" s="19">
        <v>0.8</v>
      </c>
      <c r="CH15" s="19">
        <v>0</v>
      </c>
      <c r="CI15" s="19">
        <v>18.3</v>
      </c>
      <c r="CJ15" s="19">
        <v>4.4000000000000004</v>
      </c>
      <c r="CK15" s="19">
        <v>0.2</v>
      </c>
      <c r="CL15" s="19">
        <v>0</v>
      </c>
      <c r="CM15" s="19">
        <v>18.399999999999999</v>
      </c>
      <c r="CN15" s="19">
        <v>5.2</v>
      </c>
      <c r="CO15" s="19">
        <v>0</v>
      </c>
      <c r="CP15" s="19">
        <v>0</v>
      </c>
      <c r="CQ15" s="19">
        <v>18.5</v>
      </c>
      <c r="CR15" s="19">
        <v>5.2</v>
      </c>
      <c r="CS15" s="19">
        <v>0.6</v>
      </c>
      <c r="CT15" s="19">
        <v>0</v>
      </c>
      <c r="CU15" s="27"/>
      <c r="CV15" s="40">
        <f t="shared" si="29"/>
        <v>10.4</v>
      </c>
      <c r="CW15" s="40">
        <f t="shared" si="30"/>
        <v>46.2</v>
      </c>
      <c r="CX15" s="40">
        <f t="shared" si="31"/>
        <v>22.500000000000004</v>
      </c>
      <c r="CY15" s="40">
        <f t="shared" si="32"/>
        <v>14.8</v>
      </c>
      <c r="CZ15" s="40">
        <f t="shared" si="33"/>
        <v>68.7</v>
      </c>
      <c r="DA15" s="40">
        <f t="shared" si="34"/>
        <v>10.4</v>
      </c>
      <c r="DB15" s="40">
        <f t="shared" si="35"/>
        <v>46.699999999999996</v>
      </c>
      <c r="DC15" s="40">
        <f t="shared" si="36"/>
        <v>115.4</v>
      </c>
      <c r="DD15" s="51" t="str">
        <f t="shared" si="37"/>
        <v/>
      </c>
      <c r="DE15" s="51" t="str">
        <f t="shared" si="38"/>
        <v/>
      </c>
      <c r="DF15" s="51" t="str">
        <f t="shared" si="39"/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 t="shared" si="40"/>
        <v/>
      </c>
      <c r="EB15" s="40" t="str">
        <f t="shared" si="41"/>
        <v/>
      </c>
      <c r="EC15" s="40" t="str">
        <f t="shared" si="42"/>
        <v/>
      </c>
      <c r="ED15" s="40" t="str">
        <f t="shared" si="43"/>
        <v/>
      </c>
      <c r="EE15" s="40" t="str">
        <f t="shared" si="44"/>
        <v/>
      </c>
      <c r="EF15" s="40" t="str">
        <f t="shared" si="45"/>
        <v/>
      </c>
      <c r="EG15" s="40" t="str">
        <f t="shared" si="46"/>
        <v/>
      </c>
      <c r="EH15" s="40" t="str">
        <f t="shared" si="47"/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 t="shared" si="48"/>
        <v/>
      </c>
      <c r="FD15" s="11" t="str">
        <f t="shared" si="49"/>
        <v/>
      </c>
      <c r="FE15" s="11" t="str">
        <f t="shared" si="50"/>
        <v/>
      </c>
      <c r="FF15" s="11" t="str">
        <f t="shared" si="51"/>
        <v/>
      </c>
      <c r="FG15" s="11" t="str">
        <f t="shared" si="52"/>
        <v/>
      </c>
      <c r="FH15" s="11" t="str">
        <f t="shared" si="53"/>
        <v/>
      </c>
      <c r="FI15" s="11" t="str">
        <f t="shared" si="54"/>
        <v/>
      </c>
      <c r="FJ15" s="11" t="str">
        <f t="shared" si="55"/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 t="shared" si="56"/>
        <v/>
      </c>
      <c r="GF15" s="40" t="str">
        <f t="shared" si="57"/>
        <v/>
      </c>
      <c r="GG15" s="40" t="str">
        <f t="shared" si="58"/>
        <v/>
      </c>
      <c r="GH15" s="40" t="str">
        <f t="shared" si="59"/>
        <v/>
      </c>
      <c r="GI15" s="40" t="str">
        <f t="shared" si="60"/>
        <v/>
      </c>
      <c r="GJ15" s="40" t="str">
        <f t="shared" si="61"/>
        <v/>
      </c>
      <c r="GK15" s="40" t="str">
        <f t="shared" si="62"/>
        <v/>
      </c>
      <c r="GL15" s="40" t="str">
        <f t="shared" si="63"/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 t="shared" si="64"/>
        <v/>
      </c>
      <c r="HH15" s="11" t="str">
        <f t="shared" si="65"/>
        <v/>
      </c>
      <c r="HI15" s="11" t="str">
        <f t="shared" si="66"/>
        <v/>
      </c>
      <c r="HJ15" s="11" t="str">
        <f t="shared" si="67"/>
        <v/>
      </c>
      <c r="HK15" s="11" t="str">
        <f t="shared" si="68"/>
        <v/>
      </c>
      <c r="HL15" s="11" t="str">
        <f t="shared" si="69"/>
        <v/>
      </c>
      <c r="HM15" s="11" t="str">
        <f t="shared" si="70"/>
        <v/>
      </c>
      <c r="HN15" s="11" t="str">
        <f t="shared" si="71"/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 t="shared" si="72"/>
        <v/>
      </c>
      <c r="IJ15" s="40" t="str">
        <f t="shared" si="73"/>
        <v/>
      </c>
      <c r="IK15" s="40" t="str">
        <f t="shared" si="74"/>
        <v/>
      </c>
      <c r="IL15" s="40" t="str">
        <f t="shared" si="75"/>
        <v/>
      </c>
      <c r="IM15" s="40" t="str">
        <f t="shared" si="76"/>
        <v/>
      </c>
      <c r="IN15" s="40" t="str">
        <f t="shared" si="77"/>
        <v/>
      </c>
      <c r="IO15" s="40" t="str">
        <f t="shared" si="78"/>
        <v/>
      </c>
      <c r="IP15" s="40" t="str">
        <f t="shared" si="79"/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 t="shared" si="80"/>
        <v/>
      </c>
      <c r="JL15" s="11" t="str">
        <f t="shared" si="81"/>
        <v/>
      </c>
      <c r="JM15" s="11" t="str">
        <f t="shared" si="82"/>
        <v/>
      </c>
      <c r="JN15" s="11" t="str">
        <f t="shared" si="83"/>
        <v/>
      </c>
      <c r="JO15" s="11" t="str">
        <f t="shared" si="84"/>
        <v/>
      </c>
      <c r="JP15" s="11" t="str">
        <f t="shared" si="85"/>
        <v/>
      </c>
      <c r="JQ15" s="11" t="str">
        <f t="shared" si="86"/>
        <v/>
      </c>
      <c r="JR15" s="11" t="str">
        <f t="shared" si="87"/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 t="shared" si="88"/>
        <v/>
      </c>
      <c r="KN15" s="40" t="str">
        <f t="shared" si="89"/>
        <v/>
      </c>
      <c r="KO15" s="40" t="str">
        <f t="shared" si="90"/>
        <v/>
      </c>
      <c r="KP15" s="40" t="str">
        <f t="shared" si="91"/>
        <v/>
      </c>
      <c r="KQ15" s="40" t="str">
        <f t="shared" si="92"/>
        <v/>
      </c>
      <c r="KR15" s="40" t="str">
        <f t="shared" si="93"/>
        <v/>
      </c>
      <c r="KS15" s="40" t="str">
        <f t="shared" si="94"/>
        <v/>
      </c>
      <c r="KT15" s="40" t="str">
        <f t="shared" si="95"/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 t="shared" si="96"/>
        <v/>
      </c>
      <c r="LP15" s="11" t="str">
        <f t="shared" si="97"/>
        <v/>
      </c>
      <c r="LQ15" s="11" t="str">
        <f t="shared" si="98"/>
        <v/>
      </c>
      <c r="LR15" s="11" t="str">
        <f t="shared" si="99"/>
        <v/>
      </c>
      <c r="LS15" s="11" t="str">
        <f t="shared" si="100"/>
        <v/>
      </c>
      <c r="LT15" s="11" t="str">
        <f t="shared" si="101"/>
        <v/>
      </c>
      <c r="LU15" s="11" t="str">
        <f t="shared" si="102"/>
        <v/>
      </c>
      <c r="LV15" s="11" t="str">
        <f t="shared" si="103"/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 t="shared" si="104"/>
        <v/>
      </c>
      <c r="MR15" s="40" t="str">
        <f t="shared" si="105"/>
        <v/>
      </c>
      <c r="MS15" s="40" t="str">
        <f t="shared" si="106"/>
        <v/>
      </c>
      <c r="MT15" s="40" t="str">
        <f t="shared" si="107"/>
        <v/>
      </c>
      <c r="MU15" s="40" t="str">
        <f t="shared" si="108"/>
        <v/>
      </c>
      <c r="MV15" s="40" t="str">
        <f t="shared" si="109"/>
        <v/>
      </c>
      <c r="MW15" s="40" t="str">
        <f t="shared" si="110"/>
        <v/>
      </c>
      <c r="MX15" s="40" t="str">
        <f t="shared" si="111"/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 t="shared" si="112"/>
        <v/>
      </c>
      <c r="NT15" s="11" t="str">
        <f t="shared" si="113"/>
        <v/>
      </c>
      <c r="NU15" s="11" t="str">
        <f t="shared" si="114"/>
        <v/>
      </c>
      <c r="NV15" s="11" t="str">
        <f t="shared" si="115"/>
        <v/>
      </c>
      <c r="NW15" s="11" t="str">
        <f t="shared" si="116"/>
        <v/>
      </c>
      <c r="NX15" s="11" t="str">
        <f t="shared" si="117"/>
        <v/>
      </c>
      <c r="NY15" s="11" t="str">
        <f t="shared" si="118"/>
        <v/>
      </c>
      <c r="NZ15" s="11" t="str">
        <f t="shared" si="119"/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 t="shared" si="120"/>
        <v/>
      </c>
      <c r="OV15" s="40" t="str">
        <f t="shared" si="121"/>
        <v/>
      </c>
      <c r="OW15" s="40" t="str">
        <f t="shared" si="122"/>
        <v/>
      </c>
      <c r="OX15" s="40" t="str">
        <f t="shared" si="123"/>
        <v/>
      </c>
      <c r="OY15" s="40" t="str">
        <f t="shared" si="124"/>
        <v/>
      </c>
      <c r="OZ15" s="40" t="str">
        <f t="shared" si="125"/>
        <v/>
      </c>
      <c r="PA15" s="40" t="str">
        <f t="shared" si="126"/>
        <v/>
      </c>
      <c r="PB15" s="40" t="str">
        <f t="shared" si="127"/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 t="shared" si="128"/>
        <v/>
      </c>
      <c r="PX15" s="11" t="str">
        <f t="shared" si="129"/>
        <v/>
      </c>
      <c r="PY15" s="11" t="str">
        <f t="shared" si="130"/>
        <v/>
      </c>
      <c r="PZ15" s="11" t="str">
        <f t="shared" si="131"/>
        <v/>
      </c>
      <c r="QA15" s="11" t="str">
        <f t="shared" si="132"/>
        <v/>
      </c>
      <c r="QB15" s="11" t="str">
        <f t="shared" si="133"/>
        <v/>
      </c>
      <c r="QC15" s="11" t="str">
        <f t="shared" si="134"/>
        <v/>
      </c>
      <c r="QD15" s="11" t="str">
        <f t="shared" si="135"/>
        <v/>
      </c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40" t="str">
        <f t="shared" si="136"/>
        <v/>
      </c>
      <c r="QZ15" s="40" t="str">
        <f t="shared" si="137"/>
        <v/>
      </c>
      <c r="RA15" s="40" t="str">
        <f t="shared" si="138"/>
        <v/>
      </c>
      <c r="RB15" s="40" t="str">
        <f t="shared" si="139"/>
        <v/>
      </c>
      <c r="RC15" s="40" t="str">
        <f t="shared" si="140"/>
        <v/>
      </c>
      <c r="RD15" s="40" t="str">
        <f t="shared" si="141"/>
        <v/>
      </c>
      <c r="RE15" s="40" t="str">
        <f t="shared" si="142"/>
        <v/>
      </c>
      <c r="RF15" s="40" t="str">
        <f t="shared" si="143"/>
        <v/>
      </c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1" t="str">
        <f t="shared" si="144"/>
        <v/>
      </c>
      <c r="SB15" s="11" t="str">
        <f t="shared" si="145"/>
        <v/>
      </c>
      <c r="SC15" s="11" t="str">
        <f t="shared" si="146"/>
        <v/>
      </c>
      <c r="SD15" s="11" t="str">
        <f t="shared" si="147"/>
        <v/>
      </c>
      <c r="SE15" s="11" t="str">
        <f t="shared" si="148"/>
        <v/>
      </c>
      <c r="SF15" s="11" t="str">
        <f t="shared" si="149"/>
        <v/>
      </c>
      <c r="SG15" s="11" t="str">
        <f t="shared" si="150"/>
        <v/>
      </c>
      <c r="SH15" s="11" t="str">
        <f t="shared" si="151"/>
        <v/>
      </c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40" t="str">
        <f t="shared" si="152"/>
        <v/>
      </c>
      <c r="TD15" s="40" t="str">
        <f t="shared" si="153"/>
        <v/>
      </c>
      <c r="TE15" s="40" t="str">
        <f t="shared" si="154"/>
        <v/>
      </c>
      <c r="TF15" s="40" t="str">
        <f t="shared" si="155"/>
        <v/>
      </c>
      <c r="TG15" s="40" t="str">
        <f t="shared" si="156"/>
        <v/>
      </c>
      <c r="TH15" s="40" t="str">
        <f t="shared" si="157"/>
        <v/>
      </c>
      <c r="TI15" s="40" t="str">
        <f t="shared" si="158"/>
        <v/>
      </c>
      <c r="TJ15" s="40" t="str">
        <f t="shared" si="159"/>
        <v/>
      </c>
      <c r="TK15" s="26">
        <f t="shared" si="160"/>
        <v>18.450000000000003</v>
      </c>
      <c r="TL15" s="26">
        <f t="shared" si="161"/>
        <v>5.2</v>
      </c>
      <c r="TM15" s="26">
        <f t="shared" si="162"/>
        <v>0.1</v>
      </c>
      <c r="TN15" s="26">
        <f t="shared" si="163"/>
        <v>0</v>
      </c>
      <c r="TO15" s="26">
        <f t="shared" si="164"/>
        <v>17.45</v>
      </c>
      <c r="TP15" s="26">
        <f t="shared" si="165"/>
        <v>5.2</v>
      </c>
      <c r="TQ15" s="26">
        <f t="shared" si="166"/>
        <v>1</v>
      </c>
      <c r="TR15" s="26">
        <f t="shared" si="167"/>
        <v>0</v>
      </c>
      <c r="TS15" s="26">
        <f t="shared" si="168"/>
        <v>18.25</v>
      </c>
      <c r="TT15" s="26">
        <f t="shared" si="169"/>
        <v>4.4000000000000004</v>
      </c>
      <c r="TU15" s="26">
        <f t="shared" si="170"/>
        <v>0.1</v>
      </c>
      <c r="TV15" s="26">
        <f t="shared" si="171"/>
        <v>0</v>
      </c>
      <c r="TW15" s="26">
        <f t="shared" si="172"/>
        <v>18.45</v>
      </c>
      <c r="TX15" s="26">
        <f t="shared" si="173"/>
        <v>5.4</v>
      </c>
      <c r="TY15" s="26">
        <f t="shared" si="174"/>
        <v>0.3</v>
      </c>
      <c r="TZ15" s="26">
        <f t="shared" si="175"/>
        <v>0</v>
      </c>
      <c r="UA15" s="26">
        <f t="shared" si="176"/>
        <v>18.350000000000001</v>
      </c>
      <c r="UB15" s="26">
        <f t="shared" si="177"/>
        <v>5</v>
      </c>
      <c r="UC15" s="26">
        <f t="shared" si="178"/>
        <v>0.3</v>
      </c>
      <c r="UD15" s="26">
        <f t="shared" si="179"/>
        <v>0</v>
      </c>
      <c r="UE15" s="28" t="s">
        <v>53</v>
      </c>
      <c r="UF15" s="11">
        <f t="shared" si="180"/>
        <v>10.4</v>
      </c>
      <c r="UG15" s="11">
        <f t="shared" si="181"/>
        <v>45.2</v>
      </c>
      <c r="UH15" s="11">
        <f t="shared" si="182"/>
        <v>22.549999999999997</v>
      </c>
      <c r="UI15" s="11">
        <f t="shared" si="183"/>
        <v>14.8</v>
      </c>
      <c r="UJ15" s="11">
        <f t="shared" si="184"/>
        <v>67.75</v>
      </c>
      <c r="UK15" s="11">
        <f t="shared" si="185"/>
        <v>10.4</v>
      </c>
      <c r="UL15" s="11">
        <f t="shared" si="186"/>
        <v>46.6</v>
      </c>
      <c r="UM15" s="11">
        <f t="shared" si="187"/>
        <v>114.35</v>
      </c>
    </row>
    <row r="16" spans="1:559" x14ac:dyDescent="0.2">
      <c r="A16" s="4" t="str" cm="1">
        <f t="array" ref="A16">IF(AND(H16&lt;&gt;"",H16&lt;&gt;"No DD"),SUMPRODUCT((H$4:H$23&lt;&gt;"")*(H$4:H$23&lt;&gt;"No DD")*(E$4:E$23&gt;E16))+1,IF(H16="No DD",SUMPRODUCT((H$4:H$23="No DD")*(E$4:E$23&gt;E16))+1+SUMPRODUCT((H$4:H$23&lt;&gt;"")*(H$4:H$23&lt;&gt;"No DD")),""))</f>
        <v/>
      </c>
      <c r="B16" s="5" t="s">
        <v>81</v>
      </c>
      <c r="C16" s="4" t="s">
        <v>6</v>
      </c>
      <c r="D16" s="4">
        <v>1996</v>
      </c>
      <c r="E16" s="9">
        <f t="shared" si="0"/>
        <v>161.60001130500456</v>
      </c>
      <c r="F16" s="3" t="str">
        <f t="shared" si="1"/>
        <v/>
      </c>
      <c r="G16" s="3" t="str">
        <f t="shared" si="2"/>
        <v/>
      </c>
      <c r="H16" s="36" t="str">
        <f t="shared" si="3"/>
        <v/>
      </c>
      <c r="I16" s="3" t="str">
        <f t="shared" si="4"/>
        <v/>
      </c>
      <c r="J16" s="8">
        <f>IF(COUNT(AQ16,BT16,CW16)&gt;0,LARGE((AQ16,BT16,CW16),1),0)</f>
        <v>45.45</v>
      </c>
      <c r="K16" s="8" t="str">
        <f t="shared" si="5"/>
        <v>2024 Nationals</v>
      </c>
      <c r="L16" s="8">
        <f>IF(COUNT(AQ16,BT16,CW16)&gt;1,LARGE((AQ16,BT16,CW16),2),0)</f>
        <v>43.2</v>
      </c>
      <c r="M16" s="8" t="str">
        <f t="shared" si="6"/>
        <v>2024 Elite Canada</v>
      </c>
      <c r="N16" s="8">
        <f>IF(COUNT(AR16,BU16,CX16)&gt;0,LARGE((AR16,BU16,CX16),1),0)</f>
        <v>24.4</v>
      </c>
      <c r="O16" s="8" t="str">
        <f t="shared" si="7"/>
        <v>2024 Elite Canada</v>
      </c>
      <c r="P16" s="8">
        <f t="shared" si="8"/>
        <v>48.55</v>
      </c>
      <c r="Q16" s="8" t="str">
        <f t="shared" si="9"/>
        <v>2024 Nationals</v>
      </c>
      <c r="R16" s="8" t="str">
        <f t="shared" si="10"/>
        <v/>
      </c>
      <c r="S16" s="11" t="str">
        <f t="shared" si="11"/>
        <v/>
      </c>
      <c r="T16" s="8" t="str">
        <f t="shared" si="12"/>
        <v/>
      </c>
      <c r="U16" s="19">
        <v>17.600000000000001</v>
      </c>
      <c r="V16" s="19">
        <v>6</v>
      </c>
      <c r="W16" s="19">
        <v>0.6</v>
      </c>
      <c r="X16" s="19">
        <v>0</v>
      </c>
      <c r="Y16" s="19">
        <v>17</v>
      </c>
      <c r="Z16" s="19">
        <v>3.2</v>
      </c>
      <c r="AA16" s="19">
        <v>0</v>
      </c>
      <c r="AB16" s="19">
        <v>0</v>
      </c>
      <c r="AC16" s="19">
        <v>18.8</v>
      </c>
      <c r="AD16" s="19">
        <v>5.6</v>
      </c>
      <c r="AE16" s="19">
        <v>0</v>
      </c>
      <c r="AF16" s="19">
        <v>0</v>
      </c>
      <c r="AG16" s="19">
        <v>18.3</v>
      </c>
      <c r="AH16" s="19">
        <v>6</v>
      </c>
      <c r="AI16" s="19">
        <v>0</v>
      </c>
      <c r="AJ16" s="19">
        <v>0</v>
      </c>
      <c r="AK16" s="19">
        <v>18.2</v>
      </c>
      <c r="AL16" s="19">
        <v>5.6</v>
      </c>
      <c r="AM16" s="19">
        <v>0.2</v>
      </c>
      <c r="AN16" s="19">
        <v>0</v>
      </c>
      <c r="AO16" s="27"/>
      <c r="AP16" s="40">
        <f t="shared" si="13"/>
        <v>9.1999999999999993</v>
      </c>
      <c r="AQ16" s="40">
        <f t="shared" si="14"/>
        <v>43.2</v>
      </c>
      <c r="AR16" s="40">
        <f t="shared" si="15"/>
        <v>24.4</v>
      </c>
      <c r="AS16" s="40">
        <f t="shared" si="16"/>
        <v>14.799999999999999</v>
      </c>
      <c r="AT16" s="40">
        <f t="shared" si="17"/>
        <v>67.599999999999994</v>
      </c>
      <c r="AU16" s="40">
        <f t="shared" si="18"/>
        <v>11.6</v>
      </c>
      <c r="AV16" s="40">
        <f t="shared" si="19"/>
        <v>47.9</v>
      </c>
      <c r="AW16" s="40">
        <f t="shared" si="20"/>
        <v>115.5</v>
      </c>
      <c r="AX16" s="18">
        <v>18.200000000000003</v>
      </c>
      <c r="AY16" s="18">
        <v>5.6</v>
      </c>
      <c r="AZ16" s="18">
        <v>0.3</v>
      </c>
      <c r="BA16" s="18">
        <v>0</v>
      </c>
      <c r="BB16" s="18">
        <v>17.7</v>
      </c>
      <c r="BC16" s="18">
        <v>4.2</v>
      </c>
      <c r="BD16" s="18">
        <v>0.1</v>
      </c>
      <c r="BE16" s="18">
        <v>0.15</v>
      </c>
      <c r="BF16" s="18">
        <v>18.55</v>
      </c>
      <c r="BG16" s="18">
        <v>5.6</v>
      </c>
      <c r="BH16" s="18">
        <v>0</v>
      </c>
      <c r="BI16" s="18">
        <v>0</v>
      </c>
      <c r="BJ16" s="18">
        <v>18.600000000000001</v>
      </c>
      <c r="BK16" s="18">
        <v>5.6</v>
      </c>
      <c r="BL16" s="18">
        <v>0</v>
      </c>
      <c r="BM16" s="18">
        <v>0</v>
      </c>
      <c r="BN16" s="18">
        <v>18.549999999999997</v>
      </c>
      <c r="BO16" s="18">
        <v>6</v>
      </c>
      <c r="BP16" s="18">
        <v>0.2</v>
      </c>
      <c r="BQ16" s="18">
        <v>0</v>
      </c>
      <c r="BR16" s="28" t="s">
        <v>53</v>
      </c>
      <c r="BS16" s="11">
        <f t="shared" si="21"/>
        <v>9.8000000000000007</v>
      </c>
      <c r="BT16" s="11">
        <f t="shared" si="22"/>
        <v>45.45</v>
      </c>
      <c r="BU16" s="11">
        <f t="shared" si="23"/>
        <v>24.15</v>
      </c>
      <c r="BV16" s="11">
        <f t="shared" si="24"/>
        <v>15.4</v>
      </c>
      <c r="BW16" s="11">
        <f t="shared" si="25"/>
        <v>69.599999999999994</v>
      </c>
      <c r="BX16" s="11">
        <f t="shared" si="26"/>
        <v>11.6</v>
      </c>
      <c r="BY16" s="11">
        <f t="shared" si="27"/>
        <v>48.55</v>
      </c>
      <c r="BZ16" s="11">
        <f t="shared" si="28"/>
        <v>118.14999999999999</v>
      </c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27"/>
      <c r="CV16" s="40" t="str">
        <f t="shared" si="29"/>
        <v/>
      </c>
      <c r="CW16" s="40" t="str">
        <f t="shared" si="30"/>
        <v/>
      </c>
      <c r="CX16" s="40" t="str">
        <f t="shared" si="31"/>
        <v/>
      </c>
      <c r="CY16" s="40" t="str">
        <f t="shared" si="32"/>
        <v/>
      </c>
      <c r="CZ16" s="40" t="str">
        <f t="shared" si="33"/>
        <v/>
      </c>
      <c r="DA16" s="40" t="str">
        <f t="shared" si="34"/>
        <v/>
      </c>
      <c r="DB16" s="40" t="str">
        <f t="shared" si="35"/>
        <v/>
      </c>
      <c r="DC16" s="40" t="str">
        <f t="shared" si="36"/>
        <v/>
      </c>
      <c r="DD16" s="51" t="str">
        <f t="shared" si="37"/>
        <v/>
      </c>
      <c r="DE16" s="51" t="str">
        <f t="shared" si="38"/>
        <v/>
      </c>
      <c r="DF16" s="51" t="str">
        <f t="shared" si="39"/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 t="shared" si="40"/>
        <v/>
      </c>
      <c r="EB16" s="40" t="str">
        <f t="shared" si="41"/>
        <v/>
      </c>
      <c r="EC16" s="40" t="str">
        <f t="shared" si="42"/>
        <v/>
      </c>
      <c r="ED16" s="40" t="str">
        <f t="shared" si="43"/>
        <v/>
      </c>
      <c r="EE16" s="40" t="str">
        <f t="shared" si="44"/>
        <v/>
      </c>
      <c r="EF16" s="40" t="str">
        <f t="shared" si="45"/>
        <v/>
      </c>
      <c r="EG16" s="40" t="str">
        <f t="shared" si="46"/>
        <v/>
      </c>
      <c r="EH16" s="40" t="str">
        <f t="shared" si="47"/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 t="shared" si="48"/>
        <v/>
      </c>
      <c r="FD16" s="11" t="str">
        <f t="shared" si="49"/>
        <v/>
      </c>
      <c r="FE16" s="11" t="str">
        <f t="shared" si="50"/>
        <v/>
      </c>
      <c r="FF16" s="11" t="str">
        <f t="shared" si="51"/>
        <v/>
      </c>
      <c r="FG16" s="11" t="str">
        <f t="shared" si="52"/>
        <v/>
      </c>
      <c r="FH16" s="11" t="str">
        <f t="shared" si="53"/>
        <v/>
      </c>
      <c r="FI16" s="11" t="str">
        <f t="shared" si="54"/>
        <v/>
      </c>
      <c r="FJ16" s="11" t="str">
        <f t="shared" si="55"/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 t="shared" si="56"/>
        <v/>
      </c>
      <c r="GF16" s="40" t="str">
        <f t="shared" si="57"/>
        <v/>
      </c>
      <c r="GG16" s="40" t="str">
        <f t="shared" si="58"/>
        <v/>
      </c>
      <c r="GH16" s="40" t="str">
        <f t="shared" si="59"/>
        <v/>
      </c>
      <c r="GI16" s="40" t="str">
        <f t="shared" si="60"/>
        <v/>
      </c>
      <c r="GJ16" s="40" t="str">
        <f t="shared" si="61"/>
        <v/>
      </c>
      <c r="GK16" s="40" t="str">
        <f t="shared" si="62"/>
        <v/>
      </c>
      <c r="GL16" s="40" t="str">
        <f t="shared" si="63"/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 t="shared" si="64"/>
        <v/>
      </c>
      <c r="HH16" s="11" t="str">
        <f t="shared" si="65"/>
        <v/>
      </c>
      <c r="HI16" s="11" t="str">
        <f t="shared" si="66"/>
        <v/>
      </c>
      <c r="HJ16" s="11" t="str">
        <f t="shared" si="67"/>
        <v/>
      </c>
      <c r="HK16" s="11" t="str">
        <f t="shared" si="68"/>
        <v/>
      </c>
      <c r="HL16" s="11" t="str">
        <f t="shared" si="69"/>
        <v/>
      </c>
      <c r="HM16" s="11" t="str">
        <f t="shared" si="70"/>
        <v/>
      </c>
      <c r="HN16" s="11" t="str">
        <f t="shared" si="71"/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 t="shared" si="72"/>
        <v/>
      </c>
      <c r="IJ16" s="40" t="str">
        <f t="shared" si="73"/>
        <v/>
      </c>
      <c r="IK16" s="40" t="str">
        <f t="shared" si="74"/>
        <v/>
      </c>
      <c r="IL16" s="40" t="str">
        <f t="shared" si="75"/>
        <v/>
      </c>
      <c r="IM16" s="40" t="str">
        <f t="shared" si="76"/>
        <v/>
      </c>
      <c r="IN16" s="40" t="str">
        <f t="shared" si="77"/>
        <v/>
      </c>
      <c r="IO16" s="40" t="str">
        <f t="shared" si="78"/>
        <v/>
      </c>
      <c r="IP16" s="40" t="str">
        <f t="shared" si="79"/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 t="shared" si="80"/>
        <v/>
      </c>
      <c r="JL16" s="11" t="str">
        <f t="shared" si="81"/>
        <v/>
      </c>
      <c r="JM16" s="11" t="str">
        <f t="shared" si="82"/>
        <v/>
      </c>
      <c r="JN16" s="11" t="str">
        <f t="shared" si="83"/>
        <v/>
      </c>
      <c r="JO16" s="11" t="str">
        <f t="shared" si="84"/>
        <v/>
      </c>
      <c r="JP16" s="11" t="str">
        <f t="shared" si="85"/>
        <v/>
      </c>
      <c r="JQ16" s="11" t="str">
        <f t="shared" si="86"/>
        <v/>
      </c>
      <c r="JR16" s="11" t="str">
        <f t="shared" si="87"/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 t="shared" si="88"/>
        <v/>
      </c>
      <c r="KN16" s="40" t="str">
        <f t="shared" si="89"/>
        <v/>
      </c>
      <c r="KO16" s="40" t="str">
        <f t="shared" si="90"/>
        <v/>
      </c>
      <c r="KP16" s="40" t="str">
        <f t="shared" si="91"/>
        <v/>
      </c>
      <c r="KQ16" s="40" t="str">
        <f t="shared" si="92"/>
        <v/>
      </c>
      <c r="KR16" s="40" t="str">
        <f t="shared" si="93"/>
        <v/>
      </c>
      <c r="KS16" s="40" t="str">
        <f t="shared" si="94"/>
        <v/>
      </c>
      <c r="KT16" s="40" t="str">
        <f t="shared" si="95"/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 t="shared" si="96"/>
        <v/>
      </c>
      <c r="LP16" s="11" t="str">
        <f t="shared" si="97"/>
        <v/>
      </c>
      <c r="LQ16" s="11" t="str">
        <f t="shared" si="98"/>
        <v/>
      </c>
      <c r="LR16" s="11" t="str">
        <f t="shared" si="99"/>
        <v/>
      </c>
      <c r="LS16" s="11" t="str">
        <f t="shared" si="100"/>
        <v/>
      </c>
      <c r="LT16" s="11" t="str">
        <f t="shared" si="101"/>
        <v/>
      </c>
      <c r="LU16" s="11" t="str">
        <f t="shared" si="102"/>
        <v/>
      </c>
      <c r="LV16" s="11" t="str">
        <f t="shared" si="103"/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 t="shared" si="104"/>
        <v/>
      </c>
      <c r="MR16" s="40" t="str">
        <f t="shared" si="105"/>
        <v/>
      </c>
      <c r="MS16" s="40" t="str">
        <f t="shared" si="106"/>
        <v/>
      </c>
      <c r="MT16" s="40" t="str">
        <f t="shared" si="107"/>
        <v/>
      </c>
      <c r="MU16" s="40" t="str">
        <f t="shared" si="108"/>
        <v/>
      </c>
      <c r="MV16" s="40" t="str">
        <f t="shared" si="109"/>
        <v/>
      </c>
      <c r="MW16" s="40" t="str">
        <f t="shared" si="110"/>
        <v/>
      </c>
      <c r="MX16" s="40" t="str">
        <f t="shared" si="111"/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 t="shared" si="112"/>
        <v/>
      </c>
      <c r="NT16" s="11" t="str">
        <f t="shared" si="113"/>
        <v/>
      </c>
      <c r="NU16" s="11" t="str">
        <f t="shared" si="114"/>
        <v/>
      </c>
      <c r="NV16" s="11" t="str">
        <f t="shared" si="115"/>
        <v/>
      </c>
      <c r="NW16" s="11" t="str">
        <f t="shared" si="116"/>
        <v/>
      </c>
      <c r="NX16" s="11" t="str">
        <f t="shared" si="117"/>
        <v/>
      </c>
      <c r="NY16" s="11" t="str">
        <f t="shared" si="118"/>
        <v/>
      </c>
      <c r="NZ16" s="11" t="str">
        <f t="shared" si="119"/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 t="shared" si="120"/>
        <v/>
      </c>
      <c r="OV16" s="40" t="str">
        <f t="shared" si="121"/>
        <v/>
      </c>
      <c r="OW16" s="40" t="str">
        <f t="shared" si="122"/>
        <v/>
      </c>
      <c r="OX16" s="40" t="str">
        <f t="shared" si="123"/>
        <v/>
      </c>
      <c r="OY16" s="40" t="str">
        <f t="shared" si="124"/>
        <v/>
      </c>
      <c r="OZ16" s="40" t="str">
        <f t="shared" si="125"/>
        <v/>
      </c>
      <c r="PA16" s="40" t="str">
        <f t="shared" si="126"/>
        <v/>
      </c>
      <c r="PB16" s="40" t="str">
        <f t="shared" si="127"/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 t="shared" si="128"/>
        <v/>
      </c>
      <c r="PX16" s="11" t="str">
        <f t="shared" si="129"/>
        <v/>
      </c>
      <c r="PY16" s="11" t="str">
        <f t="shared" si="130"/>
        <v/>
      </c>
      <c r="PZ16" s="11" t="str">
        <f t="shared" si="131"/>
        <v/>
      </c>
      <c r="QA16" s="11" t="str">
        <f t="shared" si="132"/>
        <v/>
      </c>
      <c r="QB16" s="11" t="str">
        <f t="shared" si="133"/>
        <v/>
      </c>
      <c r="QC16" s="11" t="str">
        <f t="shared" si="134"/>
        <v/>
      </c>
      <c r="QD16" s="11" t="str">
        <f t="shared" si="135"/>
        <v/>
      </c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40" t="str">
        <f t="shared" si="136"/>
        <v/>
      </c>
      <c r="QZ16" s="40" t="str">
        <f t="shared" si="137"/>
        <v/>
      </c>
      <c r="RA16" s="40" t="str">
        <f t="shared" si="138"/>
        <v/>
      </c>
      <c r="RB16" s="40" t="str">
        <f t="shared" si="139"/>
        <v/>
      </c>
      <c r="RC16" s="40" t="str">
        <f t="shared" si="140"/>
        <v/>
      </c>
      <c r="RD16" s="40" t="str">
        <f t="shared" si="141"/>
        <v/>
      </c>
      <c r="RE16" s="40" t="str">
        <f t="shared" si="142"/>
        <v/>
      </c>
      <c r="RF16" s="40" t="str">
        <f t="shared" si="143"/>
        <v/>
      </c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1" t="str">
        <f t="shared" si="144"/>
        <v/>
      </c>
      <c r="SB16" s="11" t="str">
        <f t="shared" si="145"/>
        <v/>
      </c>
      <c r="SC16" s="11" t="str">
        <f t="shared" si="146"/>
        <v/>
      </c>
      <c r="SD16" s="11" t="str">
        <f t="shared" si="147"/>
        <v/>
      </c>
      <c r="SE16" s="11" t="str">
        <f t="shared" si="148"/>
        <v/>
      </c>
      <c r="SF16" s="11" t="str">
        <f t="shared" si="149"/>
        <v/>
      </c>
      <c r="SG16" s="11" t="str">
        <f t="shared" si="150"/>
        <v/>
      </c>
      <c r="SH16" s="11" t="str">
        <f t="shared" si="151"/>
        <v/>
      </c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40" t="str">
        <f t="shared" si="152"/>
        <v/>
      </c>
      <c r="TD16" s="40" t="str">
        <f t="shared" si="153"/>
        <v/>
      </c>
      <c r="TE16" s="40" t="str">
        <f t="shared" si="154"/>
        <v/>
      </c>
      <c r="TF16" s="40" t="str">
        <f t="shared" si="155"/>
        <v/>
      </c>
      <c r="TG16" s="40" t="str">
        <f t="shared" si="156"/>
        <v/>
      </c>
      <c r="TH16" s="40" t="str">
        <f t="shared" si="157"/>
        <v/>
      </c>
      <c r="TI16" s="40" t="str">
        <f t="shared" si="158"/>
        <v/>
      </c>
      <c r="TJ16" s="40" t="str">
        <f t="shared" si="159"/>
        <v/>
      </c>
      <c r="TK16" s="26">
        <f t="shared" si="160"/>
        <v>9.1000000000000014</v>
      </c>
      <c r="TL16" s="26">
        <f t="shared" si="161"/>
        <v>2.8</v>
      </c>
      <c r="TM16" s="26">
        <f t="shared" si="162"/>
        <v>0.15</v>
      </c>
      <c r="TN16" s="26">
        <f t="shared" si="163"/>
        <v>0</v>
      </c>
      <c r="TO16" s="26">
        <f t="shared" si="164"/>
        <v>8.85</v>
      </c>
      <c r="TP16" s="26">
        <f t="shared" si="165"/>
        <v>2.1</v>
      </c>
      <c r="TQ16" s="26">
        <f t="shared" si="166"/>
        <v>0.05</v>
      </c>
      <c r="TR16" s="26">
        <f t="shared" si="167"/>
        <v>7.4999999999999997E-2</v>
      </c>
      <c r="TS16" s="26">
        <f t="shared" si="168"/>
        <v>9.2750000000000004</v>
      </c>
      <c r="TT16" s="26">
        <f t="shared" si="169"/>
        <v>2.8</v>
      </c>
      <c r="TU16" s="26">
        <f t="shared" si="170"/>
        <v>0</v>
      </c>
      <c r="TV16" s="26">
        <f t="shared" si="171"/>
        <v>0</v>
      </c>
      <c r="TW16" s="26">
        <f t="shared" si="172"/>
        <v>9.3000000000000007</v>
      </c>
      <c r="TX16" s="26">
        <f t="shared" si="173"/>
        <v>2.8</v>
      </c>
      <c r="TY16" s="26">
        <f t="shared" si="174"/>
        <v>0</v>
      </c>
      <c r="TZ16" s="26">
        <f t="shared" si="175"/>
        <v>0</v>
      </c>
      <c r="UA16" s="26">
        <f t="shared" si="176"/>
        <v>9.2749999999999986</v>
      </c>
      <c r="UB16" s="26">
        <f t="shared" si="177"/>
        <v>3</v>
      </c>
      <c r="UC16" s="26">
        <f t="shared" si="178"/>
        <v>0.1</v>
      </c>
      <c r="UD16" s="26">
        <f t="shared" si="179"/>
        <v>0</v>
      </c>
      <c r="UE16" s="28" t="s">
        <v>53</v>
      </c>
      <c r="UF16" s="11">
        <f t="shared" si="180"/>
        <v>4.9000000000000004</v>
      </c>
      <c r="UG16" s="11">
        <f t="shared" si="181"/>
        <v>22.725000000000001</v>
      </c>
      <c r="UH16" s="11">
        <f t="shared" si="182"/>
        <v>12.074999999999999</v>
      </c>
      <c r="UI16" s="11">
        <f t="shared" si="183"/>
        <v>7.7</v>
      </c>
      <c r="UJ16" s="11">
        <f t="shared" si="184"/>
        <v>34.799999999999997</v>
      </c>
      <c r="UK16" s="11">
        <f t="shared" si="185"/>
        <v>5.8</v>
      </c>
      <c r="UL16" s="11">
        <f t="shared" si="186"/>
        <v>24.274999999999999</v>
      </c>
      <c r="UM16" s="11">
        <f t="shared" si="187"/>
        <v>59.074999999999996</v>
      </c>
    </row>
    <row r="17" spans="1:559" x14ac:dyDescent="0.2">
      <c r="A17" s="4" t="str" cm="1">
        <f t="array" ref="A17">IF(AND(H17&lt;&gt;"",H17&lt;&gt;"No DD"),SUMPRODUCT((H$4:H$23&lt;&gt;"")*(H$4:H$23&lt;&gt;"No DD")*(E$4:E$23&gt;E17))+1,IF(H17="No DD",SUMPRODUCT((H$4:H$23="No DD")*(E$4:E$23&gt;E17))+1+SUMPRODUCT((H$4:H$23&lt;&gt;"")*(H$4:H$23&lt;&gt;"No DD")),""))</f>
        <v/>
      </c>
      <c r="B17" s="5" t="s">
        <v>256</v>
      </c>
      <c r="C17" s="4" t="s">
        <v>36</v>
      </c>
      <c r="D17" s="4">
        <v>2003</v>
      </c>
      <c r="E17" s="9">
        <f t="shared" si="0"/>
        <v>161.30001145000463</v>
      </c>
      <c r="F17" s="3" t="str">
        <f t="shared" si="1"/>
        <v/>
      </c>
      <c r="G17" s="3" t="str">
        <f t="shared" si="2"/>
        <v/>
      </c>
      <c r="H17" s="36" t="str">
        <f t="shared" si="3"/>
        <v/>
      </c>
      <c r="I17" s="3" t="str">
        <f t="shared" si="4"/>
        <v/>
      </c>
      <c r="J17" s="8">
        <f>IF(COUNT(AQ17,BT17,CW17)&gt;0,LARGE((AQ17,BT17,CW17),1),0)</f>
        <v>46.4</v>
      </c>
      <c r="K17" s="8" t="str">
        <f t="shared" si="5"/>
        <v>2024 Elite Canada</v>
      </c>
      <c r="L17" s="8">
        <f>IF(COUNT(AQ17,BT17,CW17)&gt;1,LARGE((AQ17,BT17,CW17),2),0)</f>
        <v>45.6</v>
      </c>
      <c r="M17" s="8" t="str">
        <f t="shared" si="6"/>
        <v>2024 Nationals</v>
      </c>
      <c r="N17" s="8">
        <f>IF(COUNT(AR17,BU17,CX17)&gt;0,LARGE((AR17,BU17,CX17),1),0)</f>
        <v>22.5</v>
      </c>
      <c r="O17" s="8" t="str">
        <f t="shared" si="7"/>
        <v>2024 Nationals</v>
      </c>
      <c r="P17" s="8">
        <f t="shared" si="8"/>
        <v>46.8</v>
      </c>
      <c r="Q17" s="8" t="str">
        <f t="shared" si="9"/>
        <v>2024 Nationals</v>
      </c>
      <c r="R17" s="8" t="str">
        <f t="shared" si="10"/>
        <v/>
      </c>
      <c r="S17" s="11" t="str">
        <f t="shared" si="11"/>
        <v/>
      </c>
      <c r="T17" s="8" t="str">
        <f t="shared" si="12"/>
        <v/>
      </c>
      <c r="U17" s="19">
        <v>18.100000000000001</v>
      </c>
      <c r="V17" s="19">
        <v>5.2</v>
      </c>
      <c r="W17" s="19">
        <v>0</v>
      </c>
      <c r="X17" s="19">
        <v>0</v>
      </c>
      <c r="Y17" s="19">
        <v>17.8</v>
      </c>
      <c r="Z17" s="19">
        <v>5.2</v>
      </c>
      <c r="AA17" s="19">
        <v>0.2</v>
      </c>
      <c r="AB17" s="19">
        <v>0.3</v>
      </c>
      <c r="AC17" s="19">
        <v>18</v>
      </c>
      <c r="AD17" s="19">
        <v>3.7</v>
      </c>
      <c r="AE17" s="19">
        <v>0.8</v>
      </c>
      <c r="AF17" s="19">
        <v>0</v>
      </c>
      <c r="AG17" s="19">
        <v>18.3</v>
      </c>
      <c r="AH17" s="19">
        <v>5.2</v>
      </c>
      <c r="AI17" s="19">
        <v>0.2</v>
      </c>
      <c r="AJ17" s="19">
        <v>0</v>
      </c>
      <c r="AK17" s="19">
        <v>18</v>
      </c>
      <c r="AL17" s="19">
        <v>5.2</v>
      </c>
      <c r="AM17" s="19">
        <v>0.2</v>
      </c>
      <c r="AN17" s="19">
        <v>0.3</v>
      </c>
      <c r="AO17" s="27"/>
      <c r="AP17" s="40">
        <f t="shared" si="13"/>
        <v>10.4</v>
      </c>
      <c r="AQ17" s="40">
        <f t="shared" si="14"/>
        <v>46.4</v>
      </c>
      <c r="AR17" s="40">
        <f t="shared" si="15"/>
        <v>20.9</v>
      </c>
      <c r="AS17" s="40">
        <f t="shared" si="16"/>
        <v>14.100000000000001</v>
      </c>
      <c r="AT17" s="40">
        <f t="shared" si="17"/>
        <v>67.3</v>
      </c>
      <c r="AU17" s="40">
        <f t="shared" si="18"/>
        <v>10.4</v>
      </c>
      <c r="AV17" s="40">
        <f t="shared" si="19"/>
        <v>46.6</v>
      </c>
      <c r="AW17" s="40">
        <f t="shared" si="20"/>
        <v>113.9</v>
      </c>
      <c r="AX17" s="18">
        <v>18.100000000000001</v>
      </c>
      <c r="AY17" s="18">
        <v>4.4000000000000004</v>
      </c>
      <c r="AZ17" s="18">
        <v>0.8</v>
      </c>
      <c r="BA17" s="18">
        <v>0</v>
      </c>
      <c r="BB17" s="18">
        <v>18.600000000000001</v>
      </c>
      <c r="BC17" s="18">
        <v>5.2</v>
      </c>
      <c r="BD17" s="18">
        <v>0.2</v>
      </c>
      <c r="BE17" s="18">
        <v>0.3</v>
      </c>
      <c r="BF17" s="18">
        <v>18.8</v>
      </c>
      <c r="BG17" s="18">
        <v>3.7</v>
      </c>
      <c r="BH17" s="18">
        <v>0</v>
      </c>
      <c r="BI17" s="18">
        <v>0</v>
      </c>
      <c r="BJ17" s="18">
        <v>18.2</v>
      </c>
      <c r="BK17" s="18">
        <v>5.2</v>
      </c>
      <c r="BL17" s="18">
        <v>0</v>
      </c>
      <c r="BM17" s="18">
        <v>0</v>
      </c>
      <c r="BN17" s="18">
        <v>18.100000000000001</v>
      </c>
      <c r="BO17" s="18">
        <v>5.2</v>
      </c>
      <c r="BP17" s="18">
        <v>0.2</v>
      </c>
      <c r="BQ17" s="18">
        <v>0.3</v>
      </c>
      <c r="BR17" s="28"/>
      <c r="BS17" s="11">
        <f t="shared" si="21"/>
        <v>9.6000000000000014</v>
      </c>
      <c r="BT17" s="11">
        <f t="shared" si="22"/>
        <v>45.6</v>
      </c>
      <c r="BU17" s="11">
        <f t="shared" si="23"/>
        <v>22.5</v>
      </c>
      <c r="BV17" s="11">
        <f t="shared" si="24"/>
        <v>13.3</v>
      </c>
      <c r="BW17" s="11">
        <f t="shared" si="25"/>
        <v>68.099999999999994</v>
      </c>
      <c r="BX17" s="11">
        <f t="shared" si="26"/>
        <v>10.4</v>
      </c>
      <c r="BY17" s="11">
        <f t="shared" si="27"/>
        <v>46.8</v>
      </c>
      <c r="BZ17" s="11">
        <f t="shared" si="28"/>
        <v>114.89999999999999</v>
      </c>
      <c r="CA17" s="19">
        <v>18.600000000000001</v>
      </c>
      <c r="CB17" s="19">
        <v>5.2</v>
      </c>
      <c r="CC17" s="19">
        <v>0.2</v>
      </c>
      <c r="CD17" s="19">
        <v>0</v>
      </c>
      <c r="CE17" s="19">
        <v>16.600000000000001</v>
      </c>
      <c r="CF17" s="19">
        <v>5.2</v>
      </c>
      <c r="CG17" s="19">
        <v>1</v>
      </c>
      <c r="CH17" s="19">
        <v>0</v>
      </c>
      <c r="CI17" s="19">
        <v>18.5</v>
      </c>
      <c r="CJ17" s="19">
        <v>4.4000000000000004</v>
      </c>
      <c r="CK17" s="19">
        <v>0.8</v>
      </c>
      <c r="CL17" s="19">
        <v>0</v>
      </c>
      <c r="CM17" s="19">
        <v>18.8</v>
      </c>
      <c r="CN17" s="19">
        <v>5.2</v>
      </c>
      <c r="CO17" s="19">
        <v>0</v>
      </c>
      <c r="CP17" s="19">
        <v>0</v>
      </c>
      <c r="CQ17" s="19">
        <v>17.399999999999999</v>
      </c>
      <c r="CR17" s="19">
        <v>2.8</v>
      </c>
      <c r="CS17" s="19">
        <v>0</v>
      </c>
      <c r="CT17" s="19">
        <v>0</v>
      </c>
      <c r="CU17" s="27"/>
      <c r="CV17" s="40">
        <f t="shared" si="29"/>
        <v>10.4</v>
      </c>
      <c r="CW17" s="40">
        <f t="shared" si="30"/>
        <v>44.400000000000006</v>
      </c>
      <c r="CX17" s="40">
        <f t="shared" si="31"/>
        <v>22.099999999999998</v>
      </c>
      <c r="CY17" s="40">
        <f t="shared" si="32"/>
        <v>14.8</v>
      </c>
      <c r="CZ17" s="40">
        <f t="shared" si="33"/>
        <v>66.5</v>
      </c>
      <c r="DA17" s="40">
        <f t="shared" si="34"/>
        <v>8</v>
      </c>
      <c r="DB17" s="40">
        <f t="shared" si="35"/>
        <v>44.199999999999996</v>
      </c>
      <c r="DC17" s="40">
        <f t="shared" si="36"/>
        <v>110.69999999999999</v>
      </c>
      <c r="DD17" s="51" t="str">
        <f t="shared" si="37"/>
        <v/>
      </c>
      <c r="DE17" s="51" t="str">
        <f t="shared" si="38"/>
        <v/>
      </c>
      <c r="DF17" s="51" t="str">
        <f t="shared" si="39"/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 t="shared" si="40"/>
        <v/>
      </c>
      <c r="EB17" s="40" t="str">
        <f t="shared" si="41"/>
        <v/>
      </c>
      <c r="EC17" s="40" t="str">
        <f t="shared" si="42"/>
        <v/>
      </c>
      <c r="ED17" s="40" t="str">
        <f t="shared" si="43"/>
        <v/>
      </c>
      <c r="EE17" s="40" t="str">
        <f t="shared" si="44"/>
        <v/>
      </c>
      <c r="EF17" s="40" t="str">
        <f t="shared" si="45"/>
        <v/>
      </c>
      <c r="EG17" s="40" t="str">
        <f t="shared" si="46"/>
        <v/>
      </c>
      <c r="EH17" s="40" t="str">
        <f t="shared" si="47"/>
        <v/>
      </c>
      <c r="EI17" s="18">
        <v>16.8</v>
      </c>
      <c r="EJ17" s="18">
        <v>5.2</v>
      </c>
      <c r="EK17" s="18">
        <v>0.8</v>
      </c>
      <c r="EL17" s="18">
        <v>0</v>
      </c>
      <c r="EM17" s="18">
        <v>18.5</v>
      </c>
      <c r="EN17" s="18">
        <v>5.2</v>
      </c>
      <c r="EO17" s="18">
        <v>0.8</v>
      </c>
      <c r="EP17" s="18">
        <v>0</v>
      </c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>
        <f t="shared" si="48"/>
        <v>10.4</v>
      </c>
      <c r="FD17" s="11">
        <f t="shared" si="49"/>
        <v>44.100000000000009</v>
      </c>
      <c r="FE17" s="11" t="str">
        <f t="shared" si="50"/>
        <v/>
      </c>
      <c r="FF17" s="11">
        <f t="shared" si="51"/>
        <v>10.4</v>
      </c>
      <c r="FG17" s="11">
        <f t="shared" si="52"/>
        <v>44.100000000000009</v>
      </c>
      <c r="FH17" s="11" t="str">
        <f t="shared" si="53"/>
        <v/>
      </c>
      <c r="FI17" s="11" t="str">
        <f t="shared" si="54"/>
        <v/>
      </c>
      <c r="FJ17" s="11">
        <f t="shared" si="55"/>
        <v>44.100000000000009</v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 t="shared" si="56"/>
        <v/>
      </c>
      <c r="GF17" s="40" t="str">
        <f t="shared" si="57"/>
        <v/>
      </c>
      <c r="GG17" s="40" t="str">
        <f t="shared" si="58"/>
        <v/>
      </c>
      <c r="GH17" s="40" t="str">
        <f t="shared" si="59"/>
        <v/>
      </c>
      <c r="GI17" s="40" t="str">
        <f t="shared" si="60"/>
        <v/>
      </c>
      <c r="GJ17" s="40" t="str">
        <f t="shared" si="61"/>
        <v/>
      </c>
      <c r="GK17" s="40" t="str">
        <f t="shared" si="62"/>
        <v/>
      </c>
      <c r="GL17" s="40" t="str">
        <f t="shared" si="63"/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 t="shared" si="64"/>
        <v/>
      </c>
      <c r="HH17" s="11" t="str">
        <f t="shared" si="65"/>
        <v/>
      </c>
      <c r="HI17" s="11" t="str">
        <f t="shared" si="66"/>
        <v/>
      </c>
      <c r="HJ17" s="11" t="str">
        <f t="shared" si="67"/>
        <v/>
      </c>
      <c r="HK17" s="11" t="str">
        <f t="shared" si="68"/>
        <v/>
      </c>
      <c r="HL17" s="11" t="str">
        <f t="shared" si="69"/>
        <v/>
      </c>
      <c r="HM17" s="11" t="str">
        <f t="shared" si="70"/>
        <v/>
      </c>
      <c r="HN17" s="11" t="str">
        <f t="shared" si="71"/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 t="shared" si="72"/>
        <v/>
      </c>
      <c r="IJ17" s="40" t="str">
        <f t="shared" si="73"/>
        <v/>
      </c>
      <c r="IK17" s="40" t="str">
        <f t="shared" si="74"/>
        <v/>
      </c>
      <c r="IL17" s="40" t="str">
        <f t="shared" si="75"/>
        <v/>
      </c>
      <c r="IM17" s="40" t="str">
        <f t="shared" si="76"/>
        <v/>
      </c>
      <c r="IN17" s="40" t="str">
        <f t="shared" si="77"/>
        <v/>
      </c>
      <c r="IO17" s="40" t="str">
        <f t="shared" si="78"/>
        <v/>
      </c>
      <c r="IP17" s="40" t="str">
        <f t="shared" si="79"/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 t="shared" si="80"/>
        <v/>
      </c>
      <c r="JL17" s="11" t="str">
        <f t="shared" si="81"/>
        <v/>
      </c>
      <c r="JM17" s="11" t="str">
        <f t="shared" si="82"/>
        <v/>
      </c>
      <c r="JN17" s="11" t="str">
        <f t="shared" si="83"/>
        <v/>
      </c>
      <c r="JO17" s="11" t="str">
        <f t="shared" si="84"/>
        <v/>
      </c>
      <c r="JP17" s="11" t="str">
        <f t="shared" si="85"/>
        <v/>
      </c>
      <c r="JQ17" s="11" t="str">
        <f t="shared" si="86"/>
        <v/>
      </c>
      <c r="JR17" s="11" t="str">
        <f t="shared" si="87"/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 t="shared" si="88"/>
        <v/>
      </c>
      <c r="KN17" s="40" t="str">
        <f t="shared" si="89"/>
        <v/>
      </c>
      <c r="KO17" s="40" t="str">
        <f t="shared" si="90"/>
        <v/>
      </c>
      <c r="KP17" s="40" t="str">
        <f t="shared" si="91"/>
        <v/>
      </c>
      <c r="KQ17" s="40" t="str">
        <f t="shared" si="92"/>
        <v/>
      </c>
      <c r="KR17" s="40" t="str">
        <f t="shared" si="93"/>
        <v/>
      </c>
      <c r="KS17" s="40" t="str">
        <f t="shared" si="94"/>
        <v/>
      </c>
      <c r="KT17" s="40" t="str">
        <f t="shared" si="95"/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 t="shared" si="96"/>
        <v/>
      </c>
      <c r="LP17" s="11" t="str">
        <f t="shared" si="97"/>
        <v/>
      </c>
      <c r="LQ17" s="11" t="str">
        <f t="shared" si="98"/>
        <v/>
      </c>
      <c r="LR17" s="11" t="str">
        <f t="shared" si="99"/>
        <v/>
      </c>
      <c r="LS17" s="11" t="str">
        <f t="shared" si="100"/>
        <v/>
      </c>
      <c r="LT17" s="11" t="str">
        <f t="shared" si="101"/>
        <v/>
      </c>
      <c r="LU17" s="11" t="str">
        <f t="shared" si="102"/>
        <v/>
      </c>
      <c r="LV17" s="11" t="str">
        <f t="shared" si="103"/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 t="shared" si="104"/>
        <v/>
      </c>
      <c r="MR17" s="40" t="str">
        <f t="shared" si="105"/>
        <v/>
      </c>
      <c r="MS17" s="40" t="str">
        <f t="shared" si="106"/>
        <v/>
      </c>
      <c r="MT17" s="40" t="str">
        <f t="shared" si="107"/>
        <v/>
      </c>
      <c r="MU17" s="40" t="str">
        <f t="shared" si="108"/>
        <v/>
      </c>
      <c r="MV17" s="40" t="str">
        <f t="shared" si="109"/>
        <v/>
      </c>
      <c r="MW17" s="40" t="str">
        <f t="shared" si="110"/>
        <v/>
      </c>
      <c r="MX17" s="40" t="str">
        <f t="shared" si="111"/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 t="shared" si="112"/>
        <v/>
      </c>
      <c r="NT17" s="11" t="str">
        <f t="shared" si="113"/>
        <v/>
      </c>
      <c r="NU17" s="11" t="str">
        <f t="shared" si="114"/>
        <v/>
      </c>
      <c r="NV17" s="11" t="str">
        <f t="shared" si="115"/>
        <v/>
      </c>
      <c r="NW17" s="11" t="str">
        <f t="shared" si="116"/>
        <v/>
      </c>
      <c r="NX17" s="11" t="str">
        <f t="shared" si="117"/>
        <v/>
      </c>
      <c r="NY17" s="11" t="str">
        <f t="shared" si="118"/>
        <v/>
      </c>
      <c r="NZ17" s="11" t="str">
        <f t="shared" si="119"/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 t="shared" si="120"/>
        <v/>
      </c>
      <c r="OV17" s="40" t="str">
        <f t="shared" si="121"/>
        <v/>
      </c>
      <c r="OW17" s="40" t="str">
        <f t="shared" si="122"/>
        <v/>
      </c>
      <c r="OX17" s="40" t="str">
        <f t="shared" si="123"/>
        <v/>
      </c>
      <c r="OY17" s="40" t="str">
        <f t="shared" si="124"/>
        <v/>
      </c>
      <c r="OZ17" s="40" t="str">
        <f t="shared" si="125"/>
        <v/>
      </c>
      <c r="PA17" s="40" t="str">
        <f t="shared" si="126"/>
        <v/>
      </c>
      <c r="PB17" s="40" t="str">
        <f t="shared" si="127"/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 t="shared" si="128"/>
        <v/>
      </c>
      <c r="PX17" s="11" t="str">
        <f t="shared" si="129"/>
        <v/>
      </c>
      <c r="PY17" s="11" t="str">
        <f t="shared" si="130"/>
        <v/>
      </c>
      <c r="PZ17" s="11" t="str">
        <f t="shared" si="131"/>
        <v/>
      </c>
      <c r="QA17" s="11" t="str">
        <f t="shared" si="132"/>
        <v/>
      </c>
      <c r="QB17" s="11" t="str">
        <f t="shared" si="133"/>
        <v/>
      </c>
      <c r="QC17" s="11" t="str">
        <f t="shared" si="134"/>
        <v/>
      </c>
      <c r="QD17" s="11" t="str">
        <f t="shared" si="135"/>
        <v/>
      </c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40" t="str">
        <f t="shared" si="136"/>
        <v/>
      </c>
      <c r="QZ17" s="40" t="str">
        <f t="shared" si="137"/>
        <v/>
      </c>
      <c r="RA17" s="40" t="str">
        <f t="shared" si="138"/>
        <v/>
      </c>
      <c r="RB17" s="40" t="str">
        <f t="shared" si="139"/>
        <v/>
      </c>
      <c r="RC17" s="40" t="str">
        <f t="shared" si="140"/>
        <v/>
      </c>
      <c r="RD17" s="40" t="str">
        <f t="shared" si="141"/>
        <v/>
      </c>
      <c r="RE17" s="40" t="str">
        <f t="shared" si="142"/>
        <v/>
      </c>
      <c r="RF17" s="40" t="str">
        <f t="shared" si="143"/>
        <v/>
      </c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1" t="str">
        <f t="shared" si="144"/>
        <v/>
      </c>
      <c r="SB17" s="11" t="str">
        <f t="shared" si="145"/>
        <v/>
      </c>
      <c r="SC17" s="11" t="str">
        <f t="shared" si="146"/>
        <v/>
      </c>
      <c r="SD17" s="11" t="str">
        <f t="shared" si="147"/>
        <v/>
      </c>
      <c r="SE17" s="11" t="str">
        <f t="shared" si="148"/>
        <v/>
      </c>
      <c r="SF17" s="11" t="str">
        <f t="shared" si="149"/>
        <v/>
      </c>
      <c r="SG17" s="11" t="str">
        <f t="shared" si="150"/>
        <v/>
      </c>
      <c r="SH17" s="11" t="str">
        <f t="shared" si="151"/>
        <v/>
      </c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40" t="str">
        <f t="shared" si="152"/>
        <v/>
      </c>
      <c r="TD17" s="40" t="str">
        <f t="shared" si="153"/>
        <v/>
      </c>
      <c r="TE17" s="40" t="str">
        <f t="shared" si="154"/>
        <v/>
      </c>
      <c r="TF17" s="40" t="str">
        <f t="shared" si="155"/>
        <v/>
      </c>
      <c r="TG17" s="40" t="str">
        <f t="shared" si="156"/>
        <v/>
      </c>
      <c r="TH17" s="40" t="str">
        <f t="shared" si="157"/>
        <v/>
      </c>
      <c r="TI17" s="40" t="str">
        <f t="shared" si="158"/>
        <v/>
      </c>
      <c r="TJ17" s="40" t="str">
        <f t="shared" si="159"/>
        <v/>
      </c>
      <c r="TK17" s="26">
        <f t="shared" si="160"/>
        <v>18.350000000000001</v>
      </c>
      <c r="TL17" s="26">
        <f t="shared" si="161"/>
        <v>4.8000000000000007</v>
      </c>
      <c r="TM17" s="26">
        <f t="shared" si="162"/>
        <v>0.5</v>
      </c>
      <c r="TN17" s="26">
        <f t="shared" si="163"/>
        <v>0</v>
      </c>
      <c r="TO17" s="26">
        <f t="shared" si="164"/>
        <v>17.600000000000001</v>
      </c>
      <c r="TP17" s="26">
        <f t="shared" si="165"/>
        <v>5.2</v>
      </c>
      <c r="TQ17" s="26">
        <f t="shared" si="166"/>
        <v>0.6</v>
      </c>
      <c r="TR17" s="26">
        <f t="shared" si="167"/>
        <v>0.15</v>
      </c>
      <c r="TS17" s="26">
        <f t="shared" si="168"/>
        <v>18.649999999999999</v>
      </c>
      <c r="TT17" s="26">
        <f t="shared" si="169"/>
        <v>4.0500000000000007</v>
      </c>
      <c r="TU17" s="26">
        <f t="shared" si="170"/>
        <v>0.4</v>
      </c>
      <c r="TV17" s="26">
        <f t="shared" si="171"/>
        <v>0</v>
      </c>
      <c r="TW17" s="26">
        <f t="shared" si="172"/>
        <v>18.5</v>
      </c>
      <c r="TX17" s="26">
        <f t="shared" si="173"/>
        <v>5.2</v>
      </c>
      <c r="TY17" s="26">
        <f t="shared" si="174"/>
        <v>0</v>
      </c>
      <c r="TZ17" s="26">
        <f t="shared" si="175"/>
        <v>0</v>
      </c>
      <c r="UA17" s="26">
        <f t="shared" si="176"/>
        <v>17.75</v>
      </c>
      <c r="UB17" s="26">
        <f t="shared" si="177"/>
        <v>4</v>
      </c>
      <c r="UC17" s="26">
        <f t="shared" si="178"/>
        <v>0.1</v>
      </c>
      <c r="UD17" s="26">
        <f t="shared" si="179"/>
        <v>0.15</v>
      </c>
      <c r="UE17" s="28" t="s">
        <v>53</v>
      </c>
      <c r="UF17" s="11">
        <f t="shared" si="180"/>
        <v>10</v>
      </c>
      <c r="UG17" s="11">
        <f t="shared" si="181"/>
        <v>45</v>
      </c>
      <c r="UH17" s="11">
        <f t="shared" si="182"/>
        <v>22.3</v>
      </c>
      <c r="UI17" s="11">
        <f t="shared" si="183"/>
        <v>14.05</v>
      </c>
      <c r="UJ17" s="11">
        <f t="shared" si="184"/>
        <v>67.3</v>
      </c>
      <c r="UK17" s="11">
        <f t="shared" si="185"/>
        <v>9.1999999999999993</v>
      </c>
      <c r="UL17" s="11">
        <f t="shared" si="186"/>
        <v>45.5</v>
      </c>
      <c r="UM17" s="11">
        <f t="shared" si="187"/>
        <v>112.8</v>
      </c>
    </row>
    <row r="18" spans="1:559" x14ac:dyDescent="0.2">
      <c r="A18" s="4" t="str" cm="1">
        <f t="array" ref="A18">IF(AND(H18&lt;&gt;"",H18&lt;&gt;"No DD"),SUMPRODUCT((H$4:H$23&lt;&gt;"")*(H$4:H$23&lt;&gt;"No DD")*(E$4:E$23&gt;E18))+1,IF(H18="No DD",SUMPRODUCT((H$4:H$23="No DD")*(E$4:E$23&gt;E18))+1+SUMPRODUCT((H$4:H$23&lt;&gt;"")*(H$4:H$23&lt;&gt;"No DD")),""))</f>
        <v/>
      </c>
      <c r="B18" s="5" t="s">
        <v>85</v>
      </c>
      <c r="C18" s="4" t="s">
        <v>6</v>
      </c>
      <c r="D18" s="4">
        <v>2003</v>
      </c>
      <c r="E18" s="9">
        <f t="shared" si="0"/>
        <v>156.00001101000436</v>
      </c>
      <c r="F18" s="3" t="str">
        <f t="shared" si="1"/>
        <v/>
      </c>
      <c r="G18" s="3" t="str">
        <f t="shared" si="2"/>
        <v/>
      </c>
      <c r="H18" s="36" t="str">
        <f t="shared" si="3"/>
        <v/>
      </c>
      <c r="I18" s="3" t="str">
        <f t="shared" si="4"/>
        <v/>
      </c>
      <c r="J18" s="8">
        <f>IF(COUNT(AQ18,BT18,CW18)&gt;0,LARGE((AQ18,BT18,CW18),1),0)</f>
        <v>43.6</v>
      </c>
      <c r="K18" s="8" t="str">
        <f t="shared" si="5"/>
        <v>2024 Nationals</v>
      </c>
      <c r="L18" s="8">
        <f>IF(COUNT(AQ18,BT18,CW18)&gt;1,LARGE((AQ18,BT18,CW18),2),0)</f>
        <v>43.499999999999993</v>
      </c>
      <c r="M18" s="8" t="str">
        <f t="shared" si="6"/>
        <v>2024 3rd Domestic Trial</v>
      </c>
      <c r="N18" s="8">
        <f>IF(COUNT(AR18,BU18,CX18)&gt;0,LARGE((AR18,BU18,CX18),1),0)</f>
        <v>23</v>
      </c>
      <c r="O18" s="8" t="str">
        <f t="shared" si="7"/>
        <v>2024 Nationals</v>
      </c>
      <c r="P18" s="8">
        <f t="shared" si="8"/>
        <v>45.9</v>
      </c>
      <c r="Q18" s="8" t="str">
        <f t="shared" si="9"/>
        <v>2024 Nationals</v>
      </c>
      <c r="R18" s="8" t="str">
        <f t="shared" si="10"/>
        <v/>
      </c>
      <c r="S18" s="11" t="str">
        <f t="shared" si="11"/>
        <v/>
      </c>
      <c r="T18" s="8" t="str">
        <f t="shared" si="12"/>
        <v/>
      </c>
      <c r="U18" s="19">
        <v>17</v>
      </c>
      <c r="V18" s="19">
        <v>2.8</v>
      </c>
      <c r="W18" s="19">
        <v>0</v>
      </c>
      <c r="X18" s="19">
        <v>0</v>
      </c>
      <c r="Y18" s="19">
        <v>0</v>
      </c>
      <c r="Z18" s="19">
        <v>0</v>
      </c>
      <c r="AA18" s="19">
        <v>0</v>
      </c>
      <c r="AB18" s="19">
        <v>0</v>
      </c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27"/>
      <c r="AP18" s="40">
        <f t="shared" si="13"/>
        <v>2.8</v>
      </c>
      <c r="AQ18" s="40">
        <f t="shared" si="14"/>
        <v>19.8</v>
      </c>
      <c r="AR18" s="40" t="str">
        <f t="shared" si="15"/>
        <v/>
      </c>
      <c r="AS18" s="40">
        <f t="shared" si="16"/>
        <v>2.8</v>
      </c>
      <c r="AT18" s="40">
        <f t="shared" si="17"/>
        <v>19.8</v>
      </c>
      <c r="AU18" s="40" t="str">
        <f t="shared" si="18"/>
        <v/>
      </c>
      <c r="AV18" s="40" t="str">
        <f t="shared" si="19"/>
        <v/>
      </c>
      <c r="AW18" s="40">
        <f t="shared" si="20"/>
        <v>19.8</v>
      </c>
      <c r="AX18" s="18">
        <v>17.2</v>
      </c>
      <c r="AY18" s="18">
        <v>2.4</v>
      </c>
      <c r="AZ18" s="18">
        <v>0</v>
      </c>
      <c r="BA18" s="18">
        <v>0</v>
      </c>
      <c r="BB18" s="18">
        <v>18.399999999999999</v>
      </c>
      <c r="BC18" s="18">
        <v>5.6</v>
      </c>
      <c r="BD18" s="18">
        <v>0</v>
      </c>
      <c r="BE18" s="18">
        <v>0</v>
      </c>
      <c r="BF18" s="18">
        <v>18</v>
      </c>
      <c r="BG18" s="18">
        <v>5.2</v>
      </c>
      <c r="BH18" s="18">
        <v>0.2</v>
      </c>
      <c r="BI18" s="18">
        <v>0</v>
      </c>
      <c r="BJ18" s="18">
        <v>17.899999999999999</v>
      </c>
      <c r="BK18" s="18">
        <v>5.2</v>
      </c>
      <c r="BL18" s="18">
        <v>0.2</v>
      </c>
      <c r="BM18" s="18">
        <v>0</v>
      </c>
      <c r="BN18" s="18">
        <v>18</v>
      </c>
      <c r="BO18" s="18">
        <v>5.2</v>
      </c>
      <c r="BP18" s="18">
        <v>0.2</v>
      </c>
      <c r="BQ18" s="18">
        <v>0</v>
      </c>
      <c r="BR18" s="28"/>
      <c r="BS18" s="11">
        <f t="shared" si="21"/>
        <v>8</v>
      </c>
      <c r="BT18" s="11">
        <f t="shared" si="22"/>
        <v>43.6</v>
      </c>
      <c r="BU18" s="11">
        <f t="shared" si="23"/>
        <v>23</v>
      </c>
      <c r="BV18" s="11">
        <f t="shared" si="24"/>
        <v>13.2</v>
      </c>
      <c r="BW18" s="11">
        <f t="shared" si="25"/>
        <v>66.599999999999994</v>
      </c>
      <c r="BX18" s="11">
        <f t="shared" si="26"/>
        <v>10.4</v>
      </c>
      <c r="BY18" s="11">
        <f t="shared" si="27"/>
        <v>45.9</v>
      </c>
      <c r="BZ18" s="11">
        <f t="shared" si="28"/>
        <v>112.5</v>
      </c>
      <c r="CA18" s="19">
        <v>17.2</v>
      </c>
      <c r="CB18" s="19">
        <v>2.4</v>
      </c>
      <c r="CC18" s="19">
        <v>0</v>
      </c>
      <c r="CD18" s="19">
        <v>0</v>
      </c>
      <c r="CE18" s="19">
        <v>18.5</v>
      </c>
      <c r="CF18" s="19">
        <v>5.6</v>
      </c>
      <c r="CG18" s="19">
        <v>0.2</v>
      </c>
      <c r="CH18" s="19">
        <v>0</v>
      </c>
      <c r="CI18" s="19">
        <v>18.899999999999999</v>
      </c>
      <c r="CJ18" s="19">
        <v>3.1</v>
      </c>
      <c r="CK18" s="19">
        <v>1.2</v>
      </c>
      <c r="CL18" s="19">
        <v>0</v>
      </c>
      <c r="CM18" s="19">
        <v>17.399999999999999</v>
      </c>
      <c r="CN18" s="19">
        <v>2.8</v>
      </c>
      <c r="CO18" s="19">
        <v>0</v>
      </c>
      <c r="CP18" s="19">
        <v>0</v>
      </c>
      <c r="CQ18" s="19">
        <v>0</v>
      </c>
      <c r="CR18" s="19">
        <v>0</v>
      </c>
      <c r="CS18" s="19">
        <v>0</v>
      </c>
      <c r="CT18" s="19">
        <v>0</v>
      </c>
      <c r="CU18" s="27"/>
      <c r="CV18" s="40">
        <f t="shared" si="29"/>
        <v>8</v>
      </c>
      <c r="CW18" s="40">
        <f t="shared" si="30"/>
        <v>43.499999999999993</v>
      </c>
      <c r="CX18" s="40">
        <f t="shared" si="31"/>
        <v>20.8</v>
      </c>
      <c r="CY18" s="40">
        <f t="shared" si="32"/>
        <v>11.1</v>
      </c>
      <c r="CZ18" s="40">
        <f t="shared" si="33"/>
        <v>64.3</v>
      </c>
      <c r="DA18" s="40">
        <f t="shared" si="34"/>
        <v>2.8</v>
      </c>
      <c r="DB18" s="40">
        <f t="shared" si="35"/>
        <v>20.2</v>
      </c>
      <c r="DC18" s="40">
        <f t="shared" si="36"/>
        <v>84.5</v>
      </c>
      <c r="DD18" s="51" t="str">
        <f t="shared" si="37"/>
        <v/>
      </c>
      <c r="DE18" s="51" t="str">
        <f t="shared" si="38"/>
        <v/>
      </c>
      <c r="DF18" s="51" t="str">
        <f t="shared" si="39"/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 t="shared" si="40"/>
        <v/>
      </c>
      <c r="EB18" s="40" t="str">
        <f t="shared" si="41"/>
        <v/>
      </c>
      <c r="EC18" s="40" t="str">
        <f t="shared" si="42"/>
        <v/>
      </c>
      <c r="ED18" s="40" t="str">
        <f t="shared" si="43"/>
        <v/>
      </c>
      <c r="EE18" s="40" t="str">
        <f t="shared" si="44"/>
        <v/>
      </c>
      <c r="EF18" s="40" t="str">
        <f t="shared" si="45"/>
        <v/>
      </c>
      <c r="EG18" s="40" t="str">
        <f t="shared" si="46"/>
        <v/>
      </c>
      <c r="EH18" s="40" t="str">
        <f t="shared" si="47"/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 t="shared" si="48"/>
        <v/>
      </c>
      <c r="FD18" s="11" t="str">
        <f t="shared" si="49"/>
        <v/>
      </c>
      <c r="FE18" s="11" t="str">
        <f t="shared" si="50"/>
        <v/>
      </c>
      <c r="FF18" s="11" t="str">
        <f t="shared" si="51"/>
        <v/>
      </c>
      <c r="FG18" s="11" t="str">
        <f t="shared" si="52"/>
        <v/>
      </c>
      <c r="FH18" s="11" t="str">
        <f t="shared" si="53"/>
        <v/>
      </c>
      <c r="FI18" s="11" t="str">
        <f t="shared" si="54"/>
        <v/>
      </c>
      <c r="FJ18" s="11" t="str">
        <f t="shared" si="55"/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 t="shared" si="56"/>
        <v/>
      </c>
      <c r="GF18" s="40" t="str">
        <f t="shared" si="57"/>
        <v/>
      </c>
      <c r="GG18" s="40" t="str">
        <f t="shared" si="58"/>
        <v/>
      </c>
      <c r="GH18" s="40" t="str">
        <f t="shared" si="59"/>
        <v/>
      </c>
      <c r="GI18" s="40" t="str">
        <f t="shared" si="60"/>
        <v/>
      </c>
      <c r="GJ18" s="40" t="str">
        <f t="shared" si="61"/>
        <v/>
      </c>
      <c r="GK18" s="40" t="str">
        <f t="shared" si="62"/>
        <v/>
      </c>
      <c r="GL18" s="40" t="str">
        <f t="shared" si="63"/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 t="shared" si="64"/>
        <v/>
      </c>
      <c r="HH18" s="11" t="str">
        <f t="shared" si="65"/>
        <v/>
      </c>
      <c r="HI18" s="11" t="str">
        <f t="shared" si="66"/>
        <v/>
      </c>
      <c r="HJ18" s="11" t="str">
        <f t="shared" si="67"/>
        <v/>
      </c>
      <c r="HK18" s="11" t="str">
        <f t="shared" si="68"/>
        <v/>
      </c>
      <c r="HL18" s="11" t="str">
        <f t="shared" si="69"/>
        <v/>
      </c>
      <c r="HM18" s="11" t="str">
        <f t="shared" si="70"/>
        <v/>
      </c>
      <c r="HN18" s="11" t="str">
        <f t="shared" si="71"/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 t="shared" si="72"/>
        <v/>
      </c>
      <c r="IJ18" s="40" t="str">
        <f t="shared" si="73"/>
        <v/>
      </c>
      <c r="IK18" s="40" t="str">
        <f t="shared" si="74"/>
        <v/>
      </c>
      <c r="IL18" s="40" t="str">
        <f t="shared" si="75"/>
        <v/>
      </c>
      <c r="IM18" s="40" t="str">
        <f t="shared" si="76"/>
        <v/>
      </c>
      <c r="IN18" s="40" t="str">
        <f t="shared" si="77"/>
        <v/>
      </c>
      <c r="IO18" s="40" t="str">
        <f t="shared" si="78"/>
        <v/>
      </c>
      <c r="IP18" s="40" t="str">
        <f t="shared" si="79"/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 t="shared" si="80"/>
        <v/>
      </c>
      <c r="JL18" s="11" t="str">
        <f t="shared" si="81"/>
        <v/>
      </c>
      <c r="JM18" s="11" t="str">
        <f t="shared" si="82"/>
        <v/>
      </c>
      <c r="JN18" s="11" t="str">
        <f t="shared" si="83"/>
        <v/>
      </c>
      <c r="JO18" s="11" t="str">
        <f t="shared" si="84"/>
        <v/>
      </c>
      <c r="JP18" s="11" t="str">
        <f t="shared" si="85"/>
        <v/>
      </c>
      <c r="JQ18" s="11" t="str">
        <f t="shared" si="86"/>
        <v/>
      </c>
      <c r="JR18" s="11" t="str">
        <f t="shared" si="87"/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 t="shared" si="88"/>
        <v/>
      </c>
      <c r="KN18" s="40" t="str">
        <f t="shared" si="89"/>
        <v/>
      </c>
      <c r="KO18" s="40" t="str">
        <f t="shared" si="90"/>
        <v/>
      </c>
      <c r="KP18" s="40" t="str">
        <f t="shared" si="91"/>
        <v/>
      </c>
      <c r="KQ18" s="40" t="str">
        <f t="shared" si="92"/>
        <v/>
      </c>
      <c r="KR18" s="40" t="str">
        <f t="shared" si="93"/>
        <v/>
      </c>
      <c r="KS18" s="40" t="str">
        <f t="shared" si="94"/>
        <v/>
      </c>
      <c r="KT18" s="40" t="str">
        <f t="shared" si="95"/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 t="shared" si="96"/>
        <v/>
      </c>
      <c r="LP18" s="11" t="str">
        <f t="shared" si="97"/>
        <v/>
      </c>
      <c r="LQ18" s="11" t="str">
        <f t="shared" si="98"/>
        <v/>
      </c>
      <c r="LR18" s="11" t="str">
        <f t="shared" si="99"/>
        <v/>
      </c>
      <c r="LS18" s="11" t="str">
        <f t="shared" si="100"/>
        <v/>
      </c>
      <c r="LT18" s="11" t="str">
        <f t="shared" si="101"/>
        <v/>
      </c>
      <c r="LU18" s="11" t="str">
        <f t="shared" si="102"/>
        <v/>
      </c>
      <c r="LV18" s="11" t="str">
        <f t="shared" si="103"/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 t="shared" si="104"/>
        <v/>
      </c>
      <c r="MR18" s="40" t="str">
        <f t="shared" si="105"/>
        <v/>
      </c>
      <c r="MS18" s="40" t="str">
        <f t="shared" si="106"/>
        <v/>
      </c>
      <c r="MT18" s="40" t="str">
        <f t="shared" si="107"/>
        <v/>
      </c>
      <c r="MU18" s="40" t="str">
        <f t="shared" si="108"/>
        <v/>
      </c>
      <c r="MV18" s="40" t="str">
        <f t="shared" si="109"/>
        <v/>
      </c>
      <c r="MW18" s="40" t="str">
        <f t="shared" si="110"/>
        <v/>
      </c>
      <c r="MX18" s="40" t="str">
        <f t="shared" si="111"/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 t="shared" si="112"/>
        <v/>
      </c>
      <c r="NT18" s="11" t="str">
        <f t="shared" si="113"/>
        <v/>
      </c>
      <c r="NU18" s="11" t="str">
        <f t="shared" si="114"/>
        <v/>
      </c>
      <c r="NV18" s="11" t="str">
        <f t="shared" si="115"/>
        <v/>
      </c>
      <c r="NW18" s="11" t="str">
        <f t="shared" si="116"/>
        <v/>
      </c>
      <c r="NX18" s="11" t="str">
        <f t="shared" si="117"/>
        <v/>
      </c>
      <c r="NY18" s="11" t="str">
        <f t="shared" si="118"/>
        <v/>
      </c>
      <c r="NZ18" s="11" t="str">
        <f t="shared" si="119"/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 t="shared" si="120"/>
        <v/>
      </c>
      <c r="OV18" s="40" t="str">
        <f t="shared" si="121"/>
        <v/>
      </c>
      <c r="OW18" s="40" t="str">
        <f t="shared" si="122"/>
        <v/>
      </c>
      <c r="OX18" s="40" t="str">
        <f t="shared" si="123"/>
        <v/>
      </c>
      <c r="OY18" s="40" t="str">
        <f t="shared" si="124"/>
        <v/>
      </c>
      <c r="OZ18" s="40" t="str">
        <f t="shared" si="125"/>
        <v/>
      </c>
      <c r="PA18" s="40" t="str">
        <f t="shared" si="126"/>
        <v/>
      </c>
      <c r="PB18" s="40" t="str">
        <f t="shared" si="127"/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 t="shared" si="128"/>
        <v/>
      </c>
      <c r="PX18" s="11" t="str">
        <f t="shared" si="129"/>
        <v/>
      </c>
      <c r="PY18" s="11" t="str">
        <f t="shared" si="130"/>
        <v/>
      </c>
      <c r="PZ18" s="11" t="str">
        <f t="shared" si="131"/>
        <v/>
      </c>
      <c r="QA18" s="11" t="str">
        <f t="shared" si="132"/>
        <v/>
      </c>
      <c r="QB18" s="11" t="str">
        <f t="shared" si="133"/>
        <v/>
      </c>
      <c r="QC18" s="11" t="str">
        <f t="shared" si="134"/>
        <v/>
      </c>
      <c r="QD18" s="11" t="str">
        <f t="shared" si="135"/>
        <v/>
      </c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40" t="str">
        <f t="shared" si="136"/>
        <v/>
      </c>
      <c r="QZ18" s="40" t="str">
        <f t="shared" si="137"/>
        <v/>
      </c>
      <c r="RA18" s="40" t="str">
        <f t="shared" si="138"/>
        <v/>
      </c>
      <c r="RB18" s="40" t="str">
        <f t="shared" si="139"/>
        <v/>
      </c>
      <c r="RC18" s="40" t="str">
        <f t="shared" si="140"/>
        <v/>
      </c>
      <c r="RD18" s="40" t="str">
        <f t="shared" si="141"/>
        <v/>
      </c>
      <c r="RE18" s="40" t="str">
        <f t="shared" si="142"/>
        <v/>
      </c>
      <c r="RF18" s="40" t="str">
        <f t="shared" si="143"/>
        <v/>
      </c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1" t="str">
        <f t="shared" si="144"/>
        <v/>
      </c>
      <c r="SB18" s="11" t="str">
        <f t="shared" si="145"/>
        <v/>
      </c>
      <c r="SC18" s="11" t="str">
        <f t="shared" si="146"/>
        <v/>
      </c>
      <c r="SD18" s="11" t="str">
        <f t="shared" si="147"/>
        <v/>
      </c>
      <c r="SE18" s="11" t="str">
        <f t="shared" si="148"/>
        <v/>
      </c>
      <c r="SF18" s="11" t="str">
        <f t="shared" si="149"/>
        <v/>
      </c>
      <c r="SG18" s="11" t="str">
        <f t="shared" si="150"/>
        <v/>
      </c>
      <c r="SH18" s="11" t="str">
        <f t="shared" si="151"/>
        <v/>
      </c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40" t="str">
        <f t="shared" si="152"/>
        <v/>
      </c>
      <c r="TD18" s="40" t="str">
        <f t="shared" si="153"/>
        <v/>
      </c>
      <c r="TE18" s="40" t="str">
        <f t="shared" si="154"/>
        <v/>
      </c>
      <c r="TF18" s="40" t="str">
        <f t="shared" si="155"/>
        <v/>
      </c>
      <c r="TG18" s="40" t="str">
        <f t="shared" si="156"/>
        <v/>
      </c>
      <c r="TH18" s="40" t="str">
        <f t="shared" si="157"/>
        <v/>
      </c>
      <c r="TI18" s="40" t="str">
        <f t="shared" si="158"/>
        <v/>
      </c>
      <c r="TJ18" s="40" t="str">
        <f t="shared" si="159"/>
        <v/>
      </c>
      <c r="TK18" s="26">
        <f t="shared" si="160"/>
        <v>17.2</v>
      </c>
      <c r="TL18" s="26">
        <f t="shared" si="161"/>
        <v>2.4</v>
      </c>
      <c r="TM18" s="26">
        <f t="shared" si="162"/>
        <v>0</v>
      </c>
      <c r="TN18" s="26">
        <f t="shared" si="163"/>
        <v>0</v>
      </c>
      <c r="TO18" s="26">
        <f t="shared" si="164"/>
        <v>18.45</v>
      </c>
      <c r="TP18" s="26">
        <f t="shared" si="165"/>
        <v>5.6</v>
      </c>
      <c r="TQ18" s="26">
        <f t="shared" si="166"/>
        <v>0.1</v>
      </c>
      <c r="TR18" s="26">
        <f t="shared" si="167"/>
        <v>0</v>
      </c>
      <c r="TS18" s="26">
        <f t="shared" si="168"/>
        <v>18.45</v>
      </c>
      <c r="TT18" s="26">
        <f t="shared" si="169"/>
        <v>4.1500000000000004</v>
      </c>
      <c r="TU18" s="26">
        <f t="shared" si="170"/>
        <v>0.7</v>
      </c>
      <c r="TV18" s="26">
        <f t="shared" si="171"/>
        <v>0</v>
      </c>
      <c r="TW18" s="26">
        <f t="shared" si="172"/>
        <v>17.649999999999999</v>
      </c>
      <c r="TX18" s="26">
        <f t="shared" si="173"/>
        <v>4</v>
      </c>
      <c r="TY18" s="26">
        <f t="shared" si="174"/>
        <v>0.1</v>
      </c>
      <c r="TZ18" s="26">
        <f t="shared" si="175"/>
        <v>0</v>
      </c>
      <c r="UA18" s="26">
        <f t="shared" si="176"/>
        <v>9</v>
      </c>
      <c r="UB18" s="26">
        <f t="shared" si="177"/>
        <v>2.6</v>
      </c>
      <c r="UC18" s="26">
        <f t="shared" si="178"/>
        <v>0.1</v>
      </c>
      <c r="UD18" s="26">
        <f t="shared" si="179"/>
        <v>0</v>
      </c>
      <c r="UE18" s="28" t="s">
        <v>53</v>
      </c>
      <c r="UF18" s="11">
        <f t="shared" si="180"/>
        <v>8</v>
      </c>
      <c r="UG18" s="11">
        <f t="shared" si="181"/>
        <v>43.55</v>
      </c>
      <c r="UH18" s="11">
        <f t="shared" si="182"/>
        <v>21.900000000000002</v>
      </c>
      <c r="UI18" s="11">
        <f t="shared" si="183"/>
        <v>12.15</v>
      </c>
      <c r="UJ18" s="11">
        <f t="shared" si="184"/>
        <v>65.45</v>
      </c>
      <c r="UK18" s="11">
        <f t="shared" si="185"/>
        <v>6.6</v>
      </c>
      <c r="UL18" s="11">
        <f t="shared" si="186"/>
        <v>33.049999999999997</v>
      </c>
      <c r="UM18" s="11">
        <f t="shared" si="187"/>
        <v>98.5</v>
      </c>
    </row>
    <row r="19" spans="1:559" x14ac:dyDescent="0.2">
      <c r="A19" s="4" t="str" cm="1">
        <f t="array" ref="A19">IF(AND(H19&lt;&gt;"",H19&lt;&gt;"No DD"),SUMPRODUCT((H$4:H$23&lt;&gt;"")*(H$4:H$23&lt;&gt;"No DD")*(E$4:E$23&gt;E19))+1,IF(H19="No DD",SUMPRODUCT((H$4:H$23="No DD")*(E$4:E$23&gt;E19))+1+SUMPRODUCT((H$4:H$23&lt;&gt;"")*(H$4:H$23&lt;&gt;"No DD")),""))</f>
        <v/>
      </c>
      <c r="B19" s="5" t="s">
        <v>238</v>
      </c>
      <c r="C19" s="4" t="s">
        <v>6</v>
      </c>
      <c r="D19" s="4">
        <v>2001</v>
      </c>
      <c r="E19" s="9">
        <f t="shared" si="0"/>
        <v>149.10001043000452</v>
      </c>
      <c r="F19" s="3" t="str">
        <f t="shared" si="1"/>
        <v/>
      </c>
      <c r="G19" s="3" t="str">
        <f t="shared" si="2"/>
        <v/>
      </c>
      <c r="H19" s="36" t="str">
        <f t="shared" si="3"/>
        <v/>
      </c>
      <c r="I19" s="3" t="str">
        <f t="shared" si="4"/>
        <v/>
      </c>
      <c r="J19" s="8">
        <f>IF(COUNT(AQ19,BT19,CW19)&gt;0,LARGE((AQ19,BT19,CW19),1),0)</f>
        <v>45.099999999999994</v>
      </c>
      <c r="K19" s="8" t="str">
        <f t="shared" si="5"/>
        <v>2024 Elite Canada</v>
      </c>
      <c r="L19" s="8">
        <f>IF(COUNT(AQ19,BT19,CW19)&gt;1,LARGE((AQ19,BT19,CW19),2),0)</f>
        <v>37</v>
      </c>
      <c r="M19" s="8" t="str">
        <f t="shared" si="6"/>
        <v>2024 Nationals</v>
      </c>
      <c r="N19" s="8">
        <f>IF(COUNT(AR19,BU19,CX19)&gt;0,LARGE((AR19,BU19,CX19),1),0)</f>
        <v>22.2</v>
      </c>
      <c r="O19" s="8" t="str">
        <f t="shared" si="7"/>
        <v>2024 Elite Canada</v>
      </c>
      <c r="P19" s="8">
        <f t="shared" si="8"/>
        <v>44.79999999999999</v>
      </c>
      <c r="Q19" s="8" t="str">
        <f t="shared" si="9"/>
        <v>2024 Elite Canada</v>
      </c>
      <c r="R19" s="8" t="str">
        <f t="shared" si="10"/>
        <v/>
      </c>
      <c r="S19" s="11" t="str">
        <f t="shared" si="11"/>
        <v/>
      </c>
      <c r="T19" s="8" t="str">
        <f t="shared" si="12"/>
        <v/>
      </c>
      <c r="U19" s="19">
        <v>16.399999999999999</v>
      </c>
      <c r="V19" s="19">
        <v>5.2</v>
      </c>
      <c r="W19" s="19">
        <v>0.2</v>
      </c>
      <c r="X19" s="19">
        <v>0</v>
      </c>
      <c r="Y19" s="19">
        <v>17.8</v>
      </c>
      <c r="Z19" s="19">
        <v>6.4</v>
      </c>
      <c r="AA19" s="19">
        <v>0.8</v>
      </c>
      <c r="AB19" s="19">
        <v>0.3</v>
      </c>
      <c r="AC19" s="19">
        <v>18.7</v>
      </c>
      <c r="AD19" s="19">
        <v>3.5</v>
      </c>
      <c r="AE19" s="19">
        <v>0</v>
      </c>
      <c r="AF19" s="19">
        <v>0</v>
      </c>
      <c r="AG19" s="19">
        <v>17.899999999999999</v>
      </c>
      <c r="AH19" s="19">
        <v>4.4000000000000004</v>
      </c>
      <c r="AI19" s="19">
        <v>0.6</v>
      </c>
      <c r="AJ19" s="19">
        <v>0</v>
      </c>
      <c r="AK19" s="19">
        <v>16.399999999999999</v>
      </c>
      <c r="AL19" s="19">
        <v>6.4</v>
      </c>
      <c r="AM19" s="19">
        <v>0</v>
      </c>
      <c r="AN19" s="19">
        <v>0.3</v>
      </c>
      <c r="AO19" s="27"/>
      <c r="AP19" s="40">
        <f t="shared" si="13"/>
        <v>11.600000000000001</v>
      </c>
      <c r="AQ19" s="40">
        <f t="shared" si="14"/>
        <v>45.099999999999994</v>
      </c>
      <c r="AR19" s="40">
        <f t="shared" si="15"/>
        <v>22.2</v>
      </c>
      <c r="AS19" s="40">
        <f t="shared" si="16"/>
        <v>15.100000000000001</v>
      </c>
      <c r="AT19" s="40">
        <f t="shared" si="17"/>
        <v>67.3</v>
      </c>
      <c r="AU19" s="40">
        <f t="shared" si="18"/>
        <v>10.8</v>
      </c>
      <c r="AV19" s="40">
        <f t="shared" si="19"/>
        <v>44.79999999999999</v>
      </c>
      <c r="AW19" s="40">
        <f t="shared" si="20"/>
        <v>112.1</v>
      </c>
      <c r="AX19" s="18">
        <v>17.399999999999999</v>
      </c>
      <c r="AY19" s="18">
        <v>2.4</v>
      </c>
      <c r="AZ19" s="18">
        <v>0</v>
      </c>
      <c r="BA19" s="18">
        <v>0</v>
      </c>
      <c r="BB19" s="18">
        <v>17.2</v>
      </c>
      <c r="BC19" s="18">
        <v>0</v>
      </c>
      <c r="BD19" s="18">
        <v>0</v>
      </c>
      <c r="BE19" s="18">
        <v>0</v>
      </c>
      <c r="BF19" s="18">
        <v>16.399999999999999</v>
      </c>
      <c r="BG19" s="18">
        <v>4.8</v>
      </c>
      <c r="BH19" s="18">
        <v>0.8</v>
      </c>
      <c r="BI19" s="18">
        <v>0</v>
      </c>
      <c r="BJ19" s="18"/>
      <c r="BK19" s="18"/>
      <c r="BL19" s="18"/>
      <c r="BM19" s="18"/>
      <c r="BN19" s="18"/>
      <c r="BO19" s="18"/>
      <c r="BP19" s="18"/>
      <c r="BQ19" s="18"/>
      <c r="BR19" s="28"/>
      <c r="BS19" s="11">
        <f t="shared" si="21"/>
        <v>2.4</v>
      </c>
      <c r="BT19" s="11">
        <f t="shared" si="22"/>
        <v>37</v>
      </c>
      <c r="BU19" s="11">
        <f t="shared" si="23"/>
        <v>20.399999999999999</v>
      </c>
      <c r="BV19" s="11">
        <f t="shared" si="24"/>
        <v>7.1999999999999993</v>
      </c>
      <c r="BW19" s="11">
        <f t="shared" si="25"/>
        <v>57.4</v>
      </c>
      <c r="BX19" s="11" t="str">
        <f t="shared" si="26"/>
        <v/>
      </c>
      <c r="BY19" s="11" t="str">
        <f t="shared" si="27"/>
        <v/>
      </c>
      <c r="BZ19" s="11">
        <f t="shared" si="28"/>
        <v>57.4</v>
      </c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7"/>
      <c r="CV19" s="40" t="str">
        <f t="shared" si="29"/>
        <v/>
      </c>
      <c r="CW19" s="40" t="str">
        <f t="shared" si="30"/>
        <v/>
      </c>
      <c r="CX19" s="40" t="str">
        <f t="shared" si="31"/>
        <v/>
      </c>
      <c r="CY19" s="40" t="str">
        <f t="shared" si="32"/>
        <v/>
      </c>
      <c r="CZ19" s="40" t="str">
        <f t="shared" si="33"/>
        <v/>
      </c>
      <c r="DA19" s="40" t="str">
        <f t="shared" si="34"/>
        <v/>
      </c>
      <c r="DB19" s="40" t="str">
        <f t="shared" si="35"/>
        <v/>
      </c>
      <c r="DC19" s="40" t="str">
        <f t="shared" si="36"/>
        <v/>
      </c>
      <c r="DD19" s="51" t="str">
        <f t="shared" si="37"/>
        <v/>
      </c>
      <c r="DE19" s="51" t="str">
        <f t="shared" si="38"/>
        <v/>
      </c>
      <c r="DF19" s="51" t="str">
        <f t="shared" si="39"/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 t="shared" si="40"/>
        <v/>
      </c>
      <c r="EB19" s="40" t="str">
        <f t="shared" si="41"/>
        <v/>
      </c>
      <c r="EC19" s="40" t="str">
        <f t="shared" si="42"/>
        <v/>
      </c>
      <c r="ED19" s="40" t="str">
        <f t="shared" si="43"/>
        <v/>
      </c>
      <c r="EE19" s="40" t="str">
        <f t="shared" si="44"/>
        <v/>
      </c>
      <c r="EF19" s="40" t="str">
        <f t="shared" si="45"/>
        <v/>
      </c>
      <c r="EG19" s="40" t="str">
        <f t="shared" si="46"/>
        <v/>
      </c>
      <c r="EH19" s="40" t="str">
        <f t="shared" si="47"/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 t="shared" si="48"/>
        <v/>
      </c>
      <c r="FD19" s="11" t="str">
        <f t="shared" si="49"/>
        <v/>
      </c>
      <c r="FE19" s="11" t="str">
        <f t="shared" si="50"/>
        <v/>
      </c>
      <c r="FF19" s="11" t="str">
        <f t="shared" si="51"/>
        <v/>
      </c>
      <c r="FG19" s="11" t="str">
        <f t="shared" si="52"/>
        <v/>
      </c>
      <c r="FH19" s="11" t="str">
        <f t="shared" si="53"/>
        <v/>
      </c>
      <c r="FI19" s="11" t="str">
        <f t="shared" si="54"/>
        <v/>
      </c>
      <c r="FJ19" s="11" t="str">
        <f t="shared" si="55"/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 t="str">
        <f t="shared" si="56"/>
        <v/>
      </c>
      <c r="GF19" s="40" t="str">
        <f t="shared" si="57"/>
        <v/>
      </c>
      <c r="GG19" s="40" t="str">
        <f t="shared" si="58"/>
        <v/>
      </c>
      <c r="GH19" s="40" t="str">
        <f t="shared" si="59"/>
        <v/>
      </c>
      <c r="GI19" s="40" t="str">
        <f t="shared" si="60"/>
        <v/>
      </c>
      <c r="GJ19" s="40" t="str">
        <f t="shared" si="61"/>
        <v/>
      </c>
      <c r="GK19" s="40" t="str">
        <f t="shared" si="62"/>
        <v/>
      </c>
      <c r="GL19" s="40" t="str">
        <f t="shared" si="63"/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 t="shared" si="64"/>
        <v/>
      </c>
      <c r="HH19" s="11" t="str">
        <f t="shared" si="65"/>
        <v/>
      </c>
      <c r="HI19" s="11" t="str">
        <f t="shared" si="66"/>
        <v/>
      </c>
      <c r="HJ19" s="11" t="str">
        <f t="shared" si="67"/>
        <v/>
      </c>
      <c r="HK19" s="11" t="str">
        <f t="shared" si="68"/>
        <v/>
      </c>
      <c r="HL19" s="11" t="str">
        <f t="shared" si="69"/>
        <v/>
      </c>
      <c r="HM19" s="11" t="str">
        <f t="shared" si="70"/>
        <v/>
      </c>
      <c r="HN19" s="11" t="str">
        <f t="shared" si="71"/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 t="shared" si="72"/>
        <v/>
      </c>
      <c r="IJ19" s="40" t="str">
        <f t="shared" si="73"/>
        <v/>
      </c>
      <c r="IK19" s="40" t="str">
        <f t="shared" si="74"/>
        <v/>
      </c>
      <c r="IL19" s="40" t="str">
        <f t="shared" si="75"/>
        <v/>
      </c>
      <c r="IM19" s="40" t="str">
        <f t="shared" si="76"/>
        <v/>
      </c>
      <c r="IN19" s="40" t="str">
        <f t="shared" si="77"/>
        <v/>
      </c>
      <c r="IO19" s="40" t="str">
        <f t="shared" si="78"/>
        <v/>
      </c>
      <c r="IP19" s="40" t="str">
        <f t="shared" si="79"/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 t="shared" si="80"/>
        <v/>
      </c>
      <c r="JL19" s="11" t="str">
        <f t="shared" si="81"/>
        <v/>
      </c>
      <c r="JM19" s="11" t="str">
        <f t="shared" si="82"/>
        <v/>
      </c>
      <c r="JN19" s="11" t="str">
        <f t="shared" si="83"/>
        <v/>
      </c>
      <c r="JO19" s="11" t="str">
        <f t="shared" si="84"/>
        <v/>
      </c>
      <c r="JP19" s="11" t="str">
        <f t="shared" si="85"/>
        <v/>
      </c>
      <c r="JQ19" s="11" t="str">
        <f t="shared" si="86"/>
        <v/>
      </c>
      <c r="JR19" s="11" t="str">
        <f t="shared" si="87"/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 t="shared" si="88"/>
        <v/>
      </c>
      <c r="KN19" s="40" t="str">
        <f t="shared" si="89"/>
        <v/>
      </c>
      <c r="KO19" s="40" t="str">
        <f t="shared" si="90"/>
        <v/>
      </c>
      <c r="KP19" s="40" t="str">
        <f t="shared" si="91"/>
        <v/>
      </c>
      <c r="KQ19" s="40" t="str">
        <f t="shared" si="92"/>
        <v/>
      </c>
      <c r="KR19" s="40" t="str">
        <f t="shared" si="93"/>
        <v/>
      </c>
      <c r="KS19" s="40" t="str">
        <f t="shared" si="94"/>
        <v/>
      </c>
      <c r="KT19" s="40" t="str">
        <f t="shared" si="95"/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 t="shared" si="96"/>
        <v/>
      </c>
      <c r="LP19" s="11" t="str">
        <f t="shared" si="97"/>
        <v/>
      </c>
      <c r="LQ19" s="11" t="str">
        <f t="shared" si="98"/>
        <v/>
      </c>
      <c r="LR19" s="11" t="str">
        <f t="shared" si="99"/>
        <v/>
      </c>
      <c r="LS19" s="11" t="str">
        <f t="shared" si="100"/>
        <v/>
      </c>
      <c r="LT19" s="11" t="str">
        <f t="shared" si="101"/>
        <v/>
      </c>
      <c r="LU19" s="11" t="str">
        <f t="shared" si="102"/>
        <v/>
      </c>
      <c r="LV19" s="11" t="str">
        <f t="shared" si="103"/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 t="shared" si="104"/>
        <v/>
      </c>
      <c r="MR19" s="40" t="str">
        <f t="shared" si="105"/>
        <v/>
      </c>
      <c r="MS19" s="40" t="str">
        <f t="shared" si="106"/>
        <v/>
      </c>
      <c r="MT19" s="40" t="str">
        <f t="shared" si="107"/>
        <v/>
      </c>
      <c r="MU19" s="40" t="str">
        <f t="shared" si="108"/>
        <v/>
      </c>
      <c r="MV19" s="40" t="str">
        <f t="shared" si="109"/>
        <v/>
      </c>
      <c r="MW19" s="40" t="str">
        <f t="shared" si="110"/>
        <v/>
      </c>
      <c r="MX19" s="40" t="str">
        <f t="shared" si="111"/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 t="shared" si="112"/>
        <v/>
      </c>
      <c r="NT19" s="11" t="str">
        <f t="shared" si="113"/>
        <v/>
      </c>
      <c r="NU19" s="11" t="str">
        <f t="shared" si="114"/>
        <v/>
      </c>
      <c r="NV19" s="11" t="str">
        <f t="shared" si="115"/>
        <v/>
      </c>
      <c r="NW19" s="11" t="str">
        <f t="shared" si="116"/>
        <v/>
      </c>
      <c r="NX19" s="11" t="str">
        <f t="shared" si="117"/>
        <v/>
      </c>
      <c r="NY19" s="11" t="str">
        <f t="shared" si="118"/>
        <v/>
      </c>
      <c r="NZ19" s="11" t="str">
        <f t="shared" si="119"/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 t="shared" si="120"/>
        <v/>
      </c>
      <c r="OV19" s="40" t="str">
        <f t="shared" si="121"/>
        <v/>
      </c>
      <c r="OW19" s="40" t="str">
        <f t="shared" si="122"/>
        <v/>
      </c>
      <c r="OX19" s="40" t="str">
        <f t="shared" si="123"/>
        <v/>
      </c>
      <c r="OY19" s="40" t="str">
        <f t="shared" si="124"/>
        <v/>
      </c>
      <c r="OZ19" s="40" t="str">
        <f t="shared" si="125"/>
        <v/>
      </c>
      <c r="PA19" s="40" t="str">
        <f t="shared" si="126"/>
        <v/>
      </c>
      <c r="PB19" s="40" t="str">
        <f t="shared" si="127"/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 t="shared" si="128"/>
        <v/>
      </c>
      <c r="PX19" s="11" t="str">
        <f t="shared" si="129"/>
        <v/>
      </c>
      <c r="PY19" s="11" t="str">
        <f t="shared" si="130"/>
        <v/>
      </c>
      <c r="PZ19" s="11" t="str">
        <f t="shared" si="131"/>
        <v/>
      </c>
      <c r="QA19" s="11" t="str">
        <f t="shared" si="132"/>
        <v/>
      </c>
      <c r="QB19" s="11" t="str">
        <f t="shared" si="133"/>
        <v/>
      </c>
      <c r="QC19" s="11" t="str">
        <f t="shared" si="134"/>
        <v/>
      </c>
      <c r="QD19" s="11" t="str">
        <f t="shared" si="135"/>
        <v/>
      </c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40" t="str">
        <f t="shared" si="136"/>
        <v/>
      </c>
      <c r="QZ19" s="40" t="str">
        <f t="shared" si="137"/>
        <v/>
      </c>
      <c r="RA19" s="40" t="str">
        <f t="shared" si="138"/>
        <v/>
      </c>
      <c r="RB19" s="40" t="str">
        <f t="shared" si="139"/>
        <v/>
      </c>
      <c r="RC19" s="40" t="str">
        <f t="shared" si="140"/>
        <v/>
      </c>
      <c r="RD19" s="40" t="str">
        <f t="shared" si="141"/>
        <v/>
      </c>
      <c r="RE19" s="40" t="str">
        <f t="shared" si="142"/>
        <v/>
      </c>
      <c r="RF19" s="40" t="str">
        <f t="shared" si="143"/>
        <v/>
      </c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1" t="str">
        <f t="shared" si="144"/>
        <v/>
      </c>
      <c r="SB19" s="11" t="str">
        <f t="shared" si="145"/>
        <v/>
      </c>
      <c r="SC19" s="11" t="str">
        <f t="shared" si="146"/>
        <v/>
      </c>
      <c r="SD19" s="11" t="str">
        <f t="shared" si="147"/>
        <v/>
      </c>
      <c r="SE19" s="11" t="str">
        <f t="shared" si="148"/>
        <v/>
      </c>
      <c r="SF19" s="11" t="str">
        <f t="shared" si="149"/>
        <v/>
      </c>
      <c r="SG19" s="11" t="str">
        <f t="shared" si="150"/>
        <v/>
      </c>
      <c r="SH19" s="11" t="str">
        <f t="shared" si="151"/>
        <v/>
      </c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40" t="str">
        <f t="shared" si="152"/>
        <v/>
      </c>
      <c r="TD19" s="40" t="str">
        <f t="shared" si="153"/>
        <v/>
      </c>
      <c r="TE19" s="40" t="str">
        <f t="shared" si="154"/>
        <v/>
      </c>
      <c r="TF19" s="40" t="str">
        <f t="shared" si="155"/>
        <v/>
      </c>
      <c r="TG19" s="40" t="str">
        <f t="shared" si="156"/>
        <v/>
      </c>
      <c r="TH19" s="40" t="str">
        <f t="shared" si="157"/>
        <v/>
      </c>
      <c r="TI19" s="40" t="str">
        <f t="shared" si="158"/>
        <v/>
      </c>
      <c r="TJ19" s="40" t="str">
        <f t="shared" si="159"/>
        <v/>
      </c>
      <c r="TK19" s="26">
        <f t="shared" si="160"/>
        <v>8.6999999999999993</v>
      </c>
      <c r="TL19" s="26">
        <f t="shared" si="161"/>
        <v>1.2</v>
      </c>
      <c r="TM19" s="26">
        <f t="shared" si="162"/>
        <v>0</v>
      </c>
      <c r="TN19" s="26">
        <f t="shared" si="163"/>
        <v>0</v>
      </c>
      <c r="TO19" s="26">
        <f t="shared" si="164"/>
        <v>8.6</v>
      </c>
      <c r="TP19" s="26">
        <f t="shared" si="165"/>
        <v>0</v>
      </c>
      <c r="TQ19" s="26">
        <f t="shared" si="166"/>
        <v>0</v>
      </c>
      <c r="TR19" s="26">
        <f t="shared" si="167"/>
        <v>0</v>
      </c>
      <c r="TS19" s="26">
        <f t="shared" si="168"/>
        <v>8.1999999999999993</v>
      </c>
      <c r="TT19" s="26">
        <f t="shared" si="169"/>
        <v>2.4</v>
      </c>
      <c r="TU19" s="26">
        <f t="shared" si="170"/>
        <v>0.4</v>
      </c>
      <c r="TV19" s="26">
        <f t="shared" si="171"/>
        <v>0</v>
      </c>
      <c r="TW19" s="26">
        <f t="shared" si="172"/>
        <v>0</v>
      </c>
      <c r="TX19" s="26">
        <f t="shared" si="173"/>
        <v>0</v>
      </c>
      <c r="TY19" s="26">
        <f t="shared" si="174"/>
        <v>0</v>
      </c>
      <c r="TZ19" s="26">
        <f t="shared" si="175"/>
        <v>0</v>
      </c>
      <c r="UA19" s="26">
        <f t="shared" si="176"/>
        <v>0</v>
      </c>
      <c r="UB19" s="26">
        <f t="shared" si="177"/>
        <v>0</v>
      </c>
      <c r="UC19" s="26">
        <f t="shared" si="178"/>
        <v>0</v>
      </c>
      <c r="UD19" s="26">
        <f t="shared" si="179"/>
        <v>0</v>
      </c>
      <c r="UE19" s="28" t="s">
        <v>53</v>
      </c>
      <c r="UF19" s="11">
        <f t="shared" si="180"/>
        <v>1.2</v>
      </c>
      <c r="UG19" s="11">
        <f t="shared" si="181"/>
        <v>18.5</v>
      </c>
      <c r="UH19" s="11">
        <f t="shared" si="182"/>
        <v>10.199999999999999</v>
      </c>
      <c r="UI19" s="11">
        <f t="shared" si="183"/>
        <v>3.5999999999999996</v>
      </c>
      <c r="UJ19" s="11">
        <f t="shared" si="184"/>
        <v>28.7</v>
      </c>
      <c r="UK19" s="11" t="str">
        <f t="shared" si="185"/>
        <v/>
      </c>
      <c r="UL19" s="11" t="str">
        <f t="shared" si="186"/>
        <v/>
      </c>
      <c r="UM19" s="11">
        <f t="shared" si="187"/>
        <v>28.7</v>
      </c>
    </row>
    <row r="20" spans="1:559" x14ac:dyDescent="0.2">
      <c r="A20" s="4" t="str" cm="1">
        <f t="array" ref="A20">IF(AND(H20&lt;&gt;"",H20&lt;&gt;"No DD"),SUMPRODUCT((H$4:H$23&lt;&gt;"")*(H$4:H$23&lt;&gt;"No DD")*(E$4:E$23&gt;E20))+1,IF(H20="No DD",SUMPRODUCT((H$4:H$23="No DD")*(E$4:E$23&gt;E20))+1+SUMPRODUCT((H$4:H$23&lt;&gt;"")*(H$4:H$23&lt;&gt;"No DD")),""))</f>
        <v/>
      </c>
      <c r="B20" s="5" t="s">
        <v>124</v>
      </c>
      <c r="C20" s="4" t="s">
        <v>36</v>
      </c>
      <c r="D20" s="4">
        <v>2000</v>
      </c>
      <c r="E20" s="9">
        <f t="shared" si="0"/>
        <v>116.02500915750366</v>
      </c>
      <c r="F20" s="3" t="str">
        <f t="shared" si="1"/>
        <v/>
      </c>
      <c r="G20" s="3" t="str">
        <f t="shared" si="2"/>
        <v/>
      </c>
      <c r="H20" s="36" t="str">
        <f t="shared" si="3"/>
        <v/>
      </c>
      <c r="I20" s="3" t="str">
        <f t="shared" si="4"/>
        <v/>
      </c>
      <c r="J20" s="8">
        <f>IF(COUNT(AQ20,BT20,CW20)&gt;0,LARGE((AQ20,BT20,CW20),1),0)</f>
        <v>36.450000000000003</v>
      </c>
      <c r="K20" s="8" t="str">
        <f t="shared" si="5"/>
        <v>2024 Elite Canada</v>
      </c>
      <c r="L20" s="8">
        <f>IF(COUNT(AQ20,BT20,CW20)&gt;1,LARGE((AQ20,BT20,CW20),2),0)</f>
        <v>30.775000000000002</v>
      </c>
      <c r="M20" s="8" t="str">
        <f t="shared" si="6"/>
        <v>2024 Nationals</v>
      </c>
      <c r="N20" s="8">
        <f>IF(COUNT(AR20,BU20,CX20)&gt;0,LARGE((AR20,BU20,CX20),1),0)</f>
        <v>24.35</v>
      </c>
      <c r="O20" s="8" t="str">
        <f t="shared" si="7"/>
        <v>2024 Elite Canada</v>
      </c>
      <c r="P20" s="8">
        <f t="shared" si="8"/>
        <v>24.45</v>
      </c>
      <c r="Q20" s="8" t="str">
        <f t="shared" si="9"/>
        <v>2024 Elite Canada</v>
      </c>
      <c r="R20" s="8" t="str">
        <f t="shared" si="10"/>
        <v/>
      </c>
      <c r="S20" s="11" t="str">
        <f t="shared" si="11"/>
        <v/>
      </c>
      <c r="T20" s="8" t="str">
        <f t="shared" si="12"/>
        <v/>
      </c>
      <c r="U20" s="19">
        <v>18.75</v>
      </c>
      <c r="V20" s="19">
        <v>6</v>
      </c>
      <c r="W20" s="19">
        <v>0</v>
      </c>
      <c r="X20" s="19">
        <v>0</v>
      </c>
      <c r="Y20" s="19">
        <v>8.5</v>
      </c>
      <c r="Z20" s="19">
        <v>3.2</v>
      </c>
      <c r="AA20" s="19">
        <v>0</v>
      </c>
      <c r="AB20" s="19">
        <v>0</v>
      </c>
      <c r="AC20" s="19">
        <v>18.700000000000003</v>
      </c>
      <c r="AD20" s="19">
        <v>5.6</v>
      </c>
      <c r="AE20" s="19">
        <v>0.1</v>
      </c>
      <c r="AF20" s="19">
        <v>0.15</v>
      </c>
      <c r="AG20" s="19">
        <v>9.1999999999999993</v>
      </c>
      <c r="AH20" s="19">
        <v>3</v>
      </c>
      <c r="AI20" s="19">
        <v>0.1</v>
      </c>
      <c r="AJ20" s="19">
        <v>0.15</v>
      </c>
      <c r="AK20" s="19">
        <v>9.3000000000000007</v>
      </c>
      <c r="AL20" s="19">
        <v>3</v>
      </c>
      <c r="AM20" s="19">
        <v>0.1</v>
      </c>
      <c r="AN20" s="19">
        <v>0</v>
      </c>
      <c r="AO20" s="27" t="s">
        <v>53</v>
      </c>
      <c r="AP20" s="40">
        <f t="shared" si="13"/>
        <v>9.1999999999999993</v>
      </c>
      <c r="AQ20" s="40">
        <f t="shared" si="14"/>
        <v>36.450000000000003</v>
      </c>
      <c r="AR20" s="40">
        <f t="shared" si="15"/>
        <v>24.35</v>
      </c>
      <c r="AS20" s="40">
        <f t="shared" si="16"/>
        <v>14.799999999999999</v>
      </c>
      <c r="AT20" s="40">
        <f t="shared" si="17"/>
        <v>60.800000000000004</v>
      </c>
      <c r="AU20" s="40">
        <f t="shared" si="18"/>
        <v>6</v>
      </c>
      <c r="AV20" s="40">
        <f t="shared" si="19"/>
        <v>24.45</v>
      </c>
      <c r="AW20" s="40">
        <f t="shared" si="20"/>
        <v>85.25</v>
      </c>
      <c r="AX20" s="18">
        <v>18.725000000000001</v>
      </c>
      <c r="AY20" s="18">
        <v>6.2</v>
      </c>
      <c r="AZ20" s="18">
        <v>0</v>
      </c>
      <c r="BA20" s="18">
        <v>0</v>
      </c>
      <c r="BB20" s="18">
        <v>4.25</v>
      </c>
      <c r="BC20" s="18">
        <v>1.6</v>
      </c>
      <c r="BD20" s="18">
        <v>0</v>
      </c>
      <c r="BE20" s="18">
        <v>0</v>
      </c>
      <c r="BF20" s="18">
        <v>18.75</v>
      </c>
      <c r="BG20" s="18">
        <v>5.4</v>
      </c>
      <c r="BH20" s="18">
        <v>0.15000000000000002</v>
      </c>
      <c r="BI20" s="18">
        <v>7.4999999999999997E-2</v>
      </c>
      <c r="BJ20" s="18">
        <v>4.5999999999999996</v>
      </c>
      <c r="BK20" s="18">
        <v>1.5</v>
      </c>
      <c r="BL20" s="18">
        <v>0.05</v>
      </c>
      <c r="BM20" s="18">
        <v>7.4999999999999997E-2</v>
      </c>
      <c r="BN20" s="18">
        <v>4.6500000000000004</v>
      </c>
      <c r="BO20" s="18">
        <v>1.5</v>
      </c>
      <c r="BP20" s="18">
        <v>0.05</v>
      </c>
      <c r="BQ20" s="18">
        <v>0</v>
      </c>
      <c r="BR20" s="28" t="s">
        <v>53</v>
      </c>
      <c r="BS20" s="11">
        <f t="shared" si="21"/>
        <v>7.8000000000000007</v>
      </c>
      <c r="BT20" s="11">
        <f t="shared" si="22"/>
        <v>30.775000000000002</v>
      </c>
      <c r="BU20" s="11">
        <f t="shared" si="23"/>
        <v>24.074999999999999</v>
      </c>
      <c r="BV20" s="11">
        <f t="shared" si="24"/>
        <v>13.200000000000001</v>
      </c>
      <c r="BW20" s="11">
        <f t="shared" si="25"/>
        <v>54.85</v>
      </c>
      <c r="BX20" s="11">
        <f t="shared" si="26"/>
        <v>3</v>
      </c>
      <c r="BY20" s="11">
        <f t="shared" si="27"/>
        <v>12.225</v>
      </c>
      <c r="BZ20" s="11">
        <f t="shared" si="28"/>
        <v>67.075000000000003</v>
      </c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7"/>
      <c r="CV20" s="40" t="str">
        <f t="shared" si="29"/>
        <v/>
      </c>
      <c r="CW20" s="40" t="str">
        <f t="shared" si="30"/>
        <v/>
      </c>
      <c r="CX20" s="40" t="str">
        <f t="shared" si="31"/>
        <v/>
      </c>
      <c r="CY20" s="40" t="str">
        <f t="shared" si="32"/>
        <v/>
      </c>
      <c r="CZ20" s="40" t="str">
        <f t="shared" si="33"/>
        <v/>
      </c>
      <c r="DA20" s="40" t="str">
        <f t="shared" si="34"/>
        <v/>
      </c>
      <c r="DB20" s="40" t="str">
        <f t="shared" si="35"/>
        <v/>
      </c>
      <c r="DC20" s="40" t="str">
        <f t="shared" si="36"/>
        <v/>
      </c>
      <c r="DD20" s="51" t="str">
        <f t="shared" si="37"/>
        <v/>
      </c>
      <c r="DE20" s="51" t="str">
        <f t="shared" si="38"/>
        <v/>
      </c>
      <c r="DF20" s="51" t="str">
        <f t="shared" si="39"/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 t="shared" si="40"/>
        <v/>
      </c>
      <c r="EB20" s="40" t="str">
        <f t="shared" si="41"/>
        <v/>
      </c>
      <c r="EC20" s="40" t="str">
        <f t="shared" si="42"/>
        <v/>
      </c>
      <c r="ED20" s="40" t="str">
        <f t="shared" si="43"/>
        <v/>
      </c>
      <c r="EE20" s="40" t="str">
        <f t="shared" si="44"/>
        <v/>
      </c>
      <c r="EF20" s="40" t="str">
        <f t="shared" si="45"/>
        <v/>
      </c>
      <c r="EG20" s="40" t="str">
        <f t="shared" si="46"/>
        <v/>
      </c>
      <c r="EH20" s="40" t="str">
        <f t="shared" si="47"/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 t="shared" si="48"/>
        <v/>
      </c>
      <c r="FD20" s="11" t="str">
        <f t="shared" si="49"/>
        <v/>
      </c>
      <c r="FE20" s="11" t="str">
        <f t="shared" si="50"/>
        <v/>
      </c>
      <c r="FF20" s="11" t="str">
        <f t="shared" si="51"/>
        <v/>
      </c>
      <c r="FG20" s="11" t="str">
        <f t="shared" si="52"/>
        <v/>
      </c>
      <c r="FH20" s="11" t="str">
        <f t="shared" si="53"/>
        <v/>
      </c>
      <c r="FI20" s="11" t="str">
        <f t="shared" si="54"/>
        <v/>
      </c>
      <c r="FJ20" s="11" t="str">
        <f t="shared" si="55"/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 t="shared" si="56"/>
        <v/>
      </c>
      <c r="GF20" s="40" t="str">
        <f t="shared" si="57"/>
        <v/>
      </c>
      <c r="GG20" s="40" t="str">
        <f t="shared" si="58"/>
        <v/>
      </c>
      <c r="GH20" s="40" t="str">
        <f t="shared" si="59"/>
        <v/>
      </c>
      <c r="GI20" s="40" t="str">
        <f t="shared" si="60"/>
        <v/>
      </c>
      <c r="GJ20" s="40" t="str">
        <f t="shared" si="61"/>
        <v/>
      </c>
      <c r="GK20" s="40" t="str">
        <f t="shared" si="62"/>
        <v/>
      </c>
      <c r="GL20" s="40" t="str">
        <f t="shared" si="63"/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 t="shared" si="64"/>
        <v/>
      </c>
      <c r="HH20" s="11" t="str">
        <f t="shared" si="65"/>
        <v/>
      </c>
      <c r="HI20" s="11" t="str">
        <f t="shared" si="66"/>
        <v/>
      </c>
      <c r="HJ20" s="11" t="str">
        <f t="shared" si="67"/>
        <v/>
      </c>
      <c r="HK20" s="11" t="str">
        <f t="shared" si="68"/>
        <v/>
      </c>
      <c r="HL20" s="11" t="str">
        <f t="shared" si="69"/>
        <v/>
      </c>
      <c r="HM20" s="11" t="str">
        <f t="shared" si="70"/>
        <v/>
      </c>
      <c r="HN20" s="11" t="str">
        <f t="shared" si="71"/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 t="shared" si="72"/>
        <v/>
      </c>
      <c r="IJ20" s="40" t="str">
        <f t="shared" si="73"/>
        <v/>
      </c>
      <c r="IK20" s="40" t="str">
        <f t="shared" si="74"/>
        <v/>
      </c>
      <c r="IL20" s="40" t="str">
        <f t="shared" si="75"/>
        <v/>
      </c>
      <c r="IM20" s="40" t="str">
        <f t="shared" si="76"/>
        <v/>
      </c>
      <c r="IN20" s="40" t="str">
        <f t="shared" si="77"/>
        <v/>
      </c>
      <c r="IO20" s="40" t="str">
        <f t="shared" si="78"/>
        <v/>
      </c>
      <c r="IP20" s="40" t="str">
        <f t="shared" si="79"/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 t="shared" si="80"/>
        <v/>
      </c>
      <c r="JL20" s="11" t="str">
        <f t="shared" si="81"/>
        <v/>
      </c>
      <c r="JM20" s="11" t="str">
        <f t="shared" si="82"/>
        <v/>
      </c>
      <c r="JN20" s="11" t="str">
        <f t="shared" si="83"/>
        <v/>
      </c>
      <c r="JO20" s="11" t="str">
        <f t="shared" si="84"/>
        <v/>
      </c>
      <c r="JP20" s="11" t="str">
        <f t="shared" si="85"/>
        <v/>
      </c>
      <c r="JQ20" s="11" t="str">
        <f t="shared" si="86"/>
        <v/>
      </c>
      <c r="JR20" s="11" t="str">
        <f t="shared" si="87"/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 t="shared" si="88"/>
        <v/>
      </c>
      <c r="KN20" s="40" t="str">
        <f t="shared" si="89"/>
        <v/>
      </c>
      <c r="KO20" s="40" t="str">
        <f t="shared" si="90"/>
        <v/>
      </c>
      <c r="KP20" s="40" t="str">
        <f t="shared" si="91"/>
        <v/>
      </c>
      <c r="KQ20" s="40" t="str">
        <f t="shared" si="92"/>
        <v/>
      </c>
      <c r="KR20" s="40" t="str">
        <f t="shared" si="93"/>
        <v/>
      </c>
      <c r="KS20" s="40" t="str">
        <f t="shared" si="94"/>
        <v/>
      </c>
      <c r="KT20" s="40" t="str">
        <f t="shared" si="95"/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 t="shared" si="96"/>
        <v/>
      </c>
      <c r="LP20" s="11" t="str">
        <f t="shared" si="97"/>
        <v/>
      </c>
      <c r="LQ20" s="11" t="str">
        <f t="shared" si="98"/>
        <v/>
      </c>
      <c r="LR20" s="11" t="str">
        <f t="shared" si="99"/>
        <v/>
      </c>
      <c r="LS20" s="11" t="str">
        <f t="shared" si="100"/>
        <v/>
      </c>
      <c r="LT20" s="11" t="str">
        <f t="shared" si="101"/>
        <v/>
      </c>
      <c r="LU20" s="11" t="str">
        <f t="shared" si="102"/>
        <v/>
      </c>
      <c r="LV20" s="11" t="str">
        <f t="shared" si="103"/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 t="shared" si="104"/>
        <v/>
      </c>
      <c r="MR20" s="40" t="str">
        <f t="shared" si="105"/>
        <v/>
      </c>
      <c r="MS20" s="40" t="str">
        <f t="shared" si="106"/>
        <v/>
      </c>
      <c r="MT20" s="40" t="str">
        <f t="shared" si="107"/>
        <v/>
      </c>
      <c r="MU20" s="40" t="str">
        <f t="shared" si="108"/>
        <v/>
      </c>
      <c r="MV20" s="40" t="str">
        <f t="shared" si="109"/>
        <v/>
      </c>
      <c r="MW20" s="40" t="str">
        <f t="shared" si="110"/>
        <v/>
      </c>
      <c r="MX20" s="40" t="str">
        <f t="shared" si="111"/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 t="shared" si="112"/>
        <v/>
      </c>
      <c r="NT20" s="11" t="str">
        <f t="shared" si="113"/>
        <v/>
      </c>
      <c r="NU20" s="11" t="str">
        <f t="shared" si="114"/>
        <v/>
      </c>
      <c r="NV20" s="11" t="str">
        <f t="shared" si="115"/>
        <v/>
      </c>
      <c r="NW20" s="11" t="str">
        <f t="shared" si="116"/>
        <v/>
      </c>
      <c r="NX20" s="11" t="str">
        <f t="shared" si="117"/>
        <v/>
      </c>
      <c r="NY20" s="11" t="str">
        <f t="shared" si="118"/>
        <v/>
      </c>
      <c r="NZ20" s="11" t="str">
        <f t="shared" si="119"/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 t="shared" si="120"/>
        <v/>
      </c>
      <c r="OV20" s="40" t="str">
        <f t="shared" si="121"/>
        <v/>
      </c>
      <c r="OW20" s="40" t="str">
        <f t="shared" si="122"/>
        <v/>
      </c>
      <c r="OX20" s="40" t="str">
        <f t="shared" si="123"/>
        <v/>
      </c>
      <c r="OY20" s="40" t="str">
        <f t="shared" si="124"/>
        <v/>
      </c>
      <c r="OZ20" s="40" t="str">
        <f t="shared" si="125"/>
        <v/>
      </c>
      <c r="PA20" s="40" t="str">
        <f t="shared" si="126"/>
        <v/>
      </c>
      <c r="PB20" s="40" t="str">
        <f t="shared" si="127"/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 t="shared" si="128"/>
        <v/>
      </c>
      <c r="PX20" s="11" t="str">
        <f t="shared" si="129"/>
        <v/>
      </c>
      <c r="PY20" s="11" t="str">
        <f t="shared" si="130"/>
        <v/>
      </c>
      <c r="PZ20" s="11" t="str">
        <f t="shared" si="131"/>
        <v/>
      </c>
      <c r="QA20" s="11" t="str">
        <f t="shared" si="132"/>
        <v/>
      </c>
      <c r="QB20" s="11" t="str">
        <f t="shared" si="133"/>
        <v/>
      </c>
      <c r="QC20" s="11" t="str">
        <f t="shared" si="134"/>
        <v/>
      </c>
      <c r="QD20" s="11" t="str">
        <f t="shared" si="135"/>
        <v/>
      </c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40" t="str">
        <f t="shared" si="136"/>
        <v/>
      </c>
      <c r="QZ20" s="40" t="str">
        <f t="shared" si="137"/>
        <v/>
      </c>
      <c r="RA20" s="40" t="str">
        <f t="shared" si="138"/>
        <v/>
      </c>
      <c r="RB20" s="40" t="str">
        <f t="shared" si="139"/>
        <v/>
      </c>
      <c r="RC20" s="40" t="str">
        <f t="shared" si="140"/>
        <v/>
      </c>
      <c r="RD20" s="40" t="str">
        <f t="shared" si="141"/>
        <v/>
      </c>
      <c r="RE20" s="40" t="str">
        <f t="shared" si="142"/>
        <v/>
      </c>
      <c r="RF20" s="40" t="str">
        <f t="shared" si="143"/>
        <v/>
      </c>
      <c r="RG20" s="18"/>
      <c r="RH20" s="18"/>
      <c r="RI20" s="18"/>
      <c r="RJ20" s="18"/>
      <c r="RK20" s="18"/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1" t="str">
        <f t="shared" si="144"/>
        <v/>
      </c>
      <c r="SB20" s="11" t="str">
        <f t="shared" si="145"/>
        <v/>
      </c>
      <c r="SC20" s="11" t="str">
        <f t="shared" si="146"/>
        <v/>
      </c>
      <c r="SD20" s="11" t="str">
        <f t="shared" si="147"/>
        <v/>
      </c>
      <c r="SE20" s="11" t="str">
        <f t="shared" si="148"/>
        <v/>
      </c>
      <c r="SF20" s="11" t="str">
        <f t="shared" si="149"/>
        <v/>
      </c>
      <c r="SG20" s="11" t="str">
        <f t="shared" si="150"/>
        <v/>
      </c>
      <c r="SH20" s="11" t="str">
        <f t="shared" si="151"/>
        <v/>
      </c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40" t="str">
        <f t="shared" si="152"/>
        <v/>
      </c>
      <c r="TD20" s="40" t="str">
        <f t="shared" si="153"/>
        <v/>
      </c>
      <c r="TE20" s="40" t="str">
        <f t="shared" si="154"/>
        <v/>
      </c>
      <c r="TF20" s="40" t="str">
        <f t="shared" si="155"/>
        <v/>
      </c>
      <c r="TG20" s="40" t="str">
        <f t="shared" si="156"/>
        <v/>
      </c>
      <c r="TH20" s="40" t="str">
        <f t="shared" si="157"/>
        <v/>
      </c>
      <c r="TI20" s="40" t="str">
        <f t="shared" si="158"/>
        <v/>
      </c>
      <c r="TJ20" s="40" t="str">
        <f t="shared" si="159"/>
        <v/>
      </c>
      <c r="TK20" s="26">
        <f t="shared" si="160"/>
        <v>9.3625000000000007</v>
      </c>
      <c r="TL20" s="26">
        <f t="shared" si="161"/>
        <v>3.1</v>
      </c>
      <c r="TM20" s="26">
        <f t="shared" si="162"/>
        <v>0</v>
      </c>
      <c r="TN20" s="26">
        <f t="shared" si="163"/>
        <v>0</v>
      </c>
      <c r="TO20" s="26">
        <f t="shared" si="164"/>
        <v>2.125</v>
      </c>
      <c r="TP20" s="26">
        <f t="shared" si="165"/>
        <v>0.8</v>
      </c>
      <c r="TQ20" s="26">
        <f t="shared" si="166"/>
        <v>0</v>
      </c>
      <c r="TR20" s="26">
        <f t="shared" si="167"/>
        <v>0</v>
      </c>
      <c r="TS20" s="26">
        <f t="shared" si="168"/>
        <v>9.375</v>
      </c>
      <c r="TT20" s="26">
        <f t="shared" si="169"/>
        <v>2.7</v>
      </c>
      <c r="TU20" s="26">
        <f t="shared" si="170"/>
        <v>7.5000000000000011E-2</v>
      </c>
      <c r="TV20" s="26">
        <f t="shared" si="171"/>
        <v>3.7499999999999999E-2</v>
      </c>
      <c r="TW20" s="26">
        <f t="shared" si="172"/>
        <v>2.2999999999999998</v>
      </c>
      <c r="TX20" s="26">
        <f t="shared" si="173"/>
        <v>0.75</v>
      </c>
      <c r="TY20" s="26">
        <f t="shared" si="174"/>
        <v>2.5000000000000001E-2</v>
      </c>
      <c r="TZ20" s="26">
        <f t="shared" si="175"/>
        <v>3.7499999999999999E-2</v>
      </c>
      <c r="UA20" s="26">
        <f t="shared" si="176"/>
        <v>2.3250000000000002</v>
      </c>
      <c r="UB20" s="26">
        <f t="shared" si="177"/>
        <v>0.75</v>
      </c>
      <c r="UC20" s="26">
        <f t="shared" si="178"/>
        <v>2.5000000000000001E-2</v>
      </c>
      <c r="UD20" s="26">
        <f t="shared" si="179"/>
        <v>0</v>
      </c>
      <c r="UE20" s="28" t="s">
        <v>53</v>
      </c>
      <c r="UF20" s="11">
        <f t="shared" si="180"/>
        <v>3.9000000000000004</v>
      </c>
      <c r="UG20" s="11">
        <f t="shared" si="181"/>
        <v>15.387500000000001</v>
      </c>
      <c r="UH20" s="11">
        <f t="shared" si="182"/>
        <v>12.0375</v>
      </c>
      <c r="UI20" s="11">
        <f t="shared" si="183"/>
        <v>6.6000000000000005</v>
      </c>
      <c r="UJ20" s="11">
        <f t="shared" si="184"/>
        <v>27.425000000000001</v>
      </c>
      <c r="UK20" s="11">
        <f t="shared" si="185"/>
        <v>1.5</v>
      </c>
      <c r="UL20" s="11">
        <f t="shared" si="186"/>
        <v>6.1124999999999998</v>
      </c>
      <c r="UM20" s="11">
        <f t="shared" si="187"/>
        <v>33.537500000000001</v>
      </c>
    </row>
    <row r="21" spans="1:559" x14ac:dyDescent="0.2">
      <c r="A21" s="4" t="str" cm="1">
        <f t="array" ref="A21">IF(AND(H21&lt;&gt;"",H21&lt;&gt;"No DD"),SUMPRODUCT((H$4:H$23&lt;&gt;"")*(H$4:H$23&lt;&gt;"No DD")*(E$4:E$23&gt;E21))+1,IF(H21="No DD",SUMPRODUCT((H$4:H$23="No DD")*(E$4:E$23&gt;E21))+1+SUMPRODUCT((H$4:H$23&lt;&gt;"")*(H$4:H$23&lt;&gt;"No DD")),""))</f>
        <v/>
      </c>
      <c r="B21" s="5" t="s">
        <v>176</v>
      </c>
      <c r="C21" s="4" t="s">
        <v>5</v>
      </c>
      <c r="D21" s="4">
        <v>2006</v>
      </c>
      <c r="E21" s="9">
        <f t="shared" si="0"/>
        <v>114.75000684000476</v>
      </c>
      <c r="F21" s="3" t="str">
        <f t="shared" si="1"/>
        <v/>
      </c>
      <c r="G21" s="3" t="str">
        <f t="shared" si="2"/>
        <v/>
      </c>
      <c r="H21" s="36" t="str">
        <f t="shared" si="3"/>
        <v/>
      </c>
      <c r="I21" s="3" t="str">
        <f t="shared" si="4"/>
        <v/>
      </c>
      <c r="J21" s="8">
        <f>IF(COUNT(AQ21,BT21,CW21)&gt;0,LARGE((AQ21,BT21,CW21),1),0)</f>
        <v>47.6</v>
      </c>
      <c r="K21" s="8" t="str">
        <f t="shared" si="5"/>
        <v>2024 Elite Canada</v>
      </c>
      <c r="L21" s="8">
        <f>IF(COUNT(AQ21,BT21,CW21)&gt;1,LARGE((AQ21,BT21,CW21),2),0)</f>
        <v>0</v>
      </c>
      <c r="M21" s="8" t="str">
        <f t="shared" si="6"/>
        <v/>
      </c>
      <c r="N21" s="8">
        <f>IF(COUNT(AR21,BU21,CX21)&gt;0,LARGE((AR21,BU21,CX21),1),0)</f>
        <v>20.8</v>
      </c>
      <c r="O21" s="8" t="str">
        <f t="shared" si="7"/>
        <v>2024 Elite Canada</v>
      </c>
      <c r="P21" s="8">
        <f t="shared" si="8"/>
        <v>46.35</v>
      </c>
      <c r="Q21" s="8" t="str">
        <f t="shared" si="9"/>
        <v>2024 Elite Canada</v>
      </c>
      <c r="R21" s="8" t="str">
        <f t="shared" si="10"/>
        <v/>
      </c>
      <c r="S21" s="11" t="str">
        <f t="shared" si="11"/>
        <v/>
      </c>
      <c r="T21" s="8" t="str">
        <f t="shared" si="12"/>
        <v/>
      </c>
      <c r="U21" s="19">
        <v>18.549999999999997</v>
      </c>
      <c r="V21" s="19">
        <v>5.6</v>
      </c>
      <c r="W21" s="19">
        <v>0.4</v>
      </c>
      <c r="X21" s="19">
        <v>0</v>
      </c>
      <c r="Y21" s="19">
        <v>18.350000000000001</v>
      </c>
      <c r="Z21" s="19">
        <v>6</v>
      </c>
      <c r="AA21" s="19">
        <v>0.5</v>
      </c>
      <c r="AB21" s="19">
        <v>0</v>
      </c>
      <c r="AC21" s="19">
        <v>17.45</v>
      </c>
      <c r="AD21" s="19">
        <v>3.6</v>
      </c>
      <c r="AE21" s="19">
        <v>0.4</v>
      </c>
      <c r="AF21" s="19">
        <v>0.15</v>
      </c>
      <c r="AG21" s="19">
        <v>18.149999999999999</v>
      </c>
      <c r="AH21" s="19">
        <v>5.1999999999999993</v>
      </c>
      <c r="AI21" s="19">
        <v>0.1</v>
      </c>
      <c r="AJ21" s="19">
        <v>0</v>
      </c>
      <c r="AK21" s="19">
        <v>18.2</v>
      </c>
      <c r="AL21" s="19">
        <v>5.6</v>
      </c>
      <c r="AM21" s="19">
        <v>0.7</v>
      </c>
      <c r="AN21" s="19">
        <v>0</v>
      </c>
      <c r="AO21" s="27" t="s">
        <v>53</v>
      </c>
      <c r="AP21" s="40">
        <f t="shared" si="13"/>
        <v>11.6</v>
      </c>
      <c r="AQ21" s="40">
        <f t="shared" si="14"/>
        <v>47.6</v>
      </c>
      <c r="AR21" s="40">
        <f t="shared" si="15"/>
        <v>20.8</v>
      </c>
      <c r="AS21" s="40">
        <f t="shared" si="16"/>
        <v>15.2</v>
      </c>
      <c r="AT21" s="40">
        <f t="shared" si="17"/>
        <v>68.400000000000006</v>
      </c>
      <c r="AU21" s="40">
        <f t="shared" si="18"/>
        <v>10.799999999999999</v>
      </c>
      <c r="AV21" s="40">
        <f t="shared" si="19"/>
        <v>46.35</v>
      </c>
      <c r="AW21" s="40">
        <f t="shared" si="20"/>
        <v>114.75</v>
      </c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28"/>
      <c r="BS21" s="11" t="str">
        <f t="shared" si="21"/>
        <v/>
      </c>
      <c r="BT21" s="11" t="str">
        <f t="shared" si="22"/>
        <v/>
      </c>
      <c r="BU21" s="11" t="str">
        <f t="shared" si="23"/>
        <v/>
      </c>
      <c r="BV21" s="11" t="str">
        <f t="shared" si="24"/>
        <v/>
      </c>
      <c r="BW21" s="11" t="str">
        <f t="shared" si="25"/>
        <v/>
      </c>
      <c r="BX21" s="11" t="str">
        <f t="shared" si="26"/>
        <v/>
      </c>
      <c r="BY21" s="11" t="str">
        <f t="shared" si="27"/>
        <v/>
      </c>
      <c r="BZ21" s="11" t="str">
        <f t="shared" si="28"/>
        <v/>
      </c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27"/>
      <c r="CV21" s="40" t="str">
        <f t="shared" si="29"/>
        <v/>
      </c>
      <c r="CW21" s="40" t="str">
        <f t="shared" si="30"/>
        <v/>
      </c>
      <c r="CX21" s="40" t="str">
        <f t="shared" si="31"/>
        <v/>
      </c>
      <c r="CY21" s="40" t="str">
        <f t="shared" si="32"/>
        <v/>
      </c>
      <c r="CZ21" s="40" t="str">
        <f t="shared" si="33"/>
        <v/>
      </c>
      <c r="DA21" s="40" t="str">
        <f t="shared" si="34"/>
        <v/>
      </c>
      <c r="DB21" s="40" t="str">
        <f t="shared" si="35"/>
        <v/>
      </c>
      <c r="DC21" s="40" t="str">
        <f t="shared" si="36"/>
        <v/>
      </c>
      <c r="DD21" s="51" t="str">
        <f t="shared" si="37"/>
        <v/>
      </c>
      <c r="DE21" s="51" t="str">
        <f t="shared" si="38"/>
        <v/>
      </c>
      <c r="DF21" s="51" t="str">
        <f t="shared" si="39"/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0" t="str">
        <f t="shared" si="40"/>
        <v/>
      </c>
      <c r="EB21" s="40" t="str">
        <f t="shared" si="41"/>
        <v/>
      </c>
      <c r="EC21" s="40" t="str">
        <f t="shared" si="42"/>
        <v/>
      </c>
      <c r="ED21" s="40" t="str">
        <f t="shared" si="43"/>
        <v/>
      </c>
      <c r="EE21" s="40" t="str">
        <f t="shared" si="44"/>
        <v/>
      </c>
      <c r="EF21" s="40" t="str">
        <f t="shared" si="45"/>
        <v/>
      </c>
      <c r="EG21" s="40" t="str">
        <f t="shared" si="46"/>
        <v/>
      </c>
      <c r="EH21" s="40" t="str">
        <f t="shared" si="47"/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 t="shared" si="48"/>
        <v/>
      </c>
      <c r="FD21" s="11" t="str">
        <f t="shared" si="49"/>
        <v/>
      </c>
      <c r="FE21" s="11" t="str">
        <f t="shared" si="50"/>
        <v/>
      </c>
      <c r="FF21" s="11" t="str">
        <f t="shared" si="51"/>
        <v/>
      </c>
      <c r="FG21" s="11" t="str">
        <f t="shared" si="52"/>
        <v/>
      </c>
      <c r="FH21" s="11" t="str">
        <f t="shared" si="53"/>
        <v/>
      </c>
      <c r="FI21" s="11" t="str">
        <f t="shared" si="54"/>
        <v/>
      </c>
      <c r="FJ21" s="11" t="str">
        <f t="shared" si="55"/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0" t="str">
        <f t="shared" si="56"/>
        <v/>
      </c>
      <c r="GF21" s="40" t="str">
        <f t="shared" si="57"/>
        <v/>
      </c>
      <c r="GG21" s="40" t="str">
        <f t="shared" si="58"/>
        <v/>
      </c>
      <c r="GH21" s="40" t="str">
        <f t="shared" si="59"/>
        <v/>
      </c>
      <c r="GI21" s="40" t="str">
        <f t="shared" si="60"/>
        <v/>
      </c>
      <c r="GJ21" s="40" t="str">
        <f t="shared" si="61"/>
        <v/>
      </c>
      <c r="GK21" s="40" t="str">
        <f t="shared" si="62"/>
        <v/>
      </c>
      <c r="GL21" s="40" t="str">
        <f t="shared" si="63"/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 t="shared" si="64"/>
        <v/>
      </c>
      <c r="HH21" s="11" t="str">
        <f t="shared" si="65"/>
        <v/>
      </c>
      <c r="HI21" s="11" t="str">
        <f t="shared" si="66"/>
        <v/>
      </c>
      <c r="HJ21" s="11" t="str">
        <f t="shared" si="67"/>
        <v/>
      </c>
      <c r="HK21" s="11" t="str">
        <f t="shared" si="68"/>
        <v/>
      </c>
      <c r="HL21" s="11" t="str">
        <f t="shared" si="69"/>
        <v/>
      </c>
      <c r="HM21" s="11" t="str">
        <f t="shared" si="70"/>
        <v/>
      </c>
      <c r="HN21" s="11" t="str">
        <f t="shared" si="71"/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0" t="str">
        <f t="shared" si="72"/>
        <v/>
      </c>
      <c r="IJ21" s="40" t="str">
        <f t="shared" si="73"/>
        <v/>
      </c>
      <c r="IK21" s="40" t="str">
        <f t="shared" si="74"/>
        <v/>
      </c>
      <c r="IL21" s="40" t="str">
        <f t="shared" si="75"/>
        <v/>
      </c>
      <c r="IM21" s="40" t="str">
        <f t="shared" si="76"/>
        <v/>
      </c>
      <c r="IN21" s="40" t="str">
        <f t="shared" si="77"/>
        <v/>
      </c>
      <c r="IO21" s="40" t="str">
        <f t="shared" si="78"/>
        <v/>
      </c>
      <c r="IP21" s="40" t="str">
        <f t="shared" si="79"/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 t="shared" si="80"/>
        <v/>
      </c>
      <c r="JL21" s="11" t="str">
        <f t="shared" si="81"/>
        <v/>
      </c>
      <c r="JM21" s="11" t="str">
        <f t="shared" si="82"/>
        <v/>
      </c>
      <c r="JN21" s="11" t="str">
        <f t="shared" si="83"/>
        <v/>
      </c>
      <c r="JO21" s="11" t="str">
        <f t="shared" si="84"/>
        <v/>
      </c>
      <c r="JP21" s="11" t="str">
        <f t="shared" si="85"/>
        <v/>
      </c>
      <c r="JQ21" s="11" t="str">
        <f t="shared" si="86"/>
        <v/>
      </c>
      <c r="JR21" s="11" t="str">
        <f t="shared" si="87"/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0" t="str">
        <f t="shared" si="88"/>
        <v/>
      </c>
      <c r="KN21" s="40" t="str">
        <f t="shared" si="89"/>
        <v/>
      </c>
      <c r="KO21" s="40" t="str">
        <f t="shared" si="90"/>
        <v/>
      </c>
      <c r="KP21" s="40" t="str">
        <f t="shared" si="91"/>
        <v/>
      </c>
      <c r="KQ21" s="40" t="str">
        <f t="shared" si="92"/>
        <v/>
      </c>
      <c r="KR21" s="40" t="str">
        <f t="shared" si="93"/>
        <v/>
      </c>
      <c r="KS21" s="40" t="str">
        <f t="shared" si="94"/>
        <v/>
      </c>
      <c r="KT21" s="40" t="str">
        <f t="shared" si="95"/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 t="shared" si="96"/>
        <v/>
      </c>
      <c r="LP21" s="11" t="str">
        <f t="shared" si="97"/>
        <v/>
      </c>
      <c r="LQ21" s="11" t="str">
        <f t="shared" si="98"/>
        <v/>
      </c>
      <c r="LR21" s="11" t="str">
        <f t="shared" si="99"/>
        <v/>
      </c>
      <c r="LS21" s="11" t="str">
        <f t="shared" si="100"/>
        <v/>
      </c>
      <c r="LT21" s="11" t="str">
        <f t="shared" si="101"/>
        <v/>
      </c>
      <c r="LU21" s="11" t="str">
        <f t="shared" si="102"/>
        <v/>
      </c>
      <c r="LV21" s="11" t="str">
        <f t="shared" si="103"/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0" t="str">
        <f t="shared" si="104"/>
        <v/>
      </c>
      <c r="MR21" s="40" t="str">
        <f t="shared" si="105"/>
        <v/>
      </c>
      <c r="MS21" s="40" t="str">
        <f t="shared" si="106"/>
        <v/>
      </c>
      <c r="MT21" s="40" t="str">
        <f t="shared" si="107"/>
        <v/>
      </c>
      <c r="MU21" s="40" t="str">
        <f t="shared" si="108"/>
        <v/>
      </c>
      <c r="MV21" s="40" t="str">
        <f t="shared" si="109"/>
        <v/>
      </c>
      <c r="MW21" s="40" t="str">
        <f t="shared" si="110"/>
        <v/>
      </c>
      <c r="MX21" s="40" t="str">
        <f t="shared" si="111"/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 t="shared" si="112"/>
        <v/>
      </c>
      <c r="NT21" s="11" t="str">
        <f t="shared" si="113"/>
        <v/>
      </c>
      <c r="NU21" s="11" t="str">
        <f t="shared" si="114"/>
        <v/>
      </c>
      <c r="NV21" s="11" t="str">
        <f t="shared" si="115"/>
        <v/>
      </c>
      <c r="NW21" s="11" t="str">
        <f t="shared" si="116"/>
        <v/>
      </c>
      <c r="NX21" s="11" t="str">
        <f t="shared" si="117"/>
        <v/>
      </c>
      <c r="NY21" s="11" t="str">
        <f t="shared" si="118"/>
        <v/>
      </c>
      <c r="NZ21" s="11" t="str">
        <f t="shared" si="119"/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0" t="str">
        <f t="shared" si="120"/>
        <v/>
      </c>
      <c r="OV21" s="40" t="str">
        <f t="shared" si="121"/>
        <v/>
      </c>
      <c r="OW21" s="40" t="str">
        <f t="shared" si="122"/>
        <v/>
      </c>
      <c r="OX21" s="40" t="str">
        <f t="shared" si="123"/>
        <v/>
      </c>
      <c r="OY21" s="40" t="str">
        <f t="shared" si="124"/>
        <v/>
      </c>
      <c r="OZ21" s="40" t="str">
        <f t="shared" si="125"/>
        <v/>
      </c>
      <c r="PA21" s="40" t="str">
        <f t="shared" si="126"/>
        <v/>
      </c>
      <c r="PB21" s="40" t="str">
        <f t="shared" si="127"/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 t="shared" si="128"/>
        <v/>
      </c>
      <c r="PX21" s="11" t="str">
        <f t="shared" si="129"/>
        <v/>
      </c>
      <c r="PY21" s="11" t="str">
        <f t="shared" si="130"/>
        <v/>
      </c>
      <c r="PZ21" s="11" t="str">
        <f t="shared" si="131"/>
        <v/>
      </c>
      <c r="QA21" s="11" t="str">
        <f t="shared" si="132"/>
        <v/>
      </c>
      <c r="QB21" s="11" t="str">
        <f t="shared" si="133"/>
        <v/>
      </c>
      <c r="QC21" s="11" t="str">
        <f t="shared" si="134"/>
        <v/>
      </c>
      <c r="QD21" s="11" t="str">
        <f t="shared" si="135"/>
        <v/>
      </c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40" t="str">
        <f t="shared" si="136"/>
        <v/>
      </c>
      <c r="QZ21" s="40" t="str">
        <f t="shared" si="137"/>
        <v/>
      </c>
      <c r="RA21" s="40" t="str">
        <f t="shared" si="138"/>
        <v/>
      </c>
      <c r="RB21" s="40" t="str">
        <f t="shared" si="139"/>
        <v/>
      </c>
      <c r="RC21" s="40" t="str">
        <f t="shared" si="140"/>
        <v/>
      </c>
      <c r="RD21" s="40" t="str">
        <f t="shared" si="141"/>
        <v/>
      </c>
      <c r="RE21" s="40" t="str">
        <f t="shared" si="142"/>
        <v/>
      </c>
      <c r="RF21" s="40" t="str">
        <f t="shared" si="143"/>
        <v/>
      </c>
      <c r="RG21" s="18"/>
      <c r="RH21" s="18"/>
      <c r="RI21" s="18"/>
      <c r="RJ21" s="18"/>
      <c r="RK21" s="18"/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1" t="str">
        <f t="shared" si="144"/>
        <v/>
      </c>
      <c r="SB21" s="11" t="str">
        <f t="shared" si="145"/>
        <v/>
      </c>
      <c r="SC21" s="11" t="str">
        <f t="shared" si="146"/>
        <v/>
      </c>
      <c r="SD21" s="11" t="str">
        <f t="shared" si="147"/>
        <v/>
      </c>
      <c r="SE21" s="11" t="str">
        <f t="shared" si="148"/>
        <v/>
      </c>
      <c r="SF21" s="11" t="str">
        <f t="shared" si="149"/>
        <v/>
      </c>
      <c r="SG21" s="11" t="str">
        <f t="shared" si="150"/>
        <v/>
      </c>
      <c r="SH21" s="11" t="str">
        <f t="shared" si="151"/>
        <v/>
      </c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40" t="str">
        <f t="shared" si="152"/>
        <v/>
      </c>
      <c r="TD21" s="40" t="str">
        <f t="shared" si="153"/>
        <v/>
      </c>
      <c r="TE21" s="40" t="str">
        <f t="shared" si="154"/>
        <v/>
      </c>
      <c r="TF21" s="40" t="str">
        <f t="shared" si="155"/>
        <v/>
      </c>
      <c r="TG21" s="40" t="str">
        <f t="shared" si="156"/>
        <v/>
      </c>
      <c r="TH21" s="40" t="str">
        <f t="shared" si="157"/>
        <v/>
      </c>
      <c r="TI21" s="40" t="str">
        <f t="shared" si="158"/>
        <v/>
      </c>
      <c r="TJ21" s="40" t="str">
        <f t="shared" si="159"/>
        <v/>
      </c>
      <c r="TK21" s="26">
        <f t="shared" si="160"/>
        <v>0</v>
      </c>
      <c r="TL21" s="26">
        <f t="shared" si="161"/>
        <v>0</v>
      </c>
      <c r="TM21" s="26">
        <f t="shared" si="162"/>
        <v>0</v>
      </c>
      <c r="TN21" s="26">
        <f t="shared" si="163"/>
        <v>0</v>
      </c>
      <c r="TO21" s="26">
        <f t="shared" si="164"/>
        <v>0</v>
      </c>
      <c r="TP21" s="26">
        <f t="shared" si="165"/>
        <v>0</v>
      </c>
      <c r="TQ21" s="26">
        <f t="shared" si="166"/>
        <v>0</v>
      </c>
      <c r="TR21" s="26">
        <f t="shared" si="167"/>
        <v>0</v>
      </c>
      <c r="TS21" s="26">
        <f t="shared" si="168"/>
        <v>0</v>
      </c>
      <c r="TT21" s="26">
        <f t="shared" si="169"/>
        <v>0</v>
      </c>
      <c r="TU21" s="26">
        <f t="shared" si="170"/>
        <v>0</v>
      </c>
      <c r="TV21" s="26">
        <f t="shared" si="171"/>
        <v>0</v>
      </c>
      <c r="TW21" s="26">
        <f t="shared" si="172"/>
        <v>0</v>
      </c>
      <c r="TX21" s="26">
        <f t="shared" si="173"/>
        <v>0</v>
      </c>
      <c r="TY21" s="26">
        <f t="shared" si="174"/>
        <v>0</v>
      </c>
      <c r="TZ21" s="26">
        <f t="shared" si="175"/>
        <v>0</v>
      </c>
      <c r="UA21" s="26">
        <f t="shared" si="176"/>
        <v>0</v>
      </c>
      <c r="UB21" s="26">
        <f t="shared" si="177"/>
        <v>0</v>
      </c>
      <c r="UC21" s="26">
        <f t="shared" si="178"/>
        <v>0</v>
      </c>
      <c r="UD21" s="26">
        <f t="shared" si="179"/>
        <v>0</v>
      </c>
      <c r="UE21" s="28" t="s">
        <v>53</v>
      </c>
      <c r="UF21" s="11" t="str">
        <f t="shared" si="180"/>
        <v/>
      </c>
      <c r="UG21" s="11" t="str">
        <f t="shared" si="181"/>
        <v/>
      </c>
      <c r="UH21" s="11" t="str">
        <f t="shared" si="182"/>
        <v/>
      </c>
      <c r="UI21" s="11" t="str">
        <f t="shared" si="183"/>
        <v/>
      </c>
      <c r="UJ21" s="11" t="str">
        <f t="shared" si="184"/>
        <v/>
      </c>
      <c r="UK21" s="11" t="str">
        <f t="shared" si="185"/>
        <v/>
      </c>
      <c r="UL21" s="11" t="str">
        <f t="shared" si="186"/>
        <v/>
      </c>
      <c r="UM21" s="11" t="str">
        <f t="shared" si="187"/>
        <v/>
      </c>
    </row>
    <row r="22" spans="1:559" x14ac:dyDescent="0.2">
      <c r="A22" s="4" t="str" cm="1">
        <f t="array" ref="A22">IF(AND(H22&lt;&gt;"",H22&lt;&gt;"No DD"),SUMPRODUCT((H$4:H$23&lt;&gt;"")*(H$4:H$23&lt;&gt;"No DD")*(E$4:E$23&gt;E22))+1,IF(H22="No DD",SUMPRODUCT((H$4:H$23="No DD")*(E$4:E$23&gt;E22))+1+SUMPRODUCT((H$4:H$23&lt;&gt;"")*(H$4:H$23&lt;&gt;"No DD")),""))</f>
        <v/>
      </c>
      <c r="B22" s="5" t="s">
        <v>162</v>
      </c>
      <c r="C22" s="4" t="s">
        <v>6</v>
      </c>
      <c r="D22" s="4">
        <v>2001</v>
      </c>
      <c r="E22" s="9">
        <f t="shared" si="0"/>
        <v>104.00000620000432</v>
      </c>
      <c r="F22" s="3" t="str">
        <f t="shared" si="1"/>
        <v/>
      </c>
      <c r="G22" s="3" t="str">
        <f t="shared" si="2"/>
        <v/>
      </c>
      <c r="H22" s="36" t="str">
        <f t="shared" si="3"/>
        <v/>
      </c>
      <c r="I22" s="3" t="str">
        <f t="shared" si="4"/>
        <v/>
      </c>
      <c r="J22" s="8">
        <f>IF(COUNT(AQ22,BT22,CW22)&gt;0,LARGE((AQ22,BT22,CW22),1),0)</f>
        <v>43.199999999999996</v>
      </c>
      <c r="K22" s="8" t="str">
        <f t="shared" si="5"/>
        <v>2024 Nationals</v>
      </c>
      <c r="L22" s="8">
        <f>IF(COUNT(AQ22,BT22,CW22)&gt;1,LARGE((AQ22,BT22,CW22),2),0)</f>
        <v>0</v>
      </c>
      <c r="M22" s="8" t="str">
        <f t="shared" si="6"/>
        <v/>
      </c>
      <c r="N22" s="8">
        <f>IF(COUNT(AR22,BU22,CX22)&gt;0,LARGE((AR22,BU22,CX22),1),0)</f>
        <v>18.8</v>
      </c>
      <c r="O22" s="8" t="str">
        <f t="shared" si="7"/>
        <v>2024 Nationals</v>
      </c>
      <c r="P22" s="8">
        <f t="shared" si="8"/>
        <v>42</v>
      </c>
      <c r="Q22" s="8" t="str">
        <f t="shared" si="9"/>
        <v>2024 Nationals</v>
      </c>
      <c r="R22" s="8" t="str">
        <f t="shared" si="10"/>
        <v/>
      </c>
      <c r="S22" s="11" t="str">
        <f t="shared" si="11"/>
        <v/>
      </c>
      <c r="T22" s="8" t="str">
        <f t="shared" si="12"/>
        <v/>
      </c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27"/>
      <c r="AP22" s="40" t="str">
        <f t="shared" si="13"/>
        <v/>
      </c>
      <c r="AQ22" s="40" t="str">
        <f t="shared" si="14"/>
        <v/>
      </c>
      <c r="AR22" s="40" t="str">
        <f t="shared" si="15"/>
        <v/>
      </c>
      <c r="AS22" s="40" t="str">
        <f t="shared" si="16"/>
        <v/>
      </c>
      <c r="AT22" s="40" t="str">
        <f t="shared" si="17"/>
        <v/>
      </c>
      <c r="AU22" s="40" t="str">
        <f t="shared" si="18"/>
        <v/>
      </c>
      <c r="AV22" s="40" t="str">
        <f t="shared" si="19"/>
        <v/>
      </c>
      <c r="AW22" s="40" t="str">
        <f t="shared" si="20"/>
        <v/>
      </c>
      <c r="AX22" s="18">
        <v>19</v>
      </c>
      <c r="AY22" s="18">
        <v>3.5</v>
      </c>
      <c r="AZ22" s="18">
        <v>0.9</v>
      </c>
      <c r="BA22" s="18">
        <v>0</v>
      </c>
      <c r="BB22" s="18">
        <v>18.8</v>
      </c>
      <c r="BC22" s="18">
        <v>3.9</v>
      </c>
      <c r="BD22" s="18">
        <v>1.1000000000000001</v>
      </c>
      <c r="BE22" s="18">
        <v>0</v>
      </c>
      <c r="BF22" s="18">
        <v>17.8</v>
      </c>
      <c r="BG22" s="18">
        <v>3</v>
      </c>
      <c r="BH22" s="18">
        <v>2</v>
      </c>
      <c r="BI22" s="18">
        <v>0</v>
      </c>
      <c r="BJ22" s="18">
        <v>17.5</v>
      </c>
      <c r="BK22" s="18">
        <v>3.5</v>
      </c>
      <c r="BL22" s="18">
        <v>0.9</v>
      </c>
      <c r="BM22" s="18">
        <v>0</v>
      </c>
      <c r="BN22" s="18">
        <v>18.7</v>
      </c>
      <c r="BO22" s="18">
        <v>3.9</v>
      </c>
      <c r="BP22" s="18">
        <v>0.7</v>
      </c>
      <c r="BQ22" s="18">
        <v>0</v>
      </c>
      <c r="BR22" s="28"/>
      <c r="BS22" s="11">
        <f t="shared" si="21"/>
        <v>7.4</v>
      </c>
      <c r="BT22" s="11">
        <f t="shared" si="22"/>
        <v>43.199999999999996</v>
      </c>
      <c r="BU22" s="11">
        <f t="shared" si="23"/>
        <v>18.8</v>
      </c>
      <c r="BV22" s="11">
        <f t="shared" si="24"/>
        <v>10.4</v>
      </c>
      <c r="BW22" s="11">
        <f t="shared" si="25"/>
        <v>62</v>
      </c>
      <c r="BX22" s="11">
        <f t="shared" si="26"/>
        <v>7.4</v>
      </c>
      <c r="BY22" s="11">
        <f t="shared" si="27"/>
        <v>42</v>
      </c>
      <c r="BZ22" s="11">
        <f t="shared" si="28"/>
        <v>104</v>
      </c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27"/>
      <c r="CV22" s="40" t="str">
        <f t="shared" si="29"/>
        <v/>
      </c>
      <c r="CW22" s="40" t="str">
        <f t="shared" si="30"/>
        <v/>
      </c>
      <c r="CX22" s="40" t="str">
        <f t="shared" si="31"/>
        <v/>
      </c>
      <c r="CY22" s="40" t="str">
        <f t="shared" si="32"/>
        <v/>
      </c>
      <c r="CZ22" s="40" t="str">
        <f t="shared" si="33"/>
        <v/>
      </c>
      <c r="DA22" s="40" t="str">
        <f t="shared" si="34"/>
        <v/>
      </c>
      <c r="DB22" s="40" t="str">
        <f t="shared" si="35"/>
        <v/>
      </c>
      <c r="DC22" s="40" t="str">
        <f t="shared" si="36"/>
        <v/>
      </c>
      <c r="DD22" s="51" t="str">
        <f t="shared" si="37"/>
        <v/>
      </c>
      <c r="DE22" s="51" t="str">
        <f t="shared" si="38"/>
        <v/>
      </c>
      <c r="DF22" s="51" t="str">
        <f t="shared" si="39"/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0" t="str">
        <f t="shared" si="40"/>
        <v/>
      </c>
      <c r="EB22" s="40" t="str">
        <f t="shared" si="41"/>
        <v/>
      </c>
      <c r="EC22" s="40" t="str">
        <f t="shared" si="42"/>
        <v/>
      </c>
      <c r="ED22" s="40" t="str">
        <f t="shared" si="43"/>
        <v/>
      </c>
      <c r="EE22" s="40" t="str">
        <f t="shared" si="44"/>
        <v/>
      </c>
      <c r="EF22" s="40" t="str">
        <f t="shared" si="45"/>
        <v/>
      </c>
      <c r="EG22" s="40" t="str">
        <f t="shared" si="46"/>
        <v/>
      </c>
      <c r="EH22" s="40" t="str">
        <f t="shared" si="47"/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 t="shared" si="48"/>
        <v/>
      </c>
      <c r="FD22" s="11" t="str">
        <f t="shared" si="49"/>
        <v/>
      </c>
      <c r="FE22" s="11" t="str">
        <f t="shared" si="50"/>
        <v/>
      </c>
      <c r="FF22" s="11" t="str">
        <f t="shared" si="51"/>
        <v/>
      </c>
      <c r="FG22" s="11" t="str">
        <f t="shared" si="52"/>
        <v/>
      </c>
      <c r="FH22" s="11" t="str">
        <f t="shared" si="53"/>
        <v/>
      </c>
      <c r="FI22" s="11" t="str">
        <f t="shared" si="54"/>
        <v/>
      </c>
      <c r="FJ22" s="11" t="str">
        <f t="shared" si="55"/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0" t="str">
        <f t="shared" si="56"/>
        <v/>
      </c>
      <c r="GF22" s="40" t="str">
        <f t="shared" si="57"/>
        <v/>
      </c>
      <c r="GG22" s="40" t="str">
        <f t="shared" si="58"/>
        <v/>
      </c>
      <c r="GH22" s="40" t="str">
        <f t="shared" si="59"/>
        <v/>
      </c>
      <c r="GI22" s="40" t="str">
        <f t="shared" si="60"/>
        <v/>
      </c>
      <c r="GJ22" s="40" t="str">
        <f t="shared" si="61"/>
        <v/>
      </c>
      <c r="GK22" s="40" t="str">
        <f t="shared" si="62"/>
        <v/>
      </c>
      <c r="GL22" s="40" t="str">
        <f t="shared" si="63"/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 t="shared" si="64"/>
        <v/>
      </c>
      <c r="HH22" s="11" t="str">
        <f t="shared" si="65"/>
        <v/>
      </c>
      <c r="HI22" s="11" t="str">
        <f t="shared" si="66"/>
        <v/>
      </c>
      <c r="HJ22" s="11" t="str">
        <f t="shared" si="67"/>
        <v/>
      </c>
      <c r="HK22" s="11" t="str">
        <f t="shared" si="68"/>
        <v/>
      </c>
      <c r="HL22" s="11" t="str">
        <f t="shared" si="69"/>
        <v/>
      </c>
      <c r="HM22" s="11" t="str">
        <f t="shared" si="70"/>
        <v/>
      </c>
      <c r="HN22" s="11" t="str">
        <f t="shared" si="71"/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0" t="str">
        <f t="shared" si="72"/>
        <v/>
      </c>
      <c r="IJ22" s="40" t="str">
        <f t="shared" si="73"/>
        <v/>
      </c>
      <c r="IK22" s="40" t="str">
        <f t="shared" si="74"/>
        <v/>
      </c>
      <c r="IL22" s="40" t="str">
        <f t="shared" si="75"/>
        <v/>
      </c>
      <c r="IM22" s="40" t="str">
        <f t="shared" si="76"/>
        <v/>
      </c>
      <c r="IN22" s="40" t="str">
        <f t="shared" si="77"/>
        <v/>
      </c>
      <c r="IO22" s="40" t="str">
        <f t="shared" si="78"/>
        <v/>
      </c>
      <c r="IP22" s="40" t="str">
        <f t="shared" si="79"/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 t="shared" si="80"/>
        <v/>
      </c>
      <c r="JL22" s="11" t="str">
        <f t="shared" si="81"/>
        <v/>
      </c>
      <c r="JM22" s="11" t="str">
        <f t="shared" si="82"/>
        <v/>
      </c>
      <c r="JN22" s="11" t="str">
        <f t="shared" si="83"/>
        <v/>
      </c>
      <c r="JO22" s="11" t="str">
        <f t="shared" si="84"/>
        <v/>
      </c>
      <c r="JP22" s="11" t="str">
        <f t="shared" si="85"/>
        <v/>
      </c>
      <c r="JQ22" s="11" t="str">
        <f t="shared" si="86"/>
        <v/>
      </c>
      <c r="JR22" s="11" t="str">
        <f t="shared" si="87"/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0" t="str">
        <f t="shared" si="88"/>
        <v/>
      </c>
      <c r="KN22" s="40" t="str">
        <f t="shared" si="89"/>
        <v/>
      </c>
      <c r="KO22" s="40" t="str">
        <f t="shared" si="90"/>
        <v/>
      </c>
      <c r="KP22" s="40" t="str">
        <f t="shared" si="91"/>
        <v/>
      </c>
      <c r="KQ22" s="40" t="str">
        <f t="shared" si="92"/>
        <v/>
      </c>
      <c r="KR22" s="40" t="str">
        <f t="shared" si="93"/>
        <v/>
      </c>
      <c r="KS22" s="40" t="str">
        <f t="shared" si="94"/>
        <v/>
      </c>
      <c r="KT22" s="40" t="str">
        <f t="shared" si="95"/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 t="shared" si="96"/>
        <v/>
      </c>
      <c r="LP22" s="11" t="str">
        <f t="shared" si="97"/>
        <v/>
      </c>
      <c r="LQ22" s="11" t="str">
        <f t="shared" si="98"/>
        <v/>
      </c>
      <c r="LR22" s="11" t="str">
        <f t="shared" si="99"/>
        <v/>
      </c>
      <c r="LS22" s="11" t="str">
        <f t="shared" si="100"/>
        <v/>
      </c>
      <c r="LT22" s="11" t="str">
        <f t="shared" si="101"/>
        <v/>
      </c>
      <c r="LU22" s="11" t="str">
        <f t="shared" si="102"/>
        <v/>
      </c>
      <c r="LV22" s="11" t="str">
        <f t="shared" si="103"/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0" t="str">
        <f t="shared" si="104"/>
        <v/>
      </c>
      <c r="MR22" s="40" t="str">
        <f t="shared" si="105"/>
        <v/>
      </c>
      <c r="MS22" s="40" t="str">
        <f t="shared" si="106"/>
        <v/>
      </c>
      <c r="MT22" s="40" t="str">
        <f t="shared" si="107"/>
        <v/>
      </c>
      <c r="MU22" s="40" t="str">
        <f t="shared" si="108"/>
        <v/>
      </c>
      <c r="MV22" s="40" t="str">
        <f t="shared" si="109"/>
        <v/>
      </c>
      <c r="MW22" s="40" t="str">
        <f t="shared" si="110"/>
        <v/>
      </c>
      <c r="MX22" s="40" t="str">
        <f t="shared" si="111"/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 t="shared" si="112"/>
        <v/>
      </c>
      <c r="NT22" s="11" t="str">
        <f t="shared" si="113"/>
        <v/>
      </c>
      <c r="NU22" s="11" t="str">
        <f t="shared" si="114"/>
        <v/>
      </c>
      <c r="NV22" s="11" t="str">
        <f t="shared" si="115"/>
        <v/>
      </c>
      <c r="NW22" s="11" t="str">
        <f t="shared" si="116"/>
        <v/>
      </c>
      <c r="NX22" s="11" t="str">
        <f t="shared" si="117"/>
        <v/>
      </c>
      <c r="NY22" s="11" t="str">
        <f t="shared" si="118"/>
        <v/>
      </c>
      <c r="NZ22" s="11" t="str">
        <f t="shared" si="119"/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0" t="str">
        <f t="shared" si="120"/>
        <v/>
      </c>
      <c r="OV22" s="40" t="str">
        <f t="shared" si="121"/>
        <v/>
      </c>
      <c r="OW22" s="40" t="str">
        <f t="shared" si="122"/>
        <v/>
      </c>
      <c r="OX22" s="40" t="str">
        <f t="shared" si="123"/>
        <v/>
      </c>
      <c r="OY22" s="40" t="str">
        <f t="shared" si="124"/>
        <v/>
      </c>
      <c r="OZ22" s="40" t="str">
        <f t="shared" si="125"/>
        <v/>
      </c>
      <c r="PA22" s="40" t="str">
        <f t="shared" si="126"/>
        <v/>
      </c>
      <c r="PB22" s="40" t="str">
        <f t="shared" si="127"/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 t="shared" si="128"/>
        <v/>
      </c>
      <c r="PX22" s="11" t="str">
        <f t="shared" si="129"/>
        <v/>
      </c>
      <c r="PY22" s="11" t="str">
        <f t="shared" si="130"/>
        <v/>
      </c>
      <c r="PZ22" s="11" t="str">
        <f t="shared" si="131"/>
        <v/>
      </c>
      <c r="QA22" s="11" t="str">
        <f t="shared" si="132"/>
        <v/>
      </c>
      <c r="QB22" s="11" t="str">
        <f t="shared" si="133"/>
        <v/>
      </c>
      <c r="QC22" s="11" t="str">
        <f t="shared" si="134"/>
        <v/>
      </c>
      <c r="QD22" s="11" t="str">
        <f t="shared" si="135"/>
        <v/>
      </c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40" t="str">
        <f t="shared" si="136"/>
        <v/>
      </c>
      <c r="QZ22" s="40" t="str">
        <f t="shared" si="137"/>
        <v/>
      </c>
      <c r="RA22" s="40" t="str">
        <f t="shared" si="138"/>
        <v/>
      </c>
      <c r="RB22" s="40" t="str">
        <f t="shared" si="139"/>
        <v/>
      </c>
      <c r="RC22" s="40" t="str">
        <f t="shared" si="140"/>
        <v/>
      </c>
      <c r="RD22" s="40" t="str">
        <f t="shared" si="141"/>
        <v/>
      </c>
      <c r="RE22" s="40" t="str">
        <f t="shared" si="142"/>
        <v/>
      </c>
      <c r="RF22" s="40" t="str">
        <f t="shared" si="143"/>
        <v/>
      </c>
      <c r="RG22" s="18"/>
      <c r="RH22" s="18"/>
      <c r="RI22" s="18"/>
      <c r="RJ22" s="18"/>
      <c r="RK22" s="18"/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1" t="str">
        <f t="shared" si="144"/>
        <v/>
      </c>
      <c r="SB22" s="11" t="str">
        <f t="shared" si="145"/>
        <v/>
      </c>
      <c r="SC22" s="11" t="str">
        <f t="shared" si="146"/>
        <v/>
      </c>
      <c r="SD22" s="11" t="str">
        <f t="shared" si="147"/>
        <v/>
      </c>
      <c r="SE22" s="11" t="str">
        <f t="shared" si="148"/>
        <v/>
      </c>
      <c r="SF22" s="11" t="str">
        <f t="shared" si="149"/>
        <v/>
      </c>
      <c r="SG22" s="11" t="str">
        <f t="shared" si="150"/>
        <v/>
      </c>
      <c r="SH22" s="11" t="str">
        <f t="shared" si="151"/>
        <v/>
      </c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40" t="str">
        <f t="shared" si="152"/>
        <v/>
      </c>
      <c r="TD22" s="40" t="str">
        <f t="shared" si="153"/>
        <v/>
      </c>
      <c r="TE22" s="40" t="str">
        <f t="shared" si="154"/>
        <v/>
      </c>
      <c r="TF22" s="40" t="str">
        <f t="shared" si="155"/>
        <v/>
      </c>
      <c r="TG22" s="40" t="str">
        <f t="shared" si="156"/>
        <v/>
      </c>
      <c r="TH22" s="40" t="str">
        <f t="shared" si="157"/>
        <v/>
      </c>
      <c r="TI22" s="40" t="str">
        <f t="shared" si="158"/>
        <v/>
      </c>
      <c r="TJ22" s="40" t="str">
        <f t="shared" si="159"/>
        <v/>
      </c>
      <c r="TK22" s="26">
        <f t="shared" si="160"/>
        <v>9.5</v>
      </c>
      <c r="TL22" s="26">
        <f t="shared" si="161"/>
        <v>1.75</v>
      </c>
      <c r="TM22" s="26">
        <f t="shared" si="162"/>
        <v>0.45</v>
      </c>
      <c r="TN22" s="26">
        <f t="shared" si="163"/>
        <v>0</v>
      </c>
      <c r="TO22" s="26">
        <f t="shared" si="164"/>
        <v>9.4</v>
      </c>
      <c r="TP22" s="26">
        <f t="shared" si="165"/>
        <v>1.95</v>
      </c>
      <c r="TQ22" s="26">
        <f t="shared" si="166"/>
        <v>0.55000000000000004</v>
      </c>
      <c r="TR22" s="26">
        <f t="shared" si="167"/>
        <v>0</v>
      </c>
      <c r="TS22" s="26">
        <f t="shared" si="168"/>
        <v>8.9</v>
      </c>
      <c r="TT22" s="26">
        <f t="shared" si="169"/>
        <v>1.5</v>
      </c>
      <c r="TU22" s="26">
        <f t="shared" si="170"/>
        <v>1</v>
      </c>
      <c r="TV22" s="26">
        <f t="shared" si="171"/>
        <v>0</v>
      </c>
      <c r="TW22" s="26">
        <f t="shared" si="172"/>
        <v>8.75</v>
      </c>
      <c r="TX22" s="26">
        <f t="shared" si="173"/>
        <v>1.75</v>
      </c>
      <c r="TY22" s="26">
        <f t="shared" si="174"/>
        <v>0.45</v>
      </c>
      <c r="TZ22" s="26">
        <f t="shared" si="175"/>
        <v>0</v>
      </c>
      <c r="UA22" s="26">
        <f t="shared" si="176"/>
        <v>9.35</v>
      </c>
      <c r="UB22" s="26">
        <f t="shared" si="177"/>
        <v>1.95</v>
      </c>
      <c r="UC22" s="26">
        <f t="shared" si="178"/>
        <v>0.35</v>
      </c>
      <c r="UD22" s="26">
        <f t="shared" si="179"/>
        <v>0</v>
      </c>
      <c r="UE22" s="28" t="s">
        <v>53</v>
      </c>
      <c r="UF22" s="11">
        <f t="shared" si="180"/>
        <v>3.7</v>
      </c>
      <c r="UG22" s="11">
        <f t="shared" si="181"/>
        <v>21.599999999999998</v>
      </c>
      <c r="UH22" s="11">
        <f t="shared" si="182"/>
        <v>9.4</v>
      </c>
      <c r="UI22" s="11">
        <f t="shared" si="183"/>
        <v>5.2</v>
      </c>
      <c r="UJ22" s="11">
        <f t="shared" si="184"/>
        <v>31</v>
      </c>
      <c r="UK22" s="11">
        <f t="shared" si="185"/>
        <v>3.7</v>
      </c>
      <c r="UL22" s="11">
        <f t="shared" si="186"/>
        <v>21</v>
      </c>
      <c r="UM22" s="11">
        <f t="shared" si="187"/>
        <v>52</v>
      </c>
    </row>
    <row r="23" spans="1:559" ht="17" x14ac:dyDescent="0.2">
      <c r="R23" s="10"/>
      <c r="S23" s="10"/>
      <c r="T23" s="10"/>
      <c r="QY23" s="36"/>
      <c r="RG23"/>
      <c r="SA23" s="36"/>
      <c r="SB23" s="36"/>
      <c r="SC23" s="36"/>
      <c r="SD23" s="36"/>
      <c r="SE23" s="36"/>
      <c r="SF23" s="36"/>
      <c r="SG23" s="36"/>
      <c r="SH23" s="36"/>
      <c r="TC23" s="36"/>
      <c r="TD23" s="36"/>
      <c r="TE23" s="36"/>
      <c r="TF23" s="36"/>
      <c r="TG23" s="36"/>
      <c r="TH23" s="36"/>
      <c r="TI23" s="36"/>
      <c r="TJ23" s="36"/>
    </row>
    <row r="24" spans="1:559" ht="17" x14ac:dyDescent="0.2">
      <c r="R24" s="10"/>
      <c r="S24" s="10"/>
      <c r="T24" s="10"/>
      <c r="QY24" s="36"/>
      <c r="RG24"/>
      <c r="SA24" s="36"/>
      <c r="SB24" s="36"/>
      <c r="SC24" s="36"/>
      <c r="SD24" s="36"/>
      <c r="SE24" s="36"/>
      <c r="SF24" s="36"/>
      <c r="SG24" s="36"/>
      <c r="SH24" s="36"/>
      <c r="TC24" s="36"/>
      <c r="TD24" s="36"/>
      <c r="TE24" s="36"/>
      <c r="TF24" s="36"/>
      <c r="TG24" s="36"/>
      <c r="TH24" s="36"/>
      <c r="TI24" s="36"/>
      <c r="TJ24" s="36"/>
    </row>
    <row r="25" spans="1:559" ht="17" x14ac:dyDescent="0.2">
      <c r="B25" s="23" t="s">
        <v>51</v>
      </c>
      <c r="R25" s="10"/>
      <c r="S25" s="10"/>
      <c r="T25" s="10"/>
      <c r="AP25" s="4"/>
      <c r="AW25" s="42">
        <v>10.8</v>
      </c>
      <c r="BS25" s="4"/>
      <c r="BZ25" s="42">
        <v>10.8</v>
      </c>
      <c r="CV25" s="4"/>
      <c r="DC25" s="42">
        <v>10.8</v>
      </c>
      <c r="EA25" s="4"/>
      <c r="EH25" s="42">
        <v>10.8</v>
      </c>
      <c r="FC25" s="4"/>
      <c r="FJ25" s="42">
        <v>10.8</v>
      </c>
      <c r="GE25" s="4"/>
      <c r="GL25" s="42">
        <v>10.8</v>
      </c>
      <c r="HG25" s="4"/>
      <c r="HN25" s="42">
        <v>10.8</v>
      </c>
      <c r="II25" s="4"/>
      <c r="IP25" s="42">
        <v>10.8</v>
      </c>
      <c r="JK25" s="4"/>
      <c r="JR25" s="42">
        <v>10.8</v>
      </c>
      <c r="KM25" s="4"/>
      <c r="KT25" s="42">
        <v>10.8</v>
      </c>
      <c r="LO25" s="4"/>
      <c r="LV25" s="42">
        <v>10.8</v>
      </c>
      <c r="MQ25" s="4"/>
      <c r="MX25" s="42">
        <v>10.8</v>
      </c>
      <c r="NS25" s="4"/>
      <c r="NZ25" s="42">
        <v>10.8</v>
      </c>
      <c r="OU25" s="4"/>
      <c r="PB25" s="42">
        <v>10.8</v>
      </c>
      <c r="PW25" s="4"/>
      <c r="QD25" s="42">
        <v>10.8</v>
      </c>
      <c r="QY25" s="4"/>
      <c r="RF25" s="42">
        <v>10.8</v>
      </c>
      <c r="RG25"/>
      <c r="SA25" s="4"/>
      <c r="SB25" s="36"/>
      <c r="SC25" s="36"/>
      <c r="SD25" s="36"/>
      <c r="SE25" s="36"/>
      <c r="SF25" s="36"/>
      <c r="SG25" s="36"/>
      <c r="SH25" s="42">
        <v>10.8</v>
      </c>
      <c r="TC25" s="4"/>
      <c r="TD25" s="36"/>
      <c r="TE25" s="36"/>
      <c r="TF25" s="36"/>
      <c r="TG25" s="36"/>
      <c r="TH25" s="36"/>
      <c r="TI25" s="36"/>
      <c r="TJ25" s="42">
        <v>10.8</v>
      </c>
    </row>
    <row r="26" spans="1:559" ht="17" x14ac:dyDescent="0.2">
      <c r="B26" s="30" t="s">
        <v>50</v>
      </c>
      <c r="R26" s="10"/>
      <c r="S26" s="10"/>
      <c r="T26" s="10"/>
      <c r="AP26" s="4"/>
      <c r="AW26" s="52">
        <v>16</v>
      </c>
      <c r="BS26" s="4"/>
      <c r="BZ26" s="52">
        <v>16</v>
      </c>
      <c r="CV26" s="4"/>
      <c r="DC26" s="52">
        <v>16</v>
      </c>
      <c r="EA26" s="4"/>
      <c r="EH26" s="52">
        <v>16</v>
      </c>
      <c r="FC26" s="4"/>
      <c r="FJ26" s="52">
        <v>16</v>
      </c>
      <c r="GE26" s="4"/>
      <c r="GL26" s="52">
        <v>16</v>
      </c>
      <c r="HG26" s="4"/>
      <c r="HN26" s="52">
        <v>16</v>
      </c>
      <c r="II26" s="4"/>
      <c r="IP26" s="52">
        <v>16</v>
      </c>
      <c r="JK26" s="4"/>
      <c r="JR26" s="52">
        <v>16</v>
      </c>
      <c r="KM26" s="4"/>
      <c r="KT26" s="52">
        <v>16</v>
      </c>
      <c r="LO26" s="4"/>
      <c r="LV26" s="52">
        <v>16</v>
      </c>
      <c r="MQ26" s="4"/>
      <c r="MX26" s="52">
        <v>16</v>
      </c>
      <c r="NS26" s="4"/>
      <c r="NZ26" s="52">
        <v>16</v>
      </c>
      <c r="OU26" s="4"/>
      <c r="PB26" s="52">
        <v>16</v>
      </c>
      <c r="PW26" s="4"/>
      <c r="QD26" s="52">
        <v>16</v>
      </c>
      <c r="QY26" s="4"/>
      <c r="RF26" s="52">
        <v>16</v>
      </c>
      <c r="RG26"/>
      <c r="SA26" s="4"/>
      <c r="SB26" s="36"/>
      <c r="SC26" s="36"/>
      <c r="SD26" s="36"/>
      <c r="SE26" s="36"/>
      <c r="SF26" s="36"/>
      <c r="SG26" s="36"/>
      <c r="SH26" s="52">
        <v>16</v>
      </c>
      <c r="TC26" s="4"/>
      <c r="TD26" s="36"/>
      <c r="TE26" s="36"/>
      <c r="TF26" s="36"/>
      <c r="TG26" s="36"/>
      <c r="TH26" s="36"/>
      <c r="TI26" s="36"/>
      <c r="TJ26" s="52">
        <v>16</v>
      </c>
    </row>
    <row r="27" spans="1:559" ht="17" x14ac:dyDescent="0.2">
      <c r="A27" s="5"/>
      <c r="B27" s="31" t="s">
        <v>63</v>
      </c>
      <c r="C27" s="20"/>
      <c r="R27" s="10"/>
      <c r="S27" s="10"/>
      <c r="T27" s="10"/>
      <c r="AP27" s="4"/>
      <c r="AW27" s="44">
        <v>16.8</v>
      </c>
      <c r="BS27" s="4"/>
      <c r="BZ27" s="44">
        <v>16.8</v>
      </c>
      <c r="CV27" s="4"/>
      <c r="DC27" s="44">
        <v>16.8</v>
      </c>
      <c r="EA27" s="4"/>
      <c r="EH27" s="44">
        <v>16.8</v>
      </c>
      <c r="FC27" s="4"/>
      <c r="FJ27" s="44">
        <v>16.8</v>
      </c>
      <c r="GE27" s="4"/>
      <c r="GL27" s="44">
        <v>16.8</v>
      </c>
      <c r="HG27" s="4"/>
      <c r="HN27" s="44">
        <v>16.8</v>
      </c>
      <c r="II27" s="4"/>
      <c r="IP27" s="44">
        <v>16.8</v>
      </c>
      <c r="JK27" s="4"/>
      <c r="JR27" s="44">
        <v>16.8</v>
      </c>
      <c r="KM27" s="4"/>
      <c r="KT27" s="44">
        <v>16.8</v>
      </c>
      <c r="LO27" s="4"/>
      <c r="LV27" s="44">
        <v>16.8</v>
      </c>
      <c r="MQ27" s="4"/>
      <c r="MX27" s="44">
        <v>16.8</v>
      </c>
      <c r="NS27" s="4"/>
      <c r="NZ27" s="44">
        <v>16.8</v>
      </c>
      <c r="OU27" s="4"/>
      <c r="PB27" s="44">
        <v>16.8</v>
      </c>
      <c r="PW27" s="4"/>
      <c r="QD27" s="44">
        <v>16.8</v>
      </c>
      <c r="QY27" s="4"/>
      <c r="RF27" s="44">
        <v>16.8</v>
      </c>
      <c r="RG27"/>
      <c r="SA27" s="4"/>
      <c r="SB27" s="36"/>
      <c r="SC27" s="36"/>
      <c r="SD27" s="36"/>
      <c r="SE27" s="36"/>
      <c r="SF27" s="36"/>
      <c r="SG27" s="36"/>
      <c r="SH27" s="44">
        <v>16.8</v>
      </c>
      <c r="TC27" s="4"/>
      <c r="TD27" s="36"/>
      <c r="TE27" s="36"/>
      <c r="TF27" s="36"/>
      <c r="TG27" s="36"/>
      <c r="TH27" s="36"/>
      <c r="TI27" s="36"/>
      <c r="TJ27" s="44">
        <v>16.8</v>
      </c>
    </row>
    <row r="28" spans="1:559" ht="17" x14ac:dyDescent="0.2">
      <c r="A28" s="5"/>
      <c r="B28" s="35" t="s">
        <v>76</v>
      </c>
      <c r="C28" s="20"/>
      <c r="R28" s="10"/>
      <c r="S28" s="10"/>
      <c r="T28" s="10"/>
      <c r="AP28" s="4"/>
      <c r="AW28" s="45">
        <v>17.600000000000001</v>
      </c>
      <c r="BS28" s="4"/>
      <c r="BZ28" s="45">
        <v>17.600000000000001</v>
      </c>
      <c r="CV28" s="4"/>
      <c r="DC28" s="45">
        <v>17.600000000000001</v>
      </c>
      <c r="EA28" s="4"/>
      <c r="EH28" s="45">
        <v>17.600000000000001</v>
      </c>
      <c r="FC28" s="4"/>
      <c r="FJ28" s="45">
        <v>17.600000000000001</v>
      </c>
      <c r="GE28" s="4"/>
      <c r="GL28" s="45">
        <v>17.600000000000001</v>
      </c>
      <c r="HG28" s="4"/>
      <c r="HN28" s="45">
        <v>17.600000000000001</v>
      </c>
      <c r="II28" s="4"/>
      <c r="IP28" s="45">
        <v>17.600000000000001</v>
      </c>
      <c r="JK28" s="4"/>
      <c r="JR28" s="45">
        <v>17.600000000000001</v>
      </c>
      <c r="KM28" s="4"/>
      <c r="KT28" s="45">
        <v>17.600000000000001</v>
      </c>
      <c r="LO28" s="4"/>
      <c r="LV28" s="45">
        <v>17.600000000000001</v>
      </c>
      <c r="MQ28" s="4"/>
      <c r="MX28" s="45">
        <v>17.600000000000001</v>
      </c>
      <c r="NS28" s="4"/>
      <c r="NZ28" s="45">
        <v>17.600000000000001</v>
      </c>
      <c r="OU28" s="4"/>
      <c r="PB28" s="45">
        <v>17.600000000000001</v>
      </c>
      <c r="PW28" s="4"/>
      <c r="QD28" s="45">
        <v>17.600000000000001</v>
      </c>
      <c r="QY28" s="4"/>
      <c r="RF28" s="45">
        <v>17.600000000000001</v>
      </c>
      <c r="RG28"/>
      <c r="SA28" s="4"/>
      <c r="SB28" s="36"/>
      <c r="SC28" s="36"/>
      <c r="SD28" s="36"/>
      <c r="SE28" s="36"/>
      <c r="SF28" s="36"/>
      <c r="SG28" s="36"/>
      <c r="SH28" s="45">
        <v>17.600000000000001</v>
      </c>
      <c r="TC28" s="4"/>
      <c r="TD28" s="36"/>
      <c r="TE28" s="36"/>
      <c r="TF28" s="36"/>
      <c r="TG28" s="36"/>
      <c r="TH28" s="36"/>
      <c r="TI28" s="36"/>
      <c r="TJ28" s="45">
        <v>17.600000000000001</v>
      </c>
    </row>
    <row r="29" spans="1:559" ht="17" x14ac:dyDescent="0.2">
      <c r="A29" s="5"/>
      <c r="B29" s="34" t="s">
        <v>48</v>
      </c>
      <c r="C29" s="20"/>
      <c r="R29" s="10"/>
      <c r="S29" s="10"/>
      <c r="T29" s="10"/>
      <c r="AP29" s="4"/>
      <c r="AW29" s="46">
        <v>48</v>
      </c>
      <c r="BS29" s="4"/>
      <c r="BZ29" s="46">
        <v>48</v>
      </c>
      <c r="CV29" s="4"/>
      <c r="DC29" s="46">
        <v>48</v>
      </c>
      <c r="EA29" s="4"/>
      <c r="EH29" s="46">
        <v>48</v>
      </c>
      <c r="FC29" s="4"/>
      <c r="FJ29" s="46">
        <v>48</v>
      </c>
      <c r="GE29" s="4"/>
      <c r="GL29" s="46">
        <v>48</v>
      </c>
      <c r="HG29" s="4"/>
      <c r="HN29" s="46">
        <v>48</v>
      </c>
      <c r="II29" s="4"/>
      <c r="IP29" s="46">
        <v>48</v>
      </c>
      <c r="JK29" s="4"/>
      <c r="JR29" s="46">
        <v>48</v>
      </c>
      <c r="KM29" s="4"/>
      <c r="KT29" s="46">
        <v>48</v>
      </c>
      <c r="LO29" s="4"/>
      <c r="LV29" s="46">
        <v>48</v>
      </c>
      <c r="MQ29" s="4"/>
      <c r="MX29" s="46">
        <v>48</v>
      </c>
      <c r="NS29" s="4"/>
      <c r="NZ29" s="46">
        <v>48</v>
      </c>
      <c r="OU29" s="4"/>
      <c r="PB29" s="46">
        <v>48</v>
      </c>
      <c r="PW29" s="4"/>
      <c r="QD29" s="46">
        <v>48</v>
      </c>
      <c r="QY29" s="4"/>
      <c r="RF29" s="46">
        <v>48</v>
      </c>
      <c r="RG29"/>
      <c r="SA29" s="4"/>
      <c r="SB29" s="36"/>
      <c r="SC29" s="36"/>
      <c r="SD29" s="36"/>
      <c r="SE29" s="36"/>
      <c r="SF29" s="36"/>
      <c r="SG29" s="36"/>
      <c r="SH29" s="46">
        <v>48</v>
      </c>
      <c r="TC29" s="4"/>
      <c r="TD29" s="36"/>
      <c r="TE29" s="36"/>
      <c r="TF29" s="36"/>
      <c r="TG29" s="36"/>
      <c r="TH29" s="36"/>
      <c r="TI29" s="36"/>
      <c r="TJ29" s="46">
        <v>48</v>
      </c>
    </row>
    <row r="30" spans="1:559" ht="17" x14ac:dyDescent="0.2">
      <c r="A30" s="5"/>
      <c r="B30" s="24" t="s">
        <v>49</v>
      </c>
      <c r="C30" s="20"/>
      <c r="R30" s="10"/>
      <c r="S30" s="10"/>
      <c r="T30" s="10"/>
      <c r="AP30" s="4"/>
      <c r="AW30" s="47">
        <v>72</v>
      </c>
      <c r="BS30" s="4"/>
      <c r="BZ30" s="47">
        <v>72</v>
      </c>
      <c r="CV30" s="4"/>
      <c r="DC30" s="47">
        <v>72</v>
      </c>
      <c r="EA30" s="4"/>
      <c r="EH30" s="47">
        <v>72</v>
      </c>
      <c r="FC30" s="4"/>
      <c r="FJ30" s="47">
        <v>72</v>
      </c>
      <c r="GE30" s="4"/>
      <c r="GL30" s="47">
        <v>72</v>
      </c>
      <c r="HG30" s="4"/>
      <c r="HN30" s="47">
        <v>72</v>
      </c>
      <c r="II30" s="4"/>
      <c r="IP30" s="47">
        <v>72</v>
      </c>
      <c r="JK30" s="4"/>
      <c r="JR30" s="47">
        <v>72</v>
      </c>
      <c r="KM30" s="4"/>
      <c r="KT30" s="47">
        <v>72</v>
      </c>
      <c r="LO30" s="4"/>
      <c r="LV30" s="47">
        <v>72</v>
      </c>
      <c r="MQ30" s="4"/>
      <c r="MX30" s="47">
        <v>72</v>
      </c>
      <c r="NS30" s="4"/>
      <c r="NZ30" s="47">
        <v>72</v>
      </c>
      <c r="OU30" s="4"/>
      <c r="PB30" s="47">
        <v>72</v>
      </c>
      <c r="PW30" s="4"/>
      <c r="QD30" s="47">
        <v>72</v>
      </c>
      <c r="QY30" s="4"/>
      <c r="RF30" s="47">
        <v>72</v>
      </c>
      <c r="RG30"/>
      <c r="SA30" s="4"/>
      <c r="SB30" s="36"/>
      <c r="SC30" s="36"/>
      <c r="SD30" s="36"/>
      <c r="SE30" s="36"/>
      <c r="SF30" s="36"/>
      <c r="SG30" s="36"/>
      <c r="SH30" s="47">
        <v>72</v>
      </c>
      <c r="TC30" s="4"/>
      <c r="TD30" s="36"/>
      <c r="TE30" s="36"/>
      <c r="TF30" s="36"/>
      <c r="TG30" s="36"/>
      <c r="TH30" s="36"/>
      <c r="TI30" s="36"/>
      <c r="TJ30" s="47">
        <v>72</v>
      </c>
    </row>
    <row r="31" spans="1:559" ht="17" x14ac:dyDescent="0.2">
      <c r="A31" s="5"/>
      <c r="B31" s="33" t="s">
        <v>62</v>
      </c>
      <c r="C31" s="20"/>
      <c r="R31" s="10"/>
      <c r="S31" s="10"/>
      <c r="T31" s="10"/>
      <c r="AP31" s="4"/>
      <c r="AW31" s="48">
        <v>73.400000000000006</v>
      </c>
      <c r="BS31" s="4"/>
      <c r="BZ31" s="48">
        <v>73.400000000000006</v>
      </c>
      <c r="CV31" s="4"/>
      <c r="DC31" s="48">
        <v>73.400000000000006</v>
      </c>
      <c r="EA31" s="4"/>
      <c r="EH31" s="48">
        <v>73.400000000000006</v>
      </c>
      <c r="FC31" s="4"/>
      <c r="FJ31" s="48">
        <v>73.400000000000006</v>
      </c>
      <c r="GE31" s="4"/>
      <c r="GL31" s="48">
        <v>73.400000000000006</v>
      </c>
      <c r="HG31" s="4"/>
      <c r="HN31" s="48">
        <v>73.400000000000006</v>
      </c>
      <c r="II31" s="4"/>
      <c r="IP31" s="48">
        <v>73.400000000000006</v>
      </c>
      <c r="JK31" s="4"/>
      <c r="JR31" s="48">
        <v>73.400000000000006</v>
      </c>
      <c r="KM31" s="4"/>
      <c r="KT31" s="48">
        <v>73.400000000000006</v>
      </c>
      <c r="LO31" s="4"/>
      <c r="LV31" s="48">
        <v>73.400000000000006</v>
      </c>
      <c r="MQ31" s="4"/>
      <c r="MX31" s="48">
        <v>73.400000000000006</v>
      </c>
      <c r="NS31" s="4"/>
      <c r="NZ31" s="48">
        <v>73.400000000000006</v>
      </c>
      <c r="OU31" s="4"/>
      <c r="PB31" s="48">
        <v>73.400000000000006</v>
      </c>
      <c r="PW31" s="4"/>
      <c r="QD31" s="48">
        <v>73.400000000000006</v>
      </c>
      <c r="QY31" s="4"/>
      <c r="RF31" s="48">
        <v>73.400000000000006</v>
      </c>
      <c r="RG31"/>
      <c r="SA31" s="4"/>
      <c r="SB31" s="36"/>
      <c r="SC31" s="36"/>
      <c r="SD31" s="36"/>
      <c r="SE31" s="36"/>
      <c r="SF31" s="36"/>
      <c r="SG31" s="36"/>
      <c r="SH31" s="48">
        <v>73.400000000000006</v>
      </c>
      <c r="TC31" s="4"/>
      <c r="TD31" s="36"/>
      <c r="TE31" s="36"/>
      <c r="TF31" s="36"/>
      <c r="TG31" s="36"/>
      <c r="TH31" s="36"/>
      <c r="TI31" s="36"/>
      <c r="TJ31" s="48">
        <v>73.400000000000006</v>
      </c>
    </row>
    <row r="32" spans="1:559" ht="17" x14ac:dyDescent="0.2">
      <c r="A32" s="5"/>
      <c r="B32" s="25" t="s">
        <v>32</v>
      </c>
      <c r="C32" s="20"/>
      <c r="R32" s="10"/>
      <c r="S32" s="10"/>
      <c r="T32" s="10"/>
      <c r="AP32" s="4"/>
      <c r="AW32" s="49">
        <v>74.8</v>
      </c>
      <c r="BS32" s="4"/>
      <c r="BZ32" s="49">
        <v>74.8</v>
      </c>
      <c r="CV32" s="4"/>
      <c r="DC32" s="49">
        <v>74.8</v>
      </c>
      <c r="EA32" s="4"/>
      <c r="EH32" s="49">
        <v>74.8</v>
      </c>
      <c r="FC32" s="4"/>
      <c r="FJ32" s="49">
        <v>74.8</v>
      </c>
      <c r="GE32" s="4"/>
      <c r="GL32" s="49">
        <v>74.8</v>
      </c>
      <c r="HG32" s="4"/>
      <c r="HN32" s="49">
        <v>74.8</v>
      </c>
      <c r="II32" s="4"/>
      <c r="IP32" s="49">
        <v>74.8</v>
      </c>
      <c r="JK32" s="4"/>
      <c r="JR32" s="49">
        <v>74.8</v>
      </c>
      <c r="KM32" s="4"/>
      <c r="KT32" s="49">
        <v>74.8</v>
      </c>
      <c r="LO32" s="4"/>
      <c r="LV32" s="49">
        <v>74.8</v>
      </c>
      <c r="MQ32" s="4"/>
      <c r="MX32" s="49">
        <v>74.8</v>
      </c>
      <c r="NS32" s="4"/>
      <c r="NZ32" s="49">
        <v>74.8</v>
      </c>
      <c r="OU32" s="4"/>
      <c r="PB32" s="49">
        <v>74.8</v>
      </c>
      <c r="PW32" s="4"/>
      <c r="QD32" s="49">
        <v>74.8</v>
      </c>
      <c r="QY32" s="4"/>
      <c r="RF32" s="49">
        <v>74.8</v>
      </c>
      <c r="RG32"/>
      <c r="SA32" s="4"/>
      <c r="SB32" s="36"/>
      <c r="SC32" s="36"/>
      <c r="SD32" s="36"/>
      <c r="SE32" s="36"/>
      <c r="SF32" s="36"/>
      <c r="SG32" s="36"/>
      <c r="SH32" s="49">
        <v>74.8</v>
      </c>
      <c r="TC32" s="4"/>
      <c r="TD32" s="36"/>
      <c r="TE32" s="36"/>
      <c r="TF32" s="36"/>
      <c r="TG32" s="36"/>
      <c r="TH32" s="36"/>
      <c r="TI32" s="36"/>
      <c r="TJ32" s="49">
        <v>74.8</v>
      </c>
    </row>
    <row r="33" spans="1:456" x14ac:dyDescent="0.2">
      <c r="B33" s="29" t="s">
        <v>54</v>
      </c>
      <c r="C33" s="2"/>
    </row>
    <row r="34" spans="1:456" x14ac:dyDescent="0.2">
      <c r="A34" s="5"/>
      <c r="B34" s="5"/>
      <c r="C34" s="20"/>
      <c r="QF34" s="2"/>
      <c r="QG34" s="2"/>
      <c r="QH34" s="2"/>
      <c r="QI34" s="2"/>
      <c r="QJ34" s="2"/>
      <c r="QK34" s="2"/>
      <c r="QL34" s="2"/>
      <c r="QM34" s="2"/>
      <c r="QN34" s="2"/>
    </row>
    <row r="35" spans="1:456" x14ac:dyDescent="0.2">
      <c r="A35" s="5"/>
      <c r="B35" s="5"/>
      <c r="C35" s="20"/>
    </row>
    <row r="36" spans="1:456" x14ac:dyDescent="0.2">
      <c r="A36" s="5"/>
      <c r="B36" s="5"/>
      <c r="C36" s="20"/>
    </row>
    <row r="37" spans="1:456" x14ac:dyDescent="0.2">
      <c r="A37" s="5"/>
      <c r="B37" s="5"/>
      <c r="C37" s="5"/>
    </row>
  </sheetData>
  <sheetProtection sheet="1" formatCells="0" formatColumns="0" formatRows="0"/>
  <autoFilter ref="A1:UM1" xr:uid="{DAB02682-89BB-3C4E-82F9-A33BA40CF782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sortState xmlns:xlrd2="http://schemas.microsoft.com/office/spreadsheetml/2017/richdata2" ref="A6:UM22">
      <sortCondition descending="1" ref="F1:F23"/>
    </sortState>
  </autoFilter>
  <mergeCells count="135">
    <mergeCell ref="SI1:TJ1"/>
    <mergeCell ref="SI2:SL2"/>
    <mergeCell ref="SM2:SP2"/>
    <mergeCell ref="SQ2:ST2"/>
    <mergeCell ref="SU2:SX2"/>
    <mergeCell ref="SY2:TB2"/>
    <mergeCell ref="QE1:RF1"/>
    <mergeCell ref="RG1:SH1"/>
    <mergeCell ref="QE2:QH2"/>
    <mergeCell ref="QI2:QL2"/>
    <mergeCell ref="QM2:QP2"/>
    <mergeCell ref="QQ2:QT2"/>
    <mergeCell ref="QU2:QX2"/>
    <mergeCell ref="RG2:RJ2"/>
    <mergeCell ref="RK2:RN2"/>
    <mergeCell ref="RO2:RR2"/>
    <mergeCell ref="RS2:RV2"/>
    <mergeCell ref="RW2:RZ2"/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Q1:Q3"/>
    <mergeCell ref="R1:R3"/>
    <mergeCell ref="S1:S3"/>
    <mergeCell ref="T1:T3"/>
    <mergeCell ref="U1:AW1"/>
    <mergeCell ref="AX1:BZ1"/>
    <mergeCell ref="BF2:BI2"/>
    <mergeCell ref="BJ2:BM2"/>
    <mergeCell ref="BN2:BQ2"/>
    <mergeCell ref="OA1:PB1"/>
    <mergeCell ref="PC1:QD1"/>
    <mergeCell ref="EI2:EL2"/>
    <mergeCell ref="EM2:EP2"/>
    <mergeCell ref="CA2:CD2"/>
    <mergeCell ref="CE2:CH2"/>
    <mergeCell ref="CI2:CL2"/>
    <mergeCell ref="CM2:CP2"/>
    <mergeCell ref="CQ2:CT2"/>
    <mergeCell ref="DG2:DJ2"/>
    <mergeCell ref="FW2:FZ2"/>
    <mergeCell ref="GA2:GD2"/>
    <mergeCell ref="GM2:GP2"/>
    <mergeCell ref="GQ2:GT2"/>
    <mergeCell ref="GU2:GX2"/>
    <mergeCell ref="GY2:HB2"/>
    <mergeCell ref="EQ2:ET2"/>
    <mergeCell ref="TK1:UM1"/>
    <mergeCell ref="U2:X2"/>
    <mergeCell ref="Y2:AB2"/>
    <mergeCell ref="AC2:AF2"/>
    <mergeCell ref="AG2:AJ2"/>
    <mergeCell ref="AK2:AN2"/>
    <mergeCell ref="AX2:BA2"/>
    <mergeCell ref="BB2:BE2"/>
    <mergeCell ref="HO1:IP1"/>
    <mergeCell ref="IQ1:JR1"/>
    <mergeCell ref="JS1:KT1"/>
    <mergeCell ref="KU1:LV1"/>
    <mergeCell ref="LW1:MX1"/>
    <mergeCell ref="MY1:NZ1"/>
    <mergeCell ref="CA1:DC1"/>
    <mergeCell ref="DD1:DF1"/>
    <mergeCell ref="DG1:EH1"/>
    <mergeCell ref="EI1:FJ1"/>
    <mergeCell ref="FK1:GL1"/>
    <mergeCell ref="GM1:HN1"/>
    <mergeCell ref="DK2:DN2"/>
    <mergeCell ref="DO2:DR2"/>
    <mergeCell ref="DS2:DV2"/>
    <mergeCell ref="DW2:DZ2"/>
    <mergeCell ref="EU2:EX2"/>
    <mergeCell ref="EY2:FB2"/>
    <mergeCell ref="FK2:FN2"/>
    <mergeCell ref="FO2:FR2"/>
    <mergeCell ref="FS2:FV2"/>
    <mergeCell ref="IQ2:IT2"/>
    <mergeCell ref="IU2:IX2"/>
    <mergeCell ref="IY2:JB2"/>
    <mergeCell ref="JC2:JF2"/>
    <mergeCell ref="JG2:JJ2"/>
    <mergeCell ref="JS2:JV2"/>
    <mergeCell ref="HC2:HF2"/>
    <mergeCell ref="HO2:HR2"/>
    <mergeCell ref="HS2:HV2"/>
    <mergeCell ref="HW2:HZ2"/>
    <mergeCell ref="IA2:ID2"/>
    <mergeCell ref="IE2:IH2"/>
    <mergeCell ref="LC2:LF2"/>
    <mergeCell ref="LG2:LJ2"/>
    <mergeCell ref="LK2:LN2"/>
    <mergeCell ref="LW2:LZ2"/>
    <mergeCell ref="MA2:MD2"/>
    <mergeCell ref="ME2:MH2"/>
    <mergeCell ref="JW2:JZ2"/>
    <mergeCell ref="KA2:KD2"/>
    <mergeCell ref="KE2:KH2"/>
    <mergeCell ref="KI2:KL2"/>
    <mergeCell ref="KU2:KX2"/>
    <mergeCell ref="KY2:LB2"/>
    <mergeCell ref="NO2:NR2"/>
    <mergeCell ref="OA2:OD2"/>
    <mergeCell ref="OE2:OH2"/>
    <mergeCell ref="OI2:OL2"/>
    <mergeCell ref="OM2:OP2"/>
    <mergeCell ref="OQ2:OT2"/>
    <mergeCell ref="MI2:ML2"/>
    <mergeCell ref="MM2:MP2"/>
    <mergeCell ref="MY2:NB2"/>
    <mergeCell ref="NC2:NF2"/>
    <mergeCell ref="NG2:NJ2"/>
    <mergeCell ref="NK2:NN2"/>
    <mergeCell ref="TO2:TR2"/>
    <mergeCell ref="TS2:TV2"/>
    <mergeCell ref="TW2:TZ2"/>
    <mergeCell ref="UA2:UD2"/>
    <mergeCell ref="PC2:PF2"/>
    <mergeCell ref="PG2:PJ2"/>
    <mergeCell ref="PK2:PN2"/>
    <mergeCell ref="PO2:PR2"/>
    <mergeCell ref="PS2:PV2"/>
    <mergeCell ref="TK2:TN2"/>
  </mergeCells>
  <conditionalFormatting sqref="U4:AW22">
    <cfRule type="expression" dxfId="64" priority="38" stopIfTrue="1">
      <formula>IF($AO4&lt;&gt;"",1,0)</formula>
    </cfRule>
  </conditionalFormatting>
  <conditionalFormatting sqref="AX4:BZ22">
    <cfRule type="expression" dxfId="63" priority="43" stopIfTrue="1">
      <formula>IF($BR4&lt;&gt;"",1,0)</formula>
    </cfRule>
  </conditionalFormatting>
  <conditionalFormatting sqref="M1:M3 O1:O3 K1:K1048576 Q1:Q1048576 M4:O1048576">
    <cfRule type="expression" dxfId="62" priority="50">
      <formula>IF(K1=$CA$1,1,0)</formula>
    </cfRule>
    <cfRule type="expression" dxfId="61" priority="51">
      <formula>IF(K1=$AX$1,1,0)</formula>
    </cfRule>
    <cfRule type="expression" dxfId="60" priority="52">
      <formula>IF(K1=$U$1,1,0)</formula>
    </cfRule>
  </conditionalFormatting>
  <conditionalFormatting sqref="CA4:DC22">
    <cfRule type="expression" dxfId="59" priority="44" stopIfTrue="1">
      <formula>IF($CU4&lt;&gt;"",1,0)</formula>
    </cfRule>
  </conditionalFormatting>
  <conditionalFormatting sqref="A4:A1048576">
    <cfRule type="expression" dxfId="58" priority="33">
      <formula>AND(G4="P",F4="")</formula>
    </cfRule>
    <cfRule type="expression" dxfId="57" priority="53">
      <formula>IF(A4&gt;8,1,0)</formula>
    </cfRule>
  </conditionalFormatting>
  <conditionalFormatting sqref="H1:H1048576">
    <cfRule type="containsText" dxfId="56" priority="45" operator="containsText" text="No DD">
      <formula>NOT(ISERROR(SEARCH("No DD",H1)))</formula>
    </cfRule>
    <cfRule type="containsText" dxfId="55" priority="46" operator="containsText" text="Merit">
      <formula>NOT(ISERROR(SEARCH("Merit",H1)))</formula>
    </cfRule>
    <cfRule type="containsText" dxfId="54" priority="47" operator="containsText" text="Excellence">
      <formula>NOT(ISERROR(SEARCH("Excellence",H1)))</formula>
    </cfRule>
    <cfRule type="containsText" dxfId="53" priority="48" operator="containsText" text="Worlds Team">
      <formula>NOT(ISERROR(SEARCH("Worlds Team",H1)))</formula>
    </cfRule>
    <cfRule type="containsText" dxfId="52" priority="49" operator="containsText" text="National Team">
      <formula>NOT(ISERROR(SEARCH("National Team",H1)))</formula>
    </cfRule>
  </conditionalFormatting>
  <conditionalFormatting sqref="AT33:AT1048576 BW33:BW1048576 EE33:EE1048576 BW1:BW31 CZ1:CZ1048576 EE1:EE31 FG1:FG1048576 GI1:GI1048576 HK1:HK1048576 IM1:IM1048576 JO1:JO1048576 KQ1:KQ1048576 LS1:LS1048576 MU1:MU1048576 NW1:NW1048576 OY1:OY1048576 QA1:QA1048576 AT1:AT31 SE1:SE32">
    <cfRule type="cellIs" dxfId="51" priority="60385" operator="between">
      <formula>AW$32</formula>
      <formula>1000</formula>
    </cfRule>
    <cfRule type="cellIs" dxfId="50" priority="60386" operator="between">
      <formula>AW$31</formula>
      <formula>AW$32</formula>
    </cfRule>
    <cfRule type="cellIs" dxfId="49" priority="60387" operator="between">
      <formula>AW$30</formula>
      <formula>AW$31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 QY1:QY32">
    <cfRule type="cellIs" dxfId="48" priority="90100" operator="between">
      <formula>AW$25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 QZ1:QZ32">
    <cfRule type="cellIs" dxfId="47" priority="90145" operator="between">
      <formula>AW$29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 SF1:SF32">
    <cfRule type="cellIs" dxfId="46" priority="90190" operator="between">
      <formula>AW$25</formula>
      <formula>AW$26</formula>
    </cfRule>
    <cfRule type="cellIs" dxfId="45" priority="90191" operator="between">
      <formula>AW$26</formula>
      <formula>AW$27</formula>
    </cfRule>
    <cfRule type="cellIs" dxfId="44" priority="90192" operator="between">
      <formula>AW$27</formula>
      <formula>AW$28</formula>
    </cfRule>
    <cfRule type="cellIs" dxfId="43" priority="90193" operator="between">
      <formula>AW$28</formula>
      <formula>1000</formula>
    </cfRule>
  </conditionalFormatting>
  <conditionalFormatting sqref="QC58:QC1048576 AV1:AV1048576 BY1:BY1048576 DB1:DB1048576 EG1:EG1048576 FI1:FI1048576 GK1:GK1048576 HM1:HM1048576 IO1:IO1048576 JQ1:JQ1048576 KS1:KS1048576 LU1:LU1048576 MW1:MW1048576 NY1:NY1048576 PA1:PA1048576 QC1:QC36 SG1:SG32">
    <cfRule type="cellIs" dxfId="42" priority="90370" operator="between">
      <formula>AW$29</formula>
      <formula>AW$30</formula>
    </cfRule>
    <cfRule type="cellIs" dxfId="41" priority="90371" operator="between">
      <formula>AW$30</formula>
      <formula>AW$31</formula>
    </cfRule>
    <cfRule type="cellIs" dxfId="40" priority="90372" operator="between">
      <formula>AW$31</formula>
      <formula>AW$32</formula>
    </cfRule>
    <cfRule type="cellIs" dxfId="39" priority="90373" operator="between">
      <formula>AW$32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 SD1:SD32">
    <cfRule type="cellIs" dxfId="38" priority="90550" operator="between">
      <formula>AW$28</formula>
      <formula>1000</formula>
    </cfRule>
    <cfRule type="cellIs" dxfId="37" priority="90551" operator="between">
      <formula>AW$27</formula>
      <formula>AW$28</formula>
    </cfRule>
    <cfRule type="cellIs" dxfId="36" priority="90552" operator="between">
      <formula>AW$26</formula>
      <formula>AW$27</formula>
    </cfRule>
  </conditionalFormatting>
  <conditionalFormatting sqref="RC1:RC32">
    <cfRule type="cellIs" dxfId="35" priority="30" operator="between">
      <formula>RF$32</formula>
      <formula>1000</formula>
    </cfRule>
    <cfRule type="cellIs" dxfId="34" priority="31" operator="between">
      <formula>RF$31</formula>
      <formula>RF$32</formula>
    </cfRule>
    <cfRule type="cellIs" dxfId="33" priority="32" operator="between">
      <formula>RF$30</formula>
      <formula>RF$31</formula>
    </cfRule>
  </conditionalFormatting>
  <conditionalFormatting sqref="SA1:SA32">
    <cfRule type="cellIs" dxfId="32" priority="29" operator="between">
      <formula>SH$25</formula>
      <formula>1000</formula>
    </cfRule>
  </conditionalFormatting>
  <conditionalFormatting sqref="SB1:SB32">
    <cfRule type="cellIs" dxfId="31" priority="28" operator="between">
      <formula>SH$29</formula>
      <formula>1000</formula>
    </cfRule>
  </conditionalFormatting>
  <conditionalFormatting sqref="RD1:RD32">
    <cfRule type="cellIs" dxfId="30" priority="24" operator="between">
      <formula>RF$25</formula>
      <formula>RF$26</formula>
    </cfRule>
    <cfRule type="cellIs" dxfId="29" priority="25" operator="between">
      <formula>RF$26</formula>
      <formula>RF$27</formula>
    </cfRule>
    <cfRule type="cellIs" dxfId="28" priority="26" operator="between">
      <formula>RF$27</formula>
      <formula>RF$28</formula>
    </cfRule>
    <cfRule type="cellIs" dxfId="27" priority="27" operator="between">
      <formula>RF$28</formula>
      <formula>1000</formula>
    </cfRule>
  </conditionalFormatting>
  <conditionalFormatting sqref="RE1:RE32">
    <cfRule type="cellIs" dxfId="26" priority="20" operator="between">
      <formula>RF$29</formula>
      <formula>RF$30</formula>
    </cfRule>
    <cfRule type="cellIs" dxfId="25" priority="21" operator="between">
      <formula>RF$30</formula>
      <formula>RF$31</formula>
    </cfRule>
    <cfRule type="cellIs" dxfId="24" priority="22" operator="between">
      <formula>RF$31</formula>
      <formula>RF$32</formula>
    </cfRule>
    <cfRule type="cellIs" dxfId="23" priority="23" operator="between">
      <formula>RF$32</formula>
      <formula>1000</formula>
    </cfRule>
  </conditionalFormatting>
  <conditionalFormatting sqref="RB1:RB32">
    <cfRule type="cellIs" dxfId="22" priority="17" operator="between">
      <formula>RF$28</formula>
      <formula>1000</formula>
    </cfRule>
    <cfRule type="cellIs" dxfId="21" priority="18" operator="between">
      <formula>RF$27</formula>
      <formula>RF$28</formula>
    </cfRule>
    <cfRule type="cellIs" dxfId="20" priority="19" operator="between">
      <formula>RF$26</formula>
      <formula>RF$27</formula>
    </cfRule>
  </conditionalFormatting>
  <conditionalFormatting sqref="TG1:TG32">
    <cfRule type="cellIs" dxfId="19" priority="14" operator="between">
      <formula>TJ$32</formula>
      <formula>1000</formula>
    </cfRule>
    <cfRule type="cellIs" dxfId="18" priority="15" operator="between">
      <formula>TJ$31</formula>
      <formula>TJ$32</formula>
    </cfRule>
    <cfRule type="cellIs" dxfId="17" priority="16" operator="between">
      <formula>TJ$30</formula>
      <formula>TJ$31</formula>
    </cfRule>
  </conditionalFormatting>
  <conditionalFormatting sqref="TC1:TC32">
    <cfRule type="cellIs" dxfId="16" priority="13" operator="between">
      <formula>TJ$25</formula>
      <formula>1000</formula>
    </cfRule>
  </conditionalFormatting>
  <conditionalFormatting sqref="TD1:TD32">
    <cfRule type="cellIs" dxfId="15" priority="12" operator="between">
      <formula>TJ$29</formula>
      <formula>1000</formula>
    </cfRule>
  </conditionalFormatting>
  <conditionalFormatting sqref="TH1:TH32">
    <cfRule type="cellIs" dxfId="14" priority="8" operator="between">
      <formula>TJ$25</formula>
      <formula>TJ$26</formula>
    </cfRule>
    <cfRule type="cellIs" dxfId="13" priority="9" operator="between">
      <formula>TJ$26</formula>
      <formula>TJ$27</formula>
    </cfRule>
    <cfRule type="cellIs" dxfId="12" priority="10" operator="between">
      <formula>TJ$27</formula>
      <formula>TJ$28</formula>
    </cfRule>
    <cfRule type="cellIs" dxfId="11" priority="11" operator="between">
      <formula>TJ$28</formula>
      <formula>1000</formula>
    </cfRule>
  </conditionalFormatting>
  <conditionalFormatting sqref="TI1:TI32">
    <cfRule type="cellIs" dxfId="10" priority="4" operator="between">
      <formula>TJ$29</formula>
      <formula>TJ$30</formula>
    </cfRule>
    <cfRule type="cellIs" dxfId="9" priority="5" operator="between">
      <formula>TJ$30</formula>
      <formula>TJ$31</formula>
    </cfRule>
    <cfRule type="cellIs" dxfId="8" priority="6" operator="between">
      <formula>TJ$31</formula>
      <formula>TJ$32</formula>
    </cfRule>
    <cfRule type="cellIs" dxfId="7" priority="7" operator="between">
      <formula>TJ$32</formula>
      <formula>1000</formula>
    </cfRule>
  </conditionalFormatting>
  <conditionalFormatting sqref="TF1:TF32">
    <cfRule type="cellIs" dxfId="6" priority="1" operator="between">
      <formula>TJ$28</formula>
      <formula>1000</formula>
    </cfRule>
    <cfRule type="cellIs" dxfId="5" priority="2" operator="between">
      <formula>TJ$27</formula>
      <formula>TJ$28</formula>
    </cfRule>
    <cfRule type="cellIs" dxfId="4" priority="3" operator="between">
      <formula>TJ$26</formula>
      <formula>TJ$27</formula>
    </cfRule>
  </conditionalFormatting>
  <conditionalFormatting sqref="TK1:TK22">
    <cfRule type="cellIs" dxfId="3" priority="102480" operator="between">
      <formula>QD$29</formula>
      <formula>QD$30</formula>
    </cfRule>
    <cfRule type="cellIs" dxfId="2" priority="102481" operator="between">
      <formula>QD$30</formula>
      <formula>QD$31</formula>
    </cfRule>
    <cfRule type="cellIs" dxfId="1" priority="102482" operator="between">
      <formula>QD$31</formula>
      <formula>QD$32</formula>
    </cfRule>
    <cfRule type="cellIs" dxfId="0" priority="102483" operator="between">
      <formula>QD$32</formula>
      <formula>1000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2025-01-09T19:22:48Z</dcterms:modified>
</cp:coreProperties>
</file>